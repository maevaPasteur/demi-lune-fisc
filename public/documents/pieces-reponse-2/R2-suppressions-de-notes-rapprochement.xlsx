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hode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Grosses_lignes" sheetId="3" state="visible" r:id="rId3"/>
    <sheet xmlns:r="http://schemas.openxmlformats.org/officeDocument/2006/relationships" name="Univocite" sheetId="4" state="visible" r:id="rId4"/>
    <sheet xmlns:r="http://schemas.openxmlformats.org/officeDocument/2006/relationships" name="Chainage_G1" sheetId="5" state="visible" r:id="rId5"/>
    <sheet xmlns:r="http://schemas.openxmlformats.org/officeDocument/2006/relationships" name="Reglements_F1" sheetId="6" state="visible" r:id="rId6"/>
    <sheet xmlns:r="http://schemas.openxmlformats.org/officeDocument/2006/relationships" name="Tickets_zero" sheetId="7" state="visible" r:id="rId7"/>
    <sheet xmlns:r="http://schemas.openxmlformats.org/officeDocument/2006/relationships" name="Catalogue_prix" sheetId="8" state="visible" r:id="rId8"/>
    <sheet xmlns:r="http://schemas.openxmlformats.org/officeDocument/2006/relationships" name="Sources_D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1A3A5C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3F2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vertical="top" wrapText="1"/>
    </xf>
    <xf numFmtId="2" fontId="0" fillId="0" borderId="0" pivotButton="0" quotePrefix="0" xfId="0"/>
    <xf numFmtId="165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3" borderId="0" pivotButton="0" quotePrefix="0" xfId="0"/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R2 — Suppressions de notes (« DEL ») : rapprochement DEL vs encaissements, exercice 2022-2023</t>
        </is>
      </c>
    </row>
    <row r="2">
      <c r="A2" t="inlineStr"/>
    </row>
    <row r="3">
      <c r="A3" t="inlineStr">
        <is>
          <t>OBJET. Pièce recalculée à formules, à partir des seules annexes de caisse remises au titre de l'article L. 47 A, II du LPF et</t>
        </is>
      </c>
    </row>
    <row r="4">
      <c r="A4" t="inlineStr">
        <is>
          <t>effectivement présentes au dossier : ANNEXE-E1 (tpvevenement), F1 (règlements), G1 (journal TVA), H1 (liste des tickets),</t>
        </is>
      </c>
    </row>
    <row r="5">
      <c r="A5" t="inlineStr">
        <is>
          <t>C1 (détail des tickets / prix pratiqués). Ces annexes couvrent le SEUL exercice 2022-2023. Les exercices 2023-2024 et</t>
        </is>
      </c>
    </row>
    <row r="6">
      <c r="A6" t="inlineStr">
        <is>
          <t>2024-2025 (annexes E2/E3, F2/F3, G2/G3, H2/H3, C2/C3) ne sont pas au dossier : aucune statistique n'est produite ici pour</t>
        </is>
      </c>
    </row>
    <row r="7">
      <c r="A7" t="inlineStr">
        <is>
          <t>eux ; les montants que la proposition leur attribue (140 686,55 € et 97 071,51 €) sont repris tels quels, non vérifiés.</t>
        </is>
      </c>
    </row>
    <row r="8">
      <c r="A8" t="inlineStr"/>
    </row>
    <row r="9">
      <c r="A9" t="inlineStr">
        <is>
          <t>SOURCE E1. Le fichier ANNEXE-E1 porte en dernière ligne un pied de totalisation (dateEven = « Nb lignes », mf_Number = 8014,</t>
        </is>
      </c>
    </row>
    <row r="10">
      <c r="A10" t="inlineStr">
        <is>
          <t>amount = 193 005,09 €) qui n'est pas une opération : il est écarté. Restent 8 014 lignes « DEL », total 193 005,09 € —</t>
        </is>
      </c>
    </row>
    <row r="11">
      <c r="A11" t="inlineStr">
        <is>
          <t>chiffres identiques au tableau de la proposition (8 014 / 193 005,09 € pour 2022-2023).</t>
        </is>
      </c>
    </row>
    <row r="12">
      <c r="A12" t="inlineStr"/>
    </row>
    <row r="13">
      <c r="A13" t="inlineStr">
        <is>
          <t>CATALOGUE (onglet Catalogue_prix) : prix unitaires TTC pratiqués en 2022-2023, colonne 14 « Uprice_wt » de l'ANNEXE-C1</t>
        </is>
      </c>
    </row>
    <row r="14">
      <c r="A14" t="inlineStr">
        <is>
          <t>(&gt;0, dédoublonnés) : 258 valeurs.</t>
        </is>
      </c>
    </row>
    <row r="15">
      <c r="A15" t="inlineStr"/>
    </row>
    <row r="16">
      <c r="A16" t="inlineStr">
        <is>
          <t>CLASSEMENT (onglet Sources_DEL). Pour chaque montant on cherche un prix p du catalogue et un entier k tels que</t>
        </is>
      </c>
    </row>
    <row r="17">
      <c r="A17" t="inlineStr">
        <is>
          <t>ROUND(k×p,2) = montant (colonnes base_price, mult_k). « verif » recalcule ROUND(mult_k×base_price,2) ; « egal_montant »</t>
        </is>
      </c>
    </row>
    <row r="18">
      <c r="A18" t="inlineStr">
        <is>
          <t>teste l'égalité (formule) ; « categorie » (formule) = « carte » si k=1, « multiple » si k&gt;=2, « none » sinon.</t>
        </is>
      </c>
    </row>
    <row r="19">
      <c r="A19" t="inlineStr"/>
    </row>
    <row r="20">
      <c r="A20" t="inlineStr">
        <is>
          <t>AGREGATS (onglet Calcul) : nombres de lignes et euros par catégorie, parts, isolement des lignes &gt;= 1 000 €, médiane,</t>
        </is>
      </c>
    </row>
    <row r="21">
      <c r="A21" t="inlineStr">
        <is>
          <t>moyenne, valeurs distinctes — toutes formules (NB.SI / SOMME.SI).</t>
        </is>
      </c>
    </row>
    <row r="22">
      <c r="A22" t="inlineStr"/>
    </row>
    <row r="23">
      <c r="A23" t="inlineStr">
        <is>
          <t>GROSSES LIGNES (onglet Grosses_lignes). Les 2 lignes &gt;= 1 000 € de 2022-2023 (68 993,10 € le 26/07/2022 ; 19 600,00 € le</t>
        </is>
      </c>
    </row>
    <row r="24">
      <c r="A24" t="inlineStr">
        <is>
          <t>07/08/2022) sont confrontées au CA réellement encaissé le jour (F1) et à la plus grosse note de l'exercice (513,30 €). Une</t>
        </is>
      </c>
    </row>
    <row r="25">
      <c r="A25" t="inlineStr">
        <is>
          <t>recette de cet ordre est matériellement impossible : erreurs de saisie sur la quantité, supprimées aussitôt. Les deux autres</t>
        </is>
      </c>
    </row>
    <row r="26">
      <c r="A26" t="inlineStr">
        <is>
          <t>grosses lignes citées (44 955 € le 21/06/2023 ; 4 455 € le 15/08/2024) relèvent d'exercices absents : non vérifiables ici.</t>
        </is>
      </c>
    </row>
    <row r="27">
      <c r="A27" t="inlineStr"/>
    </row>
    <row r="28">
      <c r="A28" t="inlineStr">
        <is>
          <t>UNIVOCITE (onglet Univocite). La clé date+heure+montant+Z n'est pas un identifiant unique (76,90 € : 7 notes sur</t>
        </is>
      </c>
    </row>
    <row r="29">
      <c r="A29" t="inlineStr">
        <is>
          <t>l'exercice ; 1,86 note en double par Z en moyenne). Les rafales montrées sont univoques DANS leur Z (une seule note</t>
        </is>
      </c>
    </row>
    <row r="30">
      <c r="A30" t="inlineStr">
        <is>
          <t>candidate sur le Z 3052), mais la méthode vaut comme indice de vraisemblance, non comme preuve ligne à ligne.</t>
        </is>
      </c>
    </row>
    <row r="31">
      <c r="A31" t="inlineStr"/>
    </row>
    <row r="32">
      <c r="A32" t="inlineStr">
        <is>
          <t>TOTALISATEUR (onglet Chainage_G1). Compteur « tot_sum » (inaltérable, non purgeable, BOFiP § 170) trié croissant ;</t>
        </is>
      </c>
    </row>
    <row r="33">
      <c r="A33" t="inlineStr">
        <is>
          <t>« delta » = écart entre tickets consécutifs ; « ecart_vs_ttc » = delta − TTC du ticket (formules).</t>
        </is>
      </c>
    </row>
    <row r="34">
      <c r="A34" t="inlineStr"/>
    </row>
    <row r="35">
      <c r="A35" t="inlineStr">
        <is>
          <t>ESPECES (onglet Reglements_F1) : totaux par mode (F1, hors pied « TOTAL ») par SOMME.SI.</t>
        </is>
      </c>
    </row>
    <row r="36">
      <c r="A36" t="inlineStr"/>
    </row>
    <row r="37">
      <c r="A37" t="inlineStr">
        <is>
          <t>TICKETS A ZERO (onglet Tickets_zero) : tickets H1 à 0,00 € ; « jumeau » = 1 si un ticket encaissé porte le même numéro le</t>
        </is>
      </c>
    </row>
    <row r="38">
      <c r="A38" t="inlineStr">
        <is>
          <t>même jour. Le numéro étant un rang quotidien réattribué, le jumeau est cohérent avec un transfert de table mais n'est pas,</t>
        </is>
      </c>
    </row>
    <row r="39">
      <c r="A39" t="inlineStr">
        <is>
          <t>à lui seul, une preuve.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Agrégats — toutes les cellules de résultat sont des formules sur Sources_DEL</t>
        </is>
      </c>
    </row>
    <row r="2">
      <c r="A2" t="inlineStr">
        <is>
          <t>Lignes « DEL » (total)</t>
        </is>
      </c>
      <c r="B2" s="2">
        <f>COUNT(Sources_DEL!$D$3:$D$8016)</f>
        <v/>
      </c>
    </row>
    <row r="3">
      <c r="A3" t="inlineStr">
        <is>
          <t>Montant total supprimé (€)</t>
        </is>
      </c>
      <c r="B3" s="3">
        <f>ROUND(SUM(Sources_DEL!$D$3:$D$8016),2)</f>
        <v/>
      </c>
    </row>
    <row r="4">
      <c r="A4" t="inlineStr"/>
    </row>
    <row r="5">
      <c r="A5" t="inlineStr">
        <is>
          <t>Lignes valant un prix unitaire de la carte</t>
        </is>
      </c>
      <c r="B5" s="2">
        <f>COUNTIF(Sources_DEL!$J$3:$J$8016,"carte")</f>
        <v/>
      </c>
    </row>
    <row r="6">
      <c r="A6" t="inlineStr">
        <is>
          <t>Euros des lignes « prix de la carte »</t>
        </is>
      </c>
      <c r="B6" s="3">
        <f>ROUND(SUMIF(Sources_DEL!$J$3:$J$8016,"carte",Sources_DEL!$D$3:$D$8016),2)</f>
        <v/>
      </c>
    </row>
    <row r="7">
      <c r="A7" t="inlineStr">
        <is>
          <t>Lignes valant une quantité entière × un prix</t>
        </is>
      </c>
      <c r="B7" s="2">
        <f>COUNTIF(Sources_DEL!$J$3:$J$8016,"multiple")</f>
        <v/>
      </c>
    </row>
    <row r="8">
      <c r="A8" t="inlineStr">
        <is>
          <t>Euros des lignes « multiple entier »</t>
        </is>
      </c>
      <c r="B8" s="3">
        <f>ROUND(SUMIF(Sources_DEL!$J$3:$J$8016,"multiple",Sources_DEL!$D$3:$D$8016),2)</f>
        <v/>
      </c>
    </row>
    <row r="9">
      <c r="A9" t="inlineStr">
        <is>
          <t>Lignes sans correspondance de prix</t>
        </is>
      </c>
      <c r="B9" s="2">
        <f>COUNTIF(Sources_DEL!$J$3:$J$8016,"none")</f>
        <v/>
      </c>
    </row>
    <row r="10">
      <c r="A10" t="inlineStr">
        <is>
          <t>Euros des lignes sans correspondance</t>
        </is>
      </c>
      <c r="B10" s="3">
        <f>ROUND(SUMIF(Sources_DEL!$J$3:$J$8016,"none",Sources_DEL!$D$3:$D$8016),2)</f>
        <v/>
      </c>
    </row>
    <row r="11">
      <c r="A11" t="inlineStr"/>
    </row>
    <row r="12">
      <c r="A12" t="inlineStr">
        <is>
          <t>Lignes expliquées par un prix (carte + multiple)</t>
        </is>
      </c>
      <c r="B12" s="2">
        <f>B5+B7</f>
        <v/>
      </c>
    </row>
    <row r="13">
      <c r="A13" t="inlineStr">
        <is>
          <t>Part en lignes</t>
        </is>
      </c>
      <c r="B13" s="4">
        <f>(B5+B7)/B2</f>
        <v/>
      </c>
    </row>
    <row r="14">
      <c r="A14" t="inlineStr">
        <is>
          <t>Part en euros (carte + multiple)</t>
        </is>
      </c>
      <c r="B14" s="4">
        <f>(B6+B8)/B3</f>
        <v/>
      </c>
    </row>
    <row r="15">
      <c r="A15" t="inlineStr"/>
    </row>
    <row r="16">
      <c r="A16" t="inlineStr">
        <is>
          <t>Contrôle : egal_montant = 1 là où un prix est trouvé</t>
        </is>
      </c>
      <c r="B16" s="2">
        <f>SUM(Sources_DEL!$I$3:$I$8016)</f>
        <v/>
      </c>
    </row>
    <row r="17">
      <c r="A17" t="inlineStr">
        <is>
          <t>… doit égaler (carte + multiple) lignes</t>
        </is>
      </c>
      <c r="B17" s="2">
        <f>B5+B7</f>
        <v/>
      </c>
    </row>
    <row r="18">
      <c r="A18" t="inlineStr"/>
    </row>
    <row r="19">
      <c r="A19" t="inlineStr">
        <is>
          <t>Lignes aberrantes de montant &gt;= 1 000 € — nombre</t>
        </is>
      </c>
      <c r="B19" s="2">
        <f>COUNTIF(Sources_DEL!$D$3:$D$8016,"&gt;=1000")</f>
        <v/>
      </c>
    </row>
    <row r="20">
      <c r="A20" t="inlineStr">
        <is>
          <t>Lignes aberrantes &gt;= 1 000 € — euros</t>
        </is>
      </c>
      <c r="B20" s="3">
        <f>ROUND(SUMIF(Sources_DEL!$D$3:$D$8016,"&gt;=1000",Sources_DEL!$D$3:$D$8016),2)</f>
        <v/>
      </c>
    </row>
    <row r="21">
      <c r="A21" t="inlineStr">
        <is>
          <t>Part en euros des 2 lignes aberrantes</t>
        </is>
      </c>
      <c r="B21" s="4">
        <f>B20/B3</f>
        <v/>
      </c>
    </row>
    <row r="22">
      <c r="A22" t="inlineStr">
        <is>
          <t>Euros « multiple » hors lignes aberrantes</t>
        </is>
      </c>
      <c r="B22" s="3">
        <f>ROUND(B8-B20,2)</f>
        <v/>
      </c>
    </row>
    <row r="23">
      <c r="A23" t="inlineStr"/>
    </row>
    <row r="24">
      <c r="A24" t="inlineStr">
        <is>
          <t>Médiane des montants supprimés (€)</t>
        </is>
      </c>
      <c r="B24" s="3">
        <f>MEDIAN(Sources_DEL!$D$3:$D$8016)</f>
        <v/>
      </c>
    </row>
    <row r="25">
      <c r="A25" t="inlineStr">
        <is>
          <t>Moyenne des montants supprimés (€)</t>
        </is>
      </c>
      <c r="B25" s="3">
        <f>ROUND(AVERAGE(Sources_DEL!$D$3:$D$8016),2)</f>
        <v/>
      </c>
    </row>
    <row r="26">
      <c r="A26" t="inlineStr">
        <is>
          <t>Valeurs distinctes prises par les montants « DEL »</t>
        </is>
      </c>
      <c r="B26" s="2">
        <f>SUMPRODUCT(1/COUNTIF(Sources_DEL!$D$3:$D$8016,Sources_DEL!$D$3:$D$8016))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1" t="inlineStr">
        <is>
          <t>Re-traçage des lignes « DEL » &gt;= 1 000 € (exercice 2022-2023)</t>
        </is>
      </c>
    </row>
    <row r="3">
      <c r="A3" s="5" t="inlineStr"/>
      <c r="B3" s="5" t="inlineStr">
        <is>
          <t>26/07/2022 (Z 3015)</t>
        </is>
      </c>
      <c r="C3" s="5" t="inlineStr">
        <is>
          <t>07/08/2022 (Z 3026)</t>
        </is>
      </c>
    </row>
    <row r="4">
      <c r="A4" t="inlineStr">
        <is>
          <t>Montant de la ligne « DEL » supprimée (€)</t>
        </is>
      </c>
      <c r="B4" s="6" t="n">
        <v>68993.10000000001</v>
      </c>
      <c r="C4" s="6" t="n">
        <v>19600</v>
      </c>
    </row>
    <row r="5">
      <c r="A5" t="inlineStr">
        <is>
          <t>Décomposition apparente</t>
        </is>
      </c>
      <c r="B5" t="inlineStr">
        <is>
          <t>≈ 27,40 € × 2 518</t>
        </is>
      </c>
      <c r="C5" t="inlineStr">
        <is>
          <t>100,00 € × 196</t>
        </is>
      </c>
    </row>
    <row r="6">
      <c r="A6" t="inlineStr">
        <is>
          <t>Notes réellement encaissées ce jour-là</t>
        </is>
      </c>
      <c r="B6" t="n">
        <v>32</v>
      </c>
      <c r="C6" t="n">
        <v>31</v>
      </c>
    </row>
    <row r="7">
      <c r="A7" t="inlineStr">
        <is>
          <t>CA réellement encaissé ce jour (€)</t>
        </is>
      </c>
      <c r="B7" s="6" t="n">
        <v>2563.4</v>
      </c>
      <c r="C7" s="6" t="n">
        <v>2209.6</v>
      </c>
    </row>
    <row r="8">
      <c r="A8" t="inlineStr">
        <is>
          <t>Plus grosse note encaissée ce jour (€)</t>
        </is>
      </c>
      <c r="B8" s="6" t="n">
        <v>165.5</v>
      </c>
      <c r="C8" s="6" t="n">
        <v>131.2</v>
      </c>
    </row>
    <row r="9">
      <c r="A9" t="inlineStr">
        <is>
          <t>Plus grosse note de TOUT l'exercice 2022-2023 (€)</t>
        </is>
      </c>
      <c r="B9" s="6" t="n">
        <v>513.3</v>
      </c>
      <c r="C9" s="6" t="n">
        <v>513.3</v>
      </c>
    </row>
    <row r="10">
      <c r="A10" t="inlineStr">
        <is>
          <t>La ligne « DEL » vaut, en multiple du CA du jour</t>
        </is>
      </c>
      <c r="B10" s="7">
        <f>B4/B7</f>
        <v/>
      </c>
      <c r="C10" s="7">
        <f>C4/C7</f>
        <v/>
      </c>
    </row>
    <row r="11">
      <c r="A11" t="inlineStr">
        <is>
          <t>La ligne « DEL » vaut, en multiple de la plus grosse note</t>
        </is>
      </c>
      <c r="B11" s="7">
        <f>B4/B9</f>
        <v/>
      </c>
      <c r="C11" s="7">
        <f>C4/C9</f>
        <v/>
      </c>
    </row>
    <row r="13">
      <c r="A13" s="2" t="inlineStr">
        <is>
          <t>Conclusion : une recette de 68 993 € ou 19 600 € est impossible (plus grosse note de l'exercice : 513,30 €).</t>
        </is>
      </c>
    </row>
    <row r="14">
      <c r="A14" t="inlineStr">
        <is>
          <t>Ces 2 lignes = erreurs de saisie sur la quantité, supprimées aussitôt ; elles pèsent pourtant 45,9 % du montant 2022-2023.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Mesure d'univocité de la clé (date + heure + montant + Z)</t>
        </is>
      </c>
    </row>
    <row r="3">
      <c r="A3" s="5" t="inlineStr">
        <is>
          <t>Mesure</t>
        </is>
      </c>
      <c r="B3" s="5" t="inlineStr">
        <is>
          <t>Valeur</t>
        </is>
      </c>
    </row>
    <row r="4">
      <c r="A4" s="8" t="inlineStr">
        <is>
          <t>Notes de l'exercice (ANNEXE-F1)</t>
        </is>
      </c>
      <c r="B4" s="8" t="n">
        <v>5658</v>
      </c>
    </row>
    <row r="5">
      <c r="A5" s="8" t="inlineStr">
        <is>
          <t>Totaux de note distincts</t>
        </is>
      </c>
      <c r="B5" s="8" t="n">
        <v>1637</v>
      </c>
    </row>
    <row r="6">
      <c r="A6" s="8" t="inlineStr">
        <is>
          <t>Notes partageant leur total avec une autre du même Z (moyenne/Z)</t>
        </is>
      </c>
      <c r="B6" s="9" t="n">
        <v>1.86</v>
      </c>
    </row>
    <row r="7">
      <c r="A7" s="8" t="inlineStr">
        <is>
          <t>Notes de l'exercice dont le total = 76,90 €</t>
        </is>
      </c>
      <c r="B7" s="8" t="n">
        <v>7</v>
      </c>
    </row>
    <row r="8">
      <c r="A8" s="8" t="inlineStr">
        <is>
          <t>Notes du Z 3052 (09/09/2022) dont le total = 76,90 €</t>
        </is>
      </c>
      <c r="B8" s="8" t="n">
        <v>1</v>
      </c>
    </row>
    <row r="9">
      <c r="A9" s="8" t="inlineStr">
        <is>
          <t>Notes du Z 3052 dont le total = 207,00 €</t>
        </is>
      </c>
      <c r="B9" s="8" t="n">
        <v>1</v>
      </c>
    </row>
    <row r="10">
      <c r="A10" s="8" t="inlineStr">
        <is>
          <t>Occurrences du montant 3,90 € parmi les lignes « DEL »</t>
        </is>
      </c>
      <c r="B10" s="8" t="n">
        <v>767</v>
      </c>
    </row>
    <row r="11">
      <c r="A11" s="8" t="inlineStr">
        <is>
          <t>Occurrences du montant 18,60 € parmi les lignes « DEL »</t>
        </is>
      </c>
      <c r="B11" s="8" t="n">
        <v>160</v>
      </c>
    </row>
    <row r="13">
      <c r="A13" s="2" t="inlineStr">
        <is>
          <t>Lecture : sur le Z 3052 les rafales de 12h07 et 12h23 n'ont qu'une note candidate chacune ; mais à l'échelle du</t>
        </is>
      </c>
    </row>
    <row r="14">
      <c r="A14" t="inlineStr">
        <is>
          <t>fichier la clé n'est pas unique. Le rapprochement par rafale vaut comme indice, pas comme preuve par ligne.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6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  <col width="13" customWidth="1" min="6" max="6"/>
    <col width="13" customWidth="1" min="7" max="7"/>
  </cols>
  <sheetData>
    <row r="1">
      <c r="A1" s="2" t="inlineStr">
        <is>
          <t>Totalisateur perpétuel « tot_sum » (ANNEXE-G1), trié croissant — contrôle de chaînage</t>
        </is>
      </c>
    </row>
    <row r="2">
      <c r="A2" s="5" t="inlineStr">
        <is>
          <t>dateTicket</t>
        </is>
      </c>
      <c r="B2" s="5" t="inlineStr">
        <is>
          <t>noTicket</t>
        </is>
      </c>
      <c r="C2" s="5" t="inlineStr">
        <is>
          <t>no_zReport</t>
        </is>
      </c>
      <c r="D2" s="5" t="inlineStr">
        <is>
          <t>tot_ttc (€)</t>
        </is>
      </c>
      <c r="E2" s="5" t="inlineStr">
        <is>
          <t>tot_sum (€)</t>
        </is>
      </c>
      <c r="F2" s="5" t="inlineStr">
        <is>
          <t>delta</t>
        </is>
      </c>
      <c r="G2" s="5" t="inlineStr">
        <is>
          <t>ecart_vs_ttc</t>
        </is>
      </c>
    </row>
    <row r="3">
      <c r="A3" t="inlineStr">
        <is>
          <t>2022-04-14</t>
        </is>
      </c>
      <c r="B3" t="n">
        <v>1</v>
      </c>
      <c r="C3" t="n">
        <v>2938</v>
      </c>
      <c r="D3" s="6" t="n">
        <v>67.40000000000001</v>
      </c>
      <c r="E3" s="6" t="n">
        <v>977807.1800000001</v>
      </c>
      <c r="F3" s="6">
        <f>ROUND(E3-977739.78,2)</f>
        <v/>
      </c>
      <c r="G3" s="6">
        <f>ROUND(F3-D3,2)</f>
        <v/>
      </c>
    </row>
    <row r="4">
      <c r="A4" t="inlineStr">
        <is>
          <t>2022-04-14</t>
        </is>
      </c>
      <c r="B4" t="n">
        <v>2</v>
      </c>
      <c r="C4" t="n">
        <v>2938</v>
      </c>
      <c r="D4" s="6" t="n">
        <v>20.9</v>
      </c>
      <c r="E4" s="6" t="n">
        <v>977828.08</v>
      </c>
      <c r="F4" s="6">
        <f>ROUND(E4-E3,2)</f>
        <v/>
      </c>
      <c r="G4" s="6">
        <f>ROUND(F4-D4,2)</f>
        <v/>
      </c>
    </row>
    <row r="5">
      <c r="A5" t="inlineStr">
        <is>
          <t>2022-04-14</t>
        </is>
      </c>
      <c r="B5" t="n">
        <v>3</v>
      </c>
      <c r="C5" t="n">
        <v>2938</v>
      </c>
      <c r="D5" s="6" t="n">
        <v>61.4</v>
      </c>
      <c r="E5" s="6" t="n">
        <v>977889.48</v>
      </c>
      <c r="F5" s="6">
        <f>ROUND(E5-E4,2)</f>
        <v/>
      </c>
      <c r="G5" s="6">
        <f>ROUND(F5-D5,2)</f>
        <v/>
      </c>
    </row>
    <row r="6">
      <c r="A6" t="inlineStr">
        <is>
          <t>2022-04-14</t>
        </is>
      </c>
      <c r="B6" t="n">
        <v>4</v>
      </c>
      <c r="C6" t="n">
        <v>2938</v>
      </c>
      <c r="D6" s="6" t="n">
        <v>23.8</v>
      </c>
      <c r="E6" s="6" t="n">
        <v>977913.28</v>
      </c>
      <c r="F6" s="6">
        <f>ROUND(E6-E5,2)</f>
        <v/>
      </c>
      <c r="G6" s="6">
        <f>ROUND(F6-D6,2)</f>
        <v/>
      </c>
    </row>
    <row r="7">
      <c r="A7" t="inlineStr">
        <is>
          <t>2022-04-14</t>
        </is>
      </c>
      <c r="B7" t="n">
        <v>5</v>
      </c>
      <c r="C7" t="n">
        <v>2938</v>
      </c>
      <c r="D7" s="6" t="n">
        <v>23.8</v>
      </c>
      <c r="E7" s="6" t="n">
        <v>977937.08</v>
      </c>
      <c r="F7" s="6">
        <f>ROUND(E7-E6,2)</f>
        <v/>
      </c>
      <c r="G7" s="6">
        <f>ROUND(F7-D7,2)</f>
        <v/>
      </c>
    </row>
    <row r="8">
      <c r="A8" t="inlineStr">
        <is>
          <t>2022-04-14</t>
        </is>
      </c>
      <c r="B8" t="n">
        <v>6</v>
      </c>
      <c r="C8" t="n">
        <v>2938</v>
      </c>
      <c r="D8" s="6" t="n">
        <v>33</v>
      </c>
      <c r="E8" s="6" t="n">
        <v>977970.08</v>
      </c>
      <c r="F8" s="6">
        <f>ROUND(E8-E7,2)</f>
        <v/>
      </c>
      <c r="G8" s="6">
        <f>ROUND(F8-D8,2)</f>
        <v/>
      </c>
    </row>
    <row r="9">
      <c r="A9" t="inlineStr">
        <is>
          <t>2022-04-14</t>
        </is>
      </c>
      <c r="B9" t="n">
        <v>7</v>
      </c>
      <c r="C9" t="n">
        <v>2938</v>
      </c>
      <c r="D9" s="6" t="n">
        <v>59.4</v>
      </c>
      <c r="E9" s="6" t="n">
        <v>978029.48</v>
      </c>
      <c r="F9" s="6">
        <f>ROUND(E9-E8,2)</f>
        <v/>
      </c>
      <c r="G9" s="6">
        <f>ROUND(F9-D9,2)</f>
        <v/>
      </c>
    </row>
    <row r="10">
      <c r="A10" t="inlineStr">
        <is>
          <t>2022-04-14</t>
        </is>
      </c>
      <c r="B10" t="n">
        <v>8</v>
      </c>
      <c r="C10" t="n">
        <v>2938</v>
      </c>
      <c r="D10" s="6" t="n">
        <v>19.9</v>
      </c>
      <c r="E10" s="6" t="n">
        <v>978049.38</v>
      </c>
      <c r="F10" s="6">
        <f>ROUND(E10-E9,2)</f>
        <v/>
      </c>
      <c r="G10" s="6">
        <f>ROUND(F10-D10,2)</f>
        <v/>
      </c>
    </row>
    <row r="11">
      <c r="A11" t="inlineStr">
        <is>
          <t>2022-04-14</t>
        </is>
      </c>
      <c r="B11" t="n">
        <v>9</v>
      </c>
      <c r="C11" t="n">
        <v>2938</v>
      </c>
      <c r="D11" s="6" t="n">
        <v>19.9</v>
      </c>
      <c r="E11" s="6" t="n">
        <v>978069.28</v>
      </c>
      <c r="F11" s="6">
        <f>ROUND(E11-E10,2)</f>
        <v/>
      </c>
      <c r="G11" s="6">
        <f>ROUND(F11-D11,2)</f>
        <v/>
      </c>
    </row>
    <row r="12">
      <c r="A12" t="inlineStr">
        <is>
          <t>2022-04-14</t>
        </is>
      </c>
      <c r="B12" t="n">
        <v>10</v>
      </c>
      <c r="C12" t="n">
        <v>2938</v>
      </c>
      <c r="D12" s="6" t="n">
        <v>52.2</v>
      </c>
      <c r="E12" s="6" t="n">
        <v>978121.48</v>
      </c>
      <c r="F12" s="6">
        <f>ROUND(E12-E11,2)</f>
        <v/>
      </c>
      <c r="G12" s="6">
        <f>ROUND(F12-D12,2)</f>
        <v/>
      </c>
    </row>
    <row r="13">
      <c r="A13" t="inlineStr">
        <is>
          <t>2022-04-14</t>
        </is>
      </c>
      <c r="B13" t="n">
        <v>11</v>
      </c>
      <c r="C13" t="n">
        <v>2938</v>
      </c>
      <c r="D13" s="6" t="n">
        <v>29.35</v>
      </c>
      <c r="E13" s="6" t="n">
        <v>978150.83</v>
      </c>
      <c r="F13" s="6">
        <f>ROUND(E13-E12,2)</f>
        <v/>
      </c>
      <c r="G13" s="6">
        <f>ROUND(F13-D13,2)</f>
        <v/>
      </c>
    </row>
    <row r="14">
      <c r="A14" t="inlineStr">
        <is>
          <t>2022-04-14</t>
        </is>
      </c>
      <c r="B14" t="n">
        <v>12</v>
      </c>
      <c r="C14" t="n">
        <v>2938</v>
      </c>
      <c r="D14" s="6" t="n">
        <v>29.35</v>
      </c>
      <c r="E14" s="6" t="n">
        <v>978180.1800000001</v>
      </c>
      <c r="F14" s="6">
        <f>ROUND(E14-E13,2)</f>
        <v/>
      </c>
      <c r="G14" s="6">
        <f>ROUND(F14-D14,2)</f>
        <v/>
      </c>
    </row>
    <row r="15">
      <c r="A15" t="inlineStr">
        <is>
          <t>2022-04-14</t>
        </is>
      </c>
      <c r="B15" t="n">
        <v>13</v>
      </c>
      <c r="C15" t="n">
        <v>2938</v>
      </c>
      <c r="D15" s="6" t="n">
        <v>26.45</v>
      </c>
      <c r="E15" s="6" t="n">
        <v>978206.63</v>
      </c>
      <c r="F15" s="6">
        <f>ROUND(E15-E14,2)</f>
        <v/>
      </c>
      <c r="G15" s="6">
        <f>ROUND(F15-D15,2)</f>
        <v/>
      </c>
    </row>
    <row r="16">
      <c r="A16" t="inlineStr">
        <is>
          <t>2022-04-14</t>
        </is>
      </c>
      <c r="B16" t="n">
        <v>14</v>
      </c>
      <c r="C16" t="n">
        <v>2938</v>
      </c>
      <c r="D16" s="6" t="n">
        <v>26.45</v>
      </c>
      <c r="E16" s="6" t="n">
        <v>978233.08</v>
      </c>
      <c r="F16" s="6">
        <f>ROUND(E16-E15,2)</f>
        <v/>
      </c>
      <c r="G16" s="6">
        <f>ROUND(F16-D16,2)</f>
        <v/>
      </c>
    </row>
    <row r="17">
      <c r="A17" t="inlineStr">
        <is>
          <t>2022-04-14</t>
        </is>
      </c>
      <c r="B17" t="n">
        <v>15</v>
      </c>
      <c r="C17" t="n">
        <v>2938</v>
      </c>
      <c r="D17" s="6" t="n">
        <v>20.25</v>
      </c>
      <c r="E17" s="6" t="n">
        <v>978253.33</v>
      </c>
      <c r="F17" s="6">
        <f>ROUND(E17-E16,2)</f>
        <v/>
      </c>
      <c r="G17" s="6">
        <f>ROUND(F17-D17,2)</f>
        <v/>
      </c>
    </row>
    <row r="18">
      <c r="A18" t="inlineStr">
        <is>
          <t>2022-04-14</t>
        </is>
      </c>
      <c r="B18" t="n">
        <v>16</v>
      </c>
      <c r="C18" t="n">
        <v>2938</v>
      </c>
      <c r="D18" s="6" t="n">
        <v>20.25</v>
      </c>
      <c r="E18" s="6" t="n">
        <v>978273.58</v>
      </c>
      <c r="F18" s="6">
        <f>ROUND(E18-E17,2)</f>
        <v/>
      </c>
      <c r="G18" s="6">
        <f>ROUND(F18-D18,2)</f>
        <v/>
      </c>
    </row>
    <row r="19">
      <c r="A19" t="inlineStr">
        <is>
          <t>2022-04-14</t>
        </is>
      </c>
      <c r="B19" t="n">
        <v>17</v>
      </c>
      <c r="C19" t="n">
        <v>2938</v>
      </c>
      <c r="D19" s="6" t="n">
        <v>87.40000000000001</v>
      </c>
      <c r="E19" s="6" t="n">
        <v>978360.98</v>
      </c>
      <c r="F19" s="6">
        <f>ROUND(E19-E18,2)</f>
        <v/>
      </c>
      <c r="G19" s="6">
        <f>ROUND(F19-D19,2)</f>
        <v/>
      </c>
    </row>
    <row r="20">
      <c r="A20" t="inlineStr">
        <is>
          <t>2022-04-14</t>
        </is>
      </c>
      <c r="B20" t="n">
        <v>18</v>
      </c>
      <c r="C20" t="n">
        <v>2938</v>
      </c>
      <c r="D20" s="6" t="n">
        <v>223.5</v>
      </c>
      <c r="E20" s="6" t="n">
        <v>978584.48</v>
      </c>
      <c r="F20" s="6">
        <f>ROUND(E20-E19,2)</f>
        <v/>
      </c>
      <c r="G20" s="6">
        <f>ROUND(F20-D20,2)</f>
        <v/>
      </c>
    </row>
    <row r="21">
      <c r="A21" t="inlineStr">
        <is>
          <t>2022-04-14</t>
        </is>
      </c>
      <c r="B21" t="n">
        <v>19</v>
      </c>
      <c r="C21" t="n">
        <v>2938</v>
      </c>
      <c r="D21" s="6" t="n">
        <v>51.2</v>
      </c>
      <c r="E21" s="6" t="n">
        <v>978635.6800000001</v>
      </c>
      <c r="F21" s="6">
        <f>ROUND(E21-E20,2)</f>
        <v/>
      </c>
      <c r="G21" s="6">
        <f>ROUND(F21-D21,2)</f>
        <v/>
      </c>
    </row>
    <row r="22">
      <c r="A22" t="inlineStr">
        <is>
          <t>2022-04-14</t>
        </is>
      </c>
      <c r="B22" t="n">
        <v>20</v>
      </c>
      <c r="C22" t="n">
        <v>2938</v>
      </c>
      <c r="D22" s="6" t="n">
        <v>54.5</v>
      </c>
      <c r="E22" s="6" t="n">
        <v>978690.1800000001</v>
      </c>
      <c r="F22" s="6">
        <f>ROUND(E22-E21,2)</f>
        <v/>
      </c>
      <c r="G22" s="6">
        <f>ROUND(F22-D22,2)</f>
        <v/>
      </c>
    </row>
    <row r="23">
      <c r="A23" t="inlineStr">
        <is>
          <t>2022-04-14</t>
        </is>
      </c>
      <c r="B23" t="n">
        <v>21</v>
      </c>
      <c r="C23" t="n">
        <v>2938</v>
      </c>
      <c r="D23" s="6" t="n">
        <v>27</v>
      </c>
      <c r="E23" s="6" t="n">
        <v>978717.1800000001</v>
      </c>
      <c r="F23" s="6">
        <f>ROUND(E23-E22,2)</f>
        <v/>
      </c>
      <c r="G23" s="6">
        <f>ROUND(F23-D23,2)</f>
        <v/>
      </c>
    </row>
    <row r="24">
      <c r="A24" t="inlineStr">
        <is>
          <t>2022-04-14</t>
        </is>
      </c>
      <c r="B24" t="n">
        <v>22</v>
      </c>
      <c r="C24" t="n">
        <v>2938</v>
      </c>
      <c r="D24" s="6" t="n">
        <v>13.2</v>
      </c>
      <c r="E24" s="6" t="n">
        <v>978730.38</v>
      </c>
      <c r="F24" s="6">
        <f>ROUND(E24-E23,2)</f>
        <v/>
      </c>
      <c r="G24" s="6">
        <f>ROUND(F24-D24,2)</f>
        <v/>
      </c>
    </row>
    <row r="25">
      <c r="A25" t="inlineStr">
        <is>
          <t>2022-04-14</t>
        </is>
      </c>
      <c r="B25" t="n">
        <v>23</v>
      </c>
      <c r="C25" t="n">
        <v>2938</v>
      </c>
      <c r="D25" s="6" t="n">
        <v>86.90000000000001</v>
      </c>
      <c r="E25" s="6" t="n">
        <v>978817.28</v>
      </c>
      <c r="F25" s="6">
        <f>ROUND(E25-E24,2)</f>
        <v/>
      </c>
      <c r="G25" s="6">
        <f>ROUND(F25-D25,2)</f>
        <v/>
      </c>
    </row>
    <row r="26">
      <c r="A26" t="inlineStr">
        <is>
          <t>2022-04-14</t>
        </is>
      </c>
      <c r="B26" t="n">
        <v>24</v>
      </c>
      <c r="C26" t="n">
        <v>2938</v>
      </c>
      <c r="D26" s="6" t="n">
        <v>76.8</v>
      </c>
      <c r="E26" s="6" t="n">
        <v>978894.08</v>
      </c>
      <c r="F26" s="6">
        <f>ROUND(E26-E25,2)</f>
        <v/>
      </c>
      <c r="G26" s="6">
        <f>ROUND(F26-D26,2)</f>
        <v/>
      </c>
    </row>
    <row r="27">
      <c r="A27" t="inlineStr">
        <is>
          <t>2022-04-14</t>
        </is>
      </c>
      <c r="B27" t="n">
        <v>25</v>
      </c>
      <c r="C27" t="n">
        <v>2938</v>
      </c>
      <c r="D27" s="6" t="n">
        <v>28.3</v>
      </c>
      <c r="E27" s="6" t="n">
        <v>978922.38</v>
      </c>
      <c r="F27" s="6">
        <f>ROUND(E27-E26,2)</f>
        <v/>
      </c>
      <c r="G27" s="6">
        <f>ROUND(F27-D27,2)</f>
        <v/>
      </c>
    </row>
    <row r="28">
      <c r="A28" t="inlineStr">
        <is>
          <t>2022-04-14</t>
        </is>
      </c>
      <c r="B28" t="n">
        <v>26</v>
      </c>
      <c r="C28" t="n">
        <v>2938</v>
      </c>
      <c r="D28" s="6" t="n">
        <v>23.2</v>
      </c>
      <c r="E28" s="6" t="n">
        <v>978945.58</v>
      </c>
      <c r="F28" s="6">
        <f>ROUND(E28-E27,2)</f>
        <v/>
      </c>
      <c r="G28" s="6">
        <f>ROUND(F28-D28,2)</f>
        <v/>
      </c>
    </row>
    <row r="29">
      <c r="A29" t="inlineStr">
        <is>
          <t>2022-04-14</t>
        </is>
      </c>
      <c r="B29" t="n">
        <v>27</v>
      </c>
      <c r="C29" t="n">
        <v>2938</v>
      </c>
      <c r="D29" s="6" t="n">
        <v>22.5</v>
      </c>
      <c r="E29" s="6" t="n">
        <v>978968.08</v>
      </c>
      <c r="F29" s="6">
        <f>ROUND(E29-E28,2)</f>
        <v/>
      </c>
      <c r="G29" s="6">
        <f>ROUND(F29-D29,2)</f>
        <v/>
      </c>
    </row>
    <row r="30">
      <c r="A30" t="inlineStr">
        <is>
          <t>2022-04-14</t>
        </is>
      </c>
      <c r="B30" t="n">
        <v>28</v>
      </c>
      <c r="C30" t="n">
        <v>2938</v>
      </c>
      <c r="D30" s="6" t="n">
        <v>21.5</v>
      </c>
      <c r="E30" s="6" t="n">
        <v>978989.58</v>
      </c>
      <c r="F30" s="6">
        <f>ROUND(E30-E29,2)</f>
        <v/>
      </c>
      <c r="G30" s="6">
        <f>ROUND(F30-D30,2)</f>
        <v/>
      </c>
    </row>
    <row r="31">
      <c r="A31" t="inlineStr">
        <is>
          <t>2022-04-14</t>
        </is>
      </c>
      <c r="B31" t="n">
        <v>29</v>
      </c>
      <c r="C31" t="n">
        <v>2938</v>
      </c>
      <c r="D31" s="6" t="n">
        <v>26.9</v>
      </c>
      <c r="E31" s="6" t="n">
        <v>979016.48</v>
      </c>
      <c r="F31" s="6">
        <f>ROUND(E31-E30,2)</f>
        <v/>
      </c>
      <c r="G31" s="6">
        <f>ROUND(F31-D31,2)</f>
        <v/>
      </c>
    </row>
    <row r="32">
      <c r="A32" t="inlineStr">
        <is>
          <t>2022-04-14</t>
        </is>
      </c>
      <c r="B32" t="n">
        <v>30</v>
      </c>
      <c r="C32" t="n">
        <v>2938</v>
      </c>
      <c r="D32" s="6" t="n">
        <v>43.1</v>
      </c>
      <c r="E32" s="6" t="n">
        <v>979059.58</v>
      </c>
      <c r="F32" s="6">
        <f>ROUND(E32-E31,2)</f>
        <v/>
      </c>
      <c r="G32" s="6">
        <f>ROUND(F32-D32,2)</f>
        <v/>
      </c>
    </row>
    <row r="33">
      <c r="A33" t="inlineStr">
        <is>
          <t>2022-04-14</t>
        </is>
      </c>
      <c r="B33" t="n">
        <v>31</v>
      </c>
      <c r="C33" t="n">
        <v>2938</v>
      </c>
      <c r="D33" s="6" t="n">
        <v>135.8</v>
      </c>
      <c r="E33" s="6" t="n">
        <v>979195.38</v>
      </c>
      <c r="F33" s="6">
        <f>ROUND(E33-E32,2)</f>
        <v/>
      </c>
      <c r="G33" s="6">
        <f>ROUND(F33-D33,2)</f>
        <v/>
      </c>
    </row>
    <row r="34">
      <c r="A34" t="inlineStr">
        <is>
          <t>2022-04-15</t>
        </is>
      </c>
      <c r="B34" t="n">
        <v>1</v>
      </c>
      <c r="C34" t="n">
        <v>2939</v>
      </c>
      <c r="D34" s="6" t="n">
        <v>28.8</v>
      </c>
      <c r="E34" s="6" t="n">
        <v>979224.1800000001</v>
      </c>
      <c r="F34" s="6">
        <f>ROUND(E34-E33,2)</f>
        <v/>
      </c>
      <c r="G34" s="6">
        <f>ROUND(F34-D34,2)</f>
        <v/>
      </c>
    </row>
    <row r="35">
      <c r="A35" t="inlineStr">
        <is>
          <t>2022-04-15</t>
        </is>
      </c>
      <c r="B35" t="n">
        <v>2</v>
      </c>
      <c r="C35" t="n">
        <v>2939</v>
      </c>
      <c r="D35" s="6" t="n">
        <v>66.09999999999999</v>
      </c>
      <c r="E35" s="6" t="n">
        <v>979290.28</v>
      </c>
      <c r="F35" s="6">
        <f>ROUND(E35-E34,2)</f>
        <v/>
      </c>
      <c r="G35" s="6">
        <f>ROUND(F35-D35,2)</f>
        <v/>
      </c>
    </row>
    <row r="36">
      <c r="A36" t="inlineStr">
        <is>
          <t>2022-04-15</t>
        </is>
      </c>
      <c r="B36" t="n">
        <v>3</v>
      </c>
      <c r="C36" t="n">
        <v>2939</v>
      </c>
      <c r="D36" s="6" t="n">
        <v>41.8</v>
      </c>
      <c r="E36" s="6" t="n">
        <v>979332.08</v>
      </c>
      <c r="F36" s="6">
        <f>ROUND(E36-E35,2)</f>
        <v/>
      </c>
      <c r="G36" s="6">
        <f>ROUND(F36-D36,2)</f>
        <v/>
      </c>
    </row>
    <row r="37">
      <c r="A37" t="inlineStr">
        <is>
          <t>2022-04-15</t>
        </is>
      </c>
      <c r="B37" t="n">
        <v>4</v>
      </c>
      <c r="C37" t="n">
        <v>2939</v>
      </c>
      <c r="D37" s="6" t="n">
        <v>20.8</v>
      </c>
      <c r="E37" s="6" t="n">
        <v>979352.88</v>
      </c>
      <c r="F37" s="6">
        <f>ROUND(E37-E36,2)</f>
        <v/>
      </c>
      <c r="G37" s="6">
        <f>ROUND(F37-D37,2)</f>
        <v/>
      </c>
    </row>
    <row r="38">
      <c r="A38" t="inlineStr">
        <is>
          <t>2022-04-15</t>
        </is>
      </c>
      <c r="B38" t="n">
        <v>5</v>
      </c>
      <c r="C38" t="n">
        <v>2939</v>
      </c>
      <c r="D38" s="6" t="n">
        <v>48.1</v>
      </c>
      <c r="E38" s="6" t="n">
        <v>979400.98</v>
      </c>
      <c r="F38" s="6">
        <f>ROUND(E38-E37,2)</f>
        <v/>
      </c>
      <c r="G38" s="6">
        <f>ROUND(F38-D38,2)</f>
        <v/>
      </c>
    </row>
    <row r="39">
      <c r="A39" t="inlineStr">
        <is>
          <t>2022-04-15</t>
        </is>
      </c>
      <c r="B39" t="n">
        <v>6</v>
      </c>
      <c r="C39" t="n">
        <v>2939</v>
      </c>
      <c r="D39" s="6" t="n">
        <v>52.1</v>
      </c>
      <c r="E39" s="6" t="n">
        <v>979453.08</v>
      </c>
      <c r="F39" s="6">
        <f>ROUND(E39-E38,2)</f>
        <v/>
      </c>
      <c r="G39" s="6">
        <f>ROUND(F39-D39,2)</f>
        <v/>
      </c>
    </row>
    <row r="40">
      <c r="A40" t="inlineStr">
        <is>
          <t>2022-04-15</t>
        </is>
      </c>
      <c r="B40" t="n">
        <v>7</v>
      </c>
      <c r="C40" t="n">
        <v>2939</v>
      </c>
      <c r="D40" s="6" t="n">
        <v>40.2</v>
      </c>
      <c r="E40" s="6" t="n">
        <v>979493.28</v>
      </c>
      <c r="F40" s="6">
        <f>ROUND(E40-E39,2)</f>
        <v/>
      </c>
      <c r="G40" s="6">
        <f>ROUND(F40-D40,2)</f>
        <v/>
      </c>
    </row>
    <row r="41">
      <c r="A41" t="inlineStr">
        <is>
          <t>2022-04-15</t>
        </is>
      </c>
      <c r="B41" t="n">
        <v>8</v>
      </c>
      <c r="C41" t="n">
        <v>2939</v>
      </c>
      <c r="D41" s="6" t="n">
        <v>87.5</v>
      </c>
      <c r="E41" s="6" t="n">
        <v>979580.78</v>
      </c>
      <c r="F41" s="6">
        <f>ROUND(E41-E40,2)</f>
        <v/>
      </c>
      <c r="G41" s="6">
        <f>ROUND(F41-D41,2)</f>
        <v/>
      </c>
    </row>
    <row r="42">
      <c r="A42" t="inlineStr">
        <is>
          <t>2022-04-15</t>
        </is>
      </c>
      <c r="B42" t="n">
        <v>9</v>
      </c>
      <c r="C42" t="n">
        <v>2939</v>
      </c>
      <c r="D42" s="6" t="n">
        <v>40.9</v>
      </c>
      <c r="E42" s="6" t="n">
        <v>979621.6800000001</v>
      </c>
      <c r="F42" s="6">
        <f>ROUND(E42-E41,2)</f>
        <v/>
      </c>
      <c r="G42" s="6">
        <f>ROUND(F42-D42,2)</f>
        <v/>
      </c>
    </row>
    <row r="43">
      <c r="A43" t="inlineStr">
        <is>
          <t>2022-04-15</t>
        </is>
      </c>
      <c r="B43" t="n">
        <v>10</v>
      </c>
      <c r="C43" t="n">
        <v>2939</v>
      </c>
      <c r="D43" s="6" t="n">
        <v>25.1</v>
      </c>
      <c r="E43" s="6" t="n">
        <v>979646.78</v>
      </c>
      <c r="F43" s="6">
        <f>ROUND(E43-E42,2)</f>
        <v/>
      </c>
      <c r="G43" s="6">
        <f>ROUND(F43-D43,2)</f>
        <v/>
      </c>
    </row>
    <row r="44">
      <c r="A44" t="inlineStr">
        <is>
          <t>2022-04-15</t>
        </is>
      </c>
      <c r="B44" t="n">
        <v>11</v>
      </c>
      <c r="C44" t="n">
        <v>2939</v>
      </c>
      <c r="D44" s="6" t="n">
        <v>98.8</v>
      </c>
      <c r="E44" s="6" t="n">
        <v>979745.58</v>
      </c>
      <c r="F44" s="6">
        <f>ROUND(E44-E43,2)</f>
        <v/>
      </c>
      <c r="G44" s="6">
        <f>ROUND(F44-D44,2)</f>
        <v/>
      </c>
    </row>
    <row r="45">
      <c r="A45" t="inlineStr">
        <is>
          <t>2022-04-15</t>
        </is>
      </c>
      <c r="B45" t="n">
        <v>12</v>
      </c>
      <c r="C45" t="n">
        <v>2939</v>
      </c>
      <c r="D45" s="6" t="n">
        <v>99.5</v>
      </c>
      <c r="E45" s="6" t="n">
        <v>979845.08</v>
      </c>
      <c r="F45" s="6">
        <f>ROUND(E45-E44,2)</f>
        <v/>
      </c>
      <c r="G45" s="6">
        <f>ROUND(F45-D45,2)</f>
        <v/>
      </c>
    </row>
    <row r="46">
      <c r="A46" t="inlineStr">
        <is>
          <t>2022-04-15</t>
        </is>
      </c>
      <c r="B46" t="n">
        <v>13</v>
      </c>
      <c r="C46" t="n">
        <v>2939</v>
      </c>
      <c r="D46" s="6" t="n">
        <v>102.3</v>
      </c>
      <c r="E46" s="6" t="n">
        <v>979947.38</v>
      </c>
      <c r="F46" s="6">
        <f>ROUND(E46-E45,2)</f>
        <v/>
      </c>
      <c r="G46" s="6">
        <f>ROUND(F46-D46,2)</f>
        <v/>
      </c>
    </row>
    <row r="47">
      <c r="A47" t="inlineStr">
        <is>
          <t>2022-04-15</t>
        </is>
      </c>
      <c r="B47" t="n">
        <v>14</v>
      </c>
      <c r="C47" t="n">
        <v>2939</v>
      </c>
      <c r="D47" s="6" t="n">
        <v>31.2</v>
      </c>
      <c r="E47" s="6" t="n">
        <v>979978.58</v>
      </c>
      <c r="F47" s="6">
        <f>ROUND(E47-E46,2)</f>
        <v/>
      </c>
      <c r="G47" s="6">
        <f>ROUND(F47-D47,2)</f>
        <v/>
      </c>
    </row>
    <row r="48">
      <c r="A48" t="inlineStr">
        <is>
          <t>2022-04-15</t>
        </is>
      </c>
      <c r="B48" t="n">
        <v>15</v>
      </c>
      <c r="C48" t="n">
        <v>2939</v>
      </c>
      <c r="D48" s="6" t="n">
        <v>70.7</v>
      </c>
      <c r="E48" s="6" t="n">
        <v>980049.28</v>
      </c>
      <c r="F48" s="6">
        <f>ROUND(E48-E47,2)</f>
        <v/>
      </c>
      <c r="G48" s="6">
        <f>ROUND(F48-D48,2)</f>
        <v/>
      </c>
    </row>
    <row r="49">
      <c r="A49" t="inlineStr">
        <is>
          <t>2022-04-15</t>
        </is>
      </c>
      <c r="B49" t="n">
        <v>16</v>
      </c>
      <c r="C49" t="n">
        <v>2939</v>
      </c>
      <c r="D49" s="6" t="n">
        <v>17.9</v>
      </c>
      <c r="E49" s="6" t="n">
        <v>980067.1800000001</v>
      </c>
      <c r="F49" s="6">
        <f>ROUND(E49-E48,2)</f>
        <v/>
      </c>
      <c r="G49" s="6">
        <f>ROUND(F49-D49,2)</f>
        <v/>
      </c>
    </row>
    <row r="50">
      <c r="A50" t="inlineStr">
        <is>
          <t>2022-04-15</t>
        </is>
      </c>
      <c r="B50" t="n">
        <v>17</v>
      </c>
      <c r="C50" t="n">
        <v>2939</v>
      </c>
      <c r="D50" s="6" t="n">
        <v>72.90000000000001</v>
      </c>
      <c r="E50" s="6" t="n">
        <v>980140.08</v>
      </c>
      <c r="F50" s="6">
        <f>ROUND(E50-E49,2)</f>
        <v/>
      </c>
      <c r="G50" s="6">
        <f>ROUND(F50-D50,2)</f>
        <v/>
      </c>
    </row>
    <row r="51">
      <c r="A51" t="inlineStr">
        <is>
          <t>2022-04-15</t>
        </is>
      </c>
      <c r="B51" t="n">
        <v>18</v>
      </c>
      <c r="C51" t="n">
        <v>2939</v>
      </c>
      <c r="D51" s="6" t="n">
        <v>254.3</v>
      </c>
      <c r="E51" s="6" t="n">
        <v>980394.38</v>
      </c>
      <c r="F51" s="6">
        <f>ROUND(E51-E50,2)</f>
        <v/>
      </c>
      <c r="G51" s="6">
        <f>ROUND(F51-D51,2)</f>
        <v/>
      </c>
    </row>
    <row r="52">
      <c r="A52" t="inlineStr">
        <is>
          <t>2022-04-15</t>
        </is>
      </c>
      <c r="B52" t="n">
        <v>19</v>
      </c>
      <c r="C52" t="n">
        <v>2939</v>
      </c>
      <c r="D52" s="6" t="n">
        <v>74.90000000000001</v>
      </c>
      <c r="E52" s="6" t="n">
        <v>980469.28</v>
      </c>
      <c r="F52" s="6">
        <f>ROUND(E52-E51,2)</f>
        <v/>
      </c>
      <c r="G52" s="6">
        <f>ROUND(F52-D52,2)</f>
        <v/>
      </c>
    </row>
    <row r="53">
      <c r="A53" t="inlineStr">
        <is>
          <t>2022-04-15</t>
        </is>
      </c>
      <c r="B53" t="n">
        <v>20</v>
      </c>
      <c r="C53" t="n">
        <v>2939</v>
      </c>
      <c r="D53" s="6" t="n">
        <v>57.4</v>
      </c>
      <c r="E53" s="6" t="n">
        <v>980526.6800000001</v>
      </c>
      <c r="F53" s="6">
        <f>ROUND(E53-E52,2)</f>
        <v/>
      </c>
      <c r="G53" s="6">
        <f>ROUND(F53-D53,2)</f>
        <v/>
      </c>
    </row>
    <row r="54">
      <c r="A54" t="inlineStr">
        <is>
          <t>2022-04-15</t>
        </is>
      </c>
      <c r="B54" t="n">
        <v>21</v>
      </c>
      <c r="C54" t="n">
        <v>2939</v>
      </c>
      <c r="D54" s="6" t="n">
        <v>67.7</v>
      </c>
      <c r="E54" s="6" t="n">
        <v>980594.38</v>
      </c>
      <c r="F54" s="6">
        <f>ROUND(E54-E53,2)</f>
        <v/>
      </c>
      <c r="G54" s="6">
        <f>ROUND(F54-D54,2)</f>
        <v/>
      </c>
    </row>
    <row r="55">
      <c r="A55" t="inlineStr">
        <is>
          <t>2022-04-15</t>
        </is>
      </c>
      <c r="B55" t="n">
        <v>22</v>
      </c>
      <c r="C55" t="n">
        <v>2939</v>
      </c>
      <c r="D55" s="6" t="n">
        <v>136.9</v>
      </c>
      <c r="E55" s="6" t="n">
        <v>980731.28</v>
      </c>
      <c r="F55" s="6">
        <f>ROUND(E55-E54,2)</f>
        <v/>
      </c>
      <c r="G55" s="6">
        <f>ROUND(F55-D55,2)</f>
        <v/>
      </c>
    </row>
    <row r="56">
      <c r="A56" t="inlineStr">
        <is>
          <t>2022-04-15</t>
        </is>
      </c>
      <c r="B56" t="n">
        <v>23</v>
      </c>
      <c r="C56" t="n">
        <v>2939</v>
      </c>
      <c r="D56" s="6" t="n">
        <v>39.6</v>
      </c>
      <c r="E56" s="6" t="n">
        <v>980770.88</v>
      </c>
      <c r="F56" s="6">
        <f>ROUND(E56-E55,2)</f>
        <v/>
      </c>
      <c r="G56" s="6">
        <f>ROUND(F56-D56,2)</f>
        <v/>
      </c>
    </row>
    <row r="57">
      <c r="A57" t="inlineStr">
        <is>
          <t>2022-04-15</t>
        </is>
      </c>
      <c r="B57" t="n">
        <v>24</v>
      </c>
      <c r="C57" t="n">
        <v>2939</v>
      </c>
      <c r="D57" s="6" t="n">
        <v>77.40000000000001</v>
      </c>
      <c r="E57" s="6" t="n">
        <v>980848.28</v>
      </c>
      <c r="F57" s="6">
        <f>ROUND(E57-E56,2)</f>
        <v/>
      </c>
      <c r="G57" s="6">
        <f>ROUND(F57-D57,2)</f>
        <v/>
      </c>
    </row>
    <row r="58">
      <c r="A58" t="inlineStr">
        <is>
          <t>2022-04-15</t>
        </is>
      </c>
      <c r="B58" t="n">
        <v>25</v>
      </c>
      <c r="C58" t="n">
        <v>2939</v>
      </c>
      <c r="D58" s="6" t="n">
        <v>41</v>
      </c>
      <c r="E58" s="6" t="n">
        <v>980889.28</v>
      </c>
      <c r="F58" s="6">
        <f>ROUND(E58-E57,2)</f>
        <v/>
      </c>
      <c r="G58" s="6">
        <f>ROUND(F58-D58,2)</f>
        <v/>
      </c>
    </row>
    <row r="59">
      <c r="A59" t="inlineStr">
        <is>
          <t>2022-04-15</t>
        </is>
      </c>
      <c r="B59" t="n">
        <v>26</v>
      </c>
      <c r="C59" t="n">
        <v>2939</v>
      </c>
      <c r="D59" s="6" t="n">
        <v>99.8</v>
      </c>
      <c r="E59" s="6" t="n">
        <v>980989.08</v>
      </c>
      <c r="F59" s="6">
        <f>ROUND(E59-E58,2)</f>
        <v/>
      </c>
      <c r="G59" s="6">
        <f>ROUND(F59-D59,2)</f>
        <v/>
      </c>
    </row>
    <row r="60">
      <c r="A60" t="inlineStr">
        <is>
          <t>2022-04-16</t>
        </is>
      </c>
      <c r="B60" t="n">
        <v>1</v>
      </c>
      <c r="C60" t="n">
        <v>2940</v>
      </c>
      <c r="D60" s="6" t="n">
        <v>67.2</v>
      </c>
      <c r="E60" s="6" t="n">
        <v>981056.28</v>
      </c>
      <c r="F60" s="6">
        <f>ROUND(E60-E59,2)</f>
        <v/>
      </c>
      <c r="G60" s="6">
        <f>ROUND(F60-D60,2)</f>
        <v/>
      </c>
    </row>
    <row r="61">
      <c r="A61" t="inlineStr">
        <is>
          <t>2022-04-16</t>
        </is>
      </c>
      <c r="B61" t="n">
        <v>2</v>
      </c>
      <c r="C61" t="n">
        <v>2940</v>
      </c>
      <c r="D61" s="6" t="n">
        <v>46.2</v>
      </c>
      <c r="E61" s="6" t="n">
        <v>981102.48</v>
      </c>
      <c r="F61" s="6">
        <f>ROUND(E61-E60,2)</f>
        <v/>
      </c>
      <c r="G61" s="6">
        <f>ROUND(F61-D61,2)</f>
        <v/>
      </c>
    </row>
    <row r="62">
      <c r="A62" t="inlineStr">
        <is>
          <t>2022-04-16</t>
        </is>
      </c>
      <c r="B62" t="n">
        <v>3</v>
      </c>
      <c r="C62" t="n">
        <v>2940</v>
      </c>
      <c r="D62" s="6" t="n">
        <v>48.5</v>
      </c>
      <c r="E62" s="6" t="n">
        <v>981150.98</v>
      </c>
      <c r="F62" s="6">
        <f>ROUND(E62-E61,2)</f>
        <v/>
      </c>
      <c r="G62" s="6">
        <f>ROUND(F62-D62,2)</f>
        <v/>
      </c>
    </row>
    <row r="63">
      <c r="A63" t="inlineStr">
        <is>
          <t>2022-04-16</t>
        </is>
      </c>
      <c r="B63" t="n">
        <v>4</v>
      </c>
      <c r="C63" t="n">
        <v>2940</v>
      </c>
      <c r="D63" s="6" t="n">
        <v>59.6</v>
      </c>
      <c r="E63" s="6" t="n">
        <v>981210.58</v>
      </c>
      <c r="F63" s="6">
        <f>ROUND(E63-E62,2)</f>
        <v/>
      </c>
      <c r="G63" s="6">
        <f>ROUND(F63-D63,2)</f>
        <v/>
      </c>
    </row>
    <row r="64">
      <c r="A64" t="inlineStr">
        <is>
          <t>2022-04-16</t>
        </is>
      </c>
      <c r="B64" t="n">
        <v>5</v>
      </c>
      <c r="C64" t="n">
        <v>2940</v>
      </c>
      <c r="D64" s="6" t="n">
        <v>53.1</v>
      </c>
      <c r="E64" s="6" t="n">
        <v>981263.6800000001</v>
      </c>
      <c r="F64" s="6">
        <f>ROUND(E64-E63,2)</f>
        <v/>
      </c>
      <c r="G64" s="6">
        <f>ROUND(F64-D64,2)</f>
        <v/>
      </c>
    </row>
    <row r="65">
      <c r="A65" t="inlineStr">
        <is>
          <t>2022-04-16</t>
        </is>
      </c>
      <c r="B65" t="n">
        <v>6</v>
      </c>
      <c r="C65" t="n">
        <v>2940</v>
      </c>
      <c r="D65" s="6" t="n">
        <v>32.7</v>
      </c>
      <c r="E65" s="6" t="n">
        <v>981296.38</v>
      </c>
      <c r="F65" s="6">
        <f>ROUND(E65-E64,2)</f>
        <v/>
      </c>
      <c r="G65" s="6">
        <f>ROUND(F65-D65,2)</f>
        <v/>
      </c>
    </row>
    <row r="66">
      <c r="A66" t="inlineStr">
        <is>
          <t>2022-04-16</t>
        </is>
      </c>
      <c r="B66" t="n">
        <v>7</v>
      </c>
      <c r="C66" t="n">
        <v>2940</v>
      </c>
      <c r="D66" s="6" t="n">
        <v>59.3</v>
      </c>
      <c r="E66" s="6" t="n">
        <v>981355.6800000001</v>
      </c>
      <c r="F66" s="6">
        <f>ROUND(E66-E65,2)</f>
        <v/>
      </c>
      <c r="G66" s="6">
        <f>ROUND(F66-D66,2)</f>
        <v/>
      </c>
    </row>
    <row r="67">
      <c r="A67" t="inlineStr">
        <is>
          <t>2022-04-16</t>
        </is>
      </c>
      <c r="B67" t="n">
        <v>8</v>
      </c>
      <c r="C67" t="n">
        <v>2940</v>
      </c>
      <c r="D67" s="6" t="n">
        <v>100.8</v>
      </c>
      <c r="E67" s="6" t="n">
        <v>981456.48</v>
      </c>
      <c r="F67" s="6">
        <f>ROUND(E67-E66,2)</f>
        <v/>
      </c>
      <c r="G67" s="6">
        <f>ROUND(F67-D67,2)</f>
        <v/>
      </c>
    </row>
    <row r="68">
      <c r="A68" t="inlineStr">
        <is>
          <t>2022-04-16</t>
        </is>
      </c>
      <c r="B68" t="n">
        <v>9</v>
      </c>
      <c r="C68" t="n">
        <v>2940</v>
      </c>
      <c r="D68" s="6" t="n">
        <v>62.6</v>
      </c>
      <c r="E68" s="6" t="n">
        <v>981519.08</v>
      </c>
      <c r="F68" s="6">
        <f>ROUND(E68-E67,2)</f>
        <v/>
      </c>
      <c r="G68" s="6">
        <f>ROUND(F68-D68,2)</f>
        <v/>
      </c>
    </row>
    <row r="69">
      <c r="A69" t="inlineStr">
        <is>
          <t>2022-04-16</t>
        </is>
      </c>
      <c r="B69" t="n">
        <v>10</v>
      </c>
      <c r="C69" t="n">
        <v>2940</v>
      </c>
      <c r="D69" s="6" t="n">
        <v>50.5</v>
      </c>
      <c r="E69" s="6" t="n">
        <v>981569.58</v>
      </c>
      <c r="F69" s="6">
        <f>ROUND(E69-E68,2)</f>
        <v/>
      </c>
      <c r="G69" s="6">
        <f>ROUND(F69-D69,2)</f>
        <v/>
      </c>
    </row>
    <row r="70">
      <c r="A70" t="inlineStr">
        <is>
          <t>2022-04-16</t>
        </is>
      </c>
      <c r="B70" t="n">
        <v>11</v>
      </c>
      <c r="C70" t="n">
        <v>2940</v>
      </c>
      <c r="D70" s="6" t="n">
        <v>179</v>
      </c>
      <c r="E70" s="6" t="n">
        <v>981748.58</v>
      </c>
      <c r="F70" s="6">
        <f>ROUND(E70-E69,2)</f>
        <v/>
      </c>
      <c r="G70" s="6">
        <f>ROUND(F70-D70,2)</f>
        <v/>
      </c>
    </row>
    <row r="71">
      <c r="A71" t="inlineStr">
        <is>
          <t>2022-04-16</t>
        </is>
      </c>
      <c r="B71" t="n">
        <v>12</v>
      </c>
      <c r="C71" t="n">
        <v>2940</v>
      </c>
      <c r="D71" s="6" t="n">
        <v>46.8</v>
      </c>
      <c r="E71" s="6" t="n">
        <v>981795.38</v>
      </c>
      <c r="F71" s="6">
        <f>ROUND(E71-E70,2)</f>
        <v/>
      </c>
      <c r="G71" s="6">
        <f>ROUND(F71-D71,2)</f>
        <v/>
      </c>
    </row>
    <row r="72">
      <c r="A72" t="inlineStr">
        <is>
          <t>2022-04-16</t>
        </is>
      </c>
      <c r="B72" t="n">
        <v>13</v>
      </c>
      <c r="C72" t="n">
        <v>2940</v>
      </c>
      <c r="D72" s="6" t="n">
        <v>47.2</v>
      </c>
      <c r="E72" s="6" t="n">
        <v>981842.58</v>
      </c>
      <c r="F72" s="6">
        <f>ROUND(E72-E71,2)</f>
        <v/>
      </c>
      <c r="G72" s="6">
        <f>ROUND(F72-D72,2)</f>
        <v/>
      </c>
    </row>
    <row r="73">
      <c r="A73" t="inlineStr">
        <is>
          <t>2022-04-16</t>
        </is>
      </c>
      <c r="B73" t="n">
        <v>14</v>
      </c>
      <c r="C73" t="n">
        <v>2940</v>
      </c>
      <c r="D73" s="6" t="n">
        <v>31.8</v>
      </c>
      <c r="E73" s="6" t="n">
        <v>981874.38</v>
      </c>
      <c r="F73" s="6">
        <f>ROUND(E73-E72,2)</f>
        <v/>
      </c>
      <c r="G73" s="6">
        <f>ROUND(F73-D73,2)</f>
        <v/>
      </c>
    </row>
    <row r="74">
      <c r="A74" t="inlineStr">
        <is>
          <t>2022-04-16</t>
        </is>
      </c>
      <c r="B74" t="n">
        <v>15</v>
      </c>
      <c r="C74" t="n">
        <v>2940</v>
      </c>
      <c r="D74" s="6" t="n">
        <v>16.8</v>
      </c>
      <c r="E74" s="6" t="n">
        <v>981891.1800000001</v>
      </c>
      <c r="F74" s="6">
        <f>ROUND(E74-E73,2)</f>
        <v/>
      </c>
      <c r="G74" s="6">
        <f>ROUND(F74-D74,2)</f>
        <v/>
      </c>
    </row>
    <row r="75">
      <c r="A75" t="inlineStr">
        <is>
          <t>2022-04-16</t>
        </is>
      </c>
      <c r="B75" t="n">
        <v>16</v>
      </c>
      <c r="C75" t="n">
        <v>2940</v>
      </c>
      <c r="D75" s="6" t="n">
        <v>50.5</v>
      </c>
      <c r="E75" s="6" t="n">
        <v>981941.6800000001</v>
      </c>
      <c r="F75" s="6">
        <f>ROUND(E75-E74,2)</f>
        <v/>
      </c>
      <c r="G75" s="6">
        <f>ROUND(F75-D75,2)</f>
        <v/>
      </c>
    </row>
    <row r="76">
      <c r="A76" t="inlineStr">
        <is>
          <t>2022-04-16</t>
        </is>
      </c>
      <c r="B76" t="n">
        <v>17</v>
      </c>
      <c r="C76" t="n">
        <v>2940</v>
      </c>
      <c r="D76" s="6" t="n">
        <v>50.5</v>
      </c>
      <c r="E76" s="6" t="n">
        <v>981992.1800000001</v>
      </c>
      <c r="F76" s="6">
        <f>ROUND(E76-E75,2)</f>
        <v/>
      </c>
      <c r="G76" s="6">
        <f>ROUND(F76-D76,2)</f>
        <v/>
      </c>
    </row>
    <row r="77">
      <c r="A77" t="inlineStr">
        <is>
          <t>2022-04-16</t>
        </is>
      </c>
      <c r="B77" t="n">
        <v>18</v>
      </c>
      <c r="C77" t="n">
        <v>2940</v>
      </c>
      <c r="D77" s="6" t="n">
        <v>100.9</v>
      </c>
      <c r="E77" s="6" t="n">
        <v>982093.08</v>
      </c>
      <c r="F77" s="6">
        <f>ROUND(E77-E76,2)</f>
        <v/>
      </c>
      <c r="G77" s="6">
        <f>ROUND(F77-D77,2)</f>
        <v/>
      </c>
    </row>
    <row r="78">
      <c r="A78" t="inlineStr">
        <is>
          <t>2022-04-16</t>
        </is>
      </c>
      <c r="B78" t="n">
        <v>19</v>
      </c>
      <c r="C78" t="n">
        <v>2940</v>
      </c>
      <c r="D78" s="6" t="n">
        <v>51</v>
      </c>
      <c r="E78" s="6" t="n">
        <v>982144.08</v>
      </c>
      <c r="F78" s="6">
        <f>ROUND(E78-E77,2)</f>
        <v/>
      </c>
      <c r="G78" s="6">
        <f>ROUND(F78-D78,2)</f>
        <v/>
      </c>
    </row>
    <row r="79">
      <c r="A79" t="inlineStr">
        <is>
          <t>2022-04-16</t>
        </is>
      </c>
      <c r="B79" t="n">
        <v>20</v>
      </c>
      <c r="C79" t="n">
        <v>2940</v>
      </c>
      <c r="D79" s="6" t="n">
        <v>36.7</v>
      </c>
      <c r="E79" s="6" t="n">
        <v>982180.78</v>
      </c>
      <c r="F79" s="6">
        <f>ROUND(E79-E78,2)</f>
        <v/>
      </c>
      <c r="G79" s="6">
        <f>ROUND(F79-D79,2)</f>
        <v/>
      </c>
    </row>
    <row r="80">
      <c r="A80" t="inlineStr">
        <is>
          <t>2022-04-16</t>
        </is>
      </c>
      <c r="B80" t="n">
        <v>21</v>
      </c>
      <c r="C80" t="n">
        <v>2940</v>
      </c>
      <c r="D80" s="6" t="n">
        <v>20.8</v>
      </c>
      <c r="E80" s="6" t="n">
        <v>982201.58</v>
      </c>
      <c r="F80" s="6">
        <f>ROUND(E80-E79,2)</f>
        <v/>
      </c>
      <c r="G80" s="6">
        <f>ROUND(F80-D80,2)</f>
        <v/>
      </c>
    </row>
    <row r="81">
      <c r="A81" t="inlineStr">
        <is>
          <t>2022-04-16</t>
        </is>
      </c>
      <c r="B81" t="n">
        <v>22</v>
      </c>
      <c r="C81" t="n">
        <v>2940</v>
      </c>
      <c r="D81" s="6" t="n">
        <v>172.6</v>
      </c>
      <c r="E81" s="6" t="n">
        <v>982374.1800000001</v>
      </c>
      <c r="F81" s="6">
        <f>ROUND(E81-E80,2)</f>
        <v/>
      </c>
      <c r="G81" s="6">
        <f>ROUND(F81-D81,2)</f>
        <v/>
      </c>
    </row>
    <row r="82">
      <c r="A82" t="inlineStr">
        <is>
          <t>2022-04-16</t>
        </is>
      </c>
      <c r="B82" t="n">
        <v>23</v>
      </c>
      <c r="C82" t="n">
        <v>2940</v>
      </c>
      <c r="D82" s="6" t="n">
        <v>34.4</v>
      </c>
      <c r="E82" s="6" t="n">
        <v>982408.58</v>
      </c>
      <c r="F82" s="6">
        <f>ROUND(E82-E81,2)</f>
        <v/>
      </c>
      <c r="G82" s="6">
        <f>ROUND(F82-D82,2)</f>
        <v/>
      </c>
    </row>
    <row r="83">
      <c r="A83" t="inlineStr">
        <is>
          <t>2022-04-16</t>
        </is>
      </c>
      <c r="B83" t="n">
        <v>24</v>
      </c>
      <c r="C83" t="n">
        <v>2940</v>
      </c>
      <c r="D83" s="6" t="n">
        <v>34.4</v>
      </c>
      <c r="E83" s="6" t="n">
        <v>982442.98</v>
      </c>
      <c r="F83" s="6">
        <f>ROUND(E83-E82,2)</f>
        <v/>
      </c>
      <c r="G83" s="6">
        <f>ROUND(F83-D83,2)</f>
        <v/>
      </c>
    </row>
    <row r="84">
      <c r="A84" t="inlineStr">
        <is>
          <t>2022-04-16</t>
        </is>
      </c>
      <c r="B84" t="n">
        <v>25</v>
      </c>
      <c r="C84" t="n">
        <v>2940</v>
      </c>
      <c r="D84" s="6" t="n">
        <v>34.3</v>
      </c>
      <c r="E84" s="6" t="n">
        <v>982477.28</v>
      </c>
      <c r="F84" s="6">
        <f>ROUND(E84-E83,2)</f>
        <v/>
      </c>
      <c r="G84" s="6">
        <f>ROUND(F84-D84,2)</f>
        <v/>
      </c>
    </row>
    <row r="85">
      <c r="A85" t="inlineStr">
        <is>
          <t>2022-04-16</t>
        </is>
      </c>
      <c r="B85" t="n">
        <v>26</v>
      </c>
      <c r="C85" t="n">
        <v>2940</v>
      </c>
      <c r="D85" s="6" t="n">
        <v>49.5</v>
      </c>
      <c r="E85" s="6" t="n">
        <v>982526.78</v>
      </c>
      <c r="F85" s="6">
        <f>ROUND(E85-E84,2)</f>
        <v/>
      </c>
      <c r="G85" s="6">
        <f>ROUND(F85-D85,2)</f>
        <v/>
      </c>
    </row>
    <row r="86">
      <c r="A86" t="inlineStr">
        <is>
          <t>2022-04-16</t>
        </is>
      </c>
      <c r="B86" t="n">
        <v>27</v>
      </c>
      <c r="C86" t="n">
        <v>2940</v>
      </c>
      <c r="D86" s="6" t="n">
        <v>108.5</v>
      </c>
      <c r="E86" s="6" t="n">
        <v>982635.28</v>
      </c>
      <c r="F86" s="6">
        <f>ROUND(E86-E85,2)</f>
        <v/>
      </c>
      <c r="G86" s="6">
        <f>ROUND(F86-D86,2)</f>
        <v/>
      </c>
    </row>
    <row r="87">
      <c r="A87" t="inlineStr">
        <is>
          <t>2022-04-16</t>
        </is>
      </c>
      <c r="B87" t="n">
        <v>28</v>
      </c>
      <c r="C87" t="n">
        <v>2940</v>
      </c>
      <c r="D87" s="6" t="n">
        <v>157.6</v>
      </c>
      <c r="E87" s="6" t="n">
        <v>982792.88</v>
      </c>
      <c r="F87" s="6">
        <f>ROUND(E87-E86,2)</f>
        <v/>
      </c>
      <c r="G87" s="6">
        <f>ROUND(F87-D87,2)</f>
        <v/>
      </c>
    </row>
    <row r="88">
      <c r="A88" t="inlineStr">
        <is>
          <t>2022-04-16</t>
        </is>
      </c>
      <c r="B88" t="n">
        <v>29</v>
      </c>
      <c r="C88" t="n">
        <v>2940</v>
      </c>
      <c r="D88" s="6" t="n">
        <v>64.59999999999999</v>
      </c>
      <c r="E88" s="6" t="n">
        <v>982857.48</v>
      </c>
      <c r="F88" s="6">
        <f>ROUND(E88-E87,2)</f>
        <v/>
      </c>
      <c r="G88" s="6">
        <f>ROUND(F88-D88,2)</f>
        <v/>
      </c>
    </row>
    <row r="89">
      <c r="A89" t="inlineStr">
        <is>
          <t>2022-04-16</t>
        </is>
      </c>
      <c r="B89" t="n">
        <v>30</v>
      </c>
      <c r="C89" t="n">
        <v>2940</v>
      </c>
      <c r="D89" s="6" t="n">
        <v>77.90000000000001</v>
      </c>
      <c r="E89" s="6" t="n">
        <v>982935.38</v>
      </c>
      <c r="F89" s="6">
        <f>ROUND(E89-E88,2)</f>
        <v/>
      </c>
      <c r="G89" s="6">
        <f>ROUND(F89-D89,2)</f>
        <v/>
      </c>
    </row>
    <row r="90">
      <c r="A90" t="inlineStr">
        <is>
          <t>2022-04-16</t>
        </is>
      </c>
      <c r="B90" t="n">
        <v>31</v>
      </c>
      <c r="C90" t="n">
        <v>2940</v>
      </c>
      <c r="D90" s="6" t="n">
        <v>53.4</v>
      </c>
      <c r="E90" s="6" t="n">
        <v>982988.78</v>
      </c>
      <c r="F90" s="6">
        <f>ROUND(E90-E89,2)</f>
        <v/>
      </c>
      <c r="G90" s="6">
        <f>ROUND(F90-D90,2)</f>
        <v/>
      </c>
    </row>
    <row r="91">
      <c r="A91" t="inlineStr">
        <is>
          <t>2022-04-16</t>
        </is>
      </c>
      <c r="B91" t="n">
        <v>32</v>
      </c>
      <c r="C91" t="n">
        <v>2940</v>
      </c>
      <c r="D91" s="6" t="n">
        <v>107.4</v>
      </c>
      <c r="E91" s="6" t="n">
        <v>983096.1800000001</v>
      </c>
      <c r="F91" s="6">
        <f>ROUND(E91-E90,2)</f>
        <v/>
      </c>
      <c r="G91" s="6">
        <f>ROUND(F91-D91,2)</f>
        <v/>
      </c>
    </row>
    <row r="92">
      <c r="A92" t="inlineStr">
        <is>
          <t>2022-04-17</t>
        </is>
      </c>
      <c r="B92" t="n">
        <v>1</v>
      </c>
      <c r="C92" t="n">
        <v>2941</v>
      </c>
      <c r="D92" s="6" t="n">
        <v>49.1</v>
      </c>
      <c r="E92" s="6" t="n">
        <v>983145.28</v>
      </c>
      <c r="F92" s="6">
        <f>ROUND(E92-E91,2)</f>
        <v/>
      </c>
      <c r="G92" s="6">
        <f>ROUND(F92-D92,2)</f>
        <v/>
      </c>
    </row>
    <row r="93">
      <c r="A93" t="inlineStr">
        <is>
          <t>2022-04-17</t>
        </is>
      </c>
      <c r="B93" t="n">
        <v>2</v>
      </c>
      <c r="C93" t="n">
        <v>2941</v>
      </c>
      <c r="D93" s="6" t="n">
        <v>107.2</v>
      </c>
      <c r="E93" s="6" t="n">
        <v>983252.48</v>
      </c>
      <c r="F93" s="6">
        <f>ROUND(E93-E92,2)</f>
        <v/>
      </c>
      <c r="G93" s="6">
        <f>ROUND(F93-D93,2)</f>
        <v/>
      </c>
    </row>
    <row r="94">
      <c r="A94" t="inlineStr">
        <is>
          <t>2022-04-17</t>
        </is>
      </c>
      <c r="B94" t="n">
        <v>3</v>
      </c>
      <c r="C94" t="n">
        <v>2941</v>
      </c>
      <c r="D94" s="6" t="n">
        <v>73.09999999999999</v>
      </c>
      <c r="E94" s="6" t="n">
        <v>983325.58</v>
      </c>
      <c r="F94" s="6">
        <f>ROUND(E94-E93,2)</f>
        <v/>
      </c>
      <c r="G94" s="6">
        <f>ROUND(F94-D94,2)</f>
        <v/>
      </c>
    </row>
    <row r="95">
      <c r="A95" t="inlineStr">
        <is>
          <t>2022-04-17</t>
        </is>
      </c>
      <c r="B95" t="n">
        <v>4</v>
      </c>
      <c r="C95" t="n">
        <v>2941</v>
      </c>
      <c r="D95" s="6" t="n">
        <v>73.59999999999999</v>
      </c>
      <c r="E95" s="6" t="n">
        <v>983399.1800000001</v>
      </c>
      <c r="F95" s="6">
        <f>ROUND(E95-E94,2)</f>
        <v/>
      </c>
      <c r="G95" s="6">
        <f>ROUND(F95-D95,2)</f>
        <v/>
      </c>
    </row>
    <row r="96">
      <c r="A96" t="inlineStr">
        <is>
          <t>2022-04-17</t>
        </is>
      </c>
      <c r="B96" t="n">
        <v>5</v>
      </c>
      <c r="C96" t="n">
        <v>2941</v>
      </c>
      <c r="D96" s="6" t="n">
        <v>96.90000000000001</v>
      </c>
      <c r="E96" s="6" t="n">
        <v>983496.08</v>
      </c>
      <c r="F96" s="6">
        <f>ROUND(E96-E95,2)</f>
        <v/>
      </c>
      <c r="G96" s="6">
        <f>ROUND(F96-D96,2)</f>
        <v/>
      </c>
    </row>
    <row r="97">
      <c r="A97" t="inlineStr">
        <is>
          <t>2022-04-17</t>
        </is>
      </c>
      <c r="B97" t="n">
        <v>6</v>
      </c>
      <c r="C97" t="n">
        <v>2941</v>
      </c>
      <c r="D97" s="6" t="n">
        <v>71.3</v>
      </c>
      <c r="E97" s="6" t="n">
        <v>983567.38</v>
      </c>
      <c r="F97" s="6">
        <f>ROUND(E97-E96,2)</f>
        <v/>
      </c>
      <c r="G97" s="6">
        <f>ROUND(F97-D97,2)</f>
        <v/>
      </c>
    </row>
    <row r="98">
      <c r="A98" t="inlineStr">
        <is>
          <t>2022-04-17</t>
        </is>
      </c>
      <c r="B98" t="n">
        <v>7</v>
      </c>
      <c r="C98" t="n">
        <v>2941</v>
      </c>
      <c r="D98" s="6" t="n">
        <v>21.2</v>
      </c>
      <c r="E98" s="6" t="n">
        <v>983588.58</v>
      </c>
      <c r="F98" s="6">
        <f>ROUND(E98-E97,2)</f>
        <v/>
      </c>
      <c r="G98" s="6">
        <f>ROUND(F98-D98,2)</f>
        <v/>
      </c>
    </row>
    <row r="99">
      <c r="A99" t="inlineStr">
        <is>
          <t>2022-04-17</t>
        </is>
      </c>
      <c r="B99" t="n">
        <v>8</v>
      </c>
      <c r="C99" t="n">
        <v>2941</v>
      </c>
      <c r="D99" s="6" t="n">
        <v>21.5</v>
      </c>
      <c r="E99" s="6" t="n">
        <v>983610.08</v>
      </c>
      <c r="F99" s="6">
        <f>ROUND(E99-E98,2)</f>
        <v/>
      </c>
      <c r="G99" s="6">
        <f>ROUND(F99-D99,2)</f>
        <v/>
      </c>
    </row>
    <row r="100">
      <c r="A100" t="inlineStr">
        <is>
          <t>2022-04-17</t>
        </is>
      </c>
      <c r="B100" t="n">
        <v>9</v>
      </c>
      <c r="C100" t="n">
        <v>2941</v>
      </c>
      <c r="D100" s="6" t="n">
        <v>43.4</v>
      </c>
      <c r="E100" s="6" t="n">
        <v>983653.48</v>
      </c>
      <c r="F100" s="6">
        <f>ROUND(E100-E99,2)</f>
        <v/>
      </c>
      <c r="G100" s="6">
        <f>ROUND(F100-D100,2)</f>
        <v/>
      </c>
    </row>
    <row r="101">
      <c r="A101" t="inlineStr">
        <is>
          <t>2022-04-17</t>
        </is>
      </c>
      <c r="B101" t="n">
        <v>10</v>
      </c>
      <c r="C101" t="n">
        <v>2941</v>
      </c>
      <c r="D101" s="6" t="n">
        <v>20.3</v>
      </c>
      <c r="E101" s="6" t="n">
        <v>983673.78</v>
      </c>
      <c r="F101" s="6">
        <f>ROUND(E101-E100,2)</f>
        <v/>
      </c>
      <c r="G101" s="6">
        <f>ROUND(F101-D101,2)</f>
        <v/>
      </c>
    </row>
    <row r="102">
      <c r="A102" t="inlineStr">
        <is>
          <t>2022-04-17</t>
        </is>
      </c>
      <c r="B102" t="n">
        <v>11</v>
      </c>
      <c r="C102" t="n">
        <v>2941</v>
      </c>
      <c r="D102" s="6" t="n">
        <v>67.8</v>
      </c>
      <c r="E102" s="6" t="n">
        <v>983741.58</v>
      </c>
      <c r="F102" s="6">
        <f>ROUND(E102-E101,2)</f>
        <v/>
      </c>
      <c r="G102" s="6">
        <f>ROUND(F102-D102,2)</f>
        <v/>
      </c>
    </row>
    <row r="103">
      <c r="A103" t="inlineStr">
        <is>
          <t>2022-04-17</t>
        </is>
      </c>
      <c r="B103" t="n">
        <v>12</v>
      </c>
      <c r="C103" t="n">
        <v>2941</v>
      </c>
      <c r="D103" s="6" t="n">
        <v>76.2</v>
      </c>
      <c r="E103" s="6" t="n">
        <v>983817.78</v>
      </c>
      <c r="F103" s="6">
        <f>ROUND(E103-E102,2)</f>
        <v/>
      </c>
      <c r="G103" s="6">
        <f>ROUND(F103-D103,2)</f>
        <v/>
      </c>
    </row>
    <row r="104">
      <c r="A104" t="inlineStr">
        <is>
          <t>2022-04-17</t>
        </is>
      </c>
      <c r="B104" t="n">
        <v>13</v>
      </c>
      <c r="C104" t="n">
        <v>2941</v>
      </c>
      <c r="D104" s="6" t="n">
        <v>44.6</v>
      </c>
      <c r="E104" s="6" t="n">
        <v>983862.38</v>
      </c>
      <c r="F104" s="6">
        <f>ROUND(E104-E103,2)</f>
        <v/>
      </c>
      <c r="G104" s="6">
        <f>ROUND(F104-D104,2)</f>
        <v/>
      </c>
    </row>
    <row r="105">
      <c r="A105" t="inlineStr">
        <is>
          <t>2022-04-17</t>
        </is>
      </c>
      <c r="B105" t="n">
        <v>14</v>
      </c>
      <c r="C105" t="n">
        <v>2941</v>
      </c>
      <c r="D105" s="6" t="n">
        <v>119.8</v>
      </c>
      <c r="E105" s="6" t="n">
        <v>983982.1800000001</v>
      </c>
      <c r="F105" s="6">
        <f>ROUND(E105-E104,2)</f>
        <v/>
      </c>
      <c r="G105" s="6">
        <f>ROUND(F105-D105,2)</f>
        <v/>
      </c>
    </row>
    <row r="106">
      <c r="A106" t="inlineStr">
        <is>
          <t>2022-04-17</t>
        </is>
      </c>
      <c r="B106" t="n">
        <v>15</v>
      </c>
      <c r="C106" t="n">
        <v>2941</v>
      </c>
      <c r="D106" s="6" t="n">
        <v>72.3</v>
      </c>
      <c r="E106" s="6" t="n">
        <v>984054.48</v>
      </c>
      <c r="F106" s="6">
        <f>ROUND(E106-E105,2)</f>
        <v/>
      </c>
      <c r="G106" s="6">
        <f>ROUND(F106-D106,2)</f>
        <v/>
      </c>
    </row>
    <row r="107">
      <c r="A107" t="inlineStr">
        <is>
          <t>2022-04-17</t>
        </is>
      </c>
      <c r="B107" t="n">
        <v>16</v>
      </c>
      <c r="C107" t="n">
        <v>2941</v>
      </c>
      <c r="D107" s="6" t="n">
        <v>126</v>
      </c>
      <c r="E107" s="6" t="n">
        <v>984180.48</v>
      </c>
      <c r="F107" s="6">
        <f>ROUND(E107-E106,2)</f>
        <v/>
      </c>
      <c r="G107" s="6">
        <f>ROUND(F107-D107,2)</f>
        <v/>
      </c>
    </row>
    <row r="108">
      <c r="A108" t="inlineStr">
        <is>
          <t>2022-04-17</t>
        </is>
      </c>
      <c r="B108" t="n">
        <v>17</v>
      </c>
      <c r="C108" t="n">
        <v>2941</v>
      </c>
      <c r="D108" s="6" t="n">
        <v>302.6</v>
      </c>
      <c r="E108" s="6" t="n">
        <v>984483.08</v>
      </c>
      <c r="F108" s="6">
        <f>ROUND(E108-E107,2)</f>
        <v/>
      </c>
      <c r="G108" s="6">
        <f>ROUND(F108-D108,2)</f>
        <v/>
      </c>
    </row>
    <row r="109">
      <c r="A109" t="inlineStr">
        <is>
          <t>2022-04-17</t>
        </is>
      </c>
      <c r="B109" t="n">
        <v>18</v>
      </c>
      <c r="C109" t="n">
        <v>2941</v>
      </c>
      <c r="D109" s="6" t="n">
        <v>120.1</v>
      </c>
      <c r="E109" s="6" t="n">
        <v>984603.1800000001</v>
      </c>
      <c r="F109" s="6">
        <f>ROUND(E109-E108,2)</f>
        <v/>
      </c>
      <c r="G109" s="6">
        <f>ROUND(F109-D109,2)</f>
        <v/>
      </c>
    </row>
    <row r="110">
      <c r="A110" t="inlineStr">
        <is>
          <t>2022-04-17</t>
        </is>
      </c>
      <c r="B110" t="n">
        <v>19</v>
      </c>
      <c r="C110" t="n">
        <v>2941</v>
      </c>
      <c r="D110" s="6" t="n">
        <v>41.9</v>
      </c>
      <c r="E110" s="6" t="n">
        <v>984645.08</v>
      </c>
      <c r="F110" s="6">
        <f>ROUND(E110-E109,2)</f>
        <v/>
      </c>
      <c r="G110" s="6">
        <f>ROUND(F110-D110,2)</f>
        <v/>
      </c>
    </row>
    <row r="111">
      <c r="A111" t="inlineStr">
        <is>
          <t>2022-04-17</t>
        </is>
      </c>
      <c r="B111" t="n">
        <v>20</v>
      </c>
      <c r="C111" t="n">
        <v>2941</v>
      </c>
      <c r="D111" s="6" t="n">
        <v>70.90000000000001</v>
      </c>
      <c r="E111" s="6" t="n">
        <v>984715.98</v>
      </c>
      <c r="F111" s="6">
        <f>ROUND(E111-E110,2)</f>
        <v/>
      </c>
      <c r="G111" s="6">
        <f>ROUND(F111-D111,2)</f>
        <v/>
      </c>
    </row>
    <row r="112">
      <c r="A112" t="inlineStr">
        <is>
          <t>2022-04-17</t>
        </is>
      </c>
      <c r="B112" t="n">
        <v>21</v>
      </c>
      <c r="C112" t="n">
        <v>2941</v>
      </c>
      <c r="D112" s="6" t="n">
        <v>56.3</v>
      </c>
      <c r="E112" s="6" t="n">
        <v>984772.28</v>
      </c>
      <c r="F112" s="6">
        <f>ROUND(E112-E111,2)</f>
        <v/>
      </c>
      <c r="G112" s="6">
        <f>ROUND(F112-D112,2)</f>
        <v/>
      </c>
    </row>
    <row r="113">
      <c r="A113" t="inlineStr">
        <is>
          <t>2022-04-17</t>
        </is>
      </c>
      <c r="B113" t="n">
        <v>22</v>
      </c>
      <c r="C113" t="n">
        <v>2941</v>
      </c>
      <c r="D113" s="6" t="n">
        <v>27.2</v>
      </c>
      <c r="E113" s="6" t="n">
        <v>984799.48</v>
      </c>
      <c r="F113" s="6">
        <f>ROUND(E113-E112,2)</f>
        <v/>
      </c>
      <c r="G113" s="6">
        <f>ROUND(F113-D113,2)</f>
        <v/>
      </c>
    </row>
    <row r="114">
      <c r="A114" t="inlineStr">
        <is>
          <t>2022-04-17</t>
        </is>
      </c>
      <c r="B114" t="n">
        <v>23</v>
      </c>
      <c r="C114" t="n">
        <v>2941</v>
      </c>
      <c r="D114" s="6" t="n">
        <v>29.9</v>
      </c>
      <c r="E114" s="6" t="n">
        <v>984829.38</v>
      </c>
      <c r="F114" s="6">
        <f>ROUND(E114-E113,2)</f>
        <v/>
      </c>
      <c r="G114" s="6">
        <f>ROUND(F114-D114,2)</f>
        <v/>
      </c>
    </row>
    <row r="115">
      <c r="A115" t="inlineStr">
        <is>
          <t>2022-04-17</t>
        </is>
      </c>
      <c r="B115" t="n">
        <v>24</v>
      </c>
      <c r="C115" t="n">
        <v>2941</v>
      </c>
      <c r="D115" s="6" t="n">
        <v>17.1</v>
      </c>
      <c r="E115" s="6" t="n">
        <v>984846.48</v>
      </c>
      <c r="F115" s="6">
        <f>ROUND(E115-E114,2)</f>
        <v/>
      </c>
      <c r="G115" s="6">
        <f>ROUND(F115-D115,2)</f>
        <v/>
      </c>
    </row>
    <row r="116">
      <c r="A116" t="inlineStr">
        <is>
          <t>2022-04-17</t>
        </is>
      </c>
      <c r="B116" t="n">
        <v>25</v>
      </c>
      <c r="C116" t="n">
        <v>2941</v>
      </c>
      <c r="D116" s="6" t="n">
        <v>24.3</v>
      </c>
      <c r="E116" s="6" t="n">
        <v>984870.78</v>
      </c>
      <c r="F116" s="6">
        <f>ROUND(E116-E115,2)</f>
        <v/>
      </c>
      <c r="G116" s="6">
        <f>ROUND(F116-D116,2)</f>
        <v/>
      </c>
    </row>
    <row r="117">
      <c r="A117" t="inlineStr">
        <is>
          <t>2022-04-17</t>
        </is>
      </c>
      <c r="B117" t="n">
        <v>26</v>
      </c>
      <c r="C117" t="n">
        <v>2941</v>
      </c>
      <c r="D117" s="6" t="n">
        <v>64.7</v>
      </c>
      <c r="E117" s="6" t="n">
        <v>984935.48</v>
      </c>
      <c r="F117" s="6">
        <f>ROUND(E117-E116,2)</f>
        <v/>
      </c>
      <c r="G117" s="6">
        <f>ROUND(F117-D117,2)</f>
        <v/>
      </c>
    </row>
    <row r="118">
      <c r="A118" t="inlineStr">
        <is>
          <t>2022-04-17</t>
        </is>
      </c>
      <c r="B118" t="n">
        <v>27</v>
      </c>
      <c r="C118" t="n">
        <v>2941</v>
      </c>
      <c r="D118" s="6" t="n">
        <v>82.2</v>
      </c>
      <c r="E118" s="6" t="n">
        <v>985017.6800000001</v>
      </c>
      <c r="F118" s="6">
        <f>ROUND(E118-E117,2)</f>
        <v/>
      </c>
      <c r="G118" s="6">
        <f>ROUND(F118-D118,2)</f>
        <v/>
      </c>
    </row>
    <row r="119">
      <c r="A119" t="inlineStr">
        <is>
          <t>2022-04-17</t>
        </is>
      </c>
      <c r="B119" t="n">
        <v>28</v>
      </c>
      <c r="C119" t="n">
        <v>2941</v>
      </c>
      <c r="D119" s="6" t="n">
        <v>103.2</v>
      </c>
      <c r="E119" s="6" t="n">
        <v>985120.88</v>
      </c>
      <c r="F119" s="6">
        <f>ROUND(E119-E118,2)</f>
        <v/>
      </c>
      <c r="G119" s="6">
        <f>ROUND(F119-D119,2)</f>
        <v/>
      </c>
    </row>
    <row r="120">
      <c r="A120" t="inlineStr">
        <is>
          <t>2022-04-17</t>
        </is>
      </c>
      <c r="B120" t="n">
        <v>29</v>
      </c>
      <c r="C120" t="n">
        <v>2941</v>
      </c>
      <c r="D120" s="6" t="n">
        <v>73.7</v>
      </c>
      <c r="E120" s="6" t="n">
        <v>985194.58</v>
      </c>
      <c r="F120" s="6">
        <f>ROUND(E120-E119,2)</f>
        <v/>
      </c>
      <c r="G120" s="6">
        <f>ROUND(F120-D120,2)</f>
        <v/>
      </c>
    </row>
    <row r="121">
      <c r="A121" t="inlineStr">
        <is>
          <t>2022-04-17</t>
        </is>
      </c>
      <c r="B121" t="n">
        <v>30</v>
      </c>
      <c r="C121" t="n">
        <v>2941</v>
      </c>
      <c r="D121" s="6" t="n">
        <v>54.5</v>
      </c>
      <c r="E121" s="6" t="n">
        <v>985249.08</v>
      </c>
      <c r="F121" s="6">
        <f>ROUND(E121-E120,2)</f>
        <v/>
      </c>
      <c r="G121" s="6">
        <f>ROUND(F121-D121,2)</f>
        <v/>
      </c>
    </row>
    <row r="122">
      <c r="A122" t="inlineStr">
        <is>
          <t>2022-04-17</t>
        </is>
      </c>
      <c r="B122" t="n">
        <v>31</v>
      </c>
      <c r="C122" t="n">
        <v>2941</v>
      </c>
      <c r="D122" s="6" t="n">
        <v>191.6</v>
      </c>
      <c r="E122" s="6" t="n">
        <v>985440.6800000001</v>
      </c>
      <c r="F122" s="6">
        <f>ROUND(E122-E121,2)</f>
        <v/>
      </c>
      <c r="G122" s="6">
        <f>ROUND(F122-D122,2)</f>
        <v/>
      </c>
    </row>
    <row r="123">
      <c r="A123" t="inlineStr">
        <is>
          <t>2022-04-17</t>
        </is>
      </c>
      <c r="B123" t="n">
        <v>32</v>
      </c>
      <c r="C123" t="n">
        <v>2941</v>
      </c>
      <c r="D123" s="6" t="n">
        <v>88.5</v>
      </c>
      <c r="E123" s="6" t="n">
        <v>985529.1800000001</v>
      </c>
      <c r="F123" s="6">
        <f>ROUND(E123-E122,2)</f>
        <v/>
      </c>
      <c r="G123" s="6">
        <f>ROUND(F123-D123,2)</f>
        <v/>
      </c>
    </row>
    <row r="124">
      <c r="A124" t="inlineStr">
        <is>
          <t>2022-04-17</t>
        </is>
      </c>
      <c r="B124" t="n">
        <v>33</v>
      </c>
      <c r="C124" t="n">
        <v>2941</v>
      </c>
      <c r="D124" s="6" t="n">
        <v>59.9</v>
      </c>
      <c r="E124" s="6" t="n">
        <v>985589.08</v>
      </c>
      <c r="F124" s="6">
        <f>ROUND(E124-E123,2)</f>
        <v/>
      </c>
      <c r="G124" s="6">
        <f>ROUND(F124-D124,2)</f>
        <v/>
      </c>
    </row>
    <row r="125">
      <c r="A125" t="inlineStr">
        <is>
          <t>2022-04-17</t>
        </is>
      </c>
      <c r="B125" t="n">
        <v>34</v>
      </c>
      <c r="C125" t="n">
        <v>2941</v>
      </c>
      <c r="D125" s="6" t="n">
        <v>125.8</v>
      </c>
      <c r="E125" s="6" t="n">
        <v>985714.88</v>
      </c>
      <c r="F125" s="6">
        <f>ROUND(E125-E124,2)</f>
        <v/>
      </c>
      <c r="G125" s="6">
        <f>ROUND(F125-D125,2)</f>
        <v/>
      </c>
    </row>
    <row r="126">
      <c r="A126" t="inlineStr">
        <is>
          <t>2022-04-17</t>
        </is>
      </c>
      <c r="B126" t="n">
        <v>35</v>
      </c>
      <c r="C126" t="n">
        <v>2941</v>
      </c>
      <c r="D126" s="6" t="n">
        <v>131.5</v>
      </c>
      <c r="E126" s="6" t="n">
        <v>985846.38</v>
      </c>
      <c r="F126" s="6">
        <f>ROUND(E126-E125,2)</f>
        <v/>
      </c>
      <c r="G126" s="6">
        <f>ROUND(F126-D126,2)</f>
        <v/>
      </c>
    </row>
    <row r="127">
      <c r="A127" t="inlineStr">
        <is>
          <t>2022-04-17</t>
        </is>
      </c>
      <c r="B127" t="n">
        <v>36</v>
      </c>
      <c r="C127" t="n">
        <v>2941</v>
      </c>
      <c r="D127" s="6" t="n">
        <v>166.5</v>
      </c>
      <c r="E127" s="6" t="n">
        <v>986012.88</v>
      </c>
      <c r="F127" s="6">
        <f>ROUND(E127-E126,2)</f>
        <v/>
      </c>
      <c r="G127" s="6">
        <f>ROUND(F127-D127,2)</f>
        <v/>
      </c>
    </row>
    <row r="128">
      <c r="A128" t="inlineStr">
        <is>
          <t>2022-04-17</t>
        </is>
      </c>
      <c r="B128" t="n">
        <v>37</v>
      </c>
      <c r="C128" t="n">
        <v>2941</v>
      </c>
      <c r="D128" s="6" t="n">
        <v>62.1</v>
      </c>
      <c r="E128" s="6" t="n">
        <v>986074.98</v>
      </c>
      <c r="F128" s="6">
        <f>ROUND(E128-E127,2)</f>
        <v/>
      </c>
      <c r="G128" s="6">
        <f>ROUND(F128-D128,2)</f>
        <v/>
      </c>
    </row>
    <row r="129">
      <c r="A129" t="inlineStr">
        <is>
          <t>2022-04-17</t>
        </is>
      </c>
      <c r="B129" t="n">
        <v>38</v>
      </c>
      <c r="C129" t="n">
        <v>2941</v>
      </c>
      <c r="D129" s="6" t="n">
        <v>62.1</v>
      </c>
      <c r="E129" s="6" t="n">
        <v>986137.08</v>
      </c>
      <c r="F129" s="6">
        <f>ROUND(E129-E128,2)</f>
        <v/>
      </c>
      <c r="G129" s="6">
        <f>ROUND(F129-D129,2)</f>
        <v/>
      </c>
    </row>
    <row r="130">
      <c r="A130" t="inlineStr">
        <is>
          <t>2022-04-17</t>
        </is>
      </c>
      <c r="B130" t="n">
        <v>39</v>
      </c>
      <c r="C130" t="n">
        <v>2941</v>
      </c>
      <c r="D130" s="6" t="n">
        <v>41.95</v>
      </c>
      <c r="E130" s="6" t="n">
        <v>986179.03</v>
      </c>
      <c r="F130" s="6">
        <f>ROUND(E130-E129,2)</f>
        <v/>
      </c>
      <c r="G130" s="6">
        <f>ROUND(F130-D130,2)</f>
        <v/>
      </c>
    </row>
    <row r="131">
      <c r="A131" t="inlineStr">
        <is>
          <t>2022-04-17</t>
        </is>
      </c>
      <c r="B131" t="n">
        <v>40</v>
      </c>
      <c r="C131" t="n">
        <v>2941</v>
      </c>
      <c r="D131" s="6" t="n">
        <v>41.95</v>
      </c>
      <c r="E131" s="6" t="n">
        <v>986220.98</v>
      </c>
      <c r="F131" s="6">
        <f>ROUND(E131-E130,2)</f>
        <v/>
      </c>
      <c r="G131" s="6">
        <f>ROUND(F131-D131,2)</f>
        <v/>
      </c>
    </row>
    <row r="132">
      <c r="A132" t="inlineStr">
        <is>
          <t>2022-04-18</t>
        </is>
      </c>
      <c r="B132" t="n">
        <v>1</v>
      </c>
      <c r="C132" t="n">
        <v>2942</v>
      </c>
      <c r="D132" s="6" t="n">
        <v>46.1</v>
      </c>
      <c r="E132" s="6" t="n">
        <v>986267.08</v>
      </c>
      <c r="F132" s="6">
        <f>ROUND(E132-E131,2)</f>
        <v/>
      </c>
      <c r="G132" s="6">
        <f>ROUND(F132-D132,2)</f>
        <v/>
      </c>
    </row>
    <row r="133">
      <c r="A133" t="inlineStr">
        <is>
          <t>2022-04-18</t>
        </is>
      </c>
      <c r="B133" t="n">
        <v>2</v>
      </c>
      <c r="C133" t="n">
        <v>2942</v>
      </c>
      <c r="D133" s="6" t="n">
        <v>67.59999999999999</v>
      </c>
      <c r="E133" s="6" t="n">
        <v>986334.6800000001</v>
      </c>
      <c r="F133" s="6">
        <f>ROUND(E133-E132,2)</f>
        <v/>
      </c>
      <c r="G133" s="6">
        <f>ROUND(F133-D133,2)</f>
        <v/>
      </c>
    </row>
    <row r="134">
      <c r="A134" t="inlineStr">
        <is>
          <t>2022-04-18</t>
        </is>
      </c>
      <c r="B134" t="n">
        <v>3</v>
      </c>
      <c r="C134" t="n">
        <v>2942</v>
      </c>
      <c r="D134" s="6" t="n">
        <v>54.8</v>
      </c>
      <c r="E134" s="6" t="n">
        <v>986389.48</v>
      </c>
      <c r="F134" s="6">
        <f>ROUND(E134-E133,2)</f>
        <v/>
      </c>
      <c r="G134" s="6">
        <f>ROUND(F134-D134,2)</f>
        <v/>
      </c>
    </row>
    <row r="135">
      <c r="A135" t="inlineStr">
        <is>
          <t>2022-04-18</t>
        </is>
      </c>
      <c r="B135" t="n">
        <v>4</v>
      </c>
      <c r="C135" t="n">
        <v>2942</v>
      </c>
      <c r="D135" s="6" t="n">
        <v>96.7</v>
      </c>
      <c r="E135" s="6" t="n">
        <v>986486.1800000001</v>
      </c>
      <c r="F135" s="6">
        <f>ROUND(E135-E134,2)</f>
        <v/>
      </c>
      <c r="G135" s="6">
        <f>ROUND(F135-D135,2)</f>
        <v/>
      </c>
    </row>
    <row r="136">
      <c r="A136" t="inlineStr">
        <is>
          <t>2022-04-18</t>
        </is>
      </c>
      <c r="B136" t="n">
        <v>5</v>
      </c>
      <c r="C136" t="n">
        <v>2942</v>
      </c>
      <c r="D136" s="6" t="n">
        <v>76.5</v>
      </c>
      <c r="E136" s="6" t="n">
        <v>986562.6800000001</v>
      </c>
      <c r="F136" s="6">
        <f>ROUND(E136-E135,2)</f>
        <v/>
      </c>
      <c r="G136" s="6">
        <f>ROUND(F136-D136,2)</f>
        <v/>
      </c>
    </row>
    <row r="137">
      <c r="A137" t="inlineStr">
        <is>
          <t>2022-04-18</t>
        </is>
      </c>
      <c r="B137" t="n">
        <v>6</v>
      </c>
      <c r="C137" t="n">
        <v>2942</v>
      </c>
      <c r="D137" s="6" t="n">
        <v>86.40000000000001</v>
      </c>
      <c r="E137" s="6" t="n">
        <v>986649.08</v>
      </c>
      <c r="F137" s="6">
        <f>ROUND(E137-E136,2)</f>
        <v/>
      </c>
      <c r="G137" s="6">
        <f>ROUND(F137-D137,2)</f>
        <v/>
      </c>
    </row>
    <row r="138">
      <c r="A138" t="inlineStr">
        <is>
          <t>2022-04-18</t>
        </is>
      </c>
      <c r="B138" t="n">
        <v>7</v>
      </c>
      <c r="C138" t="n">
        <v>2942</v>
      </c>
      <c r="D138" s="6" t="n">
        <v>159.4</v>
      </c>
      <c r="E138" s="6" t="n">
        <v>986808.48</v>
      </c>
      <c r="F138" s="6">
        <f>ROUND(E138-E137,2)</f>
        <v/>
      </c>
      <c r="G138" s="6">
        <f>ROUND(F138-D138,2)</f>
        <v/>
      </c>
    </row>
    <row r="139">
      <c r="A139" t="inlineStr">
        <is>
          <t>2022-04-18</t>
        </is>
      </c>
      <c r="B139" t="n">
        <v>8</v>
      </c>
      <c r="C139" t="n">
        <v>2942</v>
      </c>
      <c r="D139" s="6" t="n">
        <v>75.5</v>
      </c>
      <c r="E139" s="6" t="n">
        <v>986883.98</v>
      </c>
      <c r="F139" s="6">
        <f>ROUND(E139-E138,2)</f>
        <v/>
      </c>
      <c r="G139" s="6">
        <f>ROUND(F139-D139,2)</f>
        <v/>
      </c>
    </row>
    <row r="140">
      <c r="A140" t="inlineStr">
        <is>
          <t>2022-04-18</t>
        </is>
      </c>
      <c r="B140" t="n">
        <v>9</v>
      </c>
      <c r="C140" t="n">
        <v>2942</v>
      </c>
      <c r="D140" s="6" t="n">
        <v>64.8</v>
      </c>
      <c r="E140" s="6" t="n">
        <v>986948.78</v>
      </c>
      <c r="F140" s="6">
        <f>ROUND(E140-E139,2)</f>
        <v/>
      </c>
      <c r="G140" s="6">
        <f>ROUND(F140-D140,2)</f>
        <v/>
      </c>
    </row>
    <row r="141">
      <c r="A141" t="inlineStr">
        <is>
          <t>2022-04-18</t>
        </is>
      </c>
      <c r="B141" t="n">
        <v>10</v>
      </c>
      <c r="C141" t="n">
        <v>2942</v>
      </c>
      <c r="D141" s="6" t="n">
        <v>61.6</v>
      </c>
      <c r="E141" s="6" t="n">
        <v>987010.38</v>
      </c>
      <c r="F141" s="6">
        <f>ROUND(E141-E140,2)</f>
        <v/>
      </c>
      <c r="G141" s="6">
        <f>ROUND(F141-D141,2)</f>
        <v/>
      </c>
    </row>
    <row r="142">
      <c r="A142" t="inlineStr">
        <is>
          <t>2022-04-18</t>
        </is>
      </c>
      <c r="B142" t="n">
        <v>11</v>
      </c>
      <c r="C142" t="n">
        <v>2942</v>
      </c>
      <c r="D142" s="6" t="n">
        <v>50.6</v>
      </c>
      <c r="E142" s="6" t="n">
        <v>987060.98</v>
      </c>
      <c r="F142" s="6">
        <f>ROUND(E142-E141,2)</f>
        <v/>
      </c>
      <c r="G142" s="6">
        <f>ROUND(F142-D142,2)</f>
        <v/>
      </c>
    </row>
    <row r="143">
      <c r="A143" t="inlineStr">
        <is>
          <t>2022-04-18</t>
        </is>
      </c>
      <c r="B143" t="n">
        <v>12</v>
      </c>
      <c r="C143" t="n">
        <v>2942</v>
      </c>
      <c r="D143" s="6" t="n">
        <v>85.09999999999999</v>
      </c>
      <c r="E143" s="6" t="n">
        <v>987146.08</v>
      </c>
      <c r="F143" s="6">
        <f>ROUND(E143-E142,2)</f>
        <v/>
      </c>
      <c r="G143" s="6">
        <f>ROUND(F143-D143,2)</f>
        <v/>
      </c>
    </row>
    <row r="144">
      <c r="A144" t="inlineStr">
        <is>
          <t>2022-04-18</t>
        </is>
      </c>
      <c r="B144" t="n">
        <v>13</v>
      </c>
      <c r="C144" t="n">
        <v>2942</v>
      </c>
      <c r="D144" s="6" t="n">
        <v>73.59999999999999</v>
      </c>
      <c r="E144" s="6" t="n">
        <v>987219.6800000001</v>
      </c>
      <c r="F144" s="6">
        <f>ROUND(E144-E143,2)</f>
        <v/>
      </c>
      <c r="G144" s="6">
        <f>ROUND(F144-D144,2)</f>
        <v/>
      </c>
    </row>
    <row r="145">
      <c r="A145" t="inlineStr">
        <is>
          <t>2022-04-20</t>
        </is>
      </c>
      <c r="B145" t="n">
        <v>1</v>
      </c>
      <c r="C145" t="n">
        <v>2943</v>
      </c>
      <c r="D145" s="6" t="n">
        <v>81.40000000000001</v>
      </c>
      <c r="E145" s="6" t="n">
        <v>987301.08</v>
      </c>
      <c r="F145" s="6">
        <f>ROUND(E145-E144,2)</f>
        <v/>
      </c>
      <c r="G145" s="6">
        <f>ROUND(F145-D145,2)</f>
        <v/>
      </c>
    </row>
    <row r="146">
      <c r="A146" t="inlineStr">
        <is>
          <t>2022-04-20</t>
        </is>
      </c>
      <c r="B146" t="n">
        <v>2</v>
      </c>
      <c r="C146" t="n">
        <v>2943</v>
      </c>
      <c r="D146" s="6" t="n">
        <v>71.5</v>
      </c>
      <c r="E146" s="6" t="n">
        <v>987372.58</v>
      </c>
      <c r="F146" s="6">
        <f>ROUND(E146-E145,2)</f>
        <v/>
      </c>
      <c r="G146" s="6">
        <f>ROUND(F146-D146,2)</f>
        <v/>
      </c>
    </row>
    <row r="147">
      <c r="A147" t="inlineStr">
        <is>
          <t>2022-04-20</t>
        </is>
      </c>
      <c r="B147" t="n">
        <v>3</v>
      </c>
      <c r="C147" t="n">
        <v>2943</v>
      </c>
      <c r="D147" s="6" t="n">
        <v>63.8</v>
      </c>
      <c r="E147" s="6" t="n">
        <v>987436.38</v>
      </c>
      <c r="F147" s="6">
        <f>ROUND(E147-E146,2)</f>
        <v/>
      </c>
      <c r="G147" s="6">
        <f>ROUND(F147-D147,2)</f>
        <v/>
      </c>
    </row>
    <row r="148">
      <c r="A148" t="inlineStr">
        <is>
          <t>2022-04-20</t>
        </is>
      </c>
      <c r="B148" t="n">
        <v>4</v>
      </c>
      <c r="C148" t="n">
        <v>2943</v>
      </c>
      <c r="D148" s="6" t="n">
        <v>17.6</v>
      </c>
      <c r="E148" s="6" t="n">
        <v>987453.98</v>
      </c>
      <c r="F148" s="6">
        <f>ROUND(E148-E147,2)</f>
        <v/>
      </c>
      <c r="G148" s="6">
        <f>ROUND(F148-D148,2)</f>
        <v/>
      </c>
    </row>
    <row r="149">
      <c r="A149" t="inlineStr">
        <is>
          <t>2022-04-20</t>
        </is>
      </c>
      <c r="B149" t="n">
        <v>5</v>
      </c>
      <c r="C149" t="n">
        <v>2943</v>
      </c>
      <c r="D149" s="6" t="n">
        <v>31.8</v>
      </c>
      <c r="E149" s="6" t="n">
        <v>987485.78</v>
      </c>
      <c r="F149" s="6">
        <f>ROUND(E149-E148,2)</f>
        <v/>
      </c>
      <c r="G149" s="6">
        <f>ROUND(F149-D149,2)</f>
        <v/>
      </c>
    </row>
    <row r="150">
      <c r="A150" t="inlineStr">
        <is>
          <t>2022-04-20</t>
        </is>
      </c>
      <c r="B150" t="n">
        <v>6</v>
      </c>
      <c r="C150" t="n">
        <v>2943</v>
      </c>
      <c r="D150" s="6" t="n">
        <v>23.7</v>
      </c>
      <c r="E150" s="6" t="n">
        <v>987509.48</v>
      </c>
      <c r="F150" s="6">
        <f>ROUND(E150-E149,2)</f>
        <v/>
      </c>
      <c r="G150" s="6">
        <f>ROUND(F150-D150,2)</f>
        <v/>
      </c>
    </row>
    <row r="151">
      <c r="A151" t="inlineStr">
        <is>
          <t>2022-04-20</t>
        </is>
      </c>
      <c r="B151" t="n">
        <v>7</v>
      </c>
      <c r="C151" t="n">
        <v>2943</v>
      </c>
      <c r="D151" s="6" t="n">
        <v>19.8</v>
      </c>
      <c r="E151" s="6" t="n">
        <v>987529.28</v>
      </c>
      <c r="F151" s="6">
        <f>ROUND(E151-E150,2)</f>
        <v/>
      </c>
      <c r="G151" s="6">
        <f>ROUND(F151-D151,2)</f>
        <v/>
      </c>
    </row>
    <row r="152">
      <c r="A152" t="inlineStr">
        <is>
          <t>2022-04-20</t>
        </is>
      </c>
      <c r="B152" t="n">
        <v>8</v>
      </c>
      <c r="C152" t="n">
        <v>2943</v>
      </c>
      <c r="D152" s="6" t="n">
        <v>39.6</v>
      </c>
      <c r="E152" s="6" t="n">
        <v>987568.88</v>
      </c>
      <c r="F152" s="6">
        <f>ROUND(E152-E151,2)</f>
        <v/>
      </c>
      <c r="G152" s="6">
        <f>ROUND(F152-D152,2)</f>
        <v/>
      </c>
    </row>
    <row r="153">
      <c r="A153" t="inlineStr">
        <is>
          <t>2022-04-20</t>
        </is>
      </c>
      <c r="B153" t="n">
        <v>9</v>
      </c>
      <c r="C153" t="n">
        <v>2943</v>
      </c>
      <c r="D153" s="6" t="n">
        <v>67.2</v>
      </c>
      <c r="E153" s="6" t="n">
        <v>987636.08</v>
      </c>
      <c r="F153" s="6">
        <f>ROUND(E153-E152,2)</f>
        <v/>
      </c>
      <c r="G153" s="6">
        <f>ROUND(F153-D153,2)</f>
        <v/>
      </c>
    </row>
    <row r="154">
      <c r="A154" t="inlineStr">
        <is>
          <t>2022-04-20</t>
        </is>
      </c>
      <c r="B154" t="n">
        <v>10</v>
      </c>
      <c r="C154" t="n">
        <v>2943</v>
      </c>
      <c r="D154" s="6" t="n">
        <v>23.05</v>
      </c>
      <c r="E154" s="6" t="n">
        <v>987659.13</v>
      </c>
      <c r="F154" s="6">
        <f>ROUND(E154-E153,2)</f>
        <v/>
      </c>
      <c r="G154" s="6">
        <f>ROUND(F154-D154,2)</f>
        <v/>
      </c>
    </row>
    <row r="155">
      <c r="A155" t="inlineStr">
        <is>
          <t>2022-04-20</t>
        </is>
      </c>
      <c r="B155" t="n">
        <v>11</v>
      </c>
      <c r="C155" t="n">
        <v>2943</v>
      </c>
      <c r="D155" s="6" t="n">
        <v>23.05</v>
      </c>
      <c r="E155" s="6" t="n">
        <v>987682.1800000001</v>
      </c>
      <c r="F155" s="6">
        <f>ROUND(E155-E154,2)</f>
        <v/>
      </c>
      <c r="G155" s="6">
        <f>ROUND(F155-D155,2)</f>
        <v/>
      </c>
    </row>
    <row r="156">
      <c r="A156" t="inlineStr">
        <is>
          <t>2022-04-20</t>
        </is>
      </c>
      <c r="B156" t="n">
        <v>12</v>
      </c>
      <c r="C156" t="n">
        <v>2943</v>
      </c>
      <c r="D156" s="6" t="n">
        <v>37.8</v>
      </c>
      <c r="E156" s="6" t="n">
        <v>987719.98</v>
      </c>
      <c r="F156" s="6">
        <f>ROUND(E156-E155,2)</f>
        <v/>
      </c>
      <c r="G156" s="6">
        <f>ROUND(F156-D156,2)</f>
        <v/>
      </c>
    </row>
    <row r="157">
      <c r="A157" t="inlineStr">
        <is>
          <t>2022-04-20</t>
        </is>
      </c>
      <c r="B157" t="n">
        <v>13</v>
      </c>
      <c r="C157" t="n">
        <v>2943</v>
      </c>
      <c r="D157" s="6" t="n">
        <v>75.8</v>
      </c>
      <c r="E157" s="6" t="n">
        <v>987795.78</v>
      </c>
      <c r="F157" s="6">
        <f>ROUND(E157-E156,2)</f>
        <v/>
      </c>
      <c r="G157" s="6">
        <f>ROUND(F157-D157,2)</f>
        <v/>
      </c>
    </row>
    <row r="158">
      <c r="A158" t="inlineStr">
        <is>
          <t>2022-04-20</t>
        </is>
      </c>
      <c r="B158" t="n">
        <v>14</v>
      </c>
      <c r="C158" t="n">
        <v>2943</v>
      </c>
      <c r="D158" s="6" t="n">
        <v>76</v>
      </c>
      <c r="E158" s="6" t="n">
        <v>987871.78</v>
      </c>
      <c r="F158" s="6">
        <f>ROUND(E158-E157,2)</f>
        <v/>
      </c>
      <c r="G158" s="6">
        <f>ROUND(F158-D158,2)</f>
        <v/>
      </c>
    </row>
    <row r="159">
      <c r="A159" t="inlineStr">
        <is>
          <t>2022-04-20</t>
        </is>
      </c>
      <c r="B159" t="n">
        <v>15</v>
      </c>
      <c r="C159" t="n">
        <v>2943</v>
      </c>
      <c r="D159" s="6" t="n">
        <v>47.3</v>
      </c>
      <c r="E159" s="6" t="n">
        <v>987919.08</v>
      </c>
      <c r="F159" s="6">
        <f>ROUND(E159-E158,2)</f>
        <v/>
      </c>
      <c r="G159" s="6">
        <f>ROUND(F159-D159,2)</f>
        <v/>
      </c>
    </row>
    <row r="160">
      <c r="A160" t="inlineStr">
        <is>
          <t>2022-04-20</t>
        </is>
      </c>
      <c r="B160" t="n">
        <v>16</v>
      </c>
      <c r="C160" t="n">
        <v>2943</v>
      </c>
      <c r="D160" s="6" t="n">
        <v>48.5</v>
      </c>
      <c r="E160" s="6" t="n">
        <v>987967.58</v>
      </c>
      <c r="F160" s="6">
        <f>ROUND(E160-E159,2)</f>
        <v/>
      </c>
      <c r="G160" s="6">
        <f>ROUND(F160-D160,2)</f>
        <v/>
      </c>
    </row>
    <row r="161">
      <c r="A161" t="inlineStr">
        <is>
          <t>2022-04-20</t>
        </is>
      </c>
      <c r="B161" t="n">
        <v>17</v>
      </c>
      <c r="C161" t="n">
        <v>2943</v>
      </c>
      <c r="D161" s="6" t="n">
        <v>160.5</v>
      </c>
      <c r="E161" s="6" t="n">
        <v>988128.08</v>
      </c>
      <c r="F161" s="6">
        <f>ROUND(E161-E160,2)</f>
        <v/>
      </c>
      <c r="G161" s="6">
        <f>ROUND(F161-D161,2)</f>
        <v/>
      </c>
    </row>
    <row r="162">
      <c r="A162" t="inlineStr">
        <is>
          <t>2022-04-20</t>
        </is>
      </c>
      <c r="B162" t="n">
        <v>18</v>
      </c>
      <c r="C162" t="n">
        <v>2943</v>
      </c>
      <c r="D162" s="6" t="n">
        <v>88.09999999999999</v>
      </c>
      <c r="E162" s="6" t="n">
        <v>988216.1800000001</v>
      </c>
      <c r="F162" s="6">
        <f>ROUND(E162-E161,2)</f>
        <v/>
      </c>
      <c r="G162" s="6">
        <f>ROUND(F162-D162,2)</f>
        <v/>
      </c>
    </row>
    <row r="163">
      <c r="A163" t="inlineStr">
        <is>
          <t>2022-04-20</t>
        </is>
      </c>
      <c r="B163" t="n">
        <v>19</v>
      </c>
      <c r="C163" t="n">
        <v>2943</v>
      </c>
      <c r="D163" s="6" t="n">
        <v>110.8</v>
      </c>
      <c r="E163" s="6" t="n">
        <v>988326.98</v>
      </c>
      <c r="F163" s="6">
        <f>ROUND(E163-E162,2)</f>
        <v/>
      </c>
      <c r="G163" s="6">
        <f>ROUND(F163-D163,2)</f>
        <v/>
      </c>
    </row>
    <row r="164">
      <c r="A164" t="inlineStr">
        <is>
          <t>2022-04-20</t>
        </is>
      </c>
      <c r="B164" t="n">
        <v>20</v>
      </c>
      <c r="C164" t="n">
        <v>2943</v>
      </c>
      <c r="D164" s="6" t="n">
        <v>35.9</v>
      </c>
      <c r="E164" s="6" t="n">
        <v>988362.88</v>
      </c>
      <c r="F164" s="6">
        <f>ROUND(E164-E163,2)</f>
        <v/>
      </c>
      <c r="G164" s="6">
        <f>ROUND(F164-D164,2)</f>
        <v/>
      </c>
    </row>
    <row r="165">
      <c r="A165" t="inlineStr">
        <is>
          <t>2022-04-20</t>
        </is>
      </c>
      <c r="B165" t="n">
        <v>21</v>
      </c>
      <c r="C165" t="n">
        <v>2943</v>
      </c>
      <c r="D165" s="6" t="n">
        <v>90.8</v>
      </c>
      <c r="E165" s="6" t="n">
        <v>988453.6800000001</v>
      </c>
      <c r="F165" s="6">
        <f>ROUND(E165-E164,2)</f>
        <v/>
      </c>
      <c r="G165" s="6">
        <f>ROUND(F165-D165,2)</f>
        <v/>
      </c>
    </row>
    <row r="166">
      <c r="A166" t="inlineStr">
        <is>
          <t>2022-04-20</t>
        </is>
      </c>
      <c r="B166" t="n">
        <v>22</v>
      </c>
      <c r="C166" t="n">
        <v>2943</v>
      </c>
      <c r="D166" s="6" t="n">
        <v>63.5</v>
      </c>
      <c r="E166" s="6" t="n">
        <v>988517.1800000001</v>
      </c>
      <c r="F166" s="6">
        <f>ROUND(E166-E165,2)</f>
        <v/>
      </c>
      <c r="G166" s="6">
        <f>ROUND(F166-D166,2)</f>
        <v/>
      </c>
    </row>
    <row r="167">
      <c r="A167" t="inlineStr">
        <is>
          <t>2022-04-20</t>
        </is>
      </c>
      <c r="B167" t="n">
        <v>23</v>
      </c>
      <c r="C167" t="n">
        <v>2943</v>
      </c>
      <c r="D167" s="6" t="n">
        <v>83.40000000000001</v>
      </c>
      <c r="E167" s="6" t="n">
        <v>988600.58</v>
      </c>
      <c r="F167" s="6">
        <f>ROUND(E167-E166,2)</f>
        <v/>
      </c>
      <c r="G167" s="6">
        <f>ROUND(F167-D167,2)</f>
        <v/>
      </c>
    </row>
    <row r="168">
      <c r="A168" t="inlineStr">
        <is>
          <t>2022-04-20</t>
        </is>
      </c>
      <c r="B168" t="n">
        <v>24</v>
      </c>
      <c r="C168" t="n">
        <v>2943</v>
      </c>
      <c r="D168" s="6" t="n">
        <v>17.6</v>
      </c>
      <c r="E168" s="6" t="n">
        <v>988618.1800000001</v>
      </c>
      <c r="F168" s="6">
        <f>ROUND(E168-E167,2)</f>
        <v/>
      </c>
      <c r="G168" s="6">
        <f>ROUND(F168-D168,2)</f>
        <v/>
      </c>
    </row>
    <row r="169">
      <c r="A169" t="inlineStr">
        <is>
          <t>2022-04-20</t>
        </is>
      </c>
      <c r="B169" t="n">
        <v>25</v>
      </c>
      <c r="C169" t="n">
        <v>2943</v>
      </c>
      <c r="D169" s="6" t="n">
        <v>57.1</v>
      </c>
      <c r="E169" s="6" t="n">
        <v>988675.28</v>
      </c>
      <c r="F169" s="6">
        <f>ROUND(E169-E168,2)</f>
        <v/>
      </c>
      <c r="G169" s="6">
        <f>ROUND(F169-D169,2)</f>
        <v/>
      </c>
    </row>
    <row r="170">
      <c r="A170" t="inlineStr">
        <is>
          <t>2022-04-20</t>
        </is>
      </c>
      <c r="B170" t="n">
        <v>26</v>
      </c>
      <c r="C170" t="n">
        <v>2943</v>
      </c>
      <c r="D170" s="6" t="n">
        <v>80.59999999999999</v>
      </c>
      <c r="E170" s="6" t="n">
        <v>988755.88</v>
      </c>
      <c r="F170" s="6">
        <f>ROUND(E170-E169,2)</f>
        <v/>
      </c>
      <c r="G170" s="6">
        <f>ROUND(F170-D170,2)</f>
        <v/>
      </c>
    </row>
    <row r="171">
      <c r="A171" t="inlineStr">
        <is>
          <t>2022-04-20</t>
        </is>
      </c>
      <c r="B171" t="n">
        <v>27</v>
      </c>
      <c r="C171" t="n">
        <v>2943</v>
      </c>
      <c r="D171" s="6" t="n">
        <v>75.7</v>
      </c>
      <c r="E171" s="6" t="n">
        <v>988831.58</v>
      </c>
      <c r="F171" s="6">
        <f>ROUND(E171-E170,2)</f>
        <v/>
      </c>
      <c r="G171" s="6">
        <f>ROUND(F171-D171,2)</f>
        <v/>
      </c>
    </row>
    <row r="172">
      <c r="A172" t="inlineStr">
        <is>
          <t>2022-04-20</t>
        </is>
      </c>
      <c r="B172" t="n">
        <v>28</v>
      </c>
      <c r="C172" t="n">
        <v>2943</v>
      </c>
      <c r="D172" s="6" t="n">
        <v>46.9</v>
      </c>
      <c r="E172" s="6" t="n">
        <v>988878.48</v>
      </c>
      <c r="F172" s="6">
        <f>ROUND(E172-E171,2)</f>
        <v/>
      </c>
      <c r="G172" s="6">
        <f>ROUND(F172-D172,2)</f>
        <v/>
      </c>
    </row>
    <row r="173">
      <c r="A173" t="inlineStr">
        <is>
          <t>2022-04-20</t>
        </is>
      </c>
      <c r="B173" t="n">
        <v>29</v>
      </c>
      <c r="C173" t="n">
        <v>2943</v>
      </c>
      <c r="D173" s="6" t="n">
        <v>54.2</v>
      </c>
      <c r="E173" s="6" t="n">
        <v>988932.6800000001</v>
      </c>
      <c r="F173" s="6">
        <f>ROUND(E173-E172,2)</f>
        <v/>
      </c>
      <c r="G173" s="6">
        <f>ROUND(F173-D173,2)</f>
        <v/>
      </c>
    </row>
    <row r="174">
      <c r="A174" t="inlineStr">
        <is>
          <t>2022-04-20</t>
        </is>
      </c>
      <c r="B174" t="n">
        <v>30</v>
      </c>
      <c r="C174" t="n">
        <v>2943</v>
      </c>
      <c r="D174" s="6" t="n">
        <v>147.5</v>
      </c>
      <c r="E174" s="6" t="n">
        <v>989080.1800000001</v>
      </c>
      <c r="F174" s="6">
        <f>ROUND(E174-E173,2)</f>
        <v/>
      </c>
      <c r="G174" s="6">
        <f>ROUND(F174-D174,2)</f>
        <v/>
      </c>
    </row>
    <row r="175">
      <c r="A175" t="inlineStr">
        <is>
          <t>2022-04-20</t>
        </is>
      </c>
      <c r="B175" t="n">
        <v>31</v>
      </c>
      <c r="C175" t="n">
        <v>2943</v>
      </c>
      <c r="D175" s="6" t="n">
        <v>106.8</v>
      </c>
      <c r="E175" s="6" t="n">
        <v>989186.98</v>
      </c>
      <c r="F175" s="6">
        <f>ROUND(E175-E174,2)</f>
        <v/>
      </c>
      <c r="G175" s="6">
        <f>ROUND(F175-D175,2)</f>
        <v/>
      </c>
    </row>
    <row r="176">
      <c r="A176" t="inlineStr">
        <is>
          <t>2022-04-20</t>
        </is>
      </c>
      <c r="B176" t="n">
        <v>32</v>
      </c>
      <c r="C176" t="n">
        <v>2943</v>
      </c>
      <c r="D176" s="6" t="n">
        <v>21.5</v>
      </c>
      <c r="E176" s="6" t="n">
        <v>989208.48</v>
      </c>
      <c r="F176" s="6">
        <f>ROUND(E176-E175,2)</f>
        <v/>
      </c>
      <c r="G176" s="6">
        <f>ROUND(F176-D176,2)</f>
        <v/>
      </c>
    </row>
    <row r="177">
      <c r="A177" t="inlineStr">
        <is>
          <t>2022-04-20</t>
        </is>
      </c>
      <c r="B177" t="n">
        <v>33</v>
      </c>
      <c r="C177" t="n">
        <v>2943</v>
      </c>
      <c r="D177" s="6" t="n">
        <v>44.3</v>
      </c>
      <c r="E177" s="6" t="n">
        <v>989252.78</v>
      </c>
      <c r="F177" s="6">
        <f>ROUND(E177-E176,2)</f>
        <v/>
      </c>
      <c r="G177" s="6">
        <f>ROUND(F177-D177,2)</f>
        <v/>
      </c>
    </row>
    <row r="178">
      <c r="A178" t="inlineStr">
        <is>
          <t>2022-04-20</t>
        </is>
      </c>
      <c r="B178" t="n">
        <v>34</v>
      </c>
      <c r="C178" t="n">
        <v>2943</v>
      </c>
      <c r="D178" s="6" t="n">
        <v>108</v>
      </c>
      <c r="E178" s="6" t="n">
        <v>989360.78</v>
      </c>
      <c r="F178" s="6">
        <f>ROUND(E178-E177,2)</f>
        <v/>
      </c>
      <c r="G178" s="6">
        <f>ROUND(F178-D178,2)</f>
        <v/>
      </c>
    </row>
    <row r="179">
      <c r="A179" t="inlineStr">
        <is>
          <t>2022-04-20</t>
        </is>
      </c>
      <c r="B179" t="n">
        <v>35</v>
      </c>
      <c r="C179" t="n">
        <v>2943</v>
      </c>
      <c r="D179" s="6" t="n">
        <v>21</v>
      </c>
      <c r="E179" s="6" t="n">
        <v>989381.78</v>
      </c>
      <c r="F179" s="6">
        <f>ROUND(E179-E178,2)</f>
        <v/>
      </c>
      <c r="G179" s="6">
        <f>ROUND(F179-D179,2)</f>
        <v/>
      </c>
    </row>
    <row r="180">
      <c r="A180" t="inlineStr">
        <is>
          <t>2022-04-20</t>
        </is>
      </c>
      <c r="B180" t="n">
        <v>36</v>
      </c>
      <c r="C180" t="n">
        <v>2943</v>
      </c>
      <c r="D180" s="6" t="n">
        <v>21</v>
      </c>
      <c r="E180" s="6" t="n">
        <v>989402.78</v>
      </c>
      <c r="F180" s="6">
        <f>ROUND(E180-E179,2)</f>
        <v/>
      </c>
      <c r="G180" s="6">
        <f>ROUND(F180-D180,2)</f>
        <v/>
      </c>
    </row>
    <row r="181">
      <c r="A181" t="inlineStr">
        <is>
          <t>2022-04-20</t>
        </is>
      </c>
      <c r="B181" t="n">
        <v>37</v>
      </c>
      <c r="C181" t="n">
        <v>2943</v>
      </c>
      <c r="D181" s="6" t="n">
        <v>100.9</v>
      </c>
      <c r="E181" s="6" t="n">
        <v>989503.6800000001</v>
      </c>
      <c r="F181" s="6">
        <f>ROUND(E181-E180,2)</f>
        <v/>
      </c>
      <c r="G181" s="6">
        <f>ROUND(F181-D181,2)</f>
        <v/>
      </c>
    </row>
    <row r="182">
      <c r="A182" t="inlineStr">
        <is>
          <t>2022-04-20</t>
        </is>
      </c>
      <c r="B182" t="n">
        <v>38</v>
      </c>
      <c r="C182" t="n">
        <v>2943</v>
      </c>
      <c r="D182" s="6" t="n">
        <v>122.3</v>
      </c>
      <c r="E182" s="6" t="n">
        <v>989625.98</v>
      </c>
      <c r="F182" s="6">
        <f>ROUND(E182-E181,2)</f>
        <v/>
      </c>
      <c r="G182" s="6">
        <f>ROUND(F182-D182,2)</f>
        <v/>
      </c>
    </row>
    <row r="183">
      <c r="A183" t="inlineStr">
        <is>
          <t>2022-04-20</t>
        </is>
      </c>
      <c r="B183" t="n">
        <v>39</v>
      </c>
      <c r="C183" t="n">
        <v>2943</v>
      </c>
      <c r="D183" s="6" t="n">
        <v>67.5</v>
      </c>
      <c r="E183" s="6" t="n">
        <v>989693.48</v>
      </c>
      <c r="F183" s="6">
        <f>ROUND(E183-E182,2)</f>
        <v/>
      </c>
      <c r="G183" s="6">
        <f>ROUND(F183-D183,2)</f>
        <v/>
      </c>
    </row>
    <row r="184">
      <c r="A184" t="inlineStr">
        <is>
          <t>2022-04-21</t>
        </is>
      </c>
      <c r="B184" t="n">
        <v>1</v>
      </c>
      <c r="C184" t="n">
        <v>2944</v>
      </c>
      <c r="D184" s="6" t="n">
        <v>30.4</v>
      </c>
      <c r="E184" s="6" t="n">
        <v>989723.88</v>
      </c>
      <c r="F184" s="6">
        <f>ROUND(E184-E183,2)</f>
        <v/>
      </c>
      <c r="G184" s="6">
        <f>ROUND(F184-D184,2)</f>
        <v/>
      </c>
    </row>
    <row r="185">
      <c r="A185" t="inlineStr">
        <is>
          <t>2022-04-21</t>
        </is>
      </c>
      <c r="B185" t="n">
        <v>2</v>
      </c>
      <c r="C185" t="n">
        <v>2944</v>
      </c>
      <c r="D185" s="6" t="n">
        <v>25.1</v>
      </c>
      <c r="E185" s="6" t="n">
        <v>989748.98</v>
      </c>
      <c r="F185" s="6">
        <f>ROUND(E185-E184,2)</f>
        <v/>
      </c>
      <c r="G185" s="6">
        <f>ROUND(F185-D185,2)</f>
        <v/>
      </c>
    </row>
    <row r="186">
      <c r="A186" t="inlineStr">
        <is>
          <t>2022-04-21</t>
        </is>
      </c>
      <c r="B186" t="n">
        <v>3</v>
      </c>
      <c r="C186" t="n">
        <v>2944</v>
      </c>
      <c r="D186" s="6" t="n">
        <v>22.2</v>
      </c>
      <c r="E186" s="6" t="n">
        <v>989771.1800000001</v>
      </c>
      <c r="F186" s="6">
        <f>ROUND(E186-E185,2)</f>
        <v/>
      </c>
      <c r="G186" s="6">
        <f>ROUND(F186-D186,2)</f>
        <v/>
      </c>
    </row>
    <row r="187">
      <c r="A187" t="inlineStr">
        <is>
          <t>2022-04-21</t>
        </is>
      </c>
      <c r="B187" t="n">
        <v>4</v>
      </c>
      <c r="C187" t="n">
        <v>2944</v>
      </c>
      <c r="D187" s="6" t="n">
        <v>22.2</v>
      </c>
      <c r="E187" s="6" t="n">
        <v>989793.38</v>
      </c>
      <c r="F187" s="6">
        <f>ROUND(E187-E186,2)</f>
        <v/>
      </c>
      <c r="G187" s="6">
        <f>ROUND(F187-D187,2)</f>
        <v/>
      </c>
    </row>
    <row r="188">
      <c r="A188" t="inlineStr">
        <is>
          <t>2022-04-21</t>
        </is>
      </c>
      <c r="B188" t="n">
        <v>5</v>
      </c>
      <c r="C188" t="n">
        <v>2944</v>
      </c>
      <c r="D188" s="6" t="n">
        <v>16.9</v>
      </c>
      <c r="E188" s="6" t="n">
        <v>989810.28</v>
      </c>
      <c r="F188" s="6">
        <f>ROUND(E188-E187,2)</f>
        <v/>
      </c>
      <c r="G188" s="6">
        <f>ROUND(F188-D188,2)</f>
        <v/>
      </c>
    </row>
    <row r="189">
      <c r="A189" t="inlineStr">
        <is>
          <t>2022-04-21</t>
        </is>
      </c>
      <c r="B189" t="n">
        <v>6</v>
      </c>
      <c r="C189" t="n">
        <v>2944</v>
      </c>
      <c r="D189" s="6" t="n">
        <v>68.8</v>
      </c>
      <c r="E189" s="6" t="n">
        <v>989879.08</v>
      </c>
      <c r="F189" s="6">
        <f>ROUND(E189-E188,2)</f>
        <v/>
      </c>
      <c r="G189" s="6">
        <f>ROUND(F189-D189,2)</f>
        <v/>
      </c>
    </row>
    <row r="190">
      <c r="A190" t="inlineStr">
        <is>
          <t>2022-04-21</t>
        </is>
      </c>
      <c r="B190" t="n">
        <v>7</v>
      </c>
      <c r="C190" t="n">
        <v>2944</v>
      </c>
      <c r="D190" s="6" t="n">
        <v>42.6</v>
      </c>
      <c r="E190" s="6" t="n">
        <v>989921.6800000001</v>
      </c>
      <c r="F190" s="6">
        <f>ROUND(E190-E189,2)</f>
        <v/>
      </c>
      <c r="G190" s="6">
        <f>ROUND(F190-D190,2)</f>
        <v/>
      </c>
    </row>
    <row r="191">
      <c r="A191" t="inlineStr">
        <is>
          <t>2022-04-21</t>
        </is>
      </c>
      <c r="B191" t="n">
        <v>8</v>
      </c>
      <c r="C191" t="n">
        <v>2944</v>
      </c>
      <c r="D191" s="6" t="n">
        <v>59.4</v>
      </c>
      <c r="E191" s="6" t="n">
        <v>989981.08</v>
      </c>
      <c r="F191" s="6">
        <f>ROUND(E191-E190,2)</f>
        <v/>
      </c>
      <c r="G191" s="6">
        <f>ROUND(F191-D191,2)</f>
        <v/>
      </c>
    </row>
    <row r="192">
      <c r="A192" t="inlineStr">
        <is>
          <t>2022-04-21</t>
        </is>
      </c>
      <c r="B192" t="n">
        <v>9</v>
      </c>
      <c r="C192" t="n">
        <v>2944</v>
      </c>
      <c r="D192" s="6" t="n">
        <v>55.2</v>
      </c>
      <c r="E192" s="6" t="n">
        <v>990036.28</v>
      </c>
      <c r="F192" s="6">
        <f>ROUND(E192-E191,2)</f>
        <v/>
      </c>
      <c r="G192" s="6">
        <f>ROUND(F192-D192,2)</f>
        <v/>
      </c>
    </row>
    <row r="193">
      <c r="A193" t="inlineStr">
        <is>
          <t>2022-04-21</t>
        </is>
      </c>
      <c r="B193" t="n">
        <v>10</v>
      </c>
      <c r="C193" t="n">
        <v>2944</v>
      </c>
      <c r="D193" s="6" t="n">
        <v>71.40000000000001</v>
      </c>
      <c r="E193" s="6" t="n">
        <v>990107.6800000001</v>
      </c>
      <c r="F193" s="6">
        <f>ROUND(E193-E192,2)</f>
        <v/>
      </c>
      <c r="G193" s="6">
        <f>ROUND(F193-D193,2)</f>
        <v/>
      </c>
    </row>
    <row r="194">
      <c r="A194" t="inlineStr">
        <is>
          <t>2022-04-21</t>
        </is>
      </c>
      <c r="B194" t="n">
        <v>11</v>
      </c>
      <c r="C194" t="n">
        <v>2944</v>
      </c>
      <c r="D194" s="6" t="n">
        <v>147.7</v>
      </c>
      <c r="E194" s="6" t="n">
        <v>990255.38</v>
      </c>
      <c r="F194" s="6">
        <f>ROUND(E194-E193,2)</f>
        <v/>
      </c>
      <c r="G194" s="6">
        <f>ROUND(F194-D194,2)</f>
        <v/>
      </c>
    </row>
    <row r="195">
      <c r="A195" t="inlineStr">
        <is>
          <t>2022-04-21</t>
        </is>
      </c>
      <c r="B195" t="n">
        <v>12</v>
      </c>
      <c r="C195" t="n">
        <v>2944</v>
      </c>
      <c r="D195" s="6" t="n">
        <v>66.7</v>
      </c>
      <c r="E195" s="6" t="n">
        <v>990322.08</v>
      </c>
      <c r="F195" s="6">
        <f>ROUND(E195-E194,2)</f>
        <v/>
      </c>
      <c r="G195" s="6">
        <f>ROUND(F195-D195,2)</f>
        <v/>
      </c>
    </row>
    <row r="196">
      <c r="A196" t="inlineStr">
        <is>
          <t>2022-04-21</t>
        </is>
      </c>
      <c r="B196" t="n">
        <v>13</v>
      </c>
      <c r="C196" t="n">
        <v>2944</v>
      </c>
      <c r="D196" s="6" t="n">
        <v>77.90000000000001</v>
      </c>
      <c r="E196" s="6" t="n">
        <v>990399.98</v>
      </c>
      <c r="F196" s="6">
        <f>ROUND(E196-E195,2)</f>
        <v/>
      </c>
      <c r="G196" s="6">
        <f>ROUND(F196-D196,2)</f>
        <v/>
      </c>
    </row>
    <row r="197">
      <c r="A197" t="inlineStr">
        <is>
          <t>2022-04-21</t>
        </is>
      </c>
      <c r="B197" t="n">
        <v>14</v>
      </c>
      <c r="C197" t="n">
        <v>2944</v>
      </c>
      <c r="D197" s="6" t="n">
        <v>34.4</v>
      </c>
      <c r="E197" s="6" t="n">
        <v>990434.38</v>
      </c>
      <c r="F197" s="6">
        <f>ROUND(E197-E196,2)</f>
        <v/>
      </c>
      <c r="G197" s="6">
        <f>ROUND(F197-D197,2)</f>
        <v/>
      </c>
    </row>
    <row r="198">
      <c r="A198" t="inlineStr">
        <is>
          <t>2022-04-21</t>
        </is>
      </c>
      <c r="B198" t="n">
        <v>15</v>
      </c>
      <c r="C198" t="n">
        <v>2944</v>
      </c>
      <c r="D198" s="6" t="n">
        <v>96.40000000000001</v>
      </c>
      <c r="E198" s="6" t="n">
        <v>990530.78</v>
      </c>
      <c r="F198" s="6">
        <f>ROUND(E198-E197,2)</f>
        <v/>
      </c>
      <c r="G198" s="6">
        <f>ROUND(F198-D198,2)</f>
        <v/>
      </c>
    </row>
    <row r="199">
      <c r="A199" t="inlineStr">
        <is>
          <t>2022-04-21</t>
        </is>
      </c>
      <c r="B199" t="n">
        <v>16</v>
      </c>
      <c r="C199" t="n">
        <v>2944</v>
      </c>
      <c r="D199" s="6" t="n">
        <v>45.8</v>
      </c>
      <c r="E199" s="6" t="n">
        <v>990576.58</v>
      </c>
      <c r="F199" s="6">
        <f>ROUND(E199-E198,2)</f>
        <v/>
      </c>
      <c r="G199" s="6">
        <f>ROUND(F199-D199,2)</f>
        <v/>
      </c>
    </row>
    <row r="200">
      <c r="A200" t="inlineStr">
        <is>
          <t>2022-04-21</t>
        </is>
      </c>
      <c r="B200" t="n">
        <v>17</v>
      </c>
      <c r="C200" t="n">
        <v>2944</v>
      </c>
      <c r="D200" s="6" t="n">
        <v>30.4</v>
      </c>
      <c r="E200" s="6" t="n">
        <v>990606.98</v>
      </c>
      <c r="F200" s="6">
        <f>ROUND(E200-E199,2)</f>
        <v/>
      </c>
      <c r="G200" s="6">
        <f>ROUND(F200-D200,2)</f>
        <v/>
      </c>
    </row>
    <row r="201">
      <c r="A201" t="inlineStr">
        <is>
          <t>2022-04-21</t>
        </is>
      </c>
      <c r="B201" t="n">
        <v>18</v>
      </c>
      <c r="C201" t="n">
        <v>2944</v>
      </c>
      <c r="D201" s="6" t="n">
        <v>51.9</v>
      </c>
      <c r="E201" s="6" t="n">
        <v>990658.88</v>
      </c>
      <c r="F201" s="6">
        <f>ROUND(E201-E200,2)</f>
        <v/>
      </c>
      <c r="G201" s="6">
        <f>ROUND(F201-D201,2)</f>
        <v/>
      </c>
    </row>
    <row r="202">
      <c r="A202" t="inlineStr">
        <is>
          <t>2022-04-21</t>
        </is>
      </c>
      <c r="B202" t="n">
        <v>19</v>
      </c>
      <c r="C202" t="n">
        <v>2944</v>
      </c>
      <c r="D202" s="6" t="n">
        <v>75.40000000000001</v>
      </c>
      <c r="E202" s="6" t="n">
        <v>990734.28</v>
      </c>
      <c r="F202" s="6">
        <f>ROUND(E202-E201,2)</f>
        <v/>
      </c>
      <c r="G202" s="6">
        <f>ROUND(F202-D202,2)</f>
        <v/>
      </c>
    </row>
    <row r="203">
      <c r="A203" t="inlineStr">
        <is>
          <t>2022-04-21</t>
        </is>
      </c>
      <c r="B203" t="n">
        <v>20</v>
      </c>
      <c r="C203" t="n">
        <v>2944</v>
      </c>
      <c r="D203" s="6" t="n">
        <v>73.2</v>
      </c>
      <c r="E203" s="6" t="n">
        <v>990807.48</v>
      </c>
      <c r="F203" s="6">
        <f>ROUND(E203-E202,2)</f>
        <v/>
      </c>
      <c r="G203" s="6">
        <f>ROUND(F203-D203,2)</f>
        <v/>
      </c>
    </row>
    <row r="204">
      <c r="A204" t="inlineStr">
        <is>
          <t>2022-04-21</t>
        </is>
      </c>
      <c r="B204" t="n">
        <v>21</v>
      </c>
      <c r="C204" t="n">
        <v>2944</v>
      </c>
      <c r="D204" s="6" t="n">
        <v>87.7</v>
      </c>
      <c r="E204" s="6" t="n">
        <v>990895.1800000001</v>
      </c>
      <c r="F204" s="6">
        <f>ROUND(E204-E203,2)</f>
        <v/>
      </c>
      <c r="G204" s="6">
        <f>ROUND(F204-D204,2)</f>
        <v/>
      </c>
    </row>
    <row r="205">
      <c r="A205" t="inlineStr">
        <is>
          <t>2022-04-21</t>
        </is>
      </c>
      <c r="B205" t="n">
        <v>22</v>
      </c>
      <c r="C205" t="n">
        <v>2944</v>
      </c>
      <c r="D205" s="6" t="n">
        <v>55.6</v>
      </c>
      <c r="E205" s="6" t="n">
        <v>990950.78</v>
      </c>
      <c r="F205" s="6">
        <f>ROUND(E205-E204,2)</f>
        <v/>
      </c>
      <c r="G205" s="6">
        <f>ROUND(F205-D205,2)</f>
        <v/>
      </c>
    </row>
    <row r="206">
      <c r="A206" t="inlineStr">
        <is>
          <t>2022-04-21</t>
        </is>
      </c>
      <c r="B206" t="n">
        <v>23</v>
      </c>
      <c r="C206" t="n">
        <v>2944</v>
      </c>
      <c r="D206" s="6" t="n">
        <v>49.2</v>
      </c>
      <c r="E206" s="6" t="n">
        <v>990999.98</v>
      </c>
      <c r="F206" s="6">
        <f>ROUND(E206-E205,2)</f>
        <v/>
      </c>
      <c r="G206" s="6">
        <f>ROUND(F206-D206,2)</f>
        <v/>
      </c>
    </row>
    <row r="207">
      <c r="A207" t="inlineStr">
        <is>
          <t>2022-04-21</t>
        </is>
      </c>
      <c r="B207" t="n">
        <v>24</v>
      </c>
      <c r="C207" t="n">
        <v>2944</v>
      </c>
      <c r="D207" s="6" t="n">
        <v>159.5</v>
      </c>
      <c r="E207" s="6" t="n">
        <v>991159.48</v>
      </c>
      <c r="F207" s="6">
        <f>ROUND(E207-E206,2)</f>
        <v/>
      </c>
      <c r="G207" s="6">
        <f>ROUND(F207-D207,2)</f>
        <v/>
      </c>
    </row>
    <row r="208">
      <c r="A208" t="inlineStr">
        <is>
          <t>2022-04-21</t>
        </is>
      </c>
      <c r="B208" t="n">
        <v>25</v>
      </c>
      <c r="C208" t="n">
        <v>2944</v>
      </c>
      <c r="D208" s="6" t="n">
        <v>67.7</v>
      </c>
      <c r="E208" s="6" t="n">
        <v>991227.1800000001</v>
      </c>
      <c r="F208" s="6">
        <f>ROUND(E208-E207,2)</f>
        <v/>
      </c>
      <c r="G208" s="6">
        <f>ROUND(F208-D208,2)</f>
        <v/>
      </c>
    </row>
    <row r="209">
      <c r="A209" t="inlineStr">
        <is>
          <t>2022-04-21</t>
        </is>
      </c>
      <c r="B209" t="n">
        <v>26</v>
      </c>
      <c r="C209" t="n">
        <v>2944</v>
      </c>
      <c r="D209" s="6" t="n">
        <v>65.2</v>
      </c>
      <c r="E209" s="6" t="n">
        <v>991292.38</v>
      </c>
      <c r="F209" s="6">
        <f>ROUND(E209-E208,2)</f>
        <v/>
      </c>
      <c r="G209" s="6">
        <f>ROUND(F209-D209,2)</f>
        <v/>
      </c>
    </row>
    <row r="210">
      <c r="A210" t="inlineStr">
        <is>
          <t>2022-04-21</t>
        </is>
      </c>
      <c r="B210" t="n">
        <v>27</v>
      </c>
      <c r="C210" t="n">
        <v>2944</v>
      </c>
      <c r="D210" s="6" t="n">
        <v>73.90000000000001</v>
      </c>
      <c r="E210" s="6" t="n">
        <v>991366.28</v>
      </c>
      <c r="F210" s="6">
        <f>ROUND(E210-E209,2)</f>
        <v/>
      </c>
      <c r="G210" s="6">
        <f>ROUND(F210-D210,2)</f>
        <v/>
      </c>
    </row>
    <row r="211">
      <c r="A211" t="inlineStr">
        <is>
          <t>2022-04-21</t>
        </is>
      </c>
      <c r="B211" t="n">
        <v>28</v>
      </c>
      <c r="C211" t="n">
        <v>2944</v>
      </c>
      <c r="D211" s="6" t="n">
        <v>61</v>
      </c>
      <c r="E211" s="6" t="n">
        <v>991427.28</v>
      </c>
      <c r="F211" s="6">
        <f>ROUND(E211-E210,2)</f>
        <v/>
      </c>
      <c r="G211" s="6">
        <f>ROUND(F211-D211,2)</f>
        <v/>
      </c>
    </row>
    <row r="212">
      <c r="A212" t="inlineStr">
        <is>
          <t>2022-04-21</t>
        </is>
      </c>
      <c r="B212" t="n">
        <v>29</v>
      </c>
      <c r="C212" t="n">
        <v>2944</v>
      </c>
      <c r="D212" s="6" t="n">
        <v>100.9</v>
      </c>
      <c r="E212" s="6" t="n">
        <v>991528.1800000001</v>
      </c>
      <c r="F212" s="6">
        <f>ROUND(E212-E211,2)</f>
        <v/>
      </c>
      <c r="G212" s="6">
        <f>ROUND(F212-D212,2)</f>
        <v/>
      </c>
    </row>
    <row r="213">
      <c r="A213" t="inlineStr">
        <is>
          <t>2022-04-21</t>
        </is>
      </c>
      <c r="B213" t="n">
        <v>30</v>
      </c>
      <c r="C213" t="n">
        <v>2944</v>
      </c>
      <c r="D213" s="6" t="n">
        <v>88.3</v>
      </c>
      <c r="E213" s="6" t="n">
        <v>991616.48</v>
      </c>
      <c r="F213" s="6">
        <f>ROUND(E213-E212,2)</f>
        <v/>
      </c>
      <c r="G213" s="6">
        <f>ROUND(F213-D213,2)</f>
        <v/>
      </c>
    </row>
    <row r="214">
      <c r="A214" t="inlineStr">
        <is>
          <t>2022-04-21</t>
        </is>
      </c>
      <c r="B214" t="n">
        <v>31</v>
      </c>
      <c r="C214" t="n">
        <v>2944</v>
      </c>
      <c r="D214" s="6" t="n">
        <v>161.7</v>
      </c>
      <c r="E214" s="6" t="n">
        <v>991778.1800000001</v>
      </c>
      <c r="F214" s="6">
        <f>ROUND(E214-E213,2)</f>
        <v/>
      </c>
      <c r="G214" s="6">
        <f>ROUND(F214-D214,2)</f>
        <v/>
      </c>
    </row>
    <row r="215">
      <c r="A215" t="inlineStr">
        <is>
          <t>2022-04-21</t>
        </is>
      </c>
      <c r="B215" t="n">
        <v>32</v>
      </c>
      <c r="C215" t="n">
        <v>2944</v>
      </c>
      <c r="D215" s="6" t="n">
        <v>119.8</v>
      </c>
      <c r="E215" s="6" t="n">
        <v>991897.98</v>
      </c>
      <c r="F215" s="6">
        <f>ROUND(E215-E214,2)</f>
        <v/>
      </c>
      <c r="G215" s="6">
        <f>ROUND(F215-D215,2)</f>
        <v/>
      </c>
    </row>
    <row r="216">
      <c r="A216" t="inlineStr">
        <is>
          <t>2022-04-21</t>
        </is>
      </c>
      <c r="B216" t="n">
        <v>33</v>
      </c>
      <c r="C216" t="n">
        <v>2944</v>
      </c>
      <c r="D216" s="6" t="n">
        <v>86.90000000000001</v>
      </c>
      <c r="E216" s="6" t="n">
        <v>991984.88</v>
      </c>
      <c r="F216" s="6">
        <f>ROUND(E216-E215,2)</f>
        <v/>
      </c>
      <c r="G216" s="6">
        <f>ROUND(F216-D216,2)</f>
        <v/>
      </c>
    </row>
    <row r="217">
      <c r="A217" t="inlineStr">
        <is>
          <t>2022-04-21</t>
        </is>
      </c>
      <c r="B217" t="n">
        <v>34</v>
      </c>
      <c r="C217" t="n">
        <v>2944</v>
      </c>
      <c r="D217" s="6" t="n">
        <v>147.1</v>
      </c>
      <c r="E217" s="6" t="n">
        <v>992131.98</v>
      </c>
      <c r="F217" s="6">
        <f>ROUND(E217-E216,2)</f>
        <v/>
      </c>
      <c r="G217" s="6">
        <f>ROUND(F217-D217,2)</f>
        <v/>
      </c>
    </row>
    <row r="218">
      <c r="A218" t="inlineStr">
        <is>
          <t>2022-04-21</t>
        </is>
      </c>
      <c r="B218" t="n">
        <v>35</v>
      </c>
      <c r="C218" t="n">
        <v>2944</v>
      </c>
      <c r="D218" s="6" t="n">
        <v>242.5</v>
      </c>
      <c r="E218" s="6" t="n">
        <v>992374.48</v>
      </c>
      <c r="F218" s="6">
        <f>ROUND(E218-E217,2)</f>
        <v/>
      </c>
      <c r="G218" s="6">
        <f>ROUND(F218-D218,2)</f>
        <v/>
      </c>
    </row>
    <row r="219">
      <c r="A219" t="inlineStr">
        <is>
          <t>2022-04-21</t>
        </is>
      </c>
      <c r="B219" t="n">
        <v>36</v>
      </c>
      <c r="C219" t="n">
        <v>2944</v>
      </c>
      <c r="D219" s="6" t="n">
        <v>71.2</v>
      </c>
      <c r="E219" s="6" t="n">
        <v>992445.6800000001</v>
      </c>
      <c r="F219" s="6">
        <f>ROUND(E219-E218,2)</f>
        <v/>
      </c>
      <c r="G219" s="6">
        <f>ROUND(F219-D219,2)</f>
        <v/>
      </c>
    </row>
    <row r="220">
      <c r="A220" t="inlineStr">
        <is>
          <t>2022-04-21</t>
        </is>
      </c>
      <c r="B220" t="n">
        <v>37</v>
      </c>
      <c r="C220" t="n">
        <v>2944</v>
      </c>
      <c r="D220" s="6" t="n">
        <v>73.8</v>
      </c>
      <c r="E220" s="6" t="n">
        <v>992519.48</v>
      </c>
      <c r="F220" s="6">
        <f>ROUND(E220-E219,2)</f>
        <v/>
      </c>
      <c r="G220" s="6">
        <f>ROUND(F220-D220,2)</f>
        <v/>
      </c>
    </row>
    <row r="221">
      <c r="A221" t="inlineStr">
        <is>
          <t>2022-04-22</t>
        </is>
      </c>
      <c r="B221" t="n">
        <v>1</v>
      </c>
      <c r="C221" t="n">
        <v>2945</v>
      </c>
      <c r="D221" s="6" t="n">
        <v>45</v>
      </c>
      <c r="E221" s="6" t="n">
        <v>992564.48</v>
      </c>
      <c r="F221" s="6">
        <f>ROUND(E221-E220,2)</f>
        <v/>
      </c>
      <c r="G221" s="6">
        <f>ROUND(F221-D221,2)</f>
        <v/>
      </c>
    </row>
    <row r="222">
      <c r="A222" t="inlineStr">
        <is>
          <t>2022-04-22</t>
        </is>
      </c>
      <c r="B222" t="n">
        <v>2</v>
      </c>
      <c r="C222" t="n">
        <v>2945</v>
      </c>
      <c r="D222" s="6" t="n">
        <v>48.1</v>
      </c>
      <c r="E222" s="6" t="n">
        <v>992612.58</v>
      </c>
      <c r="F222" s="6">
        <f>ROUND(E222-E221,2)</f>
        <v/>
      </c>
      <c r="G222" s="6">
        <f>ROUND(F222-D222,2)</f>
        <v/>
      </c>
    </row>
    <row r="223">
      <c r="A223" t="inlineStr">
        <is>
          <t>2022-04-22</t>
        </is>
      </c>
      <c r="B223" t="n">
        <v>3</v>
      </c>
      <c r="C223" t="n">
        <v>2945</v>
      </c>
      <c r="D223" s="6" t="n">
        <v>36.5</v>
      </c>
      <c r="E223" s="6" t="n">
        <v>992649.08</v>
      </c>
      <c r="F223" s="6">
        <f>ROUND(E223-E222,2)</f>
        <v/>
      </c>
      <c r="G223" s="6">
        <f>ROUND(F223-D223,2)</f>
        <v/>
      </c>
    </row>
    <row r="224">
      <c r="A224" t="inlineStr">
        <is>
          <t>2022-04-22</t>
        </is>
      </c>
      <c r="B224" t="n">
        <v>4</v>
      </c>
      <c r="C224" t="n">
        <v>2945</v>
      </c>
      <c r="D224" s="6" t="n">
        <v>61.5</v>
      </c>
      <c r="E224" s="6" t="n">
        <v>992710.58</v>
      </c>
      <c r="F224" s="6">
        <f>ROUND(E224-E223,2)</f>
        <v/>
      </c>
      <c r="G224" s="6">
        <f>ROUND(F224-D224,2)</f>
        <v/>
      </c>
    </row>
    <row r="225">
      <c r="A225" t="inlineStr">
        <is>
          <t>2022-04-22</t>
        </is>
      </c>
      <c r="B225" t="n">
        <v>5</v>
      </c>
      <c r="C225" t="n">
        <v>2945</v>
      </c>
      <c r="D225" s="6" t="n">
        <v>50.5</v>
      </c>
      <c r="E225" s="6" t="n">
        <v>992761.08</v>
      </c>
      <c r="F225" s="6">
        <f>ROUND(E225-E224,2)</f>
        <v/>
      </c>
      <c r="G225" s="6">
        <f>ROUND(F225-D225,2)</f>
        <v/>
      </c>
    </row>
    <row r="226">
      <c r="A226" t="inlineStr">
        <is>
          <t>2022-04-22</t>
        </is>
      </c>
      <c r="B226" t="n">
        <v>6</v>
      </c>
      <c r="C226" t="n">
        <v>2945</v>
      </c>
      <c r="D226" s="6" t="n">
        <v>70</v>
      </c>
      <c r="E226" s="6" t="n">
        <v>992831.08</v>
      </c>
      <c r="F226" s="6">
        <f>ROUND(E226-E225,2)</f>
        <v/>
      </c>
      <c r="G226" s="6">
        <f>ROUND(F226-D226,2)</f>
        <v/>
      </c>
    </row>
    <row r="227">
      <c r="A227" t="inlineStr">
        <is>
          <t>2022-04-22</t>
        </is>
      </c>
      <c r="B227" t="n">
        <v>7</v>
      </c>
      <c r="C227" t="n">
        <v>2945</v>
      </c>
      <c r="D227" s="6" t="n">
        <v>72.2</v>
      </c>
      <c r="E227" s="6" t="n">
        <v>992903.28</v>
      </c>
      <c r="F227" s="6">
        <f>ROUND(E227-E226,2)</f>
        <v/>
      </c>
      <c r="G227" s="6">
        <f>ROUND(F227-D227,2)</f>
        <v/>
      </c>
    </row>
    <row r="228">
      <c r="A228" t="inlineStr">
        <is>
          <t>2022-04-22</t>
        </is>
      </c>
      <c r="B228" t="n">
        <v>8</v>
      </c>
      <c r="C228" t="n">
        <v>2945</v>
      </c>
      <c r="D228" s="6" t="n">
        <v>50.2</v>
      </c>
      <c r="E228" s="6" t="n">
        <v>992953.48</v>
      </c>
      <c r="F228" s="6">
        <f>ROUND(E228-E227,2)</f>
        <v/>
      </c>
      <c r="G228" s="6">
        <f>ROUND(F228-D228,2)</f>
        <v/>
      </c>
    </row>
    <row r="229">
      <c r="A229" t="inlineStr">
        <is>
          <t>2022-04-22</t>
        </is>
      </c>
      <c r="B229" t="n">
        <v>9</v>
      </c>
      <c r="C229" t="n">
        <v>2945</v>
      </c>
      <c r="D229" s="6" t="n">
        <v>85.59999999999999</v>
      </c>
      <c r="E229" s="6" t="n">
        <v>993039.08</v>
      </c>
      <c r="F229" s="6">
        <f>ROUND(E229-E228,2)</f>
        <v/>
      </c>
      <c r="G229" s="6">
        <f>ROUND(F229-D229,2)</f>
        <v/>
      </c>
    </row>
    <row r="230">
      <c r="A230" t="inlineStr">
        <is>
          <t>2022-04-22</t>
        </is>
      </c>
      <c r="B230" t="n">
        <v>10</v>
      </c>
      <c r="C230" t="n">
        <v>2945</v>
      </c>
      <c r="D230" s="6" t="n">
        <v>72.59999999999999</v>
      </c>
      <c r="E230" s="6" t="n">
        <v>993111.6800000001</v>
      </c>
      <c r="F230" s="6">
        <f>ROUND(E230-E229,2)</f>
        <v/>
      </c>
      <c r="G230" s="6">
        <f>ROUND(F230-D230,2)</f>
        <v/>
      </c>
    </row>
    <row r="231">
      <c r="A231" t="inlineStr">
        <is>
          <t>2022-04-22</t>
        </is>
      </c>
      <c r="B231" t="n">
        <v>11</v>
      </c>
      <c r="C231" t="n">
        <v>2945</v>
      </c>
      <c r="D231" s="6" t="n">
        <v>75.40000000000001</v>
      </c>
      <c r="E231" s="6" t="n">
        <v>993187.08</v>
      </c>
      <c r="F231" s="6">
        <f>ROUND(E231-E230,2)</f>
        <v/>
      </c>
      <c r="G231" s="6">
        <f>ROUND(F231-D231,2)</f>
        <v/>
      </c>
    </row>
    <row r="232">
      <c r="A232" t="inlineStr">
        <is>
          <t>2022-04-22</t>
        </is>
      </c>
      <c r="B232" t="n">
        <v>12</v>
      </c>
      <c r="C232" t="n">
        <v>2945</v>
      </c>
      <c r="D232" s="6" t="n">
        <v>67.40000000000001</v>
      </c>
      <c r="E232" s="6" t="n">
        <v>993254.48</v>
      </c>
      <c r="F232" s="6">
        <f>ROUND(E232-E231,2)</f>
        <v/>
      </c>
      <c r="G232" s="6">
        <f>ROUND(F232-D232,2)</f>
        <v/>
      </c>
    </row>
    <row r="233">
      <c r="A233" t="inlineStr">
        <is>
          <t>2022-04-22</t>
        </is>
      </c>
      <c r="B233" t="n">
        <v>13</v>
      </c>
      <c r="C233" t="n">
        <v>2945</v>
      </c>
      <c r="D233" s="6" t="n">
        <v>69.40000000000001</v>
      </c>
      <c r="E233" s="6" t="n">
        <v>993323.88</v>
      </c>
      <c r="F233" s="6">
        <f>ROUND(E233-E232,2)</f>
        <v/>
      </c>
      <c r="G233" s="6">
        <f>ROUND(F233-D233,2)</f>
        <v/>
      </c>
    </row>
    <row r="234">
      <c r="A234" t="inlineStr">
        <is>
          <t>2022-04-22</t>
        </is>
      </c>
      <c r="B234" t="n">
        <v>14</v>
      </c>
      <c r="C234" t="n">
        <v>2945</v>
      </c>
      <c r="D234" s="6" t="n">
        <v>147.3</v>
      </c>
      <c r="E234" s="6" t="n">
        <v>993471.1800000001</v>
      </c>
      <c r="F234" s="6">
        <f>ROUND(E234-E233,2)</f>
        <v/>
      </c>
      <c r="G234" s="6">
        <f>ROUND(F234-D234,2)</f>
        <v/>
      </c>
    </row>
    <row r="235">
      <c r="A235" t="inlineStr">
        <is>
          <t>2022-04-22</t>
        </is>
      </c>
      <c r="B235" t="n">
        <v>15</v>
      </c>
      <c r="C235" t="n">
        <v>2945</v>
      </c>
      <c r="D235" s="6" t="n">
        <v>58.25</v>
      </c>
      <c r="E235" s="6" t="n">
        <v>993529.4300000001</v>
      </c>
      <c r="F235" s="6">
        <f>ROUND(E235-E234,2)</f>
        <v/>
      </c>
      <c r="G235" s="6">
        <f>ROUND(F235-D235,2)</f>
        <v/>
      </c>
    </row>
    <row r="236">
      <c r="A236" t="inlineStr">
        <is>
          <t>2022-04-22</t>
        </is>
      </c>
      <c r="B236" t="n">
        <v>16</v>
      </c>
      <c r="C236" t="n">
        <v>2945</v>
      </c>
      <c r="D236" s="6" t="n">
        <v>58.25</v>
      </c>
      <c r="E236" s="6" t="n">
        <v>993587.6800000001</v>
      </c>
      <c r="F236" s="6">
        <f>ROUND(E236-E235,2)</f>
        <v/>
      </c>
      <c r="G236" s="6">
        <f>ROUND(F236-D236,2)</f>
        <v/>
      </c>
    </row>
    <row r="237">
      <c r="A237" t="inlineStr">
        <is>
          <t>2022-04-22</t>
        </is>
      </c>
      <c r="B237" t="n">
        <v>17</v>
      </c>
      <c r="C237" t="n">
        <v>2945</v>
      </c>
      <c r="D237" s="6" t="n">
        <v>31.8</v>
      </c>
      <c r="E237" s="6" t="n">
        <v>993619.48</v>
      </c>
      <c r="F237" s="6">
        <f>ROUND(E237-E236,2)</f>
        <v/>
      </c>
      <c r="G237" s="6">
        <f>ROUND(F237-D237,2)</f>
        <v/>
      </c>
    </row>
    <row r="238">
      <c r="A238" t="inlineStr">
        <is>
          <t>2022-04-22</t>
        </is>
      </c>
      <c r="B238" t="n">
        <v>18</v>
      </c>
      <c r="C238" t="n">
        <v>2945</v>
      </c>
      <c r="D238" s="6" t="n">
        <v>34.1</v>
      </c>
      <c r="E238" s="6" t="n">
        <v>993653.58</v>
      </c>
      <c r="F238" s="6">
        <f>ROUND(E238-E237,2)</f>
        <v/>
      </c>
      <c r="G238" s="6">
        <f>ROUND(F238-D238,2)</f>
        <v/>
      </c>
    </row>
    <row r="239">
      <c r="A239" t="inlineStr">
        <is>
          <t>2022-04-22</t>
        </is>
      </c>
      <c r="B239" t="n">
        <v>19</v>
      </c>
      <c r="C239" t="n">
        <v>2945</v>
      </c>
      <c r="D239" s="6" t="n">
        <v>61.2</v>
      </c>
      <c r="E239" s="6" t="n">
        <v>993714.78</v>
      </c>
      <c r="F239" s="6">
        <f>ROUND(E239-E238,2)</f>
        <v/>
      </c>
      <c r="G239" s="6">
        <f>ROUND(F239-D239,2)</f>
        <v/>
      </c>
    </row>
    <row r="240">
      <c r="A240" t="inlineStr">
        <is>
          <t>2022-04-22</t>
        </is>
      </c>
      <c r="B240" t="n">
        <v>20</v>
      </c>
      <c r="C240" t="n">
        <v>2945</v>
      </c>
      <c r="D240" s="6" t="n">
        <v>82.7</v>
      </c>
      <c r="E240" s="6" t="n">
        <v>993797.48</v>
      </c>
      <c r="F240" s="6">
        <f>ROUND(E240-E239,2)</f>
        <v/>
      </c>
      <c r="G240" s="6">
        <f>ROUND(F240-D240,2)</f>
        <v/>
      </c>
    </row>
    <row r="241">
      <c r="A241" t="inlineStr">
        <is>
          <t>2022-04-22</t>
        </is>
      </c>
      <c r="B241" t="n">
        <v>21</v>
      </c>
      <c r="C241" t="n">
        <v>2945</v>
      </c>
      <c r="D241" s="6" t="n">
        <v>91.7</v>
      </c>
      <c r="E241" s="6" t="n">
        <v>993889.1800000001</v>
      </c>
      <c r="F241" s="6">
        <f>ROUND(E241-E240,2)</f>
        <v/>
      </c>
      <c r="G241" s="6">
        <f>ROUND(F241-D241,2)</f>
        <v/>
      </c>
    </row>
    <row r="242">
      <c r="A242" t="inlineStr">
        <is>
          <t>2022-04-22</t>
        </is>
      </c>
      <c r="B242" t="n">
        <v>22</v>
      </c>
      <c r="C242" t="n">
        <v>2945</v>
      </c>
      <c r="D242" s="6" t="n">
        <v>66.59999999999999</v>
      </c>
      <c r="E242" s="6" t="n">
        <v>993955.78</v>
      </c>
      <c r="F242" s="6">
        <f>ROUND(E242-E241,2)</f>
        <v/>
      </c>
      <c r="G242" s="6">
        <f>ROUND(F242-D242,2)</f>
        <v/>
      </c>
    </row>
    <row r="243">
      <c r="A243" t="inlineStr">
        <is>
          <t>2022-04-22</t>
        </is>
      </c>
      <c r="B243" t="n">
        <v>23</v>
      </c>
      <c r="C243" t="n">
        <v>2945</v>
      </c>
      <c r="D243" s="6" t="n">
        <v>78.09999999999999</v>
      </c>
      <c r="E243" s="6" t="n">
        <v>994033.88</v>
      </c>
      <c r="F243" s="6">
        <f>ROUND(E243-E242,2)</f>
        <v/>
      </c>
      <c r="G243" s="6">
        <f>ROUND(F243-D243,2)</f>
        <v/>
      </c>
    </row>
    <row r="244">
      <c r="A244" t="inlineStr">
        <is>
          <t>2022-04-22</t>
        </is>
      </c>
      <c r="B244" t="n">
        <v>24</v>
      </c>
      <c r="C244" t="n">
        <v>2945</v>
      </c>
      <c r="D244" s="6" t="n">
        <v>119.5</v>
      </c>
      <c r="E244" s="6" t="n">
        <v>994153.38</v>
      </c>
      <c r="F244" s="6">
        <f>ROUND(E244-E243,2)</f>
        <v/>
      </c>
      <c r="G244" s="6">
        <f>ROUND(F244-D244,2)</f>
        <v/>
      </c>
    </row>
    <row r="245">
      <c r="A245" t="inlineStr">
        <is>
          <t>2022-04-22</t>
        </is>
      </c>
      <c r="B245" t="n">
        <v>25</v>
      </c>
      <c r="C245" t="n">
        <v>2945</v>
      </c>
      <c r="D245" s="6" t="n">
        <v>30.1</v>
      </c>
      <c r="E245" s="6" t="n">
        <v>994183.48</v>
      </c>
      <c r="F245" s="6">
        <f>ROUND(E245-E244,2)</f>
        <v/>
      </c>
      <c r="G245" s="6">
        <f>ROUND(F245-D245,2)</f>
        <v/>
      </c>
    </row>
    <row r="246">
      <c r="A246" t="inlineStr">
        <is>
          <t>2022-04-22</t>
        </is>
      </c>
      <c r="B246" t="n">
        <v>26</v>
      </c>
      <c r="C246" t="n">
        <v>2945</v>
      </c>
      <c r="D246" s="6" t="n">
        <v>30.1</v>
      </c>
      <c r="E246" s="6" t="n">
        <v>994213.58</v>
      </c>
      <c r="F246" s="6">
        <f>ROUND(E246-E245,2)</f>
        <v/>
      </c>
      <c r="G246" s="6">
        <f>ROUND(F246-D246,2)</f>
        <v/>
      </c>
    </row>
    <row r="247">
      <c r="A247" t="inlineStr">
        <is>
          <t>2022-04-22</t>
        </is>
      </c>
      <c r="B247" t="n">
        <v>27</v>
      </c>
      <c r="C247" t="n">
        <v>2945</v>
      </c>
      <c r="D247" s="6" t="n">
        <v>15.9</v>
      </c>
      <c r="E247" s="6" t="n">
        <v>994229.48</v>
      </c>
      <c r="F247" s="6">
        <f>ROUND(E247-E246,2)</f>
        <v/>
      </c>
      <c r="G247" s="6">
        <f>ROUND(F247-D247,2)</f>
        <v/>
      </c>
    </row>
    <row r="248">
      <c r="A248" t="inlineStr">
        <is>
          <t>2022-04-22</t>
        </is>
      </c>
      <c r="B248" t="n">
        <v>28</v>
      </c>
      <c r="C248" t="n">
        <v>2945</v>
      </c>
      <c r="D248" s="6" t="n">
        <v>85.5</v>
      </c>
      <c r="E248" s="6" t="n">
        <v>994314.98</v>
      </c>
      <c r="F248" s="6">
        <f>ROUND(E248-E247,2)</f>
        <v/>
      </c>
      <c r="G248" s="6">
        <f>ROUND(F248-D248,2)</f>
        <v/>
      </c>
    </row>
    <row r="249">
      <c r="A249" t="inlineStr">
        <is>
          <t>2022-04-22</t>
        </is>
      </c>
      <c r="B249" t="n">
        <v>29</v>
      </c>
      <c r="C249" t="n">
        <v>2945</v>
      </c>
      <c r="D249" s="6" t="n">
        <v>106.5</v>
      </c>
      <c r="E249" s="6" t="n">
        <v>994421.48</v>
      </c>
      <c r="F249" s="6">
        <f>ROUND(E249-E248,2)</f>
        <v/>
      </c>
      <c r="G249" s="6">
        <f>ROUND(F249-D249,2)</f>
        <v/>
      </c>
    </row>
    <row r="250">
      <c r="A250" t="inlineStr">
        <is>
          <t>2022-04-22</t>
        </is>
      </c>
      <c r="B250" t="n">
        <v>30</v>
      </c>
      <c r="C250" t="n">
        <v>2945</v>
      </c>
      <c r="D250" s="6" t="n">
        <v>138.4</v>
      </c>
      <c r="E250" s="6" t="n">
        <v>994559.88</v>
      </c>
      <c r="F250" s="6">
        <f>ROUND(E250-E249,2)</f>
        <v/>
      </c>
      <c r="G250" s="6">
        <f>ROUND(F250-D250,2)</f>
        <v/>
      </c>
    </row>
    <row r="251">
      <c r="A251" t="inlineStr">
        <is>
          <t>2022-04-22</t>
        </is>
      </c>
      <c r="B251" t="n">
        <v>31</v>
      </c>
      <c r="C251" t="n">
        <v>2945</v>
      </c>
      <c r="D251" s="6" t="n">
        <v>87.7</v>
      </c>
      <c r="E251" s="6" t="n">
        <v>994647.58</v>
      </c>
      <c r="F251" s="6">
        <f>ROUND(E251-E250,2)</f>
        <v/>
      </c>
      <c r="G251" s="6">
        <f>ROUND(F251-D251,2)</f>
        <v/>
      </c>
    </row>
    <row r="252">
      <c r="A252" t="inlineStr">
        <is>
          <t>2022-04-22</t>
        </is>
      </c>
      <c r="B252" t="n">
        <v>32</v>
      </c>
      <c r="C252" t="n">
        <v>2945</v>
      </c>
      <c r="D252" s="6" t="n">
        <v>67.5</v>
      </c>
      <c r="E252" s="6" t="n">
        <v>994715.08</v>
      </c>
      <c r="F252" s="6">
        <f>ROUND(E252-E251,2)</f>
        <v/>
      </c>
      <c r="G252" s="6">
        <f>ROUND(F252-D252,2)</f>
        <v/>
      </c>
    </row>
    <row r="253">
      <c r="A253" t="inlineStr">
        <is>
          <t>2022-04-22</t>
        </is>
      </c>
      <c r="B253" t="n">
        <v>33</v>
      </c>
      <c r="C253" t="n">
        <v>2945</v>
      </c>
      <c r="D253" s="6" t="n">
        <v>36.6</v>
      </c>
      <c r="E253" s="6" t="n">
        <v>994751.6800000001</v>
      </c>
      <c r="F253" s="6">
        <f>ROUND(E253-E252,2)</f>
        <v/>
      </c>
      <c r="G253" s="6">
        <f>ROUND(F253-D253,2)</f>
        <v/>
      </c>
    </row>
    <row r="254">
      <c r="A254" t="inlineStr">
        <is>
          <t>2022-04-22</t>
        </is>
      </c>
      <c r="B254" t="n">
        <v>34</v>
      </c>
      <c r="C254" t="n">
        <v>2945</v>
      </c>
      <c r="D254" s="6" t="n">
        <v>56.1</v>
      </c>
      <c r="E254" s="6" t="n">
        <v>994807.78</v>
      </c>
      <c r="F254" s="6">
        <f>ROUND(E254-E253,2)</f>
        <v/>
      </c>
      <c r="G254" s="6">
        <f>ROUND(F254-D254,2)</f>
        <v/>
      </c>
    </row>
    <row r="255">
      <c r="A255" t="inlineStr">
        <is>
          <t>2022-04-22</t>
        </is>
      </c>
      <c r="B255" t="n">
        <v>35</v>
      </c>
      <c r="C255" t="n">
        <v>2945</v>
      </c>
      <c r="D255" s="6" t="n">
        <v>72</v>
      </c>
      <c r="E255" s="6" t="n">
        <v>994879.78</v>
      </c>
      <c r="F255" s="6">
        <f>ROUND(E255-E254,2)</f>
        <v/>
      </c>
      <c r="G255" s="6">
        <f>ROUND(F255-D255,2)</f>
        <v/>
      </c>
    </row>
    <row r="256">
      <c r="A256" t="inlineStr">
        <is>
          <t>2022-04-22</t>
        </is>
      </c>
      <c r="B256" t="n">
        <v>36</v>
      </c>
      <c r="C256" t="n">
        <v>2945</v>
      </c>
      <c r="D256" s="6" t="n">
        <v>132.7</v>
      </c>
      <c r="E256" s="6" t="n">
        <v>995012.48</v>
      </c>
      <c r="F256" s="6">
        <f>ROUND(E256-E255,2)</f>
        <v/>
      </c>
      <c r="G256" s="6">
        <f>ROUND(F256-D256,2)</f>
        <v/>
      </c>
    </row>
    <row r="257">
      <c r="A257" t="inlineStr">
        <is>
          <t>2022-04-22</t>
        </is>
      </c>
      <c r="B257" t="n">
        <v>37</v>
      </c>
      <c r="C257" t="n">
        <v>2945</v>
      </c>
      <c r="D257" s="6" t="n">
        <v>130</v>
      </c>
      <c r="E257" s="6" t="n">
        <v>995142.48</v>
      </c>
      <c r="F257" s="6">
        <f>ROUND(E257-E256,2)</f>
        <v/>
      </c>
      <c r="G257" s="6">
        <f>ROUND(F257-D257,2)</f>
        <v/>
      </c>
    </row>
    <row r="258">
      <c r="A258" t="inlineStr">
        <is>
          <t>2022-04-22</t>
        </is>
      </c>
      <c r="B258" t="n">
        <v>38</v>
      </c>
      <c r="C258" t="n">
        <v>2945</v>
      </c>
      <c r="D258" s="6" t="n">
        <v>62.5</v>
      </c>
      <c r="E258" s="6" t="n">
        <v>995204.98</v>
      </c>
      <c r="F258" s="6">
        <f>ROUND(E258-E257,2)</f>
        <v/>
      </c>
      <c r="G258" s="6">
        <f>ROUND(F258-D258,2)</f>
        <v/>
      </c>
    </row>
    <row r="259">
      <c r="A259" t="inlineStr">
        <is>
          <t>2022-04-22</t>
        </is>
      </c>
      <c r="B259" t="n">
        <v>39</v>
      </c>
      <c r="C259" t="n">
        <v>2945</v>
      </c>
      <c r="D259" s="6" t="n">
        <v>81.5</v>
      </c>
      <c r="E259" s="6" t="n">
        <v>995286.48</v>
      </c>
      <c r="F259" s="6">
        <f>ROUND(E259-E258,2)</f>
        <v/>
      </c>
      <c r="G259" s="6">
        <f>ROUND(F259-D259,2)</f>
        <v/>
      </c>
    </row>
    <row r="260">
      <c r="A260" t="inlineStr">
        <is>
          <t>2022-04-23</t>
        </is>
      </c>
      <c r="B260" t="n">
        <v>1</v>
      </c>
      <c r="C260" t="n">
        <v>2946</v>
      </c>
      <c r="D260" s="6" t="n">
        <v>64.7</v>
      </c>
      <c r="E260" s="6" t="n">
        <v>995351.1800000001</v>
      </c>
      <c r="F260" s="6">
        <f>ROUND(E260-E259,2)</f>
        <v/>
      </c>
      <c r="G260" s="6">
        <f>ROUND(F260-D260,2)</f>
        <v/>
      </c>
    </row>
    <row r="261">
      <c r="A261" t="inlineStr">
        <is>
          <t>2022-04-23</t>
        </is>
      </c>
      <c r="B261" t="n">
        <v>2</v>
      </c>
      <c r="C261" t="n">
        <v>2946</v>
      </c>
      <c r="D261" s="6" t="n">
        <v>67.40000000000001</v>
      </c>
      <c r="E261" s="6" t="n">
        <v>995418.58</v>
      </c>
      <c r="F261" s="6">
        <f>ROUND(E261-E260,2)</f>
        <v/>
      </c>
      <c r="G261" s="6">
        <f>ROUND(F261-D261,2)</f>
        <v/>
      </c>
    </row>
    <row r="262">
      <c r="A262" t="inlineStr">
        <is>
          <t>2022-04-23</t>
        </is>
      </c>
      <c r="B262" t="n">
        <v>3</v>
      </c>
      <c r="C262" t="n">
        <v>2946</v>
      </c>
      <c r="D262" s="6" t="n">
        <v>75.7</v>
      </c>
      <c r="E262" s="6" t="n">
        <v>995494.28</v>
      </c>
      <c r="F262" s="6">
        <f>ROUND(E262-E261,2)</f>
        <v/>
      </c>
      <c r="G262" s="6">
        <f>ROUND(F262-D262,2)</f>
        <v/>
      </c>
    </row>
    <row r="263">
      <c r="A263" t="inlineStr">
        <is>
          <t>2022-04-23</t>
        </is>
      </c>
      <c r="B263" t="n">
        <v>4</v>
      </c>
      <c r="C263" t="n">
        <v>2946</v>
      </c>
      <c r="D263" s="6" t="n">
        <v>86.2</v>
      </c>
      <c r="E263" s="6" t="n">
        <v>995580.48</v>
      </c>
      <c r="F263" s="6">
        <f>ROUND(E263-E262,2)</f>
        <v/>
      </c>
      <c r="G263" s="6">
        <f>ROUND(F263-D263,2)</f>
        <v/>
      </c>
    </row>
    <row r="264">
      <c r="A264" t="inlineStr">
        <is>
          <t>2022-04-23</t>
        </is>
      </c>
      <c r="B264" t="n">
        <v>5</v>
      </c>
      <c r="C264" t="n">
        <v>2946</v>
      </c>
      <c r="D264" s="6" t="n">
        <v>93.09999999999999</v>
      </c>
      <c r="E264" s="6" t="n">
        <v>995673.58</v>
      </c>
      <c r="F264" s="6">
        <f>ROUND(E264-E263,2)</f>
        <v/>
      </c>
      <c r="G264" s="6">
        <f>ROUND(F264-D264,2)</f>
        <v/>
      </c>
    </row>
    <row r="265">
      <c r="A265" t="inlineStr">
        <is>
          <t>2022-04-23</t>
        </is>
      </c>
      <c r="B265" t="n">
        <v>6</v>
      </c>
      <c r="C265" t="n">
        <v>2946</v>
      </c>
      <c r="D265" s="6" t="n">
        <v>89.8</v>
      </c>
      <c r="E265" s="6" t="n">
        <v>995763.38</v>
      </c>
      <c r="F265" s="6">
        <f>ROUND(E265-E264,2)</f>
        <v/>
      </c>
      <c r="G265" s="6">
        <f>ROUND(F265-D265,2)</f>
        <v/>
      </c>
    </row>
    <row r="266">
      <c r="A266" t="inlineStr">
        <is>
          <t>2022-04-23</t>
        </is>
      </c>
      <c r="B266" t="n">
        <v>7</v>
      </c>
      <c r="C266" t="n">
        <v>2946</v>
      </c>
      <c r="D266" s="6" t="n">
        <v>81.09999999999999</v>
      </c>
      <c r="E266" s="6" t="n">
        <v>995844.48</v>
      </c>
      <c r="F266" s="6">
        <f>ROUND(E266-E265,2)</f>
        <v/>
      </c>
      <c r="G266" s="6">
        <f>ROUND(F266-D266,2)</f>
        <v/>
      </c>
    </row>
    <row r="267">
      <c r="A267" t="inlineStr">
        <is>
          <t>2022-04-23</t>
        </is>
      </c>
      <c r="B267" t="n">
        <v>8</v>
      </c>
      <c r="C267" t="n">
        <v>2946</v>
      </c>
      <c r="D267" s="6" t="n">
        <v>67.40000000000001</v>
      </c>
      <c r="E267" s="6" t="n">
        <v>995911.88</v>
      </c>
      <c r="F267" s="6">
        <f>ROUND(E267-E266,2)</f>
        <v/>
      </c>
      <c r="G267" s="6">
        <f>ROUND(F267-D267,2)</f>
        <v/>
      </c>
    </row>
    <row r="268">
      <c r="A268" t="inlineStr">
        <is>
          <t>2022-04-23</t>
        </is>
      </c>
      <c r="B268" t="n">
        <v>9</v>
      </c>
      <c r="C268" t="n">
        <v>2946</v>
      </c>
      <c r="D268" s="6" t="n">
        <v>40.2</v>
      </c>
      <c r="E268" s="6" t="n">
        <v>995952.08</v>
      </c>
      <c r="F268" s="6">
        <f>ROUND(E268-E267,2)</f>
        <v/>
      </c>
      <c r="G268" s="6">
        <f>ROUND(F268-D268,2)</f>
        <v/>
      </c>
    </row>
    <row r="269">
      <c r="A269" t="inlineStr">
        <is>
          <t>2022-04-23</t>
        </is>
      </c>
      <c r="B269" t="n">
        <v>10</v>
      </c>
      <c r="C269" t="n">
        <v>2946</v>
      </c>
      <c r="D269" s="6" t="n">
        <v>265.8</v>
      </c>
      <c r="E269" s="6" t="n">
        <v>996217.88</v>
      </c>
      <c r="F269" s="6">
        <f>ROUND(E269-E268,2)</f>
        <v/>
      </c>
      <c r="G269" s="6">
        <f>ROUND(F269-D269,2)</f>
        <v/>
      </c>
    </row>
    <row r="270">
      <c r="A270" t="inlineStr">
        <is>
          <t>2022-04-23</t>
        </is>
      </c>
      <c r="B270" t="n">
        <v>11</v>
      </c>
      <c r="C270" t="n">
        <v>2946</v>
      </c>
      <c r="D270" s="6" t="n">
        <v>117.5</v>
      </c>
      <c r="E270" s="6" t="n">
        <v>996335.38</v>
      </c>
      <c r="F270" s="6">
        <f>ROUND(E270-E269,2)</f>
        <v/>
      </c>
      <c r="G270" s="6">
        <f>ROUND(F270-D270,2)</f>
        <v/>
      </c>
    </row>
    <row r="271">
      <c r="A271" t="inlineStr">
        <is>
          <t>2022-04-23</t>
        </is>
      </c>
      <c r="B271" t="n">
        <v>12</v>
      </c>
      <c r="C271" t="n">
        <v>2946</v>
      </c>
      <c r="D271" s="6" t="n">
        <v>64.8</v>
      </c>
      <c r="E271" s="6" t="n">
        <v>996400.1800000001</v>
      </c>
      <c r="F271" s="6">
        <f>ROUND(E271-E270,2)</f>
        <v/>
      </c>
      <c r="G271" s="6">
        <f>ROUND(F271-D271,2)</f>
        <v/>
      </c>
    </row>
    <row r="272">
      <c r="A272" t="inlineStr">
        <is>
          <t>2022-04-23</t>
        </is>
      </c>
      <c r="B272" t="n">
        <v>13</v>
      </c>
      <c r="C272" t="n">
        <v>2946</v>
      </c>
      <c r="D272" s="6" t="n">
        <v>120.6</v>
      </c>
      <c r="E272" s="6" t="n">
        <v>996520.78</v>
      </c>
      <c r="F272" s="6">
        <f>ROUND(E272-E271,2)</f>
        <v/>
      </c>
      <c r="G272" s="6">
        <f>ROUND(F272-D272,2)</f>
        <v/>
      </c>
    </row>
    <row r="273">
      <c r="A273" t="inlineStr">
        <is>
          <t>2022-04-23</t>
        </is>
      </c>
      <c r="B273" t="n">
        <v>14</v>
      </c>
      <c r="C273" t="n">
        <v>2946</v>
      </c>
      <c r="D273" s="6" t="n">
        <v>62.8</v>
      </c>
      <c r="E273" s="6" t="n">
        <v>996583.58</v>
      </c>
      <c r="F273" s="6">
        <f>ROUND(E273-E272,2)</f>
        <v/>
      </c>
      <c r="G273" s="6">
        <f>ROUND(F273-D273,2)</f>
        <v/>
      </c>
    </row>
    <row r="274">
      <c r="A274" t="inlineStr">
        <is>
          <t>2022-04-23</t>
        </is>
      </c>
      <c r="B274" t="n">
        <v>15</v>
      </c>
      <c r="C274" t="n">
        <v>2946</v>
      </c>
      <c r="D274" s="6" t="n">
        <v>104.9</v>
      </c>
      <c r="E274" s="6" t="n">
        <v>996688.48</v>
      </c>
      <c r="F274" s="6">
        <f>ROUND(E274-E273,2)</f>
        <v/>
      </c>
      <c r="G274" s="6">
        <f>ROUND(F274-D274,2)</f>
        <v/>
      </c>
    </row>
    <row r="275">
      <c r="A275" t="inlineStr">
        <is>
          <t>2022-04-23</t>
        </is>
      </c>
      <c r="B275" t="n">
        <v>16</v>
      </c>
      <c r="C275" t="n">
        <v>2946</v>
      </c>
      <c r="D275" s="6" t="n">
        <v>55.8</v>
      </c>
      <c r="E275" s="6" t="n">
        <v>996744.28</v>
      </c>
      <c r="F275" s="6">
        <f>ROUND(E275-E274,2)</f>
        <v/>
      </c>
      <c r="G275" s="6">
        <f>ROUND(F275-D275,2)</f>
        <v/>
      </c>
    </row>
    <row r="276">
      <c r="A276" t="inlineStr">
        <is>
          <t>2022-04-23</t>
        </is>
      </c>
      <c r="B276" t="n">
        <v>17</v>
      </c>
      <c r="C276" t="n">
        <v>2946</v>
      </c>
      <c r="D276" s="6" t="n">
        <v>68.8</v>
      </c>
      <c r="E276" s="6" t="n">
        <v>996813.08</v>
      </c>
      <c r="F276" s="6">
        <f>ROUND(E276-E275,2)</f>
        <v/>
      </c>
      <c r="G276" s="6">
        <f>ROUND(F276-D276,2)</f>
        <v/>
      </c>
    </row>
    <row r="277">
      <c r="A277" t="inlineStr">
        <is>
          <t>2022-04-23</t>
        </is>
      </c>
      <c r="B277" t="n">
        <v>18</v>
      </c>
      <c r="C277" t="n">
        <v>2946</v>
      </c>
      <c r="D277" s="6" t="n">
        <v>59.25</v>
      </c>
      <c r="E277" s="6" t="n">
        <v>996872.33</v>
      </c>
      <c r="F277" s="6">
        <f>ROUND(E277-E276,2)</f>
        <v/>
      </c>
      <c r="G277" s="6">
        <f>ROUND(F277-D277,2)</f>
        <v/>
      </c>
    </row>
    <row r="278">
      <c r="A278" t="inlineStr">
        <is>
          <t>2022-04-23</t>
        </is>
      </c>
      <c r="B278" t="n">
        <v>19</v>
      </c>
      <c r="C278" t="n">
        <v>2946</v>
      </c>
      <c r="D278" s="6" t="n">
        <v>59.25</v>
      </c>
      <c r="E278" s="6" t="n">
        <v>996931.58</v>
      </c>
      <c r="F278" s="6">
        <f>ROUND(E278-E277,2)</f>
        <v/>
      </c>
      <c r="G278" s="6">
        <f>ROUND(F278-D278,2)</f>
        <v/>
      </c>
    </row>
    <row r="279">
      <c r="A279" t="inlineStr">
        <is>
          <t>2022-04-23</t>
        </is>
      </c>
      <c r="B279" t="n">
        <v>20</v>
      </c>
      <c r="C279" t="n">
        <v>2946</v>
      </c>
      <c r="D279" s="6" t="n">
        <v>53.8</v>
      </c>
      <c r="E279" s="6" t="n">
        <v>996985.38</v>
      </c>
      <c r="F279" s="6">
        <f>ROUND(E279-E278,2)</f>
        <v/>
      </c>
      <c r="G279" s="6">
        <f>ROUND(F279-D279,2)</f>
        <v/>
      </c>
    </row>
    <row r="280">
      <c r="A280" t="inlineStr">
        <is>
          <t>2022-04-23</t>
        </is>
      </c>
      <c r="B280" t="n">
        <v>21</v>
      </c>
      <c r="C280" t="n">
        <v>2946</v>
      </c>
      <c r="D280" s="6" t="n">
        <v>75.5</v>
      </c>
      <c r="E280" s="6" t="n">
        <v>997060.88</v>
      </c>
      <c r="F280" s="6">
        <f>ROUND(E280-E279,2)</f>
        <v/>
      </c>
      <c r="G280" s="6">
        <f>ROUND(F280-D280,2)</f>
        <v/>
      </c>
    </row>
    <row r="281">
      <c r="A281" t="inlineStr">
        <is>
          <t>2022-04-23</t>
        </is>
      </c>
      <c r="B281" t="n">
        <v>22</v>
      </c>
      <c r="C281" t="n">
        <v>2946</v>
      </c>
      <c r="D281" s="6" t="n">
        <v>90</v>
      </c>
      <c r="E281" s="6" t="n">
        <v>997150.88</v>
      </c>
      <c r="F281" s="6">
        <f>ROUND(E281-E280,2)</f>
        <v/>
      </c>
      <c r="G281" s="6">
        <f>ROUND(F281-D281,2)</f>
        <v/>
      </c>
    </row>
    <row r="282">
      <c r="A282" t="inlineStr">
        <is>
          <t>2022-04-24</t>
        </is>
      </c>
      <c r="B282" t="n">
        <v>1</v>
      </c>
      <c r="C282" t="n">
        <v>2947</v>
      </c>
      <c r="D282" s="6" t="n">
        <v>73.09999999999999</v>
      </c>
      <c r="E282" s="6" t="n">
        <v>997223.98</v>
      </c>
      <c r="F282" s="6">
        <f>ROUND(E282-E281,2)</f>
        <v/>
      </c>
      <c r="G282" s="6">
        <f>ROUND(F282-D282,2)</f>
        <v/>
      </c>
    </row>
    <row r="283">
      <c r="A283" t="inlineStr">
        <is>
          <t>2022-04-24</t>
        </is>
      </c>
      <c r="B283" t="n">
        <v>2</v>
      </c>
      <c r="C283" t="n">
        <v>2947</v>
      </c>
      <c r="D283" s="6" t="n">
        <v>75.40000000000001</v>
      </c>
      <c r="E283" s="6" t="n">
        <v>997299.38</v>
      </c>
      <c r="F283" s="6">
        <f>ROUND(E283-E282,2)</f>
        <v/>
      </c>
      <c r="G283" s="6">
        <f>ROUND(F283-D283,2)</f>
        <v/>
      </c>
    </row>
    <row r="284">
      <c r="A284" t="inlineStr">
        <is>
          <t>2022-04-24</t>
        </is>
      </c>
      <c r="B284" t="n">
        <v>3</v>
      </c>
      <c r="C284" t="n">
        <v>2947</v>
      </c>
      <c r="D284" s="6" t="n">
        <v>69.09999999999999</v>
      </c>
      <c r="E284" s="6" t="n">
        <v>997368.48</v>
      </c>
      <c r="F284" s="6">
        <f>ROUND(E284-E283,2)</f>
        <v/>
      </c>
      <c r="G284" s="6">
        <f>ROUND(F284-D284,2)</f>
        <v/>
      </c>
    </row>
    <row r="285">
      <c r="A285" t="inlineStr">
        <is>
          <t>2022-04-24</t>
        </is>
      </c>
      <c r="B285" t="n">
        <v>4</v>
      </c>
      <c r="C285" t="n">
        <v>2947</v>
      </c>
      <c r="D285" s="6" t="n">
        <v>73.09999999999999</v>
      </c>
      <c r="E285" s="6" t="n">
        <v>997441.58</v>
      </c>
      <c r="F285" s="6">
        <f>ROUND(E285-E284,2)</f>
        <v/>
      </c>
      <c r="G285" s="6">
        <f>ROUND(F285-D285,2)</f>
        <v/>
      </c>
    </row>
    <row r="286">
      <c r="A286" t="inlineStr">
        <is>
          <t>2022-04-24</t>
        </is>
      </c>
      <c r="B286" t="n">
        <v>5</v>
      </c>
      <c r="C286" t="n">
        <v>2947</v>
      </c>
      <c r="D286" s="6" t="n">
        <v>66.3</v>
      </c>
      <c r="E286" s="6" t="n">
        <v>997507.88</v>
      </c>
      <c r="F286" s="6">
        <f>ROUND(E286-E285,2)</f>
        <v/>
      </c>
      <c r="G286" s="6">
        <f>ROUND(F286-D286,2)</f>
        <v/>
      </c>
    </row>
    <row r="287">
      <c r="A287" t="inlineStr">
        <is>
          <t>2022-04-24</t>
        </is>
      </c>
      <c r="B287" t="n">
        <v>6</v>
      </c>
      <c r="C287" t="n">
        <v>2947</v>
      </c>
      <c r="D287" s="6" t="n">
        <v>18.9</v>
      </c>
      <c r="E287" s="6" t="n">
        <v>997526.78</v>
      </c>
      <c r="F287" s="6">
        <f>ROUND(E287-E286,2)</f>
        <v/>
      </c>
      <c r="G287" s="6">
        <f>ROUND(F287-D287,2)</f>
        <v/>
      </c>
    </row>
    <row r="288">
      <c r="A288" t="inlineStr">
        <is>
          <t>2022-04-24</t>
        </is>
      </c>
      <c r="B288" t="n">
        <v>7</v>
      </c>
      <c r="C288" t="n">
        <v>2947</v>
      </c>
      <c r="D288" s="6" t="n">
        <v>37.9</v>
      </c>
      <c r="E288" s="6" t="n">
        <v>997564.6800000001</v>
      </c>
      <c r="F288" s="6">
        <f>ROUND(E288-E287,2)</f>
        <v/>
      </c>
      <c r="G288" s="6">
        <f>ROUND(F288-D288,2)</f>
        <v/>
      </c>
    </row>
    <row r="289">
      <c r="A289" t="inlineStr">
        <is>
          <t>2022-04-24</t>
        </is>
      </c>
      <c r="B289" t="n">
        <v>8</v>
      </c>
      <c r="C289" t="n">
        <v>2947</v>
      </c>
      <c r="D289" s="6" t="n">
        <v>43.8</v>
      </c>
      <c r="E289" s="6" t="n">
        <v>997608.48</v>
      </c>
      <c r="F289" s="6">
        <f>ROUND(E289-E288,2)</f>
        <v/>
      </c>
      <c r="G289" s="6">
        <f>ROUND(F289-D289,2)</f>
        <v/>
      </c>
    </row>
    <row r="290">
      <c r="A290" t="inlineStr">
        <is>
          <t>2022-04-24</t>
        </is>
      </c>
      <c r="B290" t="n">
        <v>9</v>
      </c>
      <c r="C290" t="n">
        <v>2947</v>
      </c>
      <c r="D290" s="6" t="n">
        <v>76</v>
      </c>
      <c r="E290" s="6" t="n">
        <v>997684.48</v>
      </c>
      <c r="F290" s="6">
        <f>ROUND(E290-E289,2)</f>
        <v/>
      </c>
      <c r="G290" s="6">
        <f>ROUND(F290-D290,2)</f>
        <v/>
      </c>
    </row>
    <row r="291">
      <c r="A291" t="inlineStr">
        <is>
          <t>2022-04-24</t>
        </is>
      </c>
      <c r="B291" t="n">
        <v>10</v>
      </c>
      <c r="C291" t="n">
        <v>2947</v>
      </c>
      <c r="D291" s="6" t="n">
        <v>30.3</v>
      </c>
      <c r="E291" s="6" t="n">
        <v>997714.78</v>
      </c>
      <c r="F291" s="6">
        <f>ROUND(E291-E290,2)</f>
        <v/>
      </c>
      <c r="G291" s="6">
        <f>ROUND(F291-D291,2)</f>
        <v/>
      </c>
    </row>
    <row r="292">
      <c r="A292" t="inlineStr">
        <is>
          <t>2022-04-24</t>
        </is>
      </c>
      <c r="B292" t="n">
        <v>11</v>
      </c>
      <c r="C292" t="n">
        <v>2947</v>
      </c>
      <c r="D292" s="6" t="n">
        <v>14.3</v>
      </c>
      <c r="E292" s="6" t="n">
        <v>997729.08</v>
      </c>
      <c r="F292" s="6">
        <f>ROUND(E292-E291,2)</f>
        <v/>
      </c>
      <c r="G292" s="6">
        <f>ROUND(F292-D292,2)</f>
        <v/>
      </c>
    </row>
    <row r="293">
      <c r="A293" t="inlineStr">
        <is>
          <t>2022-04-24</t>
        </is>
      </c>
      <c r="B293" t="n">
        <v>12</v>
      </c>
      <c r="C293" t="n">
        <v>2947</v>
      </c>
      <c r="D293" s="6" t="n">
        <v>26.7</v>
      </c>
      <c r="E293" s="6" t="n">
        <v>997755.78</v>
      </c>
      <c r="F293" s="6">
        <f>ROUND(E293-E292,2)</f>
        <v/>
      </c>
      <c r="G293" s="6">
        <f>ROUND(F293-D293,2)</f>
        <v/>
      </c>
    </row>
    <row r="294">
      <c r="A294" t="inlineStr">
        <is>
          <t>2022-04-24</t>
        </is>
      </c>
      <c r="B294" t="n">
        <v>13</v>
      </c>
      <c r="C294" t="n">
        <v>2947</v>
      </c>
      <c r="D294" s="6" t="n">
        <v>120.9</v>
      </c>
      <c r="E294" s="6" t="n">
        <v>997876.6800000001</v>
      </c>
      <c r="F294" s="6">
        <f>ROUND(E294-E293,2)</f>
        <v/>
      </c>
      <c r="G294" s="6">
        <f>ROUND(F294-D294,2)</f>
        <v/>
      </c>
    </row>
    <row r="295">
      <c r="A295" t="inlineStr">
        <is>
          <t>2022-04-27</t>
        </is>
      </c>
      <c r="B295" t="n">
        <v>1</v>
      </c>
      <c r="C295" t="n">
        <v>2948</v>
      </c>
      <c r="D295" s="6" t="n">
        <v>92.90000000000001</v>
      </c>
      <c r="E295" s="6" t="n">
        <v>997969.58</v>
      </c>
      <c r="F295" s="6">
        <f>ROUND(E295-E294,2)</f>
        <v/>
      </c>
      <c r="G295" s="6">
        <f>ROUND(F295-D295,2)</f>
        <v/>
      </c>
    </row>
    <row r="296">
      <c r="A296" t="inlineStr">
        <is>
          <t>2022-04-27</t>
        </is>
      </c>
      <c r="B296" t="n">
        <v>2</v>
      </c>
      <c r="C296" t="n">
        <v>2948</v>
      </c>
      <c r="D296" s="6" t="n">
        <v>52</v>
      </c>
      <c r="E296" s="6" t="n">
        <v>998021.58</v>
      </c>
      <c r="F296" s="6">
        <f>ROUND(E296-E295,2)</f>
        <v/>
      </c>
      <c r="G296" s="6">
        <f>ROUND(F296-D296,2)</f>
        <v/>
      </c>
    </row>
    <row r="297">
      <c r="A297" t="inlineStr">
        <is>
          <t>2022-04-27</t>
        </is>
      </c>
      <c r="B297" t="n">
        <v>3</v>
      </c>
      <c r="C297" t="n">
        <v>2948</v>
      </c>
      <c r="D297" s="6" t="n">
        <v>60.6</v>
      </c>
      <c r="E297" s="6" t="n">
        <v>998082.1800000001</v>
      </c>
      <c r="F297" s="6">
        <f>ROUND(E297-E296,2)</f>
        <v/>
      </c>
      <c r="G297" s="6">
        <f>ROUND(F297-D297,2)</f>
        <v/>
      </c>
    </row>
    <row r="298">
      <c r="A298" t="inlineStr">
        <is>
          <t>2022-04-27</t>
        </is>
      </c>
      <c r="B298" t="n">
        <v>4</v>
      </c>
      <c r="C298" t="n">
        <v>2948</v>
      </c>
      <c r="D298" s="6" t="n">
        <v>41.6</v>
      </c>
      <c r="E298" s="6" t="n">
        <v>998123.78</v>
      </c>
      <c r="F298" s="6">
        <f>ROUND(E298-E297,2)</f>
        <v/>
      </c>
      <c r="G298" s="6">
        <f>ROUND(F298-D298,2)</f>
        <v/>
      </c>
    </row>
    <row r="299">
      <c r="A299" t="inlineStr">
        <is>
          <t>2022-04-27</t>
        </is>
      </c>
      <c r="B299" t="n">
        <v>5</v>
      </c>
      <c r="C299" t="n">
        <v>2948</v>
      </c>
      <c r="D299" s="6" t="n">
        <v>86.2</v>
      </c>
      <c r="E299" s="6" t="n">
        <v>998209.98</v>
      </c>
      <c r="F299" s="6">
        <f>ROUND(E299-E298,2)</f>
        <v/>
      </c>
      <c r="G299" s="6">
        <f>ROUND(F299-D299,2)</f>
        <v/>
      </c>
    </row>
    <row r="300">
      <c r="A300" t="inlineStr">
        <is>
          <t>2022-04-27</t>
        </is>
      </c>
      <c r="B300" t="n">
        <v>6</v>
      </c>
      <c r="C300" t="n">
        <v>2948</v>
      </c>
      <c r="D300" s="6" t="n">
        <v>49.6</v>
      </c>
      <c r="E300" s="6" t="n">
        <v>998259.58</v>
      </c>
      <c r="F300" s="6">
        <f>ROUND(E300-E299,2)</f>
        <v/>
      </c>
      <c r="G300" s="6">
        <f>ROUND(F300-D300,2)</f>
        <v/>
      </c>
    </row>
    <row r="301">
      <c r="A301" t="inlineStr">
        <is>
          <t>2022-04-27</t>
        </is>
      </c>
      <c r="B301" t="n">
        <v>7</v>
      </c>
      <c r="C301" t="n">
        <v>2948</v>
      </c>
      <c r="D301" s="6" t="n">
        <v>25.4</v>
      </c>
      <c r="E301" s="6" t="n">
        <v>998284.98</v>
      </c>
      <c r="F301" s="6">
        <f>ROUND(E301-E300,2)</f>
        <v/>
      </c>
      <c r="G301" s="6">
        <f>ROUND(F301-D301,2)</f>
        <v/>
      </c>
    </row>
    <row r="302">
      <c r="A302" t="inlineStr">
        <is>
          <t>2022-04-27</t>
        </is>
      </c>
      <c r="B302" t="n">
        <v>8</v>
      </c>
      <c r="C302" t="n">
        <v>2948</v>
      </c>
      <c r="D302" s="6" t="n">
        <v>19.8</v>
      </c>
      <c r="E302" s="6" t="n">
        <v>998304.78</v>
      </c>
      <c r="F302" s="6">
        <f>ROUND(E302-E301,2)</f>
        <v/>
      </c>
      <c r="G302" s="6">
        <f>ROUND(F302-D302,2)</f>
        <v/>
      </c>
    </row>
    <row r="303">
      <c r="A303" t="inlineStr">
        <is>
          <t>2022-04-27</t>
        </is>
      </c>
      <c r="B303" t="n">
        <v>9</v>
      </c>
      <c r="C303" t="n">
        <v>2948</v>
      </c>
      <c r="D303" s="6" t="n">
        <v>49.2</v>
      </c>
      <c r="E303" s="6" t="n">
        <v>998353.98</v>
      </c>
      <c r="F303" s="6">
        <f>ROUND(E303-E302,2)</f>
        <v/>
      </c>
      <c r="G303" s="6">
        <f>ROUND(F303-D303,2)</f>
        <v/>
      </c>
    </row>
    <row r="304">
      <c r="A304" t="inlineStr">
        <is>
          <t>2022-04-27</t>
        </is>
      </c>
      <c r="B304" t="n">
        <v>10</v>
      </c>
      <c r="C304" t="n">
        <v>2948</v>
      </c>
      <c r="D304" s="6" t="n">
        <v>63.7</v>
      </c>
      <c r="E304" s="6" t="n">
        <v>998417.6800000001</v>
      </c>
      <c r="F304" s="6">
        <f>ROUND(E304-E303,2)</f>
        <v/>
      </c>
      <c r="G304" s="6">
        <f>ROUND(F304-D304,2)</f>
        <v/>
      </c>
    </row>
    <row r="305">
      <c r="A305" t="inlineStr">
        <is>
          <t>2022-04-27</t>
        </is>
      </c>
      <c r="B305" t="n">
        <v>11</v>
      </c>
      <c r="C305" t="n">
        <v>2948</v>
      </c>
      <c r="D305" s="6" t="n">
        <v>25</v>
      </c>
      <c r="E305" s="6" t="n">
        <v>998442.6800000001</v>
      </c>
      <c r="F305" s="6">
        <f>ROUND(E305-E304,2)</f>
        <v/>
      </c>
      <c r="G305" s="6">
        <f>ROUND(F305-D305,2)</f>
        <v/>
      </c>
    </row>
    <row r="306">
      <c r="A306" t="inlineStr">
        <is>
          <t>2022-04-27</t>
        </is>
      </c>
      <c r="B306" t="n">
        <v>12</v>
      </c>
      <c r="C306" t="n">
        <v>2948</v>
      </c>
      <c r="D306" s="6" t="n">
        <v>62.4</v>
      </c>
      <c r="E306" s="6" t="n">
        <v>998505.08</v>
      </c>
      <c r="F306" s="6">
        <f>ROUND(E306-E305,2)</f>
        <v/>
      </c>
      <c r="G306" s="6">
        <f>ROUND(F306-D306,2)</f>
        <v/>
      </c>
    </row>
    <row r="307">
      <c r="A307" t="inlineStr">
        <is>
          <t>2022-04-27</t>
        </is>
      </c>
      <c r="B307" t="n">
        <v>13</v>
      </c>
      <c r="C307" t="n">
        <v>2948</v>
      </c>
      <c r="D307" s="6" t="n">
        <v>76.7</v>
      </c>
      <c r="E307" s="6" t="n">
        <v>998581.78</v>
      </c>
      <c r="F307" s="6">
        <f>ROUND(E307-E306,2)</f>
        <v/>
      </c>
      <c r="G307" s="6">
        <f>ROUND(F307-D307,2)</f>
        <v/>
      </c>
    </row>
    <row r="308">
      <c r="A308" t="inlineStr">
        <is>
          <t>2022-04-27</t>
        </is>
      </c>
      <c r="B308" t="n">
        <v>14</v>
      </c>
      <c r="C308" t="n">
        <v>2948</v>
      </c>
      <c r="D308" s="6" t="n">
        <v>44.7</v>
      </c>
      <c r="E308" s="6" t="n">
        <v>998626.48</v>
      </c>
      <c r="F308" s="6">
        <f>ROUND(E308-E307,2)</f>
        <v/>
      </c>
      <c r="G308" s="6">
        <f>ROUND(F308-D308,2)</f>
        <v/>
      </c>
    </row>
    <row r="309">
      <c r="A309" t="inlineStr">
        <is>
          <t>2022-04-27</t>
        </is>
      </c>
      <c r="B309" t="n">
        <v>15</v>
      </c>
      <c r="C309" t="n">
        <v>2948</v>
      </c>
      <c r="D309" s="6" t="n">
        <v>22</v>
      </c>
      <c r="E309" s="6" t="n">
        <v>998648.48</v>
      </c>
      <c r="F309" s="6">
        <f>ROUND(E309-E308,2)</f>
        <v/>
      </c>
      <c r="G309" s="6">
        <f>ROUND(F309-D309,2)</f>
        <v/>
      </c>
    </row>
    <row r="310">
      <c r="A310" t="inlineStr">
        <is>
          <t>2022-04-27</t>
        </is>
      </c>
      <c r="B310" t="n">
        <v>16</v>
      </c>
      <c r="C310" t="n">
        <v>2948</v>
      </c>
      <c r="D310" s="6" t="n">
        <v>7.6</v>
      </c>
      <c r="E310" s="6" t="n">
        <v>998656.08</v>
      </c>
      <c r="F310" s="6">
        <f>ROUND(E310-E309,2)</f>
        <v/>
      </c>
      <c r="G310" s="6">
        <f>ROUND(F310-D310,2)</f>
        <v/>
      </c>
    </row>
    <row r="311">
      <c r="A311" t="inlineStr">
        <is>
          <t>2022-04-27</t>
        </is>
      </c>
      <c r="B311" t="n">
        <v>17</v>
      </c>
      <c r="C311" t="n">
        <v>2948</v>
      </c>
      <c r="D311" s="6" t="n">
        <v>25.4</v>
      </c>
      <c r="E311" s="6" t="n">
        <v>998681.48</v>
      </c>
      <c r="F311" s="6">
        <f>ROUND(E311-E310,2)</f>
        <v/>
      </c>
      <c r="G311" s="6">
        <f>ROUND(F311-D311,2)</f>
        <v/>
      </c>
    </row>
    <row r="312">
      <c r="A312" t="inlineStr">
        <is>
          <t>2022-04-27</t>
        </is>
      </c>
      <c r="B312" t="n">
        <v>18</v>
      </c>
      <c r="C312" t="n">
        <v>2948</v>
      </c>
      <c r="D312" s="6" t="n">
        <v>35.4</v>
      </c>
      <c r="E312" s="6" t="n">
        <v>998716.88</v>
      </c>
      <c r="F312" s="6">
        <f>ROUND(E312-E311,2)</f>
        <v/>
      </c>
      <c r="G312" s="6">
        <f>ROUND(F312-D312,2)</f>
        <v/>
      </c>
    </row>
    <row r="313">
      <c r="A313" t="inlineStr">
        <is>
          <t>2022-04-27</t>
        </is>
      </c>
      <c r="B313" t="n">
        <v>19</v>
      </c>
      <c r="C313" t="n">
        <v>2948</v>
      </c>
      <c r="D313" s="6" t="n">
        <v>62.6</v>
      </c>
      <c r="E313" s="6" t="n">
        <v>998779.48</v>
      </c>
      <c r="F313" s="6">
        <f>ROUND(E313-E312,2)</f>
        <v/>
      </c>
      <c r="G313" s="6">
        <f>ROUND(F313-D313,2)</f>
        <v/>
      </c>
    </row>
    <row r="314">
      <c r="A314" t="inlineStr">
        <is>
          <t>2022-04-27</t>
        </is>
      </c>
      <c r="B314" t="n">
        <v>20</v>
      </c>
      <c r="C314" t="n">
        <v>2948</v>
      </c>
      <c r="D314" s="6" t="n">
        <v>63.7</v>
      </c>
      <c r="E314" s="6" t="n">
        <v>998843.1800000001</v>
      </c>
      <c r="F314" s="6">
        <f>ROUND(E314-E313,2)</f>
        <v/>
      </c>
      <c r="G314" s="6">
        <f>ROUND(F314-D314,2)</f>
        <v/>
      </c>
    </row>
    <row r="315">
      <c r="A315" t="inlineStr">
        <is>
          <t>2022-04-27</t>
        </is>
      </c>
      <c r="B315" t="n">
        <v>21</v>
      </c>
      <c r="C315" t="n">
        <v>2948</v>
      </c>
      <c r="D315" s="6" t="n">
        <v>56</v>
      </c>
      <c r="E315" s="6" t="n">
        <v>998899.1800000001</v>
      </c>
      <c r="F315" s="6">
        <f>ROUND(E315-E314,2)</f>
        <v/>
      </c>
      <c r="G315" s="6">
        <f>ROUND(F315-D315,2)</f>
        <v/>
      </c>
    </row>
    <row r="316">
      <c r="A316" t="inlineStr">
        <is>
          <t>2022-04-27</t>
        </is>
      </c>
      <c r="B316" t="n">
        <v>22</v>
      </c>
      <c r="C316" t="n">
        <v>2948</v>
      </c>
      <c r="D316" s="6" t="n">
        <v>50.8</v>
      </c>
      <c r="E316" s="6" t="n">
        <v>998949.98</v>
      </c>
      <c r="F316" s="6">
        <f>ROUND(E316-E315,2)</f>
        <v/>
      </c>
      <c r="G316" s="6">
        <f>ROUND(F316-D316,2)</f>
        <v/>
      </c>
    </row>
    <row r="317">
      <c r="A317" t="inlineStr">
        <is>
          <t>2022-04-27</t>
        </is>
      </c>
      <c r="B317" t="n">
        <v>23</v>
      </c>
      <c r="C317" t="n">
        <v>2948</v>
      </c>
      <c r="D317" s="6" t="n">
        <v>100.2</v>
      </c>
      <c r="E317" s="6" t="n">
        <v>999050.1800000001</v>
      </c>
      <c r="F317" s="6">
        <f>ROUND(E317-E316,2)</f>
        <v/>
      </c>
      <c r="G317" s="6">
        <f>ROUND(F317-D317,2)</f>
        <v/>
      </c>
    </row>
    <row r="318">
      <c r="A318" t="inlineStr">
        <is>
          <t>2022-04-27</t>
        </is>
      </c>
      <c r="B318" t="n">
        <v>24</v>
      </c>
      <c r="C318" t="n">
        <v>2948</v>
      </c>
      <c r="D318" s="6" t="n">
        <v>141.9</v>
      </c>
      <c r="E318" s="6" t="n">
        <v>999192.08</v>
      </c>
      <c r="F318" s="6">
        <f>ROUND(E318-E317,2)</f>
        <v/>
      </c>
      <c r="G318" s="6">
        <f>ROUND(F318-D318,2)</f>
        <v/>
      </c>
    </row>
    <row r="319">
      <c r="A319" t="inlineStr">
        <is>
          <t>2022-04-27</t>
        </is>
      </c>
      <c r="B319" t="n">
        <v>25</v>
      </c>
      <c r="C319" t="n">
        <v>2948</v>
      </c>
      <c r="D319" s="6" t="n">
        <v>68.8</v>
      </c>
      <c r="E319" s="6" t="n">
        <v>999260.88</v>
      </c>
      <c r="F319" s="6">
        <f>ROUND(E319-E318,2)</f>
        <v/>
      </c>
      <c r="G319" s="6">
        <f>ROUND(F319-D319,2)</f>
        <v/>
      </c>
    </row>
    <row r="320">
      <c r="A320" t="inlineStr">
        <is>
          <t>2022-04-27</t>
        </is>
      </c>
      <c r="B320" t="n">
        <v>26</v>
      </c>
      <c r="C320" t="n">
        <v>2948</v>
      </c>
      <c r="D320" s="6" t="n">
        <v>92.40000000000001</v>
      </c>
      <c r="E320" s="6" t="n">
        <v>999353.28</v>
      </c>
      <c r="F320" s="6">
        <f>ROUND(E320-E319,2)</f>
        <v/>
      </c>
      <c r="G320" s="6">
        <f>ROUND(F320-D320,2)</f>
        <v/>
      </c>
    </row>
    <row r="321">
      <c r="A321" t="inlineStr">
        <is>
          <t>2022-04-27</t>
        </is>
      </c>
      <c r="B321" t="n">
        <v>27</v>
      </c>
      <c r="C321" t="n">
        <v>2948</v>
      </c>
      <c r="D321" s="6" t="n">
        <v>61.2</v>
      </c>
      <c r="E321" s="6" t="n">
        <v>999414.48</v>
      </c>
      <c r="F321" s="6">
        <f>ROUND(E321-E320,2)</f>
        <v/>
      </c>
      <c r="G321" s="6">
        <f>ROUND(F321-D321,2)</f>
        <v/>
      </c>
    </row>
    <row r="322">
      <c r="A322" t="inlineStr">
        <is>
          <t>2022-04-27</t>
        </is>
      </c>
      <c r="B322" t="n">
        <v>28</v>
      </c>
      <c r="C322" t="n">
        <v>2948</v>
      </c>
      <c r="D322" s="6" t="n">
        <v>77</v>
      </c>
      <c r="E322" s="6" t="n">
        <v>999491.48</v>
      </c>
      <c r="F322" s="6">
        <f>ROUND(E322-E321,2)</f>
        <v/>
      </c>
      <c r="G322" s="6">
        <f>ROUND(F322-D322,2)</f>
        <v/>
      </c>
    </row>
    <row r="323">
      <c r="A323" t="inlineStr">
        <is>
          <t>2022-04-27</t>
        </is>
      </c>
      <c r="B323" t="n">
        <v>29</v>
      </c>
      <c r="C323" t="n">
        <v>2948</v>
      </c>
      <c r="D323" s="6" t="n">
        <v>81.8</v>
      </c>
      <c r="E323" s="6" t="n">
        <v>999573.28</v>
      </c>
      <c r="F323" s="6">
        <f>ROUND(E323-E322,2)</f>
        <v/>
      </c>
      <c r="G323" s="6">
        <f>ROUND(F323-D323,2)</f>
        <v/>
      </c>
    </row>
    <row r="324">
      <c r="A324" t="inlineStr">
        <is>
          <t>2022-04-27</t>
        </is>
      </c>
      <c r="B324" t="n">
        <v>30</v>
      </c>
      <c r="C324" t="n">
        <v>2948</v>
      </c>
      <c r="D324" s="6" t="n">
        <v>153.2</v>
      </c>
      <c r="E324" s="6" t="n">
        <v>999726.48</v>
      </c>
      <c r="F324" s="6">
        <f>ROUND(E324-E323,2)</f>
        <v/>
      </c>
      <c r="G324" s="6">
        <f>ROUND(F324-D324,2)</f>
        <v/>
      </c>
    </row>
    <row r="325">
      <c r="A325" t="inlineStr">
        <is>
          <t>2022-04-27</t>
        </is>
      </c>
      <c r="B325" t="n">
        <v>31</v>
      </c>
      <c r="C325" t="n">
        <v>2948</v>
      </c>
      <c r="D325" s="6" t="n">
        <v>42.4</v>
      </c>
      <c r="E325" s="6" t="n">
        <v>999768.88</v>
      </c>
      <c r="F325" s="6">
        <f>ROUND(E325-E324,2)</f>
        <v/>
      </c>
      <c r="G325" s="6">
        <f>ROUND(F325-D325,2)</f>
        <v/>
      </c>
    </row>
    <row r="326">
      <c r="A326" t="inlineStr">
        <is>
          <t>2022-04-27</t>
        </is>
      </c>
      <c r="B326" t="n">
        <v>32</v>
      </c>
      <c r="C326" t="n">
        <v>2948</v>
      </c>
      <c r="D326" s="6" t="n">
        <v>26.38</v>
      </c>
      <c r="E326" s="6" t="n">
        <v>999795.26</v>
      </c>
      <c r="F326" s="6">
        <f>ROUND(E326-E325,2)</f>
        <v/>
      </c>
      <c r="G326" s="6">
        <f>ROUND(F326-D326,2)</f>
        <v/>
      </c>
    </row>
    <row r="327">
      <c r="A327" t="inlineStr">
        <is>
          <t>2022-04-27</t>
        </is>
      </c>
      <c r="B327" t="n">
        <v>33</v>
      </c>
      <c r="C327" t="n">
        <v>2948</v>
      </c>
      <c r="D327" s="6" t="n">
        <v>26.38</v>
      </c>
      <c r="E327" s="6" t="n">
        <v>999821.64</v>
      </c>
      <c r="F327" s="6">
        <f>ROUND(E327-E326,2)</f>
        <v/>
      </c>
      <c r="G327" s="6">
        <f>ROUND(F327-D327,2)</f>
        <v/>
      </c>
    </row>
    <row r="328">
      <c r="A328" t="inlineStr">
        <is>
          <t>2022-04-27</t>
        </is>
      </c>
      <c r="B328" t="n">
        <v>34</v>
      </c>
      <c r="C328" t="n">
        <v>2948</v>
      </c>
      <c r="D328" s="6" t="n">
        <v>26.38</v>
      </c>
      <c r="E328" s="6" t="n">
        <v>999848.02</v>
      </c>
      <c r="F328" s="6">
        <f>ROUND(E328-E327,2)</f>
        <v/>
      </c>
      <c r="G328" s="6">
        <f>ROUND(F328-D328,2)</f>
        <v/>
      </c>
    </row>
    <row r="329">
      <c r="A329" t="inlineStr">
        <is>
          <t>2022-04-27</t>
        </is>
      </c>
      <c r="B329" t="n">
        <v>35</v>
      </c>
      <c r="C329" t="n">
        <v>2948</v>
      </c>
      <c r="D329" s="6" t="n">
        <v>26.38</v>
      </c>
      <c r="E329" s="6" t="n">
        <v>999874.4</v>
      </c>
      <c r="F329" s="6">
        <f>ROUND(E329-E328,2)</f>
        <v/>
      </c>
      <c r="G329" s="6">
        <f>ROUND(F329-D329,2)</f>
        <v/>
      </c>
    </row>
    <row r="330">
      <c r="A330" t="inlineStr">
        <is>
          <t>2022-04-27</t>
        </is>
      </c>
      <c r="B330" t="n">
        <v>36</v>
      </c>
      <c r="C330" t="n">
        <v>2948</v>
      </c>
      <c r="D330" s="6" t="n">
        <v>26.38</v>
      </c>
      <c r="E330" s="6" t="n">
        <v>999900.78</v>
      </c>
      <c r="F330" s="6">
        <f>ROUND(E330-E329,2)</f>
        <v/>
      </c>
      <c r="G330" s="6">
        <f>ROUND(F330-D330,2)</f>
        <v/>
      </c>
    </row>
    <row r="331">
      <c r="A331" t="inlineStr">
        <is>
          <t>2022-04-27</t>
        </is>
      </c>
      <c r="B331" t="n">
        <v>37</v>
      </c>
      <c r="C331" t="n">
        <v>2948</v>
      </c>
      <c r="D331" s="6" t="n">
        <v>56.5</v>
      </c>
      <c r="E331" s="6" t="n">
        <v>999957.28</v>
      </c>
      <c r="F331" s="6">
        <f>ROUND(E331-E330,2)</f>
        <v/>
      </c>
      <c r="G331" s="6">
        <f>ROUND(F331-D331,2)</f>
        <v/>
      </c>
    </row>
    <row r="332">
      <c r="A332" t="inlineStr">
        <is>
          <t>2022-04-28</t>
        </is>
      </c>
      <c r="B332" t="n">
        <v>1</v>
      </c>
      <c r="C332" t="n">
        <v>2949</v>
      </c>
      <c r="D332" s="6" t="n">
        <v>50.3</v>
      </c>
      <c r="E332" s="6" t="n">
        <v>1000007.58</v>
      </c>
      <c r="F332" s="6">
        <f>ROUND(E332-E331,2)</f>
        <v/>
      </c>
      <c r="G332" s="6">
        <f>ROUND(F332-D332,2)</f>
        <v/>
      </c>
    </row>
    <row r="333">
      <c r="A333" t="inlineStr">
        <is>
          <t>2022-04-28</t>
        </is>
      </c>
      <c r="B333" t="n">
        <v>2</v>
      </c>
      <c r="C333" t="n">
        <v>2949</v>
      </c>
      <c r="D333" s="6" t="n">
        <v>74.59999999999999</v>
      </c>
      <c r="E333" s="6" t="n">
        <v>1000082.18</v>
      </c>
      <c r="F333" s="6">
        <f>ROUND(E333-E332,2)</f>
        <v/>
      </c>
      <c r="G333" s="6">
        <f>ROUND(F333-D333,2)</f>
        <v/>
      </c>
    </row>
    <row r="334">
      <c r="A334" t="inlineStr">
        <is>
          <t>2022-04-28</t>
        </is>
      </c>
      <c r="B334" t="n">
        <v>3</v>
      </c>
      <c r="C334" t="n">
        <v>2949</v>
      </c>
      <c r="D334" s="6" t="n">
        <v>45</v>
      </c>
      <c r="E334" s="6" t="n">
        <v>1000127.18</v>
      </c>
      <c r="F334" s="6">
        <f>ROUND(E334-E333,2)</f>
        <v/>
      </c>
      <c r="G334" s="6">
        <f>ROUND(F334-D334,2)</f>
        <v/>
      </c>
    </row>
    <row r="335">
      <c r="A335" t="inlineStr">
        <is>
          <t>2022-04-28</t>
        </is>
      </c>
      <c r="B335" t="n">
        <v>4</v>
      </c>
      <c r="C335" t="n">
        <v>2949</v>
      </c>
      <c r="D335" s="6" t="n">
        <v>32.2</v>
      </c>
      <c r="E335" s="6" t="n">
        <v>1000159.38</v>
      </c>
      <c r="F335" s="6">
        <f>ROUND(E335-E334,2)</f>
        <v/>
      </c>
      <c r="G335" s="6">
        <f>ROUND(F335-D335,2)</f>
        <v/>
      </c>
    </row>
    <row r="336">
      <c r="A336" t="inlineStr">
        <is>
          <t>2022-04-28</t>
        </is>
      </c>
      <c r="B336" t="n">
        <v>5</v>
      </c>
      <c r="C336" t="n">
        <v>2949</v>
      </c>
      <c r="D336" s="6" t="n">
        <v>53.5</v>
      </c>
      <c r="E336" s="6" t="n">
        <v>1000212.88</v>
      </c>
      <c r="F336" s="6">
        <f>ROUND(E336-E335,2)</f>
        <v/>
      </c>
      <c r="G336" s="6">
        <f>ROUND(F336-D336,2)</f>
        <v/>
      </c>
    </row>
    <row r="337">
      <c r="A337" t="inlineStr">
        <is>
          <t>2022-04-28</t>
        </is>
      </c>
      <c r="B337" t="n">
        <v>6</v>
      </c>
      <c r="C337" t="n">
        <v>2949</v>
      </c>
      <c r="D337" s="6" t="n">
        <v>58.3</v>
      </c>
      <c r="E337" s="6" t="n">
        <v>1000271.18</v>
      </c>
      <c r="F337" s="6">
        <f>ROUND(E337-E336,2)</f>
        <v/>
      </c>
      <c r="G337" s="6">
        <f>ROUND(F337-D337,2)</f>
        <v/>
      </c>
    </row>
    <row r="338">
      <c r="A338" t="inlineStr">
        <is>
          <t>2022-04-28</t>
        </is>
      </c>
      <c r="B338" t="n">
        <v>7</v>
      </c>
      <c r="C338" t="n">
        <v>2949</v>
      </c>
      <c r="D338" s="6" t="n">
        <v>14.3</v>
      </c>
      <c r="E338" s="6" t="n">
        <v>1000285.48</v>
      </c>
      <c r="F338" s="6">
        <f>ROUND(E338-E337,2)</f>
        <v/>
      </c>
      <c r="G338" s="6">
        <f>ROUND(F338-D338,2)</f>
        <v/>
      </c>
    </row>
    <row r="339">
      <c r="A339" t="inlineStr">
        <is>
          <t>2022-04-28</t>
        </is>
      </c>
      <c r="B339" t="n">
        <v>8</v>
      </c>
      <c r="C339" t="n">
        <v>2949</v>
      </c>
      <c r="D339" s="6" t="n">
        <v>48.7</v>
      </c>
      <c r="E339" s="6" t="n">
        <v>1000334.18</v>
      </c>
      <c r="F339" s="6">
        <f>ROUND(E339-E338,2)</f>
        <v/>
      </c>
      <c r="G339" s="6">
        <f>ROUND(F339-D339,2)</f>
        <v/>
      </c>
    </row>
    <row r="340">
      <c r="A340" t="inlineStr">
        <is>
          <t>2022-04-28</t>
        </is>
      </c>
      <c r="B340" t="n">
        <v>9</v>
      </c>
      <c r="C340" t="n">
        <v>2949</v>
      </c>
      <c r="D340" s="6" t="n">
        <v>104.2</v>
      </c>
      <c r="E340" s="6" t="n">
        <v>1000438.38</v>
      </c>
      <c r="F340" s="6">
        <f>ROUND(E340-E339,2)</f>
        <v/>
      </c>
      <c r="G340" s="6">
        <f>ROUND(F340-D340,2)</f>
        <v/>
      </c>
    </row>
    <row r="341">
      <c r="A341" t="inlineStr">
        <is>
          <t>2022-04-28</t>
        </is>
      </c>
      <c r="B341" t="n">
        <v>10</v>
      </c>
      <c r="C341" t="n">
        <v>2949</v>
      </c>
      <c r="D341" s="6" t="n">
        <v>63.3</v>
      </c>
      <c r="E341" s="6" t="n">
        <v>1000501.68</v>
      </c>
      <c r="F341" s="6">
        <f>ROUND(E341-E340,2)</f>
        <v/>
      </c>
      <c r="G341" s="6">
        <f>ROUND(F341-D341,2)</f>
        <v/>
      </c>
    </row>
    <row r="342">
      <c r="A342" t="inlineStr">
        <is>
          <t>2022-04-28</t>
        </is>
      </c>
      <c r="B342" t="n">
        <v>11</v>
      </c>
      <c r="C342" t="n">
        <v>2949</v>
      </c>
      <c r="D342" s="6" t="n">
        <v>58.8</v>
      </c>
      <c r="E342" s="6" t="n">
        <v>1000560.48</v>
      </c>
      <c r="F342" s="6">
        <f>ROUND(E342-E341,2)</f>
        <v/>
      </c>
      <c r="G342" s="6">
        <f>ROUND(F342-D342,2)</f>
        <v/>
      </c>
    </row>
    <row r="343">
      <c r="A343" t="inlineStr">
        <is>
          <t>2022-04-28</t>
        </is>
      </c>
      <c r="B343" t="n">
        <v>12</v>
      </c>
      <c r="C343" t="n">
        <v>2949</v>
      </c>
      <c r="D343" s="6" t="n">
        <v>52.6</v>
      </c>
      <c r="E343" s="6" t="n">
        <v>1000613.08</v>
      </c>
      <c r="F343" s="6">
        <f>ROUND(E343-E342,2)</f>
        <v/>
      </c>
      <c r="G343" s="6">
        <f>ROUND(F343-D343,2)</f>
        <v/>
      </c>
    </row>
    <row r="344">
      <c r="A344" t="inlineStr">
        <is>
          <t>2022-04-28</t>
        </is>
      </c>
      <c r="B344" t="n">
        <v>13</v>
      </c>
      <c r="C344" t="n">
        <v>2949</v>
      </c>
      <c r="D344" s="6" t="n">
        <v>18.1</v>
      </c>
      <c r="E344" s="6" t="n">
        <v>1000631.18</v>
      </c>
      <c r="F344" s="6">
        <f>ROUND(E344-E343,2)</f>
        <v/>
      </c>
      <c r="G344" s="6">
        <f>ROUND(F344-D344,2)</f>
        <v/>
      </c>
    </row>
    <row r="345">
      <c r="A345" t="inlineStr">
        <is>
          <t>2022-04-28</t>
        </is>
      </c>
      <c r="B345" t="n">
        <v>14</v>
      </c>
      <c r="C345" t="n">
        <v>2949</v>
      </c>
      <c r="D345" s="6" t="n">
        <v>33.2</v>
      </c>
      <c r="E345" s="6" t="n">
        <v>1000664.38</v>
      </c>
      <c r="F345" s="6">
        <f>ROUND(E345-E344,2)</f>
        <v/>
      </c>
      <c r="G345" s="6">
        <f>ROUND(F345-D345,2)</f>
        <v/>
      </c>
    </row>
    <row r="346">
      <c r="A346" t="inlineStr">
        <is>
          <t>2022-04-28</t>
        </is>
      </c>
      <c r="B346" t="n">
        <v>15</v>
      </c>
      <c r="C346" t="n">
        <v>2949</v>
      </c>
      <c r="D346" s="6" t="n">
        <v>50.8</v>
      </c>
      <c r="E346" s="6" t="n">
        <v>1000715.18</v>
      </c>
      <c r="F346" s="6">
        <f>ROUND(E346-E345,2)</f>
        <v/>
      </c>
      <c r="G346" s="6">
        <f>ROUND(F346-D346,2)</f>
        <v/>
      </c>
    </row>
    <row r="347">
      <c r="A347" t="inlineStr">
        <is>
          <t>2022-04-28</t>
        </is>
      </c>
      <c r="B347" t="n">
        <v>16</v>
      </c>
      <c r="C347" t="n">
        <v>2949</v>
      </c>
      <c r="D347" s="6" t="n">
        <v>83.8</v>
      </c>
      <c r="E347" s="6" t="n">
        <v>1000798.98</v>
      </c>
      <c r="F347" s="6">
        <f>ROUND(E347-E346,2)</f>
        <v/>
      </c>
      <c r="G347" s="6">
        <f>ROUND(F347-D347,2)</f>
        <v/>
      </c>
    </row>
    <row r="348">
      <c r="A348" t="inlineStr">
        <is>
          <t>2022-04-28</t>
        </is>
      </c>
      <c r="B348" t="n">
        <v>17</v>
      </c>
      <c r="C348" t="n">
        <v>2949</v>
      </c>
      <c r="D348" s="6" t="n">
        <v>89.59999999999999</v>
      </c>
      <c r="E348" s="6" t="n">
        <v>1000888.58</v>
      </c>
      <c r="F348" s="6">
        <f>ROUND(E348-E347,2)</f>
        <v/>
      </c>
      <c r="G348" s="6">
        <f>ROUND(F348-D348,2)</f>
        <v/>
      </c>
    </row>
    <row r="349">
      <c r="A349" t="inlineStr">
        <is>
          <t>2022-04-28</t>
        </is>
      </c>
      <c r="B349" t="n">
        <v>18</v>
      </c>
      <c r="C349" t="n">
        <v>2949</v>
      </c>
      <c r="D349" s="6" t="n">
        <v>64</v>
      </c>
      <c r="E349" s="6" t="n">
        <v>1000952.58</v>
      </c>
      <c r="F349" s="6">
        <f>ROUND(E349-E348,2)</f>
        <v/>
      </c>
      <c r="G349" s="6">
        <f>ROUND(F349-D349,2)</f>
        <v/>
      </c>
    </row>
    <row r="350">
      <c r="A350" t="inlineStr">
        <is>
          <t>2022-04-28</t>
        </is>
      </c>
      <c r="B350" t="n">
        <v>19</v>
      </c>
      <c r="C350" t="n">
        <v>2949</v>
      </c>
      <c r="D350" s="6" t="n">
        <v>120.4</v>
      </c>
      <c r="E350" s="6" t="n">
        <v>1001072.98</v>
      </c>
      <c r="F350" s="6">
        <f>ROUND(E350-E349,2)</f>
        <v/>
      </c>
      <c r="G350" s="6">
        <f>ROUND(F350-D350,2)</f>
        <v/>
      </c>
    </row>
    <row r="351">
      <c r="A351" t="inlineStr">
        <is>
          <t>2022-04-28</t>
        </is>
      </c>
      <c r="B351" t="n">
        <v>20</v>
      </c>
      <c r="C351" t="n">
        <v>2949</v>
      </c>
      <c r="D351" s="6" t="n">
        <v>37.6</v>
      </c>
      <c r="E351" s="6" t="n">
        <v>1001110.58</v>
      </c>
      <c r="F351" s="6">
        <f>ROUND(E351-E350,2)</f>
        <v/>
      </c>
      <c r="G351" s="6">
        <f>ROUND(F351-D351,2)</f>
        <v/>
      </c>
    </row>
    <row r="352">
      <c r="A352" t="inlineStr">
        <is>
          <t>2022-04-28</t>
        </is>
      </c>
      <c r="B352" t="n">
        <v>21</v>
      </c>
      <c r="C352" t="n">
        <v>2949</v>
      </c>
      <c r="D352" s="6" t="n">
        <v>67.90000000000001</v>
      </c>
      <c r="E352" s="6" t="n">
        <v>1001178.48</v>
      </c>
      <c r="F352" s="6">
        <f>ROUND(E352-E351,2)</f>
        <v/>
      </c>
      <c r="G352" s="6">
        <f>ROUND(F352-D352,2)</f>
        <v/>
      </c>
    </row>
    <row r="353">
      <c r="A353" t="inlineStr">
        <is>
          <t>2022-04-28</t>
        </is>
      </c>
      <c r="B353" t="n">
        <v>22</v>
      </c>
      <c r="C353" t="n">
        <v>2949</v>
      </c>
      <c r="D353" s="6" t="n">
        <v>171.7</v>
      </c>
      <c r="E353" s="6" t="n">
        <v>1001350.18</v>
      </c>
      <c r="F353" s="6">
        <f>ROUND(E353-E352,2)</f>
        <v/>
      </c>
      <c r="G353" s="6">
        <f>ROUND(F353-D353,2)</f>
        <v/>
      </c>
    </row>
    <row r="354">
      <c r="A354" t="inlineStr">
        <is>
          <t>2022-04-28</t>
        </is>
      </c>
      <c r="B354" t="n">
        <v>23</v>
      </c>
      <c r="C354" t="n">
        <v>2949</v>
      </c>
      <c r="D354" s="6" t="n">
        <v>91.2</v>
      </c>
      <c r="E354" s="6" t="n">
        <v>1001441.38</v>
      </c>
      <c r="F354" s="6">
        <f>ROUND(E354-E353,2)</f>
        <v/>
      </c>
      <c r="G354" s="6">
        <f>ROUND(F354-D354,2)</f>
        <v/>
      </c>
    </row>
    <row r="355">
      <c r="A355" t="inlineStr">
        <is>
          <t>2022-04-28</t>
        </is>
      </c>
      <c r="B355" t="n">
        <v>24</v>
      </c>
      <c r="C355" t="n">
        <v>2949</v>
      </c>
      <c r="D355" s="6" t="n">
        <v>101.2</v>
      </c>
      <c r="E355" s="6" t="n">
        <v>1001542.58</v>
      </c>
      <c r="F355" s="6">
        <f>ROUND(E355-E354,2)</f>
        <v/>
      </c>
      <c r="G355" s="6">
        <f>ROUND(F355-D355,2)</f>
        <v/>
      </c>
    </row>
    <row r="356">
      <c r="A356" t="inlineStr">
        <is>
          <t>2022-04-28</t>
        </is>
      </c>
      <c r="B356" t="n">
        <v>25</v>
      </c>
      <c r="C356" t="n">
        <v>2949</v>
      </c>
      <c r="D356" s="6" t="n">
        <v>53.2</v>
      </c>
      <c r="E356" s="6" t="n">
        <v>1001595.78</v>
      </c>
      <c r="F356" s="6">
        <f>ROUND(E356-E355,2)</f>
        <v/>
      </c>
      <c r="G356" s="6">
        <f>ROUND(F356-D356,2)</f>
        <v/>
      </c>
    </row>
    <row r="357">
      <c r="A357" t="inlineStr">
        <is>
          <t>2022-04-28</t>
        </is>
      </c>
      <c r="B357" t="n">
        <v>26</v>
      </c>
      <c r="C357" t="n">
        <v>2949</v>
      </c>
      <c r="D357" s="6" t="n">
        <v>137.3</v>
      </c>
      <c r="E357" s="6" t="n">
        <v>1001733.08</v>
      </c>
      <c r="F357" s="6">
        <f>ROUND(E357-E356,2)</f>
        <v/>
      </c>
      <c r="G357" s="6">
        <f>ROUND(F357-D357,2)</f>
        <v/>
      </c>
    </row>
    <row r="358">
      <c r="A358" t="inlineStr">
        <is>
          <t>2022-04-28</t>
        </is>
      </c>
      <c r="B358" t="n">
        <v>27</v>
      </c>
      <c r="C358" t="n">
        <v>2949</v>
      </c>
      <c r="D358" s="6" t="n">
        <v>64.90000000000001</v>
      </c>
      <c r="E358" s="6" t="n">
        <v>1001797.98</v>
      </c>
      <c r="F358" s="6">
        <f>ROUND(E358-E357,2)</f>
        <v/>
      </c>
      <c r="G358" s="6">
        <f>ROUND(F358-D358,2)</f>
        <v/>
      </c>
    </row>
    <row r="359">
      <c r="A359" t="inlineStr">
        <is>
          <t>2022-04-28</t>
        </is>
      </c>
      <c r="B359" t="n">
        <v>28</v>
      </c>
      <c r="C359" t="n">
        <v>2949</v>
      </c>
      <c r="D359" s="6" t="n">
        <v>137.2</v>
      </c>
      <c r="E359" s="6" t="n">
        <v>1001935.18</v>
      </c>
      <c r="F359" s="6">
        <f>ROUND(E359-E358,2)</f>
        <v/>
      </c>
      <c r="G359" s="6">
        <f>ROUND(F359-D359,2)</f>
        <v/>
      </c>
    </row>
    <row r="360">
      <c r="A360" t="inlineStr">
        <is>
          <t>2022-04-28</t>
        </is>
      </c>
      <c r="B360" t="n">
        <v>29</v>
      </c>
      <c r="C360" t="n">
        <v>2949</v>
      </c>
      <c r="D360" s="6" t="n">
        <v>88.3</v>
      </c>
      <c r="E360" s="6" t="n">
        <v>1002023.48</v>
      </c>
      <c r="F360" s="6">
        <f>ROUND(E360-E359,2)</f>
        <v/>
      </c>
      <c r="G360" s="6">
        <f>ROUND(F360-D360,2)</f>
        <v/>
      </c>
    </row>
    <row r="361">
      <c r="A361" t="inlineStr">
        <is>
          <t>2022-04-28</t>
        </is>
      </c>
      <c r="B361" t="n">
        <v>30</v>
      </c>
      <c r="C361" t="n">
        <v>2949</v>
      </c>
      <c r="D361" s="6" t="n">
        <v>31.7</v>
      </c>
      <c r="E361" s="6" t="n">
        <v>1002055.18</v>
      </c>
      <c r="F361" s="6">
        <f>ROUND(E361-E360,2)</f>
        <v/>
      </c>
      <c r="G361" s="6">
        <f>ROUND(F361-D361,2)</f>
        <v/>
      </c>
    </row>
    <row r="362">
      <c r="A362" t="inlineStr">
        <is>
          <t>2022-04-28</t>
        </is>
      </c>
      <c r="B362" t="n">
        <v>31</v>
      </c>
      <c r="C362" t="n">
        <v>2949</v>
      </c>
      <c r="D362" s="6" t="n">
        <v>31.7</v>
      </c>
      <c r="E362" s="6" t="n">
        <v>1002086.88</v>
      </c>
      <c r="F362" s="6">
        <f>ROUND(E362-E361,2)</f>
        <v/>
      </c>
      <c r="G362" s="6">
        <f>ROUND(F362-D362,2)</f>
        <v/>
      </c>
    </row>
    <row r="363">
      <c r="A363" t="inlineStr">
        <is>
          <t>2022-04-28</t>
        </is>
      </c>
      <c r="B363" t="n">
        <v>32</v>
      </c>
      <c r="C363" t="n">
        <v>2949</v>
      </c>
      <c r="D363" s="6" t="n">
        <v>31.7</v>
      </c>
      <c r="E363" s="6" t="n">
        <v>1002118.58</v>
      </c>
      <c r="F363" s="6">
        <f>ROUND(E363-E362,2)</f>
        <v/>
      </c>
      <c r="G363" s="6">
        <f>ROUND(F363-D363,2)</f>
        <v/>
      </c>
    </row>
    <row r="364">
      <c r="A364" t="inlineStr">
        <is>
          <t>2022-04-28</t>
        </is>
      </c>
      <c r="B364" t="n">
        <v>33</v>
      </c>
      <c r="C364" t="n">
        <v>2949</v>
      </c>
      <c r="D364" s="6" t="n">
        <v>31.7</v>
      </c>
      <c r="E364" s="6" t="n">
        <v>1002150.28</v>
      </c>
      <c r="F364" s="6">
        <f>ROUND(E364-E363,2)</f>
        <v/>
      </c>
      <c r="G364" s="6">
        <f>ROUND(F364-D364,2)</f>
        <v/>
      </c>
    </row>
    <row r="365">
      <c r="A365" t="inlineStr">
        <is>
          <t>2022-04-29</t>
        </is>
      </c>
      <c r="B365" t="n">
        <v>1</v>
      </c>
      <c r="C365" t="n">
        <v>2950</v>
      </c>
      <c r="D365" s="6" t="n">
        <v>37.2</v>
      </c>
      <c r="E365" s="6" t="n">
        <v>1002187.48</v>
      </c>
      <c r="F365" s="6">
        <f>ROUND(E365-E364,2)</f>
        <v/>
      </c>
      <c r="G365" s="6">
        <f>ROUND(F365-D365,2)</f>
        <v/>
      </c>
    </row>
    <row r="366">
      <c r="A366" t="inlineStr">
        <is>
          <t>2022-04-29</t>
        </is>
      </c>
      <c r="B366" t="n">
        <v>2</v>
      </c>
      <c r="C366" t="n">
        <v>2950</v>
      </c>
      <c r="D366" s="6" t="n">
        <v>65.40000000000001</v>
      </c>
      <c r="E366" s="6" t="n">
        <v>1002252.88</v>
      </c>
      <c r="F366" s="6">
        <f>ROUND(E366-E365,2)</f>
        <v/>
      </c>
      <c r="G366" s="6">
        <f>ROUND(F366-D366,2)</f>
        <v/>
      </c>
    </row>
    <row r="367">
      <c r="A367" t="inlineStr">
        <is>
          <t>2022-04-29</t>
        </is>
      </c>
      <c r="B367" t="n">
        <v>3</v>
      </c>
      <c r="C367" t="n">
        <v>2950</v>
      </c>
      <c r="D367" s="6" t="n">
        <v>93.5</v>
      </c>
      <c r="E367" s="6" t="n">
        <v>1002346.38</v>
      </c>
      <c r="F367" s="6">
        <f>ROUND(E367-E366,2)</f>
        <v/>
      </c>
      <c r="G367" s="6">
        <f>ROUND(F367-D367,2)</f>
        <v/>
      </c>
    </row>
    <row r="368">
      <c r="A368" t="inlineStr">
        <is>
          <t>2022-04-29</t>
        </is>
      </c>
      <c r="B368" t="n">
        <v>4</v>
      </c>
      <c r="C368" t="n">
        <v>2950</v>
      </c>
      <c r="D368" s="6" t="n">
        <v>20.97</v>
      </c>
      <c r="E368" s="6" t="n">
        <v>1002367.35</v>
      </c>
      <c r="F368" s="6">
        <f>ROUND(E368-E367,2)</f>
        <v/>
      </c>
      <c r="G368" s="6">
        <f>ROUND(F368-D368,2)</f>
        <v/>
      </c>
    </row>
    <row r="369">
      <c r="A369" t="inlineStr">
        <is>
          <t>2022-04-29</t>
        </is>
      </c>
      <c r="B369" t="n">
        <v>5</v>
      </c>
      <c r="C369" t="n">
        <v>2950</v>
      </c>
      <c r="D369" s="6" t="n">
        <v>21.6</v>
      </c>
      <c r="E369" s="6" t="n">
        <v>1002388.95</v>
      </c>
      <c r="F369" s="6">
        <f>ROUND(E369-E368,2)</f>
        <v/>
      </c>
      <c r="G369" s="6">
        <f>ROUND(F369-D369,2)</f>
        <v/>
      </c>
    </row>
    <row r="370">
      <c r="A370" t="inlineStr">
        <is>
          <t>2022-04-29</t>
        </is>
      </c>
      <c r="B370" t="n">
        <v>6</v>
      </c>
      <c r="C370" t="n">
        <v>2950</v>
      </c>
      <c r="D370" s="6" t="n">
        <v>20.93</v>
      </c>
      <c r="E370" s="6" t="n">
        <v>1002409.88</v>
      </c>
      <c r="F370" s="6">
        <f>ROUND(E370-E369,2)</f>
        <v/>
      </c>
      <c r="G370" s="6">
        <f>ROUND(F370-D370,2)</f>
        <v/>
      </c>
    </row>
    <row r="371">
      <c r="A371" t="inlineStr">
        <is>
          <t>2022-04-29</t>
        </is>
      </c>
      <c r="B371" t="n">
        <v>7</v>
      </c>
      <c r="C371" t="n">
        <v>2950</v>
      </c>
      <c r="D371" s="6" t="n">
        <v>62</v>
      </c>
      <c r="E371" s="6" t="n">
        <v>1002471.88</v>
      </c>
      <c r="F371" s="6">
        <f>ROUND(E371-E370,2)</f>
        <v/>
      </c>
      <c r="G371" s="6">
        <f>ROUND(F371-D371,2)</f>
        <v/>
      </c>
    </row>
    <row r="372">
      <c r="A372" t="inlineStr">
        <is>
          <t>2022-04-29</t>
        </is>
      </c>
      <c r="B372" t="n">
        <v>8</v>
      </c>
      <c r="C372" t="n">
        <v>2950</v>
      </c>
      <c r="D372" s="6" t="n">
        <v>74.2</v>
      </c>
      <c r="E372" s="6" t="n">
        <v>1002546.08</v>
      </c>
      <c r="F372" s="6">
        <f>ROUND(E372-E371,2)</f>
        <v/>
      </c>
      <c r="G372" s="6">
        <f>ROUND(F372-D372,2)</f>
        <v/>
      </c>
    </row>
    <row r="373">
      <c r="A373" t="inlineStr">
        <is>
          <t>2022-04-29</t>
        </is>
      </c>
      <c r="B373" t="n">
        <v>9</v>
      </c>
      <c r="C373" t="n">
        <v>2950</v>
      </c>
      <c r="D373" s="6" t="n">
        <v>30.55</v>
      </c>
      <c r="E373" s="6" t="n">
        <v>1002576.63</v>
      </c>
      <c r="F373" s="6">
        <f>ROUND(E373-E372,2)</f>
        <v/>
      </c>
      <c r="G373" s="6">
        <f>ROUND(F373-D373,2)</f>
        <v/>
      </c>
    </row>
    <row r="374">
      <c r="A374" t="inlineStr">
        <is>
          <t>2022-04-29</t>
        </is>
      </c>
      <c r="B374" t="n">
        <v>10</v>
      </c>
      <c r="C374" t="n">
        <v>2950</v>
      </c>
      <c r="D374" s="6" t="n">
        <v>30.55</v>
      </c>
      <c r="E374" s="6" t="n">
        <v>1002607.18</v>
      </c>
      <c r="F374" s="6">
        <f>ROUND(E374-E373,2)</f>
        <v/>
      </c>
      <c r="G374" s="6">
        <f>ROUND(F374-D374,2)</f>
        <v/>
      </c>
    </row>
    <row r="375">
      <c r="A375" t="inlineStr">
        <is>
          <t>2022-04-29</t>
        </is>
      </c>
      <c r="B375" t="n">
        <v>11</v>
      </c>
      <c r="C375" t="n">
        <v>2950</v>
      </c>
      <c r="D375" s="6" t="n">
        <v>80.2</v>
      </c>
      <c r="E375" s="6" t="n">
        <v>1002687.38</v>
      </c>
      <c r="F375" s="6">
        <f>ROUND(E375-E374,2)</f>
        <v/>
      </c>
      <c r="G375" s="6">
        <f>ROUND(F375-D375,2)</f>
        <v/>
      </c>
    </row>
    <row r="376">
      <c r="A376" t="inlineStr">
        <is>
          <t>2022-04-29</t>
        </is>
      </c>
      <c r="B376" t="n">
        <v>12</v>
      </c>
      <c r="C376" t="n">
        <v>2950</v>
      </c>
      <c r="D376" s="6" t="n">
        <v>103</v>
      </c>
      <c r="E376" s="6" t="n">
        <v>1002790.38</v>
      </c>
      <c r="F376" s="6">
        <f>ROUND(E376-E375,2)</f>
        <v/>
      </c>
      <c r="G376" s="6">
        <f>ROUND(F376-D376,2)</f>
        <v/>
      </c>
    </row>
    <row r="377">
      <c r="A377" t="inlineStr">
        <is>
          <t>2022-04-29</t>
        </is>
      </c>
      <c r="B377" t="n">
        <v>13</v>
      </c>
      <c r="C377" t="n">
        <v>2950</v>
      </c>
      <c r="D377" s="6" t="n">
        <v>58.4</v>
      </c>
      <c r="E377" s="6" t="n">
        <v>1002848.78</v>
      </c>
      <c r="F377" s="6">
        <f>ROUND(E377-E376,2)</f>
        <v/>
      </c>
      <c r="G377" s="6">
        <f>ROUND(F377-D377,2)</f>
        <v/>
      </c>
    </row>
    <row r="378">
      <c r="A378" t="inlineStr">
        <is>
          <t>2022-04-29</t>
        </is>
      </c>
      <c r="B378" t="n">
        <v>14</v>
      </c>
      <c r="C378" t="n">
        <v>2950</v>
      </c>
      <c r="D378" s="6" t="n">
        <v>80.5</v>
      </c>
      <c r="E378" s="6" t="n">
        <v>1002929.28</v>
      </c>
      <c r="F378" s="6">
        <f>ROUND(E378-E377,2)</f>
        <v/>
      </c>
      <c r="G378" s="6">
        <f>ROUND(F378-D378,2)</f>
        <v/>
      </c>
    </row>
    <row r="379">
      <c r="A379" t="inlineStr">
        <is>
          <t>2022-04-29</t>
        </is>
      </c>
      <c r="B379" t="n">
        <v>16</v>
      </c>
      <c r="C379" t="n">
        <v>2950</v>
      </c>
      <c r="D379" s="6" t="n">
        <v>96.09999999999999</v>
      </c>
      <c r="E379" s="6" t="n">
        <v>1003025.38</v>
      </c>
      <c r="F379" s="6">
        <f>ROUND(E379-E378,2)</f>
        <v/>
      </c>
      <c r="G379" s="6">
        <f>ROUND(F379-D379,2)</f>
        <v/>
      </c>
    </row>
    <row r="380">
      <c r="A380" t="inlineStr">
        <is>
          <t>2022-04-29</t>
        </is>
      </c>
      <c r="B380" t="n">
        <v>17</v>
      </c>
      <c r="C380" t="n">
        <v>2950</v>
      </c>
      <c r="D380" s="6" t="n">
        <v>66.40000000000001</v>
      </c>
      <c r="E380" s="6" t="n">
        <v>1003091.78</v>
      </c>
      <c r="F380" s="6">
        <f>ROUND(E380-E379,2)</f>
        <v/>
      </c>
      <c r="G380" s="6">
        <f>ROUND(F380-D380,2)</f>
        <v/>
      </c>
    </row>
    <row r="381">
      <c r="A381" t="inlineStr">
        <is>
          <t>2022-04-29</t>
        </is>
      </c>
      <c r="B381" t="n">
        <v>18</v>
      </c>
      <c r="C381" t="n">
        <v>2950</v>
      </c>
      <c r="D381" s="6" t="n">
        <v>80.8</v>
      </c>
      <c r="E381" s="6" t="n">
        <v>1003172.58</v>
      </c>
      <c r="F381" s="6">
        <f>ROUND(E381-E380,2)</f>
        <v/>
      </c>
      <c r="G381" s="6">
        <f>ROUND(F381-D381,2)</f>
        <v/>
      </c>
    </row>
    <row r="382">
      <c r="A382" t="inlineStr">
        <is>
          <t>2022-04-29</t>
        </is>
      </c>
      <c r="B382" t="n">
        <v>19</v>
      </c>
      <c r="C382" t="n">
        <v>2950</v>
      </c>
      <c r="D382" s="6" t="n">
        <v>142.6</v>
      </c>
      <c r="E382" s="6" t="n">
        <v>1003315.18</v>
      </c>
      <c r="F382" s="6">
        <f>ROUND(E382-E381,2)</f>
        <v/>
      </c>
      <c r="G382" s="6">
        <f>ROUND(F382-D382,2)</f>
        <v/>
      </c>
    </row>
    <row r="383">
      <c r="A383" t="inlineStr">
        <is>
          <t>2022-04-29</t>
        </is>
      </c>
      <c r="B383" t="n">
        <v>20</v>
      </c>
      <c r="C383" t="n">
        <v>2950</v>
      </c>
      <c r="D383" s="6" t="n">
        <v>124.5</v>
      </c>
      <c r="E383" s="6" t="n">
        <v>1003439.68</v>
      </c>
      <c r="F383" s="6">
        <f>ROUND(E383-E382,2)</f>
        <v/>
      </c>
      <c r="G383" s="6">
        <f>ROUND(F383-D383,2)</f>
        <v/>
      </c>
    </row>
    <row r="384">
      <c r="A384" t="inlineStr">
        <is>
          <t>2022-04-29</t>
        </is>
      </c>
      <c r="B384" t="n">
        <v>21</v>
      </c>
      <c r="C384" t="n">
        <v>2950</v>
      </c>
      <c r="D384" s="6" t="n">
        <v>132.1</v>
      </c>
      <c r="E384" s="6" t="n">
        <v>1003571.78</v>
      </c>
      <c r="F384" s="6">
        <f>ROUND(E384-E383,2)</f>
        <v/>
      </c>
      <c r="G384" s="6">
        <f>ROUND(F384-D384,2)</f>
        <v/>
      </c>
    </row>
    <row r="385">
      <c r="A385" t="inlineStr">
        <is>
          <t>2022-04-29</t>
        </is>
      </c>
      <c r="B385" t="n">
        <v>22</v>
      </c>
      <c r="C385" t="n">
        <v>2950</v>
      </c>
      <c r="D385" s="6" t="n">
        <v>64.59999999999999</v>
      </c>
      <c r="E385" s="6" t="n">
        <v>1003636.38</v>
      </c>
      <c r="F385" s="6">
        <f>ROUND(E385-E384,2)</f>
        <v/>
      </c>
      <c r="G385" s="6">
        <f>ROUND(F385-D385,2)</f>
        <v/>
      </c>
    </row>
    <row r="386">
      <c r="A386" t="inlineStr">
        <is>
          <t>2022-04-29</t>
        </is>
      </c>
      <c r="B386" t="n">
        <v>23</v>
      </c>
      <c r="C386" t="n">
        <v>2950</v>
      </c>
      <c r="D386" s="6" t="n">
        <v>70.8</v>
      </c>
      <c r="E386" s="6" t="n">
        <v>1003707.18</v>
      </c>
      <c r="F386" s="6">
        <f>ROUND(E386-E385,2)</f>
        <v/>
      </c>
      <c r="G386" s="6">
        <f>ROUND(F386-D386,2)</f>
        <v/>
      </c>
    </row>
    <row r="387">
      <c r="A387" t="inlineStr">
        <is>
          <t>2022-04-29</t>
        </is>
      </c>
      <c r="B387" t="n">
        <v>24</v>
      </c>
      <c r="C387" t="n">
        <v>2950</v>
      </c>
      <c r="D387" s="6" t="n">
        <v>53.8</v>
      </c>
      <c r="E387" s="6" t="n">
        <v>1003760.98</v>
      </c>
      <c r="F387" s="6">
        <f>ROUND(E387-E386,2)</f>
        <v/>
      </c>
      <c r="G387" s="6">
        <f>ROUND(F387-D387,2)</f>
        <v/>
      </c>
    </row>
    <row r="388">
      <c r="A388" t="inlineStr">
        <is>
          <t>2022-04-29</t>
        </is>
      </c>
      <c r="B388" t="n">
        <v>25</v>
      </c>
      <c r="C388" t="n">
        <v>2950</v>
      </c>
      <c r="D388" s="6" t="n">
        <v>24.8</v>
      </c>
      <c r="E388" s="6" t="n">
        <v>1003785.78</v>
      </c>
      <c r="F388" s="6">
        <f>ROUND(E388-E387,2)</f>
        <v/>
      </c>
      <c r="G388" s="6">
        <f>ROUND(F388-D388,2)</f>
        <v/>
      </c>
    </row>
    <row r="389">
      <c r="A389" t="inlineStr">
        <is>
          <t>2022-04-29</t>
        </is>
      </c>
      <c r="B389" t="n">
        <v>26</v>
      </c>
      <c r="C389" t="n">
        <v>2950</v>
      </c>
      <c r="D389" s="6" t="n">
        <v>24.8</v>
      </c>
      <c r="E389" s="6" t="n">
        <v>1003810.58</v>
      </c>
      <c r="F389" s="6">
        <f>ROUND(E389-E388,2)</f>
        <v/>
      </c>
      <c r="G389" s="6">
        <f>ROUND(F389-D389,2)</f>
        <v/>
      </c>
    </row>
    <row r="390">
      <c r="A390" t="inlineStr">
        <is>
          <t>2022-04-29</t>
        </is>
      </c>
      <c r="B390" t="n">
        <v>27</v>
      </c>
      <c r="C390" t="n">
        <v>2950</v>
      </c>
      <c r="D390" s="6" t="n">
        <v>90.09999999999999</v>
      </c>
      <c r="E390" s="6" t="n">
        <v>1003900.68</v>
      </c>
      <c r="F390" s="6">
        <f>ROUND(E390-E389,2)</f>
        <v/>
      </c>
      <c r="G390" s="6">
        <f>ROUND(F390-D390,2)</f>
        <v/>
      </c>
    </row>
    <row r="391">
      <c r="A391" t="inlineStr">
        <is>
          <t>2022-04-29</t>
        </is>
      </c>
      <c r="B391" t="n">
        <v>28</v>
      </c>
      <c r="C391" t="n">
        <v>2950</v>
      </c>
      <c r="D391" s="6" t="n">
        <v>45.4</v>
      </c>
      <c r="E391" s="6" t="n">
        <v>1003946.08</v>
      </c>
      <c r="F391" s="6">
        <f>ROUND(E391-E390,2)</f>
        <v/>
      </c>
      <c r="G391" s="6">
        <f>ROUND(F391-D391,2)</f>
        <v/>
      </c>
    </row>
    <row r="392">
      <c r="A392" t="inlineStr">
        <is>
          <t>2022-04-29</t>
        </is>
      </c>
      <c r="B392" t="n">
        <v>29</v>
      </c>
      <c r="C392" t="n">
        <v>2950</v>
      </c>
      <c r="D392" s="6" t="n">
        <v>82.2</v>
      </c>
      <c r="E392" s="6" t="n">
        <v>1004028.28</v>
      </c>
      <c r="F392" s="6">
        <f>ROUND(E392-E391,2)</f>
        <v/>
      </c>
      <c r="G392" s="6">
        <f>ROUND(F392-D392,2)</f>
        <v/>
      </c>
    </row>
    <row r="393">
      <c r="A393" t="inlineStr">
        <is>
          <t>2022-04-29</t>
        </is>
      </c>
      <c r="B393" t="n">
        <v>30</v>
      </c>
      <c r="C393" t="n">
        <v>2950</v>
      </c>
      <c r="D393" s="6" t="n">
        <v>41.3</v>
      </c>
      <c r="E393" s="6" t="n">
        <v>1004069.58</v>
      </c>
      <c r="F393" s="6">
        <f>ROUND(E393-E392,2)</f>
        <v/>
      </c>
      <c r="G393" s="6">
        <f>ROUND(F393-D393,2)</f>
        <v/>
      </c>
    </row>
    <row r="394">
      <c r="A394" t="inlineStr">
        <is>
          <t>2022-04-29</t>
        </is>
      </c>
      <c r="B394" t="n">
        <v>31</v>
      </c>
      <c r="C394" t="n">
        <v>2950</v>
      </c>
      <c r="D394" s="6" t="n">
        <v>41.3</v>
      </c>
      <c r="E394" s="6" t="n">
        <v>1004110.88</v>
      </c>
      <c r="F394" s="6">
        <f>ROUND(E394-E393,2)</f>
        <v/>
      </c>
      <c r="G394" s="6">
        <f>ROUND(F394-D394,2)</f>
        <v/>
      </c>
    </row>
    <row r="395">
      <c r="A395" t="inlineStr">
        <is>
          <t>2022-04-30</t>
        </is>
      </c>
      <c r="B395" t="n">
        <v>1</v>
      </c>
      <c r="C395" t="n">
        <v>2951</v>
      </c>
      <c r="D395" s="6" t="n">
        <v>64.2</v>
      </c>
      <c r="E395" s="6" t="n">
        <v>1004175.08</v>
      </c>
      <c r="F395" s="6">
        <f>ROUND(E395-E394,2)</f>
        <v/>
      </c>
      <c r="G395" s="6">
        <f>ROUND(F395-D395,2)</f>
        <v/>
      </c>
    </row>
    <row r="396">
      <c r="A396" t="inlineStr">
        <is>
          <t>2022-04-30</t>
        </is>
      </c>
      <c r="B396" t="n">
        <v>2</v>
      </c>
      <c r="C396" t="n">
        <v>2951</v>
      </c>
      <c r="D396" s="6" t="n">
        <v>48.9</v>
      </c>
      <c r="E396" s="6" t="n">
        <v>1004223.98</v>
      </c>
      <c r="F396" s="6">
        <f>ROUND(E396-E395,2)</f>
        <v/>
      </c>
      <c r="G396" s="6">
        <f>ROUND(F396-D396,2)</f>
        <v/>
      </c>
    </row>
    <row r="397">
      <c r="A397" t="inlineStr">
        <is>
          <t>2022-04-30</t>
        </is>
      </c>
      <c r="B397" t="n">
        <v>3</v>
      </c>
      <c r="C397" t="n">
        <v>2951</v>
      </c>
      <c r="D397" s="6" t="n">
        <v>65.7</v>
      </c>
      <c r="E397" s="6" t="n">
        <v>1004289.68</v>
      </c>
      <c r="F397" s="6">
        <f>ROUND(E397-E396,2)</f>
        <v/>
      </c>
      <c r="G397" s="6">
        <f>ROUND(F397-D397,2)</f>
        <v/>
      </c>
    </row>
    <row r="398">
      <c r="A398" t="inlineStr">
        <is>
          <t>2022-04-30</t>
        </is>
      </c>
      <c r="B398" t="n">
        <v>4</v>
      </c>
      <c r="C398" t="n">
        <v>2951</v>
      </c>
      <c r="D398" s="6" t="n">
        <v>47.8</v>
      </c>
      <c r="E398" s="6" t="n">
        <v>1004337.48</v>
      </c>
      <c r="F398" s="6">
        <f>ROUND(E398-E397,2)</f>
        <v/>
      </c>
      <c r="G398" s="6">
        <f>ROUND(F398-D398,2)</f>
        <v/>
      </c>
    </row>
    <row r="399">
      <c r="A399" t="inlineStr">
        <is>
          <t>2022-04-30</t>
        </is>
      </c>
      <c r="B399" t="n">
        <v>5</v>
      </c>
      <c r="C399" t="n">
        <v>2951</v>
      </c>
      <c r="D399" s="6" t="n">
        <v>79.8</v>
      </c>
      <c r="E399" s="6" t="n">
        <v>1004417.28</v>
      </c>
      <c r="F399" s="6">
        <f>ROUND(E399-E398,2)</f>
        <v/>
      </c>
      <c r="G399" s="6">
        <f>ROUND(F399-D399,2)</f>
        <v/>
      </c>
    </row>
    <row r="400">
      <c r="A400" t="inlineStr">
        <is>
          <t>2022-04-30</t>
        </is>
      </c>
      <c r="B400" t="n">
        <v>6</v>
      </c>
      <c r="C400" t="n">
        <v>2951</v>
      </c>
      <c r="D400" s="6" t="n">
        <v>166.3</v>
      </c>
      <c r="E400" s="6" t="n">
        <v>1004583.58</v>
      </c>
      <c r="F400" s="6">
        <f>ROUND(E400-E399,2)</f>
        <v/>
      </c>
      <c r="G400" s="6">
        <f>ROUND(F400-D400,2)</f>
        <v/>
      </c>
    </row>
    <row r="401">
      <c r="A401" t="inlineStr">
        <is>
          <t>2022-04-30</t>
        </is>
      </c>
      <c r="B401" t="n">
        <v>7</v>
      </c>
      <c r="C401" t="n">
        <v>2951</v>
      </c>
      <c r="D401" s="6" t="n">
        <v>46.9</v>
      </c>
      <c r="E401" s="6" t="n">
        <v>1004630.48</v>
      </c>
      <c r="F401" s="6">
        <f>ROUND(E401-E400,2)</f>
        <v/>
      </c>
      <c r="G401" s="6">
        <f>ROUND(F401-D401,2)</f>
        <v/>
      </c>
    </row>
    <row r="402">
      <c r="A402" t="inlineStr">
        <is>
          <t>2022-04-30</t>
        </is>
      </c>
      <c r="B402" t="n">
        <v>8</v>
      </c>
      <c r="C402" t="n">
        <v>2951</v>
      </c>
      <c r="D402" s="6" t="n">
        <v>61.5</v>
      </c>
      <c r="E402" s="6" t="n">
        <v>1004691.98</v>
      </c>
      <c r="F402" s="6">
        <f>ROUND(E402-E401,2)</f>
        <v/>
      </c>
      <c r="G402" s="6">
        <f>ROUND(F402-D402,2)</f>
        <v/>
      </c>
    </row>
    <row r="403">
      <c r="A403" t="inlineStr">
        <is>
          <t>2022-04-30</t>
        </is>
      </c>
      <c r="B403" t="n">
        <v>9</v>
      </c>
      <c r="C403" t="n">
        <v>2951</v>
      </c>
      <c r="D403" s="6" t="n">
        <v>37.1</v>
      </c>
      <c r="E403" s="6" t="n">
        <v>1004729.08</v>
      </c>
      <c r="F403" s="6">
        <f>ROUND(E403-E402,2)</f>
        <v/>
      </c>
      <c r="G403" s="6">
        <f>ROUND(F403-D403,2)</f>
        <v/>
      </c>
    </row>
    <row r="404">
      <c r="A404" t="inlineStr">
        <is>
          <t>2022-04-30</t>
        </is>
      </c>
      <c r="B404" t="n">
        <v>10</v>
      </c>
      <c r="C404" t="n">
        <v>2951</v>
      </c>
      <c r="D404" s="6" t="n">
        <v>104.1</v>
      </c>
      <c r="E404" s="6" t="n">
        <v>1004833.18</v>
      </c>
      <c r="F404" s="6">
        <f>ROUND(E404-E403,2)</f>
        <v/>
      </c>
      <c r="G404" s="6">
        <f>ROUND(F404-D404,2)</f>
        <v/>
      </c>
    </row>
    <row r="405">
      <c r="A405" t="inlineStr">
        <is>
          <t>2022-04-30</t>
        </is>
      </c>
      <c r="B405" t="n">
        <v>11</v>
      </c>
      <c r="C405" t="n">
        <v>2951</v>
      </c>
      <c r="D405" s="6" t="n">
        <v>109.5</v>
      </c>
      <c r="E405" s="6" t="n">
        <v>1004942.68</v>
      </c>
      <c r="F405" s="6">
        <f>ROUND(E405-E404,2)</f>
        <v/>
      </c>
      <c r="G405" s="6">
        <f>ROUND(F405-D405,2)</f>
        <v/>
      </c>
    </row>
    <row r="406">
      <c r="A406" t="inlineStr">
        <is>
          <t>2022-04-30</t>
        </is>
      </c>
      <c r="B406" t="n">
        <v>12</v>
      </c>
      <c r="C406" t="n">
        <v>2951</v>
      </c>
      <c r="D406" s="6" t="n">
        <v>120.7</v>
      </c>
      <c r="E406" s="6" t="n">
        <v>1005063.38</v>
      </c>
      <c r="F406" s="6">
        <f>ROUND(E406-E405,2)</f>
        <v/>
      </c>
      <c r="G406" s="6">
        <f>ROUND(F406-D406,2)</f>
        <v/>
      </c>
    </row>
    <row r="407">
      <c r="A407" t="inlineStr">
        <is>
          <t>2022-04-30</t>
        </is>
      </c>
      <c r="B407" t="n">
        <v>13</v>
      </c>
      <c r="C407" t="n">
        <v>2951</v>
      </c>
      <c r="D407" s="6" t="n">
        <v>123</v>
      </c>
      <c r="E407" s="6" t="n">
        <v>1005186.38</v>
      </c>
      <c r="F407" s="6">
        <f>ROUND(E407-E406,2)</f>
        <v/>
      </c>
      <c r="G407" s="6">
        <f>ROUND(F407-D407,2)</f>
        <v/>
      </c>
    </row>
    <row r="408">
      <c r="A408" t="inlineStr">
        <is>
          <t>2022-04-30</t>
        </is>
      </c>
      <c r="B408" t="n">
        <v>14</v>
      </c>
      <c r="C408" t="n">
        <v>2951</v>
      </c>
      <c r="D408" s="6" t="n">
        <v>31.8</v>
      </c>
      <c r="E408" s="6" t="n">
        <v>1005218.18</v>
      </c>
      <c r="F408" s="6">
        <f>ROUND(E408-E407,2)</f>
        <v/>
      </c>
      <c r="G408" s="6">
        <f>ROUND(F408-D408,2)</f>
        <v/>
      </c>
    </row>
    <row r="409">
      <c r="A409" t="inlineStr">
        <is>
          <t>2022-04-30</t>
        </is>
      </c>
      <c r="B409" t="n">
        <v>15</v>
      </c>
      <c r="C409" t="n">
        <v>2951</v>
      </c>
      <c r="D409" s="6" t="n">
        <v>275.3</v>
      </c>
      <c r="E409" s="6" t="n">
        <v>1005493.48</v>
      </c>
      <c r="F409" s="6">
        <f>ROUND(E409-E408,2)</f>
        <v/>
      </c>
      <c r="G409" s="6">
        <f>ROUND(F409-D409,2)</f>
        <v/>
      </c>
    </row>
    <row r="410">
      <c r="A410" t="inlineStr">
        <is>
          <t>2022-04-30</t>
        </is>
      </c>
      <c r="B410" t="n">
        <v>16</v>
      </c>
      <c r="C410" t="n">
        <v>2951</v>
      </c>
      <c r="D410" s="6" t="n">
        <v>74.90000000000001</v>
      </c>
      <c r="E410" s="6" t="n">
        <v>1005568.38</v>
      </c>
      <c r="F410" s="6">
        <f>ROUND(E410-E409,2)</f>
        <v/>
      </c>
      <c r="G410" s="6">
        <f>ROUND(F410-D410,2)</f>
        <v/>
      </c>
    </row>
    <row r="411">
      <c r="A411" t="inlineStr">
        <is>
          <t>2022-04-30</t>
        </is>
      </c>
      <c r="B411" t="n">
        <v>17</v>
      </c>
      <c r="C411" t="n">
        <v>2951</v>
      </c>
      <c r="D411" s="6" t="n">
        <v>71.59999999999999</v>
      </c>
      <c r="E411" s="6" t="n">
        <v>1005639.98</v>
      </c>
      <c r="F411" s="6">
        <f>ROUND(E411-E410,2)</f>
        <v/>
      </c>
      <c r="G411" s="6">
        <f>ROUND(F411-D411,2)</f>
        <v/>
      </c>
    </row>
    <row r="412">
      <c r="A412" t="inlineStr">
        <is>
          <t>2022-04-30</t>
        </is>
      </c>
      <c r="B412" t="n">
        <v>18</v>
      </c>
      <c r="C412" t="n">
        <v>2951</v>
      </c>
      <c r="D412" s="6" t="n">
        <v>98.09999999999999</v>
      </c>
      <c r="E412" s="6" t="n">
        <v>1005738.08</v>
      </c>
      <c r="F412" s="6">
        <f>ROUND(E412-E411,2)</f>
        <v/>
      </c>
      <c r="G412" s="6">
        <f>ROUND(F412-D412,2)</f>
        <v/>
      </c>
    </row>
    <row r="413">
      <c r="A413" t="inlineStr">
        <is>
          <t>2022-04-30</t>
        </is>
      </c>
      <c r="B413" t="n">
        <v>19</v>
      </c>
      <c r="C413" t="n">
        <v>2951</v>
      </c>
      <c r="D413" s="6" t="n">
        <v>232.1</v>
      </c>
      <c r="E413" s="6" t="n">
        <v>1005970.18</v>
      </c>
      <c r="F413" s="6">
        <f>ROUND(E413-E412,2)</f>
        <v/>
      </c>
      <c r="G413" s="6">
        <f>ROUND(F413-D413,2)</f>
        <v/>
      </c>
    </row>
    <row r="414">
      <c r="A414" t="inlineStr">
        <is>
          <t>2022-04-30</t>
        </is>
      </c>
      <c r="B414" t="n">
        <v>20</v>
      </c>
      <c r="C414" t="n">
        <v>2951</v>
      </c>
      <c r="D414" s="6" t="n">
        <v>74.90000000000001</v>
      </c>
      <c r="E414" s="6" t="n">
        <v>1006045.08</v>
      </c>
      <c r="F414" s="6">
        <f>ROUND(E414-E413,2)</f>
        <v/>
      </c>
      <c r="G414" s="6">
        <f>ROUND(F414-D414,2)</f>
        <v/>
      </c>
    </row>
    <row r="415">
      <c r="A415" t="inlineStr">
        <is>
          <t>2022-04-30</t>
        </is>
      </c>
      <c r="B415" t="n">
        <v>21</v>
      </c>
      <c r="C415" t="n">
        <v>2951</v>
      </c>
      <c r="D415" s="6" t="n">
        <v>108.3</v>
      </c>
      <c r="E415" s="6" t="n">
        <v>1006153.38</v>
      </c>
      <c r="F415" s="6">
        <f>ROUND(E415-E414,2)</f>
        <v/>
      </c>
      <c r="G415" s="6">
        <f>ROUND(F415-D415,2)</f>
        <v/>
      </c>
    </row>
    <row r="416">
      <c r="A416" t="inlineStr">
        <is>
          <t>2022-04-30</t>
        </is>
      </c>
      <c r="B416" t="n">
        <v>22</v>
      </c>
      <c r="C416" t="n">
        <v>2951</v>
      </c>
      <c r="D416" s="6" t="n">
        <v>122</v>
      </c>
      <c r="E416" s="6" t="n">
        <v>1006275.38</v>
      </c>
      <c r="F416" s="6">
        <f>ROUND(E416-E415,2)</f>
        <v/>
      </c>
      <c r="G416" s="6">
        <f>ROUND(F416-D416,2)</f>
        <v/>
      </c>
    </row>
    <row r="417">
      <c r="A417" t="inlineStr">
        <is>
          <t>2022-04-30</t>
        </is>
      </c>
      <c r="B417" t="n">
        <v>23</v>
      </c>
      <c r="C417" t="n">
        <v>2951</v>
      </c>
      <c r="D417" s="6" t="n">
        <v>28.9</v>
      </c>
      <c r="E417" s="6" t="n">
        <v>1006304.28</v>
      </c>
      <c r="F417" s="6">
        <f>ROUND(E417-E416,2)</f>
        <v/>
      </c>
      <c r="G417" s="6">
        <f>ROUND(F417-D417,2)</f>
        <v/>
      </c>
    </row>
    <row r="418">
      <c r="A418" t="inlineStr">
        <is>
          <t>2022-04-30</t>
        </is>
      </c>
      <c r="B418" t="n">
        <v>24</v>
      </c>
      <c r="C418" t="n">
        <v>2951</v>
      </c>
      <c r="D418" s="6" t="n">
        <v>44.4</v>
      </c>
      <c r="E418" s="6" t="n">
        <v>1006348.68</v>
      </c>
      <c r="F418" s="6">
        <f>ROUND(E418-E417,2)</f>
        <v/>
      </c>
      <c r="G418" s="6">
        <f>ROUND(F418-D418,2)</f>
        <v/>
      </c>
    </row>
    <row r="419">
      <c r="A419" t="inlineStr">
        <is>
          <t>2022-04-30</t>
        </is>
      </c>
      <c r="B419" t="n">
        <v>25</v>
      </c>
      <c r="C419" t="n">
        <v>2951</v>
      </c>
      <c r="D419" s="6" t="n">
        <v>122</v>
      </c>
      <c r="E419" s="6" t="n">
        <v>1006470.68</v>
      </c>
      <c r="F419" s="6">
        <f>ROUND(E419-E418,2)</f>
        <v/>
      </c>
      <c r="G419" s="6">
        <f>ROUND(F419-D419,2)</f>
        <v/>
      </c>
    </row>
    <row r="420">
      <c r="A420" t="inlineStr">
        <is>
          <t>2022-04-30</t>
        </is>
      </c>
      <c r="B420" t="n">
        <v>26</v>
      </c>
      <c r="C420" t="n">
        <v>2951</v>
      </c>
      <c r="D420" s="6" t="n">
        <v>69.3</v>
      </c>
      <c r="E420" s="6" t="n">
        <v>1006539.98</v>
      </c>
      <c r="F420" s="6">
        <f>ROUND(E420-E419,2)</f>
        <v/>
      </c>
      <c r="G420" s="6">
        <f>ROUND(F420-D420,2)</f>
        <v/>
      </c>
    </row>
    <row r="421">
      <c r="A421" t="inlineStr">
        <is>
          <t>2022-04-30</t>
        </is>
      </c>
      <c r="B421" t="n">
        <v>27</v>
      </c>
      <c r="C421" t="n">
        <v>2951</v>
      </c>
      <c r="D421" s="6" t="n">
        <v>187.1</v>
      </c>
      <c r="E421" s="6" t="n">
        <v>1006727.08</v>
      </c>
      <c r="F421" s="6">
        <f>ROUND(E421-E420,2)</f>
        <v/>
      </c>
      <c r="G421" s="6">
        <f>ROUND(F421-D421,2)</f>
        <v/>
      </c>
    </row>
    <row r="422">
      <c r="A422" t="inlineStr">
        <is>
          <t>2022-05-04</t>
        </is>
      </c>
      <c r="B422" t="n">
        <v>1</v>
      </c>
      <c r="C422" t="n">
        <v>2952</v>
      </c>
      <c r="D422" s="6" t="n">
        <v>50.2</v>
      </c>
      <c r="E422" s="6" t="n">
        <v>1006777.28</v>
      </c>
      <c r="F422" s="6">
        <f>ROUND(E422-E421,2)</f>
        <v/>
      </c>
      <c r="G422" s="6">
        <f>ROUND(F422-D422,2)</f>
        <v/>
      </c>
    </row>
    <row r="423">
      <c r="A423" t="inlineStr">
        <is>
          <t>2022-05-04</t>
        </is>
      </c>
      <c r="B423" t="n">
        <v>2</v>
      </c>
      <c r="C423" t="n">
        <v>2952</v>
      </c>
      <c r="D423" s="6" t="n">
        <v>65</v>
      </c>
      <c r="E423" s="6" t="n">
        <v>1006842.28</v>
      </c>
      <c r="F423" s="6">
        <f>ROUND(E423-E422,2)</f>
        <v/>
      </c>
      <c r="G423" s="6">
        <f>ROUND(F423-D423,2)</f>
        <v/>
      </c>
    </row>
    <row r="424">
      <c r="A424" t="inlineStr">
        <is>
          <t>2022-05-04</t>
        </is>
      </c>
      <c r="B424" t="n">
        <v>3</v>
      </c>
      <c r="C424" t="n">
        <v>2952</v>
      </c>
      <c r="D424" s="6" t="n">
        <v>32.5</v>
      </c>
      <c r="E424" s="6" t="n">
        <v>1006874.78</v>
      </c>
      <c r="F424" s="6">
        <f>ROUND(E424-E423,2)</f>
        <v/>
      </c>
      <c r="G424" s="6">
        <f>ROUND(F424-D424,2)</f>
        <v/>
      </c>
    </row>
    <row r="425">
      <c r="A425" t="inlineStr">
        <is>
          <t>2022-05-04</t>
        </is>
      </c>
      <c r="B425" t="n">
        <v>4</v>
      </c>
      <c r="C425" t="n">
        <v>2952</v>
      </c>
      <c r="D425" s="6" t="n">
        <v>55.7</v>
      </c>
      <c r="E425" s="6" t="n">
        <v>1006930.48</v>
      </c>
      <c r="F425" s="6">
        <f>ROUND(E425-E424,2)</f>
        <v/>
      </c>
      <c r="G425" s="6">
        <f>ROUND(F425-D425,2)</f>
        <v/>
      </c>
    </row>
    <row r="426">
      <c r="A426" t="inlineStr">
        <is>
          <t>2022-05-04</t>
        </is>
      </c>
      <c r="B426" t="n">
        <v>5</v>
      </c>
      <c r="C426" t="n">
        <v>2952</v>
      </c>
      <c r="D426" s="6" t="n">
        <v>25.7</v>
      </c>
      <c r="E426" s="6" t="n">
        <v>1006956.18</v>
      </c>
      <c r="F426" s="6">
        <f>ROUND(E426-E425,2)</f>
        <v/>
      </c>
      <c r="G426" s="6">
        <f>ROUND(F426-D426,2)</f>
        <v/>
      </c>
    </row>
    <row r="427">
      <c r="A427" t="inlineStr">
        <is>
          <t>2022-05-04</t>
        </is>
      </c>
      <c r="B427" t="n">
        <v>6</v>
      </c>
      <c r="C427" t="n">
        <v>2952</v>
      </c>
      <c r="D427" s="6" t="n">
        <v>90.3</v>
      </c>
      <c r="E427" s="6" t="n">
        <v>1007046.48</v>
      </c>
      <c r="F427" s="6">
        <f>ROUND(E427-E426,2)</f>
        <v/>
      </c>
      <c r="G427" s="6">
        <f>ROUND(F427-D427,2)</f>
        <v/>
      </c>
    </row>
    <row r="428">
      <c r="A428" t="inlineStr">
        <is>
          <t>2022-05-04</t>
        </is>
      </c>
      <c r="B428" t="n">
        <v>7</v>
      </c>
      <c r="C428" t="n">
        <v>2952</v>
      </c>
      <c r="D428" s="6" t="n">
        <v>42.8</v>
      </c>
      <c r="E428" s="6" t="n">
        <v>1007089.28</v>
      </c>
      <c r="F428" s="6">
        <f>ROUND(E428-E427,2)</f>
        <v/>
      </c>
      <c r="G428" s="6">
        <f>ROUND(F428-D428,2)</f>
        <v/>
      </c>
    </row>
    <row r="429">
      <c r="A429" t="inlineStr">
        <is>
          <t>2022-05-04</t>
        </is>
      </c>
      <c r="B429" t="n">
        <v>8</v>
      </c>
      <c r="C429" t="n">
        <v>2952</v>
      </c>
      <c r="D429" s="6" t="n">
        <v>52</v>
      </c>
      <c r="E429" s="6" t="n">
        <v>1007141.28</v>
      </c>
      <c r="F429" s="6">
        <f>ROUND(E429-E428,2)</f>
        <v/>
      </c>
      <c r="G429" s="6">
        <f>ROUND(F429-D429,2)</f>
        <v/>
      </c>
    </row>
    <row r="430">
      <c r="A430" t="inlineStr">
        <is>
          <t>2022-05-04</t>
        </is>
      </c>
      <c r="B430" t="n">
        <v>9</v>
      </c>
      <c r="C430" t="n">
        <v>2952</v>
      </c>
      <c r="D430" s="6" t="n">
        <v>170.7</v>
      </c>
      <c r="E430" s="6" t="n">
        <v>1007311.98</v>
      </c>
      <c r="F430" s="6">
        <f>ROUND(E430-E429,2)</f>
        <v/>
      </c>
      <c r="G430" s="6">
        <f>ROUND(F430-D430,2)</f>
        <v/>
      </c>
    </row>
    <row r="431">
      <c r="A431" t="inlineStr">
        <is>
          <t>2022-05-04</t>
        </is>
      </c>
      <c r="B431" t="n">
        <v>10</v>
      </c>
      <c r="C431" t="n">
        <v>2952</v>
      </c>
      <c r="D431" s="6" t="n">
        <v>60</v>
      </c>
      <c r="E431" s="6" t="n">
        <v>1007371.98</v>
      </c>
      <c r="F431" s="6">
        <f>ROUND(E431-E430,2)</f>
        <v/>
      </c>
      <c r="G431" s="6">
        <f>ROUND(F431-D431,2)</f>
        <v/>
      </c>
    </row>
    <row r="432">
      <c r="A432" t="inlineStr">
        <is>
          <t>2022-05-04</t>
        </is>
      </c>
      <c r="B432" t="n">
        <v>11</v>
      </c>
      <c r="C432" t="n">
        <v>2952</v>
      </c>
      <c r="D432" s="6" t="n">
        <v>91.90000000000001</v>
      </c>
      <c r="E432" s="6" t="n">
        <v>1007463.88</v>
      </c>
      <c r="F432" s="6">
        <f>ROUND(E432-E431,2)</f>
        <v/>
      </c>
      <c r="G432" s="6">
        <f>ROUND(F432-D432,2)</f>
        <v/>
      </c>
    </row>
    <row r="433">
      <c r="A433" t="inlineStr">
        <is>
          <t>2022-05-04</t>
        </is>
      </c>
      <c r="B433" t="n">
        <v>12</v>
      </c>
      <c r="C433" t="n">
        <v>2952</v>
      </c>
      <c r="D433" s="6" t="n">
        <v>100.6</v>
      </c>
      <c r="E433" s="6" t="n">
        <v>1007564.48</v>
      </c>
      <c r="F433" s="6">
        <f>ROUND(E433-E432,2)</f>
        <v/>
      </c>
      <c r="G433" s="6">
        <f>ROUND(F433-D433,2)</f>
        <v/>
      </c>
    </row>
    <row r="434">
      <c r="A434" t="inlineStr">
        <is>
          <t>2022-05-04</t>
        </is>
      </c>
      <c r="B434" t="n">
        <v>13</v>
      </c>
      <c r="C434" t="n">
        <v>2952</v>
      </c>
      <c r="D434" s="6" t="n">
        <v>63.6</v>
      </c>
      <c r="E434" s="6" t="n">
        <v>1007628.08</v>
      </c>
      <c r="F434" s="6">
        <f>ROUND(E434-E433,2)</f>
        <v/>
      </c>
      <c r="G434" s="6">
        <f>ROUND(F434-D434,2)</f>
        <v/>
      </c>
    </row>
    <row r="435">
      <c r="A435" t="inlineStr">
        <is>
          <t>2022-05-04</t>
        </is>
      </c>
      <c r="B435" t="n">
        <v>14</v>
      </c>
      <c r="C435" t="n">
        <v>2952</v>
      </c>
      <c r="D435" s="6" t="n">
        <v>237.5</v>
      </c>
      <c r="E435" s="6" t="n">
        <v>1007865.58</v>
      </c>
      <c r="F435" s="6">
        <f>ROUND(E435-E434,2)</f>
        <v/>
      </c>
      <c r="G435" s="6">
        <f>ROUND(F435-D435,2)</f>
        <v/>
      </c>
    </row>
    <row r="436">
      <c r="A436" t="inlineStr">
        <is>
          <t>2022-05-04</t>
        </is>
      </c>
      <c r="B436" t="n">
        <v>15</v>
      </c>
      <c r="C436" t="n">
        <v>2952</v>
      </c>
      <c r="D436" s="6" t="n">
        <v>99.3</v>
      </c>
      <c r="E436" s="6" t="n">
        <v>1007964.88</v>
      </c>
      <c r="F436" s="6">
        <f>ROUND(E436-E435,2)</f>
        <v/>
      </c>
      <c r="G436" s="6">
        <f>ROUND(F436-D436,2)</f>
        <v/>
      </c>
    </row>
    <row r="437">
      <c r="A437" t="inlineStr">
        <is>
          <t>2022-05-04</t>
        </is>
      </c>
      <c r="B437" t="n">
        <v>16</v>
      </c>
      <c r="C437" t="n">
        <v>2952</v>
      </c>
      <c r="D437" s="6" t="n">
        <v>47.1</v>
      </c>
      <c r="E437" s="6" t="n">
        <v>1008011.98</v>
      </c>
      <c r="F437" s="6">
        <f>ROUND(E437-E436,2)</f>
        <v/>
      </c>
      <c r="G437" s="6">
        <f>ROUND(F437-D437,2)</f>
        <v/>
      </c>
    </row>
    <row r="438">
      <c r="A438" t="inlineStr">
        <is>
          <t>2022-05-04</t>
        </is>
      </c>
      <c r="B438" t="n">
        <v>17</v>
      </c>
      <c r="C438" t="n">
        <v>2952</v>
      </c>
      <c r="D438" s="6" t="n">
        <v>30</v>
      </c>
      <c r="E438" s="6" t="n">
        <v>1008041.98</v>
      </c>
      <c r="F438" s="6">
        <f>ROUND(E438-E437,2)</f>
        <v/>
      </c>
      <c r="G438" s="6">
        <f>ROUND(F438-D438,2)</f>
        <v/>
      </c>
    </row>
    <row r="439">
      <c r="A439" t="inlineStr">
        <is>
          <t>2022-05-04</t>
        </is>
      </c>
      <c r="B439" t="n">
        <v>18</v>
      </c>
      <c r="C439" t="n">
        <v>2952</v>
      </c>
      <c r="D439" s="6" t="n">
        <v>17.1</v>
      </c>
      <c r="E439" s="6" t="n">
        <v>1008059.08</v>
      </c>
      <c r="F439" s="6">
        <f>ROUND(E439-E438,2)</f>
        <v/>
      </c>
      <c r="G439" s="6">
        <f>ROUND(F439-D439,2)</f>
        <v/>
      </c>
    </row>
    <row r="440">
      <c r="A440" t="inlineStr">
        <is>
          <t>2022-05-04</t>
        </is>
      </c>
      <c r="B440" t="n">
        <v>19</v>
      </c>
      <c r="C440" t="n">
        <v>2952</v>
      </c>
      <c r="D440" s="6" t="n">
        <v>177.8</v>
      </c>
      <c r="E440" s="6" t="n">
        <v>1008236.88</v>
      </c>
      <c r="F440" s="6">
        <f>ROUND(E440-E439,2)</f>
        <v/>
      </c>
      <c r="G440" s="6">
        <f>ROUND(F440-D440,2)</f>
        <v/>
      </c>
    </row>
    <row r="441">
      <c r="A441" t="inlineStr">
        <is>
          <t>2022-05-04</t>
        </is>
      </c>
      <c r="B441" t="n">
        <v>20</v>
      </c>
      <c r="C441" t="n">
        <v>2952</v>
      </c>
      <c r="D441" s="6" t="n">
        <v>94.09999999999999</v>
      </c>
      <c r="E441" s="6" t="n">
        <v>1008330.98</v>
      </c>
      <c r="F441" s="6">
        <f>ROUND(E441-E440,2)</f>
        <v/>
      </c>
      <c r="G441" s="6">
        <f>ROUND(F441-D441,2)</f>
        <v/>
      </c>
    </row>
    <row r="442">
      <c r="A442" t="inlineStr">
        <is>
          <t>2022-05-05</t>
        </is>
      </c>
      <c r="B442" t="n">
        <v>1</v>
      </c>
      <c r="C442" t="n">
        <v>2953</v>
      </c>
      <c r="D442" s="6" t="n">
        <v>84.8</v>
      </c>
      <c r="E442" s="6" t="n">
        <v>1008415.78</v>
      </c>
      <c r="F442" s="6">
        <f>ROUND(E442-E441,2)</f>
        <v/>
      </c>
      <c r="G442" s="6">
        <f>ROUND(F442-D442,2)</f>
        <v/>
      </c>
    </row>
    <row r="443">
      <c r="A443" t="inlineStr">
        <is>
          <t>2022-05-05</t>
        </is>
      </c>
      <c r="B443" t="n">
        <v>2</v>
      </c>
      <c r="C443" t="n">
        <v>2953</v>
      </c>
      <c r="D443" s="6" t="n">
        <v>83.09999999999999</v>
      </c>
      <c r="E443" s="6" t="n">
        <v>1008498.88</v>
      </c>
      <c r="F443" s="6">
        <f>ROUND(E443-E442,2)</f>
        <v/>
      </c>
      <c r="G443" s="6">
        <f>ROUND(F443-D443,2)</f>
        <v/>
      </c>
    </row>
    <row r="444">
      <c r="A444" t="inlineStr">
        <is>
          <t>2022-05-05</t>
        </is>
      </c>
      <c r="B444" t="n">
        <v>3</v>
      </c>
      <c r="C444" t="n">
        <v>2953</v>
      </c>
      <c r="D444" s="6" t="n">
        <v>83.09999999999999</v>
      </c>
      <c r="E444" s="6" t="n">
        <v>1008581.98</v>
      </c>
      <c r="F444" s="6">
        <f>ROUND(E444-E443,2)</f>
        <v/>
      </c>
      <c r="G444" s="6">
        <f>ROUND(F444-D444,2)</f>
        <v/>
      </c>
    </row>
    <row r="445">
      <c r="A445" t="inlineStr">
        <is>
          <t>2022-05-05</t>
        </is>
      </c>
      <c r="B445" t="n">
        <v>4</v>
      </c>
      <c r="C445" t="n">
        <v>2953</v>
      </c>
      <c r="D445" s="6" t="n">
        <v>66.2</v>
      </c>
      <c r="E445" s="6" t="n">
        <v>1008648.18</v>
      </c>
      <c r="F445" s="6">
        <f>ROUND(E445-E444,2)</f>
        <v/>
      </c>
      <c r="G445" s="6">
        <f>ROUND(F445-D445,2)</f>
        <v/>
      </c>
    </row>
    <row r="446">
      <c r="A446" t="inlineStr">
        <is>
          <t>2022-05-05</t>
        </is>
      </c>
      <c r="B446" t="n">
        <v>5</v>
      </c>
      <c r="C446" t="n">
        <v>2953</v>
      </c>
      <c r="D446" s="6" t="n">
        <v>68.09999999999999</v>
      </c>
      <c r="E446" s="6" t="n">
        <v>1008716.28</v>
      </c>
      <c r="F446" s="6">
        <f>ROUND(E446-E445,2)</f>
        <v/>
      </c>
      <c r="G446" s="6">
        <f>ROUND(F446-D446,2)</f>
        <v/>
      </c>
    </row>
    <row r="447">
      <c r="A447" t="inlineStr">
        <is>
          <t>2022-05-05</t>
        </is>
      </c>
      <c r="B447" t="n">
        <v>6</v>
      </c>
      <c r="C447" t="n">
        <v>2953</v>
      </c>
      <c r="D447" s="6" t="n">
        <v>33.8</v>
      </c>
      <c r="E447" s="6" t="n">
        <v>1008750.08</v>
      </c>
      <c r="F447" s="6">
        <f>ROUND(E447-E446,2)</f>
        <v/>
      </c>
      <c r="G447" s="6">
        <f>ROUND(F447-D447,2)</f>
        <v/>
      </c>
    </row>
    <row r="448">
      <c r="A448" t="inlineStr">
        <is>
          <t>2022-05-05</t>
        </is>
      </c>
      <c r="B448" t="n">
        <v>7</v>
      </c>
      <c r="C448" t="n">
        <v>2953</v>
      </c>
      <c r="D448" s="6" t="n">
        <v>39.6</v>
      </c>
      <c r="E448" s="6" t="n">
        <v>1008789.68</v>
      </c>
      <c r="F448" s="6">
        <f>ROUND(E448-E447,2)</f>
        <v/>
      </c>
      <c r="G448" s="6">
        <f>ROUND(F448-D448,2)</f>
        <v/>
      </c>
    </row>
    <row r="449">
      <c r="A449" t="inlineStr">
        <is>
          <t>2022-05-05</t>
        </is>
      </c>
      <c r="B449" t="n">
        <v>8</v>
      </c>
      <c r="C449" t="n">
        <v>2953</v>
      </c>
      <c r="D449" s="6" t="n">
        <v>38.5</v>
      </c>
      <c r="E449" s="6" t="n">
        <v>1008828.18</v>
      </c>
      <c r="F449" s="6">
        <f>ROUND(E449-E448,2)</f>
        <v/>
      </c>
      <c r="G449" s="6">
        <f>ROUND(F449-D449,2)</f>
        <v/>
      </c>
    </row>
    <row r="450">
      <c r="A450" t="inlineStr">
        <is>
          <t>2022-05-05</t>
        </is>
      </c>
      <c r="B450" t="n">
        <v>9</v>
      </c>
      <c r="C450" t="n">
        <v>2953</v>
      </c>
      <c r="D450" s="6" t="n">
        <v>46.9</v>
      </c>
      <c r="E450" s="6" t="n">
        <v>1008875.08</v>
      </c>
      <c r="F450" s="6">
        <f>ROUND(E450-E449,2)</f>
        <v/>
      </c>
      <c r="G450" s="6">
        <f>ROUND(F450-D450,2)</f>
        <v/>
      </c>
    </row>
    <row r="451">
      <c r="A451" t="inlineStr">
        <is>
          <t>2022-05-05</t>
        </is>
      </c>
      <c r="B451" t="n">
        <v>10</v>
      </c>
      <c r="C451" t="n">
        <v>2953</v>
      </c>
      <c r="D451" s="6" t="n">
        <v>28.1</v>
      </c>
      <c r="E451" s="6" t="n">
        <v>1008903.18</v>
      </c>
      <c r="F451" s="6">
        <f>ROUND(E451-E450,2)</f>
        <v/>
      </c>
      <c r="G451" s="6">
        <f>ROUND(F451-D451,2)</f>
        <v/>
      </c>
    </row>
    <row r="452">
      <c r="A452" t="inlineStr">
        <is>
          <t>2022-05-05</t>
        </is>
      </c>
      <c r="B452" t="n">
        <v>11</v>
      </c>
      <c r="C452" t="n">
        <v>2953</v>
      </c>
      <c r="D452" s="6" t="n">
        <v>36.3</v>
      </c>
      <c r="E452" s="6" t="n">
        <v>1008939.48</v>
      </c>
      <c r="F452" s="6">
        <f>ROUND(E452-E451,2)</f>
        <v/>
      </c>
      <c r="G452" s="6">
        <f>ROUND(F452-D452,2)</f>
        <v/>
      </c>
    </row>
    <row r="453">
      <c r="A453" t="inlineStr">
        <is>
          <t>2022-05-05</t>
        </is>
      </c>
      <c r="B453" t="n">
        <v>12</v>
      </c>
      <c r="C453" t="n">
        <v>2953</v>
      </c>
      <c r="D453" s="6" t="n">
        <v>12.3</v>
      </c>
      <c r="E453" s="6" t="n">
        <v>1008951.78</v>
      </c>
      <c r="F453" s="6">
        <f>ROUND(E453-E452,2)</f>
        <v/>
      </c>
      <c r="G453" s="6">
        <f>ROUND(F453-D453,2)</f>
        <v/>
      </c>
    </row>
    <row r="454">
      <c r="A454" t="inlineStr">
        <is>
          <t>2022-05-05</t>
        </is>
      </c>
      <c r="B454" t="n">
        <v>13</v>
      </c>
      <c r="C454" t="n">
        <v>2953</v>
      </c>
      <c r="D454" s="6" t="n">
        <v>36.9</v>
      </c>
      <c r="E454" s="6" t="n">
        <v>1008988.68</v>
      </c>
      <c r="F454" s="6">
        <f>ROUND(E454-E453,2)</f>
        <v/>
      </c>
      <c r="G454" s="6">
        <f>ROUND(F454-D454,2)</f>
        <v/>
      </c>
    </row>
    <row r="455">
      <c r="A455" t="inlineStr">
        <is>
          <t>2022-05-05</t>
        </is>
      </c>
      <c r="B455" t="n">
        <v>14</v>
      </c>
      <c r="C455" t="n">
        <v>2953</v>
      </c>
      <c r="D455" s="6" t="n">
        <v>67</v>
      </c>
      <c r="E455" s="6" t="n">
        <v>1009055.68</v>
      </c>
      <c r="F455" s="6">
        <f>ROUND(E455-E454,2)</f>
        <v/>
      </c>
      <c r="G455" s="6">
        <f>ROUND(F455-D455,2)</f>
        <v/>
      </c>
    </row>
    <row r="456">
      <c r="A456" t="inlineStr">
        <is>
          <t>2022-05-05</t>
        </is>
      </c>
      <c r="B456" t="n">
        <v>15</v>
      </c>
      <c r="C456" t="n">
        <v>2953</v>
      </c>
      <c r="D456" s="6" t="n">
        <v>54.8</v>
      </c>
      <c r="E456" s="6" t="n">
        <v>1009110.48</v>
      </c>
      <c r="F456" s="6">
        <f>ROUND(E456-E455,2)</f>
        <v/>
      </c>
      <c r="G456" s="6">
        <f>ROUND(F456-D456,2)</f>
        <v/>
      </c>
    </row>
    <row r="457">
      <c r="A457" t="inlineStr">
        <is>
          <t>2022-05-05</t>
        </is>
      </c>
      <c r="B457" t="n">
        <v>16</v>
      </c>
      <c r="C457" t="n">
        <v>2953</v>
      </c>
      <c r="D457" s="6" t="n">
        <v>71.40000000000001</v>
      </c>
      <c r="E457" s="6" t="n">
        <v>1009181.88</v>
      </c>
      <c r="F457" s="6">
        <f>ROUND(E457-E456,2)</f>
        <v/>
      </c>
      <c r="G457" s="6">
        <f>ROUND(F457-D457,2)</f>
        <v/>
      </c>
    </row>
    <row r="458">
      <c r="A458" t="inlineStr">
        <is>
          <t>2022-05-05</t>
        </is>
      </c>
      <c r="B458" t="n">
        <v>17</v>
      </c>
      <c r="C458" t="n">
        <v>2953</v>
      </c>
      <c r="D458" s="6" t="n">
        <v>50</v>
      </c>
      <c r="E458" s="6" t="n">
        <v>1009231.88</v>
      </c>
      <c r="F458" s="6">
        <f>ROUND(E458-E457,2)</f>
        <v/>
      </c>
      <c r="G458" s="6">
        <f>ROUND(F458-D458,2)</f>
        <v/>
      </c>
    </row>
    <row r="459">
      <c r="A459" t="inlineStr">
        <is>
          <t>2022-05-05</t>
        </is>
      </c>
      <c r="B459" t="n">
        <v>18</v>
      </c>
      <c r="C459" t="n">
        <v>2953</v>
      </c>
      <c r="D459" s="6" t="n">
        <v>138.7</v>
      </c>
      <c r="E459" s="6" t="n">
        <v>1009370.58</v>
      </c>
      <c r="F459" s="6">
        <f>ROUND(E459-E458,2)</f>
        <v/>
      </c>
      <c r="G459" s="6">
        <f>ROUND(F459-D459,2)</f>
        <v/>
      </c>
    </row>
    <row r="460">
      <c r="A460" t="inlineStr">
        <is>
          <t>2022-05-05</t>
        </is>
      </c>
      <c r="B460" t="n">
        <v>19</v>
      </c>
      <c r="C460" t="n">
        <v>2953</v>
      </c>
      <c r="D460" s="6" t="n">
        <v>53.2</v>
      </c>
      <c r="E460" s="6" t="n">
        <v>1009423.78</v>
      </c>
      <c r="F460" s="6">
        <f>ROUND(E460-E459,2)</f>
        <v/>
      </c>
      <c r="G460" s="6">
        <f>ROUND(F460-D460,2)</f>
        <v/>
      </c>
    </row>
    <row r="461">
      <c r="A461" t="inlineStr">
        <is>
          <t>2022-05-05</t>
        </is>
      </c>
      <c r="B461" t="n">
        <v>20</v>
      </c>
      <c r="C461" t="n">
        <v>2953</v>
      </c>
      <c r="D461" s="6" t="n">
        <v>68.59999999999999</v>
      </c>
      <c r="E461" s="6" t="n">
        <v>1009492.38</v>
      </c>
      <c r="F461" s="6">
        <f>ROUND(E461-E460,2)</f>
        <v/>
      </c>
      <c r="G461" s="6">
        <f>ROUND(F461-D461,2)</f>
        <v/>
      </c>
    </row>
    <row r="462">
      <c r="A462" t="inlineStr">
        <is>
          <t>2022-05-05</t>
        </is>
      </c>
      <c r="B462" t="n">
        <v>21</v>
      </c>
      <c r="C462" t="n">
        <v>2953</v>
      </c>
      <c r="D462" s="6" t="n">
        <v>28.8</v>
      </c>
      <c r="E462" s="6" t="n">
        <v>1009521.18</v>
      </c>
      <c r="F462" s="6">
        <f>ROUND(E462-E461,2)</f>
        <v/>
      </c>
      <c r="G462" s="6">
        <f>ROUND(F462-D462,2)</f>
        <v/>
      </c>
    </row>
    <row r="463">
      <c r="A463" t="inlineStr">
        <is>
          <t>2022-05-05</t>
        </is>
      </c>
      <c r="B463" t="n">
        <v>22</v>
      </c>
      <c r="C463" t="n">
        <v>2953</v>
      </c>
      <c r="D463" s="6" t="n">
        <v>31.9</v>
      </c>
      <c r="E463" s="6" t="n">
        <v>1009553.08</v>
      </c>
      <c r="F463" s="6">
        <f>ROUND(E463-E462,2)</f>
        <v/>
      </c>
      <c r="G463" s="6">
        <f>ROUND(F463-D463,2)</f>
        <v/>
      </c>
    </row>
    <row r="464">
      <c r="A464" t="inlineStr">
        <is>
          <t>2022-05-05</t>
        </is>
      </c>
      <c r="B464" t="n">
        <v>23</v>
      </c>
      <c r="C464" t="n">
        <v>2953</v>
      </c>
      <c r="D464" s="6" t="n">
        <v>26.8</v>
      </c>
      <c r="E464" s="6" t="n">
        <v>1009579.88</v>
      </c>
      <c r="F464" s="6">
        <f>ROUND(E464-E463,2)</f>
        <v/>
      </c>
      <c r="G464" s="6">
        <f>ROUND(F464-D464,2)</f>
        <v/>
      </c>
    </row>
    <row r="465">
      <c r="A465" t="inlineStr">
        <is>
          <t>2022-05-05</t>
        </is>
      </c>
      <c r="B465" t="n">
        <v>24</v>
      </c>
      <c r="C465" t="n">
        <v>2953</v>
      </c>
      <c r="D465" s="6" t="n">
        <v>22.9</v>
      </c>
      <c r="E465" s="6" t="n">
        <v>1009602.78</v>
      </c>
      <c r="F465" s="6">
        <f>ROUND(E465-E464,2)</f>
        <v/>
      </c>
      <c r="G465" s="6">
        <f>ROUND(F465-D465,2)</f>
        <v/>
      </c>
    </row>
    <row r="466">
      <c r="A466" t="inlineStr">
        <is>
          <t>2022-05-05</t>
        </is>
      </c>
      <c r="B466" t="n">
        <v>25</v>
      </c>
      <c r="C466" t="n">
        <v>2953</v>
      </c>
      <c r="D466" s="6" t="n">
        <v>20.6</v>
      </c>
      <c r="E466" s="6" t="n">
        <v>1009623.38</v>
      </c>
      <c r="F466" s="6">
        <f>ROUND(E466-E465,2)</f>
        <v/>
      </c>
      <c r="G466" s="6">
        <f>ROUND(F466-D466,2)</f>
        <v/>
      </c>
    </row>
    <row r="467">
      <c r="A467" t="inlineStr">
        <is>
          <t>2022-05-06</t>
        </is>
      </c>
      <c r="B467" t="n">
        <v>1</v>
      </c>
      <c r="C467" t="n">
        <v>2954</v>
      </c>
      <c r="D467" s="6" t="n">
        <v>63.6</v>
      </c>
      <c r="E467" s="6" t="n">
        <v>1009686.98</v>
      </c>
      <c r="F467" s="6">
        <f>ROUND(E467-E466,2)</f>
        <v/>
      </c>
      <c r="G467" s="6">
        <f>ROUND(F467-D467,2)</f>
        <v/>
      </c>
    </row>
    <row r="468">
      <c r="A468" t="inlineStr">
        <is>
          <t>2022-05-06</t>
        </is>
      </c>
      <c r="B468" t="n">
        <v>2</v>
      </c>
      <c r="C468" t="n">
        <v>2954</v>
      </c>
      <c r="D468" s="6" t="n">
        <v>65</v>
      </c>
      <c r="E468" s="6" t="n">
        <v>1009751.98</v>
      </c>
      <c r="F468" s="6">
        <f>ROUND(E468-E467,2)</f>
        <v/>
      </c>
      <c r="G468" s="6">
        <f>ROUND(F468-D468,2)</f>
        <v/>
      </c>
    </row>
    <row r="469">
      <c r="A469" t="inlineStr">
        <is>
          <t>2022-05-06</t>
        </is>
      </c>
      <c r="B469" t="n">
        <v>3</v>
      </c>
      <c r="C469" t="n">
        <v>2954</v>
      </c>
      <c r="D469" s="6" t="n">
        <v>29.1</v>
      </c>
      <c r="E469" s="6" t="n">
        <v>1009781.08</v>
      </c>
      <c r="F469" s="6">
        <f>ROUND(E469-E468,2)</f>
        <v/>
      </c>
      <c r="G469" s="6">
        <f>ROUND(F469-D469,2)</f>
        <v/>
      </c>
    </row>
    <row r="470">
      <c r="A470" t="inlineStr">
        <is>
          <t>2022-05-06</t>
        </is>
      </c>
      <c r="B470" t="n">
        <v>4</v>
      </c>
      <c r="C470" t="n">
        <v>2954</v>
      </c>
      <c r="D470" s="6" t="n">
        <v>28.4</v>
      </c>
      <c r="E470" s="6" t="n">
        <v>1009809.48</v>
      </c>
      <c r="F470" s="6">
        <f>ROUND(E470-E469,2)</f>
        <v/>
      </c>
      <c r="G470" s="6">
        <f>ROUND(F470-D470,2)</f>
        <v/>
      </c>
    </row>
    <row r="471">
      <c r="A471" t="inlineStr">
        <is>
          <t>2022-05-06</t>
        </is>
      </c>
      <c r="B471" t="n">
        <v>5</v>
      </c>
      <c r="C471" t="n">
        <v>2954</v>
      </c>
      <c r="D471" s="6" t="n">
        <v>54.4</v>
      </c>
      <c r="E471" s="6" t="n">
        <v>1009863.88</v>
      </c>
      <c r="F471" s="6">
        <f>ROUND(E471-E470,2)</f>
        <v/>
      </c>
      <c r="G471" s="6">
        <f>ROUND(F471-D471,2)</f>
        <v/>
      </c>
    </row>
    <row r="472">
      <c r="A472" t="inlineStr">
        <is>
          <t>2022-05-06</t>
        </is>
      </c>
      <c r="B472" t="n">
        <v>6</v>
      </c>
      <c r="C472" t="n">
        <v>2954</v>
      </c>
      <c r="D472" s="6" t="n">
        <v>96</v>
      </c>
      <c r="E472" s="6" t="n">
        <v>1009959.88</v>
      </c>
      <c r="F472" s="6">
        <f>ROUND(E472-E471,2)</f>
        <v/>
      </c>
      <c r="G472" s="6">
        <f>ROUND(F472-D472,2)</f>
        <v/>
      </c>
    </row>
    <row r="473">
      <c r="A473" t="inlineStr">
        <is>
          <t>2022-05-06</t>
        </is>
      </c>
      <c r="B473" t="n">
        <v>7</v>
      </c>
      <c r="C473" t="n">
        <v>2954</v>
      </c>
      <c r="D473" s="6" t="n">
        <v>35.8</v>
      </c>
      <c r="E473" s="6" t="n">
        <v>1009995.68</v>
      </c>
      <c r="F473" s="6">
        <f>ROUND(E473-E472,2)</f>
        <v/>
      </c>
      <c r="G473" s="6">
        <f>ROUND(F473-D473,2)</f>
        <v/>
      </c>
    </row>
    <row r="474">
      <c r="A474" t="inlineStr">
        <is>
          <t>2022-05-06</t>
        </is>
      </c>
      <c r="B474" t="n">
        <v>8</v>
      </c>
      <c r="C474" t="n">
        <v>2954</v>
      </c>
      <c r="D474" s="6" t="n">
        <v>40.9</v>
      </c>
      <c r="E474" s="6" t="n">
        <v>1010036.58</v>
      </c>
      <c r="F474" s="6">
        <f>ROUND(E474-E473,2)</f>
        <v/>
      </c>
      <c r="G474" s="6">
        <f>ROUND(F474-D474,2)</f>
        <v/>
      </c>
    </row>
    <row r="475">
      <c r="A475" t="inlineStr">
        <is>
          <t>2022-05-06</t>
        </is>
      </c>
      <c r="B475" t="n">
        <v>9</v>
      </c>
      <c r="C475" t="n">
        <v>2954</v>
      </c>
      <c r="D475" s="6" t="n">
        <v>20</v>
      </c>
      <c r="E475" s="6" t="n">
        <v>1010056.58</v>
      </c>
      <c r="F475" s="6">
        <f>ROUND(E475-E474,2)</f>
        <v/>
      </c>
      <c r="G475" s="6">
        <f>ROUND(F475-D475,2)</f>
        <v/>
      </c>
    </row>
    <row r="476">
      <c r="A476" t="inlineStr">
        <is>
          <t>2022-05-06</t>
        </is>
      </c>
      <c r="B476" t="n">
        <v>10</v>
      </c>
      <c r="C476" t="n">
        <v>2954</v>
      </c>
      <c r="D476" s="6" t="n">
        <v>35.3</v>
      </c>
      <c r="E476" s="6" t="n">
        <v>1010091.88</v>
      </c>
      <c r="F476" s="6">
        <f>ROUND(E476-E475,2)</f>
        <v/>
      </c>
      <c r="G476" s="6">
        <f>ROUND(F476-D476,2)</f>
        <v/>
      </c>
    </row>
    <row r="477">
      <c r="A477" t="inlineStr">
        <is>
          <t>2022-05-06</t>
        </is>
      </c>
      <c r="B477" t="n">
        <v>11</v>
      </c>
      <c r="C477" t="n">
        <v>2954</v>
      </c>
      <c r="D477" s="6" t="n">
        <v>35.3</v>
      </c>
      <c r="E477" s="6" t="n">
        <v>1010127.18</v>
      </c>
      <c r="F477" s="6">
        <f>ROUND(E477-E476,2)</f>
        <v/>
      </c>
      <c r="G477" s="6">
        <f>ROUND(F477-D477,2)</f>
        <v/>
      </c>
    </row>
    <row r="478">
      <c r="A478" t="inlineStr">
        <is>
          <t>2022-05-06</t>
        </is>
      </c>
      <c r="B478" t="n">
        <v>12</v>
      </c>
      <c r="C478" t="n">
        <v>2954</v>
      </c>
      <c r="D478" s="6" t="n">
        <v>48.1</v>
      </c>
      <c r="E478" s="6" t="n">
        <v>1010175.28</v>
      </c>
      <c r="F478" s="6">
        <f>ROUND(E478-E477,2)</f>
        <v/>
      </c>
      <c r="G478" s="6">
        <f>ROUND(F478-D478,2)</f>
        <v/>
      </c>
    </row>
    <row r="479">
      <c r="A479" t="inlineStr">
        <is>
          <t>2022-05-06</t>
        </is>
      </c>
      <c r="B479" t="n">
        <v>13</v>
      </c>
      <c r="C479" t="n">
        <v>2954</v>
      </c>
      <c r="D479" s="6" t="n">
        <v>51.9</v>
      </c>
      <c r="E479" s="6" t="n">
        <v>1010227.18</v>
      </c>
      <c r="F479" s="6">
        <f>ROUND(E479-E478,2)</f>
        <v/>
      </c>
      <c r="G479" s="6">
        <f>ROUND(F479-D479,2)</f>
        <v/>
      </c>
    </row>
    <row r="480">
      <c r="A480" t="inlineStr">
        <is>
          <t>2022-05-06</t>
        </is>
      </c>
      <c r="B480" t="n">
        <v>14</v>
      </c>
      <c r="C480" t="n">
        <v>2954</v>
      </c>
      <c r="D480" s="6" t="n">
        <v>71.40000000000001</v>
      </c>
      <c r="E480" s="6" t="n">
        <v>1010298.58</v>
      </c>
      <c r="F480" s="6">
        <f>ROUND(E480-E479,2)</f>
        <v/>
      </c>
      <c r="G480" s="6">
        <f>ROUND(F480-D480,2)</f>
        <v/>
      </c>
    </row>
    <row r="481">
      <c r="A481" t="inlineStr">
        <is>
          <t>2022-05-06</t>
        </is>
      </c>
      <c r="B481" t="n">
        <v>15</v>
      </c>
      <c r="C481" t="n">
        <v>2954</v>
      </c>
      <c r="D481" s="6" t="n">
        <v>86.09999999999999</v>
      </c>
      <c r="E481" s="6" t="n">
        <v>1010384.68</v>
      </c>
      <c r="F481" s="6">
        <f>ROUND(E481-E480,2)</f>
        <v/>
      </c>
      <c r="G481" s="6">
        <f>ROUND(F481-D481,2)</f>
        <v/>
      </c>
    </row>
    <row r="482">
      <c r="A482" t="inlineStr">
        <is>
          <t>2022-05-06</t>
        </is>
      </c>
      <c r="B482" t="n">
        <v>16</v>
      </c>
      <c r="C482" t="n">
        <v>2954</v>
      </c>
      <c r="D482" s="6" t="n">
        <v>96.2</v>
      </c>
      <c r="E482" s="6" t="n">
        <v>1010480.88</v>
      </c>
      <c r="F482" s="6">
        <f>ROUND(E482-E481,2)</f>
        <v/>
      </c>
      <c r="G482" s="6">
        <f>ROUND(F482-D482,2)</f>
        <v/>
      </c>
    </row>
    <row r="483">
      <c r="A483" t="inlineStr">
        <is>
          <t>2022-05-06</t>
        </is>
      </c>
      <c r="B483" t="n">
        <v>17</v>
      </c>
      <c r="C483" t="n">
        <v>2954</v>
      </c>
      <c r="D483" s="6" t="n">
        <v>35.1</v>
      </c>
      <c r="E483" s="6" t="n">
        <v>1010515.98</v>
      </c>
      <c r="F483" s="6">
        <f>ROUND(E483-E482,2)</f>
        <v/>
      </c>
      <c r="G483" s="6">
        <f>ROUND(F483-D483,2)</f>
        <v/>
      </c>
    </row>
    <row r="484">
      <c r="A484" t="inlineStr">
        <is>
          <t>2022-05-06</t>
        </is>
      </c>
      <c r="B484" t="n">
        <v>18</v>
      </c>
      <c r="C484" t="n">
        <v>2954</v>
      </c>
      <c r="D484" s="6" t="n">
        <v>48.4</v>
      </c>
      <c r="E484" s="6" t="n">
        <v>1010564.38</v>
      </c>
      <c r="F484" s="6">
        <f>ROUND(E484-E483,2)</f>
        <v/>
      </c>
      <c r="G484" s="6">
        <f>ROUND(F484-D484,2)</f>
        <v/>
      </c>
    </row>
    <row r="485">
      <c r="A485" t="inlineStr">
        <is>
          <t>2022-05-06</t>
        </is>
      </c>
      <c r="B485" t="n">
        <v>19</v>
      </c>
      <c r="C485" t="n">
        <v>2954</v>
      </c>
      <c r="D485" s="6" t="n">
        <v>60.5</v>
      </c>
      <c r="E485" s="6" t="n">
        <v>1010624.88</v>
      </c>
      <c r="F485" s="6">
        <f>ROUND(E485-E484,2)</f>
        <v/>
      </c>
      <c r="G485" s="6">
        <f>ROUND(F485-D485,2)</f>
        <v/>
      </c>
    </row>
    <row r="486">
      <c r="A486" t="inlineStr">
        <is>
          <t>2022-05-06</t>
        </is>
      </c>
      <c r="B486" t="n">
        <v>20</v>
      </c>
      <c r="C486" t="n">
        <v>2954</v>
      </c>
      <c r="D486" s="6" t="n">
        <v>35.8</v>
      </c>
      <c r="E486" s="6" t="n">
        <v>1010660.68</v>
      </c>
      <c r="F486" s="6">
        <f>ROUND(E486-E485,2)</f>
        <v/>
      </c>
      <c r="G486" s="6">
        <f>ROUND(F486-D486,2)</f>
        <v/>
      </c>
    </row>
    <row r="487">
      <c r="A487" t="inlineStr">
        <is>
          <t>2022-05-06</t>
        </is>
      </c>
      <c r="B487" t="n">
        <v>21</v>
      </c>
      <c r="C487" t="n">
        <v>2954</v>
      </c>
      <c r="D487" s="6" t="n">
        <v>43.7</v>
      </c>
      <c r="E487" s="6" t="n">
        <v>1010704.38</v>
      </c>
      <c r="F487" s="6">
        <f>ROUND(E487-E486,2)</f>
        <v/>
      </c>
      <c r="G487" s="6">
        <f>ROUND(F487-D487,2)</f>
        <v/>
      </c>
    </row>
    <row r="488">
      <c r="A488" t="inlineStr">
        <is>
          <t>2022-05-06</t>
        </is>
      </c>
      <c r="B488" t="n">
        <v>22</v>
      </c>
      <c r="C488" t="n">
        <v>2954</v>
      </c>
      <c r="D488" s="6" t="n">
        <v>16.1</v>
      </c>
      <c r="E488" s="6" t="n">
        <v>1010720.48</v>
      </c>
      <c r="F488" s="6">
        <f>ROUND(E488-E487,2)</f>
        <v/>
      </c>
      <c r="G488" s="6">
        <f>ROUND(F488-D488,2)</f>
        <v/>
      </c>
    </row>
    <row r="489">
      <c r="A489" t="inlineStr">
        <is>
          <t>2022-05-06</t>
        </is>
      </c>
      <c r="B489" t="n">
        <v>23</v>
      </c>
      <c r="C489" t="n">
        <v>2954</v>
      </c>
      <c r="D489" s="6" t="n">
        <v>58.4</v>
      </c>
      <c r="E489" s="6" t="n">
        <v>1010778.88</v>
      </c>
      <c r="F489" s="6">
        <f>ROUND(E489-E488,2)</f>
        <v/>
      </c>
      <c r="G489" s="6">
        <f>ROUND(F489-D489,2)</f>
        <v/>
      </c>
    </row>
    <row r="490">
      <c r="A490" t="inlineStr">
        <is>
          <t>2022-05-06</t>
        </is>
      </c>
      <c r="B490" t="n">
        <v>24</v>
      </c>
      <c r="C490" t="n">
        <v>2954</v>
      </c>
      <c r="D490" s="6" t="n">
        <v>143.7</v>
      </c>
      <c r="E490" s="6" t="n">
        <v>1010922.58</v>
      </c>
      <c r="F490" s="6">
        <f>ROUND(E490-E489,2)</f>
        <v/>
      </c>
      <c r="G490" s="6">
        <f>ROUND(F490-D490,2)</f>
        <v/>
      </c>
    </row>
    <row r="491">
      <c r="A491" t="inlineStr">
        <is>
          <t>2022-05-06</t>
        </is>
      </c>
      <c r="B491" t="n">
        <v>25</v>
      </c>
      <c r="C491" t="n">
        <v>2954</v>
      </c>
      <c r="D491" s="6" t="n">
        <v>24.8</v>
      </c>
      <c r="E491" s="6" t="n">
        <v>1010947.38</v>
      </c>
      <c r="F491" s="6">
        <f>ROUND(E491-E490,2)</f>
        <v/>
      </c>
      <c r="G491" s="6">
        <f>ROUND(F491-D491,2)</f>
        <v/>
      </c>
    </row>
    <row r="492">
      <c r="A492" t="inlineStr">
        <is>
          <t>2022-05-06</t>
        </is>
      </c>
      <c r="B492" t="n">
        <v>26</v>
      </c>
      <c r="C492" t="n">
        <v>2954</v>
      </c>
      <c r="D492" s="6" t="n">
        <v>24.8</v>
      </c>
      <c r="E492" s="6" t="n">
        <v>1010972.18</v>
      </c>
      <c r="F492" s="6">
        <f>ROUND(E492-E491,2)</f>
        <v/>
      </c>
      <c r="G492" s="6">
        <f>ROUND(F492-D492,2)</f>
        <v/>
      </c>
    </row>
    <row r="493">
      <c r="A493" t="inlineStr">
        <is>
          <t>2022-05-06</t>
        </is>
      </c>
      <c r="B493" t="n">
        <v>27</v>
      </c>
      <c r="C493" t="n">
        <v>2954</v>
      </c>
      <c r="D493" s="6" t="n">
        <v>74.09999999999999</v>
      </c>
      <c r="E493" s="6" t="n">
        <v>1011046.28</v>
      </c>
      <c r="F493" s="6">
        <f>ROUND(E493-E492,2)</f>
        <v/>
      </c>
      <c r="G493" s="6">
        <f>ROUND(F493-D493,2)</f>
        <v/>
      </c>
    </row>
    <row r="494">
      <c r="A494" t="inlineStr">
        <is>
          <t>2022-05-06</t>
        </is>
      </c>
      <c r="B494" t="n">
        <v>28</v>
      </c>
      <c r="C494" t="n">
        <v>2954</v>
      </c>
      <c r="D494" s="6" t="n">
        <v>69.5</v>
      </c>
      <c r="E494" s="6" t="n">
        <v>1011115.78</v>
      </c>
      <c r="F494" s="6">
        <f>ROUND(E494-E493,2)</f>
        <v/>
      </c>
      <c r="G494" s="6">
        <f>ROUND(F494-D494,2)</f>
        <v/>
      </c>
    </row>
    <row r="495">
      <c r="A495" t="inlineStr">
        <is>
          <t>2022-05-06</t>
        </is>
      </c>
      <c r="B495" t="n">
        <v>29</v>
      </c>
      <c r="C495" t="n">
        <v>2954</v>
      </c>
      <c r="D495" s="6" t="n">
        <v>43.7</v>
      </c>
      <c r="E495" s="6" t="n">
        <v>1011159.48</v>
      </c>
      <c r="F495" s="6">
        <f>ROUND(E495-E494,2)</f>
        <v/>
      </c>
      <c r="G495" s="6">
        <f>ROUND(F495-D495,2)</f>
        <v/>
      </c>
    </row>
    <row r="496">
      <c r="A496" t="inlineStr">
        <is>
          <t>2022-05-06</t>
        </is>
      </c>
      <c r="B496" t="n">
        <v>30</v>
      </c>
      <c r="C496" t="n">
        <v>2954</v>
      </c>
      <c r="D496" s="6" t="n">
        <v>84</v>
      </c>
      <c r="E496" s="6" t="n">
        <v>1011243.48</v>
      </c>
      <c r="F496" s="6">
        <f>ROUND(E496-E495,2)</f>
        <v/>
      </c>
      <c r="G496" s="6">
        <f>ROUND(F496-D496,2)</f>
        <v/>
      </c>
    </row>
    <row r="497">
      <c r="A497" t="inlineStr">
        <is>
          <t>2022-05-06</t>
        </is>
      </c>
      <c r="B497" t="n">
        <v>31</v>
      </c>
      <c r="C497" t="n">
        <v>2954</v>
      </c>
      <c r="D497" s="6" t="n">
        <v>175.6</v>
      </c>
      <c r="E497" s="6" t="n">
        <v>1011419.08</v>
      </c>
      <c r="F497" s="6">
        <f>ROUND(E497-E496,2)</f>
        <v/>
      </c>
      <c r="G497" s="6">
        <f>ROUND(F497-D497,2)</f>
        <v/>
      </c>
    </row>
    <row r="498">
      <c r="A498" t="inlineStr">
        <is>
          <t>2022-05-06</t>
        </is>
      </c>
      <c r="B498" t="n">
        <v>32</v>
      </c>
      <c r="C498" t="n">
        <v>2954</v>
      </c>
      <c r="D498" s="6" t="n">
        <v>98.7</v>
      </c>
      <c r="E498" s="6" t="n">
        <v>1011517.78</v>
      </c>
      <c r="F498" s="6">
        <f>ROUND(E498-E497,2)</f>
        <v/>
      </c>
      <c r="G498" s="6">
        <f>ROUND(F498-D498,2)</f>
        <v/>
      </c>
    </row>
    <row r="499">
      <c r="A499" t="inlineStr">
        <is>
          <t>2022-05-06</t>
        </is>
      </c>
      <c r="B499" t="n">
        <v>33</v>
      </c>
      <c r="C499" t="n">
        <v>2954</v>
      </c>
      <c r="D499" s="6" t="n">
        <v>27.4</v>
      </c>
      <c r="E499" s="6" t="n">
        <v>1011545.18</v>
      </c>
      <c r="F499" s="6">
        <f>ROUND(E499-E498,2)</f>
        <v/>
      </c>
      <c r="G499" s="6">
        <f>ROUND(F499-D499,2)</f>
        <v/>
      </c>
    </row>
    <row r="500">
      <c r="A500" t="inlineStr">
        <is>
          <t>2022-05-06</t>
        </is>
      </c>
      <c r="B500" t="n">
        <v>34</v>
      </c>
      <c r="C500" t="n">
        <v>2954</v>
      </c>
      <c r="D500" s="6" t="n">
        <v>27.4</v>
      </c>
      <c r="E500" s="6" t="n">
        <v>1011572.58</v>
      </c>
      <c r="F500" s="6">
        <f>ROUND(E500-E499,2)</f>
        <v/>
      </c>
      <c r="G500" s="6">
        <f>ROUND(F500-D500,2)</f>
        <v/>
      </c>
    </row>
    <row r="501">
      <c r="A501" t="inlineStr">
        <is>
          <t>2022-05-06</t>
        </is>
      </c>
      <c r="B501" t="n">
        <v>35</v>
      </c>
      <c r="C501" t="n">
        <v>2954</v>
      </c>
      <c r="D501" s="6" t="n">
        <v>56.5</v>
      </c>
      <c r="E501" s="6" t="n">
        <v>1011629.08</v>
      </c>
      <c r="F501" s="6">
        <f>ROUND(E501-E500,2)</f>
        <v/>
      </c>
      <c r="G501" s="6">
        <f>ROUND(F501-D501,2)</f>
        <v/>
      </c>
    </row>
    <row r="502">
      <c r="A502" t="inlineStr">
        <is>
          <t>2022-05-06</t>
        </is>
      </c>
      <c r="B502" t="n">
        <v>36</v>
      </c>
      <c r="C502" t="n">
        <v>2954</v>
      </c>
      <c r="D502" s="6" t="n">
        <v>41.6</v>
      </c>
      <c r="E502" s="6" t="n">
        <v>1011670.68</v>
      </c>
      <c r="F502" s="6">
        <f>ROUND(E502-E501,2)</f>
        <v/>
      </c>
      <c r="G502" s="6">
        <f>ROUND(F502-D502,2)</f>
        <v/>
      </c>
    </row>
    <row r="503">
      <c r="A503" t="inlineStr">
        <is>
          <t>2022-05-06</t>
        </is>
      </c>
      <c r="B503" t="n">
        <v>37</v>
      </c>
      <c r="C503" t="n">
        <v>2954</v>
      </c>
      <c r="D503" s="6" t="n">
        <v>26.9</v>
      </c>
      <c r="E503" s="6" t="n">
        <v>1011697.58</v>
      </c>
      <c r="F503" s="6">
        <f>ROUND(E503-E502,2)</f>
        <v/>
      </c>
      <c r="G503" s="6">
        <f>ROUND(F503-D503,2)</f>
        <v/>
      </c>
    </row>
    <row r="504">
      <c r="A504" t="inlineStr">
        <is>
          <t>2022-05-06</t>
        </is>
      </c>
      <c r="B504" t="n">
        <v>38</v>
      </c>
      <c r="C504" t="n">
        <v>2954</v>
      </c>
      <c r="D504" s="6" t="n">
        <v>22.9</v>
      </c>
      <c r="E504" s="6" t="n">
        <v>1011720.48</v>
      </c>
      <c r="F504" s="6">
        <f>ROUND(E504-E503,2)</f>
        <v/>
      </c>
      <c r="G504" s="6">
        <f>ROUND(F504-D504,2)</f>
        <v/>
      </c>
    </row>
    <row r="505">
      <c r="A505" t="inlineStr">
        <is>
          <t>2022-05-06</t>
        </is>
      </c>
      <c r="B505" t="n">
        <v>39</v>
      </c>
      <c r="C505" t="n">
        <v>2954</v>
      </c>
      <c r="D505" s="6" t="n">
        <v>69.3</v>
      </c>
      <c r="E505" s="6" t="n">
        <v>1011789.78</v>
      </c>
      <c r="F505" s="6">
        <f>ROUND(E505-E504,2)</f>
        <v/>
      </c>
      <c r="G505" s="6">
        <f>ROUND(F505-D505,2)</f>
        <v/>
      </c>
    </row>
    <row r="506">
      <c r="A506" t="inlineStr">
        <is>
          <t>2022-05-07</t>
        </is>
      </c>
      <c r="B506" t="n">
        <v>1</v>
      </c>
      <c r="C506" t="n">
        <v>2955</v>
      </c>
      <c r="D506" s="6" t="n">
        <v>58.4</v>
      </c>
      <c r="E506" s="6" t="n">
        <v>1011848.18</v>
      </c>
      <c r="F506" s="6">
        <f>ROUND(E506-E505,2)</f>
        <v/>
      </c>
      <c r="G506" s="6">
        <f>ROUND(F506-D506,2)</f>
        <v/>
      </c>
    </row>
    <row r="507">
      <c r="A507" t="inlineStr">
        <is>
          <t>2022-05-07</t>
        </is>
      </c>
      <c r="B507" t="n">
        <v>2</v>
      </c>
      <c r="C507" t="n">
        <v>2955</v>
      </c>
      <c r="D507" s="6" t="n">
        <v>68.90000000000001</v>
      </c>
      <c r="E507" s="6" t="n">
        <v>1011917.08</v>
      </c>
      <c r="F507" s="6">
        <f>ROUND(E507-E506,2)</f>
        <v/>
      </c>
      <c r="G507" s="6">
        <f>ROUND(F507-D507,2)</f>
        <v/>
      </c>
    </row>
    <row r="508">
      <c r="A508" t="inlineStr">
        <is>
          <t>2022-05-07</t>
        </is>
      </c>
      <c r="B508" t="n">
        <v>3</v>
      </c>
      <c r="C508" t="n">
        <v>2955</v>
      </c>
      <c r="D508" s="6" t="n">
        <v>66.3</v>
      </c>
      <c r="E508" s="6" t="n">
        <v>1011983.38</v>
      </c>
      <c r="F508" s="6">
        <f>ROUND(E508-E507,2)</f>
        <v/>
      </c>
      <c r="G508" s="6">
        <f>ROUND(F508-D508,2)</f>
        <v/>
      </c>
    </row>
    <row r="509">
      <c r="A509" t="inlineStr">
        <is>
          <t>2022-05-07</t>
        </is>
      </c>
      <c r="B509" t="n">
        <v>4</v>
      </c>
      <c r="C509" t="n">
        <v>2955</v>
      </c>
      <c r="D509" s="6" t="n">
        <v>64.09999999999999</v>
      </c>
      <c r="E509" s="6" t="n">
        <v>1012047.48</v>
      </c>
      <c r="F509" s="6">
        <f>ROUND(E509-E508,2)</f>
        <v/>
      </c>
      <c r="G509" s="6">
        <f>ROUND(F509-D509,2)</f>
        <v/>
      </c>
    </row>
    <row r="510">
      <c r="A510" t="inlineStr">
        <is>
          <t>2022-05-07</t>
        </is>
      </c>
      <c r="B510" t="n">
        <v>5</v>
      </c>
      <c r="C510" t="n">
        <v>2955</v>
      </c>
      <c r="D510" s="6" t="n">
        <v>75.8</v>
      </c>
      <c r="E510" s="6" t="n">
        <v>1012123.28</v>
      </c>
      <c r="F510" s="6">
        <f>ROUND(E510-E509,2)</f>
        <v/>
      </c>
      <c r="G510" s="6">
        <f>ROUND(F510-D510,2)</f>
        <v/>
      </c>
    </row>
    <row r="511">
      <c r="A511" t="inlineStr">
        <is>
          <t>2022-05-07</t>
        </is>
      </c>
      <c r="B511" t="n">
        <v>6</v>
      </c>
      <c r="C511" t="n">
        <v>2955</v>
      </c>
      <c r="D511" s="6" t="n">
        <v>120.6</v>
      </c>
      <c r="E511" s="6" t="n">
        <v>1012243.88</v>
      </c>
      <c r="F511" s="6">
        <f>ROUND(E511-E510,2)</f>
        <v/>
      </c>
      <c r="G511" s="6">
        <f>ROUND(F511-D511,2)</f>
        <v/>
      </c>
    </row>
    <row r="512">
      <c r="A512" t="inlineStr">
        <is>
          <t>2022-05-07</t>
        </is>
      </c>
      <c r="B512" t="n">
        <v>7</v>
      </c>
      <c r="C512" t="n">
        <v>2955</v>
      </c>
      <c r="D512" s="6" t="n">
        <v>99.5</v>
      </c>
      <c r="E512" s="6" t="n">
        <v>1012343.38</v>
      </c>
      <c r="F512" s="6">
        <f>ROUND(E512-E511,2)</f>
        <v/>
      </c>
      <c r="G512" s="6">
        <f>ROUND(F512-D512,2)</f>
        <v/>
      </c>
    </row>
    <row r="513">
      <c r="A513" t="inlineStr">
        <is>
          <t>2022-05-07</t>
        </is>
      </c>
      <c r="B513" t="n">
        <v>8</v>
      </c>
      <c r="C513" t="n">
        <v>2955</v>
      </c>
      <c r="D513" s="6" t="n">
        <v>159.4</v>
      </c>
      <c r="E513" s="6" t="n">
        <v>1012502.78</v>
      </c>
      <c r="F513" s="6">
        <f>ROUND(E513-E512,2)</f>
        <v/>
      </c>
      <c r="G513" s="6">
        <f>ROUND(F513-D513,2)</f>
        <v/>
      </c>
    </row>
    <row r="514">
      <c r="A514" t="inlineStr">
        <is>
          <t>2022-05-07</t>
        </is>
      </c>
      <c r="B514" t="n">
        <v>9</v>
      </c>
      <c r="C514" t="n">
        <v>2955</v>
      </c>
      <c r="D514" s="6" t="n">
        <v>75.3</v>
      </c>
      <c r="E514" s="6" t="n">
        <v>1012578.08</v>
      </c>
      <c r="F514" s="6">
        <f>ROUND(E514-E513,2)</f>
        <v/>
      </c>
      <c r="G514" s="6">
        <f>ROUND(F514-D514,2)</f>
        <v/>
      </c>
    </row>
    <row r="515">
      <c r="A515" t="inlineStr">
        <is>
          <t>2022-05-07</t>
        </is>
      </c>
      <c r="B515" t="n">
        <v>10</v>
      </c>
      <c r="C515" t="n">
        <v>2955</v>
      </c>
      <c r="D515" s="6" t="n">
        <v>135.5</v>
      </c>
      <c r="E515" s="6" t="n">
        <v>1012713.58</v>
      </c>
      <c r="F515" s="6">
        <f>ROUND(E515-E514,2)</f>
        <v/>
      </c>
      <c r="G515" s="6">
        <f>ROUND(F515-D515,2)</f>
        <v/>
      </c>
    </row>
    <row r="516">
      <c r="A516" t="inlineStr">
        <is>
          <t>2022-05-07</t>
        </is>
      </c>
      <c r="B516" t="n">
        <v>11</v>
      </c>
      <c r="C516" t="n">
        <v>2955</v>
      </c>
      <c r="D516" s="6" t="n">
        <v>56.8</v>
      </c>
      <c r="E516" s="6" t="n">
        <v>1012770.38</v>
      </c>
      <c r="F516" s="6">
        <f>ROUND(E516-E515,2)</f>
        <v/>
      </c>
      <c r="G516" s="6">
        <f>ROUND(F516-D516,2)</f>
        <v/>
      </c>
    </row>
    <row r="517">
      <c r="A517" t="inlineStr">
        <is>
          <t>2022-05-07</t>
        </is>
      </c>
      <c r="B517" t="n">
        <v>12</v>
      </c>
      <c r="C517" t="n">
        <v>2955</v>
      </c>
      <c r="D517" s="6" t="n">
        <v>34.75</v>
      </c>
      <c r="E517" s="6" t="n">
        <v>1012805.13</v>
      </c>
      <c r="F517" s="6">
        <f>ROUND(E517-E516,2)</f>
        <v/>
      </c>
      <c r="G517" s="6">
        <f>ROUND(F517-D517,2)</f>
        <v/>
      </c>
    </row>
    <row r="518">
      <c r="A518" t="inlineStr">
        <is>
          <t>2022-05-07</t>
        </is>
      </c>
      <c r="B518" t="n">
        <v>13</v>
      </c>
      <c r="C518" t="n">
        <v>2955</v>
      </c>
      <c r="D518" s="6" t="n">
        <v>34.75</v>
      </c>
      <c r="E518" s="6" t="n">
        <v>1012839.88</v>
      </c>
      <c r="F518" s="6">
        <f>ROUND(E518-E517,2)</f>
        <v/>
      </c>
      <c r="G518" s="6">
        <f>ROUND(F518-D518,2)</f>
        <v/>
      </c>
    </row>
    <row r="519">
      <c r="A519" t="inlineStr">
        <is>
          <t>2022-05-07</t>
        </is>
      </c>
      <c r="B519" t="n">
        <v>14</v>
      </c>
      <c r="C519" t="n">
        <v>2955</v>
      </c>
      <c r="D519" s="6" t="n">
        <v>43.8</v>
      </c>
      <c r="E519" s="6" t="n">
        <v>1012883.68</v>
      </c>
      <c r="F519" s="6">
        <f>ROUND(E519-E518,2)</f>
        <v/>
      </c>
      <c r="G519" s="6">
        <f>ROUND(F519-D519,2)</f>
        <v/>
      </c>
    </row>
    <row r="520">
      <c r="A520" t="inlineStr">
        <is>
          <t>2022-05-07</t>
        </is>
      </c>
      <c r="B520" t="n">
        <v>15</v>
      </c>
      <c r="C520" t="n">
        <v>2955</v>
      </c>
      <c r="D520" s="6" t="n">
        <v>63.2</v>
      </c>
      <c r="E520" s="6" t="n">
        <v>1012946.88</v>
      </c>
      <c r="F520" s="6">
        <f>ROUND(E520-E519,2)</f>
        <v/>
      </c>
      <c r="G520" s="6">
        <f>ROUND(F520-D520,2)</f>
        <v/>
      </c>
    </row>
    <row r="521">
      <c r="A521" t="inlineStr">
        <is>
          <t>2022-05-07</t>
        </is>
      </c>
      <c r="B521" t="n">
        <v>16</v>
      </c>
      <c r="C521" t="n">
        <v>2955</v>
      </c>
      <c r="D521" s="6" t="n">
        <v>64.59999999999999</v>
      </c>
      <c r="E521" s="6" t="n">
        <v>1013011.48</v>
      </c>
      <c r="F521" s="6">
        <f>ROUND(E521-E520,2)</f>
        <v/>
      </c>
      <c r="G521" s="6">
        <f>ROUND(F521-D521,2)</f>
        <v/>
      </c>
    </row>
    <row r="522">
      <c r="A522" t="inlineStr">
        <is>
          <t>2022-05-07</t>
        </is>
      </c>
      <c r="B522" t="n">
        <v>17</v>
      </c>
      <c r="C522" t="n">
        <v>2955</v>
      </c>
      <c r="D522" s="6" t="n">
        <v>62.4</v>
      </c>
      <c r="E522" s="6" t="n">
        <v>1013073.88</v>
      </c>
      <c r="F522" s="6">
        <f>ROUND(E522-E521,2)</f>
        <v/>
      </c>
      <c r="G522" s="6">
        <f>ROUND(F522-D522,2)</f>
        <v/>
      </c>
    </row>
    <row r="523">
      <c r="A523" t="inlineStr">
        <is>
          <t>2022-05-07</t>
        </is>
      </c>
      <c r="B523" t="n">
        <v>18</v>
      </c>
      <c r="C523" t="n">
        <v>2955</v>
      </c>
      <c r="D523" s="6" t="n">
        <v>97.8</v>
      </c>
      <c r="E523" s="6" t="n">
        <v>1013171.68</v>
      </c>
      <c r="F523" s="6">
        <f>ROUND(E523-E522,2)</f>
        <v/>
      </c>
      <c r="G523" s="6">
        <f>ROUND(F523-D523,2)</f>
        <v/>
      </c>
    </row>
    <row r="524">
      <c r="A524" t="inlineStr">
        <is>
          <t>2022-05-07</t>
        </is>
      </c>
      <c r="B524" t="n">
        <v>19</v>
      </c>
      <c r="C524" t="n">
        <v>2955</v>
      </c>
      <c r="D524" s="6" t="n">
        <v>83.40000000000001</v>
      </c>
      <c r="E524" s="6" t="n">
        <v>1013255.08</v>
      </c>
      <c r="F524" s="6">
        <f>ROUND(E524-E523,2)</f>
        <v/>
      </c>
      <c r="G524" s="6">
        <f>ROUND(F524-D524,2)</f>
        <v/>
      </c>
    </row>
    <row r="525">
      <c r="A525" t="inlineStr">
        <is>
          <t>2022-05-07</t>
        </is>
      </c>
      <c r="B525" t="n">
        <v>20</v>
      </c>
      <c r="C525" t="n">
        <v>2955</v>
      </c>
      <c r="D525" s="6" t="n">
        <v>48</v>
      </c>
      <c r="E525" s="6" t="n">
        <v>1013303.08</v>
      </c>
      <c r="F525" s="6">
        <f>ROUND(E525-E524,2)</f>
        <v/>
      </c>
      <c r="G525" s="6">
        <f>ROUND(F525-D525,2)</f>
        <v/>
      </c>
    </row>
    <row r="526">
      <c r="A526" t="inlineStr">
        <is>
          <t>2022-05-07</t>
        </is>
      </c>
      <c r="B526" t="n">
        <v>21</v>
      </c>
      <c r="C526" t="n">
        <v>2955</v>
      </c>
      <c r="D526" s="6" t="n">
        <v>48</v>
      </c>
      <c r="E526" s="6" t="n">
        <v>1013351.08</v>
      </c>
      <c r="F526" s="6">
        <f>ROUND(E526-E525,2)</f>
        <v/>
      </c>
      <c r="G526" s="6">
        <f>ROUND(F526-D526,2)</f>
        <v/>
      </c>
    </row>
    <row r="527">
      <c r="A527" t="inlineStr">
        <is>
          <t>2022-05-07</t>
        </is>
      </c>
      <c r="B527" t="n">
        <v>22</v>
      </c>
      <c r="C527" t="n">
        <v>2955</v>
      </c>
      <c r="D527" s="6" t="n">
        <v>78.40000000000001</v>
      </c>
      <c r="E527" s="6" t="n">
        <v>1013429.48</v>
      </c>
      <c r="F527" s="6">
        <f>ROUND(E527-E526,2)</f>
        <v/>
      </c>
      <c r="G527" s="6">
        <f>ROUND(F527-D527,2)</f>
        <v/>
      </c>
    </row>
    <row r="528">
      <c r="A528" t="inlineStr">
        <is>
          <t>2022-05-07</t>
        </is>
      </c>
      <c r="B528" t="n">
        <v>23</v>
      </c>
      <c r="C528" t="n">
        <v>2955</v>
      </c>
      <c r="D528" s="6" t="n">
        <v>38.1</v>
      </c>
      <c r="E528" s="6" t="n">
        <v>1013467.58</v>
      </c>
      <c r="F528" s="6">
        <f>ROUND(E528-E527,2)</f>
        <v/>
      </c>
      <c r="G528" s="6">
        <f>ROUND(F528-D528,2)</f>
        <v/>
      </c>
    </row>
    <row r="529">
      <c r="A529" t="inlineStr">
        <is>
          <t>2022-05-07</t>
        </is>
      </c>
      <c r="B529" t="n">
        <v>24</v>
      </c>
      <c r="C529" t="n">
        <v>2955</v>
      </c>
      <c r="D529" s="6" t="n">
        <v>96.40000000000001</v>
      </c>
      <c r="E529" s="6" t="n">
        <v>1013563.98</v>
      </c>
      <c r="F529" s="6">
        <f>ROUND(E529-E528,2)</f>
        <v/>
      </c>
      <c r="G529" s="6">
        <f>ROUND(F529-D529,2)</f>
        <v/>
      </c>
    </row>
    <row r="530">
      <c r="A530" t="inlineStr">
        <is>
          <t>2022-05-07</t>
        </is>
      </c>
      <c r="B530" t="n">
        <v>25</v>
      </c>
      <c r="C530" t="n">
        <v>2955</v>
      </c>
      <c r="D530" s="6" t="n">
        <v>118.4</v>
      </c>
      <c r="E530" s="6" t="n">
        <v>1013682.38</v>
      </c>
      <c r="F530" s="6">
        <f>ROUND(E530-E529,2)</f>
        <v/>
      </c>
      <c r="G530" s="6">
        <f>ROUND(F530-D530,2)</f>
        <v/>
      </c>
    </row>
    <row r="531">
      <c r="A531" t="inlineStr">
        <is>
          <t>2022-05-07</t>
        </is>
      </c>
      <c r="B531" t="n">
        <v>26</v>
      </c>
      <c r="C531" t="n">
        <v>2955</v>
      </c>
      <c r="D531" s="6" t="n">
        <v>118.4</v>
      </c>
      <c r="E531" s="6" t="n">
        <v>1013800.78</v>
      </c>
      <c r="F531" s="6">
        <f>ROUND(E531-E530,2)</f>
        <v/>
      </c>
      <c r="G531" s="6">
        <f>ROUND(F531-D531,2)</f>
        <v/>
      </c>
    </row>
    <row r="532">
      <c r="A532" t="inlineStr">
        <is>
          <t>2022-05-08</t>
        </is>
      </c>
      <c r="B532" t="n">
        <v>1</v>
      </c>
      <c r="C532" t="n">
        <v>2956</v>
      </c>
      <c r="D532" s="6" t="n">
        <v>58.5</v>
      </c>
      <c r="E532" s="6" t="n">
        <v>1013859.28</v>
      </c>
      <c r="F532" s="6">
        <f>ROUND(E532-E531,2)</f>
        <v/>
      </c>
      <c r="G532" s="6">
        <f>ROUND(F532-D532,2)</f>
        <v/>
      </c>
    </row>
    <row r="533">
      <c r="A533" t="inlineStr">
        <is>
          <t>2022-05-08</t>
        </is>
      </c>
      <c r="B533" t="n">
        <v>2</v>
      </c>
      <c r="C533" t="n">
        <v>2956</v>
      </c>
      <c r="D533" s="6" t="n">
        <v>72.09999999999999</v>
      </c>
      <c r="E533" s="6" t="n">
        <v>1013931.38</v>
      </c>
      <c r="F533" s="6">
        <f>ROUND(E533-E532,2)</f>
        <v/>
      </c>
      <c r="G533" s="6">
        <f>ROUND(F533-D533,2)</f>
        <v/>
      </c>
    </row>
    <row r="534">
      <c r="A534" t="inlineStr">
        <is>
          <t>2022-05-08</t>
        </is>
      </c>
      <c r="B534" t="n">
        <v>3</v>
      </c>
      <c r="C534" t="n">
        <v>2956</v>
      </c>
      <c r="D534" s="6" t="n">
        <v>51.1</v>
      </c>
      <c r="E534" s="6" t="n">
        <v>1013982.48</v>
      </c>
      <c r="F534" s="6">
        <f>ROUND(E534-E533,2)</f>
        <v/>
      </c>
      <c r="G534" s="6">
        <f>ROUND(F534-D534,2)</f>
        <v/>
      </c>
    </row>
    <row r="535">
      <c r="A535" t="inlineStr">
        <is>
          <t>2022-05-08</t>
        </is>
      </c>
      <c r="B535" t="n">
        <v>4</v>
      </c>
      <c r="C535" t="n">
        <v>2956</v>
      </c>
      <c r="D535" s="6" t="n">
        <v>93.90000000000001</v>
      </c>
      <c r="E535" s="6" t="n">
        <v>1014076.38</v>
      </c>
      <c r="F535" s="6">
        <f>ROUND(E535-E534,2)</f>
        <v/>
      </c>
      <c r="G535" s="6">
        <f>ROUND(F535-D535,2)</f>
        <v/>
      </c>
    </row>
    <row r="536">
      <c r="A536" t="inlineStr">
        <is>
          <t>2022-05-08</t>
        </is>
      </c>
      <c r="B536" t="n">
        <v>5</v>
      </c>
      <c r="C536" t="n">
        <v>2956</v>
      </c>
      <c r="D536" s="6" t="n">
        <v>66</v>
      </c>
      <c r="E536" s="6" t="n">
        <v>1014142.38</v>
      </c>
      <c r="F536" s="6">
        <f>ROUND(E536-E535,2)</f>
        <v/>
      </c>
      <c r="G536" s="6">
        <f>ROUND(F536-D536,2)</f>
        <v/>
      </c>
    </row>
    <row r="537">
      <c r="A537" t="inlineStr">
        <is>
          <t>2022-05-08</t>
        </is>
      </c>
      <c r="B537" t="n">
        <v>6</v>
      </c>
      <c r="C537" t="n">
        <v>2956</v>
      </c>
      <c r="D537" s="6" t="n">
        <v>75.5</v>
      </c>
      <c r="E537" s="6" t="n">
        <v>1014217.88</v>
      </c>
      <c r="F537" s="6">
        <f>ROUND(E537-E536,2)</f>
        <v/>
      </c>
      <c r="G537" s="6">
        <f>ROUND(F537-D537,2)</f>
        <v/>
      </c>
    </row>
    <row r="538">
      <c r="A538" t="inlineStr">
        <is>
          <t>2022-05-08</t>
        </is>
      </c>
      <c r="B538" t="n">
        <v>7</v>
      </c>
      <c r="C538" t="n">
        <v>2956</v>
      </c>
      <c r="D538" s="6" t="n">
        <v>45.2</v>
      </c>
      <c r="E538" s="6" t="n">
        <v>1014263.08</v>
      </c>
      <c r="F538" s="6">
        <f>ROUND(E538-E537,2)</f>
        <v/>
      </c>
      <c r="G538" s="6">
        <f>ROUND(F538-D538,2)</f>
        <v/>
      </c>
    </row>
    <row r="539">
      <c r="A539" t="inlineStr">
        <is>
          <t>2022-05-08</t>
        </is>
      </c>
      <c r="B539" t="n">
        <v>8</v>
      </c>
      <c r="C539" t="n">
        <v>2956</v>
      </c>
      <c r="D539" s="6" t="n">
        <v>103.9</v>
      </c>
      <c r="E539" s="6" t="n">
        <v>1014366.98</v>
      </c>
      <c r="F539" s="6">
        <f>ROUND(E539-E538,2)</f>
        <v/>
      </c>
      <c r="G539" s="6">
        <f>ROUND(F539-D539,2)</f>
        <v/>
      </c>
    </row>
    <row r="540">
      <c r="A540" t="inlineStr">
        <is>
          <t>2022-05-08</t>
        </is>
      </c>
      <c r="B540" t="n">
        <v>9</v>
      </c>
      <c r="C540" t="n">
        <v>2956</v>
      </c>
      <c r="D540" s="6" t="n">
        <v>73.2</v>
      </c>
      <c r="E540" s="6" t="n">
        <v>1014440.18</v>
      </c>
      <c r="F540" s="6">
        <f>ROUND(E540-E539,2)</f>
        <v/>
      </c>
      <c r="G540" s="6">
        <f>ROUND(F540-D540,2)</f>
        <v/>
      </c>
    </row>
    <row r="541">
      <c r="A541" t="inlineStr">
        <is>
          <t>2022-05-08</t>
        </is>
      </c>
      <c r="B541" t="n">
        <v>10</v>
      </c>
      <c r="C541" t="n">
        <v>2956</v>
      </c>
      <c r="D541" s="6" t="n">
        <v>79.8</v>
      </c>
      <c r="E541" s="6" t="n">
        <v>1014519.98</v>
      </c>
      <c r="F541" s="6">
        <f>ROUND(E541-E540,2)</f>
        <v/>
      </c>
      <c r="G541" s="6">
        <f>ROUND(F541-D541,2)</f>
        <v/>
      </c>
    </row>
    <row r="542">
      <c r="A542" t="inlineStr">
        <is>
          <t>2022-05-08</t>
        </is>
      </c>
      <c r="B542" t="n">
        <v>11</v>
      </c>
      <c r="C542" t="n">
        <v>2956</v>
      </c>
      <c r="D542" s="6" t="n">
        <v>93.40000000000001</v>
      </c>
      <c r="E542" s="6" t="n">
        <v>1014613.38</v>
      </c>
      <c r="F542" s="6">
        <f>ROUND(E542-E541,2)</f>
        <v/>
      </c>
      <c r="G542" s="6">
        <f>ROUND(F542-D542,2)</f>
        <v/>
      </c>
    </row>
    <row r="543">
      <c r="A543" t="inlineStr">
        <is>
          <t>2022-05-08</t>
        </is>
      </c>
      <c r="B543" t="n">
        <v>12</v>
      </c>
      <c r="C543" t="n">
        <v>2956</v>
      </c>
      <c r="D543" s="6" t="n">
        <v>28.3</v>
      </c>
      <c r="E543" s="6" t="n">
        <v>1014641.68</v>
      </c>
      <c r="F543" s="6">
        <f>ROUND(E543-E542,2)</f>
        <v/>
      </c>
      <c r="G543" s="6">
        <f>ROUND(F543-D543,2)</f>
        <v/>
      </c>
    </row>
    <row r="544">
      <c r="A544" t="inlineStr">
        <is>
          <t>2022-05-08</t>
        </is>
      </c>
      <c r="B544" t="n">
        <v>13</v>
      </c>
      <c r="C544" t="n">
        <v>2956</v>
      </c>
      <c r="D544" s="6" t="n">
        <v>272.3</v>
      </c>
      <c r="E544" s="6" t="n">
        <v>1014913.98</v>
      </c>
      <c r="F544" s="6">
        <f>ROUND(E544-E543,2)</f>
        <v/>
      </c>
      <c r="G544" s="6">
        <f>ROUND(F544-D544,2)</f>
        <v/>
      </c>
    </row>
    <row r="545">
      <c r="A545" t="inlineStr">
        <is>
          <t>2022-05-08</t>
        </is>
      </c>
      <c r="B545" t="n">
        <v>14</v>
      </c>
      <c r="C545" t="n">
        <v>2956</v>
      </c>
      <c r="D545" s="6" t="n">
        <v>67.7</v>
      </c>
      <c r="E545" s="6" t="n">
        <v>1014981.68</v>
      </c>
      <c r="F545" s="6">
        <f>ROUND(E545-E544,2)</f>
        <v/>
      </c>
      <c r="G545" s="6">
        <f>ROUND(F545-D545,2)</f>
        <v/>
      </c>
    </row>
    <row r="546">
      <c r="A546" t="inlineStr">
        <is>
          <t>2022-05-08</t>
        </is>
      </c>
      <c r="B546" t="n">
        <v>15</v>
      </c>
      <c r="C546" t="n">
        <v>2956</v>
      </c>
      <c r="D546" s="6" t="n">
        <v>51.4</v>
      </c>
      <c r="E546" s="6" t="n">
        <v>1015033.08</v>
      </c>
      <c r="F546" s="6">
        <f>ROUND(E546-E545,2)</f>
        <v/>
      </c>
      <c r="G546" s="6">
        <f>ROUND(F546-D546,2)</f>
        <v/>
      </c>
    </row>
    <row r="547">
      <c r="A547" t="inlineStr">
        <is>
          <t>2022-05-08</t>
        </is>
      </c>
      <c r="B547" t="n">
        <v>16</v>
      </c>
      <c r="C547" t="n">
        <v>2956</v>
      </c>
      <c r="D547" s="6" t="n">
        <v>66.40000000000001</v>
      </c>
      <c r="E547" s="6" t="n">
        <v>1015099.48</v>
      </c>
      <c r="F547" s="6">
        <f>ROUND(E547-E546,2)</f>
        <v/>
      </c>
      <c r="G547" s="6">
        <f>ROUND(F547-D547,2)</f>
        <v/>
      </c>
    </row>
    <row r="548">
      <c r="A548" t="inlineStr">
        <is>
          <t>2022-05-08</t>
        </is>
      </c>
      <c r="B548" t="n">
        <v>17</v>
      </c>
      <c r="C548" t="n">
        <v>2956</v>
      </c>
      <c r="D548" s="6" t="n">
        <v>77.2</v>
      </c>
      <c r="E548" s="6" t="n">
        <v>1015176.68</v>
      </c>
      <c r="F548" s="6">
        <f>ROUND(E548-E547,2)</f>
        <v/>
      </c>
      <c r="G548" s="6">
        <f>ROUND(F548-D548,2)</f>
        <v/>
      </c>
    </row>
    <row r="549">
      <c r="A549" t="inlineStr">
        <is>
          <t>2022-05-08</t>
        </is>
      </c>
      <c r="B549" t="n">
        <v>18</v>
      </c>
      <c r="C549" t="n">
        <v>2956</v>
      </c>
      <c r="D549" s="6" t="n">
        <v>55.1</v>
      </c>
      <c r="E549" s="6" t="n">
        <v>1015231.78</v>
      </c>
      <c r="F549" s="6">
        <f>ROUND(E549-E548,2)</f>
        <v/>
      </c>
      <c r="G549" s="6">
        <f>ROUND(F549-D549,2)</f>
        <v/>
      </c>
    </row>
    <row r="550">
      <c r="A550" t="inlineStr">
        <is>
          <t>2022-05-08</t>
        </is>
      </c>
      <c r="B550" t="n">
        <v>19</v>
      </c>
      <c r="C550" t="n">
        <v>2956</v>
      </c>
      <c r="D550" s="6" t="n">
        <v>96.5</v>
      </c>
      <c r="E550" s="6" t="n">
        <v>1015328.28</v>
      </c>
      <c r="F550" s="6">
        <f>ROUND(E550-E549,2)</f>
        <v/>
      </c>
      <c r="G550" s="6">
        <f>ROUND(F550-D550,2)</f>
        <v/>
      </c>
    </row>
    <row r="551">
      <c r="A551" t="inlineStr">
        <is>
          <t>2022-05-08</t>
        </is>
      </c>
      <c r="B551" t="n">
        <v>20</v>
      </c>
      <c r="C551" t="n">
        <v>2956</v>
      </c>
      <c r="D551" s="6" t="n">
        <v>71.8</v>
      </c>
      <c r="E551" s="6" t="n">
        <v>1015400.08</v>
      </c>
      <c r="F551" s="6">
        <f>ROUND(E551-E550,2)</f>
        <v/>
      </c>
      <c r="G551" s="6">
        <f>ROUND(F551-D551,2)</f>
        <v/>
      </c>
    </row>
    <row r="552">
      <c r="A552" t="inlineStr">
        <is>
          <t>2022-05-08</t>
        </is>
      </c>
      <c r="B552" t="n">
        <v>21</v>
      </c>
      <c r="C552" t="n">
        <v>2956</v>
      </c>
      <c r="D552" s="6" t="n">
        <v>44.9</v>
      </c>
      <c r="E552" s="6" t="n">
        <v>1015444.98</v>
      </c>
      <c r="F552" s="6">
        <f>ROUND(E552-E551,2)</f>
        <v/>
      </c>
      <c r="G552" s="6">
        <f>ROUND(F552-D552,2)</f>
        <v/>
      </c>
    </row>
    <row r="553">
      <c r="A553" t="inlineStr">
        <is>
          <t>2022-05-08</t>
        </is>
      </c>
      <c r="B553" t="n">
        <v>22</v>
      </c>
      <c r="C553" t="n">
        <v>2956</v>
      </c>
      <c r="D553" s="6" t="n">
        <v>110.1</v>
      </c>
      <c r="E553" s="6" t="n">
        <v>1015555.08</v>
      </c>
      <c r="F553" s="6">
        <f>ROUND(E553-E552,2)</f>
        <v/>
      </c>
      <c r="G553" s="6">
        <f>ROUND(F553-D553,2)</f>
        <v/>
      </c>
    </row>
    <row r="554">
      <c r="A554" t="inlineStr">
        <is>
          <t>2022-05-08</t>
        </is>
      </c>
      <c r="B554" t="n">
        <v>23</v>
      </c>
      <c r="C554" t="n">
        <v>2956</v>
      </c>
      <c r="D554" s="6" t="n">
        <v>75.8</v>
      </c>
      <c r="E554" s="6" t="n">
        <v>1015630.88</v>
      </c>
      <c r="F554" s="6">
        <f>ROUND(E554-E553,2)</f>
        <v/>
      </c>
      <c r="G554" s="6">
        <f>ROUND(F554-D554,2)</f>
        <v/>
      </c>
    </row>
    <row r="555">
      <c r="A555" t="inlineStr">
        <is>
          <t>2022-05-08</t>
        </is>
      </c>
      <c r="B555" t="n">
        <v>24</v>
      </c>
      <c r="C555" t="n">
        <v>2956</v>
      </c>
      <c r="D555" s="6" t="n">
        <v>85.55</v>
      </c>
      <c r="E555" s="6" t="n">
        <v>1015716.43</v>
      </c>
      <c r="F555" s="6">
        <f>ROUND(E555-E554,2)</f>
        <v/>
      </c>
      <c r="G555" s="6">
        <f>ROUND(F555-D555,2)</f>
        <v/>
      </c>
    </row>
    <row r="556">
      <c r="A556" t="inlineStr">
        <is>
          <t>2022-05-08</t>
        </is>
      </c>
      <c r="B556" t="n">
        <v>25</v>
      </c>
      <c r="C556" t="n">
        <v>2956</v>
      </c>
      <c r="D556" s="6" t="n">
        <v>85.55</v>
      </c>
      <c r="E556" s="6" t="n">
        <v>1015801.98</v>
      </c>
      <c r="F556" s="6">
        <f>ROUND(E556-E555,2)</f>
        <v/>
      </c>
      <c r="G556" s="6">
        <f>ROUND(F556-D556,2)</f>
        <v/>
      </c>
    </row>
    <row r="557">
      <c r="A557" t="inlineStr">
        <is>
          <t>2022-05-08</t>
        </is>
      </c>
      <c r="B557" t="n">
        <v>26</v>
      </c>
      <c r="C557" t="n">
        <v>2956</v>
      </c>
      <c r="D557" s="6" t="n">
        <v>32.3</v>
      </c>
      <c r="E557" s="6" t="n">
        <v>1015834.28</v>
      </c>
      <c r="F557" s="6">
        <f>ROUND(E557-E556,2)</f>
        <v/>
      </c>
      <c r="G557" s="6">
        <f>ROUND(F557-D557,2)</f>
        <v/>
      </c>
    </row>
    <row r="558">
      <c r="A558" t="inlineStr">
        <is>
          <t>2022-05-08</t>
        </is>
      </c>
      <c r="B558" t="n">
        <v>27</v>
      </c>
      <c r="C558" t="n">
        <v>2956</v>
      </c>
      <c r="D558" s="6" t="n">
        <v>40.4</v>
      </c>
      <c r="E558" s="6" t="n">
        <v>1015874.68</v>
      </c>
      <c r="F558" s="6">
        <f>ROUND(E558-E557,2)</f>
        <v/>
      </c>
      <c r="G558" s="6">
        <f>ROUND(F558-D558,2)</f>
        <v/>
      </c>
    </row>
    <row r="559">
      <c r="A559" t="inlineStr">
        <is>
          <t>2022-05-08</t>
        </is>
      </c>
      <c r="B559" t="n">
        <v>28</v>
      </c>
      <c r="C559" t="n">
        <v>2956</v>
      </c>
      <c r="D559" s="6" t="n">
        <v>85.5</v>
      </c>
      <c r="E559" s="6" t="n">
        <v>1015960.18</v>
      </c>
      <c r="F559" s="6">
        <f>ROUND(E559-E558,2)</f>
        <v/>
      </c>
      <c r="G559" s="6">
        <f>ROUND(F559-D559,2)</f>
        <v/>
      </c>
    </row>
    <row r="560">
      <c r="A560" t="inlineStr">
        <is>
          <t>2022-05-08</t>
        </is>
      </c>
      <c r="B560" t="n">
        <v>29</v>
      </c>
      <c r="C560" t="n">
        <v>2956</v>
      </c>
      <c r="D560" s="6" t="n">
        <v>83</v>
      </c>
      <c r="E560" s="6" t="n">
        <v>1016043.18</v>
      </c>
      <c r="F560" s="6">
        <f>ROUND(E560-E559,2)</f>
        <v/>
      </c>
      <c r="G560" s="6">
        <f>ROUND(F560-D560,2)</f>
        <v/>
      </c>
    </row>
    <row r="561">
      <c r="A561" t="inlineStr">
        <is>
          <t>2022-05-11</t>
        </is>
      </c>
      <c r="B561" t="n">
        <v>1</v>
      </c>
      <c r="C561" t="n">
        <v>2957</v>
      </c>
      <c r="D561" s="6" t="n">
        <v>37.2</v>
      </c>
      <c r="E561" s="6" t="n">
        <v>1016080.38</v>
      </c>
      <c r="F561" s="6">
        <f>ROUND(E561-E560,2)</f>
        <v/>
      </c>
      <c r="G561" s="6">
        <f>ROUND(F561-D561,2)</f>
        <v/>
      </c>
    </row>
    <row r="562">
      <c r="A562" t="inlineStr">
        <is>
          <t>2022-05-11</t>
        </is>
      </c>
      <c r="B562" t="n">
        <v>2</v>
      </c>
      <c r="C562" t="n">
        <v>2957</v>
      </c>
      <c r="D562" s="6" t="n">
        <v>23.7</v>
      </c>
      <c r="E562" s="6" t="n">
        <v>1016104.08</v>
      </c>
      <c r="F562" s="6">
        <f>ROUND(E562-E561,2)</f>
        <v/>
      </c>
      <c r="G562" s="6">
        <f>ROUND(F562-D562,2)</f>
        <v/>
      </c>
    </row>
    <row r="563">
      <c r="A563" t="inlineStr">
        <is>
          <t>2022-05-11</t>
        </is>
      </c>
      <c r="B563" t="n">
        <v>3</v>
      </c>
      <c r="C563" t="n">
        <v>2957</v>
      </c>
      <c r="D563" s="6" t="n">
        <v>27.1</v>
      </c>
      <c r="E563" s="6" t="n">
        <v>1016131.18</v>
      </c>
      <c r="F563" s="6">
        <f>ROUND(E563-E562,2)</f>
        <v/>
      </c>
      <c r="G563" s="6">
        <f>ROUND(F563-D563,2)</f>
        <v/>
      </c>
    </row>
    <row r="564">
      <c r="A564" t="inlineStr">
        <is>
          <t>2022-05-11</t>
        </is>
      </c>
      <c r="B564" t="n">
        <v>4</v>
      </c>
      <c r="C564" t="n">
        <v>2957</v>
      </c>
      <c r="D564" s="6" t="n">
        <v>25.1</v>
      </c>
      <c r="E564" s="6" t="n">
        <v>1016156.28</v>
      </c>
      <c r="F564" s="6">
        <f>ROUND(E564-E563,2)</f>
        <v/>
      </c>
      <c r="G564" s="6">
        <f>ROUND(F564-D564,2)</f>
        <v/>
      </c>
    </row>
    <row r="565">
      <c r="A565" t="inlineStr">
        <is>
          <t>2022-05-11</t>
        </is>
      </c>
      <c r="B565" t="n">
        <v>5</v>
      </c>
      <c r="C565" t="n">
        <v>2957</v>
      </c>
      <c r="D565" s="6" t="n">
        <v>60.2</v>
      </c>
      <c r="E565" s="6" t="n">
        <v>1016216.48</v>
      </c>
      <c r="F565" s="6">
        <f>ROUND(E565-E564,2)</f>
        <v/>
      </c>
      <c r="G565" s="6">
        <f>ROUND(F565-D565,2)</f>
        <v/>
      </c>
    </row>
    <row r="566">
      <c r="A566" t="inlineStr">
        <is>
          <t>2022-05-11</t>
        </is>
      </c>
      <c r="B566" t="n">
        <v>6</v>
      </c>
      <c r="C566" t="n">
        <v>2957</v>
      </c>
      <c r="D566" s="6" t="n">
        <v>74</v>
      </c>
      <c r="E566" s="6" t="n">
        <v>1016290.48</v>
      </c>
      <c r="F566" s="6">
        <f>ROUND(E566-E565,2)</f>
        <v/>
      </c>
      <c r="G566" s="6">
        <f>ROUND(F566-D566,2)</f>
        <v/>
      </c>
    </row>
    <row r="567">
      <c r="A567" t="inlineStr">
        <is>
          <t>2022-05-11</t>
        </is>
      </c>
      <c r="B567" t="n">
        <v>7</v>
      </c>
      <c r="C567" t="n">
        <v>2957</v>
      </c>
      <c r="D567" s="6" t="n">
        <v>95.3</v>
      </c>
      <c r="E567" s="6" t="n">
        <v>1016385.78</v>
      </c>
      <c r="F567" s="6">
        <f>ROUND(E567-E566,2)</f>
        <v/>
      </c>
      <c r="G567" s="6">
        <f>ROUND(F567-D567,2)</f>
        <v/>
      </c>
    </row>
    <row r="568">
      <c r="A568" t="inlineStr">
        <is>
          <t>2022-05-11</t>
        </is>
      </c>
      <c r="B568" t="n">
        <v>8</v>
      </c>
      <c r="C568" t="n">
        <v>2957</v>
      </c>
      <c r="D568" s="6" t="n">
        <v>39.9</v>
      </c>
      <c r="E568" s="6" t="n">
        <v>1016425.68</v>
      </c>
      <c r="F568" s="6">
        <f>ROUND(E568-E567,2)</f>
        <v/>
      </c>
      <c r="G568" s="6">
        <f>ROUND(F568-D568,2)</f>
        <v/>
      </c>
    </row>
    <row r="569">
      <c r="A569" t="inlineStr">
        <is>
          <t>2022-05-11</t>
        </is>
      </c>
      <c r="B569" t="n">
        <v>9</v>
      </c>
      <c r="C569" t="n">
        <v>2957</v>
      </c>
      <c r="D569" s="6" t="n">
        <v>39.9</v>
      </c>
      <c r="E569" s="6" t="n">
        <v>1016465.58</v>
      </c>
      <c r="F569" s="6">
        <f>ROUND(E569-E568,2)</f>
        <v/>
      </c>
      <c r="G569" s="6">
        <f>ROUND(F569-D569,2)</f>
        <v/>
      </c>
    </row>
    <row r="570">
      <c r="A570" t="inlineStr">
        <is>
          <t>2022-05-11</t>
        </is>
      </c>
      <c r="B570" t="n">
        <v>10</v>
      </c>
      <c r="C570" t="n">
        <v>2957</v>
      </c>
      <c r="D570" s="6" t="n">
        <v>59.4</v>
      </c>
      <c r="E570" s="6" t="n">
        <v>1016524.98</v>
      </c>
      <c r="F570" s="6">
        <f>ROUND(E570-E569,2)</f>
        <v/>
      </c>
      <c r="G570" s="6">
        <f>ROUND(F570-D570,2)</f>
        <v/>
      </c>
    </row>
    <row r="571">
      <c r="A571" t="inlineStr">
        <is>
          <t>2022-05-11</t>
        </is>
      </c>
      <c r="B571" t="n">
        <v>11</v>
      </c>
      <c r="C571" t="n">
        <v>2957</v>
      </c>
      <c r="D571" s="6" t="n">
        <v>60.6</v>
      </c>
      <c r="E571" s="6" t="n">
        <v>1016585.58</v>
      </c>
      <c r="F571" s="6">
        <f>ROUND(E571-E570,2)</f>
        <v/>
      </c>
      <c r="G571" s="6">
        <f>ROUND(F571-D571,2)</f>
        <v/>
      </c>
    </row>
    <row r="572">
      <c r="A572" t="inlineStr">
        <is>
          <t>2022-05-11</t>
        </is>
      </c>
      <c r="B572" t="n">
        <v>12</v>
      </c>
      <c r="C572" t="n">
        <v>2957</v>
      </c>
      <c r="D572" s="6" t="n">
        <v>64.09999999999999</v>
      </c>
      <c r="E572" s="6" t="n">
        <v>1016649.68</v>
      </c>
      <c r="F572" s="6">
        <f>ROUND(E572-E571,2)</f>
        <v/>
      </c>
      <c r="G572" s="6">
        <f>ROUND(F572-D572,2)</f>
        <v/>
      </c>
    </row>
    <row r="573">
      <c r="A573" t="inlineStr">
        <is>
          <t>2022-05-11</t>
        </is>
      </c>
      <c r="B573" t="n">
        <v>13</v>
      </c>
      <c r="C573" t="n">
        <v>2957</v>
      </c>
      <c r="D573" s="6" t="n">
        <v>103.7</v>
      </c>
      <c r="E573" s="6" t="n">
        <v>1016753.38</v>
      </c>
      <c r="F573" s="6">
        <f>ROUND(E573-E572,2)</f>
        <v/>
      </c>
      <c r="G573" s="6">
        <f>ROUND(F573-D573,2)</f>
        <v/>
      </c>
    </row>
    <row r="574">
      <c r="A574" t="inlineStr">
        <is>
          <t>2022-05-11</t>
        </is>
      </c>
      <c r="B574" t="n">
        <v>14</v>
      </c>
      <c r="C574" t="n">
        <v>2957</v>
      </c>
      <c r="D574" s="6" t="n">
        <v>18.1</v>
      </c>
      <c r="E574" s="6" t="n">
        <v>1016771.48</v>
      </c>
      <c r="F574" s="6">
        <f>ROUND(E574-E573,2)</f>
        <v/>
      </c>
      <c r="G574" s="6">
        <f>ROUND(F574-D574,2)</f>
        <v/>
      </c>
    </row>
    <row r="575">
      <c r="A575" t="inlineStr">
        <is>
          <t>2022-05-11</t>
        </is>
      </c>
      <c r="B575" t="n">
        <v>15</v>
      </c>
      <c r="C575" t="n">
        <v>2957</v>
      </c>
      <c r="D575" s="6" t="n">
        <v>76</v>
      </c>
      <c r="E575" s="6" t="n">
        <v>1016847.48</v>
      </c>
      <c r="F575" s="6">
        <f>ROUND(E575-E574,2)</f>
        <v/>
      </c>
      <c r="G575" s="6">
        <f>ROUND(F575-D575,2)</f>
        <v/>
      </c>
    </row>
    <row r="576">
      <c r="A576" t="inlineStr">
        <is>
          <t>2022-05-11</t>
        </is>
      </c>
      <c r="B576" t="n">
        <v>16</v>
      </c>
      <c r="C576" t="n">
        <v>2957</v>
      </c>
      <c r="D576" s="6" t="n">
        <v>55.7</v>
      </c>
      <c r="E576" s="6" t="n">
        <v>1016903.18</v>
      </c>
      <c r="F576" s="6">
        <f>ROUND(E576-E575,2)</f>
        <v/>
      </c>
      <c r="G576" s="6">
        <f>ROUND(F576-D576,2)</f>
        <v/>
      </c>
    </row>
    <row r="577">
      <c r="A577" t="inlineStr">
        <is>
          <t>2022-05-11</t>
        </is>
      </c>
      <c r="B577" t="n">
        <v>17</v>
      </c>
      <c r="C577" t="n">
        <v>2957</v>
      </c>
      <c r="D577" s="6" t="n">
        <v>48.25</v>
      </c>
      <c r="E577" s="6" t="n">
        <v>1016951.43</v>
      </c>
      <c r="F577" s="6">
        <f>ROUND(E577-E576,2)</f>
        <v/>
      </c>
      <c r="G577" s="6">
        <f>ROUND(F577-D577,2)</f>
        <v/>
      </c>
    </row>
    <row r="578">
      <c r="A578" t="inlineStr">
        <is>
          <t>2022-05-11</t>
        </is>
      </c>
      <c r="B578" t="n">
        <v>18</v>
      </c>
      <c r="C578" t="n">
        <v>2957</v>
      </c>
      <c r="D578" s="6" t="n">
        <v>48.25</v>
      </c>
      <c r="E578" s="6" t="n">
        <v>1016999.68</v>
      </c>
      <c r="F578" s="6">
        <f>ROUND(E578-E577,2)</f>
        <v/>
      </c>
      <c r="G578" s="6">
        <f>ROUND(F578-D578,2)</f>
        <v/>
      </c>
    </row>
    <row r="579">
      <c r="A579" t="inlineStr">
        <is>
          <t>2022-05-11</t>
        </is>
      </c>
      <c r="B579" t="n">
        <v>19</v>
      </c>
      <c r="C579" t="n">
        <v>2957</v>
      </c>
      <c r="D579" s="6" t="n">
        <v>44.1</v>
      </c>
      <c r="E579" s="6" t="n">
        <v>1017043.78</v>
      </c>
      <c r="F579" s="6">
        <f>ROUND(E579-E578,2)</f>
        <v/>
      </c>
      <c r="G579" s="6">
        <f>ROUND(F579-D579,2)</f>
        <v/>
      </c>
    </row>
    <row r="580">
      <c r="A580" t="inlineStr">
        <is>
          <t>2022-05-11</t>
        </is>
      </c>
      <c r="B580" t="n">
        <v>20</v>
      </c>
      <c r="C580" t="n">
        <v>2957</v>
      </c>
      <c r="D580" s="6" t="n">
        <v>70.65000000000001</v>
      </c>
      <c r="E580" s="6" t="n">
        <v>1017114.43</v>
      </c>
      <c r="F580" s="6">
        <f>ROUND(E580-E579,2)</f>
        <v/>
      </c>
      <c r="G580" s="6">
        <f>ROUND(F580-D580,2)</f>
        <v/>
      </c>
    </row>
    <row r="581">
      <c r="A581" t="inlineStr">
        <is>
          <t>2022-05-11</t>
        </is>
      </c>
      <c r="B581" t="n">
        <v>21</v>
      </c>
      <c r="C581" t="n">
        <v>2957</v>
      </c>
      <c r="D581" s="6" t="n">
        <v>70.65000000000001</v>
      </c>
      <c r="E581" s="6" t="n">
        <v>1017185.08</v>
      </c>
      <c r="F581" s="6">
        <f>ROUND(E581-E580,2)</f>
        <v/>
      </c>
      <c r="G581" s="6">
        <f>ROUND(F581-D581,2)</f>
        <v/>
      </c>
    </row>
    <row r="582">
      <c r="A582" t="inlineStr">
        <is>
          <t>2022-05-11</t>
        </is>
      </c>
      <c r="B582" t="n">
        <v>22</v>
      </c>
      <c r="C582" t="n">
        <v>2957</v>
      </c>
      <c r="D582" s="6" t="n">
        <v>72.5</v>
      </c>
      <c r="E582" s="6" t="n">
        <v>1017257.58</v>
      </c>
      <c r="F582" s="6">
        <f>ROUND(E582-E581,2)</f>
        <v/>
      </c>
      <c r="G582" s="6">
        <f>ROUND(F582-D582,2)</f>
        <v/>
      </c>
    </row>
    <row r="583">
      <c r="A583" t="inlineStr">
        <is>
          <t>2022-05-11</t>
        </is>
      </c>
      <c r="B583" t="n">
        <v>23</v>
      </c>
      <c r="C583" t="n">
        <v>2957</v>
      </c>
      <c r="D583" s="6" t="n">
        <v>52.5</v>
      </c>
      <c r="E583" s="6" t="n">
        <v>1017310.08</v>
      </c>
      <c r="F583" s="6">
        <f>ROUND(E583-E582,2)</f>
        <v/>
      </c>
      <c r="G583" s="6">
        <f>ROUND(F583-D583,2)</f>
        <v/>
      </c>
    </row>
    <row r="584">
      <c r="A584" t="inlineStr">
        <is>
          <t>2022-05-11</t>
        </is>
      </c>
      <c r="B584" t="n">
        <v>24</v>
      </c>
      <c r="C584" t="n">
        <v>2957</v>
      </c>
      <c r="D584" s="6" t="n">
        <v>76.09999999999999</v>
      </c>
      <c r="E584" s="6" t="n">
        <v>1017386.18</v>
      </c>
      <c r="F584" s="6">
        <f>ROUND(E584-E583,2)</f>
        <v/>
      </c>
      <c r="G584" s="6">
        <f>ROUND(F584-D584,2)</f>
        <v/>
      </c>
    </row>
    <row r="585">
      <c r="A585" t="inlineStr">
        <is>
          <t>2022-05-11</t>
        </is>
      </c>
      <c r="B585" t="n">
        <v>25</v>
      </c>
      <c r="C585" t="n">
        <v>2957</v>
      </c>
      <c r="D585" s="6" t="n">
        <v>63.2</v>
      </c>
      <c r="E585" s="6" t="n">
        <v>1017449.38</v>
      </c>
      <c r="F585" s="6">
        <f>ROUND(E585-E584,2)</f>
        <v/>
      </c>
      <c r="G585" s="6">
        <f>ROUND(F585-D585,2)</f>
        <v/>
      </c>
    </row>
    <row r="586">
      <c r="A586" t="inlineStr">
        <is>
          <t>2022-05-11</t>
        </is>
      </c>
      <c r="B586" t="n">
        <v>26</v>
      </c>
      <c r="C586" t="n">
        <v>2957</v>
      </c>
      <c r="D586" s="6" t="n">
        <v>49</v>
      </c>
      <c r="E586" s="6" t="n">
        <v>1017498.38</v>
      </c>
      <c r="F586" s="6">
        <f>ROUND(E586-E585,2)</f>
        <v/>
      </c>
      <c r="G586" s="6">
        <f>ROUND(F586-D586,2)</f>
        <v/>
      </c>
    </row>
    <row r="587">
      <c r="A587" t="inlineStr">
        <is>
          <t>2022-05-11</t>
        </is>
      </c>
      <c r="B587" t="n">
        <v>27</v>
      </c>
      <c r="C587" t="n">
        <v>2957</v>
      </c>
      <c r="D587" s="6" t="n">
        <v>54.9</v>
      </c>
      <c r="E587" s="6" t="n">
        <v>1017553.28</v>
      </c>
      <c r="F587" s="6">
        <f>ROUND(E587-E586,2)</f>
        <v/>
      </c>
      <c r="G587" s="6">
        <f>ROUND(F587-D587,2)</f>
        <v/>
      </c>
    </row>
    <row r="588">
      <c r="A588" t="inlineStr">
        <is>
          <t>2022-05-11</t>
        </is>
      </c>
      <c r="B588" t="n">
        <v>28</v>
      </c>
      <c r="C588" t="n">
        <v>2957</v>
      </c>
      <c r="D588" s="6" t="n">
        <v>70.7</v>
      </c>
      <c r="E588" s="6" t="n">
        <v>1017623.98</v>
      </c>
      <c r="F588" s="6">
        <f>ROUND(E588-E587,2)</f>
        <v/>
      </c>
      <c r="G588" s="6">
        <f>ROUND(F588-D588,2)</f>
        <v/>
      </c>
    </row>
    <row r="589">
      <c r="A589" t="inlineStr">
        <is>
          <t>2022-05-11</t>
        </is>
      </c>
      <c r="B589" t="n">
        <v>29</v>
      </c>
      <c r="C589" t="n">
        <v>2957</v>
      </c>
      <c r="D589" s="6" t="n">
        <v>106.8</v>
      </c>
      <c r="E589" s="6" t="n">
        <v>1017730.78</v>
      </c>
      <c r="F589" s="6">
        <f>ROUND(E589-E588,2)</f>
        <v/>
      </c>
      <c r="G589" s="6">
        <f>ROUND(F589-D589,2)</f>
        <v/>
      </c>
    </row>
    <row r="590">
      <c r="A590" t="inlineStr">
        <is>
          <t>2022-05-11</t>
        </is>
      </c>
      <c r="B590" t="n">
        <v>30</v>
      </c>
      <c r="C590" t="n">
        <v>2957</v>
      </c>
      <c r="D590" s="6" t="n">
        <v>57.1</v>
      </c>
      <c r="E590" s="6" t="n">
        <v>1017787.88</v>
      </c>
      <c r="F590" s="6">
        <f>ROUND(E590-E589,2)</f>
        <v/>
      </c>
      <c r="G590" s="6">
        <f>ROUND(F590-D590,2)</f>
        <v/>
      </c>
    </row>
    <row r="591">
      <c r="A591" t="inlineStr">
        <is>
          <t>2022-05-11</t>
        </is>
      </c>
      <c r="B591" t="n">
        <v>31</v>
      </c>
      <c r="C591" t="n">
        <v>2957</v>
      </c>
      <c r="D591" s="6" t="n">
        <v>37.9</v>
      </c>
      <c r="E591" s="6" t="n">
        <v>1017825.78</v>
      </c>
      <c r="F591" s="6">
        <f>ROUND(E591-E590,2)</f>
        <v/>
      </c>
      <c r="G591" s="6">
        <f>ROUND(F591-D591,2)</f>
        <v/>
      </c>
    </row>
    <row r="592">
      <c r="A592" t="inlineStr">
        <is>
          <t>2022-05-11</t>
        </is>
      </c>
      <c r="B592" t="n">
        <v>32</v>
      </c>
      <c r="C592" t="n">
        <v>2957</v>
      </c>
      <c r="D592" s="6" t="n">
        <v>37.9</v>
      </c>
      <c r="E592" s="6" t="n">
        <v>1017863.68</v>
      </c>
      <c r="F592" s="6">
        <f>ROUND(E592-E591,2)</f>
        <v/>
      </c>
      <c r="G592" s="6">
        <f>ROUND(F592-D592,2)</f>
        <v/>
      </c>
    </row>
    <row r="593">
      <c r="A593" t="inlineStr">
        <is>
          <t>2022-05-12</t>
        </is>
      </c>
      <c r="B593" t="n">
        <v>1</v>
      </c>
      <c r="C593" t="n">
        <v>2958</v>
      </c>
      <c r="D593" s="6" t="n">
        <v>52.4</v>
      </c>
      <c r="E593" s="6" t="n">
        <v>1017916.08</v>
      </c>
      <c r="F593" s="6">
        <f>ROUND(E593-E592,2)</f>
        <v/>
      </c>
      <c r="G593" s="6">
        <f>ROUND(F593-D593,2)</f>
        <v/>
      </c>
    </row>
    <row r="594">
      <c r="A594" t="inlineStr">
        <is>
          <t>2022-05-12</t>
        </is>
      </c>
      <c r="B594" t="n">
        <v>2</v>
      </c>
      <c r="C594" t="n">
        <v>2958</v>
      </c>
      <c r="D594" s="6" t="n">
        <v>69</v>
      </c>
      <c r="E594" s="6" t="n">
        <v>1017985.08</v>
      </c>
      <c r="F594" s="6">
        <f>ROUND(E594-E593,2)</f>
        <v/>
      </c>
      <c r="G594" s="6">
        <f>ROUND(F594-D594,2)</f>
        <v/>
      </c>
    </row>
    <row r="595">
      <c r="A595" t="inlineStr">
        <is>
          <t>2022-05-12</t>
        </is>
      </c>
      <c r="B595" t="n">
        <v>3</v>
      </c>
      <c r="C595" t="n">
        <v>2958</v>
      </c>
      <c r="D595" s="6" t="n">
        <v>42.7</v>
      </c>
      <c r="E595" s="6" t="n">
        <v>1018027.78</v>
      </c>
      <c r="F595" s="6">
        <f>ROUND(E595-E594,2)</f>
        <v/>
      </c>
      <c r="G595" s="6">
        <f>ROUND(F595-D595,2)</f>
        <v/>
      </c>
    </row>
    <row r="596">
      <c r="A596" t="inlineStr">
        <is>
          <t>2022-05-12</t>
        </is>
      </c>
      <c r="B596" t="n">
        <v>4</v>
      </c>
      <c r="C596" t="n">
        <v>2958</v>
      </c>
      <c r="D596" s="6" t="n">
        <v>71.90000000000001</v>
      </c>
      <c r="E596" s="6" t="n">
        <v>1018099.68</v>
      </c>
      <c r="F596" s="6">
        <f>ROUND(E596-E595,2)</f>
        <v/>
      </c>
      <c r="G596" s="6">
        <f>ROUND(F596-D596,2)</f>
        <v/>
      </c>
    </row>
    <row r="597">
      <c r="A597" t="inlineStr">
        <is>
          <t>2022-05-12</t>
        </is>
      </c>
      <c r="B597" t="n">
        <v>5</v>
      </c>
      <c r="C597" t="n">
        <v>2958</v>
      </c>
      <c r="D597" s="6" t="n">
        <v>75.09999999999999</v>
      </c>
      <c r="E597" s="6" t="n">
        <v>1018174.78</v>
      </c>
      <c r="F597" s="6">
        <f>ROUND(E597-E596,2)</f>
        <v/>
      </c>
      <c r="G597" s="6">
        <f>ROUND(F597-D597,2)</f>
        <v/>
      </c>
    </row>
    <row r="598">
      <c r="A598" t="inlineStr">
        <is>
          <t>2022-05-12</t>
        </is>
      </c>
      <c r="B598" t="n">
        <v>6</v>
      </c>
      <c r="C598" t="n">
        <v>2958</v>
      </c>
      <c r="D598" s="6" t="n">
        <v>76.7</v>
      </c>
      <c r="E598" s="6" t="n">
        <v>1018251.48</v>
      </c>
      <c r="F598" s="6">
        <f>ROUND(E598-E597,2)</f>
        <v/>
      </c>
      <c r="G598" s="6">
        <f>ROUND(F598-D598,2)</f>
        <v/>
      </c>
    </row>
    <row r="599">
      <c r="A599" t="inlineStr">
        <is>
          <t>2022-05-12</t>
        </is>
      </c>
      <c r="B599" t="n">
        <v>7</v>
      </c>
      <c r="C599" t="n">
        <v>2958</v>
      </c>
      <c r="D599" s="6" t="n">
        <v>48.8</v>
      </c>
      <c r="E599" s="6" t="n">
        <v>1018300.28</v>
      </c>
      <c r="F599" s="6">
        <f>ROUND(E599-E598,2)</f>
        <v/>
      </c>
      <c r="G599" s="6">
        <f>ROUND(F599-D599,2)</f>
        <v/>
      </c>
    </row>
    <row r="600">
      <c r="A600" t="inlineStr">
        <is>
          <t>2022-05-12</t>
        </is>
      </c>
      <c r="B600" t="n">
        <v>8</v>
      </c>
      <c r="C600" t="n">
        <v>2958</v>
      </c>
      <c r="D600" s="6" t="n">
        <v>80.59999999999999</v>
      </c>
      <c r="E600" s="6" t="n">
        <v>1018380.88</v>
      </c>
      <c r="F600" s="6">
        <f>ROUND(E600-E599,2)</f>
        <v/>
      </c>
      <c r="G600" s="6">
        <f>ROUND(F600-D600,2)</f>
        <v/>
      </c>
    </row>
    <row r="601">
      <c r="A601" t="inlineStr">
        <is>
          <t>2022-05-12</t>
        </is>
      </c>
      <c r="B601" t="n">
        <v>9</v>
      </c>
      <c r="C601" t="n">
        <v>2958</v>
      </c>
      <c r="D601" s="6" t="n">
        <v>62.9</v>
      </c>
      <c r="E601" s="6" t="n">
        <v>1018443.78</v>
      </c>
      <c r="F601" s="6">
        <f>ROUND(E601-E600,2)</f>
        <v/>
      </c>
      <c r="G601" s="6">
        <f>ROUND(F601-D601,2)</f>
        <v/>
      </c>
    </row>
    <row r="602">
      <c r="A602" t="inlineStr">
        <is>
          <t>2022-05-12</t>
        </is>
      </c>
      <c r="B602" t="n">
        <v>10</v>
      </c>
      <c r="C602" t="n">
        <v>2958</v>
      </c>
      <c r="D602" s="6" t="n">
        <v>181.4</v>
      </c>
      <c r="E602" s="6" t="n">
        <v>1018625.18</v>
      </c>
      <c r="F602" s="6">
        <f>ROUND(E602-E601,2)</f>
        <v/>
      </c>
      <c r="G602" s="6">
        <f>ROUND(F602-D602,2)</f>
        <v/>
      </c>
    </row>
    <row r="603">
      <c r="A603" t="inlineStr">
        <is>
          <t>2022-05-12</t>
        </is>
      </c>
      <c r="B603" t="n">
        <v>11</v>
      </c>
      <c r="C603" t="n">
        <v>2958</v>
      </c>
      <c r="D603" s="6" t="n">
        <v>65.3</v>
      </c>
      <c r="E603" s="6" t="n">
        <v>1018690.48</v>
      </c>
      <c r="F603" s="6">
        <f>ROUND(E603-E602,2)</f>
        <v/>
      </c>
      <c r="G603" s="6">
        <f>ROUND(F603-D603,2)</f>
        <v/>
      </c>
    </row>
    <row r="604">
      <c r="A604" t="inlineStr">
        <is>
          <t>2022-05-12</t>
        </is>
      </c>
      <c r="B604" t="n">
        <v>12</v>
      </c>
      <c r="C604" t="n">
        <v>2958</v>
      </c>
      <c r="D604" s="6" t="n">
        <v>22.9</v>
      </c>
      <c r="E604" s="6" t="n">
        <v>1018713.38</v>
      </c>
      <c r="F604" s="6">
        <f>ROUND(E604-E603,2)</f>
        <v/>
      </c>
      <c r="G604" s="6">
        <f>ROUND(F604-D604,2)</f>
        <v/>
      </c>
    </row>
    <row r="605">
      <c r="A605" t="inlineStr">
        <is>
          <t>2022-05-12</t>
        </is>
      </c>
      <c r="B605" t="n">
        <v>13</v>
      </c>
      <c r="C605" t="n">
        <v>2958</v>
      </c>
      <c r="D605" s="6" t="n">
        <v>22.9</v>
      </c>
      <c r="E605" s="6" t="n">
        <v>1018736.28</v>
      </c>
      <c r="F605" s="6">
        <f>ROUND(E605-E604,2)</f>
        <v/>
      </c>
      <c r="G605" s="6">
        <f>ROUND(F605-D605,2)</f>
        <v/>
      </c>
    </row>
    <row r="606">
      <c r="A606" t="inlineStr">
        <is>
          <t>2022-05-12</t>
        </is>
      </c>
      <c r="B606" t="n">
        <v>14</v>
      </c>
      <c r="C606" t="n">
        <v>2958</v>
      </c>
      <c r="D606" s="6" t="n">
        <v>30.6</v>
      </c>
      <c r="E606" s="6" t="n">
        <v>1018766.88</v>
      </c>
      <c r="F606" s="6">
        <f>ROUND(E606-E605,2)</f>
        <v/>
      </c>
      <c r="G606" s="6">
        <f>ROUND(F606-D606,2)</f>
        <v/>
      </c>
    </row>
    <row r="607">
      <c r="A607" t="inlineStr">
        <is>
          <t>2022-05-12</t>
        </is>
      </c>
      <c r="B607" t="n">
        <v>15</v>
      </c>
      <c r="C607" t="n">
        <v>2958</v>
      </c>
      <c r="D607" s="6" t="n">
        <v>30.6</v>
      </c>
      <c r="E607" s="6" t="n">
        <v>1018797.48</v>
      </c>
      <c r="F607" s="6">
        <f>ROUND(E607-E606,2)</f>
        <v/>
      </c>
      <c r="G607" s="6">
        <f>ROUND(F607-D607,2)</f>
        <v/>
      </c>
    </row>
    <row r="608">
      <c r="A608" t="inlineStr">
        <is>
          <t>2022-05-12</t>
        </is>
      </c>
      <c r="B608" t="n">
        <v>16</v>
      </c>
      <c r="C608" t="n">
        <v>2958</v>
      </c>
      <c r="D608" s="6" t="n">
        <v>13.95</v>
      </c>
      <c r="E608" s="6" t="n">
        <v>1018811.43</v>
      </c>
      <c r="F608" s="6">
        <f>ROUND(E608-E607,2)</f>
        <v/>
      </c>
      <c r="G608" s="6">
        <f>ROUND(F608-D608,2)</f>
        <v/>
      </c>
    </row>
    <row r="609">
      <c r="A609" t="inlineStr">
        <is>
          <t>2022-05-12</t>
        </is>
      </c>
      <c r="B609" t="n">
        <v>17</v>
      </c>
      <c r="C609" t="n">
        <v>2958</v>
      </c>
      <c r="D609" s="6" t="n">
        <v>61.6</v>
      </c>
      <c r="E609" s="6" t="n">
        <v>1018873.03</v>
      </c>
      <c r="F609" s="6">
        <f>ROUND(E609-E608,2)</f>
        <v/>
      </c>
      <c r="G609" s="6">
        <f>ROUND(F609-D609,2)</f>
        <v/>
      </c>
    </row>
    <row r="610">
      <c r="A610" t="inlineStr">
        <is>
          <t>2022-05-12</t>
        </is>
      </c>
      <c r="B610" t="n">
        <v>18</v>
      </c>
      <c r="C610" t="n">
        <v>2958</v>
      </c>
      <c r="D610" s="6" t="n">
        <v>40.8</v>
      </c>
      <c r="E610" s="6" t="n">
        <v>1018913.83</v>
      </c>
      <c r="F610" s="6">
        <f>ROUND(E610-E609,2)</f>
        <v/>
      </c>
      <c r="G610" s="6">
        <f>ROUND(F610-D610,2)</f>
        <v/>
      </c>
    </row>
    <row r="611">
      <c r="A611" t="inlineStr">
        <is>
          <t>2022-05-12</t>
        </is>
      </c>
      <c r="B611" t="n">
        <v>19</v>
      </c>
      <c r="C611" t="n">
        <v>2958</v>
      </c>
      <c r="D611" s="6" t="n">
        <v>61.8</v>
      </c>
      <c r="E611" s="6" t="n">
        <v>1018975.63</v>
      </c>
      <c r="F611" s="6">
        <f>ROUND(E611-E610,2)</f>
        <v/>
      </c>
      <c r="G611" s="6">
        <f>ROUND(F611-D611,2)</f>
        <v/>
      </c>
    </row>
    <row r="612">
      <c r="A612" t="inlineStr">
        <is>
          <t>2022-05-12</t>
        </is>
      </c>
      <c r="B612" t="n">
        <v>20</v>
      </c>
      <c r="C612" t="n">
        <v>2958</v>
      </c>
      <c r="D612" s="6" t="n">
        <v>24.5</v>
      </c>
      <c r="E612" s="6" t="n">
        <v>1019000.13</v>
      </c>
      <c r="F612" s="6">
        <f>ROUND(E612-E611,2)</f>
        <v/>
      </c>
      <c r="G612" s="6">
        <f>ROUND(F612-D612,2)</f>
        <v/>
      </c>
    </row>
    <row r="613">
      <c r="A613" t="inlineStr">
        <is>
          <t>2022-05-12</t>
        </is>
      </c>
      <c r="B613" t="n">
        <v>21</v>
      </c>
      <c r="C613" t="n">
        <v>2958</v>
      </c>
      <c r="D613" s="6" t="n">
        <v>64.59999999999999</v>
      </c>
      <c r="E613" s="6" t="n">
        <v>1019064.73</v>
      </c>
      <c r="F613" s="6">
        <f>ROUND(E613-E612,2)</f>
        <v/>
      </c>
      <c r="G613" s="6">
        <f>ROUND(F613-D613,2)</f>
        <v/>
      </c>
    </row>
    <row r="614">
      <c r="A614" t="inlineStr">
        <is>
          <t>2022-05-12</t>
        </is>
      </c>
      <c r="B614" t="n">
        <v>22</v>
      </c>
      <c r="C614" t="n">
        <v>2958</v>
      </c>
      <c r="D614" s="6" t="n">
        <v>24.2</v>
      </c>
      <c r="E614" s="6" t="n">
        <v>1019088.93</v>
      </c>
      <c r="F614" s="6">
        <f>ROUND(E614-E613,2)</f>
        <v/>
      </c>
      <c r="G614" s="6">
        <f>ROUND(F614-D614,2)</f>
        <v/>
      </c>
    </row>
    <row r="615">
      <c r="A615" t="inlineStr">
        <is>
          <t>2022-05-12</t>
        </is>
      </c>
      <c r="B615" t="n">
        <v>23</v>
      </c>
      <c r="C615" t="n">
        <v>2958</v>
      </c>
      <c r="D615" s="6" t="n">
        <v>32.7</v>
      </c>
      <c r="E615" s="6" t="n">
        <v>1019121.63</v>
      </c>
      <c r="F615" s="6">
        <f>ROUND(E615-E614,2)</f>
        <v/>
      </c>
      <c r="G615" s="6">
        <f>ROUND(F615-D615,2)</f>
        <v/>
      </c>
    </row>
    <row r="616">
      <c r="A616" t="inlineStr">
        <is>
          <t>2022-05-12</t>
        </is>
      </c>
      <c r="B616" t="n">
        <v>24</v>
      </c>
      <c r="C616" t="n">
        <v>2958</v>
      </c>
      <c r="D616" s="6" t="n">
        <v>54.5</v>
      </c>
      <c r="E616" s="6" t="n">
        <v>1019176.13</v>
      </c>
      <c r="F616" s="6">
        <f>ROUND(E616-E615,2)</f>
        <v/>
      </c>
      <c r="G616" s="6">
        <f>ROUND(F616-D616,2)</f>
        <v/>
      </c>
    </row>
    <row r="617">
      <c r="A617" t="inlineStr">
        <is>
          <t>2022-05-12</t>
        </is>
      </c>
      <c r="B617" t="n">
        <v>25</v>
      </c>
      <c r="C617" t="n">
        <v>2958</v>
      </c>
      <c r="D617" s="6" t="n">
        <v>108.6</v>
      </c>
      <c r="E617" s="6" t="n">
        <v>1019284.73</v>
      </c>
      <c r="F617" s="6">
        <f>ROUND(E617-E616,2)</f>
        <v/>
      </c>
      <c r="G617" s="6">
        <f>ROUND(F617-D617,2)</f>
        <v/>
      </c>
    </row>
    <row r="618">
      <c r="A618" t="inlineStr">
        <is>
          <t>2022-05-12</t>
        </is>
      </c>
      <c r="B618" t="n">
        <v>26</v>
      </c>
      <c r="C618" t="n">
        <v>2958</v>
      </c>
      <c r="D618" s="6" t="n">
        <v>89.5</v>
      </c>
      <c r="E618" s="6" t="n">
        <v>1019374.23</v>
      </c>
      <c r="F618" s="6">
        <f>ROUND(E618-E617,2)</f>
        <v/>
      </c>
      <c r="G618" s="6">
        <f>ROUND(F618-D618,2)</f>
        <v/>
      </c>
    </row>
    <row r="619">
      <c r="A619" t="inlineStr">
        <is>
          <t>2022-05-12</t>
        </is>
      </c>
      <c r="B619" t="n">
        <v>27</v>
      </c>
      <c r="C619" t="n">
        <v>2958</v>
      </c>
      <c r="D619" s="6" t="n">
        <v>62.6</v>
      </c>
      <c r="E619" s="6" t="n">
        <v>1019436.83</v>
      </c>
      <c r="F619" s="6">
        <f>ROUND(E619-E618,2)</f>
        <v/>
      </c>
      <c r="G619" s="6">
        <f>ROUND(F619-D619,2)</f>
        <v/>
      </c>
    </row>
    <row r="620">
      <c r="A620" t="inlineStr">
        <is>
          <t>2022-05-12</t>
        </is>
      </c>
      <c r="B620" t="n">
        <v>28</v>
      </c>
      <c r="C620" t="n">
        <v>2958</v>
      </c>
      <c r="D620" s="6" t="n">
        <v>116.5</v>
      </c>
      <c r="E620" s="6" t="n">
        <v>1019553.33</v>
      </c>
      <c r="F620" s="6">
        <f>ROUND(E620-E619,2)</f>
        <v/>
      </c>
      <c r="G620" s="6">
        <f>ROUND(F620-D620,2)</f>
        <v/>
      </c>
    </row>
    <row r="621">
      <c r="A621" t="inlineStr">
        <is>
          <t>2022-05-12</t>
        </is>
      </c>
      <c r="B621" t="n">
        <v>29</v>
      </c>
      <c r="C621" t="n">
        <v>2958</v>
      </c>
      <c r="D621" s="6" t="n">
        <v>89.90000000000001</v>
      </c>
      <c r="E621" s="6" t="n">
        <v>1019643.23</v>
      </c>
      <c r="F621" s="6">
        <f>ROUND(E621-E620,2)</f>
        <v/>
      </c>
      <c r="G621" s="6">
        <f>ROUND(F621-D621,2)</f>
        <v/>
      </c>
    </row>
    <row r="622">
      <c r="A622" t="inlineStr">
        <is>
          <t>2022-05-12</t>
        </is>
      </c>
      <c r="B622" t="n">
        <v>30</v>
      </c>
      <c r="C622" t="n">
        <v>2958</v>
      </c>
      <c r="D622" s="6" t="n">
        <v>67.7</v>
      </c>
      <c r="E622" s="6" t="n">
        <v>1019710.93</v>
      </c>
      <c r="F622" s="6">
        <f>ROUND(E622-E621,2)</f>
        <v/>
      </c>
      <c r="G622" s="6">
        <f>ROUND(F622-D622,2)</f>
        <v/>
      </c>
    </row>
    <row r="623">
      <c r="A623" t="inlineStr">
        <is>
          <t>2022-05-12</t>
        </is>
      </c>
      <c r="B623" t="n">
        <v>31</v>
      </c>
      <c r="C623" t="n">
        <v>2958</v>
      </c>
      <c r="D623" s="6" t="n">
        <v>91.5</v>
      </c>
      <c r="E623" s="6" t="n">
        <v>1019802.43</v>
      </c>
      <c r="F623" s="6">
        <f>ROUND(E623-E622,2)</f>
        <v/>
      </c>
      <c r="G623" s="6">
        <f>ROUND(F623-D623,2)</f>
        <v/>
      </c>
    </row>
    <row r="624">
      <c r="A624" t="inlineStr">
        <is>
          <t>2022-05-12</t>
        </is>
      </c>
      <c r="B624" t="n">
        <v>32</v>
      </c>
      <c r="C624" t="n">
        <v>2958</v>
      </c>
      <c r="D624" s="6" t="n">
        <v>175</v>
      </c>
      <c r="E624" s="6" t="n">
        <v>1019977.43</v>
      </c>
      <c r="F624" s="6">
        <f>ROUND(E624-E623,2)</f>
        <v/>
      </c>
      <c r="G624" s="6">
        <f>ROUND(F624-D624,2)</f>
        <v/>
      </c>
    </row>
    <row r="625">
      <c r="A625" t="inlineStr">
        <is>
          <t>2022-05-13</t>
        </is>
      </c>
      <c r="B625" t="n">
        <v>1</v>
      </c>
      <c r="C625" t="n">
        <v>2959</v>
      </c>
      <c r="D625" s="6" t="n">
        <v>33.6</v>
      </c>
      <c r="E625" s="6" t="n">
        <v>1020011.03</v>
      </c>
      <c r="F625" s="6">
        <f>ROUND(E625-E624,2)</f>
        <v/>
      </c>
      <c r="G625" s="6">
        <f>ROUND(F625-D625,2)</f>
        <v/>
      </c>
    </row>
    <row r="626">
      <c r="A626" t="inlineStr">
        <is>
          <t>2022-05-13</t>
        </is>
      </c>
      <c r="B626" t="n">
        <v>2</v>
      </c>
      <c r="C626" t="n">
        <v>2959</v>
      </c>
      <c r="D626" s="6" t="n">
        <v>46.5</v>
      </c>
      <c r="E626" s="6" t="n">
        <v>1020057.53</v>
      </c>
      <c r="F626" s="6">
        <f>ROUND(E626-E625,2)</f>
        <v/>
      </c>
      <c r="G626" s="6">
        <f>ROUND(F626-D626,2)</f>
        <v/>
      </c>
    </row>
    <row r="627">
      <c r="A627" t="inlineStr">
        <is>
          <t>2022-05-13</t>
        </is>
      </c>
      <c r="B627" t="n">
        <v>3</v>
      </c>
      <c r="C627" t="n">
        <v>2959</v>
      </c>
      <c r="D627" s="6" t="n">
        <v>77.3</v>
      </c>
      <c r="E627" s="6" t="n">
        <v>1020134.83</v>
      </c>
      <c r="F627" s="6">
        <f>ROUND(E627-E626,2)</f>
        <v/>
      </c>
      <c r="G627" s="6">
        <f>ROUND(F627-D627,2)</f>
        <v/>
      </c>
    </row>
    <row r="628">
      <c r="A628" t="inlineStr">
        <is>
          <t>2022-05-13</t>
        </is>
      </c>
      <c r="B628" t="n">
        <v>4</v>
      </c>
      <c r="C628" t="n">
        <v>2959</v>
      </c>
      <c r="D628" s="6" t="n">
        <v>74.09999999999999</v>
      </c>
      <c r="E628" s="6" t="n">
        <v>1020208.93</v>
      </c>
      <c r="F628" s="6">
        <f>ROUND(E628-E627,2)</f>
        <v/>
      </c>
      <c r="G628" s="6">
        <f>ROUND(F628-D628,2)</f>
        <v/>
      </c>
    </row>
    <row r="629">
      <c r="A629" t="inlineStr">
        <is>
          <t>2022-05-13</t>
        </is>
      </c>
      <c r="B629" t="n">
        <v>5</v>
      </c>
      <c r="C629" t="n">
        <v>2959</v>
      </c>
      <c r="D629" s="6" t="n">
        <v>80.40000000000001</v>
      </c>
      <c r="E629" s="6" t="n">
        <v>1020289.33</v>
      </c>
      <c r="F629" s="6">
        <f>ROUND(E629-E628,2)</f>
        <v/>
      </c>
      <c r="G629" s="6">
        <f>ROUND(F629-D629,2)</f>
        <v/>
      </c>
    </row>
    <row r="630">
      <c r="A630" t="inlineStr">
        <is>
          <t>2022-05-13</t>
        </is>
      </c>
      <c r="B630" t="n">
        <v>6</v>
      </c>
      <c r="C630" t="n">
        <v>2959</v>
      </c>
      <c r="D630" s="6" t="n">
        <v>19.8</v>
      </c>
      <c r="E630" s="6" t="n">
        <v>1020309.13</v>
      </c>
      <c r="F630" s="6">
        <f>ROUND(E630-E629,2)</f>
        <v/>
      </c>
      <c r="G630" s="6">
        <f>ROUND(F630-D630,2)</f>
        <v/>
      </c>
    </row>
    <row r="631">
      <c r="A631" t="inlineStr">
        <is>
          <t>2022-05-13</t>
        </is>
      </c>
      <c r="B631" t="n">
        <v>7</v>
      </c>
      <c r="C631" t="n">
        <v>2959</v>
      </c>
      <c r="D631" s="6" t="n">
        <v>77.8</v>
      </c>
      <c r="E631" s="6" t="n">
        <v>1020386.93</v>
      </c>
      <c r="F631" s="6">
        <f>ROUND(E631-E630,2)</f>
        <v/>
      </c>
      <c r="G631" s="6">
        <f>ROUND(F631-D631,2)</f>
        <v/>
      </c>
    </row>
    <row r="632">
      <c r="A632" t="inlineStr">
        <is>
          <t>2022-05-13</t>
        </is>
      </c>
      <c r="B632" t="n">
        <v>8</v>
      </c>
      <c r="C632" t="n">
        <v>2959</v>
      </c>
      <c r="D632" s="6" t="n">
        <v>73.7</v>
      </c>
      <c r="E632" s="6" t="n">
        <v>1020460.63</v>
      </c>
      <c r="F632" s="6">
        <f>ROUND(E632-E631,2)</f>
        <v/>
      </c>
      <c r="G632" s="6">
        <f>ROUND(F632-D632,2)</f>
        <v/>
      </c>
    </row>
    <row r="633">
      <c r="A633" t="inlineStr">
        <is>
          <t>2022-05-13</t>
        </is>
      </c>
      <c r="B633" t="n">
        <v>9</v>
      </c>
      <c r="C633" t="n">
        <v>2959</v>
      </c>
      <c r="D633" s="6" t="n">
        <v>39.1</v>
      </c>
      <c r="E633" s="6" t="n">
        <v>1020499.73</v>
      </c>
      <c r="F633" s="6">
        <f>ROUND(E633-E632,2)</f>
        <v/>
      </c>
      <c r="G633" s="6">
        <f>ROUND(F633-D633,2)</f>
        <v/>
      </c>
    </row>
    <row r="634">
      <c r="A634" t="inlineStr">
        <is>
          <t>2022-05-13</t>
        </is>
      </c>
      <c r="B634" t="n">
        <v>10</v>
      </c>
      <c r="C634" t="n">
        <v>2959</v>
      </c>
      <c r="D634" s="6" t="n">
        <v>23.8</v>
      </c>
      <c r="E634" s="6" t="n">
        <v>1020523.53</v>
      </c>
      <c r="F634" s="6">
        <f>ROUND(E634-E633,2)</f>
        <v/>
      </c>
      <c r="G634" s="6">
        <f>ROUND(F634-D634,2)</f>
        <v/>
      </c>
    </row>
    <row r="635">
      <c r="A635" t="inlineStr">
        <is>
          <t>2022-05-13</t>
        </is>
      </c>
      <c r="B635" t="n">
        <v>11</v>
      </c>
      <c r="C635" t="n">
        <v>2959</v>
      </c>
      <c r="D635" s="6" t="n">
        <v>65.09999999999999</v>
      </c>
      <c r="E635" s="6" t="n">
        <v>1020588.63</v>
      </c>
      <c r="F635" s="6">
        <f>ROUND(E635-E634,2)</f>
        <v/>
      </c>
      <c r="G635" s="6">
        <f>ROUND(F635-D635,2)</f>
        <v/>
      </c>
    </row>
    <row r="636">
      <c r="A636" t="inlineStr">
        <is>
          <t>2022-05-13</t>
        </is>
      </c>
      <c r="B636" t="n">
        <v>12</v>
      </c>
      <c r="C636" t="n">
        <v>2959</v>
      </c>
      <c r="D636" s="6" t="n">
        <v>74</v>
      </c>
      <c r="E636" s="6" t="n">
        <v>1020662.63</v>
      </c>
      <c r="F636" s="6">
        <f>ROUND(E636-E635,2)</f>
        <v/>
      </c>
      <c r="G636" s="6">
        <f>ROUND(F636-D636,2)</f>
        <v/>
      </c>
    </row>
    <row r="637">
      <c r="A637" t="inlineStr">
        <is>
          <t>2022-05-13</t>
        </is>
      </c>
      <c r="B637" t="n">
        <v>13</v>
      </c>
      <c r="C637" t="n">
        <v>2959</v>
      </c>
      <c r="D637" s="6" t="n">
        <v>190.7</v>
      </c>
      <c r="E637" s="6" t="n">
        <v>1020853.33</v>
      </c>
      <c r="F637" s="6">
        <f>ROUND(E637-E636,2)</f>
        <v/>
      </c>
      <c r="G637" s="6">
        <f>ROUND(F637-D637,2)</f>
        <v/>
      </c>
    </row>
    <row r="638">
      <c r="A638" t="inlineStr">
        <is>
          <t>2022-05-13</t>
        </is>
      </c>
      <c r="B638" t="n">
        <v>14</v>
      </c>
      <c r="C638" t="n">
        <v>2959</v>
      </c>
      <c r="D638" s="6" t="n">
        <v>77.8</v>
      </c>
      <c r="E638" s="6" t="n">
        <v>1020931.13</v>
      </c>
      <c r="F638" s="6">
        <f>ROUND(E638-E637,2)</f>
        <v/>
      </c>
      <c r="G638" s="6">
        <f>ROUND(F638-D638,2)</f>
        <v/>
      </c>
    </row>
    <row r="639">
      <c r="A639" t="inlineStr">
        <is>
          <t>2022-05-13</t>
        </is>
      </c>
      <c r="B639" t="n">
        <v>15</v>
      </c>
      <c r="C639" t="n">
        <v>2959</v>
      </c>
      <c r="D639" s="6" t="n">
        <v>120.7</v>
      </c>
      <c r="E639" s="6" t="n">
        <v>1021051.83</v>
      </c>
      <c r="F639" s="6">
        <f>ROUND(E639-E638,2)</f>
        <v/>
      </c>
      <c r="G639" s="6">
        <f>ROUND(F639-D639,2)</f>
        <v/>
      </c>
    </row>
    <row r="640">
      <c r="A640" t="inlineStr">
        <is>
          <t>2022-05-13</t>
        </is>
      </c>
      <c r="B640" t="n">
        <v>16</v>
      </c>
      <c r="C640" t="n">
        <v>2959</v>
      </c>
      <c r="D640" s="6" t="n">
        <v>97</v>
      </c>
      <c r="E640" s="6" t="n">
        <v>1021148.83</v>
      </c>
      <c r="F640" s="6">
        <f>ROUND(E640-E639,2)</f>
        <v/>
      </c>
      <c r="G640" s="6">
        <f>ROUND(F640-D640,2)</f>
        <v/>
      </c>
    </row>
    <row r="641">
      <c r="A641" t="inlineStr">
        <is>
          <t>2022-05-13</t>
        </is>
      </c>
      <c r="B641" t="n">
        <v>17</v>
      </c>
      <c r="C641" t="n">
        <v>2959</v>
      </c>
      <c r="D641" s="6" t="n">
        <v>55.2</v>
      </c>
      <c r="E641" s="6" t="n">
        <v>1021204.03</v>
      </c>
      <c r="F641" s="6">
        <f>ROUND(E641-E640,2)</f>
        <v/>
      </c>
      <c r="G641" s="6">
        <f>ROUND(F641-D641,2)</f>
        <v/>
      </c>
    </row>
    <row r="642">
      <c r="A642" t="inlineStr">
        <is>
          <t>2022-05-13</t>
        </is>
      </c>
      <c r="B642" t="n">
        <v>18</v>
      </c>
      <c r="C642" t="n">
        <v>2959</v>
      </c>
      <c r="D642" s="6" t="n">
        <v>94.8</v>
      </c>
      <c r="E642" s="6" t="n">
        <v>1021298.83</v>
      </c>
      <c r="F642" s="6">
        <f>ROUND(E642-E641,2)</f>
        <v/>
      </c>
      <c r="G642" s="6">
        <f>ROUND(F642-D642,2)</f>
        <v/>
      </c>
    </row>
    <row r="643">
      <c r="A643" t="inlineStr">
        <is>
          <t>2022-05-13</t>
        </is>
      </c>
      <c r="B643" t="n">
        <v>19</v>
      </c>
      <c r="C643" t="n">
        <v>2959</v>
      </c>
      <c r="D643" s="6" t="n">
        <v>68.09999999999999</v>
      </c>
      <c r="E643" s="6" t="n">
        <v>1021366.93</v>
      </c>
      <c r="F643" s="6">
        <f>ROUND(E643-E642,2)</f>
        <v/>
      </c>
      <c r="G643" s="6">
        <f>ROUND(F643-D643,2)</f>
        <v/>
      </c>
    </row>
    <row r="644">
      <c r="A644" t="inlineStr">
        <is>
          <t>2022-05-13</t>
        </is>
      </c>
      <c r="B644" t="n">
        <v>20</v>
      </c>
      <c r="C644" t="n">
        <v>2959</v>
      </c>
      <c r="D644" s="6" t="n">
        <v>76.90000000000001</v>
      </c>
      <c r="E644" s="6" t="n">
        <v>1021443.83</v>
      </c>
      <c r="F644" s="6">
        <f>ROUND(E644-E643,2)</f>
        <v/>
      </c>
      <c r="G644" s="6">
        <f>ROUND(F644-D644,2)</f>
        <v/>
      </c>
    </row>
    <row r="645">
      <c r="A645" t="inlineStr">
        <is>
          <t>2022-05-13</t>
        </is>
      </c>
      <c r="B645" t="n">
        <v>21</v>
      </c>
      <c r="C645" t="n">
        <v>2959</v>
      </c>
      <c r="D645" s="6" t="n">
        <v>32.4</v>
      </c>
      <c r="E645" s="6" t="n">
        <v>1021476.23</v>
      </c>
      <c r="F645" s="6">
        <f>ROUND(E645-E644,2)</f>
        <v/>
      </c>
      <c r="G645" s="6">
        <f>ROUND(F645-D645,2)</f>
        <v/>
      </c>
    </row>
    <row r="646">
      <c r="A646" t="inlineStr">
        <is>
          <t>2022-05-13</t>
        </is>
      </c>
      <c r="B646" t="n">
        <v>22</v>
      </c>
      <c r="C646" t="n">
        <v>2959</v>
      </c>
      <c r="D646" s="6" t="n">
        <v>32.4</v>
      </c>
      <c r="E646" s="6" t="n">
        <v>1021508.63</v>
      </c>
      <c r="F646" s="6">
        <f>ROUND(E646-E645,2)</f>
        <v/>
      </c>
      <c r="G646" s="6">
        <f>ROUND(F646-D646,2)</f>
        <v/>
      </c>
    </row>
    <row r="647">
      <c r="A647" t="inlineStr">
        <is>
          <t>2022-05-13</t>
        </is>
      </c>
      <c r="B647" t="n">
        <v>23</v>
      </c>
      <c r="C647" t="n">
        <v>2959</v>
      </c>
      <c r="D647" s="6" t="n">
        <v>81.8</v>
      </c>
      <c r="E647" s="6" t="n">
        <v>1021590.43</v>
      </c>
      <c r="F647" s="6">
        <f>ROUND(E647-E646,2)</f>
        <v/>
      </c>
      <c r="G647" s="6">
        <f>ROUND(F647-D647,2)</f>
        <v/>
      </c>
    </row>
    <row r="648">
      <c r="A648" t="inlineStr">
        <is>
          <t>2022-05-13</t>
        </is>
      </c>
      <c r="B648" t="n">
        <v>24</v>
      </c>
      <c r="C648" t="n">
        <v>2959</v>
      </c>
      <c r="D648" s="6" t="n">
        <v>191.6</v>
      </c>
      <c r="E648" s="6" t="n">
        <v>1021782.03</v>
      </c>
      <c r="F648" s="6">
        <f>ROUND(E648-E647,2)</f>
        <v/>
      </c>
      <c r="G648" s="6">
        <f>ROUND(F648-D648,2)</f>
        <v/>
      </c>
    </row>
    <row r="649">
      <c r="A649" t="inlineStr">
        <is>
          <t>2022-05-14</t>
        </is>
      </c>
      <c r="B649" t="n">
        <v>1</v>
      </c>
      <c r="C649" t="n">
        <v>2960</v>
      </c>
      <c r="D649" s="6" t="n">
        <v>59.1</v>
      </c>
      <c r="E649" s="6" t="n">
        <v>1021841.13</v>
      </c>
      <c r="F649" s="6">
        <f>ROUND(E649-E648,2)</f>
        <v/>
      </c>
      <c r="G649" s="6">
        <f>ROUND(F649-D649,2)</f>
        <v/>
      </c>
    </row>
    <row r="650">
      <c r="A650" t="inlineStr">
        <is>
          <t>2022-05-14</t>
        </is>
      </c>
      <c r="B650" t="n">
        <v>2</v>
      </c>
      <c r="C650" t="n">
        <v>2960</v>
      </c>
      <c r="D650" s="6" t="n">
        <v>65.40000000000001</v>
      </c>
      <c r="E650" s="6" t="n">
        <v>1021906.53</v>
      </c>
      <c r="F650" s="6">
        <f>ROUND(E650-E649,2)</f>
        <v/>
      </c>
      <c r="G650" s="6">
        <f>ROUND(F650-D650,2)</f>
        <v/>
      </c>
    </row>
    <row r="651">
      <c r="A651" t="inlineStr">
        <is>
          <t>2022-05-14</t>
        </is>
      </c>
      <c r="B651" t="n">
        <v>3</v>
      </c>
      <c r="C651" t="n">
        <v>2960</v>
      </c>
      <c r="D651" s="6" t="n">
        <v>89.5</v>
      </c>
      <c r="E651" s="6" t="n">
        <v>1021996.03</v>
      </c>
      <c r="F651" s="6">
        <f>ROUND(E651-E650,2)</f>
        <v/>
      </c>
      <c r="G651" s="6">
        <f>ROUND(F651-D651,2)</f>
        <v/>
      </c>
    </row>
    <row r="652">
      <c r="A652" t="inlineStr">
        <is>
          <t>2022-05-14</t>
        </is>
      </c>
      <c r="B652" t="n">
        <v>4</v>
      </c>
      <c r="C652" t="n">
        <v>2960</v>
      </c>
      <c r="D652" s="6" t="n">
        <v>90.90000000000001</v>
      </c>
      <c r="E652" s="6" t="n">
        <v>1022086.93</v>
      </c>
      <c r="F652" s="6">
        <f>ROUND(E652-E651,2)</f>
        <v/>
      </c>
      <c r="G652" s="6">
        <f>ROUND(F652-D652,2)</f>
        <v/>
      </c>
    </row>
    <row r="653">
      <c r="A653" t="inlineStr">
        <is>
          <t>2022-05-14</t>
        </is>
      </c>
      <c r="B653" t="n">
        <v>5</v>
      </c>
      <c r="C653" t="n">
        <v>2960</v>
      </c>
      <c r="D653" s="6" t="n">
        <v>116.1</v>
      </c>
      <c r="E653" s="6" t="n">
        <v>1022203.03</v>
      </c>
      <c r="F653" s="6">
        <f>ROUND(E653-E652,2)</f>
        <v/>
      </c>
      <c r="G653" s="6">
        <f>ROUND(F653-D653,2)</f>
        <v/>
      </c>
    </row>
    <row r="654">
      <c r="A654" t="inlineStr">
        <is>
          <t>2022-05-14</t>
        </is>
      </c>
      <c r="B654" t="n">
        <v>6</v>
      </c>
      <c r="C654" t="n">
        <v>2960</v>
      </c>
      <c r="D654" s="6" t="n">
        <v>90.3</v>
      </c>
      <c r="E654" s="6" t="n">
        <v>1022293.33</v>
      </c>
      <c r="F654" s="6">
        <f>ROUND(E654-E653,2)</f>
        <v/>
      </c>
      <c r="G654" s="6">
        <f>ROUND(F654-D654,2)</f>
        <v/>
      </c>
    </row>
    <row r="655">
      <c r="A655" t="inlineStr">
        <is>
          <t>2022-05-14</t>
        </is>
      </c>
      <c r="B655" t="n">
        <v>7</v>
      </c>
      <c r="C655" t="n">
        <v>2960</v>
      </c>
      <c r="D655" s="6" t="n">
        <v>53.4</v>
      </c>
      <c r="E655" s="6" t="n">
        <v>1022346.73</v>
      </c>
      <c r="F655" s="6">
        <f>ROUND(E655-E654,2)</f>
        <v/>
      </c>
      <c r="G655" s="6">
        <f>ROUND(F655-D655,2)</f>
        <v/>
      </c>
    </row>
    <row r="656">
      <c r="A656" t="inlineStr">
        <is>
          <t>2022-05-14</t>
        </is>
      </c>
      <c r="B656" t="n">
        <v>8</v>
      </c>
      <c r="C656" t="n">
        <v>2960</v>
      </c>
      <c r="D656" s="6" t="n">
        <v>15.9</v>
      </c>
      <c r="E656" s="6" t="n">
        <v>1022362.63</v>
      </c>
      <c r="F656" s="6">
        <f>ROUND(E656-E655,2)</f>
        <v/>
      </c>
      <c r="G656" s="6">
        <f>ROUND(F656-D656,2)</f>
        <v/>
      </c>
    </row>
    <row r="657">
      <c r="A657" t="inlineStr">
        <is>
          <t>2022-05-14</t>
        </is>
      </c>
      <c r="B657" t="n">
        <v>9</v>
      </c>
      <c r="C657" t="n">
        <v>2960</v>
      </c>
      <c r="D657" s="6" t="n">
        <v>57.7</v>
      </c>
      <c r="E657" s="6" t="n">
        <v>1022420.33</v>
      </c>
      <c r="F657" s="6">
        <f>ROUND(E657-E656,2)</f>
        <v/>
      </c>
      <c r="G657" s="6">
        <f>ROUND(F657-D657,2)</f>
        <v/>
      </c>
    </row>
    <row r="658">
      <c r="A658" t="inlineStr">
        <is>
          <t>2022-05-14</t>
        </is>
      </c>
      <c r="B658" t="n">
        <v>10</v>
      </c>
      <c r="C658" t="n">
        <v>2960</v>
      </c>
      <c r="D658" s="6" t="n">
        <v>54.8</v>
      </c>
      <c r="E658" s="6" t="n">
        <v>1022475.13</v>
      </c>
      <c r="F658" s="6">
        <f>ROUND(E658-E657,2)</f>
        <v/>
      </c>
      <c r="G658" s="6">
        <f>ROUND(F658-D658,2)</f>
        <v/>
      </c>
    </row>
    <row r="659">
      <c r="A659" t="inlineStr">
        <is>
          <t>2022-05-14</t>
        </is>
      </c>
      <c r="B659" t="n">
        <v>11</v>
      </c>
      <c r="C659" t="n">
        <v>2960</v>
      </c>
      <c r="D659" s="6" t="n">
        <v>51.3</v>
      </c>
      <c r="E659" s="6" t="n">
        <v>1022526.43</v>
      </c>
      <c r="F659" s="6">
        <f>ROUND(E659-E658,2)</f>
        <v/>
      </c>
      <c r="G659" s="6">
        <f>ROUND(F659-D659,2)</f>
        <v/>
      </c>
    </row>
    <row r="660">
      <c r="A660" t="inlineStr">
        <is>
          <t>2022-05-14</t>
        </is>
      </c>
      <c r="B660" t="n">
        <v>12</v>
      </c>
      <c r="C660" t="n">
        <v>2960</v>
      </c>
      <c r="D660" s="6" t="n">
        <v>160.1</v>
      </c>
      <c r="E660" s="6" t="n">
        <v>1022686.53</v>
      </c>
      <c r="F660" s="6">
        <f>ROUND(E660-E659,2)</f>
        <v/>
      </c>
      <c r="G660" s="6">
        <f>ROUND(F660-D660,2)</f>
        <v/>
      </c>
    </row>
    <row r="661">
      <c r="A661" t="inlineStr">
        <is>
          <t>2022-05-14</t>
        </is>
      </c>
      <c r="B661" t="n">
        <v>13</v>
      </c>
      <c r="C661" t="n">
        <v>2960</v>
      </c>
      <c r="D661" s="6" t="n">
        <v>152.4</v>
      </c>
      <c r="E661" s="6" t="n">
        <v>1022838.93</v>
      </c>
      <c r="F661" s="6">
        <f>ROUND(E661-E660,2)</f>
        <v/>
      </c>
      <c r="G661" s="6">
        <f>ROUND(F661-D661,2)</f>
        <v/>
      </c>
    </row>
    <row r="662">
      <c r="A662" t="inlineStr">
        <is>
          <t>2022-05-14</t>
        </is>
      </c>
      <c r="B662" t="n">
        <v>14</v>
      </c>
      <c r="C662" t="n">
        <v>2960</v>
      </c>
      <c r="D662" s="6" t="n">
        <v>74.59999999999999</v>
      </c>
      <c r="E662" s="6" t="n">
        <v>1022913.53</v>
      </c>
      <c r="F662" s="6">
        <f>ROUND(E662-E661,2)</f>
        <v/>
      </c>
      <c r="G662" s="6">
        <f>ROUND(F662-D662,2)</f>
        <v/>
      </c>
    </row>
    <row r="663">
      <c r="A663" t="inlineStr">
        <is>
          <t>2022-05-14</t>
        </is>
      </c>
      <c r="B663" t="n">
        <v>15</v>
      </c>
      <c r="C663" t="n">
        <v>2960</v>
      </c>
      <c r="D663" s="6" t="n">
        <v>82.5</v>
      </c>
      <c r="E663" s="6" t="n">
        <v>1022996.03</v>
      </c>
      <c r="F663" s="6">
        <f>ROUND(E663-E662,2)</f>
        <v/>
      </c>
      <c r="G663" s="6">
        <f>ROUND(F663-D663,2)</f>
        <v/>
      </c>
    </row>
    <row r="664">
      <c r="A664" t="inlineStr">
        <is>
          <t>2022-05-14</t>
        </is>
      </c>
      <c r="B664" t="n">
        <v>16</v>
      </c>
      <c r="C664" t="n">
        <v>2960</v>
      </c>
      <c r="D664" s="6" t="n">
        <v>77.40000000000001</v>
      </c>
      <c r="E664" s="6" t="n">
        <v>1023073.43</v>
      </c>
      <c r="F664" s="6">
        <f>ROUND(E664-E663,2)</f>
        <v/>
      </c>
      <c r="G664" s="6">
        <f>ROUND(F664-D664,2)</f>
        <v/>
      </c>
    </row>
    <row r="665">
      <c r="A665" t="inlineStr">
        <is>
          <t>2022-05-14</t>
        </is>
      </c>
      <c r="B665" t="n">
        <v>17</v>
      </c>
      <c r="C665" t="n">
        <v>2960</v>
      </c>
      <c r="D665" s="6" t="n">
        <v>57.2</v>
      </c>
      <c r="E665" s="6" t="n">
        <v>1023130.63</v>
      </c>
      <c r="F665" s="6">
        <f>ROUND(E665-E664,2)</f>
        <v/>
      </c>
      <c r="G665" s="6">
        <f>ROUND(F665-D665,2)</f>
        <v/>
      </c>
    </row>
    <row r="666">
      <c r="A666" t="inlineStr">
        <is>
          <t>2022-05-14</t>
        </is>
      </c>
      <c r="B666" t="n">
        <v>18</v>
      </c>
      <c r="C666" t="n">
        <v>2960</v>
      </c>
      <c r="D666" s="6" t="n">
        <v>83.7</v>
      </c>
      <c r="E666" s="6" t="n">
        <v>1023214.33</v>
      </c>
      <c r="F666" s="6">
        <f>ROUND(E666-E665,2)</f>
        <v/>
      </c>
      <c r="G666" s="6">
        <f>ROUND(F666-D666,2)</f>
        <v/>
      </c>
    </row>
    <row r="667">
      <c r="A667" t="inlineStr">
        <is>
          <t>2022-05-14</t>
        </is>
      </c>
      <c r="B667" t="n">
        <v>19</v>
      </c>
      <c r="C667" t="n">
        <v>2960</v>
      </c>
      <c r="D667" s="6" t="n">
        <v>79.7</v>
      </c>
      <c r="E667" s="6" t="n">
        <v>1023294.03</v>
      </c>
      <c r="F667" s="6">
        <f>ROUND(E667-E666,2)</f>
        <v/>
      </c>
      <c r="G667" s="6">
        <f>ROUND(F667-D667,2)</f>
        <v/>
      </c>
    </row>
    <row r="668">
      <c r="A668" t="inlineStr">
        <is>
          <t>2022-05-14</t>
        </is>
      </c>
      <c r="B668" t="n">
        <v>20</v>
      </c>
      <c r="C668" t="n">
        <v>2960</v>
      </c>
      <c r="D668" s="6" t="n">
        <v>70.40000000000001</v>
      </c>
      <c r="E668" s="6" t="n">
        <v>1023364.43</v>
      </c>
      <c r="F668" s="6">
        <f>ROUND(E668-E667,2)</f>
        <v/>
      </c>
      <c r="G668" s="6">
        <f>ROUND(F668-D668,2)</f>
        <v/>
      </c>
    </row>
    <row r="669">
      <c r="A669" t="inlineStr">
        <is>
          <t>2022-05-14</t>
        </is>
      </c>
      <c r="B669" t="n">
        <v>21</v>
      </c>
      <c r="C669" t="n">
        <v>2960</v>
      </c>
      <c r="D669" s="6" t="n">
        <v>121</v>
      </c>
      <c r="E669" s="6" t="n">
        <v>1023485.43</v>
      </c>
      <c r="F669" s="6">
        <f>ROUND(E669-E668,2)</f>
        <v/>
      </c>
      <c r="G669" s="6">
        <f>ROUND(F669-D669,2)</f>
        <v/>
      </c>
    </row>
    <row r="670">
      <c r="A670" t="inlineStr">
        <is>
          <t>2022-05-14</t>
        </is>
      </c>
      <c r="B670" t="n">
        <v>22</v>
      </c>
      <c r="C670" t="n">
        <v>2960</v>
      </c>
      <c r="D670" s="6" t="n">
        <v>56.75</v>
      </c>
      <c r="E670" s="6" t="n">
        <v>1023542.18</v>
      </c>
      <c r="F670" s="6">
        <f>ROUND(E670-E669,2)</f>
        <v/>
      </c>
      <c r="G670" s="6">
        <f>ROUND(F670-D670,2)</f>
        <v/>
      </c>
    </row>
    <row r="671">
      <c r="A671" t="inlineStr">
        <is>
          <t>2022-05-14</t>
        </is>
      </c>
      <c r="B671" t="n">
        <v>23</v>
      </c>
      <c r="C671" t="n">
        <v>2960</v>
      </c>
      <c r="D671" s="6" t="n">
        <v>56.75</v>
      </c>
      <c r="E671" s="6" t="n">
        <v>1023598.93</v>
      </c>
      <c r="F671" s="6">
        <f>ROUND(E671-E670,2)</f>
        <v/>
      </c>
      <c r="G671" s="6">
        <f>ROUND(F671-D671,2)</f>
        <v/>
      </c>
    </row>
    <row r="672">
      <c r="A672" t="inlineStr">
        <is>
          <t>2022-05-14</t>
        </is>
      </c>
      <c r="B672" t="n">
        <v>24</v>
      </c>
      <c r="C672" t="n">
        <v>2960</v>
      </c>
      <c r="D672" s="6" t="n">
        <v>137</v>
      </c>
      <c r="E672" s="6" t="n">
        <v>1023735.93</v>
      </c>
      <c r="F672" s="6">
        <f>ROUND(E672-E671,2)</f>
        <v/>
      </c>
      <c r="G672" s="6">
        <f>ROUND(F672-D672,2)</f>
        <v/>
      </c>
    </row>
    <row r="673">
      <c r="A673" t="inlineStr">
        <is>
          <t>2022-05-14</t>
        </is>
      </c>
      <c r="B673" t="n">
        <v>25</v>
      </c>
      <c r="C673" t="n">
        <v>2960</v>
      </c>
      <c r="D673" s="6" t="n">
        <v>21.4</v>
      </c>
      <c r="E673" s="6" t="n">
        <v>1023757.33</v>
      </c>
      <c r="F673" s="6">
        <f>ROUND(E673-E672,2)</f>
        <v/>
      </c>
      <c r="G673" s="6">
        <f>ROUND(F673-D673,2)</f>
        <v/>
      </c>
    </row>
    <row r="674">
      <c r="A674" t="inlineStr">
        <is>
          <t>2022-05-14</t>
        </is>
      </c>
      <c r="B674" t="n">
        <v>26</v>
      </c>
      <c r="C674" t="n">
        <v>2960</v>
      </c>
      <c r="D674" s="6" t="n">
        <v>21.4</v>
      </c>
      <c r="E674" s="6" t="n">
        <v>1023778.73</v>
      </c>
      <c r="F674" s="6">
        <f>ROUND(E674-E673,2)</f>
        <v/>
      </c>
      <c r="G674" s="6">
        <f>ROUND(F674-D674,2)</f>
        <v/>
      </c>
    </row>
    <row r="675">
      <c r="A675" t="inlineStr">
        <is>
          <t>2022-05-14</t>
        </is>
      </c>
      <c r="B675" t="n">
        <v>27</v>
      </c>
      <c r="C675" t="n">
        <v>2960</v>
      </c>
      <c r="D675" s="6" t="n">
        <v>53.8</v>
      </c>
      <c r="E675" s="6" t="n">
        <v>1023832.53</v>
      </c>
      <c r="F675" s="6">
        <f>ROUND(E675-E674,2)</f>
        <v/>
      </c>
      <c r="G675" s="6">
        <f>ROUND(F675-D675,2)</f>
        <v/>
      </c>
    </row>
    <row r="676">
      <c r="A676" t="inlineStr">
        <is>
          <t>2022-05-14</t>
        </is>
      </c>
      <c r="B676" t="n">
        <v>28</v>
      </c>
      <c r="C676" t="n">
        <v>2960</v>
      </c>
      <c r="D676" s="6" t="n">
        <v>42.2</v>
      </c>
      <c r="E676" s="6" t="n">
        <v>1023874.73</v>
      </c>
      <c r="F676" s="6">
        <f>ROUND(E676-E675,2)</f>
        <v/>
      </c>
      <c r="G676" s="6">
        <f>ROUND(F676-D676,2)</f>
        <v/>
      </c>
    </row>
    <row r="677">
      <c r="A677" t="inlineStr">
        <is>
          <t>2022-05-14</t>
        </is>
      </c>
      <c r="B677" t="n">
        <v>29</v>
      </c>
      <c r="C677" t="n">
        <v>2960</v>
      </c>
      <c r="D677" s="6" t="n">
        <v>146.1</v>
      </c>
      <c r="E677" s="6" t="n">
        <v>1024020.83</v>
      </c>
      <c r="F677" s="6">
        <f>ROUND(E677-E676,2)</f>
        <v/>
      </c>
      <c r="G677" s="6">
        <f>ROUND(F677-D677,2)</f>
        <v/>
      </c>
    </row>
    <row r="678">
      <c r="A678" t="inlineStr">
        <is>
          <t>2022-05-14</t>
        </is>
      </c>
      <c r="B678" t="n">
        <v>30</v>
      </c>
      <c r="C678" t="n">
        <v>2960</v>
      </c>
      <c r="D678" s="6" t="n">
        <v>100.9</v>
      </c>
      <c r="E678" s="6" t="n">
        <v>1024121.73</v>
      </c>
      <c r="F678" s="6">
        <f>ROUND(E678-E677,2)</f>
        <v/>
      </c>
      <c r="G678" s="6">
        <f>ROUND(F678-D678,2)</f>
        <v/>
      </c>
    </row>
    <row r="679">
      <c r="A679" t="inlineStr">
        <is>
          <t>2022-05-14</t>
        </is>
      </c>
      <c r="B679" t="n">
        <v>31</v>
      </c>
      <c r="C679" t="n">
        <v>2960</v>
      </c>
      <c r="D679" s="6" t="n">
        <v>70.2</v>
      </c>
      <c r="E679" s="6" t="n">
        <v>1024191.93</v>
      </c>
      <c r="F679" s="6">
        <f>ROUND(E679-E678,2)</f>
        <v/>
      </c>
      <c r="G679" s="6">
        <f>ROUND(F679-D679,2)</f>
        <v/>
      </c>
    </row>
    <row r="680">
      <c r="A680" t="inlineStr">
        <is>
          <t>2022-05-14</t>
        </is>
      </c>
      <c r="B680" t="n">
        <v>32</v>
      </c>
      <c r="C680" t="n">
        <v>2960</v>
      </c>
      <c r="D680" s="6" t="n">
        <v>104.9</v>
      </c>
      <c r="E680" s="6" t="n">
        <v>1024296.83</v>
      </c>
      <c r="F680" s="6">
        <f>ROUND(E680-E679,2)</f>
        <v/>
      </c>
      <c r="G680" s="6">
        <f>ROUND(F680-D680,2)</f>
        <v/>
      </c>
    </row>
    <row r="681">
      <c r="A681" t="inlineStr">
        <is>
          <t>2022-05-14</t>
        </is>
      </c>
      <c r="B681" t="n">
        <v>33</v>
      </c>
      <c r="C681" t="n">
        <v>2960</v>
      </c>
      <c r="D681" s="6" t="n">
        <v>96.40000000000001</v>
      </c>
      <c r="E681" s="6" t="n">
        <v>1024393.23</v>
      </c>
      <c r="F681" s="6">
        <f>ROUND(E681-E680,2)</f>
        <v/>
      </c>
      <c r="G681" s="6">
        <f>ROUND(F681-D681,2)</f>
        <v/>
      </c>
    </row>
    <row r="682">
      <c r="A682" t="inlineStr">
        <is>
          <t>2022-05-14</t>
        </is>
      </c>
      <c r="B682" t="n">
        <v>34</v>
      </c>
      <c r="C682" t="n">
        <v>2960</v>
      </c>
      <c r="D682" s="6" t="n">
        <v>74.5</v>
      </c>
      <c r="E682" s="6" t="n">
        <v>1024467.73</v>
      </c>
      <c r="F682" s="6">
        <f>ROUND(E682-E681,2)</f>
        <v/>
      </c>
      <c r="G682" s="6">
        <f>ROUND(F682-D682,2)</f>
        <v/>
      </c>
    </row>
    <row r="683">
      <c r="A683" t="inlineStr">
        <is>
          <t>2022-05-15</t>
        </is>
      </c>
      <c r="B683" t="n">
        <v>1</v>
      </c>
      <c r="C683" t="n">
        <v>2961</v>
      </c>
      <c r="D683" s="6" t="n">
        <v>55.6</v>
      </c>
      <c r="E683" s="6" t="n">
        <v>1024523.33</v>
      </c>
      <c r="F683" s="6">
        <f>ROUND(E683-E682,2)</f>
        <v/>
      </c>
      <c r="G683" s="6">
        <f>ROUND(F683-D683,2)</f>
        <v/>
      </c>
    </row>
    <row r="684">
      <c r="A684" t="inlineStr">
        <is>
          <t>2022-05-15</t>
        </is>
      </c>
      <c r="B684" t="n">
        <v>2</v>
      </c>
      <c r="C684" t="n">
        <v>2961</v>
      </c>
      <c r="D684" s="6" t="n">
        <v>47.9</v>
      </c>
      <c r="E684" s="6" t="n">
        <v>1024571.23</v>
      </c>
      <c r="F684" s="6">
        <f>ROUND(E684-E683,2)</f>
        <v/>
      </c>
      <c r="G684" s="6">
        <f>ROUND(F684-D684,2)</f>
        <v/>
      </c>
    </row>
    <row r="685">
      <c r="A685" t="inlineStr">
        <is>
          <t>2022-05-15</t>
        </is>
      </c>
      <c r="B685" t="n">
        <v>3</v>
      </c>
      <c r="C685" t="n">
        <v>2961</v>
      </c>
      <c r="D685" s="6" t="n">
        <v>56.6</v>
      </c>
      <c r="E685" s="6" t="n">
        <v>1024627.83</v>
      </c>
      <c r="F685" s="6">
        <f>ROUND(E685-E684,2)</f>
        <v/>
      </c>
      <c r="G685" s="6">
        <f>ROUND(F685-D685,2)</f>
        <v/>
      </c>
    </row>
    <row r="686">
      <c r="A686" t="inlineStr">
        <is>
          <t>2022-05-15</t>
        </is>
      </c>
      <c r="B686" t="n">
        <v>4</v>
      </c>
      <c r="C686" t="n">
        <v>2961</v>
      </c>
      <c r="D686" s="6" t="n">
        <v>31.8</v>
      </c>
      <c r="E686" s="6" t="n">
        <v>1024659.63</v>
      </c>
      <c r="F686" s="6">
        <f>ROUND(E686-E685,2)</f>
        <v/>
      </c>
      <c r="G686" s="6">
        <f>ROUND(F686-D686,2)</f>
        <v/>
      </c>
    </row>
    <row r="687">
      <c r="A687" t="inlineStr">
        <is>
          <t>2022-05-15</t>
        </is>
      </c>
      <c r="B687" t="n">
        <v>5</v>
      </c>
      <c r="C687" t="n">
        <v>2961</v>
      </c>
      <c r="D687" s="6" t="n">
        <v>72.2</v>
      </c>
      <c r="E687" s="6" t="n">
        <v>1024731.83</v>
      </c>
      <c r="F687" s="6">
        <f>ROUND(E687-E686,2)</f>
        <v/>
      </c>
      <c r="G687" s="6">
        <f>ROUND(F687-D687,2)</f>
        <v/>
      </c>
    </row>
    <row r="688">
      <c r="A688" t="inlineStr">
        <is>
          <t>2022-05-15</t>
        </is>
      </c>
      <c r="B688" t="n">
        <v>6</v>
      </c>
      <c r="C688" t="n">
        <v>2961</v>
      </c>
      <c r="D688" s="6" t="n">
        <v>76.5</v>
      </c>
      <c r="E688" s="6" t="n">
        <v>1024808.33</v>
      </c>
      <c r="F688" s="6">
        <f>ROUND(E688-E687,2)</f>
        <v/>
      </c>
      <c r="G688" s="6">
        <f>ROUND(F688-D688,2)</f>
        <v/>
      </c>
    </row>
    <row r="689">
      <c r="A689" t="inlineStr">
        <is>
          <t>2022-05-15</t>
        </is>
      </c>
      <c r="B689" t="n">
        <v>7</v>
      </c>
      <c r="C689" t="n">
        <v>2961</v>
      </c>
      <c r="D689" s="6" t="n">
        <v>65.09999999999999</v>
      </c>
      <c r="E689" s="6" t="n">
        <v>1024873.43</v>
      </c>
      <c r="F689" s="6">
        <f>ROUND(E689-E688,2)</f>
        <v/>
      </c>
      <c r="G689" s="6">
        <f>ROUND(F689-D689,2)</f>
        <v/>
      </c>
    </row>
    <row r="690">
      <c r="A690" t="inlineStr">
        <is>
          <t>2022-05-15</t>
        </is>
      </c>
      <c r="B690" t="n">
        <v>8</v>
      </c>
      <c r="C690" t="n">
        <v>2961</v>
      </c>
      <c r="D690" s="6" t="n">
        <v>80.40000000000001</v>
      </c>
      <c r="E690" s="6" t="n">
        <v>1024953.83</v>
      </c>
      <c r="F690" s="6">
        <f>ROUND(E690-E689,2)</f>
        <v/>
      </c>
      <c r="G690" s="6">
        <f>ROUND(F690-D690,2)</f>
        <v/>
      </c>
    </row>
    <row r="691">
      <c r="A691" t="inlineStr">
        <is>
          <t>2022-05-15</t>
        </is>
      </c>
      <c r="B691" t="n">
        <v>9</v>
      </c>
      <c r="C691" t="n">
        <v>2961</v>
      </c>
      <c r="D691" s="6" t="n">
        <v>64.5</v>
      </c>
      <c r="E691" s="6" t="n">
        <v>1025018.33</v>
      </c>
      <c r="F691" s="6">
        <f>ROUND(E691-E690,2)</f>
        <v/>
      </c>
      <c r="G691" s="6">
        <f>ROUND(F691-D691,2)</f>
        <v/>
      </c>
    </row>
    <row r="692">
      <c r="A692" t="inlineStr">
        <is>
          <t>2022-05-15</t>
        </is>
      </c>
      <c r="B692" t="n">
        <v>10</v>
      </c>
      <c r="C692" t="n">
        <v>2961</v>
      </c>
      <c r="D692" s="6" t="n">
        <v>24.3</v>
      </c>
      <c r="E692" s="6" t="n">
        <v>1025042.63</v>
      </c>
      <c r="F692" s="6">
        <f>ROUND(E692-E691,2)</f>
        <v/>
      </c>
      <c r="G692" s="6">
        <f>ROUND(F692-D692,2)</f>
        <v/>
      </c>
    </row>
    <row r="693">
      <c r="A693" t="inlineStr">
        <is>
          <t>2022-05-15</t>
        </is>
      </c>
      <c r="B693" t="n">
        <v>11</v>
      </c>
      <c r="C693" t="n">
        <v>2961</v>
      </c>
      <c r="D693" s="6" t="n">
        <v>24.3</v>
      </c>
      <c r="E693" s="6" t="n">
        <v>1025066.93</v>
      </c>
      <c r="F693" s="6">
        <f>ROUND(E693-E692,2)</f>
        <v/>
      </c>
      <c r="G693" s="6">
        <f>ROUND(F693-D693,2)</f>
        <v/>
      </c>
    </row>
    <row r="694">
      <c r="A694" t="inlineStr">
        <is>
          <t>2022-05-15</t>
        </is>
      </c>
      <c r="B694" t="n">
        <v>12</v>
      </c>
      <c r="C694" t="n">
        <v>2961</v>
      </c>
      <c r="D694" s="6" t="n">
        <v>26.8</v>
      </c>
      <c r="E694" s="6" t="n">
        <v>1025093.73</v>
      </c>
      <c r="F694" s="6">
        <f>ROUND(E694-E693,2)</f>
        <v/>
      </c>
      <c r="G694" s="6">
        <f>ROUND(F694-D694,2)</f>
        <v/>
      </c>
    </row>
    <row r="695">
      <c r="A695" t="inlineStr">
        <is>
          <t>2022-05-15</t>
        </is>
      </c>
      <c r="B695" t="n">
        <v>13</v>
      </c>
      <c r="C695" t="n">
        <v>2961</v>
      </c>
      <c r="D695" s="6" t="n">
        <v>33.7</v>
      </c>
      <c r="E695" s="6" t="n">
        <v>1025127.43</v>
      </c>
      <c r="F695" s="6">
        <f>ROUND(E695-E694,2)</f>
        <v/>
      </c>
      <c r="G695" s="6">
        <f>ROUND(F695-D695,2)</f>
        <v/>
      </c>
    </row>
    <row r="696">
      <c r="A696" t="inlineStr">
        <is>
          <t>2022-05-15</t>
        </is>
      </c>
      <c r="B696" t="n">
        <v>14</v>
      </c>
      <c r="C696" t="n">
        <v>2961</v>
      </c>
      <c r="D696" s="6" t="n">
        <v>111.4</v>
      </c>
      <c r="E696" s="6" t="n">
        <v>1025238.83</v>
      </c>
      <c r="F696" s="6">
        <f>ROUND(E696-E695,2)</f>
        <v/>
      </c>
      <c r="G696" s="6">
        <f>ROUND(F696-D696,2)</f>
        <v/>
      </c>
    </row>
    <row r="697">
      <c r="A697" t="inlineStr">
        <is>
          <t>2022-05-15</t>
        </is>
      </c>
      <c r="B697" t="n">
        <v>15</v>
      </c>
      <c r="C697" t="n">
        <v>2961</v>
      </c>
      <c r="D697" s="6" t="n">
        <v>69.90000000000001</v>
      </c>
      <c r="E697" s="6" t="n">
        <v>1025308.73</v>
      </c>
      <c r="F697" s="6">
        <f>ROUND(E697-E696,2)</f>
        <v/>
      </c>
      <c r="G697" s="6">
        <f>ROUND(F697-D697,2)</f>
        <v/>
      </c>
    </row>
    <row r="698">
      <c r="A698" t="inlineStr">
        <is>
          <t>2022-05-15</t>
        </is>
      </c>
      <c r="B698" t="n">
        <v>16</v>
      </c>
      <c r="C698" t="n">
        <v>2961</v>
      </c>
      <c r="D698" s="6" t="n">
        <v>67</v>
      </c>
      <c r="E698" s="6" t="n">
        <v>1025375.73</v>
      </c>
      <c r="F698" s="6">
        <f>ROUND(E698-E697,2)</f>
        <v/>
      </c>
      <c r="G698" s="6">
        <f>ROUND(F698-D698,2)</f>
        <v/>
      </c>
    </row>
    <row r="699">
      <c r="A699" t="inlineStr">
        <is>
          <t>2022-05-15</t>
        </is>
      </c>
      <c r="B699" t="n">
        <v>17</v>
      </c>
      <c r="C699" t="n">
        <v>2961</v>
      </c>
      <c r="D699" s="6" t="n">
        <v>56</v>
      </c>
      <c r="E699" s="6" t="n">
        <v>1025431.73</v>
      </c>
      <c r="F699" s="6">
        <f>ROUND(E699-E698,2)</f>
        <v/>
      </c>
      <c r="G699" s="6">
        <f>ROUND(F699-D699,2)</f>
        <v/>
      </c>
    </row>
    <row r="700">
      <c r="A700" t="inlineStr">
        <is>
          <t>2022-05-15</t>
        </is>
      </c>
      <c r="B700" t="n">
        <v>18</v>
      </c>
      <c r="C700" t="n">
        <v>2961</v>
      </c>
      <c r="D700" s="6" t="n">
        <v>24.45</v>
      </c>
      <c r="E700" s="6" t="n">
        <v>1025456.18</v>
      </c>
      <c r="F700" s="6">
        <f>ROUND(E700-E699,2)</f>
        <v/>
      </c>
      <c r="G700" s="6">
        <f>ROUND(F700-D700,2)</f>
        <v/>
      </c>
    </row>
    <row r="701">
      <c r="A701" t="inlineStr">
        <is>
          <t>2022-05-15</t>
        </is>
      </c>
      <c r="B701" t="n">
        <v>19</v>
      </c>
      <c r="C701" t="n">
        <v>2961</v>
      </c>
      <c r="D701" s="6" t="n">
        <v>24.45</v>
      </c>
      <c r="E701" s="6" t="n">
        <v>1025480.63</v>
      </c>
      <c r="F701" s="6">
        <f>ROUND(E701-E700,2)</f>
        <v/>
      </c>
      <c r="G701" s="6">
        <f>ROUND(F701-D701,2)</f>
        <v/>
      </c>
    </row>
    <row r="702">
      <c r="A702" t="inlineStr">
        <is>
          <t>2022-05-15</t>
        </is>
      </c>
      <c r="B702" t="n">
        <v>20</v>
      </c>
      <c r="C702" t="n">
        <v>2961</v>
      </c>
      <c r="D702" s="6" t="n">
        <v>44.2</v>
      </c>
      <c r="E702" s="6" t="n">
        <v>1025524.83</v>
      </c>
      <c r="F702" s="6">
        <f>ROUND(E702-E701,2)</f>
        <v/>
      </c>
      <c r="G702" s="6">
        <f>ROUND(F702-D702,2)</f>
        <v/>
      </c>
    </row>
    <row r="703">
      <c r="A703" t="inlineStr">
        <is>
          <t>2022-05-15</t>
        </is>
      </c>
      <c r="B703" t="n">
        <v>21</v>
      </c>
      <c r="C703" t="n">
        <v>2961</v>
      </c>
      <c r="D703" s="6" t="n">
        <v>81</v>
      </c>
      <c r="E703" s="6" t="n">
        <v>1025605.83</v>
      </c>
      <c r="F703" s="6">
        <f>ROUND(E703-E702,2)</f>
        <v/>
      </c>
      <c r="G703" s="6">
        <f>ROUND(F703-D703,2)</f>
        <v/>
      </c>
    </row>
    <row r="704">
      <c r="A704" t="inlineStr">
        <is>
          <t>2022-05-15</t>
        </is>
      </c>
      <c r="B704" t="n">
        <v>22</v>
      </c>
      <c r="C704" t="n">
        <v>2961</v>
      </c>
      <c r="D704" s="6" t="n">
        <v>55.3</v>
      </c>
      <c r="E704" s="6" t="n">
        <v>1025661.13</v>
      </c>
      <c r="F704" s="6">
        <f>ROUND(E704-E703,2)</f>
        <v/>
      </c>
      <c r="G704" s="6">
        <f>ROUND(F704-D704,2)</f>
        <v/>
      </c>
    </row>
    <row r="705">
      <c r="A705" t="inlineStr">
        <is>
          <t>2022-05-15</t>
        </is>
      </c>
      <c r="B705" t="n">
        <v>23</v>
      </c>
      <c r="C705" t="n">
        <v>2961</v>
      </c>
      <c r="D705" s="6" t="n">
        <v>50.6</v>
      </c>
      <c r="E705" s="6" t="n">
        <v>1025711.73</v>
      </c>
      <c r="F705" s="6">
        <f>ROUND(E705-E704,2)</f>
        <v/>
      </c>
      <c r="G705" s="6">
        <f>ROUND(F705-D705,2)</f>
        <v/>
      </c>
    </row>
    <row r="706">
      <c r="A706" t="inlineStr">
        <is>
          <t>2022-05-15</t>
        </is>
      </c>
      <c r="B706" t="n">
        <v>24</v>
      </c>
      <c r="C706" t="n">
        <v>2961</v>
      </c>
      <c r="D706" s="6" t="n">
        <v>44.6</v>
      </c>
      <c r="E706" s="6" t="n">
        <v>1025756.33</v>
      </c>
      <c r="F706" s="6">
        <f>ROUND(E706-E705,2)</f>
        <v/>
      </c>
      <c r="G706" s="6">
        <f>ROUND(F706-D706,2)</f>
        <v/>
      </c>
    </row>
    <row r="707">
      <c r="A707" t="inlineStr">
        <is>
          <t>2022-05-15</t>
        </is>
      </c>
      <c r="B707" t="n">
        <v>25</v>
      </c>
      <c r="C707" t="n">
        <v>2961</v>
      </c>
      <c r="D707" s="6" t="n">
        <v>34.1</v>
      </c>
      <c r="E707" s="6" t="n">
        <v>1025790.43</v>
      </c>
      <c r="F707" s="6">
        <f>ROUND(E707-E706,2)</f>
        <v/>
      </c>
      <c r="G707" s="6">
        <f>ROUND(F707-D707,2)</f>
        <v/>
      </c>
    </row>
    <row r="708">
      <c r="A708" t="inlineStr">
        <is>
          <t>2022-05-15</t>
        </is>
      </c>
      <c r="B708" t="n">
        <v>26</v>
      </c>
      <c r="C708" t="n">
        <v>2961</v>
      </c>
      <c r="D708" s="6" t="n">
        <v>57.5</v>
      </c>
      <c r="E708" s="6" t="n">
        <v>1025847.93</v>
      </c>
      <c r="F708" s="6">
        <f>ROUND(E708-E707,2)</f>
        <v/>
      </c>
      <c r="G708" s="6">
        <f>ROUND(F708-D708,2)</f>
        <v/>
      </c>
    </row>
    <row r="709">
      <c r="A709" t="inlineStr">
        <is>
          <t>2022-05-15</t>
        </is>
      </c>
      <c r="B709" t="n">
        <v>27</v>
      </c>
      <c r="C709" t="n">
        <v>2961</v>
      </c>
      <c r="D709" s="6" t="n">
        <v>53.1</v>
      </c>
      <c r="E709" s="6" t="n">
        <v>1025901.03</v>
      </c>
      <c r="F709" s="6">
        <f>ROUND(E709-E708,2)</f>
        <v/>
      </c>
      <c r="G709" s="6">
        <f>ROUND(F709-D709,2)</f>
        <v/>
      </c>
    </row>
    <row r="710">
      <c r="A710" t="inlineStr">
        <is>
          <t>2022-05-15</t>
        </is>
      </c>
      <c r="B710" t="n">
        <v>28</v>
      </c>
      <c r="C710" t="n">
        <v>2961</v>
      </c>
      <c r="D710" s="6" t="n">
        <v>108.1</v>
      </c>
      <c r="E710" s="6" t="n">
        <v>1026009.13</v>
      </c>
      <c r="F710" s="6">
        <f>ROUND(E710-E709,2)</f>
        <v/>
      </c>
      <c r="G710" s="6">
        <f>ROUND(F710-D710,2)</f>
        <v/>
      </c>
    </row>
    <row r="711">
      <c r="A711" t="inlineStr">
        <is>
          <t>2022-05-15</t>
        </is>
      </c>
      <c r="B711" t="n">
        <v>29</v>
      </c>
      <c r="C711" t="n">
        <v>2961</v>
      </c>
      <c r="D711" s="6" t="n">
        <v>56.4</v>
      </c>
      <c r="E711" s="6" t="n">
        <v>1026065.53</v>
      </c>
      <c r="F711" s="6">
        <f>ROUND(E711-E710,2)</f>
        <v/>
      </c>
      <c r="G711" s="6">
        <f>ROUND(F711-D711,2)</f>
        <v/>
      </c>
    </row>
    <row r="712">
      <c r="A712" t="inlineStr">
        <is>
          <t>2022-05-15</t>
        </is>
      </c>
      <c r="B712" t="n">
        <v>30</v>
      </c>
      <c r="C712" t="n">
        <v>2961</v>
      </c>
      <c r="D712" s="6" t="n">
        <v>119.8</v>
      </c>
      <c r="E712" s="6" t="n">
        <v>1026185.33</v>
      </c>
      <c r="F712" s="6">
        <f>ROUND(E712-E711,2)</f>
        <v/>
      </c>
      <c r="G712" s="6">
        <f>ROUND(F712-D712,2)</f>
        <v/>
      </c>
    </row>
    <row r="713">
      <c r="A713" t="inlineStr">
        <is>
          <t>2022-05-15</t>
        </is>
      </c>
      <c r="B713" t="n">
        <v>31</v>
      </c>
      <c r="C713" t="n">
        <v>2961</v>
      </c>
      <c r="D713" s="6" t="n">
        <v>60.6</v>
      </c>
      <c r="E713" s="6" t="n">
        <v>1026245.93</v>
      </c>
      <c r="F713" s="6">
        <f>ROUND(E713-E712,2)</f>
        <v/>
      </c>
      <c r="G713" s="6">
        <f>ROUND(F713-D713,2)</f>
        <v/>
      </c>
    </row>
    <row r="714">
      <c r="A714" t="inlineStr">
        <is>
          <t>2022-05-15</t>
        </is>
      </c>
      <c r="B714" t="n">
        <v>32</v>
      </c>
      <c r="C714" t="n">
        <v>2961</v>
      </c>
      <c r="D714" s="6" t="n">
        <v>77.40000000000001</v>
      </c>
      <c r="E714" s="6" t="n">
        <v>1026323.33</v>
      </c>
      <c r="F714" s="6">
        <f>ROUND(E714-E713,2)</f>
        <v/>
      </c>
      <c r="G714" s="6">
        <f>ROUND(F714-D714,2)</f>
        <v/>
      </c>
    </row>
    <row r="715">
      <c r="A715" t="inlineStr">
        <is>
          <t>2022-05-15</t>
        </is>
      </c>
      <c r="B715" t="n">
        <v>33</v>
      </c>
      <c r="C715" t="n">
        <v>2961</v>
      </c>
      <c r="D715" s="6" t="n">
        <v>125.9</v>
      </c>
      <c r="E715" s="6" t="n">
        <v>1026449.23</v>
      </c>
      <c r="F715" s="6">
        <f>ROUND(E715-E714,2)</f>
        <v/>
      </c>
      <c r="G715" s="6">
        <f>ROUND(F715-D715,2)</f>
        <v/>
      </c>
    </row>
    <row r="716">
      <c r="A716" t="inlineStr">
        <is>
          <t>2022-05-18</t>
        </is>
      </c>
      <c r="B716" t="n">
        <v>1</v>
      </c>
      <c r="C716" t="n">
        <v>2962</v>
      </c>
      <c r="D716" s="6" t="n">
        <v>43</v>
      </c>
      <c r="E716" s="6" t="n">
        <v>1026492.23</v>
      </c>
      <c r="F716" s="6">
        <f>ROUND(E716-E715,2)</f>
        <v/>
      </c>
      <c r="G716" s="6">
        <f>ROUND(F716-D716,2)</f>
        <v/>
      </c>
    </row>
    <row r="717">
      <c r="A717" t="inlineStr">
        <is>
          <t>2022-05-18</t>
        </is>
      </c>
      <c r="B717" t="n">
        <v>2</v>
      </c>
      <c r="C717" t="n">
        <v>2962</v>
      </c>
      <c r="D717" s="6" t="n">
        <v>36</v>
      </c>
      <c r="E717" s="6" t="n">
        <v>1026528.23</v>
      </c>
      <c r="F717" s="6">
        <f>ROUND(E717-E716,2)</f>
        <v/>
      </c>
      <c r="G717" s="6">
        <f>ROUND(F717-D717,2)</f>
        <v/>
      </c>
    </row>
    <row r="718">
      <c r="A718" t="inlineStr">
        <is>
          <t>2022-05-18</t>
        </is>
      </c>
      <c r="B718" t="n">
        <v>3</v>
      </c>
      <c r="C718" t="n">
        <v>2962</v>
      </c>
      <c r="D718" s="6" t="n">
        <v>30</v>
      </c>
      <c r="E718" s="6" t="n">
        <v>1026558.23</v>
      </c>
      <c r="F718" s="6">
        <f>ROUND(E718-E717,2)</f>
        <v/>
      </c>
      <c r="G718" s="6">
        <f>ROUND(F718-D718,2)</f>
        <v/>
      </c>
    </row>
    <row r="719">
      <c r="A719" t="inlineStr">
        <is>
          <t>2022-05-18</t>
        </is>
      </c>
      <c r="B719" t="n">
        <v>4</v>
      </c>
      <c r="C719" t="n">
        <v>2962</v>
      </c>
      <c r="D719" s="6" t="n">
        <v>48</v>
      </c>
      <c r="E719" s="6" t="n">
        <v>1026606.23</v>
      </c>
      <c r="F719" s="6">
        <f>ROUND(E719-E718,2)</f>
        <v/>
      </c>
      <c r="G719" s="6">
        <f>ROUND(F719-D719,2)</f>
        <v/>
      </c>
    </row>
    <row r="720">
      <c r="A720" t="inlineStr">
        <is>
          <t>2022-05-18</t>
        </is>
      </c>
      <c r="B720" t="n">
        <v>5</v>
      </c>
      <c r="C720" t="n">
        <v>2962</v>
      </c>
      <c r="D720" s="6" t="n">
        <v>60.2</v>
      </c>
      <c r="E720" s="6" t="n">
        <v>1026666.43</v>
      </c>
      <c r="F720" s="6">
        <f>ROUND(E720-E719,2)</f>
        <v/>
      </c>
      <c r="G720" s="6">
        <f>ROUND(F720-D720,2)</f>
        <v/>
      </c>
    </row>
    <row r="721">
      <c r="A721" t="inlineStr">
        <is>
          <t>2022-05-18</t>
        </is>
      </c>
      <c r="B721" t="n">
        <v>6</v>
      </c>
      <c r="C721" t="n">
        <v>2962</v>
      </c>
      <c r="D721" s="6" t="n">
        <v>45.7</v>
      </c>
      <c r="E721" s="6" t="n">
        <v>1026712.13</v>
      </c>
      <c r="F721" s="6">
        <f>ROUND(E721-E720,2)</f>
        <v/>
      </c>
      <c r="G721" s="6">
        <f>ROUND(F721-D721,2)</f>
        <v/>
      </c>
    </row>
    <row r="722">
      <c r="A722" t="inlineStr">
        <is>
          <t>2022-05-18</t>
        </is>
      </c>
      <c r="B722" t="n">
        <v>7</v>
      </c>
      <c r="C722" t="n">
        <v>2962</v>
      </c>
      <c r="D722" s="6" t="n">
        <v>45.9</v>
      </c>
      <c r="E722" s="6" t="n">
        <v>1026758.03</v>
      </c>
      <c r="F722" s="6">
        <f>ROUND(E722-E721,2)</f>
        <v/>
      </c>
      <c r="G722" s="6">
        <f>ROUND(F722-D722,2)</f>
        <v/>
      </c>
    </row>
    <row r="723">
      <c r="A723" t="inlineStr">
        <is>
          <t>2022-05-18</t>
        </is>
      </c>
      <c r="B723" t="n">
        <v>8</v>
      </c>
      <c r="C723" t="n">
        <v>2962</v>
      </c>
      <c r="D723" s="6" t="n">
        <v>52.7</v>
      </c>
      <c r="E723" s="6" t="n">
        <v>1026810.73</v>
      </c>
      <c r="F723" s="6">
        <f>ROUND(E723-E722,2)</f>
        <v/>
      </c>
      <c r="G723" s="6">
        <f>ROUND(F723-D723,2)</f>
        <v/>
      </c>
    </row>
    <row r="724">
      <c r="A724" t="inlineStr">
        <is>
          <t>2022-05-18</t>
        </is>
      </c>
      <c r="B724" t="n">
        <v>9</v>
      </c>
      <c r="C724" t="n">
        <v>2962</v>
      </c>
      <c r="D724" s="6" t="n">
        <v>47.7</v>
      </c>
      <c r="E724" s="6" t="n">
        <v>1026858.43</v>
      </c>
      <c r="F724" s="6">
        <f>ROUND(E724-E723,2)</f>
        <v/>
      </c>
      <c r="G724" s="6">
        <f>ROUND(F724-D724,2)</f>
        <v/>
      </c>
    </row>
    <row r="725">
      <c r="A725" t="inlineStr">
        <is>
          <t>2022-05-18</t>
        </is>
      </c>
      <c r="B725" t="n">
        <v>10</v>
      </c>
      <c r="C725" t="n">
        <v>2962</v>
      </c>
      <c r="D725" s="6" t="n">
        <v>70</v>
      </c>
      <c r="E725" s="6" t="n">
        <v>1026928.43</v>
      </c>
      <c r="F725" s="6">
        <f>ROUND(E725-E724,2)</f>
        <v/>
      </c>
      <c r="G725" s="6">
        <f>ROUND(F725-D725,2)</f>
        <v/>
      </c>
    </row>
    <row r="726">
      <c r="A726" t="inlineStr">
        <is>
          <t>2022-05-18</t>
        </is>
      </c>
      <c r="B726" t="n">
        <v>11</v>
      </c>
      <c r="C726" t="n">
        <v>2962</v>
      </c>
      <c r="D726" s="6" t="n">
        <v>88</v>
      </c>
      <c r="E726" s="6" t="n">
        <v>1027016.43</v>
      </c>
      <c r="F726" s="6">
        <f>ROUND(E726-E725,2)</f>
        <v/>
      </c>
      <c r="G726" s="6">
        <f>ROUND(F726-D726,2)</f>
        <v/>
      </c>
    </row>
    <row r="727">
      <c r="A727" t="inlineStr">
        <is>
          <t>2022-05-18</t>
        </is>
      </c>
      <c r="B727" t="n">
        <v>12</v>
      </c>
      <c r="C727" t="n">
        <v>2962</v>
      </c>
      <c r="D727" s="6" t="n">
        <v>45.1</v>
      </c>
      <c r="E727" s="6" t="n">
        <v>1027061.53</v>
      </c>
      <c r="F727" s="6">
        <f>ROUND(E727-E726,2)</f>
        <v/>
      </c>
      <c r="G727" s="6">
        <f>ROUND(F727-D727,2)</f>
        <v/>
      </c>
    </row>
    <row r="728">
      <c r="A728" t="inlineStr">
        <is>
          <t>2022-05-18</t>
        </is>
      </c>
      <c r="B728" t="n">
        <v>13</v>
      </c>
      <c r="C728" t="n">
        <v>2962</v>
      </c>
      <c r="D728" s="6" t="n">
        <v>86.5</v>
      </c>
      <c r="E728" s="6" t="n">
        <v>1027148.03</v>
      </c>
      <c r="F728" s="6">
        <f>ROUND(E728-E727,2)</f>
        <v/>
      </c>
      <c r="G728" s="6">
        <f>ROUND(F728-D728,2)</f>
        <v/>
      </c>
    </row>
    <row r="729">
      <c r="A729" t="inlineStr">
        <is>
          <t>2022-05-18</t>
        </is>
      </c>
      <c r="B729" t="n">
        <v>14</v>
      </c>
      <c r="C729" t="n">
        <v>2962</v>
      </c>
      <c r="D729" s="6" t="n">
        <v>60.1</v>
      </c>
      <c r="E729" s="6" t="n">
        <v>1027208.13</v>
      </c>
      <c r="F729" s="6">
        <f>ROUND(E729-E728,2)</f>
        <v/>
      </c>
      <c r="G729" s="6">
        <f>ROUND(F729-D729,2)</f>
        <v/>
      </c>
    </row>
    <row r="730">
      <c r="A730" t="inlineStr">
        <is>
          <t>2022-05-18</t>
        </is>
      </c>
      <c r="B730" t="n">
        <v>15</v>
      </c>
      <c r="C730" t="n">
        <v>2962</v>
      </c>
      <c r="D730" s="6" t="n">
        <v>50.5</v>
      </c>
      <c r="E730" s="6" t="n">
        <v>1027258.63</v>
      </c>
      <c r="F730" s="6">
        <f>ROUND(E730-E729,2)</f>
        <v/>
      </c>
      <c r="G730" s="6">
        <f>ROUND(F730-D730,2)</f>
        <v/>
      </c>
    </row>
    <row r="731">
      <c r="A731" t="inlineStr">
        <is>
          <t>2022-05-18</t>
        </is>
      </c>
      <c r="B731" t="n">
        <v>16</v>
      </c>
      <c r="C731" t="n">
        <v>2962</v>
      </c>
      <c r="D731" s="6" t="n">
        <v>62.7</v>
      </c>
      <c r="E731" s="6" t="n">
        <v>1027321.33</v>
      </c>
      <c r="F731" s="6">
        <f>ROUND(E731-E730,2)</f>
        <v/>
      </c>
      <c r="G731" s="6">
        <f>ROUND(F731-D731,2)</f>
        <v/>
      </c>
    </row>
    <row r="732">
      <c r="A732" t="inlineStr">
        <is>
          <t>2022-05-18</t>
        </is>
      </c>
      <c r="B732" t="n">
        <v>17</v>
      </c>
      <c r="C732" t="n">
        <v>2962</v>
      </c>
      <c r="D732" s="6" t="n">
        <v>63.4</v>
      </c>
      <c r="E732" s="6" t="n">
        <v>1027384.73</v>
      </c>
      <c r="F732" s="6">
        <f>ROUND(E732-E731,2)</f>
        <v/>
      </c>
      <c r="G732" s="6">
        <f>ROUND(F732-D732,2)</f>
        <v/>
      </c>
    </row>
    <row r="733">
      <c r="A733" t="inlineStr">
        <is>
          <t>2022-05-18</t>
        </is>
      </c>
      <c r="B733" t="n">
        <v>18</v>
      </c>
      <c r="C733" t="n">
        <v>2962</v>
      </c>
      <c r="D733" s="6" t="n">
        <v>80.40000000000001</v>
      </c>
      <c r="E733" s="6" t="n">
        <v>1027465.13</v>
      </c>
      <c r="F733" s="6">
        <f>ROUND(E733-E732,2)</f>
        <v/>
      </c>
      <c r="G733" s="6">
        <f>ROUND(F733-D733,2)</f>
        <v/>
      </c>
    </row>
    <row r="734">
      <c r="A734" t="inlineStr">
        <is>
          <t>2022-05-18</t>
        </is>
      </c>
      <c r="B734" t="n">
        <v>19</v>
      </c>
      <c r="C734" t="n">
        <v>2962</v>
      </c>
      <c r="D734" s="6" t="n">
        <v>64.40000000000001</v>
      </c>
      <c r="E734" s="6" t="n">
        <v>1027529.53</v>
      </c>
      <c r="F734" s="6">
        <f>ROUND(E734-E733,2)</f>
        <v/>
      </c>
      <c r="G734" s="6">
        <f>ROUND(F734-D734,2)</f>
        <v/>
      </c>
    </row>
    <row r="735">
      <c r="A735" t="inlineStr">
        <is>
          <t>2022-05-18</t>
        </is>
      </c>
      <c r="B735" t="n">
        <v>20</v>
      </c>
      <c r="C735" t="n">
        <v>2962</v>
      </c>
      <c r="D735" s="6" t="n">
        <v>66.40000000000001</v>
      </c>
      <c r="E735" s="6" t="n">
        <v>1027595.93</v>
      </c>
      <c r="F735" s="6">
        <f>ROUND(E735-E734,2)</f>
        <v/>
      </c>
      <c r="G735" s="6">
        <f>ROUND(F735-D735,2)</f>
        <v/>
      </c>
    </row>
    <row r="736">
      <c r="A736" t="inlineStr">
        <is>
          <t>2022-05-18</t>
        </is>
      </c>
      <c r="B736" t="n">
        <v>21</v>
      </c>
      <c r="C736" t="n">
        <v>2962</v>
      </c>
      <c r="D736" s="6" t="n">
        <v>60.1</v>
      </c>
      <c r="E736" s="6" t="n">
        <v>1027656.03</v>
      </c>
      <c r="F736" s="6">
        <f>ROUND(E736-E735,2)</f>
        <v/>
      </c>
      <c r="G736" s="6">
        <f>ROUND(F736-D736,2)</f>
        <v/>
      </c>
    </row>
    <row r="737">
      <c r="A737" t="inlineStr">
        <is>
          <t>2022-05-18</t>
        </is>
      </c>
      <c r="B737" t="n">
        <v>22</v>
      </c>
      <c r="C737" t="n">
        <v>2962</v>
      </c>
      <c r="D737" s="6" t="n">
        <v>68.09999999999999</v>
      </c>
      <c r="E737" s="6" t="n">
        <v>1027724.13</v>
      </c>
      <c r="F737" s="6">
        <f>ROUND(E737-E736,2)</f>
        <v/>
      </c>
      <c r="G737" s="6">
        <f>ROUND(F737-D737,2)</f>
        <v/>
      </c>
    </row>
    <row r="738">
      <c r="A738" t="inlineStr">
        <is>
          <t>2022-05-18</t>
        </is>
      </c>
      <c r="B738" t="n">
        <v>23</v>
      </c>
      <c r="C738" t="n">
        <v>2962</v>
      </c>
      <c r="D738" s="6" t="n">
        <v>86</v>
      </c>
      <c r="E738" s="6" t="n">
        <v>1027810.13</v>
      </c>
      <c r="F738" s="6">
        <f>ROUND(E738-E737,2)</f>
        <v/>
      </c>
      <c r="G738" s="6">
        <f>ROUND(F738-D738,2)</f>
        <v/>
      </c>
    </row>
    <row r="739">
      <c r="A739" t="inlineStr">
        <is>
          <t>2022-05-18</t>
        </is>
      </c>
      <c r="B739" t="n">
        <v>24</v>
      </c>
      <c r="C739" t="n">
        <v>2962</v>
      </c>
      <c r="D739" s="6" t="n">
        <v>47.2</v>
      </c>
      <c r="E739" s="6" t="n">
        <v>1027857.33</v>
      </c>
      <c r="F739" s="6">
        <f>ROUND(E739-E738,2)</f>
        <v/>
      </c>
      <c r="G739" s="6">
        <f>ROUND(F739-D739,2)</f>
        <v/>
      </c>
    </row>
    <row r="740">
      <c r="A740" t="inlineStr">
        <is>
          <t>2022-05-18</t>
        </is>
      </c>
      <c r="B740" t="n">
        <v>25</v>
      </c>
      <c r="C740" t="n">
        <v>2962</v>
      </c>
      <c r="D740" s="6" t="n">
        <v>69.2</v>
      </c>
      <c r="E740" s="6" t="n">
        <v>1027926.53</v>
      </c>
      <c r="F740" s="6">
        <f>ROUND(E740-E739,2)</f>
        <v/>
      </c>
      <c r="G740" s="6">
        <f>ROUND(F740-D740,2)</f>
        <v/>
      </c>
    </row>
    <row r="741">
      <c r="A741" t="inlineStr">
        <is>
          <t>2022-05-18</t>
        </is>
      </c>
      <c r="B741" t="n">
        <v>26</v>
      </c>
      <c r="C741" t="n">
        <v>2962</v>
      </c>
      <c r="D741" s="6" t="n">
        <v>123.2</v>
      </c>
      <c r="E741" s="6" t="n">
        <v>1028049.73</v>
      </c>
      <c r="F741" s="6">
        <f>ROUND(E741-E740,2)</f>
        <v/>
      </c>
      <c r="G741" s="6">
        <f>ROUND(F741-D741,2)</f>
        <v/>
      </c>
    </row>
    <row r="742">
      <c r="A742" t="inlineStr">
        <is>
          <t>2022-05-18</t>
        </is>
      </c>
      <c r="B742" t="n">
        <v>27</v>
      </c>
      <c r="C742" t="n">
        <v>2962</v>
      </c>
      <c r="D742" s="6" t="n">
        <v>22.6</v>
      </c>
      <c r="E742" s="6" t="n">
        <v>1028072.33</v>
      </c>
      <c r="F742" s="6">
        <f>ROUND(E742-E741,2)</f>
        <v/>
      </c>
      <c r="G742" s="6">
        <f>ROUND(F742-D742,2)</f>
        <v/>
      </c>
    </row>
    <row r="743">
      <c r="A743" t="inlineStr">
        <is>
          <t>2022-05-18</t>
        </is>
      </c>
      <c r="B743" t="n">
        <v>28</v>
      </c>
      <c r="C743" t="n">
        <v>2962</v>
      </c>
      <c r="D743" s="6" t="n">
        <v>22.6</v>
      </c>
      <c r="E743" s="6" t="n">
        <v>1028094.93</v>
      </c>
      <c r="F743" s="6">
        <f>ROUND(E743-E742,2)</f>
        <v/>
      </c>
      <c r="G743" s="6">
        <f>ROUND(F743-D743,2)</f>
        <v/>
      </c>
    </row>
    <row r="744">
      <c r="A744" t="inlineStr">
        <is>
          <t>2022-05-18</t>
        </is>
      </c>
      <c r="B744" t="n">
        <v>29</v>
      </c>
      <c r="C744" t="n">
        <v>2962</v>
      </c>
      <c r="D744" s="6" t="n">
        <v>67.3</v>
      </c>
      <c r="E744" s="6" t="n">
        <v>1028162.23</v>
      </c>
      <c r="F744" s="6">
        <f>ROUND(E744-E743,2)</f>
        <v/>
      </c>
      <c r="G744" s="6">
        <f>ROUND(F744-D744,2)</f>
        <v/>
      </c>
    </row>
    <row r="745">
      <c r="A745" t="inlineStr">
        <is>
          <t>2022-05-18</t>
        </is>
      </c>
      <c r="B745" t="n">
        <v>30</v>
      </c>
      <c r="C745" t="n">
        <v>2962</v>
      </c>
      <c r="D745" s="6" t="n">
        <v>67.5</v>
      </c>
      <c r="E745" s="6" t="n">
        <v>1028229.73</v>
      </c>
      <c r="F745" s="6">
        <f>ROUND(E745-E744,2)</f>
        <v/>
      </c>
      <c r="G745" s="6">
        <f>ROUND(F745-D745,2)</f>
        <v/>
      </c>
    </row>
    <row r="746">
      <c r="A746" t="inlineStr">
        <is>
          <t>2022-05-18</t>
        </is>
      </c>
      <c r="B746" t="n">
        <v>31</v>
      </c>
      <c r="C746" t="n">
        <v>2962</v>
      </c>
      <c r="D746" s="6" t="n">
        <v>30.8</v>
      </c>
      <c r="E746" s="6" t="n">
        <v>1028260.53</v>
      </c>
      <c r="F746" s="6">
        <f>ROUND(E746-E745,2)</f>
        <v/>
      </c>
      <c r="G746" s="6">
        <f>ROUND(F746-D746,2)</f>
        <v/>
      </c>
    </row>
    <row r="747">
      <c r="A747" t="inlineStr">
        <is>
          <t>2022-05-18</t>
        </is>
      </c>
      <c r="B747" t="n">
        <v>32</v>
      </c>
      <c r="C747" t="n">
        <v>2962</v>
      </c>
      <c r="D747" s="6" t="n">
        <v>30.8</v>
      </c>
      <c r="E747" s="6" t="n">
        <v>1028291.33</v>
      </c>
      <c r="F747" s="6">
        <f>ROUND(E747-E746,2)</f>
        <v/>
      </c>
      <c r="G747" s="6">
        <f>ROUND(F747-D747,2)</f>
        <v/>
      </c>
    </row>
    <row r="748">
      <c r="A748" t="inlineStr">
        <is>
          <t>2022-05-19</t>
        </is>
      </c>
      <c r="B748" t="n">
        <v>1</v>
      </c>
      <c r="C748" t="n">
        <v>2963</v>
      </c>
      <c r="D748" s="6" t="n">
        <v>42</v>
      </c>
      <c r="E748" s="6" t="n">
        <v>1028333.33</v>
      </c>
      <c r="F748" s="6">
        <f>ROUND(E748-E747,2)</f>
        <v/>
      </c>
      <c r="G748" s="6">
        <f>ROUND(F748-D748,2)</f>
        <v/>
      </c>
    </row>
    <row r="749">
      <c r="A749" t="inlineStr">
        <is>
          <t>2022-05-19</t>
        </is>
      </c>
      <c r="B749" t="n">
        <v>2</v>
      </c>
      <c r="C749" t="n">
        <v>2963</v>
      </c>
      <c r="D749" s="6" t="n">
        <v>40.3</v>
      </c>
      <c r="E749" s="6" t="n">
        <v>1028373.63</v>
      </c>
      <c r="F749" s="6">
        <f>ROUND(E749-E748,2)</f>
        <v/>
      </c>
      <c r="G749" s="6">
        <f>ROUND(F749-D749,2)</f>
        <v/>
      </c>
    </row>
    <row r="750">
      <c r="A750" t="inlineStr">
        <is>
          <t>2022-05-19</t>
        </is>
      </c>
      <c r="B750" t="n">
        <v>3</v>
      </c>
      <c r="C750" t="n">
        <v>2963</v>
      </c>
      <c r="D750" s="6" t="n">
        <v>76.2</v>
      </c>
      <c r="E750" s="6" t="n">
        <v>1028449.83</v>
      </c>
      <c r="F750" s="6">
        <f>ROUND(E750-E749,2)</f>
        <v/>
      </c>
      <c r="G750" s="6">
        <f>ROUND(F750-D750,2)</f>
        <v/>
      </c>
    </row>
    <row r="751">
      <c r="A751" t="inlineStr">
        <is>
          <t>2022-05-19</t>
        </is>
      </c>
      <c r="B751" t="n">
        <v>4</v>
      </c>
      <c r="C751" t="n">
        <v>2963</v>
      </c>
      <c r="D751" s="6" t="n">
        <v>121.7</v>
      </c>
      <c r="E751" s="6" t="n">
        <v>1028571.53</v>
      </c>
      <c r="F751" s="6">
        <f>ROUND(E751-E750,2)</f>
        <v/>
      </c>
      <c r="G751" s="6">
        <f>ROUND(F751-D751,2)</f>
        <v/>
      </c>
    </row>
    <row r="752">
      <c r="A752" t="inlineStr">
        <is>
          <t>2022-05-19</t>
        </is>
      </c>
      <c r="B752" t="n">
        <v>5</v>
      </c>
      <c r="C752" t="n">
        <v>2963</v>
      </c>
      <c r="D752" s="6" t="n">
        <v>77</v>
      </c>
      <c r="E752" s="6" t="n">
        <v>1028648.53</v>
      </c>
      <c r="F752" s="6">
        <f>ROUND(E752-E751,2)</f>
        <v/>
      </c>
      <c r="G752" s="6">
        <f>ROUND(F752-D752,2)</f>
        <v/>
      </c>
    </row>
    <row r="753">
      <c r="A753" t="inlineStr">
        <is>
          <t>2022-05-19</t>
        </is>
      </c>
      <c r="B753" t="n">
        <v>6</v>
      </c>
      <c r="C753" t="n">
        <v>2963</v>
      </c>
      <c r="D753" s="6" t="n">
        <v>204.6</v>
      </c>
      <c r="E753" s="6" t="n">
        <v>1028853.13</v>
      </c>
      <c r="F753" s="6">
        <f>ROUND(E753-E752,2)</f>
        <v/>
      </c>
      <c r="G753" s="6">
        <f>ROUND(F753-D753,2)</f>
        <v/>
      </c>
    </row>
    <row r="754">
      <c r="A754" t="inlineStr">
        <is>
          <t>2022-05-19</t>
        </is>
      </c>
      <c r="B754" t="n">
        <v>7</v>
      </c>
      <c r="C754" t="n">
        <v>2963</v>
      </c>
      <c r="D754" s="6" t="n">
        <v>24.1</v>
      </c>
      <c r="E754" s="6" t="n">
        <v>1028877.23</v>
      </c>
      <c r="F754" s="6">
        <f>ROUND(E754-E753,2)</f>
        <v/>
      </c>
      <c r="G754" s="6">
        <f>ROUND(F754-D754,2)</f>
        <v/>
      </c>
    </row>
    <row r="755">
      <c r="A755" t="inlineStr">
        <is>
          <t>2022-05-19</t>
        </is>
      </c>
      <c r="B755" t="n">
        <v>8</v>
      </c>
      <c r="C755" t="n">
        <v>2963</v>
      </c>
      <c r="D755" s="6" t="n">
        <v>24.1</v>
      </c>
      <c r="E755" s="6" t="n">
        <v>1028901.33</v>
      </c>
      <c r="F755" s="6">
        <f>ROUND(E755-E754,2)</f>
        <v/>
      </c>
      <c r="G755" s="6">
        <f>ROUND(F755-D755,2)</f>
        <v/>
      </c>
    </row>
    <row r="756">
      <c r="A756" t="inlineStr">
        <is>
          <t>2022-05-19</t>
        </is>
      </c>
      <c r="B756" t="n">
        <v>9</v>
      </c>
      <c r="C756" t="n">
        <v>2963</v>
      </c>
      <c r="D756" s="6" t="n">
        <v>54.7</v>
      </c>
      <c r="E756" s="6" t="n">
        <v>1028956.03</v>
      </c>
      <c r="F756" s="6">
        <f>ROUND(E756-E755,2)</f>
        <v/>
      </c>
      <c r="G756" s="6">
        <f>ROUND(F756-D756,2)</f>
        <v/>
      </c>
    </row>
    <row r="757">
      <c r="A757" t="inlineStr">
        <is>
          <t>2022-05-19</t>
        </is>
      </c>
      <c r="B757" t="n">
        <v>10</v>
      </c>
      <c r="C757" t="n">
        <v>2963</v>
      </c>
      <c r="D757" s="6" t="n">
        <v>51.7</v>
      </c>
      <c r="E757" s="6" t="n">
        <v>1029007.73</v>
      </c>
      <c r="F757" s="6">
        <f>ROUND(E757-E756,2)</f>
        <v/>
      </c>
      <c r="G757" s="6">
        <f>ROUND(F757-D757,2)</f>
        <v/>
      </c>
    </row>
    <row r="758">
      <c r="A758" t="inlineStr">
        <is>
          <t>2022-05-19</t>
        </is>
      </c>
      <c r="B758" t="n">
        <v>11</v>
      </c>
      <c r="C758" t="n">
        <v>2963</v>
      </c>
      <c r="D758" s="6" t="n">
        <v>62.4</v>
      </c>
      <c r="E758" s="6" t="n">
        <v>1029070.13</v>
      </c>
      <c r="F758" s="6">
        <f>ROUND(E758-E757,2)</f>
        <v/>
      </c>
      <c r="G758" s="6">
        <f>ROUND(F758-D758,2)</f>
        <v/>
      </c>
    </row>
    <row r="759">
      <c r="A759" t="inlineStr">
        <is>
          <t>2022-05-19</t>
        </is>
      </c>
      <c r="B759" t="n">
        <v>12</v>
      </c>
      <c r="C759" t="n">
        <v>2963</v>
      </c>
      <c r="D759" s="6" t="n">
        <v>53.2</v>
      </c>
      <c r="E759" s="6" t="n">
        <v>1029123.33</v>
      </c>
      <c r="F759" s="6">
        <f>ROUND(E759-E758,2)</f>
        <v/>
      </c>
      <c r="G759" s="6">
        <f>ROUND(F759-D759,2)</f>
        <v/>
      </c>
    </row>
    <row r="760">
      <c r="A760" t="inlineStr">
        <is>
          <t>2022-05-19</t>
        </is>
      </c>
      <c r="B760" t="n">
        <v>13</v>
      </c>
      <c r="C760" t="n">
        <v>2963</v>
      </c>
      <c r="D760" s="6" t="n">
        <v>79</v>
      </c>
      <c r="E760" s="6" t="n">
        <v>1029202.33</v>
      </c>
      <c r="F760" s="6">
        <f>ROUND(E760-E759,2)</f>
        <v/>
      </c>
      <c r="G760" s="6">
        <f>ROUND(F760-D760,2)</f>
        <v/>
      </c>
    </row>
    <row r="761">
      <c r="A761" t="inlineStr">
        <is>
          <t>2022-05-19</t>
        </is>
      </c>
      <c r="B761" t="n">
        <v>14</v>
      </c>
      <c r="C761" t="n">
        <v>2963</v>
      </c>
      <c r="D761" s="6" t="n">
        <v>75.5</v>
      </c>
      <c r="E761" s="6" t="n">
        <v>1029277.83</v>
      </c>
      <c r="F761" s="6">
        <f>ROUND(E761-E760,2)</f>
        <v/>
      </c>
      <c r="G761" s="6">
        <f>ROUND(F761-D761,2)</f>
        <v/>
      </c>
    </row>
    <row r="762">
      <c r="A762" t="inlineStr">
        <is>
          <t>2022-05-19</t>
        </is>
      </c>
      <c r="B762" t="n">
        <v>15</v>
      </c>
      <c r="C762" t="n">
        <v>2963</v>
      </c>
      <c r="D762" s="6" t="n">
        <v>78.40000000000001</v>
      </c>
      <c r="E762" s="6" t="n">
        <v>1029356.23</v>
      </c>
      <c r="F762" s="6">
        <f>ROUND(E762-E761,2)</f>
        <v/>
      </c>
      <c r="G762" s="6">
        <f>ROUND(F762-D762,2)</f>
        <v/>
      </c>
    </row>
    <row r="763">
      <c r="A763" t="inlineStr">
        <is>
          <t>2022-05-19</t>
        </is>
      </c>
      <c r="B763" t="n">
        <v>16</v>
      </c>
      <c r="C763" t="n">
        <v>2963</v>
      </c>
      <c r="D763" s="6" t="n">
        <v>63.3</v>
      </c>
      <c r="E763" s="6" t="n">
        <v>1029419.53</v>
      </c>
      <c r="F763" s="6">
        <f>ROUND(E763-E762,2)</f>
        <v/>
      </c>
      <c r="G763" s="6">
        <f>ROUND(F763-D763,2)</f>
        <v/>
      </c>
    </row>
    <row r="764">
      <c r="A764" t="inlineStr">
        <is>
          <t>2022-05-19</t>
        </is>
      </c>
      <c r="B764" t="n">
        <v>17</v>
      </c>
      <c r="C764" t="n">
        <v>2963</v>
      </c>
      <c r="D764" s="6" t="n">
        <v>47.6</v>
      </c>
      <c r="E764" s="6" t="n">
        <v>1029467.13</v>
      </c>
      <c r="F764" s="6">
        <f>ROUND(E764-E763,2)</f>
        <v/>
      </c>
      <c r="G764" s="6">
        <f>ROUND(F764-D764,2)</f>
        <v/>
      </c>
    </row>
    <row r="765">
      <c r="A765" t="inlineStr">
        <is>
          <t>2022-05-19</t>
        </is>
      </c>
      <c r="B765" t="n">
        <v>18</v>
      </c>
      <c r="C765" t="n">
        <v>2963</v>
      </c>
      <c r="D765" s="6" t="n">
        <v>33.9</v>
      </c>
      <c r="E765" s="6" t="n">
        <v>1029501.03</v>
      </c>
      <c r="F765" s="6">
        <f>ROUND(E765-E764,2)</f>
        <v/>
      </c>
      <c r="G765" s="6">
        <f>ROUND(F765-D765,2)</f>
        <v/>
      </c>
    </row>
    <row r="766">
      <c r="A766" t="inlineStr">
        <is>
          <t>2022-05-19</t>
        </is>
      </c>
      <c r="B766" t="n">
        <v>19</v>
      </c>
      <c r="C766" t="n">
        <v>2963</v>
      </c>
      <c r="D766" s="6" t="n">
        <v>28.8</v>
      </c>
      <c r="E766" s="6" t="n">
        <v>1029529.83</v>
      </c>
      <c r="F766" s="6">
        <f>ROUND(E766-E765,2)</f>
        <v/>
      </c>
      <c r="G766" s="6">
        <f>ROUND(F766-D766,2)</f>
        <v/>
      </c>
    </row>
    <row r="767">
      <c r="A767" t="inlineStr">
        <is>
          <t>2022-05-19</t>
        </is>
      </c>
      <c r="B767" t="n">
        <v>20</v>
      </c>
      <c r="C767" t="n">
        <v>2963</v>
      </c>
      <c r="D767" s="6" t="n">
        <v>29</v>
      </c>
      <c r="E767" s="6" t="n">
        <v>1029558.83</v>
      </c>
      <c r="F767" s="6">
        <f>ROUND(E767-E766,2)</f>
        <v/>
      </c>
      <c r="G767" s="6">
        <f>ROUND(F767-D767,2)</f>
        <v/>
      </c>
    </row>
    <row r="768">
      <c r="A768" t="inlineStr">
        <is>
          <t>2022-05-19</t>
        </is>
      </c>
      <c r="B768" t="n">
        <v>21</v>
      </c>
      <c r="C768" t="n">
        <v>2963</v>
      </c>
      <c r="D768" s="6" t="n">
        <v>30.2</v>
      </c>
      <c r="E768" s="6" t="n">
        <v>1029589.03</v>
      </c>
      <c r="F768" s="6">
        <f>ROUND(E768-E767,2)</f>
        <v/>
      </c>
      <c r="G768" s="6">
        <f>ROUND(F768-D768,2)</f>
        <v/>
      </c>
    </row>
    <row r="769">
      <c r="A769" t="inlineStr">
        <is>
          <t>2022-05-19</t>
        </is>
      </c>
      <c r="B769" t="n">
        <v>22</v>
      </c>
      <c r="C769" t="n">
        <v>2963</v>
      </c>
      <c r="D769" s="6" t="n">
        <v>77.40000000000001</v>
      </c>
      <c r="E769" s="6" t="n">
        <v>1029666.43</v>
      </c>
      <c r="F769" s="6">
        <f>ROUND(E769-E768,2)</f>
        <v/>
      </c>
      <c r="G769" s="6">
        <f>ROUND(F769-D769,2)</f>
        <v/>
      </c>
    </row>
    <row r="770">
      <c r="A770" t="inlineStr">
        <is>
          <t>2022-05-19</t>
        </is>
      </c>
      <c r="B770" t="n">
        <v>23</v>
      </c>
      <c r="C770" t="n">
        <v>2963</v>
      </c>
      <c r="D770" s="6" t="n">
        <v>120.6</v>
      </c>
      <c r="E770" s="6" t="n">
        <v>1029787.03</v>
      </c>
      <c r="F770" s="6">
        <f>ROUND(E770-E769,2)</f>
        <v/>
      </c>
      <c r="G770" s="6">
        <f>ROUND(F770-D770,2)</f>
        <v/>
      </c>
    </row>
    <row r="771">
      <c r="A771" t="inlineStr">
        <is>
          <t>2022-05-19</t>
        </is>
      </c>
      <c r="B771" t="n">
        <v>24</v>
      </c>
      <c r="C771" t="n">
        <v>2963</v>
      </c>
      <c r="D771" s="6" t="n">
        <v>73.7</v>
      </c>
      <c r="E771" s="6" t="n">
        <v>1029860.73</v>
      </c>
      <c r="F771" s="6">
        <f>ROUND(E771-E770,2)</f>
        <v/>
      </c>
      <c r="G771" s="6">
        <f>ROUND(F771-D771,2)</f>
        <v/>
      </c>
    </row>
    <row r="772">
      <c r="A772" t="inlineStr">
        <is>
          <t>2022-05-19</t>
        </is>
      </c>
      <c r="B772" t="n">
        <v>25</v>
      </c>
      <c r="C772" t="n">
        <v>2963</v>
      </c>
      <c r="D772" s="6" t="n">
        <v>104.7</v>
      </c>
      <c r="E772" s="6" t="n">
        <v>1029965.43</v>
      </c>
      <c r="F772" s="6">
        <f>ROUND(E772-E771,2)</f>
        <v/>
      </c>
      <c r="G772" s="6">
        <f>ROUND(F772-D772,2)</f>
        <v/>
      </c>
    </row>
    <row r="773">
      <c r="A773" t="inlineStr">
        <is>
          <t>2022-05-19</t>
        </is>
      </c>
      <c r="B773" t="n">
        <v>26</v>
      </c>
      <c r="C773" t="n">
        <v>2963</v>
      </c>
      <c r="D773" s="6" t="n">
        <v>145.5</v>
      </c>
      <c r="E773" s="6" t="n">
        <v>1030110.93</v>
      </c>
      <c r="F773" s="6">
        <f>ROUND(E773-E772,2)</f>
        <v/>
      </c>
      <c r="G773" s="6">
        <f>ROUND(F773-D773,2)</f>
        <v/>
      </c>
    </row>
    <row r="774">
      <c r="A774" t="inlineStr">
        <is>
          <t>2022-05-19</t>
        </is>
      </c>
      <c r="B774" t="n">
        <v>27</v>
      </c>
      <c r="C774" t="n">
        <v>2963</v>
      </c>
      <c r="D774" s="6" t="n">
        <v>55.1</v>
      </c>
      <c r="E774" s="6" t="n">
        <v>1030166.03</v>
      </c>
      <c r="F774" s="6">
        <f>ROUND(E774-E773,2)</f>
        <v/>
      </c>
      <c r="G774" s="6">
        <f>ROUND(F774-D774,2)</f>
        <v/>
      </c>
    </row>
    <row r="775">
      <c r="A775" t="inlineStr">
        <is>
          <t>2022-05-19</t>
        </is>
      </c>
      <c r="B775" t="n">
        <v>28</v>
      </c>
      <c r="C775" t="n">
        <v>2963</v>
      </c>
      <c r="D775" s="6" t="n">
        <v>110.1</v>
      </c>
      <c r="E775" s="6" t="n">
        <v>1030276.13</v>
      </c>
      <c r="F775" s="6">
        <f>ROUND(E775-E774,2)</f>
        <v/>
      </c>
      <c r="G775" s="6">
        <f>ROUND(F775-D775,2)</f>
        <v/>
      </c>
    </row>
    <row r="776">
      <c r="A776" t="inlineStr">
        <is>
          <t>2022-05-19</t>
        </is>
      </c>
      <c r="B776" t="n">
        <v>29</v>
      </c>
      <c r="C776" t="n">
        <v>2963</v>
      </c>
      <c r="D776" s="6" t="n">
        <v>45.8</v>
      </c>
      <c r="E776" s="6" t="n">
        <v>1030321.93</v>
      </c>
      <c r="F776" s="6">
        <f>ROUND(E776-E775,2)</f>
        <v/>
      </c>
      <c r="G776" s="6">
        <f>ROUND(F776-D776,2)</f>
        <v/>
      </c>
    </row>
    <row r="777">
      <c r="A777" t="inlineStr">
        <is>
          <t>2022-05-20</t>
        </is>
      </c>
      <c r="B777" t="n">
        <v>1</v>
      </c>
      <c r="C777" t="n">
        <v>2964</v>
      </c>
      <c r="D777" s="6" t="n">
        <v>21.6</v>
      </c>
      <c r="E777" s="6" t="n">
        <v>1030343.53</v>
      </c>
      <c r="F777" s="6">
        <f>ROUND(E777-E776,2)</f>
        <v/>
      </c>
      <c r="G777" s="6">
        <f>ROUND(F777-D777,2)</f>
        <v/>
      </c>
    </row>
    <row r="778">
      <c r="A778" t="inlineStr">
        <is>
          <t>2022-05-20</t>
        </is>
      </c>
      <c r="B778" t="n">
        <v>2</v>
      </c>
      <c r="C778" t="n">
        <v>2964</v>
      </c>
      <c r="D778" s="6" t="n">
        <v>36.6</v>
      </c>
      <c r="E778" s="6" t="n">
        <v>1030380.13</v>
      </c>
      <c r="F778" s="6">
        <f>ROUND(E778-E777,2)</f>
        <v/>
      </c>
      <c r="G778" s="6">
        <f>ROUND(F778-D778,2)</f>
        <v/>
      </c>
    </row>
    <row r="779">
      <c r="A779" t="inlineStr">
        <is>
          <t>2022-05-20</t>
        </is>
      </c>
      <c r="B779" t="n">
        <v>3</v>
      </c>
      <c r="C779" t="n">
        <v>2964</v>
      </c>
      <c r="D779" s="6" t="n">
        <v>65.7</v>
      </c>
      <c r="E779" s="6" t="n">
        <v>1030445.83</v>
      </c>
      <c r="F779" s="6">
        <f>ROUND(E779-E778,2)</f>
        <v/>
      </c>
      <c r="G779" s="6">
        <f>ROUND(F779-D779,2)</f>
        <v/>
      </c>
    </row>
    <row r="780">
      <c r="A780" t="inlineStr">
        <is>
          <t>2022-05-20</t>
        </is>
      </c>
      <c r="B780" t="n">
        <v>4</v>
      </c>
      <c r="C780" t="n">
        <v>2964</v>
      </c>
      <c r="D780" s="6" t="n">
        <v>60.6</v>
      </c>
      <c r="E780" s="6" t="n">
        <v>1030506.43</v>
      </c>
      <c r="F780" s="6">
        <f>ROUND(E780-E779,2)</f>
        <v/>
      </c>
      <c r="G780" s="6">
        <f>ROUND(F780-D780,2)</f>
        <v/>
      </c>
    </row>
    <row r="781">
      <c r="A781" t="inlineStr">
        <is>
          <t>2022-05-20</t>
        </is>
      </c>
      <c r="B781" t="n">
        <v>5</v>
      </c>
      <c r="C781" t="n">
        <v>2964</v>
      </c>
      <c r="D781" s="6" t="n">
        <v>64.5</v>
      </c>
      <c r="E781" s="6" t="n">
        <v>1030570.93</v>
      </c>
      <c r="F781" s="6">
        <f>ROUND(E781-E780,2)</f>
        <v/>
      </c>
      <c r="G781" s="6">
        <f>ROUND(F781-D781,2)</f>
        <v/>
      </c>
    </row>
    <row r="782">
      <c r="A782" t="inlineStr">
        <is>
          <t>2022-05-20</t>
        </is>
      </c>
      <c r="B782" t="n">
        <v>6</v>
      </c>
      <c r="C782" t="n">
        <v>2964</v>
      </c>
      <c r="D782" s="6" t="n">
        <v>61.7</v>
      </c>
      <c r="E782" s="6" t="n">
        <v>1030632.63</v>
      </c>
      <c r="F782" s="6">
        <f>ROUND(E782-E781,2)</f>
        <v/>
      </c>
      <c r="G782" s="6">
        <f>ROUND(F782-D782,2)</f>
        <v/>
      </c>
    </row>
    <row r="783">
      <c r="A783" t="inlineStr">
        <is>
          <t>2022-05-20</t>
        </is>
      </c>
      <c r="B783" t="n">
        <v>7</v>
      </c>
      <c r="C783" t="n">
        <v>2964</v>
      </c>
      <c r="D783" s="6" t="n">
        <v>49.7</v>
      </c>
      <c r="E783" s="6" t="n">
        <v>1030682.33</v>
      </c>
      <c r="F783" s="6">
        <f>ROUND(E783-E782,2)</f>
        <v/>
      </c>
      <c r="G783" s="6">
        <f>ROUND(F783-D783,2)</f>
        <v/>
      </c>
    </row>
    <row r="784">
      <c r="A784" t="inlineStr">
        <is>
          <t>2022-05-20</t>
        </is>
      </c>
      <c r="B784" t="n">
        <v>8</v>
      </c>
      <c r="C784" t="n">
        <v>2964</v>
      </c>
      <c r="D784" s="6" t="n">
        <v>34</v>
      </c>
      <c r="E784" s="6" t="n">
        <v>1030716.33</v>
      </c>
      <c r="F784" s="6">
        <f>ROUND(E784-E783,2)</f>
        <v/>
      </c>
      <c r="G784" s="6">
        <f>ROUND(F784-D784,2)</f>
        <v/>
      </c>
    </row>
    <row r="785">
      <c r="A785" t="inlineStr">
        <is>
          <t>2022-05-20</t>
        </is>
      </c>
      <c r="B785" t="n">
        <v>9</v>
      </c>
      <c r="C785" t="n">
        <v>2964</v>
      </c>
      <c r="D785" s="6" t="n">
        <v>30.4</v>
      </c>
      <c r="E785" s="6" t="n">
        <v>1030746.73</v>
      </c>
      <c r="F785" s="6">
        <f>ROUND(E785-E784,2)</f>
        <v/>
      </c>
      <c r="G785" s="6">
        <f>ROUND(F785-D785,2)</f>
        <v/>
      </c>
    </row>
    <row r="786">
      <c r="A786" t="inlineStr">
        <is>
          <t>2022-05-20</t>
        </is>
      </c>
      <c r="B786" t="n">
        <v>10</v>
      </c>
      <c r="C786" t="n">
        <v>2964</v>
      </c>
      <c r="D786" s="6" t="n">
        <v>53.2</v>
      </c>
      <c r="E786" s="6" t="n">
        <v>1030799.93</v>
      </c>
      <c r="F786" s="6">
        <f>ROUND(E786-E785,2)</f>
        <v/>
      </c>
      <c r="G786" s="6">
        <f>ROUND(F786-D786,2)</f>
        <v/>
      </c>
    </row>
    <row r="787">
      <c r="A787" t="inlineStr">
        <is>
          <t>2022-05-20</t>
        </is>
      </c>
      <c r="B787" t="n">
        <v>11</v>
      </c>
      <c r="C787" t="n">
        <v>2964</v>
      </c>
      <c r="D787" s="6" t="n">
        <v>38.1</v>
      </c>
      <c r="E787" s="6" t="n">
        <v>1030838.03</v>
      </c>
      <c r="F787" s="6">
        <f>ROUND(E787-E786,2)</f>
        <v/>
      </c>
      <c r="G787" s="6">
        <f>ROUND(F787-D787,2)</f>
        <v/>
      </c>
    </row>
    <row r="788">
      <c r="A788" t="inlineStr">
        <is>
          <t>2022-05-20</t>
        </is>
      </c>
      <c r="B788" t="n">
        <v>12</v>
      </c>
      <c r="C788" t="n">
        <v>2964</v>
      </c>
      <c r="D788" s="6" t="n">
        <v>62.9</v>
      </c>
      <c r="E788" s="6" t="n">
        <v>1030900.93</v>
      </c>
      <c r="F788" s="6">
        <f>ROUND(E788-E787,2)</f>
        <v/>
      </c>
      <c r="G788" s="6">
        <f>ROUND(F788-D788,2)</f>
        <v/>
      </c>
    </row>
    <row r="789">
      <c r="A789" t="inlineStr">
        <is>
          <t>2022-05-20</t>
        </is>
      </c>
      <c r="B789" t="n">
        <v>13</v>
      </c>
      <c r="C789" t="n">
        <v>2964</v>
      </c>
      <c r="D789" s="6" t="n">
        <v>96.5</v>
      </c>
      <c r="E789" s="6" t="n">
        <v>1030997.43</v>
      </c>
      <c r="F789" s="6">
        <f>ROUND(E789-E788,2)</f>
        <v/>
      </c>
      <c r="G789" s="6">
        <f>ROUND(F789-D789,2)</f>
        <v/>
      </c>
    </row>
    <row r="790">
      <c r="A790" t="inlineStr">
        <is>
          <t>2022-05-20</t>
        </is>
      </c>
      <c r="B790" t="n">
        <v>14</v>
      </c>
      <c r="C790" t="n">
        <v>2964</v>
      </c>
      <c r="D790" s="6" t="n">
        <v>121.7</v>
      </c>
      <c r="E790" s="6" t="n">
        <v>1031119.13</v>
      </c>
      <c r="F790" s="6">
        <f>ROUND(E790-E789,2)</f>
        <v/>
      </c>
      <c r="G790" s="6">
        <f>ROUND(F790-D790,2)</f>
        <v/>
      </c>
    </row>
    <row r="791">
      <c r="A791" t="inlineStr">
        <is>
          <t>2022-05-20</t>
        </is>
      </c>
      <c r="B791" t="n">
        <v>15</v>
      </c>
      <c r="C791" t="n">
        <v>2964</v>
      </c>
      <c r="D791" s="6" t="n">
        <v>56.2</v>
      </c>
      <c r="E791" s="6" t="n">
        <v>1031175.33</v>
      </c>
      <c r="F791" s="6">
        <f>ROUND(E791-E790,2)</f>
        <v/>
      </c>
      <c r="G791" s="6">
        <f>ROUND(F791-D791,2)</f>
        <v/>
      </c>
    </row>
    <row r="792">
      <c r="A792" t="inlineStr">
        <is>
          <t>2022-05-20</t>
        </is>
      </c>
      <c r="B792" t="n">
        <v>16</v>
      </c>
      <c r="C792" t="n">
        <v>2964</v>
      </c>
      <c r="D792" s="6" t="n">
        <v>169.8</v>
      </c>
      <c r="E792" s="6" t="n">
        <v>1031345.13</v>
      </c>
      <c r="F792" s="6">
        <f>ROUND(E792-E791,2)</f>
        <v/>
      </c>
      <c r="G792" s="6">
        <f>ROUND(F792-D792,2)</f>
        <v/>
      </c>
    </row>
    <row r="793">
      <c r="A793" t="inlineStr">
        <is>
          <t>2022-05-20</t>
        </is>
      </c>
      <c r="B793" t="n">
        <v>17</v>
      </c>
      <c r="C793" t="n">
        <v>2964</v>
      </c>
      <c r="D793" s="6" t="n">
        <v>28.7</v>
      </c>
      <c r="E793" s="6" t="n">
        <v>1031373.83</v>
      </c>
      <c r="F793" s="6">
        <f>ROUND(E793-E792,2)</f>
        <v/>
      </c>
      <c r="G793" s="6">
        <f>ROUND(F793-D793,2)</f>
        <v/>
      </c>
    </row>
    <row r="794">
      <c r="A794" t="inlineStr">
        <is>
          <t>2022-05-20</t>
        </is>
      </c>
      <c r="B794" t="n">
        <v>18</v>
      </c>
      <c r="C794" t="n">
        <v>2964</v>
      </c>
      <c r="D794" s="6" t="n">
        <v>92.8</v>
      </c>
      <c r="E794" s="6" t="n">
        <v>1031466.63</v>
      </c>
      <c r="F794" s="6">
        <f>ROUND(E794-E793,2)</f>
        <v/>
      </c>
      <c r="G794" s="6">
        <f>ROUND(F794-D794,2)</f>
        <v/>
      </c>
    </row>
    <row r="795">
      <c r="A795" t="inlineStr">
        <is>
          <t>2022-05-20</t>
        </is>
      </c>
      <c r="B795" t="n">
        <v>19</v>
      </c>
      <c r="C795" t="n">
        <v>2964</v>
      </c>
      <c r="D795" s="6" t="n">
        <v>52.3</v>
      </c>
      <c r="E795" s="6" t="n">
        <v>1031518.93</v>
      </c>
      <c r="F795" s="6">
        <f>ROUND(E795-E794,2)</f>
        <v/>
      </c>
      <c r="G795" s="6">
        <f>ROUND(F795-D795,2)</f>
        <v/>
      </c>
    </row>
    <row r="796">
      <c r="A796" t="inlineStr">
        <is>
          <t>2022-05-20</t>
        </is>
      </c>
      <c r="B796" t="n">
        <v>20</v>
      </c>
      <c r="C796" t="n">
        <v>2964</v>
      </c>
      <c r="D796" s="6" t="n">
        <v>49.2</v>
      </c>
      <c r="E796" s="6" t="n">
        <v>1031568.13</v>
      </c>
      <c r="F796" s="6">
        <f>ROUND(E796-E795,2)</f>
        <v/>
      </c>
      <c r="G796" s="6">
        <f>ROUND(F796-D796,2)</f>
        <v/>
      </c>
    </row>
    <row r="797">
      <c r="A797" t="inlineStr">
        <is>
          <t>2022-05-20</t>
        </is>
      </c>
      <c r="B797" t="n">
        <v>21</v>
      </c>
      <c r="C797" t="n">
        <v>2964</v>
      </c>
      <c r="D797" s="6" t="n">
        <v>80.40000000000001</v>
      </c>
      <c r="E797" s="6" t="n">
        <v>1031648.53</v>
      </c>
      <c r="F797" s="6">
        <f>ROUND(E797-E796,2)</f>
        <v/>
      </c>
      <c r="G797" s="6">
        <f>ROUND(F797-D797,2)</f>
        <v/>
      </c>
    </row>
    <row r="798">
      <c r="A798" t="inlineStr">
        <is>
          <t>2022-05-20</t>
        </is>
      </c>
      <c r="B798" t="n">
        <v>22</v>
      </c>
      <c r="C798" t="n">
        <v>2964</v>
      </c>
      <c r="D798" s="6" t="n">
        <v>52.7</v>
      </c>
      <c r="E798" s="6" t="n">
        <v>1031701.23</v>
      </c>
      <c r="F798" s="6">
        <f>ROUND(E798-E797,2)</f>
        <v/>
      </c>
      <c r="G798" s="6">
        <f>ROUND(F798-D798,2)</f>
        <v/>
      </c>
    </row>
    <row r="799">
      <c r="A799" t="inlineStr">
        <is>
          <t>2022-05-21</t>
        </is>
      </c>
      <c r="B799" t="n">
        <v>1</v>
      </c>
      <c r="C799" t="n">
        <v>2965</v>
      </c>
      <c r="D799" s="6" t="n">
        <v>57.8</v>
      </c>
      <c r="E799" s="6" t="n">
        <v>1031759.03</v>
      </c>
      <c r="F799" s="6">
        <f>ROUND(E799-E798,2)</f>
        <v/>
      </c>
      <c r="G799" s="6">
        <f>ROUND(F799-D799,2)</f>
        <v/>
      </c>
    </row>
    <row r="800">
      <c r="A800" t="inlineStr">
        <is>
          <t>2022-05-21</t>
        </is>
      </c>
      <c r="B800" t="n">
        <v>2</v>
      </c>
      <c r="C800" t="n">
        <v>2965</v>
      </c>
      <c r="D800" s="6" t="n">
        <v>57.7</v>
      </c>
      <c r="E800" s="6" t="n">
        <v>1031816.73</v>
      </c>
      <c r="F800" s="6">
        <f>ROUND(E800-E799,2)</f>
        <v/>
      </c>
      <c r="G800" s="6">
        <f>ROUND(F800-D800,2)</f>
        <v/>
      </c>
    </row>
    <row r="801">
      <c r="A801" t="inlineStr">
        <is>
          <t>2022-05-21</t>
        </is>
      </c>
      <c r="B801" t="n">
        <v>3</v>
      </c>
      <c r="C801" t="n">
        <v>2965</v>
      </c>
      <c r="D801" s="6" t="n">
        <v>64.3</v>
      </c>
      <c r="E801" s="6" t="n">
        <v>1031881.03</v>
      </c>
      <c r="F801" s="6">
        <f>ROUND(E801-E800,2)</f>
        <v/>
      </c>
      <c r="G801" s="6">
        <f>ROUND(F801-D801,2)</f>
        <v/>
      </c>
    </row>
    <row r="802">
      <c r="A802" t="inlineStr">
        <is>
          <t>2022-05-21</t>
        </is>
      </c>
      <c r="B802" t="n">
        <v>4</v>
      </c>
      <c r="C802" t="n">
        <v>2965</v>
      </c>
      <c r="D802" s="6" t="n">
        <v>69.7</v>
      </c>
      <c r="E802" s="6" t="n">
        <v>1031950.73</v>
      </c>
      <c r="F802" s="6">
        <f>ROUND(E802-E801,2)</f>
        <v/>
      </c>
      <c r="G802" s="6">
        <f>ROUND(F802-D802,2)</f>
        <v/>
      </c>
    </row>
    <row r="803">
      <c r="A803" t="inlineStr">
        <is>
          <t>2022-05-21</t>
        </is>
      </c>
      <c r="B803" t="n">
        <v>5</v>
      </c>
      <c r="C803" t="n">
        <v>2965</v>
      </c>
      <c r="D803" s="6" t="n">
        <v>101.2</v>
      </c>
      <c r="E803" s="6" t="n">
        <v>1032051.93</v>
      </c>
      <c r="F803" s="6">
        <f>ROUND(E803-E802,2)</f>
        <v/>
      </c>
      <c r="G803" s="6">
        <f>ROUND(F803-D803,2)</f>
        <v/>
      </c>
    </row>
    <row r="804">
      <c r="A804" t="inlineStr">
        <is>
          <t>2022-05-21</t>
        </is>
      </c>
      <c r="B804" t="n">
        <v>6</v>
      </c>
      <c r="C804" t="n">
        <v>2965</v>
      </c>
      <c r="D804" s="6" t="n">
        <v>57.7</v>
      </c>
      <c r="E804" s="6" t="n">
        <v>1032109.63</v>
      </c>
      <c r="F804" s="6">
        <f>ROUND(E804-E803,2)</f>
        <v/>
      </c>
      <c r="G804" s="6">
        <f>ROUND(F804-D804,2)</f>
        <v/>
      </c>
    </row>
    <row r="805">
      <c r="A805" t="inlineStr">
        <is>
          <t>2022-05-21</t>
        </is>
      </c>
      <c r="B805" t="n">
        <v>7</v>
      </c>
      <c r="C805" t="n">
        <v>2965</v>
      </c>
      <c r="D805" s="6" t="n">
        <v>62.5</v>
      </c>
      <c r="E805" s="6" t="n">
        <v>1032172.13</v>
      </c>
      <c r="F805" s="6">
        <f>ROUND(E805-E804,2)</f>
        <v/>
      </c>
      <c r="G805" s="6">
        <f>ROUND(F805-D805,2)</f>
        <v/>
      </c>
    </row>
    <row r="806">
      <c r="A806" t="inlineStr">
        <is>
          <t>2022-05-21</t>
        </is>
      </c>
      <c r="B806" t="n">
        <v>8</v>
      </c>
      <c r="C806" t="n">
        <v>2965</v>
      </c>
      <c r="D806" s="6" t="n">
        <v>25.8</v>
      </c>
      <c r="E806" s="6" t="n">
        <v>1032197.93</v>
      </c>
      <c r="F806" s="6">
        <f>ROUND(E806-E805,2)</f>
        <v/>
      </c>
      <c r="G806" s="6">
        <f>ROUND(F806-D806,2)</f>
        <v/>
      </c>
    </row>
    <row r="807">
      <c r="A807" t="inlineStr">
        <is>
          <t>2022-05-21</t>
        </is>
      </c>
      <c r="B807" t="n">
        <v>9</v>
      </c>
      <c r="C807" t="n">
        <v>2965</v>
      </c>
      <c r="D807" s="6" t="n">
        <v>160.4</v>
      </c>
      <c r="E807" s="6" t="n">
        <v>1032358.33</v>
      </c>
      <c r="F807" s="6">
        <f>ROUND(E807-E806,2)</f>
        <v/>
      </c>
      <c r="G807" s="6">
        <f>ROUND(F807-D807,2)</f>
        <v/>
      </c>
    </row>
    <row r="808">
      <c r="A808" t="inlineStr">
        <is>
          <t>2022-05-21</t>
        </is>
      </c>
      <c r="B808" t="n">
        <v>10</v>
      </c>
      <c r="C808" t="n">
        <v>2965</v>
      </c>
      <c r="D808" s="6" t="n">
        <v>81.8</v>
      </c>
      <c r="E808" s="6" t="n">
        <v>1032440.13</v>
      </c>
      <c r="F808" s="6">
        <f>ROUND(E808-E807,2)</f>
        <v/>
      </c>
      <c r="G808" s="6">
        <f>ROUND(F808-D808,2)</f>
        <v/>
      </c>
    </row>
    <row r="809">
      <c r="A809" t="inlineStr">
        <is>
          <t>2022-05-21</t>
        </is>
      </c>
      <c r="B809" t="n">
        <v>11</v>
      </c>
      <c r="C809" t="n">
        <v>2965</v>
      </c>
      <c r="D809" s="6" t="n">
        <v>43.35</v>
      </c>
      <c r="E809" s="6" t="n">
        <v>1032483.48</v>
      </c>
      <c r="F809" s="6">
        <f>ROUND(E809-E808,2)</f>
        <v/>
      </c>
      <c r="G809" s="6">
        <f>ROUND(F809-D809,2)</f>
        <v/>
      </c>
    </row>
    <row r="810">
      <c r="A810" t="inlineStr">
        <is>
          <t>2022-05-21</t>
        </is>
      </c>
      <c r="B810" t="n">
        <v>12</v>
      </c>
      <c r="C810" t="n">
        <v>2965</v>
      </c>
      <c r="D810" s="6" t="n">
        <v>43.35</v>
      </c>
      <c r="E810" s="6" t="n">
        <v>1032526.83</v>
      </c>
      <c r="F810" s="6">
        <f>ROUND(E810-E809,2)</f>
        <v/>
      </c>
      <c r="G810" s="6">
        <f>ROUND(F810-D810,2)</f>
        <v/>
      </c>
    </row>
    <row r="811">
      <c r="A811" t="inlineStr">
        <is>
          <t>2022-05-21</t>
        </is>
      </c>
      <c r="B811" t="n">
        <v>13</v>
      </c>
      <c r="C811" t="n">
        <v>2965</v>
      </c>
      <c r="D811" s="6" t="n">
        <v>66.40000000000001</v>
      </c>
      <c r="E811" s="6" t="n">
        <v>1032593.23</v>
      </c>
      <c r="F811" s="6">
        <f>ROUND(E811-E810,2)</f>
        <v/>
      </c>
      <c r="G811" s="6">
        <f>ROUND(F811-D811,2)</f>
        <v/>
      </c>
    </row>
    <row r="812">
      <c r="A812" t="inlineStr">
        <is>
          <t>2022-05-21</t>
        </is>
      </c>
      <c r="B812" t="n">
        <v>14</v>
      </c>
      <c r="C812" t="n">
        <v>2965</v>
      </c>
      <c r="D812" s="6" t="n">
        <v>18.6</v>
      </c>
      <c r="E812" s="6" t="n">
        <v>1032611.83</v>
      </c>
      <c r="F812" s="6">
        <f>ROUND(E812-E811,2)</f>
        <v/>
      </c>
      <c r="G812" s="6">
        <f>ROUND(F812-D812,2)</f>
        <v/>
      </c>
    </row>
    <row r="813">
      <c r="A813" t="inlineStr">
        <is>
          <t>2022-05-21</t>
        </is>
      </c>
      <c r="B813" t="n">
        <v>15</v>
      </c>
      <c r="C813" t="n">
        <v>2965</v>
      </c>
      <c r="D813" s="6" t="n">
        <v>46.4</v>
      </c>
      <c r="E813" s="6" t="n">
        <v>1032658.23</v>
      </c>
      <c r="F813" s="6">
        <f>ROUND(E813-E812,2)</f>
        <v/>
      </c>
      <c r="G813" s="6">
        <f>ROUND(F813-D813,2)</f>
        <v/>
      </c>
    </row>
    <row r="814">
      <c r="A814" t="inlineStr">
        <is>
          <t>2022-05-21</t>
        </is>
      </c>
      <c r="B814" t="n">
        <v>16</v>
      </c>
      <c r="C814" t="n">
        <v>2965</v>
      </c>
      <c r="D814" s="6" t="n">
        <v>124.3</v>
      </c>
      <c r="E814" s="6" t="n">
        <v>1032782.53</v>
      </c>
      <c r="F814" s="6">
        <f>ROUND(E814-E813,2)</f>
        <v/>
      </c>
      <c r="G814" s="6">
        <f>ROUND(F814-D814,2)</f>
        <v/>
      </c>
    </row>
    <row r="815">
      <c r="A815" t="inlineStr">
        <is>
          <t>2022-05-21</t>
        </is>
      </c>
      <c r="B815" t="n">
        <v>17</v>
      </c>
      <c r="C815" t="n">
        <v>2965</v>
      </c>
      <c r="D815" s="6" t="n">
        <v>148.5</v>
      </c>
      <c r="E815" s="6" t="n">
        <v>1032931.03</v>
      </c>
      <c r="F815" s="6">
        <f>ROUND(E815-E814,2)</f>
        <v/>
      </c>
      <c r="G815" s="6">
        <f>ROUND(F815-D815,2)</f>
        <v/>
      </c>
    </row>
    <row r="816">
      <c r="A816" t="inlineStr">
        <is>
          <t>2022-05-21</t>
        </is>
      </c>
      <c r="B816" t="n">
        <v>18</v>
      </c>
      <c r="C816" t="n">
        <v>2965</v>
      </c>
      <c r="D816" s="6" t="n">
        <v>55.5</v>
      </c>
      <c r="E816" s="6" t="n">
        <v>1032986.53</v>
      </c>
      <c r="F816" s="6">
        <f>ROUND(E816-E815,2)</f>
        <v/>
      </c>
      <c r="G816" s="6">
        <f>ROUND(F816-D816,2)</f>
        <v/>
      </c>
    </row>
    <row r="817">
      <c r="A817" t="inlineStr">
        <is>
          <t>2022-05-21</t>
        </is>
      </c>
      <c r="B817" t="n">
        <v>19</v>
      </c>
      <c r="C817" t="n">
        <v>2965</v>
      </c>
      <c r="D817" s="6" t="n">
        <v>42</v>
      </c>
      <c r="E817" s="6" t="n">
        <v>1033028.53</v>
      </c>
      <c r="F817" s="6">
        <f>ROUND(E817-E816,2)</f>
        <v/>
      </c>
      <c r="G817" s="6">
        <f>ROUND(F817-D817,2)</f>
        <v/>
      </c>
    </row>
    <row r="818">
      <c r="A818" t="inlineStr">
        <is>
          <t>2022-05-21</t>
        </is>
      </c>
      <c r="B818" t="n">
        <v>20</v>
      </c>
      <c r="C818" t="n">
        <v>2965</v>
      </c>
      <c r="D818" s="6" t="n">
        <v>194.4</v>
      </c>
      <c r="E818" s="6" t="n">
        <v>1033222.93</v>
      </c>
      <c r="F818" s="6">
        <f>ROUND(E818-E817,2)</f>
        <v/>
      </c>
      <c r="G818" s="6">
        <f>ROUND(F818-D818,2)</f>
        <v/>
      </c>
    </row>
    <row r="819">
      <c r="A819" t="inlineStr">
        <is>
          <t>2022-05-21</t>
        </is>
      </c>
      <c r="B819" t="n">
        <v>21</v>
      </c>
      <c r="C819" t="n">
        <v>2965</v>
      </c>
      <c r="D819" s="6" t="n">
        <v>32.3</v>
      </c>
      <c r="E819" s="6" t="n">
        <v>1033255.23</v>
      </c>
      <c r="F819" s="6">
        <f>ROUND(E819-E818,2)</f>
        <v/>
      </c>
      <c r="G819" s="6">
        <f>ROUND(F819-D819,2)</f>
        <v/>
      </c>
    </row>
    <row r="820">
      <c r="A820" t="inlineStr">
        <is>
          <t>2022-05-21</t>
        </is>
      </c>
      <c r="B820" t="n">
        <v>22</v>
      </c>
      <c r="C820" t="n">
        <v>2965</v>
      </c>
      <c r="D820" s="6" t="n">
        <v>85.7</v>
      </c>
      <c r="E820" s="6" t="n">
        <v>1033340.93</v>
      </c>
      <c r="F820" s="6">
        <f>ROUND(E820-E819,2)</f>
        <v/>
      </c>
      <c r="G820" s="6">
        <f>ROUND(F820-D820,2)</f>
        <v/>
      </c>
    </row>
    <row r="821">
      <c r="A821" t="inlineStr">
        <is>
          <t>2022-05-21</t>
        </is>
      </c>
      <c r="B821" t="n">
        <v>23</v>
      </c>
      <c r="C821" t="n">
        <v>2965</v>
      </c>
      <c r="D821" s="6" t="n">
        <v>56.3</v>
      </c>
      <c r="E821" s="6" t="n">
        <v>1033397.23</v>
      </c>
      <c r="F821" s="6">
        <f>ROUND(E821-E820,2)</f>
        <v/>
      </c>
      <c r="G821" s="6">
        <f>ROUND(F821-D821,2)</f>
        <v/>
      </c>
    </row>
    <row r="822">
      <c r="A822" t="inlineStr">
        <is>
          <t>2022-05-21</t>
        </is>
      </c>
      <c r="B822" t="n">
        <v>24</v>
      </c>
      <c r="C822" t="n">
        <v>2965</v>
      </c>
      <c r="D822" s="6" t="n">
        <v>73.40000000000001</v>
      </c>
      <c r="E822" s="6" t="n">
        <v>1033470.63</v>
      </c>
      <c r="F822" s="6">
        <f>ROUND(E822-E821,2)</f>
        <v/>
      </c>
      <c r="G822" s="6">
        <f>ROUND(F822-D822,2)</f>
        <v/>
      </c>
    </row>
    <row r="823">
      <c r="A823" t="inlineStr">
        <is>
          <t>2022-05-21</t>
        </is>
      </c>
      <c r="B823" t="n">
        <v>25</v>
      </c>
      <c r="C823" t="n">
        <v>2965</v>
      </c>
      <c r="D823" s="6" t="n">
        <v>101.3</v>
      </c>
      <c r="E823" s="6" t="n">
        <v>1033571.93</v>
      </c>
      <c r="F823" s="6">
        <f>ROUND(E823-E822,2)</f>
        <v/>
      </c>
      <c r="G823" s="6">
        <f>ROUND(F823-D823,2)</f>
        <v/>
      </c>
    </row>
    <row r="824">
      <c r="A824" t="inlineStr">
        <is>
          <t>2022-05-21</t>
        </is>
      </c>
      <c r="B824" t="n">
        <v>26</v>
      </c>
      <c r="C824" t="n">
        <v>2965</v>
      </c>
      <c r="D824" s="6" t="n">
        <v>111.4</v>
      </c>
      <c r="E824" s="6" t="n">
        <v>1033683.33</v>
      </c>
      <c r="F824" s="6">
        <f>ROUND(E824-E823,2)</f>
        <v/>
      </c>
      <c r="G824" s="6">
        <f>ROUND(F824-D824,2)</f>
        <v/>
      </c>
    </row>
    <row r="825">
      <c r="A825" t="inlineStr">
        <is>
          <t>2022-05-21</t>
        </is>
      </c>
      <c r="B825" t="n">
        <v>27</v>
      </c>
      <c r="C825" t="n">
        <v>2965</v>
      </c>
      <c r="D825" s="6" t="n">
        <v>93.3</v>
      </c>
      <c r="E825" s="6" t="n">
        <v>1033776.63</v>
      </c>
      <c r="F825" s="6">
        <f>ROUND(E825-E824,2)</f>
        <v/>
      </c>
      <c r="G825" s="6">
        <f>ROUND(F825-D825,2)</f>
        <v/>
      </c>
    </row>
    <row r="826">
      <c r="A826" t="inlineStr">
        <is>
          <t>2022-05-21</t>
        </is>
      </c>
      <c r="B826" t="n">
        <v>28</v>
      </c>
      <c r="C826" t="n">
        <v>2965</v>
      </c>
      <c r="D826" s="6" t="n">
        <v>93.59999999999999</v>
      </c>
      <c r="E826" s="6" t="n">
        <v>1033870.23</v>
      </c>
      <c r="F826" s="6">
        <f>ROUND(E826-E825,2)</f>
        <v/>
      </c>
      <c r="G826" s="6">
        <f>ROUND(F826-D826,2)</f>
        <v/>
      </c>
    </row>
    <row r="827">
      <c r="A827" t="inlineStr">
        <is>
          <t>2022-05-21</t>
        </is>
      </c>
      <c r="B827" t="n">
        <v>29</v>
      </c>
      <c r="C827" t="n">
        <v>2965</v>
      </c>
      <c r="D827" s="6" t="n">
        <v>25.4</v>
      </c>
      <c r="E827" s="6" t="n">
        <v>1033895.63</v>
      </c>
      <c r="F827" s="6">
        <f>ROUND(E827-E826,2)</f>
        <v/>
      </c>
      <c r="G827" s="6">
        <f>ROUND(F827-D827,2)</f>
        <v/>
      </c>
    </row>
    <row r="828">
      <c r="A828" t="inlineStr">
        <is>
          <t>2022-05-21</t>
        </is>
      </c>
      <c r="B828" t="n">
        <v>30</v>
      </c>
      <c r="C828" t="n">
        <v>2965</v>
      </c>
      <c r="D828" s="6" t="n">
        <v>67.3</v>
      </c>
      <c r="E828" s="6" t="n">
        <v>1033962.93</v>
      </c>
      <c r="F828" s="6">
        <f>ROUND(E828-E827,2)</f>
        <v/>
      </c>
      <c r="G828" s="6">
        <f>ROUND(F828-D828,2)</f>
        <v/>
      </c>
    </row>
    <row r="829">
      <c r="A829" t="inlineStr">
        <is>
          <t>2022-05-21</t>
        </is>
      </c>
      <c r="B829" t="n">
        <v>31</v>
      </c>
      <c r="C829" t="n">
        <v>2965</v>
      </c>
      <c r="D829" s="6" t="n">
        <v>59</v>
      </c>
      <c r="E829" s="6" t="n">
        <v>1034021.93</v>
      </c>
      <c r="F829" s="6">
        <f>ROUND(E829-E828,2)</f>
        <v/>
      </c>
      <c r="G829" s="6">
        <f>ROUND(F829-D829,2)</f>
        <v/>
      </c>
    </row>
    <row r="830">
      <c r="A830" t="inlineStr">
        <is>
          <t>2022-05-21</t>
        </is>
      </c>
      <c r="B830" t="n">
        <v>32</v>
      </c>
      <c r="C830" t="n">
        <v>2965</v>
      </c>
      <c r="D830" s="6" t="n">
        <v>59.8</v>
      </c>
      <c r="E830" s="6" t="n">
        <v>1034081.73</v>
      </c>
      <c r="F830" s="6">
        <f>ROUND(E830-E829,2)</f>
        <v/>
      </c>
      <c r="G830" s="6">
        <f>ROUND(F830-D830,2)</f>
        <v/>
      </c>
    </row>
    <row r="831">
      <c r="A831" t="inlineStr">
        <is>
          <t>2022-05-21</t>
        </is>
      </c>
      <c r="B831" t="n">
        <v>33</v>
      </c>
      <c r="C831" t="n">
        <v>2965</v>
      </c>
      <c r="D831" s="6" t="n">
        <v>139.7</v>
      </c>
      <c r="E831" s="6" t="n">
        <v>1034221.43</v>
      </c>
      <c r="F831" s="6">
        <f>ROUND(E831-E830,2)</f>
        <v/>
      </c>
      <c r="G831" s="6">
        <f>ROUND(F831-D831,2)</f>
        <v/>
      </c>
    </row>
    <row r="832">
      <c r="A832" t="inlineStr">
        <is>
          <t>2022-05-21</t>
        </is>
      </c>
      <c r="B832" t="n">
        <v>34</v>
      </c>
      <c r="C832" t="n">
        <v>2965</v>
      </c>
      <c r="D832" s="6" t="n">
        <v>90.7</v>
      </c>
      <c r="E832" s="6" t="n">
        <v>1034312.13</v>
      </c>
      <c r="F832" s="6">
        <f>ROUND(E832-E831,2)</f>
        <v/>
      </c>
      <c r="G832" s="6">
        <f>ROUND(F832-D832,2)</f>
        <v/>
      </c>
    </row>
    <row r="833">
      <c r="A833" t="inlineStr">
        <is>
          <t>2022-05-21</t>
        </is>
      </c>
      <c r="B833" t="n">
        <v>35</v>
      </c>
      <c r="C833" t="n">
        <v>2965</v>
      </c>
      <c r="D833" s="6" t="n">
        <v>48.8</v>
      </c>
      <c r="E833" s="6" t="n">
        <v>1034360.93</v>
      </c>
      <c r="F833" s="6">
        <f>ROUND(E833-E832,2)</f>
        <v/>
      </c>
      <c r="G833" s="6">
        <f>ROUND(F833-D833,2)</f>
        <v/>
      </c>
    </row>
    <row r="834">
      <c r="A834" t="inlineStr">
        <is>
          <t>2022-05-21</t>
        </is>
      </c>
      <c r="B834" t="n">
        <v>36</v>
      </c>
      <c r="C834" t="n">
        <v>2965</v>
      </c>
      <c r="D834" s="6" t="n">
        <v>60</v>
      </c>
      <c r="E834" s="6" t="n">
        <v>1034420.93</v>
      </c>
      <c r="F834" s="6">
        <f>ROUND(E834-E833,2)</f>
        <v/>
      </c>
      <c r="G834" s="6">
        <f>ROUND(F834-D834,2)</f>
        <v/>
      </c>
    </row>
    <row r="835">
      <c r="A835" t="inlineStr">
        <is>
          <t>2022-05-21</t>
        </is>
      </c>
      <c r="B835" t="n">
        <v>37</v>
      </c>
      <c r="C835" t="n">
        <v>2965</v>
      </c>
      <c r="D835" s="6" t="n">
        <v>44.6</v>
      </c>
      <c r="E835" s="6" t="n">
        <v>1034465.53</v>
      </c>
      <c r="F835" s="6">
        <f>ROUND(E835-E834,2)</f>
        <v/>
      </c>
      <c r="G835" s="6">
        <f>ROUND(F835-D835,2)</f>
        <v/>
      </c>
    </row>
    <row r="836">
      <c r="A836" t="inlineStr">
        <is>
          <t>2022-05-22</t>
        </is>
      </c>
      <c r="B836" t="n">
        <v>1</v>
      </c>
      <c r="C836" t="n">
        <v>2966</v>
      </c>
      <c r="D836" s="6" t="n">
        <v>60</v>
      </c>
      <c r="E836" s="6" t="n">
        <v>1034525.53</v>
      </c>
      <c r="F836" s="6">
        <f>ROUND(E836-E835,2)</f>
        <v/>
      </c>
      <c r="G836" s="6">
        <f>ROUND(F836-D836,2)</f>
        <v/>
      </c>
    </row>
    <row r="837">
      <c r="A837" t="inlineStr">
        <is>
          <t>2022-05-22</t>
        </is>
      </c>
      <c r="B837" t="n">
        <v>2</v>
      </c>
      <c r="C837" t="n">
        <v>2966</v>
      </c>
      <c r="D837" s="6" t="n">
        <v>68.40000000000001</v>
      </c>
      <c r="E837" s="6" t="n">
        <v>1034593.93</v>
      </c>
      <c r="F837" s="6">
        <f>ROUND(E837-E836,2)</f>
        <v/>
      </c>
      <c r="G837" s="6">
        <f>ROUND(F837-D837,2)</f>
        <v/>
      </c>
    </row>
    <row r="838">
      <c r="A838" t="inlineStr">
        <is>
          <t>2022-05-22</t>
        </is>
      </c>
      <c r="B838" t="n">
        <v>3</v>
      </c>
      <c r="C838" t="n">
        <v>2966</v>
      </c>
      <c r="D838" s="6" t="n">
        <v>50.1</v>
      </c>
      <c r="E838" s="6" t="n">
        <v>1034644.03</v>
      </c>
      <c r="F838" s="6">
        <f>ROUND(E838-E837,2)</f>
        <v/>
      </c>
      <c r="G838" s="6">
        <f>ROUND(F838-D838,2)</f>
        <v/>
      </c>
    </row>
    <row r="839">
      <c r="A839" t="inlineStr">
        <is>
          <t>2022-05-22</t>
        </is>
      </c>
      <c r="B839" t="n">
        <v>4</v>
      </c>
      <c r="C839" t="n">
        <v>2966</v>
      </c>
      <c r="D839" s="6" t="n">
        <v>31.8</v>
      </c>
      <c r="E839" s="6" t="n">
        <v>1034675.83</v>
      </c>
      <c r="F839" s="6">
        <f>ROUND(E839-E838,2)</f>
        <v/>
      </c>
      <c r="G839" s="6">
        <f>ROUND(F839-D839,2)</f>
        <v/>
      </c>
    </row>
    <row r="840">
      <c r="A840" t="inlineStr">
        <is>
          <t>2022-05-22</t>
        </is>
      </c>
      <c r="B840" t="n">
        <v>5</v>
      </c>
      <c r="C840" t="n">
        <v>2966</v>
      </c>
      <c r="D840" s="6" t="n">
        <v>48.9</v>
      </c>
      <c r="E840" s="6" t="n">
        <v>1034724.73</v>
      </c>
      <c r="F840" s="6">
        <f>ROUND(E840-E839,2)</f>
        <v/>
      </c>
      <c r="G840" s="6">
        <f>ROUND(F840-D840,2)</f>
        <v/>
      </c>
    </row>
    <row r="841">
      <c r="A841" t="inlineStr">
        <is>
          <t>2022-05-22</t>
        </is>
      </c>
      <c r="B841" t="n">
        <v>6</v>
      </c>
      <c r="C841" t="n">
        <v>2966</v>
      </c>
      <c r="D841" s="6" t="n">
        <v>144.3</v>
      </c>
      <c r="E841" s="6" t="n">
        <v>1034869.03</v>
      </c>
      <c r="F841" s="6">
        <f>ROUND(E841-E840,2)</f>
        <v/>
      </c>
      <c r="G841" s="6">
        <f>ROUND(F841-D841,2)</f>
        <v/>
      </c>
    </row>
    <row r="842">
      <c r="A842" t="inlineStr">
        <is>
          <t>2022-05-22</t>
        </is>
      </c>
      <c r="B842" t="n">
        <v>7</v>
      </c>
      <c r="C842" t="n">
        <v>2966</v>
      </c>
      <c r="D842" s="6" t="n">
        <v>77.09999999999999</v>
      </c>
      <c r="E842" s="6" t="n">
        <v>1034946.13</v>
      </c>
      <c r="F842" s="6">
        <f>ROUND(E842-E841,2)</f>
        <v/>
      </c>
      <c r="G842" s="6">
        <f>ROUND(F842-D842,2)</f>
        <v/>
      </c>
    </row>
    <row r="843">
      <c r="A843" t="inlineStr">
        <is>
          <t>2022-05-22</t>
        </is>
      </c>
      <c r="B843" t="n">
        <v>8</v>
      </c>
      <c r="C843" t="n">
        <v>2966</v>
      </c>
      <c r="D843" s="6" t="n">
        <v>76.3</v>
      </c>
      <c r="E843" s="6" t="n">
        <v>1035022.43</v>
      </c>
      <c r="F843" s="6">
        <f>ROUND(E843-E842,2)</f>
        <v/>
      </c>
      <c r="G843" s="6">
        <f>ROUND(F843-D843,2)</f>
        <v/>
      </c>
    </row>
    <row r="844">
      <c r="A844" t="inlineStr">
        <is>
          <t>2022-05-22</t>
        </is>
      </c>
      <c r="B844" t="n">
        <v>9</v>
      </c>
      <c r="C844" t="n">
        <v>2966</v>
      </c>
      <c r="D844" s="6" t="n">
        <v>74.2</v>
      </c>
      <c r="E844" s="6" t="n">
        <v>1035096.63</v>
      </c>
      <c r="F844" s="6">
        <f>ROUND(E844-E843,2)</f>
        <v/>
      </c>
      <c r="G844" s="6">
        <f>ROUND(F844-D844,2)</f>
        <v/>
      </c>
    </row>
    <row r="845">
      <c r="A845" t="inlineStr">
        <is>
          <t>2022-05-22</t>
        </is>
      </c>
      <c r="B845" t="n">
        <v>10</v>
      </c>
      <c r="C845" t="n">
        <v>2966</v>
      </c>
      <c r="D845" s="6" t="n">
        <v>37.2</v>
      </c>
      <c r="E845" s="6" t="n">
        <v>1035133.83</v>
      </c>
      <c r="F845" s="6">
        <f>ROUND(E845-E844,2)</f>
        <v/>
      </c>
      <c r="G845" s="6">
        <f>ROUND(F845-D845,2)</f>
        <v/>
      </c>
    </row>
    <row r="846">
      <c r="A846" t="inlineStr">
        <is>
          <t>2022-05-22</t>
        </is>
      </c>
      <c r="B846" t="n">
        <v>11</v>
      </c>
      <c r="C846" t="n">
        <v>2966</v>
      </c>
      <c r="D846" s="6" t="n">
        <v>37.2</v>
      </c>
      <c r="E846" s="6" t="n">
        <v>1035171.03</v>
      </c>
      <c r="F846" s="6">
        <f>ROUND(E846-E845,2)</f>
        <v/>
      </c>
      <c r="G846" s="6">
        <f>ROUND(F846-D846,2)</f>
        <v/>
      </c>
    </row>
    <row r="847">
      <c r="A847" t="inlineStr">
        <is>
          <t>2022-05-22</t>
        </is>
      </c>
      <c r="B847" t="n">
        <v>12</v>
      </c>
      <c r="C847" t="n">
        <v>2966</v>
      </c>
      <c r="D847" s="6" t="n">
        <v>51.6</v>
      </c>
      <c r="E847" s="6" t="n">
        <v>1035222.63</v>
      </c>
      <c r="F847" s="6">
        <f>ROUND(E847-E846,2)</f>
        <v/>
      </c>
      <c r="G847" s="6">
        <f>ROUND(F847-D847,2)</f>
        <v/>
      </c>
    </row>
    <row r="848">
      <c r="A848" t="inlineStr">
        <is>
          <t>2022-05-22</t>
        </is>
      </c>
      <c r="B848" t="n">
        <v>13</v>
      </c>
      <c r="C848" t="n">
        <v>2966</v>
      </c>
      <c r="D848" s="6" t="n">
        <v>236.4</v>
      </c>
      <c r="E848" s="6" t="n">
        <v>1035459.03</v>
      </c>
      <c r="F848" s="6">
        <f>ROUND(E848-E847,2)</f>
        <v/>
      </c>
      <c r="G848" s="6">
        <f>ROUND(F848-D848,2)</f>
        <v/>
      </c>
    </row>
    <row r="849">
      <c r="A849" t="inlineStr">
        <is>
          <t>2022-05-22</t>
        </is>
      </c>
      <c r="B849" t="n">
        <v>14</v>
      </c>
      <c r="C849" t="n">
        <v>2966</v>
      </c>
      <c r="D849" s="6" t="n">
        <v>76.8</v>
      </c>
      <c r="E849" s="6" t="n">
        <v>1035535.83</v>
      </c>
      <c r="F849" s="6">
        <f>ROUND(E849-E848,2)</f>
        <v/>
      </c>
      <c r="G849" s="6">
        <f>ROUND(F849-D849,2)</f>
        <v/>
      </c>
    </row>
    <row r="850">
      <c r="A850" t="inlineStr">
        <is>
          <t>2022-05-22</t>
        </is>
      </c>
      <c r="B850" t="n">
        <v>15</v>
      </c>
      <c r="C850" t="n">
        <v>2966</v>
      </c>
      <c r="D850" s="6" t="n">
        <v>92.75</v>
      </c>
      <c r="E850" s="6" t="n">
        <v>1035628.58</v>
      </c>
      <c r="F850" s="6">
        <f>ROUND(E850-E849,2)</f>
        <v/>
      </c>
      <c r="G850" s="6">
        <f>ROUND(F850-D850,2)</f>
        <v/>
      </c>
    </row>
    <row r="851">
      <c r="A851" t="inlineStr">
        <is>
          <t>2022-05-22</t>
        </is>
      </c>
      <c r="B851" t="n">
        <v>16</v>
      </c>
      <c r="C851" t="n">
        <v>2966</v>
      </c>
      <c r="D851" s="6" t="n">
        <v>92.75</v>
      </c>
      <c r="E851" s="6" t="n">
        <v>1035721.33</v>
      </c>
      <c r="F851" s="6">
        <f>ROUND(E851-E850,2)</f>
        <v/>
      </c>
      <c r="G851" s="6">
        <f>ROUND(F851-D851,2)</f>
        <v/>
      </c>
    </row>
    <row r="852">
      <c r="A852" t="inlineStr">
        <is>
          <t>2022-05-22</t>
        </is>
      </c>
      <c r="B852" t="n">
        <v>17</v>
      </c>
      <c r="C852" t="n">
        <v>2966</v>
      </c>
      <c r="D852" s="6" t="n">
        <v>44.3</v>
      </c>
      <c r="E852" s="6" t="n">
        <v>1035765.63</v>
      </c>
      <c r="F852" s="6">
        <f>ROUND(E852-E851,2)</f>
        <v/>
      </c>
      <c r="G852" s="6">
        <f>ROUND(F852-D852,2)</f>
        <v/>
      </c>
    </row>
    <row r="853">
      <c r="A853" t="inlineStr">
        <is>
          <t>2022-05-22</t>
        </is>
      </c>
      <c r="B853" t="n">
        <v>18</v>
      </c>
      <c r="C853" t="n">
        <v>2966</v>
      </c>
      <c r="D853" s="6" t="n">
        <v>51.4</v>
      </c>
      <c r="E853" s="6" t="n">
        <v>1035817.03</v>
      </c>
      <c r="F853" s="6">
        <f>ROUND(E853-E852,2)</f>
        <v/>
      </c>
      <c r="G853" s="6">
        <f>ROUND(F853-D853,2)</f>
        <v/>
      </c>
    </row>
    <row r="854">
      <c r="A854" t="inlineStr">
        <is>
          <t>2022-05-22</t>
        </is>
      </c>
      <c r="B854" t="n">
        <v>19</v>
      </c>
      <c r="C854" t="n">
        <v>2966</v>
      </c>
      <c r="D854" s="6" t="n">
        <v>91.59999999999999</v>
      </c>
      <c r="E854" s="6" t="n">
        <v>1035908.63</v>
      </c>
      <c r="F854" s="6">
        <f>ROUND(E854-E853,2)</f>
        <v/>
      </c>
      <c r="G854" s="6">
        <f>ROUND(F854-D854,2)</f>
        <v/>
      </c>
    </row>
    <row r="855">
      <c r="A855" t="inlineStr">
        <is>
          <t>2022-05-22</t>
        </is>
      </c>
      <c r="B855" t="n">
        <v>20</v>
      </c>
      <c r="C855" t="n">
        <v>2966</v>
      </c>
      <c r="D855" s="6" t="n">
        <v>65.7</v>
      </c>
      <c r="E855" s="6" t="n">
        <v>1035974.33</v>
      </c>
      <c r="F855" s="6">
        <f>ROUND(E855-E854,2)</f>
        <v/>
      </c>
      <c r="G855" s="6">
        <f>ROUND(F855-D855,2)</f>
        <v/>
      </c>
    </row>
    <row r="856">
      <c r="A856" t="inlineStr">
        <is>
          <t>2022-05-22</t>
        </is>
      </c>
      <c r="B856" t="n">
        <v>21</v>
      </c>
      <c r="C856" t="n">
        <v>2966</v>
      </c>
      <c r="D856" s="6" t="n">
        <v>43.5</v>
      </c>
      <c r="E856" s="6" t="n">
        <v>1036017.83</v>
      </c>
      <c r="F856" s="6">
        <f>ROUND(E856-E855,2)</f>
        <v/>
      </c>
      <c r="G856" s="6">
        <f>ROUND(F856-D856,2)</f>
        <v/>
      </c>
    </row>
    <row r="857">
      <c r="A857" t="inlineStr">
        <is>
          <t>2022-05-22</t>
        </is>
      </c>
      <c r="B857" t="n">
        <v>22</v>
      </c>
      <c r="C857" t="n">
        <v>2966</v>
      </c>
      <c r="D857" s="6" t="n">
        <v>51.5</v>
      </c>
      <c r="E857" s="6" t="n">
        <v>1036069.33</v>
      </c>
      <c r="F857" s="6">
        <f>ROUND(E857-E856,2)</f>
        <v/>
      </c>
      <c r="G857" s="6">
        <f>ROUND(F857-D857,2)</f>
        <v/>
      </c>
    </row>
    <row r="858">
      <c r="A858" t="inlineStr">
        <is>
          <t>2022-05-22</t>
        </is>
      </c>
      <c r="B858" t="n">
        <v>23</v>
      </c>
      <c r="C858" t="n">
        <v>2966</v>
      </c>
      <c r="D858" s="6" t="n">
        <v>38</v>
      </c>
      <c r="E858" s="6" t="n">
        <v>1036107.33</v>
      </c>
      <c r="F858" s="6">
        <f>ROUND(E858-E857,2)</f>
        <v/>
      </c>
      <c r="G858" s="6">
        <f>ROUND(F858-D858,2)</f>
        <v/>
      </c>
    </row>
    <row r="859">
      <c r="A859" t="inlineStr">
        <is>
          <t>2022-05-22</t>
        </is>
      </c>
      <c r="B859" t="n">
        <v>24</v>
      </c>
      <c r="C859" t="n">
        <v>2966</v>
      </c>
      <c r="D859" s="6" t="n">
        <v>82</v>
      </c>
      <c r="E859" s="6" t="n">
        <v>1036189.33</v>
      </c>
      <c r="F859" s="6">
        <f>ROUND(E859-E858,2)</f>
        <v/>
      </c>
      <c r="G859" s="6">
        <f>ROUND(F859-D859,2)</f>
        <v/>
      </c>
    </row>
    <row r="860">
      <c r="A860" t="inlineStr">
        <is>
          <t>2022-05-22</t>
        </is>
      </c>
      <c r="B860" t="n">
        <v>25</v>
      </c>
      <c r="C860" t="n">
        <v>2966</v>
      </c>
      <c r="D860" s="6" t="n">
        <v>127.8</v>
      </c>
      <c r="E860" s="6" t="n">
        <v>1036317.13</v>
      </c>
      <c r="F860" s="6">
        <f>ROUND(E860-E859,2)</f>
        <v/>
      </c>
      <c r="G860" s="6">
        <f>ROUND(F860-D860,2)</f>
        <v/>
      </c>
    </row>
    <row r="861">
      <c r="A861" t="inlineStr">
        <is>
          <t>2022-05-22</t>
        </is>
      </c>
      <c r="B861" t="n">
        <v>26</v>
      </c>
      <c r="C861" t="n">
        <v>2966</v>
      </c>
      <c r="D861" s="6" t="n">
        <v>32</v>
      </c>
      <c r="E861" s="6" t="n">
        <v>1036349.13</v>
      </c>
      <c r="F861" s="6">
        <f>ROUND(E861-E860,2)</f>
        <v/>
      </c>
      <c r="G861" s="6">
        <f>ROUND(F861-D861,2)</f>
        <v/>
      </c>
    </row>
    <row r="862">
      <c r="A862" t="inlineStr">
        <is>
          <t>2022-05-22</t>
        </is>
      </c>
      <c r="B862" t="n">
        <v>27</v>
      </c>
      <c r="C862" t="n">
        <v>2966</v>
      </c>
      <c r="D862" s="6" t="n">
        <v>64</v>
      </c>
      <c r="E862" s="6" t="n">
        <v>1036413.13</v>
      </c>
      <c r="F862" s="6">
        <f>ROUND(E862-E861,2)</f>
        <v/>
      </c>
      <c r="G862" s="6">
        <f>ROUND(F862-D862,2)</f>
        <v/>
      </c>
    </row>
    <row r="863">
      <c r="A863" t="inlineStr">
        <is>
          <t>2022-05-22</t>
        </is>
      </c>
      <c r="B863" t="n">
        <v>28</v>
      </c>
      <c r="C863" t="n">
        <v>2966</v>
      </c>
      <c r="D863" s="6" t="n">
        <v>32</v>
      </c>
      <c r="E863" s="6" t="n">
        <v>1036445.13</v>
      </c>
      <c r="F863" s="6">
        <f>ROUND(E863-E862,2)</f>
        <v/>
      </c>
      <c r="G863" s="6">
        <f>ROUND(F863-D863,2)</f>
        <v/>
      </c>
    </row>
    <row r="864">
      <c r="A864" t="inlineStr">
        <is>
          <t>2022-05-22</t>
        </is>
      </c>
      <c r="B864" t="n">
        <v>29</v>
      </c>
      <c r="C864" t="n">
        <v>2966</v>
      </c>
      <c r="D864" s="6" t="n">
        <v>27.9</v>
      </c>
      <c r="E864" s="6" t="n">
        <v>1036473.03</v>
      </c>
      <c r="F864" s="6">
        <f>ROUND(E864-E863,2)</f>
        <v/>
      </c>
      <c r="G864" s="6">
        <f>ROUND(F864-D864,2)</f>
        <v/>
      </c>
    </row>
    <row r="865">
      <c r="A865" t="inlineStr">
        <is>
          <t>2022-05-22</t>
        </is>
      </c>
      <c r="B865" t="n">
        <v>30</v>
      </c>
      <c r="C865" t="n">
        <v>2966</v>
      </c>
      <c r="D865" s="6" t="n">
        <v>48.4</v>
      </c>
      <c r="E865" s="6" t="n">
        <v>1036521.43</v>
      </c>
      <c r="F865" s="6">
        <f>ROUND(E865-E864,2)</f>
        <v/>
      </c>
      <c r="G865" s="6">
        <f>ROUND(F865-D865,2)</f>
        <v/>
      </c>
    </row>
    <row r="866">
      <c r="A866" t="inlineStr">
        <is>
          <t>2022-05-22</t>
        </is>
      </c>
      <c r="B866" t="n">
        <v>31</v>
      </c>
      <c r="C866" t="n">
        <v>2966</v>
      </c>
      <c r="D866" s="6" t="n">
        <v>29</v>
      </c>
      <c r="E866" s="6" t="n">
        <v>1036550.43</v>
      </c>
      <c r="F866" s="6">
        <f>ROUND(E866-E865,2)</f>
        <v/>
      </c>
      <c r="G866" s="6">
        <f>ROUND(F866-D866,2)</f>
        <v/>
      </c>
    </row>
    <row r="867">
      <c r="A867" t="inlineStr">
        <is>
          <t>2022-05-22</t>
        </is>
      </c>
      <c r="B867" t="n">
        <v>32</v>
      </c>
      <c r="C867" t="n">
        <v>2966</v>
      </c>
      <c r="D867" s="6" t="n">
        <v>144.6</v>
      </c>
      <c r="E867" s="6" t="n">
        <v>1036695.03</v>
      </c>
      <c r="F867" s="6">
        <f>ROUND(E867-E866,2)</f>
        <v/>
      </c>
      <c r="G867" s="6">
        <f>ROUND(F867-D867,2)</f>
        <v/>
      </c>
    </row>
    <row r="868">
      <c r="A868" t="inlineStr">
        <is>
          <t>2022-05-22</t>
        </is>
      </c>
      <c r="B868" t="n">
        <v>33</v>
      </c>
      <c r="C868" t="n">
        <v>2966</v>
      </c>
      <c r="D868" s="6" t="n">
        <v>47.8</v>
      </c>
      <c r="E868" s="6" t="n">
        <v>1036742.83</v>
      </c>
      <c r="F868" s="6">
        <f>ROUND(E868-E867,2)</f>
        <v/>
      </c>
      <c r="G868" s="6">
        <f>ROUND(F868-D868,2)</f>
        <v/>
      </c>
    </row>
    <row r="869">
      <c r="A869" t="inlineStr">
        <is>
          <t>2022-05-25</t>
        </is>
      </c>
      <c r="B869" t="n">
        <v>1</v>
      </c>
      <c r="C869" t="n">
        <v>2967</v>
      </c>
      <c r="D869" s="6" t="n">
        <v>41.3</v>
      </c>
      <c r="E869" s="6" t="n">
        <v>1036784.13</v>
      </c>
      <c r="F869" s="6">
        <f>ROUND(E869-E868,2)</f>
        <v/>
      </c>
      <c r="G869" s="6">
        <f>ROUND(F869-D869,2)</f>
        <v/>
      </c>
    </row>
    <row r="870">
      <c r="A870" t="inlineStr">
        <is>
          <t>2022-05-25</t>
        </is>
      </c>
      <c r="B870" t="n">
        <v>2</v>
      </c>
      <c r="C870" t="n">
        <v>2967</v>
      </c>
      <c r="D870" s="6" t="n">
        <v>43</v>
      </c>
      <c r="E870" s="6" t="n">
        <v>1036827.13</v>
      </c>
      <c r="F870" s="6">
        <f>ROUND(E870-E869,2)</f>
        <v/>
      </c>
      <c r="G870" s="6">
        <f>ROUND(F870-D870,2)</f>
        <v/>
      </c>
    </row>
    <row r="871">
      <c r="A871" t="inlineStr">
        <is>
          <t>2022-05-25</t>
        </is>
      </c>
      <c r="B871" t="n">
        <v>3</v>
      </c>
      <c r="C871" t="n">
        <v>2967</v>
      </c>
      <c r="D871" s="6" t="n">
        <v>70.5</v>
      </c>
      <c r="E871" s="6" t="n">
        <v>1036897.63</v>
      </c>
      <c r="F871" s="6">
        <f>ROUND(E871-E870,2)</f>
        <v/>
      </c>
      <c r="G871" s="6">
        <f>ROUND(F871-D871,2)</f>
        <v/>
      </c>
    </row>
    <row r="872">
      <c r="A872" t="inlineStr">
        <is>
          <t>2022-05-25</t>
        </is>
      </c>
      <c r="B872" t="n">
        <v>4</v>
      </c>
      <c r="C872" t="n">
        <v>2967</v>
      </c>
      <c r="D872" s="6" t="n">
        <v>35.3</v>
      </c>
      <c r="E872" s="6" t="n">
        <v>1036932.93</v>
      </c>
      <c r="F872" s="6">
        <f>ROUND(E872-E871,2)</f>
        <v/>
      </c>
      <c r="G872" s="6">
        <f>ROUND(F872-D872,2)</f>
        <v/>
      </c>
    </row>
    <row r="873">
      <c r="A873" t="inlineStr">
        <is>
          <t>2022-05-25</t>
        </is>
      </c>
      <c r="B873" t="n">
        <v>5</v>
      </c>
      <c r="C873" t="n">
        <v>2967</v>
      </c>
      <c r="D873" s="6" t="n">
        <v>57</v>
      </c>
      <c r="E873" s="6" t="n">
        <v>1036989.93</v>
      </c>
      <c r="F873" s="6">
        <f>ROUND(E873-E872,2)</f>
        <v/>
      </c>
      <c r="G873" s="6">
        <f>ROUND(F873-D873,2)</f>
        <v/>
      </c>
    </row>
    <row r="874">
      <c r="A874" t="inlineStr">
        <is>
          <t>2022-05-25</t>
        </is>
      </c>
      <c r="B874" t="n">
        <v>6</v>
      </c>
      <c r="C874" t="n">
        <v>2967</v>
      </c>
      <c r="D874" s="6" t="n">
        <v>116.3</v>
      </c>
      <c r="E874" s="6" t="n">
        <v>1037106.23</v>
      </c>
      <c r="F874" s="6">
        <f>ROUND(E874-E873,2)</f>
        <v/>
      </c>
      <c r="G874" s="6">
        <f>ROUND(F874-D874,2)</f>
        <v/>
      </c>
    </row>
    <row r="875">
      <c r="A875" t="inlineStr">
        <is>
          <t>2022-05-25</t>
        </is>
      </c>
      <c r="B875" t="n">
        <v>7</v>
      </c>
      <c r="C875" t="n">
        <v>2967</v>
      </c>
      <c r="D875" s="6" t="n">
        <v>58.2</v>
      </c>
      <c r="E875" s="6" t="n">
        <v>1037164.43</v>
      </c>
      <c r="F875" s="6">
        <f>ROUND(E875-E874,2)</f>
        <v/>
      </c>
      <c r="G875" s="6">
        <f>ROUND(F875-D875,2)</f>
        <v/>
      </c>
    </row>
    <row r="876">
      <c r="A876" t="inlineStr">
        <is>
          <t>2022-05-25</t>
        </is>
      </c>
      <c r="B876" t="n">
        <v>8</v>
      </c>
      <c r="C876" t="n">
        <v>2967</v>
      </c>
      <c r="D876" s="6" t="n">
        <v>101.9</v>
      </c>
      <c r="E876" s="6" t="n">
        <v>1037266.33</v>
      </c>
      <c r="F876" s="6">
        <f>ROUND(E876-E875,2)</f>
        <v/>
      </c>
      <c r="G876" s="6">
        <f>ROUND(F876-D876,2)</f>
        <v/>
      </c>
    </row>
    <row r="877">
      <c r="A877" t="inlineStr">
        <is>
          <t>2022-05-25</t>
        </is>
      </c>
      <c r="B877" t="n">
        <v>9</v>
      </c>
      <c r="C877" t="n">
        <v>2967</v>
      </c>
      <c r="D877" s="6" t="n">
        <v>76.40000000000001</v>
      </c>
      <c r="E877" s="6" t="n">
        <v>1037342.73</v>
      </c>
      <c r="F877" s="6">
        <f>ROUND(E877-E876,2)</f>
        <v/>
      </c>
      <c r="G877" s="6">
        <f>ROUND(F877-D877,2)</f>
        <v/>
      </c>
    </row>
    <row r="878">
      <c r="A878" t="inlineStr">
        <is>
          <t>2022-05-25</t>
        </is>
      </c>
      <c r="B878" t="n">
        <v>10</v>
      </c>
      <c r="C878" t="n">
        <v>2967</v>
      </c>
      <c r="D878" s="6" t="n">
        <v>67.8</v>
      </c>
      <c r="E878" s="6" t="n">
        <v>1037410.53</v>
      </c>
      <c r="F878" s="6">
        <f>ROUND(E878-E877,2)</f>
        <v/>
      </c>
      <c r="G878" s="6">
        <f>ROUND(F878-D878,2)</f>
        <v/>
      </c>
    </row>
    <row r="879">
      <c r="A879" t="inlineStr">
        <is>
          <t>2022-05-25</t>
        </is>
      </c>
      <c r="B879" t="n">
        <v>11</v>
      </c>
      <c r="C879" t="n">
        <v>2967</v>
      </c>
      <c r="D879" s="6" t="n">
        <v>56.5</v>
      </c>
      <c r="E879" s="6" t="n">
        <v>1037467.03</v>
      </c>
      <c r="F879" s="6">
        <f>ROUND(E879-E878,2)</f>
        <v/>
      </c>
      <c r="G879" s="6">
        <f>ROUND(F879-D879,2)</f>
        <v/>
      </c>
    </row>
    <row r="880">
      <c r="A880" t="inlineStr">
        <is>
          <t>2022-05-25</t>
        </is>
      </c>
      <c r="B880" t="n">
        <v>12</v>
      </c>
      <c r="C880" t="n">
        <v>2967</v>
      </c>
      <c r="D880" s="6" t="n">
        <v>63.9</v>
      </c>
      <c r="E880" s="6" t="n">
        <v>1037530.93</v>
      </c>
      <c r="F880" s="6">
        <f>ROUND(E880-E879,2)</f>
        <v/>
      </c>
      <c r="G880" s="6">
        <f>ROUND(F880-D880,2)</f>
        <v/>
      </c>
    </row>
    <row r="881">
      <c r="A881" t="inlineStr">
        <is>
          <t>2022-05-25</t>
        </is>
      </c>
      <c r="B881" t="n">
        <v>13</v>
      </c>
      <c r="C881" t="n">
        <v>2967</v>
      </c>
      <c r="D881" s="6" t="n">
        <v>38.4</v>
      </c>
      <c r="E881" s="6" t="n">
        <v>1037569.33</v>
      </c>
      <c r="F881" s="6">
        <f>ROUND(E881-E880,2)</f>
        <v/>
      </c>
      <c r="G881" s="6">
        <f>ROUND(F881-D881,2)</f>
        <v/>
      </c>
    </row>
    <row r="882">
      <c r="A882" t="inlineStr">
        <is>
          <t>2022-05-25</t>
        </is>
      </c>
      <c r="B882" t="n">
        <v>14</v>
      </c>
      <c r="C882" t="n">
        <v>2967</v>
      </c>
      <c r="D882" s="6" t="n">
        <v>54.5</v>
      </c>
      <c r="E882" s="6" t="n">
        <v>1037623.83</v>
      </c>
      <c r="F882" s="6">
        <f>ROUND(E882-E881,2)</f>
        <v/>
      </c>
      <c r="G882" s="6">
        <f>ROUND(F882-D882,2)</f>
        <v/>
      </c>
    </row>
    <row r="883">
      <c r="A883" t="inlineStr">
        <is>
          <t>2022-05-25</t>
        </is>
      </c>
      <c r="B883" t="n">
        <v>15</v>
      </c>
      <c r="C883" t="n">
        <v>2967</v>
      </c>
      <c r="D883" s="6" t="n">
        <v>36.3</v>
      </c>
      <c r="E883" s="6" t="n">
        <v>1037660.13</v>
      </c>
      <c r="F883" s="6">
        <f>ROUND(E883-E882,2)</f>
        <v/>
      </c>
      <c r="G883" s="6">
        <f>ROUND(F883-D883,2)</f>
        <v/>
      </c>
    </row>
    <row r="884">
      <c r="A884" t="inlineStr">
        <is>
          <t>2022-05-25</t>
        </is>
      </c>
      <c r="B884" t="n">
        <v>16</v>
      </c>
      <c r="C884" t="n">
        <v>2967</v>
      </c>
      <c r="D884" s="6" t="n">
        <v>28.6</v>
      </c>
      <c r="E884" s="6" t="n">
        <v>1037688.73</v>
      </c>
      <c r="F884" s="6">
        <f>ROUND(E884-E883,2)</f>
        <v/>
      </c>
      <c r="G884" s="6">
        <f>ROUND(F884-D884,2)</f>
        <v/>
      </c>
    </row>
    <row r="885">
      <c r="A885" t="inlineStr">
        <is>
          <t>2022-05-25</t>
        </is>
      </c>
      <c r="B885" t="n">
        <v>17</v>
      </c>
      <c r="C885" t="n">
        <v>2967</v>
      </c>
      <c r="D885" s="6" t="n">
        <v>82.09999999999999</v>
      </c>
      <c r="E885" s="6" t="n">
        <v>1037770.83</v>
      </c>
      <c r="F885" s="6">
        <f>ROUND(E885-E884,2)</f>
        <v/>
      </c>
      <c r="G885" s="6">
        <f>ROUND(F885-D885,2)</f>
        <v/>
      </c>
    </row>
    <row r="886">
      <c r="A886" t="inlineStr">
        <is>
          <t>2022-05-25</t>
        </is>
      </c>
      <c r="B886" t="n">
        <v>18</v>
      </c>
      <c r="C886" t="n">
        <v>2967</v>
      </c>
      <c r="D886" s="6" t="n">
        <v>59.6</v>
      </c>
      <c r="E886" s="6" t="n">
        <v>1037830.43</v>
      </c>
      <c r="F886" s="6">
        <f>ROUND(E886-E885,2)</f>
        <v/>
      </c>
      <c r="G886" s="6">
        <f>ROUND(F886-D886,2)</f>
        <v/>
      </c>
    </row>
    <row r="887">
      <c r="A887" t="inlineStr">
        <is>
          <t>2022-05-25</t>
        </is>
      </c>
      <c r="B887" t="n">
        <v>19</v>
      </c>
      <c r="C887" t="n">
        <v>2967</v>
      </c>
      <c r="D887" s="6" t="n">
        <v>57.8</v>
      </c>
      <c r="E887" s="6" t="n">
        <v>1037888.23</v>
      </c>
      <c r="F887" s="6">
        <f>ROUND(E887-E886,2)</f>
        <v/>
      </c>
      <c r="G887" s="6">
        <f>ROUND(F887-D887,2)</f>
        <v/>
      </c>
    </row>
    <row r="888">
      <c r="A888" t="inlineStr">
        <is>
          <t>2022-05-25</t>
        </is>
      </c>
      <c r="B888" t="n">
        <v>20</v>
      </c>
      <c r="C888" t="n">
        <v>2967</v>
      </c>
      <c r="D888" s="6" t="n">
        <v>49.4</v>
      </c>
      <c r="E888" s="6" t="n">
        <v>1037937.63</v>
      </c>
      <c r="F888" s="6">
        <f>ROUND(E888-E887,2)</f>
        <v/>
      </c>
      <c r="G888" s="6">
        <f>ROUND(F888-D888,2)</f>
        <v/>
      </c>
    </row>
    <row r="889">
      <c r="A889" t="inlineStr">
        <is>
          <t>2022-05-25</t>
        </is>
      </c>
      <c r="B889" t="n">
        <v>21</v>
      </c>
      <c r="C889" t="n">
        <v>2967</v>
      </c>
      <c r="D889" s="6" t="n">
        <v>49.5</v>
      </c>
      <c r="E889" s="6" t="n">
        <v>1037987.13</v>
      </c>
      <c r="F889" s="6">
        <f>ROUND(E889-E888,2)</f>
        <v/>
      </c>
      <c r="G889" s="6">
        <f>ROUND(F889-D889,2)</f>
        <v/>
      </c>
    </row>
    <row r="890">
      <c r="A890" t="inlineStr">
        <is>
          <t>2022-05-25</t>
        </is>
      </c>
      <c r="B890" t="n">
        <v>22</v>
      </c>
      <c r="C890" t="n">
        <v>2967</v>
      </c>
      <c r="D890" s="6" t="n">
        <v>75.59999999999999</v>
      </c>
      <c r="E890" s="6" t="n">
        <v>1038062.73</v>
      </c>
      <c r="F890" s="6">
        <f>ROUND(E890-E889,2)</f>
        <v/>
      </c>
      <c r="G890" s="6">
        <f>ROUND(F890-D890,2)</f>
        <v/>
      </c>
    </row>
    <row r="891">
      <c r="A891" t="inlineStr">
        <is>
          <t>2022-05-25</t>
        </is>
      </c>
      <c r="B891" t="n">
        <v>23</v>
      </c>
      <c r="C891" t="n">
        <v>2967</v>
      </c>
      <c r="D891" s="6" t="n">
        <v>45.3</v>
      </c>
      <c r="E891" s="6" t="n">
        <v>1038108.03</v>
      </c>
      <c r="F891" s="6">
        <f>ROUND(E891-E890,2)</f>
        <v/>
      </c>
      <c r="G891" s="6">
        <f>ROUND(F891-D891,2)</f>
        <v/>
      </c>
    </row>
    <row r="892">
      <c r="A892" t="inlineStr">
        <is>
          <t>2022-05-25</t>
        </is>
      </c>
      <c r="B892" t="n">
        <v>24</v>
      </c>
      <c r="C892" t="n">
        <v>2967</v>
      </c>
      <c r="D892" s="6" t="n">
        <v>74.84999999999999</v>
      </c>
      <c r="E892" s="6" t="n">
        <v>1038182.88</v>
      </c>
      <c r="F892" s="6">
        <f>ROUND(E892-E891,2)</f>
        <v/>
      </c>
      <c r="G892" s="6">
        <f>ROUND(F892-D892,2)</f>
        <v/>
      </c>
    </row>
    <row r="893">
      <c r="A893" t="inlineStr">
        <is>
          <t>2022-05-25</t>
        </is>
      </c>
      <c r="B893" t="n">
        <v>25</v>
      </c>
      <c r="C893" t="n">
        <v>2967</v>
      </c>
      <c r="D893" s="6" t="n">
        <v>74.84999999999999</v>
      </c>
      <c r="E893" s="6" t="n">
        <v>1038257.73</v>
      </c>
      <c r="F893" s="6">
        <f>ROUND(E893-E892,2)</f>
        <v/>
      </c>
      <c r="G893" s="6">
        <f>ROUND(F893-D893,2)</f>
        <v/>
      </c>
    </row>
    <row r="894">
      <c r="A894" t="inlineStr">
        <is>
          <t>2022-05-25</t>
        </is>
      </c>
      <c r="B894" t="n">
        <v>26</v>
      </c>
      <c r="C894" t="n">
        <v>2967</v>
      </c>
      <c r="D894" s="6" t="n">
        <v>184</v>
      </c>
      <c r="E894" s="6" t="n">
        <v>1038441.73</v>
      </c>
      <c r="F894" s="6">
        <f>ROUND(E894-E893,2)</f>
        <v/>
      </c>
      <c r="G894" s="6">
        <f>ROUND(F894-D894,2)</f>
        <v/>
      </c>
    </row>
    <row r="895">
      <c r="A895" t="inlineStr">
        <is>
          <t>2022-05-25</t>
        </is>
      </c>
      <c r="B895" t="n">
        <v>27</v>
      </c>
      <c r="C895" t="n">
        <v>2967</v>
      </c>
      <c r="D895" s="6" t="n">
        <v>30.1</v>
      </c>
      <c r="E895" s="6" t="n">
        <v>1038471.83</v>
      </c>
      <c r="F895" s="6">
        <f>ROUND(E895-E894,2)</f>
        <v/>
      </c>
      <c r="G895" s="6">
        <f>ROUND(F895-D895,2)</f>
        <v/>
      </c>
    </row>
    <row r="896">
      <c r="A896" t="inlineStr">
        <is>
          <t>2022-05-25</t>
        </is>
      </c>
      <c r="B896" t="n">
        <v>28</v>
      </c>
      <c r="C896" t="n">
        <v>2967</v>
      </c>
      <c r="D896" s="6" t="n">
        <v>30.1</v>
      </c>
      <c r="E896" s="6" t="n">
        <v>1038501.93</v>
      </c>
      <c r="F896" s="6">
        <f>ROUND(E896-E895,2)</f>
        <v/>
      </c>
      <c r="G896" s="6">
        <f>ROUND(F896-D896,2)</f>
        <v/>
      </c>
    </row>
    <row r="897">
      <c r="A897" t="inlineStr">
        <is>
          <t>2022-05-25</t>
        </is>
      </c>
      <c r="B897" t="n">
        <v>29</v>
      </c>
      <c r="C897" t="n">
        <v>2967</v>
      </c>
      <c r="D897" s="6" t="n">
        <v>86.45</v>
      </c>
      <c r="E897" s="6" t="n">
        <v>1038588.38</v>
      </c>
      <c r="F897" s="6">
        <f>ROUND(E897-E896,2)</f>
        <v/>
      </c>
      <c r="G897" s="6">
        <f>ROUND(F897-D897,2)</f>
        <v/>
      </c>
    </row>
    <row r="898">
      <c r="A898" t="inlineStr">
        <is>
          <t>2022-05-25</t>
        </is>
      </c>
      <c r="B898" t="n">
        <v>30</v>
      </c>
      <c r="C898" t="n">
        <v>2967</v>
      </c>
      <c r="D898" s="6" t="n">
        <v>50.6</v>
      </c>
      <c r="E898" s="6" t="n">
        <v>1038638.98</v>
      </c>
      <c r="F898" s="6">
        <f>ROUND(E898-E897,2)</f>
        <v/>
      </c>
      <c r="G898" s="6">
        <f>ROUND(F898-D898,2)</f>
        <v/>
      </c>
    </row>
    <row r="899">
      <c r="A899" t="inlineStr">
        <is>
          <t>2022-05-25</t>
        </is>
      </c>
      <c r="B899" t="n">
        <v>31</v>
      </c>
      <c r="C899" t="n">
        <v>2967</v>
      </c>
      <c r="D899" s="6" t="n">
        <v>89.7</v>
      </c>
      <c r="E899" s="6" t="n">
        <v>1038728.68</v>
      </c>
      <c r="F899" s="6">
        <f>ROUND(E899-E898,2)</f>
        <v/>
      </c>
      <c r="G899" s="6">
        <f>ROUND(F899-D899,2)</f>
        <v/>
      </c>
    </row>
    <row r="900">
      <c r="A900" t="inlineStr">
        <is>
          <t>2022-05-26</t>
        </is>
      </c>
      <c r="B900" t="n">
        <v>1</v>
      </c>
      <c r="C900" t="n">
        <v>2968</v>
      </c>
      <c r="D900" s="6" t="n">
        <v>48.9</v>
      </c>
      <c r="E900" s="6" t="n">
        <v>1038777.58</v>
      </c>
      <c r="F900" s="6">
        <f>ROUND(E900-E899,2)</f>
        <v/>
      </c>
      <c r="G900" s="6">
        <f>ROUND(F900-D900,2)</f>
        <v/>
      </c>
    </row>
    <row r="901">
      <c r="A901" t="inlineStr">
        <is>
          <t>2022-05-26</t>
        </is>
      </c>
      <c r="B901" t="n">
        <v>2</v>
      </c>
      <c r="C901" t="n">
        <v>2968</v>
      </c>
      <c r="D901" s="6" t="n">
        <v>98.09999999999999</v>
      </c>
      <c r="E901" s="6" t="n">
        <v>1038875.68</v>
      </c>
      <c r="F901" s="6">
        <f>ROUND(E901-E900,2)</f>
        <v/>
      </c>
      <c r="G901" s="6">
        <f>ROUND(F901-D901,2)</f>
        <v/>
      </c>
    </row>
    <row r="902">
      <c r="A902" t="inlineStr">
        <is>
          <t>2022-05-26</t>
        </is>
      </c>
      <c r="B902" t="n">
        <v>3</v>
      </c>
      <c r="C902" t="n">
        <v>2968</v>
      </c>
      <c r="D902" s="6" t="n">
        <v>27.2</v>
      </c>
      <c r="E902" s="6" t="n">
        <v>1038902.88</v>
      </c>
      <c r="F902" s="6">
        <f>ROUND(E902-E901,2)</f>
        <v/>
      </c>
      <c r="G902" s="6">
        <f>ROUND(F902-D902,2)</f>
        <v/>
      </c>
    </row>
    <row r="903">
      <c r="A903" t="inlineStr">
        <is>
          <t>2022-05-26</t>
        </is>
      </c>
      <c r="B903" t="n">
        <v>4</v>
      </c>
      <c r="C903" t="n">
        <v>2968</v>
      </c>
      <c r="D903" s="6" t="n">
        <v>27.2</v>
      </c>
      <c r="E903" s="6" t="n">
        <v>1038930.08</v>
      </c>
      <c r="F903" s="6">
        <f>ROUND(E903-E902,2)</f>
        <v/>
      </c>
      <c r="G903" s="6">
        <f>ROUND(F903-D903,2)</f>
        <v/>
      </c>
    </row>
    <row r="904">
      <c r="A904" t="inlineStr">
        <is>
          <t>2022-05-26</t>
        </is>
      </c>
      <c r="B904" t="n">
        <v>5</v>
      </c>
      <c r="C904" t="n">
        <v>2968</v>
      </c>
      <c r="D904" s="6" t="n">
        <v>50.8</v>
      </c>
      <c r="E904" s="6" t="n">
        <v>1038980.88</v>
      </c>
      <c r="F904" s="6">
        <f>ROUND(E904-E903,2)</f>
        <v/>
      </c>
      <c r="G904" s="6">
        <f>ROUND(F904-D904,2)</f>
        <v/>
      </c>
    </row>
    <row r="905">
      <c r="A905" t="inlineStr">
        <is>
          <t>2022-05-26</t>
        </is>
      </c>
      <c r="B905" t="n">
        <v>6</v>
      </c>
      <c r="C905" t="n">
        <v>2968</v>
      </c>
      <c r="D905" s="6" t="n">
        <v>159.3</v>
      </c>
      <c r="E905" s="6" t="n">
        <v>1039140.18</v>
      </c>
      <c r="F905" s="6">
        <f>ROUND(E905-E904,2)</f>
        <v/>
      </c>
      <c r="G905" s="6">
        <f>ROUND(F905-D905,2)</f>
        <v/>
      </c>
    </row>
    <row r="906">
      <c r="A906" t="inlineStr">
        <is>
          <t>2022-05-26</t>
        </is>
      </c>
      <c r="B906" t="n">
        <v>7</v>
      </c>
      <c r="C906" t="n">
        <v>2968</v>
      </c>
      <c r="D906" s="6" t="n">
        <v>77.09999999999999</v>
      </c>
      <c r="E906" s="6" t="n">
        <v>1039217.28</v>
      </c>
      <c r="F906" s="6">
        <f>ROUND(E906-E905,2)</f>
        <v/>
      </c>
      <c r="G906" s="6">
        <f>ROUND(F906-D906,2)</f>
        <v/>
      </c>
    </row>
    <row r="907">
      <c r="A907" t="inlineStr">
        <is>
          <t>2022-05-26</t>
        </is>
      </c>
      <c r="B907" t="n">
        <v>8</v>
      </c>
      <c r="C907" t="n">
        <v>2968</v>
      </c>
      <c r="D907" s="6" t="n">
        <v>81.40000000000001</v>
      </c>
      <c r="E907" s="6" t="n">
        <v>1039298.68</v>
      </c>
      <c r="F907" s="6">
        <f>ROUND(E907-E906,2)</f>
        <v/>
      </c>
      <c r="G907" s="6">
        <f>ROUND(F907-D907,2)</f>
        <v/>
      </c>
    </row>
    <row r="908">
      <c r="A908" t="inlineStr">
        <is>
          <t>2022-05-26</t>
        </is>
      </c>
      <c r="B908" t="n">
        <v>9</v>
      </c>
      <c r="C908" t="n">
        <v>2968</v>
      </c>
      <c r="D908" s="6" t="n">
        <v>50</v>
      </c>
      <c r="E908" s="6" t="n">
        <v>1039348.68</v>
      </c>
      <c r="F908" s="6">
        <f>ROUND(E908-E907,2)</f>
        <v/>
      </c>
      <c r="G908" s="6">
        <f>ROUND(F908-D908,2)</f>
        <v/>
      </c>
    </row>
    <row r="909">
      <c r="A909" t="inlineStr">
        <is>
          <t>2022-05-26</t>
        </is>
      </c>
      <c r="B909" t="n">
        <v>10</v>
      </c>
      <c r="C909" t="n">
        <v>2968</v>
      </c>
      <c r="D909" s="6" t="n">
        <v>99</v>
      </c>
      <c r="E909" s="6" t="n">
        <v>1039447.68</v>
      </c>
      <c r="F909" s="6">
        <f>ROUND(E909-E908,2)</f>
        <v/>
      </c>
      <c r="G909" s="6">
        <f>ROUND(F909-D909,2)</f>
        <v/>
      </c>
    </row>
    <row r="910">
      <c r="A910" t="inlineStr">
        <is>
          <t>2022-05-26</t>
        </is>
      </c>
      <c r="B910" t="n">
        <v>11</v>
      </c>
      <c r="C910" t="n">
        <v>2968</v>
      </c>
      <c r="D910" s="6" t="n">
        <v>64.5</v>
      </c>
      <c r="E910" s="6" t="n">
        <v>1039512.18</v>
      </c>
      <c r="F910" s="6">
        <f>ROUND(E910-E909,2)</f>
        <v/>
      </c>
      <c r="G910" s="6">
        <f>ROUND(F910-D910,2)</f>
        <v/>
      </c>
    </row>
    <row r="911">
      <c r="A911" t="inlineStr">
        <is>
          <t>2022-05-26</t>
        </is>
      </c>
      <c r="B911" t="n">
        <v>12</v>
      </c>
      <c r="C911" t="n">
        <v>2968</v>
      </c>
      <c r="D911" s="6" t="n">
        <v>71.8</v>
      </c>
      <c r="E911" s="6" t="n">
        <v>1039583.98</v>
      </c>
      <c r="F911" s="6">
        <f>ROUND(E911-E910,2)</f>
        <v/>
      </c>
      <c r="G911" s="6">
        <f>ROUND(F911-D911,2)</f>
        <v/>
      </c>
    </row>
    <row r="912">
      <c r="A912" t="inlineStr">
        <is>
          <t>2022-05-26</t>
        </is>
      </c>
      <c r="B912" t="n">
        <v>13</v>
      </c>
      <c r="C912" t="n">
        <v>2968</v>
      </c>
      <c r="D912" s="6" t="n">
        <v>107.3</v>
      </c>
      <c r="E912" s="6" t="n">
        <v>1039691.28</v>
      </c>
      <c r="F912" s="6">
        <f>ROUND(E912-E911,2)</f>
        <v/>
      </c>
      <c r="G912" s="6">
        <f>ROUND(F912-D912,2)</f>
        <v/>
      </c>
    </row>
    <row r="913">
      <c r="A913" t="inlineStr">
        <is>
          <t>2022-05-26</t>
        </is>
      </c>
      <c r="B913" t="n">
        <v>14</v>
      </c>
      <c r="C913" t="n">
        <v>2968</v>
      </c>
      <c r="D913" s="6" t="n">
        <v>107.3</v>
      </c>
      <c r="E913" s="6" t="n">
        <v>1039798.58</v>
      </c>
      <c r="F913" s="6">
        <f>ROUND(E913-E912,2)</f>
        <v/>
      </c>
      <c r="G913" s="6">
        <f>ROUND(F913-D913,2)</f>
        <v/>
      </c>
    </row>
    <row r="914">
      <c r="A914" t="inlineStr">
        <is>
          <t>2022-05-26</t>
        </is>
      </c>
      <c r="B914" t="n">
        <v>15</v>
      </c>
      <c r="C914" t="n">
        <v>2968</v>
      </c>
      <c r="D914" s="6" t="n">
        <v>61.4</v>
      </c>
      <c r="E914" s="6" t="n">
        <v>1039859.98</v>
      </c>
      <c r="F914" s="6">
        <f>ROUND(E914-E913,2)</f>
        <v/>
      </c>
      <c r="G914" s="6">
        <f>ROUND(F914-D914,2)</f>
        <v/>
      </c>
    </row>
    <row r="915">
      <c r="A915" t="inlineStr">
        <is>
          <t>2022-05-26</t>
        </is>
      </c>
      <c r="B915" t="n">
        <v>16</v>
      </c>
      <c r="C915" t="n">
        <v>2968</v>
      </c>
      <c r="D915" s="6" t="n">
        <v>70.90000000000001</v>
      </c>
      <c r="E915" s="6" t="n">
        <v>1039930.88</v>
      </c>
      <c r="F915" s="6">
        <f>ROUND(E915-E914,2)</f>
        <v/>
      </c>
      <c r="G915" s="6">
        <f>ROUND(F915-D915,2)</f>
        <v/>
      </c>
    </row>
    <row r="916">
      <c r="A916" t="inlineStr">
        <is>
          <t>2022-05-26</t>
        </is>
      </c>
      <c r="B916" t="n">
        <v>17</v>
      </c>
      <c r="C916" t="n">
        <v>2968</v>
      </c>
      <c r="D916" s="6" t="n">
        <v>25.9</v>
      </c>
      <c r="E916" s="6" t="n">
        <v>1039956.78</v>
      </c>
      <c r="F916" s="6">
        <f>ROUND(E916-E915,2)</f>
        <v/>
      </c>
      <c r="G916" s="6">
        <f>ROUND(F916-D916,2)</f>
        <v/>
      </c>
    </row>
    <row r="917">
      <c r="A917" t="inlineStr">
        <is>
          <t>2022-05-26</t>
        </is>
      </c>
      <c r="B917" t="n">
        <v>18</v>
      </c>
      <c r="C917" t="n">
        <v>2968</v>
      </c>
      <c r="D917" s="6" t="n">
        <v>146.2</v>
      </c>
      <c r="E917" s="6" t="n">
        <v>1040102.98</v>
      </c>
      <c r="F917" s="6">
        <f>ROUND(E917-E916,2)</f>
        <v/>
      </c>
      <c r="G917" s="6">
        <f>ROUND(F917-D917,2)</f>
        <v/>
      </c>
    </row>
    <row r="918">
      <c r="A918" t="inlineStr">
        <is>
          <t>2022-05-26</t>
        </is>
      </c>
      <c r="B918" t="n">
        <v>19</v>
      </c>
      <c r="C918" t="n">
        <v>2968</v>
      </c>
      <c r="D918" s="6" t="n">
        <v>75.40000000000001</v>
      </c>
      <c r="E918" s="6" t="n">
        <v>1040178.38</v>
      </c>
      <c r="F918" s="6">
        <f>ROUND(E918-E917,2)</f>
        <v/>
      </c>
      <c r="G918" s="6">
        <f>ROUND(F918-D918,2)</f>
        <v/>
      </c>
    </row>
    <row r="919">
      <c r="A919" t="inlineStr">
        <is>
          <t>2022-05-26</t>
        </is>
      </c>
      <c r="B919" t="n">
        <v>20</v>
      </c>
      <c r="C919" t="n">
        <v>2968</v>
      </c>
      <c r="D919" s="6" t="n">
        <v>59.8</v>
      </c>
      <c r="E919" s="6" t="n">
        <v>1040238.18</v>
      </c>
      <c r="F919" s="6">
        <f>ROUND(E919-E918,2)</f>
        <v/>
      </c>
      <c r="G919" s="6">
        <f>ROUND(F919-D919,2)</f>
        <v/>
      </c>
    </row>
    <row r="920">
      <c r="A920" t="inlineStr">
        <is>
          <t>2022-05-26</t>
        </is>
      </c>
      <c r="B920" t="n">
        <v>21</v>
      </c>
      <c r="C920" t="n">
        <v>2968</v>
      </c>
      <c r="D920" s="6" t="n">
        <v>87.8</v>
      </c>
      <c r="E920" s="6" t="n">
        <v>1040325.98</v>
      </c>
      <c r="F920" s="6">
        <f>ROUND(E920-E919,2)</f>
        <v/>
      </c>
      <c r="G920" s="6">
        <f>ROUND(F920-D920,2)</f>
        <v/>
      </c>
    </row>
    <row r="921">
      <c r="A921" t="inlineStr">
        <is>
          <t>2022-05-26</t>
        </is>
      </c>
      <c r="B921" t="n">
        <v>22</v>
      </c>
      <c r="C921" t="n">
        <v>2968</v>
      </c>
      <c r="D921" s="6" t="n">
        <v>136.3</v>
      </c>
      <c r="E921" s="6" t="n">
        <v>1040462.28</v>
      </c>
      <c r="F921" s="6">
        <f>ROUND(E921-E920,2)</f>
        <v/>
      </c>
      <c r="G921" s="6">
        <f>ROUND(F921-D921,2)</f>
        <v/>
      </c>
    </row>
    <row r="922">
      <c r="A922" t="inlineStr">
        <is>
          <t>2022-05-26</t>
        </is>
      </c>
      <c r="B922" t="n">
        <v>23</v>
      </c>
      <c r="C922" t="n">
        <v>2968</v>
      </c>
      <c r="D922" s="6" t="n">
        <v>46.3</v>
      </c>
      <c r="E922" s="6" t="n">
        <v>1040508.58</v>
      </c>
      <c r="F922" s="6">
        <f>ROUND(E922-E921,2)</f>
        <v/>
      </c>
      <c r="G922" s="6">
        <f>ROUND(F922-D922,2)</f>
        <v/>
      </c>
    </row>
    <row r="923">
      <c r="A923" t="inlineStr">
        <is>
          <t>2022-05-26</t>
        </is>
      </c>
      <c r="B923" t="n">
        <v>24</v>
      </c>
      <c r="C923" t="n">
        <v>2968</v>
      </c>
      <c r="D923" s="6" t="n">
        <v>67.8</v>
      </c>
      <c r="E923" s="6" t="n">
        <v>1040576.38</v>
      </c>
      <c r="F923" s="6">
        <f>ROUND(E923-E922,2)</f>
        <v/>
      </c>
      <c r="G923" s="6">
        <f>ROUND(F923-D923,2)</f>
        <v/>
      </c>
    </row>
    <row r="924">
      <c r="A924" t="inlineStr">
        <is>
          <t>2022-05-26</t>
        </is>
      </c>
      <c r="B924" t="n">
        <v>25</v>
      </c>
      <c r="C924" t="n">
        <v>2968</v>
      </c>
      <c r="D924" s="6" t="n">
        <v>74.8</v>
      </c>
      <c r="E924" s="6" t="n">
        <v>1040651.18</v>
      </c>
      <c r="F924" s="6">
        <f>ROUND(E924-E923,2)</f>
        <v/>
      </c>
      <c r="G924" s="6">
        <f>ROUND(F924-D924,2)</f>
        <v/>
      </c>
    </row>
    <row r="925">
      <c r="A925" t="inlineStr">
        <is>
          <t>2022-05-26</t>
        </is>
      </c>
      <c r="B925" t="n">
        <v>26</v>
      </c>
      <c r="C925" t="n">
        <v>2968</v>
      </c>
      <c r="D925" s="6" t="n">
        <v>141.4</v>
      </c>
      <c r="E925" s="6" t="n">
        <v>1040792.58</v>
      </c>
      <c r="F925" s="6">
        <f>ROUND(E925-E924,2)</f>
        <v/>
      </c>
      <c r="G925" s="6">
        <f>ROUND(F925-D925,2)</f>
        <v/>
      </c>
    </row>
    <row r="926">
      <c r="A926" t="inlineStr">
        <is>
          <t>2022-05-26</t>
        </is>
      </c>
      <c r="B926" t="n">
        <v>27</v>
      </c>
      <c r="C926" t="n">
        <v>2968</v>
      </c>
      <c r="D926" s="6" t="n">
        <v>96</v>
      </c>
      <c r="E926" s="6" t="n">
        <v>1040888.58</v>
      </c>
      <c r="F926" s="6">
        <f>ROUND(E926-E925,2)</f>
        <v/>
      </c>
      <c r="G926" s="6">
        <f>ROUND(F926-D926,2)</f>
        <v/>
      </c>
    </row>
    <row r="927">
      <c r="A927" t="inlineStr">
        <is>
          <t>2022-05-26</t>
        </is>
      </c>
      <c r="B927" t="n">
        <v>28</v>
      </c>
      <c r="C927" t="n">
        <v>2968</v>
      </c>
      <c r="D927" s="6" t="n">
        <v>21.75</v>
      </c>
      <c r="E927" s="6" t="n">
        <v>1040910.33</v>
      </c>
      <c r="F927" s="6">
        <f>ROUND(E927-E926,2)</f>
        <v/>
      </c>
      <c r="G927" s="6">
        <f>ROUND(F927-D927,2)</f>
        <v/>
      </c>
    </row>
    <row r="928">
      <c r="A928" t="inlineStr">
        <is>
          <t>2022-05-26</t>
        </is>
      </c>
      <c r="B928" t="n">
        <v>29</v>
      </c>
      <c r="C928" t="n">
        <v>2968</v>
      </c>
      <c r="D928" s="6" t="n">
        <v>21.75</v>
      </c>
      <c r="E928" s="6" t="n">
        <v>1040932.08</v>
      </c>
      <c r="F928" s="6">
        <f>ROUND(E928-E927,2)</f>
        <v/>
      </c>
      <c r="G928" s="6">
        <f>ROUND(F928-D928,2)</f>
        <v/>
      </c>
    </row>
    <row r="929">
      <c r="A929" t="inlineStr">
        <is>
          <t>2022-05-26</t>
        </is>
      </c>
      <c r="B929" t="n">
        <v>30</v>
      </c>
      <c r="C929" t="n">
        <v>2968</v>
      </c>
      <c r="D929" s="6" t="n">
        <v>71.90000000000001</v>
      </c>
      <c r="E929" s="6" t="n">
        <v>1041003.98</v>
      </c>
      <c r="F929" s="6">
        <f>ROUND(E929-E928,2)</f>
        <v/>
      </c>
      <c r="G929" s="6">
        <f>ROUND(F929-D929,2)</f>
        <v/>
      </c>
    </row>
    <row r="930">
      <c r="A930" t="inlineStr">
        <is>
          <t>2022-05-26</t>
        </is>
      </c>
      <c r="B930" t="n">
        <v>31</v>
      </c>
      <c r="C930" t="n">
        <v>2968</v>
      </c>
      <c r="D930" s="6" t="n">
        <v>71.3</v>
      </c>
      <c r="E930" s="6" t="n">
        <v>1041075.28</v>
      </c>
      <c r="F930" s="6">
        <f>ROUND(E930-E929,2)</f>
        <v/>
      </c>
      <c r="G930" s="6">
        <f>ROUND(F930-D930,2)</f>
        <v/>
      </c>
    </row>
    <row r="931">
      <c r="A931" t="inlineStr">
        <is>
          <t>2022-05-26</t>
        </is>
      </c>
      <c r="B931" t="n">
        <v>32</v>
      </c>
      <c r="C931" t="n">
        <v>2968</v>
      </c>
      <c r="D931" s="6" t="n">
        <v>52.1</v>
      </c>
      <c r="E931" s="6" t="n">
        <v>1041127.38</v>
      </c>
      <c r="F931" s="6">
        <f>ROUND(E931-E930,2)</f>
        <v/>
      </c>
      <c r="G931" s="6">
        <f>ROUND(F931-D931,2)</f>
        <v/>
      </c>
    </row>
    <row r="932">
      <c r="A932" t="inlineStr">
        <is>
          <t>2022-05-26</t>
        </is>
      </c>
      <c r="B932" t="n">
        <v>33</v>
      </c>
      <c r="C932" t="n">
        <v>2968</v>
      </c>
      <c r="D932" s="6" t="n">
        <v>111.7</v>
      </c>
      <c r="E932" s="6" t="n">
        <v>1041239.08</v>
      </c>
      <c r="F932" s="6">
        <f>ROUND(E932-E931,2)</f>
        <v/>
      </c>
      <c r="G932" s="6">
        <f>ROUND(F932-D932,2)</f>
        <v/>
      </c>
    </row>
    <row r="933">
      <c r="A933" t="inlineStr">
        <is>
          <t>2022-05-26</t>
        </is>
      </c>
      <c r="B933" t="n">
        <v>34</v>
      </c>
      <c r="C933" t="n">
        <v>2968</v>
      </c>
      <c r="D933" s="6" t="n">
        <v>52.9</v>
      </c>
      <c r="E933" s="6" t="n">
        <v>1041291.98</v>
      </c>
      <c r="F933" s="6">
        <f>ROUND(E933-E932,2)</f>
        <v/>
      </c>
      <c r="G933" s="6">
        <f>ROUND(F933-D933,2)</f>
        <v/>
      </c>
    </row>
    <row r="934">
      <c r="A934" t="inlineStr">
        <is>
          <t>2022-05-26</t>
        </is>
      </c>
      <c r="B934" t="n">
        <v>35</v>
      </c>
      <c r="C934" t="n">
        <v>2968</v>
      </c>
      <c r="D934" s="6" t="n">
        <v>125.7</v>
      </c>
      <c r="E934" s="6" t="n">
        <v>1041417.68</v>
      </c>
      <c r="F934" s="6">
        <f>ROUND(E934-E933,2)</f>
        <v/>
      </c>
      <c r="G934" s="6">
        <f>ROUND(F934-D934,2)</f>
        <v/>
      </c>
    </row>
    <row r="935">
      <c r="A935" t="inlineStr">
        <is>
          <t>2022-05-27</t>
        </is>
      </c>
      <c r="B935" t="n">
        <v>1</v>
      </c>
      <c r="C935" t="n">
        <v>2969</v>
      </c>
      <c r="D935" s="6" t="n">
        <v>65.5</v>
      </c>
      <c r="E935" s="6" t="n">
        <v>1041483.18</v>
      </c>
      <c r="F935" s="6">
        <f>ROUND(E935-E934,2)</f>
        <v/>
      </c>
      <c r="G935" s="6">
        <f>ROUND(F935-D935,2)</f>
        <v/>
      </c>
    </row>
    <row r="936">
      <c r="A936" t="inlineStr">
        <is>
          <t>2022-05-27</t>
        </is>
      </c>
      <c r="B936" t="n">
        <v>2</v>
      </c>
      <c r="C936" t="n">
        <v>2969</v>
      </c>
      <c r="D936" s="6" t="n">
        <v>52.2</v>
      </c>
      <c r="E936" s="6" t="n">
        <v>1041535.38</v>
      </c>
      <c r="F936" s="6">
        <f>ROUND(E936-E935,2)</f>
        <v/>
      </c>
      <c r="G936" s="6">
        <f>ROUND(F936-D936,2)</f>
        <v/>
      </c>
    </row>
    <row r="937">
      <c r="A937" t="inlineStr">
        <is>
          <t>2022-05-27</t>
        </is>
      </c>
      <c r="B937" t="n">
        <v>3</v>
      </c>
      <c r="C937" t="n">
        <v>2969</v>
      </c>
      <c r="D937" s="6" t="n">
        <v>129</v>
      </c>
      <c r="E937" s="6" t="n">
        <v>1041664.38</v>
      </c>
      <c r="F937" s="6">
        <f>ROUND(E937-E936,2)</f>
        <v/>
      </c>
      <c r="G937" s="6">
        <f>ROUND(F937-D937,2)</f>
        <v/>
      </c>
    </row>
    <row r="938">
      <c r="A938" t="inlineStr">
        <is>
          <t>2022-05-27</t>
        </is>
      </c>
      <c r="B938" t="n">
        <v>4</v>
      </c>
      <c r="C938" t="n">
        <v>2969</v>
      </c>
      <c r="D938" s="6" t="n">
        <v>65.7</v>
      </c>
      <c r="E938" s="6" t="n">
        <v>1041730.08</v>
      </c>
      <c r="F938" s="6">
        <f>ROUND(E938-E937,2)</f>
        <v/>
      </c>
      <c r="G938" s="6">
        <f>ROUND(F938-D938,2)</f>
        <v/>
      </c>
    </row>
    <row r="939">
      <c r="A939" t="inlineStr">
        <is>
          <t>2022-05-27</t>
        </is>
      </c>
      <c r="B939" t="n">
        <v>5</v>
      </c>
      <c r="C939" t="n">
        <v>2969</v>
      </c>
      <c r="D939" s="6" t="n">
        <v>81.90000000000001</v>
      </c>
      <c r="E939" s="6" t="n">
        <v>1041811.98</v>
      </c>
      <c r="F939" s="6">
        <f>ROUND(E939-E938,2)</f>
        <v/>
      </c>
      <c r="G939" s="6">
        <f>ROUND(F939-D939,2)</f>
        <v/>
      </c>
    </row>
    <row r="940">
      <c r="A940" t="inlineStr">
        <is>
          <t>2022-05-27</t>
        </is>
      </c>
      <c r="B940" t="n">
        <v>6</v>
      </c>
      <c r="C940" t="n">
        <v>2969</v>
      </c>
      <c r="D940" s="6" t="n">
        <v>37.6</v>
      </c>
      <c r="E940" s="6" t="n">
        <v>1041849.58</v>
      </c>
      <c r="F940" s="6">
        <f>ROUND(E940-E939,2)</f>
        <v/>
      </c>
      <c r="G940" s="6">
        <f>ROUND(F940-D940,2)</f>
        <v/>
      </c>
    </row>
    <row r="941">
      <c r="A941" t="inlineStr">
        <is>
          <t>2022-05-27</t>
        </is>
      </c>
      <c r="B941" t="n">
        <v>7</v>
      </c>
      <c r="C941" t="n">
        <v>2969</v>
      </c>
      <c r="D941" s="6" t="n">
        <v>82.90000000000001</v>
      </c>
      <c r="E941" s="6" t="n">
        <v>1041932.48</v>
      </c>
      <c r="F941" s="6">
        <f>ROUND(E941-E940,2)</f>
        <v/>
      </c>
      <c r="G941" s="6">
        <f>ROUND(F941-D941,2)</f>
        <v/>
      </c>
    </row>
    <row r="942">
      <c r="A942" t="inlineStr">
        <is>
          <t>2022-05-27</t>
        </is>
      </c>
      <c r="B942" t="n">
        <v>8</v>
      </c>
      <c r="C942" t="n">
        <v>2969</v>
      </c>
      <c r="D942" s="6" t="n">
        <v>78</v>
      </c>
      <c r="E942" s="6" t="n">
        <v>1042010.48</v>
      </c>
      <c r="F942" s="6">
        <f>ROUND(E942-E941,2)</f>
        <v/>
      </c>
      <c r="G942" s="6">
        <f>ROUND(F942-D942,2)</f>
        <v/>
      </c>
    </row>
    <row r="943">
      <c r="A943" t="inlineStr">
        <is>
          <t>2022-05-27</t>
        </is>
      </c>
      <c r="B943" t="n">
        <v>9</v>
      </c>
      <c r="C943" t="n">
        <v>2969</v>
      </c>
      <c r="D943" s="6" t="n">
        <v>77.09999999999999</v>
      </c>
      <c r="E943" s="6" t="n">
        <v>1042087.58</v>
      </c>
      <c r="F943" s="6">
        <f>ROUND(E943-E942,2)</f>
        <v/>
      </c>
      <c r="G943" s="6">
        <f>ROUND(F943-D943,2)</f>
        <v/>
      </c>
    </row>
    <row r="944">
      <c r="A944" t="inlineStr">
        <is>
          <t>2022-05-27</t>
        </is>
      </c>
      <c r="B944" t="n">
        <v>10</v>
      </c>
      <c r="C944" t="n">
        <v>2969</v>
      </c>
      <c r="D944" s="6" t="n">
        <v>25.7</v>
      </c>
      <c r="E944" s="6" t="n">
        <v>1042113.28</v>
      </c>
      <c r="F944" s="6">
        <f>ROUND(E944-E943,2)</f>
        <v/>
      </c>
      <c r="G944" s="6">
        <f>ROUND(F944-D944,2)</f>
        <v/>
      </c>
    </row>
    <row r="945">
      <c r="A945" t="inlineStr">
        <is>
          <t>2022-05-27</t>
        </is>
      </c>
      <c r="B945" t="n">
        <v>11</v>
      </c>
      <c r="C945" t="n">
        <v>2969</v>
      </c>
      <c r="D945" s="6" t="n">
        <v>23.8</v>
      </c>
      <c r="E945" s="6" t="n">
        <v>1042137.08</v>
      </c>
      <c r="F945" s="6">
        <f>ROUND(E945-E944,2)</f>
        <v/>
      </c>
      <c r="G945" s="6">
        <f>ROUND(F945-D945,2)</f>
        <v/>
      </c>
    </row>
    <row r="946">
      <c r="A946" t="inlineStr">
        <is>
          <t>2022-05-27</t>
        </is>
      </c>
      <c r="B946" t="n">
        <v>12</v>
      </c>
      <c r="C946" t="n">
        <v>2969</v>
      </c>
      <c r="D946" s="6" t="n">
        <v>143.7</v>
      </c>
      <c r="E946" s="6" t="n">
        <v>1042280.78</v>
      </c>
      <c r="F946" s="6">
        <f>ROUND(E946-E945,2)</f>
        <v/>
      </c>
      <c r="G946" s="6">
        <f>ROUND(F946-D946,2)</f>
        <v/>
      </c>
    </row>
    <row r="947">
      <c r="A947" t="inlineStr">
        <is>
          <t>2022-05-27</t>
        </is>
      </c>
      <c r="B947" t="n">
        <v>13</v>
      </c>
      <c r="C947" t="n">
        <v>2969</v>
      </c>
      <c r="D947" s="6" t="n">
        <v>204.9</v>
      </c>
      <c r="E947" s="6" t="n">
        <v>1042485.68</v>
      </c>
      <c r="F947" s="6">
        <f>ROUND(E947-E946,2)</f>
        <v/>
      </c>
      <c r="G947" s="6">
        <f>ROUND(F947-D947,2)</f>
        <v/>
      </c>
    </row>
    <row r="948">
      <c r="A948" t="inlineStr">
        <is>
          <t>2022-05-27</t>
        </is>
      </c>
      <c r="B948" t="n">
        <v>14</v>
      </c>
      <c r="C948" t="n">
        <v>2969</v>
      </c>
      <c r="D948" s="6" t="n">
        <v>49.9</v>
      </c>
      <c r="E948" s="6" t="n">
        <v>1042535.58</v>
      </c>
      <c r="F948" s="6">
        <f>ROUND(E948-E947,2)</f>
        <v/>
      </c>
      <c r="G948" s="6">
        <f>ROUND(F948-D948,2)</f>
        <v/>
      </c>
    </row>
    <row r="949">
      <c r="A949" t="inlineStr">
        <is>
          <t>2022-05-27</t>
        </is>
      </c>
      <c r="B949" t="n">
        <v>15</v>
      </c>
      <c r="C949" t="n">
        <v>2969</v>
      </c>
      <c r="D949" s="6" t="n">
        <v>23.6</v>
      </c>
      <c r="E949" s="6" t="n">
        <v>1042559.18</v>
      </c>
      <c r="F949" s="6">
        <f>ROUND(E949-E948,2)</f>
        <v/>
      </c>
      <c r="G949" s="6">
        <f>ROUND(F949-D949,2)</f>
        <v/>
      </c>
    </row>
    <row r="950">
      <c r="A950" t="inlineStr">
        <is>
          <t>2022-05-27</t>
        </is>
      </c>
      <c r="B950" t="n">
        <v>16</v>
      </c>
      <c r="C950" t="n">
        <v>2969</v>
      </c>
      <c r="D950" s="6" t="n">
        <v>72</v>
      </c>
      <c r="E950" s="6" t="n">
        <v>1042631.18</v>
      </c>
      <c r="F950" s="6">
        <f>ROUND(E950-E949,2)</f>
        <v/>
      </c>
      <c r="G950" s="6">
        <f>ROUND(F950-D950,2)</f>
        <v/>
      </c>
    </row>
    <row r="951">
      <c r="A951" t="inlineStr">
        <is>
          <t>2022-05-27</t>
        </is>
      </c>
      <c r="B951" t="n">
        <v>17</v>
      </c>
      <c r="C951" t="n">
        <v>2969</v>
      </c>
      <c r="D951" s="6" t="n">
        <v>105.4</v>
      </c>
      <c r="E951" s="6" t="n">
        <v>1042736.58</v>
      </c>
      <c r="F951" s="6">
        <f>ROUND(E951-E950,2)</f>
        <v/>
      </c>
      <c r="G951" s="6">
        <f>ROUND(F951-D951,2)</f>
        <v/>
      </c>
    </row>
    <row r="952">
      <c r="A952" t="inlineStr">
        <is>
          <t>2022-05-27</t>
        </is>
      </c>
      <c r="B952" t="n">
        <v>18</v>
      </c>
      <c r="C952" t="n">
        <v>2969</v>
      </c>
      <c r="D952" s="6" t="n">
        <v>50.1</v>
      </c>
      <c r="E952" s="6" t="n">
        <v>1042786.68</v>
      </c>
      <c r="F952" s="6">
        <f>ROUND(E952-E951,2)</f>
        <v/>
      </c>
      <c r="G952" s="6">
        <f>ROUND(F952-D952,2)</f>
        <v/>
      </c>
    </row>
    <row r="953">
      <c r="A953" t="inlineStr">
        <is>
          <t>2022-05-27</t>
        </is>
      </c>
      <c r="B953" t="n">
        <v>19</v>
      </c>
      <c r="C953" t="n">
        <v>2969</v>
      </c>
      <c r="D953" s="6" t="n">
        <v>51.1</v>
      </c>
      <c r="E953" s="6" t="n">
        <v>1042837.78</v>
      </c>
      <c r="F953" s="6">
        <f>ROUND(E953-E952,2)</f>
        <v/>
      </c>
      <c r="G953" s="6">
        <f>ROUND(F953-D953,2)</f>
        <v/>
      </c>
    </row>
    <row r="954">
      <c r="A954" t="inlineStr">
        <is>
          <t>2022-05-27</t>
        </is>
      </c>
      <c r="B954" t="n">
        <v>20</v>
      </c>
      <c r="C954" t="n">
        <v>2969</v>
      </c>
      <c r="D954" s="6" t="n">
        <v>51.1</v>
      </c>
      <c r="E954" s="6" t="n">
        <v>1042888.88</v>
      </c>
      <c r="F954" s="6">
        <f>ROUND(E954-E953,2)</f>
        <v/>
      </c>
      <c r="G954" s="6">
        <f>ROUND(F954-D954,2)</f>
        <v/>
      </c>
    </row>
    <row r="955">
      <c r="A955" t="inlineStr">
        <is>
          <t>2022-05-27</t>
        </is>
      </c>
      <c r="B955" t="n">
        <v>21</v>
      </c>
      <c r="C955" t="n">
        <v>2969</v>
      </c>
      <c r="D955" s="6" t="n">
        <v>49.2</v>
      </c>
      <c r="E955" s="6" t="n">
        <v>1042938.08</v>
      </c>
      <c r="F955" s="6">
        <f>ROUND(E955-E954,2)</f>
        <v/>
      </c>
      <c r="G955" s="6">
        <f>ROUND(F955-D955,2)</f>
        <v/>
      </c>
    </row>
    <row r="956">
      <c r="A956" t="inlineStr">
        <is>
          <t>2022-05-27</t>
        </is>
      </c>
      <c r="B956" t="n">
        <v>22</v>
      </c>
      <c r="C956" t="n">
        <v>2969</v>
      </c>
      <c r="D956" s="6" t="n">
        <v>74.40000000000001</v>
      </c>
      <c r="E956" s="6" t="n">
        <v>1043012.48</v>
      </c>
      <c r="F956" s="6">
        <f>ROUND(E956-E955,2)</f>
        <v/>
      </c>
      <c r="G956" s="6">
        <f>ROUND(F956-D956,2)</f>
        <v/>
      </c>
    </row>
    <row r="957">
      <c r="A957" t="inlineStr">
        <is>
          <t>2022-05-27</t>
        </is>
      </c>
      <c r="B957" t="n">
        <v>23</v>
      </c>
      <c r="C957" t="n">
        <v>2969</v>
      </c>
      <c r="D957" s="6" t="n">
        <v>100.9</v>
      </c>
      <c r="E957" s="6" t="n">
        <v>1043113.38</v>
      </c>
      <c r="F957" s="6">
        <f>ROUND(E957-E956,2)</f>
        <v/>
      </c>
      <c r="G957" s="6">
        <f>ROUND(F957-D957,2)</f>
        <v/>
      </c>
    </row>
    <row r="958">
      <c r="A958" t="inlineStr">
        <is>
          <t>2022-05-27</t>
        </is>
      </c>
      <c r="B958" t="n">
        <v>24</v>
      </c>
      <c r="C958" t="n">
        <v>2969</v>
      </c>
      <c r="D958" s="6" t="n">
        <v>81</v>
      </c>
      <c r="E958" s="6" t="n">
        <v>1043194.38</v>
      </c>
      <c r="F958" s="6">
        <f>ROUND(E958-E957,2)</f>
        <v/>
      </c>
      <c r="G958" s="6">
        <f>ROUND(F958-D958,2)</f>
        <v/>
      </c>
    </row>
    <row r="959">
      <c r="A959" t="inlineStr">
        <is>
          <t>2022-05-27</t>
        </is>
      </c>
      <c r="B959" t="n">
        <v>25</v>
      </c>
      <c r="C959" t="n">
        <v>2969</v>
      </c>
      <c r="D959" s="6" t="n">
        <v>62.3</v>
      </c>
      <c r="E959" s="6" t="n">
        <v>1043256.68</v>
      </c>
      <c r="F959" s="6">
        <f>ROUND(E959-E958,2)</f>
        <v/>
      </c>
      <c r="G959" s="6">
        <f>ROUND(F959-D959,2)</f>
        <v/>
      </c>
    </row>
    <row r="960">
      <c r="A960" t="inlineStr">
        <is>
          <t>2022-05-27</t>
        </is>
      </c>
      <c r="B960" t="n">
        <v>26</v>
      </c>
      <c r="C960" t="n">
        <v>2969</v>
      </c>
      <c r="D960" s="6" t="n">
        <v>115</v>
      </c>
      <c r="E960" s="6" t="n">
        <v>1043371.68</v>
      </c>
      <c r="F960" s="6">
        <f>ROUND(E960-E959,2)</f>
        <v/>
      </c>
      <c r="G960" s="6">
        <f>ROUND(F960-D960,2)</f>
        <v/>
      </c>
    </row>
    <row r="961">
      <c r="A961" t="inlineStr">
        <is>
          <t>2022-05-27</t>
        </is>
      </c>
      <c r="B961" t="n">
        <v>27</v>
      </c>
      <c r="C961" t="n">
        <v>2969</v>
      </c>
      <c r="D961" s="6" t="n">
        <v>114.8</v>
      </c>
      <c r="E961" s="6" t="n">
        <v>1043486.48</v>
      </c>
      <c r="F961" s="6">
        <f>ROUND(E961-E960,2)</f>
        <v/>
      </c>
      <c r="G961" s="6">
        <f>ROUND(F961-D961,2)</f>
        <v/>
      </c>
    </row>
    <row r="962">
      <c r="A962" t="inlineStr">
        <is>
          <t>2022-05-27</t>
        </is>
      </c>
      <c r="B962" t="n">
        <v>28</v>
      </c>
      <c r="C962" t="n">
        <v>2969</v>
      </c>
      <c r="D962" s="6" t="n">
        <v>82.3</v>
      </c>
      <c r="E962" s="6" t="n">
        <v>1043568.78</v>
      </c>
      <c r="F962" s="6">
        <f>ROUND(E962-E961,2)</f>
        <v/>
      </c>
      <c r="G962" s="6">
        <f>ROUND(F962-D962,2)</f>
        <v/>
      </c>
    </row>
    <row r="963">
      <c r="A963" t="inlineStr">
        <is>
          <t>2022-05-27</t>
        </is>
      </c>
      <c r="B963" t="n">
        <v>29</v>
      </c>
      <c r="C963" t="n">
        <v>2969</v>
      </c>
      <c r="D963" s="6" t="n">
        <v>118.7</v>
      </c>
      <c r="E963" s="6" t="n">
        <v>1043687.48</v>
      </c>
      <c r="F963" s="6">
        <f>ROUND(E963-E962,2)</f>
        <v/>
      </c>
      <c r="G963" s="6">
        <f>ROUND(F963-D963,2)</f>
        <v/>
      </c>
    </row>
    <row r="964">
      <c r="A964" t="inlineStr">
        <is>
          <t>2022-05-27</t>
        </is>
      </c>
      <c r="B964" t="n">
        <v>30</v>
      </c>
      <c r="C964" t="n">
        <v>2969</v>
      </c>
      <c r="D964" s="6" t="n">
        <v>35.84</v>
      </c>
      <c r="E964" s="6" t="n">
        <v>1043723.32</v>
      </c>
      <c r="F964" s="6">
        <f>ROUND(E964-E963,2)</f>
        <v/>
      </c>
      <c r="G964" s="6">
        <f>ROUND(F964-D964,2)</f>
        <v/>
      </c>
    </row>
    <row r="965">
      <c r="A965" t="inlineStr">
        <is>
          <t>2022-05-27</t>
        </is>
      </c>
      <c r="B965" t="n">
        <v>31</v>
      </c>
      <c r="C965" t="n">
        <v>2969</v>
      </c>
      <c r="D965" s="6" t="n">
        <v>71.95999999999999</v>
      </c>
      <c r="E965" s="6" t="n">
        <v>1043795.28</v>
      </c>
      <c r="F965" s="6">
        <f>ROUND(E965-E964,2)</f>
        <v/>
      </c>
      <c r="G965" s="6">
        <f>ROUND(F965-D965,2)</f>
        <v/>
      </c>
    </row>
    <row r="966">
      <c r="A966" t="inlineStr">
        <is>
          <t>2022-05-27</t>
        </is>
      </c>
      <c r="B966" t="n">
        <v>32</v>
      </c>
      <c r="C966" t="n">
        <v>2969</v>
      </c>
      <c r="D966" s="6" t="n">
        <v>103.6</v>
      </c>
      <c r="E966" s="6" t="n">
        <v>1043898.88</v>
      </c>
      <c r="F966" s="6">
        <f>ROUND(E966-E965,2)</f>
        <v/>
      </c>
      <c r="G966" s="6">
        <f>ROUND(F966-D966,2)</f>
        <v/>
      </c>
    </row>
    <row r="967">
      <c r="A967" t="inlineStr">
        <is>
          <t>2022-05-27</t>
        </is>
      </c>
      <c r="B967" t="n">
        <v>33</v>
      </c>
      <c r="C967" t="n">
        <v>2969</v>
      </c>
      <c r="D967" s="6" t="n">
        <v>29.4</v>
      </c>
      <c r="E967" s="6" t="n">
        <v>1043928.28</v>
      </c>
      <c r="F967" s="6">
        <f>ROUND(E967-E966,2)</f>
        <v/>
      </c>
      <c r="G967" s="6">
        <f>ROUND(F967-D967,2)</f>
        <v/>
      </c>
    </row>
    <row r="968">
      <c r="A968" t="inlineStr">
        <is>
          <t>2022-05-27</t>
        </is>
      </c>
      <c r="B968" t="n">
        <v>34</v>
      </c>
      <c r="C968" t="n">
        <v>2969</v>
      </c>
      <c r="D968" s="6" t="n">
        <v>50.45</v>
      </c>
      <c r="E968" s="6" t="n">
        <v>1043978.73</v>
      </c>
      <c r="F968" s="6">
        <f>ROUND(E968-E967,2)</f>
        <v/>
      </c>
      <c r="G968" s="6">
        <f>ROUND(F968-D968,2)</f>
        <v/>
      </c>
    </row>
    <row r="969">
      <c r="A969" t="inlineStr">
        <is>
          <t>2022-05-27</t>
        </is>
      </c>
      <c r="B969" t="n">
        <v>35</v>
      </c>
      <c r="C969" t="n">
        <v>2969</v>
      </c>
      <c r="D969" s="6" t="n">
        <v>50.45</v>
      </c>
      <c r="E969" s="6" t="n">
        <v>1044029.18</v>
      </c>
      <c r="F969" s="6">
        <f>ROUND(E969-E968,2)</f>
        <v/>
      </c>
      <c r="G969" s="6">
        <f>ROUND(F969-D969,2)</f>
        <v/>
      </c>
    </row>
    <row r="970">
      <c r="A970" t="inlineStr">
        <is>
          <t>2022-05-28</t>
        </is>
      </c>
      <c r="B970" t="n">
        <v>1</v>
      </c>
      <c r="C970" t="n">
        <v>2970</v>
      </c>
      <c r="D970" s="6" t="n">
        <v>46.7</v>
      </c>
      <c r="E970" s="6" t="n">
        <v>1044075.88</v>
      </c>
      <c r="F970" s="6">
        <f>ROUND(E970-E969,2)</f>
        <v/>
      </c>
      <c r="G970" s="6">
        <f>ROUND(F970-D970,2)</f>
        <v/>
      </c>
    </row>
    <row r="971">
      <c r="A971" t="inlineStr">
        <is>
          <t>2022-05-28</t>
        </is>
      </c>
      <c r="B971" t="n">
        <v>2</v>
      </c>
      <c r="C971" t="n">
        <v>2970</v>
      </c>
      <c r="D971" s="6" t="n">
        <v>50.6</v>
      </c>
      <c r="E971" s="6" t="n">
        <v>1044126.48</v>
      </c>
      <c r="F971" s="6">
        <f>ROUND(E971-E970,2)</f>
        <v/>
      </c>
      <c r="G971" s="6">
        <f>ROUND(F971-D971,2)</f>
        <v/>
      </c>
    </row>
    <row r="972">
      <c r="A972" t="inlineStr">
        <is>
          <t>2022-05-28</t>
        </is>
      </c>
      <c r="B972" t="n">
        <v>3</v>
      </c>
      <c r="C972" t="n">
        <v>2970</v>
      </c>
      <c r="D972" s="6" t="n">
        <v>61.4</v>
      </c>
      <c r="E972" s="6" t="n">
        <v>1044187.88</v>
      </c>
      <c r="F972" s="6">
        <f>ROUND(E972-E971,2)</f>
        <v/>
      </c>
      <c r="G972" s="6">
        <f>ROUND(F972-D972,2)</f>
        <v/>
      </c>
    </row>
    <row r="973">
      <c r="A973" t="inlineStr">
        <is>
          <t>2022-05-28</t>
        </is>
      </c>
      <c r="B973" t="n">
        <v>4</v>
      </c>
      <c r="C973" t="n">
        <v>2970</v>
      </c>
      <c r="D973" s="6" t="n">
        <v>73.5</v>
      </c>
      <c r="E973" s="6" t="n">
        <v>1044261.38</v>
      </c>
      <c r="F973" s="6">
        <f>ROUND(E973-E972,2)</f>
        <v/>
      </c>
      <c r="G973" s="6">
        <f>ROUND(F973-D973,2)</f>
        <v/>
      </c>
    </row>
    <row r="974">
      <c r="A974" t="inlineStr">
        <is>
          <t>2022-05-28</t>
        </is>
      </c>
      <c r="B974" t="n">
        <v>5</v>
      </c>
      <c r="C974" t="n">
        <v>2970</v>
      </c>
      <c r="D974" s="6" t="n">
        <v>48.6</v>
      </c>
      <c r="E974" s="6" t="n">
        <v>1044309.98</v>
      </c>
      <c r="F974" s="6">
        <f>ROUND(E974-E973,2)</f>
        <v/>
      </c>
      <c r="G974" s="6">
        <f>ROUND(F974-D974,2)</f>
        <v/>
      </c>
    </row>
    <row r="975">
      <c r="A975" t="inlineStr">
        <is>
          <t>2022-05-28</t>
        </is>
      </c>
      <c r="B975" t="n">
        <v>6</v>
      </c>
      <c r="C975" t="n">
        <v>2970</v>
      </c>
      <c r="D975" s="6" t="n">
        <v>54.4</v>
      </c>
      <c r="E975" s="6" t="n">
        <v>1044364.38</v>
      </c>
      <c r="F975" s="6">
        <f>ROUND(E975-E974,2)</f>
        <v/>
      </c>
      <c r="G975" s="6">
        <f>ROUND(F975-D975,2)</f>
        <v/>
      </c>
    </row>
    <row r="976">
      <c r="A976" t="inlineStr">
        <is>
          <t>2022-05-28</t>
        </is>
      </c>
      <c r="B976" t="n">
        <v>7</v>
      </c>
      <c r="C976" t="n">
        <v>2970</v>
      </c>
      <c r="D976" s="6" t="n">
        <v>73.8</v>
      </c>
      <c r="E976" s="6" t="n">
        <v>1044438.18</v>
      </c>
      <c r="F976" s="6">
        <f>ROUND(E976-E975,2)</f>
        <v/>
      </c>
      <c r="G976" s="6">
        <f>ROUND(F976-D976,2)</f>
        <v/>
      </c>
    </row>
    <row r="977">
      <c r="A977" t="inlineStr">
        <is>
          <t>2022-05-28</t>
        </is>
      </c>
      <c r="B977" t="n">
        <v>8</v>
      </c>
      <c r="C977" t="n">
        <v>2970</v>
      </c>
      <c r="D977" s="6" t="n">
        <v>102.7</v>
      </c>
      <c r="E977" s="6" t="n">
        <v>1044540.88</v>
      </c>
      <c r="F977" s="6">
        <f>ROUND(E977-E976,2)</f>
        <v/>
      </c>
      <c r="G977" s="6">
        <f>ROUND(F977-D977,2)</f>
        <v/>
      </c>
    </row>
    <row r="978">
      <c r="A978" t="inlineStr">
        <is>
          <t>2022-05-28</t>
        </is>
      </c>
      <c r="B978" t="n">
        <v>9</v>
      </c>
      <c r="C978" t="n">
        <v>2970</v>
      </c>
      <c r="D978" s="6" t="n">
        <v>15.9</v>
      </c>
      <c r="E978" s="6" t="n">
        <v>1044556.78</v>
      </c>
      <c r="F978" s="6">
        <f>ROUND(E978-E977,2)</f>
        <v/>
      </c>
      <c r="G978" s="6">
        <f>ROUND(F978-D978,2)</f>
        <v/>
      </c>
    </row>
    <row r="979">
      <c r="A979" t="inlineStr">
        <is>
          <t>2022-05-28</t>
        </is>
      </c>
      <c r="B979" t="n">
        <v>10</v>
      </c>
      <c r="C979" t="n">
        <v>2970</v>
      </c>
      <c r="D979" s="6" t="n">
        <v>27.93</v>
      </c>
      <c r="E979" s="6" t="n">
        <v>1044584.71</v>
      </c>
      <c r="F979" s="6">
        <f>ROUND(E979-E978,2)</f>
        <v/>
      </c>
      <c r="G979" s="6">
        <f>ROUND(F979-D979,2)</f>
        <v/>
      </c>
    </row>
    <row r="980">
      <c r="A980" t="inlineStr">
        <is>
          <t>2022-05-28</t>
        </is>
      </c>
      <c r="B980" t="n">
        <v>11</v>
      </c>
      <c r="C980" t="n">
        <v>2970</v>
      </c>
      <c r="D980" s="6" t="n">
        <v>83.77</v>
      </c>
      <c r="E980" s="6" t="n">
        <v>1044668.48</v>
      </c>
      <c r="F980" s="6">
        <f>ROUND(E980-E979,2)</f>
        <v/>
      </c>
      <c r="G980" s="6">
        <f>ROUND(F980-D980,2)</f>
        <v/>
      </c>
    </row>
    <row r="981">
      <c r="A981" t="inlineStr">
        <is>
          <t>2022-05-28</t>
        </is>
      </c>
      <c r="B981" t="n">
        <v>12</v>
      </c>
      <c r="C981" t="n">
        <v>2970</v>
      </c>
      <c r="D981" s="6" t="n">
        <v>132</v>
      </c>
      <c r="E981" s="6" t="n">
        <v>1044800.48</v>
      </c>
      <c r="F981" s="6">
        <f>ROUND(E981-E980,2)</f>
        <v/>
      </c>
      <c r="G981" s="6">
        <f>ROUND(F981-D981,2)</f>
        <v/>
      </c>
    </row>
    <row r="982">
      <c r="A982" t="inlineStr">
        <is>
          <t>2022-05-28</t>
        </is>
      </c>
      <c r="B982" t="n">
        <v>13</v>
      </c>
      <c r="C982" t="n">
        <v>2970</v>
      </c>
      <c r="D982" s="6" t="n">
        <v>57.9</v>
      </c>
      <c r="E982" s="6" t="n">
        <v>1044858.38</v>
      </c>
      <c r="F982" s="6">
        <f>ROUND(E982-E981,2)</f>
        <v/>
      </c>
      <c r="G982" s="6">
        <f>ROUND(F982-D982,2)</f>
        <v/>
      </c>
    </row>
    <row r="983">
      <c r="A983" t="inlineStr">
        <is>
          <t>2022-05-28</t>
        </is>
      </c>
      <c r="B983" t="n">
        <v>14</v>
      </c>
      <c r="C983" t="n">
        <v>2970</v>
      </c>
      <c r="D983" s="6" t="n">
        <v>61.6</v>
      </c>
      <c r="E983" s="6" t="n">
        <v>1044919.98</v>
      </c>
      <c r="F983" s="6">
        <f>ROUND(E983-E982,2)</f>
        <v/>
      </c>
      <c r="G983" s="6">
        <f>ROUND(F983-D983,2)</f>
        <v/>
      </c>
    </row>
    <row r="984">
      <c r="A984" t="inlineStr">
        <is>
          <t>2022-05-28</t>
        </is>
      </c>
      <c r="B984" t="n">
        <v>15</v>
      </c>
      <c r="C984" t="n">
        <v>2970</v>
      </c>
      <c r="D984" s="6" t="n">
        <v>58.6</v>
      </c>
      <c r="E984" s="6" t="n">
        <v>1044978.58</v>
      </c>
      <c r="F984" s="6">
        <f>ROUND(E984-E983,2)</f>
        <v/>
      </c>
      <c r="G984" s="6">
        <f>ROUND(F984-D984,2)</f>
        <v/>
      </c>
    </row>
    <row r="985">
      <c r="A985" t="inlineStr">
        <is>
          <t>2022-05-28</t>
        </is>
      </c>
      <c r="B985" t="n">
        <v>16</v>
      </c>
      <c r="C985" t="n">
        <v>2970</v>
      </c>
      <c r="D985" s="6" t="n">
        <v>59.2</v>
      </c>
      <c r="E985" s="6" t="n">
        <v>1045037.78</v>
      </c>
      <c r="F985" s="6">
        <f>ROUND(E985-E984,2)</f>
        <v/>
      </c>
      <c r="G985" s="6">
        <f>ROUND(F985-D985,2)</f>
        <v/>
      </c>
    </row>
    <row r="986">
      <c r="A986" t="inlineStr">
        <is>
          <t>2022-05-28</t>
        </is>
      </c>
      <c r="B986" t="n">
        <v>17</v>
      </c>
      <c r="C986" t="n">
        <v>2970</v>
      </c>
      <c r="D986" s="6" t="n">
        <v>134.8</v>
      </c>
      <c r="E986" s="6" t="n">
        <v>1045172.58</v>
      </c>
      <c r="F986" s="6">
        <f>ROUND(E986-E985,2)</f>
        <v/>
      </c>
      <c r="G986" s="6">
        <f>ROUND(F986-D986,2)</f>
        <v/>
      </c>
    </row>
    <row r="987">
      <c r="A987" t="inlineStr">
        <is>
          <t>2022-05-28</t>
        </is>
      </c>
      <c r="B987" t="n">
        <v>18</v>
      </c>
      <c r="C987" t="n">
        <v>2970</v>
      </c>
      <c r="D987" s="6" t="n">
        <v>72.5</v>
      </c>
      <c r="E987" s="6" t="n">
        <v>1045245.08</v>
      </c>
      <c r="F987" s="6">
        <f>ROUND(E987-E986,2)</f>
        <v/>
      </c>
      <c r="G987" s="6">
        <f>ROUND(F987-D987,2)</f>
        <v/>
      </c>
    </row>
    <row r="988">
      <c r="A988" t="inlineStr">
        <is>
          <t>2022-05-28</t>
        </is>
      </c>
      <c r="B988" t="n">
        <v>19</v>
      </c>
      <c r="C988" t="n">
        <v>2970</v>
      </c>
      <c r="D988" s="6" t="n">
        <v>58.1</v>
      </c>
      <c r="E988" s="6" t="n">
        <v>1045303.18</v>
      </c>
      <c r="F988" s="6">
        <f>ROUND(E988-E987,2)</f>
        <v/>
      </c>
      <c r="G988" s="6">
        <f>ROUND(F988-D988,2)</f>
        <v/>
      </c>
    </row>
    <row r="989">
      <c r="A989" t="inlineStr">
        <is>
          <t>2022-05-28</t>
        </is>
      </c>
      <c r="B989" t="n">
        <v>20</v>
      </c>
      <c r="C989" t="n">
        <v>2970</v>
      </c>
      <c r="D989" s="6" t="n">
        <v>87.2</v>
      </c>
      <c r="E989" s="6" t="n">
        <v>1045390.38</v>
      </c>
      <c r="F989" s="6">
        <f>ROUND(E989-E988,2)</f>
        <v/>
      </c>
      <c r="G989" s="6">
        <f>ROUND(F989-D989,2)</f>
        <v/>
      </c>
    </row>
    <row r="990">
      <c r="A990" t="inlineStr">
        <is>
          <t>2022-05-28</t>
        </is>
      </c>
      <c r="B990" t="n">
        <v>21</v>
      </c>
      <c r="C990" t="n">
        <v>2970</v>
      </c>
      <c r="D990" s="6" t="n">
        <v>63.2</v>
      </c>
      <c r="E990" s="6" t="n">
        <v>1045453.58</v>
      </c>
      <c r="F990" s="6">
        <f>ROUND(E990-E989,2)</f>
        <v/>
      </c>
      <c r="G990" s="6">
        <f>ROUND(F990-D990,2)</f>
        <v/>
      </c>
    </row>
    <row r="991">
      <c r="A991" t="inlineStr">
        <is>
          <t>2022-05-28</t>
        </is>
      </c>
      <c r="B991" t="n">
        <v>22</v>
      </c>
      <c r="C991" t="n">
        <v>2970</v>
      </c>
      <c r="D991" s="6" t="n">
        <v>65.5</v>
      </c>
      <c r="E991" s="6" t="n">
        <v>1045519.08</v>
      </c>
      <c r="F991" s="6">
        <f>ROUND(E991-E990,2)</f>
        <v/>
      </c>
      <c r="G991" s="6">
        <f>ROUND(F991-D991,2)</f>
        <v/>
      </c>
    </row>
    <row r="992">
      <c r="A992" t="inlineStr">
        <is>
          <t>2022-05-28</t>
        </is>
      </c>
      <c r="B992" t="n">
        <v>23</v>
      </c>
      <c r="C992" t="n">
        <v>2970</v>
      </c>
      <c r="D992" s="6" t="n">
        <v>89.8</v>
      </c>
      <c r="E992" s="6" t="n">
        <v>1045608.88</v>
      </c>
      <c r="F992" s="6">
        <f>ROUND(E992-E991,2)</f>
        <v/>
      </c>
      <c r="G992" s="6">
        <f>ROUND(F992-D992,2)</f>
        <v/>
      </c>
    </row>
    <row r="993">
      <c r="A993" t="inlineStr">
        <is>
          <t>2022-05-28</t>
        </is>
      </c>
      <c r="B993" t="n">
        <v>24</v>
      </c>
      <c r="C993" t="n">
        <v>2970</v>
      </c>
      <c r="D993" s="6" t="n">
        <v>72.2</v>
      </c>
      <c r="E993" s="6" t="n">
        <v>1045681.08</v>
      </c>
      <c r="F993" s="6">
        <f>ROUND(E993-E992,2)</f>
        <v/>
      </c>
      <c r="G993" s="6">
        <f>ROUND(F993-D993,2)</f>
        <v/>
      </c>
    </row>
    <row r="994">
      <c r="A994" t="inlineStr">
        <is>
          <t>2022-05-28</t>
        </is>
      </c>
      <c r="B994" t="n">
        <v>25</v>
      </c>
      <c r="C994" t="n">
        <v>2970</v>
      </c>
      <c r="D994" s="6" t="n">
        <v>90.40000000000001</v>
      </c>
      <c r="E994" s="6" t="n">
        <v>1045771.48</v>
      </c>
      <c r="F994" s="6">
        <f>ROUND(E994-E993,2)</f>
        <v/>
      </c>
      <c r="G994" s="6">
        <f>ROUND(F994-D994,2)</f>
        <v/>
      </c>
    </row>
    <row r="995">
      <c r="A995" t="inlineStr">
        <is>
          <t>2022-05-28</t>
        </is>
      </c>
      <c r="B995" t="n">
        <v>26</v>
      </c>
      <c r="C995" t="n">
        <v>2970</v>
      </c>
      <c r="D995" s="6" t="n">
        <v>51</v>
      </c>
      <c r="E995" s="6" t="n">
        <v>1045822.48</v>
      </c>
      <c r="F995" s="6">
        <f>ROUND(E995-E994,2)</f>
        <v/>
      </c>
      <c r="G995" s="6">
        <f>ROUND(F995-D995,2)</f>
        <v/>
      </c>
    </row>
    <row r="996">
      <c r="A996" t="inlineStr">
        <is>
          <t>2022-05-28</t>
        </is>
      </c>
      <c r="B996" t="n">
        <v>27</v>
      </c>
      <c r="C996" t="n">
        <v>2970</v>
      </c>
      <c r="D996" s="6" t="n">
        <v>129.3</v>
      </c>
      <c r="E996" s="6" t="n">
        <v>1045951.78</v>
      </c>
      <c r="F996" s="6">
        <f>ROUND(E996-E995,2)</f>
        <v/>
      </c>
      <c r="G996" s="6">
        <f>ROUND(F996-D996,2)</f>
        <v/>
      </c>
    </row>
    <row r="997">
      <c r="A997" t="inlineStr">
        <is>
          <t>2022-05-28</t>
        </is>
      </c>
      <c r="B997" t="n">
        <v>28</v>
      </c>
      <c r="C997" t="n">
        <v>2970</v>
      </c>
      <c r="D997" s="6" t="n">
        <v>81.7</v>
      </c>
      <c r="E997" s="6" t="n">
        <v>1046033.48</v>
      </c>
      <c r="F997" s="6">
        <f>ROUND(E997-E996,2)</f>
        <v/>
      </c>
      <c r="G997" s="6">
        <f>ROUND(F997-D997,2)</f>
        <v/>
      </c>
    </row>
    <row r="998">
      <c r="A998" t="inlineStr">
        <is>
          <t>2022-05-28</t>
        </is>
      </c>
      <c r="B998" t="n">
        <v>29</v>
      </c>
      <c r="C998" t="n">
        <v>2970</v>
      </c>
      <c r="D998" s="6" t="n">
        <v>112.4</v>
      </c>
      <c r="E998" s="6" t="n">
        <v>1046145.88</v>
      </c>
      <c r="F998" s="6">
        <f>ROUND(E998-E997,2)</f>
        <v/>
      </c>
      <c r="G998" s="6">
        <f>ROUND(F998-D998,2)</f>
        <v/>
      </c>
    </row>
    <row r="999">
      <c r="A999" t="inlineStr">
        <is>
          <t>2022-05-28</t>
        </is>
      </c>
      <c r="B999" t="n">
        <v>30</v>
      </c>
      <c r="C999" t="n">
        <v>2970</v>
      </c>
      <c r="D999" s="6" t="n">
        <v>76.3</v>
      </c>
      <c r="E999" s="6" t="n">
        <v>1046222.18</v>
      </c>
      <c r="F999" s="6">
        <f>ROUND(E999-E998,2)</f>
        <v/>
      </c>
      <c r="G999" s="6">
        <f>ROUND(F999-D999,2)</f>
        <v/>
      </c>
    </row>
    <row r="1000">
      <c r="A1000" t="inlineStr">
        <is>
          <t>2022-05-28</t>
        </is>
      </c>
      <c r="B1000" t="n">
        <v>31</v>
      </c>
      <c r="C1000" t="n">
        <v>2970</v>
      </c>
      <c r="D1000" s="6" t="n">
        <v>88.90000000000001</v>
      </c>
      <c r="E1000" s="6" t="n">
        <v>1046311.08</v>
      </c>
      <c r="F1000" s="6">
        <f>ROUND(E1000-E999,2)</f>
        <v/>
      </c>
      <c r="G1000" s="6">
        <f>ROUND(F1000-D1000,2)</f>
        <v/>
      </c>
    </row>
    <row r="1001">
      <c r="A1001" t="inlineStr">
        <is>
          <t>2022-05-28</t>
        </is>
      </c>
      <c r="B1001" t="n">
        <v>32</v>
      </c>
      <c r="C1001" t="n">
        <v>2970</v>
      </c>
      <c r="D1001" s="6" t="n">
        <v>76.8</v>
      </c>
      <c r="E1001" s="6" t="n">
        <v>1046387.88</v>
      </c>
      <c r="F1001" s="6">
        <f>ROUND(E1001-E1000,2)</f>
        <v/>
      </c>
      <c r="G1001" s="6">
        <f>ROUND(F1001-D1001,2)</f>
        <v/>
      </c>
    </row>
    <row r="1002">
      <c r="A1002" t="inlineStr">
        <is>
          <t>2022-05-28</t>
        </is>
      </c>
      <c r="B1002" t="n">
        <v>33</v>
      </c>
      <c r="C1002" t="n">
        <v>2970</v>
      </c>
      <c r="D1002" s="6" t="n">
        <v>42.3</v>
      </c>
      <c r="E1002" s="6" t="n">
        <v>1046430.18</v>
      </c>
      <c r="F1002" s="6">
        <f>ROUND(E1002-E1001,2)</f>
        <v/>
      </c>
      <c r="G1002" s="6">
        <f>ROUND(F1002-D1002,2)</f>
        <v/>
      </c>
    </row>
    <row r="1003">
      <c r="A1003" t="inlineStr">
        <is>
          <t>2022-05-28</t>
        </is>
      </c>
      <c r="B1003" t="n">
        <v>34</v>
      </c>
      <c r="C1003" t="n">
        <v>2970</v>
      </c>
      <c r="D1003" s="6" t="n">
        <v>42.3</v>
      </c>
      <c r="E1003" s="6" t="n">
        <v>1046472.48</v>
      </c>
      <c r="F1003" s="6">
        <f>ROUND(E1003-E1002,2)</f>
        <v/>
      </c>
      <c r="G1003" s="6">
        <f>ROUND(F1003-D1003,2)</f>
        <v/>
      </c>
    </row>
    <row r="1004">
      <c r="A1004" t="inlineStr">
        <is>
          <t>2022-05-28</t>
        </is>
      </c>
      <c r="B1004" t="n">
        <v>35</v>
      </c>
      <c r="C1004" t="n">
        <v>2970</v>
      </c>
      <c r="D1004" s="6" t="n">
        <v>71.09999999999999</v>
      </c>
      <c r="E1004" s="6" t="n">
        <v>1046543.58</v>
      </c>
      <c r="F1004" s="6">
        <f>ROUND(E1004-E1003,2)</f>
        <v/>
      </c>
      <c r="G1004" s="6">
        <f>ROUND(F1004-D1004,2)</f>
        <v/>
      </c>
    </row>
    <row r="1005">
      <c r="A1005" t="inlineStr">
        <is>
          <t>2022-05-28</t>
        </is>
      </c>
      <c r="B1005" t="n">
        <v>36</v>
      </c>
      <c r="C1005" t="n">
        <v>2970</v>
      </c>
      <c r="D1005" s="6" t="n">
        <v>10.4</v>
      </c>
      <c r="E1005" s="6" t="n">
        <v>1046553.98</v>
      </c>
      <c r="F1005" s="6">
        <f>ROUND(E1005-E1004,2)</f>
        <v/>
      </c>
      <c r="G1005" s="6">
        <f>ROUND(F1005-D1005,2)</f>
        <v/>
      </c>
    </row>
    <row r="1006">
      <c r="A1006" t="inlineStr">
        <is>
          <t>2022-05-28</t>
        </is>
      </c>
      <c r="B1006" t="n">
        <v>37</v>
      </c>
      <c r="C1006" t="n">
        <v>2970</v>
      </c>
      <c r="D1006" s="6" t="n">
        <v>116.5</v>
      </c>
      <c r="E1006" s="6" t="n">
        <v>1046670.48</v>
      </c>
      <c r="F1006" s="6">
        <f>ROUND(E1006-E1005,2)</f>
        <v/>
      </c>
      <c r="G1006" s="6">
        <f>ROUND(F1006-D1006,2)</f>
        <v/>
      </c>
    </row>
    <row r="1007">
      <c r="A1007" t="inlineStr">
        <is>
          <t>2022-05-28</t>
        </is>
      </c>
      <c r="B1007" t="n">
        <v>38</v>
      </c>
      <c r="C1007" t="n">
        <v>2970</v>
      </c>
      <c r="D1007" s="6" t="n">
        <v>113.9</v>
      </c>
      <c r="E1007" s="6" t="n">
        <v>1046784.38</v>
      </c>
      <c r="F1007" s="6">
        <f>ROUND(E1007-E1006,2)</f>
        <v/>
      </c>
      <c r="G1007" s="6">
        <f>ROUND(F1007-D1007,2)</f>
        <v/>
      </c>
    </row>
    <row r="1008">
      <c r="A1008" t="inlineStr">
        <is>
          <t>2022-05-28</t>
        </is>
      </c>
      <c r="B1008" t="n">
        <v>39</v>
      </c>
      <c r="C1008" t="n">
        <v>2970</v>
      </c>
      <c r="D1008" s="6" t="n">
        <v>39.8</v>
      </c>
      <c r="E1008" s="6" t="n">
        <v>1046824.18</v>
      </c>
      <c r="F1008" s="6">
        <f>ROUND(E1008-E1007,2)</f>
        <v/>
      </c>
      <c r="G1008" s="6">
        <f>ROUND(F1008-D1008,2)</f>
        <v/>
      </c>
    </row>
    <row r="1009">
      <c r="A1009" t="inlineStr">
        <is>
          <t>2022-05-29</t>
        </is>
      </c>
      <c r="B1009" t="n">
        <v>1</v>
      </c>
      <c r="C1009" t="n">
        <v>2971</v>
      </c>
      <c r="D1009" s="6" t="n">
        <v>65.7</v>
      </c>
      <c r="E1009" s="6" t="n">
        <v>1046889.88</v>
      </c>
      <c r="F1009" s="6">
        <f>ROUND(E1009-E1008,2)</f>
        <v/>
      </c>
      <c r="G1009" s="6">
        <f>ROUND(F1009-D1009,2)</f>
        <v/>
      </c>
    </row>
    <row r="1010">
      <c r="A1010" t="inlineStr">
        <is>
          <t>2022-05-29</t>
        </is>
      </c>
      <c r="B1010" t="n">
        <v>2</v>
      </c>
      <c r="C1010" t="n">
        <v>2971</v>
      </c>
      <c r="D1010" s="6" t="n">
        <v>45.5</v>
      </c>
      <c r="E1010" s="6" t="n">
        <v>1046935.38</v>
      </c>
      <c r="F1010" s="6">
        <f>ROUND(E1010-E1009,2)</f>
        <v/>
      </c>
      <c r="G1010" s="6">
        <f>ROUND(F1010-D1010,2)</f>
        <v/>
      </c>
    </row>
    <row r="1011">
      <c r="A1011" t="inlineStr">
        <is>
          <t>2022-05-29</t>
        </is>
      </c>
      <c r="B1011" t="n">
        <v>3</v>
      </c>
      <c r="C1011" t="n">
        <v>2971</v>
      </c>
      <c r="D1011" s="6" t="n">
        <v>23.3</v>
      </c>
      <c r="E1011" s="6" t="n">
        <v>1046958.68</v>
      </c>
      <c r="F1011" s="6">
        <f>ROUND(E1011-E1010,2)</f>
        <v/>
      </c>
      <c r="G1011" s="6">
        <f>ROUND(F1011-D1011,2)</f>
        <v/>
      </c>
    </row>
    <row r="1012">
      <c r="A1012" t="inlineStr">
        <is>
          <t>2022-05-29</t>
        </is>
      </c>
      <c r="B1012" t="n">
        <v>4</v>
      </c>
      <c r="C1012" t="n">
        <v>2971</v>
      </c>
      <c r="D1012" s="6" t="n">
        <v>76.5</v>
      </c>
      <c r="E1012" s="6" t="n">
        <v>1047035.18</v>
      </c>
      <c r="F1012" s="6">
        <f>ROUND(E1012-E1011,2)</f>
        <v/>
      </c>
      <c r="G1012" s="6">
        <f>ROUND(F1012-D1012,2)</f>
        <v/>
      </c>
    </row>
    <row r="1013">
      <c r="A1013" t="inlineStr">
        <is>
          <t>2022-05-29</t>
        </is>
      </c>
      <c r="B1013" t="n">
        <v>5</v>
      </c>
      <c r="C1013" t="n">
        <v>2971</v>
      </c>
      <c r="D1013" s="6" t="n">
        <v>116.5</v>
      </c>
      <c r="E1013" s="6" t="n">
        <v>1047151.68</v>
      </c>
      <c r="F1013" s="6">
        <f>ROUND(E1013-E1012,2)</f>
        <v/>
      </c>
      <c r="G1013" s="6">
        <f>ROUND(F1013-D1013,2)</f>
        <v/>
      </c>
    </row>
    <row r="1014">
      <c r="A1014" t="inlineStr">
        <is>
          <t>2022-05-29</t>
        </is>
      </c>
      <c r="B1014" t="n">
        <v>6</v>
      </c>
      <c r="C1014" t="n">
        <v>2971</v>
      </c>
      <c r="D1014" s="6" t="n">
        <v>87.59999999999999</v>
      </c>
      <c r="E1014" s="6" t="n">
        <v>1047239.28</v>
      </c>
      <c r="F1014" s="6">
        <f>ROUND(E1014-E1013,2)</f>
        <v/>
      </c>
      <c r="G1014" s="6">
        <f>ROUND(F1014-D1014,2)</f>
        <v/>
      </c>
    </row>
    <row r="1015">
      <c r="A1015" t="inlineStr">
        <is>
          <t>2022-05-29</t>
        </is>
      </c>
      <c r="B1015" t="n">
        <v>7</v>
      </c>
      <c r="C1015" t="n">
        <v>2971</v>
      </c>
      <c r="D1015" s="6" t="n">
        <v>88.59999999999999</v>
      </c>
      <c r="E1015" s="6" t="n">
        <v>1047327.88</v>
      </c>
      <c r="F1015" s="6">
        <f>ROUND(E1015-E1014,2)</f>
        <v/>
      </c>
      <c r="G1015" s="6">
        <f>ROUND(F1015-D1015,2)</f>
        <v/>
      </c>
    </row>
    <row r="1016">
      <c r="A1016" t="inlineStr">
        <is>
          <t>2022-05-29</t>
        </is>
      </c>
      <c r="B1016" t="n">
        <v>8</v>
      </c>
      <c r="C1016" t="n">
        <v>2971</v>
      </c>
      <c r="D1016" s="6" t="n">
        <v>81.5</v>
      </c>
      <c r="E1016" s="6" t="n">
        <v>1047409.38</v>
      </c>
      <c r="F1016" s="6">
        <f>ROUND(E1016-E1015,2)</f>
        <v/>
      </c>
      <c r="G1016" s="6">
        <f>ROUND(F1016-D1016,2)</f>
        <v/>
      </c>
    </row>
    <row r="1017">
      <c r="A1017" t="inlineStr">
        <is>
          <t>2022-05-29</t>
        </is>
      </c>
      <c r="B1017" t="n">
        <v>9</v>
      </c>
      <c r="C1017" t="n">
        <v>2971</v>
      </c>
      <c r="D1017" s="6" t="n">
        <v>181.2</v>
      </c>
      <c r="E1017" s="6" t="n">
        <v>1047590.58</v>
      </c>
      <c r="F1017" s="6">
        <f>ROUND(E1017-E1016,2)</f>
        <v/>
      </c>
      <c r="G1017" s="6">
        <f>ROUND(F1017-D1017,2)</f>
        <v/>
      </c>
    </row>
    <row r="1018">
      <c r="A1018" t="inlineStr">
        <is>
          <t>2022-05-29</t>
        </is>
      </c>
      <c r="B1018" t="n">
        <v>10</v>
      </c>
      <c r="C1018" t="n">
        <v>2971</v>
      </c>
      <c r="D1018" s="6" t="n">
        <v>111.9</v>
      </c>
      <c r="E1018" s="6" t="n">
        <v>1047702.48</v>
      </c>
      <c r="F1018" s="6">
        <f>ROUND(E1018-E1017,2)</f>
        <v/>
      </c>
      <c r="G1018" s="6">
        <f>ROUND(F1018-D1018,2)</f>
        <v/>
      </c>
    </row>
    <row r="1019">
      <c r="A1019" t="inlineStr">
        <is>
          <t>2022-05-29</t>
        </is>
      </c>
      <c r="B1019" t="n">
        <v>11</v>
      </c>
      <c r="C1019" t="n">
        <v>2971</v>
      </c>
      <c r="D1019" s="6" t="n">
        <v>135.5</v>
      </c>
      <c r="E1019" s="6" t="n">
        <v>1047837.98</v>
      </c>
      <c r="F1019" s="6">
        <f>ROUND(E1019-E1018,2)</f>
        <v/>
      </c>
      <c r="G1019" s="6">
        <f>ROUND(F1019-D1019,2)</f>
        <v/>
      </c>
    </row>
    <row r="1020">
      <c r="A1020" t="inlineStr">
        <is>
          <t>2022-05-29</t>
        </is>
      </c>
      <c r="B1020" t="n">
        <v>12</v>
      </c>
      <c r="C1020" t="n">
        <v>2971</v>
      </c>
      <c r="D1020" s="6" t="n">
        <v>152.5</v>
      </c>
      <c r="E1020" s="6" t="n">
        <v>1047990.48</v>
      </c>
      <c r="F1020" s="6">
        <f>ROUND(E1020-E1019,2)</f>
        <v/>
      </c>
      <c r="G1020" s="6">
        <f>ROUND(F1020-D1020,2)</f>
        <v/>
      </c>
    </row>
    <row r="1021">
      <c r="A1021" t="inlineStr">
        <is>
          <t>2022-05-29</t>
        </is>
      </c>
      <c r="B1021" t="n">
        <v>13</v>
      </c>
      <c r="C1021" t="n">
        <v>2971</v>
      </c>
      <c r="D1021" s="6" t="n">
        <v>175</v>
      </c>
      <c r="E1021" s="6" t="n">
        <v>1048165.48</v>
      </c>
      <c r="F1021" s="6">
        <f>ROUND(E1021-E1020,2)</f>
        <v/>
      </c>
      <c r="G1021" s="6">
        <f>ROUND(F1021-D1021,2)</f>
        <v/>
      </c>
    </row>
    <row r="1022">
      <c r="A1022" t="inlineStr">
        <is>
          <t>2022-05-29</t>
        </is>
      </c>
      <c r="B1022" t="n">
        <v>14</v>
      </c>
      <c r="C1022" t="n">
        <v>2971</v>
      </c>
      <c r="D1022" s="6" t="n">
        <v>51.8</v>
      </c>
      <c r="E1022" s="6" t="n">
        <v>1048217.28</v>
      </c>
      <c r="F1022" s="6">
        <f>ROUND(E1022-E1021,2)</f>
        <v/>
      </c>
      <c r="G1022" s="6">
        <f>ROUND(F1022-D1022,2)</f>
        <v/>
      </c>
    </row>
    <row r="1023">
      <c r="A1023" t="inlineStr">
        <is>
          <t>2022-05-29</t>
        </is>
      </c>
      <c r="B1023" t="n">
        <v>15</v>
      </c>
      <c r="C1023" t="n">
        <v>2971</v>
      </c>
      <c r="D1023" s="6" t="n">
        <v>60</v>
      </c>
      <c r="E1023" s="6" t="n">
        <v>1048277.28</v>
      </c>
      <c r="F1023" s="6">
        <f>ROUND(E1023-E1022,2)</f>
        <v/>
      </c>
      <c r="G1023" s="6">
        <f>ROUND(F1023-D1023,2)</f>
        <v/>
      </c>
    </row>
    <row r="1024">
      <c r="A1024" t="inlineStr">
        <is>
          <t>2022-05-29</t>
        </is>
      </c>
      <c r="B1024" t="n">
        <v>16</v>
      </c>
      <c r="C1024" t="n">
        <v>2971</v>
      </c>
      <c r="D1024" s="6" t="n">
        <v>76.59999999999999</v>
      </c>
      <c r="E1024" s="6" t="n">
        <v>1048353.88</v>
      </c>
      <c r="F1024" s="6">
        <f>ROUND(E1024-E1023,2)</f>
        <v/>
      </c>
      <c r="G1024" s="6">
        <f>ROUND(F1024-D1024,2)</f>
        <v/>
      </c>
    </row>
    <row r="1025">
      <c r="A1025" t="inlineStr">
        <is>
          <t>2022-05-29</t>
        </is>
      </c>
      <c r="B1025" t="n">
        <v>17</v>
      </c>
      <c r="C1025" t="n">
        <v>2971</v>
      </c>
      <c r="D1025" s="6" t="n">
        <v>79.3</v>
      </c>
      <c r="E1025" s="6" t="n">
        <v>1048433.18</v>
      </c>
      <c r="F1025" s="6">
        <f>ROUND(E1025-E1024,2)</f>
        <v/>
      </c>
      <c r="G1025" s="6">
        <f>ROUND(F1025-D1025,2)</f>
        <v/>
      </c>
    </row>
    <row r="1026">
      <c r="A1026" t="inlineStr">
        <is>
          <t>2022-05-29</t>
        </is>
      </c>
      <c r="B1026" t="n">
        <v>18</v>
      </c>
      <c r="C1026" t="n">
        <v>2971</v>
      </c>
      <c r="D1026" s="6" t="n">
        <v>101.4</v>
      </c>
      <c r="E1026" s="6" t="n">
        <v>1048534.58</v>
      </c>
      <c r="F1026" s="6">
        <f>ROUND(E1026-E1025,2)</f>
        <v/>
      </c>
      <c r="G1026" s="6">
        <f>ROUND(F1026-D1026,2)</f>
        <v/>
      </c>
    </row>
    <row r="1027">
      <c r="A1027" t="inlineStr">
        <is>
          <t>2022-05-29</t>
        </is>
      </c>
      <c r="B1027" t="n">
        <v>19</v>
      </c>
      <c r="C1027" t="n">
        <v>2971</v>
      </c>
      <c r="D1027" s="6" t="n">
        <v>84.2</v>
      </c>
      <c r="E1027" s="6" t="n">
        <v>1048618.78</v>
      </c>
      <c r="F1027" s="6">
        <f>ROUND(E1027-E1026,2)</f>
        <v/>
      </c>
      <c r="G1027" s="6">
        <f>ROUND(F1027-D1027,2)</f>
        <v/>
      </c>
    </row>
    <row r="1028">
      <c r="A1028" t="inlineStr">
        <is>
          <t>2022-05-29</t>
        </is>
      </c>
      <c r="B1028" t="n">
        <v>20</v>
      </c>
      <c r="C1028" t="n">
        <v>2971</v>
      </c>
      <c r="D1028" s="6" t="n">
        <v>79.5</v>
      </c>
      <c r="E1028" s="6" t="n">
        <v>1048698.28</v>
      </c>
      <c r="F1028" s="6">
        <f>ROUND(E1028-E1027,2)</f>
        <v/>
      </c>
      <c r="G1028" s="6">
        <f>ROUND(F1028-D1028,2)</f>
        <v/>
      </c>
    </row>
    <row r="1029">
      <c r="A1029" t="inlineStr">
        <is>
          <t>2022-05-29</t>
        </is>
      </c>
      <c r="B1029" t="n">
        <v>21</v>
      </c>
      <c r="C1029" t="n">
        <v>2971</v>
      </c>
      <c r="D1029" s="6" t="n">
        <v>71.90000000000001</v>
      </c>
      <c r="E1029" s="6" t="n">
        <v>1048770.18</v>
      </c>
      <c r="F1029" s="6">
        <f>ROUND(E1029-E1028,2)</f>
        <v/>
      </c>
      <c r="G1029" s="6">
        <f>ROUND(F1029-D1029,2)</f>
        <v/>
      </c>
    </row>
    <row r="1030">
      <c r="A1030" t="inlineStr">
        <is>
          <t>2022-05-29</t>
        </is>
      </c>
      <c r="B1030" t="n">
        <v>22</v>
      </c>
      <c r="C1030" t="n">
        <v>2971</v>
      </c>
      <c r="D1030" s="6" t="n">
        <v>57</v>
      </c>
      <c r="E1030" s="6" t="n">
        <v>1048827.18</v>
      </c>
      <c r="F1030" s="6">
        <f>ROUND(E1030-E1029,2)</f>
        <v/>
      </c>
      <c r="G1030" s="6">
        <f>ROUND(F1030-D1030,2)</f>
        <v/>
      </c>
    </row>
    <row r="1031">
      <c r="A1031" t="inlineStr">
        <is>
          <t>2022-05-29</t>
        </is>
      </c>
      <c r="B1031" t="n">
        <v>23</v>
      </c>
      <c r="C1031" t="n">
        <v>2971</v>
      </c>
      <c r="D1031" s="6" t="n">
        <v>73.7</v>
      </c>
      <c r="E1031" s="6" t="n">
        <v>1048900.88</v>
      </c>
      <c r="F1031" s="6">
        <f>ROUND(E1031-E1030,2)</f>
        <v/>
      </c>
      <c r="G1031" s="6">
        <f>ROUND(F1031-D1031,2)</f>
        <v/>
      </c>
    </row>
    <row r="1032">
      <c r="A1032" t="inlineStr">
        <is>
          <t>2022-05-29</t>
        </is>
      </c>
      <c r="B1032" t="n">
        <v>24</v>
      </c>
      <c r="C1032" t="n">
        <v>2971</v>
      </c>
      <c r="D1032" s="6" t="n">
        <v>97.09999999999999</v>
      </c>
      <c r="E1032" s="6" t="n">
        <v>1048997.98</v>
      </c>
      <c r="F1032" s="6">
        <f>ROUND(E1032-E1031,2)</f>
        <v/>
      </c>
      <c r="G1032" s="6">
        <f>ROUND(F1032-D1032,2)</f>
        <v/>
      </c>
    </row>
    <row r="1033">
      <c r="A1033" t="inlineStr">
        <is>
          <t>2022-05-29</t>
        </is>
      </c>
      <c r="B1033" t="n">
        <v>25</v>
      </c>
      <c r="C1033" t="n">
        <v>2971</v>
      </c>
      <c r="D1033" s="6" t="n">
        <v>65.15000000000001</v>
      </c>
      <c r="E1033" s="6" t="n">
        <v>1049063.13</v>
      </c>
      <c r="F1033" s="6">
        <f>ROUND(E1033-E1032,2)</f>
        <v/>
      </c>
      <c r="G1033" s="6">
        <f>ROUND(F1033-D1033,2)</f>
        <v/>
      </c>
    </row>
    <row r="1034">
      <c r="A1034" t="inlineStr">
        <is>
          <t>2022-05-29</t>
        </is>
      </c>
      <c r="B1034" t="n">
        <v>26</v>
      </c>
      <c r="C1034" t="n">
        <v>2971</v>
      </c>
      <c r="D1034" s="6" t="n">
        <v>65.15000000000001</v>
      </c>
      <c r="E1034" s="6" t="n">
        <v>1049128.28</v>
      </c>
      <c r="F1034" s="6">
        <f>ROUND(E1034-E1033,2)</f>
        <v/>
      </c>
      <c r="G1034" s="6">
        <f>ROUND(F1034-D1034,2)</f>
        <v/>
      </c>
    </row>
    <row r="1035">
      <c r="A1035" t="inlineStr">
        <is>
          <t>2022-05-29</t>
        </is>
      </c>
      <c r="B1035" t="n">
        <v>27</v>
      </c>
      <c r="C1035" t="n">
        <v>2971</v>
      </c>
      <c r="D1035" s="6" t="n">
        <v>85.5</v>
      </c>
      <c r="E1035" s="6" t="n">
        <v>1049213.78</v>
      </c>
      <c r="F1035" s="6">
        <f>ROUND(E1035-E1034,2)</f>
        <v/>
      </c>
      <c r="G1035" s="6">
        <f>ROUND(F1035-D1035,2)</f>
        <v/>
      </c>
    </row>
    <row r="1036">
      <c r="A1036" t="inlineStr">
        <is>
          <t>2022-05-29</t>
        </is>
      </c>
      <c r="B1036" t="n">
        <v>28</v>
      </c>
      <c r="C1036" t="n">
        <v>2971</v>
      </c>
      <c r="D1036" s="6" t="n">
        <v>37.9</v>
      </c>
      <c r="E1036" s="6" t="n">
        <v>1049251.68</v>
      </c>
      <c r="F1036" s="6">
        <f>ROUND(E1036-E1035,2)</f>
        <v/>
      </c>
      <c r="G1036" s="6">
        <f>ROUND(F1036-D1036,2)</f>
        <v/>
      </c>
    </row>
    <row r="1037">
      <c r="A1037" t="inlineStr">
        <is>
          <t>2022-05-29</t>
        </is>
      </c>
      <c r="B1037" t="n">
        <v>29</v>
      </c>
      <c r="C1037" t="n">
        <v>2971</v>
      </c>
      <c r="D1037" s="6" t="n">
        <v>126</v>
      </c>
      <c r="E1037" s="6" t="n">
        <v>1049377.68</v>
      </c>
      <c r="F1037" s="6">
        <f>ROUND(E1037-E1036,2)</f>
        <v/>
      </c>
      <c r="G1037" s="6">
        <f>ROUND(F1037-D1037,2)</f>
        <v/>
      </c>
    </row>
    <row r="1038">
      <c r="A1038" t="inlineStr">
        <is>
          <t>2022-05-29</t>
        </is>
      </c>
      <c r="B1038" t="n">
        <v>30</v>
      </c>
      <c r="C1038" t="n">
        <v>2971</v>
      </c>
      <c r="D1038" s="6" t="n">
        <v>44.6</v>
      </c>
      <c r="E1038" s="6" t="n">
        <v>1049422.28</v>
      </c>
      <c r="F1038" s="6">
        <f>ROUND(E1038-E1037,2)</f>
        <v/>
      </c>
      <c r="G1038" s="6">
        <f>ROUND(F1038-D1038,2)</f>
        <v/>
      </c>
    </row>
    <row r="1039">
      <c r="A1039" t="inlineStr">
        <is>
          <t>2022-05-29</t>
        </is>
      </c>
      <c r="B1039" t="n">
        <v>31</v>
      </c>
      <c r="C1039" t="n">
        <v>2971</v>
      </c>
      <c r="D1039" s="6" t="n">
        <v>32.25</v>
      </c>
      <c r="E1039" s="6" t="n">
        <v>1049454.53</v>
      </c>
      <c r="F1039" s="6">
        <f>ROUND(E1039-E1038,2)</f>
        <v/>
      </c>
      <c r="G1039" s="6">
        <f>ROUND(F1039-D1039,2)</f>
        <v/>
      </c>
    </row>
    <row r="1040">
      <c r="A1040" t="inlineStr">
        <is>
          <t>2022-05-29</t>
        </is>
      </c>
      <c r="B1040" t="n">
        <v>32</v>
      </c>
      <c r="C1040" t="n">
        <v>2971</v>
      </c>
      <c r="D1040" s="6" t="n">
        <v>32.25</v>
      </c>
      <c r="E1040" s="6" t="n">
        <v>1049486.78</v>
      </c>
      <c r="F1040" s="6">
        <f>ROUND(E1040-E1039,2)</f>
        <v/>
      </c>
      <c r="G1040" s="6">
        <f>ROUND(F1040-D1040,2)</f>
        <v/>
      </c>
    </row>
    <row r="1041">
      <c r="A1041" t="inlineStr">
        <is>
          <t>2022-05-29</t>
        </is>
      </c>
      <c r="B1041" t="n">
        <v>33</v>
      </c>
      <c r="C1041" t="n">
        <v>2971</v>
      </c>
      <c r="D1041" s="6" t="n">
        <v>118.9</v>
      </c>
      <c r="E1041" s="6" t="n">
        <v>1049605.68</v>
      </c>
      <c r="F1041" s="6">
        <f>ROUND(E1041-E1040,2)</f>
        <v/>
      </c>
      <c r="G1041" s="6">
        <f>ROUND(F1041-D1041,2)</f>
        <v/>
      </c>
    </row>
    <row r="1042">
      <c r="A1042" t="inlineStr">
        <is>
          <t>2022-05-29</t>
        </is>
      </c>
      <c r="B1042" t="n">
        <v>34</v>
      </c>
      <c r="C1042" t="n">
        <v>2971</v>
      </c>
      <c r="D1042" s="6" t="n">
        <v>15.9</v>
      </c>
      <c r="E1042" s="6" t="n">
        <v>1049621.58</v>
      </c>
      <c r="F1042" s="6">
        <f>ROUND(E1042-E1041,2)</f>
        <v/>
      </c>
      <c r="G1042" s="6">
        <f>ROUND(F1042-D1042,2)</f>
        <v/>
      </c>
    </row>
    <row r="1043">
      <c r="A1043" t="inlineStr">
        <is>
          <t>2022-06-01</t>
        </is>
      </c>
      <c r="B1043" t="n">
        <v>1</v>
      </c>
      <c r="C1043" t="n">
        <v>2972</v>
      </c>
      <c r="D1043" s="6" t="n">
        <v>109.1</v>
      </c>
      <c r="E1043" s="6" t="n">
        <v>1049730.68</v>
      </c>
      <c r="F1043" s="6">
        <f>ROUND(E1043-E1042,2)</f>
        <v/>
      </c>
      <c r="G1043" s="6">
        <f>ROUND(F1043-D1043,2)</f>
        <v/>
      </c>
    </row>
    <row r="1044">
      <c r="A1044" t="inlineStr">
        <is>
          <t>2022-06-01</t>
        </is>
      </c>
      <c r="B1044" t="n">
        <v>2</v>
      </c>
      <c r="C1044" t="n">
        <v>2972</v>
      </c>
      <c r="D1044" s="6" t="n">
        <v>35.9</v>
      </c>
      <c r="E1044" s="6" t="n">
        <v>1049766.58</v>
      </c>
      <c r="F1044" s="6">
        <f>ROUND(E1044-E1043,2)</f>
        <v/>
      </c>
      <c r="G1044" s="6">
        <f>ROUND(F1044-D1044,2)</f>
        <v/>
      </c>
    </row>
    <row r="1045">
      <c r="A1045" t="inlineStr">
        <is>
          <t>2022-06-01</t>
        </is>
      </c>
      <c r="B1045" t="n">
        <v>3</v>
      </c>
      <c r="C1045" t="n">
        <v>2972</v>
      </c>
      <c r="D1045" s="6" t="n">
        <v>73.8</v>
      </c>
      <c r="E1045" s="6" t="n">
        <v>1049840.38</v>
      </c>
      <c r="F1045" s="6">
        <f>ROUND(E1045-E1044,2)</f>
        <v/>
      </c>
      <c r="G1045" s="6">
        <f>ROUND(F1045-D1045,2)</f>
        <v/>
      </c>
    </row>
    <row r="1046">
      <c r="A1046" t="inlineStr">
        <is>
          <t>2022-06-01</t>
        </is>
      </c>
      <c r="B1046" t="n">
        <v>4</v>
      </c>
      <c r="C1046" t="n">
        <v>2972</v>
      </c>
      <c r="D1046" s="6" t="n">
        <v>61.8</v>
      </c>
      <c r="E1046" s="6" t="n">
        <v>1049902.18</v>
      </c>
      <c r="F1046" s="6">
        <f>ROUND(E1046-E1045,2)</f>
        <v/>
      </c>
      <c r="G1046" s="6">
        <f>ROUND(F1046-D1046,2)</f>
        <v/>
      </c>
    </row>
    <row r="1047">
      <c r="A1047" t="inlineStr">
        <is>
          <t>2022-06-01</t>
        </is>
      </c>
      <c r="B1047" t="n">
        <v>5</v>
      </c>
      <c r="C1047" t="n">
        <v>2972</v>
      </c>
      <c r="D1047" s="6" t="n">
        <v>47.1</v>
      </c>
      <c r="E1047" s="6" t="n">
        <v>1049949.28</v>
      </c>
      <c r="F1047" s="6">
        <f>ROUND(E1047-E1046,2)</f>
        <v/>
      </c>
      <c r="G1047" s="6">
        <f>ROUND(F1047-D1047,2)</f>
        <v/>
      </c>
    </row>
    <row r="1048">
      <c r="A1048" t="inlineStr">
        <is>
          <t>2022-06-01</t>
        </is>
      </c>
      <c r="B1048" t="n">
        <v>6</v>
      </c>
      <c r="C1048" t="n">
        <v>2972</v>
      </c>
      <c r="D1048" s="6" t="n">
        <v>252.5</v>
      </c>
      <c r="E1048" s="6" t="n">
        <v>1050201.78</v>
      </c>
      <c r="F1048" s="6">
        <f>ROUND(E1048-E1047,2)</f>
        <v/>
      </c>
      <c r="G1048" s="6">
        <f>ROUND(F1048-D1048,2)</f>
        <v/>
      </c>
    </row>
    <row r="1049">
      <c r="A1049" t="inlineStr">
        <is>
          <t>2022-06-01</t>
        </is>
      </c>
      <c r="B1049" t="n">
        <v>7</v>
      </c>
      <c r="C1049" t="n">
        <v>2972</v>
      </c>
      <c r="D1049" s="6" t="n">
        <v>73.7</v>
      </c>
      <c r="E1049" s="6" t="n">
        <v>1050275.48</v>
      </c>
      <c r="F1049" s="6">
        <f>ROUND(E1049-E1048,2)</f>
        <v/>
      </c>
      <c r="G1049" s="6">
        <f>ROUND(F1049-D1049,2)</f>
        <v/>
      </c>
    </row>
    <row r="1050">
      <c r="A1050" t="inlineStr">
        <is>
          <t>2022-06-01</t>
        </is>
      </c>
      <c r="B1050" t="n">
        <v>8</v>
      </c>
      <c r="C1050" t="n">
        <v>2972</v>
      </c>
      <c r="D1050" s="6" t="n">
        <v>38.85</v>
      </c>
      <c r="E1050" s="6" t="n">
        <v>1050314.33</v>
      </c>
      <c r="F1050" s="6">
        <f>ROUND(E1050-E1049,2)</f>
        <v/>
      </c>
      <c r="G1050" s="6">
        <f>ROUND(F1050-D1050,2)</f>
        <v/>
      </c>
    </row>
    <row r="1051">
      <c r="A1051" t="inlineStr">
        <is>
          <t>2022-06-01</t>
        </is>
      </c>
      <c r="B1051" t="n">
        <v>9</v>
      </c>
      <c r="C1051" t="n">
        <v>2972</v>
      </c>
      <c r="D1051" s="6" t="n">
        <v>38.85</v>
      </c>
      <c r="E1051" s="6" t="n">
        <v>1050353.18</v>
      </c>
      <c r="F1051" s="6">
        <f>ROUND(E1051-E1050,2)</f>
        <v/>
      </c>
      <c r="G1051" s="6">
        <f>ROUND(F1051-D1051,2)</f>
        <v/>
      </c>
    </row>
    <row r="1052">
      <c r="A1052" t="inlineStr">
        <is>
          <t>2022-06-01</t>
        </is>
      </c>
      <c r="B1052" t="n">
        <v>10</v>
      </c>
      <c r="C1052" t="n">
        <v>2972</v>
      </c>
      <c r="D1052" s="6" t="n">
        <v>26.2</v>
      </c>
      <c r="E1052" s="6" t="n">
        <v>1050379.38</v>
      </c>
      <c r="F1052" s="6">
        <f>ROUND(E1052-E1051,2)</f>
        <v/>
      </c>
      <c r="G1052" s="6">
        <f>ROUND(F1052-D1052,2)</f>
        <v/>
      </c>
    </row>
    <row r="1053">
      <c r="A1053" t="inlineStr">
        <is>
          <t>2022-06-01</t>
        </is>
      </c>
      <c r="B1053" t="n">
        <v>11</v>
      </c>
      <c r="C1053" t="n">
        <v>2972</v>
      </c>
      <c r="D1053" s="6" t="n">
        <v>97.40000000000001</v>
      </c>
      <c r="E1053" s="6" t="n">
        <v>1050476.78</v>
      </c>
      <c r="F1053" s="6">
        <f>ROUND(E1053-E1052,2)</f>
        <v/>
      </c>
      <c r="G1053" s="6">
        <f>ROUND(F1053-D1053,2)</f>
        <v/>
      </c>
    </row>
    <row r="1054">
      <c r="A1054" t="inlineStr">
        <is>
          <t>2022-06-01</t>
        </is>
      </c>
      <c r="B1054" t="n">
        <v>12</v>
      </c>
      <c r="C1054" t="n">
        <v>2972</v>
      </c>
      <c r="D1054" s="6" t="n">
        <v>66.09999999999999</v>
      </c>
      <c r="E1054" s="6" t="n">
        <v>1050542.88</v>
      </c>
      <c r="F1054" s="6">
        <f>ROUND(E1054-E1053,2)</f>
        <v/>
      </c>
      <c r="G1054" s="6">
        <f>ROUND(F1054-D1054,2)</f>
        <v/>
      </c>
    </row>
    <row r="1055">
      <c r="A1055" t="inlineStr">
        <is>
          <t>2022-06-01</t>
        </is>
      </c>
      <c r="B1055" t="n">
        <v>13</v>
      </c>
      <c r="C1055" t="n">
        <v>2972</v>
      </c>
      <c r="D1055" s="6" t="n">
        <v>79.09999999999999</v>
      </c>
      <c r="E1055" s="6" t="n">
        <v>1050621.98</v>
      </c>
      <c r="F1055" s="6">
        <f>ROUND(E1055-E1054,2)</f>
        <v/>
      </c>
      <c r="G1055" s="6">
        <f>ROUND(F1055-D1055,2)</f>
        <v/>
      </c>
    </row>
    <row r="1056">
      <c r="A1056" t="inlineStr">
        <is>
          <t>2022-06-01</t>
        </is>
      </c>
      <c r="B1056" t="n">
        <v>14</v>
      </c>
      <c r="C1056" t="n">
        <v>2972</v>
      </c>
      <c r="D1056" s="6" t="n">
        <v>46.3</v>
      </c>
      <c r="E1056" s="6" t="n">
        <v>1050668.28</v>
      </c>
      <c r="F1056" s="6">
        <f>ROUND(E1056-E1055,2)</f>
        <v/>
      </c>
      <c r="G1056" s="6">
        <f>ROUND(F1056-D1056,2)</f>
        <v/>
      </c>
    </row>
    <row r="1057">
      <c r="A1057" t="inlineStr">
        <is>
          <t>2022-06-01</t>
        </is>
      </c>
      <c r="B1057" t="n">
        <v>15</v>
      </c>
      <c r="C1057" t="n">
        <v>2972</v>
      </c>
      <c r="D1057" s="6" t="n">
        <v>66.09999999999999</v>
      </c>
      <c r="E1057" s="6" t="n">
        <v>1050734.38</v>
      </c>
      <c r="F1057" s="6">
        <f>ROUND(E1057-E1056,2)</f>
        <v/>
      </c>
      <c r="G1057" s="6">
        <f>ROUND(F1057-D1057,2)</f>
        <v/>
      </c>
    </row>
    <row r="1058">
      <c r="A1058" t="inlineStr">
        <is>
          <t>2022-06-01</t>
        </is>
      </c>
      <c r="B1058" t="n">
        <v>16</v>
      </c>
      <c r="C1058" t="n">
        <v>2972</v>
      </c>
      <c r="D1058" s="6" t="n">
        <v>71.8</v>
      </c>
      <c r="E1058" s="6" t="n">
        <v>1050806.18</v>
      </c>
      <c r="F1058" s="6">
        <f>ROUND(E1058-E1057,2)</f>
        <v/>
      </c>
      <c r="G1058" s="6">
        <f>ROUND(F1058-D1058,2)</f>
        <v/>
      </c>
    </row>
    <row r="1059">
      <c r="A1059" t="inlineStr">
        <is>
          <t>2022-06-01</t>
        </is>
      </c>
      <c r="B1059" t="n">
        <v>17</v>
      </c>
      <c r="C1059" t="n">
        <v>2972</v>
      </c>
      <c r="D1059" s="6" t="n">
        <v>53.1</v>
      </c>
      <c r="E1059" s="6" t="n">
        <v>1050859.28</v>
      </c>
      <c r="F1059" s="6">
        <f>ROUND(E1059-E1058,2)</f>
        <v/>
      </c>
      <c r="G1059" s="6">
        <f>ROUND(F1059-D1059,2)</f>
        <v/>
      </c>
    </row>
    <row r="1060">
      <c r="A1060" t="inlineStr">
        <is>
          <t>2022-06-01</t>
        </is>
      </c>
      <c r="B1060" t="n">
        <v>18</v>
      </c>
      <c r="C1060" t="n">
        <v>2972</v>
      </c>
      <c r="D1060" s="6" t="n">
        <v>221.8</v>
      </c>
      <c r="E1060" s="6" t="n">
        <v>1051081.08</v>
      </c>
      <c r="F1060" s="6">
        <f>ROUND(E1060-E1059,2)</f>
        <v/>
      </c>
      <c r="G1060" s="6">
        <f>ROUND(F1060-D1060,2)</f>
        <v/>
      </c>
    </row>
    <row r="1061">
      <c r="A1061" t="inlineStr">
        <is>
          <t>2022-06-01</t>
        </is>
      </c>
      <c r="B1061" t="n">
        <v>19</v>
      </c>
      <c r="C1061" t="n">
        <v>2972</v>
      </c>
      <c r="D1061" s="6" t="n">
        <v>80.5</v>
      </c>
      <c r="E1061" s="6" t="n">
        <v>1051161.58</v>
      </c>
      <c r="F1061" s="6">
        <f>ROUND(E1061-E1060,2)</f>
        <v/>
      </c>
      <c r="G1061" s="6">
        <f>ROUND(F1061-D1061,2)</f>
        <v/>
      </c>
    </row>
    <row r="1062">
      <c r="A1062" t="inlineStr">
        <is>
          <t>2022-06-01</t>
        </is>
      </c>
      <c r="B1062" t="n">
        <v>20</v>
      </c>
      <c r="C1062" t="n">
        <v>2972</v>
      </c>
      <c r="D1062" s="6" t="n">
        <v>120.1</v>
      </c>
      <c r="E1062" s="6" t="n">
        <v>1051281.68</v>
      </c>
      <c r="F1062" s="6">
        <f>ROUND(E1062-E1061,2)</f>
        <v/>
      </c>
      <c r="G1062" s="6">
        <f>ROUND(F1062-D1062,2)</f>
        <v/>
      </c>
    </row>
    <row r="1063">
      <c r="A1063" t="inlineStr">
        <is>
          <t>2022-06-01</t>
        </is>
      </c>
      <c r="B1063" t="n">
        <v>21</v>
      </c>
      <c r="C1063" t="n">
        <v>2972</v>
      </c>
      <c r="D1063" s="6" t="n">
        <v>151.3</v>
      </c>
      <c r="E1063" s="6" t="n">
        <v>1051432.98</v>
      </c>
      <c r="F1063" s="6">
        <f>ROUND(E1063-E1062,2)</f>
        <v/>
      </c>
      <c r="G1063" s="6">
        <f>ROUND(F1063-D1063,2)</f>
        <v/>
      </c>
    </row>
    <row r="1064">
      <c r="A1064" t="inlineStr">
        <is>
          <t>2022-06-01</t>
        </is>
      </c>
      <c r="B1064" t="n">
        <v>22</v>
      </c>
      <c r="C1064" t="n">
        <v>2972</v>
      </c>
      <c r="D1064" s="6" t="n">
        <v>208</v>
      </c>
      <c r="E1064" s="6" t="n">
        <v>1051640.98</v>
      </c>
      <c r="F1064" s="6">
        <f>ROUND(E1064-E1063,2)</f>
        <v/>
      </c>
      <c r="G1064" s="6">
        <f>ROUND(F1064-D1064,2)</f>
        <v/>
      </c>
    </row>
    <row r="1065">
      <c r="A1065" t="inlineStr">
        <is>
          <t>2022-06-01</t>
        </is>
      </c>
      <c r="B1065" t="n">
        <v>23</v>
      </c>
      <c r="C1065" t="n">
        <v>2972</v>
      </c>
      <c r="D1065" s="6" t="n">
        <v>182.1</v>
      </c>
      <c r="E1065" s="6" t="n">
        <v>1051823.08</v>
      </c>
      <c r="F1065" s="6">
        <f>ROUND(E1065-E1064,2)</f>
        <v/>
      </c>
      <c r="G1065" s="6">
        <f>ROUND(F1065-D1065,2)</f>
        <v/>
      </c>
    </row>
    <row r="1066">
      <c r="A1066" t="inlineStr">
        <is>
          <t>2022-06-02</t>
        </is>
      </c>
      <c r="B1066" t="n">
        <v>1</v>
      </c>
      <c r="C1066" t="n">
        <v>2973</v>
      </c>
      <c r="D1066" s="6" t="n">
        <v>34.4</v>
      </c>
      <c r="E1066" s="6" t="n">
        <v>1051857.48</v>
      </c>
      <c r="F1066" s="6">
        <f>ROUND(E1066-E1065,2)</f>
        <v/>
      </c>
      <c r="G1066" s="6">
        <f>ROUND(F1066-D1066,2)</f>
        <v/>
      </c>
    </row>
    <row r="1067">
      <c r="A1067" t="inlineStr">
        <is>
          <t>2022-06-02</t>
        </is>
      </c>
      <c r="B1067" t="n">
        <v>2</v>
      </c>
      <c r="C1067" t="n">
        <v>2973</v>
      </c>
      <c r="D1067" s="6" t="n">
        <v>29.2</v>
      </c>
      <c r="E1067" s="6" t="n">
        <v>1051886.68</v>
      </c>
      <c r="F1067" s="6">
        <f>ROUND(E1067-E1066,2)</f>
        <v/>
      </c>
      <c r="G1067" s="6">
        <f>ROUND(F1067-D1067,2)</f>
        <v/>
      </c>
    </row>
    <row r="1068">
      <c r="A1068" t="inlineStr">
        <is>
          <t>2022-06-02</t>
        </is>
      </c>
      <c r="B1068" t="n">
        <v>3</v>
      </c>
      <c r="C1068" t="n">
        <v>2973</v>
      </c>
      <c r="D1068" s="6" t="n">
        <v>46</v>
      </c>
      <c r="E1068" s="6" t="n">
        <v>1051932.68</v>
      </c>
      <c r="F1068" s="6">
        <f>ROUND(E1068-E1067,2)</f>
        <v/>
      </c>
      <c r="G1068" s="6">
        <f>ROUND(F1068-D1068,2)</f>
        <v/>
      </c>
    </row>
    <row r="1069">
      <c r="A1069" t="inlineStr">
        <is>
          <t>2022-06-02</t>
        </is>
      </c>
      <c r="B1069" t="n">
        <v>4</v>
      </c>
      <c r="C1069" t="n">
        <v>2973</v>
      </c>
      <c r="D1069" s="6" t="n">
        <v>129.4</v>
      </c>
      <c r="E1069" s="6" t="n">
        <v>1052062.08</v>
      </c>
      <c r="F1069" s="6">
        <f>ROUND(E1069-E1068,2)</f>
        <v/>
      </c>
      <c r="G1069" s="6">
        <f>ROUND(F1069-D1069,2)</f>
        <v/>
      </c>
    </row>
    <row r="1070">
      <c r="A1070" t="inlineStr">
        <is>
          <t>2022-06-02</t>
        </is>
      </c>
      <c r="B1070" t="n">
        <v>5</v>
      </c>
      <c r="C1070" t="n">
        <v>2973</v>
      </c>
      <c r="D1070" s="6" t="n">
        <v>31.8</v>
      </c>
      <c r="E1070" s="6" t="n">
        <v>1052093.88</v>
      </c>
      <c r="F1070" s="6">
        <f>ROUND(E1070-E1069,2)</f>
        <v/>
      </c>
      <c r="G1070" s="6">
        <f>ROUND(F1070-D1070,2)</f>
        <v/>
      </c>
    </row>
    <row r="1071">
      <c r="A1071" t="inlineStr">
        <is>
          <t>2022-06-02</t>
        </is>
      </c>
      <c r="B1071" t="n">
        <v>6</v>
      </c>
      <c r="C1071" t="n">
        <v>2973</v>
      </c>
      <c r="D1071" s="6" t="n">
        <v>77.90000000000001</v>
      </c>
      <c r="E1071" s="6" t="n">
        <v>1052171.78</v>
      </c>
      <c r="F1071" s="6">
        <f>ROUND(E1071-E1070,2)</f>
        <v/>
      </c>
      <c r="G1071" s="6">
        <f>ROUND(F1071-D1071,2)</f>
        <v/>
      </c>
    </row>
    <row r="1072">
      <c r="A1072" t="inlineStr">
        <is>
          <t>2022-06-02</t>
        </is>
      </c>
      <c r="B1072" t="n">
        <v>7</v>
      </c>
      <c r="C1072" t="n">
        <v>2973</v>
      </c>
      <c r="D1072" s="6" t="n">
        <v>87.59999999999999</v>
      </c>
      <c r="E1072" s="6" t="n">
        <v>1052259.38</v>
      </c>
      <c r="F1072" s="6">
        <f>ROUND(E1072-E1071,2)</f>
        <v/>
      </c>
      <c r="G1072" s="6">
        <f>ROUND(F1072-D1072,2)</f>
        <v/>
      </c>
    </row>
    <row r="1073">
      <c r="A1073" t="inlineStr">
        <is>
          <t>2022-06-02</t>
        </is>
      </c>
      <c r="B1073" t="n">
        <v>8</v>
      </c>
      <c r="C1073" t="n">
        <v>2973</v>
      </c>
      <c r="D1073" s="6" t="n">
        <v>46.8</v>
      </c>
      <c r="E1073" s="6" t="n">
        <v>1052306.18</v>
      </c>
      <c r="F1073" s="6">
        <f>ROUND(E1073-E1072,2)</f>
        <v/>
      </c>
      <c r="G1073" s="6">
        <f>ROUND(F1073-D1073,2)</f>
        <v/>
      </c>
    </row>
    <row r="1074">
      <c r="A1074" t="inlineStr">
        <is>
          <t>2022-06-02</t>
        </is>
      </c>
      <c r="B1074" t="n">
        <v>9</v>
      </c>
      <c r="C1074" t="n">
        <v>2973</v>
      </c>
      <c r="D1074" s="6" t="n">
        <v>54</v>
      </c>
      <c r="E1074" s="6" t="n">
        <v>1052360.18</v>
      </c>
      <c r="F1074" s="6">
        <f>ROUND(E1074-E1073,2)</f>
        <v/>
      </c>
      <c r="G1074" s="6">
        <f>ROUND(F1074-D1074,2)</f>
        <v/>
      </c>
    </row>
    <row r="1075">
      <c r="A1075" t="inlineStr">
        <is>
          <t>2022-06-02</t>
        </is>
      </c>
      <c r="B1075" t="n">
        <v>10</v>
      </c>
      <c r="C1075" t="n">
        <v>2973</v>
      </c>
      <c r="D1075" s="6" t="n">
        <v>49.4</v>
      </c>
      <c r="E1075" s="6" t="n">
        <v>1052409.58</v>
      </c>
      <c r="F1075" s="6">
        <f>ROUND(E1075-E1074,2)</f>
        <v/>
      </c>
      <c r="G1075" s="6">
        <f>ROUND(F1075-D1075,2)</f>
        <v/>
      </c>
    </row>
    <row r="1076">
      <c r="A1076" t="inlineStr">
        <is>
          <t>2022-06-02</t>
        </is>
      </c>
      <c r="B1076" t="n">
        <v>11</v>
      </c>
      <c r="C1076" t="n">
        <v>2973</v>
      </c>
      <c r="D1076" s="6" t="n">
        <v>81.90000000000001</v>
      </c>
      <c r="E1076" s="6" t="n">
        <v>1052491.48</v>
      </c>
      <c r="F1076" s="6">
        <f>ROUND(E1076-E1075,2)</f>
        <v/>
      </c>
      <c r="G1076" s="6">
        <f>ROUND(F1076-D1076,2)</f>
        <v/>
      </c>
    </row>
    <row r="1077">
      <c r="A1077" t="inlineStr">
        <is>
          <t>2022-06-02</t>
        </is>
      </c>
      <c r="B1077" t="n">
        <v>12</v>
      </c>
      <c r="C1077" t="n">
        <v>2973</v>
      </c>
      <c r="D1077" s="6" t="n">
        <v>89.7</v>
      </c>
      <c r="E1077" s="6" t="n">
        <v>1052581.18</v>
      </c>
      <c r="F1077" s="6">
        <f>ROUND(E1077-E1076,2)</f>
        <v/>
      </c>
      <c r="G1077" s="6">
        <f>ROUND(F1077-D1077,2)</f>
        <v/>
      </c>
    </row>
    <row r="1078">
      <c r="A1078" t="inlineStr">
        <is>
          <t>2022-06-02</t>
        </is>
      </c>
      <c r="B1078" t="n">
        <v>13</v>
      </c>
      <c r="C1078" t="n">
        <v>2973</v>
      </c>
      <c r="D1078" s="6" t="n">
        <v>192.5</v>
      </c>
      <c r="E1078" s="6" t="n">
        <v>1052773.68</v>
      </c>
      <c r="F1078" s="6">
        <f>ROUND(E1078-E1077,2)</f>
        <v/>
      </c>
      <c r="G1078" s="6">
        <f>ROUND(F1078-D1078,2)</f>
        <v/>
      </c>
    </row>
    <row r="1079">
      <c r="A1079" t="inlineStr">
        <is>
          <t>2022-06-02</t>
        </is>
      </c>
      <c r="B1079" t="n">
        <v>14</v>
      </c>
      <c r="C1079" t="n">
        <v>2973</v>
      </c>
      <c r="D1079" s="6" t="n">
        <v>18.2</v>
      </c>
      <c r="E1079" s="6" t="n">
        <v>1052791.88</v>
      </c>
      <c r="F1079" s="6">
        <f>ROUND(E1079-E1078,2)</f>
        <v/>
      </c>
      <c r="G1079" s="6">
        <f>ROUND(F1079-D1079,2)</f>
        <v/>
      </c>
    </row>
    <row r="1080">
      <c r="A1080" t="inlineStr">
        <is>
          <t>2022-06-02</t>
        </is>
      </c>
      <c r="B1080" t="n">
        <v>15</v>
      </c>
      <c r="C1080" t="n">
        <v>2973</v>
      </c>
      <c r="D1080" s="6" t="n">
        <v>18.2</v>
      </c>
      <c r="E1080" s="6" t="n">
        <v>1052810.08</v>
      </c>
      <c r="F1080" s="6">
        <f>ROUND(E1080-E1079,2)</f>
        <v/>
      </c>
      <c r="G1080" s="6">
        <f>ROUND(F1080-D1080,2)</f>
        <v/>
      </c>
    </row>
    <row r="1081">
      <c r="A1081" t="inlineStr">
        <is>
          <t>2022-06-02</t>
        </is>
      </c>
      <c r="B1081" t="n">
        <v>16</v>
      </c>
      <c r="C1081" t="n">
        <v>2973</v>
      </c>
      <c r="D1081" s="6" t="n">
        <v>81.59999999999999</v>
      </c>
      <c r="E1081" s="6" t="n">
        <v>1052891.68</v>
      </c>
      <c r="F1081" s="6">
        <f>ROUND(E1081-E1080,2)</f>
        <v/>
      </c>
      <c r="G1081" s="6">
        <f>ROUND(F1081-D1081,2)</f>
        <v/>
      </c>
    </row>
    <row r="1082">
      <c r="A1082" t="inlineStr">
        <is>
          <t>2022-06-02</t>
        </is>
      </c>
      <c r="B1082" t="n">
        <v>17</v>
      </c>
      <c r="C1082" t="n">
        <v>2973</v>
      </c>
      <c r="D1082" s="6" t="n">
        <v>86.5</v>
      </c>
      <c r="E1082" s="6" t="n">
        <v>1052978.18</v>
      </c>
      <c r="F1082" s="6">
        <f>ROUND(E1082-E1081,2)</f>
        <v/>
      </c>
      <c r="G1082" s="6">
        <f>ROUND(F1082-D1082,2)</f>
        <v/>
      </c>
    </row>
    <row r="1083">
      <c r="A1083" t="inlineStr">
        <is>
          <t>2022-06-02</t>
        </is>
      </c>
      <c r="B1083" t="n">
        <v>18</v>
      </c>
      <c r="C1083" t="n">
        <v>2973</v>
      </c>
      <c r="D1083" s="6" t="n">
        <v>100</v>
      </c>
      <c r="E1083" s="6" t="n">
        <v>1053078.18</v>
      </c>
      <c r="F1083" s="6">
        <f>ROUND(E1083-E1082,2)</f>
        <v/>
      </c>
      <c r="G1083" s="6">
        <f>ROUND(F1083-D1083,2)</f>
        <v/>
      </c>
    </row>
    <row r="1084">
      <c r="A1084" t="inlineStr">
        <is>
          <t>2022-06-02</t>
        </is>
      </c>
      <c r="B1084" t="n">
        <v>19</v>
      </c>
      <c r="C1084" t="n">
        <v>2973</v>
      </c>
      <c r="D1084" s="6" t="n">
        <v>43.7</v>
      </c>
      <c r="E1084" s="6" t="n">
        <v>1053121.88</v>
      </c>
      <c r="F1084" s="6">
        <f>ROUND(E1084-E1083,2)</f>
        <v/>
      </c>
      <c r="G1084" s="6">
        <f>ROUND(F1084-D1084,2)</f>
        <v/>
      </c>
    </row>
    <row r="1085">
      <c r="A1085" t="inlineStr">
        <is>
          <t>2022-06-02</t>
        </is>
      </c>
      <c r="B1085" t="n">
        <v>20</v>
      </c>
      <c r="C1085" t="n">
        <v>2973</v>
      </c>
      <c r="D1085" s="6" t="n">
        <v>106.1</v>
      </c>
      <c r="E1085" s="6" t="n">
        <v>1053227.98</v>
      </c>
      <c r="F1085" s="6">
        <f>ROUND(E1085-E1084,2)</f>
        <v/>
      </c>
      <c r="G1085" s="6">
        <f>ROUND(F1085-D1085,2)</f>
        <v/>
      </c>
    </row>
    <row r="1086">
      <c r="A1086" t="inlineStr">
        <is>
          <t>2022-06-02</t>
        </is>
      </c>
      <c r="B1086" t="n">
        <v>21</v>
      </c>
      <c r="C1086" t="n">
        <v>2973</v>
      </c>
      <c r="D1086" s="6" t="n">
        <v>124.2</v>
      </c>
      <c r="E1086" s="6" t="n">
        <v>1053352.18</v>
      </c>
      <c r="F1086" s="6">
        <f>ROUND(E1086-E1085,2)</f>
        <v/>
      </c>
      <c r="G1086" s="6">
        <f>ROUND(F1086-D1086,2)</f>
        <v/>
      </c>
    </row>
    <row r="1087">
      <c r="A1087" t="inlineStr">
        <is>
          <t>2022-06-02</t>
        </is>
      </c>
      <c r="B1087" t="n">
        <v>22</v>
      </c>
      <c r="C1087" t="n">
        <v>2973</v>
      </c>
      <c r="D1087" s="6" t="n">
        <v>119.2</v>
      </c>
      <c r="E1087" s="6" t="n">
        <v>1053471.38</v>
      </c>
      <c r="F1087" s="6">
        <f>ROUND(E1087-E1086,2)</f>
        <v/>
      </c>
      <c r="G1087" s="6">
        <f>ROUND(F1087-D1087,2)</f>
        <v/>
      </c>
    </row>
    <row r="1088">
      <c r="A1088" t="inlineStr">
        <is>
          <t>2022-06-03</t>
        </is>
      </c>
      <c r="B1088" t="n">
        <v>1</v>
      </c>
      <c r="C1088" t="n">
        <v>2974</v>
      </c>
      <c r="D1088" s="6" t="n">
        <v>22.9</v>
      </c>
      <c r="E1088" s="6" t="n">
        <v>1053494.28</v>
      </c>
      <c r="F1088" s="6">
        <f>ROUND(E1088-E1087,2)</f>
        <v/>
      </c>
      <c r="G1088" s="6">
        <f>ROUND(F1088-D1088,2)</f>
        <v/>
      </c>
    </row>
    <row r="1089">
      <c r="A1089" t="inlineStr">
        <is>
          <t>2022-06-03</t>
        </is>
      </c>
      <c r="B1089" t="n">
        <v>2</v>
      </c>
      <c r="C1089" t="n">
        <v>2974</v>
      </c>
      <c r="D1089" s="6" t="n">
        <v>18.6</v>
      </c>
      <c r="E1089" s="6" t="n">
        <v>1053512.88</v>
      </c>
      <c r="F1089" s="6">
        <f>ROUND(E1089-E1088,2)</f>
        <v/>
      </c>
      <c r="G1089" s="6">
        <f>ROUND(F1089-D1089,2)</f>
        <v/>
      </c>
    </row>
    <row r="1090">
      <c r="A1090" t="inlineStr">
        <is>
          <t>2022-06-03</t>
        </is>
      </c>
      <c r="B1090" t="n">
        <v>3</v>
      </c>
      <c r="C1090" t="n">
        <v>2974</v>
      </c>
      <c r="D1090" s="6" t="n">
        <v>45.5</v>
      </c>
      <c r="E1090" s="6" t="n">
        <v>1053558.38</v>
      </c>
      <c r="F1090" s="6">
        <f>ROUND(E1090-E1089,2)</f>
        <v/>
      </c>
      <c r="G1090" s="6">
        <f>ROUND(F1090-D1090,2)</f>
        <v/>
      </c>
    </row>
    <row r="1091">
      <c r="A1091" t="inlineStr">
        <is>
          <t>2022-06-03</t>
        </is>
      </c>
      <c r="B1091" t="n">
        <v>4</v>
      </c>
      <c r="C1091" t="n">
        <v>2974</v>
      </c>
      <c r="D1091" s="6" t="n">
        <v>120</v>
      </c>
      <c r="E1091" s="6" t="n">
        <v>1053678.38</v>
      </c>
      <c r="F1091" s="6">
        <f>ROUND(E1091-E1090,2)</f>
        <v/>
      </c>
      <c r="G1091" s="6">
        <f>ROUND(F1091-D1091,2)</f>
        <v/>
      </c>
    </row>
    <row r="1092">
      <c r="A1092" t="inlineStr">
        <is>
          <t>2022-06-03</t>
        </is>
      </c>
      <c r="B1092" t="n">
        <v>5</v>
      </c>
      <c r="C1092" t="n">
        <v>2974</v>
      </c>
      <c r="D1092" s="6" t="n">
        <v>72.59999999999999</v>
      </c>
      <c r="E1092" s="6" t="n">
        <v>1053750.98</v>
      </c>
      <c r="F1092" s="6">
        <f>ROUND(E1092-E1091,2)</f>
        <v/>
      </c>
      <c r="G1092" s="6">
        <f>ROUND(F1092-D1092,2)</f>
        <v/>
      </c>
    </row>
    <row r="1093">
      <c r="A1093" t="inlineStr">
        <is>
          <t>2022-06-03</t>
        </is>
      </c>
      <c r="B1093" t="n">
        <v>6</v>
      </c>
      <c r="C1093" t="n">
        <v>2974</v>
      </c>
      <c r="D1093" s="6" t="n">
        <v>50</v>
      </c>
      <c r="E1093" s="6" t="n">
        <v>1053800.98</v>
      </c>
      <c r="F1093" s="6">
        <f>ROUND(E1093-E1092,2)</f>
        <v/>
      </c>
      <c r="G1093" s="6">
        <f>ROUND(F1093-D1093,2)</f>
        <v/>
      </c>
    </row>
    <row r="1094">
      <c r="A1094" t="inlineStr">
        <is>
          <t>2022-06-03</t>
        </is>
      </c>
      <c r="B1094" t="n">
        <v>7</v>
      </c>
      <c r="C1094" t="n">
        <v>2974</v>
      </c>
      <c r="D1094" s="6" t="n">
        <v>84.40000000000001</v>
      </c>
      <c r="E1094" s="6" t="n">
        <v>1053885.38</v>
      </c>
      <c r="F1094" s="6">
        <f>ROUND(E1094-E1093,2)</f>
        <v/>
      </c>
      <c r="G1094" s="6">
        <f>ROUND(F1094-D1094,2)</f>
        <v/>
      </c>
    </row>
    <row r="1095">
      <c r="A1095" t="inlineStr">
        <is>
          <t>2022-06-03</t>
        </is>
      </c>
      <c r="B1095" t="n">
        <v>8</v>
      </c>
      <c r="C1095" t="n">
        <v>2974</v>
      </c>
      <c r="D1095" s="6" t="n">
        <v>71.3</v>
      </c>
      <c r="E1095" s="6" t="n">
        <v>1053956.68</v>
      </c>
      <c r="F1095" s="6">
        <f>ROUND(E1095-E1094,2)</f>
        <v/>
      </c>
      <c r="G1095" s="6">
        <f>ROUND(F1095-D1095,2)</f>
        <v/>
      </c>
    </row>
    <row r="1096">
      <c r="A1096" t="inlineStr">
        <is>
          <t>2022-06-03</t>
        </is>
      </c>
      <c r="B1096" t="n">
        <v>9</v>
      </c>
      <c r="C1096" t="n">
        <v>2974</v>
      </c>
      <c r="D1096" s="6" t="n">
        <v>48.9</v>
      </c>
      <c r="E1096" s="6" t="n">
        <v>1054005.58</v>
      </c>
      <c r="F1096" s="6">
        <f>ROUND(E1096-E1095,2)</f>
        <v/>
      </c>
      <c r="G1096" s="6">
        <f>ROUND(F1096-D1096,2)</f>
        <v/>
      </c>
    </row>
    <row r="1097">
      <c r="A1097" t="inlineStr">
        <is>
          <t>2022-06-03</t>
        </is>
      </c>
      <c r="B1097" t="n">
        <v>10</v>
      </c>
      <c r="C1097" t="n">
        <v>2974</v>
      </c>
      <c r="D1097" s="6" t="n">
        <v>126.6</v>
      </c>
      <c r="E1097" s="6" t="n">
        <v>1054132.18</v>
      </c>
      <c r="F1097" s="6">
        <f>ROUND(E1097-E1096,2)</f>
        <v/>
      </c>
      <c r="G1097" s="6">
        <f>ROUND(F1097-D1097,2)</f>
        <v/>
      </c>
    </row>
    <row r="1098">
      <c r="A1098" t="inlineStr">
        <is>
          <t>2022-06-03</t>
        </is>
      </c>
      <c r="B1098" t="n">
        <v>11</v>
      </c>
      <c r="C1098" t="n">
        <v>2974</v>
      </c>
      <c r="D1098" s="6" t="n">
        <v>134.7</v>
      </c>
      <c r="E1098" s="6" t="n">
        <v>1054266.88</v>
      </c>
      <c r="F1098" s="6">
        <f>ROUND(E1098-E1097,2)</f>
        <v/>
      </c>
      <c r="G1098" s="6">
        <f>ROUND(F1098-D1098,2)</f>
        <v/>
      </c>
    </row>
    <row r="1099">
      <c r="A1099" t="inlineStr">
        <is>
          <t>2022-06-03</t>
        </is>
      </c>
      <c r="B1099" t="n">
        <v>12</v>
      </c>
      <c r="C1099" t="n">
        <v>2974</v>
      </c>
      <c r="D1099" s="6" t="n">
        <v>25.6</v>
      </c>
      <c r="E1099" s="6" t="n">
        <v>1054292.48</v>
      </c>
      <c r="F1099" s="6">
        <f>ROUND(E1099-E1098,2)</f>
        <v/>
      </c>
      <c r="G1099" s="6">
        <f>ROUND(F1099-D1099,2)</f>
        <v/>
      </c>
    </row>
    <row r="1100">
      <c r="A1100" t="inlineStr">
        <is>
          <t>2022-06-03</t>
        </is>
      </c>
      <c r="B1100" t="n">
        <v>13</v>
      </c>
      <c r="C1100" t="n">
        <v>2974</v>
      </c>
      <c r="D1100" s="6" t="n">
        <v>26.4</v>
      </c>
      <c r="E1100" s="6" t="n">
        <v>1054318.88</v>
      </c>
      <c r="F1100" s="6">
        <f>ROUND(E1100-E1099,2)</f>
        <v/>
      </c>
      <c r="G1100" s="6">
        <f>ROUND(F1100-D1100,2)</f>
        <v/>
      </c>
    </row>
    <row r="1101">
      <c r="A1101" t="inlineStr">
        <is>
          <t>2022-06-03</t>
        </is>
      </c>
      <c r="B1101" t="n">
        <v>14</v>
      </c>
      <c r="C1101" t="n">
        <v>2974</v>
      </c>
      <c r="D1101" s="6" t="n">
        <v>64</v>
      </c>
      <c r="E1101" s="6" t="n">
        <v>1054382.88</v>
      </c>
      <c r="F1101" s="6">
        <f>ROUND(E1101-E1100,2)</f>
        <v/>
      </c>
      <c r="G1101" s="6">
        <f>ROUND(F1101-D1101,2)</f>
        <v/>
      </c>
    </row>
    <row r="1102">
      <c r="A1102" t="inlineStr">
        <is>
          <t>2022-06-03</t>
        </is>
      </c>
      <c r="B1102" t="n">
        <v>15</v>
      </c>
      <c r="C1102" t="n">
        <v>2974</v>
      </c>
      <c r="D1102" s="6" t="n">
        <v>58.5</v>
      </c>
      <c r="E1102" s="6" t="n">
        <v>1054441.38</v>
      </c>
      <c r="F1102" s="6">
        <f>ROUND(E1102-E1101,2)</f>
        <v/>
      </c>
      <c r="G1102" s="6">
        <f>ROUND(F1102-D1102,2)</f>
        <v/>
      </c>
    </row>
    <row r="1103">
      <c r="A1103" t="inlineStr">
        <is>
          <t>2022-06-03</t>
        </is>
      </c>
      <c r="B1103" t="n">
        <v>16</v>
      </c>
      <c r="C1103" t="n">
        <v>2974</v>
      </c>
      <c r="D1103" s="6" t="n">
        <v>82.8</v>
      </c>
      <c r="E1103" s="6" t="n">
        <v>1054524.18</v>
      </c>
      <c r="F1103" s="6">
        <f>ROUND(E1103-E1102,2)</f>
        <v/>
      </c>
      <c r="G1103" s="6">
        <f>ROUND(F1103-D1103,2)</f>
        <v/>
      </c>
    </row>
    <row r="1104">
      <c r="A1104" t="inlineStr">
        <is>
          <t>2022-06-03</t>
        </is>
      </c>
      <c r="B1104" t="n">
        <v>17</v>
      </c>
      <c r="C1104" t="n">
        <v>2974</v>
      </c>
      <c r="D1104" s="6" t="n">
        <v>72.3</v>
      </c>
      <c r="E1104" s="6" t="n">
        <v>1054596.48</v>
      </c>
      <c r="F1104" s="6">
        <f>ROUND(E1104-E1103,2)</f>
        <v/>
      </c>
      <c r="G1104" s="6">
        <f>ROUND(F1104-D1104,2)</f>
        <v/>
      </c>
    </row>
    <row r="1105">
      <c r="A1105" t="inlineStr">
        <is>
          <t>2022-06-03</t>
        </is>
      </c>
      <c r="B1105" t="n">
        <v>18</v>
      </c>
      <c r="C1105" t="n">
        <v>2974</v>
      </c>
      <c r="D1105" s="6" t="n">
        <v>137</v>
      </c>
      <c r="E1105" s="6" t="n">
        <v>1054733.48</v>
      </c>
      <c r="F1105" s="6">
        <f>ROUND(E1105-E1104,2)</f>
        <v/>
      </c>
      <c r="G1105" s="6">
        <f>ROUND(F1105-D1105,2)</f>
        <v/>
      </c>
    </row>
    <row r="1106">
      <c r="A1106" t="inlineStr">
        <is>
          <t>2022-06-03</t>
        </is>
      </c>
      <c r="B1106" t="n">
        <v>19</v>
      </c>
      <c r="C1106" t="n">
        <v>2974</v>
      </c>
      <c r="D1106" s="6" t="n">
        <v>43.35</v>
      </c>
      <c r="E1106" s="6" t="n">
        <v>1054776.83</v>
      </c>
      <c r="F1106" s="6">
        <f>ROUND(E1106-E1105,2)</f>
        <v/>
      </c>
      <c r="G1106" s="6">
        <f>ROUND(F1106-D1106,2)</f>
        <v/>
      </c>
    </row>
    <row r="1107">
      <c r="A1107" t="inlineStr">
        <is>
          <t>2022-06-03</t>
        </is>
      </c>
      <c r="B1107" t="n">
        <v>20</v>
      </c>
      <c r="C1107" t="n">
        <v>2974</v>
      </c>
      <c r="D1107" s="6" t="n">
        <v>43.35</v>
      </c>
      <c r="E1107" s="6" t="n">
        <v>1054820.18</v>
      </c>
      <c r="F1107" s="6">
        <f>ROUND(E1107-E1106,2)</f>
        <v/>
      </c>
      <c r="G1107" s="6">
        <f>ROUND(F1107-D1107,2)</f>
        <v/>
      </c>
    </row>
    <row r="1108">
      <c r="A1108" t="inlineStr">
        <is>
          <t>2022-06-03</t>
        </is>
      </c>
      <c r="B1108" t="n">
        <v>21</v>
      </c>
      <c r="C1108" t="n">
        <v>2974</v>
      </c>
      <c r="D1108" s="6" t="n">
        <v>63.7</v>
      </c>
      <c r="E1108" s="6" t="n">
        <v>1054883.88</v>
      </c>
      <c r="F1108" s="6">
        <f>ROUND(E1108-E1107,2)</f>
        <v/>
      </c>
      <c r="G1108" s="6">
        <f>ROUND(F1108-D1108,2)</f>
        <v/>
      </c>
    </row>
    <row r="1109">
      <c r="A1109" t="inlineStr">
        <is>
          <t>2022-06-03</t>
        </is>
      </c>
      <c r="B1109" t="n">
        <v>22</v>
      </c>
      <c r="C1109" t="n">
        <v>2974</v>
      </c>
      <c r="D1109" s="6" t="n">
        <v>63.7</v>
      </c>
      <c r="E1109" s="6" t="n">
        <v>1054947.58</v>
      </c>
      <c r="F1109" s="6">
        <f>ROUND(E1109-E1108,2)</f>
        <v/>
      </c>
      <c r="G1109" s="6">
        <f>ROUND(F1109-D1109,2)</f>
        <v/>
      </c>
    </row>
    <row r="1110">
      <c r="A1110" t="inlineStr">
        <is>
          <t>2022-06-03</t>
        </is>
      </c>
      <c r="B1110" t="n">
        <v>23</v>
      </c>
      <c r="C1110" t="n">
        <v>2974</v>
      </c>
      <c r="D1110" s="6" t="n">
        <v>237.3</v>
      </c>
      <c r="E1110" s="6" t="n">
        <v>1055184.88</v>
      </c>
      <c r="F1110" s="6">
        <f>ROUND(E1110-E1109,2)</f>
        <v/>
      </c>
      <c r="G1110" s="6">
        <f>ROUND(F1110-D1110,2)</f>
        <v/>
      </c>
    </row>
    <row r="1111">
      <c r="A1111" t="inlineStr">
        <is>
          <t>2022-06-03</t>
        </is>
      </c>
      <c r="B1111" t="n">
        <v>24</v>
      </c>
      <c r="C1111" t="n">
        <v>2974</v>
      </c>
      <c r="D1111" s="6" t="n">
        <v>56.6</v>
      </c>
      <c r="E1111" s="6" t="n">
        <v>1055241.48</v>
      </c>
      <c r="F1111" s="6">
        <f>ROUND(E1111-E1110,2)</f>
        <v/>
      </c>
      <c r="G1111" s="6">
        <f>ROUND(F1111-D1111,2)</f>
        <v/>
      </c>
    </row>
    <row r="1112">
      <c r="A1112" t="inlineStr">
        <is>
          <t>2022-06-04</t>
        </is>
      </c>
      <c r="B1112" t="n">
        <v>1</v>
      </c>
      <c r="C1112" t="n">
        <v>2975</v>
      </c>
      <c r="D1112" s="6" t="n">
        <v>70</v>
      </c>
      <c r="E1112" s="6" t="n">
        <v>1055311.48</v>
      </c>
      <c r="F1112" s="6">
        <f>ROUND(E1112-E1111,2)</f>
        <v/>
      </c>
      <c r="G1112" s="6">
        <f>ROUND(F1112-D1112,2)</f>
        <v/>
      </c>
    </row>
    <row r="1113">
      <c r="A1113" t="inlineStr">
        <is>
          <t>2022-06-04</t>
        </is>
      </c>
      <c r="B1113" t="n">
        <v>2</v>
      </c>
      <c r="C1113" t="n">
        <v>2975</v>
      </c>
      <c r="D1113" s="6" t="n">
        <v>39.5</v>
      </c>
      <c r="E1113" s="6" t="n">
        <v>1055350.98</v>
      </c>
      <c r="F1113" s="6">
        <f>ROUND(E1113-E1112,2)</f>
        <v/>
      </c>
      <c r="G1113" s="6">
        <f>ROUND(F1113-D1113,2)</f>
        <v/>
      </c>
    </row>
    <row r="1114">
      <c r="A1114" t="inlineStr">
        <is>
          <t>2022-06-04</t>
        </is>
      </c>
      <c r="B1114" t="n">
        <v>3</v>
      </c>
      <c r="C1114" t="n">
        <v>2975</v>
      </c>
      <c r="D1114" s="6" t="n">
        <v>78.7</v>
      </c>
      <c r="E1114" s="6" t="n">
        <v>1055429.68</v>
      </c>
      <c r="F1114" s="6">
        <f>ROUND(E1114-E1113,2)</f>
        <v/>
      </c>
      <c r="G1114" s="6">
        <f>ROUND(F1114-D1114,2)</f>
        <v/>
      </c>
    </row>
    <row r="1115">
      <c r="A1115" t="inlineStr">
        <is>
          <t>2022-06-04</t>
        </is>
      </c>
      <c r="B1115" t="n">
        <v>4</v>
      </c>
      <c r="C1115" t="n">
        <v>2975</v>
      </c>
      <c r="D1115" s="6" t="n">
        <v>90</v>
      </c>
      <c r="E1115" s="6" t="n">
        <v>1055519.68</v>
      </c>
      <c r="F1115" s="6">
        <f>ROUND(E1115-E1114,2)</f>
        <v/>
      </c>
      <c r="G1115" s="6">
        <f>ROUND(F1115-D1115,2)</f>
        <v/>
      </c>
    </row>
    <row r="1116">
      <c r="A1116" t="inlineStr">
        <is>
          <t>2022-06-04</t>
        </is>
      </c>
      <c r="B1116" t="n">
        <v>5</v>
      </c>
      <c r="C1116" t="n">
        <v>2975</v>
      </c>
      <c r="D1116" s="6" t="n">
        <v>45.8</v>
      </c>
      <c r="E1116" s="6" t="n">
        <v>1055565.48</v>
      </c>
      <c r="F1116" s="6">
        <f>ROUND(E1116-E1115,2)</f>
        <v/>
      </c>
      <c r="G1116" s="6">
        <f>ROUND(F1116-D1116,2)</f>
        <v/>
      </c>
    </row>
    <row r="1117">
      <c r="A1117" t="inlineStr">
        <is>
          <t>2022-06-04</t>
        </is>
      </c>
      <c r="B1117" t="n">
        <v>6</v>
      </c>
      <c r="C1117" t="n">
        <v>2975</v>
      </c>
      <c r="D1117" s="6" t="n">
        <v>39.2</v>
      </c>
      <c r="E1117" s="6" t="n">
        <v>1055604.68</v>
      </c>
      <c r="F1117" s="6">
        <f>ROUND(E1117-E1116,2)</f>
        <v/>
      </c>
      <c r="G1117" s="6">
        <f>ROUND(F1117-D1117,2)</f>
        <v/>
      </c>
    </row>
    <row r="1118">
      <c r="A1118" t="inlineStr">
        <is>
          <t>2022-06-04</t>
        </is>
      </c>
      <c r="B1118" t="n">
        <v>7</v>
      </c>
      <c r="C1118" t="n">
        <v>2975</v>
      </c>
      <c r="D1118" s="6" t="n">
        <v>42.2</v>
      </c>
      <c r="E1118" s="6" t="n">
        <v>1055646.88</v>
      </c>
      <c r="F1118" s="6">
        <f>ROUND(E1118-E1117,2)</f>
        <v/>
      </c>
      <c r="G1118" s="6">
        <f>ROUND(F1118-D1118,2)</f>
        <v/>
      </c>
    </row>
    <row r="1119">
      <c r="A1119" t="inlineStr">
        <is>
          <t>2022-06-04</t>
        </is>
      </c>
      <c r="B1119" t="n">
        <v>8</v>
      </c>
      <c r="C1119" t="n">
        <v>2975</v>
      </c>
      <c r="D1119" s="6" t="n">
        <v>102.75</v>
      </c>
      <c r="E1119" s="6" t="n">
        <v>1055749.63</v>
      </c>
      <c r="F1119" s="6">
        <f>ROUND(E1119-E1118,2)</f>
        <v/>
      </c>
      <c r="G1119" s="6">
        <f>ROUND(F1119-D1119,2)</f>
        <v/>
      </c>
    </row>
    <row r="1120">
      <c r="A1120" t="inlineStr">
        <is>
          <t>2022-06-04</t>
        </is>
      </c>
      <c r="B1120" t="n">
        <v>9</v>
      </c>
      <c r="C1120" t="n">
        <v>2975</v>
      </c>
      <c r="D1120" s="6" t="n">
        <v>145.7</v>
      </c>
      <c r="E1120" s="6" t="n">
        <v>1055895.33</v>
      </c>
      <c r="F1120" s="6">
        <f>ROUND(E1120-E1119,2)</f>
        <v/>
      </c>
      <c r="G1120" s="6">
        <f>ROUND(F1120-D1120,2)</f>
        <v/>
      </c>
    </row>
    <row r="1121">
      <c r="A1121" t="inlineStr">
        <is>
          <t>2022-06-04</t>
        </is>
      </c>
      <c r="B1121" t="n">
        <v>10</v>
      </c>
      <c r="C1121" t="n">
        <v>2975</v>
      </c>
      <c r="D1121" s="6" t="n">
        <v>45.3</v>
      </c>
      <c r="E1121" s="6" t="n">
        <v>1055940.63</v>
      </c>
      <c r="F1121" s="6">
        <f>ROUND(E1121-E1120,2)</f>
        <v/>
      </c>
      <c r="G1121" s="6">
        <f>ROUND(F1121-D1121,2)</f>
        <v/>
      </c>
    </row>
    <row r="1122">
      <c r="A1122" t="inlineStr">
        <is>
          <t>2022-06-04</t>
        </is>
      </c>
      <c r="B1122" t="n">
        <v>11</v>
      </c>
      <c r="C1122" t="n">
        <v>2975</v>
      </c>
      <c r="D1122" s="6" t="n">
        <v>232.3</v>
      </c>
      <c r="E1122" s="6" t="n">
        <v>1056172.93</v>
      </c>
      <c r="F1122" s="6">
        <f>ROUND(E1122-E1121,2)</f>
        <v/>
      </c>
      <c r="G1122" s="6">
        <f>ROUND(F1122-D1122,2)</f>
        <v/>
      </c>
    </row>
    <row r="1123">
      <c r="A1123" t="inlineStr">
        <is>
          <t>2022-06-04</t>
        </is>
      </c>
      <c r="B1123" t="n">
        <v>12</v>
      </c>
      <c r="C1123" t="n">
        <v>2975</v>
      </c>
      <c r="D1123" s="6" t="n">
        <v>49.6</v>
      </c>
      <c r="E1123" s="6" t="n">
        <v>1056222.53</v>
      </c>
      <c r="F1123" s="6">
        <f>ROUND(E1123-E1122,2)</f>
        <v/>
      </c>
      <c r="G1123" s="6">
        <f>ROUND(F1123-D1123,2)</f>
        <v/>
      </c>
    </row>
    <row r="1124">
      <c r="A1124" t="inlineStr">
        <is>
          <t>2022-06-04</t>
        </is>
      </c>
      <c r="B1124" t="n">
        <v>13</v>
      </c>
      <c r="C1124" t="n">
        <v>2975</v>
      </c>
      <c r="D1124" s="6" t="n">
        <v>112.2</v>
      </c>
      <c r="E1124" s="6" t="n">
        <v>1056334.73</v>
      </c>
      <c r="F1124" s="6">
        <f>ROUND(E1124-E1123,2)</f>
        <v/>
      </c>
      <c r="G1124" s="6">
        <f>ROUND(F1124-D1124,2)</f>
        <v/>
      </c>
    </row>
    <row r="1125">
      <c r="A1125" t="inlineStr">
        <is>
          <t>2022-06-04</t>
        </is>
      </c>
      <c r="B1125" t="n">
        <v>14</v>
      </c>
      <c r="C1125" t="n">
        <v>2975</v>
      </c>
      <c r="D1125" s="6" t="n">
        <v>70.59999999999999</v>
      </c>
      <c r="E1125" s="6" t="n">
        <v>1056405.33</v>
      </c>
      <c r="F1125" s="6">
        <f>ROUND(E1125-E1124,2)</f>
        <v/>
      </c>
      <c r="G1125" s="6">
        <f>ROUND(F1125-D1125,2)</f>
        <v/>
      </c>
    </row>
    <row r="1126">
      <c r="A1126" t="inlineStr">
        <is>
          <t>2022-06-04</t>
        </is>
      </c>
      <c r="B1126" t="n">
        <v>15</v>
      </c>
      <c r="C1126" t="n">
        <v>2975</v>
      </c>
      <c r="D1126" s="6" t="n">
        <v>86</v>
      </c>
      <c r="E1126" s="6" t="n">
        <v>1056491.33</v>
      </c>
      <c r="F1126" s="6">
        <f>ROUND(E1126-E1125,2)</f>
        <v/>
      </c>
      <c r="G1126" s="6">
        <f>ROUND(F1126-D1126,2)</f>
        <v/>
      </c>
    </row>
    <row r="1127">
      <c r="A1127" t="inlineStr">
        <is>
          <t>2022-06-04</t>
        </is>
      </c>
      <c r="B1127" t="n">
        <v>16</v>
      </c>
      <c r="C1127" t="n">
        <v>2975</v>
      </c>
      <c r="D1127" s="6" t="n">
        <v>48</v>
      </c>
      <c r="E1127" s="6" t="n">
        <v>1056539.33</v>
      </c>
      <c r="F1127" s="6">
        <f>ROUND(E1127-E1126,2)</f>
        <v/>
      </c>
      <c r="G1127" s="6">
        <f>ROUND(F1127-D1127,2)</f>
        <v/>
      </c>
    </row>
    <row r="1128">
      <c r="A1128" t="inlineStr">
        <is>
          <t>2022-06-04</t>
        </is>
      </c>
      <c r="B1128" t="n">
        <v>17</v>
      </c>
      <c r="C1128" t="n">
        <v>2975</v>
      </c>
      <c r="D1128" s="6" t="n">
        <v>66.95</v>
      </c>
      <c r="E1128" s="6" t="n">
        <v>1056606.28</v>
      </c>
      <c r="F1128" s="6">
        <f>ROUND(E1128-E1127,2)</f>
        <v/>
      </c>
      <c r="G1128" s="6">
        <f>ROUND(F1128-D1128,2)</f>
        <v/>
      </c>
    </row>
    <row r="1129">
      <c r="A1129" t="inlineStr">
        <is>
          <t>2022-06-04</t>
        </is>
      </c>
      <c r="B1129" t="n">
        <v>18</v>
      </c>
      <c r="C1129" t="n">
        <v>2975</v>
      </c>
      <c r="D1129" s="6" t="n">
        <v>66.95</v>
      </c>
      <c r="E1129" s="6" t="n">
        <v>1056673.23</v>
      </c>
      <c r="F1129" s="6">
        <f>ROUND(E1129-E1128,2)</f>
        <v/>
      </c>
      <c r="G1129" s="6">
        <f>ROUND(F1129-D1129,2)</f>
        <v/>
      </c>
    </row>
    <row r="1130">
      <c r="A1130" t="inlineStr">
        <is>
          <t>2022-06-04</t>
        </is>
      </c>
      <c r="B1130" t="n">
        <v>19</v>
      </c>
      <c r="C1130" t="n">
        <v>2975</v>
      </c>
      <c r="D1130" s="6" t="n">
        <v>55.8</v>
      </c>
      <c r="E1130" s="6" t="n">
        <v>1056729.03</v>
      </c>
      <c r="F1130" s="6">
        <f>ROUND(E1130-E1129,2)</f>
        <v/>
      </c>
      <c r="G1130" s="6">
        <f>ROUND(F1130-D1130,2)</f>
        <v/>
      </c>
    </row>
    <row r="1131">
      <c r="A1131" t="inlineStr">
        <is>
          <t>2022-06-04</t>
        </is>
      </c>
      <c r="B1131" t="n">
        <v>20</v>
      </c>
      <c r="C1131" t="n">
        <v>2975</v>
      </c>
      <c r="D1131" s="6" t="n">
        <v>67.5</v>
      </c>
      <c r="E1131" s="6" t="n">
        <v>1056796.53</v>
      </c>
      <c r="F1131" s="6">
        <f>ROUND(E1131-E1130,2)</f>
        <v/>
      </c>
      <c r="G1131" s="6">
        <f>ROUND(F1131-D1131,2)</f>
        <v/>
      </c>
    </row>
    <row r="1132">
      <c r="A1132" t="inlineStr">
        <is>
          <t>2022-06-04</t>
        </is>
      </c>
      <c r="B1132" t="n">
        <v>21</v>
      </c>
      <c r="C1132" t="n">
        <v>2975</v>
      </c>
      <c r="D1132" s="6" t="n">
        <v>89.7</v>
      </c>
      <c r="E1132" s="6" t="n">
        <v>1056886.23</v>
      </c>
      <c r="F1132" s="6">
        <f>ROUND(E1132-E1131,2)</f>
        <v/>
      </c>
      <c r="G1132" s="6">
        <f>ROUND(F1132-D1132,2)</f>
        <v/>
      </c>
    </row>
    <row r="1133">
      <c r="A1133" t="inlineStr">
        <is>
          <t>2022-06-04</t>
        </is>
      </c>
      <c r="B1133" t="n">
        <v>22</v>
      </c>
      <c r="C1133" t="n">
        <v>2975</v>
      </c>
      <c r="D1133" s="6" t="n">
        <v>63.2</v>
      </c>
      <c r="E1133" s="6" t="n">
        <v>1056949.43</v>
      </c>
      <c r="F1133" s="6">
        <f>ROUND(E1133-E1132,2)</f>
        <v/>
      </c>
      <c r="G1133" s="6">
        <f>ROUND(F1133-D1133,2)</f>
        <v/>
      </c>
    </row>
    <row r="1134">
      <c r="A1134" t="inlineStr">
        <is>
          <t>2022-06-04</t>
        </is>
      </c>
      <c r="B1134" t="n">
        <v>23</v>
      </c>
      <c r="C1134" t="n">
        <v>2975</v>
      </c>
      <c r="D1134" s="6" t="n">
        <v>35.7</v>
      </c>
      <c r="E1134" s="6" t="n">
        <v>1056985.13</v>
      </c>
      <c r="F1134" s="6">
        <f>ROUND(E1134-E1133,2)</f>
        <v/>
      </c>
      <c r="G1134" s="6">
        <f>ROUND(F1134-D1134,2)</f>
        <v/>
      </c>
    </row>
    <row r="1135">
      <c r="A1135" t="inlineStr">
        <is>
          <t>2022-06-04</t>
        </is>
      </c>
      <c r="B1135" t="n">
        <v>24</v>
      </c>
      <c r="C1135" t="n">
        <v>2975</v>
      </c>
      <c r="D1135" s="6" t="n">
        <v>69.3</v>
      </c>
      <c r="E1135" s="6" t="n">
        <v>1057054.43</v>
      </c>
      <c r="F1135" s="6">
        <f>ROUND(E1135-E1134,2)</f>
        <v/>
      </c>
      <c r="G1135" s="6">
        <f>ROUND(F1135-D1135,2)</f>
        <v/>
      </c>
    </row>
    <row r="1136">
      <c r="A1136" t="inlineStr">
        <is>
          <t>2022-06-04</t>
        </is>
      </c>
      <c r="B1136" t="n">
        <v>25</v>
      </c>
      <c r="C1136" t="n">
        <v>2975</v>
      </c>
      <c r="D1136" s="6" t="n">
        <v>79.90000000000001</v>
      </c>
      <c r="E1136" s="6" t="n">
        <v>1057134.33</v>
      </c>
      <c r="F1136" s="6">
        <f>ROUND(E1136-E1135,2)</f>
        <v/>
      </c>
      <c r="G1136" s="6">
        <f>ROUND(F1136-D1136,2)</f>
        <v/>
      </c>
    </row>
    <row r="1137">
      <c r="A1137" t="inlineStr">
        <is>
          <t>2022-06-04</t>
        </is>
      </c>
      <c r="B1137" t="n">
        <v>26</v>
      </c>
      <c r="C1137" t="n">
        <v>2975</v>
      </c>
      <c r="D1137" s="6" t="n">
        <v>25.5</v>
      </c>
      <c r="E1137" s="6" t="n">
        <v>1057159.83</v>
      </c>
      <c r="F1137" s="6">
        <f>ROUND(E1137-E1136,2)</f>
        <v/>
      </c>
      <c r="G1137" s="6">
        <f>ROUND(F1137-D1137,2)</f>
        <v/>
      </c>
    </row>
    <row r="1138">
      <c r="A1138" t="inlineStr">
        <is>
          <t>2022-06-04</t>
        </is>
      </c>
      <c r="B1138" t="n">
        <v>27</v>
      </c>
      <c r="C1138" t="n">
        <v>2975</v>
      </c>
      <c r="D1138" s="6" t="n">
        <v>291.5</v>
      </c>
      <c r="E1138" s="6" t="n">
        <v>1057451.33</v>
      </c>
      <c r="F1138" s="6">
        <f>ROUND(E1138-E1137,2)</f>
        <v/>
      </c>
      <c r="G1138" s="6">
        <f>ROUND(F1138-D1138,2)</f>
        <v/>
      </c>
    </row>
    <row r="1139">
      <c r="A1139" t="inlineStr">
        <is>
          <t>2022-06-04</t>
        </is>
      </c>
      <c r="B1139" t="n">
        <v>28</v>
      </c>
      <c r="C1139" t="n">
        <v>2975</v>
      </c>
      <c r="D1139" s="6" t="n">
        <v>143</v>
      </c>
      <c r="E1139" s="6" t="n">
        <v>1057594.33</v>
      </c>
      <c r="F1139" s="6">
        <f>ROUND(E1139-E1138,2)</f>
        <v/>
      </c>
      <c r="G1139" s="6">
        <f>ROUND(F1139-D1139,2)</f>
        <v/>
      </c>
    </row>
    <row r="1140">
      <c r="A1140" t="inlineStr">
        <is>
          <t>2022-06-04</t>
        </is>
      </c>
      <c r="B1140" t="n">
        <v>29</v>
      </c>
      <c r="C1140" t="n">
        <v>2975</v>
      </c>
      <c r="D1140" s="6" t="n">
        <v>64.90000000000001</v>
      </c>
      <c r="E1140" s="6" t="n">
        <v>1057659.23</v>
      </c>
      <c r="F1140" s="6">
        <f>ROUND(E1140-E1139,2)</f>
        <v/>
      </c>
      <c r="G1140" s="6">
        <f>ROUND(F1140-D1140,2)</f>
        <v/>
      </c>
    </row>
    <row r="1141">
      <c r="A1141" t="inlineStr">
        <is>
          <t>2022-06-04</t>
        </is>
      </c>
      <c r="B1141" t="n">
        <v>30</v>
      </c>
      <c r="C1141" t="n">
        <v>2975</v>
      </c>
      <c r="D1141" s="6" t="n">
        <v>98.7</v>
      </c>
      <c r="E1141" s="6" t="n">
        <v>1057757.93</v>
      </c>
      <c r="F1141" s="6">
        <f>ROUND(E1141-E1140,2)</f>
        <v/>
      </c>
      <c r="G1141" s="6">
        <f>ROUND(F1141-D1141,2)</f>
        <v/>
      </c>
    </row>
    <row r="1142">
      <c r="A1142" t="inlineStr">
        <is>
          <t>2022-06-05</t>
        </is>
      </c>
      <c r="B1142" t="n">
        <v>1</v>
      </c>
      <c r="C1142" t="n">
        <v>2976</v>
      </c>
      <c r="D1142" s="6" t="n">
        <v>56</v>
      </c>
      <c r="E1142" s="6" t="n">
        <v>1057813.93</v>
      </c>
      <c r="F1142" s="6">
        <f>ROUND(E1142-E1141,2)</f>
        <v/>
      </c>
      <c r="G1142" s="6">
        <f>ROUND(F1142-D1142,2)</f>
        <v/>
      </c>
    </row>
    <row r="1143">
      <c r="A1143" t="inlineStr">
        <is>
          <t>2022-06-05</t>
        </is>
      </c>
      <c r="B1143" t="n">
        <v>2</v>
      </c>
      <c r="C1143" t="n">
        <v>2976</v>
      </c>
      <c r="D1143" s="6" t="n">
        <v>59.8</v>
      </c>
      <c r="E1143" s="6" t="n">
        <v>1057873.73</v>
      </c>
      <c r="F1143" s="6">
        <f>ROUND(E1143-E1142,2)</f>
        <v/>
      </c>
      <c r="G1143" s="6">
        <f>ROUND(F1143-D1143,2)</f>
        <v/>
      </c>
    </row>
    <row r="1144">
      <c r="A1144" t="inlineStr">
        <is>
          <t>2022-06-05</t>
        </is>
      </c>
      <c r="B1144" t="n">
        <v>3</v>
      </c>
      <c r="C1144" t="n">
        <v>2976</v>
      </c>
      <c r="D1144" s="6" t="n">
        <v>82.3</v>
      </c>
      <c r="E1144" s="6" t="n">
        <v>1057956.03</v>
      </c>
      <c r="F1144" s="6">
        <f>ROUND(E1144-E1143,2)</f>
        <v/>
      </c>
      <c r="G1144" s="6">
        <f>ROUND(F1144-D1144,2)</f>
        <v/>
      </c>
    </row>
    <row r="1145">
      <c r="A1145" t="inlineStr">
        <is>
          <t>2022-06-05</t>
        </is>
      </c>
      <c r="B1145" t="n">
        <v>4</v>
      </c>
      <c r="C1145" t="n">
        <v>2976</v>
      </c>
      <c r="D1145" s="6" t="n">
        <v>46.2</v>
      </c>
      <c r="E1145" s="6" t="n">
        <v>1058002.23</v>
      </c>
      <c r="F1145" s="6">
        <f>ROUND(E1145-E1144,2)</f>
        <v/>
      </c>
      <c r="G1145" s="6">
        <f>ROUND(F1145-D1145,2)</f>
        <v/>
      </c>
    </row>
    <row r="1146">
      <c r="A1146" t="inlineStr">
        <is>
          <t>2022-06-05</t>
        </is>
      </c>
      <c r="B1146" t="n">
        <v>5</v>
      </c>
      <c r="C1146" t="n">
        <v>2976</v>
      </c>
      <c r="D1146" s="6" t="n">
        <v>57.7</v>
      </c>
      <c r="E1146" s="6" t="n">
        <v>1058059.93</v>
      </c>
      <c r="F1146" s="6">
        <f>ROUND(E1146-E1145,2)</f>
        <v/>
      </c>
      <c r="G1146" s="6">
        <f>ROUND(F1146-D1146,2)</f>
        <v/>
      </c>
    </row>
    <row r="1147">
      <c r="A1147" t="inlineStr">
        <is>
          <t>2022-06-05</t>
        </is>
      </c>
      <c r="B1147" t="n">
        <v>6</v>
      </c>
      <c r="C1147" t="n">
        <v>2976</v>
      </c>
      <c r="D1147" s="6" t="n">
        <v>105.2</v>
      </c>
      <c r="E1147" s="6" t="n">
        <v>1058165.13</v>
      </c>
      <c r="F1147" s="6">
        <f>ROUND(E1147-E1146,2)</f>
        <v/>
      </c>
      <c r="G1147" s="6">
        <f>ROUND(F1147-D1147,2)</f>
        <v/>
      </c>
    </row>
    <row r="1148">
      <c r="A1148" t="inlineStr">
        <is>
          <t>2022-06-05</t>
        </is>
      </c>
      <c r="B1148" t="n">
        <v>7</v>
      </c>
      <c r="C1148" t="n">
        <v>2976</v>
      </c>
      <c r="D1148" s="6" t="n">
        <v>52.7</v>
      </c>
      <c r="E1148" s="6" t="n">
        <v>1058217.83</v>
      </c>
      <c r="F1148" s="6">
        <f>ROUND(E1148-E1147,2)</f>
        <v/>
      </c>
      <c r="G1148" s="6">
        <f>ROUND(F1148-D1148,2)</f>
        <v/>
      </c>
    </row>
    <row r="1149">
      <c r="A1149" t="inlineStr">
        <is>
          <t>2022-06-05</t>
        </is>
      </c>
      <c r="B1149" t="n">
        <v>8</v>
      </c>
      <c r="C1149" t="n">
        <v>2976</v>
      </c>
      <c r="D1149" s="6" t="n">
        <v>99.40000000000001</v>
      </c>
      <c r="E1149" s="6" t="n">
        <v>1058317.23</v>
      </c>
      <c r="F1149" s="6">
        <f>ROUND(E1149-E1148,2)</f>
        <v/>
      </c>
      <c r="G1149" s="6">
        <f>ROUND(F1149-D1149,2)</f>
        <v/>
      </c>
    </row>
    <row r="1150">
      <c r="A1150" t="inlineStr">
        <is>
          <t>2022-06-05</t>
        </is>
      </c>
      <c r="B1150" t="n">
        <v>9</v>
      </c>
      <c r="C1150" t="n">
        <v>2976</v>
      </c>
      <c r="D1150" s="6" t="n">
        <v>45</v>
      </c>
      <c r="E1150" s="6" t="n">
        <v>1058362.23</v>
      </c>
      <c r="F1150" s="6">
        <f>ROUND(E1150-E1149,2)</f>
        <v/>
      </c>
      <c r="G1150" s="6">
        <f>ROUND(F1150-D1150,2)</f>
        <v/>
      </c>
    </row>
    <row r="1151">
      <c r="A1151" t="inlineStr">
        <is>
          <t>2022-06-05</t>
        </is>
      </c>
      <c r="B1151" t="n">
        <v>10</v>
      </c>
      <c r="C1151" t="n">
        <v>2976</v>
      </c>
      <c r="D1151" s="6" t="n">
        <v>113.7</v>
      </c>
      <c r="E1151" s="6" t="n">
        <v>1058475.93</v>
      </c>
      <c r="F1151" s="6">
        <f>ROUND(E1151-E1150,2)</f>
        <v/>
      </c>
      <c r="G1151" s="6">
        <f>ROUND(F1151-D1151,2)</f>
        <v/>
      </c>
    </row>
    <row r="1152">
      <c r="A1152" t="inlineStr">
        <is>
          <t>2022-06-05</t>
        </is>
      </c>
      <c r="B1152" t="n">
        <v>11</v>
      </c>
      <c r="C1152" t="n">
        <v>2976</v>
      </c>
      <c r="D1152" s="6" t="n">
        <v>56</v>
      </c>
      <c r="E1152" s="6" t="n">
        <v>1058531.93</v>
      </c>
      <c r="F1152" s="6">
        <f>ROUND(E1152-E1151,2)</f>
        <v/>
      </c>
      <c r="G1152" s="6">
        <f>ROUND(F1152-D1152,2)</f>
        <v/>
      </c>
    </row>
    <row r="1153">
      <c r="A1153" t="inlineStr">
        <is>
          <t>2022-06-05</t>
        </is>
      </c>
      <c r="B1153" t="n">
        <v>12</v>
      </c>
      <c r="C1153" t="n">
        <v>2976</v>
      </c>
      <c r="D1153" s="6" t="n">
        <v>81.8</v>
      </c>
      <c r="E1153" s="6" t="n">
        <v>1058613.73</v>
      </c>
      <c r="F1153" s="6">
        <f>ROUND(E1153-E1152,2)</f>
        <v/>
      </c>
      <c r="G1153" s="6">
        <f>ROUND(F1153-D1153,2)</f>
        <v/>
      </c>
    </row>
    <row r="1154">
      <c r="A1154" t="inlineStr">
        <is>
          <t>2022-06-05</t>
        </is>
      </c>
      <c r="B1154" t="n">
        <v>13</v>
      </c>
      <c r="C1154" t="n">
        <v>2976</v>
      </c>
      <c r="D1154" s="6" t="n">
        <v>117.2</v>
      </c>
      <c r="E1154" s="6" t="n">
        <v>1058730.93</v>
      </c>
      <c r="F1154" s="6">
        <f>ROUND(E1154-E1153,2)</f>
        <v/>
      </c>
      <c r="G1154" s="6">
        <f>ROUND(F1154-D1154,2)</f>
        <v/>
      </c>
    </row>
    <row r="1155">
      <c r="A1155" t="inlineStr">
        <is>
          <t>2022-06-05</t>
        </is>
      </c>
      <c r="B1155" t="n">
        <v>14</v>
      </c>
      <c r="C1155" t="n">
        <v>2976</v>
      </c>
      <c r="D1155" s="6" t="n">
        <v>12.2</v>
      </c>
      <c r="E1155" s="6" t="n">
        <v>1058743.13</v>
      </c>
      <c r="F1155" s="6">
        <f>ROUND(E1155-E1154,2)</f>
        <v/>
      </c>
      <c r="G1155" s="6">
        <f>ROUND(F1155-D1155,2)</f>
        <v/>
      </c>
    </row>
    <row r="1156">
      <c r="A1156" t="inlineStr">
        <is>
          <t>2022-06-05</t>
        </is>
      </c>
      <c r="B1156" t="n">
        <v>15</v>
      </c>
      <c r="C1156" t="n">
        <v>2976</v>
      </c>
      <c r="D1156" s="6" t="n">
        <v>116.6</v>
      </c>
      <c r="E1156" s="6" t="n">
        <v>1058859.73</v>
      </c>
      <c r="F1156" s="6">
        <f>ROUND(E1156-E1155,2)</f>
        <v/>
      </c>
      <c r="G1156" s="6">
        <f>ROUND(F1156-D1156,2)</f>
        <v/>
      </c>
    </row>
    <row r="1157">
      <c r="A1157" t="inlineStr">
        <is>
          <t>2022-06-05</t>
        </is>
      </c>
      <c r="B1157" t="n">
        <v>16</v>
      </c>
      <c r="C1157" t="n">
        <v>2976</v>
      </c>
      <c r="D1157" s="6" t="n">
        <v>53.4</v>
      </c>
      <c r="E1157" s="6" t="n">
        <v>1058913.13</v>
      </c>
      <c r="F1157" s="6">
        <f>ROUND(E1157-E1156,2)</f>
        <v/>
      </c>
      <c r="G1157" s="6">
        <f>ROUND(F1157-D1157,2)</f>
        <v/>
      </c>
    </row>
    <row r="1158">
      <c r="A1158" t="inlineStr">
        <is>
          <t>2022-06-05</t>
        </is>
      </c>
      <c r="B1158" t="n">
        <v>17</v>
      </c>
      <c r="C1158" t="n">
        <v>2976</v>
      </c>
      <c r="D1158" s="6" t="n">
        <v>64.90000000000001</v>
      </c>
      <c r="E1158" s="6" t="n">
        <v>1058978.03</v>
      </c>
      <c r="F1158" s="6">
        <f>ROUND(E1158-E1157,2)</f>
        <v/>
      </c>
      <c r="G1158" s="6">
        <f>ROUND(F1158-D1158,2)</f>
        <v/>
      </c>
    </row>
    <row r="1159">
      <c r="A1159" t="inlineStr">
        <is>
          <t>2022-06-05</t>
        </is>
      </c>
      <c r="B1159" t="n">
        <v>18</v>
      </c>
      <c r="C1159" t="n">
        <v>2976</v>
      </c>
      <c r="D1159" s="6" t="n">
        <v>66.09999999999999</v>
      </c>
      <c r="E1159" s="6" t="n">
        <v>1059044.13</v>
      </c>
      <c r="F1159" s="6">
        <f>ROUND(E1159-E1158,2)</f>
        <v/>
      </c>
      <c r="G1159" s="6">
        <f>ROUND(F1159-D1159,2)</f>
        <v/>
      </c>
    </row>
    <row r="1160">
      <c r="A1160" t="inlineStr">
        <is>
          <t>2022-06-05</t>
        </is>
      </c>
      <c r="B1160" t="n">
        <v>19</v>
      </c>
      <c r="C1160" t="n">
        <v>2976</v>
      </c>
      <c r="D1160" s="6" t="n">
        <v>60.8</v>
      </c>
      <c r="E1160" s="6" t="n">
        <v>1059104.93</v>
      </c>
      <c r="F1160" s="6">
        <f>ROUND(E1160-E1159,2)</f>
        <v/>
      </c>
      <c r="G1160" s="6">
        <f>ROUND(F1160-D1160,2)</f>
        <v/>
      </c>
    </row>
    <row r="1161">
      <c r="A1161" t="inlineStr">
        <is>
          <t>2022-06-05</t>
        </is>
      </c>
      <c r="B1161" t="n">
        <v>20</v>
      </c>
      <c r="C1161" t="n">
        <v>2976</v>
      </c>
      <c r="D1161" s="6" t="n">
        <v>21.5</v>
      </c>
      <c r="E1161" s="6" t="n">
        <v>1059126.43</v>
      </c>
      <c r="F1161" s="6">
        <f>ROUND(E1161-E1160,2)</f>
        <v/>
      </c>
      <c r="G1161" s="6">
        <f>ROUND(F1161-D1161,2)</f>
        <v/>
      </c>
    </row>
    <row r="1162">
      <c r="A1162" t="inlineStr">
        <is>
          <t>2022-06-05</t>
        </is>
      </c>
      <c r="B1162" t="n">
        <v>21</v>
      </c>
      <c r="C1162" t="n">
        <v>2976</v>
      </c>
      <c r="D1162" s="6" t="n">
        <v>21.5</v>
      </c>
      <c r="E1162" s="6" t="n">
        <v>1059147.93</v>
      </c>
      <c r="F1162" s="6">
        <f>ROUND(E1162-E1161,2)</f>
        <v/>
      </c>
      <c r="G1162" s="6">
        <f>ROUND(F1162-D1162,2)</f>
        <v/>
      </c>
    </row>
    <row r="1163">
      <c r="A1163" t="inlineStr">
        <is>
          <t>2022-06-05</t>
        </is>
      </c>
      <c r="B1163" t="n">
        <v>22</v>
      </c>
      <c r="C1163" t="n">
        <v>2976</v>
      </c>
      <c r="D1163" s="6" t="n">
        <v>17.6</v>
      </c>
      <c r="E1163" s="6" t="n">
        <v>1059165.53</v>
      </c>
      <c r="F1163" s="6">
        <f>ROUND(E1163-E1162,2)</f>
        <v/>
      </c>
      <c r="G1163" s="6">
        <f>ROUND(F1163-D1163,2)</f>
        <v/>
      </c>
    </row>
    <row r="1164">
      <c r="A1164" t="inlineStr">
        <is>
          <t>2022-06-05</t>
        </is>
      </c>
      <c r="B1164" t="n">
        <v>23</v>
      </c>
      <c r="C1164" t="n">
        <v>2976</v>
      </c>
      <c r="D1164" s="6" t="n">
        <v>54</v>
      </c>
      <c r="E1164" s="6" t="n">
        <v>1059219.53</v>
      </c>
      <c r="F1164" s="6">
        <f>ROUND(E1164-E1163,2)</f>
        <v/>
      </c>
      <c r="G1164" s="6">
        <f>ROUND(F1164-D1164,2)</f>
        <v/>
      </c>
    </row>
    <row r="1165">
      <c r="A1165" t="inlineStr">
        <is>
          <t>2022-06-05</t>
        </is>
      </c>
      <c r="B1165" t="n">
        <v>24</v>
      </c>
      <c r="C1165" t="n">
        <v>2976</v>
      </c>
      <c r="D1165" s="6" t="n">
        <v>25</v>
      </c>
      <c r="E1165" s="6" t="n">
        <v>1059244.53</v>
      </c>
      <c r="F1165" s="6">
        <f>ROUND(E1165-E1164,2)</f>
        <v/>
      </c>
      <c r="G1165" s="6">
        <f>ROUND(F1165-D1165,2)</f>
        <v/>
      </c>
    </row>
    <row r="1166">
      <c r="A1166" t="inlineStr">
        <is>
          <t>2022-06-05</t>
        </is>
      </c>
      <c r="B1166" t="n">
        <v>25</v>
      </c>
      <c r="C1166" t="n">
        <v>2976</v>
      </c>
      <c r="D1166" s="6" t="n">
        <v>25</v>
      </c>
      <c r="E1166" s="6" t="n">
        <v>1059269.53</v>
      </c>
      <c r="F1166" s="6">
        <f>ROUND(E1166-E1165,2)</f>
        <v/>
      </c>
      <c r="G1166" s="6">
        <f>ROUND(F1166-D1166,2)</f>
        <v/>
      </c>
    </row>
    <row r="1167">
      <c r="A1167" t="inlineStr">
        <is>
          <t>2022-06-05</t>
        </is>
      </c>
      <c r="B1167" t="n">
        <v>26</v>
      </c>
      <c r="C1167" t="n">
        <v>2976</v>
      </c>
      <c r="D1167" s="6" t="n">
        <v>47.1</v>
      </c>
      <c r="E1167" s="6" t="n">
        <v>1059316.63</v>
      </c>
      <c r="F1167" s="6">
        <f>ROUND(E1167-E1166,2)</f>
        <v/>
      </c>
      <c r="G1167" s="6">
        <f>ROUND(F1167-D1167,2)</f>
        <v/>
      </c>
    </row>
    <row r="1168">
      <c r="A1168" t="inlineStr">
        <is>
          <t>2022-06-05</t>
        </is>
      </c>
      <c r="B1168" t="n">
        <v>27</v>
      </c>
      <c r="C1168" t="n">
        <v>2976</v>
      </c>
      <c r="D1168" s="6" t="n">
        <v>91</v>
      </c>
      <c r="E1168" s="6" t="n">
        <v>1059407.63</v>
      </c>
      <c r="F1168" s="6">
        <f>ROUND(E1168-E1167,2)</f>
        <v/>
      </c>
      <c r="G1168" s="6">
        <f>ROUND(F1168-D1168,2)</f>
        <v/>
      </c>
    </row>
    <row r="1169">
      <c r="A1169" t="inlineStr">
        <is>
          <t>2022-06-05</t>
        </is>
      </c>
      <c r="B1169" t="n">
        <v>28</v>
      </c>
      <c r="C1169" t="n">
        <v>2976</v>
      </c>
      <c r="D1169" s="6" t="n">
        <v>39.6</v>
      </c>
      <c r="E1169" s="6" t="n">
        <v>1059447.23</v>
      </c>
      <c r="F1169" s="6">
        <f>ROUND(E1169-E1168,2)</f>
        <v/>
      </c>
      <c r="G1169" s="6">
        <f>ROUND(F1169-D1169,2)</f>
        <v/>
      </c>
    </row>
    <row r="1170">
      <c r="A1170" t="inlineStr">
        <is>
          <t>2022-06-05</t>
        </is>
      </c>
      <c r="B1170" t="n">
        <v>29</v>
      </c>
      <c r="C1170" t="n">
        <v>2976</v>
      </c>
      <c r="D1170" s="6" t="n">
        <v>57.8</v>
      </c>
      <c r="E1170" s="6" t="n">
        <v>1059505.03</v>
      </c>
      <c r="F1170" s="6">
        <f>ROUND(E1170-E1169,2)</f>
        <v/>
      </c>
      <c r="G1170" s="6">
        <f>ROUND(F1170-D1170,2)</f>
        <v/>
      </c>
    </row>
    <row r="1171">
      <c r="A1171" t="inlineStr">
        <is>
          <t>2022-06-05</t>
        </is>
      </c>
      <c r="B1171" t="n">
        <v>30</v>
      </c>
      <c r="C1171" t="n">
        <v>2976</v>
      </c>
      <c r="D1171" s="6" t="n">
        <v>57.8</v>
      </c>
      <c r="E1171" s="6" t="n">
        <v>1059562.83</v>
      </c>
      <c r="F1171" s="6">
        <f>ROUND(E1171-E1170,2)</f>
        <v/>
      </c>
      <c r="G1171" s="6">
        <f>ROUND(F1171-D1171,2)</f>
        <v/>
      </c>
    </row>
    <row r="1172">
      <c r="A1172" t="inlineStr">
        <is>
          <t>2022-06-05</t>
        </is>
      </c>
      <c r="B1172" t="n">
        <v>31</v>
      </c>
      <c r="C1172" t="n">
        <v>2976</v>
      </c>
      <c r="D1172" s="6" t="n">
        <v>40.9</v>
      </c>
      <c r="E1172" s="6" t="n">
        <v>1059603.73</v>
      </c>
      <c r="F1172" s="6">
        <f>ROUND(E1172-E1171,2)</f>
        <v/>
      </c>
      <c r="G1172" s="6">
        <f>ROUND(F1172-D1172,2)</f>
        <v/>
      </c>
    </row>
    <row r="1173">
      <c r="A1173" t="inlineStr">
        <is>
          <t>2022-06-05</t>
        </is>
      </c>
      <c r="B1173" t="n">
        <v>32</v>
      </c>
      <c r="C1173" t="n">
        <v>2976</v>
      </c>
      <c r="D1173" s="6" t="n">
        <v>35</v>
      </c>
      <c r="E1173" s="6" t="n">
        <v>1059638.73</v>
      </c>
      <c r="F1173" s="6">
        <f>ROUND(E1173-E1172,2)</f>
        <v/>
      </c>
      <c r="G1173" s="6">
        <f>ROUND(F1173-D1173,2)</f>
        <v/>
      </c>
    </row>
    <row r="1174">
      <c r="A1174" t="inlineStr">
        <is>
          <t>2022-06-05</t>
        </is>
      </c>
      <c r="B1174" t="n">
        <v>33</v>
      </c>
      <c r="C1174" t="n">
        <v>2976</v>
      </c>
      <c r="D1174" s="6" t="n">
        <v>51.2</v>
      </c>
      <c r="E1174" s="6" t="n">
        <v>1059689.93</v>
      </c>
      <c r="F1174" s="6">
        <f>ROUND(E1174-E1173,2)</f>
        <v/>
      </c>
      <c r="G1174" s="6">
        <f>ROUND(F1174-D1174,2)</f>
        <v/>
      </c>
    </row>
    <row r="1175">
      <c r="A1175" t="inlineStr">
        <is>
          <t>2022-06-05</t>
        </is>
      </c>
      <c r="B1175" t="n">
        <v>34</v>
      </c>
      <c r="C1175" t="n">
        <v>2976</v>
      </c>
      <c r="D1175" s="6" t="n">
        <v>122.6</v>
      </c>
      <c r="E1175" s="6" t="n">
        <v>1059812.53</v>
      </c>
      <c r="F1175" s="6">
        <f>ROUND(E1175-E1174,2)</f>
        <v/>
      </c>
      <c r="G1175" s="6">
        <f>ROUND(F1175-D1175,2)</f>
        <v/>
      </c>
    </row>
    <row r="1176">
      <c r="A1176" t="inlineStr">
        <is>
          <t>2022-06-05</t>
        </is>
      </c>
      <c r="B1176" t="n">
        <v>35</v>
      </c>
      <c r="C1176" t="n">
        <v>2976</v>
      </c>
      <c r="D1176" s="6" t="n">
        <v>32.6</v>
      </c>
      <c r="E1176" s="6" t="n">
        <v>1059845.13</v>
      </c>
      <c r="F1176" s="6">
        <f>ROUND(E1176-E1175,2)</f>
        <v/>
      </c>
      <c r="G1176" s="6">
        <f>ROUND(F1176-D1176,2)</f>
        <v/>
      </c>
    </row>
    <row r="1177">
      <c r="A1177" t="inlineStr">
        <is>
          <t>2022-06-05</t>
        </is>
      </c>
      <c r="B1177" t="n">
        <v>36</v>
      </c>
      <c r="C1177" t="n">
        <v>2976</v>
      </c>
      <c r="D1177" s="6" t="n">
        <v>42.8</v>
      </c>
      <c r="E1177" s="6" t="n">
        <v>1059887.93</v>
      </c>
      <c r="F1177" s="6">
        <f>ROUND(E1177-E1176,2)</f>
        <v/>
      </c>
      <c r="G1177" s="6">
        <f>ROUND(F1177-D1177,2)</f>
        <v/>
      </c>
    </row>
    <row r="1178">
      <c r="A1178" t="inlineStr">
        <is>
          <t>2022-06-05</t>
        </is>
      </c>
      <c r="B1178" t="n">
        <v>37</v>
      </c>
      <c r="C1178" t="n">
        <v>2976</v>
      </c>
      <c r="D1178" s="6" t="n">
        <v>53.4</v>
      </c>
      <c r="E1178" s="6" t="n">
        <v>1059941.33</v>
      </c>
      <c r="F1178" s="6">
        <f>ROUND(E1178-E1177,2)</f>
        <v/>
      </c>
      <c r="G1178" s="6">
        <f>ROUND(F1178-D1178,2)</f>
        <v/>
      </c>
    </row>
    <row r="1179">
      <c r="A1179" t="inlineStr">
        <is>
          <t>2022-06-05</t>
        </is>
      </c>
      <c r="B1179" t="n">
        <v>38</v>
      </c>
      <c r="C1179" t="n">
        <v>2976</v>
      </c>
      <c r="D1179" s="6" t="n">
        <v>295.2</v>
      </c>
      <c r="E1179" s="6" t="n">
        <v>1060236.53</v>
      </c>
      <c r="F1179" s="6">
        <f>ROUND(E1179-E1178,2)</f>
        <v/>
      </c>
      <c r="G1179" s="6">
        <f>ROUND(F1179-D1179,2)</f>
        <v/>
      </c>
    </row>
    <row r="1180">
      <c r="A1180" t="inlineStr">
        <is>
          <t>2022-06-05</t>
        </is>
      </c>
      <c r="B1180" t="n">
        <v>39</v>
      </c>
      <c r="C1180" t="n">
        <v>2976</v>
      </c>
      <c r="D1180" s="6" t="n">
        <v>13</v>
      </c>
      <c r="E1180" s="6" t="n">
        <v>1060249.53</v>
      </c>
      <c r="F1180" s="6">
        <f>ROUND(E1180-E1179,2)</f>
        <v/>
      </c>
      <c r="G1180" s="6">
        <f>ROUND(F1180-D1180,2)</f>
        <v/>
      </c>
    </row>
    <row r="1181">
      <c r="A1181" t="inlineStr">
        <is>
          <t>2022-06-05</t>
        </is>
      </c>
      <c r="B1181" t="n">
        <v>40</v>
      </c>
      <c r="C1181" t="n">
        <v>2976</v>
      </c>
      <c r="D1181" s="6" t="n">
        <v>29.2</v>
      </c>
      <c r="E1181" s="6" t="n">
        <v>1060278.73</v>
      </c>
      <c r="F1181" s="6">
        <f>ROUND(E1181-E1180,2)</f>
        <v/>
      </c>
      <c r="G1181" s="6">
        <f>ROUND(F1181-D1181,2)</f>
        <v/>
      </c>
    </row>
    <row r="1182">
      <c r="A1182" t="inlineStr">
        <is>
          <t>2022-06-05</t>
        </is>
      </c>
      <c r="B1182" t="n">
        <v>41</v>
      </c>
      <c r="C1182" t="n">
        <v>2976</v>
      </c>
      <c r="D1182" s="6" t="n">
        <v>74.2</v>
      </c>
      <c r="E1182" s="6" t="n">
        <v>1060352.93</v>
      </c>
      <c r="F1182" s="6">
        <f>ROUND(E1182-E1181,2)</f>
        <v/>
      </c>
      <c r="G1182" s="6">
        <f>ROUND(F1182-D1182,2)</f>
        <v/>
      </c>
    </row>
    <row r="1183">
      <c r="A1183" t="inlineStr">
        <is>
          <t>2022-06-05</t>
        </is>
      </c>
      <c r="B1183" t="n">
        <v>42</v>
      </c>
      <c r="C1183" t="n">
        <v>2976</v>
      </c>
      <c r="D1183" s="6" t="n">
        <v>57.9</v>
      </c>
      <c r="E1183" s="6" t="n">
        <v>1060410.83</v>
      </c>
      <c r="F1183" s="6">
        <f>ROUND(E1183-E1182,2)</f>
        <v/>
      </c>
      <c r="G1183" s="6">
        <f>ROUND(F1183-D1183,2)</f>
        <v/>
      </c>
    </row>
    <row r="1184">
      <c r="A1184" t="inlineStr">
        <is>
          <t>2022-06-05</t>
        </is>
      </c>
      <c r="B1184" t="n">
        <v>43</v>
      </c>
      <c r="C1184" t="n">
        <v>2976</v>
      </c>
      <c r="D1184" s="6" t="n">
        <v>57.9</v>
      </c>
      <c r="E1184" s="6" t="n">
        <v>1060468.73</v>
      </c>
      <c r="F1184" s="6">
        <f>ROUND(E1184-E1183,2)</f>
        <v/>
      </c>
      <c r="G1184" s="6">
        <f>ROUND(F1184-D1184,2)</f>
        <v/>
      </c>
    </row>
    <row r="1185">
      <c r="A1185" t="inlineStr">
        <is>
          <t>2022-06-06</t>
        </is>
      </c>
      <c r="B1185" t="n">
        <v>1</v>
      </c>
      <c r="C1185" t="n">
        <v>2977</v>
      </c>
      <c r="D1185" s="6" t="n">
        <v>42.7</v>
      </c>
      <c r="E1185" s="6" t="n">
        <v>1060511.43</v>
      </c>
      <c r="F1185" s="6">
        <f>ROUND(E1185-E1184,2)</f>
        <v/>
      </c>
      <c r="G1185" s="6">
        <f>ROUND(F1185-D1185,2)</f>
        <v/>
      </c>
    </row>
    <row r="1186">
      <c r="A1186" t="inlineStr">
        <is>
          <t>2022-06-06</t>
        </is>
      </c>
      <c r="B1186" t="n">
        <v>2</v>
      </c>
      <c r="C1186" t="n">
        <v>2977</v>
      </c>
      <c r="D1186" s="6" t="n">
        <v>69.2</v>
      </c>
      <c r="E1186" s="6" t="n">
        <v>1060580.63</v>
      </c>
      <c r="F1186" s="6">
        <f>ROUND(E1186-E1185,2)</f>
        <v/>
      </c>
      <c r="G1186" s="6">
        <f>ROUND(F1186-D1186,2)</f>
        <v/>
      </c>
    </row>
    <row r="1187">
      <c r="A1187" t="inlineStr">
        <is>
          <t>2022-06-06</t>
        </is>
      </c>
      <c r="B1187" t="n">
        <v>3</v>
      </c>
      <c r="C1187" t="n">
        <v>2977</v>
      </c>
      <c r="D1187" s="6" t="n">
        <v>30.1</v>
      </c>
      <c r="E1187" s="6" t="n">
        <v>1060610.73</v>
      </c>
      <c r="F1187" s="6">
        <f>ROUND(E1187-E1186,2)</f>
        <v/>
      </c>
      <c r="G1187" s="6">
        <f>ROUND(F1187-D1187,2)</f>
        <v/>
      </c>
    </row>
    <row r="1188">
      <c r="A1188" t="inlineStr">
        <is>
          <t>2022-06-06</t>
        </is>
      </c>
      <c r="B1188" t="n">
        <v>4</v>
      </c>
      <c r="C1188" t="n">
        <v>2977</v>
      </c>
      <c r="D1188" s="6" t="n">
        <v>59.2</v>
      </c>
      <c r="E1188" s="6" t="n">
        <v>1060669.93</v>
      </c>
      <c r="F1188" s="6">
        <f>ROUND(E1188-E1187,2)</f>
        <v/>
      </c>
      <c r="G1188" s="6">
        <f>ROUND(F1188-D1188,2)</f>
        <v/>
      </c>
    </row>
    <row r="1189">
      <c r="A1189" t="inlineStr">
        <is>
          <t>2022-06-06</t>
        </is>
      </c>
      <c r="B1189" t="n">
        <v>5</v>
      </c>
      <c r="C1189" t="n">
        <v>2977</v>
      </c>
      <c r="D1189" s="6" t="n">
        <v>93.7</v>
      </c>
      <c r="E1189" s="6" t="n">
        <v>1060763.63</v>
      </c>
      <c r="F1189" s="6">
        <f>ROUND(E1189-E1188,2)</f>
        <v/>
      </c>
      <c r="G1189" s="6">
        <f>ROUND(F1189-D1189,2)</f>
        <v/>
      </c>
    </row>
    <row r="1190">
      <c r="A1190" t="inlineStr">
        <is>
          <t>2022-06-06</t>
        </is>
      </c>
      <c r="B1190" t="n">
        <v>6</v>
      </c>
      <c r="C1190" t="n">
        <v>2977</v>
      </c>
      <c r="D1190" s="6" t="n">
        <v>67.5</v>
      </c>
      <c r="E1190" s="6" t="n">
        <v>1060831.13</v>
      </c>
      <c r="F1190" s="6">
        <f>ROUND(E1190-E1189,2)</f>
        <v/>
      </c>
      <c r="G1190" s="6">
        <f>ROUND(F1190-D1190,2)</f>
        <v/>
      </c>
    </row>
    <row r="1191">
      <c r="A1191" t="inlineStr">
        <is>
          <t>2022-06-06</t>
        </is>
      </c>
      <c r="B1191" t="n">
        <v>7</v>
      </c>
      <c r="C1191" t="n">
        <v>2977</v>
      </c>
      <c r="D1191" s="6" t="n">
        <v>65.5</v>
      </c>
      <c r="E1191" s="6" t="n">
        <v>1060896.63</v>
      </c>
      <c r="F1191" s="6">
        <f>ROUND(E1191-E1190,2)</f>
        <v/>
      </c>
      <c r="G1191" s="6">
        <f>ROUND(F1191-D1191,2)</f>
        <v/>
      </c>
    </row>
    <row r="1192">
      <c r="A1192" t="inlineStr">
        <is>
          <t>2022-06-06</t>
        </is>
      </c>
      <c r="B1192" t="n">
        <v>8</v>
      </c>
      <c r="C1192" t="n">
        <v>2977</v>
      </c>
      <c r="D1192" s="6" t="n">
        <v>145.1</v>
      </c>
      <c r="E1192" s="6" t="n">
        <v>1061041.73</v>
      </c>
      <c r="F1192" s="6">
        <f>ROUND(E1192-E1191,2)</f>
        <v/>
      </c>
      <c r="G1192" s="6">
        <f>ROUND(F1192-D1192,2)</f>
        <v/>
      </c>
    </row>
    <row r="1193">
      <c r="A1193" t="inlineStr">
        <is>
          <t>2022-06-06</t>
        </is>
      </c>
      <c r="B1193" t="n">
        <v>9</v>
      </c>
      <c r="C1193" t="n">
        <v>2977</v>
      </c>
      <c r="D1193" s="6" t="n">
        <v>70.7</v>
      </c>
      <c r="E1193" s="6" t="n">
        <v>1061112.43</v>
      </c>
      <c r="F1193" s="6">
        <f>ROUND(E1193-E1192,2)</f>
        <v/>
      </c>
      <c r="G1193" s="6">
        <f>ROUND(F1193-D1193,2)</f>
        <v/>
      </c>
    </row>
    <row r="1194">
      <c r="A1194" t="inlineStr">
        <is>
          <t>2022-06-06</t>
        </is>
      </c>
      <c r="B1194" t="n">
        <v>10</v>
      </c>
      <c r="C1194" t="n">
        <v>2977</v>
      </c>
      <c r="D1194" s="6" t="n">
        <v>97.55</v>
      </c>
      <c r="E1194" s="6" t="n">
        <v>1061209.98</v>
      </c>
      <c r="F1194" s="6">
        <f>ROUND(E1194-E1193,2)</f>
        <v/>
      </c>
      <c r="G1194" s="6">
        <f>ROUND(F1194-D1194,2)</f>
        <v/>
      </c>
    </row>
    <row r="1195">
      <c r="A1195" t="inlineStr">
        <is>
          <t>2022-06-06</t>
        </is>
      </c>
      <c r="B1195" t="n">
        <v>11</v>
      </c>
      <c r="C1195" t="n">
        <v>2977</v>
      </c>
      <c r="D1195" s="6" t="n">
        <v>97.55</v>
      </c>
      <c r="E1195" s="6" t="n">
        <v>1061307.53</v>
      </c>
      <c r="F1195" s="6">
        <f>ROUND(E1195-E1194,2)</f>
        <v/>
      </c>
      <c r="G1195" s="6">
        <f>ROUND(F1195-D1195,2)</f>
        <v/>
      </c>
    </row>
    <row r="1196">
      <c r="A1196" t="inlineStr">
        <is>
          <t>2022-06-06</t>
        </is>
      </c>
      <c r="B1196" t="n">
        <v>12</v>
      </c>
      <c r="C1196" t="n">
        <v>2977</v>
      </c>
      <c r="D1196" s="6" t="n">
        <v>88.8</v>
      </c>
      <c r="E1196" s="6" t="n">
        <v>1061396.33</v>
      </c>
      <c r="F1196" s="6">
        <f>ROUND(E1196-E1195,2)</f>
        <v/>
      </c>
      <c r="G1196" s="6">
        <f>ROUND(F1196-D1196,2)</f>
        <v/>
      </c>
    </row>
    <row r="1197">
      <c r="A1197" t="inlineStr">
        <is>
          <t>2022-06-06</t>
        </is>
      </c>
      <c r="B1197" t="n">
        <v>13</v>
      </c>
      <c r="C1197" t="n">
        <v>2977</v>
      </c>
      <c r="D1197" s="6" t="n">
        <v>90.5</v>
      </c>
      <c r="E1197" s="6" t="n">
        <v>1061486.83</v>
      </c>
      <c r="F1197" s="6">
        <f>ROUND(E1197-E1196,2)</f>
        <v/>
      </c>
      <c r="G1197" s="6">
        <f>ROUND(F1197-D1197,2)</f>
        <v/>
      </c>
    </row>
    <row r="1198">
      <c r="A1198" t="inlineStr">
        <is>
          <t>2022-06-06</t>
        </is>
      </c>
      <c r="B1198" t="n">
        <v>14</v>
      </c>
      <c r="C1198" t="n">
        <v>2977</v>
      </c>
      <c r="D1198" s="6" t="n">
        <v>51.7</v>
      </c>
      <c r="E1198" s="6" t="n">
        <v>1061538.53</v>
      </c>
      <c r="F1198" s="6">
        <f>ROUND(E1198-E1197,2)</f>
        <v/>
      </c>
      <c r="G1198" s="6">
        <f>ROUND(F1198-D1198,2)</f>
        <v/>
      </c>
    </row>
    <row r="1199">
      <c r="A1199" t="inlineStr">
        <is>
          <t>2022-06-06</t>
        </is>
      </c>
      <c r="B1199" t="n">
        <v>15</v>
      </c>
      <c r="C1199" t="n">
        <v>2977</v>
      </c>
      <c r="D1199" s="6" t="n">
        <v>67.90000000000001</v>
      </c>
      <c r="E1199" s="6" t="n">
        <v>1061606.43</v>
      </c>
      <c r="F1199" s="6">
        <f>ROUND(E1199-E1198,2)</f>
        <v/>
      </c>
      <c r="G1199" s="6">
        <f>ROUND(F1199-D1199,2)</f>
        <v/>
      </c>
    </row>
    <row r="1200">
      <c r="A1200" t="inlineStr">
        <is>
          <t>2022-06-06</t>
        </is>
      </c>
      <c r="B1200" t="n">
        <v>16</v>
      </c>
      <c r="C1200" t="n">
        <v>2977</v>
      </c>
      <c r="D1200" s="6" t="n">
        <v>67.90000000000001</v>
      </c>
      <c r="E1200" s="6" t="n">
        <v>1061674.33</v>
      </c>
      <c r="F1200" s="6">
        <f>ROUND(E1200-E1199,2)</f>
        <v/>
      </c>
      <c r="G1200" s="6">
        <f>ROUND(F1200-D1200,2)</f>
        <v/>
      </c>
    </row>
    <row r="1201">
      <c r="A1201" t="inlineStr">
        <is>
          <t>2022-06-08</t>
        </is>
      </c>
      <c r="B1201" t="n">
        <v>1</v>
      </c>
      <c r="C1201" t="n">
        <v>2978</v>
      </c>
      <c r="D1201" s="6" t="n">
        <v>53.2</v>
      </c>
      <c r="E1201" s="6" t="n">
        <v>1061727.53</v>
      </c>
      <c r="F1201" s="6">
        <f>ROUND(E1201-E1200,2)</f>
        <v/>
      </c>
      <c r="G1201" s="6">
        <f>ROUND(F1201-D1201,2)</f>
        <v/>
      </c>
    </row>
    <row r="1202">
      <c r="A1202" t="inlineStr">
        <is>
          <t>2022-06-08</t>
        </is>
      </c>
      <c r="B1202" t="n">
        <v>2</v>
      </c>
      <c r="C1202" t="n">
        <v>2978</v>
      </c>
      <c r="D1202" s="6" t="n">
        <v>55.9</v>
      </c>
      <c r="E1202" s="6" t="n">
        <v>1061783.43</v>
      </c>
      <c r="F1202" s="6">
        <f>ROUND(E1202-E1201,2)</f>
        <v/>
      </c>
      <c r="G1202" s="6">
        <f>ROUND(F1202-D1202,2)</f>
        <v/>
      </c>
    </row>
    <row r="1203">
      <c r="A1203" t="inlineStr">
        <is>
          <t>2022-06-08</t>
        </is>
      </c>
      <c r="B1203" t="n">
        <v>3</v>
      </c>
      <c r="C1203" t="n">
        <v>2978</v>
      </c>
      <c r="D1203" s="6" t="n">
        <v>93.2</v>
      </c>
      <c r="E1203" s="6" t="n">
        <v>1061876.63</v>
      </c>
      <c r="F1203" s="6">
        <f>ROUND(E1203-E1202,2)</f>
        <v/>
      </c>
      <c r="G1203" s="6">
        <f>ROUND(F1203-D1203,2)</f>
        <v/>
      </c>
    </row>
    <row r="1204">
      <c r="A1204" t="inlineStr">
        <is>
          <t>2022-06-08</t>
        </is>
      </c>
      <c r="B1204" t="n">
        <v>4</v>
      </c>
      <c r="C1204" t="n">
        <v>2978</v>
      </c>
      <c r="D1204" s="6" t="n">
        <v>46.8</v>
      </c>
      <c r="E1204" s="6" t="n">
        <v>1061923.43</v>
      </c>
      <c r="F1204" s="6">
        <f>ROUND(E1204-E1203,2)</f>
        <v/>
      </c>
      <c r="G1204" s="6">
        <f>ROUND(F1204-D1204,2)</f>
        <v/>
      </c>
    </row>
    <row r="1205">
      <c r="A1205" t="inlineStr">
        <is>
          <t>2022-06-08</t>
        </is>
      </c>
      <c r="B1205" t="n">
        <v>5</v>
      </c>
      <c r="C1205" t="n">
        <v>2978</v>
      </c>
      <c r="D1205" s="6" t="n">
        <v>59.6</v>
      </c>
      <c r="E1205" s="6" t="n">
        <v>1061983.03</v>
      </c>
      <c r="F1205" s="6">
        <f>ROUND(E1205-E1204,2)</f>
        <v/>
      </c>
      <c r="G1205" s="6">
        <f>ROUND(F1205-D1205,2)</f>
        <v/>
      </c>
    </row>
    <row r="1206">
      <c r="A1206" t="inlineStr">
        <is>
          <t>2022-06-08</t>
        </is>
      </c>
      <c r="B1206" t="n">
        <v>6</v>
      </c>
      <c r="C1206" t="n">
        <v>2978</v>
      </c>
      <c r="D1206" s="6" t="n">
        <v>66.40000000000001</v>
      </c>
      <c r="E1206" s="6" t="n">
        <v>1062049.43</v>
      </c>
      <c r="F1206" s="6">
        <f>ROUND(E1206-E1205,2)</f>
        <v/>
      </c>
      <c r="G1206" s="6">
        <f>ROUND(F1206-D1206,2)</f>
        <v/>
      </c>
    </row>
    <row r="1207">
      <c r="A1207" t="inlineStr">
        <is>
          <t>2022-06-08</t>
        </is>
      </c>
      <c r="B1207" t="n">
        <v>7</v>
      </c>
      <c r="C1207" t="n">
        <v>2978</v>
      </c>
      <c r="D1207" s="6" t="n">
        <v>43.2</v>
      </c>
      <c r="E1207" s="6" t="n">
        <v>1062092.63</v>
      </c>
      <c r="F1207" s="6">
        <f>ROUND(E1207-E1206,2)</f>
        <v/>
      </c>
      <c r="G1207" s="6">
        <f>ROUND(F1207-D1207,2)</f>
        <v/>
      </c>
    </row>
    <row r="1208">
      <c r="A1208" t="inlineStr">
        <is>
          <t>2022-06-08</t>
        </is>
      </c>
      <c r="B1208" t="n">
        <v>8</v>
      </c>
      <c r="C1208" t="n">
        <v>2978</v>
      </c>
      <c r="D1208" s="6" t="n">
        <v>51.3</v>
      </c>
      <c r="E1208" s="6" t="n">
        <v>1062143.93</v>
      </c>
      <c r="F1208" s="6">
        <f>ROUND(E1208-E1207,2)</f>
        <v/>
      </c>
      <c r="G1208" s="6">
        <f>ROUND(F1208-D1208,2)</f>
        <v/>
      </c>
    </row>
    <row r="1209">
      <c r="A1209" t="inlineStr">
        <is>
          <t>2022-06-08</t>
        </is>
      </c>
      <c r="B1209" t="n">
        <v>9</v>
      </c>
      <c r="C1209" t="n">
        <v>2978</v>
      </c>
      <c r="D1209" s="6" t="n">
        <v>78.40000000000001</v>
      </c>
      <c r="E1209" s="6" t="n">
        <v>1062222.33</v>
      </c>
      <c r="F1209" s="6">
        <f>ROUND(E1209-E1208,2)</f>
        <v/>
      </c>
      <c r="G1209" s="6">
        <f>ROUND(F1209-D1209,2)</f>
        <v/>
      </c>
    </row>
    <row r="1210">
      <c r="A1210" t="inlineStr">
        <is>
          <t>2022-06-08</t>
        </is>
      </c>
      <c r="B1210" t="n">
        <v>10</v>
      </c>
      <c r="C1210" t="n">
        <v>2978</v>
      </c>
      <c r="D1210" s="6" t="n">
        <v>128.7</v>
      </c>
      <c r="E1210" s="6" t="n">
        <v>1062351.03</v>
      </c>
      <c r="F1210" s="6">
        <f>ROUND(E1210-E1209,2)</f>
        <v/>
      </c>
      <c r="G1210" s="6">
        <f>ROUND(F1210-D1210,2)</f>
        <v/>
      </c>
    </row>
    <row r="1211">
      <c r="A1211" t="inlineStr">
        <is>
          <t>2022-06-08</t>
        </is>
      </c>
      <c r="B1211" t="n">
        <v>11</v>
      </c>
      <c r="C1211" t="n">
        <v>2978</v>
      </c>
      <c r="D1211" s="6" t="n">
        <v>75.09999999999999</v>
      </c>
      <c r="E1211" s="6" t="n">
        <v>1062426.13</v>
      </c>
      <c r="F1211" s="6">
        <f>ROUND(E1211-E1210,2)</f>
        <v/>
      </c>
      <c r="G1211" s="6">
        <f>ROUND(F1211-D1211,2)</f>
        <v/>
      </c>
    </row>
    <row r="1212">
      <c r="A1212" t="inlineStr">
        <is>
          <t>2022-06-08</t>
        </is>
      </c>
      <c r="B1212" t="n">
        <v>12</v>
      </c>
      <c r="C1212" t="n">
        <v>2978</v>
      </c>
      <c r="D1212" s="6" t="n">
        <v>75.09999999999999</v>
      </c>
      <c r="E1212" s="6" t="n">
        <v>1062501.23</v>
      </c>
      <c r="F1212" s="6">
        <f>ROUND(E1212-E1211,2)</f>
        <v/>
      </c>
      <c r="G1212" s="6">
        <f>ROUND(F1212-D1212,2)</f>
        <v/>
      </c>
    </row>
    <row r="1213">
      <c r="A1213" t="inlineStr">
        <is>
          <t>2022-06-08</t>
        </is>
      </c>
      <c r="B1213" t="n">
        <v>13</v>
      </c>
      <c r="C1213" t="n">
        <v>2978</v>
      </c>
      <c r="D1213" s="6" t="n">
        <v>41.5</v>
      </c>
      <c r="E1213" s="6" t="n">
        <v>1062542.73</v>
      </c>
      <c r="F1213" s="6">
        <f>ROUND(E1213-E1212,2)</f>
        <v/>
      </c>
      <c r="G1213" s="6">
        <f>ROUND(F1213-D1213,2)</f>
        <v/>
      </c>
    </row>
    <row r="1214">
      <c r="A1214" t="inlineStr">
        <is>
          <t>2022-06-08</t>
        </is>
      </c>
      <c r="B1214" t="n">
        <v>14</v>
      </c>
      <c r="C1214" t="n">
        <v>2978</v>
      </c>
      <c r="D1214" s="6" t="n">
        <v>58.6</v>
      </c>
      <c r="E1214" s="6" t="n">
        <v>1062601.33</v>
      </c>
      <c r="F1214" s="6">
        <f>ROUND(E1214-E1213,2)</f>
        <v/>
      </c>
      <c r="G1214" s="6">
        <f>ROUND(F1214-D1214,2)</f>
        <v/>
      </c>
    </row>
    <row r="1215">
      <c r="A1215" t="inlineStr">
        <is>
          <t>2022-06-08</t>
        </is>
      </c>
      <c r="B1215" t="n">
        <v>15</v>
      </c>
      <c r="C1215" t="n">
        <v>2978</v>
      </c>
      <c r="D1215" s="6" t="n">
        <v>60.9</v>
      </c>
      <c r="E1215" s="6" t="n">
        <v>1062662.23</v>
      </c>
      <c r="F1215" s="6">
        <f>ROUND(E1215-E1214,2)</f>
        <v/>
      </c>
      <c r="G1215" s="6">
        <f>ROUND(F1215-D1215,2)</f>
        <v/>
      </c>
    </row>
    <row r="1216">
      <c r="A1216" t="inlineStr">
        <is>
          <t>2022-06-08</t>
        </is>
      </c>
      <c r="B1216" t="n">
        <v>16</v>
      </c>
      <c r="C1216" t="n">
        <v>2978</v>
      </c>
      <c r="D1216" s="6" t="n">
        <v>29</v>
      </c>
      <c r="E1216" s="6" t="n">
        <v>1062691.23</v>
      </c>
      <c r="F1216" s="6">
        <f>ROUND(E1216-E1215,2)</f>
        <v/>
      </c>
      <c r="G1216" s="6">
        <f>ROUND(F1216-D1216,2)</f>
        <v/>
      </c>
    </row>
    <row r="1217">
      <c r="A1217" t="inlineStr">
        <is>
          <t>2022-06-08</t>
        </is>
      </c>
      <c r="B1217" t="n">
        <v>17</v>
      </c>
      <c r="C1217" t="n">
        <v>2978</v>
      </c>
      <c r="D1217" s="6" t="n">
        <v>62</v>
      </c>
      <c r="E1217" s="6" t="n">
        <v>1062753.23</v>
      </c>
      <c r="F1217" s="6">
        <f>ROUND(E1217-E1216,2)</f>
        <v/>
      </c>
      <c r="G1217" s="6">
        <f>ROUND(F1217-D1217,2)</f>
        <v/>
      </c>
    </row>
    <row r="1218">
      <c r="A1218" t="inlineStr">
        <is>
          <t>2022-06-08</t>
        </is>
      </c>
      <c r="B1218" t="n">
        <v>18</v>
      </c>
      <c r="C1218" t="n">
        <v>2978</v>
      </c>
      <c r="D1218" s="6" t="n">
        <v>79.40000000000001</v>
      </c>
      <c r="E1218" s="6" t="n">
        <v>1062832.63</v>
      </c>
      <c r="F1218" s="6">
        <f>ROUND(E1218-E1217,2)</f>
        <v/>
      </c>
      <c r="G1218" s="6">
        <f>ROUND(F1218-D1218,2)</f>
        <v/>
      </c>
    </row>
    <row r="1219">
      <c r="A1219" t="inlineStr">
        <is>
          <t>2022-06-08</t>
        </is>
      </c>
      <c r="B1219" t="n">
        <v>19</v>
      </c>
      <c r="C1219" t="n">
        <v>2978</v>
      </c>
      <c r="D1219" s="6" t="n">
        <v>61.3</v>
      </c>
      <c r="E1219" s="6" t="n">
        <v>1062893.93</v>
      </c>
      <c r="F1219" s="6">
        <f>ROUND(E1219-E1218,2)</f>
        <v/>
      </c>
      <c r="G1219" s="6">
        <f>ROUND(F1219-D1219,2)</f>
        <v/>
      </c>
    </row>
    <row r="1220">
      <c r="A1220" t="inlineStr">
        <is>
          <t>2022-06-08</t>
        </is>
      </c>
      <c r="B1220" t="n">
        <v>20</v>
      </c>
      <c r="C1220" t="n">
        <v>2978</v>
      </c>
      <c r="D1220" s="6" t="n">
        <v>55.7</v>
      </c>
      <c r="E1220" s="6" t="n">
        <v>1062949.63</v>
      </c>
      <c r="F1220" s="6">
        <f>ROUND(E1220-E1219,2)</f>
        <v/>
      </c>
      <c r="G1220" s="6">
        <f>ROUND(F1220-D1220,2)</f>
        <v/>
      </c>
    </row>
    <row r="1221">
      <c r="A1221" t="inlineStr">
        <is>
          <t>2022-06-08</t>
        </is>
      </c>
      <c r="B1221" t="n">
        <v>21</v>
      </c>
      <c r="C1221" t="n">
        <v>2978</v>
      </c>
      <c r="D1221" s="6" t="n">
        <v>179.7</v>
      </c>
      <c r="E1221" s="6" t="n">
        <v>1063129.33</v>
      </c>
      <c r="F1221" s="6">
        <f>ROUND(E1221-E1220,2)</f>
        <v/>
      </c>
      <c r="G1221" s="6">
        <f>ROUND(F1221-D1221,2)</f>
        <v/>
      </c>
    </row>
    <row r="1222">
      <c r="A1222" t="inlineStr">
        <is>
          <t>2022-06-08</t>
        </is>
      </c>
      <c r="B1222" t="n">
        <v>22</v>
      </c>
      <c r="C1222" t="n">
        <v>2978</v>
      </c>
      <c r="D1222" s="6" t="n">
        <v>112.7</v>
      </c>
      <c r="E1222" s="6" t="n">
        <v>1063242.03</v>
      </c>
      <c r="F1222" s="6">
        <f>ROUND(E1222-E1221,2)</f>
        <v/>
      </c>
      <c r="G1222" s="6">
        <f>ROUND(F1222-D1222,2)</f>
        <v/>
      </c>
    </row>
    <row r="1223">
      <c r="A1223" t="inlineStr">
        <is>
          <t>2022-06-08</t>
        </is>
      </c>
      <c r="B1223" t="n">
        <v>23</v>
      </c>
      <c r="C1223" t="n">
        <v>2978</v>
      </c>
      <c r="D1223" s="6" t="n">
        <v>45.9</v>
      </c>
      <c r="E1223" s="6" t="n">
        <v>1063287.93</v>
      </c>
      <c r="F1223" s="6">
        <f>ROUND(E1223-E1222,2)</f>
        <v/>
      </c>
      <c r="G1223" s="6">
        <f>ROUND(F1223-D1223,2)</f>
        <v/>
      </c>
    </row>
    <row r="1224">
      <c r="A1224" t="inlineStr">
        <is>
          <t>2022-06-08</t>
        </is>
      </c>
      <c r="B1224" t="n">
        <v>24</v>
      </c>
      <c r="C1224" t="n">
        <v>2978</v>
      </c>
      <c r="D1224" s="6" t="n">
        <v>84.7</v>
      </c>
      <c r="E1224" s="6" t="n">
        <v>1063372.63</v>
      </c>
      <c r="F1224" s="6">
        <f>ROUND(E1224-E1223,2)</f>
        <v/>
      </c>
      <c r="G1224" s="6">
        <f>ROUND(F1224-D1224,2)</f>
        <v/>
      </c>
    </row>
    <row r="1225">
      <c r="A1225" t="inlineStr">
        <is>
          <t>2022-06-08</t>
        </is>
      </c>
      <c r="B1225" t="n">
        <v>25</v>
      </c>
      <c r="C1225" t="n">
        <v>2978</v>
      </c>
      <c r="D1225" s="6" t="n">
        <v>75.7</v>
      </c>
      <c r="E1225" s="6" t="n">
        <v>1063448.33</v>
      </c>
      <c r="F1225" s="6">
        <f>ROUND(E1225-E1224,2)</f>
        <v/>
      </c>
      <c r="G1225" s="6">
        <f>ROUND(F1225-D1225,2)</f>
        <v/>
      </c>
    </row>
    <row r="1226">
      <c r="A1226" t="inlineStr">
        <is>
          <t>2022-06-08</t>
        </is>
      </c>
      <c r="B1226" t="n">
        <v>26</v>
      </c>
      <c r="C1226" t="n">
        <v>2978</v>
      </c>
      <c r="D1226" s="6" t="n">
        <v>67</v>
      </c>
      <c r="E1226" s="6" t="n">
        <v>1063515.33</v>
      </c>
      <c r="F1226" s="6">
        <f>ROUND(E1226-E1225,2)</f>
        <v/>
      </c>
      <c r="G1226" s="6">
        <f>ROUND(F1226-D1226,2)</f>
        <v/>
      </c>
    </row>
    <row r="1227">
      <c r="A1227" t="inlineStr">
        <is>
          <t>2022-06-09</t>
        </is>
      </c>
      <c r="B1227" t="n">
        <v>1</v>
      </c>
      <c r="C1227" t="n">
        <v>2979</v>
      </c>
      <c r="D1227" s="6" t="n">
        <v>31.6</v>
      </c>
      <c r="E1227" s="6" t="n">
        <v>1063546.93</v>
      </c>
      <c r="F1227" s="6">
        <f>ROUND(E1227-E1226,2)</f>
        <v/>
      </c>
      <c r="G1227" s="6">
        <f>ROUND(F1227-D1227,2)</f>
        <v/>
      </c>
    </row>
    <row r="1228">
      <c r="A1228" t="inlineStr">
        <is>
          <t>2022-06-09</t>
        </is>
      </c>
      <c r="B1228" t="n">
        <v>2</v>
      </c>
      <c r="C1228" t="n">
        <v>2979</v>
      </c>
      <c r="D1228" s="6" t="n">
        <v>27.7</v>
      </c>
      <c r="E1228" s="6" t="n">
        <v>1063574.63</v>
      </c>
      <c r="F1228" s="6">
        <f>ROUND(E1228-E1227,2)</f>
        <v/>
      </c>
      <c r="G1228" s="6">
        <f>ROUND(F1228-D1228,2)</f>
        <v/>
      </c>
    </row>
    <row r="1229">
      <c r="A1229" t="inlineStr">
        <is>
          <t>2022-06-09</t>
        </is>
      </c>
      <c r="B1229" t="n">
        <v>3</v>
      </c>
      <c r="C1229" t="n">
        <v>2979</v>
      </c>
      <c r="D1229" s="6" t="n">
        <v>23.9</v>
      </c>
      <c r="E1229" s="6" t="n">
        <v>1063598.53</v>
      </c>
      <c r="F1229" s="6">
        <f>ROUND(E1229-E1228,2)</f>
        <v/>
      </c>
      <c r="G1229" s="6">
        <f>ROUND(F1229-D1229,2)</f>
        <v/>
      </c>
    </row>
    <row r="1230">
      <c r="A1230" t="inlineStr">
        <is>
          <t>2022-06-09</t>
        </is>
      </c>
      <c r="B1230" t="n">
        <v>4</v>
      </c>
      <c r="C1230" t="n">
        <v>2979</v>
      </c>
      <c r="D1230" s="6" t="n">
        <v>29.7</v>
      </c>
      <c r="E1230" s="6" t="n">
        <v>1063628.23</v>
      </c>
      <c r="F1230" s="6">
        <f>ROUND(E1230-E1229,2)</f>
        <v/>
      </c>
      <c r="G1230" s="6">
        <f>ROUND(F1230-D1230,2)</f>
        <v/>
      </c>
    </row>
    <row r="1231">
      <c r="A1231" t="inlineStr">
        <is>
          <t>2022-06-09</t>
        </is>
      </c>
      <c r="B1231" t="n">
        <v>5</v>
      </c>
      <c r="C1231" t="n">
        <v>2979</v>
      </c>
      <c r="D1231" s="6" t="n">
        <v>27.7</v>
      </c>
      <c r="E1231" s="6" t="n">
        <v>1063655.93</v>
      </c>
      <c r="F1231" s="6">
        <f>ROUND(E1231-E1230,2)</f>
        <v/>
      </c>
      <c r="G1231" s="6">
        <f>ROUND(F1231-D1231,2)</f>
        <v/>
      </c>
    </row>
    <row r="1232">
      <c r="A1232" t="inlineStr">
        <is>
          <t>2022-06-09</t>
        </is>
      </c>
      <c r="B1232" t="n">
        <v>6</v>
      </c>
      <c r="C1232" t="n">
        <v>2979</v>
      </c>
      <c r="D1232" s="6" t="n">
        <v>37.2</v>
      </c>
      <c r="E1232" s="6" t="n">
        <v>1063693.13</v>
      </c>
      <c r="F1232" s="6">
        <f>ROUND(E1232-E1231,2)</f>
        <v/>
      </c>
      <c r="G1232" s="6">
        <f>ROUND(F1232-D1232,2)</f>
        <v/>
      </c>
    </row>
    <row r="1233">
      <c r="A1233" t="inlineStr">
        <is>
          <t>2022-06-09</t>
        </is>
      </c>
      <c r="B1233" t="n">
        <v>7</v>
      </c>
      <c r="C1233" t="n">
        <v>2979</v>
      </c>
      <c r="D1233" s="6" t="n">
        <v>38</v>
      </c>
      <c r="E1233" s="6" t="n">
        <v>1063731.13</v>
      </c>
      <c r="F1233" s="6">
        <f>ROUND(E1233-E1232,2)</f>
        <v/>
      </c>
      <c r="G1233" s="6">
        <f>ROUND(F1233-D1233,2)</f>
        <v/>
      </c>
    </row>
    <row r="1234">
      <c r="A1234" t="inlineStr">
        <is>
          <t>2022-06-09</t>
        </is>
      </c>
      <c r="B1234" t="n">
        <v>8</v>
      </c>
      <c r="C1234" t="n">
        <v>2979</v>
      </c>
      <c r="D1234" s="6" t="n">
        <v>67.8</v>
      </c>
      <c r="E1234" s="6" t="n">
        <v>1063798.93</v>
      </c>
      <c r="F1234" s="6">
        <f>ROUND(E1234-E1233,2)</f>
        <v/>
      </c>
      <c r="G1234" s="6">
        <f>ROUND(F1234-D1234,2)</f>
        <v/>
      </c>
    </row>
    <row r="1235">
      <c r="A1235" t="inlineStr">
        <is>
          <t>2022-06-09</t>
        </is>
      </c>
      <c r="B1235" t="n">
        <v>9</v>
      </c>
      <c r="C1235" t="n">
        <v>2979</v>
      </c>
      <c r="D1235" s="6" t="n">
        <v>55.1</v>
      </c>
      <c r="E1235" s="6" t="n">
        <v>1063854.03</v>
      </c>
      <c r="F1235" s="6">
        <f>ROUND(E1235-E1234,2)</f>
        <v/>
      </c>
      <c r="G1235" s="6">
        <f>ROUND(F1235-D1235,2)</f>
        <v/>
      </c>
    </row>
    <row r="1236">
      <c r="A1236" t="inlineStr">
        <is>
          <t>2022-06-09</t>
        </is>
      </c>
      <c r="B1236" t="n">
        <v>10</v>
      </c>
      <c r="C1236" t="n">
        <v>2979</v>
      </c>
      <c r="D1236" s="6" t="n">
        <v>57.1</v>
      </c>
      <c r="E1236" s="6" t="n">
        <v>1063911.13</v>
      </c>
      <c r="F1236" s="6">
        <f>ROUND(E1236-E1235,2)</f>
        <v/>
      </c>
      <c r="G1236" s="6">
        <f>ROUND(F1236-D1236,2)</f>
        <v/>
      </c>
    </row>
    <row r="1237">
      <c r="A1237" t="inlineStr">
        <is>
          <t>2022-06-09</t>
        </is>
      </c>
      <c r="B1237" t="n">
        <v>11</v>
      </c>
      <c r="C1237" t="n">
        <v>2979</v>
      </c>
      <c r="D1237" s="6" t="n">
        <v>19.9</v>
      </c>
      <c r="E1237" s="6" t="n">
        <v>1063931.03</v>
      </c>
      <c r="F1237" s="6">
        <f>ROUND(E1237-E1236,2)</f>
        <v/>
      </c>
      <c r="G1237" s="6">
        <f>ROUND(F1237-D1237,2)</f>
        <v/>
      </c>
    </row>
    <row r="1238">
      <c r="A1238" t="inlineStr">
        <is>
          <t>2022-06-09</t>
        </is>
      </c>
      <c r="B1238" t="n">
        <v>12</v>
      </c>
      <c r="C1238" t="n">
        <v>2979</v>
      </c>
      <c r="D1238" s="6" t="n">
        <v>29.8</v>
      </c>
      <c r="E1238" s="6" t="n">
        <v>1063960.83</v>
      </c>
      <c r="F1238" s="6">
        <f>ROUND(E1238-E1237,2)</f>
        <v/>
      </c>
      <c r="G1238" s="6">
        <f>ROUND(F1238-D1238,2)</f>
        <v/>
      </c>
    </row>
    <row r="1239">
      <c r="A1239" t="inlineStr">
        <is>
          <t>2022-06-09</t>
        </is>
      </c>
      <c r="B1239" t="n">
        <v>13</v>
      </c>
      <c r="C1239" t="n">
        <v>2979</v>
      </c>
      <c r="D1239" s="6" t="n">
        <v>144.4</v>
      </c>
      <c r="E1239" s="6" t="n">
        <v>1064105.23</v>
      </c>
      <c r="F1239" s="6">
        <f>ROUND(E1239-E1238,2)</f>
        <v/>
      </c>
      <c r="G1239" s="6">
        <f>ROUND(F1239-D1239,2)</f>
        <v/>
      </c>
    </row>
    <row r="1240">
      <c r="A1240" t="inlineStr">
        <is>
          <t>2022-06-09</t>
        </is>
      </c>
      <c r="B1240" t="n">
        <v>14</v>
      </c>
      <c r="C1240" t="n">
        <v>2979</v>
      </c>
      <c r="D1240" s="6" t="n">
        <v>58</v>
      </c>
      <c r="E1240" s="6" t="n">
        <v>1064163.23</v>
      </c>
      <c r="F1240" s="6">
        <f>ROUND(E1240-E1239,2)</f>
        <v/>
      </c>
      <c r="G1240" s="6">
        <f>ROUND(F1240-D1240,2)</f>
        <v/>
      </c>
    </row>
    <row r="1241">
      <c r="A1241" t="inlineStr">
        <is>
          <t>2022-06-09</t>
        </is>
      </c>
      <c r="B1241" t="n">
        <v>15</v>
      </c>
      <c r="C1241" t="n">
        <v>2979</v>
      </c>
      <c r="D1241" s="6" t="n">
        <v>89.90000000000001</v>
      </c>
      <c r="E1241" s="6" t="n">
        <v>1064253.13</v>
      </c>
      <c r="F1241" s="6">
        <f>ROUND(E1241-E1240,2)</f>
        <v/>
      </c>
      <c r="G1241" s="6">
        <f>ROUND(F1241-D1241,2)</f>
        <v/>
      </c>
    </row>
    <row r="1242">
      <c r="A1242" t="inlineStr">
        <is>
          <t>2022-06-09</t>
        </is>
      </c>
      <c r="B1242" t="n">
        <v>16</v>
      </c>
      <c r="C1242" t="n">
        <v>2979</v>
      </c>
      <c r="D1242" s="6" t="n">
        <v>41.6</v>
      </c>
      <c r="E1242" s="6" t="n">
        <v>1064294.73</v>
      </c>
      <c r="F1242" s="6">
        <f>ROUND(E1242-E1241,2)</f>
        <v/>
      </c>
      <c r="G1242" s="6">
        <f>ROUND(F1242-D1242,2)</f>
        <v/>
      </c>
    </row>
    <row r="1243">
      <c r="A1243" t="inlineStr">
        <is>
          <t>2022-06-09</t>
        </is>
      </c>
      <c r="B1243" t="n">
        <v>17</v>
      </c>
      <c r="C1243" t="n">
        <v>2979</v>
      </c>
      <c r="D1243" s="6" t="n">
        <v>54.7</v>
      </c>
      <c r="E1243" s="6" t="n">
        <v>1064349.43</v>
      </c>
      <c r="F1243" s="6">
        <f>ROUND(E1243-E1242,2)</f>
        <v/>
      </c>
      <c r="G1243" s="6">
        <f>ROUND(F1243-D1243,2)</f>
        <v/>
      </c>
    </row>
    <row r="1244">
      <c r="A1244" t="inlineStr">
        <is>
          <t>2022-06-09</t>
        </is>
      </c>
      <c r="B1244" t="n">
        <v>18</v>
      </c>
      <c r="C1244" t="n">
        <v>2979</v>
      </c>
      <c r="D1244" s="6" t="n">
        <v>89.40000000000001</v>
      </c>
      <c r="E1244" s="6" t="n">
        <v>1064438.83</v>
      </c>
      <c r="F1244" s="6">
        <f>ROUND(E1244-E1243,2)</f>
        <v/>
      </c>
      <c r="G1244" s="6">
        <f>ROUND(F1244-D1244,2)</f>
        <v/>
      </c>
    </row>
    <row r="1245">
      <c r="A1245" t="inlineStr">
        <is>
          <t>2022-06-09</t>
        </is>
      </c>
      <c r="B1245" t="n">
        <v>19</v>
      </c>
      <c r="C1245" t="n">
        <v>2979</v>
      </c>
      <c r="D1245" s="6" t="n">
        <v>146</v>
      </c>
      <c r="E1245" s="6" t="n">
        <v>1064584.83</v>
      </c>
      <c r="F1245" s="6">
        <f>ROUND(E1245-E1244,2)</f>
        <v/>
      </c>
      <c r="G1245" s="6">
        <f>ROUND(F1245-D1245,2)</f>
        <v/>
      </c>
    </row>
    <row r="1246">
      <c r="A1246" t="inlineStr">
        <is>
          <t>2022-06-09</t>
        </is>
      </c>
      <c r="B1246" t="n">
        <v>20</v>
      </c>
      <c r="C1246" t="n">
        <v>2979</v>
      </c>
      <c r="D1246" s="6" t="n">
        <v>62.25</v>
      </c>
      <c r="E1246" s="6" t="n">
        <v>1064647.08</v>
      </c>
      <c r="F1246" s="6">
        <f>ROUND(E1246-E1245,2)</f>
        <v/>
      </c>
      <c r="G1246" s="6">
        <f>ROUND(F1246-D1246,2)</f>
        <v/>
      </c>
    </row>
    <row r="1247">
      <c r="A1247" t="inlineStr">
        <is>
          <t>2022-06-09</t>
        </is>
      </c>
      <c r="B1247" t="n">
        <v>21</v>
      </c>
      <c r="C1247" t="n">
        <v>2979</v>
      </c>
      <c r="D1247" s="6" t="n">
        <v>62.25</v>
      </c>
      <c r="E1247" s="6" t="n">
        <v>1064709.33</v>
      </c>
      <c r="F1247" s="6">
        <f>ROUND(E1247-E1246,2)</f>
        <v/>
      </c>
      <c r="G1247" s="6">
        <f>ROUND(F1247-D1247,2)</f>
        <v/>
      </c>
    </row>
    <row r="1248">
      <c r="A1248" t="inlineStr">
        <is>
          <t>2022-06-09</t>
        </is>
      </c>
      <c r="B1248" t="n">
        <v>22</v>
      </c>
      <c r="C1248" t="n">
        <v>2979</v>
      </c>
      <c r="D1248" s="6" t="n">
        <v>164.6</v>
      </c>
      <c r="E1248" s="6" t="n">
        <v>1064873.93</v>
      </c>
      <c r="F1248" s="6">
        <f>ROUND(E1248-E1247,2)</f>
        <v/>
      </c>
      <c r="G1248" s="6">
        <f>ROUND(F1248-D1248,2)</f>
        <v/>
      </c>
    </row>
    <row r="1249">
      <c r="A1249" t="inlineStr">
        <is>
          <t>2022-06-09</t>
        </is>
      </c>
      <c r="B1249" t="n">
        <v>23</v>
      </c>
      <c r="C1249" t="n">
        <v>2979</v>
      </c>
      <c r="D1249" s="6" t="n">
        <v>53.8</v>
      </c>
      <c r="E1249" s="6" t="n">
        <v>1064927.73</v>
      </c>
      <c r="F1249" s="6">
        <f>ROUND(E1249-E1248,2)</f>
        <v/>
      </c>
      <c r="G1249" s="6">
        <f>ROUND(F1249-D1249,2)</f>
        <v/>
      </c>
    </row>
    <row r="1250">
      <c r="A1250" t="inlineStr">
        <is>
          <t>2022-06-09</t>
        </is>
      </c>
      <c r="B1250" t="n">
        <v>24</v>
      </c>
      <c r="C1250" t="n">
        <v>2979</v>
      </c>
      <c r="D1250" s="6" t="n">
        <v>92.3</v>
      </c>
      <c r="E1250" s="6" t="n">
        <v>1065020.03</v>
      </c>
      <c r="F1250" s="6">
        <f>ROUND(E1250-E1249,2)</f>
        <v/>
      </c>
      <c r="G1250" s="6">
        <f>ROUND(F1250-D1250,2)</f>
        <v/>
      </c>
    </row>
    <row r="1251">
      <c r="A1251" t="inlineStr">
        <is>
          <t>2022-06-09</t>
        </is>
      </c>
      <c r="B1251" t="n">
        <v>25</v>
      </c>
      <c r="C1251" t="n">
        <v>2979</v>
      </c>
      <c r="D1251" s="6" t="n">
        <v>72.40000000000001</v>
      </c>
      <c r="E1251" s="6" t="n">
        <v>1065092.43</v>
      </c>
      <c r="F1251" s="6">
        <f>ROUND(E1251-E1250,2)</f>
        <v/>
      </c>
      <c r="G1251" s="6">
        <f>ROUND(F1251-D1251,2)</f>
        <v/>
      </c>
    </row>
    <row r="1252">
      <c r="A1252" t="inlineStr">
        <is>
          <t>2022-06-09</t>
        </is>
      </c>
      <c r="B1252" t="n">
        <v>26</v>
      </c>
      <c r="C1252" t="n">
        <v>2979</v>
      </c>
      <c r="D1252" s="6" t="n">
        <v>75.7</v>
      </c>
      <c r="E1252" s="6" t="n">
        <v>1065168.13</v>
      </c>
      <c r="F1252" s="6">
        <f>ROUND(E1252-E1251,2)</f>
        <v/>
      </c>
      <c r="G1252" s="6">
        <f>ROUND(F1252-D1252,2)</f>
        <v/>
      </c>
    </row>
    <row r="1253">
      <c r="A1253" t="inlineStr">
        <is>
          <t>2022-06-09</t>
        </is>
      </c>
      <c r="B1253" t="n">
        <v>27</v>
      </c>
      <c r="C1253" t="n">
        <v>2979</v>
      </c>
      <c r="D1253" s="6" t="n">
        <v>190.9</v>
      </c>
      <c r="E1253" s="6" t="n">
        <v>1065359.03</v>
      </c>
      <c r="F1253" s="6">
        <f>ROUND(E1253-E1252,2)</f>
        <v/>
      </c>
      <c r="G1253" s="6">
        <f>ROUND(F1253-D1253,2)</f>
        <v/>
      </c>
    </row>
    <row r="1254">
      <c r="A1254" t="inlineStr">
        <is>
          <t>2022-06-10</t>
        </is>
      </c>
      <c r="B1254" t="n">
        <v>1</v>
      </c>
      <c r="C1254" t="n">
        <v>2980</v>
      </c>
      <c r="D1254" s="6" t="n">
        <v>64.2</v>
      </c>
      <c r="E1254" s="6" t="n">
        <v>1065423.23</v>
      </c>
      <c r="F1254" s="6">
        <f>ROUND(E1254-E1253,2)</f>
        <v/>
      </c>
      <c r="G1254" s="6">
        <f>ROUND(F1254-D1254,2)</f>
        <v/>
      </c>
    </row>
    <row r="1255">
      <c r="A1255" t="inlineStr">
        <is>
          <t>2022-06-10</t>
        </is>
      </c>
      <c r="B1255" t="n">
        <v>2</v>
      </c>
      <c r="C1255" t="n">
        <v>2980</v>
      </c>
      <c r="D1255" s="6" t="n">
        <v>76.90000000000001</v>
      </c>
      <c r="E1255" s="6" t="n">
        <v>1065500.13</v>
      </c>
      <c r="F1255" s="6">
        <f>ROUND(E1255-E1254,2)</f>
        <v/>
      </c>
      <c r="G1255" s="6">
        <f>ROUND(F1255-D1255,2)</f>
        <v/>
      </c>
    </row>
    <row r="1256">
      <c r="A1256" t="inlineStr">
        <is>
          <t>2022-06-10</t>
        </is>
      </c>
      <c r="B1256" t="n">
        <v>3</v>
      </c>
      <c r="C1256" t="n">
        <v>2980</v>
      </c>
      <c r="D1256" s="6" t="n">
        <v>45.1</v>
      </c>
      <c r="E1256" s="6" t="n">
        <v>1065545.23</v>
      </c>
      <c r="F1256" s="6">
        <f>ROUND(E1256-E1255,2)</f>
        <v/>
      </c>
      <c r="G1256" s="6">
        <f>ROUND(F1256-D1256,2)</f>
        <v/>
      </c>
    </row>
    <row r="1257">
      <c r="A1257" t="inlineStr">
        <is>
          <t>2022-06-10</t>
        </is>
      </c>
      <c r="B1257" t="n">
        <v>4</v>
      </c>
      <c r="C1257" t="n">
        <v>2980</v>
      </c>
      <c r="D1257" s="6" t="n">
        <v>27.55</v>
      </c>
      <c r="E1257" s="6" t="n">
        <v>1065572.78</v>
      </c>
      <c r="F1257" s="6">
        <f>ROUND(E1257-E1256,2)</f>
        <v/>
      </c>
      <c r="G1257" s="6">
        <f>ROUND(F1257-D1257,2)</f>
        <v/>
      </c>
    </row>
    <row r="1258">
      <c r="A1258" t="inlineStr">
        <is>
          <t>2022-06-10</t>
        </is>
      </c>
      <c r="B1258" t="n">
        <v>5</v>
      </c>
      <c r="C1258" t="n">
        <v>2980</v>
      </c>
      <c r="D1258" s="6" t="n">
        <v>27.55</v>
      </c>
      <c r="E1258" s="6" t="n">
        <v>1065600.33</v>
      </c>
      <c r="F1258" s="6">
        <f>ROUND(E1258-E1257,2)</f>
        <v/>
      </c>
      <c r="G1258" s="6">
        <f>ROUND(F1258-D1258,2)</f>
        <v/>
      </c>
    </row>
    <row r="1259">
      <c r="A1259" t="inlineStr">
        <is>
          <t>2022-06-10</t>
        </is>
      </c>
      <c r="B1259" t="n">
        <v>6</v>
      </c>
      <c r="C1259" t="n">
        <v>2980</v>
      </c>
      <c r="D1259" s="6" t="n">
        <v>18.2</v>
      </c>
      <c r="E1259" s="6" t="n">
        <v>1065618.53</v>
      </c>
      <c r="F1259" s="6">
        <f>ROUND(E1259-E1258,2)</f>
        <v/>
      </c>
      <c r="G1259" s="6">
        <f>ROUND(F1259-D1259,2)</f>
        <v/>
      </c>
    </row>
    <row r="1260">
      <c r="A1260" t="inlineStr">
        <is>
          <t>2022-06-10</t>
        </is>
      </c>
      <c r="B1260" t="n">
        <v>7</v>
      </c>
      <c r="C1260" t="n">
        <v>2980</v>
      </c>
      <c r="D1260" s="6" t="n">
        <v>17.6</v>
      </c>
      <c r="E1260" s="6" t="n">
        <v>1065636.13</v>
      </c>
      <c r="F1260" s="6">
        <f>ROUND(E1260-E1259,2)</f>
        <v/>
      </c>
      <c r="G1260" s="6">
        <f>ROUND(F1260-D1260,2)</f>
        <v/>
      </c>
    </row>
    <row r="1261">
      <c r="A1261" t="inlineStr">
        <is>
          <t>2022-06-10</t>
        </is>
      </c>
      <c r="B1261" t="n">
        <v>8</v>
      </c>
      <c r="C1261" t="n">
        <v>2980</v>
      </c>
      <c r="D1261" s="6" t="n">
        <v>14.9</v>
      </c>
      <c r="E1261" s="6" t="n">
        <v>1065651.03</v>
      </c>
      <c r="F1261" s="6">
        <f>ROUND(E1261-E1260,2)</f>
        <v/>
      </c>
      <c r="G1261" s="6">
        <f>ROUND(F1261-D1261,2)</f>
        <v/>
      </c>
    </row>
    <row r="1262">
      <c r="A1262" t="inlineStr">
        <is>
          <t>2022-06-10</t>
        </is>
      </c>
      <c r="B1262" t="n">
        <v>9</v>
      </c>
      <c r="C1262" t="n">
        <v>2980</v>
      </c>
      <c r="D1262" s="6" t="n">
        <v>37.9</v>
      </c>
      <c r="E1262" s="6" t="n">
        <v>1065688.93</v>
      </c>
      <c r="F1262" s="6">
        <f>ROUND(E1262-E1261,2)</f>
        <v/>
      </c>
      <c r="G1262" s="6">
        <f>ROUND(F1262-D1262,2)</f>
        <v/>
      </c>
    </row>
    <row r="1263">
      <c r="A1263" t="inlineStr">
        <is>
          <t>2022-06-10</t>
        </is>
      </c>
      <c r="B1263" t="n">
        <v>10</v>
      </c>
      <c r="C1263" t="n">
        <v>2980</v>
      </c>
      <c r="D1263" s="6" t="n">
        <v>63.6</v>
      </c>
      <c r="E1263" s="6" t="n">
        <v>1065752.53</v>
      </c>
      <c r="F1263" s="6">
        <f>ROUND(E1263-E1262,2)</f>
        <v/>
      </c>
      <c r="G1263" s="6">
        <f>ROUND(F1263-D1263,2)</f>
        <v/>
      </c>
    </row>
    <row r="1264">
      <c r="A1264" t="inlineStr">
        <is>
          <t>2022-06-10</t>
        </is>
      </c>
      <c r="B1264" t="n">
        <v>11</v>
      </c>
      <c r="C1264" t="n">
        <v>2980</v>
      </c>
      <c r="D1264" s="6" t="n">
        <v>52.2</v>
      </c>
      <c r="E1264" s="6" t="n">
        <v>1065804.73</v>
      </c>
      <c r="F1264" s="6">
        <f>ROUND(E1264-E1263,2)</f>
        <v/>
      </c>
      <c r="G1264" s="6">
        <f>ROUND(F1264-D1264,2)</f>
        <v/>
      </c>
    </row>
    <row r="1265">
      <c r="A1265" t="inlineStr">
        <is>
          <t>2022-06-10</t>
        </is>
      </c>
      <c r="B1265" t="n">
        <v>12</v>
      </c>
      <c r="C1265" t="n">
        <v>2980</v>
      </c>
      <c r="D1265" s="6" t="n">
        <v>52.2</v>
      </c>
      <c r="E1265" s="6" t="n">
        <v>1065856.93</v>
      </c>
      <c r="F1265" s="6">
        <f>ROUND(E1265-E1264,2)</f>
        <v/>
      </c>
      <c r="G1265" s="6">
        <f>ROUND(F1265-D1265,2)</f>
        <v/>
      </c>
    </row>
    <row r="1266">
      <c r="A1266" t="inlineStr">
        <is>
          <t>2022-06-10</t>
        </is>
      </c>
      <c r="B1266" t="n">
        <v>13</v>
      </c>
      <c r="C1266" t="n">
        <v>2980</v>
      </c>
      <c r="D1266" s="6" t="n">
        <v>48.4</v>
      </c>
      <c r="E1266" s="6" t="n">
        <v>1065905.33</v>
      </c>
      <c r="F1266" s="6">
        <f>ROUND(E1266-E1265,2)</f>
        <v/>
      </c>
      <c r="G1266" s="6">
        <f>ROUND(F1266-D1266,2)</f>
        <v/>
      </c>
    </row>
    <row r="1267">
      <c r="A1267" t="inlineStr">
        <is>
          <t>2022-06-10</t>
        </is>
      </c>
      <c r="B1267" t="n">
        <v>14</v>
      </c>
      <c r="C1267" t="n">
        <v>2980</v>
      </c>
      <c r="D1267" s="6" t="n">
        <v>47.55</v>
      </c>
      <c r="E1267" s="6" t="n">
        <v>1065952.88</v>
      </c>
      <c r="F1267" s="6">
        <f>ROUND(E1267-E1266,2)</f>
        <v/>
      </c>
      <c r="G1267" s="6">
        <f>ROUND(F1267-D1267,2)</f>
        <v/>
      </c>
    </row>
    <row r="1268">
      <c r="A1268" t="inlineStr">
        <is>
          <t>2022-06-10</t>
        </is>
      </c>
      <c r="B1268" t="n">
        <v>15</v>
      </c>
      <c r="C1268" t="n">
        <v>2980</v>
      </c>
      <c r="D1268" s="6" t="n">
        <v>47.55</v>
      </c>
      <c r="E1268" s="6" t="n">
        <v>1066000.43</v>
      </c>
      <c r="F1268" s="6">
        <f>ROUND(E1268-E1267,2)</f>
        <v/>
      </c>
      <c r="G1268" s="6">
        <f>ROUND(F1268-D1268,2)</f>
        <v/>
      </c>
    </row>
    <row r="1269">
      <c r="A1269" t="inlineStr">
        <is>
          <t>2022-06-10</t>
        </is>
      </c>
      <c r="B1269" t="n">
        <v>16</v>
      </c>
      <c r="C1269" t="n">
        <v>2980</v>
      </c>
      <c r="D1269" s="6" t="n">
        <v>53.3</v>
      </c>
      <c r="E1269" s="6" t="n">
        <v>1066053.73</v>
      </c>
      <c r="F1269" s="6">
        <f>ROUND(E1269-E1268,2)</f>
        <v/>
      </c>
      <c r="G1269" s="6">
        <f>ROUND(F1269-D1269,2)</f>
        <v/>
      </c>
    </row>
    <row r="1270">
      <c r="A1270" t="inlineStr">
        <is>
          <t>2022-06-10</t>
        </is>
      </c>
      <c r="B1270" t="n">
        <v>17</v>
      </c>
      <c r="C1270" t="n">
        <v>2980</v>
      </c>
      <c r="D1270" s="6" t="n">
        <v>69.2</v>
      </c>
      <c r="E1270" s="6" t="n">
        <v>1066122.93</v>
      </c>
      <c r="F1270" s="6">
        <f>ROUND(E1270-E1269,2)</f>
        <v/>
      </c>
      <c r="G1270" s="6">
        <f>ROUND(F1270-D1270,2)</f>
        <v/>
      </c>
    </row>
    <row r="1271">
      <c r="A1271" t="inlineStr">
        <is>
          <t>2022-06-10</t>
        </is>
      </c>
      <c r="B1271" t="n">
        <v>18</v>
      </c>
      <c r="C1271" t="n">
        <v>2980</v>
      </c>
      <c r="D1271" s="6" t="n">
        <v>98.3</v>
      </c>
      <c r="E1271" s="6" t="n">
        <v>1066221.23</v>
      </c>
      <c r="F1271" s="6">
        <f>ROUND(E1271-E1270,2)</f>
        <v/>
      </c>
      <c r="G1271" s="6">
        <f>ROUND(F1271-D1271,2)</f>
        <v/>
      </c>
    </row>
    <row r="1272">
      <c r="A1272" t="inlineStr">
        <is>
          <t>2022-06-10</t>
        </is>
      </c>
      <c r="B1272" t="n">
        <v>19</v>
      </c>
      <c r="C1272" t="n">
        <v>2980</v>
      </c>
      <c r="D1272" s="6" t="n">
        <v>99.7</v>
      </c>
      <c r="E1272" s="6" t="n">
        <v>1066320.93</v>
      </c>
      <c r="F1272" s="6">
        <f>ROUND(E1272-E1271,2)</f>
        <v/>
      </c>
      <c r="G1272" s="6">
        <f>ROUND(F1272-D1272,2)</f>
        <v/>
      </c>
    </row>
    <row r="1273">
      <c r="A1273" t="inlineStr">
        <is>
          <t>2022-06-10</t>
        </is>
      </c>
      <c r="B1273" t="n">
        <v>20</v>
      </c>
      <c r="C1273" t="n">
        <v>2980</v>
      </c>
      <c r="D1273" s="6" t="n">
        <v>64.59999999999999</v>
      </c>
      <c r="E1273" s="6" t="n">
        <v>1066385.53</v>
      </c>
      <c r="F1273" s="6">
        <f>ROUND(E1273-E1272,2)</f>
        <v/>
      </c>
      <c r="G1273" s="6">
        <f>ROUND(F1273-D1273,2)</f>
        <v/>
      </c>
    </row>
    <row r="1274">
      <c r="A1274" t="inlineStr">
        <is>
          <t>2022-06-10</t>
        </is>
      </c>
      <c r="B1274" t="n">
        <v>21</v>
      </c>
      <c r="C1274" t="n">
        <v>2980</v>
      </c>
      <c r="D1274" s="6" t="n">
        <v>87</v>
      </c>
      <c r="E1274" s="6" t="n">
        <v>1066472.53</v>
      </c>
      <c r="F1274" s="6">
        <f>ROUND(E1274-E1273,2)</f>
        <v/>
      </c>
      <c r="G1274" s="6">
        <f>ROUND(F1274-D1274,2)</f>
        <v/>
      </c>
    </row>
    <row r="1275">
      <c r="A1275" t="inlineStr">
        <is>
          <t>2022-06-10</t>
        </is>
      </c>
      <c r="B1275" t="n">
        <v>22</v>
      </c>
      <c r="C1275" t="n">
        <v>2980</v>
      </c>
      <c r="D1275" s="6" t="n">
        <v>41.6</v>
      </c>
      <c r="E1275" s="6" t="n">
        <v>1066514.13</v>
      </c>
      <c r="F1275" s="6">
        <f>ROUND(E1275-E1274,2)</f>
        <v/>
      </c>
      <c r="G1275" s="6">
        <f>ROUND(F1275-D1275,2)</f>
        <v/>
      </c>
    </row>
    <row r="1276">
      <c r="A1276" t="inlineStr">
        <is>
          <t>2022-06-10</t>
        </is>
      </c>
      <c r="B1276" t="n">
        <v>23</v>
      </c>
      <c r="C1276" t="n">
        <v>2980</v>
      </c>
      <c r="D1276" s="6" t="n">
        <v>98.2</v>
      </c>
      <c r="E1276" s="6" t="n">
        <v>1066612.33</v>
      </c>
      <c r="F1276" s="6">
        <f>ROUND(E1276-E1275,2)</f>
        <v/>
      </c>
      <c r="G1276" s="6">
        <f>ROUND(F1276-D1276,2)</f>
        <v/>
      </c>
    </row>
    <row r="1277">
      <c r="A1277" t="inlineStr">
        <is>
          <t>2022-06-10</t>
        </is>
      </c>
      <c r="B1277" t="n">
        <v>24</v>
      </c>
      <c r="C1277" t="n">
        <v>2980</v>
      </c>
      <c r="D1277" s="6" t="n">
        <v>60</v>
      </c>
      <c r="E1277" s="6" t="n">
        <v>1066672.33</v>
      </c>
      <c r="F1277" s="6">
        <f>ROUND(E1277-E1276,2)</f>
        <v/>
      </c>
      <c r="G1277" s="6">
        <f>ROUND(F1277-D1277,2)</f>
        <v/>
      </c>
    </row>
    <row r="1278">
      <c r="A1278" t="inlineStr">
        <is>
          <t>2022-06-10</t>
        </is>
      </c>
      <c r="B1278" t="n">
        <v>25</v>
      </c>
      <c r="C1278" t="n">
        <v>2980</v>
      </c>
      <c r="D1278" s="6" t="n">
        <v>75.5</v>
      </c>
      <c r="E1278" s="6" t="n">
        <v>1066747.83</v>
      </c>
      <c r="F1278" s="6">
        <f>ROUND(E1278-E1277,2)</f>
        <v/>
      </c>
      <c r="G1278" s="6">
        <f>ROUND(F1278-D1278,2)</f>
        <v/>
      </c>
    </row>
    <row r="1279">
      <c r="A1279" t="inlineStr">
        <is>
          <t>2022-06-10</t>
        </is>
      </c>
      <c r="B1279" t="n">
        <v>26</v>
      </c>
      <c r="C1279" t="n">
        <v>2980</v>
      </c>
      <c r="D1279" s="6" t="n">
        <v>124.1</v>
      </c>
      <c r="E1279" s="6" t="n">
        <v>1066871.93</v>
      </c>
      <c r="F1279" s="6">
        <f>ROUND(E1279-E1278,2)</f>
        <v/>
      </c>
      <c r="G1279" s="6">
        <f>ROUND(F1279-D1279,2)</f>
        <v/>
      </c>
    </row>
    <row r="1280">
      <c r="A1280" t="inlineStr">
        <is>
          <t>2022-06-10</t>
        </is>
      </c>
      <c r="B1280" t="n">
        <v>27</v>
      </c>
      <c r="C1280" t="n">
        <v>2980</v>
      </c>
      <c r="D1280" s="6" t="n">
        <v>31.8</v>
      </c>
      <c r="E1280" s="6" t="n">
        <v>1066903.73</v>
      </c>
      <c r="F1280" s="6">
        <f>ROUND(E1280-E1279,2)</f>
        <v/>
      </c>
      <c r="G1280" s="6">
        <f>ROUND(F1280-D1280,2)</f>
        <v/>
      </c>
    </row>
    <row r="1281">
      <c r="A1281" t="inlineStr">
        <is>
          <t>2022-06-10</t>
        </is>
      </c>
      <c r="B1281" t="n">
        <v>28</v>
      </c>
      <c r="C1281" t="n">
        <v>2980</v>
      </c>
      <c r="D1281" s="6" t="n">
        <v>31.8</v>
      </c>
      <c r="E1281" s="6" t="n">
        <v>1066935.53</v>
      </c>
      <c r="F1281" s="6">
        <f>ROUND(E1281-E1280,2)</f>
        <v/>
      </c>
      <c r="G1281" s="6">
        <f>ROUND(F1281-D1281,2)</f>
        <v/>
      </c>
    </row>
    <row r="1282">
      <c r="A1282" t="inlineStr">
        <is>
          <t>2022-06-10</t>
        </is>
      </c>
      <c r="B1282" t="n">
        <v>29</v>
      </c>
      <c r="C1282" t="n">
        <v>2980</v>
      </c>
      <c r="D1282" s="6" t="n">
        <v>104.7</v>
      </c>
      <c r="E1282" s="6" t="n">
        <v>1067040.23</v>
      </c>
      <c r="F1282" s="6">
        <f>ROUND(E1282-E1281,2)</f>
        <v/>
      </c>
      <c r="G1282" s="6">
        <f>ROUND(F1282-D1282,2)</f>
        <v/>
      </c>
    </row>
    <row r="1283">
      <c r="A1283" t="inlineStr">
        <is>
          <t>2022-06-10</t>
        </is>
      </c>
      <c r="B1283" t="n">
        <v>30</v>
      </c>
      <c r="C1283" t="n">
        <v>2980</v>
      </c>
      <c r="D1283" s="6" t="n">
        <v>42.4</v>
      </c>
      <c r="E1283" s="6" t="n">
        <v>1067082.63</v>
      </c>
      <c r="F1283" s="6">
        <f>ROUND(E1283-E1282,2)</f>
        <v/>
      </c>
      <c r="G1283" s="6">
        <f>ROUND(F1283-D1283,2)</f>
        <v/>
      </c>
    </row>
    <row r="1284">
      <c r="A1284" t="inlineStr">
        <is>
          <t>2022-06-10</t>
        </is>
      </c>
      <c r="B1284" t="n">
        <v>31</v>
      </c>
      <c r="C1284" t="n">
        <v>2980</v>
      </c>
      <c r="D1284" s="6" t="n">
        <v>55.2</v>
      </c>
      <c r="E1284" s="6" t="n">
        <v>1067137.83</v>
      </c>
      <c r="F1284" s="6">
        <f>ROUND(E1284-E1283,2)</f>
        <v/>
      </c>
      <c r="G1284" s="6">
        <f>ROUND(F1284-D1284,2)</f>
        <v/>
      </c>
    </row>
    <row r="1285">
      <c r="A1285" t="inlineStr">
        <is>
          <t>2022-06-11</t>
        </is>
      </c>
      <c r="B1285" t="n">
        <v>1</v>
      </c>
      <c r="C1285" t="n">
        <v>2981</v>
      </c>
      <c r="D1285" s="6" t="n">
        <v>42.9</v>
      </c>
      <c r="E1285" s="6" t="n">
        <v>1067180.73</v>
      </c>
      <c r="F1285" s="6">
        <f>ROUND(E1285-E1284,2)</f>
        <v/>
      </c>
      <c r="G1285" s="6">
        <f>ROUND(F1285-D1285,2)</f>
        <v/>
      </c>
    </row>
    <row r="1286">
      <c r="A1286" t="inlineStr">
        <is>
          <t>2022-06-11</t>
        </is>
      </c>
      <c r="B1286" t="n">
        <v>2</v>
      </c>
      <c r="C1286" t="n">
        <v>2981</v>
      </c>
      <c r="D1286" s="6" t="n">
        <v>52.6</v>
      </c>
      <c r="E1286" s="6" t="n">
        <v>1067233.33</v>
      </c>
      <c r="F1286" s="6">
        <f>ROUND(E1286-E1285,2)</f>
        <v/>
      </c>
      <c r="G1286" s="6">
        <f>ROUND(F1286-D1286,2)</f>
        <v/>
      </c>
    </row>
    <row r="1287">
      <c r="A1287" t="inlineStr">
        <is>
          <t>2022-06-11</t>
        </is>
      </c>
      <c r="B1287" t="n">
        <v>3</v>
      </c>
      <c r="C1287" t="n">
        <v>2981</v>
      </c>
      <c r="D1287" s="6" t="n">
        <v>34</v>
      </c>
      <c r="E1287" s="6" t="n">
        <v>1067267.33</v>
      </c>
      <c r="F1287" s="6">
        <f>ROUND(E1287-E1286,2)</f>
        <v/>
      </c>
      <c r="G1287" s="6">
        <f>ROUND(F1287-D1287,2)</f>
        <v/>
      </c>
    </row>
    <row r="1288">
      <c r="A1288" t="inlineStr">
        <is>
          <t>2022-06-11</t>
        </is>
      </c>
      <c r="B1288" t="n">
        <v>4</v>
      </c>
      <c r="C1288" t="n">
        <v>2981</v>
      </c>
      <c r="D1288" s="6" t="n">
        <v>75.40000000000001</v>
      </c>
      <c r="E1288" s="6" t="n">
        <v>1067342.73</v>
      </c>
      <c r="F1288" s="6">
        <f>ROUND(E1288-E1287,2)</f>
        <v/>
      </c>
      <c r="G1288" s="6">
        <f>ROUND(F1288-D1288,2)</f>
        <v/>
      </c>
    </row>
    <row r="1289">
      <c r="A1289" t="inlineStr">
        <is>
          <t>2022-06-11</t>
        </is>
      </c>
      <c r="B1289" t="n">
        <v>5</v>
      </c>
      <c r="C1289" t="n">
        <v>2981</v>
      </c>
      <c r="D1289" s="6" t="n">
        <v>126</v>
      </c>
      <c r="E1289" s="6" t="n">
        <v>1067468.73</v>
      </c>
      <c r="F1289" s="6">
        <f>ROUND(E1289-E1288,2)</f>
        <v/>
      </c>
      <c r="G1289" s="6">
        <f>ROUND(F1289-D1289,2)</f>
        <v/>
      </c>
    </row>
    <row r="1290">
      <c r="A1290" t="inlineStr">
        <is>
          <t>2022-06-11</t>
        </is>
      </c>
      <c r="B1290" t="n">
        <v>6</v>
      </c>
      <c r="C1290" t="n">
        <v>2981</v>
      </c>
      <c r="D1290" s="6" t="n">
        <v>76.90000000000001</v>
      </c>
      <c r="E1290" s="6" t="n">
        <v>1067545.63</v>
      </c>
      <c r="F1290" s="6">
        <f>ROUND(E1290-E1289,2)</f>
        <v/>
      </c>
      <c r="G1290" s="6">
        <f>ROUND(F1290-D1290,2)</f>
        <v/>
      </c>
    </row>
    <row r="1291">
      <c r="A1291" t="inlineStr">
        <is>
          <t>2022-06-11</t>
        </is>
      </c>
      <c r="B1291" t="n">
        <v>7</v>
      </c>
      <c r="C1291" t="n">
        <v>2981</v>
      </c>
      <c r="D1291" s="6" t="n">
        <v>81</v>
      </c>
      <c r="E1291" s="6" t="n">
        <v>1067626.63</v>
      </c>
      <c r="F1291" s="6">
        <f>ROUND(E1291-E1290,2)</f>
        <v/>
      </c>
      <c r="G1291" s="6">
        <f>ROUND(F1291-D1291,2)</f>
        <v/>
      </c>
    </row>
    <row r="1292">
      <c r="A1292" t="inlineStr">
        <is>
          <t>2022-06-11</t>
        </is>
      </c>
      <c r="B1292" t="n">
        <v>8</v>
      </c>
      <c r="C1292" t="n">
        <v>2981</v>
      </c>
      <c r="D1292" s="6" t="n">
        <v>52.2</v>
      </c>
      <c r="E1292" s="6" t="n">
        <v>1067678.83</v>
      </c>
      <c r="F1292" s="6">
        <f>ROUND(E1292-E1291,2)</f>
        <v/>
      </c>
      <c r="G1292" s="6">
        <f>ROUND(F1292-D1292,2)</f>
        <v/>
      </c>
    </row>
    <row r="1293">
      <c r="A1293" t="inlineStr">
        <is>
          <t>2022-06-11</t>
        </is>
      </c>
      <c r="B1293" t="n">
        <v>9</v>
      </c>
      <c r="C1293" t="n">
        <v>2981</v>
      </c>
      <c r="D1293" s="6" t="n">
        <v>96</v>
      </c>
      <c r="E1293" s="6" t="n">
        <v>1067774.83</v>
      </c>
      <c r="F1293" s="6">
        <f>ROUND(E1293-E1292,2)</f>
        <v/>
      </c>
      <c r="G1293" s="6">
        <f>ROUND(F1293-D1293,2)</f>
        <v/>
      </c>
    </row>
    <row r="1294">
      <c r="A1294" t="inlineStr">
        <is>
          <t>2022-06-11</t>
        </is>
      </c>
      <c r="B1294" t="n">
        <v>10</v>
      </c>
      <c r="C1294" t="n">
        <v>2981</v>
      </c>
      <c r="D1294" s="6" t="n">
        <v>64.8</v>
      </c>
      <c r="E1294" s="6" t="n">
        <v>1067839.63</v>
      </c>
      <c r="F1294" s="6">
        <f>ROUND(E1294-E1293,2)</f>
        <v/>
      </c>
      <c r="G1294" s="6">
        <f>ROUND(F1294-D1294,2)</f>
        <v/>
      </c>
    </row>
    <row r="1295">
      <c r="A1295" t="inlineStr">
        <is>
          <t>2022-06-11</t>
        </is>
      </c>
      <c r="B1295" t="n">
        <v>11</v>
      </c>
      <c r="C1295" t="n">
        <v>2981</v>
      </c>
      <c r="D1295" s="6" t="n">
        <v>29.35</v>
      </c>
      <c r="E1295" s="6" t="n">
        <v>1067868.98</v>
      </c>
      <c r="F1295" s="6">
        <f>ROUND(E1295-E1294,2)</f>
        <v/>
      </c>
      <c r="G1295" s="6">
        <f>ROUND(F1295-D1295,2)</f>
        <v/>
      </c>
    </row>
    <row r="1296">
      <c r="A1296" t="inlineStr">
        <is>
          <t>2022-06-11</t>
        </is>
      </c>
      <c r="B1296" t="n">
        <v>12</v>
      </c>
      <c r="C1296" t="n">
        <v>2981</v>
      </c>
      <c r="D1296" s="6" t="n">
        <v>29.35</v>
      </c>
      <c r="E1296" s="6" t="n">
        <v>1067898.33</v>
      </c>
      <c r="F1296" s="6">
        <f>ROUND(E1296-E1295,2)</f>
        <v/>
      </c>
      <c r="G1296" s="6">
        <f>ROUND(F1296-D1296,2)</f>
        <v/>
      </c>
    </row>
    <row r="1297">
      <c r="A1297" t="inlineStr">
        <is>
          <t>2022-06-11</t>
        </is>
      </c>
      <c r="B1297" t="n">
        <v>13</v>
      </c>
      <c r="C1297" t="n">
        <v>2981</v>
      </c>
      <c r="D1297" s="6" t="n">
        <v>62.4</v>
      </c>
      <c r="E1297" s="6" t="n">
        <v>1067960.73</v>
      </c>
      <c r="F1297" s="6">
        <f>ROUND(E1297-E1296,2)</f>
        <v/>
      </c>
      <c r="G1297" s="6">
        <f>ROUND(F1297-D1297,2)</f>
        <v/>
      </c>
    </row>
    <row r="1298">
      <c r="A1298" t="inlineStr">
        <is>
          <t>2022-06-11</t>
        </is>
      </c>
      <c r="B1298" t="n">
        <v>14</v>
      </c>
      <c r="C1298" t="n">
        <v>2981</v>
      </c>
      <c r="D1298" s="6" t="n">
        <v>53.2</v>
      </c>
      <c r="E1298" s="6" t="n">
        <v>1068013.93</v>
      </c>
      <c r="F1298" s="6">
        <f>ROUND(E1298-E1297,2)</f>
        <v/>
      </c>
      <c r="G1298" s="6">
        <f>ROUND(F1298-D1298,2)</f>
        <v/>
      </c>
    </row>
    <row r="1299">
      <c r="A1299" t="inlineStr">
        <is>
          <t>2022-06-11</t>
        </is>
      </c>
      <c r="B1299" t="n">
        <v>15</v>
      </c>
      <c r="C1299" t="n">
        <v>2981</v>
      </c>
      <c r="D1299" s="6" t="n">
        <v>165.2</v>
      </c>
      <c r="E1299" s="6" t="n">
        <v>1068179.13</v>
      </c>
      <c r="F1299" s="6">
        <f>ROUND(E1299-E1298,2)</f>
        <v/>
      </c>
      <c r="G1299" s="6">
        <f>ROUND(F1299-D1299,2)</f>
        <v/>
      </c>
    </row>
    <row r="1300">
      <c r="A1300" t="inlineStr">
        <is>
          <t>2022-06-11</t>
        </is>
      </c>
      <c r="B1300" t="n">
        <v>16</v>
      </c>
      <c r="C1300" t="n">
        <v>2981</v>
      </c>
      <c r="D1300" s="6" t="n">
        <v>92.7</v>
      </c>
      <c r="E1300" s="6" t="n">
        <v>1068271.83</v>
      </c>
      <c r="F1300" s="6">
        <f>ROUND(E1300-E1299,2)</f>
        <v/>
      </c>
      <c r="G1300" s="6">
        <f>ROUND(F1300-D1300,2)</f>
        <v/>
      </c>
    </row>
    <row r="1301">
      <c r="A1301" t="inlineStr">
        <is>
          <t>2022-06-11</t>
        </is>
      </c>
      <c r="B1301" t="n">
        <v>17</v>
      </c>
      <c r="C1301" t="n">
        <v>2981</v>
      </c>
      <c r="D1301" s="6" t="n">
        <v>93.8</v>
      </c>
      <c r="E1301" s="6" t="n">
        <v>1068365.63</v>
      </c>
      <c r="F1301" s="6">
        <f>ROUND(E1301-E1300,2)</f>
        <v/>
      </c>
      <c r="G1301" s="6">
        <f>ROUND(F1301-D1301,2)</f>
        <v/>
      </c>
    </row>
    <row r="1302">
      <c r="A1302" t="inlineStr">
        <is>
          <t>2022-06-11</t>
        </is>
      </c>
      <c r="B1302" t="n">
        <v>18</v>
      </c>
      <c r="C1302" t="n">
        <v>2981</v>
      </c>
      <c r="D1302" s="6" t="n">
        <v>134.6</v>
      </c>
      <c r="E1302" s="6" t="n">
        <v>1068500.23</v>
      </c>
      <c r="F1302" s="6">
        <f>ROUND(E1302-E1301,2)</f>
        <v/>
      </c>
      <c r="G1302" s="6">
        <f>ROUND(F1302-D1302,2)</f>
        <v/>
      </c>
    </row>
    <row r="1303">
      <c r="A1303" t="inlineStr">
        <is>
          <t>2022-06-11</t>
        </is>
      </c>
      <c r="B1303" t="n">
        <v>19</v>
      </c>
      <c r="C1303" t="n">
        <v>2981</v>
      </c>
      <c r="D1303" s="6" t="n">
        <v>100.7</v>
      </c>
      <c r="E1303" s="6" t="n">
        <v>1068600.93</v>
      </c>
      <c r="F1303" s="6">
        <f>ROUND(E1303-E1302,2)</f>
        <v/>
      </c>
      <c r="G1303" s="6">
        <f>ROUND(F1303-D1303,2)</f>
        <v/>
      </c>
    </row>
    <row r="1304">
      <c r="A1304" t="inlineStr">
        <is>
          <t>2022-06-11</t>
        </is>
      </c>
      <c r="B1304" t="n">
        <v>20</v>
      </c>
      <c r="C1304" t="n">
        <v>2981</v>
      </c>
      <c r="D1304" s="6" t="n">
        <v>94.09999999999999</v>
      </c>
      <c r="E1304" s="6" t="n">
        <v>1068695.03</v>
      </c>
      <c r="F1304" s="6">
        <f>ROUND(E1304-E1303,2)</f>
        <v/>
      </c>
      <c r="G1304" s="6">
        <f>ROUND(F1304-D1304,2)</f>
        <v/>
      </c>
    </row>
    <row r="1305">
      <c r="A1305" t="inlineStr">
        <is>
          <t>2022-06-11</t>
        </is>
      </c>
      <c r="B1305" t="n">
        <v>21</v>
      </c>
      <c r="C1305" t="n">
        <v>2981</v>
      </c>
      <c r="D1305" s="6" t="n">
        <v>58.9</v>
      </c>
      <c r="E1305" s="6" t="n">
        <v>1068753.93</v>
      </c>
      <c r="F1305" s="6">
        <f>ROUND(E1305-E1304,2)</f>
        <v/>
      </c>
      <c r="G1305" s="6">
        <f>ROUND(F1305-D1305,2)</f>
        <v/>
      </c>
    </row>
    <row r="1306">
      <c r="A1306" t="inlineStr">
        <is>
          <t>2022-06-11</t>
        </is>
      </c>
      <c r="B1306" t="n">
        <v>22</v>
      </c>
      <c r="C1306" t="n">
        <v>2981</v>
      </c>
      <c r="D1306" s="6" t="n">
        <v>68.2</v>
      </c>
      <c r="E1306" s="6" t="n">
        <v>1068822.13</v>
      </c>
      <c r="F1306" s="6">
        <f>ROUND(E1306-E1305,2)</f>
        <v/>
      </c>
      <c r="G1306" s="6">
        <f>ROUND(F1306-D1306,2)</f>
        <v/>
      </c>
    </row>
    <row r="1307">
      <c r="A1307" t="inlineStr">
        <is>
          <t>2022-06-11</t>
        </is>
      </c>
      <c r="B1307" t="n">
        <v>23</v>
      </c>
      <c r="C1307" t="n">
        <v>2981</v>
      </c>
      <c r="D1307" s="6" t="n">
        <v>41</v>
      </c>
      <c r="E1307" s="6" t="n">
        <v>1068863.13</v>
      </c>
      <c r="F1307" s="6">
        <f>ROUND(E1307-E1306,2)</f>
        <v/>
      </c>
      <c r="G1307" s="6">
        <f>ROUND(F1307-D1307,2)</f>
        <v/>
      </c>
    </row>
    <row r="1308">
      <c r="A1308" t="inlineStr">
        <is>
          <t>2022-06-11</t>
        </is>
      </c>
      <c r="B1308" t="n">
        <v>24</v>
      </c>
      <c r="C1308" t="n">
        <v>2981</v>
      </c>
      <c r="D1308" s="6" t="n">
        <v>67.8</v>
      </c>
      <c r="E1308" s="6" t="n">
        <v>1068930.93</v>
      </c>
      <c r="F1308" s="6">
        <f>ROUND(E1308-E1307,2)</f>
        <v/>
      </c>
      <c r="G1308" s="6">
        <f>ROUND(F1308-D1308,2)</f>
        <v/>
      </c>
    </row>
    <row r="1309">
      <c r="A1309" t="inlineStr">
        <is>
          <t>2022-06-11</t>
        </is>
      </c>
      <c r="B1309" t="n">
        <v>25</v>
      </c>
      <c r="C1309" t="n">
        <v>2981</v>
      </c>
      <c r="D1309" s="6" t="n">
        <v>98.2</v>
      </c>
      <c r="E1309" s="6" t="n">
        <v>1069029.13</v>
      </c>
      <c r="F1309" s="6">
        <f>ROUND(E1309-E1308,2)</f>
        <v/>
      </c>
      <c r="G1309" s="6">
        <f>ROUND(F1309-D1309,2)</f>
        <v/>
      </c>
    </row>
    <row r="1310">
      <c r="A1310" t="inlineStr">
        <is>
          <t>2022-06-11</t>
        </is>
      </c>
      <c r="B1310" t="n">
        <v>26</v>
      </c>
      <c r="C1310" t="n">
        <v>2981</v>
      </c>
      <c r="D1310" s="6" t="n">
        <v>127.65</v>
      </c>
      <c r="E1310" s="6" t="n">
        <v>1069156.78</v>
      </c>
      <c r="F1310" s="6">
        <f>ROUND(E1310-E1309,2)</f>
        <v/>
      </c>
      <c r="G1310" s="6">
        <f>ROUND(F1310-D1310,2)</f>
        <v/>
      </c>
    </row>
    <row r="1311">
      <c r="A1311" t="inlineStr">
        <is>
          <t>2022-06-11</t>
        </is>
      </c>
      <c r="B1311" t="n">
        <v>27</v>
      </c>
      <c r="C1311" t="n">
        <v>2981</v>
      </c>
      <c r="D1311" s="6" t="n">
        <v>89.5</v>
      </c>
      <c r="E1311" s="6" t="n">
        <v>1069246.28</v>
      </c>
      <c r="F1311" s="6">
        <f>ROUND(E1311-E1310,2)</f>
        <v/>
      </c>
      <c r="G1311" s="6">
        <f>ROUND(F1311-D1311,2)</f>
        <v/>
      </c>
    </row>
    <row r="1312">
      <c r="A1312" t="inlineStr">
        <is>
          <t>2022-06-11</t>
        </is>
      </c>
      <c r="B1312" t="n">
        <v>28</v>
      </c>
      <c r="C1312" t="n">
        <v>2981</v>
      </c>
      <c r="D1312" s="6" t="n">
        <v>79.3</v>
      </c>
      <c r="E1312" s="6" t="n">
        <v>1069325.58</v>
      </c>
      <c r="F1312" s="6">
        <f>ROUND(E1312-E1311,2)</f>
        <v/>
      </c>
      <c r="G1312" s="6">
        <f>ROUND(F1312-D1312,2)</f>
        <v/>
      </c>
    </row>
    <row r="1313">
      <c r="A1313" t="inlineStr">
        <is>
          <t>2022-06-12</t>
        </is>
      </c>
      <c r="B1313" t="n">
        <v>1</v>
      </c>
      <c r="C1313" t="n">
        <v>2982</v>
      </c>
      <c r="D1313" s="6" t="n">
        <v>34.4</v>
      </c>
      <c r="E1313" s="6" t="n">
        <v>1069359.98</v>
      </c>
      <c r="F1313" s="6">
        <f>ROUND(E1313-E1312,2)</f>
        <v/>
      </c>
      <c r="G1313" s="6">
        <f>ROUND(F1313-D1313,2)</f>
        <v/>
      </c>
    </row>
    <row r="1314">
      <c r="A1314" t="inlineStr">
        <is>
          <t>2022-06-12</t>
        </is>
      </c>
      <c r="B1314" t="n">
        <v>2</v>
      </c>
      <c r="C1314" t="n">
        <v>2982</v>
      </c>
      <c r="D1314" s="6" t="n">
        <v>124.8</v>
      </c>
      <c r="E1314" s="6" t="n">
        <v>1069484.78</v>
      </c>
      <c r="F1314" s="6">
        <f>ROUND(E1314-E1313,2)</f>
        <v/>
      </c>
      <c r="G1314" s="6">
        <f>ROUND(F1314-D1314,2)</f>
        <v/>
      </c>
    </row>
    <row r="1315">
      <c r="A1315" t="inlineStr">
        <is>
          <t>2022-06-12</t>
        </is>
      </c>
      <c r="B1315" t="n">
        <v>3</v>
      </c>
      <c r="C1315" t="n">
        <v>2982</v>
      </c>
      <c r="D1315" s="6" t="n">
        <v>88.59999999999999</v>
      </c>
      <c r="E1315" s="6" t="n">
        <v>1069573.38</v>
      </c>
      <c r="F1315" s="6">
        <f>ROUND(E1315-E1314,2)</f>
        <v/>
      </c>
      <c r="G1315" s="6">
        <f>ROUND(F1315-D1315,2)</f>
        <v/>
      </c>
    </row>
    <row r="1316">
      <c r="A1316" t="inlineStr">
        <is>
          <t>2022-06-12</t>
        </is>
      </c>
      <c r="B1316" t="n">
        <v>4</v>
      </c>
      <c r="C1316" t="n">
        <v>2982</v>
      </c>
      <c r="D1316" s="6" t="n">
        <v>39.1</v>
      </c>
      <c r="E1316" s="6" t="n">
        <v>1069612.48</v>
      </c>
      <c r="F1316" s="6">
        <f>ROUND(E1316-E1315,2)</f>
        <v/>
      </c>
      <c r="G1316" s="6">
        <f>ROUND(F1316-D1316,2)</f>
        <v/>
      </c>
    </row>
    <row r="1317">
      <c r="A1317" t="inlineStr">
        <is>
          <t>2022-06-12</t>
        </is>
      </c>
      <c r="B1317" t="n">
        <v>5</v>
      </c>
      <c r="C1317" t="n">
        <v>2982</v>
      </c>
      <c r="D1317" s="6" t="n">
        <v>96.8</v>
      </c>
      <c r="E1317" s="6" t="n">
        <v>1069709.28</v>
      </c>
      <c r="F1317" s="6">
        <f>ROUND(E1317-E1316,2)</f>
        <v/>
      </c>
      <c r="G1317" s="6">
        <f>ROUND(F1317-D1317,2)</f>
        <v/>
      </c>
    </row>
    <row r="1318">
      <c r="A1318" t="inlineStr">
        <is>
          <t>2022-06-12</t>
        </is>
      </c>
      <c r="B1318" t="n">
        <v>6</v>
      </c>
      <c r="C1318" t="n">
        <v>2982</v>
      </c>
      <c r="D1318" s="6" t="n">
        <v>54.2</v>
      </c>
      <c r="E1318" s="6" t="n">
        <v>1069763.48</v>
      </c>
      <c r="F1318" s="6">
        <f>ROUND(E1318-E1317,2)</f>
        <v/>
      </c>
      <c r="G1318" s="6">
        <f>ROUND(F1318-D1318,2)</f>
        <v/>
      </c>
    </row>
    <row r="1319">
      <c r="A1319" t="inlineStr">
        <is>
          <t>2022-06-12</t>
        </is>
      </c>
      <c r="B1319" t="n">
        <v>7</v>
      </c>
      <c r="C1319" t="n">
        <v>2982</v>
      </c>
      <c r="D1319" s="6" t="n">
        <v>80.09999999999999</v>
      </c>
      <c r="E1319" s="6" t="n">
        <v>1069843.58</v>
      </c>
      <c r="F1319" s="6">
        <f>ROUND(E1319-E1318,2)</f>
        <v/>
      </c>
      <c r="G1319" s="6">
        <f>ROUND(F1319-D1319,2)</f>
        <v/>
      </c>
    </row>
    <row r="1320">
      <c r="A1320" t="inlineStr">
        <is>
          <t>2022-06-12</t>
        </is>
      </c>
      <c r="B1320" t="n">
        <v>8</v>
      </c>
      <c r="C1320" t="n">
        <v>2982</v>
      </c>
      <c r="D1320" s="6" t="n">
        <v>87.2</v>
      </c>
      <c r="E1320" s="6" t="n">
        <v>1069930.78</v>
      </c>
      <c r="F1320" s="6">
        <f>ROUND(E1320-E1319,2)</f>
        <v/>
      </c>
      <c r="G1320" s="6">
        <f>ROUND(F1320-D1320,2)</f>
        <v/>
      </c>
    </row>
    <row r="1321">
      <c r="A1321" t="inlineStr">
        <is>
          <t>2022-06-12</t>
        </is>
      </c>
      <c r="B1321" t="n">
        <v>9</v>
      </c>
      <c r="C1321" t="n">
        <v>2982</v>
      </c>
      <c r="D1321" s="6" t="n">
        <v>86</v>
      </c>
      <c r="E1321" s="6" t="n">
        <v>1070016.78</v>
      </c>
      <c r="F1321" s="6">
        <f>ROUND(E1321-E1320,2)</f>
        <v/>
      </c>
      <c r="G1321" s="6">
        <f>ROUND(F1321-D1321,2)</f>
        <v/>
      </c>
    </row>
    <row r="1322">
      <c r="A1322" t="inlineStr">
        <is>
          <t>2022-06-12</t>
        </is>
      </c>
      <c r="B1322" t="n">
        <v>10</v>
      </c>
      <c r="C1322" t="n">
        <v>2982</v>
      </c>
      <c r="D1322" s="6" t="n">
        <v>105.1</v>
      </c>
      <c r="E1322" s="6" t="n">
        <v>1070121.88</v>
      </c>
      <c r="F1322" s="6">
        <f>ROUND(E1322-E1321,2)</f>
        <v/>
      </c>
      <c r="G1322" s="6">
        <f>ROUND(F1322-D1322,2)</f>
        <v/>
      </c>
    </row>
    <row r="1323">
      <c r="A1323" t="inlineStr">
        <is>
          <t>2022-06-12</t>
        </is>
      </c>
      <c r="B1323" t="n">
        <v>11</v>
      </c>
      <c r="C1323" t="n">
        <v>2982</v>
      </c>
      <c r="D1323" s="6" t="n">
        <v>194.2</v>
      </c>
      <c r="E1323" s="6" t="n">
        <v>1070316.08</v>
      </c>
      <c r="F1323" s="6">
        <f>ROUND(E1323-E1322,2)</f>
        <v/>
      </c>
      <c r="G1323" s="6">
        <f>ROUND(F1323-D1323,2)</f>
        <v/>
      </c>
    </row>
    <row r="1324">
      <c r="A1324" t="inlineStr">
        <is>
          <t>2022-06-12</t>
        </is>
      </c>
      <c r="B1324" t="n">
        <v>12</v>
      </c>
      <c r="C1324" t="n">
        <v>2982</v>
      </c>
      <c r="D1324" s="6" t="n">
        <v>93.2</v>
      </c>
      <c r="E1324" s="6" t="n">
        <v>1070409.28</v>
      </c>
      <c r="F1324" s="6">
        <f>ROUND(E1324-E1323,2)</f>
        <v/>
      </c>
      <c r="G1324" s="6">
        <f>ROUND(F1324-D1324,2)</f>
        <v/>
      </c>
    </row>
    <row r="1325">
      <c r="A1325" t="inlineStr">
        <is>
          <t>2022-06-12</t>
        </is>
      </c>
      <c r="B1325" t="n">
        <v>13</v>
      </c>
      <c r="C1325" t="n">
        <v>2982</v>
      </c>
      <c r="D1325" s="6" t="n">
        <v>42.4</v>
      </c>
      <c r="E1325" s="6" t="n">
        <v>1070451.68</v>
      </c>
      <c r="F1325" s="6">
        <f>ROUND(E1325-E1324,2)</f>
        <v/>
      </c>
      <c r="G1325" s="6">
        <f>ROUND(F1325-D1325,2)</f>
        <v/>
      </c>
    </row>
    <row r="1326">
      <c r="A1326" t="inlineStr">
        <is>
          <t>2022-06-12</t>
        </is>
      </c>
      <c r="B1326" t="n">
        <v>14</v>
      </c>
      <c r="C1326" t="n">
        <v>2982</v>
      </c>
      <c r="D1326" s="6" t="n">
        <v>18.5</v>
      </c>
      <c r="E1326" s="6" t="n">
        <v>1070470.18</v>
      </c>
      <c r="F1326" s="6">
        <f>ROUND(E1326-E1325,2)</f>
        <v/>
      </c>
      <c r="G1326" s="6">
        <f>ROUND(F1326-D1326,2)</f>
        <v/>
      </c>
    </row>
    <row r="1327">
      <c r="A1327" t="inlineStr">
        <is>
          <t>2022-06-12</t>
        </is>
      </c>
      <c r="B1327" t="n">
        <v>15</v>
      </c>
      <c r="C1327" t="n">
        <v>2982</v>
      </c>
      <c r="D1327" s="6" t="n">
        <v>38.2</v>
      </c>
      <c r="E1327" s="6" t="n">
        <v>1070508.38</v>
      </c>
      <c r="F1327" s="6">
        <f>ROUND(E1327-E1326,2)</f>
        <v/>
      </c>
      <c r="G1327" s="6">
        <f>ROUND(F1327-D1327,2)</f>
        <v/>
      </c>
    </row>
    <row r="1328">
      <c r="A1328" t="inlineStr">
        <is>
          <t>2022-06-12</t>
        </is>
      </c>
      <c r="B1328" t="n">
        <v>16</v>
      </c>
      <c r="C1328" t="n">
        <v>2982</v>
      </c>
      <c r="D1328" s="6" t="n">
        <v>37.6</v>
      </c>
      <c r="E1328" s="6" t="n">
        <v>1070545.98</v>
      </c>
      <c r="F1328" s="6">
        <f>ROUND(E1328-E1327,2)</f>
        <v/>
      </c>
      <c r="G1328" s="6">
        <f>ROUND(F1328-D1328,2)</f>
        <v/>
      </c>
    </row>
    <row r="1329">
      <c r="A1329" t="inlineStr">
        <is>
          <t>2022-06-12</t>
        </is>
      </c>
      <c r="B1329" t="n">
        <v>17</v>
      </c>
      <c r="C1329" t="n">
        <v>2982</v>
      </c>
      <c r="D1329" s="6" t="n">
        <v>65.3</v>
      </c>
      <c r="E1329" s="6" t="n">
        <v>1070611.28</v>
      </c>
      <c r="F1329" s="6">
        <f>ROUND(E1329-E1328,2)</f>
        <v/>
      </c>
      <c r="G1329" s="6">
        <f>ROUND(F1329-D1329,2)</f>
        <v/>
      </c>
    </row>
    <row r="1330">
      <c r="A1330" t="inlineStr">
        <is>
          <t>2022-06-12</t>
        </is>
      </c>
      <c r="B1330" t="n">
        <v>18</v>
      </c>
      <c r="C1330" t="n">
        <v>2982</v>
      </c>
      <c r="D1330" s="6" t="n">
        <v>70.8</v>
      </c>
      <c r="E1330" s="6" t="n">
        <v>1070682.08</v>
      </c>
      <c r="F1330" s="6">
        <f>ROUND(E1330-E1329,2)</f>
        <v/>
      </c>
      <c r="G1330" s="6">
        <f>ROUND(F1330-D1330,2)</f>
        <v/>
      </c>
    </row>
    <row r="1331">
      <c r="A1331" t="inlineStr">
        <is>
          <t>2022-06-12</t>
        </is>
      </c>
      <c r="B1331" t="n">
        <v>19</v>
      </c>
      <c r="C1331" t="n">
        <v>2982</v>
      </c>
      <c r="D1331" s="6" t="n">
        <v>91.90000000000001</v>
      </c>
      <c r="E1331" s="6" t="n">
        <v>1070773.98</v>
      </c>
      <c r="F1331" s="6">
        <f>ROUND(E1331-E1330,2)</f>
        <v/>
      </c>
      <c r="G1331" s="6">
        <f>ROUND(F1331-D1331,2)</f>
        <v/>
      </c>
    </row>
    <row r="1332">
      <c r="A1332" t="inlineStr">
        <is>
          <t>2022-06-12</t>
        </is>
      </c>
      <c r="B1332" t="n">
        <v>20</v>
      </c>
      <c r="C1332" t="n">
        <v>2982</v>
      </c>
      <c r="D1332" s="6" t="n">
        <v>48.2</v>
      </c>
      <c r="E1332" s="6" t="n">
        <v>1070822.18</v>
      </c>
      <c r="F1332" s="6">
        <f>ROUND(E1332-E1331,2)</f>
        <v/>
      </c>
      <c r="G1332" s="6">
        <f>ROUND(F1332-D1332,2)</f>
        <v/>
      </c>
    </row>
    <row r="1333">
      <c r="A1333" t="inlineStr">
        <is>
          <t>2022-06-12</t>
        </is>
      </c>
      <c r="B1333" t="n">
        <v>21</v>
      </c>
      <c r="C1333" t="n">
        <v>2982</v>
      </c>
      <c r="D1333" s="6" t="n">
        <v>19.9</v>
      </c>
      <c r="E1333" s="6" t="n">
        <v>1070842.08</v>
      </c>
      <c r="F1333" s="6">
        <f>ROUND(E1333-E1332,2)</f>
        <v/>
      </c>
      <c r="G1333" s="6">
        <f>ROUND(F1333-D1333,2)</f>
        <v/>
      </c>
    </row>
    <row r="1334">
      <c r="A1334" t="inlineStr">
        <is>
          <t>2022-06-12</t>
        </is>
      </c>
      <c r="B1334" t="n">
        <v>22</v>
      </c>
      <c r="C1334" t="n">
        <v>2982</v>
      </c>
      <c r="D1334" s="6" t="n">
        <v>15.9</v>
      </c>
      <c r="E1334" s="6" t="n">
        <v>1070857.98</v>
      </c>
      <c r="F1334" s="6">
        <f>ROUND(E1334-E1333,2)</f>
        <v/>
      </c>
      <c r="G1334" s="6">
        <f>ROUND(F1334-D1334,2)</f>
        <v/>
      </c>
    </row>
    <row r="1335">
      <c r="A1335" t="inlineStr">
        <is>
          <t>2022-06-12</t>
        </is>
      </c>
      <c r="B1335" t="n">
        <v>23</v>
      </c>
      <c r="C1335" t="n">
        <v>2982</v>
      </c>
      <c r="D1335" s="6" t="n">
        <v>69.59999999999999</v>
      </c>
      <c r="E1335" s="6" t="n">
        <v>1070927.58</v>
      </c>
      <c r="F1335" s="6">
        <f>ROUND(E1335-E1334,2)</f>
        <v/>
      </c>
      <c r="G1335" s="6">
        <f>ROUND(F1335-D1335,2)</f>
        <v/>
      </c>
    </row>
    <row r="1336">
      <c r="A1336" t="inlineStr">
        <is>
          <t>2022-06-12</t>
        </is>
      </c>
      <c r="B1336" t="n">
        <v>24</v>
      </c>
      <c r="C1336" t="n">
        <v>2982</v>
      </c>
      <c r="D1336" s="6" t="n">
        <v>98.3</v>
      </c>
      <c r="E1336" s="6" t="n">
        <v>1071025.88</v>
      </c>
      <c r="F1336" s="6">
        <f>ROUND(E1336-E1335,2)</f>
        <v/>
      </c>
      <c r="G1336" s="6">
        <f>ROUND(F1336-D1336,2)</f>
        <v/>
      </c>
    </row>
    <row r="1337">
      <c r="A1337" t="inlineStr">
        <is>
          <t>2022-06-12</t>
        </is>
      </c>
      <c r="B1337" t="n">
        <v>25</v>
      </c>
      <c r="C1337" t="n">
        <v>2982</v>
      </c>
      <c r="D1337" s="6" t="n">
        <v>172.9</v>
      </c>
      <c r="E1337" s="6" t="n">
        <v>1071198.78</v>
      </c>
      <c r="F1337" s="6">
        <f>ROUND(E1337-E1336,2)</f>
        <v/>
      </c>
      <c r="G1337" s="6">
        <f>ROUND(F1337-D1337,2)</f>
        <v/>
      </c>
    </row>
    <row r="1338">
      <c r="A1338" t="inlineStr">
        <is>
          <t>2022-06-12</t>
        </is>
      </c>
      <c r="B1338" t="n">
        <v>26</v>
      </c>
      <c r="C1338" t="n">
        <v>2982</v>
      </c>
      <c r="D1338" s="6" t="n">
        <v>145.3</v>
      </c>
      <c r="E1338" s="6" t="n">
        <v>1071344.08</v>
      </c>
      <c r="F1338" s="6">
        <f>ROUND(E1338-E1337,2)</f>
        <v/>
      </c>
      <c r="G1338" s="6">
        <f>ROUND(F1338-D1338,2)</f>
        <v/>
      </c>
    </row>
    <row r="1339">
      <c r="A1339" t="inlineStr">
        <is>
          <t>2022-06-12</t>
        </is>
      </c>
      <c r="B1339" t="n">
        <v>27</v>
      </c>
      <c r="C1339" t="n">
        <v>2982</v>
      </c>
      <c r="D1339" s="6" t="n">
        <v>45.6</v>
      </c>
      <c r="E1339" s="6" t="n">
        <v>1071389.68</v>
      </c>
      <c r="F1339" s="6">
        <f>ROUND(E1339-E1338,2)</f>
        <v/>
      </c>
      <c r="G1339" s="6">
        <f>ROUND(F1339-D1339,2)</f>
        <v/>
      </c>
    </row>
    <row r="1340">
      <c r="A1340" t="inlineStr">
        <is>
          <t>2022-06-12</t>
        </is>
      </c>
      <c r="B1340" t="n">
        <v>28</v>
      </c>
      <c r="C1340" t="n">
        <v>2982</v>
      </c>
      <c r="D1340" s="6" t="n">
        <v>69</v>
      </c>
      <c r="E1340" s="6" t="n">
        <v>1071458.68</v>
      </c>
      <c r="F1340" s="6">
        <f>ROUND(E1340-E1339,2)</f>
        <v/>
      </c>
      <c r="G1340" s="6">
        <f>ROUND(F1340-D1340,2)</f>
        <v/>
      </c>
    </row>
    <row r="1341">
      <c r="A1341" t="inlineStr">
        <is>
          <t>2022-06-15</t>
        </is>
      </c>
      <c r="B1341" t="n">
        <v>1</v>
      </c>
      <c r="C1341" t="n">
        <v>2983</v>
      </c>
      <c r="D1341" s="6" t="n">
        <v>51.6</v>
      </c>
      <c r="E1341" s="6" t="n">
        <v>1071510.28</v>
      </c>
      <c r="F1341" s="6">
        <f>ROUND(E1341-E1340,2)</f>
        <v/>
      </c>
      <c r="G1341" s="6">
        <f>ROUND(F1341-D1341,2)</f>
        <v/>
      </c>
    </row>
    <row r="1342">
      <c r="A1342" t="inlineStr">
        <is>
          <t>2022-06-15</t>
        </is>
      </c>
      <c r="B1342" t="n">
        <v>2</v>
      </c>
      <c r="C1342" t="n">
        <v>2983</v>
      </c>
      <c r="D1342" s="6" t="n">
        <v>56</v>
      </c>
      <c r="E1342" s="6" t="n">
        <v>1071566.28</v>
      </c>
      <c r="F1342" s="6">
        <f>ROUND(E1342-E1341,2)</f>
        <v/>
      </c>
      <c r="G1342" s="6">
        <f>ROUND(F1342-D1342,2)</f>
        <v/>
      </c>
    </row>
    <row r="1343">
      <c r="A1343" t="inlineStr">
        <is>
          <t>2022-06-15</t>
        </is>
      </c>
      <c r="B1343" t="n">
        <v>3</v>
      </c>
      <c r="C1343" t="n">
        <v>2983</v>
      </c>
      <c r="D1343" s="6" t="n">
        <v>50</v>
      </c>
      <c r="E1343" s="6" t="n">
        <v>1071616.28</v>
      </c>
      <c r="F1343" s="6">
        <f>ROUND(E1343-E1342,2)</f>
        <v/>
      </c>
      <c r="G1343" s="6">
        <f>ROUND(F1343-D1343,2)</f>
        <v/>
      </c>
    </row>
    <row r="1344">
      <c r="A1344" t="inlineStr">
        <is>
          <t>2022-06-15</t>
        </is>
      </c>
      <c r="B1344" t="n">
        <v>4</v>
      </c>
      <c r="C1344" t="n">
        <v>2983</v>
      </c>
      <c r="D1344" s="6" t="n">
        <v>58.8</v>
      </c>
      <c r="E1344" s="6" t="n">
        <v>1071675.08</v>
      </c>
      <c r="F1344" s="6">
        <f>ROUND(E1344-E1343,2)</f>
        <v/>
      </c>
      <c r="G1344" s="6">
        <f>ROUND(F1344-D1344,2)</f>
        <v/>
      </c>
    </row>
    <row r="1345">
      <c r="A1345" t="inlineStr">
        <is>
          <t>2022-06-15</t>
        </is>
      </c>
      <c r="B1345" t="n">
        <v>5</v>
      </c>
      <c r="C1345" t="n">
        <v>2983</v>
      </c>
      <c r="D1345" s="6" t="n">
        <v>68.5</v>
      </c>
      <c r="E1345" s="6" t="n">
        <v>1071743.58</v>
      </c>
      <c r="F1345" s="6">
        <f>ROUND(E1345-E1344,2)</f>
        <v/>
      </c>
      <c r="G1345" s="6">
        <f>ROUND(F1345-D1345,2)</f>
        <v/>
      </c>
    </row>
    <row r="1346">
      <c r="A1346" t="inlineStr">
        <is>
          <t>2022-06-15</t>
        </is>
      </c>
      <c r="B1346" t="n">
        <v>6</v>
      </c>
      <c r="C1346" t="n">
        <v>2983</v>
      </c>
      <c r="D1346" s="6" t="n">
        <v>35.25</v>
      </c>
      <c r="E1346" s="6" t="n">
        <v>1071778.83</v>
      </c>
      <c r="F1346" s="6">
        <f>ROUND(E1346-E1345,2)</f>
        <v/>
      </c>
      <c r="G1346" s="6">
        <f>ROUND(F1346-D1346,2)</f>
        <v/>
      </c>
    </row>
    <row r="1347">
      <c r="A1347" t="inlineStr">
        <is>
          <t>2022-06-15</t>
        </is>
      </c>
      <c r="B1347" t="n">
        <v>7</v>
      </c>
      <c r="C1347" t="n">
        <v>2983</v>
      </c>
      <c r="D1347" s="6" t="n">
        <v>35.25</v>
      </c>
      <c r="E1347" s="6" t="n">
        <v>1071814.08</v>
      </c>
      <c r="F1347" s="6">
        <f>ROUND(E1347-E1346,2)</f>
        <v/>
      </c>
      <c r="G1347" s="6">
        <f>ROUND(F1347-D1347,2)</f>
        <v/>
      </c>
    </row>
    <row r="1348">
      <c r="A1348" t="inlineStr">
        <is>
          <t>2022-06-15</t>
        </is>
      </c>
      <c r="B1348" t="n">
        <v>8</v>
      </c>
      <c r="C1348" t="n">
        <v>2983</v>
      </c>
      <c r="D1348" s="6" t="n">
        <v>60.8</v>
      </c>
      <c r="E1348" s="6" t="n">
        <v>1071874.88</v>
      </c>
      <c r="F1348" s="6">
        <f>ROUND(E1348-E1347,2)</f>
        <v/>
      </c>
      <c r="G1348" s="6">
        <f>ROUND(F1348-D1348,2)</f>
        <v/>
      </c>
    </row>
    <row r="1349">
      <c r="A1349" t="inlineStr">
        <is>
          <t>2022-06-15</t>
        </is>
      </c>
      <c r="B1349" t="n">
        <v>9</v>
      </c>
      <c r="C1349" t="n">
        <v>2983</v>
      </c>
      <c r="D1349" s="6" t="n">
        <v>112.5</v>
      </c>
      <c r="E1349" s="6" t="n">
        <v>1071987.38</v>
      </c>
      <c r="F1349" s="6">
        <f>ROUND(E1349-E1348,2)</f>
        <v/>
      </c>
      <c r="G1349" s="6">
        <f>ROUND(F1349-D1349,2)</f>
        <v/>
      </c>
    </row>
    <row r="1350">
      <c r="A1350" t="inlineStr">
        <is>
          <t>2022-06-15</t>
        </is>
      </c>
      <c r="B1350" t="n">
        <v>10</v>
      </c>
      <c r="C1350" t="n">
        <v>2983</v>
      </c>
      <c r="D1350" s="6" t="n">
        <v>71.7</v>
      </c>
      <c r="E1350" s="6" t="n">
        <v>1072059.08</v>
      </c>
      <c r="F1350" s="6">
        <f>ROUND(E1350-E1349,2)</f>
        <v/>
      </c>
      <c r="G1350" s="6">
        <f>ROUND(F1350-D1350,2)</f>
        <v/>
      </c>
    </row>
    <row r="1351">
      <c r="A1351" t="inlineStr">
        <is>
          <t>2022-06-15</t>
        </is>
      </c>
      <c r="B1351" t="n">
        <v>11</v>
      </c>
      <c r="C1351" t="n">
        <v>2983</v>
      </c>
      <c r="D1351" s="6" t="n">
        <v>81</v>
      </c>
      <c r="E1351" s="6" t="n">
        <v>1072140.08</v>
      </c>
      <c r="F1351" s="6">
        <f>ROUND(E1351-E1350,2)</f>
        <v/>
      </c>
      <c r="G1351" s="6">
        <f>ROUND(F1351-D1351,2)</f>
        <v/>
      </c>
    </row>
    <row r="1352">
      <c r="A1352" t="inlineStr">
        <is>
          <t>2022-06-15</t>
        </is>
      </c>
      <c r="B1352" t="n">
        <v>12</v>
      </c>
      <c r="C1352" t="n">
        <v>2983</v>
      </c>
      <c r="D1352" s="6" t="n">
        <v>50.6</v>
      </c>
      <c r="E1352" s="6" t="n">
        <v>1072190.68</v>
      </c>
      <c r="F1352" s="6">
        <f>ROUND(E1352-E1351,2)</f>
        <v/>
      </c>
      <c r="G1352" s="6">
        <f>ROUND(F1352-D1352,2)</f>
        <v/>
      </c>
    </row>
    <row r="1353">
      <c r="A1353" t="inlineStr">
        <is>
          <t>2022-06-15</t>
        </is>
      </c>
      <c r="B1353" t="n">
        <v>13</v>
      </c>
      <c r="C1353" t="n">
        <v>2983</v>
      </c>
      <c r="D1353" s="6" t="n">
        <v>62.2</v>
      </c>
      <c r="E1353" s="6" t="n">
        <v>1072252.88</v>
      </c>
      <c r="F1353" s="6">
        <f>ROUND(E1353-E1352,2)</f>
        <v/>
      </c>
      <c r="G1353" s="6">
        <f>ROUND(F1353-D1353,2)</f>
        <v/>
      </c>
    </row>
    <row r="1354">
      <c r="A1354" t="inlineStr">
        <is>
          <t>2022-06-15</t>
        </is>
      </c>
      <c r="B1354" t="n">
        <v>14</v>
      </c>
      <c r="C1354" t="n">
        <v>2983</v>
      </c>
      <c r="D1354" s="6" t="n">
        <v>88.40000000000001</v>
      </c>
      <c r="E1354" s="6" t="n">
        <v>1072341.28</v>
      </c>
      <c r="F1354" s="6">
        <f>ROUND(E1354-E1353,2)</f>
        <v/>
      </c>
      <c r="G1354" s="6">
        <f>ROUND(F1354-D1354,2)</f>
        <v/>
      </c>
    </row>
    <row r="1355">
      <c r="A1355" t="inlineStr">
        <is>
          <t>2022-06-15</t>
        </is>
      </c>
      <c r="B1355" t="n">
        <v>15</v>
      </c>
      <c r="C1355" t="n">
        <v>2983</v>
      </c>
      <c r="D1355" s="6" t="n">
        <v>34.1</v>
      </c>
      <c r="E1355" s="6" t="n">
        <v>1072375.38</v>
      </c>
      <c r="F1355" s="6">
        <f>ROUND(E1355-E1354,2)</f>
        <v/>
      </c>
      <c r="G1355" s="6">
        <f>ROUND(F1355-D1355,2)</f>
        <v/>
      </c>
    </row>
    <row r="1356">
      <c r="A1356" t="inlineStr">
        <is>
          <t>2022-06-15</t>
        </is>
      </c>
      <c r="B1356" t="n">
        <v>16</v>
      </c>
      <c r="C1356" t="n">
        <v>2983</v>
      </c>
      <c r="D1356" s="6" t="n">
        <v>64.09999999999999</v>
      </c>
      <c r="E1356" s="6" t="n">
        <v>1072439.48</v>
      </c>
      <c r="F1356" s="6">
        <f>ROUND(E1356-E1355,2)</f>
        <v/>
      </c>
      <c r="G1356" s="6">
        <f>ROUND(F1356-D1356,2)</f>
        <v/>
      </c>
    </row>
    <row r="1357">
      <c r="A1357" t="inlineStr">
        <is>
          <t>2022-06-15</t>
        </is>
      </c>
      <c r="B1357" t="n">
        <v>17</v>
      </c>
      <c r="C1357" t="n">
        <v>2983</v>
      </c>
      <c r="D1357" s="6" t="n">
        <v>81</v>
      </c>
      <c r="E1357" s="6" t="n">
        <v>1072520.48</v>
      </c>
      <c r="F1357" s="6">
        <f>ROUND(E1357-E1356,2)</f>
        <v/>
      </c>
      <c r="G1357" s="6">
        <f>ROUND(F1357-D1357,2)</f>
        <v/>
      </c>
    </row>
    <row r="1358">
      <c r="A1358" t="inlineStr">
        <is>
          <t>2022-06-15</t>
        </is>
      </c>
      <c r="B1358" t="n">
        <v>18</v>
      </c>
      <c r="C1358" t="n">
        <v>2983</v>
      </c>
      <c r="D1358" s="6" t="n">
        <v>87.09999999999999</v>
      </c>
      <c r="E1358" s="6" t="n">
        <v>1072607.58</v>
      </c>
      <c r="F1358" s="6">
        <f>ROUND(E1358-E1357,2)</f>
        <v/>
      </c>
      <c r="G1358" s="6">
        <f>ROUND(F1358-D1358,2)</f>
        <v/>
      </c>
    </row>
    <row r="1359">
      <c r="A1359" t="inlineStr">
        <is>
          <t>2022-06-15</t>
        </is>
      </c>
      <c r="B1359" t="n">
        <v>19</v>
      </c>
      <c r="C1359" t="n">
        <v>2983</v>
      </c>
      <c r="D1359" s="6" t="n">
        <v>80.59999999999999</v>
      </c>
      <c r="E1359" s="6" t="n">
        <v>1072688.18</v>
      </c>
      <c r="F1359" s="6">
        <f>ROUND(E1359-E1358,2)</f>
        <v/>
      </c>
      <c r="G1359" s="6">
        <f>ROUND(F1359-D1359,2)</f>
        <v/>
      </c>
    </row>
    <row r="1360">
      <c r="A1360" t="inlineStr">
        <is>
          <t>2022-06-15</t>
        </is>
      </c>
      <c r="B1360" t="n">
        <v>20</v>
      </c>
      <c r="C1360" t="n">
        <v>2983</v>
      </c>
      <c r="D1360" s="6" t="n">
        <v>89.8</v>
      </c>
      <c r="E1360" s="6" t="n">
        <v>1072777.98</v>
      </c>
      <c r="F1360" s="6">
        <f>ROUND(E1360-E1359,2)</f>
        <v/>
      </c>
      <c r="G1360" s="6">
        <f>ROUND(F1360-D1360,2)</f>
        <v/>
      </c>
    </row>
    <row r="1361">
      <c r="A1361" t="inlineStr">
        <is>
          <t>2022-06-15</t>
        </is>
      </c>
      <c r="B1361" t="n">
        <v>21</v>
      </c>
      <c r="C1361" t="n">
        <v>2983</v>
      </c>
      <c r="D1361" s="6" t="n">
        <v>101.7</v>
      </c>
      <c r="E1361" s="6" t="n">
        <v>1072879.68</v>
      </c>
      <c r="F1361" s="6">
        <f>ROUND(E1361-E1360,2)</f>
        <v/>
      </c>
      <c r="G1361" s="6">
        <f>ROUND(F1361-D1361,2)</f>
        <v/>
      </c>
    </row>
    <row r="1362">
      <c r="A1362" t="inlineStr">
        <is>
          <t>2022-06-15</t>
        </is>
      </c>
      <c r="B1362" t="n">
        <v>22</v>
      </c>
      <c r="C1362" t="n">
        <v>2983</v>
      </c>
      <c r="D1362" s="6" t="n">
        <v>125.6</v>
      </c>
      <c r="E1362" s="6" t="n">
        <v>1073005.28</v>
      </c>
      <c r="F1362" s="6">
        <f>ROUND(E1362-E1361,2)</f>
        <v/>
      </c>
      <c r="G1362" s="6">
        <f>ROUND(F1362-D1362,2)</f>
        <v/>
      </c>
    </row>
    <row r="1363">
      <c r="A1363" t="inlineStr">
        <is>
          <t>2022-06-15</t>
        </is>
      </c>
      <c r="B1363" t="n">
        <v>23</v>
      </c>
      <c r="C1363" t="n">
        <v>2983</v>
      </c>
      <c r="D1363" s="6" t="n">
        <v>46.1</v>
      </c>
      <c r="E1363" s="6" t="n">
        <v>1073051.38</v>
      </c>
      <c r="F1363" s="6">
        <f>ROUND(E1363-E1362,2)</f>
        <v/>
      </c>
      <c r="G1363" s="6">
        <f>ROUND(F1363-D1363,2)</f>
        <v/>
      </c>
    </row>
    <row r="1364">
      <c r="A1364" t="inlineStr">
        <is>
          <t>2022-06-15</t>
        </is>
      </c>
      <c r="B1364" t="n">
        <v>24</v>
      </c>
      <c r="C1364" t="n">
        <v>2983</v>
      </c>
      <c r="D1364" s="6" t="n">
        <v>88</v>
      </c>
      <c r="E1364" s="6" t="n">
        <v>1073139.38</v>
      </c>
      <c r="F1364" s="6">
        <f>ROUND(E1364-E1363,2)</f>
        <v/>
      </c>
      <c r="G1364" s="6">
        <f>ROUND(F1364-D1364,2)</f>
        <v/>
      </c>
    </row>
    <row r="1365">
      <c r="A1365" t="inlineStr">
        <is>
          <t>2022-06-15</t>
        </is>
      </c>
      <c r="B1365" t="n">
        <v>25</v>
      </c>
      <c r="C1365" t="n">
        <v>2983</v>
      </c>
      <c r="D1365" s="6" t="n">
        <v>39.6</v>
      </c>
      <c r="E1365" s="6" t="n">
        <v>1073178.98</v>
      </c>
      <c r="F1365" s="6">
        <f>ROUND(E1365-E1364,2)</f>
        <v/>
      </c>
      <c r="G1365" s="6">
        <f>ROUND(F1365-D1365,2)</f>
        <v/>
      </c>
    </row>
    <row r="1366">
      <c r="A1366" t="inlineStr">
        <is>
          <t>2022-06-15</t>
        </is>
      </c>
      <c r="B1366" t="n">
        <v>26</v>
      </c>
      <c r="C1366" t="n">
        <v>2983</v>
      </c>
      <c r="D1366" s="6" t="n">
        <v>56.1</v>
      </c>
      <c r="E1366" s="6" t="n">
        <v>1073235.08</v>
      </c>
      <c r="F1366" s="6">
        <f>ROUND(E1366-E1365,2)</f>
        <v/>
      </c>
      <c r="G1366" s="6">
        <f>ROUND(F1366-D1366,2)</f>
        <v/>
      </c>
    </row>
    <row r="1367">
      <c r="A1367" t="inlineStr">
        <is>
          <t>2022-06-15</t>
        </is>
      </c>
      <c r="B1367" t="n">
        <v>27</v>
      </c>
      <c r="C1367" t="n">
        <v>2983</v>
      </c>
      <c r="D1367" s="6" t="n">
        <v>44.4</v>
      </c>
      <c r="E1367" s="6" t="n">
        <v>1073279.48</v>
      </c>
      <c r="F1367" s="6">
        <f>ROUND(E1367-E1366,2)</f>
        <v/>
      </c>
      <c r="G1367" s="6">
        <f>ROUND(F1367-D1367,2)</f>
        <v/>
      </c>
    </row>
    <row r="1368">
      <c r="A1368" t="inlineStr">
        <is>
          <t>2022-06-15</t>
        </is>
      </c>
      <c r="B1368" t="n">
        <v>28</v>
      </c>
      <c r="C1368" t="n">
        <v>2983</v>
      </c>
      <c r="D1368" s="6" t="n">
        <v>103.4</v>
      </c>
      <c r="E1368" s="6" t="n">
        <v>1073382.88</v>
      </c>
      <c r="F1368" s="6">
        <f>ROUND(E1368-E1367,2)</f>
        <v/>
      </c>
      <c r="G1368" s="6">
        <f>ROUND(F1368-D1368,2)</f>
        <v/>
      </c>
    </row>
    <row r="1369">
      <c r="A1369" t="inlineStr">
        <is>
          <t>2022-06-15</t>
        </is>
      </c>
      <c r="B1369" t="n">
        <v>29</v>
      </c>
      <c r="C1369" t="n">
        <v>2983</v>
      </c>
      <c r="D1369" s="6" t="n">
        <v>37.2</v>
      </c>
      <c r="E1369" s="6" t="n">
        <v>1073420.08</v>
      </c>
      <c r="F1369" s="6">
        <f>ROUND(E1369-E1368,2)</f>
        <v/>
      </c>
      <c r="G1369" s="6">
        <f>ROUND(F1369-D1369,2)</f>
        <v/>
      </c>
    </row>
    <row r="1370">
      <c r="A1370" t="inlineStr">
        <is>
          <t>2022-06-15</t>
        </is>
      </c>
      <c r="B1370" t="n">
        <v>30</v>
      </c>
      <c r="C1370" t="n">
        <v>2983</v>
      </c>
      <c r="D1370" s="6" t="n">
        <v>37.2</v>
      </c>
      <c r="E1370" s="6" t="n">
        <v>1073457.28</v>
      </c>
      <c r="F1370" s="6">
        <f>ROUND(E1370-E1369,2)</f>
        <v/>
      </c>
      <c r="G1370" s="6">
        <f>ROUND(F1370-D1370,2)</f>
        <v/>
      </c>
    </row>
    <row r="1371">
      <c r="A1371" t="inlineStr">
        <is>
          <t>2022-06-15</t>
        </is>
      </c>
      <c r="B1371" t="n">
        <v>31</v>
      </c>
      <c r="C1371" t="n">
        <v>2983</v>
      </c>
      <c r="D1371" s="6" t="n">
        <v>94.7</v>
      </c>
      <c r="E1371" s="6" t="n">
        <v>1073551.98</v>
      </c>
      <c r="F1371" s="6">
        <f>ROUND(E1371-E1370,2)</f>
        <v/>
      </c>
      <c r="G1371" s="6">
        <f>ROUND(F1371-D1371,2)</f>
        <v/>
      </c>
    </row>
    <row r="1372">
      <c r="A1372" t="inlineStr">
        <is>
          <t>2022-06-16</t>
        </is>
      </c>
      <c r="B1372" t="n">
        <v>1</v>
      </c>
      <c r="C1372" t="n">
        <v>2984</v>
      </c>
      <c r="D1372" s="6" t="n">
        <v>74.3</v>
      </c>
      <c r="E1372" s="6" t="n">
        <v>1073626.28</v>
      </c>
      <c r="F1372" s="6">
        <f>ROUND(E1372-E1371,2)</f>
        <v/>
      </c>
      <c r="G1372" s="6">
        <f>ROUND(F1372-D1372,2)</f>
        <v/>
      </c>
    </row>
    <row r="1373">
      <c r="A1373" t="inlineStr">
        <is>
          <t>2022-06-16</t>
        </is>
      </c>
      <c r="B1373" t="n">
        <v>2</v>
      </c>
      <c r="C1373" t="n">
        <v>2984</v>
      </c>
      <c r="D1373" s="6" t="n">
        <v>67.90000000000001</v>
      </c>
      <c r="E1373" s="6" t="n">
        <v>1073694.18</v>
      </c>
      <c r="F1373" s="6">
        <f>ROUND(E1373-E1372,2)</f>
        <v/>
      </c>
      <c r="G1373" s="6">
        <f>ROUND(F1373-D1373,2)</f>
        <v/>
      </c>
    </row>
    <row r="1374">
      <c r="A1374" t="inlineStr">
        <is>
          <t>2022-06-16</t>
        </is>
      </c>
      <c r="B1374" t="n">
        <v>3</v>
      </c>
      <c r="C1374" t="n">
        <v>2984</v>
      </c>
      <c r="D1374" s="6" t="n">
        <v>21.7</v>
      </c>
      <c r="E1374" s="6" t="n">
        <v>1073715.88</v>
      </c>
      <c r="F1374" s="6">
        <f>ROUND(E1374-E1373,2)</f>
        <v/>
      </c>
      <c r="G1374" s="6">
        <f>ROUND(F1374-D1374,2)</f>
        <v/>
      </c>
    </row>
    <row r="1375">
      <c r="A1375" t="inlineStr">
        <is>
          <t>2022-06-16</t>
        </is>
      </c>
      <c r="B1375" t="n">
        <v>4</v>
      </c>
      <c r="C1375" t="n">
        <v>2984</v>
      </c>
      <c r="D1375" s="6" t="n">
        <v>21.7</v>
      </c>
      <c r="E1375" s="6" t="n">
        <v>1073737.58</v>
      </c>
      <c r="F1375" s="6">
        <f>ROUND(E1375-E1374,2)</f>
        <v/>
      </c>
      <c r="G1375" s="6">
        <f>ROUND(F1375-D1375,2)</f>
        <v/>
      </c>
    </row>
    <row r="1376">
      <c r="A1376" t="inlineStr">
        <is>
          <t>2022-06-16</t>
        </is>
      </c>
      <c r="B1376" t="n">
        <v>5</v>
      </c>
      <c r="C1376" t="n">
        <v>2984</v>
      </c>
      <c r="D1376" s="6" t="n">
        <v>81.09999999999999</v>
      </c>
      <c r="E1376" s="6" t="n">
        <v>1073818.68</v>
      </c>
      <c r="F1376" s="6">
        <f>ROUND(E1376-E1375,2)</f>
        <v/>
      </c>
      <c r="G1376" s="6">
        <f>ROUND(F1376-D1376,2)</f>
        <v/>
      </c>
    </row>
    <row r="1377">
      <c r="A1377" t="inlineStr">
        <is>
          <t>2022-06-16</t>
        </is>
      </c>
      <c r="B1377" t="n">
        <v>6</v>
      </c>
      <c r="C1377" t="n">
        <v>2984</v>
      </c>
      <c r="D1377" s="6" t="n">
        <v>55.5</v>
      </c>
      <c r="E1377" s="6" t="n">
        <v>1073874.18</v>
      </c>
      <c r="F1377" s="6">
        <f>ROUND(E1377-E1376,2)</f>
        <v/>
      </c>
      <c r="G1377" s="6">
        <f>ROUND(F1377-D1377,2)</f>
        <v/>
      </c>
    </row>
    <row r="1378">
      <c r="A1378" t="inlineStr">
        <is>
          <t>2022-06-16</t>
        </is>
      </c>
      <c r="B1378" t="n">
        <v>7</v>
      </c>
      <c r="C1378" t="n">
        <v>2984</v>
      </c>
      <c r="D1378" s="6" t="n">
        <v>55.5</v>
      </c>
      <c r="E1378" s="6" t="n">
        <v>1073929.68</v>
      </c>
      <c r="F1378" s="6">
        <f>ROUND(E1378-E1377,2)</f>
        <v/>
      </c>
      <c r="G1378" s="6">
        <f>ROUND(F1378-D1378,2)</f>
        <v/>
      </c>
    </row>
    <row r="1379">
      <c r="A1379" t="inlineStr">
        <is>
          <t>2022-06-16</t>
        </is>
      </c>
      <c r="B1379" t="n">
        <v>8</v>
      </c>
      <c r="C1379" t="n">
        <v>2984</v>
      </c>
      <c r="D1379" s="6" t="n">
        <v>51.3</v>
      </c>
      <c r="E1379" s="6" t="n">
        <v>1073980.98</v>
      </c>
      <c r="F1379" s="6">
        <f>ROUND(E1379-E1378,2)</f>
        <v/>
      </c>
      <c r="G1379" s="6">
        <f>ROUND(F1379-D1379,2)</f>
        <v/>
      </c>
    </row>
    <row r="1380">
      <c r="A1380" t="inlineStr">
        <is>
          <t>2022-06-16</t>
        </is>
      </c>
      <c r="B1380" t="n">
        <v>9</v>
      </c>
      <c r="C1380" t="n">
        <v>2984</v>
      </c>
      <c r="D1380" s="6" t="n">
        <v>42.2</v>
      </c>
      <c r="E1380" s="6" t="n">
        <v>1074023.18</v>
      </c>
      <c r="F1380" s="6">
        <f>ROUND(E1380-E1379,2)</f>
        <v/>
      </c>
      <c r="G1380" s="6">
        <f>ROUND(F1380-D1380,2)</f>
        <v/>
      </c>
    </row>
    <row r="1381">
      <c r="A1381" t="inlineStr">
        <is>
          <t>2022-06-16</t>
        </is>
      </c>
      <c r="B1381" t="n">
        <v>10</v>
      </c>
      <c r="C1381" t="n">
        <v>2984</v>
      </c>
      <c r="D1381" s="6" t="n">
        <v>82.09999999999999</v>
      </c>
      <c r="E1381" s="6" t="n">
        <v>1074105.28</v>
      </c>
      <c r="F1381" s="6">
        <f>ROUND(E1381-E1380,2)</f>
        <v/>
      </c>
      <c r="G1381" s="6">
        <f>ROUND(F1381-D1381,2)</f>
        <v/>
      </c>
    </row>
    <row r="1382">
      <c r="A1382" t="inlineStr">
        <is>
          <t>2022-06-16</t>
        </is>
      </c>
      <c r="B1382" t="n">
        <v>11</v>
      </c>
      <c r="C1382" t="n">
        <v>2984</v>
      </c>
      <c r="D1382" s="6" t="n">
        <v>29.8</v>
      </c>
      <c r="E1382" s="6" t="n">
        <v>1074135.08</v>
      </c>
      <c r="F1382" s="6">
        <f>ROUND(E1382-E1381,2)</f>
        <v/>
      </c>
      <c r="G1382" s="6">
        <f>ROUND(F1382-D1382,2)</f>
        <v/>
      </c>
    </row>
    <row r="1383">
      <c r="A1383" t="inlineStr">
        <is>
          <t>2022-06-16</t>
        </is>
      </c>
      <c r="B1383" t="n">
        <v>12</v>
      </c>
      <c r="C1383" t="n">
        <v>2984</v>
      </c>
      <c r="D1383" s="6" t="n">
        <v>58.8</v>
      </c>
      <c r="E1383" s="6" t="n">
        <v>1074193.88</v>
      </c>
      <c r="F1383" s="6">
        <f>ROUND(E1383-E1382,2)</f>
        <v/>
      </c>
      <c r="G1383" s="6">
        <f>ROUND(F1383-D1383,2)</f>
        <v/>
      </c>
    </row>
    <row r="1384">
      <c r="A1384" t="inlineStr">
        <is>
          <t>2022-06-16</t>
        </is>
      </c>
      <c r="B1384" t="n">
        <v>13</v>
      </c>
      <c r="C1384" t="n">
        <v>2984</v>
      </c>
      <c r="D1384" s="6" t="n">
        <v>43.6</v>
      </c>
      <c r="E1384" s="6" t="n">
        <v>1074237.48</v>
      </c>
      <c r="F1384" s="6">
        <f>ROUND(E1384-E1383,2)</f>
        <v/>
      </c>
      <c r="G1384" s="6">
        <f>ROUND(F1384-D1384,2)</f>
        <v/>
      </c>
    </row>
    <row r="1385">
      <c r="A1385" t="inlineStr">
        <is>
          <t>2022-06-16</t>
        </is>
      </c>
      <c r="B1385" t="n">
        <v>14</v>
      </c>
      <c r="C1385" t="n">
        <v>2984</v>
      </c>
      <c r="D1385" s="6" t="n">
        <v>30.2</v>
      </c>
      <c r="E1385" s="6" t="n">
        <v>1074267.68</v>
      </c>
      <c r="F1385" s="6">
        <f>ROUND(E1385-E1384,2)</f>
        <v/>
      </c>
      <c r="G1385" s="6">
        <f>ROUND(F1385-D1385,2)</f>
        <v/>
      </c>
    </row>
    <row r="1386">
      <c r="A1386" t="inlineStr">
        <is>
          <t>2022-06-16</t>
        </is>
      </c>
      <c r="B1386" t="n">
        <v>15</v>
      </c>
      <c r="C1386" t="n">
        <v>2984</v>
      </c>
      <c r="D1386" s="6" t="n">
        <v>107.8</v>
      </c>
      <c r="E1386" s="6" t="n">
        <v>1074375.48</v>
      </c>
      <c r="F1386" s="6">
        <f>ROUND(E1386-E1385,2)</f>
        <v/>
      </c>
      <c r="G1386" s="6">
        <f>ROUND(F1386-D1386,2)</f>
        <v/>
      </c>
    </row>
    <row r="1387">
      <c r="A1387" t="inlineStr">
        <is>
          <t>2022-06-16</t>
        </is>
      </c>
      <c r="B1387" t="n">
        <v>16</v>
      </c>
      <c r="C1387" t="n">
        <v>2984</v>
      </c>
      <c r="D1387" s="6" t="n">
        <v>52.3</v>
      </c>
      <c r="E1387" s="6" t="n">
        <v>1074427.78</v>
      </c>
      <c r="F1387" s="6">
        <f>ROUND(E1387-E1386,2)</f>
        <v/>
      </c>
      <c r="G1387" s="6">
        <f>ROUND(F1387-D1387,2)</f>
        <v/>
      </c>
    </row>
    <row r="1388">
      <c r="A1388" t="inlineStr">
        <is>
          <t>2022-06-16</t>
        </is>
      </c>
      <c r="B1388" t="n">
        <v>17</v>
      </c>
      <c r="C1388" t="n">
        <v>2984</v>
      </c>
      <c r="D1388" s="6" t="n">
        <v>48.9</v>
      </c>
      <c r="E1388" s="6" t="n">
        <v>1074476.68</v>
      </c>
      <c r="F1388" s="6">
        <f>ROUND(E1388-E1387,2)</f>
        <v/>
      </c>
      <c r="G1388" s="6">
        <f>ROUND(F1388-D1388,2)</f>
        <v/>
      </c>
    </row>
    <row r="1389">
      <c r="A1389" t="inlineStr">
        <is>
          <t>2022-06-16</t>
        </is>
      </c>
      <c r="B1389" t="n">
        <v>18</v>
      </c>
      <c r="C1389" t="n">
        <v>2984</v>
      </c>
      <c r="D1389" s="6" t="n">
        <v>69</v>
      </c>
      <c r="E1389" s="6" t="n">
        <v>1074545.68</v>
      </c>
      <c r="F1389" s="6">
        <f>ROUND(E1389-E1388,2)</f>
        <v/>
      </c>
      <c r="G1389" s="6">
        <f>ROUND(F1389-D1389,2)</f>
        <v/>
      </c>
    </row>
    <row r="1390">
      <c r="A1390" t="inlineStr">
        <is>
          <t>2022-06-16</t>
        </is>
      </c>
      <c r="B1390" t="n">
        <v>19</v>
      </c>
      <c r="C1390" t="n">
        <v>2984</v>
      </c>
      <c r="D1390" s="6" t="n">
        <v>91</v>
      </c>
      <c r="E1390" s="6" t="n">
        <v>1074636.68</v>
      </c>
      <c r="F1390" s="6">
        <f>ROUND(E1390-E1389,2)</f>
        <v/>
      </c>
      <c r="G1390" s="6">
        <f>ROUND(F1390-D1390,2)</f>
        <v/>
      </c>
    </row>
    <row r="1391">
      <c r="A1391" t="inlineStr">
        <is>
          <t>2022-06-16</t>
        </is>
      </c>
      <c r="B1391" t="n">
        <v>20</v>
      </c>
      <c r="C1391" t="n">
        <v>2984</v>
      </c>
      <c r="D1391" s="6" t="n">
        <v>88.3</v>
      </c>
      <c r="E1391" s="6" t="n">
        <v>1074724.98</v>
      </c>
      <c r="F1391" s="6">
        <f>ROUND(E1391-E1390,2)</f>
        <v/>
      </c>
      <c r="G1391" s="6">
        <f>ROUND(F1391-D1391,2)</f>
        <v/>
      </c>
    </row>
    <row r="1392">
      <c r="A1392" t="inlineStr">
        <is>
          <t>2022-06-16</t>
        </is>
      </c>
      <c r="B1392" t="n">
        <v>21</v>
      </c>
      <c r="C1392" t="n">
        <v>2984</v>
      </c>
      <c r="D1392" s="6" t="n">
        <v>61.9</v>
      </c>
      <c r="E1392" s="6" t="n">
        <v>1074786.88</v>
      </c>
      <c r="F1392" s="6">
        <f>ROUND(E1392-E1391,2)</f>
        <v/>
      </c>
      <c r="G1392" s="6">
        <f>ROUND(F1392-D1392,2)</f>
        <v/>
      </c>
    </row>
    <row r="1393">
      <c r="A1393" t="inlineStr">
        <is>
          <t>2022-06-16</t>
        </is>
      </c>
      <c r="B1393" t="n">
        <v>22</v>
      </c>
      <c r="C1393" t="n">
        <v>2984</v>
      </c>
      <c r="D1393" s="6" t="n">
        <v>54.5</v>
      </c>
      <c r="E1393" s="6" t="n">
        <v>1074841.38</v>
      </c>
      <c r="F1393" s="6">
        <f>ROUND(E1393-E1392,2)</f>
        <v/>
      </c>
      <c r="G1393" s="6">
        <f>ROUND(F1393-D1393,2)</f>
        <v/>
      </c>
    </row>
    <row r="1394">
      <c r="A1394" t="inlineStr">
        <is>
          <t>2022-06-16</t>
        </is>
      </c>
      <c r="B1394" t="n">
        <v>23</v>
      </c>
      <c r="C1394" t="n">
        <v>2984</v>
      </c>
      <c r="D1394" s="6" t="n">
        <v>97</v>
      </c>
      <c r="E1394" s="6" t="n">
        <v>1074938.38</v>
      </c>
      <c r="F1394" s="6">
        <f>ROUND(E1394-E1393,2)</f>
        <v/>
      </c>
      <c r="G1394" s="6">
        <f>ROUND(F1394-D1394,2)</f>
        <v/>
      </c>
    </row>
    <row r="1395">
      <c r="A1395" t="inlineStr">
        <is>
          <t>2022-06-16</t>
        </is>
      </c>
      <c r="B1395" t="n">
        <v>24</v>
      </c>
      <c r="C1395" t="n">
        <v>2984</v>
      </c>
      <c r="D1395" s="6" t="n">
        <v>38.8</v>
      </c>
      <c r="E1395" s="6" t="n">
        <v>1074977.18</v>
      </c>
      <c r="F1395" s="6">
        <f>ROUND(E1395-E1394,2)</f>
        <v/>
      </c>
      <c r="G1395" s="6">
        <f>ROUND(F1395-D1395,2)</f>
        <v/>
      </c>
    </row>
    <row r="1396">
      <c r="A1396" t="inlineStr">
        <is>
          <t>2022-06-16</t>
        </is>
      </c>
      <c r="B1396" t="n">
        <v>25</v>
      </c>
      <c r="C1396" t="n">
        <v>2984</v>
      </c>
      <c r="D1396" s="6" t="n">
        <v>51.5</v>
      </c>
      <c r="E1396" s="6" t="n">
        <v>1075028.68</v>
      </c>
      <c r="F1396" s="6">
        <f>ROUND(E1396-E1395,2)</f>
        <v/>
      </c>
      <c r="G1396" s="6">
        <f>ROUND(F1396-D1396,2)</f>
        <v/>
      </c>
    </row>
    <row r="1397">
      <c r="A1397" t="inlineStr">
        <is>
          <t>2022-06-16</t>
        </is>
      </c>
      <c r="B1397" t="n">
        <v>26</v>
      </c>
      <c r="C1397" t="n">
        <v>2984</v>
      </c>
      <c r="D1397" s="6" t="n">
        <v>81.59999999999999</v>
      </c>
      <c r="E1397" s="6" t="n">
        <v>1075110.28</v>
      </c>
      <c r="F1397" s="6">
        <f>ROUND(E1397-E1396,2)</f>
        <v/>
      </c>
      <c r="G1397" s="6">
        <f>ROUND(F1397-D1397,2)</f>
        <v/>
      </c>
    </row>
    <row r="1398">
      <c r="A1398" t="inlineStr">
        <is>
          <t>2022-06-16</t>
        </is>
      </c>
      <c r="B1398" t="n">
        <v>27</v>
      </c>
      <c r="C1398" t="n">
        <v>2984</v>
      </c>
      <c r="D1398" s="6" t="n">
        <v>126.9</v>
      </c>
      <c r="E1398" s="6" t="n">
        <v>1075237.18</v>
      </c>
      <c r="F1398" s="6">
        <f>ROUND(E1398-E1397,2)</f>
        <v/>
      </c>
      <c r="G1398" s="6">
        <f>ROUND(F1398-D1398,2)</f>
        <v/>
      </c>
    </row>
    <row r="1399">
      <c r="A1399" t="inlineStr">
        <is>
          <t>2022-06-16</t>
        </is>
      </c>
      <c r="B1399" t="n">
        <v>28</v>
      </c>
      <c r="C1399" t="n">
        <v>2984</v>
      </c>
      <c r="D1399" s="6" t="n">
        <v>100.2</v>
      </c>
      <c r="E1399" s="6" t="n">
        <v>1075337.38</v>
      </c>
      <c r="F1399" s="6">
        <f>ROUND(E1399-E1398,2)</f>
        <v/>
      </c>
      <c r="G1399" s="6">
        <f>ROUND(F1399-D1399,2)</f>
        <v/>
      </c>
    </row>
    <row r="1400">
      <c r="A1400" t="inlineStr">
        <is>
          <t>2022-06-16</t>
        </is>
      </c>
      <c r="B1400" t="n">
        <v>29</v>
      </c>
      <c r="C1400" t="n">
        <v>2984</v>
      </c>
      <c r="D1400" s="6" t="n">
        <v>127.2</v>
      </c>
      <c r="E1400" s="6" t="n">
        <v>1075464.58</v>
      </c>
      <c r="F1400" s="6">
        <f>ROUND(E1400-E1399,2)</f>
        <v/>
      </c>
      <c r="G1400" s="6">
        <f>ROUND(F1400-D1400,2)</f>
        <v/>
      </c>
    </row>
    <row r="1401">
      <c r="A1401" t="inlineStr">
        <is>
          <t>2022-06-17</t>
        </is>
      </c>
      <c r="B1401" t="n">
        <v>1</v>
      </c>
      <c r="C1401" t="n">
        <v>2985</v>
      </c>
      <c r="D1401" s="6" t="n">
        <v>19.9</v>
      </c>
      <c r="E1401" s="6" t="n">
        <v>1075484.48</v>
      </c>
      <c r="F1401" s="6">
        <f>ROUND(E1401-E1400,2)</f>
        <v/>
      </c>
      <c r="G1401" s="6">
        <f>ROUND(F1401-D1401,2)</f>
        <v/>
      </c>
    </row>
    <row r="1402">
      <c r="A1402" t="inlineStr">
        <is>
          <t>2022-06-17</t>
        </is>
      </c>
      <c r="B1402" t="n">
        <v>2</v>
      </c>
      <c r="C1402" t="n">
        <v>2985</v>
      </c>
      <c r="D1402" s="6" t="n">
        <v>22</v>
      </c>
      <c r="E1402" s="6" t="n">
        <v>1075506.48</v>
      </c>
      <c r="F1402" s="6">
        <f>ROUND(E1402-E1401,2)</f>
        <v/>
      </c>
      <c r="G1402" s="6">
        <f>ROUND(F1402-D1402,2)</f>
        <v/>
      </c>
    </row>
    <row r="1403">
      <c r="A1403" t="inlineStr">
        <is>
          <t>2022-06-17</t>
        </is>
      </c>
      <c r="B1403" t="n">
        <v>3</v>
      </c>
      <c r="C1403" t="n">
        <v>2985</v>
      </c>
      <c r="D1403" s="6" t="n">
        <v>58.5</v>
      </c>
      <c r="E1403" s="6" t="n">
        <v>1075564.98</v>
      </c>
      <c r="F1403" s="6">
        <f>ROUND(E1403-E1402,2)</f>
        <v/>
      </c>
      <c r="G1403" s="6">
        <f>ROUND(F1403-D1403,2)</f>
        <v/>
      </c>
    </row>
    <row r="1404">
      <c r="A1404" t="inlineStr">
        <is>
          <t>2022-06-17</t>
        </is>
      </c>
      <c r="B1404" t="n">
        <v>4</v>
      </c>
      <c r="C1404" t="n">
        <v>2985</v>
      </c>
      <c r="D1404" s="6" t="n">
        <v>28.9</v>
      </c>
      <c r="E1404" s="6" t="n">
        <v>1075593.88</v>
      </c>
      <c r="F1404" s="6">
        <f>ROUND(E1404-E1403,2)</f>
        <v/>
      </c>
      <c r="G1404" s="6">
        <f>ROUND(F1404-D1404,2)</f>
        <v/>
      </c>
    </row>
    <row r="1405">
      <c r="A1405" t="inlineStr">
        <is>
          <t>2022-06-17</t>
        </is>
      </c>
      <c r="B1405" t="n">
        <v>5</v>
      </c>
      <c r="C1405" t="n">
        <v>2985</v>
      </c>
      <c r="D1405" s="6" t="n">
        <v>26</v>
      </c>
      <c r="E1405" s="6" t="n">
        <v>1075619.88</v>
      </c>
      <c r="F1405" s="6">
        <f>ROUND(E1405-E1404,2)</f>
        <v/>
      </c>
      <c r="G1405" s="6">
        <f>ROUND(F1405-D1405,2)</f>
        <v/>
      </c>
    </row>
    <row r="1406">
      <c r="A1406" t="inlineStr">
        <is>
          <t>2022-06-17</t>
        </is>
      </c>
      <c r="B1406" t="n">
        <v>6</v>
      </c>
      <c r="C1406" t="n">
        <v>2985</v>
      </c>
      <c r="D1406" s="6" t="n">
        <v>22</v>
      </c>
      <c r="E1406" s="6" t="n">
        <v>1075641.88</v>
      </c>
      <c r="F1406" s="6">
        <f>ROUND(E1406-E1405,2)</f>
        <v/>
      </c>
      <c r="G1406" s="6">
        <f>ROUND(F1406-D1406,2)</f>
        <v/>
      </c>
    </row>
    <row r="1407">
      <c r="A1407" t="inlineStr">
        <is>
          <t>2022-06-17</t>
        </is>
      </c>
      <c r="B1407" t="n">
        <v>7</v>
      </c>
      <c r="C1407" t="n">
        <v>2985</v>
      </c>
      <c r="D1407" s="6" t="n">
        <v>22.8</v>
      </c>
      <c r="E1407" s="6" t="n">
        <v>1075664.68</v>
      </c>
      <c r="F1407" s="6">
        <f>ROUND(E1407-E1406,2)</f>
        <v/>
      </c>
      <c r="G1407" s="6">
        <f>ROUND(F1407-D1407,2)</f>
        <v/>
      </c>
    </row>
    <row r="1408">
      <c r="A1408" t="inlineStr">
        <is>
          <t>2022-06-17</t>
        </is>
      </c>
      <c r="B1408" t="n">
        <v>8</v>
      </c>
      <c r="C1408" t="n">
        <v>2985</v>
      </c>
      <c r="D1408" s="6" t="n">
        <v>75.5</v>
      </c>
      <c r="E1408" s="6" t="n">
        <v>1075740.18</v>
      </c>
      <c r="F1408" s="6">
        <f>ROUND(E1408-E1407,2)</f>
        <v/>
      </c>
      <c r="G1408" s="6">
        <f>ROUND(F1408-D1408,2)</f>
        <v/>
      </c>
    </row>
    <row r="1409">
      <c r="A1409" t="inlineStr">
        <is>
          <t>2022-06-17</t>
        </is>
      </c>
      <c r="B1409" t="n">
        <v>9</v>
      </c>
      <c r="C1409" t="n">
        <v>2985</v>
      </c>
      <c r="D1409" s="6" t="n">
        <v>32.3</v>
      </c>
      <c r="E1409" s="6" t="n">
        <v>1075772.48</v>
      </c>
      <c r="F1409" s="6">
        <f>ROUND(E1409-E1408,2)</f>
        <v/>
      </c>
      <c r="G1409" s="6">
        <f>ROUND(F1409-D1409,2)</f>
        <v/>
      </c>
    </row>
    <row r="1410">
      <c r="A1410" t="inlineStr">
        <is>
          <t>2022-06-17</t>
        </is>
      </c>
      <c r="B1410" t="n">
        <v>10</v>
      </c>
      <c r="C1410" t="n">
        <v>2985</v>
      </c>
      <c r="D1410" s="6" t="n">
        <v>43.6</v>
      </c>
      <c r="E1410" s="6" t="n">
        <v>1075816.08</v>
      </c>
      <c r="F1410" s="6">
        <f>ROUND(E1410-E1409,2)</f>
        <v/>
      </c>
      <c r="G1410" s="6">
        <f>ROUND(F1410-D1410,2)</f>
        <v/>
      </c>
    </row>
    <row r="1411">
      <c r="A1411" t="inlineStr">
        <is>
          <t>2022-06-17</t>
        </is>
      </c>
      <c r="B1411" t="n">
        <v>11</v>
      </c>
      <c r="C1411" t="n">
        <v>2985</v>
      </c>
      <c r="D1411" s="6" t="n">
        <v>32.4</v>
      </c>
      <c r="E1411" s="6" t="n">
        <v>1075848.48</v>
      </c>
      <c r="F1411" s="6">
        <f>ROUND(E1411-E1410,2)</f>
        <v/>
      </c>
      <c r="G1411" s="6">
        <f>ROUND(F1411-D1411,2)</f>
        <v/>
      </c>
    </row>
    <row r="1412">
      <c r="A1412" t="inlineStr">
        <is>
          <t>2022-06-17</t>
        </is>
      </c>
      <c r="B1412" t="n">
        <v>12</v>
      </c>
      <c r="C1412" t="n">
        <v>2985</v>
      </c>
      <c r="D1412" s="6" t="n">
        <v>19.8</v>
      </c>
      <c r="E1412" s="6" t="n">
        <v>1075868.28</v>
      </c>
      <c r="F1412" s="6">
        <f>ROUND(E1412-E1411,2)</f>
        <v/>
      </c>
      <c r="G1412" s="6">
        <f>ROUND(F1412-D1412,2)</f>
        <v/>
      </c>
    </row>
    <row r="1413">
      <c r="A1413" t="inlineStr">
        <is>
          <t>2022-06-17</t>
        </is>
      </c>
      <c r="B1413" t="n">
        <v>13</v>
      </c>
      <c r="C1413" t="n">
        <v>2985</v>
      </c>
      <c r="D1413" s="6" t="n">
        <v>22.9</v>
      </c>
      <c r="E1413" s="6" t="n">
        <v>1075891.18</v>
      </c>
      <c r="F1413" s="6">
        <f>ROUND(E1413-E1412,2)</f>
        <v/>
      </c>
      <c r="G1413" s="6">
        <f>ROUND(F1413-D1413,2)</f>
        <v/>
      </c>
    </row>
    <row r="1414">
      <c r="A1414" t="inlineStr">
        <is>
          <t>2022-06-17</t>
        </is>
      </c>
      <c r="B1414" t="n">
        <v>14</v>
      </c>
      <c r="C1414" t="n">
        <v>2985</v>
      </c>
      <c r="D1414" s="6" t="n">
        <v>85</v>
      </c>
      <c r="E1414" s="6" t="n">
        <v>1075976.18</v>
      </c>
      <c r="F1414" s="6">
        <f>ROUND(E1414-E1413,2)</f>
        <v/>
      </c>
      <c r="G1414" s="6">
        <f>ROUND(F1414-D1414,2)</f>
        <v/>
      </c>
    </row>
    <row r="1415">
      <c r="A1415" t="inlineStr">
        <is>
          <t>2022-06-17</t>
        </is>
      </c>
      <c r="B1415" t="n">
        <v>15</v>
      </c>
      <c r="C1415" t="n">
        <v>2985</v>
      </c>
      <c r="D1415" s="6" t="n">
        <v>69.09999999999999</v>
      </c>
      <c r="E1415" s="6" t="n">
        <v>1076045.28</v>
      </c>
      <c r="F1415" s="6">
        <f>ROUND(E1415-E1414,2)</f>
        <v/>
      </c>
      <c r="G1415" s="6">
        <f>ROUND(F1415-D1415,2)</f>
        <v/>
      </c>
    </row>
    <row r="1416">
      <c r="A1416" t="inlineStr">
        <is>
          <t>2022-06-17</t>
        </is>
      </c>
      <c r="B1416" t="n">
        <v>16</v>
      </c>
      <c r="C1416" t="n">
        <v>2985</v>
      </c>
      <c r="D1416" s="6" t="n">
        <v>38</v>
      </c>
      <c r="E1416" s="6" t="n">
        <v>1076083.28</v>
      </c>
      <c r="F1416" s="6">
        <f>ROUND(E1416-E1415,2)</f>
        <v/>
      </c>
      <c r="G1416" s="6">
        <f>ROUND(F1416-D1416,2)</f>
        <v/>
      </c>
    </row>
    <row r="1417">
      <c r="A1417" t="inlineStr">
        <is>
          <t>2022-06-17</t>
        </is>
      </c>
      <c r="B1417" t="n">
        <v>17</v>
      </c>
      <c r="C1417" t="n">
        <v>2985</v>
      </c>
      <c r="D1417" s="6" t="n">
        <v>52.6</v>
      </c>
      <c r="E1417" s="6" t="n">
        <v>1076135.88</v>
      </c>
      <c r="F1417" s="6">
        <f>ROUND(E1417-E1416,2)</f>
        <v/>
      </c>
      <c r="G1417" s="6">
        <f>ROUND(F1417-D1417,2)</f>
        <v/>
      </c>
    </row>
    <row r="1418">
      <c r="A1418" t="inlineStr">
        <is>
          <t>2022-06-17</t>
        </is>
      </c>
      <c r="B1418" t="n">
        <v>18</v>
      </c>
      <c r="C1418" t="n">
        <v>2985</v>
      </c>
      <c r="D1418" s="6" t="n">
        <v>74</v>
      </c>
      <c r="E1418" s="6" t="n">
        <v>1076209.88</v>
      </c>
      <c r="F1418" s="6">
        <f>ROUND(E1418-E1417,2)</f>
        <v/>
      </c>
      <c r="G1418" s="6">
        <f>ROUND(F1418-D1418,2)</f>
        <v/>
      </c>
    </row>
    <row r="1419">
      <c r="A1419" t="inlineStr">
        <is>
          <t>2022-06-17</t>
        </is>
      </c>
      <c r="B1419" t="n">
        <v>19</v>
      </c>
      <c r="C1419" t="n">
        <v>2985</v>
      </c>
      <c r="D1419" s="6" t="n">
        <v>54.4</v>
      </c>
      <c r="E1419" s="6" t="n">
        <v>1076264.28</v>
      </c>
      <c r="F1419" s="6">
        <f>ROUND(E1419-E1418,2)</f>
        <v/>
      </c>
      <c r="G1419" s="6">
        <f>ROUND(F1419-D1419,2)</f>
        <v/>
      </c>
    </row>
    <row r="1420">
      <c r="A1420" t="inlineStr">
        <is>
          <t>2022-06-17</t>
        </is>
      </c>
      <c r="B1420" t="n">
        <v>20</v>
      </c>
      <c r="C1420" t="n">
        <v>2985</v>
      </c>
      <c r="D1420" s="6" t="n">
        <v>62.9</v>
      </c>
      <c r="E1420" s="6" t="n">
        <v>1076327.18</v>
      </c>
      <c r="F1420" s="6">
        <f>ROUND(E1420-E1419,2)</f>
        <v/>
      </c>
      <c r="G1420" s="6">
        <f>ROUND(F1420-D1420,2)</f>
        <v/>
      </c>
    </row>
    <row r="1421">
      <c r="A1421" t="inlineStr">
        <is>
          <t>2022-06-17</t>
        </is>
      </c>
      <c r="B1421" t="n">
        <v>21</v>
      </c>
      <c r="C1421" t="n">
        <v>2985</v>
      </c>
      <c r="D1421" s="6" t="n">
        <v>99</v>
      </c>
      <c r="E1421" s="6" t="n">
        <v>1076426.18</v>
      </c>
      <c r="F1421" s="6">
        <f>ROUND(E1421-E1420,2)</f>
        <v/>
      </c>
      <c r="G1421" s="6">
        <f>ROUND(F1421-D1421,2)</f>
        <v/>
      </c>
    </row>
    <row r="1422">
      <c r="A1422" t="inlineStr">
        <is>
          <t>2022-06-17</t>
        </is>
      </c>
      <c r="B1422" t="n">
        <v>22</v>
      </c>
      <c r="C1422" t="n">
        <v>2985</v>
      </c>
      <c r="D1422" s="6" t="n">
        <v>78.8</v>
      </c>
      <c r="E1422" s="6" t="n">
        <v>1076504.98</v>
      </c>
      <c r="F1422" s="6">
        <f>ROUND(E1422-E1421,2)</f>
        <v/>
      </c>
      <c r="G1422" s="6">
        <f>ROUND(F1422-D1422,2)</f>
        <v/>
      </c>
    </row>
    <row r="1423">
      <c r="A1423" t="inlineStr">
        <is>
          <t>2022-06-17</t>
        </is>
      </c>
      <c r="B1423" t="n">
        <v>23</v>
      </c>
      <c r="C1423" t="n">
        <v>2985</v>
      </c>
      <c r="D1423" s="6" t="n">
        <v>97.59999999999999</v>
      </c>
      <c r="E1423" s="6" t="n">
        <v>1076602.58</v>
      </c>
      <c r="F1423" s="6">
        <f>ROUND(E1423-E1422,2)</f>
        <v/>
      </c>
      <c r="G1423" s="6">
        <f>ROUND(F1423-D1423,2)</f>
        <v/>
      </c>
    </row>
    <row r="1424">
      <c r="A1424" t="inlineStr">
        <is>
          <t>2022-06-17</t>
        </is>
      </c>
      <c r="B1424" t="n">
        <v>24</v>
      </c>
      <c r="C1424" t="n">
        <v>2985</v>
      </c>
      <c r="D1424" s="6" t="n">
        <v>156.7</v>
      </c>
      <c r="E1424" s="6" t="n">
        <v>1076759.28</v>
      </c>
      <c r="F1424" s="6">
        <f>ROUND(E1424-E1423,2)</f>
        <v/>
      </c>
      <c r="G1424" s="6">
        <f>ROUND(F1424-D1424,2)</f>
        <v/>
      </c>
    </row>
    <row r="1425">
      <c r="A1425" t="inlineStr">
        <is>
          <t>2022-06-17</t>
        </is>
      </c>
      <c r="B1425" t="n">
        <v>25</v>
      </c>
      <c r="C1425" t="n">
        <v>2985</v>
      </c>
      <c r="D1425" s="6" t="n">
        <v>92</v>
      </c>
      <c r="E1425" s="6" t="n">
        <v>1076851.28</v>
      </c>
      <c r="F1425" s="6">
        <f>ROUND(E1425-E1424,2)</f>
        <v/>
      </c>
      <c r="G1425" s="6">
        <f>ROUND(F1425-D1425,2)</f>
        <v/>
      </c>
    </row>
    <row r="1426">
      <c r="A1426" t="inlineStr">
        <is>
          <t>2022-06-17</t>
        </is>
      </c>
      <c r="B1426" t="n">
        <v>26</v>
      </c>
      <c r="C1426" t="n">
        <v>2985</v>
      </c>
      <c r="D1426" s="6" t="n">
        <v>55</v>
      </c>
      <c r="E1426" s="6" t="n">
        <v>1076906.28</v>
      </c>
      <c r="F1426" s="6">
        <f>ROUND(E1426-E1425,2)</f>
        <v/>
      </c>
      <c r="G1426" s="6">
        <f>ROUND(F1426-D1426,2)</f>
        <v/>
      </c>
    </row>
    <row r="1427">
      <c r="A1427" t="inlineStr">
        <is>
          <t>2022-06-18</t>
        </is>
      </c>
      <c r="B1427" t="n">
        <v>1</v>
      </c>
      <c r="C1427" t="n">
        <v>2986</v>
      </c>
      <c r="D1427" s="6" t="n">
        <v>53.3</v>
      </c>
      <c r="E1427" s="6" t="n">
        <v>1076959.58</v>
      </c>
      <c r="F1427" s="6">
        <f>ROUND(E1427-E1426,2)</f>
        <v/>
      </c>
      <c r="G1427" s="6">
        <f>ROUND(F1427-D1427,2)</f>
        <v/>
      </c>
    </row>
    <row r="1428">
      <c r="A1428" t="inlineStr">
        <is>
          <t>2022-06-18</t>
        </is>
      </c>
      <c r="B1428" t="n">
        <v>2</v>
      </c>
      <c r="C1428" t="n">
        <v>2986</v>
      </c>
      <c r="D1428" s="6" t="n">
        <v>92.90000000000001</v>
      </c>
      <c r="E1428" s="6" t="n">
        <v>1077052.48</v>
      </c>
      <c r="F1428" s="6">
        <f>ROUND(E1428-E1427,2)</f>
        <v/>
      </c>
      <c r="G1428" s="6">
        <f>ROUND(F1428-D1428,2)</f>
        <v/>
      </c>
    </row>
    <row r="1429">
      <c r="A1429" t="inlineStr">
        <is>
          <t>2022-06-18</t>
        </is>
      </c>
      <c r="B1429" t="n">
        <v>3</v>
      </c>
      <c r="C1429" t="n">
        <v>2986</v>
      </c>
      <c r="D1429" s="6" t="n">
        <v>60.2</v>
      </c>
      <c r="E1429" s="6" t="n">
        <v>1077112.68</v>
      </c>
      <c r="F1429" s="6">
        <f>ROUND(E1429-E1428,2)</f>
        <v/>
      </c>
      <c r="G1429" s="6">
        <f>ROUND(F1429-D1429,2)</f>
        <v/>
      </c>
    </row>
    <row r="1430">
      <c r="A1430" t="inlineStr">
        <is>
          <t>2022-06-18</t>
        </is>
      </c>
      <c r="B1430" t="n">
        <v>4</v>
      </c>
      <c r="C1430" t="n">
        <v>2986</v>
      </c>
      <c r="D1430" s="6" t="n">
        <v>65.3</v>
      </c>
      <c r="E1430" s="6" t="n">
        <v>1077177.98</v>
      </c>
      <c r="F1430" s="6">
        <f>ROUND(E1430-E1429,2)</f>
        <v/>
      </c>
      <c r="G1430" s="6">
        <f>ROUND(F1430-D1430,2)</f>
        <v/>
      </c>
    </row>
    <row r="1431">
      <c r="A1431" t="inlineStr">
        <is>
          <t>2022-06-18</t>
        </is>
      </c>
      <c r="B1431" t="n">
        <v>5</v>
      </c>
      <c r="C1431" t="n">
        <v>2986</v>
      </c>
      <c r="D1431" s="6" t="n">
        <v>58.9</v>
      </c>
      <c r="E1431" s="6" t="n">
        <v>1077236.88</v>
      </c>
      <c r="F1431" s="6">
        <f>ROUND(E1431-E1430,2)</f>
        <v/>
      </c>
      <c r="G1431" s="6">
        <f>ROUND(F1431-D1431,2)</f>
        <v/>
      </c>
    </row>
    <row r="1432">
      <c r="A1432" t="inlineStr">
        <is>
          <t>2022-06-18</t>
        </is>
      </c>
      <c r="B1432" t="n">
        <v>6</v>
      </c>
      <c r="C1432" t="n">
        <v>2986</v>
      </c>
      <c r="D1432" s="6" t="n">
        <v>60.6</v>
      </c>
      <c r="E1432" s="6" t="n">
        <v>1077297.48</v>
      </c>
      <c r="F1432" s="6">
        <f>ROUND(E1432-E1431,2)</f>
        <v/>
      </c>
      <c r="G1432" s="6">
        <f>ROUND(F1432-D1432,2)</f>
        <v/>
      </c>
    </row>
    <row r="1433">
      <c r="A1433" t="inlineStr">
        <is>
          <t>2022-06-18</t>
        </is>
      </c>
      <c r="B1433" t="n">
        <v>7</v>
      </c>
      <c r="C1433" t="n">
        <v>2986</v>
      </c>
      <c r="D1433" s="6" t="n">
        <v>39.8</v>
      </c>
      <c r="E1433" s="6" t="n">
        <v>1077337.28</v>
      </c>
      <c r="F1433" s="6">
        <f>ROUND(E1433-E1432,2)</f>
        <v/>
      </c>
      <c r="G1433" s="6">
        <f>ROUND(F1433-D1433,2)</f>
        <v/>
      </c>
    </row>
    <row r="1434">
      <c r="A1434" t="inlineStr">
        <is>
          <t>2022-06-18</t>
        </is>
      </c>
      <c r="B1434" t="n">
        <v>8</v>
      </c>
      <c r="C1434" t="n">
        <v>2986</v>
      </c>
      <c r="D1434" s="6" t="n">
        <v>42.7</v>
      </c>
      <c r="E1434" s="6" t="n">
        <v>1077379.98</v>
      </c>
      <c r="F1434" s="6">
        <f>ROUND(E1434-E1433,2)</f>
        <v/>
      </c>
      <c r="G1434" s="6">
        <f>ROUND(F1434-D1434,2)</f>
        <v/>
      </c>
    </row>
    <row r="1435">
      <c r="A1435" t="inlineStr">
        <is>
          <t>2022-06-18</t>
        </is>
      </c>
      <c r="B1435" t="n">
        <v>9</v>
      </c>
      <c r="C1435" t="n">
        <v>2986</v>
      </c>
      <c r="D1435" s="6" t="n">
        <v>60.1</v>
      </c>
      <c r="E1435" s="6" t="n">
        <v>1077440.08</v>
      </c>
      <c r="F1435" s="6">
        <f>ROUND(E1435-E1434,2)</f>
        <v/>
      </c>
      <c r="G1435" s="6">
        <f>ROUND(F1435-D1435,2)</f>
        <v/>
      </c>
    </row>
    <row r="1436">
      <c r="A1436" t="inlineStr">
        <is>
          <t>2022-06-18</t>
        </is>
      </c>
      <c r="B1436" t="n">
        <v>10</v>
      </c>
      <c r="C1436" t="n">
        <v>2986</v>
      </c>
      <c r="D1436" s="6" t="n">
        <v>105.1</v>
      </c>
      <c r="E1436" s="6" t="n">
        <v>1077545.18</v>
      </c>
      <c r="F1436" s="6">
        <f>ROUND(E1436-E1435,2)</f>
        <v/>
      </c>
      <c r="G1436" s="6">
        <f>ROUND(F1436-D1436,2)</f>
        <v/>
      </c>
    </row>
    <row r="1437">
      <c r="A1437" t="inlineStr">
        <is>
          <t>2022-06-18</t>
        </is>
      </c>
      <c r="B1437" t="n">
        <v>11</v>
      </c>
      <c r="C1437" t="n">
        <v>2986</v>
      </c>
      <c r="D1437" s="6" t="n">
        <v>63.2</v>
      </c>
      <c r="E1437" s="6" t="n">
        <v>1077608.38</v>
      </c>
      <c r="F1437" s="6">
        <f>ROUND(E1437-E1436,2)</f>
        <v/>
      </c>
      <c r="G1437" s="6">
        <f>ROUND(F1437-D1437,2)</f>
        <v/>
      </c>
    </row>
    <row r="1438">
      <c r="A1438" t="inlineStr">
        <is>
          <t>2022-06-18</t>
        </is>
      </c>
      <c r="B1438" t="n">
        <v>12</v>
      </c>
      <c r="C1438" t="n">
        <v>2986</v>
      </c>
      <c r="D1438" s="6" t="n">
        <v>45</v>
      </c>
      <c r="E1438" s="6" t="n">
        <v>1077653.38</v>
      </c>
      <c r="F1438" s="6">
        <f>ROUND(E1438-E1437,2)</f>
        <v/>
      </c>
      <c r="G1438" s="6">
        <f>ROUND(F1438-D1438,2)</f>
        <v/>
      </c>
    </row>
    <row r="1439">
      <c r="A1439" t="inlineStr">
        <is>
          <t>2022-06-18</t>
        </is>
      </c>
      <c r="B1439" t="n">
        <v>13</v>
      </c>
      <c r="C1439" t="n">
        <v>2986</v>
      </c>
      <c r="D1439" s="6" t="n">
        <v>93.3</v>
      </c>
      <c r="E1439" s="6" t="n">
        <v>1077746.68</v>
      </c>
      <c r="F1439" s="6">
        <f>ROUND(E1439-E1438,2)</f>
        <v/>
      </c>
      <c r="G1439" s="6">
        <f>ROUND(F1439-D1439,2)</f>
        <v/>
      </c>
    </row>
    <row r="1440">
      <c r="A1440" t="inlineStr">
        <is>
          <t>2022-06-18</t>
        </is>
      </c>
      <c r="B1440" t="n">
        <v>14</v>
      </c>
      <c r="C1440" t="n">
        <v>2986</v>
      </c>
      <c r="D1440" s="6" t="n">
        <v>63.2</v>
      </c>
      <c r="E1440" s="6" t="n">
        <v>1077809.88</v>
      </c>
      <c r="F1440" s="6">
        <f>ROUND(E1440-E1439,2)</f>
        <v/>
      </c>
      <c r="G1440" s="6">
        <f>ROUND(F1440-D1440,2)</f>
        <v/>
      </c>
    </row>
    <row r="1441">
      <c r="A1441" t="inlineStr">
        <is>
          <t>2022-06-18</t>
        </is>
      </c>
      <c r="B1441" t="n">
        <v>15</v>
      </c>
      <c r="C1441" t="n">
        <v>2986</v>
      </c>
      <c r="D1441" s="6" t="n">
        <v>57.1</v>
      </c>
      <c r="E1441" s="6" t="n">
        <v>1077866.98</v>
      </c>
      <c r="F1441" s="6">
        <f>ROUND(E1441-E1440,2)</f>
        <v/>
      </c>
      <c r="G1441" s="6">
        <f>ROUND(F1441-D1441,2)</f>
        <v/>
      </c>
    </row>
    <row r="1442">
      <c r="A1442" t="inlineStr">
        <is>
          <t>2022-06-18</t>
        </is>
      </c>
      <c r="B1442" t="n">
        <v>16</v>
      </c>
      <c r="C1442" t="n">
        <v>2986</v>
      </c>
      <c r="D1442" s="6" t="n">
        <v>59</v>
      </c>
      <c r="E1442" s="6" t="n">
        <v>1077925.98</v>
      </c>
      <c r="F1442" s="6">
        <f>ROUND(E1442-E1441,2)</f>
        <v/>
      </c>
      <c r="G1442" s="6">
        <f>ROUND(F1442-D1442,2)</f>
        <v/>
      </c>
    </row>
    <row r="1443">
      <c r="A1443" t="inlineStr">
        <is>
          <t>2022-06-18</t>
        </is>
      </c>
      <c r="B1443" t="n">
        <v>17</v>
      </c>
      <c r="C1443" t="n">
        <v>2986</v>
      </c>
      <c r="D1443" s="6" t="n">
        <v>62.3</v>
      </c>
      <c r="E1443" s="6" t="n">
        <v>1077988.28</v>
      </c>
      <c r="F1443" s="6">
        <f>ROUND(E1443-E1442,2)</f>
        <v/>
      </c>
      <c r="G1443" s="6">
        <f>ROUND(F1443-D1443,2)</f>
        <v/>
      </c>
    </row>
    <row r="1444">
      <c r="A1444" t="inlineStr">
        <is>
          <t>2022-06-18</t>
        </is>
      </c>
      <c r="B1444" t="n">
        <v>18</v>
      </c>
      <c r="C1444" t="n">
        <v>2986</v>
      </c>
      <c r="D1444" s="6" t="n">
        <v>95.7</v>
      </c>
      <c r="E1444" s="6" t="n">
        <v>1078083.98</v>
      </c>
      <c r="F1444" s="6">
        <f>ROUND(E1444-E1443,2)</f>
        <v/>
      </c>
      <c r="G1444" s="6">
        <f>ROUND(F1444-D1444,2)</f>
        <v/>
      </c>
    </row>
    <row r="1445">
      <c r="A1445" t="inlineStr">
        <is>
          <t>2022-06-18</t>
        </is>
      </c>
      <c r="B1445" t="n">
        <v>19</v>
      </c>
      <c r="C1445" t="n">
        <v>2986</v>
      </c>
      <c r="D1445" s="6" t="n">
        <v>79.7</v>
      </c>
      <c r="E1445" s="6" t="n">
        <v>1078163.68</v>
      </c>
      <c r="F1445" s="6">
        <f>ROUND(E1445-E1444,2)</f>
        <v/>
      </c>
      <c r="G1445" s="6">
        <f>ROUND(F1445-D1445,2)</f>
        <v/>
      </c>
    </row>
    <row r="1446">
      <c r="A1446" t="inlineStr">
        <is>
          <t>2022-06-18</t>
        </is>
      </c>
      <c r="B1446" t="n">
        <v>20</v>
      </c>
      <c r="C1446" t="n">
        <v>2986</v>
      </c>
      <c r="D1446" s="6" t="n">
        <v>105.9</v>
      </c>
      <c r="E1446" s="6" t="n">
        <v>1078269.58</v>
      </c>
      <c r="F1446" s="6">
        <f>ROUND(E1446-E1445,2)</f>
        <v/>
      </c>
      <c r="G1446" s="6">
        <f>ROUND(F1446-D1446,2)</f>
        <v/>
      </c>
    </row>
    <row r="1447">
      <c r="A1447" t="inlineStr">
        <is>
          <t>2022-06-18</t>
        </is>
      </c>
      <c r="B1447" t="n">
        <v>21</v>
      </c>
      <c r="C1447" t="n">
        <v>2986</v>
      </c>
      <c r="D1447" s="6" t="n">
        <v>77.3</v>
      </c>
      <c r="E1447" s="6" t="n">
        <v>1078346.88</v>
      </c>
      <c r="F1447" s="6">
        <f>ROUND(E1447-E1446,2)</f>
        <v/>
      </c>
      <c r="G1447" s="6">
        <f>ROUND(F1447-D1447,2)</f>
        <v/>
      </c>
    </row>
    <row r="1448">
      <c r="A1448" t="inlineStr">
        <is>
          <t>2022-06-18</t>
        </is>
      </c>
      <c r="B1448" t="n">
        <v>22</v>
      </c>
      <c r="C1448" t="n">
        <v>2986</v>
      </c>
      <c r="D1448" s="6" t="n">
        <v>173</v>
      </c>
      <c r="E1448" s="6" t="n">
        <v>1078519.88</v>
      </c>
      <c r="F1448" s="6">
        <f>ROUND(E1448-E1447,2)</f>
        <v/>
      </c>
      <c r="G1448" s="6">
        <f>ROUND(F1448-D1448,2)</f>
        <v/>
      </c>
    </row>
    <row r="1449">
      <c r="A1449" t="inlineStr">
        <is>
          <t>2022-06-18</t>
        </is>
      </c>
      <c r="B1449" t="n">
        <v>23</v>
      </c>
      <c r="C1449" t="n">
        <v>2986</v>
      </c>
      <c r="D1449" s="6" t="n">
        <v>48.4</v>
      </c>
      <c r="E1449" s="6" t="n">
        <v>1078568.28</v>
      </c>
      <c r="F1449" s="6">
        <f>ROUND(E1449-E1448,2)</f>
        <v/>
      </c>
      <c r="G1449" s="6">
        <f>ROUND(F1449-D1449,2)</f>
        <v/>
      </c>
    </row>
    <row r="1450">
      <c r="A1450" t="inlineStr">
        <is>
          <t>2022-06-18</t>
        </is>
      </c>
      <c r="B1450" t="n">
        <v>24</v>
      </c>
      <c r="C1450" t="n">
        <v>2986</v>
      </c>
      <c r="D1450" s="6" t="n">
        <v>123.6</v>
      </c>
      <c r="E1450" s="6" t="n">
        <v>1078691.88</v>
      </c>
      <c r="F1450" s="6">
        <f>ROUND(E1450-E1449,2)</f>
        <v/>
      </c>
      <c r="G1450" s="6">
        <f>ROUND(F1450-D1450,2)</f>
        <v/>
      </c>
    </row>
    <row r="1451">
      <c r="A1451" t="inlineStr">
        <is>
          <t>2022-06-18</t>
        </is>
      </c>
      <c r="B1451" t="n">
        <v>25</v>
      </c>
      <c r="C1451" t="n">
        <v>2986</v>
      </c>
      <c r="D1451" s="6" t="n">
        <v>68.8</v>
      </c>
      <c r="E1451" s="6" t="n">
        <v>1078760.68</v>
      </c>
      <c r="F1451" s="6">
        <f>ROUND(E1451-E1450,2)</f>
        <v/>
      </c>
      <c r="G1451" s="6">
        <f>ROUND(F1451-D1451,2)</f>
        <v/>
      </c>
    </row>
    <row r="1452">
      <c r="A1452" t="inlineStr">
        <is>
          <t>2022-06-18</t>
        </is>
      </c>
      <c r="B1452" t="n">
        <v>26</v>
      </c>
      <c r="C1452" t="n">
        <v>2986</v>
      </c>
      <c r="D1452" s="6" t="n">
        <v>64</v>
      </c>
      <c r="E1452" s="6" t="n">
        <v>1078824.68</v>
      </c>
      <c r="F1452" s="6">
        <f>ROUND(E1452-E1451,2)</f>
        <v/>
      </c>
      <c r="G1452" s="6">
        <f>ROUND(F1452-D1452,2)</f>
        <v/>
      </c>
    </row>
    <row r="1453">
      <c r="A1453" t="inlineStr">
        <is>
          <t>2022-06-18</t>
        </is>
      </c>
      <c r="B1453" t="n">
        <v>27</v>
      </c>
      <c r="C1453" t="n">
        <v>2986</v>
      </c>
      <c r="D1453" s="6" t="n">
        <v>90.3</v>
      </c>
      <c r="E1453" s="6" t="n">
        <v>1078914.98</v>
      </c>
      <c r="F1453" s="6">
        <f>ROUND(E1453-E1452,2)</f>
        <v/>
      </c>
      <c r="G1453" s="6">
        <f>ROUND(F1453-D1453,2)</f>
        <v/>
      </c>
    </row>
    <row r="1454">
      <c r="A1454" t="inlineStr">
        <is>
          <t>2022-06-18</t>
        </is>
      </c>
      <c r="B1454" t="n">
        <v>28</v>
      </c>
      <c r="C1454" t="n">
        <v>2986</v>
      </c>
      <c r="D1454" s="6" t="n">
        <v>90.3</v>
      </c>
      <c r="E1454" s="6" t="n">
        <v>1079005.28</v>
      </c>
      <c r="F1454" s="6">
        <f>ROUND(E1454-E1453,2)</f>
        <v/>
      </c>
      <c r="G1454" s="6">
        <f>ROUND(F1454-D1454,2)</f>
        <v/>
      </c>
    </row>
    <row r="1455">
      <c r="A1455" t="inlineStr">
        <is>
          <t>2022-06-18</t>
        </is>
      </c>
      <c r="B1455" t="n">
        <v>29</v>
      </c>
      <c r="C1455" t="n">
        <v>2986</v>
      </c>
      <c r="D1455" s="6" t="n">
        <v>134.1</v>
      </c>
      <c r="E1455" s="6" t="n">
        <v>1079139.38</v>
      </c>
      <c r="F1455" s="6">
        <f>ROUND(E1455-E1454,2)</f>
        <v/>
      </c>
      <c r="G1455" s="6">
        <f>ROUND(F1455-D1455,2)</f>
        <v/>
      </c>
    </row>
    <row r="1456">
      <c r="A1456" t="inlineStr">
        <is>
          <t>2022-06-18</t>
        </is>
      </c>
      <c r="B1456" t="n">
        <v>30</v>
      </c>
      <c r="C1456" t="n">
        <v>2986</v>
      </c>
      <c r="D1456" s="6" t="n">
        <v>45.6</v>
      </c>
      <c r="E1456" s="6" t="n">
        <v>1079184.98</v>
      </c>
      <c r="F1456" s="6">
        <f>ROUND(E1456-E1455,2)</f>
        <v/>
      </c>
      <c r="G1456" s="6">
        <f>ROUND(F1456-D1456,2)</f>
        <v/>
      </c>
    </row>
    <row r="1457">
      <c r="A1457" t="inlineStr">
        <is>
          <t>2022-06-18</t>
        </is>
      </c>
      <c r="B1457" t="n">
        <v>31</v>
      </c>
      <c r="C1457" t="n">
        <v>2986</v>
      </c>
      <c r="D1457" s="6" t="n">
        <v>25.4</v>
      </c>
      <c r="E1457" s="6" t="n">
        <v>1079210.38</v>
      </c>
      <c r="F1457" s="6">
        <f>ROUND(E1457-E1456,2)</f>
        <v/>
      </c>
      <c r="G1457" s="6">
        <f>ROUND(F1457-D1457,2)</f>
        <v/>
      </c>
    </row>
    <row r="1458">
      <c r="A1458" t="inlineStr">
        <is>
          <t>2022-06-18</t>
        </is>
      </c>
      <c r="B1458" t="n">
        <v>32</v>
      </c>
      <c r="C1458" t="n">
        <v>2986</v>
      </c>
      <c r="D1458" s="6" t="n">
        <v>25.4</v>
      </c>
      <c r="E1458" s="6" t="n">
        <v>1079235.78</v>
      </c>
      <c r="F1458" s="6">
        <f>ROUND(E1458-E1457,2)</f>
        <v/>
      </c>
      <c r="G1458" s="6">
        <f>ROUND(F1458-D1458,2)</f>
        <v/>
      </c>
    </row>
    <row r="1459">
      <c r="A1459" t="inlineStr">
        <is>
          <t>2022-06-18</t>
        </is>
      </c>
      <c r="B1459" t="n">
        <v>33</v>
      </c>
      <c r="C1459" t="n">
        <v>2986</v>
      </c>
      <c r="D1459" s="6" t="n">
        <v>59.9</v>
      </c>
      <c r="E1459" s="6" t="n">
        <v>1079295.68</v>
      </c>
      <c r="F1459" s="6">
        <f>ROUND(E1459-E1458,2)</f>
        <v/>
      </c>
      <c r="G1459" s="6">
        <f>ROUND(F1459-D1459,2)</f>
        <v/>
      </c>
    </row>
    <row r="1460">
      <c r="A1460" t="inlineStr">
        <is>
          <t>2022-06-18</t>
        </is>
      </c>
      <c r="B1460" t="n">
        <v>34</v>
      </c>
      <c r="C1460" t="n">
        <v>2986</v>
      </c>
      <c r="D1460" s="6" t="n">
        <v>76.90000000000001</v>
      </c>
      <c r="E1460" s="6" t="n">
        <v>1079372.58</v>
      </c>
      <c r="F1460" s="6">
        <f>ROUND(E1460-E1459,2)</f>
        <v/>
      </c>
      <c r="G1460" s="6">
        <f>ROUND(F1460-D1460,2)</f>
        <v/>
      </c>
    </row>
    <row r="1461">
      <c r="A1461" t="inlineStr">
        <is>
          <t>2022-06-19</t>
        </is>
      </c>
      <c r="B1461" t="n">
        <v>1</v>
      </c>
      <c r="C1461" t="n">
        <v>2987</v>
      </c>
      <c r="D1461" s="6" t="n">
        <v>19.8</v>
      </c>
      <c r="E1461" s="6" t="n">
        <v>1079392.38</v>
      </c>
      <c r="F1461" s="6">
        <f>ROUND(E1461-E1460,2)</f>
        <v/>
      </c>
      <c r="G1461" s="6">
        <f>ROUND(F1461-D1461,2)</f>
        <v/>
      </c>
    </row>
    <row r="1462">
      <c r="A1462" t="inlineStr">
        <is>
          <t>2022-06-19</t>
        </is>
      </c>
      <c r="B1462" t="n">
        <v>2</v>
      </c>
      <c r="C1462" t="n">
        <v>2987</v>
      </c>
      <c r="D1462" s="6" t="n">
        <v>50.8</v>
      </c>
      <c r="E1462" s="6" t="n">
        <v>1079443.18</v>
      </c>
      <c r="F1462" s="6">
        <f>ROUND(E1462-E1461,2)</f>
        <v/>
      </c>
      <c r="G1462" s="6">
        <f>ROUND(F1462-D1462,2)</f>
        <v/>
      </c>
    </row>
    <row r="1463">
      <c r="A1463" t="inlineStr">
        <is>
          <t>2022-06-19</t>
        </is>
      </c>
      <c r="B1463" t="n">
        <v>3</v>
      </c>
      <c r="C1463" t="n">
        <v>2987</v>
      </c>
      <c r="D1463" s="6" t="n">
        <v>57.9</v>
      </c>
      <c r="E1463" s="6" t="n">
        <v>1079501.08</v>
      </c>
      <c r="F1463" s="6">
        <f>ROUND(E1463-E1462,2)</f>
        <v/>
      </c>
      <c r="G1463" s="6">
        <f>ROUND(F1463-D1463,2)</f>
        <v/>
      </c>
    </row>
    <row r="1464">
      <c r="A1464" t="inlineStr">
        <is>
          <t>2022-06-19</t>
        </is>
      </c>
      <c r="B1464" t="n">
        <v>4</v>
      </c>
      <c r="C1464" t="n">
        <v>2987</v>
      </c>
      <c r="D1464" s="6" t="n">
        <v>20.7</v>
      </c>
      <c r="E1464" s="6" t="n">
        <v>1079521.78</v>
      </c>
      <c r="F1464" s="6">
        <f>ROUND(E1464-E1463,2)</f>
        <v/>
      </c>
      <c r="G1464" s="6">
        <f>ROUND(F1464-D1464,2)</f>
        <v/>
      </c>
    </row>
    <row r="1465">
      <c r="A1465" t="inlineStr">
        <is>
          <t>2022-06-19</t>
        </is>
      </c>
      <c r="B1465" t="n">
        <v>5</v>
      </c>
      <c r="C1465" t="n">
        <v>2987</v>
      </c>
      <c r="D1465" s="6" t="n">
        <v>83.7</v>
      </c>
      <c r="E1465" s="6" t="n">
        <v>1079605.48</v>
      </c>
      <c r="F1465" s="6">
        <f>ROUND(E1465-E1464,2)</f>
        <v/>
      </c>
      <c r="G1465" s="6">
        <f>ROUND(F1465-D1465,2)</f>
        <v/>
      </c>
    </row>
    <row r="1466">
      <c r="A1466" t="inlineStr">
        <is>
          <t>2022-06-19</t>
        </is>
      </c>
      <c r="B1466" t="n">
        <v>6</v>
      </c>
      <c r="C1466" t="n">
        <v>2987</v>
      </c>
      <c r="D1466" s="6" t="n">
        <v>170.2</v>
      </c>
      <c r="E1466" s="6" t="n">
        <v>1079775.68</v>
      </c>
      <c r="F1466" s="6">
        <f>ROUND(E1466-E1465,2)</f>
        <v/>
      </c>
      <c r="G1466" s="6">
        <f>ROUND(F1466-D1466,2)</f>
        <v/>
      </c>
    </row>
    <row r="1467">
      <c r="A1467" t="inlineStr">
        <is>
          <t>2022-06-19</t>
        </is>
      </c>
      <c r="B1467" t="n">
        <v>7</v>
      </c>
      <c r="C1467" t="n">
        <v>2987</v>
      </c>
      <c r="D1467" s="6" t="n">
        <v>116.7</v>
      </c>
      <c r="E1467" s="6" t="n">
        <v>1079892.38</v>
      </c>
      <c r="F1467" s="6">
        <f>ROUND(E1467-E1466,2)</f>
        <v/>
      </c>
      <c r="G1467" s="6">
        <f>ROUND(F1467-D1467,2)</f>
        <v/>
      </c>
    </row>
    <row r="1468">
      <c r="A1468" t="inlineStr">
        <is>
          <t>2022-06-19</t>
        </is>
      </c>
      <c r="B1468" t="n">
        <v>8</v>
      </c>
      <c r="C1468" t="n">
        <v>2987</v>
      </c>
      <c r="D1468" s="6" t="n">
        <v>65.3</v>
      </c>
      <c r="E1468" s="6" t="n">
        <v>1079957.68</v>
      </c>
      <c r="F1468" s="6">
        <f>ROUND(E1468-E1467,2)</f>
        <v/>
      </c>
      <c r="G1468" s="6">
        <f>ROUND(F1468-D1468,2)</f>
        <v/>
      </c>
    </row>
    <row r="1469">
      <c r="A1469" t="inlineStr">
        <is>
          <t>2022-06-19</t>
        </is>
      </c>
      <c r="B1469" t="n">
        <v>9</v>
      </c>
      <c r="C1469" t="n">
        <v>2987</v>
      </c>
      <c r="D1469" s="6" t="n">
        <v>68.09999999999999</v>
      </c>
      <c r="E1469" s="6" t="n">
        <v>1080025.78</v>
      </c>
      <c r="F1469" s="6">
        <f>ROUND(E1469-E1468,2)</f>
        <v/>
      </c>
      <c r="G1469" s="6">
        <f>ROUND(F1469-D1469,2)</f>
        <v/>
      </c>
    </row>
    <row r="1470">
      <c r="A1470" t="inlineStr">
        <is>
          <t>2022-06-19</t>
        </is>
      </c>
      <c r="B1470" t="n">
        <v>10</v>
      </c>
      <c r="C1470" t="n">
        <v>2987</v>
      </c>
      <c r="D1470" s="6" t="n">
        <v>168.7</v>
      </c>
      <c r="E1470" s="6" t="n">
        <v>1080194.48</v>
      </c>
      <c r="F1470" s="6">
        <f>ROUND(E1470-E1469,2)</f>
        <v/>
      </c>
      <c r="G1470" s="6">
        <f>ROUND(F1470-D1470,2)</f>
        <v/>
      </c>
    </row>
    <row r="1471">
      <c r="A1471" t="inlineStr">
        <is>
          <t>2022-06-19</t>
        </is>
      </c>
      <c r="B1471" t="n">
        <v>11</v>
      </c>
      <c r="C1471" t="n">
        <v>2987</v>
      </c>
      <c r="D1471" s="6" t="n">
        <v>12</v>
      </c>
      <c r="E1471" s="6" t="n">
        <v>1080206.48</v>
      </c>
      <c r="F1471" s="6">
        <f>ROUND(E1471-E1470,2)</f>
        <v/>
      </c>
      <c r="G1471" s="6">
        <f>ROUND(F1471-D1471,2)</f>
        <v/>
      </c>
    </row>
    <row r="1472">
      <c r="A1472" t="inlineStr">
        <is>
          <t>2022-06-19</t>
        </is>
      </c>
      <c r="B1472" t="n">
        <v>12</v>
      </c>
      <c r="C1472" t="n">
        <v>2987</v>
      </c>
      <c r="D1472" s="6" t="n">
        <v>92.40000000000001</v>
      </c>
      <c r="E1472" s="6" t="n">
        <v>1080298.88</v>
      </c>
      <c r="F1472" s="6">
        <f>ROUND(E1472-E1471,2)</f>
        <v/>
      </c>
      <c r="G1472" s="6">
        <f>ROUND(F1472-D1472,2)</f>
        <v/>
      </c>
    </row>
    <row r="1473">
      <c r="A1473" t="inlineStr">
        <is>
          <t>2022-06-19</t>
        </is>
      </c>
      <c r="B1473" t="n">
        <v>13</v>
      </c>
      <c r="C1473" t="n">
        <v>2987</v>
      </c>
      <c r="D1473" s="6" t="n">
        <v>83.5</v>
      </c>
      <c r="E1473" s="6" t="n">
        <v>1080382.38</v>
      </c>
      <c r="F1473" s="6">
        <f>ROUND(E1473-E1472,2)</f>
        <v/>
      </c>
      <c r="G1473" s="6">
        <f>ROUND(F1473-D1473,2)</f>
        <v/>
      </c>
    </row>
    <row r="1474">
      <c r="A1474" t="inlineStr">
        <is>
          <t>2022-06-19</t>
        </is>
      </c>
      <c r="B1474" t="n">
        <v>14</v>
      </c>
      <c r="C1474" t="n">
        <v>2987</v>
      </c>
      <c r="D1474" s="6" t="n">
        <v>79.59999999999999</v>
      </c>
      <c r="E1474" s="6" t="n">
        <v>1080461.98</v>
      </c>
      <c r="F1474" s="6">
        <f>ROUND(E1474-E1473,2)</f>
        <v/>
      </c>
      <c r="G1474" s="6">
        <f>ROUND(F1474-D1474,2)</f>
        <v/>
      </c>
    </row>
    <row r="1475">
      <c r="A1475" t="inlineStr">
        <is>
          <t>2022-06-19</t>
        </is>
      </c>
      <c r="B1475" t="n">
        <v>15</v>
      </c>
      <c r="C1475" t="n">
        <v>2987</v>
      </c>
      <c r="D1475" s="6" t="n">
        <v>41.2</v>
      </c>
      <c r="E1475" s="6" t="n">
        <v>1080503.18</v>
      </c>
      <c r="F1475" s="6">
        <f>ROUND(E1475-E1474,2)</f>
        <v/>
      </c>
      <c r="G1475" s="6">
        <f>ROUND(F1475-D1475,2)</f>
        <v/>
      </c>
    </row>
    <row r="1476">
      <c r="A1476" t="inlineStr">
        <is>
          <t>2022-06-19</t>
        </is>
      </c>
      <c r="B1476" t="n">
        <v>16</v>
      </c>
      <c r="C1476" t="n">
        <v>2987</v>
      </c>
      <c r="D1476" s="6" t="n">
        <v>23.1</v>
      </c>
      <c r="E1476" s="6" t="n">
        <v>1080526.28</v>
      </c>
      <c r="F1476" s="6">
        <f>ROUND(E1476-E1475,2)</f>
        <v/>
      </c>
      <c r="G1476" s="6">
        <f>ROUND(F1476-D1476,2)</f>
        <v/>
      </c>
    </row>
    <row r="1477">
      <c r="A1477" t="inlineStr">
        <is>
          <t>2022-06-19</t>
        </is>
      </c>
      <c r="B1477" t="n">
        <v>17</v>
      </c>
      <c r="C1477" t="n">
        <v>2987</v>
      </c>
      <c r="D1477" s="6" t="n">
        <v>30.6</v>
      </c>
      <c r="E1477" s="6" t="n">
        <v>1080556.88</v>
      </c>
      <c r="F1477" s="6">
        <f>ROUND(E1477-E1476,2)</f>
        <v/>
      </c>
      <c r="G1477" s="6">
        <f>ROUND(F1477-D1477,2)</f>
        <v/>
      </c>
    </row>
    <row r="1478">
      <c r="A1478" t="inlineStr">
        <is>
          <t>2022-06-19</t>
        </is>
      </c>
      <c r="B1478" t="n">
        <v>18</v>
      </c>
      <c r="C1478" t="n">
        <v>2987</v>
      </c>
      <c r="D1478" s="6" t="n">
        <v>90.7</v>
      </c>
      <c r="E1478" s="6" t="n">
        <v>1080647.58</v>
      </c>
      <c r="F1478" s="6">
        <f>ROUND(E1478-E1477,2)</f>
        <v/>
      </c>
      <c r="G1478" s="6">
        <f>ROUND(F1478-D1478,2)</f>
        <v/>
      </c>
    </row>
    <row r="1479">
      <c r="A1479" t="inlineStr">
        <is>
          <t>2022-06-19</t>
        </is>
      </c>
      <c r="B1479" t="n">
        <v>19</v>
      </c>
      <c r="C1479" t="n">
        <v>2987</v>
      </c>
      <c r="D1479" s="6" t="n">
        <v>67.09999999999999</v>
      </c>
      <c r="E1479" s="6" t="n">
        <v>1080714.68</v>
      </c>
      <c r="F1479" s="6">
        <f>ROUND(E1479-E1478,2)</f>
        <v/>
      </c>
      <c r="G1479" s="6">
        <f>ROUND(F1479-D1479,2)</f>
        <v/>
      </c>
    </row>
    <row r="1480">
      <c r="A1480" t="inlineStr">
        <is>
          <t>2022-06-19</t>
        </is>
      </c>
      <c r="B1480" t="n">
        <v>20</v>
      </c>
      <c r="C1480" t="n">
        <v>2987</v>
      </c>
      <c r="D1480" s="6" t="n">
        <v>63.3</v>
      </c>
      <c r="E1480" s="6" t="n">
        <v>1080777.98</v>
      </c>
      <c r="F1480" s="6">
        <f>ROUND(E1480-E1479,2)</f>
        <v/>
      </c>
      <c r="G1480" s="6">
        <f>ROUND(F1480-D1480,2)</f>
        <v/>
      </c>
    </row>
    <row r="1481">
      <c r="A1481" t="inlineStr">
        <is>
          <t>2022-06-19</t>
        </is>
      </c>
      <c r="B1481" t="n">
        <v>21</v>
      </c>
      <c r="C1481" t="n">
        <v>2987</v>
      </c>
      <c r="D1481" s="6" t="n">
        <v>80.40000000000001</v>
      </c>
      <c r="E1481" s="6" t="n">
        <v>1080858.38</v>
      </c>
      <c r="F1481" s="6">
        <f>ROUND(E1481-E1480,2)</f>
        <v/>
      </c>
      <c r="G1481" s="6">
        <f>ROUND(F1481-D1481,2)</f>
        <v/>
      </c>
    </row>
    <row r="1482">
      <c r="A1482" t="inlineStr">
        <is>
          <t>2022-06-19</t>
        </is>
      </c>
      <c r="B1482" t="n">
        <v>22</v>
      </c>
      <c r="C1482" t="n">
        <v>2987</v>
      </c>
      <c r="D1482" s="6" t="n">
        <v>76.09999999999999</v>
      </c>
      <c r="E1482" s="6" t="n">
        <v>1080934.48</v>
      </c>
      <c r="F1482" s="6">
        <f>ROUND(E1482-E1481,2)</f>
        <v/>
      </c>
      <c r="G1482" s="6">
        <f>ROUND(F1482-D1482,2)</f>
        <v/>
      </c>
    </row>
    <row r="1483">
      <c r="A1483" t="inlineStr">
        <is>
          <t>2022-06-19</t>
        </is>
      </c>
      <c r="B1483" t="n">
        <v>23</v>
      </c>
      <c r="C1483" t="n">
        <v>2987</v>
      </c>
      <c r="D1483" s="6" t="n">
        <v>161.4</v>
      </c>
      <c r="E1483" s="6" t="n">
        <v>1081095.88</v>
      </c>
      <c r="F1483" s="6">
        <f>ROUND(E1483-E1482,2)</f>
        <v/>
      </c>
      <c r="G1483" s="6">
        <f>ROUND(F1483-D1483,2)</f>
        <v/>
      </c>
    </row>
    <row r="1484">
      <c r="A1484" t="inlineStr">
        <is>
          <t>2022-06-19</t>
        </is>
      </c>
      <c r="B1484" t="n">
        <v>24</v>
      </c>
      <c r="C1484" t="n">
        <v>2987</v>
      </c>
      <c r="D1484" s="6" t="n">
        <v>71.40000000000001</v>
      </c>
      <c r="E1484" s="6" t="n">
        <v>1081167.28</v>
      </c>
      <c r="F1484" s="6">
        <f>ROUND(E1484-E1483,2)</f>
        <v/>
      </c>
      <c r="G1484" s="6">
        <f>ROUND(F1484-D1484,2)</f>
        <v/>
      </c>
    </row>
    <row r="1485">
      <c r="A1485" t="inlineStr">
        <is>
          <t>2022-06-19</t>
        </is>
      </c>
      <c r="B1485" t="n">
        <v>25</v>
      </c>
      <c r="C1485" t="n">
        <v>2987</v>
      </c>
      <c r="D1485" s="6" t="n">
        <v>24.9</v>
      </c>
      <c r="E1485" s="6" t="n">
        <v>1081192.18</v>
      </c>
      <c r="F1485" s="6">
        <f>ROUND(E1485-E1484,2)</f>
        <v/>
      </c>
      <c r="G1485" s="6">
        <f>ROUND(F1485-D1485,2)</f>
        <v/>
      </c>
    </row>
    <row r="1486">
      <c r="A1486" t="inlineStr">
        <is>
          <t>2022-06-19</t>
        </is>
      </c>
      <c r="B1486" t="n">
        <v>26</v>
      </c>
      <c r="C1486" t="n">
        <v>2987</v>
      </c>
      <c r="D1486" s="6" t="n">
        <v>59.7</v>
      </c>
      <c r="E1486" s="6" t="n">
        <v>1081251.88</v>
      </c>
      <c r="F1486" s="6">
        <f>ROUND(E1486-E1485,2)</f>
        <v/>
      </c>
      <c r="G1486" s="6">
        <f>ROUND(F1486-D1486,2)</f>
        <v/>
      </c>
    </row>
    <row r="1487">
      <c r="A1487" t="inlineStr">
        <is>
          <t>2022-06-19</t>
        </is>
      </c>
      <c r="B1487" t="n">
        <v>27</v>
      </c>
      <c r="C1487" t="n">
        <v>2987</v>
      </c>
      <c r="D1487" s="6" t="n">
        <v>87.3</v>
      </c>
      <c r="E1487" s="6" t="n">
        <v>1081339.18</v>
      </c>
      <c r="F1487" s="6">
        <f>ROUND(E1487-E1486,2)</f>
        <v/>
      </c>
      <c r="G1487" s="6">
        <f>ROUND(F1487-D1487,2)</f>
        <v/>
      </c>
    </row>
    <row r="1488">
      <c r="A1488" t="inlineStr">
        <is>
          <t>2022-06-19</t>
        </is>
      </c>
      <c r="B1488" t="n">
        <v>28</v>
      </c>
      <c r="C1488" t="n">
        <v>2987</v>
      </c>
      <c r="D1488" s="6" t="n">
        <v>57.8</v>
      </c>
      <c r="E1488" s="6" t="n">
        <v>1081396.98</v>
      </c>
      <c r="F1488" s="6">
        <f>ROUND(E1488-E1487,2)</f>
        <v/>
      </c>
      <c r="G1488" s="6">
        <f>ROUND(F1488-D1488,2)</f>
        <v/>
      </c>
    </row>
    <row r="1489">
      <c r="A1489" t="inlineStr">
        <is>
          <t>2022-06-19</t>
        </is>
      </c>
      <c r="B1489" t="n">
        <v>29</v>
      </c>
      <c r="C1489" t="n">
        <v>2987</v>
      </c>
      <c r="D1489" s="6" t="n">
        <v>20.1</v>
      </c>
      <c r="E1489" s="6" t="n">
        <v>1081417.08</v>
      </c>
      <c r="F1489" s="6">
        <f>ROUND(E1489-E1488,2)</f>
        <v/>
      </c>
      <c r="G1489" s="6">
        <f>ROUND(F1489-D1489,2)</f>
        <v/>
      </c>
    </row>
    <row r="1490">
      <c r="A1490" t="inlineStr">
        <is>
          <t>2022-06-19</t>
        </is>
      </c>
      <c r="B1490" t="n">
        <v>30</v>
      </c>
      <c r="C1490" t="n">
        <v>2987</v>
      </c>
      <c r="D1490" s="6" t="n">
        <v>19.8</v>
      </c>
      <c r="E1490" s="6" t="n">
        <v>1081436.88</v>
      </c>
      <c r="F1490" s="6">
        <f>ROUND(E1490-E1489,2)</f>
        <v/>
      </c>
      <c r="G1490" s="6">
        <f>ROUND(F1490-D1490,2)</f>
        <v/>
      </c>
    </row>
    <row r="1491">
      <c r="A1491" t="inlineStr">
        <is>
          <t>2022-06-19</t>
        </is>
      </c>
      <c r="B1491" t="n">
        <v>31</v>
      </c>
      <c r="C1491" t="n">
        <v>2987</v>
      </c>
      <c r="D1491" s="6" t="n">
        <v>40.6</v>
      </c>
      <c r="E1491" s="6" t="n">
        <v>1081477.48</v>
      </c>
      <c r="F1491" s="6">
        <f>ROUND(E1491-E1490,2)</f>
        <v/>
      </c>
      <c r="G1491" s="6">
        <f>ROUND(F1491-D1491,2)</f>
        <v/>
      </c>
    </row>
    <row r="1492">
      <c r="A1492" t="inlineStr">
        <is>
          <t>2022-06-22</t>
        </is>
      </c>
      <c r="B1492" t="n">
        <v>1</v>
      </c>
      <c r="C1492" t="n">
        <v>2988</v>
      </c>
      <c r="D1492" s="6" t="n">
        <v>35</v>
      </c>
      <c r="E1492" s="6" t="n">
        <v>1081512.48</v>
      </c>
      <c r="F1492" s="6">
        <f>ROUND(E1492-E1491,2)</f>
        <v/>
      </c>
      <c r="G1492" s="6">
        <f>ROUND(F1492-D1492,2)</f>
        <v/>
      </c>
    </row>
    <row r="1493">
      <c r="A1493" t="inlineStr">
        <is>
          <t>2022-06-22</t>
        </is>
      </c>
      <c r="B1493" t="n">
        <v>2</v>
      </c>
      <c r="C1493" t="n">
        <v>2988</v>
      </c>
      <c r="D1493" s="6" t="n">
        <v>29</v>
      </c>
      <c r="E1493" s="6" t="n">
        <v>1081541.48</v>
      </c>
      <c r="F1493" s="6">
        <f>ROUND(E1493-E1492,2)</f>
        <v/>
      </c>
      <c r="G1493" s="6">
        <f>ROUND(F1493-D1493,2)</f>
        <v/>
      </c>
    </row>
    <row r="1494">
      <c r="A1494" t="inlineStr">
        <is>
          <t>2022-06-22</t>
        </is>
      </c>
      <c r="B1494" t="n">
        <v>3</v>
      </c>
      <c r="C1494" t="n">
        <v>2988</v>
      </c>
      <c r="D1494" s="6" t="n">
        <v>45.4</v>
      </c>
      <c r="E1494" s="6" t="n">
        <v>1081586.88</v>
      </c>
      <c r="F1494" s="6">
        <f>ROUND(E1494-E1493,2)</f>
        <v/>
      </c>
      <c r="G1494" s="6">
        <f>ROUND(F1494-D1494,2)</f>
        <v/>
      </c>
    </row>
    <row r="1495">
      <c r="A1495" t="inlineStr">
        <is>
          <t>2022-06-22</t>
        </is>
      </c>
      <c r="B1495" t="n">
        <v>4</v>
      </c>
      <c r="C1495" t="n">
        <v>2988</v>
      </c>
      <c r="D1495" s="6" t="n">
        <v>25.95</v>
      </c>
      <c r="E1495" s="6" t="n">
        <v>1081612.83</v>
      </c>
      <c r="F1495" s="6">
        <f>ROUND(E1495-E1494,2)</f>
        <v/>
      </c>
      <c r="G1495" s="6">
        <f>ROUND(F1495-D1495,2)</f>
        <v/>
      </c>
    </row>
    <row r="1496">
      <c r="A1496" t="inlineStr">
        <is>
          <t>2022-06-22</t>
        </is>
      </c>
      <c r="B1496" t="n">
        <v>5</v>
      </c>
      <c r="C1496" t="n">
        <v>2988</v>
      </c>
      <c r="D1496" s="6" t="n">
        <v>25.95</v>
      </c>
      <c r="E1496" s="6" t="n">
        <v>1081638.78</v>
      </c>
      <c r="F1496" s="6">
        <f>ROUND(E1496-E1495,2)</f>
        <v/>
      </c>
      <c r="G1496" s="6">
        <f>ROUND(F1496-D1496,2)</f>
        <v/>
      </c>
    </row>
    <row r="1497">
      <c r="A1497" t="inlineStr">
        <is>
          <t>2022-06-22</t>
        </is>
      </c>
      <c r="B1497" t="n">
        <v>6</v>
      </c>
      <c r="C1497" t="n">
        <v>2988</v>
      </c>
      <c r="D1497" s="6" t="n">
        <v>41.6</v>
      </c>
      <c r="E1497" s="6" t="n">
        <v>1081680.38</v>
      </c>
      <c r="F1497" s="6">
        <f>ROUND(E1497-E1496,2)</f>
        <v/>
      </c>
      <c r="G1497" s="6">
        <f>ROUND(F1497-D1497,2)</f>
        <v/>
      </c>
    </row>
    <row r="1498">
      <c r="A1498" t="inlineStr">
        <is>
          <t>2022-06-22</t>
        </is>
      </c>
      <c r="B1498" t="n">
        <v>7</v>
      </c>
      <c r="C1498" t="n">
        <v>2988</v>
      </c>
      <c r="D1498" s="6" t="n">
        <v>49.5</v>
      </c>
      <c r="E1498" s="6" t="n">
        <v>1081729.88</v>
      </c>
      <c r="F1498" s="6">
        <f>ROUND(E1498-E1497,2)</f>
        <v/>
      </c>
      <c r="G1498" s="6">
        <f>ROUND(F1498-D1498,2)</f>
        <v/>
      </c>
    </row>
    <row r="1499">
      <c r="A1499" t="inlineStr">
        <is>
          <t>2022-06-22</t>
        </is>
      </c>
      <c r="B1499" t="n">
        <v>8</v>
      </c>
      <c r="C1499" t="n">
        <v>2988</v>
      </c>
      <c r="D1499" s="6" t="n">
        <v>43.2</v>
      </c>
      <c r="E1499" s="6" t="n">
        <v>1081773.08</v>
      </c>
      <c r="F1499" s="6">
        <f>ROUND(E1499-E1498,2)</f>
        <v/>
      </c>
      <c r="G1499" s="6">
        <f>ROUND(F1499-D1499,2)</f>
        <v/>
      </c>
    </row>
    <row r="1500">
      <c r="A1500" t="inlineStr">
        <is>
          <t>2022-06-22</t>
        </is>
      </c>
      <c r="B1500" t="n">
        <v>9</v>
      </c>
      <c r="C1500" t="n">
        <v>2988</v>
      </c>
      <c r="D1500" s="6" t="n">
        <v>70.7</v>
      </c>
      <c r="E1500" s="6" t="n">
        <v>1081843.78</v>
      </c>
      <c r="F1500" s="6">
        <f>ROUND(E1500-E1499,2)</f>
        <v/>
      </c>
      <c r="G1500" s="6">
        <f>ROUND(F1500-D1500,2)</f>
        <v/>
      </c>
    </row>
    <row r="1501">
      <c r="A1501" t="inlineStr">
        <is>
          <t>2022-06-22</t>
        </is>
      </c>
      <c r="B1501" t="n">
        <v>10</v>
      </c>
      <c r="C1501" t="n">
        <v>2988</v>
      </c>
      <c r="D1501" s="6" t="n">
        <v>32.3</v>
      </c>
      <c r="E1501" s="6" t="n">
        <v>1081876.08</v>
      </c>
      <c r="F1501" s="6">
        <f>ROUND(E1501-E1500,2)</f>
        <v/>
      </c>
      <c r="G1501" s="6">
        <f>ROUND(F1501-D1501,2)</f>
        <v/>
      </c>
    </row>
    <row r="1502">
      <c r="A1502" t="inlineStr">
        <is>
          <t>2022-06-22</t>
        </is>
      </c>
      <c r="B1502" t="n">
        <v>11</v>
      </c>
      <c r="C1502" t="n">
        <v>2988</v>
      </c>
      <c r="D1502" s="6" t="n">
        <v>128.4</v>
      </c>
      <c r="E1502" s="6" t="n">
        <v>1082004.48</v>
      </c>
      <c r="F1502" s="6">
        <f>ROUND(E1502-E1501,2)</f>
        <v/>
      </c>
      <c r="G1502" s="6">
        <f>ROUND(F1502-D1502,2)</f>
        <v/>
      </c>
    </row>
    <row r="1503">
      <c r="A1503" t="inlineStr">
        <is>
          <t>2022-06-22</t>
        </is>
      </c>
      <c r="B1503" t="n">
        <v>12</v>
      </c>
      <c r="C1503" t="n">
        <v>2988</v>
      </c>
      <c r="D1503" s="6" t="n">
        <v>45.4</v>
      </c>
      <c r="E1503" s="6" t="n">
        <v>1082049.88</v>
      </c>
      <c r="F1503" s="6">
        <f>ROUND(E1503-E1502,2)</f>
        <v/>
      </c>
      <c r="G1503" s="6">
        <f>ROUND(F1503-D1503,2)</f>
        <v/>
      </c>
    </row>
    <row r="1504">
      <c r="A1504" t="inlineStr">
        <is>
          <t>2022-06-22</t>
        </is>
      </c>
      <c r="B1504" t="n">
        <v>13</v>
      </c>
      <c r="C1504" t="n">
        <v>2988</v>
      </c>
      <c r="D1504" s="6" t="n">
        <v>133</v>
      </c>
      <c r="E1504" s="6" t="n">
        <v>1082182.88</v>
      </c>
      <c r="F1504" s="6">
        <f>ROUND(E1504-E1503,2)</f>
        <v/>
      </c>
      <c r="G1504" s="6">
        <f>ROUND(F1504-D1504,2)</f>
        <v/>
      </c>
    </row>
    <row r="1505">
      <c r="A1505" t="inlineStr">
        <is>
          <t>2022-06-22</t>
        </is>
      </c>
      <c r="B1505" t="n">
        <v>14</v>
      </c>
      <c r="C1505" t="n">
        <v>2988</v>
      </c>
      <c r="D1505" s="6" t="n">
        <v>60.5</v>
      </c>
      <c r="E1505" s="6" t="n">
        <v>1082243.38</v>
      </c>
      <c r="F1505" s="6">
        <f>ROUND(E1505-E1504,2)</f>
        <v/>
      </c>
      <c r="G1505" s="6">
        <f>ROUND(F1505-D1505,2)</f>
        <v/>
      </c>
    </row>
    <row r="1506">
      <c r="A1506" t="inlineStr">
        <is>
          <t>2022-06-22</t>
        </is>
      </c>
      <c r="B1506" t="n">
        <v>15</v>
      </c>
      <c r="C1506" t="n">
        <v>2988</v>
      </c>
      <c r="D1506" s="6" t="n">
        <v>26.05</v>
      </c>
      <c r="E1506" s="6" t="n">
        <v>1082269.43</v>
      </c>
      <c r="F1506" s="6">
        <f>ROUND(E1506-E1505,2)</f>
        <v/>
      </c>
      <c r="G1506" s="6">
        <f>ROUND(F1506-D1506,2)</f>
        <v/>
      </c>
    </row>
    <row r="1507">
      <c r="A1507" t="inlineStr">
        <is>
          <t>2022-06-22</t>
        </is>
      </c>
      <c r="B1507" t="n">
        <v>16</v>
      </c>
      <c r="C1507" t="n">
        <v>2988</v>
      </c>
      <c r="D1507" s="6" t="n">
        <v>26.05</v>
      </c>
      <c r="E1507" s="6" t="n">
        <v>1082295.48</v>
      </c>
      <c r="F1507" s="6">
        <f>ROUND(E1507-E1506,2)</f>
        <v/>
      </c>
      <c r="G1507" s="6">
        <f>ROUND(F1507-D1507,2)</f>
        <v/>
      </c>
    </row>
    <row r="1508">
      <c r="A1508" t="inlineStr">
        <is>
          <t>2022-06-22</t>
        </is>
      </c>
      <c r="B1508" t="n">
        <v>17</v>
      </c>
      <c r="C1508" t="n">
        <v>2988</v>
      </c>
      <c r="D1508" s="6" t="n">
        <v>80</v>
      </c>
      <c r="E1508" s="6" t="n">
        <v>1082375.48</v>
      </c>
      <c r="F1508" s="6">
        <f>ROUND(E1508-E1507,2)</f>
        <v/>
      </c>
      <c r="G1508" s="6">
        <f>ROUND(F1508-D1508,2)</f>
        <v/>
      </c>
    </row>
    <row r="1509">
      <c r="A1509" t="inlineStr">
        <is>
          <t>2022-06-22</t>
        </is>
      </c>
      <c r="B1509" t="n">
        <v>18</v>
      </c>
      <c r="C1509" t="n">
        <v>2988</v>
      </c>
      <c r="D1509" s="6" t="n">
        <v>54.3</v>
      </c>
      <c r="E1509" s="6" t="n">
        <v>1082429.78</v>
      </c>
      <c r="F1509" s="6">
        <f>ROUND(E1509-E1508,2)</f>
        <v/>
      </c>
      <c r="G1509" s="6">
        <f>ROUND(F1509-D1509,2)</f>
        <v/>
      </c>
    </row>
    <row r="1510">
      <c r="A1510" t="inlineStr">
        <is>
          <t>2022-06-22</t>
        </is>
      </c>
      <c r="B1510" t="n">
        <v>19</v>
      </c>
      <c r="C1510" t="n">
        <v>2988</v>
      </c>
      <c r="D1510" s="6" t="n">
        <v>79</v>
      </c>
      <c r="E1510" s="6" t="n">
        <v>1082508.78</v>
      </c>
      <c r="F1510" s="6">
        <f>ROUND(E1510-E1509,2)</f>
        <v/>
      </c>
      <c r="G1510" s="6">
        <f>ROUND(F1510-D1510,2)</f>
        <v/>
      </c>
    </row>
    <row r="1511">
      <c r="A1511" t="inlineStr">
        <is>
          <t>2022-06-22</t>
        </is>
      </c>
      <c r="B1511" t="n">
        <v>20</v>
      </c>
      <c r="C1511" t="n">
        <v>2988</v>
      </c>
      <c r="D1511" s="6" t="n">
        <v>184.5</v>
      </c>
      <c r="E1511" s="6" t="n">
        <v>1082693.28</v>
      </c>
      <c r="F1511" s="6">
        <f>ROUND(E1511-E1510,2)</f>
        <v/>
      </c>
      <c r="G1511" s="6">
        <f>ROUND(F1511-D1511,2)</f>
        <v/>
      </c>
    </row>
    <row r="1512">
      <c r="A1512" t="inlineStr">
        <is>
          <t>2022-06-22</t>
        </is>
      </c>
      <c r="B1512" t="n">
        <v>21</v>
      </c>
      <c r="C1512" t="n">
        <v>2988</v>
      </c>
      <c r="D1512" s="6" t="n">
        <v>61.1</v>
      </c>
      <c r="E1512" s="6" t="n">
        <v>1082754.38</v>
      </c>
      <c r="F1512" s="6">
        <f>ROUND(E1512-E1511,2)</f>
        <v/>
      </c>
      <c r="G1512" s="6">
        <f>ROUND(F1512-D1512,2)</f>
        <v/>
      </c>
    </row>
    <row r="1513">
      <c r="A1513" t="inlineStr">
        <is>
          <t>2022-06-22</t>
        </is>
      </c>
      <c r="B1513" t="n">
        <v>22</v>
      </c>
      <c r="C1513" t="n">
        <v>2988</v>
      </c>
      <c r="D1513" s="6" t="n">
        <v>59.7</v>
      </c>
      <c r="E1513" s="6" t="n">
        <v>1082814.08</v>
      </c>
      <c r="F1513" s="6">
        <f>ROUND(E1513-E1512,2)</f>
        <v/>
      </c>
      <c r="G1513" s="6">
        <f>ROUND(F1513-D1513,2)</f>
        <v/>
      </c>
    </row>
    <row r="1514">
      <c r="A1514" t="inlineStr">
        <is>
          <t>2022-06-22</t>
        </is>
      </c>
      <c r="B1514" t="n">
        <v>23</v>
      </c>
      <c r="C1514" t="n">
        <v>2988</v>
      </c>
      <c r="D1514" s="6" t="n">
        <v>98.5</v>
      </c>
      <c r="E1514" s="6" t="n">
        <v>1082912.58</v>
      </c>
      <c r="F1514" s="6">
        <f>ROUND(E1514-E1513,2)</f>
        <v/>
      </c>
      <c r="G1514" s="6">
        <f>ROUND(F1514-D1514,2)</f>
        <v/>
      </c>
    </row>
    <row r="1515">
      <c r="A1515" t="inlineStr">
        <is>
          <t>2022-06-23</t>
        </is>
      </c>
      <c r="B1515" t="n">
        <v>1</v>
      </c>
      <c r="C1515" t="n">
        <v>2989</v>
      </c>
      <c r="D1515" s="6" t="n">
        <v>67.40000000000001</v>
      </c>
      <c r="E1515" s="6" t="n">
        <v>1082979.98</v>
      </c>
      <c r="F1515" s="6">
        <f>ROUND(E1515-E1514,2)</f>
        <v/>
      </c>
      <c r="G1515" s="6">
        <f>ROUND(F1515-D1515,2)</f>
        <v/>
      </c>
    </row>
    <row r="1516">
      <c r="A1516" t="inlineStr">
        <is>
          <t>2022-06-23</t>
        </is>
      </c>
      <c r="B1516" t="n">
        <v>2</v>
      </c>
      <c r="C1516" t="n">
        <v>2989</v>
      </c>
      <c r="D1516" s="6" t="n">
        <v>35.2</v>
      </c>
      <c r="E1516" s="6" t="n">
        <v>1083015.18</v>
      </c>
      <c r="F1516" s="6">
        <f>ROUND(E1516-E1515,2)</f>
        <v/>
      </c>
      <c r="G1516" s="6">
        <f>ROUND(F1516-D1516,2)</f>
        <v/>
      </c>
    </row>
    <row r="1517">
      <c r="A1517" t="inlineStr">
        <is>
          <t>2022-06-23</t>
        </is>
      </c>
      <c r="B1517" t="n">
        <v>3</v>
      </c>
      <c r="C1517" t="n">
        <v>2989</v>
      </c>
      <c r="D1517" s="6" t="n">
        <v>72.40000000000001</v>
      </c>
      <c r="E1517" s="6" t="n">
        <v>1083087.58</v>
      </c>
      <c r="F1517" s="6">
        <f>ROUND(E1517-E1516,2)</f>
        <v/>
      </c>
      <c r="G1517" s="6">
        <f>ROUND(F1517-D1517,2)</f>
        <v/>
      </c>
    </row>
    <row r="1518">
      <c r="A1518" t="inlineStr">
        <is>
          <t>2022-06-23</t>
        </is>
      </c>
      <c r="B1518" t="n">
        <v>4</v>
      </c>
      <c r="C1518" t="n">
        <v>2989</v>
      </c>
      <c r="D1518" s="6" t="n">
        <v>41.3</v>
      </c>
      <c r="E1518" s="6" t="n">
        <v>1083128.88</v>
      </c>
      <c r="F1518" s="6">
        <f>ROUND(E1518-E1517,2)</f>
        <v/>
      </c>
      <c r="G1518" s="6">
        <f>ROUND(F1518-D1518,2)</f>
        <v/>
      </c>
    </row>
    <row r="1519">
      <c r="A1519" t="inlineStr">
        <is>
          <t>2022-06-23</t>
        </is>
      </c>
      <c r="B1519" t="n">
        <v>5</v>
      </c>
      <c r="C1519" t="n">
        <v>2989</v>
      </c>
      <c r="D1519" s="6" t="n">
        <v>55.5</v>
      </c>
      <c r="E1519" s="6" t="n">
        <v>1083184.38</v>
      </c>
      <c r="F1519" s="6">
        <f>ROUND(E1519-E1518,2)</f>
        <v/>
      </c>
      <c r="G1519" s="6">
        <f>ROUND(F1519-D1519,2)</f>
        <v/>
      </c>
    </row>
    <row r="1520">
      <c r="A1520" t="inlineStr">
        <is>
          <t>2022-06-23</t>
        </is>
      </c>
      <c r="B1520" t="n">
        <v>6</v>
      </c>
      <c r="C1520" t="n">
        <v>2989</v>
      </c>
      <c r="D1520" s="6" t="n">
        <v>62.6</v>
      </c>
      <c r="E1520" s="6" t="n">
        <v>1083246.98</v>
      </c>
      <c r="F1520" s="6">
        <f>ROUND(E1520-E1519,2)</f>
        <v/>
      </c>
      <c r="G1520" s="6">
        <f>ROUND(F1520-D1520,2)</f>
        <v/>
      </c>
    </row>
    <row r="1521">
      <c r="A1521" t="inlineStr">
        <is>
          <t>2022-06-23</t>
        </is>
      </c>
      <c r="B1521" t="n">
        <v>7</v>
      </c>
      <c r="C1521" t="n">
        <v>2989</v>
      </c>
      <c r="D1521" s="6" t="n">
        <v>48.8</v>
      </c>
      <c r="E1521" s="6" t="n">
        <v>1083295.78</v>
      </c>
      <c r="F1521" s="6">
        <f>ROUND(E1521-E1520,2)</f>
        <v/>
      </c>
      <c r="G1521" s="6">
        <f>ROUND(F1521-D1521,2)</f>
        <v/>
      </c>
    </row>
    <row r="1522">
      <c r="A1522" t="inlineStr">
        <is>
          <t>2022-06-23</t>
        </is>
      </c>
      <c r="B1522" t="n">
        <v>8</v>
      </c>
      <c r="C1522" t="n">
        <v>2989</v>
      </c>
      <c r="D1522" s="6" t="n">
        <v>80.8</v>
      </c>
      <c r="E1522" s="6" t="n">
        <v>1083376.58</v>
      </c>
      <c r="F1522" s="6">
        <f>ROUND(E1522-E1521,2)</f>
        <v/>
      </c>
      <c r="G1522" s="6">
        <f>ROUND(F1522-D1522,2)</f>
        <v/>
      </c>
    </row>
    <row r="1523">
      <c r="A1523" t="inlineStr">
        <is>
          <t>2022-06-23</t>
        </is>
      </c>
      <c r="B1523" t="n">
        <v>9</v>
      </c>
      <c r="C1523" t="n">
        <v>2989</v>
      </c>
      <c r="D1523" s="6" t="n">
        <v>34.9</v>
      </c>
      <c r="E1523" s="6" t="n">
        <v>1083411.48</v>
      </c>
      <c r="F1523" s="6">
        <f>ROUND(E1523-E1522,2)</f>
        <v/>
      </c>
      <c r="G1523" s="6">
        <f>ROUND(F1523-D1523,2)</f>
        <v/>
      </c>
    </row>
    <row r="1524">
      <c r="A1524" t="inlineStr">
        <is>
          <t>2022-06-23</t>
        </is>
      </c>
      <c r="B1524" t="n">
        <v>10</v>
      </c>
      <c r="C1524" t="n">
        <v>2989</v>
      </c>
      <c r="D1524" s="6" t="n">
        <v>61.7</v>
      </c>
      <c r="E1524" s="6" t="n">
        <v>1083473.18</v>
      </c>
      <c r="F1524" s="6">
        <f>ROUND(E1524-E1523,2)</f>
        <v/>
      </c>
      <c r="G1524" s="6">
        <f>ROUND(F1524-D1524,2)</f>
        <v/>
      </c>
    </row>
    <row r="1525">
      <c r="A1525" t="inlineStr">
        <is>
          <t>2022-06-23</t>
        </is>
      </c>
      <c r="B1525" t="n">
        <v>11</v>
      </c>
      <c r="C1525" t="n">
        <v>2989</v>
      </c>
      <c r="D1525" s="6" t="n">
        <v>32.6</v>
      </c>
      <c r="E1525" s="6" t="n">
        <v>1083505.78</v>
      </c>
      <c r="F1525" s="6">
        <f>ROUND(E1525-E1524,2)</f>
        <v/>
      </c>
      <c r="G1525" s="6">
        <f>ROUND(F1525-D1525,2)</f>
        <v/>
      </c>
    </row>
    <row r="1526">
      <c r="A1526" t="inlineStr">
        <is>
          <t>2022-06-23</t>
        </is>
      </c>
      <c r="B1526" t="n">
        <v>12</v>
      </c>
      <c r="C1526" t="n">
        <v>2989</v>
      </c>
      <c r="D1526" s="6" t="n">
        <v>44.9</v>
      </c>
      <c r="E1526" s="6" t="n">
        <v>1083550.68</v>
      </c>
      <c r="F1526" s="6">
        <f>ROUND(E1526-E1525,2)</f>
        <v/>
      </c>
      <c r="G1526" s="6">
        <f>ROUND(F1526-D1526,2)</f>
        <v/>
      </c>
    </row>
    <row r="1527">
      <c r="A1527" t="inlineStr">
        <is>
          <t>2022-06-23</t>
        </is>
      </c>
      <c r="B1527" t="n">
        <v>13</v>
      </c>
      <c r="C1527" t="n">
        <v>2989</v>
      </c>
      <c r="D1527" s="6" t="n">
        <v>76</v>
      </c>
      <c r="E1527" s="6" t="n">
        <v>1083626.68</v>
      </c>
      <c r="F1527" s="6">
        <f>ROUND(E1527-E1526,2)</f>
        <v/>
      </c>
      <c r="G1527" s="6">
        <f>ROUND(F1527-D1527,2)</f>
        <v/>
      </c>
    </row>
    <row r="1528">
      <c r="A1528" t="inlineStr">
        <is>
          <t>2022-06-23</t>
        </is>
      </c>
      <c r="B1528" t="n">
        <v>14</v>
      </c>
      <c r="C1528" t="n">
        <v>2989</v>
      </c>
      <c r="D1528" s="6" t="n">
        <v>46.7</v>
      </c>
      <c r="E1528" s="6" t="n">
        <v>1083673.38</v>
      </c>
      <c r="F1528" s="6">
        <f>ROUND(E1528-E1527,2)</f>
        <v/>
      </c>
      <c r="G1528" s="6">
        <f>ROUND(F1528-D1528,2)</f>
        <v/>
      </c>
    </row>
    <row r="1529">
      <c r="A1529" t="inlineStr">
        <is>
          <t>2022-06-23</t>
        </is>
      </c>
      <c r="B1529" t="n">
        <v>15</v>
      </c>
      <c r="C1529" t="n">
        <v>2989</v>
      </c>
      <c r="D1529" s="6" t="n">
        <v>71.5</v>
      </c>
      <c r="E1529" s="6" t="n">
        <v>1083744.88</v>
      </c>
      <c r="F1529" s="6">
        <f>ROUND(E1529-E1528,2)</f>
        <v/>
      </c>
      <c r="G1529" s="6">
        <f>ROUND(F1529-D1529,2)</f>
        <v/>
      </c>
    </row>
    <row r="1530">
      <c r="A1530" t="inlineStr">
        <is>
          <t>2022-06-23</t>
        </is>
      </c>
      <c r="B1530" t="n">
        <v>16</v>
      </c>
      <c r="C1530" t="n">
        <v>2989</v>
      </c>
      <c r="D1530" s="6" t="n">
        <v>69.90000000000001</v>
      </c>
      <c r="E1530" s="6" t="n">
        <v>1083814.78</v>
      </c>
      <c r="F1530" s="6">
        <f>ROUND(E1530-E1529,2)</f>
        <v/>
      </c>
      <c r="G1530" s="6">
        <f>ROUND(F1530-D1530,2)</f>
        <v/>
      </c>
    </row>
    <row r="1531">
      <c r="A1531" t="inlineStr">
        <is>
          <t>2022-06-23</t>
        </is>
      </c>
      <c r="B1531" t="n">
        <v>17</v>
      </c>
      <c r="C1531" t="n">
        <v>2989</v>
      </c>
      <c r="D1531" s="6" t="n">
        <v>87.7</v>
      </c>
      <c r="E1531" s="6" t="n">
        <v>1083902.48</v>
      </c>
      <c r="F1531" s="6">
        <f>ROUND(E1531-E1530,2)</f>
        <v/>
      </c>
      <c r="G1531" s="6">
        <f>ROUND(F1531-D1531,2)</f>
        <v/>
      </c>
    </row>
    <row r="1532">
      <c r="A1532" t="inlineStr">
        <is>
          <t>2022-06-23</t>
        </is>
      </c>
      <c r="B1532" t="n">
        <v>18</v>
      </c>
      <c r="C1532" t="n">
        <v>2989</v>
      </c>
      <c r="D1532" s="6" t="n">
        <v>105.6</v>
      </c>
      <c r="E1532" s="6" t="n">
        <v>1084008.08</v>
      </c>
      <c r="F1532" s="6">
        <f>ROUND(E1532-E1531,2)</f>
        <v/>
      </c>
      <c r="G1532" s="6">
        <f>ROUND(F1532-D1532,2)</f>
        <v/>
      </c>
    </row>
    <row r="1533">
      <c r="A1533" t="inlineStr">
        <is>
          <t>2022-06-23</t>
        </is>
      </c>
      <c r="B1533" t="n">
        <v>19</v>
      </c>
      <c r="C1533" t="n">
        <v>2989</v>
      </c>
      <c r="D1533" s="6" t="n">
        <v>95.8</v>
      </c>
      <c r="E1533" s="6" t="n">
        <v>1084103.88</v>
      </c>
      <c r="F1533" s="6">
        <f>ROUND(E1533-E1532,2)</f>
        <v/>
      </c>
      <c r="G1533" s="6">
        <f>ROUND(F1533-D1533,2)</f>
        <v/>
      </c>
    </row>
    <row r="1534">
      <c r="A1534" t="inlineStr">
        <is>
          <t>2022-06-23</t>
        </is>
      </c>
      <c r="B1534" t="n">
        <v>20</v>
      </c>
      <c r="C1534" t="n">
        <v>2989</v>
      </c>
      <c r="D1534" s="6" t="n">
        <v>135.7</v>
      </c>
      <c r="E1534" s="6" t="n">
        <v>1084239.58</v>
      </c>
      <c r="F1534" s="6">
        <f>ROUND(E1534-E1533,2)</f>
        <v/>
      </c>
      <c r="G1534" s="6">
        <f>ROUND(F1534-D1534,2)</f>
        <v/>
      </c>
    </row>
    <row r="1535">
      <c r="A1535" t="inlineStr">
        <is>
          <t>2022-06-23</t>
        </is>
      </c>
      <c r="B1535" t="n">
        <v>21</v>
      </c>
      <c r="C1535" t="n">
        <v>2989</v>
      </c>
      <c r="D1535" s="6" t="n">
        <v>54.6</v>
      </c>
      <c r="E1535" s="6" t="n">
        <v>1084294.18</v>
      </c>
      <c r="F1535" s="6">
        <f>ROUND(E1535-E1534,2)</f>
        <v/>
      </c>
      <c r="G1535" s="6">
        <f>ROUND(F1535-D1535,2)</f>
        <v/>
      </c>
    </row>
    <row r="1536">
      <c r="A1536" t="inlineStr">
        <is>
          <t>2022-06-23</t>
        </is>
      </c>
      <c r="B1536" t="n">
        <v>22</v>
      </c>
      <c r="C1536" t="n">
        <v>2989</v>
      </c>
      <c r="D1536" s="6" t="n">
        <v>66.40000000000001</v>
      </c>
      <c r="E1536" s="6" t="n">
        <v>1084360.58</v>
      </c>
      <c r="F1536" s="6">
        <f>ROUND(E1536-E1535,2)</f>
        <v/>
      </c>
      <c r="G1536" s="6">
        <f>ROUND(F1536-D1536,2)</f>
        <v/>
      </c>
    </row>
    <row r="1537">
      <c r="A1537" t="inlineStr">
        <is>
          <t>2022-06-23</t>
        </is>
      </c>
      <c r="B1537" t="n">
        <v>23</v>
      </c>
      <c r="C1537" t="n">
        <v>2989</v>
      </c>
      <c r="D1537" s="6" t="n">
        <v>123</v>
      </c>
      <c r="E1537" s="6" t="n">
        <v>1084483.58</v>
      </c>
      <c r="F1537" s="6">
        <f>ROUND(E1537-E1536,2)</f>
        <v/>
      </c>
      <c r="G1537" s="6">
        <f>ROUND(F1537-D1537,2)</f>
        <v/>
      </c>
    </row>
    <row r="1538">
      <c r="A1538" t="inlineStr">
        <is>
          <t>2022-06-23</t>
        </is>
      </c>
      <c r="B1538" t="n">
        <v>24</v>
      </c>
      <c r="C1538" t="n">
        <v>2989</v>
      </c>
      <c r="D1538" s="6" t="n">
        <v>33.5</v>
      </c>
      <c r="E1538" s="6" t="n">
        <v>1084517.08</v>
      </c>
      <c r="F1538" s="6">
        <f>ROUND(E1538-E1537,2)</f>
        <v/>
      </c>
      <c r="G1538" s="6">
        <f>ROUND(F1538-D1538,2)</f>
        <v/>
      </c>
    </row>
    <row r="1539">
      <c r="A1539" t="inlineStr">
        <is>
          <t>2022-06-23</t>
        </is>
      </c>
      <c r="B1539" t="n">
        <v>25</v>
      </c>
      <c r="C1539" t="n">
        <v>2989</v>
      </c>
      <c r="D1539" s="6" t="n">
        <v>107.1</v>
      </c>
      <c r="E1539" s="6" t="n">
        <v>1084624.18</v>
      </c>
      <c r="F1539" s="6">
        <f>ROUND(E1539-E1538,2)</f>
        <v/>
      </c>
      <c r="G1539" s="6">
        <f>ROUND(F1539-D1539,2)</f>
        <v/>
      </c>
    </row>
    <row r="1540">
      <c r="A1540" t="inlineStr">
        <is>
          <t>2022-06-24</t>
        </is>
      </c>
      <c r="B1540" t="n">
        <v>1</v>
      </c>
      <c r="C1540" t="n">
        <v>2990</v>
      </c>
      <c r="D1540" s="6" t="n">
        <v>41.1</v>
      </c>
      <c r="E1540" s="6" t="n">
        <v>1084665.28</v>
      </c>
      <c r="F1540" s="6">
        <f>ROUND(E1540-E1539,2)</f>
        <v/>
      </c>
      <c r="G1540" s="6">
        <f>ROUND(F1540-D1540,2)</f>
        <v/>
      </c>
    </row>
    <row r="1541">
      <c r="A1541" t="inlineStr">
        <is>
          <t>2022-06-24</t>
        </is>
      </c>
      <c r="B1541" t="n">
        <v>2</v>
      </c>
      <c r="C1541" t="n">
        <v>2990</v>
      </c>
      <c r="D1541" s="6" t="n">
        <v>52.4</v>
      </c>
      <c r="E1541" s="6" t="n">
        <v>1084717.68</v>
      </c>
      <c r="F1541" s="6">
        <f>ROUND(E1541-E1540,2)</f>
        <v/>
      </c>
      <c r="G1541" s="6">
        <f>ROUND(F1541-D1541,2)</f>
        <v/>
      </c>
    </row>
    <row r="1542">
      <c r="A1542" t="inlineStr">
        <is>
          <t>2022-06-24</t>
        </is>
      </c>
      <c r="B1542" t="n">
        <v>3</v>
      </c>
      <c r="C1542" t="n">
        <v>2990</v>
      </c>
      <c r="D1542" s="6" t="n">
        <v>78.09999999999999</v>
      </c>
      <c r="E1542" s="6" t="n">
        <v>1084795.78</v>
      </c>
      <c r="F1542" s="6">
        <f>ROUND(E1542-E1541,2)</f>
        <v/>
      </c>
      <c r="G1542" s="6">
        <f>ROUND(F1542-D1542,2)</f>
        <v/>
      </c>
    </row>
    <row r="1543">
      <c r="A1543" t="inlineStr">
        <is>
          <t>2022-06-24</t>
        </is>
      </c>
      <c r="B1543" t="n">
        <v>4</v>
      </c>
      <c r="C1543" t="n">
        <v>2990</v>
      </c>
      <c r="D1543" s="6" t="n">
        <v>63.9</v>
      </c>
      <c r="E1543" s="6" t="n">
        <v>1084859.68</v>
      </c>
      <c r="F1543" s="6">
        <f>ROUND(E1543-E1542,2)</f>
        <v/>
      </c>
      <c r="G1543" s="6">
        <f>ROUND(F1543-D1543,2)</f>
        <v/>
      </c>
    </row>
    <row r="1544">
      <c r="A1544" t="inlineStr">
        <is>
          <t>2022-06-24</t>
        </is>
      </c>
      <c r="B1544" t="n">
        <v>5</v>
      </c>
      <c r="C1544" t="n">
        <v>2990</v>
      </c>
      <c r="D1544" s="6" t="n">
        <v>65.59999999999999</v>
      </c>
      <c r="E1544" s="6" t="n">
        <v>1084925.28</v>
      </c>
      <c r="F1544" s="6">
        <f>ROUND(E1544-E1543,2)</f>
        <v/>
      </c>
      <c r="G1544" s="6">
        <f>ROUND(F1544-D1544,2)</f>
        <v/>
      </c>
    </row>
    <row r="1545">
      <c r="A1545" t="inlineStr">
        <is>
          <t>2022-06-24</t>
        </is>
      </c>
      <c r="B1545" t="n">
        <v>6</v>
      </c>
      <c r="C1545" t="n">
        <v>2990</v>
      </c>
      <c r="D1545" s="6" t="n">
        <v>17.8</v>
      </c>
      <c r="E1545" s="6" t="n">
        <v>1084943.08</v>
      </c>
      <c r="F1545" s="6">
        <f>ROUND(E1545-E1544,2)</f>
        <v/>
      </c>
      <c r="G1545" s="6">
        <f>ROUND(F1545-D1545,2)</f>
        <v/>
      </c>
    </row>
    <row r="1546">
      <c r="A1546" t="inlineStr">
        <is>
          <t>2022-06-24</t>
        </is>
      </c>
      <c r="B1546" t="n">
        <v>7</v>
      </c>
      <c r="C1546" t="n">
        <v>2990</v>
      </c>
      <c r="D1546" s="6" t="n">
        <v>63.2</v>
      </c>
      <c r="E1546" s="6" t="n">
        <v>1085006.28</v>
      </c>
      <c r="F1546" s="6">
        <f>ROUND(E1546-E1545,2)</f>
        <v/>
      </c>
      <c r="G1546" s="6">
        <f>ROUND(F1546-D1546,2)</f>
        <v/>
      </c>
    </row>
    <row r="1547">
      <c r="A1547" t="inlineStr">
        <is>
          <t>2022-06-24</t>
        </is>
      </c>
      <c r="B1547" t="n">
        <v>8</v>
      </c>
      <c r="C1547" t="n">
        <v>2990</v>
      </c>
      <c r="D1547" s="6" t="n">
        <v>46.7</v>
      </c>
      <c r="E1547" s="6" t="n">
        <v>1085052.98</v>
      </c>
      <c r="F1547" s="6">
        <f>ROUND(E1547-E1546,2)</f>
        <v/>
      </c>
      <c r="G1547" s="6">
        <f>ROUND(F1547-D1547,2)</f>
        <v/>
      </c>
    </row>
    <row r="1548">
      <c r="A1548" t="inlineStr">
        <is>
          <t>2022-06-24</t>
        </is>
      </c>
      <c r="B1548" t="n">
        <v>9</v>
      </c>
      <c r="C1548" t="n">
        <v>2990</v>
      </c>
      <c r="D1548" s="6" t="n">
        <v>80.5</v>
      </c>
      <c r="E1548" s="6" t="n">
        <v>1085133.48</v>
      </c>
      <c r="F1548" s="6">
        <f>ROUND(E1548-E1547,2)</f>
        <v/>
      </c>
      <c r="G1548" s="6">
        <f>ROUND(F1548-D1548,2)</f>
        <v/>
      </c>
    </row>
    <row r="1549">
      <c r="A1549" t="inlineStr">
        <is>
          <t>2022-06-24</t>
        </is>
      </c>
      <c r="B1549" t="n">
        <v>10</v>
      </c>
      <c r="C1549" t="n">
        <v>2990</v>
      </c>
      <c r="D1549" s="6" t="n">
        <v>73.2</v>
      </c>
      <c r="E1549" s="6" t="n">
        <v>1085206.68</v>
      </c>
      <c r="F1549" s="6">
        <f>ROUND(E1549-E1548,2)</f>
        <v/>
      </c>
      <c r="G1549" s="6">
        <f>ROUND(F1549-D1549,2)</f>
        <v/>
      </c>
    </row>
    <row r="1550">
      <c r="A1550" t="inlineStr">
        <is>
          <t>2022-06-24</t>
        </is>
      </c>
      <c r="B1550" t="n">
        <v>11</v>
      </c>
      <c r="C1550" t="n">
        <v>2990</v>
      </c>
      <c r="D1550" s="6" t="n">
        <v>62.7</v>
      </c>
      <c r="E1550" s="6" t="n">
        <v>1085269.38</v>
      </c>
      <c r="F1550" s="6">
        <f>ROUND(E1550-E1549,2)</f>
        <v/>
      </c>
      <c r="G1550" s="6">
        <f>ROUND(F1550-D1550,2)</f>
        <v/>
      </c>
    </row>
    <row r="1551">
      <c r="A1551" t="inlineStr">
        <is>
          <t>2022-06-24</t>
        </is>
      </c>
      <c r="B1551" t="n">
        <v>12</v>
      </c>
      <c r="C1551" t="n">
        <v>2990</v>
      </c>
      <c r="D1551" s="6" t="n">
        <v>105.7</v>
      </c>
      <c r="E1551" s="6" t="n">
        <v>1085375.08</v>
      </c>
      <c r="F1551" s="6">
        <f>ROUND(E1551-E1550,2)</f>
        <v/>
      </c>
      <c r="G1551" s="6">
        <f>ROUND(F1551-D1551,2)</f>
        <v/>
      </c>
    </row>
    <row r="1552">
      <c r="A1552" t="inlineStr">
        <is>
          <t>2022-06-24</t>
        </is>
      </c>
      <c r="B1552" t="n">
        <v>13</v>
      </c>
      <c r="C1552" t="n">
        <v>2990</v>
      </c>
      <c r="D1552" s="6" t="n">
        <v>69.90000000000001</v>
      </c>
      <c r="E1552" s="6" t="n">
        <v>1085444.98</v>
      </c>
      <c r="F1552" s="6">
        <f>ROUND(E1552-E1551,2)</f>
        <v/>
      </c>
      <c r="G1552" s="6">
        <f>ROUND(F1552-D1552,2)</f>
        <v/>
      </c>
    </row>
    <row r="1553">
      <c r="A1553" t="inlineStr">
        <is>
          <t>2022-06-24</t>
        </is>
      </c>
      <c r="B1553" t="n">
        <v>14</v>
      </c>
      <c r="C1553" t="n">
        <v>2990</v>
      </c>
      <c r="D1553" s="6" t="n">
        <v>91.7</v>
      </c>
      <c r="E1553" s="6" t="n">
        <v>1085536.68</v>
      </c>
      <c r="F1553" s="6">
        <f>ROUND(E1553-E1552,2)</f>
        <v/>
      </c>
      <c r="G1553" s="6">
        <f>ROUND(F1553-D1553,2)</f>
        <v/>
      </c>
    </row>
    <row r="1554">
      <c r="A1554" t="inlineStr">
        <is>
          <t>2022-06-24</t>
        </is>
      </c>
      <c r="B1554" t="n">
        <v>15</v>
      </c>
      <c r="C1554" t="n">
        <v>2990</v>
      </c>
      <c r="D1554" s="6" t="n">
        <v>78.3</v>
      </c>
      <c r="E1554" s="6" t="n">
        <v>1085614.98</v>
      </c>
      <c r="F1554" s="6">
        <f>ROUND(E1554-E1553,2)</f>
        <v/>
      </c>
      <c r="G1554" s="6">
        <f>ROUND(F1554-D1554,2)</f>
        <v/>
      </c>
    </row>
    <row r="1555">
      <c r="A1555" t="inlineStr">
        <is>
          <t>2022-06-24</t>
        </is>
      </c>
      <c r="B1555" t="n">
        <v>16</v>
      </c>
      <c r="C1555" t="n">
        <v>2990</v>
      </c>
      <c r="D1555" s="6" t="n">
        <v>78.5</v>
      </c>
      <c r="E1555" s="6" t="n">
        <v>1085693.48</v>
      </c>
      <c r="F1555" s="6">
        <f>ROUND(E1555-E1554,2)</f>
        <v/>
      </c>
      <c r="G1555" s="6">
        <f>ROUND(F1555-D1555,2)</f>
        <v/>
      </c>
    </row>
    <row r="1556">
      <c r="A1556" t="inlineStr">
        <is>
          <t>2022-06-24</t>
        </is>
      </c>
      <c r="B1556" t="n">
        <v>17</v>
      </c>
      <c r="C1556" t="n">
        <v>2990</v>
      </c>
      <c r="D1556" s="6" t="n">
        <v>217.3</v>
      </c>
      <c r="E1556" s="6" t="n">
        <v>1085910.78</v>
      </c>
      <c r="F1556" s="6">
        <f>ROUND(E1556-E1555,2)</f>
        <v/>
      </c>
      <c r="G1556" s="6">
        <f>ROUND(F1556-D1556,2)</f>
        <v/>
      </c>
    </row>
    <row r="1557">
      <c r="A1557" t="inlineStr">
        <is>
          <t>2022-06-24</t>
        </is>
      </c>
      <c r="B1557" t="n">
        <v>18</v>
      </c>
      <c r="C1557" t="n">
        <v>2990</v>
      </c>
      <c r="D1557" s="6" t="n">
        <v>61.3</v>
      </c>
      <c r="E1557" s="6" t="n">
        <v>1085972.08</v>
      </c>
      <c r="F1557" s="6">
        <f>ROUND(E1557-E1556,2)</f>
        <v/>
      </c>
      <c r="G1557" s="6">
        <f>ROUND(F1557-D1557,2)</f>
        <v/>
      </c>
    </row>
    <row r="1558">
      <c r="A1558" t="inlineStr">
        <is>
          <t>2022-06-24</t>
        </is>
      </c>
      <c r="B1558" t="n">
        <v>19</v>
      </c>
      <c r="C1558" t="n">
        <v>2990</v>
      </c>
      <c r="D1558" s="6" t="n">
        <v>92</v>
      </c>
      <c r="E1558" s="6" t="n">
        <v>1086064.08</v>
      </c>
      <c r="F1558" s="6">
        <f>ROUND(E1558-E1557,2)</f>
        <v/>
      </c>
      <c r="G1558" s="6">
        <f>ROUND(F1558-D1558,2)</f>
        <v/>
      </c>
    </row>
    <row r="1559">
      <c r="A1559" t="inlineStr">
        <is>
          <t>2022-06-24</t>
        </is>
      </c>
      <c r="B1559" t="n">
        <v>20</v>
      </c>
      <c r="C1559" t="n">
        <v>2990</v>
      </c>
      <c r="D1559" s="6" t="n">
        <v>98.3</v>
      </c>
      <c r="E1559" s="6" t="n">
        <v>1086162.38</v>
      </c>
      <c r="F1559" s="6">
        <f>ROUND(E1559-E1558,2)</f>
        <v/>
      </c>
      <c r="G1559" s="6">
        <f>ROUND(F1559-D1559,2)</f>
        <v/>
      </c>
    </row>
    <row r="1560">
      <c r="A1560" t="inlineStr">
        <is>
          <t>2022-06-24</t>
        </is>
      </c>
      <c r="B1560" t="n">
        <v>21</v>
      </c>
      <c r="C1560" t="n">
        <v>2990</v>
      </c>
      <c r="D1560" s="6" t="n">
        <v>66.2</v>
      </c>
      <c r="E1560" s="6" t="n">
        <v>1086228.58</v>
      </c>
      <c r="F1560" s="6">
        <f>ROUND(E1560-E1559,2)</f>
        <v/>
      </c>
      <c r="G1560" s="6">
        <f>ROUND(F1560-D1560,2)</f>
        <v/>
      </c>
    </row>
    <row r="1561">
      <c r="A1561" t="inlineStr">
        <is>
          <t>2022-06-24</t>
        </is>
      </c>
      <c r="B1561" t="n">
        <v>22</v>
      </c>
      <c r="C1561" t="n">
        <v>2990</v>
      </c>
      <c r="D1561" s="6" t="n">
        <v>81.3</v>
      </c>
      <c r="E1561" s="6" t="n">
        <v>1086309.88</v>
      </c>
      <c r="F1561" s="6">
        <f>ROUND(E1561-E1560,2)</f>
        <v/>
      </c>
      <c r="G1561" s="6">
        <f>ROUND(F1561-D1561,2)</f>
        <v/>
      </c>
    </row>
    <row r="1562">
      <c r="A1562" t="inlineStr">
        <is>
          <t>2022-06-24</t>
        </is>
      </c>
      <c r="B1562" t="n">
        <v>23</v>
      </c>
      <c r="C1562" t="n">
        <v>2990</v>
      </c>
      <c r="D1562" s="6" t="n">
        <v>67.59999999999999</v>
      </c>
      <c r="E1562" s="6" t="n">
        <v>1086377.48</v>
      </c>
      <c r="F1562" s="6">
        <f>ROUND(E1562-E1561,2)</f>
        <v/>
      </c>
      <c r="G1562" s="6">
        <f>ROUND(F1562-D1562,2)</f>
        <v/>
      </c>
    </row>
    <row r="1563">
      <c r="A1563" t="inlineStr">
        <is>
          <t>2022-06-24</t>
        </is>
      </c>
      <c r="B1563" t="n">
        <v>24</v>
      </c>
      <c r="C1563" t="n">
        <v>2990</v>
      </c>
      <c r="D1563" s="6" t="n">
        <v>55.9</v>
      </c>
      <c r="E1563" s="6" t="n">
        <v>1086433.38</v>
      </c>
      <c r="F1563" s="6">
        <f>ROUND(E1563-E1562,2)</f>
        <v/>
      </c>
      <c r="G1563" s="6">
        <f>ROUND(F1563-D1563,2)</f>
        <v/>
      </c>
    </row>
    <row r="1564">
      <c r="A1564" t="inlineStr">
        <is>
          <t>2022-06-24</t>
        </is>
      </c>
      <c r="B1564" t="n">
        <v>25</v>
      </c>
      <c r="C1564" t="n">
        <v>2990</v>
      </c>
      <c r="D1564" s="6" t="n">
        <v>49.7</v>
      </c>
      <c r="E1564" s="6" t="n">
        <v>1086483.08</v>
      </c>
      <c r="F1564" s="6">
        <f>ROUND(E1564-E1563,2)</f>
        <v/>
      </c>
      <c r="G1564" s="6">
        <f>ROUND(F1564-D1564,2)</f>
        <v/>
      </c>
    </row>
    <row r="1565">
      <c r="A1565" t="inlineStr">
        <is>
          <t>2022-06-24</t>
        </is>
      </c>
      <c r="B1565" t="n">
        <v>26</v>
      </c>
      <c r="C1565" t="n">
        <v>2990</v>
      </c>
      <c r="D1565" s="6" t="n">
        <v>114.1</v>
      </c>
      <c r="E1565" s="6" t="n">
        <v>1086597.18</v>
      </c>
      <c r="F1565" s="6">
        <f>ROUND(E1565-E1564,2)</f>
        <v/>
      </c>
      <c r="G1565" s="6">
        <f>ROUND(F1565-D1565,2)</f>
        <v/>
      </c>
    </row>
    <row r="1566">
      <c r="A1566" t="inlineStr">
        <is>
          <t>2022-06-24</t>
        </is>
      </c>
      <c r="B1566" t="n">
        <v>27</v>
      </c>
      <c r="C1566" t="n">
        <v>2990</v>
      </c>
      <c r="D1566" s="6" t="n">
        <v>62.5</v>
      </c>
      <c r="E1566" s="6" t="n">
        <v>1086659.68</v>
      </c>
      <c r="F1566" s="6">
        <f>ROUND(E1566-E1565,2)</f>
        <v/>
      </c>
      <c r="G1566" s="6">
        <f>ROUND(F1566-D1566,2)</f>
        <v/>
      </c>
    </row>
    <row r="1567">
      <c r="A1567" t="inlineStr">
        <is>
          <t>2022-06-25</t>
        </is>
      </c>
      <c r="B1567" t="n">
        <v>1</v>
      </c>
      <c r="C1567" t="n">
        <v>2991</v>
      </c>
      <c r="D1567" s="6" t="n">
        <v>67.59999999999999</v>
      </c>
      <c r="E1567" s="6" t="n">
        <v>1086727.28</v>
      </c>
      <c r="F1567" s="6">
        <f>ROUND(E1567-E1566,2)</f>
        <v/>
      </c>
      <c r="G1567" s="6">
        <f>ROUND(F1567-D1567,2)</f>
        <v/>
      </c>
    </row>
    <row r="1568">
      <c r="A1568" t="inlineStr">
        <is>
          <t>2022-06-25</t>
        </is>
      </c>
      <c r="B1568" t="n">
        <v>2</v>
      </c>
      <c r="C1568" t="n">
        <v>2991</v>
      </c>
      <c r="D1568" s="6" t="n">
        <v>53.2</v>
      </c>
      <c r="E1568" s="6" t="n">
        <v>1086780.48</v>
      </c>
      <c r="F1568" s="6">
        <f>ROUND(E1568-E1567,2)</f>
        <v/>
      </c>
      <c r="G1568" s="6">
        <f>ROUND(F1568-D1568,2)</f>
        <v/>
      </c>
    </row>
    <row r="1569">
      <c r="A1569" t="inlineStr">
        <is>
          <t>2022-06-25</t>
        </is>
      </c>
      <c r="B1569" t="n">
        <v>3</v>
      </c>
      <c r="C1569" t="n">
        <v>2991</v>
      </c>
      <c r="D1569" s="6" t="n">
        <v>69.59999999999999</v>
      </c>
      <c r="E1569" s="6" t="n">
        <v>1086850.08</v>
      </c>
      <c r="F1569" s="6">
        <f>ROUND(E1569-E1568,2)</f>
        <v/>
      </c>
      <c r="G1569" s="6">
        <f>ROUND(F1569-D1569,2)</f>
        <v/>
      </c>
    </row>
    <row r="1570">
      <c r="A1570" t="inlineStr">
        <is>
          <t>2022-06-25</t>
        </is>
      </c>
      <c r="B1570" t="n">
        <v>4</v>
      </c>
      <c r="C1570" t="n">
        <v>2991</v>
      </c>
      <c r="D1570" s="6" t="n">
        <v>43.4</v>
      </c>
      <c r="E1570" s="6" t="n">
        <v>1086893.48</v>
      </c>
      <c r="F1570" s="6">
        <f>ROUND(E1570-E1569,2)</f>
        <v/>
      </c>
      <c r="G1570" s="6">
        <f>ROUND(F1570-D1570,2)</f>
        <v/>
      </c>
    </row>
    <row r="1571">
      <c r="A1571" t="inlineStr">
        <is>
          <t>2022-06-25</t>
        </is>
      </c>
      <c r="B1571" t="n">
        <v>5</v>
      </c>
      <c r="C1571" t="n">
        <v>2991</v>
      </c>
      <c r="D1571" s="6" t="n">
        <v>43.4</v>
      </c>
      <c r="E1571" s="6" t="n">
        <v>1086936.88</v>
      </c>
      <c r="F1571" s="6">
        <f>ROUND(E1571-E1570,2)</f>
        <v/>
      </c>
      <c r="G1571" s="6">
        <f>ROUND(F1571-D1571,2)</f>
        <v/>
      </c>
    </row>
    <row r="1572">
      <c r="A1572" t="inlineStr">
        <is>
          <t>2022-06-25</t>
        </is>
      </c>
      <c r="B1572" t="n">
        <v>6</v>
      </c>
      <c r="C1572" t="n">
        <v>2991</v>
      </c>
      <c r="D1572" s="6" t="n">
        <v>61.9</v>
      </c>
      <c r="E1572" s="6" t="n">
        <v>1086998.78</v>
      </c>
      <c r="F1572" s="6">
        <f>ROUND(E1572-E1571,2)</f>
        <v/>
      </c>
      <c r="G1572" s="6">
        <f>ROUND(F1572-D1572,2)</f>
        <v/>
      </c>
    </row>
    <row r="1573">
      <c r="A1573" t="inlineStr">
        <is>
          <t>2022-06-25</t>
        </is>
      </c>
      <c r="B1573" t="n">
        <v>7</v>
      </c>
      <c r="C1573" t="n">
        <v>2991</v>
      </c>
      <c r="D1573" s="6" t="n">
        <v>131.4</v>
      </c>
      <c r="E1573" s="6" t="n">
        <v>1087130.18</v>
      </c>
      <c r="F1573" s="6">
        <f>ROUND(E1573-E1572,2)</f>
        <v/>
      </c>
      <c r="G1573" s="6">
        <f>ROUND(F1573-D1573,2)</f>
        <v/>
      </c>
    </row>
    <row r="1574">
      <c r="A1574" t="inlineStr">
        <is>
          <t>2022-06-25</t>
        </is>
      </c>
      <c r="B1574" t="n">
        <v>8</v>
      </c>
      <c r="C1574" t="n">
        <v>2991</v>
      </c>
      <c r="D1574" s="6" t="n">
        <v>65.40000000000001</v>
      </c>
      <c r="E1574" s="6" t="n">
        <v>1087195.58</v>
      </c>
      <c r="F1574" s="6">
        <f>ROUND(E1574-E1573,2)</f>
        <v/>
      </c>
      <c r="G1574" s="6">
        <f>ROUND(F1574-D1574,2)</f>
        <v/>
      </c>
    </row>
    <row r="1575">
      <c r="A1575" t="inlineStr">
        <is>
          <t>2022-06-25</t>
        </is>
      </c>
      <c r="B1575" t="n">
        <v>9</v>
      </c>
      <c r="C1575" t="n">
        <v>2991</v>
      </c>
      <c r="D1575" s="6" t="n">
        <v>92.7</v>
      </c>
      <c r="E1575" s="6" t="n">
        <v>1087288.28</v>
      </c>
      <c r="F1575" s="6">
        <f>ROUND(E1575-E1574,2)</f>
        <v/>
      </c>
      <c r="G1575" s="6">
        <f>ROUND(F1575-D1575,2)</f>
        <v/>
      </c>
    </row>
    <row r="1576">
      <c r="A1576" t="inlineStr">
        <is>
          <t>2022-06-25</t>
        </is>
      </c>
      <c r="B1576" t="n">
        <v>10</v>
      </c>
      <c r="C1576" t="n">
        <v>2991</v>
      </c>
      <c r="D1576" s="6" t="n">
        <v>70.90000000000001</v>
      </c>
      <c r="E1576" s="6" t="n">
        <v>1087359.18</v>
      </c>
      <c r="F1576" s="6">
        <f>ROUND(E1576-E1575,2)</f>
        <v/>
      </c>
      <c r="G1576" s="6">
        <f>ROUND(F1576-D1576,2)</f>
        <v/>
      </c>
    </row>
    <row r="1577">
      <c r="A1577" t="inlineStr">
        <is>
          <t>2022-06-25</t>
        </is>
      </c>
      <c r="B1577" t="n">
        <v>11</v>
      </c>
      <c r="C1577" t="n">
        <v>2991</v>
      </c>
      <c r="D1577" s="6" t="n">
        <v>102.4</v>
      </c>
      <c r="E1577" s="6" t="n">
        <v>1087461.58</v>
      </c>
      <c r="F1577" s="6">
        <f>ROUND(E1577-E1576,2)</f>
        <v/>
      </c>
      <c r="G1577" s="6">
        <f>ROUND(F1577-D1577,2)</f>
        <v/>
      </c>
    </row>
    <row r="1578">
      <c r="A1578" t="inlineStr">
        <is>
          <t>2022-06-25</t>
        </is>
      </c>
      <c r="B1578" t="n">
        <v>12</v>
      </c>
      <c r="C1578" t="n">
        <v>2991</v>
      </c>
      <c r="D1578" s="6" t="n">
        <v>29.7</v>
      </c>
      <c r="E1578" s="6" t="n">
        <v>1087491.28</v>
      </c>
      <c r="F1578" s="6">
        <f>ROUND(E1578-E1577,2)</f>
        <v/>
      </c>
      <c r="G1578" s="6">
        <f>ROUND(F1578-D1578,2)</f>
        <v/>
      </c>
    </row>
    <row r="1579">
      <c r="A1579" t="inlineStr">
        <is>
          <t>2022-06-25</t>
        </is>
      </c>
      <c r="B1579" t="n">
        <v>13</v>
      </c>
      <c r="C1579" t="n">
        <v>2991</v>
      </c>
      <c r="D1579" s="6" t="n">
        <v>59.6</v>
      </c>
      <c r="E1579" s="6" t="n">
        <v>1087550.88</v>
      </c>
      <c r="F1579" s="6">
        <f>ROUND(E1579-E1578,2)</f>
        <v/>
      </c>
      <c r="G1579" s="6">
        <f>ROUND(F1579-D1579,2)</f>
        <v/>
      </c>
    </row>
    <row r="1580">
      <c r="A1580" t="inlineStr">
        <is>
          <t>2022-06-25</t>
        </is>
      </c>
      <c r="B1580" t="n">
        <v>14</v>
      </c>
      <c r="C1580" t="n">
        <v>2991</v>
      </c>
      <c r="D1580" s="6" t="n">
        <v>47.1</v>
      </c>
      <c r="E1580" s="6" t="n">
        <v>1087597.98</v>
      </c>
      <c r="F1580" s="6">
        <f>ROUND(E1580-E1579,2)</f>
        <v/>
      </c>
      <c r="G1580" s="6">
        <f>ROUND(F1580-D1580,2)</f>
        <v/>
      </c>
    </row>
    <row r="1581">
      <c r="A1581" t="inlineStr">
        <is>
          <t>2022-06-25</t>
        </is>
      </c>
      <c r="B1581" t="n">
        <v>15</v>
      </c>
      <c r="C1581" t="n">
        <v>2991</v>
      </c>
      <c r="D1581" s="6" t="n">
        <v>48.2</v>
      </c>
      <c r="E1581" s="6" t="n">
        <v>1087646.18</v>
      </c>
      <c r="F1581" s="6">
        <f>ROUND(E1581-E1580,2)</f>
        <v/>
      </c>
      <c r="G1581" s="6">
        <f>ROUND(F1581-D1581,2)</f>
        <v/>
      </c>
    </row>
    <row r="1582">
      <c r="A1582" t="inlineStr">
        <is>
          <t>2022-06-25</t>
        </is>
      </c>
      <c r="B1582" t="n">
        <v>16</v>
      </c>
      <c r="C1582" t="n">
        <v>2991</v>
      </c>
      <c r="D1582" s="6" t="n">
        <v>41.6</v>
      </c>
      <c r="E1582" s="6" t="n">
        <v>1087687.78</v>
      </c>
      <c r="F1582" s="6">
        <f>ROUND(E1582-E1581,2)</f>
        <v/>
      </c>
      <c r="G1582" s="6">
        <f>ROUND(F1582-D1582,2)</f>
        <v/>
      </c>
    </row>
    <row r="1583">
      <c r="A1583" t="inlineStr">
        <is>
          <t>2022-06-25</t>
        </is>
      </c>
      <c r="B1583" t="n">
        <v>17</v>
      </c>
      <c r="C1583" t="n">
        <v>2991</v>
      </c>
      <c r="D1583" s="6" t="n">
        <v>72.3</v>
      </c>
      <c r="E1583" s="6" t="n">
        <v>1087760.08</v>
      </c>
      <c r="F1583" s="6">
        <f>ROUND(E1583-E1582,2)</f>
        <v/>
      </c>
      <c r="G1583" s="6">
        <f>ROUND(F1583-D1583,2)</f>
        <v/>
      </c>
    </row>
    <row r="1584">
      <c r="A1584" t="inlineStr">
        <is>
          <t>2022-06-25</t>
        </is>
      </c>
      <c r="B1584" t="n">
        <v>18</v>
      </c>
      <c r="C1584" t="n">
        <v>2991</v>
      </c>
      <c r="D1584" s="6" t="n">
        <v>48.6</v>
      </c>
      <c r="E1584" s="6" t="n">
        <v>1087808.68</v>
      </c>
      <c r="F1584" s="6">
        <f>ROUND(E1584-E1583,2)</f>
        <v/>
      </c>
      <c r="G1584" s="6">
        <f>ROUND(F1584-D1584,2)</f>
        <v/>
      </c>
    </row>
    <row r="1585">
      <c r="A1585" t="inlineStr">
        <is>
          <t>2022-06-25</t>
        </is>
      </c>
      <c r="B1585" t="n">
        <v>19</v>
      </c>
      <c r="C1585" t="n">
        <v>2991</v>
      </c>
      <c r="D1585" s="6" t="n">
        <v>80.09999999999999</v>
      </c>
      <c r="E1585" s="6" t="n">
        <v>1087888.78</v>
      </c>
      <c r="F1585" s="6">
        <f>ROUND(E1585-E1584,2)</f>
        <v/>
      </c>
      <c r="G1585" s="6">
        <f>ROUND(F1585-D1585,2)</f>
        <v/>
      </c>
    </row>
    <row r="1586">
      <c r="A1586" t="inlineStr">
        <is>
          <t>2022-06-25</t>
        </is>
      </c>
      <c r="B1586" t="n">
        <v>20</v>
      </c>
      <c r="C1586" t="n">
        <v>2991</v>
      </c>
      <c r="D1586" s="6" t="n">
        <v>40.2</v>
      </c>
      <c r="E1586" s="6" t="n">
        <v>1087928.98</v>
      </c>
      <c r="F1586" s="6">
        <f>ROUND(E1586-E1585,2)</f>
        <v/>
      </c>
      <c r="G1586" s="6">
        <f>ROUND(F1586-D1586,2)</f>
        <v/>
      </c>
    </row>
    <row r="1587">
      <c r="A1587" t="inlineStr">
        <is>
          <t>2022-06-25</t>
        </is>
      </c>
      <c r="B1587" t="n">
        <v>21</v>
      </c>
      <c r="C1587" t="n">
        <v>2991</v>
      </c>
      <c r="D1587" s="6" t="n">
        <v>133.2</v>
      </c>
      <c r="E1587" s="6" t="n">
        <v>1088062.18</v>
      </c>
      <c r="F1587" s="6">
        <f>ROUND(E1587-E1586,2)</f>
        <v/>
      </c>
      <c r="G1587" s="6">
        <f>ROUND(F1587-D1587,2)</f>
        <v/>
      </c>
    </row>
    <row r="1588">
      <c r="A1588" t="inlineStr">
        <is>
          <t>2022-06-25</t>
        </is>
      </c>
      <c r="B1588" t="n">
        <v>22</v>
      </c>
      <c r="C1588" t="n">
        <v>2991</v>
      </c>
      <c r="D1588" s="6" t="n">
        <v>106.7</v>
      </c>
      <c r="E1588" s="6" t="n">
        <v>1088168.88</v>
      </c>
      <c r="F1588" s="6">
        <f>ROUND(E1588-E1587,2)</f>
        <v/>
      </c>
      <c r="G1588" s="6">
        <f>ROUND(F1588-D1588,2)</f>
        <v/>
      </c>
    </row>
    <row r="1589">
      <c r="A1589" t="inlineStr">
        <is>
          <t>2022-06-25</t>
        </is>
      </c>
      <c r="B1589" t="n">
        <v>23</v>
      </c>
      <c r="C1589" t="n">
        <v>2991</v>
      </c>
      <c r="D1589" s="6" t="n">
        <v>53.2</v>
      </c>
      <c r="E1589" s="6" t="n">
        <v>1088222.08</v>
      </c>
      <c r="F1589" s="6">
        <f>ROUND(E1589-E1588,2)</f>
        <v/>
      </c>
      <c r="G1589" s="6">
        <f>ROUND(F1589-D1589,2)</f>
        <v/>
      </c>
    </row>
    <row r="1590">
      <c r="A1590" t="inlineStr">
        <is>
          <t>2022-06-25</t>
        </is>
      </c>
      <c r="B1590" t="n">
        <v>24</v>
      </c>
      <c r="C1590" t="n">
        <v>2991</v>
      </c>
      <c r="D1590" s="6" t="n">
        <v>36.5</v>
      </c>
      <c r="E1590" s="6" t="n">
        <v>1088258.58</v>
      </c>
      <c r="F1590" s="6">
        <f>ROUND(E1590-E1589,2)</f>
        <v/>
      </c>
      <c r="G1590" s="6">
        <f>ROUND(F1590-D1590,2)</f>
        <v/>
      </c>
    </row>
    <row r="1591">
      <c r="A1591" t="inlineStr">
        <is>
          <t>2022-06-25</t>
        </is>
      </c>
      <c r="B1591" t="n">
        <v>25</v>
      </c>
      <c r="C1591" t="n">
        <v>2991</v>
      </c>
      <c r="D1591" s="6" t="n">
        <v>26.55</v>
      </c>
      <c r="E1591" s="6" t="n">
        <v>1088285.13</v>
      </c>
      <c r="F1591" s="6">
        <f>ROUND(E1591-E1590,2)</f>
        <v/>
      </c>
      <c r="G1591" s="6">
        <f>ROUND(F1591-D1591,2)</f>
        <v/>
      </c>
    </row>
    <row r="1592">
      <c r="A1592" t="inlineStr">
        <is>
          <t>2022-06-25</t>
        </is>
      </c>
      <c r="B1592" t="n">
        <v>26</v>
      </c>
      <c r="C1592" t="n">
        <v>2991</v>
      </c>
      <c r="D1592" s="6" t="n">
        <v>26.55</v>
      </c>
      <c r="E1592" s="6" t="n">
        <v>1088311.68</v>
      </c>
      <c r="F1592" s="6">
        <f>ROUND(E1592-E1591,2)</f>
        <v/>
      </c>
      <c r="G1592" s="6">
        <f>ROUND(F1592-D1592,2)</f>
        <v/>
      </c>
    </row>
    <row r="1593">
      <c r="A1593" t="inlineStr">
        <is>
          <t>2022-06-25</t>
        </is>
      </c>
      <c r="B1593" t="n">
        <v>27</v>
      </c>
      <c r="C1593" t="n">
        <v>2991</v>
      </c>
      <c r="D1593" s="6" t="n">
        <v>25.3</v>
      </c>
      <c r="E1593" s="6" t="n">
        <v>1088336.98</v>
      </c>
      <c r="F1593" s="6">
        <f>ROUND(E1593-E1592,2)</f>
        <v/>
      </c>
      <c r="G1593" s="6">
        <f>ROUND(F1593-D1593,2)</f>
        <v/>
      </c>
    </row>
    <row r="1594">
      <c r="A1594" t="inlineStr">
        <is>
          <t>2022-06-25</t>
        </is>
      </c>
      <c r="B1594" t="n">
        <v>28</v>
      </c>
      <c r="C1594" t="n">
        <v>2991</v>
      </c>
      <c r="D1594" s="6" t="n">
        <v>25.3</v>
      </c>
      <c r="E1594" s="6" t="n">
        <v>1088362.28</v>
      </c>
      <c r="F1594" s="6">
        <f>ROUND(E1594-E1593,2)</f>
        <v/>
      </c>
      <c r="G1594" s="6">
        <f>ROUND(F1594-D1594,2)</f>
        <v/>
      </c>
    </row>
    <row r="1595">
      <c r="A1595" t="inlineStr">
        <is>
          <t>2022-06-25</t>
        </is>
      </c>
      <c r="B1595" t="n">
        <v>29</v>
      </c>
      <c r="C1595" t="n">
        <v>2991</v>
      </c>
      <c r="D1595" s="6" t="n">
        <v>213.1</v>
      </c>
      <c r="E1595" s="6" t="n">
        <v>1088575.38</v>
      </c>
      <c r="F1595" s="6">
        <f>ROUND(E1595-E1594,2)</f>
        <v/>
      </c>
      <c r="G1595" s="6">
        <f>ROUND(F1595-D1595,2)</f>
        <v/>
      </c>
    </row>
    <row r="1596">
      <c r="A1596" t="inlineStr">
        <is>
          <t>2022-06-25</t>
        </is>
      </c>
      <c r="B1596" t="n">
        <v>30</v>
      </c>
      <c r="C1596" t="n">
        <v>2991</v>
      </c>
      <c r="D1596" s="6" t="n">
        <v>36.9</v>
      </c>
      <c r="E1596" s="6" t="n">
        <v>1088612.28</v>
      </c>
      <c r="F1596" s="6">
        <f>ROUND(E1596-E1595,2)</f>
        <v/>
      </c>
      <c r="G1596" s="6">
        <f>ROUND(F1596-D1596,2)</f>
        <v/>
      </c>
    </row>
    <row r="1597">
      <c r="A1597" t="inlineStr">
        <is>
          <t>2022-06-25</t>
        </is>
      </c>
      <c r="B1597" t="n">
        <v>31</v>
      </c>
      <c r="C1597" t="n">
        <v>2991</v>
      </c>
      <c r="D1597" s="6" t="n">
        <v>29.9</v>
      </c>
      <c r="E1597" s="6" t="n">
        <v>1088642.18</v>
      </c>
      <c r="F1597" s="6">
        <f>ROUND(E1597-E1596,2)</f>
        <v/>
      </c>
      <c r="G1597" s="6">
        <f>ROUND(F1597-D1597,2)</f>
        <v/>
      </c>
    </row>
    <row r="1598">
      <c r="A1598" t="inlineStr">
        <is>
          <t>2022-06-25</t>
        </is>
      </c>
      <c r="B1598" t="n">
        <v>32</v>
      </c>
      <c r="C1598" t="n">
        <v>2991</v>
      </c>
      <c r="D1598" s="6" t="n">
        <v>90.09999999999999</v>
      </c>
      <c r="E1598" s="6" t="n">
        <v>1088732.28</v>
      </c>
      <c r="F1598" s="6">
        <f>ROUND(E1598-E1597,2)</f>
        <v/>
      </c>
      <c r="G1598" s="6">
        <f>ROUND(F1598-D1598,2)</f>
        <v/>
      </c>
    </row>
    <row r="1599">
      <c r="A1599" t="inlineStr">
        <is>
          <t>2022-06-25</t>
        </is>
      </c>
      <c r="B1599" t="n">
        <v>33</v>
      </c>
      <c r="C1599" t="n">
        <v>2991</v>
      </c>
      <c r="D1599" s="6" t="n">
        <v>59.4</v>
      </c>
      <c r="E1599" s="6" t="n">
        <v>1088791.68</v>
      </c>
      <c r="F1599" s="6">
        <f>ROUND(E1599-E1598,2)</f>
        <v/>
      </c>
      <c r="G1599" s="6">
        <f>ROUND(F1599-D1599,2)</f>
        <v/>
      </c>
    </row>
    <row r="1600">
      <c r="A1600" t="inlineStr">
        <is>
          <t>2022-06-25</t>
        </is>
      </c>
      <c r="B1600" t="n">
        <v>34</v>
      </c>
      <c r="C1600" t="n">
        <v>2991</v>
      </c>
      <c r="D1600" s="6" t="n">
        <v>255.9</v>
      </c>
      <c r="E1600" s="6" t="n">
        <v>1089047.58</v>
      </c>
      <c r="F1600" s="6">
        <f>ROUND(E1600-E1599,2)</f>
        <v/>
      </c>
      <c r="G1600" s="6">
        <f>ROUND(F1600-D1600,2)</f>
        <v/>
      </c>
    </row>
    <row r="1601">
      <c r="A1601" t="inlineStr">
        <is>
          <t>2022-06-25</t>
        </is>
      </c>
      <c r="B1601" t="n">
        <v>35</v>
      </c>
      <c r="C1601" t="n">
        <v>2991</v>
      </c>
      <c r="D1601" s="6" t="n">
        <v>263.1</v>
      </c>
      <c r="E1601" s="6" t="n">
        <v>1089310.68</v>
      </c>
      <c r="F1601" s="6">
        <f>ROUND(E1601-E1600,2)</f>
        <v/>
      </c>
      <c r="G1601" s="6">
        <f>ROUND(F1601-D1601,2)</f>
        <v/>
      </c>
    </row>
    <row r="1602">
      <c r="A1602" t="inlineStr">
        <is>
          <t>2022-06-25</t>
        </is>
      </c>
      <c r="B1602" t="n">
        <v>36</v>
      </c>
      <c r="C1602" t="n">
        <v>2991</v>
      </c>
      <c r="D1602" s="6" t="n">
        <v>59.3</v>
      </c>
      <c r="E1602" s="6" t="n">
        <v>1089369.98</v>
      </c>
      <c r="F1602" s="6">
        <f>ROUND(E1602-E1601,2)</f>
        <v/>
      </c>
      <c r="G1602" s="6">
        <f>ROUND(F1602-D1602,2)</f>
        <v/>
      </c>
    </row>
    <row r="1603">
      <c r="A1603" t="inlineStr">
        <is>
          <t>2022-06-25</t>
        </is>
      </c>
      <c r="B1603" t="n">
        <v>37</v>
      </c>
      <c r="C1603" t="n">
        <v>2991</v>
      </c>
      <c r="D1603" s="6" t="n">
        <v>69.7</v>
      </c>
      <c r="E1603" s="6" t="n">
        <v>1089439.68</v>
      </c>
      <c r="F1603" s="6">
        <f>ROUND(E1603-E1602,2)</f>
        <v/>
      </c>
      <c r="G1603" s="6">
        <f>ROUND(F1603-D1603,2)</f>
        <v/>
      </c>
    </row>
    <row r="1604">
      <c r="A1604" t="inlineStr">
        <is>
          <t>2022-06-26</t>
        </is>
      </c>
      <c r="B1604" t="n">
        <v>1</v>
      </c>
      <c r="C1604" t="n">
        <v>2992</v>
      </c>
      <c r="D1604" s="6" t="n">
        <v>42.4</v>
      </c>
      <c r="E1604" s="6" t="n">
        <v>1089482.08</v>
      </c>
      <c r="F1604" s="6">
        <f>ROUND(E1604-E1603,2)</f>
        <v/>
      </c>
      <c r="G1604" s="6">
        <f>ROUND(F1604-D1604,2)</f>
        <v/>
      </c>
    </row>
    <row r="1605">
      <c r="A1605" t="inlineStr">
        <is>
          <t>2022-06-26</t>
        </is>
      </c>
      <c r="B1605" t="n">
        <v>2</v>
      </c>
      <c r="C1605" t="n">
        <v>2992</v>
      </c>
      <c r="D1605" s="6" t="n">
        <v>58.3</v>
      </c>
      <c r="E1605" s="6" t="n">
        <v>1089540.38</v>
      </c>
      <c r="F1605" s="6">
        <f>ROUND(E1605-E1604,2)</f>
        <v/>
      </c>
      <c r="G1605" s="6">
        <f>ROUND(F1605-D1605,2)</f>
        <v/>
      </c>
    </row>
    <row r="1606">
      <c r="A1606" t="inlineStr">
        <is>
          <t>2022-06-26</t>
        </is>
      </c>
      <c r="B1606" t="n">
        <v>3</v>
      </c>
      <c r="C1606" t="n">
        <v>2992</v>
      </c>
      <c r="D1606" s="6" t="n">
        <v>81.90000000000001</v>
      </c>
      <c r="E1606" s="6" t="n">
        <v>1089622.28</v>
      </c>
      <c r="F1606" s="6">
        <f>ROUND(E1606-E1605,2)</f>
        <v/>
      </c>
      <c r="G1606" s="6">
        <f>ROUND(F1606-D1606,2)</f>
        <v/>
      </c>
    </row>
    <row r="1607">
      <c r="A1607" t="inlineStr">
        <is>
          <t>2022-06-26</t>
        </is>
      </c>
      <c r="B1607" t="n">
        <v>4</v>
      </c>
      <c r="C1607" t="n">
        <v>2992</v>
      </c>
      <c r="D1607" s="6" t="n">
        <v>61.8</v>
      </c>
      <c r="E1607" s="6" t="n">
        <v>1089684.08</v>
      </c>
      <c r="F1607" s="6">
        <f>ROUND(E1607-E1606,2)</f>
        <v/>
      </c>
      <c r="G1607" s="6">
        <f>ROUND(F1607-D1607,2)</f>
        <v/>
      </c>
    </row>
    <row r="1608">
      <c r="A1608" t="inlineStr">
        <is>
          <t>2022-06-26</t>
        </is>
      </c>
      <c r="B1608" t="n">
        <v>5</v>
      </c>
      <c r="C1608" t="n">
        <v>2992</v>
      </c>
      <c r="D1608" s="6" t="n">
        <v>61.8</v>
      </c>
      <c r="E1608" s="6" t="n">
        <v>1089745.88</v>
      </c>
      <c r="F1608" s="6">
        <f>ROUND(E1608-E1607,2)</f>
        <v/>
      </c>
      <c r="G1608" s="6">
        <f>ROUND(F1608-D1608,2)</f>
        <v/>
      </c>
    </row>
    <row r="1609">
      <c r="A1609" t="inlineStr">
        <is>
          <t>2022-06-26</t>
        </is>
      </c>
      <c r="B1609" t="n">
        <v>6</v>
      </c>
      <c r="C1609" t="n">
        <v>2992</v>
      </c>
      <c r="D1609" s="6" t="n">
        <v>55.8</v>
      </c>
      <c r="E1609" s="6" t="n">
        <v>1089801.68</v>
      </c>
      <c r="F1609" s="6">
        <f>ROUND(E1609-E1608,2)</f>
        <v/>
      </c>
      <c r="G1609" s="6">
        <f>ROUND(F1609-D1609,2)</f>
        <v/>
      </c>
    </row>
    <row r="1610">
      <c r="A1610" t="inlineStr">
        <is>
          <t>2022-06-26</t>
        </is>
      </c>
      <c r="B1610" t="n">
        <v>7</v>
      </c>
      <c r="C1610" t="n">
        <v>2992</v>
      </c>
      <c r="D1610" s="6" t="n">
        <v>32</v>
      </c>
      <c r="E1610" s="6" t="n">
        <v>1089833.68</v>
      </c>
      <c r="F1610" s="6">
        <f>ROUND(E1610-E1609,2)</f>
        <v/>
      </c>
      <c r="G1610" s="6">
        <f>ROUND(F1610-D1610,2)</f>
        <v/>
      </c>
    </row>
    <row r="1611">
      <c r="A1611" t="inlineStr">
        <is>
          <t>2022-06-26</t>
        </is>
      </c>
      <c r="B1611" t="n">
        <v>8</v>
      </c>
      <c r="C1611" t="n">
        <v>2992</v>
      </c>
      <c r="D1611" s="6" t="n">
        <v>57.6</v>
      </c>
      <c r="E1611" s="6" t="n">
        <v>1089891.28</v>
      </c>
      <c r="F1611" s="6">
        <f>ROUND(E1611-E1610,2)</f>
        <v/>
      </c>
      <c r="G1611" s="6">
        <f>ROUND(F1611-D1611,2)</f>
        <v/>
      </c>
    </row>
    <row r="1612">
      <c r="A1612" t="inlineStr">
        <is>
          <t>2022-06-26</t>
        </is>
      </c>
      <c r="B1612" t="n">
        <v>9</v>
      </c>
      <c r="C1612" t="n">
        <v>2992</v>
      </c>
      <c r="D1612" s="6" t="n">
        <v>109</v>
      </c>
      <c r="E1612" s="6" t="n">
        <v>1090000.28</v>
      </c>
      <c r="F1612" s="6">
        <f>ROUND(E1612-E1611,2)</f>
        <v/>
      </c>
      <c r="G1612" s="6">
        <f>ROUND(F1612-D1612,2)</f>
        <v/>
      </c>
    </row>
    <row r="1613">
      <c r="A1613" t="inlineStr">
        <is>
          <t>2022-06-26</t>
        </is>
      </c>
      <c r="B1613" t="n">
        <v>10</v>
      </c>
      <c r="C1613" t="n">
        <v>2992</v>
      </c>
      <c r="D1613" s="6" t="n">
        <v>268.6</v>
      </c>
      <c r="E1613" s="6" t="n">
        <v>1090268.88</v>
      </c>
      <c r="F1613" s="6">
        <f>ROUND(E1613-E1612,2)</f>
        <v/>
      </c>
      <c r="G1613" s="6">
        <f>ROUND(F1613-D1613,2)</f>
        <v/>
      </c>
    </row>
    <row r="1614">
      <c r="A1614" t="inlineStr">
        <is>
          <t>2022-06-26</t>
        </is>
      </c>
      <c r="B1614" t="n">
        <v>11</v>
      </c>
      <c r="C1614" t="n">
        <v>2992</v>
      </c>
      <c r="D1614" s="6" t="n">
        <v>110.1</v>
      </c>
      <c r="E1614" s="6" t="n">
        <v>1090378.98</v>
      </c>
      <c r="F1614" s="6">
        <f>ROUND(E1614-E1613,2)</f>
        <v/>
      </c>
      <c r="G1614" s="6">
        <f>ROUND(F1614-D1614,2)</f>
        <v/>
      </c>
    </row>
    <row r="1615">
      <c r="A1615" t="inlineStr">
        <is>
          <t>2022-06-26</t>
        </is>
      </c>
      <c r="B1615" t="n">
        <v>12</v>
      </c>
      <c r="C1615" t="n">
        <v>2992</v>
      </c>
      <c r="D1615" s="6" t="n">
        <v>88.40000000000001</v>
      </c>
      <c r="E1615" s="6" t="n">
        <v>1090467.38</v>
      </c>
      <c r="F1615" s="6">
        <f>ROUND(E1615-E1614,2)</f>
        <v/>
      </c>
      <c r="G1615" s="6">
        <f>ROUND(F1615-D1615,2)</f>
        <v/>
      </c>
    </row>
    <row r="1616">
      <c r="A1616" t="inlineStr">
        <is>
          <t>2022-06-26</t>
        </is>
      </c>
      <c r="B1616" t="n">
        <v>13</v>
      </c>
      <c r="C1616" t="n">
        <v>2992</v>
      </c>
      <c r="D1616" s="6" t="n">
        <v>152.6</v>
      </c>
      <c r="E1616" s="6" t="n">
        <v>1090619.98</v>
      </c>
      <c r="F1616" s="6">
        <f>ROUND(E1616-E1615,2)</f>
        <v/>
      </c>
      <c r="G1616" s="6">
        <f>ROUND(F1616-D1616,2)</f>
        <v/>
      </c>
    </row>
    <row r="1617">
      <c r="A1617" t="inlineStr">
        <is>
          <t>2022-06-26</t>
        </is>
      </c>
      <c r="B1617" t="n">
        <v>14</v>
      </c>
      <c r="C1617" t="n">
        <v>2992</v>
      </c>
      <c r="D1617" s="6" t="n">
        <v>50.2</v>
      </c>
      <c r="E1617" s="6" t="n">
        <v>1090670.18</v>
      </c>
      <c r="F1617" s="6">
        <f>ROUND(E1617-E1616,2)</f>
        <v/>
      </c>
      <c r="G1617" s="6">
        <f>ROUND(F1617-D1617,2)</f>
        <v/>
      </c>
    </row>
    <row r="1618">
      <c r="A1618" t="inlineStr">
        <is>
          <t>2022-06-26</t>
        </is>
      </c>
      <c r="B1618" t="n">
        <v>15</v>
      </c>
      <c r="C1618" t="n">
        <v>2992</v>
      </c>
      <c r="D1618" s="6" t="n">
        <v>42.4</v>
      </c>
      <c r="E1618" s="6" t="n">
        <v>1090712.58</v>
      </c>
      <c r="F1618" s="6">
        <f>ROUND(E1618-E1617,2)</f>
        <v/>
      </c>
      <c r="G1618" s="6">
        <f>ROUND(F1618-D1618,2)</f>
        <v/>
      </c>
    </row>
    <row r="1619">
      <c r="A1619" t="inlineStr">
        <is>
          <t>2022-06-26</t>
        </is>
      </c>
      <c r="B1619" t="n">
        <v>16</v>
      </c>
      <c r="C1619" t="n">
        <v>2992</v>
      </c>
      <c r="D1619" s="6" t="n">
        <v>52.2</v>
      </c>
      <c r="E1619" s="6" t="n">
        <v>1090764.78</v>
      </c>
      <c r="F1619" s="6">
        <f>ROUND(E1619-E1618,2)</f>
        <v/>
      </c>
      <c r="G1619" s="6">
        <f>ROUND(F1619-D1619,2)</f>
        <v/>
      </c>
    </row>
    <row r="1620">
      <c r="A1620" t="inlineStr">
        <is>
          <t>2022-06-26</t>
        </is>
      </c>
      <c r="B1620" t="n">
        <v>17</v>
      </c>
      <c r="C1620" t="n">
        <v>2992</v>
      </c>
      <c r="D1620" s="6" t="n">
        <v>69.59999999999999</v>
      </c>
      <c r="E1620" s="6" t="n">
        <v>1090834.38</v>
      </c>
      <c r="F1620" s="6">
        <f>ROUND(E1620-E1619,2)</f>
        <v/>
      </c>
      <c r="G1620" s="6">
        <f>ROUND(F1620-D1620,2)</f>
        <v/>
      </c>
    </row>
    <row r="1621">
      <c r="A1621" t="inlineStr">
        <is>
          <t>2022-06-26</t>
        </is>
      </c>
      <c r="B1621" t="n">
        <v>18</v>
      </c>
      <c r="C1621" t="n">
        <v>2992</v>
      </c>
      <c r="D1621" s="6" t="n">
        <v>65</v>
      </c>
      <c r="E1621" s="6" t="n">
        <v>1090899.38</v>
      </c>
      <c r="F1621" s="6">
        <f>ROUND(E1621-E1620,2)</f>
        <v/>
      </c>
      <c r="G1621" s="6">
        <f>ROUND(F1621-D1621,2)</f>
        <v/>
      </c>
    </row>
    <row r="1622">
      <c r="A1622" t="inlineStr">
        <is>
          <t>2022-06-26</t>
        </is>
      </c>
      <c r="B1622" t="n">
        <v>19</v>
      </c>
      <c r="C1622" t="n">
        <v>2992</v>
      </c>
      <c r="D1622" s="6" t="n">
        <v>36.9</v>
      </c>
      <c r="E1622" s="6" t="n">
        <v>1090936.28</v>
      </c>
      <c r="F1622" s="6">
        <f>ROUND(E1622-E1621,2)</f>
        <v/>
      </c>
      <c r="G1622" s="6">
        <f>ROUND(F1622-D1622,2)</f>
        <v/>
      </c>
    </row>
    <row r="1623">
      <c r="A1623" t="inlineStr">
        <is>
          <t>2022-06-26</t>
        </is>
      </c>
      <c r="B1623" t="n">
        <v>20</v>
      </c>
      <c r="C1623" t="n">
        <v>2992</v>
      </c>
      <c r="D1623" s="6" t="n">
        <v>60</v>
      </c>
      <c r="E1623" s="6" t="n">
        <v>1090996.28</v>
      </c>
      <c r="F1623" s="6">
        <f>ROUND(E1623-E1622,2)</f>
        <v/>
      </c>
      <c r="G1623" s="6">
        <f>ROUND(F1623-D1623,2)</f>
        <v/>
      </c>
    </row>
    <row r="1624">
      <c r="A1624" t="inlineStr">
        <is>
          <t>2022-06-26</t>
        </is>
      </c>
      <c r="B1624" t="n">
        <v>21</v>
      </c>
      <c r="C1624" t="n">
        <v>2992</v>
      </c>
      <c r="D1624" s="6" t="n">
        <v>80.40000000000001</v>
      </c>
      <c r="E1624" s="6" t="n">
        <v>1091076.68</v>
      </c>
      <c r="F1624" s="6">
        <f>ROUND(E1624-E1623,2)</f>
        <v/>
      </c>
      <c r="G1624" s="6">
        <f>ROUND(F1624-D1624,2)</f>
        <v/>
      </c>
    </row>
    <row r="1625">
      <c r="A1625" t="inlineStr">
        <is>
          <t>2022-06-26</t>
        </is>
      </c>
      <c r="B1625" t="n">
        <v>22</v>
      </c>
      <c r="C1625" t="n">
        <v>2992</v>
      </c>
      <c r="D1625" s="6" t="n">
        <v>73.90000000000001</v>
      </c>
      <c r="E1625" s="6" t="n">
        <v>1091150.58</v>
      </c>
      <c r="F1625" s="6">
        <f>ROUND(E1625-E1624,2)</f>
        <v/>
      </c>
      <c r="G1625" s="6">
        <f>ROUND(F1625-D1625,2)</f>
        <v/>
      </c>
    </row>
    <row r="1626">
      <c r="A1626" t="inlineStr">
        <is>
          <t>2022-06-26</t>
        </is>
      </c>
      <c r="B1626" t="n">
        <v>23</v>
      </c>
      <c r="C1626" t="n">
        <v>2992</v>
      </c>
      <c r="D1626" s="6" t="n">
        <v>56</v>
      </c>
      <c r="E1626" s="6" t="n">
        <v>1091206.58</v>
      </c>
      <c r="F1626" s="6">
        <f>ROUND(E1626-E1625,2)</f>
        <v/>
      </c>
      <c r="G1626" s="6">
        <f>ROUND(F1626-D1626,2)</f>
        <v/>
      </c>
    </row>
    <row r="1627">
      <c r="A1627" t="inlineStr">
        <is>
          <t>2022-06-26</t>
        </is>
      </c>
      <c r="B1627" t="n">
        <v>24</v>
      </c>
      <c r="C1627" t="n">
        <v>2992</v>
      </c>
      <c r="D1627" s="6" t="n">
        <v>109.8</v>
      </c>
      <c r="E1627" s="6" t="n">
        <v>1091316.38</v>
      </c>
      <c r="F1627" s="6">
        <f>ROUND(E1627-E1626,2)</f>
        <v/>
      </c>
      <c r="G1627" s="6">
        <f>ROUND(F1627-D1627,2)</f>
        <v/>
      </c>
    </row>
    <row r="1628">
      <c r="A1628" t="inlineStr">
        <is>
          <t>2022-06-26</t>
        </is>
      </c>
      <c r="B1628" t="n">
        <v>25</v>
      </c>
      <c r="C1628" t="n">
        <v>2992</v>
      </c>
      <c r="D1628" s="6" t="n">
        <v>82.90000000000001</v>
      </c>
      <c r="E1628" s="6" t="n">
        <v>1091399.28</v>
      </c>
      <c r="F1628" s="6">
        <f>ROUND(E1628-E1627,2)</f>
        <v/>
      </c>
      <c r="G1628" s="6">
        <f>ROUND(F1628-D1628,2)</f>
        <v/>
      </c>
    </row>
    <row r="1629">
      <c r="A1629" t="inlineStr">
        <is>
          <t>2022-06-26</t>
        </is>
      </c>
      <c r="B1629" t="n">
        <v>26</v>
      </c>
      <c r="C1629" t="n">
        <v>2992</v>
      </c>
      <c r="D1629" s="6" t="n">
        <v>110</v>
      </c>
      <c r="E1629" s="6" t="n">
        <v>1091509.28</v>
      </c>
      <c r="F1629" s="6">
        <f>ROUND(E1629-E1628,2)</f>
        <v/>
      </c>
      <c r="G1629" s="6">
        <f>ROUND(F1629-D1629,2)</f>
        <v/>
      </c>
    </row>
    <row r="1630">
      <c r="A1630" t="inlineStr">
        <is>
          <t>2022-06-26</t>
        </is>
      </c>
      <c r="B1630" t="n">
        <v>27</v>
      </c>
      <c r="C1630" t="n">
        <v>2992</v>
      </c>
      <c r="D1630" s="6" t="n">
        <v>34.3</v>
      </c>
      <c r="E1630" s="6" t="n">
        <v>1091543.58</v>
      </c>
      <c r="F1630" s="6">
        <f>ROUND(E1630-E1629,2)</f>
        <v/>
      </c>
      <c r="G1630" s="6">
        <f>ROUND(F1630-D1630,2)</f>
        <v/>
      </c>
    </row>
    <row r="1631">
      <c r="A1631" t="inlineStr">
        <is>
          <t>2022-06-26</t>
        </is>
      </c>
      <c r="B1631" t="n">
        <v>28</v>
      </c>
      <c r="C1631" t="n">
        <v>2992</v>
      </c>
      <c r="D1631" s="6" t="n">
        <v>30.7</v>
      </c>
      <c r="E1631" s="6" t="n">
        <v>1091574.28</v>
      </c>
      <c r="F1631" s="6">
        <f>ROUND(E1631-E1630,2)</f>
        <v/>
      </c>
      <c r="G1631" s="6">
        <f>ROUND(F1631-D1631,2)</f>
        <v/>
      </c>
    </row>
    <row r="1632">
      <c r="A1632" t="inlineStr">
        <is>
          <t>2022-06-26</t>
        </is>
      </c>
      <c r="B1632" t="n">
        <v>29</v>
      </c>
      <c r="C1632" t="n">
        <v>2992</v>
      </c>
      <c r="D1632" s="6" t="n">
        <v>22.7</v>
      </c>
      <c r="E1632" s="6" t="n">
        <v>1091596.98</v>
      </c>
      <c r="F1632" s="6">
        <f>ROUND(E1632-E1631,2)</f>
        <v/>
      </c>
      <c r="G1632" s="6">
        <f>ROUND(F1632-D1632,2)</f>
        <v/>
      </c>
    </row>
    <row r="1633">
      <c r="A1633" t="inlineStr">
        <is>
          <t>2022-06-26</t>
        </is>
      </c>
      <c r="B1633" t="n">
        <v>30</v>
      </c>
      <c r="C1633" t="n">
        <v>2992</v>
      </c>
      <c r="D1633" s="6" t="n">
        <v>56.8</v>
      </c>
      <c r="E1633" s="6" t="n">
        <v>1091653.78</v>
      </c>
      <c r="F1633" s="6">
        <f>ROUND(E1633-E1632,2)</f>
        <v/>
      </c>
      <c r="G1633" s="6">
        <f>ROUND(F1633-D1633,2)</f>
        <v/>
      </c>
    </row>
    <row r="1634">
      <c r="A1634" t="inlineStr">
        <is>
          <t>2022-06-26</t>
        </is>
      </c>
      <c r="B1634" t="n">
        <v>31</v>
      </c>
      <c r="C1634" t="n">
        <v>2992</v>
      </c>
      <c r="D1634" s="6" t="n">
        <v>70.59999999999999</v>
      </c>
      <c r="E1634" s="6" t="n">
        <v>1091724.38</v>
      </c>
      <c r="F1634" s="6">
        <f>ROUND(E1634-E1633,2)</f>
        <v/>
      </c>
      <c r="G1634" s="6">
        <f>ROUND(F1634-D1634,2)</f>
        <v/>
      </c>
    </row>
    <row r="1635">
      <c r="A1635" t="inlineStr">
        <is>
          <t>2022-06-26</t>
        </is>
      </c>
      <c r="B1635" t="n">
        <v>32</v>
      </c>
      <c r="C1635" t="n">
        <v>2992</v>
      </c>
      <c r="D1635" s="6" t="n">
        <v>107</v>
      </c>
      <c r="E1635" s="6" t="n">
        <v>1091831.38</v>
      </c>
      <c r="F1635" s="6">
        <f>ROUND(E1635-E1634,2)</f>
        <v/>
      </c>
      <c r="G1635" s="6">
        <f>ROUND(F1635-D1635,2)</f>
        <v/>
      </c>
    </row>
    <row r="1636">
      <c r="A1636" t="inlineStr">
        <is>
          <t>2022-06-29</t>
        </is>
      </c>
      <c r="B1636" t="n">
        <v>1</v>
      </c>
      <c r="C1636" t="n">
        <v>2993</v>
      </c>
      <c r="D1636" s="6" t="n">
        <v>48.2</v>
      </c>
      <c r="E1636" s="6" t="n">
        <v>1091879.58</v>
      </c>
      <c r="F1636" s="6">
        <f>ROUND(E1636-E1635,2)</f>
        <v/>
      </c>
      <c r="G1636" s="6">
        <f>ROUND(F1636-D1636,2)</f>
        <v/>
      </c>
    </row>
    <row r="1637">
      <c r="A1637" t="inlineStr">
        <is>
          <t>2022-06-29</t>
        </is>
      </c>
      <c r="B1637" t="n">
        <v>2</v>
      </c>
      <c r="C1637" t="n">
        <v>2993</v>
      </c>
      <c r="D1637" s="6" t="n">
        <v>49.4</v>
      </c>
      <c r="E1637" s="6" t="n">
        <v>1091928.98</v>
      </c>
      <c r="F1637" s="6">
        <f>ROUND(E1637-E1636,2)</f>
        <v/>
      </c>
      <c r="G1637" s="6">
        <f>ROUND(F1637-D1637,2)</f>
        <v/>
      </c>
    </row>
    <row r="1638">
      <c r="A1638" t="inlineStr">
        <is>
          <t>2022-06-29</t>
        </is>
      </c>
      <c r="B1638" t="n">
        <v>3</v>
      </c>
      <c r="C1638" t="n">
        <v>2993</v>
      </c>
      <c r="D1638" s="6" t="n">
        <v>48.2</v>
      </c>
      <c r="E1638" s="6" t="n">
        <v>1091977.18</v>
      </c>
      <c r="F1638" s="6">
        <f>ROUND(E1638-E1637,2)</f>
        <v/>
      </c>
      <c r="G1638" s="6">
        <f>ROUND(F1638-D1638,2)</f>
        <v/>
      </c>
    </row>
    <row r="1639">
      <c r="A1639" t="inlineStr">
        <is>
          <t>2022-06-29</t>
        </is>
      </c>
      <c r="B1639" t="n">
        <v>4</v>
      </c>
      <c r="C1639" t="n">
        <v>2993</v>
      </c>
      <c r="D1639" s="6" t="n">
        <v>95.40000000000001</v>
      </c>
      <c r="E1639" s="6" t="n">
        <v>1092072.58</v>
      </c>
      <c r="F1639" s="6">
        <f>ROUND(E1639-E1638,2)</f>
        <v/>
      </c>
      <c r="G1639" s="6">
        <f>ROUND(F1639-D1639,2)</f>
        <v/>
      </c>
    </row>
    <row r="1640">
      <c r="A1640" t="inlineStr">
        <is>
          <t>2022-06-29</t>
        </is>
      </c>
      <c r="B1640" t="n">
        <v>5</v>
      </c>
      <c r="C1640" t="n">
        <v>2993</v>
      </c>
      <c r="D1640" s="6" t="n">
        <v>49.4</v>
      </c>
      <c r="E1640" s="6" t="n">
        <v>1092121.98</v>
      </c>
      <c r="F1640" s="6">
        <f>ROUND(E1640-E1639,2)</f>
        <v/>
      </c>
      <c r="G1640" s="6">
        <f>ROUND(F1640-D1640,2)</f>
        <v/>
      </c>
    </row>
    <row r="1641">
      <c r="A1641" t="inlineStr">
        <is>
          <t>2022-06-29</t>
        </is>
      </c>
      <c r="B1641" t="n">
        <v>6</v>
      </c>
      <c r="C1641" t="n">
        <v>2993</v>
      </c>
      <c r="D1641" s="6" t="n">
        <v>51.6</v>
      </c>
      <c r="E1641" s="6" t="n">
        <v>1092173.58</v>
      </c>
      <c r="F1641" s="6">
        <f>ROUND(E1641-E1640,2)</f>
        <v/>
      </c>
      <c r="G1641" s="6">
        <f>ROUND(F1641-D1641,2)</f>
        <v/>
      </c>
    </row>
    <row r="1642">
      <c r="A1642" t="inlineStr">
        <is>
          <t>2022-06-29</t>
        </is>
      </c>
      <c r="B1642" t="n">
        <v>7</v>
      </c>
      <c r="C1642" t="n">
        <v>2993</v>
      </c>
      <c r="D1642" s="6" t="n">
        <v>67.5</v>
      </c>
      <c r="E1642" s="6" t="n">
        <v>1092241.08</v>
      </c>
      <c r="F1642" s="6">
        <f>ROUND(E1642-E1641,2)</f>
        <v/>
      </c>
      <c r="G1642" s="6">
        <f>ROUND(F1642-D1642,2)</f>
        <v/>
      </c>
    </row>
    <row r="1643">
      <c r="A1643" t="inlineStr">
        <is>
          <t>2022-06-29</t>
        </is>
      </c>
      <c r="B1643" t="n">
        <v>8</v>
      </c>
      <c r="C1643" t="n">
        <v>2993</v>
      </c>
      <c r="D1643" s="6" t="n">
        <v>138.2</v>
      </c>
      <c r="E1643" s="6" t="n">
        <v>1092379.28</v>
      </c>
      <c r="F1643" s="6">
        <f>ROUND(E1643-E1642,2)</f>
        <v/>
      </c>
      <c r="G1643" s="6">
        <f>ROUND(F1643-D1643,2)</f>
        <v/>
      </c>
    </row>
    <row r="1644">
      <c r="A1644" t="inlineStr">
        <is>
          <t>2022-06-29</t>
        </is>
      </c>
      <c r="B1644" t="n">
        <v>9</v>
      </c>
      <c r="C1644" t="n">
        <v>2993</v>
      </c>
      <c r="D1644" s="6" t="n">
        <v>48.4</v>
      </c>
      <c r="E1644" s="6" t="n">
        <v>1092427.68</v>
      </c>
      <c r="F1644" s="6">
        <f>ROUND(E1644-E1643,2)</f>
        <v/>
      </c>
      <c r="G1644" s="6">
        <f>ROUND(F1644-D1644,2)</f>
        <v/>
      </c>
    </row>
    <row r="1645">
      <c r="A1645" t="inlineStr">
        <is>
          <t>2022-06-29</t>
        </is>
      </c>
      <c r="B1645" t="n">
        <v>10</v>
      </c>
      <c r="C1645" t="n">
        <v>2993</v>
      </c>
      <c r="D1645" s="6" t="n">
        <v>83.8</v>
      </c>
      <c r="E1645" s="6" t="n">
        <v>1092511.48</v>
      </c>
      <c r="F1645" s="6">
        <f>ROUND(E1645-E1644,2)</f>
        <v/>
      </c>
      <c r="G1645" s="6">
        <f>ROUND(F1645-D1645,2)</f>
        <v/>
      </c>
    </row>
    <row r="1646">
      <c r="A1646" t="inlineStr">
        <is>
          <t>2022-06-29</t>
        </is>
      </c>
      <c r="B1646" t="n">
        <v>11</v>
      </c>
      <c r="C1646" t="n">
        <v>2993</v>
      </c>
      <c r="D1646" s="6" t="n">
        <v>74.90000000000001</v>
      </c>
      <c r="E1646" s="6" t="n">
        <v>1092586.38</v>
      </c>
      <c r="F1646" s="6">
        <f>ROUND(E1646-E1645,2)</f>
        <v/>
      </c>
      <c r="G1646" s="6">
        <f>ROUND(F1646-D1646,2)</f>
        <v/>
      </c>
    </row>
    <row r="1647">
      <c r="A1647" t="inlineStr">
        <is>
          <t>2022-06-29</t>
        </is>
      </c>
      <c r="B1647" t="n">
        <v>12</v>
      </c>
      <c r="C1647" t="n">
        <v>2993</v>
      </c>
      <c r="D1647" s="6" t="n">
        <v>62.3</v>
      </c>
      <c r="E1647" s="6" t="n">
        <v>1092648.68</v>
      </c>
      <c r="F1647" s="6">
        <f>ROUND(E1647-E1646,2)</f>
        <v/>
      </c>
      <c r="G1647" s="6">
        <f>ROUND(F1647-D1647,2)</f>
        <v/>
      </c>
    </row>
    <row r="1648">
      <c r="A1648" t="inlineStr">
        <is>
          <t>2022-06-29</t>
        </is>
      </c>
      <c r="B1648" t="n">
        <v>13</v>
      </c>
      <c r="C1648" t="n">
        <v>2993</v>
      </c>
      <c r="D1648" s="6" t="n">
        <v>83</v>
      </c>
      <c r="E1648" s="6" t="n">
        <v>1092731.68</v>
      </c>
      <c r="F1648" s="6">
        <f>ROUND(E1648-E1647,2)</f>
        <v/>
      </c>
      <c r="G1648" s="6">
        <f>ROUND(F1648-D1648,2)</f>
        <v/>
      </c>
    </row>
    <row r="1649">
      <c r="A1649" t="inlineStr">
        <is>
          <t>2022-06-29</t>
        </is>
      </c>
      <c r="B1649" t="n">
        <v>14</v>
      </c>
      <c r="C1649" t="n">
        <v>2993</v>
      </c>
      <c r="D1649" s="6" t="n">
        <v>73.09999999999999</v>
      </c>
      <c r="E1649" s="6" t="n">
        <v>1092804.78</v>
      </c>
      <c r="F1649" s="6">
        <f>ROUND(E1649-E1648,2)</f>
        <v/>
      </c>
      <c r="G1649" s="6">
        <f>ROUND(F1649-D1649,2)</f>
        <v/>
      </c>
    </row>
    <row r="1650">
      <c r="A1650" t="inlineStr">
        <is>
          <t>2022-06-29</t>
        </is>
      </c>
      <c r="B1650" t="n">
        <v>15</v>
      </c>
      <c r="C1650" t="n">
        <v>2993</v>
      </c>
      <c r="D1650" s="6" t="n">
        <v>68.59999999999999</v>
      </c>
      <c r="E1650" s="6" t="n">
        <v>1092873.38</v>
      </c>
      <c r="F1650" s="6">
        <f>ROUND(E1650-E1649,2)</f>
        <v/>
      </c>
      <c r="G1650" s="6">
        <f>ROUND(F1650-D1650,2)</f>
        <v/>
      </c>
    </row>
    <row r="1651">
      <c r="A1651" t="inlineStr">
        <is>
          <t>2022-06-29</t>
        </is>
      </c>
      <c r="B1651" t="n">
        <v>16</v>
      </c>
      <c r="C1651" t="n">
        <v>2993</v>
      </c>
      <c r="D1651" s="6" t="n">
        <v>58</v>
      </c>
      <c r="E1651" s="6" t="n">
        <v>1092931.38</v>
      </c>
      <c r="F1651" s="6">
        <f>ROUND(E1651-E1650,2)</f>
        <v/>
      </c>
      <c r="G1651" s="6">
        <f>ROUND(F1651-D1651,2)</f>
        <v/>
      </c>
    </row>
    <row r="1652">
      <c r="A1652" t="inlineStr">
        <is>
          <t>2022-06-29</t>
        </is>
      </c>
      <c r="B1652" t="n">
        <v>17</v>
      </c>
      <c r="C1652" t="n">
        <v>2993</v>
      </c>
      <c r="D1652" s="6" t="n">
        <v>141</v>
      </c>
      <c r="E1652" s="6" t="n">
        <v>1093072.38</v>
      </c>
      <c r="F1652" s="6">
        <f>ROUND(E1652-E1651,2)</f>
        <v/>
      </c>
      <c r="G1652" s="6">
        <f>ROUND(F1652-D1652,2)</f>
        <v/>
      </c>
    </row>
    <row r="1653">
      <c r="A1653" t="inlineStr">
        <is>
          <t>2022-06-29</t>
        </is>
      </c>
      <c r="B1653" t="n">
        <v>18</v>
      </c>
      <c r="C1653" t="n">
        <v>2993</v>
      </c>
      <c r="D1653" s="6" t="n">
        <v>71.3</v>
      </c>
      <c r="E1653" s="6" t="n">
        <v>1093143.68</v>
      </c>
      <c r="F1653" s="6">
        <f>ROUND(E1653-E1652,2)</f>
        <v/>
      </c>
      <c r="G1653" s="6">
        <f>ROUND(F1653-D1653,2)</f>
        <v/>
      </c>
    </row>
    <row r="1654">
      <c r="A1654" t="inlineStr">
        <is>
          <t>2022-06-29</t>
        </is>
      </c>
      <c r="B1654" t="n">
        <v>19</v>
      </c>
      <c r="C1654" t="n">
        <v>2993</v>
      </c>
      <c r="D1654" s="6" t="n">
        <v>96.09999999999999</v>
      </c>
      <c r="E1654" s="6" t="n">
        <v>1093239.78</v>
      </c>
      <c r="F1654" s="6">
        <f>ROUND(E1654-E1653,2)</f>
        <v/>
      </c>
      <c r="G1654" s="6">
        <f>ROUND(F1654-D1654,2)</f>
        <v/>
      </c>
    </row>
    <row r="1655">
      <c r="A1655" t="inlineStr">
        <is>
          <t>2022-06-29</t>
        </is>
      </c>
      <c r="B1655" t="n">
        <v>20</v>
      </c>
      <c r="C1655" t="n">
        <v>2993</v>
      </c>
      <c r="D1655" s="6" t="n">
        <v>53.9</v>
      </c>
      <c r="E1655" s="6" t="n">
        <v>1093293.68</v>
      </c>
      <c r="F1655" s="6">
        <f>ROUND(E1655-E1654,2)</f>
        <v/>
      </c>
      <c r="G1655" s="6">
        <f>ROUND(F1655-D1655,2)</f>
        <v/>
      </c>
    </row>
    <row r="1656">
      <c r="A1656" t="inlineStr">
        <is>
          <t>2022-06-29</t>
        </is>
      </c>
      <c r="B1656" t="n">
        <v>21</v>
      </c>
      <c r="C1656" t="n">
        <v>2993</v>
      </c>
      <c r="D1656" s="6" t="n">
        <v>80.3</v>
      </c>
      <c r="E1656" s="6" t="n">
        <v>1093373.98</v>
      </c>
      <c r="F1656" s="6">
        <f>ROUND(E1656-E1655,2)</f>
        <v/>
      </c>
      <c r="G1656" s="6">
        <f>ROUND(F1656-D1656,2)</f>
        <v/>
      </c>
    </row>
    <row r="1657">
      <c r="A1657" t="inlineStr">
        <is>
          <t>2022-06-29</t>
        </is>
      </c>
      <c r="B1657" t="n">
        <v>22</v>
      </c>
      <c r="C1657" t="n">
        <v>2993</v>
      </c>
      <c r="D1657" s="6" t="n">
        <v>61.1</v>
      </c>
      <c r="E1657" s="6" t="n">
        <v>1093435.08</v>
      </c>
      <c r="F1657" s="6">
        <f>ROUND(E1657-E1656,2)</f>
        <v/>
      </c>
      <c r="G1657" s="6">
        <f>ROUND(F1657-D1657,2)</f>
        <v/>
      </c>
    </row>
    <row r="1658">
      <c r="A1658" t="inlineStr">
        <is>
          <t>2022-06-29</t>
        </is>
      </c>
      <c r="B1658" t="n">
        <v>23</v>
      </c>
      <c r="C1658" t="n">
        <v>2993</v>
      </c>
      <c r="D1658" s="6" t="n">
        <v>109.1</v>
      </c>
      <c r="E1658" s="6" t="n">
        <v>1093544.18</v>
      </c>
      <c r="F1658" s="6">
        <f>ROUND(E1658-E1657,2)</f>
        <v/>
      </c>
      <c r="G1658" s="6">
        <f>ROUND(F1658-D1658,2)</f>
        <v/>
      </c>
    </row>
    <row r="1659">
      <c r="A1659" t="inlineStr">
        <is>
          <t>2022-06-29</t>
        </is>
      </c>
      <c r="B1659" t="n">
        <v>24</v>
      </c>
      <c r="C1659" t="n">
        <v>2993</v>
      </c>
      <c r="D1659" s="6" t="n">
        <v>63.2</v>
      </c>
      <c r="E1659" s="6" t="n">
        <v>1093607.38</v>
      </c>
      <c r="F1659" s="6">
        <f>ROUND(E1659-E1658,2)</f>
        <v/>
      </c>
      <c r="G1659" s="6">
        <f>ROUND(F1659-D1659,2)</f>
        <v/>
      </c>
    </row>
    <row r="1660">
      <c r="A1660" t="inlineStr">
        <is>
          <t>2022-06-29</t>
        </is>
      </c>
      <c r="B1660" t="n">
        <v>25</v>
      </c>
      <c r="C1660" t="n">
        <v>2993</v>
      </c>
      <c r="D1660" s="6" t="n">
        <v>40</v>
      </c>
      <c r="E1660" s="6" t="n">
        <v>1093647.38</v>
      </c>
      <c r="F1660" s="6">
        <f>ROUND(E1660-E1659,2)</f>
        <v/>
      </c>
      <c r="G1660" s="6">
        <f>ROUND(F1660-D1660,2)</f>
        <v/>
      </c>
    </row>
    <row r="1661">
      <c r="A1661" t="inlineStr">
        <is>
          <t>2022-06-29</t>
        </is>
      </c>
      <c r="B1661" t="n">
        <v>26</v>
      </c>
      <c r="C1661" t="n">
        <v>2993</v>
      </c>
      <c r="D1661" s="6" t="n">
        <v>24</v>
      </c>
      <c r="E1661" s="6" t="n">
        <v>1093671.38</v>
      </c>
      <c r="F1661" s="6">
        <f>ROUND(E1661-E1660,2)</f>
        <v/>
      </c>
      <c r="G1661" s="6">
        <f>ROUND(F1661-D1661,2)</f>
        <v/>
      </c>
    </row>
    <row r="1662">
      <c r="A1662" t="inlineStr">
        <is>
          <t>2022-06-29</t>
        </is>
      </c>
      <c r="B1662" t="n">
        <v>27</v>
      </c>
      <c r="C1662" t="n">
        <v>2993</v>
      </c>
      <c r="D1662" s="6" t="n">
        <v>85.40000000000001</v>
      </c>
      <c r="E1662" s="6" t="n">
        <v>1093756.78</v>
      </c>
      <c r="F1662" s="6">
        <f>ROUND(E1662-E1661,2)</f>
        <v/>
      </c>
      <c r="G1662" s="6">
        <f>ROUND(F1662-D1662,2)</f>
        <v/>
      </c>
    </row>
    <row r="1663">
      <c r="A1663" t="inlineStr">
        <is>
          <t>2022-06-29</t>
        </is>
      </c>
      <c r="B1663" t="n">
        <v>28</v>
      </c>
      <c r="C1663" t="n">
        <v>2993</v>
      </c>
      <c r="D1663" s="6" t="n">
        <v>129.5</v>
      </c>
      <c r="E1663" s="6" t="n">
        <v>1093886.28</v>
      </c>
      <c r="F1663" s="6">
        <f>ROUND(E1663-E1662,2)</f>
        <v/>
      </c>
      <c r="G1663" s="6">
        <f>ROUND(F1663-D1663,2)</f>
        <v/>
      </c>
    </row>
    <row r="1664">
      <c r="A1664" t="inlineStr">
        <is>
          <t>2022-06-29</t>
        </is>
      </c>
      <c r="B1664" t="n">
        <v>29</v>
      </c>
      <c r="C1664" t="n">
        <v>2993</v>
      </c>
      <c r="D1664" s="6" t="n">
        <v>47.5</v>
      </c>
      <c r="E1664" s="6" t="n">
        <v>1093933.78</v>
      </c>
      <c r="F1664" s="6">
        <f>ROUND(E1664-E1663,2)</f>
        <v/>
      </c>
      <c r="G1664" s="6">
        <f>ROUND(F1664-D1664,2)</f>
        <v/>
      </c>
    </row>
    <row r="1665">
      <c r="A1665" t="inlineStr">
        <is>
          <t>2022-06-30</t>
        </is>
      </c>
      <c r="B1665" t="n">
        <v>1</v>
      </c>
      <c r="C1665" t="n">
        <v>2994</v>
      </c>
      <c r="D1665" s="6" t="n">
        <v>60</v>
      </c>
      <c r="E1665" s="6" t="n">
        <v>1093993.78</v>
      </c>
      <c r="F1665" s="6">
        <f>ROUND(E1665-E1664,2)</f>
        <v/>
      </c>
      <c r="G1665" s="6">
        <f>ROUND(F1665-D1665,2)</f>
        <v/>
      </c>
    </row>
    <row r="1666">
      <c r="A1666" t="inlineStr">
        <is>
          <t>2022-06-30</t>
        </is>
      </c>
      <c r="B1666" t="n">
        <v>2</v>
      </c>
      <c r="C1666" t="n">
        <v>2994</v>
      </c>
      <c r="D1666" s="6" t="n">
        <v>81</v>
      </c>
      <c r="E1666" s="6" t="n">
        <v>1094074.78</v>
      </c>
      <c r="F1666" s="6">
        <f>ROUND(E1666-E1665,2)</f>
        <v/>
      </c>
      <c r="G1666" s="6">
        <f>ROUND(F1666-D1666,2)</f>
        <v/>
      </c>
    </row>
    <row r="1667">
      <c r="A1667" t="inlineStr">
        <is>
          <t>2022-06-30</t>
        </is>
      </c>
      <c r="B1667" t="n">
        <v>3</v>
      </c>
      <c r="C1667" t="n">
        <v>2994</v>
      </c>
      <c r="D1667" s="6" t="n">
        <v>62.9</v>
      </c>
      <c r="E1667" s="6" t="n">
        <v>1094137.68</v>
      </c>
      <c r="F1667" s="6">
        <f>ROUND(E1667-E1666,2)</f>
        <v/>
      </c>
      <c r="G1667" s="6">
        <f>ROUND(F1667-D1667,2)</f>
        <v/>
      </c>
    </row>
    <row r="1668">
      <c r="A1668" t="inlineStr">
        <is>
          <t>2022-06-30</t>
        </is>
      </c>
      <c r="B1668" t="n">
        <v>4</v>
      </c>
      <c r="C1668" t="n">
        <v>2994</v>
      </c>
      <c r="D1668" s="6" t="n">
        <v>30</v>
      </c>
      <c r="E1668" s="6" t="n">
        <v>1094167.68</v>
      </c>
      <c r="F1668" s="6">
        <f>ROUND(E1668-E1667,2)</f>
        <v/>
      </c>
      <c r="G1668" s="6">
        <f>ROUND(F1668-D1668,2)</f>
        <v/>
      </c>
    </row>
    <row r="1669">
      <c r="A1669" t="inlineStr">
        <is>
          <t>2022-06-30</t>
        </is>
      </c>
      <c r="B1669" t="n">
        <v>5</v>
      </c>
      <c r="C1669" t="n">
        <v>2994</v>
      </c>
      <c r="D1669" s="6" t="n">
        <v>75.8</v>
      </c>
      <c r="E1669" s="6" t="n">
        <v>1094243.48</v>
      </c>
      <c r="F1669" s="6">
        <f>ROUND(E1669-E1668,2)</f>
        <v/>
      </c>
      <c r="G1669" s="6">
        <f>ROUND(F1669-D1669,2)</f>
        <v/>
      </c>
    </row>
    <row r="1670">
      <c r="A1670" t="inlineStr">
        <is>
          <t>2022-06-30</t>
        </is>
      </c>
      <c r="B1670" t="n">
        <v>6</v>
      </c>
      <c r="C1670" t="n">
        <v>2994</v>
      </c>
      <c r="D1670" s="6" t="n">
        <v>150.5</v>
      </c>
      <c r="E1670" s="6" t="n">
        <v>1094393.98</v>
      </c>
      <c r="F1670" s="6">
        <f>ROUND(E1670-E1669,2)</f>
        <v/>
      </c>
      <c r="G1670" s="6">
        <f>ROUND(F1670-D1670,2)</f>
        <v/>
      </c>
    </row>
    <row r="1671">
      <c r="A1671" t="inlineStr">
        <is>
          <t>2022-06-30</t>
        </is>
      </c>
      <c r="B1671" t="n">
        <v>7</v>
      </c>
      <c r="C1671" t="n">
        <v>2994</v>
      </c>
      <c r="D1671" s="6" t="n">
        <v>97.2</v>
      </c>
      <c r="E1671" s="6" t="n">
        <v>1094491.18</v>
      </c>
      <c r="F1671" s="6">
        <f>ROUND(E1671-E1670,2)</f>
        <v/>
      </c>
      <c r="G1671" s="6">
        <f>ROUND(F1671-D1671,2)</f>
        <v/>
      </c>
    </row>
    <row r="1672">
      <c r="A1672" t="inlineStr">
        <is>
          <t>2022-06-30</t>
        </is>
      </c>
      <c r="B1672" t="n">
        <v>8</v>
      </c>
      <c r="C1672" t="n">
        <v>2994</v>
      </c>
      <c r="D1672" s="6" t="n">
        <v>44</v>
      </c>
      <c r="E1672" s="6" t="n">
        <v>1094535.18</v>
      </c>
      <c r="F1672" s="6">
        <f>ROUND(E1672-E1671,2)</f>
        <v/>
      </c>
      <c r="G1672" s="6">
        <f>ROUND(F1672-D1672,2)</f>
        <v/>
      </c>
    </row>
    <row r="1673">
      <c r="A1673" t="inlineStr">
        <is>
          <t>2022-06-30</t>
        </is>
      </c>
      <c r="B1673" t="n">
        <v>9</v>
      </c>
      <c r="C1673" t="n">
        <v>2994</v>
      </c>
      <c r="D1673" s="6" t="n">
        <v>41.7</v>
      </c>
      <c r="E1673" s="6" t="n">
        <v>1094576.88</v>
      </c>
      <c r="F1673" s="6">
        <f>ROUND(E1673-E1672,2)</f>
        <v/>
      </c>
      <c r="G1673" s="6">
        <f>ROUND(F1673-D1673,2)</f>
        <v/>
      </c>
    </row>
    <row r="1674">
      <c r="A1674" t="inlineStr">
        <is>
          <t>2022-06-30</t>
        </is>
      </c>
      <c r="B1674" t="n">
        <v>10</v>
      </c>
      <c r="C1674" t="n">
        <v>2994</v>
      </c>
      <c r="D1674" s="6" t="n">
        <v>39.2</v>
      </c>
      <c r="E1674" s="6" t="n">
        <v>1094616.08</v>
      </c>
      <c r="F1674" s="6">
        <f>ROUND(E1674-E1673,2)</f>
        <v/>
      </c>
      <c r="G1674" s="6">
        <f>ROUND(F1674-D1674,2)</f>
        <v/>
      </c>
    </row>
    <row r="1675">
      <c r="A1675" t="inlineStr">
        <is>
          <t>2022-06-30</t>
        </is>
      </c>
      <c r="B1675" t="n">
        <v>11</v>
      </c>
      <c r="C1675" t="n">
        <v>2994</v>
      </c>
      <c r="D1675" s="6" t="n">
        <v>39.2</v>
      </c>
      <c r="E1675" s="6" t="n">
        <v>1094655.28</v>
      </c>
      <c r="F1675" s="6">
        <f>ROUND(E1675-E1674,2)</f>
        <v/>
      </c>
      <c r="G1675" s="6">
        <f>ROUND(F1675-D1675,2)</f>
        <v/>
      </c>
    </row>
    <row r="1676">
      <c r="A1676" t="inlineStr">
        <is>
          <t>2022-06-30</t>
        </is>
      </c>
      <c r="B1676" t="n">
        <v>12</v>
      </c>
      <c r="C1676" t="n">
        <v>2994</v>
      </c>
      <c r="D1676" s="6" t="n">
        <v>53.1</v>
      </c>
      <c r="E1676" s="6" t="n">
        <v>1094708.38</v>
      </c>
      <c r="F1676" s="6">
        <f>ROUND(E1676-E1675,2)</f>
        <v/>
      </c>
      <c r="G1676" s="6">
        <f>ROUND(F1676-D1676,2)</f>
        <v/>
      </c>
    </row>
    <row r="1677">
      <c r="A1677" t="inlineStr">
        <is>
          <t>2022-06-30</t>
        </is>
      </c>
      <c r="B1677" t="n">
        <v>13</v>
      </c>
      <c r="C1677" t="n">
        <v>2994</v>
      </c>
      <c r="D1677" s="6" t="n">
        <v>35.1</v>
      </c>
      <c r="E1677" s="6" t="n">
        <v>1094743.48</v>
      </c>
      <c r="F1677" s="6">
        <f>ROUND(E1677-E1676,2)</f>
        <v/>
      </c>
      <c r="G1677" s="6">
        <f>ROUND(F1677-D1677,2)</f>
        <v/>
      </c>
    </row>
    <row r="1678">
      <c r="A1678" t="inlineStr">
        <is>
          <t>2022-06-30</t>
        </is>
      </c>
      <c r="B1678" t="n">
        <v>14</v>
      </c>
      <c r="C1678" t="n">
        <v>2994</v>
      </c>
      <c r="D1678" s="6" t="n">
        <v>35.1</v>
      </c>
      <c r="E1678" s="6" t="n">
        <v>1094778.58</v>
      </c>
      <c r="F1678" s="6">
        <f>ROUND(E1678-E1677,2)</f>
        <v/>
      </c>
      <c r="G1678" s="6">
        <f>ROUND(F1678-D1678,2)</f>
        <v/>
      </c>
    </row>
    <row r="1679">
      <c r="A1679" t="inlineStr">
        <is>
          <t>2022-06-30</t>
        </is>
      </c>
      <c r="B1679" t="n">
        <v>15</v>
      </c>
      <c r="C1679" t="n">
        <v>2994</v>
      </c>
      <c r="D1679" s="6" t="n">
        <v>115.1</v>
      </c>
      <c r="E1679" s="6" t="n">
        <v>1094893.68</v>
      </c>
      <c r="F1679" s="6">
        <f>ROUND(E1679-E1678,2)</f>
        <v/>
      </c>
      <c r="G1679" s="6">
        <f>ROUND(F1679-D1679,2)</f>
        <v/>
      </c>
    </row>
    <row r="1680">
      <c r="A1680" t="inlineStr">
        <is>
          <t>2022-06-30</t>
        </is>
      </c>
      <c r="B1680" t="n">
        <v>16</v>
      </c>
      <c r="C1680" t="n">
        <v>2994</v>
      </c>
      <c r="D1680" s="6" t="n">
        <v>61.5</v>
      </c>
      <c r="E1680" s="6" t="n">
        <v>1094955.18</v>
      </c>
      <c r="F1680" s="6">
        <f>ROUND(E1680-E1679,2)</f>
        <v/>
      </c>
      <c r="G1680" s="6">
        <f>ROUND(F1680-D1680,2)</f>
        <v/>
      </c>
    </row>
    <row r="1681">
      <c r="A1681" t="inlineStr">
        <is>
          <t>2022-06-30</t>
        </is>
      </c>
      <c r="B1681" t="n">
        <v>17</v>
      </c>
      <c r="C1681" t="n">
        <v>2994</v>
      </c>
      <c r="D1681" s="6" t="n">
        <v>72.40000000000001</v>
      </c>
      <c r="E1681" s="6" t="n">
        <v>1095027.58</v>
      </c>
      <c r="F1681" s="6">
        <f>ROUND(E1681-E1680,2)</f>
        <v/>
      </c>
      <c r="G1681" s="6">
        <f>ROUND(F1681-D1681,2)</f>
        <v/>
      </c>
    </row>
    <row r="1682">
      <c r="A1682" t="inlineStr">
        <is>
          <t>2022-06-30</t>
        </is>
      </c>
      <c r="B1682" t="n">
        <v>18</v>
      </c>
      <c r="C1682" t="n">
        <v>2994</v>
      </c>
      <c r="D1682" s="6" t="n">
        <v>29.3</v>
      </c>
      <c r="E1682" s="6" t="n">
        <v>1095056.88</v>
      </c>
      <c r="F1682" s="6">
        <f>ROUND(E1682-E1681,2)</f>
        <v/>
      </c>
      <c r="G1682" s="6">
        <f>ROUND(F1682-D1682,2)</f>
        <v/>
      </c>
    </row>
    <row r="1683">
      <c r="A1683" t="inlineStr">
        <is>
          <t>2022-06-30</t>
        </is>
      </c>
      <c r="B1683" t="n">
        <v>19</v>
      </c>
      <c r="C1683" t="n">
        <v>2994</v>
      </c>
      <c r="D1683" s="6" t="n">
        <v>29.3</v>
      </c>
      <c r="E1683" s="6" t="n">
        <v>1095086.18</v>
      </c>
      <c r="F1683" s="6">
        <f>ROUND(E1683-E1682,2)</f>
        <v/>
      </c>
      <c r="G1683" s="6">
        <f>ROUND(F1683-D1683,2)</f>
        <v/>
      </c>
    </row>
    <row r="1684">
      <c r="A1684" t="inlineStr">
        <is>
          <t>2022-06-30</t>
        </is>
      </c>
      <c r="B1684" t="n">
        <v>20</v>
      </c>
      <c r="C1684" t="n">
        <v>2994</v>
      </c>
      <c r="D1684" s="6" t="n">
        <v>65.40000000000001</v>
      </c>
      <c r="E1684" s="6" t="n">
        <v>1095151.58</v>
      </c>
      <c r="F1684" s="6">
        <f>ROUND(E1684-E1683,2)</f>
        <v/>
      </c>
      <c r="G1684" s="6">
        <f>ROUND(F1684-D1684,2)</f>
        <v/>
      </c>
    </row>
    <row r="1685">
      <c r="A1685" t="inlineStr">
        <is>
          <t>2022-06-30</t>
        </is>
      </c>
      <c r="B1685" t="n">
        <v>21</v>
      </c>
      <c r="C1685" t="n">
        <v>2994</v>
      </c>
      <c r="D1685" s="6" t="n">
        <v>117</v>
      </c>
      <c r="E1685" s="6" t="n">
        <v>1095268.58</v>
      </c>
      <c r="F1685" s="6">
        <f>ROUND(E1685-E1684,2)</f>
        <v/>
      </c>
      <c r="G1685" s="6">
        <f>ROUND(F1685-D1685,2)</f>
        <v/>
      </c>
    </row>
    <row r="1686">
      <c r="A1686" t="inlineStr">
        <is>
          <t>2022-06-30</t>
        </is>
      </c>
      <c r="B1686" t="n">
        <v>22</v>
      </c>
      <c r="C1686" t="n">
        <v>2994</v>
      </c>
      <c r="D1686" s="6" t="n">
        <v>28</v>
      </c>
      <c r="E1686" s="6" t="n">
        <v>1095296.58</v>
      </c>
      <c r="F1686" s="6">
        <f>ROUND(E1686-E1685,2)</f>
        <v/>
      </c>
      <c r="G1686" s="6">
        <f>ROUND(F1686-D1686,2)</f>
        <v/>
      </c>
    </row>
    <row r="1687">
      <c r="A1687" t="inlineStr">
        <is>
          <t>2022-06-30</t>
        </is>
      </c>
      <c r="B1687" t="n">
        <v>23</v>
      </c>
      <c r="C1687" t="n">
        <v>2994</v>
      </c>
      <c r="D1687" s="6" t="n">
        <v>28</v>
      </c>
      <c r="E1687" s="6" t="n">
        <v>1095324.58</v>
      </c>
      <c r="F1687" s="6">
        <f>ROUND(E1687-E1686,2)</f>
        <v/>
      </c>
      <c r="G1687" s="6">
        <f>ROUND(F1687-D1687,2)</f>
        <v/>
      </c>
    </row>
    <row r="1688">
      <c r="A1688" t="inlineStr">
        <is>
          <t>2022-06-30</t>
        </is>
      </c>
      <c r="B1688" t="n">
        <v>24</v>
      </c>
      <c r="C1688" t="n">
        <v>2994</v>
      </c>
      <c r="D1688" s="6" t="n">
        <v>63.7</v>
      </c>
      <c r="E1688" s="6" t="n">
        <v>1095388.28</v>
      </c>
      <c r="F1688" s="6">
        <f>ROUND(E1688-E1687,2)</f>
        <v/>
      </c>
      <c r="G1688" s="6">
        <f>ROUND(F1688-D1688,2)</f>
        <v/>
      </c>
    </row>
    <row r="1689">
      <c r="A1689" t="inlineStr">
        <is>
          <t>2022-06-30</t>
        </is>
      </c>
      <c r="B1689" t="n">
        <v>25</v>
      </c>
      <c r="C1689" t="n">
        <v>2994</v>
      </c>
      <c r="D1689" s="6" t="n">
        <v>87.09999999999999</v>
      </c>
      <c r="E1689" s="6" t="n">
        <v>1095475.38</v>
      </c>
      <c r="F1689" s="6">
        <f>ROUND(E1689-E1688,2)</f>
        <v/>
      </c>
      <c r="G1689" s="6">
        <f>ROUND(F1689-D1689,2)</f>
        <v/>
      </c>
    </row>
    <row r="1690">
      <c r="A1690" t="inlineStr">
        <is>
          <t>2022-06-30</t>
        </is>
      </c>
      <c r="B1690" t="n">
        <v>26</v>
      </c>
      <c r="C1690" t="n">
        <v>2994</v>
      </c>
      <c r="D1690" s="6" t="n">
        <v>49.8</v>
      </c>
      <c r="E1690" s="6" t="n">
        <v>1095525.18</v>
      </c>
      <c r="F1690" s="6">
        <f>ROUND(E1690-E1689,2)</f>
        <v/>
      </c>
      <c r="G1690" s="6">
        <f>ROUND(F1690-D1690,2)</f>
        <v/>
      </c>
    </row>
    <row r="1691">
      <c r="A1691" t="inlineStr">
        <is>
          <t>2022-06-30</t>
        </is>
      </c>
      <c r="B1691" t="n">
        <v>27</v>
      </c>
      <c r="C1691" t="n">
        <v>2994</v>
      </c>
      <c r="D1691" s="6" t="n">
        <v>59.4</v>
      </c>
      <c r="E1691" s="6" t="n">
        <v>1095584.58</v>
      </c>
      <c r="F1691" s="6">
        <f>ROUND(E1691-E1690,2)</f>
        <v/>
      </c>
      <c r="G1691" s="6">
        <f>ROUND(F1691-D1691,2)</f>
        <v/>
      </c>
    </row>
    <row r="1692">
      <c r="A1692" t="inlineStr">
        <is>
          <t>2022-07-01</t>
        </is>
      </c>
      <c r="B1692" t="n">
        <v>1</v>
      </c>
      <c r="C1692" t="n">
        <v>2995</v>
      </c>
      <c r="D1692" s="6" t="n">
        <v>22.2</v>
      </c>
      <c r="E1692" s="6" t="n">
        <v>1095606.78</v>
      </c>
      <c r="F1692" s="6">
        <f>ROUND(E1692-E1691,2)</f>
        <v/>
      </c>
      <c r="G1692" s="6">
        <f>ROUND(F1692-D1692,2)</f>
        <v/>
      </c>
    </row>
    <row r="1693">
      <c r="A1693" t="inlineStr">
        <is>
          <t>2022-07-01</t>
        </is>
      </c>
      <c r="B1693" t="n">
        <v>2</v>
      </c>
      <c r="C1693" t="n">
        <v>2995</v>
      </c>
      <c r="D1693" s="6" t="n">
        <v>66.8</v>
      </c>
      <c r="E1693" s="6" t="n">
        <v>1095673.58</v>
      </c>
      <c r="F1693" s="6">
        <f>ROUND(E1693-E1692,2)</f>
        <v/>
      </c>
      <c r="G1693" s="6">
        <f>ROUND(F1693-D1693,2)</f>
        <v/>
      </c>
    </row>
    <row r="1694">
      <c r="A1694" t="inlineStr">
        <is>
          <t>2022-07-01</t>
        </is>
      </c>
      <c r="B1694" t="n">
        <v>3</v>
      </c>
      <c r="C1694" t="n">
        <v>2995</v>
      </c>
      <c r="D1694" s="6" t="n">
        <v>112.4</v>
      </c>
      <c r="E1694" s="6" t="n">
        <v>1095785.98</v>
      </c>
      <c r="F1694" s="6">
        <f>ROUND(E1694-E1693,2)</f>
        <v/>
      </c>
      <c r="G1694" s="6">
        <f>ROUND(F1694-D1694,2)</f>
        <v/>
      </c>
    </row>
    <row r="1695">
      <c r="A1695" t="inlineStr">
        <is>
          <t>2022-07-01</t>
        </is>
      </c>
      <c r="B1695" t="n">
        <v>4</v>
      </c>
      <c r="C1695" t="n">
        <v>2995</v>
      </c>
      <c r="D1695" s="6" t="n">
        <v>77.09999999999999</v>
      </c>
      <c r="E1695" s="6" t="n">
        <v>1095863.08</v>
      </c>
      <c r="F1695" s="6">
        <f>ROUND(E1695-E1694,2)</f>
        <v/>
      </c>
      <c r="G1695" s="6">
        <f>ROUND(F1695-D1695,2)</f>
        <v/>
      </c>
    </row>
    <row r="1696">
      <c r="A1696" t="inlineStr">
        <is>
          <t>2022-07-01</t>
        </is>
      </c>
      <c r="B1696" t="n">
        <v>5</v>
      </c>
      <c r="C1696" t="n">
        <v>2995</v>
      </c>
      <c r="D1696" s="6" t="n">
        <v>44.9</v>
      </c>
      <c r="E1696" s="6" t="n">
        <v>1095907.98</v>
      </c>
      <c r="F1696" s="6">
        <f>ROUND(E1696-E1695,2)</f>
        <v/>
      </c>
      <c r="G1696" s="6">
        <f>ROUND(F1696-D1696,2)</f>
        <v/>
      </c>
    </row>
    <row r="1697">
      <c r="A1697" t="inlineStr">
        <is>
          <t>2022-07-01</t>
        </is>
      </c>
      <c r="B1697" t="n">
        <v>6</v>
      </c>
      <c r="C1697" t="n">
        <v>2995</v>
      </c>
      <c r="D1697" s="6" t="n">
        <v>48.4</v>
      </c>
      <c r="E1697" s="6" t="n">
        <v>1095956.38</v>
      </c>
      <c r="F1697" s="6">
        <f>ROUND(E1697-E1696,2)</f>
        <v/>
      </c>
      <c r="G1697" s="6">
        <f>ROUND(F1697-D1697,2)</f>
        <v/>
      </c>
    </row>
    <row r="1698">
      <c r="A1698" t="inlineStr">
        <is>
          <t>2022-07-01</t>
        </is>
      </c>
      <c r="B1698" t="n">
        <v>7</v>
      </c>
      <c r="C1698" t="n">
        <v>2995</v>
      </c>
      <c r="D1698" s="6" t="n">
        <v>22</v>
      </c>
      <c r="E1698" s="6" t="n">
        <v>1095978.38</v>
      </c>
      <c r="F1698" s="6">
        <f>ROUND(E1698-E1697,2)</f>
        <v/>
      </c>
      <c r="G1698" s="6">
        <f>ROUND(F1698-D1698,2)</f>
        <v/>
      </c>
    </row>
    <row r="1699">
      <c r="A1699" t="inlineStr">
        <is>
          <t>2022-07-01</t>
        </is>
      </c>
      <c r="B1699" t="n">
        <v>8</v>
      </c>
      <c r="C1699" t="n">
        <v>2995</v>
      </c>
      <c r="D1699" s="6" t="n">
        <v>83.40000000000001</v>
      </c>
      <c r="E1699" s="6" t="n">
        <v>1096061.78</v>
      </c>
      <c r="F1699" s="6">
        <f>ROUND(E1699-E1698,2)</f>
        <v/>
      </c>
      <c r="G1699" s="6">
        <f>ROUND(F1699-D1699,2)</f>
        <v/>
      </c>
    </row>
    <row r="1700">
      <c r="A1700" t="inlineStr">
        <is>
          <t>2022-07-01</t>
        </is>
      </c>
      <c r="B1700" t="n">
        <v>9</v>
      </c>
      <c r="C1700" t="n">
        <v>2995</v>
      </c>
      <c r="D1700" s="6" t="n">
        <v>61.1</v>
      </c>
      <c r="E1700" s="6" t="n">
        <v>1096122.88</v>
      </c>
      <c r="F1700" s="6">
        <f>ROUND(E1700-E1699,2)</f>
        <v/>
      </c>
      <c r="G1700" s="6">
        <f>ROUND(F1700-D1700,2)</f>
        <v/>
      </c>
    </row>
    <row r="1701">
      <c r="A1701" t="inlineStr">
        <is>
          <t>2022-07-01</t>
        </is>
      </c>
      <c r="B1701" t="n">
        <v>10</v>
      </c>
      <c r="C1701" t="n">
        <v>2995</v>
      </c>
      <c r="D1701" s="6" t="n">
        <v>57.8</v>
      </c>
      <c r="E1701" s="6" t="n">
        <v>1096180.68</v>
      </c>
      <c r="F1701" s="6">
        <f>ROUND(E1701-E1700,2)</f>
        <v/>
      </c>
      <c r="G1701" s="6">
        <f>ROUND(F1701-D1701,2)</f>
        <v/>
      </c>
    </row>
    <row r="1702">
      <c r="A1702" t="inlineStr">
        <is>
          <t>2022-07-01</t>
        </is>
      </c>
      <c r="B1702" t="n">
        <v>11</v>
      </c>
      <c r="C1702" t="n">
        <v>2995</v>
      </c>
      <c r="D1702" s="6" t="n">
        <v>50.6</v>
      </c>
      <c r="E1702" s="6" t="n">
        <v>1096231.28</v>
      </c>
      <c r="F1702" s="6">
        <f>ROUND(E1702-E1701,2)</f>
        <v/>
      </c>
      <c r="G1702" s="6">
        <f>ROUND(F1702-D1702,2)</f>
        <v/>
      </c>
    </row>
    <row r="1703">
      <c r="A1703" t="inlineStr">
        <is>
          <t>2022-07-01</t>
        </is>
      </c>
      <c r="B1703" t="n">
        <v>12</v>
      </c>
      <c r="C1703" t="n">
        <v>2995</v>
      </c>
      <c r="D1703" s="6" t="n">
        <v>56.6</v>
      </c>
      <c r="E1703" s="6" t="n">
        <v>1096287.88</v>
      </c>
      <c r="F1703" s="6">
        <f>ROUND(E1703-E1702,2)</f>
        <v/>
      </c>
      <c r="G1703" s="6">
        <f>ROUND(F1703-D1703,2)</f>
        <v/>
      </c>
    </row>
    <row r="1704">
      <c r="A1704" t="inlineStr">
        <is>
          <t>2022-07-01</t>
        </is>
      </c>
      <c r="B1704" t="n">
        <v>13</v>
      </c>
      <c r="C1704" t="n">
        <v>2995</v>
      </c>
      <c r="D1704" s="6" t="n">
        <v>109.4</v>
      </c>
      <c r="E1704" s="6" t="n">
        <v>1096397.28</v>
      </c>
      <c r="F1704" s="6">
        <f>ROUND(E1704-E1703,2)</f>
        <v/>
      </c>
      <c r="G1704" s="6">
        <f>ROUND(F1704-D1704,2)</f>
        <v/>
      </c>
    </row>
    <row r="1705">
      <c r="A1705" t="inlineStr">
        <is>
          <t>2022-07-01</t>
        </is>
      </c>
      <c r="B1705" t="n">
        <v>14</v>
      </c>
      <c r="C1705" t="n">
        <v>2995</v>
      </c>
      <c r="D1705" s="6" t="n">
        <v>66</v>
      </c>
      <c r="E1705" s="6" t="n">
        <v>1096463.28</v>
      </c>
      <c r="F1705" s="6">
        <f>ROUND(E1705-E1704,2)</f>
        <v/>
      </c>
      <c r="G1705" s="6">
        <f>ROUND(F1705-D1705,2)</f>
        <v/>
      </c>
    </row>
    <row r="1706">
      <c r="A1706" t="inlineStr">
        <is>
          <t>2022-07-01</t>
        </is>
      </c>
      <c r="B1706" t="n">
        <v>15</v>
      </c>
      <c r="C1706" t="n">
        <v>2995</v>
      </c>
      <c r="D1706" s="6" t="n">
        <v>49.2</v>
      </c>
      <c r="E1706" s="6" t="n">
        <v>1096512.48</v>
      </c>
      <c r="F1706" s="6">
        <f>ROUND(E1706-E1705,2)</f>
        <v/>
      </c>
      <c r="G1706" s="6">
        <f>ROUND(F1706-D1706,2)</f>
        <v/>
      </c>
    </row>
    <row r="1707">
      <c r="A1707" t="inlineStr">
        <is>
          <t>2022-07-01</t>
        </is>
      </c>
      <c r="B1707" t="n">
        <v>16</v>
      </c>
      <c r="C1707" t="n">
        <v>2995</v>
      </c>
      <c r="D1707" s="6" t="n">
        <v>79.7</v>
      </c>
      <c r="E1707" s="6" t="n">
        <v>1096592.18</v>
      </c>
      <c r="F1707" s="6">
        <f>ROUND(E1707-E1706,2)</f>
        <v/>
      </c>
      <c r="G1707" s="6">
        <f>ROUND(F1707-D1707,2)</f>
        <v/>
      </c>
    </row>
    <row r="1708">
      <c r="A1708" t="inlineStr">
        <is>
          <t>2022-07-01</t>
        </is>
      </c>
      <c r="B1708" t="n">
        <v>17</v>
      </c>
      <c r="C1708" t="n">
        <v>2995</v>
      </c>
      <c r="D1708" s="6" t="n">
        <v>57.1</v>
      </c>
      <c r="E1708" s="6" t="n">
        <v>1096649.28</v>
      </c>
      <c r="F1708" s="6">
        <f>ROUND(E1708-E1707,2)</f>
        <v/>
      </c>
      <c r="G1708" s="6">
        <f>ROUND(F1708-D1708,2)</f>
        <v/>
      </c>
    </row>
    <row r="1709">
      <c r="A1709" t="inlineStr">
        <is>
          <t>2022-07-01</t>
        </is>
      </c>
      <c r="B1709" t="n">
        <v>18</v>
      </c>
      <c r="C1709" t="n">
        <v>2995</v>
      </c>
      <c r="D1709" s="6" t="n">
        <v>84.09999999999999</v>
      </c>
      <c r="E1709" s="6" t="n">
        <v>1096733.38</v>
      </c>
      <c r="F1709" s="6">
        <f>ROUND(E1709-E1708,2)</f>
        <v/>
      </c>
      <c r="G1709" s="6">
        <f>ROUND(F1709-D1709,2)</f>
        <v/>
      </c>
    </row>
    <row r="1710">
      <c r="A1710" t="inlineStr">
        <is>
          <t>2022-07-01</t>
        </is>
      </c>
      <c r="B1710" t="n">
        <v>19</v>
      </c>
      <c r="C1710" t="n">
        <v>2995</v>
      </c>
      <c r="D1710" s="6" t="n">
        <v>62.3</v>
      </c>
      <c r="E1710" s="6" t="n">
        <v>1096795.68</v>
      </c>
      <c r="F1710" s="6">
        <f>ROUND(E1710-E1709,2)</f>
        <v/>
      </c>
      <c r="G1710" s="6">
        <f>ROUND(F1710-D1710,2)</f>
        <v/>
      </c>
    </row>
    <row r="1711">
      <c r="A1711" t="inlineStr">
        <is>
          <t>2022-07-01</t>
        </is>
      </c>
      <c r="B1711" t="n">
        <v>20</v>
      </c>
      <c r="C1711" t="n">
        <v>2995</v>
      </c>
      <c r="D1711" s="6" t="n">
        <v>97.59999999999999</v>
      </c>
      <c r="E1711" s="6" t="n">
        <v>1096893.28</v>
      </c>
      <c r="F1711" s="6">
        <f>ROUND(E1711-E1710,2)</f>
        <v/>
      </c>
      <c r="G1711" s="6">
        <f>ROUND(F1711-D1711,2)</f>
        <v/>
      </c>
    </row>
    <row r="1712">
      <c r="A1712" t="inlineStr">
        <is>
          <t>2022-07-01</t>
        </is>
      </c>
      <c r="B1712" t="n">
        <v>21</v>
      </c>
      <c r="C1712" t="n">
        <v>2995</v>
      </c>
      <c r="D1712" s="6" t="n">
        <v>43.7</v>
      </c>
      <c r="E1712" s="6" t="n">
        <v>1096936.98</v>
      </c>
      <c r="F1712" s="6">
        <f>ROUND(E1712-E1711,2)</f>
        <v/>
      </c>
      <c r="G1712" s="6">
        <f>ROUND(F1712-D1712,2)</f>
        <v/>
      </c>
    </row>
    <row r="1713">
      <c r="A1713" t="inlineStr">
        <is>
          <t>2022-07-01</t>
        </is>
      </c>
      <c r="B1713" t="n">
        <v>22</v>
      </c>
      <c r="C1713" t="n">
        <v>2995</v>
      </c>
      <c r="D1713" s="6" t="n">
        <v>58.1</v>
      </c>
      <c r="E1713" s="6" t="n">
        <v>1096995.08</v>
      </c>
      <c r="F1713" s="6">
        <f>ROUND(E1713-E1712,2)</f>
        <v/>
      </c>
      <c r="G1713" s="6">
        <f>ROUND(F1713-D1713,2)</f>
        <v/>
      </c>
    </row>
    <row r="1714">
      <c r="A1714" t="inlineStr">
        <is>
          <t>2022-07-01</t>
        </is>
      </c>
      <c r="B1714" t="n">
        <v>23</v>
      </c>
      <c r="C1714" t="n">
        <v>2995</v>
      </c>
      <c r="D1714" s="6" t="n">
        <v>19.9</v>
      </c>
      <c r="E1714" s="6" t="n">
        <v>1097014.98</v>
      </c>
      <c r="F1714" s="6">
        <f>ROUND(E1714-E1713,2)</f>
        <v/>
      </c>
      <c r="G1714" s="6">
        <f>ROUND(F1714-D1714,2)</f>
        <v/>
      </c>
    </row>
    <row r="1715">
      <c r="A1715" t="inlineStr">
        <is>
          <t>2022-07-01</t>
        </is>
      </c>
      <c r="B1715" t="n">
        <v>24</v>
      </c>
      <c r="C1715" t="n">
        <v>2995</v>
      </c>
      <c r="D1715" s="6" t="n">
        <v>19.9</v>
      </c>
      <c r="E1715" s="6" t="n">
        <v>1097034.88</v>
      </c>
      <c r="F1715" s="6">
        <f>ROUND(E1715-E1714,2)</f>
        <v/>
      </c>
      <c r="G1715" s="6">
        <f>ROUND(F1715-D1715,2)</f>
        <v/>
      </c>
    </row>
    <row r="1716">
      <c r="A1716" t="inlineStr">
        <is>
          <t>2022-07-01</t>
        </is>
      </c>
      <c r="B1716" t="n">
        <v>25</v>
      </c>
      <c r="C1716" t="n">
        <v>2995</v>
      </c>
      <c r="D1716" s="6" t="n">
        <v>64.8</v>
      </c>
      <c r="E1716" s="6" t="n">
        <v>1097099.68</v>
      </c>
      <c r="F1716" s="6">
        <f>ROUND(E1716-E1715,2)</f>
        <v/>
      </c>
      <c r="G1716" s="6">
        <f>ROUND(F1716-D1716,2)</f>
        <v/>
      </c>
    </row>
    <row r="1717">
      <c r="A1717" t="inlineStr">
        <is>
          <t>2022-07-01</t>
        </is>
      </c>
      <c r="B1717" t="n">
        <v>26</v>
      </c>
      <c r="C1717" t="n">
        <v>2995</v>
      </c>
      <c r="D1717" s="6" t="n">
        <v>88</v>
      </c>
      <c r="E1717" s="6" t="n">
        <v>1097187.68</v>
      </c>
      <c r="F1717" s="6">
        <f>ROUND(E1717-E1716,2)</f>
        <v/>
      </c>
      <c r="G1717" s="6">
        <f>ROUND(F1717-D1717,2)</f>
        <v/>
      </c>
    </row>
    <row r="1718">
      <c r="A1718" t="inlineStr">
        <is>
          <t>2022-07-01</t>
        </is>
      </c>
      <c r="B1718" t="n">
        <v>27</v>
      </c>
      <c r="C1718" t="n">
        <v>2995</v>
      </c>
      <c r="D1718" s="6" t="n">
        <v>261.3</v>
      </c>
      <c r="E1718" s="6" t="n">
        <v>1097448.98</v>
      </c>
      <c r="F1718" s="6">
        <f>ROUND(E1718-E1717,2)</f>
        <v/>
      </c>
      <c r="G1718" s="6">
        <f>ROUND(F1718-D1718,2)</f>
        <v/>
      </c>
    </row>
    <row r="1719">
      <c r="A1719" t="inlineStr">
        <is>
          <t>2022-07-01</t>
        </is>
      </c>
      <c r="B1719" t="n">
        <v>28</v>
      </c>
      <c r="C1719" t="n">
        <v>2995</v>
      </c>
      <c r="D1719" s="6" t="n">
        <v>71.5</v>
      </c>
      <c r="E1719" s="6" t="n">
        <v>1097520.48</v>
      </c>
      <c r="F1719" s="6">
        <f>ROUND(E1719-E1718,2)</f>
        <v/>
      </c>
      <c r="G1719" s="6">
        <f>ROUND(F1719-D1719,2)</f>
        <v/>
      </c>
    </row>
    <row r="1720">
      <c r="A1720" t="inlineStr">
        <is>
          <t>2022-07-01</t>
        </is>
      </c>
      <c r="B1720" t="n">
        <v>29</v>
      </c>
      <c r="C1720" t="n">
        <v>2995</v>
      </c>
      <c r="D1720" s="6" t="n">
        <v>42</v>
      </c>
      <c r="E1720" s="6" t="n">
        <v>1097562.48</v>
      </c>
      <c r="F1720" s="6">
        <f>ROUND(E1720-E1719,2)</f>
        <v/>
      </c>
      <c r="G1720" s="6">
        <f>ROUND(F1720-D1720,2)</f>
        <v/>
      </c>
    </row>
    <row r="1721">
      <c r="A1721" t="inlineStr">
        <is>
          <t>2022-07-01</t>
        </is>
      </c>
      <c r="B1721" t="n">
        <v>30</v>
      </c>
      <c r="C1721" t="n">
        <v>2995</v>
      </c>
      <c r="D1721" s="6" t="n">
        <v>34.8</v>
      </c>
      <c r="E1721" s="6" t="n">
        <v>1097597.28</v>
      </c>
      <c r="F1721" s="6">
        <f>ROUND(E1721-E1720,2)</f>
        <v/>
      </c>
      <c r="G1721" s="6">
        <f>ROUND(F1721-D1721,2)</f>
        <v/>
      </c>
    </row>
    <row r="1722">
      <c r="A1722" t="inlineStr">
        <is>
          <t>2022-07-01</t>
        </is>
      </c>
      <c r="B1722" t="n">
        <v>31</v>
      </c>
      <c r="C1722" t="n">
        <v>2995</v>
      </c>
      <c r="D1722" s="6" t="n">
        <v>37.3</v>
      </c>
      <c r="E1722" s="6" t="n">
        <v>1097634.58</v>
      </c>
      <c r="F1722" s="6">
        <f>ROUND(E1722-E1721,2)</f>
        <v/>
      </c>
      <c r="G1722" s="6">
        <f>ROUND(F1722-D1722,2)</f>
        <v/>
      </c>
    </row>
    <row r="1723">
      <c r="A1723" t="inlineStr">
        <is>
          <t>2022-07-01</t>
        </is>
      </c>
      <c r="B1723" t="n">
        <v>32</v>
      </c>
      <c r="C1723" t="n">
        <v>2995</v>
      </c>
      <c r="D1723" s="6" t="n">
        <v>37.3</v>
      </c>
      <c r="E1723" s="6" t="n">
        <v>1097671.88</v>
      </c>
      <c r="F1723" s="6">
        <f>ROUND(E1723-E1722,2)</f>
        <v/>
      </c>
      <c r="G1723" s="6">
        <f>ROUND(F1723-D1723,2)</f>
        <v/>
      </c>
    </row>
    <row r="1724">
      <c r="A1724" t="inlineStr">
        <is>
          <t>2022-07-02</t>
        </is>
      </c>
      <c r="B1724" t="n">
        <v>1</v>
      </c>
      <c r="C1724" t="n">
        <v>2996</v>
      </c>
      <c r="D1724" s="6" t="n">
        <v>70.8</v>
      </c>
      <c r="E1724" s="6" t="n">
        <v>1097742.68</v>
      </c>
      <c r="F1724" s="6">
        <f>ROUND(E1724-E1723,2)</f>
        <v/>
      </c>
      <c r="G1724" s="6">
        <f>ROUND(F1724-D1724,2)</f>
        <v/>
      </c>
    </row>
    <row r="1725">
      <c r="A1725" t="inlineStr">
        <is>
          <t>2022-07-02</t>
        </is>
      </c>
      <c r="B1725" t="n">
        <v>2</v>
      </c>
      <c r="C1725" t="n">
        <v>2996</v>
      </c>
      <c r="D1725" s="6" t="n">
        <v>56.1</v>
      </c>
      <c r="E1725" s="6" t="n">
        <v>1097798.78</v>
      </c>
      <c r="F1725" s="6">
        <f>ROUND(E1725-E1724,2)</f>
        <v/>
      </c>
      <c r="G1725" s="6">
        <f>ROUND(F1725-D1725,2)</f>
        <v/>
      </c>
    </row>
    <row r="1726">
      <c r="A1726" t="inlineStr">
        <is>
          <t>2022-07-02</t>
        </is>
      </c>
      <c r="B1726" t="n">
        <v>3</v>
      </c>
      <c r="C1726" t="n">
        <v>2996</v>
      </c>
      <c r="D1726" s="6" t="n">
        <v>79.90000000000001</v>
      </c>
      <c r="E1726" s="6" t="n">
        <v>1097878.68</v>
      </c>
      <c r="F1726" s="6">
        <f>ROUND(E1726-E1725,2)</f>
        <v/>
      </c>
      <c r="G1726" s="6">
        <f>ROUND(F1726-D1726,2)</f>
        <v/>
      </c>
    </row>
    <row r="1727">
      <c r="A1727" t="inlineStr">
        <is>
          <t>2022-07-02</t>
        </is>
      </c>
      <c r="B1727" t="n">
        <v>4</v>
      </c>
      <c r="C1727" t="n">
        <v>2996</v>
      </c>
      <c r="D1727" s="6" t="n">
        <v>89.3</v>
      </c>
      <c r="E1727" s="6" t="n">
        <v>1097967.98</v>
      </c>
      <c r="F1727" s="6">
        <f>ROUND(E1727-E1726,2)</f>
        <v/>
      </c>
      <c r="G1727" s="6">
        <f>ROUND(F1727-D1727,2)</f>
        <v/>
      </c>
    </row>
    <row r="1728">
      <c r="A1728" t="inlineStr">
        <is>
          <t>2022-07-02</t>
        </is>
      </c>
      <c r="B1728" t="n">
        <v>5</v>
      </c>
      <c r="C1728" t="n">
        <v>2996</v>
      </c>
      <c r="D1728" s="6" t="n">
        <v>46.2</v>
      </c>
      <c r="E1728" s="6" t="n">
        <v>1098014.18</v>
      </c>
      <c r="F1728" s="6">
        <f>ROUND(E1728-E1727,2)</f>
        <v/>
      </c>
      <c r="G1728" s="6">
        <f>ROUND(F1728-D1728,2)</f>
        <v/>
      </c>
    </row>
    <row r="1729">
      <c r="A1729" t="inlineStr">
        <is>
          <t>2022-07-02</t>
        </is>
      </c>
      <c r="B1729" t="n">
        <v>6</v>
      </c>
      <c r="C1729" t="n">
        <v>2996</v>
      </c>
      <c r="D1729" s="6" t="n">
        <v>43.6</v>
      </c>
      <c r="E1729" s="6" t="n">
        <v>1098057.78</v>
      </c>
      <c r="F1729" s="6">
        <f>ROUND(E1729-E1728,2)</f>
        <v/>
      </c>
      <c r="G1729" s="6">
        <f>ROUND(F1729-D1729,2)</f>
        <v/>
      </c>
    </row>
    <row r="1730">
      <c r="A1730" t="inlineStr">
        <is>
          <t>2022-07-02</t>
        </is>
      </c>
      <c r="B1730" t="n">
        <v>7</v>
      </c>
      <c r="C1730" t="n">
        <v>2996</v>
      </c>
      <c r="D1730" s="6" t="n">
        <v>68.2</v>
      </c>
      <c r="E1730" s="6" t="n">
        <v>1098125.98</v>
      </c>
      <c r="F1730" s="6">
        <f>ROUND(E1730-E1729,2)</f>
        <v/>
      </c>
      <c r="G1730" s="6">
        <f>ROUND(F1730-D1730,2)</f>
        <v/>
      </c>
    </row>
    <row r="1731">
      <c r="A1731" t="inlineStr">
        <is>
          <t>2022-07-02</t>
        </is>
      </c>
      <c r="B1731" t="n">
        <v>8</v>
      </c>
      <c r="C1731" t="n">
        <v>2996</v>
      </c>
      <c r="D1731" s="6" t="n">
        <v>78.3</v>
      </c>
      <c r="E1731" s="6" t="n">
        <v>1098204.28</v>
      </c>
      <c r="F1731" s="6">
        <f>ROUND(E1731-E1730,2)</f>
        <v/>
      </c>
      <c r="G1731" s="6">
        <f>ROUND(F1731-D1731,2)</f>
        <v/>
      </c>
    </row>
    <row r="1732">
      <c r="A1732" t="inlineStr">
        <is>
          <t>2022-07-02</t>
        </is>
      </c>
      <c r="B1732" t="n">
        <v>9</v>
      </c>
      <c r="C1732" t="n">
        <v>2996</v>
      </c>
      <c r="D1732" s="6" t="n">
        <v>62.9</v>
      </c>
      <c r="E1732" s="6" t="n">
        <v>1098267.18</v>
      </c>
      <c r="F1732" s="6">
        <f>ROUND(E1732-E1731,2)</f>
        <v/>
      </c>
      <c r="G1732" s="6">
        <f>ROUND(F1732-D1732,2)</f>
        <v/>
      </c>
    </row>
    <row r="1733">
      <c r="A1733" t="inlineStr">
        <is>
          <t>2022-07-02</t>
        </is>
      </c>
      <c r="B1733" t="n">
        <v>10</v>
      </c>
      <c r="C1733" t="n">
        <v>2996</v>
      </c>
      <c r="D1733" s="6" t="n">
        <v>53.9</v>
      </c>
      <c r="E1733" s="6" t="n">
        <v>1098321.08</v>
      </c>
      <c r="F1733" s="6">
        <f>ROUND(E1733-E1732,2)</f>
        <v/>
      </c>
      <c r="G1733" s="6">
        <f>ROUND(F1733-D1733,2)</f>
        <v/>
      </c>
    </row>
    <row r="1734">
      <c r="A1734" t="inlineStr">
        <is>
          <t>2022-07-02</t>
        </is>
      </c>
      <c r="B1734" t="n">
        <v>11</v>
      </c>
      <c r="C1734" t="n">
        <v>2996</v>
      </c>
      <c r="D1734" s="6" t="n">
        <v>63.6</v>
      </c>
      <c r="E1734" s="6" t="n">
        <v>1098384.68</v>
      </c>
      <c r="F1734" s="6">
        <f>ROUND(E1734-E1733,2)</f>
        <v/>
      </c>
      <c r="G1734" s="6">
        <f>ROUND(F1734-D1734,2)</f>
        <v/>
      </c>
    </row>
    <row r="1735">
      <c r="A1735" t="inlineStr">
        <is>
          <t>2022-07-02</t>
        </is>
      </c>
      <c r="B1735" t="n">
        <v>12</v>
      </c>
      <c r="C1735" t="n">
        <v>2996</v>
      </c>
      <c r="D1735" s="6" t="n">
        <v>55.5</v>
      </c>
      <c r="E1735" s="6" t="n">
        <v>1098440.18</v>
      </c>
      <c r="F1735" s="6">
        <f>ROUND(E1735-E1734,2)</f>
        <v/>
      </c>
      <c r="G1735" s="6">
        <f>ROUND(F1735-D1735,2)</f>
        <v/>
      </c>
    </row>
    <row r="1736">
      <c r="A1736" t="inlineStr">
        <is>
          <t>2022-07-02</t>
        </is>
      </c>
      <c r="B1736" t="n">
        <v>13</v>
      </c>
      <c r="C1736" t="n">
        <v>2996</v>
      </c>
      <c r="D1736" s="6" t="n">
        <v>103.9</v>
      </c>
      <c r="E1736" s="6" t="n">
        <v>1098544.08</v>
      </c>
      <c r="F1736" s="6">
        <f>ROUND(E1736-E1735,2)</f>
        <v/>
      </c>
      <c r="G1736" s="6">
        <f>ROUND(F1736-D1736,2)</f>
        <v/>
      </c>
    </row>
    <row r="1737">
      <c r="A1737" t="inlineStr">
        <is>
          <t>2022-07-02</t>
        </is>
      </c>
      <c r="B1737" t="n">
        <v>14</v>
      </c>
      <c r="C1737" t="n">
        <v>2996</v>
      </c>
      <c r="D1737" s="6" t="n">
        <v>52.2</v>
      </c>
      <c r="E1737" s="6" t="n">
        <v>1098596.28</v>
      </c>
      <c r="F1737" s="6">
        <f>ROUND(E1737-E1736,2)</f>
        <v/>
      </c>
      <c r="G1737" s="6">
        <f>ROUND(F1737-D1737,2)</f>
        <v/>
      </c>
    </row>
    <row r="1738">
      <c r="A1738" t="inlineStr">
        <is>
          <t>2022-07-02</t>
        </is>
      </c>
      <c r="B1738" t="n">
        <v>15</v>
      </c>
      <c r="C1738" t="n">
        <v>2996</v>
      </c>
      <c r="D1738" s="6" t="n">
        <v>47</v>
      </c>
      <c r="E1738" s="6" t="n">
        <v>1098643.28</v>
      </c>
      <c r="F1738" s="6">
        <f>ROUND(E1738-E1737,2)</f>
        <v/>
      </c>
      <c r="G1738" s="6">
        <f>ROUND(F1738-D1738,2)</f>
        <v/>
      </c>
    </row>
    <row r="1739">
      <c r="A1739" t="inlineStr">
        <is>
          <t>2022-07-02</t>
        </is>
      </c>
      <c r="B1739" t="n">
        <v>16</v>
      </c>
      <c r="C1739" t="n">
        <v>2996</v>
      </c>
      <c r="D1739" s="6" t="n">
        <v>25</v>
      </c>
      <c r="E1739" s="6" t="n">
        <v>1098668.28</v>
      </c>
      <c r="F1739" s="6">
        <f>ROUND(E1739-E1738,2)</f>
        <v/>
      </c>
      <c r="G1739" s="6">
        <f>ROUND(F1739-D1739,2)</f>
        <v/>
      </c>
    </row>
    <row r="1740">
      <c r="A1740" t="inlineStr">
        <is>
          <t>2022-07-02</t>
        </is>
      </c>
      <c r="B1740" t="n">
        <v>17</v>
      </c>
      <c r="C1740" t="n">
        <v>2996</v>
      </c>
      <c r="D1740" s="6" t="n">
        <v>123.5</v>
      </c>
      <c r="E1740" s="6" t="n">
        <v>1098791.78</v>
      </c>
      <c r="F1740" s="6">
        <f>ROUND(E1740-E1739,2)</f>
        <v/>
      </c>
      <c r="G1740" s="6">
        <f>ROUND(F1740-D1740,2)</f>
        <v/>
      </c>
    </row>
    <row r="1741">
      <c r="A1741" t="inlineStr">
        <is>
          <t>2022-07-02</t>
        </is>
      </c>
      <c r="B1741" t="n">
        <v>18</v>
      </c>
      <c r="C1741" t="n">
        <v>2996</v>
      </c>
      <c r="D1741" s="6" t="n">
        <v>123.5</v>
      </c>
      <c r="E1741" s="6" t="n">
        <v>1098915.28</v>
      </c>
      <c r="F1741" s="6">
        <f>ROUND(E1741-E1740,2)</f>
        <v/>
      </c>
      <c r="G1741" s="6">
        <f>ROUND(F1741-D1741,2)</f>
        <v/>
      </c>
    </row>
    <row r="1742">
      <c r="A1742" t="inlineStr">
        <is>
          <t>2022-07-02</t>
        </is>
      </c>
      <c r="B1742" t="n">
        <v>19</v>
      </c>
      <c r="C1742" t="n">
        <v>2996</v>
      </c>
      <c r="D1742" s="6" t="n">
        <v>23.65</v>
      </c>
      <c r="E1742" s="6" t="n">
        <v>1098938.93</v>
      </c>
      <c r="F1742" s="6">
        <f>ROUND(E1742-E1741,2)</f>
        <v/>
      </c>
      <c r="G1742" s="6">
        <f>ROUND(F1742-D1742,2)</f>
        <v/>
      </c>
    </row>
    <row r="1743">
      <c r="A1743" t="inlineStr">
        <is>
          <t>2022-07-02</t>
        </is>
      </c>
      <c r="B1743" t="n">
        <v>20</v>
      </c>
      <c r="C1743" t="n">
        <v>2996</v>
      </c>
      <c r="D1743" s="6" t="n">
        <v>23.65</v>
      </c>
      <c r="E1743" s="6" t="n">
        <v>1098962.58</v>
      </c>
      <c r="F1743" s="6">
        <f>ROUND(E1743-E1742,2)</f>
        <v/>
      </c>
      <c r="G1743" s="6">
        <f>ROUND(F1743-D1743,2)</f>
        <v/>
      </c>
    </row>
    <row r="1744">
      <c r="A1744" t="inlineStr">
        <is>
          <t>2022-07-02</t>
        </is>
      </c>
      <c r="B1744" t="n">
        <v>21</v>
      </c>
      <c r="C1744" t="n">
        <v>2996</v>
      </c>
      <c r="D1744" s="6" t="n">
        <v>75.09999999999999</v>
      </c>
      <c r="E1744" s="6" t="n">
        <v>1099037.68</v>
      </c>
      <c r="F1744" s="6">
        <f>ROUND(E1744-E1743,2)</f>
        <v/>
      </c>
      <c r="G1744" s="6">
        <f>ROUND(F1744-D1744,2)</f>
        <v/>
      </c>
    </row>
    <row r="1745">
      <c r="A1745" t="inlineStr">
        <is>
          <t>2022-07-02</t>
        </is>
      </c>
      <c r="B1745" t="n">
        <v>22</v>
      </c>
      <c r="C1745" t="n">
        <v>2996</v>
      </c>
      <c r="D1745" s="6" t="n">
        <v>119.7</v>
      </c>
      <c r="E1745" s="6" t="n">
        <v>1099157.38</v>
      </c>
      <c r="F1745" s="6">
        <f>ROUND(E1745-E1744,2)</f>
        <v/>
      </c>
      <c r="G1745" s="6">
        <f>ROUND(F1745-D1745,2)</f>
        <v/>
      </c>
    </row>
    <row r="1746">
      <c r="A1746" t="inlineStr">
        <is>
          <t>2022-07-02</t>
        </is>
      </c>
      <c r="B1746" t="n">
        <v>23</v>
      </c>
      <c r="C1746" t="n">
        <v>2996</v>
      </c>
      <c r="D1746" s="6" t="n">
        <v>54.4</v>
      </c>
      <c r="E1746" s="6" t="n">
        <v>1099211.78</v>
      </c>
      <c r="F1746" s="6">
        <f>ROUND(E1746-E1745,2)</f>
        <v/>
      </c>
      <c r="G1746" s="6">
        <f>ROUND(F1746-D1746,2)</f>
        <v/>
      </c>
    </row>
    <row r="1747">
      <c r="A1747" t="inlineStr">
        <is>
          <t>2022-07-02</t>
        </is>
      </c>
      <c r="B1747" t="n">
        <v>24</v>
      </c>
      <c r="C1747" t="n">
        <v>2996</v>
      </c>
      <c r="D1747" s="6" t="n">
        <v>52.3</v>
      </c>
      <c r="E1747" s="6" t="n">
        <v>1099264.08</v>
      </c>
      <c r="F1747" s="6">
        <f>ROUND(E1747-E1746,2)</f>
        <v/>
      </c>
      <c r="G1747" s="6">
        <f>ROUND(F1747-D1747,2)</f>
        <v/>
      </c>
    </row>
    <row r="1748">
      <c r="A1748" t="inlineStr">
        <is>
          <t>2022-07-02</t>
        </is>
      </c>
      <c r="B1748" t="n">
        <v>25</v>
      </c>
      <c r="C1748" t="n">
        <v>2996</v>
      </c>
      <c r="D1748" s="6" t="n">
        <v>68.7</v>
      </c>
      <c r="E1748" s="6" t="n">
        <v>1099332.78</v>
      </c>
      <c r="F1748" s="6">
        <f>ROUND(E1748-E1747,2)</f>
        <v/>
      </c>
      <c r="G1748" s="6">
        <f>ROUND(F1748-D1748,2)</f>
        <v/>
      </c>
    </row>
    <row r="1749">
      <c r="A1749" t="inlineStr">
        <is>
          <t>2022-07-02</t>
        </is>
      </c>
      <c r="B1749" t="n">
        <v>26</v>
      </c>
      <c r="C1749" t="n">
        <v>2996</v>
      </c>
      <c r="D1749" s="6" t="n">
        <v>336.3</v>
      </c>
      <c r="E1749" s="6" t="n">
        <v>1099669.08</v>
      </c>
      <c r="F1749" s="6">
        <f>ROUND(E1749-E1748,2)</f>
        <v/>
      </c>
      <c r="G1749" s="6">
        <f>ROUND(F1749-D1749,2)</f>
        <v/>
      </c>
    </row>
    <row r="1750">
      <c r="A1750" t="inlineStr">
        <is>
          <t>2022-07-02</t>
        </is>
      </c>
      <c r="B1750" t="n">
        <v>27</v>
      </c>
      <c r="C1750" t="n">
        <v>2996</v>
      </c>
      <c r="D1750" s="6" t="n">
        <v>64</v>
      </c>
      <c r="E1750" s="6" t="n">
        <v>1099733.08</v>
      </c>
      <c r="F1750" s="6">
        <f>ROUND(E1750-E1749,2)</f>
        <v/>
      </c>
      <c r="G1750" s="6">
        <f>ROUND(F1750-D1750,2)</f>
        <v/>
      </c>
    </row>
    <row r="1751">
      <c r="A1751" t="inlineStr">
        <is>
          <t>2022-07-02</t>
        </is>
      </c>
      <c r="B1751" t="n">
        <v>28</v>
      </c>
      <c r="C1751" t="n">
        <v>2996</v>
      </c>
      <c r="D1751" s="6" t="n">
        <v>42.5</v>
      </c>
      <c r="E1751" s="6" t="n">
        <v>1099775.58</v>
      </c>
      <c r="F1751" s="6">
        <f>ROUND(E1751-E1750,2)</f>
        <v/>
      </c>
      <c r="G1751" s="6">
        <f>ROUND(F1751-D1751,2)</f>
        <v/>
      </c>
    </row>
    <row r="1752">
      <c r="A1752" t="inlineStr">
        <is>
          <t>2022-07-02</t>
        </is>
      </c>
      <c r="B1752" t="n">
        <v>29</v>
      </c>
      <c r="C1752" t="n">
        <v>2996</v>
      </c>
      <c r="D1752" s="6" t="n">
        <v>134.5</v>
      </c>
      <c r="E1752" s="6" t="n">
        <v>1099910.08</v>
      </c>
      <c r="F1752" s="6">
        <f>ROUND(E1752-E1751,2)</f>
        <v/>
      </c>
      <c r="G1752" s="6">
        <f>ROUND(F1752-D1752,2)</f>
        <v/>
      </c>
    </row>
    <row r="1753">
      <c r="A1753" t="inlineStr">
        <is>
          <t>2022-07-02</t>
        </is>
      </c>
      <c r="B1753" t="n">
        <v>30</v>
      </c>
      <c r="C1753" t="n">
        <v>2996</v>
      </c>
      <c r="D1753" s="6" t="n">
        <v>143.9</v>
      </c>
      <c r="E1753" s="6" t="n">
        <v>1100053.98</v>
      </c>
      <c r="F1753" s="6">
        <f>ROUND(E1753-E1752,2)</f>
        <v/>
      </c>
      <c r="G1753" s="6">
        <f>ROUND(F1753-D1753,2)</f>
        <v/>
      </c>
    </row>
    <row r="1754">
      <c r="A1754" t="inlineStr">
        <is>
          <t>2022-07-02</t>
        </is>
      </c>
      <c r="B1754" t="n">
        <v>31</v>
      </c>
      <c r="C1754" t="n">
        <v>2996</v>
      </c>
      <c r="D1754" s="6" t="n">
        <v>76.2</v>
      </c>
      <c r="E1754" s="6" t="n">
        <v>1100130.18</v>
      </c>
      <c r="F1754" s="6">
        <f>ROUND(E1754-E1753,2)</f>
        <v/>
      </c>
      <c r="G1754" s="6">
        <f>ROUND(F1754-D1754,2)</f>
        <v/>
      </c>
    </row>
    <row r="1755">
      <c r="A1755" t="inlineStr">
        <is>
          <t>2022-07-03</t>
        </is>
      </c>
      <c r="B1755" t="n">
        <v>1</v>
      </c>
      <c r="C1755" t="n">
        <v>2997</v>
      </c>
      <c r="D1755" s="6" t="n">
        <v>62.4</v>
      </c>
      <c r="E1755" s="6" t="n">
        <v>1100192.58</v>
      </c>
      <c r="F1755" s="6">
        <f>ROUND(E1755-E1754,2)</f>
        <v/>
      </c>
      <c r="G1755" s="6">
        <f>ROUND(F1755-D1755,2)</f>
        <v/>
      </c>
    </row>
    <row r="1756">
      <c r="A1756" t="inlineStr">
        <is>
          <t>2022-07-03</t>
        </is>
      </c>
      <c r="B1756" t="n">
        <v>2</v>
      </c>
      <c r="C1756" t="n">
        <v>2997</v>
      </c>
      <c r="D1756" s="6" t="n">
        <v>51.9</v>
      </c>
      <c r="E1756" s="6" t="n">
        <v>1100244.48</v>
      </c>
      <c r="F1756" s="6">
        <f>ROUND(E1756-E1755,2)</f>
        <v/>
      </c>
      <c r="G1756" s="6">
        <f>ROUND(F1756-D1756,2)</f>
        <v/>
      </c>
    </row>
    <row r="1757">
      <c r="A1757" t="inlineStr">
        <is>
          <t>2022-07-03</t>
        </is>
      </c>
      <c r="B1757" t="n">
        <v>3</v>
      </c>
      <c r="C1757" t="n">
        <v>2997</v>
      </c>
      <c r="D1757" s="6" t="n">
        <v>65.8</v>
      </c>
      <c r="E1757" s="6" t="n">
        <v>1100310.28</v>
      </c>
      <c r="F1757" s="6">
        <f>ROUND(E1757-E1756,2)</f>
        <v/>
      </c>
      <c r="G1757" s="6">
        <f>ROUND(F1757-D1757,2)</f>
        <v/>
      </c>
    </row>
    <row r="1758">
      <c r="A1758" t="inlineStr">
        <is>
          <t>2022-07-03</t>
        </is>
      </c>
      <c r="B1758" t="n">
        <v>4</v>
      </c>
      <c r="C1758" t="n">
        <v>2997</v>
      </c>
      <c r="D1758" s="6" t="n">
        <v>53.8</v>
      </c>
      <c r="E1758" s="6" t="n">
        <v>1100364.08</v>
      </c>
      <c r="F1758" s="6">
        <f>ROUND(E1758-E1757,2)</f>
        <v/>
      </c>
      <c r="G1758" s="6">
        <f>ROUND(F1758-D1758,2)</f>
        <v/>
      </c>
    </row>
    <row r="1759">
      <c r="A1759" t="inlineStr">
        <is>
          <t>2022-07-03</t>
        </is>
      </c>
      <c r="B1759" t="n">
        <v>5</v>
      </c>
      <c r="C1759" t="n">
        <v>2997</v>
      </c>
      <c r="D1759" s="6" t="n">
        <v>93.40000000000001</v>
      </c>
      <c r="E1759" s="6" t="n">
        <v>1100457.48</v>
      </c>
      <c r="F1759" s="6">
        <f>ROUND(E1759-E1758,2)</f>
        <v/>
      </c>
      <c r="G1759" s="6">
        <f>ROUND(F1759-D1759,2)</f>
        <v/>
      </c>
    </row>
    <row r="1760">
      <c r="A1760" t="inlineStr">
        <is>
          <t>2022-07-03</t>
        </is>
      </c>
      <c r="B1760" t="n">
        <v>6</v>
      </c>
      <c r="C1760" t="n">
        <v>2997</v>
      </c>
      <c r="D1760" s="6" t="n">
        <v>112.1</v>
      </c>
      <c r="E1760" s="6" t="n">
        <v>1100569.58</v>
      </c>
      <c r="F1760" s="6">
        <f>ROUND(E1760-E1759,2)</f>
        <v/>
      </c>
      <c r="G1760" s="6">
        <f>ROUND(F1760-D1760,2)</f>
        <v/>
      </c>
    </row>
    <row r="1761">
      <c r="A1761" t="inlineStr">
        <is>
          <t>2022-07-03</t>
        </is>
      </c>
      <c r="B1761" t="n">
        <v>7</v>
      </c>
      <c r="C1761" t="n">
        <v>2997</v>
      </c>
      <c r="D1761" s="6" t="n">
        <v>142.3</v>
      </c>
      <c r="E1761" s="6" t="n">
        <v>1100711.88</v>
      </c>
      <c r="F1761" s="6">
        <f>ROUND(E1761-E1760,2)</f>
        <v/>
      </c>
      <c r="G1761" s="6">
        <f>ROUND(F1761-D1761,2)</f>
        <v/>
      </c>
    </row>
    <row r="1762">
      <c r="A1762" t="inlineStr">
        <is>
          <t>2022-07-03</t>
        </is>
      </c>
      <c r="B1762" t="n">
        <v>8</v>
      </c>
      <c r="C1762" t="n">
        <v>2997</v>
      </c>
      <c r="D1762" s="6" t="n">
        <v>62.9</v>
      </c>
      <c r="E1762" s="6" t="n">
        <v>1100774.78</v>
      </c>
      <c r="F1762" s="6">
        <f>ROUND(E1762-E1761,2)</f>
        <v/>
      </c>
      <c r="G1762" s="6">
        <f>ROUND(F1762-D1762,2)</f>
        <v/>
      </c>
    </row>
    <row r="1763">
      <c r="A1763" t="inlineStr">
        <is>
          <t>2022-07-03</t>
        </is>
      </c>
      <c r="B1763" t="n">
        <v>9</v>
      </c>
      <c r="C1763" t="n">
        <v>2997</v>
      </c>
      <c r="D1763" s="6" t="n">
        <v>42.65</v>
      </c>
      <c r="E1763" s="6" t="n">
        <v>1100817.43</v>
      </c>
      <c r="F1763" s="6">
        <f>ROUND(E1763-E1762,2)</f>
        <v/>
      </c>
      <c r="G1763" s="6">
        <f>ROUND(F1763-D1763,2)</f>
        <v/>
      </c>
    </row>
    <row r="1764">
      <c r="A1764" t="inlineStr">
        <is>
          <t>2022-07-03</t>
        </is>
      </c>
      <c r="B1764" t="n">
        <v>10</v>
      </c>
      <c r="C1764" t="n">
        <v>2997</v>
      </c>
      <c r="D1764" s="6" t="n">
        <v>42.65</v>
      </c>
      <c r="E1764" s="6" t="n">
        <v>1100860.08</v>
      </c>
      <c r="F1764" s="6">
        <f>ROUND(E1764-E1763,2)</f>
        <v/>
      </c>
      <c r="G1764" s="6">
        <f>ROUND(F1764-D1764,2)</f>
        <v/>
      </c>
    </row>
    <row r="1765">
      <c r="A1765" t="inlineStr">
        <is>
          <t>2022-07-03</t>
        </is>
      </c>
      <c r="B1765" t="n">
        <v>11</v>
      </c>
      <c r="C1765" t="n">
        <v>2997</v>
      </c>
      <c r="D1765" s="6" t="n">
        <v>86.8</v>
      </c>
      <c r="E1765" s="6" t="n">
        <v>1100946.88</v>
      </c>
      <c r="F1765" s="6">
        <f>ROUND(E1765-E1764,2)</f>
        <v/>
      </c>
      <c r="G1765" s="6">
        <f>ROUND(F1765-D1765,2)</f>
        <v/>
      </c>
    </row>
    <row r="1766">
      <c r="A1766" t="inlineStr">
        <is>
          <t>2022-07-03</t>
        </is>
      </c>
      <c r="B1766" t="n">
        <v>12</v>
      </c>
      <c r="C1766" t="n">
        <v>2997</v>
      </c>
      <c r="D1766" s="6" t="n">
        <v>34.45</v>
      </c>
      <c r="E1766" s="6" t="n">
        <v>1100981.33</v>
      </c>
      <c r="F1766" s="6">
        <f>ROUND(E1766-E1765,2)</f>
        <v/>
      </c>
      <c r="G1766" s="6">
        <f>ROUND(F1766-D1766,2)</f>
        <v/>
      </c>
    </row>
    <row r="1767">
      <c r="A1767" t="inlineStr">
        <is>
          <t>2022-07-03</t>
        </is>
      </c>
      <c r="B1767" t="n">
        <v>13</v>
      </c>
      <c r="C1767" t="n">
        <v>2997</v>
      </c>
      <c r="D1767" s="6" t="n">
        <v>34.45</v>
      </c>
      <c r="E1767" s="6" t="n">
        <v>1101015.78</v>
      </c>
      <c r="F1767" s="6">
        <f>ROUND(E1767-E1766,2)</f>
        <v/>
      </c>
      <c r="G1767" s="6">
        <f>ROUND(F1767-D1767,2)</f>
        <v/>
      </c>
    </row>
    <row r="1768">
      <c r="A1768" t="inlineStr">
        <is>
          <t>2022-07-03</t>
        </is>
      </c>
      <c r="B1768" t="n">
        <v>14</v>
      </c>
      <c r="C1768" t="n">
        <v>2997</v>
      </c>
      <c r="D1768" s="6" t="n">
        <v>25.1</v>
      </c>
      <c r="E1768" s="6" t="n">
        <v>1101040.88</v>
      </c>
      <c r="F1768" s="6">
        <f>ROUND(E1768-E1767,2)</f>
        <v/>
      </c>
      <c r="G1768" s="6">
        <f>ROUND(F1768-D1768,2)</f>
        <v/>
      </c>
    </row>
    <row r="1769">
      <c r="A1769" t="inlineStr">
        <is>
          <t>2022-07-03</t>
        </is>
      </c>
      <c r="B1769" t="n">
        <v>15</v>
      </c>
      <c r="C1769" t="n">
        <v>2997</v>
      </c>
      <c r="D1769" s="6" t="n">
        <v>303</v>
      </c>
      <c r="E1769" s="6" t="n">
        <v>1101343.88</v>
      </c>
      <c r="F1769" s="6">
        <f>ROUND(E1769-E1768,2)</f>
        <v/>
      </c>
      <c r="G1769" s="6">
        <f>ROUND(F1769-D1769,2)</f>
        <v/>
      </c>
    </row>
    <row r="1770">
      <c r="A1770" t="inlineStr">
        <is>
          <t>2022-07-03</t>
        </is>
      </c>
      <c r="B1770" t="n">
        <v>16</v>
      </c>
      <c r="C1770" t="n">
        <v>2997</v>
      </c>
      <c r="D1770" s="6" t="n">
        <v>106.5</v>
      </c>
      <c r="E1770" s="6" t="n">
        <v>1101450.38</v>
      </c>
      <c r="F1770" s="6">
        <f>ROUND(E1770-E1769,2)</f>
        <v/>
      </c>
      <c r="G1770" s="6">
        <f>ROUND(F1770-D1770,2)</f>
        <v/>
      </c>
    </row>
    <row r="1771">
      <c r="A1771" t="inlineStr">
        <is>
          <t>2022-07-03</t>
        </is>
      </c>
      <c r="B1771" t="n">
        <v>17</v>
      </c>
      <c r="C1771" t="n">
        <v>2997</v>
      </c>
      <c r="D1771" s="6" t="n">
        <v>55.6</v>
      </c>
      <c r="E1771" s="6" t="n">
        <v>1101505.98</v>
      </c>
      <c r="F1771" s="6">
        <f>ROUND(E1771-E1770,2)</f>
        <v/>
      </c>
      <c r="G1771" s="6">
        <f>ROUND(F1771-D1771,2)</f>
        <v/>
      </c>
    </row>
    <row r="1772">
      <c r="A1772" t="inlineStr">
        <is>
          <t>2022-07-03</t>
        </is>
      </c>
      <c r="B1772" t="n">
        <v>18</v>
      </c>
      <c r="C1772" t="n">
        <v>2997</v>
      </c>
      <c r="D1772" s="6" t="n">
        <v>41</v>
      </c>
      <c r="E1772" s="6" t="n">
        <v>1101546.98</v>
      </c>
      <c r="F1772" s="6">
        <f>ROUND(E1772-E1771,2)</f>
        <v/>
      </c>
      <c r="G1772" s="6">
        <f>ROUND(F1772-D1772,2)</f>
        <v/>
      </c>
    </row>
    <row r="1773">
      <c r="A1773" t="inlineStr">
        <is>
          <t>2022-07-03</t>
        </is>
      </c>
      <c r="B1773" t="n">
        <v>19</v>
      </c>
      <c r="C1773" t="n">
        <v>2997</v>
      </c>
      <c r="D1773" s="6" t="n">
        <v>52.1</v>
      </c>
      <c r="E1773" s="6" t="n">
        <v>1101599.08</v>
      </c>
      <c r="F1773" s="6">
        <f>ROUND(E1773-E1772,2)</f>
        <v/>
      </c>
      <c r="G1773" s="6">
        <f>ROUND(F1773-D1773,2)</f>
        <v/>
      </c>
    </row>
    <row r="1774">
      <c r="A1774" t="inlineStr">
        <is>
          <t>2022-07-03</t>
        </is>
      </c>
      <c r="B1774" t="n">
        <v>20</v>
      </c>
      <c r="C1774" t="n">
        <v>2997</v>
      </c>
      <c r="D1774" s="6" t="n">
        <v>63.1</v>
      </c>
      <c r="E1774" s="6" t="n">
        <v>1101662.18</v>
      </c>
      <c r="F1774" s="6">
        <f>ROUND(E1774-E1773,2)</f>
        <v/>
      </c>
      <c r="G1774" s="6">
        <f>ROUND(F1774-D1774,2)</f>
        <v/>
      </c>
    </row>
    <row r="1775">
      <c r="A1775" t="inlineStr">
        <is>
          <t>2022-07-03</t>
        </is>
      </c>
      <c r="B1775" t="n">
        <v>21</v>
      </c>
      <c r="C1775" t="n">
        <v>2997</v>
      </c>
      <c r="D1775" s="6" t="n">
        <v>99.40000000000001</v>
      </c>
      <c r="E1775" s="6" t="n">
        <v>1101761.58</v>
      </c>
      <c r="F1775" s="6">
        <f>ROUND(E1775-E1774,2)</f>
        <v/>
      </c>
      <c r="G1775" s="6">
        <f>ROUND(F1775-D1775,2)</f>
        <v/>
      </c>
    </row>
    <row r="1776">
      <c r="A1776" t="inlineStr">
        <is>
          <t>2022-07-03</t>
        </is>
      </c>
      <c r="B1776" t="n">
        <v>22</v>
      </c>
      <c r="C1776" t="n">
        <v>2997</v>
      </c>
      <c r="D1776" s="6" t="n">
        <v>52.3</v>
      </c>
      <c r="E1776" s="6" t="n">
        <v>1101813.88</v>
      </c>
      <c r="F1776" s="6">
        <f>ROUND(E1776-E1775,2)</f>
        <v/>
      </c>
      <c r="G1776" s="6">
        <f>ROUND(F1776-D1776,2)</f>
        <v/>
      </c>
    </row>
    <row r="1777">
      <c r="A1777" t="inlineStr">
        <is>
          <t>2022-07-03</t>
        </is>
      </c>
      <c r="B1777" t="n">
        <v>23</v>
      </c>
      <c r="C1777" t="n">
        <v>2997</v>
      </c>
      <c r="D1777" s="6" t="n">
        <v>68.7</v>
      </c>
      <c r="E1777" s="6" t="n">
        <v>1101882.58</v>
      </c>
      <c r="F1777" s="6">
        <f>ROUND(E1777-E1776,2)</f>
        <v/>
      </c>
      <c r="G1777" s="6">
        <f>ROUND(F1777-D1777,2)</f>
        <v/>
      </c>
    </row>
    <row r="1778">
      <c r="A1778" t="inlineStr">
        <is>
          <t>2022-07-03</t>
        </is>
      </c>
      <c r="B1778" t="n">
        <v>24</v>
      </c>
      <c r="C1778" t="n">
        <v>2997</v>
      </c>
      <c r="D1778" s="6" t="n">
        <v>149.2</v>
      </c>
      <c r="E1778" s="6" t="n">
        <v>1102031.78</v>
      </c>
      <c r="F1778" s="6">
        <f>ROUND(E1778-E1777,2)</f>
        <v/>
      </c>
      <c r="G1778" s="6">
        <f>ROUND(F1778-D1778,2)</f>
        <v/>
      </c>
    </row>
    <row r="1779">
      <c r="A1779" t="inlineStr">
        <is>
          <t>2022-07-03</t>
        </is>
      </c>
      <c r="B1779" t="n">
        <v>25</v>
      </c>
      <c r="C1779" t="n">
        <v>2997</v>
      </c>
      <c r="D1779" s="6" t="n">
        <v>104.1</v>
      </c>
      <c r="E1779" s="6" t="n">
        <v>1102135.88</v>
      </c>
      <c r="F1779" s="6">
        <f>ROUND(E1779-E1778,2)</f>
        <v/>
      </c>
      <c r="G1779" s="6">
        <f>ROUND(F1779-D1779,2)</f>
        <v/>
      </c>
    </row>
    <row r="1780">
      <c r="A1780" t="inlineStr">
        <is>
          <t>2022-07-03</t>
        </is>
      </c>
      <c r="B1780" t="n">
        <v>26</v>
      </c>
      <c r="C1780" t="n">
        <v>2997</v>
      </c>
      <c r="D1780" s="6" t="n">
        <v>70.3</v>
      </c>
      <c r="E1780" s="6" t="n">
        <v>1102206.18</v>
      </c>
      <c r="F1780" s="6">
        <f>ROUND(E1780-E1779,2)</f>
        <v/>
      </c>
      <c r="G1780" s="6">
        <f>ROUND(F1780-D1780,2)</f>
        <v/>
      </c>
    </row>
    <row r="1781">
      <c r="A1781" t="inlineStr">
        <is>
          <t>2022-07-03</t>
        </is>
      </c>
      <c r="B1781" t="n">
        <v>27</v>
      </c>
      <c r="C1781" t="n">
        <v>2997</v>
      </c>
      <c r="D1781" s="6" t="n">
        <v>32.85</v>
      </c>
      <c r="E1781" s="6" t="n">
        <v>1102239.03</v>
      </c>
      <c r="F1781" s="6">
        <f>ROUND(E1781-E1780,2)</f>
        <v/>
      </c>
      <c r="G1781" s="6">
        <f>ROUND(F1781-D1781,2)</f>
        <v/>
      </c>
    </row>
    <row r="1782">
      <c r="A1782" t="inlineStr">
        <is>
          <t>2022-07-03</t>
        </is>
      </c>
      <c r="B1782" t="n">
        <v>28</v>
      </c>
      <c r="C1782" t="n">
        <v>2997</v>
      </c>
      <c r="D1782" s="6" t="n">
        <v>32.85</v>
      </c>
      <c r="E1782" s="6" t="n">
        <v>1102271.88</v>
      </c>
      <c r="F1782" s="6">
        <f>ROUND(E1782-E1781,2)</f>
        <v/>
      </c>
      <c r="G1782" s="6">
        <f>ROUND(F1782-D1782,2)</f>
        <v/>
      </c>
    </row>
    <row r="1783">
      <c r="A1783" t="inlineStr">
        <is>
          <t>2022-07-03</t>
        </is>
      </c>
      <c r="B1783" t="n">
        <v>29</v>
      </c>
      <c r="C1783" t="n">
        <v>2997</v>
      </c>
      <c r="D1783" s="6" t="n">
        <v>103.5</v>
      </c>
      <c r="E1783" s="6" t="n">
        <v>1102375.38</v>
      </c>
      <c r="F1783" s="6">
        <f>ROUND(E1783-E1782,2)</f>
        <v/>
      </c>
      <c r="G1783" s="6">
        <f>ROUND(F1783-D1783,2)</f>
        <v/>
      </c>
    </row>
    <row r="1784">
      <c r="A1784" t="inlineStr">
        <is>
          <t>2022-07-03</t>
        </is>
      </c>
      <c r="B1784" t="n">
        <v>30</v>
      </c>
      <c r="C1784" t="n">
        <v>2997</v>
      </c>
      <c r="D1784" s="6" t="n">
        <v>192.8</v>
      </c>
      <c r="E1784" s="6" t="n">
        <v>1102568.18</v>
      </c>
      <c r="F1784" s="6">
        <f>ROUND(E1784-E1783,2)</f>
        <v/>
      </c>
      <c r="G1784" s="6">
        <f>ROUND(F1784-D1784,2)</f>
        <v/>
      </c>
    </row>
    <row r="1785">
      <c r="A1785" t="inlineStr">
        <is>
          <t>2022-07-06</t>
        </is>
      </c>
      <c r="B1785" t="n">
        <v>1</v>
      </c>
      <c r="C1785" t="n">
        <v>2998</v>
      </c>
      <c r="D1785" s="6" t="n">
        <v>23.8</v>
      </c>
      <c r="E1785" s="6" t="n">
        <v>1102591.98</v>
      </c>
      <c r="F1785" s="6">
        <f>ROUND(E1785-E1784,2)</f>
        <v/>
      </c>
      <c r="G1785" s="6">
        <f>ROUND(F1785-D1785,2)</f>
        <v/>
      </c>
    </row>
    <row r="1786">
      <c r="A1786" t="inlineStr">
        <is>
          <t>2022-07-06</t>
        </is>
      </c>
      <c r="B1786" t="n">
        <v>2</v>
      </c>
      <c r="C1786" t="n">
        <v>2998</v>
      </c>
      <c r="D1786" s="6" t="n">
        <v>39.6</v>
      </c>
      <c r="E1786" s="6" t="n">
        <v>1102631.58</v>
      </c>
      <c r="F1786" s="6">
        <f>ROUND(E1786-E1785,2)</f>
        <v/>
      </c>
      <c r="G1786" s="6">
        <f>ROUND(F1786-D1786,2)</f>
        <v/>
      </c>
    </row>
    <row r="1787">
      <c r="A1787" t="inlineStr">
        <is>
          <t>2022-07-06</t>
        </is>
      </c>
      <c r="B1787" t="n">
        <v>3</v>
      </c>
      <c r="C1787" t="n">
        <v>2998</v>
      </c>
      <c r="D1787" s="6" t="n">
        <v>72.3</v>
      </c>
      <c r="E1787" s="6" t="n">
        <v>1102703.88</v>
      </c>
      <c r="F1787" s="6">
        <f>ROUND(E1787-E1786,2)</f>
        <v/>
      </c>
      <c r="G1787" s="6">
        <f>ROUND(F1787-D1787,2)</f>
        <v/>
      </c>
    </row>
    <row r="1788">
      <c r="A1788" t="inlineStr">
        <is>
          <t>2022-07-06</t>
        </is>
      </c>
      <c r="B1788" t="n">
        <v>4</v>
      </c>
      <c r="C1788" t="n">
        <v>2998</v>
      </c>
      <c r="D1788" s="6" t="n">
        <v>102.4</v>
      </c>
      <c r="E1788" s="6" t="n">
        <v>1102806.28</v>
      </c>
      <c r="F1788" s="6">
        <f>ROUND(E1788-E1787,2)</f>
        <v/>
      </c>
      <c r="G1788" s="6">
        <f>ROUND(F1788-D1788,2)</f>
        <v/>
      </c>
    </row>
    <row r="1789">
      <c r="A1789" t="inlineStr">
        <is>
          <t>2022-07-06</t>
        </is>
      </c>
      <c r="B1789" t="n">
        <v>5</v>
      </c>
      <c r="C1789" t="n">
        <v>2998</v>
      </c>
      <c r="D1789" s="6" t="n">
        <v>76</v>
      </c>
      <c r="E1789" s="6" t="n">
        <v>1102882.28</v>
      </c>
      <c r="F1789" s="6">
        <f>ROUND(E1789-E1788,2)</f>
        <v/>
      </c>
      <c r="G1789" s="6">
        <f>ROUND(F1789-D1789,2)</f>
        <v/>
      </c>
    </row>
    <row r="1790">
      <c r="A1790" t="inlineStr">
        <is>
          <t>2022-07-06</t>
        </is>
      </c>
      <c r="B1790" t="n">
        <v>6</v>
      </c>
      <c r="C1790" t="n">
        <v>2998</v>
      </c>
      <c r="D1790" s="6" t="n">
        <v>56.4</v>
      </c>
      <c r="E1790" s="6" t="n">
        <v>1102938.68</v>
      </c>
      <c r="F1790" s="6">
        <f>ROUND(E1790-E1789,2)</f>
        <v/>
      </c>
      <c r="G1790" s="6">
        <f>ROUND(F1790-D1790,2)</f>
        <v/>
      </c>
    </row>
    <row r="1791">
      <c r="A1791" t="inlineStr">
        <is>
          <t>2022-07-06</t>
        </is>
      </c>
      <c r="B1791" t="n">
        <v>7</v>
      </c>
      <c r="C1791" t="n">
        <v>2998</v>
      </c>
      <c r="D1791" s="6" t="n">
        <v>78.3</v>
      </c>
      <c r="E1791" s="6" t="n">
        <v>1103016.98</v>
      </c>
      <c r="F1791" s="6">
        <f>ROUND(E1791-E1790,2)</f>
        <v/>
      </c>
      <c r="G1791" s="6">
        <f>ROUND(F1791-D1791,2)</f>
        <v/>
      </c>
    </row>
    <row r="1792">
      <c r="A1792" t="inlineStr">
        <is>
          <t>2022-07-06</t>
        </is>
      </c>
      <c r="B1792" t="n">
        <v>8</v>
      </c>
      <c r="C1792" t="n">
        <v>2998</v>
      </c>
      <c r="D1792" s="6" t="n">
        <v>93.90000000000001</v>
      </c>
      <c r="E1792" s="6" t="n">
        <v>1103110.88</v>
      </c>
      <c r="F1792" s="6">
        <f>ROUND(E1792-E1791,2)</f>
        <v/>
      </c>
      <c r="G1792" s="6">
        <f>ROUND(F1792-D1792,2)</f>
        <v/>
      </c>
    </row>
    <row r="1793">
      <c r="A1793" t="inlineStr">
        <is>
          <t>2022-07-06</t>
        </is>
      </c>
      <c r="B1793" t="n">
        <v>9</v>
      </c>
      <c r="C1793" t="n">
        <v>2998</v>
      </c>
      <c r="D1793" s="6" t="n">
        <v>64.90000000000001</v>
      </c>
      <c r="E1793" s="6" t="n">
        <v>1103175.78</v>
      </c>
      <c r="F1793" s="6">
        <f>ROUND(E1793-E1792,2)</f>
        <v/>
      </c>
      <c r="G1793" s="6">
        <f>ROUND(F1793-D1793,2)</f>
        <v/>
      </c>
    </row>
    <row r="1794">
      <c r="A1794" t="inlineStr">
        <is>
          <t>2022-07-06</t>
        </is>
      </c>
      <c r="B1794" t="n">
        <v>10</v>
      </c>
      <c r="C1794" t="n">
        <v>2998</v>
      </c>
      <c r="D1794" s="6" t="n">
        <v>21.7</v>
      </c>
      <c r="E1794" s="6" t="n">
        <v>1103197.48</v>
      </c>
      <c r="F1794" s="6">
        <f>ROUND(E1794-E1793,2)</f>
        <v/>
      </c>
      <c r="G1794" s="6">
        <f>ROUND(F1794-D1794,2)</f>
        <v/>
      </c>
    </row>
    <row r="1795">
      <c r="A1795" t="inlineStr">
        <is>
          <t>2022-07-06</t>
        </is>
      </c>
      <c r="B1795" t="n">
        <v>11</v>
      </c>
      <c r="C1795" t="n">
        <v>2998</v>
      </c>
      <c r="D1795" s="6" t="n">
        <v>26.3</v>
      </c>
      <c r="E1795" s="6" t="n">
        <v>1103223.78</v>
      </c>
      <c r="F1795" s="6">
        <f>ROUND(E1795-E1794,2)</f>
        <v/>
      </c>
      <c r="G1795" s="6">
        <f>ROUND(F1795-D1795,2)</f>
        <v/>
      </c>
    </row>
    <row r="1796">
      <c r="A1796" t="inlineStr">
        <is>
          <t>2022-07-06</t>
        </is>
      </c>
      <c r="B1796" t="n">
        <v>12</v>
      </c>
      <c r="C1796" t="n">
        <v>2998</v>
      </c>
      <c r="D1796" s="6" t="n">
        <v>50.8</v>
      </c>
      <c r="E1796" s="6" t="n">
        <v>1103274.58</v>
      </c>
      <c r="F1796" s="6">
        <f>ROUND(E1796-E1795,2)</f>
        <v/>
      </c>
      <c r="G1796" s="6">
        <f>ROUND(F1796-D1796,2)</f>
        <v/>
      </c>
    </row>
    <row r="1797">
      <c r="A1797" t="inlineStr">
        <is>
          <t>2022-07-06</t>
        </is>
      </c>
      <c r="B1797" t="n">
        <v>13</v>
      </c>
      <c r="C1797" t="n">
        <v>2998</v>
      </c>
      <c r="D1797" s="6" t="n">
        <v>31.6</v>
      </c>
      <c r="E1797" s="6" t="n">
        <v>1103306.18</v>
      </c>
      <c r="F1797" s="6">
        <f>ROUND(E1797-E1796,2)</f>
        <v/>
      </c>
      <c r="G1797" s="6">
        <f>ROUND(F1797-D1797,2)</f>
        <v/>
      </c>
    </row>
    <row r="1798">
      <c r="A1798" t="inlineStr">
        <is>
          <t>2022-07-06</t>
        </is>
      </c>
      <c r="B1798" t="n">
        <v>14</v>
      </c>
      <c r="C1798" t="n">
        <v>2998</v>
      </c>
      <c r="D1798" s="6" t="n">
        <v>39.6</v>
      </c>
      <c r="E1798" s="6" t="n">
        <v>1103345.78</v>
      </c>
      <c r="F1798" s="6">
        <f>ROUND(E1798-E1797,2)</f>
        <v/>
      </c>
      <c r="G1798" s="6">
        <f>ROUND(F1798-D1798,2)</f>
        <v/>
      </c>
    </row>
    <row r="1799">
      <c r="A1799" t="inlineStr">
        <is>
          <t>2022-07-06</t>
        </is>
      </c>
      <c r="B1799" t="n">
        <v>15</v>
      </c>
      <c r="C1799" t="n">
        <v>2998</v>
      </c>
      <c r="D1799" s="6" t="n">
        <v>46.7</v>
      </c>
      <c r="E1799" s="6" t="n">
        <v>1103392.48</v>
      </c>
      <c r="F1799" s="6">
        <f>ROUND(E1799-E1798,2)</f>
        <v/>
      </c>
      <c r="G1799" s="6">
        <f>ROUND(F1799-D1799,2)</f>
        <v/>
      </c>
    </row>
    <row r="1800">
      <c r="A1800" t="inlineStr">
        <is>
          <t>2022-07-06</t>
        </is>
      </c>
      <c r="B1800" t="n">
        <v>16</v>
      </c>
      <c r="C1800" t="n">
        <v>2998</v>
      </c>
      <c r="D1800" s="6" t="n">
        <v>34.5</v>
      </c>
      <c r="E1800" s="6" t="n">
        <v>1103426.98</v>
      </c>
      <c r="F1800" s="6">
        <f>ROUND(E1800-E1799,2)</f>
        <v/>
      </c>
      <c r="G1800" s="6">
        <f>ROUND(F1800-D1800,2)</f>
        <v/>
      </c>
    </row>
    <row r="1801">
      <c r="A1801" t="inlineStr">
        <is>
          <t>2022-07-06</t>
        </is>
      </c>
      <c r="B1801" t="n">
        <v>17</v>
      </c>
      <c r="C1801" t="n">
        <v>2998</v>
      </c>
      <c r="D1801" s="6" t="n">
        <v>31.7</v>
      </c>
      <c r="E1801" s="6" t="n">
        <v>1103458.68</v>
      </c>
      <c r="F1801" s="6">
        <f>ROUND(E1801-E1800,2)</f>
        <v/>
      </c>
      <c r="G1801" s="6">
        <f>ROUND(F1801-D1801,2)</f>
        <v/>
      </c>
    </row>
    <row r="1802">
      <c r="A1802" t="inlineStr">
        <is>
          <t>2022-07-06</t>
        </is>
      </c>
      <c r="B1802" t="n">
        <v>18</v>
      </c>
      <c r="C1802" t="n">
        <v>2998</v>
      </c>
      <c r="D1802" s="6" t="n">
        <v>31.7</v>
      </c>
      <c r="E1802" s="6" t="n">
        <v>1103490.38</v>
      </c>
      <c r="F1802" s="6">
        <f>ROUND(E1802-E1801,2)</f>
        <v/>
      </c>
      <c r="G1802" s="6">
        <f>ROUND(F1802-D1802,2)</f>
        <v/>
      </c>
    </row>
    <row r="1803">
      <c r="A1803" t="inlineStr">
        <is>
          <t>2022-07-06</t>
        </is>
      </c>
      <c r="B1803" t="n">
        <v>19</v>
      </c>
      <c r="C1803" t="n">
        <v>2998</v>
      </c>
      <c r="D1803" s="6" t="n">
        <v>90.7</v>
      </c>
      <c r="E1803" s="6" t="n">
        <v>1103581.08</v>
      </c>
      <c r="F1803" s="6">
        <f>ROUND(E1803-E1802,2)</f>
        <v/>
      </c>
      <c r="G1803" s="6">
        <f>ROUND(F1803-D1803,2)</f>
        <v/>
      </c>
    </row>
    <row r="1804">
      <c r="A1804" t="inlineStr">
        <is>
          <t>2022-07-06</t>
        </is>
      </c>
      <c r="B1804" t="n">
        <v>20</v>
      </c>
      <c r="C1804" t="n">
        <v>2998</v>
      </c>
      <c r="D1804" s="6" t="n">
        <v>82.90000000000001</v>
      </c>
      <c r="E1804" s="6" t="n">
        <v>1103663.98</v>
      </c>
      <c r="F1804" s="6">
        <f>ROUND(E1804-E1803,2)</f>
        <v/>
      </c>
      <c r="G1804" s="6">
        <f>ROUND(F1804-D1804,2)</f>
        <v/>
      </c>
    </row>
    <row r="1805">
      <c r="A1805" t="inlineStr">
        <is>
          <t>2022-07-06</t>
        </is>
      </c>
      <c r="B1805" t="n">
        <v>21</v>
      </c>
      <c r="C1805" t="n">
        <v>2998</v>
      </c>
      <c r="D1805" s="6" t="n">
        <v>52.7</v>
      </c>
      <c r="E1805" s="6" t="n">
        <v>1103716.68</v>
      </c>
      <c r="F1805" s="6">
        <f>ROUND(E1805-E1804,2)</f>
        <v/>
      </c>
      <c r="G1805" s="6">
        <f>ROUND(F1805-D1805,2)</f>
        <v/>
      </c>
    </row>
    <row r="1806">
      <c r="A1806" t="inlineStr">
        <is>
          <t>2022-07-06</t>
        </is>
      </c>
      <c r="B1806" t="n">
        <v>22</v>
      </c>
      <c r="C1806" t="n">
        <v>2998</v>
      </c>
      <c r="D1806" s="6" t="n">
        <v>106.6</v>
      </c>
      <c r="E1806" s="6" t="n">
        <v>1103823.28</v>
      </c>
      <c r="F1806" s="6">
        <f>ROUND(E1806-E1805,2)</f>
        <v/>
      </c>
      <c r="G1806" s="6">
        <f>ROUND(F1806-D1806,2)</f>
        <v/>
      </c>
    </row>
    <row r="1807">
      <c r="A1807" t="inlineStr">
        <is>
          <t>2022-07-06</t>
        </is>
      </c>
      <c r="B1807" t="n">
        <v>23</v>
      </c>
      <c r="C1807" t="n">
        <v>2998</v>
      </c>
      <c r="D1807" s="6" t="n">
        <v>70.90000000000001</v>
      </c>
      <c r="E1807" s="6" t="n">
        <v>1103894.18</v>
      </c>
      <c r="F1807" s="6">
        <f>ROUND(E1807-E1806,2)</f>
        <v/>
      </c>
      <c r="G1807" s="6">
        <f>ROUND(F1807-D1807,2)</f>
        <v/>
      </c>
    </row>
    <row r="1808">
      <c r="A1808" t="inlineStr">
        <is>
          <t>2022-07-06</t>
        </is>
      </c>
      <c r="B1808" t="n">
        <v>24</v>
      </c>
      <c r="C1808" t="n">
        <v>2998</v>
      </c>
      <c r="D1808" s="6" t="n">
        <v>59.7</v>
      </c>
      <c r="E1808" s="6" t="n">
        <v>1103953.88</v>
      </c>
      <c r="F1808" s="6">
        <f>ROUND(E1808-E1807,2)</f>
        <v/>
      </c>
      <c r="G1808" s="6">
        <f>ROUND(F1808-D1808,2)</f>
        <v/>
      </c>
    </row>
    <row r="1809">
      <c r="A1809" t="inlineStr">
        <is>
          <t>2022-07-06</t>
        </is>
      </c>
      <c r="B1809" t="n">
        <v>25</v>
      </c>
      <c r="C1809" t="n">
        <v>2998</v>
      </c>
      <c r="D1809" s="6" t="n">
        <v>18.4</v>
      </c>
      <c r="E1809" s="6" t="n">
        <v>1103972.28</v>
      </c>
      <c r="F1809" s="6">
        <f>ROUND(E1809-E1808,2)</f>
        <v/>
      </c>
      <c r="G1809" s="6">
        <f>ROUND(F1809-D1809,2)</f>
        <v/>
      </c>
    </row>
    <row r="1810">
      <c r="A1810" t="inlineStr">
        <is>
          <t>2022-07-06</t>
        </is>
      </c>
      <c r="B1810" t="n">
        <v>26</v>
      </c>
      <c r="C1810" t="n">
        <v>2998</v>
      </c>
      <c r="D1810" s="6" t="n">
        <v>119.7</v>
      </c>
      <c r="E1810" s="6" t="n">
        <v>1104091.98</v>
      </c>
      <c r="F1810" s="6">
        <f>ROUND(E1810-E1809,2)</f>
        <v/>
      </c>
      <c r="G1810" s="6">
        <f>ROUND(F1810-D1810,2)</f>
        <v/>
      </c>
    </row>
    <row r="1811">
      <c r="A1811" t="inlineStr">
        <is>
          <t>2022-07-06</t>
        </is>
      </c>
      <c r="B1811" t="n">
        <v>27</v>
      </c>
      <c r="C1811" t="n">
        <v>2998</v>
      </c>
      <c r="D1811" s="6" t="n">
        <v>33.5</v>
      </c>
      <c r="E1811" s="6" t="n">
        <v>1104125.48</v>
      </c>
      <c r="F1811" s="6">
        <f>ROUND(E1811-E1810,2)</f>
        <v/>
      </c>
      <c r="G1811" s="6">
        <f>ROUND(F1811-D1811,2)</f>
        <v/>
      </c>
    </row>
    <row r="1812">
      <c r="A1812" t="inlineStr">
        <is>
          <t>2022-07-06</t>
        </is>
      </c>
      <c r="B1812" t="n">
        <v>28</v>
      </c>
      <c r="C1812" t="n">
        <v>2998</v>
      </c>
      <c r="D1812" s="6" t="n">
        <v>75.5</v>
      </c>
      <c r="E1812" s="6" t="n">
        <v>1104200.98</v>
      </c>
      <c r="F1812" s="6">
        <f>ROUND(E1812-E1811,2)</f>
        <v/>
      </c>
      <c r="G1812" s="6">
        <f>ROUND(F1812-D1812,2)</f>
        <v/>
      </c>
    </row>
    <row r="1813">
      <c r="A1813" t="inlineStr">
        <is>
          <t>2022-07-06</t>
        </is>
      </c>
      <c r="B1813" t="n">
        <v>29</v>
      </c>
      <c r="C1813" t="n">
        <v>2998</v>
      </c>
      <c r="D1813" s="6" t="n">
        <v>116.8</v>
      </c>
      <c r="E1813" s="6" t="n">
        <v>1104317.78</v>
      </c>
      <c r="F1813" s="6">
        <f>ROUND(E1813-E1812,2)</f>
        <v/>
      </c>
      <c r="G1813" s="6">
        <f>ROUND(F1813-D1813,2)</f>
        <v/>
      </c>
    </row>
    <row r="1814">
      <c r="A1814" t="inlineStr">
        <is>
          <t>2022-07-06</t>
        </is>
      </c>
      <c r="B1814" t="n">
        <v>30</v>
      </c>
      <c r="C1814" t="n">
        <v>2998</v>
      </c>
      <c r="D1814" s="6" t="n">
        <v>67.5</v>
      </c>
      <c r="E1814" s="6" t="n">
        <v>1104385.28</v>
      </c>
      <c r="F1814" s="6">
        <f>ROUND(E1814-E1813,2)</f>
        <v/>
      </c>
      <c r="G1814" s="6">
        <f>ROUND(F1814-D1814,2)</f>
        <v/>
      </c>
    </row>
    <row r="1815">
      <c r="A1815" t="inlineStr">
        <is>
          <t>2022-07-07</t>
        </is>
      </c>
      <c r="B1815" t="n">
        <v>1</v>
      </c>
      <c r="C1815" t="n">
        <v>2999</v>
      </c>
      <c r="D1815" s="6" t="n">
        <v>50</v>
      </c>
      <c r="E1815" s="6" t="n">
        <v>1104435.28</v>
      </c>
      <c r="F1815" s="6">
        <f>ROUND(E1815-E1814,2)</f>
        <v/>
      </c>
      <c r="G1815" s="6">
        <f>ROUND(F1815-D1815,2)</f>
        <v/>
      </c>
    </row>
    <row r="1816">
      <c r="A1816" t="inlineStr">
        <is>
          <t>2022-07-07</t>
        </is>
      </c>
      <c r="B1816" t="n">
        <v>2</v>
      </c>
      <c r="C1816" t="n">
        <v>2999</v>
      </c>
      <c r="D1816" s="6" t="n">
        <v>25.8</v>
      </c>
      <c r="E1816" s="6" t="n">
        <v>1104461.08</v>
      </c>
      <c r="F1816" s="6">
        <f>ROUND(E1816-E1815,2)</f>
        <v/>
      </c>
      <c r="G1816" s="6">
        <f>ROUND(F1816-D1816,2)</f>
        <v/>
      </c>
    </row>
    <row r="1817">
      <c r="A1817" t="inlineStr">
        <is>
          <t>2022-07-07</t>
        </is>
      </c>
      <c r="B1817" t="n">
        <v>3</v>
      </c>
      <c r="C1817" t="n">
        <v>2999</v>
      </c>
      <c r="D1817" s="6" t="n">
        <v>21.1</v>
      </c>
      <c r="E1817" s="6" t="n">
        <v>1104482.18</v>
      </c>
      <c r="F1817" s="6">
        <f>ROUND(E1817-E1816,2)</f>
        <v/>
      </c>
      <c r="G1817" s="6">
        <f>ROUND(F1817-D1817,2)</f>
        <v/>
      </c>
    </row>
    <row r="1818">
      <c r="A1818" t="inlineStr">
        <is>
          <t>2022-07-07</t>
        </is>
      </c>
      <c r="B1818" t="n">
        <v>4</v>
      </c>
      <c r="C1818" t="n">
        <v>2999</v>
      </c>
      <c r="D1818" s="6" t="n">
        <v>21.1</v>
      </c>
      <c r="E1818" s="6" t="n">
        <v>1104503.28</v>
      </c>
      <c r="F1818" s="6">
        <f>ROUND(E1818-E1817,2)</f>
        <v/>
      </c>
      <c r="G1818" s="6">
        <f>ROUND(F1818-D1818,2)</f>
        <v/>
      </c>
    </row>
    <row r="1819">
      <c r="A1819" t="inlineStr">
        <is>
          <t>2022-07-07</t>
        </is>
      </c>
      <c r="B1819" t="n">
        <v>5</v>
      </c>
      <c r="C1819" t="n">
        <v>2999</v>
      </c>
      <c r="D1819" s="6" t="n">
        <v>21.1</v>
      </c>
      <c r="E1819" s="6" t="n">
        <v>1104524.38</v>
      </c>
      <c r="F1819" s="6">
        <f>ROUND(E1819-E1818,2)</f>
        <v/>
      </c>
      <c r="G1819" s="6">
        <f>ROUND(F1819-D1819,2)</f>
        <v/>
      </c>
    </row>
    <row r="1820">
      <c r="A1820" t="inlineStr">
        <is>
          <t>2022-07-07</t>
        </is>
      </c>
      <c r="B1820" t="n">
        <v>6</v>
      </c>
      <c r="C1820" t="n">
        <v>2999</v>
      </c>
      <c r="D1820" s="6" t="n">
        <v>47.4</v>
      </c>
      <c r="E1820" s="6" t="n">
        <v>1104571.78</v>
      </c>
      <c r="F1820" s="6">
        <f>ROUND(E1820-E1819,2)</f>
        <v/>
      </c>
      <c r="G1820" s="6">
        <f>ROUND(F1820-D1820,2)</f>
        <v/>
      </c>
    </row>
    <row r="1821">
      <c r="A1821" t="inlineStr">
        <is>
          <t>2022-07-07</t>
        </is>
      </c>
      <c r="B1821" t="n">
        <v>7</v>
      </c>
      <c r="C1821" t="n">
        <v>2999</v>
      </c>
      <c r="D1821" s="6" t="n">
        <v>51.7</v>
      </c>
      <c r="E1821" s="6" t="n">
        <v>1104623.48</v>
      </c>
      <c r="F1821" s="6">
        <f>ROUND(E1821-E1820,2)</f>
        <v/>
      </c>
      <c r="G1821" s="6">
        <f>ROUND(F1821-D1821,2)</f>
        <v/>
      </c>
    </row>
    <row r="1822">
      <c r="A1822" t="inlineStr">
        <is>
          <t>2022-07-07</t>
        </is>
      </c>
      <c r="B1822" t="n">
        <v>8</v>
      </c>
      <c r="C1822" t="n">
        <v>2999</v>
      </c>
      <c r="D1822" s="6" t="n">
        <v>71.3</v>
      </c>
      <c r="E1822" s="6" t="n">
        <v>1104694.78</v>
      </c>
      <c r="F1822" s="6">
        <f>ROUND(E1822-E1821,2)</f>
        <v/>
      </c>
      <c r="G1822" s="6">
        <f>ROUND(F1822-D1822,2)</f>
        <v/>
      </c>
    </row>
    <row r="1823">
      <c r="A1823" t="inlineStr">
        <is>
          <t>2022-07-07</t>
        </is>
      </c>
      <c r="B1823" t="n">
        <v>9</v>
      </c>
      <c r="C1823" t="n">
        <v>2999</v>
      </c>
      <c r="D1823" s="6" t="n">
        <v>69.09999999999999</v>
      </c>
      <c r="E1823" s="6" t="n">
        <v>1104763.88</v>
      </c>
      <c r="F1823" s="6">
        <f>ROUND(E1823-E1822,2)</f>
        <v/>
      </c>
      <c r="G1823" s="6">
        <f>ROUND(F1823-D1823,2)</f>
        <v/>
      </c>
    </row>
    <row r="1824">
      <c r="A1824" t="inlineStr">
        <is>
          <t>2022-07-07</t>
        </is>
      </c>
      <c r="B1824" t="n">
        <v>10</v>
      </c>
      <c r="C1824" t="n">
        <v>2999</v>
      </c>
      <c r="D1824" s="6" t="n">
        <v>75.3</v>
      </c>
      <c r="E1824" s="6" t="n">
        <v>1104839.18</v>
      </c>
      <c r="F1824" s="6">
        <f>ROUND(E1824-E1823,2)</f>
        <v/>
      </c>
      <c r="G1824" s="6">
        <f>ROUND(F1824-D1824,2)</f>
        <v/>
      </c>
    </row>
    <row r="1825">
      <c r="A1825" t="inlineStr">
        <is>
          <t>2022-07-07</t>
        </is>
      </c>
      <c r="B1825" t="n">
        <v>11</v>
      </c>
      <c r="C1825" t="n">
        <v>2999</v>
      </c>
      <c r="D1825" s="6" t="n">
        <v>204.2</v>
      </c>
      <c r="E1825" s="6" t="n">
        <v>1105043.38</v>
      </c>
      <c r="F1825" s="6">
        <f>ROUND(E1825-E1824,2)</f>
        <v/>
      </c>
      <c r="G1825" s="6">
        <f>ROUND(F1825-D1825,2)</f>
        <v/>
      </c>
    </row>
    <row r="1826">
      <c r="A1826" t="inlineStr">
        <is>
          <t>2022-07-07</t>
        </is>
      </c>
      <c r="B1826" t="n">
        <v>12</v>
      </c>
      <c r="C1826" t="n">
        <v>2999</v>
      </c>
      <c r="D1826" s="6" t="n">
        <v>21.5</v>
      </c>
      <c r="E1826" s="6" t="n">
        <v>1105064.88</v>
      </c>
      <c r="F1826" s="6">
        <f>ROUND(E1826-E1825,2)</f>
        <v/>
      </c>
      <c r="G1826" s="6">
        <f>ROUND(F1826-D1826,2)</f>
        <v/>
      </c>
    </row>
    <row r="1827">
      <c r="A1827" t="inlineStr">
        <is>
          <t>2022-07-07</t>
        </is>
      </c>
      <c r="B1827" t="n">
        <v>13</v>
      </c>
      <c r="C1827" t="n">
        <v>2999</v>
      </c>
      <c r="D1827" s="6" t="n">
        <v>11</v>
      </c>
      <c r="E1827" s="6" t="n">
        <v>1105075.88</v>
      </c>
      <c r="F1827" s="6">
        <f>ROUND(E1827-E1826,2)</f>
        <v/>
      </c>
      <c r="G1827" s="6">
        <f>ROUND(F1827-D1827,2)</f>
        <v/>
      </c>
    </row>
    <row r="1828">
      <c r="A1828" t="inlineStr">
        <is>
          <t>2022-07-07</t>
        </is>
      </c>
      <c r="B1828" t="n">
        <v>14</v>
      </c>
      <c r="C1828" t="n">
        <v>2999</v>
      </c>
      <c r="D1828" s="6" t="n">
        <v>29.8</v>
      </c>
      <c r="E1828" s="6" t="n">
        <v>1105105.68</v>
      </c>
      <c r="F1828" s="6">
        <f>ROUND(E1828-E1827,2)</f>
        <v/>
      </c>
      <c r="G1828" s="6">
        <f>ROUND(F1828-D1828,2)</f>
        <v/>
      </c>
    </row>
    <row r="1829">
      <c r="A1829" t="inlineStr">
        <is>
          <t>2022-07-07</t>
        </is>
      </c>
      <c r="B1829" t="n">
        <v>15</v>
      </c>
      <c r="C1829" t="n">
        <v>2999</v>
      </c>
      <c r="D1829" s="6" t="n">
        <v>41.7</v>
      </c>
      <c r="E1829" s="6" t="n">
        <v>1105147.38</v>
      </c>
      <c r="F1829" s="6">
        <f>ROUND(E1829-E1828,2)</f>
        <v/>
      </c>
      <c r="G1829" s="6">
        <f>ROUND(F1829-D1829,2)</f>
        <v/>
      </c>
    </row>
    <row r="1830">
      <c r="A1830" t="inlineStr">
        <is>
          <t>2022-07-07</t>
        </is>
      </c>
      <c r="B1830" t="n">
        <v>16</v>
      </c>
      <c r="C1830" t="n">
        <v>2999</v>
      </c>
      <c r="D1830" s="6" t="n">
        <v>24.3</v>
      </c>
      <c r="E1830" s="6" t="n">
        <v>1105171.68</v>
      </c>
      <c r="F1830" s="6">
        <f>ROUND(E1830-E1829,2)</f>
        <v/>
      </c>
      <c r="G1830" s="6">
        <f>ROUND(F1830-D1830,2)</f>
        <v/>
      </c>
    </row>
    <row r="1831">
      <c r="A1831" t="inlineStr">
        <is>
          <t>2022-07-07</t>
        </is>
      </c>
      <c r="B1831" t="n">
        <v>17</v>
      </c>
      <c r="C1831" t="n">
        <v>2999</v>
      </c>
      <c r="D1831" s="6" t="n">
        <v>21.45</v>
      </c>
      <c r="E1831" s="6" t="n">
        <v>1105193.13</v>
      </c>
      <c r="F1831" s="6">
        <f>ROUND(E1831-E1830,2)</f>
        <v/>
      </c>
      <c r="G1831" s="6">
        <f>ROUND(F1831-D1831,2)</f>
        <v/>
      </c>
    </row>
    <row r="1832">
      <c r="A1832" t="inlineStr">
        <is>
          <t>2022-07-07</t>
        </is>
      </c>
      <c r="B1832" t="n">
        <v>18</v>
      </c>
      <c r="C1832" t="n">
        <v>2999</v>
      </c>
      <c r="D1832" s="6" t="n">
        <v>21.45</v>
      </c>
      <c r="E1832" s="6" t="n">
        <v>1105214.58</v>
      </c>
      <c r="F1832" s="6">
        <f>ROUND(E1832-E1831,2)</f>
        <v/>
      </c>
      <c r="G1832" s="6">
        <f>ROUND(F1832-D1832,2)</f>
        <v/>
      </c>
    </row>
    <row r="1833">
      <c r="A1833" t="inlineStr">
        <is>
          <t>2022-07-07</t>
        </is>
      </c>
      <c r="B1833" t="n">
        <v>19</v>
      </c>
      <c r="C1833" t="n">
        <v>2999</v>
      </c>
      <c r="D1833" s="6" t="n">
        <v>61.1</v>
      </c>
      <c r="E1833" s="6" t="n">
        <v>1105275.68</v>
      </c>
      <c r="F1833" s="6">
        <f>ROUND(E1833-E1832,2)</f>
        <v/>
      </c>
      <c r="G1833" s="6">
        <f>ROUND(F1833-D1833,2)</f>
        <v/>
      </c>
    </row>
    <row r="1834">
      <c r="A1834" t="inlineStr">
        <is>
          <t>2022-07-07</t>
        </is>
      </c>
      <c r="B1834" t="n">
        <v>20</v>
      </c>
      <c r="C1834" t="n">
        <v>2999</v>
      </c>
      <c r="D1834" s="6" t="n">
        <v>141.9</v>
      </c>
      <c r="E1834" s="6" t="n">
        <v>1105417.58</v>
      </c>
      <c r="F1834" s="6">
        <f>ROUND(E1834-E1833,2)</f>
        <v/>
      </c>
      <c r="G1834" s="6">
        <f>ROUND(F1834-D1834,2)</f>
        <v/>
      </c>
    </row>
    <row r="1835">
      <c r="A1835" t="inlineStr">
        <is>
          <t>2022-07-07</t>
        </is>
      </c>
      <c r="B1835" t="n">
        <v>21</v>
      </c>
      <c r="C1835" t="n">
        <v>2999</v>
      </c>
      <c r="D1835" s="6" t="n">
        <v>65</v>
      </c>
      <c r="E1835" s="6" t="n">
        <v>1105482.58</v>
      </c>
      <c r="F1835" s="6">
        <f>ROUND(E1835-E1834,2)</f>
        <v/>
      </c>
      <c r="G1835" s="6">
        <f>ROUND(F1835-D1835,2)</f>
        <v/>
      </c>
    </row>
    <row r="1836">
      <c r="A1836" t="inlineStr">
        <is>
          <t>2022-07-07</t>
        </is>
      </c>
      <c r="B1836" t="n">
        <v>22</v>
      </c>
      <c r="C1836" t="n">
        <v>2999</v>
      </c>
      <c r="D1836" s="6" t="n">
        <v>82.7</v>
      </c>
      <c r="E1836" s="6" t="n">
        <v>1105565.28</v>
      </c>
      <c r="F1836" s="6">
        <f>ROUND(E1836-E1835,2)</f>
        <v/>
      </c>
      <c r="G1836" s="6">
        <f>ROUND(F1836-D1836,2)</f>
        <v/>
      </c>
    </row>
    <row r="1837">
      <c r="A1837" t="inlineStr">
        <is>
          <t>2022-07-07</t>
        </is>
      </c>
      <c r="B1837" t="n">
        <v>23</v>
      </c>
      <c r="C1837" t="n">
        <v>2999</v>
      </c>
      <c r="D1837" s="6" t="n">
        <v>55.2</v>
      </c>
      <c r="E1837" s="6" t="n">
        <v>1105620.48</v>
      </c>
      <c r="F1837" s="6">
        <f>ROUND(E1837-E1836,2)</f>
        <v/>
      </c>
      <c r="G1837" s="6">
        <f>ROUND(F1837-D1837,2)</f>
        <v/>
      </c>
    </row>
    <row r="1838">
      <c r="A1838" t="inlineStr">
        <is>
          <t>2022-07-07</t>
        </is>
      </c>
      <c r="B1838" t="n">
        <v>24</v>
      </c>
      <c r="C1838" t="n">
        <v>2999</v>
      </c>
      <c r="D1838" s="6" t="n">
        <v>88</v>
      </c>
      <c r="E1838" s="6" t="n">
        <v>1105708.48</v>
      </c>
      <c r="F1838" s="6">
        <f>ROUND(E1838-E1837,2)</f>
        <v/>
      </c>
      <c r="G1838" s="6">
        <f>ROUND(F1838-D1838,2)</f>
        <v/>
      </c>
    </row>
    <row r="1839">
      <c r="A1839" t="inlineStr">
        <is>
          <t>2022-07-07</t>
        </is>
      </c>
      <c r="B1839" t="n">
        <v>25</v>
      </c>
      <c r="C1839" t="n">
        <v>2999</v>
      </c>
      <c r="D1839" s="6" t="n">
        <v>71.09999999999999</v>
      </c>
      <c r="E1839" s="6" t="n">
        <v>1105779.58</v>
      </c>
      <c r="F1839" s="6">
        <f>ROUND(E1839-E1838,2)</f>
        <v/>
      </c>
      <c r="G1839" s="6">
        <f>ROUND(F1839-D1839,2)</f>
        <v/>
      </c>
    </row>
    <row r="1840">
      <c r="A1840" t="inlineStr">
        <is>
          <t>2022-07-07</t>
        </is>
      </c>
      <c r="B1840" t="n">
        <v>26</v>
      </c>
      <c r="C1840" t="n">
        <v>2999</v>
      </c>
      <c r="D1840" s="6" t="n">
        <v>82.59999999999999</v>
      </c>
      <c r="E1840" s="6" t="n">
        <v>1105862.18</v>
      </c>
      <c r="F1840" s="6">
        <f>ROUND(E1840-E1839,2)</f>
        <v/>
      </c>
      <c r="G1840" s="6">
        <f>ROUND(F1840-D1840,2)</f>
        <v/>
      </c>
    </row>
    <row r="1841">
      <c r="A1841" t="inlineStr">
        <is>
          <t>2022-07-07</t>
        </is>
      </c>
      <c r="B1841" t="n">
        <v>27</v>
      </c>
      <c r="C1841" t="n">
        <v>2999</v>
      </c>
      <c r="D1841" s="6" t="n">
        <v>30.6</v>
      </c>
      <c r="E1841" s="6" t="n">
        <v>1105892.78</v>
      </c>
      <c r="F1841" s="6">
        <f>ROUND(E1841-E1840,2)</f>
        <v/>
      </c>
      <c r="G1841" s="6">
        <f>ROUND(F1841-D1841,2)</f>
        <v/>
      </c>
    </row>
    <row r="1842">
      <c r="A1842" t="inlineStr">
        <is>
          <t>2022-07-07</t>
        </is>
      </c>
      <c r="B1842" t="n">
        <v>28</v>
      </c>
      <c r="C1842" t="n">
        <v>2999</v>
      </c>
      <c r="D1842" s="6" t="n">
        <v>30.6</v>
      </c>
      <c r="E1842" s="6" t="n">
        <v>1105923.38</v>
      </c>
      <c r="F1842" s="6">
        <f>ROUND(E1842-E1841,2)</f>
        <v/>
      </c>
      <c r="G1842" s="6">
        <f>ROUND(F1842-D1842,2)</f>
        <v/>
      </c>
    </row>
    <row r="1843">
      <c r="A1843" t="inlineStr">
        <is>
          <t>2022-07-07</t>
        </is>
      </c>
      <c r="B1843" t="n">
        <v>29</v>
      </c>
      <c r="C1843" t="n">
        <v>2999</v>
      </c>
      <c r="D1843" s="6" t="n">
        <v>141.8</v>
      </c>
      <c r="E1843" s="6" t="n">
        <v>1106065.18</v>
      </c>
      <c r="F1843" s="6">
        <f>ROUND(E1843-E1842,2)</f>
        <v/>
      </c>
      <c r="G1843" s="6">
        <f>ROUND(F1843-D1843,2)</f>
        <v/>
      </c>
    </row>
    <row r="1844">
      <c r="A1844" t="inlineStr">
        <is>
          <t>2022-07-07</t>
        </is>
      </c>
      <c r="B1844" t="n">
        <v>30</v>
      </c>
      <c r="C1844" t="n">
        <v>2999</v>
      </c>
      <c r="D1844" s="6" t="n">
        <v>105.3</v>
      </c>
      <c r="E1844" s="6" t="n">
        <v>1106170.48</v>
      </c>
      <c r="F1844" s="6">
        <f>ROUND(E1844-E1843,2)</f>
        <v/>
      </c>
      <c r="G1844" s="6">
        <f>ROUND(F1844-D1844,2)</f>
        <v/>
      </c>
    </row>
    <row r="1845">
      <c r="A1845" t="inlineStr">
        <is>
          <t>2022-07-07</t>
        </is>
      </c>
      <c r="B1845" t="n">
        <v>31</v>
      </c>
      <c r="C1845" t="n">
        <v>2999</v>
      </c>
      <c r="D1845" s="6" t="n">
        <v>102.9</v>
      </c>
      <c r="E1845" s="6" t="n">
        <v>1106273.38</v>
      </c>
      <c r="F1845" s="6">
        <f>ROUND(E1845-E1844,2)</f>
        <v/>
      </c>
      <c r="G1845" s="6">
        <f>ROUND(F1845-D1845,2)</f>
        <v/>
      </c>
    </row>
    <row r="1846">
      <c r="A1846" t="inlineStr">
        <is>
          <t>2022-07-07</t>
        </is>
      </c>
      <c r="B1846" t="n">
        <v>32</v>
      </c>
      <c r="C1846" t="n">
        <v>2999</v>
      </c>
      <c r="D1846" s="6" t="n">
        <v>183</v>
      </c>
      <c r="E1846" s="6" t="n">
        <v>1106456.38</v>
      </c>
      <c r="F1846" s="6">
        <f>ROUND(E1846-E1845,2)</f>
        <v/>
      </c>
      <c r="G1846" s="6">
        <f>ROUND(F1846-D1846,2)</f>
        <v/>
      </c>
    </row>
    <row r="1847">
      <c r="A1847" t="inlineStr">
        <is>
          <t>2022-07-08</t>
        </is>
      </c>
      <c r="B1847" t="n">
        <v>1</v>
      </c>
      <c r="C1847" t="n">
        <v>3000</v>
      </c>
      <c r="D1847" s="6" t="n">
        <v>170</v>
      </c>
      <c r="E1847" s="6" t="n">
        <v>1106626.38</v>
      </c>
      <c r="F1847" s="6">
        <f>ROUND(E1847-E1846,2)</f>
        <v/>
      </c>
      <c r="G1847" s="6">
        <f>ROUND(F1847-D1847,2)</f>
        <v/>
      </c>
    </row>
    <row r="1848">
      <c r="A1848" t="inlineStr">
        <is>
          <t>2022-07-08</t>
        </is>
      </c>
      <c r="B1848" t="n">
        <v>2</v>
      </c>
      <c r="C1848" t="n">
        <v>3000</v>
      </c>
      <c r="D1848" s="6" t="n">
        <v>47.8</v>
      </c>
      <c r="E1848" s="6" t="n">
        <v>1106674.18</v>
      </c>
      <c r="F1848" s="6">
        <f>ROUND(E1848-E1847,2)</f>
        <v/>
      </c>
      <c r="G1848" s="6">
        <f>ROUND(F1848-D1848,2)</f>
        <v/>
      </c>
    </row>
    <row r="1849">
      <c r="A1849" t="inlineStr">
        <is>
          <t>2022-07-08</t>
        </is>
      </c>
      <c r="B1849" t="n">
        <v>3</v>
      </c>
      <c r="C1849" t="n">
        <v>3000</v>
      </c>
      <c r="D1849" s="6" t="n">
        <v>52.1</v>
      </c>
      <c r="E1849" s="6" t="n">
        <v>1106726.28</v>
      </c>
      <c r="F1849" s="6">
        <f>ROUND(E1849-E1848,2)</f>
        <v/>
      </c>
      <c r="G1849" s="6">
        <f>ROUND(F1849-D1849,2)</f>
        <v/>
      </c>
    </row>
    <row r="1850">
      <c r="A1850" t="inlineStr">
        <is>
          <t>2022-07-08</t>
        </is>
      </c>
      <c r="B1850" t="n">
        <v>4</v>
      </c>
      <c r="C1850" t="n">
        <v>3000</v>
      </c>
      <c r="D1850" s="6" t="n">
        <v>33.2</v>
      </c>
      <c r="E1850" s="6" t="n">
        <v>1106759.48</v>
      </c>
      <c r="F1850" s="6">
        <f>ROUND(E1850-E1849,2)</f>
        <v/>
      </c>
      <c r="G1850" s="6">
        <f>ROUND(F1850-D1850,2)</f>
        <v/>
      </c>
    </row>
    <row r="1851">
      <c r="A1851" t="inlineStr">
        <is>
          <t>2022-07-08</t>
        </is>
      </c>
      <c r="B1851" t="n">
        <v>5</v>
      </c>
      <c r="C1851" t="n">
        <v>3000</v>
      </c>
      <c r="D1851" s="6" t="n">
        <v>20.6</v>
      </c>
      <c r="E1851" s="6" t="n">
        <v>1106780.08</v>
      </c>
      <c r="F1851" s="6">
        <f>ROUND(E1851-E1850,2)</f>
        <v/>
      </c>
      <c r="G1851" s="6">
        <f>ROUND(F1851-D1851,2)</f>
        <v/>
      </c>
    </row>
    <row r="1852">
      <c r="A1852" t="inlineStr">
        <is>
          <t>2022-07-08</t>
        </is>
      </c>
      <c r="B1852" t="n">
        <v>6</v>
      </c>
      <c r="C1852" t="n">
        <v>3000</v>
      </c>
      <c r="D1852" s="6" t="n">
        <v>18.1</v>
      </c>
      <c r="E1852" s="6" t="n">
        <v>1106798.18</v>
      </c>
      <c r="F1852" s="6">
        <f>ROUND(E1852-E1851,2)</f>
        <v/>
      </c>
      <c r="G1852" s="6">
        <f>ROUND(F1852-D1852,2)</f>
        <v/>
      </c>
    </row>
    <row r="1853">
      <c r="A1853" t="inlineStr">
        <is>
          <t>2022-07-08</t>
        </is>
      </c>
      <c r="B1853" t="n">
        <v>7</v>
      </c>
      <c r="C1853" t="n">
        <v>3000</v>
      </c>
      <c r="D1853" s="6" t="n">
        <v>18.1</v>
      </c>
      <c r="E1853" s="6" t="n">
        <v>1106816.28</v>
      </c>
      <c r="F1853" s="6">
        <f>ROUND(E1853-E1852,2)</f>
        <v/>
      </c>
      <c r="G1853" s="6">
        <f>ROUND(F1853-D1853,2)</f>
        <v/>
      </c>
    </row>
    <row r="1854">
      <c r="A1854" t="inlineStr">
        <is>
          <t>2022-07-08</t>
        </is>
      </c>
      <c r="B1854" t="n">
        <v>8</v>
      </c>
      <c r="C1854" t="n">
        <v>3000</v>
      </c>
      <c r="D1854" s="6" t="n">
        <v>57.1</v>
      </c>
      <c r="E1854" s="6" t="n">
        <v>1106873.38</v>
      </c>
      <c r="F1854" s="6">
        <f>ROUND(E1854-E1853,2)</f>
        <v/>
      </c>
      <c r="G1854" s="6">
        <f>ROUND(F1854-D1854,2)</f>
        <v/>
      </c>
    </row>
    <row r="1855">
      <c r="A1855" t="inlineStr">
        <is>
          <t>2022-07-08</t>
        </is>
      </c>
      <c r="B1855" t="n">
        <v>9</v>
      </c>
      <c r="C1855" t="n">
        <v>3000</v>
      </c>
      <c r="D1855" s="6" t="n">
        <v>73.2</v>
      </c>
      <c r="E1855" s="6" t="n">
        <v>1106946.58</v>
      </c>
      <c r="F1855" s="6">
        <f>ROUND(E1855-E1854,2)</f>
        <v/>
      </c>
      <c r="G1855" s="6">
        <f>ROUND(F1855-D1855,2)</f>
        <v/>
      </c>
    </row>
    <row r="1856">
      <c r="A1856" t="inlineStr">
        <is>
          <t>2022-07-08</t>
        </is>
      </c>
      <c r="B1856" t="n">
        <v>10</v>
      </c>
      <c r="C1856" t="n">
        <v>3000</v>
      </c>
      <c r="D1856" s="6" t="n">
        <v>64.09999999999999</v>
      </c>
      <c r="E1856" s="6" t="n">
        <v>1107010.68</v>
      </c>
      <c r="F1856" s="6">
        <f>ROUND(E1856-E1855,2)</f>
        <v/>
      </c>
      <c r="G1856" s="6">
        <f>ROUND(F1856-D1856,2)</f>
        <v/>
      </c>
    </row>
    <row r="1857">
      <c r="A1857" t="inlineStr">
        <is>
          <t>2022-07-08</t>
        </is>
      </c>
      <c r="B1857" t="n">
        <v>11</v>
      </c>
      <c r="C1857" t="n">
        <v>3000</v>
      </c>
      <c r="D1857" s="6" t="n">
        <v>48.4</v>
      </c>
      <c r="E1857" s="6" t="n">
        <v>1107059.08</v>
      </c>
      <c r="F1857" s="6">
        <f>ROUND(E1857-E1856,2)</f>
        <v/>
      </c>
      <c r="G1857" s="6">
        <f>ROUND(F1857-D1857,2)</f>
        <v/>
      </c>
    </row>
    <row r="1858">
      <c r="A1858" t="inlineStr">
        <is>
          <t>2022-07-08</t>
        </is>
      </c>
      <c r="B1858" t="n">
        <v>12</v>
      </c>
      <c r="C1858" t="n">
        <v>3000</v>
      </c>
      <c r="D1858" s="6" t="n">
        <v>48.4</v>
      </c>
      <c r="E1858" s="6" t="n">
        <v>1107107.48</v>
      </c>
      <c r="F1858" s="6">
        <f>ROUND(E1858-E1857,2)</f>
        <v/>
      </c>
      <c r="G1858" s="6">
        <f>ROUND(F1858-D1858,2)</f>
        <v/>
      </c>
    </row>
    <row r="1859">
      <c r="A1859" t="inlineStr">
        <is>
          <t>2022-07-08</t>
        </is>
      </c>
      <c r="B1859" t="n">
        <v>13</v>
      </c>
      <c r="C1859" t="n">
        <v>3000</v>
      </c>
      <c r="D1859" s="6" t="n">
        <v>54.9</v>
      </c>
      <c r="E1859" s="6" t="n">
        <v>1107162.38</v>
      </c>
      <c r="F1859" s="6">
        <f>ROUND(E1859-E1858,2)</f>
        <v/>
      </c>
      <c r="G1859" s="6">
        <f>ROUND(F1859-D1859,2)</f>
        <v/>
      </c>
    </row>
    <row r="1860">
      <c r="A1860" t="inlineStr">
        <is>
          <t>2022-07-08</t>
        </is>
      </c>
      <c r="B1860" t="n">
        <v>14</v>
      </c>
      <c r="C1860" t="n">
        <v>3000</v>
      </c>
      <c r="D1860" s="6" t="n">
        <v>48.3</v>
      </c>
      <c r="E1860" s="6" t="n">
        <v>1107210.68</v>
      </c>
      <c r="F1860" s="6">
        <f>ROUND(E1860-E1859,2)</f>
        <v/>
      </c>
      <c r="G1860" s="6">
        <f>ROUND(F1860-D1860,2)</f>
        <v/>
      </c>
    </row>
    <row r="1861">
      <c r="A1861" t="inlineStr">
        <is>
          <t>2022-07-08</t>
        </is>
      </c>
      <c r="B1861" t="n">
        <v>15</v>
      </c>
      <c r="C1861" t="n">
        <v>3000</v>
      </c>
      <c r="D1861" s="6" t="n">
        <v>15.9</v>
      </c>
      <c r="E1861" s="6" t="n">
        <v>1107226.58</v>
      </c>
      <c r="F1861" s="6">
        <f>ROUND(E1861-E1860,2)</f>
        <v/>
      </c>
      <c r="G1861" s="6">
        <f>ROUND(F1861-D1861,2)</f>
        <v/>
      </c>
    </row>
    <row r="1862">
      <c r="A1862" t="inlineStr">
        <is>
          <t>2022-07-08</t>
        </is>
      </c>
      <c r="B1862" t="n">
        <v>16</v>
      </c>
      <c r="C1862" t="n">
        <v>3000</v>
      </c>
      <c r="D1862" s="6" t="n">
        <v>75.90000000000001</v>
      </c>
      <c r="E1862" s="6" t="n">
        <v>1107302.48</v>
      </c>
      <c r="F1862" s="6">
        <f>ROUND(E1862-E1861,2)</f>
        <v/>
      </c>
      <c r="G1862" s="6">
        <f>ROUND(F1862-D1862,2)</f>
        <v/>
      </c>
    </row>
    <row r="1863">
      <c r="A1863" t="inlineStr">
        <is>
          <t>2022-07-08</t>
        </is>
      </c>
      <c r="B1863" t="n">
        <v>17</v>
      </c>
      <c r="C1863" t="n">
        <v>3000</v>
      </c>
      <c r="D1863" s="6" t="n">
        <v>79.59999999999999</v>
      </c>
      <c r="E1863" s="6" t="n">
        <v>1107382.08</v>
      </c>
      <c r="F1863" s="6">
        <f>ROUND(E1863-E1862,2)</f>
        <v/>
      </c>
      <c r="G1863" s="6">
        <f>ROUND(F1863-D1863,2)</f>
        <v/>
      </c>
    </row>
    <row r="1864">
      <c r="A1864" t="inlineStr">
        <is>
          <t>2022-07-08</t>
        </is>
      </c>
      <c r="B1864" t="n">
        <v>18</v>
      </c>
      <c r="C1864" t="n">
        <v>3000</v>
      </c>
      <c r="D1864" s="6" t="n">
        <v>55.8</v>
      </c>
      <c r="E1864" s="6" t="n">
        <v>1107437.88</v>
      </c>
      <c r="F1864" s="6">
        <f>ROUND(E1864-E1863,2)</f>
        <v/>
      </c>
      <c r="G1864" s="6">
        <f>ROUND(F1864-D1864,2)</f>
        <v/>
      </c>
    </row>
    <row r="1865">
      <c r="A1865" t="inlineStr">
        <is>
          <t>2022-07-08</t>
        </is>
      </c>
      <c r="B1865" t="n">
        <v>19</v>
      </c>
      <c r="C1865" t="n">
        <v>3000</v>
      </c>
      <c r="D1865" s="6" t="n">
        <v>51.9</v>
      </c>
      <c r="E1865" s="6" t="n">
        <v>1107489.78</v>
      </c>
      <c r="F1865" s="6">
        <f>ROUND(E1865-E1864,2)</f>
        <v/>
      </c>
      <c r="G1865" s="6">
        <f>ROUND(F1865-D1865,2)</f>
        <v/>
      </c>
    </row>
    <row r="1866">
      <c r="A1866" t="inlineStr">
        <is>
          <t>2022-07-08</t>
        </is>
      </c>
      <c r="B1866" t="n">
        <v>20</v>
      </c>
      <c r="C1866" t="n">
        <v>3000</v>
      </c>
      <c r="D1866" s="6" t="n">
        <v>19.8</v>
      </c>
      <c r="E1866" s="6" t="n">
        <v>1107509.58</v>
      </c>
      <c r="F1866" s="6">
        <f>ROUND(E1866-E1865,2)</f>
        <v/>
      </c>
      <c r="G1866" s="6">
        <f>ROUND(F1866-D1866,2)</f>
        <v/>
      </c>
    </row>
    <row r="1867">
      <c r="A1867" t="inlineStr">
        <is>
          <t>2022-07-08</t>
        </is>
      </c>
      <c r="B1867" t="n">
        <v>21</v>
      </c>
      <c r="C1867" t="n">
        <v>3000</v>
      </c>
      <c r="D1867" s="6" t="n">
        <v>83.09999999999999</v>
      </c>
      <c r="E1867" s="6" t="n">
        <v>1107592.68</v>
      </c>
      <c r="F1867" s="6">
        <f>ROUND(E1867-E1866,2)</f>
        <v/>
      </c>
      <c r="G1867" s="6">
        <f>ROUND(F1867-D1867,2)</f>
        <v/>
      </c>
    </row>
    <row r="1868">
      <c r="A1868" t="inlineStr">
        <is>
          <t>2022-07-08</t>
        </is>
      </c>
      <c r="B1868" t="n">
        <v>22</v>
      </c>
      <c r="C1868" t="n">
        <v>3000</v>
      </c>
      <c r="D1868" s="6" t="n">
        <v>80.8</v>
      </c>
      <c r="E1868" s="6" t="n">
        <v>1107673.48</v>
      </c>
      <c r="F1868" s="6">
        <f>ROUND(E1868-E1867,2)</f>
        <v/>
      </c>
      <c r="G1868" s="6">
        <f>ROUND(F1868-D1868,2)</f>
        <v/>
      </c>
    </row>
    <row r="1869">
      <c r="A1869" t="inlineStr">
        <is>
          <t>2022-07-08</t>
        </is>
      </c>
      <c r="B1869" t="n">
        <v>23</v>
      </c>
      <c r="C1869" t="n">
        <v>3000</v>
      </c>
      <c r="D1869" s="6" t="n">
        <v>98.3</v>
      </c>
      <c r="E1869" s="6" t="n">
        <v>1107771.78</v>
      </c>
      <c r="F1869" s="6">
        <f>ROUND(E1869-E1868,2)</f>
        <v/>
      </c>
      <c r="G1869" s="6">
        <f>ROUND(F1869-D1869,2)</f>
        <v/>
      </c>
    </row>
    <row r="1870">
      <c r="A1870" t="inlineStr">
        <is>
          <t>2022-07-08</t>
        </is>
      </c>
      <c r="B1870" t="n">
        <v>24</v>
      </c>
      <c r="C1870" t="n">
        <v>3000</v>
      </c>
      <c r="D1870" s="6" t="n">
        <v>102.85</v>
      </c>
      <c r="E1870" s="6" t="n">
        <v>1107874.63</v>
      </c>
      <c r="F1870" s="6">
        <f>ROUND(E1870-E1869,2)</f>
        <v/>
      </c>
      <c r="G1870" s="6">
        <f>ROUND(F1870-D1870,2)</f>
        <v/>
      </c>
    </row>
    <row r="1871">
      <c r="A1871" t="inlineStr">
        <is>
          <t>2022-07-08</t>
        </is>
      </c>
      <c r="B1871" t="n">
        <v>25</v>
      </c>
      <c r="C1871" t="n">
        <v>3000</v>
      </c>
      <c r="D1871" s="6" t="n">
        <v>102.85</v>
      </c>
      <c r="E1871" s="6" t="n">
        <v>1107977.48</v>
      </c>
      <c r="F1871" s="6">
        <f>ROUND(E1871-E1870,2)</f>
        <v/>
      </c>
      <c r="G1871" s="6">
        <f>ROUND(F1871-D1871,2)</f>
        <v/>
      </c>
    </row>
    <row r="1872">
      <c r="A1872" t="inlineStr">
        <is>
          <t>2022-07-08</t>
        </is>
      </c>
      <c r="B1872" t="n">
        <v>26</v>
      </c>
      <c r="C1872" t="n">
        <v>3000</v>
      </c>
      <c r="D1872" s="6" t="n">
        <v>104.1</v>
      </c>
      <c r="E1872" s="6" t="n">
        <v>1108081.58</v>
      </c>
      <c r="F1872" s="6">
        <f>ROUND(E1872-E1871,2)</f>
        <v/>
      </c>
      <c r="G1872" s="6">
        <f>ROUND(F1872-D1872,2)</f>
        <v/>
      </c>
    </row>
    <row r="1873">
      <c r="A1873" t="inlineStr">
        <is>
          <t>2022-07-08</t>
        </is>
      </c>
      <c r="B1873" t="n">
        <v>27</v>
      </c>
      <c r="C1873" t="n">
        <v>3000</v>
      </c>
      <c r="D1873" s="6" t="n">
        <v>69.3</v>
      </c>
      <c r="E1873" s="6" t="n">
        <v>1108150.88</v>
      </c>
      <c r="F1873" s="6">
        <f>ROUND(E1873-E1872,2)</f>
        <v/>
      </c>
      <c r="G1873" s="6">
        <f>ROUND(F1873-D1873,2)</f>
        <v/>
      </c>
    </row>
    <row r="1874">
      <c r="A1874" t="inlineStr">
        <is>
          <t>2022-07-08</t>
        </is>
      </c>
      <c r="B1874" t="n">
        <v>28</v>
      </c>
      <c r="C1874" t="n">
        <v>3000</v>
      </c>
      <c r="D1874" s="6" t="n">
        <v>91.7</v>
      </c>
      <c r="E1874" s="6" t="n">
        <v>1108242.58</v>
      </c>
      <c r="F1874" s="6">
        <f>ROUND(E1874-E1873,2)</f>
        <v/>
      </c>
      <c r="G1874" s="6">
        <f>ROUND(F1874-D1874,2)</f>
        <v/>
      </c>
    </row>
    <row r="1875">
      <c r="A1875" t="inlineStr">
        <is>
          <t>2022-07-08</t>
        </is>
      </c>
      <c r="B1875" t="n">
        <v>29</v>
      </c>
      <c r="C1875" t="n">
        <v>3000</v>
      </c>
      <c r="D1875" s="6" t="n">
        <v>68</v>
      </c>
      <c r="E1875" s="6" t="n">
        <v>1108310.58</v>
      </c>
      <c r="F1875" s="6">
        <f>ROUND(E1875-E1874,2)</f>
        <v/>
      </c>
      <c r="G1875" s="6">
        <f>ROUND(F1875-D1875,2)</f>
        <v/>
      </c>
    </row>
    <row r="1876">
      <c r="A1876" t="inlineStr">
        <is>
          <t>2022-07-08</t>
        </is>
      </c>
      <c r="B1876" t="n">
        <v>30</v>
      </c>
      <c r="C1876" t="n">
        <v>3000</v>
      </c>
      <c r="D1876" s="6" t="n">
        <v>78.59999999999999</v>
      </c>
      <c r="E1876" s="6" t="n">
        <v>1108389.18</v>
      </c>
      <c r="F1876" s="6">
        <f>ROUND(E1876-E1875,2)</f>
        <v/>
      </c>
      <c r="G1876" s="6">
        <f>ROUND(F1876-D1876,2)</f>
        <v/>
      </c>
    </row>
    <row r="1877">
      <c r="A1877" t="inlineStr">
        <is>
          <t>2022-07-08</t>
        </is>
      </c>
      <c r="B1877" t="n">
        <v>31</v>
      </c>
      <c r="C1877" t="n">
        <v>3000</v>
      </c>
      <c r="D1877" s="6" t="n">
        <v>85.5</v>
      </c>
      <c r="E1877" s="6" t="n">
        <v>1108474.68</v>
      </c>
      <c r="F1877" s="6">
        <f>ROUND(E1877-E1876,2)</f>
        <v/>
      </c>
      <c r="G1877" s="6">
        <f>ROUND(F1877-D1877,2)</f>
        <v/>
      </c>
    </row>
    <row r="1878">
      <c r="A1878" t="inlineStr">
        <is>
          <t>2022-07-08</t>
        </is>
      </c>
      <c r="B1878" t="n">
        <v>32</v>
      </c>
      <c r="C1878" t="n">
        <v>3000</v>
      </c>
      <c r="D1878" s="6" t="n">
        <v>52.2</v>
      </c>
      <c r="E1878" s="6" t="n">
        <v>1108526.88</v>
      </c>
      <c r="F1878" s="6">
        <f>ROUND(E1878-E1877,2)</f>
        <v/>
      </c>
      <c r="G1878" s="6">
        <f>ROUND(F1878-D1878,2)</f>
        <v/>
      </c>
    </row>
    <row r="1879">
      <c r="A1879" t="inlineStr">
        <is>
          <t>2022-07-08</t>
        </is>
      </c>
      <c r="B1879" t="n">
        <v>33</v>
      </c>
      <c r="C1879" t="n">
        <v>3000</v>
      </c>
      <c r="D1879" s="6" t="n">
        <v>54.9</v>
      </c>
      <c r="E1879" s="6" t="n">
        <v>1108581.78</v>
      </c>
      <c r="F1879" s="6">
        <f>ROUND(E1879-E1878,2)</f>
        <v/>
      </c>
      <c r="G1879" s="6">
        <f>ROUND(F1879-D1879,2)</f>
        <v/>
      </c>
    </row>
    <row r="1880">
      <c r="A1880" t="inlineStr">
        <is>
          <t>2022-07-09</t>
        </is>
      </c>
      <c r="B1880" t="n">
        <v>1</v>
      </c>
      <c r="C1880" t="n">
        <v>3001</v>
      </c>
      <c r="D1880" s="6" t="n">
        <v>36.8</v>
      </c>
      <c r="E1880" s="6" t="n">
        <v>1108618.58</v>
      </c>
      <c r="F1880" s="6">
        <f>ROUND(E1880-E1879,2)</f>
        <v/>
      </c>
      <c r="G1880" s="6">
        <f>ROUND(F1880-D1880,2)</f>
        <v/>
      </c>
    </row>
    <row r="1881">
      <c r="A1881" t="inlineStr">
        <is>
          <t>2022-07-09</t>
        </is>
      </c>
      <c r="B1881" t="n">
        <v>2</v>
      </c>
      <c r="C1881" t="n">
        <v>3001</v>
      </c>
      <c r="D1881" s="6" t="n">
        <v>60.4</v>
      </c>
      <c r="E1881" s="6" t="n">
        <v>1108678.98</v>
      </c>
      <c r="F1881" s="6">
        <f>ROUND(E1881-E1880,2)</f>
        <v/>
      </c>
      <c r="G1881" s="6">
        <f>ROUND(F1881-D1881,2)</f>
        <v/>
      </c>
    </row>
    <row r="1882">
      <c r="A1882" t="inlineStr">
        <is>
          <t>2022-07-09</t>
        </is>
      </c>
      <c r="B1882" t="n">
        <v>3</v>
      </c>
      <c r="C1882" t="n">
        <v>3001</v>
      </c>
      <c r="D1882" s="6" t="n">
        <v>72.5</v>
      </c>
      <c r="E1882" s="6" t="n">
        <v>1108751.48</v>
      </c>
      <c r="F1882" s="6">
        <f>ROUND(E1882-E1881,2)</f>
        <v/>
      </c>
      <c r="G1882" s="6">
        <f>ROUND(F1882-D1882,2)</f>
        <v/>
      </c>
    </row>
    <row r="1883">
      <c r="A1883" t="inlineStr">
        <is>
          <t>2022-07-09</t>
        </is>
      </c>
      <c r="B1883" t="n">
        <v>4</v>
      </c>
      <c r="C1883" t="n">
        <v>3001</v>
      </c>
      <c r="D1883" s="6" t="n">
        <v>67.2</v>
      </c>
      <c r="E1883" s="6" t="n">
        <v>1108818.68</v>
      </c>
      <c r="F1883" s="6">
        <f>ROUND(E1883-E1882,2)</f>
        <v/>
      </c>
      <c r="G1883" s="6">
        <f>ROUND(F1883-D1883,2)</f>
        <v/>
      </c>
    </row>
    <row r="1884">
      <c r="A1884" t="inlineStr">
        <is>
          <t>2022-07-09</t>
        </is>
      </c>
      <c r="B1884" t="n">
        <v>5</v>
      </c>
      <c r="C1884" t="n">
        <v>3001</v>
      </c>
      <c r="D1884" s="6" t="n">
        <v>73.09999999999999</v>
      </c>
      <c r="E1884" s="6" t="n">
        <v>1108891.78</v>
      </c>
      <c r="F1884" s="6">
        <f>ROUND(E1884-E1883,2)</f>
        <v/>
      </c>
      <c r="G1884" s="6">
        <f>ROUND(F1884-D1884,2)</f>
        <v/>
      </c>
    </row>
    <row r="1885">
      <c r="A1885" t="inlineStr">
        <is>
          <t>2022-07-09</t>
        </is>
      </c>
      <c r="B1885" t="n">
        <v>6</v>
      </c>
      <c r="C1885" t="n">
        <v>3001</v>
      </c>
      <c r="D1885" s="6" t="n">
        <v>18.5</v>
      </c>
      <c r="E1885" s="6" t="n">
        <v>1108910.28</v>
      </c>
      <c r="F1885" s="6">
        <f>ROUND(E1885-E1884,2)</f>
        <v/>
      </c>
      <c r="G1885" s="6">
        <f>ROUND(F1885-D1885,2)</f>
        <v/>
      </c>
    </row>
    <row r="1886">
      <c r="A1886" t="inlineStr">
        <is>
          <t>2022-07-09</t>
        </is>
      </c>
      <c r="B1886" t="n">
        <v>7</v>
      </c>
      <c r="C1886" t="n">
        <v>3001</v>
      </c>
      <c r="D1886" s="6" t="n">
        <v>57</v>
      </c>
      <c r="E1886" s="6" t="n">
        <v>1108967.28</v>
      </c>
      <c r="F1886" s="6">
        <f>ROUND(E1886-E1885,2)</f>
        <v/>
      </c>
      <c r="G1886" s="6">
        <f>ROUND(F1886-D1886,2)</f>
        <v/>
      </c>
    </row>
    <row r="1887">
      <c r="A1887" t="inlineStr">
        <is>
          <t>2022-07-09</t>
        </is>
      </c>
      <c r="B1887" t="n">
        <v>8</v>
      </c>
      <c r="C1887" t="n">
        <v>3001</v>
      </c>
      <c r="D1887" s="6" t="n">
        <v>141</v>
      </c>
      <c r="E1887" s="6" t="n">
        <v>1109108.28</v>
      </c>
      <c r="F1887" s="6">
        <f>ROUND(E1887-E1886,2)</f>
        <v/>
      </c>
      <c r="G1887" s="6">
        <f>ROUND(F1887-D1887,2)</f>
        <v/>
      </c>
    </row>
    <row r="1888">
      <c r="A1888" t="inlineStr">
        <is>
          <t>2022-07-09</t>
        </is>
      </c>
      <c r="B1888" t="n">
        <v>9</v>
      </c>
      <c r="C1888" t="n">
        <v>3001</v>
      </c>
      <c r="D1888" s="6" t="n">
        <v>51.7</v>
      </c>
      <c r="E1888" s="6" t="n">
        <v>1109159.98</v>
      </c>
      <c r="F1888" s="6">
        <f>ROUND(E1888-E1887,2)</f>
        <v/>
      </c>
      <c r="G1888" s="6">
        <f>ROUND(F1888-D1888,2)</f>
        <v/>
      </c>
    </row>
    <row r="1889">
      <c r="A1889" t="inlineStr">
        <is>
          <t>2022-07-09</t>
        </is>
      </c>
      <c r="B1889" t="n">
        <v>10</v>
      </c>
      <c r="C1889" t="n">
        <v>3001</v>
      </c>
      <c r="D1889" s="6" t="n">
        <v>52.9</v>
      </c>
      <c r="E1889" s="6" t="n">
        <v>1109212.88</v>
      </c>
      <c r="F1889" s="6">
        <f>ROUND(E1889-E1888,2)</f>
        <v/>
      </c>
      <c r="G1889" s="6">
        <f>ROUND(F1889-D1889,2)</f>
        <v/>
      </c>
    </row>
    <row r="1890">
      <c r="A1890" t="inlineStr">
        <is>
          <t>2022-07-09</t>
        </is>
      </c>
      <c r="B1890" t="n">
        <v>11</v>
      </c>
      <c r="C1890" t="n">
        <v>3001</v>
      </c>
      <c r="D1890" s="6" t="n">
        <v>51.9</v>
      </c>
      <c r="E1890" s="6" t="n">
        <v>1109264.78</v>
      </c>
      <c r="F1890" s="6">
        <f>ROUND(E1890-E1889,2)</f>
        <v/>
      </c>
      <c r="G1890" s="6">
        <f>ROUND(F1890-D1890,2)</f>
        <v/>
      </c>
    </row>
    <row r="1891">
      <c r="A1891" t="inlineStr">
        <is>
          <t>2022-07-09</t>
        </is>
      </c>
      <c r="B1891" t="n">
        <v>12</v>
      </c>
      <c r="C1891" t="n">
        <v>3001</v>
      </c>
      <c r="D1891" s="6" t="n">
        <v>10.7</v>
      </c>
      <c r="E1891" s="6" t="n">
        <v>1109275.48</v>
      </c>
      <c r="F1891" s="6">
        <f>ROUND(E1891-E1890,2)</f>
        <v/>
      </c>
      <c r="G1891" s="6">
        <f>ROUND(F1891-D1891,2)</f>
        <v/>
      </c>
    </row>
    <row r="1892">
      <c r="A1892" t="inlineStr">
        <is>
          <t>2022-07-09</t>
        </is>
      </c>
      <c r="B1892" t="n">
        <v>13</v>
      </c>
      <c r="C1892" t="n">
        <v>3001</v>
      </c>
      <c r="D1892" s="6" t="n">
        <v>10.7</v>
      </c>
      <c r="E1892" s="6" t="n">
        <v>1109286.18</v>
      </c>
      <c r="F1892" s="6">
        <f>ROUND(E1892-E1891,2)</f>
        <v/>
      </c>
      <c r="G1892" s="6">
        <f>ROUND(F1892-D1892,2)</f>
        <v/>
      </c>
    </row>
    <row r="1893">
      <c r="A1893" t="inlineStr">
        <is>
          <t>2022-07-09</t>
        </is>
      </c>
      <c r="B1893" t="n">
        <v>14</v>
      </c>
      <c r="C1893" t="n">
        <v>3001</v>
      </c>
      <c r="D1893" s="6" t="n">
        <v>24.7</v>
      </c>
      <c r="E1893" s="6" t="n">
        <v>1109310.88</v>
      </c>
      <c r="F1893" s="6">
        <f>ROUND(E1893-E1892,2)</f>
        <v/>
      </c>
      <c r="G1893" s="6">
        <f>ROUND(F1893-D1893,2)</f>
        <v/>
      </c>
    </row>
    <row r="1894">
      <c r="A1894" t="inlineStr">
        <is>
          <t>2022-07-09</t>
        </is>
      </c>
      <c r="B1894" t="n">
        <v>15</v>
      </c>
      <c r="C1894" t="n">
        <v>3001</v>
      </c>
      <c r="D1894" s="6" t="n">
        <v>11.7</v>
      </c>
      <c r="E1894" s="6" t="n">
        <v>1109322.58</v>
      </c>
      <c r="F1894" s="6">
        <f>ROUND(E1894-E1893,2)</f>
        <v/>
      </c>
      <c r="G1894" s="6">
        <f>ROUND(F1894-D1894,2)</f>
        <v/>
      </c>
    </row>
    <row r="1895">
      <c r="A1895" t="inlineStr">
        <is>
          <t>2022-07-09</t>
        </is>
      </c>
      <c r="B1895" t="n">
        <v>16</v>
      </c>
      <c r="C1895" t="n">
        <v>3001</v>
      </c>
      <c r="D1895" s="6" t="n">
        <v>59.7</v>
      </c>
      <c r="E1895" s="6" t="n">
        <v>1109382.28</v>
      </c>
      <c r="F1895" s="6">
        <f>ROUND(E1895-E1894,2)</f>
        <v/>
      </c>
      <c r="G1895" s="6">
        <f>ROUND(F1895-D1895,2)</f>
        <v/>
      </c>
    </row>
    <row r="1896">
      <c r="A1896" t="inlineStr">
        <is>
          <t>2022-07-09</t>
        </is>
      </c>
      <c r="B1896" t="n">
        <v>17</v>
      </c>
      <c r="C1896" t="n">
        <v>3001</v>
      </c>
      <c r="D1896" s="6" t="n">
        <v>61.5</v>
      </c>
      <c r="E1896" s="6" t="n">
        <v>1109443.78</v>
      </c>
      <c r="F1896" s="6">
        <f>ROUND(E1896-E1895,2)</f>
        <v/>
      </c>
      <c r="G1896" s="6">
        <f>ROUND(F1896-D1896,2)</f>
        <v/>
      </c>
    </row>
    <row r="1897">
      <c r="A1897" t="inlineStr">
        <is>
          <t>2022-07-09</t>
        </is>
      </c>
      <c r="B1897" t="n">
        <v>18</v>
      </c>
      <c r="C1897" t="n">
        <v>3001</v>
      </c>
      <c r="D1897" s="6" t="n">
        <v>45.3</v>
      </c>
      <c r="E1897" s="6" t="n">
        <v>1109489.08</v>
      </c>
      <c r="F1897" s="6">
        <f>ROUND(E1897-E1896,2)</f>
        <v/>
      </c>
      <c r="G1897" s="6">
        <f>ROUND(F1897-D1897,2)</f>
        <v/>
      </c>
    </row>
    <row r="1898">
      <c r="A1898" t="inlineStr">
        <is>
          <t>2022-07-09</t>
        </is>
      </c>
      <c r="B1898" t="n">
        <v>19</v>
      </c>
      <c r="C1898" t="n">
        <v>3001</v>
      </c>
      <c r="D1898" s="6" t="n">
        <v>52.2</v>
      </c>
      <c r="E1898" s="6" t="n">
        <v>1109541.28</v>
      </c>
      <c r="F1898" s="6">
        <f>ROUND(E1898-E1897,2)</f>
        <v/>
      </c>
      <c r="G1898" s="6">
        <f>ROUND(F1898-D1898,2)</f>
        <v/>
      </c>
    </row>
    <row r="1899">
      <c r="A1899" t="inlineStr">
        <is>
          <t>2022-07-09</t>
        </is>
      </c>
      <c r="B1899" t="n">
        <v>20</v>
      </c>
      <c r="C1899" t="n">
        <v>3001</v>
      </c>
      <c r="D1899" s="6" t="n">
        <v>55.4</v>
      </c>
      <c r="E1899" s="6" t="n">
        <v>1109596.68</v>
      </c>
      <c r="F1899" s="6">
        <f>ROUND(E1899-E1898,2)</f>
        <v/>
      </c>
      <c r="G1899" s="6">
        <f>ROUND(F1899-D1899,2)</f>
        <v/>
      </c>
    </row>
    <row r="1900">
      <c r="A1900" t="inlineStr">
        <is>
          <t>2022-07-09</t>
        </is>
      </c>
      <c r="B1900" t="n">
        <v>21</v>
      </c>
      <c r="C1900" t="n">
        <v>3001</v>
      </c>
      <c r="D1900" s="6" t="n">
        <v>22.1</v>
      </c>
      <c r="E1900" s="6" t="n">
        <v>1109618.78</v>
      </c>
      <c r="F1900" s="6">
        <f>ROUND(E1900-E1899,2)</f>
        <v/>
      </c>
      <c r="G1900" s="6">
        <f>ROUND(F1900-D1900,2)</f>
        <v/>
      </c>
    </row>
    <row r="1901">
      <c r="A1901" t="inlineStr">
        <is>
          <t>2022-07-09</t>
        </is>
      </c>
      <c r="B1901" t="n">
        <v>22</v>
      </c>
      <c r="C1901" t="n">
        <v>3001</v>
      </c>
      <c r="D1901" s="6" t="n">
        <v>80.7</v>
      </c>
      <c r="E1901" s="6" t="n">
        <v>1109699.48</v>
      </c>
      <c r="F1901" s="6">
        <f>ROUND(E1901-E1900,2)</f>
        <v/>
      </c>
      <c r="G1901" s="6">
        <f>ROUND(F1901-D1901,2)</f>
        <v/>
      </c>
    </row>
    <row r="1902">
      <c r="A1902" t="inlineStr">
        <is>
          <t>2022-07-09</t>
        </is>
      </c>
      <c r="B1902" t="n">
        <v>23</v>
      </c>
      <c r="C1902" t="n">
        <v>3001</v>
      </c>
      <c r="D1902" s="6" t="n">
        <v>44.1</v>
      </c>
      <c r="E1902" s="6" t="n">
        <v>1109743.58</v>
      </c>
      <c r="F1902" s="6">
        <f>ROUND(E1902-E1901,2)</f>
        <v/>
      </c>
      <c r="G1902" s="6">
        <f>ROUND(F1902-D1902,2)</f>
        <v/>
      </c>
    </row>
    <row r="1903">
      <c r="A1903" t="inlineStr">
        <is>
          <t>2022-07-09</t>
        </is>
      </c>
      <c r="B1903" t="n">
        <v>24</v>
      </c>
      <c r="C1903" t="n">
        <v>3001</v>
      </c>
      <c r="D1903" s="6" t="n">
        <v>43.7</v>
      </c>
      <c r="E1903" s="6" t="n">
        <v>1109787.28</v>
      </c>
      <c r="F1903" s="6">
        <f>ROUND(E1903-E1902,2)</f>
        <v/>
      </c>
      <c r="G1903" s="6">
        <f>ROUND(F1903-D1903,2)</f>
        <v/>
      </c>
    </row>
    <row r="1904">
      <c r="A1904" t="inlineStr">
        <is>
          <t>2022-07-09</t>
        </is>
      </c>
      <c r="B1904" t="n">
        <v>25</v>
      </c>
      <c r="C1904" t="n">
        <v>3001</v>
      </c>
      <c r="D1904" s="6" t="n">
        <v>43.75</v>
      </c>
      <c r="E1904" s="6" t="n">
        <v>1109831.03</v>
      </c>
      <c r="F1904" s="6">
        <f>ROUND(E1904-E1903,2)</f>
        <v/>
      </c>
      <c r="G1904" s="6">
        <f>ROUND(F1904-D1904,2)</f>
        <v/>
      </c>
    </row>
    <row r="1905">
      <c r="A1905" t="inlineStr">
        <is>
          <t>2022-07-09</t>
        </is>
      </c>
      <c r="B1905" t="n">
        <v>26</v>
      </c>
      <c r="C1905" t="n">
        <v>3001</v>
      </c>
      <c r="D1905" s="6" t="n">
        <v>43.75</v>
      </c>
      <c r="E1905" s="6" t="n">
        <v>1109874.78</v>
      </c>
      <c r="F1905" s="6">
        <f>ROUND(E1905-E1904,2)</f>
        <v/>
      </c>
      <c r="G1905" s="6">
        <f>ROUND(F1905-D1905,2)</f>
        <v/>
      </c>
    </row>
    <row r="1906">
      <c r="A1906" t="inlineStr">
        <is>
          <t>2022-07-09</t>
        </is>
      </c>
      <c r="B1906" t="n">
        <v>27</v>
      </c>
      <c r="C1906" t="n">
        <v>3001</v>
      </c>
      <c r="D1906" s="6" t="n">
        <v>13</v>
      </c>
      <c r="E1906" s="6" t="n">
        <v>1109887.78</v>
      </c>
      <c r="F1906" s="6">
        <f>ROUND(E1906-E1905,2)</f>
        <v/>
      </c>
      <c r="G1906" s="6">
        <f>ROUND(F1906-D1906,2)</f>
        <v/>
      </c>
    </row>
    <row r="1907">
      <c r="A1907" t="inlineStr">
        <is>
          <t>2022-07-09</t>
        </is>
      </c>
      <c r="B1907" t="n">
        <v>28</v>
      </c>
      <c r="C1907" t="n">
        <v>3001</v>
      </c>
      <c r="D1907" s="6" t="n">
        <v>13</v>
      </c>
      <c r="E1907" s="6" t="n">
        <v>1109900.78</v>
      </c>
      <c r="F1907" s="6">
        <f>ROUND(E1907-E1906,2)</f>
        <v/>
      </c>
      <c r="G1907" s="6">
        <f>ROUND(F1907-D1907,2)</f>
        <v/>
      </c>
    </row>
    <row r="1908">
      <c r="A1908" t="inlineStr">
        <is>
          <t>2022-07-09</t>
        </is>
      </c>
      <c r="B1908" t="n">
        <v>29</v>
      </c>
      <c r="C1908" t="n">
        <v>3001</v>
      </c>
      <c r="D1908" s="6" t="n">
        <v>28.1</v>
      </c>
      <c r="E1908" s="6" t="n">
        <v>1109928.88</v>
      </c>
      <c r="F1908" s="6">
        <f>ROUND(E1908-E1907,2)</f>
        <v/>
      </c>
      <c r="G1908" s="6">
        <f>ROUND(F1908-D1908,2)</f>
        <v/>
      </c>
    </row>
    <row r="1909">
      <c r="A1909" t="inlineStr">
        <is>
          <t>2022-07-09</t>
        </is>
      </c>
      <c r="B1909" t="n">
        <v>30</v>
      </c>
      <c r="C1909" t="n">
        <v>3001</v>
      </c>
      <c r="D1909" s="6" t="n">
        <v>58.1</v>
      </c>
      <c r="E1909" s="6" t="n">
        <v>1109986.98</v>
      </c>
      <c r="F1909" s="6">
        <f>ROUND(E1909-E1908,2)</f>
        <v/>
      </c>
      <c r="G1909" s="6">
        <f>ROUND(F1909-D1909,2)</f>
        <v/>
      </c>
    </row>
    <row r="1910">
      <c r="A1910" t="inlineStr">
        <is>
          <t>2022-07-09</t>
        </is>
      </c>
      <c r="B1910" t="n">
        <v>31</v>
      </c>
      <c r="C1910" t="n">
        <v>3001</v>
      </c>
      <c r="D1910" s="6" t="n">
        <v>59.3</v>
      </c>
      <c r="E1910" s="6" t="n">
        <v>1110046.28</v>
      </c>
      <c r="F1910" s="6">
        <f>ROUND(E1910-E1909,2)</f>
        <v/>
      </c>
      <c r="G1910" s="6">
        <f>ROUND(F1910-D1910,2)</f>
        <v/>
      </c>
    </row>
    <row r="1911">
      <c r="A1911" t="inlineStr">
        <is>
          <t>2022-07-09</t>
        </is>
      </c>
      <c r="B1911" t="n">
        <v>32</v>
      </c>
      <c r="C1911" t="n">
        <v>3001</v>
      </c>
      <c r="D1911" s="6" t="n">
        <v>89.40000000000001</v>
      </c>
      <c r="E1911" s="6" t="n">
        <v>1110135.68</v>
      </c>
      <c r="F1911" s="6">
        <f>ROUND(E1911-E1910,2)</f>
        <v/>
      </c>
      <c r="G1911" s="6">
        <f>ROUND(F1911-D1911,2)</f>
        <v/>
      </c>
    </row>
    <row r="1912">
      <c r="A1912" t="inlineStr">
        <is>
          <t>2022-07-09</t>
        </is>
      </c>
      <c r="B1912" t="n">
        <v>33</v>
      </c>
      <c r="C1912" t="n">
        <v>3001</v>
      </c>
      <c r="D1912" s="6" t="n">
        <v>54.2</v>
      </c>
      <c r="E1912" s="6" t="n">
        <v>1110189.88</v>
      </c>
      <c r="F1912" s="6">
        <f>ROUND(E1912-E1911,2)</f>
        <v/>
      </c>
      <c r="G1912" s="6">
        <f>ROUND(F1912-D1912,2)</f>
        <v/>
      </c>
    </row>
    <row r="1913">
      <c r="A1913" t="inlineStr">
        <is>
          <t>2022-07-09</t>
        </is>
      </c>
      <c r="B1913" t="n">
        <v>34</v>
      </c>
      <c r="C1913" t="n">
        <v>3001</v>
      </c>
      <c r="D1913" s="6" t="n">
        <v>69.2</v>
      </c>
      <c r="E1913" s="6" t="n">
        <v>1110259.08</v>
      </c>
      <c r="F1913" s="6">
        <f>ROUND(E1913-E1912,2)</f>
        <v/>
      </c>
      <c r="G1913" s="6">
        <f>ROUND(F1913-D1913,2)</f>
        <v/>
      </c>
    </row>
    <row r="1914">
      <c r="A1914" t="inlineStr">
        <is>
          <t>2022-07-09</t>
        </is>
      </c>
      <c r="B1914" t="n">
        <v>35</v>
      </c>
      <c r="C1914" t="n">
        <v>3001</v>
      </c>
      <c r="D1914" s="6" t="n">
        <v>68.09999999999999</v>
      </c>
      <c r="E1914" s="6" t="n">
        <v>1110327.18</v>
      </c>
      <c r="F1914" s="6">
        <f>ROUND(E1914-E1913,2)</f>
        <v/>
      </c>
      <c r="G1914" s="6">
        <f>ROUND(F1914-D1914,2)</f>
        <v/>
      </c>
    </row>
    <row r="1915">
      <c r="A1915" t="inlineStr">
        <is>
          <t>2022-07-09</t>
        </is>
      </c>
      <c r="B1915" t="n">
        <v>36</v>
      </c>
      <c r="C1915" t="n">
        <v>3001</v>
      </c>
      <c r="D1915" s="6" t="n">
        <v>47.5</v>
      </c>
      <c r="E1915" s="6" t="n">
        <v>1110374.68</v>
      </c>
      <c r="F1915" s="6">
        <f>ROUND(E1915-E1914,2)</f>
        <v/>
      </c>
      <c r="G1915" s="6">
        <f>ROUND(F1915-D1915,2)</f>
        <v/>
      </c>
    </row>
    <row r="1916">
      <c r="A1916" t="inlineStr">
        <is>
          <t>2022-07-09</t>
        </is>
      </c>
      <c r="B1916" t="n">
        <v>37</v>
      </c>
      <c r="C1916" t="n">
        <v>3001</v>
      </c>
      <c r="D1916" s="6" t="n">
        <v>89.59999999999999</v>
      </c>
      <c r="E1916" s="6" t="n">
        <v>1110464.28</v>
      </c>
      <c r="F1916" s="6">
        <f>ROUND(E1916-E1915,2)</f>
        <v/>
      </c>
      <c r="G1916" s="6">
        <f>ROUND(F1916-D1916,2)</f>
        <v/>
      </c>
    </row>
    <row r="1917">
      <c r="A1917" t="inlineStr">
        <is>
          <t>2022-07-09</t>
        </is>
      </c>
      <c r="B1917" t="n">
        <v>38</v>
      </c>
      <c r="C1917" t="n">
        <v>3001</v>
      </c>
      <c r="D1917" s="6" t="n">
        <v>122.2</v>
      </c>
      <c r="E1917" s="6" t="n">
        <v>1110586.48</v>
      </c>
      <c r="F1917" s="6">
        <f>ROUND(E1917-E1916,2)</f>
        <v/>
      </c>
      <c r="G1917" s="6">
        <f>ROUND(F1917-D1917,2)</f>
        <v/>
      </c>
    </row>
    <row r="1918">
      <c r="A1918" t="inlineStr">
        <is>
          <t>2022-07-09</t>
        </is>
      </c>
      <c r="B1918" t="n">
        <v>39</v>
      </c>
      <c r="C1918" t="n">
        <v>3001</v>
      </c>
      <c r="D1918" s="6" t="n">
        <v>23.7</v>
      </c>
      <c r="E1918" s="6" t="n">
        <v>1110610.18</v>
      </c>
      <c r="F1918" s="6">
        <f>ROUND(E1918-E1917,2)</f>
        <v/>
      </c>
      <c r="G1918" s="6">
        <f>ROUND(F1918-D1918,2)</f>
        <v/>
      </c>
    </row>
    <row r="1919">
      <c r="A1919" t="inlineStr">
        <is>
          <t>2022-07-09</t>
        </is>
      </c>
      <c r="B1919" t="n">
        <v>40</v>
      </c>
      <c r="C1919" t="n">
        <v>3001</v>
      </c>
      <c r="D1919" s="6" t="n">
        <v>19.8</v>
      </c>
      <c r="E1919" s="6" t="n">
        <v>1110629.98</v>
      </c>
      <c r="F1919" s="6">
        <f>ROUND(E1919-E1918,2)</f>
        <v/>
      </c>
      <c r="G1919" s="6">
        <f>ROUND(F1919-D1919,2)</f>
        <v/>
      </c>
    </row>
    <row r="1920">
      <c r="A1920" t="inlineStr">
        <is>
          <t>2022-07-09</t>
        </is>
      </c>
      <c r="B1920" t="n">
        <v>41</v>
      </c>
      <c r="C1920" t="n">
        <v>3001</v>
      </c>
      <c r="D1920" s="6" t="n">
        <v>106.7</v>
      </c>
      <c r="E1920" s="6" t="n">
        <v>1110736.68</v>
      </c>
      <c r="F1920" s="6">
        <f>ROUND(E1920-E1919,2)</f>
        <v/>
      </c>
      <c r="G1920" s="6">
        <f>ROUND(F1920-D1920,2)</f>
        <v/>
      </c>
    </row>
    <row r="1921">
      <c r="A1921" t="inlineStr">
        <is>
          <t>2022-07-09</t>
        </is>
      </c>
      <c r="B1921" t="n">
        <v>42</v>
      </c>
      <c r="C1921" t="n">
        <v>3001</v>
      </c>
      <c r="D1921" s="6" t="n">
        <v>129.3</v>
      </c>
      <c r="E1921" s="6" t="n">
        <v>1110865.98</v>
      </c>
      <c r="F1921" s="6">
        <f>ROUND(E1921-E1920,2)</f>
        <v/>
      </c>
      <c r="G1921" s="6">
        <f>ROUND(F1921-D1921,2)</f>
        <v/>
      </c>
    </row>
    <row r="1922">
      <c r="A1922" t="inlineStr">
        <is>
          <t>2022-07-09</t>
        </is>
      </c>
      <c r="B1922" t="n">
        <v>43</v>
      </c>
      <c r="C1922" t="n">
        <v>3001</v>
      </c>
      <c r="D1922" s="6" t="n">
        <v>91.2</v>
      </c>
      <c r="E1922" s="6" t="n">
        <v>1110957.18</v>
      </c>
      <c r="F1922" s="6">
        <f>ROUND(E1922-E1921,2)</f>
        <v/>
      </c>
      <c r="G1922" s="6">
        <f>ROUND(F1922-D1922,2)</f>
        <v/>
      </c>
    </row>
    <row r="1923">
      <c r="A1923" t="inlineStr">
        <is>
          <t>2022-07-09</t>
        </is>
      </c>
      <c r="B1923" t="n">
        <v>44</v>
      </c>
      <c r="C1923" t="n">
        <v>3001</v>
      </c>
      <c r="D1923" s="6" t="n">
        <v>67.40000000000001</v>
      </c>
      <c r="E1923" s="6" t="n">
        <v>1111024.58</v>
      </c>
      <c r="F1923" s="6">
        <f>ROUND(E1923-E1922,2)</f>
        <v/>
      </c>
      <c r="G1923" s="6">
        <f>ROUND(F1923-D1923,2)</f>
        <v/>
      </c>
    </row>
    <row r="1924">
      <c r="A1924" t="inlineStr">
        <is>
          <t>2022-07-09</t>
        </is>
      </c>
      <c r="B1924" t="n">
        <v>45</v>
      </c>
      <c r="C1924" t="n">
        <v>3001</v>
      </c>
      <c r="D1924" s="6" t="n">
        <v>115.3</v>
      </c>
      <c r="E1924" s="6" t="n">
        <v>1111139.88</v>
      </c>
      <c r="F1924" s="6">
        <f>ROUND(E1924-E1923,2)</f>
        <v/>
      </c>
      <c r="G1924" s="6">
        <f>ROUND(F1924-D1924,2)</f>
        <v/>
      </c>
    </row>
    <row r="1925">
      <c r="A1925" t="inlineStr">
        <is>
          <t>2022-07-09</t>
        </is>
      </c>
      <c r="B1925" t="n">
        <v>46</v>
      </c>
      <c r="C1925" t="n">
        <v>3001</v>
      </c>
      <c r="D1925" s="6" t="n">
        <v>45.7</v>
      </c>
      <c r="E1925" s="6" t="n">
        <v>1111185.58</v>
      </c>
      <c r="F1925" s="6">
        <f>ROUND(E1925-E1924,2)</f>
        <v/>
      </c>
      <c r="G1925" s="6">
        <f>ROUND(F1925-D1925,2)</f>
        <v/>
      </c>
    </row>
    <row r="1926">
      <c r="A1926" t="inlineStr">
        <is>
          <t>2022-07-09</t>
        </is>
      </c>
      <c r="B1926" t="n">
        <v>47</v>
      </c>
      <c r="C1926" t="n">
        <v>3001</v>
      </c>
      <c r="D1926" s="6" t="n">
        <v>68.5</v>
      </c>
      <c r="E1926" s="6" t="n">
        <v>1111254.08</v>
      </c>
      <c r="F1926" s="6">
        <f>ROUND(E1926-E1925,2)</f>
        <v/>
      </c>
      <c r="G1926" s="6">
        <f>ROUND(F1926-D1926,2)</f>
        <v/>
      </c>
    </row>
    <row r="1927">
      <c r="A1927" t="inlineStr">
        <is>
          <t>2022-07-09</t>
        </is>
      </c>
      <c r="B1927" t="n">
        <v>48</v>
      </c>
      <c r="C1927" t="n">
        <v>3001</v>
      </c>
      <c r="D1927" s="6" t="n">
        <v>148.4</v>
      </c>
      <c r="E1927" s="6" t="n">
        <v>1111402.48</v>
      </c>
      <c r="F1927" s="6">
        <f>ROUND(E1927-E1926,2)</f>
        <v/>
      </c>
      <c r="G1927" s="6">
        <f>ROUND(F1927-D1927,2)</f>
        <v/>
      </c>
    </row>
    <row r="1928">
      <c r="A1928" t="inlineStr">
        <is>
          <t>2022-07-09</t>
        </is>
      </c>
      <c r="B1928" t="n">
        <v>49</v>
      </c>
      <c r="C1928" t="n">
        <v>3001</v>
      </c>
      <c r="D1928" s="6" t="n">
        <v>49</v>
      </c>
      <c r="E1928" s="6" t="n">
        <v>1111451.48</v>
      </c>
      <c r="F1928" s="6">
        <f>ROUND(E1928-E1927,2)</f>
        <v/>
      </c>
      <c r="G1928" s="6">
        <f>ROUND(F1928-D1928,2)</f>
        <v/>
      </c>
    </row>
    <row r="1929">
      <c r="A1929" t="inlineStr">
        <is>
          <t>2022-07-09</t>
        </is>
      </c>
      <c r="B1929" t="n">
        <v>50</v>
      </c>
      <c r="C1929" t="n">
        <v>3001</v>
      </c>
      <c r="D1929" s="6" t="n">
        <v>69.90000000000001</v>
      </c>
      <c r="E1929" s="6" t="n">
        <v>1111521.38</v>
      </c>
      <c r="F1929" s="6">
        <f>ROUND(E1929-E1928,2)</f>
        <v/>
      </c>
      <c r="G1929" s="6">
        <f>ROUND(F1929-D1929,2)</f>
        <v/>
      </c>
    </row>
    <row r="1930">
      <c r="A1930" t="inlineStr">
        <is>
          <t>2022-07-09</t>
        </is>
      </c>
      <c r="B1930" t="n">
        <v>51</v>
      </c>
      <c r="C1930" t="n">
        <v>3001</v>
      </c>
      <c r="D1930" s="6" t="n">
        <v>69.90000000000001</v>
      </c>
      <c r="E1930" s="6" t="n">
        <v>1111591.28</v>
      </c>
      <c r="F1930" s="6">
        <f>ROUND(E1930-E1929,2)</f>
        <v/>
      </c>
      <c r="G1930" s="6">
        <f>ROUND(F1930-D1930,2)</f>
        <v/>
      </c>
    </row>
    <row r="1931">
      <c r="A1931" t="inlineStr">
        <is>
          <t>2022-07-09</t>
        </is>
      </c>
      <c r="B1931" t="n">
        <v>52</v>
      </c>
      <c r="C1931" t="n">
        <v>3001</v>
      </c>
      <c r="D1931" s="6" t="n">
        <v>91</v>
      </c>
      <c r="E1931" s="6" t="n">
        <v>1111682.28</v>
      </c>
      <c r="F1931" s="6">
        <f>ROUND(E1931-E1930,2)</f>
        <v/>
      </c>
      <c r="G1931" s="6">
        <f>ROUND(F1931-D1931,2)</f>
        <v/>
      </c>
    </row>
    <row r="1932">
      <c r="A1932" t="inlineStr">
        <is>
          <t>2022-07-09</t>
        </is>
      </c>
      <c r="B1932" t="n">
        <v>53</v>
      </c>
      <c r="C1932" t="n">
        <v>3001</v>
      </c>
      <c r="D1932" s="6" t="n">
        <v>40</v>
      </c>
      <c r="E1932" s="6" t="n">
        <v>1111722.28</v>
      </c>
      <c r="F1932" s="6">
        <f>ROUND(E1932-E1931,2)</f>
        <v/>
      </c>
      <c r="G1932" s="6">
        <f>ROUND(F1932-D1932,2)</f>
        <v/>
      </c>
    </row>
    <row r="1933">
      <c r="A1933" t="inlineStr">
        <is>
          <t>2022-07-09</t>
        </is>
      </c>
      <c r="B1933" t="n">
        <v>54</v>
      </c>
      <c r="C1933" t="n">
        <v>3001</v>
      </c>
      <c r="D1933" s="6" t="n">
        <v>35.8</v>
      </c>
      <c r="E1933" s="6" t="n">
        <v>1111758.08</v>
      </c>
      <c r="F1933" s="6">
        <f>ROUND(E1933-E1932,2)</f>
        <v/>
      </c>
      <c r="G1933" s="6">
        <f>ROUND(F1933-D1933,2)</f>
        <v/>
      </c>
    </row>
    <row r="1934">
      <c r="A1934" t="inlineStr">
        <is>
          <t>2022-07-09</t>
        </is>
      </c>
      <c r="B1934" t="n">
        <v>55</v>
      </c>
      <c r="C1934" t="n">
        <v>3001</v>
      </c>
      <c r="D1934" s="6" t="n">
        <v>89</v>
      </c>
      <c r="E1934" s="6" t="n">
        <v>1111847.08</v>
      </c>
      <c r="F1934" s="6">
        <f>ROUND(E1934-E1933,2)</f>
        <v/>
      </c>
      <c r="G1934" s="6">
        <f>ROUND(F1934-D1934,2)</f>
        <v/>
      </c>
    </row>
    <row r="1935">
      <c r="A1935" t="inlineStr">
        <is>
          <t>2022-07-09</t>
        </is>
      </c>
      <c r="B1935" t="n">
        <v>56</v>
      </c>
      <c r="C1935" t="n">
        <v>3001</v>
      </c>
      <c r="D1935" s="6" t="n">
        <v>117.8</v>
      </c>
      <c r="E1935" s="6" t="n">
        <v>1111964.88</v>
      </c>
      <c r="F1935" s="6">
        <f>ROUND(E1935-E1934,2)</f>
        <v/>
      </c>
      <c r="G1935" s="6">
        <f>ROUND(F1935-D1935,2)</f>
        <v/>
      </c>
    </row>
    <row r="1936">
      <c r="A1936" t="inlineStr">
        <is>
          <t>2022-07-09</t>
        </is>
      </c>
      <c r="B1936" t="n">
        <v>57</v>
      </c>
      <c r="C1936" t="n">
        <v>3001</v>
      </c>
      <c r="D1936" s="6" t="n">
        <v>82.09999999999999</v>
      </c>
      <c r="E1936" s="6" t="n">
        <v>1112046.98</v>
      </c>
      <c r="F1936" s="6">
        <f>ROUND(E1936-E1935,2)</f>
        <v/>
      </c>
      <c r="G1936" s="6">
        <f>ROUND(F1936-D1936,2)</f>
        <v/>
      </c>
    </row>
    <row r="1937">
      <c r="A1937" t="inlineStr">
        <is>
          <t>2022-07-10</t>
        </is>
      </c>
      <c r="B1937" t="n">
        <v>1</v>
      </c>
      <c r="C1937" t="n">
        <v>3002</v>
      </c>
      <c r="D1937" s="6" t="n">
        <v>46.1</v>
      </c>
      <c r="E1937" s="6" t="n">
        <v>1112093.08</v>
      </c>
      <c r="F1937" s="6">
        <f>ROUND(E1937-E1936,2)</f>
        <v/>
      </c>
      <c r="G1937" s="6">
        <f>ROUND(F1937-D1937,2)</f>
        <v/>
      </c>
    </row>
    <row r="1938">
      <c r="A1938" t="inlineStr">
        <is>
          <t>2022-07-10</t>
        </is>
      </c>
      <c r="B1938" t="n">
        <v>2</v>
      </c>
      <c r="C1938" t="n">
        <v>3002</v>
      </c>
      <c r="D1938" s="6" t="n">
        <v>54.9</v>
      </c>
      <c r="E1938" s="6" t="n">
        <v>1112147.98</v>
      </c>
      <c r="F1938" s="6">
        <f>ROUND(E1938-E1937,2)</f>
        <v/>
      </c>
      <c r="G1938" s="6">
        <f>ROUND(F1938-D1938,2)</f>
        <v/>
      </c>
    </row>
    <row r="1939">
      <c r="A1939" t="inlineStr">
        <is>
          <t>2022-07-10</t>
        </is>
      </c>
      <c r="B1939" t="n">
        <v>3</v>
      </c>
      <c r="C1939" t="n">
        <v>3002</v>
      </c>
      <c r="D1939" s="6" t="n">
        <v>62.9</v>
      </c>
      <c r="E1939" s="6" t="n">
        <v>1112210.88</v>
      </c>
      <c r="F1939" s="6">
        <f>ROUND(E1939-E1938,2)</f>
        <v/>
      </c>
      <c r="G1939" s="6">
        <f>ROUND(F1939-D1939,2)</f>
        <v/>
      </c>
    </row>
    <row r="1940">
      <c r="A1940" t="inlineStr">
        <is>
          <t>2022-07-10</t>
        </is>
      </c>
      <c r="B1940" t="n">
        <v>4</v>
      </c>
      <c r="C1940" t="n">
        <v>3002</v>
      </c>
      <c r="D1940" s="6" t="n">
        <v>30.4</v>
      </c>
      <c r="E1940" s="6" t="n">
        <v>1112241.28</v>
      </c>
      <c r="F1940" s="6">
        <f>ROUND(E1940-E1939,2)</f>
        <v/>
      </c>
      <c r="G1940" s="6">
        <f>ROUND(F1940-D1940,2)</f>
        <v/>
      </c>
    </row>
    <row r="1941">
      <c r="A1941" t="inlineStr">
        <is>
          <t>2022-07-10</t>
        </is>
      </c>
      <c r="B1941" t="n">
        <v>5</v>
      </c>
      <c r="C1941" t="n">
        <v>3002</v>
      </c>
      <c r="D1941" s="6" t="n">
        <v>79.40000000000001</v>
      </c>
      <c r="E1941" s="6" t="n">
        <v>1112320.68</v>
      </c>
      <c r="F1941" s="6">
        <f>ROUND(E1941-E1940,2)</f>
        <v/>
      </c>
      <c r="G1941" s="6">
        <f>ROUND(F1941-D1941,2)</f>
        <v/>
      </c>
    </row>
    <row r="1942">
      <c r="A1942" t="inlineStr">
        <is>
          <t>2022-07-10</t>
        </is>
      </c>
      <c r="B1942" t="n">
        <v>6</v>
      </c>
      <c r="C1942" t="n">
        <v>3002</v>
      </c>
      <c r="D1942" s="6" t="n">
        <v>57.2</v>
      </c>
      <c r="E1942" s="6" t="n">
        <v>1112377.88</v>
      </c>
      <c r="F1942" s="6">
        <f>ROUND(E1942-E1941,2)</f>
        <v/>
      </c>
      <c r="G1942" s="6">
        <f>ROUND(F1942-D1942,2)</f>
        <v/>
      </c>
    </row>
    <row r="1943">
      <c r="A1943" t="inlineStr">
        <is>
          <t>2022-07-10</t>
        </is>
      </c>
      <c r="B1943" t="n">
        <v>7</v>
      </c>
      <c r="C1943" t="n">
        <v>3002</v>
      </c>
      <c r="D1943" s="6" t="n">
        <v>24.9</v>
      </c>
      <c r="E1943" s="6" t="n">
        <v>1112402.78</v>
      </c>
      <c r="F1943" s="6">
        <f>ROUND(E1943-E1942,2)</f>
        <v/>
      </c>
      <c r="G1943" s="6">
        <f>ROUND(F1943-D1943,2)</f>
        <v/>
      </c>
    </row>
    <row r="1944">
      <c r="A1944" t="inlineStr">
        <is>
          <t>2022-07-10</t>
        </is>
      </c>
      <c r="B1944" t="n">
        <v>8</v>
      </c>
      <c r="C1944" t="n">
        <v>3002</v>
      </c>
      <c r="D1944" s="6" t="n">
        <v>24.9</v>
      </c>
      <c r="E1944" s="6" t="n">
        <v>1112427.68</v>
      </c>
      <c r="F1944" s="6">
        <f>ROUND(E1944-E1943,2)</f>
        <v/>
      </c>
      <c r="G1944" s="6">
        <f>ROUND(F1944-D1944,2)</f>
        <v/>
      </c>
    </row>
    <row r="1945">
      <c r="A1945" t="inlineStr">
        <is>
          <t>2022-07-10</t>
        </is>
      </c>
      <c r="B1945" t="n">
        <v>9</v>
      </c>
      <c r="C1945" t="n">
        <v>3002</v>
      </c>
      <c r="D1945" s="6" t="n">
        <v>138.6</v>
      </c>
      <c r="E1945" s="6" t="n">
        <v>1112566.28</v>
      </c>
      <c r="F1945" s="6">
        <f>ROUND(E1945-E1944,2)</f>
        <v/>
      </c>
      <c r="G1945" s="6">
        <f>ROUND(F1945-D1945,2)</f>
        <v/>
      </c>
    </row>
    <row r="1946">
      <c r="A1946" t="inlineStr">
        <is>
          <t>2022-07-10</t>
        </is>
      </c>
      <c r="B1946" t="n">
        <v>10</v>
      </c>
      <c r="C1946" t="n">
        <v>3002</v>
      </c>
      <c r="D1946" s="6" t="n">
        <v>88.90000000000001</v>
      </c>
      <c r="E1946" s="6" t="n">
        <v>1112655.18</v>
      </c>
      <c r="F1946" s="6">
        <f>ROUND(E1946-E1945,2)</f>
        <v/>
      </c>
      <c r="G1946" s="6">
        <f>ROUND(F1946-D1946,2)</f>
        <v/>
      </c>
    </row>
    <row r="1947">
      <c r="A1947" t="inlineStr">
        <is>
          <t>2022-07-10</t>
        </is>
      </c>
      <c r="B1947" t="n">
        <v>11</v>
      </c>
      <c r="C1947" t="n">
        <v>3002</v>
      </c>
      <c r="D1947" s="6" t="n">
        <v>80.09999999999999</v>
      </c>
      <c r="E1947" s="6" t="n">
        <v>1112735.28</v>
      </c>
      <c r="F1947" s="6">
        <f>ROUND(E1947-E1946,2)</f>
        <v/>
      </c>
      <c r="G1947" s="6">
        <f>ROUND(F1947-D1947,2)</f>
        <v/>
      </c>
    </row>
    <row r="1948">
      <c r="A1948" t="inlineStr">
        <is>
          <t>2022-07-10</t>
        </is>
      </c>
      <c r="B1948" t="n">
        <v>12</v>
      </c>
      <c r="C1948" t="n">
        <v>3002</v>
      </c>
      <c r="D1948" s="6" t="n">
        <v>135</v>
      </c>
      <c r="E1948" s="6" t="n">
        <v>1112870.28</v>
      </c>
      <c r="F1948" s="6">
        <f>ROUND(E1948-E1947,2)</f>
        <v/>
      </c>
      <c r="G1948" s="6">
        <f>ROUND(F1948-D1948,2)</f>
        <v/>
      </c>
    </row>
    <row r="1949">
      <c r="A1949" t="inlineStr">
        <is>
          <t>2022-07-10</t>
        </is>
      </c>
      <c r="B1949" t="n">
        <v>13</v>
      </c>
      <c r="C1949" t="n">
        <v>3002</v>
      </c>
      <c r="D1949" s="6" t="n">
        <v>115.8</v>
      </c>
      <c r="E1949" s="6" t="n">
        <v>1112986.08</v>
      </c>
      <c r="F1949" s="6">
        <f>ROUND(E1949-E1948,2)</f>
        <v/>
      </c>
      <c r="G1949" s="6">
        <f>ROUND(F1949-D1949,2)</f>
        <v/>
      </c>
    </row>
    <row r="1950">
      <c r="A1950" t="inlineStr">
        <is>
          <t>2022-07-10</t>
        </is>
      </c>
      <c r="B1950" t="n">
        <v>14</v>
      </c>
      <c r="C1950" t="n">
        <v>3002</v>
      </c>
      <c r="D1950" s="6" t="n">
        <v>38.2</v>
      </c>
      <c r="E1950" s="6" t="n">
        <v>1113024.28</v>
      </c>
      <c r="F1950" s="6">
        <f>ROUND(E1950-E1949,2)</f>
        <v/>
      </c>
      <c r="G1950" s="6">
        <f>ROUND(F1950-D1950,2)</f>
        <v/>
      </c>
    </row>
    <row r="1951">
      <c r="A1951" t="inlineStr">
        <is>
          <t>2022-07-10</t>
        </is>
      </c>
      <c r="B1951" t="n">
        <v>15</v>
      </c>
      <c r="C1951" t="n">
        <v>3002</v>
      </c>
      <c r="D1951" s="6" t="n">
        <v>38.2</v>
      </c>
      <c r="E1951" s="6" t="n">
        <v>1113062.48</v>
      </c>
      <c r="F1951" s="6">
        <f>ROUND(E1951-E1950,2)</f>
        <v/>
      </c>
      <c r="G1951" s="6">
        <f>ROUND(F1951-D1951,2)</f>
        <v/>
      </c>
    </row>
    <row r="1952">
      <c r="A1952" t="inlineStr">
        <is>
          <t>2022-07-10</t>
        </is>
      </c>
      <c r="B1952" t="n">
        <v>16</v>
      </c>
      <c r="C1952" t="n">
        <v>3002</v>
      </c>
      <c r="D1952" s="6" t="n">
        <v>164</v>
      </c>
      <c r="E1952" s="6" t="n">
        <v>1113226.48</v>
      </c>
      <c r="F1952" s="6">
        <f>ROUND(E1952-E1951,2)</f>
        <v/>
      </c>
      <c r="G1952" s="6">
        <f>ROUND(F1952-D1952,2)</f>
        <v/>
      </c>
    </row>
    <row r="1953">
      <c r="A1953" t="inlineStr">
        <is>
          <t>2022-07-10</t>
        </is>
      </c>
      <c r="B1953" t="n">
        <v>17</v>
      </c>
      <c r="C1953" t="n">
        <v>3002</v>
      </c>
      <c r="D1953" s="6" t="n">
        <v>15</v>
      </c>
      <c r="E1953" s="6" t="n">
        <v>1113241.48</v>
      </c>
      <c r="F1953" s="6">
        <f>ROUND(E1953-E1952,2)</f>
        <v/>
      </c>
      <c r="G1953" s="6">
        <f>ROUND(F1953-D1953,2)</f>
        <v/>
      </c>
    </row>
    <row r="1954">
      <c r="A1954" t="inlineStr">
        <is>
          <t>2022-07-10</t>
        </is>
      </c>
      <c r="B1954" t="n">
        <v>18</v>
      </c>
      <c r="C1954" t="n">
        <v>3002</v>
      </c>
      <c r="D1954" s="6" t="n">
        <v>58.8</v>
      </c>
      <c r="E1954" s="6" t="n">
        <v>1113300.28</v>
      </c>
      <c r="F1954" s="6">
        <f>ROUND(E1954-E1953,2)</f>
        <v/>
      </c>
      <c r="G1954" s="6">
        <f>ROUND(F1954-D1954,2)</f>
        <v/>
      </c>
    </row>
    <row r="1955">
      <c r="A1955" t="inlineStr">
        <is>
          <t>2022-07-10</t>
        </is>
      </c>
      <c r="B1955" t="n">
        <v>19</v>
      </c>
      <c r="C1955" t="n">
        <v>3002</v>
      </c>
      <c r="D1955" s="6" t="n">
        <v>104.6</v>
      </c>
      <c r="E1955" s="6" t="n">
        <v>1113404.88</v>
      </c>
      <c r="F1955" s="6">
        <f>ROUND(E1955-E1954,2)</f>
        <v/>
      </c>
      <c r="G1955" s="6">
        <f>ROUND(F1955-D1955,2)</f>
        <v/>
      </c>
    </row>
    <row r="1956">
      <c r="A1956" t="inlineStr">
        <is>
          <t>2022-07-10</t>
        </is>
      </c>
      <c r="B1956" t="n">
        <v>20</v>
      </c>
      <c r="C1956" t="n">
        <v>3002</v>
      </c>
      <c r="D1956" s="6" t="n">
        <v>46.4</v>
      </c>
      <c r="E1956" s="6" t="n">
        <v>1113451.28</v>
      </c>
      <c r="F1956" s="6">
        <f>ROUND(E1956-E1955,2)</f>
        <v/>
      </c>
      <c r="G1956" s="6">
        <f>ROUND(F1956-D1956,2)</f>
        <v/>
      </c>
    </row>
    <row r="1957">
      <c r="A1957" t="inlineStr">
        <is>
          <t>2022-07-10</t>
        </is>
      </c>
      <c r="B1957" t="n">
        <v>21</v>
      </c>
      <c r="C1957" t="n">
        <v>3002</v>
      </c>
      <c r="D1957" s="6" t="n">
        <v>76.8</v>
      </c>
      <c r="E1957" s="6" t="n">
        <v>1113528.08</v>
      </c>
      <c r="F1957" s="6">
        <f>ROUND(E1957-E1956,2)</f>
        <v/>
      </c>
      <c r="G1957" s="6">
        <f>ROUND(F1957-D1957,2)</f>
        <v/>
      </c>
    </row>
    <row r="1958">
      <c r="A1958" t="inlineStr">
        <is>
          <t>2022-07-10</t>
        </is>
      </c>
      <c r="B1958" t="n">
        <v>22</v>
      </c>
      <c r="C1958" t="n">
        <v>3002</v>
      </c>
      <c r="D1958" s="6" t="n">
        <v>61.2</v>
      </c>
      <c r="E1958" s="6" t="n">
        <v>1113589.28</v>
      </c>
      <c r="F1958" s="6">
        <f>ROUND(E1958-E1957,2)</f>
        <v/>
      </c>
      <c r="G1958" s="6">
        <f>ROUND(F1958-D1958,2)</f>
        <v/>
      </c>
    </row>
    <row r="1959">
      <c r="A1959" t="inlineStr">
        <is>
          <t>2022-07-10</t>
        </is>
      </c>
      <c r="B1959" t="n">
        <v>23</v>
      </c>
      <c r="C1959" t="n">
        <v>3002</v>
      </c>
      <c r="D1959" s="6" t="n">
        <v>103.6</v>
      </c>
      <c r="E1959" s="6" t="n">
        <v>1113692.88</v>
      </c>
      <c r="F1959" s="6">
        <f>ROUND(E1959-E1958,2)</f>
        <v/>
      </c>
      <c r="G1959" s="6">
        <f>ROUND(F1959-D1959,2)</f>
        <v/>
      </c>
    </row>
    <row r="1960">
      <c r="A1960" t="inlineStr">
        <is>
          <t>2022-07-10</t>
        </is>
      </c>
      <c r="B1960" t="n">
        <v>24</v>
      </c>
      <c r="C1960" t="n">
        <v>3002</v>
      </c>
      <c r="D1960" s="6" t="n">
        <v>80.90000000000001</v>
      </c>
      <c r="E1960" s="6" t="n">
        <v>1113773.78</v>
      </c>
      <c r="F1960" s="6">
        <f>ROUND(E1960-E1959,2)</f>
        <v/>
      </c>
      <c r="G1960" s="6">
        <f>ROUND(F1960-D1960,2)</f>
        <v/>
      </c>
    </row>
    <row r="1961">
      <c r="A1961" t="inlineStr">
        <is>
          <t>2022-07-10</t>
        </is>
      </c>
      <c r="B1961" t="n">
        <v>25</v>
      </c>
      <c r="C1961" t="n">
        <v>3002</v>
      </c>
      <c r="D1961" s="6" t="n">
        <v>169.7</v>
      </c>
      <c r="E1961" s="6" t="n">
        <v>1113943.48</v>
      </c>
      <c r="F1961" s="6">
        <f>ROUND(E1961-E1960,2)</f>
        <v/>
      </c>
      <c r="G1961" s="6">
        <f>ROUND(F1961-D1961,2)</f>
        <v/>
      </c>
    </row>
    <row r="1962">
      <c r="A1962" t="inlineStr">
        <is>
          <t>2022-07-10</t>
        </is>
      </c>
      <c r="B1962" t="n">
        <v>26</v>
      </c>
      <c r="C1962" t="n">
        <v>3002</v>
      </c>
      <c r="D1962" s="6" t="n">
        <v>72.90000000000001</v>
      </c>
      <c r="E1962" s="6" t="n">
        <v>1114016.38</v>
      </c>
      <c r="F1962" s="6">
        <f>ROUND(E1962-E1961,2)</f>
        <v/>
      </c>
      <c r="G1962" s="6">
        <f>ROUND(F1962-D1962,2)</f>
        <v/>
      </c>
    </row>
    <row r="1963">
      <c r="A1963" t="inlineStr">
        <is>
          <t>2022-07-10</t>
        </is>
      </c>
      <c r="B1963" t="n">
        <v>27</v>
      </c>
      <c r="C1963" t="n">
        <v>3002</v>
      </c>
      <c r="D1963" s="6" t="n">
        <v>226.4</v>
      </c>
      <c r="E1963" s="6" t="n">
        <v>1114242.78</v>
      </c>
      <c r="F1963" s="6">
        <f>ROUND(E1963-E1962,2)</f>
        <v/>
      </c>
      <c r="G1963" s="6">
        <f>ROUND(F1963-D1963,2)</f>
        <v/>
      </c>
    </row>
    <row r="1964">
      <c r="A1964" t="inlineStr">
        <is>
          <t>2022-07-10</t>
        </is>
      </c>
      <c r="B1964" t="n">
        <v>28</v>
      </c>
      <c r="C1964" t="n">
        <v>3002</v>
      </c>
      <c r="D1964" s="6" t="n">
        <v>90</v>
      </c>
      <c r="E1964" s="6" t="n">
        <v>1114332.78</v>
      </c>
      <c r="F1964" s="6">
        <f>ROUND(E1964-E1963,2)</f>
        <v/>
      </c>
      <c r="G1964" s="6">
        <f>ROUND(F1964-D1964,2)</f>
        <v/>
      </c>
    </row>
    <row r="1965">
      <c r="A1965" t="inlineStr">
        <is>
          <t>2022-07-10</t>
        </is>
      </c>
      <c r="B1965" t="n">
        <v>29</v>
      </c>
      <c r="C1965" t="n">
        <v>3002</v>
      </c>
      <c r="D1965" s="6" t="n">
        <v>201.5</v>
      </c>
      <c r="E1965" s="6" t="n">
        <v>1114534.28</v>
      </c>
      <c r="F1965" s="6">
        <f>ROUND(E1965-E1964,2)</f>
        <v/>
      </c>
      <c r="G1965" s="6">
        <f>ROUND(F1965-D1965,2)</f>
        <v/>
      </c>
    </row>
    <row r="1966">
      <c r="A1966" t="inlineStr">
        <is>
          <t>2022-07-12</t>
        </is>
      </c>
      <c r="B1966" t="n">
        <v>1</v>
      </c>
      <c r="C1966" t="n">
        <v>3003</v>
      </c>
      <c r="D1966" s="6" t="n">
        <v>41.8</v>
      </c>
      <c r="E1966" s="6" t="n">
        <v>1114576.08</v>
      </c>
      <c r="F1966" s="6">
        <f>ROUND(E1966-E1965,2)</f>
        <v/>
      </c>
      <c r="G1966" s="6">
        <f>ROUND(F1966-D1966,2)</f>
        <v/>
      </c>
    </row>
    <row r="1967">
      <c r="A1967" t="inlineStr">
        <is>
          <t>2022-07-12</t>
        </is>
      </c>
      <c r="B1967" t="n">
        <v>2</v>
      </c>
      <c r="C1967" t="n">
        <v>3003</v>
      </c>
      <c r="D1967" s="6" t="n">
        <v>66.09999999999999</v>
      </c>
      <c r="E1967" s="6" t="n">
        <v>1114642.18</v>
      </c>
      <c r="F1967" s="6">
        <f>ROUND(E1967-E1966,2)</f>
        <v/>
      </c>
      <c r="G1967" s="6">
        <f>ROUND(F1967-D1967,2)</f>
        <v/>
      </c>
    </row>
    <row r="1968">
      <c r="A1968" t="inlineStr">
        <is>
          <t>2022-07-12</t>
        </is>
      </c>
      <c r="B1968" t="n">
        <v>3</v>
      </c>
      <c r="C1968" t="n">
        <v>3003</v>
      </c>
      <c r="D1968" s="6" t="n">
        <v>66.2</v>
      </c>
      <c r="E1968" s="6" t="n">
        <v>1114708.38</v>
      </c>
      <c r="F1968" s="6">
        <f>ROUND(E1968-E1967,2)</f>
        <v/>
      </c>
      <c r="G1968" s="6">
        <f>ROUND(F1968-D1968,2)</f>
        <v/>
      </c>
    </row>
    <row r="1969">
      <c r="A1969" t="inlineStr">
        <is>
          <t>2022-07-12</t>
        </is>
      </c>
      <c r="B1969" t="n">
        <v>4</v>
      </c>
      <c r="C1969" t="n">
        <v>3003</v>
      </c>
      <c r="D1969" s="6" t="n">
        <v>79.2</v>
      </c>
      <c r="E1969" s="6" t="n">
        <v>1114787.58</v>
      </c>
      <c r="F1969" s="6">
        <f>ROUND(E1969-E1968,2)</f>
        <v/>
      </c>
      <c r="G1969" s="6">
        <f>ROUND(F1969-D1969,2)</f>
        <v/>
      </c>
    </row>
    <row r="1970">
      <c r="A1970" t="inlineStr">
        <is>
          <t>2022-07-12</t>
        </is>
      </c>
      <c r="B1970" t="n">
        <v>5</v>
      </c>
      <c r="C1970" t="n">
        <v>3003</v>
      </c>
      <c r="D1970" s="6" t="n">
        <v>69.5</v>
      </c>
      <c r="E1970" s="6" t="n">
        <v>1114857.08</v>
      </c>
      <c r="F1970" s="6">
        <f>ROUND(E1970-E1969,2)</f>
        <v/>
      </c>
      <c r="G1970" s="6">
        <f>ROUND(F1970-D1970,2)</f>
        <v/>
      </c>
    </row>
    <row r="1971">
      <c r="A1971" t="inlineStr">
        <is>
          <t>2022-07-12</t>
        </is>
      </c>
      <c r="B1971" t="n">
        <v>6</v>
      </c>
      <c r="C1971" t="n">
        <v>3003</v>
      </c>
      <c r="D1971" s="6" t="n">
        <v>63.8</v>
      </c>
      <c r="E1971" s="6" t="n">
        <v>1114920.88</v>
      </c>
      <c r="F1971" s="6">
        <f>ROUND(E1971-E1970,2)</f>
        <v/>
      </c>
      <c r="G1971" s="6">
        <f>ROUND(F1971-D1971,2)</f>
        <v/>
      </c>
    </row>
    <row r="1972">
      <c r="A1972" t="inlineStr">
        <is>
          <t>2022-07-12</t>
        </is>
      </c>
      <c r="B1972" t="n">
        <v>7</v>
      </c>
      <c r="C1972" t="n">
        <v>3003</v>
      </c>
      <c r="D1972" s="6" t="n">
        <v>38.7</v>
      </c>
      <c r="E1972" s="6" t="n">
        <v>1114959.58</v>
      </c>
      <c r="F1972" s="6">
        <f>ROUND(E1972-E1971,2)</f>
        <v/>
      </c>
      <c r="G1972" s="6">
        <f>ROUND(F1972-D1972,2)</f>
        <v/>
      </c>
    </row>
    <row r="1973">
      <c r="A1973" t="inlineStr">
        <is>
          <t>2022-07-12</t>
        </is>
      </c>
      <c r="B1973" t="n">
        <v>8</v>
      </c>
      <c r="C1973" t="n">
        <v>3003</v>
      </c>
      <c r="D1973" s="6" t="n">
        <v>43.4</v>
      </c>
      <c r="E1973" s="6" t="n">
        <v>1115002.98</v>
      </c>
      <c r="F1973" s="6">
        <f>ROUND(E1973-E1972,2)</f>
        <v/>
      </c>
      <c r="G1973" s="6">
        <f>ROUND(F1973-D1973,2)</f>
        <v/>
      </c>
    </row>
    <row r="1974">
      <c r="A1974" t="inlineStr">
        <is>
          <t>2022-07-12</t>
        </is>
      </c>
      <c r="B1974" t="n">
        <v>9</v>
      </c>
      <c r="C1974" t="n">
        <v>3003</v>
      </c>
      <c r="D1974" s="6" t="n">
        <v>187.1</v>
      </c>
      <c r="E1974" s="6" t="n">
        <v>1115190.08</v>
      </c>
      <c r="F1974" s="6">
        <f>ROUND(E1974-E1973,2)</f>
        <v/>
      </c>
      <c r="G1974" s="6">
        <f>ROUND(F1974-D1974,2)</f>
        <v/>
      </c>
    </row>
    <row r="1975">
      <c r="A1975" t="inlineStr">
        <is>
          <t>2022-07-12</t>
        </is>
      </c>
      <c r="B1975" t="n">
        <v>10</v>
      </c>
      <c r="C1975" t="n">
        <v>3003</v>
      </c>
      <c r="D1975" s="6" t="n">
        <v>45.9</v>
      </c>
      <c r="E1975" s="6" t="n">
        <v>1115235.98</v>
      </c>
      <c r="F1975" s="6">
        <f>ROUND(E1975-E1974,2)</f>
        <v/>
      </c>
      <c r="G1975" s="6">
        <f>ROUND(F1975-D1975,2)</f>
        <v/>
      </c>
    </row>
    <row r="1976">
      <c r="A1976" t="inlineStr">
        <is>
          <t>2022-07-12</t>
        </is>
      </c>
      <c r="B1976" t="n">
        <v>11</v>
      </c>
      <c r="C1976" t="n">
        <v>3003</v>
      </c>
      <c r="D1976" s="6" t="n">
        <v>70.59999999999999</v>
      </c>
      <c r="E1976" s="6" t="n">
        <v>1115306.58</v>
      </c>
      <c r="F1976" s="6">
        <f>ROUND(E1976-E1975,2)</f>
        <v/>
      </c>
      <c r="G1976" s="6">
        <f>ROUND(F1976-D1976,2)</f>
        <v/>
      </c>
    </row>
    <row r="1977">
      <c r="A1977" t="inlineStr">
        <is>
          <t>2022-07-12</t>
        </is>
      </c>
      <c r="B1977" t="n">
        <v>12</v>
      </c>
      <c r="C1977" t="n">
        <v>3003</v>
      </c>
      <c r="D1977" s="6" t="n">
        <v>73.90000000000001</v>
      </c>
      <c r="E1977" s="6" t="n">
        <v>1115380.48</v>
      </c>
      <c r="F1977" s="6">
        <f>ROUND(E1977-E1976,2)</f>
        <v/>
      </c>
      <c r="G1977" s="6">
        <f>ROUND(F1977-D1977,2)</f>
        <v/>
      </c>
    </row>
    <row r="1978">
      <c r="A1978" t="inlineStr">
        <is>
          <t>2022-07-12</t>
        </is>
      </c>
      <c r="B1978" t="n">
        <v>13</v>
      </c>
      <c r="C1978" t="n">
        <v>3003</v>
      </c>
      <c r="D1978" s="6" t="n">
        <v>20.1</v>
      </c>
      <c r="E1978" s="6" t="n">
        <v>1115400.58</v>
      </c>
      <c r="F1978" s="6">
        <f>ROUND(E1978-E1977,2)</f>
        <v/>
      </c>
      <c r="G1978" s="6">
        <f>ROUND(F1978-D1978,2)</f>
        <v/>
      </c>
    </row>
    <row r="1979">
      <c r="A1979" t="inlineStr">
        <is>
          <t>2022-07-12</t>
        </is>
      </c>
      <c r="B1979" t="n">
        <v>14</v>
      </c>
      <c r="C1979" t="n">
        <v>3003</v>
      </c>
      <c r="D1979" s="6" t="n">
        <v>20.1</v>
      </c>
      <c r="E1979" s="6" t="n">
        <v>1115420.68</v>
      </c>
      <c r="F1979" s="6">
        <f>ROUND(E1979-E1978,2)</f>
        <v/>
      </c>
      <c r="G1979" s="6">
        <f>ROUND(F1979-D1979,2)</f>
        <v/>
      </c>
    </row>
    <row r="1980">
      <c r="A1980" t="inlineStr">
        <is>
          <t>2022-07-12</t>
        </is>
      </c>
      <c r="B1980" t="n">
        <v>15</v>
      </c>
      <c r="C1980" t="n">
        <v>3003</v>
      </c>
      <c r="D1980" s="6" t="n">
        <v>79.09999999999999</v>
      </c>
      <c r="E1980" s="6" t="n">
        <v>1115499.78</v>
      </c>
      <c r="F1980" s="6">
        <f>ROUND(E1980-E1979,2)</f>
        <v/>
      </c>
      <c r="G1980" s="6">
        <f>ROUND(F1980-D1980,2)</f>
        <v/>
      </c>
    </row>
    <row r="1981">
      <c r="A1981" t="inlineStr">
        <is>
          <t>2022-07-12</t>
        </is>
      </c>
      <c r="B1981" t="n">
        <v>16</v>
      </c>
      <c r="C1981" t="n">
        <v>3003</v>
      </c>
      <c r="D1981" s="6" t="n">
        <v>62.7</v>
      </c>
      <c r="E1981" s="6" t="n">
        <v>1115562.48</v>
      </c>
      <c r="F1981" s="6">
        <f>ROUND(E1981-E1980,2)</f>
        <v/>
      </c>
      <c r="G1981" s="6">
        <f>ROUND(F1981-D1981,2)</f>
        <v/>
      </c>
    </row>
    <row r="1982">
      <c r="A1982" t="inlineStr">
        <is>
          <t>2022-07-12</t>
        </is>
      </c>
      <c r="B1982" t="n">
        <v>17</v>
      </c>
      <c r="C1982" t="n">
        <v>3003</v>
      </c>
      <c r="D1982" s="6" t="n">
        <v>55.5</v>
      </c>
      <c r="E1982" s="6" t="n">
        <v>1115617.98</v>
      </c>
      <c r="F1982" s="6">
        <f>ROUND(E1982-E1981,2)</f>
        <v/>
      </c>
      <c r="G1982" s="6">
        <f>ROUND(F1982-D1982,2)</f>
        <v/>
      </c>
    </row>
    <row r="1983">
      <c r="A1983" t="inlineStr">
        <is>
          <t>2022-07-12</t>
        </is>
      </c>
      <c r="B1983" t="n">
        <v>18</v>
      </c>
      <c r="C1983" t="n">
        <v>3003</v>
      </c>
      <c r="D1983" s="6" t="n">
        <v>111.4</v>
      </c>
      <c r="E1983" s="6" t="n">
        <v>1115729.38</v>
      </c>
      <c r="F1983" s="6">
        <f>ROUND(E1983-E1982,2)</f>
        <v/>
      </c>
      <c r="G1983" s="6">
        <f>ROUND(F1983-D1983,2)</f>
        <v/>
      </c>
    </row>
    <row r="1984">
      <c r="A1984" t="inlineStr">
        <is>
          <t>2022-07-12</t>
        </is>
      </c>
      <c r="B1984" t="n">
        <v>19</v>
      </c>
      <c r="C1984" t="n">
        <v>3003</v>
      </c>
      <c r="D1984" s="6" t="n">
        <v>43</v>
      </c>
      <c r="E1984" s="6" t="n">
        <v>1115772.38</v>
      </c>
      <c r="F1984" s="6">
        <f>ROUND(E1984-E1983,2)</f>
        <v/>
      </c>
      <c r="G1984" s="6">
        <f>ROUND(F1984-D1984,2)</f>
        <v/>
      </c>
    </row>
    <row r="1985">
      <c r="A1985" t="inlineStr">
        <is>
          <t>2022-07-12</t>
        </is>
      </c>
      <c r="B1985" t="n">
        <v>20</v>
      </c>
      <c r="C1985" t="n">
        <v>3003</v>
      </c>
      <c r="D1985" s="6" t="n">
        <v>43.1</v>
      </c>
      <c r="E1985" s="6" t="n">
        <v>1115815.48</v>
      </c>
      <c r="F1985" s="6">
        <f>ROUND(E1985-E1984,2)</f>
        <v/>
      </c>
      <c r="G1985" s="6">
        <f>ROUND(F1985-D1985,2)</f>
        <v/>
      </c>
    </row>
    <row r="1986">
      <c r="A1986" t="inlineStr">
        <is>
          <t>2022-07-12</t>
        </is>
      </c>
      <c r="B1986" t="n">
        <v>21</v>
      </c>
      <c r="C1986" t="n">
        <v>3003</v>
      </c>
      <c r="D1986" s="6" t="n">
        <v>97.40000000000001</v>
      </c>
      <c r="E1986" s="6" t="n">
        <v>1115912.88</v>
      </c>
      <c r="F1986" s="6">
        <f>ROUND(E1986-E1985,2)</f>
        <v/>
      </c>
      <c r="G1986" s="6">
        <f>ROUND(F1986-D1986,2)</f>
        <v/>
      </c>
    </row>
    <row r="1987">
      <c r="A1987" t="inlineStr">
        <is>
          <t>2022-07-12</t>
        </is>
      </c>
      <c r="B1987" t="n">
        <v>22</v>
      </c>
      <c r="C1987" t="n">
        <v>3003</v>
      </c>
      <c r="D1987" s="6" t="n">
        <v>79.8</v>
      </c>
      <c r="E1987" s="6" t="n">
        <v>1115992.68</v>
      </c>
      <c r="F1987" s="6">
        <f>ROUND(E1987-E1986,2)</f>
        <v/>
      </c>
      <c r="G1987" s="6">
        <f>ROUND(F1987-D1987,2)</f>
        <v/>
      </c>
    </row>
    <row r="1988">
      <c r="A1988" t="inlineStr">
        <is>
          <t>2022-07-12</t>
        </is>
      </c>
      <c r="B1988" t="n">
        <v>23</v>
      </c>
      <c r="C1988" t="n">
        <v>3003</v>
      </c>
      <c r="D1988" s="6" t="n">
        <v>75</v>
      </c>
      <c r="E1988" s="6" t="n">
        <v>1116067.68</v>
      </c>
      <c r="F1988" s="6">
        <f>ROUND(E1988-E1987,2)</f>
        <v/>
      </c>
      <c r="G1988" s="6">
        <f>ROUND(F1988-D1988,2)</f>
        <v/>
      </c>
    </row>
    <row r="1989">
      <c r="A1989" t="inlineStr">
        <is>
          <t>2022-07-12</t>
        </is>
      </c>
      <c r="B1989" t="n">
        <v>24</v>
      </c>
      <c r="C1989" t="n">
        <v>3003</v>
      </c>
      <c r="D1989" s="6" t="n">
        <v>31.8</v>
      </c>
      <c r="E1989" s="6" t="n">
        <v>1116099.48</v>
      </c>
      <c r="F1989" s="6">
        <f>ROUND(E1989-E1988,2)</f>
        <v/>
      </c>
      <c r="G1989" s="6">
        <f>ROUND(F1989-D1989,2)</f>
        <v/>
      </c>
    </row>
    <row r="1990">
      <c r="A1990" t="inlineStr">
        <is>
          <t>2022-07-12</t>
        </is>
      </c>
      <c r="B1990" t="n">
        <v>25</v>
      </c>
      <c r="C1990" t="n">
        <v>3003</v>
      </c>
      <c r="D1990" s="6" t="n">
        <v>31.8</v>
      </c>
      <c r="E1990" s="6" t="n">
        <v>1116131.28</v>
      </c>
      <c r="F1990" s="6">
        <f>ROUND(E1990-E1989,2)</f>
        <v/>
      </c>
      <c r="G1990" s="6">
        <f>ROUND(F1990-D1990,2)</f>
        <v/>
      </c>
    </row>
    <row r="1991">
      <c r="A1991" t="inlineStr">
        <is>
          <t>2022-07-12</t>
        </is>
      </c>
      <c r="B1991" t="n">
        <v>26</v>
      </c>
      <c r="C1991" t="n">
        <v>3003</v>
      </c>
      <c r="D1991" s="6" t="n">
        <v>39.8</v>
      </c>
      <c r="E1991" s="6" t="n">
        <v>1116171.08</v>
      </c>
      <c r="F1991" s="6">
        <f>ROUND(E1991-E1990,2)</f>
        <v/>
      </c>
      <c r="G1991" s="6">
        <f>ROUND(F1991-D1991,2)</f>
        <v/>
      </c>
    </row>
    <row r="1992">
      <c r="A1992" t="inlineStr">
        <is>
          <t>2022-07-12</t>
        </is>
      </c>
      <c r="B1992" t="n">
        <v>27</v>
      </c>
      <c r="C1992" t="n">
        <v>3003</v>
      </c>
      <c r="D1992" s="6" t="n">
        <v>64</v>
      </c>
      <c r="E1992" s="6" t="n">
        <v>1116235.08</v>
      </c>
      <c r="F1992" s="6">
        <f>ROUND(E1992-E1991,2)</f>
        <v/>
      </c>
      <c r="G1992" s="6">
        <f>ROUND(F1992-D1992,2)</f>
        <v/>
      </c>
    </row>
    <row r="1993">
      <c r="A1993" t="inlineStr">
        <is>
          <t>2022-07-12</t>
        </is>
      </c>
      <c r="B1993" t="n">
        <v>28</v>
      </c>
      <c r="C1993" t="n">
        <v>3003</v>
      </c>
      <c r="D1993" s="6" t="n">
        <v>61.4</v>
      </c>
      <c r="E1993" s="6" t="n">
        <v>1116296.48</v>
      </c>
      <c r="F1993" s="6">
        <f>ROUND(E1993-E1992,2)</f>
        <v/>
      </c>
      <c r="G1993" s="6">
        <f>ROUND(F1993-D1993,2)</f>
        <v/>
      </c>
    </row>
    <row r="1994">
      <c r="A1994" t="inlineStr">
        <is>
          <t>2022-07-12</t>
        </is>
      </c>
      <c r="B1994" t="n">
        <v>29</v>
      </c>
      <c r="C1994" t="n">
        <v>3003</v>
      </c>
      <c r="D1994" s="6" t="n">
        <v>60</v>
      </c>
      <c r="E1994" s="6" t="n">
        <v>1116356.48</v>
      </c>
      <c r="F1994" s="6">
        <f>ROUND(E1994-E1993,2)</f>
        <v/>
      </c>
      <c r="G1994" s="6">
        <f>ROUND(F1994-D1994,2)</f>
        <v/>
      </c>
    </row>
    <row r="1995">
      <c r="A1995" t="inlineStr">
        <is>
          <t>2022-07-12</t>
        </is>
      </c>
      <c r="B1995" t="n">
        <v>30</v>
      </c>
      <c r="C1995" t="n">
        <v>3003</v>
      </c>
      <c r="D1995" s="6" t="n">
        <v>58.5</v>
      </c>
      <c r="E1995" s="6" t="n">
        <v>1116414.98</v>
      </c>
      <c r="F1995" s="6">
        <f>ROUND(E1995-E1994,2)</f>
        <v/>
      </c>
      <c r="G1995" s="6">
        <f>ROUND(F1995-D1995,2)</f>
        <v/>
      </c>
    </row>
    <row r="1996">
      <c r="A1996" t="inlineStr">
        <is>
          <t>2022-07-12</t>
        </is>
      </c>
      <c r="B1996" t="n">
        <v>31</v>
      </c>
      <c r="C1996" t="n">
        <v>3003</v>
      </c>
      <c r="D1996" s="6" t="n">
        <v>18</v>
      </c>
      <c r="E1996" s="6" t="n">
        <v>1116432.98</v>
      </c>
      <c r="F1996" s="6">
        <f>ROUND(E1996-E1995,2)</f>
        <v/>
      </c>
      <c r="G1996" s="6">
        <f>ROUND(F1996-D1996,2)</f>
        <v/>
      </c>
    </row>
    <row r="1997">
      <c r="A1997" t="inlineStr">
        <is>
          <t>2022-07-12</t>
        </is>
      </c>
      <c r="B1997" t="n">
        <v>32</v>
      </c>
      <c r="C1997" t="n">
        <v>3003</v>
      </c>
      <c r="D1997" s="6" t="n">
        <v>26.3</v>
      </c>
      <c r="E1997" s="6" t="n">
        <v>1116459.28</v>
      </c>
      <c r="F1997" s="6">
        <f>ROUND(E1997-E1996,2)</f>
        <v/>
      </c>
      <c r="G1997" s="6">
        <f>ROUND(F1997-D1997,2)</f>
        <v/>
      </c>
    </row>
    <row r="1998">
      <c r="A1998" t="inlineStr">
        <is>
          <t>2022-07-12</t>
        </is>
      </c>
      <c r="B1998" t="n">
        <v>33</v>
      </c>
      <c r="C1998" t="n">
        <v>3003</v>
      </c>
      <c r="D1998" s="6" t="n">
        <v>67.7</v>
      </c>
      <c r="E1998" s="6" t="n">
        <v>1116526.98</v>
      </c>
      <c r="F1998" s="6">
        <f>ROUND(E1998-E1997,2)</f>
        <v/>
      </c>
      <c r="G1998" s="6">
        <f>ROUND(F1998-D1998,2)</f>
        <v/>
      </c>
    </row>
    <row r="1999">
      <c r="A1999" t="inlineStr">
        <is>
          <t>2022-07-12</t>
        </is>
      </c>
      <c r="B1999" t="n">
        <v>34</v>
      </c>
      <c r="C1999" t="n">
        <v>3003</v>
      </c>
      <c r="D1999" s="6" t="n">
        <v>52.2</v>
      </c>
      <c r="E1999" s="6" t="n">
        <v>1116579.18</v>
      </c>
      <c r="F1999" s="6">
        <f>ROUND(E1999-E1998,2)</f>
        <v/>
      </c>
      <c r="G1999" s="6">
        <f>ROUND(F1999-D1999,2)</f>
        <v/>
      </c>
    </row>
    <row r="2000">
      <c r="A2000" t="inlineStr">
        <is>
          <t>2022-07-12</t>
        </is>
      </c>
      <c r="B2000" t="n">
        <v>35</v>
      </c>
      <c r="C2000" t="n">
        <v>3003</v>
      </c>
      <c r="D2000" s="6" t="n">
        <v>183.8</v>
      </c>
      <c r="E2000" s="6" t="n">
        <v>1116762.98</v>
      </c>
      <c r="F2000" s="6">
        <f>ROUND(E2000-E1999,2)</f>
        <v/>
      </c>
      <c r="G2000" s="6">
        <f>ROUND(F2000-D2000,2)</f>
        <v/>
      </c>
    </row>
    <row r="2001">
      <c r="A2001" t="inlineStr">
        <is>
          <t>2022-07-12</t>
        </is>
      </c>
      <c r="B2001" t="n">
        <v>36</v>
      </c>
      <c r="C2001" t="n">
        <v>3003</v>
      </c>
      <c r="D2001" s="6" t="n">
        <v>30</v>
      </c>
      <c r="E2001" s="6" t="n">
        <v>1116792.98</v>
      </c>
      <c r="F2001" s="6">
        <f>ROUND(E2001-E2000,2)</f>
        <v/>
      </c>
      <c r="G2001" s="6">
        <f>ROUND(F2001-D2001,2)</f>
        <v/>
      </c>
    </row>
    <row r="2002">
      <c r="A2002" t="inlineStr">
        <is>
          <t>2022-07-12</t>
        </is>
      </c>
      <c r="B2002" t="n">
        <v>37</v>
      </c>
      <c r="C2002" t="n">
        <v>3003</v>
      </c>
      <c r="D2002" s="6" t="n">
        <v>25.4</v>
      </c>
      <c r="E2002" s="6" t="n">
        <v>1116818.38</v>
      </c>
      <c r="F2002" s="6">
        <f>ROUND(E2002-E2001,2)</f>
        <v/>
      </c>
      <c r="G2002" s="6">
        <f>ROUND(F2002-D2002,2)</f>
        <v/>
      </c>
    </row>
    <row r="2003">
      <c r="A2003" t="inlineStr">
        <is>
          <t>2022-07-12</t>
        </is>
      </c>
      <c r="B2003" t="n">
        <v>38</v>
      </c>
      <c r="C2003" t="n">
        <v>3003</v>
      </c>
      <c r="D2003" s="6" t="n">
        <v>65.3</v>
      </c>
      <c r="E2003" s="6" t="n">
        <v>1116883.68</v>
      </c>
      <c r="F2003" s="6">
        <f>ROUND(E2003-E2002,2)</f>
        <v/>
      </c>
      <c r="G2003" s="6">
        <f>ROUND(F2003-D2003,2)</f>
        <v/>
      </c>
    </row>
    <row r="2004">
      <c r="A2004" t="inlineStr">
        <is>
          <t>2022-07-12</t>
        </is>
      </c>
      <c r="B2004" t="n">
        <v>39</v>
      </c>
      <c r="C2004" t="n">
        <v>3003</v>
      </c>
      <c r="D2004" s="6" t="n">
        <v>79.5</v>
      </c>
      <c r="E2004" s="6" t="n">
        <v>1116963.18</v>
      </c>
      <c r="F2004" s="6">
        <f>ROUND(E2004-E2003,2)</f>
        <v/>
      </c>
      <c r="G2004" s="6">
        <f>ROUND(F2004-D2004,2)</f>
        <v/>
      </c>
    </row>
    <row r="2005">
      <c r="A2005" t="inlineStr">
        <is>
          <t>2022-07-12</t>
        </is>
      </c>
      <c r="B2005" t="n">
        <v>40</v>
      </c>
      <c r="C2005" t="n">
        <v>3003</v>
      </c>
      <c r="D2005" s="6" t="n">
        <v>72.8</v>
      </c>
      <c r="E2005" s="6" t="n">
        <v>1117035.98</v>
      </c>
      <c r="F2005" s="6">
        <f>ROUND(E2005-E2004,2)</f>
        <v/>
      </c>
      <c r="G2005" s="6">
        <f>ROUND(F2005-D2005,2)</f>
        <v/>
      </c>
    </row>
    <row r="2006">
      <c r="A2006" t="inlineStr">
        <is>
          <t>2022-07-12</t>
        </is>
      </c>
      <c r="B2006" t="n">
        <v>41</v>
      </c>
      <c r="C2006" t="n">
        <v>3003</v>
      </c>
      <c r="D2006" s="6" t="n">
        <v>83.90000000000001</v>
      </c>
      <c r="E2006" s="6" t="n">
        <v>1117119.88</v>
      </c>
      <c r="F2006" s="6">
        <f>ROUND(E2006-E2005,2)</f>
        <v/>
      </c>
      <c r="G2006" s="6">
        <f>ROUND(F2006-D2006,2)</f>
        <v/>
      </c>
    </row>
    <row r="2007">
      <c r="A2007" t="inlineStr">
        <is>
          <t>2022-07-12</t>
        </is>
      </c>
      <c r="B2007" t="n">
        <v>42</v>
      </c>
      <c r="C2007" t="n">
        <v>3003</v>
      </c>
      <c r="D2007" s="6" t="n">
        <v>153.4</v>
      </c>
      <c r="E2007" s="6" t="n">
        <v>1117273.28</v>
      </c>
      <c r="F2007" s="6">
        <f>ROUND(E2007-E2006,2)</f>
        <v/>
      </c>
      <c r="G2007" s="6">
        <f>ROUND(F2007-D2007,2)</f>
        <v/>
      </c>
    </row>
    <row r="2008">
      <c r="A2008" t="inlineStr">
        <is>
          <t>2022-07-13</t>
        </is>
      </c>
      <c r="B2008" t="n">
        <v>1</v>
      </c>
      <c r="C2008" t="n">
        <v>3004</v>
      </c>
      <c r="D2008" s="6" t="n">
        <v>66.3</v>
      </c>
      <c r="E2008" s="6" t="n">
        <v>1117339.58</v>
      </c>
      <c r="F2008" s="6">
        <f>ROUND(E2008-E2007,2)</f>
        <v/>
      </c>
      <c r="G2008" s="6">
        <f>ROUND(F2008-D2008,2)</f>
        <v/>
      </c>
    </row>
    <row r="2009">
      <c r="A2009" t="inlineStr">
        <is>
          <t>2022-07-13</t>
        </is>
      </c>
      <c r="B2009" t="n">
        <v>2</v>
      </c>
      <c r="C2009" t="n">
        <v>3004</v>
      </c>
      <c r="D2009" s="6" t="n">
        <v>46.5</v>
      </c>
      <c r="E2009" s="6" t="n">
        <v>1117386.08</v>
      </c>
      <c r="F2009" s="6">
        <f>ROUND(E2009-E2008,2)</f>
        <v/>
      </c>
      <c r="G2009" s="6">
        <f>ROUND(F2009-D2009,2)</f>
        <v/>
      </c>
    </row>
    <row r="2010">
      <c r="A2010" t="inlineStr">
        <is>
          <t>2022-07-13</t>
        </is>
      </c>
      <c r="B2010" t="n">
        <v>3</v>
      </c>
      <c r="C2010" t="n">
        <v>3004</v>
      </c>
      <c r="D2010" s="6" t="n">
        <v>38.7</v>
      </c>
      <c r="E2010" s="6" t="n">
        <v>1117424.78</v>
      </c>
      <c r="F2010" s="6">
        <f>ROUND(E2010-E2009,2)</f>
        <v/>
      </c>
      <c r="G2010" s="6">
        <f>ROUND(F2010-D2010,2)</f>
        <v/>
      </c>
    </row>
    <row r="2011">
      <c r="A2011" t="inlineStr">
        <is>
          <t>2022-07-13</t>
        </is>
      </c>
      <c r="B2011" t="n">
        <v>4</v>
      </c>
      <c r="C2011" t="n">
        <v>3004</v>
      </c>
      <c r="D2011" s="6" t="n">
        <v>42.5</v>
      </c>
      <c r="E2011" s="6" t="n">
        <v>1117467.28</v>
      </c>
      <c r="F2011" s="6">
        <f>ROUND(E2011-E2010,2)</f>
        <v/>
      </c>
      <c r="G2011" s="6">
        <f>ROUND(F2011-D2011,2)</f>
        <v/>
      </c>
    </row>
    <row r="2012">
      <c r="A2012" t="inlineStr">
        <is>
          <t>2022-07-13</t>
        </is>
      </c>
      <c r="B2012" t="n">
        <v>5</v>
      </c>
      <c r="C2012" t="n">
        <v>3004</v>
      </c>
      <c r="D2012" s="6" t="n">
        <v>32</v>
      </c>
      <c r="E2012" s="6" t="n">
        <v>1117499.28</v>
      </c>
      <c r="F2012" s="6">
        <f>ROUND(E2012-E2011,2)</f>
        <v/>
      </c>
      <c r="G2012" s="6">
        <f>ROUND(F2012-D2012,2)</f>
        <v/>
      </c>
    </row>
    <row r="2013">
      <c r="A2013" t="inlineStr">
        <is>
          <t>2022-07-13</t>
        </is>
      </c>
      <c r="B2013" t="n">
        <v>6</v>
      </c>
      <c r="C2013" t="n">
        <v>3004</v>
      </c>
      <c r="D2013" s="6" t="n">
        <v>23.7</v>
      </c>
      <c r="E2013" s="6" t="n">
        <v>1117522.98</v>
      </c>
      <c r="F2013" s="6">
        <f>ROUND(E2013-E2012,2)</f>
        <v/>
      </c>
      <c r="G2013" s="6">
        <f>ROUND(F2013-D2013,2)</f>
        <v/>
      </c>
    </row>
    <row r="2014">
      <c r="A2014" t="inlineStr">
        <is>
          <t>2022-07-13</t>
        </is>
      </c>
      <c r="B2014" t="n">
        <v>7</v>
      </c>
      <c r="C2014" t="n">
        <v>3004</v>
      </c>
      <c r="D2014" s="6" t="n">
        <v>23.7</v>
      </c>
      <c r="E2014" s="6" t="n">
        <v>1117546.68</v>
      </c>
      <c r="F2014" s="6">
        <f>ROUND(E2014-E2013,2)</f>
        <v/>
      </c>
      <c r="G2014" s="6">
        <f>ROUND(F2014-D2014,2)</f>
        <v/>
      </c>
    </row>
    <row r="2015">
      <c r="A2015" t="inlineStr">
        <is>
          <t>2022-07-13</t>
        </is>
      </c>
      <c r="B2015" t="n">
        <v>8</v>
      </c>
      <c r="C2015" t="n">
        <v>3004</v>
      </c>
      <c r="D2015" s="6" t="n">
        <v>82.90000000000001</v>
      </c>
      <c r="E2015" s="6" t="n">
        <v>1117629.58</v>
      </c>
      <c r="F2015" s="6">
        <f>ROUND(E2015-E2014,2)</f>
        <v/>
      </c>
      <c r="G2015" s="6">
        <f>ROUND(F2015-D2015,2)</f>
        <v/>
      </c>
    </row>
    <row r="2016">
      <c r="A2016" t="inlineStr">
        <is>
          <t>2022-07-13</t>
        </is>
      </c>
      <c r="B2016" t="n">
        <v>9</v>
      </c>
      <c r="C2016" t="n">
        <v>3004</v>
      </c>
      <c r="D2016" s="6" t="n">
        <v>45</v>
      </c>
      <c r="E2016" s="6" t="n">
        <v>1117674.58</v>
      </c>
      <c r="F2016" s="6">
        <f>ROUND(E2016-E2015,2)</f>
        <v/>
      </c>
      <c r="G2016" s="6">
        <f>ROUND(F2016-D2016,2)</f>
        <v/>
      </c>
    </row>
    <row r="2017">
      <c r="A2017" t="inlineStr">
        <is>
          <t>2022-07-13</t>
        </is>
      </c>
      <c r="B2017" t="n">
        <v>10</v>
      </c>
      <c r="C2017" t="n">
        <v>3004</v>
      </c>
      <c r="D2017" s="6" t="n">
        <v>84.2</v>
      </c>
      <c r="E2017" s="6" t="n">
        <v>1117758.78</v>
      </c>
      <c r="F2017" s="6">
        <f>ROUND(E2017-E2016,2)</f>
        <v/>
      </c>
      <c r="G2017" s="6">
        <f>ROUND(F2017-D2017,2)</f>
        <v/>
      </c>
    </row>
    <row r="2018">
      <c r="A2018" t="inlineStr">
        <is>
          <t>2022-07-13</t>
        </is>
      </c>
      <c r="B2018" t="n">
        <v>11</v>
      </c>
      <c r="C2018" t="n">
        <v>3004</v>
      </c>
      <c r="D2018" s="6" t="n">
        <v>78.09999999999999</v>
      </c>
      <c r="E2018" s="6" t="n">
        <v>1117836.88</v>
      </c>
      <c r="F2018" s="6">
        <f>ROUND(E2018-E2017,2)</f>
        <v/>
      </c>
      <c r="G2018" s="6">
        <f>ROUND(F2018-D2018,2)</f>
        <v/>
      </c>
    </row>
    <row r="2019">
      <c r="A2019" t="inlineStr">
        <is>
          <t>2022-07-13</t>
        </is>
      </c>
      <c r="B2019" t="n">
        <v>12</v>
      </c>
      <c r="C2019" t="n">
        <v>3004</v>
      </c>
      <c r="D2019" s="6" t="n">
        <v>30.25</v>
      </c>
      <c r="E2019" s="6" t="n">
        <v>1117867.13</v>
      </c>
      <c r="F2019" s="6">
        <f>ROUND(E2019-E2018,2)</f>
        <v/>
      </c>
      <c r="G2019" s="6">
        <f>ROUND(F2019-D2019,2)</f>
        <v/>
      </c>
    </row>
    <row r="2020">
      <c r="A2020" t="inlineStr">
        <is>
          <t>2022-07-13</t>
        </is>
      </c>
      <c r="B2020" t="n">
        <v>13</v>
      </c>
      <c r="C2020" t="n">
        <v>3004</v>
      </c>
      <c r="D2020" s="6" t="n">
        <v>60.75</v>
      </c>
      <c r="E2020" s="6" t="n">
        <v>1117927.88</v>
      </c>
      <c r="F2020" s="6">
        <f>ROUND(E2020-E2019,2)</f>
        <v/>
      </c>
      <c r="G2020" s="6">
        <f>ROUND(F2020-D2020,2)</f>
        <v/>
      </c>
    </row>
    <row r="2021">
      <c r="A2021" t="inlineStr">
        <is>
          <t>2022-07-13</t>
        </is>
      </c>
      <c r="B2021" t="n">
        <v>14</v>
      </c>
      <c r="C2021" t="n">
        <v>3004</v>
      </c>
      <c r="D2021" s="6" t="n">
        <v>71.3</v>
      </c>
      <c r="E2021" s="6" t="n">
        <v>1117999.18</v>
      </c>
      <c r="F2021" s="6">
        <f>ROUND(E2021-E2020,2)</f>
        <v/>
      </c>
      <c r="G2021" s="6">
        <f>ROUND(F2021-D2021,2)</f>
        <v/>
      </c>
    </row>
    <row r="2022">
      <c r="A2022" t="inlineStr">
        <is>
          <t>2022-07-13</t>
        </is>
      </c>
      <c r="B2022" t="n">
        <v>15</v>
      </c>
      <c r="C2022" t="n">
        <v>3004</v>
      </c>
      <c r="D2022" s="6" t="n">
        <v>89.5</v>
      </c>
      <c r="E2022" s="6" t="n">
        <v>1118088.68</v>
      </c>
      <c r="F2022" s="6">
        <f>ROUND(E2022-E2021,2)</f>
        <v/>
      </c>
      <c r="G2022" s="6">
        <f>ROUND(F2022-D2022,2)</f>
        <v/>
      </c>
    </row>
    <row r="2023">
      <c r="A2023" t="inlineStr">
        <is>
          <t>2022-07-13</t>
        </is>
      </c>
      <c r="B2023" t="n">
        <v>16</v>
      </c>
      <c r="C2023" t="n">
        <v>3004</v>
      </c>
      <c r="D2023" s="6" t="n">
        <v>26.55</v>
      </c>
      <c r="E2023" s="6" t="n">
        <v>1118115.23</v>
      </c>
      <c r="F2023" s="6">
        <f>ROUND(E2023-E2022,2)</f>
        <v/>
      </c>
      <c r="G2023" s="6">
        <f>ROUND(F2023-D2023,2)</f>
        <v/>
      </c>
    </row>
    <row r="2024">
      <c r="A2024" t="inlineStr">
        <is>
          <t>2022-07-13</t>
        </is>
      </c>
      <c r="B2024" t="n">
        <v>17</v>
      </c>
      <c r="C2024" t="n">
        <v>3004</v>
      </c>
      <c r="D2024" s="6" t="n">
        <v>26.55</v>
      </c>
      <c r="E2024" s="6" t="n">
        <v>1118141.78</v>
      </c>
      <c r="F2024" s="6">
        <f>ROUND(E2024-E2023,2)</f>
        <v/>
      </c>
      <c r="G2024" s="6">
        <f>ROUND(F2024-D2024,2)</f>
        <v/>
      </c>
    </row>
    <row r="2025">
      <c r="A2025" t="inlineStr">
        <is>
          <t>2022-07-13</t>
        </is>
      </c>
      <c r="B2025" t="n">
        <v>18</v>
      </c>
      <c r="C2025" t="n">
        <v>3004</v>
      </c>
      <c r="D2025" s="6" t="n">
        <v>23.08</v>
      </c>
      <c r="E2025" s="6" t="n">
        <v>1118164.86</v>
      </c>
      <c r="F2025" s="6">
        <f>ROUND(E2025-E2024,2)</f>
        <v/>
      </c>
      <c r="G2025" s="6">
        <f>ROUND(F2025-D2025,2)</f>
        <v/>
      </c>
    </row>
    <row r="2026">
      <c r="A2026" t="inlineStr">
        <is>
          <t>2022-07-13</t>
        </is>
      </c>
      <c r="B2026" t="n">
        <v>19</v>
      </c>
      <c r="C2026" t="n">
        <v>3004</v>
      </c>
      <c r="D2026" s="6" t="n">
        <v>23.42</v>
      </c>
      <c r="E2026" s="6" t="n">
        <v>1118188.28</v>
      </c>
      <c r="F2026" s="6">
        <f>ROUND(E2026-E2025,2)</f>
        <v/>
      </c>
      <c r="G2026" s="6">
        <f>ROUND(F2026-D2026,2)</f>
        <v/>
      </c>
    </row>
    <row r="2027">
      <c r="A2027" t="inlineStr">
        <is>
          <t>2022-07-13</t>
        </is>
      </c>
      <c r="B2027" t="n">
        <v>20</v>
      </c>
      <c r="C2027" t="n">
        <v>3004</v>
      </c>
      <c r="D2027" s="6" t="n">
        <v>22.9</v>
      </c>
      <c r="E2027" s="6" t="n">
        <v>1118211.18</v>
      </c>
      <c r="F2027" s="6">
        <f>ROUND(E2027-E2026,2)</f>
        <v/>
      </c>
      <c r="G2027" s="6">
        <f>ROUND(F2027-D2027,2)</f>
        <v/>
      </c>
    </row>
    <row r="2028">
      <c r="A2028" t="inlineStr">
        <is>
          <t>2022-07-13</t>
        </is>
      </c>
      <c r="B2028" t="n">
        <v>21</v>
      </c>
      <c r="C2028" t="n">
        <v>3004</v>
      </c>
      <c r="D2028" s="6" t="n">
        <v>60.7</v>
      </c>
      <c r="E2028" s="6" t="n">
        <v>1118271.88</v>
      </c>
      <c r="F2028" s="6">
        <f>ROUND(E2028-E2027,2)</f>
        <v/>
      </c>
      <c r="G2028" s="6">
        <f>ROUND(F2028-D2028,2)</f>
        <v/>
      </c>
    </row>
    <row r="2029">
      <c r="A2029" t="inlineStr">
        <is>
          <t>2022-07-13</t>
        </is>
      </c>
      <c r="B2029" t="n">
        <v>22</v>
      </c>
      <c r="C2029" t="n">
        <v>3004</v>
      </c>
      <c r="D2029" s="6" t="n">
        <v>54</v>
      </c>
      <c r="E2029" s="6" t="n">
        <v>1118325.88</v>
      </c>
      <c r="F2029" s="6">
        <f>ROUND(E2029-E2028,2)</f>
        <v/>
      </c>
      <c r="G2029" s="6">
        <f>ROUND(F2029-D2029,2)</f>
        <v/>
      </c>
    </row>
    <row r="2030">
      <c r="A2030" t="inlineStr">
        <is>
          <t>2022-07-13</t>
        </is>
      </c>
      <c r="B2030" t="n">
        <v>23</v>
      </c>
      <c r="C2030" t="n">
        <v>3004</v>
      </c>
      <c r="D2030" s="6" t="n">
        <v>60.4</v>
      </c>
      <c r="E2030" s="6" t="n">
        <v>1118386.28</v>
      </c>
      <c r="F2030" s="6">
        <f>ROUND(E2030-E2029,2)</f>
        <v/>
      </c>
      <c r="G2030" s="6">
        <f>ROUND(F2030-D2030,2)</f>
        <v/>
      </c>
    </row>
    <row r="2031">
      <c r="A2031" t="inlineStr">
        <is>
          <t>2022-07-13</t>
        </is>
      </c>
      <c r="B2031" t="n">
        <v>24</v>
      </c>
      <c r="C2031" t="n">
        <v>3004</v>
      </c>
      <c r="D2031" s="6" t="n">
        <v>61.2</v>
      </c>
      <c r="E2031" s="6" t="n">
        <v>1118447.48</v>
      </c>
      <c r="F2031" s="6">
        <f>ROUND(E2031-E2030,2)</f>
        <v/>
      </c>
      <c r="G2031" s="6">
        <f>ROUND(F2031-D2031,2)</f>
        <v/>
      </c>
    </row>
    <row r="2032">
      <c r="A2032" t="inlineStr">
        <is>
          <t>2022-07-13</t>
        </is>
      </c>
      <c r="B2032" t="n">
        <v>25</v>
      </c>
      <c r="C2032" t="n">
        <v>3004</v>
      </c>
      <c r="D2032" s="6" t="n">
        <v>73.8</v>
      </c>
      <c r="E2032" s="6" t="n">
        <v>1118521.28</v>
      </c>
      <c r="F2032" s="6">
        <f>ROUND(E2032-E2031,2)</f>
        <v/>
      </c>
      <c r="G2032" s="6">
        <f>ROUND(F2032-D2032,2)</f>
        <v/>
      </c>
    </row>
    <row r="2033">
      <c r="A2033" t="inlineStr">
        <is>
          <t>2022-07-13</t>
        </is>
      </c>
      <c r="B2033" t="n">
        <v>26</v>
      </c>
      <c r="C2033" t="n">
        <v>3004</v>
      </c>
      <c r="D2033" s="6" t="n">
        <v>117.2</v>
      </c>
      <c r="E2033" s="6" t="n">
        <v>1118638.48</v>
      </c>
      <c r="F2033" s="6">
        <f>ROUND(E2033-E2032,2)</f>
        <v/>
      </c>
      <c r="G2033" s="6">
        <f>ROUND(F2033-D2033,2)</f>
        <v/>
      </c>
    </row>
    <row r="2034">
      <c r="A2034" t="inlineStr">
        <is>
          <t>2022-07-13</t>
        </is>
      </c>
      <c r="B2034" t="n">
        <v>27</v>
      </c>
      <c r="C2034" t="n">
        <v>3004</v>
      </c>
      <c r="D2034" s="6" t="n">
        <v>56.5</v>
      </c>
      <c r="E2034" s="6" t="n">
        <v>1118694.98</v>
      </c>
      <c r="F2034" s="6">
        <f>ROUND(E2034-E2033,2)</f>
        <v/>
      </c>
      <c r="G2034" s="6">
        <f>ROUND(F2034-D2034,2)</f>
        <v/>
      </c>
    </row>
    <row r="2035">
      <c r="A2035" t="inlineStr">
        <is>
          <t>2022-07-13</t>
        </is>
      </c>
      <c r="B2035" t="n">
        <v>28</v>
      </c>
      <c r="C2035" t="n">
        <v>3004</v>
      </c>
      <c r="D2035" s="6" t="n">
        <v>129</v>
      </c>
      <c r="E2035" s="6" t="n">
        <v>1118823.98</v>
      </c>
      <c r="F2035" s="6">
        <f>ROUND(E2035-E2034,2)</f>
        <v/>
      </c>
      <c r="G2035" s="6">
        <f>ROUND(F2035-D2035,2)</f>
        <v/>
      </c>
    </row>
    <row r="2036">
      <c r="A2036" t="inlineStr">
        <is>
          <t>2022-07-13</t>
        </is>
      </c>
      <c r="B2036" t="n">
        <v>29</v>
      </c>
      <c r="C2036" t="n">
        <v>3004</v>
      </c>
      <c r="D2036" s="6" t="n">
        <v>82</v>
      </c>
      <c r="E2036" s="6" t="n">
        <v>1118905.98</v>
      </c>
      <c r="F2036" s="6">
        <f>ROUND(E2036-E2035,2)</f>
        <v/>
      </c>
      <c r="G2036" s="6">
        <f>ROUND(F2036-D2036,2)</f>
        <v/>
      </c>
    </row>
    <row r="2037">
      <c r="A2037" t="inlineStr">
        <is>
          <t>2022-07-13</t>
        </is>
      </c>
      <c r="B2037" t="n">
        <v>30</v>
      </c>
      <c r="C2037" t="n">
        <v>3004</v>
      </c>
      <c r="D2037" s="6" t="n">
        <v>60.5</v>
      </c>
      <c r="E2037" s="6" t="n">
        <v>1118966.48</v>
      </c>
      <c r="F2037" s="6">
        <f>ROUND(E2037-E2036,2)</f>
        <v/>
      </c>
      <c r="G2037" s="6">
        <f>ROUND(F2037-D2037,2)</f>
        <v/>
      </c>
    </row>
    <row r="2038">
      <c r="A2038" t="inlineStr">
        <is>
          <t>2022-07-13</t>
        </is>
      </c>
      <c r="B2038" t="n">
        <v>31</v>
      </c>
      <c r="C2038" t="n">
        <v>3004</v>
      </c>
      <c r="D2038" s="6" t="n">
        <v>100.1</v>
      </c>
      <c r="E2038" s="6" t="n">
        <v>1119066.58</v>
      </c>
      <c r="F2038" s="6">
        <f>ROUND(E2038-E2037,2)</f>
        <v/>
      </c>
      <c r="G2038" s="6">
        <f>ROUND(F2038-D2038,2)</f>
        <v/>
      </c>
    </row>
    <row r="2039">
      <c r="A2039" t="inlineStr">
        <is>
          <t>2022-07-13</t>
        </is>
      </c>
      <c r="B2039" t="n">
        <v>32</v>
      </c>
      <c r="C2039" t="n">
        <v>3004</v>
      </c>
      <c r="D2039" s="6" t="n">
        <v>115.8</v>
      </c>
      <c r="E2039" s="6" t="n">
        <v>1119182.38</v>
      </c>
      <c r="F2039" s="6">
        <f>ROUND(E2039-E2038,2)</f>
        <v/>
      </c>
      <c r="G2039" s="6">
        <f>ROUND(F2039-D2039,2)</f>
        <v/>
      </c>
    </row>
    <row r="2040">
      <c r="A2040" t="inlineStr">
        <is>
          <t>2022-07-13</t>
        </is>
      </c>
      <c r="B2040" t="n">
        <v>33</v>
      </c>
      <c r="C2040" t="n">
        <v>3004</v>
      </c>
      <c r="D2040" s="6" t="n">
        <v>66.40000000000001</v>
      </c>
      <c r="E2040" s="6" t="n">
        <v>1119248.78</v>
      </c>
      <c r="F2040" s="6">
        <f>ROUND(E2040-E2039,2)</f>
        <v/>
      </c>
      <c r="G2040" s="6">
        <f>ROUND(F2040-D2040,2)</f>
        <v/>
      </c>
    </row>
    <row r="2041">
      <c r="A2041" t="inlineStr">
        <is>
          <t>2022-07-13</t>
        </is>
      </c>
      <c r="B2041" t="n">
        <v>34</v>
      </c>
      <c r="C2041" t="n">
        <v>3004</v>
      </c>
      <c r="D2041" s="6" t="n">
        <v>67.3</v>
      </c>
      <c r="E2041" s="6" t="n">
        <v>1119316.08</v>
      </c>
      <c r="F2041" s="6">
        <f>ROUND(E2041-E2040,2)</f>
        <v/>
      </c>
      <c r="G2041" s="6">
        <f>ROUND(F2041-D2041,2)</f>
        <v/>
      </c>
    </row>
    <row r="2042">
      <c r="A2042" t="inlineStr">
        <is>
          <t>2022-07-13</t>
        </is>
      </c>
      <c r="B2042" t="n">
        <v>35</v>
      </c>
      <c r="C2042" t="n">
        <v>3004</v>
      </c>
      <c r="D2042" s="6" t="n">
        <v>102</v>
      </c>
      <c r="E2042" s="6" t="n">
        <v>1119418.08</v>
      </c>
      <c r="F2042" s="6">
        <f>ROUND(E2042-E2041,2)</f>
        <v/>
      </c>
      <c r="G2042" s="6">
        <f>ROUND(F2042-D2042,2)</f>
        <v/>
      </c>
    </row>
    <row r="2043">
      <c r="A2043" t="inlineStr">
        <is>
          <t>2022-07-13</t>
        </is>
      </c>
      <c r="B2043" t="n">
        <v>36</v>
      </c>
      <c r="C2043" t="n">
        <v>3004</v>
      </c>
      <c r="D2043" s="6" t="n">
        <v>73.90000000000001</v>
      </c>
      <c r="E2043" s="6" t="n">
        <v>1119491.98</v>
      </c>
      <c r="F2043" s="6">
        <f>ROUND(E2043-E2042,2)</f>
        <v/>
      </c>
      <c r="G2043" s="6">
        <f>ROUND(F2043-D2043,2)</f>
        <v/>
      </c>
    </row>
    <row r="2044">
      <c r="A2044" t="inlineStr">
        <is>
          <t>2022-07-13</t>
        </is>
      </c>
      <c r="B2044" t="n">
        <v>37</v>
      </c>
      <c r="C2044" t="n">
        <v>3004</v>
      </c>
      <c r="D2044" s="6" t="n">
        <v>65.3</v>
      </c>
      <c r="E2044" s="6" t="n">
        <v>1119557.28</v>
      </c>
      <c r="F2044" s="6">
        <f>ROUND(E2044-E2043,2)</f>
        <v/>
      </c>
      <c r="G2044" s="6">
        <f>ROUND(F2044-D2044,2)</f>
        <v/>
      </c>
    </row>
    <row r="2045">
      <c r="A2045" t="inlineStr">
        <is>
          <t>2022-07-13</t>
        </is>
      </c>
      <c r="B2045" t="n">
        <v>38</v>
      </c>
      <c r="C2045" t="n">
        <v>3004</v>
      </c>
      <c r="D2045" s="6" t="n">
        <v>86.59999999999999</v>
      </c>
      <c r="E2045" s="6" t="n">
        <v>1119643.88</v>
      </c>
      <c r="F2045" s="6">
        <f>ROUND(E2045-E2044,2)</f>
        <v/>
      </c>
      <c r="G2045" s="6">
        <f>ROUND(F2045-D2045,2)</f>
        <v/>
      </c>
    </row>
    <row r="2046">
      <c r="A2046" t="inlineStr">
        <is>
          <t>2022-07-13</t>
        </is>
      </c>
      <c r="B2046" t="n">
        <v>39</v>
      </c>
      <c r="C2046" t="n">
        <v>3004</v>
      </c>
      <c r="D2046" s="6" t="n">
        <v>37.15</v>
      </c>
      <c r="E2046" s="6" t="n">
        <v>1119681.03</v>
      </c>
      <c r="F2046" s="6">
        <f>ROUND(E2046-E2045,2)</f>
        <v/>
      </c>
      <c r="G2046" s="6">
        <f>ROUND(F2046-D2046,2)</f>
        <v/>
      </c>
    </row>
    <row r="2047">
      <c r="A2047" t="inlineStr">
        <is>
          <t>2022-07-13</t>
        </is>
      </c>
      <c r="B2047" t="n">
        <v>40</v>
      </c>
      <c r="C2047" t="n">
        <v>3004</v>
      </c>
      <c r="D2047" s="6" t="n">
        <v>24.3</v>
      </c>
      <c r="E2047" s="6" t="n">
        <v>1119705.33</v>
      </c>
      <c r="F2047" s="6">
        <f>ROUND(E2047-E2046,2)</f>
        <v/>
      </c>
      <c r="G2047" s="6">
        <f>ROUND(F2047-D2047,2)</f>
        <v/>
      </c>
    </row>
    <row r="2048">
      <c r="A2048" t="inlineStr">
        <is>
          <t>2022-07-13</t>
        </is>
      </c>
      <c r="B2048" t="n">
        <v>41</v>
      </c>
      <c r="C2048" t="n">
        <v>3004</v>
      </c>
      <c r="D2048" s="6" t="n">
        <v>27.3</v>
      </c>
      <c r="E2048" s="6" t="n">
        <v>1119732.63</v>
      </c>
      <c r="F2048" s="6">
        <f>ROUND(E2048-E2047,2)</f>
        <v/>
      </c>
      <c r="G2048" s="6">
        <f>ROUND(F2048-D2048,2)</f>
        <v/>
      </c>
    </row>
    <row r="2049">
      <c r="A2049" t="inlineStr">
        <is>
          <t>2022-07-13</t>
        </is>
      </c>
      <c r="B2049" t="n">
        <v>42</v>
      </c>
      <c r="C2049" t="n">
        <v>3004</v>
      </c>
      <c r="D2049" s="6" t="n">
        <v>27.3</v>
      </c>
      <c r="E2049" s="6" t="n">
        <v>1119759.93</v>
      </c>
      <c r="F2049" s="6">
        <f>ROUND(E2049-E2048,2)</f>
        <v/>
      </c>
      <c r="G2049" s="6">
        <f>ROUND(F2049-D2049,2)</f>
        <v/>
      </c>
    </row>
    <row r="2050">
      <c r="A2050" t="inlineStr">
        <is>
          <t>2022-07-14</t>
        </is>
      </c>
      <c r="B2050" t="n">
        <v>1</v>
      </c>
      <c r="C2050" t="n">
        <v>3005</v>
      </c>
      <c r="D2050" s="6" t="n">
        <v>67.2</v>
      </c>
      <c r="E2050" s="6" t="n">
        <v>1119827.13</v>
      </c>
      <c r="F2050" s="6">
        <f>ROUND(E2050-E2049,2)</f>
        <v/>
      </c>
      <c r="G2050" s="6">
        <f>ROUND(F2050-D2050,2)</f>
        <v/>
      </c>
    </row>
    <row r="2051">
      <c r="A2051" t="inlineStr">
        <is>
          <t>2022-07-14</t>
        </is>
      </c>
      <c r="B2051" t="n">
        <v>2</v>
      </c>
      <c r="C2051" t="n">
        <v>3005</v>
      </c>
      <c r="D2051" s="6" t="n">
        <v>23</v>
      </c>
      <c r="E2051" s="6" t="n">
        <v>1119850.13</v>
      </c>
      <c r="F2051" s="6">
        <f>ROUND(E2051-E2050,2)</f>
        <v/>
      </c>
      <c r="G2051" s="6">
        <f>ROUND(F2051-D2051,2)</f>
        <v/>
      </c>
    </row>
    <row r="2052">
      <c r="A2052" t="inlineStr">
        <is>
          <t>2022-07-14</t>
        </is>
      </c>
      <c r="B2052" t="n">
        <v>3</v>
      </c>
      <c r="C2052" t="n">
        <v>3005</v>
      </c>
      <c r="D2052" s="6" t="n">
        <v>79.09999999999999</v>
      </c>
      <c r="E2052" s="6" t="n">
        <v>1119929.23</v>
      </c>
      <c r="F2052" s="6">
        <f>ROUND(E2052-E2051,2)</f>
        <v/>
      </c>
      <c r="G2052" s="6">
        <f>ROUND(F2052-D2052,2)</f>
        <v/>
      </c>
    </row>
    <row r="2053">
      <c r="A2053" t="inlineStr">
        <is>
          <t>2022-07-14</t>
        </is>
      </c>
      <c r="B2053" t="n">
        <v>4</v>
      </c>
      <c r="C2053" t="n">
        <v>3005</v>
      </c>
      <c r="D2053" s="6" t="n">
        <v>91.2</v>
      </c>
      <c r="E2053" s="6" t="n">
        <v>1120020.43</v>
      </c>
      <c r="F2053" s="6">
        <f>ROUND(E2053-E2052,2)</f>
        <v/>
      </c>
      <c r="G2053" s="6">
        <f>ROUND(F2053-D2053,2)</f>
        <v/>
      </c>
    </row>
    <row r="2054">
      <c r="A2054" t="inlineStr">
        <is>
          <t>2022-07-14</t>
        </is>
      </c>
      <c r="B2054" t="n">
        <v>5</v>
      </c>
      <c r="C2054" t="n">
        <v>3005</v>
      </c>
      <c r="D2054" s="6" t="n">
        <v>38.8</v>
      </c>
      <c r="E2054" s="6" t="n">
        <v>1120059.23</v>
      </c>
      <c r="F2054" s="6">
        <f>ROUND(E2054-E2053,2)</f>
        <v/>
      </c>
      <c r="G2054" s="6">
        <f>ROUND(F2054-D2054,2)</f>
        <v/>
      </c>
    </row>
    <row r="2055">
      <c r="A2055" t="inlineStr">
        <is>
          <t>2022-07-14</t>
        </is>
      </c>
      <c r="B2055" t="n">
        <v>6</v>
      </c>
      <c r="C2055" t="n">
        <v>3005</v>
      </c>
      <c r="D2055" s="6" t="n">
        <v>45.2</v>
      </c>
      <c r="E2055" s="6" t="n">
        <v>1120104.43</v>
      </c>
      <c r="F2055" s="6">
        <f>ROUND(E2055-E2054,2)</f>
        <v/>
      </c>
      <c r="G2055" s="6">
        <f>ROUND(F2055-D2055,2)</f>
        <v/>
      </c>
    </row>
    <row r="2056">
      <c r="A2056" t="inlineStr">
        <is>
          <t>2022-07-14</t>
        </is>
      </c>
      <c r="B2056" t="n">
        <v>7</v>
      </c>
      <c r="C2056" t="n">
        <v>3005</v>
      </c>
      <c r="D2056" s="6" t="n">
        <v>124.7</v>
      </c>
      <c r="E2056" s="6" t="n">
        <v>1120229.13</v>
      </c>
      <c r="F2056" s="6">
        <f>ROUND(E2056-E2055,2)</f>
        <v/>
      </c>
      <c r="G2056" s="6">
        <f>ROUND(F2056-D2056,2)</f>
        <v/>
      </c>
    </row>
    <row r="2057">
      <c r="A2057" t="inlineStr">
        <is>
          <t>2022-07-14</t>
        </is>
      </c>
      <c r="B2057" t="n">
        <v>8</v>
      </c>
      <c r="C2057" t="n">
        <v>3005</v>
      </c>
      <c r="D2057" s="6" t="n">
        <v>54</v>
      </c>
      <c r="E2057" s="6" t="n">
        <v>1120283.13</v>
      </c>
      <c r="F2057" s="6">
        <f>ROUND(E2057-E2056,2)</f>
        <v/>
      </c>
      <c r="G2057" s="6">
        <f>ROUND(F2057-D2057,2)</f>
        <v/>
      </c>
    </row>
    <row r="2058">
      <c r="A2058" t="inlineStr">
        <is>
          <t>2022-07-14</t>
        </is>
      </c>
      <c r="B2058" t="n">
        <v>9</v>
      </c>
      <c r="C2058" t="n">
        <v>3005</v>
      </c>
      <c r="D2058" s="6" t="n">
        <v>149.2</v>
      </c>
      <c r="E2058" s="6" t="n">
        <v>1120432.33</v>
      </c>
      <c r="F2058" s="6">
        <f>ROUND(E2058-E2057,2)</f>
        <v/>
      </c>
      <c r="G2058" s="6">
        <f>ROUND(F2058-D2058,2)</f>
        <v/>
      </c>
    </row>
    <row r="2059">
      <c r="A2059" t="inlineStr">
        <is>
          <t>2022-07-14</t>
        </is>
      </c>
      <c r="B2059" t="n">
        <v>10</v>
      </c>
      <c r="C2059" t="n">
        <v>3005</v>
      </c>
      <c r="D2059" s="6" t="n">
        <v>78.40000000000001</v>
      </c>
      <c r="E2059" s="6" t="n">
        <v>1120510.73</v>
      </c>
      <c r="F2059" s="6">
        <f>ROUND(E2059-E2058,2)</f>
        <v/>
      </c>
      <c r="G2059" s="6">
        <f>ROUND(F2059-D2059,2)</f>
        <v/>
      </c>
    </row>
    <row r="2060">
      <c r="A2060" t="inlineStr">
        <is>
          <t>2022-07-14</t>
        </is>
      </c>
      <c r="B2060" t="n">
        <v>11</v>
      </c>
      <c r="C2060" t="n">
        <v>3005</v>
      </c>
      <c r="D2060" s="6" t="n">
        <v>44.4</v>
      </c>
      <c r="E2060" s="6" t="n">
        <v>1120555.13</v>
      </c>
      <c r="F2060" s="6">
        <f>ROUND(E2060-E2059,2)</f>
        <v/>
      </c>
      <c r="G2060" s="6">
        <f>ROUND(F2060-D2060,2)</f>
        <v/>
      </c>
    </row>
    <row r="2061">
      <c r="A2061" t="inlineStr">
        <is>
          <t>2022-07-14</t>
        </is>
      </c>
      <c r="B2061" t="n">
        <v>12</v>
      </c>
      <c r="C2061" t="n">
        <v>3005</v>
      </c>
      <c r="D2061" s="6" t="n">
        <v>63.4</v>
      </c>
      <c r="E2061" s="6" t="n">
        <v>1120618.53</v>
      </c>
      <c r="F2061" s="6">
        <f>ROUND(E2061-E2060,2)</f>
        <v/>
      </c>
      <c r="G2061" s="6">
        <f>ROUND(F2061-D2061,2)</f>
        <v/>
      </c>
    </row>
    <row r="2062">
      <c r="A2062" t="inlineStr">
        <is>
          <t>2022-07-14</t>
        </is>
      </c>
      <c r="B2062" t="n">
        <v>13</v>
      </c>
      <c r="C2062" t="n">
        <v>3005</v>
      </c>
      <c r="D2062" s="6" t="n">
        <v>99.40000000000001</v>
      </c>
      <c r="E2062" s="6" t="n">
        <v>1120717.93</v>
      </c>
      <c r="F2062" s="6">
        <f>ROUND(E2062-E2061,2)</f>
        <v/>
      </c>
      <c r="G2062" s="6">
        <f>ROUND(F2062-D2062,2)</f>
        <v/>
      </c>
    </row>
    <row r="2063">
      <c r="A2063" t="inlineStr">
        <is>
          <t>2022-07-14</t>
        </is>
      </c>
      <c r="B2063" t="n">
        <v>14</v>
      </c>
      <c r="C2063" t="n">
        <v>3005</v>
      </c>
      <c r="D2063" s="6" t="n">
        <v>52</v>
      </c>
      <c r="E2063" s="6" t="n">
        <v>1120769.93</v>
      </c>
      <c r="F2063" s="6">
        <f>ROUND(E2063-E2062,2)</f>
        <v/>
      </c>
      <c r="G2063" s="6">
        <f>ROUND(F2063-D2063,2)</f>
        <v/>
      </c>
    </row>
    <row r="2064">
      <c r="A2064" t="inlineStr">
        <is>
          <t>2022-07-14</t>
        </is>
      </c>
      <c r="B2064" t="n">
        <v>15</v>
      </c>
      <c r="C2064" t="n">
        <v>3005</v>
      </c>
      <c r="D2064" s="6" t="n">
        <v>56.8</v>
      </c>
      <c r="E2064" s="6" t="n">
        <v>1120826.73</v>
      </c>
      <c r="F2064" s="6">
        <f>ROUND(E2064-E2063,2)</f>
        <v/>
      </c>
      <c r="G2064" s="6">
        <f>ROUND(F2064-D2064,2)</f>
        <v/>
      </c>
    </row>
    <row r="2065">
      <c r="A2065" t="inlineStr">
        <is>
          <t>2022-07-14</t>
        </is>
      </c>
      <c r="B2065" t="n">
        <v>16</v>
      </c>
      <c r="C2065" t="n">
        <v>3005</v>
      </c>
      <c r="D2065" s="6" t="n">
        <v>65.40000000000001</v>
      </c>
      <c r="E2065" s="6" t="n">
        <v>1120892.13</v>
      </c>
      <c r="F2065" s="6">
        <f>ROUND(E2065-E2064,2)</f>
        <v/>
      </c>
      <c r="G2065" s="6">
        <f>ROUND(F2065-D2065,2)</f>
        <v/>
      </c>
    </row>
    <row r="2066">
      <c r="A2066" t="inlineStr">
        <is>
          <t>2022-07-14</t>
        </is>
      </c>
      <c r="B2066" t="n">
        <v>17</v>
      </c>
      <c r="C2066" t="n">
        <v>3005</v>
      </c>
      <c r="D2066" s="6" t="n">
        <v>64.7</v>
      </c>
      <c r="E2066" s="6" t="n">
        <v>1120956.83</v>
      </c>
      <c r="F2066" s="6">
        <f>ROUND(E2066-E2065,2)</f>
        <v/>
      </c>
      <c r="G2066" s="6">
        <f>ROUND(F2066-D2066,2)</f>
        <v/>
      </c>
    </row>
    <row r="2067">
      <c r="A2067" t="inlineStr">
        <is>
          <t>2022-07-14</t>
        </is>
      </c>
      <c r="B2067" t="n">
        <v>18</v>
      </c>
      <c r="C2067" t="n">
        <v>3005</v>
      </c>
      <c r="D2067" s="6" t="n">
        <v>83.8</v>
      </c>
      <c r="E2067" s="6" t="n">
        <v>1121040.63</v>
      </c>
      <c r="F2067" s="6">
        <f>ROUND(E2067-E2066,2)</f>
        <v/>
      </c>
      <c r="G2067" s="6">
        <f>ROUND(F2067-D2067,2)</f>
        <v/>
      </c>
    </row>
    <row r="2068">
      <c r="A2068" t="inlineStr">
        <is>
          <t>2022-07-14</t>
        </is>
      </c>
      <c r="B2068" t="n">
        <v>19</v>
      </c>
      <c r="C2068" t="n">
        <v>3005</v>
      </c>
      <c r="D2068" s="6" t="n">
        <v>105.4</v>
      </c>
      <c r="E2068" s="6" t="n">
        <v>1121146.03</v>
      </c>
      <c r="F2068" s="6">
        <f>ROUND(E2068-E2067,2)</f>
        <v/>
      </c>
      <c r="G2068" s="6">
        <f>ROUND(F2068-D2068,2)</f>
        <v/>
      </c>
    </row>
    <row r="2069">
      <c r="A2069" t="inlineStr">
        <is>
          <t>2022-07-14</t>
        </is>
      </c>
      <c r="B2069" t="n">
        <v>20</v>
      </c>
      <c r="C2069" t="n">
        <v>3005</v>
      </c>
      <c r="D2069" s="6" t="n">
        <v>78.2</v>
      </c>
      <c r="E2069" s="6" t="n">
        <v>1121224.23</v>
      </c>
      <c r="F2069" s="6">
        <f>ROUND(E2069-E2068,2)</f>
        <v/>
      </c>
      <c r="G2069" s="6">
        <f>ROUND(F2069-D2069,2)</f>
        <v/>
      </c>
    </row>
    <row r="2070">
      <c r="A2070" t="inlineStr">
        <is>
          <t>2022-07-14</t>
        </is>
      </c>
      <c r="B2070" t="n">
        <v>21</v>
      </c>
      <c r="C2070" t="n">
        <v>3005</v>
      </c>
      <c r="D2070" s="6" t="n">
        <v>111.8</v>
      </c>
      <c r="E2070" s="6" t="n">
        <v>1121336.03</v>
      </c>
      <c r="F2070" s="6">
        <f>ROUND(E2070-E2069,2)</f>
        <v/>
      </c>
      <c r="G2070" s="6">
        <f>ROUND(F2070-D2070,2)</f>
        <v/>
      </c>
    </row>
    <row r="2071">
      <c r="A2071" t="inlineStr">
        <is>
          <t>2022-07-14</t>
        </is>
      </c>
      <c r="B2071" t="n">
        <v>22</v>
      </c>
      <c r="C2071" t="n">
        <v>3005</v>
      </c>
      <c r="D2071" s="6" t="n">
        <v>69.09999999999999</v>
      </c>
      <c r="E2071" s="6" t="n">
        <v>1121405.13</v>
      </c>
      <c r="F2071" s="6">
        <f>ROUND(E2071-E2070,2)</f>
        <v/>
      </c>
      <c r="G2071" s="6">
        <f>ROUND(F2071-D2071,2)</f>
        <v/>
      </c>
    </row>
    <row r="2072">
      <c r="A2072" t="inlineStr">
        <is>
          <t>2022-07-14</t>
        </is>
      </c>
      <c r="B2072" t="n">
        <v>23</v>
      </c>
      <c r="C2072" t="n">
        <v>3005</v>
      </c>
      <c r="D2072" s="6" t="n">
        <v>63.8</v>
      </c>
      <c r="E2072" s="6" t="n">
        <v>1121468.93</v>
      </c>
      <c r="F2072" s="6">
        <f>ROUND(E2072-E2071,2)</f>
        <v/>
      </c>
      <c r="G2072" s="6">
        <f>ROUND(F2072-D2072,2)</f>
        <v/>
      </c>
    </row>
    <row r="2073">
      <c r="A2073" t="inlineStr">
        <is>
          <t>2022-07-14</t>
        </is>
      </c>
      <c r="B2073" t="n">
        <v>24</v>
      </c>
      <c r="C2073" t="n">
        <v>3005</v>
      </c>
      <c r="D2073" s="6" t="n">
        <v>255.7</v>
      </c>
      <c r="E2073" s="6" t="n">
        <v>1121724.63</v>
      </c>
      <c r="F2073" s="6">
        <f>ROUND(E2073-E2072,2)</f>
        <v/>
      </c>
      <c r="G2073" s="6">
        <f>ROUND(F2073-D2073,2)</f>
        <v/>
      </c>
    </row>
    <row r="2074">
      <c r="A2074" t="inlineStr">
        <is>
          <t>2022-07-15</t>
        </is>
      </c>
      <c r="B2074" t="n">
        <v>1</v>
      </c>
      <c r="C2074" t="n">
        <v>3006</v>
      </c>
      <c r="D2074" s="6" t="n">
        <v>61.9</v>
      </c>
      <c r="E2074" s="6" t="n">
        <v>1121786.53</v>
      </c>
      <c r="F2074" s="6">
        <f>ROUND(E2074-E2073,2)</f>
        <v/>
      </c>
      <c r="G2074" s="6">
        <f>ROUND(F2074-D2074,2)</f>
        <v/>
      </c>
    </row>
    <row r="2075">
      <c r="A2075" t="inlineStr">
        <is>
          <t>2022-07-15</t>
        </is>
      </c>
      <c r="B2075" t="n">
        <v>2</v>
      </c>
      <c r="C2075" t="n">
        <v>3006</v>
      </c>
      <c r="D2075" s="6" t="n">
        <v>106</v>
      </c>
      <c r="E2075" s="6" t="n">
        <v>1121892.53</v>
      </c>
      <c r="F2075" s="6">
        <f>ROUND(E2075-E2074,2)</f>
        <v/>
      </c>
      <c r="G2075" s="6">
        <f>ROUND(F2075-D2075,2)</f>
        <v/>
      </c>
    </row>
    <row r="2076">
      <c r="A2076" t="inlineStr">
        <is>
          <t>2022-07-15</t>
        </is>
      </c>
      <c r="B2076" t="n">
        <v>3</v>
      </c>
      <c r="C2076" t="n">
        <v>3006</v>
      </c>
      <c r="D2076" s="6" t="n">
        <v>56</v>
      </c>
      <c r="E2076" s="6" t="n">
        <v>1121948.53</v>
      </c>
      <c r="F2076" s="6">
        <f>ROUND(E2076-E2075,2)</f>
        <v/>
      </c>
      <c r="G2076" s="6">
        <f>ROUND(F2076-D2076,2)</f>
        <v/>
      </c>
    </row>
    <row r="2077">
      <c r="A2077" t="inlineStr">
        <is>
          <t>2022-07-15</t>
        </is>
      </c>
      <c r="B2077" t="n">
        <v>4</v>
      </c>
      <c r="C2077" t="n">
        <v>3006</v>
      </c>
      <c r="D2077" s="6" t="n">
        <v>38.7</v>
      </c>
      <c r="E2077" s="6" t="n">
        <v>1121987.23</v>
      </c>
      <c r="F2077" s="6">
        <f>ROUND(E2077-E2076,2)</f>
        <v/>
      </c>
      <c r="G2077" s="6">
        <f>ROUND(F2077-D2077,2)</f>
        <v/>
      </c>
    </row>
    <row r="2078">
      <c r="A2078" t="inlineStr">
        <is>
          <t>2022-07-15</t>
        </is>
      </c>
      <c r="B2078" t="n">
        <v>5</v>
      </c>
      <c r="C2078" t="n">
        <v>3006</v>
      </c>
      <c r="D2078" s="6" t="n">
        <v>112.7</v>
      </c>
      <c r="E2078" s="6" t="n">
        <v>1122099.93</v>
      </c>
      <c r="F2078" s="6">
        <f>ROUND(E2078-E2077,2)</f>
        <v/>
      </c>
      <c r="G2078" s="6">
        <f>ROUND(F2078-D2078,2)</f>
        <v/>
      </c>
    </row>
    <row r="2079">
      <c r="A2079" t="inlineStr">
        <is>
          <t>2022-07-15</t>
        </is>
      </c>
      <c r="B2079" t="n">
        <v>6</v>
      </c>
      <c r="C2079" t="n">
        <v>3006</v>
      </c>
      <c r="D2079" s="6" t="n">
        <v>41.2</v>
      </c>
      <c r="E2079" s="6" t="n">
        <v>1122141.13</v>
      </c>
      <c r="F2079" s="6">
        <f>ROUND(E2079-E2078,2)</f>
        <v/>
      </c>
      <c r="G2079" s="6">
        <f>ROUND(F2079-D2079,2)</f>
        <v/>
      </c>
    </row>
    <row r="2080">
      <c r="A2080" t="inlineStr">
        <is>
          <t>2022-07-15</t>
        </is>
      </c>
      <c r="B2080" t="n">
        <v>7</v>
      </c>
      <c r="C2080" t="n">
        <v>3006</v>
      </c>
      <c r="D2080" s="6" t="n">
        <v>100.1</v>
      </c>
      <c r="E2080" s="6" t="n">
        <v>1122241.23</v>
      </c>
      <c r="F2080" s="6">
        <f>ROUND(E2080-E2079,2)</f>
        <v/>
      </c>
      <c r="G2080" s="6">
        <f>ROUND(F2080-D2080,2)</f>
        <v/>
      </c>
    </row>
    <row r="2081">
      <c r="A2081" t="inlineStr">
        <is>
          <t>2022-07-15</t>
        </is>
      </c>
      <c r="B2081" t="n">
        <v>8</v>
      </c>
      <c r="C2081" t="n">
        <v>3006</v>
      </c>
      <c r="D2081" s="6" t="n">
        <v>85.3</v>
      </c>
      <c r="E2081" s="6" t="n">
        <v>1122326.53</v>
      </c>
      <c r="F2081" s="6">
        <f>ROUND(E2081-E2080,2)</f>
        <v/>
      </c>
      <c r="G2081" s="6">
        <f>ROUND(F2081-D2081,2)</f>
        <v/>
      </c>
    </row>
    <row r="2082">
      <c r="A2082" t="inlineStr">
        <is>
          <t>2022-07-15</t>
        </is>
      </c>
      <c r="B2082" t="n">
        <v>9</v>
      </c>
      <c r="C2082" t="n">
        <v>3006</v>
      </c>
      <c r="D2082" s="6" t="n">
        <v>81.8</v>
      </c>
      <c r="E2082" s="6" t="n">
        <v>1122408.33</v>
      </c>
      <c r="F2082" s="6">
        <f>ROUND(E2082-E2081,2)</f>
        <v/>
      </c>
      <c r="G2082" s="6">
        <f>ROUND(F2082-D2082,2)</f>
        <v/>
      </c>
    </row>
    <row r="2083">
      <c r="A2083" t="inlineStr">
        <is>
          <t>2022-07-15</t>
        </is>
      </c>
      <c r="B2083" t="n">
        <v>10</v>
      </c>
      <c r="C2083" t="n">
        <v>3006</v>
      </c>
      <c r="D2083" s="6" t="n">
        <v>58.3</v>
      </c>
      <c r="E2083" s="6" t="n">
        <v>1122466.63</v>
      </c>
      <c r="F2083" s="6">
        <f>ROUND(E2083-E2082,2)</f>
        <v/>
      </c>
      <c r="G2083" s="6">
        <f>ROUND(F2083-D2083,2)</f>
        <v/>
      </c>
    </row>
    <row r="2084">
      <c r="A2084" t="inlineStr">
        <is>
          <t>2022-07-15</t>
        </is>
      </c>
      <c r="B2084" t="n">
        <v>11</v>
      </c>
      <c r="C2084" t="n">
        <v>3006</v>
      </c>
      <c r="D2084" s="6" t="n">
        <v>18.95</v>
      </c>
      <c r="E2084" s="6" t="n">
        <v>1122485.58</v>
      </c>
      <c r="F2084" s="6">
        <f>ROUND(E2084-E2083,2)</f>
        <v/>
      </c>
      <c r="G2084" s="6">
        <f>ROUND(F2084-D2084,2)</f>
        <v/>
      </c>
    </row>
    <row r="2085">
      <c r="A2085" t="inlineStr">
        <is>
          <t>2022-07-15</t>
        </is>
      </c>
      <c r="B2085" t="n">
        <v>12</v>
      </c>
      <c r="C2085" t="n">
        <v>3006</v>
      </c>
      <c r="D2085" s="6" t="n">
        <v>19.52</v>
      </c>
      <c r="E2085" s="6" t="n">
        <v>1122505.1</v>
      </c>
      <c r="F2085" s="6">
        <f>ROUND(E2085-E2084,2)</f>
        <v/>
      </c>
      <c r="G2085" s="6">
        <f>ROUND(F2085-D2085,2)</f>
        <v/>
      </c>
    </row>
    <row r="2086">
      <c r="A2086" t="inlineStr">
        <is>
          <t>2022-07-15</t>
        </is>
      </c>
      <c r="B2086" t="n">
        <v>13</v>
      </c>
      <c r="C2086" t="n">
        <v>3006</v>
      </c>
      <c r="D2086" s="6" t="n">
        <v>18.93</v>
      </c>
      <c r="E2086" s="6" t="n">
        <v>1122524.03</v>
      </c>
      <c r="F2086" s="6">
        <f>ROUND(E2086-E2085,2)</f>
        <v/>
      </c>
      <c r="G2086" s="6">
        <f>ROUND(F2086-D2086,2)</f>
        <v/>
      </c>
    </row>
    <row r="2087">
      <c r="A2087" t="inlineStr">
        <is>
          <t>2022-07-15</t>
        </is>
      </c>
      <c r="B2087" t="n">
        <v>14</v>
      </c>
      <c r="C2087" t="n">
        <v>3006</v>
      </c>
      <c r="D2087" s="6" t="n">
        <v>37.6</v>
      </c>
      <c r="E2087" s="6" t="n">
        <v>1122561.63</v>
      </c>
      <c r="F2087" s="6">
        <f>ROUND(E2087-E2086,2)</f>
        <v/>
      </c>
      <c r="G2087" s="6">
        <f>ROUND(F2087-D2087,2)</f>
        <v/>
      </c>
    </row>
    <row r="2088">
      <c r="A2088" t="inlineStr">
        <is>
          <t>2022-07-15</t>
        </is>
      </c>
      <c r="B2088" t="n">
        <v>15</v>
      </c>
      <c r="C2088" t="n">
        <v>3006</v>
      </c>
      <c r="D2088" s="6" t="n">
        <v>83</v>
      </c>
      <c r="E2088" s="6" t="n">
        <v>1122644.63</v>
      </c>
      <c r="F2088" s="6">
        <f>ROUND(E2088-E2087,2)</f>
        <v/>
      </c>
      <c r="G2088" s="6">
        <f>ROUND(F2088-D2088,2)</f>
        <v/>
      </c>
    </row>
    <row r="2089">
      <c r="A2089" t="inlineStr">
        <is>
          <t>2022-07-15</t>
        </is>
      </c>
      <c r="B2089" t="n">
        <v>16</v>
      </c>
      <c r="C2089" t="n">
        <v>3006</v>
      </c>
      <c r="D2089" s="6" t="n">
        <v>182</v>
      </c>
      <c r="E2089" s="6" t="n">
        <v>1122826.63</v>
      </c>
      <c r="F2089" s="6">
        <f>ROUND(E2089-E2088,2)</f>
        <v/>
      </c>
      <c r="G2089" s="6">
        <f>ROUND(F2089-D2089,2)</f>
        <v/>
      </c>
    </row>
    <row r="2090">
      <c r="A2090" t="inlineStr">
        <is>
          <t>2022-07-15</t>
        </is>
      </c>
      <c r="B2090" t="n">
        <v>17</v>
      </c>
      <c r="C2090" t="n">
        <v>3006</v>
      </c>
      <c r="D2090" s="6" t="n">
        <v>56.9</v>
      </c>
      <c r="E2090" s="6" t="n">
        <v>1122883.53</v>
      </c>
      <c r="F2090" s="6">
        <f>ROUND(E2090-E2089,2)</f>
        <v/>
      </c>
      <c r="G2090" s="6">
        <f>ROUND(F2090-D2090,2)</f>
        <v/>
      </c>
    </row>
    <row r="2091">
      <c r="A2091" t="inlineStr">
        <is>
          <t>2022-07-15</t>
        </is>
      </c>
      <c r="B2091" t="n">
        <v>18</v>
      </c>
      <c r="C2091" t="n">
        <v>3006</v>
      </c>
      <c r="D2091" s="6" t="n">
        <v>39.9</v>
      </c>
      <c r="E2091" s="6" t="n">
        <v>1122923.43</v>
      </c>
      <c r="F2091" s="6">
        <f>ROUND(E2091-E2090,2)</f>
        <v/>
      </c>
      <c r="G2091" s="6">
        <f>ROUND(F2091-D2091,2)</f>
        <v/>
      </c>
    </row>
    <row r="2092">
      <c r="A2092" t="inlineStr">
        <is>
          <t>2022-07-15</t>
        </is>
      </c>
      <c r="B2092" t="n">
        <v>19</v>
      </c>
      <c r="C2092" t="n">
        <v>3006</v>
      </c>
      <c r="D2092" s="6" t="n">
        <v>74.40000000000001</v>
      </c>
      <c r="E2092" s="6" t="n">
        <v>1122997.83</v>
      </c>
      <c r="F2092" s="6">
        <f>ROUND(E2092-E2091,2)</f>
        <v/>
      </c>
      <c r="G2092" s="6">
        <f>ROUND(F2092-D2092,2)</f>
        <v/>
      </c>
    </row>
    <row r="2093">
      <c r="A2093" t="inlineStr">
        <is>
          <t>2022-07-15</t>
        </is>
      </c>
      <c r="B2093" t="n">
        <v>20</v>
      </c>
      <c r="C2093" t="n">
        <v>3006</v>
      </c>
      <c r="D2093" s="6" t="n">
        <v>59.7</v>
      </c>
      <c r="E2093" s="6" t="n">
        <v>1123057.53</v>
      </c>
      <c r="F2093" s="6">
        <f>ROUND(E2093-E2092,2)</f>
        <v/>
      </c>
      <c r="G2093" s="6">
        <f>ROUND(F2093-D2093,2)</f>
        <v/>
      </c>
    </row>
    <row r="2094">
      <c r="A2094" t="inlineStr">
        <is>
          <t>2022-07-15</t>
        </is>
      </c>
      <c r="B2094" t="n">
        <v>21</v>
      </c>
      <c r="C2094" t="n">
        <v>3006</v>
      </c>
      <c r="D2094" s="6" t="n">
        <v>139.1</v>
      </c>
      <c r="E2094" s="6" t="n">
        <v>1123196.63</v>
      </c>
      <c r="F2094" s="6">
        <f>ROUND(E2094-E2093,2)</f>
        <v/>
      </c>
      <c r="G2094" s="6">
        <f>ROUND(F2094-D2094,2)</f>
        <v/>
      </c>
    </row>
    <row r="2095">
      <c r="A2095" t="inlineStr">
        <is>
          <t>2022-07-15</t>
        </is>
      </c>
      <c r="B2095" t="n">
        <v>22</v>
      </c>
      <c r="C2095" t="n">
        <v>3006</v>
      </c>
      <c r="D2095" s="6" t="n">
        <v>73.59999999999999</v>
      </c>
      <c r="E2095" s="6" t="n">
        <v>1123270.23</v>
      </c>
      <c r="F2095" s="6">
        <f>ROUND(E2095-E2094,2)</f>
        <v/>
      </c>
      <c r="G2095" s="6">
        <f>ROUND(F2095-D2095,2)</f>
        <v/>
      </c>
    </row>
    <row r="2096">
      <c r="A2096" t="inlineStr">
        <is>
          <t>2022-07-15</t>
        </is>
      </c>
      <c r="B2096" t="n">
        <v>23</v>
      </c>
      <c r="C2096" t="n">
        <v>3006</v>
      </c>
      <c r="D2096" s="6" t="n">
        <v>71.59999999999999</v>
      </c>
      <c r="E2096" s="6" t="n">
        <v>1123341.83</v>
      </c>
      <c r="F2096" s="6">
        <f>ROUND(E2096-E2095,2)</f>
        <v/>
      </c>
      <c r="G2096" s="6">
        <f>ROUND(F2096-D2096,2)</f>
        <v/>
      </c>
    </row>
    <row r="2097">
      <c r="A2097" t="inlineStr">
        <is>
          <t>2022-07-15</t>
        </is>
      </c>
      <c r="B2097" t="n">
        <v>24</v>
      </c>
      <c r="C2097" t="n">
        <v>3006</v>
      </c>
      <c r="D2097" s="6" t="n">
        <v>60.5</v>
      </c>
      <c r="E2097" s="6" t="n">
        <v>1123402.33</v>
      </c>
      <c r="F2097" s="6">
        <f>ROUND(E2097-E2096,2)</f>
        <v/>
      </c>
      <c r="G2097" s="6">
        <f>ROUND(F2097-D2097,2)</f>
        <v/>
      </c>
    </row>
    <row r="2098">
      <c r="A2098" t="inlineStr">
        <is>
          <t>2022-07-15</t>
        </is>
      </c>
      <c r="B2098" t="n">
        <v>25</v>
      </c>
      <c r="C2098" t="n">
        <v>3006</v>
      </c>
      <c r="D2098" s="6" t="n">
        <v>48.8</v>
      </c>
      <c r="E2098" s="6" t="n">
        <v>1123451.13</v>
      </c>
      <c r="F2098" s="6">
        <f>ROUND(E2098-E2097,2)</f>
        <v/>
      </c>
      <c r="G2098" s="6">
        <f>ROUND(F2098-D2098,2)</f>
        <v/>
      </c>
    </row>
    <row r="2099">
      <c r="A2099" t="inlineStr">
        <is>
          <t>2022-07-15</t>
        </is>
      </c>
      <c r="B2099" t="n">
        <v>26</v>
      </c>
      <c r="C2099" t="n">
        <v>3006</v>
      </c>
      <c r="D2099" s="6" t="n">
        <v>120.2</v>
      </c>
      <c r="E2099" s="6" t="n">
        <v>1123571.33</v>
      </c>
      <c r="F2099" s="6">
        <f>ROUND(E2099-E2098,2)</f>
        <v/>
      </c>
      <c r="G2099" s="6">
        <f>ROUND(F2099-D2099,2)</f>
        <v/>
      </c>
    </row>
    <row r="2100">
      <c r="A2100" t="inlineStr">
        <is>
          <t>2022-07-15</t>
        </is>
      </c>
      <c r="B2100" t="n">
        <v>27</v>
      </c>
      <c r="C2100" t="n">
        <v>3006</v>
      </c>
      <c r="D2100" s="6" t="n">
        <v>56.9</v>
      </c>
      <c r="E2100" s="6" t="n">
        <v>1123628.23</v>
      </c>
      <c r="F2100" s="6">
        <f>ROUND(E2100-E2099,2)</f>
        <v/>
      </c>
      <c r="G2100" s="6">
        <f>ROUND(F2100-D2100,2)</f>
        <v/>
      </c>
    </row>
    <row r="2101">
      <c r="A2101" t="inlineStr">
        <is>
          <t>2022-07-15</t>
        </is>
      </c>
      <c r="B2101" t="n">
        <v>28</v>
      </c>
      <c r="C2101" t="n">
        <v>3006</v>
      </c>
      <c r="D2101" s="6" t="n">
        <v>73.2</v>
      </c>
      <c r="E2101" s="6" t="n">
        <v>1123701.43</v>
      </c>
      <c r="F2101" s="6">
        <f>ROUND(E2101-E2100,2)</f>
        <v/>
      </c>
      <c r="G2101" s="6">
        <f>ROUND(F2101-D2101,2)</f>
        <v/>
      </c>
    </row>
    <row r="2102">
      <c r="A2102" t="inlineStr">
        <is>
          <t>2022-07-15</t>
        </is>
      </c>
      <c r="B2102" t="n">
        <v>29</v>
      </c>
      <c r="C2102" t="n">
        <v>3006</v>
      </c>
      <c r="D2102" s="6" t="n">
        <v>122.2</v>
      </c>
      <c r="E2102" s="6" t="n">
        <v>1123823.63</v>
      </c>
      <c r="F2102" s="6">
        <f>ROUND(E2102-E2101,2)</f>
        <v/>
      </c>
      <c r="G2102" s="6">
        <f>ROUND(F2102-D2102,2)</f>
        <v/>
      </c>
    </row>
    <row r="2103">
      <c r="A2103" t="inlineStr">
        <is>
          <t>2022-07-15</t>
        </is>
      </c>
      <c r="B2103" t="n">
        <v>30</v>
      </c>
      <c r="C2103" t="n">
        <v>3006</v>
      </c>
      <c r="D2103" s="6" t="n">
        <v>94.7</v>
      </c>
      <c r="E2103" s="6" t="n">
        <v>1123918.33</v>
      </c>
      <c r="F2103" s="6">
        <f>ROUND(E2103-E2102,2)</f>
        <v/>
      </c>
      <c r="G2103" s="6">
        <f>ROUND(F2103-D2103,2)</f>
        <v/>
      </c>
    </row>
    <row r="2104">
      <c r="A2104" t="inlineStr">
        <is>
          <t>2022-07-15</t>
        </is>
      </c>
      <c r="B2104" t="n">
        <v>31</v>
      </c>
      <c r="C2104" t="n">
        <v>3006</v>
      </c>
      <c r="D2104" s="6" t="n">
        <v>80.09999999999999</v>
      </c>
      <c r="E2104" s="6" t="n">
        <v>1123998.43</v>
      </c>
      <c r="F2104" s="6">
        <f>ROUND(E2104-E2103,2)</f>
        <v/>
      </c>
      <c r="G2104" s="6">
        <f>ROUND(F2104-D2104,2)</f>
        <v/>
      </c>
    </row>
    <row r="2105">
      <c r="A2105" t="inlineStr">
        <is>
          <t>2022-07-15</t>
        </is>
      </c>
      <c r="B2105" t="n">
        <v>32</v>
      </c>
      <c r="C2105" t="n">
        <v>3006</v>
      </c>
      <c r="D2105" s="6" t="n">
        <v>67.40000000000001</v>
      </c>
      <c r="E2105" s="6" t="n">
        <v>1124065.83</v>
      </c>
      <c r="F2105" s="6">
        <f>ROUND(E2105-E2104,2)</f>
        <v/>
      </c>
      <c r="G2105" s="6">
        <f>ROUND(F2105-D2105,2)</f>
        <v/>
      </c>
    </row>
    <row r="2106">
      <c r="A2106" t="inlineStr">
        <is>
          <t>2022-07-15</t>
        </is>
      </c>
      <c r="B2106" t="n">
        <v>33</v>
      </c>
      <c r="C2106" t="n">
        <v>3006</v>
      </c>
      <c r="D2106" s="6" t="n">
        <v>41.7</v>
      </c>
      <c r="E2106" s="6" t="n">
        <v>1124107.53</v>
      </c>
      <c r="F2106" s="6">
        <f>ROUND(E2106-E2105,2)</f>
        <v/>
      </c>
      <c r="G2106" s="6">
        <f>ROUND(F2106-D2106,2)</f>
        <v/>
      </c>
    </row>
    <row r="2107">
      <c r="A2107" t="inlineStr">
        <is>
          <t>2022-07-15</t>
        </is>
      </c>
      <c r="B2107" t="n">
        <v>34</v>
      </c>
      <c r="C2107" t="n">
        <v>3006</v>
      </c>
      <c r="D2107" s="6" t="n">
        <v>168.6</v>
      </c>
      <c r="E2107" s="6" t="n">
        <v>1124276.13</v>
      </c>
      <c r="F2107" s="6">
        <f>ROUND(E2107-E2106,2)</f>
        <v/>
      </c>
      <c r="G2107" s="6">
        <f>ROUND(F2107-D2107,2)</f>
        <v/>
      </c>
    </row>
    <row r="2108">
      <c r="A2108" t="inlineStr">
        <is>
          <t>2022-07-15</t>
        </is>
      </c>
      <c r="B2108" t="n">
        <v>35</v>
      </c>
      <c r="C2108" t="n">
        <v>3006</v>
      </c>
      <c r="D2108" s="6" t="n">
        <v>92.3</v>
      </c>
      <c r="E2108" s="6" t="n">
        <v>1124368.43</v>
      </c>
      <c r="F2108" s="6">
        <f>ROUND(E2108-E2107,2)</f>
        <v/>
      </c>
      <c r="G2108" s="6">
        <f>ROUND(F2108-D2108,2)</f>
        <v/>
      </c>
    </row>
    <row r="2109">
      <c r="A2109" t="inlineStr">
        <is>
          <t>2022-07-15</t>
        </is>
      </c>
      <c r="B2109" t="n">
        <v>36</v>
      </c>
      <c r="C2109" t="n">
        <v>3006</v>
      </c>
      <c r="D2109" s="6" t="n">
        <v>56</v>
      </c>
      <c r="E2109" s="6" t="n">
        <v>1124424.43</v>
      </c>
      <c r="F2109" s="6">
        <f>ROUND(E2109-E2108,2)</f>
        <v/>
      </c>
      <c r="G2109" s="6">
        <f>ROUND(F2109-D2109,2)</f>
        <v/>
      </c>
    </row>
    <row r="2110">
      <c r="A2110" t="inlineStr">
        <is>
          <t>2022-07-15</t>
        </is>
      </c>
      <c r="B2110" t="n">
        <v>37</v>
      </c>
      <c r="C2110" t="n">
        <v>3006</v>
      </c>
      <c r="D2110" s="6" t="n">
        <v>69.7</v>
      </c>
      <c r="E2110" s="6" t="n">
        <v>1124494.13</v>
      </c>
      <c r="F2110" s="6">
        <f>ROUND(E2110-E2109,2)</f>
        <v/>
      </c>
      <c r="G2110" s="6">
        <f>ROUND(F2110-D2110,2)</f>
        <v/>
      </c>
    </row>
    <row r="2111">
      <c r="A2111" t="inlineStr">
        <is>
          <t>2022-07-15</t>
        </is>
      </c>
      <c r="B2111" t="n">
        <v>38</v>
      </c>
      <c r="C2111" t="n">
        <v>3006</v>
      </c>
      <c r="D2111" s="6" t="n">
        <v>118</v>
      </c>
      <c r="E2111" s="6" t="n">
        <v>1124612.13</v>
      </c>
      <c r="F2111" s="6">
        <f>ROUND(E2111-E2110,2)</f>
        <v/>
      </c>
      <c r="G2111" s="6">
        <f>ROUND(F2111-D2111,2)</f>
        <v/>
      </c>
    </row>
    <row r="2112">
      <c r="A2112" t="inlineStr">
        <is>
          <t>2022-07-16</t>
        </is>
      </c>
      <c r="B2112" t="n">
        <v>1</v>
      </c>
      <c r="C2112" t="n">
        <v>3007</v>
      </c>
      <c r="D2112" s="6" t="n">
        <v>68.59999999999999</v>
      </c>
      <c r="E2112" s="6" t="n">
        <v>1124680.73</v>
      </c>
      <c r="F2112" s="6">
        <f>ROUND(E2112-E2111,2)</f>
        <v/>
      </c>
      <c r="G2112" s="6">
        <f>ROUND(F2112-D2112,2)</f>
        <v/>
      </c>
    </row>
    <row r="2113">
      <c r="A2113" t="inlineStr">
        <is>
          <t>2022-07-16</t>
        </is>
      </c>
      <c r="B2113" t="n">
        <v>2</v>
      </c>
      <c r="C2113" t="n">
        <v>3007</v>
      </c>
      <c r="D2113" s="6" t="n">
        <v>56.4</v>
      </c>
      <c r="E2113" s="6" t="n">
        <v>1124737.13</v>
      </c>
      <c r="F2113" s="6">
        <f>ROUND(E2113-E2112,2)</f>
        <v/>
      </c>
      <c r="G2113" s="6">
        <f>ROUND(F2113-D2113,2)</f>
        <v/>
      </c>
    </row>
    <row r="2114">
      <c r="A2114" t="inlineStr">
        <is>
          <t>2022-07-16</t>
        </is>
      </c>
      <c r="B2114" t="n">
        <v>3</v>
      </c>
      <c r="C2114" t="n">
        <v>3007</v>
      </c>
      <c r="D2114" s="6" t="n">
        <v>47.4</v>
      </c>
      <c r="E2114" s="6" t="n">
        <v>1124784.53</v>
      </c>
      <c r="F2114" s="6">
        <f>ROUND(E2114-E2113,2)</f>
        <v/>
      </c>
      <c r="G2114" s="6">
        <f>ROUND(F2114-D2114,2)</f>
        <v/>
      </c>
    </row>
    <row r="2115">
      <c r="A2115" t="inlineStr">
        <is>
          <t>2022-07-16</t>
        </is>
      </c>
      <c r="B2115" t="n">
        <v>4</v>
      </c>
      <c r="C2115" t="n">
        <v>3007</v>
      </c>
      <c r="D2115" s="6" t="n">
        <v>28.4</v>
      </c>
      <c r="E2115" s="6" t="n">
        <v>1124812.93</v>
      </c>
      <c r="F2115" s="6">
        <f>ROUND(E2115-E2114,2)</f>
        <v/>
      </c>
      <c r="G2115" s="6">
        <f>ROUND(F2115-D2115,2)</f>
        <v/>
      </c>
    </row>
    <row r="2116">
      <c r="A2116" t="inlineStr">
        <is>
          <t>2022-07-16</t>
        </is>
      </c>
      <c r="B2116" t="n">
        <v>5</v>
      </c>
      <c r="C2116" t="n">
        <v>3007</v>
      </c>
      <c r="D2116" s="6" t="n">
        <v>57.5</v>
      </c>
      <c r="E2116" s="6" t="n">
        <v>1124870.43</v>
      </c>
      <c r="F2116" s="6">
        <f>ROUND(E2116-E2115,2)</f>
        <v/>
      </c>
      <c r="G2116" s="6">
        <f>ROUND(F2116-D2116,2)</f>
        <v/>
      </c>
    </row>
    <row r="2117">
      <c r="A2117" t="inlineStr">
        <is>
          <t>2022-07-16</t>
        </is>
      </c>
      <c r="B2117" t="n">
        <v>6</v>
      </c>
      <c r="C2117" t="n">
        <v>3007</v>
      </c>
      <c r="D2117" s="6" t="n">
        <v>32.3</v>
      </c>
      <c r="E2117" s="6" t="n">
        <v>1124902.73</v>
      </c>
      <c r="F2117" s="6">
        <f>ROUND(E2117-E2116,2)</f>
        <v/>
      </c>
      <c r="G2117" s="6">
        <f>ROUND(F2117-D2117,2)</f>
        <v/>
      </c>
    </row>
    <row r="2118">
      <c r="A2118" t="inlineStr">
        <is>
          <t>2022-07-16</t>
        </is>
      </c>
      <c r="B2118" t="n">
        <v>7</v>
      </c>
      <c r="C2118" t="n">
        <v>3007</v>
      </c>
      <c r="D2118" s="6" t="n">
        <v>32.3</v>
      </c>
      <c r="E2118" s="6" t="n">
        <v>1124935.03</v>
      </c>
      <c r="F2118" s="6">
        <f>ROUND(E2118-E2117,2)</f>
        <v/>
      </c>
      <c r="G2118" s="6">
        <f>ROUND(F2118-D2118,2)</f>
        <v/>
      </c>
    </row>
    <row r="2119">
      <c r="A2119" t="inlineStr">
        <is>
          <t>2022-07-16</t>
        </is>
      </c>
      <c r="B2119" t="n">
        <v>8</v>
      </c>
      <c r="C2119" t="n">
        <v>3007</v>
      </c>
      <c r="D2119" s="6" t="n">
        <v>85.90000000000001</v>
      </c>
      <c r="E2119" s="6" t="n">
        <v>1125020.93</v>
      </c>
      <c r="F2119" s="6">
        <f>ROUND(E2119-E2118,2)</f>
        <v/>
      </c>
      <c r="G2119" s="6">
        <f>ROUND(F2119-D2119,2)</f>
        <v/>
      </c>
    </row>
    <row r="2120">
      <c r="A2120" t="inlineStr">
        <is>
          <t>2022-07-16</t>
        </is>
      </c>
      <c r="B2120" t="n">
        <v>9</v>
      </c>
      <c r="C2120" t="n">
        <v>3007</v>
      </c>
      <c r="D2120" s="6" t="n">
        <v>77.5</v>
      </c>
      <c r="E2120" s="6" t="n">
        <v>1125098.43</v>
      </c>
      <c r="F2120" s="6">
        <f>ROUND(E2120-E2119,2)</f>
        <v/>
      </c>
      <c r="G2120" s="6">
        <f>ROUND(F2120-D2120,2)</f>
        <v/>
      </c>
    </row>
    <row r="2121">
      <c r="A2121" t="inlineStr">
        <is>
          <t>2022-07-16</t>
        </is>
      </c>
      <c r="B2121" t="n">
        <v>10</v>
      </c>
      <c r="C2121" t="n">
        <v>3007</v>
      </c>
      <c r="D2121" s="6" t="n">
        <v>63.4</v>
      </c>
      <c r="E2121" s="6" t="n">
        <v>1125161.83</v>
      </c>
      <c r="F2121" s="6">
        <f>ROUND(E2121-E2120,2)</f>
        <v/>
      </c>
      <c r="G2121" s="6">
        <f>ROUND(F2121-D2121,2)</f>
        <v/>
      </c>
    </row>
    <row r="2122">
      <c r="A2122" t="inlineStr">
        <is>
          <t>2022-07-16</t>
        </is>
      </c>
      <c r="B2122" t="n">
        <v>11</v>
      </c>
      <c r="C2122" t="n">
        <v>3007</v>
      </c>
      <c r="D2122" s="6" t="n">
        <v>118.1</v>
      </c>
      <c r="E2122" s="6" t="n">
        <v>1125279.93</v>
      </c>
      <c r="F2122" s="6">
        <f>ROUND(E2122-E2121,2)</f>
        <v/>
      </c>
      <c r="G2122" s="6">
        <f>ROUND(F2122-D2122,2)</f>
        <v/>
      </c>
    </row>
    <row r="2123">
      <c r="A2123" t="inlineStr">
        <is>
          <t>2022-07-16</t>
        </is>
      </c>
      <c r="B2123" t="n">
        <v>12</v>
      </c>
      <c r="C2123" t="n">
        <v>3007</v>
      </c>
      <c r="D2123" s="6" t="n">
        <v>35.1</v>
      </c>
      <c r="E2123" s="6" t="n">
        <v>1125315.03</v>
      </c>
      <c r="F2123" s="6">
        <f>ROUND(E2123-E2122,2)</f>
        <v/>
      </c>
      <c r="G2123" s="6">
        <f>ROUND(F2123-D2123,2)</f>
        <v/>
      </c>
    </row>
    <row r="2124">
      <c r="A2124" t="inlineStr">
        <is>
          <t>2022-07-16</t>
        </is>
      </c>
      <c r="B2124" t="n">
        <v>13</v>
      </c>
      <c r="C2124" t="n">
        <v>3007</v>
      </c>
      <c r="D2124" s="6" t="n">
        <v>35.1</v>
      </c>
      <c r="E2124" s="6" t="n">
        <v>1125350.13</v>
      </c>
      <c r="F2124" s="6">
        <f>ROUND(E2124-E2123,2)</f>
        <v/>
      </c>
      <c r="G2124" s="6">
        <f>ROUND(F2124-D2124,2)</f>
        <v/>
      </c>
    </row>
    <row r="2125">
      <c r="A2125" t="inlineStr">
        <is>
          <t>2022-07-16</t>
        </is>
      </c>
      <c r="B2125" t="n">
        <v>14</v>
      </c>
      <c r="C2125" t="n">
        <v>3007</v>
      </c>
      <c r="D2125" s="6" t="n">
        <v>64.40000000000001</v>
      </c>
      <c r="E2125" s="6" t="n">
        <v>1125414.53</v>
      </c>
      <c r="F2125" s="6">
        <f>ROUND(E2125-E2124,2)</f>
        <v/>
      </c>
      <c r="G2125" s="6">
        <f>ROUND(F2125-D2125,2)</f>
        <v/>
      </c>
    </row>
    <row r="2126">
      <c r="A2126" t="inlineStr">
        <is>
          <t>2022-07-16</t>
        </is>
      </c>
      <c r="B2126" t="n">
        <v>15</v>
      </c>
      <c r="C2126" t="n">
        <v>3007</v>
      </c>
      <c r="D2126" s="6" t="n">
        <v>94.09999999999999</v>
      </c>
      <c r="E2126" s="6" t="n">
        <v>1125508.63</v>
      </c>
      <c r="F2126" s="6">
        <f>ROUND(E2126-E2125,2)</f>
        <v/>
      </c>
      <c r="G2126" s="6">
        <f>ROUND(F2126-D2126,2)</f>
        <v/>
      </c>
    </row>
    <row r="2127">
      <c r="A2127" t="inlineStr">
        <is>
          <t>2022-07-16</t>
        </is>
      </c>
      <c r="B2127" t="n">
        <v>16</v>
      </c>
      <c r="C2127" t="n">
        <v>3007</v>
      </c>
      <c r="D2127" s="6" t="n">
        <v>58.2</v>
      </c>
      <c r="E2127" s="6" t="n">
        <v>1125566.83</v>
      </c>
      <c r="F2127" s="6">
        <f>ROUND(E2127-E2126,2)</f>
        <v/>
      </c>
      <c r="G2127" s="6">
        <f>ROUND(F2127-D2127,2)</f>
        <v/>
      </c>
    </row>
    <row r="2128">
      <c r="A2128" t="inlineStr">
        <is>
          <t>2022-07-16</t>
        </is>
      </c>
      <c r="B2128" t="n">
        <v>17</v>
      </c>
      <c r="C2128" t="n">
        <v>3007</v>
      </c>
      <c r="D2128" s="6" t="n">
        <v>64.90000000000001</v>
      </c>
      <c r="E2128" s="6" t="n">
        <v>1125631.73</v>
      </c>
      <c r="F2128" s="6">
        <f>ROUND(E2128-E2127,2)</f>
        <v/>
      </c>
      <c r="G2128" s="6">
        <f>ROUND(F2128-D2128,2)</f>
        <v/>
      </c>
    </row>
    <row r="2129">
      <c r="A2129" t="inlineStr">
        <is>
          <t>2022-07-16</t>
        </is>
      </c>
      <c r="B2129" t="n">
        <v>18</v>
      </c>
      <c r="C2129" t="n">
        <v>3007</v>
      </c>
      <c r="D2129" s="6" t="n">
        <v>28.9</v>
      </c>
      <c r="E2129" s="6" t="n">
        <v>1125660.63</v>
      </c>
      <c r="F2129" s="6">
        <f>ROUND(E2129-E2128,2)</f>
        <v/>
      </c>
      <c r="G2129" s="6">
        <f>ROUND(F2129-D2129,2)</f>
        <v/>
      </c>
    </row>
    <row r="2130">
      <c r="A2130" t="inlineStr">
        <is>
          <t>2022-07-16</t>
        </is>
      </c>
      <c r="B2130" t="n">
        <v>19</v>
      </c>
      <c r="C2130" t="n">
        <v>3007</v>
      </c>
      <c r="D2130" s="6" t="n">
        <v>28.9</v>
      </c>
      <c r="E2130" s="6" t="n">
        <v>1125689.53</v>
      </c>
      <c r="F2130" s="6">
        <f>ROUND(E2130-E2129,2)</f>
        <v/>
      </c>
      <c r="G2130" s="6">
        <f>ROUND(F2130-D2130,2)</f>
        <v/>
      </c>
    </row>
    <row r="2131">
      <c r="A2131" t="inlineStr">
        <is>
          <t>2022-07-16</t>
        </is>
      </c>
      <c r="B2131" t="n">
        <v>20</v>
      </c>
      <c r="C2131" t="n">
        <v>3007</v>
      </c>
      <c r="D2131" s="6" t="n">
        <v>36.1</v>
      </c>
      <c r="E2131" s="6" t="n">
        <v>1125725.63</v>
      </c>
      <c r="F2131" s="6">
        <f>ROUND(E2131-E2130,2)</f>
        <v/>
      </c>
      <c r="G2131" s="6">
        <f>ROUND(F2131-D2131,2)</f>
        <v/>
      </c>
    </row>
    <row r="2132">
      <c r="A2132" t="inlineStr">
        <is>
          <t>2022-07-16</t>
        </is>
      </c>
      <c r="B2132" t="n">
        <v>21</v>
      </c>
      <c r="C2132" t="n">
        <v>3007</v>
      </c>
      <c r="D2132" s="6" t="n">
        <v>20.8</v>
      </c>
      <c r="E2132" s="6" t="n">
        <v>1125746.43</v>
      </c>
      <c r="F2132" s="6">
        <f>ROUND(E2132-E2131,2)</f>
        <v/>
      </c>
      <c r="G2132" s="6">
        <f>ROUND(F2132-D2132,2)</f>
        <v/>
      </c>
    </row>
    <row r="2133">
      <c r="A2133" t="inlineStr">
        <is>
          <t>2022-07-16</t>
        </is>
      </c>
      <c r="B2133" t="n">
        <v>22</v>
      </c>
      <c r="C2133" t="n">
        <v>3007</v>
      </c>
      <c r="D2133" s="6" t="n">
        <v>53.7</v>
      </c>
      <c r="E2133" s="6" t="n">
        <v>1125800.13</v>
      </c>
      <c r="F2133" s="6">
        <f>ROUND(E2133-E2132,2)</f>
        <v/>
      </c>
      <c r="G2133" s="6">
        <f>ROUND(F2133-D2133,2)</f>
        <v/>
      </c>
    </row>
    <row r="2134">
      <c r="A2134" t="inlineStr">
        <is>
          <t>2022-07-16</t>
        </is>
      </c>
      <c r="B2134" t="n">
        <v>23</v>
      </c>
      <c r="C2134" t="n">
        <v>3007</v>
      </c>
      <c r="D2134" s="6" t="n">
        <v>116.6</v>
      </c>
      <c r="E2134" s="6" t="n">
        <v>1125916.73</v>
      </c>
      <c r="F2134" s="6">
        <f>ROUND(E2134-E2133,2)</f>
        <v/>
      </c>
      <c r="G2134" s="6">
        <f>ROUND(F2134-D2134,2)</f>
        <v/>
      </c>
    </row>
    <row r="2135">
      <c r="A2135" t="inlineStr">
        <is>
          <t>2022-07-16</t>
        </is>
      </c>
      <c r="B2135" t="n">
        <v>24</v>
      </c>
      <c r="C2135" t="n">
        <v>3007</v>
      </c>
      <c r="D2135" s="6" t="n">
        <v>52.4</v>
      </c>
      <c r="E2135" s="6" t="n">
        <v>1125969.13</v>
      </c>
      <c r="F2135" s="6">
        <f>ROUND(E2135-E2134,2)</f>
        <v/>
      </c>
      <c r="G2135" s="6">
        <f>ROUND(F2135-D2135,2)</f>
        <v/>
      </c>
    </row>
    <row r="2136">
      <c r="A2136" t="inlineStr">
        <is>
          <t>2022-07-16</t>
        </is>
      </c>
      <c r="B2136" t="n">
        <v>25</v>
      </c>
      <c r="C2136" t="n">
        <v>3007</v>
      </c>
      <c r="D2136" s="6" t="n">
        <v>156.1</v>
      </c>
      <c r="E2136" s="6" t="n">
        <v>1126125.23</v>
      </c>
      <c r="F2136" s="6">
        <f>ROUND(E2136-E2135,2)</f>
        <v/>
      </c>
      <c r="G2136" s="6">
        <f>ROUND(F2136-D2136,2)</f>
        <v/>
      </c>
    </row>
    <row r="2137">
      <c r="A2137" t="inlineStr">
        <is>
          <t>2022-07-16</t>
        </is>
      </c>
      <c r="B2137" t="n">
        <v>26</v>
      </c>
      <c r="C2137" t="n">
        <v>3007</v>
      </c>
      <c r="D2137" s="6" t="n">
        <v>86.7</v>
      </c>
      <c r="E2137" s="6" t="n">
        <v>1126211.93</v>
      </c>
      <c r="F2137" s="6">
        <f>ROUND(E2137-E2136,2)</f>
        <v/>
      </c>
      <c r="G2137" s="6">
        <f>ROUND(F2137-D2137,2)</f>
        <v/>
      </c>
    </row>
    <row r="2138">
      <c r="A2138" t="inlineStr">
        <is>
          <t>2022-07-16</t>
        </is>
      </c>
      <c r="B2138" t="n">
        <v>27</v>
      </c>
      <c r="C2138" t="n">
        <v>3007</v>
      </c>
      <c r="D2138" s="6" t="n">
        <v>121.4</v>
      </c>
      <c r="E2138" s="6" t="n">
        <v>1126333.33</v>
      </c>
      <c r="F2138" s="6">
        <f>ROUND(E2138-E2137,2)</f>
        <v/>
      </c>
      <c r="G2138" s="6">
        <f>ROUND(F2138-D2138,2)</f>
        <v/>
      </c>
    </row>
    <row r="2139">
      <c r="A2139" t="inlineStr">
        <is>
          <t>2022-07-16</t>
        </is>
      </c>
      <c r="B2139" t="n">
        <v>28</v>
      </c>
      <c r="C2139" t="n">
        <v>3007</v>
      </c>
      <c r="D2139" s="6" t="n">
        <v>44.9</v>
      </c>
      <c r="E2139" s="6" t="n">
        <v>1126378.23</v>
      </c>
      <c r="F2139" s="6">
        <f>ROUND(E2139-E2138,2)</f>
        <v/>
      </c>
      <c r="G2139" s="6">
        <f>ROUND(F2139-D2139,2)</f>
        <v/>
      </c>
    </row>
    <row r="2140">
      <c r="A2140" t="inlineStr">
        <is>
          <t>2022-07-16</t>
        </is>
      </c>
      <c r="B2140" t="n">
        <v>29</v>
      </c>
      <c r="C2140" t="n">
        <v>3007</v>
      </c>
      <c r="D2140" s="6" t="n">
        <v>93.7</v>
      </c>
      <c r="E2140" s="6" t="n">
        <v>1126471.93</v>
      </c>
      <c r="F2140" s="6">
        <f>ROUND(E2140-E2139,2)</f>
        <v/>
      </c>
      <c r="G2140" s="6">
        <f>ROUND(F2140-D2140,2)</f>
        <v/>
      </c>
    </row>
    <row r="2141">
      <c r="A2141" t="inlineStr">
        <is>
          <t>2022-07-16</t>
        </is>
      </c>
      <c r="B2141" t="n">
        <v>30</v>
      </c>
      <c r="C2141" t="n">
        <v>3007</v>
      </c>
      <c r="D2141" s="6" t="n">
        <v>86.09999999999999</v>
      </c>
      <c r="E2141" s="6" t="n">
        <v>1126558.03</v>
      </c>
      <c r="F2141" s="6">
        <f>ROUND(E2141-E2140,2)</f>
        <v/>
      </c>
      <c r="G2141" s="6">
        <f>ROUND(F2141-D2141,2)</f>
        <v/>
      </c>
    </row>
    <row r="2142">
      <c r="A2142" t="inlineStr">
        <is>
          <t>2022-07-16</t>
        </is>
      </c>
      <c r="B2142" t="n">
        <v>31</v>
      </c>
      <c r="C2142" t="n">
        <v>3007</v>
      </c>
      <c r="D2142" s="6" t="n">
        <v>29.4</v>
      </c>
      <c r="E2142" s="6" t="n">
        <v>1126587.43</v>
      </c>
      <c r="F2142" s="6">
        <f>ROUND(E2142-E2141,2)</f>
        <v/>
      </c>
      <c r="G2142" s="6">
        <f>ROUND(F2142-D2142,2)</f>
        <v/>
      </c>
    </row>
    <row r="2143">
      <c r="A2143" t="inlineStr">
        <is>
          <t>2022-07-16</t>
        </is>
      </c>
      <c r="B2143" t="n">
        <v>32</v>
      </c>
      <c r="C2143" t="n">
        <v>3007</v>
      </c>
      <c r="D2143" s="6" t="n">
        <v>23.7</v>
      </c>
      <c r="E2143" s="6" t="n">
        <v>1126611.13</v>
      </c>
      <c r="F2143" s="6">
        <f>ROUND(E2143-E2142,2)</f>
        <v/>
      </c>
      <c r="G2143" s="6">
        <f>ROUND(F2143-D2143,2)</f>
        <v/>
      </c>
    </row>
    <row r="2144">
      <c r="A2144" t="inlineStr">
        <is>
          <t>2022-07-16</t>
        </is>
      </c>
      <c r="B2144" t="n">
        <v>33</v>
      </c>
      <c r="C2144" t="n">
        <v>3007</v>
      </c>
      <c r="D2144" s="6" t="n">
        <v>44.9</v>
      </c>
      <c r="E2144" s="6" t="n">
        <v>1126656.03</v>
      </c>
      <c r="F2144" s="6">
        <f>ROUND(E2144-E2143,2)</f>
        <v/>
      </c>
      <c r="G2144" s="6">
        <f>ROUND(F2144-D2144,2)</f>
        <v/>
      </c>
    </row>
    <row r="2145">
      <c r="A2145" t="inlineStr">
        <is>
          <t>2022-07-16</t>
        </is>
      </c>
      <c r="B2145" t="n">
        <v>34</v>
      </c>
      <c r="C2145" t="n">
        <v>3007</v>
      </c>
      <c r="D2145" s="6" t="n">
        <v>46.5</v>
      </c>
      <c r="E2145" s="6" t="n">
        <v>1126702.53</v>
      </c>
      <c r="F2145" s="6">
        <f>ROUND(E2145-E2144,2)</f>
        <v/>
      </c>
      <c r="G2145" s="6">
        <f>ROUND(F2145-D2145,2)</f>
        <v/>
      </c>
    </row>
    <row r="2146">
      <c r="A2146" t="inlineStr">
        <is>
          <t>2022-07-16</t>
        </is>
      </c>
      <c r="B2146" t="n">
        <v>35</v>
      </c>
      <c r="C2146" t="n">
        <v>3007</v>
      </c>
      <c r="D2146" s="6" t="n">
        <v>53.8</v>
      </c>
      <c r="E2146" s="6" t="n">
        <v>1126756.33</v>
      </c>
      <c r="F2146" s="6">
        <f>ROUND(E2146-E2145,2)</f>
        <v/>
      </c>
      <c r="G2146" s="6">
        <f>ROUND(F2146-D2146,2)</f>
        <v/>
      </c>
    </row>
    <row r="2147">
      <c r="A2147" t="inlineStr">
        <is>
          <t>2022-07-16</t>
        </is>
      </c>
      <c r="B2147" t="n">
        <v>36</v>
      </c>
      <c r="C2147" t="n">
        <v>3007</v>
      </c>
      <c r="D2147" s="6" t="n">
        <v>20.2</v>
      </c>
      <c r="E2147" s="6" t="n">
        <v>1126776.53</v>
      </c>
      <c r="F2147" s="6">
        <f>ROUND(E2147-E2146,2)</f>
        <v/>
      </c>
      <c r="G2147" s="6">
        <f>ROUND(F2147-D2147,2)</f>
        <v/>
      </c>
    </row>
    <row r="2148">
      <c r="A2148" t="inlineStr">
        <is>
          <t>2022-07-16</t>
        </is>
      </c>
      <c r="B2148" t="n">
        <v>37</v>
      </c>
      <c r="C2148" t="n">
        <v>3007</v>
      </c>
      <c r="D2148" s="6" t="n">
        <v>49.3</v>
      </c>
      <c r="E2148" s="6" t="n">
        <v>1126825.83</v>
      </c>
      <c r="F2148" s="6">
        <f>ROUND(E2148-E2147,2)</f>
        <v/>
      </c>
      <c r="G2148" s="6">
        <f>ROUND(F2148-D2148,2)</f>
        <v/>
      </c>
    </row>
    <row r="2149">
      <c r="A2149" t="inlineStr">
        <is>
          <t>2022-07-16</t>
        </is>
      </c>
      <c r="B2149" t="n">
        <v>38</v>
      </c>
      <c r="C2149" t="n">
        <v>3007</v>
      </c>
      <c r="D2149" s="6" t="n">
        <v>19.7</v>
      </c>
      <c r="E2149" s="6" t="n">
        <v>1126845.53</v>
      </c>
      <c r="F2149" s="6">
        <f>ROUND(E2149-E2148,2)</f>
        <v/>
      </c>
      <c r="G2149" s="6">
        <f>ROUND(F2149-D2149,2)</f>
        <v/>
      </c>
    </row>
    <row r="2150">
      <c r="A2150" t="inlineStr">
        <is>
          <t>2022-07-16</t>
        </is>
      </c>
      <c r="B2150" t="n">
        <v>39</v>
      </c>
      <c r="C2150" t="n">
        <v>3007</v>
      </c>
      <c r="D2150" s="6" t="n">
        <v>81.3</v>
      </c>
      <c r="E2150" s="6" t="n">
        <v>1126926.83</v>
      </c>
      <c r="F2150" s="6">
        <f>ROUND(E2150-E2149,2)</f>
        <v/>
      </c>
      <c r="G2150" s="6">
        <f>ROUND(F2150-D2150,2)</f>
        <v/>
      </c>
    </row>
    <row r="2151">
      <c r="A2151" t="inlineStr">
        <is>
          <t>2022-07-16</t>
        </is>
      </c>
      <c r="B2151" t="n">
        <v>40</v>
      </c>
      <c r="C2151" t="n">
        <v>3007</v>
      </c>
      <c r="D2151" s="6" t="n">
        <v>64.8</v>
      </c>
      <c r="E2151" s="6" t="n">
        <v>1126991.63</v>
      </c>
      <c r="F2151" s="6">
        <f>ROUND(E2151-E2150,2)</f>
        <v/>
      </c>
      <c r="G2151" s="6">
        <f>ROUND(F2151-D2151,2)</f>
        <v/>
      </c>
    </row>
    <row r="2152">
      <c r="A2152" t="inlineStr">
        <is>
          <t>2022-07-17</t>
        </is>
      </c>
      <c r="B2152" t="n">
        <v>1</v>
      </c>
      <c r="C2152" t="n">
        <v>3008</v>
      </c>
      <c r="D2152" s="6" t="n">
        <v>41.2</v>
      </c>
      <c r="E2152" s="6" t="n">
        <v>1127032.83</v>
      </c>
      <c r="F2152" s="6">
        <f>ROUND(E2152-E2151,2)</f>
        <v/>
      </c>
      <c r="G2152" s="6">
        <f>ROUND(F2152-D2152,2)</f>
        <v/>
      </c>
    </row>
    <row r="2153">
      <c r="A2153" t="inlineStr">
        <is>
          <t>2022-07-17</t>
        </is>
      </c>
      <c r="B2153" t="n">
        <v>2</v>
      </c>
      <c r="C2153" t="n">
        <v>3008</v>
      </c>
      <c r="D2153" s="6" t="n">
        <v>42.6</v>
      </c>
      <c r="E2153" s="6" t="n">
        <v>1127075.43</v>
      </c>
      <c r="F2153" s="6">
        <f>ROUND(E2153-E2152,2)</f>
        <v/>
      </c>
      <c r="G2153" s="6">
        <f>ROUND(F2153-D2153,2)</f>
        <v/>
      </c>
    </row>
    <row r="2154">
      <c r="A2154" t="inlineStr">
        <is>
          <t>2022-07-17</t>
        </is>
      </c>
      <c r="B2154" t="n">
        <v>3</v>
      </c>
      <c r="C2154" t="n">
        <v>3008</v>
      </c>
      <c r="D2154" s="6" t="n">
        <v>64.40000000000001</v>
      </c>
      <c r="E2154" s="6" t="n">
        <v>1127139.83</v>
      </c>
      <c r="F2154" s="6">
        <f>ROUND(E2154-E2153,2)</f>
        <v/>
      </c>
      <c r="G2154" s="6">
        <f>ROUND(F2154-D2154,2)</f>
        <v/>
      </c>
    </row>
    <row r="2155">
      <c r="A2155" t="inlineStr">
        <is>
          <t>2022-07-17</t>
        </is>
      </c>
      <c r="B2155" t="n">
        <v>4</v>
      </c>
      <c r="C2155" t="n">
        <v>3008</v>
      </c>
      <c r="D2155" s="6" t="n">
        <v>107.3</v>
      </c>
      <c r="E2155" s="6" t="n">
        <v>1127247.13</v>
      </c>
      <c r="F2155" s="6">
        <f>ROUND(E2155-E2154,2)</f>
        <v/>
      </c>
      <c r="G2155" s="6">
        <f>ROUND(F2155-D2155,2)</f>
        <v/>
      </c>
    </row>
    <row r="2156">
      <c r="A2156" t="inlineStr">
        <is>
          <t>2022-07-17</t>
        </is>
      </c>
      <c r="B2156" t="n">
        <v>5</v>
      </c>
      <c r="C2156" t="n">
        <v>3008</v>
      </c>
      <c r="D2156" s="6" t="n">
        <v>69.40000000000001</v>
      </c>
      <c r="E2156" s="6" t="n">
        <v>1127316.53</v>
      </c>
      <c r="F2156" s="6">
        <f>ROUND(E2156-E2155,2)</f>
        <v/>
      </c>
      <c r="G2156" s="6">
        <f>ROUND(F2156-D2156,2)</f>
        <v/>
      </c>
    </row>
    <row r="2157">
      <c r="A2157" t="inlineStr">
        <is>
          <t>2022-07-17</t>
        </is>
      </c>
      <c r="B2157" t="n">
        <v>6</v>
      </c>
      <c r="C2157" t="n">
        <v>3008</v>
      </c>
      <c r="D2157" s="6" t="n">
        <v>69.40000000000001</v>
      </c>
      <c r="E2157" s="6" t="n">
        <v>1127385.93</v>
      </c>
      <c r="F2157" s="6">
        <f>ROUND(E2157-E2156,2)</f>
        <v/>
      </c>
      <c r="G2157" s="6">
        <f>ROUND(F2157-D2157,2)</f>
        <v/>
      </c>
    </row>
    <row r="2158">
      <c r="A2158" t="inlineStr">
        <is>
          <t>2022-07-17</t>
        </is>
      </c>
      <c r="B2158" t="n">
        <v>7</v>
      </c>
      <c r="C2158" t="n">
        <v>3008</v>
      </c>
      <c r="D2158" s="6" t="n">
        <v>57.6</v>
      </c>
      <c r="E2158" s="6" t="n">
        <v>1127443.53</v>
      </c>
      <c r="F2158" s="6">
        <f>ROUND(E2158-E2157,2)</f>
        <v/>
      </c>
      <c r="G2158" s="6">
        <f>ROUND(F2158-D2158,2)</f>
        <v/>
      </c>
    </row>
    <row r="2159">
      <c r="A2159" t="inlineStr">
        <is>
          <t>2022-07-17</t>
        </is>
      </c>
      <c r="B2159" t="n">
        <v>8</v>
      </c>
      <c r="C2159" t="n">
        <v>3008</v>
      </c>
      <c r="D2159" s="6" t="n">
        <v>52.8</v>
      </c>
      <c r="E2159" s="6" t="n">
        <v>1127496.33</v>
      </c>
      <c r="F2159" s="6">
        <f>ROUND(E2159-E2158,2)</f>
        <v/>
      </c>
      <c r="G2159" s="6">
        <f>ROUND(F2159-D2159,2)</f>
        <v/>
      </c>
    </row>
    <row r="2160">
      <c r="A2160" t="inlineStr">
        <is>
          <t>2022-07-17</t>
        </is>
      </c>
      <c r="B2160" t="n">
        <v>9</v>
      </c>
      <c r="C2160" t="n">
        <v>3008</v>
      </c>
      <c r="D2160" s="6" t="n">
        <v>43.9</v>
      </c>
      <c r="E2160" s="6" t="n">
        <v>1127540.23</v>
      </c>
      <c r="F2160" s="6">
        <f>ROUND(E2160-E2159,2)</f>
        <v/>
      </c>
      <c r="G2160" s="6">
        <f>ROUND(F2160-D2160,2)</f>
        <v/>
      </c>
    </row>
    <row r="2161">
      <c r="A2161" t="inlineStr">
        <is>
          <t>2022-07-17</t>
        </is>
      </c>
      <c r="B2161" t="n">
        <v>10</v>
      </c>
      <c r="C2161" t="n">
        <v>3008</v>
      </c>
      <c r="D2161" s="6" t="n">
        <v>64</v>
      </c>
      <c r="E2161" s="6" t="n">
        <v>1127604.23</v>
      </c>
      <c r="F2161" s="6">
        <f>ROUND(E2161-E2160,2)</f>
        <v/>
      </c>
      <c r="G2161" s="6">
        <f>ROUND(F2161-D2161,2)</f>
        <v/>
      </c>
    </row>
    <row r="2162">
      <c r="A2162" t="inlineStr">
        <is>
          <t>2022-07-17</t>
        </is>
      </c>
      <c r="B2162" t="n">
        <v>11</v>
      </c>
      <c r="C2162" t="n">
        <v>3008</v>
      </c>
      <c r="D2162" s="6" t="n">
        <v>80.7</v>
      </c>
      <c r="E2162" s="6" t="n">
        <v>1127684.93</v>
      </c>
      <c r="F2162" s="6">
        <f>ROUND(E2162-E2161,2)</f>
        <v/>
      </c>
      <c r="G2162" s="6">
        <f>ROUND(F2162-D2162,2)</f>
        <v/>
      </c>
    </row>
    <row r="2163">
      <c r="A2163" t="inlineStr">
        <is>
          <t>2022-07-17</t>
        </is>
      </c>
      <c r="B2163" t="n">
        <v>12</v>
      </c>
      <c r="C2163" t="n">
        <v>3008</v>
      </c>
      <c r="D2163" s="6" t="n">
        <v>90.7</v>
      </c>
      <c r="E2163" s="6" t="n">
        <v>1127775.63</v>
      </c>
      <c r="F2163" s="6">
        <f>ROUND(E2163-E2162,2)</f>
        <v/>
      </c>
      <c r="G2163" s="6">
        <f>ROUND(F2163-D2163,2)</f>
        <v/>
      </c>
    </row>
    <row r="2164">
      <c r="A2164" t="inlineStr">
        <is>
          <t>2022-07-17</t>
        </is>
      </c>
      <c r="B2164" t="n">
        <v>13</v>
      </c>
      <c r="C2164" t="n">
        <v>3008</v>
      </c>
      <c r="D2164" s="6" t="n">
        <v>89.2</v>
      </c>
      <c r="E2164" s="6" t="n">
        <v>1127864.83</v>
      </c>
      <c r="F2164" s="6">
        <f>ROUND(E2164-E2163,2)</f>
        <v/>
      </c>
      <c r="G2164" s="6">
        <f>ROUND(F2164-D2164,2)</f>
        <v/>
      </c>
    </row>
    <row r="2165">
      <c r="A2165" t="inlineStr">
        <is>
          <t>2022-07-17</t>
        </is>
      </c>
      <c r="B2165" t="n">
        <v>14</v>
      </c>
      <c r="C2165" t="n">
        <v>3008</v>
      </c>
      <c r="D2165" s="6" t="n">
        <v>136.5</v>
      </c>
      <c r="E2165" s="6" t="n">
        <v>1128001.33</v>
      </c>
      <c r="F2165" s="6">
        <f>ROUND(E2165-E2164,2)</f>
        <v/>
      </c>
      <c r="G2165" s="6">
        <f>ROUND(F2165-D2165,2)</f>
        <v/>
      </c>
    </row>
    <row r="2166">
      <c r="A2166" t="inlineStr">
        <is>
          <t>2022-07-17</t>
        </is>
      </c>
      <c r="B2166" t="n">
        <v>15</v>
      </c>
      <c r="C2166" t="n">
        <v>3008</v>
      </c>
      <c r="D2166" s="6" t="n">
        <v>52.7</v>
      </c>
      <c r="E2166" s="6" t="n">
        <v>1128054.03</v>
      </c>
      <c r="F2166" s="6">
        <f>ROUND(E2166-E2165,2)</f>
        <v/>
      </c>
      <c r="G2166" s="6">
        <f>ROUND(F2166-D2166,2)</f>
        <v/>
      </c>
    </row>
    <row r="2167">
      <c r="A2167" t="inlineStr">
        <is>
          <t>2022-07-17</t>
        </is>
      </c>
      <c r="B2167" t="n">
        <v>16</v>
      </c>
      <c r="C2167" t="n">
        <v>3008</v>
      </c>
      <c r="D2167" s="6" t="n">
        <v>36.6</v>
      </c>
      <c r="E2167" s="6" t="n">
        <v>1128090.63</v>
      </c>
      <c r="F2167" s="6">
        <f>ROUND(E2167-E2166,2)</f>
        <v/>
      </c>
      <c r="G2167" s="6">
        <f>ROUND(F2167-D2167,2)</f>
        <v/>
      </c>
    </row>
    <row r="2168">
      <c r="A2168" t="inlineStr">
        <is>
          <t>2022-07-17</t>
        </is>
      </c>
      <c r="B2168" t="n">
        <v>17</v>
      </c>
      <c r="C2168" t="n">
        <v>3008</v>
      </c>
      <c r="D2168" s="6" t="n">
        <v>36.6</v>
      </c>
      <c r="E2168" s="6" t="n">
        <v>1128127.23</v>
      </c>
      <c r="F2168" s="6">
        <f>ROUND(E2168-E2167,2)</f>
        <v/>
      </c>
      <c r="G2168" s="6">
        <f>ROUND(F2168-D2168,2)</f>
        <v/>
      </c>
    </row>
    <row r="2169">
      <c r="A2169" t="inlineStr">
        <is>
          <t>2022-07-17</t>
        </is>
      </c>
      <c r="B2169" t="n">
        <v>18</v>
      </c>
      <c r="C2169" t="n">
        <v>3008</v>
      </c>
      <c r="D2169" s="6" t="n">
        <v>30.9</v>
      </c>
      <c r="E2169" s="6" t="n">
        <v>1128158.13</v>
      </c>
      <c r="F2169" s="6">
        <f>ROUND(E2169-E2168,2)</f>
        <v/>
      </c>
      <c r="G2169" s="6">
        <f>ROUND(F2169-D2169,2)</f>
        <v/>
      </c>
    </row>
    <row r="2170">
      <c r="A2170" t="inlineStr">
        <is>
          <t>2022-07-17</t>
        </is>
      </c>
      <c r="B2170" t="n">
        <v>19</v>
      </c>
      <c r="C2170" t="n">
        <v>3008</v>
      </c>
      <c r="D2170" s="6" t="n">
        <v>199</v>
      </c>
      <c r="E2170" s="6" t="n">
        <v>1128357.13</v>
      </c>
      <c r="F2170" s="6">
        <f>ROUND(E2170-E2169,2)</f>
        <v/>
      </c>
      <c r="G2170" s="6">
        <f>ROUND(F2170-D2170,2)</f>
        <v/>
      </c>
    </row>
    <row r="2171">
      <c r="A2171" t="inlineStr">
        <is>
          <t>2022-07-17</t>
        </is>
      </c>
      <c r="B2171" t="n">
        <v>20</v>
      </c>
      <c r="C2171" t="n">
        <v>3008</v>
      </c>
      <c r="D2171" s="6" t="n">
        <v>55.3</v>
      </c>
      <c r="E2171" s="6" t="n">
        <v>1128412.43</v>
      </c>
      <c r="F2171" s="6">
        <f>ROUND(E2171-E2170,2)</f>
        <v/>
      </c>
      <c r="G2171" s="6">
        <f>ROUND(F2171-D2171,2)</f>
        <v/>
      </c>
    </row>
    <row r="2172">
      <c r="A2172" t="inlineStr">
        <is>
          <t>2022-07-17</t>
        </is>
      </c>
      <c r="B2172" t="n">
        <v>21</v>
      </c>
      <c r="C2172" t="n">
        <v>3008</v>
      </c>
      <c r="D2172" s="6" t="n">
        <v>90.90000000000001</v>
      </c>
      <c r="E2172" s="6" t="n">
        <v>1128503.33</v>
      </c>
      <c r="F2172" s="6">
        <f>ROUND(E2172-E2171,2)</f>
        <v/>
      </c>
      <c r="G2172" s="6">
        <f>ROUND(F2172-D2172,2)</f>
        <v/>
      </c>
    </row>
    <row r="2173">
      <c r="A2173" t="inlineStr">
        <is>
          <t>2022-07-17</t>
        </is>
      </c>
      <c r="B2173" t="n">
        <v>22</v>
      </c>
      <c r="C2173" t="n">
        <v>3008</v>
      </c>
      <c r="D2173" s="6" t="n">
        <v>44.9</v>
      </c>
      <c r="E2173" s="6" t="n">
        <v>1128548.23</v>
      </c>
      <c r="F2173" s="6">
        <f>ROUND(E2173-E2172,2)</f>
        <v/>
      </c>
      <c r="G2173" s="6">
        <f>ROUND(F2173-D2173,2)</f>
        <v/>
      </c>
    </row>
    <row r="2174">
      <c r="A2174" t="inlineStr">
        <is>
          <t>2022-07-17</t>
        </is>
      </c>
      <c r="B2174" t="n">
        <v>23</v>
      </c>
      <c r="C2174" t="n">
        <v>3008</v>
      </c>
      <c r="D2174" s="6" t="n">
        <v>82.59999999999999</v>
      </c>
      <c r="E2174" s="6" t="n">
        <v>1128630.83</v>
      </c>
      <c r="F2174" s="6">
        <f>ROUND(E2174-E2173,2)</f>
        <v/>
      </c>
      <c r="G2174" s="6">
        <f>ROUND(F2174-D2174,2)</f>
        <v/>
      </c>
    </row>
    <row r="2175">
      <c r="A2175" t="inlineStr">
        <is>
          <t>2022-07-17</t>
        </is>
      </c>
      <c r="B2175" t="n">
        <v>24</v>
      </c>
      <c r="C2175" t="n">
        <v>3008</v>
      </c>
      <c r="D2175" s="6" t="n">
        <v>202.4</v>
      </c>
      <c r="E2175" s="6" t="n">
        <v>1128833.23</v>
      </c>
      <c r="F2175" s="6">
        <f>ROUND(E2175-E2174,2)</f>
        <v/>
      </c>
      <c r="G2175" s="6">
        <f>ROUND(F2175-D2175,2)</f>
        <v/>
      </c>
    </row>
    <row r="2176">
      <c r="A2176" t="inlineStr">
        <is>
          <t>2022-07-17</t>
        </is>
      </c>
      <c r="B2176" t="n">
        <v>25</v>
      </c>
      <c r="C2176" t="n">
        <v>3008</v>
      </c>
      <c r="D2176" s="6" t="n">
        <v>103.6</v>
      </c>
      <c r="E2176" s="6" t="n">
        <v>1128936.83</v>
      </c>
      <c r="F2176" s="6">
        <f>ROUND(E2176-E2175,2)</f>
        <v/>
      </c>
      <c r="G2176" s="6">
        <f>ROUND(F2176-D2176,2)</f>
        <v/>
      </c>
    </row>
    <row r="2177">
      <c r="A2177" t="inlineStr">
        <is>
          <t>2022-07-17</t>
        </is>
      </c>
      <c r="B2177" t="n">
        <v>26</v>
      </c>
      <c r="C2177" t="n">
        <v>3008</v>
      </c>
      <c r="D2177" s="6" t="n">
        <v>79.3</v>
      </c>
      <c r="E2177" s="6" t="n">
        <v>1129016.13</v>
      </c>
      <c r="F2177" s="6">
        <f>ROUND(E2177-E2176,2)</f>
        <v/>
      </c>
      <c r="G2177" s="6">
        <f>ROUND(F2177-D2177,2)</f>
        <v/>
      </c>
    </row>
    <row r="2178">
      <c r="A2178" t="inlineStr">
        <is>
          <t>2022-07-17</t>
        </is>
      </c>
      <c r="B2178" t="n">
        <v>27</v>
      </c>
      <c r="C2178" t="n">
        <v>3008</v>
      </c>
      <c r="D2178" s="6" t="n">
        <v>51.7</v>
      </c>
      <c r="E2178" s="6" t="n">
        <v>1129067.83</v>
      </c>
      <c r="F2178" s="6">
        <f>ROUND(E2178-E2177,2)</f>
        <v/>
      </c>
      <c r="G2178" s="6">
        <f>ROUND(F2178-D2178,2)</f>
        <v/>
      </c>
    </row>
    <row r="2179">
      <c r="A2179" t="inlineStr">
        <is>
          <t>2022-07-17</t>
        </is>
      </c>
      <c r="B2179" t="n">
        <v>28</v>
      </c>
      <c r="C2179" t="n">
        <v>3008</v>
      </c>
      <c r="D2179" s="6" t="n">
        <v>24.7</v>
      </c>
      <c r="E2179" s="6" t="n">
        <v>1129092.53</v>
      </c>
      <c r="F2179" s="6">
        <f>ROUND(E2179-E2178,2)</f>
        <v/>
      </c>
      <c r="G2179" s="6">
        <f>ROUND(F2179-D2179,2)</f>
        <v/>
      </c>
    </row>
    <row r="2180">
      <c r="A2180" t="inlineStr">
        <is>
          <t>2022-07-17</t>
        </is>
      </c>
      <c r="B2180" t="n">
        <v>29</v>
      </c>
      <c r="C2180" t="n">
        <v>3008</v>
      </c>
      <c r="D2180" s="6" t="n">
        <v>24.7</v>
      </c>
      <c r="E2180" s="6" t="n">
        <v>1129117.23</v>
      </c>
      <c r="F2180" s="6">
        <f>ROUND(E2180-E2179,2)</f>
        <v/>
      </c>
      <c r="G2180" s="6">
        <f>ROUND(F2180-D2180,2)</f>
        <v/>
      </c>
    </row>
    <row r="2181">
      <c r="A2181" t="inlineStr">
        <is>
          <t>2022-07-17</t>
        </is>
      </c>
      <c r="B2181" t="n">
        <v>30</v>
      </c>
      <c r="C2181" t="n">
        <v>3008</v>
      </c>
      <c r="D2181" s="6" t="n">
        <v>112.4</v>
      </c>
      <c r="E2181" s="6" t="n">
        <v>1129229.63</v>
      </c>
      <c r="F2181" s="6">
        <f>ROUND(E2181-E2180,2)</f>
        <v/>
      </c>
      <c r="G2181" s="6">
        <f>ROUND(F2181-D2181,2)</f>
        <v/>
      </c>
    </row>
    <row r="2182">
      <c r="A2182" t="inlineStr">
        <is>
          <t>2022-07-17</t>
        </is>
      </c>
      <c r="B2182" t="n">
        <v>31</v>
      </c>
      <c r="C2182" t="n">
        <v>3008</v>
      </c>
      <c r="D2182" s="6" t="n">
        <v>82.09999999999999</v>
      </c>
      <c r="E2182" s="6" t="n">
        <v>1129311.73</v>
      </c>
      <c r="F2182" s="6">
        <f>ROUND(E2182-E2181,2)</f>
        <v/>
      </c>
      <c r="G2182" s="6">
        <f>ROUND(F2182-D2182,2)</f>
        <v/>
      </c>
    </row>
    <row r="2183">
      <c r="A2183" t="inlineStr">
        <is>
          <t>2022-07-17</t>
        </is>
      </c>
      <c r="B2183" t="n">
        <v>32</v>
      </c>
      <c r="C2183" t="n">
        <v>3008</v>
      </c>
      <c r="D2183" s="6" t="n">
        <v>65.3</v>
      </c>
      <c r="E2183" s="6" t="n">
        <v>1129377.03</v>
      </c>
      <c r="F2183" s="6">
        <f>ROUND(E2183-E2182,2)</f>
        <v/>
      </c>
      <c r="G2183" s="6">
        <f>ROUND(F2183-D2183,2)</f>
        <v/>
      </c>
    </row>
    <row r="2184">
      <c r="A2184" t="inlineStr">
        <is>
          <t>2022-07-17</t>
        </is>
      </c>
      <c r="B2184" t="n">
        <v>33</v>
      </c>
      <c r="C2184" t="n">
        <v>3008</v>
      </c>
      <c r="D2184" s="6" t="n">
        <v>232.8</v>
      </c>
      <c r="E2184" s="6" t="n">
        <v>1129609.83</v>
      </c>
      <c r="F2184" s="6">
        <f>ROUND(E2184-E2183,2)</f>
        <v/>
      </c>
      <c r="G2184" s="6">
        <f>ROUND(F2184-D2184,2)</f>
        <v/>
      </c>
    </row>
    <row r="2185">
      <c r="A2185" t="inlineStr">
        <is>
          <t>2022-07-17</t>
        </is>
      </c>
      <c r="B2185" t="n">
        <v>34</v>
      </c>
      <c r="C2185" t="n">
        <v>3008</v>
      </c>
      <c r="D2185" s="6" t="n">
        <v>38.9</v>
      </c>
      <c r="E2185" s="6" t="n">
        <v>1129648.73</v>
      </c>
      <c r="F2185" s="6">
        <f>ROUND(E2185-E2184,2)</f>
        <v/>
      </c>
      <c r="G2185" s="6">
        <f>ROUND(F2185-D2185,2)</f>
        <v/>
      </c>
    </row>
    <row r="2186">
      <c r="A2186" t="inlineStr">
        <is>
          <t>2022-07-17</t>
        </is>
      </c>
      <c r="B2186" t="n">
        <v>35</v>
      </c>
      <c r="C2186" t="n">
        <v>3008</v>
      </c>
      <c r="D2186" s="6" t="n">
        <v>19.9</v>
      </c>
      <c r="E2186" s="6" t="n">
        <v>1129668.63</v>
      </c>
      <c r="F2186" s="6">
        <f>ROUND(E2186-E2185,2)</f>
        <v/>
      </c>
      <c r="G2186" s="6">
        <f>ROUND(F2186-D2186,2)</f>
        <v/>
      </c>
    </row>
    <row r="2187">
      <c r="A2187" t="inlineStr">
        <is>
          <t>2022-07-17</t>
        </is>
      </c>
      <c r="B2187" t="n">
        <v>36</v>
      </c>
      <c r="C2187" t="n">
        <v>3008</v>
      </c>
      <c r="D2187" s="6" t="n">
        <v>19.9</v>
      </c>
      <c r="E2187" s="6" t="n">
        <v>1129688.53</v>
      </c>
      <c r="F2187" s="6">
        <f>ROUND(E2187-E2186,2)</f>
        <v/>
      </c>
      <c r="G2187" s="6">
        <f>ROUND(F2187-D2187,2)</f>
        <v/>
      </c>
    </row>
    <row r="2188">
      <c r="A2188" t="inlineStr">
        <is>
          <t>2022-07-17</t>
        </is>
      </c>
      <c r="B2188" t="n">
        <v>37</v>
      </c>
      <c r="C2188" t="n">
        <v>3008</v>
      </c>
      <c r="D2188" s="6" t="n">
        <v>17.6</v>
      </c>
      <c r="E2188" s="6" t="n">
        <v>1129706.13</v>
      </c>
      <c r="F2188" s="6">
        <f>ROUND(E2188-E2187,2)</f>
        <v/>
      </c>
      <c r="G2188" s="6">
        <f>ROUND(F2188-D2188,2)</f>
        <v/>
      </c>
    </row>
    <row r="2189">
      <c r="A2189" t="inlineStr">
        <is>
          <t>2022-07-19</t>
        </is>
      </c>
      <c r="B2189" t="n">
        <v>1</v>
      </c>
      <c r="C2189" t="n">
        <v>3009</v>
      </c>
      <c r="D2189" s="6" t="n">
        <v>48.2</v>
      </c>
      <c r="E2189" s="6" t="n">
        <v>1129754.33</v>
      </c>
      <c r="F2189" s="6">
        <f>ROUND(E2189-E2188,2)</f>
        <v/>
      </c>
      <c r="G2189" s="6">
        <f>ROUND(F2189-D2189,2)</f>
        <v/>
      </c>
    </row>
    <row r="2190">
      <c r="A2190" t="inlineStr">
        <is>
          <t>2022-07-19</t>
        </is>
      </c>
      <c r="B2190" t="n">
        <v>2</v>
      </c>
      <c r="C2190" t="n">
        <v>3009</v>
      </c>
      <c r="D2190" s="6" t="n">
        <v>52.9</v>
      </c>
      <c r="E2190" s="6" t="n">
        <v>1129807.23</v>
      </c>
      <c r="F2190" s="6">
        <f>ROUND(E2190-E2189,2)</f>
        <v/>
      </c>
      <c r="G2190" s="6">
        <f>ROUND(F2190-D2190,2)</f>
        <v/>
      </c>
    </row>
    <row r="2191">
      <c r="A2191" t="inlineStr">
        <is>
          <t>2022-07-19</t>
        </is>
      </c>
      <c r="B2191" t="n">
        <v>3</v>
      </c>
      <c r="C2191" t="n">
        <v>3009</v>
      </c>
      <c r="D2191" s="6" t="n">
        <v>49.7</v>
      </c>
      <c r="E2191" s="6" t="n">
        <v>1129856.93</v>
      </c>
      <c r="F2191" s="6">
        <f>ROUND(E2191-E2190,2)</f>
        <v/>
      </c>
      <c r="G2191" s="6">
        <f>ROUND(F2191-D2191,2)</f>
        <v/>
      </c>
    </row>
    <row r="2192">
      <c r="A2192" t="inlineStr">
        <is>
          <t>2022-07-19</t>
        </is>
      </c>
      <c r="B2192" t="n">
        <v>4</v>
      </c>
      <c r="C2192" t="n">
        <v>3009</v>
      </c>
      <c r="D2192" s="6" t="n">
        <v>72.59999999999999</v>
      </c>
      <c r="E2192" s="6" t="n">
        <v>1129929.53</v>
      </c>
      <c r="F2192" s="6">
        <f>ROUND(E2192-E2191,2)</f>
        <v/>
      </c>
      <c r="G2192" s="6">
        <f>ROUND(F2192-D2192,2)</f>
        <v/>
      </c>
    </row>
    <row r="2193">
      <c r="A2193" t="inlineStr">
        <is>
          <t>2022-07-19</t>
        </is>
      </c>
      <c r="B2193" t="n">
        <v>5</v>
      </c>
      <c r="C2193" t="n">
        <v>3009</v>
      </c>
      <c r="D2193" s="6" t="n">
        <v>40.2</v>
      </c>
      <c r="E2193" s="6" t="n">
        <v>1129969.73</v>
      </c>
      <c r="F2193" s="6">
        <f>ROUND(E2193-E2192,2)</f>
        <v/>
      </c>
      <c r="G2193" s="6">
        <f>ROUND(F2193-D2193,2)</f>
        <v/>
      </c>
    </row>
    <row r="2194">
      <c r="A2194" t="inlineStr">
        <is>
          <t>2022-07-19</t>
        </is>
      </c>
      <c r="B2194" t="n">
        <v>6</v>
      </c>
      <c r="C2194" t="n">
        <v>3009</v>
      </c>
      <c r="D2194" s="6" t="n">
        <v>60.9</v>
      </c>
      <c r="E2194" s="6" t="n">
        <v>1130030.63</v>
      </c>
      <c r="F2194" s="6">
        <f>ROUND(E2194-E2193,2)</f>
        <v/>
      </c>
      <c r="G2194" s="6">
        <f>ROUND(F2194-D2194,2)</f>
        <v/>
      </c>
    </row>
    <row r="2195">
      <c r="A2195" t="inlineStr">
        <is>
          <t>2022-07-19</t>
        </is>
      </c>
      <c r="B2195" t="n">
        <v>7</v>
      </c>
      <c r="C2195" t="n">
        <v>3009</v>
      </c>
      <c r="D2195" s="6" t="n">
        <v>125.3</v>
      </c>
      <c r="E2195" s="6" t="n">
        <v>1130155.93</v>
      </c>
      <c r="F2195" s="6">
        <f>ROUND(E2195-E2194,2)</f>
        <v/>
      </c>
      <c r="G2195" s="6">
        <f>ROUND(F2195-D2195,2)</f>
        <v/>
      </c>
    </row>
    <row r="2196">
      <c r="A2196" t="inlineStr">
        <is>
          <t>2022-07-19</t>
        </is>
      </c>
      <c r="B2196" t="n">
        <v>8</v>
      </c>
      <c r="C2196" t="n">
        <v>3009</v>
      </c>
      <c r="D2196" s="6" t="n">
        <v>112.2</v>
      </c>
      <c r="E2196" s="6" t="n">
        <v>1130268.13</v>
      </c>
      <c r="F2196" s="6">
        <f>ROUND(E2196-E2195,2)</f>
        <v/>
      </c>
      <c r="G2196" s="6">
        <f>ROUND(F2196-D2196,2)</f>
        <v/>
      </c>
    </row>
    <row r="2197">
      <c r="A2197" t="inlineStr">
        <is>
          <t>2022-07-19</t>
        </is>
      </c>
      <c r="B2197" t="n">
        <v>9</v>
      </c>
      <c r="C2197" t="n">
        <v>3009</v>
      </c>
      <c r="D2197" s="6" t="n">
        <v>34.7</v>
      </c>
      <c r="E2197" s="6" t="n">
        <v>1130302.83</v>
      </c>
      <c r="F2197" s="6">
        <f>ROUND(E2197-E2196,2)</f>
        <v/>
      </c>
      <c r="G2197" s="6">
        <f>ROUND(F2197-D2197,2)</f>
        <v/>
      </c>
    </row>
    <row r="2198">
      <c r="A2198" t="inlineStr">
        <is>
          <t>2022-07-19</t>
        </is>
      </c>
      <c r="B2198" t="n">
        <v>10</v>
      </c>
      <c r="C2198" t="n">
        <v>3009</v>
      </c>
      <c r="D2198" s="6" t="n">
        <v>48.9</v>
      </c>
      <c r="E2198" s="6" t="n">
        <v>1130351.73</v>
      </c>
      <c r="F2198" s="6">
        <f>ROUND(E2198-E2197,2)</f>
        <v/>
      </c>
      <c r="G2198" s="6">
        <f>ROUND(F2198-D2198,2)</f>
        <v/>
      </c>
    </row>
    <row r="2199">
      <c r="A2199" t="inlineStr">
        <is>
          <t>2022-07-19</t>
        </is>
      </c>
      <c r="B2199" t="n">
        <v>11</v>
      </c>
      <c r="C2199" t="n">
        <v>3009</v>
      </c>
      <c r="D2199" s="6" t="n">
        <v>54.6</v>
      </c>
      <c r="E2199" s="6" t="n">
        <v>1130406.33</v>
      </c>
      <c r="F2199" s="6">
        <f>ROUND(E2199-E2198,2)</f>
        <v/>
      </c>
      <c r="G2199" s="6">
        <f>ROUND(F2199-D2199,2)</f>
        <v/>
      </c>
    </row>
    <row r="2200">
      <c r="A2200" t="inlineStr">
        <is>
          <t>2022-07-19</t>
        </is>
      </c>
      <c r="B2200" t="n">
        <v>12</v>
      </c>
      <c r="C2200" t="n">
        <v>3009</v>
      </c>
      <c r="D2200" s="6" t="n">
        <v>108.6</v>
      </c>
      <c r="E2200" s="6" t="n">
        <v>1130514.93</v>
      </c>
      <c r="F2200" s="6">
        <f>ROUND(E2200-E2199,2)</f>
        <v/>
      </c>
      <c r="G2200" s="6">
        <f>ROUND(F2200-D2200,2)</f>
        <v/>
      </c>
    </row>
    <row r="2201">
      <c r="A2201" t="inlineStr">
        <is>
          <t>2022-07-19</t>
        </is>
      </c>
      <c r="B2201" t="n">
        <v>13</v>
      </c>
      <c r="C2201" t="n">
        <v>3009</v>
      </c>
      <c r="D2201" s="6" t="n">
        <v>58.9</v>
      </c>
      <c r="E2201" s="6" t="n">
        <v>1130573.83</v>
      </c>
      <c r="F2201" s="6">
        <f>ROUND(E2201-E2200,2)</f>
        <v/>
      </c>
      <c r="G2201" s="6">
        <f>ROUND(F2201-D2201,2)</f>
        <v/>
      </c>
    </row>
    <row r="2202">
      <c r="A2202" t="inlineStr">
        <is>
          <t>2022-07-19</t>
        </is>
      </c>
      <c r="B2202" t="n">
        <v>14</v>
      </c>
      <c r="C2202" t="n">
        <v>3009</v>
      </c>
      <c r="D2202" s="6" t="n">
        <v>164.8</v>
      </c>
      <c r="E2202" s="6" t="n">
        <v>1130738.63</v>
      </c>
      <c r="F2202" s="6">
        <f>ROUND(E2202-E2201,2)</f>
        <v/>
      </c>
      <c r="G2202" s="6">
        <f>ROUND(F2202-D2202,2)</f>
        <v/>
      </c>
    </row>
    <row r="2203">
      <c r="A2203" t="inlineStr">
        <is>
          <t>2022-07-19</t>
        </is>
      </c>
      <c r="B2203" t="n">
        <v>15</v>
      </c>
      <c r="C2203" t="n">
        <v>3009</v>
      </c>
      <c r="D2203" s="6" t="n">
        <v>79</v>
      </c>
      <c r="E2203" s="6" t="n">
        <v>1130817.63</v>
      </c>
      <c r="F2203" s="6">
        <f>ROUND(E2203-E2202,2)</f>
        <v/>
      </c>
      <c r="G2203" s="6">
        <f>ROUND(F2203-D2203,2)</f>
        <v/>
      </c>
    </row>
    <row r="2204">
      <c r="A2204" t="inlineStr">
        <is>
          <t>2022-07-19</t>
        </is>
      </c>
      <c r="B2204" t="n">
        <v>16</v>
      </c>
      <c r="C2204" t="n">
        <v>3009</v>
      </c>
      <c r="D2204" s="6" t="n">
        <v>44.5</v>
      </c>
      <c r="E2204" s="6" t="n">
        <v>1130862.13</v>
      </c>
      <c r="F2204" s="6">
        <f>ROUND(E2204-E2203,2)</f>
        <v/>
      </c>
      <c r="G2204" s="6">
        <f>ROUND(F2204-D2204,2)</f>
        <v/>
      </c>
    </row>
    <row r="2205">
      <c r="A2205" t="inlineStr">
        <is>
          <t>2022-07-19</t>
        </is>
      </c>
      <c r="B2205" t="n">
        <v>17</v>
      </c>
      <c r="C2205" t="n">
        <v>3009</v>
      </c>
      <c r="D2205" s="6" t="n">
        <v>44.5</v>
      </c>
      <c r="E2205" s="6" t="n">
        <v>1130906.63</v>
      </c>
      <c r="F2205" s="6">
        <f>ROUND(E2205-E2204,2)</f>
        <v/>
      </c>
      <c r="G2205" s="6">
        <f>ROUND(F2205-D2205,2)</f>
        <v/>
      </c>
    </row>
    <row r="2206">
      <c r="A2206" t="inlineStr">
        <is>
          <t>2022-07-19</t>
        </is>
      </c>
      <c r="B2206" t="n">
        <v>18</v>
      </c>
      <c r="C2206" t="n">
        <v>3009</v>
      </c>
      <c r="D2206" s="6" t="n">
        <v>47.6</v>
      </c>
      <c r="E2206" s="6" t="n">
        <v>1130954.23</v>
      </c>
      <c r="F2206" s="6">
        <f>ROUND(E2206-E2205,2)</f>
        <v/>
      </c>
      <c r="G2206" s="6">
        <f>ROUND(F2206-D2206,2)</f>
        <v/>
      </c>
    </row>
    <row r="2207">
      <c r="A2207" t="inlineStr">
        <is>
          <t>2022-07-19</t>
        </is>
      </c>
      <c r="B2207" t="n">
        <v>19</v>
      </c>
      <c r="C2207" t="n">
        <v>3009</v>
      </c>
      <c r="D2207" s="6" t="n">
        <v>73.8</v>
      </c>
      <c r="E2207" s="6" t="n">
        <v>1131028.03</v>
      </c>
      <c r="F2207" s="6">
        <f>ROUND(E2207-E2206,2)</f>
        <v/>
      </c>
      <c r="G2207" s="6">
        <f>ROUND(F2207-D2207,2)</f>
        <v/>
      </c>
    </row>
    <row r="2208">
      <c r="A2208" t="inlineStr">
        <is>
          <t>2022-07-19</t>
        </is>
      </c>
      <c r="B2208" t="n">
        <v>20</v>
      </c>
      <c r="C2208" t="n">
        <v>3009</v>
      </c>
      <c r="D2208" s="6" t="n">
        <v>48.8</v>
      </c>
      <c r="E2208" s="6" t="n">
        <v>1131076.83</v>
      </c>
      <c r="F2208" s="6">
        <f>ROUND(E2208-E2207,2)</f>
        <v/>
      </c>
      <c r="G2208" s="6">
        <f>ROUND(F2208-D2208,2)</f>
        <v/>
      </c>
    </row>
    <row r="2209">
      <c r="A2209" t="inlineStr">
        <is>
          <t>2022-07-19</t>
        </is>
      </c>
      <c r="B2209" t="n">
        <v>21</v>
      </c>
      <c r="C2209" t="n">
        <v>3009</v>
      </c>
      <c r="D2209" s="6" t="n">
        <v>88.5</v>
      </c>
      <c r="E2209" s="6" t="n">
        <v>1131165.33</v>
      </c>
      <c r="F2209" s="6">
        <f>ROUND(E2209-E2208,2)</f>
        <v/>
      </c>
      <c r="G2209" s="6">
        <f>ROUND(F2209-D2209,2)</f>
        <v/>
      </c>
    </row>
    <row r="2210">
      <c r="A2210" t="inlineStr">
        <is>
          <t>2022-07-19</t>
        </is>
      </c>
      <c r="B2210" t="n">
        <v>22</v>
      </c>
      <c r="C2210" t="n">
        <v>3009</v>
      </c>
      <c r="D2210" s="6" t="n">
        <v>45.8</v>
      </c>
      <c r="E2210" s="6" t="n">
        <v>1131211.13</v>
      </c>
      <c r="F2210" s="6">
        <f>ROUND(E2210-E2209,2)</f>
        <v/>
      </c>
      <c r="G2210" s="6">
        <f>ROUND(F2210-D2210,2)</f>
        <v/>
      </c>
    </row>
    <row r="2211">
      <c r="A2211" t="inlineStr">
        <is>
          <t>2022-07-19</t>
        </is>
      </c>
      <c r="B2211" t="n">
        <v>23</v>
      </c>
      <c r="C2211" t="n">
        <v>3009</v>
      </c>
      <c r="D2211" s="6" t="n">
        <v>45.8</v>
      </c>
      <c r="E2211" s="6" t="n">
        <v>1131256.93</v>
      </c>
      <c r="F2211" s="6">
        <f>ROUND(E2211-E2210,2)</f>
        <v/>
      </c>
      <c r="G2211" s="6">
        <f>ROUND(F2211-D2211,2)</f>
        <v/>
      </c>
    </row>
    <row r="2212">
      <c r="A2212" t="inlineStr">
        <is>
          <t>2022-07-20</t>
        </is>
      </c>
      <c r="B2212" t="n">
        <v>1</v>
      </c>
      <c r="C2212" t="n">
        <v>3010</v>
      </c>
      <c r="D2212" s="6" t="n">
        <v>82.3</v>
      </c>
      <c r="E2212" s="6" t="n">
        <v>1131339.23</v>
      </c>
      <c r="F2212" s="6">
        <f>ROUND(E2212-E2211,2)</f>
        <v/>
      </c>
      <c r="G2212" s="6">
        <f>ROUND(F2212-D2212,2)</f>
        <v/>
      </c>
    </row>
    <row r="2213">
      <c r="A2213" t="inlineStr">
        <is>
          <t>2022-07-20</t>
        </is>
      </c>
      <c r="B2213" t="n">
        <v>2</v>
      </c>
      <c r="C2213" t="n">
        <v>3010</v>
      </c>
      <c r="D2213" s="6" t="n">
        <v>43.1</v>
      </c>
      <c r="E2213" s="6" t="n">
        <v>1131382.33</v>
      </c>
      <c r="F2213" s="6">
        <f>ROUND(E2213-E2212,2)</f>
        <v/>
      </c>
      <c r="G2213" s="6">
        <f>ROUND(F2213-D2213,2)</f>
        <v/>
      </c>
    </row>
    <row r="2214">
      <c r="A2214" t="inlineStr">
        <is>
          <t>2022-07-20</t>
        </is>
      </c>
      <c r="B2214" t="n">
        <v>3</v>
      </c>
      <c r="C2214" t="n">
        <v>3010</v>
      </c>
      <c r="D2214" s="6" t="n">
        <v>57.2</v>
      </c>
      <c r="E2214" s="6" t="n">
        <v>1131439.53</v>
      </c>
      <c r="F2214" s="6">
        <f>ROUND(E2214-E2213,2)</f>
        <v/>
      </c>
      <c r="G2214" s="6">
        <f>ROUND(F2214-D2214,2)</f>
        <v/>
      </c>
    </row>
    <row r="2215">
      <c r="A2215" t="inlineStr">
        <is>
          <t>2022-07-20</t>
        </is>
      </c>
      <c r="B2215" t="n">
        <v>4</v>
      </c>
      <c r="C2215" t="n">
        <v>3010</v>
      </c>
      <c r="D2215" s="6" t="n">
        <v>46.9</v>
      </c>
      <c r="E2215" s="6" t="n">
        <v>1131486.43</v>
      </c>
      <c r="F2215" s="6">
        <f>ROUND(E2215-E2214,2)</f>
        <v/>
      </c>
      <c r="G2215" s="6">
        <f>ROUND(F2215-D2215,2)</f>
        <v/>
      </c>
    </row>
    <row r="2216">
      <c r="A2216" t="inlineStr">
        <is>
          <t>2022-07-20</t>
        </is>
      </c>
      <c r="B2216" t="n">
        <v>5</v>
      </c>
      <c r="C2216" t="n">
        <v>3010</v>
      </c>
      <c r="D2216" s="6" t="n">
        <v>52</v>
      </c>
      <c r="E2216" s="6" t="n">
        <v>1131538.43</v>
      </c>
      <c r="F2216" s="6">
        <f>ROUND(E2216-E2215,2)</f>
        <v/>
      </c>
      <c r="G2216" s="6">
        <f>ROUND(F2216-D2216,2)</f>
        <v/>
      </c>
    </row>
    <row r="2217">
      <c r="A2217" t="inlineStr">
        <is>
          <t>2022-07-20</t>
        </is>
      </c>
      <c r="B2217" t="n">
        <v>6</v>
      </c>
      <c r="C2217" t="n">
        <v>3010</v>
      </c>
      <c r="D2217" s="6" t="n">
        <v>238.7</v>
      </c>
      <c r="E2217" s="6" t="n">
        <v>1131777.13</v>
      </c>
      <c r="F2217" s="6">
        <f>ROUND(E2217-E2216,2)</f>
        <v/>
      </c>
      <c r="G2217" s="6">
        <f>ROUND(F2217-D2217,2)</f>
        <v/>
      </c>
    </row>
    <row r="2218">
      <c r="A2218" t="inlineStr">
        <is>
          <t>2022-07-20</t>
        </is>
      </c>
      <c r="B2218" t="n">
        <v>7</v>
      </c>
      <c r="C2218" t="n">
        <v>3010</v>
      </c>
      <c r="D2218" s="6" t="n">
        <v>125.9</v>
      </c>
      <c r="E2218" s="6" t="n">
        <v>1131903.03</v>
      </c>
      <c r="F2218" s="6">
        <f>ROUND(E2218-E2217,2)</f>
        <v/>
      </c>
      <c r="G2218" s="6">
        <f>ROUND(F2218-D2218,2)</f>
        <v/>
      </c>
    </row>
    <row r="2219">
      <c r="A2219" t="inlineStr">
        <is>
          <t>2022-07-20</t>
        </is>
      </c>
      <c r="B2219" t="n">
        <v>8</v>
      </c>
      <c r="C2219" t="n">
        <v>3010</v>
      </c>
      <c r="D2219" s="6" t="n">
        <v>39.8</v>
      </c>
      <c r="E2219" s="6" t="n">
        <v>1131942.83</v>
      </c>
      <c r="F2219" s="6">
        <f>ROUND(E2219-E2218,2)</f>
        <v/>
      </c>
      <c r="G2219" s="6">
        <f>ROUND(F2219-D2219,2)</f>
        <v/>
      </c>
    </row>
    <row r="2220">
      <c r="A2220" t="inlineStr">
        <is>
          <t>2022-07-20</t>
        </is>
      </c>
      <c r="B2220" t="n">
        <v>9</v>
      </c>
      <c r="C2220" t="n">
        <v>3010</v>
      </c>
      <c r="D2220" s="6" t="n">
        <v>75.2</v>
      </c>
      <c r="E2220" s="6" t="n">
        <v>1132018.03</v>
      </c>
      <c r="F2220" s="6">
        <f>ROUND(E2220-E2219,2)</f>
        <v/>
      </c>
      <c r="G2220" s="6">
        <f>ROUND(F2220-D2220,2)</f>
        <v/>
      </c>
    </row>
    <row r="2221">
      <c r="A2221" t="inlineStr">
        <is>
          <t>2022-07-20</t>
        </is>
      </c>
      <c r="B2221" t="n">
        <v>10</v>
      </c>
      <c r="C2221" t="n">
        <v>3010</v>
      </c>
      <c r="D2221" s="6" t="n">
        <v>44.3</v>
      </c>
      <c r="E2221" s="6" t="n">
        <v>1132062.33</v>
      </c>
      <c r="F2221" s="6">
        <f>ROUND(E2221-E2220,2)</f>
        <v/>
      </c>
      <c r="G2221" s="6">
        <f>ROUND(F2221-D2221,2)</f>
        <v/>
      </c>
    </row>
    <row r="2222">
      <c r="A2222" t="inlineStr">
        <is>
          <t>2022-07-20</t>
        </is>
      </c>
      <c r="B2222" t="n">
        <v>11</v>
      </c>
      <c r="C2222" t="n">
        <v>3010</v>
      </c>
      <c r="D2222" s="6" t="n">
        <v>65</v>
      </c>
      <c r="E2222" s="6" t="n">
        <v>1132127.33</v>
      </c>
      <c r="F2222" s="6">
        <f>ROUND(E2222-E2221,2)</f>
        <v/>
      </c>
      <c r="G2222" s="6">
        <f>ROUND(F2222-D2222,2)</f>
        <v/>
      </c>
    </row>
    <row r="2223">
      <c r="A2223" t="inlineStr">
        <is>
          <t>2022-07-20</t>
        </is>
      </c>
      <c r="B2223" t="n">
        <v>12</v>
      </c>
      <c r="C2223" t="n">
        <v>3010</v>
      </c>
      <c r="D2223" s="6" t="n">
        <v>66.5</v>
      </c>
      <c r="E2223" s="6" t="n">
        <v>1132193.83</v>
      </c>
      <c r="F2223" s="6">
        <f>ROUND(E2223-E2222,2)</f>
        <v/>
      </c>
      <c r="G2223" s="6">
        <f>ROUND(F2223-D2223,2)</f>
        <v/>
      </c>
    </row>
    <row r="2224">
      <c r="A2224" t="inlineStr">
        <is>
          <t>2022-07-20</t>
        </is>
      </c>
      <c r="B2224" t="n">
        <v>13</v>
      </c>
      <c r="C2224" t="n">
        <v>3010</v>
      </c>
      <c r="D2224" s="6" t="n">
        <v>36.6</v>
      </c>
      <c r="E2224" s="6" t="n">
        <v>1132230.43</v>
      </c>
      <c r="F2224" s="6">
        <f>ROUND(E2224-E2223,2)</f>
        <v/>
      </c>
      <c r="G2224" s="6">
        <f>ROUND(F2224-D2224,2)</f>
        <v/>
      </c>
    </row>
    <row r="2225">
      <c r="A2225" t="inlineStr">
        <is>
          <t>2022-07-20</t>
        </is>
      </c>
      <c r="B2225" t="n">
        <v>14</v>
      </c>
      <c r="C2225" t="n">
        <v>3010</v>
      </c>
      <c r="D2225" s="6" t="n">
        <v>36.6</v>
      </c>
      <c r="E2225" s="6" t="n">
        <v>1132267.03</v>
      </c>
      <c r="F2225" s="6">
        <f>ROUND(E2225-E2224,2)</f>
        <v/>
      </c>
      <c r="G2225" s="6">
        <f>ROUND(F2225-D2225,2)</f>
        <v/>
      </c>
    </row>
    <row r="2226">
      <c r="A2226" t="inlineStr">
        <is>
          <t>2022-07-20</t>
        </is>
      </c>
      <c r="B2226" t="n">
        <v>15</v>
      </c>
      <c r="C2226" t="n">
        <v>3010</v>
      </c>
      <c r="D2226" s="6" t="n">
        <v>72.5</v>
      </c>
      <c r="E2226" s="6" t="n">
        <v>1132339.53</v>
      </c>
      <c r="F2226" s="6">
        <f>ROUND(E2226-E2225,2)</f>
        <v/>
      </c>
      <c r="G2226" s="6">
        <f>ROUND(F2226-D2226,2)</f>
        <v/>
      </c>
    </row>
    <row r="2227">
      <c r="A2227" t="inlineStr">
        <is>
          <t>2022-07-20</t>
        </is>
      </c>
      <c r="B2227" t="n">
        <v>16</v>
      </c>
      <c r="C2227" t="n">
        <v>3010</v>
      </c>
      <c r="D2227" s="6" t="n">
        <v>79.59999999999999</v>
      </c>
      <c r="E2227" s="6" t="n">
        <v>1132419.13</v>
      </c>
      <c r="F2227" s="6">
        <f>ROUND(E2227-E2226,2)</f>
        <v/>
      </c>
      <c r="G2227" s="6">
        <f>ROUND(F2227-D2227,2)</f>
        <v/>
      </c>
    </row>
    <row r="2228">
      <c r="A2228" t="inlineStr">
        <is>
          <t>2022-07-20</t>
        </is>
      </c>
      <c r="B2228" t="n">
        <v>17</v>
      </c>
      <c r="C2228" t="n">
        <v>3010</v>
      </c>
      <c r="D2228" s="6" t="n">
        <v>53.9</v>
      </c>
      <c r="E2228" s="6" t="n">
        <v>1132473.03</v>
      </c>
      <c r="F2228" s="6">
        <f>ROUND(E2228-E2227,2)</f>
        <v/>
      </c>
      <c r="G2228" s="6">
        <f>ROUND(F2228-D2228,2)</f>
        <v/>
      </c>
    </row>
    <row r="2229">
      <c r="A2229" t="inlineStr">
        <is>
          <t>2022-07-20</t>
        </is>
      </c>
      <c r="B2229" t="n">
        <v>18</v>
      </c>
      <c r="C2229" t="n">
        <v>3010</v>
      </c>
      <c r="D2229" s="6" t="n">
        <v>62.7</v>
      </c>
      <c r="E2229" s="6" t="n">
        <v>1132535.73</v>
      </c>
      <c r="F2229" s="6">
        <f>ROUND(E2229-E2228,2)</f>
        <v/>
      </c>
      <c r="G2229" s="6">
        <f>ROUND(F2229-D2229,2)</f>
        <v/>
      </c>
    </row>
    <row r="2230">
      <c r="A2230" t="inlineStr">
        <is>
          <t>2022-07-20</t>
        </is>
      </c>
      <c r="B2230" t="n">
        <v>19</v>
      </c>
      <c r="C2230" t="n">
        <v>3010</v>
      </c>
      <c r="D2230" s="6" t="n">
        <v>31.6</v>
      </c>
      <c r="E2230" s="6" t="n">
        <v>1132567.33</v>
      </c>
      <c r="F2230" s="6">
        <f>ROUND(E2230-E2229,2)</f>
        <v/>
      </c>
      <c r="G2230" s="6">
        <f>ROUND(F2230-D2230,2)</f>
        <v/>
      </c>
    </row>
    <row r="2231">
      <c r="A2231" t="inlineStr">
        <is>
          <t>2022-07-20</t>
        </is>
      </c>
      <c r="B2231" t="n">
        <v>20</v>
      </c>
      <c r="C2231" t="n">
        <v>3010</v>
      </c>
      <c r="D2231" s="6" t="n">
        <v>35.2</v>
      </c>
      <c r="E2231" s="6" t="n">
        <v>1132602.53</v>
      </c>
      <c r="F2231" s="6">
        <f>ROUND(E2231-E2230,2)</f>
        <v/>
      </c>
      <c r="G2231" s="6">
        <f>ROUND(F2231-D2231,2)</f>
        <v/>
      </c>
    </row>
    <row r="2232">
      <c r="A2232" t="inlineStr">
        <is>
          <t>2022-07-20</t>
        </is>
      </c>
      <c r="B2232" t="n">
        <v>21</v>
      </c>
      <c r="C2232" t="n">
        <v>3010</v>
      </c>
      <c r="D2232" s="6" t="n">
        <v>64.8</v>
      </c>
      <c r="E2232" s="6" t="n">
        <v>1132667.33</v>
      </c>
      <c r="F2232" s="6">
        <f>ROUND(E2232-E2231,2)</f>
        <v/>
      </c>
      <c r="G2232" s="6">
        <f>ROUND(F2232-D2232,2)</f>
        <v/>
      </c>
    </row>
    <row r="2233">
      <c r="A2233" t="inlineStr">
        <is>
          <t>2022-07-20</t>
        </is>
      </c>
      <c r="B2233" t="n">
        <v>22</v>
      </c>
      <c r="C2233" t="n">
        <v>3010</v>
      </c>
      <c r="D2233" s="6" t="n">
        <v>58.4</v>
      </c>
      <c r="E2233" s="6" t="n">
        <v>1132725.73</v>
      </c>
      <c r="F2233" s="6">
        <f>ROUND(E2233-E2232,2)</f>
        <v/>
      </c>
      <c r="G2233" s="6">
        <f>ROUND(F2233-D2233,2)</f>
        <v/>
      </c>
    </row>
    <row r="2234">
      <c r="A2234" t="inlineStr">
        <is>
          <t>2022-07-20</t>
        </is>
      </c>
      <c r="B2234" t="n">
        <v>23</v>
      </c>
      <c r="C2234" t="n">
        <v>3010</v>
      </c>
      <c r="D2234" s="6" t="n">
        <v>55.2</v>
      </c>
      <c r="E2234" s="6" t="n">
        <v>1132780.93</v>
      </c>
      <c r="F2234" s="6">
        <f>ROUND(E2234-E2233,2)</f>
        <v/>
      </c>
      <c r="G2234" s="6">
        <f>ROUND(F2234-D2234,2)</f>
        <v/>
      </c>
    </row>
    <row r="2235">
      <c r="A2235" t="inlineStr">
        <is>
          <t>2022-07-20</t>
        </is>
      </c>
      <c r="B2235" t="n">
        <v>24</v>
      </c>
      <c r="C2235" t="n">
        <v>3010</v>
      </c>
      <c r="D2235" s="6" t="n">
        <v>107.7</v>
      </c>
      <c r="E2235" s="6" t="n">
        <v>1132888.63</v>
      </c>
      <c r="F2235" s="6">
        <f>ROUND(E2235-E2234,2)</f>
        <v/>
      </c>
      <c r="G2235" s="6">
        <f>ROUND(F2235-D2235,2)</f>
        <v/>
      </c>
    </row>
    <row r="2236">
      <c r="A2236" t="inlineStr">
        <is>
          <t>2022-07-20</t>
        </is>
      </c>
      <c r="B2236" t="n">
        <v>25</v>
      </c>
      <c r="C2236" t="n">
        <v>3010</v>
      </c>
      <c r="D2236" s="6" t="n">
        <v>184.7</v>
      </c>
      <c r="E2236" s="6" t="n">
        <v>1133073.33</v>
      </c>
      <c r="F2236" s="6">
        <f>ROUND(E2236-E2235,2)</f>
        <v/>
      </c>
      <c r="G2236" s="6">
        <f>ROUND(F2236-D2236,2)</f>
        <v/>
      </c>
    </row>
    <row r="2237">
      <c r="A2237" t="inlineStr">
        <is>
          <t>2022-07-20</t>
        </is>
      </c>
      <c r="B2237" t="n">
        <v>26</v>
      </c>
      <c r="C2237" t="n">
        <v>3010</v>
      </c>
      <c r="D2237" s="6" t="n">
        <v>24.9</v>
      </c>
      <c r="E2237" s="6" t="n">
        <v>1133098.23</v>
      </c>
      <c r="F2237" s="6">
        <f>ROUND(E2237-E2236,2)</f>
        <v/>
      </c>
      <c r="G2237" s="6">
        <f>ROUND(F2237-D2237,2)</f>
        <v/>
      </c>
    </row>
    <row r="2238">
      <c r="A2238" t="inlineStr">
        <is>
          <t>2022-07-20</t>
        </is>
      </c>
      <c r="B2238" t="n">
        <v>27</v>
      </c>
      <c r="C2238" t="n">
        <v>3010</v>
      </c>
      <c r="D2238" s="6" t="n">
        <v>74.2</v>
      </c>
      <c r="E2238" s="6" t="n">
        <v>1133172.43</v>
      </c>
      <c r="F2238" s="6">
        <f>ROUND(E2238-E2237,2)</f>
        <v/>
      </c>
      <c r="G2238" s="6">
        <f>ROUND(F2238-D2238,2)</f>
        <v/>
      </c>
    </row>
    <row r="2239">
      <c r="A2239" t="inlineStr">
        <is>
          <t>2022-07-20</t>
        </is>
      </c>
      <c r="B2239" t="n">
        <v>28</v>
      </c>
      <c r="C2239" t="n">
        <v>3010</v>
      </c>
      <c r="D2239" s="6" t="n">
        <v>137.7</v>
      </c>
      <c r="E2239" s="6" t="n">
        <v>1133310.13</v>
      </c>
      <c r="F2239" s="6">
        <f>ROUND(E2239-E2238,2)</f>
        <v/>
      </c>
      <c r="G2239" s="6">
        <f>ROUND(F2239-D2239,2)</f>
        <v/>
      </c>
    </row>
    <row r="2240">
      <c r="A2240" t="inlineStr">
        <is>
          <t>2022-07-20</t>
        </is>
      </c>
      <c r="B2240" t="n">
        <v>29</v>
      </c>
      <c r="C2240" t="n">
        <v>3010</v>
      </c>
      <c r="D2240" s="6" t="n">
        <v>80.09999999999999</v>
      </c>
      <c r="E2240" s="6" t="n">
        <v>1133390.23</v>
      </c>
      <c r="F2240" s="6">
        <f>ROUND(E2240-E2239,2)</f>
        <v/>
      </c>
      <c r="G2240" s="6">
        <f>ROUND(F2240-D2240,2)</f>
        <v/>
      </c>
    </row>
    <row r="2241">
      <c r="A2241" t="inlineStr">
        <is>
          <t>2022-07-20</t>
        </is>
      </c>
      <c r="B2241" t="n">
        <v>30</v>
      </c>
      <c r="C2241" t="n">
        <v>3010</v>
      </c>
      <c r="D2241" s="6" t="n">
        <v>69.2</v>
      </c>
      <c r="E2241" s="6" t="n">
        <v>1133459.43</v>
      </c>
      <c r="F2241" s="6">
        <f>ROUND(E2241-E2240,2)</f>
        <v/>
      </c>
      <c r="G2241" s="6">
        <f>ROUND(F2241-D2241,2)</f>
        <v/>
      </c>
    </row>
    <row r="2242">
      <c r="A2242" t="inlineStr">
        <is>
          <t>2022-07-21</t>
        </is>
      </c>
      <c r="B2242" t="n">
        <v>1</v>
      </c>
      <c r="C2242" t="n">
        <v>3011</v>
      </c>
      <c r="D2242" s="6" t="n">
        <v>60.1</v>
      </c>
      <c r="E2242" s="6" t="n">
        <v>1133519.53</v>
      </c>
      <c r="F2242" s="6">
        <f>ROUND(E2242-E2241,2)</f>
        <v/>
      </c>
      <c r="G2242" s="6">
        <f>ROUND(F2242-D2242,2)</f>
        <v/>
      </c>
    </row>
    <row r="2243">
      <c r="A2243" t="inlineStr">
        <is>
          <t>2022-07-21</t>
        </is>
      </c>
      <c r="B2243" t="n">
        <v>2</v>
      </c>
      <c r="C2243" t="n">
        <v>3011</v>
      </c>
      <c r="D2243" s="6" t="n">
        <v>60.3</v>
      </c>
      <c r="E2243" s="6" t="n">
        <v>1133579.83</v>
      </c>
      <c r="F2243" s="6">
        <f>ROUND(E2243-E2242,2)</f>
        <v/>
      </c>
      <c r="G2243" s="6">
        <f>ROUND(F2243-D2243,2)</f>
        <v/>
      </c>
    </row>
    <row r="2244">
      <c r="A2244" t="inlineStr">
        <is>
          <t>2022-07-21</t>
        </is>
      </c>
      <c r="B2244" t="n">
        <v>3</v>
      </c>
      <c r="C2244" t="n">
        <v>3011</v>
      </c>
      <c r="D2244" s="6" t="n">
        <v>23</v>
      </c>
      <c r="E2244" s="6" t="n">
        <v>1133602.83</v>
      </c>
      <c r="F2244" s="6">
        <f>ROUND(E2244-E2243,2)</f>
        <v/>
      </c>
      <c r="G2244" s="6">
        <f>ROUND(F2244-D2244,2)</f>
        <v/>
      </c>
    </row>
    <row r="2245">
      <c r="A2245" t="inlineStr">
        <is>
          <t>2022-07-21</t>
        </is>
      </c>
      <c r="B2245" t="n">
        <v>4</v>
      </c>
      <c r="C2245" t="n">
        <v>3011</v>
      </c>
      <c r="D2245" s="6" t="n">
        <v>49.75</v>
      </c>
      <c r="E2245" s="6" t="n">
        <v>1133652.58</v>
      </c>
      <c r="F2245" s="6">
        <f>ROUND(E2245-E2244,2)</f>
        <v/>
      </c>
      <c r="G2245" s="6">
        <f>ROUND(F2245-D2245,2)</f>
        <v/>
      </c>
    </row>
    <row r="2246">
      <c r="A2246" t="inlineStr">
        <is>
          <t>2022-07-21</t>
        </is>
      </c>
      <c r="B2246" t="n">
        <v>5</v>
      </c>
      <c r="C2246" t="n">
        <v>3011</v>
      </c>
      <c r="D2246" s="6" t="n">
        <v>49.75</v>
      </c>
      <c r="E2246" s="6" t="n">
        <v>1133702.33</v>
      </c>
      <c r="F2246" s="6">
        <f>ROUND(E2246-E2245,2)</f>
        <v/>
      </c>
      <c r="G2246" s="6">
        <f>ROUND(F2246-D2246,2)</f>
        <v/>
      </c>
    </row>
    <row r="2247">
      <c r="A2247" t="inlineStr">
        <is>
          <t>2022-07-21</t>
        </is>
      </c>
      <c r="B2247" t="n">
        <v>6</v>
      </c>
      <c r="C2247" t="n">
        <v>3011</v>
      </c>
      <c r="D2247" s="6" t="n">
        <v>85.5</v>
      </c>
      <c r="E2247" s="6" t="n">
        <v>1133787.83</v>
      </c>
      <c r="F2247" s="6">
        <f>ROUND(E2247-E2246,2)</f>
        <v/>
      </c>
      <c r="G2247" s="6">
        <f>ROUND(F2247-D2247,2)</f>
        <v/>
      </c>
    </row>
    <row r="2248">
      <c r="A2248" t="inlineStr">
        <is>
          <t>2022-07-21</t>
        </is>
      </c>
      <c r="B2248" t="n">
        <v>7</v>
      </c>
      <c r="C2248" t="n">
        <v>3011</v>
      </c>
      <c r="D2248" s="6" t="n">
        <v>61.7</v>
      </c>
      <c r="E2248" s="6" t="n">
        <v>1133849.53</v>
      </c>
      <c r="F2248" s="6">
        <f>ROUND(E2248-E2247,2)</f>
        <v/>
      </c>
      <c r="G2248" s="6">
        <f>ROUND(F2248-D2248,2)</f>
        <v/>
      </c>
    </row>
    <row r="2249">
      <c r="A2249" t="inlineStr">
        <is>
          <t>2022-07-21</t>
        </is>
      </c>
      <c r="B2249" t="n">
        <v>8</v>
      </c>
      <c r="C2249" t="n">
        <v>3011</v>
      </c>
      <c r="D2249" s="6" t="n">
        <v>76.59999999999999</v>
      </c>
      <c r="E2249" s="6" t="n">
        <v>1133926.13</v>
      </c>
      <c r="F2249" s="6">
        <f>ROUND(E2249-E2248,2)</f>
        <v/>
      </c>
      <c r="G2249" s="6">
        <f>ROUND(F2249-D2249,2)</f>
        <v/>
      </c>
    </row>
    <row r="2250">
      <c r="A2250" t="inlineStr">
        <is>
          <t>2022-07-21</t>
        </is>
      </c>
      <c r="B2250" t="n">
        <v>9</v>
      </c>
      <c r="C2250" t="n">
        <v>3011</v>
      </c>
      <c r="D2250" s="6" t="n">
        <v>78.90000000000001</v>
      </c>
      <c r="E2250" s="6" t="n">
        <v>1134005.03</v>
      </c>
      <c r="F2250" s="6">
        <f>ROUND(E2250-E2249,2)</f>
        <v/>
      </c>
      <c r="G2250" s="6">
        <f>ROUND(F2250-D2250,2)</f>
        <v/>
      </c>
    </row>
    <row r="2251">
      <c r="A2251" t="inlineStr">
        <is>
          <t>2022-07-21</t>
        </is>
      </c>
      <c r="B2251" t="n">
        <v>10</v>
      </c>
      <c r="C2251" t="n">
        <v>3011</v>
      </c>
      <c r="D2251" s="6" t="n">
        <v>42.1</v>
      </c>
      <c r="E2251" s="6" t="n">
        <v>1134047.13</v>
      </c>
      <c r="F2251" s="6">
        <f>ROUND(E2251-E2250,2)</f>
        <v/>
      </c>
      <c r="G2251" s="6">
        <f>ROUND(F2251-D2251,2)</f>
        <v/>
      </c>
    </row>
    <row r="2252">
      <c r="A2252" t="inlineStr">
        <is>
          <t>2022-07-21</t>
        </is>
      </c>
      <c r="B2252" t="n">
        <v>11</v>
      </c>
      <c r="C2252" t="n">
        <v>3011</v>
      </c>
      <c r="D2252" s="6" t="n">
        <v>35.3</v>
      </c>
      <c r="E2252" s="6" t="n">
        <v>1134082.43</v>
      </c>
      <c r="F2252" s="6">
        <f>ROUND(E2252-E2251,2)</f>
        <v/>
      </c>
      <c r="G2252" s="6">
        <f>ROUND(F2252-D2252,2)</f>
        <v/>
      </c>
    </row>
    <row r="2253">
      <c r="A2253" t="inlineStr">
        <is>
          <t>2022-07-21</t>
        </is>
      </c>
      <c r="B2253" t="n">
        <v>12</v>
      </c>
      <c r="C2253" t="n">
        <v>3011</v>
      </c>
      <c r="D2253" s="6" t="n">
        <v>43.4</v>
      </c>
      <c r="E2253" s="6" t="n">
        <v>1134125.83</v>
      </c>
      <c r="F2253" s="6">
        <f>ROUND(E2253-E2252,2)</f>
        <v/>
      </c>
      <c r="G2253" s="6">
        <f>ROUND(F2253-D2253,2)</f>
        <v/>
      </c>
    </row>
    <row r="2254">
      <c r="A2254" t="inlineStr">
        <is>
          <t>2022-07-21</t>
        </is>
      </c>
      <c r="B2254" t="n">
        <v>13</v>
      </c>
      <c r="C2254" t="n">
        <v>3011</v>
      </c>
      <c r="D2254" s="6" t="n">
        <v>56.9</v>
      </c>
      <c r="E2254" s="6" t="n">
        <v>1134182.73</v>
      </c>
      <c r="F2254" s="6">
        <f>ROUND(E2254-E2253,2)</f>
        <v/>
      </c>
      <c r="G2254" s="6">
        <f>ROUND(F2254-D2254,2)</f>
        <v/>
      </c>
    </row>
    <row r="2255">
      <c r="A2255" t="inlineStr">
        <is>
          <t>2022-07-21</t>
        </is>
      </c>
      <c r="B2255" t="n">
        <v>14</v>
      </c>
      <c r="C2255" t="n">
        <v>3011</v>
      </c>
      <c r="D2255" s="6" t="n">
        <v>22</v>
      </c>
      <c r="E2255" s="6" t="n">
        <v>1134204.73</v>
      </c>
      <c r="F2255" s="6">
        <f>ROUND(E2255-E2254,2)</f>
        <v/>
      </c>
      <c r="G2255" s="6">
        <f>ROUND(F2255-D2255,2)</f>
        <v/>
      </c>
    </row>
    <row r="2256">
      <c r="A2256" t="inlineStr">
        <is>
          <t>2022-07-21</t>
        </is>
      </c>
      <c r="B2256" t="n">
        <v>15</v>
      </c>
      <c r="C2256" t="n">
        <v>3011</v>
      </c>
      <c r="D2256" s="6" t="n">
        <v>41.6</v>
      </c>
      <c r="E2256" s="6" t="n">
        <v>1134246.33</v>
      </c>
      <c r="F2256" s="6">
        <f>ROUND(E2256-E2255,2)</f>
        <v/>
      </c>
      <c r="G2256" s="6">
        <f>ROUND(F2256-D2256,2)</f>
        <v/>
      </c>
    </row>
    <row r="2257">
      <c r="A2257" t="inlineStr">
        <is>
          <t>2022-07-21</t>
        </is>
      </c>
      <c r="B2257" t="n">
        <v>16</v>
      </c>
      <c r="C2257" t="n">
        <v>3011</v>
      </c>
      <c r="D2257" s="6" t="n">
        <v>123</v>
      </c>
      <c r="E2257" s="6" t="n">
        <v>1134369.33</v>
      </c>
      <c r="F2257" s="6">
        <f>ROUND(E2257-E2256,2)</f>
        <v/>
      </c>
      <c r="G2257" s="6">
        <f>ROUND(F2257-D2257,2)</f>
        <v/>
      </c>
    </row>
    <row r="2258">
      <c r="A2258" t="inlineStr">
        <is>
          <t>2022-07-21</t>
        </is>
      </c>
      <c r="B2258" t="n">
        <v>17</v>
      </c>
      <c r="C2258" t="n">
        <v>3011</v>
      </c>
      <c r="D2258" s="6" t="n">
        <v>58.7</v>
      </c>
      <c r="E2258" s="6" t="n">
        <v>1134428.03</v>
      </c>
      <c r="F2258" s="6">
        <f>ROUND(E2258-E2257,2)</f>
        <v/>
      </c>
      <c r="G2258" s="6">
        <f>ROUND(F2258-D2258,2)</f>
        <v/>
      </c>
    </row>
    <row r="2259">
      <c r="A2259" t="inlineStr">
        <is>
          <t>2022-07-21</t>
        </is>
      </c>
      <c r="B2259" t="n">
        <v>18</v>
      </c>
      <c r="C2259" t="n">
        <v>3011</v>
      </c>
      <c r="D2259" s="6" t="n">
        <v>103.3</v>
      </c>
      <c r="E2259" s="6" t="n">
        <v>1134531.33</v>
      </c>
      <c r="F2259" s="6">
        <f>ROUND(E2259-E2258,2)</f>
        <v/>
      </c>
      <c r="G2259" s="6">
        <f>ROUND(F2259-D2259,2)</f>
        <v/>
      </c>
    </row>
    <row r="2260">
      <c r="A2260" t="inlineStr">
        <is>
          <t>2022-07-21</t>
        </is>
      </c>
      <c r="B2260" t="n">
        <v>19</v>
      </c>
      <c r="C2260" t="n">
        <v>3011</v>
      </c>
      <c r="D2260" s="6" t="n">
        <v>62.3</v>
      </c>
      <c r="E2260" s="6" t="n">
        <v>1134593.63</v>
      </c>
      <c r="F2260" s="6">
        <f>ROUND(E2260-E2259,2)</f>
        <v/>
      </c>
      <c r="G2260" s="6">
        <f>ROUND(F2260-D2260,2)</f>
        <v/>
      </c>
    </row>
    <row r="2261">
      <c r="A2261" t="inlineStr">
        <is>
          <t>2022-07-21</t>
        </is>
      </c>
      <c r="B2261" t="n">
        <v>20</v>
      </c>
      <c r="C2261" t="n">
        <v>3011</v>
      </c>
      <c r="D2261" s="6" t="n">
        <v>47.8</v>
      </c>
      <c r="E2261" s="6" t="n">
        <v>1134641.43</v>
      </c>
      <c r="F2261" s="6">
        <f>ROUND(E2261-E2260,2)</f>
        <v/>
      </c>
      <c r="G2261" s="6">
        <f>ROUND(F2261-D2261,2)</f>
        <v/>
      </c>
    </row>
    <row r="2262">
      <c r="A2262" t="inlineStr">
        <is>
          <t>2022-07-21</t>
        </is>
      </c>
      <c r="B2262" t="n">
        <v>21</v>
      </c>
      <c r="C2262" t="n">
        <v>3011</v>
      </c>
      <c r="D2262" s="6" t="n">
        <v>80.09999999999999</v>
      </c>
      <c r="E2262" s="6" t="n">
        <v>1134721.53</v>
      </c>
      <c r="F2262" s="6">
        <f>ROUND(E2262-E2261,2)</f>
        <v/>
      </c>
      <c r="G2262" s="6">
        <f>ROUND(F2262-D2262,2)</f>
        <v/>
      </c>
    </row>
    <row r="2263">
      <c r="A2263" t="inlineStr">
        <is>
          <t>2022-07-21</t>
        </is>
      </c>
      <c r="B2263" t="n">
        <v>22</v>
      </c>
      <c r="C2263" t="n">
        <v>3011</v>
      </c>
      <c r="D2263" s="6" t="n">
        <v>70.40000000000001</v>
      </c>
      <c r="E2263" s="6" t="n">
        <v>1134791.93</v>
      </c>
      <c r="F2263" s="6">
        <f>ROUND(E2263-E2262,2)</f>
        <v/>
      </c>
      <c r="G2263" s="6">
        <f>ROUND(F2263-D2263,2)</f>
        <v/>
      </c>
    </row>
    <row r="2264">
      <c r="A2264" t="inlineStr">
        <is>
          <t>2022-07-21</t>
        </is>
      </c>
      <c r="B2264" t="n">
        <v>23</v>
      </c>
      <c r="C2264" t="n">
        <v>3011</v>
      </c>
      <c r="D2264" s="6" t="n">
        <v>138.3</v>
      </c>
      <c r="E2264" s="6" t="n">
        <v>1134930.23</v>
      </c>
      <c r="F2264" s="6">
        <f>ROUND(E2264-E2263,2)</f>
        <v/>
      </c>
      <c r="G2264" s="6">
        <f>ROUND(F2264-D2264,2)</f>
        <v/>
      </c>
    </row>
    <row r="2265">
      <c r="A2265" t="inlineStr">
        <is>
          <t>2022-07-21</t>
        </is>
      </c>
      <c r="B2265" t="n">
        <v>24</v>
      </c>
      <c r="C2265" t="n">
        <v>3011</v>
      </c>
      <c r="D2265" s="6" t="n">
        <v>44.3</v>
      </c>
      <c r="E2265" s="6" t="n">
        <v>1134974.53</v>
      </c>
      <c r="F2265" s="6">
        <f>ROUND(E2265-E2264,2)</f>
        <v/>
      </c>
      <c r="G2265" s="6">
        <f>ROUND(F2265-D2265,2)</f>
        <v/>
      </c>
    </row>
    <row r="2266">
      <c r="A2266" t="inlineStr">
        <is>
          <t>2022-07-21</t>
        </is>
      </c>
      <c r="B2266" t="n">
        <v>25</v>
      </c>
      <c r="C2266" t="n">
        <v>3011</v>
      </c>
      <c r="D2266" s="6" t="n">
        <v>151.9</v>
      </c>
      <c r="E2266" s="6" t="n">
        <v>1135126.43</v>
      </c>
      <c r="F2266" s="6">
        <f>ROUND(E2266-E2265,2)</f>
        <v/>
      </c>
      <c r="G2266" s="6">
        <f>ROUND(F2266-D2266,2)</f>
        <v/>
      </c>
    </row>
    <row r="2267">
      <c r="A2267" t="inlineStr">
        <is>
          <t>2022-07-21</t>
        </is>
      </c>
      <c r="B2267" t="n">
        <v>26</v>
      </c>
      <c r="C2267" t="n">
        <v>3011</v>
      </c>
      <c r="D2267" s="6" t="n">
        <v>114.6</v>
      </c>
      <c r="E2267" s="6" t="n">
        <v>1135241.03</v>
      </c>
      <c r="F2267" s="6">
        <f>ROUND(E2267-E2266,2)</f>
        <v/>
      </c>
      <c r="G2267" s="6">
        <f>ROUND(F2267-D2267,2)</f>
        <v/>
      </c>
    </row>
    <row r="2268">
      <c r="A2268" t="inlineStr">
        <is>
          <t>2022-07-21</t>
        </is>
      </c>
      <c r="B2268" t="n">
        <v>27</v>
      </c>
      <c r="C2268" t="n">
        <v>3011</v>
      </c>
      <c r="D2268" s="6" t="n">
        <v>70.09999999999999</v>
      </c>
      <c r="E2268" s="6" t="n">
        <v>1135311.13</v>
      </c>
      <c r="F2268" s="6">
        <f>ROUND(E2268-E2267,2)</f>
        <v/>
      </c>
      <c r="G2268" s="6">
        <f>ROUND(F2268-D2268,2)</f>
        <v/>
      </c>
    </row>
    <row r="2269">
      <c r="A2269" t="inlineStr">
        <is>
          <t>2022-07-21</t>
        </is>
      </c>
      <c r="B2269" t="n">
        <v>28</v>
      </c>
      <c r="C2269" t="n">
        <v>3011</v>
      </c>
      <c r="D2269" s="6" t="n">
        <v>76.7</v>
      </c>
      <c r="E2269" s="6" t="n">
        <v>1135387.83</v>
      </c>
      <c r="F2269" s="6">
        <f>ROUND(E2269-E2268,2)</f>
        <v/>
      </c>
      <c r="G2269" s="6">
        <f>ROUND(F2269-D2269,2)</f>
        <v/>
      </c>
    </row>
    <row r="2270">
      <c r="A2270" t="inlineStr">
        <is>
          <t>2022-07-21</t>
        </is>
      </c>
      <c r="B2270" t="n">
        <v>29</v>
      </c>
      <c r="C2270" t="n">
        <v>3011</v>
      </c>
      <c r="D2270" s="6" t="n">
        <v>105.4</v>
      </c>
      <c r="E2270" s="6" t="n">
        <v>1135493.23</v>
      </c>
      <c r="F2270" s="6">
        <f>ROUND(E2270-E2269,2)</f>
        <v/>
      </c>
      <c r="G2270" s="6">
        <f>ROUND(F2270-D2270,2)</f>
        <v/>
      </c>
    </row>
    <row r="2271">
      <c r="A2271" t="inlineStr">
        <is>
          <t>2022-07-21</t>
        </is>
      </c>
      <c r="B2271" t="n">
        <v>30</v>
      </c>
      <c r="C2271" t="n">
        <v>3011</v>
      </c>
      <c r="D2271" s="6" t="n">
        <v>29.8</v>
      </c>
      <c r="E2271" s="6" t="n">
        <v>1135523.03</v>
      </c>
      <c r="F2271" s="6">
        <f>ROUND(E2271-E2270,2)</f>
        <v/>
      </c>
      <c r="G2271" s="6">
        <f>ROUND(F2271-D2271,2)</f>
        <v/>
      </c>
    </row>
    <row r="2272">
      <c r="A2272" t="inlineStr">
        <is>
          <t>2022-07-21</t>
        </is>
      </c>
      <c r="B2272" t="n">
        <v>31</v>
      </c>
      <c r="C2272" t="n">
        <v>3011</v>
      </c>
      <c r="D2272" s="6" t="n">
        <v>69.40000000000001</v>
      </c>
      <c r="E2272" s="6" t="n">
        <v>1135592.43</v>
      </c>
      <c r="F2272" s="6">
        <f>ROUND(E2272-E2271,2)</f>
        <v/>
      </c>
      <c r="G2272" s="6">
        <f>ROUND(F2272-D2272,2)</f>
        <v/>
      </c>
    </row>
    <row r="2273">
      <c r="A2273" t="inlineStr">
        <is>
          <t>2022-07-22</t>
        </is>
      </c>
      <c r="B2273" t="n">
        <v>1</v>
      </c>
      <c r="C2273" t="n">
        <v>3012</v>
      </c>
      <c r="D2273" s="6" t="n">
        <v>60.9</v>
      </c>
      <c r="E2273" s="6" t="n">
        <v>1135653.33</v>
      </c>
      <c r="F2273" s="6">
        <f>ROUND(E2273-E2272,2)</f>
        <v/>
      </c>
      <c r="G2273" s="6">
        <f>ROUND(F2273-D2273,2)</f>
        <v/>
      </c>
    </row>
    <row r="2274">
      <c r="A2274" t="inlineStr">
        <is>
          <t>2022-07-22</t>
        </is>
      </c>
      <c r="B2274" t="n">
        <v>2</v>
      </c>
      <c r="C2274" t="n">
        <v>3012</v>
      </c>
      <c r="D2274" s="6" t="n">
        <v>19.9</v>
      </c>
      <c r="E2274" s="6" t="n">
        <v>1135673.23</v>
      </c>
      <c r="F2274" s="6">
        <f>ROUND(E2274-E2273,2)</f>
        <v/>
      </c>
      <c r="G2274" s="6">
        <f>ROUND(F2274-D2274,2)</f>
        <v/>
      </c>
    </row>
    <row r="2275">
      <c r="A2275" t="inlineStr">
        <is>
          <t>2022-07-22</t>
        </is>
      </c>
      <c r="B2275" t="n">
        <v>3</v>
      </c>
      <c r="C2275" t="n">
        <v>3012</v>
      </c>
      <c r="D2275" s="6" t="n">
        <v>92.7</v>
      </c>
      <c r="E2275" s="6" t="n">
        <v>1135765.93</v>
      </c>
      <c r="F2275" s="6">
        <f>ROUND(E2275-E2274,2)</f>
        <v/>
      </c>
      <c r="G2275" s="6">
        <f>ROUND(F2275-D2275,2)</f>
        <v/>
      </c>
    </row>
    <row r="2276">
      <c r="A2276" t="inlineStr">
        <is>
          <t>2022-07-22</t>
        </is>
      </c>
      <c r="B2276" t="n">
        <v>4</v>
      </c>
      <c r="C2276" t="n">
        <v>3012</v>
      </c>
      <c r="D2276" s="6" t="n">
        <v>42.1</v>
      </c>
      <c r="E2276" s="6" t="n">
        <v>1135808.03</v>
      </c>
      <c r="F2276" s="6">
        <f>ROUND(E2276-E2275,2)</f>
        <v/>
      </c>
      <c r="G2276" s="6">
        <f>ROUND(F2276-D2276,2)</f>
        <v/>
      </c>
    </row>
    <row r="2277">
      <c r="A2277" t="inlineStr">
        <is>
          <t>2022-07-22</t>
        </is>
      </c>
      <c r="B2277" t="n">
        <v>5</v>
      </c>
      <c r="C2277" t="n">
        <v>3012</v>
      </c>
      <c r="D2277" s="6" t="n">
        <v>74.90000000000001</v>
      </c>
      <c r="E2277" s="6" t="n">
        <v>1135882.93</v>
      </c>
      <c r="F2277" s="6">
        <f>ROUND(E2277-E2276,2)</f>
        <v/>
      </c>
      <c r="G2277" s="6">
        <f>ROUND(F2277-D2277,2)</f>
        <v/>
      </c>
    </row>
    <row r="2278">
      <c r="A2278" t="inlineStr">
        <is>
          <t>2022-07-22</t>
        </is>
      </c>
      <c r="B2278" t="n">
        <v>6</v>
      </c>
      <c r="C2278" t="n">
        <v>3012</v>
      </c>
      <c r="D2278" s="6" t="n">
        <v>64.5</v>
      </c>
      <c r="E2278" s="6" t="n">
        <v>1135947.43</v>
      </c>
      <c r="F2278" s="6">
        <f>ROUND(E2278-E2277,2)</f>
        <v/>
      </c>
      <c r="G2278" s="6">
        <f>ROUND(F2278-D2278,2)</f>
        <v/>
      </c>
    </row>
    <row r="2279">
      <c r="A2279" t="inlineStr">
        <is>
          <t>2022-07-22</t>
        </is>
      </c>
      <c r="B2279" t="n">
        <v>7</v>
      </c>
      <c r="C2279" t="n">
        <v>3012</v>
      </c>
      <c r="D2279" s="6" t="n">
        <v>81.2</v>
      </c>
      <c r="E2279" s="6" t="n">
        <v>1136028.63</v>
      </c>
      <c r="F2279" s="6">
        <f>ROUND(E2279-E2278,2)</f>
        <v/>
      </c>
      <c r="G2279" s="6">
        <f>ROUND(F2279-D2279,2)</f>
        <v/>
      </c>
    </row>
    <row r="2280">
      <c r="A2280" t="inlineStr">
        <is>
          <t>2022-07-22</t>
        </is>
      </c>
      <c r="B2280" t="n">
        <v>8</v>
      </c>
      <c r="C2280" t="n">
        <v>3012</v>
      </c>
      <c r="D2280" s="6" t="n">
        <v>40.8</v>
      </c>
      <c r="E2280" s="6" t="n">
        <v>1136069.43</v>
      </c>
      <c r="F2280" s="6">
        <f>ROUND(E2280-E2279,2)</f>
        <v/>
      </c>
      <c r="G2280" s="6">
        <f>ROUND(F2280-D2280,2)</f>
        <v/>
      </c>
    </row>
    <row r="2281">
      <c r="A2281" t="inlineStr">
        <is>
          <t>2022-07-22</t>
        </is>
      </c>
      <c r="B2281" t="n">
        <v>9</v>
      </c>
      <c r="C2281" t="n">
        <v>3012</v>
      </c>
      <c r="D2281" s="6" t="n">
        <v>105.8</v>
      </c>
      <c r="E2281" s="6" t="n">
        <v>1136175.23</v>
      </c>
      <c r="F2281" s="6">
        <f>ROUND(E2281-E2280,2)</f>
        <v/>
      </c>
      <c r="G2281" s="6">
        <f>ROUND(F2281-D2281,2)</f>
        <v/>
      </c>
    </row>
    <row r="2282">
      <c r="A2282" t="inlineStr">
        <is>
          <t>2022-07-22</t>
        </is>
      </c>
      <c r="B2282" t="n">
        <v>10</v>
      </c>
      <c r="C2282" t="n">
        <v>3012</v>
      </c>
      <c r="D2282" s="6" t="n">
        <v>68.7</v>
      </c>
      <c r="E2282" s="6" t="n">
        <v>1136243.93</v>
      </c>
      <c r="F2282" s="6">
        <f>ROUND(E2282-E2281,2)</f>
        <v/>
      </c>
      <c r="G2282" s="6">
        <f>ROUND(F2282-D2282,2)</f>
        <v/>
      </c>
    </row>
    <row r="2283">
      <c r="A2283" t="inlineStr">
        <is>
          <t>2022-07-22</t>
        </is>
      </c>
      <c r="B2283" t="n">
        <v>11</v>
      </c>
      <c r="C2283" t="n">
        <v>3012</v>
      </c>
      <c r="D2283" s="6" t="n">
        <v>40.2</v>
      </c>
      <c r="E2283" s="6" t="n">
        <v>1136284.13</v>
      </c>
      <c r="F2283" s="6">
        <f>ROUND(E2283-E2282,2)</f>
        <v/>
      </c>
      <c r="G2283" s="6">
        <f>ROUND(F2283-D2283,2)</f>
        <v/>
      </c>
    </row>
    <row r="2284">
      <c r="A2284" t="inlineStr">
        <is>
          <t>2022-07-22</t>
        </is>
      </c>
      <c r="B2284" t="n">
        <v>12</v>
      </c>
      <c r="C2284" t="n">
        <v>3012</v>
      </c>
      <c r="D2284" s="6" t="n">
        <v>64.5</v>
      </c>
      <c r="E2284" s="6" t="n">
        <v>1136348.63</v>
      </c>
      <c r="F2284" s="6">
        <f>ROUND(E2284-E2283,2)</f>
        <v/>
      </c>
      <c r="G2284" s="6">
        <f>ROUND(F2284-D2284,2)</f>
        <v/>
      </c>
    </row>
    <row r="2285">
      <c r="A2285" t="inlineStr">
        <is>
          <t>2022-07-22</t>
        </is>
      </c>
      <c r="B2285" t="n">
        <v>13</v>
      </c>
      <c r="C2285" t="n">
        <v>3012</v>
      </c>
      <c r="D2285" s="6" t="n">
        <v>71.8</v>
      </c>
      <c r="E2285" s="6" t="n">
        <v>1136420.43</v>
      </c>
      <c r="F2285" s="6">
        <f>ROUND(E2285-E2284,2)</f>
        <v/>
      </c>
      <c r="G2285" s="6">
        <f>ROUND(F2285-D2285,2)</f>
        <v/>
      </c>
    </row>
    <row r="2286">
      <c r="A2286" t="inlineStr">
        <is>
          <t>2022-07-22</t>
        </is>
      </c>
      <c r="B2286" t="n">
        <v>14</v>
      </c>
      <c r="C2286" t="n">
        <v>3012</v>
      </c>
      <c r="D2286" s="6" t="n">
        <v>65.7</v>
      </c>
      <c r="E2286" s="6" t="n">
        <v>1136486.13</v>
      </c>
      <c r="F2286" s="6">
        <f>ROUND(E2286-E2285,2)</f>
        <v/>
      </c>
      <c r="G2286" s="6">
        <f>ROUND(F2286-D2286,2)</f>
        <v/>
      </c>
    </row>
    <row r="2287">
      <c r="A2287" t="inlineStr">
        <is>
          <t>2022-07-22</t>
        </is>
      </c>
      <c r="B2287" t="n">
        <v>15</v>
      </c>
      <c r="C2287" t="n">
        <v>3012</v>
      </c>
      <c r="D2287" s="6" t="n">
        <v>83.5</v>
      </c>
      <c r="E2287" s="6" t="n">
        <v>1136569.63</v>
      </c>
      <c r="F2287" s="6">
        <f>ROUND(E2287-E2286,2)</f>
        <v/>
      </c>
      <c r="G2287" s="6">
        <f>ROUND(F2287-D2287,2)</f>
        <v/>
      </c>
    </row>
    <row r="2288">
      <c r="A2288" t="inlineStr">
        <is>
          <t>2022-07-22</t>
        </is>
      </c>
      <c r="B2288" t="n">
        <v>16</v>
      </c>
      <c r="C2288" t="n">
        <v>3012</v>
      </c>
      <c r="D2288" s="6" t="n">
        <v>50.4</v>
      </c>
      <c r="E2288" s="6" t="n">
        <v>1136620.03</v>
      </c>
      <c r="F2288" s="6">
        <f>ROUND(E2288-E2287,2)</f>
        <v/>
      </c>
      <c r="G2288" s="6">
        <f>ROUND(F2288-D2288,2)</f>
        <v/>
      </c>
    </row>
    <row r="2289">
      <c r="A2289" t="inlineStr">
        <is>
          <t>2022-07-22</t>
        </is>
      </c>
      <c r="B2289" t="n">
        <v>17</v>
      </c>
      <c r="C2289" t="n">
        <v>3012</v>
      </c>
      <c r="D2289" s="6" t="n">
        <v>105.3</v>
      </c>
      <c r="E2289" s="6" t="n">
        <v>1136725.33</v>
      </c>
      <c r="F2289" s="6">
        <f>ROUND(E2289-E2288,2)</f>
        <v/>
      </c>
      <c r="G2289" s="6">
        <f>ROUND(F2289-D2289,2)</f>
        <v/>
      </c>
    </row>
    <row r="2290">
      <c r="A2290" t="inlineStr">
        <is>
          <t>2022-07-22</t>
        </is>
      </c>
      <c r="B2290" t="n">
        <v>18</v>
      </c>
      <c r="C2290" t="n">
        <v>3012</v>
      </c>
      <c r="D2290" s="6" t="n">
        <v>94.3</v>
      </c>
      <c r="E2290" s="6" t="n">
        <v>1136819.63</v>
      </c>
      <c r="F2290" s="6">
        <f>ROUND(E2290-E2289,2)</f>
        <v/>
      </c>
      <c r="G2290" s="6">
        <f>ROUND(F2290-D2290,2)</f>
        <v/>
      </c>
    </row>
    <row r="2291">
      <c r="A2291" t="inlineStr">
        <is>
          <t>2022-07-22</t>
        </is>
      </c>
      <c r="B2291" t="n">
        <v>19</v>
      </c>
      <c r="C2291" t="n">
        <v>3012</v>
      </c>
      <c r="D2291" s="6" t="n">
        <v>74.3</v>
      </c>
      <c r="E2291" s="6" t="n">
        <v>1136893.93</v>
      </c>
      <c r="F2291" s="6">
        <f>ROUND(E2291-E2290,2)</f>
        <v/>
      </c>
      <c r="G2291" s="6">
        <f>ROUND(F2291-D2291,2)</f>
        <v/>
      </c>
    </row>
    <row r="2292">
      <c r="A2292" t="inlineStr">
        <is>
          <t>2022-07-22</t>
        </is>
      </c>
      <c r="B2292" t="n">
        <v>20</v>
      </c>
      <c r="C2292" t="n">
        <v>3012</v>
      </c>
      <c r="D2292" s="6" t="n">
        <v>85</v>
      </c>
      <c r="E2292" s="6" t="n">
        <v>1136978.93</v>
      </c>
      <c r="F2292" s="6">
        <f>ROUND(E2292-E2291,2)</f>
        <v/>
      </c>
      <c r="G2292" s="6">
        <f>ROUND(F2292-D2292,2)</f>
        <v/>
      </c>
    </row>
    <row r="2293">
      <c r="A2293" t="inlineStr">
        <is>
          <t>2022-07-22</t>
        </is>
      </c>
      <c r="B2293" t="n">
        <v>21</v>
      </c>
      <c r="C2293" t="n">
        <v>3012</v>
      </c>
      <c r="D2293" s="6" t="n">
        <v>86.2</v>
      </c>
      <c r="E2293" s="6" t="n">
        <v>1137065.13</v>
      </c>
      <c r="F2293" s="6">
        <f>ROUND(E2293-E2292,2)</f>
        <v/>
      </c>
      <c r="G2293" s="6">
        <f>ROUND(F2293-D2293,2)</f>
        <v/>
      </c>
    </row>
    <row r="2294">
      <c r="A2294" t="inlineStr">
        <is>
          <t>2022-07-22</t>
        </is>
      </c>
      <c r="B2294" t="n">
        <v>22</v>
      </c>
      <c r="C2294" t="n">
        <v>3012</v>
      </c>
      <c r="D2294" s="6" t="n">
        <v>106.5</v>
      </c>
      <c r="E2294" s="6" t="n">
        <v>1137171.63</v>
      </c>
      <c r="F2294" s="6">
        <f>ROUND(E2294-E2293,2)</f>
        <v/>
      </c>
      <c r="G2294" s="6">
        <f>ROUND(F2294-D2294,2)</f>
        <v/>
      </c>
    </row>
    <row r="2295">
      <c r="A2295" t="inlineStr">
        <is>
          <t>2022-07-22</t>
        </is>
      </c>
      <c r="B2295" t="n">
        <v>23</v>
      </c>
      <c r="C2295" t="n">
        <v>3012</v>
      </c>
      <c r="D2295" s="6" t="n">
        <v>132.1</v>
      </c>
      <c r="E2295" s="6" t="n">
        <v>1137303.73</v>
      </c>
      <c r="F2295" s="6">
        <f>ROUND(E2295-E2294,2)</f>
        <v/>
      </c>
      <c r="G2295" s="6">
        <f>ROUND(F2295-D2295,2)</f>
        <v/>
      </c>
    </row>
    <row r="2296">
      <c r="A2296" t="inlineStr">
        <is>
          <t>2022-07-22</t>
        </is>
      </c>
      <c r="B2296" t="n">
        <v>24</v>
      </c>
      <c r="C2296" t="n">
        <v>3012</v>
      </c>
      <c r="D2296" s="6" t="n">
        <v>102.2</v>
      </c>
      <c r="E2296" s="6" t="n">
        <v>1137405.93</v>
      </c>
      <c r="F2296" s="6">
        <f>ROUND(E2296-E2295,2)</f>
        <v/>
      </c>
      <c r="G2296" s="6">
        <f>ROUND(F2296-D2296,2)</f>
        <v/>
      </c>
    </row>
    <row r="2297">
      <c r="A2297" t="inlineStr">
        <is>
          <t>2022-07-22</t>
        </is>
      </c>
      <c r="B2297" t="n">
        <v>25</v>
      </c>
      <c r="C2297" t="n">
        <v>3012</v>
      </c>
      <c r="D2297" s="6" t="n">
        <v>61.8</v>
      </c>
      <c r="E2297" s="6" t="n">
        <v>1137467.73</v>
      </c>
      <c r="F2297" s="6">
        <f>ROUND(E2297-E2296,2)</f>
        <v/>
      </c>
      <c r="G2297" s="6">
        <f>ROUND(F2297-D2297,2)</f>
        <v/>
      </c>
    </row>
    <row r="2298">
      <c r="A2298" t="inlineStr">
        <is>
          <t>2022-07-22</t>
        </is>
      </c>
      <c r="B2298" t="n">
        <v>26</v>
      </c>
      <c r="C2298" t="n">
        <v>3012</v>
      </c>
      <c r="D2298" s="6" t="n">
        <v>58.5</v>
      </c>
      <c r="E2298" s="6" t="n">
        <v>1137526.23</v>
      </c>
      <c r="F2298" s="6">
        <f>ROUND(E2298-E2297,2)</f>
        <v/>
      </c>
      <c r="G2298" s="6">
        <f>ROUND(F2298-D2298,2)</f>
        <v/>
      </c>
    </row>
    <row r="2299">
      <c r="A2299" t="inlineStr">
        <is>
          <t>2022-07-23</t>
        </is>
      </c>
      <c r="B2299" t="n">
        <v>1</v>
      </c>
      <c r="C2299" t="n">
        <v>3013</v>
      </c>
      <c r="D2299" s="6" t="n">
        <v>58.3</v>
      </c>
      <c r="E2299" s="6" t="n">
        <v>1137584.53</v>
      </c>
      <c r="F2299" s="6">
        <f>ROUND(E2299-E2298,2)</f>
        <v/>
      </c>
      <c r="G2299" s="6">
        <f>ROUND(F2299-D2299,2)</f>
        <v/>
      </c>
    </row>
    <row r="2300">
      <c r="A2300" t="inlineStr">
        <is>
          <t>2022-07-23</t>
        </is>
      </c>
      <c r="B2300" t="n">
        <v>2</v>
      </c>
      <c r="C2300" t="n">
        <v>3013</v>
      </c>
      <c r="D2300" s="6" t="n">
        <v>59.3</v>
      </c>
      <c r="E2300" s="6" t="n">
        <v>1137643.83</v>
      </c>
      <c r="F2300" s="6">
        <f>ROUND(E2300-E2299,2)</f>
        <v/>
      </c>
      <c r="G2300" s="6">
        <f>ROUND(F2300-D2300,2)</f>
        <v/>
      </c>
    </row>
    <row r="2301">
      <c r="A2301" t="inlineStr">
        <is>
          <t>2022-07-23</t>
        </is>
      </c>
      <c r="B2301" t="n">
        <v>3</v>
      </c>
      <c r="C2301" t="n">
        <v>3013</v>
      </c>
      <c r="D2301" s="6" t="n">
        <v>47.8</v>
      </c>
      <c r="E2301" s="6" t="n">
        <v>1137691.63</v>
      </c>
      <c r="F2301" s="6">
        <f>ROUND(E2301-E2300,2)</f>
        <v/>
      </c>
      <c r="G2301" s="6">
        <f>ROUND(F2301-D2301,2)</f>
        <v/>
      </c>
    </row>
    <row r="2302">
      <c r="A2302" t="inlineStr">
        <is>
          <t>2022-07-23</t>
        </is>
      </c>
      <c r="B2302" t="n">
        <v>4</v>
      </c>
      <c r="C2302" t="n">
        <v>3013</v>
      </c>
      <c r="D2302" s="6" t="n">
        <v>39.6</v>
      </c>
      <c r="E2302" s="6" t="n">
        <v>1137731.23</v>
      </c>
      <c r="F2302" s="6">
        <f>ROUND(E2302-E2301,2)</f>
        <v/>
      </c>
      <c r="G2302" s="6">
        <f>ROUND(F2302-D2302,2)</f>
        <v/>
      </c>
    </row>
    <row r="2303">
      <c r="A2303" t="inlineStr">
        <is>
          <t>2022-07-23</t>
        </is>
      </c>
      <c r="B2303" t="n">
        <v>5</v>
      </c>
      <c r="C2303" t="n">
        <v>3013</v>
      </c>
      <c r="D2303" s="6" t="n">
        <v>41.45</v>
      </c>
      <c r="E2303" s="6" t="n">
        <v>1137772.68</v>
      </c>
      <c r="F2303" s="6">
        <f>ROUND(E2303-E2302,2)</f>
        <v/>
      </c>
      <c r="G2303" s="6">
        <f>ROUND(F2303-D2303,2)</f>
        <v/>
      </c>
    </row>
    <row r="2304">
      <c r="A2304" t="inlineStr">
        <is>
          <t>2022-07-23</t>
        </is>
      </c>
      <c r="B2304" t="n">
        <v>6</v>
      </c>
      <c r="C2304" t="n">
        <v>3013</v>
      </c>
      <c r="D2304" s="6" t="n">
        <v>41.45</v>
      </c>
      <c r="E2304" s="6" t="n">
        <v>1137814.13</v>
      </c>
      <c r="F2304" s="6">
        <f>ROUND(E2304-E2303,2)</f>
        <v/>
      </c>
      <c r="G2304" s="6">
        <f>ROUND(F2304-D2304,2)</f>
        <v/>
      </c>
    </row>
    <row r="2305">
      <c r="A2305" t="inlineStr">
        <is>
          <t>2022-07-23</t>
        </is>
      </c>
      <c r="B2305" t="n">
        <v>7</v>
      </c>
      <c r="C2305" t="n">
        <v>3013</v>
      </c>
      <c r="D2305" s="6" t="n">
        <v>73.2</v>
      </c>
      <c r="E2305" s="6" t="n">
        <v>1137887.33</v>
      </c>
      <c r="F2305" s="6">
        <f>ROUND(E2305-E2304,2)</f>
        <v/>
      </c>
      <c r="G2305" s="6">
        <f>ROUND(F2305-D2305,2)</f>
        <v/>
      </c>
    </row>
    <row r="2306">
      <c r="A2306" t="inlineStr">
        <is>
          <t>2022-07-23</t>
        </is>
      </c>
      <c r="B2306" t="n">
        <v>8</v>
      </c>
      <c r="C2306" t="n">
        <v>3013</v>
      </c>
      <c r="D2306" s="6" t="n">
        <v>52.7</v>
      </c>
      <c r="E2306" s="6" t="n">
        <v>1137940.03</v>
      </c>
      <c r="F2306" s="6">
        <f>ROUND(E2306-E2305,2)</f>
        <v/>
      </c>
      <c r="G2306" s="6">
        <f>ROUND(F2306-D2306,2)</f>
        <v/>
      </c>
    </row>
    <row r="2307">
      <c r="A2307" t="inlineStr">
        <is>
          <t>2022-07-23</t>
        </is>
      </c>
      <c r="B2307" t="n">
        <v>9</v>
      </c>
      <c r="C2307" t="n">
        <v>3013</v>
      </c>
      <c r="D2307" s="6" t="n">
        <v>72.59999999999999</v>
      </c>
      <c r="E2307" s="6" t="n">
        <v>1138012.63</v>
      </c>
      <c r="F2307" s="6">
        <f>ROUND(E2307-E2306,2)</f>
        <v/>
      </c>
      <c r="G2307" s="6">
        <f>ROUND(F2307-D2307,2)</f>
        <v/>
      </c>
    </row>
    <row r="2308">
      <c r="A2308" t="inlineStr">
        <is>
          <t>2022-07-23</t>
        </is>
      </c>
      <c r="B2308" t="n">
        <v>10</v>
      </c>
      <c r="C2308" t="n">
        <v>3013</v>
      </c>
      <c r="D2308" s="6" t="n">
        <v>30.9</v>
      </c>
      <c r="E2308" s="6" t="n">
        <v>1138043.53</v>
      </c>
      <c r="F2308" s="6">
        <f>ROUND(E2308-E2307,2)</f>
        <v/>
      </c>
      <c r="G2308" s="6">
        <f>ROUND(F2308-D2308,2)</f>
        <v/>
      </c>
    </row>
    <row r="2309">
      <c r="A2309" t="inlineStr">
        <is>
          <t>2022-07-23</t>
        </is>
      </c>
      <c r="B2309" t="n">
        <v>11</v>
      </c>
      <c r="C2309" t="n">
        <v>3013</v>
      </c>
      <c r="D2309" s="6" t="n">
        <v>64.8</v>
      </c>
      <c r="E2309" s="6" t="n">
        <v>1138108.33</v>
      </c>
      <c r="F2309" s="6">
        <f>ROUND(E2309-E2308,2)</f>
        <v/>
      </c>
      <c r="G2309" s="6">
        <f>ROUND(F2309-D2309,2)</f>
        <v/>
      </c>
    </row>
    <row r="2310">
      <c r="A2310" t="inlineStr">
        <is>
          <t>2022-07-23</t>
        </is>
      </c>
      <c r="B2310" t="n">
        <v>12</v>
      </c>
      <c r="C2310" t="n">
        <v>3013</v>
      </c>
      <c r="D2310" s="6" t="n">
        <v>39.9</v>
      </c>
      <c r="E2310" s="6" t="n">
        <v>1138148.23</v>
      </c>
      <c r="F2310" s="6">
        <f>ROUND(E2310-E2309,2)</f>
        <v/>
      </c>
      <c r="G2310" s="6">
        <f>ROUND(F2310-D2310,2)</f>
        <v/>
      </c>
    </row>
    <row r="2311">
      <c r="A2311" t="inlineStr">
        <is>
          <t>2022-07-23</t>
        </is>
      </c>
      <c r="B2311" t="n">
        <v>13</v>
      </c>
      <c r="C2311" t="n">
        <v>3013</v>
      </c>
      <c r="D2311" s="6" t="n">
        <v>73.5</v>
      </c>
      <c r="E2311" s="6" t="n">
        <v>1138221.73</v>
      </c>
      <c r="F2311" s="6">
        <f>ROUND(E2311-E2310,2)</f>
        <v/>
      </c>
      <c r="G2311" s="6">
        <f>ROUND(F2311-D2311,2)</f>
        <v/>
      </c>
    </row>
    <row r="2312">
      <c r="A2312" t="inlineStr">
        <is>
          <t>2022-07-23</t>
        </is>
      </c>
      <c r="B2312" t="n">
        <v>14</v>
      </c>
      <c r="C2312" t="n">
        <v>3013</v>
      </c>
      <c r="D2312" s="6" t="n">
        <v>46.1</v>
      </c>
      <c r="E2312" s="6" t="n">
        <v>1138267.83</v>
      </c>
      <c r="F2312" s="6">
        <f>ROUND(E2312-E2311,2)</f>
        <v/>
      </c>
      <c r="G2312" s="6">
        <f>ROUND(F2312-D2312,2)</f>
        <v/>
      </c>
    </row>
    <row r="2313">
      <c r="A2313" t="inlineStr">
        <is>
          <t>2022-07-23</t>
        </is>
      </c>
      <c r="B2313" t="n">
        <v>15</v>
      </c>
      <c r="C2313" t="n">
        <v>3013</v>
      </c>
      <c r="D2313" s="6" t="n">
        <v>61.1</v>
      </c>
      <c r="E2313" s="6" t="n">
        <v>1138328.93</v>
      </c>
      <c r="F2313" s="6">
        <f>ROUND(E2313-E2312,2)</f>
        <v/>
      </c>
      <c r="G2313" s="6">
        <f>ROUND(F2313-D2313,2)</f>
        <v/>
      </c>
    </row>
    <row r="2314">
      <c r="A2314" t="inlineStr">
        <is>
          <t>2022-07-23</t>
        </is>
      </c>
      <c r="B2314" t="n">
        <v>16</v>
      </c>
      <c r="C2314" t="n">
        <v>3013</v>
      </c>
      <c r="D2314" s="6" t="n">
        <v>23.5</v>
      </c>
      <c r="E2314" s="6" t="n">
        <v>1138352.43</v>
      </c>
      <c r="F2314" s="6">
        <f>ROUND(E2314-E2313,2)</f>
        <v/>
      </c>
      <c r="G2314" s="6">
        <f>ROUND(F2314-D2314,2)</f>
        <v/>
      </c>
    </row>
    <row r="2315">
      <c r="A2315" t="inlineStr">
        <is>
          <t>2022-07-23</t>
        </is>
      </c>
      <c r="B2315" t="n">
        <v>17</v>
      </c>
      <c r="C2315" t="n">
        <v>3013</v>
      </c>
      <c r="D2315" s="6" t="n">
        <v>62.1</v>
      </c>
      <c r="E2315" s="6" t="n">
        <v>1138414.53</v>
      </c>
      <c r="F2315" s="6">
        <f>ROUND(E2315-E2314,2)</f>
        <v/>
      </c>
      <c r="G2315" s="6">
        <f>ROUND(F2315-D2315,2)</f>
        <v/>
      </c>
    </row>
    <row r="2316">
      <c r="A2316" t="inlineStr">
        <is>
          <t>2022-07-23</t>
        </is>
      </c>
      <c r="B2316" t="n">
        <v>18</v>
      </c>
      <c r="C2316" t="n">
        <v>3013</v>
      </c>
      <c r="D2316" s="6" t="n">
        <v>61.1</v>
      </c>
      <c r="E2316" s="6" t="n">
        <v>1138475.63</v>
      </c>
      <c r="F2316" s="6">
        <f>ROUND(E2316-E2315,2)</f>
        <v/>
      </c>
      <c r="G2316" s="6">
        <f>ROUND(F2316-D2316,2)</f>
        <v/>
      </c>
    </row>
    <row r="2317">
      <c r="A2317" t="inlineStr">
        <is>
          <t>2022-07-23</t>
        </is>
      </c>
      <c r="B2317" t="n">
        <v>19</v>
      </c>
      <c r="C2317" t="n">
        <v>3013</v>
      </c>
      <c r="D2317" s="6" t="n">
        <v>33.2</v>
      </c>
      <c r="E2317" s="6" t="n">
        <v>1138508.83</v>
      </c>
      <c r="F2317" s="6">
        <f>ROUND(E2317-E2316,2)</f>
        <v/>
      </c>
      <c r="G2317" s="6">
        <f>ROUND(F2317-D2317,2)</f>
        <v/>
      </c>
    </row>
    <row r="2318">
      <c r="A2318" t="inlineStr">
        <is>
          <t>2022-07-23</t>
        </is>
      </c>
      <c r="B2318" t="n">
        <v>20</v>
      </c>
      <c r="C2318" t="n">
        <v>3013</v>
      </c>
      <c r="D2318" s="6" t="n">
        <v>75.2</v>
      </c>
      <c r="E2318" s="6" t="n">
        <v>1138584.03</v>
      </c>
      <c r="F2318" s="6">
        <f>ROUND(E2318-E2317,2)</f>
        <v/>
      </c>
      <c r="G2318" s="6">
        <f>ROUND(F2318-D2318,2)</f>
        <v/>
      </c>
    </row>
    <row r="2319">
      <c r="A2319" t="inlineStr">
        <is>
          <t>2022-07-23</t>
        </is>
      </c>
      <c r="B2319" t="n">
        <v>21</v>
      </c>
      <c r="C2319" t="n">
        <v>3013</v>
      </c>
      <c r="D2319" s="6" t="n">
        <v>100.2</v>
      </c>
      <c r="E2319" s="6" t="n">
        <v>1138684.23</v>
      </c>
      <c r="F2319" s="6">
        <f>ROUND(E2319-E2318,2)</f>
        <v/>
      </c>
      <c r="G2319" s="6">
        <f>ROUND(F2319-D2319,2)</f>
        <v/>
      </c>
    </row>
    <row r="2320">
      <c r="A2320" t="inlineStr">
        <is>
          <t>2022-07-23</t>
        </is>
      </c>
      <c r="B2320" t="n">
        <v>22</v>
      </c>
      <c r="C2320" t="n">
        <v>3013</v>
      </c>
      <c r="D2320" s="6" t="n">
        <v>107.2</v>
      </c>
      <c r="E2320" s="6" t="n">
        <v>1138791.43</v>
      </c>
      <c r="F2320" s="6">
        <f>ROUND(E2320-E2319,2)</f>
        <v/>
      </c>
      <c r="G2320" s="6">
        <f>ROUND(F2320-D2320,2)</f>
        <v/>
      </c>
    </row>
    <row r="2321">
      <c r="A2321" t="inlineStr">
        <is>
          <t>2022-07-23</t>
        </is>
      </c>
      <c r="B2321" t="n">
        <v>23</v>
      </c>
      <c r="C2321" t="n">
        <v>3013</v>
      </c>
      <c r="D2321" s="6" t="n">
        <v>22.9</v>
      </c>
      <c r="E2321" s="6" t="n">
        <v>1138814.33</v>
      </c>
      <c r="F2321" s="6">
        <f>ROUND(E2321-E2320,2)</f>
        <v/>
      </c>
      <c r="G2321" s="6">
        <f>ROUND(F2321-D2321,2)</f>
        <v/>
      </c>
    </row>
    <row r="2322">
      <c r="A2322" t="inlineStr">
        <is>
          <t>2022-07-23</t>
        </is>
      </c>
      <c r="B2322" t="n">
        <v>24</v>
      </c>
      <c r="C2322" t="n">
        <v>3013</v>
      </c>
      <c r="D2322" s="6" t="n">
        <v>22.6</v>
      </c>
      <c r="E2322" s="6" t="n">
        <v>1138836.93</v>
      </c>
      <c r="F2322" s="6">
        <f>ROUND(E2322-E2321,2)</f>
        <v/>
      </c>
      <c r="G2322" s="6">
        <f>ROUND(F2322-D2322,2)</f>
        <v/>
      </c>
    </row>
    <row r="2323">
      <c r="A2323" t="inlineStr">
        <is>
          <t>2022-07-23</t>
        </is>
      </c>
      <c r="B2323" t="n">
        <v>25</v>
      </c>
      <c r="C2323" t="n">
        <v>3013</v>
      </c>
      <c r="D2323" s="6" t="n">
        <v>23.8</v>
      </c>
      <c r="E2323" s="6" t="n">
        <v>1138860.73</v>
      </c>
      <c r="F2323" s="6">
        <f>ROUND(E2323-E2322,2)</f>
        <v/>
      </c>
      <c r="G2323" s="6">
        <f>ROUND(F2323-D2323,2)</f>
        <v/>
      </c>
    </row>
    <row r="2324">
      <c r="A2324" t="inlineStr">
        <is>
          <t>2022-07-23</t>
        </is>
      </c>
      <c r="B2324" t="n">
        <v>26</v>
      </c>
      <c r="C2324" t="n">
        <v>3013</v>
      </c>
      <c r="D2324" s="6" t="n">
        <v>23.2</v>
      </c>
      <c r="E2324" s="6" t="n">
        <v>1138883.93</v>
      </c>
      <c r="F2324" s="6">
        <f>ROUND(E2324-E2323,2)</f>
        <v/>
      </c>
      <c r="G2324" s="6">
        <f>ROUND(F2324-D2324,2)</f>
        <v/>
      </c>
    </row>
    <row r="2325">
      <c r="A2325" t="inlineStr">
        <is>
          <t>2022-07-23</t>
        </is>
      </c>
      <c r="B2325" t="n">
        <v>27</v>
      </c>
      <c r="C2325" t="n">
        <v>3013</v>
      </c>
      <c r="D2325" s="6" t="n">
        <v>60.9</v>
      </c>
      <c r="E2325" s="6" t="n">
        <v>1138944.83</v>
      </c>
      <c r="F2325" s="6">
        <f>ROUND(E2325-E2324,2)</f>
        <v/>
      </c>
      <c r="G2325" s="6">
        <f>ROUND(F2325-D2325,2)</f>
        <v/>
      </c>
    </row>
    <row r="2326">
      <c r="A2326" t="inlineStr">
        <is>
          <t>2022-07-23</t>
        </is>
      </c>
      <c r="B2326" t="n">
        <v>28</v>
      </c>
      <c r="C2326" t="n">
        <v>3013</v>
      </c>
      <c r="D2326" s="6" t="n">
        <v>63</v>
      </c>
      <c r="E2326" s="6" t="n">
        <v>1139007.83</v>
      </c>
      <c r="F2326" s="6">
        <f>ROUND(E2326-E2325,2)</f>
        <v/>
      </c>
      <c r="G2326" s="6">
        <f>ROUND(F2326-D2326,2)</f>
        <v/>
      </c>
    </row>
    <row r="2327">
      <c r="A2327" t="inlineStr">
        <is>
          <t>2022-07-23</t>
        </is>
      </c>
      <c r="B2327" t="n">
        <v>29</v>
      </c>
      <c r="C2327" t="n">
        <v>3013</v>
      </c>
      <c r="D2327" s="6" t="n">
        <v>143.9</v>
      </c>
      <c r="E2327" s="6" t="n">
        <v>1139151.73</v>
      </c>
      <c r="F2327" s="6">
        <f>ROUND(E2327-E2326,2)</f>
        <v/>
      </c>
      <c r="G2327" s="6">
        <f>ROUND(F2327-D2327,2)</f>
        <v/>
      </c>
    </row>
    <row r="2328">
      <c r="A2328" t="inlineStr">
        <is>
          <t>2022-07-23</t>
        </is>
      </c>
      <c r="B2328" t="n">
        <v>30</v>
      </c>
      <c r="C2328" t="n">
        <v>3013</v>
      </c>
      <c r="D2328" s="6" t="n">
        <v>68.40000000000001</v>
      </c>
      <c r="E2328" s="6" t="n">
        <v>1139220.13</v>
      </c>
      <c r="F2328" s="6">
        <f>ROUND(E2328-E2327,2)</f>
        <v/>
      </c>
      <c r="G2328" s="6">
        <f>ROUND(F2328-D2328,2)</f>
        <v/>
      </c>
    </row>
    <row r="2329">
      <c r="A2329" t="inlineStr">
        <is>
          <t>2022-07-23</t>
        </is>
      </c>
      <c r="B2329" t="n">
        <v>31</v>
      </c>
      <c r="C2329" t="n">
        <v>3013</v>
      </c>
      <c r="D2329" s="6" t="n">
        <v>113.9</v>
      </c>
      <c r="E2329" s="6" t="n">
        <v>1139334.03</v>
      </c>
      <c r="F2329" s="6">
        <f>ROUND(E2329-E2328,2)</f>
        <v/>
      </c>
      <c r="G2329" s="6">
        <f>ROUND(F2329-D2329,2)</f>
        <v/>
      </c>
    </row>
    <row r="2330">
      <c r="A2330" t="inlineStr">
        <is>
          <t>2022-07-23</t>
        </is>
      </c>
      <c r="B2330" t="n">
        <v>32</v>
      </c>
      <c r="C2330" t="n">
        <v>3013</v>
      </c>
      <c r="D2330" s="6" t="n">
        <v>19.3</v>
      </c>
      <c r="E2330" s="6" t="n">
        <v>1139353.33</v>
      </c>
      <c r="F2330" s="6">
        <f>ROUND(E2330-E2329,2)</f>
        <v/>
      </c>
      <c r="G2330" s="6">
        <f>ROUND(F2330-D2330,2)</f>
        <v/>
      </c>
    </row>
    <row r="2331">
      <c r="A2331" t="inlineStr">
        <is>
          <t>2022-07-23</t>
        </is>
      </c>
      <c r="B2331" t="n">
        <v>33</v>
      </c>
      <c r="C2331" t="n">
        <v>3013</v>
      </c>
      <c r="D2331" s="6" t="n">
        <v>513.3</v>
      </c>
      <c r="E2331" s="6" t="n">
        <v>1139866.63</v>
      </c>
      <c r="F2331" s="6">
        <f>ROUND(E2331-E2330,2)</f>
        <v/>
      </c>
      <c r="G2331" s="6">
        <f>ROUND(F2331-D2331,2)</f>
        <v/>
      </c>
    </row>
    <row r="2332">
      <c r="A2332" t="inlineStr">
        <is>
          <t>2022-07-23</t>
        </is>
      </c>
      <c r="B2332" t="n">
        <v>34</v>
      </c>
      <c r="C2332" t="n">
        <v>3013</v>
      </c>
      <c r="D2332" s="6" t="n">
        <v>27.5</v>
      </c>
      <c r="E2332" s="6" t="n">
        <v>1139894.13</v>
      </c>
      <c r="F2332" s="6">
        <f>ROUND(E2332-E2331,2)</f>
        <v/>
      </c>
      <c r="G2332" s="6">
        <f>ROUND(F2332-D2332,2)</f>
        <v/>
      </c>
    </row>
    <row r="2333">
      <c r="A2333" t="inlineStr">
        <is>
          <t>2022-07-23</t>
        </is>
      </c>
      <c r="B2333" t="n">
        <v>35</v>
      </c>
      <c r="C2333" t="n">
        <v>3013</v>
      </c>
      <c r="D2333" s="6" t="n">
        <v>70.3</v>
      </c>
      <c r="E2333" s="6" t="n">
        <v>1139964.43</v>
      </c>
      <c r="F2333" s="6">
        <f>ROUND(E2333-E2332,2)</f>
        <v/>
      </c>
      <c r="G2333" s="6">
        <f>ROUND(F2333-D2333,2)</f>
        <v/>
      </c>
    </row>
    <row r="2334">
      <c r="A2334" t="inlineStr">
        <is>
          <t>2022-07-23</t>
        </is>
      </c>
      <c r="B2334" t="n">
        <v>36</v>
      </c>
      <c r="C2334" t="n">
        <v>3013</v>
      </c>
      <c r="D2334" s="6" t="n">
        <v>80.09999999999999</v>
      </c>
      <c r="E2334" s="6" t="n">
        <v>1140044.53</v>
      </c>
      <c r="F2334" s="6">
        <f>ROUND(E2334-E2333,2)</f>
        <v/>
      </c>
      <c r="G2334" s="6">
        <f>ROUND(F2334-D2334,2)</f>
        <v/>
      </c>
    </row>
    <row r="2335">
      <c r="A2335" t="inlineStr">
        <is>
          <t>2022-07-23</t>
        </is>
      </c>
      <c r="B2335" t="n">
        <v>37</v>
      </c>
      <c r="C2335" t="n">
        <v>3013</v>
      </c>
      <c r="D2335" s="6" t="n">
        <v>95.09999999999999</v>
      </c>
      <c r="E2335" s="6" t="n">
        <v>1140139.63</v>
      </c>
      <c r="F2335" s="6">
        <f>ROUND(E2335-E2334,2)</f>
        <v/>
      </c>
      <c r="G2335" s="6">
        <f>ROUND(F2335-D2335,2)</f>
        <v/>
      </c>
    </row>
    <row r="2336">
      <c r="A2336" t="inlineStr">
        <is>
          <t>2022-07-24</t>
        </is>
      </c>
      <c r="B2336" t="n">
        <v>1</v>
      </c>
      <c r="C2336" t="n">
        <v>3014</v>
      </c>
      <c r="D2336" s="6" t="n">
        <v>41.4</v>
      </c>
      <c r="E2336" s="6" t="n">
        <v>1140181.03</v>
      </c>
      <c r="F2336" s="6">
        <f>ROUND(E2336-E2335,2)</f>
        <v/>
      </c>
      <c r="G2336" s="6">
        <f>ROUND(F2336-D2336,2)</f>
        <v/>
      </c>
    </row>
    <row r="2337">
      <c r="A2337" t="inlineStr">
        <is>
          <t>2022-07-24</t>
        </is>
      </c>
      <c r="B2337" t="n">
        <v>2</v>
      </c>
      <c r="C2337" t="n">
        <v>3014</v>
      </c>
      <c r="D2337" s="6" t="n">
        <v>47.6</v>
      </c>
      <c r="E2337" s="6" t="n">
        <v>1140228.63</v>
      </c>
      <c r="F2337" s="6">
        <f>ROUND(E2337-E2336,2)</f>
        <v/>
      </c>
      <c r="G2337" s="6">
        <f>ROUND(F2337-D2337,2)</f>
        <v/>
      </c>
    </row>
    <row r="2338">
      <c r="A2338" t="inlineStr">
        <is>
          <t>2022-07-24</t>
        </is>
      </c>
      <c r="B2338" t="n">
        <v>3</v>
      </c>
      <c r="C2338" t="n">
        <v>3014</v>
      </c>
      <c r="D2338" s="6" t="n">
        <v>30.2</v>
      </c>
      <c r="E2338" s="6" t="n">
        <v>1140258.83</v>
      </c>
      <c r="F2338" s="6">
        <f>ROUND(E2338-E2337,2)</f>
        <v/>
      </c>
      <c r="G2338" s="6">
        <f>ROUND(F2338-D2338,2)</f>
        <v/>
      </c>
    </row>
    <row r="2339">
      <c r="A2339" t="inlineStr">
        <is>
          <t>2022-07-24</t>
        </is>
      </c>
      <c r="B2339" t="n">
        <v>4</v>
      </c>
      <c r="C2339" t="n">
        <v>3014</v>
      </c>
      <c r="D2339" s="6" t="n">
        <v>65.8</v>
      </c>
      <c r="E2339" s="6" t="n">
        <v>1140324.63</v>
      </c>
      <c r="F2339" s="6">
        <f>ROUND(E2339-E2338,2)</f>
        <v/>
      </c>
      <c r="G2339" s="6">
        <f>ROUND(F2339-D2339,2)</f>
        <v/>
      </c>
    </row>
    <row r="2340">
      <c r="A2340" t="inlineStr">
        <is>
          <t>2022-07-24</t>
        </is>
      </c>
      <c r="B2340" t="n">
        <v>5</v>
      </c>
      <c r="C2340" t="n">
        <v>3014</v>
      </c>
      <c r="D2340" s="6" t="n">
        <v>96.7</v>
      </c>
      <c r="E2340" s="6" t="n">
        <v>1140421.33</v>
      </c>
      <c r="F2340" s="6">
        <f>ROUND(E2340-E2339,2)</f>
        <v/>
      </c>
      <c r="G2340" s="6">
        <f>ROUND(F2340-D2340,2)</f>
        <v/>
      </c>
    </row>
    <row r="2341">
      <c r="A2341" t="inlineStr">
        <is>
          <t>2022-07-24</t>
        </is>
      </c>
      <c r="B2341" t="n">
        <v>6</v>
      </c>
      <c r="C2341" t="n">
        <v>3014</v>
      </c>
      <c r="D2341" s="6" t="n">
        <v>69.7</v>
      </c>
      <c r="E2341" s="6" t="n">
        <v>1140491.03</v>
      </c>
      <c r="F2341" s="6">
        <f>ROUND(E2341-E2340,2)</f>
        <v/>
      </c>
      <c r="G2341" s="6">
        <f>ROUND(F2341-D2341,2)</f>
        <v/>
      </c>
    </row>
    <row r="2342">
      <c r="A2342" t="inlineStr">
        <is>
          <t>2022-07-24</t>
        </is>
      </c>
      <c r="B2342" t="n">
        <v>7</v>
      </c>
      <c r="C2342" t="n">
        <v>3014</v>
      </c>
      <c r="D2342" s="6" t="n">
        <v>144.7</v>
      </c>
      <c r="E2342" s="6" t="n">
        <v>1140635.73</v>
      </c>
      <c r="F2342" s="6">
        <f>ROUND(E2342-E2341,2)</f>
        <v/>
      </c>
      <c r="G2342" s="6">
        <f>ROUND(F2342-D2342,2)</f>
        <v/>
      </c>
    </row>
    <row r="2343">
      <c r="A2343" t="inlineStr">
        <is>
          <t>2022-07-24</t>
        </is>
      </c>
      <c r="B2343" t="n">
        <v>8</v>
      </c>
      <c r="C2343" t="n">
        <v>3014</v>
      </c>
      <c r="D2343" s="6" t="n">
        <v>105.8</v>
      </c>
      <c r="E2343" s="6" t="n">
        <v>1140741.53</v>
      </c>
      <c r="F2343" s="6">
        <f>ROUND(E2343-E2342,2)</f>
        <v/>
      </c>
      <c r="G2343" s="6">
        <f>ROUND(F2343-D2343,2)</f>
        <v/>
      </c>
    </row>
    <row r="2344">
      <c r="A2344" t="inlineStr">
        <is>
          <t>2022-07-24</t>
        </is>
      </c>
      <c r="B2344" t="n">
        <v>9</v>
      </c>
      <c r="C2344" t="n">
        <v>3014</v>
      </c>
      <c r="D2344" s="6" t="n">
        <v>103.5</v>
      </c>
      <c r="E2344" s="6" t="n">
        <v>1140845.03</v>
      </c>
      <c r="F2344" s="6">
        <f>ROUND(E2344-E2343,2)</f>
        <v/>
      </c>
      <c r="G2344" s="6">
        <f>ROUND(F2344-D2344,2)</f>
        <v/>
      </c>
    </row>
    <row r="2345">
      <c r="A2345" t="inlineStr">
        <is>
          <t>2022-07-24</t>
        </is>
      </c>
      <c r="B2345" t="n">
        <v>10</v>
      </c>
      <c r="C2345" t="n">
        <v>3014</v>
      </c>
      <c r="D2345" s="6" t="n">
        <v>140</v>
      </c>
      <c r="E2345" s="6" t="n">
        <v>1140985.03</v>
      </c>
      <c r="F2345" s="6">
        <f>ROUND(E2345-E2344,2)</f>
        <v/>
      </c>
      <c r="G2345" s="6">
        <f>ROUND(F2345-D2345,2)</f>
        <v/>
      </c>
    </row>
    <row r="2346">
      <c r="A2346" t="inlineStr">
        <is>
          <t>2022-07-24</t>
        </is>
      </c>
      <c r="B2346" t="n">
        <v>11</v>
      </c>
      <c r="C2346" t="n">
        <v>3014</v>
      </c>
      <c r="D2346" s="6" t="n">
        <v>11.2</v>
      </c>
      <c r="E2346" s="6" t="n">
        <v>1140996.23</v>
      </c>
      <c r="F2346" s="6">
        <f>ROUND(E2346-E2345,2)</f>
        <v/>
      </c>
      <c r="G2346" s="6">
        <f>ROUND(F2346-D2346,2)</f>
        <v/>
      </c>
    </row>
    <row r="2347">
      <c r="A2347" t="inlineStr">
        <is>
          <t>2022-07-24</t>
        </is>
      </c>
      <c r="B2347" t="n">
        <v>12</v>
      </c>
      <c r="C2347" t="n">
        <v>3014</v>
      </c>
      <c r="D2347" s="6" t="n">
        <v>115.8</v>
      </c>
      <c r="E2347" s="6" t="n">
        <v>1141112.03</v>
      </c>
      <c r="F2347" s="6">
        <f>ROUND(E2347-E2346,2)</f>
        <v/>
      </c>
      <c r="G2347" s="6">
        <f>ROUND(F2347-D2347,2)</f>
        <v/>
      </c>
    </row>
    <row r="2348">
      <c r="A2348" t="inlineStr">
        <is>
          <t>2022-07-24</t>
        </is>
      </c>
      <c r="B2348" t="n">
        <v>13</v>
      </c>
      <c r="C2348" t="n">
        <v>3014</v>
      </c>
      <c r="D2348" s="6" t="n">
        <v>197.6</v>
      </c>
      <c r="E2348" s="6" t="n">
        <v>1141309.63</v>
      </c>
      <c r="F2348" s="6">
        <f>ROUND(E2348-E2347,2)</f>
        <v/>
      </c>
      <c r="G2348" s="6">
        <f>ROUND(F2348-D2348,2)</f>
        <v/>
      </c>
    </row>
    <row r="2349">
      <c r="A2349" t="inlineStr">
        <is>
          <t>2022-07-24</t>
        </is>
      </c>
      <c r="B2349" t="n">
        <v>14</v>
      </c>
      <c r="C2349" t="n">
        <v>3014</v>
      </c>
      <c r="D2349" s="6" t="n">
        <v>90.40000000000001</v>
      </c>
      <c r="E2349" s="6" t="n">
        <v>1141400.03</v>
      </c>
      <c r="F2349" s="6">
        <f>ROUND(E2349-E2348,2)</f>
        <v/>
      </c>
      <c r="G2349" s="6">
        <f>ROUND(F2349-D2349,2)</f>
        <v/>
      </c>
    </row>
    <row r="2350">
      <c r="A2350" t="inlineStr">
        <is>
          <t>2022-07-24</t>
        </is>
      </c>
      <c r="B2350" t="n">
        <v>15</v>
      </c>
      <c r="C2350" t="n">
        <v>3014</v>
      </c>
      <c r="D2350" s="6" t="n">
        <v>67.7</v>
      </c>
      <c r="E2350" s="6" t="n">
        <v>1141467.73</v>
      </c>
      <c r="F2350" s="6">
        <f>ROUND(E2350-E2349,2)</f>
        <v/>
      </c>
      <c r="G2350" s="6">
        <f>ROUND(F2350-D2350,2)</f>
        <v/>
      </c>
    </row>
    <row r="2351">
      <c r="A2351" t="inlineStr">
        <is>
          <t>2022-07-24</t>
        </is>
      </c>
      <c r="B2351" t="n">
        <v>16</v>
      </c>
      <c r="C2351" t="n">
        <v>3014</v>
      </c>
      <c r="D2351" s="6" t="n">
        <v>19.5</v>
      </c>
      <c r="E2351" s="6" t="n">
        <v>1141487.23</v>
      </c>
      <c r="F2351" s="6">
        <f>ROUND(E2351-E2350,2)</f>
        <v/>
      </c>
      <c r="G2351" s="6">
        <f>ROUND(F2351-D2351,2)</f>
        <v/>
      </c>
    </row>
    <row r="2352">
      <c r="A2352" t="inlineStr">
        <is>
          <t>2022-07-24</t>
        </is>
      </c>
      <c r="B2352" t="n">
        <v>17</v>
      </c>
      <c r="C2352" t="n">
        <v>3014</v>
      </c>
      <c r="D2352" s="6" t="n">
        <v>19.5</v>
      </c>
      <c r="E2352" s="6" t="n">
        <v>1141506.73</v>
      </c>
      <c r="F2352" s="6">
        <f>ROUND(E2352-E2351,2)</f>
        <v/>
      </c>
      <c r="G2352" s="6">
        <f>ROUND(F2352-D2352,2)</f>
        <v/>
      </c>
    </row>
    <row r="2353">
      <c r="A2353" t="inlineStr">
        <is>
          <t>2022-07-24</t>
        </is>
      </c>
      <c r="B2353" t="n">
        <v>18</v>
      </c>
      <c r="C2353" t="n">
        <v>3014</v>
      </c>
      <c r="D2353" s="6" t="n">
        <v>100.1</v>
      </c>
      <c r="E2353" s="6" t="n">
        <v>1141606.83</v>
      </c>
      <c r="F2353" s="6">
        <f>ROUND(E2353-E2352,2)</f>
        <v/>
      </c>
      <c r="G2353" s="6">
        <f>ROUND(F2353-D2353,2)</f>
        <v/>
      </c>
    </row>
    <row r="2354">
      <c r="A2354" t="inlineStr">
        <is>
          <t>2022-07-24</t>
        </is>
      </c>
      <c r="B2354" t="n">
        <v>19</v>
      </c>
      <c r="C2354" t="n">
        <v>3014</v>
      </c>
      <c r="D2354" s="6" t="n">
        <v>92.40000000000001</v>
      </c>
      <c r="E2354" s="6" t="n">
        <v>1141699.23</v>
      </c>
      <c r="F2354" s="6">
        <f>ROUND(E2354-E2353,2)</f>
        <v/>
      </c>
      <c r="G2354" s="6">
        <f>ROUND(F2354-D2354,2)</f>
        <v/>
      </c>
    </row>
    <row r="2355">
      <c r="A2355" t="inlineStr">
        <is>
          <t>2022-07-24</t>
        </is>
      </c>
      <c r="B2355" t="n">
        <v>20</v>
      </c>
      <c r="C2355" t="n">
        <v>3014</v>
      </c>
      <c r="D2355" s="6" t="n">
        <v>83.3</v>
      </c>
      <c r="E2355" s="6" t="n">
        <v>1141782.53</v>
      </c>
      <c r="F2355" s="6">
        <f>ROUND(E2355-E2354,2)</f>
        <v/>
      </c>
      <c r="G2355" s="6">
        <f>ROUND(F2355-D2355,2)</f>
        <v/>
      </c>
    </row>
    <row r="2356">
      <c r="A2356" t="inlineStr">
        <is>
          <t>2022-07-24</t>
        </is>
      </c>
      <c r="B2356" t="n">
        <v>21</v>
      </c>
      <c r="C2356" t="n">
        <v>3014</v>
      </c>
      <c r="D2356" s="6" t="n">
        <v>35.2</v>
      </c>
      <c r="E2356" s="6" t="n">
        <v>1141817.73</v>
      </c>
      <c r="F2356" s="6">
        <f>ROUND(E2356-E2355,2)</f>
        <v/>
      </c>
      <c r="G2356" s="6">
        <f>ROUND(F2356-D2356,2)</f>
        <v/>
      </c>
    </row>
    <row r="2357">
      <c r="A2357" t="inlineStr">
        <is>
          <t>2022-07-24</t>
        </is>
      </c>
      <c r="B2357" t="n">
        <v>22</v>
      </c>
      <c r="C2357" t="n">
        <v>3014</v>
      </c>
      <c r="D2357" s="6" t="n">
        <v>5.4</v>
      </c>
      <c r="E2357" s="6" t="n">
        <v>1141823.13</v>
      </c>
      <c r="F2357" s="6">
        <f>ROUND(E2357-E2356,2)</f>
        <v/>
      </c>
      <c r="G2357" s="6">
        <f>ROUND(F2357-D2357,2)</f>
        <v/>
      </c>
    </row>
    <row r="2358">
      <c r="A2358" t="inlineStr">
        <is>
          <t>2022-07-24</t>
        </is>
      </c>
      <c r="B2358" t="n">
        <v>23</v>
      </c>
      <c r="C2358" t="n">
        <v>3014</v>
      </c>
      <c r="D2358" s="6" t="n">
        <v>36.55</v>
      </c>
      <c r="E2358" s="6" t="n">
        <v>1141859.68</v>
      </c>
      <c r="F2358" s="6">
        <f>ROUND(E2358-E2357,2)</f>
        <v/>
      </c>
      <c r="G2358" s="6">
        <f>ROUND(F2358-D2358,2)</f>
        <v/>
      </c>
    </row>
    <row r="2359">
      <c r="A2359" t="inlineStr">
        <is>
          <t>2022-07-24</t>
        </is>
      </c>
      <c r="B2359" t="n">
        <v>24</v>
      </c>
      <c r="C2359" t="n">
        <v>3014</v>
      </c>
      <c r="D2359" s="6" t="n">
        <v>36.55</v>
      </c>
      <c r="E2359" s="6" t="n">
        <v>1141896.23</v>
      </c>
      <c r="F2359" s="6">
        <f>ROUND(E2359-E2358,2)</f>
        <v/>
      </c>
      <c r="G2359" s="6">
        <f>ROUND(F2359-D2359,2)</f>
        <v/>
      </c>
    </row>
    <row r="2360">
      <c r="A2360" t="inlineStr">
        <is>
          <t>2022-07-24</t>
        </is>
      </c>
      <c r="B2360" t="n">
        <v>25</v>
      </c>
      <c r="C2360" t="n">
        <v>3014</v>
      </c>
      <c r="D2360" s="6" t="n">
        <v>240.5</v>
      </c>
      <c r="E2360" s="6" t="n">
        <v>1142136.73</v>
      </c>
      <c r="F2360" s="6">
        <f>ROUND(E2360-E2359,2)</f>
        <v/>
      </c>
      <c r="G2360" s="6">
        <f>ROUND(F2360-D2360,2)</f>
        <v/>
      </c>
    </row>
    <row r="2361">
      <c r="A2361" t="inlineStr">
        <is>
          <t>2022-07-24</t>
        </is>
      </c>
      <c r="B2361" t="n">
        <v>26</v>
      </c>
      <c r="C2361" t="n">
        <v>3014</v>
      </c>
      <c r="D2361" s="6" t="n">
        <v>76.5</v>
      </c>
      <c r="E2361" s="6" t="n">
        <v>1142213.23</v>
      </c>
      <c r="F2361" s="6">
        <f>ROUND(E2361-E2360,2)</f>
        <v/>
      </c>
      <c r="G2361" s="6">
        <f>ROUND(F2361-D2361,2)</f>
        <v/>
      </c>
    </row>
    <row r="2362">
      <c r="A2362" t="inlineStr">
        <is>
          <t>2022-07-24</t>
        </is>
      </c>
      <c r="B2362" t="n">
        <v>27</v>
      </c>
      <c r="C2362" t="n">
        <v>3014</v>
      </c>
      <c r="D2362" s="6" t="n">
        <v>15.9</v>
      </c>
      <c r="E2362" s="6" t="n">
        <v>1142229.13</v>
      </c>
      <c r="F2362" s="6">
        <f>ROUND(E2362-E2361,2)</f>
        <v/>
      </c>
      <c r="G2362" s="6">
        <f>ROUND(F2362-D2362,2)</f>
        <v/>
      </c>
    </row>
    <row r="2363">
      <c r="A2363" t="inlineStr">
        <is>
          <t>2022-07-24</t>
        </is>
      </c>
      <c r="B2363" t="n">
        <v>28</v>
      </c>
      <c r="C2363" t="n">
        <v>3014</v>
      </c>
      <c r="D2363" s="6" t="n">
        <v>27.6</v>
      </c>
      <c r="E2363" s="6" t="n">
        <v>1142256.73</v>
      </c>
      <c r="F2363" s="6">
        <f>ROUND(E2363-E2362,2)</f>
        <v/>
      </c>
      <c r="G2363" s="6">
        <f>ROUND(F2363-D2363,2)</f>
        <v/>
      </c>
    </row>
    <row r="2364">
      <c r="A2364" t="inlineStr">
        <is>
          <t>2022-07-24</t>
        </is>
      </c>
      <c r="B2364" t="n">
        <v>29</v>
      </c>
      <c r="C2364" t="n">
        <v>3014</v>
      </c>
      <c r="D2364" s="6" t="n">
        <v>49.9</v>
      </c>
      <c r="E2364" s="6" t="n">
        <v>1142306.63</v>
      </c>
      <c r="F2364" s="6">
        <f>ROUND(E2364-E2363,2)</f>
        <v/>
      </c>
      <c r="G2364" s="6">
        <f>ROUND(F2364-D2364,2)</f>
        <v/>
      </c>
    </row>
    <row r="2365">
      <c r="A2365" t="inlineStr">
        <is>
          <t>2022-07-24</t>
        </is>
      </c>
      <c r="B2365" t="n">
        <v>30</v>
      </c>
      <c r="C2365" t="n">
        <v>3014</v>
      </c>
      <c r="D2365" s="6" t="n">
        <v>115.55</v>
      </c>
      <c r="E2365" s="6" t="n">
        <v>1142422.18</v>
      </c>
      <c r="F2365" s="6">
        <f>ROUND(E2365-E2364,2)</f>
        <v/>
      </c>
      <c r="G2365" s="6">
        <f>ROUND(F2365-D2365,2)</f>
        <v/>
      </c>
    </row>
    <row r="2366">
      <c r="A2366" t="inlineStr">
        <is>
          <t>2022-07-24</t>
        </is>
      </c>
      <c r="B2366" t="n">
        <v>31</v>
      </c>
      <c r="C2366" t="n">
        <v>3014</v>
      </c>
      <c r="D2366" s="6" t="n">
        <v>115.55</v>
      </c>
      <c r="E2366" s="6" t="n">
        <v>1142537.73</v>
      </c>
      <c r="F2366" s="6">
        <f>ROUND(E2366-E2365,2)</f>
        <v/>
      </c>
      <c r="G2366" s="6">
        <f>ROUND(F2366-D2366,2)</f>
        <v/>
      </c>
    </row>
    <row r="2367">
      <c r="A2367" t="inlineStr">
        <is>
          <t>2022-07-24</t>
        </is>
      </c>
      <c r="B2367" t="n">
        <v>32</v>
      </c>
      <c r="C2367" t="n">
        <v>3014</v>
      </c>
      <c r="D2367" s="6" t="n">
        <v>43.3</v>
      </c>
      <c r="E2367" s="6" t="n">
        <v>1142581.03</v>
      </c>
      <c r="F2367" s="6">
        <f>ROUND(E2367-E2366,2)</f>
        <v/>
      </c>
      <c r="G2367" s="6">
        <f>ROUND(F2367-D2367,2)</f>
        <v/>
      </c>
    </row>
    <row r="2368">
      <c r="A2368" t="inlineStr">
        <is>
          <t>2022-07-24</t>
        </is>
      </c>
      <c r="B2368" t="n">
        <v>33</v>
      </c>
      <c r="C2368" t="n">
        <v>3014</v>
      </c>
      <c r="D2368" s="6" t="n">
        <v>77.59999999999999</v>
      </c>
      <c r="E2368" s="6" t="n">
        <v>1142658.63</v>
      </c>
      <c r="F2368" s="6">
        <f>ROUND(E2368-E2367,2)</f>
        <v/>
      </c>
      <c r="G2368" s="6">
        <f>ROUND(F2368-D2368,2)</f>
        <v/>
      </c>
    </row>
    <row r="2369">
      <c r="A2369" t="inlineStr">
        <is>
          <t>2022-07-26</t>
        </is>
      </c>
      <c r="B2369" t="n">
        <v>1</v>
      </c>
      <c r="C2369" t="n">
        <v>3015</v>
      </c>
      <c r="D2369" s="6" t="n">
        <v>106</v>
      </c>
      <c r="E2369" s="6" t="n">
        <v>1142764.63</v>
      </c>
      <c r="F2369" s="6">
        <f>ROUND(E2369-E2368,2)</f>
        <v/>
      </c>
      <c r="G2369" s="6">
        <f>ROUND(F2369-D2369,2)</f>
        <v/>
      </c>
    </row>
    <row r="2370">
      <c r="A2370" t="inlineStr">
        <is>
          <t>2022-07-26</t>
        </is>
      </c>
      <c r="B2370" t="n">
        <v>2</v>
      </c>
      <c r="C2370" t="n">
        <v>3015</v>
      </c>
      <c r="D2370" s="6" t="n">
        <v>76.09999999999999</v>
      </c>
      <c r="E2370" s="6" t="n">
        <v>1142840.73</v>
      </c>
      <c r="F2370" s="6">
        <f>ROUND(E2370-E2369,2)</f>
        <v/>
      </c>
      <c r="G2370" s="6">
        <f>ROUND(F2370-D2370,2)</f>
        <v/>
      </c>
    </row>
    <row r="2371">
      <c r="A2371" t="inlineStr">
        <is>
          <t>2022-07-26</t>
        </is>
      </c>
      <c r="B2371" t="n">
        <v>3</v>
      </c>
      <c r="C2371" t="n">
        <v>3015</v>
      </c>
      <c r="D2371" s="6" t="n">
        <v>47.5</v>
      </c>
      <c r="E2371" s="6" t="n">
        <v>1142888.23</v>
      </c>
      <c r="F2371" s="6">
        <f>ROUND(E2371-E2370,2)</f>
        <v/>
      </c>
      <c r="G2371" s="6">
        <f>ROUND(F2371-D2371,2)</f>
        <v/>
      </c>
    </row>
    <row r="2372">
      <c r="A2372" t="inlineStr">
        <is>
          <t>2022-07-26</t>
        </is>
      </c>
      <c r="B2372" t="n">
        <v>4</v>
      </c>
      <c r="C2372" t="n">
        <v>3015</v>
      </c>
      <c r="D2372" s="6" t="n">
        <v>113.9</v>
      </c>
      <c r="E2372" s="6" t="n">
        <v>1143002.13</v>
      </c>
      <c r="F2372" s="6">
        <f>ROUND(E2372-E2371,2)</f>
        <v/>
      </c>
      <c r="G2372" s="6">
        <f>ROUND(F2372-D2372,2)</f>
        <v/>
      </c>
    </row>
    <row r="2373">
      <c r="A2373" t="inlineStr">
        <is>
          <t>2022-07-26</t>
        </is>
      </c>
      <c r="B2373" t="n">
        <v>5</v>
      </c>
      <c r="C2373" t="n">
        <v>3015</v>
      </c>
      <c r="D2373" s="6" t="n">
        <v>56.3</v>
      </c>
      <c r="E2373" s="6" t="n">
        <v>1143058.43</v>
      </c>
      <c r="F2373" s="6">
        <f>ROUND(E2373-E2372,2)</f>
        <v/>
      </c>
      <c r="G2373" s="6">
        <f>ROUND(F2373-D2373,2)</f>
        <v/>
      </c>
    </row>
    <row r="2374">
      <c r="A2374" t="inlineStr">
        <is>
          <t>2022-07-26</t>
        </is>
      </c>
      <c r="B2374" t="n">
        <v>6</v>
      </c>
      <c r="C2374" t="n">
        <v>3015</v>
      </c>
      <c r="D2374" s="6" t="n">
        <v>165.5</v>
      </c>
      <c r="E2374" s="6" t="n">
        <v>1143223.93</v>
      </c>
      <c r="F2374" s="6">
        <f>ROUND(E2374-E2373,2)</f>
        <v/>
      </c>
      <c r="G2374" s="6">
        <f>ROUND(F2374-D2374,2)</f>
        <v/>
      </c>
    </row>
    <row r="2375">
      <c r="A2375" t="inlineStr">
        <is>
          <t>2022-07-26</t>
        </is>
      </c>
      <c r="B2375" t="n">
        <v>7</v>
      </c>
      <c r="C2375" t="n">
        <v>3015</v>
      </c>
      <c r="D2375" s="6" t="n">
        <v>106.4</v>
      </c>
      <c r="E2375" s="6" t="n">
        <v>1143330.33</v>
      </c>
      <c r="F2375" s="6">
        <f>ROUND(E2375-E2374,2)</f>
        <v/>
      </c>
      <c r="G2375" s="6">
        <f>ROUND(F2375-D2375,2)</f>
        <v/>
      </c>
    </row>
    <row r="2376">
      <c r="A2376" t="inlineStr">
        <is>
          <t>2022-07-26</t>
        </is>
      </c>
      <c r="B2376" t="n">
        <v>8</v>
      </c>
      <c r="C2376" t="n">
        <v>3015</v>
      </c>
      <c r="D2376" s="6" t="n">
        <v>120.3</v>
      </c>
      <c r="E2376" s="6" t="n">
        <v>1143450.63</v>
      </c>
      <c r="F2376" s="6">
        <f>ROUND(E2376-E2375,2)</f>
        <v/>
      </c>
      <c r="G2376" s="6">
        <f>ROUND(F2376-D2376,2)</f>
        <v/>
      </c>
    </row>
    <row r="2377">
      <c r="A2377" t="inlineStr">
        <is>
          <t>2022-07-26</t>
        </is>
      </c>
      <c r="B2377" t="n">
        <v>9</v>
      </c>
      <c r="C2377" t="n">
        <v>3015</v>
      </c>
      <c r="D2377" s="6" t="n">
        <v>131.1</v>
      </c>
      <c r="E2377" s="6" t="n">
        <v>1143581.73</v>
      </c>
      <c r="F2377" s="6">
        <f>ROUND(E2377-E2376,2)</f>
        <v/>
      </c>
      <c r="G2377" s="6">
        <f>ROUND(F2377-D2377,2)</f>
        <v/>
      </c>
    </row>
    <row r="2378">
      <c r="A2378" t="inlineStr">
        <is>
          <t>2022-07-26</t>
        </is>
      </c>
      <c r="B2378" t="n">
        <v>10</v>
      </c>
      <c r="C2378" t="n">
        <v>3015</v>
      </c>
      <c r="D2378" s="6" t="n">
        <v>80.90000000000001</v>
      </c>
      <c r="E2378" s="6" t="n">
        <v>1143662.63</v>
      </c>
      <c r="F2378" s="6">
        <f>ROUND(E2378-E2377,2)</f>
        <v/>
      </c>
      <c r="G2378" s="6">
        <f>ROUND(F2378-D2378,2)</f>
        <v/>
      </c>
    </row>
    <row r="2379">
      <c r="A2379" t="inlineStr">
        <is>
          <t>2022-07-26</t>
        </is>
      </c>
      <c r="B2379" t="n">
        <v>11</v>
      </c>
      <c r="C2379" t="n">
        <v>3015</v>
      </c>
      <c r="D2379" s="6" t="n">
        <v>83.59999999999999</v>
      </c>
      <c r="E2379" s="6" t="n">
        <v>1143746.23</v>
      </c>
      <c r="F2379" s="6">
        <f>ROUND(E2379-E2378,2)</f>
        <v/>
      </c>
      <c r="G2379" s="6">
        <f>ROUND(F2379-D2379,2)</f>
        <v/>
      </c>
    </row>
    <row r="2380">
      <c r="A2380" t="inlineStr">
        <is>
          <t>2022-07-26</t>
        </is>
      </c>
      <c r="B2380" t="n">
        <v>12</v>
      </c>
      <c r="C2380" t="n">
        <v>3015</v>
      </c>
      <c r="D2380" s="6" t="n">
        <v>44.3</v>
      </c>
      <c r="E2380" s="6" t="n">
        <v>1143790.53</v>
      </c>
      <c r="F2380" s="6">
        <f>ROUND(E2380-E2379,2)</f>
        <v/>
      </c>
      <c r="G2380" s="6">
        <f>ROUND(F2380-D2380,2)</f>
        <v/>
      </c>
    </row>
    <row r="2381">
      <c r="A2381" t="inlineStr">
        <is>
          <t>2022-07-26</t>
        </is>
      </c>
      <c r="B2381" t="n">
        <v>13</v>
      </c>
      <c r="C2381" t="n">
        <v>3015</v>
      </c>
      <c r="D2381" s="6" t="n">
        <v>72.3</v>
      </c>
      <c r="E2381" s="6" t="n">
        <v>1143862.83</v>
      </c>
      <c r="F2381" s="6">
        <f>ROUND(E2381-E2380,2)</f>
        <v/>
      </c>
      <c r="G2381" s="6">
        <f>ROUND(F2381-D2381,2)</f>
        <v/>
      </c>
    </row>
    <row r="2382">
      <c r="A2382" t="inlineStr">
        <is>
          <t>2022-07-26</t>
        </is>
      </c>
      <c r="B2382" t="n">
        <v>14</v>
      </c>
      <c r="C2382" t="n">
        <v>3015</v>
      </c>
      <c r="D2382" s="6" t="n">
        <v>66.2</v>
      </c>
      <c r="E2382" s="6" t="n">
        <v>1143929.03</v>
      </c>
      <c r="F2382" s="6">
        <f>ROUND(E2382-E2381,2)</f>
        <v/>
      </c>
      <c r="G2382" s="6">
        <f>ROUND(F2382-D2382,2)</f>
        <v/>
      </c>
    </row>
    <row r="2383">
      <c r="A2383" t="inlineStr">
        <is>
          <t>2022-07-26</t>
        </is>
      </c>
      <c r="B2383" t="n">
        <v>15</v>
      </c>
      <c r="C2383" t="n">
        <v>3015</v>
      </c>
      <c r="D2383" s="6" t="n">
        <v>40.5</v>
      </c>
      <c r="E2383" s="6" t="n">
        <v>1143969.53</v>
      </c>
      <c r="F2383" s="6">
        <f>ROUND(E2383-E2382,2)</f>
        <v/>
      </c>
      <c r="G2383" s="6">
        <f>ROUND(F2383-D2383,2)</f>
        <v/>
      </c>
    </row>
    <row r="2384">
      <c r="A2384" t="inlineStr">
        <is>
          <t>2022-07-26</t>
        </is>
      </c>
      <c r="B2384" t="n">
        <v>16</v>
      </c>
      <c r="C2384" t="n">
        <v>3015</v>
      </c>
      <c r="D2384" s="6" t="n">
        <v>46.3</v>
      </c>
      <c r="E2384" s="6" t="n">
        <v>1144015.83</v>
      </c>
      <c r="F2384" s="6">
        <f>ROUND(E2384-E2383,2)</f>
        <v/>
      </c>
      <c r="G2384" s="6">
        <f>ROUND(F2384-D2384,2)</f>
        <v/>
      </c>
    </row>
    <row r="2385">
      <c r="A2385" t="inlineStr">
        <is>
          <t>2022-07-26</t>
        </is>
      </c>
      <c r="B2385" t="n">
        <v>17</v>
      </c>
      <c r="C2385" t="n">
        <v>3015</v>
      </c>
      <c r="D2385" s="6" t="n">
        <v>76.09999999999999</v>
      </c>
      <c r="E2385" s="6" t="n">
        <v>1144091.93</v>
      </c>
      <c r="F2385" s="6">
        <f>ROUND(E2385-E2384,2)</f>
        <v/>
      </c>
      <c r="G2385" s="6">
        <f>ROUND(F2385-D2385,2)</f>
        <v/>
      </c>
    </row>
    <row r="2386">
      <c r="A2386" t="inlineStr">
        <is>
          <t>2022-07-26</t>
        </is>
      </c>
      <c r="B2386" t="n">
        <v>18</v>
      </c>
      <c r="C2386" t="n">
        <v>3015</v>
      </c>
      <c r="D2386" s="6" t="n">
        <v>134.4</v>
      </c>
      <c r="E2386" s="6" t="n">
        <v>1144226.33</v>
      </c>
      <c r="F2386" s="6">
        <f>ROUND(E2386-E2385,2)</f>
        <v/>
      </c>
      <c r="G2386" s="6">
        <f>ROUND(F2386-D2386,2)</f>
        <v/>
      </c>
    </row>
    <row r="2387">
      <c r="A2387" t="inlineStr">
        <is>
          <t>2022-07-26</t>
        </is>
      </c>
      <c r="B2387" t="n">
        <v>19</v>
      </c>
      <c r="C2387" t="n">
        <v>3015</v>
      </c>
      <c r="D2387" s="6" t="n">
        <v>48.9</v>
      </c>
      <c r="E2387" s="6" t="n">
        <v>1144275.23</v>
      </c>
      <c r="F2387" s="6">
        <f>ROUND(E2387-E2386,2)</f>
        <v/>
      </c>
      <c r="G2387" s="6">
        <f>ROUND(F2387-D2387,2)</f>
        <v/>
      </c>
    </row>
    <row r="2388">
      <c r="A2388" t="inlineStr">
        <is>
          <t>2022-07-26</t>
        </is>
      </c>
      <c r="B2388" t="n">
        <v>20</v>
      </c>
      <c r="C2388" t="n">
        <v>3015</v>
      </c>
      <c r="D2388" s="6" t="n">
        <v>71.3</v>
      </c>
      <c r="E2388" s="6" t="n">
        <v>1144346.53</v>
      </c>
      <c r="F2388" s="6">
        <f>ROUND(E2388-E2387,2)</f>
        <v/>
      </c>
      <c r="G2388" s="6">
        <f>ROUND(F2388-D2388,2)</f>
        <v/>
      </c>
    </row>
    <row r="2389">
      <c r="A2389" t="inlineStr">
        <is>
          <t>2022-07-26</t>
        </is>
      </c>
      <c r="B2389" t="n">
        <v>21</v>
      </c>
      <c r="C2389" t="n">
        <v>3015</v>
      </c>
      <c r="D2389" s="6" t="n">
        <v>21.6</v>
      </c>
      <c r="E2389" s="6" t="n">
        <v>1144368.13</v>
      </c>
      <c r="F2389" s="6">
        <f>ROUND(E2389-E2388,2)</f>
        <v/>
      </c>
      <c r="G2389" s="6">
        <f>ROUND(F2389-D2389,2)</f>
        <v/>
      </c>
    </row>
    <row r="2390">
      <c r="A2390" t="inlineStr">
        <is>
          <t>2022-07-26</t>
        </is>
      </c>
      <c r="B2390" t="n">
        <v>22</v>
      </c>
      <c r="C2390" t="n">
        <v>3015</v>
      </c>
      <c r="D2390" s="6" t="n">
        <v>93.90000000000001</v>
      </c>
      <c r="E2390" s="6" t="n">
        <v>1144462.03</v>
      </c>
      <c r="F2390" s="6">
        <f>ROUND(E2390-E2389,2)</f>
        <v/>
      </c>
      <c r="G2390" s="6">
        <f>ROUND(F2390-D2390,2)</f>
        <v/>
      </c>
    </row>
    <row r="2391">
      <c r="A2391" t="inlineStr">
        <is>
          <t>2022-07-26</t>
        </is>
      </c>
      <c r="B2391" t="n">
        <v>23</v>
      </c>
      <c r="C2391" t="n">
        <v>3015</v>
      </c>
      <c r="D2391" s="6" t="n">
        <v>136.1</v>
      </c>
      <c r="E2391" s="6" t="n">
        <v>1144598.13</v>
      </c>
      <c r="F2391" s="6">
        <f>ROUND(E2391-E2390,2)</f>
        <v/>
      </c>
      <c r="G2391" s="6">
        <f>ROUND(F2391-D2391,2)</f>
        <v/>
      </c>
    </row>
    <row r="2392">
      <c r="A2392" t="inlineStr">
        <is>
          <t>2022-07-26</t>
        </is>
      </c>
      <c r="B2392" t="n">
        <v>24</v>
      </c>
      <c r="C2392" t="n">
        <v>3015</v>
      </c>
      <c r="D2392" s="6" t="n">
        <v>85.40000000000001</v>
      </c>
      <c r="E2392" s="6" t="n">
        <v>1144683.53</v>
      </c>
      <c r="F2392" s="6">
        <f>ROUND(E2392-E2391,2)</f>
        <v/>
      </c>
      <c r="G2392" s="6">
        <f>ROUND(F2392-D2392,2)</f>
        <v/>
      </c>
    </row>
    <row r="2393">
      <c r="A2393" t="inlineStr">
        <is>
          <t>2022-07-26</t>
        </is>
      </c>
      <c r="B2393" t="n">
        <v>25</v>
      </c>
      <c r="C2393" t="n">
        <v>3015</v>
      </c>
      <c r="D2393" s="6" t="n">
        <v>29.8</v>
      </c>
      <c r="E2393" s="6" t="n">
        <v>1144713.33</v>
      </c>
      <c r="F2393" s="6">
        <f>ROUND(E2393-E2392,2)</f>
        <v/>
      </c>
      <c r="G2393" s="6">
        <f>ROUND(F2393-D2393,2)</f>
        <v/>
      </c>
    </row>
    <row r="2394">
      <c r="A2394" t="inlineStr">
        <is>
          <t>2022-07-26</t>
        </is>
      </c>
      <c r="B2394" t="n">
        <v>26</v>
      </c>
      <c r="C2394" t="n">
        <v>3015</v>
      </c>
      <c r="D2394" s="6" t="n">
        <v>31.7</v>
      </c>
      <c r="E2394" s="6" t="n">
        <v>1144745.03</v>
      </c>
      <c r="F2394" s="6">
        <f>ROUND(E2394-E2393,2)</f>
        <v/>
      </c>
      <c r="G2394" s="6">
        <f>ROUND(F2394-D2394,2)</f>
        <v/>
      </c>
    </row>
    <row r="2395">
      <c r="A2395" t="inlineStr">
        <is>
          <t>2022-07-26</t>
        </is>
      </c>
      <c r="B2395" t="n">
        <v>27</v>
      </c>
      <c r="C2395" t="n">
        <v>3015</v>
      </c>
      <c r="D2395" s="6" t="n">
        <v>31.7</v>
      </c>
      <c r="E2395" s="6" t="n">
        <v>1144776.73</v>
      </c>
      <c r="F2395" s="6">
        <f>ROUND(E2395-E2394,2)</f>
        <v/>
      </c>
      <c r="G2395" s="6">
        <f>ROUND(F2395-D2395,2)</f>
        <v/>
      </c>
    </row>
    <row r="2396">
      <c r="A2396" t="inlineStr">
        <is>
          <t>2022-07-26</t>
        </is>
      </c>
      <c r="B2396" t="n">
        <v>28</v>
      </c>
      <c r="C2396" t="n">
        <v>3015</v>
      </c>
      <c r="D2396" s="6" t="n">
        <v>105.6</v>
      </c>
      <c r="E2396" s="6" t="n">
        <v>1144882.33</v>
      </c>
      <c r="F2396" s="6">
        <f>ROUND(E2396-E2395,2)</f>
        <v/>
      </c>
      <c r="G2396" s="6">
        <f>ROUND(F2396-D2396,2)</f>
        <v/>
      </c>
    </row>
    <row r="2397">
      <c r="A2397" t="inlineStr">
        <is>
          <t>2022-07-26</t>
        </is>
      </c>
      <c r="B2397" t="n">
        <v>29</v>
      </c>
      <c r="C2397" t="n">
        <v>3015</v>
      </c>
      <c r="D2397" s="6" t="n">
        <v>64.40000000000001</v>
      </c>
      <c r="E2397" s="6" t="n">
        <v>1144946.73</v>
      </c>
      <c r="F2397" s="6">
        <f>ROUND(E2397-E2396,2)</f>
        <v/>
      </c>
      <c r="G2397" s="6">
        <f>ROUND(F2397-D2397,2)</f>
        <v/>
      </c>
    </row>
    <row r="2398">
      <c r="A2398" t="inlineStr">
        <is>
          <t>2022-07-26</t>
        </is>
      </c>
      <c r="B2398" t="n">
        <v>30</v>
      </c>
      <c r="C2398" t="n">
        <v>3015</v>
      </c>
      <c r="D2398" s="6" t="n">
        <v>101.4</v>
      </c>
      <c r="E2398" s="6" t="n">
        <v>1145048.13</v>
      </c>
      <c r="F2398" s="6">
        <f>ROUND(E2398-E2397,2)</f>
        <v/>
      </c>
      <c r="G2398" s="6">
        <f>ROUND(F2398-D2398,2)</f>
        <v/>
      </c>
    </row>
    <row r="2399">
      <c r="A2399" t="inlineStr">
        <is>
          <t>2022-07-26</t>
        </is>
      </c>
      <c r="B2399" t="n">
        <v>31</v>
      </c>
      <c r="C2399" t="n">
        <v>3015</v>
      </c>
      <c r="D2399" s="6" t="n">
        <v>112.8</v>
      </c>
      <c r="E2399" s="6" t="n">
        <v>1145160.93</v>
      </c>
      <c r="F2399" s="6">
        <f>ROUND(E2399-E2398,2)</f>
        <v/>
      </c>
      <c r="G2399" s="6">
        <f>ROUND(F2399-D2399,2)</f>
        <v/>
      </c>
    </row>
    <row r="2400">
      <c r="A2400" t="inlineStr">
        <is>
          <t>2022-07-26</t>
        </is>
      </c>
      <c r="B2400" t="n">
        <v>32</v>
      </c>
      <c r="C2400" t="n">
        <v>3015</v>
      </c>
      <c r="D2400" s="6" t="n">
        <v>61.1</v>
      </c>
      <c r="E2400" s="6" t="n">
        <v>1145222.03</v>
      </c>
      <c r="F2400" s="6">
        <f>ROUND(E2400-E2399,2)</f>
        <v/>
      </c>
      <c r="G2400" s="6">
        <f>ROUND(F2400-D2400,2)</f>
        <v/>
      </c>
    </row>
    <row r="2401">
      <c r="A2401" t="inlineStr">
        <is>
          <t>2022-07-27</t>
        </is>
      </c>
      <c r="B2401" t="n">
        <v>1</v>
      </c>
      <c r="C2401" t="n">
        <v>3016</v>
      </c>
      <c r="D2401" s="6" t="n">
        <v>17.1</v>
      </c>
      <c r="E2401" s="6" t="n">
        <v>1145239.13</v>
      </c>
      <c r="F2401" s="6">
        <f>ROUND(E2401-E2400,2)</f>
        <v/>
      </c>
      <c r="G2401" s="6">
        <f>ROUND(F2401-D2401,2)</f>
        <v/>
      </c>
    </row>
    <row r="2402">
      <c r="A2402" t="inlineStr">
        <is>
          <t>2022-07-27</t>
        </is>
      </c>
      <c r="B2402" t="n">
        <v>2</v>
      </c>
      <c r="C2402" t="n">
        <v>3016</v>
      </c>
      <c r="D2402" s="6" t="n">
        <v>79.8</v>
      </c>
      <c r="E2402" s="6" t="n">
        <v>1145318.93</v>
      </c>
      <c r="F2402" s="6">
        <f>ROUND(E2402-E2401,2)</f>
        <v/>
      </c>
      <c r="G2402" s="6">
        <f>ROUND(F2402-D2402,2)</f>
        <v/>
      </c>
    </row>
    <row r="2403">
      <c r="A2403" t="inlineStr">
        <is>
          <t>2022-07-27</t>
        </is>
      </c>
      <c r="B2403" t="n">
        <v>3</v>
      </c>
      <c r="C2403" t="n">
        <v>3016</v>
      </c>
      <c r="D2403" s="6" t="n">
        <v>38.7</v>
      </c>
      <c r="E2403" s="6" t="n">
        <v>1145357.63</v>
      </c>
      <c r="F2403" s="6">
        <f>ROUND(E2403-E2402,2)</f>
        <v/>
      </c>
      <c r="G2403" s="6">
        <f>ROUND(F2403-D2403,2)</f>
        <v/>
      </c>
    </row>
    <row r="2404">
      <c r="A2404" t="inlineStr">
        <is>
          <t>2022-07-27</t>
        </is>
      </c>
      <c r="B2404" t="n">
        <v>4</v>
      </c>
      <c r="C2404" t="n">
        <v>3016</v>
      </c>
      <c r="D2404" s="6" t="n">
        <v>32.25</v>
      </c>
      <c r="E2404" s="6" t="n">
        <v>1145389.88</v>
      </c>
      <c r="F2404" s="6">
        <f>ROUND(E2404-E2403,2)</f>
        <v/>
      </c>
      <c r="G2404" s="6">
        <f>ROUND(F2404-D2404,2)</f>
        <v/>
      </c>
    </row>
    <row r="2405">
      <c r="A2405" t="inlineStr">
        <is>
          <t>2022-07-27</t>
        </is>
      </c>
      <c r="B2405" t="n">
        <v>5</v>
      </c>
      <c r="C2405" t="n">
        <v>3016</v>
      </c>
      <c r="D2405" s="6" t="n">
        <v>32.25</v>
      </c>
      <c r="E2405" s="6" t="n">
        <v>1145422.13</v>
      </c>
      <c r="F2405" s="6">
        <f>ROUND(E2405-E2404,2)</f>
        <v/>
      </c>
      <c r="G2405" s="6">
        <f>ROUND(F2405-D2405,2)</f>
        <v/>
      </c>
    </row>
    <row r="2406">
      <c r="A2406" t="inlineStr">
        <is>
          <t>2022-07-27</t>
        </is>
      </c>
      <c r="B2406" t="n">
        <v>6</v>
      </c>
      <c r="C2406" t="n">
        <v>3016</v>
      </c>
      <c r="D2406" s="6" t="n">
        <v>43.6</v>
      </c>
      <c r="E2406" s="6" t="n">
        <v>1145465.73</v>
      </c>
      <c r="F2406" s="6">
        <f>ROUND(E2406-E2405,2)</f>
        <v/>
      </c>
      <c r="G2406" s="6">
        <f>ROUND(F2406-D2406,2)</f>
        <v/>
      </c>
    </row>
    <row r="2407">
      <c r="A2407" t="inlineStr">
        <is>
          <t>2022-07-27</t>
        </is>
      </c>
      <c r="B2407" t="n">
        <v>7</v>
      </c>
      <c r="C2407" t="n">
        <v>3016</v>
      </c>
      <c r="D2407" s="6" t="n">
        <v>62.5</v>
      </c>
      <c r="E2407" s="6" t="n">
        <v>1145528.23</v>
      </c>
      <c r="F2407" s="6">
        <f>ROUND(E2407-E2406,2)</f>
        <v/>
      </c>
      <c r="G2407" s="6">
        <f>ROUND(F2407-D2407,2)</f>
        <v/>
      </c>
    </row>
    <row r="2408">
      <c r="A2408" t="inlineStr">
        <is>
          <t>2022-07-27</t>
        </is>
      </c>
      <c r="B2408" t="n">
        <v>8</v>
      </c>
      <c r="C2408" t="n">
        <v>3016</v>
      </c>
      <c r="D2408" s="6" t="n">
        <v>97.09999999999999</v>
      </c>
      <c r="E2408" s="6" t="n">
        <v>1145625.33</v>
      </c>
      <c r="F2408" s="6">
        <f>ROUND(E2408-E2407,2)</f>
        <v/>
      </c>
      <c r="G2408" s="6">
        <f>ROUND(F2408-D2408,2)</f>
        <v/>
      </c>
    </row>
    <row r="2409">
      <c r="A2409" t="inlineStr">
        <is>
          <t>2022-07-27</t>
        </is>
      </c>
      <c r="B2409" t="n">
        <v>9</v>
      </c>
      <c r="C2409" t="n">
        <v>3016</v>
      </c>
      <c r="D2409" s="6" t="n">
        <v>95.90000000000001</v>
      </c>
      <c r="E2409" s="6" t="n">
        <v>1145721.23</v>
      </c>
      <c r="F2409" s="6">
        <f>ROUND(E2409-E2408,2)</f>
        <v/>
      </c>
      <c r="G2409" s="6">
        <f>ROUND(F2409-D2409,2)</f>
        <v/>
      </c>
    </row>
    <row r="2410">
      <c r="A2410" t="inlineStr">
        <is>
          <t>2022-07-27</t>
        </is>
      </c>
      <c r="B2410" t="n">
        <v>10</v>
      </c>
      <c r="C2410" t="n">
        <v>3016</v>
      </c>
      <c r="D2410" s="6" t="n">
        <v>63.2</v>
      </c>
      <c r="E2410" s="6" t="n">
        <v>1145784.43</v>
      </c>
      <c r="F2410" s="6">
        <f>ROUND(E2410-E2409,2)</f>
        <v/>
      </c>
      <c r="G2410" s="6">
        <f>ROUND(F2410-D2410,2)</f>
        <v/>
      </c>
    </row>
    <row r="2411">
      <c r="A2411" t="inlineStr">
        <is>
          <t>2022-07-27</t>
        </is>
      </c>
      <c r="B2411" t="n">
        <v>11</v>
      </c>
      <c r="C2411" t="n">
        <v>3016</v>
      </c>
      <c r="D2411" s="6" t="n">
        <v>55.7</v>
      </c>
      <c r="E2411" s="6" t="n">
        <v>1145840.13</v>
      </c>
      <c r="F2411" s="6">
        <f>ROUND(E2411-E2410,2)</f>
        <v/>
      </c>
      <c r="G2411" s="6">
        <f>ROUND(F2411-D2411,2)</f>
        <v/>
      </c>
    </row>
    <row r="2412">
      <c r="A2412" t="inlineStr">
        <is>
          <t>2022-07-27</t>
        </is>
      </c>
      <c r="B2412" t="n">
        <v>12</v>
      </c>
      <c r="C2412" t="n">
        <v>3016</v>
      </c>
      <c r="D2412" s="6" t="n">
        <v>50</v>
      </c>
      <c r="E2412" s="6" t="n">
        <v>1145890.13</v>
      </c>
      <c r="F2412" s="6">
        <f>ROUND(E2412-E2411,2)</f>
        <v/>
      </c>
      <c r="G2412" s="6">
        <f>ROUND(F2412-D2412,2)</f>
        <v/>
      </c>
    </row>
    <row r="2413">
      <c r="A2413" t="inlineStr">
        <is>
          <t>2022-07-27</t>
        </is>
      </c>
      <c r="B2413" t="n">
        <v>13</v>
      </c>
      <c r="C2413" t="n">
        <v>3016</v>
      </c>
      <c r="D2413" s="6" t="n">
        <v>28.9</v>
      </c>
      <c r="E2413" s="6" t="n">
        <v>1145919.03</v>
      </c>
      <c r="F2413" s="6">
        <f>ROUND(E2413-E2412,2)</f>
        <v/>
      </c>
      <c r="G2413" s="6">
        <f>ROUND(F2413-D2413,2)</f>
        <v/>
      </c>
    </row>
    <row r="2414">
      <c r="A2414" t="inlineStr">
        <is>
          <t>2022-07-27</t>
        </is>
      </c>
      <c r="B2414" t="n">
        <v>14</v>
      </c>
      <c r="C2414" t="n">
        <v>3016</v>
      </c>
      <c r="D2414" s="6" t="n">
        <v>81.59999999999999</v>
      </c>
      <c r="E2414" s="6" t="n">
        <v>1146000.63</v>
      </c>
      <c r="F2414" s="6">
        <f>ROUND(E2414-E2413,2)</f>
        <v/>
      </c>
      <c r="G2414" s="6">
        <f>ROUND(F2414-D2414,2)</f>
        <v/>
      </c>
    </row>
    <row r="2415">
      <c r="A2415" t="inlineStr">
        <is>
          <t>2022-07-27</t>
        </is>
      </c>
      <c r="B2415" t="n">
        <v>15</v>
      </c>
      <c r="C2415" t="n">
        <v>3016</v>
      </c>
      <c r="D2415" s="6" t="n">
        <v>59.6</v>
      </c>
      <c r="E2415" s="6" t="n">
        <v>1146060.23</v>
      </c>
      <c r="F2415" s="6">
        <f>ROUND(E2415-E2414,2)</f>
        <v/>
      </c>
      <c r="G2415" s="6">
        <f>ROUND(F2415-D2415,2)</f>
        <v/>
      </c>
    </row>
    <row r="2416">
      <c r="A2416" t="inlineStr">
        <is>
          <t>2022-07-27</t>
        </is>
      </c>
      <c r="B2416" t="n">
        <v>16</v>
      </c>
      <c r="C2416" t="n">
        <v>3016</v>
      </c>
      <c r="D2416" s="6" t="n">
        <v>91.2</v>
      </c>
      <c r="E2416" s="6" t="n">
        <v>1146151.43</v>
      </c>
      <c r="F2416" s="6">
        <f>ROUND(E2416-E2415,2)</f>
        <v/>
      </c>
      <c r="G2416" s="6">
        <f>ROUND(F2416-D2416,2)</f>
        <v/>
      </c>
    </row>
    <row r="2417">
      <c r="A2417" t="inlineStr">
        <is>
          <t>2022-07-27</t>
        </is>
      </c>
      <c r="B2417" t="n">
        <v>17</v>
      </c>
      <c r="C2417" t="n">
        <v>3016</v>
      </c>
      <c r="D2417" s="6" t="n">
        <v>209.9</v>
      </c>
      <c r="E2417" s="6" t="n">
        <v>1146361.33</v>
      </c>
      <c r="F2417" s="6">
        <f>ROUND(E2417-E2416,2)</f>
        <v/>
      </c>
      <c r="G2417" s="6">
        <f>ROUND(F2417-D2417,2)</f>
        <v/>
      </c>
    </row>
    <row r="2418">
      <c r="A2418" t="inlineStr">
        <is>
          <t>2022-07-27</t>
        </is>
      </c>
      <c r="B2418" t="n">
        <v>18</v>
      </c>
      <c r="C2418" t="n">
        <v>3016</v>
      </c>
      <c r="D2418" s="6" t="n">
        <v>74</v>
      </c>
      <c r="E2418" s="6" t="n">
        <v>1146435.33</v>
      </c>
      <c r="F2418" s="6">
        <f>ROUND(E2418-E2417,2)</f>
        <v/>
      </c>
      <c r="G2418" s="6">
        <f>ROUND(F2418-D2418,2)</f>
        <v/>
      </c>
    </row>
    <row r="2419">
      <c r="A2419" t="inlineStr">
        <is>
          <t>2022-07-27</t>
        </is>
      </c>
      <c r="B2419" t="n">
        <v>19</v>
      </c>
      <c r="C2419" t="n">
        <v>3016</v>
      </c>
      <c r="D2419" s="6" t="n">
        <v>44</v>
      </c>
      <c r="E2419" s="6" t="n">
        <v>1146479.33</v>
      </c>
      <c r="F2419" s="6">
        <f>ROUND(E2419-E2418,2)</f>
        <v/>
      </c>
      <c r="G2419" s="6">
        <f>ROUND(F2419-D2419,2)</f>
        <v/>
      </c>
    </row>
    <row r="2420">
      <c r="A2420" t="inlineStr">
        <is>
          <t>2022-07-27</t>
        </is>
      </c>
      <c r="B2420" t="n">
        <v>20</v>
      </c>
      <c r="C2420" t="n">
        <v>3016</v>
      </c>
      <c r="D2420" s="6" t="n">
        <v>54.8</v>
      </c>
      <c r="E2420" s="6" t="n">
        <v>1146534.13</v>
      </c>
      <c r="F2420" s="6">
        <f>ROUND(E2420-E2419,2)</f>
        <v/>
      </c>
      <c r="G2420" s="6">
        <f>ROUND(F2420-D2420,2)</f>
        <v/>
      </c>
    </row>
    <row r="2421">
      <c r="A2421" t="inlineStr">
        <is>
          <t>2022-07-27</t>
        </is>
      </c>
      <c r="B2421" t="n">
        <v>21</v>
      </c>
      <c r="C2421" t="n">
        <v>3016</v>
      </c>
      <c r="D2421" s="6" t="n">
        <v>106.3</v>
      </c>
      <c r="E2421" s="6" t="n">
        <v>1146640.43</v>
      </c>
      <c r="F2421" s="6">
        <f>ROUND(E2421-E2420,2)</f>
        <v/>
      </c>
      <c r="G2421" s="6">
        <f>ROUND(F2421-D2421,2)</f>
        <v/>
      </c>
    </row>
    <row r="2422">
      <c r="A2422" t="inlineStr">
        <is>
          <t>2022-07-27</t>
        </is>
      </c>
      <c r="B2422" t="n">
        <v>22</v>
      </c>
      <c r="C2422" t="n">
        <v>3016</v>
      </c>
      <c r="D2422" s="6" t="n">
        <v>94.09999999999999</v>
      </c>
      <c r="E2422" s="6" t="n">
        <v>1146734.53</v>
      </c>
      <c r="F2422" s="6">
        <f>ROUND(E2422-E2421,2)</f>
        <v/>
      </c>
      <c r="G2422" s="6">
        <f>ROUND(F2422-D2422,2)</f>
        <v/>
      </c>
    </row>
    <row r="2423">
      <c r="A2423" t="inlineStr">
        <is>
          <t>2022-07-27</t>
        </is>
      </c>
      <c r="B2423" t="n">
        <v>23</v>
      </c>
      <c r="C2423" t="n">
        <v>3016</v>
      </c>
      <c r="D2423" s="6" t="n">
        <v>96</v>
      </c>
      <c r="E2423" s="6" t="n">
        <v>1146830.53</v>
      </c>
      <c r="F2423" s="6">
        <f>ROUND(E2423-E2422,2)</f>
        <v/>
      </c>
      <c r="G2423" s="6">
        <f>ROUND(F2423-D2423,2)</f>
        <v/>
      </c>
    </row>
    <row r="2424">
      <c r="A2424" t="inlineStr">
        <is>
          <t>2022-07-27</t>
        </is>
      </c>
      <c r="B2424" t="n">
        <v>24</v>
      </c>
      <c r="C2424" t="n">
        <v>3016</v>
      </c>
      <c r="D2424" s="6" t="n">
        <v>93.2</v>
      </c>
      <c r="E2424" s="6" t="n">
        <v>1146923.73</v>
      </c>
      <c r="F2424" s="6">
        <f>ROUND(E2424-E2423,2)</f>
        <v/>
      </c>
      <c r="G2424" s="6">
        <f>ROUND(F2424-D2424,2)</f>
        <v/>
      </c>
    </row>
    <row r="2425">
      <c r="A2425" t="inlineStr">
        <is>
          <t>2022-07-27</t>
        </is>
      </c>
      <c r="B2425" t="n">
        <v>25</v>
      </c>
      <c r="C2425" t="n">
        <v>3016</v>
      </c>
      <c r="D2425" s="6" t="n">
        <v>119.1</v>
      </c>
      <c r="E2425" s="6" t="n">
        <v>1147042.83</v>
      </c>
      <c r="F2425" s="6">
        <f>ROUND(E2425-E2424,2)</f>
        <v/>
      </c>
      <c r="G2425" s="6">
        <f>ROUND(F2425-D2425,2)</f>
        <v/>
      </c>
    </row>
    <row r="2426">
      <c r="A2426" t="inlineStr">
        <is>
          <t>2022-07-27</t>
        </is>
      </c>
      <c r="B2426" t="n">
        <v>26</v>
      </c>
      <c r="C2426" t="n">
        <v>3016</v>
      </c>
      <c r="D2426" s="6" t="n">
        <v>107.1</v>
      </c>
      <c r="E2426" s="6" t="n">
        <v>1147149.93</v>
      </c>
      <c r="F2426" s="6">
        <f>ROUND(E2426-E2425,2)</f>
        <v/>
      </c>
      <c r="G2426" s="6">
        <f>ROUND(F2426-D2426,2)</f>
        <v/>
      </c>
    </row>
    <row r="2427">
      <c r="A2427" t="inlineStr">
        <is>
          <t>2022-07-27</t>
        </is>
      </c>
      <c r="B2427" t="n">
        <v>27</v>
      </c>
      <c r="C2427" t="n">
        <v>3016</v>
      </c>
      <c r="D2427" s="6" t="n">
        <v>21.5</v>
      </c>
      <c r="E2427" s="6" t="n">
        <v>1147171.43</v>
      </c>
      <c r="F2427" s="6">
        <f>ROUND(E2427-E2426,2)</f>
        <v/>
      </c>
      <c r="G2427" s="6">
        <f>ROUND(F2427-D2427,2)</f>
        <v/>
      </c>
    </row>
    <row r="2428">
      <c r="A2428" t="inlineStr">
        <is>
          <t>2022-07-27</t>
        </is>
      </c>
      <c r="B2428" t="n">
        <v>28</v>
      </c>
      <c r="C2428" t="n">
        <v>3016</v>
      </c>
      <c r="D2428" s="6" t="n">
        <v>56.6</v>
      </c>
      <c r="E2428" s="6" t="n">
        <v>1147228.03</v>
      </c>
      <c r="F2428" s="6">
        <f>ROUND(E2428-E2427,2)</f>
        <v/>
      </c>
      <c r="G2428" s="6">
        <f>ROUND(F2428-D2428,2)</f>
        <v/>
      </c>
    </row>
    <row r="2429">
      <c r="A2429" t="inlineStr">
        <is>
          <t>2022-07-27</t>
        </is>
      </c>
      <c r="B2429" t="n">
        <v>29</v>
      </c>
      <c r="C2429" t="n">
        <v>3016</v>
      </c>
      <c r="D2429" s="6" t="n">
        <v>60.6</v>
      </c>
      <c r="E2429" s="6" t="n">
        <v>1147288.63</v>
      </c>
      <c r="F2429" s="6">
        <f>ROUND(E2429-E2428,2)</f>
        <v/>
      </c>
      <c r="G2429" s="6">
        <f>ROUND(F2429-D2429,2)</f>
        <v/>
      </c>
    </row>
    <row r="2430">
      <c r="A2430" t="inlineStr">
        <is>
          <t>2022-07-27</t>
        </is>
      </c>
      <c r="B2430" t="n">
        <v>30</v>
      </c>
      <c r="C2430" t="n">
        <v>3016</v>
      </c>
      <c r="D2430" s="6" t="n">
        <v>93.40000000000001</v>
      </c>
      <c r="E2430" s="6" t="n">
        <v>1147382.03</v>
      </c>
      <c r="F2430" s="6">
        <f>ROUND(E2430-E2429,2)</f>
        <v/>
      </c>
      <c r="G2430" s="6">
        <f>ROUND(F2430-D2430,2)</f>
        <v/>
      </c>
    </row>
    <row r="2431">
      <c r="A2431" t="inlineStr">
        <is>
          <t>2022-07-27</t>
        </is>
      </c>
      <c r="B2431" t="n">
        <v>31</v>
      </c>
      <c r="C2431" t="n">
        <v>3016</v>
      </c>
      <c r="D2431" s="6" t="n">
        <v>69.40000000000001</v>
      </c>
      <c r="E2431" s="6" t="n">
        <v>1147451.43</v>
      </c>
      <c r="F2431" s="6">
        <f>ROUND(E2431-E2430,2)</f>
        <v/>
      </c>
      <c r="G2431" s="6">
        <f>ROUND(F2431-D2431,2)</f>
        <v/>
      </c>
    </row>
    <row r="2432">
      <c r="A2432" t="inlineStr">
        <is>
          <t>2022-07-27</t>
        </is>
      </c>
      <c r="B2432" t="n">
        <v>32</v>
      </c>
      <c r="C2432" t="n">
        <v>3016</v>
      </c>
      <c r="D2432" s="6" t="n">
        <v>131.6</v>
      </c>
      <c r="E2432" s="6" t="n">
        <v>1147583.03</v>
      </c>
      <c r="F2432" s="6">
        <f>ROUND(E2432-E2431,2)</f>
        <v/>
      </c>
      <c r="G2432" s="6">
        <f>ROUND(F2432-D2432,2)</f>
        <v/>
      </c>
    </row>
    <row r="2433">
      <c r="A2433" t="inlineStr">
        <is>
          <t>2022-07-27</t>
        </is>
      </c>
      <c r="B2433" t="n">
        <v>33</v>
      </c>
      <c r="C2433" t="n">
        <v>3016</v>
      </c>
      <c r="D2433" s="6" t="n">
        <v>158.5</v>
      </c>
      <c r="E2433" s="6" t="n">
        <v>1147741.53</v>
      </c>
      <c r="F2433" s="6">
        <f>ROUND(E2433-E2432,2)</f>
        <v/>
      </c>
      <c r="G2433" s="6">
        <f>ROUND(F2433-D2433,2)</f>
        <v/>
      </c>
    </row>
    <row r="2434">
      <c r="A2434" t="inlineStr">
        <is>
          <t>2022-07-27</t>
        </is>
      </c>
      <c r="B2434" t="n">
        <v>34</v>
      </c>
      <c r="C2434" t="n">
        <v>3016</v>
      </c>
      <c r="D2434" s="6" t="n">
        <v>146.9</v>
      </c>
      <c r="E2434" s="6" t="n">
        <v>1147888.43</v>
      </c>
      <c r="F2434" s="6">
        <f>ROUND(E2434-E2433,2)</f>
        <v/>
      </c>
      <c r="G2434" s="6">
        <f>ROUND(F2434-D2434,2)</f>
        <v/>
      </c>
    </row>
    <row r="2435">
      <c r="A2435" t="inlineStr">
        <is>
          <t>2022-07-27</t>
        </is>
      </c>
      <c r="B2435" t="n">
        <v>35</v>
      </c>
      <c r="C2435" t="n">
        <v>3016</v>
      </c>
      <c r="D2435" s="6" t="n">
        <v>221.5</v>
      </c>
      <c r="E2435" s="6" t="n">
        <v>1148109.93</v>
      </c>
      <c r="F2435" s="6">
        <f>ROUND(E2435-E2434,2)</f>
        <v/>
      </c>
      <c r="G2435" s="6">
        <f>ROUND(F2435-D2435,2)</f>
        <v/>
      </c>
    </row>
    <row r="2436">
      <c r="A2436" t="inlineStr">
        <is>
          <t>2022-07-27</t>
        </is>
      </c>
      <c r="B2436" t="n">
        <v>36</v>
      </c>
      <c r="C2436" t="n">
        <v>3016</v>
      </c>
      <c r="D2436" s="6" t="n">
        <v>29.5</v>
      </c>
      <c r="E2436" s="6" t="n">
        <v>1148139.43</v>
      </c>
      <c r="F2436" s="6">
        <f>ROUND(E2436-E2435,2)</f>
        <v/>
      </c>
      <c r="G2436" s="6">
        <f>ROUND(F2436-D2436,2)</f>
        <v/>
      </c>
    </row>
    <row r="2437">
      <c r="A2437" t="inlineStr">
        <is>
          <t>2022-07-27</t>
        </is>
      </c>
      <c r="B2437" t="n">
        <v>37</v>
      </c>
      <c r="C2437" t="n">
        <v>3016</v>
      </c>
      <c r="D2437" s="6" t="n">
        <v>29.5</v>
      </c>
      <c r="E2437" s="6" t="n">
        <v>1148168.93</v>
      </c>
      <c r="F2437" s="6">
        <f>ROUND(E2437-E2436,2)</f>
        <v/>
      </c>
      <c r="G2437" s="6">
        <f>ROUND(F2437-D2437,2)</f>
        <v/>
      </c>
    </row>
    <row r="2438">
      <c r="A2438" t="inlineStr">
        <is>
          <t>2022-07-28</t>
        </is>
      </c>
      <c r="B2438" t="n">
        <v>1</v>
      </c>
      <c r="C2438" t="n">
        <v>3017</v>
      </c>
      <c r="D2438" s="6" t="n">
        <v>30</v>
      </c>
      <c r="E2438" s="6" t="n">
        <v>1148198.93</v>
      </c>
      <c r="F2438" s="6">
        <f>ROUND(E2438-E2437,2)</f>
        <v/>
      </c>
      <c r="G2438" s="6">
        <f>ROUND(F2438-D2438,2)</f>
        <v/>
      </c>
    </row>
    <row r="2439">
      <c r="A2439" t="inlineStr">
        <is>
          <t>2022-07-28</t>
        </is>
      </c>
      <c r="B2439" t="n">
        <v>2</v>
      </c>
      <c r="C2439" t="n">
        <v>3017</v>
      </c>
      <c r="D2439" s="6" t="n">
        <v>43.9</v>
      </c>
      <c r="E2439" s="6" t="n">
        <v>1148242.83</v>
      </c>
      <c r="F2439" s="6">
        <f>ROUND(E2439-E2438,2)</f>
        <v/>
      </c>
      <c r="G2439" s="6">
        <f>ROUND(F2439-D2439,2)</f>
        <v/>
      </c>
    </row>
    <row r="2440">
      <c r="A2440" t="inlineStr">
        <is>
          <t>2022-07-28</t>
        </is>
      </c>
      <c r="B2440" t="n">
        <v>3</v>
      </c>
      <c r="C2440" t="n">
        <v>3017</v>
      </c>
      <c r="D2440" s="6" t="n">
        <v>80.2</v>
      </c>
      <c r="E2440" s="6" t="n">
        <v>1148323.03</v>
      </c>
      <c r="F2440" s="6">
        <f>ROUND(E2440-E2439,2)</f>
        <v/>
      </c>
      <c r="G2440" s="6">
        <f>ROUND(F2440-D2440,2)</f>
        <v/>
      </c>
    </row>
    <row r="2441">
      <c r="A2441" t="inlineStr">
        <is>
          <t>2022-07-28</t>
        </is>
      </c>
      <c r="B2441" t="n">
        <v>4</v>
      </c>
      <c r="C2441" t="n">
        <v>3017</v>
      </c>
      <c r="D2441" s="6" t="n">
        <v>52.2</v>
      </c>
      <c r="E2441" s="6" t="n">
        <v>1148375.23</v>
      </c>
      <c r="F2441" s="6">
        <f>ROUND(E2441-E2440,2)</f>
        <v/>
      </c>
      <c r="G2441" s="6">
        <f>ROUND(F2441-D2441,2)</f>
        <v/>
      </c>
    </row>
    <row r="2442">
      <c r="A2442" t="inlineStr">
        <is>
          <t>2022-07-28</t>
        </is>
      </c>
      <c r="B2442" t="n">
        <v>5</v>
      </c>
      <c r="C2442" t="n">
        <v>3017</v>
      </c>
      <c r="D2442" s="6" t="n">
        <v>41.6</v>
      </c>
      <c r="E2442" s="6" t="n">
        <v>1148416.83</v>
      </c>
      <c r="F2442" s="6">
        <f>ROUND(E2442-E2441,2)</f>
        <v/>
      </c>
      <c r="G2442" s="6">
        <f>ROUND(F2442-D2442,2)</f>
        <v/>
      </c>
    </row>
    <row r="2443">
      <c r="A2443" t="inlineStr">
        <is>
          <t>2022-07-28</t>
        </is>
      </c>
      <c r="B2443" t="n">
        <v>6</v>
      </c>
      <c r="C2443" t="n">
        <v>3017</v>
      </c>
      <c r="D2443" s="6" t="n">
        <v>60</v>
      </c>
      <c r="E2443" s="6" t="n">
        <v>1148476.83</v>
      </c>
      <c r="F2443" s="6">
        <f>ROUND(E2443-E2442,2)</f>
        <v/>
      </c>
      <c r="G2443" s="6">
        <f>ROUND(F2443-D2443,2)</f>
        <v/>
      </c>
    </row>
    <row r="2444">
      <c r="A2444" t="inlineStr">
        <is>
          <t>2022-07-28</t>
        </is>
      </c>
      <c r="B2444" t="n">
        <v>7</v>
      </c>
      <c r="C2444" t="n">
        <v>3017</v>
      </c>
      <c r="D2444" s="6" t="n">
        <v>57.5</v>
      </c>
      <c r="E2444" s="6" t="n">
        <v>1148534.33</v>
      </c>
      <c r="F2444" s="6">
        <f>ROUND(E2444-E2443,2)</f>
        <v/>
      </c>
      <c r="G2444" s="6">
        <f>ROUND(F2444-D2444,2)</f>
        <v/>
      </c>
    </row>
    <row r="2445">
      <c r="A2445" t="inlineStr">
        <is>
          <t>2022-07-28</t>
        </is>
      </c>
      <c r="B2445" t="n">
        <v>8</v>
      </c>
      <c r="C2445" t="n">
        <v>3017</v>
      </c>
      <c r="D2445" s="6" t="n">
        <v>75</v>
      </c>
      <c r="E2445" s="6" t="n">
        <v>1148609.33</v>
      </c>
      <c r="F2445" s="6">
        <f>ROUND(E2445-E2444,2)</f>
        <v/>
      </c>
      <c r="G2445" s="6">
        <f>ROUND(F2445-D2445,2)</f>
        <v/>
      </c>
    </row>
    <row r="2446">
      <c r="A2446" t="inlineStr">
        <is>
          <t>2022-07-28</t>
        </is>
      </c>
      <c r="B2446" t="n">
        <v>9</v>
      </c>
      <c r="C2446" t="n">
        <v>3017</v>
      </c>
      <c r="D2446" s="6" t="n">
        <v>116.8</v>
      </c>
      <c r="E2446" s="6" t="n">
        <v>1148726.13</v>
      </c>
      <c r="F2446" s="6">
        <f>ROUND(E2446-E2445,2)</f>
        <v/>
      </c>
      <c r="G2446" s="6">
        <f>ROUND(F2446-D2446,2)</f>
        <v/>
      </c>
    </row>
    <row r="2447">
      <c r="A2447" t="inlineStr">
        <is>
          <t>2022-07-28</t>
        </is>
      </c>
      <c r="B2447" t="n">
        <v>10</v>
      </c>
      <c r="C2447" t="n">
        <v>3017</v>
      </c>
      <c r="D2447" s="6" t="n">
        <v>48.7</v>
      </c>
      <c r="E2447" s="6" t="n">
        <v>1148774.83</v>
      </c>
      <c r="F2447" s="6">
        <f>ROUND(E2447-E2446,2)</f>
        <v/>
      </c>
      <c r="G2447" s="6">
        <f>ROUND(F2447-D2447,2)</f>
        <v/>
      </c>
    </row>
    <row r="2448">
      <c r="A2448" t="inlineStr">
        <is>
          <t>2022-07-28</t>
        </is>
      </c>
      <c r="B2448" t="n">
        <v>11</v>
      </c>
      <c r="C2448" t="n">
        <v>3017</v>
      </c>
      <c r="D2448" s="6" t="n">
        <v>47.8</v>
      </c>
      <c r="E2448" s="6" t="n">
        <v>1148822.63</v>
      </c>
      <c r="F2448" s="6">
        <f>ROUND(E2448-E2447,2)</f>
        <v/>
      </c>
      <c r="G2448" s="6">
        <f>ROUND(F2448-D2448,2)</f>
        <v/>
      </c>
    </row>
    <row r="2449">
      <c r="A2449" t="inlineStr">
        <is>
          <t>2022-07-28</t>
        </is>
      </c>
      <c r="B2449" t="n">
        <v>12</v>
      </c>
      <c r="C2449" t="n">
        <v>3017</v>
      </c>
      <c r="D2449" s="6" t="n">
        <v>51</v>
      </c>
      <c r="E2449" s="6" t="n">
        <v>1148873.63</v>
      </c>
      <c r="F2449" s="6">
        <f>ROUND(E2449-E2448,2)</f>
        <v/>
      </c>
      <c r="G2449" s="6">
        <f>ROUND(F2449-D2449,2)</f>
        <v/>
      </c>
    </row>
    <row r="2450">
      <c r="A2450" t="inlineStr">
        <is>
          <t>2022-07-28</t>
        </is>
      </c>
      <c r="B2450" t="n">
        <v>13</v>
      </c>
      <c r="C2450" t="n">
        <v>3017</v>
      </c>
      <c r="D2450" s="6" t="n">
        <v>44.2</v>
      </c>
      <c r="E2450" s="6" t="n">
        <v>1148917.83</v>
      </c>
      <c r="F2450" s="6">
        <f>ROUND(E2450-E2449,2)</f>
        <v/>
      </c>
      <c r="G2450" s="6">
        <f>ROUND(F2450-D2450,2)</f>
        <v/>
      </c>
    </row>
    <row r="2451">
      <c r="A2451" t="inlineStr">
        <is>
          <t>2022-07-28</t>
        </is>
      </c>
      <c r="B2451" t="n">
        <v>14</v>
      </c>
      <c r="C2451" t="n">
        <v>3017</v>
      </c>
      <c r="D2451" s="6" t="n">
        <v>51.5</v>
      </c>
      <c r="E2451" s="6" t="n">
        <v>1148969.33</v>
      </c>
      <c r="F2451" s="6">
        <f>ROUND(E2451-E2450,2)</f>
        <v/>
      </c>
      <c r="G2451" s="6">
        <f>ROUND(F2451-D2451,2)</f>
        <v/>
      </c>
    </row>
    <row r="2452">
      <c r="A2452" t="inlineStr">
        <is>
          <t>2022-07-28</t>
        </is>
      </c>
      <c r="B2452" t="n">
        <v>15</v>
      </c>
      <c r="C2452" t="n">
        <v>3017</v>
      </c>
      <c r="D2452" s="6" t="n">
        <v>62.1</v>
      </c>
      <c r="E2452" s="6" t="n">
        <v>1149031.43</v>
      </c>
      <c r="F2452" s="6">
        <f>ROUND(E2452-E2451,2)</f>
        <v/>
      </c>
      <c r="G2452" s="6">
        <f>ROUND(F2452-D2452,2)</f>
        <v/>
      </c>
    </row>
    <row r="2453">
      <c r="A2453" t="inlineStr">
        <is>
          <t>2022-07-28</t>
        </is>
      </c>
      <c r="B2453" t="n">
        <v>16</v>
      </c>
      <c r="C2453" t="n">
        <v>3017</v>
      </c>
      <c r="D2453" s="6" t="n">
        <v>55.9</v>
      </c>
      <c r="E2453" s="6" t="n">
        <v>1149087.33</v>
      </c>
      <c r="F2453" s="6">
        <f>ROUND(E2453-E2452,2)</f>
        <v/>
      </c>
      <c r="G2453" s="6">
        <f>ROUND(F2453-D2453,2)</f>
        <v/>
      </c>
    </row>
    <row r="2454">
      <c r="A2454" t="inlineStr">
        <is>
          <t>2022-07-28</t>
        </is>
      </c>
      <c r="B2454" t="n">
        <v>17</v>
      </c>
      <c r="C2454" t="n">
        <v>3017</v>
      </c>
      <c r="D2454" s="6" t="n">
        <v>70.90000000000001</v>
      </c>
      <c r="E2454" s="6" t="n">
        <v>1149158.23</v>
      </c>
      <c r="F2454" s="6">
        <f>ROUND(E2454-E2453,2)</f>
        <v/>
      </c>
      <c r="G2454" s="6">
        <f>ROUND(F2454-D2454,2)</f>
        <v/>
      </c>
    </row>
    <row r="2455">
      <c r="A2455" t="inlineStr">
        <is>
          <t>2022-07-28</t>
        </is>
      </c>
      <c r="B2455" t="n">
        <v>18</v>
      </c>
      <c r="C2455" t="n">
        <v>3017</v>
      </c>
      <c r="D2455" s="6" t="n">
        <v>57.8</v>
      </c>
      <c r="E2455" s="6" t="n">
        <v>1149216.03</v>
      </c>
      <c r="F2455" s="6">
        <f>ROUND(E2455-E2454,2)</f>
        <v/>
      </c>
      <c r="G2455" s="6">
        <f>ROUND(F2455-D2455,2)</f>
        <v/>
      </c>
    </row>
    <row r="2456">
      <c r="A2456" t="inlineStr">
        <is>
          <t>2022-07-28</t>
        </is>
      </c>
      <c r="B2456" t="n">
        <v>19</v>
      </c>
      <c r="C2456" t="n">
        <v>3017</v>
      </c>
      <c r="D2456" s="6" t="n">
        <v>79.40000000000001</v>
      </c>
      <c r="E2456" s="6" t="n">
        <v>1149295.43</v>
      </c>
      <c r="F2456" s="6">
        <f>ROUND(E2456-E2455,2)</f>
        <v/>
      </c>
      <c r="G2456" s="6">
        <f>ROUND(F2456-D2456,2)</f>
        <v/>
      </c>
    </row>
    <row r="2457">
      <c r="A2457" t="inlineStr">
        <is>
          <t>2022-07-28</t>
        </is>
      </c>
      <c r="B2457" t="n">
        <v>20</v>
      </c>
      <c r="C2457" t="n">
        <v>3017</v>
      </c>
      <c r="D2457" s="6" t="n">
        <v>55.7</v>
      </c>
      <c r="E2457" s="6" t="n">
        <v>1149351.13</v>
      </c>
      <c r="F2457" s="6">
        <f>ROUND(E2457-E2456,2)</f>
        <v/>
      </c>
      <c r="G2457" s="6">
        <f>ROUND(F2457-D2457,2)</f>
        <v/>
      </c>
    </row>
    <row r="2458">
      <c r="A2458" t="inlineStr">
        <is>
          <t>2022-07-28</t>
        </is>
      </c>
      <c r="B2458" t="n">
        <v>21</v>
      </c>
      <c r="C2458" t="n">
        <v>3017</v>
      </c>
      <c r="D2458" s="6" t="n">
        <v>109.2</v>
      </c>
      <c r="E2458" s="6" t="n">
        <v>1149460.33</v>
      </c>
      <c r="F2458" s="6">
        <f>ROUND(E2458-E2457,2)</f>
        <v/>
      </c>
      <c r="G2458" s="6">
        <f>ROUND(F2458-D2458,2)</f>
        <v/>
      </c>
    </row>
    <row r="2459">
      <c r="A2459" t="inlineStr">
        <is>
          <t>2022-07-28</t>
        </is>
      </c>
      <c r="B2459" t="n">
        <v>22</v>
      </c>
      <c r="C2459" t="n">
        <v>3017</v>
      </c>
      <c r="D2459" s="6" t="n">
        <v>73.8</v>
      </c>
      <c r="E2459" s="6" t="n">
        <v>1149534.13</v>
      </c>
      <c r="F2459" s="6">
        <f>ROUND(E2459-E2458,2)</f>
        <v/>
      </c>
      <c r="G2459" s="6">
        <f>ROUND(F2459-D2459,2)</f>
        <v/>
      </c>
    </row>
    <row r="2460">
      <c r="A2460" t="inlineStr">
        <is>
          <t>2022-07-28</t>
        </is>
      </c>
      <c r="B2460" t="n">
        <v>23</v>
      </c>
      <c r="C2460" t="n">
        <v>3017</v>
      </c>
      <c r="D2460" s="6" t="n">
        <v>70.75</v>
      </c>
      <c r="E2460" s="6" t="n">
        <v>1149604.88</v>
      </c>
      <c r="F2460" s="6">
        <f>ROUND(E2460-E2459,2)</f>
        <v/>
      </c>
      <c r="G2460" s="6">
        <f>ROUND(F2460-D2460,2)</f>
        <v/>
      </c>
    </row>
    <row r="2461">
      <c r="A2461" t="inlineStr">
        <is>
          <t>2022-07-28</t>
        </is>
      </c>
      <c r="B2461" t="n">
        <v>24</v>
      </c>
      <c r="C2461" t="n">
        <v>3017</v>
      </c>
      <c r="D2461" s="6" t="n">
        <v>70.75</v>
      </c>
      <c r="E2461" s="6" t="n">
        <v>1149675.63</v>
      </c>
      <c r="F2461" s="6">
        <f>ROUND(E2461-E2460,2)</f>
        <v/>
      </c>
      <c r="G2461" s="6">
        <f>ROUND(F2461-D2461,2)</f>
        <v/>
      </c>
    </row>
    <row r="2462">
      <c r="A2462" t="inlineStr">
        <is>
          <t>2022-07-28</t>
        </is>
      </c>
      <c r="B2462" t="n">
        <v>25</v>
      </c>
      <c r="C2462" t="n">
        <v>3017</v>
      </c>
      <c r="D2462" s="6" t="n">
        <v>156.1</v>
      </c>
      <c r="E2462" s="6" t="n">
        <v>1149831.73</v>
      </c>
      <c r="F2462" s="6">
        <f>ROUND(E2462-E2461,2)</f>
        <v/>
      </c>
      <c r="G2462" s="6">
        <f>ROUND(F2462-D2462,2)</f>
        <v/>
      </c>
    </row>
    <row r="2463">
      <c r="A2463" t="inlineStr">
        <is>
          <t>2022-07-28</t>
        </is>
      </c>
      <c r="B2463" t="n">
        <v>26</v>
      </c>
      <c r="C2463" t="n">
        <v>3017</v>
      </c>
      <c r="D2463" s="6" t="n">
        <v>59.4</v>
      </c>
      <c r="E2463" s="6" t="n">
        <v>1149891.13</v>
      </c>
      <c r="F2463" s="6">
        <f>ROUND(E2463-E2462,2)</f>
        <v/>
      </c>
      <c r="G2463" s="6">
        <f>ROUND(F2463-D2463,2)</f>
        <v/>
      </c>
    </row>
    <row r="2464">
      <c r="A2464" t="inlineStr">
        <is>
          <t>2022-07-28</t>
        </is>
      </c>
      <c r="B2464" t="n">
        <v>27</v>
      </c>
      <c r="C2464" t="n">
        <v>3017</v>
      </c>
      <c r="D2464" s="6" t="n">
        <v>82.90000000000001</v>
      </c>
      <c r="E2464" s="6" t="n">
        <v>1149974.03</v>
      </c>
      <c r="F2464" s="6">
        <f>ROUND(E2464-E2463,2)</f>
        <v/>
      </c>
      <c r="G2464" s="6">
        <f>ROUND(F2464-D2464,2)</f>
        <v/>
      </c>
    </row>
    <row r="2465">
      <c r="A2465" t="inlineStr">
        <is>
          <t>2022-07-28</t>
        </is>
      </c>
      <c r="B2465" t="n">
        <v>28</v>
      </c>
      <c r="C2465" t="n">
        <v>3017</v>
      </c>
      <c r="D2465" s="6" t="n">
        <v>40.8</v>
      </c>
      <c r="E2465" s="6" t="n">
        <v>1150014.83</v>
      </c>
      <c r="F2465" s="6">
        <f>ROUND(E2465-E2464,2)</f>
        <v/>
      </c>
      <c r="G2465" s="6">
        <f>ROUND(F2465-D2465,2)</f>
        <v/>
      </c>
    </row>
    <row r="2466">
      <c r="A2466" t="inlineStr">
        <is>
          <t>2022-07-28</t>
        </is>
      </c>
      <c r="B2466" t="n">
        <v>29</v>
      </c>
      <c r="C2466" t="n">
        <v>3017</v>
      </c>
      <c r="D2466" s="6" t="n">
        <v>40.8</v>
      </c>
      <c r="E2466" s="6" t="n">
        <v>1150055.63</v>
      </c>
      <c r="F2466" s="6">
        <f>ROUND(E2466-E2465,2)</f>
        <v/>
      </c>
      <c r="G2466" s="6">
        <f>ROUND(F2466-D2466,2)</f>
        <v/>
      </c>
    </row>
    <row r="2467">
      <c r="A2467" t="inlineStr">
        <is>
          <t>2022-07-28</t>
        </is>
      </c>
      <c r="B2467" t="n">
        <v>30</v>
      </c>
      <c r="C2467" t="n">
        <v>3017</v>
      </c>
      <c r="D2467" s="6" t="n">
        <v>120.15</v>
      </c>
      <c r="E2467" s="6" t="n">
        <v>1150175.78</v>
      </c>
      <c r="F2467" s="6">
        <f>ROUND(E2467-E2466,2)</f>
        <v/>
      </c>
      <c r="G2467" s="6">
        <f>ROUND(F2467-D2467,2)</f>
        <v/>
      </c>
    </row>
    <row r="2468">
      <c r="A2468" t="inlineStr">
        <is>
          <t>2022-07-28</t>
        </is>
      </c>
      <c r="B2468" t="n">
        <v>31</v>
      </c>
      <c r="C2468" t="n">
        <v>3017</v>
      </c>
      <c r="D2468" s="6" t="n">
        <v>120.15</v>
      </c>
      <c r="E2468" s="6" t="n">
        <v>1150295.93</v>
      </c>
      <c r="F2468" s="6">
        <f>ROUND(E2468-E2467,2)</f>
        <v/>
      </c>
      <c r="G2468" s="6">
        <f>ROUND(F2468-D2468,2)</f>
        <v/>
      </c>
    </row>
    <row r="2469">
      <c r="A2469" t="inlineStr">
        <is>
          <t>2022-07-29</t>
        </is>
      </c>
      <c r="B2469" t="n">
        <v>1</v>
      </c>
      <c r="C2469" t="n">
        <v>3018</v>
      </c>
      <c r="D2469" s="6" t="n">
        <v>106.8</v>
      </c>
      <c r="E2469" s="6" t="n">
        <v>1150402.73</v>
      </c>
      <c r="F2469" s="6">
        <f>ROUND(E2469-E2468,2)</f>
        <v/>
      </c>
      <c r="G2469" s="6">
        <f>ROUND(F2469-D2469,2)</f>
        <v/>
      </c>
    </row>
    <row r="2470">
      <c r="A2470" t="inlineStr">
        <is>
          <t>2022-07-29</t>
        </is>
      </c>
      <c r="B2470" t="n">
        <v>2</v>
      </c>
      <c r="C2470" t="n">
        <v>3018</v>
      </c>
      <c r="D2470" s="6" t="n">
        <v>65.5</v>
      </c>
      <c r="E2470" s="6" t="n">
        <v>1150468.23</v>
      </c>
      <c r="F2470" s="6">
        <f>ROUND(E2470-E2469,2)</f>
        <v/>
      </c>
      <c r="G2470" s="6">
        <f>ROUND(F2470-D2470,2)</f>
        <v/>
      </c>
    </row>
    <row r="2471">
      <c r="A2471" t="inlineStr">
        <is>
          <t>2022-07-29</t>
        </is>
      </c>
      <c r="B2471" t="n">
        <v>3</v>
      </c>
      <c r="C2471" t="n">
        <v>3018</v>
      </c>
      <c r="D2471" s="6" t="n">
        <v>41.5</v>
      </c>
      <c r="E2471" s="6" t="n">
        <v>1150509.73</v>
      </c>
      <c r="F2471" s="6">
        <f>ROUND(E2471-E2470,2)</f>
        <v/>
      </c>
      <c r="G2471" s="6">
        <f>ROUND(F2471-D2471,2)</f>
        <v/>
      </c>
    </row>
    <row r="2472">
      <c r="A2472" t="inlineStr">
        <is>
          <t>2022-07-29</t>
        </is>
      </c>
      <c r="B2472" t="n">
        <v>4</v>
      </c>
      <c r="C2472" t="n">
        <v>3018</v>
      </c>
      <c r="D2472" s="6" t="n">
        <v>45.2</v>
      </c>
      <c r="E2472" s="6" t="n">
        <v>1150554.93</v>
      </c>
      <c r="F2472" s="6">
        <f>ROUND(E2472-E2471,2)</f>
        <v/>
      </c>
      <c r="G2472" s="6">
        <f>ROUND(F2472-D2472,2)</f>
        <v/>
      </c>
    </row>
    <row r="2473">
      <c r="A2473" t="inlineStr">
        <is>
          <t>2022-07-29</t>
        </is>
      </c>
      <c r="B2473" t="n">
        <v>5</v>
      </c>
      <c r="C2473" t="n">
        <v>3018</v>
      </c>
      <c r="D2473" s="6" t="n">
        <v>70</v>
      </c>
      <c r="E2473" s="6" t="n">
        <v>1150624.93</v>
      </c>
      <c r="F2473" s="6">
        <f>ROUND(E2473-E2472,2)</f>
        <v/>
      </c>
      <c r="G2473" s="6">
        <f>ROUND(F2473-D2473,2)</f>
        <v/>
      </c>
    </row>
    <row r="2474">
      <c r="A2474" t="inlineStr">
        <is>
          <t>2022-07-29</t>
        </is>
      </c>
      <c r="B2474" t="n">
        <v>6</v>
      </c>
      <c r="C2474" t="n">
        <v>3018</v>
      </c>
      <c r="D2474" s="6" t="n">
        <v>57.7</v>
      </c>
      <c r="E2474" s="6" t="n">
        <v>1150682.63</v>
      </c>
      <c r="F2474" s="6">
        <f>ROUND(E2474-E2473,2)</f>
        <v/>
      </c>
      <c r="G2474" s="6">
        <f>ROUND(F2474-D2474,2)</f>
        <v/>
      </c>
    </row>
    <row r="2475">
      <c r="A2475" t="inlineStr">
        <is>
          <t>2022-07-29</t>
        </is>
      </c>
      <c r="B2475" t="n">
        <v>7</v>
      </c>
      <c r="C2475" t="n">
        <v>3018</v>
      </c>
      <c r="D2475" s="6" t="n">
        <v>57.1</v>
      </c>
      <c r="E2475" s="6" t="n">
        <v>1150739.73</v>
      </c>
      <c r="F2475" s="6">
        <f>ROUND(E2475-E2474,2)</f>
        <v/>
      </c>
      <c r="G2475" s="6">
        <f>ROUND(F2475-D2475,2)</f>
        <v/>
      </c>
    </row>
    <row r="2476">
      <c r="A2476" t="inlineStr">
        <is>
          <t>2022-07-29</t>
        </is>
      </c>
      <c r="B2476" t="n">
        <v>8</v>
      </c>
      <c r="C2476" t="n">
        <v>3018</v>
      </c>
      <c r="D2476" s="6" t="n">
        <v>78.40000000000001</v>
      </c>
      <c r="E2476" s="6" t="n">
        <v>1150818.13</v>
      </c>
      <c r="F2476" s="6">
        <f>ROUND(E2476-E2475,2)</f>
        <v/>
      </c>
      <c r="G2476" s="6">
        <f>ROUND(F2476-D2476,2)</f>
        <v/>
      </c>
    </row>
    <row r="2477">
      <c r="A2477" t="inlineStr">
        <is>
          <t>2022-07-29</t>
        </is>
      </c>
      <c r="B2477" t="n">
        <v>9</v>
      </c>
      <c r="C2477" t="n">
        <v>3018</v>
      </c>
      <c r="D2477" s="6" t="n">
        <v>236.4</v>
      </c>
      <c r="E2477" s="6" t="n">
        <v>1151054.53</v>
      </c>
      <c r="F2477" s="6">
        <f>ROUND(E2477-E2476,2)</f>
        <v/>
      </c>
      <c r="G2477" s="6">
        <f>ROUND(F2477-D2477,2)</f>
        <v/>
      </c>
    </row>
    <row r="2478">
      <c r="A2478" t="inlineStr">
        <is>
          <t>2022-07-29</t>
        </is>
      </c>
      <c r="B2478" t="n">
        <v>10</v>
      </c>
      <c r="C2478" t="n">
        <v>3018</v>
      </c>
      <c r="D2478" s="6" t="n">
        <v>69.2</v>
      </c>
      <c r="E2478" s="6" t="n">
        <v>1151123.73</v>
      </c>
      <c r="F2478" s="6">
        <f>ROUND(E2478-E2477,2)</f>
        <v/>
      </c>
      <c r="G2478" s="6">
        <f>ROUND(F2478-D2478,2)</f>
        <v/>
      </c>
    </row>
    <row r="2479">
      <c r="A2479" t="inlineStr">
        <is>
          <t>2022-07-29</t>
        </is>
      </c>
      <c r="B2479" t="n">
        <v>11</v>
      </c>
      <c r="C2479" t="n">
        <v>3018</v>
      </c>
      <c r="D2479" s="6" t="n">
        <v>106</v>
      </c>
      <c r="E2479" s="6" t="n">
        <v>1151229.73</v>
      </c>
      <c r="F2479" s="6">
        <f>ROUND(E2479-E2478,2)</f>
        <v/>
      </c>
      <c r="G2479" s="6">
        <f>ROUND(F2479-D2479,2)</f>
        <v/>
      </c>
    </row>
    <row r="2480">
      <c r="A2480" t="inlineStr">
        <is>
          <t>2022-07-29</t>
        </is>
      </c>
      <c r="B2480" t="n">
        <v>12</v>
      </c>
      <c r="C2480" t="n">
        <v>3018</v>
      </c>
      <c r="D2480" s="6" t="n">
        <v>29.65</v>
      </c>
      <c r="E2480" s="6" t="n">
        <v>1151259.38</v>
      </c>
      <c r="F2480" s="6">
        <f>ROUND(E2480-E2479,2)</f>
        <v/>
      </c>
      <c r="G2480" s="6">
        <f>ROUND(F2480-D2480,2)</f>
        <v/>
      </c>
    </row>
    <row r="2481">
      <c r="A2481" t="inlineStr">
        <is>
          <t>2022-07-29</t>
        </is>
      </c>
      <c r="B2481" t="n">
        <v>13</v>
      </c>
      <c r="C2481" t="n">
        <v>3018</v>
      </c>
      <c r="D2481" s="6" t="n">
        <v>29.65</v>
      </c>
      <c r="E2481" s="6" t="n">
        <v>1151289.03</v>
      </c>
      <c r="F2481" s="6">
        <f>ROUND(E2481-E2480,2)</f>
        <v/>
      </c>
      <c r="G2481" s="6">
        <f>ROUND(F2481-D2481,2)</f>
        <v/>
      </c>
    </row>
    <row r="2482">
      <c r="A2482" t="inlineStr">
        <is>
          <t>2022-07-29</t>
        </is>
      </c>
      <c r="B2482" t="n">
        <v>14</v>
      </c>
      <c r="C2482" t="n">
        <v>3018</v>
      </c>
      <c r="D2482" s="6" t="n">
        <v>60</v>
      </c>
      <c r="E2482" s="6" t="n">
        <v>1151349.03</v>
      </c>
      <c r="F2482" s="6">
        <f>ROUND(E2482-E2481,2)</f>
        <v/>
      </c>
      <c r="G2482" s="6">
        <f>ROUND(F2482-D2482,2)</f>
        <v/>
      </c>
    </row>
    <row r="2483">
      <c r="A2483" t="inlineStr">
        <is>
          <t>2022-07-29</t>
        </is>
      </c>
      <c r="B2483" t="n">
        <v>15</v>
      </c>
      <c r="C2483" t="n">
        <v>3018</v>
      </c>
      <c r="D2483" s="6" t="n">
        <v>152.1</v>
      </c>
      <c r="E2483" s="6" t="n">
        <v>1151501.13</v>
      </c>
      <c r="F2483" s="6">
        <f>ROUND(E2483-E2482,2)</f>
        <v/>
      </c>
      <c r="G2483" s="6">
        <f>ROUND(F2483-D2483,2)</f>
        <v/>
      </c>
    </row>
    <row r="2484">
      <c r="A2484" t="inlineStr">
        <is>
          <t>2022-07-29</t>
        </is>
      </c>
      <c r="B2484" t="n">
        <v>16</v>
      </c>
      <c r="C2484" t="n">
        <v>3018</v>
      </c>
      <c r="D2484" s="6" t="n">
        <v>108.2</v>
      </c>
      <c r="E2484" s="6" t="n">
        <v>1151609.33</v>
      </c>
      <c r="F2484" s="6">
        <f>ROUND(E2484-E2483,2)</f>
        <v/>
      </c>
      <c r="G2484" s="6">
        <f>ROUND(F2484-D2484,2)</f>
        <v/>
      </c>
    </row>
    <row r="2485">
      <c r="A2485" t="inlineStr">
        <is>
          <t>2022-07-29</t>
        </is>
      </c>
      <c r="B2485" t="n">
        <v>17</v>
      </c>
      <c r="C2485" t="n">
        <v>3018</v>
      </c>
      <c r="D2485" s="6" t="n">
        <v>31.7</v>
      </c>
      <c r="E2485" s="6" t="n">
        <v>1151641.03</v>
      </c>
      <c r="F2485" s="6">
        <f>ROUND(E2485-E2484,2)</f>
        <v/>
      </c>
      <c r="G2485" s="6">
        <f>ROUND(F2485-D2485,2)</f>
        <v/>
      </c>
    </row>
    <row r="2486">
      <c r="A2486" t="inlineStr">
        <is>
          <t>2022-07-29</t>
        </is>
      </c>
      <c r="B2486" t="n">
        <v>18</v>
      </c>
      <c r="C2486" t="n">
        <v>3018</v>
      </c>
      <c r="D2486" s="6" t="n">
        <v>66.7</v>
      </c>
      <c r="E2486" s="6" t="n">
        <v>1151707.73</v>
      </c>
      <c r="F2486" s="6">
        <f>ROUND(E2486-E2485,2)</f>
        <v/>
      </c>
      <c r="G2486" s="6">
        <f>ROUND(F2486-D2486,2)</f>
        <v/>
      </c>
    </row>
    <row r="2487">
      <c r="A2487" t="inlineStr">
        <is>
          <t>2022-07-29</t>
        </is>
      </c>
      <c r="B2487" t="n">
        <v>19</v>
      </c>
      <c r="C2487" t="n">
        <v>3018</v>
      </c>
      <c r="D2487" s="6" t="n">
        <v>91.40000000000001</v>
      </c>
      <c r="E2487" s="6" t="n">
        <v>1151799.13</v>
      </c>
      <c r="F2487" s="6">
        <f>ROUND(E2487-E2486,2)</f>
        <v/>
      </c>
      <c r="G2487" s="6">
        <f>ROUND(F2487-D2487,2)</f>
        <v/>
      </c>
    </row>
    <row r="2488">
      <c r="A2488" t="inlineStr">
        <is>
          <t>2022-07-29</t>
        </is>
      </c>
      <c r="B2488" t="n">
        <v>20</v>
      </c>
      <c r="C2488" t="n">
        <v>3018</v>
      </c>
      <c r="D2488" s="6" t="n">
        <v>160.5</v>
      </c>
      <c r="E2488" s="6" t="n">
        <v>1151959.63</v>
      </c>
      <c r="F2488" s="6">
        <f>ROUND(E2488-E2487,2)</f>
        <v/>
      </c>
      <c r="G2488" s="6">
        <f>ROUND(F2488-D2488,2)</f>
        <v/>
      </c>
    </row>
    <row r="2489">
      <c r="A2489" t="inlineStr">
        <is>
          <t>2022-07-29</t>
        </is>
      </c>
      <c r="B2489" t="n">
        <v>21</v>
      </c>
      <c r="C2489" t="n">
        <v>3018</v>
      </c>
      <c r="D2489" s="6" t="n">
        <v>121.3</v>
      </c>
      <c r="E2489" s="6" t="n">
        <v>1152080.93</v>
      </c>
      <c r="F2489" s="6">
        <f>ROUND(E2489-E2488,2)</f>
        <v/>
      </c>
      <c r="G2489" s="6">
        <f>ROUND(F2489-D2489,2)</f>
        <v/>
      </c>
    </row>
    <row r="2490">
      <c r="A2490" t="inlineStr">
        <is>
          <t>2022-07-29</t>
        </is>
      </c>
      <c r="B2490" t="n">
        <v>22</v>
      </c>
      <c r="C2490" t="n">
        <v>3018</v>
      </c>
      <c r="D2490" s="6" t="n">
        <v>115.2</v>
      </c>
      <c r="E2490" s="6" t="n">
        <v>1152196.13</v>
      </c>
      <c r="F2490" s="6">
        <f>ROUND(E2490-E2489,2)</f>
        <v/>
      </c>
      <c r="G2490" s="6">
        <f>ROUND(F2490-D2490,2)</f>
        <v/>
      </c>
    </row>
    <row r="2491">
      <c r="A2491" t="inlineStr">
        <is>
          <t>2022-07-29</t>
        </is>
      </c>
      <c r="B2491" t="n">
        <v>23</v>
      </c>
      <c r="C2491" t="n">
        <v>3018</v>
      </c>
      <c r="D2491" s="6" t="n">
        <v>95.5</v>
      </c>
      <c r="E2491" s="6" t="n">
        <v>1152291.63</v>
      </c>
      <c r="F2491" s="6">
        <f>ROUND(E2491-E2490,2)</f>
        <v/>
      </c>
      <c r="G2491" s="6">
        <f>ROUND(F2491-D2491,2)</f>
        <v/>
      </c>
    </row>
    <row r="2492">
      <c r="A2492" t="inlineStr">
        <is>
          <t>2022-07-29</t>
        </is>
      </c>
      <c r="B2492" t="n">
        <v>24</v>
      </c>
      <c r="C2492" t="n">
        <v>3018</v>
      </c>
      <c r="D2492" s="6" t="n">
        <v>149.2</v>
      </c>
      <c r="E2492" s="6" t="n">
        <v>1152440.83</v>
      </c>
      <c r="F2492" s="6">
        <f>ROUND(E2492-E2491,2)</f>
        <v/>
      </c>
      <c r="G2492" s="6">
        <f>ROUND(F2492-D2492,2)</f>
        <v/>
      </c>
    </row>
    <row r="2493">
      <c r="A2493" t="inlineStr">
        <is>
          <t>2022-07-29</t>
        </is>
      </c>
      <c r="B2493" t="n">
        <v>25</v>
      </c>
      <c r="C2493" t="n">
        <v>3018</v>
      </c>
      <c r="D2493" s="6" t="n">
        <v>25.1</v>
      </c>
      <c r="E2493" s="6" t="n">
        <v>1152465.93</v>
      </c>
      <c r="F2493" s="6">
        <f>ROUND(E2493-E2492,2)</f>
        <v/>
      </c>
      <c r="G2493" s="6">
        <f>ROUND(F2493-D2493,2)</f>
        <v/>
      </c>
    </row>
    <row r="2494">
      <c r="A2494" t="inlineStr">
        <is>
          <t>2022-07-29</t>
        </is>
      </c>
      <c r="B2494" t="n">
        <v>26</v>
      </c>
      <c r="C2494" t="n">
        <v>3018</v>
      </c>
      <c r="D2494" s="6" t="n">
        <v>54.3</v>
      </c>
      <c r="E2494" s="6" t="n">
        <v>1152520.23</v>
      </c>
      <c r="F2494" s="6">
        <f>ROUND(E2494-E2493,2)</f>
        <v/>
      </c>
      <c r="G2494" s="6">
        <f>ROUND(F2494-D2494,2)</f>
        <v/>
      </c>
    </row>
    <row r="2495">
      <c r="A2495" t="inlineStr">
        <is>
          <t>2022-07-29</t>
        </is>
      </c>
      <c r="B2495" t="n">
        <v>27</v>
      </c>
      <c r="C2495" t="n">
        <v>3018</v>
      </c>
      <c r="D2495" s="6" t="n">
        <v>73.7</v>
      </c>
      <c r="E2495" s="6" t="n">
        <v>1152593.93</v>
      </c>
      <c r="F2495" s="6">
        <f>ROUND(E2495-E2494,2)</f>
        <v/>
      </c>
      <c r="G2495" s="6">
        <f>ROUND(F2495-D2495,2)</f>
        <v/>
      </c>
    </row>
    <row r="2496">
      <c r="A2496" t="inlineStr">
        <is>
          <t>2022-07-29</t>
        </is>
      </c>
      <c r="B2496" t="n">
        <v>28</v>
      </c>
      <c r="C2496" t="n">
        <v>3018</v>
      </c>
      <c r="D2496" s="6" t="n">
        <v>108.1</v>
      </c>
      <c r="E2496" s="6" t="n">
        <v>1152702.03</v>
      </c>
      <c r="F2496" s="6">
        <f>ROUND(E2496-E2495,2)</f>
        <v/>
      </c>
      <c r="G2496" s="6">
        <f>ROUND(F2496-D2496,2)</f>
        <v/>
      </c>
    </row>
    <row r="2497">
      <c r="A2497" t="inlineStr">
        <is>
          <t>2022-07-29</t>
        </is>
      </c>
      <c r="B2497" t="n">
        <v>29</v>
      </c>
      <c r="C2497" t="n">
        <v>3018</v>
      </c>
      <c r="D2497" s="6" t="n">
        <v>89.90000000000001</v>
      </c>
      <c r="E2497" s="6" t="n">
        <v>1152791.93</v>
      </c>
      <c r="F2497" s="6">
        <f>ROUND(E2497-E2496,2)</f>
        <v/>
      </c>
      <c r="G2497" s="6">
        <f>ROUND(F2497-D2497,2)</f>
        <v/>
      </c>
    </row>
    <row r="2498">
      <c r="A2498" t="inlineStr">
        <is>
          <t>2022-07-29</t>
        </is>
      </c>
      <c r="B2498" t="n">
        <v>30</v>
      </c>
      <c r="C2498" t="n">
        <v>3018</v>
      </c>
      <c r="D2498" s="6" t="n">
        <v>160.9</v>
      </c>
      <c r="E2498" s="6" t="n">
        <v>1152952.83</v>
      </c>
      <c r="F2498" s="6">
        <f>ROUND(E2498-E2497,2)</f>
        <v/>
      </c>
      <c r="G2498" s="6">
        <f>ROUND(F2498-D2498,2)</f>
        <v/>
      </c>
    </row>
    <row r="2499">
      <c r="A2499" t="inlineStr">
        <is>
          <t>2022-07-29</t>
        </is>
      </c>
      <c r="B2499" t="n">
        <v>31</v>
      </c>
      <c r="C2499" t="n">
        <v>3018</v>
      </c>
      <c r="D2499" s="6" t="n">
        <v>54.1</v>
      </c>
      <c r="E2499" s="6" t="n">
        <v>1153006.93</v>
      </c>
      <c r="F2499" s="6">
        <f>ROUND(E2499-E2498,2)</f>
        <v/>
      </c>
      <c r="G2499" s="6">
        <f>ROUND(F2499-D2499,2)</f>
        <v/>
      </c>
    </row>
    <row r="2500">
      <c r="A2500" t="inlineStr">
        <is>
          <t>2022-07-29</t>
        </is>
      </c>
      <c r="B2500" t="n">
        <v>32</v>
      </c>
      <c r="C2500" t="n">
        <v>3018</v>
      </c>
      <c r="D2500" s="6" t="n">
        <v>95.8</v>
      </c>
      <c r="E2500" s="6" t="n">
        <v>1153102.73</v>
      </c>
      <c r="F2500" s="6">
        <f>ROUND(E2500-E2499,2)</f>
        <v/>
      </c>
      <c r="G2500" s="6">
        <f>ROUND(F2500-D2500,2)</f>
        <v/>
      </c>
    </row>
    <row r="2501">
      <c r="A2501" t="inlineStr">
        <is>
          <t>2022-07-29</t>
        </is>
      </c>
      <c r="B2501" t="n">
        <v>33</v>
      </c>
      <c r="C2501" t="n">
        <v>3018</v>
      </c>
      <c r="D2501" s="6" t="n">
        <v>74.3</v>
      </c>
      <c r="E2501" s="6" t="n">
        <v>1153177.03</v>
      </c>
      <c r="F2501" s="6">
        <f>ROUND(E2501-E2500,2)</f>
        <v/>
      </c>
      <c r="G2501" s="6">
        <f>ROUND(F2501-D2501,2)</f>
        <v/>
      </c>
    </row>
    <row r="2502">
      <c r="A2502" t="inlineStr">
        <is>
          <t>2022-07-29</t>
        </is>
      </c>
      <c r="B2502" t="n">
        <v>34</v>
      </c>
      <c r="C2502" t="n">
        <v>3018</v>
      </c>
      <c r="D2502" s="6" t="n">
        <v>80.75</v>
      </c>
      <c r="E2502" s="6" t="n">
        <v>1153257.78</v>
      </c>
      <c r="F2502" s="6">
        <f>ROUND(E2502-E2501,2)</f>
        <v/>
      </c>
      <c r="G2502" s="6">
        <f>ROUND(F2502-D2502,2)</f>
        <v/>
      </c>
    </row>
    <row r="2503">
      <c r="A2503" t="inlineStr">
        <is>
          <t>2022-07-29</t>
        </is>
      </c>
      <c r="B2503" t="n">
        <v>35</v>
      </c>
      <c r="C2503" t="n">
        <v>3018</v>
      </c>
      <c r="D2503" s="6" t="n">
        <v>40.4</v>
      </c>
      <c r="E2503" s="6" t="n">
        <v>1153298.18</v>
      </c>
      <c r="F2503" s="6">
        <f>ROUND(E2503-E2502,2)</f>
        <v/>
      </c>
      <c r="G2503" s="6">
        <f>ROUND(F2503-D2503,2)</f>
        <v/>
      </c>
    </row>
    <row r="2504">
      <c r="A2504" t="inlineStr">
        <is>
          <t>2022-07-29</t>
        </is>
      </c>
      <c r="B2504" t="n">
        <v>36</v>
      </c>
      <c r="C2504" t="n">
        <v>3018</v>
      </c>
      <c r="D2504" s="6" t="n">
        <v>40.35</v>
      </c>
      <c r="E2504" s="6" t="n">
        <v>1153338.53</v>
      </c>
      <c r="F2504" s="6">
        <f>ROUND(E2504-E2503,2)</f>
        <v/>
      </c>
      <c r="G2504" s="6">
        <f>ROUND(F2504-D2504,2)</f>
        <v/>
      </c>
    </row>
    <row r="2505">
      <c r="A2505" t="inlineStr">
        <is>
          <t>2022-07-29</t>
        </is>
      </c>
      <c r="B2505" t="n">
        <v>37</v>
      </c>
      <c r="C2505" t="n">
        <v>3018</v>
      </c>
      <c r="D2505" s="6" t="n">
        <v>30.1</v>
      </c>
      <c r="E2505" s="6" t="n">
        <v>1153368.63</v>
      </c>
      <c r="F2505" s="6">
        <f>ROUND(E2505-E2504,2)</f>
        <v/>
      </c>
      <c r="G2505" s="6">
        <f>ROUND(F2505-D2505,2)</f>
        <v/>
      </c>
    </row>
    <row r="2506">
      <c r="A2506" t="inlineStr">
        <is>
          <t>2022-07-29</t>
        </is>
      </c>
      <c r="B2506" t="n">
        <v>38</v>
      </c>
      <c r="C2506" t="n">
        <v>3018</v>
      </c>
      <c r="D2506" s="6" t="n">
        <v>30.1</v>
      </c>
      <c r="E2506" s="6" t="n">
        <v>1153398.73</v>
      </c>
      <c r="F2506" s="6">
        <f>ROUND(E2506-E2505,2)</f>
        <v/>
      </c>
      <c r="G2506" s="6">
        <f>ROUND(F2506-D2506,2)</f>
        <v/>
      </c>
    </row>
    <row r="2507">
      <c r="A2507" t="inlineStr">
        <is>
          <t>2022-07-30</t>
        </is>
      </c>
      <c r="B2507" t="n">
        <v>1</v>
      </c>
      <c r="C2507" t="n">
        <v>3019</v>
      </c>
      <c r="D2507" s="6" t="n">
        <v>34</v>
      </c>
      <c r="E2507" s="6" t="n">
        <v>1153432.73</v>
      </c>
      <c r="F2507" s="6">
        <f>ROUND(E2507-E2506,2)</f>
        <v/>
      </c>
      <c r="G2507" s="6">
        <f>ROUND(F2507-D2507,2)</f>
        <v/>
      </c>
    </row>
    <row r="2508">
      <c r="A2508" t="inlineStr">
        <is>
          <t>2022-07-30</t>
        </is>
      </c>
      <c r="B2508" t="n">
        <v>2</v>
      </c>
      <c r="C2508" t="n">
        <v>3019</v>
      </c>
      <c r="D2508" s="6" t="n">
        <v>71.59999999999999</v>
      </c>
      <c r="E2508" s="6" t="n">
        <v>1153504.33</v>
      </c>
      <c r="F2508" s="6">
        <f>ROUND(E2508-E2507,2)</f>
        <v/>
      </c>
      <c r="G2508" s="6">
        <f>ROUND(F2508-D2508,2)</f>
        <v/>
      </c>
    </row>
    <row r="2509">
      <c r="A2509" t="inlineStr">
        <is>
          <t>2022-07-30</t>
        </is>
      </c>
      <c r="B2509" t="n">
        <v>3</v>
      </c>
      <c r="C2509" t="n">
        <v>3019</v>
      </c>
      <c r="D2509" s="6" t="n">
        <v>34.4</v>
      </c>
      <c r="E2509" s="6" t="n">
        <v>1153538.73</v>
      </c>
      <c r="F2509" s="6">
        <f>ROUND(E2509-E2508,2)</f>
        <v/>
      </c>
      <c r="G2509" s="6">
        <f>ROUND(F2509-D2509,2)</f>
        <v/>
      </c>
    </row>
    <row r="2510">
      <c r="A2510" t="inlineStr">
        <is>
          <t>2022-07-30</t>
        </is>
      </c>
      <c r="B2510" t="n">
        <v>4</v>
      </c>
      <c r="C2510" t="n">
        <v>3019</v>
      </c>
      <c r="D2510" s="6" t="n">
        <v>46.1</v>
      </c>
      <c r="E2510" s="6" t="n">
        <v>1153584.83</v>
      </c>
      <c r="F2510" s="6">
        <f>ROUND(E2510-E2509,2)</f>
        <v/>
      </c>
      <c r="G2510" s="6">
        <f>ROUND(F2510-D2510,2)</f>
        <v/>
      </c>
    </row>
    <row r="2511">
      <c r="A2511" t="inlineStr">
        <is>
          <t>2022-07-30</t>
        </is>
      </c>
      <c r="B2511" t="n">
        <v>5</v>
      </c>
      <c r="C2511" t="n">
        <v>3019</v>
      </c>
      <c r="D2511" s="6" t="n">
        <v>41.6</v>
      </c>
      <c r="E2511" s="6" t="n">
        <v>1153626.43</v>
      </c>
      <c r="F2511" s="6">
        <f>ROUND(E2511-E2510,2)</f>
        <v/>
      </c>
      <c r="G2511" s="6">
        <f>ROUND(F2511-D2511,2)</f>
        <v/>
      </c>
    </row>
    <row r="2512">
      <c r="A2512" t="inlineStr">
        <is>
          <t>2022-07-30</t>
        </is>
      </c>
      <c r="B2512" t="n">
        <v>6</v>
      </c>
      <c r="C2512" t="n">
        <v>3019</v>
      </c>
      <c r="D2512" s="6" t="n">
        <v>41.5</v>
      </c>
      <c r="E2512" s="6" t="n">
        <v>1153667.93</v>
      </c>
      <c r="F2512" s="6">
        <f>ROUND(E2512-E2511,2)</f>
        <v/>
      </c>
      <c r="G2512" s="6">
        <f>ROUND(F2512-D2512,2)</f>
        <v/>
      </c>
    </row>
    <row r="2513">
      <c r="A2513" t="inlineStr">
        <is>
          <t>2022-07-30</t>
        </is>
      </c>
      <c r="B2513" t="n">
        <v>7</v>
      </c>
      <c r="C2513" t="n">
        <v>3019</v>
      </c>
      <c r="D2513" s="6" t="n">
        <v>55</v>
      </c>
      <c r="E2513" s="6" t="n">
        <v>1153722.93</v>
      </c>
      <c r="F2513" s="6">
        <f>ROUND(E2513-E2512,2)</f>
        <v/>
      </c>
      <c r="G2513" s="6">
        <f>ROUND(F2513-D2513,2)</f>
        <v/>
      </c>
    </row>
    <row r="2514">
      <c r="A2514" t="inlineStr">
        <is>
          <t>2022-07-30</t>
        </is>
      </c>
      <c r="B2514" t="n">
        <v>8</v>
      </c>
      <c r="C2514" t="n">
        <v>3019</v>
      </c>
      <c r="D2514" s="6" t="n">
        <v>63.9</v>
      </c>
      <c r="E2514" s="6" t="n">
        <v>1153786.83</v>
      </c>
      <c r="F2514" s="6">
        <f>ROUND(E2514-E2513,2)</f>
        <v/>
      </c>
      <c r="G2514" s="6">
        <f>ROUND(F2514-D2514,2)</f>
        <v/>
      </c>
    </row>
    <row r="2515">
      <c r="A2515" t="inlineStr">
        <is>
          <t>2022-07-30</t>
        </is>
      </c>
      <c r="B2515" t="n">
        <v>9</v>
      </c>
      <c r="C2515" t="n">
        <v>3019</v>
      </c>
      <c r="D2515" s="6" t="n">
        <v>65.7</v>
      </c>
      <c r="E2515" s="6" t="n">
        <v>1153852.53</v>
      </c>
      <c r="F2515" s="6">
        <f>ROUND(E2515-E2514,2)</f>
        <v/>
      </c>
      <c r="G2515" s="6">
        <f>ROUND(F2515-D2515,2)</f>
        <v/>
      </c>
    </row>
    <row r="2516">
      <c r="A2516" t="inlineStr">
        <is>
          <t>2022-07-30</t>
        </is>
      </c>
      <c r="B2516" t="n">
        <v>10</v>
      </c>
      <c r="C2516" t="n">
        <v>3019</v>
      </c>
      <c r="D2516" s="6" t="n">
        <v>61.7</v>
      </c>
      <c r="E2516" s="6" t="n">
        <v>1153914.23</v>
      </c>
      <c r="F2516" s="6">
        <f>ROUND(E2516-E2515,2)</f>
        <v/>
      </c>
      <c r="G2516" s="6">
        <f>ROUND(F2516-D2516,2)</f>
        <v/>
      </c>
    </row>
    <row r="2517">
      <c r="A2517" t="inlineStr">
        <is>
          <t>2022-07-30</t>
        </is>
      </c>
      <c r="B2517" t="n">
        <v>11</v>
      </c>
      <c r="C2517" t="n">
        <v>3019</v>
      </c>
      <c r="D2517" s="6" t="n">
        <v>81</v>
      </c>
      <c r="E2517" s="6" t="n">
        <v>1153995.23</v>
      </c>
      <c r="F2517" s="6">
        <f>ROUND(E2517-E2516,2)</f>
        <v/>
      </c>
      <c r="G2517" s="6">
        <f>ROUND(F2517-D2517,2)</f>
        <v/>
      </c>
    </row>
    <row r="2518">
      <c r="A2518" t="inlineStr">
        <is>
          <t>2022-07-30</t>
        </is>
      </c>
      <c r="B2518" t="n">
        <v>12</v>
      </c>
      <c r="C2518" t="n">
        <v>3019</v>
      </c>
      <c r="D2518" s="6" t="n">
        <v>52.7</v>
      </c>
      <c r="E2518" s="6" t="n">
        <v>1154047.93</v>
      </c>
      <c r="F2518" s="6">
        <f>ROUND(E2518-E2517,2)</f>
        <v/>
      </c>
      <c r="G2518" s="6">
        <f>ROUND(F2518-D2518,2)</f>
        <v/>
      </c>
    </row>
    <row r="2519">
      <c r="A2519" t="inlineStr">
        <is>
          <t>2022-07-30</t>
        </is>
      </c>
      <c r="B2519" t="n">
        <v>13</v>
      </c>
      <c r="C2519" t="n">
        <v>3019</v>
      </c>
      <c r="D2519" s="6" t="n">
        <v>84.3</v>
      </c>
      <c r="E2519" s="6" t="n">
        <v>1154132.23</v>
      </c>
      <c r="F2519" s="6">
        <f>ROUND(E2519-E2518,2)</f>
        <v/>
      </c>
      <c r="G2519" s="6">
        <f>ROUND(F2519-D2519,2)</f>
        <v/>
      </c>
    </row>
    <row r="2520">
      <c r="A2520" t="inlineStr">
        <is>
          <t>2022-07-30</t>
        </is>
      </c>
      <c r="B2520" t="n">
        <v>14</v>
      </c>
      <c r="C2520" t="n">
        <v>3019</v>
      </c>
      <c r="D2520" s="6" t="n">
        <v>35.2</v>
      </c>
      <c r="E2520" s="6" t="n">
        <v>1154167.43</v>
      </c>
      <c r="F2520" s="6">
        <f>ROUND(E2520-E2519,2)</f>
        <v/>
      </c>
      <c r="G2520" s="6">
        <f>ROUND(F2520-D2520,2)</f>
        <v/>
      </c>
    </row>
    <row r="2521">
      <c r="A2521" t="inlineStr">
        <is>
          <t>2022-07-30</t>
        </is>
      </c>
      <c r="B2521" t="n">
        <v>15</v>
      </c>
      <c r="C2521" t="n">
        <v>3019</v>
      </c>
      <c r="D2521" s="6" t="n">
        <v>80.8</v>
      </c>
      <c r="E2521" s="6" t="n">
        <v>1154248.23</v>
      </c>
      <c r="F2521" s="6">
        <f>ROUND(E2521-E2520,2)</f>
        <v/>
      </c>
      <c r="G2521" s="6">
        <f>ROUND(F2521-D2521,2)</f>
        <v/>
      </c>
    </row>
    <row r="2522">
      <c r="A2522" t="inlineStr">
        <is>
          <t>2022-07-30</t>
        </is>
      </c>
      <c r="B2522" t="n">
        <v>16</v>
      </c>
      <c r="C2522" t="n">
        <v>3019</v>
      </c>
      <c r="D2522" s="6" t="n">
        <v>202.5</v>
      </c>
      <c r="E2522" s="6" t="n">
        <v>1154450.73</v>
      </c>
      <c r="F2522" s="6">
        <f>ROUND(E2522-E2521,2)</f>
        <v/>
      </c>
      <c r="G2522" s="6">
        <f>ROUND(F2522-D2522,2)</f>
        <v/>
      </c>
    </row>
    <row r="2523">
      <c r="A2523" t="inlineStr">
        <is>
          <t>2022-07-30</t>
        </is>
      </c>
      <c r="B2523" t="n">
        <v>17</v>
      </c>
      <c r="C2523" t="n">
        <v>3019</v>
      </c>
      <c r="D2523" s="6" t="n">
        <v>174.2</v>
      </c>
      <c r="E2523" s="6" t="n">
        <v>1154624.93</v>
      </c>
      <c r="F2523" s="6">
        <f>ROUND(E2523-E2522,2)</f>
        <v/>
      </c>
      <c r="G2523" s="6">
        <f>ROUND(F2523-D2523,2)</f>
        <v/>
      </c>
    </row>
    <row r="2524">
      <c r="A2524" t="inlineStr">
        <is>
          <t>2022-07-30</t>
        </is>
      </c>
      <c r="B2524" t="n">
        <v>18</v>
      </c>
      <c r="C2524" t="n">
        <v>3019</v>
      </c>
      <c r="D2524" s="6" t="n">
        <v>33.4</v>
      </c>
      <c r="E2524" s="6" t="n">
        <v>1154658.33</v>
      </c>
      <c r="F2524" s="6">
        <f>ROUND(E2524-E2523,2)</f>
        <v/>
      </c>
      <c r="G2524" s="6">
        <f>ROUND(F2524-D2524,2)</f>
        <v/>
      </c>
    </row>
    <row r="2525">
      <c r="A2525" t="inlineStr">
        <is>
          <t>2022-07-30</t>
        </is>
      </c>
      <c r="B2525" t="n">
        <v>19</v>
      </c>
      <c r="C2525" t="n">
        <v>3019</v>
      </c>
      <c r="D2525" s="6" t="n">
        <v>164.1</v>
      </c>
      <c r="E2525" s="6" t="n">
        <v>1154822.43</v>
      </c>
      <c r="F2525" s="6">
        <f>ROUND(E2525-E2524,2)</f>
        <v/>
      </c>
      <c r="G2525" s="6">
        <f>ROUND(F2525-D2525,2)</f>
        <v/>
      </c>
    </row>
    <row r="2526">
      <c r="A2526" t="inlineStr">
        <is>
          <t>2022-07-30</t>
        </is>
      </c>
      <c r="B2526" t="n">
        <v>20</v>
      </c>
      <c r="C2526" t="n">
        <v>3019</v>
      </c>
      <c r="D2526" s="6" t="n">
        <v>38.2</v>
      </c>
      <c r="E2526" s="6" t="n">
        <v>1154860.63</v>
      </c>
      <c r="F2526" s="6">
        <f>ROUND(E2526-E2525,2)</f>
        <v/>
      </c>
      <c r="G2526" s="6">
        <f>ROUND(F2526-D2526,2)</f>
        <v/>
      </c>
    </row>
    <row r="2527">
      <c r="A2527" t="inlineStr">
        <is>
          <t>2022-07-30</t>
        </is>
      </c>
      <c r="B2527" t="n">
        <v>21</v>
      </c>
      <c r="C2527" t="n">
        <v>3019</v>
      </c>
      <c r="D2527" s="6" t="n">
        <v>28.4</v>
      </c>
      <c r="E2527" s="6" t="n">
        <v>1154889.03</v>
      </c>
      <c r="F2527" s="6">
        <f>ROUND(E2527-E2526,2)</f>
        <v/>
      </c>
      <c r="G2527" s="6">
        <f>ROUND(F2527-D2527,2)</f>
        <v/>
      </c>
    </row>
    <row r="2528">
      <c r="A2528" t="inlineStr">
        <is>
          <t>2022-07-30</t>
        </is>
      </c>
      <c r="B2528" t="n">
        <v>22</v>
      </c>
      <c r="C2528" t="n">
        <v>3019</v>
      </c>
      <c r="D2528" s="6" t="n">
        <v>117.9</v>
      </c>
      <c r="E2528" s="6" t="n">
        <v>1155006.93</v>
      </c>
      <c r="F2528" s="6">
        <f>ROUND(E2528-E2527,2)</f>
        <v/>
      </c>
      <c r="G2528" s="6">
        <f>ROUND(F2528-D2528,2)</f>
        <v/>
      </c>
    </row>
    <row r="2529">
      <c r="A2529" t="inlineStr">
        <is>
          <t>2022-07-30</t>
        </is>
      </c>
      <c r="B2529" t="n">
        <v>23</v>
      </c>
      <c r="C2529" t="n">
        <v>3019</v>
      </c>
      <c r="D2529" s="6" t="n">
        <v>38.6</v>
      </c>
      <c r="E2529" s="6" t="n">
        <v>1155045.53</v>
      </c>
      <c r="F2529" s="6">
        <f>ROUND(E2529-E2528,2)</f>
        <v/>
      </c>
      <c r="G2529" s="6">
        <f>ROUND(F2529-D2529,2)</f>
        <v/>
      </c>
    </row>
    <row r="2530">
      <c r="A2530" t="inlineStr">
        <is>
          <t>2022-07-30</t>
        </is>
      </c>
      <c r="B2530" t="n">
        <v>24</v>
      </c>
      <c r="C2530" t="n">
        <v>3019</v>
      </c>
      <c r="D2530" s="6" t="n">
        <v>38.6</v>
      </c>
      <c r="E2530" s="6" t="n">
        <v>1155084.13</v>
      </c>
      <c r="F2530" s="6">
        <f>ROUND(E2530-E2529,2)</f>
        <v/>
      </c>
      <c r="G2530" s="6">
        <f>ROUND(F2530-D2530,2)</f>
        <v/>
      </c>
    </row>
    <row r="2531">
      <c r="A2531" t="inlineStr">
        <is>
          <t>2022-07-30</t>
        </is>
      </c>
      <c r="B2531" t="n">
        <v>25</v>
      </c>
      <c r="C2531" t="n">
        <v>3019</v>
      </c>
      <c r="D2531" s="6" t="n">
        <v>210.9</v>
      </c>
      <c r="E2531" s="6" t="n">
        <v>1155295.03</v>
      </c>
      <c r="F2531" s="6">
        <f>ROUND(E2531-E2530,2)</f>
        <v/>
      </c>
      <c r="G2531" s="6">
        <f>ROUND(F2531-D2531,2)</f>
        <v/>
      </c>
    </row>
    <row r="2532">
      <c r="A2532" t="inlineStr">
        <is>
          <t>2022-07-30</t>
        </is>
      </c>
      <c r="B2532" t="n">
        <v>26</v>
      </c>
      <c r="C2532" t="n">
        <v>3019</v>
      </c>
      <c r="D2532" s="6" t="n">
        <v>85.59999999999999</v>
      </c>
      <c r="E2532" s="6" t="n">
        <v>1155380.63</v>
      </c>
      <c r="F2532" s="6">
        <f>ROUND(E2532-E2531,2)</f>
        <v/>
      </c>
      <c r="G2532" s="6">
        <f>ROUND(F2532-D2532,2)</f>
        <v/>
      </c>
    </row>
    <row r="2533">
      <c r="A2533" t="inlineStr">
        <is>
          <t>2022-07-31</t>
        </is>
      </c>
      <c r="B2533" t="n">
        <v>1</v>
      </c>
      <c r="C2533" t="n">
        <v>3020</v>
      </c>
      <c r="D2533" s="6" t="n">
        <v>78.2</v>
      </c>
      <c r="E2533" s="6" t="n">
        <v>1155458.83</v>
      </c>
      <c r="F2533" s="6">
        <f>ROUND(E2533-E2532,2)</f>
        <v/>
      </c>
      <c r="G2533" s="6">
        <f>ROUND(F2533-D2533,2)</f>
        <v/>
      </c>
    </row>
    <row r="2534">
      <c r="A2534" t="inlineStr">
        <is>
          <t>2022-07-31</t>
        </is>
      </c>
      <c r="B2534" t="n">
        <v>2</v>
      </c>
      <c r="C2534" t="n">
        <v>3020</v>
      </c>
      <c r="D2534" s="6" t="n">
        <v>69.7</v>
      </c>
      <c r="E2534" s="6" t="n">
        <v>1155528.53</v>
      </c>
      <c r="F2534" s="6">
        <f>ROUND(E2534-E2533,2)</f>
        <v/>
      </c>
      <c r="G2534" s="6">
        <f>ROUND(F2534-D2534,2)</f>
        <v/>
      </c>
    </row>
    <row r="2535">
      <c r="A2535" t="inlineStr">
        <is>
          <t>2022-07-31</t>
        </is>
      </c>
      <c r="B2535" t="n">
        <v>3</v>
      </c>
      <c r="C2535" t="n">
        <v>3020</v>
      </c>
      <c r="D2535" s="6" t="n">
        <v>60</v>
      </c>
      <c r="E2535" s="6" t="n">
        <v>1155588.53</v>
      </c>
      <c r="F2535" s="6">
        <f>ROUND(E2535-E2534,2)</f>
        <v/>
      </c>
      <c r="G2535" s="6">
        <f>ROUND(F2535-D2535,2)</f>
        <v/>
      </c>
    </row>
    <row r="2536">
      <c r="A2536" t="inlineStr">
        <is>
          <t>2022-07-31</t>
        </is>
      </c>
      <c r="B2536" t="n">
        <v>4</v>
      </c>
      <c r="C2536" t="n">
        <v>3020</v>
      </c>
      <c r="D2536" s="6" t="n">
        <v>82.40000000000001</v>
      </c>
      <c r="E2536" s="6" t="n">
        <v>1155670.93</v>
      </c>
      <c r="F2536" s="6">
        <f>ROUND(E2536-E2535,2)</f>
        <v/>
      </c>
      <c r="G2536" s="6">
        <f>ROUND(F2536-D2536,2)</f>
        <v/>
      </c>
    </row>
    <row r="2537">
      <c r="A2537" t="inlineStr">
        <is>
          <t>2022-07-31</t>
        </is>
      </c>
      <c r="B2537" t="n">
        <v>5</v>
      </c>
      <c r="C2537" t="n">
        <v>3020</v>
      </c>
      <c r="D2537" s="6" t="n">
        <v>61.8</v>
      </c>
      <c r="E2537" s="6" t="n">
        <v>1155732.73</v>
      </c>
      <c r="F2537" s="6">
        <f>ROUND(E2537-E2536,2)</f>
        <v/>
      </c>
      <c r="G2537" s="6">
        <f>ROUND(F2537-D2537,2)</f>
        <v/>
      </c>
    </row>
    <row r="2538">
      <c r="A2538" t="inlineStr">
        <is>
          <t>2022-07-31</t>
        </is>
      </c>
      <c r="B2538" t="n">
        <v>6</v>
      </c>
      <c r="C2538" t="n">
        <v>3020</v>
      </c>
      <c r="D2538" s="6" t="n">
        <v>77.8</v>
      </c>
      <c r="E2538" s="6" t="n">
        <v>1155810.53</v>
      </c>
      <c r="F2538" s="6">
        <f>ROUND(E2538-E2537,2)</f>
        <v/>
      </c>
      <c r="G2538" s="6">
        <f>ROUND(F2538-D2538,2)</f>
        <v/>
      </c>
    </row>
    <row r="2539">
      <c r="A2539" t="inlineStr">
        <is>
          <t>2022-07-31</t>
        </is>
      </c>
      <c r="B2539" t="n">
        <v>7</v>
      </c>
      <c r="C2539" t="n">
        <v>3020</v>
      </c>
      <c r="D2539" s="6" t="n">
        <v>70.59999999999999</v>
      </c>
      <c r="E2539" s="6" t="n">
        <v>1155881.13</v>
      </c>
      <c r="F2539" s="6">
        <f>ROUND(E2539-E2538,2)</f>
        <v/>
      </c>
      <c r="G2539" s="6">
        <f>ROUND(F2539-D2539,2)</f>
        <v/>
      </c>
    </row>
    <row r="2540">
      <c r="A2540" t="inlineStr">
        <is>
          <t>2022-07-31</t>
        </is>
      </c>
      <c r="B2540" t="n">
        <v>8</v>
      </c>
      <c r="C2540" t="n">
        <v>3020</v>
      </c>
      <c r="D2540" s="6" t="n">
        <v>57.55</v>
      </c>
      <c r="E2540" s="6" t="n">
        <v>1155938.68</v>
      </c>
      <c r="F2540" s="6">
        <f>ROUND(E2540-E2539,2)</f>
        <v/>
      </c>
      <c r="G2540" s="6">
        <f>ROUND(F2540-D2540,2)</f>
        <v/>
      </c>
    </row>
    <row r="2541">
      <c r="A2541" t="inlineStr">
        <is>
          <t>2022-07-31</t>
        </is>
      </c>
      <c r="B2541" t="n">
        <v>9</v>
      </c>
      <c r="C2541" t="n">
        <v>3020</v>
      </c>
      <c r="D2541" s="6" t="n">
        <v>57.55</v>
      </c>
      <c r="E2541" s="6" t="n">
        <v>1155996.23</v>
      </c>
      <c r="F2541" s="6">
        <f>ROUND(E2541-E2540,2)</f>
        <v/>
      </c>
      <c r="G2541" s="6">
        <f>ROUND(F2541-D2541,2)</f>
        <v/>
      </c>
    </row>
    <row r="2542">
      <c r="A2542" t="inlineStr">
        <is>
          <t>2022-07-31</t>
        </is>
      </c>
      <c r="B2542" t="n">
        <v>10</v>
      </c>
      <c r="C2542" t="n">
        <v>3020</v>
      </c>
      <c r="D2542" s="6" t="n">
        <v>44.3</v>
      </c>
      <c r="E2542" s="6" t="n">
        <v>1156040.53</v>
      </c>
      <c r="F2542" s="6">
        <f>ROUND(E2542-E2541,2)</f>
        <v/>
      </c>
      <c r="G2542" s="6">
        <f>ROUND(F2542-D2542,2)</f>
        <v/>
      </c>
    </row>
    <row r="2543">
      <c r="A2543" t="inlineStr">
        <is>
          <t>2022-07-31</t>
        </is>
      </c>
      <c r="B2543" t="n">
        <v>11</v>
      </c>
      <c r="C2543" t="n">
        <v>3020</v>
      </c>
      <c r="D2543" s="6" t="n">
        <v>69</v>
      </c>
      <c r="E2543" s="6" t="n">
        <v>1156109.53</v>
      </c>
      <c r="F2543" s="6">
        <f>ROUND(E2543-E2542,2)</f>
        <v/>
      </c>
      <c r="G2543" s="6">
        <f>ROUND(F2543-D2543,2)</f>
        <v/>
      </c>
    </row>
    <row r="2544">
      <c r="A2544" t="inlineStr">
        <is>
          <t>2022-07-31</t>
        </is>
      </c>
      <c r="B2544" t="n">
        <v>12</v>
      </c>
      <c r="C2544" t="n">
        <v>3020</v>
      </c>
      <c r="D2544" s="6" t="n">
        <v>116.1</v>
      </c>
      <c r="E2544" s="6" t="n">
        <v>1156225.63</v>
      </c>
      <c r="F2544" s="6">
        <f>ROUND(E2544-E2543,2)</f>
        <v/>
      </c>
      <c r="G2544" s="6">
        <f>ROUND(F2544-D2544,2)</f>
        <v/>
      </c>
    </row>
    <row r="2545">
      <c r="A2545" t="inlineStr">
        <is>
          <t>2022-07-31</t>
        </is>
      </c>
      <c r="B2545" t="n">
        <v>13</v>
      </c>
      <c r="C2545" t="n">
        <v>3020</v>
      </c>
      <c r="D2545" s="6" t="n">
        <v>78.59999999999999</v>
      </c>
      <c r="E2545" s="6" t="n">
        <v>1156304.23</v>
      </c>
      <c r="F2545" s="6">
        <f>ROUND(E2545-E2544,2)</f>
        <v/>
      </c>
      <c r="G2545" s="6">
        <f>ROUND(F2545-D2545,2)</f>
        <v/>
      </c>
    </row>
    <row r="2546">
      <c r="A2546" t="inlineStr">
        <is>
          <t>2022-07-31</t>
        </is>
      </c>
      <c r="B2546" t="n">
        <v>14</v>
      </c>
      <c r="C2546" t="n">
        <v>3020</v>
      </c>
      <c r="D2546" s="6" t="n">
        <v>53.7</v>
      </c>
      <c r="E2546" s="6" t="n">
        <v>1156357.93</v>
      </c>
      <c r="F2546" s="6">
        <f>ROUND(E2546-E2545,2)</f>
        <v/>
      </c>
      <c r="G2546" s="6">
        <f>ROUND(F2546-D2546,2)</f>
        <v/>
      </c>
    </row>
    <row r="2547">
      <c r="A2547" t="inlineStr">
        <is>
          <t>2022-07-31</t>
        </is>
      </c>
      <c r="B2547" t="n">
        <v>15</v>
      </c>
      <c r="C2547" t="n">
        <v>3020</v>
      </c>
      <c r="D2547" s="6" t="n">
        <v>268.9</v>
      </c>
      <c r="E2547" s="6" t="n">
        <v>1156626.83</v>
      </c>
      <c r="F2547" s="6">
        <f>ROUND(E2547-E2546,2)</f>
        <v/>
      </c>
      <c r="G2547" s="6">
        <f>ROUND(F2547-D2547,2)</f>
        <v/>
      </c>
    </row>
    <row r="2548">
      <c r="A2548" t="inlineStr">
        <is>
          <t>2022-07-31</t>
        </is>
      </c>
      <c r="B2548" t="n">
        <v>16</v>
      </c>
      <c r="C2548" t="n">
        <v>3020</v>
      </c>
      <c r="D2548" s="6" t="n">
        <v>18.9</v>
      </c>
      <c r="E2548" s="6" t="n">
        <v>1156645.73</v>
      </c>
      <c r="F2548" s="6">
        <f>ROUND(E2548-E2547,2)</f>
        <v/>
      </c>
      <c r="G2548" s="6">
        <f>ROUND(F2548-D2548,2)</f>
        <v/>
      </c>
    </row>
    <row r="2549">
      <c r="A2549" t="inlineStr">
        <is>
          <t>2022-07-31</t>
        </is>
      </c>
      <c r="B2549" t="n">
        <v>17</v>
      </c>
      <c r="C2549" t="n">
        <v>3020</v>
      </c>
      <c r="D2549" s="6" t="n">
        <v>118.8</v>
      </c>
      <c r="E2549" s="6" t="n">
        <v>1156764.53</v>
      </c>
      <c r="F2549" s="6">
        <f>ROUND(E2549-E2548,2)</f>
        <v/>
      </c>
      <c r="G2549" s="6">
        <f>ROUND(F2549-D2549,2)</f>
        <v/>
      </c>
    </row>
    <row r="2550">
      <c r="A2550" t="inlineStr">
        <is>
          <t>2022-07-31</t>
        </is>
      </c>
      <c r="B2550" t="n">
        <v>18</v>
      </c>
      <c r="C2550" t="n">
        <v>3020</v>
      </c>
      <c r="D2550" s="6" t="n">
        <v>52.2</v>
      </c>
      <c r="E2550" s="6" t="n">
        <v>1156816.73</v>
      </c>
      <c r="F2550" s="6">
        <f>ROUND(E2550-E2549,2)</f>
        <v/>
      </c>
      <c r="G2550" s="6">
        <f>ROUND(F2550-D2550,2)</f>
        <v/>
      </c>
    </row>
    <row r="2551">
      <c r="A2551" t="inlineStr">
        <is>
          <t>2022-07-31</t>
        </is>
      </c>
      <c r="B2551" t="n">
        <v>19</v>
      </c>
      <c r="C2551" t="n">
        <v>3020</v>
      </c>
      <c r="D2551" s="6" t="n">
        <v>37.8</v>
      </c>
      <c r="E2551" s="6" t="n">
        <v>1156854.53</v>
      </c>
      <c r="F2551" s="6">
        <f>ROUND(E2551-E2550,2)</f>
        <v/>
      </c>
      <c r="G2551" s="6">
        <f>ROUND(F2551-D2551,2)</f>
        <v/>
      </c>
    </row>
    <row r="2552">
      <c r="A2552" t="inlineStr">
        <is>
          <t>2022-07-31</t>
        </is>
      </c>
      <c r="B2552" t="n">
        <v>20</v>
      </c>
      <c r="C2552" t="n">
        <v>3020</v>
      </c>
      <c r="D2552" s="6" t="n">
        <v>14.7</v>
      </c>
      <c r="E2552" s="6" t="n">
        <v>1156869.23</v>
      </c>
      <c r="F2552" s="6">
        <f>ROUND(E2552-E2551,2)</f>
        <v/>
      </c>
      <c r="G2552" s="6">
        <f>ROUND(F2552-D2552,2)</f>
        <v/>
      </c>
    </row>
    <row r="2553">
      <c r="A2553" t="inlineStr">
        <is>
          <t>2022-07-31</t>
        </is>
      </c>
      <c r="B2553" t="n">
        <v>21</v>
      </c>
      <c r="C2553" t="n">
        <v>3020</v>
      </c>
      <c r="D2553" s="6" t="n">
        <v>69.40000000000001</v>
      </c>
      <c r="E2553" s="6" t="n">
        <v>1156938.63</v>
      </c>
      <c r="F2553" s="6">
        <f>ROUND(E2553-E2552,2)</f>
        <v/>
      </c>
      <c r="G2553" s="6">
        <f>ROUND(F2553-D2553,2)</f>
        <v/>
      </c>
    </row>
    <row r="2554">
      <c r="A2554" t="inlineStr">
        <is>
          <t>2022-07-31</t>
        </is>
      </c>
      <c r="B2554" t="n">
        <v>22</v>
      </c>
      <c r="C2554" t="n">
        <v>3020</v>
      </c>
      <c r="D2554" s="6" t="n">
        <v>94.3</v>
      </c>
      <c r="E2554" s="6" t="n">
        <v>1157032.93</v>
      </c>
      <c r="F2554" s="6">
        <f>ROUND(E2554-E2553,2)</f>
        <v/>
      </c>
      <c r="G2554" s="6">
        <f>ROUND(F2554-D2554,2)</f>
        <v/>
      </c>
    </row>
    <row r="2555">
      <c r="A2555" t="inlineStr">
        <is>
          <t>2022-07-31</t>
        </is>
      </c>
      <c r="B2555" t="n">
        <v>23</v>
      </c>
      <c r="C2555" t="n">
        <v>3020</v>
      </c>
      <c r="D2555" s="6" t="n">
        <v>49.5</v>
      </c>
      <c r="E2555" s="6" t="n">
        <v>1157082.43</v>
      </c>
      <c r="F2555" s="6">
        <f>ROUND(E2555-E2554,2)</f>
        <v/>
      </c>
      <c r="G2555" s="6">
        <f>ROUND(F2555-D2555,2)</f>
        <v/>
      </c>
    </row>
    <row r="2556">
      <c r="A2556" t="inlineStr">
        <is>
          <t>2022-07-31</t>
        </is>
      </c>
      <c r="B2556" t="n">
        <v>24</v>
      </c>
      <c r="C2556" t="n">
        <v>3020</v>
      </c>
      <c r="D2556" s="6" t="n">
        <v>58.8</v>
      </c>
      <c r="E2556" s="6" t="n">
        <v>1157141.23</v>
      </c>
      <c r="F2556" s="6">
        <f>ROUND(E2556-E2555,2)</f>
        <v/>
      </c>
      <c r="G2556" s="6">
        <f>ROUND(F2556-D2556,2)</f>
        <v/>
      </c>
    </row>
    <row r="2557">
      <c r="A2557" t="inlineStr">
        <is>
          <t>2022-07-31</t>
        </is>
      </c>
      <c r="B2557" t="n">
        <v>25</v>
      </c>
      <c r="C2557" t="n">
        <v>3020</v>
      </c>
      <c r="D2557" s="6" t="n">
        <v>41.5</v>
      </c>
      <c r="E2557" s="6" t="n">
        <v>1157182.73</v>
      </c>
      <c r="F2557" s="6">
        <f>ROUND(E2557-E2556,2)</f>
        <v/>
      </c>
      <c r="G2557" s="6">
        <f>ROUND(F2557-D2557,2)</f>
        <v/>
      </c>
    </row>
    <row r="2558">
      <c r="A2558" t="inlineStr">
        <is>
          <t>2022-07-31</t>
        </is>
      </c>
      <c r="B2558" t="n">
        <v>26</v>
      </c>
      <c r="C2558" t="n">
        <v>3020</v>
      </c>
      <c r="D2558" s="6" t="n">
        <v>118.5</v>
      </c>
      <c r="E2558" s="6" t="n">
        <v>1157301.23</v>
      </c>
      <c r="F2558" s="6">
        <f>ROUND(E2558-E2557,2)</f>
        <v/>
      </c>
      <c r="G2558" s="6">
        <f>ROUND(F2558-D2558,2)</f>
        <v/>
      </c>
    </row>
    <row r="2559">
      <c r="A2559" t="inlineStr">
        <is>
          <t>2022-07-31</t>
        </is>
      </c>
      <c r="B2559" t="n">
        <v>27</v>
      </c>
      <c r="C2559" t="n">
        <v>3020</v>
      </c>
      <c r="D2559" s="6" t="n">
        <v>131.6</v>
      </c>
      <c r="E2559" s="6" t="n">
        <v>1157432.83</v>
      </c>
      <c r="F2559" s="6">
        <f>ROUND(E2559-E2558,2)</f>
        <v/>
      </c>
      <c r="G2559" s="6">
        <f>ROUND(F2559-D2559,2)</f>
        <v/>
      </c>
    </row>
    <row r="2560">
      <c r="A2560" t="inlineStr">
        <is>
          <t>2022-07-31</t>
        </is>
      </c>
      <c r="B2560" t="n">
        <v>28</v>
      </c>
      <c r="C2560" t="n">
        <v>3020</v>
      </c>
      <c r="D2560" s="6" t="n">
        <v>72.90000000000001</v>
      </c>
      <c r="E2560" s="6" t="n">
        <v>1157505.73</v>
      </c>
      <c r="F2560" s="6">
        <f>ROUND(E2560-E2559,2)</f>
        <v/>
      </c>
      <c r="G2560" s="6">
        <f>ROUND(F2560-D2560,2)</f>
        <v/>
      </c>
    </row>
    <row r="2561">
      <c r="A2561" t="inlineStr">
        <is>
          <t>2022-07-31</t>
        </is>
      </c>
      <c r="B2561" t="n">
        <v>29</v>
      </c>
      <c r="C2561" t="n">
        <v>3020</v>
      </c>
      <c r="D2561" s="6" t="n">
        <v>79.40000000000001</v>
      </c>
      <c r="E2561" s="6" t="n">
        <v>1157585.13</v>
      </c>
      <c r="F2561" s="6">
        <f>ROUND(E2561-E2560,2)</f>
        <v/>
      </c>
      <c r="G2561" s="6">
        <f>ROUND(F2561-D2561,2)</f>
        <v/>
      </c>
    </row>
    <row r="2562">
      <c r="A2562" t="inlineStr">
        <is>
          <t>2022-07-31</t>
        </is>
      </c>
      <c r="B2562" t="n">
        <v>30</v>
      </c>
      <c r="C2562" t="n">
        <v>3020</v>
      </c>
      <c r="D2562" s="6" t="n">
        <v>63</v>
      </c>
      <c r="E2562" s="6" t="n">
        <v>1157648.13</v>
      </c>
      <c r="F2562" s="6">
        <f>ROUND(E2562-E2561,2)</f>
        <v/>
      </c>
      <c r="G2562" s="6">
        <f>ROUND(F2562-D2562,2)</f>
        <v/>
      </c>
    </row>
    <row r="2563">
      <c r="A2563" t="inlineStr">
        <is>
          <t>2022-07-31</t>
        </is>
      </c>
      <c r="B2563" t="n">
        <v>31</v>
      </c>
      <c r="C2563" t="n">
        <v>3020</v>
      </c>
      <c r="D2563" s="6" t="n">
        <v>91.7</v>
      </c>
      <c r="E2563" s="6" t="n">
        <v>1157739.83</v>
      </c>
      <c r="F2563" s="6">
        <f>ROUND(E2563-E2562,2)</f>
        <v/>
      </c>
      <c r="G2563" s="6">
        <f>ROUND(F2563-D2563,2)</f>
        <v/>
      </c>
    </row>
    <row r="2564">
      <c r="A2564" t="inlineStr">
        <is>
          <t>2022-07-31</t>
        </is>
      </c>
      <c r="B2564" t="n">
        <v>32</v>
      </c>
      <c r="C2564" t="n">
        <v>3020</v>
      </c>
      <c r="D2564" s="6" t="n">
        <v>45</v>
      </c>
      <c r="E2564" s="6" t="n">
        <v>1157784.83</v>
      </c>
      <c r="F2564" s="6">
        <f>ROUND(E2564-E2563,2)</f>
        <v/>
      </c>
      <c r="G2564" s="6">
        <f>ROUND(F2564-D2564,2)</f>
        <v/>
      </c>
    </row>
    <row r="2565">
      <c r="A2565" t="inlineStr">
        <is>
          <t>2022-07-31</t>
        </is>
      </c>
      <c r="B2565" t="n">
        <v>33</v>
      </c>
      <c r="C2565" t="n">
        <v>3020</v>
      </c>
      <c r="D2565" s="6" t="n">
        <v>57.2</v>
      </c>
      <c r="E2565" s="6" t="n">
        <v>1157842.03</v>
      </c>
      <c r="F2565" s="6">
        <f>ROUND(E2565-E2564,2)</f>
        <v/>
      </c>
      <c r="G2565" s="6">
        <f>ROUND(F2565-D2565,2)</f>
        <v/>
      </c>
    </row>
    <row r="2566">
      <c r="A2566" t="inlineStr">
        <is>
          <t>2022-07-31</t>
        </is>
      </c>
      <c r="B2566" t="n">
        <v>34</v>
      </c>
      <c r="C2566" t="n">
        <v>3020</v>
      </c>
      <c r="D2566" s="6" t="n">
        <v>12.2</v>
      </c>
      <c r="E2566" s="6" t="n">
        <v>1157854.23</v>
      </c>
      <c r="F2566" s="6">
        <f>ROUND(E2566-E2565,2)</f>
        <v/>
      </c>
      <c r="G2566" s="6">
        <f>ROUND(F2566-D2566,2)</f>
        <v/>
      </c>
    </row>
    <row r="2567">
      <c r="A2567" t="inlineStr">
        <is>
          <t>2022-07-31</t>
        </is>
      </c>
      <c r="B2567" t="n">
        <v>35</v>
      </c>
      <c r="C2567" t="n">
        <v>3020</v>
      </c>
      <c r="D2567" s="6" t="n">
        <v>29.7</v>
      </c>
      <c r="E2567" s="6" t="n">
        <v>1157883.93</v>
      </c>
      <c r="F2567" s="6">
        <f>ROUND(E2567-E2566,2)</f>
        <v/>
      </c>
      <c r="G2567" s="6">
        <f>ROUND(F2567-D2567,2)</f>
        <v/>
      </c>
    </row>
    <row r="2568">
      <c r="A2568" t="inlineStr">
        <is>
          <t>2022-07-31</t>
        </is>
      </c>
      <c r="B2568" t="n">
        <v>36</v>
      </c>
      <c r="C2568" t="n">
        <v>3020</v>
      </c>
      <c r="D2568" s="6" t="n">
        <v>73.8</v>
      </c>
      <c r="E2568" s="6" t="n">
        <v>1157957.73</v>
      </c>
      <c r="F2568" s="6">
        <f>ROUND(E2568-E2567,2)</f>
        <v/>
      </c>
      <c r="G2568" s="6">
        <f>ROUND(F2568-D2568,2)</f>
        <v/>
      </c>
    </row>
    <row r="2569">
      <c r="A2569" t="inlineStr">
        <is>
          <t>2022-08-02</t>
        </is>
      </c>
      <c r="B2569" t="n">
        <v>1</v>
      </c>
      <c r="C2569" t="n">
        <v>3021</v>
      </c>
      <c r="D2569" s="6" t="n">
        <v>46.6</v>
      </c>
      <c r="E2569" s="6" t="n">
        <v>1158004.33</v>
      </c>
      <c r="F2569" s="6">
        <f>ROUND(E2569-E2568,2)</f>
        <v/>
      </c>
      <c r="G2569" s="6">
        <f>ROUND(F2569-D2569,2)</f>
        <v/>
      </c>
    </row>
    <row r="2570">
      <c r="A2570" t="inlineStr">
        <is>
          <t>2022-08-02</t>
        </is>
      </c>
      <c r="B2570" t="n">
        <v>2</v>
      </c>
      <c r="C2570" t="n">
        <v>3021</v>
      </c>
      <c r="D2570" s="6" t="n">
        <v>68.7</v>
      </c>
      <c r="E2570" s="6" t="n">
        <v>1158073.03</v>
      </c>
      <c r="F2570" s="6">
        <f>ROUND(E2570-E2569,2)</f>
        <v/>
      </c>
      <c r="G2570" s="6">
        <f>ROUND(F2570-D2570,2)</f>
        <v/>
      </c>
    </row>
    <row r="2571">
      <c r="A2571" t="inlineStr">
        <is>
          <t>2022-08-02</t>
        </is>
      </c>
      <c r="B2571" t="n">
        <v>3</v>
      </c>
      <c r="C2571" t="n">
        <v>3021</v>
      </c>
      <c r="D2571" s="6" t="n">
        <v>65.40000000000001</v>
      </c>
      <c r="E2571" s="6" t="n">
        <v>1158138.43</v>
      </c>
      <c r="F2571" s="6">
        <f>ROUND(E2571-E2570,2)</f>
        <v/>
      </c>
      <c r="G2571" s="6">
        <f>ROUND(F2571-D2571,2)</f>
        <v/>
      </c>
    </row>
    <row r="2572">
      <c r="A2572" t="inlineStr">
        <is>
          <t>2022-08-02</t>
        </is>
      </c>
      <c r="B2572" t="n">
        <v>4</v>
      </c>
      <c r="C2572" t="n">
        <v>3021</v>
      </c>
      <c r="D2572" s="6" t="n">
        <v>53.7</v>
      </c>
      <c r="E2572" s="6" t="n">
        <v>1158192.13</v>
      </c>
      <c r="F2572" s="6">
        <f>ROUND(E2572-E2571,2)</f>
        <v/>
      </c>
      <c r="G2572" s="6">
        <f>ROUND(F2572-D2572,2)</f>
        <v/>
      </c>
    </row>
    <row r="2573">
      <c r="A2573" t="inlineStr">
        <is>
          <t>2022-08-02</t>
        </is>
      </c>
      <c r="B2573" t="n">
        <v>5</v>
      </c>
      <c r="C2573" t="n">
        <v>3021</v>
      </c>
      <c r="D2573" s="6" t="n">
        <v>63.8</v>
      </c>
      <c r="E2573" s="6" t="n">
        <v>1158255.93</v>
      </c>
      <c r="F2573" s="6">
        <f>ROUND(E2573-E2572,2)</f>
        <v/>
      </c>
      <c r="G2573" s="6">
        <f>ROUND(F2573-D2573,2)</f>
        <v/>
      </c>
    </row>
    <row r="2574">
      <c r="A2574" t="inlineStr">
        <is>
          <t>2022-08-02</t>
        </is>
      </c>
      <c r="B2574" t="n">
        <v>6</v>
      </c>
      <c r="C2574" t="n">
        <v>3021</v>
      </c>
      <c r="D2574" s="6" t="n">
        <v>32.25</v>
      </c>
      <c r="E2574" s="6" t="n">
        <v>1158288.18</v>
      </c>
      <c r="F2574" s="6">
        <f>ROUND(E2574-E2573,2)</f>
        <v/>
      </c>
      <c r="G2574" s="6">
        <f>ROUND(F2574-D2574,2)</f>
        <v/>
      </c>
    </row>
    <row r="2575">
      <c r="A2575" t="inlineStr">
        <is>
          <t>2022-08-02</t>
        </is>
      </c>
      <c r="B2575" t="n">
        <v>7</v>
      </c>
      <c r="C2575" t="n">
        <v>3021</v>
      </c>
      <c r="D2575" s="6" t="n">
        <v>32.25</v>
      </c>
      <c r="E2575" s="6" t="n">
        <v>1158320.43</v>
      </c>
      <c r="F2575" s="6">
        <f>ROUND(E2575-E2574,2)</f>
        <v/>
      </c>
      <c r="G2575" s="6">
        <f>ROUND(F2575-D2575,2)</f>
        <v/>
      </c>
    </row>
    <row r="2576">
      <c r="A2576" t="inlineStr">
        <is>
          <t>2022-08-02</t>
        </is>
      </c>
      <c r="B2576" t="n">
        <v>8</v>
      </c>
      <c r="C2576" t="n">
        <v>3021</v>
      </c>
      <c r="D2576" s="6" t="n">
        <v>65.2</v>
      </c>
      <c r="E2576" s="6" t="n">
        <v>1158385.63</v>
      </c>
      <c r="F2576" s="6">
        <f>ROUND(E2576-E2575,2)</f>
        <v/>
      </c>
      <c r="G2576" s="6">
        <f>ROUND(F2576-D2576,2)</f>
        <v/>
      </c>
    </row>
    <row r="2577">
      <c r="A2577" t="inlineStr">
        <is>
          <t>2022-08-02</t>
        </is>
      </c>
      <c r="B2577" t="n">
        <v>9</v>
      </c>
      <c r="C2577" t="n">
        <v>3021</v>
      </c>
      <c r="D2577" s="6" t="n">
        <v>38.3</v>
      </c>
      <c r="E2577" s="6" t="n">
        <v>1158423.93</v>
      </c>
      <c r="F2577" s="6">
        <f>ROUND(E2577-E2576,2)</f>
        <v/>
      </c>
      <c r="G2577" s="6">
        <f>ROUND(F2577-D2577,2)</f>
        <v/>
      </c>
    </row>
    <row r="2578">
      <c r="A2578" t="inlineStr">
        <is>
          <t>2022-08-02</t>
        </is>
      </c>
      <c r="B2578" t="n">
        <v>10</v>
      </c>
      <c r="C2578" t="n">
        <v>3021</v>
      </c>
      <c r="D2578" s="6" t="n">
        <v>84.09999999999999</v>
      </c>
      <c r="E2578" s="6" t="n">
        <v>1158508.03</v>
      </c>
      <c r="F2578" s="6">
        <f>ROUND(E2578-E2577,2)</f>
        <v/>
      </c>
      <c r="G2578" s="6">
        <f>ROUND(F2578-D2578,2)</f>
        <v/>
      </c>
    </row>
    <row r="2579">
      <c r="A2579" t="inlineStr">
        <is>
          <t>2022-08-02</t>
        </is>
      </c>
      <c r="B2579" t="n">
        <v>11</v>
      </c>
      <c r="C2579" t="n">
        <v>3021</v>
      </c>
      <c r="D2579" s="6" t="n">
        <v>60</v>
      </c>
      <c r="E2579" s="6" t="n">
        <v>1158568.03</v>
      </c>
      <c r="F2579" s="6">
        <f>ROUND(E2579-E2578,2)</f>
        <v/>
      </c>
      <c r="G2579" s="6">
        <f>ROUND(F2579-D2579,2)</f>
        <v/>
      </c>
    </row>
    <row r="2580">
      <c r="A2580" t="inlineStr">
        <is>
          <t>2022-08-02</t>
        </is>
      </c>
      <c r="B2580" t="n">
        <v>12</v>
      </c>
      <c r="C2580" t="n">
        <v>3021</v>
      </c>
      <c r="D2580" s="6" t="n">
        <v>115.3</v>
      </c>
      <c r="E2580" s="6" t="n">
        <v>1158683.33</v>
      </c>
      <c r="F2580" s="6">
        <f>ROUND(E2580-E2579,2)</f>
        <v/>
      </c>
      <c r="G2580" s="6">
        <f>ROUND(F2580-D2580,2)</f>
        <v/>
      </c>
    </row>
    <row r="2581">
      <c r="A2581" t="inlineStr">
        <is>
          <t>2022-08-02</t>
        </is>
      </c>
      <c r="B2581" t="n">
        <v>13</v>
      </c>
      <c r="C2581" t="n">
        <v>3021</v>
      </c>
      <c r="D2581" s="6" t="n">
        <v>78.09999999999999</v>
      </c>
      <c r="E2581" s="6" t="n">
        <v>1158761.43</v>
      </c>
      <c r="F2581" s="6">
        <f>ROUND(E2581-E2580,2)</f>
        <v/>
      </c>
      <c r="G2581" s="6">
        <f>ROUND(F2581-D2581,2)</f>
        <v/>
      </c>
    </row>
    <row r="2582">
      <c r="A2582" t="inlineStr">
        <is>
          <t>2022-08-02</t>
        </is>
      </c>
      <c r="B2582" t="n">
        <v>14</v>
      </c>
      <c r="C2582" t="n">
        <v>3021</v>
      </c>
      <c r="D2582" s="6" t="n">
        <v>83.3</v>
      </c>
      <c r="E2582" s="6" t="n">
        <v>1158844.73</v>
      </c>
      <c r="F2582" s="6">
        <f>ROUND(E2582-E2581,2)</f>
        <v/>
      </c>
      <c r="G2582" s="6">
        <f>ROUND(F2582-D2582,2)</f>
        <v/>
      </c>
    </row>
    <row r="2583">
      <c r="A2583" t="inlineStr">
        <is>
          <t>2022-08-02</t>
        </is>
      </c>
      <c r="B2583" t="n">
        <v>15</v>
      </c>
      <c r="C2583" t="n">
        <v>3021</v>
      </c>
      <c r="D2583" s="6" t="n">
        <v>110.3</v>
      </c>
      <c r="E2583" s="6" t="n">
        <v>1158955.03</v>
      </c>
      <c r="F2583" s="6">
        <f>ROUND(E2583-E2582,2)</f>
        <v/>
      </c>
      <c r="G2583" s="6">
        <f>ROUND(F2583-D2583,2)</f>
        <v/>
      </c>
    </row>
    <row r="2584">
      <c r="A2584" t="inlineStr">
        <is>
          <t>2022-08-02</t>
        </is>
      </c>
      <c r="B2584" t="n">
        <v>16</v>
      </c>
      <c r="C2584" t="n">
        <v>3021</v>
      </c>
      <c r="D2584" s="6" t="n">
        <v>52.8</v>
      </c>
      <c r="E2584" s="6" t="n">
        <v>1159007.83</v>
      </c>
      <c r="F2584" s="6">
        <f>ROUND(E2584-E2583,2)</f>
        <v/>
      </c>
      <c r="G2584" s="6">
        <f>ROUND(F2584-D2584,2)</f>
        <v/>
      </c>
    </row>
    <row r="2585">
      <c r="A2585" t="inlineStr">
        <is>
          <t>2022-08-02</t>
        </is>
      </c>
      <c r="B2585" t="n">
        <v>17</v>
      </c>
      <c r="C2585" t="n">
        <v>3021</v>
      </c>
      <c r="D2585" s="6" t="n">
        <v>95.3</v>
      </c>
      <c r="E2585" s="6" t="n">
        <v>1159103.13</v>
      </c>
      <c r="F2585" s="6">
        <f>ROUND(E2585-E2584,2)</f>
        <v/>
      </c>
      <c r="G2585" s="6">
        <f>ROUND(F2585-D2585,2)</f>
        <v/>
      </c>
    </row>
    <row r="2586">
      <c r="A2586" t="inlineStr">
        <is>
          <t>2022-08-02</t>
        </is>
      </c>
      <c r="B2586" t="n">
        <v>18</v>
      </c>
      <c r="C2586" t="n">
        <v>3021</v>
      </c>
      <c r="D2586" s="6" t="n">
        <v>52.1</v>
      </c>
      <c r="E2586" s="6" t="n">
        <v>1159155.23</v>
      </c>
      <c r="F2586" s="6">
        <f>ROUND(E2586-E2585,2)</f>
        <v/>
      </c>
      <c r="G2586" s="6">
        <f>ROUND(F2586-D2586,2)</f>
        <v/>
      </c>
    </row>
    <row r="2587">
      <c r="A2587" t="inlineStr">
        <is>
          <t>2022-08-02</t>
        </is>
      </c>
      <c r="B2587" t="n">
        <v>19</v>
      </c>
      <c r="C2587" t="n">
        <v>3021</v>
      </c>
      <c r="D2587" s="6" t="n">
        <v>82.40000000000001</v>
      </c>
      <c r="E2587" s="6" t="n">
        <v>1159237.63</v>
      </c>
      <c r="F2587" s="6">
        <f>ROUND(E2587-E2586,2)</f>
        <v/>
      </c>
      <c r="G2587" s="6">
        <f>ROUND(F2587-D2587,2)</f>
        <v/>
      </c>
    </row>
    <row r="2588">
      <c r="A2588" t="inlineStr">
        <is>
          <t>2022-08-02</t>
        </is>
      </c>
      <c r="B2588" t="n">
        <v>20</v>
      </c>
      <c r="C2588" t="n">
        <v>3021</v>
      </c>
      <c r="D2588" s="6" t="n">
        <v>51.4</v>
      </c>
      <c r="E2588" s="6" t="n">
        <v>1159289.03</v>
      </c>
      <c r="F2588" s="6">
        <f>ROUND(E2588-E2587,2)</f>
        <v/>
      </c>
      <c r="G2588" s="6">
        <f>ROUND(F2588-D2588,2)</f>
        <v/>
      </c>
    </row>
    <row r="2589">
      <c r="A2589" t="inlineStr">
        <is>
          <t>2022-08-02</t>
        </is>
      </c>
      <c r="B2589" t="n">
        <v>21</v>
      </c>
      <c r="C2589" t="n">
        <v>3021</v>
      </c>
      <c r="D2589" s="6" t="n">
        <v>46.9</v>
      </c>
      <c r="E2589" s="6" t="n">
        <v>1159335.93</v>
      </c>
      <c r="F2589" s="6">
        <f>ROUND(E2589-E2588,2)</f>
        <v/>
      </c>
      <c r="G2589" s="6">
        <f>ROUND(F2589-D2589,2)</f>
        <v/>
      </c>
    </row>
    <row r="2590">
      <c r="A2590" t="inlineStr">
        <is>
          <t>2022-08-02</t>
        </is>
      </c>
      <c r="B2590" t="n">
        <v>22</v>
      </c>
      <c r="C2590" t="n">
        <v>3021</v>
      </c>
      <c r="D2590" s="6" t="n">
        <v>58.4</v>
      </c>
      <c r="E2590" s="6" t="n">
        <v>1159394.33</v>
      </c>
      <c r="F2590" s="6">
        <f>ROUND(E2590-E2589,2)</f>
        <v/>
      </c>
      <c r="G2590" s="6">
        <f>ROUND(F2590-D2590,2)</f>
        <v/>
      </c>
    </row>
    <row r="2591">
      <c r="A2591" t="inlineStr">
        <is>
          <t>2022-08-02</t>
        </is>
      </c>
      <c r="B2591" t="n">
        <v>23</v>
      </c>
      <c r="C2591" t="n">
        <v>3021</v>
      </c>
      <c r="D2591" s="6" t="n">
        <v>96.3</v>
      </c>
      <c r="E2591" s="6" t="n">
        <v>1159490.63</v>
      </c>
      <c r="F2591" s="6">
        <f>ROUND(E2591-E2590,2)</f>
        <v/>
      </c>
      <c r="G2591" s="6">
        <f>ROUND(F2591-D2591,2)</f>
        <v/>
      </c>
    </row>
    <row r="2592">
      <c r="A2592" t="inlineStr">
        <is>
          <t>2022-08-02</t>
        </is>
      </c>
      <c r="B2592" t="n">
        <v>24</v>
      </c>
      <c r="C2592" t="n">
        <v>3021</v>
      </c>
      <c r="D2592" s="6" t="n">
        <v>43.5</v>
      </c>
      <c r="E2592" s="6" t="n">
        <v>1159534.13</v>
      </c>
      <c r="F2592" s="6">
        <f>ROUND(E2592-E2591,2)</f>
        <v/>
      </c>
      <c r="G2592" s="6">
        <f>ROUND(F2592-D2592,2)</f>
        <v/>
      </c>
    </row>
    <row r="2593">
      <c r="A2593" t="inlineStr">
        <is>
          <t>2022-08-02</t>
        </is>
      </c>
      <c r="B2593" t="n">
        <v>25</v>
      </c>
      <c r="C2593" t="n">
        <v>3021</v>
      </c>
      <c r="D2593" s="6" t="n">
        <v>58</v>
      </c>
      <c r="E2593" s="6" t="n">
        <v>1159592.13</v>
      </c>
      <c r="F2593" s="6">
        <f>ROUND(E2593-E2592,2)</f>
        <v/>
      </c>
      <c r="G2593" s="6">
        <f>ROUND(F2593-D2593,2)</f>
        <v/>
      </c>
    </row>
    <row r="2594">
      <c r="A2594" t="inlineStr">
        <is>
          <t>2022-08-02</t>
        </is>
      </c>
      <c r="B2594" t="n">
        <v>26</v>
      </c>
      <c r="C2594" t="n">
        <v>3021</v>
      </c>
      <c r="D2594" s="6" t="n">
        <v>71.05</v>
      </c>
      <c r="E2594" s="6" t="n">
        <v>1159663.18</v>
      </c>
      <c r="F2594" s="6">
        <f>ROUND(E2594-E2593,2)</f>
        <v/>
      </c>
      <c r="G2594" s="6">
        <f>ROUND(F2594-D2594,2)</f>
        <v/>
      </c>
    </row>
    <row r="2595">
      <c r="A2595" t="inlineStr">
        <is>
          <t>2022-08-02</t>
        </is>
      </c>
      <c r="B2595" t="n">
        <v>27</v>
      </c>
      <c r="C2595" t="n">
        <v>3021</v>
      </c>
      <c r="D2595" s="6" t="n">
        <v>71.05</v>
      </c>
      <c r="E2595" s="6" t="n">
        <v>1159734.23</v>
      </c>
      <c r="F2595" s="6">
        <f>ROUND(E2595-E2594,2)</f>
        <v/>
      </c>
      <c r="G2595" s="6">
        <f>ROUND(F2595-D2595,2)</f>
        <v/>
      </c>
    </row>
    <row r="2596">
      <c r="A2596" t="inlineStr">
        <is>
          <t>2022-08-02</t>
        </is>
      </c>
      <c r="B2596" t="n">
        <v>28</v>
      </c>
      <c r="C2596" t="n">
        <v>3021</v>
      </c>
      <c r="D2596" s="6" t="n">
        <v>134.8</v>
      </c>
      <c r="E2596" s="6" t="n">
        <v>1159869.03</v>
      </c>
      <c r="F2596" s="6">
        <f>ROUND(E2596-E2595,2)</f>
        <v/>
      </c>
      <c r="G2596" s="6">
        <f>ROUND(F2596-D2596,2)</f>
        <v/>
      </c>
    </row>
    <row r="2597">
      <c r="A2597" t="inlineStr">
        <is>
          <t>2022-08-02</t>
        </is>
      </c>
      <c r="B2597" t="n">
        <v>29</v>
      </c>
      <c r="C2597" t="n">
        <v>3021</v>
      </c>
      <c r="D2597" s="6" t="n">
        <v>35.35</v>
      </c>
      <c r="E2597" s="6" t="n">
        <v>1159904.38</v>
      </c>
      <c r="F2597" s="6">
        <f>ROUND(E2597-E2596,2)</f>
        <v/>
      </c>
      <c r="G2597" s="6">
        <f>ROUND(F2597-D2597,2)</f>
        <v/>
      </c>
    </row>
    <row r="2598">
      <c r="A2598" t="inlineStr">
        <is>
          <t>2022-08-02</t>
        </is>
      </c>
      <c r="B2598" t="n">
        <v>30</v>
      </c>
      <c r="C2598" t="n">
        <v>3021</v>
      </c>
      <c r="D2598" s="6" t="n">
        <v>35.35</v>
      </c>
      <c r="E2598" s="6" t="n">
        <v>1159939.73</v>
      </c>
      <c r="F2598" s="6">
        <f>ROUND(E2598-E2597,2)</f>
        <v/>
      </c>
      <c r="G2598" s="6">
        <f>ROUND(F2598-D2598,2)</f>
        <v/>
      </c>
    </row>
    <row r="2599">
      <c r="A2599" t="inlineStr">
        <is>
          <t>2022-08-02</t>
        </is>
      </c>
      <c r="B2599" t="n">
        <v>31</v>
      </c>
      <c r="C2599" t="n">
        <v>3021</v>
      </c>
      <c r="D2599" s="6" t="n">
        <v>147.9</v>
      </c>
      <c r="E2599" s="6" t="n">
        <v>1160087.63</v>
      </c>
      <c r="F2599" s="6">
        <f>ROUND(E2599-E2598,2)</f>
        <v/>
      </c>
      <c r="G2599" s="6">
        <f>ROUND(F2599-D2599,2)</f>
        <v/>
      </c>
    </row>
    <row r="2600">
      <c r="A2600" t="inlineStr">
        <is>
          <t>2022-08-02</t>
        </is>
      </c>
      <c r="B2600" t="n">
        <v>32</v>
      </c>
      <c r="C2600" t="n">
        <v>3021</v>
      </c>
      <c r="D2600" s="6" t="n">
        <v>131</v>
      </c>
      <c r="E2600" s="6" t="n">
        <v>1160218.63</v>
      </c>
      <c r="F2600" s="6">
        <f>ROUND(E2600-E2599,2)</f>
        <v/>
      </c>
      <c r="G2600" s="6">
        <f>ROUND(F2600-D2600,2)</f>
        <v/>
      </c>
    </row>
    <row r="2601">
      <c r="A2601" t="inlineStr">
        <is>
          <t>2022-08-02</t>
        </is>
      </c>
      <c r="B2601" t="n">
        <v>33</v>
      </c>
      <c r="C2601" t="n">
        <v>3021</v>
      </c>
      <c r="D2601" s="6" t="n">
        <v>78.5</v>
      </c>
      <c r="E2601" s="6" t="n">
        <v>1160297.13</v>
      </c>
      <c r="F2601" s="6">
        <f>ROUND(E2601-E2600,2)</f>
        <v/>
      </c>
      <c r="G2601" s="6">
        <f>ROUND(F2601-D2601,2)</f>
        <v/>
      </c>
    </row>
    <row r="2602">
      <c r="A2602" t="inlineStr">
        <is>
          <t>2022-08-02</t>
        </is>
      </c>
      <c r="B2602" t="n">
        <v>34</v>
      </c>
      <c r="C2602" t="n">
        <v>3021</v>
      </c>
      <c r="D2602" s="6" t="n">
        <v>125.6</v>
      </c>
      <c r="E2602" s="6" t="n">
        <v>1160422.73</v>
      </c>
      <c r="F2602" s="6">
        <f>ROUND(E2602-E2601,2)</f>
        <v/>
      </c>
      <c r="G2602" s="6">
        <f>ROUND(F2602-D2602,2)</f>
        <v/>
      </c>
    </row>
    <row r="2603">
      <c r="A2603" t="inlineStr">
        <is>
          <t>2022-08-03</t>
        </is>
      </c>
      <c r="B2603" t="n">
        <v>1</v>
      </c>
      <c r="C2603" t="n">
        <v>3022</v>
      </c>
      <c r="D2603" s="6" t="n">
        <v>15.9</v>
      </c>
      <c r="E2603" s="6" t="n">
        <v>1160438.63</v>
      </c>
      <c r="F2603" s="6">
        <f>ROUND(E2603-E2602,2)</f>
        <v/>
      </c>
      <c r="G2603" s="6">
        <f>ROUND(F2603-D2603,2)</f>
        <v/>
      </c>
    </row>
    <row r="2604">
      <c r="A2604" t="inlineStr">
        <is>
          <t>2022-08-03</t>
        </is>
      </c>
      <c r="B2604" t="n">
        <v>2</v>
      </c>
      <c r="C2604" t="n">
        <v>3022</v>
      </c>
      <c r="D2604" s="6" t="n">
        <v>50.8</v>
      </c>
      <c r="E2604" s="6" t="n">
        <v>1160489.43</v>
      </c>
      <c r="F2604" s="6">
        <f>ROUND(E2604-E2603,2)</f>
        <v/>
      </c>
      <c r="G2604" s="6">
        <f>ROUND(F2604-D2604,2)</f>
        <v/>
      </c>
    </row>
    <row r="2605">
      <c r="A2605" t="inlineStr">
        <is>
          <t>2022-08-03</t>
        </is>
      </c>
      <c r="B2605" t="n">
        <v>3</v>
      </c>
      <c r="C2605" t="n">
        <v>3022</v>
      </c>
      <c r="D2605" s="6" t="n">
        <v>41.6</v>
      </c>
      <c r="E2605" s="6" t="n">
        <v>1160531.03</v>
      </c>
      <c r="F2605" s="6">
        <f>ROUND(E2605-E2604,2)</f>
        <v/>
      </c>
      <c r="G2605" s="6">
        <f>ROUND(F2605-D2605,2)</f>
        <v/>
      </c>
    </row>
    <row r="2606">
      <c r="A2606" t="inlineStr">
        <is>
          <t>2022-08-03</t>
        </is>
      </c>
      <c r="B2606" t="n">
        <v>4</v>
      </c>
      <c r="C2606" t="n">
        <v>3022</v>
      </c>
      <c r="D2606" s="6" t="n">
        <v>42.7</v>
      </c>
      <c r="E2606" s="6" t="n">
        <v>1160573.73</v>
      </c>
      <c r="F2606" s="6">
        <f>ROUND(E2606-E2605,2)</f>
        <v/>
      </c>
      <c r="G2606" s="6">
        <f>ROUND(F2606-D2606,2)</f>
        <v/>
      </c>
    </row>
    <row r="2607">
      <c r="A2607" t="inlineStr">
        <is>
          <t>2022-08-03</t>
        </is>
      </c>
      <c r="B2607" t="n">
        <v>5</v>
      </c>
      <c r="C2607" t="n">
        <v>3022</v>
      </c>
      <c r="D2607" s="6" t="n">
        <v>43.1</v>
      </c>
      <c r="E2607" s="6" t="n">
        <v>1160616.83</v>
      </c>
      <c r="F2607" s="6">
        <f>ROUND(E2607-E2606,2)</f>
        <v/>
      </c>
      <c r="G2607" s="6">
        <f>ROUND(F2607-D2607,2)</f>
        <v/>
      </c>
    </row>
    <row r="2608">
      <c r="A2608" t="inlineStr">
        <is>
          <t>2022-08-03</t>
        </is>
      </c>
      <c r="B2608" t="n">
        <v>6</v>
      </c>
      <c r="C2608" t="n">
        <v>3022</v>
      </c>
      <c r="D2608" s="6" t="n">
        <v>37.1</v>
      </c>
      <c r="E2608" s="6" t="n">
        <v>1160653.93</v>
      </c>
      <c r="F2608" s="6">
        <f>ROUND(E2608-E2607,2)</f>
        <v/>
      </c>
      <c r="G2608" s="6">
        <f>ROUND(F2608-D2608,2)</f>
        <v/>
      </c>
    </row>
    <row r="2609">
      <c r="A2609" t="inlineStr">
        <is>
          <t>2022-08-03</t>
        </is>
      </c>
      <c r="B2609" t="n">
        <v>7</v>
      </c>
      <c r="C2609" t="n">
        <v>3022</v>
      </c>
      <c r="D2609" s="6" t="n">
        <v>37.1</v>
      </c>
      <c r="E2609" s="6" t="n">
        <v>1160691.03</v>
      </c>
      <c r="F2609" s="6">
        <f>ROUND(E2609-E2608,2)</f>
        <v/>
      </c>
      <c r="G2609" s="6">
        <f>ROUND(F2609-D2609,2)</f>
        <v/>
      </c>
    </row>
    <row r="2610">
      <c r="A2610" t="inlineStr">
        <is>
          <t>2022-08-03</t>
        </is>
      </c>
      <c r="B2610" t="n">
        <v>8</v>
      </c>
      <c r="C2610" t="n">
        <v>3022</v>
      </c>
      <c r="D2610" s="6" t="n">
        <v>66.40000000000001</v>
      </c>
      <c r="E2610" s="6" t="n">
        <v>1160757.43</v>
      </c>
      <c r="F2610" s="6">
        <f>ROUND(E2610-E2609,2)</f>
        <v/>
      </c>
      <c r="G2610" s="6">
        <f>ROUND(F2610-D2610,2)</f>
        <v/>
      </c>
    </row>
    <row r="2611">
      <c r="A2611" t="inlineStr">
        <is>
          <t>2022-08-03</t>
        </is>
      </c>
      <c r="B2611" t="n">
        <v>9</v>
      </c>
      <c r="C2611" t="n">
        <v>3022</v>
      </c>
      <c r="D2611" s="6" t="n">
        <v>66.8</v>
      </c>
      <c r="E2611" s="6" t="n">
        <v>1160824.23</v>
      </c>
      <c r="F2611" s="6">
        <f>ROUND(E2611-E2610,2)</f>
        <v/>
      </c>
      <c r="G2611" s="6">
        <f>ROUND(F2611-D2611,2)</f>
        <v/>
      </c>
    </row>
    <row r="2612">
      <c r="A2612" t="inlineStr">
        <is>
          <t>2022-08-03</t>
        </is>
      </c>
      <c r="B2612" t="n">
        <v>10</v>
      </c>
      <c r="C2612" t="n">
        <v>3022</v>
      </c>
      <c r="D2612" s="6" t="n">
        <v>88.5</v>
      </c>
      <c r="E2612" s="6" t="n">
        <v>1160912.73</v>
      </c>
      <c r="F2612" s="6">
        <f>ROUND(E2612-E2611,2)</f>
        <v/>
      </c>
      <c r="G2612" s="6">
        <f>ROUND(F2612-D2612,2)</f>
        <v/>
      </c>
    </row>
    <row r="2613">
      <c r="A2613" t="inlineStr">
        <is>
          <t>2022-08-03</t>
        </is>
      </c>
      <c r="B2613" t="n">
        <v>11</v>
      </c>
      <c r="C2613" t="n">
        <v>3022</v>
      </c>
      <c r="D2613" s="6" t="n">
        <v>90</v>
      </c>
      <c r="E2613" s="6" t="n">
        <v>1161002.73</v>
      </c>
      <c r="F2613" s="6">
        <f>ROUND(E2613-E2612,2)</f>
        <v/>
      </c>
      <c r="G2613" s="6">
        <f>ROUND(F2613-D2613,2)</f>
        <v/>
      </c>
    </row>
    <row r="2614">
      <c r="A2614" t="inlineStr">
        <is>
          <t>2022-08-03</t>
        </is>
      </c>
      <c r="B2614" t="n">
        <v>12</v>
      </c>
      <c r="C2614" t="n">
        <v>3022</v>
      </c>
      <c r="D2614" s="6" t="n">
        <v>127.9</v>
      </c>
      <c r="E2614" s="6" t="n">
        <v>1161130.63</v>
      </c>
      <c r="F2614" s="6">
        <f>ROUND(E2614-E2613,2)</f>
        <v/>
      </c>
      <c r="G2614" s="6">
        <f>ROUND(F2614-D2614,2)</f>
        <v/>
      </c>
    </row>
    <row r="2615">
      <c r="A2615" t="inlineStr">
        <is>
          <t>2022-08-03</t>
        </is>
      </c>
      <c r="B2615" t="n">
        <v>13</v>
      </c>
      <c r="C2615" t="n">
        <v>3022</v>
      </c>
      <c r="D2615" s="6" t="n">
        <v>71.09999999999999</v>
      </c>
      <c r="E2615" s="6" t="n">
        <v>1161201.73</v>
      </c>
      <c r="F2615" s="6">
        <f>ROUND(E2615-E2614,2)</f>
        <v/>
      </c>
      <c r="G2615" s="6">
        <f>ROUND(F2615-D2615,2)</f>
        <v/>
      </c>
    </row>
    <row r="2616">
      <c r="A2616" t="inlineStr">
        <is>
          <t>2022-08-03</t>
        </is>
      </c>
      <c r="B2616" t="n">
        <v>14</v>
      </c>
      <c r="C2616" t="n">
        <v>3022</v>
      </c>
      <c r="D2616" s="6" t="n">
        <v>54.8</v>
      </c>
      <c r="E2616" s="6" t="n">
        <v>1161256.53</v>
      </c>
      <c r="F2616" s="6">
        <f>ROUND(E2616-E2615,2)</f>
        <v/>
      </c>
      <c r="G2616" s="6">
        <f>ROUND(F2616-D2616,2)</f>
        <v/>
      </c>
    </row>
    <row r="2617">
      <c r="A2617" t="inlineStr">
        <is>
          <t>2022-08-03</t>
        </is>
      </c>
      <c r="B2617" t="n">
        <v>15</v>
      </c>
      <c r="C2617" t="n">
        <v>3022</v>
      </c>
      <c r="D2617" s="6" t="n">
        <v>38.8</v>
      </c>
      <c r="E2617" s="6" t="n">
        <v>1161295.33</v>
      </c>
      <c r="F2617" s="6">
        <f>ROUND(E2617-E2616,2)</f>
        <v/>
      </c>
      <c r="G2617" s="6">
        <f>ROUND(F2617-D2617,2)</f>
        <v/>
      </c>
    </row>
    <row r="2618">
      <c r="A2618" t="inlineStr">
        <is>
          <t>2022-08-03</t>
        </is>
      </c>
      <c r="B2618" t="n">
        <v>16</v>
      </c>
      <c r="C2618" t="n">
        <v>3022</v>
      </c>
      <c r="D2618" s="6" t="n">
        <v>107.6</v>
      </c>
      <c r="E2618" s="6" t="n">
        <v>1161402.93</v>
      </c>
      <c r="F2618" s="6">
        <f>ROUND(E2618-E2617,2)</f>
        <v/>
      </c>
      <c r="G2618" s="6">
        <f>ROUND(F2618-D2618,2)</f>
        <v/>
      </c>
    </row>
    <row r="2619">
      <c r="A2619" t="inlineStr">
        <is>
          <t>2022-08-03</t>
        </is>
      </c>
      <c r="B2619" t="n">
        <v>17</v>
      </c>
      <c r="C2619" t="n">
        <v>3022</v>
      </c>
      <c r="D2619" s="6" t="n">
        <v>116.9</v>
      </c>
      <c r="E2619" s="6" t="n">
        <v>1161519.83</v>
      </c>
      <c r="F2619" s="6">
        <f>ROUND(E2619-E2618,2)</f>
        <v/>
      </c>
      <c r="G2619" s="6">
        <f>ROUND(F2619-D2619,2)</f>
        <v/>
      </c>
    </row>
    <row r="2620">
      <c r="A2620" t="inlineStr">
        <is>
          <t>2022-08-03</t>
        </is>
      </c>
      <c r="B2620" t="n">
        <v>18</v>
      </c>
      <c r="C2620" t="n">
        <v>3022</v>
      </c>
      <c r="D2620" s="6" t="n">
        <v>48.7</v>
      </c>
      <c r="E2620" s="6" t="n">
        <v>1161568.53</v>
      </c>
      <c r="F2620" s="6">
        <f>ROUND(E2620-E2619,2)</f>
        <v/>
      </c>
      <c r="G2620" s="6">
        <f>ROUND(F2620-D2620,2)</f>
        <v/>
      </c>
    </row>
    <row r="2621">
      <c r="A2621" t="inlineStr">
        <is>
          <t>2022-08-03</t>
        </is>
      </c>
      <c r="B2621" t="n">
        <v>19</v>
      </c>
      <c r="C2621" t="n">
        <v>3022</v>
      </c>
      <c r="D2621" s="6" t="n">
        <v>51.4</v>
      </c>
      <c r="E2621" s="6" t="n">
        <v>1161619.93</v>
      </c>
      <c r="F2621" s="6">
        <f>ROUND(E2621-E2620,2)</f>
        <v/>
      </c>
      <c r="G2621" s="6">
        <f>ROUND(F2621-D2621,2)</f>
        <v/>
      </c>
    </row>
    <row r="2622">
      <c r="A2622" t="inlineStr">
        <is>
          <t>2022-08-03</t>
        </is>
      </c>
      <c r="B2622" t="n">
        <v>20</v>
      </c>
      <c r="C2622" t="n">
        <v>3022</v>
      </c>
      <c r="D2622" s="6" t="n">
        <v>70.5</v>
      </c>
      <c r="E2622" s="6" t="n">
        <v>1161690.43</v>
      </c>
      <c r="F2622" s="6">
        <f>ROUND(E2622-E2621,2)</f>
        <v/>
      </c>
      <c r="G2622" s="6">
        <f>ROUND(F2622-D2622,2)</f>
        <v/>
      </c>
    </row>
    <row r="2623">
      <c r="A2623" t="inlineStr">
        <is>
          <t>2022-08-03</t>
        </is>
      </c>
      <c r="B2623" t="n">
        <v>21</v>
      </c>
      <c r="C2623" t="n">
        <v>3022</v>
      </c>
      <c r="D2623" s="6" t="n">
        <v>52.6</v>
      </c>
      <c r="E2623" s="6" t="n">
        <v>1161743.03</v>
      </c>
      <c r="F2623" s="6">
        <f>ROUND(E2623-E2622,2)</f>
        <v/>
      </c>
      <c r="G2623" s="6">
        <f>ROUND(F2623-D2623,2)</f>
        <v/>
      </c>
    </row>
    <row r="2624">
      <c r="A2624" t="inlineStr">
        <is>
          <t>2022-08-03</t>
        </is>
      </c>
      <c r="B2624" t="n">
        <v>22</v>
      </c>
      <c r="C2624" t="n">
        <v>3022</v>
      </c>
      <c r="D2624" s="6" t="n">
        <v>52.3</v>
      </c>
      <c r="E2624" s="6" t="n">
        <v>1161795.33</v>
      </c>
      <c r="F2624" s="6">
        <f>ROUND(E2624-E2623,2)</f>
        <v/>
      </c>
      <c r="G2624" s="6">
        <f>ROUND(F2624-D2624,2)</f>
        <v/>
      </c>
    </row>
    <row r="2625">
      <c r="A2625" t="inlineStr">
        <is>
          <t>2022-08-03</t>
        </is>
      </c>
      <c r="B2625" t="n">
        <v>23</v>
      </c>
      <c r="C2625" t="n">
        <v>3022</v>
      </c>
      <c r="D2625" s="6" t="n">
        <v>80.09999999999999</v>
      </c>
      <c r="E2625" s="6" t="n">
        <v>1161875.43</v>
      </c>
      <c r="F2625" s="6">
        <f>ROUND(E2625-E2624,2)</f>
        <v/>
      </c>
      <c r="G2625" s="6">
        <f>ROUND(F2625-D2625,2)</f>
        <v/>
      </c>
    </row>
    <row r="2626">
      <c r="A2626" t="inlineStr">
        <is>
          <t>2022-08-03</t>
        </is>
      </c>
      <c r="B2626" t="n">
        <v>24</v>
      </c>
      <c r="C2626" t="n">
        <v>3022</v>
      </c>
      <c r="D2626" s="6" t="n">
        <v>71.2</v>
      </c>
      <c r="E2626" s="6" t="n">
        <v>1161946.63</v>
      </c>
      <c r="F2626" s="6">
        <f>ROUND(E2626-E2625,2)</f>
        <v/>
      </c>
      <c r="G2626" s="6">
        <f>ROUND(F2626-D2626,2)</f>
        <v/>
      </c>
    </row>
    <row r="2627">
      <c r="A2627" t="inlineStr">
        <is>
          <t>2022-08-03</t>
        </is>
      </c>
      <c r="B2627" t="n">
        <v>25</v>
      </c>
      <c r="C2627" t="n">
        <v>3022</v>
      </c>
      <c r="D2627" s="6" t="n">
        <v>48.8</v>
      </c>
      <c r="E2627" s="6" t="n">
        <v>1161995.43</v>
      </c>
      <c r="F2627" s="6">
        <f>ROUND(E2627-E2626,2)</f>
        <v/>
      </c>
      <c r="G2627" s="6">
        <f>ROUND(F2627-D2627,2)</f>
        <v/>
      </c>
    </row>
    <row r="2628">
      <c r="A2628" t="inlineStr">
        <is>
          <t>2022-08-03</t>
        </is>
      </c>
      <c r="B2628" t="n">
        <v>26</v>
      </c>
      <c r="C2628" t="n">
        <v>3022</v>
      </c>
      <c r="D2628" s="6" t="n">
        <v>26.6</v>
      </c>
      <c r="E2628" s="6" t="n">
        <v>1162022.03</v>
      </c>
      <c r="F2628" s="6">
        <f>ROUND(E2628-E2627,2)</f>
        <v/>
      </c>
      <c r="G2628" s="6">
        <f>ROUND(F2628-D2628,2)</f>
        <v/>
      </c>
    </row>
    <row r="2629">
      <c r="A2629" t="inlineStr">
        <is>
          <t>2022-08-03</t>
        </is>
      </c>
      <c r="B2629" t="n">
        <v>27</v>
      </c>
      <c r="C2629" t="n">
        <v>3022</v>
      </c>
      <c r="D2629" s="6" t="n">
        <v>26.6</v>
      </c>
      <c r="E2629" s="6" t="n">
        <v>1162048.63</v>
      </c>
      <c r="F2629" s="6">
        <f>ROUND(E2629-E2628,2)</f>
        <v/>
      </c>
      <c r="G2629" s="6">
        <f>ROUND(F2629-D2629,2)</f>
        <v/>
      </c>
    </row>
    <row r="2630">
      <c r="A2630" t="inlineStr">
        <is>
          <t>2022-08-03</t>
        </is>
      </c>
      <c r="B2630" t="n">
        <v>28</v>
      </c>
      <c r="C2630" t="n">
        <v>3022</v>
      </c>
      <c r="D2630" s="6" t="n">
        <v>109.1</v>
      </c>
      <c r="E2630" s="6" t="n">
        <v>1162157.73</v>
      </c>
      <c r="F2630" s="6">
        <f>ROUND(E2630-E2629,2)</f>
        <v/>
      </c>
      <c r="G2630" s="6">
        <f>ROUND(F2630-D2630,2)</f>
        <v/>
      </c>
    </row>
    <row r="2631">
      <c r="A2631" t="inlineStr">
        <is>
          <t>2022-08-03</t>
        </is>
      </c>
      <c r="B2631" t="n">
        <v>29</v>
      </c>
      <c r="C2631" t="n">
        <v>3022</v>
      </c>
      <c r="D2631" s="6" t="n">
        <v>133.8</v>
      </c>
      <c r="E2631" s="6" t="n">
        <v>1162291.53</v>
      </c>
      <c r="F2631" s="6">
        <f>ROUND(E2631-E2630,2)</f>
        <v/>
      </c>
      <c r="G2631" s="6">
        <f>ROUND(F2631-D2631,2)</f>
        <v/>
      </c>
    </row>
    <row r="2632">
      <c r="A2632" t="inlineStr">
        <is>
          <t>2022-08-03</t>
        </is>
      </c>
      <c r="B2632" t="n">
        <v>30</v>
      </c>
      <c r="C2632" t="n">
        <v>3022</v>
      </c>
      <c r="D2632" s="6" t="n">
        <v>42.3</v>
      </c>
      <c r="E2632" s="6" t="n">
        <v>1162333.83</v>
      </c>
      <c r="F2632" s="6">
        <f>ROUND(E2632-E2631,2)</f>
        <v/>
      </c>
      <c r="G2632" s="6">
        <f>ROUND(F2632-D2632,2)</f>
        <v/>
      </c>
    </row>
    <row r="2633">
      <c r="A2633" t="inlineStr">
        <is>
          <t>2022-08-03</t>
        </is>
      </c>
      <c r="B2633" t="n">
        <v>31</v>
      </c>
      <c r="C2633" t="n">
        <v>3022</v>
      </c>
      <c r="D2633" s="6" t="n">
        <v>144.8</v>
      </c>
      <c r="E2633" s="6" t="n">
        <v>1162478.63</v>
      </c>
      <c r="F2633" s="6">
        <f>ROUND(E2633-E2632,2)</f>
        <v/>
      </c>
      <c r="G2633" s="6">
        <f>ROUND(F2633-D2633,2)</f>
        <v/>
      </c>
    </row>
    <row r="2634">
      <c r="A2634" t="inlineStr">
        <is>
          <t>2022-08-03</t>
        </is>
      </c>
      <c r="B2634" t="n">
        <v>32</v>
      </c>
      <c r="C2634" t="n">
        <v>3022</v>
      </c>
      <c r="D2634" s="6" t="n">
        <v>41.3</v>
      </c>
      <c r="E2634" s="6" t="n">
        <v>1162519.93</v>
      </c>
      <c r="F2634" s="6">
        <f>ROUND(E2634-E2633,2)</f>
        <v/>
      </c>
      <c r="G2634" s="6">
        <f>ROUND(F2634-D2634,2)</f>
        <v/>
      </c>
    </row>
    <row r="2635">
      <c r="A2635" t="inlineStr">
        <is>
          <t>2022-08-03</t>
        </is>
      </c>
      <c r="B2635" t="n">
        <v>33</v>
      </c>
      <c r="C2635" t="n">
        <v>3022</v>
      </c>
      <c r="D2635" s="6" t="n">
        <v>65</v>
      </c>
      <c r="E2635" s="6" t="n">
        <v>1162584.93</v>
      </c>
      <c r="F2635" s="6">
        <f>ROUND(E2635-E2634,2)</f>
        <v/>
      </c>
      <c r="G2635" s="6">
        <f>ROUND(F2635-D2635,2)</f>
        <v/>
      </c>
    </row>
    <row r="2636">
      <c r="A2636" t="inlineStr">
        <is>
          <t>2022-08-03</t>
        </is>
      </c>
      <c r="B2636" t="n">
        <v>34</v>
      </c>
      <c r="C2636" t="n">
        <v>3022</v>
      </c>
      <c r="D2636" s="6" t="n">
        <v>34</v>
      </c>
      <c r="E2636" s="6" t="n">
        <v>1162618.93</v>
      </c>
      <c r="F2636" s="6">
        <f>ROUND(E2636-E2635,2)</f>
        <v/>
      </c>
      <c r="G2636" s="6">
        <f>ROUND(F2636-D2636,2)</f>
        <v/>
      </c>
    </row>
    <row r="2637">
      <c r="A2637" t="inlineStr">
        <is>
          <t>2022-08-03</t>
        </is>
      </c>
      <c r="B2637" t="n">
        <v>35</v>
      </c>
      <c r="C2637" t="n">
        <v>3022</v>
      </c>
      <c r="D2637" s="6" t="n">
        <v>34</v>
      </c>
      <c r="E2637" s="6" t="n">
        <v>1162652.93</v>
      </c>
      <c r="F2637" s="6">
        <f>ROUND(E2637-E2636,2)</f>
        <v/>
      </c>
      <c r="G2637" s="6">
        <f>ROUND(F2637-D2637,2)</f>
        <v/>
      </c>
    </row>
    <row r="2638">
      <c r="A2638" t="inlineStr">
        <is>
          <t>2022-08-03</t>
        </is>
      </c>
      <c r="B2638" t="n">
        <v>36</v>
      </c>
      <c r="C2638" t="n">
        <v>3022</v>
      </c>
      <c r="D2638" s="6" t="n">
        <v>60.8</v>
      </c>
      <c r="E2638" s="6" t="n">
        <v>1162713.73</v>
      </c>
      <c r="F2638" s="6">
        <f>ROUND(E2638-E2637,2)</f>
        <v/>
      </c>
      <c r="G2638" s="6">
        <f>ROUND(F2638-D2638,2)</f>
        <v/>
      </c>
    </row>
    <row r="2639">
      <c r="A2639" t="inlineStr">
        <is>
          <t>2022-08-03</t>
        </is>
      </c>
      <c r="B2639" t="n">
        <v>37</v>
      </c>
      <c r="C2639" t="n">
        <v>3022</v>
      </c>
      <c r="D2639" s="6" t="n">
        <v>79.7</v>
      </c>
      <c r="E2639" s="6" t="n">
        <v>1162793.43</v>
      </c>
      <c r="F2639" s="6">
        <f>ROUND(E2639-E2638,2)</f>
        <v/>
      </c>
      <c r="G2639" s="6">
        <f>ROUND(F2639-D2639,2)</f>
        <v/>
      </c>
    </row>
    <row r="2640">
      <c r="A2640" t="inlineStr">
        <is>
          <t>2022-08-03</t>
        </is>
      </c>
      <c r="B2640" t="n">
        <v>38</v>
      </c>
      <c r="C2640" t="n">
        <v>3022</v>
      </c>
      <c r="D2640" s="6" t="n">
        <v>71.8</v>
      </c>
      <c r="E2640" s="6" t="n">
        <v>1162865.23</v>
      </c>
      <c r="F2640" s="6">
        <f>ROUND(E2640-E2639,2)</f>
        <v/>
      </c>
      <c r="G2640" s="6">
        <f>ROUND(F2640-D2640,2)</f>
        <v/>
      </c>
    </row>
    <row r="2641">
      <c r="A2641" t="inlineStr">
        <is>
          <t>2022-08-04</t>
        </is>
      </c>
      <c r="B2641" t="n">
        <v>1</v>
      </c>
      <c r="C2641" t="n">
        <v>3023</v>
      </c>
      <c r="D2641" s="6" t="n">
        <v>103.3</v>
      </c>
      <c r="E2641" s="6" t="n">
        <v>1162968.53</v>
      </c>
      <c r="F2641" s="6">
        <f>ROUND(E2641-E2640,2)</f>
        <v/>
      </c>
      <c r="G2641" s="6">
        <f>ROUND(F2641-D2641,2)</f>
        <v/>
      </c>
    </row>
    <row r="2642">
      <c r="A2642" t="inlineStr">
        <is>
          <t>2022-08-04</t>
        </is>
      </c>
      <c r="B2642" t="n">
        <v>2</v>
      </c>
      <c r="C2642" t="n">
        <v>3023</v>
      </c>
      <c r="D2642" s="6" t="n">
        <v>42.4</v>
      </c>
      <c r="E2642" s="6" t="n">
        <v>1163010.93</v>
      </c>
      <c r="F2642" s="6">
        <f>ROUND(E2642-E2641,2)</f>
        <v/>
      </c>
      <c r="G2642" s="6">
        <f>ROUND(F2642-D2642,2)</f>
        <v/>
      </c>
    </row>
    <row r="2643">
      <c r="A2643" t="inlineStr">
        <is>
          <t>2022-08-04</t>
        </is>
      </c>
      <c r="B2643" t="n">
        <v>3</v>
      </c>
      <c r="C2643" t="n">
        <v>3023</v>
      </c>
      <c r="D2643" s="6" t="n">
        <v>41.2</v>
      </c>
      <c r="E2643" s="6" t="n">
        <v>1163052.13</v>
      </c>
      <c r="F2643" s="6">
        <f>ROUND(E2643-E2642,2)</f>
        <v/>
      </c>
      <c r="G2643" s="6">
        <f>ROUND(F2643-D2643,2)</f>
        <v/>
      </c>
    </row>
    <row r="2644">
      <c r="A2644" t="inlineStr">
        <is>
          <t>2022-08-04</t>
        </is>
      </c>
      <c r="B2644" t="n">
        <v>4</v>
      </c>
      <c r="C2644" t="n">
        <v>3023</v>
      </c>
      <c r="D2644" s="6" t="n">
        <v>35.7</v>
      </c>
      <c r="E2644" s="6" t="n">
        <v>1163087.83</v>
      </c>
      <c r="F2644" s="6">
        <f>ROUND(E2644-E2643,2)</f>
        <v/>
      </c>
      <c r="G2644" s="6">
        <f>ROUND(F2644-D2644,2)</f>
        <v/>
      </c>
    </row>
    <row r="2645">
      <c r="A2645" t="inlineStr">
        <is>
          <t>2022-08-04</t>
        </is>
      </c>
      <c r="B2645" t="n">
        <v>5</v>
      </c>
      <c r="C2645" t="n">
        <v>3023</v>
      </c>
      <c r="D2645" s="6" t="n">
        <v>44.8</v>
      </c>
      <c r="E2645" s="6" t="n">
        <v>1163132.63</v>
      </c>
      <c r="F2645" s="6">
        <f>ROUND(E2645-E2644,2)</f>
        <v/>
      </c>
      <c r="G2645" s="6">
        <f>ROUND(F2645-D2645,2)</f>
        <v/>
      </c>
    </row>
    <row r="2646">
      <c r="A2646" t="inlineStr">
        <is>
          <t>2022-08-04</t>
        </is>
      </c>
      <c r="B2646" t="n">
        <v>6</v>
      </c>
      <c r="C2646" t="n">
        <v>3023</v>
      </c>
      <c r="D2646" s="6" t="n">
        <v>77</v>
      </c>
      <c r="E2646" s="6" t="n">
        <v>1163209.63</v>
      </c>
      <c r="F2646" s="6">
        <f>ROUND(E2646-E2645,2)</f>
        <v/>
      </c>
      <c r="G2646" s="6">
        <f>ROUND(F2646-D2646,2)</f>
        <v/>
      </c>
    </row>
    <row r="2647">
      <c r="A2647" t="inlineStr">
        <is>
          <t>2022-08-04</t>
        </is>
      </c>
      <c r="B2647" t="n">
        <v>7</v>
      </c>
      <c r="C2647" t="n">
        <v>3023</v>
      </c>
      <c r="D2647" s="6" t="n">
        <v>47</v>
      </c>
      <c r="E2647" s="6" t="n">
        <v>1163256.63</v>
      </c>
      <c r="F2647" s="6">
        <f>ROUND(E2647-E2646,2)</f>
        <v/>
      </c>
      <c r="G2647" s="6">
        <f>ROUND(F2647-D2647,2)</f>
        <v/>
      </c>
    </row>
    <row r="2648">
      <c r="A2648" t="inlineStr">
        <is>
          <t>2022-08-04</t>
        </is>
      </c>
      <c r="B2648" t="n">
        <v>8</v>
      </c>
      <c r="C2648" t="n">
        <v>3023</v>
      </c>
      <c r="D2648" s="6" t="n">
        <v>51.1</v>
      </c>
      <c r="E2648" s="6" t="n">
        <v>1163307.73</v>
      </c>
      <c r="F2648" s="6">
        <f>ROUND(E2648-E2647,2)</f>
        <v/>
      </c>
      <c r="G2648" s="6">
        <f>ROUND(F2648-D2648,2)</f>
        <v/>
      </c>
    </row>
    <row r="2649">
      <c r="A2649" t="inlineStr">
        <is>
          <t>2022-08-04</t>
        </is>
      </c>
      <c r="B2649" t="n">
        <v>9</v>
      </c>
      <c r="C2649" t="n">
        <v>3023</v>
      </c>
      <c r="D2649" s="6" t="n">
        <v>40.5</v>
      </c>
      <c r="E2649" s="6" t="n">
        <v>1163348.23</v>
      </c>
      <c r="F2649" s="6">
        <f>ROUND(E2649-E2648,2)</f>
        <v/>
      </c>
      <c r="G2649" s="6">
        <f>ROUND(F2649-D2649,2)</f>
        <v/>
      </c>
    </row>
    <row r="2650">
      <c r="A2650" t="inlineStr">
        <is>
          <t>2022-08-04</t>
        </is>
      </c>
      <c r="B2650" t="n">
        <v>10</v>
      </c>
      <c r="C2650" t="n">
        <v>3023</v>
      </c>
      <c r="D2650" s="6" t="n">
        <v>79</v>
      </c>
      <c r="E2650" s="6" t="n">
        <v>1163427.23</v>
      </c>
      <c r="F2650" s="6">
        <f>ROUND(E2650-E2649,2)</f>
        <v/>
      </c>
      <c r="G2650" s="6">
        <f>ROUND(F2650-D2650,2)</f>
        <v/>
      </c>
    </row>
    <row r="2651">
      <c r="A2651" t="inlineStr">
        <is>
          <t>2022-08-04</t>
        </is>
      </c>
      <c r="B2651" t="n">
        <v>11</v>
      </c>
      <c r="C2651" t="n">
        <v>3023</v>
      </c>
      <c r="D2651" s="6" t="n">
        <v>61</v>
      </c>
      <c r="E2651" s="6" t="n">
        <v>1163488.23</v>
      </c>
      <c r="F2651" s="6">
        <f>ROUND(E2651-E2650,2)</f>
        <v/>
      </c>
      <c r="G2651" s="6">
        <f>ROUND(F2651-D2651,2)</f>
        <v/>
      </c>
    </row>
    <row r="2652">
      <c r="A2652" t="inlineStr">
        <is>
          <t>2022-08-04</t>
        </is>
      </c>
      <c r="B2652" t="n">
        <v>12</v>
      </c>
      <c r="C2652" t="n">
        <v>3023</v>
      </c>
      <c r="D2652" s="6" t="n">
        <v>54.1</v>
      </c>
      <c r="E2652" s="6" t="n">
        <v>1163542.33</v>
      </c>
      <c r="F2652" s="6">
        <f>ROUND(E2652-E2651,2)</f>
        <v/>
      </c>
      <c r="G2652" s="6">
        <f>ROUND(F2652-D2652,2)</f>
        <v/>
      </c>
    </row>
    <row r="2653">
      <c r="A2653" t="inlineStr">
        <is>
          <t>2022-08-04</t>
        </is>
      </c>
      <c r="B2653" t="n">
        <v>13</v>
      </c>
      <c r="C2653" t="n">
        <v>3023</v>
      </c>
      <c r="D2653" s="6" t="n">
        <v>223.4</v>
      </c>
      <c r="E2653" s="6" t="n">
        <v>1163765.73</v>
      </c>
      <c r="F2653" s="6">
        <f>ROUND(E2653-E2652,2)</f>
        <v/>
      </c>
      <c r="G2653" s="6">
        <f>ROUND(F2653-D2653,2)</f>
        <v/>
      </c>
    </row>
    <row r="2654">
      <c r="A2654" t="inlineStr">
        <is>
          <t>2022-08-04</t>
        </is>
      </c>
      <c r="B2654" t="n">
        <v>14</v>
      </c>
      <c r="C2654" t="n">
        <v>3023</v>
      </c>
      <c r="D2654" s="6" t="n">
        <v>47.7</v>
      </c>
      <c r="E2654" s="6" t="n">
        <v>1163813.43</v>
      </c>
      <c r="F2654" s="6">
        <f>ROUND(E2654-E2653,2)</f>
        <v/>
      </c>
      <c r="G2654" s="6">
        <f>ROUND(F2654-D2654,2)</f>
        <v/>
      </c>
    </row>
    <row r="2655">
      <c r="A2655" t="inlineStr">
        <is>
          <t>2022-08-04</t>
        </is>
      </c>
      <c r="B2655" t="n">
        <v>15</v>
      </c>
      <c r="C2655" t="n">
        <v>3023</v>
      </c>
      <c r="D2655" s="6" t="n">
        <v>21.1</v>
      </c>
      <c r="E2655" s="6" t="n">
        <v>1163834.53</v>
      </c>
      <c r="F2655" s="6">
        <f>ROUND(E2655-E2654,2)</f>
        <v/>
      </c>
      <c r="G2655" s="6">
        <f>ROUND(F2655-D2655,2)</f>
        <v/>
      </c>
    </row>
    <row r="2656">
      <c r="A2656" t="inlineStr">
        <is>
          <t>2022-08-04</t>
        </is>
      </c>
      <c r="B2656" t="n">
        <v>16</v>
      </c>
      <c r="C2656" t="n">
        <v>3023</v>
      </c>
      <c r="D2656" s="6" t="n">
        <v>19.8</v>
      </c>
      <c r="E2656" s="6" t="n">
        <v>1163854.33</v>
      </c>
      <c r="F2656" s="6">
        <f>ROUND(E2656-E2655,2)</f>
        <v/>
      </c>
      <c r="G2656" s="6">
        <f>ROUND(F2656-D2656,2)</f>
        <v/>
      </c>
    </row>
    <row r="2657">
      <c r="A2657" t="inlineStr">
        <is>
          <t>2022-08-04</t>
        </is>
      </c>
      <c r="B2657" t="n">
        <v>17</v>
      </c>
      <c r="C2657" t="n">
        <v>3023</v>
      </c>
      <c r="D2657" s="6" t="n">
        <v>31.65</v>
      </c>
      <c r="E2657" s="6" t="n">
        <v>1163885.98</v>
      </c>
      <c r="F2657" s="6">
        <f>ROUND(E2657-E2656,2)</f>
        <v/>
      </c>
      <c r="G2657" s="6">
        <f>ROUND(F2657-D2657,2)</f>
        <v/>
      </c>
    </row>
    <row r="2658">
      <c r="A2658" t="inlineStr">
        <is>
          <t>2022-08-04</t>
        </is>
      </c>
      <c r="B2658" t="n">
        <v>18</v>
      </c>
      <c r="C2658" t="n">
        <v>3023</v>
      </c>
      <c r="D2658" s="6" t="n">
        <v>31.65</v>
      </c>
      <c r="E2658" s="6" t="n">
        <v>1163917.63</v>
      </c>
      <c r="F2658" s="6">
        <f>ROUND(E2658-E2657,2)</f>
        <v/>
      </c>
      <c r="G2658" s="6">
        <f>ROUND(F2658-D2658,2)</f>
        <v/>
      </c>
    </row>
    <row r="2659">
      <c r="A2659" t="inlineStr">
        <is>
          <t>2022-08-04</t>
        </is>
      </c>
      <c r="B2659" t="n">
        <v>19</v>
      </c>
      <c r="C2659" t="n">
        <v>3023</v>
      </c>
      <c r="D2659" s="6" t="n">
        <v>33.7</v>
      </c>
      <c r="E2659" s="6" t="n">
        <v>1163951.33</v>
      </c>
      <c r="F2659" s="6">
        <f>ROUND(E2659-E2658,2)</f>
        <v/>
      </c>
      <c r="G2659" s="6">
        <f>ROUND(F2659-D2659,2)</f>
        <v/>
      </c>
    </row>
    <row r="2660">
      <c r="A2660" t="inlineStr">
        <is>
          <t>2022-08-04</t>
        </is>
      </c>
      <c r="B2660" t="n">
        <v>20</v>
      </c>
      <c r="C2660" t="n">
        <v>3023</v>
      </c>
      <c r="D2660" s="6" t="n">
        <v>73.8</v>
      </c>
      <c r="E2660" s="6" t="n">
        <v>1164025.13</v>
      </c>
      <c r="F2660" s="6">
        <f>ROUND(E2660-E2659,2)</f>
        <v/>
      </c>
      <c r="G2660" s="6">
        <f>ROUND(F2660-D2660,2)</f>
        <v/>
      </c>
    </row>
    <row r="2661">
      <c r="A2661" t="inlineStr">
        <is>
          <t>2022-08-04</t>
        </is>
      </c>
      <c r="B2661" t="n">
        <v>21</v>
      </c>
      <c r="C2661" t="n">
        <v>3023</v>
      </c>
      <c r="D2661" s="6" t="n">
        <v>129.5</v>
      </c>
      <c r="E2661" s="6" t="n">
        <v>1164154.63</v>
      </c>
      <c r="F2661" s="6">
        <f>ROUND(E2661-E2660,2)</f>
        <v/>
      </c>
      <c r="G2661" s="6">
        <f>ROUND(F2661-D2661,2)</f>
        <v/>
      </c>
    </row>
    <row r="2662">
      <c r="A2662" t="inlineStr">
        <is>
          <t>2022-08-04</t>
        </is>
      </c>
      <c r="B2662" t="n">
        <v>22</v>
      </c>
      <c r="C2662" t="n">
        <v>3023</v>
      </c>
      <c r="D2662" s="6" t="n">
        <v>69.90000000000001</v>
      </c>
      <c r="E2662" s="6" t="n">
        <v>1164224.53</v>
      </c>
      <c r="F2662" s="6">
        <f>ROUND(E2662-E2661,2)</f>
        <v/>
      </c>
      <c r="G2662" s="6">
        <f>ROUND(F2662-D2662,2)</f>
        <v/>
      </c>
    </row>
    <row r="2663">
      <c r="A2663" t="inlineStr">
        <is>
          <t>2022-08-04</t>
        </is>
      </c>
      <c r="B2663" t="n">
        <v>23</v>
      </c>
      <c r="C2663" t="n">
        <v>3023</v>
      </c>
      <c r="D2663" s="6" t="n">
        <v>39.4</v>
      </c>
      <c r="E2663" s="6" t="n">
        <v>1164263.93</v>
      </c>
      <c r="F2663" s="6">
        <f>ROUND(E2663-E2662,2)</f>
        <v/>
      </c>
      <c r="G2663" s="6">
        <f>ROUND(F2663-D2663,2)</f>
        <v/>
      </c>
    </row>
    <row r="2664">
      <c r="A2664" t="inlineStr">
        <is>
          <t>2022-08-04</t>
        </is>
      </c>
      <c r="B2664" t="n">
        <v>24</v>
      </c>
      <c r="C2664" t="n">
        <v>3023</v>
      </c>
      <c r="D2664" s="6" t="n">
        <v>99.3</v>
      </c>
      <c r="E2664" s="6" t="n">
        <v>1164363.23</v>
      </c>
      <c r="F2664" s="6">
        <f>ROUND(E2664-E2663,2)</f>
        <v/>
      </c>
      <c r="G2664" s="6">
        <f>ROUND(F2664-D2664,2)</f>
        <v/>
      </c>
    </row>
    <row r="2665">
      <c r="A2665" t="inlineStr">
        <is>
          <t>2022-08-04</t>
        </is>
      </c>
      <c r="B2665" t="n">
        <v>25</v>
      </c>
      <c r="C2665" t="n">
        <v>3023</v>
      </c>
      <c r="D2665" s="6" t="n">
        <v>102.2</v>
      </c>
      <c r="E2665" s="6" t="n">
        <v>1164465.43</v>
      </c>
      <c r="F2665" s="6">
        <f>ROUND(E2665-E2664,2)</f>
        <v/>
      </c>
      <c r="G2665" s="6">
        <f>ROUND(F2665-D2665,2)</f>
        <v/>
      </c>
    </row>
    <row r="2666">
      <c r="A2666" t="inlineStr">
        <is>
          <t>2022-08-04</t>
        </is>
      </c>
      <c r="B2666" t="n">
        <v>26</v>
      </c>
      <c r="C2666" t="n">
        <v>3023</v>
      </c>
      <c r="D2666" s="6" t="n">
        <v>106.2</v>
      </c>
      <c r="E2666" s="6" t="n">
        <v>1164571.63</v>
      </c>
      <c r="F2666" s="6">
        <f>ROUND(E2666-E2665,2)</f>
        <v/>
      </c>
      <c r="G2666" s="6">
        <f>ROUND(F2666-D2666,2)</f>
        <v/>
      </c>
    </row>
    <row r="2667">
      <c r="A2667" t="inlineStr">
        <is>
          <t>2022-08-04</t>
        </is>
      </c>
      <c r="B2667" t="n">
        <v>27</v>
      </c>
      <c r="C2667" t="n">
        <v>3023</v>
      </c>
      <c r="D2667" s="6" t="n">
        <v>19</v>
      </c>
      <c r="E2667" s="6" t="n">
        <v>1164590.63</v>
      </c>
      <c r="F2667" s="6">
        <f>ROUND(E2667-E2666,2)</f>
        <v/>
      </c>
      <c r="G2667" s="6">
        <f>ROUND(F2667-D2667,2)</f>
        <v/>
      </c>
    </row>
    <row r="2668">
      <c r="A2668" t="inlineStr">
        <is>
          <t>2022-08-04</t>
        </is>
      </c>
      <c r="B2668" t="n">
        <v>28</v>
      </c>
      <c r="C2668" t="n">
        <v>3023</v>
      </c>
      <c r="D2668" s="6" t="n">
        <v>72</v>
      </c>
      <c r="E2668" s="6" t="n">
        <v>1164662.63</v>
      </c>
      <c r="F2668" s="6">
        <f>ROUND(E2668-E2667,2)</f>
        <v/>
      </c>
      <c r="G2668" s="6">
        <f>ROUND(F2668-D2668,2)</f>
        <v/>
      </c>
    </row>
    <row r="2669">
      <c r="A2669" t="inlineStr">
        <is>
          <t>2022-08-04</t>
        </is>
      </c>
      <c r="B2669" t="n">
        <v>29</v>
      </c>
      <c r="C2669" t="n">
        <v>3023</v>
      </c>
      <c r="D2669" s="6" t="n">
        <v>83.8</v>
      </c>
      <c r="E2669" s="6" t="n">
        <v>1164746.43</v>
      </c>
      <c r="F2669" s="6">
        <f>ROUND(E2669-E2668,2)</f>
        <v/>
      </c>
      <c r="G2669" s="6">
        <f>ROUND(F2669-D2669,2)</f>
        <v/>
      </c>
    </row>
    <row r="2670">
      <c r="A2670" t="inlineStr">
        <is>
          <t>2022-08-04</t>
        </is>
      </c>
      <c r="B2670" t="n">
        <v>30</v>
      </c>
      <c r="C2670" t="n">
        <v>3023</v>
      </c>
      <c r="D2670" s="6" t="n">
        <v>90.5</v>
      </c>
      <c r="E2670" s="6" t="n">
        <v>1164836.93</v>
      </c>
      <c r="F2670" s="6">
        <f>ROUND(E2670-E2669,2)</f>
        <v/>
      </c>
      <c r="G2670" s="6">
        <f>ROUND(F2670-D2670,2)</f>
        <v/>
      </c>
    </row>
    <row r="2671">
      <c r="A2671" t="inlineStr">
        <is>
          <t>2022-08-04</t>
        </is>
      </c>
      <c r="B2671" t="n">
        <v>31</v>
      </c>
      <c r="C2671" t="n">
        <v>3023</v>
      </c>
      <c r="D2671" s="6" t="n">
        <v>54.8</v>
      </c>
      <c r="E2671" s="6" t="n">
        <v>1164891.73</v>
      </c>
      <c r="F2671" s="6">
        <f>ROUND(E2671-E2670,2)</f>
        <v/>
      </c>
      <c r="G2671" s="6">
        <f>ROUND(F2671-D2671,2)</f>
        <v/>
      </c>
    </row>
    <row r="2672">
      <c r="A2672" t="inlineStr">
        <is>
          <t>2022-08-04</t>
        </is>
      </c>
      <c r="B2672" t="n">
        <v>32</v>
      </c>
      <c r="C2672" t="n">
        <v>3023</v>
      </c>
      <c r="D2672" s="6" t="n">
        <v>75.2</v>
      </c>
      <c r="E2672" s="6" t="n">
        <v>1164966.93</v>
      </c>
      <c r="F2672" s="6">
        <f>ROUND(E2672-E2671,2)</f>
        <v/>
      </c>
      <c r="G2672" s="6">
        <f>ROUND(F2672-D2672,2)</f>
        <v/>
      </c>
    </row>
    <row r="2673">
      <c r="A2673" t="inlineStr">
        <is>
          <t>2022-08-04</t>
        </is>
      </c>
      <c r="B2673" t="n">
        <v>33</v>
      </c>
      <c r="C2673" t="n">
        <v>3023</v>
      </c>
      <c r="D2673" s="6" t="n">
        <v>96.8</v>
      </c>
      <c r="E2673" s="6" t="n">
        <v>1165063.73</v>
      </c>
      <c r="F2673" s="6">
        <f>ROUND(E2673-E2672,2)</f>
        <v/>
      </c>
      <c r="G2673" s="6">
        <f>ROUND(F2673-D2673,2)</f>
        <v/>
      </c>
    </row>
    <row r="2674">
      <c r="A2674" t="inlineStr">
        <is>
          <t>2022-08-04</t>
        </is>
      </c>
      <c r="B2674" t="n">
        <v>34</v>
      </c>
      <c r="C2674" t="n">
        <v>3023</v>
      </c>
      <c r="D2674" s="6" t="n">
        <v>105.5</v>
      </c>
      <c r="E2674" s="6" t="n">
        <v>1165169.23</v>
      </c>
      <c r="F2674" s="6">
        <f>ROUND(E2674-E2673,2)</f>
        <v/>
      </c>
      <c r="G2674" s="6">
        <f>ROUND(F2674-D2674,2)</f>
        <v/>
      </c>
    </row>
    <row r="2675">
      <c r="A2675" t="inlineStr">
        <is>
          <t>2022-08-05</t>
        </is>
      </c>
      <c r="B2675" t="n">
        <v>1</v>
      </c>
      <c r="C2675" t="n">
        <v>3024</v>
      </c>
      <c r="D2675" s="6" t="n">
        <v>53.2</v>
      </c>
      <c r="E2675" s="6" t="n">
        <v>1165222.43</v>
      </c>
      <c r="F2675" s="6">
        <f>ROUND(E2675-E2674,2)</f>
        <v/>
      </c>
      <c r="G2675" s="6">
        <f>ROUND(F2675-D2675,2)</f>
        <v/>
      </c>
    </row>
    <row r="2676">
      <c r="A2676" t="inlineStr">
        <is>
          <t>2022-08-05</t>
        </is>
      </c>
      <c r="B2676" t="n">
        <v>2</v>
      </c>
      <c r="C2676" t="n">
        <v>3024</v>
      </c>
      <c r="D2676" s="6" t="n">
        <v>65.2</v>
      </c>
      <c r="E2676" s="6" t="n">
        <v>1165287.63</v>
      </c>
      <c r="F2676" s="6">
        <f>ROUND(E2676-E2675,2)</f>
        <v/>
      </c>
      <c r="G2676" s="6">
        <f>ROUND(F2676-D2676,2)</f>
        <v/>
      </c>
    </row>
    <row r="2677">
      <c r="A2677" t="inlineStr">
        <is>
          <t>2022-08-05</t>
        </is>
      </c>
      <c r="B2677" t="n">
        <v>3</v>
      </c>
      <c r="C2677" t="n">
        <v>3024</v>
      </c>
      <c r="D2677" s="6" t="n">
        <v>69</v>
      </c>
      <c r="E2677" s="6" t="n">
        <v>1165356.63</v>
      </c>
      <c r="F2677" s="6">
        <f>ROUND(E2677-E2676,2)</f>
        <v/>
      </c>
      <c r="G2677" s="6">
        <f>ROUND(F2677-D2677,2)</f>
        <v/>
      </c>
    </row>
    <row r="2678">
      <c r="A2678" t="inlineStr">
        <is>
          <t>2022-08-05</t>
        </is>
      </c>
      <c r="B2678" t="n">
        <v>4</v>
      </c>
      <c r="C2678" t="n">
        <v>3024</v>
      </c>
      <c r="D2678" s="6" t="n">
        <v>36.5</v>
      </c>
      <c r="E2678" s="6" t="n">
        <v>1165393.13</v>
      </c>
      <c r="F2678" s="6">
        <f>ROUND(E2678-E2677,2)</f>
        <v/>
      </c>
      <c r="G2678" s="6">
        <f>ROUND(F2678-D2678,2)</f>
        <v/>
      </c>
    </row>
    <row r="2679">
      <c r="A2679" t="inlineStr">
        <is>
          <t>2022-08-05</t>
        </is>
      </c>
      <c r="B2679" t="n">
        <v>5</v>
      </c>
      <c r="C2679" t="n">
        <v>3024</v>
      </c>
      <c r="D2679" s="6" t="n">
        <v>69.40000000000001</v>
      </c>
      <c r="E2679" s="6" t="n">
        <v>1165462.53</v>
      </c>
      <c r="F2679" s="6">
        <f>ROUND(E2679-E2678,2)</f>
        <v/>
      </c>
      <c r="G2679" s="6">
        <f>ROUND(F2679-D2679,2)</f>
        <v/>
      </c>
    </row>
    <row r="2680">
      <c r="A2680" t="inlineStr">
        <is>
          <t>2022-08-05</t>
        </is>
      </c>
      <c r="B2680" t="n">
        <v>6</v>
      </c>
      <c r="C2680" t="n">
        <v>3024</v>
      </c>
      <c r="D2680" s="6" t="n">
        <v>39.6</v>
      </c>
      <c r="E2680" s="6" t="n">
        <v>1165502.13</v>
      </c>
      <c r="F2680" s="6">
        <f>ROUND(E2680-E2679,2)</f>
        <v/>
      </c>
      <c r="G2680" s="6">
        <f>ROUND(F2680-D2680,2)</f>
        <v/>
      </c>
    </row>
    <row r="2681">
      <c r="A2681" t="inlineStr">
        <is>
          <t>2022-08-05</t>
        </is>
      </c>
      <c r="B2681" t="n">
        <v>7</v>
      </c>
      <c r="C2681" t="n">
        <v>3024</v>
      </c>
      <c r="D2681" s="6" t="n">
        <v>74.2</v>
      </c>
      <c r="E2681" s="6" t="n">
        <v>1165576.33</v>
      </c>
      <c r="F2681" s="6">
        <f>ROUND(E2681-E2680,2)</f>
        <v/>
      </c>
      <c r="G2681" s="6">
        <f>ROUND(F2681-D2681,2)</f>
        <v/>
      </c>
    </row>
    <row r="2682">
      <c r="A2682" t="inlineStr">
        <is>
          <t>2022-08-05</t>
        </is>
      </c>
      <c r="B2682" t="n">
        <v>8</v>
      </c>
      <c r="C2682" t="n">
        <v>3024</v>
      </c>
      <c r="D2682" s="6" t="n">
        <v>99.7</v>
      </c>
      <c r="E2682" s="6" t="n">
        <v>1165676.03</v>
      </c>
      <c r="F2682" s="6">
        <f>ROUND(E2682-E2681,2)</f>
        <v/>
      </c>
      <c r="G2682" s="6">
        <f>ROUND(F2682-D2682,2)</f>
        <v/>
      </c>
    </row>
    <row r="2683">
      <c r="A2683" t="inlineStr">
        <is>
          <t>2022-08-05</t>
        </is>
      </c>
      <c r="B2683" t="n">
        <v>9</v>
      </c>
      <c r="C2683" t="n">
        <v>3024</v>
      </c>
      <c r="D2683" s="6" t="n">
        <v>78.09999999999999</v>
      </c>
      <c r="E2683" s="6" t="n">
        <v>1165754.13</v>
      </c>
      <c r="F2683" s="6">
        <f>ROUND(E2683-E2682,2)</f>
        <v/>
      </c>
      <c r="G2683" s="6">
        <f>ROUND(F2683-D2683,2)</f>
        <v/>
      </c>
    </row>
    <row r="2684">
      <c r="A2684" t="inlineStr">
        <is>
          <t>2022-08-05</t>
        </is>
      </c>
      <c r="B2684" t="n">
        <v>10</v>
      </c>
      <c r="C2684" t="n">
        <v>3024</v>
      </c>
      <c r="D2684" s="6" t="n">
        <v>148.5</v>
      </c>
      <c r="E2684" s="6" t="n">
        <v>1165902.63</v>
      </c>
      <c r="F2684" s="6">
        <f>ROUND(E2684-E2683,2)</f>
        <v/>
      </c>
      <c r="G2684" s="6">
        <f>ROUND(F2684-D2684,2)</f>
        <v/>
      </c>
    </row>
    <row r="2685">
      <c r="A2685" t="inlineStr">
        <is>
          <t>2022-08-05</t>
        </is>
      </c>
      <c r="B2685" t="n">
        <v>11</v>
      </c>
      <c r="C2685" t="n">
        <v>3024</v>
      </c>
      <c r="D2685" s="6" t="n">
        <v>45.3</v>
      </c>
      <c r="E2685" s="6" t="n">
        <v>1165947.93</v>
      </c>
      <c r="F2685" s="6">
        <f>ROUND(E2685-E2684,2)</f>
        <v/>
      </c>
      <c r="G2685" s="6">
        <f>ROUND(F2685-D2685,2)</f>
        <v/>
      </c>
    </row>
    <row r="2686">
      <c r="A2686" t="inlineStr">
        <is>
          <t>2022-08-05</t>
        </is>
      </c>
      <c r="B2686" t="n">
        <v>12</v>
      </c>
      <c r="C2686" t="n">
        <v>3024</v>
      </c>
      <c r="D2686" s="6" t="n">
        <v>66.59999999999999</v>
      </c>
      <c r="E2686" s="6" t="n">
        <v>1166014.53</v>
      </c>
      <c r="F2686" s="6">
        <f>ROUND(E2686-E2685,2)</f>
        <v/>
      </c>
      <c r="G2686" s="6">
        <f>ROUND(F2686-D2686,2)</f>
        <v/>
      </c>
    </row>
    <row r="2687">
      <c r="A2687" t="inlineStr">
        <is>
          <t>2022-08-05</t>
        </is>
      </c>
      <c r="B2687" t="n">
        <v>13</v>
      </c>
      <c r="C2687" t="n">
        <v>3024</v>
      </c>
      <c r="D2687" s="6" t="n">
        <v>120.3</v>
      </c>
      <c r="E2687" s="6" t="n">
        <v>1166134.83</v>
      </c>
      <c r="F2687" s="6">
        <f>ROUND(E2687-E2686,2)</f>
        <v/>
      </c>
      <c r="G2687" s="6">
        <f>ROUND(F2687-D2687,2)</f>
        <v/>
      </c>
    </row>
    <row r="2688">
      <c r="A2688" t="inlineStr">
        <is>
          <t>2022-08-05</t>
        </is>
      </c>
      <c r="B2688" t="n">
        <v>14</v>
      </c>
      <c r="C2688" t="n">
        <v>3024</v>
      </c>
      <c r="D2688" s="6" t="n">
        <v>46.1</v>
      </c>
      <c r="E2688" s="6" t="n">
        <v>1166180.93</v>
      </c>
      <c r="F2688" s="6">
        <f>ROUND(E2688-E2687,2)</f>
        <v/>
      </c>
      <c r="G2688" s="6">
        <f>ROUND(F2688-D2688,2)</f>
        <v/>
      </c>
    </row>
    <row r="2689">
      <c r="A2689" t="inlineStr">
        <is>
          <t>2022-08-05</t>
        </is>
      </c>
      <c r="B2689" t="n">
        <v>15</v>
      </c>
      <c r="C2689" t="n">
        <v>3024</v>
      </c>
      <c r="D2689" s="6" t="n">
        <v>88.90000000000001</v>
      </c>
      <c r="E2689" s="6" t="n">
        <v>1166269.83</v>
      </c>
      <c r="F2689" s="6">
        <f>ROUND(E2689-E2688,2)</f>
        <v/>
      </c>
      <c r="G2689" s="6">
        <f>ROUND(F2689-D2689,2)</f>
        <v/>
      </c>
    </row>
    <row r="2690">
      <c r="A2690" t="inlineStr">
        <is>
          <t>2022-08-05</t>
        </is>
      </c>
      <c r="B2690" t="n">
        <v>16</v>
      </c>
      <c r="C2690" t="n">
        <v>3024</v>
      </c>
      <c r="D2690" s="6" t="n">
        <v>147.8</v>
      </c>
      <c r="E2690" s="6" t="n">
        <v>1166417.63</v>
      </c>
      <c r="F2690" s="6">
        <f>ROUND(E2690-E2689,2)</f>
        <v/>
      </c>
      <c r="G2690" s="6">
        <f>ROUND(F2690-D2690,2)</f>
        <v/>
      </c>
    </row>
    <row r="2691">
      <c r="A2691" t="inlineStr">
        <is>
          <t>2022-08-05</t>
        </is>
      </c>
      <c r="B2691" t="n">
        <v>17</v>
      </c>
      <c r="C2691" t="n">
        <v>3024</v>
      </c>
      <c r="D2691" s="6" t="n">
        <v>99.7</v>
      </c>
      <c r="E2691" s="6" t="n">
        <v>1166517.33</v>
      </c>
      <c r="F2691" s="6">
        <f>ROUND(E2691-E2690,2)</f>
        <v/>
      </c>
      <c r="G2691" s="6">
        <f>ROUND(F2691-D2691,2)</f>
        <v/>
      </c>
    </row>
    <row r="2692">
      <c r="A2692" t="inlineStr">
        <is>
          <t>2022-08-05</t>
        </is>
      </c>
      <c r="B2692" t="n">
        <v>18</v>
      </c>
      <c r="C2692" t="n">
        <v>3024</v>
      </c>
      <c r="D2692" s="6" t="n">
        <v>81.8</v>
      </c>
      <c r="E2692" s="6" t="n">
        <v>1166599.13</v>
      </c>
      <c r="F2692" s="6">
        <f>ROUND(E2692-E2691,2)</f>
        <v/>
      </c>
      <c r="G2692" s="6">
        <f>ROUND(F2692-D2692,2)</f>
        <v/>
      </c>
    </row>
    <row r="2693">
      <c r="A2693" t="inlineStr">
        <is>
          <t>2022-08-05</t>
        </is>
      </c>
      <c r="B2693" t="n">
        <v>19</v>
      </c>
      <c r="C2693" t="n">
        <v>3024</v>
      </c>
      <c r="D2693" s="6" t="n">
        <v>96.40000000000001</v>
      </c>
      <c r="E2693" s="6" t="n">
        <v>1166695.53</v>
      </c>
      <c r="F2693" s="6">
        <f>ROUND(E2693-E2692,2)</f>
        <v/>
      </c>
      <c r="G2693" s="6">
        <f>ROUND(F2693-D2693,2)</f>
        <v/>
      </c>
    </row>
    <row r="2694">
      <c r="A2694" t="inlineStr">
        <is>
          <t>2022-08-05</t>
        </is>
      </c>
      <c r="B2694" t="n">
        <v>20</v>
      </c>
      <c r="C2694" t="n">
        <v>3024</v>
      </c>
      <c r="D2694" s="6" t="n">
        <v>59.8</v>
      </c>
      <c r="E2694" s="6" t="n">
        <v>1166755.33</v>
      </c>
      <c r="F2694" s="6">
        <f>ROUND(E2694-E2693,2)</f>
        <v/>
      </c>
      <c r="G2694" s="6">
        <f>ROUND(F2694-D2694,2)</f>
        <v/>
      </c>
    </row>
    <row r="2695">
      <c r="A2695" t="inlineStr">
        <is>
          <t>2022-08-05</t>
        </is>
      </c>
      <c r="B2695" t="n">
        <v>21</v>
      </c>
      <c r="C2695" t="n">
        <v>3024</v>
      </c>
      <c r="D2695" s="6" t="n">
        <v>78</v>
      </c>
      <c r="E2695" s="6" t="n">
        <v>1166833.33</v>
      </c>
      <c r="F2695" s="6">
        <f>ROUND(E2695-E2694,2)</f>
        <v/>
      </c>
      <c r="G2695" s="6">
        <f>ROUND(F2695-D2695,2)</f>
        <v/>
      </c>
    </row>
    <row r="2696">
      <c r="A2696" t="inlineStr">
        <is>
          <t>2022-08-05</t>
        </is>
      </c>
      <c r="B2696" t="n">
        <v>22</v>
      </c>
      <c r="C2696" t="n">
        <v>3024</v>
      </c>
      <c r="D2696" s="6" t="n">
        <v>84.59999999999999</v>
      </c>
      <c r="E2696" s="6" t="n">
        <v>1166917.93</v>
      </c>
      <c r="F2696" s="6">
        <f>ROUND(E2696-E2695,2)</f>
        <v/>
      </c>
      <c r="G2696" s="6">
        <f>ROUND(F2696-D2696,2)</f>
        <v/>
      </c>
    </row>
    <row r="2697">
      <c r="A2697" t="inlineStr">
        <is>
          <t>2022-08-05</t>
        </is>
      </c>
      <c r="B2697" t="n">
        <v>23</v>
      </c>
      <c r="C2697" t="n">
        <v>3024</v>
      </c>
      <c r="D2697" s="6" t="n">
        <v>52.8</v>
      </c>
      <c r="E2697" s="6" t="n">
        <v>1166970.73</v>
      </c>
      <c r="F2697" s="6">
        <f>ROUND(E2697-E2696,2)</f>
        <v/>
      </c>
      <c r="G2697" s="6">
        <f>ROUND(F2697-D2697,2)</f>
        <v/>
      </c>
    </row>
    <row r="2698">
      <c r="A2698" t="inlineStr">
        <is>
          <t>2022-08-05</t>
        </is>
      </c>
      <c r="B2698" t="n">
        <v>24</v>
      </c>
      <c r="C2698" t="n">
        <v>3024</v>
      </c>
      <c r="D2698" s="6" t="n">
        <v>78.2</v>
      </c>
      <c r="E2698" s="6" t="n">
        <v>1167048.93</v>
      </c>
      <c r="F2698" s="6">
        <f>ROUND(E2698-E2697,2)</f>
        <v/>
      </c>
      <c r="G2698" s="6">
        <f>ROUND(F2698-D2698,2)</f>
        <v/>
      </c>
    </row>
    <row r="2699">
      <c r="A2699" t="inlineStr">
        <is>
          <t>2022-08-05</t>
        </is>
      </c>
      <c r="B2699" t="n">
        <v>25</v>
      </c>
      <c r="C2699" t="n">
        <v>3024</v>
      </c>
      <c r="D2699" s="6" t="n">
        <v>119.1</v>
      </c>
      <c r="E2699" s="6" t="n">
        <v>1167168.03</v>
      </c>
      <c r="F2699" s="6">
        <f>ROUND(E2699-E2698,2)</f>
        <v/>
      </c>
      <c r="G2699" s="6">
        <f>ROUND(F2699-D2699,2)</f>
        <v/>
      </c>
    </row>
    <row r="2700">
      <c r="A2700" t="inlineStr">
        <is>
          <t>2022-08-05</t>
        </is>
      </c>
      <c r="B2700" t="n">
        <v>26</v>
      </c>
      <c r="C2700" t="n">
        <v>3024</v>
      </c>
      <c r="D2700" s="6" t="n">
        <v>28.5</v>
      </c>
      <c r="E2700" s="6" t="n">
        <v>1167196.53</v>
      </c>
      <c r="F2700" s="6">
        <f>ROUND(E2700-E2699,2)</f>
        <v/>
      </c>
      <c r="G2700" s="6">
        <f>ROUND(F2700-D2700,2)</f>
        <v/>
      </c>
    </row>
    <row r="2701">
      <c r="A2701" t="inlineStr">
        <is>
          <t>2022-08-05</t>
        </is>
      </c>
      <c r="B2701" t="n">
        <v>27</v>
      </c>
      <c r="C2701" t="n">
        <v>3024</v>
      </c>
      <c r="D2701" s="6" t="n">
        <v>104.9</v>
      </c>
      <c r="E2701" s="6" t="n">
        <v>1167301.43</v>
      </c>
      <c r="F2701" s="6">
        <f>ROUND(E2701-E2700,2)</f>
        <v/>
      </c>
      <c r="G2701" s="6">
        <f>ROUND(F2701-D2701,2)</f>
        <v/>
      </c>
    </row>
    <row r="2702">
      <c r="A2702" t="inlineStr">
        <is>
          <t>2022-08-05</t>
        </is>
      </c>
      <c r="B2702" t="n">
        <v>28</v>
      </c>
      <c r="C2702" t="n">
        <v>3024</v>
      </c>
      <c r="D2702" s="6" t="n">
        <v>79.90000000000001</v>
      </c>
      <c r="E2702" s="6" t="n">
        <v>1167381.33</v>
      </c>
      <c r="F2702" s="6">
        <f>ROUND(E2702-E2701,2)</f>
        <v/>
      </c>
      <c r="G2702" s="6">
        <f>ROUND(F2702-D2702,2)</f>
        <v/>
      </c>
    </row>
    <row r="2703">
      <c r="A2703" t="inlineStr">
        <is>
          <t>2022-08-05</t>
        </is>
      </c>
      <c r="B2703" t="n">
        <v>29</v>
      </c>
      <c r="C2703" t="n">
        <v>3024</v>
      </c>
      <c r="D2703" s="6" t="n">
        <v>115.9</v>
      </c>
      <c r="E2703" s="6" t="n">
        <v>1167497.23</v>
      </c>
      <c r="F2703" s="6">
        <f>ROUND(E2703-E2702,2)</f>
        <v/>
      </c>
      <c r="G2703" s="6">
        <f>ROUND(F2703-D2703,2)</f>
        <v/>
      </c>
    </row>
    <row r="2704">
      <c r="A2704" t="inlineStr">
        <is>
          <t>2022-08-05</t>
        </is>
      </c>
      <c r="B2704" t="n">
        <v>30</v>
      </c>
      <c r="C2704" t="n">
        <v>3024</v>
      </c>
      <c r="D2704" s="6" t="n">
        <v>153.4</v>
      </c>
      <c r="E2704" s="6" t="n">
        <v>1167650.63</v>
      </c>
      <c r="F2704" s="6">
        <f>ROUND(E2704-E2703,2)</f>
        <v/>
      </c>
      <c r="G2704" s="6">
        <f>ROUND(F2704-D2704,2)</f>
        <v/>
      </c>
    </row>
    <row r="2705">
      <c r="A2705" t="inlineStr">
        <is>
          <t>2022-08-06</t>
        </is>
      </c>
      <c r="B2705" t="n">
        <v>1</v>
      </c>
      <c r="C2705" t="n">
        <v>3025</v>
      </c>
      <c r="D2705" s="6" t="n">
        <v>101.6</v>
      </c>
      <c r="E2705" s="6" t="n">
        <v>1167752.23</v>
      </c>
      <c r="F2705" s="6">
        <f>ROUND(E2705-E2704,2)</f>
        <v/>
      </c>
      <c r="G2705" s="6">
        <f>ROUND(F2705-D2705,2)</f>
        <v/>
      </c>
    </row>
    <row r="2706">
      <c r="A2706" t="inlineStr">
        <is>
          <t>2022-08-06</t>
        </is>
      </c>
      <c r="B2706" t="n">
        <v>2</v>
      </c>
      <c r="C2706" t="n">
        <v>3025</v>
      </c>
      <c r="D2706" s="6" t="n">
        <v>106.5</v>
      </c>
      <c r="E2706" s="6" t="n">
        <v>1167858.73</v>
      </c>
      <c r="F2706" s="6">
        <f>ROUND(E2706-E2705,2)</f>
        <v/>
      </c>
      <c r="G2706" s="6">
        <f>ROUND(F2706-D2706,2)</f>
        <v/>
      </c>
    </row>
    <row r="2707">
      <c r="A2707" t="inlineStr">
        <is>
          <t>2022-08-06</t>
        </is>
      </c>
      <c r="B2707" t="n">
        <v>3</v>
      </c>
      <c r="C2707" t="n">
        <v>3025</v>
      </c>
      <c r="D2707" s="6" t="n">
        <v>61.2</v>
      </c>
      <c r="E2707" s="6" t="n">
        <v>1167919.93</v>
      </c>
      <c r="F2707" s="6">
        <f>ROUND(E2707-E2706,2)</f>
        <v/>
      </c>
      <c r="G2707" s="6">
        <f>ROUND(F2707-D2707,2)</f>
        <v/>
      </c>
    </row>
    <row r="2708">
      <c r="A2708" t="inlineStr">
        <is>
          <t>2022-08-06</t>
        </is>
      </c>
      <c r="B2708" t="n">
        <v>4</v>
      </c>
      <c r="C2708" t="n">
        <v>3025</v>
      </c>
      <c r="D2708" s="6" t="n">
        <v>78.09999999999999</v>
      </c>
      <c r="E2708" s="6" t="n">
        <v>1167998.03</v>
      </c>
      <c r="F2708" s="6">
        <f>ROUND(E2708-E2707,2)</f>
        <v/>
      </c>
      <c r="G2708" s="6">
        <f>ROUND(F2708-D2708,2)</f>
        <v/>
      </c>
    </row>
    <row r="2709">
      <c r="A2709" t="inlineStr">
        <is>
          <t>2022-08-06</t>
        </is>
      </c>
      <c r="B2709" t="n">
        <v>5</v>
      </c>
      <c r="C2709" t="n">
        <v>3025</v>
      </c>
      <c r="D2709" s="6" t="n">
        <v>59.5</v>
      </c>
      <c r="E2709" s="6" t="n">
        <v>1168057.53</v>
      </c>
      <c r="F2709" s="6">
        <f>ROUND(E2709-E2708,2)</f>
        <v/>
      </c>
      <c r="G2709" s="6">
        <f>ROUND(F2709-D2709,2)</f>
        <v/>
      </c>
    </row>
    <row r="2710">
      <c r="A2710" t="inlineStr">
        <is>
          <t>2022-08-06</t>
        </is>
      </c>
      <c r="B2710" t="n">
        <v>6</v>
      </c>
      <c r="C2710" t="n">
        <v>3025</v>
      </c>
      <c r="D2710" s="6" t="n">
        <v>77.5</v>
      </c>
      <c r="E2710" s="6" t="n">
        <v>1168135.03</v>
      </c>
      <c r="F2710" s="6">
        <f>ROUND(E2710-E2709,2)</f>
        <v/>
      </c>
      <c r="G2710" s="6">
        <f>ROUND(F2710-D2710,2)</f>
        <v/>
      </c>
    </row>
    <row r="2711">
      <c r="A2711" t="inlineStr">
        <is>
          <t>2022-08-06</t>
        </is>
      </c>
      <c r="B2711" t="n">
        <v>7</v>
      </c>
      <c r="C2711" t="n">
        <v>3025</v>
      </c>
      <c r="D2711" s="6" t="n">
        <v>45.5</v>
      </c>
      <c r="E2711" s="6" t="n">
        <v>1168180.53</v>
      </c>
      <c r="F2711" s="6">
        <f>ROUND(E2711-E2710,2)</f>
        <v/>
      </c>
      <c r="G2711" s="6">
        <f>ROUND(F2711-D2711,2)</f>
        <v/>
      </c>
    </row>
    <row r="2712">
      <c r="A2712" t="inlineStr">
        <is>
          <t>2022-08-06</t>
        </is>
      </c>
      <c r="B2712" t="n">
        <v>8</v>
      </c>
      <c r="C2712" t="n">
        <v>3025</v>
      </c>
      <c r="D2712" s="6" t="n">
        <v>30.2</v>
      </c>
      <c r="E2712" s="6" t="n">
        <v>1168210.73</v>
      </c>
      <c r="F2712" s="6">
        <f>ROUND(E2712-E2711,2)</f>
        <v/>
      </c>
      <c r="G2712" s="6">
        <f>ROUND(F2712-D2712,2)</f>
        <v/>
      </c>
    </row>
    <row r="2713">
      <c r="A2713" t="inlineStr">
        <is>
          <t>2022-08-06</t>
        </is>
      </c>
      <c r="B2713" t="n">
        <v>9</v>
      </c>
      <c r="C2713" t="n">
        <v>3025</v>
      </c>
      <c r="D2713" s="6" t="n">
        <v>28.7</v>
      </c>
      <c r="E2713" s="6" t="n">
        <v>1168239.43</v>
      </c>
      <c r="F2713" s="6">
        <f>ROUND(E2713-E2712,2)</f>
        <v/>
      </c>
      <c r="G2713" s="6">
        <f>ROUND(F2713-D2713,2)</f>
        <v/>
      </c>
    </row>
    <row r="2714">
      <c r="A2714" t="inlineStr">
        <is>
          <t>2022-08-06</t>
        </is>
      </c>
      <c r="B2714" t="n">
        <v>10</v>
      </c>
      <c r="C2714" t="n">
        <v>3025</v>
      </c>
      <c r="D2714" s="6" t="n">
        <v>110.4</v>
      </c>
      <c r="E2714" s="6" t="n">
        <v>1168349.83</v>
      </c>
      <c r="F2714" s="6">
        <f>ROUND(E2714-E2713,2)</f>
        <v/>
      </c>
      <c r="G2714" s="6">
        <f>ROUND(F2714-D2714,2)</f>
        <v/>
      </c>
    </row>
    <row r="2715">
      <c r="A2715" t="inlineStr">
        <is>
          <t>2022-08-06</t>
        </is>
      </c>
      <c r="B2715" t="n">
        <v>11</v>
      </c>
      <c r="C2715" t="n">
        <v>3025</v>
      </c>
      <c r="D2715" s="6" t="n">
        <v>45.2</v>
      </c>
      <c r="E2715" s="6" t="n">
        <v>1168395.03</v>
      </c>
      <c r="F2715" s="6">
        <f>ROUND(E2715-E2714,2)</f>
        <v/>
      </c>
      <c r="G2715" s="6">
        <f>ROUND(F2715-D2715,2)</f>
        <v/>
      </c>
    </row>
    <row r="2716">
      <c r="A2716" t="inlineStr">
        <is>
          <t>2022-08-06</t>
        </is>
      </c>
      <c r="B2716" t="n">
        <v>12</v>
      </c>
      <c r="C2716" t="n">
        <v>3025</v>
      </c>
      <c r="D2716" s="6" t="n">
        <v>74.3</v>
      </c>
      <c r="E2716" s="6" t="n">
        <v>1168469.33</v>
      </c>
      <c r="F2716" s="6">
        <f>ROUND(E2716-E2715,2)</f>
        <v/>
      </c>
      <c r="G2716" s="6">
        <f>ROUND(F2716-D2716,2)</f>
        <v/>
      </c>
    </row>
    <row r="2717">
      <c r="A2717" t="inlineStr">
        <is>
          <t>2022-08-06</t>
        </is>
      </c>
      <c r="B2717" t="n">
        <v>13</v>
      </c>
      <c r="C2717" t="n">
        <v>3025</v>
      </c>
      <c r="D2717" s="6" t="n">
        <v>54.7</v>
      </c>
      <c r="E2717" s="6" t="n">
        <v>1168524.03</v>
      </c>
      <c r="F2717" s="6">
        <f>ROUND(E2717-E2716,2)</f>
        <v/>
      </c>
      <c r="G2717" s="6">
        <f>ROUND(F2717-D2717,2)</f>
        <v/>
      </c>
    </row>
    <row r="2718">
      <c r="A2718" t="inlineStr">
        <is>
          <t>2022-08-06</t>
        </is>
      </c>
      <c r="B2718" t="n">
        <v>14</v>
      </c>
      <c r="C2718" t="n">
        <v>3025</v>
      </c>
      <c r="D2718" s="6" t="n">
        <v>48.8</v>
      </c>
      <c r="E2718" s="6" t="n">
        <v>1168572.83</v>
      </c>
      <c r="F2718" s="6">
        <f>ROUND(E2718-E2717,2)</f>
        <v/>
      </c>
      <c r="G2718" s="6">
        <f>ROUND(F2718-D2718,2)</f>
        <v/>
      </c>
    </row>
    <row r="2719">
      <c r="A2719" t="inlineStr">
        <is>
          <t>2022-08-06</t>
        </is>
      </c>
      <c r="B2719" t="n">
        <v>15</v>
      </c>
      <c r="C2719" t="n">
        <v>3025</v>
      </c>
      <c r="D2719" s="6" t="n">
        <v>161</v>
      </c>
      <c r="E2719" s="6" t="n">
        <v>1168733.83</v>
      </c>
      <c r="F2719" s="6">
        <f>ROUND(E2719-E2718,2)</f>
        <v/>
      </c>
      <c r="G2719" s="6">
        <f>ROUND(F2719-D2719,2)</f>
        <v/>
      </c>
    </row>
    <row r="2720">
      <c r="A2720" t="inlineStr">
        <is>
          <t>2022-08-06</t>
        </is>
      </c>
      <c r="B2720" t="n">
        <v>16</v>
      </c>
      <c r="C2720" t="n">
        <v>3025</v>
      </c>
      <c r="D2720" s="6" t="n">
        <v>64.59999999999999</v>
      </c>
      <c r="E2720" s="6" t="n">
        <v>1168798.43</v>
      </c>
      <c r="F2720" s="6">
        <f>ROUND(E2720-E2719,2)</f>
        <v/>
      </c>
      <c r="G2720" s="6">
        <f>ROUND(F2720-D2720,2)</f>
        <v/>
      </c>
    </row>
    <row r="2721">
      <c r="A2721" t="inlineStr">
        <is>
          <t>2022-08-06</t>
        </is>
      </c>
      <c r="B2721" t="n">
        <v>17</v>
      </c>
      <c r="C2721" t="n">
        <v>3025</v>
      </c>
      <c r="D2721" s="6" t="n">
        <v>63.7</v>
      </c>
      <c r="E2721" s="6" t="n">
        <v>1168862.13</v>
      </c>
      <c r="F2721" s="6">
        <f>ROUND(E2721-E2720,2)</f>
        <v/>
      </c>
      <c r="G2721" s="6">
        <f>ROUND(F2721-D2721,2)</f>
        <v/>
      </c>
    </row>
    <row r="2722">
      <c r="A2722" t="inlineStr">
        <is>
          <t>2022-08-06</t>
        </is>
      </c>
      <c r="B2722" t="n">
        <v>18</v>
      </c>
      <c r="C2722" t="n">
        <v>3025</v>
      </c>
      <c r="D2722" s="6" t="n">
        <v>31.6</v>
      </c>
      <c r="E2722" s="6" t="n">
        <v>1168893.73</v>
      </c>
      <c r="F2722" s="6">
        <f>ROUND(E2722-E2721,2)</f>
        <v/>
      </c>
      <c r="G2722" s="6">
        <f>ROUND(F2722-D2722,2)</f>
        <v/>
      </c>
    </row>
    <row r="2723">
      <c r="A2723" t="inlineStr">
        <is>
          <t>2022-08-06</t>
        </is>
      </c>
      <c r="B2723" t="n">
        <v>19</v>
      </c>
      <c r="C2723" t="n">
        <v>3025</v>
      </c>
      <c r="D2723" s="6" t="n">
        <v>31.6</v>
      </c>
      <c r="E2723" s="6" t="n">
        <v>1168925.33</v>
      </c>
      <c r="F2723" s="6">
        <f>ROUND(E2723-E2722,2)</f>
        <v/>
      </c>
      <c r="G2723" s="6">
        <f>ROUND(F2723-D2723,2)</f>
        <v/>
      </c>
    </row>
    <row r="2724">
      <c r="A2724" t="inlineStr">
        <is>
          <t>2022-08-06</t>
        </is>
      </c>
      <c r="B2724" t="n">
        <v>20</v>
      </c>
      <c r="C2724" t="n">
        <v>3025</v>
      </c>
      <c r="D2724" s="6" t="n">
        <v>60.3</v>
      </c>
      <c r="E2724" s="6" t="n">
        <v>1168985.63</v>
      </c>
      <c r="F2724" s="6">
        <f>ROUND(E2724-E2723,2)</f>
        <v/>
      </c>
      <c r="G2724" s="6">
        <f>ROUND(F2724-D2724,2)</f>
        <v/>
      </c>
    </row>
    <row r="2725">
      <c r="A2725" t="inlineStr">
        <is>
          <t>2022-08-06</t>
        </is>
      </c>
      <c r="B2725" t="n">
        <v>21</v>
      </c>
      <c r="C2725" t="n">
        <v>3025</v>
      </c>
      <c r="D2725" s="6" t="n">
        <v>57.2</v>
      </c>
      <c r="E2725" s="6" t="n">
        <v>1169042.83</v>
      </c>
      <c r="F2725" s="6">
        <f>ROUND(E2725-E2724,2)</f>
        <v/>
      </c>
      <c r="G2725" s="6">
        <f>ROUND(F2725-D2725,2)</f>
        <v/>
      </c>
    </row>
    <row r="2726">
      <c r="A2726" t="inlineStr">
        <is>
          <t>2022-08-06</t>
        </is>
      </c>
      <c r="B2726" t="n">
        <v>22</v>
      </c>
      <c r="C2726" t="n">
        <v>3025</v>
      </c>
      <c r="D2726" s="6" t="n">
        <v>95.3</v>
      </c>
      <c r="E2726" s="6" t="n">
        <v>1169138.13</v>
      </c>
      <c r="F2726" s="6">
        <f>ROUND(E2726-E2725,2)</f>
        <v/>
      </c>
      <c r="G2726" s="6">
        <f>ROUND(F2726-D2726,2)</f>
        <v/>
      </c>
    </row>
    <row r="2727">
      <c r="A2727" t="inlineStr">
        <is>
          <t>2022-08-06</t>
        </is>
      </c>
      <c r="B2727" t="n">
        <v>23</v>
      </c>
      <c r="C2727" t="n">
        <v>3025</v>
      </c>
      <c r="D2727" s="6" t="n">
        <v>59.6</v>
      </c>
      <c r="E2727" s="6" t="n">
        <v>1169197.73</v>
      </c>
      <c r="F2727" s="6">
        <f>ROUND(E2727-E2726,2)</f>
        <v/>
      </c>
      <c r="G2727" s="6">
        <f>ROUND(F2727-D2727,2)</f>
        <v/>
      </c>
    </row>
    <row r="2728">
      <c r="A2728" t="inlineStr">
        <is>
          <t>2022-08-06</t>
        </is>
      </c>
      <c r="B2728" t="n">
        <v>24</v>
      </c>
      <c r="C2728" t="n">
        <v>3025</v>
      </c>
      <c r="D2728" s="6" t="n">
        <v>144.3</v>
      </c>
      <c r="E2728" s="6" t="n">
        <v>1169342.03</v>
      </c>
      <c r="F2728" s="6">
        <f>ROUND(E2728-E2727,2)</f>
        <v/>
      </c>
      <c r="G2728" s="6">
        <f>ROUND(F2728-D2728,2)</f>
        <v/>
      </c>
    </row>
    <row r="2729">
      <c r="A2729" t="inlineStr">
        <is>
          <t>2022-08-06</t>
        </is>
      </c>
      <c r="B2729" t="n">
        <v>25</v>
      </c>
      <c r="C2729" t="n">
        <v>3025</v>
      </c>
      <c r="D2729" s="6" t="n">
        <v>56.7</v>
      </c>
      <c r="E2729" s="6" t="n">
        <v>1169398.73</v>
      </c>
      <c r="F2729" s="6">
        <f>ROUND(E2729-E2728,2)</f>
        <v/>
      </c>
      <c r="G2729" s="6">
        <f>ROUND(F2729-D2729,2)</f>
        <v/>
      </c>
    </row>
    <row r="2730">
      <c r="A2730" t="inlineStr">
        <is>
          <t>2022-08-06</t>
        </is>
      </c>
      <c r="B2730" t="n">
        <v>26</v>
      </c>
      <c r="C2730" t="n">
        <v>3025</v>
      </c>
      <c r="D2730" s="6" t="n">
        <v>34.7</v>
      </c>
      <c r="E2730" s="6" t="n">
        <v>1169433.43</v>
      </c>
      <c r="F2730" s="6">
        <f>ROUND(E2730-E2729,2)</f>
        <v/>
      </c>
      <c r="G2730" s="6">
        <f>ROUND(F2730-D2730,2)</f>
        <v/>
      </c>
    </row>
    <row r="2731">
      <c r="A2731" t="inlineStr">
        <is>
          <t>2022-08-06</t>
        </is>
      </c>
      <c r="B2731" t="n">
        <v>27</v>
      </c>
      <c r="C2731" t="n">
        <v>3025</v>
      </c>
      <c r="D2731" s="6" t="n">
        <v>87.90000000000001</v>
      </c>
      <c r="E2731" s="6" t="n">
        <v>1169521.33</v>
      </c>
      <c r="F2731" s="6">
        <f>ROUND(E2731-E2730,2)</f>
        <v/>
      </c>
      <c r="G2731" s="6">
        <f>ROUND(F2731-D2731,2)</f>
        <v/>
      </c>
    </row>
    <row r="2732">
      <c r="A2732" t="inlineStr">
        <is>
          <t>2022-08-06</t>
        </is>
      </c>
      <c r="B2732" t="n">
        <v>28</v>
      </c>
      <c r="C2732" t="n">
        <v>3025</v>
      </c>
      <c r="D2732" s="6" t="n">
        <v>110.2</v>
      </c>
      <c r="E2732" s="6" t="n">
        <v>1169631.53</v>
      </c>
      <c r="F2732" s="6">
        <f>ROUND(E2732-E2731,2)</f>
        <v/>
      </c>
      <c r="G2732" s="6">
        <f>ROUND(F2732-D2732,2)</f>
        <v/>
      </c>
    </row>
    <row r="2733">
      <c r="A2733" t="inlineStr">
        <is>
          <t>2022-08-06</t>
        </is>
      </c>
      <c r="B2733" t="n">
        <v>29</v>
      </c>
      <c r="C2733" t="n">
        <v>3025</v>
      </c>
      <c r="D2733" s="6" t="n">
        <v>105.6</v>
      </c>
      <c r="E2733" s="6" t="n">
        <v>1169737.13</v>
      </c>
      <c r="F2733" s="6">
        <f>ROUND(E2733-E2732,2)</f>
        <v/>
      </c>
      <c r="G2733" s="6">
        <f>ROUND(F2733-D2733,2)</f>
        <v/>
      </c>
    </row>
    <row r="2734">
      <c r="A2734" t="inlineStr">
        <is>
          <t>2022-08-06</t>
        </is>
      </c>
      <c r="B2734" t="n">
        <v>30</v>
      </c>
      <c r="C2734" t="n">
        <v>3025</v>
      </c>
      <c r="D2734" s="6" t="n">
        <v>29.3</v>
      </c>
      <c r="E2734" s="6" t="n">
        <v>1169766.43</v>
      </c>
      <c r="F2734" s="6">
        <f>ROUND(E2734-E2733,2)</f>
        <v/>
      </c>
      <c r="G2734" s="6">
        <f>ROUND(F2734-D2734,2)</f>
        <v/>
      </c>
    </row>
    <row r="2735">
      <c r="A2735" t="inlineStr">
        <is>
          <t>2022-08-06</t>
        </is>
      </c>
      <c r="B2735" t="n">
        <v>31</v>
      </c>
      <c r="C2735" t="n">
        <v>3025</v>
      </c>
      <c r="D2735" s="6" t="n">
        <v>27.4</v>
      </c>
      <c r="E2735" s="6" t="n">
        <v>1169793.83</v>
      </c>
      <c r="F2735" s="6">
        <f>ROUND(E2735-E2734,2)</f>
        <v/>
      </c>
      <c r="G2735" s="6">
        <f>ROUND(F2735-D2735,2)</f>
        <v/>
      </c>
    </row>
    <row r="2736">
      <c r="A2736" t="inlineStr">
        <is>
          <t>2022-08-06</t>
        </is>
      </c>
      <c r="B2736" t="n">
        <v>32</v>
      </c>
      <c r="C2736" t="n">
        <v>3025</v>
      </c>
      <c r="D2736" s="6" t="n">
        <v>69.09999999999999</v>
      </c>
      <c r="E2736" s="6" t="n">
        <v>1169862.93</v>
      </c>
      <c r="F2736" s="6">
        <f>ROUND(E2736-E2735,2)</f>
        <v/>
      </c>
      <c r="G2736" s="6">
        <f>ROUND(F2736-D2736,2)</f>
        <v/>
      </c>
    </row>
    <row r="2737">
      <c r="A2737" t="inlineStr">
        <is>
          <t>2022-08-06</t>
        </is>
      </c>
      <c r="B2737" t="n">
        <v>33</v>
      </c>
      <c r="C2737" t="n">
        <v>3025</v>
      </c>
      <c r="D2737" s="6" t="n">
        <v>77.8</v>
      </c>
      <c r="E2737" s="6" t="n">
        <v>1169940.73</v>
      </c>
      <c r="F2737" s="6">
        <f>ROUND(E2737-E2736,2)</f>
        <v/>
      </c>
      <c r="G2737" s="6">
        <f>ROUND(F2737-D2737,2)</f>
        <v/>
      </c>
    </row>
    <row r="2738">
      <c r="A2738" t="inlineStr">
        <is>
          <t>2022-08-06</t>
        </is>
      </c>
      <c r="B2738" t="n">
        <v>34</v>
      </c>
      <c r="C2738" t="n">
        <v>3025</v>
      </c>
      <c r="D2738" s="6" t="n">
        <v>76</v>
      </c>
      <c r="E2738" s="6" t="n">
        <v>1170016.73</v>
      </c>
      <c r="F2738" s="6">
        <f>ROUND(E2738-E2737,2)</f>
        <v/>
      </c>
      <c r="G2738" s="6">
        <f>ROUND(F2738-D2738,2)</f>
        <v/>
      </c>
    </row>
    <row r="2739">
      <c r="A2739" t="inlineStr">
        <is>
          <t>2022-08-06</t>
        </is>
      </c>
      <c r="B2739" t="n">
        <v>35</v>
      </c>
      <c r="C2739" t="n">
        <v>3025</v>
      </c>
      <c r="D2739" s="6" t="n">
        <v>97.8</v>
      </c>
      <c r="E2739" s="6" t="n">
        <v>1170114.53</v>
      </c>
      <c r="F2739" s="6">
        <f>ROUND(E2739-E2738,2)</f>
        <v/>
      </c>
      <c r="G2739" s="6">
        <f>ROUND(F2739-D2739,2)</f>
        <v/>
      </c>
    </row>
    <row r="2740">
      <c r="A2740" t="inlineStr">
        <is>
          <t>2022-08-07</t>
        </is>
      </c>
      <c r="B2740" t="n">
        <v>1</v>
      </c>
      <c r="C2740" t="n">
        <v>3026</v>
      </c>
      <c r="D2740" s="6" t="n">
        <v>64</v>
      </c>
      <c r="E2740" s="6" t="n">
        <v>1170178.53</v>
      </c>
      <c r="F2740" s="6">
        <f>ROUND(E2740-E2739,2)</f>
        <v/>
      </c>
      <c r="G2740" s="6">
        <f>ROUND(F2740-D2740,2)</f>
        <v/>
      </c>
    </row>
    <row r="2741">
      <c r="A2741" t="inlineStr">
        <is>
          <t>2022-08-07</t>
        </is>
      </c>
      <c r="B2741" t="n">
        <v>2</v>
      </c>
      <c r="C2741" t="n">
        <v>3026</v>
      </c>
      <c r="D2741" s="6" t="n">
        <v>23.35</v>
      </c>
      <c r="E2741" s="6" t="n">
        <v>1170201.88</v>
      </c>
      <c r="F2741" s="6">
        <f>ROUND(E2741-E2740,2)</f>
        <v/>
      </c>
      <c r="G2741" s="6">
        <f>ROUND(F2741-D2741,2)</f>
        <v/>
      </c>
    </row>
    <row r="2742">
      <c r="A2742" t="inlineStr">
        <is>
          <t>2022-08-07</t>
        </is>
      </c>
      <c r="B2742" t="n">
        <v>3</v>
      </c>
      <c r="C2742" t="n">
        <v>3026</v>
      </c>
      <c r="D2742" s="6" t="n">
        <v>23.35</v>
      </c>
      <c r="E2742" s="6" t="n">
        <v>1170225.23</v>
      </c>
      <c r="F2742" s="6">
        <f>ROUND(E2742-E2741,2)</f>
        <v/>
      </c>
      <c r="G2742" s="6">
        <f>ROUND(F2742-D2742,2)</f>
        <v/>
      </c>
    </row>
    <row r="2743">
      <c r="A2743" t="inlineStr">
        <is>
          <t>2022-08-07</t>
        </is>
      </c>
      <c r="B2743" t="n">
        <v>4</v>
      </c>
      <c r="C2743" t="n">
        <v>3026</v>
      </c>
      <c r="D2743" s="6" t="n">
        <v>53.8</v>
      </c>
      <c r="E2743" s="6" t="n">
        <v>1170279.03</v>
      </c>
      <c r="F2743" s="6">
        <f>ROUND(E2743-E2742,2)</f>
        <v/>
      </c>
      <c r="G2743" s="6">
        <f>ROUND(F2743-D2743,2)</f>
        <v/>
      </c>
    </row>
    <row r="2744">
      <c r="A2744" t="inlineStr">
        <is>
          <t>2022-08-07</t>
        </is>
      </c>
      <c r="B2744" t="n">
        <v>5</v>
      </c>
      <c r="C2744" t="n">
        <v>3026</v>
      </c>
      <c r="D2744" s="6" t="n">
        <v>58.4</v>
      </c>
      <c r="E2744" s="6" t="n">
        <v>1170337.43</v>
      </c>
      <c r="F2744" s="6">
        <f>ROUND(E2744-E2743,2)</f>
        <v/>
      </c>
      <c r="G2744" s="6">
        <f>ROUND(F2744-D2744,2)</f>
        <v/>
      </c>
    </row>
    <row r="2745">
      <c r="A2745" t="inlineStr">
        <is>
          <t>2022-08-07</t>
        </is>
      </c>
      <c r="B2745" t="n">
        <v>6</v>
      </c>
      <c r="C2745" t="n">
        <v>3026</v>
      </c>
      <c r="D2745" s="6" t="n">
        <v>68.8</v>
      </c>
      <c r="E2745" s="6" t="n">
        <v>1170406.23</v>
      </c>
      <c r="F2745" s="6">
        <f>ROUND(E2745-E2744,2)</f>
        <v/>
      </c>
      <c r="G2745" s="6">
        <f>ROUND(F2745-D2745,2)</f>
        <v/>
      </c>
    </row>
    <row r="2746">
      <c r="A2746" t="inlineStr">
        <is>
          <t>2022-08-07</t>
        </is>
      </c>
      <c r="B2746" t="n">
        <v>7</v>
      </c>
      <c r="C2746" t="n">
        <v>3026</v>
      </c>
      <c r="D2746" s="6" t="n">
        <v>83.8</v>
      </c>
      <c r="E2746" s="6" t="n">
        <v>1170490.03</v>
      </c>
      <c r="F2746" s="6">
        <f>ROUND(E2746-E2745,2)</f>
        <v/>
      </c>
      <c r="G2746" s="6">
        <f>ROUND(F2746-D2746,2)</f>
        <v/>
      </c>
    </row>
    <row r="2747">
      <c r="A2747" t="inlineStr">
        <is>
          <t>2022-08-07</t>
        </is>
      </c>
      <c r="B2747" t="n">
        <v>8</v>
      </c>
      <c r="C2747" t="n">
        <v>3026</v>
      </c>
      <c r="D2747" s="6" t="n">
        <v>114.7</v>
      </c>
      <c r="E2747" s="6" t="n">
        <v>1170604.73</v>
      </c>
      <c r="F2747" s="6">
        <f>ROUND(E2747-E2746,2)</f>
        <v/>
      </c>
      <c r="G2747" s="6">
        <f>ROUND(F2747-D2747,2)</f>
        <v/>
      </c>
    </row>
    <row r="2748">
      <c r="A2748" t="inlineStr">
        <is>
          <t>2022-08-07</t>
        </is>
      </c>
      <c r="B2748" t="n">
        <v>9</v>
      </c>
      <c r="C2748" t="n">
        <v>3026</v>
      </c>
      <c r="D2748" s="6" t="n">
        <v>52.3</v>
      </c>
      <c r="E2748" s="6" t="n">
        <v>1170657.03</v>
      </c>
      <c r="F2748" s="6">
        <f>ROUND(E2748-E2747,2)</f>
        <v/>
      </c>
      <c r="G2748" s="6">
        <f>ROUND(F2748-D2748,2)</f>
        <v/>
      </c>
    </row>
    <row r="2749">
      <c r="A2749" t="inlineStr">
        <is>
          <t>2022-08-07</t>
        </is>
      </c>
      <c r="B2749" t="n">
        <v>10</v>
      </c>
      <c r="C2749" t="n">
        <v>3026</v>
      </c>
      <c r="D2749" s="6" t="n">
        <v>62.1</v>
      </c>
      <c r="E2749" s="6" t="n">
        <v>1170719.13</v>
      </c>
      <c r="F2749" s="6">
        <f>ROUND(E2749-E2748,2)</f>
        <v/>
      </c>
      <c r="G2749" s="6">
        <f>ROUND(F2749-D2749,2)</f>
        <v/>
      </c>
    </row>
    <row r="2750">
      <c r="A2750" t="inlineStr">
        <is>
          <t>2022-08-07</t>
        </is>
      </c>
      <c r="B2750" t="n">
        <v>11</v>
      </c>
      <c r="C2750" t="n">
        <v>3026</v>
      </c>
      <c r="D2750" s="6" t="n">
        <v>64.59999999999999</v>
      </c>
      <c r="E2750" s="6" t="n">
        <v>1170783.73</v>
      </c>
      <c r="F2750" s="6">
        <f>ROUND(E2750-E2749,2)</f>
        <v/>
      </c>
      <c r="G2750" s="6">
        <f>ROUND(F2750-D2750,2)</f>
        <v/>
      </c>
    </row>
    <row r="2751">
      <c r="A2751" t="inlineStr">
        <is>
          <t>2022-08-07</t>
        </is>
      </c>
      <c r="B2751" t="n">
        <v>12</v>
      </c>
      <c r="C2751" t="n">
        <v>3026</v>
      </c>
      <c r="D2751" s="6" t="n">
        <v>97.7</v>
      </c>
      <c r="E2751" s="6" t="n">
        <v>1170881.43</v>
      </c>
      <c r="F2751" s="6">
        <f>ROUND(E2751-E2750,2)</f>
        <v/>
      </c>
      <c r="G2751" s="6">
        <f>ROUND(F2751-D2751,2)</f>
        <v/>
      </c>
    </row>
    <row r="2752">
      <c r="A2752" t="inlineStr">
        <is>
          <t>2022-08-07</t>
        </is>
      </c>
      <c r="B2752" t="n">
        <v>13</v>
      </c>
      <c r="C2752" t="n">
        <v>3026</v>
      </c>
      <c r="D2752" s="6" t="n">
        <v>58.5</v>
      </c>
      <c r="E2752" s="6" t="n">
        <v>1170939.93</v>
      </c>
      <c r="F2752" s="6">
        <f>ROUND(E2752-E2751,2)</f>
        <v/>
      </c>
      <c r="G2752" s="6">
        <f>ROUND(F2752-D2752,2)</f>
        <v/>
      </c>
    </row>
    <row r="2753">
      <c r="A2753" t="inlineStr">
        <is>
          <t>2022-08-07</t>
        </is>
      </c>
      <c r="B2753" t="n">
        <v>14</v>
      </c>
      <c r="C2753" t="n">
        <v>3026</v>
      </c>
      <c r="D2753" s="6" t="n">
        <v>63.5</v>
      </c>
      <c r="E2753" s="6" t="n">
        <v>1171003.43</v>
      </c>
      <c r="F2753" s="6">
        <f>ROUND(E2753-E2752,2)</f>
        <v/>
      </c>
      <c r="G2753" s="6">
        <f>ROUND(F2753-D2753,2)</f>
        <v/>
      </c>
    </row>
    <row r="2754">
      <c r="A2754" t="inlineStr">
        <is>
          <t>2022-08-07</t>
        </is>
      </c>
      <c r="B2754" t="n">
        <v>15</v>
      </c>
      <c r="C2754" t="n">
        <v>3026</v>
      </c>
      <c r="D2754" s="6" t="n">
        <v>57.9</v>
      </c>
      <c r="E2754" s="6" t="n">
        <v>1171061.33</v>
      </c>
      <c r="F2754" s="6">
        <f>ROUND(E2754-E2753,2)</f>
        <v/>
      </c>
      <c r="G2754" s="6">
        <f>ROUND(F2754-D2754,2)</f>
        <v/>
      </c>
    </row>
    <row r="2755">
      <c r="A2755" t="inlineStr">
        <is>
          <t>2022-08-07</t>
        </is>
      </c>
      <c r="B2755" t="n">
        <v>16</v>
      </c>
      <c r="C2755" t="n">
        <v>3026</v>
      </c>
      <c r="D2755" s="6" t="n">
        <v>63.3</v>
      </c>
      <c r="E2755" s="6" t="n">
        <v>1171124.63</v>
      </c>
      <c r="F2755" s="6">
        <f>ROUND(E2755-E2754,2)</f>
        <v/>
      </c>
      <c r="G2755" s="6">
        <f>ROUND(F2755-D2755,2)</f>
        <v/>
      </c>
    </row>
    <row r="2756">
      <c r="A2756" t="inlineStr">
        <is>
          <t>2022-08-07</t>
        </is>
      </c>
      <c r="B2756" t="n">
        <v>17</v>
      </c>
      <c r="C2756" t="n">
        <v>3026</v>
      </c>
      <c r="D2756" s="6" t="n">
        <v>131.2</v>
      </c>
      <c r="E2756" s="6" t="n">
        <v>1171255.83</v>
      </c>
      <c r="F2756" s="6">
        <f>ROUND(E2756-E2755,2)</f>
        <v/>
      </c>
      <c r="G2756" s="6">
        <f>ROUND(F2756-D2756,2)</f>
        <v/>
      </c>
    </row>
    <row r="2757">
      <c r="A2757" t="inlineStr">
        <is>
          <t>2022-08-07</t>
        </is>
      </c>
      <c r="B2757" t="n">
        <v>18</v>
      </c>
      <c r="C2757" t="n">
        <v>3026</v>
      </c>
      <c r="D2757" s="6" t="n">
        <v>69.7</v>
      </c>
      <c r="E2757" s="6" t="n">
        <v>1171325.53</v>
      </c>
      <c r="F2757" s="6">
        <f>ROUND(E2757-E2756,2)</f>
        <v/>
      </c>
      <c r="G2757" s="6">
        <f>ROUND(F2757-D2757,2)</f>
        <v/>
      </c>
    </row>
    <row r="2758">
      <c r="A2758" t="inlineStr">
        <is>
          <t>2022-08-07</t>
        </is>
      </c>
      <c r="B2758" t="n">
        <v>19</v>
      </c>
      <c r="C2758" t="n">
        <v>3026</v>
      </c>
      <c r="D2758" s="6" t="n">
        <v>97.3</v>
      </c>
      <c r="E2758" s="6" t="n">
        <v>1171422.83</v>
      </c>
      <c r="F2758" s="6">
        <f>ROUND(E2758-E2757,2)</f>
        <v/>
      </c>
      <c r="G2758" s="6">
        <f>ROUND(F2758-D2758,2)</f>
        <v/>
      </c>
    </row>
    <row r="2759">
      <c r="A2759" t="inlineStr">
        <is>
          <t>2022-08-07</t>
        </is>
      </c>
      <c r="B2759" t="n">
        <v>20</v>
      </c>
      <c r="C2759" t="n">
        <v>3026</v>
      </c>
      <c r="D2759" s="6" t="n">
        <v>65</v>
      </c>
      <c r="E2759" s="6" t="n">
        <v>1171487.83</v>
      </c>
      <c r="F2759" s="6">
        <f>ROUND(E2759-E2758,2)</f>
        <v/>
      </c>
      <c r="G2759" s="6">
        <f>ROUND(F2759-D2759,2)</f>
        <v/>
      </c>
    </row>
    <row r="2760">
      <c r="A2760" t="inlineStr">
        <is>
          <t>2022-08-07</t>
        </is>
      </c>
      <c r="B2760" t="n">
        <v>21</v>
      </c>
      <c r="C2760" t="n">
        <v>3026</v>
      </c>
      <c r="D2760" s="6" t="n">
        <v>86.8</v>
      </c>
      <c r="E2760" s="6" t="n">
        <v>1171574.63</v>
      </c>
      <c r="F2760" s="6">
        <f>ROUND(E2760-E2759,2)</f>
        <v/>
      </c>
      <c r="G2760" s="6">
        <f>ROUND(F2760-D2760,2)</f>
        <v/>
      </c>
    </row>
    <row r="2761">
      <c r="A2761" t="inlineStr">
        <is>
          <t>2022-08-07</t>
        </is>
      </c>
      <c r="B2761" t="n">
        <v>22</v>
      </c>
      <c r="C2761" t="n">
        <v>3026</v>
      </c>
      <c r="D2761" s="6" t="n">
        <v>61.2</v>
      </c>
      <c r="E2761" s="6" t="n">
        <v>1171635.83</v>
      </c>
      <c r="F2761" s="6">
        <f>ROUND(E2761-E2760,2)</f>
        <v/>
      </c>
      <c r="G2761" s="6">
        <f>ROUND(F2761-D2761,2)</f>
        <v/>
      </c>
    </row>
    <row r="2762">
      <c r="A2762" t="inlineStr">
        <is>
          <t>2022-08-07</t>
        </is>
      </c>
      <c r="B2762" t="n">
        <v>23</v>
      </c>
      <c r="C2762" t="n">
        <v>3026</v>
      </c>
      <c r="D2762" s="6" t="n">
        <v>80.3</v>
      </c>
      <c r="E2762" s="6" t="n">
        <v>1171716.13</v>
      </c>
      <c r="F2762" s="6">
        <f>ROUND(E2762-E2761,2)</f>
        <v/>
      </c>
      <c r="G2762" s="6">
        <f>ROUND(F2762-D2762,2)</f>
        <v/>
      </c>
    </row>
    <row r="2763">
      <c r="A2763" t="inlineStr">
        <is>
          <t>2022-08-07</t>
        </is>
      </c>
      <c r="B2763" t="n">
        <v>24</v>
      </c>
      <c r="C2763" t="n">
        <v>3026</v>
      </c>
      <c r="D2763" s="6" t="n">
        <v>81.59999999999999</v>
      </c>
      <c r="E2763" s="6" t="n">
        <v>1171797.73</v>
      </c>
      <c r="F2763" s="6">
        <f>ROUND(E2763-E2762,2)</f>
        <v/>
      </c>
      <c r="G2763" s="6">
        <f>ROUND(F2763-D2763,2)</f>
        <v/>
      </c>
    </row>
    <row r="2764">
      <c r="A2764" t="inlineStr">
        <is>
          <t>2022-08-07</t>
        </is>
      </c>
      <c r="B2764" t="n">
        <v>25</v>
      </c>
      <c r="C2764" t="n">
        <v>3026</v>
      </c>
      <c r="D2764" s="6" t="n">
        <v>129.9</v>
      </c>
      <c r="E2764" s="6" t="n">
        <v>1171927.63</v>
      </c>
      <c r="F2764" s="6">
        <f>ROUND(E2764-E2763,2)</f>
        <v/>
      </c>
      <c r="G2764" s="6">
        <f>ROUND(F2764-D2764,2)</f>
        <v/>
      </c>
    </row>
    <row r="2765">
      <c r="A2765" t="inlineStr">
        <is>
          <t>2022-08-07</t>
        </is>
      </c>
      <c r="B2765" t="n">
        <v>26</v>
      </c>
      <c r="C2765" t="n">
        <v>3026</v>
      </c>
      <c r="D2765" s="6" t="n">
        <v>73.90000000000001</v>
      </c>
      <c r="E2765" s="6" t="n">
        <v>1172001.53</v>
      </c>
      <c r="F2765" s="6">
        <f>ROUND(E2765-E2764,2)</f>
        <v/>
      </c>
      <c r="G2765" s="6">
        <f>ROUND(F2765-D2765,2)</f>
        <v/>
      </c>
    </row>
    <row r="2766">
      <c r="A2766" t="inlineStr">
        <is>
          <t>2022-08-07</t>
        </is>
      </c>
      <c r="B2766" t="n">
        <v>27</v>
      </c>
      <c r="C2766" t="n">
        <v>3026</v>
      </c>
      <c r="D2766" s="6" t="n">
        <v>45.2</v>
      </c>
      <c r="E2766" s="6" t="n">
        <v>1172046.73</v>
      </c>
      <c r="F2766" s="6">
        <f>ROUND(E2766-E2765,2)</f>
        <v/>
      </c>
      <c r="G2766" s="6">
        <f>ROUND(F2766-D2766,2)</f>
        <v/>
      </c>
    </row>
    <row r="2767">
      <c r="A2767" t="inlineStr">
        <is>
          <t>2022-08-07</t>
        </is>
      </c>
      <c r="B2767" t="n">
        <v>28</v>
      </c>
      <c r="C2767" t="n">
        <v>3026</v>
      </c>
      <c r="D2767" s="6" t="n">
        <v>43.7</v>
      </c>
      <c r="E2767" s="6" t="n">
        <v>1172090.43</v>
      </c>
      <c r="F2767" s="6">
        <f>ROUND(E2767-E2766,2)</f>
        <v/>
      </c>
      <c r="G2767" s="6">
        <f>ROUND(F2767-D2767,2)</f>
        <v/>
      </c>
    </row>
    <row r="2768">
      <c r="A2768" t="inlineStr">
        <is>
          <t>2022-08-07</t>
        </is>
      </c>
      <c r="B2768" t="n">
        <v>29</v>
      </c>
      <c r="C2768" t="n">
        <v>3026</v>
      </c>
      <c r="D2768" s="6" t="n">
        <v>57</v>
      </c>
      <c r="E2768" s="6" t="n">
        <v>1172147.43</v>
      </c>
      <c r="F2768" s="6">
        <f>ROUND(E2768-E2767,2)</f>
        <v/>
      </c>
      <c r="G2768" s="6">
        <f>ROUND(F2768-D2768,2)</f>
        <v/>
      </c>
    </row>
    <row r="2769">
      <c r="A2769" t="inlineStr">
        <is>
          <t>2022-08-07</t>
        </is>
      </c>
      <c r="B2769" t="n">
        <v>30</v>
      </c>
      <c r="C2769" t="n">
        <v>3026</v>
      </c>
      <c r="D2769" s="6" t="n">
        <v>116.9</v>
      </c>
      <c r="E2769" s="6" t="n">
        <v>1172264.33</v>
      </c>
      <c r="F2769" s="6">
        <f>ROUND(E2769-E2768,2)</f>
        <v/>
      </c>
      <c r="G2769" s="6">
        <f>ROUND(F2769-D2769,2)</f>
        <v/>
      </c>
    </row>
    <row r="2770">
      <c r="A2770" t="inlineStr">
        <is>
          <t>2022-08-07</t>
        </is>
      </c>
      <c r="B2770" t="n">
        <v>31</v>
      </c>
      <c r="C2770" t="n">
        <v>3026</v>
      </c>
      <c r="D2770" s="6" t="n">
        <v>59.8</v>
      </c>
      <c r="E2770" s="6" t="n">
        <v>1172324.13</v>
      </c>
      <c r="F2770" s="6">
        <f>ROUND(E2770-E2769,2)</f>
        <v/>
      </c>
      <c r="G2770" s="6">
        <f>ROUND(F2770-D2770,2)</f>
        <v/>
      </c>
    </row>
    <row r="2771">
      <c r="A2771" t="inlineStr">
        <is>
          <t>2022-08-09</t>
        </is>
      </c>
      <c r="B2771" t="n">
        <v>1</v>
      </c>
      <c r="C2771" t="n">
        <v>3027</v>
      </c>
      <c r="D2771" s="6" t="n">
        <v>49</v>
      </c>
      <c r="E2771" s="6" t="n">
        <v>1172373.13</v>
      </c>
      <c r="F2771" s="6">
        <f>ROUND(E2771-E2770,2)</f>
        <v/>
      </c>
      <c r="G2771" s="6">
        <f>ROUND(F2771-D2771,2)</f>
        <v/>
      </c>
    </row>
    <row r="2772">
      <c r="A2772" t="inlineStr">
        <is>
          <t>2022-08-09</t>
        </is>
      </c>
      <c r="B2772" t="n">
        <v>2</v>
      </c>
      <c r="C2772" t="n">
        <v>3027</v>
      </c>
      <c r="D2772" s="6" t="n">
        <v>48.2</v>
      </c>
      <c r="E2772" s="6" t="n">
        <v>1172421.33</v>
      </c>
      <c r="F2772" s="6">
        <f>ROUND(E2772-E2771,2)</f>
        <v/>
      </c>
      <c r="G2772" s="6">
        <f>ROUND(F2772-D2772,2)</f>
        <v/>
      </c>
    </row>
    <row r="2773">
      <c r="A2773" t="inlineStr">
        <is>
          <t>2022-08-09</t>
        </is>
      </c>
      <c r="B2773" t="n">
        <v>3</v>
      </c>
      <c r="C2773" t="n">
        <v>3027</v>
      </c>
      <c r="D2773" s="6" t="n">
        <v>71.2</v>
      </c>
      <c r="E2773" s="6" t="n">
        <v>1172492.53</v>
      </c>
      <c r="F2773" s="6">
        <f>ROUND(E2773-E2772,2)</f>
        <v/>
      </c>
      <c r="G2773" s="6">
        <f>ROUND(F2773-D2773,2)</f>
        <v/>
      </c>
    </row>
    <row r="2774">
      <c r="A2774" t="inlineStr">
        <is>
          <t>2022-08-09</t>
        </is>
      </c>
      <c r="B2774" t="n">
        <v>4</v>
      </c>
      <c r="C2774" t="n">
        <v>3027</v>
      </c>
      <c r="D2774" s="6" t="n">
        <v>34.5</v>
      </c>
      <c r="E2774" s="6" t="n">
        <v>1172527.03</v>
      </c>
      <c r="F2774" s="6">
        <f>ROUND(E2774-E2773,2)</f>
        <v/>
      </c>
      <c r="G2774" s="6">
        <f>ROUND(F2774-D2774,2)</f>
        <v/>
      </c>
    </row>
    <row r="2775">
      <c r="A2775" t="inlineStr">
        <is>
          <t>2022-08-09</t>
        </is>
      </c>
      <c r="B2775" t="n">
        <v>5</v>
      </c>
      <c r="C2775" t="n">
        <v>3027</v>
      </c>
      <c r="D2775" s="6" t="n">
        <v>69.40000000000001</v>
      </c>
      <c r="E2775" s="6" t="n">
        <v>1172596.43</v>
      </c>
      <c r="F2775" s="6">
        <f>ROUND(E2775-E2774,2)</f>
        <v/>
      </c>
      <c r="G2775" s="6">
        <f>ROUND(F2775-D2775,2)</f>
        <v/>
      </c>
    </row>
    <row r="2776">
      <c r="A2776" t="inlineStr">
        <is>
          <t>2022-08-09</t>
        </is>
      </c>
      <c r="B2776" t="n">
        <v>6</v>
      </c>
      <c r="C2776" t="n">
        <v>3027</v>
      </c>
      <c r="D2776" s="6" t="n">
        <v>55.8</v>
      </c>
      <c r="E2776" s="6" t="n">
        <v>1172652.23</v>
      </c>
      <c r="F2776" s="6">
        <f>ROUND(E2776-E2775,2)</f>
        <v/>
      </c>
      <c r="G2776" s="6">
        <f>ROUND(F2776-D2776,2)</f>
        <v/>
      </c>
    </row>
    <row r="2777">
      <c r="A2777" t="inlineStr">
        <is>
          <t>2022-08-09</t>
        </is>
      </c>
      <c r="B2777" t="n">
        <v>7</v>
      </c>
      <c r="C2777" t="n">
        <v>3027</v>
      </c>
      <c r="D2777" s="6" t="n">
        <v>97.90000000000001</v>
      </c>
      <c r="E2777" s="6" t="n">
        <v>1172750.13</v>
      </c>
      <c r="F2777" s="6">
        <f>ROUND(E2777-E2776,2)</f>
        <v/>
      </c>
      <c r="G2777" s="6">
        <f>ROUND(F2777-D2777,2)</f>
        <v/>
      </c>
    </row>
    <row r="2778">
      <c r="A2778" t="inlineStr">
        <is>
          <t>2022-08-09</t>
        </is>
      </c>
      <c r="B2778" t="n">
        <v>8</v>
      </c>
      <c r="C2778" t="n">
        <v>3027</v>
      </c>
      <c r="D2778" s="6" t="n">
        <v>53.6</v>
      </c>
      <c r="E2778" s="6" t="n">
        <v>1172803.73</v>
      </c>
      <c r="F2778" s="6">
        <f>ROUND(E2778-E2777,2)</f>
        <v/>
      </c>
      <c r="G2778" s="6">
        <f>ROUND(F2778-D2778,2)</f>
        <v/>
      </c>
    </row>
    <row r="2779">
      <c r="A2779" t="inlineStr">
        <is>
          <t>2022-08-09</t>
        </is>
      </c>
      <c r="B2779" t="n">
        <v>9</v>
      </c>
      <c r="C2779" t="n">
        <v>3027</v>
      </c>
      <c r="D2779" s="6" t="n">
        <v>53.2</v>
      </c>
      <c r="E2779" s="6" t="n">
        <v>1172856.93</v>
      </c>
      <c r="F2779" s="6">
        <f>ROUND(E2779-E2778,2)</f>
        <v/>
      </c>
      <c r="G2779" s="6">
        <f>ROUND(F2779-D2779,2)</f>
        <v/>
      </c>
    </row>
    <row r="2780">
      <c r="A2780" t="inlineStr">
        <is>
          <t>2022-08-09</t>
        </is>
      </c>
      <c r="B2780" t="n">
        <v>10</v>
      </c>
      <c r="C2780" t="n">
        <v>3027</v>
      </c>
      <c r="D2780" s="6" t="n">
        <v>65.7</v>
      </c>
      <c r="E2780" s="6" t="n">
        <v>1172922.63</v>
      </c>
      <c r="F2780" s="6">
        <f>ROUND(E2780-E2779,2)</f>
        <v/>
      </c>
      <c r="G2780" s="6">
        <f>ROUND(F2780-D2780,2)</f>
        <v/>
      </c>
    </row>
    <row r="2781">
      <c r="A2781" t="inlineStr">
        <is>
          <t>2022-08-09</t>
        </is>
      </c>
      <c r="B2781" t="n">
        <v>11</v>
      </c>
      <c r="C2781" t="n">
        <v>3027</v>
      </c>
      <c r="D2781" s="6" t="n">
        <v>45.6</v>
      </c>
      <c r="E2781" s="6" t="n">
        <v>1172968.23</v>
      </c>
      <c r="F2781" s="6">
        <f>ROUND(E2781-E2780,2)</f>
        <v/>
      </c>
      <c r="G2781" s="6">
        <f>ROUND(F2781-D2781,2)</f>
        <v/>
      </c>
    </row>
    <row r="2782">
      <c r="A2782" t="inlineStr">
        <is>
          <t>2022-08-09</t>
        </is>
      </c>
      <c r="B2782" t="n">
        <v>12</v>
      </c>
      <c r="C2782" t="n">
        <v>3027</v>
      </c>
      <c r="D2782" s="6" t="n">
        <v>47.4</v>
      </c>
      <c r="E2782" s="6" t="n">
        <v>1173015.63</v>
      </c>
      <c r="F2782" s="6">
        <f>ROUND(E2782-E2781,2)</f>
        <v/>
      </c>
      <c r="G2782" s="6">
        <f>ROUND(F2782-D2782,2)</f>
        <v/>
      </c>
    </row>
    <row r="2783">
      <c r="A2783" t="inlineStr">
        <is>
          <t>2022-08-09</t>
        </is>
      </c>
      <c r="B2783" t="n">
        <v>13</v>
      </c>
      <c r="C2783" t="n">
        <v>3027</v>
      </c>
      <c r="D2783" s="6" t="n">
        <v>26.7</v>
      </c>
      <c r="E2783" s="6" t="n">
        <v>1173042.33</v>
      </c>
      <c r="F2783" s="6">
        <f>ROUND(E2783-E2782,2)</f>
        <v/>
      </c>
      <c r="G2783" s="6">
        <f>ROUND(F2783-D2783,2)</f>
        <v/>
      </c>
    </row>
    <row r="2784">
      <c r="A2784" t="inlineStr">
        <is>
          <t>2022-08-09</t>
        </is>
      </c>
      <c r="B2784" t="n">
        <v>14</v>
      </c>
      <c r="C2784" t="n">
        <v>3027</v>
      </c>
      <c r="D2784" s="6" t="n">
        <v>105.1</v>
      </c>
      <c r="E2784" s="6" t="n">
        <v>1173147.43</v>
      </c>
      <c r="F2784" s="6">
        <f>ROUND(E2784-E2783,2)</f>
        <v/>
      </c>
      <c r="G2784" s="6">
        <f>ROUND(F2784-D2784,2)</f>
        <v/>
      </c>
    </row>
    <row r="2785">
      <c r="A2785" t="inlineStr">
        <is>
          <t>2022-08-09</t>
        </is>
      </c>
      <c r="B2785" t="n">
        <v>15</v>
      </c>
      <c r="C2785" t="n">
        <v>3027</v>
      </c>
      <c r="D2785" s="6" t="n">
        <v>19.8</v>
      </c>
      <c r="E2785" s="6" t="n">
        <v>1173167.23</v>
      </c>
      <c r="F2785" s="6">
        <f>ROUND(E2785-E2784,2)</f>
        <v/>
      </c>
      <c r="G2785" s="6">
        <f>ROUND(F2785-D2785,2)</f>
        <v/>
      </c>
    </row>
    <row r="2786">
      <c r="A2786" t="inlineStr">
        <is>
          <t>2022-08-09</t>
        </is>
      </c>
      <c r="B2786" t="n">
        <v>16</v>
      </c>
      <c r="C2786" t="n">
        <v>3027</v>
      </c>
      <c r="D2786" s="6" t="n">
        <v>19.8</v>
      </c>
      <c r="E2786" s="6" t="n">
        <v>1173187.03</v>
      </c>
      <c r="F2786" s="6">
        <f>ROUND(E2786-E2785,2)</f>
        <v/>
      </c>
      <c r="G2786" s="6">
        <f>ROUND(F2786-D2786,2)</f>
        <v/>
      </c>
    </row>
    <row r="2787">
      <c r="A2787" t="inlineStr">
        <is>
          <t>2022-08-09</t>
        </is>
      </c>
      <c r="B2787" t="n">
        <v>17</v>
      </c>
      <c r="C2787" t="n">
        <v>3027</v>
      </c>
      <c r="D2787" s="6" t="n">
        <v>21.8</v>
      </c>
      <c r="E2787" s="6" t="n">
        <v>1173208.83</v>
      </c>
      <c r="F2787" s="6">
        <f>ROUND(E2787-E2786,2)</f>
        <v/>
      </c>
      <c r="G2787" s="6">
        <f>ROUND(F2787-D2787,2)</f>
        <v/>
      </c>
    </row>
    <row r="2788">
      <c r="A2788" t="inlineStr">
        <is>
          <t>2022-08-09</t>
        </is>
      </c>
      <c r="B2788" t="n">
        <v>18</v>
      </c>
      <c r="C2788" t="n">
        <v>3027</v>
      </c>
      <c r="D2788" s="6" t="n">
        <v>87.8</v>
      </c>
      <c r="E2788" s="6" t="n">
        <v>1173296.63</v>
      </c>
      <c r="F2788" s="6">
        <f>ROUND(E2788-E2787,2)</f>
        <v/>
      </c>
      <c r="G2788" s="6">
        <f>ROUND(F2788-D2788,2)</f>
        <v/>
      </c>
    </row>
    <row r="2789">
      <c r="A2789" t="inlineStr">
        <is>
          <t>2022-08-09</t>
        </is>
      </c>
      <c r="B2789" t="n">
        <v>19</v>
      </c>
      <c r="C2789" t="n">
        <v>3027</v>
      </c>
      <c r="D2789" s="6" t="n">
        <v>62.6</v>
      </c>
      <c r="E2789" s="6" t="n">
        <v>1173359.23</v>
      </c>
      <c r="F2789" s="6">
        <f>ROUND(E2789-E2788,2)</f>
        <v/>
      </c>
      <c r="G2789" s="6">
        <f>ROUND(F2789-D2789,2)</f>
        <v/>
      </c>
    </row>
    <row r="2790">
      <c r="A2790" t="inlineStr">
        <is>
          <t>2022-08-09</t>
        </is>
      </c>
      <c r="B2790" t="n">
        <v>20</v>
      </c>
      <c r="C2790" t="n">
        <v>3027</v>
      </c>
      <c r="D2790" s="6" t="n">
        <v>59.2</v>
      </c>
      <c r="E2790" s="6" t="n">
        <v>1173418.43</v>
      </c>
      <c r="F2790" s="6">
        <f>ROUND(E2790-E2789,2)</f>
        <v/>
      </c>
      <c r="G2790" s="6">
        <f>ROUND(F2790-D2790,2)</f>
        <v/>
      </c>
    </row>
    <row r="2791">
      <c r="A2791" t="inlineStr">
        <is>
          <t>2022-08-09</t>
        </is>
      </c>
      <c r="B2791" t="n">
        <v>21</v>
      </c>
      <c r="C2791" t="n">
        <v>3027</v>
      </c>
      <c r="D2791" s="6" t="n">
        <v>71.59999999999999</v>
      </c>
      <c r="E2791" s="6" t="n">
        <v>1173490.03</v>
      </c>
      <c r="F2791" s="6">
        <f>ROUND(E2791-E2790,2)</f>
        <v/>
      </c>
      <c r="G2791" s="6">
        <f>ROUND(F2791-D2791,2)</f>
        <v/>
      </c>
    </row>
    <row r="2792">
      <c r="A2792" t="inlineStr">
        <is>
          <t>2022-08-09</t>
        </is>
      </c>
      <c r="B2792" t="n">
        <v>22</v>
      </c>
      <c r="C2792" t="n">
        <v>3027</v>
      </c>
      <c r="D2792" s="6" t="n">
        <v>74.40000000000001</v>
      </c>
      <c r="E2792" s="6" t="n">
        <v>1173564.43</v>
      </c>
      <c r="F2792" s="6">
        <f>ROUND(E2792-E2791,2)</f>
        <v/>
      </c>
      <c r="G2792" s="6">
        <f>ROUND(F2792-D2792,2)</f>
        <v/>
      </c>
    </row>
    <row r="2793">
      <c r="A2793" t="inlineStr">
        <is>
          <t>2022-08-09</t>
        </is>
      </c>
      <c r="B2793" t="n">
        <v>23</v>
      </c>
      <c r="C2793" t="n">
        <v>3027</v>
      </c>
      <c r="D2793" s="6" t="n">
        <v>114.7</v>
      </c>
      <c r="E2793" s="6" t="n">
        <v>1173679.13</v>
      </c>
      <c r="F2793" s="6">
        <f>ROUND(E2793-E2792,2)</f>
        <v/>
      </c>
      <c r="G2793" s="6">
        <f>ROUND(F2793-D2793,2)</f>
        <v/>
      </c>
    </row>
    <row r="2794">
      <c r="A2794" t="inlineStr">
        <is>
          <t>2022-08-09</t>
        </is>
      </c>
      <c r="B2794" t="n">
        <v>24</v>
      </c>
      <c r="C2794" t="n">
        <v>3027</v>
      </c>
      <c r="D2794" s="6" t="n">
        <v>74.40000000000001</v>
      </c>
      <c r="E2794" s="6" t="n">
        <v>1173753.53</v>
      </c>
      <c r="F2794" s="6">
        <f>ROUND(E2794-E2793,2)</f>
        <v/>
      </c>
      <c r="G2794" s="6">
        <f>ROUND(F2794-D2794,2)</f>
        <v/>
      </c>
    </row>
    <row r="2795">
      <c r="A2795" t="inlineStr">
        <is>
          <t>2022-08-09</t>
        </is>
      </c>
      <c r="B2795" t="n">
        <v>25</v>
      </c>
      <c r="C2795" t="n">
        <v>3027</v>
      </c>
      <c r="D2795" s="6" t="n">
        <v>26.6</v>
      </c>
      <c r="E2795" s="6" t="n">
        <v>1173780.13</v>
      </c>
      <c r="F2795" s="6">
        <f>ROUND(E2795-E2794,2)</f>
        <v/>
      </c>
      <c r="G2795" s="6">
        <f>ROUND(F2795-D2795,2)</f>
        <v/>
      </c>
    </row>
    <row r="2796">
      <c r="A2796" t="inlineStr">
        <is>
          <t>2022-08-09</t>
        </is>
      </c>
      <c r="B2796" t="n">
        <v>26</v>
      </c>
      <c r="C2796" t="n">
        <v>3027</v>
      </c>
      <c r="D2796" s="6" t="n">
        <v>26.6</v>
      </c>
      <c r="E2796" s="6" t="n">
        <v>1173806.73</v>
      </c>
      <c r="F2796" s="6">
        <f>ROUND(E2796-E2795,2)</f>
        <v/>
      </c>
      <c r="G2796" s="6">
        <f>ROUND(F2796-D2796,2)</f>
        <v/>
      </c>
    </row>
    <row r="2797">
      <c r="A2797" t="inlineStr">
        <is>
          <t>2022-08-09</t>
        </is>
      </c>
      <c r="B2797" t="n">
        <v>27</v>
      </c>
      <c r="C2797" t="n">
        <v>3027</v>
      </c>
      <c r="D2797" s="6" t="n">
        <v>100.4</v>
      </c>
      <c r="E2797" s="6" t="n">
        <v>1173907.13</v>
      </c>
      <c r="F2797" s="6">
        <f>ROUND(E2797-E2796,2)</f>
        <v/>
      </c>
      <c r="G2797" s="6">
        <f>ROUND(F2797-D2797,2)</f>
        <v/>
      </c>
    </row>
    <row r="2798">
      <c r="A2798" t="inlineStr">
        <is>
          <t>2022-08-09</t>
        </is>
      </c>
      <c r="B2798" t="n">
        <v>28</v>
      </c>
      <c r="C2798" t="n">
        <v>3027</v>
      </c>
      <c r="D2798" s="6" t="n">
        <v>289.2</v>
      </c>
      <c r="E2798" s="6" t="n">
        <v>1174196.33</v>
      </c>
      <c r="F2798" s="6">
        <f>ROUND(E2798-E2797,2)</f>
        <v/>
      </c>
      <c r="G2798" s="6">
        <f>ROUND(F2798-D2798,2)</f>
        <v/>
      </c>
    </row>
    <row r="2799">
      <c r="A2799" t="inlineStr">
        <is>
          <t>2022-08-09</t>
        </is>
      </c>
      <c r="B2799" t="n">
        <v>29</v>
      </c>
      <c r="C2799" t="n">
        <v>3027</v>
      </c>
      <c r="D2799" s="6" t="n">
        <v>68.59999999999999</v>
      </c>
      <c r="E2799" s="6" t="n">
        <v>1174264.93</v>
      </c>
      <c r="F2799" s="6">
        <f>ROUND(E2799-E2798,2)</f>
        <v/>
      </c>
      <c r="G2799" s="6">
        <f>ROUND(F2799-D2799,2)</f>
        <v/>
      </c>
    </row>
    <row r="2800">
      <c r="A2800" t="inlineStr">
        <is>
          <t>2022-08-10</t>
        </is>
      </c>
      <c r="B2800" t="n">
        <v>1</v>
      </c>
      <c r="C2800" t="n">
        <v>3028</v>
      </c>
      <c r="D2800" s="6" t="n">
        <v>40.1</v>
      </c>
      <c r="E2800" s="6" t="n">
        <v>1174305.03</v>
      </c>
      <c r="F2800" s="6">
        <f>ROUND(E2800-E2799,2)</f>
        <v/>
      </c>
      <c r="G2800" s="6">
        <f>ROUND(F2800-D2800,2)</f>
        <v/>
      </c>
    </row>
    <row r="2801">
      <c r="A2801" t="inlineStr">
        <is>
          <t>2022-08-10</t>
        </is>
      </c>
      <c r="B2801" t="n">
        <v>2</v>
      </c>
      <c r="C2801" t="n">
        <v>3028</v>
      </c>
      <c r="D2801" s="6" t="n">
        <v>63</v>
      </c>
      <c r="E2801" s="6" t="n">
        <v>1174368.03</v>
      </c>
      <c r="F2801" s="6">
        <f>ROUND(E2801-E2800,2)</f>
        <v/>
      </c>
      <c r="G2801" s="6">
        <f>ROUND(F2801-D2801,2)</f>
        <v/>
      </c>
    </row>
    <row r="2802">
      <c r="A2802" t="inlineStr">
        <is>
          <t>2022-08-10</t>
        </is>
      </c>
      <c r="B2802" t="n">
        <v>3</v>
      </c>
      <c r="C2802" t="n">
        <v>3028</v>
      </c>
      <c r="D2802" s="6" t="n">
        <v>44.55</v>
      </c>
      <c r="E2802" s="6" t="n">
        <v>1174412.58</v>
      </c>
      <c r="F2802" s="6">
        <f>ROUND(E2802-E2801,2)</f>
        <v/>
      </c>
      <c r="G2802" s="6">
        <f>ROUND(F2802-D2802,2)</f>
        <v/>
      </c>
    </row>
    <row r="2803">
      <c r="A2803" t="inlineStr">
        <is>
          <t>2022-08-10</t>
        </is>
      </c>
      <c r="B2803" t="n">
        <v>4</v>
      </c>
      <c r="C2803" t="n">
        <v>3028</v>
      </c>
      <c r="D2803" s="6" t="n">
        <v>44.55</v>
      </c>
      <c r="E2803" s="6" t="n">
        <v>1174457.13</v>
      </c>
      <c r="F2803" s="6">
        <f>ROUND(E2803-E2802,2)</f>
        <v/>
      </c>
      <c r="G2803" s="6">
        <f>ROUND(F2803-D2803,2)</f>
        <v/>
      </c>
    </row>
    <row r="2804">
      <c r="A2804" t="inlineStr">
        <is>
          <t>2022-08-10</t>
        </is>
      </c>
      <c r="B2804" t="n">
        <v>5</v>
      </c>
      <c r="C2804" t="n">
        <v>3028</v>
      </c>
      <c r="D2804" s="6" t="n">
        <v>28.85</v>
      </c>
      <c r="E2804" s="6" t="n">
        <v>1174485.98</v>
      </c>
      <c r="F2804" s="6">
        <f>ROUND(E2804-E2803,2)</f>
        <v/>
      </c>
      <c r="G2804" s="6">
        <f>ROUND(F2804-D2804,2)</f>
        <v/>
      </c>
    </row>
    <row r="2805">
      <c r="A2805" t="inlineStr">
        <is>
          <t>2022-08-10</t>
        </is>
      </c>
      <c r="B2805" t="n">
        <v>6</v>
      </c>
      <c r="C2805" t="n">
        <v>3028</v>
      </c>
      <c r="D2805" s="6" t="n">
        <v>28.85</v>
      </c>
      <c r="E2805" s="6" t="n">
        <v>1174514.83</v>
      </c>
      <c r="F2805" s="6">
        <f>ROUND(E2805-E2804,2)</f>
        <v/>
      </c>
      <c r="G2805" s="6">
        <f>ROUND(F2805-D2805,2)</f>
        <v/>
      </c>
    </row>
    <row r="2806">
      <c r="A2806" t="inlineStr">
        <is>
          <t>2022-08-10</t>
        </is>
      </c>
      <c r="B2806" t="n">
        <v>7</v>
      </c>
      <c r="C2806" t="n">
        <v>3028</v>
      </c>
      <c r="D2806" s="6" t="n">
        <v>80.7</v>
      </c>
      <c r="E2806" s="6" t="n">
        <v>1174595.53</v>
      </c>
      <c r="F2806" s="6">
        <f>ROUND(E2806-E2805,2)</f>
        <v/>
      </c>
      <c r="G2806" s="6">
        <f>ROUND(F2806-D2806,2)</f>
        <v/>
      </c>
    </row>
    <row r="2807">
      <c r="A2807" t="inlineStr">
        <is>
          <t>2022-08-10</t>
        </is>
      </c>
      <c r="B2807" t="n">
        <v>8</v>
      </c>
      <c r="C2807" t="n">
        <v>3028</v>
      </c>
      <c r="D2807" s="6" t="n">
        <v>41.3</v>
      </c>
      <c r="E2807" s="6" t="n">
        <v>1174636.83</v>
      </c>
      <c r="F2807" s="6">
        <f>ROUND(E2807-E2806,2)</f>
        <v/>
      </c>
      <c r="G2807" s="6">
        <f>ROUND(F2807-D2807,2)</f>
        <v/>
      </c>
    </row>
    <row r="2808">
      <c r="A2808" t="inlineStr">
        <is>
          <t>2022-08-10</t>
        </is>
      </c>
      <c r="B2808" t="n">
        <v>9</v>
      </c>
      <c r="C2808" t="n">
        <v>3028</v>
      </c>
      <c r="D2808" s="6" t="n">
        <v>71.7</v>
      </c>
      <c r="E2808" s="6" t="n">
        <v>1174708.53</v>
      </c>
      <c r="F2808" s="6">
        <f>ROUND(E2808-E2807,2)</f>
        <v/>
      </c>
      <c r="G2808" s="6">
        <f>ROUND(F2808-D2808,2)</f>
        <v/>
      </c>
    </row>
    <row r="2809">
      <c r="A2809" t="inlineStr">
        <is>
          <t>2022-08-10</t>
        </is>
      </c>
      <c r="B2809" t="n">
        <v>10</v>
      </c>
      <c r="C2809" t="n">
        <v>3028</v>
      </c>
      <c r="D2809" s="6" t="n">
        <v>105.3</v>
      </c>
      <c r="E2809" s="6" t="n">
        <v>1174813.83</v>
      </c>
      <c r="F2809" s="6">
        <f>ROUND(E2809-E2808,2)</f>
        <v/>
      </c>
      <c r="G2809" s="6">
        <f>ROUND(F2809-D2809,2)</f>
        <v/>
      </c>
    </row>
    <row r="2810">
      <c r="A2810" t="inlineStr">
        <is>
          <t>2022-08-10</t>
        </is>
      </c>
      <c r="B2810" t="n">
        <v>11</v>
      </c>
      <c r="C2810" t="n">
        <v>3028</v>
      </c>
      <c r="D2810" s="6" t="n">
        <v>110.5</v>
      </c>
      <c r="E2810" s="6" t="n">
        <v>1174924.33</v>
      </c>
      <c r="F2810" s="6">
        <f>ROUND(E2810-E2809,2)</f>
        <v/>
      </c>
      <c r="G2810" s="6">
        <f>ROUND(F2810-D2810,2)</f>
        <v/>
      </c>
    </row>
    <row r="2811">
      <c r="A2811" t="inlineStr">
        <is>
          <t>2022-08-10</t>
        </is>
      </c>
      <c r="B2811" t="n">
        <v>12</v>
      </c>
      <c r="C2811" t="n">
        <v>3028</v>
      </c>
      <c r="D2811" s="6" t="n">
        <v>19.8</v>
      </c>
      <c r="E2811" s="6" t="n">
        <v>1174944.13</v>
      </c>
      <c r="F2811" s="6">
        <f>ROUND(E2811-E2810,2)</f>
        <v/>
      </c>
      <c r="G2811" s="6">
        <f>ROUND(F2811-D2811,2)</f>
        <v/>
      </c>
    </row>
    <row r="2812">
      <c r="A2812" t="inlineStr">
        <is>
          <t>2022-08-10</t>
        </is>
      </c>
      <c r="B2812" t="n">
        <v>13</v>
      </c>
      <c r="C2812" t="n">
        <v>3028</v>
      </c>
      <c r="D2812" s="6" t="n">
        <v>19.8</v>
      </c>
      <c r="E2812" s="6" t="n">
        <v>1174963.93</v>
      </c>
      <c r="F2812" s="6">
        <f>ROUND(E2812-E2811,2)</f>
        <v/>
      </c>
      <c r="G2812" s="6">
        <f>ROUND(F2812-D2812,2)</f>
        <v/>
      </c>
    </row>
    <row r="2813">
      <c r="A2813" t="inlineStr">
        <is>
          <t>2022-08-10</t>
        </is>
      </c>
      <c r="B2813" t="n">
        <v>14</v>
      </c>
      <c r="C2813" t="n">
        <v>3028</v>
      </c>
      <c r="D2813" s="6" t="n">
        <v>62.1</v>
      </c>
      <c r="E2813" s="6" t="n">
        <v>1175026.03</v>
      </c>
      <c r="F2813" s="6">
        <f>ROUND(E2813-E2812,2)</f>
        <v/>
      </c>
      <c r="G2813" s="6">
        <f>ROUND(F2813-D2813,2)</f>
        <v/>
      </c>
    </row>
    <row r="2814">
      <c r="A2814" t="inlineStr">
        <is>
          <t>2022-08-10</t>
        </is>
      </c>
      <c r="B2814" t="n">
        <v>15</v>
      </c>
      <c r="C2814" t="n">
        <v>3028</v>
      </c>
      <c r="D2814" s="6" t="n">
        <v>121.5</v>
      </c>
      <c r="E2814" s="6" t="n">
        <v>1175147.53</v>
      </c>
      <c r="F2814" s="6">
        <f>ROUND(E2814-E2813,2)</f>
        <v/>
      </c>
      <c r="G2814" s="6">
        <f>ROUND(F2814-D2814,2)</f>
        <v/>
      </c>
    </row>
    <row r="2815">
      <c r="A2815" t="inlineStr">
        <is>
          <t>2022-08-10</t>
        </is>
      </c>
      <c r="B2815" t="n">
        <v>16</v>
      </c>
      <c r="C2815" t="n">
        <v>3028</v>
      </c>
      <c r="D2815" s="6" t="n">
        <v>29.2</v>
      </c>
      <c r="E2815" s="6" t="n">
        <v>1175176.73</v>
      </c>
      <c r="F2815" s="6">
        <f>ROUND(E2815-E2814,2)</f>
        <v/>
      </c>
      <c r="G2815" s="6">
        <f>ROUND(F2815-D2815,2)</f>
        <v/>
      </c>
    </row>
    <row r="2816">
      <c r="A2816" t="inlineStr">
        <is>
          <t>2022-08-10</t>
        </is>
      </c>
      <c r="B2816" t="n">
        <v>17</v>
      </c>
      <c r="C2816" t="n">
        <v>3028</v>
      </c>
      <c r="D2816" s="6" t="n">
        <v>68.7</v>
      </c>
      <c r="E2816" s="6" t="n">
        <v>1175245.43</v>
      </c>
      <c r="F2816" s="6">
        <f>ROUND(E2816-E2815,2)</f>
        <v/>
      </c>
      <c r="G2816" s="6">
        <f>ROUND(F2816-D2816,2)</f>
        <v/>
      </c>
    </row>
    <row r="2817">
      <c r="A2817" t="inlineStr">
        <is>
          <t>2022-08-10</t>
        </is>
      </c>
      <c r="B2817" t="n">
        <v>18</v>
      </c>
      <c r="C2817" t="n">
        <v>3028</v>
      </c>
      <c r="D2817" s="6" t="n">
        <v>45.1</v>
      </c>
      <c r="E2817" s="6" t="n">
        <v>1175290.53</v>
      </c>
      <c r="F2817" s="6">
        <f>ROUND(E2817-E2816,2)</f>
        <v/>
      </c>
      <c r="G2817" s="6">
        <f>ROUND(F2817-D2817,2)</f>
        <v/>
      </c>
    </row>
    <row r="2818">
      <c r="A2818" t="inlineStr">
        <is>
          <t>2022-08-10</t>
        </is>
      </c>
      <c r="B2818" t="n">
        <v>19</v>
      </c>
      <c r="C2818" t="n">
        <v>3028</v>
      </c>
      <c r="D2818" s="6" t="n">
        <v>46.8</v>
      </c>
      <c r="E2818" s="6" t="n">
        <v>1175337.33</v>
      </c>
      <c r="F2818" s="6">
        <f>ROUND(E2818-E2817,2)</f>
        <v/>
      </c>
      <c r="G2818" s="6">
        <f>ROUND(F2818-D2818,2)</f>
        <v/>
      </c>
    </row>
    <row r="2819">
      <c r="A2819" t="inlineStr">
        <is>
          <t>2022-08-10</t>
        </is>
      </c>
      <c r="B2819" t="n">
        <v>20</v>
      </c>
      <c r="C2819" t="n">
        <v>3028</v>
      </c>
      <c r="D2819" s="6" t="n">
        <v>59.3</v>
      </c>
      <c r="E2819" s="6" t="n">
        <v>1175396.63</v>
      </c>
      <c r="F2819" s="6">
        <f>ROUND(E2819-E2818,2)</f>
        <v/>
      </c>
      <c r="G2819" s="6">
        <f>ROUND(F2819-D2819,2)</f>
        <v/>
      </c>
    </row>
    <row r="2820">
      <c r="A2820" t="inlineStr">
        <is>
          <t>2022-08-10</t>
        </is>
      </c>
      <c r="B2820" t="n">
        <v>21</v>
      </c>
      <c r="C2820" t="n">
        <v>3028</v>
      </c>
      <c r="D2820" s="6" t="n">
        <v>90.40000000000001</v>
      </c>
      <c r="E2820" s="6" t="n">
        <v>1175487.03</v>
      </c>
      <c r="F2820" s="6">
        <f>ROUND(E2820-E2819,2)</f>
        <v/>
      </c>
      <c r="G2820" s="6">
        <f>ROUND(F2820-D2820,2)</f>
        <v/>
      </c>
    </row>
    <row r="2821">
      <c r="A2821" t="inlineStr">
        <is>
          <t>2022-08-10</t>
        </is>
      </c>
      <c r="B2821" t="n">
        <v>22</v>
      </c>
      <c r="C2821" t="n">
        <v>3028</v>
      </c>
      <c r="D2821" s="6" t="n">
        <v>61.4</v>
      </c>
      <c r="E2821" s="6" t="n">
        <v>1175548.43</v>
      </c>
      <c r="F2821" s="6">
        <f>ROUND(E2821-E2820,2)</f>
        <v/>
      </c>
      <c r="G2821" s="6">
        <f>ROUND(F2821-D2821,2)</f>
        <v/>
      </c>
    </row>
    <row r="2822">
      <c r="A2822" t="inlineStr">
        <is>
          <t>2022-08-10</t>
        </is>
      </c>
      <c r="B2822" t="n">
        <v>23</v>
      </c>
      <c r="C2822" t="n">
        <v>3028</v>
      </c>
      <c r="D2822" s="6" t="n">
        <v>30.3</v>
      </c>
      <c r="E2822" s="6" t="n">
        <v>1175578.73</v>
      </c>
      <c r="F2822" s="6">
        <f>ROUND(E2822-E2821,2)</f>
        <v/>
      </c>
      <c r="G2822" s="6">
        <f>ROUND(F2822-D2822,2)</f>
        <v/>
      </c>
    </row>
    <row r="2823">
      <c r="A2823" t="inlineStr">
        <is>
          <t>2022-08-10</t>
        </is>
      </c>
      <c r="B2823" t="n">
        <v>24</v>
      </c>
      <c r="C2823" t="n">
        <v>3028</v>
      </c>
      <c r="D2823" s="6" t="n">
        <v>100.5</v>
      </c>
      <c r="E2823" s="6" t="n">
        <v>1175679.23</v>
      </c>
      <c r="F2823" s="6">
        <f>ROUND(E2823-E2822,2)</f>
        <v/>
      </c>
      <c r="G2823" s="6">
        <f>ROUND(F2823-D2823,2)</f>
        <v/>
      </c>
    </row>
    <row r="2824">
      <c r="A2824" t="inlineStr">
        <is>
          <t>2022-08-10</t>
        </is>
      </c>
      <c r="B2824" t="n">
        <v>25</v>
      </c>
      <c r="C2824" t="n">
        <v>3028</v>
      </c>
      <c r="D2824" s="6" t="n">
        <v>118</v>
      </c>
      <c r="E2824" s="6" t="n">
        <v>1175797.23</v>
      </c>
      <c r="F2824" s="6">
        <f>ROUND(E2824-E2823,2)</f>
        <v/>
      </c>
      <c r="G2824" s="6">
        <f>ROUND(F2824-D2824,2)</f>
        <v/>
      </c>
    </row>
    <row r="2825">
      <c r="A2825" t="inlineStr">
        <is>
          <t>2022-08-10</t>
        </is>
      </c>
      <c r="B2825" t="n">
        <v>26</v>
      </c>
      <c r="C2825" t="n">
        <v>3028</v>
      </c>
      <c r="D2825" s="6" t="n">
        <v>87</v>
      </c>
      <c r="E2825" s="6" t="n">
        <v>1175884.23</v>
      </c>
      <c r="F2825" s="6">
        <f>ROUND(E2825-E2824,2)</f>
        <v/>
      </c>
      <c r="G2825" s="6">
        <f>ROUND(F2825-D2825,2)</f>
        <v/>
      </c>
    </row>
    <row r="2826">
      <c r="A2826" t="inlineStr">
        <is>
          <t>2022-08-10</t>
        </is>
      </c>
      <c r="B2826" t="n">
        <v>27</v>
      </c>
      <c r="C2826" t="n">
        <v>3028</v>
      </c>
      <c r="D2826" s="6" t="n">
        <v>88.59999999999999</v>
      </c>
      <c r="E2826" s="6" t="n">
        <v>1175972.83</v>
      </c>
      <c r="F2826" s="6">
        <f>ROUND(E2826-E2825,2)</f>
        <v/>
      </c>
      <c r="G2826" s="6">
        <f>ROUND(F2826-D2826,2)</f>
        <v/>
      </c>
    </row>
    <row r="2827">
      <c r="A2827" t="inlineStr">
        <is>
          <t>2022-08-10</t>
        </is>
      </c>
      <c r="B2827" t="n">
        <v>28</v>
      </c>
      <c r="C2827" t="n">
        <v>3028</v>
      </c>
      <c r="D2827" s="6" t="n">
        <v>203.3</v>
      </c>
      <c r="E2827" s="6" t="n">
        <v>1176176.13</v>
      </c>
      <c r="F2827" s="6">
        <f>ROUND(E2827-E2826,2)</f>
        <v/>
      </c>
      <c r="G2827" s="6">
        <f>ROUND(F2827-D2827,2)</f>
        <v/>
      </c>
    </row>
    <row r="2828">
      <c r="A2828" t="inlineStr">
        <is>
          <t>2022-08-10</t>
        </is>
      </c>
      <c r="B2828" t="n">
        <v>29</v>
      </c>
      <c r="C2828" t="n">
        <v>3028</v>
      </c>
      <c r="D2828" s="6" t="n">
        <v>39.1</v>
      </c>
      <c r="E2828" s="6" t="n">
        <v>1176215.23</v>
      </c>
      <c r="F2828" s="6">
        <f>ROUND(E2828-E2827,2)</f>
        <v/>
      </c>
      <c r="G2828" s="6">
        <f>ROUND(F2828-D2828,2)</f>
        <v/>
      </c>
    </row>
    <row r="2829">
      <c r="A2829" t="inlineStr">
        <is>
          <t>2022-08-10</t>
        </is>
      </c>
      <c r="B2829" t="n">
        <v>30</v>
      </c>
      <c r="C2829" t="n">
        <v>3028</v>
      </c>
      <c r="D2829" s="6" t="n">
        <v>45.9</v>
      </c>
      <c r="E2829" s="6" t="n">
        <v>1176261.13</v>
      </c>
      <c r="F2829" s="6">
        <f>ROUND(E2829-E2828,2)</f>
        <v/>
      </c>
      <c r="G2829" s="6">
        <f>ROUND(F2829-D2829,2)</f>
        <v/>
      </c>
    </row>
    <row r="2830">
      <c r="A2830" t="inlineStr">
        <is>
          <t>2022-08-10</t>
        </is>
      </c>
      <c r="B2830" t="n">
        <v>31</v>
      </c>
      <c r="C2830" t="n">
        <v>3028</v>
      </c>
      <c r="D2830" s="6" t="n">
        <v>57.7</v>
      </c>
      <c r="E2830" s="6" t="n">
        <v>1176318.83</v>
      </c>
      <c r="F2830" s="6">
        <f>ROUND(E2830-E2829,2)</f>
        <v/>
      </c>
      <c r="G2830" s="6">
        <f>ROUND(F2830-D2830,2)</f>
        <v/>
      </c>
    </row>
    <row r="2831">
      <c r="A2831" t="inlineStr">
        <is>
          <t>2022-08-10</t>
        </is>
      </c>
      <c r="B2831" t="n">
        <v>32</v>
      </c>
      <c r="C2831" t="n">
        <v>3028</v>
      </c>
      <c r="D2831" s="6" t="n">
        <v>179.2</v>
      </c>
      <c r="E2831" s="6" t="n">
        <v>1176498.03</v>
      </c>
      <c r="F2831" s="6">
        <f>ROUND(E2831-E2830,2)</f>
        <v/>
      </c>
      <c r="G2831" s="6">
        <f>ROUND(F2831-D2831,2)</f>
        <v/>
      </c>
    </row>
    <row r="2832">
      <c r="A2832" t="inlineStr">
        <is>
          <t>2022-08-10</t>
        </is>
      </c>
      <c r="B2832" t="n">
        <v>33</v>
      </c>
      <c r="C2832" t="n">
        <v>3028</v>
      </c>
      <c r="D2832" s="6" t="n">
        <v>40.8</v>
      </c>
      <c r="E2832" s="6" t="n">
        <v>1176538.83</v>
      </c>
      <c r="F2832" s="6">
        <f>ROUND(E2832-E2831,2)</f>
        <v/>
      </c>
      <c r="G2832" s="6">
        <f>ROUND(F2832-D2832,2)</f>
        <v/>
      </c>
    </row>
    <row r="2833">
      <c r="A2833" t="inlineStr">
        <is>
          <t>2022-08-10</t>
        </is>
      </c>
      <c r="B2833" t="n">
        <v>34</v>
      </c>
      <c r="C2833" t="n">
        <v>3028</v>
      </c>
      <c r="D2833" s="6" t="n">
        <v>90.7</v>
      </c>
      <c r="E2833" s="6" t="n">
        <v>1176629.53</v>
      </c>
      <c r="F2833" s="6">
        <f>ROUND(E2833-E2832,2)</f>
        <v/>
      </c>
      <c r="G2833" s="6">
        <f>ROUND(F2833-D2833,2)</f>
        <v/>
      </c>
    </row>
    <row r="2834">
      <c r="A2834" t="inlineStr">
        <is>
          <t>2022-08-10</t>
        </is>
      </c>
      <c r="B2834" t="n">
        <v>35</v>
      </c>
      <c r="C2834" t="n">
        <v>3028</v>
      </c>
      <c r="D2834" s="6" t="n">
        <v>60.3</v>
      </c>
      <c r="E2834" s="6" t="n">
        <v>1176689.83</v>
      </c>
      <c r="F2834" s="6">
        <f>ROUND(E2834-E2833,2)</f>
        <v/>
      </c>
      <c r="G2834" s="6">
        <f>ROUND(F2834-D2834,2)</f>
        <v/>
      </c>
    </row>
    <row r="2835">
      <c r="A2835" t="inlineStr">
        <is>
          <t>2022-08-10</t>
        </is>
      </c>
      <c r="B2835" t="n">
        <v>36</v>
      </c>
      <c r="C2835" t="n">
        <v>3028</v>
      </c>
      <c r="D2835" s="6" t="n">
        <v>73.40000000000001</v>
      </c>
      <c r="E2835" s="6" t="n">
        <v>1176763.23</v>
      </c>
      <c r="F2835" s="6">
        <f>ROUND(E2835-E2834,2)</f>
        <v/>
      </c>
      <c r="G2835" s="6">
        <f>ROUND(F2835-D2835,2)</f>
        <v/>
      </c>
    </row>
    <row r="2836">
      <c r="A2836" t="inlineStr">
        <is>
          <t>2022-08-11</t>
        </is>
      </c>
      <c r="B2836" t="n">
        <v>1</v>
      </c>
      <c r="C2836" t="n">
        <v>3029</v>
      </c>
      <c r="D2836" s="6" t="n">
        <v>64.7</v>
      </c>
      <c r="E2836" s="6" t="n">
        <v>1176827.93</v>
      </c>
      <c r="F2836" s="6">
        <f>ROUND(E2836-E2835,2)</f>
        <v/>
      </c>
      <c r="G2836" s="6">
        <f>ROUND(F2836-D2836,2)</f>
        <v/>
      </c>
    </row>
    <row r="2837">
      <c r="A2837" t="inlineStr">
        <is>
          <t>2022-08-11</t>
        </is>
      </c>
      <c r="B2837" t="n">
        <v>2</v>
      </c>
      <c r="C2837" t="n">
        <v>3029</v>
      </c>
      <c r="D2837" s="6" t="n">
        <v>28</v>
      </c>
      <c r="E2837" s="6" t="n">
        <v>1176855.93</v>
      </c>
      <c r="F2837" s="6">
        <f>ROUND(E2837-E2836,2)</f>
        <v/>
      </c>
      <c r="G2837" s="6">
        <f>ROUND(F2837-D2837,2)</f>
        <v/>
      </c>
    </row>
    <row r="2838">
      <c r="A2838" t="inlineStr">
        <is>
          <t>2022-08-11</t>
        </is>
      </c>
      <c r="B2838" t="n">
        <v>3</v>
      </c>
      <c r="C2838" t="n">
        <v>3029</v>
      </c>
      <c r="D2838" s="6" t="n">
        <v>23.8</v>
      </c>
      <c r="E2838" s="6" t="n">
        <v>1176879.73</v>
      </c>
      <c r="F2838" s="6">
        <f>ROUND(E2838-E2837,2)</f>
        <v/>
      </c>
      <c r="G2838" s="6">
        <f>ROUND(F2838-D2838,2)</f>
        <v/>
      </c>
    </row>
    <row r="2839">
      <c r="A2839" t="inlineStr">
        <is>
          <t>2022-08-11</t>
        </is>
      </c>
      <c r="B2839" t="n">
        <v>4</v>
      </c>
      <c r="C2839" t="n">
        <v>3029</v>
      </c>
      <c r="D2839" s="6" t="n">
        <v>23.8</v>
      </c>
      <c r="E2839" s="6" t="n">
        <v>1176903.53</v>
      </c>
      <c r="F2839" s="6">
        <f>ROUND(E2839-E2838,2)</f>
        <v/>
      </c>
      <c r="G2839" s="6">
        <f>ROUND(F2839-D2839,2)</f>
        <v/>
      </c>
    </row>
    <row r="2840">
      <c r="A2840" t="inlineStr">
        <is>
          <t>2022-08-11</t>
        </is>
      </c>
      <c r="B2840" t="n">
        <v>5</v>
      </c>
      <c r="C2840" t="n">
        <v>3029</v>
      </c>
      <c r="D2840" s="6" t="n">
        <v>23.8</v>
      </c>
      <c r="E2840" s="6" t="n">
        <v>1176927.33</v>
      </c>
      <c r="F2840" s="6">
        <f>ROUND(E2840-E2839,2)</f>
        <v/>
      </c>
      <c r="G2840" s="6">
        <f>ROUND(F2840-D2840,2)</f>
        <v/>
      </c>
    </row>
    <row r="2841">
      <c r="A2841" t="inlineStr">
        <is>
          <t>2022-08-11</t>
        </is>
      </c>
      <c r="B2841" t="n">
        <v>6</v>
      </c>
      <c r="C2841" t="n">
        <v>3029</v>
      </c>
      <c r="D2841" s="6" t="n">
        <v>51.9</v>
      </c>
      <c r="E2841" s="6" t="n">
        <v>1176979.23</v>
      </c>
      <c r="F2841" s="6">
        <f>ROUND(E2841-E2840,2)</f>
        <v/>
      </c>
      <c r="G2841" s="6">
        <f>ROUND(F2841-D2841,2)</f>
        <v/>
      </c>
    </row>
    <row r="2842">
      <c r="A2842" t="inlineStr">
        <is>
          <t>2022-08-11</t>
        </is>
      </c>
      <c r="B2842" t="n">
        <v>7</v>
      </c>
      <c r="C2842" t="n">
        <v>3029</v>
      </c>
      <c r="D2842" s="6" t="n">
        <v>70.7</v>
      </c>
      <c r="E2842" s="6" t="n">
        <v>1177049.93</v>
      </c>
      <c r="F2842" s="6">
        <f>ROUND(E2842-E2841,2)</f>
        <v/>
      </c>
      <c r="G2842" s="6">
        <f>ROUND(F2842-D2842,2)</f>
        <v/>
      </c>
    </row>
    <row r="2843">
      <c r="A2843" t="inlineStr">
        <is>
          <t>2022-08-11</t>
        </is>
      </c>
      <c r="B2843" t="n">
        <v>8</v>
      </c>
      <c r="C2843" t="n">
        <v>3029</v>
      </c>
      <c r="D2843" s="6" t="n">
        <v>103.3</v>
      </c>
      <c r="E2843" s="6" t="n">
        <v>1177153.23</v>
      </c>
      <c r="F2843" s="6">
        <f>ROUND(E2843-E2842,2)</f>
        <v/>
      </c>
      <c r="G2843" s="6">
        <f>ROUND(F2843-D2843,2)</f>
        <v/>
      </c>
    </row>
    <row r="2844">
      <c r="A2844" t="inlineStr">
        <is>
          <t>2022-08-11</t>
        </is>
      </c>
      <c r="B2844" t="n">
        <v>9</v>
      </c>
      <c r="C2844" t="n">
        <v>3029</v>
      </c>
      <c r="D2844" s="6" t="n">
        <v>23.4</v>
      </c>
      <c r="E2844" s="6" t="n">
        <v>1177176.63</v>
      </c>
      <c r="F2844" s="6">
        <f>ROUND(E2844-E2843,2)</f>
        <v/>
      </c>
      <c r="G2844" s="6">
        <f>ROUND(F2844-D2844,2)</f>
        <v/>
      </c>
    </row>
    <row r="2845">
      <c r="A2845" t="inlineStr">
        <is>
          <t>2022-08-11</t>
        </is>
      </c>
      <c r="B2845" t="n">
        <v>10</v>
      </c>
      <c r="C2845" t="n">
        <v>3029</v>
      </c>
      <c r="D2845" s="6" t="n">
        <v>23.4</v>
      </c>
      <c r="E2845" s="6" t="n">
        <v>1177200.03</v>
      </c>
      <c r="F2845" s="6">
        <f>ROUND(E2845-E2844,2)</f>
        <v/>
      </c>
      <c r="G2845" s="6">
        <f>ROUND(F2845-D2845,2)</f>
        <v/>
      </c>
    </row>
    <row r="2846">
      <c r="A2846" t="inlineStr">
        <is>
          <t>2022-08-11</t>
        </is>
      </c>
      <c r="B2846" t="n">
        <v>11</v>
      </c>
      <c r="C2846" t="n">
        <v>3029</v>
      </c>
      <c r="D2846" s="6" t="n">
        <v>56.1</v>
      </c>
      <c r="E2846" s="6" t="n">
        <v>1177256.13</v>
      </c>
      <c r="F2846" s="6">
        <f>ROUND(E2846-E2845,2)</f>
        <v/>
      </c>
      <c r="G2846" s="6">
        <f>ROUND(F2846-D2846,2)</f>
        <v/>
      </c>
    </row>
    <row r="2847">
      <c r="A2847" t="inlineStr">
        <is>
          <t>2022-08-11</t>
        </is>
      </c>
      <c r="B2847" t="n">
        <v>12</v>
      </c>
      <c r="C2847" t="n">
        <v>3029</v>
      </c>
      <c r="D2847" s="6" t="n">
        <v>70.59999999999999</v>
      </c>
      <c r="E2847" s="6" t="n">
        <v>1177326.73</v>
      </c>
      <c r="F2847" s="6">
        <f>ROUND(E2847-E2846,2)</f>
        <v/>
      </c>
      <c r="G2847" s="6">
        <f>ROUND(F2847-D2847,2)</f>
        <v/>
      </c>
    </row>
    <row r="2848">
      <c r="A2848" t="inlineStr">
        <is>
          <t>2022-08-11</t>
        </is>
      </c>
      <c r="B2848" t="n">
        <v>13</v>
      </c>
      <c r="C2848" t="n">
        <v>3029</v>
      </c>
      <c r="D2848" s="6" t="n">
        <v>79.8</v>
      </c>
      <c r="E2848" s="6" t="n">
        <v>1177406.53</v>
      </c>
      <c r="F2848" s="6">
        <f>ROUND(E2848-E2847,2)</f>
        <v/>
      </c>
      <c r="G2848" s="6">
        <f>ROUND(F2848-D2848,2)</f>
        <v/>
      </c>
    </row>
    <row r="2849">
      <c r="A2849" t="inlineStr">
        <is>
          <t>2022-08-11</t>
        </is>
      </c>
      <c r="B2849" t="n">
        <v>14</v>
      </c>
      <c r="C2849" t="n">
        <v>3029</v>
      </c>
      <c r="D2849" s="6" t="n">
        <v>61.5</v>
      </c>
      <c r="E2849" s="6" t="n">
        <v>1177468.03</v>
      </c>
      <c r="F2849" s="6">
        <f>ROUND(E2849-E2848,2)</f>
        <v/>
      </c>
      <c r="G2849" s="6">
        <f>ROUND(F2849-D2849,2)</f>
        <v/>
      </c>
    </row>
    <row r="2850">
      <c r="A2850" t="inlineStr">
        <is>
          <t>2022-08-11</t>
        </is>
      </c>
      <c r="B2850" t="n">
        <v>15</v>
      </c>
      <c r="C2850" t="n">
        <v>3029</v>
      </c>
      <c r="D2850" s="6" t="n">
        <v>139.8</v>
      </c>
      <c r="E2850" s="6" t="n">
        <v>1177607.83</v>
      </c>
      <c r="F2850" s="6">
        <f>ROUND(E2850-E2849,2)</f>
        <v/>
      </c>
      <c r="G2850" s="6">
        <f>ROUND(F2850-D2850,2)</f>
        <v/>
      </c>
    </row>
    <row r="2851">
      <c r="A2851" t="inlineStr">
        <is>
          <t>2022-08-11</t>
        </is>
      </c>
      <c r="B2851" t="n">
        <v>16</v>
      </c>
      <c r="C2851" t="n">
        <v>3029</v>
      </c>
      <c r="D2851" s="6" t="n">
        <v>47.8</v>
      </c>
      <c r="E2851" s="6" t="n">
        <v>1177655.63</v>
      </c>
      <c r="F2851" s="6">
        <f>ROUND(E2851-E2850,2)</f>
        <v/>
      </c>
      <c r="G2851" s="6">
        <f>ROUND(F2851-D2851,2)</f>
        <v/>
      </c>
    </row>
    <row r="2852">
      <c r="A2852" t="inlineStr">
        <is>
          <t>2022-08-11</t>
        </is>
      </c>
      <c r="B2852" t="n">
        <v>17</v>
      </c>
      <c r="C2852" t="n">
        <v>3029</v>
      </c>
      <c r="D2852" s="6" t="n">
        <v>86.09999999999999</v>
      </c>
      <c r="E2852" s="6" t="n">
        <v>1177741.73</v>
      </c>
      <c r="F2852" s="6">
        <f>ROUND(E2852-E2851,2)</f>
        <v/>
      </c>
      <c r="G2852" s="6">
        <f>ROUND(F2852-D2852,2)</f>
        <v/>
      </c>
    </row>
    <row r="2853">
      <c r="A2853" t="inlineStr">
        <is>
          <t>2022-08-11</t>
        </is>
      </c>
      <c r="B2853" t="n">
        <v>18</v>
      </c>
      <c r="C2853" t="n">
        <v>3029</v>
      </c>
      <c r="D2853" s="6" t="n">
        <v>73.40000000000001</v>
      </c>
      <c r="E2853" s="6" t="n">
        <v>1177815.13</v>
      </c>
      <c r="F2853" s="6">
        <f>ROUND(E2853-E2852,2)</f>
        <v/>
      </c>
      <c r="G2853" s="6">
        <f>ROUND(F2853-D2853,2)</f>
        <v/>
      </c>
    </row>
    <row r="2854">
      <c r="A2854" t="inlineStr">
        <is>
          <t>2022-08-11</t>
        </is>
      </c>
      <c r="B2854" t="n">
        <v>19</v>
      </c>
      <c r="C2854" t="n">
        <v>3029</v>
      </c>
      <c r="D2854" s="6" t="n">
        <v>31.8</v>
      </c>
      <c r="E2854" s="6" t="n">
        <v>1177846.93</v>
      </c>
      <c r="F2854" s="6">
        <f>ROUND(E2854-E2853,2)</f>
        <v/>
      </c>
      <c r="G2854" s="6">
        <f>ROUND(F2854-D2854,2)</f>
        <v/>
      </c>
    </row>
    <row r="2855">
      <c r="A2855" t="inlineStr">
        <is>
          <t>2022-08-11</t>
        </is>
      </c>
      <c r="B2855" t="n">
        <v>20</v>
      </c>
      <c r="C2855" t="n">
        <v>3029</v>
      </c>
      <c r="D2855" s="6" t="n">
        <v>61.1</v>
      </c>
      <c r="E2855" s="6" t="n">
        <v>1177908.03</v>
      </c>
      <c r="F2855" s="6">
        <f>ROUND(E2855-E2854,2)</f>
        <v/>
      </c>
      <c r="G2855" s="6">
        <f>ROUND(F2855-D2855,2)</f>
        <v/>
      </c>
    </row>
    <row r="2856">
      <c r="A2856" t="inlineStr">
        <is>
          <t>2022-08-11</t>
        </is>
      </c>
      <c r="B2856" t="n">
        <v>21</v>
      </c>
      <c r="C2856" t="n">
        <v>3029</v>
      </c>
      <c r="D2856" s="6" t="n">
        <v>126.5</v>
      </c>
      <c r="E2856" s="6" t="n">
        <v>1178034.53</v>
      </c>
      <c r="F2856" s="6">
        <f>ROUND(E2856-E2855,2)</f>
        <v/>
      </c>
      <c r="G2856" s="6">
        <f>ROUND(F2856-D2856,2)</f>
        <v/>
      </c>
    </row>
    <row r="2857">
      <c r="A2857" t="inlineStr">
        <is>
          <t>2022-08-11</t>
        </is>
      </c>
      <c r="B2857" t="n">
        <v>22</v>
      </c>
      <c r="C2857" t="n">
        <v>3029</v>
      </c>
      <c r="D2857" s="6" t="n">
        <v>75.90000000000001</v>
      </c>
      <c r="E2857" s="6" t="n">
        <v>1178110.43</v>
      </c>
      <c r="F2857" s="6">
        <f>ROUND(E2857-E2856,2)</f>
        <v/>
      </c>
      <c r="G2857" s="6">
        <f>ROUND(F2857-D2857,2)</f>
        <v/>
      </c>
    </row>
    <row r="2858">
      <c r="A2858" t="inlineStr">
        <is>
          <t>2022-08-11</t>
        </is>
      </c>
      <c r="B2858" t="n">
        <v>23</v>
      </c>
      <c r="C2858" t="n">
        <v>3029</v>
      </c>
      <c r="D2858" s="6" t="n">
        <v>22.95</v>
      </c>
      <c r="E2858" s="6" t="n">
        <v>1178133.38</v>
      </c>
      <c r="F2858" s="6">
        <f>ROUND(E2858-E2857,2)</f>
        <v/>
      </c>
      <c r="G2858" s="6">
        <f>ROUND(F2858-D2858,2)</f>
        <v/>
      </c>
    </row>
    <row r="2859">
      <c r="A2859" t="inlineStr">
        <is>
          <t>2022-08-11</t>
        </is>
      </c>
      <c r="B2859" t="n">
        <v>24</v>
      </c>
      <c r="C2859" t="n">
        <v>3029</v>
      </c>
      <c r="D2859" s="6" t="n">
        <v>111.8</v>
      </c>
      <c r="E2859" s="6" t="n">
        <v>1178245.18</v>
      </c>
      <c r="F2859" s="6">
        <f>ROUND(E2859-E2858,2)</f>
        <v/>
      </c>
      <c r="G2859" s="6">
        <f>ROUND(F2859-D2859,2)</f>
        <v/>
      </c>
    </row>
    <row r="2860">
      <c r="A2860" t="inlineStr">
        <is>
          <t>2022-08-11</t>
        </is>
      </c>
      <c r="B2860" t="n">
        <v>25</v>
      </c>
      <c r="C2860" t="n">
        <v>3029</v>
      </c>
      <c r="D2860" s="6" t="n">
        <v>73.5</v>
      </c>
      <c r="E2860" s="6" t="n">
        <v>1178318.68</v>
      </c>
      <c r="F2860" s="6">
        <f>ROUND(E2860-E2859,2)</f>
        <v/>
      </c>
      <c r="G2860" s="6">
        <f>ROUND(F2860-D2860,2)</f>
        <v/>
      </c>
    </row>
    <row r="2861">
      <c r="A2861" t="inlineStr">
        <is>
          <t>2022-08-11</t>
        </is>
      </c>
      <c r="B2861" t="n">
        <v>26</v>
      </c>
      <c r="C2861" t="n">
        <v>3029</v>
      </c>
      <c r="D2861" s="6" t="n">
        <v>30.1</v>
      </c>
      <c r="E2861" s="6" t="n">
        <v>1178348.78</v>
      </c>
      <c r="F2861" s="6">
        <f>ROUND(E2861-E2860,2)</f>
        <v/>
      </c>
      <c r="G2861" s="6">
        <f>ROUND(F2861-D2861,2)</f>
        <v/>
      </c>
    </row>
    <row r="2862">
      <c r="A2862" t="inlineStr">
        <is>
          <t>2022-08-11</t>
        </is>
      </c>
      <c r="B2862" t="n">
        <v>27</v>
      </c>
      <c r="C2862" t="n">
        <v>3029</v>
      </c>
      <c r="D2862" s="6" t="n">
        <v>41.3</v>
      </c>
      <c r="E2862" s="6" t="n">
        <v>1178390.08</v>
      </c>
      <c r="F2862" s="6">
        <f>ROUND(E2862-E2861,2)</f>
        <v/>
      </c>
      <c r="G2862" s="6">
        <f>ROUND(F2862-D2862,2)</f>
        <v/>
      </c>
    </row>
    <row r="2863">
      <c r="A2863" t="inlineStr">
        <is>
          <t>2022-08-11</t>
        </is>
      </c>
      <c r="B2863" t="n">
        <v>28</v>
      </c>
      <c r="C2863" t="n">
        <v>3029</v>
      </c>
      <c r="D2863" s="6" t="n">
        <v>73.3</v>
      </c>
      <c r="E2863" s="6" t="n">
        <v>1178463.38</v>
      </c>
      <c r="F2863" s="6">
        <f>ROUND(E2863-E2862,2)</f>
        <v/>
      </c>
      <c r="G2863" s="6">
        <f>ROUND(F2863-D2863,2)</f>
        <v/>
      </c>
    </row>
    <row r="2864">
      <c r="A2864" t="inlineStr">
        <is>
          <t>2022-08-11</t>
        </is>
      </c>
      <c r="B2864" t="n">
        <v>29</v>
      </c>
      <c r="C2864" t="n">
        <v>3029</v>
      </c>
      <c r="D2864" s="6" t="n">
        <v>152.7</v>
      </c>
      <c r="E2864" s="6" t="n">
        <v>1178616.08</v>
      </c>
      <c r="F2864" s="6">
        <f>ROUND(E2864-E2863,2)</f>
        <v/>
      </c>
      <c r="G2864" s="6">
        <f>ROUND(F2864-D2864,2)</f>
        <v/>
      </c>
    </row>
    <row r="2865">
      <c r="A2865" t="inlineStr">
        <is>
          <t>2022-08-11</t>
        </is>
      </c>
      <c r="B2865" t="n">
        <v>30</v>
      </c>
      <c r="C2865" t="n">
        <v>3029</v>
      </c>
      <c r="D2865" s="6" t="n">
        <v>64.2</v>
      </c>
      <c r="E2865" s="6" t="n">
        <v>1178680.28</v>
      </c>
      <c r="F2865" s="6">
        <f>ROUND(E2865-E2864,2)</f>
        <v/>
      </c>
      <c r="G2865" s="6">
        <f>ROUND(F2865-D2865,2)</f>
        <v/>
      </c>
    </row>
    <row r="2866">
      <c r="A2866" t="inlineStr">
        <is>
          <t>2022-08-11</t>
        </is>
      </c>
      <c r="B2866" t="n">
        <v>31</v>
      </c>
      <c r="C2866" t="n">
        <v>3029</v>
      </c>
      <c r="D2866" s="6" t="n">
        <v>51.9</v>
      </c>
      <c r="E2866" s="6" t="n">
        <v>1178732.18</v>
      </c>
      <c r="F2866" s="6">
        <f>ROUND(E2866-E2865,2)</f>
        <v/>
      </c>
      <c r="G2866" s="6">
        <f>ROUND(F2866-D2866,2)</f>
        <v/>
      </c>
    </row>
    <row r="2867">
      <c r="A2867" t="inlineStr">
        <is>
          <t>2022-08-11</t>
        </is>
      </c>
      <c r="B2867" t="n">
        <v>32</v>
      </c>
      <c r="C2867" t="n">
        <v>3029</v>
      </c>
      <c r="D2867" s="6" t="n">
        <v>71.5</v>
      </c>
      <c r="E2867" s="6" t="n">
        <v>1178803.68</v>
      </c>
      <c r="F2867" s="6">
        <f>ROUND(E2867-E2866,2)</f>
        <v/>
      </c>
      <c r="G2867" s="6">
        <f>ROUND(F2867-D2867,2)</f>
        <v/>
      </c>
    </row>
    <row r="2868">
      <c r="A2868" t="inlineStr">
        <is>
          <t>2022-08-11</t>
        </is>
      </c>
      <c r="B2868" t="n">
        <v>33</v>
      </c>
      <c r="C2868" t="n">
        <v>3029</v>
      </c>
      <c r="D2868" s="6" t="n">
        <v>213.1</v>
      </c>
      <c r="E2868" s="6" t="n">
        <v>1179016.78</v>
      </c>
      <c r="F2868" s="6">
        <f>ROUND(E2868-E2867,2)</f>
        <v/>
      </c>
      <c r="G2868" s="6">
        <f>ROUND(F2868-D2868,2)</f>
        <v/>
      </c>
    </row>
    <row r="2869">
      <c r="A2869" t="inlineStr">
        <is>
          <t>2022-08-11</t>
        </is>
      </c>
      <c r="B2869" t="n">
        <v>34</v>
      </c>
      <c r="C2869" t="n">
        <v>3029</v>
      </c>
      <c r="D2869" s="6" t="n">
        <v>65.59999999999999</v>
      </c>
      <c r="E2869" s="6" t="n">
        <v>1179082.38</v>
      </c>
      <c r="F2869" s="6">
        <f>ROUND(E2869-E2868,2)</f>
        <v/>
      </c>
      <c r="G2869" s="6">
        <f>ROUND(F2869-D2869,2)</f>
        <v/>
      </c>
    </row>
    <row r="2870">
      <c r="A2870" t="inlineStr">
        <is>
          <t>2022-08-12</t>
        </is>
      </c>
      <c r="B2870" t="n">
        <v>1</v>
      </c>
      <c r="C2870" t="n">
        <v>3030</v>
      </c>
      <c r="D2870" s="6" t="n">
        <v>49.7</v>
      </c>
      <c r="E2870" s="6" t="n">
        <v>1179132.08</v>
      </c>
      <c r="F2870" s="6">
        <f>ROUND(E2870-E2869,2)</f>
        <v/>
      </c>
      <c r="G2870" s="6">
        <f>ROUND(F2870-D2870,2)</f>
        <v/>
      </c>
    </row>
    <row r="2871">
      <c r="A2871" t="inlineStr">
        <is>
          <t>2022-08-12</t>
        </is>
      </c>
      <c r="B2871" t="n">
        <v>2</v>
      </c>
      <c r="C2871" t="n">
        <v>3030</v>
      </c>
      <c r="D2871" s="6" t="n">
        <v>54</v>
      </c>
      <c r="E2871" s="6" t="n">
        <v>1179186.08</v>
      </c>
      <c r="F2871" s="6">
        <f>ROUND(E2871-E2870,2)</f>
        <v/>
      </c>
      <c r="G2871" s="6">
        <f>ROUND(F2871-D2871,2)</f>
        <v/>
      </c>
    </row>
    <row r="2872">
      <c r="A2872" t="inlineStr">
        <is>
          <t>2022-08-12</t>
        </is>
      </c>
      <c r="B2872" t="n">
        <v>3</v>
      </c>
      <c r="C2872" t="n">
        <v>3030</v>
      </c>
      <c r="D2872" s="6" t="n">
        <v>34.8</v>
      </c>
      <c r="E2872" s="6" t="n">
        <v>1179220.88</v>
      </c>
      <c r="F2872" s="6">
        <f>ROUND(E2872-E2871,2)</f>
        <v/>
      </c>
      <c r="G2872" s="6">
        <f>ROUND(F2872-D2872,2)</f>
        <v/>
      </c>
    </row>
    <row r="2873">
      <c r="A2873" t="inlineStr">
        <is>
          <t>2022-08-12</t>
        </is>
      </c>
      <c r="B2873" t="n">
        <v>4</v>
      </c>
      <c r="C2873" t="n">
        <v>3030</v>
      </c>
      <c r="D2873" s="6" t="n">
        <v>48.9</v>
      </c>
      <c r="E2873" s="6" t="n">
        <v>1179269.78</v>
      </c>
      <c r="F2873" s="6">
        <f>ROUND(E2873-E2872,2)</f>
        <v/>
      </c>
      <c r="G2873" s="6">
        <f>ROUND(F2873-D2873,2)</f>
        <v/>
      </c>
    </row>
    <row r="2874">
      <c r="A2874" t="inlineStr">
        <is>
          <t>2022-08-12</t>
        </is>
      </c>
      <c r="B2874" t="n">
        <v>5</v>
      </c>
      <c r="C2874" t="n">
        <v>3030</v>
      </c>
      <c r="D2874" s="6" t="n">
        <v>59.3</v>
      </c>
      <c r="E2874" s="6" t="n">
        <v>1179329.08</v>
      </c>
      <c r="F2874" s="6">
        <f>ROUND(E2874-E2873,2)</f>
        <v/>
      </c>
      <c r="G2874" s="6">
        <f>ROUND(F2874-D2874,2)</f>
        <v/>
      </c>
    </row>
    <row r="2875">
      <c r="A2875" t="inlineStr">
        <is>
          <t>2022-08-12</t>
        </is>
      </c>
      <c r="B2875" t="n">
        <v>6</v>
      </c>
      <c r="C2875" t="n">
        <v>3030</v>
      </c>
      <c r="D2875" s="6" t="n">
        <v>36.3</v>
      </c>
      <c r="E2875" s="6" t="n">
        <v>1179365.38</v>
      </c>
      <c r="F2875" s="6">
        <f>ROUND(E2875-E2874,2)</f>
        <v/>
      </c>
      <c r="G2875" s="6">
        <f>ROUND(F2875-D2875,2)</f>
        <v/>
      </c>
    </row>
    <row r="2876">
      <c r="A2876" t="inlineStr">
        <is>
          <t>2022-08-12</t>
        </is>
      </c>
      <c r="B2876" t="n">
        <v>7</v>
      </c>
      <c r="C2876" t="n">
        <v>3030</v>
      </c>
      <c r="D2876" s="6" t="n">
        <v>40.3</v>
      </c>
      <c r="E2876" s="6" t="n">
        <v>1179405.68</v>
      </c>
      <c r="F2876" s="6">
        <f>ROUND(E2876-E2875,2)</f>
        <v/>
      </c>
      <c r="G2876" s="6">
        <f>ROUND(F2876-D2876,2)</f>
        <v/>
      </c>
    </row>
    <row r="2877">
      <c r="A2877" t="inlineStr">
        <is>
          <t>2022-08-12</t>
        </is>
      </c>
      <c r="B2877" t="n">
        <v>8</v>
      </c>
      <c r="C2877" t="n">
        <v>3030</v>
      </c>
      <c r="D2877" s="6" t="n">
        <v>17.6</v>
      </c>
      <c r="E2877" s="6" t="n">
        <v>1179423.28</v>
      </c>
      <c r="F2877" s="6">
        <f>ROUND(E2877-E2876,2)</f>
        <v/>
      </c>
      <c r="G2877" s="6">
        <f>ROUND(F2877-D2877,2)</f>
        <v/>
      </c>
    </row>
    <row r="2878">
      <c r="A2878" t="inlineStr">
        <is>
          <t>2022-08-12</t>
        </is>
      </c>
      <c r="B2878" t="n">
        <v>9</v>
      </c>
      <c r="C2878" t="n">
        <v>3030</v>
      </c>
      <c r="D2878" s="6" t="n">
        <v>57.3</v>
      </c>
      <c r="E2878" s="6" t="n">
        <v>1179480.58</v>
      </c>
      <c r="F2878" s="6">
        <f>ROUND(E2878-E2877,2)</f>
        <v/>
      </c>
      <c r="G2878" s="6">
        <f>ROUND(F2878-D2878,2)</f>
        <v/>
      </c>
    </row>
    <row r="2879">
      <c r="A2879" t="inlineStr">
        <is>
          <t>2022-08-12</t>
        </is>
      </c>
      <c r="B2879" t="n">
        <v>10</v>
      </c>
      <c r="C2879" t="n">
        <v>3030</v>
      </c>
      <c r="D2879" s="6" t="n">
        <v>125.1</v>
      </c>
      <c r="E2879" s="6" t="n">
        <v>1179605.68</v>
      </c>
      <c r="F2879" s="6">
        <f>ROUND(E2879-E2878,2)</f>
        <v/>
      </c>
      <c r="G2879" s="6">
        <f>ROUND(F2879-D2879,2)</f>
        <v/>
      </c>
    </row>
    <row r="2880">
      <c r="A2880" t="inlineStr">
        <is>
          <t>2022-08-12</t>
        </is>
      </c>
      <c r="B2880" t="n">
        <v>11</v>
      </c>
      <c r="C2880" t="n">
        <v>3030</v>
      </c>
      <c r="D2880" s="6" t="n">
        <v>47.8</v>
      </c>
      <c r="E2880" s="6" t="n">
        <v>1179653.48</v>
      </c>
      <c r="F2880" s="6">
        <f>ROUND(E2880-E2879,2)</f>
        <v/>
      </c>
      <c r="G2880" s="6">
        <f>ROUND(F2880-D2880,2)</f>
        <v/>
      </c>
    </row>
    <row r="2881">
      <c r="A2881" t="inlineStr">
        <is>
          <t>2022-08-12</t>
        </is>
      </c>
      <c r="B2881" t="n">
        <v>12</v>
      </c>
      <c r="C2881" t="n">
        <v>3030</v>
      </c>
      <c r="D2881" s="6" t="n">
        <v>18.1</v>
      </c>
      <c r="E2881" s="6" t="n">
        <v>1179671.58</v>
      </c>
      <c r="F2881" s="6">
        <f>ROUND(E2881-E2880,2)</f>
        <v/>
      </c>
      <c r="G2881" s="6">
        <f>ROUND(F2881-D2881,2)</f>
        <v/>
      </c>
    </row>
    <row r="2882">
      <c r="A2882" t="inlineStr">
        <is>
          <t>2022-08-12</t>
        </is>
      </c>
      <c r="B2882" t="n">
        <v>13</v>
      </c>
      <c r="C2882" t="n">
        <v>3030</v>
      </c>
      <c r="D2882" s="6" t="n">
        <v>15.9</v>
      </c>
      <c r="E2882" s="6" t="n">
        <v>1179687.48</v>
      </c>
      <c r="F2882" s="6">
        <f>ROUND(E2882-E2881,2)</f>
        <v/>
      </c>
      <c r="G2882" s="6">
        <f>ROUND(F2882-D2882,2)</f>
        <v/>
      </c>
    </row>
    <row r="2883">
      <c r="A2883" t="inlineStr">
        <is>
          <t>2022-08-12</t>
        </is>
      </c>
      <c r="B2883" t="n">
        <v>14</v>
      </c>
      <c r="C2883" t="n">
        <v>3030</v>
      </c>
      <c r="D2883" s="6" t="n">
        <v>47.3</v>
      </c>
      <c r="E2883" s="6" t="n">
        <v>1179734.78</v>
      </c>
      <c r="F2883" s="6">
        <f>ROUND(E2883-E2882,2)</f>
        <v/>
      </c>
      <c r="G2883" s="6">
        <f>ROUND(F2883-D2883,2)</f>
        <v/>
      </c>
    </row>
    <row r="2884">
      <c r="A2884" t="inlineStr">
        <is>
          <t>2022-08-12</t>
        </is>
      </c>
      <c r="B2884" t="n">
        <v>15</v>
      </c>
      <c r="C2884" t="n">
        <v>3030</v>
      </c>
      <c r="D2884" s="6" t="n">
        <v>96.8</v>
      </c>
      <c r="E2884" s="6" t="n">
        <v>1179831.58</v>
      </c>
      <c r="F2884" s="6">
        <f>ROUND(E2884-E2883,2)</f>
        <v/>
      </c>
      <c r="G2884" s="6">
        <f>ROUND(F2884-D2884,2)</f>
        <v/>
      </c>
    </row>
    <row r="2885">
      <c r="A2885" t="inlineStr">
        <is>
          <t>2022-08-12</t>
        </is>
      </c>
      <c r="B2885" t="n">
        <v>16</v>
      </c>
      <c r="C2885" t="n">
        <v>3030</v>
      </c>
      <c r="D2885" s="6" t="n">
        <v>88.3</v>
      </c>
      <c r="E2885" s="6" t="n">
        <v>1179919.88</v>
      </c>
      <c r="F2885" s="6">
        <f>ROUND(E2885-E2884,2)</f>
        <v/>
      </c>
      <c r="G2885" s="6">
        <f>ROUND(F2885-D2885,2)</f>
        <v/>
      </c>
    </row>
    <row r="2886">
      <c r="A2886" t="inlineStr">
        <is>
          <t>2022-08-12</t>
        </is>
      </c>
      <c r="B2886" t="n">
        <v>17</v>
      </c>
      <c r="C2886" t="n">
        <v>3030</v>
      </c>
      <c r="D2886" s="6" t="n">
        <v>57.8</v>
      </c>
      <c r="E2886" s="6" t="n">
        <v>1179977.68</v>
      </c>
      <c r="F2886" s="6">
        <f>ROUND(E2886-E2885,2)</f>
        <v/>
      </c>
      <c r="G2886" s="6">
        <f>ROUND(F2886-D2886,2)</f>
        <v/>
      </c>
    </row>
    <row r="2887">
      <c r="A2887" t="inlineStr">
        <is>
          <t>2022-08-12</t>
        </is>
      </c>
      <c r="B2887" t="n">
        <v>18</v>
      </c>
      <c r="C2887" t="n">
        <v>3030</v>
      </c>
      <c r="D2887" s="6" t="n">
        <v>29.15</v>
      </c>
      <c r="E2887" s="6" t="n">
        <v>1180006.83</v>
      </c>
      <c r="F2887" s="6">
        <f>ROUND(E2887-E2886,2)</f>
        <v/>
      </c>
      <c r="G2887" s="6">
        <f>ROUND(F2887-D2887,2)</f>
        <v/>
      </c>
    </row>
    <row r="2888">
      <c r="A2888" t="inlineStr">
        <is>
          <t>2022-08-12</t>
        </is>
      </c>
      <c r="B2888" t="n">
        <v>19</v>
      </c>
      <c r="C2888" t="n">
        <v>3030</v>
      </c>
      <c r="D2888" s="6" t="n">
        <v>29.15</v>
      </c>
      <c r="E2888" s="6" t="n">
        <v>1180035.98</v>
      </c>
      <c r="F2888" s="6">
        <f>ROUND(E2888-E2887,2)</f>
        <v/>
      </c>
      <c r="G2888" s="6">
        <f>ROUND(F2888-D2888,2)</f>
        <v/>
      </c>
    </row>
    <row r="2889">
      <c r="A2889" t="inlineStr">
        <is>
          <t>2022-08-12</t>
        </is>
      </c>
      <c r="B2889" t="n">
        <v>20</v>
      </c>
      <c r="C2889" t="n">
        <v>3030</v>
      </c>
      <c r="D2889" s="6" t="n">
        <v>41.7</v>
      </c>
      <c r="E2889" s="6" t="n">
        <v>1180077.68</v>
      </c>
      <c r="F2889" s="6">
        <f>ROUND(E2889-E2888,2)</f>
        <v/>
      </c>
      <c r="G2889" s="6">
        <f>ROUND(F2889-D2889,2)</f>
        <v/>
      </c>
    </row>
    <row r="2890">
      <c r="A2890" t="inlineStr">
        <is>
          <t>2022-08-12</t>
        </is>
      </c>
      <c r="B2890" t="n">
        <v>21</v>
      </c>
      <c r="C2890" t="n">
        <v>3030</v>
      </c>
      <c r="D2890" s="6" t="n">
        <v>79.2</v>
      </c>
      <c r="E2890" s="6" t="n">
        <v>1180156.88</v>
      </c>
      <c r="F2890" s="6">
        <f>ROUND(E2890-E2889,2)</f>
        <v/>
      </c>
      <c r="G2890" s="6">
        <f>ROUND(F2890-D2890,2)</f>
        <v/>
      </c>
    </row>
    <row r="2891">
      <c r="A2891" t="inlineStr">
        <is>
          <t>2022-08-12</t>
        </is>
      </c>
      <c r="B2891" t="n">
        <v>22</v>
      </c>
      <c r="C2891" t="n">
        <v>3030</v>
      </c>
      <c r="D2891" s="6" t="n">
        <v>89.90000000000001</v>
      </c>
      <c r="E2891" s="6" t="n">
        <v>1180246.78</v>
      </c>
      <c r="F2891" s="6">
        <f>ROUND(E2891-E2890,2)</f>
        <v/>
      </c>
      <c r="G2891" s="6">
        <f>ROUND(F2891-D2891,2)</f>
        <v/>
      </c>
    </row>
    <row r="2892">
      <c r="A2892" t="inlineStr">
        <is>
          <t>2022-08-12</t>
        </is>
      </c>
      <c r="B2892" t="n">
        <v>23</v>
      </c>
      <c r="C2892" t="n">
        <v>3030</v>
      </c>
      <c r="D2892" s="6" t="n">
        <v>47.5</v>
      </c>
      <c r="E2892" s="6" t="n">
        <v>1180294.28</v>
      </c>
      <c r="F2892" s="6">
        <f>ROUND(E2892-E2891,2)</f>
        <v/>
      </c>
      <c r="G2892" s="6">
        <f>ROUND(F2892-D2892,2)</f>
        <v/>
      </c>
    </row>
    <row r="2893">
      <c r="A2893" t="inlineStr">
        <is>
          <t>2022-08-12</t>
        </is>
      </c>
      <c r="B2893" t="n">
        <v>24</v>
      </c>
      <c r="C2893" t="n">
        <v>3030</v>
      </c>
      <c r="D2893" s="6" t="n">
        <v>83.3</v>
      </c>
      <c r="E2893" s="6" t="n">
        <v>1180377.58</v>
      </c>
      <c r="F2893" s="6">
        <f>ROUND(E2893-E2892,2)</f>
        <v/>
      </c>
      <c r="G2893" s="6">
        <f>ROUND(F2893-D2893,2)</f>
        <v/>
      </c>
    </row>
    <row r="2894">
      <c r="A2894" t="inlineStr">
        <is>
          <t>2022-08-12</t>
        </is>
      </c>
      <c r="B2894" t="n">
        <v>25</v>
      </c>
      <c r="C2894" t="n">
        <v>3030</v>
      </c>
      <c r="D2894" s="6" t="n">
        <v>86</v>
      </c>
      <c r="E2894" s="6" t="n">
        <v>1180463.58</v>
      </c>
      <c r="F2894" s="6">
        <f>ROUND(E2894-E2893,2)</f>
        <v/>
      </c>
      <c r="G2894" s="6">
        <f>ROUND(F2894-D2894,2)</f>
        <v/>
      </c>
    </row>
    <row r="2895">
      <c r="A2895" t="inlineStr">
        <is>
          <t>2022-08-12</t>
        </is>
      </c>
      <c r="B2895" t="n">
        <v>26</v>
      </c>
      <c r="C2895" t="n">
        <v>3030</v>
      </c>
      <c r="D2895" s="6" t="n">
        <v>35.2</v>
      </c>
      <c r="E2895" s="6" t="n">
        <v>1180498.78</v>
      </c>
      <c r="F2895" s="6">
        <f>ROUND(E2895-E2894,2)</f>
        <v/>
      </c>
      <c r="G2895" s="6">
        <f>ROUND(F2895-D2895,2)</f>
        <v/>
      </c>
    </row>
    <row r="2896">
      <c r="A2896" t="inlineStr">
        <is>
          <t>2022-08-12</t>
        </is>
      </c>
      <c r="B2896" t="n">
        <v>27</v>
      </c>
      <c r="C2896" t="n">
        <v>3030</v>
      </c>
      <c r="D2896" s="6" t="n">
        <v>79.59999999999999</v>
      </c>
      <c r="E2896" s="6" t="n">
        <v>1180578.38</v>
      </c>
      <c r="F2896" s="6">
        <f>ROUND(E2896-E2895,2)</f>
        <v/>
      </c>
      <c r="G2896" s="6">
        <f>ROUND(F2896-D2896,2)</f>
        <v/>
      </c>
    </row>
    <row r="2897">
      <c r="A2897" t="inlineStr">
        <is>
          <t>2022-08-12</t>
        </is>
      </c>
      <c r="B2897" t="n">
        <v>28</v>
      </c>
      <c r="C2897" t="n">
        <v>3030</v>
      </c>
      <c r="D2897" s="6" t="n">
        <v>144.7</v>
      </c>
      <c r="E2897" s="6" t="n">
        <v>1180723.08</v>
      </c>
      <c r="F2897" s="6">
        <f>ROUND(E2897-E2896,2)</f>
        <v/>
      </c>
      <c r="G2897" s="6">
        <f>ROUND(F2897-D2897,2)</f>
        <v/>
      </c>
    </row>
    <row r="2898">
      <c r="A2898" t="inlineStr">
        <is>
          <t>2022-08-12</t>
        </is>
      </c>
      <c r="B2898" t="n">
        <v>29</v>
      </c>
      <c r="C2898" t="n">
        <v>3030</v>
      </c>
      <c r="D2898" s="6" t="n">
        <v>19.8</v>
      </c>
      <c r="E2898" s="6" t="n">
        <v>1180742.88</v>
      </c>
      <c r="F2898" s="6">
        <f>ROUND(E2898-E2897,2)</f>
        <v/>
      </c>
      <c r="G2898" s="6">
        <f>ROUND(F2898-D2898,2)</f>
        <v/>
      </c>
    </row>
    <row r="2899">
      <c r="A2899" t="inlineStr">
        <is>
          <t>2022-08-12</t>
        </is>
      </c>
      <c r="B2899" t="n">
        <v>30</v>
      </c>
      <c r="C2899" t="n">
        <v>3030</v>
      </c>
      <c r="D2899" s="6" t="n">
        <v>59.4</v>
      </c>
      <c r="E2899" s="6" t="n">
        <v>1180802.28</v>
      </c>
      <c r="F2899" s="6">
        <f>ROUND(E2899-E2898,2)</f>
        <v/>
      </c>
      <c r="G2899" s="6">
        <f>ROUND(F2899-D2899,2)</f>
        <v/>
      </c>
    </row>
    <row r="2900">
      <c r="A2900" t="inlineStr">
        <is>
          <t>2022-08-12</t>
        </is>
      </c>
      <c r="B2900" t="n">
        <v>31</v>
      </c>
      <c r="C2900" t="n">
        <v>3030</v>
      </c>
      <c r="D2900" s="6" t="n">
        <v>162.7</v>
      </c>
      <c r="E2900" s="6" t="n">
        <v>1180964.98</v>
      </c>
      <c r="F2900" s="6">
        <f>ROUND(E2900-E2899,2)</f>
        <v/>
      </c>
      <c r="G2900" s="6">
        <f>ROUND(F2900-D2900,2)</f>
        <v/>
      </c>
    </row>
    <row r="2901">
      <c r="A2901" t="inlineStr">
        <is>
          <t>2022-08-12</t>
        </is>
      </c>
      <c r="B2901" t="n">
        <v>32</v>
      </c>
      <c r="C2901" t="n">
        <v>3030</v>
      </c>
      <c r="D2901" s="6" t="n">
        <v>149.3</v>
      </c>
      <c r="E2901" s="6" t="n">
        <v>1181114.28</v>
      </c>
      <c r="F2901" s="6">
        <f>ROUND(E2901-E2900,2)</f>
        <v/>
      </c>
      <c r="G2901" s="6">
        <f>ROUND(F2901-D2901,2)</f>
        <v/>
      </c>
    </row>
    <row r="2902">
      <c r="A2902" t="inlineStr">
        <is>
          <t>2022-08-13</t>
        </is>
      </c>
      <c r="B2902" t="n">
        <v>1</v>
      </c>
      <c r="C2902" t="n">
        <v>3031</v>
      </c>
      <c r="D2902" s="6" t="n">
        <v>107.6</v>
      </c>
      <c r="E2902" s="6" t="n">
        <v>1181221.88</v>
      </c>
      <c r="F2902" s="6">
        <f>ROUND(E2902-E2901,2)</f>
        <v/>
      </c>
      <c r="G2902" s="6">
        <f>ROUND(F2902-D2902,2)</f>
        <v/>
      </c>
    </row>
    <row r="2903">
      <c r="A2903" t="inlineStr">
        <is>
          <t>2022-08-13</t>
        </is>
      </c>
      <c r="B2903" t="n">
        <v>2</v>
      </c>
      <c r="C2903" t="n">
        <v>3031</v>
      </c>
      <c r="D2903" s="6" t="n">
        <v>87.5</v>
      </c>
      <c r="E2903" s="6" t="n">
        <v>1181309.38</v>
      </c>
      <c r="F2903" s="6">
        <f>ROUND(E2903-E2902,2)</f>
        <v/>
      </c>
      <c r="G2903" s="6">
        <f>ROUND(F2903-D2903,2)</f>
        <v/>
      </c>
    </row>
    <row r="2904">
      <c r="A2904" t="inlineStr">
        <is>
          <t>2022-08-13</t>
        </is>
      </c>
      <c r="B2904" t="n">
        <v>3</v>
      </c>
      <c r="C2904" t="n">
        <v>3031</v>
      </c>
      <c r="D2904" s="6" t="n">
        <v>61.9</v>
      </c>
      <c r="E2904" s="6" t="n">
        <v>1181371.28</v>
      </c>
      <c r="F2904" s="6">
        <f>ROUND(E2904-E2903,2)</f>
        <v/>
      </c>
      <c r="G2904" s="6">
        <f>ROUND(F2904-D2904,2)</f>
        <v/>
      </c>
    </row>
    <row r="2905">
      <c r="A2905" t="inlineStr">
        <is>
          <t>2022-08-13</t>
        </is>
      </c>
      <c r="B2905" t="n">
        <v>4</v>
      </c>
      <c r="C2905" t="n">
        <v>3031</v>
      </c>
      <c r="D2905" s="6" t="n">
        <v>63.7</v>
      </c>
      <c r="E2905" s="6" t="n">
        <v>1181434.98</v>
      </c>
      <c r="F2905" s="6">
        <f>ROUND(E2905-E2904,2)</f>
        <v/>
      </c>
      <c r="G2905" s="6">
        <f>ROUND(F2905-D2905,2)</f>
        <v/>
      </c>
    </row>
    <row r="2906">
      <c r="A2906" t="inlineStr">
        <is>
          <t>2022-08-13</t>
        </is>
      </c>
      <c r="B2906" t="n">
        <v>5</v>
      </c>
      <c r="C2906" t="n">
        <v>3031</v>
      </c>
      <c r="D2906" s="6" t="n">
        <v>55.9</v>
      </c>
      <c r="E2906" s="6" t="n">
        <v>1181490.88</v>
      </c>
      <c r="F2906" s="6">
        <f>ROUND(E2906-E2905,2)</f>
        <v/>
      </c>
      <c r="G2906" s="6">
        <f>ROUND(F2906-D2906,2)</f>
        <v/>
      </c>
    </row>
    <row r="2907">
      <c r="A2907" t="inlineStr">
        <is>
          <t>2022-08-13</t>
        </is>
      </c>
      <c r="B2907" t="n">
        <v>6</v>
      </c>
      <c r="C2907" t="n">
        <v>3031</v>
      </c>
      <c r="D2907" s="6" t="n">
        <v>55.9</v>
      </c>
      <c r="E2907" s="6" t="n">
        <v>1181546.78</v>
      </c>
      <c r="F2907" s="6">
        <f>ROUND(E2907-E2906,2)</f>
        <v/>
      </c>
      <c r="G2907" s="6">
        <f>ROUND(F2907-D2907,2)</f>
        <v/>
      </c>
    </row>
    <row r="2908">
      <c r="A2908" t="inlineStr">
        <is>
          <t>2022-08-13</t>
        </is>
      </c>
      <c r="B2908" t="n">
        <v>7</v>
      </c>
      <c r="C2908" t="n">
        <v>3031</v>
      </c>
      <c r="D2908" s="6" t="n">
        <v>102.9</v>
      </c>
      <c r="E2908" s="6" t="n">
        <v>1181649.68</v>
      </c>
      <c r="F2908" s="6">
        <f>ROUND(E2908-E2907,2)</f>
        <v/>
      </c>
      <c r="G2908" s="6">
        <f>ROUND(F2908-D2908,2)</f>
        <v/>
      </c>
    </row>
    <row r="2909">
      <c r="A2909" t="inlineStr">
        <is>
          <t>2022-08-13</t>
        </is>
      </c>
      <c r="B2909" t="n">
        <v>8</v>
      </c>
      <c r="C2909" t="n">
        <v>3031</v>
      </c>
      <c r="D2909" s="6" t="n">
        <v>21.5</v>
      </c>
      <c r="E2909" s="6" t="n">
        <v>1181671.18</v>
      </c>
      <c r="F2909" s="6">
        <f>ROUND(E2909-E2908,2)</f>
        <v/>
      </c>
      <c r="G2909" s="6">
        <f>ROUND(F2909-D2909,2)</f>
        <v/>
      </c>
    </row>
    <row r="2910">
      <c r="A2910" t="inlineStr">
        <is>
          <t>2022-08-13</t>
        </is>
      </c>
      <c r="B2910" t="n">
        <v>9</v>
      </c>
      <c r="C2910" t="n">
        <v>3031</v>
      </c>
      <c r="D2910" s="6" t="n">
        <v>21.5</v>
      </c>
      <c r="E2910" s="6" t="n">
        <v>1181692.68</v>
      </c>
      <c r="F2910" s="6">
        <f>ROUND(E2910-E2909,2)</f>
        <v/>
      </c>
      <c r="G2910" s="6">
        <f>ROUND(F2910-D2910,2)</f>
        <v/>
      </c>
    </row>
    <row r="2911">
      <c r="A2911" t="inlineStr">
        <is>
          <t>2022-08-13</t>
        </is>
      </c>
      <c r="B2911" t="n">
        <v>10</v>
      </c>
      <c r="C2911" t="n">
        <v>3031</v>
      </c>
      <c r="D2911" s="6" t="n">
        <v>67.90000000000001</v>
      </c>
      <c r="E2911" s="6" t="n">
        <v>1181760.58</v>
      </c>
      <c r="F2911" s="6">
        <f>ROUND(E2911-E2910,2)</f>
        <v/>
      </c>
      <c r="G2911" s="6">
        <f>ROUND(F2911-D2911,2)</f>
        <v/>
      </c>
    </row>
    <row r="2912">
      <c r="A2912" t="inlineStr">
        <is>
          <t>2022-08-13</t>
        </is>
      </c>
      <c r="B2912" t="n">
        <v>11</v>
      </c>
      <c r="C2912" t="n">
        <v>3031</v>
      </c>
      <c r="D2912" s="6" t="n">
        <v>146.1</v>
      </c>
      <c r="E2912" s="6" t="n">
        <v>1181906.68</v>
      </c>
      <c r="F2912" s="6">
        <f>ROUND(E2912-E2911,2)</f>
        <v/>
      </c>
      <c r="G2912" s="6">
        <f>ROUND(F2912-D2912,2)</f>
        <v/>
      </c>
    </row>
    <row r="2913">
      <c r="A2913" t="inlineStr">
        <is>
          <t>2022-08-13</t>
        </is>
      </c>
      <c r="B2913" t="n">
        <v>12</v>
      </c>
      <c r="C2913" t="n">
        <v>3031</v>
      </c>
      <c r="D2913" s="6" t="n">
        <v>15.9</v>
      </c>
      <c r="E2913" s="6" t="n">
        <v>1181922.58</v>
      </c>
      <c r="F2913" s="6">
        <f>ROUND(E2913-E2912,2)</f>
        <v/>
      </c>
      <c r="G2913" s="6">
        <f>ROUND(F2913-D2913,2)</f>
        <v/>
      </c>
    </row>
    <row r="2914">
      <c r="A2914" t="inlineStr">
        <is>
          <t>2022-08-13</t>
        </is>
      </c>
      <c r="B2914" t="n">
        <v>13</v>
      </c>
      <c r="C2914" t="n">
        <v>3031</v>
      </c>
      <c r="D2914" s="6" t="n">
        <v>92.40000000000001</v>
      </c>
      <c r="E2914" s="6" t="n">
        <v>1182014.98</v>
      </c>
      <c r="F2914" s="6">
        <f>ROUND(E2914-E2913,2)</f>
        <v/>
      </c>
      <c r="G2914" s="6">
        <f>ROUND(F2914-D2914,2)</f>
        <v/>
      </c>
    </row>
    <row r="2915">
      <c r="A2915" t="inlineStr">
        <is>
          <t>2022-08-13</t>
        </is>
      </c>
      <c r="B2915" t="n">
        <v>14</v>
      </c>
      <c r="C2915" t="n">
        <v>3031</v>
      </c>
      <c r="D2915" s="6" t="n">
        <v>170.1</v>
      </c>
      <c r="E2915" s="6" t="n">
        <v>1182185.08</v>
      </c>
      <c r="F2915" s="6">
        <f>ROUND(E2915-E2914,2)</f>
        <v/>
      </c>
      <c r="G2915" s="6">
        <f>ROUND(F2915-D2915,2)</f>
        <v/>
      </c>
    </row>
    <row r="2916">
      <c r="A2916" t="inlineStr">
        <is>
          <t>2022-08-13</t>
        </is>
      </c>
      <c r="B2916" t="n">
        <v>15</v>
      </c>
      <c r="C2916" t="n">
        <v>3031</v>
      </c>
      <c r="D2916" s="6" t="n">
        <v>72.3</v>
      </c>
      <c r="E2916" s="6" t="n">
        <v>1182257.38</v>
      </c>
      <c r="F2916" s="6">
        <f>ROUND(E2916-E2915,2)</f>
        <v/>
      </c>
      <c r="G2916" s="6">
        <f>ROUND(F2916-D2916,2)</f>
        <v/>
      </c>
    </row>
    <row r="2917">
      <c r="A2917" t="inlineStr">
        <is>
          <t>2022-08-13</t>
        </is>
      </c>
      <c r="B2917" t="n">
        <v>16</v>
      </c>
      <c r="C2917" t="n">
        <v>3031</v>
      </c>
      <c r="D2917" s="6" t="n">
        <v>64</v>
      </c>
      <c r="E2917" s="6" t="n">
        <v>1182321.38</v>
      </c>
      <c r="F2917" s="6">
        <f>ROUND(E2917-E2916,2)</f>
        <v/>
      </c>
      <c r="G2917" s="6">
        <f>ROUND(F2917-D2917,2)</f>
        <v/>
      </c>
    </row>
    <row r="2918">
      <c r="A2918" t="inlineStr">
        <is>
          <t>2022-08-13</t>
        </is>
      </c>
      <c r="B2918" t="n">
        <v>17</v>
      </c>
      <c r="C2918" t="n">
        <v>3031</v>
      </c>
      <c r="D2918" s="6" t="n">
        <v>67.8</v>
      </c>
      <c r="E2918" s="6" t="n">
        <v>1182389.18</v>
      </c>
      <c r="F2918" s="6">
        <f>ROUND(E2918-E2917,2)</f>
        <v/>
      </c>
      <c r="G2918" s="6">
        <f>ROUND(F2918-D2918,2)</f>
        <v/>
      </c>
    </row>
    <row r="2919">
      <c r="A2919" t="inlineStr">
        <is>
          <t>2022-08-13</t>
        </is>
      </c>
      <c r="B2919" t="n">
        <v>18</v>
      </c>
      <c r="C2919" t="n">
        <v>3031</v>
      </c>
      <c r="D2919" s="6" t="n">
        <v>76.3</v>
      </c>
      <c r="E2919" s="6" t="n">
        <v>1182465.48</v>
      </c>
      <c r="F2919" s="6">
        <f>ROUND(E2919-E2918,2)</f>
        <v/>
      </c>
      <c r="G2919" s="6">
        <f>ROUND(F2919-D2919,2)</f>
        <v/>
      </c>
    </row>
    <row r="2920">
      <c r="A2920" t="inlineStr">
        <is>
          <t>2022-08-13</t>
        </is>
      </c>
      <c r="B2920" t="n">
        <v>19</v>
      </c>
      <c r="C2920" t="n">
        <v>3031</v>
      </c>
      <c r="D2920" s="6" t="n">
        <v>94.5</v>
      </c>
      <c r="E2920" s="6" t="n">
        <v>1182559.98</v>
      </c>
      <c r="F2920" s="6">
        <f>ROUND(E2920-E2919,2)</f>
        <v/>
      </c>
      <c r="G2920" s="6">
        <f>ROUND(F2920-D2920,2)</f>
        <v/>
      </c>
    </row>
    <row r="2921">
      <c r="A2921" t="inlineStr">
        <is>
          <t>2022-08-13</t>
        </is>
      </c>
      <c r="B2921" t="n">
        <v>20</v>
      </c>
      <c r="C2921" t="n">
        <v>3031</v>
      </c>
      <c r="D2921" s="6" t="n">
        <v>65.2</v>
      </c>
      <c r="E2921" s="6" t="n">
        <v>1182625.18</v>
      </c>
      <c r="F2921" s="6">
        <f>ROUND(E2921-E2920,2)</f>
        <v/>
      </c>
      <c r="G2921" s="6">
        <f>ROUND(F2921-D2921,2)</f>
        <v/>
      </c>
    </row>
    <row r="2922">
      <c r="A2922" t="inlineStr">
        <is>
          <t>2022-08-13</t>
        </is>
      </c>
      <c r="B2922" t="n">
        <v>21</v>
      </c>
      <c r="C2922" t="n">
        <v>3031</v>
      </c>
      <c r="D2922" s="6" t="n">
        <v>195.8</v>
      </c>
      <c r="E2922" s="6" t="n">
        <v>1182820.98</v>
      </c>
      <c r="F2922" s="6">
        <f>ROUND(E2922-E2921,2)</f>
        <v/>
      </c>
      <c r="G2922" s="6">
        <f>ROUND(F2922-D2922,2)</f>
        <v/>
      </c>
    </row>
    <row r="2923">
      <c r="A2923" t="inlineStr">
        <is>
          <t>2022-08-13</t>
        </is>
      </c>
      <c r="B2923" t="n">
        <v>22</v>
      </c>
      <c r="C2923" t="n">
        <v>3031</v>
      </c>
      <c r="D2923" s="6" t="n">
        <v>84.5</v>
      </c>
      <c r="E2923" s="6" t="n">
        <v>1182905.48</v>
      </c>
      <c r="F2923" s="6">
        <f>ROUND(E2923-E2922,2)</f>
        <v/>
      </c>
      <c r="G2923" s="6">
        <f>ROUND(F2923-D2923,2)</f>
        <v/>
      </c>
    </row>
    <row r="2924">
      <c r="A2924" t="inlineStr">
        <is>
          <t>2022-08-13</t>
        </is>
      </c>
      <c r="B2924" t="n">
        <v>23</v>
      </c>
      <c r="C2924" t="n">
        <v>3031</v>
      </c>
      <c r="D2924" s="6" t="n">
        <v>199.1</v>
      </c>
      <c r="E2924" s="6" t="n">
        <v>1183104.58</v>
      </c>
      <c r="F2924" s="6">
        <f>ROUND(E2924-E2923,2)</f>
        <v/>
      </c>
      <c r="G2924" s="6">
        <f>ROUND(F2924-D2924,2)</f>
        <v/>
      </c>
    </row>
    <row r="2925">
      <c r="A2925" t="inlineStr">
        <is>
          <t>2022-08-13</t>
        </is>
      </c>
      <c r="B2925" t="n">
        <v>24</v>
      </c>
      <c r="C2925" t="n">
        <v>3031</v>
      </c>
      <c r="D2925" s="6" t="n">
        <v>90.09999999999999</v>
      </c>
      <c r="E2925" s="6" t="n">
        <v>1183194.68</v>
      </c>
      <c r="F2925" s="6">
        <f>ROUND(E2925-E2924,2)</f>
        <v/>
      </c>
      <c r="G2925" s="6">
        <f>ROUND(F2925-D2925,2)</f>
        <v/>
      </c>
    </row>
    <row r="2926">
      <c r="A2926" t="inlineStr">
        <is>
          <t>2022-08-13</t>
        </is>
      </c>
      <c r="B2926" t="n">
        <v>25</v>
      </c>
      <c r="C2926" t="n">
        <v>3031</v>
      </c>
      <c r="D2926" s="6" t="n">
        <v>83.59999999999999</v>
      </c>
      <c r="E2926" s="6" t="n">
        <v>1183278.28</v>
      </c>
      <c r="F2926" s="6">
        <f>ROUND(E2926-E2925,2)</f>
        <v/>
      </c>
      <c r="G2926" s="6">
        <f>ROUND(F2926-D2926,2)</f>
        <v/>
      </c>
    </row>
    <row r="2927">
      <c r="A2927" t="inlineStr">
        <is>
          <t>2022-08-13</t>
        </is>
      </c>
      <c r="B2927" t="n">
        <v>26</v>
      </c>
      <c r="C2927" t="n">
        <v>3031</v>
      </c>
      <c r="D2927" s="6" t="n">
        <v>37.2</v>
      </c>
      <c r="E2927" s="6" t="n">
        <v>1183315.48</v>
      </c>
      <c r="F2927" s="6">
        <f>ROUND(E2927-E2926,2)</f>
        <v/>
      </c>
      <c r="G2927" s="6">
        <f>ROUND(F2927-D2927,2)</f>
        <v/>
      </c>
    </row>
    <row r="2928">
      <c r="A2928" t="inlineStr">
        <is>
          <t>2022-08-13</t>
        </is>
      </c>
      <c r="B2928" t="n">
        <v>27</v>
      </c>
      <c r="C2928" t="n">
        <v>3031</v>
      </c>
      <c r="D2928" s="6" t="n">
        <v>37.9</v>
      </c>
      <c r="E2928" s="6" t="n">
        <v>1183353.38</v>
      </c>
      <c r="F2928" s="6">
        <f>ROUND(E2928-E2927,2)</f>
        <v/>
      </c>
      <c r="G2928" s="6">
        <f>ROUND(F2928-D2928,2)</f>
        <v/>
      </c>
    </row>
    <row r="2929">
      <c r="A2929" t="inlineStr">
        <is>
          <t>2022-08-13</t>
        </is>
      </c>
      <c r="B2929" t="n">
        <v>28</v>
      </c>
      <c r="C2929" t="n">
        <v>3031</v>
      </c>
      <c r="D2929" s="6" t="n">
        <v>105.6</v>
      </c>
      <c r="E2929" s="6" t="n">
        <v>1183458.98</v>
      </c>
      <c r="F2929" s="6">
        <f>ROUND(E2929-E2928,2)</f>
        <v/>
      </c>
      <c r="G2929" s="6">
        <f>ROUND(F2929-D2929,2)</f>
        <v/>
      </c>
    </row>
    <row r="2930">
      <c r="A2930" t="inlineStr">
        <is>
          <t>2022-08-13</t>
        </is>
      </c>
      <c r="B2930" t="n">
        <v>29</v>
      </c>
      <c r="C2930" t="n">
        <v>3031</v>
      </c>
      <c r="D2930" s="6" t="n">
        <v>172.4</v>
      </c>
      <c r="E2930" s="6" t="n">
        <v>1183631.38</v>
      </c>
      <c r="F2930" s="6">
        <f>ROUND(E2930-E2929,2)</f>
        <v/>
      </c>
      <c r="G2930" s="6">
        <f>ROUND(F2930-D2930,2)</f>
        <v/>
      </c>
    </row>
    <row r="2931">
      <c r="A2931" t="inlineStr">
        <is>
          <t>2022-08-13</t>
        </is>
      </c>
      <c r="B2931" t="n">
        <v>30</v>
      </c>
      <c r="C2931" t="n">
        <v>3031</v>
      </c>
      <c r="D2931" s="6" t="n">
        <v>75.09999999999999</v>
      </c>
      <c r="E2931" s="6" t="n">
        <v>1183706.48</v>
      </c>
      <c r="F2931" s="6">
        <f>ROUND(E2931-E2930,2)</f>
        <v/>
      </c>
      <c r="G2931" s="6">
        <f>ROUND(F2931-D2931,2)</f>
        <v/>
      </c>
    </row>
    <row r="2932">
      <c r="A2932" t="inlineStr">
        <is>
          <t>2022-08-13</t>
        </is>
      </c>
      <c r="B2932" t="n">
        <v>31</v>
      </c>
      <c r="C2932" t="n">
        <v>3031</v>
      </c>
      <c r="D2932" s="6" t="n">
        <v>107.5</v>
      </c>
      <c r="E2932" s="6" t="n">
        <v>1183813.98</v>
      </c>
      <c r="F2932" s="6">
        <f>ROUND(E2932-E2931,2)</f>
        <v/>
      </c>
      <c r="G2932" s="6">
        <f>ROUND(F2932-D2932,2)</f>
        <v/>
      </c>
    </row>
    <row r="2933">
      <c r="A2933" t="inlineStr">
        <is>
          <t>2022-08-13</t>
        </is>
      </c>
      <c r="B2933" t="n">
        <v>32</v>
      </c>
      <c r="C2933" t="n">
        <v>3031</v>
      </c>
      <c r="D2933" s="6" t="n">
        <v>53</v>
      </c>
      <c r="E2933" s="6" t="n">
        <v>1183866.98</v>
      </c>
      <c r="F2933" s="6">
        <f>ROUND(E2933-E2932,2)</f>
        <v/>
      </c>
      <c r="G2933" s="6">
        <f>ROUND(F2933-D2933,2)</f>
        <v/>
      </c>
    </row>
    <row r="2934">
      <c r="A2934" t="inlineStr">
        <is>
          <t>2022-08-13</t>
        </is>
      </c>
      <c r="B2934" t="n">
        <v>33</v>
      </c>
      <c r="C2934" t="n">
        <v>3031</v>
      </c>
      <c r="D2934" s="6" t="n">
        <v>81.09999999999999</v>
      </c>
      <c r="E2934" s="6" t="n">
        <v>1183948.08</v>
      </c>
      <c r="F2934" s="6">
        <f>ROUND(E2934-E2933,2)</f>
        <v/>
      </c>
      <c r="G2934" s="6">
        <f>ROUND(F2934-D2934,2)</f>
        <v/>
      </c>
    </row>
    <row r="2935">
      <c r="A2935" t="inlineStr">
        <is>
          <t>2022-08-14</t>
        </is>
      </c>
      <c r="B2935" t="n">
        <v>1</v>
      </c>
      <c r="C2935" t="n">
        <v>3032</v>
      </c>
      <c r="D2935" s="6" t="n">
        <v>47.8</v>
      </c>
      <c r="E2935" s="6" t="n">
        <v>1183995.88</v>
      </c>
      <c r="F2935" s="6">
        <f>ROUND(E2935-E2934,2)</f>
        <v/>
      </c>
      <c r="G2935" s="6">
        <f>ROUND(F2935-D2935,2)</f>
        <v/>
      </c>
    </row>
    <row r="2936">
      <c r="A2936" t="inlineStr">
        <is>
          <t>2022-08-14</t>
        </is>
      </c>
      <c r="B2936" t="n">
        <v>2</v>
      </c>
      <c r="C2936" t="n">
        <v>3032</v>
      </c>
      <c r="D2936" s="6" t="n">
        <v>60.8</v>
      </c>
      <c r="E2936" s="6" t="n">
        <v>1184056.68</v>
      </c>
      <c r="F2936" s="6">
        <f>ROUND(E2936-E2935,2)</f>
        <v/>
      </c>
      <c r="G2936" s="6">
        <f>ROUND(F2936-D2936,2)</f>
        <v/>
      </c>
    </row>
    <row r="2937">
      <c r="A2937" t="inlineStr">
        <is>
          <t>2022-08-14</t>
        </is>
      </c>
      <c r="B2937" t="n">
        <v>3</v>
      </c>
      <c r="C2937" t="n">
        <v>3032</v>
      </c>
      <c r="D2937" s="6" t="n">
        <v>64.09999999999999</v>
      </c>
      <c r="E2937" s="6" t="n">
        <v>1184120.78</v>
      </c>
      <c r="F2937" s="6">
        <f>ROUND(E2937-E2936,2)</f>
        <v/>
      </c>
      <c r="G2937" s="6">
        <f>ROUND(F2937-D2937,2)</f>
        <v/>
      </c>
    </row>
    <row r="2938">
      <c r="A2938" t="inlineStr">
        <is>
          <t>2022-08-14</t>
        </is>
      </c>
      <c r="B2938" t="n">
        <v>4</v>
      </c>
      <c r="C2938" t="n">
        <v>3032</v>
      </c>
      <c r="D2938" s="6" t="n">
        <v>84.90000000000001</v>
      </c>
      <c r="E2938" s="6" t="n">
        <v>1184205.68</v>
      </c>
      <c r="F2938" s="6">
        <f>ROUND(E2938-E2937,2)</f>
        <v/>
      </c>
      <c r="G2938" s="6">
        <f>ROUND(F2938-D2938,2)</f>
        <v/>
      </c>
    </row>
    <row r="2939">
      <c r="A2939" t="inlineStr">
        <is>
          <t>2022-08-14</t>
        </is>
      </c>
      <c r="B2939" t="n">
        <v>5</v>
      </c>
      <c r="C2939" t="n">
        <v>3032</v>
      </c>
      <c r="D2939" s="6" t="n">
        <v>91.09999999999999</v>
      </c>
      <c r="E2939" s="6" t="n">
        <v>1184296.78</v>
      </c>
      <c r="F2939" s="6">
        <f>ROUND(E2939-E2938,2)</f>
        <v/>
      </c>
      <c r="G2939" s="6">
        <f>ROUND(F2939-D2939,2)</f>
        <v/>
      </c>
    </row>
    <row r="2940">
      <c r="A2940" t="inlineStr">
        <is>
          <t>2022-08-14</t>
        </is>
      </c>
      <c r="B2940" t="n">
        <v>6</v>
      </c>
      <c r="C2940" t="n">
        <v>3032</v>
      </c>
      <c r="D2940" s="6" t="n">
        <v>123.5</v>
      </c>
      <c r="E2940" s="6" t="n">
        <v>1184420.28</v>
      </c>
      <c r="F2940" s="6">
        <f>ROUND(E2940-E2939,2)</f>
        <v/>
      </c>
      <c r="G2940" s="6">
        <f>ROUND(F2940-D2940,2)</f>
        <v/>
      </c>
    </row>
    <row r="2941">
      <c r="A2941" t="inlineStr">
        <is>
          <t>2022-08-14</t>
        </is>
      </c>
      <c r="B2941" t="n">
        <v>7</v>
      </c>
      <c r="C2941" t="n">
        <v>3032</v>
      </c>
      <c r="D2941" s="6" t="n">
        <v>88.8</v>
      </c>
      <c r="E2941" s="6" t="n">
        <v>1184509.08</v>
      </c>
      <c r="F2941" s="6">
        <f>ROUND(E2941-E2940,2)</f>
        <v/>
      </c>
      <c r="G2941" s="6">
        <f>ROUND(F2941-D2941,2)</f>
        <v/>
      </c>
    </row>
    <row r="2942">
      <c r="A2942" t="inlineStr">
        <is>
          <t>2022-08-14</t>
        </is>
      </c>
      <c r="B2942" t="n">
        <v>8</v>
      </c>
      <c r="C2942" t="n">
        <v>3032</v>
      </c>
      <c r="D2942" s="6" t="n">
        <v>133</v>
      </c>
      <c r="E2942" s="6" t="n">
        <v>1184642.08</v>
      </c>
      <c r="F2942" s="6">
        <f>ROUND(E2942-E2941,2)</f>
        <v/>
      </c>
      <c r="G2942" s="6">
        <f>ROUND(F2942-D2942,2)</f>
        <v/>
      </c>
    </row>
    <row r="2943">
      <c r="A2943" t="inlineStr">
        <is>
          <t>2022-08-14</t>
        </is>
      </c>
      <c r="B2943" t="n">
        <v>9</v>
      </c>
      <c r="C2943" t="n">
        <v>3032</v>
      </c>
      <c r="D2943" s="6" t="n">
        <v>88</v>
      </c>
      <c r="E2943" s="6" t="n">
        <v>1184730.08</v>
      </c>
      <c r="F2943" s="6">
        <f>ROUND(E2943-E2942,2)</f>
        <v/>
      </c>
      <c r="G2943" s="6">
        <f>ROUND(F2943-D2943,2)</f>
        <v/>
      </c>
    </row>
    <row r="2944">
      <c r="A2944" t="inlineStr">
        <is>
          <t>2022-08-14</t>
        </is>
      </c>
      <c r="B2944" t="n">
        <v>10</v>
      </c>
      <c r="C2944" t="n">
        <v>3032</v>
      </c>
      <c r="D2944" s="6" t="n">
        <v>58.4</v>
      </c>
      <c r="E2944" s="6" t="n">
        <v>1184788.48</v>
      </c>
      <c r="F2944" s="6">
        <f>ROUND(E2944-E2943,2)</f>
        <v/>
      </c>
      <c r="G2944" s="6">
        <f>ROUND(F2944-D2944,2)</f>
        <v/>
      </c>
    </row>
    <row r="2945">
      <c r="A2945" t="inlineStr">
        <is>
          <t>2022-08-14</t>
        </is>
      </c>
      <c r="B2945" t="n">
        <v>11</v>
      </c>
      <c r="C2945" t="n">
        <v>3032</v>
      </c>
      <c r="D2945" s="6" t="n">
        <v>58.4</v>
      </c>
      <c r="E2945" s="6" t="n">
        <v>1184846.88</v>
      </c>
      <c r="F2945" s="6">
        <f>ROUND(E2945-E2944,2)</f>
        <v/>
      </c>
      <c r="G2945" s="6">
        <f>ROUND(F2945-D2945,2)</f>
        <v/>
      </c>
    </row>
    <row r="2946">
      <c r="A2946" t="inlineStr">
        <is>
          <t>2022-08-14</t>
        </is>
      </c>
      <c r="B2946" t="n">
        <v>12</v>
      </c>
      <c r="C2946" t="n">
        <v>3032</v>
      </c>
      <c r="D2946" s="6" t="n">
        <v>89.2</v>
      </c>
      <c r="E2946" s="6" t="n">
        <v>1184936.08</v>
      </c>
      <c r="F2946" s="6">
        <f>ROUND(E2946-E2945,2)</f>
        <v/>
      </c>
      <c r="G2946" s="6">
        <f>ROUND(F2946-D2946,2)</f>
        <v/>
      </c>
    </row>
    <row r="2947">
      <c r="A2947" t="inlineStr">
        <is>
          <t>2022-08-14</t>
        </is>
      </c>
      <c r="B2947" t="n">
        <v>13</v>
      </c>
      <c r="C2947" t="n">
        <v>3032</v>
      </c>
      <c r="D2947" s="6" t="n">
        <v>187.9</v>
      </c>
      <c r="E2947" s="6" t="n">
        <v>1185123.98</v>
      </c>
      <c r="F2947" s="6">
        <f>ROUND(E2947-E2946,2)</f>
        <v/>
      </c>
      <c r="G2947" s="6">
        <f>ROUND(F2947-D2947,2)</f>
        <v/>
      </c>
    </row>
    <row r="2948">
      <c r="A2948" t="inlineStr">
        <is>
          <t>2022-08-14</t>
        </is>
      </c>
      <c r="B2948" t="n">
        <v>14</v>
      </c>
      <c r="C2948" t="n">
        <v>3032</v>
      </c>
      <c r="D2948" s="6" t="n">
        <v>81.84999999999999</v>
      </c>
      <c r="E2948" s="6" t="n">
        <v>1185205.83</v>
      </c>
      <c r="F2948" s="6">
        <f>ROUND(E2948-E2947,2)</f>
        <v/>
      </c>
      <c r="G2948" s="6">
        <f>ROUND(F2948-D2948,2)</f>
        <v/>
      </c>
    </row>
    <row r="2949">
      <c r="A2949" t="inlineStr">
        <is>
          <t>2022-08-14</t>
        </is>
      </c>
      <c r="B2949" t="n">
        <v>15</v>
      </c>
      <c r="C2949" t="n">
        <v>3032</v>
      </c>
      <c r="D2949" s="6" t="n">
        <v>81.84999999999999</v>
      </c>
      <c r="E2949" s="6" t="n">
        <v>1185287.68</v>
      </c>
      <c r="F2949" s="6">
        <f>ROUND(E2949-E2948,2)</f>
        <v/>
      </c>
      <c r="G2949" s="6">
        <f>ROUND(F2949-D2949,2)</f>
        <v/>
      </c>
    </row>
    <row r="2950">
      <c r="A2950" t="inlineStr">
        <is>
          <t>2022-08-14</t>
        </is>
      </c>
      <c r="B2950" t="n">
        <v>16</v>
      </c>
      <c r="C2950" t="n">
        <v>3032</v>
      </c>
      <c r="D2950" s="6" t="n">
        <v>77</v>
      </c>
      <c r="E2950" s="6" t="n">
        <v>1185364.68</v>
      </c>
      <c r="F2950" s="6">
        <f>ROUND(E2950-E2949,2)</f>
        <v/>
      </c>
      <c r="G2950" s="6">
        <f>ROUND(F2950-D2950,2)</f>
        <v/>
      </c>
    </row>
    <row r="2951">
      <c r="A2951" t="inlineStr">
        <is>
          <t>2022-08-14</t>
        </is>
      </c>
      <c r="B2951" t="n">
        <v>17</v>
      </c>
      <c r="C2951" t="n">
        <v>3032</v>
      </c>
      <c r="D2951" s="6" t="n">
        <v>61.9</v>
      </c>
      <c r="E2951" s="6" t="n">
        <v>1185426.58</v>
      </c>
      <c r="F2951" s="6">
        <f>ROUND(E2951-E2950,2)</f>
        <v/>
      </c>
      <c r="G2951" s="6">
        <f>ROUND(F2951-D2951,2)</f>
        <v/>
      </c>
    </row>
    <row r="2952">
      <c r="A2952" t="inlineStr">
        <is>
          <t>2022-08-14</t>
        </is>
      </c>
      <c r="B2952" t="n">
        <v>18</v>
      </c>
      <c r="C2952" t="n">
        <v>3032</v>
      </c>
      <c r="D2952" s="6" t="n">
        <v>104.1</v>
      </c>
      <c r="E2952" s="6" t="n">
        <v>1185530.68</v>
      </c>
      <c r="F2952" s="6">
        <f>ROUND(E2952-E2951,2)</f>
        <v/>
      </c>
      <c r="G2952" s="6">
        <f>ROUND(F2952-D2952,2)</f>
        <v/>
      </c>
    </row>
    <row r="2953">
      <c r="A2953" t="inlineStr">
        <is>
          <t>2022-08-14</t>
        </is>
      </c>
      <c r="B2953" t="n">
        <v>19</v>
      </c>
      <c r="C2953" t="n">
        <v>3032</v>
      </c>
      <c r="D2953" s="6" t="n">
        <v>40.4</v>
      </c>
      <c r="E2953" s="6" t="n">
        <v>1185571.08</v>
      </c>
      <c r="F2953" s="6">
        <f>ROUND(E2953-E2952,2)</f>
        <v/>
      </c>
      <c r="G2953" s="6">
        <f>ROUND(F2953-D2953,2)</f>
        <v/>
      </c>
    </row>
    <row r="2954">
      <c r="A2954" t="inlineStr">
        <is>
          <t>2022-08-14</t>
        </is>
      </c>
      <c r="B2954" t="n">
        <v>20</v>
      </c>
      <c r="C2954" t="n">
        <v>3032</v>
      </c>
      <c r="D2954" s="6" t="n">
        <v>78.59999999999999</v>
      </c>
      <c r="E2954" s="6" t="n">
        <v>1185649.68</v>
      </c>
      <c r="F2954" s="6">
        <f>ROUND(E2954-E2953,2)</f>
        <v/>
      </c>
      <c r="G2954" s="6">
        <f>ROUND(F2954-D2954,2)</f>
        <v/>
      </c>
    </row>
    <row r="2955">
      <c r="A2955" t="inlineStr">
        <is>
          <t>2022-08-14</t>
        </is>
      </c>
      <c r="B2955" t="n">
        <v>21</v>
      </c>
      <c r="C2955" t="n">
        <v>3032</v>
      </c>
      <c r="D2955" s="6" t="n">
        <v>75.59999999999999</v>
      </c>
      <c r="E2955" s="6" t="n">
        <v>1185725.28</v>
      </c>
      <c r="F2955" s="6">
        <f>ROUND(E2955-E2954,2)</f>
        <v/>
      </c>
      <c r="G2955" s="6">
        <f>ROUND(F2955-D2955,2)</f>
        <v/>
      </c>
    </row>
    <row r="2956">
      <c r="A2956" t="inlineStr">
        <is>
          <t>2022-08-14</t>
        </is>
      </c>
      <c r="B2956" t="n">
        <v>22</v>
      </c>
      <c r="C2956" t="n">
        <v>3032</v>
      </c>
      <c r="D2956" s="6" t="n">
        <v>106.9</v>
      </c>
      <c r="E2956" s="6" t="n">
        <v>1185832.18</v>
      </c>
      <c r="F2956" s="6">
        <f>ROUND(E2956-E2955,2)</f>
        <v/>
      </c>
      <c r="G2956" s="6">
        <f>ROUND(F2956-D2956,2)</f>
        <v/>
      </c>
    </row>
    <row r="2957">
      <c r="A2957" t="inlineStr">
        <is>
          <t>2022-08-14</t>
        </is>
      </c>
      <c r="B2957" t="n">
        <v>23</v>
      </c>
      <c r="C2957" t="n">
        <v>3032</v>
      </c>
      <c r="D2957" s="6" t="n">
        <v>76.40000000000001</v>
      </c>
      <c r="E2957" s="6" t="n">
        <v>1185908.58</v>
      </c>
      <c r="F2957" s="6">
        <f>ROUND(E2957-E2956,2)</f>
        <v/>
      </c>
      <c r="G2957" s="6">
        <f>ROUND(F2957-D2957,2)</f>
        <v/>
      </c>
    </row>
    <row r="2958">
      <c r="A2958" t="inlineStr">
        <is>
          <t>2022-08-14</t>
        </is>
      </c>
      <c r="B2958" t="n">
        <v>24</v>
      </c>
      <c r="C2958" t="n">
        <v>3032</v>
      </c>
      <c r="D2958" s="6" t="n">
        <v>75.3</v>
      </c>
      <c r="E2958" s="6" t="n">
        <v>1185983.88</v>
      </c>
      <c r="F2958" s="6">
        <f>ROUND(E2958-E2957,2)</f>
        <v/>
      </c>
      <c r="G2958" s="6">
        <f>ROUND(F2958-D2958,2)</f>
        <v/>
      </c>
    </row>
    <row r="2959">
      <c r="A2959" t="inlineStr">
        <is>
          <t>2022-08-14</t>
        </is>
      </c>
      <c r="B2959" t="n">
        <v>25</v>
      </c>
      <c r="C2959" t="n">
        <v>3032</v>
      </c>
      <c r="D2959" s="6" t="n">
        <v>92.09999999999999</v>
      </c>
      <c r="E2959" s="6" t="n">
        <v>1186075.98</v>
      </c>
      <c r="F2959" s="6">
        <f>ROUND(E2959-E2958,2)</f>
        <v/>
      </c>
      <c r="G2959" s="6">
        <f>ROUND(F2959-D2959,2)</f>
        <v/>
      </c>
    </row>
    <row r="2960">
      <c r="A2960" t="inlineStr">
        <is>
          <t>2022-08-14</t>
        </is>
      </c>
      <c r="B2960" t="n">
        <v>26</v>
      </c>
      <c r="C2960" t="n">
        <v>3032</v>
      </c>
      <c r="D2960" s="6" t="n">
        <v>131.2</v>
      </c>
      <c r="E2960" s="6" t="n">
        <v>1186207.18</v>
      </c>
      <c r="F2960" s="6">
        <f>ROUND(E2960-E2959,2)</f>
        <v/>
      </c>
      <c r="G2960" s="6">
        <f>ROUND(F2960-D2960,2)</f>
        <v/>
      </c>
    </row>
    <row r="2961">
      <c r="A2961" t="inlineStr">
        <is>
          <t>2022-08-14</t>
        </is>
      </c>
      <c r="B2961" t="n">
        <v>27</v>
      </c>
      <c r="C2961" t="n">
        <v>3032</v>
      </c>
      <c r="D2961" s="6" t="n">
        <v>129.6</v>
      </c>
      <c r="E2961" s="6" t="n">
        <v>1186336.78</v>
      </c>
      <c r="F2961" s="6">
        <f>ROUND(E2961-E2960,2)</f>
        <v/>
      </c>
      <c r="G2961" s="6">
        <f>ROUND(F2961-D2961,2)</f>
        <v/>
      </c>
    </row>
    <row r="2962">
      <c r="A2962" t="inlineStr">
        <is>
          <t>2022-08-14</t>
        </is>
      </c>
      <c r="B2962" t="n">
        <v>28</v>
      </c>
      <c r="C2962" t="n">
        <v>3032</v>
      </c>
      <c r="D2962" s="6" t="n">
        <v>111.3</v>
      </c>
      <c r="E2962" s="6" t="n">
        <v>1186448.08</v>
      </c>
      <c r="F2962" s="6">
        <f>ROUND(E2962-E2961,2)</f>
        <v/>
      </c>
      <c r="G2962" s="6">
        <f>ROUND(F2962-D2962,2)</f>
        <v/>
      </c>
    </row>
    <row r="2963">
      <c r="A2963" t="inlineStr">
        <is>
          <t>2022-08-16</t>
        </is>
      </c>
      <c r="B2963" t="n">
        <v>1</v>
      </c>
      <c r="C2963" t="n">
        <v>3033</v>
      </c>
      <c r="D2963" s="6" t="n">
        <v>52.9</v>
      </c>
      <c r="E2963" s="6" t="n">
        <v>1186500.98</v>
      </c>
      <c r="F2963" s="6">
        <f>ROUND(E2963-E2962,2)</f>
        <v/>
      </c>
      <c r="G2963" s="6">
        <f>ROUND(F2963-D2963,2)</f>
        <v/>
      </c>
    </row>
    <row r="2964">
      <c r="A2964" t="inlineStr">
        <is>
          <t>2022-08-16</t>
        </is>
      </c>
      <c r="B2964" t="n">
        <v>2</v>
      </c>
      <c r="C2964" t="n">
        <v>3033</v>
      </c>
      <c r="D2964" s="6" t="n">
        <v>33.8</v>
      </c>
      <c r="E2964" s="6" t="n">
        <v>1186534.78</v>
      </c>
      <c r="F2964" s="6">
        <f>ROUND(E2964-E2963,2)</f>
        <v/>
      </c>
      <c r="G2964" s="6">
        <f>ROUND(F2964-D2964,2)</f>
        <v/>
      </c>
    </row>
    <row r="2965">
      <c r="A2965" t="inlineStr">
        <is>
          <t>2022-08-16</t>
        </is>
      </c>
      <c r="B2965" t="n">
        <v>3</v>
      </c>
      <c r="C2965" t="n">
        <v>3033</v>
      </c>
      <c r="D2965" s="6" t="n">
        <v>41</v>
      </c>
      <c r="E2965" s="6" t="n">
        <v>1186575.78</v>
      </c>
      <c r="F2965" s="6">
        <f>ROUND(E2965-E2964,2)</f>
        <v/>
      </c>
      <c r="G2965" s="6">
        <f>ROUND(F2965-D2965,2)</f>
        <v/>
      </c>
    </row>
    <row r="2966">
      <c r="A2966" t="inlineStr">
        <is>
          <t>2022-08-16</t>
        </is>
      </c>
      <c r="B2966" t="n">
        <v>4</v>
      </c>
      <c r="C2966" t="n">
        <v>3033</v>
      </c>
      <c r="D2966" s="6" t="n">
        <v>39.1</v>
      </c>
      <c r="E2966" s="6" t="n">
        <v>1186614.88</v>
      </c>
      <c r="F2966" s="6">
        <f>ROUND(E2966-E2965,2)</f>
        <v/>
      </c>
      <c r="G2966" s="6">
        <f>ROUND(F2966-D2966,2)</f>
        <v/>
      </c>
    </row>
    <row r="2967">
      <c r="A2967" t="inlineStr">
        <is>
          <t>2022-08-16</t>
        </is>
      </c>
      <c r="B2967" t="n">
        <v>5</v>
      </c>
      <c r="C2967" t="n">
        <v>3033</v>
      </c>
      <c r="D2967" s="6" t="n">
        <v>59.3</v>
      </c>
      <c r="E2967" s="6" t="n">
        <v>1186674.18</v>
      </c>
      <c r="F2967" s="6">
        <f>ROUND(E2967-E2966,2)</f>
        <v/>
      </c>
      <c r="G2967" s="6">
        <f>ROUND(F2967-D2967,2)</f>
        <v/>
      </c>
    </row>
    <row r="2968">
      <c r="A2968" t="inlineStr">
        <is>
          <t>2022-08-16</t>
        </is>
      </c>
      <c r="B2968" t="n">
        <v>6</v>
      </c>
      <c r="C2968" t="n">
        <v>3033</v>
      </c>
      <c r="D2968" s="6" t="n">
        <v>63.8</v>
      </c>
      <c r="E2968" s="6" t="n">
        <v>1186737.98</v>
      </c>
      <c r="F2968" s="6">
        <f>ROUND(E2968-E2967,2)</f>
        <v/>
      </c>
      <c r="G2968" s="6">
        <f>ROUND(F2968-D2968,2)</f>
        <v/>
      </c>
    </row>
    <row r="2969">
      <c r="A2969" t="inlineStr">
        <is>
          <t>2022-08-16</t>
        </is>
      </c>
      <c r="B2969" t="n">
        <v>7</v>
      </c>
      <c r="C2969" t="n">
        <v>3033</v>
      </c>
      <c r="D2969" s="6" t="n">
        <v>63.8</v>
      </c>
      <c r="E2969" s="6" t="n">
        <v>1186801.78</v>
      </c>
      <c r="F2969" s="6">
        <f>ROUND(E2969-E2968,2)</f>
        <v/>
      </c>
      <c r="G2969" s="6">
        <f>ROUND(F2969-D2969,2)</f>
        <v/>
      </c>
    </row>
    <row r="2970">
      <c r="A2970" t="inlineStr">
        <is>
          <t>2022-08-16</t>
        </is>
      </c>
      <c r="B2970" t="n">
        <v>8</v>
      </c>
      <c r="C2970" t="n">
        <v>3033</v>
      </c>
      <c r="D2970" s="6" t="n">
        <v>40.1</v>
      </c>
      <c r="E2970" s="6" t="n">
        <v>1186841.88</v>
      </c>
      <c r="F2970" s="6">
        <f>ROUND(E2970-E2969,2)</f>
        <v/>
      </c>
      <c r="G2970" s="6">
        <f>ROUND(F2970-D2970,2)</f>
        <v/>
      </c>
    </row>
    <row r="2971">
      <c r="A2971" t="inlineStr">
        <is>
          <t>2022-08-16</t>
        </is>
      </c>
      <c r="B2971" t="n">
        <v>9</v>
      </c>
      <c r="C2971" t="n">
        <v>3033</v>
      </c>
      <c r="D2971" s="6" t="n">
        <v>125.8</v>
      </c>
      <c r="E2971" s="6" t="n">
        <v>1186967.68</v>
      </c>
      <c r="F2971" s="6">
        <f>ROUND(E2971-E2970,2)</f>
        <v/>
      </c>
      <c r="G2971" s="6">
        <f>ROUND(F2971-D2971,2)</f>
        <v/>
      </c>
    </row>
    <row r="2972">
      <c r="A2972" t="inlineStr">
        <is>
          <t>2022-08-16</t>
        </is>
      </c>
      <c r="B2972" t="n">
        <v>10</v>
      </c>
      <c r="C2972" t="n">
        <v>3033</v>
      </c>
      <c r="D2972" s="6" t="n">
        <v>103</v>
      </c>
      <c r="E2972" s="6" t="n">
        <v>1187070.68</v>
      </c>
      <c r="F2972" s="6">
        <f>ROUND(E2972-E2971,2)</f>
        <v/>
      </c>
      <c r="G2972" s="6">
        <f>ROUND(F2972-D2972,2)</f>
        <v/>
      </c>
    </row>
    <row r="2973">
      <c r="A2973" t="inlineStr">
        <is>
          <t>2022-08-16</t>
        </is>
      </c>
      <c r="B2973" t="n">
        <v>11</v>
      </c>
      <c r="C2973" t="n">
        <v>3033</v>
      </c>
      <c r="D2973" s="6" t="n">
        <v>102.4</v>
      </c>
      <c r="E2973" s="6" t="n">
        <v>1187173.08</v>
      </c>
      <c r="F2973" s="6">
        <f>ROUND(E2973-E2972,2)</f>
        <v/>
      </c>
      <c r="G2973" s="6">
        <f>ROUND(F2973-D2973,2)</f>
        <v/>
      </c>
    </row>
    <row r="2974">
      <c r="A2974" t="inlineStr">
        <is>
          <t>2022-08-16</t>
        </is>
      </c>
      <c r="B2974" t="n">
        <v>12</v>
      </c>
      <c r="C2974" t="n">
        <v>3033</v>
      </c>
      <c r="D2974" s="6" t="n">
        <v>73.40000000000001</v>
      </c>
      <c r="E2974" s="6" t="n">
        <v>1187246.48</v>
      </c>
      <c r="F2974" s="6">
        <f>ROUND(E2974-E2973,2)</f>
        <v/>
      </c>
      <c r="G2974" s="6">
        <f>ROUND(F2974-D2974,2)</f>
        <v/>
      </c>
    </row>
    <row r="2975">
      <c r="A2975" t="inlineStr">
        <is>
          <t>2022-08-16</t>
        </is>
      </c>
      <c r="B2975" t="n">
        <v>13</v>
      </c>
      <c r="C2975" t="n">
        <v>3033</v>
      </c>
      <c r="D2975" s="6" t="n">
        <v>53.2</v>
      </c>
      <c r="E2975" s="6" t="n">
        <v>1187299.68</v>
      </c>
      <c r="F2975" s="6">
        <f>ROUND(E2975-E2974,2)</f>
        <v/>
      </c>
      <c r="G2975" s="6">
        <f>ROUND(F2975-D2975,2)</f>
        <v/>
      </c>
    </row>
    <row r="2976">
      <c r="A2976" t="inlineStr">
        <is>
          <t>2022-08-16</t>
        </is>
      </c>
      <c r="B2976" t="n">
        <v>14</v>
      </c>
      <c r="C2976" t="n">
        <v>3033</v>
      </c>
      <c r="D2976" s="6" t="n">
        <v>53.2</v>
      </c>
      <c r="E2976" s="6" t="n">
        <v>1187352.88</v>
      </c>
      <c r="F2976" s="6">
        <f>ROUND(E2976-E2975,2)</f>
        <v/>
      </c>
      <c r="G2976" s="6">
        <f>ROUND(F2976-D2976,2)</f>
        <v/>
      </c>
    </row>
    <row r="2977">
      <c r="A2977" t="inlineStr">
        <is>
          <t>2022-08-16</t>
        </is>
      </c>
      <c r="B2977" t="n">
        <v>15</v>
      </c>
      <c r="C2977" t="n">
        <v>3033</v>
      </c>
      <c r="D2977" s="6" t="n">
        <v>95</v>
      </c>
      <c r="E2977" s="6" t="n">
        <v>1187447.88</v>
      </c>
      <c r="F2977" s="6">
        <f>ROUND(E2977-E2976,2)</f>
        <v/>
      </c>
      <c r="G2977" s="6">
        <f>ROUND(F2977-D2977,2)</f>
        <v/>
      </c>
    </row>
    <row r="2978">
      <c r="A2978" t="inlineStr">
        <is>
          <t>2022-08-16</t>
        </is>
      </c>
      <c r="B2978" t="n">
        <v>16</v>
      </c>
      <c r="C2978" t="n">
        <v>3033</v>
      </c>
      <c r="D2978" s="6" t="n">
        <v>92.2</v>
      </c>
      <c r="E2978" s="6" t="n">
        <v>1187540.08</v>
      </c>
      <c r="F2978" s="6">
        <f>ROUND(E2978-E2977,2)</f>
        <v/>
      </c>
      <c r="G2978" s="6">
        <f>ROUND(F2978-D2978,2)</f>
        <v/>
      </c>
    </row>
    <row r="2979">
      <c r="A2979" t="inlineStr">
        <is>
          <t>2022-08-16</t>
        </is>
      </c>
      <c r="B2979" t="n">
        <v>17</v>
      </c>
      <c r="C2979" t="n">
        <v>3033</v>
      </c>
      <c r="D2979" s="6" t="n">
        <v>23.7</v>
      </c>
      <c r="E2979" s="6" t="n">
        <v>1187563.78</v>
      </c>
      <c r="F2979" s="6">
        <f>ROUND(E2979-E2978,2)</f>
        <v/>
      </c>
      <c r="G2979" s="6">
        <f>ROUND(F2979-D2979,2)</f>
        <v/>
      </c>
    </row>
    <row r="2980">
      <c r="A2980" t="inlineStr">
        <is>
          <t>2022-08-16</t>
        </is>
      </c>
      <c r="B2980" t="n">
        <v>18</v>
      </c>
      <c r="C2980" t="n">
        <v>3033</v>
      </c>
      <c r="D2980" s="6" t="n">
        <v>19.8</v>
      </c>
      <c r="E2980" s="6" t="n">
        <v>1187583.58</v>
      </c>
      <c r="F2980" s="6">
        <f>ROUND(E2980-E2979,2)</f>
        <v/>
      </c>
      <c r="G2980" s="6">
        <f>ROUND(F2980-D2980,2)</f>
        <v/>
      </c>
    </row>
    <row r="2981">
      <c r="A2981" t="inlineStr">
        <is>
          <t>2022-08-16</t>
        </is>
      </c>
      <c r="B2981" t="n">
        <v>19</v>
      </c>
      <c r="C2981" t="n">
        <v>3033</v>
      </c>
      <c r="D2981" s="6" t="n">
        <v>19.8</v>
      </c>
      <c r="E2981" s="6" t="n">
        <v>1187603.38</v>
      </c>
      <c r="F2981" s="6">
        <f>ROUND(E2981-E2980,2)</f>
        <v/>
      </c>
      <c r="G2981" s="6">
        <f>ROUND(F2981-D2981,2)</f>
        <v/>
      </c>
    </row>
    <row r="2982">
      <c r="A2982" t="inlineStr">
        <is>
          <t>2022-08-16</t>
        </is>
      </c>
      <c r="B2982" t="n">
        <v>20</v>
      </c>
      <c r="C2982" t="n">
        <v>3033</v>
      </c>
      <c r="D2982" s="6" t="n">
        <v>59.6</v>
      </c>
      <c r="E2982" s="6" t="n">
        <v>1187662.98</v>
      </c>
      <c r="F2982" s="6">
        <f>ROUND(E2982-E2981,2)</f>
        <v/>
      </c>
      <c r="G2982" s="6">
        <f>ROUND(F2982-D2982,2)</f>
        <v/>
      </c>
    </row>
    <row r="2983">
      <c r="A2983" t="inlineStr">
        <is>
          <t>2022-08-16</t>
        </is>
      </c>
      <c r="B2983" t="n">
        <v>21</v>
      </c>
      <c r="C2983" t="n">
        <v>3033</v>
      </c>
      <c r="D2983" s="6" t="n">
        <v>24.2</v>
      </c>
      <c r="E2983" s="6" t="n">
        <v>1187687.18</v>
      </c>
      <c r="F2983" s="6">
        <f>ROUND(E2983-E2982,2)</f>
        <v/>
      </c>
      <c r="G2983" s="6">
        <f>ROUND(F2983-D2983,2)</f>
        <v/>
      </c>
    </row>
    <row r="2984">
      <c r="A2984" t="inlineStr">
        <is>
          <t>2022-08-16</t>
        </is>
      </c>
      <c r="B2984" t="n">
        <v>22</v>
      </c>
      <c r="C2984" t="n">
        <v>3033</v>
      </c>
      <c r="D2984" s="6" t="n">
        <v>68.09999999999999</v>
      </c>
      <c r="E2984" s="6" t="n">
        <v>1187755.28</v>
      </c>
      <c r="F2984" s="6">
        <f>ROUND(E2984-E2983,2)</f>
        <v/>
      </c>
      <c r="G2984" s="6">
        <f>ROUND(F2984-D2984,2)</f>
        <v/>
      </c>
    </row>
    <row r="2985">
      <c r="A2985" t="inlineStr">
        <is>
          <t>2022-08-16</t>
        </is>
      </c>
      <c r="B2985" t="n">
        <v>23</v>
      </c>
      <c r="C2985" t="n">
        <v>3033</v>
      </c>
      <c r="D2985" s="6" t="n">
        <v>98.2</v>
      </c>
      <c r="E2985" s="6" t="n">
        <v>1187853.48</v>
      </c>
      <c r="F2985" s="6">
        <f>ROUND(E2985-E2984,2)</f>
        <v/>
      </c>
      <c r="G2985" s="6">
        <f>ROUND(F2985-D2985,2)</f>
        <v/>
      </c>
    </row>
    <row r="2986">
      <c r="A2986" t="inlineStr">
        <is>
          <t>2022-08-16</t>
        </is>
      </c>
      <c r="B2986" t="n">
        <v>24</v>
      </c>
      <c r="C2986" t="n">
        <v>3033</v>
      </c>
      <c r="D2986" s="6" t="n">
        <v>69.5</v>
      </c>
      <c r="E2986" s="6" t="n">
        <v>1187922.98</v>
      </c>
      <c r="F2986" s="6">
        <f>ROUND(E2986-E2985,2)</f>
        <v/>
      </c>
      <c r="G2986" s="6">
        <f>ROUND(F2986-D2986,2)</f>
        <v/>
      </c>
    </row>
    <row r="2987">
      <c r="A2987" t="inlineStr">
        <is>
          <t>2022-08-16</t>
        </is>
      </c>
      <c r="B2987" t="n">
        <v>25</v>
      </c>
      <c r="C2987" t="n">
        <v>3033</v>
      </c>
      <c r="D2987" s="6" t="n">
        <v>68.2</v>
      </c>
      <c r="E2987" s="6" t="n">
        <v>1187991.18</v>
      </c>
      <c r="F2987" s="6">
        <f>ROUND(E2987-E2986,2)</f>
        <v/>
      </c>
      <c r="G2987" s="6">
        <f>ROUND(F2987-D2987,2)</f>
        <v/>
      </c>
    </row>
    <row r="2988">
      <c r="A2988" t="inlineStr">
        <is>
          <t>2022-08-16</t>
        </is>
      </c>
      <c r="B2988" t="n">
        <v>26</v>
      </c>
      <c r="C2988" t="n">
        <v>3033</v>
      </c>
      <c r="D2988" s="6" t="n">
        <v>143.4</v>
      </c>
      <c r="E2988" s="6" t="n">
        <v>1188134.58</v>
      </c>
      <c r="F2988" s="6">
        <f>ROUND(E2988-E2987,2)</f>
        <v/>
      </c>
      <c r="G2988" s="6">
        <f>ROUND(F2988-D2988,2)</f>
        <v/>
      </c>
    </row>
    <row r="2989">
      <c r="A2989" t="inlineStr">
        <is>
          <t>2022-08-16</t>
        </is>
      </c>
      <c r="B2989" t="n">
        <v>27</v>
      </c>
      <c r="C2989" t="n">
        <v>3033</v>
      </c>
      <c r="D2989" s="6" t="n">
        <v>83.09999999999999</v>
      </c>
      <c r="E2989" s="6" t="n">
        <v>1188217.68</v>
      </c>
      <c r="F2989" s="6">
        <f>ROUND(E2989-E2988,2)</f>
        <v/>
      </c>
      <c r="G2989" s="6">
        <f>ROUND(F2989-D2989,2)</f>
        <v/>
      </c>
    </row>
    <row r="2990">
      <c r="A2990" t="inlineStr">
        <is>
          <t>2022-08-16</t>
        </is>
      </c>
      <c r="B2990" t="n">
        <v>28</v>
      </c>
      <c r="C2990" t="n">
        <v>3033</v>
      </c>
      <c r="D2990" s="6" t="n">
        <v>92.90000000000001</v>
      </c>
      <c r="E2990" s="6" t="n">
        <v>1188310.58</v>
      </c>
      <c r="F2990" s="6">
        <f>ROUND(E2990-E2989,2)</f>
        <v/>
      </c>
      <c r="G2990" s="6">
        <f>ROUND(F2990-D2990,2)</f>
        <v/>
      </c>
    </row>
    <row r="2991">
      <c r="A2991" t="inlineStr">
        <is>
          <t>2022-08-16</t>
        </is>
      </c>
      <c r="B2991" t="n">
        <v>29</v>
      </c>
      <c r="C2991" t="n">
        <v>3033</v>
      </c>
      <c r="D2991" s="6" t="n">
        <v>56.1</v>
      </c>
      <c r="E2991" s="6" t="n">
        <v>1188366.68</v>
      </c>
      <c r="F2991" s="6">
        <f>ROUND(E2991-E2990,2)</f>
        <v/>
      </c>
      <c r="G2991" s="6">
        <f>ROUND(F2991-D2991,2)</f>
        <v/>
      </c>
    </row>
    <row r="2992">
      <c r="A2992" t="inlineStr">
        <is>
          <t>2022-08-16</t>
        </is>
      </c>
      <c r="B2992" t="n">
        <v>30</v>
      </c>
      <c r="C2992" t="n">
        <v>3033</v>
      </c>
      <c r="D2992" s="6" t="n">
        <v>32.9</v>
      </c>
      <c r="E2992" s="6" t="n">
        <v>1188399.58</v>
      </c>
      <c r="F2992" s="6">
        <f>ROUND(E2992-E2991,2)</f>
        <v/>
      </c>
      <c r="G2992" s="6">
        <f>ROUND(F2992-D2992,2)</f>
        <v/>
      </c>
    </row>
    <row r="2993">
      <c r="A2993" t="inlineStr">
        <is>
          <t>2022-08-16</t>
        </is>
      </c>
      <c r="B2993" t="n">
        <v>31</v>
      </c>
      <c r="C2993" t="n">
        <v>3033</v>
      </c>
      <c r="D2993" s="6" t="n">
        <v>32.9</v>
      </c>
      <c r="E2993" s="6" t="n">
        <v>1188432.48</v>
      </c>
      <c r="F2993" s="6">
        <f>ROUND(E2993-E2992,2)</f>
        <v/>
      </c>
      <c r="G2993" s="6">
        <f>ROUND(F2993-D2993,2)</f>
        <v/>
      </c>
    </row>
    <row r="2994">
      <c r="A2994" t="inlineStr">
        <is>
          <t>2022-08-16</t>
        </is>
      </c>
      <c r="B2994" t="n">
        <v>32</v>
      </c>
      <c r="C2994" t="n">
        <v>3033</v>
      </c>
      <c r="D2994" s="6" t="n">
        <v>75.40000000000001</v>
      </c>
      <c r="E2994" s="6" t="n">
        <v>1188507.88</v>
      </c>
      <c r="F2994" s="6">
        <f>ROUND(E2994-E2993,2)</f>
        <v/>
      </c>
      <c r="G2994" s="6">
        <f>ROUND(F2994-D2994,2)</f>
        <v/>
      </c>
    </row>
    <row r="2995">
      <c r="A2995" t="inlineStr">
        <is>
          <t>2022-08-16</t>
        </is>
      </c>
      <c r="B2995" t="n">
        <v>33</v>
      </c>
      <c r="C2995" t="n">
        <v>3033</v>
      </c>
      <c r="D2995" s="6" t="n">
        <v>76.09999999999999</v>
      </c>
      <c r="E2995" s="6" t="n">
        <v>1188583.98</v>
      </c>
      <c r="F2995" s="6">
        <f>ROUND(E2995-E2994,2)</f>
        <v/>
      </c>
      <c r="G2995" s="6">
        <f>ROUND(F2995-D2995,2)</f>
        <v/>
      </c>
    </row>
    <row r="2996">
      <c r="A2996" t="inlineStr">
        <is>
          <t>2022-08-16</t>
        </is>
      </c>
      <c r="B2996" t="n">
        <v>34</v>
      </c>
      <c r="C2996" t="n">
        <v>3033</v>
      </c>
      <c r="D2996" s="6" t="n">
        <v>54.4</v>
      </c>
      <c r="E2996" s="6" t="n">
        <v>1188638.38</v>
      </c>
      <c r="F2996" s="6">
        <f>ROUND(E2996-E2995,2)</f>
        <v/>
      </c>
      <c r="G2996" s="6">
        <f>ROUND(F2996-D2996,2)</f>
        <v/>
      </c>
    </row>
    <row r="2997">
      <c r="A2997" t="inlineStr">
        <is>
          <t>2022-08-17</t>
        </is>
      </c>
      <c r="B2997" t="n">
        <v>1</v>
      </c>
      <c r="C2997" t="n">
        <v>3034</v>
      </c>
      <c r="D2997" s="6" t="n">
        <v>18.9</v>
      </c>
      <c r="E2997" s="6" t="n">
        <v>1188657.28</v>
      </c>
      <c r="F2997" s="6">
        <f>ROUND(E2997-E2996,2)</f>
        <v/>
      </c>
      <c r="G2997" s="6">
        <f>ROUND(F2997-D2997,2)</f>
        <v/>
      </c>
    </row>
    <row r="2998">
      <c r="A2998" t="inlineStr">
        <is>
          <t>2022-08-17</t>
        </is>
      </c>
      <c r="B2998" t="n">
        <v>2</v>
      </c>
      <c r="C2998" t="n">
        <v>3034</v>
      </c>
      <c r="D2998" s="6" t="n">
        <v>28</v>
      </c>
      <c r="E2998" s="6" t="n">
        <v>1188685.28</v>
      </c>
      <c r="F2998" s="6">
        <f>ROUND(E2998-E2997,2)</f>
        <v/>
      </c>
      <c r="G2998" s="6">
        <f>ROUND(F2998-D2998,2)</f>
        <v/>
      </c>
    </row>
    <row r="2999">
      <c r="A2999" t="inlineStr">
        <is>
          <t>2022-08-17</t>
        </is>
      </c>
      <c r="B2999" t="n">
        <v>3</v>
      </c>
      <c r="C2999" t="n">
        <v>3034</v>
      </c>
      <c r="D2999" s="6" t="n">
        <v>32.6</v>
      </c>
      <c r="E2999" s="6" t="n">
        <v>1188717.88</v>
      </c>
      <c r="F2999" s="6">
        <f>ROUND(E2999-E2998,2)</f>
        <v/>
      </c>
      <c r="G2999" s="6">
        <f>ROUND(F2999-D2999,2)</f>
        <v/>
      </c>
    </row>
    <row r="3000">
      <c r="A3000" t="inlineStr">
        <is>
          <t>2022-08-17</t>
        </is>
      </c>
      <c r="B3000" t="n">
        <v>4</v>
      </c>
      <c r="C3000" t="n">
        <v>3034</v>
      </c>
      <c r="D3000" s="6" t="n">
        <v>84.90000000000001</v>
      </c>
      <c r="E3000" s="6" t="n">
        <v>1188802.78</v>
      </c>
      <c r="F3000" s="6">
        <f>ROUND(E3000-E2999,2)</f>
        <v/>
      </c>
      <c r="G3000" s="6">
        <f>ROUND(F3000-D3000,2)</f>
        <v/>
      </c>
    </row>
    <row r="3001">
      <c r="A3001" t="inlineStr">
        <is>
          <t>2022-08-17</t>
        </is>
      </c>
      <c r="B3001" t="n">
        <v>5</v>
      </c>
      <c r="C3001" t="n">
        <v>3034</v>
      </c>
      <c r="D3001" s="6" t="n">
        <v>81.2</v>
      </c>
      <c r="E3001" s="6" t="n">
        <v>1188883.98</v>
      </c>
      <c r="F3001" s="6">
        <f>ROUND(E3001-E3000,2)</f>
        <v/>
      </c>
      <c r="G3001" s="6">
        <f>ROUND(F3001-D3001,2)</f>
        <v/>
      </c>
    </row>
    <row r="3002">
      <c r="A3002" t="inlineStr">
        <is>
          <t>2022-08-17</t>
        </is>
      </c>
      <c r="B3002" t="n">
        <v>6</v>
      </c>
      <c r="C3002" t="n">
        <v>3034</v>
      </c>
      <c r="D3002" s="6" t="n">
        <v>119.1</v>
      </c>
      <c r="E3002" s="6" t="n">
        <v>1189003.08</v>
      </c>
      <c r="F3002" s="6">
        <f>ROUND(E3002-E3001,2)</f>
        <v/>
      </c>
      <c r="G3002" s="6">
        <f>ROUND(F3002-D3002,2)</f>
        <v/>
      </c>
    </row>
    <row r="3003">
      <c r="A3003" t="inlineStr">
        <is>
          <t>2022-08-17</t>
        </is>
      </c>
      <c r="B3003" t="n">
        <v>7</v>
      </c>
      <c r="C3003" t="n">
        <v>3034</v>
      </c>
      <c r="D3003" s="6" t="n">
        <v>20.15</v>
      </c>
      <c r="E3003" s="6" t="n">
        <v>1189023.23</v>
      </c>
      <c r="F3003" s="6">
        <f>ROUND(E3003-E3002,2)</f>
        <v/>
      </c>
      <c r="G3003" s="6">
        <f>ROUND(F3003-D3003,2)</f>
        <v/>
      </c>
    </row>
    <row r="3004">
      <c r="A3004" t="inlineStr">
        <is>
          <t>2022-08-17</t>
        </is>
      </c>
      <c r="B3004" t="n">
        <v>8</v>
      </c>
      <c r="C3004" t="n">
        <v>3034</v>
      </c>
      <c r="D3004" s="6" t="n">
        <v>20.15</v>
      </c>
      <c r="E3004" s="6" t="n">
        <v>1189043.38</v>
      </c>
      <c r="F3004" s="6">
        <f>ROUND(E3004-E3003,2)</f>
        <v/>
      </c>
      <c r="G3004" s="6">
        <f>ROUND(F3004-D3004,2)</f>
        <v/>
      </c>
    </row>
    <row r="3005">
      <c r="A3005" t="inlineStr">
        <is>
          <t>2022-08-17</t>
        </is>
      </c>
      <c r="B3005" t="n">
        <v>9</v>
      </c>
      <c r="C3005" t="n">
        <v>3034</v>
      </c>
      <c r="D3005" s="6" t="n">
        <v>50</v>
      </c>
      <c r="E3005" s="6" t="n">
        <v>1189093.38</v>
      </c>
      <c r="F3005" s="6">
        <f>ROUND(E3005-E3004,2)</f>
        <v/>
      </c>
      <c r="G3005" s="6">
        <f>ROUND(F3005-D3005,2)</f>
        <v/>
      </c>
    </row>
    <row r="3006">
      <c r="A3006" t="inlineStr">
        <is>
          <t>2022-08-17</t>
        </is>
      </c>
      <c r="B3006" t="n">
        <v>10</v>
      </c>
      <c r="C3006" t="n">
        <v>3034</v>
      </c>
      <c r="D3006" s="6" t="n">
        <v>77.34999999999999</v>
      </c>
      <c r="E3006" s="6" t="n">
        <v>1189170.73</v>
      </c>
      <c r="F3006" s="6">
        <f>ROUND(E3006-E3005,2)</f>
        <v/>
      </c>
      <c r="G3006" s="6">
        <f>ROUND(F3006-D3006,2)</f>
        <v/>
      </c>
    </row>
    <row r="3007">
      <c r="A3007" t="inlineStr">
        <is>
          <t>2022-08-17</t>
        </is>
      </c>
      <c r="B3007" t="n">
        <v>11</v>
      </c>
      <c r="C3007" t="n">
        <v>3034</v>
      </c>
      <c r="D3007" s="6" t="n">
        <v>77.34999999999999</v>
      </c>
      <c r="E3007" s="6" t="n">
        <v>1189248.08</v>
      </c>
      <c r="F3007" s="6">
        <f>ROUND(E3007-E3006,2)</f>
        <v/>
      </c>
      <c r="G3007" s="6">
        <f>ROUND(F3007-D3007,2)</f>
        <v/>
      </c>
    </row>
    <row r="3008">
      <c r="A3008" t="inlineStr">
        <is>
          <t>2022-08-17</t>
        </is>
      </c>
      <c r="B3008" t="n">
        <v>12</v>
      </c>
      <c r="C3008" t="n">
        <v>3034</v>
      </c>
      <c r="D3008" s="6" t="n">
        <v>53.7</v>
      </c>
      <c r="E3008" s="6" t="n">
        <v>1189301.78</v>
      </c>
      <c r="F3008" s="6">
        <f>ROUND(E3008-E3007,2)</f>
        <v/>
      </c>
      <c r="G3008" s="6">
        <f>ROUND(F3008-D3008,2)</f>
        <v/>
      </c>
    </row>
    <row r="3009">
      <c r="A3009" t="inlineStr">
        <is>
          <t>2022-08-17</t>
        </is>
      </c>
      <c r="B3009" t="n">
        <v>13</v>
      </c>
      <c r="C3009" t="n">
        <v>3034</v>
      </c>
      <c r="D3009" s="6" t="n">
        <v>67.09999999999999</v>
      </c>
      <c r="E3009" s="6" t="n">
        <v>1189368.88</v>
      </c>
      <c r="F3009" s="6">
        <f>ROUND(E3009-E3008,2)</f>
        <v/>
      </c>
      <c r="G3009" s="6">
        <f>ROUND(F3009-D3009,2)</f>
        <v/>
      </c>
    </row>
    <row r="3010">
      <c r="A3010" t="inlineStr">
        <is>
          <t>2022-08-17</t>
        </is>
      </c>
      <c r="B3010" t="n">
        <v>14</v>
      </c>
      <c r="C3010" t="n">
        <v>3034</v>
      </c>
      <c r="D3010" s="6" t="n">
        <v>59.2</v>
      </c>
      <c r="E3010" s="6" t="n">
        <v>1189428.08</v>
      </c>
      <c r="F3010" s="6">
        <f>ROUND(E3010-E3009,2)</f>
        <v/>
      </c>
      <c r="G3010" s="6">
        <f>ROUND(F3010-D3010,2)</f>
        <v/>
      </c>
    </row>
    <row r="3011">
      <c r="A3011" t="inlineStr">
        <is>
          <t>2022-08-17</t>
        </is>
      </c>
      <c r="B3011" t="n">
        <v>15</v>
      </c>
      <c r="C3011" t="n">
        <v>3034</v>
      </c>
      <c r="D3011" s="6" t="n">
        <v>72.09999999999999</v>
      </c>
      <c r="E3011" s="6" t="n">
        <v>1189500.18</v>
      </c>
      <c r="F3011" s="6">
        <f>ROUND(E3011-E3010,2)</f>
        <v/>
      </c>
      <c r="G3011" s="6">
        <f>ROUND(F3011-D3011,2)</f>
        <v/>
      </c>
    </row>
    <row r="3012">
      <c r="A3012" t="inlineStr">
        <is>
          <t>2022-08-17</t>
        </is>
      </c>
      <c r="B3012" t="n">
        <v>16</v>
      </c>
      <c r="C3012" t="n">
        <v>3034</v>
      </c>
      <c r="D3012" s="6" t="n">
        <v>46.3</v>
      </c>
      <c r="E3012" s="6" t="n">
        <v>1189546.48</v>
      </c>
      <c r="F3012" s="6">
        <f>ROUND(E3012-E3011,2)</f>
        <v/>
      </c>
      <c r="G3012" s="6">
        <f>ROUND(F3012-D3012,2)</f>
        <v/>
      </c>
    </row>
    <row r="3013">
      <c r="A3013" t="inlineStr">
        <is>
          <t>2022-08-17</t>
        </is>
      </c>
      <c r="B3013" t="n">
        <v>17</v>
      </c>
      <c r="C3013" t="n">
        <v>3034</v>
      </c>
      <c r="D3013" s="6" t="n">
        <v>76.59999999999999</v>
      </c>
      <c r="E3013" s="6" t="n">
        <v>1189623.08</v>
      </c>
      <c r="F3013" s="6">
        <f>ROUND(E3013-E3012,2)</f>
        <v/>
      </c>
      <c r="G3013" s="6">
        <f>ROUND(F3013-D3013,2)</f>
        <v/>
      </c>
    </row>
    <row r="3014">
      <c r="A3014" t="inlineStr">
        <is>
          <t>2022-08-17</t>
        </is>
      </c>
      <c r="B3014" t="n">
        <v>18</v>
      </c>
      <c r="C3014" t="n">
        <v>3034</v>
      </c>
      <c r="D3014" s="6" t="n">
        <v>22</v>
      </c>
      <c r="E3014" s="6" t="n">
        <v>1189645.08</v>
      </c>
      <c r="F3014" s="6">
        <f>ROUND(E3014-E3013,2)</f>
        <v/>
      </c>
      <c r="G3014" s="6">
        <f>ROUND(F3014-D3014,2)</f>
        <v/>
      </c>
    </row>
    <row r="3015">
      <c r="A3015" t="inlineStr">
        <is>
          <t>2022-08-17</t>
        </is>
      </c>
      <c r="B3015" t="n">
        <v>19</v>
      </c>
      <c r="C3015" t="n">
        <v>3034</v>
      </c>
      <c r="D3015" s="6" t="n">
        <v>151.7</v>
      </c>
      <c r="E3015" s="6" t="n">
        <v>1189796.78</v>
      </c>
      <c r="F3015" s="6">
        <f>ROUND(E3015-E3014,2)</f>
        <v/>
      </c>
      <c r="G3015" s="6">
        <f>ROUND(F3015-D3015,2)</f>
        <v/>
      </c>
    </row>
    <row r="3016">
      <c r="A3016" t="inlineStr">
        <is>
          <t>2022-08-17</t>
        </is>
      </c>
      <c r="B3016" t="n">
        <v>20</v>
      </c>
      <c r="C3016" t="n">
        <v>3034</v>
      </c>
      <c r="D3016" s="6" t="n">
        <v>110.3</v>
      </c>
      <c r="E3016" s="6" t="n">
        <v>1189907.08</v>
      </c>
      <c r="F3016" s="6">
        <f>ROUND(E3016-E3015,2)</f>
        <v/>
      </c>
      <c r="G3016" s="6">
        <f>ROUND(F3016-D3016,2)</f>
        <v/>
      </c>
    </row>
    <row r="3017">
      <c r="A3017" t="inlineStr">
        <is>
          <t>2022-08-17</t>
        </is>
      </c>
      <c r="B3017" t="n">
        <v>21</v>
      </c>
      <c r="C3017" t="n">
        <v>3034</v>
      </c>
      <c r="D3017" s="6" t="n">
        <v>62.2</v>
      </c>
      <c r="E3017" s="6" t="n">
        <v>1189969.28</v>
      </c>
      <c r="F3017" s="6">
        <f>ROUND(E3017-E3016,2)</f>
        <v/>
      </c>
      <c r="G3017" s="6">
        <f>ROUND(F3017-D3017,2)</f>
        <v/>
      </c>
    </row>
    <row r="3018">
      <c r="A3018" t="inlineStr">
        <is>
          <t>2022-08-17</t>
        </is>
      </c>
      <c r="B3018" t="n">
        <v>22</v>
      </c>
      <c r="C3018" t="n">
        <v>3034</v>
      </c>
      <c r="D3018" s="6" t="n">
        <v>58.75</v>
      </c>
      <c r="E3018" s="6" t="n">
        <v>1190028.03</v>
      </c>
      <c r="F3018" s="6">
        <f>ROUND(E3018-E3017,2)</f>
        <v/>
      </c>
      <c r="G3018" s="6">
        <f>ROUND(F3018-D3018,2)</f>
        <v/>
      </c>
    </row>
    <row r="3019">
      <c r="A3019" t="inlineStr">
        <is>
          <t>2022-08-17</t>
        </is>
      </c>
      <c r="B3019" t="n">
        <v>23</v>
      </c>
      <c r="C3019" t="n">
        <v>3034</v>
      </c>
      <c r="D3019" s="6" t="n">
        <v>58.75</v>
      </c>
      <c r="E3019" s="6" t="n">
        <v>1190086.78</v>
      </c>
      <c r="F3019" s="6">
        <f>ROUND(E3019-E3018,2)</f>
        <v/>
      </c>
      <c r="G3019" s="6">
        <f>ROUND(F3019-D3019,2)</f>
        <v/>
      </c>
    </row>
    <row r="3020">
      <c r="A3020" t="inlineStr">
        <is>
          <t>2022-08-17</t>
        </is>
      </c>
      <c r="B3020" t="n">
        <v>24</v>
      </c>
      <c r="C3020" t="n">
        <v>3034</v>
      </c>
      <c r="D3020" s="6" t="n">
        <v>24.9</v>
      </c>
      <c r="E3020" s="6" t="n">
        <v>1190111.68</v>
      </c>
      <c r="F3020" s="6">
        <f>ROUND(E3020-E3019,2)</f>
        <v/>
      </c>
      <c r="G3020" s="6">
        <f>ROUND(F3020-D3020,2)</f>
        <v/>
      </c>
    </row>
    <row r="3021">
      <c r="A3021" t="inlineStr">
        <is>
          <t>2022-08-17</t>
        </is>
      </c>
      <c r="B3021" t="n">
        <v>25</v>
      </c>
      <c r="C3021" t="n">
        <v>3034</v>
      </c>
      <c r="D3021" s="6" t="n">
        <v>24.9</v>
      </c>
      <c r="E3021" s="6" t="n">
        <v>1190136.58</v>
      </c>
      <c r="F3021" s="6">
        <f>ROUND(E3021-E3020,2)</f>
        <v/>
      </c>
      <c r="G3021" s="6">
        <f>ROUND(F3021-D3021,2)</f>
        <v/>
      </c>
    </row>
    <row r="3022">
      <c r="A3022" t="inlineStr">
        <is>
          <t>2022-08-17</t>
        </is>
      </c>
      <c r="B3022" t="n">
        <v>26</v>
      </c>
      <c r="C3022" t="n">
        <v>3034</v>
      </c>
      <c r="D3022" s="6" t="n">
        <v>136.9</v>
      </c>
      <c r="E3022" s="6" t="n">
        <v>1190273.48</v>
      </c>
      <c r="F3022" s="6">
        <f>ROUND(E3022-E3021,2)</f>
        <v/>
      </c>
      <c r="G3022" s="6">
        <f>ROUND(F3022-D3022,2)</f>
        <v/>
      </c>
    </row>
    <row r="3023">
      <c r="A3023" t="inlineStr">
        <is>
          <t>2022-08-17</t>
        </is>
      </c>
      <c r="B3023" t="n">
        <v>27</v>
      </c>
      <c r="C3023" t="n">
        <v>3034</v>
      </c>
      <c r="D3023" s="6" t="n">
        <v>34.95</v>
      </c>
      <c r="E3023" s="6" t="n">
        <v>1190308.43</v>
      </c>
      <c r="F3023" s="6">
        <f>ROUND(E3023-E3022,2)</f>
        <v/>
      </c>
      <c r="G3023" s="6">
        <f>ROUND(F3023-D3023,2)</f>
        <v/>
      </c>
    </row>
    <row r="3024">
      <c r="A3024" t="inlineStr">
        <is>
          <t>2022-08-17</t>
        </is>
      </c>
      <c r="B3024" t="n">
        <v>28</v>
      </c>
      <c r="C3024" t="n">
        <v>3034</v>
      </c>
      <c r="D3024" s="6" t="n">
        <v>34.95</v>
      </c>
      <c r="E3024" s="6" t="n">
        <v>1190343.38</v>
      </c>
      <c r="F3024" s="6">
        <f>ROUND(E3024-E3023,2)</f>
        <v/>
      </c>
      <c r="G3024" s="6">
        <f>ROUND(F3024-D3024,2)</f>
        <v/>
      </c>
    </row>
    <row r="3025">
      <c r="A3025" t="inlineStr">
        <is>
          <t>2022-08-17</t>
        </is>
      </c>
      <c r="B3025" t="n">
        <v>29</v>
      </c>
      <c r="C3025" t="n">
        <v>3034</v>
      </c>
      <c r="D3025" s="6" t="n">
        <v>157.6</v>
      </c>
      <c r="E3025" s="6" t="n">
        <v>1190500.98</v>
      </c>
      <c r="F3025" s="6">
        <f>ROUND(E3025-E3024,2)</f>
        <v/>
      </c>
      <c r="G3025" s="6">
        <f>ROUND(F3025-D3025,2)</f>
        <v/>
      </c>
    </row>
    <row r="3026">
      <c r="A3026" t="inlineStr">
        <is>
          <t>2022-08-17</t>
        </is>
      </c>
      <c r="B3026" t="n">
        <v>30</v>
      </c>
      <c r="C3026" t="n">
        <v>3034</v>
      </c>
      <c r="D3026" s="6" t="n">
        <v>110.1</v>
      </c>
      <c r="E3026" s="6" t="n">
        <v>1190611.08</v>
      </c>
      <c r="F3026" s="6">
        <f>ROUND(E3026-E3025,2)</f>
        <v/>
      </c>
      <c r="G3026" s="6">
        <f>ROUND(F3026-D3026,2)</f>
        <v/>
      </c>
    </row>
    <row r="3027">
      <c r="A3027" t="inlineStr">
        <is>
          <t>2022-08-17</t>
        </is>
      </c>
      <c r="B3027" t="n">
        <v>31</v>
      </c>
      <c r="C3027" t="n">
        <v>3034</v>
      </c>
      <c r="D3027" s="6" t="n">
        <v>26.8</v>
      </c>
      <c r="E3027" s="6" t="n">
        <v>1190637.88</v>
      </c>
      <c r="F3027" s="6">
        <f>ROUND(E3027-E3026,2)</f>
        <v/>
      </c>
      <c r="G3027" s="6">
        <f>ROUND(F3027-D3027,2)</f>
        <v/>
      </c>
    </row>
    <row r="3028">
      <c r="A3028" t="inlineStr">
        <is>
          <t>2022-08-17</t>
        </is>
      </c>
      <c r="B3028" t="n">
        <v>32</v>
      </c>
      <c r="C3028" t="n">
        <v>3034</v>
      </c>
      <c r="D3028" s="6" t="n">
        <v>36.5</v>
      </c>
      <c r="E3028" s="6" t="n">
        <v>1190674.38</v>
      </c>
      <c r="F3028" s="6">
        <f>ROUND(E3028-E3027,2)</f>
        <v/>
      </c>
      <c r="G3028" s="6">
        <f>ROUND(F3028-D3028,2)</f>
        <v/>
      </c>
    </row>
    <row r="3029">
      <c r="A3029" t="inlineStr">
        <is>
          <t>2022-08-18</t>
        </is>
      </c>
      <c r="B3029" t="n">
        <v>1</v>
      </c>
      <c r="C3029" t="n">
        <v>3035</v>
      </c>
      <c r="D3029" s="6" t="n">
        <v>116.4</v>
      </c>
      <c r="E3029" s="6" t="n">
        <v>1190790.78</v>
      </c>
      <c r="F3029" s="6">
        <f>ROUND(E3029-E3028,2)</f>
        <v/>
      </c>
      <c r="G3029" s="6">
        <f>ROUND(F3029-D3029,2)</f>
        <v/>
      </c>
    </row>
    <row r="3030">
      <c r="A3030" t="inlineStr">
        <is>
          <t>2022-08-18</t>
        </is>
      </c>
      <c r="B3030" t="n">
        <v>2</v>
      </c>
      <c r="C3030" t="n">
        <v>3035</v>
      </c>
      <c r="D3030" s="6" t="n">
        <v>32.2</v>
      </c>
      <c r="E3030" s="6" t="n">
        <v>1190822.98</v>
      </c>
      <c r="F3030" s="6">
        <f>ROUND(E3030-E3029,2)</f>
        <v/>
      </c>
      <c r="G3030" s="6">
        <f>ROUND(F3030-D3030,2)</f>
        <v/>
      </c>
    </row>
    <row r="3031">
      <c r="A3031" t="inlineStr">
        <is>
          <t>2022-08-18</t>
        </is>
      </c>
      <c r="B3031" t="n">
        <v>3</v>
      </c>
      <c r="C3031" t="n">
        <v>3035</v>
      </c>
      <c r="D3031" s="6" t="n">
        <v>63.8</v>
      </c>
      <c r="E3031" s="6" t="n">
        <v>1190886.78</v>
      </c>
      <c r="F3031" s="6">
        <f>ROUND(E3031-E3030,2)</f>
        <v/>
      </c>
      <c r="G3031" s="6">
        <f>ROUND(F3031-D3031,2)</f>
        <v/>
      </c>
    </row>
    <row r="3032">
      <c r="A3032" t="inlineStr">
        <is>
          <t>2022-08-18</t>
        </is>
      </c>
      <c r="B3032" t="n">
        <v>4</v>
      </c>
      <c r="C3032" t="n">
        <v>3035</v>
      </c>
      <c r="D3032" s="6" t="n">
        <v>60</v>
      </c>
      <c r="E3032" s="6" t="n">
        <v>1190946.78</v>
      </c>
      <c r="F3032" s="6">
        <f>ROUND(E3032-E3031,2)</f>
        <v/>
      </c>
      <c r="G3032" s="6">
        <f>ROUND(F3032-D3032,2)</f>
        <v/>
      </c>
    </row>
    <row r="3033">
      <c r="A3033" t="inlineStr">
        <is>
          <t>2022-08-18</t>
        </is>
      </c>
      <c r="B3033" t="n">
        <v>5</v>
      </c>
      <c r="C3033" t="n">
        <v>3035</v>
      </c>
      <c r="D3033" s="6" t="n">
        <v>46</v>
      </c>
      <c r="E3033" s="6" t="n">
        <v>1190992.78</v>
      </c>
      <c r="F3033" s="6">
        <f>ROUND(E3033-E3032,2)</f>
        <v/>
      </c>
      <c r="G3033" s="6">
        <f>ROUND(F3033-D3033,2)</f>
        <v/>
      </c>
    </row>
    <row r="3034">
      <c r="A3034" t="inlineStr">
        <is>
          <t>2022-08-18</t>
        </is>
      </c>
      <c r="B3034" t="n">
        <v>6</v>
      </c>
      <c r="C3034" t="n">
        <v>3035</v>
      </c>
      <c r="D3034" s="6" t="n">
        <v>17.6</v>
      </c>
      <c r="E3034" s="6" t="n">
        <v>1191010.38</v>
      </c>
      <c r="F3034" s="6">
        <f>ROUND(E3034-E3033,2)</f>
        <v/>
      </c>
      <c r="G3034" s="6">
        <f>ROUND(F3034-D3034,2)</f>
        <v/>
      </c>
    </row>
    <row r="3035">
      <c r="A3035" t="inlineStr">
        <is>
          <t>2022-08-18</t>
        </is>
      </c>
      <c r="B3035" t="n">
        <v>7</v>
      </c>
      <c r="C3035" t="n">
        <v>3035</v>
      </c>
      <c r="D3035" s="6" t="n">
        <v>57.9</v>
      </c>
      <c r="E3035" s="6" t="n">
        <v>1191068.28</v>
      </c>
      <c r="F3035" s="6">
        <f>ROUND(E3035-E3034,2)</f>
        <v/>
      </c>
      <c r="G3035" s="6">
        <f>ROUND(F3035-D3035,2)</f>
        <v/>
      </c>
    </row>
    <row r="3036">
      <c r="A3036" t="inlineStr">
        <is>
          <t>2022-08-18</t>
        </is>
      </c>
      <c r="B3036" t="n">
        <v>8</v>
      </c>
      <c r="C3036" t="n">
        <v>3035</v>
      </c>
      <c r="D3036" s="6" t="n">
        <v>42.6</v>
      </c>
      <c r="E3036" s="6" t="n">
        <v>1191110.88</v>
      </c>
      <c r="F3036" s="6">
        <f>ROUND(E3036-E3035,2)</f>
        <v/>
      </c>
      <c r="G3036" s="6">
        <f>ROUND(F3036-D3036,2)</f>
        <v/>
      </c>
    </row>
    <row r="3037">
      <c r="A3037" t="inlineStr">
        <is>
          <t>2022-08-18</t>
        </is>
      </c>
      <c r="B3037" t="n">
        <v>9</v>
      </c>
      <c r="C3037" t="n">
        <v>3035</v>
      </c>
      <c r="D3037" s="6" t="n">
        <v>113.7</v>
      </c>
      <c r="E3037" s="6" t="n">
        <v>1191224.58</v>
      </c>
      <c r="F3037" s="6">
        <f>ROUND(E3037-E3036,2)</f>
        <v/>
      </c>
      <c r="G3037" s="6">
        <f>ROUND(F3037-D3037,2)</f>
        <v/>
      </c>
    </row>
    <row r="3038">
      <c r="A3038" t="inlineStr">
        <is>
          <t>2022-08-18</t>
        </is>
      </c>
      <c r="B3038" t="n">
        <v>10</v>
      </c>
      <c r="C3038" t="n">
        <v>3035</v>
      </c>
      <c r="D3038" s="6" t="n">
        <v>70.40000000000001</v>
      </c>
      <c r="E3038" s="6" t="n">
        <v>1191294.98</v>
      </c>
      <c r="F3038" s="6">
        <f>ROUND(E3038-E3037,2)</f>
        <v/>
      </c>
      <c r="G3038" s="6">
        <f>ROUND(F3038-D3038,2)</f>
        <v/>
      </c>
    </row>
    <row r="3039">
      <c r="A3039" t="inlineStr">
        <is>
          <t>2022-08-18</t>
        </is>
      </c>
      <c r="B3039" t="n">
        <v>11</v>
      </c>
      <c r="C3039" t="n">
        <v>3035</v>
      </c>
      <c r="D3039" s="6" t="n">
        <v>87</v>
      </c>
      <c r="E3039" s="6" t="n">
        <v>1191381.98</v>
      </c>
      <c r="F3039" s="6">
        <f>ROUND(E3039-E3038,2)</f>
        <v/>
      </c>
      <c r="G3039" s="6">
        <f>ROUND(F3039-D3039,2)</f>
        <v/>
      </c>
    </row>
    <row r="3040">
      <c r="A3040" t="inlineStr">
        <is>
          <t>2022-08-18</t>
        </is>
      </c>
      <c r="B3040" t="n">
        <v>12</v>
      </c>
      <c r="C3040" t="n">
        <v>3035</v>
      </c>
      <c r="D3040" s="6" t="n">
        <v>80.3</v>
      </c>
      <c r="E3040" s="6" t="n">
        <v>1191462.28</v>
      </c>
      <c r="F3040" s="6">
        <f>ROUND(E3040-E3039,2)</f>
        <v/>
      </c>
      <c r="G3040" s="6">
        <f>ROUND(F3040-D3040,2)</f>
        <v/>
      </c>
    </row>
    <row r="3041">
      <c r="A3041" t="inlineStr">
        <is>
          <t>2022-08-18</t>
        </is>
      </c>
      <c r="B3041" t="n">
        <v>13</v>
      </c>
      <c r="C3041" t="n">
        <v>3035</v>
      </c>
      <c r="D3041" s="6" t="n">
        <v>126.3</v>
      </c>
      <c r="E3041" s="6" t="n">
        <v>1191588.58</v>
      </c>
      <c r="F3041" s="6">
        <f>ROUND(E3041-E3040,2)</f>
        <v/>
      </c>
      <c r="G3041" s="6">
        <f>ROUND(F3041-D3041,2)</f>
        <v/>
      </c>
    </row>
    <row r="3042">
      <c r="A3042" t="inlineStr">
        <is>
          <t>2022-08-18</t>
        </is>
      </c>
      <c r="B3042" t="n">
        <v>14</v>
      </c>
      <c r="C3042" t="n">
        <v>3035</v>
      </c>
      <c r="D3042" s="6" t="n">
        <v>43.5</v>
      </c>
      <c r="E3042" s="6" t="n">
        <v>1191632.08</v>
      </c>
      <c r="F3042" s="6">
        <f>ROUND(E3042-E3041,2)</f>
        <v/>
      </c>
      <c r="G3042" s="6">
        <f>ROUND(F3042-D3042,2)</f>
        <v/>
      </c>
    </row>
    <row r="3043">
      <c r="A3043" t="inlineStr">
        <is>
          <t>2022-08-18</t>
        </is>
      </c>
      <c r="B3043" t="n">
        <v>15</v>
      </c>
      <c r="C3043" t="n">
        <v>3035</v>
      </c>
      <c r="D3043" s="6" t="n">
        <v>93.5</v>
      </c>
      <c r="E3043" s="6" t="n">
        <v>1191725.58</v>
      </c>
      <c r="F3043" s="6">
        <f>ROUND(E3043-E3042,2)</f>
        <v/>
      </c>
      <c r="G3043" s="6">
        <f>ROUND(F3043-D3043,2)</f>
        <v/>
      </c>
    </row>
    <row r="3044">
      <c r="A3044" t="inlineStr">
        <is>
          <t>2022-08-18</t>
        </is>
      </c>
      <c r="B3044" t="n">
        <v>16</v>
      </c>
      <c r="C3044" t="n">
        <v>3035</v>
      </c>
      <c r="D3044" s="6" t="n">
        <v>31.8</v>
      </c>
      <c r="E3044" s="6" t="n">
        <v>1191757.38</v>
      </c>
      <c r="F3044" s="6">
        <f>ROUND(E3044-E3043,2)</f>
        <v/>
      </c>
      <c r="G3044" s="6">
        <f>ROUND(F3044-D3044,2)</f>
        <v/>
      </c>
    </row>
    <row r="3045">
      <c r="A3045" t="inlineStr">
        <is>
          <t>2022-08-18</t>
        </is>
      </c>
      <c r="B3045" t="n">
        <v>17</v>
      </c>
      <c r="C3045" t="n">
        <v>3035</v>
      </c>
      <c r="D3045" s="6" t="n">
        <v>41.1</v>
      </c>
      <c r="E3045" s="6" t="n">
        <v>1191798.48</v>
      </c>
      <c r="F3045" s="6">
        <f>ROUND(E3045-E3044,2)</f>
        <v/>
      </c>
      <c r="G3045" s="6">
        <f>ROUND(F3045-D3045,2)</f>
        <v/>
      </c>
    </row>
    <row r="3046">
      <c r="A3046" t="inlineStr">
        <is>
          <t>2022-08-18</t>
        </is>
      </c>
      <c r="B3046" t="n">
        <v>18</v>
      </c>
      <c r="C3046" t="n">
        <v>3035</v>
      </c>
      <c r="D3046" s="6" t="n">
        <v>95.40000000000001</v>
      </c>
      <c r="E3046" s="6" t="n">
        <v>1191893.88</v>
      </c>
      <c r="F3046" s="6">
        <f>ROUND(E3046-E3045,2)</f>
        <v/>
      </c>
      <c r="G3046" s="6">
        <f>ROUND(F3046-D3046,2)</f>
        <v/>
      </c>
    </row>
    <row r="3047">
      <c r="A3047" t="inlineStr">
        <is>
          <t>2022-08-18</t>
        </is>
      </c>
      <c r="B3047" t="n">
        <v>19</v>
      </c>
      <c r="C3047" t="n">
        <v>3035</v>
      </c>
      <c r="D3047" s="6" t="n">
        <v>54.6</v>
      </c>
      <c r="E3047" s="6" t="n">
        <v>1191948.48</v>
      </c>
      <c r="F3047" s="6">
        <f>ROUND(E3047-E3046,2)</f>
        <v/>
      </c>
      <c r="G3047" s="6">
        <f>ROUND(F3047-D3047,2)</f>
        <v/>
      </c>
    </row>
    <row r="3048">
      <c r="A3048" t="inlineStr">
        <is>
          <t>2022-08-18</t>
        </is>
      </c>
      <c r="B3048" t="n">
        <v>20</v>
      </c>
      <c r="C3048" t="n">
        <v>3035</v>
      </c>
      <c r="D3048" s="6" t="n">
        <v>20.1</v>
      </c>
      <c r="E3048" s="6" t="n">
        <v>1191968.58</v>
      </c>
      <c r="F3048" s="6">
        <f>ROUND(E3048-E3047,2)</f>
        <v/>
      </c>
      <c r="G3048" s="6">
        <f>ROUND(F3048-D3048,2)</f>
        <v/>
      </c>
    </row>
    <row r="3049">
      <c r="A3049" t="inlineStr">
        <is>
          <t>2022-08-18</t>
        </is>
      </c>
      <c r="B3049" t="n">
        <v>21</v>
      </c>
      <c r="C3049" t="n">
        <v>3035</v>
      </c>
      <c r="D3049" s="6" t="n">
        <v>20.1</v>
      </c>
      <c r="E3049" s="6" t="n">
        <v>1191988.68</v>
      </c>
      <c r="F3049" s="6">
        <f>ROUND(E3049-E3048,2)</f>
        <v/>
      </c>
      <c r="G3049" s="6">
        <f>ROUND(F3049-D3049,2)</f>
        <v/>
      </c>
    </row>
    <row r="3050">
      <c r="A3050" t="inlineStr">
        <is>
          <t>2022-08-18</t>
        </is>
      </c>
      <c r="B3050" t="n">
        <v>22</v>
      </c>
      <c r="C3050" t="n">
        <v>3035</v>
      </c>
      <c r="D3050" s="6" t="n">
        <v>86.40000000000001</v>
      </c>
      <c r="E3050" s="6" t="n">
        <v>1192075.08</v>
      </c>
      <c r="F3050" s="6">
        <f>ROUND(E3050-E3049,2)</f>
        <v/>
      </c>
      <c r="G3050" s="6">
        <f>ROUND(F3050-D3050,2)</f>
        <v/>
      </c>
    </row>
    <row r="3051">
      <c r="A3051" t="inlineStr">
        <is>
          <t>2022-08-18</t>
        </is>
      </c>
      <c r="B3051" t="n">
        <v>23</v>
      </c>
      <c r="C3051" t="n">
        <v>3035</v>
      </c>
      <c r="D3051" s="6" t="n">
        <v>177</v>
      </c>
      <c r="E3051" s="6" t="n">
        <v>1192252.08</v>
      </c>
      <c r="F3051" s="6">
        <f>ROUND(E3051-E3050,2)</f>
        <v/>
      </c>
      <c r="G3051" s="6">
        <f>ROUND(F3051-D3051,2)</f>
        <v/>
      </c>
    </row>
    <row r="3052">
      <c r="A3052" t="inlineStr">
        <is>
          <t>2022-08-18</t>
        </is>
      </c>
      <c r="B3052" t="n">
        <v>24</v>
      </c>
      <c r="C3052" t="n">
        <v>3035</v>
      </c>
      <c r="D3052" s="6" t="n">
        <v>89.90000000000001</v>
      </c>
      <c r="E3052" s="6" t="n">
        <v>1192341.98</v>
      </c>
      <c r="F3052" s="6">
        <f>ROUND(E3052-E3051,2)</f>
        <v/>
      </c>
      <c r="G3052" s="6">
        <f>ROUND(F3052-D3052,2)</f>
        <v/>
      </c>
    </row>
    <row r="3053">
      <c r="A3053" t="inlineStr">
        <is>
          <t>2022-08-18</t>
        </is>
      </c>
      <c r="B3053" t="n">
        <v>25</v>
      </c>
      <c r="C3053" t="n">
        <v>3035</v>
      </c>
      <c r="D3053" s="6" t="n">
        <v>155.9</v>
      </c>
      <c r="E3053" s="6" t="n">
        <v>1192497.88</v>
      </c>
      <c r="F3053" s="6">
        <f>ROUND(E3053-E3052,2)</f>
        <v/>
      </c>
      <c r="G3053" s="6">
        <f>ROUND(F3053-D3053,2)</f>
        <v/>
      </c>
    </row>
    <row r="3054">
      <c r="A3054" t="inlineStr">
        <is>
          <t>2022-08-18</t>
        </is>
      </c>
      <c r="B3054" t="n">
        <v>26</v>
      </c>
      <c r="C3054" t="n">
        <v>3035</v>
      </c>
      <c r="D3054" s="6" t="n">
        <v>126.3</v>
      </c>
      <c r="E3054" s="6" t="n">
        <v>1192624.18</v>
      </c>
      <c r="F3054" s="6">
        <f>ROUND(E3054-E3053,2)</f>
        <v/>
      </c>
      <c r="G3054" s="6">
        <f>ROUND(F3054-D3054,2)</f>
        <v/>
      </c>
    </row>
    <row r="3055">
      <c r="A3055" t="inlineStr">
        <is>
          <t>2022-08-18</t>
        </is>
      </c>
      <c r="B3055" t="n">
        <v>27</v>
      </c>
      <c r="C3055" t="n">
        <v>3035</v>
      </c>
      <c r="D3055" s="6" t="n">
        <v>33.3</v>
      </c>
      <c r="E3055" s="6" t="n">
        <v>1192657.48</v>
      </c>
      <c r="F3055" s="6">
        <f>ROUND(E3055-E3054,2)</f>
        <v/>
      </c>
      <c r="G3055" s="6">
        <f>ROUND(F3055-D3055,2)</f>
        <v/>
      </c>
    </row>
    <row r="3056">
      <c r="A3056" t="inlineStr">
        <is>
          <t>2022-08-18</t>
        </is>
      </c>
      <c r="B3056" t="n">
        <v>28</v>
      </c>
      <c r="C3056" t="n">
        <v>3035</v>
      </c>
      <c r="D3056" s="6" t="n">
        <v>31.1</v>
      </c>
      <c r="E3056" s="6" t="n">
        <v>1192688.58</v>
      </c>
      <c r="F3056" s="6">
        <f>ROUND(E3056-E3055,2)</f>
        <v/>
      </c>
      <c r="G3056" s="6">
        <f>ROUND(F3056-D3056,2)</f>
        <v/>
      </c>
    </row>
    <row r="3057">
      <c r="A3057" t="inlineStr">
        <is>
          <t>2022-08-18</t>
        </is>
      </c>
      <c r="B3057" t="n">
        <v>29</v>
      </c>
      <c r="C3057" t="n">
        <v>3035</v>
      </c>
      <c r="D3057" s="6" t="n">
        <v>28</v>
      </c>
      <c r="E3057" s="6" t="n">
        <v>1192716.58</v>
      </c>
      <c r="F3057" s="6">
        <f>ROUND(E3057-E3056,2)</f>
        <v/>
      </c>
      <c r="G3057" s="6">
        <f>ROUND(F3057-D3057,2)</f>
        <v/>
      </c>
    </row>
    <row r="3058">
      <c r="A3058" t="inlineStr">
        <is>
          <t>2022-08-18</t>
        </is>
      </c>
      <c r="B3058" t="n">
        <v>30</v>
      </c>
      <c r="C3058" t="n">
        <v>3035</v>
      </c>
      <c r="D3058" s="6" t="n">
        <v>31.5</v>
      </c>
      <c r="E3058" s="6" t="n">
        <v>1192748.08</v>
      </c>
      <c r="F3058" s="6">
        <f>ROUND(E3058-E3057,2)</f>
        <v/>
      </c>
      <c r="G3058" s="6">
        <f>ROUND(F3058-D3058,2)</f>
        <v/>
      </c>
    </row>
    <row r="3059">
      <c r="A3059" t="inlineStr">
        <is>
          <t>2022-08-18</t>
        </is>
      </c>
      <c r="B3059" t="n">
        <v>31</v>
      </c>
      <c r="C3059" t="n">
        <v>3035</v>
      </c>
      <c r="D3059" s="6" t="n">
        <v>50</v>
      </c>
      <c r="E3059" s="6" t="n">
        <v>1192798.08</v>
      </c>
      <c r="F3059" s="6">
        <f>ROUND(E3059-E3058,2)</f>
        <v/>
      </c>
      <c r="G3059" s="6">
        <f>ROUND(F3059-D3059,2)</f>
        <v/>
      </c>
    </row>
    <row r="3060">
      <c r="A3060" t="inlineStr">
        <is>
          <t>2022-08-18</t>
        </is>
      </c>
      <c r="B3060" t="n">
        <v>32</v>
      </c>
      <c r="C3060" t="n">
        <v>3035</v>
      </c>
      <c r="D3060" s="6" t="n">
        <v>109.1</v>
      </c>
      <c r="E3060" s="6" t="n">
        <v>1192907.18</v>
      </c>
      <c r="F3060" s="6">
        <f>ROUND(E3060-E3059,2)</f>
        <v/>
      </c>
      <c r="G3060" s="6">
        <f>ROUND(F3060-D3060,2)</f>
        <v/>
      </c>
    </row>
    <row r="3061">
      <c r="A3061" t="inlineStr">
        <is>
          <t>2022-08-18</t>
        </is>
      </c>
      <c r="B3061" t="n">
        <v>33</v>
      </c>
      <c r="C3061" t="n">
        <v>3035</v>
      </c>
      <c r="D3061" s="6" t="n">
        <v>84.8</v>
      </c>
      <c r="E3061" s="6" t="n">
        <v>1192991.98</v>
      </c>
      <c r="F3061" s="6">
        <f>ROUND(E3061-E3060,2)</f>
        <v/>
      </c>
      <c r="G3061" s="6">
        <f>ROUND(F3061-D3061,2)</f>
        <v/>
      </c>
    </row>
    <row r="3062">
      <c r="A3062" t="inlineStr">
        <is>
          <t>2022-08-18</t>
        </is>
      </c>
      <c r="B3062" t="n">
        <v>34</v>
      </c>
      <c r="C3062" t="n">
        <v>3035</v>
      </c>
      <c r="D3062" s="6" t="n">
        <v>84.8</v>
      </c>
      <c r="E3062" s="6" t="n">
        <v>1193076.78</v>
      </c>
      <c r="F3062" s="6">
        <f>ROUND(E3062-E3061,2)</f>
        <v/>
      </c>
      <c r="G3062" s="6">
        <f>ROUND(F3062-D3062,2)</f>
        <v/>
      </c>
    </row>
    <row r="3063">
      <c r="A3063" t="inlineStr">
        <is>
          <t>2022-08-18</t>
        </is>
      </c>
      <c r="B3063" t="n">
        <v>35</v>
      </c>
      <c r="C3063" t="n">
        <v>3035</v>
      </c>
      <c r="D3063" s="6" t="n">
        <v>67.8</v>
      </c>
      <c r="E3063" s="6" t="n">
        <v>1193144.58</v>
      </c>
      <c r="F3063" s="6">
        <f>ROUND(E3063-E3062,2)</f>
        <v/>
      </c>
      <c r="G3063" s="6">
        <f>ROUND(F3063-D3063,2)</f>
        <v/>
      </c>
    </row>
    <row r="3064">
      <c r="A3064" t="inlineStr">
        <is>
          <t>2022-08-18</t>
        </is>
      </c>
      <c r="B3064" t="n">
        <v>36</v>
      </c>
      <c r="C3064" t="n">
        <v>3035</v>
      </c>
      <c r="D3064" s="6" t="n">
        <v>80.7</v>
      </c>
      <c r="E3064" s="6" t="n">
        <v>1193225.28</v>
      </c>
      <c r="F3064" s="6">
        <f>ROUND(E3064-E3063,2)</f>
        <v/>
      </c>
      <c r="G3064" s="6">
        <f>ROUND(F3064-D3064,2)</f>
        <v/>
      </c>
    </row>
    <row r="3065">
      <c r="A3065" t="inlineStr">
        <is>
          <t>2022-08-19</t>
        </is>
      </c>
      <c r="B3065" t="n">
        <v>1</v>
      </c>
      <c r="C3065" t="n">
        <v>3036</v>
      </c>
      <c r="D3065" s="6" t="n">
        <v>78.90000000000001</v>
      </c>
      <c r="E3065" s="6" t="n">
        <v>1193304.18</v>
      </c>
      <c r="F3065" s="6">
        <f>ROUND(E3065-E3064,2)</f>
        <v/>
      </c>
      <c r="G3065" s="6">
        <f>ROUND(F3065-D3065,2)</f>
        <v/>
      </c>
    </row>
    <row r="3066">
      <c r="A3066" t="inlineStr">
        <is>
          <t>2022-08-19</t>
        </is>
      </c>
      <c r="B3066" t="n">
        <v>2</v>
      </c>
      <c r="C3066" t="n">
        <v>3036</v>
      </c>
      <c r="D3066" s="6" t="n">
        <v>65.7</v>
      </c>
      <c r="E3066" s="6" t="n">
        <v>1193369.88</v>
      </c>
      <c r="F3066" s="6">
        <f>ROUND(E3066-E3065,2)</f>
        <v/>
      </c>
      <c r="G3066" s="6">
        <f>ROUND(F3066-D3066,2)</f>
        <v/>
      </c>
    </row>
    <row r="3067">
      <c r="A3067" t="inlineStr">
        <is>
          <t>2022-08-19</t>
        </is>
      </c>
      <c r="B3067" t="n">
        <v>3</v>
      </c>
      <c r="C3067" t="n">
        <v>3036</v>
      </c>
      <c r="D3067" s="6" t="n">
        <v>45.3</v>
      </c>
      <c r="E3067" s="6" t="n">
        <v>1193415.18</v>
      </c>
      <c r="F3067" s="6">
        <f>ROUND(E3067-E3066,2)</f>
        <v/>
      </c>
      <c r="G3067" s="6">
        <f>ROUND(F3067-D3067,2)</f>
        <v/>
      </c>
    </row>
    <row r="3068">
      <c r="A3068" t="inlineStr">
        <is>
          <t>2022-08-19</t>
        </is>
      </c>
      <c r="B3068" t="n">
        <v>4</v>
      </c>
      <c r="C3068" t="n">
        <v>3036</v>
      </c>
      <c r="D3068" s="6" t="n">
        <v>30.3</v>
      </c>
      <c r="E3068" s="6" t="n">
        <v>1193445.48</v>
      </c>
      <c r="F3068" s="6">
        <f>ROUND(E3068-E3067,2)</f>
        <v/>
      </c>
      <c r="G3068" s="6">
        <f>ROUND(F3068-D3068,2)</f>
        <v/>
      </c>
    </row>
    <row r="3069">
      <c r="A3069" t="inlineStr">
        <is>
          <t>2022-08-19</t>
        </is>
      </c>
      <c r="B3069" t="n">
        <v>5</v>
      </c>
      <c r="C3069" t="n">
        <v>3036</v>
      </c>
      <c r="D3069" s="6" t="n">
        <v>47</v>
      </c>
      <c r="E3069" s="6" t="n">
        <v>1193492.48</v>
      </c>
      <c r="F3069" s="6">
        <f>ROUND(E3069-E3068,2)</f>
        <v/>
      </c>
      <c r="G3069" s="6">
        <f>ROUND(F3069-D3069,2)</f>
        <v/>
      </c>
    </row>
    <row r="3070">
      <c r="A3070" t="inlineStr">
        <is>
          <t>2022-08-19</t>
        </is>
      </c>
      <c r="B3070" t="n">
        <v>6</v>
      </c>
      <c r="C3070" t="n">
        <v>3036</v>
      </c>
      <c r="D3070" s="6" t="n">
        <v>89.2</v>
      </c>
      <c r="E3070" s="6" t="n">
        <v>1193581.68</v>
      </c>
      <c r="F3070" s="6">
        <f>ROUND(E3070-E3069,2)</f>
        <v/>
      </c>
      <c r="G3070" s="6">
        <f>ROUND(F3070-D3070,2)</f>
        <v/>
      </c>
    </row>
    <row r="3071">
      <c r="A3071" t="inlineStr">
        <is>
          <t>2022-08-19</t>
        </is>
      </c>
      <c r="B3071" t="n">
        <v>7</v>
      </c>
      <c r="C3071" t="n">
        <v>3036</v>
      </c>
      <c r="D3071" s="6" t="n">
        <v>46.8</v>
      </c>
      <c r="E3071" s="6" t="n">
        <v>1193628.48</v>
      </c>
      <c r="F3071" s="6">
        <f>ROUND(E3071-E3070,2)</f>
        <v/>
      </c>
      <c r="G3071" s="6">
        <f>ROUND(F3071-D3071,2)</f>
        <v/>
      </c>
    </row>
    <row r="3072">
      <c r="A3072" t="inlineStr">
        <is>
          <t>2022-08-19</t>
        </is>
      </c>
      <c r="B3072" t="n">
        <v>8</v>
      </c>
      <c r="C3072" t="n">
        <v>3036</v>
      </c>
      <c r="D3072" s="6" t="n">
        <v>49.7</v>
      </c>
      <c r="E3072" s="6" t="n">
        <v>1193678.18</v>
      </c>
      <c r="F3072" s="6">
        <f>ROUND(E3072-E3071,2)</f>
        <v/>
      </c>
      <c r="G3072" s="6">
        <f>ROUND(F3072-D3072,2)</f>
        <v/>
      </c>
    </row>
    <row r="3073">
      <c r="A3073" t="inlineStr">
        <is>
          <t>2022-08-19</t>
        </is>
      </c>
      <c r="B3073" t="n">
        <v>9</v>
      </c>
      <c r="C3073" t="n">
        <v>3036</v>
      </c>
      <c r="D3073" s="6" t="n">
        <v>81.2</v>
      </c>
      <c r="E3073" s="6" t="n">
        <v>1193759.38</v>
      </c>
      <c r="F3073" s="6">
        <f>ROUND(E3073-E3072,2)</f>
        <v/>
      </c>
      <c r="G3073" s="6">
        <f>ROUND(F3073-D3073,2)</f>
        <v/>
      </c>
    </row>
    <row r="3074">
      <c r="A3074" t="inlineStr">
        <is>
          <t>2022-08-19</t>
        </is>
      </c>
      <c r="B3074" t="n">
        <v>10</v>
      </c>
      <c r="C3074" t="n">
        <v>3036</v>
      </c>
      <c r="D3074" s="6" t="n">
        <v>79</v>
      </c>
      <c r="E3074" s="6" t="n">
        <v>1193838.38</v>
      </c>
      <c r="F3074" s="6">
        <f>ROUND(E3074-E3073,2)</f>
        <v/>
      </c>
      <c r="G3074" s="6">
        <f>ROUND(F3074-D3074,2)</f>
        <v/>
      </c>
    </row>
    <row r="3075">
      <c r="A3075" t="inlineStr">
        <is>
          <t>2022-08-19</t>
        </is>
      </c>
      <c r="B3075" t="n">
        <v>11</v>
      </c>
      <c r="C3075" t="n">
        <v>3036</v>
      </c>
      <c r="D3075" s="6" t="n">
        <v>43.05</v>
      </c>
      <c r="E3075" s="6" t="n">
        <v>1193881.43</v>
      </c>
      <c r="F3075" s="6">
        <f>ROUND(E3075-E3074,2)</f>
        <v/>
      </c>
      <c r="G3075" s="6">
        <f>ROUND(F3075-D3075,2)</f>
        <v/>
      </c>
    </row>
    <row r="3076">
      <c r="A3076" t="inlineStr">
        <is>
          <t>2022-08-19</t>
        </is>
      </c>
      <c r="B3076" t="n">
        <v>12</v>
      </c>
      <c r="C3076" t="n">
        <v>3036</v>
      </c>
      <c r="D3076" s="6" t="n">
        <v>43.05</v>
      </c>
      <c r="E3076" s="6" t="n">
        <v>1193924.48</v>
      </c>
      <c r="F3076" s="6">
        <f>ROUND(E3076-E3075,2)</f>
        <v/>
      </c>
      <c r="G3076" s="6">
        <f>ROUND(F3076-D3076,2)</f>
        <v/>
      </c>
    </row>
    <row r="3077">
      <c r="A3077" t="inlineStr">
        <is>
          <t>2022-08-19</t>
        </is>
      </c>
      <c r="B3077" t="n">
        <v>13</v>
      </c>
      <c r="C3077" t="n">
        <v>3036</v>
      </c>
      <c r="D3077" s="6" t="n">
        <v>30</v>
      </c>
      <c r="E3077" s="6" t="n">
        <v>1193954.48</v>
      </c>
      <c r="F3077" s="6">
        <f>ROUND(E3077-E3076,2)</f>
        <v/>
      </c>
      <c r="G3077" s="6">
        <f>ROUND(F3077-D3077,2)</f>
        <v/>
      </c>
    </row>
    <row r="3078">
      <c r="A3078" t="inlineStr">
        <is>
          <t>2022-08-19</t>
        </is>
      </c>
      <c r="B3078" t="n">
        <v>14</v>
      </c>
      <c r="C3078" t="n">
        <v>3036</v>
      </c>
      <c r="D3078" s="6" t="n">
        <v>27.4</v>
      </c>
      <c r="E3078" s="6" t="n">
        <v>1193981.88</v>
      </c>
      <c r="F3078" s="6">
        <f>ROUND(E3078-E3077,2)</f>
        <v/>
      </c>
      <c r="G3078" s="6">
        <f>ROUND(F3078-D3078,2)</f>
        <v/>
      </c>
    </row>
    <row r="3079">
      <c r="A3079" t="inlineStr">
        <is>
          <t>2022-08-19</t>
        </is>
      </c>
      <c r="B3079" t="n">
        <v>15</v>
      </c>
      <c r="C3079" t="n">
        <v>3036</v>
      </c>
      <c r="D3079" s="6" t="n">
        <v>58.6</v>
      </c>
      <c r="E3079" s="6" t="n">
        <v>1194040.48</v>
      </c>
      <c r="F3079" s="6">
        <f>ROUND(E3079-E3078,2)</f>
        <v/>
      </c>
      <c r="G3079" s="6">
        <f>ROUND(F3079-D3079,2)</f>
        <v/>
      </c>
    </row>
    <row r="3080">
      <c r="A3080" t="inlineStr">
        <is>
          <t>2022-08-19</t>
        </is>
      </c>
      <c r="B3080" t="n">
        <v>16</v>
      </c>
      <c r="C3080" t="n">
        <v>3036</v>
      </c>
      <c r="D3080" s="6" t="n">
        <v>117.5</v>
      </c>
      <c r="E3080" s="6" t="n">
        <v>1194157.98</v>
      </c>
      <c r="F3080" s="6">
        <f>ROUND(E3080-E3079,2)</f>
        <v/>
      </c>
      <c r="G3080" s="6">
        <f>ROUND(F3080-D3080,2)</f>
        <v/>
      </c>
    </row>
    <row r="3081">
      <c r="A3081" t="inlineStr">
        <is>
          <t>2022-08-19</t>
        </is>
      </c>
      <c r="B3081" t="n">
        <v>17</v>
      </c>
      <c r="C3081" t="n">
        <v>3036</v>
      </c>
      <c r="D3081" s="6" t="n">
        <v>105.2</v>
      </c>
      <c r="E3081" s="6" t="n">
        <v>1194263.18</v>
      </c>
      <c r="F3081" s="6">
        <f>ROUND(E3081-E3080,2)</f>
        <v/>
      </c>
      <c r="G3081" s="6">
        <f>ROUND(F3081-D3081,2)</f>
        <v/>
      </c>
    </row>
    <row r="3082">
      <c r="A3082" t="inlineStr">
        <is>
          <t>2022-08-19</t>
        </is>
      </c>
      <c r="B3082" t="n">
        <v>18</v>
      </c>
      <c r="C3082" t="n">
        <v>3036</v>
      </c>
      <c r="D3082" s="6" t="n">
        <v>98</v>
      </c>
      <c r="E3082" s="6" t="n">
        <v>1194361.18</v>
      </c>
      <c r="F3082" s="6">
        <f>ROUND(E3082-E3081,2)</f>
        <v/>
      </c>
      <c r="G3082" s="6">
        <f>ROUND(F3082-D3082,2)</f>
        <v/>
      </c>
    </row>
    <row r="3083">
      <c r="A3083" t="inlineStr">
        <is>
          <t>2022-08-19</t>
        </is>
      </c>
      <c r="B3083" t="n">
        <v>19</v>
      </c>
      <c r="C3083" t="n">
        <v>3036</v>
      </c>
      <c r="D3083" s="6" t="n">
        <v>84</v>
      </c>
      <c r="E3083" s="6" t="n">
        <v>1194445.18</v>
      </c>
      <c r="F3083" s="6">
        <f>ROUND(E3083-E3082,2)</f>
        <v/>
      </c>
      <c r="G3083" s="6">
        <f>ROUND(F3083-D3083,2)</f>
        <v/>
      </c>
    </row>
    <row r="3084">
      <c r="A3084" t="inlineStr">
        <is>
          <t>2022-08-19</t>
        </is>
      </c>
      <c r="B3084" t="n">
        <v>20</v>
      </c>
      <c r="C3084" t="n">
        <v>3036</v>
      </c>
      <c r="D3084" s="6" t="n">
        <v>56.3</v>
      </c>
      <c r="E3084" s="6" t="n">
        <v>1194501.48</v>
      </c>
      <c r="F3084" s="6">
        <f>ROUND(E3084-E3083,2)</f>
        <v/>
      </c>
      <c r="G3084" s="6">
        <f>ROUND(F3084-D3084,2)</f>
        <v/>
      </c>
    </row>
    <row r="3085">
      <c r="A3085" t="inlineStr">
        <is>
          <t>2022-08-19</t>
        </is>
      </c>
      <c r="B3085" t="n">
        <v>21</v>
      </c>
      <c r="C3085" t="n">
        <v>3036</v>
      </c>
      <c r="D3085" s="6" t="n">
        <v>54.2</v>
      </c>
      <c r="E3085" s="6" t="n">
        <v>1194555.68</v>
      </c>
      <c r="F3085" s="6">
        <f>ROUND(E3085-E3084,2)</f>
        <v/>
      </c>
      <c r="G3085" s="6">
        <f>ROUND(F3085-D3085,2)</f>
        <v/>
      </c>
    </row>
    <row r="3086">
      <c r="A3086" t="inlineStr">
        <is>
          <t>2022-08-19</t>
        </is>
      </c>
      <c r="B3086" t="n">
        <v>22</v>
      </c>
      <c r="C3086" t="n">
        <v>3036</v>
      </c>
      <c r="D3086" s="6" t="n">
        <v>96.3</v>
      </c>
      <c r="E3086" s="6" t="n">
        <v>1194651.98</v>
      </c>
      <c r="F3086" s="6">
        <f>ROUND(E3086-E3085,2)</f>
        <v/>
      </c>
      <c r="G3086" s="6">
        <f>ROUND(F3086-D3086,2)</f>
        <v/>
      </c>
    </row>
    <row r="3087">
      <c r="A3087" t="inlineStr">
        <is>
          <t>2022-08-19</t>
        </is>
      </c>
      <c r="B3087" t="n">
        <v>23</v>
      </c>
      <c r="C3087" t="n">
        <v>3036</v>
      </c>
      <c r="D3087" s="6" t="n">
        <v>29.7</v>
      </c>
      <c r="E3087" s="6" t="n">
        <v>1194681.68</v>
      </c>
      <c r="F3087" s="6">
        <f>ROUND(E3087-E3086,2)</f>
        <v/>
      </c>
      <c r="G3087" s="6">
        <f>ROUND(F3087-D3087,2)</f>
        <v/>
      </c>
    </row>
    <row r="3088">
      <c r="A3088" t="inlineStr">
        <is>
          <t>2022-08-19</t>
        </is>
      </c>
      <c r="B3088" t="n">
        <v>24</v>
      </c>
      <c r="C3088" t="n">
        <v>3036</v>
      </c>
      <c r="D3088" s="6" t="n">
        <v>58.8</v>
      </c>
      <c r="E3088" s="6" t="n">
        <v>1194740.48</v>
      </c>
      <c r="F3088" s="6">
        <f>ROUND(E3088-E3087,2)</f>
        <v/>
      </c>
      <c r="G3088" s="6">
        <f>ROUND(F3088-D3088,2)</f>
        <v/>
      </c>
    </row>
    <row r="3089">
      <c r="A3089" t="inlineStr">
        <is>
          <t>2022-08-19</t>
        </is>
      </c>
      <c r="B3089" t="n">
        <v>25</v>
      </c>
      <c r="C3089" t="n">
        <v>3036</v>
      </c>
      <c r="D3089" s="6" t="n">
        <v>54.9</v>
      </c>
      <c r="E3089" s="6" t="n">
        <v>1194795.38</v>
      </c>
      <c r="F3089" s="6">
        <f>ROUND(E3089-E3088,2)</f>
        <v/>
      </c>
      <c r="G3089" s="6">
        <f>ROUND(F3089-D3089,2)</f>
        <v/>
      </c>
    </row>
    <row r="3090">
      <c r="A3090" t="inlineStr">
        <is>
          <t>2022-08-19</t>
        </is>
      </c>
      <c r="B3090" t="n">
        <v>26</v>
      </c>
      <c r="C3090" t="n">
        <v>3036</v>
      </c>
      <c r="D3090" s="6" t="n">
        <v>59.6</v>
      </c>
      <c r="E3090" s="6" t="n">
        <v>1194854.98</v>
      </c>
      <c r="F3090" s="6">
        <f>ROUND(E3090-E3089,2)</f>
        <v/>
      </c>
      <c r="G3090" s="6">
        <f>ROUND(F3090-D3090,2)</f>
        <v/>
      </c>
    </row>
    <row r="3091">
      <c r="A3091" t="inlineStr">
        <is>
          <t>2022-08-19</t>
        </is>
      </c>
      <c r="B3091" t="n">
        <v>27</v>
      </c>
      <c r="C3091" t="n">
        <v>3036</v>
      </c>
      <c r="D3091" s="6" t="n">
        <v>100.6</v>
      </c>
      <c r="E3091" s="6" t="n">
        <v>1194955.58</v>
      </c>
      <c r="F3091" s="6">
        <f>ROUND(E3091-E3090,2)</f>
        <v/>
      </c>
      <c r="G3091" s="6">
        <f>ROUND(F3091-D3091,2)</f>
        <v/>
      </c>
    </row>
    <row r="3092">
      <c r="A3092" t="inlineStr">
        <is>
          <t>2022-08-19</t>
        </is>
      </c>
      <c r="B3092" t="n">
        <v>28</v>
      </c>
      <c r="C3092" t="n">
        <v>3036</v>
      </c>
      <c r="D3092" s="6" t="n">
        <v>73.3</v>
      </c>
      <c r="E3092" s="6" t="n">
        <v>1195028.88</v>
      </c>
      <c r="F3092" s="6">
        <f>ROUND(E3092-E3091,2)</f>
        <v/>
      </c>
      <c r="G3092" s="6">
        <f>ROUND(F3092-D3092,2)</f>
        <v/>
      </c>
    </row>
    <row r="3093">
      <c r="A3093" t="inlineStr">
        <is>
          <t>2022-08-19</t>
        </is>
      </c>
      <c r="B3093" t="n">
        <v>29</v>
      </c>
      <c r="C3093" t="n">
        <v>3036</v>
      </c>
      <c r="D3093" s="6" t="n">
        <v>95.5</v>
      </c>
      <c r="E3093" s="6" t="n">
        <v>1195124.38</v>
      </c>
      <c r="F3093" s="6">
        <f>ROUND(E3093-E3092,2)</f>
        <v/>
      </c>
      <c r="G3093" s="6">
        <f>ROUND(F3093-D3093,2)</f>
        <v/>
      </c>
    </row>
    <row r="3094">
      <c r="A3094" t="inlineStr">
        <is>
          <t>2022-08-19</t>
        </is>
      </c>
      <c r="B3094" t="n">
        <v>30</v>
      </c>
      <c r="C3094" t="n">
        <v>3036</v>
      </c>
      <c r="D3094" s="6" t="n">
        <v>93.90000000000001</v>
      </c>
      <c r="E3094" s="6" t="n">
        <v>1195218.28</v>
      </c>
      <c r="F3094" s="6">
        <f>ROUND(E3094-E3093,2)</f>
        <v/>
      </c>
      <c r="G3094" s="6">
        <f>ROUND(F3094-D3094,2)</f>
        <v/>
      </c>
    </row>
    <row r="3095">
      <c r="A3095" t="inlineStr">
        <is>
          <t>2022-08-19</t>
        </is>
      </c>
      <c r="B3095" t="n">
        <v>31</v>
      </c>
      <c r="C3095" t="n">
        <v>3036</v>
      </c>
      <c r="D3095" s="6" t="n">
        <v>89.3</v>
      </c>
      <c r="E3095" s="6" t="n">
        <v>1195307.58</v>
      </c>
      <c r="F3095" s="6">
        <f>ROUND(E3095-E3094,2)</f>
        <v/>
      </c>
      <c r="G3095" s="6">
        <f>ROUND(F3095-D3095,2)</f>
        <v/>
      </c>
    </row>
    <row r="3096">
      <c r="A3096" t="inlineStr">
        <is>
          <t>2022-08-19</t>
        </is>
      </c>
      <c r="B3096" t="n">
        <v>32</v>
      </c>
      <c r="C3096" t="n">
        <v>3036</v>
      </c>
      <c r="D3096" s="6" t="n">
        <v>63.2</v>
      </c>
      <c r="E3096" s="6" t="n">
        <v>1195370.78</v>
      </c>
      <c r="F3096" s="6">
        <f>ROUND(E3096-E3095,2)</f>
        <v/>
      </c>
      <c r="G3096" s="6">
        <f>ROUND(F3096-D3096,2)</f>
        <v/>
      </c>
    </row>
    <row r="3097">
      <c r="A3097" t="inlineStr">
        <is>
          <t>2022-08-19</t>
        </is>
      </c>
      <c r="B3097" t="n">
        <v>33</v>
      </c>
      <c r="C3097" t="n">
        <v>3036</v>
      </c>
      <c r="D3097" s="6" t="n">
        <v>261</v>
      </c>
      <c r="E3097" s="6" t="n">
        <v>1195631.78</v>
      </c>
      <c r="F3097" s="6">
        <f>ROUND(E3097-E3096,2)</f>
        <v/>
      </c>
      <c r="G3097" s="6">
        <f>ROUND(F3097-D3097,2)</f>
        <v/>
      </c>
    </row>
    <row r="3098">
      <c r="A3098" t="inlineStr">
        <is>
          <t>2022-08-19</t>
        </is>
      </c>
      <c r="B3098" t="n">
        <v>34</v>
      </c>
      <c r="C3098" t="n">
        <v>3036</v>
      </c>
      <c r="D3098" s="6" t="n">
        <v>50.9</v>
      </c>
      <c r="E3098" s="6" t="n">
        <v>1195682.68</v>
      </c>
      <c r="F3098" s="6">
        <f>ROUND(E3098-E3097,2)</f>
        <v/>
      </c>
      <c r="G3098" s="6">
        <f>ROUND(F3098-D3098,2)</f>
        <v/>
      </c>
    </row>
    <row r="3099">
      <c r="A3099" t="inlineStr">
        <is>
          <t>2022-08-19</t>
        </is>
      </c>
      <c r="B3099" t="n">
        <v>35</v>
      </c>
      <c r="C3099" t="n">
        <v>3036</v>
      </c>
      <c r="D3099" s="6" t="n">
        <v>74.09999999999999</v>
      </c>
      <c r="E3099" s="6" t="n">
        <v>1195756.78</v>
      </c>
      <c r="F3099" s="6">
        <f>ROUND(E3099-E3098,2)</f>
        <v/>
      </c>
      <c r="G3099" s="6">
        <f>ROUND(F3099-D3099,2)</f>
        <v/>
      </c>
    </row>
    <row r="3100">
      <c r="A3100" t="inlineStr">
        <is>
          <t>2022-08-19</t>
        </is>
      </c>
      <c r="B3100" t="n">
        <v>36</v>
      </c>
      <c r="C3100" t="n">
        <v>3036</v>
      </c>
      <c r="D3100" s="6" t="n">
        <v>127.8</v>
      </c>
      <c r="E3100" s="6" t="n">
        <v>1195884.58</v>
      </c>
      <c r="F3100" s="6">
        <f>ROUND(E3100-E3099,2)</f>
        <v/>
      </c>
      <c r="G3100" s="6">
        <f>ROUND(F3100-D3100,2)</f>
        <v/>
      </c>
    </row>
    <row r="3101">
      <c r="A3101" t="inlineStr">
        <is>
          <t>2022-08-20</t>
        </is>
      </c>
      <c r="B3101" t="n">
        <v>1</v>
      </c>
      <c r="C3101" t="n">
        <v>3037</v>
      </c>
      <c r="D3101" s="6" t="n">
        <v>45.6</v>
      </c>
      <c r="E3101" s="6" t="n">
        <v>1195930.18</v>
      </c>
      <c r="F3101" s="6">
        <f>ROUND(E3101-E3100,2)</f>
        <v/>
      </c>
      <c r="G3101" s="6">
        <f>ROUND(F3101-D3101,2)</f>
        <v/>
      </c>
    </row>
    <row r="3102">
      <c r="A3102" t="inlineStr">
        <is>
          <t>2022-08-20</t>
        </is>
      </c>
      <c r="B3102" t="n">
        <v>2</v>
      </c>
      <c r="C3102" t="n">
        <v>3037</v>
      </c>
      <c r="D3102" s="6" t="n">
        <v>59.1</v>
      </c>
      <c r="E3102" s="6" t="n">
        <v>1195989.28</v>
      </c>
      <c r="F3102" s="6">
        <f>ROUND(E3102-E3101,2)</f>
        <v/>
      </c>
      <c r="G3102" s="6">
        <f>ROUND(F3102-D3102,2)</f>
        <v/>
      </c>
    </row>
    <row r="3103">
      <c r="A3103" t="inlineStr">
        <is>
          <t>2022-08-20</t>
        </is>
      </c>
      <c r="B3103" t="n">
        <v>3</v>
      </c>
      <c r="C3103" t="n">
        <v>3037</v>
      </c>
      <c r="D3103" s="6" t="n">
        <v>46.8</v>
      </c>
      <c r="E3103" s="6" t="n">
        <v>1196036.08</v>
      </c>
      <c r="F3103" s="6">
        <f>ROUND(E3103-E3102,2)</f>
        <v/>
      </c>
      <c r="G3103" s="6">
        <f>ROUND(F3103-D3103,2)</f>
        <v/>
      </c>
    </row>
    <row r="3104">
      <c r="A3104" t="inlineStr">
        <is>
          <t>2022-08-20</t>
        </is>
      </c>
      <c r="B3104" t="n">
        <v>4</v>
      </c>
      <c r="C3104" t="n">
        <v>3037</v>
      </c>
      <c r="D3104" s="6" t="n">
        <v>85.5</v>
      </c>
      <c r="E3104" s="6" t="n">
        <v>1196121.58</v>
      </c>
      <c r="F3104" s="6">
        <f>ROUND(E3104-E3103,2)</f>
        <v/>
      </c>
      <c r="G3104" s="6">
        <f>ROUND(F3104-D3104,2)</f>
        <v/>
      </c>
    </row>
    <row r="3105">
      <c r="A3105" t="inlineStr">
        <is>
          <t>2022-08-20</t>
        </is>
      </c>
      <c r="B3105" t="n">
        <v>5</v>
      </c>
      <c r="C3105" t="n">
        <v>3037</v>
      </c>
      <c r="D3105" s="6" t="n">
        <v>95</v>
      </c>
      <c r="E3105" s="6" t="n">
        <v>1196216.58</v>
      </c>
      <c r="F3105" s="6">
        <f>ROUND(E3105-E3104,2)</f>
        <v/>
      </c>
      <c r="G3105" s="6">
        <f>ROUND(F3105-D3105,2)</f>
        <v/>
      </c>
    </row>
    <row r="3106">
      <c r="A3106" t="inlineStr">
        <is>
          <t>2022-08-20</t>
        </is>
      </c>
      <c r="B3106" t="n">
        <v>6</v>
      </c>
      <c r="C3106" t="n">
        <v>3037</v>
      </c>
      <c r="D3106" s="6" t="n">
        <v>83.5</v>
      </c>
      <c r="E3106" s="6" t="n">
        <v>1196300.08</v>
      </c>
      <c r="F3106" s="6">
        <f>ROUND(E3106-E3105,2)</f>
        <v/>
      </c>
      <c r="G3106" s="6">
        <f>ROUND(F3106-D3106,2)</f>
        <v/>
      </c>
    </row>
    <row r="3107">
      <c r="A3107" t="inlineStr">
        <is>
          <t>2022-08-20</t>
        </is>
      </c>
      <c r="B3107" t="n">
        <v>7</v>
      </c>
      <c r="C3107" t="n">
        <v>3037</v>
      </c>
      <c r="D3107" s="6" t="n">
        <v>64.59999999999999</v>
      </c>
      <c r="E3107" s="6" t="n">
        <v>1196364.68</v>
      </c>
      <c r="F3107" s="6">
        <f>ROUND(E3107-E3106,2)</f>
        <v/>
      </c>
      <c r="G3107" s="6">
        <f>ROUND(F3107-D3107,2)</f>
        <v/>
      </c>
    </row>
    <row r="3108">
      <c r="A3108" t="inlineStr">
        <is>
          <t>2022-08-20</t>
        </is>
      </c>
      <c r="B3108" t="n">
        <v>8</v>
      </c>
      <c r="C3108" t="n">
        <v>3037</v>
      </c>
      <c r="D3108" s="6" t="n">
        <v>67.59999999999999</v>
      </c>
      <c r="E3108" s="6" t="n">
        <v>1196432.28</v>
      </c>
      <c r="F3108" s="6">
        <f>ROUND(E3108-E3107,2)</f>
        <v/>
      </c>
      <c r="G3108" s="6">
        <f>ROUND(F3108-D3108,2)</f>
        <v/>
      </c>
    </row>
    <row r="3109">
      <c r="A3109" t="inlineStr">
        <is>
          <t>2022-08-20</t>
        </is>
      </c>
      <c r="B3109" t="n">
        <v>9</v>
      </c>
      <c r="C3109" t="n">
        <v>3037</v>
      </c>
      <c r="D3109" s="6" t="n">
        <v>43.1</v>
      </c>
      <c r="E3109" s="6" t="n">
        <v>1196475.38</v>
      </c>
      <c r="F3109" s="6">
        <f>ROUND(E3109-E3108,2)</f>
        <v/>
      </c>
      <c r="G3109" s="6">
        <f>ROUND(F3109-D3109,2)</f>
        <v/>
      </c>
    </row>
    <row r="3110">
      <c r="A3110" t="inlineStr">
        <is>
          <t>2022-08-20</t>
        </is>
      </c>
      <c r="B3110" t="n">
        <v>10</v>
      </c>
      <c r="C3110" t="n">
        <v>3037</v>
      </c>
      <c r="D3110" s="6" t="n">
        <v>55.9</v>
      </c>
      <c r="E3110" s="6" t="n">
        <v>1196531.28</v>
      </c>
      <c r="F3110" s="6">
        <f>ROUND(E3110-E3109,2)</f>
        <v/>
      </c>
      <c r="G3110" s="6">
        <f>ROUND(F3110-D3110,2)</f>
        <v/>
      </c>
    </row>
    <row r="3111">
      <c r="A3111" t="inlineStr">
        <is>
          <t>2022-08-20</t>
        </is>
      </c>
      <c r="B3111" t="n">
        <v>11</v>
      </c>
      <c r="C3111" t="n">
        <v>3037</v>
      </c>
      <c r="D3111" s="6" t="n">
        <v>194.6</v>
      </c>
      <c r="E3111" s="6" t="n">
        <v>1196725.88</v>
      </c>
      <c r="F3111" s="6">
        <f>ROUND(E3111-E3110,2)</f>
        <v/>
      </c>
      <c r="G3111" s="6">
        <f>ROUND(F3111-D3111,2)</f>
        <v/>
      </c>
    </row>
    <row r="3112">
      <c r="A3112" t="inlineStr">
        <is>
          <t>2022-08-20</t>
        </is>
      </c>
      <c r="B3112" t="n">
        <v>12</v>
      </c>
      <c r="C3112" t="n">
        <v>3037</v>
      </c>
      <c r="D3112" s="6" t="n">
        <v>97.59999999999999</v>
      </c>
      <c r="E3112" s="6" t="n">
        <v>1196823.48</v>
      </c>
      <c r="F3112" s="6">
        <f>ROUND(E3112-E3111,2)</f>
        <v/>
      </c>
      <c r="G3112" s="6">
        <f>ROUND(F3112-D3112,2)</f>
        <v/>
      </c>
    </row>
    <row r="3113">
      <c r="A3113" t="inlineStr">
        <is>
          <t>2022-08-20</t>
        </is>
      </c>
      <c r="B3113" t="n">
        <v>13</v>
      </c>
      <c r="C3113" t="n">
        <v>3037</v>
      </c>
      <c r="D3113" s="6" t="n">
        <v>114.8</v>
      </c>
      <c r="E3113" s="6" t="n">
        <v>1196938.28</v>
      </c>
      <c r="F3113" s="6">
        <f>ROUND(E3113-E3112,2)</f>
        <v/>
      </c>
      <c r="G3113" s="6">
        <f>ROUND(F3113-D3113,2)</f>
        <v/>
      </c>
    </row>
    <row r="3114">
      <c r="A3114" t="inlineStr">
        <is>
          <t>2022-08-20</t>
        </is>
      </c>
      <c r="B3114" t="n">
        <v>14</v>
      </c>
      <c r="C3114" t="n">
        <v>3037</v>
      </c>
      <c r="D3114" s="6" t="n">
        <v>56.5</v>
      </c>
      <c r="E3114" s="6" t="n">
        <v>1196994.78</v>
      </c>
      <c r="F3114" s="6">
        <f>ROUND(E3114-E3113,2)</f>
        <v/>
      </c>
      <c r="G3114" s="6">
        <f>ROUND(F3114-D3114,2)</f>
        <v/>
      </c>
    </row>
    <row r="3115">
      <c r="A3115" t="inlineStr">
        <is>
          <t>2022-08-20</t>
        </is>
      </c>
      <c r="B3115" t="n">
        <v>15</v>
      </c>
      <c r="C3115" t="n">
        <v>3037</v>
      </c>
      <c r="D3115" s="6" t="n">
        <v>53.5</v>
      </c>
      <c r="E3115" s="6" t="n">
        <v>1197048.28</v>
      </c>
      <c r="F3115" s="6">
        <f>ROUND(E3115-E3114,2)</f>
        <v/>
      </c>
      <c r="G3115" s="6">
        <f>ROUND(F3115-D3115,2)</f>
        <v/>
      </c>
    </row>
    <row r="3116">
      <c r="A3116" t="inlineStr">
        <is>
          <t>2022-08-20</t>
        </is>
      </c>
      <c r="B3116" t="n">
        <v>16</v>
      </c>
      <c r="C3116" t="n">
        <v>3037</v>
      </c>
      <c r="D3116" s="6" t="n">
        <v>53.5</v>
      </c>
      <c r="E3116" s="6" t="n">
        <v>1197101.78</v>
      </c>
      <c r="F3116" s="6">
        <f>ROUND(E3116-E3115,2)</f>
        <v/>
      </c>
      <c r="G3116" s="6">
        <f>ROUND(F3116-D3116,2)</f>
        <v/>
      </c>
    </row>
    <row r="3117">
      <c r="A3117" t="inlineStr">
        <is>
          <t>2022-08-20</t>
        </is>
      </c>
      <c r="B3117" t="n">
        <v>17</v>
      </c>
      <c r="C3117" t="n">
        <v>3037</v>
      </c>
      <c r="D3117" s="6" t="n">
        <v>96.40000000000001</v>
      </c>
      <c r="E3117" s="6" t="n">
        <v>1197198.18</v>
      </c>
      <c r="F3117" s="6">
        <f>ROUND(E3117-E3116,2)</f>
        <v/>
      </c>
      <c r="G3117" s="6">
        <f>ROUND(F3117-D3117,2)</f>
        <v/>
      </c>
    </row>
    <row r="3118">
      <c r="A3118" t="inlineStr">
        <is>
          <t>2022-08-20</t>
        </is>
      </c>
      <c r="B3118" t="n">
        <v>18</v>
      </c>
      <c r="C3118" t="n">
        <v>3037</v>
      </c>
      <c r="D3118" s="6" t="n">
        <v>95.40000000000001</v>
      </c>
      <c r="E3118" s="6" t="n">
        <v>1197293.58</v>
      </c>
      <c r="F3118" s="6">
        <f>ROUND(E3118-E3117,2)</f>
        <v/>
      </c>
      <c r="G3118" s="6">
        <f>ROUND(F3118-D3118,2)</f>
        <v/>
      </c>
    </row>
    <row r="3119">
      <c r="A3119" t="inlineStr">
        <is>
          <t>2022-08-20</t>
        </is>
      </c>
      <c r="B3119" t="n">
        <v>19</v>
      </c>
      <c r="C3119" t="n">
        <v>3037</v>
      </c>
      <c r="D3119" s="6" t="n">
        <v>103.5</v>
      </c>
      <c r="E3119" s="6" t="n">
        <v>1197397.08</v>
      </c>
      <c r="F3119" s="6">
        <f>ROUND(E3119-E3118,2)</f>
        <v/>
      </c>
      <c r="G3119" s="6">
        <f>ROUND(F3119-D3119,2)</f>
        <v/>
      </c>
    </row>
    <row r="3120">
      <c r="A3120" t="inlineStr">
        <is>
          <t>2022-08-20</t>
        </is>
      </c>
      <c r="B3120" t="n">
        <v>20</v>
      </c>
      <c r="C3120" t="n">
        <v>3037</v>
      </c>
      <c r="D3120" s="6" t="n">
        <v>103.9</v>
      </c>
      <c r="E3120" s="6" t="n">
        <v>1197500.98</v>
      </c>
      <c r="F3120" s="6">
        <f>ROUND(E3120-E3119,2)</f>
        <v/>
      </c>
      <c r="G3120" s="6">
        <f>ROUND(F3120-D3120,2)</f>
        <v/>
      </c>
    </row>
    <row r="3121">
      <c r="A3121" t="inlineStr">
        <is>
          <t>2022-08-20</t>
        </is>
      </c>
      <c r="B3121" t="n">
        <v>21</v>
      </c>
      <c r="C3121" t="n">
        <v>3037</v>
      </c>
      <c r="D3121" s="6" t="n">
        <v>105.7</v>
      </c>
      <c r="E3121" s="6" t="n">
        <v>1197606.68</v>
      </c>
      <c r="F3121" s="6">
        <f>ROUND(E3121-E3120,2)</f>
        <v/>
      </c>
      <c r="G3121" s="6">
        <f>ROUND(F3121-D3121,2)</f>
        <v/>
      </c>
    </row>
    <row r="3122">
      <c r="A3122" t="inlineStr">
        <is>
          <t>2022-08-20</t>
        </is>
      </c>
      <c r="B3122" t="n">
        <v>22</v>
      </c>
      <c r="C3122" t="n">
        <v>3037</v>
      </c>
      <c r="D3122" s="6" t="n">
        <v>74.5</v>
      </c>
      <c r="E3122" s="6" t="n">
        <v>1197681.18</v>
      </c>
      <c r="F3122" s="6">
        <f>ROUND(E3122-E3121,2)</f>
        <v/>
      </c>
      <c r="G3122" s="6">
        <f>ROUND(F3122-D3122,2)</f>
        <v/>
      </c>
    </row>
    <row r="3123">
      <c r="A3123" t="inlineStr">
        <is>
          <t>2022-08-20</t>
        </is>
      </c>
      <c r="B3123" t="n">
        <v>23</v>
      </c>
      <c r="C3123" t="n">
        <v>3037</v>
      </c>
      <c r="D3123" s="6" t="n">
        <v>59.6</v>
      </c>
      <c r="E3123" s="6" t="n">
        <v>1197740.78</v>
      </c>
      <c r="F3123" s="6">
        <f>ROUND(E3123-E3122,2)</f>
        <v/>
      </c>
      <c r="G3123" s="6">
        <f>ROUND(F3123-D3123,2)</f>
        <v/>
      </c>
    </row>
    <row r="3124">
      <c r="A3124" t="inlineStr">
        <is>
          <t>2022-08-20</t>
        </is>
      </c>
      <c r="B3124" t="n">
        <v>24</v>
      </c>
      <c r="C3124" t="n">
        <v>3037</v>
      </c>
      <c r="D3124" s="6" t="n">
        <v>193.5</v>
      </c>
      <c r="E3124" s="6" t="n">
        <v>1197934.28</v>
      </c>
      <c r="F3124" s="6">
        <f>ROUND(E3124-E3123,2)</f>
        <v/>
      </c>
      <c r="G3124" s="6">
        <f>ROUND(F3124-D3124,2)</f>
        <v/>
      </c>
    </row>
    <row r="3125">
      <c r="A3125" t="inlineStr">
        <is>
          <t>2022-08-20</t>
        </is>
      </c>
      <c r="B3125" t="n">
        <v>25</v>
      </c>
      <c r="C3125" t="n">
        <v>3037</v>
      </c>
      <c r="D3125" s="6" t="n">
        <v>39.6</v>
      </c>
      <c r="E3125" s="6" t="n">
        <v>1197973.88</v>
      </c>
      <c r="F3125" s="6">
        <f>ROUND(E3125-E3124,2)</f>
        <v/>
      </c>
      <c r="G3125" s="6">
        <f>ROUND(F3125-D3125,2)</f>
        <v/>
      </c>
    </row>
    <row r="3126">
      <c r="A3126" t="inlineStr">
        <is>
          <t>2022-08-20</t>
        </is>
      </c>
      <c r="B3126" t="n">
        <v>26</v>
      </c>
      <c r="C3126" t="n">
        <v>3037</v>
      </c>
      <c r="D3126" s="6" t="n">
        <v>87.34999999999999</v>
      </c>
      <c r="E3126" s="6" t="n">
        <v>1198061.23</v>
      </c>
      <c r="F3126" s="6">
        <f>ROUND(E3126-E3125,2)</f>
        <v/>
      </c>
      <c r="G3126" s="6">
        <f>ROUND(F3126-D3126,2)</f>
        <v/>
      </c>
    </row>
    <row r="3127">
      <c r="A3127" t="inlineStr">
        <is>
          <t>2022-08-20</t>
        </is>
      </c>
      <c r="B3127" t="n">
        <v>27</v>
      </c>
      <c r="C3127" t="n">
        <v>3037</v>
      </c>
      <c r="D3127" s="6" t="n">
        <v>87.34999999999999</v>
      </c>
      <c r="E3127" s="6" t="n">
        <v>1198148.58</v>
      </c>
      <c r="F3127" s="6">
        <f>ROUND(E3127-E3126,2)</f>
        <v/>
      </c>
      <c r="G3127" s="6">
        <f>ROUND(F3127-D3127,2)</f>
        <v/>
      </c>
    </row>
    <row r="3128">
      <c r="A3128" t="inlineStr">
        <is>
          <t>2022-08-20</t>
        </is>
      </c>
      <c r="B3128" t="n">
        <v>28</v>
      </c>
      <c r="C3128" t="n">
        <v>3037</v>
      </c>
      <c r="D3128" s="6" t="n">
        <v>64</v>
      </c>
      <c r="E3128" s="6" t="n">
        <v>1198212.58</v>
      </c>
      <c r="F3128" s="6">
        <f>ROUND(E3128-E3127,2)</f>
        <v/>
      </c>
      <c r="G3128" s="6">
        <f>ROUND(F3128-D3128,2)</f>
        <v/>
      </c>
    </row>
    <row r="3129">
      <c r="A3129" t="inlineStr">
        <is>
          <t>2022-08-20</t>
        </is>
      </c>
      <c r="B3129" t="n">
        <v>29</v>
      </c>
      <c r="C3129" t="n">
        <v>3037</v>
      </c>
      <c r="D3129" s="6" t="n">
        <v>64</v>
      </c>
      <c r="E3129" s="6" t="n">
        <v>1198276.58</v>
      </c>
      <c r="F3129" s="6">
        <f>ROUND(E3129-E3128,2)</f>
        <v/>
      </c>
      <c r="G3129" s="6">
        <f>ROUND(F3129-D3129,2)</f>
        <v/>
      </c>
    </row>
    <row r="3130">
      <c r="A3130" t="inlineStr">
        <is>
          <t>2022-08-20</t>
        </is>
      </c>
      <c r="B3130" t="n">
        <v>30</v>
      </c>
      <c r="C3130" t="n">
        <v>3037</v>
      </c>
      <c r="D3130" s="6" t="n">
        <v>37.4</v>
      </c>
      <c r="E3130" s="6" t="n">
        <v>1198313.98</v>
      </c>
      <c r="F3130" s="6">
        <f>ROUND(E3130-E3129,2)</f>
        <v/>
      </c>
      <c r="G3130" s="6">
        <f>ROUND(F3130-D3130,2)</f>
        <v/>
      </c>
    </row>
    <row r="3131">
      <c r="A3131" t="inlineStr">
        <is>
          <t>2022-08-20</t>
        </is>
      </c>
      <c r="B3131" t="n">
        <v>31</v>
      </c>
      <c r="C3131" t="n">
        <v>3037</v>
      </c>
      <c r="D3131" s="6" t="n">
        <v>37.4</v>
      </c>
      <c r="E3131" s="6" t="n">
        <v>1198351.38</v>
      </c>
      <c r="F3131" s="6">
        <f>ROUND(E3131-E3130,2)</f>
        <v/>
      </c>
      <c r="G3131" s="6">
        <f>ROUND(F3131-D3131,2)</f>
        <v/>
      </c>
    </row>
    <row r="3132">
      <c r="A3132" t="inlineStr">
        <is>
          <t>2022-08-20</t>
        </is>
      </c>
      <c r="B3132" t="n">
        <v>32</v>
      </c>
      <c r="C3132" t="n">
        <v>3037</v>
      </c>
      <c r="D3132" s="6" t="n">
        <v>42.9</v>
      </c>
      <c r="E3132" s="6" t="n">
        <v>1198394.28</v>
      </c>
      <c r="F3132" s="6">
        <f>ROUND(E3132-E3131,2)</f>
        <v/>
      </c>
      <c r="G3132" s="6">
        <f>ROUND(F3132-D3132,2)</f>
        <v/>
      </c>
    </row>
    <row r="3133">
      <c r="A3133" t="inlineStr">
        <is>
          <t>2022-08-20</t>
        </is>
      </c>
      <c r="B3133" t="n">
        <v>33</v>
      </c>
      <c r="C3133" t="n">
        <v>3037</v>
      </c>
      <c r="D3133" s="6" t="n">
        <v>228.6</v>
      </c>
      <c r="E3133" s="6" t="n">
        <v>1198622.88</v>
      </c>
      <c r="F3133" s="6">
        <f>ROUND(E3133-E3132,2)</f>
        <v/>
      </c>
      <c r="G3133" s="6">
        <f>ROUND(F3133-D3133,2)</f>
        <v/>
      </c>
    </row>
    <row r="3134">
      <c r="A3134" t="inlineStr">
        <is>
          <t>2022-08-20</t>
        </is>
      </c>
      <c r="B3134" t="n">
        <v>34</v>
      </c>
      <c r="C3134" t="n">
        <v>3037</v>
      </c>
      <c r="D3134" s="6" t="n">
        <v>72.7</v>
      </c>
      <c r="E3134" s="6" t="n">
        <v>1198695.58</v>
      </c>
      <c r="F3134" s="6">
        <f>ROUND(E3134-E3133,2)</f>
        <v/>
      </c>
      <c r="G3134" s="6">
        <f>ROUND(F3134-D3134,2)</f>
        <v/>
      </c>
    </row>
    <row r="3135">
      <c r="A3135" t="inlineStr">
        <is>
          <t>2022-08-21</t>
        </is>
      </c>
      <c r="B3135" t="n">
        <v>1</v>
      </c>
      <c r="C3135" t="n">
        <v>3038</v>
      </c>
      <c r="D3135" s="6" t="n">
        <v>48.7</v>
      </c>
      <c r="E3135" s="6" t="n">
        <v>1198744.28</v>
      </c>
      <c r="F3135" s="6">
        <f>ROUND(E3135-E3134,2)</f>
        <v/>
      </c>
      <c r="G3135" s="6">
        <f>ROUND(F3135-D3135,2)</f>
        <v/>
      </c>
    </row>
    <row r="3136">
      <c r="A3136" t="inlineStr">
        <is>
          <t>2022-08-21</t>
        </is>
      </c>
      <c r="B3136" t="n">
        <v>2</v>
      </c>
      <c r="C3136" t="n">
        <v>3038</v>
      </c>
      <c r="D3136" s="6" t="n">
        <v>71.2</v>
      </c>
      <c r="E3136" s="6" t="n">
        <v>1198815.48</v>
      </c>
      <c r="F3136" s="6">
        <f>ROUND(E3136-E3135,2)</f>
        <v/>
      </c>
      <c r="G3136" s="6">
        <f>ROUND(F3136-D3136,2)</f>
        <v/>
      </c>
    </row>
    <row r="3137">
      <c r="A3137" t="inlineStr">
        <is>
          <t>2022-08-21</t>
        </is>
      </c>
      <c r="B3137" t="n">
        <v>3</v>
      </c>
      <c r="C3137" t="n">
        <v>3038</v>
      </c>
      <c r="D3137" s="6" t="n">
        <v>61.2</v>
      </c>
      <c r="E3137" s="6" t="n">
        <v>1198876.68</v>
      </c>
      <c r="F3137" s="6">
        <f>ROUND(E3137-E3136,2)</f>
        <v/>
      </c>
      <c r="G3137" s="6">
        <f>ROUND(F3137-D3137,2)</f>
        <v/>
      </c>
    </row>
    <row r="3138">
      <c r="A3138" t="inlineStr">
        <is>
          <t>2022-08-21</t>
        </is>
      </c>
      <c r="B3138" t="n">
        <v>4</v>
      </c>
      <c r="C3138" t="n">
        <v>3038</v>
      </c>
      <c r="D3138" s="6" t="n">
        <v>71.09999999999999</v>
      </c>
      <c r="E3138" s="6" t="n">
        <v>1198947.78</v>
      </c>
      <c r="F3138" s="6">
        <f>ROUND(E3138-E3137,2)</f>
        <v/>
      </c>
      <c r="G3138" s="6">
        <f>ROUND(F3138-D3138,2)</f>
        <v/>
      </c>
    </row>
    <row r="3139">
      <c r="A3139" t="inlineStr">
        <is>
          <t>2022-08-21</t>
        </is>
      </c>
      <c r="B3139" t="n">
        <v>5</v>
      </c>
      <c r="C3139" t="n">
        <v>3038</v>
      </c>
      <c r="D3139" s="6" t="n">
        <v>57.6</v>
      </c>
      <c r="E3139" s="6" t="n">
        <v>1199005.38</v>
      </c>
      <c r="F3139" s="6">
        <f>ROUND(E3139-E3138,2)</f>
        <v/>
      </c>
      <c r="G3139" s="6">
        <f>ROUND(F3139-D3139,2)</f>
        <v/>
      </c>
    </row>
    <row r="3140">
      <c r="A3140" t="inlineStr">
        <is>
          <t>2022-08-21</t>
        </is>
      </c>
      <c r="B3140" t="n">
        <v>6</v>
      </c>
      <c r="C3140" t="n">
        <v>3038</v>
      </c>
      <c r="D3140" s="6" t="n">
        <v>35.2</v>
      </c>
      <c r="E3140" s="6" t="n">
        <v>1199040.58</v>
      </c>
      <c r="F3140" s="6">
        <f>ROUND(E3140-E3139,2)</f>
        <v/>
      </c>
      <c r="G3140" s="6">
        <f>ROUND(F3140-D3140,2)</f>
        <v/>
      </c>
    </row>
    <row r="3141">
      <c r="A3141" t="inlineStr">
        <is>
          <t>2022-08-21</t>
        </is>
      </c>
      <c r="B3141" t="n">
        <v>7</v>
      </c>
      <c r="C3141" t="n">
        <v>3038</v>
      </c>
      <c r="D3141" s="6" t="n">
        <v>35.2</v>
      </c>
      <c r="E3141" s="6" t="n">
        <v>1199075.78</v>
      </c>
      <c r="F3141" s="6">
        <f>ROUND(E3141-E3140,2)</f>
        <v/>
      </c>
      <c r="G3141" s="6">
        <f>ROUND(F3141-D3141,2)</f>
        <v/>
      </c>
    </row>
    <row r="3142">
      <c r="A3142" t="inlineStr">
        <is>
          <t>2022-08-21</t>
        </is>
      </c>
      <c r="B3142" t="n">
        <v>8</v>
      </c>
      <c r="C3142" t="n">
        <v>3038</v>
      </c>
      <c r="D3142" s="6" t="n">
        <v>75.2</v>
      </c>
      <c r="E3142" s="6" t="n">
        <v>1199150.98</v>
      </c>
      <c r="F3142" s="6">
        <f>ROUND(E3142-E3141,2)</f>
        <v/>
      </c>
      <c r="G3142" s="6">
        <f>ROUND(F3142-D3142,2)</f>
        <v/>
      </c>
    </row>
    <row r="3143">
      <c r="A3143" t="inlineStr">
        <is>
          <t>2022-08-21</t>
        </is>
      </c>
      <c r="B3143" t="n">
        <v>9</v>
      </c>
      <c r="C3143" t="n">
        <v>3038</v>
      </c>
      <c r="D3143" s="6" t="n">
        <v>80.8</v>
      </c>
      <c r="E3143" s="6" t="n">
        <v>1199231.78</v>
      </c>
      <c r="F3143" s="6">
        <f>ROUND(E3143-E3142,2)</f>
        <v/>
      </c>
      <c r="G3143" s="6">
        <f>ROUND(F3143-D3143,2)</f>
        <v/>
      </c>
    </row>
    <row r="3144">
      <c r="A3144" t="inlineStr">
        <is>
          <t>2022-08-21</t>
        </is>
      </c>
      <c r="B3144" t="n">
        <v>10</v>
      </c>
      <c r="C3144" t="n">
        <v>3038</v>
      </c>
      <c r="D3144" s="6" t="n">
        <v>74.90000000000001</v>
      </c>
      <c r="E3144" s="6" t="n">
        <v>1199306.68</v>
      </c>
      <c r="F3144" s="6">
        <f>ROUND(E3144-E3143,2)</f>
        <v/>
      </c>
      <c r="G3144" s="6">
        <f>ROUND(F3144-D3144,2)</f>
        <v/>
      </c>
    </row>
    <row r="3145">
      <c r="A3145" t="inlineStr">
        <is>
          <t>2022-08-21</t>
        </is>
      </c>
      <c r="B3145" t="n">
        <v>11</v>
      </c>
      <c r="C3145" t="n">
        <v>3038</v>
      </c>
      <c r="D3145" s="6" t="n">
        <v>215.4</v>
      </c>
      <c r="E3145" s="6" t="n">
        <v>1199522.08</v>
      </c>
      <c r="F3145" s="6">
        <f>ROUND(E3145-E3144,2)</f>
        <v/>
      </c>
      <c r="G3145" s="6">
        <f>ROUND(F3145-D3145,2)</f>
        <v/>
      </c>
    </row>
    <row r="3146">
      <c r="A3146" t="inlineStr">
        <is>
          <t>2022-08-21</t>
        </is>
      </c>
      <c r="B3146" t="n">
        <v>12</v>
      </c>
      <c r="C3146" t="n">
        <v>3038</v>
      </c>
      <c r="D3146" s="6" t="n">
        <v>59.4</v>
      </c>
      <c r="E3146" s="6" t="n">
        <v>1199581.48</v>
      </c>
      <c r="F3146" s="6">
        <f>ROUND(E3146-E3145,2)</f>
        <v/>
      </c>
      <c r="G3146" s="6">
        <f>ROUND(F3146-D3146,2)</f>
        <v/>
      </c>
    </row>
    <row r="3147">
      <c r="A3147" t="inlineStr">
        <is>
          <t>2022-08-21</t>
        </is>
      </c>
      <c r="B3147" t="n">
        <v>13</v>
      </c>
      <c r="C3147" t="n">
        <v>3038</v>
      </c>
      <c r="D3147" s="6" t="n">
        <v>180.6</v>
      </c>
      <c r="E3147" s="6" t="n">
        <v>1199762.08</v>
      </c>
      <c r="F3147" s="6">
        <f>ROUND(E3147-E3146,2)</f>
        <v/>
      </c>
      <c r="G3147" s="6">
        <f>ROUND(F3147-D3147,2)</f>
        <v/>
      </c>
    </row>
    <row r="3148">
      <c r="A3148" t="inlineStr">
        <is>
          <t>2022-08-21</t>
        </is>
      </c>
      <c r="B3148" t="n">
        <v>14</v>
      </c>
      <c r="C3148" t="n">
        <v>3038</v>
      </c>
      <c r="D3148" s="6" t="n">
        <v>69.40000000000001</v>
      </c>
      <c r="E3148" s="6" t="n">
        <v>1199831.48</v>
      </c>
      <c r="F3148" s="6">
        <f>ROUND(E3148-E3147,2)</f>
        <v/>
      </c>
      <c r="G3148" s="6">
        <f>ROUND(F3148-D3148,2)</f>
        <v/>
      </c>
    </row>
    <row r="3149">
      <c r="A3149" t="inlineStr">
        <is>
          <t>2022-08-21</t>
        </is>
      </c>
      <c r="B3149" t="n">
        <v>15</v>
      </c>
      <c r="C3149" t="n">
        <v>3038</v>
      </c>
      <c r="D3149" s="6" t="n">
        <v>102.5</v>
      </c>
      <c r="E3149" s="6" t="n">
        <v>1199933.98</v>
      </c>
      <c r="F3149" s="6">
        <f>ROUND(E3149-E3148,2)</f>
        <v/>
      </c>
      <c r="G3149" s="6">
        <f>ROUND(F3149-D3149,2)</f>
        <v/>
      </c>
    </row>
    <row r="3150">
      <c r="A3150" t="inlineStr">
        <is>
          <t>2022-08-21</t>
        </is>
      </c>
      <c r="B3150" t="n">
        <v>16</v>
      </c>
      <c r="C3150" t="n">
        <v>3038</v>
      </c>
      <c r="D3150" s="6" t="n">
        <v>81.7</v>
      </c>
      <c r="E3150" s="6" t="n">
        <v>1200015.68</v>
      </c>
      <c r="F3150" s="6">
        <f>ROUND(E3150-E3149,2)</f>
        <v/>
      </c>
      <c r="G3150" s="6">
        <f>ROUND(F3150-D3150,2)</f>
        <v/>
      </c>
    </row>
    <row r="3151">
      <c r="A3151" t="inlineStr">
        <is>
          <t>2022-08-21</t>
        </is>
      </c>
      <c r="B3151" t="n">
        <v>17</v>
      </c>
      <c r="C3151" t="n">
        <v>3038</v>
      </c>
      <c r="D3151" s="6" t="n">
        <v>57</v>
      </c>
      <c r="E3151" s="6" t="n">
        <v>1200072.68</v>
      </c>
      <c r="F3151" s="6">
        <f>ROUND(E3151-E3150,2)</f>
        <v/>
      </c>
      <c r="G3151" s="6">
        <f>ROUND(F3151-D3151,2)</f>
        <v/>
      </c>
    </row>
    <row r="3152">
      <c r="A3152" t="inlineStr">
        <is>
          <t>2022-08-21</t>
        </is>
      </c>
      <c r="B3152" t="n">
        <v>18</v>
      </c>
      <c r="C3152" t="n">
        <v>3038</v>
      </c>
      <c r="D3152" s="6" t="n">
        <v>66.8</v>
      </c>
      <c r="E3152" s="6" t="n">
        <v>1200139.48</v>
      </c>
      <c r="F3152" s="6">
        <f>ROUND(E3152-E3151,2)</f>
        <v/>
      </c>
      <c r="G3152" s="6">
        <f>ROUND(F3152-D3152,2)</f>
        <v/>
      </c>
    </row>
    <row r="3153">
      <c r="A3153" t="inlineStr">
        <is>
          <t>2022-08-21</t>
        </is>
      </c>
      <c r="B3153" t="n">
        <v>19</v>
      </c>
      <c r="C3153" t="n">
        <v>3038</v>
      </c>
      <c r="D3153" s="6" t="n">
        <v>68.2</v>
      </c>
      <c r="E3153" s="6" t="n">
        <v>1200207.68</v>
      </c>
      <c r="F3153" s="6">
        <f>ROUND(E3153-E3152,2)</f>
        <v/>
      </c>
      <c r="G3153" s="6">
        <f>ROUND(F3153-D3153,2)</f>
        <v/>
      </c>
    </row>
    <row r="3154">
      <c r="A3154" t="inlineStr">
        <is>
          <t>2022-08-21</t>
        </is>
      </c>
      <c r="B3154" t="n">
        <v>20</v>
      </c>
      <c r="C3154" t="n">
        <v>3038</v>
      </c>
      <c r="D3154" s="6" t="n">
        <v>83.5</v>
      </c>
      <c r="E3154" s="6" t="n">
        <v>1200291.18</v>
      </c>
      <c r="F3154" s="6">
        <f>ROUND(E3154-E3153,2)</f>
        <v/>
      </c>
      <c r="G3154" s="6">
        <f>ROUND(F3154-D3154,2)</f>
        <v/>
      </c>
    </row>
    <row r="3155">
      <c r="A3155" t="inlineStr">
        <is>
          <t>2022-08-21</t>
        </is>
      </c>
      <c r="B3155" t="n">
        <v>21</v>
      </c>
      <c r="C3155" t="n">
        <v>3038</v>
      </c>
      <c r="D3155" s="6" t="n">
        <v>54.8</v>
      </c>
      <c r="E3155" s="6" t="n">
        <v>1200345.98</v>
      </c>
      <c r="F3155" s="6">
        <f>ROUND(E3155-E3154,2)</f>
        <v/>
      </c>
      <c r="G3155" s="6">
        <f>ROUND(F3155-D3155,2)</f>
        <v/>
      </c>
    </row>
    <row r="3156">
      <c r="A3156" t="inlineStr">
        <is>
          <t>2022-08-21</t>
        </is>
      </c>
      <c r="B3156" t="n">
        <v>22</v>
      </c>
      <c r="C3156" t="n">
        <v>3038</v>
      </c>
      <c r="D3156" s="6" t="n">
        <v>45</v>
      </c>
      <c r="E3156" s="6" t="n">
        <v>1200390.98</v>
      </c>
      <c r="F3156" s="6">
        <f>ROUND(E3156-E3155,2)</f>
        <v/>
      </c>
      <c r="G3156" s="6">
        <f>ROUND(F3156-D3156,2)</f>
        <v/>
      </c>
    </row>
    <row r="3157">
      <c r="A3157" t="inlineStr">
        <is>
          <t>2022-08-21</t>
        </is>
      </c>
      <c r="B3157" t="n">
        <v>23</v>
      </c>
      <c r="C3157" t="n">
        <v>3038</v>
      </c>
      <c r="D3157" s="6" t="n">
        <v>95.90000000000001</v>
      </c>
      <c r="E3157" s="6" t="n">
        <v>1200486.88</v>
      </c>
      <c r="F3157" s="6">
        <f>ROUND(E3157-E3156,2)</f>
        <v/>
      </c>
      <c r="G3157" s="6">
        <f>ROUND(F3157-D3157,2)</f>
        <v/>
      </c>
    </row>
    <row r="3158">
      <c r="A3158" t="inlineStr">
        <is>
          <t>2022-08-21</t>
        </is>
      </c>
      <c r="B3158" t="n">
        <v>24</v>
      </c>
      <c r="C3158" t="n">
        <v>3038</v>
      </c>
      <c r="D3158" s="6" t="n">
        <v>128.8</v>
      </c>
      <c r="E3158" s="6" t="n">
        <v>1200615.68</v>
      </c>
      <c r="F3158" s="6">
        <f>ROUND(E3158-E3157,2)</f>
        <v/>
      </c>
      <c r="G3158" s="6">
        <f>ROUND(F3158-D3158,2)</f>
        <v/>
      </c>
    </row>
    <row r="3159">
      <c r="A3159" t="inlineStr">
        <is>
          <t>2022-08-21</t>
        </is>
      </c>
      <c r="B3159" t="n">
        <v>25</v>
      </c>
      <c r="C3159" t="n">
        <v>3038</v>
      </c>
      <c r="D3159" s="6" t="n">
        <v>66.7</v>
      </c>
      <c r="E3159" s="6" t="n">
        <v>1200682.38</v>
      </c>
      <c r="F3159" s="6">
        <f>ROUND(E3159-E3158,2)</f>
        <v/>
      </c>
      <c r="G3159" s="6">
        <f>ROUND(F3159-D3159,2)</f>
        <v/>
      </c>
    </row>
    <row r="3160">
      <c r="A3160" t="inlineStr">
        <is>
          <t>2022-08-21</t>
        </is>
      </c>
      <c r="B3160" t="n">
        <v>26</v>
      </c>
      <c r="C3160" t="n">
        <v>3038</v>
      </c>
      <c r="D3160" s="6" t="n">
        <v>87.2</v>
      </c>
      <c r="E3160" s="6" t="n">
        <v>1200769.58</v>
      </c>
      <c r="F3160" s="6">
        <f>ROUND(E3160-E3159,2)</f>
        <v/>
      </c>
      <c r="G3160" s="6">
        <f>ROUND(F3160-D3160,2)</f>
        <v/>
      </c>
    </row>
    <row r="3161">
      <c r="A3161" t="inlineStr">
        <is>
          <t>2022-08-21</t>
        </is>
      </c>
      <c r="B3161" t="n">
        <v>27</v>
      </c>
      <c r="C3161" t="n">
        <v>3038</v>
      </c>
      <c r="D3161" s="6" t="n">
        <v>63</v>
      </c>
      <c r="E3161" s="6" t="n">
        <v>1200832.58</v>
      </c>
      <c r="F3161" s="6">
        <f>ROUND(E3161-E3160,2)</f>
        <v/>
      </c>
      <c r="G3161" s="6">
        <f>ROUND(F3161-D3161,2)</f>
        <v/>
      </c>
    </row>
    <row r="3162">
      <c r="A3162" t="inlineStr">
        <is>
          <t>2022-08-21</t>
        </is>
      </c>
      <c r="B3162" t="n">
        <v>28</v>
      </c>
      <c r="C3162" t="n">
        <v>3038</v>
      </c>
      <c r="D3162" s="6" t="n">
        <v>121.2</v>
      </c>
      <c r="E3162" s="6" t="n">
        <v>1200953.78</v>
      </c>
      <c r="F3162" s="6">
        <f>ROUND(E3162-E3161,2)</f>
        <v/>
      </c>
      <c r="G3162" s="6">
        <f>ROUND(F3162-D3162,2)</f>
        <v/>
      </c>
    </row>
    <row r="3163">
      <c r="A3163" t="inlineStr">
        <is>
          <t>2022-08-21</t>
        </is>
      </c>
      <c r="B3163" t="n">
        <v>29</v>
      </c>
      <c r="C3163" t="n">
        <v>3038</v>
      </c>
      <c r="D3163" s="6" t="n">
        <v>200</v>
      </c>
      <c r="E3163" s="6" t="n">
        <v>1201153.78</v>
      </c>
      <c r="F3163" s="6">
        <f>ROUND(E3163-E3162,2)</f>
        <v/>
      </c>
      <c r="G3163" s="6">
        <f>ROUND(F3163-D3163,2)</f>
        <v/>
      </c>
    </row>
    <row r="3164">
      <c r="A3164" t="inlineStr">
        <is>
          <t>2022-08-21</t>
        </is>
      </c>
      <c r="B3164" t="n">
        <v>30</v>
      </c>
      <c r="C3164" t="n">
        <v>3038</v>
      </c>
      <c r="D3164" s="6" t="n">
        <v>182.2</v>
      </c>
      <c r="E3164" s="6" t="n">
        <v>1201335.98</v>
      </c>
      <c r="F3164" s="6">
        <f>ROUND(E3164-E3163,2)</f>
        <v/>
      </c>
      <c r="G3164" s="6">
        <f>ROUND(F3164-D3164,2)</f>
        <v/>
      </c>
    </row>
    <row r="3165">
      <c r="A3165" t="inlineStr">
        <is>
          <t>2022-08-21</t>
        </is>
      </c>
      <c r="B3165" t="n">
        <v>31</v>
      </c>
      <c r="C3165" t="n">
        <v>3038</v>
      </c>
      <c r="D3165" s="6" t="n">
        <v>24</v>
      </c>
      <c r="E3165" s="6" t="n">
        <v>1201359.98</v>
      </c>
      <c r="F3165" s="6">
        <f>ROUND(E3165-E3164,2)</f>
        <v/>
      </c>
      <c r="G3165" s="6">
        <f>ROUND(F3165-D3165,2)</f>
        <v/>
      </c>
    </row>
    <row r="3166">
      <c r="A3166" t="inlineStr">
        <is>
          <t>2022-08-24</t>
        </is>
      </c>
      <c r="B3166" t="n">
        <v>1</v>
      </c>
      <c r="C3166" t="n">
        <v>3039</v>
      </c>
      <c r="D3166" s="6" t="n">
        <v>39.7</v>
      </c>
      <c r="E3166" s="6" t="n">
        <v>1201399.68</v>
      </c>
      <c r="F3166" s="6">
        <f>ROUND(E3166-E3165,2)</f>
        <v/>
      </c>
      <c r="G3166" s="6">
        <f>ROUND(F3166-D3166,2)</f>
        <v/>
      </c>
    </row>
    <row r="3167">
      <c r="A3167" t="inlineStr">
        <is>
          <t>2022-08-24</t>
        </is>
      </c>
      <c r="B3167" t="n">
        <v>2</v>
      </c>
      <c r="C3167" t="n">
        <v>3039</v>
      </c>
      <c r="D3167" s="6" t="n">
        <v>52.8</v>
      </c>
      <c r="E3167" s="6" t="n">
        <v>1201452.48</v>
      </c>
      <c r="F3167" s="6">
        <f>ROUND(E3167-E3166,2)</f>
        <v/>
      </c>
      <c r="G3167" s="6">
        <f>ROUND(F3167-D3167,2)</f>
        <v/>
      </c>
    </row>
    <row r="3168">
      <c r="A3168" t="inlineStr">
        <is>
          <t>2022-08-24</t>
        </is>
      </c>
      <c r="B3168" t="n">
        <v>3</v>
      </c>
      <c r="C3168" t="n">
        <v>3039</v>
      </c>
      <c r="D3168" s="6" t="n">
        <v>62.9</v>
      </c>
      <c r="E3168" s="6" t="n">
        <v>1201515.38</v>
      </c>
      <c r="F3168" s="6">
        <f>ROUND(E3168-E3167,2)</f>
        <v/>
      </c>
      <c r="G3168" s="6">
        <f>ROUND(F3168-D3168,2)</f>
        <v/>
      </c>
    </row>
    <row r="3169">
      <c r="A3169" t="inlineStr">
        <is>
          <t>2022-08-24</t>
        </is>
      </c>
      <c r="B3169" t="n">
        <v>4</v>
      </c>
      <c r="C3169" t="n">
        <v>3039</v>
      </c>
      <c r="D3169" s="6" t="n">
        <v>27.2</v>
      </c>
      <c r="E3169" s="6" t="n">
        <v>1201542.58</v>
      </c>
      <c r="F3169" s="6">
        <f>ROUND(E3169-E3168,2)</f>
        <v/>
      </c>
      <c r="G3169" s="6">
        <f>ROUND(F3169-D3169,2)</f>
        <v/>
      </c>
    </row>
    <row r="3170">
      <c r="A3170" t="inlineStr">
        <is>
          <t>2022-08-24</t>
        </is>
      </c>
      <c r="B3170" t="n">
        <v>5</v>
      </c>
      <c r="C3170" t="n">
        <v>3039</v>
      </c>
      <c r="D3170" s="6" t="n">
        <v>69.7</v>
      </c>
      <c r="E3170" s="6" t="n">
        <v>1201612.28</v>
      </c>
      <c r="F3170" s="6">
        <f>ROUND(E3170-E3169,2)</f>
        <v/>
      </c>
      <c r="G3170" s="6">
        <f>ROUND(F3170-D3170,2)</f>
        <v/>
      </c>
    </row>
    <row r="3171">
      <c r="A3171" t="inlineStr">
        <is>
          <t>2022-08-24</t>
        </is>
      </c>
      <c r="B3171" t="n">
        <v>6</v>
      </c>
      <c r="C3171" t="n">
        <v>3039</v>
      </c>
      <c r="D3171" s="6" t="n">
        <v>134.2</v>
      </c>
      <c r="E3171" s="6" t="n">
        <v>1201746.48</v>
      </c>
      <c r="F3171" s="6">
        <f>ROUND(E3171-E3170,2)</f>
        <v/>
      </c>
      <c r="G3171" s="6">
        <f>ROUND(F3171-D3171,2)</f>
        <v/>
      </c>
    </row>
    <row r="3172">
      <c r="A3172" t="inlineStr">
        <is>
          <t>2022-08-24</t>
        </is>
      </c>
      <c r="B3172" t="n">
        <v>7</v>
      </c>
      <c r="C3172" t="n">
        <v>3039</v>
      </c>
      <c r="D3172" s="6" t="n">
        <v>77.3</v>
      </c>
      <c r="E3172" s="6" t="n">
        <v>1201823.78</v>
      </c>
      <c r="F3172" s="6">
        <f>ROUND(E3172-E3171,2)</f>
        <v/>
      </c>
      <c r="G3172" s="6">
        <f>ROUND(F3172-D3172,2)</f>
        <v/>
      </c>
    </row>
    <row r="3173">
      <c r="A3173" t="inlineStr">
        <is>
          <t>2022-08-24</t>
        </is>
      </c>
      <c r="B3173" t="n">
        <v>8</v>
      </c>
      <c r="C3173" t="n">
        <v>3039</v>
      </c>
      <c r="D3173" s="6" t="n">
        <v>27.7</v>
      </c>
      <c r="E3173" s="6" t="n">
        <v>1201851.48</v>
      </c>
      <c r="F3173" s="6">
        <f>ROUND(E3173-E3172,2)</f>
        <v/>
      </c>
      <c r="G3173" s="6">
        <f>ROUND(F3173-D3173,2)</f>
        <v/>
      </c>
    </row>
    <row r="3174">
      <c r="A3174" t="inlineStr">
        <is>
          <t>2022-08-24</t>
        </is>
      </c>
      <c r="B3174" t="n">
        <v>9</v>
      </c>
      <c r="C3174" t="n">
        <v>3039</v>
      </c>
      <c r="D3174" s="6" t="n">
        <v>92.8</v>
      </c>
      <c r="E3174" s="6" t="n">
        <v>1201944.28</v>
      </c>
      <c r="F3174" s="6">
        <f>ROUND(E3174-E3173,2)</f>
        <v/>
      </c>
      <c r="G3174" s="6">
        <f>ROUND(F3174-D3174,2)</f>
        <v/>
      </c>
    </row>
    <row r="3175">
      <c r="A3175" t="inlineStr">
        <is>
          <t>2022-08-24</t>
        </is>
      </c>
      <c r="B3175" t="n">
        <v>10</v>
      </c>
      <c r="C3175" t="n">
        <v>3039</v>
      </c>
      <c r="D3175" s="6" t="n">
        <v>97.8</v>
      </c>
      <c r="E3175" s="6" t="n">
        <v>1202042.08</v>
      </c>
      <c r="F3175" s="6">
        <f>ROUND(E3175-E3174,2)</f>
        <v/>
      </c>
      <c r="G3175" s="6">
        <f>ROUND(F3175-D3175,2)</f>
        <v/>
      </c>
    </row>
    <row r="3176">
      <c r="A3176" t="inlineStr">
        <is>
          <t>2022-08-24</t>
        </is>
      </c>
      <c r="B3176" t="n">
        <v>11</v>
      </c>
      <c r="C3176" t="n">
        <v>3039</v>
      </c>
      <c r="D3176" s="6" t="n">
        <v>75.09999999999999</v>
      </c>
      <c r="E3176" s="6" t="n">
        <v>1202117.18</v>
      </c>
      <c r="F3176" s="6">
        <f>ROUND(E3176-E3175,2)</f>
        <v/>
      </c>
      <c r="G3176" s="6">
        <f>ROUND(F3176-D3176,2)</f>
        <v/>
      </c>
    </row>
    <row r="3177">
      <c r="A3177" t="inlineStr">
        <is>
          <t>2022-08-24</t>
        </is>
      </c>
      <c r="B3177" t="n">
        <v>12</v>
      </c>
      <c r="C3177" t="n">
        <v>3039</v>
      </c>
      <c r="D3177" s="6" t="n">
        <v>66.90000000000001</v>
      </c>
      <c r="E3177" s="6" t="n">
        <v>1202184.08</v>
      </c>
      <c r="F3177" s="6">
        <f>ROUND(E3177-E3176,2)</f>
        <v/>
      </c>
      <c r="G3177" s="6">
        <f>ROUND(F3177-D3177,2)</f>
        <v/>
      </c>
    </row>
    <row r="3178">
      <c r="A3178" t="inlineStr">
        <is>
          <t>2022-08-24</t>
        </is>
      </c>
      <c r="B3178" t="n">
        <v>13</v>
      </c>
      <c r="C3178" t="n">
        <v>3039</v>
      </c>
      <c r="D3178" s="6" t="n">
        <v>157</v>
      </c>
      <c r="E3178" s="6" t="n">
        <v>1202341.08</v>
      </c>
      <c r="F3178" s="6">
        <f>ROUND(E3178-E3177,2)</f>
        <v/>
      </c>
      <c r="G3178" s="6">
        <f>ROUND(F3178-D3178,2)</f>
        <v/>
      </c>
    </row>
    <row r="3179">
      <c r="A3179" t="inlineStr">
        <is>
          <t>2022-08-24</t>
        </is>
      </c>
      <c r="B3179" t="n">
        <v>14</v>
      </c>
      <c r="C3179" t="n">
        <v>3039</v>
      </c>
      <c r="D3179" s="6" t="n">
        <v>26.9</v>
      </c>
      <c r="E3179" s="6" t="n">
        <v>1202367.98</v>
      </c>
      <c r="F3179" s="6">
        <f>ROUND(E3179-E3178,2)</f>
        <v/>
      </c>
      <c r="G3179" s="6">
        <f>ROUND(F3179-D3179,2)</f>
        <v/>
      </c>
    </row>
    <row r="3180">
      <c r="A3180" t="inlineStr">
        <is>
          <t>2022-08-24</t>
        </is>
      </c>
      <c r="B3180" t="n">
        <v>15</v>
      </c>
      <c r="C3180" t="n">
        <v>3039</v>
      </c>
      <c r="D3180" s="6" t="n">
        <v>261.5</v>
      </c>
      <c r="E3180" s="6" t="n">
        <v>1202629.48</v>
      </c>
      <c r="F3180" s="6">
        <f>ROUND(E3180-E3179,2)</f>
        <v/>
      </c>
      <c r="G3180" s="6">
        <f>ROUND(F3180-D3180,2)</f>
        <v/>
      </c>
    </row>
    <row r="3181">
      <c r="A3181" t="inlineStr">
        <is>
          <t>2022-08-24</t>
        </is>
      </c>
      <c r="B3181" t="n">
        <v>16</v>
      </c>
      <c r="C3181" t="n">
        <v>3039</v>
      </c>
      <c r="D3181" s="6" t="n">
        <v>60.2</v>
      </c>
      <c r="E3181" s="6" t="n">
        <v>1202689.68</v>
      </c>
      <c r="F3181" s="6">
        <f>ROUND(E3181-E3180,2)</f>
        <v/>
      </c>
      <c r="G3181" s="6">
        <f>ROUND(F3181-D3181,2)</f>
        <v/>
      </c>
    </row>
    <row r="3182">
      <c r="A3182" t="inlineStr">
        <is>
          <t>2022-08-24</t>
        </is>
      </c>
      <c r="B3182" t="n">
        <v>17</v>
      </c>
      <c r="C3182" t="n">
        <v>3039</v>
      </c>
      <c r="D3182" s="6" t="n">
        <v>103.7</v>
      </c>
      <c r="E3182" s="6" t="n">
        <v>1202793.38</v>
      </c>
      <c r="F3182" s="6">
        <f>ROUND(E3182-E3181,2)</f>
        <v/>
      </c>
      <c r="G3182" s="6">
        <f>ROUND(F3182-D3182,2)</f>
        <v/>
      </c>
    </row>
    <row r="3183">
      <c r="A3183" t="inlineStr">
        <is>
          <t>2022-08-24</t>
        </is>
      </c>
      <c r="B3183" t="n">
        <v>18</v>
      </c>
      <c r="C3183" t="n">
        <v>3039</v>
      </c>
      <c r="D3183" s="6" t="n">
        <v>49.2</v>
      </c>
      <c r="E3183" s="6" t="n">
        <v>1202842.58</v>
      </c>
      <c r="F3183" s="6">
        <f>ROUND(E3183-E3182,2)</f>
        <v/>
      </c>
      <c r="G3183" s="6">
        <f>ROUND(F3183-D3183,2)</f>
        <v/>
      </c>
    </row>
    <row r="3184">
      <c r="A3184" t="inlineStr">
        <is>
          <t>2022-08-24</t>
        </is>
      </c>
      <c r="B3184" t="n">
        <v>19</v>
      </c>
      <c r="C3184" t="n">
        <v>3039</v>
      </c>
      <c r="D3184" s="6" t="n">
        <v>96.59999999999999</v>
      </c>
      <c r="E3184" s="6" t="n">
        <v>1202939.18</v>
      </c>
      <c r="F3184" s="6">
        <f>ROUND(E3184-E3183,2)</f>
        <v/>
      </c>
      <c r="G3184" s="6">
        <f>ROUND(F3184-D3184,2)</f>
        <v/>
      </c>
    </row>
    <row r="3185">
      <c r="A3185" t="inlineStr">
        <is>
          <t>2022-08-24</t>
        </is>
      </c>
      <c r="B3185" t="n">
        <v>20</v>
      </c>
      <c r="C3185" t="n">
        <v>3039</v>
      </c>
      <c r="D3185" s="6" t="n">
        <v>63.1</v>
      </c>
      <c r="E3185" s="6" t="n">
        <v>1203002.28</v>
      </c>
      <c r="F3185" s="6">
        <f>ROUND(E3185-E3184,2)</f>
        <v/>
      </c>
      <c r="G3185" s="6">
        <f>ROUND(F3185-D3185,2)</f>
        <v/>
      </c>
    </row>
    <row r="3186">
      <c r="A3186" t="inlineStr">
        <is>
          <t>2022-08-24</t>
        </is>
      </c>
      <c r="B3186" t="n">
        <v>21</v>
      </c>
      <c r="C3186" t="n">
        <v>3039</v>
      </c>
      <c r="D3186" s="6" t="n">
        <v>63.1</v>
      </c>
      <c r="E3186" s="6" t="n">
        <v>1203065.38</v>
      </c>
      <c r="F3186" s="6">
        <f>ROUND(E3186-E3185,2)</f>
        <v/>
      </c>
      <c r="G3186" s="6">
        <f>ROUND(F3186-D3186,2)</f>
        <v/>
      </c>
    </row>
    <row r="3187">
      <c r="A3187" t="inlineStr">
        <is>
          <t>2022-08-24</t>
        </is>
      </c>
      <c r="B3187" t="n">
        <v>22</v>
      </c>
      <c r="C3187" t="n">
        <v>3039</v>
      </c>
      <c r="D3187" s="6" t="n">
        <v>52.7</v>
      </c>
      <c r="E3187" s="6" t="n">
        <v>1203118.08</v>
      </c>
      <c r="F3187" s="6">
        <f>ROUND(E3187-E3186,2)</f>
        <v/>
      </c>
      <c r="G3187" s="6">
        <f>ROUND(F3187-D3187,2)</f>
        <v/>
      </c>
    </row>
    <row r="3188">
      <c r="A3188" t="inlineStr">
        <is>
          <t>2022-08-24</t>
        </is>
      </c>
      <c r="B3188" t="n">
        <v>23</v>
      </c>
      <c r="C3188" t="n">
        <v>3039</v>
      </c>
      <c r="D3188" s="6" t="n">
        <v>123.4</v>
      </c>
      <c r="E3188" s="6" t="n">
        <v>1203241.48</v>
      </c>
      <c r="F3188" s="6">
        <f>ROUND(E3188-E3187,2)</f>
        <v/>
      </c>
      <c r="G3188" s="6">
        <f>ROUND(F3188-D3188,2)</f>
        <v/>
      </c>
    </row>
    <row r="3189">
      <c r="A3189" t="inlineStr">
        <is>
          <t>2022-08-24</t>
        </is>
      </c>
      <c r="B3189" t="n">
        <v>24</v>
      </c>
      <c r="C3189" t="n">
        <v>3039</v>
      </c>
      <c r="D3189" s="6" t="n">
        <v>19.5</v>
      </c>
      <c r="E3189" s="6" t="n">
        <v>1203260.98</v>
      </c>
      <c r="F3189" s="6">
        <f>ROUND(E3189-E3188,2)</f>
        <v/>
      </c>
      <c r="G3189" s="6">
        <f>ROUND(F3189-D3189,2)</f>
        <v/>
      </c>
    </row>
    <row r="3190">
      <c r="A3190" t="inlineStr">
        <is>
          <t>2022-08-24</t>
        </is>
      </c>
      <c r="B3190" t="n">
        <v>25</v>
      </c>
      <c r="C3190" t="n">
        <v>3039</v>
      </c>
      <c r="D3190" s="6" t="n">
        <v>88.7</v>
      </c>
      <c r="E3190" s="6" t="n">
        <v>1203349.68</v>
      </c>
      <c r="F3190" s="6">
        <f>ROUND(E3190-E3189,2)</f>
        <v/>
      </c>
      <c r="G3190" s="6">
        <f>ROUND(F3190-D3190,2)</f>
        <v/>
      </c>
    </row>
    <row r="3191">
      <c r="A3191" t="inlineStr">
        <is>
          <t>2022-08-24</t>
        </is>
      </c>
      <c r="B3191" t="n">
        <v>26</v>
      </c>
      <c r="C3191" t="n">
        <v>3039</v>
      </c>
      <c r="D3191" s="6" t="n">
        <v>99.8</v>
      </c>
      <c r="E3191" s="6" t="n">
        <v>1203449.48</v>
      </c>
      <c r="F3191" s="6">
        <f>ROUND(E3191-E3190,2)</f>
        <v/>
      </c>
      <c r="G3191" s="6">
        <f>ROUND(F3191-D3191,2)</f>
        <v/>
      </c>
    </row>
    <row r="3192">
      <c r="A3192" t="inlineStr">
        <is>
          <t>2022-08-24</t>
        </is>
      </c>
      <c r="B3192" t="n">
        <v>27</v>
      </c>
      <c r="C3192" t="n">
        <v>3039</v>
      </c>
      <c r="D3192" s="6" t="n">
        <v>81.34</v>
      </c>
      <c r="E3192" s="6" t="n">
        <v>1203530.82</v>
      </c>
      <c r="F3192" s="6">
        <f>ROUND(E3192-E3191,2)</f>
        <v/>
      </c>
      <c r="G3192" s="6">
        <f>ROUND(F3192-D3192,2)</f>
        <v/>
      </c>
    </row>
    <row r="3193">
      <c r="A3193" t="inlineStr">
        <is>
          <t>2022-08-24</t>
        </is>
      </c>
      <c r="B3193" t="n">
        <v>28</v>
      </c>
      <c r="C3193" t="n">
        <v>3039</v>
      </c>
      <c r="D3193" s="6" t="n">
        <v>70.2</v>
      </c>
      <c r="E3193" s="6" t="n">
        <v>1203601.02</v>
      </c>
      <c r="F3193" s="6">
        <f>ROUND(E3193-E3192,2)</f>
        <v/>
      </c>
      <c r="G3193" s="6">
        <f>ROUND(F3193-D3193,2)</f>
        <v/>
      </c>
    </row>
    <row r="3194">
      <c r="A3194" t="inlineStr">
        <is>
          <t>2022-08-24</t>
        </is>
      </c>
      <c r="B3194" t="n">
        <v>29</v>
      </c>
      <c r="C3194" t="n">
        <v>3039</v>
      </c>
      <c r="D3194" s="6" t="n">
        <v>70.2</v>
      </c>
      <c r="E3194" s="6" t="n">
        <v>1203671.22</v>
      </c>
      <c r="F3194" s="6">
        <f>ROUND(E3194-E3193,2)</f>
        <v/>
      </c>
      <c r="G3194" s="6">
        <f>ROUND(F3194-D3194,2)</f>
        <v/>
      </c>
    </row>
    <row r="3195">
      <c r="A3195" t="inlineStr">
        <is>
          <t>2022-08-24</t>
        </is>
      </c>
      <c r="B3195" t="n">
        <v>30</v>
      </c>
      <c r="C3195" t="n">
        <v>3039</v>
      </c>
      <c r="D3195" s="6" t="n">
        <v>20.65</v>
      </c>
      <c r="E3195" s="6" t="n">
        <v>1203691.87</v>
      </c>
      <c r="F3195" s="6">
        <f>ROUND(E3195-E3194,2)</f>
        <v/>
      </c>
      <c r="G3195" s="6">
        <f>ROUND(F3195-D3195,2)</f>
        <v/>
      </c>
    </row>
    <row r="3196">
      <c r="A3196" t="inlineStr">
        <is>
          <t>2022-08-24</t>
        </is>
      </c>
      <c r="B3196" t="n">
        <v>31</v>
      </c>
      <c r="C3196" t="n">
        <v>3039</v>
      </c>
      <c r="D3196" s="6" t="n">
        <v>20.65</v>
      </c>
      <c r="E3196" s="6" t="n">
        <v>1203712.52</v>
      </c>
      <c r="F3196" s="6">
        <f>ROUND(E3196-E3195,2)</f>
        <v/>
      </c>
      <c r="G3196" s="6">
        <f>ROUND(F3196-D3196,2)</f>
        <v/>
      </c>
    </row>
    <row r="3197">
      <c r="A3197" t="inlineStr">
        <is>
          <t>2022-08-24</t>
        </is>
      </c>
      <c r="B3197" t="n">
        <v>32</v>
      </c>
      <c r="C3197" t="n">
        <v>3039</v>
      </c>
      <c r="D3197" s="6" t="n">
        <v>207.3</v>
      </c>
      <c r="E3197" s="6" t="n">
        <v>1203919.82</v>
      </c>
      <c r="F3197" s="6">
        <f>ROUND(E3197-E3196,2)</f>
        <v/>
      </c>
      <c r="G3197" s="6">
        <f>ROUND(F3197-D3197,2)</f>
        <v/>
      </c>
    </row>
    <row r="3198">
      <c r="A3198" t="inlineStr">
        <is>
          <t>2022-08-25</t>
        </is>
      </c>
      <c r="B3198" t="n">
        <v>1</v>
      </c>
      <c r="C3198" t="n">
        <v>3040</v>
      </c>
      <c r="D3198" s="6" t="n">
        <v>85.3</v>
      </c>
      <c r="E3198" s="6" t="n">
        <v>1204005.12</v>
      </c>
      <c r="F3198" s="6">
        <f>ROUND(E3198-E3197,2)</f>
        <v/>
      </c>
      <c r="G3198" s="6">
        <f>ROUND(F3198-D3198,2)</f>
        <v/>
      </c>
    </row>
    <row r="3199">
      <c r="A3199" t="inlineStr">
        <is>
          <t>2022-08-25</t>
        </is>
      </c>
      <c r="B3199" t="n">
        <v>2</v>
      </c>
      <c r="C3199" t="n">
        <v>3040</v>
      </c>
      <c r="D3199" s="6" t="n">
        <v>57.2</v>
      </c>
      <c r="E3199" s="6" t="n">
        <v>1204062.32</v>
      </c>
      <c r="F3199" s="6">
        <f>ROUND(E3199-E3198,2)</f>
        <v/>
      </c>
      <c r="G3199" s="6">
        <f>ROUND(F3199-D3199,2)</f>
        <v/>
      </c>
    </row>
    <row r="3200">
      <c r="A3200" t="inlineStr">
        <is>
          <t>2022-08-25</t>
        </is>
      </c>
      <c r="B3200" t="n">
        <v>3</v>
      </c>
      <c r="C3200" t="n">
        <v>3040</v>
      </c>
      <c r="D3200" s="6" t="n">
        <v>60</v>
      </c>
      <c r="E3200" s="6" t="n">
        <v>1204122.32</v>
      </c>
      <c r="F3200" s="6">
        <f>ROUND(E3200-E3199,2)</f>
        <v/>
      </c>
      <c r="G3200" s="6">
        <f>ROUND(F3200-D3200,2)</f>
        <v/>
      </c>
    </row>
    <row r="3201">
      <c r="A3201" t="inlineStr">
        <is>
          <t>2022-08-25</t>
        </is>
      </c>
      <c r="B3201" t="n">
        <v>4</v>
      </c>
      <c r="C3201" t="n">
        <v>3040</v>
      </c>
      <c r="D3201" s="6" t="n">
        <v>37.9</v>
      </c>
      <c r="E3201" s="6" t="n">
        <v>1204160.22</v>
      </c>
      <c r="F3201" s="6">
        <f>ROUND(E3201-E3200,2)</f>
        <v/>
      </c>
      <c r="G3201" s="6">
        <f>ROUND(F3201-D3201,2)</f>
        <v/>
      </c>
    </row>
    <row r="3202">
      <c r="A3202" t="inlineStr">
        <is>
          <t>2022-08-25</t>
        </is>
      </c>
      <c r="B3202" t="n">
        <v>5</v>
      </c>
      <c r="C3202" t="n">
        <v>3040</v>
      </c>
      <c r="D3202" s="6" t="n">
        <v>48</v>
      </c>
      <c r="E3202" s="6" t="n">
        <v>1204208.22</v>
      </c>
      <c r="F3202" s="6">
        <f>ROUND(E3202-E3201,2)</f>
        <v/>
      </c>
      <c r="G3202" s="6">
        <f>ROUND(F3202-D3202,2)</f>
        <v/>
      </c>
    </row>
    <row r="3203">
      <c r="A3203" t="inlineStr">
        <is>
          <t>2022-08-25</t>
        </is>
      </c>
      <c r="B3203" t="n">
        <v>6</v>
      </c>
      <c r="C3203" t="n">
        <v>3040</v>
      </c>
      <c r="D3203" s="6" t="n">
        <v>43.8</v>
      </c>
      <c r="E3203" s="6" t="n">
        <v>1204252.02</v>
      </c>
      <c r="F3203" s="6">
        <f>ROUND(E3203-E3202,2)</f>
        <v/>
      </c>
      <c r="G3203" s="6">
        <f>ROUND(F3203-D3203,2)</f>
        <v/>
      </c>
    </row>
    <row r="3204">
      <c r="A3204" t="inlineStr">
        <is>
          <t>2022-08-25</t>
        </is>
      </c>
      <c r="B3204" t="n">
        <v>7</v>
      </c>
      <c r="C3204" t="n">
        <v>3040</v>
      </c>
      <c r="D3204" s="6" t="n">
        <v>97.3</v>
      </c>
      <c r="E3204" s="6" t="n">
        <v>1204349.32</v>
      </c>
      <c r="F3204" s="6">
        <f>ROUND(E3204-E3203,2)</f>
        <v/>
      </c>
      <c r="G3204" s="6">
        <f>ROUND(F3204-D3204,2)</f>
        <v/>
      </c>
    </row>
    <row r="3205">
      <c r="A3205" t="inlineStr">
        <is>
          <t>2022-08-25</t>
        </is>
      </c>
      <c r="B3205" t="n">
        <v>8</v>
      </c>
      <c r="C3205" t="n">
        <v>3040</v>
      </c>
      <c r="D3205" s="6" t="n">
        <v>74</v>
      </c>
      <c r="E3205" s="6" t="n">
        <v>1204423.32</v>
      </c>
      <c r="F3205" s="6">
        <f>ROUND(E3205-E3204,2)</f>
        <v/>
      </c>
      <c r="G3205" s="6">
        <f>ROUND(F3205-D3205,2)</f>
        <v/>
      </c>
    </row>
    <row r="3206">
      <c r="A3206" t="inlineStr">
        <is>
          <t>2022-08-25</t>
        </is>
      </c>
      <c r="B3206" t="n">
        <v>9</v>
      </c>
      <c r="C3206" t="n">
        <v>3040</v>
      </c>
      <c r="D3206" s="6" t="n">
        <v>51</v>
      </c>
      <c r="E3206" s="6" t="n">
        <v>1204474.32</v>
      </c>
      <c r="F3206" s="6">
        <f>ROUND(E3206-E3205,2)</f>
        <v/>
      </c>
      <c r="G3206" s="6">
        <f>ROUND(F3206-D3206,2)</f>
        <v/>
      </c>
    </row>
    <row r="3207">
      <c r="A3207" t="inlineStr">
        <is>
          <t>2022-08-25</t>
        </is>
      </c>
      <c r="B3207" t="n">
        <v>10</v>
      </c>
      <c r="C3207" t="n">
        <v>3040</v>
      </c>
      <c r="D3207" s="6" t="n">
        <v>113</v>
      </c>
      <c r="E3207" s="6" t="n">
        <v>1204587.32</v>
      </c>
      <c r="F3207" s="6">
        <f>ROUND(E3207-E3206,2)</f>
        <v/>
      </c>
      <c r="G3207" s="6">
        <f>ROUND(F3207-D3207,2)</f>
        <v/>
      </c>
    </row>
    <row r="3208">
      <c r="A3208" t="inlineStr">
        <is>
          <t>2022-08-25</t>
        </is>
      </c>
      <c r="B3208" t="n">
        <v>11</v>
      </c>
      <c r="C3208" t="n">
        <v>3040</v>
      </c>
      <c r="D3208" s="6" t="n">
        <v>77.59999999999999</v>
      </c>
      <c r="E3208" s="6" t="n">
        <v>1204664.92</v>
      </c>
      <c r="F3208" s="6">
        <f>ROUND(E3208-E3207,2)</f>
        <v/>
      </c>
      <c r="G3208" s="6">
        <f>ROUND(F3208-D3208,2)</f>
        <v/>
      </c>
    </row>
    <row r="3209">
      <c r="A3209" t="inlineStr">
        <is>
          <t>2022-08-25</t>
        </is>
      </c>
      <c r="B3209" t="n">
        <v>12</v>
      </c>
      <c r="C3209" t="n">
        <v>3040</v>
      </c>
      <c r="D3209" s="6" t="n">
        <v>91</v>
      </c>
      <c r="E3209" s="6" t="n">
        <v>1204755.92</v>
      </c>
      <c r="F3209" s="6">
        <f>ROUND(E3209-E3208,2)</f>
        <v/>
      </c>
      <c r="G3209" s="6">
        <f>ROUND(F3209-D3209,2)</f>
        <v/>
      </c>
    </row>
    <row r="3210">
      <c r="A3210" t="inlineStr">
        <is>
          <t>2022-08-25</t>
        </is>
      </c>
      <c r="B3210" t="n">
        <v>13</v>
      </c>
      <c r="C3210" t="n">
        <v>3040</v>
      </c>
      <c r="D3210" s="6" t="n">
        <v>70.2</v>
      </c>
      <c r="E3210" s="6" t="n">
        <v>1204826.12</v>
      </c>
      <c r="F3210" s="6">
        <f>ROUND(E3210-E3209,2)</f>
        <v/>
      </c>
      <c r="G3210" s="6">
        <f>ROUND(F3210-D3210,2)</f>
        <v/>
      </c>
    </row>
    <row r="3211">
      <c r="A3211" t="inlineStr">
        <is>
          <t>2022-08-25</t>
        </is>
      </c>
      <c r="B3211" t="n">
        <v>14</v>
      </c>
      <c r="C3211" t="n">
        <v>3040</v>
      </c>
      <c r="D3211" s="6" t="n">
        <v>59.1</v>
      </c>
      <c r="E3211" s="6" t="n">
        <v>1204885.22</v>
      </c>
      <c r="F3211" s="6">
        <f>ROUND(E3211-E3210,2)</f>
        <v/>
      </c>
      <c r="G3211" s="6">
        <f>ROUND(F3211-D3211,2)</f>
        <v/>
      </c>
    </row>
    <row r="3212">
      <c r="A3212" t="inlineStr">
        <is>
          <t>2022-08-25</t>
        </is>
      </c>
      <c r="B3212" t="n">
        <v>15</v>
      </c>
      <c r="C3212" t="n">
        <v>3040</v>
      </c>
      <c r="D3212" s="6" t="n">
        <v>151.7</v>
      </c>
      <c r="E3212" s="6" t="n">
        <v>1205036.92</v>
      </c>
      <c r="F3212" s="6">
        <f>ROUND(E3212-E3211,2)</f>
        <v/>
      </c>
      <c r="G3212" s="6">
        <f>ROUND(F3212-D3212,2)</f>
        <v/>
      </c>
    </row>
    <row r="3213">
      <c r="A3213" t="inlineStr">
        <is>
          <t>2022-08-25</t>
        </is>
      </c>
      <c r="B3213" t="n">
        <v>16</v>
      </c>
      <c r="C3213" t="n">
        <v>3040</v>
      </c>
      <c r="D3213" s="6" t="n">
        <v>53.2</v>
      </c>
      <c r="E3213" s="6" t="n">
        <v>1205090.12</v>
      </c>
      <c r="F3213" s="6">
        <f>ROUND(E3213-E3212,2)</f>
        <v/>
      </c>
      <c r="G3213" s="6">
        <f>ROUND(F3213-D3213,2)</f>
        <v/>
      </c>
    </row>
    <row r="3214">
      <c r="A3214" t="inlineStr">
        <is>
          <t>2022-08-25</t>
        </is>
      </c>
      <c r="B3214" t="n">
        <v>17</v>
      </c>
      <c r="C3214" t="n">
        <v>3040</v>
      </c>
      <c r="D3214" s="6" t="n">
        <v>81.3</v>
      </c>
      <c r="E3214" s="6" t="n">
        <v>1205171.42</v>
      </c>
      <c r="F3214" s="6">
        <f>ROUND(E3214-E3213,2)</f>
        <v/>
      </c>
      <c r="G3214" s="6">
        <f>ROUND(F3214-D3214,2)</f>
        <v/>
      </c>
    </row>
    <row r="3215">
      <c r="A3215" t="inlineStr">
        <is>
          <t>2022-08-25</t>
        </is>
      </c>
      <c r="B3215" t="n">
        <v>18</v>
      </c>
      <c r="C3215" t="n">
        <v>3040</v>
      </c>
      <c r="D3215" s="6" t="n">
        <v>71.2</v>
      </c>
      <c r="E3215" s="6" t="n">
        <v>1205242.62</v>
      </c>
      <c r="F3215" s="6">
        <f>ROUND(E3215-E3214,2)</f>
        <v/>
      </c>
      <c r="G3215" s="6">
        <f>ROUND(F3215-D3215,2)</f>
        <v/>
      </c>
    </row>
    <row r="3216">
      <c r="A3216" t="inlineStr">
        <is>
          <t>2022-08-25</t>
        </is>
      </c>
      <c r="B3216" t="n">
        <v>19</v>
      </c>
      <c r="C3216" t="n">
        <v>3040</v>
      </c>
      <c r="D3216" s="6" t="n">
        <v>43.5</v>
      </c>
      <c r="E3216" s="6" t="n">
        <v>1205286.12</v>
      </c>
      <c r="F3216" s="6">
        <f>ROUND(E3216-E3215,2)</f>
        <v/>
      </c>
      <c r="G3216" s="6">
        <f>ROUND(F3216-D3216,2)</f>
        <v/>
      </c>
    </row>
    <row r="3217">
      <c r="A3217" t="inlineStr">
        <is>
          <t>2022-08-25</t>
        </is>
      </c>
      <c r="B3217" t="n">
        <v>20</v>
      </c>
      <c r="C3217" t="n">
        <v>3040</v>
      </c>
      <c r="D3217" s="6" t="n">
        <v>105.2</v>
      </c>
      <c r="E3217" s="6" t="n">
        <v>1205391.32</v>
      </c>
      <c r="F3217" s="6">
        <f>ROUND(E3217-E3216,2)</f>
        <v/>
      </c>
      <c r="G3217" s="6">
        <f>ROUND(F3217-D3217,2)</f>
        <v/>
      </c>
    </row>
    <row r="3218">
      <c r="A3218" t="inlineStr">
        <is>
          <t>2022-08-25</t>
        </is>
      </c>
      <c r="B3218" t="n">
        <v>21</v>
      </c>
      <c r="C3218" t="n">
        <v>3040</v>
      </c>
      <c r="D3218" s="6" t="n">
        <v>62.4</v>
      </c>
      <c r="E3218" s="6" t="n">
        <v>1205453.72</v>
      </c>
      <c r="F3218" s="6">
        <f>ROUND(E3218-E3217,2)</f>
        <v/>
      </c>
      <c r="G3218" s="6">
        <f>ROUND(F3218-D3218,2)</f>
        <v/>
      </c>
    </row>
    <row r="3219">
      <c r="A3219" t="inlineStr">
        <is>
          <t>2022-08-25</t>
        </is>
      </c>
      <c r="B3219" t="n">
        <v>22</v>
      </c>
      <c r="C3219" t="n">
        <v>3040</v>
      </c>
      <c r="D3219" s="6" t="n">
        <v>93.2</v>
      </c>
      <c r="E3219" s="6" t="n">
        <v>1205546.92</v>
      </c>
      <c r="F3219" s="6">
        <f>ROUND(E3219-E3218,2)</f>
        <v/>
      </c>
      <c r="G3219" s="6">
        <f>ROUND(F3219-D3219,2)</f>
        <v/>
      </c>
    </row>
    <row r="3220">
      <c r="A3220" t="inlineStr">
        <is>
          <t>2022-08-25</t>
        </is>
      </c>
      <c r="B3220" t="n">
        <v>23</v>
      </c>
      <c r="C3220" t="n">
        <v>3040</v>
      </c>
      <c r="D3220" s="6" t="n">
        <v>92.5</v>
      </c>
      <c r="E3220" s="6" t="n">
        <v>1205639.42</v>
      </c>
      <c r="F3220" s="6">
        <f>ROUND(E3220-E3219,2)</f>
        <v/>
      </c>
      <c r="G3220" s="6">
        <f>ROUND(F3220-D3220,2)</f>
        <v/>
      </c>
    </row>
    <row r="3221">
      <c r="A3221" t="inlineStr">
        <is>
          <t>2022-08-25</t>
        </is>
      </c>
      <c r="B3221" t="n">
        <v>24</v>
      </c>
      <c r="C3221" t="n">
        <v>3040</v>
      </c>
      <c r="D3221" s="6" t="n">
        <v>125.8</v>
      </c>
      <c r="E3221" s="6" t="n">
        <v>1205765.22</v>
      </c>
      <c r="F3221" s="6">
        <f>ROUND(E3221-E3220,2)</f>
        <v/>
      </c>
      <c r="G3221" s="6">
        <f>ROUND(F3221-D3221,2)</f>
        <v/>
      </c>
    </row>
    <row r="3222">
      <c r="A3222" t="inlineStr">
        <is>
          <t>2022-08-25</t>
        </is>
      </c>
      <c r="B3222" t="n">
        <v>25</v>
      </c>
      <c r="C3222" t="n">
        <v>3040</v>
      </c>
      <c r="D3222" s="6" t="n">
        <v>82</v>
      </c>
      <c r="E3222" s="6" t="n">
        <v>1205847.22</v>
      </c>
      <c r="F3222" s="6">
        <f>ROUND(E3222-E3221,2)</f>
        <v/>
      </c>
      <c r="G3222" s="6">
        <f>ROUND(F3222-D3222,2)</f>
        <v/>
      </c>
    </row>
    <row r="3223">
      <c r="A3223" t="inlineStr">
        <is>
          <t>2022-08-25</t>
        </is>
      </c>
      <c r="B3223" t="n">
        <v>26</v>
      </c>
      <c r="C3223" t="n">
        <v>3040</v>
      </c>
      <c r="D3223" s="6" t="n">
        <v>112</v>
      </c>
      <c r="E3223" s="6" t="n">
        <v>1205959.22</v>
      </c>
      <c r="F3223" s="6">
        <f>ROUND(E3223-E3222,2)</f>
        <v/>
      </c>
      <c r="G3223" s="6">
        <f>ROUND(F3223-D3223,2)</f>
        <v/>
      </c>
    </row>
    <row r="3224">
      <c r="A3224" t="inlineStr">
        <is>
          <t>2022-08-25</t>
        </is>
      </c>
      <c r="B3224" t="n">
        <v>27</v>
      </c>
      <c r="C3224" t="n">
        <v>3040</v>
      </c>
      <c r="D3224" s="6" t="n">
        <v>84</v>
      </c>
      <c r="E3224" s="6" t="n">
        <v>1206043.22</v>
      </c>
      <c r="F3224" s="6">
        <f>ROUND(E3224-E3223,2)</f>
        <v/>
      </c>
      <c r="G3224" s="6">
        <f>ROUND(F3224-D3224,2)</f>
        <v/>
      </c>
    </row>
    <row r="3225">
      <c r="A3225" t="inlineStr">
        <is>
          <t>2022-08-25</t>
        </is>
      </c>
      <c r="B3225" t="n">
        <v>28</v>
      </c>
      <c r="C3225" t="n">
        <v>3040</v>
      </c>
      <c r="D3225" s="6" t="n">
        <v>68.34999999999999</v>
      </c>
      <c r="E3225" s="6" t="n">
        <v>1206111.57</v>
      </c>
      <c r="F3225" s="6">
        <f>ROUND(E3225-E3224,2)</f>
        <v/>
      </c>
      <c r="G3225" s="6">
        <f>ROUND(F3225-D3225,2)</f>
        <v/>
      </c>
    </row>
    <row r="3226">
      <c r="A3226" t="inlineStr">
        <is>
          <t>2022-08-25</t>
        </is>
      </c>
      <c r="B3226" t="n">
        <v>29</v>
      </c>
      <c r="C3226" t="n">
        <v>3040</v>
      </c>
      <c r="D3226" s="6" t="n">
        <v>68.34999999999999</v>
      </c>
      <c r="E3226" s="6" t="n">
        <v>1206179.92</v>
      </c>
      <c r="F3226" s="6">
        <f>ROUND(E3226-E3225,2)</f>
        <v/>
      </c>
      <c r="G3226" s="6">
        <f>ROUND(F3226-D3226,2)</f>
        <v/>
      </c>
    </row>
    <row r="3227">
      <c r="A3227" t="inlineStr">
        <is>
          <t>2022-08-25</t>
        </is>
      </c>
      <c r="B3227" t="n">
        <v>30</v>
      </c>
      <c r="C3227" t="n">
        <v>3040</v>
      </c>
      <c r="D3227" s="6" t="n">
        <v>9.5</v>
      </c>
      <c r="E3227" s="6" t="n">
        <v>1206189.42</v>
      </c>
      <c r="F3227" s="6">
        <f>ROUND(E3227-E3226,2)</f>
        <v/>
      </c>
      <c r="G3227" s="6">
        <f>ROUND(F3227-D3227,2)</f>
        <v/>
      </c>
    </row>
    <row r="3228">
      <c r="A3228" t="inlineStr">
        <is>
          <t>2022-08-26</t>
        </is>
      </c>
      <c r="B3228" t="n">
        <v>1</v>
      </c>
      <c r="C3228" t="n">
        <v>3041</v>
      </c>
      <c r="D3228" s="6" t="n">
        <v>38</v>
      </c>
      <c r="E3228" s="6" t="n">
        <v>1206227.42</v>
      </c>
      <c r="F3228" s="6">
        <f>ROUND(E3228-E3227,2)</f>
        <v/>
      </c>
      <c r="G3228" s="6">
        <f>ROUND(F3228-D3228,2)</f>
        <v/>
      </c>
    </row>
    <row r="3229">
      <c r="A3229" t="inlineStr">
        <is>
          <t>2022-08-26</t>
        </is>
      </c>
      <c r="B3229" t="n">
        <v>2</v>
      </c>
      <c r="C3229" t="n">
        <v>3041</v>
      </c>
      <c r="D3229" s="6" t="n">
        <v>56.3</v>
      </c>
      <c r="E3229" s="6" t="n">
        <v>1206283.72</v>
      </c>
      <c r="F3229" s="6">
        <f>ROUND(E3229-E3228,2)</f>
        <v/>
      </c>
      <c r="G3229" s="6">
        <f>ROUND(F3229-D3229,2)</f>
        <v/>
      </c>
    </row>
    <row r="3230">
      <c r="A3230" t="inlineStr">
        <is>
          <t>2022-08-26</t>
        </is>
      </c>
      <c r="B3230" t="n">
        <v>3</v>
      </c>
      <c r="C3230" t="n">
        <v>3041</v>
      </c>
      <c r="D3230" s="6" t="n">
        <v>62.7</v>
      </c>
      <c r="E3230" s="6" t="n">
        <v>1206346.42</v>
      </c>
      <c r="F3230" s="6">
        <f>ROUND(E3230-E3229,2)</f>
        <v/>
      </c>
      <c r="G3230" s="6">
        <f>ROUND(F3230-D3230,2)</f>
        <v/>
      </c>
    </row>
    <row r="3231">
      <c r="A3231" t="inlineStr">
        <is>
          <t>2022-08-26</t>
        </is>
      </c>
      <c r="B3231" t="n">
        <v>4</v>
      </c>
      <c r="C3231" t="n">
        <v>3041</v>
      </c>
      <c r="D3231" s="6" t="n">
        <v>63.9</v>
      </c>
      <c r="E3231" s="6" t="n">
        <v>1206410.32</v>
      </c>
      <c r="F3231" s="6">
        <f>ROUND(E3231-E3230,2)</f>
        <v/>
      </c>
      <c r="G3231" s="6">
        <f>ROUND(F3231-D3231,2)</f>
        <v/>
      </c>
    </row>
    <row r="3232">
      <c r="A3232" t="inlineStr">
        <is>
          <t>2022-08-26</t>
        </is>
      </c>
      <c r="B3232" t="n">
        <v>5</v>
      </c>
      <c r="C3232" t="n">
        <v>3041</v>
      </c>
      <c r="D3232" s="6" t="n">
        <v>54.8</v>
      </c>
      <c r="E3232" s="6" t="n">
        <v>1206465.12</v>
      </c>
      <c r="F3232" s="6">
        <f>ROUND(E3232-E3231,2)</f>
        <v/>
      </c>
      <c r="G3232" s="6">
        <f>ROUND(F3232-D3232,2)</f>
        <v/>
      </c>
    </row>
    <row r="3233">
      <c r="A3233" t="inlineStr">
        <is>
          <t>2022-08-26</t>
        </is>
      </c>
      <c r="B3233" t="n">
        <v>6</v>
      </c>
      <c r="C3233" t="n">
        <v>3041</v>
      </c>
      <c r="D3233" s="6" t="n">
        <v>63.3</v>
      </c>
      <c r="E3233" s="6" t="n">
        <v>1206528.42</v>
      </c>
      <c r="F3233" s="6">
        <f>ROUND(E3233-E3232,2)</f>
        <v/>
      </c>
      <c r="G3233" s="6">
        <f>ROUND(F3233-D3233,2)</f>
        <v/>
      </c>
    </row>
    <row r="3234">
      <c r="A3234" t="inlineStr">
        <is>
          <t>2022-08-26</t>
        </is>
      </c>
      <c r="B3234" t="n">
        <v>7</v>
      </c>
      <c r="C3234" t="n">
        <v>3041</v>
      </c>
      <c r="D3234" s="6" t="n">
        <v>98.59999999999999</v>
      </c>
      <c r="E3234" s="6" t="n">
        <v>1206627.02</v>
      </c>
      <c r="F3234" s="6">
        <f>ROUND(E3234-E3233,2)</f>
        <v/>
      </c>
      <c r="G3234" s="6">
        <f>ROUND(F3234-D3234,2)</f>
        <v/>
      </c>
    </row>
    <row r="3235">
      <c r="A3235" t="inlineStr">
        <is>
          <t>2022-08-26</t>
        </is>
      </c>
      <c r="B3235" t="n">
        <v>8</v>
      </c>
      <c r="C3235" t="n">
        <v>3041</v>
      </c>
      <c r="D3235" s="6" t="n">
        <v>36.1</v>
      </c>
      <c r="E3235" s="6" t="n">
        <v>1206663.12</v>
      </c>
      <c r="F3235" s="6">
        <f>ROUND(E3235-E3234,2)</f>
        <v/>
      </c>
      <c r="G3235" s="6">
        <f>ROUND(F3235-D3235,2)</f>
        <v/>
      </c>
    </row>
    <row r="3236">
      <c r="A3236" t="inlineStr">
        <is>
          <t>2022-08-26</t>
        </is>
      </c>
      <c r="B3236" t="n">
        <v>9</v>
      </c>
      <c r="C3236" t="n">
        <v>3041</v>
      </c>
      <c r="D3236" s="6" t="n">
        <v>58.6</v>
      </c>
      <c r="E3236" s="6" t="n">
        <v>1206721.72</v>
      </c>
      <c r="F3236" s="6">
        <f>ROUND(E3236-E3235,2)</f>
        <v/>
      </c>
      <c r="G3236" s="6">
        <f>ROUND(F3236-D3236,2)</f>
        <v/>
      </c>
    </row>
    <row r="3237">
      <c r="A3237" t="inlineStr">
        <is>
          <t>2022-08-26</t>
        </is>
      </c>
      <c r="B3237" t="n">
        <v>10</v>
      </c>
      <c r="C3237" t="n">
        <v>3041</v>
      </c>
      <c r="D3237" s="6" t="n">
        <v>38.45</v>
      </c>
      <c r="E3237" s="6" t="n">
        <v>1206760.17</v>
      </c>
      <c r="F3237" s="6">
        <f>ROUND(E3237-E3236,2)</f>
        <v/>
      </c>
      <c r="G3237" s="6">
        <f>ROUND(F3237-D3237,2)</f>
        <v/>
      </c>
    </row>
    <row r="3238">
      <c r="A3238" t="inlineStr">
        <is>
          <t>2022-08-26</t>
        </is>
      </c>
      <c r="B3238" t="n">
        <v>11</v>
      </c>
      <c r="C3238" t="n">
        <v>3041</v>
      </c>
      <c r="D3238" s="6" t="n">
        <v>77.05</v>
      </c>
      <c r="E3238" s="6" t="n">
        <v>1206837.22</v>
      </c>
      <c r="F3238" s="6">
        <f>ROUND(E3238-E3237,2)</f>
        <v/>
      </c>
      <c r="G3238" s="6">
        <f>ROUND(F3238-D3238,2)</f>
        <v/>
      </c>
    </row>
    <row r="3239">
      <c r="A3239" t="inlineStr">
        <is>
          <t>2022-08-26</t>
        </is>
      </c>
      <c r="B3239" t="n">
        <v>12</v>
      </c>
      <c r="C3239" t="n">
        <v>3041</v>
      </c>
      <c r="D3239" s="6" t="n">
        <v>73.09999999999999</v>
      </c>
      <c r="E3239" s="6" t="n">
        <v>1206910.32</v>
      </c>
      <c r="F3239" s="6">
        <f>ROUND(E3239-E3238,2)</f>
        <v/>
      </c>
      <c r="G3239" s="6">
        <f>ROUND(F3239-D3239,2)</f>
        <v/>
      </c>
    </row>
    <row r="3240">
      <c r="A3240" t="inlineStr">
        <is>
          <t>2022-08-26</t>
        </is>
      </c>
      <c r="B3240" t="n">
        <v>13</v>
      </c>
      <c r="C3240" t="n">
        <v>3041</v>
      </c>
      <c r="D3240" s="6" t="n">
        <v>32</v>
      </c>
      <c r="E3240" s="6" t="n">
        <v>1206942.32</v>
      </c>
      <c r="F3240" s="6">
        <f>ROUND(E3240-E3239,2)</f>
        <v/>
      </c>
      <c r="G3240" s="6">
        <f>ROUND(F3240-D3240,2)</f>
        <v/>
      </c>
    </row>
    <row r="3241">
      <c r="A3241" t="inlineStr">
        <is>
          <t>2022-08-26</t>
        </is>
      </c>
      <c r="B3241" t="n">
        <v>14</v>
      </c>
      <c r="C3241" t="n">
        <v>3041</v>
      </c>
      <c r="D3241" s="6" t="n">
        <v>40.6</v>
      </c>
      <c r="E3241" s="6" t="n">
        <v>1206982.92</v>
      </c>
      <c r="F3241" s="6">
        <f>ROUND(E3241-E3240,2)</f>
        <v/>
      </c>
      <c r="G3241" s="6">
        <f>ROUND(F3241-D3241,2)</f>
        <v/>
      </c>
    </row>
    <row r="3242">
      <c r="A3242" t="inlineStr">
        <is>
          <t>2022-08-26</t>
        </is>
      </c>
      <c r="B3242" t="n">
        <v>15</v>
      </c>
      <c r="C3242" t="n">
        <v>3041</v>
      </c>
      <c r="D3242" s="6" t="n">
        <v>79.59999999999999</v>
      </c>
      <c r="E3242" s="6" t="n">
        <v>1207062.52</v>
      </c>
      <c r="F3242" s="6">
        <f>ROUND(E3242-E3241,2)</f>
        <v/>
      </c>
      <c r="G3242" s="6">
        <f>ROUND(F3242-D3242,2)</f>
        <v/>
      </c>
    </row>
    <row r="3243">
      <c r="A3243" t="inlineStr">
        <is>
          <t>2022-08-26</t>
        </is>
      </c>
      <c r="B3243" t="n">
        <v>16</v>
      </c>
      <c r="C3243" t="n">
        <v>3041</v>
      </c>
      <c r="D3243" s="6" t="n">
        <v>175.9</v>
      </c>
      <c r="E3243" s="6" t="n">
        <v>1207238.42</v>
      </c>
      <c r="F3243" s="6">
        <f>ROUND(E3243-E3242,2)</f>
        <v/>
      </c>
      <c r="G3243" s="6">
        <f>ROUND(F3243-D3243,2)</f>
        <v/>
      </c>
    </row>
    <row r="3244">
      <c r="A3244" t="inlineStr">
        <is>
          <t>2022-08-26</t>
        </is>
      </c>
      <c r="B3244" t="n">
        <v>17</v>
      </c>
      <c r="C3244" t="n">
        <v>3041</v>
      </c>
      <c r="D3244" s="6" t="n">
        <v>42.1</v>
      </c>
      <c r="E3244" s="6" t="n">
        <v>1207280.52</v>
      </c>
      <c r="F3244" s="6">
        <f>ROUND(E3244-E3243,2)</f>
        <v/>
      </c>
      <c r="G3244" s="6">
        <f>ROUND(F3244-D3244,2)</f>
        <v/>
      </c>
    </row>
    <row r="3245">
      <c r="A3245" t="inlineStr">
        <is>
          <t>2022-08-26</t>
        </is>
      </c>
      <c r="B3245" t="n">
        <v>18</v>
      </c>
      <c r="C3245" t="n">
        <v>3041</v>
      </c>
      <c r="D3245" s="6" t="n">
        <v>68.3</v>
      </c>
      <c r="E3245" s="6" t="n">
        <v>1207348.82</v>
      </c>
      <c r="F3245" s="6">
        <f>ROUND(E3245-E3244,2)</f>
        <v/>
      </c>
      <c r="G3245" s="6">
        <f>ROUND(F3245-D3245,2)</f>
        <v/>
      </c>
    </row>
    <row r="3246">
      <c r="A3246" t="inlineStr">
        <is>
          <t>2022-08-26</t>
        </is>
      </c>
      <c r="B3246" t="n">
        <v>19</v>
      </c>
      <c r="C3246" t="n">
        <v>3041</v>
      </c>
      <c r="D3246" s="6" t="n">
        <v>123.1</v>
      </c>
      <c r="E3246" s="6" t="n">
        <v>1207471.92</v>
      </c>
      <c r="F3246" s="6">
        <f>ROUND(E3246-E3245,2)</f>
        <v/>
      </c>
      <c r="G3246" s="6">
        <f>ROUND(F3246-D3246,2)</f>
        <v/>
      </c>
    </row>
    <row r="3247">
      <c r="A3247" t="inlineStr">
        <is>
          <t>2022-08-26</t>
        </is>
      </c>
      <c r="B3247" t="n">
        <v>20</v>
      </c>
      <c r="C3247" t="n">
        <v>3041</v>
      </c>
      <c r="D3247" s="6" t="n">
        <v>106.1</v>
      </c>
      <c r="E3247" s="6" t="n">
        <v>1207578.02</v>
      </c>
      <c r="F3247" s="6">
        <f>ROUND(E3247-E3246,2)</f>
        <v/>
      </c>
      <c r="G3247" s="6">
        <f>ROUND(F3247-D3247,2)</f>
        <v/>
      </c>
    </row>
    <row r="3248">
      <c r="A3248" t="inlineStr">
        <is>
          <t>2022-08-26</t>
        </is>
      </c>
      <c r="B3248" t="n">
        <v>21</v>
      </c>
      <c r="C3248" t="n">
        <v>3041</v>
      </c>
      <c r="D3248" s="6" t="n">
        <v>146.7</v>
      </c>
      <c r="E3248" s="6" t="n">
        <v>1207724.72</v>
      </c>
      <c r="F3248" s="6">
        <f>ROUND(E3248-E3247,2)</f>
        <v/>
      </c>
      <c r="G3248" s="6">
        <f>ROUND(F3248-D3248,2)</f>
        <v/>
      </c>
    </row>
    <row r="3249">
      <c r="A3249" t="inlineStr">
        <is>
          <t>2022-08-26</t>
        </is>
      </c>
      <c r="B3249" t="n">
        <v>22</v>
      </c>
      <c r="C3249" t="n">
        <v>3041</v>
      </c>
      <c r="D3249" s="6" t="n">
        <v>80.8</v>
      </c>
      <c r="E3249" s="6" t="n">
        <v>1207805.52</v>
      </c>
      <c r="F3249" s="6">
        <f>ROUND(E3249-E3248,2)</f>
        <v/>
      </c>
      <c r="G3249" s="6">
        <f>ROUND(F3249-D3249,2)</f>
        <v/>
      </c>
    </row>
    <row r="3250">
      <c r="A3250" t="inlineStr">
        <is>
          <t>2022-08-26</t>
        </is>
      </c>
      <c r="B3250" t="n">
        <v>23</v>
      </c>
      <c r="C3250" t="n">
        <v>3041</v>
      </c>
      <c r="D3250" s="6" t="n">
        <v>102.6</v>
      </c>
      <c r="E3250" s="6" t="n">
        <v>1207908.12</v>
      </c>
      <c r="F3250" s="6">
        <f>ROUND(E3250-E3249,2)</f>
        <v/>
      </c>
      <c r="G3250" s="6">
        <f>ROUND(F3250-D3250,2)</f>
        <v/>
      </c>
    </row>
    <row r="3251">
      <c r="A3251" t="inlineStr">
        <is>
          <t>2022-08-26</t>
        </is>
      </c>
      <c r="B3251" t="n">
        <v>24</v>
      </c>
      <c r="C3251" t="n">
        <v>3041</v>
      </c>
      <c r="D3251" s="6" t="n">
        <v>45.3</v>
      </c>
      <c r="E3251" s="6" t="n">
        <v>1207953.42</v>
      </c>
      <c r="F3251" s="6">
        <f>ROUND(E3251-E3250,2)</f>
        <v/>
      </c>
      <c r="G3251" s="6">
        <f>ROUND(F3251-D3251,2)</f>
        <v/>
      </c>
    </row>
    <row r="3252">
      <c r="A3252" t="inlineStr">
        <is>
          <t>2022-08-26</t>
        </is>
      </c>
      <c r="B3252" t="n">
        <v>25</v>
      </c>
      <c r="C3252" t="n">
        <v>3041</v>
      </c>
      <c r="D3252" s="6" t="n">
        <v>99.3</v>
      </c>
      <c r="E3252" s="6" t="n">
        <v>1208052.72</v>
      </c>
      <c r="F3252" s="6">
        <f>ROUND(E3252-E3251,2)</f>
        <v/>
      </c>
      <c r="G3252" s="6">
        <f>ROUND(F3252-D3252,2)</f>
        <v/>
      </c>
    </row>
    <row r="3253">
      <c r="A3253" t="inlineStr">
        <is>
          <t>2022-08-26</t>
        </is>
      </c>
      <c r="B3253" t="n">
        <v>26</v>
      </c>
      <c r="C3253" t="n">
        <v>3041</v>
      </c>
      <c r="D3253" s="6" t="n">
        <v>98.7</v>
      </c>
      <c r="E3253" s="6" t="n">
        <v>1208151.42</v>
      </c>
      <c r="F3253" s="6">
        <f>ROUND(E3253-E3252,2)</f>
        <v/>
      </c>
      <c r="G3253" s="6">
        <f>ROUND(F3253-D3253,2)</f>
        <v/>
      </c>
    </row>
    <row r="3254">
      <c r="A3254" t="inlineStr">
        <is>
          <t>2022-08-26</t>
        </is>
      </c>
      <c r="B3254" t="n">
        <v>27</v>
      </c>
      <c r="C3254" t="n">
        <v>3041</v>
      </c>
      <c r="D3254" s="6" t="n">
        <v>106.3</v>
      </c>
      <c r="E3254" s="6" t="n">
        <v>1208257.72</v>
      </c>
      <c r="F3254" s="6">
        <f>ROUND(E3254-E3253,2)</f>
        <v/>
      </c>
      <c r="G3254" s="6">
        <f>ROUND(F3254-D3254,2)</f>
        <v/>
      </c>
    </row>
    <row r="3255">
      <c r="A3255" t="inlineStr">
        <is>
          <t>2022-08-26</t>
        </is>
      </c>
      <c r="B3255" t="n">
        <v>28</v>
      </c>
      <c r="C3255" t="n">
        <v>3041</v>
      </c>
      <c r="D3255" s="6" t="n">
        <v>86.2</v>
      </c>
      <c r="E3255" s="6" t="n">
        <v>1208343.92</v>
      </c>
      <c r="F3255" s="6">
        <f>ROUND(E3255-E3254,2)</f>
        <v/>
      </c>
      <c r="G3255" s="6">
        <f>ROUND(F3255-D3255,2)</f>
        <v/>
      </c>
    </row>
    <row r="3256">
      <c r="A3256" t="inlineStr">
        <is>
          <t>2022-08-26</t>
        </is>
      </c>
      <c r="B3256" t="n">
        <v>29</v>
      </c>
      <c r="C3256" t="n">
        <v>3041</v>
      </c>
      <c r="D3256" s="6" t="n">
        <v>37.25</v>
      </c>
      <c r="E3256" s="6" t="n">
        <v>1208381.17</v>
      </c>
      <c r="F3256" s="6">
        <f>ROUND(E3256-E3255,2)</f>
        <v/>
      </c>
      <c r="G3256" s="6">
        <f>ROUND(F3256-D3256,2)</f>
        <v/>
      </c>
    </row>
    <row r="3257">
      <c r="A3257" t="inlineStr">
        <is>
          <t>2022-08-27</t>
        </is>
      </c>
      <c r="B3257" t="n">
        <v>1</v>
      </c>
      <c r="C3257" t="n">
        <v>3042</v>
      </c>
      <c r="D3257" s="6" t="n">
        <v>62.1</v>
      </c>
      <c r="E3257" s="6" t="n">
        <v>1208443.27</v>
      </c>
      <c r="F3257" s="6">
        <f>ROUND(E3257-E3256,2)</f>
        <v/>
      </c>
      <c r="G3257" s="6">
        <f>ROUND(F3257-D3257,2)</f>
        <v/>
      </c>
    </row>
    <row r="3258">
      <c r="A3258" t="inlineStr">
        <is>
          <t>2022-08-27</t>
        </is>
      </c>
      <c r="B3258" t="n">
        <v>2</v>
      </c>
      <c r="C3258" t="n">
        <v>3042</v>
      </c>
      <c r="D3258" s="6" t="n">
        <v>64.8</v>
      </c>
      <c r="E3258" s="6" t="n">
        <v>1208508.07</v>
      </c>
      <c r="F3258" s="6">
        <f>ROUND(E3258-E3257,2)</f>
        <v/>
      </c>
      <c r="G3258" s="6">
        <f>ROUND(F3258-D3258,2)</f>
        <v/>
      </c>
    </row>
    <row r="3259">
      <c r="A3259" t="inlineStr">
        <is>
          <t>2022-08-27</t>
        </is>
      </c>
      <c r="B3259" t="n">
        <v>3</v>
      </c>
      <c r="C3259" t="n">
        <v>3042</v>
      </c>
      <c r="D3259" s="6" t="n">
        <v>86.5</v>
      </c>
      <c r="E3259" s="6" t="n">
        <v>1208594.57</v>
      </c>
      <c r="F3259" s="6">
        <f>ROUND(E3259-E3258,2)</f>
        <v/>
      </c>
      <c r="G3259" s="6">
        <f>ROUND(F3259-D3259,2)</f>
        <v/>
      </c>
    </row>
    <row r="3260">
      <c r="A3260" t="inlineStr">
        <is>
          <t>2022-08-27</t>
        </is>
      </c>
      <c r="B3260" t="n">
        <v>4</v>
      </c>
      <c r="C3260" t="n">
        <v>3042</v>
      </c>
      <c r="D3260" s="6" t="n">
        <v>24.3</v>
      </c>
      <c r="E3260" s="6" t="n">
        <v>1208618.87</v>
      </c>
      <c r="F3260" s="6">
        <f>ROUND(E3260-E3259,2)</f>
        <v/>
      </c>
      <c r="G3260" s="6">
        <f>ROUND(F3260-D3260,2)</f>
        <v/>
      </c>
    </row>
    <row r="3261">
      <c r="A3261" t="inlineStr">
        <is>
          <t>2022-08-27</t>
        </is>
      </c>
      <c r="B3261" t="n">
        <v>5</v>
      </c>
      <c r="C3261" t="n">
        <v>3042</v>
      </c>
      <c r="D3261" s="6" t="n">
        <v>83.7</v>
      </c>
      <c r="E3261" s="6" t="n">
        <v>1208702.57</v>
      </c>
      <c r="F3261" s="6">
        <f>ROUND(E3261-E3260,2)</f>
        <v/>
      </c>
      <c r="G3261" s="6">
        <f>ROUND(F3261-D3261,2)</f>
        <v/>
      </c>
    </row>
    <row r="3262">
      <c r="A3262" t="inlineStr">
        <is>
          <t>2022-08-27</t>
        </is>
      </c>
      <c r="B3262" t="n">
        <v>6</v>
      </c>
      <c r="C3262" t="n">
        <v>3042</v>
      </c>
      <c r="D3262" s="6" t="n">
        <v>23.2</v>
      </c>
      <c r="E3262" s="6" t="n">
        <v>1208725.77</v>
      </c>
      <c r="F3262" s="6">
        <f>ROUND(E3262-E3261,2)</f>
        <v/>
      </c>
      <c r="G3262" s="6">
        <f>ROUND(F3262-D3262,2)</f>
        <v/>
      </c>
    </row>
    <row r="3263">
      <c r="A3263" t="inlineStr">
        <is>
          <t>2022-08-27</t>
        </is>
      </c>
      <c r="B3263" t="n">
        <v>7</v>
      </c>
      <c r="C3263" t="n">
        <v>3042</v>
      </c>
      <c r="D3263" s="6" t="n">
        <v>101</v>
      </c>
      <c r="E3263" s="6" t="n">
        <v>1208826.77</v>
      </c>
      <c r="F3263" s="6">
        <f>ROUND(E3263-E3262,2)</f>
        <v/>
      </c>
      <c r="G3263" s="6">
        <f>ROUND(F3263-D3263,2)</f>
        <v/>
      </c>
    </row>
    <row r="3264">
      <c r="A3264" t="inlineStr">
        <is>
          <t>2022-08-27</t>
        </is>
      </c>
      <c r="B3264" t="n">
        <v>8</v>
      </c>
      <c r="C3264" t="n">
        <v>3042</v>
      </c>
      <c r="D3264" s="6" t="n">
        <v>70.90000000000001</v>
      </c>
      <c r="E3264" s="6" t="n">
        <v>1208897.67</v>
      </c>
      <c r="F3264" s="6">
        <f>ROUND(E3264-E3263,2)</f>
        <v/>
      </c>
      <c r="G3264" s="6">
        <f>ROUND(F3264-D3264,2)</f>
        <v/>
      </c>
    </row>
    <row r="3265">
      <c r="A3265" t="inlineStr">
        <is>
          <t>2022-08-27</t>
        </is>
      </c>
      <c r="B3265" t="n">
        <v>9</v>
      </c>
      <c r="C3265" t="n">
        <v>3042</v>
      </c>
      <c r="D3265" s="6" t="n">
        <v>82.8</v>
      </c>
      <c r="E3265" s="6" t="n">
        <v>1208980.47</v>
      </c>
      <c r="F3265" s="6">
        <f>ROUND(E3265-E3264,2)</f>
        <v/>
      </c>
      <c r="G3265" s="6">
        <f>ROUND(F3265-D3265,2)</f>
        <v/>
      </c>
    </row>
    <row r="3266">
      <c r="A3266" t="inlineStr">
        <is>
          <t>2022-08-27</t>
        </is>
      </c>
      <c r="B3266" t="n">
        <v>10</v>
      </c>
      <c r="C3266" t="n">
        <v>3042</v>
      </c>
      <c r="D3266" s="6" t="n">
        <v>53.1</v>
      </c>
      <c r="E3266" s="6" t="n">
        <v>1209033.57</v>
      </c>
      <c r="F3266" s="6">
        <f>ROUND(E3266-E3265,2)</f>
        <v/>
      </c>
      <c r="G3266" s="6">
        <f>ROUND(F3266-D3266,2)</f>
        <v/>
      </c>
    </row>
    <row r="3267">
      <c r="A3267" t="inlineStr">
        <is>
          <t>2022-08-27</t>
        </is>
      </c>
      <c r="B3267" t="n">
        <v>11</v>
      </c>
      <c r="C3267" t="n">
        <v>3042</v>
      </c>
      <c r="D3267" s="6" t="n">
        <v>76.7</v>
      </c>
      <c r="E3267" s="6" t="n">
        <v>1209110.27</v>
      </c>
      <c r="F3267" s="6">
        <f>ROUND(E3267-E3266,2)</f>
        <v/>
      </c>
      <c r="G3267" s="6">
        <f>ROUND(F3267-D3267,2)</f>
        <v/>
      </c>
    </row>
    <row r="3268">
      <c r="A3268" t="inlineStr">
        <is>
          <t>2022-08-27</t>
        </is>
      </c>
      <c r="B3268" t="n">
        <v>12</v>
      </c>
      <c r="C3268" t="n">
        <v>3042</v>
      </c>
      <c r="D3268" s="6" t="n">
        <v>126.7</v>
      </c>
      <c r="E3268" s="6" t="n">
        <v>1209236.97</v>
      </c>
      <c r="F3268" s="6">
        <f>ROUND(E3268-E3267,2)</f>
        <v/>
      </c>
      <c r="G3268" s="6">
        <f>ROUND(F3268-D3268,2)</f>
        <v/>
      </c>
    </row>
    <row r="3269">
      <c r="A3269" t="inlineStr">
        <is>
          <t>2022-08-27</t>
        </is>
      </c>
      <c r="B3269" t="n">
        <v>13</v>
      </c>
      <c r="C3269" t="n">
        <v>3042</v>
      </c>
      <c r="D3269" s="6" t="n">
        <v>56.1</v>
      </c>
      <c r="E3269" s="6" t="n">
        <v>1209293.07</v>
      </c>
      <c r="F3269" s="6">
        <f>ROUND(E3269-E3268,2)</f>
        <v/>
      </c>
      <c r="G3269" s="6">
        <f>ROUND(F3269-D3269,2)</f>
        <v/>
      </c>
    </row>
    <row r="3270">
      <c r="A3270" t="inlineStr">
        <is>
          <t>2022-08-27</t>
        </is>
      </c>
      <c r="B3270" t="n">
        <v>14</v>
      </c>
      <c r="C3270" t="n">
        <v>3042</v>
      </c>
      <c r="D3270" s="6" t="n">
        <v>106.5</v>
      </c>
      <c r="E3270" s="6" t="n">
        <v>1209399.57</v>
      </c>
      <c r="F3270" s="6">
        <f>ROUND(E3270-E3269,2)</f>
        <v/>
      </c>
      <c r="G3270" s="6">
        <f>ROUND(F3270-D3270,2)</f>
        <v/>
      </c>
    </row>
    <row r="3271">
      <c r="A3271" t="inlineStr">
        <is>
          <t>2022-08-27</t>
        </is>
      </c>
      <c r="B3271" t="n">
        <v>15</v>
      </c>
      <c r="C3271" t="n">
        <v>3042</v>
      </c>
      <c r="D3271" s="6" t="n">
        <v>41.5</v>
      </c>
      <c r="E3271" s="6" t="n">
        <v>1209441.07</v>
      </c>
      <c r="F3271" s="6">
        <f>ROUND(E3271-E3270,2)</f>
        <v/>
      </c>
      <c r="G3271" s="6">
        <f>ROUND(F3271-D3271,2)</f>
        <v/>
      </c>
    </row>
    <row r="3272">
      <c r="A3272" t="inlineStr">
        <is>
          <t>2022-08-27</t>
        </is>
      </c>
      <c r="B3272" t="n">
        <v>16</v>
      </c>
      <c r="C3272" t="n">
        <v>3042</v>
      </c>
      <c r="D3272" s="6" t="n">
        <v>32.6</v>
      </c>
      <c r="E3272" s="6" t="n">
        <v>1209473.67</v>
      </c>
      <c r="F3272" s="6">
        <f>ROUND(E3272-E3271,2)</f>
        <v/>
      </c>
      <c r="G3272" s="6">
        <f>ROUND(F3272-D3272,2)</f>
        <v/>
      </c>
    </row>
    <row r="3273">
      <c r="A3273" t="inlineStr">
        <is>
          <t>2022-08-27</t>
        </is>
      </c>
      <c r="B3273" t="n">
        <v>17</v>
      </c>
      <c r="C3273" t="n">
        <v>3042</v>
      </c>
      <c r="D3273" s="6" t="n">
        <v>62.9</v>
      </c>
      <c r="E3273" s="6" t="n">
        <v>1209536.57</v>
      </c>
      <c r="F3273" s="6">
        <f>ROUND(E3273-E3272,2)</f>
        <v/>
      </c>
      <c r="G3273" s="6">
        <f>ROUND(F3273-D3273,2)</f>
        <v/>
      </c>
    </row>
    <row r="3274">
      <c r="A3274" t="inlineStr">
        <is>
          <t>2022-08-27</t>
        </is>
      </c>
      <c r="B3274" t="n">
        <v>18</v>
      </c>
      <c r="C3274" t="n">
        <v>3042</v>
      </c>
      <c r="D3274" s="6" t="n">
        <v>42.4</v>
      </c>
      <c r="E3274" s="6" t="n">
        <v>1209578.97</v>
      </c>
      <c r="F3274" s="6">
        <f>ROUND(E3274-E3273,2)</f>
        <v/>
      </c>
      <c r="G3274" s="6">
        <f>ROUND(F3274-D3274,2)</f>
        <v/>
      </c>
    </row>
    <row r="3275">
      <c r="A3275" t="inlineStr">
        <is>
          <t>2022-08-27</t>
        </is>
      </c>
      <c r="B3275" t="n">
        <v>19</v>
      </c>
      <c r="C3275" t="n">
        <v>3042</v>
      </c>
      <c r="D3275" s="6" t="n">
        <v>63.7</v>
      </c>
      <c r="E3275" s="6" t="n">
        <v>1209642.67</v>
      </c>
      <c r="F3275" s="6">
        <f>ROUND(E3275-E3274,2)</f>
        <v/>
      </c>
      <c r="G3275" s="6">
        <f>ROUND(F3275-D3275,2)</f>
        <v/>
      </c>
    </row>
    <row r="3276">
      <c r="A3276" t="inlineStr">
        <is>
          <t>2022-08-27</t>
        </is>
      </c>
      <c r="B3276" t="n">
        <v>20</v>
      </c>
      <c r="C3276" t="n">
        <v>3042</v>
      </c>
      <c r="D3276" s="6" t="n">
        <v>23.2</v>
      </c>
      <c r="E3276" s="6" t="n">
        <v>1209665.87</v>
      </c>
      <c r="F3276" s="6">
        <f>ROUND(E3276-E3275,2)</f>
        <v/>
      </c>
      <c r="G3276" s="6">
        <f>ROUND(F3276-D3276,2)</f>
        <v/>
      </c>
    </row>
    <row r="3277">
      <c r="A3277" t="inlineStr">
        <is>
          <t>2022-08-27</t>
        </is>
      </c>
      <c r="B3277" t="n">
        <v>21</v>
      </c>
      <c r="C3277" t="n">
        <v>3042</v>
      </c>
      <c r="D3277" s="6" t="n">
        <v>79.8</v>
      </c>
      <c r="E3277" s="6" t="n">
        <v>1209745.67</v>
      </c>
      <c r="F3277" s="6">
        <f>ROUND(E3277-E3276,2)</f>
        <v/>
      </c>
      <c r="G3277" s="6">
        <f>ROUND(F3277-D3277,2)</f>
        <v/>
      </c>
    </row>
    <row r="3278">
      <c r="A3278" t="inlineStr">
        <is>
          <t>2022-08-27</t>
        </is>
      </c>
      <c r="B3278" t="n">
        <v>22</v>
      </c>
      <c r="C3278" t="n">
        <v>3042</v>
      </c>
      <c r="D3278" s="6" t="n">
        <v>45.8</v>
      </c>
      <c r="E3278" s="6" t="n">
        <v>1209791.47</v>
      </c>
      <c r="F3278" s="6">
        <f>ROUND(E3278-E3277,2)</f>
        <v/>
      </c>
      <c r="G3278" s="6">
        <f>ROUND(F3278-D3278,2)</f>
        <v/>
      </c>
    </row>
    <row r="3279">
      <c r="A3279" t="inlineStr">
        <is>
          <t>2022-08-27</t>
        </is>
      </c>
      <c r="B3279" t="n">
        <v>23</v>
      </c>
      <c r="C3279" t="n">
        <v>3042</v>
      </c>
      <c r="D3279" s="6" t="n">
        <v>43.3</v>
      </c>
      <c r="E3279" s="6" t="n">
        <v>1209834.77</v>
      </c>
      <c r="F3279" s="6">
        <f>ROUND(E3279-E3278,2)</f>
        <v/>
      </c>
      <c r="G3279" s="6">
        <f>ROUND(F3279-D3279,2)</f>
        <v/>
      </c>
    </row>
    <row r="3280">
      <c r="A3280" t="inlineStr">
        <is>
          <t>2022-08-27</t>
        </is>
      </c>
      <c r="B3280" t="n">
        <v>24</v>
      </c>
      <c r="C3280" t="n">
        <v>3042</v>
      </c>
      <c r="D3280" s="6" t="n">
        <v>55.7</v>
      </c>
      <c r="E3280" s="6" t="n">
        <v>1209890.47</v>
      </c>
      <c r="F3280" s="6">
        <f>ROUND(E3280-E3279,2)</f>
        <v/>
      </c>
      <c r="G3280" s="6">
        <f>ROUND(F3280-D3280,2)</f>
        <v/>
      </c>
    </row>
    <row r="3281">
      <c r="A3281" t="inlineStr">
        <is>
          <t>2022-08-27</t>
        </is>
      </c>
      <c r="B3281" t="n">
        <v>25</v>
      </c>
      <c r="C3281" t="n">
        <v>3042</v>
      </c>
      <c r="D3281" s="6" t="n">
        <v>64.59999999999999</v>
      </c>
      <c r="E3281" s="6" t="n">
        <v>1209955.07</v>
      </c>
      <c r="F3281" s="6">
        <f>ROUND(E3281-E3280,2)</f>
        <v/>
      </c>
      <c r="G3281" s="6">
        <f>ROUND(F3281-D3281,2)</f>
        <v/>
      </c>
    </row>
    <row r="3282">
      <c r="A3282" t="inlineStr">
        <is>
          <t>2022-08-27</t>
        </is>
      </c>
      <c r="B3282" t="n">
        <v>26</v>
      </c>
      <c r="C3282" t="n">
        <v>3042</v>
      </c>
      <c r="D3282" s="6" t="n">
        <v>84.59999999999999</v>
      </c>
      <c r="E3282" s="6" t="n">
        <v>1210039.67</v>
      </c>
      <c r="F3282" s="6">
        <f>ROUND(E3282-E3281,2)</f>
        <v/>
      </c>
      <c r="G3282" s="6">
        <f>ROUND(F3282-D3282,2)</f>
        <v/>
      </c>
    </row>
    <row r="3283">
      <c r="A3283" t="inlineStr">
        <is>
          <t>2022-08-27</t>
        </is>
      </c>
      <c r="B3283" t="n">
        <v>27</v>
      </c>
      <c r="C3283" t="n">
        <v>3042</v>
      </c>
      <c r="D3283" s="6" t="n">
        <v>102.4</v>
      </c>
      <c r="E3283" s="6" t="n">
        <v>1210142.07</v>
      </c>
      <c r="F3283" s="6">
        <f>ROUND(E3283-E3282,2)</f>
        <v/>
      </c>
      <c r="G3283" s="6">
        <f>ROUND(F3283-D3283,2)</f>
        <v/>
      </c>
    </row>
    <row r="3284">
      <c r="A3284" t="inlineStr">
        <is>
          <t>2022-08-27</t>
        </is>
      </c>
      <c r="B3284" t="n">
        <v>28</v>
      </c>
      <c r="C3284" t="n">
        <v>3042</v>
      </c>
      <c r="D3284" s="6" t="n">
        <v>74.2</v>
      </c>
      <c r="E3284" s="6" t="n">
        <v>1210216.27</v>
      </c>
      <c r="F3284" s="6">
        <f>ROUND(E3284-E3283,2)</f>
        <v/>
      </c>
      <c r="G3284" s="6">
        <f>ROUND(F3284-D3284,2)</f>
        <v/>
      </c>
    </row>
    <row r="3285">
      <c r="A3285" t="inlineStr">
        <is>
          <t>2022-08-27</t>
        </is>
      </c>
      <c r="B3285" t="n">
        <v>29</v>
      </c>
      <c r="C3285" t="n">
        <v>3042</v>
      </c>
      <c r="D3285" s="6" t="n">
        <v>103.4</v>
      </c>
      <c r="E3285" s="6" t="n">
        <v>1210319.67</v>
      </c>
      <c r="F3285" s="6">
        <f>ROUND(E3285-E3284,2)</f>
        <v/>
      </c>
      <c r="G3285" s="6">
        <f>ROUND(F3285-D3285,2)</f>
        <v/>
      </c>
    </row>
    <row r="3286">
      <c r="A3286" t="inlineStr">
        <is>
          <t>2022-08-27</t>
        </is>
      </c>
      <c r="B3286" t="n">
        <v>30</v>
      </c>
      <c r="C3286" t="n">
        <v>3042</v>
      </c>
      <c r="D3286" s="6" t="n">
        <v>78.2</v>
      </c>
      <c r="E3286" s="6" t="n">
        <v>1210397.87</v>
      </c>
      <c r="F3286" s="6">
        <f>ROUND(E3286-E3285,2)</f>
        <v/>
      </c>
      <c r="G3286" s="6">
        <f>ROUND(F3286-D3286,2)</f>
        <v/>
      </c>
    </row>
    <row r="3287">
      <c r="A3287" t="inlineStr">
        <is>
          <t>2022-08-27</t>
        </is>
      </c>
      <c r="B3287" t="n">
        <v>31</v>
      </c>
      <c r="C3287" t="n">
        <v>3042</v>
      </c>
      <c r="D3287" s="6" t="n">
        <v>82.8</v>
      </c>
      <c r="E3287" s="6" t="n">
        <v>1210480.67</v>
      </c>
      <c r="F3287" s="6">
        <f>ROUND(E3287-E3286,2)</f>
        <v/>
      </c>
      <c r="G3287" s="6">
        <f>ROUND(F3287-D3287,2)</f>
        <v/>
      </c>
    </row>
    <row r="3288">
      <c r="A3288" t="inlineStr">
        <is>
          <t>2022-08-27</t>
        </is>
      </c>
      <c r="B3288" t="n">
        <v>32</v>
      </c>
      <c r="C3288" t="n">
        <v>3042</v>
      </c>
      <c r="D3288" s="6" t="n">
        <v>31.25</v>
      </c>
      <c r="E3288" s="6" t="n">
        <v>1210511.92</v>
      </c>
      <c r="F3288" s="6">
        <f>ROUND(E3288-E3287,2)</f>
        <v/>
      </c>
      <c r="G3288" s="6">
        <f>ROUND(F3288-D3288,2)</f>
        <v/>
      </c>
    </row>
    <row r="3289">
      <c r="A3289" t="inlineStr">
        <is>
          <t>2022-08-27</t>
        </is>
      </c>
      <c r="B3289" t="n">
        <v>33</v>
      </c>
      <c r="C3289" t="n">
        <v>3042</v>
      </c>
      <c r="D3289" s="6" t="n">
        <v>31.25</v>
      </c>
      <c r="E3289" s="6" t="n">
        <v>1210543.17</v>
      </c>
      <c r="F3289" s="6">
        <f>ROUND(E3289-E3288,2)</f>
        <v/>
      </c>
      <c r="G3289" s="6">
        <f>ROUND(F3289-D3289,2)</f>
        <v/>
      </c>
    </row>
    <row r="3290">
      <c r="A3290" t="inlineStr">
        <is>
          <t>2022-08-27</t>
        </is>
      </c>
      <c r="B3290" t="n">
        <v>34</v>
      </c>
      <c r="C3290" t="n">
        <v>3042</v>
      </c>
      <c r="D3290" s="6" t="n">
        <v>43.22</v>
      </c>
      <c r="E3290" s="6" t="n">
        <v>1210586.39</v>
      </c>
      <c r="F3290" s="6">
        <f>ROUND(E3290-E3289,2)</f>
        <v/>
      </c>
      <c r="G3290" s="6">
        <f>ROUND(F3290-D3290,2)</f>
        <v/>
      </c>
    </row>
    <row r="3291">
      <c r="A3291" t="inlineStr">
        <is>
          <t>2022-08-27</t>
        </is>
      </c>
      <c r="B3291" t="n">
        <v>35</v>
      </c>
      <c r="C3291" t="n">
        <v>3042</v>
      </c>
      <c r="D3291" s="6" t="n">
        <v>43.31</v>
      </c>
      <c r="E3291" s="6" t="n">
        <v>1210629.7</v>
      </c>
      <c r="F3291" s="6">
        <f>ROUND(E3291-E3290,2)</f>
        <v/>
      </c>
      <c r="G3291" s="6">
        <f>ROUND(F3291-D3291,2)</f>
        <v/>
      </c>
    </row>
    <row r="3292">
      <c r="A3292" t="inlineStr">
        <is>
          <t>2022-08-27</t>
        </is>
      </c>
      <c r="B3292" t="n">
        <v>36</v>
      </c>
      <c r="C3292" t="n">
        <v>3042</v>
      </c>
      <c r="D3292" s="6" t="n">
        <v>43.07</v>
      </c>
      <c r="E3292" s="6" t="n">
        <v>1210672.77</v>
      </c>
      <c r="F3292" s="6">
        <f>ROUND(E3292-E3291,2)</f>
        <v/>
      </c>
      <c r="G3292" s="6">
        <f>ROUND(F3292-D3292,2)</f>
        <v/>
      </c>
    </row>
    <row r="3293">
      <c r="A3293" t="inlineStr">
        <is>
          <t>2022-08-27</t>
        </is>
      </c>
      <c r="B3293" t="n">
        <v>37</v>
      </c>
      <c r="C3293" t="n">
        <v>3042</v>
      </c>
      <c r="D3293" s="6" t="n">
        <v>261.9</v>
      </c>
      <c r="E3293" s="6" t="n">
        <v>1210934.67</v>
      </c>
      <c r="F3293" s="6">
        <f>ROUND(E3293-E3292,2)</f>
        <v/>
      </c>
      <c r="G3293" s="6">
        <f>ROUND(F3293-D3293,2)</f>
        <v/>
      </c>
    </row>
    <row r="3294">
      <c r="A3294" t="inlineStr">
        <is>
          <t>2022-08-27</t>
        </is>
      </c>
      <c r="B3294" t="n">
        <v>38</v>
      </c>
      <c r="C3294" t="n">
        <v>3042</v>
      </c>
      <c r="D3294" s="6" t="n">
        <v>173.5</v>
      </c>
      <c r="E3294" s="6" t="n">
        <v>1211108.17</v>
      </c>
      <c r="F3294" s="6">
        <f>ROUND(E3294-E3293,2)</f>
        <v/>
      </c>
      <c r="G3294" s="6">
        <f>ROUND(F3294-D3294,2)</f>
        <v/>
      </c>
    </row>
    <row r="3295">
      <c r="A3295" t="inlineStr">
        <is>
          <t>2022-08-27</t>
        </is>
      </c>
      <c r="B3295" t="n">
        <v>39</v>
      </c>
      <c r="C3295" t="n">
        <v>3042</v>
      </c>
      <c r="D3295" s="6" t="n">
        <v>78.2</v>
      </c>
      <c r="E3295" s="6" t="n">
        <v>1211186.37</v>
      </c>
      <c r="F3295" s="6">
        <f>ROUND(E3295-E3294,2)</f>
        <v/>
      </c>
      <c r="G3295" s="6">
        <f>ROUND(F3295-D3295,2)</f>
        <v/>
      </c>
    </row>
    <row r="3296">
      <c r="A3296" t="inlineStr">
        <is>
          <t>2022-08-28</t>
        </is>
      </c>
      <c r="B3296" t="n">
        <v>1</v>
      </c>
      <c r="C3296" t="n">
        <v>3043</v>
      </c>
      <c r="D3296" s="6" t="n">
        <v>77</v>
      </c>
      <c r="E3296" s="6" t="n">
        <v>1211263.37</v>
      </c>
      <c r="F3296" s="6">
        <f>ROUND(E3296-E3295,2)</f>
        <v/>
      </c>
      <c r="G3296" s="6">
        <f>ROUND(F3296-D3296,2)</f>
        <v/>
      </c>
    </row>
    <row r="3297">
      <c r="A3297" t="inlineStr">
        <is>
          <t>2022-08-28</t>
        </is>
      </c>
      <c r="B3297" t="n">
        <v>2</v>
      </c>
      <c r="C3297" t="n">
        <v>3043</v>
      </c>
      <c r="D3297" s="6" t="n">
        <v>30.3</v>
      </c>
      <c r="E3297" s="6" t="n">
        <v>1211293.67</v>
      </c>
      <c r="F3297" s="6">
        <f>ROUND(E3297-E3296,2)</f>
        <v/>
      </c>
      <c r="G3297" s="6">
        <f>ROUND(F3297-D3297,2)</f>
        <v/>
      </c>
    </row>
    <row r="3298">
      <c r="A3298" t="inlineStr">
        <is>
          <t>2022-08-28</t>
        </is>
      </c>
      <c r="B3298" t="n">
        <v>3</v>
      </c>
      <c r="C3298" t="n">
        <v>3043</v>
      </c>
      <c r="D3298" s="6" t="n">
        <v>149.6</v>
      </c>
      <c r="E3298" s="6" t="n">
        <v>1211443.27</v>
      </c>
      <c r="F3298" s="6">
        <f>ROUND(E3298-E3297,2)</f>
        <v/>
      </c>
      <c r="G3298" s="6">
        <f>ROUND(F3298-D3298,2)</f>
        <v/>
      </c>
    </row>
    <row r="3299">
      <c r="A3299" t="inlineStr">
        <is>
          <t>2022-08-28</t>
        </is>
      </c>
      <c r="B3299" t="n">
        <v>4</v>
      </c>
      <c r="C3299" t="n">
        <v>3043</v>
      </c>
      <c r="D3299" s="6" t="n">
        <v>95.2</v>
      </c>
      <c r="E3299" s="6" t="n">
        <v>1211538.47</v>
      </c>
      <c r="F3299" s="6">
        <f>ROUND(E3299-E3298,2)</f>
        <v/>
      </c>
      <c r="G3299" s="6">
        <f>ROUND(F3299-D3299,2)</f>
        <v/>
      </c>
    </row>
    <row r="3300">
      <c r="A3300" t="inlineStr">
        <is>
          <t>2022-08-28</t>
        </is>
      </c>
      <c r="B3300" t="n">
        <v>5</v>
      </c>
      <c r="C3300" t="n">
        <v>3043</v>
      </c>
      <c r="D3300" s="6" t="n">
        <v>33.1</v>
      </c>
      <c r="E3300" s="6" t="n">
        <v>1211571.57</v>
      </c>
      <c r="F3300" s="6">
        <f>ROUND(E3300-E3299,2)</f>
        <v/>
      </c>
      <c r="G3300" s="6">
        <f>ROUND(F3300-D3300,2)</f>
        <v/>
      </c>
    </row>
    <row r="3301">
      <c r="A3301" t="inlineStr">
        <is>
          <t>2022-08-28</t>
        </is>
      </c>
      <c r="B3301" t="n">
        <v>6</v>
      </c>
      <c r="C3301" t="n">
        <v>3043</v>
      </c>
      <c r="D3301" s="6" t="n">
        <v>111.6</v>
      </c>
      <c r="E3301" s="6" t="n">
        <v>1211683.17</v>
      </c>
      <c r="F3301" s="6">
        <f>ROUND(E3301-E3300,2)</f>
        <v/>
      </c>
      <c r="G3301" s="6">
        <f>ROUND(F3301-D3301,2)</f>
        <v/>
      </c>
    </row>
    <row r="3302">
      <c r="A3302" t="inlineStr">
        <is>
          <t>2022-08-28</t>
        </is>
      </c>
      <c r="B3302" t="n">
        <v>7</v>
      </c>
      <c r="C3302" t="n">
        <v>3043</v>
      </c>
      <c r="D3302" s="6" t="n">
        <v>74.90000000000001</v>
      </c>
      <c r="E3302" s="6" t="n">
        <v>1211758.07</v>
      </c>
      <c r="F3302" s="6">
        <f>ROUND(E3302-E3301,2)</f>
        <v/>
      </c>
      <c r="G3302" s="6">
        <f>ROUND(F3302-D3302,2)</f>
        <v/>
      </c>
    </row>
    <row r="3303">
      <c r="A3303" t="inlineStr">
        <is>
          <t>2022-08-28</t>
        </is>
      </c>
      <c r="B3303" t="n">
        <v>8</v>
      </c>
      <c r="C3303" t="n">
        <v>3043</v>
      </c>
      <c r="D3303" s="6" t="n">
        <v>111.2</v>
      </c>
      <c r="E3303" s="6" t="n">
        <v>1211869.27</v>
      </c>
      <c r="F3303" s="6">
        <f>ROUND(E3303-E3302,2)</f>
        <v/>
      </c>
      <c r="G3303" s="6">
        <f>ROUND(F3303-D3303,2)</f>
        <v/>
      </c>
    </row>
    <row r="3304">
      <c r="A3304" t="inlineStr">
        <is>
          <t>2022-08-28</t>
        </is>
      </c>
      <c r="B3304" t="n">
        <v>9</v>
      </c>
      <c r="C3304" t="n">
        <v>3043</v>
      </c>
      <c r="D3304" s="6" t="n">
        <v>79.90000000000001</v>
      </c>
      <c r="E3304" s="6" t="n">
        <v>1211949.17</v>
      </c>
      <c r="F3304" s="6">
        <f>ROUND(E3304-E3303,2)</f>
        <v/>
      </c>
      <c r="G3304" s="6">
        <f>ROUND(F3304-D3304,2)</f>
        <v/>
      </c>
    </row>
    <row r="3305">
      <c r="A3305" t="inlineStr">
        <is>
          <t>2022-08-28</t>
        </is>
      </c>
      <c r="B3305" t="n">
        <v>10</v>
      </c>
      <c r="C3305" t="n">
        <v>3043</v>
      </c>
      <c r="D3305" s="6" t="n">
        <v>115.1</v>
      </c>
      <c r="E3305" s="6" t="n">
        <v>1212064.27</v>
      </c>
      <c r="F3305" s="6">
        <f>ROUND(E3305-E3304,2)</f>
        <v/>
      </c>
      <c r="G3305" s="6">
        <f>ROUND(F3305-D3305,2)</f>
        <v/>
      </c>
    </row>
    <row r="3306">
      <c r="A3306" t="inlineStr">
        <is>
          <t>2022-08-28</t>
        </is>
      </c>
      <c r="B3306" t="n">
        <v>11</v>
      </c>
      <c r="C3306" t="n">
        <v>3043</v>
      </c>
      <c r="D3306" s="6" t="n">
        <v>37.4</v>
      </c>
      <c r="E3306" s="6" t="n">
        <v>1212101.67</v>
      </c>
      <c r="F3306" s="6">
        <f>ROUND(E3306-E3305,2)</f>
        <v/>
      </c>
      <c r="G3306" s="6">
        <f>ROUND(F3306-D3306,2)</f>
        <v/>
      </c>
    </row>
    <row r="3307">
      <c r="A3307" t="inlineStr">
        <is>
          <t>2022-08-28</t>
        </is>
      </c>
      <c r="B3307" t="n">
        <v>12</v>
      </c>
      <c r="C3307" t="n">
        <v>3043</v>
      </c>
      <c r="D3307" s="6" t="n">
        <v>85.90000000000001</v>
      </c>
      <c r="E3307" s="6" t="n">
        <v>1212187.57</v>
      </c>
      <c r="F3307" s="6">
        <f>ROUND(E3307-E3306,2)</f>
        <v/>
      </c>
      <c r="G3307" s="6">
        <f>ROUND(F3307-D3307,2)</f>
        <v/>
      </c>
    </row>
    <row r="3308">
      <c r="A3308" t="inlineStr">
        <is>
          <t>2022-08-28</t>
        </is>
      </c>
      <c r="B3308" t="n">
        <v>13</v>
      </c>
      <c r="C3308" t="n">
        <v>3043</v>
      </c>
      <c r="D3308" s="6" t="n">
        <v>160.1</v>
      </c>
      <c r="E3308" s="6" t="n">
        <v>1212347.67</v>
      </c>
      <c r="F3308" s="6">
        <f>ROUND(E3308-E3307,2)</f>
        <v/>
      </c>
      <c r="G3308" s="6">
        <f>ROUND(F3308-D3308,2)</f>
        <v/>
      </c>
    </row>
    <row r="3309">
      <c r="A3309" t="inlineStr">
        <is>
          <t>2022-08-28</t>
        </is>
      </c>
      <c r="B3309" t="n">
        <v>14</v>
      </c>
      <c r="C3309" t="n">
        <v>3043</v>
      </c>
      <c r="D3309" s="6" t="n">
        <v>64.8</v>
      </c>
      <c r="E3309" s="6" t="n">
        <v>1212412.47</v>
      </c>
      <c r="F3309" s="6">
        <f>ROUND(E3309-E3308,2)</f>
        <v/>
      </c>
      <c r="G3309" s="6">
        <f>ROUND(F3309-D3309,2)</f>
        <v/>
      </c>
    </row>
    <row r="3310">
      <c r="A3310" t="inlineStr">
        <is>
          <t>2022-08-28</t>
        </is>
      </c>
      <c r="B3310" t="n">
        <v>15</v>
      </c>
      <c r="C3310" t="n">
        <v>3043</v>
      </c>
      <c r="D3310" s="6" t="n">
        <v>49.8</v>
      </c>
      <c r="E3310" s="6" t="n">
        <v>1212462.27</v>
      </c>
      <c r="F3310" s="6">
        <f>ROUND(E3310-E3309,2)</f>
        <v/>
      </c>
      <c r="G3310" s="6">
        <f>ROUND(F3310-D3310,2)</f>
        <v/>
      </c>
    </row>
    <row r="3311">
      <c r="A3311" t="inlineStr">
        <is>
          <t>2022-08-28</t>
        </is>
      </c>
      <c r="B3311" t="n">
        <v>16</v>
      </c>
      <c r="C3311" t="n">
        <v>3043</v>
      </c>
      <c r="D3311" s="6" t="n">
        <v>88.7</v>
      </c>
      <c r="E3311" s="6" t="n">
        <v>1212550.97</v>
      </c>
      <c r="F3311" s="6">
        <f>ROUND(E3311-E3310,2)</f>
        <v/>
      </c>
      <c r="G3311" s="6">
        <f>ROUND(F3311-D3311,2)</f>
        <v/>
      </c>
    </row>
    <row r="3312">
      <c r="A3312" t="inlineStr">
        <is>
          <t>2022-08-28</t>
        </is>
      </c>
      <c r="B3312" t="n">
        <v>17</v>
      </c>
      <c r="C3312" t="n">
        <v>3043</v>
      </c>
      <c r="D3312" s="6" t="n">
        <v>60.9</v>
      </c>
      <c r="E3312" s="6" t="n">
        <v>1212611.87</v>
      </c>
      <c r="F3312" s="6">
        <f>ROUND(E3312-E3311,2)</f>
        <v/>
      </c>
      <c r="G3312" s="6">
        <f>ROUND(F3312-D3312,2)</f>
        <v/>
      </c>
    </row>
    <row r="3313">
      <c r="A3313" t="inlineStr">
        <is>
          <t>2022-08-28</t>
        </is>
      </c>
      <c r="B3313" t="n">
        <v>18</v>
      </c>
      <c r="C3313" t="n">
        <v>3043</v>
      </c>
      <c r="D3313" s="6" t="n">
        <v>57.2</v>
      </c>
      <c r="E3313" s="6" t="n">
        <v>1212669.07</v>
      </c>
      <c r="F3313" s="6">
        <f>ROUND(E3313-E3312,2)</f>
        <v/>
      </c>
      <c r="G3313" s="6">
        <f>ROUND(F3313-D3313,2)</f>
        <v/>
      </c>
    </row>
    <row r="3314">
      <c r="A3314" t="inlineStr">
        <is>
          <t>2022-08-28</t>
        </is>
      </c>
      <c r="B3314" t="n">
        <v>19</v>
      </c>
      <c r="C3314" t="n">
        <v>3043</v>
      </c>
      <c r="D3314" s="6" t="n">
        <v>125.9</v>
      </c>
      <c r="E3314" s="6" t="n">
        <v>1212794.97</v>
      </c>
      <c r="F3314" s="6">
        <f>ROUND(E3314-E3313,2)</f>
        <v/>
      </c>
      <c r="G3314" s="6">
        <f>ROUND(F3314-D3314,2)</f>
        <v/>
      </c>
    </row>
    <row r="3315">
      <c r="A3315" t="inlineStr">
        <is>
          <t>2022-08-28</t>
        </is>
      </c>
      <c r="B3315" t="n">
        <v>20</v>
      </c>
      <c r="C3315" t="n">
        <v>3043</v>
      </c>
      <c r="D3315" s="6" t="n">
        <v>99.7</v>
      </c>
      <c r="E3315" s="6" t="n">
        <v>1212894.67</v>
      </c>
      <c r="F3315" s="6">
        <f>ROUND(E3315-E3314,2)</f>
        <v/>
      </c>
      <c r="G3315" s="6">
        <f>ROUND(F3315-D3315,2)</f>
        <v/>
      </c>
    </row>
    <row r="3316">
      <c r="A3316" t="inlineStr">
        <is>
          <t>2022-08-28</t>
        </is>
      </c>
      <c r="B3316" t="n">
        <v>21</v>
      </c>
      <c r="C3316" t="n">
        <v>3043</v>
      </c>
      <c r="D3316" s="6" t="n">
        <v>54</v>
      </c>
      <c r="E3316" s="6" t="n">
        <v>1212948.67</v>
      </c>
      <c r="F3316" s="6">
        <f>ROUND(E3316-E3315,2)</f>
        <v/>
      </c>
      <c r="G3316" s="6">
        <f>ROUND(F3316-D3316,2)</f>
        <v/>
      </c>
    </row>
    <row r="3317">
      <c r="A3317" t="inlineStr">
        <is>
          <t>2022-08-28</t>
        </is>
      </c>
      <c r="B3317" t="n">
        <v>22</v>
      </c>
      <c r="C3317" t="n">
        <v>3043</v>
      </c>
      <c r="D3317" s="6" t="n">
        <v>7.8</v>
      </c>
      <c r="E3317" s="6" t="n">
        <v>1212956.47</v>
      </c>
      <c r="F3317" s="6">
        <f>ROUND(E3317-E3316,2)</f>
        <v/>
      </c>
      <c r="G3317" s="6">
        <f>ROUND(F3317-D3317,2)</f>
        <v/>
      </c>
    </row>
    <row r="3318">
      <c r="A3318" t="inlineStr">
        <is>
          <t>2022-08-28</t>
        </is>
      </c>
      <c r="B3318" t="n">
        <v>23</v>
      </c>
      <c r="C3318" t="n">
        <v>3043</v>
      </c>
      <c r="D3318" s="6" t="n">
        <v>92.90000000000001</v>
      </c>
      <c r="E3318" s="6" t="n">
        <v>1213049.37</v>
      </c>
      <c r="F3318" s="6">
        <f>ROUND(E3318-E3317,2)</f>
        <v/>
      </c>
      <c r="G3318" s="6">
        <f>ROUND(F3318-D3318,2)</f>
        <v/>
      </c>
    </row>
    <row r="3319">
      <c r="A3319" t="inlineStr">
        <is>
          <t>2022-08-28</t>
        </is>
      </c>
      <c r="B3319" t="n">
        <v>24</v>
      </c>
      <c r="C3319" t="n">
        <v>3043</v>
      </c>
      <c r="D3319" s="6" t="n">
        <v>78.8</v>
      </c>
      <c r="E3319" s="6" t="n">
        <v>1213128.17</v>
      </c>
      <c r="F3319" s="6">
        <f>ROUND(E3319-E3318,2)</f>
        <v/>
      </c>
      <c r="G3319" s="6">
        <f>ROUND(F3319-D3319,2)</f>
        <v/>
      </c>
    </row>
    <row r="3320">
      <c r="A3320" t="inlineStr">
        <is>
          <t>2022-08-28</t>
        </is>
      </c>
      <c r="B3320" t="n">
        <v>25</v>
      </c>
      <c r="C3320" t="n">
        <v>3043</v>
      </c>
      <c r="D3320" s="6" t="n">
        <v>86.59999999999999</v>
      </c>
      <c r="E3320" s="6" t="n">
        <v>1213214.77</v>
      </c>
      <c r="F3320" s="6">
        <f>ROUND(E3320-E3319,2)</f>
        <v/>
      </c>
      <c r="G3320" s="6">
        <f>ROUND(F3320-D3320,2)</f>
        <v/>
      </c>
    </row>
    <row r="3321">
      <c r="A3321" t="inlineStr">
        <is>
          <t>2022-08-28</t>
        </is>
      </c>
      <c r="B3321" t="n">
        <v>26</v>
      </c>
      <c r="C3321" t="n">
        <v>3043</v>
      </c>
      <c r="D3321" s="6" t="n">
        <v>118.8</v>
      </c>
      <c r="E3321" s="6" t="n">
        <v>1213333.57</v>
      </c>
      <c r="F3321" s="6">
        <f>ROUND(E3321-E3320,2)</f>
        <v/>
      </c>
      <c r="G3321" s="6">
        <f>ROUND(F3321-D3321,2)</f>
        <v/>
      </c>
    </row>
    <row r="3322">
      <c r="A3322" t="inlineStr">
        <is>
          <t>2022-08-28</t>
        </is>
      </c>
      <c r="B3322" t="n">
        <v>27</v>
      </c>
      <c r="C3322" t="n">
        <v>3043</v>
      </c>
      <c r="D3322" s="6" t="n">
        <v>16.8</v>
      </c>
      <c r="E3322" s="6" t="n">
        <v>1213350.37</v>
      </c>
      <c r="F3322" s="6">
        <f>ROUND(E3322-E3321,2)</f>
        <v/>
      </c>
      <c r="G3322" s="6">
        <f>ROUND(F3322-D3322,2)</f>
        <v/>
      </c>
    </row>
    <row r="3323">
      <c r="A3323" t="inlineStr">
        <is>
          <t>2022-08-28</t>
        </is>
      </c>
      <c r="B3323" t="n">
        <v>28</v>
      </c>
      <c r="C3323" t="n">
        <v>3043</v>
      </c>
      <c r="D3323" s="6" t="n">
        <v>14.5</v>
      </c>
      <c r="E3323" s="6" t="n">
        <v>1213364.87</v>
      </c>
      <c r="F3323" s="6">
        <f>ROUND(E3323-E3322,2)</f>
        <v/>
      </c>
      <c r="G3323" s="6">
        <f>ROUND(F3323-D3323,2)</f>
        <v/>
      </c>
    </row>
    <row r="3324">
      <c r="A3324" t="inlineStr">
        <is>
          <t>2022-08-28</t>
        </is>
      </c>
      <c r="B3324" t="n">
        <v>29</v>
      </c>
      <c r="C3324" t="n">
        <v>3043</v>
      </c>
      <c r="D3324" s="6" t="n">
        <v>16.9</v>
      </c>
      <c r="E3324" s="6" t="n">
        <v>1213381.77</v>
      </c>
      <c r="F3324" s="6">
        <f>ROUND(E3324-E3323,2)</f>
        <v/>
      </c>
      <c r="G3324" s="6">
        <f>ROUND(F3324-D3324,2)</f>
        <v/>
      </c>
    </row>
    <row r="3325">
      <c r="A3325" t="inlineStr">
        <is>
          <t>2022-08-28</t>
        </is>
      </c>
      <c r="B3325" t="n">
        <v>30</v>
      </c>
      <c r="C3325" t="n">
        <v>3043</v>
      </c>
      <c r="D3325" s="6" t="n">
        <v>15.2</v>
      </c>
      <c r="E3325" s="6" t="n">
        <v>1213396.97</v>
      </c>
      <c r="F3325" s="6">
        <f>ROUND(E3325-E3324,2)</f>
        <v/>
      </c>
      <c r="G3325" s="6">
        <f>ROUND(F3325-D3325,2)</f>
        <v/>
      </c>
    </row>
    <row r="3326">
      <c r="A3326" t="inlineStr">
        <is>
          <t>2022-08-28</t>
        </is>
      </c>
      <c r="B3326" t="n">
        <v>31</v>
      </c>
      <c r="C3326" t="n">
        <v>3043</v>
      </c>
      <c r="D3326" s="6" t="n">
        <v>8.300000000000001</v>
      </c>
      <c r="E3326" s="6" t="n">
        <v>1213405.27</v>
      </c>
      <c r="F3326" s="6">
        <f>ROUND(E3326-E3325,2)</f>
        <v/>
      </c>
      <c r="G3326" s="6">
        <f>ROUND(F3326-D3326,2)</f>
        <v/>
      </c>
    </row>
    <row r="3327">
      <c r="A3327" t="inlineStr">
        <is>
          <t>2022-08-28</t>
        </is>
      </c>
      <c r="B3327" t="n">
        <v>32</v>
      </c>
      <c r="C3327" t="n">
        <v>3043</v>
      </c>
      <c r="D3327" s="6" t="n">
        <v>4.1</v>
      </c>
      <c r="E3327" s="6" t="n">
        <v>1213409.37</v>
      </c>
      <c r="F3327" s="6">
        <f>ROUND(E3327-E3326,2)</f>
        <v/>
      </c>
      <c r="G3327" s="6">
        <f>ROUND(F3327-D3327,2)</f>
        <v/>
      </c>
    </row>
    <row r="3328">
      <c r="A3328" t="inlineStr">
        <is>
          <t>2022-08-28</t>
        </is>
      </c>
      <c r="B3328" t="n">
        <v>33</v>
      </c>
      <c r="C3328" t="n">
        <v>3043</v>
      </c>
      <c r="D3328" s="6" t="n">
        <v>47.2</v>
      </c>
      <c r="E3328" s="6" t="n">
        <v>1213456.57</v>
      </c>
      <c r="F3328" s="6">
        <f>ROUND(E3328-E3327,2)</f>
        <v/>
      </c>
      <c r="G3328" s="6">
        <f>ROUND(F3328-D3328,2)</f>
        <v/>
      </c>
    </row>
    <row r="3329">
      <c r="A3329" t="inlineStr">
        <is>
          <t>2022-08-28</t>
        </is>
      </c>
      <c r="B3329" t="n">
        <v>34</v>
      </c>
      <c r="C3329" t="n">
        <v>3043</v>
      </c>
      <c r="D3329" s="6" t="n">
        <v>71.90000000000001</v>
      </c>
      <c r="E3329" s="6" t="n">
        <v>1213528.47</v>
      </c>
      <c r="F3329" s="6">
        <f>ROUND(E3329-E3328,2)</f>
        <v/>
      </c>
      <c r="G3329" s="6">
        <f>ROUND(F3329-D3329,2)</f>
        <v/>
      </c>
    </row>
    <row r="3330">
      <c r="A3330" t="inlineStr">
        <is>
          <t>2022-08-28</t>
        </is>
      </c>
      <c r="B3330" t="n">
        <v>35</v>
      </c>
      <c r="C3330" t="n">
        <v>3043</v>
      </c>
      <c r="D3330" s="6" t="n">
        <v>26.9</v>
      </c>
      <c r="E3330" s="6" t="n">
        <v>1213555.37</v>
      </c>
      <c r="F3330" s="6">
        <f>ROUND(E3330-E3329,2)</f>
        <v/>
      </c>
      <c r="G3330" s="6">
        <f>ROUND(F3330-D3330,2)</f>
        <v/>
      </c>
    </row>
    <row r="3331">
      <c r="A3331" t="inlineStr">
        <is>
          <t>2022-08-28</t>
        </is>
      </c>
      <c r="B3331" t="n">
        <v>36</v>
      </c>
      <c r="C3331" t="n">
        <v>3043</v>
      </c>
      <c r="D3331" s="6" t="n">
        <v>172.8</v>
      </c>
      <c r="E3331" s="6" t="n">
        <v>1213728.17</v>
      </c>
      <c r="F3331" s="6">
        <f>ROUND(E3331-E3330,2)</f>
        <v/>
      </c>
      <c r="G3331" s="6">
        <f>ROUND(F3331-D3331,2)</f>
        <v/>
      </c>
    </row>
    <row r="3332">
      <c r="A3332" t="inlineStr">
        <is>
          <t>2022-08-28</t>
        </is>
      </c>
      <c r="B3332" t="n">
        <v>37</v>
      </c>
      <c r="C3332" t="n">
        <v>3043</v>
      </c>
      <c r="D3332" s="6" t="n">
        <v>272.2</v>
      </c>
      <c r="E3332" s="6" t="n">
        <v>1214000.37</v>
      </c>
      <c r="F3332" s="6">
        <f>ROUND(E3332-E3331,2)</f>
        <v/>
      </c>
      <c r="G3332" s="6">
        <f>ROUND(F3332-D3332,2)</f>
        <v/>
      </c>
    </row>
    <row r="3333">
      <c r="A3333" t="inlineStr">
        <is>
          <t>2022-08-28</t>
        </is>
      </c>
      <c r="B3333" t="n">
        <v>38</v>
      </c>
      <c r="C3333" t="n">
        <v>3043</v>
      </c>
      <c r="D3333" s="6" t="n">
        <v>88.90000000000001</v>
      </c>
      <c r="E3333" s="6" t="n">
        <v>1214089.27</v>
      </c>
      <c r="F3333" s="6">
        <f>ROUND(E3333-E3332,2)</f>
        <v/>
      </c>
      <c r="G3333" s="6">
        <f>ROUND(F3333-D3333,2)</f>
        <v/>
      </c>
    </row>
    <row r="3334">
      <c r="A3334" t="inlineStr">
        <is>
          <t>2022-08-30</t>
        </is>
      </c>
      <c r="B3334" t="n">
        <v>1</v>
      </c>
      <c r="C3334" t="n">
        <v>3044</v>
      </c>
      <c r="D3334" s="6" t="n">
        <v>23.7</v>
      </c>
      <c r="E3334" s="6" t="n">
        <v>1214112.97</v>
      </c>
      <c r="F3334" s="6">
        <f>ROUND(E3334-E3333,2)</f>
        <v/>
      </c>
      <c r="G3334" s="6">
        <f>ROUND(F3334-D3334,2)</f>
        <v/>
      </c>
    </row>
    <row r="3335">
      <c r="A3335" t="inlineStr">
        <is>
          <t>2022-08-30</t>
        </is>
      </c>
      <c r="B3335" t="n">
        <v>2</v>
      </c>
      <c r="C3335" t="n">
        <v>3044</v>
      </c>
      <c r="D3335" s="6" t="n">
        <v>20.4</v>
      </c>
      <c r="E3335" s="6" t="n">
        <v>1214133.37</v>
      </c>
      <c r="F3335" s="6">
        <f>ROUND(E3335-E3334,2)</f>
        <v/>
      </c>
      <c r="G3335" s="6">
        <f>ROUND(F3335-D3335,2)</f>
        <v/>
      </c>
    </row>
    <row r="3336">
      <c r="A3336" t="inlineStr">
        <is>
          <t>2022-08-30</t>
        </is>
      </c>
      <c r="B3336" t="n">
        <v>3</v>
      </c>
      <c r="C3336" t="n">
        <v>3044</v>
      </c>
      <c r="D3336" s="6" t="n">
        <v>76.59999999999999</v>
      </c>
      <c r="E3336" s="6" t="n">
        <v>1214209.97</v>
      </c>
      <c r="F3336" s="6">
        <f>ROUND(E3336-E3335,2)</f>
        <v/>
      </c>
      <c r="G3336" s="6">
        <f>ROUND(F3336-D3336,2)</f>
        <v/>
      </c>
    </row>
    <row r="3337">
      <c r="A3337" t="inlineStr">
        <is>
          <t>2022-08-30</t>
        </is>
      </c>
      <c r="B3337" t="n">
        <v>4</v>
      </c>
      <c r="C3337" t="n">
        <v>3044</v>
      </c>
      <c r="D3337" s="6" t="n">
        <v>60.4</v>
      </c>
      <c r="E3337" s="6" t="n">
        <v>1214270.37</v>
      </c>
      <c r="F3337" s="6">
        <f>ROUND(E3337-E3336,2)</f>
        <v/>
      </c>
      <c r="G3337" s="6">
        <f>ROUND(F3337-D3337,2)</f>
        <v/>
      </c>
    </row>
    <row r="3338">
      <c r="A3338" t="inlineStr">
        <is>
          <t>2022-08-30</t>
        </is>
      </c>
      <c r="B3338" t="n">
        <v>5</v>
      </c>
      <c r="C3338" t="n">
        <v>3044</v>
      </c>
      <c r="D3338" s="6" t="n">
        <v>70.09999999999999</v>
      </c>
      <c r="E3338" s="6" t="n">
        <v>1214340.47</v>
      </c>
      <c r="F3338" s="6">
        <f>ROUND(E3338-E3337,2)</f>
        <v/>
      </c>
      <c r="G3338" s="6">
        <f>ROUND(F3338-D3338,2)</f>
        <v/>
      </c>
    </row>
    <row r="3339">
      <c r="A3339" t="inlineStr">
        <is>
          <t>2022-08-30</t>
        </is>
      </c>
      <c r="B3339" t="n">
        <v>6</v>
      </c>
      <c r="C3339" t="n">
        <v>3044</v>
      </c>
      <c r="D3339" s="6" t="n">
        <v>65.59999999999999</v>
      </c>
      <c r="E3339" s="6" t="n">
        <v>1214406.07</v>
      </c>
      <c r="F3339" s="6">
        <f>ROUND(E3339-E3338,2)</f>
        <v/>
      </c>
      <c r="G3339" s="6">
        <f>ROUND(F3339-D3339,2)</f>
        <v/>
      </c>
    </row>
    <row r="3340">
      <c r="A3340" t="inlineStr">
        <is>
          <t>2022-08-30</t>
        </is>
      </c>
      <c r="B3340" t="n">
        <v>7</v>
      </c>
      <c r="C3340" t="n">
        <v>3044</v>
      </c>
      <c r="D3340" s="6" t="n">
        <v>69.90000000000001</v>
      </c>
      <c r="E3340" s="6" t="n">
        <v>1214475.97</v>
      </c>
      <c r="F3340" s="6">
        <f>ROUND(E3340-E3339,2)</f>
        <v/>
      </c>
      <c r="G3340" s="6">
        <f>ROUND(F3340-D3340,2)</f>
        <v/>
      </c>
    </row>
    <row r="3341">
      <c r="A3341" t="inlineStr">
        <is>
          <t>2022-08-30</t>
        </is>
      </c>
      <c r="B3341" t="n">
        <v>8</v>
      </c>
      <c r="C3341" t="n">
        <v>3044</v>
      </c>
      <c r="D3341" s="6" t="n">
        <v>50</v>
      </c>
      <c r="E3341" s="6" t="n">
        <v>1214525.97</v>
      </c>
      <c r="F3341" s="6">
        <f>ROUND(E3341-E3340,2)</f>
        <v/>
      </c>
      <c r="G3341" s="6">
        <f>ROUND(F3341-D3341,2)</f>
        <v/>
      </c>
    </row>
    <row r="3342">
      <c r="A3342" t="inlineStr">
        <is>
          <t>2022-08-30</t>
        </is>
      </c>
      <c r="B3342" t="n">
        <v>9</v>
      </c>
      <c r="C3342" t="n">
        <v>3044</v>
      </c>
      <c r="D3342" s="6" t="n">
        <v>44</v>
      </c>
      <c r="E3342" s="6" t="n">
        <v>1214569.97</v>
      </c>
      <c r="F3342" s="6">
        <f>ROUND(E3342-E3341,2)</f>
        <v/>
      </c>
      <c r="G3342" s="6">
        <f>ROUND(F3342-D3342,2)</f>
        <v/>
      </c>
    </row>
    <row r="3343">
      <c r="A3343" t="inlineStr">
        <is>
          <t>2022-08-30</t>
        </is>
      </c>
      <c r="B3343" t="n">
        <v>10</v>
      </c>
      <c r="C3343" t="n">
        <v>3044</v>
      </c>
      <c r="D3343" s="6" t="n">
        <v>52</v>
      </c>
      <c r="E3343" s="6" t="n">
        <v>1214621.97</v>
      </c>
      <c r="F3343" s="6">
        <f>ROUND(E3343-E3342,2)</f>
        <v/>
      </c>
      <c r="G3343" s="6">
        <f>ROUND(F3343-D3343,2)</f>
        <v/>
      </c>
    </row>
    <row r="3344">
      <c r="A3344" t="inlineStr">
        <is>
          <t>2022-08-30</t>
        </is>
      </c>
      <c r="B3344" t="n">
        <v>11</v>
      </c>
      <c r="C3344" t="n">
        <v>3044</v>
      </c>
      <c r="D3344" s="6" t="n">
        <v>71.09999999999999</v>
      </c>
      <c r="E3344" s="6" t="n">
        <v>1214693.07</v>
      </c>
      <c r="F3344" s="6">
        <f>ROUND(E3344-E3343,2)</f>
        <v/>
      </c>
      <c r="G3344" s="6">
        <f>ROUND(F3344-D3344,2)</f>
        <v/>
      </c>
    </row>
    <row r="3345">
      <c r="A3345" t="inlineStr">
        <is>
          <t>2022-08-30</t>
        </is>
      </c>
      <c r="B3345" t="n">
        <v>12</v>
      </c>
      <c r="C3345" t="n">
        <v>3044</v>
      </c>
      <c r="D3345" s="6" t="n">
        <v>70.8</v>
      </c>
      <c r="E3345" s="6" t="n">
        <v>1214763.87</v>
      </c>
      <c r="F3345" s="6">
        <f>ROUND(E3345-E3344,2)</f>
        <v/>
      </c>
      <c r="G3345" s="6">
        <f>ROUND(F3345-D3345,2)</f>
        <v/>
      </c>
    </row>
    <row r="3346">
      <c r="A3346" t="inlineStr">
        <is>
          <t>2022-08-30</t>
        </is>
      </c>
      <c r="B3346" t="n">
        <v>13</v>
      </c>
      <c r="C3346" t="n">
        <v>3044</v>
      </c>
      <c r="D3346" s="6" t="n">
        <v>91.40000000000001</v>
      </c>
      <c r="E3346" s="6" t="n">
        <v>1214855.27</v>
      </c>
      <c r="F3346" s="6">
        <f>ROUND(E3346-E3345,2)</f>
        <v/>
      </c>
      <c r="G3346" s="6">
        <f>ROUND(F3346-D3346,2)</f>
        <v/>
      </c>
    </row>
    <row r="3347">
      <c r="A3347" t="inlineStr">
        <is>
          <t>2022-08-30</t>
        </is>
      </c>
      <c r="B3347" t="n">
        <v>14</v>
      </c>
      <c r="C3347" t="n">
        <v>3044</v>
      </c>
      <c r="D3347" s="6" t="n">
        <v>45</v>
      </c>
      <c r="E3347" s="6" t="n">
        <v>1214900.27</v>
      </c>
      <c r="F3347" s="6">
        <f>ROUND(E3347-E3346,2)</f>
        <v/>
      </c>
      <c r="G3347" s="6">
        <f>ROUND(F3347-D3347,2)</f>
        <v/>
      </c>
    </row>
    <row r="3348">
      <c r="A3348" t="inlineStr">
        <is>
          <t>2022-08-30</t>
        </is>
      </c>
      <c r="B3348" t="n">
        <v>15</v>
      </c>
      <c r="C3348" t="n">
        <v>3044</v>
      </c>
      <c r="D3348" s="6" t="n">
        <v>61.2</v>
      </c>
      <c r="E3348" s="6" t="n">
        <v>1214961.47</v>
      </c>
      <c r="F3348" s="6">
        <f>ROUND(E3348-E3347,2)</f>
        <v/>
      </c>
      <c r="G3348" s="6">
        <f>ROUND(F3348-D3348,2)</f>
        <v/>
      </c>
    </row>
    <row r="3349">
      <c r="A3349" t="inlineStr">
        <is>
          <t>2022-08-30</t>
        </is>
      </c>
      <c r="B3349" t="n">
        <v>16</v>
      </c>
      <c r="C3349" t="n">
        <v>3044</v>
      </c>
      <c r="D3349" s="6" t="n">
        <v>34.3</v>
      </c>
      <c r="E3349" s="6" t="n">
        <v>1214995.77</v>
      </c>
      <c r="F3349" s="6">
        <f>ROUND(E3349-E3348,2)</f>
        <v/>
      </c>
      <c r="G3349" s="6">
        <f>ROUND(F3349-D3349,2)</f>
        <v/>
      </c>
    </row>
    <row r="3350">
      <c r="A3350" t="inlineStr">
        <is>
          <t>2022-08-30</t>
        </is>
      </c>
      <c r="B3350" t="n">
        <v>17</v>
      </c>
      <c r="C3350" t="n">
        <v>3044</v>
      </c>
      <c r="D3350" s="6" t="n">
        <v>57.4</v>
      </c>
      <c r="E3350" s="6" t="n">
        <v>1215053.17</v>
      </c>
      <c r="F3350" s="6">
        <f>ROUND(E3350-E3349,2)</f>
        <v/>
      </c>
      <c r="G3350" s="6">
        <f>ROUND(F3350-D3350,2)</f>
        <v/>
      </c>
    </row>
    <row r="3351">
      <c r="A3351" t="inlineStr">
        <is>
          <t>2022-08-30</t>
        </is>
      </c>
      <c r="B3351" t="n">
        <v>18</v>
      </c>
      <c r="C3351" t="n">
        <v>3044</v>
      </c>
      <c r="D3351" s="6" t="n">
        <v>65.09999999999999</v>
      </c>
      <c r="E3351" s="6" t="n">
        <v>1215118.27</v>
      </c>
      <c r="F3351" s="6">
        <f>ROUND(E3351-E3350,2)</f>
        <v/>
      </c>
      <c r="G3351" s="6">
        <f>ROUND(F3351-D3351,2)</f>
        <v/>
      </c>
    </row>
    <row r="3352">
      <c r="A3352" t="inlineStr">
        <is>
          <t>2022-08-30</t>
        </is>
      </c>
      <c r="B3352" t="n">
        <v>19</v>
      </c>
      <c r="C3352" t="n">
        <v>3044</v>
      </c>
      <c r="D3352" s="6" t="n">
        <v>67.3</v>
      </c>
      <c r="E3352" s="6" t="n">
        <v>1215185.57</v>
      </c>
      <c r="F3352" s="6">
        <f>ROUND(E3352-E3351,2)</f>
        <v/>
      </c>
      <c r="G3352" s="6">
        <f>ROUND(F3352-D3352,2)</f>
        <v/>
      </c>
    </row>
    <row r="3353">
      <c r="A3353" t="inlineStr">
        <is>
          <t>2022-08-30</t>
        </is>
      </c>
      <c r="B3353" t="n">
        <v>20</v>
      </c>
      <c r="C3353" t="n">
        <v>3044</v>
      </c>
      <c r="D3353" s="6" t="n">
        <v>36.3</v>
      </c>
      <c r="E3353" s="6" t="n">
        <v>1215221.87</v>
      </c>
      <c r="F3353" s="6">
        <f>ROUND(E3353-E3352,2)</f>
        <v/>
      </c>
      <c r="G3353" s="6">
        <f>ROUND(F3353-D3353,2)</f>
        <v/>
      </c>
    </row>
    <row r="3354">
      <c r="A3354" t="inlineStr">
        <is>
          <t>2022-08-30</t>
        </is>
      </c>
      <c r="B3354" t="n">
        <v>21</v>
      </c>
      <c r="C3354" t="n">
        <v>3044</v>
      </c>
      <c r="D3354" s="6" t="n">
        <v>104.6</v>
      </c>
      <c r="E3354" s="6" t="n">
        <v>1215326.47</v>
      </c>
      <c r="F3354" s="6">
        <f>ROUND(E3354-E3353,2)</f>
        <v/>
      </c>
      <c r="G3354" s="6">
        <f>ROUND(F3354-D3354,2)</f>
        <v/>
      </c>
    </row>
    <row r="3355">
      <c r="A3355" t="inlineStr">
        <is>
          <t>2022-08-30</t>
        </is>
      </c>
      <c r="B3355" t="n">
        <v>22</v>
      </c>
      <c r="C3355" t="n">
        <v>3044</v>
      </c>
      <c r="D3355" s="6" t="n">
        <v>182.1</v>
      </c>
      <c r="E3355" s="6" t="n">
        <v>1215508.57</v>
      </c>
      <c r="F3355" s="6">
        <f>ROUND(E3355-E3354,2)</f>
        <v/>
      </c>
      <c r="G3355" s="6">
        <f>ROUND(F3355-D3355,2)</f>
        <v/>
      </c>
    </row>
    <row r="3356">
      <c r="A3356" t="inlineStr">
        <is>
          <t>2022-08-30</t>
        </is>
      </c>
      <c r="B3356" t="n">
        <v>23</v>
      </c>
      <c r="C3356" t="n">
        <v>3044</v>
      </c>
      <c r="D3356" s="6" t="n">
        <v>67.09999999999999</v>
      </c>
      <c r="E3356" s="6" t="n">
        <v>1215575.67</v>
      </c>
      <c r="F3356" s="6">
        <f>ROUND(E3356-E3355,2)</f>
        <v/>
      </c>
      <c r="G3356" s="6">
        <f>ROUND(F3356-D3356,2)</f>
        <v/>
      </c>
    </row>
    <row r="3357">
      <c r="A3357" t="inlineStr">
        <is>
          <t>2022-08-30</t>
        </is>
      </c>
      <c r="B3357" t="n">
        <v>24</v>
      </c>
      <c r="C3357" t="n">
        <v>3044</v>
      </c>
      <c r="D3357" s="6" t="n">
        <v>159.1</v>
      </c>
      <c r="E3357" s="6" t="n">
        <v>1215734.77</v>
      </c>
      <c r="F3357" s="6">
        <f>ROUND(E3357-E3356,2)</f>
        <v/>
      </c>
      <c r="G3357" s="6">
        <f>ROUND(F3357-D3357,2)</f>
        <v/>
      </c>
    </row>
    <row r="3358">
      <c r="A3358" t="inlineStr">
        <is>
          <t>2022-08-31</t>
        </is>
      </c>
      <c r="B3358" t="n">
        <v>1</v>
      </c>
      <c r="C3358" t="n">
        <v>3045</v>
      </c>
      <c r="D3358" s="6" t="n">
        <v>47.1</v>
      </c>
      <c r="E3358" s="6" t="n">
        <v>1215781.87</v>
      </c>
      <c r="F3358" s="6">
        <f>ROUND(E3358-E3357,2)</f>
        <v/>
      </c>
      <c r="G3358" s="6">
        <f>ROUND(F3358-D3358,2)</f>
        <v/>
      </c>
    </row>
    <row r="3359">
      <c r="A3359" t="inlineStr">
        <is>
          <t>2022-08-31</t>
        </is>
      </c>
      <c r="B3359" t="n">
        <v>2</v>
      </c>
      <c r="C3359" t="n">
        <v>3045</v>
      </c>
      <c r="D3359" s="6" t="n">
        <v>115</v>
      </c>
      <c r="E3359" s="6" t="n">
        <v>1215896.87</v>
      </c>
      <c r="F3359" s="6">
        <f>ROUND(E3359-E3358,2)</f>
        <v/>
      </c>
      <c r="G3359" s="6">
        <f>ROUND(F3359-D3359,2)</f>
        <v/>
      </c>
    </row>
    <row r="3360">
      <c r="A3360" t="inlineStr">
        <is>
          <t>2022-08-31</t>
        </is>
      </c>
      <c r="B3360" t="n">
        <v>3</v>
      </c>
      <c r="C3360" t="n">
        <v>3045</v>
      </c>
      <c r="D3360" s="6" t="n">
        <v>56.4</v>
      </c>
      <c r="E3360" s="6" t="n">
        <v>1215953.27</v>
      </c>
      <c r="F3360" s="6">
        <f>ROUND(E3360-E3359,2)</f>
        <v/>
      </c>
      <c r="G3360" s="6">
        <f>ROUND(F3360-D3360,2)</f>
        <v/>
      </c>
    </row>
    <row r="3361">
      <c r="A3361" t="inlineStr">
        <is>
          <t>2022-08-31</t>
        </is>
      </c>
      <c r="B3361" t="n">
        <v>4</v>
      </c>
      <c r="C3361" t="n">
        <v>3045</v>
      </c>
      <c r="D3361" s="6" t="n">
        <v>56.3</v>
      </c>
      <c r="E3361" s="6" t="n">
        <v>1216009.57</v>
      </c>
      <c r="F3361" s="6">
        <f>ROUND(E3361-E3360,2)</f>
        <v/>
      </c>
      <c r="G3361" s="6">
        <f>ROUND(F3361-D3361,2)</f>
        <v/>
      </c>
    </row>
    <row r="3362">
      <c r="A3362" t="inlineStr">
        <is>
          <t>2022-08-31</t>
        </is>
      </c>
      <c r="B3362" t="n">
        <v>5</v>
      </c>
      <c r="C3362" t="n">
        <v>3045</v>
      </c>
      <c r="D3362" s="6" t="n">
        <v>41.7</v>
      </c>
      <c r="E3362" s="6" t="n">
        <v>1216051.27</v>
      </c>
      <c r="F3362" s="6">
        <f>ROUND(E3362-E3361,2)</f>
        <v/>
      </c>
      <c r="G3362" s="6">
        <f>ROUND(F3362-D3362,2)</f>
        <v/>
      </c>
    </row>
    <row r="3363">
      <c r="A3363" t="inlineStr">
        <is>
          <t>2022-08-31</t>
        </is>
      </c>
      <c r="B3363" t="n">
        <v>6</v>
      </c>
      <c r="C3363" t="n">
        <v>3045</v>
      </c>
      <c r="D3363" s="6" t="n">
        <v>61.2</v>
      </c>
      <c r="E3363" s="6" t="n">
        <v>1216112.47</v>
      </c>
      <c r="F3363" s="6">
        <f>ROUND(E3363-E3362,2)</f>
        <v/>
      </c>
      <c r="G3363" s="6">
        <f>ROUND(F3363-D3363,2)</f>
        <v/>
      </c>
    </row>
    <row r="3364">
      <c r="A3364" t="inlineStr">
        <is>
          <t>2022-08-31</t>
        </is>
      </c>
      <c r="B3364" t="n">
        <v>7</v>
      </c>
      <c r="C3364" t="n">
        <v>3045</v>
      </c>
      <c r="D3364" s="6" t="n">
        <v>102.8</v>
      </c>
      <c r="E3364" s="6" t="n">
        <v>1216215.27</v>
      </c>
      <c r="F3364" s="6">
        <f>ROUND(E3364-E3363,2)</f>
        <v/>
      </c>
      <c r="G3364" s="6">
        <f>ROUND(F3364-D3364,2)</f>
        <v/>
      </c>
    </row>
    <row r="3365">
      <c r="A3365" t="inlineStr">
        <is>
          <t>2022-08-31</t>
        </is>
      </c>
      <c r="B3365" t="n">
        <v>8</v>
      </c>
      <c r="C3365" t="n">
        <v>3045</v>
      </c>
      <c r="D3365" s="6" t="n">
        <v>84.8</v>
      </c>
      <c r="E3365" s="6" t="n">
        <v>1216300.07</v>
      </c>
      <c r="F3365" s="6">
        <f>ROUND(E3365-E3364,2)</f>
        <v/>
      </c>
      <c r="G3365" s="6">
        <f>ROUND(F3365-D3365,2)</f>
        <v/>
      </c>
    </row>
    <row r="3366">
      <c r="A3366" t="inlineStr">
        <is>
          <t>2022-08-31</t>
        </is>
      </c>
      <c r="B3366" t="n">
        <v>9</v>
      </c>
      <c r="C3366" t="n">
        <v>3045</v>
      </c>
      <c r="D3366" s="6" t="n">
        <v>96.2</v>
      </c>
      <c r="E3366" s="6" t="n">
        <v>1216396.27</v>
      </c>
      <c r="F3366" s="6">
        <f>ROUND(E3366-E3365,2)</f>
        <v/>
      </c>
      <c r="G3366" s="6">
        <f>ROUND(F3366-D3366,2)</f>
        <v/>
      </c>
    </row>
    <row r="3367">
      <c r="A3367" t="inlineStr">
        <is>
          <t>2022-08-31</t>
        </is>
      </c>
      <c r="B3367" t="n">
        <v>10</v>
      </c>
      <c r="C3367" t="n">
        <v>3045</v>
      </c>
      <c r="D3367" s="6" t="n">
        <v>74</v>
      </c>
      <c r="E3367" s="6" t="n">
        <v>1216470.27</v>
      </c>
      <c r="F3367" s="6">
        <f>ROUND(E3367-E3366,2)</f>
        <v/>
      </c>
      <c r="G3367" s="6">
        <f>ROUND(F3367-D3367,2)</f>
        <v/>
      </c>
    </row>
    <row r="3368">
      <c r="A3368" t="inlineStr">
        <is>
          <t>2022-08-31</t>
        </is>
      </c>
      <c r="B3368" t="n">
        <v>11</v>
      </c>
      <c r="C3368" t="n">
        <v>3045</v>
      </c>
      <c r="D3368" s="6" t="n">
        <v>103</v>
      </c>
      <c r="E3368" s="6" t="n">
        <v>1216573.27</v>
      </c>
      <c r="F3368" s="6">
        <f>ROUND(E3368-E3367,2)</f>
        <v/>
      </c>
      <c r="G3368" s="6">
        <f>ROUND(F3368-D3368,2)</f>
        <v/>
      </c>
    </row>
    <row r="3369">
      <c r="A3369" t="inlineStr">
        <is>
          <t>2022-08-31</t>
        </is>
      </c>
      <c r="B3369" t="n">
        <v>12</v>
      </c>
      <c r="C3369" t="n">
        <v>3045</v>
      </c>
      <c r="D3369" s="6" t="n">
        <v>75.5</v>
      </c>
      <c r="E3369" s="6" t="n">
        <v>1216648.77</v>
      </c>
      <c r="F3369" s="6">
        <f>ROUND(E3369-E3368,2)</f>
        <v/>
      </c>
      <c r="G3369" s="6">
        <f>ROUND(F3369-D3369,2)</f>
        <v/>
      </c>
    </row>
    <row r="3370">
      <c r="A3370" t="inlineStr">
        <is>
          <t>2022-08-31</t>
        </is>
      </c>
      <c r="B3370" t="n">
        <v>13</v>
      </c>
      <c r="C3370" t="n">
        <v>3045</v>
      </c>
      <c r="D3370" s="6" t="n">
        <v>99.2</v>
      </c>
      <c r="E3370" s="6" t="n">
        <v>1216747.97</v>
      </c>
      <c r="F3370" s="6">
        <f>ROUND(E3370-E3369,2)</f>
        <v/>
      </c>
      <c r="G3370" s="6">
        <f>ROUND(F3370-D3370,2)</f>
        <v/>
      </c>
    </row>
    <row r="3371">
      <c r="A3371" t="inlineStr">
        <is>
          <t>2022-08-31</t>
        </is>
      </c>
      <c r="B3371" t="n">
        <v>14</v>
      </c>
      <c r="C3371" t="n">
        <v>3045</v>
      </c>
      <c r="D3371" s="6" t="n">
        <v>100.6</v>
      </c>
      <c r="E3371" s="6" t="n">
        <v>1216848.57</v>
      </c>
      <c r="F3371" s="6">
        <f>ROUND(E3371-E3370,2)</f>
        <v/>
      </c>
      <c r="G3371" s="6">
        <f>ROUND(F3371-D3371,2)</f>
        <v/>
      </c>
    </row>
    <row r="3372">
      <c r="A3372" t="inlineStr">
        <is>
          <t>2022-08-31</t>
        </is>
      </c>
      <c r="B3372" t="n">
        <v>15</v>
      </c>
      <c r="C3372" t="n">
        <v>3045</v>
      </c>
      <c r="D3372" s="6" t="n">
        <v>17.6</v>
      </c>
      <c r="E3372" s="6" t="n">
        <v>1216866.17</v>
      </c>
      <c r="F3372" s="6">
        <f>ROUND(E3372-E3371,2)</f>
        <v/>
      </c>
      <c r="G3372" s="6">
        <f>ROUND(F3372-D3372,2)</f>
        <v/>
      </c>
    </row>
    <row r="3373">
      <c r="A3373" t="inlineStr">
        <is>
          <t>2022-08-31</t>
        </is>
      </c>
      <c r="B3373" t="n">
        <v>16</v>
      </c>
      <c r="C3373" t="n">
        <v>3045</v>
      </c>
      <c r="D3373" s="6" t="n">
        <v>64</v>
      </c>
      <c r="E3373" s="6" t="n">
        <v>1216930.17</v>
      </c>
      <c r="F3373" s="6">
        <f>ROUND(E3373-E3372,2)</f>
        <v/>
      </c>
      <c r="G3373" s="6">
        <f>ROUND(F3373-D3373,2)</f>
        <v/>
      </c>
    </row>
    <row r="3374">
      <c r="A3374" t="inlineStr">
        <is>
          <t>2022-08-31</t>
        </is>
      </c>
      <c r="B3374" t="n">
        <v>17</v>
      </c>
      <c r="C3374" t="n">
        <v>3045</v>
      </c>
      <c r="D3374" s="6" t="n">
        <v>128</v>
      </c>
      <c r="E3374" s="6" t="n">
        <v>1217058.17</v>
      </c>
      <c r="F3374" s="6">
        <f>ROUND(E3374-E3373,2)</f>
        <v/>
      </c>
      <c r="G3374" s="6">
        <f>ROUND(F3374-D3374,2)</f>
        <v/>
      </c>
    </row>
    <row r="3375">
      <c r="A3375" t="inlineStr">
        <is>
          <t>2022-08-31</t>
        </is>
      </c>
      <c r="B3375" t="n">
        <v>18</v>
      </c>
      <c r="C3375" t="n">
        <v>3045</v>
      </c>
      <c r="D3375" s="6" t="n">
        <v>135.2</v>
      </c>
      <c r="E3375" s="6" t="n">
        <v>1217193.37</v>
      </c>
      <c r="F3375" s="6">
        <f>ROUND(E3375-E3374,2)</f>
        <v/>
      </c>
      <c r="G3375" s="6">
        <f>ROUND(F3375-D3375,2)</f>
        <v/>
      </c>
    </row>
    <row r="3376">
      <c r="A3376" t="inlineStr">
        <is>
          <t>2022-08-31</t>
        </is>
      </c>
      <c r="B3376" t="n">
        <v>19</v>
      </c>
      <c r="C3376" t="n">
        <v>3045</v>
      </c>
      <c r="D3376" s="6" t="n">
        <v>60</v>
      </c>
      <c r="E3376" s="6" t="n">
        <v>1217253.37</v>
      </c>
      <c r="F3376" s="6">
        <f>ROUND(E3376-E3375,2)</f>
        <v/>
      </c>
      <c r="G3376" s="6">
        <f>ROUND(F3376-D3376,2)</f>
        <v/>
      </c>
    </row>
    <row r="3377">
      <c r="A3377" t="inlineStr">
        <is>
          <t>2022-08-31</t>
        </is>
      </c>
      <c r="B3377" t="n">
        <v>20</v>
      </c>
      <c r="C3377" t="n">
        <v>3045</v>
      </c>
      <c r="D3377" s="6" t="n">
        <v>62</v>
      </c>
      <c r="E3377" s="6" t="n">
        <v>1217315.37</v>
      </c>
      <c r="F3377" s="6">
        <f>ROUND(E3377-E3376,2)</f>
        <v/>
      </c>
      <c r="G3377" s="6">
        <f>ROUND(F3377-D3377,2)</f>
        <v/>
      </c>
    </row>
    <row r="3378">
      <c r="A3378" t="inlineStr">
        <is>
          <t>2022-08-31</t>
        </is>
      </c>
      <c r="B3378" t="n">
        <v>21</v>
      </c>
      <c r="C3378" t="n">
        <v>3045</v>
      </c>
      <c r="D3378" s="6" t="n">
        <v>96.7</v>
      </c>
      <c r="E3378" s="6" t="n">
        <v>1217412.07</v>
      </c>
      <c r="F3378" s="6">
        <f>ROUND(E3378-E3377,2)</f>
        <v/>
      </c>
      <c r="G3378" s="6">
        <f>ROUND(F3378-D3378,2)</f>
        <v/>
      </c>
    </row>
    <row r="3379">
      <c r="A3379" t="inlineStr">
        <is>
          <t>2022-08-31</t>
        </is>
      </c>
      <c r="B3379" t="n">
        <v>22</v>
      </c>
      <c r="C3379" t="n">
        <v>3045</v>
      </c>
      <c r="D3379" s="6" t="n">
        <v>22.5</v>
      </c>
      <c r="E3379" s="6" t="n">
        <v>1217434.57</v>
      </c>
      <c r="F3379" s="6">
        <f>ROUND(E3379-E3378,2)</f>
        <v/>
      </c>
      <c r="G3379" s="6">
        <f>ROUND(F3379-D3379,2)</f>
        <v/>
      </c>
    </row>
    <row r="3380">
      <c r="A3380" t="inlineStr">
        <is>
          <t>2022-08-31</t>
        </is>
      </c>
      <c r="B3380" t="n">
        <v>23</v>
      </c>
      <c r="C3380" t="n">
        <v>3045</v>
      </c>
      <c r="D3380" s="6" t="n">
        <v>15.9</v>
      </c>
      <c r="E3380" s="6" t="n">
        <v>1217450.47</v>
      </c>
      <c r="F3380" s="6">
        <f>ROUND(E3380-E3379,2)</f>
        <v/>
      </c>
      <c r="G3380" s="6">
        <f>ROUND(F3380-D3380,2)</f>
        <v/>
      </c>
    </row>
    <row r="3381">
      <c r="A3381" t="inlineStr">
        <is>
          <t>2022-08-31</t>
        </is>
      </c>
      <c r="B3381" t="n">
        <v>24</v>
      </c>
      <c r="C3381" t="n">
        <v>3045</v>
      </c>
      <c r="D3381" s="6" t="n">
        <v>19</v>
      </c>
      <c r="E3381" s="6" t="n">
        <v>1217469.47</v>
      </c>
      <c r="F3381" s="6">
        <f>ROUND(E3381-E3380,2)</f>
        <v/>
      </c>
      <c r="G3381" s="6">
        <f>ROUND(F3381-D3381,2)</f>
        <v/>
      </c>
    </row>
    <row r="3382">
      <c r="A3382" t="inlineStr">
        <is>
          <t>2022-08-31</t>
        </is>
      </c>
      <c r="B3382" t="n">
        <v>25</v>
      </c>
      <c r="C3382" t="n">
        <v>3045</v>
      </c>
      <c r="D3382" s="6" t="n">
        <v>41</v>
      </c>
      <c r="E3382" s="6" t="n">
        <v>1217510.47</v>
      </c>
      <c r="F3382" s="6">
        <f>ROUND(E3382-E3381,2)</f>
        <v/>
      </c>
      <c r="G3382" s="6">
        <f>ROUND(F3382-D3382,2)</f>
        <v/>
      </c>
    </row>
    <row r="3383">
      <c r="A3383" t="inlineStr">
        <is>
          <t>2022-08-31</t>
        </is>
      </c>
      <c r="B3383" t="n">
        <v>26</v>
      </c>
      <c r="C3383" t="n">
        <v>3045</v>
      </c>
      <c r="D3383" s="6" t="n">
        <v>35.7</v>
      </c>
      <c r="E3383" s="6" t="n">
        <v>1217546.17</v>
      </c>
      <c r="F3383" s="6">
        <f>ROUND(E3383-E3382,2)</f>
        <v/>
      </c>
      <c r="G3383" s="6">
        <f>ROUND(F3383-D3383,2)</f>
        <v/>
      </c>
    </row>
    <row r="3384">
      <c r="A3384" t="inlineStr">
        <is>
          <t>2022-08-31</t>
        </is>
      </c>
      <c r="B3384" t="n">
        <v>27</v>
      </c>
      <c r="C3384" t="n">
        <v>3045</v>
      </c>
      <c r="D3384" s="6" t="n">
        <v>112.7</v>
      </c>
      <c r="E3384" s="6" t="n">
        <v>1217658.87</v>
      </c>
      <c r="F3384" s="6">
        <f>ROUND(E3384-E3383,2)</f>
        <v/>
      </c>
      <c r="G3384" s="6">
        <f>ROUND(F3384-D3384,2)</f>
        <v/>
      </c>
    </row>
    <row r="3385">
      <c r="A3385" t="inlineStr">
        <is>
          <t>2022-08-31</t>
        </is>
      </c>
      <c r="B3385" t="n">
        <v>28</v>
      </c>
      <c r="C3385" t="n">
        <v>3045</v>
      </c>
      <c r="D3385" s="6" t="n">
        <v>79.3</v>
      </c>
      <c r="E3385" s="6" t="n">
        <v>1217738.17</v>
      </c>
      <c r="F3385" s="6">
        <f>ROUND(E3385-E3384,2)</f>
        <v/>
      </c>
      <c r="G3385" s="6">
        <f>ROUND(F3385-D3385,2)</f>
        <v/>
      </c>
    </row>
    <row r="3386">
      <c r="A3386" t="inlineStr">
        <is>
          <t>2022-08-31</t>
        </is>
      </c>
      <c r="B3386" t="n">
        <v>29</v>
      </c>
      <c r="C3386" t="n">
        <v>3045</v>
      </c>
      <c r="D3386" s="6" t="n">
        <v>84.8</v>
      </c>
      <c r="E3386" s="6" t="n">
        <v>1217822.97</v>
      </c>
      <c r="F3386" s="6">
        <f>ROUND(E3386-E3385,2)</f>
        <v/>
      </c>
      <c r="G3386" s="6">
        <f>ROUND(F3386-D3386,2)</f>
        <v/>
      </c>
    </row>
    <row r="3387">
      <c r="A3387" t="inlineStr">
        <is>
          <t>2022-08-31</t>
        </is>
      </c>
      <c r="B3387" t="n">
        <v>30</v>
      </c>
      <c r="C3387" t="n">
        <v>3045</v>
      </c>
      <c r="D3387" s="6" t="n">
        <v>46</v>
      </c>
      <c r="E3387" s="6" t="n">
        <v>1217868.97</v>
      </c>
      <c r="F3387" s="6">
        <f>ROUND(E3387-E3386,2)</f>
        <v/>
      </c>
      <c r="G3387" s="6">
        <f>ROUND(F3387-D3387,2)</f>
        <v/>
      </c>
    </row>
    <row r="3388">
      <c r="A3388" t="inlineStr">
        <is>
          <t>2022-08-31</t>
        </is>
      </c>
      <c r="B3388" t="n">
        <v>31</v>
      </c>
      <c r="C3388" t="n">
        <v>3045</v>
      </c>
      <c r="D3388" s="6" t="n">
        <v>43</v>
      </c>
      <c r="E3388" s="6" t="n">
        <v>1217911.97</v>
      </c>
      <c r="F3388" s="6">
        <f>ROUND(E3388-E3387,2)</f>
        <v/>
      </c>
      <c r="G3388" s="6">
        <f>ROUND(F3388-D3388,2)</f>
        <v/>
      </c>
    </row>
    <row r="3389">
      <c r="A3389" t="inlineStr">
        <is>
          <t>2022-08-31</t>
        </is>
      </c>
      <c r="B3389" t="n">
        <v>32</v>
      </c>
      <c r="C3389" t="n">
        <v>3045</v>
      </c>
      <c r="D3389" s="6" t="n">
        <v>16.3</v>
      </c>
      <c r="E3389" s="6" t="n">
        <v>1217928.27</v>
      </c>
      <c r="F3389" s="6">
        <f>ROUND(E3389-E3388,2)</f>
        <v/>
      </c>
      <c r="G3389" s="6">
        <f>ROUND(F3389-D3389,2)</f>
        <v/>
      </c>
    </row>
    <row r="3390">
      <c r="A3390" t="inlineStr">
        <is>
          <t>2022-08-31</t>
        </is>
      </c>
      <c r="B3390" t="n">
        <v>33</v>
      </c>
      <c r="C3390" t="n">
        <v>3045</v>
      </c>
      <c r="D3390" s="6" t="n">
        <v>16.3</v>
      </c>
      <c r="E3390" s="6" t="n">
        <v>1217944.57</v>
      </c>
      <c r="F3390" s="6">
        <f>ROUND(E3390-E3389,2)</f>
        <v/>
      </c>
      <c r="G3390" s="6">
        <f>ROUND(F3390-D3390,2)</f>
        <v/>
      </c>
    </row>
    <row r="3391">
      <c r="A3391" t="inlineStr">
        <is>
          <t>2022-08-31</t>
        </is>
      </c>
      <c r="B3391" t="n">
        <v>34</v>
      </c>
      <c r="C3391" t="n">
        <v>3045</v>
      </c>
      <c r="D3391" s="6" t="n">
        <v>250.3</v>
      </c>
      <c r="E3391" s="6" t="n">
        <v>1218194.87</v>
      </c>
      <c r="F3391" s="6">
        <f>ROUND(E3391-E3390,2)</f>
        <v/>
      </c>
      <c r="G3391" s="6">
        <f>ROUND(F3391-D3391,2)</f>
        <v/>
      </c>
    </row>
    <row r="3392">
      <c r="A3392" t="inlineStr">
        <is>
          <t>2022-09-01</t>
        </is>
      </c>
      <c r="B3392" t="n">
        <v>1</v>
      </c>
      <c r="C3392" t="n">
        <v>3046</v>
      </c>
      <c r="D3392" s="6" t="n">
        <v>84.8</v>
      </c>
      <c r="E3392" s="6" t="n">
        <v>1218279.67</v>
      </c>
      <c r="F3392" s="6">
        <f>ROUND(E3392-E3391,2)</f>
        <v/>
      </c>
      <c r="G3392" s="6">
        <f>ROUND(F3392-D3392,2)</f>
        <v/>
      </c>
    </row>
    <row r="3393">
      <c r="A3393" t="inlineStr">
        <is>
          <t>2022-09-01</t>
        </is>
      </c>
      <c r="B3393" t="n">
        <v>2</v>
      </c>
      <c r="C3393" t="n">
        <v>3046</v>
      </c>
      <c r="D3393" s="6" t="n">
        <v>65.7</v>
      </c>
      <c r="E3393" s="6" t="n">
        <v>1218345.37</v>
      </c>
      <c r="F3393" s="6">
        <f>ROUND(E3393-E3392,2)</f>
        <v/>
      </c>
      <c r="G3393" s="6">
        <f>ROUND(F3393-D3393,2)</f>
        <v/>
      </c>
    </row>
    <row r="3394">
      <c r="A3394" t="inlineStr">
        <is>
          <t>2022-09-01</t>
        </is>
      </c>
      <c r="B3394" t="n">
        <v>3</v>
      </c>
      <c r="C3394" t="n">
        <v>3046</v>
      </c>
      <c r="D3394" s="6" t="n">
        <v>36.4</v>
      </c>
      <c r="E3394" s="6" t="n">
        <v>1218381.77</v>
      </c>
      <c r="F3394" s="6">
        <f>ROUND(E3394-E3393,2)</f>
        <v/>
      </c>
      <c r="G3394" s="6">
        <f>ROUND(F3394-D3394,2)</f>
        <v/>
      </c>
    </row>
    <row r="3395">
      <c r="A3395" t="inlineStr">
        <is>
          <t>2022-09-01</t>
        </is>
      </c>
      <c r="B3395" t="n">
        <v>4</v>
      </c>
      <c r="C3395" t="n">
        <v>3046</v>
      </c>
      <c r="D3395" s="6" t="n">
        <v>41</v>
      </c>
      <c r="E3395" s="6" t="n">
        <v>1218422.77</v>
      </c>
      <c r="F3395" s="6">
        <f>ROUND(E3395-E3394,2)</f>
        <v/>
      </c>
      <c r="G3395" s="6">
        <f>ROUND(F3395-D3395,2)</f>
        <v/>
      </c>
    </row>
    <row r="3396">
      <c r="A3396" t="inlineStr">
        <is>
          <t>2022-09-01</t>
        </is>
      </c>
      <c r="B3396" t="n">
        <v>5</v>
      </c>
      <c r="C3396" t="n">
        <v>3046</v>
      </c>
      <c r="D3396" s="6" t="n">
        <v>45.8</v>
      </c>
      <c r="E3396" s="6" t="n">
        <v>1218468.57</v>
      </c>
      <c r="F3396" s="6">
        <f>ROUND(E3396-E3395,2)</f>
        <v/>
      </c>
      <c r="G3396" s="6">
        <f>ROUND(F3396-D3396,2)</f>
        <v/>
      </c>
    </row>
    <row r="3397">
      <c r="A3397" t="inlineStr">
        <is>
          <t>2022-09-01</t>
        </is>
      </c>
      <c r="B3397" t="n">
        <v>6</v>
      </c>
      <c r="C3397" t="n">
        <v>3046</v>
      </c>
      <c r="D3397" s="6" t="n">
        <v>48.3</v>
      </c>
      <c r="E3397" s="6" t="n">
        <v>1218516.87</v>
      </c>
      <c r="F3397" s="6">
        <f>ROUND(E3397-E3396,2)</f>
        <v/>
      </c>
      <c r="G3397" s="6">
        <f>ROUND(F3397-D3397,2)</f>
        <v/>
      </c>
    </row>
    <row r="3398">
      <c r="A3398" t="inlineStr">
        <is>
          <t>2022-09-01</t>
        </is>
      </c>
      <c r="B3398" t="n">
        <v>7</v>
      </c>
      <c r="C3398" t="n">
        <v>3046</v>
      </c>
      <c r="D3398" s="6" t="n">
        <v>68.90000000000001</v>
      </c>
      <c r="E3398" s="6" t="n">
        <v>1218585.77</v>
      </c>
      <c r="F3398" s="6">
        <f>ROUND(E3398-E3397,2)</f>
        <v/>
      </c>
      <c r="G3398" s="6">
        <f>ROUND(F3398-D3398,2)</f>
        <v/>
      </c>
    </row>
    <row r="3399">
      <c r="A3399" t="inlineStr">
        <is>
          <t>2022-09-01</t>
        </is>
      </c>
      <c r="B3399" t="n">
        <v>8</v>
      </c>
      <c r="C3399" t="n">
        <v>3046</v>
      </c>
      <c r="D3399" s="6" t="n">
        <v>99.40000000000001</v>
      </c>
      <c r="E3399" s="6" t="n">
        <v>1218685.17</v>
      </c>
      <c r="F3399" s="6">
        <f>ROUND(E3399-E3398,2)</f>
        <v/>
      </c>
      <c r="G3399" s="6">
        <f>ROUND(F3399-D3399,2)</f>
        <v/>
      </c>
    </row>
    <row r="3400">
      <c r="A3400" t="inlineStr">
        <is>
          <t>2022-09-01</t>
        </is>
      </c>
      <c r="B3400" t="n">
        <v>9</v>
      </c>
      <c r="C3400" t="n">
        <v>3046</v>
      </c>
      <c r="D3400" s="6" t="n">
        <v>66.09999999999999</v>
      </c>
      <c r="E3400" s="6" t="n">
        <v>1218751.27</v>
      </c>
      <c r="F3400" s="6">
        <f>ROUND(E3400-E3399,2)</f>
        <v/>
      </c>
      <c r="G3400" s="6">
        <f>ROUND(F3400-D3400,2)</f>
        <v/>
      </c>
    </row>
    <row r="3401">
      <c r="A3401" t="inlineStr">
        <is>
          <t>2022-09-01</t>
        </is>
      </c>
      <c r="B3401" t="n">
        <v>10</v>
      </c>
      <c r="C3401" t="n">
        <v>3046</v>
      </c>
      <c r="D3401" s="6" t="n">
        <v>77.2</v>
      </c>
      <c r="E3401" s="6" t="n">
        <v>1218828.47</v>
      </c>
      <c r="F3401" s="6">
        <f>ROUND(E3401-E3400,2)</f>
        <v/>
      </c>
      <c r="G3401" s="6">
        <f>ROUND(F3401-D3401,2)</f>
        <v/>
      </c>
    </row>
    <row r="3402">
      <c r="A3402" t="inlineStr">
        <is>
          <t>2022-09-01</t>
        </is>
      </c>
      <c r="B3402" t="n">
        <v>11</v>
      </c>
      <c r="C3402" t="n">
        <v>3046</v>
      </c>
      <c r="D3402" s="6" t="n">
        <v>70.3</v>
      </c>
      <c r="E3402" s="6" t="n">
        <v>1218898.77</v>
      </c>
      <c r="F3402" s="6">
        <f>ROUND(E3402-E3401,2)</f>
        <v/>
      </c>
      <c r="G3402" s="6">
        <f>ROUND(F3402-D3402,2)</f>
        <v/>
      </c>
    </row>
    <row r="3403">
      <c r="A3403" t="inlineStr">
        <is>
          <t>2022-09-01</t>
        </is>
      </c>
      <c r="B3403" t="n">
        <v>12</v>
      </c>
      <c r="C3403" t="n">
        <v>3046</v>
      </c>
      <c r="D3403" s="6" t="n">
        <v>404.8</v>
      </c>
      <c r="E3403" s="6" t="n">
        <v>1219303.57</v>
      </c>
      <c r="F3403" s="6">
        <f>ROUND(E3403-E3402,2)</f>
        <v/>
      </c>
      <c r="G3403" s="6">
        <f>ROUND(F3403-D3403,2)</f>
        <v/>
      </c>
    </row>
    <row r="3404">
      <c r="A3404" t="inlineStr">
        <is>
          <t>2022-09-01</t>
        </is>
      </c>
      <c r="B3404" t="n">
        <v>13</v>
      </c>
      <c r="C3404" t="n">
        <v>3046</v>
      </c>
      <c r="D3404" s="6" t="n">
        <v>26.3</v>
      </c>
      <c r="E3404" s="6" t="n">
        <v>1219329.87</v>
      </c>
      <c r="F3404" s="6">
        <f>ROUND(E3404-E3403,2)</f>
        <v/>
      </c>
      <c r="G3404" s="6">
        <f>ROUND(F3404-D3404,2)</f>
        <v/>
      </c>
    </row>
    <row r="3405">
      <c r="A3405" t="inlineStr">
        <is>
          <t>2022-09-01</t>
        </is>
      </c>
      <c r="B3405" t="n">
        <v>14</v>
      </c>
      <c r="C3405" t="n">
        <v>3046</v>
      </c>
      <c r="D3405" s="6" t="n">
        <v>26.3</v>
      </c>
      <c r="E3405" s="6" t="n">
        <v>1219356.17</v>
      </c>
      <c r="F3405" s="6">
        <f>ROUND(E3405-E3404,2)</f>
        <v/>
      </c>
      <c r="G3405" s="6">
        <f>ROUND(F3405-D3405,2)</f>
        <v/>
      </c>
    </row>
    <row r="3406">
      <c r="A3406" t="inlineStr">
        <is>
          <t>2022-09-01</t>
        </is>
      </c>
      <c r="B3406" t="n">
        <v>15</v>
      </c>
      <c r="C3406" t="n">
        <v>3046</v>
      </c>
      <c r="D3406" s="6" t="n">
        <v>100.3</v>
      </c>
      <c r="E3406" s="6" t="n">
        <v>1219456.47</v>
      </c>
      <c r="F3406" s="6">
        <f>ROUND(E3406-E3405,2)</f>
        <v/>
      </c>
      <c r="G3406" s="6">
        <f>ROUND(F3406-D3406,2)</f>
        <v/>
      </c>
    </row>
    <row r="3407">
      <c r="A3407" t="inlineStr">
        <is>
          <t>2022-09-01</t>
        </is>
      </c>
      <c r="B3407" t="n">
        <v>16</v>
      </c>
      <c r="C3407" t="n">
        <v>3046</v>
      </c>
      <c r="D3407" s="6" t="n">
        <v>44.3</v>
      </c>
      <c r="E3407" s="6" t="n">
        <v>1219500.77</v>
      </c>
      <c r="F3407" s="6">
        <f>ROUND(E3407-E3406,2)</f>
        <v/>
      </c>
      <c r="G3407" s="6">
        <f>ROUND(F3407-D3407,2)</f>
        <v/>
      </c>
    </row>
    <row r="3408">
      <c r="A3408" t="inlineStr">
        <is>
          <t>2022-09-01</t>
        </is>
      </c>
      <c r="B3408" t="n">
        <v>17</v>
      </c>
      <c r="C3408" t="n">
        <v>3046</v>
      </c>
      <c r="D3408" s="6" t="n">
        <v>48.2</v>
      </c>
      <c r="E3408" s="6" t="n">
        <v>1219548.97</v>
      </c>
      <c r="F3408" s="6">
        <f>ROUND(E3408-E3407,2)</f>
        <v/>
      </c>
      <c r="G3408" s="6">
        <f>ROUND(F3408-D3408,2)</f>
        <v/>
      </c>
    </row>
    <row r="3409">
      <c r="A3409" t="inlineStr">
        <is>
          <t>2022-09-01</t>
        </is>
      </c>
      <c r="B3409" t="n">
        <v>18</v>
      </c>
      <c r="C3409" t="n">
        <v>3046</v>
      </c>
      <c r="D3409" s="6" t="n">
        <v>125.5</v>
      </c>
      <c r="E3409" s="6" t="n">
        <v>1219674.47</v>
      </c>
      <c r="F3409" s="6">
        <f>ROUND(E3409-E3408,2)</f>
        <v/>
      </c>
      <c r="G3409" s="6">
        <f>ROUND(F3409-D3409,2)</f>
        <v/>
      </c>
    </row>
    <row r="3410">
      <c r="A3410" t="inlineStr">
        <is>
          <t>2022-09-01</t>
        </is>
      </c>
      <c r="B3410" t="n">
        <v>19</v>
      </c>
      <c r="C3410" t="n">
        <v>3046</v>
      </c>
      <c r="D3410" s="6" t="n">
        <v>43.6</v>
      </c>
      <c r="E3410" s="6" t="n">
        <v>1219718.07</v>
      </c>
      <c r="F3410" s="6">
        <f>ROUND(E3410-E3409,2)</f>
        <v/>
      </c>
      <c r="G3410" s="6">
        <f>ROUND(F3410-D3410,2)</f>
        <v/>
      </c>
    </row>
    <row r="3411">
      <c r="A3411" t="inlineStr">
        <is>
          <t>2022-09-01</t>
        </is>
      </c>
      <c r="B3411" t="n">
        <v>20</v>
      </c>
      <c r="C3411" t="n">
        <v>3046</v>
      </c>
      <c r="D3411" s="6" t="n">
        <v>17.4</v>
      </c>
      <c r="E3411" s="6" t="n">
        <v>1219735.47</v>
      </c>
      <c r="F3411" s="6">
        <f>ROUND(E3411-E3410,2)</f>
        <v/>
      </c>
      <c r="G3411" s="6">
        <f>ROUND(F3411-D3411,2)</f>
        <v/>
      </c>
    </row>
    <row r="3412">
      <c r="A3412" t="inlineStr">
        <is>
          <t>2022-09-01</t>
        </is>
      </c>
      <c r="B3412" t="n">
        <v>21</v>
      </c>
      <c r="C3412" t="n">
        <v>3046</v>
      </c>
      <c r="D3412" s="6" t="n">
        <v>34.2</v>
      </c>
      <c r="E3412" s="6" t="n">
        <v>1219769.67</v>
      </c>
      <c r="F3412" s="6">
        <f>ROUND(E3412-E3411,2)</f>
        <v/>
      </c>
      <c r="G3412" s="6">
        <f>ROUND(F3412-D3412,2)</f>
        <v/>
      </c>
    </row>
    <row r="3413">
      <c r="A3413" t="inlineStr">
        <is>
          <t>2022-09-01</t>
        </is>
      </c>
      <c r="B3413" t="n">
        <v>22</v>
      </c>
      <c r="C3413" t="n">
        <v>3046</v>
      </c>
      <c r="D3413" s="6" t="n">
        <v>79.7</v>
      </c>
      <c r="E3413" s="6" t="n">
        <v>1219849.37</v>
      </c>
      <c r="F3413" s="6">
        <f>ROUND(E3413-E3412,2)</f>
        <v/>
      </c>
      <c r="G3413" s="6">
        <f>ROUND(F3413-D3413,2)</f>
        <v/>
      </c>
    </row>
    <row r="3414">
      <c r="A3414" t="inlineStr">
        <is>
          <t>2022-09-01</t>
        </is>
      </c>
      <c r="B3414" t="n">
        <v>23</v>
      </c>
      <c r="C3414" t="n">
        <v>3046</v>
      </c>
      <c r="D3414" s="6" t="n">
        <v>65.90000000000001</v>
      </c>
      <c r="E3414" s="6" t="n">
        <v>1219915.27</v>
      </c>
      <c r="F3414" s="6">
        <f>ROUND(E3414-E3413,2)</f>
        <v/>
      </c>
      <c r="G3414" s="6">
        <f>ROUND(F3414-D3414,2)</f>
        <v/>
      </c>
    </row>
    <row r="3415">
      <c r="A3415" t="inlineStr">
        <is>
          <t>2022-09-01</t>
        </is>
      </c>
      <c r="B3415" t="n">
        <v>24</v>
      </c>
      <c r="C3415" t="n">
        <v>3046</v>
      </c>
      <c r="D3415" s="6" t="n">
        <v>74.5</v>
      </c>
      <c r="E3415" s="6" t="n">
        <v>1219989.77</v>
      </c>
      <c r="F3415" s="6">
        <f>ROUND(E3415-E3414,2)</f>
        <v/>
      </c>
      <c r="G3415" s="6">
        <f>ROUND(F3415-D3415,2)</f>
        <v/>
      </c>
    </row>
    <row r="3416">
      <c r="A3416" t="inlineStr">
        <is>
          <t>2022-09-01</t>
        </is>
      </c>
      <c r="B3416" t="n">
        <v>25</v>
      </c>
      <c r="C3416" t="n">
        <v>3046</v>
      </c>
      <c r="D3416" s="6" t="n">
        <v>56.8</v>
      </c>
      <c r="E3416" s="6" t="n">
        <v>1220046.57</v>
      </c>
      <c r="F3416" s="6">
        <f>ROUND(E3416-E3415,2)</f>
        <v/>
      </c>
      <c r="G3416" s="6">
        <f>ROUND(F3416-D3416,2)</f>
        <v/>
      </c>
    </row>
    <row r="3417">
      <c r="A3417" t="inlineStr">
        <is>
          <t>2022-09-01</t>
        </is>
      </c>
      <c r="B3417" t="n">
        <v>26</v>
      </c>
      <c r="C3417" t="n">
        <v>3046</v>
      </c>
      <c r="D3417" s="6" t="n">
        <v>66.25</v>
      </c>
      <c r="E3417" s="6" t="n">
        <v>1220112.82</v>
      </c>
      <c r="F3417" s="6">
        <f>ROUND(E3417-E3416,2)</f>
        <v/>
      </c>
      <c r="G3417" s="6">
        <f>ROUND(F3417-D3417,2)</f>
        <v/>
      </c>
    </row>
    <row r="3418">
      <c r="A3418" t="inlineStr">
        <is>
          <t>2022-09-01</t>
        </is>
      </c>
      <c r="B3418" t="n">
        <v>27</v>
      </c>
      <c r="C3418" t="n">
        <v>3046</v>
      </c>
      <c r="D3418" s="6" t="n">
        <v>118.1</v>
      </c>
      <c r="E3418" s="6" t="n">
        <v>1220230.92</v>
      </c>
      <c r="F3418" s="6">
        <f>ROUND(E3418-E3417,2)</f>
        <v/>
      </c>
      <c r="G3418" s="6">
        <f>ROUND(F3418-D3418,2)</f>
        <v/>
      </c>
    </row>
    <row r="3419">
      <c r="A3419" t="inlineStr">
        <is>
          <t>2022-09-01</t>
        </is>
      </c>
      <c r="B3419" t="n">
        <v>28</v>
      </c>
      <c r="C3419" t="n">
        <v>3046</v>
      </c>
      <c r="D3419" s="6" t="n">
        <v>61.8</v>
      </c>
      <c r="E3419" s="6" t="n">
        <v>1220292.72</v>
      </c>
      <c r="F3419" s="6">
        <f>ROUND(E3419-E3418,2)</f>
        <v/>
      </c>
      <c r="G3419" s="6">
        <f>ROUND(F3419-D3419,2)</f>
        <v/>
      </c>
    </row>
    <row r="3420">
      <c r="A3420" t="inlineStr">
        <is>
          <t>2022-09-01</t>
        </is>
      </c>
      <c r="B3420" t="n">
        <v>29</v>
      </c>
      <c r="C3420" t="n">
        <v>3046</v>
      </c>
      <c r="D3420" s="6" t="n">
        <v>19.6</v>
      </c>
      <c r="E3420" s="6" t="n">
        <v>1220312.32</v>
      </c>
      <c r="F3420" s="6">
        <f>ROUND(E3420-E3419,2)</f>
        <v/>
      </c>
      <c r="G3420" s="6">
        <f>ROUND(F3420-D3420,2)</f>
        <v/>
      </c>
    </row>
    <row r="3421">
      <c r="A3421" t="inlineStr">
        <is>
          <t>2022-09-01</t>
        </is>
      </c>
      <c r="B3421" t="n">
        <v>30</v>
      </c>
      <c r="C3421" t="n">
        <v>3046</v>
      </c>
      <c r="D3421" s="6" t="n">
        <v>130.8</v>
      </c>
      <c r="E3421" s="6" t="n">
        <v>1220443.12</v>
      </c>
      <c r="F3421" s="6">
        <f>ROUND(E3421-E3420,2)</f>
        <v/>
      </c>
      <c r="G3421" s="6">
        <f>ROUND(F3421-D3421,2)</f>
        <v/>
      </c>
    </row>
    <row r="3422">
      <c r="A3422" t="inlineStr">
        <is>
          <t>2022-09-01</t>
        </is>
      </c>
      <c r="B3422" t="n">
        <v>31</v>
      </c>
      <c r="C3422" t="n">
        <v>3046</v>
      </c>
      <c r="D3422" s="6" t="n">
        <v>127.4</v>
      </c>
      <c r="E3422" s="6" t="n">
        <v>1220570.52</v>
      </c>
      <c r="F3422" s="6">
        <f>ROUND(E3422-E3421,2)</f>
        <v/>
      </c>
      <c r="G3422" s="6">
        <f>ROUND(F3422-D3422,2)</f>
        <v/>
      </c>
    </row>
    <row r="3423">
      <c r="A3423" t="inlineStr">
        <is>
          <t>2022-09-01</t>
        </is>
      </c>
      <c r="B3423" t="n">
        <v>32</v>
      </c>
      <c r="C3423" t="n">
        <v>3046</v>
      </c>
      <c r="D3423" s="6" t="n">
        <v>33.85</v>
      </c>
      <c r="E3423" s="6" t="n">
        <v>1220604.37</v>
      </c>
      <c r="F3423" s="6">
        <f>ROUND(E3423-E3422,2)</f>
        <v/>
      </c>
      <c r="G3423" s="6">
        <f>ROUND(F3423-D3423,2)</f>
        <v/>
      </c>
    </row>
    <row r="3424">
      <c r="A3424" t="inlineStr">
        <is>
          <t>2022-09-01</t>
        </is>
      </c>
      <c r="B3424" t="n">
        <v>33</v>
      </c>
      <c r="C3424" t="n">
        <v>3046</v>
      </c>
      <c r="D3424" s="6" t="n">
        <v>33.85</v>
      </c>
      <c r="E3424" s="6" t="n">
        <v>1220638.22</v>
      </c>
      <c r="F3424" s="6">
        <f>ROUND(E3424-E3423,2)</f>
        <v/>
      </c>
      <c r="G3424" s="6">
        <f>ROUND(F3424-D3424,2)</f>
        <v/>
      </c>
    </row>
    <row r="3425">
      <c r="A3425" t="inlineStr">
        <is>
          <t>2022-09-02</t>
        </is>
      </c>
      <c r="B3425" t="n">
        <v>1</v>
      </c>
      <c r="C3425" t="n">
        <v>3047</v>
      </c>
      <c r="D3425" s="6" t="n">
        <v>57.4</v>
      </c>
      <c r="E3425" s="6" t="n">
        <v>1220695.62</v>
      </c>
      <c r="F3425" s="6">
        <f>ROUND(E3425-E3424,2)</f>
        <v/>
      </c>
      <c r="G3425" s="6">
        <f>ROUND(F3425-D3425,2)</f>
        <v/>
      </c>
    </row>
    <row r="3426">
      <c r="A3426" t="inlineStr">
        <is>
          <t>2022-09-02</t>
        </is>
      </c>
      <c r="B3426" t="n">
        <v>2</v>
      </c>
      <c r="C3426" t="n">
        <v>3047</v>
      </c>
      <c r="D3426" s="6" t="n">
        <v>52.4</v>
      </c>
      <c r="E3426" s="6" t="n">
        <v>1220748.02</v>
      </c>
      <c r="F3426" s="6">
        <f>ROUND(E3426-E3425,2)</f>
        <v/>
      </c>
      <c r="G3426" s="6">
        <f>ROUND(F3426-D3426,2)</f>
        <v/>
      </c>
    </row>
    <row r="3427">
      <c r="A3427" t="inlineStr">
        <is>
          <t>2022-09-02</t>
        </is>
      </c>
      <c r="B3427" t="n">
        <v>3</v>
      </c>
      <c r="C3427" t="n">
        <v>3047</v>
      </c>
      <c r="D3427" s="6" t="n">
        <v>49.7</v>
      </c>
      <c r="E3427" s="6" t="n">
        <v>1220797.72</v>
      </c>
      <c r="F3427" s="6">
        <f>ROUND(E3427-E3426,2)</f>
        <v/>
      </c>
      <c r="G3427" s="6">
        <f>ROUND(F3427-D3427,2)</f>
        <v/>
      </c>
    </row>
    <row r="3428">
      <c r="A3428" t="inlineStr">
        <is>
          <t>2022-09-02</t>
        </is>
      </c>
      <c r="B3428" t="n">
        <v>4</v>
      </c>
      <c r="C3428" t="n">
        <v>3047</v>
      </c>
      <c r="D3428" s="6" t="n">
        <v>43</v>
      </c>
      <c r="E3428" s="6" t="n">
        <v>1220840.72</v>
      </c>
      <c r="F3428" s="6">
        <f>ROUND(E3428-E3427,2)</f>
        <v/>
      </c>
      <c r="G3428" s="6">
        <f>ROUND(F3428-D3428,2)</f>
        <v/>
      </c>
    </row>
    <row r="3429">
      <c r="A3429" t="inlineStr">
        <is>
          <t>2022-09-02</t>
        </is>
      </c>
      <c r="B3429" t="n">
        <v>5</v>
      </c>
      <c r="C3429" t="n">
        <v>3047</v>
      </c>
      <c r="D3429" s="6" t="n">
        <v>20.8</v>
      </c>
      <c r="E3429" s="6" t="n">
        <v>1220861.52</v>
      </c>
      <c r="F3429" s="6">
        <f>ROUND(E3429-E3428,2)</f>
        <v/>
      </c>
      <c r="G3429" s="6">
        <f>ROUND(F3429-D3429,2)</f>
        <v/>
      </c>
    </row>
    <row r="3430">
      <c r="A3430" t="inlineStr">
        <is>
          <t>2022-09-02</t>
        </is>
      </c>
      <c r="B3430" t="n">
        <v>6</v>
      </c>
      <c r="C3430" t="n">
        <v>3047</v>
      </c>
      <c r="D3430" s="6" t="n">
        <v>18.8</v>
      </c>
      <c r="E3430" s="6" t="n">
        <v>1220880.32</v>
      </c>
      <c r="F3430" s="6">
        <f>ROUND(E3430-E3429,2)</f>
        <v/>
      </c>
      <c r="G3430" s="6">
        <f>ROUND(F3430-D3430,2)</f>
        <v/>
      </c>
    </row>
    <row r="3431">
      <c r="A3431" t="inlineStr">
        <is>
          <t>2022-09-02</t>
        </is>
      </c>
      <c r="B3431" t="n">
        <v>7</v>
      </c>
      <c r="C3431" t="n">
        <v>3047</v>
      </c>
      <c r="D3431" s="6" t="n">
        <v>21</v>
      </c>
      <c r="E3431" s="6" t="n">
        <v>1220901.32</v>
      </c>
      <c r="F3431" s="6">
        <f>ROUND(E3431-E3430,2)</f>
        <v/>
      </c>
      <c r="G3431" s="6">
        <f>ROUND(F3431-D3431,2)</f>
        <v/>
      </c>
    </row>
    <row r="3432">
      <c r="A3432" t="inlineStr">
        <is>
          <t>2022-09-02</t>
        </is>
      </c>
      <c r="B3432" t="n">
        <v>8</v>
      </c>
      <c r="C3432" t="n">
        <v>3047</v>
      </c>
      <c r="D3432" s="6" t="n">
        <v>43.1</v>
      </c>
      <c r="E3432" s="6" t="n">
        <v>1220944.42</v>
      </c>
      <c r="F3432" s="6">
        <f>ROUND(E3432-E3431,2)</f>
        <v/>
      </c>
      <c r="G3432" s="6">
        <f>ROUND(F3432-D3432,2)</f>
        <v/>
      </c>
    </row>
    <row r="3433">
      <c r="A3433" t="inlineStr">
        <is>
          <t>2022-09-02</t>
        </is>
      </c>
      <c r="B3433" t="n">
        <v>9</v>
      </c>
      <c r="C3433" t="n">
        <v>3047</v>
      </c>
      <c r="D3433" s="6" t="n">
        <v>49.1</v>
      </c>
      <c r="E3433" s="6" t="n">
        <v>1220993.52</v>
      </c>
      <c r="F3433" s="6">
        <f>ROUND(E3433-E3432,2)</f>
        <v/>
      </c>
      <c r="G3433" s="6">
        <f>ROUND(F3433-D3433,2)</f>
        <v/>
      </c>
    </row>
    <row r="3434">
      <c r="A3434" t="inlineStr">
        <is>
          <t>2022-09-02</t>
        </is>
      </c>
      <c r="B3434" t="n">
        <v>10</v>
      </c>
      <c r="C3434" t="n">
        <v>3047</v>
      </c>
      <c r="D3434" s="6" t="n">
        <v>147.3</v>
      </c>
      <c r="E3434" s="6" t="n">
        <v>1221140.82</v>
      </c>
      <c r="F3434" s="6">
        <f>ROUND(E3434-E3433,2)</f>
        <v/>
      </c>
      <c r="G3434" s="6">
        <f>ROUND(F3434-D3434,2)</f>
        <v/>
      </c>
    </row>
    <row r="3435">
      <c r="A3435" t="inlineStr">
        <is>
          <t>2022-09-02</t>
        </is>
      </c>
      <c r="B3435" t="n">
        <v>11</v>
      </c>
      <c r="C3435" t="n">
        <v>3047</v>
      </c>
      <c r="D3435" s="6" t="n">
        <v>66.2</v>
      </c>
      <c r="E3435" s="6" t="n">
        <v>1221207.02</v>
      </c>
      <c r="F3435" s="6">
        <f>ROUND(E3435-E3434,2)</f>
        <v/>
      </c>
      <c r="G3435" s="6">
        <f>ROUND(F3435-D3435,2)</f>
        <v/>
      </c>
    </row>
    <row r="3436">
      <c r="A3436" t="inlineStr">
        <is>
          <t>2022-09-02</t>
        </is>
      </c>
      <c r="B3436" t="n">
        <v>12</v>
      </c>
      <c r="C3436" t="n">
        <v>3047</v>
      </c>
      <c r="D3436" s="6" t="n">
        <v>40.3</v>
      </c>
      <c r="E3436" s="6" t="n">
        <v>1221247.32</v>
      </c>
      <c r="F3436" s="6">
        <f>ROUND(E3436-E3435,2)</f>
        <v/>
      </c>
      <c r="G3436" s="6">
        <f>ROUND(F3436-D3436,2)</f>
        <v/>
      </c>
    </row>
    <row r="3437">
      <c r="A3437" t="inlineStr">
        <is>
          <t>2022-09-02</t>
        </is>
      </c>
      <c r="B3437" t="n">
        <v>13</v>
      </c>
      <c r="C3437" t="n">
        <v>3047</v>
      </c>
      <c r="D3437" s="6" t="n">
        <v>54.2</v>
      </c>
      <c r="E3437" s="6" t="n">
        <v>1221301.52</v>
      </c>
      <c r="F3437" s="6">
        <f>ROUND(E3437-E3436,2)</f>
        <v/>
      </c>
      <c r="G3437" s="6">
        <f>ROUND(F3437-D3437,2)</f>
        <v/>
      </c>
    </row>
    <row r="3438">
      <c r="A3438" t="inlineStr">
        <is>
          <t>2022-09-02</t>
        </is>
      </c>
      <c r="B3438" t="n">
        <v>14</v>
      </c>
      <c r="C3438" t="n">
        <v>3047</v>
      </c>
      <c r="D3438" s="6" t="n">
        <v>65.59999999999999</v>
      </c>
      <c r="E3438" s="6" t="n">
        <v>1221367.12</v>
      </c>
      <c r="F3438" s="6">
        <f>ROUND(E3438-E3437,2)</f>
        <v/>
      </c>
      <c r="G3438" s="6">
        <f>ROUND(F3438-D3438,2)</f>
        <v/>
      </c>
    </row>
    <row r="3439">
      <c r="A3439" t="inlineStr">
        <is>
          <t>2022-09-02</t>
        </is>
      </c>
      <c r="B3439" t="n">
        <v>15</v>
      </c>
      <c r="C3439" t="n">
        <v>3047</v>
      </c>
      <c r="D3439" s="6" t="n">
        <v>81.90000000000001</v>
      </c>
      <c r="E3439" s="6" t="n">
        <v>1221449.02</v>
      </c>
      <c r="F3439" s="6">
        <f>ROUND(E3439-E3438,2)</f>
        <v/>
      </c>
      <c r="G3439" s="6">
        <f>ROUND(F3439-D3439,2)</f>
        <v/>
      </c>
    </row>
    <row r="3440">
      <c r="A3440" t="inlineStr">
        <is>
          <t>2022-09-02</t>
        </is>
      </c>
      <c r="B3440" t="n">
        <v>16</v>
      </c>
      <c r="C3440" t="n">
        <v>3047</v>
      </c>
      <c r="D3440" s="6" t="n">
        <v>72.90000000000001</v>
      </c>
      <c r="E3440" s="6" t="n">
        <v>1221521.92</v>
      </c>
      <c r="F3440" s="6">
        <f>ROUND(E3440-E3439,2)</f>
        <v/>
      </c>
      <c r="G3440" s="6">
        <f>ROUND(F3440-D3440,2)</f>
        <v/>
      </c>
    </row>
    <row r="3441">
      <c r="A3441" t="inlineStr">
        <is>
          <t>2022-09-02</t>
        </is>
      </c>
      <c r="B3441" t="n">
        <v>17</v>
      </c>
      <c r="C3441" t="n">
        <v>3047</v>
      </c>
      <c r="D3441" s="6" t="n">
        <v>78.90000000000001</v>
      </c>
      <c r="E3441" s="6" t="n">
        <v>1221600.82</v>
      </c>
      <c r="F3441" s="6">
        <f>ROUND(E3441-E3440,2)</f>
        <v/>
      </c>
      <c r="G3441" s="6">
        <f>ROUND(F3441-D3441,2)</f>
        <v/>
      </c>
    </row>
    <row r="3442">
      <c r="A3442" t="inlineStr">
        <is>
          <t>2022-09-02</t>
        </is>
      </c>
      <c r="B3442" t="n">
        <v>18</v>
      </c>
      <c r="C3442" t="n">
        <v>3047</v>
      </c>
      <c r="D3442" s="6" t="n">
        <v>76.40000000000001</v>
      </c>
      <c r="E3442" s="6" t="n">
        <v>1221677.22</v>
      </c>
      <c r="F3442" s="6">
        <f>ROUND(E3442-E3441,2)</f>
        <v/>
      </c>
      <c r="G3442" s="6">
        <f>ROUND(F3442-D3442,2)</f>
        <v/>
      </c>
    </row>
    <row r="3443">
      <c r="A3443" t="inlineStr">
        <is>
          <t>2022-09-02</t>
        </is>
      </c>
      <c r="B3443" t="n">
        <v>19</v>
      </c>
      <c r="C3443" t="n">
        <v>3047</v>
      </c>
      <c r="D3443" s="6" t="n">
        <v>60.1</v>
      </c>
      <c r="E3443" s="6" t="n">
        <v>1221737.32</v>
      </c>
      <c r="F3443" s="6">
        <f>ROUND(E3443-E3442,2)</f>
        <v/>
      </c>
      <c r="G3443" s="6">
        <f>ROUND(F3443-D3443,2)</f>
        <v/>
      </c>
    </row>
    <row r="3444">
      <c r="A3444" t="inlineStr">
        <is>
          <t>2022-09-02</t>
        </is>
      </c>
      <c r="B3444" t="n">
        <v>20</v>
      </c>
      <c r="C3444" t="n">
        <v>3047</v>
      </c>
      <c r="D3444" s="6" t="n">
        <v>56.4</v>
      </c>
      <c r="E3444" s="6" t="n">
        <v>1221793.72</v>
      </c>
      <c r="F3444" s="6">
        <f>ROUND(E3444-E3443,2)</f>
        <v/>
      </c>
      <c r="G3444" s="6">
        <f>ROUND(F3444-D3444,2)</f>
        <v/>
      </c>
    </row>
    <row r="3445">
      <c r="A3445" t="inlineStr">
        <is>
          <t>2022-09-02</t>
        </is>
      </c>
      <c r="B3445" t="n">
        <v>21</v>
      </c>
      <c r="C3445" t="n">
        <v>3047</v>
      </c>
      <c r="D3445" s="6" t="n">
        <v>181.7</v>
      </c>
      <c r="E3445" s="6" t="n">
        <v>1221975.42</v>
      </c>
      <c r="F3445" s="6">
        <f>ROUND(E3445-E3444,2)</f>
        <v/>
      </c>
      <c r="G3445" s="6">
        <f>ROUND(F3445-D3445,2)</f>
        <v/>
      </c>
    </row>
    <row r="3446">
      <c r="A3446" t="inlineStr">
        <is>
          <t>2022-09-02</t>
        </is>
      </c>
      <c r="B3446" t="n">
        <v>22</v>
      </c>
      <c r="C3446" t="n">
        <v>3047</v>
      </c>
      <c r="D3446" s="6" t="n">
        <v>99.59999999999999</v>
      </c>
      <c r="E3446" s="6" t="n">
        <v>1222075.02</v>
      </c>
      <c r="F3446" s="6">
        <f>ROUND(E3446-E3445,2)</f>
        <v/>
      </c>
      <c r="G3446" s="6">
        <f>ROUND(F3446-D3446,2)</f>
        <v/>
      </c>
    </row>
    <row r="3447">
      <c r="A3447" t="inlineStr">
        <is>
          <t>2022-09-02</t>
        </is>
      </c>
      <c r="B3447" t="n">
        <v>23</v>
      </c>
      <c r="C3447" t="n">
        <v>3047</v>
      </c>
      <c r="D3447" s="6" t="n">
        <v>81.3</v>
      </c>
      <c r="E3447" s="6" t="n">
        <v>1222156.32</v>
      </c>
      <c r="F3447" s="6">
        <f>ROUND(E3447-E3446,2)</f>
        <v/>
      </c>
      <c r="G3447" s="6">
        <f>ROUND(F3447-D3447,2)</f>
        <v/>
      </c>
    </row>
    <row r="3448">
      <c r="A3448" t="inlineStr">
        <is>
          <t>2022-09-02</t>
        </is>
      </c>
      <c r="B3448" t="n">
        <v>24</v>
      </c>
      <c r="C3448" t="n">
        <v>3047</v>
      </c>
      <c r="D3448" s="6" t="n">
        <v>139.8</v>
      </c>
      <c r="E3448" s="6" t="n">
        <v>1222296.12</v>
      </c>
      <c r="F3448" s="6">
        <f>ROUND(E3448-E3447,2)</f>
        <v/>
      </c>
      <c r="G3448" s="6">
        <f>ROUND(F3448-D3448,2)</f>
        <v/>
      </c>
    </row>
    <row r="3449">
      <c r="A3449" t="inlineStr">
        <is>
          <t>2022-09-02</t>
        </is>
      </c>
      <c r="B3449" t="n">
        <v>25</v>
      </c>
      <c r="C3449" t="n">
        <v>3047</v>
      </c>
      <c r="D3449" s="6" t="n">
        <v>56.4</v>
      </c>
      <c r="E3449" s="6" t="n">
        <v>1222352.52</v>
      </c>
      <c r="F3449" s="6">
        <f>ROUND(E3449-E3448,2)</f>
        <v/>
      </c>
      <c r="G3449" s="6">
        <f>ROUND(F3449-D3449,2)</f>
        <v/>
      </c>
    </row>
    <row r="3450">
      <c r="A3450" t="inlineStr">
        <is>
          <t>2022-09-02</t>
        </is>
      </c>
      <c r="B3450" t="n">
        <v>26</v>
      </c>
      <c r="C3450" t="n">
        <v>3047</v>
      </c>
      <c r="D3450" s="6" t="n">
        <v>73.2</v>
      </c>
      <c r="E3450" s="6" t="n">
        <v>1222425.72</v>
      </c>
      <c r="F3450" s="6">
        <f>ROUND(E3450-E3449,2)</f>
        <v/>
      </c>
      <c r="G3450" s="6">
        <f>ROUND(F3450-D3450,2)</f>
        <v/>
      </c>
    </row>
    <row r="3451">
      <c r="A3451" t="inlineStr">
        <is>
          <t>2022-09-02</t>
        </is>
      </c>
      <c r="B3451" t="n">
        <v>27</v>
      </c>
      <c r="C3451" t="n">
        <v>3047</v>
      </c>
      <c r="D3451" s="6" t="n">
        <v>189.5</v>
      </c>
      <c r="E3451" s="6" t="n">
        <v>1222615.22</v>
      </c>
      <c r="F3451" s="6">
        <f>ROUND(E3451-E3450,2)</f>
        <v/>
      </c>
      <c r="G3451" s="6">
        <f>ROUND(F3451-D3451,2)</f>
        <v/>
      </c>
    </row>
    <row r="3452">
      <c r="A3452" t="inlineStr">
        <is>
          <t>2022-09-02</t>
        </is>
      </c>
      <c r="B3452" t="n">
        <v>28</v>
      </c>
      <c r="C3452" t="n">
        <v>3047</v>
      </c>
      <c r="D3452" s="6" t="n">
        <v>78.3</v>
      </c>
      <c r="E3452" s="6" t="n">
        <v>1222693.52</v>
      </c>
      <c r="F3452" s="6">
        <f>ROUND(E3452-E3451,2)</f>
        <v/>
      </c>
      <c r="G3452" s="6">
        <f>ROUND(F3452-D3452,2)</f>
        <v/>
      </c>
    </row>
    <row r="3453">
      <c r="A3453" t="inlineStr">
        <is>
          <t>2022-09-02</t>
        </is>
      </c>
      <c r="B3453" t="n">
        <v>29</v>
      </c>
      <c r="C3453" t="n">
        <v>3047</v>
      </c>
      <c r="D3453" s="6" t="n">
        <v>61.1</v>
      </c>
      <c r="E3453" s="6" t="n">
        <v>1222754.62</v>
      </c>
      <c r="F3453" s="6">
        <f>ROUND(E3453-E3452,2)</f>
        <v/>
      </c>
      <c r="G3453" s="6">
        <f>ROUND(F3453-D3453,2)</f>
        <v/>
      </c>
    </row>
    <row r="3454">
      <c r="A3454" t="inlineStr">
        <is>
          <t>2022-09-03</t>
        </is>
      </c>
      <c r="B3454" t="n">
        <v>1</v>
      </c>
      <c r="C3454" t="n">
        <v>3048</v>
      </c>
      <c r="D3454" s="6" t="n">
        <v>30.1</v>
      </c>
      <c r="E3454" s="6" t="n">
        <v>1222784.72</v>
      </c>
      <c r="F3454" s="6">
        <f>ROUND(E3454-E3453,2)</f>
        <v/>
      </c>
      <c r="G3454" s="6">
        <f>ROUND(F3454-D3454,2)</f>
        <v/>
      </c>
    </row>
    <row r="3455">
      <c r="A3455" t="inlineStr">
        <is>
          <t>2022-09-03</t>
        </is>
      </c>
      <c r="B3455" t="n">
        <v>2</v>
      </c>
      <c r="C3455" t="n">
        <v>3048</v>
      </c>
      <c r="D3455" s="6" t="n">
        <v>69.59999999999999</v>
      </c>
      <c r="E3455" s="6" t="n">
        <v>1222854.32</v>
      </c>
      <c r="F3455" s="6">
        <f>ROUND(E3455-E3454,2)</f>
        <v/>
      </c>
      <c r="G3455" s="6">
        <f>ROUND(F3455-D3455,2)</f>
        <v/>
      </c>
    </row>
    <row r="3456">
      <c r="A3456" t="inlineStr">
        <is>
          <t>2022-09-03</t>
        </is>
      </c>
      <c r="B3456" t="n">
        <v>3</v>
      </c>
      <c r="C3456" t="n">
        <v>3048</v>
      </c>
      <c r="D3456" s="6" t="n">
        <v>23.95</v>
      </c>
      <c r="E3456" s="6" t="n">
        <v>1222878.27</v>
      </c>
      <c r="F3456" s="6">
        <f>ROUND(E3456-E3455,2)</f>
        <v/>
      </c>
      <c r="G3456" s="6">
        <f>ROUND(F3456-D3456,2)</f>
        <v/>
      </c>
    </row>
    <row r="3457">
      <c r="A3457" t="inlineStr">
        <is>
          <t>2022-09-03</t>
        </is>
      </c>
      <c r="B3457" t="n">
        <v>4</v>
      </c>
      <c r="C3457" t="n">
        <v>3048</v>
      </c>
      <c r="D3457" s="6" t="n">
        <v>23.95</v>
      </c>
      <c r="E3457" s="6" t="n">
        <v>1222902.22</v>
      </c>
      <c r="F3457" s="6">
        <f>ROUND(E3457-E3456,2)</f>
        <v/>
      </c>
      <c r="G3457" s="6">
        <f>ROUND(F3457-D3457,2)</f>
        <v/>
      </c>
    </row>
    <row r="3458">
      <c r="A3458" t="inlineStr">
        <is>
          <t>2022-09-03</t>
        </is>
      </c>
      <c r="B3458" t="n">
        <v>5</v>
      </c>
      <c r="C3458" t="n">
        <v>3048</v>
      </c>
      <c r="D3458" s="6" t="n">
        <v>67.59999999999999</v>
      </c>
      <c r="E3458" s="6" t="n">
        <v>1222969.82</v>
      </c>
      <c r="F3458" s="6">
        <f>ROUND(E3458-E3457,2)</f>
        <v/>
      </c>
      <c r="G3458" s="6">
        <f>ROUND(F3458-D3458,2)</f>
        <v/>
      </c>
    </row>
    <row r="3459">
      <c r="A3459" t="inlineStr">
        <is>
          <t>2022-09-03</t>
        </is>
      </c>
      <c r="B3459" t="n">
        <v>6</v>
      </c>
      <c r="C3459" t="n">
        <v>3048</v>
      </c>
      <c r="D3459" s="6" t="n">
        <v>70.5</v>
      </c>
      <c r="E3459" s="6" t="n">
        <v>1223040.32</v>
      </c>
      <c r="F3459" s="6">
        <f>ROUND(E3459-E3458,2)</f>
        <v/>
      </c>
      <c r="G3459" s="6">
        <f>ROUND(F3459-D3459,2)</f>
        <v/>
      </c>
    </row>
    <row r="3460">
      <c r="A3460" t="inlineStr">
        <is>
          <t>2022-09-03</t>
        </is>
      </c>
      <c r="B3460" t="n">
        <v>7</v>
      </c>
      <c r="C3460" t="n">
        <v>3048</v>
      </c>
      <c r="D3460" s="6" t="n">
        <v>21</v>
      </c>
      <c r="E3460" s="6" t="n">
        <v>1223061.32</v>
      </c>
      <c r="F3460" s="6">
        <f>ROUND(E3460-E3459,2)</f>
        <v/>
      </c>
      <c r="G3460" s="6">
        <f>ROUND(F3460-D3460,2)</f>
        <v/>
      </c>
    </row>
    <row r="3461">
      <c r="A3461" t="inlineStr">
        <is>
          <t>2022-09-03</t>
        </is>
      </c>
      <c r="B3461" t="n">
        <v>8</v>
      </c>
      <c r="C3461" t="n">
        <v>3048</v>
      </c>
      <c r="D3461" s="6" t="n">
        <v>23.8</v>
      </c>
      <c r="E3461" s="6" t="n">
        <v>1223085.12</v>
      </c>
      <c r="F3461" s="6">
        <f>ROUND(E3461-E3460,2)</f>
        <v/>
      </c>
      <c r="G3461" s="6">
        <f>ROUND(F3461-D3461,2)</f>
        <v/>
      </c>
    </row>
    <row r="3462">
      <c r="A3462" t="inlineStr">
        <is>
          <t>2022-09-03</t>
        </is>
      </c>
      <c r="B3462" t="n">
        <v>9</v>
      </c>
      <c r="C3462" t="n">
        <v>3048</v>
      </c>
      <c r="D3462" s="6" t="n">
        <v>61.8</v>
      </c>
      <c r="E3462" s="6" t="n">
        <v>1223146.92</v>
      </c>
      <c r="F3462" s="6">
        <f>ROUND(E3462-E3461,2)</f>
        <v/>
      </c>
      <c r="G3462" s="6">
        <f>ROUND(F3462-D3462,2)</f>
        <v/>
      </c>
    </row>
    <row r="3463">
      <c r="A3463" t="inlineStr">
        <is>
          <t>2022-09-03</t>
        </is>
      </c>
      <c r="B3463" t="n">
        <v>10</v>
      </c>
      <c r="C3463" t="n">
        <v>3048</v>
      </c>
      <c r="D3463" s="6" t="n">
        <v>39.3</v>
      </c>
      <c r="E3463" s="6" t="n">
        <v>1223186.22</v>
      </c>
      <c r="F3463" s="6">
        <f>ROUND(E3463-E3462,2)</f>
        <v/>
      </c>
      <c r="G3463" s="6">
        <f>ROUND(F3463-D3463,2)</f>
        <v/>
      </c>
    </row>
    <row r="3464">
      <c r="A3464" t="inlineStr">
        <is>
          <t>2022-09-03</t>
        </is>
      </c>
      <c r="B3464" t="n">
        <v>11</v>
      </c>
      <c r="C3464" t="n">
        <v>3048</v>
      </c>
      <c r="D3464" s="6" t="n">
        <v>130.6</v>
      </c>
      <c r="E3464" s="6" t="n">
        <v>1223316.82</v>
      </c>
      <c r="F3464" s="6">
        <f>ROUND(E3464-E3463,2)</f>
        <v/>
      </c>
      <c r="G3464" s="6">
        <f>ROUND(F3464-D3464,2)</f>
        <v/>
      </c>
    </row>
    <row r="3465">
      <c r="A3465" t="inlineStr">
        <is>
          <t>2022-09-03</t>
        </is>
      </c>
      <c r="B3465" t="n">
        <v>12</v>
      </c>
      <c r="C3465" t="n">
        <v>3048</v>
      </c>
      <c r="D3465" s="6" t="n">
        <v>83.59999999999999</v>
      </c>
      <c r="E3465" s="6" t="n">
        <v>1223400.42</v>
      </c>
      <c r="F3465" s="6">
        <f>ROUND(E3465-E3464,2)</f>
        <v/>
      </c>
      <c r="G3465" s="6">
        <f>ROUND(F3465-D3465,2)</f>
        <v/>
      </c>
    </row>
    <row r="3466">
      <c r="A3466" t="inlineStr">
        <is>
          <t>2022-09-03</t>
        </is>
      </c>
      <c r="B3466" t="n">
        <v>13</v>
      </c>
      <c r="C3466" t="n">
        <v>3048</v>
      </c>
      <c r="D3466" s="6" t="n">
        <v>55.6</v>
      </c>
      <c r="E3466" s="6" t="n">
        <v>1223456.02</v>
      </c>
      <c r="F3466" s="6">
        <f>ROUND(E3466-E3465,2)</f>
        <v/>
      </c>
      <c r="G3466" s="6">
        <f>ROUND(F3466-D3466,2)</f>
        <v/>
      </c>
    </row>
    <row r="3467">
      <c r="A3467" t="inlineStr">
        <is>
          <t>2022-09-03</t>
        </is>
      </c>
      <c r="B3467" t="n">
        <v>14</v>
      </c>
      <c r="C3467" t="n">
        <v>3048</v>
      </c>
      <c r="D3467" s="6" t="n">
        <v>40</v>
      </c>
      <c r="E3467" s="6" t="n">
        <v>1223496.02</v>
      </c>
      <c r="F3467" s="6">
        <f>ROUND(E3467-E3466,2)</f>
        <v/>
      </c>
      <c r="G3467" s="6">
        <f>ROUND(F3467-D3467,2)</f>
        <v/>
      </c>
    </row>
    <row r="3468">
      <c r="A3468" t="inlineStr">
        <is>
          <t>2022-09-03</t>
        </is>
      </c>
      <c r="B3468" t="n">
        <v>15</v>
      </c>
      <c r="C3468" t="n">
        <v>3048</v>
      </c>
      <c r="D3468" s="6" t="n">
        <v>47</v>
      </c>
      <c r="E3468" s="6" t="n">
        <v>1223543.02</v>
      </c>
      <c r="F3468" s="6">
        <f>ROUND(E3468-E3467,2)</f>
        <v/>
      </c>
      <c r="G3468" s="6">
        <f>ROUND(F3468-D3468,2)</f>
        <v/>
      </c>
    </row>
    <row r="3469">
      <c r="A3469" t="inlineStr">
        <is>
          <t>2022-09-03</t>
        </is>
      </c>
      <c r="B3469" t="n">
        <v>16</v>
      </c>
      <c r="C3469" t="n">
        <v>3048</v>
      </c>
      <c r="D3469" s="6" t="n">
        <v>108.3</v>
      </c>
      <c r="E3469" s="6" t="n">
        <v>1223651.32</v>
      </c>
      <c r="F3469" s="6">
        <f>ROUND(E3469-E3468,2)</f>
        <v/>
      </c>
      <c r="G3469" s="6">
        <f>ROUND(F3469-D3469,2)</f>
        <v/>
      </c>
    </row>
    <row r="3470">
      <c r="A3470" t="inlineStr">
        <is>
          <t>2022-09-03</t>
        </is>
      </c>
      <c r="B3470" t="n">
        <v>17</v>
      </c>
      <c r="C3470" t="n">
        <v>3048</v>
      </c>
      <c r="D3470" s="6" t="n">
        <v>99.90000000000001</v>
      </c>
      <c r="E3470" s="6" t="n">
        <v>1223751.22</v>
      </c>
      <c r="F3470" s="6">
        <f>ROUND(E3470-E3469,2)</f>
        <v/>
      </c>
      <c r="G3470" s="6">
        <f>ROUND(F3470-D3470,2)</f>
        <v/>
      </c>
    </row>
    <row r="3471">
      <c r="A3471" t="inlineStr">
        <is>
          <t>2022-09-03</t>
        </is>
      </c>
      <c r="B3471" t="n">
        <v>18</v>
      </c>
      <c r="C3471" t="n">
        <v>3048</v>
      </c>
      <c r="D3471" s="6" t="n">
        <v>93.59999999999999</v>
      </c>
      <c r="E3471" s="6" t="n">
        <v>1223844.82</v>
      </c>
      <c r="F3471" s="6">
        <f>ROUND(E3471-E3470,2)</f>
        <v/>
      </c>
      <c r="G3471" s="6">
        <f>ROUND(F3471-D3471,2)</f>
        <v/>
      </c>
    </row>
    <row r="3472">
      <c r="A3472" t="inlineStr">
        <is>
          <t>2022-09-03</t>
        </is>
      </c>
      <c r="B3472" t="n">
        <v>19</v>
      </c>
      <c r="C3472" t="n">
        <v>3048</v>
      </c>
      <c r="D3472" s="6" t="n">
        <v>103</v>
      </c>
      <c r="E3472" s="6" t="n">
        <v>1223947.82</v>
      </c>
      <c r="F3472" s="6">
        <f>ROUND(E3472-E3471,2)</f>
        <v/>
      </c>
      <c r="G3472" s="6">
        <f>ROUND(F3472-D3472,2)</f>
        <v/>
      </c>
    </row>
    <row r="3473">
      <c r="A3473" t="inlineStr">
        <is>
          <t>2022-09-03</t>
        </is>
      </c>
      <c r="B3473" t="n">
        <v>20</v>
      </c>
      <c r="C3473" t="n">
        <v>3048</v>
      </c>
      <c r="D3473" s="6" t="n">
        <v>80.8</v>
      </c>
      <c r="E3473" s="6" t="n">
        <v>1224028.62</v>
      </c>
      <c r="F3473" s="6">
        <f>ROUND(E3473-E3472,2)</f>
        <v/>
      </c>
      <c r="G3473" s="6">
        <f>ROUND(F3473-D3473,2)</f>
        <v/>
      </c>
    </row>
    <row r="3474">
      <c r="A3474" t="inlineStr">
        <is>
          <t>2022-09-03</t>
        </is>
      </c>
      <c r="B3474" t="n">
        <v>21</v>
      </c>
      <c r="C3474" t="n">
        <v>3048</v>
      </c>
      <c r="D3474" s="6" t="n">
        <v>89.8</v>
      </c>
      <c r="E3474" s="6" t="n">
        <v>1224118.42</v>
      </c>
      <c r="F3474" s="6">
        <f>ROUND(E3474-E3473,2)</f>
        <v/>
      </c>
      <c r="G3474" s="6">
        <f>ROUND(F3474-D3474,2)</f>
        <v/>
      </c>
    </row>
    <row r="3475">
      <c r="A3475" t="inlineStr">
        <is>
          <t>2022-09-03</t>
        </is>
      </c>
      <c r="B3475" t="n">
        <v>22</v>
      </c>
      <c r="C3475" t="n">
        <v>3048</v>
      </c>
      <c r="D3475" s="6" t="n">
        <v>158.1</v>
      </c>
      <c r="E3475" s="6" t="n">
        <v>1224276.52</v>
      </c>
      <c r="F3475" s="6">
        <f>ROUND(E3475-E3474,2)</f>
        <v/>
      </c>
      <c r="G3475" s="6">
        <f>ROUND(F3475-D3475,2)</f>
        <v/>
      </c>
    </row>
    <row r="3476">
      <c r="A3476" t="inlineStr">
        <is>
          <t>2022-09-03</t>
        </is>
      </c>
      <c r="B3476" t="n">
        <v>23</v>
      </c>
      <c r="C3476" t="n">
        <v>3048</v>
      </c>
      <c r="D3476" s="6" t="n">
        <v>113.4</v>
      </c>
      <c r="E3476" s="6" t="n">
        <v>1224389.92</v>
      </c>
      <c r="F3476" s="6">
        <f>ROUND(E3476-E3475,2)</f>
        <v/>
      </c>
      <c r="G3476" s="6">
        <f>ROUND(F3476-D3476,2)</f>
        <v/>
      </c>
    </row>
    <row r="3477">
      <c r="A3477" t="inlineStr">
        <is>
          <t>2022-09-03</t>
        </is>
      </c>
      <c r="B3477" t="n">
        <v>24</v>
      </c>
      <c r="C3477" t="n">
        <v>3048</v>
      </c>
      <c r="D3477" s="6" t="n">
        <v>27.9</v>
      </c>
      <c r="E3477" s="6" t="n">
        <v>1224417.82</v>
      </c>
      <c r="F3477" s="6">
        <f>ROUND(E3477-E3476,2)</f>
        <v/>
      </c>
      <c r="G3477" s="6">
        <f>ROUND(F3477-D3477,2)</f>
        <v/>
      </c>
    </row>
    <row r="3478">
      <c r="A3478" t="inlineStr">
        <is>
          <t>2022-09-03</t>
        </is>
      </c>
      <c r="B3478" t="n">
        <v>25</v>
      </c>
      <c r="C3478" t="n">
        <v>3048</v>
      </c>
      <c r="D3478" s="6" t="n">
        <v>138.2</v>
      </c>
      <c r="E3478" s="6" t="n">
        <v>1224556.02</v>
      </c>
      <c r="F3478" s="6">
        <f>ROUND(E3478-E3477,2)</f>
        <v/>
      </c>
      <c r="G3478" s="6">
        <f>ROUND(F3478-D3478,2)</f>
        <v/>
      </c>
    </row>
    <row r="3479">
      <c r="A3479" t="inlineStr">
        <is>
          <t>2022-09-03</t>
        </is>
      </c>
      <c r="B3479" t="n">
        <v>26</v>
      </c>
      <c r="C3479" t="n">
        <v>3048</v>
      </c>
      <c r="D3479" s="6" t="n">
        <v>50.9</v>
      </c>
      <c r="E3479" s="6" t="n">
        <v>1224606.92</v>
      </c>
      <c r="F3479" s="6">
        <f>ROUND(E3479-E3478,2)</f>
        <v/>
      </c>
      <c r="G3479" s="6">
        <f>ROUND(F3479-D3479,2)</f>
        <v/>
      </c>
    </row>
    <row r="3480">
      <c r="A3480" t="inlineStr">
        <is>
          <t>2022-09-03</t>
        </is>
      </c>
      <c r="B3480" t="n">
        <v>27</v>
      </c>
      <c r="C3480" t="n">
        <v>3048</v>
      </c>
      <c r="D3480" s="6" t="n">
        <v>92.2</v>
      </c>
      <c r="E3480" s="6" t="n">
        <v>1224699.12</v>
      </c>
      <c r="F3480" s="6">
        <f>ROUND(E3480-E3479,2)</f>
        <v/>
      </c>
      <c r="G3480" s="6">
        <f>ROUND(F3480-D3480,2)</f>
        <v/>
      </c>
    </row>
    <row r="3481">
      <c r="A3481" t="inlineStr">
        <is>
          <t>2022-09-03</t>
        </is>
      </c>
      <c r="B3481" t="n">
        <v>28</v>
      </c>
      <c r="C3481" t="n">
        <v>3048</v>
      </c>
      <c r="D3481" s="6" t="n">
        <v>85.3</v>
      </c>
      <c r="E3481" s="6" t="n">
        <v>1224784.42</v>
      </c>
      <c r="F3481" s="6">
        <f>ROUND(E3481-E3480,2)</f>
        <v/>
      </c>
      <c r="G3481" s="6">
        <f>ROUND(F3481-D3481,2)</f>
        <v/>
      </c>
    </row>
    <row r="3482">
      <c r="A3482" t="inlineStr">
        <is>
          <t>2022-09-03</t>
        </is>
      </c>
      <c r="B3482" t="n">
        <v>29</v>
      </c>
      <c r="C3482" t="n">
        <v>3048</v>
      </c>
      <c r="D3482" s="6" t="n">
        <v>136.8</v>
      </c>
      <c r="E3482" s="6" t="n">
        <v>1224921.22</v>
      </c>
      <c r="F3482" s="6">
        <f>ROUND(E3482-E3481,2)</f>
        <v/>
      </c>
      <c r="G3482" s="6">
        <f>ROUND(F3482-D3482,2)</f>
        <v/>
      </c>
    </row>
    <row r="3483">
      <c r="A3483" t="inlineStr">
        <is>
          <t>2022-09-03</t>
        </is>
      </c>
      <c r="B3483" t="n">
        <v>30</v>
      </c>
      <c r="C3483" t="n">
        <v>3048</v>
      </c>
      <c r="D3483" s="6" t="n">
        <v>97.90000000000001</v>
      </c>
      <c r="E3483" s="6" t="n">
        <v>1225019.12</v>
      </c>
      <c r="F3483" s="6">
        <f>ROUND(E3483-E3482,2)</f>
        <v/>
      </c>
      <c r="G3483" s="6">
        <f>ROUND(F3483-D3483,2)</f>
        <v/>
      </c>
    </row>
    <row r="3484">
      <c r="A3484" t="inlineStr">
        <is>
          <t>2022-09-03</t>
        </is>
      </c>
      <c r="B3484" t="n">
        <v>31</v>
      </c>
      <c r="C3484" t="n">
        <v>3048</v>
      </c>
      <c r="D3484" s="6" t="n">
        <v>58.7</v>
      </c>
      <c r="E3484" s="6" t="n">
        <v>1225077.82</v>
      </c>
      <c r="F3484" s="6">
        <f>ROUND(E3484-E3483,2)</f>
        <v/>
      </c>
      <c r="G3484" s="6">
        <f>ROUND(F3484-D3484,2)</f>
        <v/>
      </c>
    </row>
    <row r="3485">
      <c r="A3485" t="inlineStr">
        <is>
          <t>2022-09-03</t>
        </is>
      </c>
      <c r="B3485" t="n">
        <v>32</v>
      </c>
      <c r="C3485" t="n">
        <v>3048</v>
      </c>
      <c r="D3485" s="6" t="n">
        <v>53.92</v>
      </c>
      <c r="E3485" s="6" t="n">
        <v>1225131.74</v>
      </c>
      <c r="F3485" s="6">
        <f>ROUND(E3485-E3484,2)</f>
        <v/>
      </c>
      <c r="G3485" s="6">
        <f>ROUND(F3485-D3485,2)</f>
        <v/>
      </c>
    </row>
    <row r="3486">
      <c r="A3486" t="inlineStr">
        <is>
          <t>2022-09-03</t>
        </is>
      </c>
      <c r="B3486" t="n">
        <v>33</v>
      </c>
      <c r="C3486" t="n">
        <v>3048</v>
      </c>
      <c r="D3486" s="6" t="n">
        <v>26.25</v>
      </c>
      <c r="E3486" s="6" t="n">
        <v>1225157.99</v>
      </c>
      <c r="F3486" s="6">
        <f>ROUND(E3486-E3485,2)</f>
        <v/>
      </c>
      <c r="G3486" s="6">
        <f>ROUND(F3486-D3486,2)</f>
        <v/>
      </c>
    </row>
    <row r="3487">
      <c r="A3487" t="inlineStr">
        <is>
          <t>2022-09-03</t>
        </is>
      </c>
      <c r="B3487" t="n">
        <v>34</v>
      </c>
      <c r="C3487" t="n">
        <v>3048</v>
      </c>
      <c r="D3487" s="6" t="n">
        <v>51.1</v>
      </c>
      <c r="E3487" s="6" t="n">
        <v>1225209.09</v>
      </c>
      <c r="F3487" s="6">
        <f>ROUND(E3487-E3486,2)</f>
        <v/>
      </c>
      <c r="G3487" s="6">
        <f>ROUND(F3487-D3487,2)</f>
        <v/>
      </c>
    </row>
    <row r="3488">
      <c r="A3488" t="inlineStr">
        <is>
          <t>2022-09-03</t>
        </is>
      </c>
      <c r="B3488" t="n">
        <v>35</v>
      </c>
      <c r="C3488" t="n">
        <v>3048</v>
      </c>
      <c r="D3488" s="6" t="n">
        <v>66.5</v>
      </c>
      <c r="E3488" s="6" t="n">
        <v>1225275.59</v>
      </c>
      <c r="F3488" s="6">
        <f>ROUND(E3488-E3487,2)</f>
        <v/>
      </c>
      <c r="G3488" s="6">
        <f>ROUND(F3488-D3488,2)</f>
        <v/>
      </c>
    </row>
    <row r="3489">
      <c r="A3489" t="inlineStr">
        <is>
          <t>2022-09-03</t>
        </is>
      </c>
      <c r="B3489" t="n">
        <v>36</v>
      </c>
      <c r="C3489" t="n">
        <v>3048</v>
      </c>
      <c r="D3489" s="6" t="n">
        <v>60.7</v>
      </c>
      <c r="E3489" s="6" t="n">
        <v>1225336.29</v>
      </c>
      <c r="F3489" s="6">
        <f>ROUND(E3489-E3488,2)</f>
        <v/>
      </c>
      <c r="G3489" s="6">
        <f>ROUND(F3489-D3489,2)</f>
        <v/>
      </c>
    </row>
    <row r="3490">
      <c r="A3490" t="inlineStr">
        <is>
          <t>2022-09-03</t>
        </is>
      </c>
      <c r="B3490" t="n">
        <v>37</v>
      </c>
      <c r="C3490" t="n">
        <v>3048</v>
      </c>
      <c r="D3490" s="6" t="n">
        <v>41.7</v>
      </c>
      <c r="E3490" s="6" t="n">
        <v>1225377.99</v>
      </c>
      <c r="F3490" s="6">
        <f>ROUND(E3490-E3489,2)</f>
        <v/>
      </c>
      <c r="G3490" s="6">
        <f>ROUND(F3490-D3490,2)</f>
        <v/>
      </c>
    </row>
    <row r="3491">
      <c r="A3491" t="inlineStr">
        <is>
          <t>2022-09-03</t>
        </is>
      </c>
      <c r="B3491" t="n">
        <v>38</v>
      </c>
      <c r="C3491" t="n">
        <v>3048</v>
      </c>
      <c r="D3491" s="6" t="n">
        <v>17.6</v>
      </c>
      <c r="E3491" s="6" t="n">
        <v>1225395.59</v>
      </c>
      <c r="F3491" s="6">
        <f>ROUND(E3491-E3490,2)</f>
        <v/>
      </c>
      <c r="G3491" s="6">
        <f>ROUND(F3491-D3491,2)</f>
        <v/>
      </c>
    </row>
    <row r="3492">
      <c r="A3492" t="inlineStr">
        <is>
          <t>2022-09-04</t>
        </is>
      </c>
      <c r="B3492" t="n">
        <v>1</v>
      </c>
      <c r="C3492" t="n">
        <v>3049</v>
      </c>
      <c r="D3492" s="6" t="n">
        <v>52.6</v>
      </c>
      <c r="E3492" s="6" t="n">
        <v>1225448.19</v>
      </c>
      <c r="F3492" s="6">
        <f>ROUND(E3492-E3491,2)</f>
        <v/>
      </c>
      <c r="G3492" s="6">
        <f>ROUND(F3492-D3492,2)</f>
        <v/>
      </c>
    </row>
    <row r="3493">
      <c r="A3493" t="inlineStr">
        <is>
          <t>2022-09-04</t>
        </is>
      </c>
      <c r="B3493" t="n">
        <v>2</v>
      </c>
      <c r="C3493" t="n">
        <v>3049</v>
      </c>
      <c r="D3493" s="6" t="n">
        <v>87.7</v>
      </c>
      <c r="E3493" s="6" t="n">
        <v>1225535.89</v>
      </c>
      <c r="F3493" s="6">
        <f>ROUND(E3493-E3492,2)</f>
        <v/>
      </c>
      <c r="G3493" s="6">
        <f>ROUND(F3493-D3493,2)</f>
        <v/>
      </c>
    </row>
    <row r="3494">
      <c r="A3494" t="inlineStr">
        <is>
          <t>2022-09-04</t>
        </is>
      </c>
      <c r="B3494" t="n">
        <v>3</v>
      </c>
      <c r="C3494" t="n">
        <v>3049</v>
      </c>
      <c r="D3494" s="6" t="n">
        <v>87.59999999999999</v>
      </c>
      <c r="E3494" s="6" t="n">
        <v>1225623.49</v>
      </c>
      <c r="F3494" s="6">
        <f>ROUND(E3494-E3493,2)</f>
        <v/>
      </c>
      <c r="G3494" s="6">
        <f>ROUND(F3494-D3494,2)</f>
        <v/>
      </c>
    </row>
    <row r="3495">
      <c r="A3495" t="inlineStr">
        <is>
          <t>2022-09-04</t>
        </is>
      </c>
      <c r="B3495" t="n">
        <v>4</v>
      </c>
      <c r="C3495" t="n">
        <v>3049</v>
      </c>
      <c r="D3495" s="6" t="n">
        <v>57.4</v>
      </c>
      <c r="E3495" s="6" t="n">
        <v>1225680.89</v>
      </c>
      <c r="F3495" s="6">
        <f>ROUND(E3495-E3494,2)</f>
        <v/>
      </c>
      <c r="G3495" s="6">
        <f>ROUND(F3495-D3495,2)</f>
        <v/>
      </c>
    </row>
    <row r="3496">
      <c r="A3496" t="inlineStr">
        <is>
          <t>2022-09-04</t>
        </is>
      </c>
      <c r="B3496" t="n">
        <v>5</v>
      </c>
      <c r="C3496" t="n">
        <v>3049</v>
      </c>
      <c r="D3496" s="6" t="n">
        <v>93.5</v>
      </c>
      <c r="E3496" s="6" t="n">
        <v>1225774.39</v>
      </c>
      <c r="F3496" s="6">
        <f>ROUND(E3496-E3495,2)</f>
        <v/>
      </c>
      <c r="G3496" s="6">
        <f>ROUND(F3496-D3496,2)</f>
        <v/>
      </c>
    </row>
    <row r="3497">
      <c r="A3497" t="inlineStr">
        <is>
          <t>2022-09-04</t>
        </is>
      </c>
      <c r="B3497" t="n">
        <v>6</v>
      </c>
      <c r="C3497" t="n">
        <v>3049</v>
      </c>
      <c r="D3497" s="6" t="n">
        <v>68</v>
      </c>
      <c r="E3497" s="6" t="n">
        <v>1225842.39</v>
      </c>
      <c r="F3497" s="6">
        <f>ROUND(E3497-E3496,2)</f>
        <v/>
      </c>
      <c r="G3497" s="6">
        <f>ROUND(F3497-D3497,2)</f>
        <v/>
      </c>
    </row>
    <row r="3498">
      <c r="A3498" t="inlineStr">
        <is>
          <t>2022-09-04</t>
        </is>
      </c>
      <c r="B3498" t="n">
        <v>7</v>
      </c>
      <c r="C3498" t="n">
        <v>3049</v>
      </c>
      <c r="D3498" s="6" t="n">
        <v>67.7</v>
      </c>
      <c r="E3498" s="6" t="n">
        <v>1225910.09</v>
      </c>
      <c r="F3498" s="6">
        <f>ROUND(E3498-E3497,2)</f>
        <v/>
      </c>
      <c r="G3498" s="6">
        <f>ROUND(F3498-D3498,2)</f>
        <v/>
      </c>
    </row>
    <row r="3499">
      <c r="A3499" t="inlineStr">
        <is>
          <t>2022-09-04</t>
        </is>
      </c>
      <c r="B3499" t="n">
        <v>8</v>
      </c>
      <c r="C3499" t="n">
        <v>3049</v>
      </c>
      <c r="D3499" s="6" t="n">
        <v>81.8</v>
      </c>
      <c r="E3499" s="6" t="n">
        <v>1225991.89</v>
      </c>
      <c r="F3499" s="6">
        <f>ROUND(E3499-E3498,2)</f>
        <v/>
      </c>
      <c r="G3499" s="6">
        <f>ROUND(F3499-D3499,2)</f>
        <v/>
      </c>
    </row>
    <row r="3500">
      <c r="A3500" t="inlineStr">
        <is>
          <t>2022-09-04</t>
        </is>
      </c>
      <c r="B3500" t="n">
        <v>9</v>
      </c>
      <c r="C3500" t="n">
        <v>3049</v>
      </c>
      <c r="D3500" s="6" t="n">
        <v>196.8</v>
      </c>
      <c r="E3500" s="6" t="n">
        <v>1226188.69</v>
      </c>
      <c r="F3500" s="6">
        <f>ROUND(E3500-E3499,2)</f>
        <v/>
      </c>
      <c r="G3500" s="6">
        <f>ROUND(F3500-D3500,2)</f>
        <v/>
      </c>
    </row>
    <row r="3501">
      <c r="A3501" t="inlineStr">
        <is>
          <t>2022-09-04</t>
        </is>
      </c>
      <c r="B3501" t="n">
        <v>10</v>
      </c>
      <c r="C3501" t="n">
        <v>3049</v>
      </c>
      <c r="D3501" s="6" t="n">
        <v>99.90000000000001</v>
      </c>
      <c r="E3501" s="6" t="n">
        <v>1226288.59</v>
      </c>
      <c r="F3501" s="6">
        <f>ROUND(E3501-E3500,2)</f>
        <v/>
      </c>
      <c r="G3501" s="6">
        <f>ROUND(F3501-D3501,2)</f>
        <v/>
      </c>
    </row>
    <row r="3502">
      <c r="A3502" t="inlineStr">
        <is>
          <t>2022-09-04</t>
        </is>
      </c>
      <c r="B3502" t="n">
        <v>11</v>
      </c>
      <c r="C3502" t="n">
        <v>3049</v>
      </c>
      <c r="D3502" s="6" t="n">
        <v>128</v>
      </c>
      <c r="E3502" s="6" t="n">
        <v>1226416.59</v>
      </c>
      <c r="F3502" s="6">
        <f>ROUND(E3502-E3501,2)</f>
        <v/>
      </c>
      <c r="G3502" s="6">
        <f>ROUND(F3502-D3502,2)</f>
        <v/>
      </c>
    </row>
    <row r="3503">
      <c r="A3503" t="inlineStr">
        <is>
          <t>2022-09-04</t>
        </is>
      </c>
      <c r="B3503" t="n">
        <v>12</v>
      </c>
      <c r="C3503" t="n">
        <v>3049</v>
      </c>
      <c r="D3503" s="6" t="n">
        <v>61.3</v>
      </c>
      <c r="E3503" s="6" t="n">
        <v>1226477.89</v>
      </c>
      <c r="F3503" s="6">
        <f>ROUND(E3503-E3502,2)</f>
        <v/>
      </c>
      <c r="G3503" s="6">
        <f>ROUND(F3503-D3503,2)</f>
        <v/>
      </c>
    </row>
    <row r="3504">
      <c r="A3504" t="inlineStr">
        <is>
          <t>2022-09-04</t>
        </is>
      </c>
      <c r="B3504" t="n">
        <v>13</v>
      </c>
      <c r="C3504" t="n">
        <v>3049</v>
      </c>
      <c r="D3504" s="6" t="n">
        <v>44.9</v>
      </c>
      <c r="E3504" s="6" t="n">
        <v>1226522.79</v>
      </c>
      <c r="F3504" s="6">
        <f>ROUND(E3504-E3503,2)</f>
        <v/>
      </c>
      <c r="G3504" s="6">
        <f>ROUND(F3504-D3504,2)</f>
        <v/>
      </c>
    </row>
    <row r="3505">
      <c r="A3505" t="inlineStr">
        <is>
          <t>2022-09-04</t>
        </is>
      </c>
      <c r="B3505" t="n">
        <v>14</v>
      </c>
      <c r="C3505" t="n">
        <v>3049</v>
      </c>
      <c r="D3505" s="6" t="n">
        <v>45.5</v>
      </c>
      <c r="E3505" s="6" t="n">
        <v>1226568.29</v>
      </c>
      <c r="F3505" s="6">
        <f>ROUND(E3505-E3504,2)</f>
        <v/>
      </c>
      <c r="G3505" s="6">
        <f>ROUND(F3505-D3505,2)</f>
        <v/>
      </c>
    </row>
    <row r="3506">
      <c r="A3506" t="inlineStr">
        <is>
          <t>2022-09-04</t>
        </is>
      </c>
      <c r="B3506" t="n">
        <v>15</v>
      </c>
      <c r="C3506" t="n">
        <v>3049</v>
      </c>
      <c r="D3506" s="6" t="n">
        <v>19.8</v>
      </c>
      <c r="E3506" s="6" t="n">
        <v>1226588.09</v>
      </c>
      <c r="F3506" s="6">
        <f>ROUND(E3506-E3505,2)</f>
        <v/>
      </c>
      <c r="G3506" s="6">
        <f>ROUND(F3506-D3506,2)</f>
        <v/>
      </c>
    </row>
    <row r="3507">
      <c r="A3507" t="inlineStr">
        <is>
          <t>2022-09-04</t>
        </is>
      </c>
      <c r="B3507" t="n">
        <v>16</v>
      </c>
      <c r="C3507" t="n">
        <v>3049</v>
      </c>
      <c r="D3507" s="6" t="n">
        <v>73</v>
      </c>
      <c r="E3507" s="6" t="n">
        <v>1226661.09</v>
      </c>
      <c r="F3507" s="6">
        <f>ROUND(E3507-E3506,2)</f>
        <v/>
      </c>
      <c r="G3507" s="6">
        <f>ROUND(F3507-D3507,2)</f>
        <v/>
      </c>
    </row>
    <row r="3508">
      <c r="A3508" t="inlineStr">
        <is>
          <t>2022-09-04</t>
        </is>
      </c>
      <c r="B3508" t="n">
        <v>17</v>
      </c>
      <c r="C3508" t="n">
        <v>3049</v>
      </c>
      <c r="D3508" s="6" t="n">
        <v>68</v>
      </c>
      <c r="E3508" s="6" t="n">
        <v>1226729.09</v>
      </c>
      <c r="F3508" s="6">
        <f>ROUND(E3508-E3507,2)</f>
        <v/>
      </c>
      <c r="G3508" s="6">
        <f>ROUND(F3508-D3508,2)</f>
        <v/>
      </c>
    </row>
    <row r="3509">
      <c r="A3509" t="inlineStr">
        <is>
          <t>2022-09-04</t>
        </is>
      </c>
      <c r="B3509" t="n">
        <v>18</v>
      </c>
      <c r="C3509" t="n">
        <v>3049</v>
      </c>
      <c r="D3509" s="6" t="n">
        <v>96.90000000000001</v>
      </c>
      <c r="E3509" s="6" t="n">
        <v>1226825.99</v>
      </c>
      <c r="F3509" s="6">
        <f>ROUND(E3509-E3508,2)</f>
        <v/>
      </c>
      <c r="G3509" s="6">
        <f>ROUND(F3509-D3509,2)</f>
        <v/>
      </c>
    </row>
    <row r="3510">
      <c r="A3510" t="inlineStr">
        <is>
          <t>2022-09-04</t>
        </is>
      </c>
      <c r="B3510" t="n">
        <v>19</v>
      </c>
      <c r="C3510" t="n">
        <v>3049</v>
      </c>
      <c r="D3510" s="6" t="n">
        <v>111.8</v>
      </c>
      <c r="E3510" s="6" t="n">
        <v>1226937.79</v>
      </c>
      <c r="F3510" s="6">
        <f>ROUND(E3510-E3509,2)</f>
        <v/>
      </c>
      <c r="G3510" s="6">
        <f>ROUND(F3510-D3510,2)</f>
        <v/>
      </c>
    </row>
    <row r="3511">
      <c r="A3511" t="inlineStr">
        <is>
          <t>2022-09-04</t>
        </is>
      </c>
      <c r="B3511" t="n">
        <v>20</v>
      </c>
      <c r="C3511" t="n">
        <v>3049</v>
      </c>
      <c r="D3511" s="6" t="n">
        <v>109.9</v>
      </c>
      <c r="E3511" s="6" t="n">
        <v>1227047.69</v>
      </c>
      <c r="F3511" s="6">
        <f>ROUND(E3511-E3510,2)</f>
        <v/>
      </c>
      <c r="G3511" s="6">
        <f>ROUND(F3511-D3511,2)</f>
        <v/>
      </c>
    </row>
    <row r="3512">
      <c r="A3512" t="inlineStr">
        <is>
          <t>2022-09-04</t>
        </is>
      </c>
      <c r="B3512" t="n">
        <v>21</v>
      </c>
      <c r="C3512" t="n">
        <v>3049</v>
      </c>
      <c r="D3512" s="6" t="n">
        <v>113.4</v>
      </c>
      <c r="E3512" s="6" t="n">
        <v>1227161.09</v>
      </c>
      <c r="F3512" s="6">
        <f>ROUND(E3512-E3511,2)</f>
        <v/>
      </c>
      <c r="G3512" s="6">
        <f>ROUND(F3512-D3512,2)</f>
        <v/>
      </c>
    </row>
    <row r="3513">
      <c r="A3513" t="inlineStr">
        <is>
          <t>2022-09-04</t>
        </is>
      </c>
      <c r="B3513" t="n">
        <v>22</v>
      </c>
      <c r="C3513" t="n">
        <v>3049</v>
      </c>
      <c r="D3513" s="6" t="n">
        <v>68.7</v>
      </c>
      <c r="E3513" s="6" t="n">
        <v>1227229.79</v>
      </c>
      <c r="F3513" s="6">
        <f>ROUND(E3513-E3512,2)</f>
        <v/>
      </c>
      <c r="G3513" s="6">
        <f>ROUND(F3513-D3513,2)</f>
        <v/>
      </c>
    </row>
    <row r="3514">
      <c r="A3514" t="inlineStr">
        <is>
          <t>2022-09-04</t>
        </is>
      </c>
      <c r="B3514" t="n">
        <v>23</v>
      </c>
      <c r="C3514" t="n">
        <v>3049</v>
      </c>
      <c r="D3514" s="6" t="n">
        <v>115.6</v>
      </c>
      <c r="E3514" s="6" t="n">
        <v>1227345.39</v>
      </c>
      <c r="F3514" s="6">
        <f>ROUND(E3514-E3513,2)</f>
        <v/>
      </c>
      <c r="G3514" s="6">
        <f>ROUND(F3514-D3514,2)</f>
        <v/>
      </c>
    </row>
    <row r="3515">
      <c r="A3515" t="inlineStr">
        <is>
          <t>2022-09-04</t>
        </is>
      </c>
      <c r="B3515" t="n">
        <v>24</v>
      </c>
      <c r="C3515" t="n">
        <v>3049</v>
      </c>
      <c r="D3515" s="6" t="n">
        <v>71.84999999999999</v>
      </c>
      <c r="E3515" s="6" t="n">
        <v>1227417.24</v>
      </c>
      <c r="F3515" s="6">
        <f>ROUND(E3515-E3514,2)</f>
        <v/>
      </c>
      <c r="G3515" s="6">
        <f>ROUND(F3515-D3515,2)</f>
        <v/>
      </c>
    </row>
    <row r="3516">
      <c r="A3516" t="inlineStr">
        <is>
          <t>2022-09-04</t>
        </is>
      </c>
      <c r="B3516" t="n">
        <v>25</v>
      </c>
      <c r="C3516" t="n">
        <v>3049</v>
      </c>
      <c r="D3516" s="6" t="n">
        <v>28.1</v>
      </c>
      <c r="E3516" s="6" t="n">
        <v>1227445.34</v>
      </c>
      <c r="F3516" s="6">
        <f>ROUND(E3516-E3515,2)</f>
        <v/>
      </c>
      <c r="G3516" s="6">
        <f>ROUND(F3516-D3516,2)</f>
        <v/>
      </c>
    </row>
    <row r="3517">
      <c r="A3517" t="inlineStr">
        <is>
          <t>2022-09-04</t>
        </is>
      </c>
      <c r="B3517" t="n">
        <v>26</v>
      </c>
      <c r="C3517" t="n">
        <v>3049</v>
      </c>
      <c r="D3517" s="6" t="n">
        <v>64.3</v>
      </c>
      <c r="E3517" s="6" t="n">
        <v>1227509.64</v>
      </c>
      <c r="F3517" s="6">
        <f>ROUND(E3517-E3516,2)</f>
        <v/>
      </c>
      <c r="G3517" s="6">
        <f>ROUND(F3517-D3517,2)</f>
        <v/>
      </c>
    </row>
    <row r="3518">
      <c r="A3518" t="inlineStr">
        <is>
          <t>2022-09-04</t>
        </is>
      </c>
      <c r="B3518" t="n">
        <v>27</v>
      </c>
      <c r="C3518" t="n">
        <v>3049</v>
      </c>
      <c r="D3518" s="6" t="n">
        <v>100</v>
      </c>
      <c r="E3518" s="6" t="n">
        <v>1227609.64</v>
      </c>
      <c r="F3518" s="6">
        <f>ROUND(E3518-E3517,2)</f>
        <v/>
      </c>
      <c r="G3518" s="6">
        <f>ROUND(F3518-D3518,2)</f>
        <v/>
      </c>
    </row>
    <row r="3519">
      <c r="A3519" t="inlineStr">
        <is>
          <t>2022-09-04</t>
        </is>
      </c>
      <c r="B3519" t="n">
        <v>28</v>
      </c>
      <c r="C3519" t="n">
        <v>3049</v>
      </c>
      <c r="D3519" s="6" t="n">
        <v>235.9</v>
      </c>
      <c r="E3519" s="6" t="n">
        <v>1227845.54</v>
      </c>
      <c r="F3519" s="6">
        <f>ROUND(E3519-E3518,2)</f>
        <v/>
      </c>
      <c r="G3519" s="6">
        <f>ROUND(F3519-D3519,2)</f>
        <v/>
      </c>
    </row>
    <row r="3520">
      <c r="A3520" t="inlineStr">
        <is>
          <t>2022-09-07</t>
        </is>
      </c>
      <c r="B3520" t="n">
        <v>1</v>
      </c>
      <c r="C3520" t="n">
        <v>3050</v>
      </c>
      <c r="D3520" s="6" t="n">
        <v>53.3</v>
      </c>
      <c r="E3520" s="6" t="n">
        <v>1227898.84</v>
      </c>
      <c r="F3520" s="6">
        <f>ROUND(E3520-E3519,2)</f>
        <v/>
      </c>
      <c r="G3520" s="6">
        <f>ROUND(F3520-D3520,2)</f>
        <v/>
      </c>
    </row>
    <row r="3521">
      <c r="A3521" t="inlineStr">
        <is>
          <t>2022-09-07</t>
        </is>
      </c>
      <c r="B3521" t="n">
        <v>2</v>
      </c>
      <c r="C3521" t="n">
        <v>3050</v>
      </c>
      <c r="D3521" s="6" t="n">
        <v>37.9</v>
      </c>
      <c r="E3521" s="6" t="n">
        <v>1227936.74</v>
      </c>
      <c r="F3521" s="6">
        <f>ROUND(E3521-E3520,2)</f>
        <v/>
      </c>
      <c r="G3521" s="6">
        <f>ROUND(F3521-D3521,2)</f>
        <v/>
      </c>
    </row>
    <row r="3522">
      <c r="A3522" t="inlineStr">
        <is>
          <t>2022-09-07</t>
        </is>
      </c>
      <c r="B3522" t="n">
        <v>3</v>
      </c>
      <c r="C3522" t="n">
        <v>3050</v>
      </c>
      <c r="D3522" s="6" t="n">
        <v>85.40000000000001</v>
      </c>
      <c r="E3522" s="6" t="n">
        <v>1228022.14</v>
      </c>
      <c r="F3522" s="6">
        <f>ROUND(E3522-E3521,2)</f>
        <v/>
      </c>
      <c r="G3522" s="6">
        <f>ROUND(F3522-D3522,2)</f>
        <v/>
      </c>
    </row>
    <row r="3523">
      <c r="A3523" t="inlineStr">
        <is>
          <t>2022-09-07</t>
        </is>
      </c>
      <c r="B3523" t="n">
        <v>4</v>
      </c>
      <c r="C3523" t="n">
        <v>3050</v>
      </c>
      <c r="D3523" s="6" t="n">
        <v>73.90000000000001</v>
      </c>
      <c r="E3523" s="6" t="n">
        <v>1228096.04</v>
      </c>
      <c r="F3523" s="6">
        <f>ROUND(E3523-E3522,2)</f>
        <v/>
      </c>
      <c r="G3523" s="6">
        <f>ROUND(F3523-D3523,2)</f>
        <v/>
      </c>
    </row>
    <row r="3524">
      <c r="A3524" t="inlineStr">
        <is>
          <t>2022-09-07</t>
        </is>
      </c>
      <c r="B3524" t="n">
        <v>5</v>
      </c>
      <c r="C3524" t="n">
        <v>3050</v>
      </c>
      <c r="D3524" s="6" t="n">
        <v>93.8</v>
      </c>
      <c r="E3524" s="6" t="n">
        <v>1228189.84</v>
      </c>
      <c r="F3524" s="6">
        <f>ROUND(E3524-E3523,2)</f>
        <v/>
      </c>
      <c r="G3524" s="6">
        <f>ROUND(F3524-D3524,2)</f>
        <v/>
      </c>
    </row>
    <row r="3525">
      <c r="A3525" t="inlineStr">
        <is>
          <t>2022-09-07</t>
        </is>
      </c>
      <c r="B3525" t="n">
        <v>6</v>
      </c>
      <c r="C3525" t="n">
        <v>3050</v>
      </c>
      <c r="D3525" s="6" t="n">
        <v>58</v>
      </c>
      <c r="E3525" s="6" t="n">
        <v>1228247.84</v>
      </c>
      <c r="F3525" s="6">
        <f>ROUND(E3525-E3524,2)</f>
        <v/>
      </c>
      <c r="G3525" s="6">
        <f>ROUND(F3525-D3525,2)</f>
        <v/>
      </c>
    </row>
    <row r="3526">
      <c r="A3526" t="inlineStr">
        <is>
          <t>2022-09-07</t>
        </is>
      </c>
      <c r="B3526" t="n">
        <v>7</v>
      </c>
      <c r="C3526" t="n">
        <v>3050</v>
      </c>
      <c r="D3526" s="6" t="n">
        <v>69.5</v>
      </c>
      <c r="E3526" s="6" t="n">
        <v>1228317.34</v>
      </c>
      <c r="F3526" s="6">
        <f>ROUND(E3526-E3525,2)</f>
        <v/>
      </c>
      <c r="G3526" s="6">
        <f>ROUND(F3526-D3526,2)</f>
        <v/>
      </c>
    </row>
    <row r="3527">
      <c r="A3527" t="inlineStr">
        <is>
          <t>2022-09-07</t>
        </is>
      </c>
      <c r="B3527" t="n">
        <v>8</v>
      </c>
      <c r="C3527" t="n">
        <v>3050</v>
      </c>
      <c r="D3527" s="6" t="n">
        <v>59.3</v>
      </c>
      <c r="E3527" s="6" t="n">
        <v>1228376.64</v>
      </c>
      <c r="F3527" s="6">
        <f>ROUND(E3527-E3526,2)</f>
        <v/>
      </c>
      <c r="G3527" s="6">
        <f>ROUND(F3527-D3527,2)</f>
        <v/>
      </c>
    </row>
    <row r="3528">
      <c r="A3528" t="inlineStr">
        <is>
          <t>2022-09-07</t>
        </is>
      </c>
      <c r="B3528" t="n">
        <v>9</v>
      </c>
      <c r="C3528" t="n">
        <v>3050</v>
      </c>
      <c r="D3528" s="6" t="n">
        <v>90.5</v>
      </c>
      <c r="E3528" s="6" t="n">
        <v>1228467.14</v>
      </c>
      <c r="F3528" s="6">
        <f>ROUND(E3528-E3527,2)</f>
        <v/>
      </c>
      <c r="G3528" s="6">
        <f>ROUND(F3528-D3528,2)</f>
        <v/>
      </c>
    </row>
    <row r="3529">
      <c r="A3529" t="inlineStr">
        <is>
          <t>2022-09-07</t>
        </is>
      </c>
      <c r="B3529" t="n">
        <v>10</v>
      </c>
      <c r="C3529" t="n">
        <v>3050</v>
      </c>
      <c r="D3529" s="6" t="n">
        <v>52.4</v>
      </c>
      <c r="E3529" s="6" t="n">
        <v>1228519.54</v>
      </c>
      <c r="F3529" s="6">
        <f>ROUND(E3529-E3528,2)</f>
        <v/>
      </c>
      <c r="G3529" s="6">
        <f>ROUND(F3529-D3529,2)</f>
        <v/>
      </c>
    </row>
    <row r="3530">
      <c r="A3530" t="inlineStr">
        <is>
          <t>2022-09-07</t>
        </is>
      </c>
      <c r="B3530" t="n">
        <v>11</v>
      </c>
      <c r="C3530" t="n">
        <v>3050</v>
      </c>
      <c r="D3530" s="6" t="n">
        <v>79.2</v>
      </c>
      <c r="E3530" s="6" t="n">
        <v>1228598.74</v>
      </c>
      <c r="F3530" s="6">
        <f>ROUND(E3530-E3529,2)</f>
        <v/>
      </c>
      <c r="G3530" s="6">
        <f>ROUND(F3530-D3530,2)</f>
        <v/>
      </c>
    </row>
    <row r="3531">
      <c r="A3531" t="inlineStr">
        <is>
          <t>2022-09-07</t>
        </is>
      </c>
      <c r="B3531" t="n">
        <v>12</v>
      </c>
      <c r="C3531" t="n">
        <v>3050</v>
      </c>
      <c r="D3531" s="6" t="n">
        <v>26.8</v>
      </c>
      <c r="E3531" s="6" t="n">
        <v>1228625.54</v>
      </c>
      <c r="F3531" s="6">
        <f>ROUND(E3531-E3530,2)</f>
        <v/>
      </c>
      <c r="G3531" s="6">
        <f>ROUND(F3531-D3531,2)</f>
        <v/>
      </c>
    </row>
    <row r="3532">
      <c r="A3532" t="inlineStr">
        <is>
          <t>2022-09-07</t>
        </is>
      </c>
      <c r="B3532" t="n">
        <v>13</v>
      </c>
      <c r="C3532" t="n">
        <v>3050</v>
      </c>
      <c r="D3532" s="6" t="n">
        <v>23.1</v>
      </c>
      <c r="E3532" s="6" t="n">
        <v>1228648.64</v>
      </c>
      <c r="F3532" s="6">
        <f>ROUND(E3532-E3531,2)</f>
        <v/>
      </c>
      <c r="G3532" s="6">
        <f>ROUND(F3532-D3532,2)</f>
        <v/>
      </c>
    </row>
    <row r="3533">
      <c r="A3533" t="inlineStr">
        <is>
          <t>2022-09-07</t>
        </is>
      </c>
      <c r="B3533" t="n">
        <v>14</v>
      </c>
      <c r="C3533" t="n">
        <v>3050</v>
      </c>
      <c r="D3533" s="6" t="n">
        <v>63.9</v>
      </c>
      <c r="E3533" s="6" t="n">
        <v>1228712.54</v>
      </c>
      <c r="F3533" s="6">
        <f>ROUND(E3533-E3532,2)</f>
        <v/>
      </c>
      <c r="G3533" s="6">
        <f>ROUND(F3533-D3533,2)</f>
        <v/>
      </c>
    </row>
    <row r="3534">
      <c r="A3534" t="inlineStr">
        <is>
          <t>2022-09-07</t>
        </is>
      </c>
      <c r="B3534" t="n">
        <v>15</v>
      </c>
      <c r="C3534" t="n">
        <v>3050</v>
      </c>
      <c r="D3534" s="6" t="n">
        <v>54.9</v>
      </c>
      <c r="E3534" s="6" t="n">
        <v>1228767.44</v>
      </c>
      <c r="F3534" s="6">
        <f>ROUND(E3534-E3533,2)</f>
        <v/>
      </c>
      <c r="G3534" s="6">
        <f>ROUND(F3534-D3534,2)</f>
        <v/>
      </c>
    </row>
    <row r="3535">
      <c r="A3535" t="inlineStr">
        <is>
          <t>2022-09-07</t>
        </is>
      </c>
      <c r="B3535" t="n">
        <v>16</v>
      </c>
      <c r="C3535" t="n">
        <v>3050</v>
      </c>
      <c r="D3535" s="6" t="n">
        <v>57.7</v>
      </c>
      <c r="E3535" s="6" t="n">
        <v>1228825.14</v>
      </c>
      <c r="F3535" s="6">
        <f>ROUND(E3535-E3534,2)</f>
        <v/>
      </c>
      <c r="G3535" s="6">
        <f>ROUND(F3535-D3535,2)</f>
        <v/>
      </c>
    </row>
    <row r="3536">
      <c r="A3536" t="inlineStr">
        <is>
          <t>2022-09-07</t>
        </is>
      </c>
      <c r="B3536" t="n">
        <v>17</v>
      </c>
      <c r="C3536" t="n">
        <v>3050</v>
      </c>
      <c r="D3536" s="6" t="n">
        <v>88</v>
      </c>
      <c r="E3536" s="6" t="n">
        <v>1228913.14</v>
      </c>
      <c r="F3536" s="6">
        <f>ROUND(E3536-E3535,2)</f>
        <v/>
      </c>
      <c r="G3536" s="6">
        <f>ROUND(F3536-D3536,2)</f>
        <v/>
      </c>
    </row>
    <row r="3537">
      <c r="A3537" t="inlineStr">
        <is>
          <t>2022-09-07</t>
        </is>
      </c>
      <c r="B3537" t="n">
        <v>18</v>
      </c>
      <c r="C3537" t="n">
        <v>3050</v>
      </c>
      <c r="D3537" s="6" t="n">
        <v>100.6</v>
      </c>
      <c r="E3537" s="6" t="n">
        <v>1229013.74</v>
      </c>
      <c r="F3537" s="6">
        <f>ROUND(E3537-E3536,2)</f>
        <v/>
      </c>
      <c r="G3537" s="6">
        <f>ROUND(F3537-D3537,2)</f>
        <v/>
      </c>
    </row>
    <row r="3538">
      <c r="A3538" t="inlineStr">
        <is>
          <t>2022-09-07</t>
        </is>
      </c>
      <c r="B3538" t="n">
        <v>19</v>
      </c>
      <c r="C3538" t="n">
        <v>3050</v>
      </c>
      <c r="D3538" s="6" t="n">
        <v>28.65</v>
      </c>
      <c r="E3538" s="6" t="n">
        <v>1229042.39</v>
      </c>
      <c r="F3538" s="6">
        <f>ROUND(E3538-E3537,2)</f>
        <v/>
      </c>
      <c r="G3538" s="6">
        <f>ROUND(F3538-D3538,2)</f>
        <v/>
      </c>
    </row>
    <row r="3539">
      <c r="A3539" t="inlineStr">
        <is>
          <t>2022-09-07</t>
        </is>
      </c>
      <c r="B3539" t="n">
        <v>20</v>
      </c>
      <c r="C3539" t="n">
        <v>3050</v>
      </c>
      <c r="D3539" s="6" t="n">
        <v>28.65</v>
      </c>
      <c r="E3539" s="6" t="n">
        <v>1229071.04</v>
      </c>
      <c r="F3539" s="6">
        <f>ROUND(E3539-E3538,2)</f>
        <v/>
      </c>
      <c r="G3539" s="6">
        <f>ROUND(F3539-D3539,2)</f>
        <v/>
      </c>
    </row>
    <row r="3540">
      <c r="A3540" t="inlineStr">
        <is>
          <t>2022-09-07</t>
        </is>
      </c>
      <c r="B3540" t="n">
        <v>21</v>
      </c>
      <c r="C3540" t="n">
        <v>3050</v>
      </c>
      <c r="D3540" s="6" t="n">
        <v>66.59999999999999</v>
      </c>
      <c r="E3540" s="6" t="n">
        <v>1229137.64</v>
      </c>
      <c r="F3540" s="6">
        <f>ROUND(E3540-E3539,2)</f>
        <v/>
      </c>
      <c r="G3540" s="6">
        <f>ROUND(F3540-D3540,2)</f>
        <v/>
      </c>
    </row>
    <row r="3541">
      <c r="A3541" t="inlineStr">
        <is>
          <t>2022-09-07</t>
        </is>
      </c>
      <c r="B3541" t="n">
        <v>22</v>
      </c>
      <c r="C3541" t="n">
        <v>3050</v>
      </c>
      <c r="D3541" s="6" t="n">
        <v>95.59999999999999</v>
      </c>
      <c r="E3541" s="6" t="n">
        <v>1229233.24</v>
      </c>
      <c r="F3541" s="6">
        <f>ROUND(E3541-E3540,2)</f>
        <v/>
      </c>
      <c r="G3541" s="6">
        <f>ROUND(F3541-D3541,2)</f>
        <v/>
      </c>
    </row>
    <row r="3542">
      <c r="A3542" t="inlineStr">
        <is>
          <t>2022-09-07</t>
        </is>
      </c>
      <c r="B3542" t="n">
        <v>23</v>
      </c>
      <c r="C3542" t="n">
        <v>3050</v>
      </c>
      <c r="D3542" s="6" t="n">
        <v>97</v>
      </c>
      <c r="E3542" s="6" t="n">
        <v>1229330.24</v>
      </c>
      <c r="F3542" s="6">
        <f>ROUND(E3542-E3541,2)</f>
        <v/>
      </c>
      <c r="G3542" s="6">
        <f>ROUND(F3542-D3542,2)</f>
        <v/>
      </c>
    </row>
    <row r="3543">
      <c r="A3543" t="inlineStr">
        <is>
          <t>2022-09-07</t>
        </is>
      </c>
      <c r="B3543" t="n">
        <v>24</v>
      </c>
      <c r="C3543" t="n">
        <v>3050</v>
      </c>
      <c r="D3543" s="6" t="n">
        <v>37.6</v>
      </c>
      <c r="E3543" s="6" t="n">
        <v>1229367.84</v>
      </c>
      <c r="F3543" s="6">
        <f>ROUND(E3543-E3542,2)</f>
        <v/>
      </c>
      <c r="G3543" s="6">
        <f>ROUND(F3543-D3543,2)</f>
        <v/>
      </c>
    </row>
    <row r="3544">
      <c r="A3544" t="inlineStr">
        <is>
          <t>2022-09-07</t>
        </is>
      </c>
      <c r="B3544" t="n">
        <v>25</v>
      </c>
      <c r="C3544" t="n">
        <v>3050</v>
      </c>
      <c r="D3544" s="6" t="n">
        <v>50.9</v>
      </c>
      <c r="E3544" s="6" t="n">
        <v>1229418.74</v>
      </c>
      <c r="F3544" s="6">
        <f>ROUND(E3544-E3543,2)</f>
        <v/>
      </c>
      <c r="G3544" s="6">
        <f>ROUND(F3544-D3544,2)</f>
        <v/>
      </c>
    </row>
    <row r="3545">
      <c r="A3545" t="inlineStr">
        <is>
          <t>2022-09-07</t>
        </is>
      </c>
      <c r="B3545" t="n">
        <v>26</v>
      </c>
      <c r="C3545" t="n">
        <v>3050</v>
      </c>
      <c r="D3545" s="6" t="n">
        <v>66.90000000000001</v>
      </c>
      <c r="E3545" s="6" t="n">
        <v>1229485.64</v>
      </c>
      <c r="F3545" s="6">
        <f>ROUND(E3545-E3544,2)</f>
        <v/>
      </c>
      <c r="G3545" s="6">
        <f>ROUND(F3545-D3545,2)</f>
        <v/>
      </c>
    </row>
    <row r="3546">
      <c r="A3546" t="inlineStr">
        <is>
          <t>2022-09-08</t>
        </is>
      </c>
      <c r="B3546" t="n">
        <v>1</v>
      </c>
      <c r="C3546" t="n">
        <v>3051</v>
      </c>
      <c r="D3546" s="6" t="n">
        <v>61.9</v>
      </c>
      <c r="E3546" s="6" t="n">
        <v>1229547.54</v>
      </c>
      <c r="F3546" s="6">
        <f>ROUND(E3546-E3545,2)</f>
        <v/>
      </c>
      <c r="G3546" s="6">
        <f>ROUND(F3546-D3546,2)</f>
        <v/>
      </c>
    </row>
    <row r="3547">
      <c r="A3547" t="inlineStr">
        <is>
          <t>2022-09-08</t>
        </is>
      </c>
      <c r="B3547" t="n">
        <v>2</v>
      </c>
      <c r="C3547" t="n">
        <v>3051</v>
      </c>
      <c r="D3547" s="6" t="n">
        <v>49.7</v>
      </c>
      <c r="E3547" s="6" t="n">
        <v>1229597.24</v>
      </c>
      <c r="F3547" s="6">
        <f>ROUND(E3547-E3546,2)</f>
        <v/>
      </c>
      <c r="G3547" s="6">
        <f>ROUND(F3547-D3547,2)</f>
        <v/>
      </c>
    </row>
    <row r="3548">
      <c r="A3548" t="inlineStr">
        <is>
          <t>2022-09-08</t>
        </is>
      </c>
      <c r="B3548" t="n">
        <v>3</v>
      </c>
      <c r="C3548" t="n">
        <v>3051</v>
      </c>
      <c r="D3548" s="6" t="n">
        <v>51.4</v>
      </c>
      <c r="E3548" s="6" t="n">
        <v>1229648.64</v>
      </c>
      <c r="F3548" s="6">
        <f>ROUND(E3548-E3547,2)</f>
        <v/>
      </c>
      <c r="G3548" s="6">
        <f>ROUND(F3548-D3548,2)</f>
        <v/>
      </c>
    </row>
    <row r="3549">
      <c r="A3549" t="inlineStr">
        <is>
          <t>2022-09-08</t>
        </is>
      </c>
      <c r="B3549" t="n">
        <v>4</v>
      </c>
      <c r="C3549" t="n">
        <v>3051</v>
      </c>
      <c r="D3549" s="6" t="n">
        <v>65.8</v>
      </c>
      <c r="E3549" s="6" t="n">
        <v>1229714.44</v>
      </c>
      <c r="F3549" s="6">
        <f>ROUND(E3549-E3548,2)</f>
        <v/>
      </c>
      <c r="G3549" s="6">
        <f>ROUND(F3549-D3549,2)</f>
        <v/>
      </c>
    </row>
    <row r="3550">
      <c r="A3550" t="inlineStr">
        <is>
          <t>2022-09-08</t>
        </is>
      </c>
      <c r="B3550" t="n">
        <v>5</v>
      </c>
      <c r="C3550" t="n">
        <v>3051</v>
      </c>
      <c r="D3550" s="6" t="n">
        <v>53.4</v>
      </c>
      <c r="E3550" s="6" t="n">
        <v>1229767.84</v>
      </c>
      <c r="F3550" s="6">
        <f>ROUND(E3550-E3549,2)</f>
        <v/>
      </c>
      <c r="G3550" s="6">
        <f>ROUND(F3550-D3550,2)</f>
        <v/>
      </c>
    </row>
    <row r="3551">
      <c r="A3551" t="inlineStr">
        <is>
          <t>2022-09-08</t>
        </is>
      </c>
      <c r="B3551" t="n">
        <v>6</v>
      </c>
      <c r="C3551" t="n">
        <v>3051</v>
      </c>
      <c r="D3551" s="6" t="n">
        <v>28.1</v>
      </c>
      <c r="E3551" s="6" t="n">
        <v>1229795.94</v>
      </c>
      <c r="F3551" s="6">
        <f>ROUND(E3551-E3550,2)</f>
        <v/>
      </c>
      <c r="G3551" s="6">
        <f>ROUND(F3551-D3551,2)</f>
        <v/>
      </c>
    </row>
    <row r="3552">
      <c r="A3552" t="inlineStr">
        <is>
          <t>2022-09-08</t>
        </is>
      </c>
      <c r="B3552" t="n">
        <v>7</v>
      </c>
      <c r="C3552" t="n">
        <v>3051</v>
      </c>
      <c r="D3552" s="6" t="n">
        <v>54.5</v>
      </c>
      <c r="E3552" s="6" t="n">
        <v>1229850.44</v>
      </c>
      <c r="F3552" s="6">
        <f>ROUND(E3552-E3551,2)</f>
        <v/>
      </c>
      <c r="G3552" s="6">
        <f>ROUND(F3552-D3552,2)</f>
        <v/>
      </c>
    </row>
    <row r="3553">
      <c r="A3553" t="inlineStr">
        <is>
          <t>2022-09-08</t>
        </is>
      </c>
      <c r="B3553" t="n">
        <v>8</v>
      </c>
      <c r="C3553" t="n">
        <v>3051</v>
      </c>
      <c r="D3553" s="6" t="n">
        <v>80.2</v>
      </c>
      <c r="E3553" s="6" t="n">
        <v>1229930.64</v>
      </c>
      <c r="F3553" s="6">
        <f>ROUND(E3553-E3552,2)</f>
        <v/>
      </c>
      <c r="G3553" s="6">
        <f>ROUND(F3553-D3553,2)</f>
        <v/>
      </c>
    </row>
    <row r="3554">
      <c r="A3554" t="inlineStr">
        <is>
          <t>2022-09-08</t>
        </is>
      </c>
      <c r="B3554" t="n">
        <v>9</v>
      </c>
      <c r="C3554" t="n">
        <v>3051</v>
      </c>
      <c r="D3554" s="6" t="n">
        <v>47.5</v>
      </c>
      <c r="E3554" s="6" t="n">
        <v>1229978.14</v>
      </c>
      <c r="F3554" s="6">
        <f>ROUND(E3554-E3553,2)</f>
        <v/>
      </c>
      <c r="G3554" s="6">
        <f>ROUND(F3554-D3554,2)</f>
        <v/>
      </c>
    </row>
    <row r="3555">
      <c r="A3555" t="inlineStr">
        <is>
          <t>2022-09-08</t>
        </is>
      </c>
      <c r="B3555" t="n">
        <v>10</v>
      </c>
      <c r="C3555" t="n">
        <v>3051</v>
      </c>
      <c r="D3555" s="6" t="n">
        <v>25.05</v>
      </c>
      <c r="E3555" s="6" t="n">
        <v>1230003.19</v>
      </c>
      <c r="F3555" s="6">
        <f>ROUND(E3555-E3554,2)</f>
        <v/>
      </c>
      <c r="G3555" s="6">
        <f>ROUND(F3555-D3555,2)</f>
        <v/>
      </c>
    </row>
    <row r="3556">
      <c r="A3556" t="inlineStr">
        <is>
          <t>2022-09-08</t>
        </is>
      </c>
      <c r="B3556" t="n">
        <v>11</v>
      </c>
      <c r="C3556" t="n">
        <v>3051</v>
      </c>
      <c r="D3556" s="6" t="n">
        <v>25.05</v>
      </c>
      <c r="E3556" s="6" t="n">
        <v>1230028.24</v>
      </c>
      <c r="F3556" s="6">
        <f>ROUND(E3556-E3555,2)</f>
        <v/>
      </c>
      <c r="G3556" s="6">
        <f>ROUND(F3556-D3556,2)</f>
        <v/>
      </c>
    </row>
    <row r="3557">
      <c r="A3557" t="inlineStr">
        <is>
          <t>2022-09-08</t>
        </is>
      </c>
      <c r="B3557" t="n">
        <v>12</v>
      </c>
      <c r="C3557" t="n">
        <v>3051</v>
      </c>
      <c r="D3557" s="6" t="n">
        <v>40.3</v>
      </c>
      <c r="E3557" s="6" t="n">
        <v>1230068.54</v>
      </c>
      <c r="F3557" s="6">
        <f>ROUND(E3557-E3556,2)</f>
        <v/>
      </c>
      <c r="G3557" s="6">
        <f>ROUND(F3557-D3557,2)</f>
        <v/>
      </c>
    </row>
    <row r="3558">
      <c r="A3558" t="inlineStr">
        <is>
          <t>2022-09-08</t>
        </is>
      </c>
      <c r="B3558" t="n">
        <v>13</v>
      </c>
      <c r="C3558" t="n">
        <v>3051</v>
      </c>
      <c r="D3558" s="6" t="n">
        <v>95.40000000000001</v>
      </c>
      <c r="E3558" s="6" t="n">
        <v>1230163.94</v>
      </c>
      <c r="F3558" s="6">
        <f>ROUND(E3558-E3557,2)</f>
        <v/>
      </c>
      <c r="G3558" s="6">
        <f>ROUND(F3558-D3558,2)</f>
        <v/>
      </c>
    </row>
    <row r="3559">
      <c r="A3559" t="inlineStr">
        <is>
          <t>2022-09-08</t>
        </is>
      </c>
      <c r="B3559" t="n">
        <v>14</v>
      </c>
      <c r="C3559" t="n">
        <v>3051</v>
      </c>
      <c r="D3559" s="6" t="n">
        <v>49.95</v>
      </c>
      <c r="E3559" s="6" t="n">
        <v>1230213.89</v>
      </c>
      <c r="F3559" s="6">
        <f>ROUND(E3559-E3558,2)</f>
        <v/>
      </c>
      <c r="G3559" s="6">
        <f>ROUND(F3559-D3559,2)</f>
        <v/>
      </c>
    </row>
    <row r="3560">
      <c r="A3560" t="inlineStr">
        <is>
          <t>2022-09-08</t>
        </is>
      </c>
      <c r="B3560" t="n">
        <v>15</v>
      </c>
      <c r="C3560" t="n">
        <v>3051</v>
      </c>
      <c r="D3560" s="6" t="n">
        <v>49.95</v>
      </c>
      <c r="E3560" s="6" t="n">
        <v>1230263.84</v>
      </c>
      <c r="F3560" s="6">
        <f>ROUND(E3560-E3559,2)</f>
        <v/>
      </c>
      <c r="G3560" s="6">
        <f>ROUND(F3560-D3560,2)</f>
        <v/>
      </c>
    </row>
    <row r="3561">
      <c r="A3561" t="inlineStr">
        <is>
          <t>2022-09-08</t>
        </is>
      </c>
      <c r="B3561" t="n">
        <v>16</v>
      </c>
      <c r="C3561" t="n">
        <v>3051</v>
      </c>
      <c r="D3561" s="6" t="n">
        <v>97</v>
      </c>
      <c r="E3561" s="6" t="n">
        <v>1230360.84</v>
      </c>
      <c r="F3561" s="6">
        <f>ROUND(E3561-E3560,2)</f>
        <v/>
      </c>
      <c r="G3561" s="6">
        <f>ROUND(F3561-D3561,2)</f>
        <v/>
      </c>
    </row>
    <row r="3562">
      <c r="A3562" t="inlineStr">
        <is>
          <t>2022-09-08</t>
        </is>
      </c>
      <c r="B3562" t="n">
        <v>17</v>
      </c>
      <c r="C3562" t="n">
        <v>3051</v>
      </c>
      <c r="D3562" s="6" t="n">
        <v>59</v>
      </c>
      <c r="E3562" s="6" t="n">
        <v>1230419.84</v>
      </c>
      <c r="F3562" s="6">
        <f>ROUND(E3562-E3561,2)</f>
        <v/>
      </c>
      <c r="G3562" s="6">
        <f>ROUND(F3562-D3562,2)</f>
        <v/>
      </c>
    </row>
    <row r="3563">
      <c r="A3563" t="inlineStr">
        <is>
          <t>2022-09-08</t>
        </is>
      </c>
      <c r="B3563" t="n">
        <v>18</v>
      </c>
      <c r="C3563" t="n">
        <v>3051</v>
      </c>
      <c r="D3563" s="6" t="n">
        <v>30.5</v>
      </c>
      <c r="E3563" s="6" t="n">
        <v>1230450.34</v>
      </c>
      <c r="F3563" s="6">
        <f>ROUND(E3563-E3562,2)</f>
        <v/>
      </c>
      <c r="G3563" s="6">
        <f>ROUND(F3563-D3563,2)</f>
        <v/>
      </c>
    </row>
    <row r="3564">
      <c r="A3564" t="inlineStr">
        <is>
          <t>2022-09-08</t>
        </is>
      </c>
      <c r="B3564" t="n">
        <v>19</v>
      </c>
      <c r="C3564" t="n">
        <v>3051</v>
      </c>
      <c r="D3564" s="6" t="n">
        <v>114.5</v>
      </c>
      <c r="E3564" s="6" t="n">
        <v>1230564.84</v>
      </c>
      <c r="F3564" s="6">
        <f>ROUND(E3564-E3563,2)</f>
        <v/>
      </c>
      <c r="G3564" s="6">
        <f>ROUND(F3564-D3564,2)</f>
        <v/>
      </c>
    </row>
    <row r="3565">
      <c r="A3565" t="inlineStr">
        <is>
          <t>2022-09-08</t>
        </is>
      </c>
      <c r="B3565" t="n">
        <v>20</v>
      </c>
      <c r="C3565" t="n">
        <v>3051</v>
      </c>
      <c r="D3565" s="6" t="n">
        <v>27.9</v>
      </c>
      <c r="E3565" s="6" t="n">
        <v>1230592.74</v>
      </c>
      <c r="F3565" s="6">
        <f>ROUND(E3565-E3564,2)</f>
        <v/>
      </c>
      <c r="G3565" s="6">
        <f>ROUND(F3565-D3565,2)</f>
        <v/>
      </c>
    </row>
    <row r="3566">
      <c r="A3566" t="inlineStr">
        <is>
          <t>2022-09-08</t>
        </is>
      </c>
      <c r="B3566" t="n">
        <v>21</v>
      </c>
      <c r="C3566" t="n">
        <v>3051</v>
      </c>
      <c r="D3566" s="6" t="n">
        <v>38.8</v>
      </c>
      <c r="E3566" s="6" t="n">
        <v>1230631.54</v>
      </c>
      <c r="F3566" s="6">
        <f>ROUND(E3566-E3565,2)</f>
        <v/>
      </c>
      <c r="G3566" s="6">
        <f>ROUND(F3566-D3566,2)</f>
        <v/>
      </c>
    </row>
    <row r="3567">
      <c r="A3567" t="inlineStr">
        <is>
          <t>2022-09-08</t>
        </is>
      </c>
      <c r="B3567" t="n">
        <v>22</v>
      </c>
      <c r="C3567" t="n">
        <v>3051</v>
      </c>
      <c r="D3567" s="6" t="n">
        <v>72.8</v>
      </c>
      <c r="E3567" s="6" t="n">
        <v>1230704.34</v>
      </c>
      <c r="F3567" s="6">
        <f>ROUND(E3567-E3566,2)</f>
        <v/>
      </c>
      <c r="G3567" s="6">
        <f>ROUND(F3567-D3567,2)</f>
        <v/>
      </c>
    </row>
    <row r="3568">
      <c r="A3568" t="inlineStr">
        <is>
          <t>2022-09-08</t>
        </is>
      </c>
      <c r="B3568" t="n">
        <v>23</v>
      </c>
      <c r="C3568" t="n">
        <v>3051</v>
      </c>
      <c r="D3568" s="6" t="n">
        <v>77.8</v>
      </c>
      <c r="E3568" s="6" t="n">
        <v>1230782.14</v>
      </c>
      <c r="F3568" s="6">
        <f>ROUND(E3568-E3567,2)</f>
        <v/>
      </c>
      <c r="G3568" s="6">
        <f>ROUND(F3568-D3568,2)</f>
        <v/>
      </c>
    </row>
    <row r="3569">
      <c r="A3569" t="inlineStr">
        <is>
          <t>2022-09-08</t>
        </is>
      </c>
      <c r="B3569" t="n">
        <v>24</v>
      </c>
      <c r="C3569" t="n">
        <v>3051</v>
      </c>
      <c r="D3569" s="6" t="n">
        <v>52.2</v>
      </c>
      <c r="E3569" s="6" t="n">
        <v>1230834.34</v>
      </c>
      <c r="F3569" s="6">
        <f>ROUND(E3569-E3568,2)</f>
        <v/>
      </c>
      <c r="G3569" s="6">
        <f>ROUND(F3569-D3569,2)</f>
        <v/>
      </c>
    </row>
    <row r="3570">
      <c r="A3570" t="inlineStr">
        <is>
          <t>2022-09-08</t>
        </is>
      </c>
      <c r="B3570" t="n">
        <v>25</v>
      </c>
      <c r="C3570" t="n">
        <v>3051</v>
      </c>
      <c r="D3570" s="6" t="n">
        <v>99.2</v>
      </c>
      <c r="E3570" s="6" t="n">
        <v>1230933.54</v>
      </c>
      <c r="F3570" s="6">
        <f>ROUND(E3570-E3569,2)</f>
        <v/>
      </c>
      <c r="G3570" s="6">
        <f>ROUND(F3570-D3570,2)</f>
        <v/>
      </c>
    </row>
    <row r="3571">
      <c r="A3571" t="inlineStr">
        <is>
          <t>2022-09-08</t>
        </is>
      </c>
      <c r="B3571" t="n">
        <v>26</v>
      </c>
      <c r="C3571" t="n">
        <v>3051</v>
      </c>
      <c r="D3571" s="6" t="n">
        <v>78</v>
      </c>
      <c r="E3571" s="6" t="n">
        <v>1231011.54</v>
      </c>
      <c r="F3571" s="6">
        <f>ROUND(E3571-E3570,2)</f>
        <v/>
      </c>
      <c r="G3571" s="6">
        <f>ROUND(F3571-D3571,2)</f>
        <v/>
      </c>
    </row>
    <row r="3572">
      <c r="A3572" t="inlineStr">
        <is>
          <t>2022-09-08</t>
        </is>
      </c>
      <c r="B3572" t="n">
        <v>27</v>
      </c>
      <c r="C3572" t="n">
        <v>3051</v>
      </c>
      <c r="D3572" s="6" t="n">
        <v>38</v>
      </c>
      <c r="E3572" s="6" t="n">
        <v>1231049.54</v>
      </c>
      <c r="F3572" s="6">
        <f>ROUND(E3572-E3571,2)</f>
        <v/>
      </c>
      <c r="G3572" s="6">
        <f>ROUND(F3572-D3572,2)</f>
        <v/>
      </c>
    </row>
    <row r="3573">
      <c r="A3573" t="inlineStr">
        <is>
          <t>2022-09-08</t>
        </is>
      </c>
      <c r="B3573" t="n">
        <v>28</v>
      </c>
      <c r="C3573" t="n">
        <v>3051</v>
      </c>
      <c r="D3573" s="6" t="n">
        <v>131.5</v>
      </c>
      <c r="E3573" s="6" t="n">
        <v>1231181.04</v>
      </c>
      <c r="F3573" s="6">
        <f>ROUND(E3573-E3572,2)</f>
        <v/>
      </c>
      <c r="G3573" s="6">
        <f>ROUND(F3573-D3573,2)</f>
        <v/>
      </c>
    </row>
    <row r="3574">
      <c r="A3574" t="inlineStr">
        <is>
          <t>2022-09-08</t>
        </is>
      </c>
      <c r="B3574" t="n">
        <v>29</v>
      </c>
      <c r="C3574" t="n">
        <v>3051</v>
      </c>
      <c r="D3574" s="6" t="n">
        <v>47.7</v>
      </c>
      <c r="E3574" s="6" t="n">
        <v>1231228.74</v>
      </c>
      <c r="F3574" s="6">
        <f>ROUND(E3574-E3573,2)</f>
        <v/>
      </c>
      <c r="G3574" s="6">
        <f>ROUND(F3574-D3574,2)</f>
        <v/>
      </c>
    </row>
    <row r="3575">
      <c r="A3575" t="inlineStr">
        <is>
          <t>2022-09-08</t>
        </is>
      </c>
      <c r="B3575" t="n">
        <v>30</v>
      </c>
      <c r="C3575" t="n">
        <v>3051</v>
      </c>
      <c r="D3575" s="6" t="n">
        <v>130.2</v>
      </c>
      <c r="E3575" s="6" t="n">
        <v>1231358.94</v>
      </c>
      <c r="F3575" s="6">
        <f>ROUND(E3575-E3574,2)</f>
        <v/>
      </c>
      <c r="G3575" s="6">
        <f>ROUND(F3575-D3575,2)</f>
        <v/>
      </c>
    </row>
    <row r="3576">
      <c r="A3576" t="inlineStr">
        <is>
          <t>2022-09-08</t>
        </is>
      </c>
      <c r="B3576" t="n">
        <v>31</v>
      </c>
      <c r="C3576" t="n">
        <v>3051</v>
      </c>
      <c r="D3576" s="6" t="n">
        <v>39.9</v>
      </c>
      <c r="E3576" s="6" t="n">
        <v>1231398.84</v>
      </c>
      <c r="F3576" s="6">
        <f>ROUND(E3576-E3575,2)</f>
        <v/>
      </c>
      <c r="G3576" s="6">
        <f>ROUND(F3576-D3576,2)</f>
        <v/>
      </c>
    </row>
    <row r="3577">
      <c r="A3577" t="inlineStr">
        <is>
          <t>2022-09-08</t>
        </is>
      </c>
      <c r="B3577" t="n">
        <v>32</v>
      </c>
      <c r="C3577" t="n">
        <v>3051</v>
      </c>
      <c r="D3577" s="6" t="n">
        <v>30.2</v>
      </c>
      <c r="E3577" s="6" t="n">
        <v>1231429.04</v>
      </c>
      <c r="F3577" s="6">
        <f>ROUND(E3577-E3576,2)</f>
        <v/>
      </c>
      <c r="G3577" s="6">
        <f>ROUND(F3577-D3577,2)</f>
        <v/>
      </c>
    </row>
    <row r="3578">
      <c r="A3578" t="inlineStr">
        <is>
          <t>2022-09-08</t>
        </is>
      </c>
      <c r="B3578" t="n">
        <v>33</v>
      </c>
      <c r="C3578" t="n">
        <v>3051</v>
      </c>
      <c r="D3578" s="6" t="n">
        <v>20.1</v>
      </c>
      <c r="E3578" s="6" t="n">
        <v>1231449.14</v>
      </c>
      <c r="F3578" s="6">
        <f>ROUND(E3578-E3577,2)</f>
        <v/>
      </c>
      <c r="G3578" s="6">
        <f>ROUND(F3578-D3578,2)</f>
        <v/>
      </c>
    </row>
    <row r="3579">
      <c r="A3579" t="inlineStr">
        <is>
          <t>2022-09-08</t>
        </is>
      </c>
      <c r="B3579" t="n">
        <v>34</v>
      </c>
      <c r="C3579" t="n">
        <v>3051</v>
      </c>
      <c r="D3579" s="6" t="n">
        <v>20.1</v>
      </c>
      <c r="E3579" s="6" t="n">
        <v>1231469.24</v>
      </c>
      <c r="F3579" s="6">
        <f>ROUND(E3579-E3578,2)</f>
        <v/>
      </c>
      <c r="G3579" s="6">
        <f>ROUND(F3579-D3579,2)</f>
        <v/>
      </c>
    </row>
    <row r="3580">
      <c r="A3580" t="inlineStr">
        <is>
          <t>2022-09-08</t>
        </is>
      </c>
      <c r="B3580" t="n">
        <v>35</v>
      </c>
      <c r="C3580" t="n">
        <v>3051</v>
      </c>
      <c r="D3580" s="6" t="n">
        <v>76.2</v>
      </c>
      <c r="E3580" s="6" t="n">
        <v>1231545.44</v>
      </c>
      <c r="F3580" s="6">
        <f>ROUND(E3580-E3579,2)</f>
        <v/>
      </c>
      <c r="G3580" s="6">
        <f>ROUND(F3580-D3580,2)</f>
        <v/>
      </c>
    </row>
    <row r="3581">
      <c r="A3581" t="inlineStr">
        <is>
          <t>2022-09-08</t>
        </is>
      </c>
      <c r="B3581" t="n">
        <v>36</v>
      </c>
      <c r="C3581" t="n">
        <v>3051</v>
      </c>
      <c r="D3581" s="6" t="n">
        <v>40.3</v>
      </c>
      <c r="E3581" s="6" t="n">
        <v>1231585.74</v>
      </c>
      <c r="F3581" s="6">
        <f>ROUND(E3581-E3580,2)</f>
        <v/>
      </c>
      <c r="G3581" s="6">
        <f>ROUND(F3581-D3581,2)</f>
        <v/>
      </c>
    </row>
    <row r="3582">
      <c r="A3582" t="inlineStr">
        <is>
          <t>2022-09-08</t>
        </is>
      </c>
      <c r="B3582" t="n">
        <v>37</v>
      </c>
      <c r="C3582" t="n">
        <v>3051</v>
      </c>
      <c r="D3582" s="6" t="n">
        <v>40.3</v>
      </c>
      <c r="E3582" s="6" t="n">
        <v>1231626.04</v>
      </c>
      <c r="F3582" s="6">
        <f>ROUND(E3582-E3581,2)</f>
        <v/>
      </c>
      <c r="G3582" s="6">
        <f>ROUND(F3582-D3582,2)</f>
        <v/>
      </c>
    </row>
    <row r="3583">
      <c r="A3583" t="inlineStr">
        <is>
          <t>2022-09-09</t>
        </is>
      </c>
      <c r="B3583" t="n">
        <v>1</v>
      </c>
      <c r="C3583" t="n">
        <v>3052</v>
      </c>
      <c r="D3583" s="6" t="n">
        <v>41.85</v>
      </c>
      <c r="E3583" s="6" t="n">
        <v>1231667.89</v>
      </c>
      <c r="F3583" s="6">
        <f>ROUND(E3583-E3582,2)</f>
        <v/>
      </c>
      <c r="G3583" s="6">
        <f>ROUND(F3583-D3583,2)</f>
        <v/>
      </c>
    </row>
    <row r="3584">
      <c r="A3584" t="inlineStr">
        <is>
          <t>2022-09-09</t>
        </is>
      </c>
      <c r="B3584" t="n">
        <v>2</v>
      </c>
      <c r="C3584" t="n">
        <v>3052</v>
      </c>
      <c r="D3584" s="6" t="n">
        <v>41.85</v>
      </c>
      <c r="E3584" s="6" t="n">
        <v>1231709.74</v>
      </c>
      <c r="F3584" s="6">
        <f>ROUND(E3584-E3583,2)</f>
        <v/>
      </c>
      <c r="G3584" s="6">
        <f>ROUND(F3584-D3584,2)</f>
        <v/>
      </c>
    </row>
    <row r="3585">
      <c r="A3585" t="inlineStr">
        <is>
          <t>2022-09-09</t>
        </is>
      </c>
      <c r="B3585" t="n">
        <v>3</v>
      </c>
      <c r="C3585" t="n">
        <v>3052</v>
      </c>
      <c r="D3585" s="6" t="n">
        <v>76.90000000000001</v>
      </c>
      <c r="E3585" s="6" t="n">
        <v>1231786.64</v>
      </c>
      <c r="F3585" s="6">
        <f>ROUND(E3585-E3584,2)</f>
        <v/>
      </c>
      <c r="G3585" s="6">
        <f>ROUND(F3585-D3585,2)</f>
        <v/>
      </c>
    </row>
    <row r="3586">
      <c r="A3586" t="inlineStr">
        <is>
          <t>2022-09-09</t>
        </is>
      </c>
      <c r="B3586" t="n">
        <v>4</v>
      </c>
      <c r="C3586" t="n">
        <v>3052</v>
      </c>
      <c r="D3586" s="6" t="n">
        <v>45.2</v>
      </c>
      <c r="E3586" s="6" t="n">
        <v>1231831.84</v>
      </c>
      <c r="F3586" s="6">
        <f>ROUND(E3586-E3585,2)</f>
        <v/>
      </c>
      <c r="G3586" s="6">
        <f>ROUND(F3586-D3586,2)</f>
        <v/>
      </c>
    </row>
    <row r="3587">
      <c r="A3587" t="inlineStr">
        <is>
          <t>2022-09-09</t>
        </is>
      </c>
      <c r="B3587" t="n">
        <v>5</v>
      </c>
      <c r="C3587" t="n">
        <v>3052</v>
      </c>
      <c r="D3587" s="6" t="n">
        <v>82.40000000000001</v>
      </c>
      <c r="E3587" s="6" t="n">
        <v>1231914.24</v>
      </c>
      <c r="F3587" s="6">
        <f>ROUND(E3587-E3586,2)</f>
        <v/>
      </c>
      <c r="G3587" s="6">
        <f>ROUND(F3587-D3587,2)</f>
        <v/>
      </c>
    </row>
    <row r="3588">
      <c r="A3588" t="inlineStr">
        <is>
          <t>2022-09-09</t>
        </is>
      </c>
      <c r="B3588" t="n">
        <v>6</v>
      </c>
      <c r="C3588" t="n">
        <v>3052</v>
      </c>
      <c r="D3588" s="6" t="n">
        <v>27.4</v>
      </c>
      <c r="E3588" s="6" t="n">
        <v>1231941.64</v>
      </c>
      <c r="F3588" s="6">
        <f>ROUND(E3588-E3587,2)</f>
        <v/>
      </c>
      <c r="G3588" s="6">
        <f>ROUND(F3588-D3588,2)</f>
        <v/>
      </c>
    </row>
    <row r="3589">
      <c r="A3589" t="inlineStr">
        <is>
          <t>2022-09-09</t>
        </is>
      </c>
      <c r="B3589" t="n">
        <v>7</v>
      </c>
      <c r="C3589" t="n">
        <v>3052</v>
      </c>
      <c r="D3589" s="6" t="n">
        <v>81.8</v>
      </c>
      <c r="E3589" s="6" t="n">
        <v>1232023.44</v>
      </c>
      <c r="F3589" s="6">
        <f>ROUND(E3589-E3588,2)</f>
        <v/>
      </c>
      <c r="G3589" s="6">
        <f>ROUND(F3589-D3589,2)</f>
        <v/>
      </c>
    </row>
    <row r="3590">
      <c r="A3590" t="inlineStr">
        <is>
          <t>2022-09-09</t>
        </is>
      </c>
      <c r="B3590" t="n">
        <v>8</v>
      </c>
      <c r="C3590" t="n">
        <v>3052</v>
      </c>
      <c r="D3590" s="6" t="n">
        <v>207</v>
      </c>
      <c r="E3590" s="6" t="n">
        <v>1232230.44</v>
      </c>
      <c r="F3590" s="6">
        <f>ROUND(E3590-E3589,2)</f>
        <v/>
      </c>
      <c r="G3590" s="6">
        <f>ROUND(F3590-D3590,2)</f>
        <v/>
      </c>
    </row>
    <row r="3591">
      <c r="A3591" t="inlineStr">
        <is>
          <t>2022-09-09</t>
        </is>
      </c>
      <c r="B3591" t="n">
        <v>9</v>
      </c>
      <c r="C3591" t="n">
        <v>3052</v>
      </c>
      <c r="D3591" s="6" t="n">
        <v>70.59999999999999</v>
      </c>
      <c r="E3591" s="6" t="n">
        <v>1232301.04</v>
      </c>
      <c r="F3591" s="6">
        <f>ROUND(E3591-E3590,2)</f>
        <v/>
      </c>
      <c r="G3591" s="6">
        <f>ROUND(F3591-D3591,2)</f>
        <v/>
      </c>
    </row>
    <row r="3592">
      <c r="A3592" t="inlineStr">
        <is>
          <t>2022-09-09</t>
        </is>
      </c>
      <c r="B3592" t="n">
        <v>10</v>
      </c>
      <c r="C3592" t="n">
        <v>3052</v>
      </c>
      <c r="D3592" s="6" t="n">
        <v>75.7</v>
      </c>
      <c r="E3592" s="6" t="n">
        <v>1232376.74</v>
      </c>
      <c r="F3592" s="6">
        <f>ROUND(E3592-E3591,2)</f>
        <v/>
      </c>
      <c r="G3592" s="6">
        <f>ROUND(F3592-D3592,2)</f>
        <v/>
      </c>
    </row>
    <row r="3593">
      <c r="A3593" t="inlineStr">
        <is>
          <t>2022-09-09</t>
        </is>
      </c>
      <c r="B3593" t="n">
        <v>11</v>
      </c>
      <c r="C3593" t="n">
        <v>3052</v>
      </c>
      <c r="D3593" s="6" t="n">
        <v>38.3</v>
      </c>
      <c r="E3593" s="6" t="n">
        <v>1232415.04</v>
      </c>
      <c r="F3593" s="6">
        <f>ROUND(E3593-E3592,2)</f>
        <v/>
      </c>
      <c r="G3593" s="6">
        <f>ROUND(F3593-D3593,2)</f>
        <v/>
      </c>
    </row>
    <row r="3594">
      <c r="A3594" t="inlineStr">
        <is>
          <t>2022-09-09</t>
        </is>
      </c>
      <c r="B3594" t="n">
        <v>12</v>
      </c>
      <c r="C3594" t="n">
        <v>3052</v>
      </c>
      <c r="D3594" s="6" t="n">
        <v>38.3</v>
      </c>
      <c r="E3594" s="6" t="n">
        <v>1232453.34</v>
      </c>
      <c r="F3594" s="6">
        <f>ROUND(E3594-E3593,2)</f>
        <v/>
      </c>
      <c r="G3594" s="6">
        <f>ROUND(F3594-D3594,2)</f>
        <v/>
      </c>
    </row>
    <row r="3595">
      <c r="A3595" t="inlineStr">
        <is>
          <t>2022-09-09</t>
        </is>
      </c>
      <c r="B3595" t="n">
        <v>13</v>
      </c>
      <c r="C3595" t="n">
        <v>3052</v>
      </c>
      <c r="D3595" s="6" t="n">
        <v>63.1</v>
      </c>
      <c r="E3595" s="6" t="n">
        <v>1232516.44</v>
      </c>
      <c r="F3595" s="6">
        <f>ROUND(E3595-E3594,2)</f>
        <v/>
      </c>
      <c r="G3595" s="6">
        <f>ROUND(F3595-D3595,2)</f>
        <v/>
      </c>
    </row>
    <row r="3596">
      <c r="A3596" t="inlineStr">
        <is>
          <t>2022-09-09</t>
        </is>
      </c>
      <c r="B3596" t="n">
        <v>14</v>
      </c>
      <c r="C3596" t="n">
        <v>3052</v>
      </c>
      <c r="D3596" s="6" t="n">
        <v>89.09999999999999</v>
      </c>
      <c r="E3596" s="6" t="n">
        <v>1232605.54</v>
      </c>
      <c r="F3596" s="6">
        <f>ROUND(E3596-E3595,2)</f>
        <v/>
      </c>
      <c r="G3596" s="6">
        <f>ROUND(F3596-D3596,2)</f>
        <v/>
      </c>
    </row>
    <row r="3597">
      <c r="A3597" t="inlineStr">
        <is>
          <t>2022-09-09</t>
        </is>
      </c>
      <c r="B3597" t="n">
        <v>15</v>
      </c>
      <c r="C3597" t="n">
        <v>3052</v>
      </c>
      <c r="D3597" s="6" t="n">
        <v>58.3</v>
      </c>
      <c r="E3597" s="6" t="n">
        <v>1232663.84</v>
      </c>
      <c r="F3597" s="6">
        <f>ROUND(E3597-E3596,2)</f>
        <v/>
      </c>
      <c r="G3597" s="6">
        <f>ROUND(F3597-D3597,2)</f>
        <v/>
      </c>
    </row>
    <row r="3598">
      <c r="A3598" t="inlineStr">
        <is>
          <t>2022-09-09</t>
        </is>
      </c>
      <c r="B3598" t="n">
        <v>16</v>
      </c>
      <c r="C3598" t="n">
        <v>3052</v>
      </c>
      <c r="D3598" s="6" t="n">
        <v>82.59999999999999</v>
      </c>
      <c r="E3598" s="6" t="n">
        <v>1232746.44</v>
      </c>
      <c r="F3598" s="6">
        <f>ROUND(E3598-E3597,2)</f>
        <v/>
      </c>
      <c r="G3598" s="6">
        <f>ROUND(F3598-D3598,2)</f>
        <v/>
      </c>
    </row>
    <row r="3599">
      <c r="A3599" t="inlineStr">
        <is>
          <t>2022-09-09</t>
        </is>
      </c>
      <c r="B3599" t="n">
        <v>17</v>
      </c>
      <c r="C3599" t="n">
        <v>3052</v>
      </c>
      <c r="D3599" s="6" t="n">
        <v>88.90000000000001</v>
      </c>
      <c r="E3599" s="6" t="n">
        <v>1232835.34</v>
      </c>
      <c r="F3599" s="6">
        <f>ROUND(E3599-E3598,2)</f>
        <v/>
      </c>
      <c r="G3599" s="6">
        <f>ROUND(F3599-D3599,2)</f>
        <v/>
      </c>
    </row>
    <row r="3600">
      <c r="A3600" t="inlineStr">
        <is>
          <t>2022-09-09</t>
        </is>
      </c>
      <c r="B3600" t="n">
        <v>18</v>
      </c>
      <c r="C3600" t="n">
        <v>3052</v>
      </c>
      <c r="D3600" s="6" t="n">
        <v>139.1</v>
      </c>
      <c r="E3600" s="6" t="n">
        <v>1232974.44</v>
      </c>
      <c r="F3600" s="6">
        <f>ROUND(E3600-E3599,2)</f>
        <v/>
      </c>
      <c r="G3600" s="6">
        <f>ROUND(F3600-D3600,2)</f>
        <v/>
      </c>
    </row>
    <row r="3601">
      <c r="A3601" t="inlineStr">
        <is>
          <t>2022-09-09</t>
        </is>
      </c>
      <c r="B3601" t="n">
        <v>19</v>
      </c>
      <c r="C3601" t="n">
        <v>3052</v>
      </c>
      <c r="D3601" s="6" t="n">
        <v>102.4</v>
      </c>
      <c r="E3601" s="6" t="n">
        <v>1233076.84</v>
      </c>
      <c r="F3601" s="6">
        <f>ROUND(E3601-E3600,2)</f>
        <v/>
      </c>
      <c r="G3601" s="6">
        <f>ROUND(F3601-D3601,2)</f>
        <v/>
      </c>
    </row>
    <row r="3602">
      <c r="A3602" t="inlineStr">
        <is>
          <t>2022-09-09</t>
        </is>
      </c>
      <c r="B3602" t="n">
        <v>20</v>
      </c>
      <c r="C3602" t="n">
        <v>3052</v>
      </c>
      <c r="D3602" s="6" t="n">
        <v>66.40000000000001</v>
      </c>
      <c r="E3602" s="6" t="n">
        <v>1233143.24</v>
      </c>
      <c r="F3602" s="6">
        <f>ROUND(E3602-E3601,2)</f>
        <v/>
      </c>
      <c r="G3602" s="6">
        <f>ROUND(F3602-D3602,2)</f>
        <v/>
      </c>
    </row>
    <row r="3603">
      <c r="A3603" t="inlineStr">
        <is>
          <t>2022-09-09</t>
        </is>
      </c>
      <c r="B3603" t="n">
        <v>21</v>
      </c>
      <c r="C3603" t="n">
        <v>3052</v>
      </c>
      <c r="D3603" s="6" t="n">
        <v>66.40000000000001</v>
      </c>
      <c r="E3603" s="6" t="n">
        <v>1233209.64</v>
      </c>
      <c r="F3603" s="6">
        <f>ROUND(E3603-E3602,2)</f>
        <v/>
      </c>
      <c r="G3603" s="6">
        <f>ROUND(F3603-D3603,2)</f>
        <v/>
      </c>
    </row>
    <row r="3604">
      <c r="A3604" t="inlineStr">
        <is>
          <t>2022-09-09</t>
        </is>
      </c>
      <c r="B3604" t="n">
        <v>22</v>
      </c>
      <c r="C3604" t="n">
        <v>3052</v>
      </c>
      <c r="D3604" s="6" t="n">
        <v>70</v>
      </c>
      <c r="E3604" s="6" t="n">
        <v>1233279.64</v>
      </c>
      <c r="F3604" s="6">
        <f>ROUND(E3604-E3603,2)</f>
        <v/>
      </c>
      <c r="G3604" s="6">
        <f>ROUND(F3604-D3604,2)</f>
        <v/>
      </c>
    </row>
    <row r="3605">
      <c r="A3605" t="inlineStr">
        <is>
          <t>2022-09-09</t>
        </is>
      </c>
      <c r="B3605" t="n">
        <v>23</v>
      </c>
      <c r="C3605" t="n">
        <v>3052</v>
      </c>
      <c r="D3605" s="6" t="n">
        <v>66.5</v>
      </c>
      <c r="E3605" s="6" t="n">
        <v>1233346.14</v>
      </c>
      <c r="F3605" s="6">
        <f>ROUND(E3605-E3604,2)</f>
        <v/>
      </c>
      <c r="G3605" s="6">
        <f>ROUND(F3605-D3605,2)</f>
        <v/>
      </c>
    </row>
    <row r="3606">
      <c r="A3606" t="inlineStr">
        <is>
          <t>2022-09-09</t>
        </is>
      </c>
      <c r="B3606" t="n">
        <v>24</v>
      </c>
      <c r="C3606" t="n">
        <v>3052</v>
      </c>
      <c r="D3606" s="6" t="n">
        <v>81.5</v>
      </c>
      <c r="E3606" s="6" t="n">
        <v>1233427.64</v>
      </c>
      <c r="F3606" s="6">
        <f>ROUND(E3606-E3605,2)</f>
        <v/>
      </c>
      <c r="G3606" s="6">
        <f>ROUND(F3606-D3606,2)</f>
        <v/>
      </c>
    </row>
    <row r="3607">
      <c r="A3607" t="inlineStr">
        <is>
          <t>2022-09-09</t>
        </is>
      </c>
      <c r="B3607" t="n">
        <v>25</v>
      </c>
      <c r="C3607" t="n">
        <v>3052</v>
      </c>
      <c r="D3607" s="6" t="n">
        <v>126.6</v>
      </c>
      <c r="E3607" s="6" t="n">
        <v>1233554.24</v>
      </c>
      <c r="F3607" s="6">
        <f>ROUND(E3607-E3606,2)</f>
        <v/>
      </c>
      <c r="G3607" s="6">
        <f>ROUND(F3607-D3607,2)</f>
        <v/>
      </c>
    </row>
    <row r="3608">
      <c r="A3608" t="inlineStr">
        <is>
          <t>2022-09-10</t>
        </is>
      </c>
      <c r="B3608" t="n">
        <v>1</v>
      </c>
      <c r="C3608" t="n">
        <v>3053</v>
      </c>
      <c r="D3608" s="6" t="n">
        <v>55</v>
      </c>
      <c r="E3608" s="6" t="n">
        <v>1233609.24</v>
      </c>
      <c r="F3608" s="6">
        <f>ROUND(E3608-E3607,2)</f>
        <v/>
      </c>
      <c r="G3608" s="6">
        <f>ROUND(F3608-D3608,2)</f>
        <v/>
      </c>
    </row>
    <row r="3609">
      <c r="A3609" t="inlineStr">
        <is>
          <t>2022-09-10</t>
        </is>
      </c>
      <c r="B3609" t="n">
        <v>2</v>
      </c>
      <c r="C3609" t="n">
        <v>3053</v>
      </c>
      <c r="D3609" s="6" t="n">
        <v>91.3</v>
      </c>
      <c r="E3609" s="6" t="n">
        <v>1233700.54</v>
      </c>
      <c r="F3609" s="6">
        <f>ROUND(E3609-E3608,2)</f>
        <v/>
      </c>
      <c r="G3609" s="6">
        <f>ROUND(F3609-D3609,2)</f>
        <v/>
      </c>
    </row>
    <row r="3610">
      <c r="A3610" t="inlineStr">
        <is>
          <t>2022-09-10</t>
        </is>
      </c>
      <c r="B3610" t="n">
        <v>3</v>
      </c>
      <c r="C3610" t="n">
        <v>3053</v>
      </c>
      <c r="D3610" s="6" t="n">
        <v>46.7</v>
      </c>
      <c r="E3610" s="6" t="n">
        <v>1233747.24</v>
      </c>
      <c r="F3610" s="6">
        <f>ROUND(E3610-E3609,2)</f>
        <v/>
      </c>
      <c r="G3610" s="6">
        <f>ROUND(F3610-D3610,2)</f>
        <v/>
      </c>
    </row>
    <row r="3611">
      <c r="A3611" t="inlineStr">
        <is>
          <t>2022-09-10</t>
        </is>
      </c>
      <c r="B3611" t="n">
        <v>4</v>
      </c>
      <c r="C3611" t="n">
        <v>3053</v>
      </c>
      <c r="D3611" s="6" t="n">
        <v>66.8</v>
      </c>
      <c r="E3611" s="6" t="n">
        <v>1233814.04</v>
      </c>
      <c r="F3611" s="6">
        <f>ROUND(E3611-E3610,2)</f>
        <v/>
      </c>
      <c r="G3611" s="6">
        <f>ROUND(F3611-D3611,2)</f>
        <v/>
      </c>
    </row>
    <row r="3612">
      <c r="A3612" t="inlineStr">
        <is>
          <t>2022-09-10</t>
        </is>
      </c>
      <c r="B3612" t="n">
        <v>5</v>
      </c>
      <c r="C3612" t="n">
        <v>3053</v>
      </c>
      <c r="D3612" s="6" t="n">
        <v>58.2</v>
      </c>
      <c r="E3612" s="6" t="n">
        <v>1233872.24</v>
      </c>
      <c r="F3612" s="6">
        <f>ROUND(E3612-E3611,2)</f>
        <v/>
      </c>
      <c r="G3612" s="6">
        <f>ROUND(F3612-D3612,2)</f>
        <v/>
      </c>
    </row>
    <row r="3613">
      <c r="A3613" t="inlineStr">
        <is>
          <t>2022-09-10</t>
        </is>
      </c>
      <c r="B3613" t="n">
        <v>6</v>
      </c>
      <c r="C3613" t="n">
        <v>3053</v>
      </c>
      <c r="D3613" s="6" t="n">
        <v>53.8</v>
      </c>
      <c r="E3613" s="6" t="n">
        <v>1233926.04</v>
      </c>
      <c r="F3613" s="6">
        <f>ROUND(E3613-E3612,2)</f>
        <v/>
      </c>
      <c r="G3613" s="6">
        <f>ROUND(F3613-D3613,2)</f>
        <v/>
      </c>
    </row>
    <row r="3614">
      <c r="A3614" t="inlineStr">
        <is>
          <t>2022-09-10</t>
        </is>
      </c>
      <c r="B3614" t="n">
        <v>7</v>
      </c>
      <c r="C3614" t="n">
        <v>3053</v>
      </c>
      <c r="D3614" s="6" t="n">
        <v>97.09999999999999</v>
      </c>
      <c r="E3614" s="6" t="n">
        <v>1234023.14</v>
      </c>
      <c r="F3614" s="6">
        <f>ROUND(E3614-E3613,2)</f>
        <v/>
      </c>
      <c r="G3614" s="6">
        <f>ROUND(F3614-D3614,2)</f>
        <v/>
      </c>
    </row>
    <row r="3615">
      <c r="A3615" t="inlineStr">
        <is>
          <t>2022-09-10</t>
        </is>
      </c>
      <c r="B3615" t="n">
        <v>8</v>
      </c>
      <c r="C3615" t="n">
        <v>3053</v>
      </c>
      <c r="D3615" s="6" t="n">
        <v>65.5</v>
      </c>
      <c r="E3615" s="6" t="n">
        <v>1234088.64</v>
      </c>
      <c r="F3615" s="6">
        <f>ROUND(E3615-E3614,2)</f>
        <v/>
      </c>
      <c r="G3615" s="6">
        <f>ROUND(F3615-D3615,2)</f>
        <v/>
      </c>
    </row>
    <row r="3616">
      <c r="A3616" t="inlineStr">
        <is>
          <t>2022-09-10</t>
        </is>
      </c>
      <c r="B3616" t="n">
        <v>9</v>
      </c>
      <c r="C3616" t="n">
        <v>3053</v>
      </c>
      <c r="D3616" s="6" t="n">
        <v>51.7</v>
      </c>
      <c r="E3616" s="6" t="n">
        <v>1234140.34</v>
      </c>
      <c r="F3616" s="6">
        <f>ROUND(E3616-E3615,2)</f>
        <v/>
      </c>
      <c r="G3616" s="6">
        <f>ROUND(F3616-D3616,2)</f>
        <v/>
      </c>
    </row>
    <row r="3617">
      <c r="A3617" t="inlineStr">
        <is>
          <t>2022-09-10</t>
        </is>
      </c>
      <c r="B3617" t="n">
        <v>10</v>
      </c>
      <c r="C3617" t="n">
        <v>3053</v>
      </c>
      <c r="D3617" s="6" t="n">
        <v>70.09999999999999</v>
      </c>
      <c r="E3617" s="6" t="n">
        <v>1234210.44</v>
      </c>
      <c r="F3617" s="6">
        <f>ROUND(E3617-E3616,2)</f>
        <v/>
      </c>
      <c r="G3617" s="6">
        <f>ROUND(F3617-D3617,2)</f>
        <v/>
      </c>
    </row>
    <row r="3618">
      <c r="A3618" t="inlineStr">
        <is>
          <t>2022-09-10</t>
        </is>
      </c>
      <c r="B3618" t="n">
        <v>11</v>
      </c>
      <c r="C3618" t="n">
        <v>3053</v>
      </c>
      <c r="D3618" s="6" t="n">
        <v>69.3</v>
      </c>
      <c r="E3618" s="6" t="n">
        <v>1234279.74</v>
      </c>
      <c r="F3618" s="6">
        <f>ROUND(E3618-E3617,2)</f>
        <v/>
      </c>
      <c r="G3618" s="6">
        <f>ROUND(F3618-D3618,2)</f>
        <v/>
      </c>
    </row>
    <row r="3619">
      <c r="A3619" t="inlineStr">
        <is>
          <t>2022-09-10</t>
        </is>
      </c>
      <c r="B3619" t="n">
        <v>12</v>
      </c>
      <c r="C3619" t="n">
        <v>3053</v>
      </c>
      <c r="D3619" s="6" t="n">
        <v>42.8</v>
      </c>
      <c r="E3619" s="6" t="n">
        <v>1234322.54</v>
      </c>
      <c r="F3619" s="6">
        <f>ROUND(E3619-E3618,2)</f>
        <v/>
      </c>
      <c r="G3619" s="6">
        <f>ROUND(F3619-D3619,2)</f>
        <v/>
      </c>
    </row>
    <row r="3620">
      <c r="A3620" t="inlineStr">
        <is>
          <t>2022-09-10</t>
        </is>
      </c>
      <c r="B3620" t="n">
        <v>13</v>
      </c>
      <c r="C3620" t="n">
        <v>3053</v>
      </c>
      <c r="D3620" s="6" t="n">
        <v>49.3</v>
      </c>
      <c r="E3620" s="6" t="n">
        <v>1234371.84</v>
      </c>
      <c r="F3620" s="6">
        <f>ROUND(E3620-E3619,2)</f>
        <v/>
      </c>
      <c r="G3620" s="6">
        <f>ROUND(F3620-D3620,2)</f>
        <v/>
      </c>
    </row>
    <row r="3621">
      <c r="A3621" t="inlineStr">
        <is>
          <t>2022-09-10</t>
        </is>
      </c>
      <c r="B3621" t="n">
        <v>14</v>
      </c>
      <c r="C3621" t="n">
        <v>3053</v>
      </c>
      <c r="D3621" s="6" t="n">
        <v>49.3</v>
      </c>
      <c r="E3621" s="6" t="n">
        <v>1234421.14</v>
      </c>
      <c r="F3621" s="6">
        <f>ROUND(E3621-E3620,2)</f>
        <v/>
      </c>
      <c r="G3621" s="6">
        <f>ROUND(F3621-D3621,2)</f>
        <v/>
      </c>
    </row>
    <row r="3622">
      <c r="A3622" t="inlineStr">
        <is>
          <t>2022-09-10</t>
        </is>
      </c>
      <c r="B3622" t="n">
        <v>15</v>
      </c>
      <c r="C3622" t="n">
        <v>3053</v>
      </c>
      <c r="D3622" s="6" t="n">
        <v>56.8</v>
      </c>
      <c r="E3622" s="6" t="n">
        <v>1234477.94</v>
      </c>
      <c r="F3622" s="6">
        <f>ROUND(E3622-E3621,2)</f>
        <v/>
      </c>
      <c r="G3622" s="6">
        <f>ROUND(F3622-D3622,2)</f>
        <v/>
      </c>
    </row>
    <row r="3623">
      <c r="A3623" t="inlineStr">
        <is>
          <t>2022-09-10</t>
        </is>
      </c>
      <c r="B3623" t="n">
        <v>16</v>
      </c>
      <c r="C3623" t="n">
        <v>3053</v>
      </c>
      <c r="D3623" s="6" t="n">
        <v>33.2</v>
      </c>
      <c r="E3623" s="6" t="n">
        <v>1234511.14</v>
      </c>
      <c r="F3623" s="6">
        <f>ROUND(E3623-E3622,2)</f>
        <v/>
      </c>
      <c r="G3623" s="6">
        <f>ROUND(F3623-D3623,2)</f>
        <v/>
      </c>
    </row>
    <row r="3624">
      <c r="A3624" t="inlineStr">
        <is>
          <t>2022-09-10</t>
        </is>
      </c>
      <c r="B3624" t="n">
        <v>17</v>
      </c>
      <c r="C3624" t="n">
        <v>3053</v>
      </c>
      <c r="D3624" s="6" t="n">
        <v>33.2</v>
      </c>
      <c r="E3624" s="6" t="n">
        <v>1234544.34</v>
      </c>
      <c r="F3624" s="6">
        <f>ROUND(E3624-E3623,2)</f>
        <v/>
      </c>
      <c r="G3624" s="6">
        <f>ROUND(F3624-D3624,2)</f>
        <v/>
      </c>
    </row>
    <row r="3625">
      <c r="A3625" t="inlineStr">
        <is>
          <t>2022-09-10</t>
        </is>
      </c>
      <c r="B3625" t="n">
        <v>18</v>
      </c>
      <c r="C3625" t="n">
        <v>3053</v>
      </c>
      <c r="D3625" s="6" t="n">
        <v>158.6</v>
      </c>
      <c r="E3625" s="6" t="n">
        <v>1234702.94</v>
      </c>
      <c r="F3625" s="6">
        <f>ROUND(E3625-E3624,2)</f>
        <v/>
      </c>
      <c r="G3625" s="6">
        <f>ROUND(F3625-D3625,2)</f>
        <v/>
      </c>
    </row>
    <row r="3626">
      <c r="A3626" t="inlineStr">
        <is>
          <t>2022-09-10</t>
        </is>
      </c>
      <c r="B3626" t="n">
        <v>19</v>
      </c>
      <c r="C3626" t="n">
        <v>3053</v>
      </c>
      <c r="D3626" s="6" t="n">
        <v>157.4</v>
      </c>
      <c r="E3626" s="6" t="n">
        <v>1234860.34</v>
      </c>
      <c r="F3626" s="6">
        <f>ROUND(E3626-E3625,2)</f>
        <v/>
      </c>
      <c r="G3626" s="6">
        <f>ROUND(F3626-D3626,2)</f>
        <v/>
      </c>
    </row>
    <row r="3627">
      <c r="A3627" t="inlineStr">
        <is>
          <t>2022-09-10</t>
        </is>
      </c>
      <c r="B3627" t="n">
        <v>20</v>
      </c>
      <c r="C3627" t="n">
        <v>3053</v>
      </c>
      <c r="D3627" s="6" t="n">
        <v>68.5</v>
      </c>
      <c r="E3627" s="6" t="n">
        <v>1234928.84</v>
      </c>
      <c r="F3627" s="6">
        <f>ROUND(E3627-E3626,2)</f>
        <v/>
      </c>
      <c r="G3627" s="6">
        <f>ROUND(F3627-D3627,2)</f>
        <v/>
      </c>
    </row>
    <row r="3628">
      <c r="A3628" t="inlineStr">
        <is>
          <t>2022-09-10</t>
        </is>
      </c>
      <c r="B3628" t="n">
        <v>21</v>
      </c>
      <c r="C3628" t="n">
        <v>3053</v>
      </c>
      <c r="D3628" s="6" t="n">
        <v>85.3</v>
      </c>
      <c r="E3628" s="6" t="n">
        <v>1235014.14</v>
      </c>
      <c r="F3628" s="6">
        <f>ROUND(E3628-E3627,2)</f>
        <v/>
      </c>
      <c r="G3628" s="6">
        <f>ROUND(F3628-D3628,2)</f>
        <v/>
      </c>
    </row>
    <row r="3629">
      <c r="A3629" t="inlineStr">
        <is>
          <t>2022-09-10</t>
        </is>
      </c>
      <c r="B3629" t="n">
        <v>22</v>
      </c>
      <c r="C3629" t="n">
        <v>3053</v>
      </c>
      <c r="D3629" s="6" t="n">
        <v>68.3</v>
      </c>
      <c r="E3629" s="6" t="n">
        <v>1235082.44</v>
      </c>
      <c r="F3629" s="6">
        <f>ROUND(E3629-E3628,2)</f>
        <v/>
      </c>
      <c r="G3629" s="6">
        <f>ROUND(F3629-D3629,2)</f>
        <v/>
      </c>
    </row>
    <row r="3630">
      <c r="A3630" t="inlineStr">
        <is>
          <t>2022-09-10</t>
        </is>
      </c>
      <c r="B3630" t="n">
        <v>23</v>
      </c>
      <c r="C3630" t="n">
        <v>3053</v>
      </c>
      <c r="D3630" s="6" t="n">
        <v>78.3</v>
      </c>
      <c r="E3630" s="6" t="n">
        <v>1235160.74</v>
      </c>
      <c r="F3630" s="6">
        <f>ROUND(E3630-E3629,2)</f>
        <v/>
      </c>
      <c r="G3630" s="6">
        <f>ROUND(F3630-D3630,2)</f>
        <v/>
      </c>
    </row>
    <row r="3631">
      <c r="A3631" t="inlineStr">
        <is>
          <t>2022-09-10</t>
        </is>
      </c>
      <c r="B3631" t="n">
        <v>24</v>
      </c>
      <c r="C3631" t="n">
        <v>3053</v>
      </c>
      <c r="D3631" s="6" t="n">
        <v>143.1</v>
      </c>
      <c r="E3631" s="6" t="n">
        <v>1235303.84</v>
      </c>
      <c r="F3631" s="6">
        <f>ROUND(E3631-E3630,2)</f>
        <v/>
      </c>
      <c r="G3631" s="6">
        <f>ROUND(F3631-D3631,2)</f>
        <v/>
      </c>
    </row>
    <row r="3632">
      <c r="A3632" t="inlineStr">
        <is>
          <t>2022-09-10</t>
        </is>
      </c>
      <c r="B3632" t="n">
        <v>25</v>
      </c>
      <c r="C3632" t="n">
        <v>3053</v>
      </c>
      <c r="D3632" s="6" t="n">
        <v>88.59999999999999</v>
      </c>
      <c r="E3632" s="6" t="n">
        <v>1235392.44</v>
      </c>
      <c r="F3632" s="6">
        <f>ROUND(E3632-E3631,2)</f>
        <v/>
      </c>
      <c r="G3632" s="6">
        <f>ROUND(F3632-D3632,2)</f>
        <v/>
      </c>
    </row>
    <row r="3633">
      <c r="A3633" t="inlineStr">
        <is>
          <t>2022-09-10</t>
        </is>
      </c>
      <c r="B3633" t="n">
        <v>26</v>
      </c>
      <c r="C3633" t="n">
        <v>3053</v>
      </c>
      <c r="D3633" s="6" t="n">
        <v>80</v>
      </c>
      <c r="E3633" s="6" t="n">
        <v>1235472.44</v>
      </c>
      <c r="F3633" s="6">
        <f>ROUND(E3633-E3632,2)</f>
        <v/>
      </c>
      <c r="G3633" s="6">
        <f>ROUND(F3633-D3633,2)</f>
        <v/>
      </c>
    </row>
    <row r="3634">
      <c r="A3634" t="inlineStr">
        <is>
          <t>2022-09-10</t>
        </is>
      </c>
      <c r="B3634" t="n">
        <v>27</v>
      </c>
      <c r="C3634" t="n">
        <v>3053</v>
      </c>
      <c r="D3634" s="6" t="n">
        <v>112.2</v>
      </c>
      <c r="E3634" s="6" t="n">
        <v>1235584.64</v>
      </c>
      <c r="F3634" s="6">
        <f>ROUND(E3634-E3633,2)</f>
        <v/>
      </c>
      <c r="G3634" s="6">
        <f>ROUND(F3634-D3634,2)</f>
        <v/>
      </c>
    </row>
    <row r="3635">
      <c r="A3635" t="inlineStr">
        <is>
          <t>2022-09-10</t>
        </is>
      </c>
      <c r="B3635" t="n">
        <v>28</v>
      </c>
      <c r="C3635" t="n">
        <v>3053</v>
      </c>
      <c r="D3635" s="6" t="n">
        <v>58.8</v>
      </c>
      <c r="E3635" s="6" t="n">
        <v>1235643.44</v>
      </c>
      <c r="F3635" s="6">
        <f>ROUND(E3635-E3634,2)</f>
        <v/>
      </c>
      <c r="G3635" s="6">
        <f>ROUND(F3635-D3635,2)</f>
        <v/>
      </c>
    </row>
    <row r="3636">
      <c r="A3636" t="inlineStr">
        <is>
          <t>2022-09-10</t>
        </is>
      </c>
      <c r="B3636" t="n">
        <v>29</v>
      </c>
      <c r="C3636" t="n">
        <v>3053</v>
      </c>
      <c r="D3636" s="6" t="n">
        <v>160</v>
      </c>
      <c r="E3636" s="6" t="n">
        <v>1235803.44</v>
      </c>
      <c r="F3636" s="6">
        <f>ROUND(E3636-E3635,2)</f>
        <v/>
      </c>
      <c r="G3636" s="6">
        <f>ROUND(F3636-D3636,2)</f>
        <v/>
      </c>
    </row>
    <row r="3637">
      <c r="A3637" t="inlineStr">
        <is>
          <t>2022-09-11</t>
        </is>
      </c>
      <c r="B3637" t="n">
        <v>1</v>
      </c>
      <c r="C3637" t="n">
        <v>3054</v>
      </c>
      <c r="D3637" s="6" t="n">
        <v>69.40000000000001</v>
      </c>
      <c r="E3637" s="6" t="n">
        <v>1235872.84</v>
      </c>
      <c r="F3637" s="6">
        <f>ROUND(E3637-E3636,2)</f>
        <v/>
      </c>
      <c r="G3637" s="6">
        <f>ROUND(F3637-D3637,2)</f>
        <v/>
      </c>
    </row>
    <row r="3638">
      <c r="A3638" t="inlineStr">
        <is>
          <t>2022-09-11</t>
        </is>
      </c>
      <c r="B3638" t="n">
        <v>2</v>
      </c>
      <c r="C3638" t="n">
        <v>3054</v>
      </c>
      <c r="D3638" s="6" t="n">
        <v>132.9</v>
      </c>
      <c r="E3638" s="6" t="n">
        <v>1236005.74</v>
      </c>
      <c r="F3638" s="6">
        <f>ROUND(E3638-E3637,2)</f>
        <v/>
      </c>
      <c r="G3638" s="6">
        <f>ROUND(F3638-D3638,2)</f>
        <v/>
      </c>
    </row>
    <row r="3639">
      <c r="A3639" t="inlineStr">
        <is>
          <t>2022-09-11</t>
        </is>
      </c>
      <c r="B3639" t="n">
        <v>3</v>
      </c>
      <c r="C3639" t="n">
        <v>3054</v>
      </c>
      <c r="D3639" s="6" t="n">
        <v>100.4</v>
      </c>
      <c r="E3639" s="6" t="n">
        <v>1236106.14</v>
      </c>
      <c r="F3639" s="6">
        <f>ROUND(E3639-E3638,2)</f>
        <v/>
      </c>
      <c r="G3639" s="6">
        <f>ROUND(F3639-D3639,2)</f>
        <v/>
      </c>
    </row>
    <row r="3640">
      <c r="A3640" t="inlineStr">
        <is>
          <t>2022-09-11</t>
        </is>
      </c>
      <c r="B3640" t="n">
        <v>4</v>
      </c>
      <c r="C3640" t="n">
        <v>3054</v>
      </c>
      <c r="D3640" s="6" t="n">
        <v>87.09999999999999</v>
      </c>
      <c r="E3640" s="6" t="n">
        <v>1236193.24</v>
      </c>
      <c r="F3640" s="6">
        <f>ROUND(E3640-E3639,2)</f>
        <v/>
      </c>
      <c r="G3640" s="6">
        <f>ROUND(F3640-D3640,2)</f>
        <v/>
      </c>
    </row>
    <row r="3641">
      <c r="A3641" t="inlineStr">
        <is>
          <t>2022-09-11</t>
        </is>
      </c>
      <c r="B3641" t="n">
        <v>5</v>
      </c>
      <c r="C3641" t="n">
        <v>3054</v>
      </c>
      <c r="D3641" s="6" t="n">
        <v>77.8</v>
      </c>
      <c r="E3641" s="6" t="n">
        <v>1236271.04</v>
      </c>
      <c r="F3641" s="6">
        <f>ROUND(E3641-E3640,2)</f>
        <v/>
      </c>
      <c r="G3641" s="6">
        <f>ROUND(F3641-D3641,2)</f>
        <v/>
      </c>
    </row>
    <row r="3642">
      <c r="A3642" t="inlineStr">
        <is>
          <t>2022-09-11</t>
        </is>
      </c>
      <c r="B3642" t="n">
        <v>6</v>
      </c>
      <c r="C3642" t="n">
        <v>3054</v>
      </c>
      <c r="D3642" s="6" t="n">
        <v>77.09999999999999</v>
      </c>
      <c r="E3642" s="6" t="n">
        <v>1236348.14</v>
      </c>
      <c r="F3642" s="6">
        <f>ROUND(E3642-E3641,2)</f>
        <v/>
      </c>
      <c r="G3642" s="6">
        <f>ROUND(F3642-D3642,2)</f>
        <v/>
      </c>
    </row>
    <row r="3643">
      <c r="A3643" t="inlineStr">
        <is>
          <t>2022-09-11</t>
        </is>
      </c>
      <c r="B3643" t="n">
        <v>7</v>
      </c>
      <c r="C3643" t="n">
        <v>3054</v>
      </c>
      <c r="D3643" s="6" t="n">
        <v>92.8</v>
      </c>
      <c r="E3643" s="6" t="n">
        <v>1236440.94</v>
      </c>
      <c r="F3643" s="6">
        <f>ROUND(E3643-E3642,2)</f>
        <v/>
      </c>
      <c r="G3643" s="6">
        <f>ROUND(F3643-D3643,2)</f>
        <v/>
      </c>
    </row>
    <row r="3644">
      <c r="A3644" t="inlineStr">
        <is>
          <t>2022-09-11</t>
        </is>
      </c>
      <c r="B3644" t="n">
        <v>8</v>
      </c>
      <c r="C3644" t="n">
        <v>3054</v>
      </c>
      <c r="D3644" s="6" t="n">
        <v>184.8</v>
      </c>
      <c r="E3644" s="6" t="n">
        <v>1236625.74</v>
      </c>
      <c r="F3644" s="6">
        <f>ROUND(E3644-E3643,2)</f>
        <v/>
      </c>
      <c r="G3644" s="6">
        <f>ROUND(F3644-D3644,2)</f>
        <v/>
      </c>
    </row>
    <row r="3645">
      <c r="A3645" t="inlineStr">
        <is>
          <t>2022-09-11</t>
        </is>
      </c>
      <c r="B3645" t="n">
        <v>9</v>
      </c>
      <c r="C3645" t="n">
        <v>3054</v>
      </c>
      <c r="D3645" s="6" t="n">
        <v>82</v>
      </c>
      <c r="E3645" s="6" t="n">
        <v>1236707.74</v>
      </c>
      <c r="F3645" s="6">
        <f>ROUND(E3645-E3644,2)</f>
        <v/>
      </c>
      <c r="G3645" s="6">
        <f>ROUND(F3645-D3645,2)</f>
        <v/>
      </c>
    </row>
    <row r="3646">
      <c r="A3646" t="inlineStr">
        <is>
          <t>2022-09-11</t>
        </is>
      </c>
      <c r="B3646" t="n">
        <v>10</v>
      </c>
      <c r="C3646" t="n">
        <v>3054</v>
      </c>
      <c r="D3646" s="6" t="n">
        <v>82</v>
      </c>
      <c r="E3646" s="6" t="n">
        <v>1236789.74</v>
      </c>
      <c r="F3646" s="6">
        <f>ROUND(E3646-E3645,2)</f>
        <v/>
      </c>
      <c r="G3646" s="6">
        <f>ROUND(F3646-D3646,2)</f>
        <v/>
      </c>
    </row>
    <row r="3647">
      <c r="A3647" t="inlineStr">
        <is>
          <t>2022-09-11</t>
        </is>
      </c>
      <c r="B3647" t="n">
        <v>11</v>
      </c>
      <c r="C3647" t="n">
        <v>3054</v>
      </c>
      <c r="D3647" s="6" t="n">
        <v>108.9</v>
      </c>
      <c r="E3647" s="6" t="n">
        <v>1236898.64</v>
      </c>
      <c r="F3647" s="6">
        <f>ROUND(E3647-E3646,2)</f>
        <v/>
      </c>
      <c r="G3647" s="6">
        <f>ROUND(F3647-D3647,2)</f>
        <v/>
      </c>
    </row>
    <row r="3648">
      <c r="A3648" t="inlineStr">
        <is>
          <t>2022-09-11</t>
        </is>
      </c>
      <c r="B3648" t="n">
        <v>12</v>
      </c>
      <c r="C3648" t="n">
        <v>3054</v>
      </c>
      <c r="D3648" s="6" t="n">
        <v>21.8</v>
      </c>
      <c r="E3648" s="6" t="n">
        <v>1236920.44</v>
      </c>
      <c r="F3648" s="6">
        <f>ROUND(E3648-E3647,2)</f>
        <v/>
      </c>
      <c r="G3648" s="6">
        <f>ROUND(F3648-D3648,2)</f>
        <v/>
      </c>
    </row>
    <row r="3649">
      <c r="A3649" t="inlineStr">
        <is>
          <t>2022-09-11</t>
        </is>
      </c>
      <c r="B3649" t="n">
        <v>13</v>
      </c>
      <c r="C3649" t="n">
        <v>3054</v>
      </c>
      <c r="D3649" s="6" t="n">
        <v>88</v>
      </c>
      <c r="E3649" s="6" t="n">
        <v>1237008.44</v>
      </c>
      <c r="F3649" s="6">
        <f>ROUND(E3649-E3648,2)</f>
        <v/>
      </c>
      <c r="G3649" s="6">
        <f>ROUND(F3649-D3649,2)</f>
        <v/>
      </c>
    </row>
    <row r="3650">
      <c r="A3650" t="inlineStr">
        <is>
          <t>2022-09-11</t>
        </is>
      </c>
      <c r="B3650" t="n">
        <v>14</v>
      </c>
      <c r="C3650" t="n">
        <v>3054</v>
      </c>
      <c r="D3650" s="6" t="n">
        <v>288.3</v>
      </c>
      <c r="E3650" s="6" t="n">
        <v>1237296.74</v>
      </c>
      <c r="F3650" s="6">
        <f>ROUND(E3650-E3649,2)</f>
        <v/>
      </c>
      <c r="G3650" s="6">
        <f>ROUND(F3650-D3650,2)</f>
        <v/>
      </c>
    </row>
    <row r="3651">
      <c r="A3651" t="inlineStr">
        <is>
          <t>2022-09-11</t>
        </is>
      </c>
      <c r="B3651" t="n">
        <v>15</v>
      </c>
      <c r="C3651" t="n">
        <v>3054</v>
      </c>
      <c r="D3651" s="6" t="n">
        <v>95.59999999999999</v>
      </c>
      <c r="E3651" s="6" t="n">
        <v>1237392.34</v>
      </c>
      <c r="F3651" s="6">
        <f>ROUND(E3651-E3650,2)</f>
        <v/>
      </c>
      <c r="G3651" s="6">
        <f>ROUND(F3651-D3651,2)</f>
        <v/>
      </c>
    </row>
    <row r="3652">
      <c r="A3652" t="inlineStr">
        <is>
          <t>2022-09-11</t>
        </is>
      </c>
      <c r="B3652" t="n">
        <v>16</v>
      </c>
      <c r="C3652" t="n">
        <v>3054</v>
      </c>
      <c r="D3652" s="6" t="n">
        <v>74.3</v>
      </c>
      <c r="E3652" s="6" t="n">
        <v>1237466.64</v>
      </c>
      <c r="F3652" s="6">
        <f>ROUND(E3652-E3651,2)</f>
        <v/>
      </c>
      <c r="G3652" s="6">
        <f>ROUND(F3652-D3652,2)</f>
        <v/>
      </c>
    </row>
    <row r="3653">
      <c r="A3653" t="inlineStr">
        <is>
          <t>2022-09-11</t>
        </is>
      </c>
      <c r="B3653" t="n">
        <v>17</v>
      </c>
      <c r="C3653" t="n">
        <v>3054</v>
      </c>
      <c r="D3653" s="6" t="n">
        <v>74.59999999999999</v>
      </c>
      <c r="E3653" s="6" t="n">
        <v>1237541.24</v>
      </c>
      <c r="F3653" s="6">
        <f>ROUND(E3653-E3652,2)</f>
        <v/>
      </c>
      <c r="G3653" s="6">
        <f>ROUND(F3653-D3653,2)</f>
        <v/>
      </c>
    </row>
    <row r="3654">
      <c r="A3654" t="inlineStr">
        <is>
          <t>2022-09-11</t>
        </is>
      </c>
      <c r="B3654" t="n">
        <v>18</v>
      </c>
      <c r="C3654" t="n">
        <v>3054</v>
      </c>
      <c r="D3654" s="6" t="n">
        <v>65.40000000000001</v>
      </c>
      <c r="E3654" s="6" t="n">
        <v>1237606.64</v>
      </c>
      <c r="F3654" s="6">
        <f>ROUND(E3654-E3653,2)</f>
        <v/>
      </c>
      <c r="G3654" s="6">
        <f>ROUND(F3654-D3654,2)</f>
        <v/>
      </c>
    </row>
    <row r="3655">
      <c r="A3655" t="inlineStr">
        <is>
          <t>2022-09-11</t>
        </is>
      </c>
      <c r="B3655" t="n">
        <v>19</v>
      </c>
      <c r="C3655" t="n">
        <v>3054</v>
      </c>
      <c r="D3655" s="6" t="n">
        <v>157.8</v>
      </c>
      <c r="E3655" s="6" t="n">
        <v>1237764.44</v>
      </c>
      <c r="F3655" s="6">
        <f>ROUND(E3655-E3654,2)</f>
        <v/>
      </c>
      <c r="G3655" s="6">
        <f>ROUND(F3655-D3655,2)</f>
        <v/>
      </c>
    </row>
    <row r="3656">
      <c r="A3656" t="inlineStr">
        <is>
          <t>2022-09-11</t>
        </is>
      </c>
      <c r="B3656" t="n">
        <v>20</v>
      </c>
      <c r="C3656" t="n">
        <v>3054</v>
      </c>
      <c r="D3656" s="6" t="n">
        <v>74.40000000000001</v>
      </c>
      <c r="E3656" s="6" t="n">
        <v>1237838.84</v>
      </c>
      <c r="F3656" s="6">
        <f>ROUND(E3656-E3655,2)</f>
        <v/>
      </c>
      <c r="G3656" s="6">
        <f>ROUND(F3656-D3656,2)</f>
        <v/>
      </c>
    </row>
    <row r="3657">
      <c r="A3657" t="inlineStr">
        <is>
          <t>2022-09-11</t>
        </is>
      </c>
      <c r="B3657" t="n">
        <v>21</v>
      </c>
      <c r="C3657" t="n">
        <v>3054</v>
      </c>
      <c r="D3657" s="6" t="n">
        <v>82</v>
      </c>
      <c r="E3657" s="6" t="n">
        <v>1237920.84</v>
      </c>
      <c r="F3657" s="6">
        <f>ROUND(E3657-E3656,2)</f>
        <v/>
      </c>
      <c r="G3657" s="6">
        <f>ROUND(F3657-D3657,2)</f>
        <v/>
      </c>
    </row>
    <row r="3658">
      <c r="A3658" t="inlineStr">
        <is>
          <t>2022-09-11</t>
        </is>
      </c>
      <c r="B3658" t="n">
        <v>22</v>
      </c>
      <c r="C3658" t="n">
        <v>3054</v>
      </c>
      <c r="D3658" s="6" t="n">
        <v>61.3</v>
      </c>
      <c r="E3658" s="6" t="n">
        <v>1237982.14</v>
      </c>
      <c r="F3658" s="6">
        <f>ROUND(E3658-E3657,2)</f>
        <v/>
      </c>
      <c r="G3658" s="6">
        <f>ROUND(F3658-D3658,2)</f>
        <v/>
      </c>
    </row>
    <row r="3659">
      <c r="A3659" t="inlineStr">
        <is>
          <t>2022-09-11</t>
        </is>
      </c>
      <c r="B3659" t="n">
        <v>23</v>
      </c>
      <c r="C3659" t="n">
        <v>3054</v>
      </c>
      <c r="D3659" s="6" t="n">
        <v>82.7</v>
      </c>
      <c r="E3659" s="6" t="n">
        <v>1238064.84</v>
      </c>
      <c r="F3659" s="6">
        <f>ROUND(E3659-E3658,2)</f>
        <v/>
      </c>
      <c r="G3659" s="6">
        <f>ROUND(F3659-D3659,2)</f>
        <v/>
      </c>
    </row>
    <row r="3660">
      <c r="A3660" t="inlineStr">
        <is>
          <t>2022-09-11</t>
        </is>
      </c>
      <c r="B3660" t="n">
        <v>24</v>
      </c>
      <c r="C3660" t="n">
        <v>3054</v>
      </c>
      <c r="D3660" s="6" t="n">
        <v>75.5</v>
      </c>
      <c r="E3660" s="6" t="n">
        <v>1238140.34</v>
      </c>
      <c r="F3660" s="6">
        <f>ROUND(E3660-E3659,2)</f>
        <v/>
      </c>
      <c r="G3660" s="6">
        <f>ROUND(F3660-D3660,2)</f>
        <v/>
      </c>
    </row>
    <row r="3661">
      <c r="A3661" t="inlineStr">
        <is>
          <t>2022-09-11</t>
        </is>
      </c>
      <c r="B3661" t="n">
        <v>25</v>
      </c>
      <c r="C3661" t="n">
        <v>3054</v>
      </c>
      <c r="D3661" s="6" t="n">
        <v>39.1</v>
      </c>
      <c r="E3661" s="6" t="n">
        <v>1238179.44</v>
      </c>
      <c r="F3661" s="6">
        <f>ROUND(E3661-E3660,2)</f>
        <v/>
      </c>
      <c r="G3661" s="6">
        <f>ROUND(F3661-D3661,2)</f>
        <v/>
      </c>
    </row>
    <row r="3662">
      <c r="A3662" t="inlineStr">
        <is>
          <t>2022-09-11</t>
        </is>
      </c>
      <c r="B3662" t="n">
        <v>26</v>
      </c>
      <c r="C3662" t="n">
        <v>3054</v>
      </c>
      <c r="D3662" s="6" t="n">
        <v>56.1</v>
      </c>
      <c r="E3662" s="6" t="n">
        <v>1238235.54</v>
      </c>
      <c r="F3662" s="6">
        <f>ROUND(E3662-E3661,2)</f>
        <v/>
      </c>
      <c r="G3662" s="6">
        <f>ROUND(F3662-D3662,2)</f>
        <v/>
      </c>
    </row>
    <row r="3663">
      <c r="A3663" t="inlineStr">
        <is>
          <t>2022-09-11</t>
        </is>
      </c>
      <c r="B3663" t="n">
        <v>27</v>
      </c>
      <c r="C3663" t="n">
        <v>3054</v>
      </c>
      <c r="D3663" s="6" t="n">
        <v>70.8</v>
      </c>
      <c r="E3663" s="6" t="n">
        <v>1238306.34</v>
      </c>
      <c r="F3663" s="6">
        <f>ROUND(E3663-E3662,2)</f>
        <v/>
      </c>
      <c r="G3663" s="6">
        <f>ROUND(F3663-D3663,2)</f>
        <v/>
      </c>
    </row>
    <row r="3664">
      <c r="A3664" t="inlineStr">
        <is>
          <t>2022-09-11</t>
        </is>
      </c>
      <c r="B3664" t="n">
        <v>28</v>
      </c>
      <c r="C3664" t="n">
        <v>3054</v>
      </c>
      <c r="D3664" s="6" t="n">
        <v>100.5</v>
      </c>
      <c r="E3664" s="6" t="n">
        <v>1238406.84</v>
      </c>
      <c r="F3664" s="6">
        <f>ROUND(E3664-E3663,2)</f>
        <v/>
      </c>
      <c r="G3664" s="6">
        <f>ROUND(F3664-D3664,2)</f>
        <v/>
      </c>
    </row>
    <row r="3665">
      <c r="A3665" t="inlineStr">
        <is>
          <t>2022-09-14</t>
        </is>
      </c>
      <c r="B3665" t="n">
        <v>1</v>
      </c>
      <c r="C3665" t="n">
        <v>3055</v>
      </c>
      <c r="D3665" s="6" t="n">
        <v>58</v>
      </c>
      <c r="E3665" s="6" t="n">
        <v>1238464.84</v>
      </c>
      <c r="F3665" s="6">
        <f>ROUND(E3665-E3664,2)</f>
        <v/>
      </c>
      <c r="G3665" s="6">
        <f>ROUND(F3665-D3665,2)</f>
        <v/>
      </c>
    </row>
    <row r="3666">
      <c r="A3666" t="inlineStr">
        <is>
          <t>2022-09-14</t>
        </is>
      </c>
      <c r="B3666" t="n">
        <v>2</v>
      </c>
      <c r="C3666" t="n">
        <v>3055</v>
      </c>
      <c r="D3666" s="6" t="n">
        <v>61.6</v>
      </c>
      <c r="E3666" s="6" t="n">
        <v>1238526.44</v>
      </c>
      <c r="F3666" s="6">
        <f>ROUND(E3666-E3665,2)</f>
        <v/>
      </c>
      <c r="G3666" s="6">
        <f>ROUND(F3666-D3666,2)</f>
        <v/>
      </c>
    </row>
    <row r="3667">
      <c r="A3667" t="inlineStr">
        <is>
          <t>2022-09-14</t>
        </is>
      </c>
      <c r="B3667" t="n">
        <v>3</v>
      </c>
      <c r="C3667" t="n">
        <v>3055</v>
      </c>
      <c r="D3667" s="6" t="n">
        <v>100</v>
      </c>
      <c r="E3667" s="6" t="n">
        <v>1238626.44</v>
      </c>
      <c r="F3667" s="6">
        <f>ROUND(E3667-E3666,2)</f>
        <v/>
      </c>
      <c r="G3667" s="6">
        <f>ROUND(F3667-D3667,2)</f>
        <v/>
      </c>
    </row>
    <row r="3668">
      <c r="A3668" t="inlineStr">
        <is>
          <t>2022-09-14</t>
        </is>
      </c>
      <c r="B3668" t="n">
        <v>4</v>
      </c>
      <c r="C3668" t="n">
        <v>3055</v>
      </c>
      <c r="D3668" s="6" t="n">
        <v>66.40000000000001</v>
      </c>
      <c r="E3668" s="6" t="n">
        <v>1238692.84</v>
      </c>
      <c r="F3668" s="6">
        <f>ROUND(E3668-E3667,2)</f>
        <v/>
      </c>
      <c r="G3668" s="6">
        <f>ROUND(F3668-D3668,2)</f>
        <v/>
      </c>
    </row>
    <row r="3669">
      <c r="A3669" t="inlineStr">
        <is>
          <t>2022-09-14</t>
        </is>
      </c>
      <c r="B3669" t="n">
        <v>5</v>
      </c>
      <c r="C3669" t="n">
        <v>3055</v>
      </c>
      <c r="D3669" s="6" t="n">
        <v>79.2</v>
      </c>
      <c r="E3669" s="6" t="n">
        <v>1238772.04</v>
      </c>
      <c r="F3669" s="6">
        <f>ROUND(E3669-E3668,2)</f>
        <v/>
      </c>
      <c r="G3669" s="6">
        <f>ROUND(F3669-D3669,2)</f>
        <v/>
      </c>
    </row>
    <row r="3670">
      <c r="A3670" t="inlineStr">
        <is>
          <t>2022-09-14</t>
        </is>
      </c>
      <c r="B3670" t="n">
        <v>6</v>
      </c>
      <c r="C3670" t="n">
        <v>3055</v>
      </c>
      <c r="D3670" s="6" t="n">
        <v>122.5</v>
      </c>
      <c r="E3670" s="6" t="n">
        <v>1238894.54</v>
      </c>
      <c r="F3670" s="6">
        <f>ROUND(E3670-E3669,2)</f>
        <v/>
      </c>
      <c r="G3670" s="6">
        <f>ROUND(F3670-D3670,2)</f>
        <v/>
      </c>
    </row>
    <row r="3671">
      <c r="A3671" t="inlineStr">
        <is>
          <t>2022-09-14</t>
        </is>
      </c>
      <c r="B3671" t="n">
        <v>7</v>
      </c>
      <c r="C3671" t="n">
        <v>3055</v>
      </c>
      <c r="D3671" s="6" t="n">
        <v>50.7</v>
      </c>
      <c r="E3671" s="6" t="n">
        <v>1238945.24</v>
      </c>
      <c r="F3671" s="6">
        <f>ROUND(E3671-E3670,2)</f>
        <v/>
      </c>
      <c r="G3671" s="6">
        <f>ROUND(F3671-D3671,2)</f>
        <v/>
      </c>
    </row>
    <row r="3672">
      <c r="A3672" t="inlineStr">
        <is>
          <t>2022-09-14</t>
        </is>
      </c>
      <c r="B3672" t="n">
        <v>8</v>
      </c>
      <c r="C3672" t="n">
        <v>3055</v>
      </c>
      <c r="D3672" s="6" t="n">
        <v>69.40000000000001</v>
      </c>
      <c r="E3672" s="6" t="n">
        <v>1239014.64</v>
      </c>
      <c r="F3672" s="6">
        <f>ROUND(E3672-E3671,2)</f>
        <v/>
      </c>
      <c r="G3672" s="6">
        <f>ROUND(F3672-D3672,2)</f>
        <v/>
      </c>
    </row>
    <row r="3673">
      <c r="A3673" t="inlineStr">
        <is>
          <t>2022-09-14</t>
        </is>
      </c>
      <c r="B3673" t="n">
        <v>9</v>
      </c>
      <c r="C3673" t="n">
        <v>3055</v>
      </c>
      <c r="D3673" s="6" t="n">
        <v>90.2</v>
      </c>
      <c r="E3673" s="6" t="n">
        <v>1239104.84</v>
      </c>
      <c r="F3673" s="6">
        <f>ROUND(E3673-E3672,2)</f>
        <v/>
      </c>
      <c r="G3673" s="6">
        <f>ROUND(F3673-D3673,2)</f>
        <v/>
      </c>
    </row>
    <row r="3674">
      <c r="A3674" t="inlineStr">
        <is>
          <t>2022-09-14</t>
        </is>
      </c>
      <c r="B3674" t="n">
        <v>10</v>
      </c>
      <c r="C3674" t="n">
        <v>3055</v>
      </c>
      <c r="D3674" s="6" t="n">
        <v>89.2</v>
      </c>
      <c r="E3674" s="6" t="n">
        <v>1239194.04</v>
      </c>
      <c r="F3674" s="6">
        <f>ROUND(E3674-E3673,2)</f>
        <v/>
      </c>
      <c r="G3674" s="6">
        <f>ROUND(F3674-D3674,2)</f>
        <v/>
      </c>
    </row>
    <row r="3675">
      <c r="A3675" t="inlineStr">
        <is>
          <t>2022-09-14</t>
        </is>
      </c>
      <c r="B3675" t="n">
        <v>11</v>
      </c>
      <c r="C3675" t="n">
        <v>3055</v>
      </c>
      <c r="D3675" s="6" t="n">
        <v>29.9</v>
      </c>
      <c r="E3675" s="6" t="n">
        <v>1239223.94</v>
      </c>
      <c r="F3675" s="6">
        <f>ROUND(E3675-E3674,2)</f>
        <v/>
      </c>
      <c r="G3675" s="6">
        <f>ROUND(F3675-D3675,2)</f>
        <v/>
      </c>
    </row>
    <row r="3676">
      <c r="A3676" t="inlineStr">
        <is>
          <t>2022-09-14</t>
        </is>
      </c>
      <c r="B3676" t="n">
        <v>12</v>
      </c>
      <c r="C3676" t="n">
        <v>3055</v>
      </c>
      <c r="D3676" s="6" t="n">
        <v>29.9</v>
      </c>
      <c r="E3676" s="6" t="n">
        <v>1239253.84</v>
      </c>
      <c r="F3676" s="6">
        <f>ROUND(E3676-E3675,2)</f>
        <v/>
      </c>
      <c r="G3676" s="6">
        <f>ROUND(F3676-D3676,2)</f>
        <v/>
      </c>
    </row>
    <row r="3677">
      <c r="A3677" t="inlineStr">
        <is>
          <t>2022-09-14</t>
        </is>
      </c>
      <c r="B3677" t="n">
        <v>13</v>
      </c>
      <c r="C3677" t="n">
        <v>3055</v>
      </c>
      <c r="D3677" s="6" t="n">
        <v>40.5</v>
      </c>
      <c r="E3677" s="6" t="n">
        <v>1239294.34</v>
      </c>
      <c r="F3677" s="6">
        <f>ROUND(E3677-E3676,2)</f>
        <v/>
      </c>
      <c r="G3677" s="6">
        <f>ROUND(F3677-D3677,2)</f>
        <v/>
      </c>
    </row>
    <row r="3678">
      <c r="A3678" t="inlineStr">
        <is>
          <t>2022-09-14</t>
        </is>
      </c>
      <c r="B3678" t="n">
        <v>14</v>
      </c>
      <c r="C3678" t="n">
        <v>3055</v>
      </c>
      <c r="D3678" s="6" t="n">
        <v>64.7</v>
      </c>
      <c r="E3678" s="6" t="n">
        <v>1239359.04</v>
      </c>
      <c r="F3678" s="6">
        <f>ROUND(E3678-E3677,2)</f>
        <v/>
      </c>
      <c r="G3678" s="6">
        <f>ROUND(F3678-D3678,2)</f>
        <v/>
      </c>
    </row>
    <row r="3679">
      <c r="A3679" t="inlineStr">
        <is>
          <t>2022-09-14</t>
        </is>
      </c>
      <c r="B3679" t="n">
        <v>15</v>
      </c>
      <c r="C3679" t="n">
        <v>3055</v>
      </c>
      <c r="D3679" s="6" t="n">
        <v>27.35</v>
      </c>
      <c r="E3679" s="6" t="n">
        <v>1239386.39</v>
      </c>
      <c r="F3679" s="6">
        <f>ROUND(E3679-E3678,2)</f>
        <v/>
      </c>
      <c r="G3679" s="6">
        <f>ROUND(F3679-D3679,2)</f>
        <v/>
      </c>
    </row>
    <row r="3680">
      <c r="A3680" t="inlineStr">
        <is>
          <t>2022-09-14</t>
        </is>
      </c>
      <c r="B3680" t="n">
        <v>16</v>
      </c>
      <c r="C3680" t="n">
        <v>3055</v>
      </c>
      <c r="D3680" s="6" t="n">
        <v>27.35</v>
      </c>
      <c r="E3680" s="6" t="n">
        <v>1239413.74</v>
      </c>
      <c r="F3680" s="6">
        <f>ROUND(E3680-E3679,2)</f>
        <v/>
      </c>
      <c r="G3680" s="6">
        <f>ROUND(F3680-D3680,2)</f>
        <v/>
      </c>
    </row>
    <row r="3681">
      <c r="A3681" t="inlineStr">
        <is>
          <t>2022-09-14</t>
        </is>
      </c>
      <c r="B3681" t="n">
        <v>17</v>
      </c>
      <c r="C3681" t="n">
        <v>3055</v>
      </c>
      <c r="D3681" s="6" t="n">
        <v>31.8</v>
      </c>
      <c r="E3681" s="6" t="n">
        <v>1239445.54</v>
      </c>
      <c r="F3681" s="6">
        <f>ROUND(E3681-E3680,2)</f>
        <v/>
      </c>
      <c r="G3681" s="6">
        <f>ROUND(F3681-D3681,2)</f>
        <v/>
      </c>
    </row>
    <row r="3682">
      <c r="A3682" t="inlineStr">
        <is>
          <t>2022-09-14</t>
        </is>
      </c>
      <c r="B3682" t="n">
        <v>18</v>
      </c>
      <c r="C3682" t="n">
        <v>3055</v>
      </c>
      <c r="D3682" s="6" t="n">
        <v>54</v>
      </c>
      <c r="E3682" s="6" t="n">
        <v>1239499.54</v>
      </c>
      <c r="F3682" s="6">
        <f>ROUND(E3682-E3681,2)</f>
        <v/>
      </c>
      <c r="G3682" s="6">
        <f>ROUND(F3682-D3682,2)</f>
        <v/>
      </c>
    </row>
    <row r="3683">
      <c r="A3683" t="inlineStr">
        <is>
          <t>2022-09-14</t>
        </is>
      </c>
      <c r="B3683" t="n">
        <v>19</v>
      </c>
      <c r="C3683" t="n">
        <v>3055</v>
      </c>
      <c r="D3683" s="6" t="n">
        <v>49.2</v>
      </c>
      <c r="E3683" s="6" t="n">
        <v>1239548.74</v>
      </c>
      <c r="F3683" s="6">
        <f>ROUND(E3683-E3682,2)</f>
        <v/>
      </c>
      <c r="G3683" s="6">
        <f>ROUND(F3683-D3683,2)</f>
        <v/>
      </c>
    </row>
    <row r="3684">
      <c r="A3684" t="inlineStr">
        <is>
          <t>2022-09-14</t>
        </is>
      </c>
      <c r="B3684" t="n">
        <v>20</v>
      </c>
      <c r="C3684" t="n">
        <v>3055</v>
      </c>
      <c r="D3684" s="6" t="n">
        <v>73.2</v>
      </c>
      <c r="E3684" s="6" t="n">
        <v>1239621.94</v>
      </c>
      <c r="F3684" s="6">
        <f>ROUND(E3684-E3683,2)</f>
        <v/>
      </c>
      <c r="G3684" s="6">
        <f>ROUND(F3684-D3684,2)</f>
        <v/>
      </c>
    </row>
    <row r="3685">
      <c r="A3685" t="inlineStr">
        <is>
          <t>2022-09-14</t>
        </is>
      </c>
      <c r="B3685" t="n">
        <v>21</v>
      </c>
      <c r="C3685" t="n">
        <v>3055</v>
      </c>
      <c r="D3685" s="6" t="n">
        <v>55.9</v>
      </c>
      <c r="E3685" s="6" t="n">
        <v>1239677.84</v>
      </c>
      <c r="F3685" s="6">
        <f>ROUND(E3685-E3684,2)</f>
        <v/>
      </c>
      <c r="G3685" s="6">
        <f>ROUND(F3685-D3685,2)</f>
        <v/>
      </c>
    </row>
    <row r="3686">
      <c r="A3686" t="inlineStr">
        <is>
          <t>2022-09-14</t>
        </is>
      </c>
      <c r="B3686" t="n">
        <v>22</v>
      </c>
      <c r="C3686" t="n">
        <v>3055</v>
      </c>
      <c r="D3686" s="6" t="n">
        <v>118.8</v>
      </c>
      <c r="E3686" s="6" t="n">
        <v>1239796.64</v>
      </c>
      <c r="F3686" s="6">
        <f>ROUND(E3686-E3685,2)</f>
        <v/>
      </c>
      <c r="G3686" s="6">
        <f>ROUND(F3686-D3686,2)</f>
        <v/>
      </c>
    </row>
    <row r="3687">
      <c r="A3687" t="inlineStr">
        <is>
          <t>2022-09-14</t>
        </is>
      </c>
      <c r="B3687" t="n">
        <v>23</v>
      </c>
      <c r="C3687" t="n">
        <v>3055</v>
      </c>
      <c r="D3687" s="6" t="n">
        <v>79.5</v>
      </c>
      <c r="E3687" s="6" t="n">
        <v>1239876.14</v>
      </c>
      <c r="F3687" s="6">
        <f>ROUND(E3687-E3686,2)</f>
        <v/>
      </c>
      <c r="G3687" s="6">
        <f>ROUND(F3687-D3687,2)</f>
        <v/>
      </c>
    </row>
    <row r="3688">
      <c r="A3688" t="inlineStr">
        <is>
          <t>2022-09-14</t>
        </is>
      </c>
      <c r="B3688" t="n">
        <v>24</v>
      </c>
      <c r="C3688" t="n">
        <v>3055</v>
      </c>
      <c r="D3688" s="6" t="n">
        <v>5</v>
      </c>
      <c r="E3688" s="6" t="n">
        <v>1239881.14</v>
      </c>
      <c r="F3688" s="6">
        <f>ROUND(E3688-E3687,2)</f>
        <v/>
      </c>
      <c r="G3688" s="6">
        <f>ROUND(F3688-D3688,2)</f>
        <v/>
      </c>
    </row>
    <row r="3689">
      <c r="A3689" t="inlineStr">
        <is>
          <t>2022-09-15</t>
        </is>
      </c>
      <c r="B3689" t="n">
        <v>1</v>
      </c>
      <c r="C3689" t="n">
        <v>3056</v>
      </c>
      <c r="D3689" s="6" t="n">
        <v>62.8</v>
      </c>
      <c r="E3689" s="6" t="n">
        <v>1239943.94</v>
      </c>
      <c r="F3689" s="6">
        <f>ROUND(E3689-E3688,2)</f>
        <v/>
      </c>
      <c r="G3689" s="6">
        <f>ROUND(F3689-D3689,2)</f>
        <v/>
      </c>
    </row>
    <row r="3690">
      <c r="A3690" t="inlineStr">
        <is>
          <t>2022-09-15</t>
        </is>
      </c>
      <c r="B3690" t="n">
        <v>2</v>
      </c>
      <c r="C3690" t="n">
        <v>3056</v>
      </c>
      <c r="D3690" s="6" t="n">
        <v>58.9</v>
      </c>
      <c r="E3690" s="6" t="n">
        <v>1240002.84</v>
      </c>
      <c r="F3690" s="6">
        <f>ROUND(E3690-E3689,2)</f>
        <v/>
      </c>
      <c r="G3690" s="6">
        <f>ROUND(F3690-D3690,2)</f>
        <v/>
      </c>
    </row>
    <row r="3691">
      <c r="A3691" t="inlineStr">
        <is>
          <t>2022-09-15</t>
        </is>
      </c>
      <c r="B3691" t="n">
        <v>3</v>
      </c>
      <c r="C3691" t="n">
        <v>3056</v>
      </c>
      <c r="D3691" s="6" t="n">
        <v>19.9</v>
      </c>
      <c r="E3691" s="6" t="n">
        <v>1240022.74</v>
      </c>
      <c r="F3691" s="6">
        <f>ROUND(E3691-E3690,2)</f>
        <v/>
      </c>
      <c r="G3691" s="6">
        <f>ROUND(F3691-D3691,2)</f>
        <v/>
      </c>
    </row>
    <row r="3692">
      <c r="A3692" t="inlineStr">
        <is>
          <t>2022-09-15</t>
        </is>
      </c>
      <c r="B3692" t="n">
        <v>4</v>
      </c>
      <c r="C3692" t="n">
        <v>3056</v>
      </c>
      <c r="D3692" s="6" t="n">
        <v>19.9</v>
      </c>
      <c r="E3692" s="6" t="n">
        <v>1240042.64</v>
      </c>
      <c r="F3692" s="6">
        <f>ROUND(E3692-E3691,2)</f>
        <v/>
      </c>
      <c r="G3692" s="6">
        <f>ROUND(F3692-D3692,2)</f>
        <v/>
      </c>
    </row>
    <row r="3693">
      <c r="A3693" t="inlineStr">
        <is>
          <t>2022-09-15</t>
        </is>
      </c>
      <c r="B3693" t="n">
        <v>5</v>
      </c>
      <c r="C3693" t="n">
        <v>3056</v>
      </c>
      <c r="D3693" s="6" t="n">
        <v>80.5</v>
      </c>
      <c r="E3693" s="6" t="n">
        <v>1240123.14</v>
      </c>
      <c r="F3693" s="6">
        <f>ROUND(E3693-E3692,2)</f>
        <v/>
      </c>
      <c r="G3693" s="6">
        <f>ROUND(F3693-D3693,2)</f>
        <v/>
      </c>
    </row>
    <row r="3694">
      <c r="A3694" t="inlineStr">
        <is>
          <t>2022-09-15</t>
        </is>
      </c>
      <c r="B3694" t="n">
        <v>6</v>
      </c>
      <c r="C3694" t="n">
        <v>3056</v>
      </c>
      <c r="D3694" s="6" t="n">
        <v>40.5</v>
      </c>
      <c r="E3694" s="6" t="n">
        <v>1240163.64</v>
      </c>
      <c r="F3694" s="6">
        <f>ROUND(E3694-E3693,2)</f>
        <v/>
      </c>
      <c r="G3694" s="6">
        <f>ROUND(F3694-D3694,2)</f>
        <v/>
      </c>
    </row>
    <row r="3695">
      <c r="A3695" t="inlineStr">
        <is>
          <t>2022-09-15</t>
        </is>
      </c>
      <c r="B3695" t="n">
        <v>7</v>
      </c>
      <c r="C3695" t="n">
        <v>3056</v>
      </c>
      <c r="D3695" s="6" t="n">
        <v>94.59999999999999</v>
      </c>
      <c r="E3695" s="6" t="n">
        <v>1240258.24</v>
      </c>
      <c r="F3695" s="6">
        <f>ROUND(E3695-E3694,2)</f>
        <v/>
      </c>
      <c r="G3695" s="6">
        <f>ROUND(F3695-D3695,2)</f>
        <v/>
      </c>
    </row>
    <row r="3696">
      <c r="A3696" t="inlineStr">
        <is>
          <t>2022-09-15</t>
        </is>
      </c>
      <c r="B3696" t="n">
        <v>8</v>
      </c>
      <c r="C3696" t="n">
        <v>3056</v>
      </c>
      <c r="D3696" s="6" t="n">
        <v>46</v>
      </c>
      <c r="E3696" s="6" t="n">
        <v>1240304.24</v>
      </c>
      <c r="F3696" s="6">
        <f>ROUND(E3696-E3695,2)</f>
        <v/>
      </c>
      <c r="G3696" s="6">
        <f>ROUND(F3696-D3696,2)</f>
        <v/>
      </c>
    </row>
    <row r="3697">
      <c r="A3697" t="inlineStr">
        <is>
          <t>2022-09-15</t>
        </is>
      </c>
      <c r="B3697" t="n">
        <v>9</v>
      </c>
      <c r="C3697" t="n">
        <v>3056</v>
      </c>
      <c r="D3697" s="6" t="n">
        <v>71.8</v>
      </c>
      <c r="E3697" s="6" t="n">
        <v>1240376.04</v>
      </c>
      <c r="F3697" s="6">
        <f>ROUND(E3697-E3696,2)</f>
        <v/>
      </c>
      <c r="G3697" s="6">
        <f>ROUND(F3697-D3697,2)</f>
        <v/>
      </c>
    </row>
    <row r="3698">
      <c r="A3698" t="inlineStr">
        <is>
          <t>2022-09-15</t>
        </is>
      </c>
      <c r="B3698" t="n">
        <v>10</v>
      </c>
      <c r="C3698" t="n">
        <v>3056</v>
      </c>
      <c r="D3698" s="6" t="n">
        <v>24.7</v>
      </c>
      <c r="E3698" s="6" t="n">
        <v>1240400.74</v>
      </c>
      <c r="F3698" s="6">
        <f>ROUND(E3698-E3697,2)</f>
        <v/>
      </c>
      <c r="G3698" s="6">
        <f>ROUND(F3698-D3698,2)</f>
        <v/>
      </c>
    </row>
    <row r="3699">
      <c r="A3699" t="inlineStr">
        <is>
          <t>2022-09-15</t>
        </is>
      </c>
      <c r="B3699" t="n">
        <v>11</v>
      </c>
      <c r="C3699" t="n">
        <v>3056</v>
      </c>
      <c r="D3699" s="6" t="n">
        <v>23.1</v>
      </c>
      <c r="E3699" s="6" t="n">
        <v>1240423.84</v>
      </c>
      <c r="F3699" s="6">
        <f>ROUND(E3699-E3698,2)</f>
        <v/>
      </c>
      <c r="G3699" s="6">
        <f>ROUND(F3699-D3699,2)</f>
        <v/>
      </c>
    </row>
    <row r="3700">
      <c r="A3700" t="inlineStr">
        <is>
          <t>2022-09-15</t>
        </is>
      </c>
      <c r="B3700" t="n">
        <v>12</v>
      </c>
      <c r="C3700" t="n">
        <v>3056</v>
      </c>
      <c r="D3700" s="6" t="n">
        <v>19.8</v>
      </c>
      <c r="E3700" s="6" t="n">
        <v>1240443.64</v>
      </c>
      <c r="F3700" s="6">
        <f>ROUND(E3700-E3699,2)</f>
        <v/>
      </c>
      <c r="G3700" s="6">
        <f>ROUND(F3700-D3700,2)</f>
        <v/>
      </c>
    </row>
    <row r="3701">
      <c r="A3701" t="inlineStr">
        <is>
          <t>2022-09-15</t>
        </is>
      </c>
      <c r="B3701" t="n">
        <v>13</v>
      </c>
      <c r="C3701" t="n">
        <v>3056</v>
      </c>
      <c r="D3701" s="6" t="n">
        <v>95</v>
      </c>
      <c r="E3701" s="6" t="n">
        <v>1240538.64</v>
      </c>
      <c r="F3701" s="6">
        <f>ROUND(E3701-E3700,2)</f>
        <v/>
      </c>
      <c r="G3701" s="6">
        <f>ROUND(F3701-D3701,2)</f>
        <v/>
      </c>
    </row>
    <row r="3702">
      <c r="A3702" t="inlineStr">
        <is>
          <t>2022-09-15</t>
        </is>
      </c>
      <c r="B3702" t="n">
        <v>14</v>
      </c>
      <c r="C3702" t="n">
        <v>3056</v>
      </c>
      <c r="D3702" s="6" t="n">
        <v>39.6</v>
      </c>
      <c r="E3702" s="6" t="n">
        <v>1240578.24</v>
      </c>
      <c r="F3702" s="6">
        <f>ROUND(E3702-E3701,2)</f>
        <v/>
      </c>
      <c r="G3702" s="6">
        <f>ROUND(F3702-D3702,2)</f>
        <v/>
      </c>
    </row>
    <row r="3703">
      <c r="A3703" t="inlineStr">
        <is>
          <t>2022-09-15</t>
        </is>
      </c>
      <c r="B3703" t="n">
        <v>15</v>
      </c>
      <c r="C3703" t="n">
        <v>3056</v>
      </c>
      <c r="D3703" s="6" t="n">
        <v>49.2</v>
      </c>
      <c r="E3703" s="6" t="n">
        <v>1240627.44</v>
      </c>
      <c r="F3703" s="6">
        <f>ROUND(E3703-E3702,2)</f>
        <v/>
      </c>
      <c r="G3703" s="6">
        <f>ROUND(F3703-D3703,2)</f>
        <v/>
      </c>
    </row>
    <row r="3704">
      <c r="A3704" t="inlineStr">
        <is>
          <t>2022-09-15</t>
        </is>
      </c>
      <c r="B3704" t="n">
        <v>16</v>
      </c>
      <c r="C3704" t="n">
        <v>3056</v>
      </c>
      <c r="D3704" s="6" t="n">
        <v>24.6</v>
      </c>
      <c r="E3704" s="6" t="n">
        <v>1240652.04</v>
      </c>
      <c r="F3704" s="6">
        <f>ROUND(E3704-E3703,2)</f>
        <v/>
      </c>
      <c r="G3704" s="6">
        <f>ROUND(F3704-D3704,2)</f>
        <v/>
      </c>
    </row>
    <row r="3705">
      <c r="A3705" t="inlineStr">
        <is>
          <t>2022-09-15</t>
        </is>
      </c>
      <c r="B3705" t="n">
        <v>17</v>
      </c>
      <c r="C3705" t="n">
        <v>3056</v>
      </c>
      <c r="D3705" s="6" t="n">
        <v>50.3</v>
      </c>
      <c r="E3705" s="6" t="n">
        <v>1240702.34</v>
      </c>
      <c r="F3705" s="6">
        <f>ROUND(E3705-E3704,2)</f>
        <v/>
      </c>
      <c r="G3705" s="6">
        <f>ROUND(F3705-D3705,2)</f>
        <v/>
      </c>
    </row>
    <row r="3706">
      <c r="A3706" t="inlineStr">
        <is>
          <t>2022-09-15</t>
        </is>
      </c>
      <c r="B3706" t="n">
        <v>18</v>
      </c>
      <c r="C3706" t="n">
        <v>3056</v>
      </c>
      <c r="D3706" s="6" t="n">
        <v>54.7</v>
      </c>
      <c r="E3706" s="6" t="n">
        <v>1240757.04</v>
      </c>
      <c r="F3706" s="6">
        <f>ROUND(E3706-E3705,2)</f>
        <v/>
      </c>
      <c r="G3706" s="6">
        <f>ROUND(F3706-D3706,2)</f>
        <v/>
      </c>
    </row>
    <row r="3707">
      <c r="A3707" t="inlineStr">
        <is>
          <t>2022-09-15</t>
        </is>
      </c>
      <c r="B3707" t="n">
        <v>19</v>
      </c>
      <c r="C3707" t="n">
        <v>3056</v>
      </c>
      <c r="D3707" s="6" t="n">
        <v>54.7</v>
      </c>
      <c r="E3707" s="6" t="n">
        <v>1240811.74</v>
      </c>
      <c r="F3707" s="6">
        <f>ROUND(E3707-E3706,2)</f>
        <v/>
      </c>
      <c r="G3707" s="6">
        <f>ROUND(F3707-D3707,2)</f>
        <v/>
      </c>
    </row>
    <row r="3708">
      <c r="A3708" t="inlineStr">
        <is>
          <t>2022-09-15</t>
        </is>
      </c>
      <c r="B3708" t="n">
        <v>20</v>
      </c>
      <c r="C3708" t="n">
        <v>3056</v>
      </c>
      <c r="D3708" s="6" t="n">
        <v>30.9</v>
      </c>
      <c r="E3708" s="6" t="n">
        <v>1240842.64</v>
      </c>
      <c r="F3708" s="6">
        <f>ROUND(E3708-E3707,2)</f>
        <v/>
      </c>
      <c r="G3708" s="6">
        <f>ROUND(F3708-D3708,2)</f>
        <v/>
      </c>
    </row>
    <row r="3709">
      <c r="A3709" t="inlineStr">
        <is>
          <t>2022-09-15</t>
        </is>
      </c>
      <c r="B3709" t="n">
        <v>21</v>
      </c>
      <c r="C3709" t="n">
        <v>3056</v>
      </c>
      <c r="D3709" s="6" t="n">
        <v>51.2</v>
      </c>
      <c r="E3709" s="6" t="n">
        <v>1240893.84</v>
      </c>
      <c r="F3709" s="6">
        <f>ROUND(E3709-E3708,2)</f>
        <v/>
      </c>
      <c r="G3709" s="6">
        <f>ROUND(F3709-D3709,2)</f>
        <v/>
      </c>
    </row>
    <row r="3710">
      <c r="A3710" t="inlineStr">
        <is>
          <t>2022-09-15</t>
        </is>
      </c>
      <c r="B3710" t="n">
        <v>22</v>
      </c>
      <c r="C3710" t="n">
        <v>3056</v>
      </c>
      <c r="D3710" s="6" t="n">
        <v>89.2</v>
      </c>
      <c r="E3710" s="6" t="n">
        <v>1240983.04</v>
      </c>
      <c r="F3710" s="6">
        <f>ROUND(E3710-E3709,2)</f>
        <v/>
      </c>
      <c r="G3710" s="6">
        <f>ROUND(F3710-D3710,2)</f>
        <v/>
      </c>
    </row>
    <row r="3711">
      <c r="A3711" t="inlineStr">
        <is>
          <t>2022-09-15</t>
        </is>
      </c>
      <c r="B3711" t="n">
        <v>23</v>
      </c>
      <c r="C3711" t="n">
        <v>3056</v>
      </c>
      <c r="D3711" s="6" t="n">
        <v>103.2</v>
      </c>
      <c r="E3711" s="6" t="n">
        <v>1241086.24</v>
      </c>
      <c r="F3711" s="6">
        <f>ROUND(E3711-E3710,2)</f>
        <v/>
      </c>
      <c r="G3711" s="6">
        <f>ROUND(F3711-D3711,2)</f>
        <v/>
      </c>
    </row>
    <row r="3712">
      <c r="A3712" t="inlineStr">
        <is>
          <t>2022-09-15</t>
        </is>
      </c>
      <c r="B3712" t="n">
        <v>24</v>
      </c>
      <c r="C3712" t="n">
        <v>3056</v>
      </c>
      <c r="D3712" s="6" t="n">
        <v>119.3</v>
      </c>
      <c r="E3712" s="6" t="n">
        <v>1241205.54</v>
      </c>
      <c r="F3712" s="6">
        <f>ROUND(E3712-E3711,2)</f>
        <v/>
      </c>
      <c r="G3712" s="6">
        <f>ROUND(F3712-D3712,2)</f>
        <v/>
      </c>
    </row>
    <row r="3713">
      <c r="A3713" t="inlineStr">
        <is>
          <t>2022-09-15</t>
        </is>
      </c>
      <c r="B3713" t="n">
        <v>25</v>
      </c>
      <c r="C3713" t="n">
        <v>3056</v>
      </c>
      <c r="D3713" s="6" t="n">
        <v>54.8</v>
      </c>
      <c r="E3713" s="6" t="n">
        <v>1241260.34</v>
      </c>
      <c r="F3713" s="6">
        <f>ROUND(E3713-E3712,2)</f>
        <v/>
      </c>
      <c r="G3713" s="6">
        <f>ROUND(F3713-D3713,2)</f>
        <v/>
      </c>
    </row>
    <row r="3714">
      <c r="A3714" t="inlineStr">
        <is>
          <t>2022-09-15</t>
        </is>
      </c>
      <c r="B3714" t="n">
        <v>26</v>
      </c>
      <c r="C3714" t="n">
        <v>3056</v>
      </c>
      <c r="D3714" s="6" t="n">
        <v>26.75</v>
      </c>
      <c r="E3714" s="6" t="n">
        <v>1241287.09</v>
      </c>
      <c r="F3714" s="6">
        <f>ROUND(E3714-E3713,2)</f>
        <v/>
      </c>
      <c r="G3714" s="6">
        <f>ROUND(F3714-D3714,2)</f>
        <v/>
      </c>
    </row>
    <row r="3715">
      <c r="A3715" t="inlineStr">
        <is>
          <t>2022-09-15</t>
        </is>
      </c>
      <c r="B3715" t="n">
        <v>27</v>
      </c>
      <c r="C3715" t="n">
        <v>3056</v>
      </c>
      <c r="D3715" s="6" t="n">
        <v>27.13</v>
      </c>
      <c r="E3715" s="6" t="n">
        <v>1241314.22</v>
      </c>
      <c r="F3715" s="6">
        <f>ROUND(E3715-E3714,2)</f>
        <v/>
      </c>
      <c r="G3715" s="6">
        <f>ROUND(F3715-D3715,2)</f>
        <v/>
      </c>
    </row>
    <row r="3716">
      <c r="A3716" t="inlineStr">
        <is>
          <t>2022-09-15</t>
        </is>
      </c>
      <c r="B3716" t="n">
        <v>28</v>
      </c>
      <c r="C3716" t="n">
        <v>3056</v>
      </c>
      <c r="D3716" s="6" t="n">
        <v>26.52</v>
      </c>
      <c r="E3716" s="6" t="n">
        <v>1241340.74</v>
      </c>
      <c r="F3716" s="6">
        <f>ROUND(E3716-E3715,2)</f>
        <v/>
      </c>
      <c r="G3716" s="6">
        <f>ROUND(F3716-D3716,2)</f>
        <v/>
      </c>
    </row>
    <row r="3717">
      <c r="A3717" t="inlineStr">
        <is>
          <t>2022-09-15</t>
        </is>
      </c>
      <c r="B3717" t="n">
        <v>29</v>
      </c>
      <c r="C3717" t="n">
        <v>3056</v>
      </c>
      <c r="D3717" s="6" t="n">
        <v>115.3</v>
      </c>
      <c r="E3717" s="6" t="n">
        <v>1241456.04</v>
      </c>
      <c r="F3717" s="6">
        <f>ROUND(E3717-E3716,2)</f>
        <v/>
      </c>
      <c r="G3717" s="6">
        <f>ROUND(F3717-D3717,2)</f>
        <v/>
      </c>
    </row>
    <row r="3718">
      <c r="A3718" t="inlineStr">
        <is>
          <t>2022-09-15</t>
        </is>
      </c>
      <c r="B3718" t="n">
        <v>30</v>
      </c>
      <c r="C3718" t="n">
        <v>3056</v>
      </c>
      <c r="D3718" s="6" t="n">
        <v>19.6</v>
      </c>
      <c r="E3718" s="6" t="n">
        <v>1241475.64</v>
      </c>
      <c r="F3718" s="6">
        <f>ROUND(E3718-E3717,2)</f>
        <v/>
      </c>
      <c r="G3718" s="6">
        <f>ROUND(F3718-D3718,2)</f>
        <v/>
      </c>
    </row>
    <row r="3719">
      <c r="A3719" t="inlineStr">
        <is>
          <t>2022-09-15</t>
        </is>
      </c>
      <c r="B3719" t="n">
        <v>31</v>
      </c>
      <c r="C3719" t="n">
        <v>3056</v>
      </c>
      <c r="D3719" s="6" t="n">
        <v>53</v>
      </c>
      <c r="E3719" s="6" t="n">
        <v>1241528.64</v>
      </c>
      <c r="F3719" s="6">
        <f>ROUND(E3719-E3718,2)</f>
        <v/>
      </c>
      <c r="G3719" s="6">
        <f>ROUND(F3719-D3719,2)</f>
        <v/>
      </c>
    </row>
    <row r="3720">
      <c r="A3720" t="inlineStr">
        <is>
          <t>2022-09-16</t>
        </is>
      </c>
      <c r="B3720" t="n">
        <v>1</v>
      </c>
      <c r="C3720" t="n">
        <v>3057</v>
      </c>
      <c r="D3720" s="6" t="n">
        <v>47.4</v>
      </c>
      <c r="E3720" s="6" t="n">
        <v>1241576.04</v>
      </c>
      <c r="F3720" s="6">
        <f>ROUND(E3720-E3719,2)</f>
        <v/>
      </c>
      <c r="G3720" s="6">
        <f>ROUND(F3720-D3720,2)</f>
        <v/>
      </c>
    </row>
    <row r="3721">
      <c r="A3721" t="inlineStr">
        <is>
          <t>2022-09-16</t>
        </is>
      </c>
      <c r="B3721" t="n">
        <v>2</v>
      </c>
      <c r="C3721" t="n">
        <v>3057</v>
      </c>
      <c r="D3721" s="6" t="n">
        <v>59</v>
      </c>
      <c r="E3721" s="6" t="n">
        <v>1241635.04</v>
      </c>
      <c r="F3721" s="6">
        <f>ROUND(E3721-E3720,2)</f>
        <v/>
      </c>
      <c r="G3721" s="6">
        <f>ROUND(F3721-D3721,2)</f>
        <v/>
      </c>
    </row>
    <row r="3722">
      <c r="A3722" t="inlineStr">
        <is>
          <t>2022-09-16</t>
        </is>
      </c>
      <c r="B3722" t="n">
        <v>3</v>
      </c>
      <c r="C3722" t="n">
        <v>3057</v>
      </c>
      <c r="D3722" s="6" t="n">
        <v>65</v>
      </c>
      <c r="E3722" s="6" t="n">
        <v>1241700.04</v>
      </c>
      <c r="F3722" s="6">
        <f>ROUND(E3722-E3721,2)</f>
        <v/>
      </c>
      <c r="G3722" s="6">
        <f>ROUND(F3722-D3722,2)</f>
        <v/>
      </c>
    </row>
    <row r="3723">
      <c r="A3723" t="inlineStr">
        <is>
          <t>2022-09-16</t>
        </is>
      </c>
      <c r="B3723" t="n">
        <v>4</v>
      </c>
      <c r="C3723" t="n">
        <v>3057</v>
      </c>
      <c r="D3723" s="6" t="n">
        <v>22.9</v>
      </c>
      <c r="E3723" s="6" t="n">
        <v>1241722.94</v>
      </c>
      <c r="F3723" s="6">
        <f>ROUND(E3723-E3722,2)</f>
        <v/>
      </c>
      <c r="G3723" s="6">
        <f>ROUND(F3723-D3723,2)</f>
        <v/>
      </c>
    </row>
    <row r="3724">
      <c r="A3724" t="inlineStr">
        <is>
          <t>2022-09-16</t>
        </is>
      </c>
      <c r="B3724" t="n">
        <v>5</v>
      </c>
      <c r="C3724" t="n">
        <v>3057</v>
      </c>
      <c r="D3724" s="6" t="n">
        <v>17.7</v>
      </c>
      <c r="E3724" s="6" t="n">
        <v>1241740.64</v>
      </c>
      <c r="F3724" s="6">
        <f>ROUND(E3724-E3723,2)</f>
        <v/>
      </c>
      <c r="G3724" s="6">
        <f>ROUND(F3724-D3724,2)</f>
        <v/>
      </c>
    </row>
    <row r="3725">
      <c r="A3725" t="inlineStr">
        <is>
          <t>2022-09-16</t>
        </is>
      </c>
      <c r="B3725" t="n">
        <v>6</v>
      </c>
      <c r="C3725" t="n">
        <v>3057</v>
      </c>
      <c r="D3725" s="6" t="n">
        <v>77.2</v>
      </c>
      <c r="E3725" s="6" t="n">
        <v>1241817.84</v>
      </c>
      <c r="F3725" s="6">
        <f>ROUND(E3725-E3724,2)</f>
        <v/>
      </c>
      <c r="G3725" s="6">
        <f>ROUND(F3725-D3725,2)</f>
        <v/>
      </c>
    </row>
    <row r="3726">
      <c r="A3726" t="inlineStr">
        <is>
          <t>2022-09-16</t>
        </is>
      </c>
      <c r="B3726" t="n">
        <v>7</v>
      </c>
      <c r="C3726" t="n">
        <v>3057</v>
      </c>
      <c r="D3726" s="6" t="n">
        <v>39.6</v>
      </c>
      <c r="E3726" s="6" t="n">
        <v>1241857.44</v>
      </c>
      <c r="F3726" s="6">
        <f>ROUND(E3726-E3725,2)</f>
        <v/>
      </c>
      <c r="G3726" s="6">
        <f>ROUND(F3726-D3726,2)</f>
        <v/>
      </c>
    </row>
    <row r="3727">
      <c r="A3727" t="inlineStr">
        <is>
          <t>2022-09-16</t>
        </is>
      </c>
      <c r="B3727" t="n">
        <v>8</v>
      </c>
      <c r="C3727" t="n">
        <v>3057</v>
      </c>
      <c r="D3727" s="6" t="n">
        <v>64</v>
      </c>
      <c r="E3727" s="6" t="n">
        <v>1241921.44</v>
      </c>
      <c r="F3727" s="6">
        <f>ROUND(E3727-E3726,2)</f>
        <v/>
      </c>
      <c r="G3727" s="6">
        <f>ROUND(F3727-D3727,2)</f>
        <v/>
      </c>
    </row>
    <row r="3728">
      <c r="A3728" t="inlineStr">
        <is>
          <t>2022-09-16</t>
        </is>
      </c>
      <c r="B3728" t="n">
        <v>9</v>
      </c>
      <c r="C3728" t="n">
        <v>3057</v>
      </c>
      <c r="D3728" s="6" t="n">
        <v>18.1</v>
      </c>
      <c r="E3728" s="6" t="n">
        <v>1241939.54</v>
      </c>
      <c r="F3728" s="6">
        <f>ROUND(E3728-E3727,2)</f>
        <v/>
      </c>
      <c r="G3728" s="6">
        <f>ROUND(F3728-D3728,2)</f>
        <v/>
      </c>
    </row>
    <row r="3729">
      <c r="A3729" t="inlineStr">
        <is>
          <t>2022-09-16</t>
        </is>
      </c>
      <c r="B3729" t="n">
        <v>10</v>
      </c>
      <c r="C3729" t="n">
        <v>3057</v>
      </c>
      <c r="D3729" s="6" t="n">
        <v>66</v>
      </c>
      <c r="E3729" s="6" t="n">
        <v>1242005.54</v>
      </c>
      <c r="F3729" s="6">
        <f>ROUND(E3729-E3728,2)</f>
        <v/>
      </c>
      <c r="G3729" s="6">
        <f>ROUND(F3729-D3729,2)</f>
        <v/>
      </c>
    </row>
    <row r="3730">
      <c r="A3730" t="inlineStr">
        <is>
          <t>2022-09-16</t>
        </is>
      </c>
      <c r="B3730" t="n">
        <v>11</v>
      </c>
      <c r="C3730" t="n">
        <v>3057</v>
      </c>
      <c r="D3730" s="6" t="n">
        <v>45.8</v>
      </c>
      <c r="E3730" s="6" t="n">
        <v>1242051.34</v>
      </c>
      <c r="F3730" s="6">
        <f>ROUND(E3730-E3729,2)</f>
        <v/>
      </c>
      <c r="G3730" s="6">
        <f>ROUND(F3730-D3730,2)</f>
        <v/>
      </c>
    </row>
    <row r="3731">
      <c r="A3731" t="inlineStr">
        <is>
          <t>2022-09-16</t>
        </is>
      </c>
      <c r="B3731" t="n">
        <v>12</v>
      </c>
      <c r="C3731" t="n">
        <v>3057</v>
      </c>
      <c r="D3731" s="6" t="n">
        <v>66.09999999999999</v>
      </c>
      <c r="E3731" s="6" t="n">
        <v>1242117.44</v>
      </c>
      <c r="F3731" s="6">
        <f>ROUND(E3731-E3730,2)</f>
        <v/>
      </c>
      <c r="G3731" s="6">
        <f>ROUND(F3731-D3731,2)</f>
        <v/>
      </c>
    </row>
    <row r="3732">
      <c r="A3732" t="inlineStr">
        <is>
          <t>2022-09-16</t>
        </is>
      </c>
      <c r="B3732" t="n">
        <v>13</v>
      </c>
      <c r="C3732" t="n">
        <v>3057</v>
      </c>
      <c r="D3732" s="6" t="n">
        <v>44.4</v>
      </c>
      <c r="E3732" s="6" t="n">
        <v>1242161.84</v>
      </c>
      <c r="F3732" s="6">
        <f>ROUND(E3732-E3731,2)</f>
        <v/>
      </c>
      <c r="G3732" s="6">
        <f>ROUND(F3732-D3732,2)</f>
        <v/>
      </c>
    </row>
    <row r="3733">
      <c r="A3733" t="inlineStr">
        <is>
          <t>2022-09-16</t>
        </is>
      </c>
      <c r="B3733" t="n">
        <v>14</v>
      </c>
      <c r="C3733" t="n">
        <v>3057</v>
      </c>
      <c r="D3733" s="6" t="n">
        <v>69.09999999999999</v>
      </c>
      <c r="E3733" s="6" t="n">
        <v>1242230.94</v>
      </c>
      <c r="F3733" s="6">
        <f>ROUND(E3733-E3732,2)</f>
        <v/>
      </c>
      <c r="G3733" s="6">
        <f>ROUND(F3733-D3733,2)</f>
        <v/>
      </c>
    </row>
    <row r="3734">
      <c r="A3734" t="inlineStr">
        <is>
          <t>2022-09-16</t>
        </is>
      </c>
      <c r="B3734" t="n">
        <v>15</v>
      </c>
      <c r="C3734" t="n">
        <v>3057</v>
      </c>
      <c r="D3734" s="6" t="n">
        <v>69.59999999999999</v>
      </c>
      <c r="E3734" s="6" t="n">
        <v>1242300.54</v>
      </c>
      <c r="F3734" s="6">
        <f>ROUND(E3734-E3733,2)</f>
        <v/>
      </c>
      <c r="G3734" s="6">
        <f>ROUND(F3734-D3734,2)</f>
        <v/>
      </c>
    </row>
    <row r="3735">
      <c r="A3735" t="inlineStr">
        <is>
          <t>2022-09-16</t>
        </is>
      </c>
      <c r="B3735" t="n">
        <v>16</v>
      </c>
      <c r="C3735" t="n">
        <v>3057</v>
      </c>
      <c r="D3735" s="6" t="n">
        <v>98.2</v>
      </c>
      <c r="E3735" s="6" t="n">
        <v>1242398.74</v>
      </c>
      <c r="F3735" s="6">
        <f>ROUND(E3735-E3734,2)</f>
        <v/>
      </c>
      <c r="G3735" s="6">
        <f>ROUND(F3735-D3735,2)</f>
        <v/>
      </c>
    </row>
    <row r="3736">
      <c r="A3736" t="inlineStr">
        <is>
          <t>2022-09-16</t>
        </is>
      </c>
      <c r="B3736" t="n">
        <v>17</v>
      </c>
      <c r="C3736" t="n">
        <v>3057</v>
      </c>
      <c r="D3736" s="6" t="n">
        <v>171.6</v>
      </c>
      <c r="E3736" s="6" t="n">
        <v>1242570.34</v>
      </c>
      <c r="F3736" s="6">
        <f>ROUND(E3736-E3735,2)</f>
        <v/>
      </c>
      <c r="G3736" s="6">
        <f>ROUND(F3736-D3736,2)</f>
        <v/>
      </c>
    </row>
    <row r="3737">
      <c r="A3737" t="inlineStr">
        <is>
          <t>2022-09-16</t>
        </is>
      </c>
      <c r="B3737" t="n">
        <v>18</v>
      </c>
      <c r="C3737" t="n">
        <v>3057</v>
      </c>
      <c r="D3737" s="6" t="n">
        <v>101</v>
      </c>
      <c r="E3737" s="6" t="n">
        <v>1242671.34</v>
      </c>
      <c r="F3737" s="6">
        <f>ROUND(E3737-E3736,2)</f>
        <v/>
      </c>
      <c r="G3737" s="6">
        <f>ROUND(F3737-D3737,2)</f>
        <v/>
      </c>
    </row>
    <row r="3738">
      <c r="A3738" t="inlineStr">
        <is>
          <t>2022-09-16</t>
        </is>
      </c>
      <c r="B3738" t="n">
        <v>19</v>
      </c>
      <c r="C3738" t="n">
        <v>3057</v>
      </c>
      <c r="D3738" s="6" t="n">
        <v>53.2</v>
      </c>
      <c r="E3738" s="6" t="n">
        <v>1242724.54</v>
      </c>
      <c r="F3738" s="6">
        <f>ROUND(E3738-E3737,2)</f>
        <v/>
      </c>
      <c r="G3738" s="6">
        <f>ROUND(F3738-D3738,2)</f>
        <v/>
      </c>
    </row>
    <row r="3739">
      <c r="A3739" t="inlineStr">
        <is>
          <t>2022-09-16</t>
        </is>
      </c>
      <c r="B3739" t="n">
        <v>20</v>
      </c>
      <c r="C3739" t="n">
        <v>3057</v>
      </c>
      <c r="D3739" s="6" t="n">
        <v>82.2</v>
      </c>
      <c r="E3739" s="6" t="n">
        <v>1242806.74</v>
      </c>
      <c r="F3739" s="6">
        <f>ROUND(E3739-E3738,2)</f>
        <v/>
      </c>
      <c r="G3739" s="6">
        <f>ROUND(F3739-D3739,2)</f>
        <v/>
      </c>
    </row>
    <row r="3740">
      <c r="A3740" t="inlineStr">
        <is>
          <t>2022-09-16</t>
        </is>
      </c>
      <c r="B3740" t="n">
        <v>21</v>
      </c>
      <c r="C3740" t="n">
        <v>3057</v>
      </c>
      <c r="D3740" s="6" t="n">
        <v>74.8</v>
      </c>
      <c r="E3740" s="6" t="n">
        <v>1242881.54</v>
      </c>
      <c r="F3740" s="6">
        <f>ROUND(E3740-E3739,2)</f>
        <v/>
      </c>
      <c r="G3740" s="6">
        <f>ROUND(F3740-D3740,2)</f>
        <v/>
      </c>
    </row>
    <row r="3741">
      <c r="A3741" t="inlineStr">
        <is>
          <t>2022-09-16</t>
        </is>
      </c>
      <c r="B3741" t="n">
        <v>22</v>
      </c>
      <c r="C3741" t="n">
        <v>3057</v>
      </c>
      <c r="D3741" s="6" t="n">
        <v>85.3</v>
      </c>
      <c r="E3741" s="6" t="n">
        <v>1242966.84</v>
      </c>
      <c r="F3741" s="6">
        <f>ROUND(E3741-E3740,2)</f>
        <v/>
      </c>
      <c r="G3741" s="6">
        <f>ROUND(F3741-D3741,2)</f>
        <v/>
      </c>
    </row>
    <row r="3742">
      <c r="A3742" t="inlineStr">
        <is>
          <t>2022-09-16</t>
        </is>
      </c>
      <c r="B3742" t="n">
        <v>23</v>
      </c>
      <c r="C3742" t="n">
        <v>3057</v>
      </c>
      <c r="D3742" s="6" t="n">
        <v>52.8</v>
      </c>
      <c r="E3742" s="6" t="n">
        <v>1243019.64</v>
      </c>
      <c r="F3742" s="6">
        <f>ROUND(E3742-E3741,2)</f>
        <v/>
      </c>
      <c r="G3742" s="6">
        <f>ROUND(F3742-D3742,2)</f>
        <v/>
      </c>
    </row>
    <row r="3743">
      <c r="A3743" t="inlineStr">
        <is>
          <t>2022-09-16</t>
        </is>
      </c>
      <c r="B3743" t="n">
        <v>24</v>
      </c>
      <c r="C3743" t="n">
        <v>3057</v>
      </c>
      <c r="D3743" s="6" t="n">
        <v>70.59999999999999</v>
      </c>
      <c r="E3743" s="6" t="n">
        <v>1243090.24</v>
      </c>
      <c r="F3743" s="6">
        <f>ROUND(E3743-E3742,2)</f>
        <v/>
      </c>
      <c r="G3743" s="6">
        <f>ROUND(F3743-D3743,2)</f>
        <v/>
      </c>
    </row>
    <row r="3744">
      <c r="A3744" t="inlineStr">
        <is>
          <t>2022-09-17</t>
        </is>
      </c>
      <c r="B3744" t="n">
        <v>1</v>
      </c>
      <c r="C3744" t="n">
        <v>3058</v>
      </c>
      <c r="D3744" s="6" t="n">
        <v>46.9</v>
      </c>
      <c r="E3744" s="6" t="n">
        <v>1243137.14</v>
      </c>
      <c r="F3744" s="6">
        <f>ROUND(E3744-E3743,2)</f>
        <v/>
      </c>
      <c r="G3744" s="6">
        <f>ROUND(F3744-D3744,2)</f>
        <v/>
      </c>
    </row>
    <row r="3745">
      <c r="A3745" t="inlineStr">
        <is>
          <t>2022-09-17</t>
        </is>
      </c>
      <c r="B3745" t="n">
        <v>2</v>
      </c>
      <c r="C3745" t="n">
        <v>3058</v>
      </c>
      <c r="D3745" s="6" t="n">
        <v>54.2</v>
      </c>
      <c r="E3745" s="6" t="n">
        <v>1243191.34</v>
      </c>
      <c r="F3745" s="6">
        <f>ROUND(E3745-E3744,2)</f>
        <v/>
      </c>
      <c r="G3745" s="6">
        <f>ROUND(F3745-D3745,2)</f>
        <v/>
      </c>
    </row>
    <row r="3746">
      <c r="A3746" t="inlineStr">
        <is>
          <t>2022-09-17</t>
        </is>
      </c>
      <c r="B3746" t="n">
        <v>3</v>
      </c>
      <c r="C3746" t="n">
        <v>3058</v>
      </c>
      <c r="D3746" s="6" t="n">
        <v>54</v>
      </c>
      <c r="E3746" s="6" t="n">
        <v>1243245.34</v>
      </c>
      <c r="F3746" s="6">
        <f>ROUND(E3746-E3745,2)</f>
        <v/>
      </c>
      <c r="G3746" s="6">
        <f>ROUND(F3746-D3746,2)</f>
        <v/>
      </c>
    </row>
    <row r="3747">
      <c r="A3747" t="inlineStr">
        <is>
          <t>2022-09-17</t>
        </is>
      </c>
      <c r="B3747" t="n">
        <v>4</v>
      </c>
      <c r="C3747" t="n">
        <v>3058</v>
      </c>
      <c r="D3747" s="6" t="n">
        <v>67.2</v>
      </c>
      <c r="E3747" s="6" t="n">
        <v>1243312.54</v>
      </c>
      <c r="F3747" s="6">
        <f>ROUND(E3747-E3746,2)</f>
        <v/>
      </c>
      <c r="G3747" s="6">
        <f>ROUND(F3747-D3747,2)</f>
        <v/>
      </c>
    </row>
    <row r="3748">
      <c r="A3748" t="inlineStr">
        <is>
          <t>2022-09-17</t>
        </is>
      </c>
      <c r="B3748" t="n">
        <v>5</v>
      </c>
      <c r="C3748" t="n">
        <v>3058</v>
      </c>
      <c r="D3748" s="6" t="n">
        <v>70.7</v>
      </c>
      <c r="E3748" s="6" t="n">
        <v>1243383.24</v>
      </c>
      <c r="F3748" s="6">
        <f>ROUND(E3748-E3747,2)</f>
        <v/>
      </c>
      <c r="G3748" s="6">
        <f>ROUND(F3748-D3748,2)</f>
        <v/>
      </c>
    </row>
    <row r="3749">
      <c r="A3749" t="inlineStr">
        <is>
          <t>2022-09-17</t>
        </is>
      </c>
      <c r="B3749" t="n">
        <v>6</v>
      </c>
      <c r="C3749" t="n">
        <v>3058</v>
      </c>
      <c r="D3749" s="6" t="n">
        <v>77.09999999999999</v>
      </c>
      <c r="E3749" s="6" t="n">
        <v>1243460.34</v>
      </c>
      <c r="F3749" s="6">
        <f>ROUND(E3749-E3748,2)</f>
        <v/>
      </c>
      <c r="G3749" s="6">
        <f>ROUND(F3749-D3749,2)</f>
        <v/>
      </c>
    </row>
    <row r="3750">
      <c r="A3750" t="inlineStr">
        <is>
          <t>2022-09-17</t>
        </is>
      </c>
      <c r="B3750" t="n">
        <v>7</v>
      </c>
      <c r="C3750" t="n">
        <v>3058</v>
      </c>
      <c r="D3750" s="6" t="n">
        <v>53.1</v>
      </c>
      <c r="E3750" s="6" t="n">
        <v>1243513.44</v>
      </c>
      <c r="F3750" s="6">
        <f>ROUND(E3750-E3749,2)</f>
        <v/>
      </c>
      <c r="G3750" s="6">
        <f>ROUND(F3750-D3750,2)</f>
        <v/>
      </c>
    </row>
    <row r="3751">
      <c r="A3751" t="inlineStr">
        <is>
          <t>2022-09-17</t>
        </is>
      </c>
      <c r="B3751" t="n">
        <v>8</v>
      </c>
      <c r="C3751" t="n">
        <v>3058</v>
      </c>
      <c r="D3751" s="6" t="n">
        <v>45.4</v>
      </c>
      <c r="E3751" s="6" t="n">
        <v>1243558.84</v>
      </c>
      <c r="F3751" s="6">
        <f>ROUND(E3751-E3750,2)</f>
        <v/>
      </c>
      <c r="G3751" s="6">
        <f>ROUND(F3751-D3751,2)</f>
        <v/>
      </c>
    </row>
    <row r="3752">
      <c r="A3752" t="inlineStr">
        <is>
          <t>2022-09-17</t>
        </is>
      </c>
      <c r="B3752" t="n">
        <v>9</v>
      </c>
      <c r="C3752" t="n">
        <v>3058</v>
      </c>
      <c r="D3752" s="6" t="n">
        <v>45.2</v>
      </c>
      <c r="E3752" s="6" t="n">
        <v>1243604.04</v>
      </c>
      <c r="F3752" s="6">
        <f>ROUND(E3752-E3751,2)</f>
        <v/>
      </c>
      <c r="G3752" s="6">
        <f>ROUND(F3752-D3752,2)</f>
        <v/>
      </c>
    </row>
    <row r="3753">
      <c r="A3753" t="inlineStr">
        <is>
          <t>2022-09-17</t>
        </is>
      </c>
      <c r="B3753" t="n">
        <v>10</v>
      </c>
      <c r="C3753" t="n">
        <v>3058</v>
      </c>
      <c r="D3753" s="6" t="n">
        <v>62</v>
      </c>
      <c r="E3753" s="6" t="n">
        <v>1243666.04</v>
      </c>
      <c r="F3753" s="6">
        <f>ROUND(E3753-E3752,2)</f>
        <v/>
      </c>
      <c r="G3753" s="6">
        <f>ROUND(F3753-D3753,2)</f>
        <v/>
      </c>
    </row>
    <row r="3754">
      <c r="A3754" t="inlineStr">
        <is>
          <t>2022-09-17</t>
        </is>
      </c>
      <c r="B3754" t="n">
        <v>11</v>
      </c>
      <c r="C3754" t="n">
        <v>3058</v>
      </c>
      <c r="D3754" s="6" t="n">
        <v>95.7</v>
      </c>
      <c r="E3754" s="6" t="n">
        <v>1243761.74</v>
      </c>
      <c r="F3754" s="6">
        <f>ROUND(E3754-E3753,2)</f>
        <v/>
      </c>
      <c r="G3754" s="6">
        <f>ROUND(F3754-D3754,2)</f>
        <v/>
      </c>
    </row>
    <row r="3755">
      <c r="A3755" t="inlineStr">
        <is>
          <t>2022-09-17</t>
        </is>
      </c>
      <c r="B3755" t="n">
        <v>12</v>
      </c>
      <c r="C3755" t="n">
        <v>3058</v>
      </c>
      <c r="D3755" s="6" t="n">
        <v>130.4</v>
      </c>
      <c r="E3755" s="6" t="n">
        <v>1243892.14</v>
      </c>
      <c r="F3755" s="6">
        <f>ROUND(E3755-E3754,2)</f>
        <v/>
      </c>
      <c r="G3755" s="6">
        <f>ROUND(F3755-D3755,2)</f>
        <v/>
      </c>
    </row>
    <row r="3756">
      <c r="A3756" t="inlineStr">
        <is>
          <t>2022-09-17</t>
        </is>
      </c>
      <c r="B3756" t="n">
        <v>13</v>
      </c>
      <c r="C3756" t="n">
        <v>3058</v>
      </c>
      <c r="D3756" s="6" t="n">
        <v>69.2</v>
      </c>
      <c r="E3756" s="6" t="n">
        <v>1243961.34</v>
      </c>
      <c r="F3756" s="6">
        <f>ROUND(E3756-E3755,2)</f>
        <v/>
      </c>
      <c r="G3756" s="6">
        <f>ROUND(F3756-D3756,2)</f>
        <v/>
      </c>
    </row>
    <row r="3757">
      <c r="A3757" t="inlineStr">
        <is>
          <t>2022-09-17</t>
        </is>
      </c>
      <c r="B3757" t="n">
        <v>14</v>
      </c>
      <c r="C3757" t="n">
        <v>3058</v>
      </c>
      <c r="D3757" s="6" t="n">
        <v>161.2</v>
      </c>
      <c r="E3757" s="6" t="n">
        <v>1244122.54</v>
      </c>
      <c r="F3757" s="6">
        <f>ROUND(E3757-E3756,2)</f>
        <v/>
      </c>
      <c r="G3757" s="6">
        <f>ROUND(F3757-D3757,2)</f>
        <v/>
      </c>
    </row>
    <row r="3758">
      <c r="A3758" t="inlineStr">
        <is>
          <t>2022-09-17</t>
        </is>
      </c>
      <c r="B3758" t="n">
        <v>15</v>
      </c>
      <c r="C3758" t="n">
        <v>3058</v>
      </c>
      <c r="D3758" s="6" t="n">
        <v>50</v>
      </c>
      <c r="E3758" s="6" t="n">
        <v>1244172.54</v>
      </c>
      <c r="F3758" s="6">
        <f>ROUND(E3758-E3757,2)</f>
        <v/>
      </c>
      <c r="G3758" s="6">
        <f>ROUND(F3758-D3758,2)</f>
        <v/>
      </c>
    </row>
    <row r="3759">
      <c r="A3759" t="inlineStr">
        <is>
          <t>2022-09-17</t>
        </is>
      </c>
      <c r="B3759" t="n">
        <v>16</v>
      </c>
      <c r="C3759" t="n">
        <v>3058</v>
      </c>
      <c r="D3759" s="6" t="n">
        <v>54.1</v>
      </c>
      <c r="E3759" s="6" t="n">
        <v>1244226.64</v>
      </c>
      <c r="F3759" s="6">
        <f>ROUND(E3759-E3758,2)</f>
        <v/>
      </c>
      <c r="G3759" s="6">
        <f>ROUND(F3759-D3759,2)</f>
        <v/>
      </c>
    </row>
    <row r="3760">
      <c r="A3760" t="inlineStr">
        <is>
          <t>2022-09-17</t>
        </is>
      </c>
      <c r="B3760" t="n">
        <v>17</v>
      </c>
      <c r="C3760" t="n">
        <v>3058</v>
      </c>
      <c r="D3760" s="6" t="n">
        <v>54.1</v>
      </c>
      <c r="E3760" s="6" t="n">
        <v>1244280.74</v>
      </c>
      <c r="F3760" s="6">
        <f>ROUND(E3760-E3759,2)</f>
        <v/>
      </c>
      <c r="G3760" s="6">
        <f>ROUND(F3760-D3760,2)</f>
        <v/>
      </c>
    </row>
    <row r="3761">
      <c r="A3761" t="inlineStr">
        <is>
          <t>2022-09-17</t>
        </is>
      </c>
      <c r="B3761" t="n">
        <v>18</v>
      </c>
      <c r="C3761" t="n">
        <v>3058</v>
      </c>
      <c r="D3761" s="6" t="n">
        <v>81.40000000000001</v>
      </c>
      <c r="E3761" s="6" t="n">
        <v>1244362.14</v>
      </c>
      <c r="F3761" s="6">
        <f>ROUND(E3761-E3760,2)</f>
        <v/>
      </c>
      <c r="G3761" s="6">
        <f>ROUND(F3761-D3761,2)</f>
        <v/>
      </c>
    </row>
    <row r="3762">
      <c r="A3762" t="inlineStr">
        <is>
          <t>2022-09-17</t>
        </is>
      </c>
      <c r="B3762" t="n">
        <v>19</v>
      </c>
      <c r="C3762" t="n">
        <v>3058</v>
      </c>
      <c r="D3762" s="6" t="n">
        <v>115</v>
      </c>
      <c r="E3762" s="6" t="n">
        <v>1244477.14</v>
      </c>
      <c r="F3762" s="6">
        <f>ROUND(E3762-E3761,2)</f>
        <v/>
      </c>
      <c r="G3762" s="6">
        <f>ROUND(F3762-D3762,2)</f>
        <v/>
      </c>
    </row>
    <row r="3763">
      <c r="A3763" t="inlineStr">
        <is>
          <t>2022-09-17</t>
        </is>
      </c>
      <c r="B3763" t="n">
        <v>20</v>
      </c>
      <c r="C3763" t="n">
        <v>3058</v>
      </c>
      <c r="D3763" s="6" t="n">
        <v>47</v>
      </c>
      <c r="E3763" s="6" t="n">
        <v>1244524.14</v>
      </c>
      <c r="F3763" s="6">
        <f>ROUND(E3763-E3762,2)</f>
        <v/>
      </c>
      <c r="G3763" s="6">
        <f>ROUND(F3763-D3763,2)</f>
        <v/>
      </c>
    </row>
    <row r="3764">
      <c r="A3764" t="inlineStr">
        <is>
          <t>2022-09-17</t>
        </is>
      </c>
      <c r="B3764" t="n">
        <v>21</v>
      </c>
      <c r="C3764" t="n">
        <v>3058</v>
      </c>
      <c r="D3764" s="6" t="n">
        <v>50</v>
      </c>
      <c r="E3764" s="6" t="n">
        <v>1244574.14</v>
      </c>
      <c r="F3764" s="6">
        <f>ROUND(E3764-E3763,2)</f>
        <v/>
      </c>
      <c r="G3764" s="6">
        <f>ROUND(F3764-D3764,2)</f>
        <v/>
      </c>
    </row>
    <row r="3765">
      <c r="A3765" t="inlineStr">
        <is>
          <t>2022-09-17</t>
        </is>
      </c>
      <c r="B3765" t="n">
        <v>22</v>
      </c>
      <c r="C3765" t="n">
        <v>3058</v>
      </c>
      <c r="D3765" s="6" t="n">
        <v>147.7</v>
      </c>
      <c r="E3765" s="6" t="n">
        <v>1244721.84</v>
      </c>
      <c r="F3765" s="6">
        <f>ROUND(E3765-E3764,2)</f>
        <v/>
      </c>
      <c r="G3765" s="6">
        <f>ROUND(F3765-D3765,2)</f>
        <v/>
      </c>
    </row>
    <row r="3766">
      <c r="A3766" t="inlineStr">
        <is>
          <t>2022-09-17</t>
        </is>
      </c>
      <c r="B3766" t="n">
        <v>23</v>
      </c>
      <c r="C3766" t="n">
        <v>3058</v>
      </c>
      <c r="D3766" s="6" t="n">
        <v>76.3</v>
      </c>
      <c r="E3766" s="6" t="n">
        <v>1244798.14</v>
      </c>
      <c r="F3766" s="6">
        <f>ROUND(E3766-E3765,2)</f>
        <v/>
      </c>
      <c r="G3766" s="6">
        <f>ROUND(F3766-D3766,2)</f>
        <v/>
      </c>
    </row>
    <row r="3767">
      <c r="A3767" t="inlineStr">
        <is>
          <t>2022-09-17</t>
        </is>
      </c>
      <c r="B3767" t="n">
        <v>24</v>
      </c>
      <c r="C3767" t="n">
        <v>3058</v>
      </c>
      <c r="D3767" s="6" t="n">
        <v>117.8</v>
      </c>
      <c r="E3767" s="6" t="n">
        <v>1244915.94</v>
      </c>
      <c r="F3767" s="6">
        <f>ROUND(E3767-E3766,2)</f>
        <v/>
      </c>
      <c r="G3767" s="6">
        <f>ROUND(F3767-D3767,2)</f>
        <v/>
      </c>
    </row>
    <row r="3768">
      <c r="A3768" t="inlineStr">
        <is>
          <t>2022-09-17</t>
        </is>
      </c>
      <c r="B3768" t="n">
        <v>25</v>
      </c>
      <c r="C3768" t="n">
        <v>3058</v>
      </c>
      <c r="D3768" s="6" t="n">
        <v>87.7</v>
      </c>
      <c r="E3768" s="6" t="n">
        <v>1245003.64</v>
      </c>
      <c r="F3768" s="6">
        <f>ROUND(E3768-E3767,2)</f>
        <v/>
      </c>
      <c r="G3768" s="6">
        <f>ROUND(F3768-D3768,2)</f>
        <v/>
      </c>
    </row>
    <row r="3769">
      <c r="A3769" t="inlineStr">
        <is>
          <t>2022-09-17</t>
        </is>
      </c>
      <c r="B3769" t="n">
        <v>26</v>
      </c>
      <c r="C3769" t="n">
        <v>3058</v>
      </c>
      <c r="D3769" s="6" t="n">
        <v>81.8</v>
      </c>
      <c r="E3769" s="6" t="n">
        <v>1245085.44</v>
      </c>
      <c r="F3769" s="6">
        <f>ROUND(E3769-E3768,2)</f>
        <v/>
      </c>
      <c r="G3769" s="6">
        <f>ROUND(F3769-D3769,2)</f>
        <v/>
      </c>
    </row>
    <row r="3770">
      <c r="A3770" t="inlineStr">
        <is>
          <t>2022-09-17</t>
        </is>
      </c>
      <c r="B3770" t="n">
        <v>27</v>
      </c>
      <c r="C3770" t="n">
        <v>3058</v>
      </c>
      <c r="D3770" s="6" t="n">
        <v>29.9</v>
      </c>
      <c r="E3770" s="6" t="n">
        <v>1245115.34</v>
      </c>
      <c r="F3770" s="6">
        <f>ROUND(E3770-E3769,2)</f>
        <v/>
      </c>
      <c r="G3770" s="6">
        <f>ROUND(F3770-D3770,2)</f>
        <v/>
      </c>
    </row>
    <row r="3771">
      <c r="A3771" t="inlineStr">
        <is>
          <t>2022-09-17</t>
        </is>
      </c>
      <c r="B3771" t="n">
        <v>28</v>
      </c>
      <c r="C3771" t="n">
        <v>3058</v>
      </c>
      <c r="D3771" s="6" t="n">
        <v>92.3</v>
      </c>
      <c r="E3771" s="6" t="n">
        <v>1245207.64</v>
      </c>
      <c r="F3771" s="6">
        <f>ROUND(E3771-E3770,2)</f>
        <v/>
      </c>
      <c r="G3771" s="6">
        <f>ROUND(F3771-D3771,2)</f>
        <v/>
      </c>
    </row>
    <row r="3772">
      <c r="A3772" t="inlineStr">
        <is>
          <t>2022-09-17</t>
        </is>
      </c>
      <c r="B3772" t="n">
        <v>29</v>
      </c>
      <c r="C3772" t="n">
        <v>3058</v>
      </c>
      <c r="D3772" s="6" t="n">
        <v>60.5</v>
      </c>
      <c r="E3772" s="6" t="n">
        <v>1245268.14</v>
      </c>
      <c r="F3772" s="6">
        <f>ROUND(E3772-E3771,2)</f>
        <v/>
      </c>
      <c r="G3772" s="6">
        <f>ROUND(F3772-D3772,2)</f>
        <v/>
      </c>
    </row>
    <row r="3773">
      <c r="A3773" t="inlineStr">
        <is>
          <t>2022-09-17</t>
        </is>
      </c>
      <c r="B3773" t="n">
        <v>30</v>
      </c>
      <c r="C3773" t="n">
        <v>3058</v>
      </c>
      <c r="D3773" s="6" t="n">
        <v>81.59999999999999</v>
      </c>
      <c r="E3773" s="6" t="n">
        <v>1245349.74</v>
      </c>
      <c r="F3773" s="6">
        <f>ROUND(E3773-E3772,2)</f>
        <v/>
      </c>
      <c r="G3773" s="6">
        <f>ROUND(F3773-D3773,2)</f>
        <v/>
      </c>
    </row>
    <row r="3774">
      <c r="A3774" t="inlineStr">
        <is>
          <t>2022-09-17</t>
        </is>
      </c>
      <c r="B3774" t="n">
        <v>31</v>
      </c>
      <c r="C3774" t="n">
        <v>3058</v>
      </c>
      <c r="D3774" s="6" t="n">
        <v>24.75</v>
      </c>
      <c r="E3774" s="6" t="n">
        <v>1245374.49</v>
      </c>
      <c r="F3774" s="6">
        <f>ROUND(E3774-E3773,2)</f>
        <v/>
      </c>
      <c r="G3774" s="6">
        <f>ROUND(F3774-D3774,2)</f>
        <v/>
      </c>
    </row>
    <row r="3775">
      <c r="A3775" t="inlineStr">
        <is>
          <t>2022-09-17</t>
        </is>
      </c>
      <c r="B3775" t="n">
        <v>32</v>
      </c>
      <c r="C3775" t="n">
        <v>3058</v>
      </c>
      <c r="D3775" s="6" t="n">
        <v>24.75</v>
      </c>
      <c r="E3775" s="6" t="n">
        <v>1245399.24</v>
      </c>
      <c r="F3775" s="6">
        <f>ROUND(E3775-E3774,2)</f>
        <v/>
      </c>
      <c r="G3775" s="6">
        <f>ROUND(F3775-D3775,2)</f>
        <v/>
      </c>
    </row>
    <row r="3776">
      <c r="A3776" t="inlineStr">
        <is>
          <t>2022-09-17</t>
        </is>
      </c>
      <c r="B3776" t="n">
        <v>33</v>
      </c>
      <c r="C3776" t="n">
        <v>3058</v>
      </c>
      <c r="D3776" s="6" t="n">
        <v>49.1</v>
      </c>
      <c r="E3776" s="6" t="n">
        <v>1245448.34</v>
      </c>
      <c r="F3776" s="6">
        <f>ROUND(E3776-E3775,2)</f>
        <v/>
      </c>
      <c r="G3776" s="6">
        <f>ROUND(F3776-D3776,2)</f>
        <v/>
      </c>
    </row>
    <row r="3777">
      <c r="A3777" t="inlineStr">
        <is>
          <t>2022-09-18</t>
        </is>
      </c>
      <c r="B3777" t="n">
        <v>1</v>
      </c>
      <c r="C3777" t="n">
        <v>3059</v>
      </c>
      <c r="D3777" s="6" t="n">
        <v>31.8</v>
      </c>
      <c r="E3777" s="6" t="n">
        <v>1245480.14</v>
      </c>
      <c r="F3777" s="6">
        <f>ROUND(E3777-E3776,2)</f>
        <v/>
      </c>
      <c r="G3777" s="6">
        <f>ROUND(F3777-D3777,2)</f>
        <v/>
      </c>
    </row>
    <row r="3778">
      <c r="A3778" t="inlineStr">
        <is>
          <t>2022-09-18</t>
        </is>
      </c>
      <c r="B3778" t="n">
        <v>2</v>
      </c>
      <c r="C3778" t="n">
        <v>3059</v>
      </c>
      <c r="D3778" s="6" t="n">
        <v>73.2</v>
      </c>
      <c r="E3778" s="6" t="n">
        <v>1245553.34</v>
      </c>
      <c r="F3778" s="6">
        <f>ROUND(E3778-E3777,2)</f>
        <v/>
      </c>
      <c r="G3778" s="6">
        <f>ROUND(F3778-D3778,2)</f>
        <v/>
      </c>
    </row>
    <row r="3779">
      <c r="A3779" t="inlineStr">
        <is>
          <t>2022-09-18</t>
        </is>
      </c>
      <c r="B3779" t="n">
        <v>3</v>
      </c>
      <c r="C3779" t="n">
        <v>3059</v>
      </c>
      <c r="D3779" s="6" t="n">
        <v>162.8</v>
      </c>
      <c r="E3779" s="6" t="n">
        <v>1245716.14</v>
      </c>
      <c r="F3779" s="6">
        <f>ROUND(E3779-E3778,2)</f>
        <v/>
      </c>
      <c r="G3779" s="6">
        <f>ROUND(F3779-D3779,2)</f>
        <v/>
      </c>
    </row>
    <row r="3780">
      <c r="A3780" t="inlineStr">
        <is>
          <t>2022-09-18</t>
        </is>
      </c>
      <c r="B3780" t="n">
        <v>4</v>
      </c>
      <c r="C3780" t="n">
        <v>3059</v>
      </c>
      <c r="D3780" s="6" t="n">
        <v>100.9</v>
      </c>
      <c r="E3780" s="6" t="n">
        <v>1245817.04</v>
      </c>
      <c r="F3780" s="6">
        <f>ROUND(E3780-E3779,2)</f>
        <v/>
      </c>
      <c r="G3780" s="6">
        <f>ROUND(F3780-D3780,2)</f>
        <v/>
      </c>
    </row>
    <row r="3781">
      <c r="A3781" t="inlineStr">
        <is>
          <t>2022-09-18</t>
        </is>
      </c>
      <c r="B3781" t="n">
        <v>5</v>
      </c>
      <c r="C3781" t="n">
        <v>3059</v>
      </c>
      <c r="D3781" s="6" t="n">
        <v>87.2</v>
      </c>
      <c r="E3781" s="6" t="n">
        <v>1245904.24</v>
      </c>
      <c r="F3781" s="6">
        <f>ROUND(E3781-E3780,2)</f>
        <v/>
      </c>
      <c r="G3781" s="6">
        <f>ROUND(F3781-D3781,2)</f>
        <v/>
      </c>
    </row>
    <row r="3782">
      <c r="A3782" t="inlineStr">
        <is>
          <t>2022-09-18</t>
        </is>
      </c>
      <c r="B3782" t="n">
        <v>6</v>
      </c>
      <c r="C3782" t="n">
        <v>3059</v>
      </c>
      <c r="D3782" s="6" t="n">
        <v>52.3</v>
      </c>
      <c r="E3782" s="6" t="n">
        <v>1245956.54</v>
      </c>
      <c r="F3782" s="6">
        <f>ROUND(E3782-E3781,2)</f>
        <v/>
      </c>
      <c r="G3782" s="6">
        <f>ROUND(F3782-D3782,2)</f>
        <v/>
      </c>
    </row>
    <row r="3783">
      <c r="A3783" t="inlineStr">
        <is>
          <t>2022-09-18</t>
        </is>
      </c>
      <c r="B3783" t="n">
        <v>7</v>
      </c>
      <c r="C3783" t="n">
        <v>3059</v>
      </c>
      <c r="D3783" s="6" t="n">
        <v>52.3</v>
      </c>
      <c r="E3783" s="6" t="n">
        <v>1246008.84</v>
      </c>
      <c r="F3783" s="6">
        <f>ROUND(E3783-E3782,2)</f>
        <v/>
      </c>
      <c r="G3783" s="6">
        <f>ROUND(F3783-D3783,2)</f>
        <v/>
      </c>
    </row>
    <row r="3784">
      <c r="A3784" t="inlineStr">
        <is>
          <t>2022-09-18</t>
        </is>
      </c>
      <c r="B3784" t="n">
        <v>8</v>
      </c>
      <c r="C3784" t="n">
        <v>3059</v>
      </c>
      <c r="D3784" s="6" t="n">
        <v>93.7</v>
      </c>
      <c r="E3784" s="6" t="n">
        <v>1246102.54</v>
      </c>
      <c r="F3784" s="6">
        <f>ROUND(E3784-E3783,2)</f>
        <v/>
      </c>
      <c r="G3784" s="6">
        <f>ROUND(F3784-D3784,2)</f>
        <v/>
      </c>
    </row>
    <row r="3785">
      <c r="A3785" t="inlineStr">
        <is>
          <t>2022-09-18</t>
        </is>
      </c>
      <c r="B3785" t="n">
        <v>9</v>
      </c>
      <c r="C3785" t="n">
        <v>3059</v>
      </c>
      <c r="D3785" s="6" t="n">
        <v>107.8</v>
      </c>
      <c r="E3785" s="6" t="n">
        <v>1246210.34</v>
      </c>
      <c r="F3785" s="6">
        <f>ROUND(E3785-E3784,2)</f>
        <v/>
      </c>
      <c r="G3785" s="6">
        <f>ROUND(F3785-D3785,2)</f>
        <v/>
      </c>
    </row>
    <row r="3786">
      <c r="A3786" t="inlineStr">
        <is>
          <t>2022-09-18</t>
        </is>
      </c>
      <c r="B3786" t="n">
        <v>10</v>
      </c>
      <c r="C3786" t="n">
        <v>3059</v>
      </c>
      <c r="D3786" s="6" t="n">
        <v>191.5</v>
      </c>
      <c r="E3786" s="6" t="n">
        <v>1246401.84</v>
      </c>
      <c r="F3786" s="6">
        <f>ROUND(E3786-E3785,2)</f>
        <v/>
      </c>
      <c r="G3786" s="6">
        <f>ROUND(F3786-D3786,2)</f>
        <v/>
      </c>
    </row>
    <row r="3787">
      <c r="A3787" t="inlineStr">
        <is>
          <t>2022-09-18</t>
        </is>
      </c>
      <c r="B3787" t="n">
        <v>11</v>
      </c>
      <c r="C3787" t="n">
        <v>3059</v>
      </c>
      <c r="D3787" s="6" t="n">
        <v>63.9</v>
      </c>
      <c r="E3787" s="6" t="n">
        <v>1246465.74</v>
      </c>
      <c r="F3787" s="6">
        <f>ROUND(E3787-E3786,2)</f>
        <v/>
      </c>
      <c r="G3787" s="6">
        <f>ROUND(F3787-D3787,2)</f>
        <v/>
      </c>
    </row>
    <row r="3788">
      <c r="A3788" t="inlineStr">
        <is>
          <t>2022-09-18</t>
        </is>
      </c>
      <c r="B3788" t="n">
        <v>12</v>
      </c>
      <c r="C3788" t="n">
        <v>3059</v>
      </c>
      <c r="D3788" s="6" t="n">
        <v>46</v>
      </c>
      <c r="E3788" s="6" t="n">
        <v>1246511.74</v>
      </c>
      <c r="F3788" s="6">
        <f>ROUND(E3788-E3787,2)</f>
        <v/>
      </c>
      <c r="G3788" s="6">
        <f>ROUND(F3788-D3788,2)</f>
        <v/>
      </c>
    </row>
    <row r="3789">
      <c r="A3789" t="inlineStr">
        <is>
          <t>2022-09-18</t>
        </is>
      </c>
      <c r="B3789" t="n">
        <v>13</v>
      </c>
      <c r="C3789" t="n">
        <v>3059</v>
      </c>
      <c r="D3789" s="6" t="n">
        <v>101.7</v>
      </c>
      <c r="E3789" s="6" t="n">
        <v>1246613.44</v>
      </c>
      <c r="F3789" s="6">
        <f>ROUND(E3789-E3788,2)</f>
        <v/>
      </c>
      <c r="G3789" s="6">
        <f>ROUND(F3789-D3789,2)</f>
        <v/>
      </c>
    </row>
    <row r="3790">
      <c r="A3790" t="inlineStr">
        <is>
          <t>2022-09-18</t>
        </is>
      </c>
      <c r="B3790" t="n">
        <v>14</v>
      </c>
      <c r="C3790" t="n">
        <v>3059</v>
      </c>
      <c r="D3790" s="6" t="n">
        <v>59.1</v>
      </c>
      <c r="E3790" s="6" t="n">
        <v>1246672.54</v>
      </c>
      <c r="F3790" s="6">
        <f>ROUND(E3790-E3789,2)</f>
        <v/>
      </c>
      <c r="G3790" s="6">
        <f>ROUND(F3790-D3790,2)</f>
        <v/>
      </c>
    </row>
    <row r="3791">
      <c r="A3791" t="inlineStr">
        <is>
          <t>2022-09-18</t>
        </is>
      </c>
      <c r="B3791" t="n">
        <v>15</v>
      </c>
      <c r="C3791" t="n">
        <v>3059</v>
      </c>
      <c r="D3791" s="6" t="n">
        <v>46</v>
      </c>
      <c r="E3791" s="6" t="n">
        <v>1246718.54</v>
      </c>
      <c r="F3791" s="6">
        <f>ROUND(E3791-E3790,2)</f>
        <v/>
      </c>
      <c r="G3791" s="6">
        <f>ROUND(F3791-D3791,2)</f>
        <v/>
      </c>
    </row>
    <row r="3792">
      <c r="A3792" t="inlineStr">
        <is>
          <t>2022-09-18</t>
        </is>
      </c>
      <c r="B3792" t="n">
        <v>16</v>
      </c>
      <c r="C3792" t="n">
        <v>3059</v>
      </c>
      <c r="D3792" s="6" t="n">
        <v>63.5</v>
      </c>
      <c r="E3792" s="6" t="n">
        <v>1246782.04</v>
      </c>
      <c r="F3792" s="6">
        <f>ROUND(E3792-E3791,2)</f>
        <v/>
      </c>
      <c r="G3792" s="6">
        <f>ROUND(F3792-D3792,2)</f>
        <v/>
      </c>
    </row>
    <row r="3793">
      <c r="A3793" t="inlineStr">
        <is>
          <t>2022-09-18</t>
        </is>
      </c>
      <c r="B3793" t="n">
        <v>17</v>
      </c>
      <c r="C3793" t="n">
        <v>3059</v>
      </c>
      <c r="D3793" s="6" t="n">
        <v>44.1</v>
      </c>
      <c r="E3793" s="6" t="n">
        <v>1246826.14</v>
      </c>
      <c r="F3793" s="6">
        <f>ROUND(E3793-E3792,2)</f>
        <v/>
      </c>
      <c r="G3793" s="6">
        <f>ROUND(F3793-D3793,2)</f>
        <v/>
      </c>
    </row>
    <row r="3794">
      <c r="A3794" t="inlineStr">
        <is>
          <t>2022-09-18</t>
        </is>
      </c>
      <c r="B3794" t="n">
        <v>18</v>
      </c>
      <c r="C3794" t="n">
        <v>3059</v>
      </c>
      <c r="D3794" s="6" t="n">
        <v>30.55</v>
      </c>
      <c r="E3794" s="6" t="n">
        <v>1246856.69</v>
      </c>
      <c r="F3794" s="6">
        <f>ROUND(E3794-E3793,2)</f>
        <v/>
      </c>
      <c r="G3794" s="6">
        <f>ROUND(F3794-D3794,2)</f>
        <v/>
      </c>
    </row>
    <row r="3795">
      <c r="A3795" t="inlineStr">
        <is>
          <t>2022-09-18</t>
        </is>
      </c>
      <c r="B3795" t="n">
        <v>19</v>
      </c>
      <c r="C3795" t="n">
        <v>3059</v>
      </c>
      <c r="D3795" s="6" t="n">
        <v>64.8</v>
      </c>
      <c r="E3795" s="6" t="n">
        <v>1246921.49</v>
      </c>
      <c r="F3795" s="6">
        <f>ROUND(E3795-E3794,2)</f>
        <v/>
      </c>
      <c r="G3795" s="6">
        <f>ROUND(F3795-D3795,2)</f>
        <v/>
      </c>
    </row>
    <row r="3796">
      <c r="A3796" t="inlineStr">
        <is>
          <t>2022-09-18</t>
        </is>
      </c>
      <c r="B3796" t="n">
        <v>20</v>
      </c>
      <c r="C3796" t="n">
        <v>3059</v>
      </c>
      <c r="D3796" s="6" t="n">
        <v>117.2</v>
      </c>
      <c r="E3796" s="6" t="n">
        <v>1247038.69</v>
      </c>
      <c r="F3796" s="6">
        <f>ROUND(E3796-E3795,2)</f>
        <v/>
      </c>
      <c r="G3796" s="6">
        <f>ROUND(F3796-D3796,2)</f>
        <v/>
      </c>
    </row>
    <row r="3797">
      <c r="A3797" t="inlineStr">
        <is>
          <t>2022-09-18</t>
        </is>
      </c>
      <c r="B3797" t="n">
        <v>21</v>
      </c>
      <c r="C3797" t="n">
        <v>3059</v>
      </c>
      <c r="D3797" s="6" t="n">
        <v>56.3</v>
      </c>
      <c r="E3797" s="6" t="n">
        <v>1247094.99</v>
      </c>
      <c r="F3797" s="6">
        <f>ROUND(E3797-E3796,2)</f>
        <v/>
      </c>
      <c r="G3797" s="6">
        <f>ROUND(F3797-D3797,2)</f>
        <v/>
      </c>
    </row>
    <row r="3798">
      <c r="A3798" t="inlineStr">
        <is>
          <t>2022-09-18</t>
        </is>
      </c>
      <c r="B3798" t="n">
        <v>22</v>
      </c>
      <c r="C3798" t="n">
        <v>3059</v>
      </c>
      <c r="D3798" s="6" t="n">
        <v>102.4</v>
      </c>
      <c r="E3798" s="6" t="n">
        <v>1247197.39</v>
      </c>
      <c r="F3798" s="6">
        <f>ROUND(E3798-E3797,2)</f>
        <v/>
      </c>
      <c r="G3798" s="6">
        <f>ROUND(F3798-D3798,2)</f>
        <v/>
      </c>
    </row>
    <row r="3799">
      <c r="A3799" t="inlineStr">
        <is>
          <t>2022-09-18</t>
        </is>
      </c>
      <c r="B3799" t="n">
        <v>23</v>
      </c>
      <c r="C3799" t="n">
        <v>3059</v>
      </c>
      <c r="D3799" s="6" t="n">
        <v>96</v>
      </c>
      <c r="E3799" s="6" t="n">
        <v>1247293.39</v>
      </c>
      <c r="F3799" s="6">
        <f>ROUND(E3799-E3798,2)</f>
        <v/>
      </c>
      <c r="G3799" s="6">
        <f>ROUND(F3799-D3799,2)</f>
        <v/>
      </c>
    </row>
    <row r="3800">
      <c r="A3800" t="inlineStr">
        <is>
          <t>2022-09-21</t>
        </is>
      </c>
      <c r="B3800" t="n">
        <v>1</v>
      </c>
      <c r="C3800" t="n">
        <v>3060</v>
      </c>
      <c r="D3800" s="6" t="n">
        <v>56.2</v>
      </c>
      <c r="E3800" s="6" t="n">
        <v>1247349.59</v>
      </c>
      <c r="F3800" s="6">
        <f>ROUND(E3800-E3799,2)</f>
        <v/>
      </c>
      <c r="G3800" s="6">
        <f>ROUND(F3800-D3800,2)</f>
        <v/>
      </c>
    </row>
    <row r="3801">
      <c r="A3801" t="inlineStr">
        <is>
          <t>2022-09-21</t>
        </is>
      </c>
      <c r="B3801" t="n">
        <v>2</v>
      </c>
      <c r="C3801" t="n">
        <v>3060</v>
      </c>
      <c r="D3801" s="6" t="n">
        <v>29.7</v>
      </c>
      <c r="E3801" s="6" t="n">
        <v>1247379.29</v>
      </c>
      <c r="F3801" s="6">
        <f>ROUND(E3801-E3800,2)</f>
        <v/>
      </c>
      <c r="G3801" s="6">
        <f>ROUND(F3801-D3801,2)</f>
        <v/>
      </c>
    </row>
    <row r="3802">
      <c r="A3802" t="inlineStr">
        <is>
          <t>2022-09-21</t>
        </is>
      </c>
      <c r="B3802" t="n">
        <v>3</v>
      </c>
      <c r="C3802" t="n">
        <v>3060</v>
      </c>
      <c r="D3802" s="6" t="n">
        <v>53.4</v>
      </c>
      <c r="E3802" s="6" t="n">
        <v>1247432.69</v>
      </c>
      <c r="F3802" s="6">
        <f>ROUND(E3802-E3801,2)</f>
        <v/>
      </c>
      <c r="G3802" s="6">
        <f>ROUND(F3802-D3802,2)</f>
        <v/>
      </c>
    </row>
    <row r="3803">
      <c r="A3803" t="inlineStr">
        <is>
          <t>2022-09-21</t>
        </is>
      </c>
      <c r="B3803" t="n">
        <v>4</v>
      </c>
      <c r="C3803" t="n">
        <v>3060</v>
      </c>
      <c r="D3803" s="6" t="n">
        <v>48.3</v>
      </c>
      <c r="E3803" s="6" t="n">
        <v>1247480.99</v>
      </c>
      <c r="F3803" s="6">
        <f>ROUND(E3803-E3802,2)</f>
        <v/>
      </c>
      <c r="G3803" s="6">
        <f>ROUND(F3803-D3803,2)</f>
        <v/>
      </c>
    </row>
    <row r="3804">
      <c r="A3804" t="inlineStr">
        <is>
          <t>2022-09-21</t>
        </is>
      </c>
      <c r="B3804" t="n">
        <v>5</v>
      </c>
      <c r="C3804" t="n">
        <v>3060</v>
      </c>
      <c r="D3804" s="6" t="n">
        <v>115.8</v>
      </c>
      <c r="E3804" s="6" t="n">
        <v>1247596.79</v>
      </c>
      <c r="F3804" s="6">
        <f>ROUND(E3804-E3803,2)</f>
        <v/>
      </c>
      <c r="G3804" s="6">
        <f>ROUND(F3804-D3804,2)</f>
        <v/>
      </c>
    </row>
    <row r="3805">
      <c r="A3805" t="inlineStr">
        <is>
          <t>2022-09-21</t>
        </is>
      </c>
      <c r="B3805" t="n">
        <v>6</v>
      </c>
      <c r="C3805" t="n">
        <v>3060</v>
      </c>
      <c r="D3805" s="6" t="n">
        <v>70.09999999999999</v>
      </c>
      <c r="E3805" s="6" t="n">
        <v>1247666.89</v>
      </c>
      <c r="F3805" s="6">
        <f>ROUND(E3805-E3804,2)</f>
        <v/>
      </c>
      <c r="G3805" s="6">
        <f>ROUND(F3805-D3805,2)</f>
        <v/>
      </c>
    </row>
    <row r="3806">
      <c r="A3806" t="inlineStr">
        <is>
          <t>2022-09-21</t>
        </is>
      </c>
      <c r="B3806" t="n">
        <v>7</v>
      </c>
      <c r="C3806" t="n">
        <v>3060</v>
      </c>
      <c r="D3806" s="6" t="n">
        <v>48</v>
      </c>
      <c r="E3806" s="6" t="n">
        <v>1247714.89</v>
      </c>
      <c r="F3806" s="6">
        <f>ROUND(E3806-E3805,2)</f>
        <v/>
      </c>
      <c r="G3806" s="6">
        <f>ROUND(F3806-D3806,2)</f>
        <v/>
      </c>
    </row>
    <row r="3807">
      <c r="A3807" t="inlineStr">
        <is>
          <t>2022-09-21</t>
        </is>
      </c>
      <c r="B3807" t="n">
        <v>8</v>
      </c>
      <c r="C3807" t="n">
        <v>3060</v>
      </c>
      <c r="D3807" s="6" t="n">
        <v>46.9</v>
      </c>
      <c r="E3807" s="6" t="n">
        <v>1247761.79</v>
      </c>
      <c r="F3807" s="6">
        <f>ROUND(E3807-E3806,2)</f>
        <v/>
      </c>
      <c r="G3807" s="6">
        <f>ROUND(F3807-D3807,2)</f>
        <v/>
      </c>
    </row>
    <row r="3808">
      <c r="A3808" t="inlineStr">
        <is>
          <t>2022-09-21</t>
        </is>
      </c>
      <c r="B3808" t="n">
        <v>9</v>
      </c>
      <c r="C3808" t="n">
        <v>3060</v>
      </c>
      <c r="D3808" s="6" t="n">
        <v>61.4</v>
      </c>
      <c r="E3808" s="6" t="n">
        <v>1247823.19</v>
      </c>
      <c r="F3808" s="6">
        <f>ROUND(E3808-E3807,2)</f>
        <v/>
      </c>
      <c r="G3808" s="6">
        <f>ROUND(F3808-D3808,2)</f>
        <v/>
      </c>
    </row>
    <row r="3809">
      <c r="A3809" t="inlineStr">
        <is>
          <t>2022-09-21</t>
        </is>
      </c>
      <c r="B3809" t="n">
        <v>10</v>
      </c>
      <c r="C3809" t="n">
        <v>3060</v>
      </c>
      <c r="D3809" s="6" t="n">
        <v>52.9</v>
      </c>
      <c r="E3809" s="6" t="n">
        <v>1247876.09</v>
      </c>
      <c r="F3809" s="6">
        <f>ROUND(E3809-E3808,2)</f>
        <v/>
      </c>
      <c r="G3809" s="6">
        <f>ROUND(F3809-D3809,2)</f>
        <v/>
      </c>
    </row>
    <row r="3810">
      <c r="A3810" t="inlineStr">
        <is>
          <t>2022-09-21</t>
        </is>
      </c>
      <c r="B3810" t="n">
        <v>11</v>
      </c>
      <c r="C3810" t="n">
        <v>3060</v>
      </c>
      <c r="D3810" s="6" t="n">
        <v>37.4</v>
      </c>
      <c r="E3810" s="6" t="n">
        <v>1247913.49</v>
      </c>
      <c r="F3810" s="6">
        <f>ROUND(E3810-E3809,2)</f>
        <v/>
      </c>
      <c r="G3810" s="6">
        <f>ROUND(F3810-D3810,2)</f>
        <v/>
      </c>
    </row>
    <row r="3811">
      <c r="A3811" t="inlineStr">
        <is>
          <t>2022-09-21</t>
        </is>
      </c>
      <c r="B3811" t="n">
        <v>12</v>
      </c>
      <c r="C3811" t="n">
        <v>3060</v>
      </c>
      <c r="D3811" s="6" t="n">
        <v>51.7</v>
      </c>
      <c r="E3811" s="6" t="n">
        <v>1247965.19</v>
      </c>
      <c r="F3811" s="6">
        <f>ROUND(E3811-E3810,2)</f>
        <v/>
      </c>
      <c r="G3811" s="6">
        <f>ROUND(F3811-D3811,2)</f>
        <v/>
      </c>
    </row>
    <row r="3812">
      <c r="A3812" t="inlineStr">
        <is>
          <t>2022-09-21</t>
        </is>
      </c>
      <c r="B3812" t="n">
        <v>13</v>
      </c>
      <c r="C3812" t="n">
        <v>3060</v>
      </c>
      <c r="D3812" s="6" t="n">
        <v>116.2</v>
      </c>
      <c r="E3812" s="6" t="n">
        <v>1248081.39</v>
      </c>
      <c r="F3812" s="6">
        <f>ROUND(E3812-E3811,2)</f>
        <v/>
      </c>
      <c r="G3812" s="6">
        <f>ROUND(F3812-D3812,2)</f>
        <v/>
      </c>
    </row>
    <row r="3813">
      <c r="A3813" t="inlineStr">
        <is>
          <t>2022-09-21</t>
        </is>
      </c>
      <c r="B3813" t="n">
        <v>14</v>
      </c>
      <c r="C3813" t="n">
        <v>3060</v>
      </c>
      <c r="D3813" s="6" t="n">
        <v>52.8</v>
      </c>
      <c r="E3813" s="6" t="n">
        <v>1248134.19</v>
      </c>
      <c r="F3813" s="6">
        <f>ROUND(E3813-E3812,2)</f>
        <v/>
      </c>
      <c r="G3813" s="6">
        <f>ROUND(F3813-D3813,2)</f>
        <v/>
      </c>
    </row>
    <row r="3814">
      <c r="A3814" t="inlineStr">
        <is>
          <t>2022-09-21</t>
        </is>
      </c>
      <c r="B3814" t="n">
        <v>15</v>
      </c>
      <c r="C3814" t="n">
        <v>3060</v>
      </c>
      <c r="D3814" s="6" t="n">
        <v>59.2</v>
      </c>
      <c r="E3814" s="6" t="n">
        <v>1248193.39</v>
      </c>
      <c r="F3814" s="6">
        <f>ROUND(E3814-E3813,2)</f>
        <v/>
      </c>
      <c r="G3814" s="6">
        <f>ROUND(F3814-D3814,2)</f>
        <v/>
      </c>
    </row>
    <row r="3815">
      <c r="A3815" t="inlineStr">
        <is>
          <t>2022-09-21</t>
        </is>
      </c>
      <c r="B3815" t="n">
        <v>16</v>
      </c>
      <c r="C3815" t="n">
        <v>3060</v>
      </c>
      <c r="D3815" s="6" t="n">
        <v>60.5</v>
      </c>
      <c r="E3815" s="6" t="n">
        <v>1248253.89</v>
      </c>
      <c r="F3815" s="6">
        <f>ROUND(E3815-E3814,2)</f>
        <v/>
      </c>
      <c r="G3815" s="6">
        <f>ROUND(F3815-D3815,2)</f>
        <v/>
      </c>
    </row>
    <row r="3816">
      <c r="A3816" t="inlineStr">
        <is>
          <t>2022-09-21</t>
        </is>
      </c>
      <c r="B3816" t="n">
        <v>17</v>
      </c>
      <c r="C3816" t="n">
        <v>3060</v>
      </c>
      <c r="D3816" s="6" t="n">
        <v>81.8</v>
      </c>
      <c r="E3816" s="6" t="n">
        <v>1248335.69</v>
      </c>
      <c r="F3816" s="6">
        <f>ROUND(E3816-E3815,2)</f>
        <v/>
      </c>
      <c r="G3816" s="6">
        <f>ROUND(F3816-D3816,2)</f>
        <v/>
      </c>
    </row>
    <row r="3817">
      <c r="A3817" t="inlineStr">
        <is>
          <t>2022-09-21</t>
        </is>
      </c>
      <c r="B3817" t="n">
        <v>18</v>
      </c>
      <c r="C3817" t="n">
        <v>3060</v>
      </c>
      <c r="D3817" s="6" t="n">
        <v>76.8</v>
      </c>
      <c r="E3817" s="6" t="n">
        <v>1248412.49</v>
      </c>
      <c r="F3817" s="6">
        <f>ROUND(E3817-E3816,2)</f>
        <v/>
      </c>
      <c r="G3817" s="6">
        <f>ROUND(F3817-D3817,2)</f>
        <v/>
      </c>
    </row>
    <row r="3818">
      <c r="A3818" t="inlineStr">
        <is>
          <t>2022-09-21</t>
        </is>
      </c>
      <c r="B3818" t="n">
        <v>19</v>
      </c>
      <c r="C3818" t="n">
        <v>3060</v>
      </c>
      <c r="D3818" s="6" t="n">
        <v>97.59999999999999</v>
      </c>
      <c r="E3818" s="6" t="n">
        <v>1248510.09</v>
      </c>
      <c r="F3818" s="6">
        <f>ROUND(E3818-E3817,2)</f>
        <v/>
      </c>
      <c r="G3818" s="6">
        <f>ROUND(F3818-D3818,2)</f>
        <v/>
      </c>
    </row>
    <row r="3819">
      <c r="A3819" t="inlineStr">
        <is>
          <t>2022-09-21</t>
        </is>
      </c>
      <c r="B3819" t="n">
        <v>20</v>
      </c>
      <c r="C3819" t="n">
        <v>3060</v>
      </c>
      <c r="D3819" s="6" t="n">
        <v>64.09999999999999</v>
      </c>
      <c r="E3819" s="6" t="n">
        <v>1248574.19</v>
      </c>
      <c r="F3819" s="6">
        <f>ROUND(E3819-E3818,2)</f>
        <v/>
      </c>
      <c r="G3819" s="6">
        <f>ROUND(F3819-D3819,2)</f>
        <v/>
      </c>
    </row>
    <row r="3820">
      <c r="A3820" t="inlineStr">
        <is>
          <t>2022-09-21</t>
        </is>
      </c>
      <c r="B3820" t="n">
        <v>21</v>
      </c>
      <c r="C3820" t="n">
        <v>3060</v>
      </c>
      <c r="D3820" s="6" t="n">
        <v>76.09999999999999</v>
      </c>
      <c r="E3820" s="6" t="n">
        <v>1248650.29</v>
      </c>
      <c r="F3820" s="6">
        <f>ROUND(E3820-E3819,2)</f>
        <v/>
      </c>
      <c r="G3820" s="6">
        <f>ROUND(F3820-D3820,2)</f>
        <v/>
      </c>
    </row>
    <row r="3821">
      <c r="A3821" t="inlineStr">
        <is>
          <t>2022-09-21</t>
        </is>
      </c>
      <c r="B3821" t="n">
        <v>22</v>
      </c>
      <c r="C3821" t="n">
        <v>3060</v>
      </c>
      <c r="D3821" s="6" t="n">
        <v>84.2</v>
      </c>
      <c r="E3821" s="6" t="n">
        <v>1248734.49</v>
      </c>
      <c r="F3821" s="6">
        <f>ROUND(E3821-E3820,2)</f>
        <v/>
      </c>
      <c r="G3821" s="6">
        <f>ROUND(F3821-D3821,2)</f>
        <v/>
      </c>
    </row>
    <row r="3822">
      <c r="A3822" t="inlineStr">
        <is>
          <t>2022-09-21</t>
        </is>
      </c>
      <c r="B3822" t="n">
        <v>23</v>
      </c>
      <c r="C3822" t="n">
        <v>3060</v>
      </c>
      <c r="D3822" s="6" t="n">
        <v>59.6</v>
      </c>
      <c r="E3822" s="6" t="n">
        <v>1248794.09</v>
      </c>
      <c r="F3822" s="6">
        <f>ROUND(E3822-E3821,2)</f>
        <v/>
      </c>
      <c r="G3822" s="6">
        <f>ROUND(F3822-D3822,2)</f>
        <v/>
      </c>
    </row>
    <row r="3823">
      <c r="A3823" t="inlineStr">
        <is>
          <t>2022-09-21</t>
        </is>
      </c>
      <c r="B3823" t="n">
        <v>24</v>
      </c>
      <c r="C3823" t="n">
        <v>3060</v>
      </c>
      <c r="D3823" s="6" t="n">
        <v>30.05</v>
      </c>
      <c r="E3823" s="6" t="n">
        <v>1248824.14</v>
      </c>
      <c r="F3823" s="6">
        <f>ROUND(E3823-E3822,2)</f>
        <v/>
      </c>
      <c r="G3823" s="6">
        <f>ROUND(F3823-D3823,2)</f>
        <v/>
      </c>
    </row>
    <row r="3824">
      <c r="A3824" t="inlineStr">
        <is>
          <t>2022-09-21</t>
        </is>
      </c>
      <c r="B3824" t="n">
        <v>25</v>
      </c>
      <c r="C3824" t="n">
        <v>3060</v>
      </c>
      <c r="D3824" s="6" t="n">
        <v>83.5</v>
      </c>
      <c r="E3824" s="6" t="n">
        <v>1248907.64</v>
      </c>
      <c r="F3824" s="6">
        <f>ROUND(E3824-E3823,2)</f>
        <v/>
      </c>
      <c r="G3824" s="6">
        <f>ROUND(F3824-D3824,2)</f>
        <v/>
      </c>
    </row>
    <row r="3825">
      <c r="A3825" t="inlineStr">
        <is>
          <t>2022-09-21</t>
        </is>
      </c>
      <c r="B3825" t="n">
        <v>26</v>
      </c>
      <c r="C3825" t="n">
        <v>3060</v>
      </c>
      <c r="D3825" s="6" t="n">
        <v>42.7</v>
      </c>
      <c r="E3825" s="6" t="n">
        <v>1248950.34</v>
      </c>
      <c r="F3825" s="6">
        <f>ROUND(E3825-E3824,2)</f>
        <v/>
      </c>
      <c r="G3825" s="6">
        <f>ROUND(F3825-D3825,2)</f>
        <v/>
      </c>
    </row>
    <row r="3826">
      <c r="A3826" t="inlineStr">
        <is>
          <t>2022-09-21</t>
        </is>
      </c>
      <c r="B3826" t="n">
        <v>27</v>
      </c>
      <c r="C3826" t="n">
        <v>3060</v>
      </c>
      <c r="D3826" s="6" t="n">
        <v>53.5</v>
      </c>
      <c r="E3826" s="6" t="n">
        <v>1249003.84</v>
      </c>
      <c r="F3826" s="6">
        <f>ROUND(E3826-E3825,2)</f>
        <v/>
      </c>
      <c r="G3826" s="6">
        <f>ROUND(F3826-D3826,2)</f>
        <v/>
      </c>
    </row>
    <row r="3827">
      <c r="A3827" t="inlineStr">
        <is>
          <t>2022-09-21</t>
        </is>
      </c>
      <c r="B3827" t="n">
        <v>28</v>
      </c>
      <c r="C3827" t="n">
        <v>3060</v>
      </c>
      <c r="D3827" s="6" t="n">
        <v>89</v>
      </c>
      <c r="E3827" s="6" t="n">
        <v>1249092.84</v>
      </c>
      <c r="F3827" s="6">
        <f>ROUND(E3827-E3826,2)</f>
        <v/>
      </c>
      <c r="G3827" s="6">
        <f>ROUND(F3827-D3827,2)</f>
        <v/>
      </c>
    </row>
    <row r="3828">
      <c r="A3828" t="inlineStr">
        <is>
          <t>2022-09-21</t>
        </is>
      </c>
      <c r="B3828" t="n">
        <v>29</v>
      </c>
      <c r="C3828" t="n">
        <v>3060</v>
      </c>
      <c r="D3828" s="6" t="n">
        <v>57.4</v>
      </c>
      <c r="E3828" s="6" t="n">
        <v>1249150.24</v>
      </c>
      <c r="F3828" s="6">
        <f>ROUND(E3828-E3827,2)</f>
        <v/>
      </c>
      <c r="G3828" s="6">
        <f>ROUND(F3828-D3828,2)</f>
        <v/>
      </c>
    </row>
    <row r="3829">
      <c r="A3829" t="inlineStr">
        <is>
          <t>2022-09-22</t>
        </is>
      </c>
      <c r="B3829" t="n">
        <v>1</v>
      </c>
      <c r="C3829" t="n">
        <v>3061</v>
      </c>
      <c r="D3829" s="6" t="n">
        <v>50.2</v>
      </c>
      <c r="E3829" s="6" t="n">
        <v>1249200.44</v>
      </c>
      <c r="F3829" s="6">
        <f>ROUND(E3829-E3828,2)</f>
        <v/>
      </c>
      <c r="G3829" s="6">
        <f>ROUND(F3829-D3829,2)</f>
        <v/>
      </c>
    </row>
    <row r="3830">
      <c r="A3830" t="inlineStr">
        <is>
          <t>2022-09-22</t>
        </is>
      </c>
      <c r="B3830" t="n">
        <v>2</v>
      </c>
      <c r="C3830" t="n">
        <v>3061</v>
      </c>
      <c r="D3830" s="6" t="n">
        <v>64.40000000000001</v>
      </c>
      <c r="E3830" s="6" t="n">
        <v>1249264.84</v>
      </c>
      <c r="F3830" s="6">
        <f>ROUND(E3830-E3829,2)</f>
        <v/>
      </c>
      <c r="G3830" s="6">
        <f>ROUND(F3830-D3830,2)</f>
        <v/>
      </c>
    </row>
    <row r="3831">
      <c r="A3831" t="inlineStr">
        <is>
          <t>2022-09-22</t>
        </is>
      </c>
      <c r="B3831" t="n">
        <v>3</v>
      </c>
      <c r="C3831" t="n">
        <v>3061</v>
      </c>
      <c r="D3831" s="6" t="n">
        <v>59.6</v>
      </c>
      <c r="E3831" s="6" t="n">
        <v>1249324.44</v>
      </c>
      <c r="F3831" s="6">
        <f>ROUND(E3831-E3830,2)</f>
        <v/>
      </c>
      <c r="G3831" s="6">
        <f>ROUND(F3831-D3831,2)</f>
        <v/>
      </c>
    </row>
    <row r="3832">
      <c r="A3832" t="inlineStr">
        <is>
          <t>2022-09-22</t>
        </is>
      </c>
      <c r="B3832" t="n">
        <v>4</v>
      </c>
      <c r="C3832" t="n">
        <v>3061</v>
      </c>
      <c r="D3832" s="6" t="n">
        <v>93.09999999999999</v>
      </c>
      <c r="E3832" s="6" t="n">
        <v>1249417.54</v>
      </c>
      <c r="F3832" s="6">
        <f>ROUND(E3832-E3831,2)</f>
        <v/>
      </c>
      <c r="G3832" s="6">
        <f>ROUND(F3832-D3832,2)</f>
        <v/>
      </c>
    </row>
    <row r="3833">
      <c r="A3833" t="inlineStr">
        <is>
          <t>2022-09-22</t>
        </is>
      </c>
      <c r="B3833" t="n">
        <v>5</v>
      </c>
      <c r="C3833" t="n">
        <v>3061</v>
      </c>
      <c r="D3833" s="6" t="n">
        <v>73</v>
      </c>
      <c r="E3833" s="6" t="n">
        <v>1249490.54</v>
      </c>
      <c r="F3833" s="6">
        <f>ROUND(E3833-E3832,2)</f>
        <v/>
      </c>
      <c r="G3833" s="6">
        <f>ROUND(F3833-D3833,2)</f>
        <v/>
      </c>
    </row>
    <row r="3834">
      <c r="A3834" t="inlineStr">
        <is>
          <t>2022-09-22</t>
        </is>
      </c>
      <c r="B3834" t="n">
        <v>6</v>
      </c>
      <c r="C3834" t="n">
        <v>3061</v>
      </c>
      <c r="D3834" s="6" t="n">
        <v>69.8</v>
      </c>
      <c r="E3834" s="6" t="n">
        <v>1249560.34</v>
      </c>
      <c r="F3834" s="6">
        <f>ROUND(E3834-E3833,2)</f>
        <v/>
      </c>
      <c r="G3834" s="6">
        <f>ROUND(F3834-D3834,2)</f>
        <v/>
      </c>
    </row>
    <row r="3835">
      <c r="A3835" t="inlineStr">
        <is>
          <t>2022-09-22</t>
        </is>
      </c>
      <c r="B3835" t="n">
        <v>7</v>
      </c>
      <c r="C3835" t="n">
        <v>3061</v>
      </c>
      <c r="D3835" s="6" t="n">
        <v>86.40000000000001</v>
      </c>
      <c r="E3835" s="6" t="n">
        <v>1249646.74</v>
      </c>
      <c r="F3835" s="6">
        <f>ROUND(E3835-E3834,2)</f>
        <v/>
      </c>
      <c r="G3835" s="6">
        <f>ROUND(F3835-D3835,2)</f>
        <v/>
      </c>
    </row>
    <row r="3836">
      <c r="A3836" t="inlineStr">
        <is>
          <t>2022-09-22</t>
        </is>
      </c>
      <c r="B3836" t="n">
        <v>8</v>
      </c>
      <c r="C3836" t="n">
        <v>3061</v>
      </c>
      <c r="D3836" s="6" t="n">
        <v>26.1</v>
      </c>
      <c r="E3836" s="6" t="n">
        <v>1249672.84</v>
      </c>
      <c r="F3836" s="6">
        <f>ROUND(E3836-E3835,2)</f>
        <v/>
      </c>
      <c r="G3836" s="6">
        <f>ROUND(F3836-D3836,2)</f>
        <v/>
      </c>
    </row>
    <row r="3837">
      <c r="A3837" t="inlineStr">
        <is>
          <t>2022-09-22</t>
        </is>
      </c>
      <c r="B3837" t="n">
        <v>9</v>
      </c>
      <c r="C3837" t="n">
        <v>3061</v>
      </c>
      <c r="D3837" s="6" t="n">
        <v>23.9</v>
      </c>
      <c r="E3837" s="6" t="n">
        <v>1249696.74</v>
      </c>
      <c r="F3837" s="6">
        <f>ROUND(E3837-E3836,2)</f>
        <v/>
      </c>
      <c r="G3837" s="6">
        <f>ROUND(F3837-D3837,2)</f>
        <v/>
      </c>
    </row>
    <row r="3838">
      <c r="A3838" t="inlineStr">
        <is>
          <t>2022-09-22</t>
        </is>
      </c>
      <c r="B3838" t="n">
        <v>10</v>
      </c>
      <c r="C3838" t="n">
        <v>3061</v>
      </c>
      <c r="D3838" s="6" t="n">
        <v>23.9</v>
      </c>
      <c r="E3838" s="6" t="n">
        <v>1249720.64</v>
      </c>
      <c r="F3838" s="6">
        <f>ROUND(E3838-E3837,2)</f>
        <v/>
      </c>
      <c r="G3838" s="6">
        <f>ROUND(F3838-D3838,2)</f>
        <v/>
      </c>
    </row>
    <row r="3839">
      <c r="A3839" t="inlineStr">
        <is>
          <t>2022-09-22</t>
        </is>
      </c>
      <c r="B3839" t="n">
        <v>11</v>
      </c>
      <c r="C3839" t="n">
        <v>3061</v>
      </c>
      <c r="D3839" s="6" t="n">
        <v>26.1</v>
      </c>
      <c r="E3839" s="6" t="n">
        <v>1249746.74</v>
      </c>
      <c r="F3839" s="6">
        <f>ROUND(E3839-E3838,2)</f>
        <v/>
      </c>
      <c r="G3839" s="6">
        <f>ROUND(F3839-D3839,2)</f>
        <v/>
      </c>
    </row>
    <row r="3840">
      <c r="A3840" t="inlineStr">
        <is>
          <t>2022-09-22</t>
        </is>
      </c>
      <c r="B3840" t="n">
        <v>12</v>
      </c>
      <c r="C3840" t="n">
        <v>3061</v>
      </c>
      <c r="D3840" s="6" t="n">
        <v>66.7</v>
      </c>
      <c r="E3840" s="6" t="n">
        <v>1249813.44</v>
      </c>
      <c r="F3840" s="6">
        <f>ROUND(E3840-E3839,2)</f>
        <v/>
      </c>
      <c r="G3840" s="6">
        <f>ROUND(F3840-D3840,2)</f>
        <v/>
      </c>
    </row>
    <row r="3841">
      <c r="A3841" t="inlineStr">
        <is>
          <t>2022-09-22</t>
        </is>
      </c>
      <c r="B3841" t="n">
        <v>13</v>
      </c>
      <c r="C3841" t="n">
        <v>3061</v>
      </c>
      <c r="D3841" s="6" t="n">
        <v>160.8</v>
      </c>
      <c r="E3841" s="6" t="n">
        <v>1249974.24</v>
      </c>
      <c r="F3841" s="6">
        <f>ROUND(E3841-E3840,2)</f>
        <v/>
      </c>
      <c r="G3841" s="6">
        <f>ROUND(F3841-D3841,2)</f>
        <v/>
      </c>
    </row>
    <row r="3842">
      <c r="A3842" t="inlineStr">
        <is>
          <t>2022-09-22</t>
        </is>
      </c>
      <c r="B3842" t="n">
        <v>14</v>
      </c>
      <c r="C3842" t="n">
        <v>3061</v>
      </c>
      <c r="D3842" s="6" t="n">
        <v>87.8</v>
      </c>
      <c r="E3842" s="6" t="n">
        <v>1250062.04</v>
      </c>
      <c r="F3842" s="6">
        <f>ROUND(E3842-E3841,2)</f>
        <v/>
      </c>
      <c r="G3842" s="6">
        <f>ROUND(F3842-D3842,2)</f>
        <v/>
      </c>
    </row>
    <row r="3843">
      <c r="A3843" t="inlineStr">
        <is>
          <t>2022-09-22</t>
        </is>
      </c>
      <c r="B3843" t="n">
        <v>15</v>
      </c>
      <c r="C3843" t="n">
        <v>3061</v>
      </c>
      <c r="D3843" s="6" t="n">
        <v>44.8</v>
      </c>
      <c r="E3843" s="6" t="n">
        <v>1250106.84</v>
      </c>
      <c r="F3843" s="6">
        <f>ROUND(E3843-E3842,2)</f>
        <v/>
      </c>
      <c r="G3843" s="6">
        <f>ROUND(F3843-D3843,2)</f>
        <v/>
      </c>
    </row>
    <row r="3844">
      <c r="A3844" t="inlineStr">
        <is>
          <t>2022-09-22</t>
        </is>
      </c>
      <c r="B3844" t="n">
        <v>16</v>
      </c>
      <c r="C3844" t="n">
        <v>3061</v>
      </c>
      <c r="D3844" s="6" t="n">
        <v>36.55</v>
      </c>
      <c r="E3844" s="6" t="n">
        <v>1250143.39</v>
      </c>
      <c r="F3844" s="6">
        <f>ROUND(E3844-E3843,2)</f>
        <v/>
      </c>
      <c r="G3844" s="6">
        <f>ROUND(F3844-D3844,2)</f>
        <v/>
      </c>
    </row>
    <row r="3845">
      <c r="A3845" t="inlineStr">
        <is>
          <t>2022-09-22</t>
        </is>
      </c>
      <c r="B3845" t="n">
        <v>17</v>
      </c>
      <c r="C3845" t="n">
        <v>3061</v>
      </c>
      <c r="D3845" s="6" t="n">
        <v>36.55</v>
      </c>
      <c r="E3845" s="6" t="n">
        <v>1250179.94</v>
      </c>
      <c r="F3845" s="6">
        <f>ROUND(E3845-E3844,2)</f>
        <v/>
      </c>
      <c r="G3845" s="6">
        <f>ROUND(F3845-D3845,2)</f>
        <v/>
      </c>
    </row>
    <row r="3846">
      <c r="A3846" t="inlineStr">
        <is>
          <t>2022-09-22</t>
        </is>
      </c>
      <c r="B3846" t="n">
        <v>18</v>
      </c>
      <c r="C3846" t="n">
        <v>3061</v>
      </c>
      <c r="D3846" s="6" t="n">
        <v>23.5</v>
      </c>
      <c r="E3846" s="6" t="n">
        <v>1250203.44</v>
      </c>
      <c r="F3846" s="6">
        <f>ROUND(E3846-E3845,2)</f>
        <v/>
      </c>
      <c r="G3846" s="6">
        <f>ROUND(F3846-D3846,2)</f>
        <v/>
      </c>
    </row>
    <row r="3847">
      <c r="A3847" t="inlineStr">
        <is>
          <t>2022-09-22</t>
        </is>
      </c>
      <c r="B3847" t="n">
        <v>19</v>
      </c>
      <c r="C3847" t="n">
        <v>3061</v>
      </c>
      <c r="D3847" s="6" t="n">
        <v>91</v>
      </c>
      <c r="E3847" s="6" t="n">
        <v>1250294.44</v>
      </c>
      <c r="F3847" s="6">
        <f>ROUND(E3847-E3846,2)</f>
        <v/>
      </c>
      <c r="G3847" s="6">
        <f>ROUND(F3847-D3847,2)</f>
        <v/>
      </c>
    </row>
    <row r="3848">
      <c r="A3848" t="inlineStr">
        <is>
          <t>2022-09-22</t>
        </is>
      </c>
      <c r="B3848" t="n">
        <v>20</v>
      </c>
      <c r="C3848" t="n">
        <v>3061</v>
      </c>
      <c r="D3848" s="6" t="n">
        <v>74.40000000000001</v>
      </c>
      <c r="E3848" s="6" t="n">
        <v>1250368.84</v>
      </c>
      <c r="F3848" s="6">
        <f>ROUND(E3848-E3847,2)</f>
        <v/>
      </c>
      <c r="G3848" s="6">
        <f>ROUND(F3848-D3848,2)</f>
        <v/>
      </c>
    </row>
    <row r="3849">
      <c r="A3849" t="inlineStr">
        <is>
          <t>2022-09-22</t>
        </is>
      </c>
      <c r="B3849" t="n">
        <v>21</v>
      </c>
      <c r="C3849" t="n">
        <v>3061</v>
      </c>
      <c r="D3849" s="6" t="n">
        <v>65.59999999999999</v>
      </c>
      <c r="E3849" s="6" t="n">
        <v>1250434.44</v>
      </c>
      <c r="F3849" s="6">
        <f>ROUND(E3849-E3848,2)</f>
        <v/>
      </c>
      <c r="G3849" s="6">
        <f>ROUND(F3849-D3849,2)</f>
        <v/>
      </c>
    </row>
    <row r="3850">
      <c r="A3850" t="inlineStr">
        <is>
          <t>2022-09-22</t>
        </is>
      </c>
      <c r="B3850" t="n">
        <v>22</v>
      </c>
      <c r="C3850" t="n">
        <v>3061</v>
      </c>
      <c r="D3850" s="6" t="n">
        <v>70.5</v>
      </c>
      <c r="E3850" s="6" t="n">
        <v>1250504.94</v>
      </c>
      <c r="F3850" s="6">
        <f>ROUND(E3850-E3849,2)</f>
        <v/>
      </c>
      <c r="G3850" s="6">
        <f>ROUND(F3850-D3850,2)</f>
        <v/>
      </c>
    </row>
    <row r="3851">
      <c r="A3851" t="inlineStr">
        <is>
          <t>2022-09-22</t>
        </is>
      </c>
      <c r="B3851" t="n">
        <v>23</v>
      </c>
      <c r="C3851" t="n">
        <v>3061</v>
      </c>
      <c r="D3851" s="6" t="n">
        <v>82.90000000000001</v>
      </c>
      <c r="E3851" s="6" t="n">
        <v>1250587.84</v>
      </c>
      <c r="F3851" s="6">
        <f>ROUND(E3851-E3850,2)</f>
        <v/>
      </c>
      <c r="G3851" s="6">
        <f>ROUND(F3851-D3851,2)</f>
        <v/>
      </c>
    </row>
    <row r="3852">
      <c r="A3852" t="inlineStr">
        <is>
          <t>2022-09-22</t>
        </is>
      </c>
      <c r="B3852" t="n">
        <v>24</v>
      </c>
      <c r="C3852" t="n">
        <v>3061</v>
      </c>
      <c r="D3852" s="6" t="n">
        <v>80.5</v>
      </c>
      <c r="E3852" s="6" t="n">
        <v>1250668.34</v>
      </c>
      <c r="F3852" s="6">
        <f>ROUND(E3852-E3851,2)</f>
        <v/>
      </c>
      <c r="G3852" s="6">
        <f>ROUND(F3852-D3852,2)</f>
        <v/>
      </c>
    </row>
    <row r="3853">
      <c r="A3853" t="inlineStr">
        <is>
          <t>2022-09-22</t>
        </is>
      </c>
      <c r="B3853" t="n">
        <v>25</v>
      </c>
      <c r="C3853" t="n">
        <v>3061</v>
      </c>
      <c r="D3853" s="6" t="n">
        <v>58.6</v>
      </c>
      <c r="E3853" s="6" t="n">
        <v>1250726.94</v>
      </c>
      <c r="F3853" s="6">
        <f>ROUND(E3853-E3852,2)</f>
        <v/>
      </c>
      <c r="G3853" s="6">
        <f>ROUND(F3853-D3853,2)</f>
        <v/>
      </c>
    </row>
    <row r="3854">
      <c r="A3854" t="inlineStr">
        <is>
          <t>2022-09-22</t>
        </is>
      </c>
      <c r="B3854" t="n">
        <v>26</v>
      </c>
      <c r="C3854" t="n">
        <v>3061</v>
      </c>
      <c r="D3854" s="6" t="n">
        <v>126.6</v>
      </c>
      <c r="E3854" s="6" t="n">
        <v>1250853.54</v>
      </c>
      <c r="F3854" s="6">
        <f>ROUND(E3854-E3853,2)</f>
        <v/>
      </c>
      <c r="G3854" s="6">
        <f>ROUND(F3854-D3854,2)</f>
        <v/>
      </c>
    </row>
    <row r="3855">
      <c r="A3855" t="inlineStr">
        <is>
          <t>2022-09-22</t>
        </is>
      </c>
      <c r="B3855" t="n">
        <v>27</v>
      </c>
      <c r="C3855" t="n">
        <v>3061</v>
      </c>
      <c r="D3855" s="6" t="n">
        <v>155.4</v>
      </c>
      <c r="E3855" s="6" t="n">
        <v>1251008.94</v>
      </c>
      <c r="F3855" s="6">
        <f>ROUND(E3855-E3854,2)</f>
        <v/>
      </c>
      <c r="G3855" s="6">
        <f>ROUND(F3855-D3855,2)</f>
        <v/>
      </c>
    </row>
    <row r="3856">
      <c r="A3856" t="inlineStr">
        <is>
          <t>2022-09-22</t>
        </is>
      </c>
      <c r="B3856" t="n">
        <v>28</v>
      </c>
      <c r="C3856" t="n">
        <v>3061</v>
      </c>
      <c r="D3856" s="6" t="n">
        <v>98.3</v>
      </c>
      <c r="E3856" s="6" t="n">
        <v>1251107.24</v>
      </c>
      <c r="F3856" s="6">
        <f>ROUND(E3856-E3855,2)</f>
        <v/>
      </c>
      <c r="G3856" s="6">
        <f>ROUND(F3856-D3856,2)</f>
        <v/>
      </c>
    </row>
    <row r="3857">
      <c r="A3857" t="inlineStr">
        <is>
          <t>2022-09-22</t>
        </is>
      </c>
      <c r="B3857" t="n">
        <v>29</v>
      </c>
      <c r="C3857" t="n">
        <v>3061</v>
      </c>
      <c r="D3857" s="6" t="n">
        <v>88.90000000000001</v>
      </c>
      <c r="E3857" s="6" t="n">
        <v>1251196.14</v>
      </c>
      <c r="F3857" s="6">
        <f>ROUND(E3857-E3856,2)</f>
        <v/>
      </c>
      <c r="G3857" s="6">
        <f>ROUND(F3857-D3857,2)</f>
        <v/>
      </c>
    </row>
    <row r="3858">
      <c r="A3858" t="inlineStr">
        <is>
          <t>2022-09-22</t>
        </is>
      </c>
      <c r="B3858" t="n">
        <v>30</v>
      </c>
      <c r="C3858" t="n">
        <v>3061</v>
      </c>
      <c r="D3858" s="6" t="n">
        <v>32.4</v>
      </c>
      <c r="E3858" s="6" t="n">
        <v>1251228.54</v>
      </c>
      <c r="F3858" s="6">
        <f>ROUND(E3858-E3857,2)</f>
        <v/>
      </c>
      <c r="G3858" s="6">
        <f>ROUND(F3858-D3858,2)</f>
        <v/>
      </c>
    </row>
    <row r="3859">
      <c r="A3859" t="inlineStr">
        <is>
          <t>2022-09-22</t>
        </is>
      </c>
      <c r="B3859" t="n">
        <v>31</v>
      </c>
      <c r="C3859" t="n">
        <v>3061</v>
      </c>
      <c r="D3859" s="6" t="n">
        <v>111.9</v>
      </c>
      <c r="E3859" s="6" t="n">
        <v>1251340.44</v>
      </c>
      <c r="F3859" s="6">
        <f>ROUND(E3859-E3858,2)</f>
        <v/>
      </c>
      <c r="G3859" s="6">
        <f>ROUND(F3859-D3859,2)</f>
        <v/>
      </c>
    </row>
    <row r="3860">
      <c r="A3860" t="inlineStr">
        <is>
          <t>2022-09-22</t>
        </is>
      </c>
      <c r="B3860" t="n">
        <v>32</v>
      </c>
      <c r="C3860" t="n">
        <v>3061</v>
      </c>
      <c r="D3860" s="6" t="n">
        <v>131.9</v>
      </c>
      <c r="E3860" s="6" t="n">
        <v>1251472.34</v>
      </c>
      <c r="F3860" s="6">
        <f>ROUND(E3860-E3859,2)</f>
        <v/>
      </c>
      <c r="G3860" s="6">
        <f>ROUND(F3860-D3860,2)</f>
        <v/>
      </c>
    </row>
    <row r="3861">
      <c r="A3861" t="inlineStr">
        <is>
          <t>2022-09-23</t>
        </is>
      </c>
      <c r="B3861" t="n">
        <v>1</v>
      </c>
      <c r="C3861" t="n">
        <v>3062</v>
      </c>
      <c r="D3861" s="6" t="n">
        <v>60.9</v>
      </c>
      <c r="E3861" s="6" t="n">
        <v>1251533.24</v>
      </c>
      <c r="F3861" s="6">
        <f>ROUND(E3861-E3860,2)</f>
        <v/>
      </c>
      <c r="G3861" s="6">
        <f>ROUND(F3861-D3861,2)</f>
        <v/>
      </c>
    </row>
    <row r="3862">
      <c r="A3862" t="inlineStr">
        <is>
          <t>2022-09-23</t>
        </is>
      </c>
      <c r="B3862" t="n">
        <v>2</v>
      </c>
      <c r="C3862" t="n">
        <v>3062</v>
      </c>
      <c r="D3862" s="6" t="n">
        <v>34.2</v>
      </c>
      <c r="E3862" s="6" t="n">
        <v>1251567.44</v>
      </c>
      <c r="F3862" s="6">
        <f>ROUND(E3862-E3861,2)</f>
        <v/>
      </c>
      <c r="G3862" s="6">
        <f>ROUND(F3862-D3862,2)</f>
        <v/>
      </c>
    </row>
    <row r="3863">
      <c r="A3863" t="inlineStr">
        <is>
          <t>2022-09-23</t>
        </is>
      </c>
      <c r="B3863" t="n">
        <v>3</v>
      </c>
      <c r="C3863" t="n">
        <v>3062</v>
      </c>
      <c r="D3863" s="6" t="n">
        <v>84.2</v>
      </c>
      <c r="E3863" s="6" t="n">
        <v>1251651.64</v>
      </c>
      <c r="F3863" s="6">
        <f>ROUND(E3863-E3862,2)</f>
        <v/>
      </c>
      <c r="G3863" s="6">
        <f>ROUND(F3863-D3863,2)</f>
        <v/>
      </c>
    </row>
    <row r="3864">
      <c r="A3864" t="inlineStr">
        <is>
          <t>2022-09-23</t>
        </is>
      </c>
      <c r="B3864" t="n">
        <v>4</v>
      </c>
      <c r="C3864" t="n">
        <v>3062</v>
      </c>
      <c r="D3864" s="6" t="n">
        <v>29</v>
      </c>
      <c r="E3864" s="6" t="n">
        <v>1251680.64</v>
      </c>
      <c r="F3864" s="6">
        <f>ROUND(E3864-E3863,2)</f>
        <v/>
      </c>
      <c r="G3864" s="6">
        <f>ROUND(F3864-D3864,2)</f>
        <v/>
      </c>
    </row>
    <row r="3865">
      <c r="A3865" t="inlineStr">
        <is>
          <t>2022-09-23</t>
        </is>
      </c>
      <c r="B3865" t="n">
        <v>5</v>
      </c>
      <c r="C3865" t="n">
        <v>3062</v>
      </c>
      <c r="D3865" s="6" t="n">
        <v>29</v>
      </c>
      <c r="E3865" s="6" t="n">
        <v>1251709.64</v>
      </c>
      <c r="F3865" s="6">
        <f>ROUND(E3865-E3864,2)</f>
        <v/>
      </c>
      <c r="G3865" s="6">
        <f>ROUND(F3865-D3865,2)</f>
        <v/>
      </c>
    </row>
    <row r="3866">
      <c r="A3866" t="inlineStr">
        <is>
          <t>2022-09-23</t>
        </is>
      </c>
      <c r="B3866" t="n">
        <v>6</v>
      </c>
      <c r="C3866" t="n">
        <v>3062</v>
      </c>
      <c r="D3866" s="6" t="n">
        <v>95.59999999999999</v>
      </c>
      <c r="E3866" s="6" t="n">
        <v>1251805.24</v>
      </c>
      <c r="F3866" s="6">
        <f>ROUND(E3866-E3865,2)</f>
        <v/>
      </c>
      <c r="G3866" s="6">
        <f>ROUND(F3866-D3866,2)</f>
        <v/>
      </c>
    </row>
    <row r="3867">
      <c r="A3867" t="inlineStr">
        <is>
          <t>2022-09-23</t>
        </is>
      </c>
      <c r="B3867" t="n">
        <v>7</v>
      </c>
      <c r="C3867" t="n">
        <v>3062</v>
      </c>
      <c r="D3867" s="6" t="n">
        <v>81.90000000000001</v>
      </c>
      <c r="E3867" s="6" t="n">
        <v>1251887.14</v>
      </c>
      <c r="F3867" s="6">
        <f>ROUND(E3867-E3866,2)</f>
        <v/>
      </c>
      <c r="G3867" s="6">
        <f>ROUND(F3867-D3867,2)</f>
        <v/>
      </c>
    </row>
    <row r="3868">
      <c r="A3868" t="inlineStr">
        <is>
          <t>2022-09-23</t>
        </is>
      </c>
      <c r="B3868" t="n">
        <v>8</v>
      </c>
      <c r="C3868" t="n">
        <v>3062</v>
      </c>
      <c r="D3868" s="6" t="n">
        <v>102.3</v>
      </c>
      <c r="E3868" s="6" t="n">
        <v>1251989.44</v>
      </c>
      <c r="F3868" s="6">
        <f>ROUND(E3868-E3867,2)</f>
        <v/>
      </c>
      <c r="G3868" s="6">
        <f>ROUND(F3868-D3868,2)</f>
        <v/>
      </c>
    </row>
    <row r="3869">
      <c r="A3869" t="inlineStr">
        <is>
          <t>2022-09-23</t>
        </is>
      </c>
      <c r="B3869" t="n">
        <v>9</v>
      </c>
      <c r="C3869" t="n">
        <v>3062</v>
      </c>
      <c r="D3869" s="6" t="n">
        <v>46</v>
      </c>
      <c r="E3869" s="6" t="n">
        <v>1252035.44</v>
      </c>
      <c r="F3869" s="6">
        <f>ROUND(E3869-E3868,2)</f>
        <v/>
      </c>
      <c r="G3869" s="6">
        <f>ROUND(F3869-D3869,2)</f>
        <v/>
      </c>
    </row>
    <row r="3870">
      <c r="A3870" t="inlineStr">
        <is>
          <t>2022-09-23</t>
        </is>
      </c>
      <c r="B3870" t="n">
        <v>10</v>
      </c>
      <c r="C3870" t="n">
        <v>3062</v>
      </c>
      <c r="D3870" s="6" t="n">
        <v>39.3</v>
      </c>
      <c r="E3870" s="6" t="n">
        <v>1252074.74</v>
      </c>
      <c r="F3870" s="6">
        <f>ROUND(E3870-E3869,2)</f>
        <v/>
      </c>
      <c r="G3870" s="6">
        <f>ROUND(F3870-D3870,2)</f>
        <v/>
      </c>
    </row>
    <row r="3871">
      <c r="A3871" t="inlineStr">
        <is>
          <t>2022-09-23</t>
        </is>
      </c>
      <c r="B3871" t="n">
        <v>11</v>
      </c>
      <c r="C3871" t="n">
        <v>3062</v>
      </c>
      <c r="D3871" s="6" t="n">
        <v>22</v>
      </c>
      <c r="E3871" s="6" t="n">
        <v>1252096.74</v>
      </c>
      <c r="F3871" s="6">
        <f>ROUND(E3871-E3870,2)</f>
        <v/>
      </c>
      <c r="G3871" s="6">
        <f>ROUND(F3871-D3871,2)</f>
        <v/>
      </c>
    </row>
    <row r="3872">
      <c r="A3872" t="inlineStr">
        <is>
          <t>2022-09-23</t>
        </is>
      </c>
      <c r="B3872" t="n">
        <v>12</v>
      </c>
      <c r="C3872" t="n">
        <v>3062</v>
      </c>
      <c r="D3872" s="6" t="n">
        <v>83.09999999999999</v>
      </c>
      <c r="E3872" s="6" t="n">
        <v>1252179.84</v>
      </c>
      <c r="F3872" s="6">
        <f>ROUND(E3872-E3871,2)</f>
        <v/>
      </c>
      <c r="G3872" s="6">
        <f>ROUND(F3872-D3872,2)</f>
        <v/>
      </c>
    </row>
    <row r="3873">
      <c r="A3873" t="inlineStr">
        <is>
          <t>2022-09-23</t>
        </is>
      </c>
      <c r="B3873" t="n">
        <v>13</v>
      </c>
      <c r="C3873" t="n">
        <v>3062</v>
      </c>
      <c r="D3873" s="6" t="n">
        <v>97.65000000000001</v>
      </c>
      <c r="E3873" s="6" t="n">
        <v>1252277.49</v>
      </c>
      <c r="F3873" s="6">
        <f>ROUND(E3873-E3872,2)</f>
        <v/>
      </c>
      <c r="G3873" s="6">
        <f>ROUND(F3873-D3873,2)</f>
        <v/>
      </c>
    </row>
    <row r="3874">
      <c r="A3874" t="inlineStr">
        <is>
          <t>2022-09-23</t>
        </is>
      </c>
      <c r="B3874" t="n">
        <v>14</v>
      </c>
      <c r="C3874" t="n">
        <v>3062</v>
      </c>
      <c r="D3874" s="6" t="n">
        <v>97.65000000000001</v>
      </c>
      <c r="E3874" s="6" t="n">
        <v>1252375.14</v>
      </c>
      <c r="F3874" s="6">
        <f>ROUND(E3874-E3873,2)</f>
        <v/>
      </c>
      <c r="G3874" s="6">
        <f>ROUND(F3874-D3874,2)</f>
        <v/>
      </c>
    </row>
    <row r="3875">
      <c r="A3875" t="inlineStr">
        <is>
          <t>2022-09-23</t>
        </is>
      </c>
      <c r="B3875" t="n">
        <v>15</v>
      </c>
      <c r="C3875" t="n">
        <v>3062</v>
      </c>
      <c r="D3875" s="6" t="n">
        <v>82.3</v>
      </c>
      <c r="E3875" s="6" t="n">
        <v>1252457.44</v>
      </c>
      <c r="F3875" s="6">
        <f>ROUND(E3875-E3874,2)</f>
        <v/>
      </c>
      <c r="G3875" s="6">
        <f>ROUND(F3875-D3875,2)</f>
        <v/>
      </c>
    </row>
    <row r="3876">
      <c r="A3876" t="inlineStr">
        <is>
          <t>2022-09-23</t>
        </is>
      </c>
      <c r="B3876" t="n">
        <v>16</v>
      </c>
      <c r="C3876" t="n">
        <v>3062</v>
      </c>
      <c r="D3876" s="6" t="n">
        <v>9.4</v>
      </c>
      <c r="E3876" s="6" t="n">
        <v>1252466.84</v>
      </c>
      <c r="F3876" s="6">
        <f>ROUND(E3876-E3875,2)</f>
        <v/>
      </c>
      <c r="G3876" s="6">
        <f>ROUND(F3876-D3876,2)</f>
        <v/>
      </c>
    </row>
    <row r="3877">
      <c r="A3877" t="inlineStr">
        <is>
          <t>2022-09-23</t>
        </is>
      </c>
      <c r="B3877" t="n">
        <v>17</v>
      </c>
      <c r="C3877" t="n">
        <v>3062</v>
      </c>
      <c r="D3877" s="6" t="n">
        <v>79.59999999999999</v>
      </c>
      <c r="E3877" s="6" t="n">
        <v>1252546.44</v>
      </c>
      <c r="F3877" s="6">
        <f>ROUND(E3877-E3876,2)</f>
        <v/>
      </c>
      <c r="G3877" s="6">
        <f>ROUND(F3877-D3877,2)</f>
        <v/>
      </c>
    </row>
    <row r="3878">
      <c r="A3878" t="inlineStr">
        <is>
          <t>2022-09-23</t>
        </is>
      </c>
      <c r="B3878" t="n">
        <v>18</v>
      </c>
      <c r="C3878" t="n">
        <v>3062</v>
      </c>
      <c r="D3878" s="6" t="n">
        <v>36.9</v>
      </c>
      <c r="E3878" s="6" t="n">
        <v>1252583.34</v>
      </c>
      <c r="F3878" s="6">
        <f>ROUND(E3878-E3877,2)</f>
        <v/>
      </c>
      <c r="G3878" s="6">
        <f>ROUND(F3878-D3878,2)</f>
        <v/>
      </c>
    </row>
    <row r="3879">
      <c r="A3879" t="inlineStr">
        <is>
          <t>2022-09-23</t>
        </is>
      </c>
      <c r="B3879" t="n">
        <v>19</v>
      </c>
      <c r="C3879" t="n">
        <v>3062</v>
      </c>
      <c r="D3879" s="6" t="n">
        <v>127.8</v>
      </c>
      <c r="E3879" s="6" t="n">
        <v>1252711.14</v>
      </c>
      <c r="F3879" s="6">
        <f>ROUND(E3879-E3878,2)</f>
        <v/>
      </c>
      <c r="G3879" s="6">
        <f>ROUND(F3879-D3879,2)</f>
        <v/>
      </c>
    </row>
    <row r="3880">
      <c r="A3880" t="inlineStr">
        <is>
          <t>2022-09-23</t>
        </is>
      </c>
      <c r="B3880" t="n">
        <v>20</v>
      </c>
      <c r="C3880" t="n">
        <v>3062</v>
      </c>
      <c r="D3880" s="6" t="n">
        <v>89.3</v>
      </c>
      <c r="E3880" s="6" t="n">
        <v>1252800.44</v>
      </c>
      <c r="F3880" s="6">
        <f>ROUND(E3880-E3879,2)</f>
        <v/>
      </c>
      <c r="G3880" s="6">
        <f>ROUND(F3880-D3880,2)</f>
        <v/>
      </c>
    </row>
    <row r="3881">
      <c r="A3881" t="inlineStr">
        <is>
          <t>2022-09-23</t>
        </is>
      </c>
      <c r="B3881" t="n">
        <v>21</v>
      </c>
      <c r="C3881" t="n">
        <v>3062</v>
      </c>
      <c r="D3881" s="6" t="n">
        <v>21.1</v>
      </c>
      <c r="E3881" s="6" t="n">
        <v>1252821.54</v>
      </c>
      <c r="F3881" s="6">
        <f>ROUND(E3881-E3880,2)</f>
        <v/>
      </c>
      <c r="G3881" s="6">
        <f>ROUND(F3881-D3881,2)</f>
        <v/>
      </c>
    </row>
    <row r="3882">
      <c r="A3882" t="inlineStr">
        <is>
          <t>2022-09-23</t>
        </is>
      </c>
      <c r="B3882" t="n">
        <v>22</v>
      </c>
      <c r="C3882" t="n">
        <v>3062</v>
      </c>
      <c r="D3882" s="6" t="n">
        <v>65.5</v>
      </c>
      <c r="E3882" s="6" t="n">
        <v>1252887.04</v>
      </c>
      <c r="F3882" s="6">
        <f>ROUND(E3882-E3881,2)</f>
        <v/>
      </c>
      <c r="G3882" s="6">
        <f>ROUND(F3882-D3882,2)</f>
        <v/>
      </c>
    </row>
    <row r="3883">
      <c r="A3883" t="inlineStr">
        <is>
          <t>2022-09-23</t>
        </is>
      </c>
      <c r="B3883" t="n">
        <v>23</v>
      </c>
      <c r="C3883" t="n">
        <v>3062</v>
      </c>
      <c r="D3883" s="6" t="n">
        <v>108.3</v>
      </c>
      <c r="E3883" s="6" t="n">
        <v>1252995.34</v>
      </c>
      <c r="F3883" s="6">
        <f>ROUND(E3883-E3882,2)</f>
        <v/>
      </c>
      <c r="G3883" s="6">
        <f>ROUND(F3883-D3883,2)</f>
        <v/>
      </c>
    </row>
    <row r="3884">
      <c r="A3884" t="inlineStr">
        <is>
          <t>2022-09-23</t>
        </is>
      </c>
      <c r="B3884" t="n">
        <v>24</v>
      </c>
      <c r="C3884" t="n">
        <v>3062</v>
      </c>
      <c r="D3884" s="6" t="n">
        <v>70.90000000000001</v>
      </c>
      <c r="E3884" s="6" t="n">
        <v>1253066.24</v>
      </c>
      <c r="F3884" s="6">
        <f>ROUND(E3884-E3883,2)</f>
        <v/>
      </c>
      <c r="G3884" s="6">
        <f>ROUND(F3884-D3884,2)</f>
        <v/>
      </c>
    </row>
    <row r="3885">
      <c r="A3885" t="inlineStr">
        <is>
          <t>2022-09-23</t>
        </is>
      </c>
      <c r="B3885" t="n">
        <v>25</v>
      </c>
      <c r="C3885" t="n">
        <v>3062</v>
      </c>
      <c r="D3885" s="6" t="n">
        <v>181</v>
      </c>
      <c r="E3885" s="6" t="n">
        <v>1253247.24</v>
      </c>
      <c r="F3885" s="6">
        <f>ROUND(E3885-E3884,2)</f>
        <v/>
      </c>
      <c r="G3885" s="6">
        <f>ROUND(F3885-D3885,2)</f>
        <v/>
      </c>
    </row>
    <row r="3886">
      <c r="A3886" t="inlineStr">
        <is>
          <t>2022-09-23</t>
        </is>
      </c>
      <c r="B3886" t="n">
        <v>26</v>
      </c>
      <c r="C3886" t="n">
        <v>3062</v>
      </c>
      <c r="D3886" s="6" t="n">
        <v>35.2</v>
      </c>
      <c r="E3886" s="6" t="n">
        <v>1253282.44</v>
      </c>
      <c r="F3886" s="6">
        <f>ROUND(E3886-E3885,2)</f>
        <v/>
      </c>
      <c r="G3886" s="6">
        <f>ROUND(F3886-D3886,2)</f>
        <v/>
      </c>
    </row>
    <row r="3887">
      <c r="A3887" t="inlineStr">
        <is>
          <t>2022-09-23</t>
        </is>
      </c>
      <c r="B3887" t="n">
        <v>27</v>
      </c>
      <c r="C3887" t="n">
        <v>3062</v>
      </c>
      <c r="D3887" s="6" t="n">
        <v>35.2</v>
      </c>
      <c r="E3887" s="6" t="n">
        <v>1253317.64</v>
      </c>
      <c r="F3887" s="6">
        <f>ROUND(E3887-E3886,2)</f>
        <v/>
      </c>
      <c r="G3887" s="6">
        <f>ROUND(F3887-D3887,2)</f>
        <v/>
      </c>
    </row>
    <row r="3888">
      <c r="A3888" t="inlineStr">
        <is>
          <t>2022-09-23</t>
        </is>
      </c>
      <c r="B3888" t="n">
        <v>28</v>
      </c>
      <c r="C3888" t="n">
        <v>3062</v>
      </c>
      <c r="D3888" s="6" t="n">
        <v>74.40000000000001</v>
      </c>
      <c r="E3888" s="6" t="n">
        <v>1253392.04</v>
      </c>
      <c r="F3888" s="6">
        <f>ROUND(E3888-E3887,2)</f>
        <v/>
      </c>
      <c r="G3888" s="6">
        <f>ROUND(F3888-D3888,2)</f>
        <v/>
      </c>
    </row>
    <row r="3889">
      <c r="A3889" t="inlineStr">
        <is>
          <t>2022-09-23</t>
        </is>
      </c>
      <c r="B3889" t="n">
        <v>29</v>
      </c>
      <c r="C3889" t="n">
        <v>3062</v>
      </c>
      <c r="D3889" s="6" t="n">
        <v>103.5</v>
      </c>
      <c r="E3889" s="6" t="n">
        <v>1253495.54</v>
      </c>
      <c r="F3889" s="6">
        <f>ROUND(E3889-E3888,2)</f>
        <v/>
      </c>
      <c r="G3889" s="6">
        <f>ROUND(F3889-D3889,2)</f>
        <v/>
      </c>
    </row>
    <row r="3890">
      <c r="A3890" t="inlineStr">
        <is>
          <t>2022-09-23</t>
        </is>
      </c>
      <c r="B3890" t="n">
        <v>30</v>
      </c>
      <c r="C3890" t="n">
        <v>3062</v>
      </c>
      <c r="D3890" s="6" t="n">
        <v>61.6</v>
      </c>
      <c r="E3890" s="6" t="n">
        <v>1253557.14</v>
      </c>
      <c r="F3890" s="6">
        <f>ROUND(E3890-E3889,2)</f>
        <v/>
      </c>
      <c r="G3890" s="6">
        <f>ROUND(F3890-D3890,2)</f>
        <v/>
      </c>
    </row>
    <row r="3891">
      <c r="A3891" t="inlineStr">
        <is>
          <t>2022-09-23</t>
        </is>
      </c>
      <c r="B3891" t="n">
        <v>31</v>
      </c>
      <c r="C3891" t="n">
        <v>3062</v>
      </c>
      <c r="D3891" s="6" t="n">
        <v>75.09999999999999</v>
      </c>
      <c r="E3891" s="6" t="n">
        <v>1253632.24</v>
      </c>
      <c r="F3891" s="6">
        <f>ROUND(E3891-E3890,2)</f>
        <v/>
      </c>
      <c r="G3891" s="6">
        <f>ROUND(F3891-D3891,2)</f>
        <v/>
      </c>
    </row>
    <row r="3892">
      <c r="A3892" t="inlineStr">
        <is>
          <t>2022-09-24</t>
        </is>
      </c>
      <c r="B3892" t="n">
        <v>1</v>
      </c>
      <c r="C3892" t="n">
        <v>3063</v>
      </c>
      <c r="D3892" s="6" t="n">
        <v>124.1</v>
      </c>
      <c r="E3892" s="6" t="n">
        <v>1253756.34</v>
      </c>
      <c r="F3892" s="6">
        <f>ROUND(E3892-E3891,2)</f>
        <v/>
      </c>
      <c r="G3892" s="6">
        <f>ROUND(F3892-D3892,2)</f>
        <v/>
      </c>
    </row>
    <row r="3893">
      <c r="A3893" t="inlineStr">
        <is>
          <t>2022-09-24</t>
        </is>
      </c>
      <c r="B3893" t="n">
        <v>2</v>
      </c>
      <c r="C3893" t="n">
        <v>3063</v>
      </c>
      <c r="D3893" s="6" t="n">
        <v>44.3</v>
      </c>
      <c r="E3893" s="6" t="n">
        <v>1253800.64</v>
      </c>
      <c r="F3893" s="6">
        <f>ROUND(E3893-E3892,2)</f>
        <v/>
      </c>
      <c r="G3893" s="6">
        <f>ROUND(F3893-D3893,2)</f>
        <v/>
      </c>
    </row>
    <row r="3894">
      <c r="A3894" t="inlineStr">
        <is>
          <t>2022-09-24</t>
        </is>
      </c>
      <c r="B3894" t="n">
        <v>3</v>
      </c>
      <c r="C3894" t="n">
        <v>3063</v>
      </c>
      <c r="D3894" s="6" t="n">
        <v>79.09999999999999</v>
      </c>
      <c r="E3894" s="6" t="n">
        <v>1253879.74</v>
      </c>
      <c r="F3894" s="6">
        <f>ROUND(E3894-E3893,2)</f>
        <v/>
      </c>
      <c r="G3894" s="6">
        <f>ROUND(F3894-D3894,2)</f>
        <v/>
      </c>
    </row>
    <row r="3895">
      <c r="A3895" t="inlineStr">
        <is>
          <t>2022-09-24</t>
        </is>
      </c>
      <c r="B3895" t="n">
        <v>4</v>
      </c>
      <c r="C3895" t="n">
        <v>3063</v>
      </c>
      <c r="D3895" s="6" t="n">
        <v>34.8</v>
      </c>
      <c r="E3895" s="6" t="n">
        <v>1253914.54</v>
      </c>
      <c r="F3895" s="6">
        <f>ROUND(E3895-E3894,2)</f>
        <v/>
      </c>
      <c r="G3895" s="6">
        <f>ROUND(F3895-D3895,2)</f>
        <v/>
      </c>
    </row>
    <row r="3896">
      <c r="A3896" t="inlineStr">
        <is>
          <t>2022-09-24</t>
        </is>
      </c>
      <c r="B3896" t="n">
        <v>5</v>
      </c>
      <c r="C3896" t="n">
        <v>3063</v>
      </c>
      <c r="D3896" s="6" t="n">
        <v>60.5</v>
      </c>
      <c r="E3896" s="6" t="n">
        <v>1253975.04</v>
      </c>
      <c r="F3896" s="6">
        <f>ROUND(E3896-E3895,2)</f>
        <v/>
      </c>
      <c r="G3896" s="6">
        <f>ROUND(F3896-D3896,2)</f>
        <v/>
      </c>
    </row>
    <row r="3897">
      <c r="A3897" t="inlineStr">
        <is>
          <t>2022-09-24</t>
        </is>
      </c>
      <c r="B3897" t="n">
        <v>6</v>
      </c>
      <c r="C3897" t="n">
        <v>3063</v>
      </c>
      <c r="D3897" s="6" t="n">
        <v>120.2</v>
      </c>
      <c r="E3897" s="6" t="n">
        <v>1254095.24</v>
      </c>
      <c r="F3897" s="6">
        <f>ROUND(E3897-E3896,2)</f>
        <v/>
      </c>
      <c r="G3897" s="6">
        <f>ROUND(F3897-D3897,2)</f>
        <v/>
      </c>
    </row>
    <row r="3898">
      <c r="A3898" t="inlineStr">
        <is>
          <t>2022-09-24</t>
        </is>
      </c>
      <c r="B3898" t="n">
        <v>7</v>
      </c>
      <c r="C3898" t="n">
        <v>3063</v>
      </c>
      <c r="D3898" s="6" t="n">
        <v>33.3</v>
      </c>
      <c r="E3898" s="6" t="n">
        <v>1254128.54</v>
      </c>
      <c r="F3898" s="6">
        <f>ROUND(E3898-E3897,2)</f>
        <v/>
      </c>
      <c r="G3898" s="6">
        <f>ROUND(F3898-D3898,2)</f>
        <v/>
      </c>
    </row>
    <row r="3899">
      <c r="A3899" t="inlineStr">
        <is>
          <t>2022-09-24</t>
        </is>
      </c>
      <c r="B3899" t="n">
        <v>8</v>
      </c>
      <c r="C3899" t="n">
        <v>3063</v>
      </c>
      <c r="D3899" s="6" t="n">
        <v>32.9</v>
      </c>
      <c r="E3899" s="6" t="n">
        <v>1254161.44</v>
      </c>
      <c r="F3899" s="6">
        <f>ROUND(E3899-E3898,2)</f>
        <v/>
      </c>
      <c r="G3899" s="6">
        <f>ROUND(F3899-D3899,2)</f>
        <v/>
      </c>
    </row>
    <row r="3900">
      <c r="A3900" t="inlineStr">
        <is>
          <t>2022-09-24</t>
        </is>
      </c>
      <c r="B3900" t="n">
        <v>9</v>
      </c>
      <c r="C3900" t="n">
        <v>3063</v>
      </c>
      <c r="D3900" s="6" t="n">
        <v>28.7</v>
      </c>
      <c r="E3900" s="6" t="n">
        <v>1254190.14</v>
      </c>
      <c r="F3900" s="6">
        <f>ROUND(E3900-E3899,2)</f>
        <v/>
      </c>
      <c r="G3900" s="6">
        <f>ROUND(F3900-D3900,2)</f>
        <v/>
      </c>
    </row>
    <row r="3901">
      <c r="A3901" t="inlineStr">
        <is>
          <t>2022-09-24</t>
        </is>
      </c>
      <c r="B3901" t="n">
        <v>10</v>
      </c>
      <c r="C3901" t="n">
        <v>3063</v>
      </c>
      <c r="D3901" s="6" t="n">
        <v>29.3</v>
      </c>
      <c r="E3901" s="6" t="n">
        <v>1254219.44</v>
      </c>
      <c r="F3901" s="6">
        <f>ROUND(E3901-E3900,2)</f>
        <v/>
      </c>
      <c r="G3901" s="6">
        <f>ROUND(F3901-D3901,2)</f>
        <v/>
      </c>
    </row>
    <row r="3902">
      <c r="A3902" t="inlineStr">
        <is>
          <t>2022-09-24</t>
        </is>
      </c>
      <c r="B3902" t="n">
        <v>11</v>
      </c>
      <c r="C3902" t="n">
        <v>3063</v>
      </c>
      <c r="D3902" s="6" t="n">
        <v>27.2</v>
      </c>
      <c r="E3902" s="6" t="n">
        <v>1254246.64</v>
      </c>
      <c r="F3902" s="6">
        <f>ROUND(E3902-E3901,2)</f>
        <v/>
      </c>
      <c r="G3902" s="6">
        <f>ROUND(F3902-D3902,2)</f>
        <v/>
      </c>
    </row>
    <row r="3903">
      <c r="A3903" t="inlineStr">
        <is>
          <t>2022-09-24</t>
        </is>
      </c>
      <c r="B3903" t="n">
        <v>12</v>
      </c>
      <c r="C3903" t="n">
        <v>3063</v>
      </c>
      <c r="D3903" s="6" t="n">
        <v>22.9</v>
      </c>
      <c r="E3903" s="6" t="n">
        <v>1254269.54</v>
      </c>
      <c r="F3903" s="6">
        <f>ROUND(E3903-E3902,2)</f>
        <v/>
      </c>
      <c r="G3903" s="6">
        <f>ROUND(F3903-D3903,2)</f>
        <v/>
      </c>
    </row>
    <row r="3904">
      <c r="A3904" t="inlineStr">
        <is>
          <t>2022-09-24</t>
        </is>
      </c>
      <c r="B3904" t="n">
        <v>13</v>
      </c>
      <c r="C3904" t="n">
        <v>3063</v>
      </c>
      <c r="D3904" s="6" t="n">
        <v>29.4</v>
      </c>
      <c r="E3904" s="6" t="n">
        <v>1254298.94</v>
      </c>
      <c r="F3904" s="6">
        <f>ROUND(E3904-E3903,2)</f>
        <v/>
      </c>
      <c r="G3904" s="6">
        <f>ROUND(F3904-D3904,2)</f>
        <v/>
      </c>
    </row>
    <row r="3905">
      <c r="A3905" t="inlineStr">
        <is>
          <t>2022-09-24</t>
        </is>
      </c>
      <c r="B3905" t="n">
        <v>14</v>
      </c>
      <c r="C3905" t="n">
        <v>3063</v>
      </c>
      <c r="D3905" s="6" t="n">
        <v>189.8</v>
      </c>
      <c r="E3905" s="6" t="n">
        <v>1254488.74</v>
      </c>
      <c r="F3905" s="6">
        <f>ROUND(E3905-E3904,2)</f>
        <v/>
      </c>
      <c r="G3905" s="6">
        <f>ROUND(F3905-D3905,2)</f>
        <v/>
      </c>
    </row>
    <row r="3906">
      <c r="A3906" t="inlineStr">
        <is>
          <t>2022-09-24</t>
        </is>
      </c>
      <c r="B3906" t="n">
        <v>15</v>
      </c>
      <c r="C3906" t="n">
        <v>3063</v>
      </c>
      <c r="D3906" s="6" t="n">
        <v>85.5</v>
      </c>
      <c r="E3906" s="6" t="n">
        <v>1254574.24</v>
      </c>
      <c r="F3906" s="6">
        <f>ROUND(E3906-E3905,2)</f>
        <v/>
      </c>
      <c r="G3906" s="6">
        <f>ROUND(F3906-D3906,2)</f>
        <v/>
      </c>
    </row>
    <row r="3907">
      <c r="A3907" t="inlineStr">
        <is>
          <t>2022-09-24</t>
        </is>
      </c>
      <c r="B3907" t="n">
        <v>16</v>
      </c>
      <c r="C3907" t="n">
        <v>3063</v>
      </c>
      <c r="D3907" s="6" t="n">
        <v>79.2</v>
      </c>
      <c r="E3907" s="6" t="n">
        <v>1254653.44</v>
      </c>
      <c r="F3907" s="6">
        <f>ROUND(E3907-E3906,2)</f>
        <v/>
      </c>
      <c r="G3907" s="6">
        <f>ROUND(F3907-D3907,2)</f>
        <v/>
      </c>
    </row>
    <row r="3908">
      <c r="A3908" t="inlineStr">
        <is>
          <t>2022-09-24</t>
        </is>
      </c>
      <c r="B3908" t="n">
        <v>17</v>
      </c>
      <c r="C3908" t="n">
        <v>3063</v>
      </c>
      <c r="D3908" s="6" t="n">
        <v>73.7</v>
      </c>
      <c r="E3908" s="6" t="n">
        <v>1254727.14</v>
      </c>
      <c r="F3908" s="6">
        <f>ROUND(E3908-E3907,2)</f>
        <v/>
      </c>
      <c r="G3908" s="6">
        <f>ROUND(F3908-D3908,2)</f>
        <v/>
      </c>
    </row>
    <row r="3909">
      <c r="A3909" t="inlineStr">
        <is>
          <t>2022-09-24</t>
        </is>
      </c>
      <c r="B3909" t="n">
        <v>18</v>
      </c>
      <c r="C3909" t="n">
        <v>3063</v>
      </c>
      <c r="D3909" s="6" t="n">
        <v>68.3</v>
      </c>
      <c r="E3909" s="6" t="n">
        <v>1254795.44</v>
      </c>
      <c r="F3909" s="6">
        <f>ROUND(E3909-E3908,2)</f>
        <v/>
      </c>
      <c r="G3909" s="6">
        <f>ROUND(F3909-D3909,2)</f>
        <v/>
      </c>
    </row>
    <row r="3910">
      <c r="A3910" t="inlineStr">
        <is>
          <t>2022-09-24</t>
        </is>
      </c>
      <c r="B3910" t="n">
        <v>19</v>
      </c>
      <c r="C3910" t="n">
        <v>3063</v>
      </c>
      <c r="D3910" s="6" t="n">
        <v>88.5</v>
      </c>
      <c r="E3910" s="6" t="n">
        <v>1254883.94</v>
      </c>
      <c r="F3910" s="6">
        <f>ROUND(E3910-E3909,2)</f>
        <v/>
      </c>
      <c r="G3910" s="6">
        <f>ROUND(F3910-D3910,2)</f>
        <v/>
      </c>
    </row>
    <row r="3911">
      <c r="A3911" t="inlineStr">
        <is>
          <t>2022-09-24</t>
        </is>
      </c>
      <c r="B3911" t="n">
        <v>20</v>
      </c>
      <c r="C3911" t="n">
        <v>3063</v>
      </c>
      <c r="D3911" s="6" t="n">
        <v>62.4</v>
      </c>
      <c r="E3911" s="6" t="n">
        <v>1254946.34</v>
      </c>
      <c r="F3911" s="6">
        <f>ROUND(E3911-E3910,2)</f>
        <v/>
      </c>
      <c r="G3911" s="6">
        <f>ROUND(F3911-D3911,2)</f>
        <v/>
      </c>
    </row>
    <row r="3912">
      <c r="A3912" t="inlineStr">
        <is>
          <t>2022-09-24</t>
        </is>
      </c>
      <c r="B3912" t="n">
        <v>21</v>
      </c>
      <c r="C3912" t="n">
        <v>3063</v>
      </c>
      <c r="D3912" s="6" t="n">
        <v>69.09999999999999</v>
      </c>
      <c r="E3912" s="6" t="n">
        <v>1255015.44</v>
      </c>
      <c r="F3912" s="6">
        <f>ROUND(E3912-E3911,2)</f>
        <v/>
      </c>
      <c r="G3912" s="6">
        <f>ROUND(F3912-D3912,2)</f>
        <v/>
      </c>
    </row>
    <row r="3913">
      <c r="A3913" t="inlineStr">
        <is>
          <t>2022-09-24</t>
        </is>
      </c>
      <c r="B3913" t="n">
        <v>22</v>
      </c>
      <c r="C3913" t="n">
        <v>3063</v>
      </c>
      <c r="D3913" s="6" t="n">
        <v>47.8</v>
      </c>
      <c r="E3913" s="6" t="n">
        <v>1255063.24</v>
      </c>
      <c r="F3913" s="6">
        <f>ROUND(E3913-E3912,2)</f>
        <v/>
      </c>
      <c r="G3913" s="6">
        <f>ROUND(F3913-D3913,2)</f>
        <v/>
      </c>
    </row>
    <row r="3914">
      <c r="A3914" t="inlineStr">
        <is>
          <t>2022-09-24</t>
        </is>
      </c>
      <c r="B3914" t="n">
        <v>23</v>
      </c>
      <c r="C3914" t="n">
        <v>3063</v>
      </c>
      <c r="D3914" s="6" t="n">
        <v>47.8</v>
      </c>
      <c r="E3914" s="6" t="n">
        <v>1255111.04</v>
      </c>
      <c r="F3914" s="6">
        <f>ROUND(E3914-E3913,2)</f>
        <v/>
      </c>
      <c r="G3914" s="6">
        <f>ROUND(F3914-D3914,2)</f>
        <v/>
      </c>
    </row>
    <row r="3915">
      <c r="A3915" t="inlineStr">
        <is>
          <t>2022-09-24</t>
        </is>
      </c>
      <c r="B3915" t="n">
        <v>24</v>
      </c>
      <c r="C3915" t="n">
        <v>3063</v>
      </c>
      <c r="D3915" s="6" t="n">
        <v>54.4</v>
      </c>
      <c r="E3915" s="6" t="n">
        <v>1255165.44</v>
      </c>
      <c r="F3915" s="6">
        <f>ROUND(E3915-E3914,2)</f>
        <v/>
      </c>
      <c r="G3915" s="6">
        <f>ROUND(F3915-D3915,2)</f>
        <v/>
      </c>
    </row>
    <row r="3916">
      <c r="A3916" t="inlineStr">
        <is>
          <t>2022-09-24</t>
        </is>
      </c>
      <c r="B3916" t="n">
        <v>25</v>
      </c>
      <c r="C3916" t="n">
        <v>3063</v>
      </c>
      <c r="D3916" s="6" t="n">
        <v>75.84999999999999</v>
      </c>
      <c r="E3916" s="6" t="n">
        <v>1255241.29</v>
      </c>
      <c r="F3916" s="6">
        <f>ROUND(E3916-E3915,2)</f>
        <v/>
      </c>
      <c r="G3916" s="6">
        <f>ROUND(F3916-D3916,2)</f>
        <v/>
      </c>
    </row>
    <row r="3917">
      <c r="A3917" t="inlineStr">
        <is>
          <t>2022-09-24</t>
        </is>
      </c>
      <c r="B3917" t="n">
        <v>26</v>
      </c>
      <c r="C3917" t="n">
        <v>3063</v>
      </c>
      <c r="D3917" s="6" t="n">
        <v>75.84999999999999</v>
      </c>
      <c r="E3917" s="6" t="n">
        <v>1255317.14</v>
      </c>
      <c r="F3917" s="6">
        <f>ROUND(E3917-E3916,2)</f>
        <v/>
      </c>
      <c r="G3917" s="6">
        <f>ROUND(F3917-D3917,2)</f>
        <v/>
      </c>
    </row>
    <row r="3918">
      <c r="A3918" t="inlineStr">
        <is>
          <t>2022-09-24</t>
        </is>
      </c>
      <c r="B3918" t="n">
        <v>27</v>
      </c>
      <c r="C3918" t="n">
        <v>3063</v>
      </c>
      <c r="D3918" s="6" t="n">
        <v>67.59999999999999</v>
      </c>
      <c r="E3918" s="6" t="n">
        <v>1255384.74</v>
      </c>
      <c r="F3918" s="6">
        <f>ROUND(E3918-E3917,2)</f>
        <v/>
      </c>
      <c r="G3918" s="6">
        <f>ROUND(F3918-D3918,2)</f>
        <v/>
      </c>
    </row>
    <row r="3919">
      <c r="A3919" t="inlineStr">
        <is>
          <t>2022-09-24</t>
        </is>
      </c>
      <c r="B3919" t="n">
        <v>28</v>
      </c>
      <c r="C3919" t="n">
        <v>3063</v>
      </c>
      <c r="D3919" s="6" t="n">
        <v>84.09999999999999</v>
      </c>
      <c r="E3919" s="6" t="n">
        <v>1255468.84</v>
      </c>
      <c r="F3919" s="6">
        <f>ROUND(E3919-E3918,2)</f>
        <v/>
      </c>
      <c r="G3919" s="6">
        <f>ROUND(F3919-D3919,2)</f>
        <v/>
      </c>
    </row>
    <row r="3920">
      <c r="A3920" t="inlineStr">
        <is>
          <t>2022-09-24</t>
        </is>
      </c>
      <c r="B3920" t="n">
        <v>29</v>
      </c>
      <c r="C3920" t="n">
        <v>3063</v>
      </c>
      <c r="D3920" s="6" t="n">
        <v>80.3</v>
      </c>
      <c r="E3920" s="6" t="n">
        <v>1255549.14</v>
      </c>
      <c r="F3920" s="6">
        <f>ROUND(E3920-E3919,2)</f>
        <v/>
      </c>
      <c r="G3920" s="6">
        <f>ROUND(F3920-D3920,2)</f>
        <v/>
      </c>
    </row>
    <row r="3921">
      <c r="A3921" t="inlineStr">
        <is>
          <t>2022-09-24</t>
        </is>
      </c>
      <c r="B3921" t="n">
        <v>30</v>
      </c>
      <c r="C3921" t="n">
        <v>3063</v>
      </c>
      <c r="D3921" s="6" t="n">
        <v>82.7</v>
      </c>
      <c r="E3921" s="6" t="n">
        <v>1255631.84</v>
      </c>
      <c r="F3921" s="6">
        <f>ROUND(E3921-E3920,2)</f>
        <v/>
      </c>
      <c r="G3921" s="6">
        <f>ROUND(F3921-D3921,2)</f>
        <v/>
      </c>
    </row>
    <row r="3922">
      <c r="A3922" t="inlineStr">
        <is>
          <t>2022-09-24</t>
        </is>
      </c>
      <c r="B3922" t="n">
        <v>31</v>
      </c>
      <c r="C3922" t="n">
        <v>3063</v>
      </c>
      <c r="D3922" s="6" t="n">
        <v>103.3</v>
      </c>
      <c r="E3922" s="6" t="n">
        <v>1255735.14</v>
      </c>
      <c r="F3922" s="6">
        <f>ROUND(E3922-E3921,2)</f>
        <v/>
      </c>
      <c r="G3922" s="6">
        <f>ROUND(F3922-D3922,2)</f>
        <v/>
      </c>
    </row>
    <row r="3923">
      <c r="A3923" t="inlineStr">
        <is>
          <t>2022-09-24</t>
        </is>
      </c>
      <c r="B3923" t="n">
        <v>32</v>
      </c>
      <c r="C3923" t="n">
        <v>3063</v>
      </c>
      <c r="D3923" s="6" t="n">
        <v>81.09999999999999</v>
      </c>
      <c r="E3923" s="6" t="n">
        <v>1255816.24</v>
      </c>
      <c r="F3923" s="6">
        <f>ROUND(E3923-E3922,2)</f>
        <v/>
      </c>
      <c r="G3923" s="6">
        <f>ROUND(F3923-D3923,2)</f>
        <v/>
      </c>
    </row>
    <row r="3924">
      <c r="A3924" t="inlineStr">
        <is>
          <t>2022-09-24</t>
        </is>
      </c>
      <c r="B3924" t="n">
        <v>33</v>
      </c>
      <c r="C3924" t="n">
        <v>3063</v>
      </c>
      <c r="D3924" s="6" t="n">
        <v>155.3</v>
      </c>
      <c r="E3924" s="6" t="n">
        <v>1255971.54</v>
      </c>
      <c r="F3924" s="6">
        <f>ROUND(E3924-E3923,2)</f>
        <v/>
      </c>
      <c r="G3924" s="6">
        <f>ROUND(F3924-D3924,2)</f>
        <v/>
      </c>
    </row>
    <row r="3925">
      <c r="A3925" t="inlineStr">
        <is>
          <t>2022-09-25</t>
        </is>
      </c>
      <c r="B3925" t="n">
        <v>1</v>
      </c>
      <c r="C3925" t="n">
        <v>3064</v>
      </c>
      <c r="D3925" s="6" t="n">
        <v>74.09999999999999</v>
      </c>
      <c r="E3925" s="6" t="n">
        <v>1256045.64</v>
      </c>
      <c r="F3925" s="6">
        <f>ROUND(E3925-E3924,2)</f>
        <v/>
      </c>
      <c r="G3925" s="6">
        <f>ROUND(F3925-D3925,2)</f>
        <v/>
      </c>
    </row>
    <row r="3926">
      <c r="A3926" t="inlineStr">
        <is>
          <t>2022-09-25</t>
        </is>
      </c>
      <c r="B3926" t="n">
        <v>2</v>
      </c>
      <c r="C3926" t="n">
        <v>3064</v>
      </c>
      <c r="D3926" s="6" t="n">
        <v>72.59999999999999</v>
      </c>
      <c r="E3926" s="6" t="n">
        <v>1256118.24</v>
      </c>
      <c r="F3926" s="6">
        <f>ROUND(E3926-E3925,2)</f>
        <v/>
      </c>
      <c r="G3926" s="6">
        <f>ROUND(F3926-D3926,2)</f>
        <v/>
      </c>
    </row>
    <row r="3927">
      <c r="A3927" t="inlineStr">
        <is>
          <t>2022-09-25</t>
        </is>
      </c>
      <c r="B3927" t="n">
        <v>3</v>
      </c>
      <c r="C3927" t="n">
        <v>3064</v>
      </c>
      <c r="D3927" s="6" t="n">
        <v>83.5</v>
      </c>
      <c r="E3927" s="6" t="n">
        <v>1256201.74</v>
      </c>
      <c r="F3927" s="6">
        <f>ROUND(E3927-E3926,2)</f>
        <v/>
      </c>
      <c r="G3927" s="6">
        <f>ROUND(F3927-D3927,2)</f>
        <v/>
      </c>
    </row>
    <row r="3928">
      <c r="A3928" t="inlineStr">
        <is>
          <t>2022-09-25</t>
        </is>
      </c>
      <c r="B3928" t="n">
        <v>4</v>
      </c>
      <c r="C3928" t="n">
        <v>3064</v>
      </c>
      <c r="D3928" s="6" t="n">
        <v>88</v>
      </c>
      <c r="E3928" s="6" t="n">
        <v>1256289.74</v>
      </c>
      <c r="F3928" s="6">
        <f>ROUND(E3928-E3927,2)</f>
        <v/>
      </c>
      <c r="G3928" s="6">
        <f>ROUND(F3928-D3928,2)</f>
        <v/>
      </c>
    </row>
    <row r="3929">
      <c r="A3929" t="inlineStr">
        <is>
          <t>2022-09-25</t>
        </is>
      </c>
      <c r="B3929" t="n">
        <v>5</v>
      </c>
      <c r="C3929" t="n">
        <v>3064</v>
      </c>
      <c r="D3929" s="6" t="n">
        <v>54.7</v>
      </c>
      <c r="E3929" s="6" t="n">
        <v>1256344.44</v>
      </c>
      <c r="F3929" s="6">
        <f>ROUND(E3929-E3928,2)</f>
        <v/>
      </c>
      <c r="G3929" s="6">
        <f>ROUND(F3929-D3929,2)</f>
        <v/>
      </c>
    </row>
    <row r="3930">
      <c r="A3930" t="inlineStr">
        <is>
          <t>2022-09-25</t>
        </is>
      </c>
      <c r="B3930" t="n">
        <v>6</v>
      </c>
      <c r="C3930" t="n">
        <v>3064</v>
      </c>
      <c r="D3930" s="6" t="n">
        <v>85.7</v>
      </c>
      <c r="E3930" s="6" t="n">
        <v>1256430.14</v>
      </c>
      <c r="F3930" s="6">
        <f>ROUND(E3930-E3929,2)</f>
        <v/>
      </c>
      <c r="G3930" s="6">
        <f>ROUND(F3930-D3930,2)</f>
        <v/>
      </c>
    </row>
    <row r="3931">
      <c r="A3931" t="inlineStr">
        <is>
          <t>2022-09-25</t>
        </is>
      </c>
      <c r="B3931" t="n">
        <v>7</v>
      </c>
      <c r="C3931" t="n">
        <v>3064</v>
      </c>
      <c r="D3931" s="6" t="n">
        <v>119.8</v>
      </c>
      <c r="E3931" s="6" t="n">
        <v>1256549.94</v>
      </c>
      <c r="F3931" s="6">
        <f>ROUND(E3931-E3930,2)</f>
        <v/>
      </c>
      <c r="G3931" s="6">
        <f>ROUND(F3931-D3931,2)</f>
        <v/>
      </c>
    </row>
    <row r="3932">
      <c r="A3932" t="inlineStr">
        <is>
          <t>2022-09-25</t>
        </is>
      </c>
      <c r="B3932" t="n">
        <v>8</v>
      </c>
      <c r="C3932" t="n">
        <v>3064</v>
      </c>
      <c r="D3932" s="6" t="n">
        <v>75</v>
      </c>
      <c r="E3932" s="6" t="n">
        <v>1256624.94</v>
      </c>
      <c r="F3932" s="6">
        <f>ROUND(E3932-E3931,2)</f>
        <v/>
      </c>
      <c r="G3932" s="6">
        <f>ROUND(F3932-D3932,2)</f>
        <v/>
      </c>
    </row>
    <row r="3933">
      <c r="A3933" t="inlineStr">
        <is>
          <t>2022-09-25</t>
        </is>
      </c>
      <c r="B3933" t="n">
        <v>9</v>
      </c>
      <c r="C3933" t="n">
        <v>3064</v>
      </c>
      <c r="D3933" s="6" t="n">
        <v>79.5</v>
      </c>
      <c r="E3933" s="6" t="n">
        <v>1256704.44</v>
      </c>
      <c r="F3933" s="6">
        <f>ROUND(E3933-E3932,2)</f>
        <v/>
      </c>
      <c r="G3933" s="6">
        <f>ROUND(F3933-D3933,2)</f>
        <v/>
      </c>
    </row>
    <row r="3934">
      <c r="A3934" t="inlineStr">
        <is>
          <t>2022-09-25</t>
        </is>
      </c>
      <c r="B3934" t="n">
        <v>10</v>
      </c>
      <c r="C3934" t="n">
        <v>3064</v>
      </c>
      <c r="D3934" s="6" t="n">
        <v>173.3</v>
      </c>
      <c r="E3934" s="6" t="n">
        <v>1256877.74</v>
      </c>
      <c r="F3934" s="6">
        <f>ROUND(E3934-E3933,2)</f>
        <v/>
      </c>
      <c r="G3934" s="6">
        <f>ROUND(F3934-D3934,2)</f>
        <v/>
      </c>
    </row>
    <row r="3935">
      <c r="A3935" t="inlineStr">
        <is>
          <t>2022-09-25</t>
        </is>
      </c>
      <c r="B3935" t="n">
        <v>11</v>
      </c>
      <c r="C3935" t="n">
        <v>3064</v>
      </c>
      <c r="D3935" s="6" t="n">
        <v>117.2</v>
      </c>
      <c r="E3935" s="6" t="n">
        <v>1256994.94</v>
      </c>
      <c r="F3935" s="6">
        <f>ROUND(E3935-E3934,2)</f>
        <v/>
      </c>
      <c r="G3935" s="6">
        <f>ROUND(F3935-D3935,2)</f>
        <v/>
      </c>
    </row>
    <row r="3936">
      <c r="A3936" t="inlineStr">
        <is>
          <t>2022-09-25</t>
        </is>
      </c>
      <c r="B3936" t="n">
        <v>12</v>
      </c>
      <c r="C3936" t="n">
        <v>3064</v>
      </c>
      <c r="D3936" s="6" t="n">
        <v>106.8</v>
      </c>
      <c r="E3936" s="6" t="n">
        <v>1257101.74</v>
      </c>
      <c r="F3936" s="6">
        <f>ROUND(E3936-E3935,2)</f>
        <v/>
      </c>
      <c r="G3936" s="6">
        <f>ROUND(F3936-D3936,2)</f>
        <v/>
      </c>
    </row>
    <row r="3937">
      <c r="A3937" t="inlineStr">
        <is>
          <t>2022-09-25</t>
        </is>
      </c>
      <c r="B3937" t="n">
        <v>13</v>
      </c>
      <c r="C3937" t="n">
        <v>3064</v>
      </c>
      <c r="D3937" s="6" t="n">
        <v>70.2</v>
      </c>
      <c r="E3937" s="6" t="n">
        <v>1257171.94</v>
      </c>
      <c r="F3937" s="6">
        <f>ROUND(E3937-E3936,2)</f>
        <v/>
      </c>
      <c r="G3937" s="6">
        <f>ROUND(F3937-D3937,2)</f>
        <v/>
      </c>
    </row>
    <row r="3938">
      <c r="A3938" t="inlineStr">
        <is>
          <t>2022-09-25</t>
        </is>
      </c>
      <c r="B3938" t="n">
        <v>14</v>
      </c>
      <c r="C3938" t="n">
        <v>3064</v>
      </c>
      <c r="D3938" s="6" t="n">
        <v>61.7</v>
      </c>
      <c r="E3938" s="6" t="n">
        <v>1257233.64</v>
      </c>
      <c r="F3938" s="6">
        <f>ROUND(E3938-E3937,2)</f>
        <v/>
      </c>
      <c r="G3938" s="6">
        <f>ROUND(F3938-D3938,2)</f>
        <v/>
      </c>
    </row>
    <row r="3939">
      <c r="A3939" t="inlineStr">
        <is>
          <t>2022-09-25</t>
        </is>
      </c>
      <c r="B3939" t="n">
        <v>15</v>
      </c>
      <c r="C3939" t="n">
        <v>3064</v>
      </c>
      <c r="D3939" s="6" t="n">
        <v>171.6</v>
      </c>
      <c r="E3939" s="6" t="n">
        <v>1257405.24</v>
      </c>
      <c r="F3939" s="6">
        <f>ROUND(E3939-E3938,2)</f>
        <v/>
      </c>
      <c r="G3939" s="6">
        <f>ROUND(F3939-D3939,2)</f>
        <v/>
      </c>
    </row>
    <row r="3940">
      <c r="A3940" t="inlineStr">
        <is>
          <t>2022-09-25</t>
        </is>
      </c>
      <c r="B3940" t="n">
        <v>16</v>
      </c>
      <c r="C3940" t="n">
        <v>3064</v>
      </c>
      <c r="D3940" s="6" t="n">
        <v>21</v>
      </c>
      <c r="E3940" s="6" t="n">
        <v>1257426.24</v>
      </c>
      <c r="F3940" s="6">
        <f>ROUND(E3940-E3939,2)</f>
        <v/>
      </c>
      <c r="G3940" s="6">
        <f>ROUND(F3940-D3940,2)</f>
        <v/>
      </c>
    </row>
    <row r="3941">
      <c r="A3941" t="inlineStr">
        <is>
          <t>2022-09-25</t>
        </is>
      </c>
      <c r="B3941" t="n">
        <v>17</v>
      </c>
      <c r="C3941" t="n">
        <v>3064</v>
      </c>
      <c r="D3941" s="6" t="n">
        <v>31.3</v>
      </c>
      <c r="E3941" s="6" t="n">
        <v>1257457.54</v>
      </c>
      <c r="F3941" s="6">
        <f>ROUND(E3941-E3940,2)</f>
        <v/>
      </c>
      <c r="G3941" s="6">
        <f>ROUND(F3941-D3941,2)</f>
        <v/>
      </c>
    </row>
    <row r="3942">
      <c r="A3942" t="inlineStr">
        <is>
          <t>2022-09-25</t>
        </is>
      </c>
      <c r="B3942" t="n">
        <v>18</v>
      </c>
      <c r="C3942" t="n">
        <v>3064</v>
      </c>
      <c r="D3942" s="6" t="n">
        <v>242.3</v>
      </c>
      <c r="E3942" s="6" t="n">
        <v>1257699.84</v>
      </c>
      <c r="F3942" s="6">
        <f>ROUND(E3942-E3941,2)</f>
        <v/>
      </c>
      <c r="G3942" s="6">
        <f>ROUND(F3942-D3942,2)</f>
        <v/>
      </c>
    </row>
    <row r="3943">
      <c r="A3943" t="inlineStr">
        <is>
          <t>2022-09-25</t>
        </is>
      </c>
      <c r="B3943" t="n">
        <v>19</v>
      </c>
      <c r="C3943" t="n">
        <v>3064</v>
      </c>
      <c r="D3943" s="6" t="n">
        <v>79.8</v>
      </c>
      <c r="E3943" s="6" t="n">
        <v>1257779.64</v>
      </c>
      <c r="F3943" s="6">
        <f>ROUND(E3943-E3942,2)</f>
        <v/>
      </c>
      <c r="G3943" s="6">
        <f>ROUND(F3943-D3943,2)</f>
        <v/>
      </c>
    </row>
    <row r="3944">
      <c r="A3944" t="inlineStr">
        <is>
          <t>2022-09-25</t>
        </is>
      </c>
      <c r="B3944" t="n">
        <v>20</v>
      </c>
      <c r="C3944" t="n">
        <v>3064</v>
      </c>
      <c r="D3944" s="6" t="n">
        <v>38.3</v>
      </c>
      <c r="E3944" s="6" t="n">
        <v>1257817.94</v>
      </c>
      <c r="F3944" s="6">
        <f>ROUND(E3944-E3943,2)</f>
        <v/>
      </c>
      <c r="G3944" s="6">
        <f>ROUND(F3944-D3944,2)</f>
        <v/>
      </c>
    </row>
    <row r="3945">
      <c r="A3945" t="inlineStr">
        <is>
          <t>2022-09-25</t>
        </is>
      </c>
      <c r="B3945" t="n">
        <v>21</v>
      </c>
      <c r="C3945" t="n">
        <v>3064</v>
      </c>
      <c r="D3945" s="6" t="n">
        <v>28.2</v>
      </c>
      <c r="E3945" s="6" t="n">
        <v>1257846.14</v>
      </c>
      <c r="F3945" s="6">
        <f>ROUND(E3945-E3944,2)</f>
        <v/>
      </c>
      <c r="G3945" s="6">
        <f>ROUND(F3945-D3945,2)</f>
        <v/>
      </c>
    </row>
    <row r="3946">
      <c r="A3946" t="inlineStr">
        <is>
          <t>2022-09-25</t>
        </is>
      </c>
      <c r="B3946" t="n">
        <v>22</v>
      </c>
      <c r="C3946" t="n">
        <v>3064</v>
      </c>
      <c r="D3946" s="6" t="n">
        <v>7.8</v>
      </c>
      <c r="E3946" s="6" t="n">
        <v>1257853.94</v>
      </c>
      <c r="F3946" s="6">
        <f>ROUND(E3946-E3945,2)</f>
        <v/>
      </c>
      <c r="G3946" s="6">
        <f>ROUND(F3946-D3946,2)</f>
        <v/>
      </c>
    </row>
    <row r="3947">
      <c r="A3947" t="inlineStr">
        <is>
          <t>2022-09-25</t>
        </is>
      </c>
      <c r="B3947" t="n">
        <v>23</v>
      </c>
      <c r="C3947" t="n">
        <v>3064</v>
      </c>
      <c r="D3947" s="6" t="n">
        <v>52.7</v>
      </c>
      <c r="E3947" s="6" t="n">
        <v>1257906.64</v>
      </c>
      <c r="F3947" s="6">
        <f>ROUND(E3947-E3946,2)</f>
        <v/>
      </c>
      <c r="G3947" s="6">
        <f>ROUND(F3947-D3947,2)</f>
        <v/>
      </c>
    </row>
    <row r="3948">
      <c r="A3948" t="inlineStr">
        <is>
          <t>2022-09-28</t>
        </is>
      </c>
      <c r="B3948" t="n">
        <v>1</v>
      </c>
      <c r="C3948" t="n">
        <v>3065</v>
      </c>
      <c r="D3948" s="6" t="n">
        <v>24.8</v>
      </c>
      <c r="E3948" s="6" t="n">
        <v>1257931.44</v>
      </c>
      <c r="F3948" s="6">
        <f>ROUND(E3948-E3947,2)</f>
        <v/>
      </c>
      <c r="G3948" s="6">
        <f>ROUND(F3948-D3948,2)</f>
        <v/>
      </c>
    </row>
    <row r="3949">
      <c r="A3949" t="inlineStr">
        <is>
          <t>2022-09-28</t>
        </is>
      </c>
      <c r="B3949" t="n">
        <v>2</v>
      </c>
      <c r="C3949" t="n">
        <v>3065</v>
      </c>
      <c r="D3949" s="6" t="n">
        <v>90.59999999999999</v>
      </c>
      <c r="E3949" s="6" t="n">
        <v>1258022.04</v>
      </c>
      <c r="F3949" s="6">
        <f>ROUND(E3949-E3948,2)</f>
        <v/>
      </c>
      <c r="G3949" s="6">
        <f>ROUND(F3949-D3949,2)</f>
        <v/>
      </c>
    </row>
    <row r="3950">
      <c r="A3950" t="inlineStr">
        <is>
          <t>2022-09-28</t>
        </is>
      </c>
      <c r="B3950" t="n">
        <v>3</v>
      </c>
      <c r="C3950" t="n">
        <v>3065</v>
      </c>
      <c r="D3950" s="6" t="n">
        <v>491.3</v>
      </c>
      <c r="E3950" s="6" t="n">
        <v>1258513.34</v>
      </c>
      <c r="F3950" s="6">
        <f>ROUND(E3950-E3949,2)</f>
        <v/>
      </c>
      <c r="G3950" s="6">
        <f>ROUND(F3950-D3950,2)</f>
        <v/>
      </c>
    </row>
    <row r="3951">
      <c r="A3951" t="inlineStr">
        <is>
          <t>2022-09-28</t>
        </is>
      </c>
      <c r="B3951" t="n">
        <v>4</v>
      </c>
      <c r="C3951" t="n">
        <v>3065</v>
      </c>
      <c r="D3951" s="6" t="n">
        <v>142.1</v>
      </c>
      <c r="E3951" s="6" t="n">
        <v>1258655.44</v>
      </c>
      <c r="F3951" s="6">
        <f>ROUND(E3951-E3950,2)</f>
        <v/>
      </c>
      <c r="G3951" s="6">
        <f>ROUND(F3951-D3951,2)</f>
        <v/>
      </c>
    </row>
    <row r="3952">
      <c r="A3952" t="inlineStr">
        <is>
          <t>2022-09-28</t>
        </is>
      </c>
      <c r="B3952" t="n">
        <v>5</v>
      </c>
      <c r="C3952" t="n">
        <v>3065</v>
      </c>
      <c r="D3952" s="6" t="n">
        <v>53</v>
      </c>
      <c r="E3952" s="6" t="n">
        <v>1258708.44</v>
      </c>
      <c r="F3952" s="6">
        <f>ROUND(E3952-E3951,2)</f>
        <v/>
      </c>
      <c r="G3952" s="6">
        <f>ROUND(F3952-D3952,2)</f>
        <v/>
      </c>
    </row>
    <row r="3953">
      <c r="A3953" t="inlineStr">
        <is>
          <t>2022-09-28</t>
        </is>
      </c>
      <c r="B3953" t="n">
        <v>6</v>
      </c>
      <c r="C3953" t="n">
        <v>3065</v>
      </c>
      <c r="D3953" s="6" t="n">
        <v>101.6</v>
      </c>
      <c r="E3953" s="6" t="n">
        <v>1258810.04</v>
      </c>
      <c r="F3953" s="6">
        <f>ROUND(E3953-E3952,2)</f>
        <v/>
      </c>
      <c r="G3953" s="6">
        <f>ROUND(F3953-D3953,2)</f>
        <v/>
      </c>
    </row>
    <row r="3954">
      <c r="A3954" t="inlineStr">
        <is>
          <t>2022-09-28</t>
        </is>
      </c>
      <c r="B3954" t="n">
        <v>7</v>
      </c>
      <c r="C3954" t="n">
        <v>3065</v>
      </c>
      <c r="D3954" s="6" t="n">
        <v>82.7</v>
      </c>
      <c r="E3954" s="6" t="n">
        <v>1258892.74</v>
      </c>
      <c r="F3954" s="6">
        <f>ROUND(E3954-E3953,2)</f>
        <v/>
      </c>
      <c r="G3954" s="6">
        <f>ROUND(F3954-D3954,2)</f>
        <v/>
      </c>
    </row>
    <row r="3955">
      <c r="A3955" t="inlineStr">
        <is>
          <t>2022-09-28</t>
        </is>
      </c>
      <c r="B3955" t="n">
        <v>8</v>
      </c>
      <c r="C3955" t="n">
        <v>3065</v>
      </c>
      <c r="D3955" s="6" t="n">
        <v>169.5</v>
      </c>
      <c r="E3955" s="6" t="n">
        <v>1259062.24</v>
      </c>
      <c r="F3955" s="6">
        <f>ROUND(E3955-E3954,2)</f>
        <v/>
      </c>
      <c r="G3955" s="6">
        <f>ROUND(F3955-D3955,2)</f>
        <v/>
      </c>
    </row>
    <row r="3956">
      <c r="A3956" t="inlineStr">
        <is>
          <t>2022-09-29</t>
        </is>
      </c>
      <c r="B3956" t="n">
        <v>1</v>
      </c>
      <c r="C3956" t="n">
        <v>3066</v>
      </c>
      <c r="D3956" s="6" t="n">
        <v>119.4</v>
      </c>
      <c r="E3956" s="6" t="n">
        <v>1259181.64</v>
      </c>
      <c r="F3956" s="6">
        <f>ROUND(E3956-E3955,2)</f>
        <v/>
      </c>
      <c r="G3956" s="6">
        <f>ROUND(F3956-D3956,2)</f>
        <v/>
      </c>
    </row>
    <row r="3957">
      <c r="A3957" t="inlineStr">
        <is>
          <t>2022-09-29</t>
        </is>
      </c>
      <c r="B3957" t="n">
        <v>2</v>
      </c>
      <c r="C3957" t="n">
        <v>3066</v>
      </c>
      <c r="D3957" s="6" t="n">
        <v>47.4</v>
      </c>
      <c r="E3957" s="6" t="n">
        <v>1259229.04</v>
      </c>
      <c r="F3957" s="6">
        <f>ROUND(E3957-E3956,2)</f>
        <v/>
      </c>
      <c r="G3957" s="6">
        <f>ROUND(F3957-D3957,2)</f>
        <v/>
      </c>
    </row>
    <row r="3958">
      <c r="A3958" t="inlineStr">
        <is>
          <t>2022-09-29</t>
        </is>
      </c>
      <c r="B3958" t="n">
        <v>3</v>
      </c>
      <c r="C3958" t="n">
        <v>3066</v>
      </c>
      <c r="D3958" s="6" t="n">
        <v>18.6</v>
      </c>
      <c r="E3958" s="6" t="n">
        <v>1259247.64</v>
      </c>
      <c r="F3958" s="6">
        <f>ROUND(E3958-E3957,2)</f>
        <v/>
      </c>
      <c r="G3958" s="6">
        <f>ROUND(F3958-D3958,2)</f>
        <v/>
      </c>
    </row>
    <row r="3959">
      <c r="A3959" t="inlineStr">
        <is>
          <t>2022-09-29</t>
        </is>
      </c>
      <c r="B3959" t="n">
        <v>4</v>
      </c>
      <c r="C3959" t="n">
        <v>3066</v>
      </c>
      <c r="D3959" s="6" t="n">
        <v>18.6</v>
      </c>
      <c r="E3959" s="6" t="n">
        <v>1259266.24</v>
      </c>
      <c r="F3959" s="6">
        <f>ROUND(E3959-E3958,2)</f>
        <v/>
      </c>
      <c r="G3959" s="6">
        <f>ROUND(F3959-D3959,2)</f>
        <v/>
      </c>
    </row>
    <row r="3960">
      <c r="A3960" t="inlineStr">
        <is>
          <t>2022-09-29</t>
        </is>
      </c>
      <c r="B3960" t="n">
        <v>5</v>
      </c>
      <c r="C3960" t="n">
        <v>3066</v>
      </c>
      <c r="D3960" s="6" t="n">
        <v>19.5</v>
      </c>
      <c r="E3960" s="6" t="n">
        <v>1259285.74</v>
      </c>
      <c r="F3960" s="6">
        <f>ROUND(E3960-E3959,2)</f>
        <v/>
      </c>
      <c r="G3960" s="6">
        <f>ROUND(F3960-D3960,2)</f>
        <v/>
      </c>
    </row>
    <row r="3961">
      <c r="A3961" t="inlineStr">
        <is>
          <t>2022-09-29</t>
        </is>
      </c>
      <c r="B3961" t="n">
        <v>6</v>
      </c>
      <c r="C3961" t="n">
        <v>3066</v>
      </c>
      <c r="D3961" s="6" t="n">
        <v>15</v>
      </c>
      <c r="E3961" s="6" t="n">
        <v>1259300.74</v>
      </c>
      <c r="F3961" s="6">
        <f>ROUND(E3961-E3960,2)</f>
        <v/>
      </c>
      <c r="G3961" s="6">
        <f>ROUND(F3961-D3961,2)</f>
        <v/>
      </c>
    </row>
    <row r="3962">
      <c r="A3962" t="inlineStr">
        <is>
          <t>2022-09-29</t>
        </is>
      </c>
      <c r="B3962" t="n">
        <v>7</v>
      </c>
      <c r="C3962" t="n">
        <v>3066</v>
      </c>
      <c r="D3962" s="6" t="n">
        <v>59.9</v>
      </c>
      <c r="E3962" s="6" t="n">
        <v>1259360.64</v>
      </c>
      <c r="F3962" s="6">
        <f>ROUND(E3962-E3961,2)</f>
        <v/>
      </c>
      <c r="G3962" s="6">
        <f>ROUND(F3962-D3962,2)</f>
        <v/>
      </c>
    </row>
    <row r="3963">
      <c r="A3963" t="inlineStr">
        <is>
          <t>2022-09-29</t>
        </is>
      </c>
      <c r="B3963" t="n">
        <v>8</v>
      </c>
      <c r="C3963" t="n">
        <v>3066</v>
      </c>
      <c r="D3963" s="6" t="n">
        <v>45.2</v>
      </c>
      <c r="E3963" s="6" t="n">
        <v>1259405.84</v>
      </c>
      <c r="F3963" s="6">
        <f>ROUND(E3963-E3962,2)</f>
        <v/>
      </c>
      <c r="G3963" s="6">
        <f>ROUND(F3963-D3963,2)</f>
        <v/>
      </c>
    </row>
    <row r="3964">
      <c r="A3964" t="inlineStr">
        <is>
          <t>2022-09-29</t>
        </is>
      </c>
      <c r="B3964" t="n">
        <v>9</v>
      </c>
      <c r="C3964" t="n">
        <v>3066</v>
      </c>
      <c r="D3964" s="6" t="n">
        <v>129.1</v>
      </c>
      <c r="E3964" s="6" t="n">
        <v>1259534.94</v>
      </c>
      <c r="F3964" s="6">
        <f>ROUND(E3964-E3963,2)</f>
        <v/>
      </c>
      <c r="G3964" s="6">
        <f>ROUND(F3964-D3964,2)</f>
        <v/>
      </c>
    </row>
    <row r="3965">
      <c r="A3965" t="inlineStr">
        <is>
          <t>2022-09-29</t>
        </is>
      </c>
      <c r="B3965" t="n">
        <v>10</v>
      </c>
      <c r="C3965" t="n">
        <v>3066</v>
      </c>
      <c r="D3965" s="6" t="n">
        <v>89.59999999999999</v>
      </c>
      <c r="E3965" s="6" t="n">
        <v>1259624.54</v>
      </c>
      <c r="F3965" s="6">
        <f>ROUND(E3965-E3964,2)</f>
        <v/>
      </c>
      <c r="G3965" s="6">
        <f>ROUND(F3965-D3965,2)</f>
        <v/>
      </c>
    </row>
    <row r="3966">
      <c r="A3966" t="inlineStr">
        <is>
          <t>2022-09-29</t>
        </is>
      </c>
      <c r="B3966" t="n">
        <v>11</v>
      </c>
      <c r="C3966" t="n">
        <v>3066</v>
      </c>
      <c r="D3966" s="6" t="n">
        <v>71.8</v>
      </c>
      <c r="E3966" s="6" t="n">
        <v>1259696.34</v>
      </c>
      <c r="F3966" s="6">
        <f>ROUND(E3966-E3965,2)</f>
        <v/>
      </c>
      <c r="G3966" s="6">
        <f>ROUND(F3966-D3966,2)</f>
        <v/>
      </c>
    </row>
    <row r="3967">
      <c r="A3967" t="inlineStr">
        <is>
          <t>2022-09-29</t>
        </is>
      </c>
      <c r="B3967" t="n">
        <v>12</v>
      </c>
      <c r="C3967" t="n">
        <v>3066</v>
      </c>
      <c r="D3967" s="6" t="n">
        <v>45.2</v>
      </c>
      <c r="E3967" s="6" t="n">
        <v>1259741.54</v>
      </c>
      <c r="F3967" s="6">
        <f>ROUND(E3967-E3966,2)</f>
        <v/>
      </c>
      <c r="G3967" s="6">
        <f>ROUND(F3967-D3967,2)</f>
        <v/>
      </c>
    </row>
    <row r="3968">
      <c r="A3968" t="inlineStr">
        <is>
          <t>2022-09-29</t>
        </is>
      </c>
      <c r="B3968" t="n">
        <v>13</v>
      </c>
      <c r="C3968" t="n">
        <v>3066</v>
      </c>
      <c r="D3968" s="6" t="n">
        <v>86.8</v>
      </c>
      <c r="E3968" s="6" t="n">
        <v>1259828.34</v>
      </c>
      <c r="F3968" s="6">
        <f>ROUND(E3968-E3967,2)</f>
        <v/>
      </c>
      <c r="G3968" s="6">
        <f>ROUND(F3968-D3968,2)</f>
        <v/>
      </c>
    </row>
    <row r="3969">
      <c r="A3969" t="inlineStr">
        <is>
          <t>2022-09-29</t>
        </is>
      </c>
      <c r="B3969" t="n">
        <v>14</v>
      </c>
      <c r="C3969" t="n">
        <v>3066</v>
      </c>
      <c r="D3969" s="6" t="n">
        <v>153.4</v>
      </c>
      <c r="E3969" s="6" t="n">
        <v>1259981.74</v>
      </c>
      <c r="F3969" s="6">
        <f>ROUND(E3969-E3968,2)</f>
        <v/>
      </c>
      <c r="G3969" s="6">
        <f>ROUND(F3969-D3969,2)</f>
        <v/>
      </c>
    </row>
    <row r="3970">
      <c r="A3970" t="inlineStr">
        <is>
          <t>2022-09-29</t>
        </is>
      </c>
      <c r="B3970" t="n">
        <v>15</v>
      </c>
      <c r="C3970" t="n">
        <v>3066</v>
      </c>
      <c r="D3970" s="6" t="n">
        <v>150.8</v>
      </c>
      <c r="E3970" s="6" t="n">
        <v>1260132.54</v>
      </c>
      <c r="F3970" s="6">
        <f>ROUND(E3970-E3969,2)</f>
        <v/>
      </c>
      <c r="G3970" s="6">
        <f>ROUND(F3970-D3970,2)</f>
        <v/>
      </c>
    </row>
    <row r="3971">
      <c r="A3971" t="inlineStr">
        <is>
          <t>2022-09-29</t>
        </is>
      </c>
      <c r="B3971" t="n">
        <v>16</v>
      </c>
      <c r="C3971" t="n">
        <v>3066</v>
      </c>
      <c r="D3971" s="6" t="n">
        <v>77.7</v>
      </c>
      <c r="E3971" s="6" t="n">
        <v>1260210.24</v>
      </c>
      <c r="F3971" s="6">
        <f>ROUND(E3971-E3970,2)</f>
        <v/>
      </c>
      <c r="G3971" s="6">
        <f>ROUND(F3971-D3971,2)</f>
        <v/>
      </c>
    </row>
    <row r="3972">
      <c r="A3972" t="inlineStr">
        <is>
          <t>2022-09-29</t>
        </is>
      </c>
      <c r="B3972" t="n">
        <v>17</v>
      </c>
      <c r="C3972" t="n">
        <v>3066</v>
      </c>
      <c r="D3972" s="6" t="n">
        <v>50.3</v>
      </c>
      <c r="E3972" s="6" t="n">
        <v>1260260.54</v>
      </c>
      <c r="F3972" s="6">
        <f>ROUND(E3972-E3971,2)</f>
        <v/>
      </c>
      <c r="G3972" s="6">
        <f>ROUND(F3972-D3972,2)</f>
        <v/>
      </c>
    </row>
    <row r="3973">
      <c r="A3973" t="inlineStr">
        <is>
          <t>2022-09-29</t>
        </is>
      </c>
      <c r="B3973" t="n">
        <v>18</v>
      </c>
      <c r="C3973" t="n">
        <v>3066</v>
      </c>
      <c r="D3973" s="6" t="n">
        <v>23.2</v>
      </c>
      <c r="E3973" s="6" t="n">
        <v>1260283.74</v>
      </c>
      <c r="F3973" s="6">
        <f>ROUND(E3973-E3972,2)</f>
        <v/>
      </c>
      <c r="G3973" s="6">
        <f>ROUND(F3973-D3973,2)</f>
        <v/>
      </c>
    </row>
    <row r="3974">
      <c r="A3974" t="inlineStr">
        <is>
          <t>2022-09-29</t>
        </is>
      </c>
      <c r="B3974" t="n">
        <v>19</v>
      </c>
      <c r="C3974" t="n">
        <v>3066</v>
      </c>
      <c r="D3974" s="6" t="n">
        <v>25.5</v>
      </c>
      <c r="E3974" s="6" t="n">
        <v>1260309.24</v>
      </c>
      <c r="F3974" s="6">
        <f>ROUND(E3974-E3973,2)</f>
        <v/>
      </c>
      <c r="G3974" s="6">
        <f>ROUND(F3974-D3974,2)</f>
        <v/>
      </c>
    </row>
    <row r="3975">
      <c r="A3975" t="inlineStr">
        <is>
          <t>2022-09-29</t>
        </is>
      </c>
      <c r="B3975" t="n">
        <v>20</v>
      </c>
      <c r="C3975" t="n">
        <v>3066</v>
      </c>
      <c r="D3975" s="6" t="n">
        <v>22.8</v>
      </c>
      <c r="E3975" s="6" t="n">
        <v>1260332.04</v>
      </c>
      <c r="F3975" s="6">
        <f>ROUND(E3975-E3974,2)</f>
        <v/>
      </c>
      <c r="G3975" s="6">
        <f>ROUND(F3975-D3975,2)</f>
        <v/>
      </c>
    </row>
    <row r="3976">
      <c r="A3976" t="inlineStr">
        <is>
          <t>2022-09-29</t>
        </is>
      </c>
      <c r="B3976" t="n">
        <v>21</v>
      </c>
      <c r="C3976" t="n">
        <v>3066</v>
      </c>
      <c r="D3976" s="6" t="n">
        <v>56.4</v>
      </c>
      <c r="E3976" s="6" t="n">
        <v>1260388.44</v>
      </c>
      <c r="F3976" s="6">
        <f>ROUND(E3976-E3975,2)</f>
        <v/>
      </c>
      <c r="G3976" s="6">
        <f>ROUND(F3976-D3976,2)</f>
        <v/>
      </c>
    </row>
    <row r="3977">
      <c r="A3977" t="inlineStr">
        <is>
          <t>2022-09-30</t>
        </is>
      </c>
      <c r="B3977" t="n">
        <v>1</v>
      </c>
      <c r="C3977" t="n">
        <v>3067</v>
      </c>
      <c r="D3977" s="6" t="n">
        <v>55.2</v>
      </c>
      <c r="E3977" s="6" t="n">
        <v>1260443.64</v>
      </c>
      <c r="F3977" s="6">
        <f>ROUND(E3977-E3976,2)</f>
        <v/>
      </c>
      <c r="G3977" s="6">
        <f>ROUND(F3977-D3977,2)</f>
        <v/>
      </c>
    </row>
    <row r="3978">
      <c r="A3978" t="inlineStr">
        <is>
          <t>2022-09-30</t>
        </is>
      </c>
      <c r="B3978" t="n">
        <v>2</v>
      </c>
      <c r="C3978" t="n">
        <v>3067</v>
      </c>
      <c r="D3978" s="6" t="n">
        <v>63.4</v>
      </c>
      <c r="E3978" s="6" t="n">
        <v>1260507.04</v>
      </c>
      <c r="F3978" s="6">
        <f>ROUND(E3978-E3977,2)</f>
        <v/>
      </c>
      <c r="G3978" s="6">
        <f>ROUND(F3978-D3978,2)</f>
        <v/>
      </c>
    </row>
    <row r="3979">
      <c r="A3979" t="inlineStr">
        <is>
          <t>2022-09-30</t>
        </is>
      </c>
      <c r="B3979" t="n">
        <v>3</v>
      </c>
      <c r="C3979" t="n">
        <v>3067</v>
      </c>
      <c r="D3979" s="6" t="n">
        <v>79.40000000000001</v>
      </c>
      <c r="E3979" s="6" t="n">
        <v>1260586.44</v>
      </c>
      <c r="F3979" s="6">
        <f>ROUND(E3979-E3978,2)</f>
        <v/>
      </c>
      <c r="G3979" s="6">
        <f>ROUND(F3979-D3979,2)</f>
        <v/>
      </c>
    </row>
    <row r="3980">
      <c r="A3980" t="inlineStr">
        <is>
          <t>2022-09-30</t>
        </is>
      </c>
      <c r="B3980" t="n">
        <v>4</v>
      </c>
      <c r="C3980" t="n">
        <v>3067</v>
      </c>
      <c r="D3980" s="6" t="n">
        <v>74.5</v>
      </c>
      <c r="E3980" s="6" t="n">
        <v>1260660.94</v>
      </c>
      <c r="F3980" s="6">
        <f>ROUND(E3980-E3979,2)</f>
        <v/>
      </c>
      <c r="G3980" s="6">
        <f>ROUND(F3980-D3980,2)</f>
        <v/>
      </c>
    </row>
    <row r="3981">
      <c r="A3981" t="inlineStr">
        <is>
          <t>2022-09-30</t>
        </is>
      </c>
      <c r="B3981" t="n">
        <v>5</v>
      </c>
      <c r="C3981" t="n">
        <v>3067</v>
      </c>
      <c r="D3981" s="6" t="n">
        <v>52</v>
      </c>
      <c r="E3981" s="6" t="n">
        <v>1260712.94</v>
      </c>
      <c r="F3981" s="6">
        <f>ROUND(E3981-E3980,2)</f>
        <v/>
      </c>
      <c r="G3981" s="6">
        <f>ROUND(F3981-D3981,2)</f>
        <v/>
      </c>
    </row>
    <row r="3982">
      <c r="A3982" t="inlineStr">
        <is>
          <t>2022-09-30</t>
        </is>
      </c>
      <c r="B3982" t="n">
        <v>6</v>
      </c>
      <c r="C3982" t="n">
        <v>3067</v>
      </c>
      <c r="D3982" s="6" t="n">
        <v>34</v>
      </c>
      <c r="E3982" s="6" t="n">
        <v>1260746.94</v>
      </c>
      <c r="F3982" s="6">
        <f>ROUND(E3982-E3981,2)</f>
        <v/>
      </c>
      <c r="G3982" s="6">
        <f>ROUND(F3982-D3982,2)</f>
        <v/>
      </c>
    </row>
    <row r="3983">
      <c r="A3983" t="inlineStr">
        <is>
          <t>2022-09-30</t>
        </is>
      </c>
      <c r="B3983" t="n">
        <v>7</v>
      </c>
      <c r="C3983" t="n">
        <v>3067</v>
      </c>
      <c r="D3983" s="6" t="n">
        <v>71.7</v>
      </c>
      <c r="E3983" s="6" t="n">
        <v>1260818.64</v>
      </c>
      <c r="F3983" s="6">
        <f>ROUND(E3983-E3982,2)</f>
        <v/>
      </c>
      <c r="G3983" s="6">
        <f>ROUND(F3983-D3983,2)</f>
        <v/>
      </c>
    </row>
    <row r="3984">
      <c r="A3984" t="inlineStr">
        <is>
          <t>2022-09-30</t>
        </is>
      </c>
      <c r="B3984" t="n">
        <v>8</v>
      </c>
      <c r="C3984" t="n">
        <v>3067</v>
      </c>
      <c r="D3984" s="6" t="n">
        <v>5.2</v>
      </c>
      <c r="E3984" s="6" t="n">
        <v>1260823.84</v>
      </c>
      <c r="F3984" s="6">
        <f>ROUND(E3984-E3983,2)</f>
        <v/>
      </c>
      <c r="G3984" s="6">
        <f>ROUND(F3984-D3984,2)</f>
        <v/>
      </c>
    </row>
    <row r="3985">
      <c r="A3985" t="inlineStr">
        <is>
          <t>2022-09-30</t>
        </is>
      </c>
      <c r="B3985" t="n">
        <v>9</v>
      </c>
      <c r="C3985" t="n">
        <v>3067</v>
      </c>
      <c r="D3985" s="6" t="n">
        <v>72.59999999999999</v>
      </c>
      <c r="E3985" s="6" t="n">
        <v>1260896.44</v>
      </c>
      <c r="F3985" s="6">
        <f>ROUND(E3985-E3984,2)</f>
        <v/>
      </c>
      <c r="G3985" s="6">
        <f>ROUND(F3985-D3985,2)</f>
        <v/>
      </c>
    </row>
    <row r="3986">
      <c r="A3986" t="inlineStr">
        <is>
          <t>2022-09-30</t>
        </is>
      </c>
      <c r="B3986" t="n">
        <v>10</v>
      </c>
      <c r="C3986" t="n">
        <v>3067</v>
      </c>
      <c r="D3986" s="6" t="n">
        <v>58.9</v>
      </c>
      <c r="E3986" s="6" t="n">
        <v>1260955.34</v>
      </c>
      <c r="F3986" s="6">
        <f>ROUND(E3986-E3985,2)</f>
        <v/>
      </c>
      <c r="G3986" s="6">
        <f>ROUND(F3986-D3986,2)</f>
        <v/>
      </c>
    </row>
    <row r="3987">
      <c r="A3987" t="inlineStr">
        <is>
          <t>2022-09-30</t>
        </is>
      </c>
      <c r="B3987" t="n">
        <v>11</v>
      </c>
      <c r="C3987" t="n">
        <v>3067</v>
      </c>
      <c r="D3987" s="6" t="n">
        <v>22.7</v>
      </c>
      <c r="E3987" s="6" t="n">
        <v>1260978.04</v>
      </c>
      <c r="F3987" s="6">
        <f>ROUND(E3987-E3986,2)</f>
        <v/>
      </c>
      <c r="G3987" s="6">
        <f>ROUND(F3987-D3987,2)</f>
        <v/>
      </c>
    </row>
    <row r="3988">
      <c r="A3988" t="inlineStr">
        <is>
          <t>2022-09-30</t>
        </is>
      </c>
      <c r="B3988" t="n">
        <v>12</v>
      </c>
      <c r="C3988" t="n">
        <v>3067</v>
      </c>
      <c r="D3988" s="6" t="n">
        <v>35.8</v>
      </c>
      <c r="E3988" s="6" t="n">
        <v>1261013.84</v>
      </c>
      <c r="F3988" s="6">
        <f>ROUND(E3988-E3987,2)</f>
        <v/>
      </c>
      <c r="G3988" s="6">
        <f>ROUND(F3988-D3988,2)</f>
        <v/>
      </c>
    </row>
    <row r="3989">
      <c r="A3989" t="inlineStr">
        <is>
          <t>2022-09-30</t>
        </is>
      </c>
      <c r="B3989" t="n">
        <v>13</v>
      </c>
      <c r="C3989" t="n">
        <v>3067</v>
      </c>
      <c r="D3989" s="6" t="n">
        <v>22.7</v>
      </c>
      <c r="E3989" s="6" t="n">
        <v>1261036.54</v>
      </c>
      <c r="F3989" s="6">
        <f>ROUND(E3989-E3988,2)</f>
        <v/>
      </c>
      <c r="G3989" s="6">
        <f>ROUND(F3989-D3989,2)</f>
        <v/>
      </c>
    </row>
    <row r="3990">
      <c r="A3990" t="inlineStr">
        <is>
          <t>2022-09-30</t>
        </is>
      </c>
      <c r="B3990" t="n">
        <v>14</v>
      </c>
      <c r="C3990" t="n">
        <v>3067</v>
      </c>
      <c r="D3990" s="6" t="n">
        <v>28.4</v>
      </c>
      <c r="E3990" s="6" t="n">
        <v>1261064.94</v>
      </c>
      <c r="F3990" s="6">
        <f>ROUND(E3990-E3989,2)</f>
        <v/>
      </c>
      <c r="G3990" s="6">
        <f>ROUND(F3990-D3990,2)</f>
        <v/>
      </c>
    </row>
    <row r="3991">
      <c r="A3991" t="inlineStr">
        <is>
          <t>2022-09-30</t>
        </is>
      </c>
      <c r="B3991" t="n">
        <v>15</v>
      </c>
      <c r="C3991" t="n">
        <v>3067</v>
      </c>
      <c r="D3991" s="6" t="n">
        <v>43.9</v>
      </c>
      <c r="E3991" s="6" t="n">
        <v>1261108.84</v>
      </c>
      <c r="F3991" s="6">
        <f>ROUND(E3991-E3990,2)</f>
        <v/>
      </c>
      <c r="G3991" s="6">
        <f>ROUND(F3991-D3991,2)</f>
        <v/>
      </c>
    </row>
    <row r="3992">
      <c r="A3992" t="inlineStr">
        <is>
          <t>2022-09-30</t>
        </is>
      </c>
      <c r="B3992" t="n">
        <v>16</v>
      </c>
      <c r="C3992" t="n">
        <v>3067</v>
      </c>
      <c r="D3992" s="6" t="n">
        <v>44.3</v>
      </c>
      <c r="E3992" s="6" t="n">
        <v>1261153.14</v>
      </c>
      <c r="F3992" s="6">
        <f>ROUND(E3992-E3991,2)</f>
        <v/>
      </c>
      <c r="G3992" s="6">
        <f>ROUND(F3992-D3992,2)</f>
        <v/>
      </c>
    </row>
    <row r="3993">
      <c r="A3993" t="inlineStr">
        <is>
          <t>2022-09-30</t>
        </is>
      </c>
      <c r="B3993" t="n">
        <v>17</v>
      </c>
      <c r="C3993" t="n">
        <v>3067</v>
      </c>
      <c r="D3993" s="6" t="n">
        <v>189.3</v>
      </c>
      <c r="E3993" s="6" t="n">
        <v>1261342.44</v>
      </c>
      <c r="F3993" s="6">
        <f>ROUND(E3993-E3992,2)</f>
        <v/>
      </c>
      <c r="G3993" s="6">
        <f>ROUND(F3993-D3993,2)</f>
        <v/>
      </c>
    </row>
    <row r="3994">
      <c r="A3994" t="inlineStr">
        <is>
          <t>2022-09-30</t>
        </is>
      </c>
      <c r="B3994" t="n">
        <v>18</v>
      </c>
      <c r="C3994" t="n">
        <v>3067</v>
      </c>
      <c r="D3994" s="6" t="n">
        <v>66.09999999999999</v>
      </c>
      <c r="E3994" s="6" t="n">
        <v>1261408.54</v>
      </c>
      <c r="F3994" s="6">
        <f>ROUND(E3994-E3993,2)</f>
        <v/>
      </c>
      <c r="G3994" s="6">
        <f>ROUND(F3994-D3994,2)</f>
        <v/>
      </c>
    </row>
    <row r="3995">
      <c r="A3995" t="inlineStr">
        <is>
          <t>2022-09-30</t>
        </is>
      </c>
      <c r="B3995" t="n">
        <v>19</v>
      </c>
      <c r="C3995" t="n">
        <v>3067</v>
      </c>
      <c r="D3995" s="6" t="n">
        <v>101.9</v>
      </c>
      <c r="E3995" s="6" t="n">
        <v>1261510.44</v>
      </c>
      <c r="F3995" s="6">
        <f>ROUND(E3995-E3994,2)</f>
        <v/>
      </c>
      <c r="G3995" s="6">
        <f>ROUND(F3995-D3995,2)</f>
        <v/>
      </c>
    </row>
    <row r="3996">
      <c r="A3996" t="inlineStr">
        <is>
          <t>2022-09-30</t>
        </is>
      </c>
      <c r="B3996" t="n">
        <v>20</v>
      </c>
      <c r="C3996" t="n">
        <v>3067</v>
      </c>
      <c r="D3996" s="6" t="n">
        <v>31.7</v>
      </c>
      <c r="E3996" s="6" t="n">
        <v>1261542.14</v>
      </c>
      <c r="F3996" s="6">
        <f>ROUND(E3996-E3995,2)</f>
        <v/>
      </c>
      <c r="G3996" s="6">
        <f>ROUND(F3996-D3996,2)</f>
        <v/>
      </c>
    </row>
    <row r="3997">
      <c r="A3997" t="inlineStr">
        <is>
          <t>2022-09-30</t>
        </is>
      </c>
      <c r="B3997" t="n">
        <v>21</v>
      </c>
      <c r="C3997" t="n">
        <v>3067</v>
      </c>
      <c r="D3997" s="6" t="n">
        <v>31.3</v>
      </c>
      <c r="E3997" s="6" t="n">
        <v>1261573.44</v>
      </c>
      <c r="F3997" s="6">
        <f>ROUND(E3997-E3996,2)</f>
        <v/>
      </c>
      <c r="G3997" s="6">
        <f>ROUND(F3997-D3997,2)</f>
        <v/>
      </c>
    </row>
    <row r="3998">
      <c r="A3998" t="inlineStr">
        <is>
          <t>2022-09-30</t>
        </is>
      </c>
      <c r="B3998" t="n">
        <v>22</v>
      </c>
      <c r="C3998" t="n">
        <v>3067</v>
      </c>
      <c r="D3998" s="6" t="n">
        <v>23.6</v>
      </c>
      <c r="E3998" s="6" t="n">
        <v>1261597.04</v>
      </c>
      <c r="F3998" s="6">
        <f>ROUND(E3998-E3997,2)</f>
        <v/>
      </c>
      <c r="G3998" s="6">
        <f>ROUND(F3998-D3998,2)</f>
        <v/>
      </c>
    </row>
    <row r="3999">
      <c r="A3999" t="inlineStr">
        <is>
          <t>2022-09-30</t>
        </is>
      </c>
      <c r="B3999" t="n">
        <v>23</v>
      </c>
      <c r="C3999" t="n">
        <v>3067</v>
      </c>
      <c r="D3999" s="6" t="n">
        <v>42.3</v>
      </c>
      <c r="E3999" s="6" t="n">
        <v>1261639.34</v>
      </c>
      <c r="F3999" s="6">
        <f>ROUND(E3999-E3998,2)</f>
        <v/>
      </c>
      <c r="G3999" s="6">
        <f>ROUND(F3999-D3999,2)</f>
        <v/>
      </c>
    </row>
    <row r="4000">
      <c r="A4000" t="inlineStr">
        <is>
          <t>2022-09-30</t>
        </is>
      </c>
      <c r="B4000" t="n">
        <v>24</v>
      </c>
      <c r="C4000" t="n">
        <v>3067</v>
      </c>
      <c r="D4000" s="6" t="n">
        <v>36.4</v>
      </c>
      <c r="E4000" s="6" t="n">
        <v>1261675.74</v>
      </c>
      <c r="F4000" s="6">
        <f>ROUND(E4000-E3999,2)</f>
        <v/>
      </c>
      <c r="G4000" s="6">
        <f>ROUND(F4000-D4000,2)</f>
        <v/>
      </c>
    </row>
    <row r="4001">
      <c r="A4001" t="inlineStr">
        <is>
          <t>2022-09-30</t>
        </is>
      </c>
      <c r="B4001" t="n">
        <v>25</v>
      </c>
      <c r="C4001" t="n">
        <v>3067</v>
      </c>
      <c r="D4001" s="6" t="n">
        <v>28.5</v>
      </c>
      <c r="E4001" s="6" t="n">
        <v>1261704.24</v>
      </c>
      <c r="F4001" s="6">
        <f>ROUND(E4001-E4000,2)</f>
        <v/>
      </c>
      <c r="G4001" s="6">
        <f>ROUND(F4001-D4001,2)</f>
        <v/>
      </c>
    </row>
    <row r="4002">
      <c r="A4002" t="inlineStr">
        <is>
          <t>2022-09-30</t>
        </is>
      </c>
      <c r="B4002" t="n">
        <v>26</v>
      </c>
      <c r="C4002" t="n">
        <v>3067</v>
      </c>
      <c r="D4002" s="6" t="n">
        <v>15.4</v>
      </c>
      <c r="E4002" s="6" t="n">
        <v>1261719.64</v>
      </c>
      <c r="F4002" s="6">
        <f>ROUND(E4002-E4001,2)</f>
        <v/>
      </c>
      <c r="G4002" s="6">
        <f>ROUND(F4002-D4002,2)</f>
        <v/>
      </c>
    </row>
    <row r="4003">
      <c r="A4003" t="inlineStr">
        <is>
          <t>2022-10-01</t>
        </is>
      </c>
      <c r="B4003" t="n">
        <v>1</v>
      </c>
      <c r="C4003" t="n">
        <v>3068</v>
      </c>
      <c r="D4003" s="6" t="n">
        <v>42.4</v>
      </c>
      <c r="E4003" s="6" t="n">
        <v>1261762.04</v>
      </c>
      <c r="F4003" s="6">
        <f>ROUND(E4003-E4002,2)</f>
        <v/>
      </c>
      <c r="G4003" s="6">
        <f>ROUND(F4003-D4003,2)</f>
        <v/>
      </c>
    </row>
    <row r="4004">
      <c r="A4004" t="inlineStr">
        <is>
          <t>2022-10-01</t>
        </is>
      </c>
      <c r="B4004" t="n">
        <v>2</v>
      </c>
      <c r="C4004" t="n">
        <v>3068</v>
      </c>
      <c r="D4004" s="6" t="n">
        <v>104.5</v>
      </c>
      <c r="E4004" s="6" t="n">
        <v>1261866.54</v>
      </c>
      <c r="F4004" s="6">
        <f>ROUND(E4004-E4003,2)</f>
        <v/>
      </c>
      <c r="G4004" s="6">
        <f>ROUND(F4004-D4004,2)</f>
        <v/>
      </c>
    </row>
    <row r="4005">
      <c r="A4005" t="inlineStr">
        <is>
          <t>2022-10-01</t>
        </is>
      </c>
      <c r="B4005" t="n">
        <v>3</v>
      </c>
      <c r="C4005" t="n">
        <v>3068</v>
      </c>
      <c r="D4005" s="6" t="n">
        <v>19.9</v>
      </c>
      <c r="E4005" s="6" t="n">
        <v>1261886.44</v>
      </c>
      <c r="F4005" s="6">
        <f>ROUND(E4005-E4004,2)</f>
        <v/>
      </c>
      <c r="G4005" s="6">
        <f>ROUND(F4005-D4005,2)</f>
        <v/>
      </c>
    </row>
    <row r="4006">
      <c r="A4006" t="inlineStr">
        <is>
          <t>2022-10-01</t>
        </is>
      </c>
      <c r="B4006" t="n">
        <v>4</v>
      </c>
      <c r="C4006" t="n">
        <v>3068</v>
      </c>
      <c r="D4006" s="6" t="n">
        <v>33.5</v>
      </c>
      <c r="E4006" s="6" t="n">
        <v>1261919.94</v>
      </c>
      <c r="F4006" s="6">
        <f>ROUND(E4006-E4005,2)</f>
        <v/>
      </c>
      <c r="G4006" s="6">
        <f>ROUND(F4006-D4006,2)</f>
        <v/>
      </c>
    </row>
    <row r="4007">
      <c r="A4007" t="inlineStr">
        <is>
          <t>2022-10-01</t>
        </is>
      </c>
      <c r="B4007" t="n">
        <v>5</v>
      </c>
      <c r="C4007" t="n">
        <v>3068</v>
      </c>
      <c r="D4007" s="6" t="n">
        <v>19.8</v>
      </c>
      <c r="E4007" s="6" t="n">
        <v>1261939.74</v>
      </c>
      <c r="F4007" s="6">
        <f>ROUND(E4007-E4006,2)</f>
        <v/>
      </c>
      <c r="G4007" s="6">
        <f>ROUND(F4007-D4007,2)</f>
        <v/>
      </c>
    </row>
    <row r="4008">
      <c r="A4008" t="inlineStr">
        <is>
          <t>2022-10-01</t>
        </is>
      </c>
      <c r="B4008" t="n">
        <v>6</v>
      </c>
      <c r="C4008" t="n">
        <v>3068</v>
      </c>
      <c r="D4008" s="6" t="n">
        <v>19.8</v>
      </c>
      <c r="E4008" s="6" t="n">
        <v>1261959.54</v>
      </c>
      <c r="F4008" s="6">
        <f>ROUND(E4008-E4007,2)</f>
        <v/>
      </c>
      <c r="G4008" s="6">
        <f>ROUND(F4008-D4008,2)</f>
        <v/>
      </c>
    </row>
    <row r="4009">
      <c r="A4009" t="inlineStr">
        <is>
          <t>2022-10-01</t>
        </is>
      </c>
      <c r="B4009" t="n">
        <v>7</v>
      </c>
      <c r="C4009" t="n">
        <v>3068</v>
      </c>
      <c r="D4009" s="6" t="n">
        <v>102.5</v>
      </c>
      <c r="E4009" s="6" t="n">
        <v>1262062.04</v>
      </c>
      <c r="F4009" s="6">
        <f>ROUND(E4009-E4008,2)</f>
        <v/>
      </c>
      <c r="G4009" s="6">
        <f>ROUND(F4009-D4009,2)</f>
        <v/>
      </c>
    </row>
    <row r="4010">
      <c r="A4010" t="inlineStr">
        <is>
          <t>2022-10-01</t>
        </is>
      </c>
      <c r="B4010" t="n">
        <v>8</v>
      </c>
      <c r="C4010" t="n">
        <v>3068</v>
      </c>
      <c r="D4010" s="6" t="n">
        <v>86</v>
      </c>
      <c r="E4010" s="6" t="n">
        <v>1262148.04</v>
      </c>
      <c r="F4010" s="6">
        <f>ROUND(E4010-E4009,2)</f>
        <v/>
      </c>
      <c r="G4010" s="6">
        <f>ROUND(F4010-D4010,2)</f>
        <v/>
      </c>
    </row>
    <row r="4011">
      <c r="A4011" t="inlineStr">
        <is>
          <t>2022-10-01</t>
        </is>
      </c>
      <c r="B4011" t="n">
        <v>9</v>
      </c>
      <c r="C4011" t="n">
        <v>3068</v>
      </c>
      <c r="D4011" s="6" t="n">
        <v>98.90000000000001</v>
      </c>
      <c r="E4011" s="6" t="n">
        <v>1262246.94</v>
      </c>
      <c r="F4011" s="6">
        <f>ROUND(E4011-E4010,2)</f>
        <v/>
      </c>
      <c r="G4011" s="6">
        <f>ROUND(F4011-D4011,2)</f>
        <v/>
      </c>
    </row>
    <row r="4012">
      <c r="A4012" t="inlineStr">
        <is>
          <t>2022-10-01</t>
        </is>
      </c>
      <c r="B4012" t="n">
        <v>10</v>
      </c>
      <c r="C4012" t="n">
        <v>3068</v>
      </c>
      <c r="D4012" s="6" t="n">
        <v>105.8</v>
      </c>
      <c r="E4012" s="6" t="n">
        <v>1262352.74</v>
      </c>
      <c r="F4012" s="6">
        <f>ROUND(E4012-E4011,2)</f>
        <v/>
      </c>
      <c r="G4012" s="6">
        <f>ROUND(F4012-D4012,2)</f>
        <v/>
      </c>
    </row>
    <row r="4013">
      <c r="A4013" t="inlineStr">
        <is>
          <t>2022-10-01</t>
        </is>
      </c>
      <c r="B4013" t="n">
        <v>11</v>
      </c>
      <c r="C4013" t="n">
        <v>3068</v>
      </c>
      <c r="D4013" s="6" t="n">
        <v>287</v>
      </c>
      <c r="E4013" s="6" t="n">
        <v>1262639.74</v>
      </c>
      <c r="F4013" s="6">
        <f>ROUND(E4013-E4012,2)</f>
        <v/>
      </c>
      <c r="G4013" s="6">
        <f>ROUND(F4013-D4013,2)</f>
        <v/>
      </c>
    </row>
    <row r="4014">
      <c r="A4014" t="inlineStr">
        <is>
          <t>2022-10-01</t>
        </is>
      </c>
      <c r="B4014" t="n">
        <v>12</v>
      </c>
      <c r="C4014" t="n">
        <v>3068</v>
      </c>
      <c r="D4014" s="6" t="n">
        <v>72</v>
      </c>
      <c r="E4014" s="6" t="n">
        <v>1262711.74</v>
      </c>
      <c r="F4014" s="6">
        <f>ROUND(E4014-E4013,2)</f>
        <v/>
      </c>
      <c r="G4014" s="6">
        <f>ROUND(F4014-D4014,2)</f>
        <v/>
      </c>
    </row>
    <row r="4015">
      <c r="A4015" t="inlineStr">
        <is>
          <t>2022-10-01</t>
        </is>
      </c>
      <c r="B4015" t="n">
        <v>13</v>
      </c>
      <c r="C4015" t="n">
        <v>3068</v>
      </c>
      <c r="D4015" s="6" t="n">
        <v>184</v>
      </c>
      <c r="E4015" s="6" t="n">
        <v>1262895.74</v>
      </c>
      <c r="F4015" s="6">
        <f>ROUND(E4015-E4014,2)</f>
        <v/>
      </c>
      <c r="G4015" s="6">
        <f>ROUND(F4015-D4015,2)</f>
        <v/>
      </c>
    </row>
    <row r="4016">
      <c r="A4016" t="inlineStr">
        <is>
          <t>2022-10-01</t>
        </is>
      </c>
      <c r="B4016" t="n">
        <v>14</v>
      </c>
      <c r="C4016" t="n">
        <v>3068</v>
      </c>
      <c r="D4016" s="6" t="n">
        <v>104.8</v>
      </c>
      <c r="E4016" s="6" t="n">
        <v>1263000.54</v>
      </c>
      <c r="F4016" s="6">
        <f>ROUND(E4016-E4015,2)</f>
        <v/>
      </c>
      <c r="G4016" s="6">
        <f>ROUND(F4016-D4016,2)</f>
        <v/>
      </c>
    </row>
    <row r="4017">
      <c r="A4017" t="inlineStr">
        <is>
          <t>2022-10-01</t>
        </is>
      </c>
      <c r="B4017" t="n">
        <v>15</v>
      </c>
      <c r="C4017" t="n">
        <v>3068</v>
      </c>
      <c r="D4017" s="6" t="n">
        <v>116</v>
      </c>
      <c r="E4017" s="6" t="n">
        <v>1263116.54</v>
      </c>
      <c r="F4017" s="6">
        <f>ROUND(E4017-E4016,2)</f>
        <v/>
      </c>
      <c r="G4017" s="6">
        <f>ROUND(F4017-D4017,2)</f>
        <v/>
      </c>
    </row>
    <row r="4018">
      <c r="A4018" t="inlineStr">
        <is>
          <t>2022-10-01</t>
        </is>
      </c>
      <c r="B4018" t="n">
        <v>16</v>
      </c>
      <c r="C4018" t="n">
        <v>3068</v>
      </c>
      <c r="D4018" s="6" t="n">
        <v>159.3</v>
      </c>
      <c r="E4018" s="6" t="n">
        <v>1263275.84</v>
      </c>
      <c r="F4018" s="6">
        <f>ROUND(E4018-E4017,2)</f>
        <v/>
      </c>
      <c r="G4018" s="6">
        <f>ROUND(F4018-D4018,2)</f>
        <v/>
      </c>
    </row>
    <row r="4019">
      <c r="A4019" t="inlineStr">
        <is>
          <t>2022-10-01</t>
        </is>
      </c>
      <c r="B4019" t="n">
        <v>17</v>
      </c>
      <c r="C4019" t="n">
        <v>3068</v>
      </c>
      <c r="D4019" s="6" t="n">
        <v>86.40000000000001</v>
      </c>
      <c r="E4019" s="6" t="n">
        <v>1263362.24</v>
      </c>
      <c r="F4019" s="6">
        <f>ROUND(E4019-E4018,2)</f>
        <v/>
      </c>
      <c r="G4019" s="6">
        <f>ROUND(F4019-D4019,2)</f>
        <v/>
      </c>
    </row>
    <row r="4020">
      <c r="A4020" t="inlineStr">
        <is>
          <t>2022-10-01</t>
        </is>
      </c>
      <c r="B4020" t="n">
        <v>18</v>
      </c>
      <c r="C4020" t="n">
        <v>3068</v>
      </c>
      <c r="D4020" s="6" t="n">
        <v>127.9</v>
      </c>
      <c r="E4020" s="6" t="n">
        <v>1263490.14</v>
      </c>
      <c r="F4020" s="6">
        <f>ROUND(E4020-E4019,2)</f>
        <v/>
      </c>
      <c r="G4020" s="6">
        <f>ROUND(F4020-D4020,2)</f>
        <v/>
      </c>
    </row>
    <row r="4021">
      <c r="A4021" t="inlineStr">
        <is>
          <t>2022-10-01</t>
        </is>
      </c>
      <c r="B4021" t="n">
        <v>19</v>
      </c>
      <c r="C4021" t="n">
        <v>3068</v>
      </c>
      <c r="D4021" s="6" t="n">
        <v>123.8</v>
      </c>
      <c r="E4021" s="6" t="n">
        <v>1263613.94</v>
      </c>
      <c r="F4021" s="6">
        <f>ROUND(E4021-E4020,2)</f>
        <v/>
      </c>
      <c r="G4021" s="6">
        <f>ROUND(F4021-D4021,2)</f>
        <v/>
      </c>
    </row>
    <row r="4022">
      <c r="A4022" t="inlineStr">
        <is>
          <t>2022-10-01</t>
        </is>
      </c>
      <c r="B4022" t="n">
        <v>20</v>
      </c>
      <c r="C4022" t="n">
        <v>3068</v>
      </c>
      <c r="D4022" s="6" t="n">
        <v>71.2</v>
      </c>
      <c r="E4022" s="6" t="n">
        <v>1263685.14</v>
      </c>
      <c r="F4022" s="6">
        <f>ROUND(E4022-E4021,2)</f>
        <v/>
      </c>
      <c r="G4022" s="6">
        <f>ROUND(F4022-D4022,2)</f>
        <v/>
      </c>
    </row>
    <row r="4023">
      <c r="A4023" t="inlineStr">
        <is>
          <t>2022-10-01</t>
        </is>
      </c>
      <c r="B4023" t="n">
        <v>21</v>
      </c>
      <c r="C4023" t="n">
        <v>3068</v>
      </c>
      <c r="D4023" s="6" t="n">
        <v>28.7</v>
      </c>
      <c r="E4023" s="6" t="n">
        <v>1263713.84</v>
      </c>
      <c r="F4023" s="6">
        <f>ROUND(E4023-E4022,2)</f>
        <v/>
      </c>
      <c r="G4023" s="6">
        <f>ROUND(F4023-D4023,2)</f>
        <v/>
      </c>
    </row>
    <row r="4024">
      <c r="A4024" t="inlineStr">
        <is>
          <t>2022-10-01</t>
        </is>
      </c>
      <c r="B4024" t="n">
        <v>22</v>
      </c>
      <c r="C4024" t="n">
        <v>3068</v>
      </c>
      <c r="D4024" s="6" t="n">
        <v>50.4</v>
      </c>
      <c r="E4024" s="6" t="n">
        <v>1263764.24</v>
      </c>
      <c r="F4024" s="6">
        <f>ROUND(E4024-E4023,2)</f>
        <v/>
      </c>
      <c r="G4024" s="6">
        <f>ROUND(F4024-D4024,2)</f>
        <v/>
      </c>
    </row>
    <row r="4025">
      <c r="A4025" t="inlineStr">
        <is>
          <t>2022-10-01</t>
        </is>
      </c>
      <c r="B4025" t="n">
        <v>23</v>
      </c>
      <c r="C4025" t="n">
        <v>3068</v>
      </c>
      <c r="D4025" s="6" t="n">
        <v>70.34999999999999</v>
      </c>
      <c r="E4025" s="6" t="n">
        <v>1263834.59</v>
      </c>
      <c r="F4025" s="6">
        <f>ROUND(E4025-E4024,2)</f>
        <v/>
      </c>
      <c r="G4025" s="6">
        <f>ROUND(F4025-D4025,2)</f>
        <v/>
      </c>
    </row>
    <row r="4026">
      <c r="A4026" t="inlineStr">
        <is>
          <t>2022-10-01</t>
        </is>
      </c>
      <c r="B4026" t="n">
        <v>24</v>
      </c>
      <c r="C4026" t="n">
        <v>3068</v>
      </c>
      <c r="D4026" s="6" t="n">
        <v>70.34999999999999</v>
      </c>
      <c r="E4026" s="6" t="n">
        <v>1263904.94</v>
      </c>
      <c r="F4026" s="6">
        <f>ROUND(E4026-E4025,2)</f>
        <v/>
      </c>
      <c r="G4026" s="6">
        <f>ROUND(F4026-D4026,2)</f>
        <v/>
      </c>
    </row>
    <row r="4027">
      <c r="A4027" t="inlineStr">
        <is>
          <t>2022-10-01</t>
        </is>
      </c>
      <c r="B4027" t="n">
        <v>25</v>
      </c>
      <c r="C4027" t="n">
        <v>3068</v>
      </c>
      <c r="D4027" s="6" t="n">
        <v>37.2</v>
      </c>
      <c r="E4027" s="6" t="n">
        <v>1263942.14</v>
      </c>
      <c r="F4027" s="6">
        <f>ROUND(E4027-E4026,2)</f>
        <v/>
      </c>
      <c r="G4027" s="6">
        <f>ROUND(F4027-D4027,2)</f>
        <v/>
      </c>
    </row>
    <row r="4028">
      <c r="A4028" t="inlineStr">
        <is>
          <t>2022-10-01</t>
        </is>
      </c>
      <c r="B4028" t="n">
        <v>26</v>
      </c>
      <c r="C4028" t="n">
        <v>3068</v>
      </c>
      <c r="D4028" s="6" t="n">
        <v>21.1</v>
      </c>
      <c r="E4028" s="6" t="n">
        <v>1263963.24</v>
      </c>
      <c r="F4028" s="6">
        <f>ROUND(E4028-E4027,2)</f>
        <v/>
      </c>
      <c r="G4028" s="6">
        <f>ROUND(F4028-D4028,2)</f>
        <v/>
      </c>
    </row>
    <row r="4029">
      <c r="A4029" t="inlineStr">
        <is>
          <t>2022-10-01</t>
        </is>
      </c>
      <c r="B4029" t="n">
        <v>27</v>
      </c>
      <c r="C4029" t="n">
        <v>3068</v>
      </c>
      <c r="D4029" s="6" t="n">
        <v>81.2</v>
      </c>
      <c r="E4029" s="6" t="n">
        <v>1264044.44</v>
      </c>
      <c r="F4029" s="6">
        <f>ROUND(E4029-E4028,2)</f>
        <v/>
      </c>
      <c r="G4029" s="6">
        <f>ROUND(F4029-D4029,2)</f>
        <v/>
      </c>
    </row>
    <row r="4030">
      <c r="A4030" t="inlineStr">
        <is>
          <t>2022-10-01</t>
        </is>
      </c>
      <c r="B4030" t="n">
        <v>28</v>
      </c>
      <c r="C4030" t="n">
        <v>3068</v>
      </c>
      <c r="D4030" s="6" t="n">
        <v>126.1</v>
      </c>
      <c r="E4030" s="6" t="n">
        <v>1264170.54</v>
      </c>
      <c r="F4030" s="6">
        <f>ROUND(E4030-E4029,2)</f>
        <v/>
      </c>
      <c r="G4030" s="6">
        <f>ROUND(F4030-D4030,2)</f>
        <v/>
      </c>
    </row>
    <row r="4031">
      <c r="A4031" t="inlineStr">
        <is>
          <t>2022-10-01</t>
        </is>
      </c>
      <c r="B4031" t="n">
        <v>29</v>
      </c>
      <c r="C4031" t="n">
        <v>3068</v>
      </c>
      <c r="D4031" s="6" t="n">
        <v>93</v>
      </c>
      <c r="E4031" s="6" t="n">
        <v>1264263.54</v>
      </c>
      <c r="F4031" s="6">
        <f>ROUND(E4031-E4030,2)</f>
        <v/>
      </c>
      <c r="G4031" s="6">
        <f>ROUND(F4031-D4031,2)</f>
        <v/>
      </c>
    </row>
    <row r="4032">
      <c r="A4032" t="inlineStr">
        <is>
          <t>2022-10-01</t>
        </is>
      </c>
      <c r="B4032" t="n">
        <v>30</v>
      </c>
      <c r="C4032" t="n">
        <v>3068</v>
      </c>
      <c r="D4032" s="6" t="n">
        <v>62.4</v>
      </c>
      <c r="E4032" s="6" t="n">
        <v>1264325.94</v>
      </c>
      <c r="F4032" s="6">
        <f>ROUND(E4032-E4031,2)</f>
        <v/>
      </c>
      <c r="G4032" s="6">
        <f>ROUND(F4032-D4032,2)</f>
        <v/>
      </c>
    </row>
    <row r="4033">
      <c r="A4033" t="inlineStr">
        <is>
          <t>2022-10-01</t>
        </is>
      </c>
      <c r="B4033" t="n">
        <v>31</v>
      </c>
      <c r="C4033" t="n">
        <v>3068</v>
      </c>
      <c r="D4033" s="6" t="n">
        <v>39.6</v>
      </c>
      <c r="E4033" s="6" t="n">
        <v>1264365.54</v>
      </c>
      <c r="F4033" s="6">
        <f>ROUND(E4033-E4032,2)</f>
        <v/>
      </c>
      <c r="G4033" s="6">
        <f>ROUND(F4033-D4033,2)</f>
        <v/>
      </c>
    </row>
    <row r="4034">
      <c r="A4034" t="inlineStr">
        <is>
          <t>2022-10-01</t>
        </is>
      </c>
      <c r="B4034" t="n">
        <v>32</v>
      </c>
      <c r="C4034" t="n">
        <v>3068</v>
      </c>
      <c r="D4034" s="6" t="n">
        <v>114.9</v>
      </c>
      <c r="E4034" s="6" t="n">
        <v>1264480.44</v>
      </c>
      <c r="F4034" s="6">
        <f>ROUND(E4034-E4033,2)</f>
        <v/>
      </c>
      <c r="G4034" s="6">
        <f>ROUND(F4034-D4034,2)</f>
        <v/>
      </c>
    </row>
    <row r="4035">
      <c r="A4035" t="inlineStr">
        <is>
          <t>2022-10-01</t>
        </is>
      </c>
      <c r="B4035" t="n">
        <v>33</v>
      </c>
      <c r="C4035" t="n">
        <v>3068</v>
      </c>
      <c r="D4035" s="6" t="n">
        <v>67.7</v>
      </c>
      <c r="E4035" s="6" t="n">
        <v>1264548.14</v>
      </c>
      <c r="F4035" s="6">
        <f>ROUND(E4035-E4034,2)</f>
        <v/>
      </c>
      <c r="G4035" s="6">
        <f>ROUND(F4035-D4035,2)</f>
        <v/>
      </c>
    </row>
    <row r="4036">
      <c r="A4036" t="inlineStr">
        <is>
          <t>2022-10-01</t>
        </is>
      </c>
      <c r="B4036" t="n">
        <v>34</v>
      </c>
      <c r="C4036" t="n">
        <v>3068</v>
      </c>
      <c r="D4036" s="6" t="n">
        <v>98</v>
      </c>
      <c r="E4036" s="6" t="n">
        <v>1264646.14</v>
      </c>
      <c r="F4036" s="6">
        <f>ROUND(E4036-E4035,2)</f>
        <v/>
      </c>
      <c r="G4036" s="6">
        <f>ROUND(F4036-D4036,2)</f>
        <v/>
      </c>
    </row>
    <row r="4037">
      <c r="A4037" t="inlineStr">
        <is>
          <t>2022-10-02</t>
        </is>
      </c>
      <c r="B4037" t="n">
        <v>1</v>
      </c>
      <c r="C4037" t="n">
        <v>3069</v>
      </c>
      <c r="D4037" s="6" t="n">
        <v>166</v>
      </c>
      <c r="E4037" s="6" t="n">
        <v>1264812.14</v>
      </c>
      <c r="F4037" s="6">
        <f>ROUND(E4037-E4036,2)</f>
        <v/>
      </c>
      <c r="G4037" s="6">
        <f>ROUND(F4037-D4037,2)</f>
        <v/>
      </c>
    </row>
    <row r="4038">
      <c r="A4038" t="inlineStr">
        <is>
          <t>2022-10-02</t>
        </is>
      </c>
      <c r="B4038" t="n">
        <v>2</v>
      </c>
      <c r="C4038" t="n">
        <v>3069</v>
      </c>
      <c r="D4038" s="6" t="n">
        <v>79.3</v>
      </c>
      <c r="E4038" s="6" t="n">
        <v>1264891.44</v>
      </c>
      <c r="F4038" s="6">
        <f>ROUND(E4038-E4037,2)</f>
        <v/>
      </c>
      <c r="G4038" s="6">
        <f>ROUND(F4038-D4038,2)</f>
        <v/>
      </c>
    </row>
    <row r="4039">
      <c r="A4039" t="inlineStr">
        <is>
          <t>2022-10-02</t>
        </is>
      </c>
      <c r="B4039" t="n">
        <v>3</v>
      </c>
      <c r="C4039" t="n">
        <v>3069</v>
      </c>
      <c r="D4039" s="6" t="n">
        <v>49.2</v>
      </c>
      <c r="E4039" s="6" t="n">
        <v>1264940.64</v>
      </c>
      <c r="F4039" s="6">
        <f>ROUND(E4039-E4038,2)</f>
        <v/>
      </c>
      <c r="G4039" s="6">
        <f>ROUND(F4039-D4039,2)</f>
        <v/>
      </c>
    </row>
    <row r="4040">
      <c r="A4040" t="inlineStr">
        <is>
          <t>2022-10-02</t>
        </is>
      </c>
      <c r="B4040" t="n">
        <v>4</v>
      </c>
      <c r="C4040" t="n">
        <v>3069</v>
      </c>
      <c r="D4040" s="6" t="n">
        <v>116</v>
      </c>
      <c r="E4040" s="6" t="n">
        <v>1265056.64</v>
      </c>
      <c r="F4040" s="6">
        <f>ROUND(E4040-E4039,2)</f>
        <v/>
      </c>
      <c r="G4040" s="6">
        <f>ROUND(F4040-D4040,2)</f>
        <v/>
      </c>
    </row>
    <row r="4041">
      <c r="A4041" t="inlineStr">
        <is>
          <t>2022-10-02</t>
        </is>
      </c>
      <c r="B4041" t="n">
        <v>5</v>
      </c>
      <c r="C4041" t="n">
        <v>3069</v>
      </c>
      <c r="D4041" s="6" t="n">
        <v>189</v>
      </c>
      <c r="E4041" s="6" t="n">
        <v>1265245.64</v>
      </c>
      <c r="F4041" s="6">
        <f>ROUND(E4041-E4040,2)</f>
        <v/>
      </c>
      <c r="G4041" s="6">
        <f>ROUND(F4041-D4041,2)</f>
        <v/>
      </c>
    </row>
    <row r="4042">
      <c r="A4042" t="inlineStr">
        <is>
          <t>2022-10-02</t>
        </is>
      </c>
      <c r="B4042" t="n">
        <v>6</v>
      </c>
      <c r="C4042" t="n">
        <v>3069</v>
      </c>
      <c r="D4042" s="6" t="n">
        <v>114.7</v>
      </c>
      <c r="E4042" s="6" t="n">
        <v>1265360.34</v>
      </c>
      <c r="F4042" s="6">
        <f>ROUND(E4042-E4041,2)</f>
        <v/>
      </c>
      <c r="G4042" s="6">
        <f>ROUND(F4042-D4042,2)</f>
        <v/>
      </c>
    </row>
    <row r="4043">
      <c r="A4043" t="inlineStr">
        <is>
          <t>2022-10-02</t>
        </is>
      </c>
      <c r="B4043" t="n">
        <v>7</v>
      </c>
      <c r="C4043" t="n">
        <v>3069</v>
      </c>
      <c r="D4043" s="6" t="n">
        <v>60.7</v>
      </c>
      <c r="E4043" s="6" t="n">
        <v>1265421.04</v>
      </c>
      <c r="F4043" s="6">
        <f>ROUND(E4043-E4042,2)</f>
        <v/>
      </c>
      <c r="G4043" s="6">
        <f>ROUND(F4043-D4043,2)</f>
        <v/>
      </c>
    </row>
    <row r="4044">
      <c r="A4044" t="inlineStr">
        <is>
          <t>2022-10-02</t>
        </is>
      </c>
      <c r="B4044" t="n">
        <v>8</v>
      </c>
      <c r="C4044" t="n">
        <v>3069</v>
      </c>
      <c r="D4044" s="6" t="n">
        <v>93</v>
      </c>
      <c r="E4044" s="6" t="n">
        <v>1265514.04</v>
      </c>
      <c r="F4044" s="6">
        <f>ROUND(E4044-E4043,2)</f>
        <v/>
      </c>
      <c r="G4044" s="6">
        <f>ROUND(F4044-D4044,2)</f>
        <v/>
      </c>
    </row>
    <row r="4045">
      <c r="A4045" t="inlineStr">
        <is>
          <t>2022-10-02</t>
        </is>
      </c>
      <c r="B4045" t="n">
        <v>9</v>
      </c>
      <c r="C4045" t="n">
        <v>3069</v>
      </c>
      <c r="D4045" s="6" t="n">
        <v>154.6</v>
      </c>
      <c r="E4045" s="6" t="n">
        <v>1265668.64</v>
      </c>
      <c r="F4045" s="6">
        <f>ROUND(E4045-E4044,2)</f>
        <v/>
      </c>
      <c r="G4045" s="6">
        <f>ROUND(F4045-D4045,2)</f>
        <v/>
      </c>
    </row>
    <row r="4046">
      <c r="A4046" t="inlineStr">
        <is>
          <t>2022-10-02</t>
        </is>
      </c>
      <c r="B4046" t="n">
        <v>10</v>
      </c>
      <c r="C4046" t="n">
        <v>3069</v>
      </c>
      <c r="D4046" s="6" t="n">
        <v>93.8</v>
      </c>
      <c r="E4046" s="6" t="n">
        <v>1265762.44</v>
      </c>
      <c r="F4046" s="6">
        <f>ROUND(E4046-E4045,2)</f>
        <v/>
      </c>
      <c r="G4046" s="6">
        <f>ROUND(F4046-D4046,2)</f>
        <v/>
      </c>
    </row>
    <row r="4047">
      <c r="A4047" t="inlineStr">
        <is>
          <t>2022-10-02</t>
        </is>
      </c>
      <c r="B4047" t="n">
        <v>11</v>
      </c>
      <c r="C4047" t="n">
        <v>3069</v>
      </c>
      <c r="D4047" s="6" t="n">
        <v>66.8</v>
      </c>
      <c r="E4047" s="6" t="n">
        <v>1265829.24</v>
      </c>
      <c r="F4047" s="6">
        <f>ROUND(E4047-E4046,2)</f>
        <v/>
      </c>
      <c r="G4047" s="6">
        <f>ROUND(F4047-D4047,2)</f>
        <v/>
      </c>
    </row>
    <row r="4048">
      <c r="A4048" t="inlineStr">
        <is>
          <t>2022-10-02</t>
        </is>
      </c>
      <c r="B4048" t="n">
        <v>12</v>
      </c>
      <c r="C4048" t="n">
        <v>3069</v>
      </c>
      <c r="D4048" s="6" t="n">
        <v>97.40000000000001</v>
      </c>
      <c r="E4048" s="6" t="n">
        <v>1265926.64</v>
      </c>
      <c r="F4048" s="6">
        <f>ROUND(E4048-E4047,2)</f>
        <v/>
      </c>
      <c r="G4048" s="6">
        <f>ROUND(F4048-D4048,2)</f>
        <v/>
      </c>
    </row>
    <row r="4049">
      <c r="A4049" t="inlineStr">
        <is>
          <t>2022-10-02</t>
        </is>
      </c>
      <c r="B4049" t="n">
        <v>13</v>
      </c>
      <c r="C4049" t="n">
        <v>3069</v>
      </c>
      <c r="D4049" s="6" t="n">
        <v>113.3</v>
      </c>
      <c r="E4049" s="6" t="n">
        <v>1266039.94</v>
      </c>
      <c r="F4049" s="6">
        <f>ROUND(E4049-E4048,2)</f>
        <v/>
      </c>
      <c r="G4049" s="6">
        <f>ROUND(F4049-D4049,2)</f>
        <v/>
      </c>
    </row>
    <row r="4050">
      <c r="A4050" t="inlineStr">
        <is>
          <t>2022-10-02</t>
        </is>
      </c>
      <c r="B4050" t="n">
        <v>14</v>
      </c>
      <c r="C4050" t="n">
        <v>3069</v>
      </c>
      <c r="D4050" s="6" t="n">
        <v>59.4</v>
      </c>
      <c r="E4050" s="6" t="n">
        <v>1266099.34</v>
      </c>
      <c r="F4050" s="6">
        <f>ROUND(E4050-E4049,2)</f>
        <v/>
      </c>
      <c r="G4050" s="6">
        <f>ROUND(F4050-D4050,2)</f>
        <v/>
      </c>
    </row>
    <row r="4051">
      <c r="A4051" t="inlineStr">
        <is>
          <t>2022-10-02</t>
        </is>
      </c>
      <c r="B4051" t="n">
        <v>15</v>
      </c>
      <c r="C4051" t="n">
        <v>3069</v>
      </c>
      <c r="D4051" s="6" t="n">
        <v>60.4</v>
      </c>
      <c r="E4051" s="6" t="n">
        <v>1266159.74</v>
      </c>
      <c r="F4051" s="6">
        <f>ROUND(E4051-E4050,2)</f>
        <v/>
      </c>
      <c r="G4051" s="6">
        <f>ROUND(F4051-D4051,2)</f>
        <v/>
      </c>
    </row>
    <row r="4052">
      <c r="A4052" t="inlineStr">
        <is>
          <t>2022-10-02</t>
        </is>
      </c>
      <c r="B4052" t="n">
        <v>16</v>
      </c>
      <c r="C4052" t="n">
        <v>3069</v>
      </c>
      <c r="D4052" s="6" t="n">
        <v>121.8</v>
      </c>
      <c r="E4052" s="6" t="n">
        <v>1266281.54</v>
      </c>
      <c r="F4052" s="6">
        <f>ROUND(E4052-E4051,2)</f>
        <v/>
      </c>
      <c r="G4052" s="6">
        <f>ROUND(F4052-D4052,2)</f>
        <v/>
      </c>
    </row>
    <row r="4053">
      <c r="A4053" t="inlineStr">
        <is>
          <t>2022-10-02</t>
        </is>
      </c>
      <c r="B4053" t="n">
        <v>17</v>
      </c>
      <c r="C4053" t="n">
        <v>3069</v>
      </c>
      <c r="D4053" s="6" t="n">
        <v>58.8</v>
      </c>
      <c r="E4053" s="6" t="n">
        <v>1266340.34</v>
      </c>
      <c r="F4053" s="6">
        <f>ROUND(E4053-E4052,2)</f>
        <v/>
      </c>
      <c r="G4053" s="6">
        <f>ROUND(F4053-D4053,2)</f>
        <v/>
      </c>
    </row>
    <row r="4054">
      <c r="A4054" t="inlineStr">
        <is>
          <t>2022-10-02</t>
        </is>
      </c>
      <c r="B4054" t="n">
        <v>18</v>
      </c>
      <c r="C4054" t="n">
        <v>3069</v>
      </c>
      <c r="D4054" s="6" t="n">
        <v>61.8</v>
      </c>
      <c r="E4054" s="6" t="n">
        <v>1266402.14</v>
      </c>
      <c r="F4054" s="6">
        <f>ROUND(E4054-E4053,2)</f>
        <v/>
      </c>
      <c r="G4054" s="6">
        <f>ROUND(F4054-D4054,2)</f>
        <v/>
      </c>
    </row>
    <row r="4055">
      <c r="A4055" t="inlineStr">
        <is>
          <t>2022-10-02</t>
        </is>
      </c>
      <c r="B4055" t="n">
        <v>19</v>
      </c>
      <c r="C4055" t="n">
        <v>3069</v>
      </c>
      <c r="D4055" s="6" t="n">
        <v>83.7</v>
      </c>
      <c r="E4055" s="6" t="n">
        <v>1266485.84</v>
      </c>
      <c r="F4055" s="6">
        <f>ROUND(E4055-E4054,2)</f>
        <v/>
      </c>
      <c r="G4055" s="6">
        <f>ROUND(F4055-D4055,2)</f>
        <v/>
      </c>
    </row>
    <row r="4056">
      <c r="A4056" t="inlineStr">
        <is>
          <t>2022-10-02</t>
        </is>
      </c>
      <c r="B4056" t="n">
        <v>20</v>
      </c>
      <c r="C4056" t="n">
        <v>3069</v>
      </c>
      <c r="D4056" s="6" t="n">
        <v>71.3</v>
      </c>
      <c r="E4056" s="6" t="n">
        <v>1266557.14</v>
      </c>
      <c r="F4056" s="6">
        <f>ROUND(E4056-E4055,2)</f>
        <v/>
      </c>
      <c r="G4056" s="6">
        <f>ROUND(F4056-D4056,2)</f>
        <v/>
      </c>
    </row>
    <row r="4057">
      <c r="A4057" t="inlineStr">
        <is>
          <t>2022-10-02</t>
        </is>
      </c>
      <c r="B4057" t="n">
        <v>21</v>
      </c>
      <c r="C4057" t="n">
        <v>3069</v>
      </c>
      <c r="D4057" s="6" t="n">
        <v>50.8</v>
      </c>
      <c r="E4057" s="6" t="n">
        <v>1266607.94</v>
      </c>
      <c r="F4057" s="6">
        <f>ROUND(E4057-E4056,2)</f>
        <v/>
      </c>
      <c r="G4057" s="6">
        <f>ROUND(F4057-D4057,2)</f>
        <v/>
      </c>
    </row>
    <row r="4058">
      <c r="A4058" t="inlineStr">
        <is>
          <t>2022-10-05</t>
        </is>
      </c>
      <c r="B4058" t="n">
        <v>1</v>
      </c>
      <c r="C4058" t="n">
        <v>3070</v>
      </c>
      <c r="D4058" s="6" t="n">
        <v>61.8</v>
      </c>
      <c r="E4058" s="6" t="n">
        <v>1266669.74</v>
      </c>
      <c r="F4058" s="6">
        <f>ROUND(E4058-E4057,2)</f>
        <v/>
      </c>
      <c r="G4058" s="6">
        <f>ROUND(F4058-D4058,2)</f>
        <v/>
      </c>
    </row>
    <row r="4059">
      <c r="A4059" t="inlineStr">
        <is>
          <t>2022-10-05</t>
        </is>
      </c>
      <c r="B4059" t="n">
        <v>2</v>
      </c>
      <c r="C4059" t="n">
        <v>3070</v>
      </c>
      <c r="D4059" s="6" t="n">
        <v>45.7</v>
      </c>
      <c r="E4059" s="6" t="n">
        <v>1266715.44</v>
      </c>
      <c r="F4059" s="6">
        <f>ROUND(E4059-E4058,2)</f>
        <v/>
      </c>
      <c r="G4059" s="6">
        <f>ROUND(F4059-D4059,2)</f>
        <v/>
      </c>
    </row>
    <row r="4060">
      <c r="A4060" t="inlineStr">
        <is>
          <t>2022-10-05</t>
        </is>
      </c>
      <c r="B4060" t="n">
        <v>3</v>
      </c>
      <c r="C4060" t="n">
        <v>3070</v>
      </c>
      <c r="D4060" s="6" t="n">
        <v>81.40000000000001</v>
      </c>
      <c r="E4060" s="6" t="n">
        <v>1266796.84</v>
      </c>
      <c r="F4060" s="6">
        <f>ROUND(E4060-E4059,2)</f>
        <v/>
      </c>
      <c r="G4060" s="6">
        <f>ROUND(F4060-D4060,2)</f>
        <v/>
      </c>
    </row>
    <row r="4061">
      <c r="A4061" t="inlineStr">
        <is>
          <t>2022-10-05</t>
        </is>
      </c>
      <c r="B4061" t="n">
        <v>4</v>
      </c>
      <c r="C4061" t="n">
        <v>3070</v>
      </c>
      <c r="D4061" s="6" t="n">
        <v>50.4</v>
      </c>
      <c r="E4061" s="6" t="n">
        <v>1266847.24</v>
      </c>
      <c r="F4061" s="6">
        <f>ROUND(E4061-E4060,2)</f>
        <v/>
      </c>
      <c r="G4061" s="6">
        <f>ROUND(F4061-D4061,2)</f>
        <v/>
      </c>
    </row>
    <row r="4062">
      <c r="A4062" t="inlineStr">
        <is>
          <t>2022-10-05</t>
        </is>
      </c>
      <c r="B4062" t="n">
        <v>5</v>
      </c>
      <c r="C4062" t="n">
        <v>3070</v>
      </c>
      <c r="D4062" s="6" t="n">
        <v>60.2</v>
      </c>
      <c r="E4062" s="6" t="n">
        <v>1266907.44</v>
      </c>
      <c r="F4062" s="6">
        <f>ROUND(E4062-E4061,2)</f>
        <v/>
      </c>
      <c r="G4062" s="6">
        <f>ROUND(F4062-D4062,2)</f>
        <v/>
      </c>
    </row>
    <row r="4063">
      <c r="A4063" t="inlineStr">
        <is>
          <t>2022-10-05</t>
        </is>
      </c>
      <c r="B4063" t="n">
        <v>6</v>
      </c>
      <c r="C4063" t="n">
        <v>3070</v>
      </c>
      <c r="D4063" s="6" t="n">
        <v>23.9</v>
      </c>
      <c r="E4063" s="6" t="n">
        <v>1266931.34</v>
      </c>
      <c r="F4063" s="6">
        <f>ROUND(E4063-E4062,2)</f>
        <v/>
      </c>
      <c r="G4063" s="6">
        <f>ROUND(F4063-D4063,2)</f>
        <v/>
      </c>
    </row>
    <row r="4064">
      <c r="A4064" t="inlineStr">
        <is>
          <t>2022-10-05</t>
        </is>
      </c>
      <c r="B4064" t="n">
        <v>7</v>
      </c>
      <c r="C4064" t="n">
        <v>3070</v>
      </c>
      <c r="D4064" s="6" t="n">
        <v>23.9</v>
      </c>
      <c r="E4064" s="6" t="n">
        <v>1266955.24</v>
      </c>
      <c r="F4064" s="6">
        <f>ROUND(E4064-E4063,2)</f>
        <v/>
      </c>
      <c r="G4064" s="6">
        <f>ROUND(F4064-D4064,2)</f>
        <v/>
      </c>
    </row>
    <row r="4065">
      <c r="A4065" t="inlineStr">
        <is>
          <t>2022-10-05</t>
        </is>
      </c>
      <c r="B4065" t="n">
        <v>8</v>
      </c>
      <c r="C4065" t="n">
        <v>3070</v>
      </c>
      <c r="D4065" s="6" t="n">
        <v>92.59999999999999</v>
      </c>
      <c r="E4065" s="6" t="n">
        <v>1267047.84</v>
      </c>
      <c r="F4065" s="6">
        <f>ROUND(E4065-E4064,2)</f>
        <v/>
      </c>
      <c r="G4065" s="6">
        <f>ROUND(F4065-D4065,2)</f>
        <v/>
      </c>
    </row>
    <row r="4066">
      <c r="A4066" t="inlineStr">
        <is>
          <t>2022-10-05</t>
        </is>
      </c>
      <c r="B4066" t="n">
        <v>9</v>
      </c>
      <c r="C4066" t="n">
        <v>3070</v>
      </c>
      <c r="D4066" s="6" t="n">
        <v>71.8</v>
      </c>
      <c r="E4066" s="6" t="n">
        <v>1267119.64</v>
      </c>
      <c r="F4066" s="6">
        <f>ROUND(E4066-E4065,2)</f>
        <v/>
      </c>
      <c r="G4066" s="6">
        <f>ROUND(F4066-D4066,2)</f>
        <v/>
      </c>
    </row>
    <row r="4067">
      <c r="A4067" t="inlineStr">
        <is>
          <t>2022-10-05</t>
        </is>
      </c>
      <c r="B4067" t="n">
        <v>10</v>
      </c>
      <c r="C4067" t="n">
        <v>3070</v>
      </c>
      <c r="D4067" s="6" t="n">
        <v>43</v>
      </c>
      <c r="E4067" s="6" t="n">
        <v>1267162.64</v>
      </c>
      <c r="F4067" s="6">
        <f>ROUND(E4067-E4066,2)</f>
        <v/>
      </c>
      <c r="G4067" s="6">
        <f>ROUND(F4067-D4067,2)</f>
        <v/>
      </c>
    </row>
    <row r="4068">
      <c r="A4068" t="inlineStr">
        <is>
          <t>2022-10-05</t>
        </is>
      </c>
      <c r="B4068" t="n">
        <v>11</v>
      </c>
      <c r="C4068" t="n">
        <v>3070</v>
      </c>
      <c r="D4068" s="6" t="n">
        <v>71.09999999999999</v>
      </c>
      <c r="E4068" s="6" t="n">
        <v>1267233.74</v>
      </c>
      <c r="F4068" s="6">
        <f>ROUND(E4068-E4067,2)</f>
        <v/>
      </c>
      <c r="G4068" s="6">
        <f>ROUND(F4068-D4068,2)</f>
        <v/>
      </c>
    </row>
    <row r="4069">
      <c r="A4069" t="inlineStr">
        <is>
          <t>2022-10-05</t>
        </is>
      </c>
      <c r="B4069" t="n">
        <v>12</v>
      </c>
      <c r="C4069" t="n">
        <v>3070</v>
      </c>
      <c r="D4069" s="6" t="n">
        <v>69.8</v>
      </c>
      <c r="E4069" s="6" t="n">
        <v>1267303.54</v>
      </c>
      <c r="F4069" s="6">
        <f>ROUND(E4069-E4068,2)</f>
        <v/>
      </c>
      <c r="G4069" s="6">
        <f>ROUND(F4069-D4069,2)</f>
        <v/>
      </c>
    </row>
    <row r="4070">
      <c r="A4070" t="inlineStr">
        <is>
          <t>2022-10-05</t>
        </is>
      </c>
      <c r="B4070" t="n">
        <v>13</v>
      </c>
      <c r="C4070" t="n">
        <v>3070</v>
      </c>
      <c r="D4070" s="6" t="n">
        <v>98</v>
      </c>
      <c r="E4070" s="6" t="n">
        <v>1267401.54</v>
      </c>
      <c r="F4070" s="6">
        <f>ROUND(E4070-E4069,2)</f>
        <v/>
      </c>
      <c r="G4070" s="6">
        <f>ROUND(F4070-D4070,2)</f>
        <v/>
      </c>
    </row>
    <row r="4071">
      <c r="A4071" t="inlineStr">
        <is>
          <t>2022-10-05</t>
        </is>
      </c>
      <c r="B4071" t="n">
        <v>14</v>
      </c>
      <c r="C4071" t="n">
        <v>3070</v>
      </c>
      <c r="D4071" s="6" t="n">
        <v>35.4</v>
      </c>
      <c r="E4071" s="6" t="n">
        <v>1267436.94</v>
      </c>
      <c r="F4071" s="6">
        <f>ROUND(E4071-E4070,2)</f>
        <v/>
      </c>
      <c r="G4071" s="6">
        <f>ROUND(F4071-D4071,2)</f>
        <v/>
      </c>
    </row>
    <row r="4072">
      <c r="A4072" t="inlineStr">
        <is>
          <t>2022-10-05</t>
        </is>
      </c>
      <c r="B4072" t="n">
        <v>15</v>
      </c>
      <c r="C4072" t="n">
        <v>3070</v>
      </c>
      <c r="D4072" s="6" t="n">
        <v>72.2</v>
      </c>
      <c r="E4072" s="6" t="n">
        <v>1267509.14</v>
      </c>
      <c r="F4072" s="6">
        <f>ROUND(E4072-E4071,2)</f>
        <v/>
      </c>
      <c r="G4072" s="6">
        <f>ROUND(F4072-D4072,2)</f>
        <v/>
      </c>
    </row>
    <row r="4073">
      <c r="A4073" t="inlineStr">
        <is>
          <t>2022-10-05</t>
        </is>
      </c>
      <c r="B4073" t="n">
        <v>16</v>
      </c>
      <c r="C4073" t="n">
        <v>3070</v>
      </c>
      <c r="D4073" s="6" t="n">
        <v>34.8</v>
      </c>
      <c r="E4073" s="6" t="n">
        <v>1267543.94</v>
      </c>
      <c r="F4073" s="6">
        <f>ROUND(E4073-E4072,2)</f>
        <v/>
      </c>
      <c r="G4073" s="6">
        <f>ROUND(F4073-D4073,2)</f>
        <v/>
      </c>
    </row>
    <row r="4074">
      <c r="A4074" t="inlineStr">
        <is>
          <t>2022-10-05</t>
        </is>
      </c>
      <c r="B4074" t="n">
        <v>17</v>
      </c>
      <c r="C4074" t="n">
        <v>3070</v>
      </c>
      <c r="D4074" s="6" t="n">
        <v>34.8</v>
      </c>
      <c r="E4074" s="6" t="n">
        <v>1267578.74</v>
      </c>
      <c r="F4074" s="6">
        <f>ROUND(E4074-E4073,2)</f>
        <v/>
      </c>
      <c r="G4074" s="6">
        <f>ROUND(F4074-D4074,2)</f>
        <v/>
      </c>
    </row>
    <row r="4075">
      <c r="A4075" t="inlineStr">
        <is>
          <t>2022-10-05</t>
        </is>
      </c>
      <c r="B4075" t="n">
        <v>18</v>
      </c>
      <c r="C4075" t="n">
        <v>3070</v>
      </c>
      <c r="D4075" s="6" t="n">
        <v>106.6</v>
      </c>
      <c r="E4075" s="6" t="n">
        <v>1267685.34</v>
      </c>
      <c r="F4075" s="6">
        <f>ROUND(E4075-E4074,2)</f>
        <v/>
      </c>
      <c r="G4075" s="6">
        <f>ROUND(F4075-D4075,2)</f>
        <v/>
      </c>
    </row>
    <row r="4076">
      <c r="A4076" t="inlineStr">
        <is>
          <t>2022-10-05</t>
        </is>
      </c>
      <c r="B4076" t="n">
        <v>19</v>
      </c>
      <c r="C4076" t="n">
        <v>3070</v>
      </c>
      <c r="D4076" s="6" t="n">
        <v>96.2</v>
      </c>
      <c r="E4076" s="6" t="n">
        <v>1267781.54</v>
      </c>
      <c r="F4076" s="6">
        <f>ROUND(E4076-E4075,2)</f>
        <v/>
      </c>
      <c r="G4076" s="6">
        <f>ROUND(F4076-D4076,2)</f>
        <v/>
      </c>
    </row>
    <row r="4077">
      <c r="A4077" t="inlineStr">
        <is>
          <t>2022-10-05</t>
        </is>
      </c>
      <c r="B4077" t="n">
        <v>20</v>
      </c>
      <c r="C4077" t="n">
        <v>3070</v>
      </c>
      <c r="D4077" s="6" t="n">
        <v>38.05</v>
      </c>
      <c r="E4077" s="6" t="n">
        <v>1267819.59</v>
      </c>
      <c r="F4077" s="6">
        <f>ROUND(E4077-E4076,2)</f>
        <v/>
      </c>
      <c r="G4077" s="6">
        <f>ROUND(F4077-D4077,2)</f>
        <v/>
      </c>
    </row>
    <row r="4078">
      <c r="A4078" t="inlineStr">
        <is>
          <t>2022-10-05</t>
        </is>
      </c>
      <c r="B4078" t="n">
        <v>21</v>
      </c>
      <c r="C4078" t="n">
        <v>3070</v>
      </c>
      <c r="D4078" s="6" t="n">
        <v>18.7</v>
      </c>
      <c r="E4078" s="6" t="n">
        <v>1267838.29</v>
      </c>
      <c r="F4078" s="6">
        <f>ROUND(E4078-E4077,2)</f>
        <v/>
      </c>
      <c r="G4078" s="6">
        <f>ROUND(F4078-D4078,2)</f>
        <v/>
      </c>
    </row>
    <row r="4079">
      <c r="A4079" t="inlineStr">
        <is>
          <t>2022-10-05</t>
        </is>
      </c>
      <c r="B4079" t="n">
        <v>22</v>
      </c>
      <c r="C4079" t="n">
        <v>3070</v>
      </c>
      <c r="D4079" s="6" t="n">
        <v>47.4</v>
      </c>
      <c r="E4079" s="6" t="n">
        <v>1267885.69</v>
      </c>
      <c r="F4079" s="6">
        <f>ROUND(E4079-E4078,2)</f>
        <v/>
      </c>
      <c r="G4079" s="6">
        <f>ROUND(F4079-D4079,2)</f>
        <v/>
      </c>
    </row>
    <row r="4080">
      <c r="A4080" t="inlineStr">
        <is>
          <t>2022-10-06</t>
        </is>
      </c>
      <c r="B4080" t="n">
        <v>1</v>
      </c>
      <c r="C4080" t="n">
        <v>3071</v>
      </c>
      <c r="D4080" s="6" t="n">
        <v>26</v>
      </c>
      <c r="E4080" s="6" t="n">
        <v>1267911.69</v>
      </c>
      <c r="F4080" s="6">
        <f>ROUND(E4080-E4079,2)</f>
        <v/>
      </c>
      <c r="G4080" s="6">
        <f>ROUND(F4080-D4080,2)</f>
        <v/>
      </c>
    </row>
    <row r="4081">
      <c r="A4081" t="inlineStr">
        <is>
          <t>2022-10-06</t>
        </is>
      </c>
      <c r="B4081" t="n">
        <v>2</v>
      </c>
      <c r="C4081" t="n">
        <v>3071</v>
      </c>
      <c r="D4081" s="6" t="n">
        <v>50</v>
      </c>
      <c r="E4081" s="6" t="n">
        <v>1267961.69</v>
      </c>
      <c r="F4081" s="6">
        <f>ROUND(E4081-E4080,2)</f>
        <v/>
      </c>
      <c r="G4081" s="6">
        <f>ROUND(F4081-D4081,2)</f>
        <v/>
      </c>
    </row>
    <row r="4082">
      <c r="A4082" t="inlineStr">
        <is>
          <t>2022-10-06</t>
        </is>
      </c>
      <c r="B4082" t="n">
        <v>3</v>
      </c>
      <c r="C4082" t="n">
        <v>3071</v>
      </c>
      <c r="D4082" s="6" t="n">
        <v>57.8</v>
      </c>
      <c r="E4082" s="6" t="n">
        <v>1268019.49</v>
      </c>
      <c r="F4082" s="6">
        <f>ROUND(E4082-E4081,2)</f>
        <v/>
      </c>
      <c r="G4082" s="6">
        <f>ROUND(F4082-D4082,2)</f>
        <v/>
      </c>
    </row>
    <row r="4083">
      <c r="A4083" t="inlineStr">
        <is>
          <t>2022-10-06</t>
        </is>
      </c>
      <c r="B4083" t="n">
        <v>4</v>
      </c>
      <c r="C4083" t="n">
        <v>3071</v>
      </c>
      <c r="D4083" s="6" t="n">
        <v>22.55</v>
      </c>
      <c r="E4083" s="6" t="n">
        <v>1268042.04</v>
      </c>
      <c r="F4083" s="6">
        <f>ROUND(E4083-E4082,2)</f>
        <v/>
      </c>
      <c r="G4083" s="6">
        <f>ROUND(F4083-D4083,2)</f>
        <v/>
      </c>
    </row>
    <row r="4084">
      <c r="A4084" t="inlineStr">
        <is>
          <t>2022-10-06</t>
        </is>
      </c>
      <c r="B4084" t="n">
        <v>5</v>
      </c>
      <c r="C4084" t="n">
        <v>3071</v>
      </c>
      <c r="D4084" s="6" t="n">
        <v>22.55</v>
      </c>
      <c r="E4084" s="6" t="n">
        <v>1268064.59</v>
      </c>
      <c r="F4084" s="6">
        <f>ROUND(E4084-E4083,2)</f>
        <v/>
      </c>
      <c r="G4084" s="6">
        <f>ROUND(F4084-D4084,2)</f>
        <v/>
      </c>
    </row>
    <row r="4085">
      <c r="A4085" t="inlineStr">
        <is>
          <t>2022-10-06</t>
        </is>
      </c>
      <c r="B4085" t="n">
        <v>6</v>
      </c>
      <c r="C4085" t="n">
        <v>3071</v>
      </c>
      <c r="D4085" s="6" t="n">
        <v>73.09999999999999</v>
      </c>
      <c r="E4085" s="6" t="n">
        <v>1268137.69</v>
      </c>
      <c r="F4085" s="6">
        <f>ROUND(E4085-E4084,2)</f>
        <v/>
      </c>
      <c r="G4085" s="6">
        <f>ROUND(F4085-D4085,2)</f>
        <v/>
      </c>
    </row>
    <row r="4086">
      <c r="A4086" t="inlineStr">
        <is>
          <t>2022-10-06</t>
        </is>
      </c>
      <c r="B4086" t="n">
        <v>7</v>
      </c>
      <c r="C4086" t="n">
        <v>3071</v>
      </c>
      <c r="D4086" s="6" t="n">
        <v>55.3</v>
      </c>
      <c r="E4086" s="6" t="n">
        <v>1268192.99</v>
      </c>
      <c r="F4086" s="6">
        <f>ROUND(E4086-E4085,2)</f>
        <v/>
      </c>
      <c r="G4086" s="6">
        <f>ROUND(F4086-D4086,2)</f>
        <v/>
      </c>
    </row>
    <row r="4087">
      <c r="A4087" t="inlineStr">
        <is>
          <t>2022-10-06</t>
        </is>
      </c>
      <c r="B4087" t="n">
        <v>8</v>
      </c>
      <c r="C4087" t="n">
        <v>3071</v>
      </c>
      <c r="D4087" s="6" t="n">
        <v>32.5</v>
      </c>
      <c r="E4087" s="6" t="n">
        <v>1268225.49</v>
      </c>
      <c r="F4087" s="6">
        <f>ROUND(E4087-E4086,2)</f>
        <v/>
      </c>
      <c r="G4087" s="6">
        <f>ROUND(F4087-D4087,2)</f>
        <v/>
      </c>
    </row>
    <row r="4088">
      <c r="A4088" t="inlineStr">
        <is>
          <t>2022-10-06</t>
        </is>
      </c>
      <c r="B4088" t="n">
        <v>9</v>
      </c>
      <c r="C4088" t="n">
        <v>3071</v>
      </c>
      <c r="D4088" s="6" t="n">
        <v>47.7</v>
      </c>
      <c r="E4088" s="6" t="n">
        <v>1268273.19</v>
      </c>
      <c r="F4088" s="6">
        <f>ROUND(E4088-E4087,2)</f>
        <v/>
      </c>
      <c r="G4088" s="6">
        <f>ROUND(F4088-D4088,2)</f>
        <v/>
      </c>
    </row>
    <row r="4089">
      <c r="A4089" t="inlineStr">
        <is>
          <t>2022-10-06</t>
        </is>
      </c>
      <c r="B4089" t="n">
        <v>10</v>
      </c>
      <c r="C4089" t="n">
        <v>3071</v>
      </c>
      <c r="D4089" s="6" t="n">
        <v>16.2</v>
      </c>
      <c r="E4089" s="6" t="n">
        <v>1268289.39</v>
      </c>
      <c r="F4089" s="6">
        <f>ROUND(E4089-E4088,2)</f>
        <v/>
      </c>
      <c r="G4089" s="6">
        <f>ROUND(F4089-D4089,2)</f>
        <v/>
      </c>
    </row>
    <row r="4090">
      <c r="A4090" t="inlineStr">
        <is>
          <t>2022-10-06</t>
        </is>
      </c>
      <c r="B4090" t="n">
        <v>11</v>
      </c>
      <c r="C4090" t="n">
        <v>3071</v>
      </c>
      <c r="D4090" s="6" t="n">
        <v>63.8</v>
      </c>
      <c r="E4090" s="6" t="n">
        <v>1268353.19</v>
      </c>
      <c r="F4090" s="6">
        <f>ROUND(E4090-E4089,2)</f>
        <v/>
      </c>
      <c r="G4090" s="6">
        <f>ROUND(F4090-D4090,2)</f>
        <v/>
      </c>
    </row>
    <row r="4091">
      <c r="A4091" t="inlineStr">
        <is>
          <t>2022-10-06</t>
        </is>
      </c>
      <c r="B4091" t="n">
        <v>12</v>
      </c>
      <c r="C4091" t="n">
        <v>3071</v>
      </c>
      <c r="D4091" s="6" t="n">
        <v>93.40000000000001</v>
      </c>
      <c r="E4091" s="6" t="n">
        <v>1268446.59</v>
      </c>
      <c r="F4091" s="6">
        <f>ROUND(E4091-E4090,2)</f>
        <v/>
      </c>
      <c r="G4091" s="6">
        <f>ROUND(F4091-D4091,2)</f>
        <v/>
      </c>
    </row>
    <row r="4092">
      <c r="A4092" t="inlineStr">
        <is>
          <t>2022-10-06</t>
        </is>
      </c>
      <c r="B4092" t="n">
        <v>13</v>
      </c>
      <c r="C4092" t="n">
        <v>3071</v>
      </c>
      <c r="D4092" s="6" t="n">
        <v>35.1</v>
      </c>
      <c r="E4092" s="6" t="n">
        <v>1268481.69</v>
      </c>
      <c r="F4092" s="6">
        <f>ROUND(E4092-E4091,2)</f>
        <v/>
      </c>
      <c r="G4092" s="6">
        <f>ROUND(F4092-D4092,2)</f>
        <v/>
      </c>
    </row>
    <row r="4093">
      <c r="A4093" t="inlineStr">
        <is>
          <t>2022-10-06</t>
        </is>
      </c>
      <c r="B4093" t="n">
        <v>14</v>
      </c>
      <c r="C4093" t="n">
        <v>3071</v>
      </c>
      <c r="D4093" s="6" t="n">
        <v>67.59999999999999</v>
      </c>
      <c r="E4093" s="6" t="n">
        <v>1268549.29</v>
      </c>
      <c r="F4093" s="6">
        <f>ROUND(E4093-E4092,2)</f>
        <v/>
      </c>
      <c r="G4093" s="6">
        <f>ROUND(F4093-D4093,2)</f>
        <v/>
      </c>
    </row>
    <row r="4094">
      <c r="A4094" t="inlineStr">
        <is>
          <t>2022-10-06</t>
        </is>
      </c>
      <c r="B4094" t="n">
        <v>15</v>
      </c>
      <c r="C4094" t="n">
        <v>3071</v>
      </c>
      <c r="D4094" s="6" t="n">
        <v>68.2</v>
      </c>
      <c r="E4094" s="6" t="n">
        <v>1268617.49</v>
      </c>
      <c r="F4094" s="6">
        <f>ROUND(E4094-E4093,2)</f>
        <v/>
      </c>
      <c r="G4094" s="6">
        <f>ROUND(F4094-D4094,2)</f>
        <v/>
      </c>
    </row>
    <row r="4095">
      <c r="A4095" t="inlineStr">
        <is>
          <t>2022-10-06</t>
        </is>
      </c>
      <c r="B4095" t="n">
        <v>16</v>
      </c>
      <c r="C4095" t="n">
        <v>3071</v>
      </c>
      <c r="D4095" s="6" t="n">
        <v>132.5</v>
      </c>
      <c r="E4095" s="6" t="n">
        <v>1268749.99</v>
      </c>
      <c r="F4095" s="6">
        <f>ROUND(E4095-E4094,2)</f>
        <v/>
      </c>
      <c r="G4095" s="6">
        <f>ROUND(F4095-D4095,2)</f>
        <v/>
      </c>
    </row>
    <row r="4096">
      <c r="A4096" t="inlineStr">
        <is>
          <t>2022-10-06</t>
        </is>
      </c>
      <c r="B4096" t="n">
        <v>17</v>
      </c>
      <c r="C4096" t="n">
        <v>3071</v>
      </c>
      <c r="D4096" s="6" t="n">
        <v>136.9</v>
      </c>
      <c r="E4096" s="6" t="n">
        <v>1268886.89</v>
      </c>
      <c r="F4096" s="6">
        <f>ROUND(E4096-E4095,2)</f>
        <v/>
      </c>
      <c r="G4096" s="6">
        <f>ROUND(F4096-D4096,2)</f>
        <v/>
      </c>
    </row>
    <row r="4097">
      <c r="A4097" t="inlineStr">
        <is>
          <t>2022-10-06</t>
        </is>
      </c>
      <c r="B4097" t="n">
        <v>18</v>
      </c>
      <c r="C4097" t="n">
        <v>3071</v>
      </c>
      <c r="D4097" s="6" t="n">
        <v>43.8</v>
      </c>
      <c r="E4097" s="6" t="n">
        <v>1268930.69</v>
      </c>
      <c r="F4097" s="6">
        <f>ROUND(E4097-E4096,2)</f>
        <v/>
      </c>
      <c r="G4097" s="6">
        <f>ROUND(F4097-D4097,2)</f>
        <v/>
      </c>
    </row>
    <row r="4098">
      <c r="A4098" t="inlineStr">
        <is>
          <t>2022-10-06</t>
        </is>
      </c>
      <c r="B4098" t="n">
        <v>19</v>
      </c>
      <c r="C4098" t="n">
        <v>3071</v>
      </c>
      <c r="D4098" s="6" t="n">
        <v>42.75</v>
      </c>
      <c r="E4098" s="6" t="n">
        <v>1268973.44</v>
      </c>
      <c r="F4098" s="6">
        <f>ROUND(E4098-E4097,2)</f>
        <v/>
      </c>
      <c r="G4098" s="6">
        <f>ROUND(F4098-D4098,2)</f>
        <v/>
      </c>
    </row>
    <row r="4099">
      <c r="A4099" t="inlineStr">
        <is>
          <t>2022-10-06</t>
        </is>
      </c>
      <c r="B4099" t="n">
        <v>20</v>
      </c>
      <c r="C4099" t="n">
        <v>3071</v>
      </c>
      <c r="D4099" s="6" t="n">
        <v>44.25</v>
      </c>
      <c r="E4099" s="6" t="n">
        <v>1269017.69</v>
      </c>
      <c r="F4099" s="6">
        <f>ROUND(E4099-E4098,2)</f>
        <v/>
      </c>
      <c r="G4099" s="6">
        <f>ROUND(F4099-D4099,2)</f>
        <v/>
      </c>
    </row>
    <row r="4100">
      <c r="A4100" t="inlineStr">
        <is>
          <t>2022-10-06</t>
        </is>
      </c>
      <c r="B4100" t="n">
        <v>21</v>
      </c>
      <c r="C4100" t="n">
        <v>3071</v>
      </c>
      <c r="D4100" s="6" t="n">
        <v>194.6</v>
      </c>
      <c r="E4100" s="6" t="n">
        <v>1269212.29</v>
      </c>
      <c r="F4100" s="6">
        <f>ROUND(E4100-E4099,2)</f>
        <v/>
      </c>
      <c r="G4100" s="6">
        <f>ROUND(F4100-D4100,2)</f>
        <v/>
      </c>
    </row>
    <row r="4101">
      <c r="A4101" t="inlineStr">
        <is>
          <t>2022-10-07</t>
        </is>
      </c>
      <c r="B4101" t="n">
        <v>1</v>
      </c>
      <c r="C4101" t="n">
        <v>3072</v>
      </c>
      <c r="D4101" s="6" t="n">
        <v>63</v>
      </c>
      <c r="E4101" s="6" t="n">
        <v>1269275.29</v>
      </c>
      <c r="F4101" s="6">
        <f>ROUND(E4101-E4100,2)</f>
        <v/>
      </c>
      <c r="G4101" s="6">
        <f>ROUND(F4101-D4101,2)</f>
        <v/>
      </c>
    </row>
    <row r="4102">
      <c r="A4102" t="inlineStr">
        <is>
          <t>2022-10-07</t>
        </is>
      </c>
      <c r="B4102" t="n">
        <v>2</v>
      </c>
      <c r="C4102" t="n">
        <v>3072</v>
      </c>
      <c r="D4102" s="6" t="n">
        <v>78.5</v>
      </c>
      <c r="E4102" s="6" t="n">
        <v>1269353.79</v>
      </c>
      <c r="F4102" s="6">
        <f>ROUND(E4102-E4101,2)</f>
        <v/>
      </c>
      <c r="G4102" s="6">
        <f>ROUND(F4102-D4102,2)</f>
        <v/>
      </c>
    </row>
    <row r="4103">
      <c r="A4103" t="inlineStr">
        <is>
          <t>2022-10-07</t>
        </is>
      </c>
      <c r="B4103" t="n">
        <v>3</v>
      </c>
      <c r="C4103" t="n">
        <v>3072</v>
      </c>
      <c r="D4103" s="6" t="n">
        <v>53.3</v>
      </c>
      <c r="E4103" s="6" t="n">
        <v>1269407.09</v>
      </c>
      <c r="F4103" s="6">
        <f>ROUND(E4103-E4102,2)</f>
        <v/>
      </c>
      <c r="G4103" s="6">
        <f>ROUND(F4103-D4103,2)</f>
        <v/>
      </c>
    </row>
    <row r="4104">
      <c r="A4104" t="inlineStr">
        <is>
          <t>2022-10-07</t>
        </is>
      </c>
      <c r="B4104" t="n">
        <v>4</v>
      </c>
      <c r="C4104" t="n">
        <v>3072</v>
      </c>
      <c r="D4104" s="6" t="n">
        <v>62.7</v>
      </c>
      <c r="E4104" s="6" t="n">
        <v>1269469.79</v>
      </c>
      <c r="F4104" s="6">
        <f>ROUND(E4104-E4103,2)</f>
        <v/>
      </c>
      <c r="G4104" s="6">
        <f>ROUND(F4104-D4104,2)</f>
        <v/>
      </c>
    </row>
    <row r="4105">
      <c r="A4105" t="inlineStr">
        <is>
          <t>2022-10-07</t>
        </is>
      </c>
      <c r="B4105" t="n">
        <v>5</v>
      </c>
      <c r="C4105" t="n">
        <v>3072</v>
      </c>
      <c r="D4105" s="6" t="n">
        <v>53.9</v>
      </c>
      <c r="E4105" s="6" t="n">
        <v>1269523.69</v>
      </c>
      <c r="F4105" s="6">
        <f>ROUND(E4105-E4104,2)</f>
        <v/>
      </c>
      <c r="G4105" s="6">
        <f>ROUND(F4105-D4105,2)</f>
        <v/>
      </c>
    </row>
    <row r="4106">
      <c r="A4106" t="inlineStr">
        <is>
          <t>2022-10-07</t>
        </is>
      </c>
      <c r="B4106" t="n">
        <v>6</v>
      </c>
      <c r="C4106" t="n">
        <v>3072</v>
      </c>
      <c r="D4106" s="6" t="n">
        <v>63.7</v>
      </c>
      <c r="E4106" s="6" t="n">
        <v>1269587.39</v>
      </c>
      <c r="F4106" s="6">
        <f>ROUND(E4106-E4105,2)</f>
        <v/>
      </c>
      <c r="G4106" s="6">
        <f>ROUND(F4106-D4106,2)</f>
        <v/>
      </c>
    </row>
    <row r="4107">
      <c r="A4107" t="inlineStr">
        <is>
          <t>2022-10-07</t>
        </is>
      </c>
      <c r="B4107" t="n">
        <v>7</v>
      </c>
      <c r="C4107" t="n">
        <v>3072</v>
      </c>
      <c r="D4107" s="6" t="n">
        <v>75.8</v>
      </c>
      <c r="E4107" s="6" t="n">
        <v>1269663.19</v>
      </c>
      <c r="F4107" s="6">
        <f>ROUND(E4107-E4106,2)</f>
        <v/>
      </c>
      <c r="G4107" s="6">
        <f>ROUND(F4107-D4107,2)</f>
        <v/>
      </c>
    </row>
    <row r="4108">
      <c r="A4108" t="inlineStr">
        <is>
          <t>2022-10-07</t>
        </is>
      </c>
      <c r="B4108" t="n">
        <v>8</v>
      </c>
      <c r="C4108" t="n">
        <v>3072</v>
      </c>
      <c r="D4108" s="6" t="n">
        <v>45.2</v>
      </c>
      <c r="E4108" s="6" t="n">
        <v>1269708.39</v>
      </c>
      <c r="F4108" s="6">
        <f>ROUND(E4108-E4107,2)</f>
        <v/>
      </c>
      <c r="G4108" s="6">
        <f>ROUND(F4108-D4108,2)</f>
        <v/>
      </c>
    </row>
    <row r="4109">
      <c r="A4109" t="inlineStr">
        <is>
          <t>2022-10-07</t>
        </is>
      </c>
      <c r="B4109" t="n">
        <v>9</v>
      </c>
      <c r="C4109" t="n">
        <v>3072</v>
      </c>
      <c r="D4109" s="6" t="n">
        <v>62.6</v>
      </c>
      <c r="E4109" s="6" t="n">
        <v>1269770.99</v>
      </c>
      <c r="F4109" s="6">
        <f>ROUND(E4109-E4108,2)</f>
        <v/>
      </c>
      <c r="G4109" s="6">
        <f>ROUND(F4109-D4109,2)</f>
        <v/>
      </c>
    </row>
    <row r="4110">
      <c r="A4110" t="inlineStr">
        <is>
          <t>2022-10-07</t>
        </is>
      </c>
      <c r="B4110" t="n">
        <v>10</v>
      </c>
      <c r="C4110" t="n">
        <v>3072</v>
      </c>
      <c r="D4110" s="6" t="n">
        <v>73.90000000000001</v>
      </c>
      <c r="E4110" s="6" t="n">
        <v>1269844.89</v>
      </c>
      <c r="F4110" s="6">
        <f>ROUND(E4110-E4109,2)</f>
        <v/>
      </c>
      <c r="G4110" s="6">
        <f>ROUND(F4110-D4110,2)</f>
        <v/>
      </c>
    </row>
    <row r="4111">
      <c r="A4111" t="inlineStr">
        <is>
          <t>2022-10-07</t>
        </is>
      </c>
      <c r="B4111" t="n">
        <v>11</v>
      </c>
      <c r="C4111" t="n">
        <v>3072</v>
      </c>
      <c r="D4111" s="6" t="n">
        <v>23.5</v>
      </c>
      <c r="E4111" s="6" t="n">
        <v>1269868.39</v>
      </c>
      <c r="F4111" s="6">
        <f>ROUND(E4111-E4110,2)</f>
        <v/>
      </c>
      <c r="G4111" s="6">
        <f>ROUND(F4111-D4111,2)</f>
        <v/>
      </c>
    </row>
    <row r="4112">
      <c r="A4112" t="inlineStr">
        <is>
          <t>2022-10-07</t>
        </is>
      </c>
      <c r="B4112" t="n">
        <v>12</v>
      </c>
      <c r="C4112" t="n">
        <v>3072</v>
      </c>
      <c r="D4112" s="6" t="n">
        <v>76.90000000000001</v>
      </c>
      <c r="E4112" s="6" t="n">
        <v>1269945.29</v>
      </c>
      <c r="F4112" s="6">
        <f>ROUND(E4112-E4111,2)</f>
        <v/>
      </c>
      <c r="G4112" s="6">
        <f>ROUND(F4112-D4112,2)</f>
        <v/>
      </c>
    </row>
    <row r="4113">
      <c r="A4113" t="inlineStr">
        <is>
          <t>2022-10-07</t>
        </is>
      </c>
      <c r="B4113" t="n">
        <v>13</v>
      </c>
      <c r="C4113" t="n">
        <v>3072</v>
      </c>
      <c r="D4113" s="6" t="n">
        <v>29.7</v>
      </c>
      <c r="E4113" s="6" t="n">
        <v>1269974.99</v>
      </c>
      <c r="F4113" s="6">
        <f>ROUND(E4113-E4112,2)</f>
        <v/>
      </c>
      <c r="G4113" s="6">
        <f>ROUND(F4113-D4113,2)</f>
        <v/>
      </c>
    </row>
    <row r="4114">
      <c r="A4114" t="inlineStr">
        <is>
          <t>2022-10-07</t>
        </is>
      </c>
      <c r="B4114" t="n">
        <v>14</v>
      </c>
      <c r="C4114" t="n">
        <v>3072</v>
      </c>
      <c r="D4114" s="6" t="n">
        <v>31.7</v>
      </c>
      <c r="E4114" s="6" t="n">
        <v>1270006.69</v>
      </c>
      <c r="F4114" s="6">
        <f>ROUND(E4114-E4113,2)</f>
        <v/>
      </c>
      <c r="G4114" s="6">
        <f>ROUND(F4114-D4114,2)</f>
        <v/>
      </c>
    </row>
    <row r="4115">
      <c r="A4115" t="inlineStr">
        <is>
          <t>2022-10-07</t>
        </is>
      </c>
      <c r="B4115" t="n">
        <v>15</v>
      </c>
      <c r="C4115" t="n">
        <v>3072</v>
      </c>
      <c r="D4115" s="6" t="n">
        <v>24.2</v>
      </c>
      <c r="E4115" s="6" t="n">
        <v>1270030.89</v>
      </c>
      <c r="F4115" s="6">
        <f>ROUND(E4115-E4114,2)</f>
        <v/>
      </c>
      <c r="G4115" s="6">
        <f>ROUND(F4115-D4115,2)</f>
        <v/>
      </c>
    </row>
    <row r="4116">
      <c r="A4116" t="inlineStr">
        <is>
          <t>2022-10-07</t>
        </is>
      </c>
      <c r="B4116" t="n">
        <v>16</v>
      </c>
      <c r="C4116" t="n">
        <v>3072</v>
      </c>
      <c r="D4116" s="6" t="n">
        <v>26.5</v>
      </c>
      <c r="E4116" s="6" t="n">
        <v>1270057.39</v>
      </c>
      <c r="F4116" s="6">
        <f>ROUND(E4116-E4115,2)</f>
        <v/>
      </c>
      <c r="G4116" s="6">
        <f>ROUND(F4116-D4116,2)</f>
        <v/>
      </c>
    </row>
    <row r="4117">
      <c r="A4117" t="inlineStr">
        <is>
          <t>2022-10-07</t>
        </is>
      </c>
      <c r="B4117" t="n">
        <v>17</v>
      </c>
      <c r="C4117" t="n">
        <v>3072</v>
      </c>
      <c r="D4117" s="6" t="n">
        <v>43.85</v>
      </c>
      <c r="E4117" s="6" t="n">
        <v>1270101.24</v>
      </c>
      <c r="F4117" s="6">
        <f>ROUND(E4117-E4116,2)</f>
        <v/>
      </c>
      <c r="G4117" s="6">
        <f>ROUND(F4117-D4117,2)</f>
        <v/>
      </c>
    </row>
    <row r="4118">
      <c r="A4118" t="inlineStr">
        <is>
          <t>2022-10-07</t>
        </is>
      </c>
      <c r="B4118" t="n">
        <v>18</v>
      </c>
      <c r="C4118" t="n">
        <v>3072</v>
      </c>
      <c r="D4118" s="6" t="n">
        <v>43.85</v>
      </c>
      <c r="E4118" s="6" t="n">
        <v>1270145.09</v>
      </c>
      <c r="F4118" s="6">
        <f>ROUND(E4118-E4117,2)</f>
        <v/>
      </c>
      <c r="G4118" s="6">
        <f>ROUND(F4118-D4118,2)</f>
        <v/>
      </c>
    </row>
    <row r="4119">
      <c r="A4119" t="inlineStr">
        <is>
          <t>2022-10-07</t>
        </is>
      </c>
      <c r="B4119" t="n">
        <v>19</v>
      </c>
      <c r="C4119" t="n">
        <v>3072</v>
      </c>
      <c r="D4119" s="6" t="n">
        <v>93.3</v>
      </c>
      <c r="E4119" s="6" t="n">
        <v>1270238.39</v>
      </c>
      <c r="F4119" s="6">
        <f>ROUND(E4119-E4118,2)</f>
        <v/>
      </c>
      <c r="G4119" s="6">
        <f>ROUND(F4119-D4119,2)</f>
        <v/>
      </c>
    </row>
    <row r="4120">
      <c r="A4120" t="inlineStr">
        <is>
          <t>2022-10-07</t>
        </is>
      </c>
      <c r="B4120" t="n">
        <v>20</v>
      </c>
      <c r="C4120" t="n">
        <v>3072</v>
      </c>
      <c r="D4120" s="6" t="n">
        <v>73.40000000000001</v>
      </c>
      <c r="E4120" s="6" t="n">
        <v>1270311.79</v>
      </c>
      <c r="F4120" s="6">
        <f>ROUND(E4120-E4119,2)</f>
        <v/>
      </c>
      <c r="G4120" s="6">
        <f>ROUND(F4120-D4120,2)</f>
        <v/>
      </c>
    </row>
    <row r="4121">
      <c r="A4121" t="inlineStr">
        <is>
          <t>2022-10-07</t>
        </is>
      </c>
      <c r="B4121" t="n">
        <v>21</v>
      </c>
      <c r="C4121" t="n">
        <v>3072</v>
      </c>
      <c r="D4121" s="6" t="n">
        <v>93.7</v>
      </c>
      <c r="E4121" s="6" t="n">
        <v>1270405.49</v>
      </c>
      <c r="F4121" s="6">
        <f>ROUND(E4121-E4120,2)</f>
        <v/>
      </c>
      <c r="G4121" s="6">
        <f>ROUND(F4121-D4121,2)</f>
        <v/>
      </c>
    </row>
    <row r="4122">
      <c r="A4122" t="inlineStr">
        <is>
          <t>2022-10-07</t>
        </is>
      </c>
      <c r="B4122" t="n">
        <v>22</v>
      </c>
      <c r="C4122" t="n">
        <v>3072</v>
      </c>
      <c r="D4122" s="6" t="n">
        <v>40</v>
      </c>
      <c r="E4122" s="6" t="n">
        <v>1270445.49</v>
      </c>
      <c r="F4122" s="6">
        <f>ROUND(E4122-E4121,2)</f>
        <v/>
      </c>
      <c r="G4122" s="6">
        <f>ROUND(F4122-D4122,2)</f>
        <v/>
      </c>
    </row>
    <row r="4123">
      <c r="A4123" t="inlineStr">
        <is>
          <t>2022-10-07</t>
        </is>
      </c>
      <c r="B4123" t="n">
        <v>23</v>
      </c>
      <c r="C4123" t="n">
        <v>3072</v>
      </c>
      <c r="D4123" s="6" t="n">
        <v>40</v>
      </c>
      <c r="E4123" s="6" t="n">
        <v>1270485.49</v>
      </c>
      <c r="F4123" s="6">
        <f>ROUND(E4123-E4122,2)</f>
        <v/>
      </c>
      <c r="G4123" s="6">
        <f>ROUND(F4123-D4123,2)</f>
        <v/>
      </c>
    </row>
    <row r="4124">
      <c r="A4124" t="inlineStr">
        <is>
          <t>2022-10-08</t>
        </is>
      </c>
      <c r="B4124" t="n">
        <v>1</v>
      </c>
      <c r="C4124" t="n">
        <v>3073</v>
      </c>
      <c r="D4124" s="6" t="n">
        <v>36.6</v>
      </c>
      <c r="E4124" s="6" t="n">
        <v>1270522.09</v>
      </c>
      <c r="F4124" s="6">
        <f>ROUND(E4124-E4123,2)</f>
        <v/>
      </c>
      <c r="G4124" s="6">
        <f>ROUND(F4124-D4124,2)</f>
        <v/>
      </c>
    </row>
    <row r="4125">
      <c r="A4125" t="inlineStr">
        <is>
          <t>2022-10-08</t>
        </is>
      </c>
      <c r="B4125" t="n">
        <v>2</v>
      </c>
      <c r="C4125" t="n">
        <v>3073</v>
      </c>
      <c r="D4125" s="6" t="n">
        <v>58.7</v>
      </c>
      <c r="E4125" s="6" t="n">
        <v>1270580.79</v>
      </c>
      <c r="F4125" s="6">
        <f>ROUND(E4125-E4124,2)</f>
        <v/>
      </c>
      <c r="G4125" s="6">
        <f>ROUND(F4125-D4125,2)</f>
        <v/>
      </c>
    </row>
    <row r="4126">
      <c r="A4126" t="inlineStr">
        <is>
          <t>2022-10-08</t>
        </is>
      </c>
      <c r="B4126" t="n">
        <v>3</v>
      </c>
      <c r="C4126" t="n">
        <v>3073</v>
      </c>
      <c r="D4126" s="6" t="n">
        <v>65.59999999999999</v>
      </c>
      <c r="E4126" s="6" t="n">
        <v>1270646.39</v>
      </c>
      <c r="F4126" s="6">
        <f>ROUND(E4126-E4125,2)</f>
        <v/>
      </c>
      <c r="G4126" s="6">
        <f>ROUND(F4126-D4126,2)</f>
        <v/>
      </c>
    </row>
    <row r="4127">
      <c r="A4127" t="inlineStr">
        <is>
          <t>2022-10-08</t>
        </is>
      </c>
      <c r="B4127" t="n">
        <v>4</v>
      </c>
      <c r="C4127" t="n">
        <v>3073</v>
      </c>
      <c r="D4127" s="6" t="n">
        <v>113.2</v>
      </c>
      <c r="E4127" s="6" t="n">
        <v>1270759.59</v>
      </c>
      <c r="F4127" s="6">
        <f>ROUND(E4127-E4126,2)</f>
        <v/>
      </c>
      <c r="G4127" s="6">
        <f>ROUND(F4127-D4127,2)</f>
        <v/>
      </c>
    </row>
    <row r="4128">
      <c r="A4128" t="inlineStr">
        <is>
          <t>2022-10-08</t>
        </is>
      </c>
      <c r="B4128" t="n">
        <v>5</v>
      </c>
      <c r="C4128" t="n">
        <v>3073</v>
      </c>
      <c r="D4128" s="6" t="n">
        <v>39.5</v>
      </c>
      <c r="E4128" s="6" t="n">
        <v>1270799.09</v>
      </c>
      <c r="F4128" s="6">
        <f>ROUND(E4128-E4127,2)</f>
        <v/>
      </c>
      <c r="G4128" s="6">
        <f>ROUND(F4128-D4128,2)</f>
        <v/>
      </c>
    </row>
    <row r="4129">
      <c r="A4129" t="inlineStr">
        <is>
          <t>2022-10-08</t>
        </is>
      </c>
      <c r="B4129" t="n">
        <v>6</v>
      </c>
      <c r="C4129" t="n">
        <v>3073</v>
      </c>
      <c r="D4129" s="6" t="n">
        <v>62.6</v>
      </c>
      <c r="E4129" s="6" t="n">
        <v>1270861.69</v>
      </c>
      <c r="F4129" s="6">
        <f>ROUND(E4129-E4128,2)</f>
        <v/>
      </c>
      <c r="G4129" s="6">
        <f>ROUND(F4129-D4129,2)</f>
        <v/>
      </c>
    </row>
    <row r="4130">
      <c r="A4130" t="inlineStr">
        <is>
          <t>2022-10-08</t>
        </is>
      </c>
      <c r="B4130" t="n">
        <v>7</v>
      </c>
      <c r="C4130" t="n">
        <v>3073</v>
      </c>
      <c r="D4130" s="6" t="n">
        <v>62.6</v>
      </c>
      <c r="E4130" s="6" t="n">
        <v>1270924.29</v>
      </c>
      <c r="F4130" s="6">
        <f>ROUND(E4130-E4129,2)</f>
        <v/>
      </c>
      <c r="G4130" s="6">
        <f>ROUND(F4130-D4130,2)</f>
        <v/>
      </c>
    </row>
    <row r="4131">
      <c r="A4131" t="inlineStr">
        <is>
          <t>2022-10-08</t>
        </is>
      </c>
      <c r="B4131" t="n">
        <v>8</v>
      </c>
      <c r="C4131" t="n">
        <v>3073</v>
      </c>
      <c r="D4131" s="6" t="n">
        <v>125.9</v>
      </c>
      <c r="E4131" s="6" t="n">
        <v>1271050.19</v>
      </c>
      <c r="F4131" s="6">
        <f>ROUND(E4131-E4130,2)</f>
        <v/>
      </c>
      <c r="G4131" s="6">
        <f>ROUND(F4131-D4131,2)</f>
        <v/>
      </c>
    </row>
    <row r="4132">
      <c r="A4132" t="inlineStr">
        <is>
          <t>2022-10-08</t>
        </is>
      </c>
      <c r="B4132" t="n">
        <v>9</v>
      </c>
      <c r="C4132" t="n">
        <v>3073</v>
      </c>
      <c r="D4132" s="6" t="n">
        <v>59.6</v>
      </c>
      <c r="E4132" s="6" t="n">
        <v>1271109.79</v>
      </c>
      <c r="F4132" s="6">
        <f>ROUND(E4132-E4131,2)</f>
        <v/>
      </c>
      <c r="G4132" s="6">
        <f>ROUND(F4132-D4132,2)</f>
        <v/>
      </c>
    </row>
    <row r="4133">
      <c r="A4133" t="inlineStr">
        <is>
          <t>2022-10-08</t>
        </is>
      </c>
      <c r="B4133" t="n">
        <v>10</v>
      </c>
      <c r="C4133" t="n">
        <v>3073</v>
      </c>
      <c r="D4133" s="6" t="n">
        <v>132</v>
      </c>
      <c r="E4133" s="6" t="n">
        <v>1271241.79</v>
      </c>
      <c r="F4133" s="6">
        <f>ROUND(E4133-E4132,2)</f>
        <v/>
      </c>
      <c r="G4133" s="6">
        <f>ROUND(F4133-D4133,2)</f>
        <v/>
      </c>
    </row>
    <row r="4134">
      <c r="A4134" t="inlineStr">
        <is>
          <t>2022-10-08</t>
        </is>
      </c>
      <c r="B4134" t="n">
        <v>11</v>
      </c>
      <c r="C4134" t="n">
        <v>3073</v>
      </c>
      <c r="D4134" s="6" t="n">
        <v>127.4</v>
      </c>
      <c r="E4134" s="6" t="n">
        <v>1271369.19</v>
      </c>
      <c r="F4134" s="6">
        <f>ROUND(E4134-E4133,2)</f>
        <v/>
      </c>
      <c r="G4134" s="6">
        <f>ROUND(F4134-D4134,2)</f>
        <v/>
      </c>
    </row>
    <row r="4135">
      <c r="A4135" t="inlineStr">
        <is>
          <t>2022-10-08</t>
        </is>
      </c>
      <c r="B4135" t="n">
        <v>12</v>
      </c>
      <c r="C4135" t="n">
        <v>3073</v>
      </c>
      <c r="D4135" s="6" t="n">
        <v>72.2</v>
      </c>
      <c r="E4135" s="6" t="n">
        <v>1271441.39</v>
      </c>
      <c r="F4135" s="6">
        <f>ROUND(E4135-E4134,2)</f>
        <v/>
      </c>
      <c r="G4135" s="6">
        <f>ROUND(F4135-D4135,2)</f>
        <v/>
      </c>
    </row>
    <row r="4136">
      <c r="A4136" t="inlineStr">
        <is>
          <t>2022-10-08</t>
        </is>
      </c>
      <c r="B4136" t="n">
        <v>13</v>
      </c>
      <c r="C4136" t="n">
        <v>3073</v>
      </c>
      <c r="D4136" s="6" t="n">
        <v>29</v>
      </c>
      <c r="E4136" s="6" t="n">
        <v>1271470.39</v>
      </c>
      <c r="F4136" s="6">
        <f>ROUND(E4136-E4135,2)</f>
        <v/>
      </c>
      <c r="G4136" s="6">
        <f>ROUND(F4136-D4136,2)</f>
        <v/>
      </c>
    </row>
    <row r="4137">
      <c r="A4137" t="inlineStr">
        <is>
          <t>2022-10-08</t>
        </is>
      </c>
      <c r="B4137" t="n">
        <v>14</v>
      </c>
      <c r="C4137" t="n">
        <v>3073</v>
      </c>
      <c r="D4137" s="6" t="n">
        <v>42.5</v>
      </c>
      <c r="E4137" s="6" t="n">
        <v>1271512.89</v>
      </c>
      <c r="F4137" s="6">
        <f>ROUND(E4137-E4136,2)</f>
        <v/>
      </c>
      <c r="G4137" s="6">
        <f>ROUND(F4137-D4137,2)</f>
        <v/>
      </c>
    </row>
    <row r="4138">
      <c r="A4138" t="inlineStr">
        <is>
          <t>2022-10-08</t>
        </is>
      </c>
      <c r="B4138" t="n">
        <v>15</v>
      </c>
      <c r="C4138" t="n">
        <v>3073</v>
      </c>
      <c r="D4138" s="6" t="n">
        <v>108.2</v>
      </c>
      <c r="E4138" s="6" t="n">
        <v>1271621.09</v>
      </c>
      <c r="F4138" s="6">
        <f>ROUND(E4138-E4137,2)</f>
        <v/>
      </c>
      <c r="G4138" s="6">
        <f>ROUND(F4138-D4138,2)</f>
        <v/>
      </c>
    </row>
    <row r="4139">
      <c r="A4139" t="inlineStr">
        <is>
          <t>2022-10-08</t>
        </is>
      </c>
      <c r="B4139" t="n">
        <v>16</v>
      </c>
      <c r="C4139" t="n">
        <v>3073</v>
      </c>
      <c r="D4139" s="6" t="n">
        <v>103.4</v>
      </c>
      <c r="E4139" s="6" t="n">
        <v>1271724.49</v>
      </c>
      <c r="F4139" s="6">
        <f>ROUND(E4139-E4138,2)</f>
        <v/>
      </c>
      <c r="G4139" s="6">
        <f>ROUND(F4139-D4139,2)</f>
        <v/>
      </c>
    </row>
    <row r="4140">
      <c r="A4140" t="inlineStr">
        <is>
          <t>2022-10-08</t>
        </is>
      </c>
      <c r="B4140" t="n">
        <v>17</v>
      </c>
      <c r="C4140" t="n">
        <v>3073</v>
      </c>
      <c r="D4140" s="6" t="n">
        <v>84.2</v>
      </c>
      <c r="E4140" s="6" t="n">
        <v>1271808.69</v>
      </c>
      <c r="F4140" s="6">
        <f>ROUND(E4140-E4139,2)</f>
        <v/>
      </c>
      <c r="G4140" s="6">
        <f>ROUND(F4140-D4140,2)</f>
        <v/>
      </c>
    </row>
    <row r="4141">
      <c r="A4141" t="inlineStr">
        <is>
          <t>2022-10-08</t>
        </is>
      </c>
      <c r="B4141" t="n">
        <v>18</v>
      </c>
      <c r="C4141" t="n">
        <v>3073</v>
      </c>
      <c r="D4141" s="6" t="n">
        <v>53</v>
      </c>
      <c r="E4141" s="6" t="n">
        <v>1271861.69</v>
      </c>
      <c r="F4141" s="6">
        <f>ROUND(E4141-E4140,2)</f>
        <v/>
      </c>
      <c r="G4141" s="6">
        <f>ROUND(F4141-D4141,2)</f>
        <v/>
      </c>
    </row>
    <row r="4142">
      <c r="A4142" t="inlineStr">
        <is>
          <t>2022-10-08</t>
        </is>
      </c>
      <c r="B4142" t="n">
        <v>19</v>
      </c>
      <c r="C4142" t="n">
        <v>3073</v>
      </c>
      <c r="D4142" s="6" t="n">
        <v>93.7</v>
      </c>
      <c r="E4142" s="6" t="n">
        <v>1271955.39</v>
      </c>
      <c r="F4142" s="6">
        <f>ROUND(E4142-E4141,2)</f>
        <v/>
      </c>
      <c r="G4142" s="6">
        <f>ROUND(F4142-D4142,2)</f>
        <v/>
      </c>
    </row>
    <row r="4143">
      <c r="A4143" t="inlineStr">
        <is>
          <t>2022-10-08</t>
        </is>
      </c>
      <c r="B4143" t="n">
        <v>20</v>
      </c>
      <c r="C4143" t="n">
        <v>3073</v>
      </c>
      <c r="D4143" s="6" t="n">
        <v>75.3</v>
      </c>
      <c r="E4143" s="6" t="n">
        <v>1272030.69</v>
      </c>
      <c r="F4143" s="6">
        <f>ROUND(E4143-E4142,2)</f>
        <v/>
      </c>
      <c r="G4143" s="6">
        <f>ROUND(F4143-D4143,2)</f>
        <v/>
      </c>
    </row>
    <row r="4144">
      <c r="A4144" t="inlineStr">
        <is>
          <t>2022-10-08</t>
        </is>
      </c>
      <c r="B4144" t="n">
        <v>21</v>
      </c>
      <c r="C4144" t="n">
        <v>3073</v>
      </c>
      <c r="D4144" s="6" t="n">
        <v>75.09999999999999</v>
      </c>
      <c r="E4144" s="6" t="n">
        <v>1272105.79</v>
      </c>
      <c r="F4144" s="6">
        <f>ROUND(E4144-E4143,2)</f>
        <v/>
      </c>
      <c r="G4144" s="6">
        <f>ROUND(F4144-D4144,2)</f>
        <v/>
      </c>
    </row>
    <row r="4145">
      <c r="A4145" t="inlineStr">
        <is>
          <t>2022-10-08</t>
        </is>
      </c>
      <c r="B4145" t="n">
        <v>22</v>
      </c>
      <c r="C4145" t="n">
        <v>3073</v>
      </c>
      <c r="D4145" s="6" t="n">
        <v>61.5</v>
      </c>
      <c r="E4145" s="6" t="n">
        <v>1272167.29</v>
      </c>
      <c r="F4145" s="6">
        <f>ROUND(E4145-E4144,2)</f>
        <v/>
      </c>
      <c r="G4145" s="6">
        <f>ROUND(F4145-D4145,2)</f>
        <v/>
      </c>
    </row>
    <row r="4146">
      <c r="A4146" t="inlineStr">
        <is>
          <t>2022-10-08</t>
        </is>
      </c>
      <c r="B4146" t="n">
        <v>23</v>
      </c>
      <c r="C4146" t="n">
        <v>3073</v>
      </c>
      <c r="D4146" s="6" t="n">
        <v>62.34</v>
      </c>
      <c r="E4146" s="6" t="n">
        <v>1272229.63</v>
      </c>
      <c r="F4146" s="6">
        <f>ROUND(E4146-E4145,2)</f>
        <v/>
      </c>
      <c r="G4146" s="6">
        <f>ROUND(F4146-D4146,2)</f>
        <v/>
      </c>
    </row>
    <row r="4147">
      <c r="A4147" t="inlineStr">
        <is>
          <t>2022-10-08</t>
        </is>
      </c>
      <c r="B4147" t="n">
        <v>24</v>
      </c>
      <c r="C4147" t="n">
        <v>3073</v>
      </c>
      <c r="D4147" s="6" t="n">
        <v>115.3</v>
      </c>
      <c r="E4147" s="6" t="n">
        <v>1272344.93</v>
      </c>
      <c r="F4147" s="6">
        <f>ROUND(E4147-E4146,2)</f>
        <v/>
      </c>
      <c r="G4147" s="6">
        <f>ROUND(F4147-D4147,2)</f>
        <v/>
      </c>
    </row>
    <row r="4148">
      <c r="A4148" t="inlineStr">
        <is>
          <t>2022-10-08</t>
        </is>
      </c>
      <c r="B4148" t="n">
        <v>25</v>
      </c>
      <c r="C4148" t="n">
        <v>3073</v>
      </c>
      <c r="D4148" s="6" t="n">
        <v>139</v>
      </c>
      <c r="E4148" s="6" t="n">
        <v>1272483.93</v>
      </c>
      <c r="F4148" s="6">
        <f>ROUND(E4148-E4147,2)</f>
        <v/>
      </c>
      <c r="G4148" s="6">
        <f>ROUND(F4148-D4148,2)</f>
        <v/>
      </c>
    </row>
    <row r="4149">
      <c r="A4149" t="inlineStr">
        <is>
          <t>2022-10-09</t>
        </is>
      </c>
      <c r="B4149" t="n">
        <v>1</v>
      </c>
      <c r="C4149" t="n">
        <v>3074</v>
      </c>
      <c r="D4149" s="6" t="n">
        <v>48.9</v>
      </c>
      <c r="E4149" s="6" t="n">
        <v>1272532.83</v>
      </c>
      <c r="F4149" s="6">
        <f>ROUND(E4149-E4148,2)</f>
        <v/>
      </c>
      <c r="G4149" s="6">
        <f>ROUND(F4149-D4149,2)</f>
        <v/>
      </c>
    </row>
    <row r="4150">
      <c r="A4150" t="inlineStr">
        <is>
          <t>2022-10-09</t>
        </is>
      </c>
      <c r="B4150" t="n">
        <v>2</v>
      </c>
      <c r="C4150" t="n">
        <v>3074</v>
      </c>
      <c r="D4150" s="6" t="n">
        <v>84.90000000000001</v>
      </c>
      <c r="E4150" s="6" t="n">
        <v>1272617.73</v>
      </c>
      <c r="F4150" s="6">
        <f>ROUND(E4150-E4149,2)</f>
        <v/>
      </c>
      <c r="G4150" s="6">
        <f>ROUND(F4150-D4150,2)</f>
        <v/>
      </c>
    </row>
    <row r="4151">
      <c r="A4151" t="inlineStr">
        <is>
          <t>2022-10-09</t>
        </is>
      </c>
      <c r="B4151" t="n">
        <v>3</v>
      </c>
      <c r="C4151" t="n">
        <v>3074</v>
      </c>
      <c r="D4151" s="6" t="n">
        <v>53.7</v>
      </c>
      <c r="E4151" s="6" t="n">
        <v>1272671.43</v>
      </c>
      <c r="F4151" s="6">
        <f>ROUND(E4151-E4150,2)</f>
        <v/>
      </c>
      <c r="G4151" s="6">
        <f>ROUND(F4151-D4151,2)</f>
        <v/>
      </c>
    </row>
    <row r="4152">
      <c r="A4152" t="inlineStr">
        <is>
          <t>2022-10-09</t>
        </is>
      </c>
      <c r="B4152" t="n">
        <v>4</v>
      </c>
      <c r="C4152" t="n">
        <v>3074</v>
      </c>
      <c r="D4152" s="6" t="n">
        <v>61.8</v>
      </c>
      <c r="E4152" s="6" t="n">
        <v>1272733.23</v>
      </c>
      <c r="F4152" s="6">
        <f>ROUND(E4152-E4151,2)</f>
        <v/>
      </c>
      <c r="G4152" s="6">
        <f>ROUND(F4152-D4152,2)</f>
        <v/>
      </c>
    </row>
    <row r="4153">
      <c r="A4153" t="inlineStr">
        <is>
          <t>2022-10-09</t>
        </is>
      </c>
      <c r="B4153" t="n">
        <v>5</v>
      </c>
      <c r="C4153" t="n">
        <v>3074</v>
      </c>
      <c r="D4153" s="6" t="n">
        <v>135.9</v>
      </c>
      <c r="E4153" s="6" t="n">
        <v>1272869.13</v>
      </c>
      <c r="F4153" s="6">
        <f>ROUND(E4153-E4152,2)</f>
        <v/>
      </c>
      <c r="G4153" s="6">
        <f>ROUND(F4153-D4153,2)</f>
        <v/>
      </c>
    </row>
    <row r="4154">
      <c r="A4154" t="inlineStr">
        <is>
          <t>2022-10-09</t>
        </is>
      </c>
      <c r="B4154" t="n">
        <v>6</v>
      </c>
      <c r="C4154" t="n">
        <v>3074</v>
      </c>
      <c r="D4154" s="6" t="n">
        <v>158.9</v>
      </c>
      <c r="E4154" s="6" t="n">
        <v>1273028.03</v>
      </c>
      <c r="F4154" s="6">
        <f>ROUND(E4154-E4153,2)</f>
        <v/>
      </c>
      <c r="G4154" s="6">
        <f>ROUND(F4154-D4154,2)</f>
        <v/>
      </c>
    </row>
    <row r="4155">
      <c r="A4155" t="inlineStr">
        <is>
          <t>2022-10-09</t>
        </is>
      </c>
      <c r="B4155" t="n">
        <v>7</v>
      </c>
      <c r="C4155" t="n">
        <v>3074</v>
      </c>
      <c r="D4155" s="6" t="n">
        <v>16.9</v>
      </c>
      <c r="E4155" s="6" t="n">
        <v>1273044.93</v>
      </c>
      <c r="F4155" s="6">
        <f>ROUND(E4155-E4154,2)</f>
        <v/>
      </c>
      <c r="G4155" s="6">
        <f>ROUND(F4155-D4155,2)</f>
        <v/>
      </c>
    </row>
    <row r="4156">
      <c r="A4156" t="inlineStr">
        <is>
          <t>2022-10-09</t>
        </is>
      </c>
      <c r="B4156" t="n">
        <v>8</v>
      </c>
      <c r="C4156" t="n">
        <v>3074</v>
      </c>
      <c r="D4156" s="6" t="n">
        <v>19.8</v>
      </c>
      <c r="E4156" s="6" t="n">
        <v>1273064.73</v>
      </c>
      <c r="F4156" s="6">
        <f>ROUND(E4156-E4155,2)</f>
        <v/>
      </c>
      <c r="G4156" s="6">
        <f>ROUND(F4156-D4156,2)</f>
        <v/>
      </c>
    </row>
    <row r="4157">
      <c r="A4157" t="inlineStr">
        <is>
          <t>2022-10-09</t>
        </is>
      </c>
      <c r="B4157" t="n">
        <v>9</v>
      </c>
      <c r="C4157" t="n">
        <v>3074</v>
      </c>
      <c r="D4157" s="6" t="n">
        <v>17.6</v>
      </c>
      <c r="E4157" s="6" t="n">
        <v>1273082.33</v>
      </c>
      <c r="F4157" s="6">
        <f>ROUND(E4157-E4156,2)</f>
        <v/>
      </c>
      <c r="G4157" s="6">
        <f>ROUND(F4157-D4157,2)</f>
        <v/>
      </c>
    </row>
    <row r="4158">
      <c r="A4158" t="inlineStr">
        <is>
          <t>2022-10-09</t>
        </is>
      </c>
      <c r="B4158" t="n">
        <v>10</v>
      </c>
      <c r="C4158" t="n">
        <v>3074</v>
      </c>
      <c r="D4158" s="6" t="n">
        <v>135.1</v>
      </c>
      <c r="E4158" s="6" t="n">
        <v>1273217.43</v>
      </c>
      <c r="F4158" s="6">
        <f>ROUND(E4158-E4157,2)</f>
        <v/>
      </c>
      <c r="G4158" s="6">
        <f>ROUND(F4158-D4158,2)</f>
        <v/>
      </c>
    </row>
    <row r="4159">
      <c r="A4159" t="inlineStr">
        <is>
          <t>2022-10-09</t>
        </is>
      </c>
      <c r="B4159" t="n">
        <v>11</v>
      </c>
      <c r="C4159" t="n">
        <v>3074</v>
      </c>
      <c r="D4159" s="6" t="n">
        <v>68.59999999999999</v>
      </c>
      <c r="E4159" s="6" t="n">
        <v>1273286.03</v>
      </c>
      <c r="F4159" s="6">
        <f>ROUND(E4159-E4158,2)</f>
        <v/>
      </c>
      <c r="G4159" s="6">
        <f>ROUND(F4159-D4159,2)</f>
        <v/>
      </c>
    </row>
    <row r="4160">
      <c r="A4160" t="inlineStr">
        <is>
          <t>2022-10-09</t>
        </is>
      </c>
      <c r="B4160" t="n">
        <v>12</v>
      </c>
      <c r="C4160" t="n">
        <v>3074</v>
      </c>
      <c r="D4160" s="6" t="n">
        <v>102.6</v>
      </c>
      <c r="E4160" s="6" t="n">
        <v>1273388.63</v>
      </c>
      <c r="F4160" s="6">
        <f>ROUND(E4160-E4159,2)</f>
        <v/>
      </c>
      <c r="G4160" s="6">
        <f>ROUND(F4160-D4160,2)</f>
        <v/>
      </c>
    </row>
    <row r="4161">
      <c r="A4161" t="inlineStr">
        <is>
          <t>2022-10-09</t>
        </is>
      </c>
      <c r="B4161" t="n">
        <v>13</v>
      </c>
      <c r="C4161" t="n">
        <v>3074</v>
      </c>
      <c r="D4161" s="6" t="n">
        <v>124.6</v>
      </c>
      <c r="E4161" s="6" t="n">
        <v>1273513.23</v>
      </c>
      <c r="F4161" s="6">
        <f>ROUND(E4161-E4160,2)</f>
        <v/>
      </c>
      <c r="G4161" s="6">
        <f>ROUND(F4161-D4161,2)</f>
        <v/>
      </c>
    </row>
    <row r="4162">
      <c r="A4162" t="inlineStr">
        <is>
          <t>2022-10-09</t>
        </is>
      </c>
      <c r="B4162" t="n">
        <v>14</v>
      </c>
      <c r="C4162" t="n">
        <v>3074</v>
      </c>
      <c r="D4162" s="6" t="n">
        <v>197.8</v>
      </c>
      <c r="E4162" s="6" t="n">
        <v>1273711.03</v>
      </c>
      <c r="F4162" s="6">
        <f>ROUND(E4162-E4161,2)</f>
        <v/>
      </c>
      <c r="G4162" s="6">
        <f>ROUND(F4162-D4162,2)</f>
        <v/>
      </c>
    </row>
    <row r="4163">
      <c r="A4163" t="inlineStr">
        <is>
          <t>2022-10-09</t>
        </is>
      </c>
      <c r="B4163" t="n">
        <v>15</v>
      </c>
      <c r="C4163" t="n">
        <v>3074</v>
      </c>
      <c r="D4163" s="6" t="n">
        <v>124.7</v>
      </c>
      <c r="E4163" s="6" t="n">
        <v>1273835.73</v>
      </c>
      <c r="F4163" s="6">
        <f>ROUND(E4163-E4162,2)</f>
        <v/>
      </c>
      <c r="G4163" s="6">
        <f>ROUND(F4163-D4163,2)</f>
        <v/>
      </c>
    </row>
    <row r="4164">
      <c r="A4164" t="inlineStr">
        <is>
          <t>2022-10-09</t>
        </is>
      </c>
      <c r="B4164" t="n">
        <v>16</v>
      </c>
      <c r="C4164" t="n">
        <v>3074</v>
      </c>
      <c r="D4164" s="6" t="n">
        <v>38.4</v>
      </c>
      <c r="E4164" s="6" t="n">
        <v>1273874.13</v>
      </c>
      <c r="F4164" s="6">
        <f>ROUND(E4164-E4163,2)</f>
        <v/>
      </c>
      <c r="G4164" s="6">
        <f>ROUND(F4164-D4164,2)</f>
        <v/>
      </c>
    </row>
    <row r="4165">
      <c r="A4165" t="inlineStr">
        <is>
          <t>2022-10-09</t>
        </is>
      </c>
      <c r="B4165" t="n">
        <v>17</v>
      </c>
      <c r="C4165" t="n">
        <v>3074</v>
      </c>
      <c r="D4165" s="6" t="n">
        <v>69</v>
      </c>
      <c r="E4165" s="6" t="n">
        <v>1273943.13</v>
      </c>
      <c r="F4165" s="6">
        <f>ROUND(E4165-E4164,2)</f>
        <v/>
      </c>
      <c r="G4165" s="6">
        <f>ROUND(F4165-D4165,2)</f>
        <v/>
      </c>
    </row>
    <row r="4166">
      <c r="A4166" t="inlineStr">
        <is>
          <t>2022-10-09</t>
        </is>
      </c>
      <c r="B4166" t="n">
        <v>18</v>
      </c>
      <c r="C4166" t="n">
        <v>3074</v>
      </c>
      <c r="D4166" s="6" t="n">
        <v>88</v>
      </c>
      <c r="E4166" s="6" t="n">
        <v>1274031.13</v>
      </c>
      <c r="F4166" s="6">
        <f>ROUND(E4166-E4165,2)</f>
        <v/>
      </c>
      <c r="G4166" s="6">
        <f>ROUND(F4166-D4166,2)</f>
        <v/>
      </c>
    </row>
    <row r="4167">
      <c r="A4167" t="inlineStr">
        <is>
          <t>2022-10-09</t>
        </is>
      </c>
      <c r="B4167" t="n">
        <v>19</v>
      </c>
      <c r="C4167" t="n">
        <v>3074</v>
      </c>
      <c r="D4167" s="6" t="n">
        <v>92.90000000000001</v>
      </c>
      <c r="E4167" s="6" t="n">
        <v>1274124.03</v>
      </c>
      <c r="F4167" s="6">
        <f>ROUND(E4167-E4166,2)</f>
        <v/>
      </c>
      <c r="G4167" s="6">
        <f>ROUND(F4167-D4167,2)</f>
        <v/>
      </c>
    </row>
    <row r="4168">
      <c r="A4168" t="inlineStr">
        <is>
          <t>2022-10-09</t>
        </is>
      </c>
      <c r="B4168" t="n">
        <v>20</v>
      </c>
      <c r="C4168" t="n">
        <v>3074</v>
      </c>
      <c r="D4168" s="6" t="n">
        <v>40.3</v>
      </c>
      <c r="E4168" s="6" t="n">
        <v>1274164.33</v>
      </c>
      <c r="F4168" s="6">
        <f>ROUND(E4168-E4167,2)</f>
        <v/>
      </c>
      <c r="G4168" s="6">
        <f>ROUND(F4168-D4168,2)</f>
        <v/>
      </c>
    </row>
    <row r="4169">
      <c r="A4169" t="inlineStr">
        <is>
          <t>2022-10-09</t>
        </is>
      </c>
      <c r="B4169" t="n">
        <v>21</v>
      </c>
      <c r="C4169" t="n">
        <v>3074</v>
      </c>
      <c r="D4169" s="6" t="n">
        <v>15.9</v>
      </c>
      <c r="E4169" s="6" t="n">
        <v>1274180.23</v>
      </c>
      <c r="F4169" s="6">
        <f>ROUND(E4169-E4168,2)</f>
        <v/>
      </c>
      <c r="G4169" s="6">
        <f>ROUND(F4169-D4169,2)</f>
        <v/>
      </c>
    </row>
    <row r="4170">
      <c r="A4170" t="inlineStr">
        <is>
          <t>2022-10-09</t>
        </is>
      </c>
      <c r="B4170" t="n">
        <v>22</v>
      </c>
      <c r="C4170" t="n">
        <v>3074</v>
      </c>
      <c r="D4170" s="6" t="n">
        <v>26.3</v>
      </c>
      <c r="E4170" s="6" t="n">
        <v>1274206.53</v>
      </c>
      <c r="F4170" s="6">
        <f>ROUND(E4170-E4169,2)</f>
        <v/>
      </c>
      <c r="G4170" s="6">
        <f>ROUND(F4170-D4170,2)</f>
        <v/>
      </c>
    </row>
    <row r="4171">
      <c r="A4171" t="inlineStr">
        <is>
          <t>2022-10-09</t>
        </is>
      </c>
      <c r="B4171" t="n">
        <v>23</v>
      </c>
      <c r="C4171" t="n">
        <v>3074</v>
      </c>
      <c r="D4171" s="6" t="n">
        <v>23.2</v>
      </c>
      <c r="E4171" s="6" t="n">
        <v>1274229.73</v>
      </c>
      <c r="F4171" s="6">
        <f>ROUND(E4171-E4170,2)</f>
        <v/>
      </c>
      <c r="G4171" s="6">
        <f>ROUND(F4171-D4171,2)</f>
        <v/>
      </c>
    </row>
    <row r="4172">
      <c r="A4172" t="inlineStr">
        <is>
          <t>2022-10-09</t>
        </is>
      </c>
      <c r="B4172" t="n">
        <v>24</v>
      </c>
      <c r="C4172" t="n">
        <v>3074</v>
      </c>
      <c r="D4172" s="6" t="n">
        <v>115.8</v>
      </c>
      <c r="E4172" s="6" t="n">
        <v>1274345.53</v>
      </c>
      <c r="F4172" s="6">
        <f>ROUND(E4172-E4171,2)</f>
        <v/>
      </c>
      <c r="G4172" s="6">
        <f>ROUND(F4172-D4172,2)</f>
        <v/>
      </c>
    </row>
    <row r="4173">
      <c r="A4173" t="inlineStr">
        <is>
          <t>2022-10-12</t>
        </is>
      </c>
      <c r="B4173" t="n">
        <v>1</v>
      </c>
      <c r="C4173" t="n">
        <v>3075</v>
      </c>
      <c r="D4173" s="6" t="n">
        <v>64.40000000000001</v>
      </c>
      <c r="E4173" s="6" t="n">
        <v>1274409.93</v>
      </c>
      <c r="F4173" s="6">
        <f>ROUND(E4173-E4172,2)</f>
        <v/>
      </c>
      <c r="G4173" s="6">
        <f>ROUND(F4173-D4173,2)</f>
        <v/>
      </c>
    </row>
    <row r="4174">
      <c r="A4174" t="inlineStr">
        <is>
          <t>2022-10-12</t>
        </is>
      </c>
      <c r="B4174" t="n">
        <v>2</v>
      </c>
      <c r="C4174" t="n">
        <v>3075</v>
      </c>
      <c r="D4174" s="6" t="n">
        <v>55</v>
      </c>
      <c r="E4174" s="6" t="n">
        <v>1274464.93</v>
      </c>
      <c r="F4174" s="6">
        <f>ROUND(E4174-E4173,2)</f>
        <v/>
      </c>
      <c r="G4174" s="6">
        <f>ROUND(F4174-D4174,2)</f>
        <v/>
      </c>
    </row>
    <row r="4175">
      <c r="A4175" t="inlineStr">
        <is>
          <t>2022-10-12</t>
        </is>
      </c>
      <c r="B4175" t="n">
        <v>3</v>
      </c>
      <c r="C4175" t="n">
        <v>3075</v>
      </c>
      <c r="D4175" s="6" t="n">
        <v>39.6</v>
      </c>
      <c r="E4175" s="6" t="n">
        <v>1274504.53</v>
      </c>
      <c r="F4175" s="6">
        <f>ROUND(E4175-E4174,2)</f>
        <v/>
      </c>
      <c r="G4175" s="6">
        <f>ROUND(F4175-D4175,2)</f>
        <v/>
      </c>
    </row>
    <row r="4176">
      <c r="A4176" t="inlineStr">
        <is>
          <t>2022-10-12</t>
        </is>
      </c>
      <c r="B4176" t="n">
        <v>4</v>
      </c>
      <c r="C4176" t="n">
        <v>3075</v>
      </c>
      <c r="D4176" s="6" t="n">
        <v>39</v>
      </c>
      <c r="E4176" s="6" t="n">
        <v>1274543.53</v>
      </c>
      <c r="F4176" s="6">
        <f>ROUND(E4176-E4175,2)</f>
        <v/>
      </c>
      <c r="G4176" s="6">
        <f>ROUND(F4176-D4176,2)</f>
        <v/>
      </c>
    </row>
    <row r="4177">
      <c r="A4177" t="inlineStr">
        <is>
          <t>2022-10-12</t>
        </is>
      </c>
      <c r="B4177" t="n">
        <v>5</v>
      </c>
      <c r="C4177" t="n">
        <v>3075</v>
      </c>
      <c r="D4177" s="6" t="n">
        <v>54.5</v>
      </c>
      <c r="E4177" s="6" t="n">
        <v>1274598.03</v>
      </c>
      <c r="F4177" s="6">
        <f>ROUND(E4177-E4176,2)</f>
        <v/>
      </c>
      <c r="G4177" s="6">
        <f>ROUND(F4177-D4177,2)</f>
        <v/>
      </c>
    </row>
    <row r="4178">
      <c r="A4178" t="inlineStr">
        <is>
          <t>2022-10-12</t>
        </is>
      </c>
      <c r="B4178" t="n">
        <v>6</v>
      </c>
      <c r="C4178" t="n">
        <v>3075</v>
      </c>
      <c r="D4178" s="6" t="n">
        <v>59.5</v>
      </c>
      <c r="E4178" s="6" t="n">
        <v>1274657.53</v>
      </c>
      <c r="F4178" s="6">
        <f>ROUND(E4178-E4177,2)</f>
        <v/>
      </c>
      <c r="G4178" s="6">
        <f>ROUND(F4178-D4178,2)</f>
        <v/>
      </c>
    </row>
    <row r="4179">
      <c r="A4179" t="inlineStr">
        <is>
          <t>2022-10-12</t>
        </is>
      </c>
      <c r="B4179" t="n">
        <v>7</v>
      </c>
      <c r="C4179" t="n">
        <v>3075</v>
      </c>
      <c r="D4179" s="6" t="n">
        <v>65.40000000000001</v>
      </c>
      <c r="E4179" s="6" t="n">
        <v>1274722.93</v>
      </c>
      <c r="F4179" s="6">
        <f>ROUND(E4179-E4178,2)</f>
        <v/>
      </c>
      <c r="G4179" s="6">
        <f>ROUND(F4179-D4179,2)</f>
        <v/>
      </c>
    </row>
    <row r="4180">
      <c r="A4180" t="inlineStr">
        <is>
          <t>2022-10-12</t>
        </is>
      </c>
      <c r="B4180" t="n">
        <v>8</v>
      </c>
      <c r="C4180" t="n">
        <v>3075</v>
      </c>
      <c r="D4180" s="6" t="n">
        <v>96.90000000000001</v>
      </c>
      <c r="E4180" s="6" t="n">
        <v>1274819.83</v>
      </c>
      <c r="F4180" s="6">
        <f>ROUND(E4180-E4179,2)</f>
        <v/>
      </c>
      <c r="G4180" s="6">
        <f>ROUND(F4180-D4180,2)</f>
        <v/>
      </c>
    </row>
    <row r="4181">
      <c r="A4181" t="inlineStr">
        <is>
          <t>2022-10-12</t>
        </is>
      </c>
      <c r="B4181" t="n">
        <v>9</v>
      </c>
      <c r="C4181" t="n">
        <v>3075</v>
      </c>
      <c r="D4181" s="6" t="n">
        <v>38.9</v>
      </c>
      <c r="E4181" s="6" t="n">
        <v>1274858.73</v>
      </c>
      <c r="F4181" s="6">
        <f>ROUND(E4181-E4180,2)</f>
        <v/>
      </c>
      <c r="G4181" s="6">
        <f>ROUND(F4181-D4181,2)</f>
        <v/>
      </c>
    </row>
    <row r="4182">
      <c r="A4182" t="inlineStr">
        <is>
          <t>2022-10-12</t>
        </is>
      </c>
      <c r="B4182" t="n">
        <v>10</v>
      </c>
      <c r="C4182" t="n">
        <v>3075</v>
      </c>
      <c r="D4182" s="6" t="n">
        <v>28.5</v>
      </c>
      <c r="E4182" s="6" t="n">
        <v>1274887.23</v>
      </c>
      <c r="F4182" s="6">
        <f>ROUND(E4182-E4181,2)</f>
        <v/>
      </c>
      <c r="G4182" s="6">
        <f>ROUND(F4182-D4182,2)</f>
        <v/>
      </c>
    </row>
    <row r="4183">
      <c r="A4183" t="inlineStr">
        <is>
          <t>2022-10-12</t>
        </is>
      </c>
      <c r="B4183" t="n">
        <v>11</v>
      </c>
      <c r="C4183" t="n">
        <v>3075</v>
      </c>
      <c r="D4183" s="6" t="n">
        <v>164.8</v>
      </c>
      <c r="E4183" s="6" t="n">
        <v>1275052.03</v>
      </c>
      <c r="F4183" s="6">
        <f>ROUND(E4183-E4182,2)</f>
        <v/>
      </c>
      <c r="G4183" s="6">
        <f>ROUND(F4183-D4183,2)</f>
        <v/>
      </c>
    </row>
    <row r="4184">
      <c r="A4184" t="inlineStr">
        <is>
          <t>2022-10-12</t>
        </is>
      </c>
      <c r="B4184" t="n">
        <v>12</v>
      </c>
      <c r="C4184" t="n">
        <v>3075</v>
      </c>
      <c r="D4184" s="6" t="n">
        <v>20.8</v>
      </c>
      <c r="E4184" s="6" t="n">
        <v>1275072.83</v>
      </c>
      <c r="F4184" s="6">
        <f>ROUND(E4184-E4183,2)</f>
        <v/>
      </c>
      <c r="G4184" s="6">
        <f>ROUND(F4184-D4184,2)</f>
        <v/>
      </c>
    </row>
    <row r="4185">
      <c r="A4185" t="inlineStr">
        <is>
          <t>2022-10-12</t>
        </is>
      </c>
      <c r="B4185" t="n">
        <v>13</v>
      </c>
      <c r="C4185" t="n">
        <v>3075</v>
      </c>
      <c r="D4185" s="6" t="n">
        <v>88.40000000000001</v>
      </c>
      <c r="E4185" s="6" t="n">
        <v>1275161.23</v>
      </c>
      <c r="F4185" s="6">
        <f>ROUND(E4185-E4184,2)</f>
        <v/>
      </c>
      <c r="G4185" s="6">
        <f>ROUND(F4185-D4185,2)</f>
        <v/>
      </c>
    </row>
    <row r="4186">
      <c r="A4186" t="inlineStr">
        <is>
          <t>2022-10-12</t>
        </is>
      </c>
      <c r="B4186" t="n">
        <v>14</v>
      </c>
      <c r="C4186" t="n">
        <v>3075</v>
      </c>
      <c r="D4186" s="6" t="n">
        <v>56.6</v>
      </c>
      <c r="E4186" s="6" t="n">
        <v>1275217.83</v>
      </c>
      <c r="F4186" s="6">
        <f>ROUND(E4186-E4185,2)</f>
        <v/>
      </c>
      <c r="G4186" s="6">
        <f>ROUND(F4186-D4186,2)</f>
        <v/>
      </c>
    </row>
    <row r="4187">
      <c r="A4187" t="inlineStr">
        <is>
          <t>2022-10-12</t>
        </is>
      </c>
      <c r="B4187" t="n">
        <v>15</v>
      </c>
      <c r="C4187" t="n">
        <v>3075</v>
      </c>
      <c r="D4187" s="6" t="n">
        <v>58.4</v>
      </c>
      <c r="E4187" s="6" t="n">
        <v>1275276.23</v>
      </c>
      <c r="F4187" s="6">
        <f>ROUND(E4187-E4186,2)</f>
        <v/>
      </c>
      <c r="G4187" s="6">
        <f>ROUND(F4187-D4187,2)</f>
        <v/>
      </c>
    </row>
    <row r="4188">
      <c r="A4188" t="inlineStr">
        <is>
          <t>2022-10-12</t>
        </is>
      </c>
      <c r="B4188" t="n">
        <v>16</v>
      </c>
      <c r="C4188" t="n">
        <v>3075</v>
      </c>
      <c r="D4188" s="6" t="n">
        <v>59.2</v>
      </c>
      <c r="E4188" s="6" t="n">
        <v>1275335.43</v>
      </c>
      <c r="F4188" s="6">
        <f>ROUND(E4188-E4187,2)</f>
        <v/>
      </c>
      <c r="G4188" s="6">
        <f>ROUND(F4188-D4188,2)</f>
        <v/>
      </c>
    </row>
    <row r="4189">
      <c r="A4189" t="inlineStr">
        <is>
          <t>2022-10-12</t>
        </is>
      </c>
      <c r="B4189" t="n">
        <v>17</v>
      </c>
      <c r="C4189" t="n">
        <v>3075</v>
      </c>
      <c r="D4189" s="6" t="n">
        <v>70.09999999999999</v>
      </c>
      <c r="E4189" s="6" t="n">
        <v>1275405.53</v>
      </c>
      <c r="F4189" s="6">
        <f>ROUND(E4189-E4188,2)</f>
        <v/>
      </c>
      <c r="G4189" s="6">
        <f>ROUND(F4189-D4189,2)</f>
        <v/>
      </c>
    </row>
    <row r="4190">
      <c r="A4190" t="inlineStr">
        <is>
          <t>2022-10-12</t>
        </is>
      </c>
      <c r="B4190" t="n">
        <v>18</v>
      </c>
      <c r="C4190" t="n">
        <v>3075</v>
      </c>
      <c r="D4190" s="6" t="n">
        <v>98.7</v>
      </c>
      <c r="E4190" s="6" t="n">
        <v>1275504.23</v>
      </c>
      <c r="F4190" s="6">
        <f>ROUND(E4190-E4189,2)</f>
        <v/>
      </c>
      <c r="G4190" s="6">
        <f>ROUND(F4190-D4190,2)</f>
        <v/>
      </c>
    </row>
    <row r="4191">
      <c r="A4191" t="inlineStr">
        <is>
          <t>2022-10-12</t>
        </is>
      </c>
      <c r="B4191" t="n">
        <v>19</v>
      </c>
      <c r="C4191" t="n">
        <v>3075</v>
      </c>
      <c r="D4191" s="6" t="n">
        <v>122.7</v>
      </c>
      <c r="E4191" s="6" t="n">
        <v>1275626.93</v>
      </c>
      <c r="F4191" s="6">
        <f>ROUND(E4191-E4190,2)</f>
        <v/>
      </c>
      <c r="G4191" s="6">
        <f>ROUND(F4191-D4191,2)</f>
        <v/>
      </c>
    </row>
    <row r="4192">
      <c r="A4192" t="inlineStr">
        <is>
          <t>2022-10-12</t>
        </is>
      </c>
      <c r="B4192" t="n">
        <v>20</v>
      </c>
      <c r="C4192" t="n">
        <v>3075</v>
      </c>
      <c r="D4192" s="6" t="n">
        <v>44.8</v>
      </c>
      <c r="E4192" s="6" t="n">
        <v>1275671.73</v>
      </c>
      <c r="F4192" s="6">
        <f>ROUND(E4192-E4191,2)</f>
        <v/>
      </c>
      <c r="G4192" s="6">
        <f>ROUND(F4192-D4192,2)</f>
        <v/>
      </c>
    </row>
    <row r="4193">
      <c r="A4193" t="inlineStr">
        <is>
          <t>2022-10-12</t>
        </is>
      </c>
      <c r="B4193" t="n">
        <v>21</v>
      </c>
      <c r="C4193" t="n">
        <v>3075</v>
      </c>
      <c r="D4193" s="6" t="n">
        <v>54.1</v>
      </c>
      <c r="E4193" s="6" t="n">
        <v>1275725.83</v>
      </c>
      <c r="F4193" s="6">
        <f>ROUND(E4193-E4192,2)</f>
        <v/>
      </c>
      <c r="G4193" s="6">
        <f>ROUND(F4193-D4193,2)</f>
        <v/>
      </c>
    </row>
    <row r="4194">
      <c r="A4194" t="inlineStr">
        <is>
          <t>2022-10-12</t>
        </is>
      </c>
      <c r="B4194" t="n">
        <v>22</v>
      </c>
      <c r="C4194" t="n">
        <v>3075</v>
      </c>
      <c r="D4194" s="6" t="n">
        <v>46.86</v>
      </c>
      <c r="E4194" s="6" t="n">
        <v>1275772.69</v>
      </c>
      <c r="F4194" s="6">
        <f>ROUND(E4194-E4193,2)</f>
        <v/>
      </c>
      <c r="G4194" s="6">
        <f>ROUND(F4194-D4194,2)</f>
        <v/>
      </c>
    </row>
    <row r="4195">
      <c r="A4195" t="inlineStr">
        <is>
          <t>2022-10-12</t>
        </is>
      </c>
      <c r="B4195" t="n">
        <v>23</v>
      </c>
      <c r="C4195" t="n">
        <v>3075</v>
      </c>
      <c r="D4195" s="6" t="n">
        <v>23.44</v>
      </c>
      <c r="E4195" s="6" t="n">
        <v>1275796.13</v>
      </c>
      <c r="F4195" s="6">
        <f>ROUND(E4195-E4194,2)</f>
        <v/>
      </c>
      <c r="G4195" s="6">
        <f>ROUND(F4195-D4195,2)</f>
        <v/>
      </c>
    </row>
    <row r="4196">
      <c r="A4196" t="inlineStr">
        <is>
          <t>2022-10-12</t>
        </is>
      </c>
      <c r="B4196" t="n">
        <v>24</v>
      </c>
      <c r="C4196" t="n">
        <v>3075</v>
      </c>
      <c r="D4196" s="6" t="n">
        <v>24.8</v>
      </c>
      <c r="E4196" s="6" t="n">
        <v>1275820.93</v>
      </c>
      <c r="F4196" s="6">
        <f>ROUND(E4196-E4195,2)</f>
        <v/>
      </c>
      <c r="G4196" s="6">
        <f>ROUND(F4196-D4196,2)</f>
        <v/>
      </c>
    </row>
    <row r="4197">
      <c r="A4197" t="inlineStr">
        <is>
          <t>2022-10-12</t>
        </is>
      </c>
      <c r="B4197" t="n">
        <v>25</v>
      </c>
      <c r="C4197" t="n">
        <v>3075</v>
      </c>
      <c r="D4197" s="6" t="n">
        <v>26.9</v>
      </c>
      <c r="E4197" s="6" t="n">
        <v>1275847.83</v>
      </c>
      <c r="F4197" s="6">
        <f>ROUND(E4197-E4196,2)</f>
        <v/>
      </c>
      <c r="G4197" s="6">
        <f>ROUND(F4197-D4197,2)</f>
        <v/>
      </c>
    </row>
    <row r="4198">
      <c r="A4198" t="inlineStr">
        <is>
          <t>2022-10-12</t>
        </is>
      </c>
      <c r="B4198" t="n">
        <v>26</v>
      </c>
      <c r="C4198" t="n">
        <v>3075</v>
      </c>
      <c r="D4198" s="6" t="n">
        <v>44.7</v>
      </c>
      <c r="E4198" s="6" t="n">
        <v>1275892.53</v>
      </c>
      <c r="F4198" s="6">
        <f>ROUND(E4198-E4197,2)</f>
        <v/>
      </c>
      <c r="G4198" s="6">
        <f>ROUND(F4198-D4198,2)</f>
        <v/>
      </c>
    </row>
    <row r="4199">
      <c r="A4199" t="inlineStr">
        <is>
          <t>2022-10-12</t>
        </is>
      </c>
      <c r="B4199" t="n">
        <v>27</v>
      </c>
      <c r="C4199" t="n">
        <v>3075</v>
      </c>
      <c r="D4199" s="6" t="n">
        <v>17</v>
      </c>
      <c r="E4199" s="6" t="n">
        <v>1275909.53</v>
      </c>
      <c r="F4199" s="6">
        <f>ROUND(E4199-E4198,2)</f>
        <v/>
      </c>
      <c r="G4199" s="6">
        <f>ROUND(F4199-D4199,2)</f>
        <v/>
      </c>
    </row>
    <row r="4200">
      <c r="A4200" t="inlineStr">
        <is>
          <t>2022-10-12</t>
        </is>
      </c>
      <c r="B4200" t="n">
        <v>28</v>
      </c>
      <c r="C4200" t="n">
        <v>3075</v>
      </c>
      <c r="D4200" s="6" t="n">
        <v>16.5</v>
      </c>
      <c r="E4200" s="6" t="n">
        <v>1275926.03</v>
      </c>
      <c r="F4200" s="6">
        <f>ROUND(E4200-E4199,2)</f>
        <v/>
      </c>
      <c r="G4200" s="6">
        <f>ROUND(F4200-D4200,2)</f>
        <v/>
      </c>
    </row>
    <row r="4201">
      <c r="A4201" t="inlineStr">
        <is>
          <t>2022-10-12</t>
        </is>
      </c>
      <c r="B4201" t="n">
        <v>29</v>
      </c>
      <c r="C4201" t="n">
        <v>3075</v>
      </c>
      <c r="D4201" s="6" t="n">
        <v>72.7</v>
      </c>
      <c r="E4201" s="6" t="n">
        <v>1275998.73</v>
      </c>
      <c r="F4201" s="6">
        <f>ROUND(E4201-E4200,2)</f>
        <v/>
      </c>
      <c r="G4201" s="6">
        <f>ROUND(F4201-D4201,2)</f>
        <v/>
      </c>
    </row>
    <row r="4202">
      <c r="A4202" t="inlineStr">
        <is>
          <t>2022-10-12</t>
        </is>
      </c>
      <c r="B4202" t="n">
        <v>30</v>
      </c>
      <c r="C4202" t="n">
        <v>3075</v>
      </c>
      <c r="D4202" s="6" t="n">
        <v>67.8</v>
      </c>
      <c r="E4202" s="6" t="n">
        <v>1276066.53</v>
      </c>
      <c r="F4202" s="6">
        <f>ROUND(E4202-E4201,2)</f>
        <v/>
      </c>
      <c r="G4202" s="6">
        <f>ROUND(F4202-D4202,2)</f>
        <v/>
      </c>
    </row>
    <row r="4203">
      <c r="A4203" t="inlineStr">
        <is>
          <t>2022-10-13</t>
        </is>
      </c>
      <c r="B4203" t="n">
        <v>1</v>
      </c>
      <c r="C4203" t="n">
        <v>3076</v>
      </c>
      <c r="D4203" s="6" t="n">
        <v>71.40000000000001</v>
      </c>
      <c r="E4203" s="6" t="n">
        <v>1276137.93</v>
      </c>
      <c r="F4203" s="6">
        <f>ROUND(E4203-E4202,2)</f>
        <v/>
      </c>
      <c r="G4203" s="6">
        <f>ROUND(F4203-D4203,2)</f>
        <v/>
      </c>
    </row>
    <row r="4204">
      <c r="A4204" t="inlineStr">
        <is>
          <t>2022-10-13</t>
        </is>
      </c>
      <c r="B4204" t="n">
        <v>2</v>
      </c>
      <c r="C4204" t="n">
        <v>3076</v>
      </c>
      <c r="D4204" s="6" t="n">
        <v>101.2</v>
      </c>
      <c r="E4204" s="6" t="n">
        <v>1276239.13</v>
      </c>
      <c r="F4204" s="6">
        <f>ROUND(E4204-E4203,2)</f>
        <v/>
      </c>
      <c r="G4204" s="6">
        <f>ROUND(F4204-D4204,2)</f>
        <v/>
      </c>
    </row>
    <row r="4205">
      <c r="A4205" t="inlineStr">
        <is>
          <t>2022-10-13</t>
        </is>
      </c>
      <c r="B4205" t="n">
        <v>3</v>
      </c>
      <c r="C4205" t="n">
        <v>3076</v>
      </c>
      <c r="D4205" s="6" t="n">
        <v>186.3</v>
      </c>
      <c r="E4205" s="6" t="n">
        <v>1276425.43</v>
      </c>
      <c r="F4205" s="6">
        <f>ROUND(E4205-E4204,2)</f>
        <v/>
      </c>
      <c r="G4205" s="6">
        <f>ROUND(F4205-D4205,2)</f>
        <v/>
      </c>
    </row>
    <row r="4206">
      <c r="A4206" t="inlineStr">
        <is>
          <t>2022-10-13</t>
        </is>
      </c>
      <c r="B4206" t="n">
        <v>4</v>
      </c>
      <c r="C4206" t="n">
        <v>3076</v>
      </c>
      <c r="D4206" s="6" t="n">
        <v>59.6</v>
      </c>
      <c r="E4206" s="6" t="n">
        <v>1276485.03</v>
      </c>
      <c r="F4206" s="6">
        <f>ROUND(E4206-E4205,2)</f>
        <v/>
      </c>
      <c r="G4206" s="6">
        <f>ROUND(F4206-D4206,2)</f>
        <v/>
      </c>
    </row>
    <row r="4207">
      <c r="A4207" t="inlineStr">
        <is>
          <t>2022-10-13</t>
        </is>
      </c>
      <c r="B4207" t="n">
        <v>5</v>
      </c>
      <c r="C4207" t="n">
        <v>3076</v>
      </c>
      <c r="D4207" s="6" t="n">
        <v>50.7</v>
      </c>
      <c r="E4207" s="6" t="n">
        <v>1276535.73</v>
      </c>
      <c r="F4207" s="6">
        <f>ROUND(E4207-E4206,2)</f>
        <v/>
      </c>
      <c r="G4207" s="6">
        <f>ROUND(F4207-D4207,2)</f>
        <v/>
      </c>
    </row>
    <row r="4208">
      <c r="A4208" t="inlineStr">
        <is>
          <t>2022-10-13</t>
        </is>
      </c>
      <c r="B4208" t="n">
        <v>6</v>
      </c>
      <c r="C4208" t="n">
        <v>3076</v>
      </c>
      <c r="D4208" s="6" t="n">
        <v>25</v>
      </c>
      <c r="E4208" s="6" t="n">
        <v>1276560.73</v>
      </c>
      <c r="F4208" s="6">
        <f>ROUND(E4208-E4207,2)</f>
        <v/>
      </c>
      <c r="G4208" s="6">
        <f>ROUND(F4208-D4208,2)</f>
        <v/>
      </c>
    </row>
    <row r="4209">
      <c r="A4209" t="inlineStr">
        <is>
          <t>2022-10-13</t>
        </is>
      </c>
      <c r="B4209" t="n">
        <v>7</v>
      </c>
      <c r="C4209" t="n">
        <v>3076</v>
      </c>
      <c r="D4209" s="6" t="n">
        <v>28.8</v>
      </c>
      <c r="E4209" s="6" t="n">
        <v>1276589.53</v>
      </c>
      <c r="F4209" s="6">
        <f>ROUND(E4209-E4208,2)</f>
        <v/>
      </c>
      <c r="G4209" s="6">
        <f>ROUND(F4209-D4209,2)</f>
        <v/>
      </c>
    </row>
    <row r="4210">
      <c r="A4210" t="inlineStr">
        <is>
          <t>2022-10-13</t>
        </is>
      </c>
      <c r="B4210" t="n">
        <v>8</v>
      </c>
      <c r="C4210" t="n">
        <v>3076</v>
      </c>
      <c r="D4210" s="6" t="n">
        <v>24.9</v>
      </c>
      <c r="E4210" s="6" t="n">
        <v>1276614.43</v>
      </c>
      <c r="F4210" s="6">
        <f>ROUND(E4210-E4209,2)</f>
        <v/>
      </c>
      <c r="G4210" s="6">
        <f>ROUND(F4210-D4210,2)</f>
        <v/>
      </c>
    </row>
    <row r="4211">
      <c r="A4211" t="inlineStr">
        <is>
          <t>2022-10-13</t>
        </is>
      </c>
      <c r="B4211" t="n">
        <v>9</v>
      </c>
      <c r="C4211" t="n">
        <v>3076</v>
      </c>
      <c r="D4211" s="6" t="n">
        <v>49.9</v>
      </c>
      <c r="E4211" s="6" t="n">
        <v>1276664.33</v>
      </c>
      <c r="F4211" s="6">
        <f>ROUND(E4211-E4210,2)</f>
        <v/>
      </c>
      <c r="G4211" s="6">
        <f>ROUND(F4211-D4211,2)</f>
        <v/>
      </c>
    </row>
    <row r="4212">
      <c r="A4212" t="inlineStr">
        <is>
          <t>2022-10-13</t>
        </is>
      </c>
      <c r="B4212" t="n">
        <v>10</v>
      </c>
      <c r="C4212" t="n">
        <v>3076</v>
      </c>
      <c r="D4212" s="6" t="n">
        <v>95.5</v>
      </c>
      <c r="E4212" s="6" t="n">
        <v>1276759.83</v>
      </c>
      <c r="F4212" s="6">
        <f>ROUND(E4212-E4211,2)</f>
        <v/>
      </c>
      <c r="G4212" s="6">
        <f>ROUND(F4212-D4212,2)</f>
        <v/>
      </c>
    </row>
    <row r="4213">
      <c r="A4213" t="inlineStr">
        <is>
          <t>2022-10-13</t>
        </is>
      </c>
      <c r="B4213" t="n">
        <v>11</v>
      </c>
      <c r="C4213" t="n">
        <v>3076</v>
      </c>
      <c r="D4213" s="6" t="n">
        <v>57.9</v>
      </c>
      <c r="E4213" s="6" t="n">
        <v>1276817.73</v>
      </c>
      <c r="F4213" s="6">
        <f>ROUND(E4213-E4212,2)</f>
        <v/>
      </c>
      <c r="G4213" s="6">
        <f>ROUND(F4213-D4213,2)</f>
        <v/>
      </c>
    </row>
    <row r="4214">
      <c r="A4214" t="inlineStr">
        <is>
          <t>2022-10-13</t>
        </is>
      </c>
      <c r="B4214" t="n">
        <v>12</v>
      </c>
      <c r="C4214" t="n">
        <v>3076</v>
      </c>
      <c r="D4214" s="6" t="n">
        <v>25.86</v>
      </c>
      <c r="E4214" s="6" t="n">
        <v>1276843.59</v>
      </c>
      <c r="F4214" s="6">
        <f>ROUND(E4214-E4213,2)</f>
        <v/>
      </c>
      <c r="G4214" s="6">
        <f>ROUND(F4214-D4214,2)</f>
        <v/>
      </c>
    </row>
    <row r="4215">
      <c r="A4215" t="inlineStr">
        <is>
          <t>2022-10-13</t>
        </is>
      </c>
      <c r="B4215" t="n">
        <v>13</v>
      </c>
      <c r="C4215" t="n">
        <v>3076</v>
      </c>
      <c r="D4215" s="6" t="n">
        <v>26.09</v>
      </c>
      <c r="E4215" s="6" t="n">
        <v>1276869.68</v>
      </c>
      <c r="F4215" s="6">
        <f>ROUND(E4215-E4214,2)</f>
        <v/>
      </c>
      <c r="G4215" s="6">
        <f>ROUND(F4215-D4215,2)</f>
        <v/>
      </c>
    </row>
    <row r="4216">
      <c r="A4216" t="inlineStr">
        <is>
          <t>2022-10-13</t>
        </is>
      </c>
      <c r="B4216" t="n">
        <v>14</v>
      </c>
      <c r="C4216" t="n">
        <v>3076</v>
      </c>
      <c r="D4216" s="6" t="n">
        <v>25.85</v>
      </c>
      <c r="E4216" s="6" t="n">
        <v>1276895.53</v>
      </c>
      <c r="F4216" s="6">
        <f>ROUND(E4216-E4215,2)</f>
        <v/>
      </c>
      <c r="G4216" s="6">
        <f>ROUND(F4216-D4216,2)</f>
        <v/>
      </c>
    </row>
    <row r="4217">
      <c r="A4217" t="inlineStr">
        <is>
          <t>2022-10-13</t>
        </is>
      </c>
      <c r="B4217" t="n">
        <v>15</v>
      </c>
      <c r="C4217" t="n">
        <v>3076</v>
      </c>
      <c r="D4217" s="6" t="n">
        <v>79.59999999999999</v>
      </c>
      <c r="E4217" s="6" t="n">
        <v>1276975.13</v>
      </c>
      <c r="F4217" s="6">
        <f>ROUND(E4217-E4216,2)</f>
        <v/>
      </c>
      <c r="G4217" s="6">
        <f>ROUND(F4217-D4217,2)</f>
        <v/>
      </c>
    </row>
    <row r="4218">
      <c r="A4218" t="inlineStr">
        <is>
          <t>2022-10-13</t>
        </is>
      </c>
      <c r="B4218" t="n">
        <v>16</v>
      </c>
      <c r="C4218" t="n">
        <v>3076</v>
      </c>
      <c r="D4218" s="6" t="n">
        <v>62.9</v>
      </c>
      <c r="E4218" s="6" t="n">
        <v>1277038.03</v>
      </c>
      <c r="F4218" s="6">
        <f>ROUND(E4218-E4217,2)</f>
        <v/>
      </c>
      <c r="G4218" s="6">
        <f>ROUND(F4218-D4218,2)</f>
        <v/>
      </c>
    </row>
    <row r="4219">
      <c r="A4219" t="inlineStr">
        <is>
          <t>2022-10-13</t>
        </is>
      </c>
      <c r="B4219" t="n">
        <v>17</v>
      </c>
      <c r="C4219" t="n">
        <v>3076</v>
      </c>
      <c r="D4219" s="6" t="n">
        <v>72</v>
      </c>
      <c r="E4219" s="6" t="n">
        <v>1277110.03</v>
      </c>
      <c r="F4219" s="6">
        <f>ROUND(E4219-E4218,2)</f>
        <v/>
      </c>
      <c r="G4219" s="6">
        <f>ROUND(F4219-D4219,2)</f>
        <v/>
      </c>
    </row>
    <row r="4220">
      <c r="A4220" t="inlineStr">
        <is>
          <t>2022-10-13</t>
        </is>
      </c>
      <c r="B4220" t="n">
        <v>18</v>
      </c>
      <c r="C4220" t="n">
        <v>3076</v>
      </c>
      <c r="D4220" s="6" t="n">
        <v>67</v>
      </c>
      <c r="E4220" s="6" t="n">
        <v>1277177.03</v>
      </c>
      <c r="F4220" s="6">
        <f>ROUND(E4220-E4219,2)</f>
        <v/>
      </c>
      <c r="G4220" s="6">
        <f>ROUND(F4220-D4220,2)</f>
        <v/>
      </c>
    </row>
    <row r="4221">
      <c r="A4221" t="inlineStr">
        <is>
          <t>2022-10-13</t>
        </is>
      </c>
      <c r="B4221" t="n">
        <v>19</v>
      </c>
      <c r="C4221" t="n">
        <v>3076</v>
      </c>
      <c r="D4221" s="6" t="n">
        <v>104.6</v>
      </c>
      <c r="E4221" s="6" t="n">
        <v>1277281.63</v>
      </c>
      <c r="F4221" s="6">
        <f>ROUND(E4221-E4220,2)</f>
        <v/>
      </c>
      <c r="G4221" s="6">
        <f>ROUND(F4221-D4221,2)</f>
        <v/>
      </c>
    </row>
    <row r="4222">
      <c r="A4222" t="inlineStr">
        <is>
          <t>2022-10-13</t>
        </is>
      </c>
      <c r="B4222" t="n">
        <v>20</v>
      </c>
      <c r="C4222" t="n">
        <v>3076</v>
      </c>
      <c r="D4222" s="6" t="n">
        <v>49.8</v>
      </c>
      <c r="E4222" s="6" t="n">
        <v>1277331.43</v>
      </c>
      <c r="F4222" s="6">
        <f>ROUND(E4222-E4221,2)</f>
        <v/>
      </c>
      <c r="G4222" s="6">
        <f>ROUND(F4222-D4222,2)</f>
        <v/>
      </c>
    </row>
    <row r="4223">
      <c r="A4223" t="inlineStr">
        <is>
          <t>2022-10-13</t>
        </is>
      </c>
      <c r="B4223" t="n">
        <v>21</v>
      </c>
      <c r="C4223" t="n">
        <v>3076</v>
      </c>
      <c r="D4223" s="6" t="n">
        <v>113.1</v>
      </c>
      <c r="E4223" s="6" t="n">
        <v>1277444.53</v>
      </c>
      <c r="F4223" s="6">
        <f>ROUND(E4223-E4222,2)</f>
        <v/>
      </c>
      <c r="G4223" s="6">
        <f>ROUND(F4223-D4223,2)</f>
        <v/>
      </c>
    </row>
    <row r="4224">
      <c r="A4224" t="inlineStr">
        <is>
          <t>2022-10-14</t>
        </is>
      </c>
      <c r="B4224" t="n">
        <v>1</v>
      </c>
      <c r="C4224" t="n">
        <v>3077</v>
      </c>
      <c r="D4224" s="6" t="n">
        <v>18.3</v>
      </c>
      <c r="E4224" s="6" t="n">
        <v>1277462.83</v>
      </c>
      <c r="F4224" s="6">
        <f>ROUND(E4224-E4223,2)</f>
        <v/>
      </c>
      <c r="G4224" s="6">
        <f>ROUND(F4224-D4224,2)</f>
        <v/>
      </c>
    </row>
    <row r="4225">
      <c r="A4225" t="inlineStr">
        <is>
          <t>2022-10-14</t>
        </is>
      </c>
      <c r="B4225" t="n">
        <v>2</v>
      </c>
      <c r="C4225" t="n">
        <v>3077</v>
      </c>
      <c r="D4225" s="6" t="n">
        <v>54.5</v>
      </c>
      <c r="E4225" s="6" t="n">
        <v>1277517.33</v>
      </c>
      <c r="F4225" s="6">
        <f>ROUND(E4225-E4224,2)</f>
        <v/>
      </c>
      <c r="G4225" s="6">
        <f>ROUND(F4225-D4225,2)</f>
        <v/>
      </c>
    </row>
    <row r="4226">
      <c r="A4226" t="inlineStr">
        <is>
          <t>2022-10-14</t>
        </is>
      </c>
      <c r="B4226" t="n">
        <v>3</v>
      </c>
      <c r="C4226" t="n">
        <v>3077</v>
      </c>
      <c r="D4226" s="6" t="n">
        <v>42.1</v>
      </c>
      <c r="E4226" s="6" t="n">
        <v>1277559.43</v>
      </c>
      <c r="F4226" s="6">
        <f>ROUND(E4226-E4225,2)</f>
        <v/>
      </c>
      <c r="G4226" s="6">
        <f>ROUND(F4226-D4226,2)</f>
        <v/>
      </c>
    </row>
    <row r="4227">
      <c r="A4227" t="inlineStr">
        <is>
          <t>2022-10-14</t>
        </is>
      </c>
      <c r="B4227" t="n">
        <v>4</v>
      </c>
      <c r="C4227" t="n">
        <v>3077</v>
      </c>
      <c r="D4227" s="6" t="n">
        <v>94.90000000000001</v>
      </c>
      <c r="E4227" s="6" t="n">
        <v>1277654.33</v>
      </c>
      <c r="F4227" s="6">
        <f>ROUND(E4227-E4226,2)</f>
        <v/>
      </c>
      <c r="G4227" s="6">
        <f>ROUND(F4227-D4227,2)</f>
        <v/>
      </c>
    </row>
    <row r="4228">
      <c r="A4228" t="inlineStr">
        <is>
          <t>2022-10-14</t>
        </is>
      </c>
      <c r="B4228" t="n">
        <v>5</v>
      </c>
      <c r="C4228" t="n">
        <v>3077</v>
      </c>
      <c r="D4228" s="6" t="n">
        <v>87.5</v>
      </c>
      <c r="E4228" s="6" t="n">
        <v>1277741.83</v>
      </c>
      <c r="F4228" s="6">
        <f>ROUND(E4228-E4227,2)</f>
        <v/>
      </c>
      <c r="G4228" s="6">
        <f>ROUND(F4228-D4228,2)</f>
        <v/>
      </c>
    </row>
    <row r="4229">
      <c r="A4229" t="inlineStr">
        <is>
          <t>2022-10-14</t>
        </is>
      </c>
      <c r="B4229" t="n">
        <v>6</v>
      </c>
      <c r="C4229" t="n">
        <v>3077</v>
      </c>
      <c r="D4229" s="6" t="n">
        <v>71.3</v>
      </c>
      <c r="E4229" s="6" t="n">
        <v>1277813.13</v>
      </c>
      <c r="F4229" s="6">
        <f>ROUND(E4229-E4228,2)</f>
        <v/>
      </c>
      <c r="G4229" s="6">
        <f>ROUND(F4229-D4229,2)</f>
        <v/>
      </c>
    </row>
    <row r="4230">
      <c r="A4230" t="inlineStr">
        <is>
          <t>2022-10-14</t>
        </is>
      </c>
      <c r="B4230" t="n">
        <v>7</v>
      </c>
      <c r="C4230" t="n">
        <v>3077</v>
      </c>
      <c r="D4230" s="6" t="n">
        <v>80.5</v>
      </c>
      <c r="E4230" s="6" t="n">
        <v>1277893.63</v>
      </c>
      <c r="F4230" s="6">
        <f>ROUND(E4230-E4229,2)</f>
        <v/>
      </c>
      <c r="G4230" s="6">
        <f>ROUND(F4230-D4230,2)</f>
        <v/>
      </c>
    </row>
    <row r="4231">
      <c r="A4231" t="inlineStr">
        <is>
          <t>2022-10-14</t>
        </is>
      </c>
      <c r="B4231" t="n">
        <v>8</v>
      </c>
      <c r="C4231" t="n">
        <v>3077</v>
      </c>
      <c r="D4231" s="6" t="n">
        <v>250.5</v>
      </c>
      <c r="E4231" s="6" t="n">
        <v>1278144.13</v>
      </c>
      <c r="F4231" s="6">
        <f>ROUND(E4231-E4230,2)</f>
        <v/>
      </c>
      <c r="G4231" s="6">
        <f>ROUND(F4231-D4231,2)</f>
        <v/>
      </c>
    </row>
    <row r="4232">
      <c r="A4232" t="inlineStr">
        <is>
          <t>2022-10-14</t>
        </is>
      </c>
      <c r="B4232" t="n">
        <v>9</v>
      </c>
      <c r="C4232" t="n">
        <v>3077</v>
      </c>
      <c r="D4232" s="6" t="n">
        <v>60.3</v>
      </c>
      <c r="E4232" s="6" t="n">
        <v>1278204.43</v>
      </c>
      <c r="F4232" s="6">
        <f>ROUND(E4232-E4231,2)</f>
        <v/>
      </c>
      <c r="G4232" s="6">
        <f>ROUND(F4232-D4232,2)</f>
        <v/>
      </c>
    </row>
    <row r="4233">
      <c r="A4233" t="inlineStr">
        <is>
          <t>2022-10-14</t>
        </is>
      </c>
      <c r="B4233" t="n">
        <v>10</v>
      </c>
      <c r="C4233" t="n">
        <v>3077</v>
      </c>
      <c r="D4233" s="6" t="n">
        <v>60.6</v>
      </c>
      <c r="E4233" s="6" t="n">
        <v>1278265.03</v>
      </c>
      <c r="F4233" s="6">
        <f>ROUND(E4233-E4232,2)</f>
        <v/>
      </c>
      <c r="G4233" s="6">
        <f>ROUND(F4233-D4233,2)</f>
        <v/>
      </c>
    </row>
    <row r="4234">
      <c r="A4234" t="inlineStr">
        <is>
          <t>2022-10-14</t>
        </is>
      </c>
      <c r="B4234" t="n">
        <v>11</v>
      </c>
      <c r="C4234" t="n">
        <v>3077</v>
      </c>
      <c r="D4234" s="6" t="n">
        <v>61.8</v>
      </c>
      <c r="E4234" s="6" t="n">
        <v>1278326.83</v>
      </c>
      <c r="F4234" s="6">
        <f>ROUND(E4234-E4233,2)</f>
        <v/>
      </c>
      <c r="G4234" s="6">
        <f>ROUND(F4234-D4234,2)</f>
        <v/>
      </c>
    </row>
    <row r="4235">
      <c r="A4235" t="inlineStr">
        <is>
          <t>2022-10-14</t>
        </is>
      </c>
      <c r="B4235" t="n">
        <v>12</v>
      </c>
      <c r="C4235" t="n">
        <v>3077</v>
      </c>
      <c r="D4235" s="6" t="n">
        <v>125.3</v>
      </c>
      <c r="E4235" s="6" t="n">
        <v>1278452.13</v>
      </c>
      <c r="F4235" s="6">
        <f>ROUND(E4235-E4234,2)</f>
        <v/>
      </c>
      <c r="G4235" s="6">
        <f>ROUND(F4235-D4235,2)</f>
        <v/>
      </c>
    </row>
    <row r="4236">
      <c r="A4236" t="inlineStr">
        <is>
          <t>2022-10-15</t>
        </is>
      </c>
      <c r="B4236" t="n">
        <v>1</v>
      </c>
      <c r="C4236" t="n">
        <v>3078</v>
      </c>
      <c r="D4236" s="6" t="n">
        <v>57.2</v>
      </c>
      <c r="E4236" s="6" t="n">
        <v>1278509.33</v>
      </c>
      <c r="F4236" s="6">
        <f>ROUND(E4236-E4235,2)</f>
        <v/>
      </c>
      <c r="G4236" s="6">
        <f>ROUND(F4236-D4236,2)</f>
        <v/>
      </c>
    </row>
    <row r="4237">
      <c r="A4237" t="inlineStr">
        <is>
          <t>2022-10-15</t>
        </is>
      </c>
      <c r="B4237" t="n">
        <v>2</v>
      </c>
      <c r="C4237" t="n">
        <v>3078</v>
      </c>
      <c r="D4237" s="6" t="n">
        <v>60.7</v>
      </c>
      <c r="E4237" s="6" t="n">
        <v>1278570.03</v>
      </c>
      <c r="F4237" s="6">
        <f>ROUND(E4237-E4236,2)</f>
        <v/>
      </c>
      <c r="G4237" s="6">
        <f>ROUND(F4237-D4237,2)</f>
        <v/>
      </c>
    </row>
    <row r="4238">
      <c r="A4238" t="inlineStr">
        <is>
          <t>2022-10-15</t>
        </is>
      </c>
      <c r="B4238" t="n">
        <v>3</v>
      </c>
      <c r="C4238" t="n">
        <v>3078</v>
      </c>
      <c r="D4238" s="6" t="n">
        <v>37</v>
      </c>
      <c r="E4238" s="6" t="n">
        <v>1278607.03</v>
      </c>
      <c r="F4238" s="6">
        <f>ROUND(E4238-E4237,2)</f>
        <v/>
      </c>
      <c r="G4238" s="6">
        <f>ROUND(F4238-D4238,2)</f>
        <v/>
      </c>
    </row>
    <row r="4239">
      <c r="A4239" t="inlineStr">
        <is>
          <t>2022-10-15</t>
        </is>
      </c>
      <c r="B4239" t="n">
        <v>4</v>
      </c>
      <c r="C4239" t="n">
        <v>3078</v>
      </c>
      <c r="D4239" s="6" t="n">
        <v>60.6</v>
      </c>
      <c r="E4239" s="6" t="n">
        <v>1278667.63</v>
      </c>
      <c r="F4239" s="6">
        <f>ROUND(E4239-E4238,2)</f>
        <v/>
      </c>
      <c r="G4239" s="6">
        <f>ROUND(F4239-D4239,2)</f>
        <v/>
      </c>
    </row>
    <row r="4240">
      <c r="A4240" t="inlineStr">
        <is>
          <t>2022-10-15</t>
        </is>
      </c>
      <c r="B4240" t="n">
        <v>5</v>
      </c>
      <c r="C4240" t="n">
        <v>3078</v>
      </c>
      <c r="D4240" s="6" t="n">
        <v>56.6</v>
      </c>
      <c r="E4240" s="6" t="n">
        <v>1278724.23</v>
      </c>
      <c r="F4240" s="6">
        <f>ROUND(E4240-E4239,2)</f>
        <v/>
      </c>
      <c r="G4240" s="6">
        <f>ROUND(F4240-D4240,2)</f>
        <v/>
      </c>
    </row>
    <row r="4241">
      <c r="A4241" t="inlineStr">
        <is>
          <t>2022-10-15</t>
        </is>
      </c>
      <c r="B4241" t="n">
        <v>6</v>
      </c>
      <c r="C4241" t="n">
        <v>3078</v>
      </c>
      <c r="D4241" s="6" t="n">
        <v>151.3</v>
      </c>
      <c r="E4241" s="6" t="n">
        <v>1278875.53</v>
      </c>
      <c r="F4241" s="6">
        <f>ROUND(E4241-E4240,2)</f>
        <v/>
      </c>
      <c r="G4241" s="6">
        <f>ROUND(F4241-D4241,2)</f>
        <v/>
      </c>
    </row>
    <row r="4242">
      <c r="A4242" t="inlineStr">
        <is>
          <t>2022-10-15</t>
        </is>
      </c>
      <c r="B4242" t="n">
        <v>7</v>
      </c>
      <c r="C4242" t="n">
        <v>3078</v>
      </c>
      <c r="D4242" s="6" t="n">
        <v>66.90000000000001</v>
      </c>
      <c r="E4242" s="6" t="n">
        <v>1278942.43</v>
      </c>
      <c r="F4242" s="6">
        <f>ROUND(E4242-E4241,2)</f>
        <v/>
      </c>
      <c r="G4242" s="6">
        <f>ROUND(F4242-D4242,2)</f>
        <v/>
      </c>
    </row>
    <row r="4243">
      <c r="A4243" t="inlineStr">
        <is>
          <t>2022-10-15</t>
        </is>
      </c>
      <c r="B4243" t="n">
        <v>8</v>
      </c>
      <c r="C4243" t="n">
        <v>3078</v>
      </c>
      <c r="D4243" s="6" t="n">
        <v>76.59999999999999</v>
      </c>
      <c r="E4243" s="6" t="n">
        <v>1279019.03</v>
      </c>
      <c r="F4243" s="6">
        <f>ROUND(E4243-E4242,2)</f>
        <v/>
      </c>
      <c r="G4243" s="6">
        <f>ROUND(F4243-D4243,2)</f>
        <v/>
      </c>
    </row>
    <row r="4244">
      <c r="A4244" t="inlineStr">
        <is>
          <t>2022-10-15</t>
        </is>
      </c>
      <c r="B4244" t="n">
        <v>9</v>
      </c>
      <c r="C4244" t="n">
        <v>3078</v>
      </c>
      <c r="D4244" s="6" t="n">
        <v>168.1</v>
      </c>
      <c r="E4244" s="6" t="n">
        <v>1279187.13</v>
      </c>
      <c r="F4244" s="6">
        <f>ROUND(E4244-E4243,2)</f>
        <v/>
      </c>
      <c r="G4244" s="6">
        <f>ROUND(F4244-D4244,2)</f>
        <v/>
      </c>
    </row>
    <row r="4245">
      <c r="A4245" t="inlineStr">
        <is>
          <t>2022-10-15</t>
        </is>
      </c>
      <c r="B4245" t="n">
        <v>10</v>
      </c>
      <c r="C4245" t="n">
        <v>3078</v>
      </c>
      <c r="D4245" s="6" t="n">
        <v>20.9</v>
      </c>
      <c r="E4245" s="6" t="n">
        <v>1279208.03</v>
      </c>
      <c r="F4245" s="6">
        <f>ROUND(E4245-E4244,2)</f>
        <v/>
      </c>
      <c r="G4245" s="6">
        <f>ROUND(F4245-D4245,2)</f>
        <v/>
      </c>
    </row>
    <row r="4246">
      <c r="A4246" t="inlineStr">
        <is>
          <t>2022-10-15</t>
        </is>
      </c>
      <c r="B4246" t="n">
        <v>11</v>
      </c>
      <c r="C4246" t="n">
        <v>3078</v>
      </c>
      <c r="D4246" s="6" t="n">
        <v>20.9</v>
      </c>
      <c r="E4246" s="6" t="n">
        <v>1279228.93</v>
      </c>
      <c r="F4246" s="6">
        <f>ROUND(E4246-E4245,2)</f>
        <v/>
      </c>
      <c r="G4246" s="6">
        <f>ROUND(F4246-D4246,2)</f>
        <v/>
      </c>
    </row>
    <row r="4247">
      <c r="A4247" t="inlineStr">
        <is>
          <t>2022-10-15</t>
        </is>
      </c>
      <c r="B4247" t="n">
        <v>12</v>
      </c>
      <c r="C4247" t="n">
        <v>3078</v>
      </c>
      <c r="D4247" s="6" t="n">
        <v>82.5</v>
      </c>
      <c r="E4247" s="6" t="n">
        <v>1279311.43</v>
      </c>
      <c r="F4247" s="6">
        <f>ROUND(E4247-E4246,2)</f>
        <v/>
      </c>
      <c r="G4247" s="6">
        <f>ROUND(F4247-D4247,2)</f>
        <v/>
      </c>
    </row>
    <row r="4248">
      <c r="A4248" t="inlineStr">
        <is>
          <t>2022-10-15</t>
        </is>
      </c>
      <c r="B4248" t="n">
        <v>13</v>
      </c>
      <c r="C4248" t="n">
        <v>3078</v>
      </c>
      <c r="D4248" s="6" t="n">
        <v>27.1</v>
      </c>
      <c r="E4248" s="6" t="n">
        <v>1279338.53</v>
      </c>
      <c r="F4248" s="6">
        <f>ROUND(E4248-E4247,2)</f>
        <v/>
      </c>
      <c r="G4248" s="6">
        <f>ROUND(F4248-D4248,2)</f>
        <v/>
      </c>
    </row>
    <row r="4249">
      <c r="A4249" t="inlineStr">
        <is>
          <t>2022-10-15</t>
        </is>
      </c>
      <c r="B4249" t="n">
        <v>14</v>
      </c>
      <c r="C4249" t="n">
        <v>3078</v>
      </c>
      <c r="D4249" s="6" t="n">
        <v>20.8</v>
      </c>
      <c r="E4249" s="6" t="n">
        <v>1279359.33</v>
      </c>
      <c r="F4249" s="6">
        <f>ROUND(E4249-E4248,2)</f>
        <v/>
      </c>
      <c r="G4249" s="6">
        <f>ROUND(F4249-D4249,2)</f>
        <v/>
      </c>
    </row>
    <row r="4250">
      <c r="A4250" t="inlineStr">
        <is>
          <t>2022-10-15</t>
        </is>
      </c>
      <c r="B4250" t="n">
        <v>15</v>
      </c>
      <c r="C4250" t="n">
        <v>3078</v>
      </c>
      <c r="D4250" s="6" t="n">
        <v>144.2</v>
      </c>
      <c r="E4250" s="6" t="n">
        <v>1279503.53</v>
      </c>
      <c r="F4250" s="6">
        <f>ROUND(E4250-E4249,2)</f>
        <v/>
      </c>
      <c r="G4250" s="6">
        <f>ROUND(F4250-D4250,2)</f>
        <v/>
      </c>
    </row>
    <row r="4251">
      <c r="A4251" t="inlineStr">
        <is>
          <t>2022-10-15</t>
        </is>
      </c>
      <c r="B4251" t="n">
        <v>16</v>
      </c>
      <c r="C4251" t="n">
        <v>3078</v>
      </c>
      <c r="D4251" s="6" t="n">
        <v>99</v>
      </c>
      <c r="E4251" s="6" t="n">
        <v>1279602.53</v>
      </c>
      <c r="F4251" s="6">
        <f>ROUND(E4251-E4250,2)</f>
        <v/>
      </c>
      <c r="G4251" s="6">
        <f>ROUND(F4251-D4251,2)</f>
        <v/>
      </c>
    </row>
    <row r="4252">
      <c r="A4252" t="inlineStr">
        <is>
          <t>2022-10-15</t>
        </is>
      </c>
      <c r="B4252" t="n">
        <v>17</v>
      </c>
      <c r="C4252" t="n">
        <v>3078</v>
      </c>
      <c r="D4252" s="6" t="n">
        <v>66.8</v>
      </c>
      <c r="E4252" s="6" t="n">
        <v>1279669.33</v>
      </c>
      <c r="F4252" s="6">
        <f>ROUND(E4252-E4251,2)</f>
        <v/>
      </c>
      <c r="G4252" s="6">
        <f>ROUND(F4252-D4252,2)</f>
        <v/>
      </c>
    </row>
    <row r="4253">
      <c r="A4253" t="inlineStr">
        <is>
          <t>2022-10-15</t>
        </is>
      </c>
      <c r="B4253" t="n">
        <v>18</v>
      </c>
      <c r="C4253" t="n">
        <v>3078</v>
      </c>
      <c r="D4253" s="6" t="n">
        <v>108.2</v>
      </c>
      <c r="E4253" s="6" t="n">
        <v>1279777.53</v>
      </c>
      <c r="F4253" s="6">
        <f>ROUND(E4253-E4252,2)</f>
        <v/>
      </c>
      <c r="G4253" s="6">
        <f>ROUND(F4253-D4253,2)</f>
        <v/>
      </c>
    </row>
    <row r="4254">
      <c r="A4254" t="inlineStr">
        <is>
          <t>2022-10-15</t>
        </is>
      </c>
      <c r="B4254" t="n">
        <v>19</v>
      </c>
      <c r="C4254" t="n">
        <v>3078</v>
      </c>
      <c r="D4254" s="6" t="n">
        <v>82</v>
      </c>
      <c r="E4254" s="6" t="n">
        <v>1279859.53</v>
      </c>
      <c r="F4254" s="6">
        <f>ROUND(E4254-E4253,2)</f>
        <v/>
      </c>
      <c r="G4254" s="6">
        <f>ROUND(F4254-D4254,2)</f>
        <v/>
      </c>
    </row>
    <row r="4255">
      <c r="A4255" t="inlineStr">
        <is>
          <t>2022-10-15</t>
        </is>
      </c>
      <c r="B4255" t="n">
        <v>20</v>
      </c>
      <c r="C4255" t="n">
        <v>3078</v>
      </c>
      <c r="D4255" s="6" t="n">
        <v>60.1</v>
      </c>
      <c r="E4255" s="6" t="n">
        <v>1279919.63</v>
      </c>
      <c r="F4255" s="6">
        <f>ROUND(E4255-E4254,2)</f>
        <v/>
      </c>
      <c r="G4255" s="6">
        <f>ROUND(F4255-D4255,2)</f>
        <v/>
      </c>
    </row>
    <row r="4256">
      <c r="A4256" t="inlineStr">
        <is>
          <t>2022-10-15</t>
        </is>
      </c>
      <c r="B4256" t="n">
        <v>21</v>
      </c>
      <c r="C4256" t="n">
        <v>3078</v>
      </c>
      <c r="D4256" s="6" t="n">
        <v>21.6</v>
      </c>
      <c r="E4256" s="6" t="n">
        <v>1279941.23</v>
      </c>
      <c r="F4256" s="6">
        <f>ROUND(E4256-E4255,2)</f>
        <v/>
      </c>
      <c r="G4256" s="6">
        <f>ROUND(F4256-D4256,2)</f>
        <v/>
      </c>
    </row>
    <row r="4257">
      <c r="A4257" t="inlineStr">
        <is>
          <t>2022-10-15</t>
        </is>
      </c>
      <c r="B4257" t="n">
        <v>22</v>
      </c>
      <c r="C4257" t="n">
        <v>3078</v>
      </c>
      <c r="D4257" s="6" t="n">
        <v>33.95</v>
      </c>
      <c r="E4257" s="6" t="n">
        <v>1279975.18</v>
      </c>
      <c r="F4257" s="6">
        <f>ROUND(E4257-E4256,2)</f>
        <v/>
      </c>
      <c r="G4257" s="6">
        <f>ROUND(F4257-D4257,2)</f>
        <v/>
      </c>
    </row>
    <row r="4258">
      <c r="A4258" t="inlineStr">
        <is>
          <t>2022-10-15</t>
        </is>
      </c>
      <c r="B4258" t="n">
        <v>23</v>
      </c>
      <c r="C4258" t="n">
        <v>3078</v>
      </c>
      <c r="D4258" s="6" t="n">
        <v>33.95</v>
      </c>
      <c r="E4258" s="6" t="n">
        <v>1280009.13</v>
      </c>
      <c r="F4258" s="6">
        <f>ROUND(E4258-E4257,2)</f>
        <v/>
      </c>
      <c r="G4258" s="6">
        <f>ROUND(F4258-D4258,2)</f>
        <v/>
      </c>
    </row>
    <row r="4259">
      <c r="A4259" t="inlineStr">
        <is>
          <t>2022-10-15</t>
        </is>
      </c>
      <c r="B4259" t="n">
        <v>24</v>
      </c>
      <c r="C4259" t="n">
        <v>3078</v>
      </c>
      <c r="D4259" s="6" t="n">
        <v>47.5</v>
      </c>
      <c r="E4259" s="6" t="n">
        <v>1280056.63</v>
      </c>
      <c r="F4259" s="6">
        <f>ROUND(E4259-E4258,2)</f>
        <v/>
      </c>
      <c r="G4259" s="6">
        <f>ROUND(F4259-D4259,2)</f>
        <v/>
      </c>
    </row>
    <row r="4260">
      <c r="A4260" t="inlineStr">
        <is>
          <t>2022-10-15</t>
        </is>
      </c>
      <c r="B4260" t="n">
        <v>25</v>
      </c>
      <c r="C4260" t="n">
        <v>3078</v>
      </c>
      <c r="D4260" s="6" t="n">
        <v>83.5</v>
      </c>
      <c r="E4260" s="6" t="n">
        <v>1280140.13</v>
      </c>
      <c r="F4260" s="6">
        <f>ROUND(E4260-E4259,2)</f>
        <v/>
      </c>
      <c r="G4260" s="6">
        <f>ROUND(F4260-D4260,2)</f>
        <v/>
      </c>
    </row>
    <row r="4261">
      <c r="A4261" t="inlineStr">
        <is>
          <t>2022-10-15</t>
        </is>
      </c>
      <c r="B4261" t="n">
        <v>26</v>
      </c>
      <c r="C4261" t="n">
        <v>3078</v>
      </c>
      <c r="D4261" s="6" t="n">
        <v>189.8</v>
      </c>
      <c r="E4261" s="6" t="n">
        <v>1280329.93</v>
      </c>
      <c r="F4261" s="6">
        <f>ROUND(E4261-E4260,2)</f>
        <v/>
      </c>
      <c r="G4261" s="6">
        <f>ROUND(F4261-D4261,2)</f>
        <v/>
      </c>
    </row>
    <row r="4262">
      <c r="A4262" t="inlineStr">
        <is>
          <t>2022-10-15</t>
        </is>
      </c>
      <c r="B4262" t="n">
        <v>27</v>
      </c>
      <c r="C4262" t="n">
        <v>3078</v>
      </c>
      <c r="D4262" s="6" t="n">
        <v>60.4</v>
      </c>
      <c r="E4262" s="6" t="n">
        <v>1280390.33</v>
      </c>
      <c r="F4262" s="6">
        <f>ROUND(E4262-E4261,2)</f>
        <v/>
      </c>
      <c r="G4262" s="6">
        <f>ROUND(F4262-D4262,2)</f>
        <v/>
      </c>
    </row>
    <row r="4263">
      <c r="A4263" t="inlineStr">
        <is>
          <t>2022-10-15</t>
        </is>
      </c>
      <c r="B4263" t="n">
        <v>28</v>
      </c>
      <c r="C4263" t="n">
        <v>3078</v>
      </c>
      <c r="D4263" s="6" t="n">
        <v>72.8</v>
      </c>
      <c r="E4263" s="6" t="n">
        <v>1280463.13</v>
      </c>
      <c r="F4263" s="6">
        <f>ROUND(E4263-E4262,2)</f>
        <v/>
      </c>
      <c r="G4263" s="6">
        <f>ROUND(F4263-D4263,2)</f>
        <v/>
      </c>
    </row>
    <row r="4264">
      <c r="A4264" t="inlineStr">
        <is>
          <t>2022-10-15</t>
        </is>
      </c>
      <c r="B4264" t="n">
        <v>29</v>
      </c>
      <c r="C4264" t="n">
        <v>3078</v>
      </c>
      <c r="D4264" s="6" t="n">
        <v>172</v>
      </c>
      <c r="E4264" s="6" t="n">
        <v>1280635.13</v>
      </c>
      <c r="F4264" s="6">
        <f>ROUND(E4264-E4263,2)</f>
        <v/>
      </c>
      <c r="G4264" s="6">
        <f>ROUND(F4264-D4264,2)</f>
        <v/>
      </c>
    </row>
    <row r="4265">
      <c r="A4265" t="inlineStr">
        <is>
          <t>2022-10-16</t>
        </is>
      </c>
      <c r="B4265" t="n">
        <v>1</v>
      </c>
      <c r="C4265" t="n">
        <v>3079</v>
      </c>
      <c r="D4265" s="6" t="n">
        <v>118.7</v>
      </c>
      <c r="E4265" s="6" t="n">
        <v>1280753.83</v>
      </c>
      <c r="F4265" s="6">
        <f>ROUND(E4265-E4264,2)</f>
        <v/>
      </c>
      <c r="G4265" s="6">
        <f>ROUND(F4265-D4265,2)</f>
        <v/>
      </c>
    </row>
    <row r="4266">
      <c r="A4266" t="inlineStr">
        <is>
          <t>2022-10-16</t>
        </is>
      </c>
      <c r="B4266" t="n">
        <v>2</v>
      </c>
      <c r="C4266" t="n">
        <v>3079</v>
      </c>
      <c r="D4266" s="6" t="n">
        <v>68.8</v>
      </c>
      <c r="E4266" s="6" t="n">
        <v>1280822.63</v>
      </c>
      <c r="F4266" s="6">
        <f>ROUND(E4266-E4265,2)</f>
        <v/>
      </c>
      <c r="G4266" s="6">
        <f>ROUND(F4266-D4266,2)</f>
        <v/>
      </c>
    </row>
    <row r="4267">
      <c r="A4267" t="inlineStr">
        <is>
          <t>2022-10-16</t>
        </is>
      </c>
      <c r="B4267" t="n">
        <v>3</v>
      </c>
      <c r="C4267" t="n">
        <v>3079</v>
      </c>
      <c r="D4267" s="6" t="n">
        <v>26.35</v>
      </c>
      <c r="E4267" s="6" t="n">
        <v>1280848.98</v>
      </c>
      <c r="F4267" s="6">
        <f>ROUND(E4267-E4266,2)</f>
        <v/>
      </c>
      <c r="G4267" s="6">
        <f>ROUND(F4267-D4267,2)</f>
        <v/>
      </c>
    </row>
    <row r="4268">
      <c r="A4268" t="inlineStr">
        <is>
          <t>2022-10-16</t>
        </is>
      </c>
      <c r="B4268" t="n">
        <v>4</v>
      </c>
      <c r="C4268" t="n">
        <v>3079</v>
      </c>
      <c r="D4268" s="6" t="n">
        <v>26.35</v>
      </c>
      <c r="E4268" s="6" t="n">
        <v>1280875.33</v>
      </c>
      <c r="F4268" s="6">
        <f>ROUND(E4268-E4267,2)</f>
        <v/>
      </c>
      <c r="G4268" s="6">
        <f>ROUND(F4268-D4268,2)</f>
        <v/>
      </c>
    </row>
    <row r="4269">
      <c r="A4269" t="inlineStr">
        <is>
          <t>2022-10-16</t>
        </is>
      </c>
      <c r="B4269" t="n">
        <v>5</v>
      </c>
      <c r="C4269" t="n">
        <v>3079</v>
      </c>
      <c r="D4269" s="6" t="n">
        <v>44.1</v>
      </c>
      <c r="E4269" s="6" t="n">
        <v>1280919.43</v>
      </c>
      <c r="F4269" s="6">
        <f>ROUND(E4269-E4268,2)</f>
        <v/>
      </c>
      <c r="G4269" s="6">
        <f>ROUND(F4269-D4269,2)</f>
        <v/>
      </c>
    </row>
    <row r="4270">
      <c r="A4270" t="inlineStr">
        <is>
          <t>2022-10-16</t>
        </is>
      </c>
      <c r="B4270" t="n">
        <v>6</v>
      </c>
      <c r="C4270" t="n">
        <v>3079</v>
      </c>
      <c r="D4270" s="6" t="n">
        <v>87</v>
      </c>
      <c r="E4270" s="6" t="n">
        <v>1281006.43</v>
      </c>
      <c r="F4270" s="6">
        <f>ROUND(E4270-E4269,2)</f>
        <v/>
      </c>
      <c r="G4270" s="6">
        <f>ROUND(F4270-D4270,2)</f>
        <v/>
      </c>
    </row>
    <row r="4271">
      <c r="A4271" t="inlineStr">
        <is>
          <t>2022-10-16</t>
        </is>
      </c>
      <c r="B4271" t="n">
        <v>7</v>
      </c>
      <c r="C4271" t="n">
        <v>3079</v>
      </c>
      <c r="D4271" s="6" t="n">
        <v>146.9</v>
      </c>
      <c r="E4271" s="6" t="n">
        <v>1281153.33</v>
      </c>
      <c r="F4271" s="6">
        <f>ROUND(E4271-E4270,2)</f>
        <v/>
      </c>
      <c r="G4271" s="6">
        <f>ROUND(F4271-D4271,2)</f>
        <v/>
      </c>
    </row>
    <row r="4272">
      <c r="A4272" t="inlineStr">
        <is>
          <t>2022-10-16</t>
        </is>
      </c>
      <c r="B4272" t="n">
        <v>8</v>
      </c>
      <c r="C4272" t="n">
        <v>3079</v>
      </c>
      <c r="D4272" s="6" t="n">
        <v>87.2</v>
      </c>
      <c r="E4272" s="6" t="n">
        <v>1281240.53</v>
      </c>
      <c r="F4272" s="6">
        <f>ROUND(E4272-E4271,2)</f>
        <v/>
      </c>
      <c r="G4272" s="6">
        <f>ROUND(F4272-D4272,2)</f>
        <v/>
      </c>
    </row>
    <row r="4273">
      <c r="A4273" t="inlineStr">
        <is>
          <t>2022-10-16</t>
        </is>
      </c>
      <c r="B4273" t="n">
        <v>9</v>
      </c>
      <c r="C4273" t="n">
        <v>3079</v>
      </c>
      <c r="D4273" s="6" t="n">
        <v>104.9</v>
      </c>
      <c r="E4273" s="6" t="n">
        <v>1281345.43</v>
      </c>
      <c r="F4273" s="6">
        <f>ROUND(E4273-E4272,2)</f>
        <v/>
      </c>
      <c r="G4273" s="6">
        <f>ROUND(F4273-D4273,2)</f>
        <v/>
      </c>
    </row>
    <row r="4274">
      <c r="A4274" t="inlineStr">
        <is>
          <t>2022-10-16</t>
        </is>
      </c>
      <c r="B4274" t="n">
        <v>10</v>
      </c>
      <c r="C4274" t="n">
        <v>3079</v>
      </c>
      <c r="D4274" s="6" t="n">
        <v>61.9</v>
      </c>
      <c r="E4274" s="6" t="n">
        <v>1281407.33</v>
      </c>
      <c r="F4274" s="6">
        <f>ROUND(E4274-E4273,2)</f>
        <v/>
      </c>
      <c r="G4274" s="6">
        <f>ROUND(F4274-D4274,2)</f>
        <v/>
      </c>
    </row>
    <row r="4275">
      <c r="A4275" t="inlineStr">
        <is>
          <t>2022-10-16</t>
        </is>
      </c>
      <c r="B4275" t="n">
        <v>11</v>
      </c>
      <c r="C4275" t="n">
        <v>3079</v>
      </c>
      <c r="D4275" s="6" t="n">
        <v>77.09999999999999</v>
      </c>
      <c r="E4275" s="6" t="n">
        <v>1281484.43</v>
      </c>
      <c r="F4275" s="6">
        <f>ROUND(E4275-E4274,2)</f>
        <v/>
      </c>
      <c r="G4275" s="6">
        <f>ROUND(F4275-D4275,2)</f>
        <v/>
      </c>
    </row>
    <row r="4276">
      <c r="A4276" t="inlineStr">
        <is>
          <t>2022-10-16</t>
        </is>
      </c>
      <c r="B4276" t="n">
        <v>12</v>
      </c>
      <c r="C4276" t="n">
        <v>3079</v>
      </c>
      <c r="D4276" s="6" t="n">
        <v>87.59999999999999</v>
      </c>
      <c r="E4276" s="6" t="n">
        <v>1281572.03</v>
      </c>
      <c r="F4276" s="6">
        <f>ROUND(E4276-E4275,2)</f>
        <v/>
      </c>
      <c r="G4276" s="6">
        <f>ROUND(F4276-D4276,2)</f>
        <v/>
      </c>
    </row>
    <row r="4277">
      <c r="A4277" t="inlineStr">
        <is>
          <t>2022-10-19</t>
        </is>
      </c>
      <c r="B4277" t="n">
        <v>1</v>
      </c>
      <c r="C4277" t="n">
        <v>3080</v>
      </c>
      <c r="D4277" s="6" t="n">
        <v>79.5</v>
      </c>
      <c r="E4277" s="6" t="n">
        <v>1281651.53</v>
      </c>
      <c r="F4277" s="6">
        <f>ROUND(E4277-E4276,2)</f>
        <v/>
      </c>
      <c r="G4277" s="6">
        <f>ROUND(F4277-D4277,2)</f>
        <v/>
      </c>
    </row>
    <row r="4278">
      <c r="A4278" t="inlineStr">
        <is>
          <t>2022-10-19</t>
        </is>
      </c>
      <c r="B4278" t="n">
        <v>2</v>
      </c>
      <c r="C4278" t="n">
        <v>3080</v>
      </c>
      <c r="D4278" s="6" t="n">
        <v>68</v>
      </c>
      <c r="E4278" s="6" t="n">
        <v>1281719.53</v>
      </c>
      <c r="F4278" s="6">
        <f>ROUND(E4278-E4277,2)</f>
        <v/>
      </c>
      <c r="G4278" s="6">
        <f>ROUND(F4278-D4278,2)</f>
        <v/>
      </c>
    </row>
    <row r="4279">
      <c r="A4279" t="inlineStr">
        <is>
          <t>2022-10-19</t>
        </is>
      </c>
      <c r="B4279" t="n">
        <v>3</v>
      </c>
      <c r="C4279" t="n">
        <v>3080</v>
      </c>
      <c r="D4279" s="6" t="n">
        <v>55.3</v>
      </c>
      <c r="E4279" s="6" t="n">
        <v>1281774.83</v>
      </c>
      <c r="F4279" s="6">
        <f>ROUND(E4279-E4278,2)</f>
        <v/>
      </c>
      <c r="G4279" s="6">
        <f>ROUND(F4279-D4279,2)</f>
        <v/>
      </c>
    </row>
    <row r="4280">
      <c r="A4280" t="inlineStr">
        <is>
          <t>2022-10-19</t>
        </is>
      </c>
      <c r="B4280" t="n">
        <v>4</v>
      </c>
      <c r="C4280" t="n">
        <v>3080</v>
      </c>
      <c r="D4280" s="6" t="n">
        <v>156.1</v>
      </c>
      <c r="E4280" s="6" t="n">
        <v>1281930.93</v>
      </c>
      <c r="F4280" s="6">
        <f>ROUND(E4280-E4279,2)</f>
        <v/>
      </c>
      <c r="G4280" s="6">
        <f>ROUND(F4280-D4280,2)</f>
        <v/>
      </c>
    </row>
    <row r="4281">
      <c r="A4281" t="inlineStr">
        <is>
          <t>2022-10-19</t>
        </is>
      </c>
      <c r="B4281" t="n">
        <v>5</v>
      </c>
      <c r="C4281" t="n">
        <v>3080</v>
      </c>
      <c r="D4281" s="6" t="n">
        <v>48.1</v>
      </c>
      <c r="E4281" s="6" t="n">
        <v>1281979.03</v>
      </c>
      <c r="F4281" s="6">
        <f>ROUND(E4281-E4280,2)</f>
        <v/>
      </c>
      <c r="G4281" s="6">
        <f>ROUND(F4281-D4281,2)</f>
        <v/>
      </c>
    </row>
    <row r="4282">
      <c r="A4282" t="inlineStr">
        <is>
          <t>2022-10-20</t>
        </is>
      </c>
      <c r="B4282" t="n">
        <v>1</v>
      </c>
      <c r="C4282" t="n">
        <v>3081</v>
      </c>
      <c r="D4282" s="6" t="n">
        <v>45.1</v>
      </c>
      <c r="E4282" s="6" t="n">
        <v>1282024.13</v>
      </c>
      <c r="F4282" s="6">
        <f>ROUND(E4282-E4281,2)</f>
        <v/>
      </c>
      <c r="G4282" s="6">
        <f>ROUND(F4282-D4282,2)</f>
        <v/>
      </c>
    </row>
    <row r="4283">
      <c r="A4283" t="inlineStr">
        <is>
          <t>2022-10-20</t>
        </is>
      </c>
      <c r="B4283" t="n">
        <v>2</v>
      </c>
      <c r="C4283" t="n">
        <v>3081</v>
      </c>
      <c r="D4283" s="6" t="n">
        <v>52.7</v>
      </c>
      <c r="E4283" s="6" t="n">
        <v>1282076.83</v>
      </c>
      <c r="F4283" s="6">
        <f>ROUND(E4283-E4282,2)</f>
        <v/>
      </c>
      <c r="G4283" s="6">
        <f>ROUND(F4283-D4283,2)</f>
        <v/>
      </c>
    </row>
    <row r="4284">
      <c r="A4284" t="inlineStr">
        <is>
          <t>2022-10-20</t>
        </is>
      </c>
      <c r="B4284" t="n">
        <v>3</v>
      </c>
      <c r="C4284" t="n">
        <v>3081</v>
      </c>
      <c r="D4284" s="6" t="n">
        <v>56.5</v>
      </c>
      <c r="E4284" s="6" t="n">
        <v>1282133.33</v>
      </c>
      <c r="F4284" s="6">
        <f>ROUND(E4284-E4283,2)</f>
        <v/>
      </c>
      <c r="G4284" s="6">
        <f>ROUND(F4284-D4284,2)</f>
        <v/>
      </c>
    </row>
    <row r="4285">
      <c r="A4285" t="inlineStr">
        <is>
          <t>2022-10-20</t>
        </is>
      </c>
      <c r="B4285" t="n">
        <v>4</v>
      </c>
      <c r="C4285" t="n">
        <v>3081</v>
      </c>
      <c r="D4285" s="6" t="n">
        <v>49.3</v>
      </c>
      <c r="E4285" s="6" t="n">
        <v>1282182.63</v>
      </c>
      <c r="F4285" s="6">
        <f>ROUND(E4285-E4284,2)</f>
        <v/>
      </c>
      <c r="G4285" s="6">
        <f>ROUND(F4285-D4285,2)</f>
        <v/>
      </c>
    </row>
    <row r="4286">
      <c r="A4286" t="inlineStr">
        <is>
          <t>2022-10-20</t>
        </is>
      </c>
      <c r="B4286" t="n">
        <v>5</v>
      </c>
      <c r="C4286" t="n">
        <v>3081</v>
      </c>
      <c r="D4286" s="6" t="n">
        <v>38.9</v>
      </c>
      <c r="E4286" s="6" t="n">
        <v>1282221.53</v>
      </c>
      <c r="F4286" s="6">
        <f>ROUND(E4286-E4285,2)</f>
        <v/>
      </c>
      <c r="G4286" s="6">
        <f>ROUND(F4286-D4286,2)</f>
        <v/>
      </c>
    </row>
    <row r="4287">
      <c r="A4287" t="inlineStr">
        <is>
          <t>2022-10-20</t>
        </is>
      </c>
      <c r="B4287" t="n">
        <v>6</v>
      </c>
      <c r="C4287" t="n">
        <v>3081</v>
      </c>
      <c r="D4287" s="6" t="n">
        <v>68.59999999999999</v>
      </c>
      <c r="E4287" s="6" t="n">
        <v>1282290.13</v>
      </c>
      <c r="F4287" s="6">
        <f>ROUND(E4287-E4286,2)</f>
        <v/>
      </c>
      <c r="G4287" s="6">
        <f>ROUND(F4287-D4287,2)</f>
        <v/>
      </c>
    </row>
    <row r="4288">
      <c r="A4288" t="inlineStr">
        <is>
          <t>2022-10-20</t>
        </is>
      </c>
      <c r="B4288" t="n">
        <v>7</v>
      </c>
      <c r="C4288" t="n">
        <v>3081</v>
      </c>
      <c r="D4288" s="6" t="n">
        <v>153.5</v>
      </c>
      <c r="E4288" s="6" t="n">
        <v>1282443.63</v>
      </c>
      <c r="F4288" s="6">
        <f>ROUND(E4288-E4287,2)</f>
        <v/>
      </c>
      <c r="G4288" s="6">
        <f>ROUND(F4288-D4288,2)</f>
        <v/>
      </c>
    </row>
    <row r="4289">
      <c r="A4289" t="inlineStr">
        <is>
          <t>2022-10-20</t>
        </is>
      </c>
      <c r="B4289" t="n">
        <v>8</v>
      </c>
      <c r="C4289" t="n">
        <v>3081</v>
      </c>
      <c r="D4289" s="6" t="n">
        <v>22.2</v>
      </c>
      <c r="E4289" s="6" t="n">
        <v>1282465.83</v>
      </c>
      <c r="F4289" s="6">
        <f>ROUND(E4289-E4288,2)</f>
        <v/>
      </c>
      <c r="G4289" s="6">
        <f>ROUND(F4289-D4289,2)</f>
        <v/>
      </c>
    </row>
    <row r="4290">
      <c r="A4290" t="inlineStr">
        <is>
          <t>2022-10-20</t>
        </is>
      </c>
      <c r="B4290" t="n">
        <v>9</v>
      </c>
      <c r="C4290" t="n">
        <v>3081</v>
      </c>
      <c r="D4290" s="6" t="n">
        <v>23.8</v>
      </c>
      <c r="E4290" s="6" t="n">
        <v>1282489.63</v>
      </c>
      <c r="F4290" s="6">
        <f>ROUND(E4290-E4289,2)</f>
        <v/>
      </c>
      <c r="G4290" s="6">
        <f>ROUND(F4290-D4290,2)</f>
        <v/>
      </c>
    </row>
    <row r="4291">
      <c r="A4291" t="inlineStr">
        <is>
          <t>2022-10-20</t>
        </is>
      </c>
      <c r="B4291" t="n">
        <v>10</v>
      </c>
      <c r="C4291" t="n">
        <v>3081</v>
      </c>
      <c r="D4291" s="6" t="n">
        <v>30.5</v>
      </c>
      <c r="E4291" s="6" t="n">
        <v>1282520.13</v>
      </c>
      <c r="F4291" s="6">
        <f>ROUND(E4291-E4290,2)</f>
        <v/>
      </c>
      <c r="G4291" s="6">
        <f>ROUND(F4291-D4291,2)</f>
        <v/>
      </c>
    </row>
    <row r="4292">
      <c r="A4292" t="inlineStr">
        <is>
          <t>2022-10-20</t>
        </is>
      </c>
      <c r="B4292" t="n">
        <v>11</v>
      </c>
      <c r="C4292" t="n">
        <v>3081</v>
      </c>
      <c r="D4292" s="6" t="n">
        <v>78.3</v>
      </c>
      <c r="E4292" s="6" t="n">
        <v>1282598.43</v>
      </c>
      <c r="F4292" s="6">
        <f>ROUND(E4292-E4291,2)</f>
        <v/>
      </c>
      <c r="G4292" s="6">
        <f>ROUND(F4292-D4292,2)</f>
        <v/>
      </c>
    </row>
    <row r="4293">
      <c r="A4293" t="inlineStr">
        <is>
          <t>2022-10-20</t>
        </is>
      </c>
      <c r="B4293" t="n">
        <v>12</v>
      </c>
      <c r="C4293" t="n">
        <v>3081</v>
      </c>
      <c r="D4293" s="6" t="n">
        <v>164</v>
      </c>
      <c r="E4293" s="6" t="n">
        <v>1282762.43</v>
      </c>
      <c r="F4293" s="6">
        <f>ROUND(E4293-E4292,2)</f>
        <v/>
      </c>
      <c r="G4293" s="6">
        <f>ROUND(F4293-D4293,2)</f>
        <v/>
      </c>
    </row>
    <row r="4294">
      <c r="A4294" t="inlineStr">
        <is>
          <t>2022-10-20</t>
        </is>
      </c>
      <c r="B4294" t="n">
        <v>13</v>
      </c>
      <c r="C4294" t="n">
        <v>3081</v>
      </c>
      <c r="D4294" s="6" t="n">
        <v>72.5</v>
      </c>
      <c r="E4294" s="6" t="n">
        <v>1282834.93</v>
      </c>
      <c r="F4294" s="6">
        <f>ROUND(E4294-E4293,2)</f>
        <v/>
      </c>
      <c r="G4294" s="6">
        <f>ROUND(F4294-D4294,2)</f>
        <v/>
      </c>
    </row>
    <row r="4295">
      <c r="A4295" t="inlineStr">
        <is>
          <t>2022-10-21</t>
        </is>
      </c>
      <c r="B4295" t="n">
        <v>1</v>
      </c>
      <c r="C4295" t="n">
        <v>3082</v>
      </c>
      <c r="D4295" s="6" t="n">
        <v>31.6</v>
      </c>
      <c r="E4295" s="6" t="n">
        <v>1282866.53</v>
      </c>
      <c r="F4295" s="6">
        <f>ROUND(E4295-E4294,2)</f>
        <v/>
      </c>
      <c r="G4295" s="6">
        <f>ROUND(F4295-D4295,2)</f>
        <v/>
      </c>
    </row>
    <row r="4296">
      <c r="A4296" t="inlineStr">
        <is>
          <t>2022-10-21</t>
        </is>
      </c>
      <c r="B4296" t="n">
        <v>2</v>
      </c>
      <c r="C4296" t="n">
        <v>3082</v>
      </c>
      <c r="D4296" s="6" t="n">
        <v>31.6</v>
      </c>
      <c r="E4296" s="6" t="n">
        <v>1282898.13</v>
      </c>
      <c r="F4296" s="6">
        <f>ROUND(E4296-E4295,2)</f>
        <v/>
      </c>
      <c r="G4296" s="6">
        <f>ROUND(F4296-D4296,2)</f>
        <v/>
      </c>
    </row>
    <row r="4297">
      <c r="A4297" t="inlineStr">
        <is>
          <t>2022-10-21</t>
        </is>
      </c>
      <c r="B4297" t="n">
        <v>3</v>
      </c>
      <c r="C4297" t="n">
        <v>3082</v>
      </c>
      <c r="D4297" s="6" t="n">
        <v>50.5</v>
      </c>
      <c r="E4297" s="6" t="n">
        <v>1282948.63</v>
      </c>
      <c r="F4297" s="6">
        <f>ROUND(E4297-E4296,2)</f>
        <v/>
      </c>
      <c r="G4297" s="6">
        <f>ROUND(F4297-D4297,2)</f>
        <v/>
      </c>
    </row>
    <row r="4298">
      <c r="A4298" t="inlineStr">
        <is>
          <t>2022-10-21</t>
        </is>
      </c>
      <c r="B4298" t="n">
        <v>4</v>
      </c>
      <c r="C4298" t="n">
        <v>3082</v>
      </c>
      <c r="D4298" s="6" t="n">
        <v>94</v>
      </c>
      <c r="E4298" s="6" t="n">
        <v>1283042.63</v>
      </c>
      <c r="F4298" s="6">
        <f>ROUND(E4298-E4297,2)</f>
        <v/>
      </c>
      <c r="G4298" s="6">
        <f>ROUND(F4298-D4298,2)</f>
        <v/>
      </c>
    </row>
    <row r="4299">
      <c r="A4299" t="inlineStr">
        <is>
          <t>2022-10-21</t>
        </is>
      </c>
      <c r="B4299" t="n">
        <v>5</v>
      </c>
      <c r="C4299" t="n">
        <v>3082</v>
      </c>
      <c r="D4299" s="6" t="n">
        <v>19</v>
      </c>
      <c r="E4299" s="6" t="n">
        <v>1283061.63</v>
      </c>
      <c r="F4299" s="6">
        <f>ROUND(E4299-E4298,2)</f>
        <v/>
      </c>
      <c r="G4299" s="6">
        <f>ROUND(F4299-D4299,2)</f>
        <v/>
      </c>
    </row>
    <row r="4300">
      <c r="A4300" t="inlineStr">
        <is>
          <t>2022-10-21</t>
        </is>
      </c>
      <c r="B4300" t="n">
        <v>6</v>
      </c>
      <c r="C4300" t="n">
        <v>3082</v>
      </c>
      <c r="D4300" s="6" t="n">
        <v>66.5</v>
      </c>
      <c r="E4300" s="6" t="n">
        <v>1283128.13</v>
      </c>
      <c r="F4300" s="6">
        <f>ROUND(E4300-E4299,2)</f>
        <v/>
      </c>
      <c r="G4300" s="6">
        <f>ROUND(F4300-D4300,2)</f>
        <v/>
      </c>
    </row>
    <row r="4301">
      <c r="A4301" t="inlineStr">
        <is>
          <t>2022-10-21</t>
        </is>
      </c>
      <c r="B4301" t="n">
        <v>7</v>
      </c>
      <c r="C4301" t="n">
        <v>3082</v>
      </c>
      <c r="D4301" s="6" t="n">
        <v>69.09999999999999</v>
      </c>
      <c r="E4301" s="6" t="n">
        <v>1283197.23</v>
      </c>
      <c r="F4301" s="6">
        <f>ROUND(E4301-E4300,2)</f>
        <v/>
      </c>
      <c r="G4301" s="6">
        <f>ROUND(F4301-D4301,2)</f>
        <v/>
      </c>
    </row>
    <row r="4302">
      <c r="A4302" t="inlineStr">
        <is>
          <t>2022-10-21</t>
        </is>
      </c>
      <c r="B4302" t="n">
        <v>8</v>
      </c>
      <c r="C4302" t="n">
        <v>3082</v>
      </c>
      <c r="D4302" s="6" t="n">
        <v>117.1</v>
      </c>
      <c r="E4302" s="6" t="n">
        <v>1283314.33</v>
      </c>
      <c r="F4302" s="6">
        <f>ROUND(E4302-E4301,2)</f>
        <v/>
      </c>
      <c r="G4302" s="6">
        <f>ROUND(F4302-D4302,2)</f>
        <v/>
      </c>
    </row>
    <row r="4303">
      <c r="A4303" t="inlineStr">
        <is>
          <t>2022-10-21</t>
        </is>
      </c>
      <c r="B4303" t="n">
        <v>9</v>
      </c>
      <c r="C4303" t="n">
        <v>3082</v>
      </c>
      <c r="D4303" s="6" t="n">
        <v>93.59999999999999</v>
      </c>
      <c r="E4303" s="6" t="n">
        <v>1283407.93</v>
      </c>
      <c r="F4303" s="6">
        <f>ROUND(E4303-E4302,2)</f>
        <v/>
      </c>
      <c r="G4303" s="6">
        <f>ROUND(F4303-D4303,2)</f>
        <v/>
      </c>
    </row>
    <row r="4304">
      <c r="A4304" t="inlineStr">
        <is>
          <t>2022-10-21</t>
        </is>
      </c>
      <c r="B4304" t="n">
        <v>10</v>
      </c>
      <c r="C4304" t="n">
        <v>3082</v>
      </c>
      <c r="D4304" s="6" t="n">
        <v>31.7</v>
      </c>
      <c r="E4304" s="6" t="n">
        <v>1283439.63</v>
      </c>
      <c r="F4304" s="6">
        <f>ROUND(E4304-E4303,2)</f>
        <v/>
      </c>
      <c r="G4304" s="6">
        <f>ROUND(F4304-D4304,2)</f>
        <v/>
      </c>
    </row>
    <row r="4305">
      <c r="A4305" t="inlineStr">
        <is>
          <t>2022-10-21</t>
        </is>
      </c>
      <c r="B4305" t="n">
        <v>11</v>
      </c>
      <c r="C4305" t="n">
        <v>3082</v>
      </c>
      <c r="D4305" s="6" t="n">
        <v>68.7</v>
      </c>
      <c r="E4305" s="6" t="n">
        <v>1283508.33</v>
      </c>
      <c r="F4305" s="6">
        <f>ROUND(E4305-E4304,2)</f>
        <v/>
      </c>
      <c r="G4305" s="6">
        <f>ROUND(F4305-D4305,2)</f>
        <v/>
      </c>
    </row>
    <row r="4306">
      <c r="A4306" t="inlineStr">
        <is>
          <t>2022-10-21</t>
        </is>
      </c>
      <c r="B4306" t="n">
        <v>12</v>
      </c>
      <c r="C4306" t="n">
        <v>3082</v>
      </c>
      <c r="D4306" s="6" t="n">
        <v>105.6</v>
      </c>
      <c r="E4306" s="6" t="n">
        <v>1283613.93</v>
      </c>
      <c r="F4306" s="6">
        <f>ROUND(E4306-E4305,2)</f>
        <v/>
      </c>
      <c r="G4306" s="6">
        <f>ROUND(F4306-D4306,2)</f>
        <v/>
      </c>
    </row>
    <row r="4307">
      <c r="A4307" t="inlineStr">
        <is>
          <t>2022-10-21</t>
        </is>
      </c>
      <c r="B4307" t="n">
        <v>13</v>
      </c>
      <c r="C4307" t="n">
        <v>3082</v>
      </c>
      <c r="D4307" s="6" t="n">
        <v>43.5</v>
      </c>
      <c r="E4307" s="6" t="n">
        <v>1283657.43</v>
      </c>
      <c r="F4307" s="6">
        <f>ROUND(E4307-E4306,2)</f>
        <v/>
      </c>
      <c r="G4307" s="6">
        <f>ROUND(F4307-D4307,2)</f>
        <v/>
      </c>
    </row>
    <row r="4308">
      <c r="A4308" t="inlineStr">
        <is>
          <t>2022-10-21</t>
        </is>
      </c>
      <c r="B4308" t="n">
        <v>14</v>
      </c>
      <c r="C4308" t="n">
        <v>3082</v>
      </c>
      <c r="D4308" s="6" t="n">
        <v>67.09999999999999</v>
      </c>
      <c r="E4308" s="6" t="n">
        <v>1283724.53</v>
      </c>
      <c r="F4308" s="6">
        <f>ROUND(E4308-E4307,2)</f>
        <v/>
      </c>
      <c r="G4308" s="6">
        <f>ROUND(F4308-D4308,2)</f>
        <v/>
      </c>
    </row>
    <row r="4309">
      <c r="A4309" t="inlineStr">
        <is>
          <t>2022-10-21</t>
        </is>
      </c>
      <c r="B4309" t="n">
        <v>15</v>
      </c>
      <c r="C4309" t="n">
        <v>3082</v>
      </c>
      <c r="D4309" s="6" t="n">
        <v>39.2</v>
      </c>
      <c r="E4309" s="6" t="n">
        <v>1283763.73</v>
      </c>
      <c r="F4309" s="6">
        <f>ROUND(E4309-E4308,2)</f>
        <v/>
      </c>
      <c r="G4309" s="6">
        <f>ROUND(F4309-D4309,2)</f>
        <v/>
      </c>
    </row>
    <row r="4310">
      <c r="A4310" t="inlineStr">
        <is>
          <t>2022-10-21</t>
        </is>
      </c>
      <c r="B4310" t="n">
        <v>16</v>
      </c>
      <c r="C4310" t="n">
        <v>3082</v>
      </c>
      <c r="D4310" s="6" t="n">
        <v>26.1</v>
      </c>
      <c r="E4310" s="6" t="n">
        <v>1283789.83</v>
      </c>
      <c r="F4310" s="6">
        <f>ROUND(E4310-E4309,2)</f>
        <v/>
      </c>
      <c r="G4310" s="6">
        <f>ROUND(F4310-D4310,2)</f>
        <v/>
      </c>
    </row>
    <row r="4311">
      <c r="A4311" t="inlineStr">
        <is>
          <t>2022-10-21</t>
        </is>
      </c>
      <c r="B4311" t="n">
        <v>17</v>
      </c>
      <c r="C4311" t="n">
        <v>3082</v>
      </c>
      <c r="D4311" s="6" t="n">
        <v>20.9</v>
      </c>
      <c r="E4311" s="6" t="n">
        <v>1283810.73</v>
      </c>
      <c r="F4311" s="6">
        <f>ROUND(E4311-E4310,2)</f>
        <v/>
      </c>
      <c r="G4311" s="6">
        <f>ROUND(F4311-D4311,2)</f>
        <v/>
      </c>
    </row>
    <row r="4312">
      <c r="A4312" t="inlineStr">
        <is>
          <t>2022-10-21</t>
        </is>
      </c>
      <c r="B4312" t="n">
        <v>18</v>
      </c>
      <c r="C4312" t="n">
        <v>3082</v>
      </c>
      <c r="D4312" s="6" t="n">
        <v>30.3</v>
      </c>
      <c r="E4312" s="6" t="n">
        <v>1283841.03</v>
      </c>
      <c r="F4312" s="6">
        <f>ROUND(E4312-E4311,2)</f>
        <v/>
      </c>
      <c r="G4312" s="6">
        <f>ROUND(F4312-D4312,2)</f>
        <v/>
      </c>
    </row>
    <row r="4313">
      <c r="A4313" t="inlineStr">
        <is>
          <t>2022-10-22</t>
        </is>
      </c>
      <c r="B4313" t="n">
        <v>1</v>
      </c>
      <c r="C4313" t="n">
        <v>3083</v>
      </c>
      <c r="D4313" s="6" t="n">
        <v>62.2</v>
      </c>
      <c r="E4313" s="6" t="n">
        <v>1283903.23</v>
      </c>
      <c r="F4313" s="6">
        <f>ROUND(E4313-E4312,2)</f>
        <v/>
      </c>
      <c r="G4313" s="6">
        <f>ROUND(F4313-D4313,2)</f>
        <v/>
      </c>
    </row>
    <row r="4314">
      <c r="A4314" t="inlineStr">
        <is>
          <t>2022-10-22</t>
        </is>
      </c>
      <c r="B4314" t="n">
        <v>2</v>
      </c>
      <c r="C4314" t="n">
        <v>3083</v>
      </c>
      <c r="D4314" s="6" t="n">
        <v>60.4</v>
      </c>
      <c r="E4314" s="6" t="n">
        <v>1283963.63</v>
      </c>
      <c r="F4314" s="6">
        <f>ROUND(E4314-E4313,2)</f>
        <v/>
      </c>
      <c r="G4314" s="6">
        <f>ROUND(F4314-D4314,2)</f>
        <v/>
      </c>
    </row>
    <row r="4315">
      <c r="A4315" t="inlineStr">
        <is>
          <t>2022-10-22</t>
        </is>
      </c>
      <c r="B4315" t="n">
        <v>3</v>
      </c>
      <c r="C4315" t="n">
        <v>3083</v>
      </c>
      <c r="D4315" s="6" t="n">
        <v>65.59999999999999</v>
      </c>
      <c r="E4315" s="6" t="n">
        <v>1284029.23</v>
      </c>
      <c r="F4315" s="6">
        <f>ROUND(E4315-E4314,2)</f>
        <v/>
      </c>
      <c r="G4315" s="6">
        <f>ROUND(F4315-D4315,2)</f>
        <v/>
      </c>
    </row>
    <row r="4316">
      <c r="A4316" t="inlineStr">
        <is>
          <t>2022-10-22</t>
        </is>
      </c>
      <c r="B4316" t="n">
        <v>4</v>
      </c>
      <c r="C4316" t="n">
        <v>3083</v>
      </c>
      <c r="D4316" s="6" t="n">
        <v>93.2</v>
      </c>
      <c r="E4316" s="6" t="n">
        <v>1284122.43</v>
      </c>
      <c r="F4316" s="6">
        <f>ROUND(E4316-E4315,2)</f>
        <v/>
      </c>
      <c r="G4316" s="6">
        <f>ROUND(F4316-D4316,2)</f>
        <v/>
      </c>
    </row>
    <row r="4317">
      <c r="A4317" t="inlineStr">
        <is>
          <t>2022-10-22</t>
        </is>
      </c>
      <c r="B4317" t="n">
        <v>5</v>
      </c>
      <c r="C4317" t="n">
        <v>3083</v>
      </c>
      <c r="D4317" s="6" t="n">
        <v>47.4</v>
      </c>
      <c r="E4317" s="6" t="n">
        <v>1284169.83</v>
      </c>
      <c r="F4317" s="6">
        <f>ROUND(E4317-E4316,2)</f>
        <v/>
      </c>
      <c r="G4317" s="6">
        <f>ROUND(F4317-D4317,2)</f>
        <v/>
      </c>
    </row>
    <row r="4318">
      <c r="A4318" t="inlineStr">
        <is>
          <t>2022-10-22</t>
        </is>
      </c>
      <c r="B4318" t="n">
        <v>6</v>
      </c>
      <c r="C4318" t="n">
        <v>3083</v>
      </c>
      <c r="D4318" s="6" t="n">
        <v>13.4</v>
      </c>
      <c r="E4318" s="6" t="n">
        <v>1284183.23</v>
      </c>
      <c r="F4318" s="6">
        <f>ROUND(E4318-E4317,2)</f>
        <v/>
      </c>
      <c r="G4318" s="6">
        <f>ROUND(F4318-D4318,2)</f>
        <v/>
      </c>
    </row>
    <row r="4319">
      <c r="A4319" t="inlineStr">
        <is>
          <t>2022-10-22</t>
        </is>
      </c>
      <c r="B4319" t="n">
        <v>7</v>
      </c>
      <c r="C4319" t="n">
        <v>3083</v>
      </c>
      <c r="D4319" s="6" t="n">
        <v>94.59999999999999</v>
      </c>
      <c r="E4319" s="6" t="n">
        <v>1284277.83</v>
      </c>
      <c r="F4319" s="6">
        <f>ROUND(E4319-E4318,2)</f>
        <v/>
      </c>
      <c r="G4319" s="6">
        <f>ROUND(F4319-D4319,2)</f>
        <v/>
      </c>
    </row>
    <row r="4320">
      <c r="A4320" t="inlineStr">
        <is>
          <t>2022-10-22</t>
        </is>
      </c>
      <c r="B4320" t="n">
        <v>8</v>
      </c>
      <c r="C4320" t="n">
        <v>3083</v>
      </c>
      <c r="D4320" s="6" t="n">
        <v>59.7</v>
      </c>
      <c r="E4320" s="6" t="n">
        <v>1284337.53</v>
      </c>
      <c r="F4320" s="6">
        <f>ROUND(E4320-E4319,2)</f>
        <v/>
      </c>
      <c r="G4320" s="6">
        <f>ROUND(F4320-D4320,2)</f>
        <v/>
      </c>
    </row>
    <row r="4321">
      <c r="A4321" t="inlineStr">
        <is>
          <t>2022-10-22</t>
        </is>
      </c>
      <c r="B4321" t="n">
        <v>9</v>
      </c>
      <c r="C4321" t="n">
        <v>3083</v>
      </c>
      <c r="D4321" s="6" t="n">
        <v>39.5</v>
      </c>
      <c r="E4321" s="6" t="n">
        <v>1284377.03</v>
      </c>
      <c r="F4321" s="6">
        <f>ROUND(E4321-E4320,2)</f>
        <v/>
      </c>
      <c r="G4321" s="6">
        <f>ROUND(F4321-D4321,2)</f>
        <v/>
      </c>
    </row>
    <row r="4322">
      <c r="A4322" t="inlineStr">
        <is>
          <t>2022-10-22</t>
        </is>
      </c>
      <c r="B4322" t="n">
        <v>10</v>
      </c>
      <c r="C4322" t="n">
        <v>3083</v>
      </c>
      <c r="D4322" s="6" t="n">
        <v>76.5</v>
      </c>
      <c r="E4322" s="6" t="n">
        <v>1284453.53</v>
      </c>
      <c r="F4322" s="6">
        <f>ROUND(E4322-E4321,2)</f>
        <v/>
      </c>
      <c r="G4322" s="6">
        <f>ROUND(F4322-D4322,2)</f>
        <v/>
      </c>
    </row>
    <row r="4323">
      <c r="A4323" t="inlineStr">
        <is>
          <t>2022-10-22</t>
        </is>
      </c>
      <c r="B4323" t="n">
        <v>11</v>
      </c>
      <c r="C4323" t="n">
        <v>3083</v>
      </c>
      <c r="D4323" s="6" t="n">
        <v>76.5</v>
      </c>
      <c r="E4323" s="6" t="n">
        <v>1284530.03</v>
      </c>
      <c r="F4323" s="6">
        <f>ROUND(E4323-E4322,2)</f>
        <v/>
      </c>
      <c r="G4323" s="6">
        <f>ROUND(F4323-D4323,2)</f>
        <v/>
      </c>
    </row>
    <row r="4324">
      <c r="A4324" t="inlineStr">
        <is>
          <t>2022-10-22</t>
        </is>
      </c>
      <c r="B4324" t="n">
        <v>12</v>
      </c>
      <c r="C4324" t="n">
        <v>3083</v>
      </c>
      <c r="D4324" s="6" t="n">
        <v>103.3</v>
      </c>
      <c r="E4324" s="6" t="n">
        <v>1284633.33</v>
      </c>
      <c r="F4324" s="6">
        <f>ROUND(E4324-E4323,2)</f>
        <v/>
      </c>
      <c r="G4324" s="6">
        <f>ROUND(F4324-D4324,2)</f>
        <v/>
      </c>
    </row>
    <row r="4325">
      <c r="A4325" t="inlineStr">
        <is>
          <t>2022-10-22</t>
        </is>
      </c>
      <c r="B4325" t="n">
        <v>13</v>
      </c>
      <c r="C4325" t="n">
        <v>3083</v>
      </c>
      <c r="D4325" s="6" t="n">
        <v>67.5</v>
      </c>
      <c r="E4325" s="6" t="n">
        <v>1284700.83</v>
      </c>
      <c r="F4325" s="6">
        <f>ROUND(E4325-E4324,2)</f>
        <v/>
      </c>
      <c r="G4325" s="6">
        <f>ROUND(F4325-D4325,2)</f>
        <v/>
      </c>
    </row>
    <row r="4326">
      <c r="A4326" t="inlineStr">
        <is>
          <t>2022-10-22</t>
        </is>
      </c>
      <c r="B4326" t="n">
        <v>14</v>
      </c>
      <c r="C4326" t="n">
        <v>3083</v>
      </c>
      <c r="D4326" s="6" t="n">
        <v>87.5</v>
      </c>
      <c r="E4326" s="6" t="n">
        <v>1284788.33</v>
      </c>
      <c r="F4326" s="6">
        <f>ROUND(E4326-E4325,2)</f>
        <v/>
      </c>
      <c r="G4326" s="6">
        <f>ROUND(F4326-D4326,2)</f>
        <v/>
      </c>
    </row>
    <row r="4327">
      <c r="A4327" t="inlineStr">
        <is>
          <t>2022-10-22</t>
        </is>
      </c>
      <c r="B4327" t="n">
        <v>15</v>
      </c>
      <c r="C4327" t="n">
        <v>3083</v>
      </c>
      <c r="D4327" s="6" t="n">
        <v>59.6</v>
      </c>
      <c r="E4327" s="6" t="n">
        <v>1284847.93</v>
      </c>
      <c r="F4327" s="6">
        <f>ROUND(E4327-E4326,2)</f>
        <v/>
      </c>
      <c r="G4327" s="6">
        <f>ROUND(F4327-D4327,2)</f>
        <v/>
      </c>
    </row>
    <row r="4328">
      <c r="A4328" t="inlineStr">
        <is>
          <t>2022-10-22</t>
        </is>
      </c>
      <c r="B4328" t="n">
        <v>16</v>
      </c>
      <c r="C4328" t="n">
        <v>3083</v>
      </c>
      <c r="D4328" s="6" t="n">
        <v>29.7</v>
      </c>
      <c r="E4328" s="6" t="n">
        <v>1284877.63</v>
      </c>
      <c r="F4328" s="6">
        <f>ROUND(E4328-E4327,2)</f>
        <v/>
      </c>
      <c r="G4328" s="6">
        <f>ROUND(F4328-D4328,2)</f>
        <v/>
      </c>
    </row>
    <row r="4329">
      <c r="A4329" t="inlineStr">
        <is>
          <t>2022-10-22</t>
        </is>
      </c>
      <c r="B4329" t="n">
        <v>17</v>
      </c>
      <c r="C4329" t="n">
        <v>3083</v>
      </c>
      <c r="D4329" s="6" t="n">
        <v>44.7</v>
      </c>
      <c r="E4329" s="6" t="n">
        <v>1284922.33</v>
      </c>
      <c r="F4329" s="6">
        <f>ROUND(E4329-E4328,2)</f>
        <v/>
      </c>
      <c r="G4329" s="6">
        <f>ROUND(F4329-D4329,2)</f>
        <v/>
      </c>
    </row>
    <row r="4330">
      <c r="A4330" t="inlineStr">
        <is>
          <t>2022-10-22</t>
        </is>
      </c>
      <c r="B4330" t="n">
        <v>18</v>
      </c>
      <c r="C4330" t="n">
        <v>3083</v>
      </c>
      <c r="D4330" s="6" t="n">
        <v>102.9</v>
      </c>
      <c r="E4330" s="6" t="n">
        <v>1285025.23</v>
      </c>
      <c r="F4330" s="6">
        <f>ROUND(E4330-E4329,2)</f>
        <v/>
      </c>
      <c r="G4330" s="6">
        <f>ROUND(F4330-D4330,2)</f>
        <v/>
      </c>
    </row>
    <row r="4331">
      <c r="A4331" t="inlineStr">
        <is>
          <t>2022-10-22</t>
        </is>
      </c>
      <c r="B4331" t="n">
        <v>19</v>
      </c>
      <c r="C4331" t="n">
        <v>3083</v>
      </c>
      <c r="D4331" s="6" t="n">
        <v>75.7</v>
      </c>
      <c r="E4331" s="6" t="n">
        <v>1285100.93</v>
      </c>
      <c r="F4331" s="6">
        <f>ROUND(E4331-E4330,2)</f>
        <v/>
      </c>
      <c r="G4331" s="6">
        <f>ROUND(F4331-D4331,2)</f>
        <v/>
      </c>
    </row>
    <row r="4332">
      <c r="A4332" t="inlineStr">
        <is>
          <t>2022-10-22</t>
        </is>
      </c>
      <c r="B4332" t="n">
        <v>20</v>
      </c>
      <c r="C4332" t="n">
        <v>3083</v>
      </c>
      <c r="D4332" s="6" t="n">
        <v>132.6</v>
      </c>
      <c r="E4332" s="6" t="n">
        <v>1285233.53</v>
      </c>
      <c r="F4332" s="6">
        <f>ROUND(E4332-E4331,2)</f>
        <v/>
      </c>
      <c r="G4332" s="6">
        <f>ROUND(F4332-D4332,2)</f>
        <v/>
      </c>
    </row>
    <row r="4333">
      <c r="A4333" t="inlineStr">
        <is>
          <t>2022-10-22</t>
        </is>
      </c>
      <c r="B4333" t="n">
        <v>21</v>
      </c>
      <c r="C4333" t="n">
        <v>3083</v>
      </c>
      <c r="D4333" s="6" t="n">
        <v>133.1</v>
      </c>
      <c r="E4333" s="6" t="n">
        <v>1285366.63</v>
      </c>
      <c r="F4333" s="6">
        <f>ROUND(E4333-E4332,2)</f>
        <v/>
      </c>
      <c r="G4333" s="6">
        <f>ROUND(F4333-D4333,2)</f>
        <v/>
      </c>
    </row>
    <row r="4334">
      <c r="A4334" t="inlineStr">
        <is>
          <t>2022-10-22</t>
        </is>
      </c>
      <c r="B4334" t="n">
        <v>22</v>
      </c>
      <c r="C4334" t="n">
        <v>3083</v>
      </c>
      <c r="D4334" s="6" t="n">
        <v>133.1</v>
      </c>
      <c r="E4334" s="6" t="n">
        <v>1285499.73</v>
      </c>
      <c r="F4334" s="6">
        <f>ROUND(E4334-E4333,2)</f>
        <v/>
      </c>
      <c r="G4334" s="6">
        <f>ROUND(F4334-D4334,2)</f>
        <v/>
      </c>
    </row>
    <row r="4335">
      <c r="A4335" t="inlineStr">
        <is>
          <t>2022-10-22</t>
        </is>
      </c>
      <c r="B4335" t="n">
        <v>23</v>
      </c>
      <c r="C4335" t="n">
        <v>3083</v>
      </c>
      <c r="D4335" s="6" t="n">
        <v>165.2</v>
      </c>
      <c r="E4335" s="6" t="n">
        <v>1285664.93</v>
      </c>
      <c r="F4335" s="6">
        <f>ROUND(E4335-E4334,2)</f>
        <v/>
      </c>
      <c r="G4335" s="6">
        <f>ROUND(F4335-D4335,2)</f>
        <v/>
      </c>
    </row>
    <row r="4336">
      <c r="A4336" t="inlineStr">
        <is>
          <t>2022-10-22</t>
        </is>
      </c>
      <c r="B4336" t="n">
        <v>24</v>
      </c>
      <c r="C4336" t="n">
        <v>3083</v>
      </c>
      <c r="D4336" s="6" t="n">
        <v>66.59999999999999</v>
      </c>
      <c r="E4336" s="6" t="n">
        <v>1285731.53</v>
      </c>
      <c r="F4336" s="6">
        <f>ROUND(E4336-E4335,2)</f>
        <v/>
      </c>
      <c r="G4336" s="6">
        <f>ROUND(F4336-D4336,2)</f>
        <v/>
      </c>
    </row>
    <row r="4337">
      <c r="A4337" t="inlineStr">
        <is>
          <t>2022-10-22</t>
        </is>
      </c>
      <c r="B4337" t="n">
        <v>25</v>
      </c>
      <c r="C4337" t="n">
        <v>3083</v>
      </c>
      <c r="D4337" s="6" t="n">
        <v>101</v>
      </c>
      <c r="E4337" s="6" t="n">
        <v>1285832.53</v>
      </c>
      <c r="F4337" s="6">
        <f>ROUND(E4337-E4336,2)</f>
        <v/>
      </c>
      <c r="G4337" s="6">
        <f>ROUND(F4337-D4337,2)</f>
        <v/>
      </c>
    </row>
    <row r="4338">
      <c r="A4338" t="inlineStr">
        <is>
          <t>2022-10-22</t>
        </is>
      </c>
      <c r="B4338" t="n">
        <v>26</v>
      </c>
      <c r="C4338" t="n">
        <v>3083</v>
      </c>
      <c r="D4338" s="6" t="n">
        <v>219.7</v>
      </c>
      <c r="E4338" s="6" t="n">
        <v>1286052.23</v>
      </c>
      <c r="F4338" s="6">
        <f>ROUND(E4338-E4337,2)</f>
        <v/>
      </c>
      <c r="G4338" s="6">
        <f>ROUND(F4338-D4338,2)</f>
        <v/>
      </c>
    </row>
    <row r="4339">
      <c r="A4339" t="inlineStr">
        <is>
          <t>2022-10-23</t>
        </is>
      </c>
      <c r="B4339" t="n">
        <v>1</v>
      </c>
      <c r="C4339" t="n">
        <v>3084</v>
      </c>
      <c r="D4339" s="6" t="n">
        <v>134.1</v>
      </c>
      <c r="E4339" s="6" t="n">
        <v>1286186.33</v>
      </c>
      <c r="F4339" s="6">
        <f>ROUND(E4339-E4338,2)</f>
        <v/>
      </c>
      <c r="G4339" s="6">
        <f>ROUND(F4339-D4339,2)</f>
        <v/>
      </c>
    </row>
    <row r="4340">
      <c r="A4340" t="inlineStr">
        <is>
          <t>2022-10-23</t>
        </is>
      </c>
      <c r="B4340" t="n">
        <v>2</v>
      </c>
      <c r="C4340" t="n">
        <v>3084</v>
      </c>
      <c r="D4340" s="6" t="n">
        <v>76.3</v>
      </c>
      <c r="E4340" s="6" t="n">
        <v>1286262.63</v>
      </c>
      <c r="F4340" s="6">
        <f>ROUND(E4340-E4339,2)</f>
        <v/>
      </c>
      <c r="G4340" s="6">
        <f>ROUND(F4340-D4340,2)</f>
        <v/>
      </c>
    </row>
    <row r="4341">
      <c r="A4341" t="inlineStr">
        <is>
          <t>2022-10-23</t>
        </is>
      </c>
      <c r="B4341" t="n">
        <v>3</v>
      </c>
      <c r="C4341" t="n">
        <v>3084</v>
      </c>
      <c r="D4341" s="6" t="n">
        <v>46.8</v>
      </c>
      <c r="E4341" s="6" t="n">
        <v>1286309.43</v>
      </c>
      <c r="F4341" s="6">
        <f>ROUND(E4341-E4340,2)</f>
        <v/>
      </c>
      <c r="G4341" s="6">
        <f>ROUND(F4341-D4341,2)</f>
        <v/>
      </c>
    </row>
    <row r="4342">
      <c r="A4342" t="inlineStr">
        <is>
          <t>2022-10-23</t>
        </is>
      </c>
      <c r="B4342" t="n">
        <v>4</v>
      </c>
      <c r="C4342" t="n">
        <v>3084</v>
      </c>
      <c r="D4342" s="6" t="n">
        <v>84.40000000000001</v>
      </c>
      <c r="E4342" s="6" t="n">
        <v>1286393.83</v>
      </c>
      <c r="F4342" s="6">
        <f>ROUND(E4342-E4341,2)</f>
        <v/>
      </c>
      <c r="G4342" s="6">
        <f>ROUND(F4342-D4342,2)</f>
        <v/>
      </c>
    </row>
    <row r="4343">
      <c r="A4343" t="inlineStr">
        <is>
          <t>2022-10-23</t>
        </is>
      </c>
      <c r="B4343" t="n">
        <v>5</v>
      </c>
      <c r="C4343" t="n">
        <v>3084</v>
      </c>
      <c r="D4343" s="6" t="n">
        <v>97.59999999999999</v>
      </c>
      <c r="E4343" s="6" t="n">
        <v>1286491.43</v>
      </c>
      <c r="F4343" s="6">
        <f>ROUND(E4343-E4342,2)</f>
        <v/>
      </c>
      <c r="G4343" s="6">
        <f>ROUND(F4343-D4343,2)</f>
        <v/>
      </c>
    </row>
    <row r="4344">
      <c r="A4344" t="inlineStr">
        <is>
          <t>2022-10-23</t>
        </is>
      </c>
      <c r="B4344" t="n">
        <v>6</v>
      </c>
      <c r="C4344" t="n">
        <v>3084</v>
      </c>
      <c r="D4344" s="6" t="n">
        <v>68.59999999999999</v>
      </c>
      <c r="E4344" s="6" t="n">
        <v>1286560.03</v>
      </c>
      <c r="F4344" s="6">
        <f>ROUND(E4344-E4343,2)</f>
        <v/>
      </c>
      <c r="G4344" s="6">
        <f>ROUND(F4344-D4344,2)</f>
        <v/>
      </c>
    </row>
    <row r="4345">
      <c r="A4345" t="inlineStr">
        <is>
          <t>2022-10-23</t>
        </is>
      </c>
      <c r="B4345" t="n">
        <v>7</v>
      </c>
      <c r="C4345" t="n">
        <v>3084</v>
      </c>
      <c r="D4345" s="6" t="n">
        <v>122.7</v>
      </c>
      <c r="E4345" s="6" t="n">
        <v>1286682.73</v>
      </c>
      <c r="F4345" s="6">
        <f>ROUND(E4345-E4344,2)</f>
        <v/>
      </c>
      <c r="G4345" s="6">
        <f>ROUND(F4345-D4345,2)</f>
        <v/>
      </c>
    </row>
    <row r="4346">
      <c r="A4346" t="inlineStr">
        <is>
          <t>2022-10-23</t>
        </is>
      </c>
      <c r="B4346" t="n">
        <v>8</v>
      </c>
      <c r="C4346" t="n">
        <v>3084</v>
      </c>
      <c r="D4346" s="6" t="n">
        <v>83.09999999999999</v>
      </c>
      <c r="E4346" s="6" t="n">
        <v>1286765.83</v>
      </c>
      <c r="F4346" s="6">
        <f>ROUND(E4346-E4345,2)</f>
        <v/>
      </c>
      <c r="G4346" s="6">
        <f>ROUND(F4346-D4346,2)</f>
        <v/>
      </c>
    </row>
    <row r="4347">
      <c r="A4347" t="inlineStr">
        <is>
          <t>2022-10-23</t>
        </is>
      </c>
      <c r="B4347" t="n">
        <v>9</v>
      </c>
      <c r="C4347" t="n">
        <v>3084</v>
      </c>
      <c r="D4347" s="6" t="n">
        <v>69.09999999999999</v>
      </c>
      <c r="E4347" s="6" t="n">
        <v>1286834.93</v>
      </c>
      <c r="F4347" s="6">
        <f>ROUND(E4347-E4346,2)</f>
        <v/>
      </c>
      <c r="G4347" s="6">
        <f>ROUND(F4347-D4347,2)</f>
        <v/>
      </c>
    </row>
    <row r="4348">
      <c r="A4348" t="inlineStr">
        <is>
          <t>2022-10-23</t>
        </is>
      </c>
      <c r="B4348" t="n">
        <v>10</v>
      </c>
      <c r="C4348" t="n">
        <v>3084</v>
      </c>
      <c r="D4348" s="6" t="n">
        <v>96</v>
      </c>
      <c r="E4348" s="6" t="n">
        <v>1286930.93</v>
      </c>
      <c r="F4348" s="6">
        <f>ROUND(E4348-E4347,2)</f>
        <v/>
      </c>
      <c r="G4348" s="6">
        <f>ROUND(F4348-D4348,2)</f>
        <v/>
      </c>
    </row>
    <row r="4349">
      <c r="A4349" t="inlineStr">
        <is>
          <t>2022-10-23</t>
        </is>
      </c>
      <c r="B4349" t="n">
        <v>11</v>
      </c>
      <c r="C4349" t="n">
        <v>3084</v>
      </c>
      <c r="D4349" s="6" t="n">
        <v>59.8</v>
      </c>
      <c r="E4349" s="6" t="n">
        <v>1286990.73</v>
      </c>
      <c r="F4349" s="6">
        <f>ROUND(E4349-E4348,2)</f>
        <v/>
      </c>
      <c r="G4349" s="6">
        <f>ROUND(F4349-D4349,2)</f>
        <v/>
      </c>
    </row>
    <row r="4350">
      <c r="A4350" t="inlineStr">
        <is>
          <t>2022-10-23</t>
        </is>
      </c>
      <c r="B4350" t="n">
        <v>12</v>
      </c>
      <c r="C4350" t="n">
        <v>3084</v>
      </c>
      <c r="D4350" s="6" t="n">
        <v>119.9</v>
      </c>
      <c r="E4350" s="6" t="n">
        <v>1287110.63</v>
      </c>
      <c r="F4350" s="6">
        <f>ROUND(E4350-E4349,2)</f>
        <v/>
      </c>
      <c r="G4350" s="6">
        <f>ROUND(F4350-D4350,2)</f>
        <v/>
      </c>
    </row>
    <row r="4351">
      <c r="A4351" t="inlineStr">
        <is>
          <t>2022-10-23</t>
        </is>
      </c>
      <c r="B4351" t="n">
        <v>13</v>
      </c>
      <c r="C4351" t="n">
        <v>3084</v>
      </c>
      <c r="D4351" s="6" t="n">
        <v>81.90000000000001</v>
      </c>
      <c r="E4351" s="6" t="n">
        <v>1287192.53</v>
      </c>
      <c r="F4351" s="6">
        <f>ROUND(E4351-E4350,2)</f>
        <v/>
      </c>
      <c r="G4351" s="6">
        <f>ROUND(F4351-D4351,2)</f>
        <v/>
      </c>
    </row>
    <row r="4352">
      <c r="A4352" t="inlineStr">
        <is>
          <t>2022-10-23</t>
        </is>
      </c>
      <c r="B4352" t="n">
        <v>14</v>
      </c>
      <c r="C4352" t="n">
        <v>3084</v>
      </c>
      <c r="D4352" s="6" t="n">
        <v>49.4</v>
      </c>
      <c r="E4352" s="6" t="n">
        <v>1287241.93</v>
      </c>
      <c r="F4352" s="6">
        <f>ROUND(E4352-E4351,2)</f>
        <v/>
      </c>
      <c r="G4352" s="6">
        <f>ROUND(F4352-D4352,2)</f>
        <v/>
      </c>
    </row>
    <row r="4353">
      <c r="A4353" t="inlineStr">
        <is>
          <t>2022-10-23</t>
        </is>
      </c>
      <c r="B4353" t="n">
        <v>15</v>
      </c>
      <c r="C4353" t="n">
        <v>3084</v>
      </c>
      <c r="D4353" s="6" t="n">
        <v>59.8</v>
      </c>
      <c r="E4353" s="6" t="n">
        <v>1287301.73</v>
      </c>
      <c r="F4353" s="6">
        <f>ROUND(E4353-E4352,2)</f>
        <v/>
      </c>
      <c r="G4353" s="6">
        <f>ROUND(F4353-D4353,2)</f>
        <v/>
      </c>
    </row>
    <row r="4354">
      <c r="A4354" t="inlineStr">
        <is>
          <t>2022-10-23</t>
        </is>
      </c>
      <c r="B4354" t="n">
        <v>16</v>
      </c>
      <c r="C4354" t="n">
        <v>3084</v>
      </c>
      <c r="D4354" s="6" t="n">
        <v>35.3</v>
      </c>
      <c r="E4354" s="6" t="n">
        <v>1287337.03</v>
      </c>
      <c r="F4354" s="6">
        <f>ROUND(E4354-E4353,2)</f>
        <v/>
      </c>
      <c r="G4354" s="6">
        <f>ROUND(F4354-D4354,2)</f>
        <v/>
      </c>
    </row>
    <row r="4355">
      <c r="A4355" t="inlineStr">
        <is>
          <t>2022-10-23</t>
        </is>
      </c>
      <c r="B4355" t="n">
        <v>17</v>
      </c>
      <c r="C4355" t="n">
        <v>3084</v>
      </c>
      <c r="D4355" s="6" t="n">
        <v>70.5</v>
      </c>
      <c r="E4355" s="6" t="n">
        <v>1287407.53</v>
      </c>
      <c r="F4355" s="6">
        <f>ROUND(E4355-E4354,2)</f>
        <v/>
      </c>
      <c r="G4355" s="6">
        <f>ROUND(F4355-D4355,2)</f>
        <v/>
      </c>
    </row>
    <row r="4356">
      <c r="A4356" t="inlineStr">
        <is>
          <t>2022-10-23</t>
        </is>
      </c>
      <c r="B4356" t="n">
        <v>18</v>
      </c>
      <c r="C4356" t="n">
        <v>3084</v>
      </c>
      <c r="D4356" s="6" t="n">
        <v>28.5</v>
      </c>
      <c r="E4356" s="6" t="n">
        <v>1287436.03</v>
      </c>
      <c r="F4356" s="6">
        <f>ROUND(E4356-E4355,2)</f>
        <v/>
      </c>
      <c r="G4356" s="6">
        <f>ROUND(F4356-D4356,2)</f>
        <v/>
      </c>
    </row>
    <row r="4357">
      <c r="A4357" t="inlineStr">
        <is>
          <t>2022-10-23</t>
        </is>
      </c>
      <c r="B4357" t="n">
        <v>19</v>
      </c>
      <c r="C4357" t="n">
        <v>3084</v>
      </c>
      <c r="D4357" s="6" t="n">
        <v>13</v>
      </c>
      <c r="E4357" s="6" t="n">
        <v>1287449.03</v>
      </c>
      <c r="F4357" s="6">
        <f>ROUND(E4357-E4356,2)</f>
        <v/>
      </c>
      <c r="G4357" s="6">
        <f>ROUND(F4357-D4357,2)</f>
        <v/>
      </c>
    </row>
    <row r="4358">
      <c r="A4358" t="inlineStr">
        <is>
          <t>2022-10-23</t>
        </is>
      </c>
      <c r="B4358" t="n">
        <v>20</v>
      </c>
      <c r="C4358" t="n">
        <v>3084</v>
      </c>
      <c r="D4358" s="6" t="n">
        <v>82.09999999999999</v>
      </c>
      <c r="E4358" s="6" t="n">
        <v>1287531.13</v>
      </c>
      <c r="F4358" s="6">
        <f>ROUND(E4358-E4357,2)</f>
        <v/>
      </c>
      <c r="G4358" s="6">
        <f>ROUND(F4358-D4358,2)</f>
        <v/>
      </c>
    </row>
    <row r="4359">
      <c r="A4359" t="inlineStr">
        <is>
          <t>2022-10-23</t>
        </is>
      </c>
      <c r="B4359" t="n">
        <v>21</v>
      </c>
      <c r="C4359" t="n">
        <v>3084</v>
      </c>
      <c r="D4359" s="6" t="n">
        <v>106.2</v>
      </c>
      <c r="E4359" s="6" t="n">
        <v>1287637.33</v>
      </c>
      <c r="F4359" s="6">
        <f>ROUND(E4359-E4358,2)</f>
        <v/>
      </c>
      <c r="G4359" s="6">
        <f>ROUND(F4359-D4359,2)</f>
        <v/>
      </c>
    </row>
    <row r="4360">
      <c r="A4360" t="inlineStr">
        <is>
          <t>2022-10-23</t>
        </is>
      </c>
      <c r="B4360" t="n">
        <v>22</v>
      </c>
      <c r="C4360" t="n">
        <v>3084</v>
      </c>
      <c r="D4360" s="6" t="n">
        <v>113.8</v>
      </c>
      <c r="E4360" s="6" t="n">
        <v>1287751.13</v>
      </c>
      <c r="F4360" s="6">
        <f>ROUND(E4360-E4359,2)</f>
        <v/>
      </c>
      <c r="G4360" s="6">
        <f>ROUND(F4360-D4360,2)</f>
        <v/>
      </c>
    </row>
    <row r="4361">
      <c r="A4361" t="inlineStr">
        <is>
          <t>2022-10-23</t>
        </is>
      </c>
      <c r="B4361" t="n">
        <v>23</v>
      </c>
      <c r="C4361" t="n">
        <v>3084</v>
      </c>
      <c r="D4361" s="6" t="n">
        <v>135.4</v>
      </c>
      <c r="E4361" s="6" t="n">
        <v>1287886.53</v>
      </c>
      <c r="F4361" s="6">
        <f>ROUND(E4361-E4360,2)</f>
        <v/>
      </c>
      <c r="G4361" s="6">
        <f>ROUND(F4361-D4361,2)</f>
        <v/>
      </c>
    </row>
    <row r="4362">
      <c r="A4362" t="inlineStr">
        <is>
          <t>2022-10-23</t>
        </is>
      </c>
      <c r="B4362" t="n">
        <v>24</v>
      </c>
      <c r="C4362" t="n">
        <v>3084</v>
      </c>
      <c r="D4362" s="6" t="n">
        <v>58.45</v>
      </c>
      <c r="E4362" s="6" t="n">
        <v>1287944.98</v>
      </c>
      <c r="F4362" s="6">
        <f>ROUND(E4362-E4361,2)</f>
        <v/>
      </c>
      <c r="G4362" s="6">
        <f>ROUND(F4362-D4362,2)</f>
        <v/>
      </c>
    </row>
    <row r="4363">
      <c r="A4363" t="inlineStr">
        <is>
          <t>2022-10-23</t>
        </is>
      </c>
      <c r="B4363" t="n">
        <v>25</v>
      </c>
      <c r="C4363" t="n">
        <v>3084</v>
      </c>
      <c r="D4363" s="6" t="n">
        <v>58.45</v>
      </c>
      <c r="E4363" s="6" t="n">
        <v>1288003.43</v>
      </c>
      <c r="F4363" s="6">
        <f>ROUND(E4363-E4362,2)</f>
        <v/>
      </c>
      <c r="G4363" s="6">
        <f>ROUND(F4363-D4363,2)</f>
        <v/>
      </c>
    </row>
    <row r="4364">
      <c r="A4364" t="inlineStr">
        <is>
          <t>2022-10-26</t>
        </is>
      </c>
      <c r="B4364" t="n">
        <v>1</v>
      </c>
      <c r="C4364" t="n">
        <v>3085</v>
      </c>
      <c r="D4364" s="6" t="n">
        <v>43.5</v>
      </c>
      <c r="E4364" s="6" t="n">
        <v>1288046.93</v>
      </c>
      <c r="F4364" s="6">
        <f>ROUND(E4364-E4363,2)</f>
        <v/>
      </c>
      <c r="G4364" s="6">
        <f>ROUND(F4364-D4364,2)</f>
        <v/>
      </c>
    </row>
    <row r="4365">
      <c r="A4365" t="inlineStr">
        <is>
          <t>2022-10-26</t>
        </is>
      </c>
      <c r="B4365" t="n">
        <v>2</v>
      </c>
      <c r="C4365" t="n">
        <v>3085</v>
      </c>
      <c r="D4365" s="6" t="n">
        <v>63.5</v>
      </c>
      <c r="E4365" s="6" t="n">
        <v>1288110.43</v>
      </c>
      <c r="F4365" s="6">
        <f>ROUND(E4365-E4364,2)</f>
        <v/>
      </c>
      <c r="G4365" s="6">
        <f>ROUND(F4365-D4365,2)</f>
        <v/>
      </c>
    </row>
    <row r="4366">
      <c r="A4366" t="inlineStr">
        <is>
          <t>2022-10-26</t>
        </is>
      </c>
      <c r="B4366" t="n">
        <v>3</v>
      </c>
      <c r="C4366" t="n">
        <v>3085</v>
      </c>
      <c r="D4366" s="6" t="n">
        <v>93.5</v>
      </c>
      <c r="E4366" s="6" t="n">
        <v>1288203.93</v>
      </c>
      <c r="F4366" s="6">
        <f>ROUND(E4366-E4365,2)</f>
        <v/>
      </c>
      <c r="G4366" s="6">
        <f>ROUND(F4366-D4366,2)</f>
        <v/>
      </c>
    </row>
    <row r="4367">
      <c r="A4367" t="inlineStr">
        <is>
          <t>2022-10-26</t>
        </is>
      </c>
      <c r="B4367" t="n">
        <v>4</v>
      </c>
      <c r="C4367" t="n">
        <v>3085</v>
      </c>
      <c r="D4367" s="6" t="n">
        <v>43.1</v>
      </c>
      <c r="E4367" s="6" t="n">
        <v>1288247.03</v>
      </c>
      <c r="F4367" s="6">
        <f>ROUND(E4367-E4366,2)</f>
        <v/>
      </c>
      <c r="G4367" s="6">
        <f>ROUND(F4367-D4367,2)</f>
        <v/>
      </c>
    </row>
    <row r="4368">
      <c r="A4368" t="inlineStr">
        <is>
          <t>2022-10-26</t>
        </is>
      </c>
      <c r="B4368" t="n">
        <v>5</v>
      </c>
      <c r="C4368" t="n">
        <v>3085</v>
      </c>
      <c r="D4368" s="6" t="n">
        <v>18.7</v>
      </c>
      <c r="E4368" s="6" t="n">
        <v>1288265.73</v>
      </c>
      <c r="F4368" s="6">
        <f>ROUND(E4368-E4367,2)</f>
        <v/>
      </c>
      <c r="G4368" s="6">
        <f>ROUND(F4368-D4368,2)</f>
        <v/>
      </c>
    </row>
    <row r="4369">
      <c r="A4369" t="inlineStr">
        <is>
          <t>2022-10-26</t>
        </is>
      </c>
      <c r="B4369" t="n">
        <v>6</v>
      </c>
      <c r="C4369" t="n">
        <v>3085</v>
      </c>
      <c r="D4369" s="6" t="n">
        <v>83.40000000000001</v>
      </c>
      <c r="E4369" s="6" t="n">
        <v>1288349.13</v>
      </c>
      <c r="F4369" s="6">
        <f>ROUND(E4369-E4368,2)</f>
        <v/>
      </c>
      <c r="G4369" s="6">
        <f>ROUND(F4369-D4369,2)</f>
        <v/>
      </c>
    </row>
    <row r="4370">
      <c r="A4370" t="inlineStr">
        <is>
          <t>2022-10-26</t>
        </is>
      </c>
      <c r="B4370" t="n">
        <v>7</v>
      </c>
      <c r="C4370" t="n">
        <v>3085</v>
      </c>
      <c r="D4370" s="6" t="n">
        <v>70.09999999999999</v>
      </c>
      <c r="E4370" s="6" t="n">
        <v>1288419.23</v>
      </c>
      <c r="F4370" s="6">
        <f>ROUND(E4370-E4369,2)</f>
        <v/>
      </c>
      <c r="G4370" s="6">
        <f>ROUND(F4370-D4370,2)</f>
        <v/>
      </c>
    </row>
    <row r="4371">
      <c r="A4371" t="inlineStr">
        <is>
          <t>2022-10-26</t>
        </is>
      </c>
      <c r="B4371" t="n">
        <v>8</v>
      </c>
      <c r="C4371" t="n">
        <v>3085</v>
      </c>
      <c r="D4371" s="6" t="n">
        <v>86.40000000000001</v>
      </c>
      <c r="E4371" s="6" t="n">
        <v>1288505.63</v>
      </c>
      <c r="F4371" s="6">
        <f>ROUND(E4371-E4370,2)</f>
        <v/>
      </c>
      <c r="G4371" s="6">
        <f>ROUND(F4371-D4371,2)</f>
        <v/>
      </c>
    </row>
    <row r="4372">
      <c r="A4372" t="inlineStr">
        <is>
          <t>2022-10-26</t>
        </is>
      </c>
      <c r="B4372" t="n">
        <v>9</v>
      </c>
      <c r="C4372" t="n">
        <v>3085</v>
      </c>
      <c r="D4372" s="6" t="n">
        <v>42.7</v>
      </c>
      <c r="E4372" s="6" t="n">
        <v>1288548.33</v>
      </c>
      <c r="F4372" s="6">
        <f>ROUND(E4372-E4371,2)</f>
        <v/>
      </c>
      <c r="G4372" s="6">
        <f>ROUND(F4372-D4372,2)</f>
        <v/>
      </c>
    </row>
    <row r="4373">
      <c r="A4373" t="inlineStr">
        <is>
          <t>2022-10-26</t>
        </is>
      </c>
      <c r="B4373" t="n">
        <v>10</v>
      </c>
      <c r="C4373" t="n">
        <v>3085</v>
      </c>
      <c r="D4373" s="6" t="n">
        <v>63.7</v>
      </c>
      <c r="E4373" s="6" t="n">
        <v>1288612.03</v>
      </c>
      <c r="F4373" s="6">
        <f>ROUND(E4373-E4372,2)</f>
        <v/>
      </c>
      <c r="G4373" s="6">
        <f>ROUND(F4373-D4373,2)</f>
        <v/>
      </c>
    </row>
    <row r="4374">
      <c r="A4374" t="inlineStr">
        <is>
          <t>2022-10-26</t>
        </is>
      </c>
      <c r="B4374" t="n">
        <v>11</v>
      </c>
      <c r="C4374" t="n">
        <v>3085</v>
      </c>
      <c r="D4374" s="6" t="n">
        <v>24.4</v>
      </c>
      <c r="E4374" s="6" t="n">
        <v>1288636.43</v>
      </c>
      <c r="F4374" s="6">
        <f>ROUND(E4374-E4373,2)</f>
        <v/>
      </c>
      <c r="G4374" s="6">
        <f>ROUND(F4374-D4374,2)</f>
        <v/>
      </c>
    </row>
    <row r="4375">
      <c r="A4375" t="inlineStr">
        <is>
          <t>2022-10-26</t>
        </is>
      </c>
      <c r="B4375" t="n">
        <v>12</v>
      </c>
      <c r="C4375" t="n">
        <v>3085</v>
      </c>
      <c r="D4375" s="6" t="n">
        <v>26.7</v>
      </c>
      <c r="E4375" s="6" t="n">
        <v>1288663.13</v>
      </c>
      <c r="F4375" s="6">
        <f>ROUND(E4375-E4374,2)</f>
        <v/>
      </c>
      <c r="G4375" s="6">
        <f>ROUND(F4375-D4375,2)</f>
        <v/>
      </c>
    </row>
    <row r="4376">
      <c r="A4376" t="inlineStr">
        <is>
          <t>2022-10-26</t>
        </is>
      </c>
      <c r="B4376" t="n">
        <v>13</v>
      </c>
      <c r="C4376" t="n">
        <v>3085</v>
      </c>
      <c r="D4376" s="6" t="n">
        <v>33.2</v>
      </c>
      <c r="E4376" s="6" t="n">
        <v>1288696.33</v>
      </c>
      <c r="F4376" s="6">
        <f>ROUND(E4376-E4375,2)</f>
        <v/>
      </c>
      <c r="G4376" s="6">
        <f>ROUND(F4376-D4376,2)</f>
        <v/>
      </c>
    </row>
    <row r="4377">
      <c r="A4377" t="inlineStr">
        <is>
          <t>2022-10-26</t>
        </is>
      </c>
      <c r="B4377" t="n">
        <v>14</v>
      </c>
      <c r="C4377" t="n">
        <v>3085</v>
      </c>
      <c r="D4377" s="6" t="n">
        <v>37.5</v>
      </c>
      <c r="E4377" s="6" t="n">
        <v>1288733.83</v>
      </c>
      <c r="F4377" s="6">
        <f>ROUND(E4377-E4376,2)</f>
        <v/>
      </c>
      <c r="G4377" s="6">
        <f>ROUND(F4377-D4377,2)</f>
        <v/>
      </c>
    </row>
    <row r="4378">
      <c r="A4378" t="inlineStr">
        <is>
          <t>2022-10-26</t>
        </is>
      </c>
      <c r="B4378" t="n">
        <v>15</v>
      </c>
      <c r="C4378" t="n">
        <v>3085</v>
      </c>
      <c r="D4378" s="6" t="n">
        <v>18.9</v>
      </c>
      <c r="E4378" s="6" t="n">
        <v>1288752.73</v>
      </c>
      <c r="F4378" s="6">
        <f>ROUND(E4378-E4377,2)</f>
        <v/>
      </c>
      <c r="G4378" s="6">
        <f>ROUND(F4378-D4378,2)</f>
        <v/>
      </c>
    </row>
    <row r="4379">
      <c r="A4379" t="inlineStr">
        <is>
          <t>2022-10-26</t>
        </is>
      </c>
      <c r="B4379" t="n">
        <v>16</v>
      </c>
      <c r="C4379" t="n">
        <v>3085</v>
      </c>
      <c r="D4379" s="6" t="n">
        <v>16.5</v>
      </c>
      <c r="E4379" s="6" t="n">
        <v>1288769.23</v>
      </c>
      <c r="F4379" s="6">
        <f>ROUND(E4379-E4378,2)</f>
        <v/>
      </c>
      <c r="G4379" s="6">
        <f>ROUND(F4379-D4379,2)</f>
        <v/>
      </c>
    </row>
    <row r="4380">
      <c r="A4380" t="inlineStr">
        <is>
          <t>2022-10-26</t>
        </is>
      </c>
      <c r="B4380" t="n">
        <v>17</v>
      </c>
      <c r="C4380" t="n">
        <v>3085</v>
      </c>
      <c r="D4380" s="6" t="n">
        <v>17</v>
      </c>
      <c r="E4380" s="6" t="n">
        <v>1288786.23</v>
      </c>
      <c r="F4380" s="6">
        <f>ROUND(E4380-E4379,2)</f>
        <v/>
      </c>
      <c r="G4380" s="6">
        <f>ROUND(F4380-D4380,2)</f>
        <v/>
      </c>
    </row>
    <row r="4381">
      <c r="A4381" t="inlineStr">
        <is>
          <t>2022-10-26</t>
        </is>
      </c>
      <c r="B4381" t="n">
        <v>18</v>
      </c>
      <c r="C4381" t="n">
        <v>3085</v>
      </c>
      <c r="D4381" s="6" t="n">
        <v>23.1</v>
      </c>
      <c r="E4381" s="6" t="n">
        <v>1288809.33</v>
      </c>
      <c r="F4381" s="6">
        <f>ROUND(E4381-E4380,2)</f>
        <v/>
      </c>
      <c r="G4381" s="6">
        <f>ROUND(F4381-D4381,2)</f>
        <v/>
      </c>
    </row>
    <row r="4382">
      <c r="A4382" t="inlineStr">
        <is>
          <t>2022-10-26</t>
        </is>
      </c>
      <c r="B4382" t="n">
        <v>19</v>
      </c>
      <c r="C4382" t="n">
        <v>3085</v>
      </c>
      <c r="D4382" s="6" t="n">
        <v>22.85</v>
      </c>
      <c r="E4382" s="6" t="n">
        <v>1288832.18</v>
      </c>
      <c r="F4382" s="6">
        <f>ROUND(E4382-E4381,2)</f>
        <v/>
      </c>
      <c r="G4382" s="6">
        <f>ROUND(F4382-D4382,2)</f>
        <v/>
      </c>
    </row>
    <row r="4383">
      <c r="A4383" t="inlineStr">
        <is>
          <t>2022-10-26</t>
        </is>
      </c>
      <c r="B4383" t="n">
        <v>20</v>
      </c>
      <c r="C4383" t="n">
        <v>3085</v>
      </c>
      <c r="D4383" s="6" t="n">
        <v>22.85</v>
      </c>
      <c r="E4383" s="6" t="n">
        <v>1288855.03</v>
      </c>
      <c r="F4383" s="6">
        <f>ROUND(E4383-E4382,2)</f>
        <v/>
      </c>
      <c r="G4383" s="6">
        <f>ROUND(F4383-D4383,2)</f>
        <v/>
      </c>
    </row>
    <row r="4384">
      <c r="A4384" t="inlineStr">
        <is>
          <t>2022-10-26</t>
        </is>
      </c>
      <c r="B4384" t="n">
        <v>21</v>
      </c>
      <c r="C4384" t="n">
        <v>3085</v>
      </c>
      <c r="D4384" s="6" t="n">
        <v>22.9</v>
      </c>
      <c r="E4384" s="6" t="n">
        <v>1288877.93</v>
      </c>
      <c r="F4384" s="6">
        <f>ROUND(E4384-E4383,2)</f>
        <v/>
      </c>
      <c r="G4384" s="6">
        <f>ROUND(F4384-D4384,2)</f>
        <v/>
      </c>
    </row>
    <row r="4385">
      <c r="A4385" t="inlineStr">
        <is>
          <t>2022-10-26</t>
        </is>
      </c>
      <c r="B4385" t="n">
        <v>22</v>
      </c>
      <c r="C4385" t="n">
        <v>3085</v>
      </c>
      <c r="D4385" s="6" t="n">
        <v>134.8</v>
      </c>
      <c r="E4385" s="6" t="n">
        <v>1289012.73</v>
      </c>
      <c r="F4385" s="6">
        <f>ROUND(E4385-E4384,2)</f>
        <v/>
      </c>
      <c r="G4385" s="6">
        <f>ROUND(F4385-D4385,2)</f>
        <v/>
      </c>
    </row>
    <row r="4386">
      <c r="A4386" t="inlineStr">
        <is>
          <t>2022-10-26</t>
        </is>
      </c>
      <c r="B4386" t="n">
        <v>23</v>
      </c>
      <c r="C4386" t="n">
        <v>3085</v>
      </c>
      <c r="D4386" s="6" t="n">
        <v>69.2</v>
      </c>
      <c r="E4386" s="6" t="n">
        <v>1289081.93</v>
      </c>
      <c r="F4386" s="6">
        <f>ROUND(E4386-E4385,2)</f>
        <v/>
      </c>
      <c r="G4386" s="6">
        <f>ROUND(F4386-D4386,2)</f>
        <v/>
      </c>
    </row>
    <row r="4387">
      <c r="A4387" t="inlineStr">
        <is>
          <t>2022-10-26</t>
        </is>
      </c>
      <c r="B4387" t="n">
        <v>24</v>
      </c>
      <c r="C4387" t="n">
        <v>3085</v>
      </c>
      <c r="D4387" s="6" t="n">
        <v>61.1</v>
      </c>
      <c r="E4387" s="6" t="n">
        <v>1289143.03</v>
      </c>
      <c r="F4387" s="6">
        <f>ROUND(E4387-E4386,2)</f>
        <v/>
      </c>
      <c r="G4387" s="6">
        <f>ROUND(F4387-D4387,2)</f>
        <v/>
      </c>
    </row>
    <row r="4388">
      <c r="A4388" t="inlineStr">
        <is>
          <t>2022-10-26</t>
        </is>
      </c>
      <c r="B4388" t="n">
        <v>25</v>
      </c>
      <c r="C4388" t="n">
        <v>3085</v>
      </c>
      <c r="D4388" s="6" t="n">
        <v>105.8</v>
      </c>
      <c r="E4388" s="6" t="n">
        <v>1289248.83</v>
      </c>
      <c r="F4388" s="6">
        <f>ROUND(E4388-E4387,2)</f>
        <v/>
      </c>
      <c r="G4388" s="6">
        <f>ROUND(F4388-D4388,2)</f>
        <v/>
      </c>
    </row>
    <row r="4389">
      <c r="A4389" t="inlineStr">
        <is>
          <t>2022-10-26</t>
        </is>
      </c>
      <c r="B4389" t="n">
        <v>26</v>
      </c>
      <c r="C4389" t="n">
        <v>3085</v>
      </c>
      <c r="D4389" s="6" t="n">
        <v>67.2</v>
      </c>
      <c r="E4389" s="6" t="n">
        <v>1289316.03</v>
      </c>
      <c r="F4389" s="6">
        <f>ROUND(E4389-E4388,2)</f>
        <v/>
      </c>
      <c r="G4389" s="6">
        <f>ROUND(F4389-D4389,2)</f>
        <v/>
      </c>
    </row>
    <row r="4390">
      <c r="A4390" t="inlineStr">
        <is>
          <t>2022-10-26</t>
        </is>
      </c>
      <c r="B4390" t="n">
        <v>27</v>
      </c>
      <c r="C4390" t="n">
        <v>3085</v>
      </c>
      <c r="D4390" s="6" t="n">
        <v>63.4</v>
      </c>
      <c r="E4390" s="6" t="n">
        <v>1289379.43</v>
      </c>
      <c r="F4390" s="6">
        <f>ROUND(E4390-E4389,2)</f>
        <v/>
      </c>
      <c r="G4390" s="6">
        <f>ROUND(F4390-D4390,2)</f>
        <v/>
      </c>
    </row>
    <row r="4391">
      <c r="A4391" t="inlineStr">
        <is>
          <t>2022-10-26</t>
        </is>
      </c>
      <c r="B4391" t="n">
        <v>28</v>
      </c>
      <c r="C4391" t="n">
        <v>3085</v>
      </c>
      <c r="D4391" s="6" t="n">
        <v>90.3</v>
      </c>
      <c r="E4391" s="6" t="n">
        <v>1289469.73</v>
      </c>
      <c r="F4391" s="6">
        <f>ROUND(E4391-E4390,2)</f>
        <v/>
      </c>
      <c r="G4391" s="6">
        <f>ROUND(F4391-D4391,2)</f>
        <v/>
      </c>
    </row>
    <row r="4392">
      <c r="A4392" t="inlineStr">
        <is>
          <t>2022-10-26</t>
        </is>
      </c>
      <c r="B4392" t="n">
        <v>29</v>
      </c>
      <c r="C4392" t="n">
        <v>3085</v>
      </c>
      <c r="D4392" s="6" t="n">
        <v>79</v>
      </c>
      <c r="E4392" s="6" t="n">
        <v>1289548.73</v>
      </c>
      <c r="F4392" s="6">
        <f>ROUND(E4392-E4391,2)</f>
        <v/>
      </c>
      <c r="G4392" s="6">
        <f>ROUND(F4392-D4392,2)</f>
        <v/>
      </c>
    </row>
    <row r="4393">
      <c r="A4393" t="inlineStr">
        <is>
          <t>2022-10-26</t>
        </is>
      </c>
      <c r="B4393" t="n">
        <v>30</v>
      </c>
      <c r="C4393" t="n">
        <v>3085</v>
      </c>
      <c r="D4393" s="6" t="n">
        <v>26.25</v>
      </c>
      <c r="E4393" s="6" t="n">
        <v>1289574.98</v>
      </c>
      <c r="F4393" s="6">
        <f>ROUND(E4393-E4392,2)</f>
        <v/>
      </c>
      <c r="G4393" s="6">
        <f>ROUND(F4393-D4393,2)</f>
        <v/>
      </c>
    </row>
    <row r="4394">
      <c r="A4394" t="inlineStr">
        <is>
          <t>2022-10-26</t>
        </is>
      </c>
      <c r="B4394" t="n">
        <v>31</v>
      </c>
      <c r="C4394" t="n">
        <v>3085</v>
      </c>
      <c r="D4394" s="6" t="n">
        <v>26.25</v>
      </c>
      <c r="E4394" s="6" t="n">
        <v>1289601.23</v>
      </c>
      <c r="F4394" s="6">
        <f>ROUND(E4394-E4393,2)</f>
        <v/>
      </c>
      <c r="G4394" s="6">
        <f>ROUND(F4394-D4394,2)</f>
        <v/>
      </c>
    </row>
    <row r="4395">
      <c r="A4395" t="inlineStr">
        <is>
          <t>2022-10-26</t>
        </is>
      </c>
      <c r="B4395" t="n">
        <v>32</v>
      </c>
      <c r="C4395" t="n">
        <v>3085</v>
      </c>
      <c r="D4395" s="6" t="n">
        <v>69.40000000000001</v>
      </c>
      <c r="E4395" s="6" t="n">
        <v>1289670.63</v>
      </c>
      <c r="F4395" s="6">
        <f>ROUND(E4395-E4394,2)</f>
        <v/>
      </c>
      <c r="G4395" s="6">
        <f>ROUND(F4395-D4395,2)</f>
        <v/>
      </c>
    </row>
    <row r="4396">
      <c r="A4396" t="inlineStr">
        <is>
          <t>2022-10-26</t>
        </is>
      </c>
      <c r="B4396" t="n">
        <v>33</v>
      </c>
      <c r="C4396" t="n">
        <v>3085</v>
      </c>
      <c r="D4396" s="6" t="n">
        <v>22.2</v>
      </c>
      <c r="E4396" s="6" t="n">
        <v>1289692.83</v>
      </c>
      <c r="F4396" s="6">
        <f>ROUND(E4396-E4395,2)</f>
        <v/>
      </c>
      <c r="G4396" s="6">
        <f>ROUND(F4396-D4396,2)</f>
        <v/>
      </c>
    </row>
    <row r="4397">
      <c r="A4397" t="inlineStr">
        <is>
          <t>2022-10-26</t>
        </is>
      </c>
      <c r="B4397" t="n">
        <v>34</v>
      </c>
      <c r="C4397" t="n">
        <v>3085</v>
      </c>
      <c r="D4397" s="6" t="n">
        <v>58.2</v>
      </c>
      <c r="E4397" s="6" t="n">
        <v>1289751.03</v>
      </c>
      <c r="F4397" s="6">
        <f>ROUND(E4397-E4396,2)</f>
        <v/>
      </c>
      <c r="G4397" s="6">
        <f>ROUND(F4397-D4397,2)</f>
        <v/>
      </c>
    </row>
    <row r="4398">
      <c r="A4398" t="inlineStr">
        <is>
          <t>2022-10-26</t>
        </is>
      </c>
      <c r="B4398" t="n">
        <v>35</v>
      </c>
      <c r="C4398" t="n">
        <v>3085</v>
      </c>
      <c r="D4398" s="6" t="n">
        <v>19.8</v>
      </c>
      <c r="E4398" s="6" t="n">
        <v>1289770.83</v>
      </c>
      <c r="F4398" s="6">
        <f>ROUND(E4398-E4397,2)</f>
        <v/>
      </c>
      <c r="G4398" s="6">
        <f>ROUND(F4398-D4398,2)</f>
        <v/>
      </c>
    </row>
    <row r="4399">
      <c r="A4399" t="inlineStr">
        <is>
          <t>2022-10-26</t>
        </is>
      </c>
      <c r="B4399" t="n">
        <v>36</v>
      </c>
      <c r="C4399" t="n">
        <v>3085</v>
      </c>
      <c r="D4399" s="6" t="n">
        <v>56.7</v>
      </c>
      <c r="E4399" s="6" t="n">
        <v>1289827.53</v>
      </c>
      <c r="F4399" s="6">
        <f>ROUND(E4399-E4398,2)</f>
        <v/>
      </c>
      <c r="G4399" s="6">
        <f>ROUND(F4399-D4399,2)</f>
        <v/>
      </c>
    </row>
    <row r="4400">
      <c r="A4400" t="inlineStr">
        <is>
          <t>2022-10-26</t>
        </is>
      </c>
      <c r="B4400" t="n">
        <v>37</v>
      </c>
      <c r="C4400" t="n">
        <v>3085</v>
      </c>
      <c r="D4400" s="6" t="n">
        <v>83.5</v>
      </c>
      <c r="E4400" s="6" t="n">
        <v>1289911.03</v>
      </c>
      <c r="F4400" s="6">
        <f>ROUND(E4400-E4399,2)</f>
        <v/>
      </c>
      <c r="G4400" s="6">
        <f>ROUND(F4400-D4400,2)</f>
        <v/>
      </c>
    </row>
    <row r="4401">
      <c r="A4401" t="inlineStr">
        <is>
          <t>2022-10-27</t>
        </is>
      </c>
      <c r="B4401" t="n">
        <v>1</v>
      </c>
      <c r="C4401" t="n">
        <v>3086</v>
      </c>
      <c r="D4401" s="6" t="n">
        <v>61.55</v>
      </c>
      <c r="E4401" s="6" t="n">
        <v>1289972.58</v>
      </c>
      <c r="F4401" s="6">
        <f>ROUND(E4401-E4400,2)</f>
        <v/>
      </c>
      <c r="G4401" s="6">
        <f>ROUND(F4401-D4401,2)</f>
        <v/>
      </c>
    </row>
    <row r="4402">
      <c r="A4402" t="inlineStr">
        <is>
          <t>2022-10-27</t>
        </is>
      </c>
      <c r="B4402" t="n">
        <v>2</v>
      </c>
      <c r="C4402" t="n">
        <v>3086</v>
      </c>
      <c r="D4402" s="6" t="n">
        <v>53.8</v>
      </c>
      <c r="E4402" s="6" t="n">
        <v>1290026.38</v>
      </c>
      <c r="F4402" s="6">
        <f>ROUND(E4402-E4401,2)</f>
        <v/>
      </c>
      <c r="G4402" s="6">
        <f>ROUND(F4402-D4402,2)</f>
        <v/>
      </c>
    </row>
    <row r="4403">
      <c r="A4403" t="inlineStr">
        <is>
          <t>2022-10-27</t>
        </is>
      </c>
      <c r="B4403" t="n">
        <v>3</v>
      </c>
      <c r="C4403" t="n">
        <v>3086</v>
      </c>
      <c r="D4403" s="6" t="n">
        <v>75.90000000000001</v>
      </c>
      <c r="E4403" s="6" t="n">
        <v>1290102.28</v>
      </c>
      <c r="F4403" s="6">
        <f>ROUND(E4403-E4402,2)</f>
        <v/>
      </c>
      <c r="G4403" s="6">
        <f>ROUND(F4403-D4403,2)</f>
        <v/>
      </c>
    </row>
    <row r="4404">
      <c r="A4404" t="inlineStr">
        <is>
          <t>2022-10-27</t>
        </is>
      </c>
      <c r="B4404" t="n">
        <v>4</v>
      </c>
      <c r="C4404" t="n">
        <v>3086</v>
      </c>
      <c r="D4404" s="6" t="n">
        <v>59.3</v>
      </c>
      <c r="E4404" s="6" t="n">
        <v>1290161.58</v>
      </c>
      <c r="F4404" s="6">
        <f>ROUND(E4404-E4403,2)</f>
        <v/>
      </c>
      <c r="G4404" s="6">
        <f>ROUND(F4404-D4404,2)</f>
        <v/>
      </c>
    </row>
    <row r="4405">
      <c r="A4405" t="inlineStr">
        <is>
          <t>2022-10-27</t>
        </is>
      </c>
      <c r="B4405" t="n">
        <v>5</v>
      </c>
      <c r="C4405" t="n">
        <v>3086</v>
      </c>
      <c r="D4405" s="6" t="n">
        <v>13</v>
      </c>
      <c r="E4405" s="6" t="n">
        <v>1290174.58</v>
      </c>
      <c r="F4405" s="6">
        <f>ROUND(E4405-E4404,2)</f>
        <v/>
      </c>
      <c r="G4405" s="6">
        <f>ROUND(F4405-D4405,2)</f>
        <v/>
      </c>
    </row>
    <row r="4406">
      <c r="A4406" t="inlineStr">
        <is>
          <t>2022-10-27</t>
        </is>
      </c>
      <c r="B4406" t="n">
        <v>6</v>
      </c>
      <c r="C4406" t="n">
        <v>3086</v>
      </c>
      <c r="D4406" s="6" t="n">
        <v>38.1</v>
      </c>
      <c r="E4406" s="6" t="n">
        <v>1290212.68</v>
      </c>
      <c r="F4406" s="6">
        <f>ROUND(E4406-E4405,2)</f>
        <v/>
      </c>
      <c r="G4406" s="6">
        <f>ROUND(F4406-D4406,2)</f>
        <v/>
      </c>
    </row>
    <row r="4407">
      <c r="A4407" t="inlineStr">
        <is>
          <t>2022-10-27</t>
        </is>
      </c>
      <c r="B4407" t="n">
        <v>7</v>
      </c>
      <c r="C4407" t="n">
        <v>3086</v>
      </c>
      <c r="D4407" s="6" t="n">
        <v>44.1</v>
      </c>
      <c r="E4407" s="6" t="n">
        <v>1290256.78</v>
      </c>
      <c r="F4407" s="6">
        <f>ROUND(E4407-E4406,2)</f>
        <v/>
      </c>
      <c r="G4407" s="6">
        <f>ROUND(F4407-D4407,2)</f>
        <v/>
      </c>
    </row>
    <row r="4408">
      <c r="A4408" t="inlineStr">
        <is>
          <t>2022-10-27</t>
        </is>
      </c>
      <c r="B4408" t="n">
        <v>8</v>
      </c>
      <c r="C4408" t="n">
        <v>3086</v>
      </c>
      <c r="D4408" s="6" t="n">
        <v>63.2</v>
      </c>
      <c r="E4408" s="6" t="n">
        <v>1290319.98</v>
      </c>
      <c r="F4408" s="6">
        <f>ROUND(E4408-E4407,2)</f>
        <v/>
      </c>
      <c r="G4408" s="6">
        <f>ROUND(F4408-D4408,2)</f>
        <v/>
      </c>
    </row>
    <row r="4409">
      <c r="A4409" t="inlineStr">
        <is>
          <t>2022-10-27</t>
        </is>
      </c>
      <c r="B4409" t="n">
        <v>9</v>
      </c>
      <c r="C4409" t="n">
        <v>3086</v>
      </c>
      <c r="D4409" s="6" t="n">
        <v>50.85</v>
      </c>
      <c r="E4409" s="6" t="n">
        <v>1290370.83</v>
      </c>
      <c r="F4409" s="6">
        <f>ROUND(E4409-E4408,2)</f>
        <v/>
      </c>
      <c r="G4409" s="6">
        <f>ROUND(F4409-D4409,2)</f>
        <v/>
      </c>
    </row>
    <row r="4410">
      <c r="A4410" t="inlineStr">
        <is>
          <t>2022-10-27</t>
        </is>
      </c>
      <c r="B4410" t="n">
        <v>10</v>
      </c>
      <c r="C4410" t="n">
        <v>3086</v>
      </c>
      <c r="D4410" s="6" t="n">
        <v>50.85</v>
      </c>
      <c r="E4410" s="6" t="n">
        <v>1290421.68</v>
      </c>
      <c r="F4410" s="6">
        <f>ROUND(E4410-E4409,2)</f>
        <v/>
      </c>
      <c r="G4410" s="6">
        <f>ROUND(F4410-D4410,2)</f>
        <v/>
      </c>
    </row>
    <row r="4411">
      <c r="A4411" t="inlineStr">
        <is>
          <t>2022-10-27</t>
        </is>
      </c>
      <c r="B4411" t="n">
        <v>11</v>
      </c>
      <c r="C4411" t="n">
        <v>3086</v>
      </c>
      <c r="D4411" s="6" t="n">
        <v>41.2</v>
      </c>
      <c r="E4411" s="6" t="n">
        <v>1290462.88</v>
      </c>
      <c r="F4411" s="6">
        <f>ROUND(E4411-E4410,2)</f>
        <v/>
      </c>
      <c r="G4411" s="6">
        <f>ROUND(F4411-D4411,2)</f>
        <v/>
      </c>
    </row>
    <row r="4412">
      <c r="A4412" t="inlineStr">
        <is>
          <t>2022-10-27</t>
        </is>
      </c>
      <c r="B4412" t="n">
        <v>12</v>
      </c>
      <c r="C4412" t="n">
        <v>3086</v>
      </c>
      <c r="D4412" s="6" t="n">
        <v>18.6</v>
      </c>
      <c r="E4412" s="6" t="n">
        <v>1290481.48</v>
      </c>
      <c r="F4412" s="6">
        <f>ROUND(E4412-E4411,2)</f>
        <v/>
      </c>
      <c r="G4412" s="6">
        <f>ROUND(F4412-D4412,2)</f>
        <v/>
      </c>
    </row>
    <row r="4413">
      <c r="A4413" t="inlineStr">
        <is>
          <t>2022-10-27</t>
        </is>
      </c>
      <c r="B4413" t="n">
        <v>13</v>
      </c>
      <c r="C4413" t="n">
        <v>3086</v>
      </c>
      <c r="D4413" s="6" t="n">
        <v>18.3</v>
      </c>
      <c r="E4413" s="6" t="n">
        <v>1290499.78</v>
      </c>
      <c r="F4413" s="6">
        <f>ROUND(E4413-E4412,2)</f>
        <v/>
      </c>
      <c r="G4413" s="6">
        <f>ROUND(F4413-D4413,2)</f>
        <v/>
      </c>
    </row>
    <row r="4414">
      <c r="A4414" t="inlineStr">
        <is>
          <t>2022-10-27</t>
        </is>
      </c>
      <c r="B4414" t="n">
        <v>14</v>
      </c>
      <c r="C4414" t="n">
        <v>3086</v>
      </c>
      <c r="D4414" s="6" t="n">
        <v>14.7</v>
      </c>
      <c r="E4414" s="6" t="n">
        <v>1290514.48</v>
      </c>
      <c r="F4414" s="6">
        <f>ROUND(E4414-E4413,2)</f>
        <v/>
      </c>
      <c r="G4414" s="6">
        <f>ROUND(F4414-D4414,2)</f>
        <v/>
      </c>
    </row>
    <row r="4415">
      <c r="A4415" t="inlineStr">
        <is>
          <t>2022-10-27</t>
        </is>
      </c>
      <c r="B4415" t="n">
        <v>15</v>
      </c>
      <c r="C4415" t="n">
        <v>3086</v>
      </c>
      <c r="D4415" s="6" t="n">
        <v>64.2</v>
      </c>
      <c r="E4415" s="6" t="n">
        <v>1290578.68</v>
      </c>
      <c r="F4415" s="6">
        <f>ROUND(E4415-E4414,2)</f>
        <v/>
      </c>
      <c r="G4415" s="6">
        <f>ROUND(F4415-D4415,2)</f>
        <v/>
      </c>
    </row>
    <row r="4416">
      <c r="A4416" t="inlineStr">
        <is>
          <t>2022-10-27</t>
        </is>
      </c>
      <c r="B4416" t="n">
        <v>16</v>
      </c>
      <c r="C4416" t="n">
        <v>3086</v>
      </c>
      <c r="D4416" s="6" t="n">
        <v>45.9</v>
      </c>
      <c r="E4416" s="6" t="n">
        <v>1290624.58</v>
      </c>
      <c r="F4416" s="6">
        <f>ROUND(E4416-E4415,2)</f>
        <v/>
      </c>
      <c r="G4416" s="6">
        <f>ROUND(F4416-D4416,2)</f>
        <v/>
      </c>
    </row>
    <row r="4417">
      <c r="A4417" t="inlineStr">
        <is>
          <t>2022-10-27</t>
        </is>
      </c>
      <c r="B4417" t="n">
        <v>17</v>
      </c>
      <c r="C4417" t="n">
        <v>3086</v>
      </c>
      <c r="D4417" s="6" t="n">
        <v>22.5</v>
      </c>
      <c r="E4417" s="6" t="n">
        <v>1290647.08</v>
      </c>
      <c r="F4417" s="6">
        <f>ROUND(E4417-E4416,2)</f>
        <v/>
      </c>
      <c r="G4417" s="6">
        <f>ROUND(F4417-D4417,2)</f>
        <v/>
      </c>
    </row>
    <row r="4418">
      <c r="A4418" t="inlineStr">
        <is>
          <t>2022-10-27</t>
        </is>
      </c>
      <c r="B4418" t="n">
        <v>18</v>
      </c>
      <c r="C4418" t="n">
        <v>3086</v>
      </c>
      <c r="D4418" s="6" t="n">
        <v>19.9</v>
      </c>
      <c r="E4418" s="6" t="n">
        <v>1290666.98</v>
      </c>
      <c r="F4418" s="6">
        <f>ROUND(E4418-E4417,2)</f>
        <v/>
      </c>
      <c r="G4418" s="6">
        <f>ROUND(F4418-D4418,2)</f>
        <v/>
      </c>
    </row>
    <row r="4419">
      <c r="A4419" t="inlineStr">
        <is>
          <t>2022-10-27</t>
        </is>
      </c>
      <c r="B4419" t="n">
        <v>19</v>
      </c>
      <c r="C4419" t="n">
        <v>3086</v>
      </c>
      <c r="D4419" s="6" t="n">
        <v>51.6</v>
      </c>
      <c r="E4419" s="6" t="n">
        <v>1290718.58</v>
      </c>
      <c r="F4419" s="6">
        <f>ROUND(E4419-E4418,2)</f>
        <v/>
      </c>
      <c r="G4419" s="6">
        <f>ROUND(F4419-D4419,2)</f>
        <v/>
      </c>
    </row>
    <row r="4420">
      <c r="A4420" t="inlineStr">
        <is>
          <t>2022-10-27</t>
        </is>
      </c>
      <c r="B4420" t="n">
        <v>20</v>
      </c>
      <c r="C4420" t="n">
        <v>3086</v>
      </c>
      <c r="D4420" s="6" t="n">
        <v>87.7</v>
      </c>
      <c r="E4420" s="6" t="n">
        <v>1290806.28</v>
      </c>
      <c r="F4420" s="6">
        <f>ROUND(E4420-E4419,2)</f>
        <v/>
      </c>
      <c r="G4420" s="6">
        <f>ROUND(F4420-D4420,2)</f>
        <v/>
      </c>
    </row>
    <row r="4421">
      <c r="A4421" t="inlineStr">
        <is>
          <t>2022-10-27</t>
        </is>
      </c>
      <c r="B4421" t="n">
        <v>21</v>
      </c>
      <c r="C4421" t="n">
        <v>3086</v>
      </c>
      <c r="D4421" s="6" t="n">
        <v>84.7</v>
      </c>
      <c r="E4421" s="6" t="n">
        <v>1290890.98</v>
      </c>
      <c r="F4421" s="6">
        <f>ROUND(E4421-E4420,2)</f>
        <v/>
      </c>
      <c r="G4421" s="6">
        <f>ROUND(F4421-D4421,2)</f>
        <v/>
      </c>
    </row>
    <row r="4422">
      <c r="A4422" t="inlineStr">
        <is>
          <t>2022-10-27</t>
        </is>
      </c>
      <c r="B4422" t="n">
        <v>22</v>
      </c>
      <c r="C4422" t="n">
        <v>3086</v>
      </c>
      <c r="D4422" s="6" t="n">
        <v>151</v>
      </c>
      <c r="E4422" s="6" t="n">
        <v>1291041.98</v>
      </c>
      <c r="F4422" s="6">
        <f>ROUND(E4422-E4421,2)</f>
        <v/>
      </c>
      <c r="G4422" s="6">
        <f>ROUND(F4422-D4422,2)</f>
        <v/>
      </c>
    </row>
    <row r="4423">
      <c r="A4423" t="inlineStr">
        <is>
          <t>2022-10-27</t>
        </is>
      </c>
      <c r="B4423" t="n">
        <v>23</v>
      </c>
      <c r="C4423" t="n">
        <v>3086</v>
      </c>
      <c r="D4423" s="6" t="n">
        <v>61</v>
      </c>
      <c r="E4423" s="6" t="n">
        <v>1291102.98</v>
      </c>
      <c r="F4423" s="6">
        <f>ROUND(E4423-E4422,2)</f>
        <v/>
      </c>
      <c r="G4423" s="6">
        <f>ROUND(F4423-D4423,2)</f>
        <v/>
      </c>
    </row>
    <row r="4424">
      <c r="A4424" t="inlineStr">
        <is>
          <t>2022-10-27</t>
        </is>
      </c>
      <c r="B4424" t="n">
        <v>24</v>
      </c>
      <c r="C4424" t="n">
        <v>3086</v>
      </c>
      <c r="D4424" s="6" t="n">
        <v>130.7</v>
      </c>
      <c r="E4424" s="6" t="n">
        <v>1291233.68</v>
      </c>
      <c r="F4424" s="6">
        <f>ROUND(E4424-E4423,2)</f>
        <v/>
      </c>
      <c r="G4424" s="6">
        <f>ROUND(F4424-D4424,2)</f>
        <v/>
      </c>
    </row>
    <row r="4425">
      <c r="A4425" t="inlineStr">
        <is>
          <t>2022-10-27</t>
        </is>
      </c>
      <c r="B4425" t="n">
        <v>25</v>
      </c>
      <c r="C4425" t="n">
        <v>3086</v>
      </c>
      <c r="D4425" s="6" t="n">
        <v>67.5</v>
      </c>
      <c r="E4425" s="6" t="n">
        <v>1291301.18</v>
      </c>
      <c r="F4425" s="6">
        <f>ROUND(E4425-E4424,2)</f>
        <v/>
      </c>
      <c r="G4425" s="6">
        <f>ROUND(F4425-D4425,2)</f>
        <v/>
      </c>
    </row>
    <row r="4426">
      <c r="A4426" t="inlineStr">
        <is>
          <t>2022-10-27</t>
        </is>
      </c>
      <c r="B4426" t="n">
        <v>26</v>
      </c>
      <c r="C4426" t="n">
        <v>3086</v>
      </c>
      <c r="D4426" s="6" t="n">
        <v>76.3</v>
      </c>
      <c r="E4426" s="6" t="n">
        <v>1291377.48</v>
      </c>
      <c r="F4426" s="6">
        <f>ROUND(E4426-E4425,2)</f>
        <v/>
      </c>
      <c r="G4426" s="6">
        <f>ROUND(F4426-D4426,2)</f>
        <v/>
      </c>
    </row>
    <row r="4427">
      <c r="A4427" t="inlineStr">
        <is>
          <t>2022-10-27</t>
        </is>
      </c>
      <c r="B4427" t="n">
        <v>27</v>
      </c>
      <c r="C4427" t="n">
        <v>3086</v>
      </c>
      <c r="D4427" s="6" t="n">
        <v>32.3</v>
      </c>
      <c r="E4427" s="6" t="n">
        <v>1291409.78</v>
      </c>
      <c r="F4427" s="6">
        <f>ROUND(E4427-E4426,2)</f>
        <v/>
      </c>
      <c r="G4427" s="6">
        <f>ROUND(F4427-D4427,2)</f>
        <v/>
      </c>
    </row>
    <row r="4428">
      <c r="A4428" t="inlineStr">
        <is>
          <t>2022-10-27</t>
        </is>
      </c>
      <c r="B4428" t="n">
        <v>28</v>
      </c>
      <c r="C4428" t="n">
        <v>3086</v>
      </c>
      <c r="D4428" s="6" t="n">
        <v>32.3</v>
      </c>
      <c r="E4428" s="6" t="n">
        <v>1291442.08</v>
      </c>
      <c r="F4428" s="6">
        <f>ROUND(E4428-E4427,2)</f>
        <v/>
      </c>
      <c r="G4428" s="6">
        <f>ROUND(F4428-D4428,2)</f>
        <v/>
      </c>
    </row>
    <row r="4429">
      <c r="A4429" t="inlineStr">
        <is>
          <t>2022-10-27</t>
        </is>
      </c>
      <c r="B4429" t="n">
        <v>29</v>
      </c>
      <c r="C4429" t="n">
        <v>3086</v>
      </c>
      <c r="D4429" s="6" t="n">
        <v>42.6</v>
      </c>
      <c r="E4429" s="6" t="n">
        <v>1291484.68</v>
      </c>
      <c r="F4429" s="6">
        <f>ROUND(E4429-E4428,2)</f>
        <v/>
      </c>
      <c r="G4429" s="6">
        <f>ROUND(F4429-D4429,2)</f>
        <v/>
      </c>
    </row>
    <row r="4430">
      <c r="A4430" t="inlineStr">
        <is>
          <t>2022-10-27</t>
        </is>
      </c>
      <c r="B4430" t="n">
        <v>30</v>
      </c>
      <c r="C4430" t="n">
        <v>3086</v>
      </c>
      <c r="D4430" s="6" t="n">
        <v>48.6</v>
      </c>
      <c r="E4430" s="6" t="n">
        <v>1291533.28</v>
      </c>
      <c r="F4430" s="6">
        <f>ROUND(E4430-E4429,2)</f>
        <v/>
      </c>
      <c r="G4430" s="6">
        <f>ROUND(F4430-D4430,2)</f>
        <v/>
      </c>
    </row>
    <row r="4431">
      <c r="A4431" t="inlineStr">
        <is>
          <t>2022-10-27</t>
        </is>
      </c>
      <c r="B4431" t="n">
        <v>31</v>
      </c>
      <c r="C4431" t="n">
        <v>3086</v>
      </c>
      <c r="D4431" s="6" t="n">
        <v>64.90000000000001</v>
      </c>
      <c r="E4431" s="6" t="n">
        <v>1291598.18</v>
      </c>
      <c r="F4431" s="6">
        <f>ROUND(E4431-E4430,2)</f>
        <v/>
      </c>
      <c r="G4431" s="6">
        <f>ROUND(F4431-D4431,2)</f>
        <v/>
      </c>
    </row>
    <row r="4432">
      <c r="A4432" t="inlineStr">
        <is>
          <t>2022-10-28</t>
        </is>
      </c>
      <c r="B4432" t="n">
        <v>1</v>
      </c>
      <c r="C4432" t="n">
        <v>3087</v>
      </c>
      <c r="D4432" s="6" t="n">
        <v>73.8</v>
      </c>
      <c r="E4432" s="6" t="n">
        <v>1291671.98</v>
      </c>
      <c r="F4432" s="6">
        <f>ROUND(E4432-E4431,2)</f>
        <v/>
      </c>
      <c r="G4432" s="6">
        <f>ROUND(F4432-D4432,2)</f>
        <v/>
      </c>
    </row>
    <row r="4433">
      <c r="A4433" t="inlineStr">
        <is>
          <t>2022-10-28</t>
        </is>
      </c>
      <c r="B4433" t="n">
        <v>2</v>
      </c>
      <c r="C4433" t="n">
        <v>3087</v>
      </c>
      <c r="D4433" s="6" t="n">
        <v>62.3</v>
      </c>
      <c r="E4433" s="6" t="n">
        <v>1291734.28</v>
      </c>
      <c r="F4433" s="6">
        <f>ROUND(E4433-E4432,2)</f>
        <v/>
      </c>
      <c r="G4433" s="6">
        <f>ROUND(F4433-D4433,2)</f>
        <v/>
      </c>
    </row>
    <row r="4434">
      <c r="A4434" t="inlineStr">
        <is>
          <t>2022-10-28</t>
        </is>
      </c>
      <c r="B4434" t="n">
        <v>3</v>
      </c>
      <c r="C4434" t="n">
        <v>3087</v>
      </c>
      <c r="D4434" s="6" t="n">
        <v>71.40000000000001</v>
      </c>
      <c r="E4434" s="6" t="n">
        <v>1291805.68</v>
      </c>
      <c r="F4434" s="6">
        <f>ROUND(E4434-E4433,2)</f>
        <v/>
      </c>
      <c r="G4434" s="6">
        <f>ROUND(F4434-D4434,2)</f>
        <v/>
      </c>
    </row>
    <row r="4435">
      <c r="A4435" t="inlineStr">
        <is>
          <t>2022-10-28</t>
        </is>
      </c>
      <c r="B4435" t="n">
        <v>4</v>
      </c>
      <c r="C4435" t="n">
        <v>3087</v>
      </c>
      <c r="D4435" s="6" t="n">
        <v>95.3</v>
      </c>
      <c r="E4435" s="6" t="n">
        <v>1291900.98</v>
      </c>
      <c r="F4435" s="6">
        <f>ROUND(E4435-E4434,2)</f>
        <v/>
      </c>
      <c r="G4435" s="6">
        <f>ROUND(F4435-D4435,2)</f>
        <v/>
      </c>
    </row>
    <row r="4436">
      <c r="A4436" t="inlineStr">
        <is>
          <t>2022-10-28</t>
        </is>
      </c>
      <c r="B4436" t="n">
        <v>5</v>
      </c>
      <c r="C4436" t="n">
        <v>3087</v>
      </c>
      <c r="D4436" s="6" t="n">
        <v>24.85</v>
      </c>
      <c r="E4436" s="6" t="n">
        <v>1291925.83</v>
      </c>
      <c r="F4436" s="6">
        <f>ROUND(E4436-E4435,2)</f>
        <v/>
      </c>
      <c r="G4436" s="6">
        <f>ROUND(F4436-D4436,2)</f>
        <v/>
      </c>
    </row>
    <row r="4437">
      <c r="A4437" t="inlineStr">
        <is>
          <t>2022-10-28</t>
        </is>
      </c>
      <c r="B4437" t="n">
        <v>6</v>
      </c>
      <c r="C4437" t="n">
        <v>3087</v>
      </c>
      <c r="D4437" s="6" t="n">
        <v>24.85</v>
      </c>
      <c r="E4437" s="6" t="n">
        <v>1291950.68</v>
      </c>
      <c r="F4437" s="6">
        <f>ROUND(E4437-E4436,2)</f>
        <v/>
      </c>
      <c r="G4437" s="6">
        <f>ROUND(F4437-D4437,2)</f>
        <v/>
      </c>
    </row>
    <row r="4438">
      <c r="A4438" t="inlineStr">
        <is>
          <t>2022-10-28</t>
        </is>
      </c>
      <c r="B4438" t="n">
        <v>7</v>
      </c>
      <c r="C4438" t="n">
        <v>3087</v>
      </c>
      <c r="D4438" s="6" t="n">
        <v>94.8</v>
      </c>
      <c r="E4438" s="6" t="n">
        <v>1292045.48</v>
      </c>
      <c r="F4438" s="6">
        <f>ROUND(E4438-E4437,2)</f>
        <v/>
      </c>
      <c r="G4438" s="6">
        <f>ROUND(F4438-D4438,2)</f>
        <v/>
      </c>
    </row>
    <row r="4439">
      <c r="A4439" t="inlineStr">
        <is>
          <t>2022-10-28</t>
        </is>
      </c>
      <c r="B4439" t="n">
        <v>8</v>
      </c>
      <c r="C4439" t="n">
        <v>3087</v>
      </c>
      <c r="D4439" s="6" t="n">
        <v>50.7</v>
      </c>
      <c r="E4439" s="6" t="n">
        <v>1292096.18</v>
      </c>
      <c r="F4439" s="6">
        <f>ROUND(E4439-E4438,2)</f>
        <v/>
      </c>
      <c r="G4439" s="6">
        <f>ROUND(F4439-D4439,2)</f>
        <v/>
      </c>
    </row>
    <row r="4440">
      <c r="A4440" t="inlineStr">
        <is>
          <t>2022-10-28</t>
        </is>
      </c>
      <c r="B4440" t="n">
        <v>9</v>
      </c>
      <c r="C4440" t="n">
        <v>3087</v>
      </c>
      <c r="D4440" s="6" t="n">
        <v>89.3</v>
      </c>
      <c r="E4440" s="6" t="n">
        <v>1292185.48</v>
      </c>
      <c r="F4440" s="6">
        <f>ROUND(E4440-E4439,2)</f>
        <v/>
      </c>
      <c r="G4440" s="6">
        <f>ROUND(F4440-D4440,2)</f>
        <v/>
      </c>
    </row>
    <row r="4441">
      <c r="A4441" t="inlineStr">
        <is>
          <t>2022-10-28</t>
        </is>
      </c>
      <c r="B4441" t="n">
        <v>10</v>
      </c>
      <c r="C4441" t="n">
        <v>3087</v>
      </c>
      <c r="D4441" s="6" t="n">
        <v>64.40000000000001</v>
      </c>
      <c r="E4441" s="6" t="n">
        <v>1292249.88</v>
      </c>
      <c r="F4441" s="6">
        <f>ROUND(E4441-E4440,2)</f>
        <v/>
      </c>
      <c r="G4441" s="6">
        <f>ROUND(F4441-D4441,2)</f>
        <v/>
      </c>
    </row>
    <row r="4442">
      <c r="A4442" t="inlineStr">
        <is>
          <t>2022-10-28</t>
        </is>
      </c>
      <c r="B4442" t="n">
        <v>11</v>
      </c>
      <c r="C4442" t="n">
        <v>3087</v>
      </c>
      <c r="D4442" s="6" t="n">
        <v>100.9</v>
      </c>
      <c r="E4442" s="6" t="n">
        <v>1292350.78</v>
      </c>
      <c r="F4442" s="6">
        <f>ROUND(E4442-E4441,2)</f>
        <v/>
      </c>
      <c r="G4442" s="6">
        <f>ROUND(F4442-D4442,2)</f>
        <v/>
      </c>
    </row>
    <row r="4443">
      <c r="A4443" t="inlineStr">
        <is>
          <t>2022-10-28</t>
        </is>
      </c>
      <c r="B4443" t="n">
        <v>12</v>
      </c>
      <c r="C4443" t="n">
        <v>3087</v>
      </c>
      <c r="D4443" s="6" t="n">
        <v>164.7</v>
      </c>
      <c r="E4443" s="6" t="n">
        <v>1292515.48</v>
      </c>
      <c r="F4443" s="6">
        <f>ROUND(E4443-E4442,2)</f>
        <v/>
      </c>
      <c r="G4443" s="6">
        <f>ROUND(F4443-D4443,2)</f>
        <v/>
      </c>
    </row>
    <row r="4444">
      <c r="A4444" t="inlineStr">
        <is>
          <t>2022-10-28</t>
        </is>
      </c>
      <c r="B4444" t="n">
        <v>13</v>
      </c>
      <c r="C4444" t="n">
        <v>3087</v>
      </c>
      <c r="D4444" s="6" t="n">
        <v>48.3</v>
      </c>
      <c r="E4444" s="6" t="n">
        <v>1292563.78</v>
      </c>
      <c r="F4444" s="6">
        <f>ROUND(E4444-E4443,2)</f>
        <v/>
      </c>
      <c r="G4444" s="6">
        <f>ROUND(F4444-D4444,2)</f>
        <v/>
      </c>
    </row>
    <row r="4445">
      <c r="A4445" t="inlineStr">
        <is>
          <t>2022-10-28</t>
        </is>
      </c>
      <c r="B4445" t="n">
        <v>14</v>
      </c>
      <c r="C4445" t="n">
        <v>3087</v>
      </c>
      <c r="D4445" s="6" t="n">
        <v>44.4</v>
      </c>
      <c r="E4445" s="6" t="n">
        <v>1292608.18</v>
      </c>
      <c r="F4445" s="6">
        <f>ROUND(E4445-E4444,2)</f>
        <v/>
      </c>
      <c r="G4445" s="6">
        <f>ROUND(F4445-D4445,2)</f>
        <v/>
      </c>
    </row>
    <row r="4446">
      <c r="A4446" t="inlineStr">
        <is>
          <t>2022-10-28</t>
        </is>
      </c>
      <c r="B4446" t="n">
        <v>15</v>
      </c>
      <c r="C4446" t="n">
        <v>3087</v>
      </c>
      <c r="D4446" s="6" t="n">
        <v>68.8</v>
      </c>
      <c r="E4446" s="6" t="n">
        <v>1292676.98</v>
      </c>
      <c r="F4446" s="6">
        <f>ROUND(E4446-E4445,2)</f>
        <v/>
      </c>
      <c r="G4446" s="6">
        <f>ROUND(F4446-D4446,2)</f>
        <v/>
      </c>
    </row>
    <row r="4447">
      <c r="A4447" t="inlineStr">
        <is>
          <t>2022-10-28</t>
        </is>
      </c>
      <c r="B4447" t="n">
        <v>16</v>
      </c>
      <c r="C4447" t="n">
        <v>3087</v>
      </c>
      <c r="D4447" s="6" t="n">
        <v>76.40000000000001</v>
      </c>
      <c r="E4447" s="6" t="n">
        <v>1292753.38</v>
      </c>
      <c r="F4447" s="6">
        <f>ROUND(E4447-E4446,2)</f>
        <v/>
      </c>
      <c r="G4447" s="6">
        <f>ROUND(F4447-D4447,2)</f>
        <v/>
      </c>
    </row>
    <row r="4448">
      <c r="A4448" t="inlineStr">
        <is>
          <t>2022-10-28</t>
        </is>
      </c>
      <c r="B4448" t="n">
        <v>17</v>
      </c>
      <c r="C4448" t="n">
        <v>3087</v>
      </c>
      <c r="D4448" s="6" t="n">
        <v>28.95</v>
      </c>
      <c r="E4448" s="6" t="n">
        <v>1292782.33</v>
      </c>
      <c r="F4448" s="6">
        <f>ROUND(E4448-E4447,2)</f>
        <v/>
      </c>
      <c r="G4448" s="6">
        <f>ROUND(F4448-D4448,2)</f>
        <v/>
      </c>
    </row>
    <row r="4449">
      <c r="A4449" t="inlineStr">
        <is>
          <t>2022-10-28</t>
        </is>
      </c>
      <c r="B4449" t="n">
        <v>18</v>
      </c>
      <c r="C4449" t="n">
        <v>3087</v>
      </c>
      <c r="D4449" s="6" t="n">
        <v>28.95</v>
      </c>
      <c r="E4449" s="6" t="n">
        <v>1292811.28</v>
      </c>
      <c r="F4449" s="6">
        <f>ROUND(E4449-E4448,2)</f>
        <v/>
      </c>
      <c r="G4449" s="6">
        <f>ROUND(F4449-D4449,2)</f>
        <v/>
      </c>
    </row>
    <row r="4450">
      <c r="A4450" t="inlineStr">
        <is>
          <t>2022-10-28</t>
        </is>
      </c>
      <c r="B4450" t="n">
        <v>19</v>
      </c>
      <c r="C4450" t="n">
        <v>3087</v>
      </c>
      <c r="D4450" s="6" t="n">
        <v>61.7</v>
      </c>
      <c r="E4450" s="6" t="n">
        <v>1292872.98</v>
      </c>
      <c r="F4450" s="6">
        <f>ROUND(E4450-E4449,2)</f>
        <v/>
      </c>
      <c r="G4450" s="6">
        <f>ROUND(F4450-D4450,2)</f>
        <v/>
      </c>
    </row>
    <row r="4451">
      <c r="A4451" t="inlineStr">
        <is>
          <t>2022-10-28</t>
        </is>
      </c>
      <c r="B4451" t="n">
        <v>20</v>
      </c>
      <c r="C4451" t="n">
        <v>3087</v>
      </c>
      <c r="D4451" s="6" t="n">
        <v>53.4</v>
      </c>
      <c r="E4451" s="6" t="n">
        <v>1292926.38</v>
      </c>
      <c r="F4451" s="6">
        <f>ROUND(E4451-E4450,2)</f>
        <v/>
      </c>
      <c r="G4451" s="6">
        <f>ROUND(F4451-D4451,2)</f>
        <v/>
      </c>
    </row>
    <row r="4452">
      <c r="A4452" t="inlineStr">
        <is>
          <t>2022-10-28</t>
        </is>
      </c>
      <c r="B4452" t="n">
        <v>21</v>
      </c>
      <c r="C4452" t="n">
        <v>3087</v>
      </c>
      <c r="D4452" s="6" t="n">
        <v>113.7</v>
      </c>
      <c r="E4452" s="6" t="n">
        <v>1293040.08</v>
      </c>
      <c r="F4452" s="6">
        <f>ROUND(E4452-E4451,2)</f>
        <v/>
      </c>
      <c r="G4452" s="6">
        <f>ROUND(F4452-D4452,2)</f>
        <v/>
      </c>
    </row>
    <row r="4453">
      <c r="A4453" t="inlineStr">
        <is>
          <t>2022-10-28</t>
        </is>
      </c>
      <c r="B4453" t="n">
        <v>22</v>
      </c>
      <c r="C4453" t="n">
        <v>3087</v>
      </c>
      <c r="D4453" s="6" t="n">
        <v>115.1</v>
      </c>
      <c r="E4453" s="6" t="n">
        <v>1293155.18</v>
      </c>
      <c r="F4453" s="6">
        <f>ROUND(E4453-E4452,2)</f>
        <v/>
      </c>
      <c r="G4453" s="6">
        <f>ROUND(F4453-D4453,2)</f>
        <v/>
      </c>
    </row>
    <row r="4454">
      <c r="A4454" t="inlineStr">
        <is>
          <t>2022-10-28</t>
        </is>
      </c>
      <c r="B4454" t="n">
        <v>23</v>
      </c>
      <c r="C4454" t="n">
        <v>3087</v>
      </c>
      <c r="D4454" s="6" t="n">
        <v>48.4</v>
      </c>
      <c r="E4454" s="6" t="n">
        <v>1293203.58</v>
      </c>
      <c r="F4454" s="6">
        <f>ROUND(E4454-E4453,2)</f>
        <v/>
      </c>
      <c r="G4454" s="6">
        <f>ROUND(F4454-D4454,2)</f>
        <v/>
      </c>
    </row>
    <row r="4455">
      <c r="A4455" t="inlineStr">
        <is>
          <t>2022-10-28</t>
        </is>
      </c>
      <c r="B4455" t="n">
        <v>24</v>
      </c>
      <c r="C4455" t="n">
        <v>3087</v>
      </c>
      <c r="D4455" s="6" t="n">
        <v>48.4</v>
      </c>
      <c r="E4455" s="6" t="n">
        <v>1293251.98</v>
      </c>
      <c r="F4455" s="6">
        <f>ROUND(E4455-E4454,2)</f>
        <v/>
      </c>
      <c r="G4455" s="6">
        <f>ROUND(F4455-D4455,2)</f>
        <v/>
      </c>
    </row>
    <row r="4456">
      <c r="A4456" t="inlineStr">
        <is>
          <t>2022-10-28</t>
        </is>
      </c>
      <c r="B4456" t="n">
        <v>25</v>
      </c>
      <c r="C4456" t="n">
        <v>3087</v>
      </c>
      <c r="D4456" s="6" t="n">
        <v>95.8</v>
      </c>
      <c r="E4456" s="6" t="n">
        <v>1293347.78</v>
      </c>
      <c r="F4456" s="6">
        <f>ROUND(E4456-E4455,2)</f>
        <v/>
      </c>
      <c r="G4456" s="6">
        <f>ROUND(F4456-D4456,2)</f>
        <v/>
      </c>
    </row>
    <row r="4457">
      <c r="A4457" t="inlineStr">
        <is>
          <t>2022-10-28</t>
        </is>
      </c>
      <c r="B4457" t="n">
        <v>26</v>
      </c>
      <c r="C4457" t="n">
        <v>3087</v>
      </c>
      <c r="D4457" s="6" t="n">
        <v>48.4</v>
      </c>
      <c r="E4457" s="6" t="n">
        <v>1293396.18</v>
      </c>
      <c r="F4457" s="6">
        <f>ROUND(E4457-E4456,2)</f>
        <v/>
      </c>
      <c r="G4457" s="6">
        <f>ROUND(F4457-D4457,2)</f>
        <v/>
      </c>
    </row>
    <row r="4458">
      <c r="A4458" t="inlineStr">
        <is>
          <t>2022-10-28</t>
        </is>
      </c>
      <c r="B4458" t="n">
        <v>27</v>
      </c>
      <c r="C4458" t="n">
        <v>3087</v>
      </c>
      <c r="D4458" s="6" t="n">
        <v>72.3</v>
      </c>
      <c r="E4458" s="6" t="n">
        <v>1293468.48</v>
      </c>
      <c r="F4458" s="6">
        <f>ROUND(E4458-E4457,2)</f>
        <v/>
      </c>
      <c r="G4458" s="6">
        <f>ROUND(F4458-D4458,2)</f>
        <v/>
      </c>
    </row>
    <row r="4459">
      <c r="A4459" t="inlineStr">
        <is>
          <t>2022-10-28</t>
        </is>
      </c>
      <c r="B4459" t="n">
        <v>28</v>
      </c>
      <c r="C4459" t="n">
        <v>3087</v>
      </c>
      <c r="D4459" s="6" t="n">
        <v>51.65</v>
      </c>
      <c r="E4459" s="6" t="n">
        <v>1293520.13</v>
      </c>
      <c r="F4459" s="6">
        <f>ROUND(E4459-E4458,2)</f>
        <v/>
      </c>
      <c r="G4459" s="6">
        <f>ROUND(F4459-D4459,2)</f>
        <v/>
      </c>
    </row>
    <row r="4460">
      <c r="A4460" t="inlineStr">
        <is>
          <t>2022-10-28</t>
        </is>
      </c>
      <c r="B4460" t="n">
        <v>29</v>
      </c>
      <c r="C4460" t="n">
        <v>3087</v>
      </c>
      <c r="D4460" s="6" t="n">
        <v>51.65</v>
      </c>
      <c r="E4460" s="6" t="n">
        <v>1293571.78</v>
      </c>
      <c r="F4460" s="6">
        <f>ROUND(E4460-E4459,2)</f>
        <v/>
      </c>
      <c r="G4460" s="6">
        <f>ROUND(F4460-D4460,2)</f>
        <v/>
      </c>
    </row>
    <row r="4461">
      <c r="A4461" t="inlineStr">
        <is>
          <t>2022-10-28</t>
        </is>
      </c>
      <c r="B4461" t="n">
        <v>30</v>
      </c>
      <c r="C4461" t="n">
        <v>3087</v>
      </c>
      <c r="D4461" s="6" t="n">
        <v>121.8</v>
      </c>
      <c r="E4461" s="6" t="n">
        <v>1293693.58</v>
      </c>
      <c r="F4461" s="6">
        <f>ROUND(E4461-E4460,2)</f>
        <v/>
      </c>
      <c r="G4461" s="6">
        <f>ROUND(F4461-D4461,2)</f>
        <v/>
      </c>
    </row>
    <row r="4462">
      <c r="A4462" t="inlineStr">
        <is>
          <t>2022-10-28</t>
        </is>
      </c>
      <c r="B4462" t="n">
        <v>31</v>
      </c>
      <c r="C4462" t="n">
        <v>3087</v>
      </c>
      <c r="D4462" s="6" t="n">
        <v>105.7</v>
      </c>
      <c r="E4462" s="6" t="n">
        <v>1293799.28</v>
      </c>
      <c r="F4462" s="6">
        <f>ROUND(E4462-E4461,2)</f>
        <v/>
      </c>
      <c r="G4462" s="6">
        <f>ROUND(F4462-D4462,2)</f>
        <v/>
      </c>
    </row>
    <row r="4463">
      <c r="A4463" t="inlineStr">
        <is>
          <t>2022-10-28</t>
        </is>
      </c>
      <c r="B4463" t="n">
        <v>32</v>
      </c>
      <c r="C4463" t="n">
        <v>3087</v>
      </c>
      <c r="D4463" s="6" t="n">
        <v>18.6</v>
      </c>
      <c r="E4463" s="6" t="n">
        <v>1293817.88</v>
      </c>
      <c r="F4463" s="6">
        <f>ROUND(E4463-E4462,2)</f>
        <v/>
      </c>
      <c r="G4463" s="6">
        <f>ROUND(F4463-D4463,2)</f>
        <v/>
      </c>
    </row>
    <row r="4464">
      <c r="A4464" t="inlineStr">
        <is>
          <t>2022-10-29</t>
        </is>
      </c>
      <c r="B4464" t="n">
        <v>1</v>
      </c>
      <c r="C4464" t="n">
        <v>3088</v>
      </c>
      <c r="D4464" s="6" t="n">
        <v>49.5</v>
      </c>
      <c r="E4464" s="6" t="n">
        <v>1293867.38</v>
      </c>
      <c r="F4464" s="6">
        <f>ROUND(E4464-E4463,2)</f>
        <v/>
      </c>
      <c r="G4464" s="6">
        <f>ROUND(F4464-D4464,2)</f>
        <v/>
      </c>
    </row>
    <row r="4465">
      <c r="A4465" t="inlineStr">
        <is>
          <t>2022-10-29</t>
        </is>
      </c>
      <c r="B4465" t="n">
        <v>2</v>
      </c>
      <c r="C4465" t="n">
        <v>3088</v>
      </c>
      <c r="D4465" s="6" t="n">
        <v>57.1</v>
      </c>
      <c r="E4465" s="6" t="n">
        <v>1293924.48</v>
      </c>
      <c r="F4465" s="6">
        <f>ROUND(E4465-E4464,2)</f>
        <v/>
      </c>
      <c r="G4465" s="6">
        <f>ROUND(F4465-D4465,2)</f>
        <v/>
      </c>
    </row>
    <row r="4466">
      <c r="A4466" t="inlineStr">
        <is>
          <t>2022-10-29</t>
        </is>
      </c>
      <c r="B4466" t="n">
        <v>3</v>
      </c>
      <c r="C4466" t="n">
        <v>3088</v>
      </c>
      <c r="D4466" s="6" t="n">
        <v>67.09999999999999</v>
      </c>
      <c r="E4466" s="6" t="n">
        <v>1293991.58</v>
      </c>
      <c r="F4466" s="6">
        <f>ROUND(E4466-E4465,2)</f>
        <v/>
      </c>
      <c r="G4466" s="6">
        <f>ROUND(F4466-D4466,2)</f>
        <v/>
      </c>
    </row>
    <row r="4467">
      <c r="A4467" t="inlineStr">
        <is>
          <t>2022-10-29</t>
        </is>
      </c>
      <c r="B4467" t="n">
        <v>4</v>
      </c>
      <c r="C4467" t="n">
        <v>3088</v>
      </c>
      <c r="D4467" s="6" t="n">
        <v>44.7</v>
      </c>
      <c r="E4467" s="6" t="n">
        <v>1294036.28</v>
      </c>
      <c r="F4467" s="6">
        <f>ROUND(E4467-E4466,2)</f>
        <v/>
      </c>
      <c r="G4467" s="6">
        <f>ROUND(F4467-D4467,2)</f>
        <v/>
      </c>
    </row>
    <row r="4468">
      <c r="A4468" t="inlineStr">
        <is>
          <t>2022-10-29</t>
        </is>
      </c>
      <c r="B4468" t="n">
        <v>5</v>
      </c>
      <c r="C4468" t="n">
        <v>3088</v>
      </c>
      <c r="D4468" s="6" t="n">
        <v>25.5</v>
      </c>
      <c r="E4468" s="6" t="n">
        <v>1294061.78</v>
      </c>
      <c r="F4468" s="6">
        <f>ROUND(E4468-E4467,2)</f>
        <v/>
      </c>
      <c r="G4468" s="6">
        <f>ROUND(F4468-D4468,2)</f>
        <v/>
      </c>
    </row>
    <row r="4469">
      <c r="A4469" t="inlineStr">
        <is>
          <t>2022-10-29</t>
        </is>
      </c>
      <c r="B4469" t="n">
        <v>6</v>
      </c>
      <c r="C4469" t="n">
        <v>3088</v>
      </c>
      <c r="D4469" s="6" t="n">
        <v>67.7</v>
      </c>
      <c r="E4469" s="6" t="n">
        <v>1294129.48</v>
      </c>
      <c r="F4469" s="6">
        <f>ROUND(E4469-E4468,2)</f>
        <v/>
      </c>
      <c r="G4469" s="6">
        <f>ROUND(F4469-D4469,2)</f>
        <v/>
      </c>
    </row>
    <row r="4470">
      <c r="A4470" t="inlineStr">
        <is>
          <t>2022-10-29</t>
        </is>
      </c>
      <c r="B4470" t="n">
        <v>7</v>
      </c>
      <c r="C4470" t="n">
        <v>3088</v>
      </c>
      <c r="D4470" s="6" t="n">
        <v>63</v>
      </c>
      <c r="E4470" s="6" t="n">
        <v>1294192.48</v>
      </c>
      <c r="F4470" s="6">
        <f>ROUND(E4470-E4469,2)</f>
        <v/>
      </c>
      <c r="G4470" s="6">
        <f>ROUND(F4470-D4470,2)</f>
        <v/>
      </c>
    </row>
    <row r="4471">
      <c r="A4471" t="inlineStr">
        <is>
          <t>2022-10-29</t>
        </is>
      </c>
      <c r="B4471" t="n">
        <v>8</v>
      </c>
      <c r="C4471" t="n">
        <v>3088</v>
      </c>
      <c r="D4471" s="6" t="n">
        <v>158.1</v>
      </c>
      <c r="E4471" s="6" t="n">
        <v>1294350.58</v>
      </c>
      <c r="F4471" s="6">
        <f>ROUND(E4471-E4470,2)</f>
        <v/>
      </c>
      <c r="G4471" s="6">
        <f>ROUND(F4471-D4471,2)</f>
        <v/>
      </c>
    </row>
    <row r="4472">
      <c r="A4472" t="inlineStr">
        <is>
          <t>2022-10-29</t>
        </is>
      </c>
      <c r="B4472" t="n">
        <v>9</v>
      </c>
      <c r="C4472" t="n">
        <v>3088</v>
      </c>
      <c r="D4472" s="6" t="n">
        <v>45.1</v>
      </c>
      <c r="E4472" s="6" t="n">
        <v>1294395.68</v>
      </c>
      <c r="F4472" s="6">
        <f>ROUND(E4472-E4471,2)</f>
        <v/>
      </c>
      <c r="G4472" s="6">
        <f>ROUND(F4472-D4472,2)</f>
        <v/>
      </c>
    </row>
    <row r="4473">
      <c r="A4473" t="inlineStr">
        <is>
          <t>2022-10-29</t>
        </is>
      </c>
      <c r="B4473" t="n">
        <v>10</v>
      </c>
      <c r="C4473" t="n">
        <v>3088</v>
      </c>
      <c r="D4473" s="6" t="n">
        <v>45.1</v>
      </c>
      <c r="E4473" s="6" t="n">
        <v>1294440.78</v>
      </c>
      <c r="F4473" s="6">
        <f>ROUND(E4473-E4472,2)</f>
        <v/>
      </c>
      <c r="G4473" s="6">
        <f>ROUND(F4473-D4473,2)</f>
        <v/>
      </c>
    </row>
    <row r="4474">
      <c r="A4474" t="inlineStr">
        <is>
          <t>2022-10-29</t>
        </is>
      </c>
      <c r="B4474" t="n">
        <v>11</v>
      </c>
      <c r="C4474" t="n">
        <v>3088</v>
      </c>
      <c r="D4474" s="6" t="n">
        <v>77.2</v>
      </c>
      <c r="E4474" s="6" t="n">
        <v>1294517.98</v>
      </c>
      <c r="F4474" s="6">
        <f>ROUND(E4474-E4473,2)</f>
        <v/>
      </c>
      <c r="G4474" s="6">
        <f>ROUND(F4474-D4474,2)</f>
        <v/>
      </c>
    </row>
    <row r="4475">
      <c r="A4475" t="inlineStr">
        <is>
          <t>2022-10-29</t>
        </is>
      </c>
      <c r="B4475" t="n">
        <v>12</v>
      </c>
      <c r="C4475" t="n">
        <v>3088</v>
      </c>
      <c r="D4475" s="6" t="n">
        <v>77.2</v>
      </c>
      <c r="E4475" s="6" t="n">
        <v>1294595.18</v>
      </c>
      <c r="F4475" s="6">
        <f>ROUND(E4475-E4474,2)</f>
        <v/>
      </c>
      <c r="G4475" s="6">
        <f>ROUND(F4475-D4475,2)</f>
        <v/>
      </c>
    </row>
    <row r="4476">
      <c r="A4476" t="inlineStr">
        <is>
          <t>2022-10-29</t>
        </is>
      </c>
      <c r="B4476" t="n">
        <v>13</v>
      </c>
      <c r="C4476" t="n">
        <v>3088</v>
      </c>
      <c r="D4476" s="6" t="n">
        <v>65.8</v>
      </c>
      <c r="E4476" s="6" t="n">
        <v>1294660.98</v>
      </c>
      <c r="F4476" s="6">
        <f>ROUND(E4476-E4475,2)</f>
        <v/>
      </c>
      <c r="G4476" s="6">
        <f>ROUND(F4476-D4476,2)</f>
        <v/>
      </c>
    </row>
    <row r="4477">
      <c r="A4477" t="inlineStr">
        <is>
          <t>2022-10-29</t>
        </is>
      </c>
      <c r="B4477" t="n">
        <v>14</v>
      </c>
      <c r="C4477" t="n">
        <v>3088</v>
      </c>
      <c r="D4477" s="6" t="n">
        <v>101.4</v>
      </c>
      <c r="E4477" s="6" t="n">
        <v>1294762.38</v>
      </c>
      <c r="F4477" s="6">
        <f>ROUND(E4477-E4476,2)</f>
        <v/>
      </c>
      <c r="G4477" s="6">
        <f>ROUND(F4477-D4477,2)</f>
        <v/>
      </c>
    </row>
    <row r="4478">
      <c r="A4478" t="inlineStr">
        <is>
          <t>2022-10-29</t>
        </is>
      </c>
      <c r="B4478" t="n">
        <v>15</v>
      </c>
      <c r="C4478" t="n">
        <v>3088</v>
      </c>
      <c r="D4478" s="6" t="n">
        <v>51.1</v>
      </c>
      <c r="E4478" s="6" t="n">
        <v>1294813.48</v>
      </c>
      <c r="F4478" s="6">
        <f>ROUND(E4478-E4477,2)</f>
        <v/>
      </c>
      <c r="G4478" s="6">
        <f>ROUND(F4478-D4478,2)</f>
        <v/>
      </c>
    </row>
    <row r="4479">
      <c r="A4479" t="inlineStr">
        <is>
          <t>2022-10-29</t>
        </is>
      </c>
      <c r="B4479" t="n">
        <v>16</v>
      </c>
      <c r="C4479" t="n">
        <v>3088</v>
      </c>
      <c r="D4479" s="6" t="n">
        <v>55</v>
      </c>
      <c r="E4479" s="6" t="n">
        <v>1294868.48</v>
      </c>
      <c r="F4479" s="6">
        <f>ROUND(E4479-E4478,2)</f>
        <v/>
      </c>
      <c r="G4479" s="6">
        <f>ROUND(F4479-D4479,2)</f>
        <v/>
      </c>
    </row>
    <row r="4480">
      <c r="A4480" t="inlineStr">
        <is>
          <t>2022-10-29</t>
        </is>
      </c>
      <c r="B4480" t="n">
        <v>17</v>
      </c>
      <c r="C4480" t="n">
        <v>3088</v>
      </c>
      <c r="D4480" s="6" t="n">
        <v>67.5</v>
      </c>
      <c r="E4480" s="6" t="n">
        <v>1294935.98</v>
      </c>
      <c r="F4480" s="6">
        <f>ROUND(E4480-E4479,2)</f>
        <v/>
      </c>
      <c r="G4480" s="6">
        <f>ROUND(F4480-D4480,2)</f>
        <v/>
      </c>
    </row>
    <row r="4481">
      <c r="A4481" t="inlineStr">
        <is>
          <t>2022-10-29</t>
        </is>
      </c>
      <c r="B4481" t="n">
        <v>18</v>
      </c>
      <c r="C4481" t="n">
        <v>3088</v>
      </c>
      <c r="D4481" s="6" t="n">
        <v>67.5</v>
      </c>
      <c r="E4481" s="6" t="n">
        <v>1295003.48</v>
      </c>
      <c r="F4481" s="6">
        <f>ROUND(E4481-E4480,2)</f>
        <v/>
      </c>
      <c r="G4481" s="6">
        <f>ROUND(F4481-D4481,2)</f>
        <v/>
      </c>
    </row>
    <row r="4482">
      <c r="A4482" t="inlineStr">
        <is>
          <t>2022-10-29</t>
        </is>
      </c>
      <c r="B4482" t="n">
        <v>19</v>
      </c>
      <c r="C4482" t="n">
        <v>3088</v>
      </c>
      <c r="D4482" s="6" t="n">
        <v>64.8</v>
      </c>
      <c r="E4482" s="6" t="n">
        <v>1295068.28</v>
      </c>
      <c r="F4482" s="6">
        <f>ROUND(E4482-E4481,2)</f>
        <v/>
      </c>
      <c r="G4482" s="6">
        <f>ROUND(F4482-D4482,2)</f>
        <v/>
      </c>
    </row>
    <row r="4483">
      <c r="A4483" t="inlineStr">
        <is>
          <t>2022-10-29</t>
        </is>
      </c>
      <c r="B4483" t="n">
        <v>20</v>
      </c>
      <c r="C4483" t="n">
        <v>3088</v>
      </c>
      <c r="D4483" s="6" t="n">
        <v>96.2</v>
      </c>
      <c r="E4483" s="6" t="n">
        <v>1295164.48</v>
      </c>
      <c r="F4483" s="6">
        <f>ROUND(E4483-E4482,2)</f>
        <v/>
      </c>
      <c r="G4483" s="6">
        <f>ROUND(F4483-D4483,2)</f>
        <v/>
      </c>
    </row>
    <row r="4484">
      <c r="A4484" t="inlineStr">
        <is>
          <t>2022-10-29</t>
        </is>
      </c>
      <c r="B4484" t="n">
        <v>21</v>
      </c>
      <c r="C4484" t="n">
        <v>3088</v>
      </c>
      <c r="D4484" s="6" t="n">
        <v>61.4</v>
      </c>
      <c r="E4484" s="6" t="n">
        <v>1295225.88</v>
      </c>
      <c r="F4484" s="6">
        <f>ROUND(E4484-E4483,2)</f>
        <v/>
      </c>
      <c r="G4484" s="6">
        <f>ROUND(F4484-D4484,2)</f>
        <v/>
      </c>
    </row>
    <row r="4485">
      <c r="A4485" t="inlineStr">
        <is>
          <t>2022-10-29</t>
        </is>
      </c>
      <c r="B4485" t="n">
        <v>22</v>
      </c>
      <c r="C4485" t="n">
        <v>3088</v>
      </c>
      <c r="D4485" s="6" t="n">
        <v>100</v>
      </c>
      <c r="E4485" s="6" t="n">
        <v>1295325.88</v>
      </c>
      <c r="F4485" s="6">
        <f>ROUND(E4485-E4484,2)</f>
        <v/>
      </c>
      <c r="G4485" s="6">
        <f>ROUND(F4485-D4485,2)</f>
        <v/>
      </c>
    </row>
    <row r="4486">
      <c r="A4486" t="inlineStr">
        <is>
          <t>2022-10-29</t>
        </is>
      </c>
      <c r="B4486" t="n">
        <v>23</v>
      </c>
      <c r="C4486" t="n">
        <v>3088</v>
      </c>
      <c r="D4486" s="6" t="n">
        <v>179.4</v>
      </c>
      <c r="E4486" s="6" t="n">
        <v>1295505.28</v>
      </c>
      <c r="F4486" s="6">
        <f>ROUND(E4486-E4485,2)</f>
        <v/>
      </c>
      <c r="G4486" s="6">
        <f>ROUND(F4486-D4486,2)</f>
        <v/>
      </c>
    </row>
    <row r="4487">
      <c r="A4487" t="inlineStr">
        <is>
          <t>2022-10-29</t>
        </is>
      </c>
      <c r="B4487" t="n">
        <v>24</v>
      </c>
      <c r="C4487" t="n">
        <v>3088</v>
      </c>
      <c r="D4487" s="6" t="n">
        <v>105.3</v>
      </c>
      <c r="E4487" s="6" t="n">
        <v>1295610.58</v>
      </c>
      <c r="F4487" s="6">
        <f>ROUND(E4487-E4486,2)</f>
        <v/>
      </c>
      <c r="G4487" s="6">
        <f>ROUND(F4487-D4487,2)</f>
        <v/>
      </c>
    </row>
    <row r="4488">
      <c r="A4488" t="inlineStr">
        <is>
          <t>2022-10-29</t>
        </is>
      </c>
      <c r="B4488" t="n">
        <v>25</v>
      </c>
      <c r="C4488" t="n">
        <v>3088</v>
      </c>
      <c r="D4488" s="6" t="n">
        <v>36.15</v>
      </c>
      <c r="E4488" s="6" t="n">
        <v>1295646.73</v>
      </c>
      <c r="F4488" s="6">
        <f>ROUND(E4488-E4487,2)</f>
        <v/>
      </c>
      <c r="G4488" s="6">
        <f>ROUND(F4488-D4488,2)</f>
        <v/>
      </c>
    </row>
    <row r="4489">
      <c r="A4489" t="inlineStr">
        <is>
          <t>2022-10-29</t>
        </is>
      </c>
      <c r="B4489" t="n">
        <v>26</v>
      </c>
      <c r="C4489" t="n">
        <v>3088</v>
      </c>
      <c r="D4489" s="6" t="n">
        <v>36.15</v>
      </c>
      <c r="E4489" s="6" t="n">
        <v>1295682.88</v>
      </c>
      <c r="F4489" s="6">
        <f>ROUND(E4489-E4488,2)</f>
        <v/>
      </c>
      <c r="G4489" s="6">
        <f>ROUND(F4489-D4489,2)</f>
        <v/>
      </c>
    </row>
    <row r="4490">
      <c r="A4490" t="inlineStr">
        <is>
          <t>2022-10-29</t>
        </is>
      </c>
      <c r="B4490" t="n">
        <v>27</v>
      </c>
      <c r="C4490" t="n">
        <v>3088</v>
      </c>
      <c r="D4490" s="6" t="n">
        <v>150.8</v>
      </c>
      <c r="E4490" s="6" t="n">
        <v>1295833.68</v>
      </c>
      <c r="F4490" s="6">
        <f>ROUND(E4490-E4489,2)</f>
        <v/>
      </c>
      <c r="G4490" s="6">
        <f>ROUND(F4490-D4490,2)</f>
        <v/>
      </c>
    </row>
    <row r="4491">
      <c r="A4491" t="inlineStr">
        <is>
          <t>2022-10-29</t>
        </is>
      </c>
      <c r="B4491" t="n">
        <v>28</v>
      </c>
      <c r="C4491" t="n">
        <v>3088</v>
      </c>
      <c r="D4491" s="6" t="n">
        <v>49.2</v>
      </c>
      <c r="E4491" s="6" t="n">
        <v>1295882.88</v>
      </c>
      <c r="F4491" s="6">
        <f>ROUND(E4491-E4490,2)</f>
        <v/>
      </c>
      <c r="G4491" s="6">
        <f>ROUND(F4491-D4491,2)</f>
        <v/>
      </c>
    </row>
    <row r="4492">
      <c r="A4492" t="inlineStr">
        <is>
          <t>2022-10-29</t>
        </is>
      </c>
      <c r="B4492" t="n">
        <v>29</v>
      </c>
      <c r="C4492" t="n">
        <v>3088</v>
      </c>
      <c r="D4492" s="6" t="n">
        <v>64.90000000000001</v>
      </c>
      <c r="E4492" s="6" t="n">
        <v>1295947.78</v>
      </c>
      <c r="F4492" s="6">
        <f>ROUND(E4492-E4491,2)</f>
        <v/>
      </c>
      <c r="G4492" s="6">
        <f>ROUND(F4492-D4492,2)</f>
        <v/>
      </c>
    </row>
    <row r="4493">
      <c r="A4493" t="inlineStr">
        <is>
          <t>2022-10-29</t>
        </is>
      </c>
      <c r="B4493" t="n">
        <v>30</v>
      </c>
      <c r="C4493" t="n">
        <v>3088</v>
      </c>
      <c r="D4493" s="6" t="n">
        <v>64.90000000000001</v>
      </c>
      <c r="E4493" s="6" t="n">
        <v>1296012.68</v>
      </c>
      <c r="F4493" s="6">
        <f>ROUND(E4493-E4492,2)</f>
        <v/>
      </c>
      <c r="G4493" s="6">
        <f>ROUND(F4493-D4493,2)</f>
        <v/>
      </c>
    </row>
    <row r="4494">
      <c r="A4494" t="inlineStr">
        <is>
          <t>2022-10-29</t>
        </is>
      </c>
      <c r="B4494" t="n">
        <v>31</v>
      </c>
      <c r="C4494" t="n">
        <v>3088</v>
      </c>
      <c r="D4494" s="6" t="n">
        <v>154.4</v>
      </c>
      <c r="E4494" s="6" t="n">
        <v>1296167.08</v>
      </c>
      <c r="F4494" s="6">
        <f>ROUND(E4494-E4493,2)</f>
        <v/>
      </c>
      <c r="G4494" s="6">
        <f>ROUND(F4494-D4494,2)</f>
        <v/>
      </c>
    </row>
    <row r="4495">
      <c r="A4495" t="inlineStr">
        <is>
          <t>2022-10-29</t>
        </is>
      </c>
      <c r="B4495" t="n">
        <v>32</v>
      </c>
      <c r="C4495" t="n">
        <v>3088</v>
      </c>
      <c r="D4495" s="6" t="n">
        <v>190.5</v>
      </c>
      <c r="E4495" s="6" t="n">
        <v>1296357.58</v>
      </c>
      <c r="F4495" s="6">
        <f>ROUND(E4495-E4494,2)</f>
        <v/>
      </c>
      <c r="G4495" s="6">
        <f>ROUND(F4495-D4495,2)</f>
        <v/>
      </c>
    </row>
    <row r="4496">
      <c r="A4496" t="inlineStr">
        <is>
          <t>2022-10-30</t>
        </is>
      </c>
      <c r="B4496" t="n">
        <v>1</v>
      </c>
      <c r="C4496" t="n">
        <v>3089</v>
      </c>
      <c r="D4496" s="6" t="n">
        <v>89</v>
      </c>
      <c r="E4496" s="6" t="n">
        <v>1296446.58</v>
      </c>
      <c r="F4496" s="6">
        <f>ROUND(E4496-E4495,2)</f>
        <v/>
      </c>
      <c r="G4496" s="6">
        <f>ROUND(F4496-D4496,2)</f>
        <v/>
      </c>
    </row>
    <row r="4497">
      <c r="A4497" t="inlineStr">
        <is>
          <t>2022-10-30</t>
        </is>
      </c>
      <c r="B4497" t="n">
        <v>2</v>
      </c>
      <c r="C4497" t="n">
        <v>3089</v>
      </c>
      <c r="D4497" s="6" t="n">
        <v>87.90000000000001</v>
      </c>
      <c r="E4497" s="6" t="n">
        <v>1296534.48</v>
      </c>
      <c r="F4497" s="6">
        <f>ROUND(E4497-E4496,2)</f>
        <v/>
      </c>
      <c r="G4497" s="6">
        <f>ROUND(F4497-D4497,2)</f>
        <v/>
      </c>
    </row>
    <row r="4498">
      <c r="A4498" t="inlineStr">
        <is>
          <t>2022-10-30</t>
        </is>
      </c>
      <c r="B4498" t="n">
        <v>3</v>
      </c>
      <c r="C4498" t="n">
        <v>3089</v>
      </c>
      <c r="D4498" s="6" t="n">
        <v>114.7</v>
      </c>
      <c r="E4498" s="6" t="n">
        <v>1296649.18</v>
      </c>
      <c r="F4498" s="6">
        <f>ROUND(E4498-E4497,2)</f>
        <v/>
      </c>
      <c r="G4498" s="6">
        <f>ROUND(F4498-D4498,2)</f>
        <v/>
      </c>
    </row>
    <row r="4499">
      <c r="A4499" t="inlineStr">
        <is>
          <t>2022-10-30</t>
        </is>
      </c>
      <c r="B4499" t="n">
        <v>4</v>
      </c>
      <c r="C4499" t="n">
        <v>3089</v>
      </c>
      <c r="D4499" s="6" t="n">
        <v>68.2</v>
      </c>
      <c r="E4499" s="6" t="n">
        <v>1296717.38</v>
      </c>
      <c r="F4499" s="6">
        <f>ROUND(E4499-E4498,2)</f>
        <v/>
      </c>
      <c r="G4499" s="6">
        <f>ROUND(F4499-D4499,2)</f>
        <v/>
      </c>
    </row>
    <row r="4500">
      <c r="A4500" t="inlineStr">
        <is>
          <t>2022-10-30</t>
        </is>
      </c>
      <c r="B4500" t="n">
        <v>5</v>
      </c>
      <c r="C4500" t="n">
        <v>3089</v>
      </c>
      <c r="D4500" s="6" t="n">
        <v>32.6</v>
      </c>
      <c r="E4500" s="6" t="n">
        <v>1296749.98</v>
      </c>
      <c r="F4500" s="6">
        <f>ROUND(E4500-E4499,2)</f>
        <v/>
      </c>
      <c r="G4500" s="6">
        <f>ROUND(F4500-D4500,2)</f>
        <v/>
      </c>
    </row>
    <row r="4501">
      <c r="A4501" t="inlineStr">
        <is>
          <t>2022-10-30</t>
        </is>
      </c>
      <c r="B4501" t="n">
        <v>6</v>
      </c>
      <c r="C4501" t="n">
        <v>3089</v>
      </c>
      <c r="D4501" s="6" t="n">
        <v>88.3</v>
      </c>
      <c r="E4501" s="6" t="n">
        <v>1296838.28</v>
      </c>
      <c r="F4501" s="6">
        <f>ROUND(E4501-E4500,2)</f>
        <v/>
      </c>
      <c r="G4501" s="6">
        <f>ROUND(F4501-D4501,2)</f>
        <v/>
      </c>
    </row>
    <row r="4502">
      <c r="A4502" t="inlineStr">
        <is>
          <t>2022-10-30</t>
        </is>
      </c>
      <c r="B4502" t="n">
        <v>7</v>
      </c>
      <c r="C4502" t="n">
        <v>3089</v>
      </c>
      <c r="D4502" s="6" t="n">
        <v>113.2</v>
      </c>
      <c r="E4502" s="6" t="n">
        <v>1296951.48</v>
      </c>
      <c r="F4502" s="6">
        <f>ROUND(E4502-E4501,2)</f>
        <v/>
      </c>
      <c r="G4502" s="6">
        <f>ROUND(F4502-D4502,2)</f>
        <v/>
      </c>
    </row>
    <row r="4503">
      <c r="A4503" t="inlineStr">
        <is>
          <t>2022-10-30</t>
        </is>
      </c>
      <c r="B4503" t="n">
        <v>8</v>
      </c>
      <c r="C4503" t="n">
        <v>3089</v>
      </c>
      <c r="D4503" s="6" t="n">
        <v>90.7</v>
      </c>
      <c r="E4503" s="6" t="n">
        <v>1297042.18</v>
      </c>
      <c r="F4503" s="6">
        <f>ROUND(E4503-E4502,2)</f>
        <v/>
      </c>
      <c r="G4503" s="6">
        <f>ROUND(F4503-D4503,2)</f>
        <v/>
      </c>
    </row>
    <row r="4504">
      <c r="A4504" t="inlineStr">
        <is>
          <t>2022-10-30</t>
        </is>
      </c>
      <c r="B4504" t="n">
        <v>9</v>
      </c>
      <c r="C4504" t="n">
        <v>3089</v>
      </c>
      <c r="D4504" s="6" t="n">
        <v>72.7</v>
      </c>
      <c r="E4504" s="6" t="n">
        <v>1297114.88</v>
      </c>
      <c r="F4504" s="6">
        <f>ROUND(E4504-E4503,2)</f>
        <v/>
      </c>
      <c r="G4504" s="6">
        <f>ROUND(F4504-D4504,2)</f>
        <v/>
      </c>
    </row>
    <row r="4505">
      <c r="A4505" t="inlineStr">
        <is>
          <t>2022-10-30</t>
        </is>
      </c>
      <c r="B4505" t="n">
        <v>10</v>
      </c>
      <c r="C4505" t="n">
        <v>3089</v>
      </c>
      <c r="D4505" s="6" t="n">
        <v>119.3</v>
      </c>
      <c r="E4505" s="6" t="n">
        <v>1297234.18</v>
      </c>
      <c r="F4505" s="6">
        <f>ROUND(E4505-E4504,2)</f>
        <v/>
      </c>
      <c r="G4505" s="6">
        <f>ROUND(F4505-D4505,2)</f>
        <v/>
      </c>
    </row>
    <row r="4506">
      <c r="A4506" t="inlineStr">
        <is>
          <t>2022-10-30</t>
        </is>
      </c>
      <c r="B4506" t="n">
        <v>11</v>
      </c>
      <c r="C4506" t="n">
        <v>3089</v>
      </c>
      <c r="D4506" s="6" t="n">
        <v>115.6</v>
      </c>
      <c r="E4506" s="6" t="n">
        <v>1297349.78</v>
      </c>
      <c r="F4506" s="6">
        <f>ROUND(E4506-E4505,2)</f>
        <v/>
      </c>
      <c r="G4506" s="6">
        <f>ROUND(F4506-D4506,2)</f>
        <v/>
      </c>
    </row>
    <row r="4507">
      <c r="A4507" t="inlineStr">
        <is>
          <t>2022-10-30</t>
        </is>
      </c>
      <c r="B4507" t="n">
        <v>12</v>
      </c>
      <c r="C4507" t="n">
        <v>3089</v>
      </c>
      <c r="D4507" s="6" t="n">
        <v>175.3</v>
      </c>
      <c r="E4507" s="6" t="n">
        <v>1297525.08</v>
      </c>
      <c r="F4507" s="6">
        <f>ROUND(E4507-E4506,2)</f>
        <v/>
      </c>
      <c r="G4507" s="6">
        <f>ROUND(F4507-D4507,2)</f>
        <v/>
      </c>
    </row>
    <row r="4508">
      <c r="A4508" t="inlineStr">
        <is>
          <t>2022-10-30</t>
        </is>
      </c>
      <c r="B4508" t="n">
        <v>13</v>
      </c>
      <c r="C4508" t="n">
        <v>3089</v>
      </c>
      <c r="D4508" s="6" t="n">
        <v>84.2</v>
      </c>
      <c r="E4508" s="6" t="n">
        <v>1297609.28</v>
      </c>
      <c r="F4508" s="6">
        <f>ROUND(E4508-E4507,2)</f>
        <v/>
      </c>
      <c r="G4508" s="6">
        <f>ROUND(F4508-D4508,2)</f>
        <v/>
      </c>
    </row>
    <row r="4509">
      <c r="A4509" t="inlineStr">
        <is>
          <t>2022-10-30</t>
        </is>
      </c>
      <c r="B4509" t="n">
        <v>14</v>
      </c>
      <c r="C4509" t="n">
        <v>3089</v>
      </c>
      <c r="D4509" s="6" t="n">
        <v>56.9</v>
      </c>
      <c r="E4509" s="6" t="n">
        <v>1297666.18</v>
      </c>
      <c r="F4509" s="6">
        <f>ROUND(E4509-E4508,2)</f>
        <v/>
      </c>
      <c r="G4509" s="6">
        <f>ROUND(F4509-D4509,2)</f>
        <v/>
      </c>
    </row>
    <row r="4510">
      <c r="A4510" t="inlineStr">
        <is>
          <t>2022-10-30</t>
        </is>
      </c>
      <c r="B4510" t="n">
        <v>15</v>
      </c>
      <c r="C4510" t="n">
        <v>3089</v>
      </c>
      <c r="D4510" s="6" t="n">
        <v>62</v>
      </c>
      <c r="E4510" s="6" t="n">
        <v>1297728.18</v>
      </c>
      <c r="F4510" s="6">
        <f>ROUND(E4510-E4509,2)</f>
        <v/>
      </c>
      <c r="G4510" s="6">
        <f>ROUND(F4510-D4510,2)</f>
        <v/>
      </c>
    </row>
    <row r="4511">
      <c r="A4511" t="inlineStr">
        <is>
          <t>2022-10-30</t>
        </is>
      </c>
      <c r="B4511" t="n">
        <v>16</v>
      </c>
      <c r="C4511" t="n">
        <v>3089</v>
      </c>
      <c r="D4511" s="6" t="n">
        <v>71.2</v>
      </c>
      <c r="E4511" s="6" t="n">
        <v>1297799.38</v>
      </c>
      <c r="F4511" s="6">
        <f>ROUND(E4511-E4510,2)</f>
        <v/>
      </c>
      <c r="G4511" s="6">
        <f>ROUND(F4511-D4511,2)</f>
        <v/>
      </c>
    </row>
    <row r="4512">
      <c r="A4512" t="inlineStr">
        <is>
          <t>2022-10-30</t>
        </is>
      </c>
      <c r="B4512" t="n">
        <v>17</v>
      </c>
      <c r="C4512" t="n">
        <v>3089</v>
      </c>
      <c r="D4512" s="6" t="n">
        <v>44.5</v>
      </c>
      <c r="E4512" s="6" t="n">
        <v>1297843.88</v>
      </c>
      <c r="F4512" s="6">
        <f>ROUND(E4512-E4511,2)</f>
        <v/>
      </c>
      <c r="G4512" s="6">
        <f>ROUND(F4512-D4512,2)</f>
        <v/>
      </c>
    </row>
    <row r="4513">
      <c r="A4513" t="inlineStr">
        <is>
          <t>2022-10-30</t>
        </is>
      </c>
      <c r="B4513" t="n">
        <v>18</v>
      </c>
      <c r="C4513" t="n">
        <v>3089</v>
      </c>
      <c r="D4513" s="6" t="n">
        <v>49.2</v>
      </c>
      <c r="E4513" s="6" t="n">
        <v>1297893.08</v>
      </c>
      <c r="F4513" s="6">
        <f>ROUND(E4513-E4512,2)</f>
        <v/>
      </c>
      <c r="G4513" s="6">
        <f>ROUND(F4513-D4513,2)</f>
        <v/>
      </c>
    </row>
    <row r="4514">
      <c r="A4514" t="inlineStr">
        <is>
          <t>2022-10-30</t>
        </is>
      </c>
      <c r="B4514" t="n">
        <v>19</v>
      </c>
      <c r="C4514" t="n">
        <v>3089</v>
      </c>
      <c r="D4514" s="6" t="n">
        <v>77.7</v>
      </c>
      <c r="E4514" s="6" t="n">
        <v>1297970.78</v>
      </c>
      <c r="F4514" s="6">
        <f>ROUND(E4514-E4513,2)</f>
        <v/>
      </c>
      <c r="G4514" s="6">
        <f>ROUND(F4514-D4514,2)</f>
        <v/>
      </c>
    </row>
    <row r="4515">
      <c r="A4515" t="inlineStr">
        <is>
          <t>2022-10-30</t>
        </is>
      </c>
      <c r="B4515" t="n">
        <v>20</v>
      </c>
      <c r="C4515" t="n">
        <v>3089</v>
      </c>
      <c r="D4515" s="6" t="n">
        <v>65.3</v>
      </c>
      <c r="E4515" s="6" t="n">
        <v>1298036.08</v>
      </c>
      <c r="F4515" s="6">
        <f>ROUND(E4515-E4514,2)</f>
        <v/>
      </c>
      <c r="G4515" s="6">
        <f>ROUND(F4515-D4515,2)</f>
        <v/>
      </c>
    </row>
    <row r="4516">
      <c r="A4516" t="inlineStr">
        <is>
          <t>2022-10-30</t>
        </is>
      </c>
      <c r="B4516" t="n">
        <v>21</v>
      </c>
      <c r="C4516" t="n">
        <v>3089</v>
      </c>
      <c r="D4516" s="6" t="n">
        <v>104.1</v>
      </c>
      <c r="E4516" s="6" t="n">
        <v>1298140.18</v>
      </c>
      <c r="F4516" s="6">
        <f>ROUND(E4516-E4515,2)</f>
        <v/>
      </c>
      <c r="G4516" s="6">
        <f>ROUND(F4516-D4516,2)</f>
        <v/>
      </c>
    </row>
    <row r="4517">
      <c r="A4517" t="inlineStr">
        <is>
          <t>2022-10-30</t>
        </is>
      </c>
      <c r="B4517" t="n">
        <v>22</v>
      </c>
      <c r="C4517" t="n">
        <v>3089</v>
      </c>
      <c r="D4517" s="6" t="n">
        <v>122.4</v>
      </c>
      <c r="E4517" s="6" t="n">
        <v>1298262.58</v>
      </c>
      <c r="F4517" s="6">
        <f>ROUND(E4517-E4516,2)</f>
        <v/>
      </c>
      <c r="G4517" s="6">
        <f>ROUND(F4517-D4517,2)</f>
        <v/>
      </c>
    </row>
    <row r="4518">
      <c r="A4518" t="inlineStr">
        <is>
          <t>2022-10-30</t>
        </is>
      </c>
      <c r="B4518" t="n">
        <v>23</v>
      </c>
      <c r="C4518" t="n">
        <v>3089</v>
      </c>
      <c r="D4518" s="6" t="n">
        <v>51</v>
      </c>
      <c r="E4518" s="6" t="n">
        <v>1298313.58</v>
      </c>
      <c r="F4518" s="6">
        <f>ROUND(E4518-E4517,2)</f>
        <v/>
      </c>
      <c r="G4518" s="6">
        <f>ROUND(F4518-D4518,2)</f>
        <v/>
      </c>
    </row>
    <row r="4519">
      <c r="A4519" t="inlineStr">
        <is>
          <t>2022-10-30</t>
        </is>
      </c>
      <c r="B4519" t="n">
        <v>24</v>
      </c>
      <c r="C4519" t="n">
        <v>3089</v>
      </c>
      <c r="D4519" s="6" t="n">
        <v>25.4</v>
      </c>
      <c r="E4519" s="6" t="n">
        <v>1298338.98</v>
      </c>
      <c r="F4519" s="6">
        <f>ROUND(E4519-E4518,2)</f>
        <v/>
      </c>
      <c r="G4519" s="6">
        <f>ROUND(F4519-D4519,2)</f>
        <v/>
      </c>
    </row>
    <row r="4520">
      <c r="A4520" t="inlineStr">
        <is>
          <t>2022-10-30</t>
        </is>
      </c>
      <c r="B4520" t="n">
        <v>25</v>
      </c>
      <c r="C4520" t="n">
        <v>3089</v>
      </c>
      <c r="D4520" s="6" t="n">
        <v>26.8</v>
      </c>
      <c r="E4520" s="6" t="n">
        <v>1298365.78</v>
      </c>
      <c r="F4520" s="6">
        <f>ROUND(E4520-E4519,2)</f>
        <v/>
      </c>
      <c r="G4520" s="6">
        <f>ROUND(F4520-D4520,2)</f>
        <v/>
      </c>
    </row>
    <row r="4521">
      <c r="A4521" t="inlineStr">
        <is>
          <t>2022-10-30</t>
        </is>
      </c>
      <c r="B4521" t="n">
        <v>26</v>
      </c>
      <c r="C4521" t="n">
        <v>3089</v>
      </c>
      <c r="D4521" s="6" t="n">
        <v>37.1</v>
      </c>
      <c r="E4521" s="6" t="n">
        <v>1298402.88</v>
      </c>
      <c r="F4521" s="6">
        <f>ROUND(E4521-E4520,2)</f>
        <v/>
      </c>
      <c r="G4521" s="6">
        <f>ROUND(F4521-D4521,2)</f>
        <v/>
      </c>
    </row>
    <row r="4522">
      <c r="A4522" t="inlineStr">
        <is>
          <t>2022-10-30</t>
        </is>
      </c>
      <c r="B4522" t="n">
        <v>27</v>
      </c>
      <c r="C4522" t="n">
        <v>3089</v>
      </c>
      <c r="D4522" s="6" t="n">
        <v>112.3</v>
      </c>
      <c r="E4522" s="6" t="n">
        <v>1298515.18</v>
      </c>
      <c r="F4522" s="6">
        <f>ROUND(E4522-E4521,2)</f>
        <v/>
      </c>
      <c r="G4522" s="6">
        <f>ROUND(F4522-D4522,2)</f>
        <v/>
      </c>
    </row>
    <row r="4523">
      <c r="A4523" t="inlineStr">
        <is>
          <t>2022-11-02</t>
        </is>
      </c>
      <c r="B4523" t="n">
        <v>1</v>
      </c>
      <c r="C4523" t="n">
        <v>3090</v>
      </c>
      <c r="D4523" s="6" t="n">
        <v>87.8</v>
      </c>
      <c r="E4523" s="6" t="n">
        <v>1298602.98</v>
      </c>
      <c r="F4523" s="6">
        <f>ROUND(E4523-E4522,2)</f>
        <v/>
      </c>
      <c r="G4523" s="6">
        <f>ROUND(F4523-D4523,2)</f>
        <v/>
      </c>
    </row>
    <row r="4524">
      <c r="A4524" t="inlineStr">
        <is>
          <t>2022-11-02</t>
        </is>
      </c>
      <c r="B4524" t="n">
        <v>2</v>
      </c>
      <c r="C4524" t="n">
        <v>3090</v>
      </c>
      <c r="D4524" s="6" t="n">
        <v>90.90000000000001</v>
      </c>
      <c r="E4524" s="6" t="n">
        <v>1298693.88</v>
      </c>
      <c r="F4524" s="6">
        <f>ROUND(E4524-E4523,2)</f>
        <v/>
      </c>
      <c r="G4524" s="6">
        <f>ROUND(F4524-D4524,2)</f>
        <v/>
      </c>
    </row>
    <row r="4525">
      <c r="A4525" t="inlineStr">
        <is>
          <t>2022-11-02</t>
        </is>
      </c>
      <c r="B4525" t="n">
        <v>3</v>
      </c>
      <c r="C4525" t="n">
        <v>3090</v>
      </c>
      <c r="D4525" s="6" t="n">
        <v>25.5</v>
      </c>
      <c r="E4525" s="6" t="n">
        <v>1298719.38</v>
      </c>
      <c r="F4525" s="6">
        <f>ROUND(E4525-E4524,2)</f>
        <v/>
      </c>
      <c r="G4525" s="6">
        <f>ROUND(F4525-D4525,2)</f>
        <v/>
      </c>
    </row>
    <row r="4526">
      <c r="A4526" t="inlineStr">
        <is>
          <t>2022-11-02</t>
        </is>
      </c>
      <c r="B4526" t="n">
        <v>4</v>
      </c>
      <c r="C4526" t="n">
        <v>3090</v>
      </c>
      <c r="D4526" s="6" t="n">
        <v>68.40000000000001</v>
      </c>
      <c r="E4526" s="6" t="n">
        <v>1298787.78</v>
      </c>
      <c r="F4526" s="6">
        <f>ROUND(E4526-E4525,2)</f>
        <v/>
      </c>
      <c r="G4526" s="6">
        <f>ROUND(F4526-D4526,2)</f>
        <v/>
      </c>
    </row>
    <row r="4527">
      <c r="A4527" t="inlineStr">
        <is>
          <t>2022-11-02</t>
        </is>
      </c>
      <c r="B4527" t="n">
        <v>5</v>
      </c>
      <c r="C4527" t="n">
        <v>3090</v>
      </c>
      <c r="D4527" s="6" t="n">
        <v>43.8</v>
      </c>
      <c r="E4527" s="6" t="n">
        <v>1298831.58</v>
      </c>
      <c r="F4527" s="6">
        <f>ROUND(E4527-E4526,2)</f>
        <v/>
      </c>
      <c r="G4527" s="6">
        <f>ROUND(F4527-D4527,2)</f>
        <v/>
      </c>
    </row>
    <row r="4528">
      <c r="A4528" t="inlineStr">
        <is>
          <t>2022-11-02</t>
        </is>
      </c>
      <c r="B4528" t="n">
        <v>6</v>
      </c>
      <c r="C4528" t="n">
        <v>3090</v>
      </c>
      <c r="D4528" s="6" t="n">
        <v>46.8</v>
      </c>
      <c r="E4528" s="6" t="n">
        <v>1298878.38</v>
      </c>
      <c r="F4528" s="6">
        <f>ROUND(E4528-E4527,2)</f>
        <v/>
      </c>
      <c r="G4528" s="6">
        <f>ROUND(F4528-D4528,2)</f>
        <v/>
      </c>
    </row>
    <row r="4529">
      <c r="A4529" t="inlineStr">
        <is>
          <t>2022-11-02</t>
        </is>
      </c>
      <c r="B4529" t="n">
        <v>7</v>
      </c>
      <c r="C4529" t="n">
        <v>3090</v>
      </c>
      <c r="D4529" s="6" t="n">
        <v>55.4</v>
      </c>
      <c r="E4529" s="6" t="n">
        <v>1298933.78</v>
      </c>
      <c r="F4529" s="6">
        <f>ROUND(E4529-E4528,2)</f>
        <v/>
      </c>
      <c r="G4529" s="6">
        <f>ROUND(F4529-D4529,2)</f>
        <v/>
      </c>
    </row>
    <row r="4530">
      <c r="A4530" t="inlineStr">
        <is>
          <t>2022-11-02</t>
        </is>
      </c>
      <c r="B4530" t="n">
        <v>8</v>
      </c>
      <c r="C4530" t="n">
        <v>3090</v>
      </c>
      <c r="D4530" s="6" t="n">
        <v>106</v>
      </c>
      <c r="E4530" s="6" t="n">
        <v>1299039.78</v>
      </c>
      <c r="F4530" s="6">
        <f>ROUND(E4530-E4529,2)</f>
        <v/>
      </c>
      <c r="G4530" s="6">
        <f>ROUND(F4530-D4530,2)</f>
        <v/>
      </c>
    </row>
    <row r="4531">
      <c r="A4531" t="inlineStr">
        <is>
          <t>2022-11-02</t>
        </is>
      </c>
      <c r="B4531" t="n">
        <v>9</v>
      </c>
      <c r="C4531" t="n">
        <v>3090</v>
      </c>
      <c r="D4531" s="6" t="n">
        <v>57.35</v>
      </c>
      <c r="E4531" s="6" t="n">
        <v>1299097.13</v>
      </c>
      <c r="F4531" s="6">
        <f>ROUND(E4531-E4530,2)</f>
        <v/>
      </c>
      <c r="G4531" s="6">
        <f>ROUND(F4531-D4531,2)</f>
        <v/>
      </c>
    </row>
    <row r="4532">
      <c r="A4532" t="inlineStr">
        <is>
          <t>2022-11-02</t>
        </is>
      </c>
      <c r="B4532" t="n">
        <v>10</v>
      </c>
      <c r="C4532" t="n">
        <v>3090</v>
      </c>
      <c r="D4532" s="6" t="n">
        <v>57.35</v>
      </c>
      <c r="E4532" s="6" t="n">
        <v>1299154.48</v>
      </c>
      <c r="F4532" s="6">
        <f>ROUND(E4532-E4531,2)</f>
        <v/>
      </c>
      <c r="G4532" s="6">
        <f>ROUND(F4532-D4532,2)</f>
        <v/>
      </c>
    </row>
    <row r="4533">
      <c r="A4533" t="inlineStr">
        <is>
          <t>2022-11-02</t>
        </is>
      </c>
      <c r="B4533" t="n">
        <v>11</v>
      </c>
      <c r="C4533" t="n">
        <v>3090</v>
      </c>
      <c r="D4533" s="6" t="n">
        <v>66.59999999999999</v>
      </c>
      <c r="E4533" s="6" t="n">
        <v>1299221.08</v>
      </c>
      <c r="F4533" s="6">
        <f>ROUND(E4533-E4532,2)</f>
        <v/>
      </c>
      <c r="G4533" s="6">
        <f>ROUND(F4533-D4533,2)</f>
        <v/>
      </c>
    </row>
    <row r="4534">
      <c r="A4534" t="inlineStr">
        <is>
          <t>2022-11-02</t>
        </is>
      </c>
      <c r="B4534" t="n">
        <v>12</v>
      </c>
      <c r="C4534" t="n">
        <v>3090</v>
      </c>
      <c r="D4534" s="6" t="n">
        <v>88.59999999999999</v>
      </c>
      <c r="E4534" s="6" t="n">
        <v>1299309.68</v>
      </c>
      <c r="F4534" s="6">
        <f>ROUND(E4534-E4533,2)</f>
        <v/>
      </c>
      <c r="G4534" s="6">
        <f>ROUND(F4534-D4534,2)</f>
        <v/>
      </c>
    </row>
    <row r="4535">
      <c r="A4535" t="inlineStr">
        <is>
          <t>2022-11-02</t>
        </is>
      </c>
      <c r="B4535" t="n">
        <v>13</v>
      </c>
      <c r="C4535" t="n">
        <v>3090</v>
      </c>
      <c r="D4535" s="6" t="n">
        <v>91.40000000000001</v>
      </c>
      <c r="E4535" s="6" t="n">
        <v>1299401.08</v>
      </c>
      <c r="F4535" s="6">
        <f>ROUND(E4535-E4534,2)</f>
        <v/>
      </c>
      <c r="G4535" s="6">
        <f>ROUND(F4535-D4535,2)</f>
        <v/>
      </c>
    </row>
    <row r="4536">
      <c r="A4536" t="inlineStr">
        <is>
          <t>2022-11-02</t>
        </is>
      </c>
      <c r="B4536" t="n">
        <v>14</v>
      </c>
      <c r="C4536" t="n">
        <v>3090</v>
      </c>
      <c r="D4536" s="6" t="n">
        <v>97.59999999999999</v>
      </c>
      <c r="E4536" s="6" t="n">
        <v>1299498.68</v>
      </c>
      <c r="F4536" s="6">
        <f>ROUND(E4536-E4535,2)</f>
        <v/>
      </c>
      <c r="G4536" s="6">
        <f>ROUND(F4536-D4536,2)</f>
        <v/>
      </c>
    </row>
    <row r="4537">
      <c r="A4537" t="inlineStr">
        <is>
          <t>2022-11-02</t>
        </is>
      </c>
      <c r="B4537" t="n">
        <v>15</v>
      </c>
      <c r="C4537" t="n">
        <v>3090</v>
      </c>
      <c r="D4537" s="6" t="n">
        <v>36.6</v>
      </c>
      <c r="E4537" s="6" t="n">
        <v>1299535.28</v>
      </c>
      <c r="F4537" s="6">
        <f>ROUND(E4537-E4536,2)</f>
        <v/>
      </c>
      <c r="G4537" s="6">
        <f>ROUND(F4537-D4537,2)</f>
        <v/>
      </c>
    </row>
    <row r="4538">
      <c r="A4538" t="inlineStr">
        <is>
          <t>2022-11-02</t>
        </is>
      </c>
      <c r="B4538" t="n">
        <v>16</v>
      </c>
      <c r="C4538" t="n">
        <v>3090</v>
      </c>
      <c r="D4538" s="6" t="n">
        <v>32</v>
      </c>
      <c r="E4538" s="6" t="n">
        <v>1299567.28</v>
      </c>
      <c r="F4538" s="6">
        <f>ROUND(E4538-E4537,2)</f>
        <v/>
      </c>
      <c r="G4538" s="6">
        <f>ROUND(F4538-D4538,2)</f>
        <v/>
      </c>
    </row>
    <row r="4539">
      <c r="A4539" t="inlineStr">
        <is>
          <t>2022-11-02</t>
        </is>
      </c>
      <c r="B4539" t="n">
        <v>17</v>
      </c>
      <c r="C4539" t="n">
        <v>3090</v>
      </c>
      <c r="D4539" s="6" t="n">
        <v>38</v>
      </c>
      <c r="E4539" s="6" t="n">
        <v>1299605.28</v>
      </c>
      <c r="F4539" s="6">
        <f>ROUND(E4539-E4538,2)</f>
        <v/>
      </c>
      <c r="G4539" s="6">
        <f>ROUND(F4539-D4539,2)</f>
        <v/>
      </c>
    </row>
    <row r="4540">
      <c r="A4540" t="inlineStr">
        <is>
          <t>2022-11-02</t>
        </is>
      </c>
      <c r="B4540" t="n">
        <v>18</v>
      </c>
      <c r="C4540" t="n">
        <v>3090</v>
      </c>
      <c r="D4540" s="6" t="n">
        <v>19</v>
      </c>
      <c r="E4540" s="6" t="n">
        <v>1299624.28</v>
      </c>
      <c r="F4540" s="6">
        <f>ROUND(E4540-E4539,2)</f>
        <v/>
      </c>
      <c r="G4540" s="6">
        <f>ROUND(F4540-D4540,2)</f>
        <v/>
      </c>
    </row>
    <row r="4541">
      <c r="A4541" t="inlineStr">
        <is>
          <t>2022-11-02</t>
        </is>
      </c>
      <c r="B4541" t="n">
        <v>19</v>
      </c>
      <c r="C4541" t="n">
        <v>3090</v>
      </c>
      <c r="D4541" s="6" t="n">
        <v>19</v>
      </c>
      <c r="E4541" s="6" t="n">
        <v>1299643.28</v>
      </c>
      <c r="F4541" s="6">
        <f>ROUND(E4541-E4540,2)</f>
        <v/>
      </c>
      <c r="G4541" s="6">
        <f>ROUND(F4541-D4541,2)</f>
        <v/>
      </c>
    </row>
    <row r="4542">
      <c r="A4542" t="inlineStr">
        <is>
          <t>2022-11-02</t>
        </is>
      </c>
      <c r="B4542" t="n">
        <v>20</v>
      </c>
      <c r="C4542" t="n">
        <v>3090</v>
      </c>
      <c r="D4542" s="6" t="n">
        <v>37.6</v>
      </c>
      <c r="E4542" s="6" t="n">
        <v>1299680.88</v>
      </c>
      <c r="F4542" s="6">
        <f>ROUND(E4542-E4541,2)</f>
        <v/>
      </c>
      <c r="G4542" s="6">
        <f>ROUND(F4542-D4542,2)</f>
        <v/>
      </c>
    </row>
    <row r="4543">
      <c r="A4543" t="inlineStr">
        <is>
          <t>2022-11-02</t>
        </is>
      </c>
      <c r="B4543" t="n">
        <v>21</v>
      </c>
      <c r="C4543" t="n">
        <v>3090</v>
      </c>
      <c r="D4543" s="6" t="n">
        <v>53.1</v>
      </c>
      <c r="E4543" s="6" t="n">
        <v>1299733.98</v>
      </c>
      <c r="F4543" s="6">
        <f>ROUND(E4543-E4542,2)</f>
        <v/>
      </c>
      <c r="G4543" s="6">
        <f>ROUND(F4543-D4543,2)</f>
        <v/>
      </c>
    </row>
    <row r="4544">
      <c r="A4544" t="inlineStr">
        <is>
          <t>2022-11-02</t>
        </is>
      </c>
      <c r="B4544" t="n">
        <v>22</v>
      </c>
      <c r="C4544" t="n">
        <v>3090</v>
      </c>
      <c r="D4544" s="6" t="n">
        <v>61.1</v>
      </c>
      <c r="E4544" s="6" t="n">
        <v>1299795.08</v>
      </c>
      <c r="F4544" s="6">
        <f>ROUND(E4544-E4543,2)</f>
        <v/>
      </c>
      <c r="G4544" s="6">
        <f>ROUND(F4544-D4544,2)</f>
        <v/>
      </c>
    </row>
    <row r="4545">
      <c r="A4545" t="inlineStr">
        <is>
          <t>2022-11-02</t>
        </is>
      </c>
      <c r="B4545" t="n">
        <v>23</v>
      </c>
      <c r="C4545" t="n">
        <v>3090</v>
      </c>
      <c r="D4545" s="6" t="n">
        <v>90</v>
      </c>
      <c r="E4545" s="6" t="n">
        <v>1299885.08</v>
      </c>
      <c r="F4545" s="6">
        <f>ROUND(E4545-E4544,2)</f>
        <v/>
      </c>
      <c r="G4545" s="6">
        <f>ROUND(F4545-D4545,2)</f>
        <v/>
      </c>
    </row>
    <row r="4546">
      <c r="A4546" t="inlineStr">
        <is>
          <t>2022-11-02</t>
        </is>
      </c>
      <c r="B4546" t="n">
        <v>24</v>
      </c>
      <c r="C4546" t="n">
        <v>3090</v>
      </c>
      <c r="D4546" s="6" t="n">
        <v>89.5</v>
      </c>
      <c r="E4546" s="6" t="n">
        <v>1299974.58</v>
      </c>
      <c r="F4546" s="6">
        <f>ROUND(E4546-E4545,2)</f>
        <v/>
      </c>
      <c r="G4546" s="6">
        <f>ROUND(F4546-D4546,2)</f>
        <v/>
      </c>
    </row>
    <row r="4547">
      <c r="A4547" t="inlineStr">
        <is>
          <t>2022-11-02</t>
        </is>
      </c>
      <c r="B4547" t="n">
        <v>25</v>
      </c>
      <c r="C4547" t="n">
        <v>3090</v>
      </c>
      <c r="D4547" s="6" t="n">
        <v>92.59999999999999</v>
      </c>
      <c r="E4547" s="6" t="n">
        <v>1300067.18</v>
      </c>
      <c r="F4547" s="6">
        <f>ROUND(E4547-E4546,2)</f>
        <v/>
      </c>
      <c r="G4547" s="6">
        <f>ROUND(F4547-D4547,2)</f>
        <v/>
      </c>
    </row>
    <row r="4548">
      <c r="A4548" t="inlineStr">
        <is>
          <t>2022-11-02</t>
        </is>
      </c>
      <c r="B4548" t="n">
        <v>26</v>
      </c>
      <c r="C4548" t="n">
        <v>3090</v>
      </c>
      <c r="D4548" s="6" t="n">
        <v>92.59999999999999</v>
      </c>
      <c r="E4548" s="6" t="n">
        <v>1300159.78</v>
      </c>
      <c r="F4548" s="6">
        <f>ROUND(E4548-E4547,2)</f>
        <v/>
      </c>
      <c r="G4548" s="6">
        <f>ROUND(F4548-D4548,2)</f>
        <v/>
      </c>
    </row>
    <row r="4549">
      <c r="A4549" t="inlineStr">
        <is>
          <t>2022-11-02</t>
        </is>
      </c>
      <c r="B4549" t="n">
        <v>27</v>
      </c>
      <c r="C4549" t="n">
        <v>3090</v>
      </c>
      <c r="D4549" s="6" t="n">
        <v>75.3</v>
      </c>
      <c r="E4549" s="6" t="n">
        <v>1300235.08</v>
      </c>
      <c r="F4549" s="6">
        <f>ROUND(E4549-E4548,2)</f>
        <v/>
      </c>
      <c r="G4549" s="6">
        <f>ROUND(F4549-D4549,2)</f>
        <v/>
      </c>
    </row>
    <row r="4550">
      <c r="A4550" t="inlineStr">
        <is>
          <t>2022-11-02</t>
        </is>
      </c>
      <c r="B4550" t="n">
        <v>28</v>
      </c>
      <c r="C4550" t="n">
        <v>3090</v>
      </c>
      <c r="D4550" s="6" t="n">
        <v>33.9</v>
      </c>
      <c r="E4550" s="6" t="n">
        <v>1300268.98</v>
      </c>
      <c r="F4550" s="6">
        <f>ROUND(E4550-E4549,2)</f>
        <v/>
      </c>
      <c r="G4550" s="6">
        <f>ROUND(F4550-D4550,2)</f>
        <v/>
      </c>
    </row>
    <row r="4551">
      <c r="A4551" t="inlineStr">
        <is>
          <t>2022-11-02</t>
        </is>
      </c>
      <c r="B4551" t="n">
        <v>29</v>
      </c>
      <c r="C4551" t="n">
        <v>3090</v>
      </c>
      <c r="D4551" s="6" t="n">
        <v>33.9</v>
      </c>
      <c r="E4551" s="6" t="n">
        <v>1300302.88</v>
      </c>
      <c r="F4551" s="6">
        <f>ROUND(E4551-E4550,2)</f>
        <v/>
      </c>
      <c r="G4551" s="6">
        <f>ROUND(F4551-D4551,2)</f>
        <v/>
      </c>
    </row>
    <row r="4552">
      <c r="A4552" t="inlineStr">
        <is>
          <t>2022-11-02</t>
        </is>
      </c>
      <c r="B4552" t="n">
        <v>30</v>
      </c>
      <c r="C4552" t="n">
        <v>3090</v>
      </c>
      <c r="D4552" s="6" t="n">
        <v>55.2</v>
      </c>
      <c r="E4552" s="6" t="n">
        <v>1300358.08</v>
      </c>
      <c r="F4552" s="6">
        <f>ROUND(E4552-E4551,2)</f>
        <v/>
      </c>
      <c r="G4552" s="6">
        <f>ROUND(F4552-D4552,2)</f>
        <v/>
      </c>
    </row>
    <row r="4553">
      <c r="A4553" t="inlineStr">
        <is>
          <t>2022-11-02</t>
        </is>
      </c>
      <c r="B4553" t="n">
        <v>31</v>
      </c>
      <c r="C4553" t="n">
        <v>3090</v>
      </c>
      <c r="D4553" s="6" t="n">
        <v>45.1</v>
      </c>
      <c r="E4553" s="6" t="n">
        <v>1300403.18</v>
      </c>
      <c r="F4553" s="6">
        <f>ROUND(E4553-E4552,2)</f>
        <v/>
      </c>
      <c r="G4553" s="6">
        <f>ROUND(F4553-D4553,2)</f>
        <v/>
      </c>
    </row>
    <row r="4554">
      <c r="A4554" t="inlineStr">
        <is>
          <t>2022-11-02</t>
        </is>
      </c>
      <c r="B4554" t="n">
        <v>32</v>
      </c>
      <c r="C4554" t="n">
        <v>3090</v>
      </c>
      <c r="D4554" s="6" t="n">
        <v>21</v>
      </c>
      <c r="E4554" s="6" t="n">
        <v>1300424.18</v>
      </c>
      <c r="F4554" s="6">
        <f>ROUND(E4554-E4553,2)</f>
        <v/>
      </c>
      <c r="G4554" s="6">
        <f>ROUND(F4554-D4554,2)</f>
        <v/>
      </c>
    </row>
    <row r="4555">
      <c r="A4555" t="inlineStr">
        <is>
          <t>2022-11-02</t>
        </is>
      </c>
      <c r="B4555" t="n">
        <v>33</v>
      </c>
      <c r="C4555" t="n">
        <v>3090</v>
      </c>
      <c r="D4555" s="6" t="n">
        <v>25</v>
      </c>
      <c r="E4555" s="6" t="n">
        <v>1300449.18</v>
      </c>
      <c r="F4555" s="6">
        <f>ROUND(E4555-E4554,2)</f>
        <v/>
      </c>
      <c r="G4555" s="6">
        <f>ROUND(F4555-D4555,2)</f>
        <v/>
      </c>
    </row>
    <row r="4556">
      <c r="A4556" t="inlineStr">
        <is>
          <t>2022-11-02</t>
        </is>
      </c>
      <c r="B4556" t="n">
        <v>34</v>
      </c>
      <c r="C4556" t="n">
        <v>3090</v>
      </c>
      <c r="D4556" s="6" t="n">
        <v>25</v>
      </c>
      <c r="E4556" s="6" t="n">
        <v>1300474.18</v>
      </c>
      <c r="F4556" s="6">
        <f>ROUND(E4556-E4555,2)</f>
        <v/>
      </c>
      <c r="G4556" s="6">
        <f>ROUND(F4556-D4556,2)</f>
        <v/>
      </c>
    </row>
    <row r="4557">
      <c r="A4557" t="inlineStr">
        <is>
          <t>2022-11-02</t>
        </is>
      </c>
      <c r="B4557" t="n">
        <v>35</v>
      </c>
      <c r="C4557" t="n">
        <v>3090</v>
      </c>
      <c r="D4557" s="6" t="n">
        <v>24.7</v>
      </c>
      <c r="E4557" s="6" t="n">
        <v>1300498.88</v>
      </c>
      <c r="F4557" s="6">
        <f>ROUND(E4557-E4556,2)</f>
        <v/>
      </c>
      <c r="G4557" s="6">
        <f>ROUND(F4557-D4557,2)</f>
        <v/>
      </c>
    </row>
    <row r="4558">
      <c r="A4558" t="inlineStr">
        <is>
          <t>2022-11-02</t>
        </is>
      </c>
      <c r="B4558" t="n">
        <v>36</v>
      </c>
      <c r="C4558" t="n">
        <v>3090</v>
      </c>
      <c r="D4558" s="6" t="n">
        <v>25</v>
      </c>
      <c r="E4558" s="6" t="n">
        <v>1300523.88</v>
      </c>
      <c r="F4558" s="6">
        <f>ROUND(E4558-E4557,2)</f>
        <v/>
      </c>
      <c r="G4558" s="6">
        <f>ROUND(F4558-D4558,2)</f>
        <v/>
      </c>
    </row>
    <row r="4559">
      <c r="A4559" t="inlineStr">
        <is>
          <t>2022-11-02</t>
        </is>
      </c>
      <c r="B4559" t="n">
        <v>37</v>
      </c>
      <c r="C4559" t="n">
        <v>3090</v>
      </c>
      <c r="D4559" s="6" t="n">
        <v>20.6</v>
      </c>
      <c r="E4559" s="6" t="n">
        <v>1300544.48</v>
      </c>
      <c r="F4559" s="6">
        <f>ROUND(E4559-E4558,2)</f>
        <v/>
      </c>
      <c r="G4559" s="6">
        <f>ROUND(F4559-D4559,2)</f>
        <v/>
      </c>
    </row>
    <row r="4560">
      <c r="A4560" t="inlineStr">
        <is>
          <t>2022-11-02</t>
        </is>
      </c>
      <c r="B4560" t="n">
        <v>38</v>
      </c>
      <c r="C4560" t="n">
        <v>3090</v>
      </c>
      <c r="D4560" s="6" t="n">
        <v>24.7</v>
      </c>
      <c r="E4560" s="6" t="n">
        <v>1300569.18</v>
      </c>
      <c r="F4560" s="6">
        <f>ROUND(E4560-E4559,2)</f>
        <v/>
      </c>
      <c r="G4560" s="6">
        <f>ROUND(F4560-D4560,2)</f>
        <v/>
      </c>
    </row>
    <row r="4561">
      <c r="A4561" t="inlineStr">
        <is>
          <t>2022-11-03</t>
        </is>
      </c>
      <c r="B4561" t="n">
        <v>1</v>
      </c>
      <c r="C4561" t="n">
        <v>3091</v>
      </c>
      <c r="D4561" s="6" t="n">
        <v>67.5</v>
      </c>
      <c r="E4561" s="6" t="n">
        <v>1300636.68</v>
      </c>
      <c r="F4561" s="6">
        <f>ROUND(E4561-E4560,2)</f>
        <v/>
      </c>
      <c r="G4561" s="6">
        <f>ROUND(F4561-D4561,2)</f>
        <v/>
      </c>
    </row>
    <row r="4562">
      <c r="A4562" t="inlineStr">
        <is>
          <t>2022-11-03</t>
        </is>
      </c>
      <c r="B4562" t="n">
        <v>2</v>
      </c>
      <c r="C4562" t="n">
        <v>3091</v>
      </c>
      <c r="D4562" s="6" t="n">
        <v>41.8</v>
      </c>
      <c r="E4562" s="6" t="n">
        <v>1300678.48</v>
      </c>
      <c r="F4562" s="6">
        <f>ROUND(E4562-E4561,2)</f>
        <v/>
      </c>
      <c r="G4562" s="6">
        <f>ROUND(F4562-D4562,2)</f>
        <v/>
      </c>
    </row>
    <row r="4563">
      <c r="A4563" t="inlineStr">
        <is>
          <t>2022-11-03</t>
        </is>
      </c>
      <c r="B4563" t="n">
        <v>3</v>
      </c>
      <c r="C4563" t="n">
        <v>3091</v>
      </c>
      <c r="D4563" s="6" t="n">
        <v>58.6</v>
      </c>
      <c r="E4563" s="6" t="n">
        <v>1300737.08</v>
      </c>
      <c r="F4563" s="6">
        <f>ROUND(E4563-E4562,2)</f>
        <v/>
      </c>
      <c r="G4563" s="6">
        <f>ROUND(F4563-D4563,2)</f>
        <v/>
      </c>
    </row>
    <row r="4564">
      <c r="A4564" t="inlineStr">
        <is>
          <t>2022-11-03</t>
        </is>
      </c>
      <c r="B4564" t="n">
        <v>4</v>
      </c>
      <c r="C4564" t="n">
        <v>3091</v>
      </c>
      <c r="D4564" s="6" t="n">
        <v>48.1</v>
      </c>
      <c r="E4564" s="6" t="n">
        <v>1300785.18</v>
      </c>
      <c r="F4564" s="6">
        <f>ROUND(E4564-E4563,2)</f>
        <v/>
      </c>
      <c r="G4564" s="6">
        <f>ROUND(F4564-D4564,2)</f>
        <v/>
      </c>
    </row>
    <row r="4565">
      <c r="A4565" t="inlineStr">
        <is>
          <t>2022-11-03</t>
        </is>
      </c>
      <c r="B4565" t="n">
        <v>5</v>
      </c>
      <c r="C4565" t="n">
        <v>3091</v>
      </c>
      <c r="D4565" s="6" t="n">
        <v>62.7</v>
      </c>
      <c r="E4565" s="6" t="n">
        <v>1300847.88</v>
      </c>
      <c r="F4565" s="6">
        <f>ROUND(E4565-E4564,2)</f>
        <v/>
      </c>
      <c r="G4565" s="6">
        <f>ROUND(F4565-D4565,2)</f>
        <v/>
      </c>
    </row>
    <row r="4566">
      <c r="A4566" t="inlineStr">
        <is>
          <t>2022-11-03</t>
        </is>
      </c>
      <c r="B4566" t="n">
        <v>6</v>
      </c>
      <c r="C4566" t="n">
        <v>3091</v>
      </c>
      <c r="D4566" s="6" t="n">
        <v>73</v>
      </c>
      <c r="E4566" s="6" t="n">
        <v>1300920.88</v>
      </c>
      <c r="F4566" s="6">
        <f>ROUND(E4566-E4565,2)</f>
        <v/>
      </c>
      <c r="G4566" s="6">
        <f>ROUND(F4566-D4566,2)</f>
        <v/>
      </c>
    </row>
    <row r="4567">
      <c r="A4567" t="inlineStr">
        <is>
          <t>2022-11-03</t>
        </is>
      </c>
      <c r="B4567" t="n">
        <v>7</v>
      </c>
      <c r="C4567" t="n">
        <v>3091</v>
      </c>
      <c r="D4567" s="6" t="n">
        <v>24.5</v>
      </c>
      <c r="E4567" s="6" t="n">
        <v>1300945.38</v>
      </c>
      <c r="F4567" s="6">
        <f>ROUND(E4567-E4566,2)</f>
        <v/>
      </c>
      <c r="G4567" s="6">
        <f>ROUND(F4567-D4567,2)</f>
        <v/>
      </c>
    </row>
    <row r="4568">
      <c r="A4568" t="inlineStr">
        <is>
          <t>2022-11-03</t>
        </is>
      </c>
      <c r="B4568" t="n">
        <v>8</v>
      </c>
      <c r="C4568" t="n">
        <v>3091</v>
      </c>
      <c r="D4568" s="6" t="n">
        <v>22</v>
      </c>
      <c r="E4568" s="6" t="n">
        <v>1300967.38</v>
      </c>
      <c r="F4568" s="6">
        <f>ROUND(E4568-E4567,2)</f>
        <v/>
      </c>
      <c r="G4568" s="6">
        <f>ROUND(F4568-D4568,2)</f>
        <v/>
      </c>
    </row>
    <row r="4569">
      <c r="A4569" t="inlineStr">
        <is>
          <t>2022-11-03</t>
        </is>
      </c>
      <c r="B4569" t="n">
        <v>9</v>
      </c>
      <c r="C4569" t="n">
        <v>3091</v>
      </c>
      <c r="D4569" s="6" t="n">
        <v>49.7</v>
      </c>
      <c r="E4569" s="6" t="n">
        <v>1301017.08</v>
      </c>
      <c r="F4569" s="6">
        <f>ROUND(E4569-E4568,2)</f>
        <v/>
      </c>
      <c r="G4569" s="6">
        <f>ROUND(F4569-D4569,2)</f>
        <v/>
      </c>
    </row>
    <row r="4570">
      <c r="A4570" t="inlineStr">
        <is>
          <t>2022-11-03</t>
        </is>
      </c>
      <c r="B4570" t="n">
        <v>10</v>
      </c>
      <c r="C4570" t="n">
        <v>3091</v>
      </c>
      <c r="D4570" s="6" t="n">
        <v>72.3</v>
      </c>
      <c r="E4570" s="6" t="n">
        <v>1301089.38</v>
      </c>
      <c r="F4570" s="6">
        <f>ROUND(E4570-E4569,2)</f>
        <v/>
      </c>
      <c r="G4570" s="6">
        <f>ROUND(F4570-D4570,2)</f>
        <v/>
      </c>
    </row>
    <row r="4571">
      <c r="A4571" t="inlineStr">
        <is>
          <t>2022-11-03</t>
        </is>
      </c>
      <c r="B4571" t="n">
        <v>11</v>
      </c>
      <c r="C4571" t="n">
        <v>3091</v>
      </c>
      <c r="D4571" s="6" t="n">
        <v>27.2</v>
      </c>
      <c r="E4571" s="6" t="n">
        <v>1301116.58</v>
      </c>
      <c r="F4571" s="6">
        <f>ROUND(E4571-E4570,2)</f>
        <v/>
      </c>
      <c r="G4571" s="6">
        <f>ROUND(F4571-D4571,2)</f>
        <v/>
      </c>
    </row>
    <row r="4572">
      <c r="A4572" t="inlineStr">
        <is>
          <t>2022-11-03</t>
        </is>
      </c>
      <c r="B4572" t="n">
        <v>12</v>
      </c>
      <c r="C4572" t="n">
        <v>3091</v>
      </c>
      <c r="D4572" s="6" t="n">
        <v>27.2</v>
      </c>
      <c r="E4572" s="6" t="n">
        <v>1301143.78</v>
      </c>
      <c r="F4572" s="6">
        <f>ROUND(E4572-E4571,2)</f>
        <v/>
      </c>
      <c r="G4572" s="6">
        <f>ROUND(F4572-D4572,2)</f>
        <v/>
      </c>
    </row>
    <row r="4573">
      <c r="A4573" t="inlineStr">
        <is>
          <t>2022-11-03</t>
        </is>
      </c>
      <c r="B4573" t="n">
        <v>13</v>
      </c>
      <c r="C4573" t="n">
        <v>3091</v>
      </c>
      <c r="D4573" s="6" t="n">
        <v>125.1</v>
      </c>
      <c r="E4573" s="6" t="n">
        <v>1301268.88</v>
      </c>
      <c r="F4573" s="6">
        <f>ROUND(E4573-E4572,2)</f>
        <v/>
      </c>
      <c r="G4573" s="6">
        <f>ROUND(F4573-D4573,2)</f>
        <v/>
      </c>
    </row>
    <row r="4574">
      <c r="A4574" t="inlineStr">
        <is>
          <t>2022-11-03</t>
        </is>
      </c>
      <c r="B4574" t="n">
        <v>14</v>
      </c>
      <c r="C4574" t="n">
        <v>3091</v>
      </c>
      <c r="D4574" s="6" t="n">
        <v>75.5</v>
      </c>
      <c r="E4574" s="6" t="n">
        <v>1301344.38</v>
      </c>
      <c r="F4574" s="6">
        <f>ROUND(E4574-E4573,2)</f>
        <v/>
      </c>
      <c r="G4574" s="6">
        <f>ROUND(F4574-D4574,2)</f>
        <v/>
      </c>
    </row>
    <row r="4575">
      <c r="A4575" t="inlineStr">
        <is>
          <t>2022-11-03</t>
        </is>
      </c>
      <c r="B4575" t="n">
        <v>15</v>
      </c>
      <c r="C4575" t="n">
        <v>3091</v>
      </c>
      <c r="D4575" s="6" t="n">
        <v>24.9</v>
      </c>
      <c r="E4575" s="6" t="n">
        <v>1301369.28</v>
      </c>
      <c r="F4575" s="6">
        <f>ROUND(E4575-E4574,2)</f>
        <v/>
      </c>
      <c r="G4575" s="6">
        <f>ROUND(F4575-D4575,2)</f>
        <v/>
      </c>
    </row>
    <row r="4576">
      <c r="A4576" t="inlineStr">
        <is>
          <t>2022-11-03</t>
        </is>
      </c>
      <c r="B4576" t="n">
        <v>16</v>
      </c>
      <c r="C4576" t="n">
        <v>3091</v>
      </c>
      <c r="D4576" s="6" t="n">
        <v>129.6</v>
      </c>
      <c r="E4576" s="6" t="n">
        <v>1301498.88</v>
      </c>
      <c r="F4576" s="6">
        <f>ROUND(E4576-E4575,2)</f>
        <v/>
      </c>
      <c r="G4576" s="6">
        <f>ROUND(F4576-D4576,2)</f>
        <v/>
      </c>
    </row>
    <row r="4577">
      <c r="A4577" t="inlineStr">
        <is>
          <t>2022-11-03</t>
        </is>
      </c>
      <c r="B4577" t="n">
        <v>17</v>
      </c>
      <c r="C4577" t="n">
        <v>3091</v>
      </c>
      <c r="D4577" s="6" t="n">
        <v>47.7</v>
      </c>
      <c r="E4577" s="6" t="n">
        <v>1301546.58</v>
      </c>
      <c r="F4577" s="6">
        <f>ROUND(E4577-E4576,2)</f>
        <v/>
      </c>
      <c r="G4577" s="6">
        <f>ROUND(F4577-D4577,2)</f>
        <v/>
      </c>
    </row>
    <row r="4578">
      <c r="A4578" t="inlineStr">
        <is>
          <t>2022-11-03</t>
        </is>
      </c>
      <c r="B4578" t="n">
        <v>18</v>
      </c>
      <c r="C4578" t="n">
        <v>3091</v>
      </c>
      <c r="D4578" s="6" t="n">
        <v>79.8</v>
      </c>
      <c r="E4578" s="6" t="n">
        <v>1301626.38</v>
      </c>
      <c r="F4578" s="6">
        <f>ROUND(E4578-E4577,2)</f>
        <v/>
      </c>
      <c r="G4578" s="6">
        <f>ROUND(F4578-D4578,2)</f>
        <v/>
      </c>
    </row>
    <row r="4579">
      <c r="A4579" t="inlineStr">
        <is>
          <t>2022-11-03</t>
        </is>
      </c>
      <c r="B4579" t="n">
        <v>19</v>
      </c>
      <c r="C4579" t="n">
        <v>3091</v>
      </c>
      <c r="D4579" s="6" t="n">
        <v>143.3</v>
      </c>
      <c r="E4579" s="6" t="n">
        <v>1301769.68</v>
      </c>
      <c r="F4579" s="6">
        <f>ROUND(E4579-E4578,2)</f>
        <v/>
      </c>
      <c r="G4579" s="6">
        <f>ROUND(F4579-D4579,2)</f>
        <v/>
      </c>
    </row>
    <row r="4580">
      <c r="A4580" t="inlineStr">
        <is>
          <t>2022-11-03</t>
        </is>
      </c>
      <c r="B4580" t="n">
        <v>20</v>
      </c>
      <c r="C4580" t="n">
        <v>3091</v>
      </c>
      <c r="D4580" s="6" t="n">
        <v>132.1</v>
      </c>
      <c r="E4580" s="6" t="n">
        <v>1301901.78</v>
      </c>
      <c r="F4580" s="6">
        <f>ROUND(E4580-E4579,2)</f>
        <v/>
      </c>
      <c r="G4580" s="6">
        <f>ROUND(F4580-D4580,2)</f>
        <v/>
      </c>
    </row>
    <row r="4581">
      <c r="A4581" t="inlineStr">
        <is>
          <t>2022-11-03</t>
        </is>
      </c>
      <c r="B4581" t="n">
        <v>21</v>
      </c>
      <c r="C4581" t="n">
        <v>3091</v>
      </c>
      <c r="D4581" s="6" t="n">
        <v>100</v>
      </c>
      <c r="E4581" s="6" t="n">
        <v>1302001.78</v>
      </c>
      <c r="F4581" s="6">
        <f>ROUND(E4581-E4580,2)</f>
        <v/>
      </c>
      <c r="G4581" s="6">
        <f>ROUND(F4581-D4581,2)</f>
        <v/>
      </c>
    </row>
    <row r="4582">
      <c r="A4582" t="inlineStr">
        <is>
          <t>2022-11-03</t>
        </is>
      </c>
      <c r="B4582" t="n">
        <v>22</v>
      </c>
      <c r="C4582" t="n">
        <v>3091</v>
      </c>
      <c r="D4582" s="6" t="n">
        <v>95.7</v>
      </c>
      <c r="E4582" s="6" t="n">
        <v>1302097.48</v>
      </c>
      <c r="F4582" s="6">
        <f>ROUND(E4582-E4581,2)</f>
        <v/>
      </c>
      <c r="G4582" s="6">
        <f>ROUND(F4582-D4582,2)</f>
        <v/>
      </c>
    </row>
    <row r="4583">
      <c r="A4583" t="inlineStr">
        <is>
          <t>2022-11-03</t>
        </is>
      </c>
      <c r="B4583" t="n">
        <v>23</v>
      </c>
      <c r="C4583" t="n">
        <v>3091</v>
      </c>
      <c r="D4583" s="6" t="n">
        <v>103.9</v>
      </c>
      <c r="E4583" s="6" t="n">
        <v>1302201.38</v>
      </c>
      <c r="F4583" s="6">
        <f>ROUND(E4583-E4582,2)</f>
        <v/>
      </c>
      <c r="G4583" s="6">
        <f>ROUND(F4583-D4583,2)</f>
        <v/>
      </c>
    </row>
    <row r="4584">
      <c r="A4584" t="inlineStr">
        <is>
          <t>2022-11-03</t>
        </is>
      </c>
      <c r="B4584" t="n">
        <v>24</v>
      </c>
      <c r="C4584" t="n">
        <v>3091</v>
      </c>
      <c r="D4584" s="6" t="n">
        <v>76.09999999999999</v>
      </c>
      <c r="E4584" s="6" t="n">
        <v>1302277.48</v>
      </c>
      <c r="F4584" s="6">
        <f>ROUND(E4584-E4583,2)</f>
        <v/>
      </c>
      <c r="G4584" s="6">
        <f>ROUND(F4584-D4584,2)</f>
        <v/>
      </c>
    </row>
    <row r="4585">
      <c r="A4585" t="inlineStr">
        <is>
          <t>2022-11-03</t>
        </is>
      </c>
      <c r="B4585" t="n">
        <v>25</v>
      </c>
      <c r="C4585" t="n">
        <v>3091</v>
      </c>
      <c r="D4585" s="6" t="n">
        <v>65.8</v>
      </c>
      <c r="E4585" s="6" t="n">
        <v>1302343.28</v>
      </c>
      <c r="F4585" s="6">
        <f>ROUND(E4585-E4584,2)</f>
        <v/>
      </c>
      <c r="G4585" s="6">
        <f>ROUND(F4585-D4585,2)</f>
        <v/>
      </c>
    </row>
    <row r="4586">
      <c r="A4586" t="inlineStr">
        <is>
          <t>2022-11-03</t>
        </is>
      </c>
      <c r="B4586" t="n">
        <v>26</v>
      </c>
      <c r="C4586" t="n">
        <v>3091</v>
      </c>
      <c r="D4586" s="6" t="n">
        <v>96.2</v>
      </c>
      <c r="E4586" s="6" t="n">
        <v>1302439.48</v>
      </c>
      <c r="F4586" s="6">
        <f>ROUND(E4586-E4585,2)</f>
        <v/>
      </c>
      <c r="G4586" s="6">
        <f>ROUND(F4586-D4586,2)</f>
        <v/>
      </c>
    </row>
    <row r="4587">
      <c r="A4587" t="inlineStr">
        <is>
          <t>2022-11-03</t>
        </is>
      </c>
      <c r="B4587" t="n">
        <v>27</v>
      </c>
      <c r="C4587" t="n">
        <v>3091</v>
      </c>
      <c r="D4587" s="6" t="n">
        <v>45</v>
      </c>
      <c r="E4587" s="6" t="n">
        <v>1302484.48</v>
      </c>
      <c r="F4587" s="6">
        <f>ROUND(E4587-E4586,2)</f>
        <v/>
      </c>
      <c r="G4587" s="6">
        <f>ROUND(F4587-D4587,2)</f>
        <v/>
      </c>
    </row>
    <row r="4588">
      <c r="A4588" t="inlineStr">
        <is>
          <t>2022-11-03</t>
        </is>
      </c>
      <c r="B4588" t="n">
        <v>28</v>
      </c>
      <c r="C4588" t="n">
        <v>3091</v>
      </c>
      <c r="D4588" s="6" t="n">
        <v>95.40000000000001</v>
      </c>
      <c r="E4588" s="6" t="n">
        <v>1302579.88</v>
      </c>
      <c r="F4588" s="6">
        <f>ROUND(E4588-E4587,2)</f>
        <v/>
      </c>
      <c r="G4588" s="6">
        <f>ROUND(F4588-D4588,2)</f>
        <v/>
      </c>
    </row>
    <row r="4589">
      <c r="A4589" t="inlineStr">
        <is>
          <t>2022-11-03</t>
        </is>
      </c>
      <c r="B4589" t="n">
        <v>29</v>
      </c>
      <c r="C4589" t="n">
        <v>3091</v>
      </c>
      <c r="D4589" s="6" t="n">
        <v>87</v>
      </c>
      <c r="E4589" s="6" t="n">
        <v>1302666.88</v>
      </c>
      <c r="F4589" s="6">
        <f>ROUND(E4589-E4588,2)</f>
        <v/>
      </c>
      <c r="G4589" s="6">
        <f>ROUND(F4589-D4589,2)</f>
        <v/>
      </c>
    </row>
    <row r="4590">
      <c r="A4590" t="inlineStr">
        <is>
          <t>2022-11-03</t>
        </is>
      </c>
      <c r="B4590" t="n">
        <v>30</v>
      </c>
      <c r="C4590" t="n">
        <v>3091</v>
      </c>
      <c r="D4590" s="6" t="n">
        <v>42.6</v>
      </c>
      <c r="E4590" s="6" t="n">
        <v>1302709.48</v>
      </c>
      <c r="F4590" s="6">
        <f>ROUND(E4590-E4589,2)</f>
        <v/>
      </c>
      <c r="G4590" s="6">
        <f>ROUND(F4590-D4590,2)</f>
        <v/>
      </c>
    </row>
    <row r="4591">
      <c r="A4591" t="inlineStr">
        <is>
          <t>2022-11-04</t>
        </is>
      </c>
      <c r="B4591" t="n">
        <v>1</v>
      </c>
      <c r="C4591" t="n">
        <v>3092</v>
      </c>
      <c r="D4591" s="6" t="n">
        <v>58.6</v>
      </c>
      <c r="E4591" s="6" t="n">
        <v>1302768.08</v>
      </c>
      <c r="F4591" s="6">
        <f>ROUND(E4591-E4590,2)</f>
        <v/>
      </c>
      <c r="G4591" s="6">
        <f>ROUND(F4591-D4591,2)</f>
        <v/>
      </c>
    </row>
    <row r="4592">
      <c r="A4592" t="inlineStr">
        <is>
          <t>2022-11-04</t>
        </is>
      </c>
      <c r="B4592" t="n">
        <v>2</v>
      </c>
      <c r="C4592" t="n">
        <v>3092</v>
      </c>
      <c r="D4592" s="6" t="n">
        <v>56.7</v>
      </c>
      <c r="E4592" s="6" t="n">
        <v>1302824.78</v>
      </c>
      <c r="F4592" s="6">
        <f>ROUND(E4592-E4591,2)</f>
        <v/>
      </c>
      <c r="G4592" s="6">
        <f>ROUND(F4592-D4592,2)</f>
        <v/>
      </c>
    </row>
    <row r="4593">
      <c r="A4593" t="inlineStr">
        <is>
          <t>2022-11-04</t>
        </is>
      </c>
      <c r="B4593" t="n">
        <v>3</v>
      </c>
      <c r="C4593" t="n">
        <v>3092</v>
      </c>
      <c r="D4593" s="6" t="n">
        <v>123.2</v>
      </c>
      <c r="E4593" s="6" t="n">
        <v>1302947.98</v>
      </c>
      <c r="F4593" s="6">
        <f>ROUND(E4593-E4592,2)</f>
        <v/>
      </c>
      <c r="G4593" s="6">
        <f>ROUND(F4593-D4593,2)</f>
        <v/>
      </c>
    </row>
    <row r="4594">
      <c r="A4594" t="inlineStr">
        <is>
          <t>2022-11-04</t>
        </is>
      </c>
      <c r="B4594" t="n">
        <v>4</v>
      </c>
      <c r="C4594" t="n">
        <v>3092</v>
      </c>
      <c r="D4594" s="6" t="n">
        <v>32.6</v>
      </c>
      <c r="E4594" s="6" t="n">
        <v>1302980.58</v>
      </c>
      <c r="F4594" s="6">
        <f>ROUND(E4594-E4593,2)</f>
        <v/>
      </c>
      <c r="G4594" s="6">
        <f>ROUND(F4594-D4594,2)</f>
        <v/>
      </c>
    </row>
    <row r="4595">
      <c r="A4595" t="inlineStr">
        <is>
          <t>2022-11-04</t>
        </is>
      </c>
      <c r="B4595" t="n">
        <v>5</v>
      </c>
      <c r="C4595" t="n">
        <v>3092</v>
      </c>
      <c r="D4595" s="6" t="n">
        <v>63.8</v>
      </c>
      <c r="E4595" s="6" t="n">
        <v>1303044.38</v>
      </c>
      <c r="F4595" s="6">
        <f>ROUND(E4595-E4594,2)</f>
        <v/>
      </c>
      <c r="G4595" s="6">
        <f>ROUND(F4595-D4595,2)</f>
        <v/>
      </c>
    </row>
    <row r="4596">
      <c r="A4596" t="inlineStr">
        <is>
          <t>2022-11-04</t>
        </is>
      </c>
      <c r="B4596" t="n">
        <v>6</v>
      </c>
      <c r="C4596" t="n">
        <v>3092</v>
      </c>
      <c r="D4596" s="6" t="n">
        <v>28.9</v>
      </c>
      <c r="E4596" s="6" t="n">
        <v>1303073.28</v>
      </c>
      <c r="F4596" s="6">
        <f>ROUND(E4596-E4595,2)</f>
        <v/>
      </c>
      <c r="G4596" s="6">
        <f>ROUND(F4596-D4596,2)</f>
        <v/>
      </c>
    </row>
    <row r="4597">
      <c r="A4597" t="inlineStr">
        <is>
          <t>2022-11-04</t>
        </is>
      </c>
      <c r="B4597" t="n">
        <v>7</v>
      </c>
      <c r="C4597" t="n">
        <v>3092</v>
      </c>
      <c r="D4597" s="6" t="n">
        <v>17.7</v>
      </c>
      <c r="E4597" s="6" t="n">
        <v>1303090.98</v>
      </c>
      <c r="F4597" s="6">
        <f>ROUND(E4597-E4596,2)</f>
        <v/>
      </c>
      <c r="G4597" s="6">
        <f>ROUND(F4597-D4597,2)</f>
        <v/>
      </c>
    </row>
    <row r="4598">
      <c r="A4598" t="inlineStr">
        <is>
          <t>2022-11-04</t>
        </is>
      </c>
      <c r="B4598" t="n">
        <v>8</v>
      </c>
      <c r="C4598" t="n">
        <v>3092</v>
      </c>
      <c r="D4598" s="6" t="n">
        <v>65.3</v>
      </c>
      <c r="E4598" s="6" t="n">
        <v>1303156.28</v>
      </c>
      <c r="F4598" s="6">
        <f>ROUND(E4598-E4597,2)</f>
        <v/>
      </c>
      <c r="G4598" s="6">
        <f>ROUND(F4598-D4598,2)</f>
        <v/>
      </c>
    </row>
    <row r="4599">
      <c r="A4599" t="inlineStr">
        <is>
          <t>2022-11-04</t>
        </is>
      </c>
      <c r="B4599" t="n">
        <v>9</v>
      </c>
      <c r="C4599" t="n">
        <v>3092</v>
      </c>
      <c r="D4599" s="6" t="n">
        <v>93</v>
      </c>
      <c r="E4599" s="6" t="n">
        <v>1303249.28</v>
      </c>
      <c r="F4599" s="6">
        <f>ROUND(E4599-E4598,2)</f>
        <v/>
      </c>
      <c r="G4599" s="6">
        <f>ROUND(F4599-D4599,2)</f>
        <v/>
      </c>
    </row>
    <row r="4600">
      <c r="A4600" t="inlineStr">
        <is>
          <t>2022-11-04</t>
        </is>
      </c>
      <c r="B4600" t="n">
        <v>10</v>
      </c>
      <c r="C4600" t="n">
        <v>3092</v>
      </c>
      <c r="D4600" s="6" t="n">
        <v>59.4</v>
      </c>
      <c r="E4600" s="6" t="n">
        <v>1303308.68</v>
      </c>
      <c r="F4600" s="6">
        <f>ROUND(E4600-E4599,2)</f>
        <v/>
      </c>
      <c r="G4600" s="6">
        <f>ROUND(F4600-D4600,2)</f>
        <v/>
      </c>
    </row>
    <row r="4601">
      <c r="A4601" t="inlineStr">
        <is>
          <t>2022-11-04</t>
        </is>
      </c>
      <c r="B4601" t="n">
        <v>11</v>
      </c>
      <c r="C4601" t="n">
        <v>3092</v>
      </c>
      <c r="D4601" s="6" t="n">
        <v>72.5</v>
      </c>
      <c r="E4601" s="6" t="n">
        <v>1303381.18</v>
      </c>
      <c r="F4601" s="6">
        <f>ROUND(E4601-E4600,2)</f>
        <v/>
      </c>
      <c r="G4601" s="6">
        <f>ROUND(F4601-D4601,2)</f>
        <v/>
      </c>
    </row>
    <row r="4602">
      <c r="A4602" t="inlineStr">
        <is>
          <t>2022-11-04</t>
        </is>
      </c>
      <c r="B4602" t="n">
        <v>12</v>
      </c>
      <c r="C4602" t="n">
        <v>3092</v>
      </c>
      <c r="D4602" s="6" t="n">
        <v>110</v>
      </c>
      <c r="E4602" s="6" t="n">
        <v>1303491.18</v>
      </c>
      <c r="F4602" s="6">
        <f>ROUND(E4602-E4601,2)</f>
        <v/>
      </c>
      <c r="G4602" s="6">
        <f>ROUND(F4602-D4602,2)</f>
        <v/>
      </c>
    </row>
    <row r="4603">
      <c r="A4603" t="inlineStr">
        <is>
          <t>2022-11-04</t>
        </is>
      </c>
      <c r="B4603" t="n">
        <v>13</v>
      </c>
      <c r="C4603" t="n">
        <v>3092</v>
      </c>
      <c r="D4603" s="6" t="n">
        <v>91.8</v>
      </c>
      <c r="E4603" s="6" t="n">
        <v>1303582.98</v>
      </c>
      <c r="F4603" s="6">
        <f>ROUND(E4603-E4602,2)</f>
        <v/>
      </c>
      <c r="G4603" s="6">
        <f>ROUND(F4603-D4603,2)</f>
        <v/>
      </c>
    </row>
    <row r="4604">
      <c r="A4604" t="inlineStr">
        <is>
          <t>2022-11-04</t>
        </is>
      </c>
      <c r="B4604" t="n">
        <v>14</v>
      </c>
      <c r="C4604" t="n">
        <v>3092</v>
      </c>
      <c r="D4604" s="6" t="n">
        <v>101.1</v>
      </c>
      <c r="E4604" s="6" t="n">
        <v>1303684.08</v>
      </c>
      <c r="F4604" s="6">
        <f>ROUND(E4604-E4603,2)</f>
        <v/>
      </c>
      <c r="G4604" s="6">
        <f>ROUND(F4604-D4604,2)</f>
        <v/>
      </c>
    </row>
    <row r="4605">
      <c r="A4605" t="inlineStr">
        <is>
          <t>2022-11-04</t>
        </is>
      </c>
      <c r="B4605" t="n">
        <v>15</v>
      </c>
      <c r="C4605" t="n">
        <v>3092</v>
      </c>
      <c r="D4605" s="6" t="n">
        <v>82.8</v>
      </c>
      <c r="E4605" s="6" t="n">
        <v>1303766.88</v>
      </c>
      <c r="F4605" s="6">
        <f>ROUND(E4605-E4604,2)</f>
        <v/>
      </c>
      <c r="G4605" s="6">
        <f>ROUND(F4605-D4605,2)</f>
        <v/>
      </c>
    </row>
    <row r="4606">
      <c r="A4606" t="inlineStr">
        <is>
          <t>2022-11-04</t>
        </is>
      </c>
      <c r="B4606" t="n">
        <v>16</v>
      </c>
      <c r="C4606" t="n">
        <v>3092</v>
      </c>
      <c r="D4606" s="6" t="n">
        <v>112.8</v>
      </c>
      <c r="E4606" s="6" t="n">
        <v>1303879.68</v>
      </c>
      <c r="F4606" s="6">
        <f>ROUND(E4606-E4605,2)</f>
        <v/>
      </c>
      <c r="G4606" s="6">
        <f>ROUND(F4606-D4606,2)</f>
        <v/>
      </c>
    </row>
    <row r="4607">
      <c r="A4607" t="inlineStr">
        <is>
          <t>2022-11-04</t>
        </is>
      </c>
      <c r="B4607" t="n">
        <v>17</v>
      </c>
      <c r="C4607" t="n">
        <v>3092</v>
      </c>
      <c r="D4607" s="6" t="n">
        <v>98.7</v>
      </c>
      <c r="E4607" s="6" t="n">
        <v>1303978.38</v>
      </c>
      <c r="F4607" s="6">
        <f>ROUND(E4607-E4606,2)</f>
        <v/>
      </c>
      <c r="G4607" s="6">
        <f>ROUND(F4607-D4607,2)</f>
        <v/>
      </c>
    </row>
    <row r="4608">
      <c r="A4608" t="inlineStr">
        <is>
          <t>2022-11-04</t>
        </is>
      </c>
      <c r="B4608" t="n">
        <v>18</v>
      </c>
      <c r="C4608" t="n">
        <v>3092</v>
      </c>
      <c r="D4608" s="6" t="n">
        <v>107.5</v>
      </c>
      <c r="E4608" s="6" t="n">
        <v>1304085.88</v>
      </c>
      <c r="F4608" s="6">
        <f>ROUND(E4608-E4607,2)</f>
        <v/>
      </c>
      <c r="G4608" s="6">
        <f>ROUND(F4608-D4608,2)</f>
        <v/>
      </c>
    </row>
    <row r="4609">
      <c r="A4609" t="inlineStr">
        <is>
          <t>2022-11-04</t>
        </is>
      </c>
      <c r="B4609" t="n">
        <v>19</v>
      </c>
      <c r="C4609" t="n">
        <v>3092</v>
      </c>
      <c r="D4609" s="6" t="n">
        <v>86.3</v>
      </c>
      <c r="E4609" s="6" t="n">
        <v>1304172.18</v>
      </c>
      <c r="F4609" s="6">
        <f>ROUND(E4609-E4608,2)</f>
        <v/>
      </c>
      <c r="G4609" s="6">
        <f>ROUND(F4609-D4609,2)</f>
        <v/>
      </c>
    </row>
    <row r="4610">
      <c r="A4610" t="inlineStr">
        <is>
          <t>2022-11-05</t>
        </is>
      </c>
      <c r="B4610" t="n">
        <v>1</v>
      </c>
      <c r="C4610" t="n">
        <v>3093</v>
      </c>
      <c r="D4610" s="6" t="n">
        <v>164.7</v>
      </c>
      <c r="E4610" s="6" t="n">
        <v>1304336.88</v>
      </c>
      <c r="F4610" s="6">
        <f>ROUND(E4610-E4609,2)</f>
        <v/>
      </c>
      <c r="G4610" s="6">
        <f>ROUND(F4610-D4610,2)</f>
        <v/>
      </c>
    </row>
    <row r="4611">
      <c r="A4611" t="inlineStr">
        <is>
          <t>2022-11-05</t>
        </is>
      </c>
      <c r="B4611" t="n">
        <v>2</v>
      </c>
      <c r="C4611" t="n">
        <v>3093</v>
      </c>
      <c r="D4611" s="6" t="n">
        <v>52.4</v>
      </c>
      <c r="E4611" s="6" t="n">
        <v>1304389.28</v>
      </c>
      <c r="F4611" s="6">
        <f>ROUND(E4611-E4610,2)</f>
        <v/>
      </c>
      <c r="G4611" s="6">
        <f>ROUND(F4611-D4611,2)</f>
        <v/>
      </c>
    </row>
    <row r="4612">
      <c r="A4612" t="inlineStr">
        <is>
          <t>2022-11-05</t>
        </is>
      </c>
      <c r="B4612" t="n">
        <v>3</v>
      </c>
      <c r="C4612" t="n">
        <v>3093</v>
      </c>
      <c r="D4612" s="6" t="n">
        <v>42.7</v>
      </c>
      <c r="E4612" s="6" t="n">
        <v>1304431.98</v>
      </c>
      <c r="F4612" s="6">
        <f>ROUND(E4612-E4611,2)</f>
        <v/>
      </c>
      <c r="G4612" s="6">
        <f>ROUND(F4612-D4612,2)</f>
        <v/>
      </c>
    </row>
    <row r="4613">
      <c r="A4613" t="inlineStr">
        <is>
          <t>2022-11-05</t>
        </is>
      </c>
      <c r="B4613" t="n">
        <v>4</v>
      </c>
      <c r="C4613" t="n">
        <v>3093</v>
      </c>
      <c r="D4613" s="6" t="n">
        <v>78.5</v>
      </c>
      <c r="E4613" s="6" t="n">
        <v>1304510.48</v>
      </c>
      <c r="F4613" s="6">
        <f>ROUND(E4613-E4612,2)</f>
        <v/>
      </c>
      <c r="G4613" s="6">
        <f>ROUND(F4613-D4613,2)</f>
        <v/>
      </c>
    </row>
    <row r="4614">
      <c r="A4614" t="inlineStr">
        <is>
          <t>2022-11-05</t>
        </is>
      </c>
      <c r="B4614" t="n">
        <v>5</v>
      </c>
      <c r="C4614" t="n">
        <v>3093</v>
      </c>
      <c r="D4614" s="6" t="n">
        <v>100.2</v>
      </c>
      <c r="E4614" s="6" t="n">
        <v>1304610.68</v>
      </c>
      <c r="F4614" s="6">
        <f>ROUND(E4614-E4613,2)</f>
        <v/>
      </c>
      <c r="G4614" s="6">
        <f>ROUND(F4614-D4614,2)</f>
        <v/>
      </c>
    </row>
    <row r="4615">
      <c r="A4615" t="inlineStr">
        <is>
          <t>2022-11-05</t>
        </is>
      </c>
      <c r="B4615" t="n">
        <v>6</v>
      </c>
      <c r="C4615" t="n">
        <v>3093</v>
      </c>
      <c r="D4615" s="6" t="n">
        <v>144.1</v>
      </c>
      <c r="E4615" s="6" t="n">
        <v>1304754.78</v>
      </c>
      <c r="F4615" s="6">
        <f>ROUND(E4615-E4614,2)</f>
        <v/>
      </c>
      <c r="G4615" s="6">
        <f>ROUND(F4615-D4615,2)</f>
        <v/>
      </c>
    </row>
    <row r="4616">
      <c r="A4616" t="inlineStr">
        <is>
          <t>2022-11-05</t>
        </is>
      </c>
      <c r="B4616" t="n">
        <v>7</v>
      </c>
      <c r="C4616" t="n">
        <v>3093</v>
      </c>
      <c r="D4616" s="6" t="n">
        <v>33</v>
      </c>
      <c r="E4616" s="6" t="n">
        <v>1304787.78</v>
      </c>
      <c r="F4616" s="6">
        <f>ROUND(E4616-E4615,2)</f>
        <v/>
      </c>
      <c r="G4616" s="6">
        <f>ROUND(F4616-D4616,2)</f>
        <v/>
      </c>
    </row>
    <row r="4617">
      <c r="A4617" t="inlineStr">
        <is>
          <t>2022-11-05</t>
        </is>
      </c>
      <c r="B4617" t="n">
        <v>8</v>
      </c>
      <c r="C4617" t="n">
        <v>3093</v>
      </c>
      <c r="D4617" s="6" t="n">
        <v>140.1</v>
      </c>
      <c r="E4617" s="6" t="n">
        <v>1304927.88</v>
      </c>
      <c r="F4617" s="6">
        <f>ROUND(E4617-E4616,2)</f>
        <v/>
      </c>
      <c r="G4617" s="6">
        <f>ROUND(F4617-D4617,2)</f>
        <v/>
      </c>
    </row>
    <row r="4618">
      <c r="A4618" t="inlineStr">
        <is>
          <t>2022-11-05</t>
        </is>
      </c>
      <c r="B4618" t="n">
        <v>9</v>
      </c>
      <c r="C4618" t="n">
        <v>3093</v>
      </c>
      <c r="D4618" s="6" t="n">
        <v>140.1</v>
      </c>
      <c r="E4618" s="6" t="n">
        <v>1305067.98</v>
      </c>
      <c r="F4618" s="6">
        <f>ROUND(E4618-E4617,2)</f>
        <v/>
      </c>
      <c r="G4618" s="6">
        <f>ROUND(F4618-D4618,2)</f>
        <v/>
      </c>
    </row>
    <row r="4619">
      <c r="A4619" t="inlineStr">
        <is>
          <t>2022-11-05</t>
        </is>
      </c>
      <c r="B4619" t="n">
        <v>10</v>
      </c>
      <c r="C4619" t="n">
        <v>3093</v>
      </c>
      <c r="D4619" s="6" t="n">
        <v>85.59999999999999</v>
      </c>
      <c r="E4619" s="6" t="n">
        <v>1305153.58</v>
      </c>
      <c r="F4619" s="6">
        <f>ROUND(E4619-E4618,2)</f>
        <v/>
      </c>
      <c r="G4619" s="6">
        <f>ROUND(F4619-D4619,2)</f>
        <v/>
      </c>
    </row>
    <row r="4620">
      <c r="A4620" t="inlineStr">
        <is>
          <t>2022-11-05</t>
        </is>
      </c>
      <c r="B4620" t="n">
        <v>11</v>
      </c>
      <c r="C4620" t="n">
        <v>3093</v>
      </c>
      <c r="D4620" s="6" t="n">
        <v>115</v>
      </c>
      <c r="E4620" s="6" t="n">
        <v>1305268.58</v>
      </c>
      <c r="F4620" s="6">
        <f>ROUND(E4620-E4619,2)</f>
        <v/>
      </c>
      <c r="G4620" s="6">
        <f>ROUND(F4620-D4620,2)</f>
        <v/>
      </c>
    </row>
    <row r="4621">
      <c r="A4621" t="inlineStr">
        <is>
          <t>2022-11-05</t>
        </is>
      </c>
      <c r="B4621" t="n">
        <v>12</v>
      </c>
      <c r="C4621" t="n">
        <v>3093</v>
      </c>
      <c r="D4621" s="6" t="n">
        <v>53.8</v>
      </c>
      <c r="E4621" s="6" t="n">
        <v>1305322.38</v>
      </c>
      <c r="F4621" s="6">
        <f>ROUND(E4621-E4620,2)</f>
        <v/>
      </c>
      <c r="G4621" s="6">
        <f>ROUND(F4621-D4621,2)</f>
        <v/>
      </c>
    </row>
    <row r="4622">
      <c r="A4622" t="inlineStr">
        <is>
          <t>2022-11-05</t>
        </is>
      </c>
      <c r="B4622" t="n">
        <v>13</v>
      </c>
      <c r="C4622" t="n">
        <v>3093</v>
      </c>
      <c r="D4622" s="6" t="n">
        <v>65.09999999999999</v>
      </c>
      <c r="E4622" s="6" t="n">
        <v>1305387.48</v>
      </c>
      <c r="F4622" s="6">
        <f>ROUND(E4622-E4621,2)</f>
        <v/>
      </c>
      <c r="G4622" s="6">
        <f>ROUND(F4622-D4622,2)</f>
        <v/>
      </c>
    </row>
    <row r="4623">
      <c r="A4623" t="inlineStr">
        <is>
          <t>2022-11-05</t>
        </is>
      </c>
      <c r="B4623" t="n">
        <v>14</v>
      </c>
      <c r="C4623" t="n">
        <v>3093</v>
      </c>
      <c r="D4623" s="6" t="n">
        <v>75.7</v>
      </c>
      <c r="E4623" s="6" t="n">
        <v>1305463.18</v>
      </c>
      <c r="F4623" s="6">
        <f>ROUND(E4623-E4622,2)</f>
        <v/>
      </c>
      <c r="G4623" s="6">
        <f>ROUND(F4623-D4623,2)</f>
        <v/>
      </c>
    </row>
    <row r="4624">
      <c r="A4624" t="inlineStr">
        <is>
          <t>2022-11-05</t>
        </is>
      </c>
      <c r="B4624" t="n">
        <v>15</v>
      </c>
      <c r="C4624" t="n">
        <v>3093</v>
      </c>
      <c r="D4624" s="6" t="n">
        <v>44.5</v>
      </c>
      <c r="E4624" s="6" t="n">
        <v>1305507.68</v>
      </c>
      <c r="F4624" s="6">
        <f>ROUND(E4624-E4623,2)</f>
        <v/>
      </c>
      <c r="G4624" s="6">
        <f>ROUND(F4624-D4624,2)</f>
        <v/>
      </c>
    </row>
    <row r="4625">
      <c r="A4625" t="inlineStr">
        <is>
          <t>2022-11-05</t>
        </is>
      </c>
      <c r="B4625" t="n">
        <v>16</v>
      </c>
      <c r="C4625" t="n">
        <v>3093</v>
      </c>
      <c r="D4625" s="6" t="n">
        <v>44.5</v>
      </c>
      <c r="E4625" s="6" t="n">
        <v>1305552.18</v>
      </c>
      <c r="F4625" s="6">
        <f>ROUND(E4625-E4624,2)</f>
        <v/>
      </c>
      <c r="G4625" s="6">
        <f>ROUND(F4625-D4625,2)</f>
        <v/>
      </c>
    </row>
    <row r="4626">
      <c r="A4626" t="inlineStr">
        <is>
          <t>2022-11-05</t>
        </is>
      </c>
      <c r="B4626" t="n">
        <v>17</v>
      </c>
      <c r="C4626" t="n">
        <v>3093</v>
      </c>
      <c r="D4626" s="6" t="n">
        <v>124</v>
      </c>
      <c r="E4626" s="6" t="n">
        <v>1305676.18</v>
      </c>
      <c r="F4626" s="6">
        <f>ROUND(E4626-E4625,2)</f>
        <v/>
      </c>
      <c r="G4626" s="6">
        <f>ROUND(F4626-D4626,2)</f>
        <v/>
      </c>
    </row>
    <row r="4627">
      <c r="A4627" t="inlineStr">
        <is>
          <t>2022-11-05</t>
        </is>
      </c>
      <c r="B4627" t="n">
        <v>18</v>
      </c>
      <c r="C4627" t="n">
        <v>3093</v>
      </c>
      <c r="D4627" s="6" t="n">
        <v>76.2</v>
      </c>
      <c r="E4627" s="6" t="n">
        <v>1305752.38</v>
      </c>
      <c r="F4627" s="6">
        <f>ROUND(E4627-E4626,2)</f>
        <v/>
      </c>
      <c r="G4627" s="6">
        <f>ROUND(F4627-D4627,2)</f>
        <v/>
      </c>
    </row>
    <row r="4628">
      <c r="A4628" t="inlineStr">
        <is>
          <t>2022-11-05</t>
        </is>
      </c>
      <c r="B4628" t="n">
        <v>19</v>
      </c>
      <c r="C4628" t="n">
        <v>3093</v>
      </c>
      <c r="D4628" s="6" t="n">
        <v>109.9</v>
      </c>
      <c r="E4628" s="6" t="n">
        <v>1305862.28</v>
      </c>
      <c r="F4628" s="6">
        <f>ROUND(E4628-E4627,2)</f>
        <v/>
      </c>
      <c r="G4628" s="6">
        <f>ROUND(F4628-D4628,2)</f>
        <v/>
      </c>
    </row>
    <row r="4629">
      <c r="A4629" t="inlineStr">
        <is>
          <t>2022-11-05</t>
        </is>
      </c>
      <c r="B4629" t="n">
        <v>20</v>
      </c>
      <c r="C4629" t="n">
        <v>3093</v>
      </c>
      <c r="D4629" s="6" t="n">
        <v>67.59999999999999</v>
      </c>
      <c r="E4629" s="6" t="n">
        <v>1305929.88</v>
      </c>
      <c r="F4629" s="6">
        <f>ROUND(E4629-E4628,2)</f>
        <v/>
      </c>
      <c r="G4629" s="6">
        <f>ROUND(F4629-D4629,2)</f>
        <v/>
      </c>
    </row>
    <row r="4630">
      <c r="A4630" t="inlineStr">
        <is>
          <t>2022-11-05</t>
        </is>
      </c>
      <c r="B4630" t="n">
        <v>21</v>
      </c>
      <c r="C4630" t="n">
        <v>3093</v>
      </c>
      <c r="D4630" s="6" t="n">
        <v>71.40000000000001</v>
      </c>
      <c r="E4630" s="6" t="n">
        <v>1306001.28</v>
      </c>
      <c r="F4630" s="6">
        <f>ROUND(E4630-E4629,2)</f>
        <v/>
      </c>
      <c r="G4630" s="6">
        <f>ROUND(F4630-D4630,2)</f>
        <v/>
      </c>
    </row>
    <row r="4631">
      <c r="A4631" t="inlineStr">
        <is>
          <t>2022-11-05</t>
        </is>
      </c>
      <c r="B4631" t="n">
        <v>22</v>
      </c>
      <c r="C4631" t="n">
        <v>3093</v>
      </c>
      <c r="D4631" s="6" t="n">
        <v>75.5</v>
      </c>
      <c r="E4631" s="6" t="n">
        <v>1306076.78</v>
      </c>
      <c r="F4631" s="6">
        <f>ROUND(E4631-E4630,2)</f>
        <v/>
      </c>
      <c r="G4631" s="6">
        <f>ROUND(F4631-D4631,2)</f>
        <v/>
      </c>
    </row>
    <row r="4632">
      <c r="A4632" t="inlineStr">
        <is>
          <t>2022-11-05</t>
        </is>
      </c>
      <c r="B4632" t="n">
        <v>23</v>
      </c>
      <c r="C4632" t="n">
        <v>3093</v>
      </c>
      <c r="D4632" s="6" t="n">
        <v>192.9</v>
      </c>
      <c r="E4632" s="6" t="n">
        <v>1306269.68</v>
      </c>
      <c r="F4632" s="6">
        <f>ROUND(E4632-E4631,2)</f>
        <v/>
      </c>
      <c r="G4632" s="6">
        <f>ROUND(F4632-D4632,2)</f>
        <v/>
      </c>
    </row>
    <row r="4633">
      <c r="A4633" t="inlineStr">
        <is>
          <t>2022-11-05</t>
        </is>
      </c>
      <c r="B4633" t="n">
        <v>24</v>
      </c>
      <c r="C4633" t="n">
        <v>3093</v>
      </c>
      <c r="D4633" s="6" t="n">
        <v>15.6</v>
      </c>
      <c r="E4633" s="6" t="n">
        <v>1306285.28</v>
      </c>
      <c r="F4633" s="6">
        <f>ROUND(E4633-E4632,2)</f>
        <v/>
      </c>
      <c r="G4633" s="6">
        <f>ROUND(F4633-D4633,2)</f>
        <v/>
      </c>
    </row>
    <row r="4634">
      <c r="A4634" t="inlineStr">
        <is>
          <t>2022-11-05</t>
        </is>
      </c>
      <c r="B4634" t="n">
        <v>25</v>
      </c>
      <c r="C4634" t="n">
        <v>3093</v>
      </c>
      <c r="D4634" s="6" t="n">
        <v>80.7</v>
      </c>
      <c r="E4634" s="6" t="n">
        <v>1306365.98</v>
      </c>
      <c r="F4634" s="6">
        <f>ROUND(E4634-E4633,2)</f>
        <v/>
      </c>
      <c r="G4634" s="6">
        <f>ROUND(F4634-D4634,2)</f>
        <v/>
      </c>
    </row>
    <row r="4635">
      <c r="A4635" t="inlineStr">
        <is>
          <t>2022-11-05</t>
        </is>
      </c>
      <c r="B4635" t="n">
        <v>26</v>
      </c>
      <c r="C4635" t="n">
        <v>3093</v>
      </c>
      <c r="D4635" s="6" t="n">
        <v>80.7</v>
      </c>
      <c r="E4635" s="6" t="n">
        <v>1306446.68</v>
      </c>
      <c r="F4635" s="6">
        <f>ROUND(E4635-E4634,2)</f>
        <v/>
      </c>
      <c r="G4635" s="6">
        <f>ROUND(F4635-D4635,2)</f>
        <v/>
      </c>
    </row>
    <row r="4636">
      <c r="A4636" t="inlineStr">
        <is>
          <t>2022-11-05</t>
        </is>
      </c>
      <c r="B4636" t="n">
        <v>27</v>
      </c>
      <c r="C4636" t="n">
        <v>3093</v>
      </c>
      <c r="D4636" s="6" t="n">
        <v>80</v>
      </c>
      <c r="E4636" s="6" t="n">
        <v>1306526.68</v>
      </c>
      <c r="F4636" s="6">
        <f>ROUND(E4636-E4635,2)</f>
        <v/>
      </c>
      <c r="G4636" s="6">
        <f>ROUND(F4636-D4636,2)</f>
        <v/>
      </c>
    </row>
    <row r="4637">
      <c r="A4637" t="inlineStr">
        <is>
          <t>2022-11-05</t>
        </is>
      </c>
      <c r="B4637" t="n">
        <v>28</v>
      </c>
      <c r="C4637" t="n">
        <v>3093</v>
      </c>
      <c r="D4637" s="6" t="n">
        <v>80</v>
      </c>
      <c r="E4637" s="6" t="n">
        <v>1306606.68</v>
      </c>
      <c r="F4637" s="6">
        <f>ROUND(E4637-E4636,2)</f>
        <v/>
      </c>
      <c r="G4637" s="6">
        <f>ROUND(F4637-D4637,2)</f>
        <v/>
      </c>
    </row>
    <row r="4638">
      <c r="A4638" t="inlineStr">
        <is>
          <t>2022-11-06</t>
        </is>
      </c>
      <c r="B4638" t="n">
        <v>1</v>
      </c>
      <c r="C4638" t="n">
        <v>3094</v>
      </c>
      <c r="D4638" s="6" t="n">
        <v>67.2</v>
      </c>
      <c r="E4638" s="6" t="n">
        <v>1306673.88</v>
      </c>
      <c r="F4638" s="6">
        <f>ROUND(E4638-E4637,2)</f>
        <v/>
      </c>
      <c r="G4638" s="6">
        <f>ROUND(F4638-D4638,2)</f>
        <v/>
      </c>
    </row>
    <row r="4639">
      <c r="A4639" t="inlineStr">
        <is>
          <t>2022-11-06</t>
        </is>
      </c>
      <c r="B4639" t="n">
        <v>2</v>
      </c>
      <c r="C4639" t="n">
        <v>3094</v>
      </c>
      <c r="D4639" s="6" t="n">
        <v>62.6</v>
      </c>
      <c r="E4639" s="6" t="n">
        <v>1306736.48</v>
      </c>
      <c r="F4639" s="6">
        <f>ROUND(E4639-E4638,2)</f>
        <v/>
      </c>
      <c r="G4639" s="6">
        <f>ROUND(F4639-D4639,2)</f>
        <v/>
      </c>
    </row>
    <row r="4640">
      <c r="A4640" t="inlineStr">
        <is>
          <t>2022-11-06</t>
        </is>
      </c>
      <c r="B4640" t="n">
        <v>3</v>
      </c>
      <c r="C4640" t="n">
        <v>3094</v>
      </c>
      <c r="D4640" s="6" t="n">
        <v>86.2</v>
      </c>
      <c r="E4640" s="6" t="n">
        <v>1306822.68</v>
      </c>
      <c r="F4640" s="6">
        <f>ROUND(E4640-E4639,2)</f>
        <v/>
      </c>
      <c r="G4640" s="6">
        <f>ROUND(F4640-D4640,2)</f>
        <v/>
      </c>
    </row>
    <row r="4641">
      <c r="A4641" t="inlineStr">
        <is>
          <t>2022-11-06</t>
        </is>
      </c>
      <c r="B4641" t="n">
        <v>4</v>
      </c>
      <c r="C4641" t="n">
        <v>3094</v>
      </c>
      <c r="D4641" s="6" t="n">
        <v>75.7</v>
      </c>
      <c r="E4641" s="6" t="n">
        <v>1306898.38</v>
      </c>
      <c r="F4641" s="6">
        <f>ROUND(E4641-E4640,2)</f>
        <v/>
      </c>
      <c r="G4641" s="6">
        <f>ROUND(F4641-D4641,2)</f>
        <v/>
      </c>
    </row>
    <row r="4642">
      <c r="A4642" t="inlineStr">
        <is>
          <t>2022-11-06</t>
        </is>
      </c>
      <c r="B4642" t="n">
        <v>5</v>
      </c>
      <c r="C4642" t="n">
        <v>3094</v>
      </c>
      <c r="D4642" s="6" t="n">
        <v>62.2</v>
      </c>
      <c r="E4642" s="6" t="n">
        <v>1306960.58</v>
      </c>
      <c r="F4642" s="6">
        <f>ROUND(E4642-E4641,2)</f>
        <v/>
      </c>
      <c r="G4642" s="6">
        <f>ROUND(F4642-D4642,2)</f>
        <v/>
      </c>
    </row>
    <row r="4643">
      <c r="A4643" t="inlineStr">
        <is>
          <t>2022-11-06</t>
        </is>
      </c>
      <c r="B4643" t="n">
        <v>6</v>
      </c>
      <c r="C4643" t="n">
        <v>3094</v>
      </c>
      <c r="D4643" s="6" t="n">
        <v>73.5</v>
      </c>
      <c r="E4643" s="6" t="n">
        <v>1307034.08</v>
      </c>
      <c r="F4643" s="6">
        <f>ROUND(E4643-E4642,2)</f>
        <v/>
      </c>
      <c r="G4643" s="6">
        <f>ROUND(F4643-D4643,2)</f>
        <v/>
      </c>
    </row>
    <row r="4644">
      <c r="A4644" t="inlineStr">
        <is>
          <t>2022-11-06</t>
        </is>
      </c>
      <c r="B4644" t="n">
        <v>7</v>
      </c>
      <c r="C4644" t="n">
        <v>3094</v>
      </c>
      <c r="D4644" s="6" t="n">
        <v>253.4</v>
      </c>
      <c r="E4644" s="6" t="n">
        <v>1307287.48</v>
      </c>
      <c r="F4644" s="6">
        <f>ROUND(E4644-E4643,2)</f>
        <v/>
      </c>
      <c r="G4644" s="6">
        <f>ROUND(F4644-D4644,2)</f>
        <v/>
      </c>
    </row>
    <row r="4645">
      <c r="A4645" t="inlineStr">
        <is>
          <t>2022-11-06</t>
        </is>
      </c>
      <c r="B4645" t="n">
        <v>8</v>
      </c>
      <c r="C4645" t="n">
        <v>3094</v>
      </c>
      <c r="D4645" s="6" t="n">
        <v>86.2</v>
      </c>
      <c r="E4645" s="6" t="n">
        <v>1307373.68</v>
      </c>
      <c r="F4645" s="6">
        <f>ROUND(E4645-E4644,2)</f>
        <v/>
      </c>
      <c r="G4645" s="6">
        <f>ROUND(F4645-D4645,2)</f>
        <v/>
      </c>
    </row>
    <row r="4646">
      <c r="A4646" t="inlineStr">
        <is>
          <t>2022-11-06</t>
        </is>
      </c>
      <c r="B4646" t="n">
        <v>9</v>
      </c>
      <c r="C4646" t="n">
        <v>3094</v>
      </c>
      <c r="D4646" s="6" t="n">
        <v>65.5</v>
      </c>
      <c r="E4646" s="6" t="n">
        <v>1307439.18</v>
      </c>
      <c r="F4646" s="6">
        <f>ROUND(E4646-E4645,2)</f>
        <v/>
      </c>
      <c r="G4646" s="6">
        <f>ROUND(F4646-D4646,2)</f>
        <v/>
      </c>
    </row>
    <row r="4647">
      <c r="A4647" t="inlineStr">
        <is>
          <t>2022-11-06</t>
        </is>
      </c>
      <c r="B4647" t="n">
        <v>10</v>
      </c>
      <c r="C4647" t="n">
        <v>3094</v>
      </c>
      <c r="D4647" s="6" t="n">
        <v>59.5</v>
      </c>
      <c r="E4647" s="6" t="n">
        <v>1307498.68</v>
      </c>
      <c r="F4647" s="6">
        <f>ROUND(E4647-E4646,2)</f>
        <v/>
      </c>
      <c r="G4647" s="6">
        <f>ROUND(F4647-D4647,2)</f>
        <v/>
      </c>
    </row>
    <row r="4648">
      <c r="A4648" t="inlineStr">
        <is>
          <t>2022-11-06</t>
        </is>
      </c>
      <c r="B4648" t="n">
        <v>11</v>
      </c>
      <c r="C4648" t="n">
        <v>3094</v>
      </c>
      <c r="D4648" s="6" t="n">
        <v>73.09999999999999</v>
      </c>
      <c r="E4648" s="6" t="n">
        <v>1307571.78</v>
      </c>
      <c r="F4648" s="6">
        <f>ROUND(E4648-E4647,2)</f>
        <v/>
      </c>
      <c r="G4648" s="6">
        <f>ROUND(F4648-D4648,2)</f>
        <v/>
      </c>
    </row>
    <row r="4649">
      <c r="A4649" t="inlineStr">
        <is>
          <t>2022-11-06</t>
        </is>
      </c>
      <c r="B4649" t="n">
        <v>12</v>
      </c>
      <c r="C4649" t="n">
        <v>3094</v>
      </c>
      <c r="D4649" s="6" t="n">
        <v>8.5</v>
      </c>
      <c r="E4649" s="6" t="n">
        <v>1307580.28</v>
      </c>
      <c r="F4649" s="6">
        <f>ROUND(E4649-E4648,2)</f>
        <v/>
      </c>
      <c r="G4649" s="6">
        <f>ROUND(F4649-D4649,2)</f>
        <v/>
      </c>
    </row>
    <row r="4650">
      <c r="A4650" t="inlineStr">
        <is>
          <t>2022-11-06</t>
        </is>
      </c>
      <c r="B4650" t="n">
        <v>13</v>
      </c>
      <c r="C4650" t="n">
        <v>3094</v>
      </c>
      <c r="D4650" s="6" t="n">
        <v>83.59999999999999</v>
      </c>
      <c r="E4650" s="6" t="n">
        <v>1307663.88</v>
      </c>
      <c r="F4650" s="6">
        <f>ROUND(E4650-E4649,2)</f>
        <v/>
      </c>
      <c r="G4650" s="6">
        <f>ROUND(F4650-D4650,2)</f>
        <v/>
      </c>
    </row>
    <row r="4651">
      <c r="A4651" t="inlineStr">
        <is>
          <t>2022-11-06</t>
        </is>
      </c>
      <c r="B4651" t="n">
        <v>14</v>
      </c>
      <c r="C4651" t="n">
        <v>3094</v>
      </c>
      <c r="D4651" s="6" t="n">
        <v>54</v>
      </c>
      <c r="E4651" s="6" t="n">
        <v>1307717.88</v>
      </c>
      <c r="F4651" s="6">
        <f>ROUND(E4651-E4650,2)</f>
        <v/>
      </c>
      <c r="G4651" s="6">
        <f>ROUND(F4651-D4651,2)</f>
        <v/>
      </c>
    </row>
    <row r="4652">
      <c r="A4652" t="inlineStr">
        <is>
          <t>2022-11-09</t>
        </is>
      </c>
      <c r="B4652" t="n">
        <v>1</v>
      </c>
      <c r="C4652" t="n">
        <v>3095</v>
      </c>
      <c r="D4652" s="6" t="n">
        <v>47.9</v>
      </c>
      <c r="E4652" s="6" t="n">
        <v>1307765.78</v>
      </c>
      <c r="F4652" s="6">
        <f>ROUND(E4652-E4651,2)</f>
        <v/>
      </c>
      <c r="G4652" s="6">
        <f>ROUND(F4652-D4652,2)</f>
        <v/>
      </c>
    </row>
    <row r="4653">
      <c r="A4653" t="inlineStr">
        <is>
          <t>2022-11-09</t>
        </is>
      </c>
      <c r="B4653" t="n">
        <v>2</v>
      </c>
      <c r="C4653" t="n">
        <v>3095</v>
      </c>
      <c r="D4653" s="6" t="n">
        <v>59.6</v>
      </c>
      <c r="E4653" s="6" t="n">
        <v>1307825.38</v>
      </c>
      <c r="F4653" s="6">
        <f>ROUND(E4653-E4652,2)</f>
        <v/>
      </c>
      <c r="G4653" s="6">
        <f>ROUND(F4653-D4653,2)</f>
        <v/>
      </c>
    </row>
    <row r="4654">
      <c r="A4654" t="inlineStr">
        <is>
          <t>2022-11-09</t>
        </is>
      </c>
      <c r="B4654" t="n">
        <v>3</v>
      </c>
      <c r="C4654" t="n">
        <v>3095</v>
      </c>
      <c r="D4654" s="6" t="n">
        <v>48.2</v>
      </c>
      <c r="E4654" s="6" t="n">
        <v>1307873.58</v>
      </c>
      <c r="F4654" s="6">
        <f>ROUND(E4654-E4653,2)</f>
        <v/>
      </c>
      <c r="G4654" s="6">
        <f>ROUND(F4654-D4654,2)</f>
        <v/>
      </c>
    </row>
    <row r="4655">
      <c r="A4655" t="inlineStr">
        <is>
          <t>2022-11-09</t>
        </is>
      </c>
      <c r="B4655" t="n">
        <v>4</v>
      </c>
      <c r="C4655" t="n">
        <v>3095</v>
      </c>
      <c r="D4655" s="6" t="n">
        <v>47.5</v>
      </c>
      <c r="E4655" s="6" t="n">
        <v>1307921.08</v>
      </c>
      <c r="F4655" s="6">
        <f>ROUND(E4655-E4654,2)</f>
        <v/>
      </c>
      <c r="G4655" s="6">
        <f>ROUND(F4655-D4655,2)</f>
        <v/>
      </c>
    </row>
    <row r="4656">
      <c r="A4656" t="inlineStr">
        <is>
          <t>2022-11-09</t>
        </is>
      </c>
      <c r="B4656" t="n">
        <v>5</v>
      </c>
      <c r="C4656" t="n">
        <v>3095</v>
      </c>
      <c r="D4656" s="6" t="n">
        <v>58.8</v>
      </c>
      <c r="E4656" s="6" t="n">
        <v>1307979.88</v>
      </c>
      <c r="F4656" s="6">
        <f>ROUND(E4656-E4655,2)</f>
        <v/>
      </c>
      <c r="G4656" s="6">
        <f>ROUND(F4656-D4656,2)</f>
        <v/>
      </c>
    </row>
    <row r="4657">
      <c r="A4657" t="inlineStr">
        <is>
          <t>2022-11-09</t>
        </is>
      </c>
      <c r="B4657" t="n">
        <v>6</v>
      </c>
      <c r="C4657" t="n">
        <v>3095</v>
      </c>
      <c r="D4657" s="6" t="n">
        <v>75.90000000000001</v>
      </c>
      <c r="E4657" s="6" t="n">
        <v>1308055.78</v>
      </c>
      <c r="F4657" s="6">
        <f>ROUND(E4657-E4656,2)</f>
        <v/>
      </c>
      <c r="G4657" s="6">
        <f>ROUND(F4657-D4657,2)</f>
        <v/>
      </c>
    </row>
    <row r="4658">
      <c r="A4658" t="inlineStr">
        <is>
          <t>2022-11-09</t>
        </is>
      </c>
      <c r="B4658" t="n">
        <v>7</v>
      </c>
      <c r="C4658" t="n">
        <v>3095</v>
      </c>
      <c r="D4658" s="6" t="n">
        <v>29.9</v>
      </c>
      <c r="E4658" s="6" t="n">
        <v>1308085.68</v>
      </c>
      <c r="F4658" s="6">
        <f>ROUND(E4658-E4657,2)</f>
        <v/>
      </c>
      <c r="G4658" s="6">
        <f>ROUND(F4658-D4658,2)</f>
        <v/>
      </c>
    </row>
    <row r="4659">
      <c r="A4659" t="inlineStr">
        <is>
          <t>2022-11-09</t>
        </is>
      </c>
      <c r="B4659" t="n">
        <v>8</v>
      </c>
      <c r="C4659" t="n">
        <v>3095</v>
      </c>
      <c r="D4659" s="6" t="n">
        <v>29.9</v>
      </c>
      <c r="E4659" s="6" t="n">
        <v>1308115.58</v>
      </c>
      <c r="F4659" s="6">
        <f>ROUND(E4659-E4658,2)</f>
        <v/>
      </c>
      <c r="G4659" s="6">
        <f>ROUND(F4659-D4659,2)</f>
        <v/>
      </c>
    </row>
    <row r="4660">
      <c r="A4660" t="inlineStr">
        <is>
          <t>2022-11-09</t>
        </is>
      </c>
      <c r="B4660" t="n">
        <v>9</v>
      </c>
      <c r="C4660" t="n">
        <v>3095</v>
      </c>
      <c r="D4660" s="6" t="n">
        <v>13.3</v>
      </c>
      <c r="E4660" s="6" t="n">
        <v>1308128.88</v>
      </c>
      <c r="F4660" s="6">
        <f>ROUND(E4660-E4659,2)</f>
        <v/>
      </c>
      <c r="G4660" s="6">
        <f>ROUND(F4660-D4660,2)</f>
        <v/>
      </c>
    </row>
    <row r="4661">
      <c r="A4661" t="inlineStr">
        <is>
          <t>2022-11-09</t>
        </is>
      </c>
      <c r="B4661" t="n">
        <v>10</v>
      </c>
      <c r="C4661" t="n">
        <v>3095</v>
      </c>
      <c r="D4661" s="6" t="n">
        <v>66.2</v>
      </c>
      <c r="E4661" s="6" t="n">
        <v>1308195.08</v>
      </c>
      <c r="F4661" s="6">
        <f>ROUND(E4661-E4660,2)</f>
        <v/>
      </c>
      <c r="G4661" s="6">
        <f>ROUND(F4661-D4661,2)</f>
        <v/>
      </c>
    </row>
    <row r="4662">
      <c r="A4662" t="inlineStr">
        <is>
          <t>2022-11-09</t>
        </is>
      </c>
      <c r="B4662" t="n">
        <v>11</v>
      </c>
      <c r="C4662" t="n">
        <v>3095</v>
      </c>
      <c r="D4662" s="6" t="n">
        <v>61.3</v>
      </c>
      <c r="E4662" s="6" t="n">
        <v>1308256.38</v>
      </c>
      <c r="F4662" s="6">
        <f>ROUND(E4662-E4661,2)</f>
        <v/>
      </c>
      <c r="G4662" s="6">
        <f>ROUND(F4662-D4662,2)</f>
        <v/>
      </c>
    </row>
    <row r="4663">
      <c r="A4663" t="inlineStr">
        <is>
          <t>2022-11-09</t>
        </is>
      </c>
      <c r="B4663" t="n">
        <v>12</v>
      </c>
      <c r="C4663" t="n">
        <v>3095</v>
      </c>
      <c r="D4663" s="6" t="n">
        <v>71.09999999999999</v>
      </c>
      <c r="E4663" s="6" t="n">
        <v>1308327.48</v>
      </c>
      <c r="F4663" s="6">
        <f>ROUND(E4663-E4662,2)</f>
        <v/>
      </c>
      <c r="G4663" s="6">
        <f>ROUND(F4663-D4663,2)</f>
        <v/>
      </c>
    </row>
    <row r="4664">
      <c r="A4664" t="inlineStr">
        <is>
          <t>2022-11-09</t>
        </is>
      </c>
      <c r="B4664" t="n">
        <v>13</v>
      </c>
      <c r="C4664" t="n">
        <v>3095</v>
      </c>
      <c r="D4664" s="6" t="n">
        <v>90.59999999999999</v>
      </c>
      <c r="E4664" s="6" t="n">
        <v>1308418.08</v>
      </c>
      <c r="F4664" s="6">
        <f>ROUND(E4664-E4663,2)</f>
        <v/>
      </c>
      <c r="G4664" s="6">
        <f>ROUND(F4664-D4664,2)</f>
        <v/>
      </c>
    </row>
    <row r="4665">
      <c r="A4665" t="inlineStr">
        <is>
          <t>2022-11-09</t>
        </is>
      </c>
      <c r="B4665" t="n">
        <v>14</v>
      </c>
      <c r="C4665" t="n">
        <v>3095</v>
      </c>
      <c r="D4665" s="6" t="n">
        <v>30.3</v>
      </c>
      <c r="E4665" s="6" t="n">
        <v>1308448.38</v>
      </c>
      <c r="F4665" s="6">
        <f>ROUND(E4665-E4664,2)</f>
        <v/>
      </c>
      <c r="G4665" s="6">
        <f>ROUND(F4665-D4665,2)</f>
        <v/>
      </c>
    </row>
    <row r="4666">
      <c r="A4666" t="inlineStr">
        <is>
          <t>2022-11-09</t>
        </is>
      </c>
      <c r="B4666" t="n">
        <v>15</v>
      </c>
      <c r="C4666" t="n">
        <v>3095</v>
      </c>
      <c r="D4666" s="6" t="n">
        <v>130.4</v>
      </c>
      <c r="E4666" s="6" t="n">
        <v>1308578.78</v>
      </c>
      <c r="F4666" s="6">
        <f>ROUND(E4666-E4665,2)</f>
        <v/>
      </c>
      <c r="G4666" s="6">
        <f>ROUND(F4666-D4666,2)</f>
        <v/>
      </c>
    </row>
    <row r="4667">
      <c r="A4667" t="inlineStr">
        <is>
          <t>2022-11-10</t>
        </is>
      </c>
      <c r="B4667" t="n">
        <v>1</v>
      </c>
      <c r="C4667" t="n">
        <v>3096</v>
      </c>
      <c r="D4667" s="6" t="n">
        <v>51.6</v>
      </c>
      <c r="E4667" s="6" t="n">
        <v>1308630.38</v>
      </c>
      <c r="F4667" s="6">
        <f>ROUND(E4667-E4666,2)</f>
        <v/>
      </c>
      <c r="G4667" s="6">
        <f>ROUND(F4667-D4667,2)</f>
        <v/>
      </c>
    </row>
    <row r="4668">
      <c r="A4668" t="inlineStr">
        <is>
          <t>2022-11-10</t>
        </is>
      </c>
      <c r="B4668" t="n">
        <v>2</v>
      </c>
      <c r="C4668" t="n">
        <v>3096</v>
      </c>
      <c r="D4668" s="6" t="n">
        <v>95.8</v>
      </c>
      <c r="E4668" s="6" t="n">
        <v>1308726.18</v>
      </c>
      <c r="F4668" s="6">
        <f>ROUND(E4668-E4667,2)</f>
        <v/>
      </c>
      <c r="G4668" s="6">
        <f>ROUND(F4668-D4668,2)</f>
        <v/>
      </c>
    </row>
    <row r="4669">
      <c r="A4669" t="inlineStr">
        <is>
          <t>2022-11-10</t>
        </is>
      </c>
      <c r="B4669" t="n">
        <v>3</v>
      </c>
      <c r="C4669" t="n">
        <v>3096</v>
      </c>
      <c r="D4669" s="6" t="n">
        <v>52.9</v>
      </c>
      <c r="E4669" s="6" t="n">
        <v>1308779.08</v>
      </c>
      <c r="F4669" s="6">
        <f>ROUND(E4669-E4668,2)</f>
        <v/>
      </c>
      <c r="G4669" s="6">
        <f>ROUND(F4669-D4669,2)</f>
        <v/>
      </c>
    </row>
    <row r="4670">
      <c r="A4670" t="inlineStr">
        <is>
          <t>2022-11-10</t>
        </is>
      </c>
      <c r="B4670" t="n">
        <v>4</v>
      </c>
      <c r="C4670" t="n">
        <v>3096</v>
      </c>
      <c r="D4670" s="6" t="n">
        <v>80.40000000000001</v>
      </c>
      <c r="E4670" s="6" t="n">
        <v>1308859.48</v>
      </c>
      <c r="F4670" s="6">
        <f>ROUND(E4670-E4669,2)</f>
        <v/>
      </c>
      <c r="G4670" s="6">
        <f>ROUND(F4670-D4670,2)</f>
        <v/>
      </c>
    </row>
    <row r="4671">
      <c r="A4671" t="inlineStr">
        <is>
          <t>2022-11-10</t>
        </is>
      </c>
      <c r="B4671" t="n">
        <v>5</v>
      </c>
      <c r="C4671" t="n">
        <v>3096</v>
      </c>
      <c r="D4671" s="6" t="n">
        <v>94.40000000000001</v>
      </c>
      <c r="E4671" s="6" t="n">
        <v>1308953.88</v>
      </c>
      <c r="F4671" s="6">
        <f>ROUND(E4671-E4670,2)</f>
        <v/>
      </c>
      <c r="G4671" s="6">
        <f>ROUND(F4671-D4671,2)</f>
        <v/>
      </c>
    </row>
    <row r="4672">
      <c r="A4672" t="inlineStr">
        <is>
          <t>2022-11-10</t>
        </is>
      </c>
      <c r="B4672" t="n">
        <v>6</v>
      </c>
      <c r="C4672" t="n">
        <v>3096</v>
      </c>
      <c r="D4672" s="6" t="n">
        <v>69.7</v>
      </c>
      <c r="E4672" s="6" t="n">
        <v>1309023.58</v>
      </c>
      <c r="F4672" s="6">
        <f>ROUND(E4672-E4671,2)</f>
        <v/>
      </c>
      <c r="G4672" s="6">
        <f>ROUND(F4672-D4672,2)</f>
        <v/>
      </c>
    </row>
    <row r="4673">
      <c r="A4673" t="inlineStr">
        <is>
          <t>2022-11-10</t>
        </is>
      </c>
      <c r="B4673" t="n">
        <v>7</v>
      </c>
      <c r="C4673" t="n">
        <v>3096</v>
      </c>
      <c r="D4673" s="6" t="n">
        <v>120</v>
      </c>
      <c r="E4673" s="6" t="n">
        <v>1309143.58</v>
      </c>
      <c r="F4673" s="6">
        <f>ROUND(E4673-E4672,2)</f>
        <v/>
      </c>
      <c r="G4673" s="6">
        <f>ROUND(F4673-D4673,2)</f>
        <v/>
      </c>
    </row>
    <row r="4674">
      <c r="A4674" t="inlineStr">
        <is>
          <t>2022-11-10</t>
        </is>
      </c>
      <c r="B4674" t="n">
        <v>8</v>
      </c>
      <c r="C4674" t="n">
        <v>3096</v>
      </c>
      <c r="D4674" s="6" t="n">
        <v>62.15</v>
      </c>
      <c r="E4674" s="6" t="n">
        <v>1309205.73</v>
      </c>
      <c r="F4674" s="6">
        <f>ROUND(E4674-E4673,2)</f>
        <v/>
      </c>
      <c r="G4674" s="6">
        <f>ROUND(F4674-D4674,2)</f>
        <v/>
      </c>
    </row>
    <row r="4675">
      <c r="A4675" t="inlineStr">
        <is>
          <t>2022-11-10</t>
        </is>
      </c>
      <c r="B4675" t="n">
        <v>9</v>
      </c>
      <c r="C4675" t="n">
        <v>3096</v>
      </c>
      <c r="D4675" s="6" t="n">
        <v>32.25</v>
      </c>
      <c r="E4675" s="6" t="n">
        <v>1309237.98</v>
      </c>
      <c r="F4675" s="6">
        <f>ROUND(E4675-E4674,2)</f>
        <v/>
      </c>
      <c r="G4675" s="6">
        <f>ROUND(F4675-D4675,2)</f>
        <v/>
      </c>
    </row>
    <row r="4676">
      <c r="A4676" t="inlineStr">
        <is>
          <t>2022-11-10</t>
        </is>
      </c>
      <c r="B4676" t="n">
        <v>10</v>
      </c>
      <c r="C4676" t="n">
        <v>3096</v>
      </c>
      <c r="D4676" s="6" t="n">
        <v>79.40000000000001</v>
      </c>
      <c r="E4676" s="6" t="n">
        <v>1309317.38</v>
      </c>
      <c r="F4676" s="6">
        <f>ROUND(E4676-E4675,2)</f>
        <v/>
      </c>
      <c r="G4676" s="6">
        <f>ROUND(F4676-D4676,2)</f>
        <v/>
      </c>
    </row>
    <row r="4677">
      <c r="A4677" t="inlineStr">
        <is>
          <t>2022-11-10</t>
        </is>
      </c>
      <c r="B4677" t="n">
        <v>11</v>
      </c>
      <c r="C4677" t="n">
        <v>3096</v>
      </c>
      <c r="D4677" s="6" t="n">
        <v>103.9</v>
      </c>
      <c r="E4677" s="6" t="n">
        <v>1309421.28</v>
      </c>
      <c r="F4677" s="6">
        <f>ROUND(E4677-E4676,2)</f>
        <v/>
      </c>
      <c r="G4677" s="6">
        <f>ROUND(F4677-D4677,2)</f>
        <v/>
      </c>
    </row>
    <row r="4678">
      <c r="A4678" t="inlineStr">
        <is>
          <t>2022-11-10</t>
        </is>
      </c>
      <c r="B4678" t="n">
        <v>12</v>
      </c>
      <c r="C4678" t="n">
        <v>3096</v>
      </c>
      <c r="D4678" s="6" t="n">
        <v>53.4</v>
      </c>
      <c r="E4678" s="6" t="n">
        <v>1309474.68</v>
      </c>
      <c r="F4678" s="6">
        <f>ROUND(E4678-E4677,2)</f>
        <v/>
      </c>
      <c r="G4678" s="6">
        <f>ROUND(F4678-D4678,2)</f>
        <v/>
      </c>
    </row>
    <row r="4679">
      <c r="A4679" t="inlineStr">
        <is>
          <t>2022-11-11</t>
        </is>
      </c>
      <c r="B4679" t="n">
        <v>1</v>
      </c>
      <c r="C4679" t="n">
        <v>3097</v>
      </c>
      <c r="D4679" s="6" t="n">
        <v>61.7</v>
      </c>
      <c r="E4679" s="6" t="n">
        <v>1309536.38</v>
      </c>
      <c r="F4679" s="6">
        <f>ROUND(E4679-E4678,2)</f>
        <v/>
      </c>
      <c r="G4679" s="6">
        <f>ROUND(F4679-D4679,2)</f>
        <v/>
      </c>
    </row>
    <row r="4680">
      <c r="A4680" t="inlineStr">
        <is>
          <t>2022-11-11</t>
        </is>
      </c>
      <c r="B4680" t="n">
        <v>2</v>
      </c>
      <c r="C4680" t="n">
        <v>3097</v>
      </c>
      <c r="D4680" s="6" t="n">
        <v>35.8</v>
      </c>
      <c r="E4680" s="6" t="n">
        <v>1309572.18</v>
      </c>
      <c r="F4680" s="6">
        <f>ROUND(E4680-E4679,2)</f>
        <v/>
      </c>
      <c r="G4680" s="6">
        <f>ROUND(F4680-D4680,2)</f>
        <v/>
      </c>
    </row>
    <row r="4681">
      <c r="A4681" t="inlineStr">
        <is>
          <t>2022-11-11</t>
        </is>
      </c>
      <c r="B4681" t="n">
        <v>3</v>
      </c>
      <c r="C4681" t="n">
        <v>3097</v>
      </c>
      <c r="D4681" s="6" t="n">
        <v>20.4</v>
      </c>
      <c r="E4681" s="6" t="n">
        <v>1309592.58</v>
      </c>
      <c r="F4681" s="6">
        <f>ROUND(E4681-E4680,2)</f>
        <v/>
      </c>
      <c r="G4681" s="6">
        <f>ROUND(F4681-D4681,2)</f>
        <v/>
      </c>
    </row>
    <row r="4682">
      <c r="A4682" t="inlineStr">
        <is>
          <t>2022-11-11</t>
        </is>
      </c>
      <c r="B4682" t="n">
        <v>4</v>
      </c>
      <c r="C4682" t="n">
        <v>3097</v>
      </c>
      <c r="D4682" s="6" t="n">
        <v>58.5</v>
      </c>
      <c r="E4682" s="6" t="n">
        <v>1309651.08</v>
      </c>
      <c r="F4682" s="6">
        <f>ROUND(E4682-E4681,2)</f>
        <v/>
      </c>
      <c r="G4682" s="6">
        <f>ROUND(F4682-D4682,2)</f>
        <v/>
      </c>
    </row>
    <row r="4683">
      <c r="A4683" t="inlineStr">
        <is>
          <t>2022-11-11</t>
        </is>
      </c>
      <c r="B4683" t="n">
        <v>5</v>
      </c>
      <c r="C4683" t="n">
        <v>3097</v>
      </c>
      <c r="D4683" s="6" t="n">
        <v>135.3</v>
      </c>
      <c r="E4683" s="6" t="n">
        <v>1309786.38</v>
      </c>
      <c r="F4683" s="6">
        <f>ROUND(E4683-E4682,2)</f>
        <v/>
      </c>
      <c r="G4683" s="6">
        <f>ROUND(F4683-D4683,2)</f>
        <v/>
      </c>
    </row>
    <row r="4684">
      <c r="A4684" t="inlineStr">
        <is>
          <t>2022-11-11</t>
        </is>
      </c>
      <c r="B4684" t="n">
        <v>6</v>
      </c>
      <c r="C4684" t="n">
        <v>3097</v>
      </c>
      <c r="D4684" s="6" t="n">
        <v>73.8</v>
      </c>
      <c r="E4684" s="6" t="n">
        <v>1309860.18</v>
      </c>
      <c r="F4684" s="6">
        <f>ROUND(E4684-E4683,2)</f>
        <v/>
      </c>
      <c r="G4684" s="6">
        <f>ROUND(F4684-D4684,2)</f>
        <v/>
      </c>
    </row>
    <row r="4685">
      <c r="A4685" t="inlineStr">
        <is>
          <t>2022-11-11</t>
        </is>
      </c>
      <c r="B4685" t="n">
        <v>7</v>
      </c>
      <c r="C4685" t="n">
        <v>3097</v>
      </c>
      <c r="D4685" s="6" t="n">
        <v>66.2</v>
      </c>
      <c r="E4685" s="6" t="n">
        <v>1309926.38</v>
      </c>
      <c r="F4685" s="6">
        <f>ROUND(E4685-E4684,2)</f>
        <v/>
      </c>
      <c r="G4685" s="6">
        <f>ROUND(F4685-D4685,2)</f>
        <v/>
      </c>
    </row>
    <row r="4686">
      <c r="A4686" t="inlineStr">
        <is>
          <t>2022-11-11</t>
        </is>
      </c>
      <c r="B4686" t="n">
        <v>8</v>
      </c>
      <c r="C4686" t="n">
        <v>3097</v>
      </c>
      <c r="D4686" s="6" t="n">
        <v>89.3</v>
      </c>
      <c r="E4686" s="6" t="n">
        <v>1310015.68</v>
      </c>
      <c r="F4686" s="6">
        <f>ROUND(E4686-E4685,2)</f>
        <v/>
      </c>
      <c r="G4686" s="6">
        <f>ROUND(F4686-D4686,2)</f>
        <v/>
      </c>
    </row>
    <row r="4687">
      <c r="A4687" t="inlineStr">
        <is>
          <t>2022-11-11</t>
        </is>
      </c>
      <c r="B4687" t="n">
        <v>9</v>
      </c>
      <c r="C4687" t="n">
        <v>3097</v>
      </c>
      <c r="D4687" s="6" t="n">
        <v>65.59999999999999</v>
      </c>
      <c r="E4687" s="6" t="n">
        <v>1310081.28</v>
      </c>
      <c r="F4687" s="6">
        <f>ROUND(E4687-E4686,2)</f>
        <v/>
      </c>
      <c r="G4687" s="6">
        <f>ROUND(F4687-D4687,2)</f>
        <v/>
      </c>
    </row>
    <row r="4688">
      <c r="A4688" t="inlineStr">
        <is>
          <t>2022-11-11</t>
        </is>
      </c>
      <c r="B4688" t="n">
        <v>10</v>
      </c>
      <c r="C4688" t="n">
        <v>3097</v>
      </c>
      <c r="D4688" s="6" t="n">
        <v>68.90000000000001</v>
      </c>
      <c r="E4688" s="6" t="n">
        <v>1310150.18</v>
      </c>
      <c r="F4688" s="6">
        <f>ROUND(E4688-E4687,2)</f>
        <v/>
      </c>
      <c r="G4688" s="6">
        <f>ROUND(F4688-D4688,2)</f>
        <v/>
      </c>
    </row>
    <row r="4689">
      <c r="A4689" t="inlineStr">
        <is>
          <t>2022-11-11</t>
        </is>
      </c>
      <c r="B4689" t="n">
        <v>11</v>
      </c>
      <c r="C4689" t="n">
        <v>3097</v>
      </c>
      <c r="D4689" s="6" t="n">
        <v>67</v>
      </c>
      <c r="E4689" s="6" t="n">
        <v>1310217.18</v>
      </c>
      <c r="F4689" s="6">
        <f>ROUND(E4689-E4688,2)</f>
        <v/>
      </c>
      <c r="G4689" s="6">
        <f>ROUND(F4689-D4689,2)</f>
        <v/>
      </c>
    </row>
    <row r="4690">
      <c r="A4690" t="inlineStr">
        <is>
          <t>2022-11-11</t>
        </is>
      </c>
      <c r="B4690" t="n">
        <v>12</v>
      </c>
      <c r="C4690" t="n">
        <v>3097</v>
      </c>
      <c r="D4690" s="6" t="n">
        <v>37.6</v>
      </c>
      <c r="E4690" s="6" t="n">
        <v>1310254.78</v>
      </c>
      <c r="F4690" s="6">
        <f>ROUND(E4690-E4689,2)</f>
        <v/>
      </c>
      <c r="G4690" s="6">
        <f>ROUND(F4690-D4690,2)</f>
        <v/>
      </c>
    </row>
    <row r="4691">
      <c r="A4691" t="inlineStr">
        <is>
          <t>2022-11-11</t>
        </is>
      </c>
      <c r="B4691" t="n">
        <v>13</v>
      </c>
      <c r="C4691" t="n">
        <v>3097</v>
      </c>
      <c r="D4691" s="6" t="n">
        <v>97.90000000000001</v>
      </c>
      <c r="E4691" s="6" t="n">
        <v>1310352.68</v>
      </c>
      <c r="F4691" s="6">
        <f>ROUND(E4691-E4690,2)</f>
        <v/>
      </c>
      <c r="G4691" s="6">
        <f>ROUND(F4691-D4691,2)</f>
        <v/>
      </c>
    </row>
    <row r="4692">
      <c r="A4692" t="inlineStr">
        <is>
          <t>2022-11-11</t>
        </is>
      </c>
      <c r="B4692" t="n">
        <v>14</v>
      </c>
      <c r="C4692" t="n">
        <v>3097</v>
      </c>
      <c r="D4692" s="6" t="n">
        <v>104.3</v>
      </c>
      <c r="E4692" s="6" t="n">
        <v>1310456.98</v>
      </c>
      <c r="F4692" s="6">
        <f>ROUND(E4692-E4691,2)</f>
        <v/>
      </c>
      <c r="G4692" s="6">
        <f>ROUND(F4692-D4692,2)</f>
        <v/>
      </c>
    </row>
    <row r="4693">
      <c r="A4693" t="inlineStr">
        <is>
          <t>2022-11-11</t>
        </is>
      </c>
      <c r="B4693" t="n">
        <v>15</v>
      </c>
      <c r="C4693" t="n">
        <v>3097</v>
      </c>
      <c r="D4693" s="6" t="n">
        <v>134.5</v>
      </c>
      <c r="E4693" s="6" t="n">
        <v>1310591.48</v>
      </c>
      <c r="F4693" s="6">
        <f>ROUND(E4693-E4692,2)</f>
        <v/>
      </c>
      <c r="G4693" s="6">
        <f>ROUND(F4693-D4693,2)</f>
        <v/>
      </c>
    </row>
    <row r="4694">
      <c r="A4694" t="inlineStr">
        <is>
          <t>2022-11-11</t>
        </is>
      </c>
      <c r="B4694" t="n">
        <v>16</v>
      </c>
      <c r="C4694" t="n">
        <v>3097</v>
      </c>
      <c r="D4694" s="6" t="n">
        <v>236.7</v>
      </c>
      <c r="E4694" s="6" t="n">
        <v>1310828.18</v>
      </c>
      <c r="F4694" s="6">
        <f>ROUND(E4694-E4693,2)</f>
        <v/>
      </c>
      <c r="G4694" s="6">
        <f>ROUND(F4694-D4694,2)</f>
        <v/>
      </c>
    </row>
    <row r="4695">
      <c r="A4695" t="inlineStr">
        <is>
          <t>2022-11-11</t>
        </is>
      </c>
      <c r="B4695" t="n">
        <v>17</v>
      </c>
      <c r="C4695" t="n">
        <v>3097</v>
      </c>
      <c r="D4695" s="6" t="n">
        <v>89.59999999999999</v>
      </c>
      <c r="E4695" s="6" t="n">
        <v>1310917.78</v>
      </c>
      <c r="F4695" s="6">
        <f>ROUND(E4695-E4694,2)</f>
        <v/>
      </c>
      <c r="G4695" s="6">
        <f>ROUND(F4695-D4695,2)</f>
        <v/>
      </c>
    </row>
    <row r="4696">
      <c r="A4696" t="inlineStr">
        <is>
          <t>2022-11-11</t>
        </is>
      </c>
      <c r="B4696" t="n">
        <v>18</v>
      </c>
      <c r="C4696" t="n">
        <v>3097</v>
      </c>
      <c r="D4696" s="6" t="n">
        <v>57.2</v>
      </c>
      <c r="E4696" s="6" t="n">
        <v>1310974.98</v>
      </c>
      <c r="F4696" s="6">
        <f>ROUND(E4696-E4695,2)</f>
        <v/>
      </c>
      <c r="G4696" s="6">
        <f>ROUND(F4696-D4696,2)</f>
        <v/>
      </c>
    </row>
    <row r="4697">
      <c r="A4697" t="inlineStr">
        <is>
          <t>2022-11-11</t>
        </is>
      </c>
      <c r="B4697" t="n">
        <v>19</v>
      </c>
      <c r="C4697" t="n">
        <v>3097</v>
      </c>
      <c r="D4697" s="6" t="n">
        <v>140</v>
      </c>
      <c r="E4697" s="6" t="n">
        <v>1311114.98</v>
      </c>
      <c r="F4697" s="6">
        <f>ROUND(E4697-E4696,2)</f>
        <v/>
      </c>
      <c r="G4697" s="6">
        <f>ROUND(F4697-D4697,2)</f>
        <v/>
      </c>
    </row>
    <row r="4698">
      <c r="A4698" t="inlineStr">
        <is>
          <t>2022-11-11</t>
        </is>
      </c>
      <c r="B4698" t="n">
        <v>20</v>
      </c>
      <c r="C4698" t="n">
        <v>3097</v>
      </c>
      <c r="D4698" s="6" t="n">
        <v>39.2</v>
      </c>
      <c r="E4698" s="6" t="n">
        <v>1311154.18</v>
      </c>
      <c r="F4698" s="6">
        <f>ROUND(E4698-E4697,2)</f>
        <v/>
      </c>
      <c r="G4698" s="6">
        <f>ROUND(F4698-D4698,2)</f>
        <v/>
      </c>
    </row>
    <row r="4699">
      <c r="A4699" t="inlineStr">
        <is>
          <t>2022-11-11</t>
        </is>
      </c>
      <c r="B4699" t="n">
        <v>21</v>
      </c>
      <c r="C4699" t="n">
        <v>3097</v>
      </c>
      <c r="D4699" s="6" t="n">
        <v>58.8</v>
      </c>
      <c r="E4699" s="6" t="n">
        <v>1311212.98</v>
      </c>
      <c r="F4699" s="6">
        <f>ROUND(E4699-E4698,2)</f>
        <v/>
      </c>
      <c r="G4699" s="6">
        <f>ROUND(F4699-D4699,2)</f>
        <v/>
      </c>
    </row>
    <row r="4700">
      <c r="A4700" t="inlineStr">
        <is>
          <t>2022-11-11</t>
        </is>
      </c>
      <c r="B4700" t="n">
        <v>22</v>
      </c>
      <c r="C4700" t="n">
        <v>3097</v>
      </c>
      <c r="D4700" s="6" t="n">
        <v>27</v>
      </c>
      <c r="E4700" s="6" t="n">
        <v>1311239.98</v>
      </c>
      <c r="F4700" s="6">
        <f>ROUND(E4700-E4699,2)</f>
        <v/>
      </c>
      <c r="G4700" s="6">
        <f>ROUND(F4700-D4700,2)</f>
        <v/>
      </c>
    </row>
    <row r="4701">
      <c r="A4701" t="inlineStr">
        <is>
          <t>2022-11-11</t>
        </is>
      </c>
      <c r="B4701" t="n">
        <v>23</v>
      </c>
      <c r="C4701" t="n">
        <v>3097</v>
      </c>
      <c r="D4701" s="6" t="n">
        <v>83.40000000000001</v>
      </c>
      <c r="E4701" s="6" t="n">
        <v>1311323.38</v>
      </c>
      <c r="F4701" s="6">
        <f>ROUND(E4701-E4700,2)</f>
        <v/>
      </c>
      <c r="G4701" s="6">
        <f>ROUND(F4701-D4701,2)</f>
        <v/>
      </c>
    </row>
    <row r="4702">
      <c r="A4702" t="inlineStr">
        <is>
          <t>2022-11-12</t>
        </is>
      </c>
      <c r="B4702" t="n">
        <v>1</v>
      </c>
      <c r="C4702" t="n">
        <v>3098</v>
      </c>
      <c r="D4702" s="6" t="n">
        <v>44.4</v>
      </c>
      <c r="E4702" s="6" t="n">
        <v>1311367.78</v>
      </c>
      <c r="F4702" s="6">
        <f>ROUND(E4702-E4701,2)</f>
        <v/>
      </c>
      <c r="G4702" s="6">
        <f>ROUND(F4702-D4702,2)</f>
        <v/>
      </c>
    </row>
    <row r="4703">
      <c r="A4703" t="inlineStr">
        <is>
          <t>2022-11-12</t>
        </is>
      </c>
      <c r="B4703" t="n">
        <v>2</v>
      </c>
      <c r="C4703" t="n">
        <v>3098</v>
      </c>
      <c r="D4703" s="6" t="n">
        <v>71.90000000000001</v>
      </c>
      <c r="E4703" s="6" t="n">
        <v>1311439.68</v>
      </c>
      <c r="F4703" s="6">
        <f>ROUND(E4703-E4702,2)</f>
        <v/>
      </c>
      <c r="G4703" s="6">
        <f>ROUND(F4703-D4703,2)</f>
        <v/>
      </c>
    </row>
    <row r="4704">
      <c r="A4704" t="inlineStr">
        <is>
          <t>2022-11-12</t>
        </is>
      </c>
      <c r="B4704" t="n">
        <v>3</v>
      </c>
      <c r="C4704" t="n">
        <v>3098</v>
      </c>
      <c r="D4704" s="6" t="n">
        <v>76.3</v>
      </c>
      <c r="E4704" s="6" t="n">
        <v>1311515.98</v>
      </c>
      <c r="F4704" s="6">
        <f>ROUND(E4704-E4703,2)</f>
        <v/>
      </c>
      <c r="G4704" s="6">
        <f>ROUND(F4704-D4704,2)</f>
        <v/>
      </c>
    </row>
    <row r="4705">
      <c r="A4705" t="inlineStr">
        <is>
          <t>2022-11-12</t>
        </is>
      </c>
      <c r="B4705" t="n">
        <v>4</v>
      </c>
      <c r="C4705" t="n">
        <v>3098</v>
      </c>
      <c r="D4705" s="6" t="n">
        <v>49.05</v>
      </c>
      <c r="E4705" s="6" t="n">
        <v>1311565.03</v>
      </c>
      <c r="F4705" s="6">
        <f>ROUND(E4705-E4704,2)</f>
        <v/>
      </c>
      <c r="G4705" s="6">
        <f>ROUND(F4705-D4705,2)</f>
        <v/>
      </c>
    </row>
    <row r="4706">
      <c r="A4706" t="inlineStr">
        <is>
          <t>2022-11-12</t>
        </is>
      </c>
      <c r="B4706" t="n">
        <v>5</v>
      </c>
      <c r="C4706" t="n">
        <v>3098</v>
      </c>
      <c r="D4706" s="6" t="n">
        <v>49.05</v>
      </c>
      <c r="E4706" s="6" t="n">
        <v>1311614.08</v>
      </c>
      <c r="F4706" s="6">
        <f>ROUND(E4706-E4705,2)</f>
        <v/>
      </c>
      <c r="G4706" s="6">
        <f>ROUND(F4706-D4706,2)</f>
        <v/>
      </c>
    </row>
    <row r="4707">
      <c r="A4707" t="inlineStr">
        <is>
          <t>2022-11-12</t>
        </is>
      </c>
      <c r="B4707" t="n">
        <v>6</v>
      </c>
      <c r="C4707" t="n">
        <v>3098</v>
      </c>
      <c r="D4707" s="6" t="n">
        <v>144.5</v>
      </c>
      <c r="E4707" s="6" t="n">
        <v>1311758.58</v>
      </c>
      <c r="F4707" s="6">
        <f>ROUND(E4707-E4706,2)</f>
        <v/>
      </c>
      <c r="G4707" s="6">
        <f>ROUND(F4707-D4707,2)</f>
        <v/>
      </c>
    </row>
    <row r="4708">
      <c r="A4708" t="inlineStr">
        <is>
          <t>2022-11-12</t>
        </is>
      </c>
      <c r="B4708" t="n">
        <v>7</v>
      </c>
      <c r="C4708" t="n">
        <v>3098</v>
      </c>
      <c r="D4708" s="6" t="n">
        <v>87.59999999999999</v>
      </c>
      <c r="E4708" s="6" t="n">
        <v>1311846.18</v>
      </c>
      <c r="F4708" s="6">
        <f>ROUND(E4708-E4707,2)</f>
        <v/>
      </c>
      <c r="G4708" s="6">
        <f>ROUND(F4708-D4708,2)</f>
        <v/>
      </c>
    </row>
    <row r="4709">
      <c r="A4709" t="inlineStr">
        <is>
          <t>2022-11-12</t>
        </is>
      </c>
      <c r="B4709" t="n">
        <v>8</v>
      </c>
      <c r="C4709" t="n">
        <v>3098</v>
      </c>
      <c r="D4709" s="6" t="n">
        <v>129.7</v>
      </c>
      <c r="E4709" s="6" t="n">
        <v>1311975.88</v>
      </c>
      <c r="F4709" s="6">
        <f>ROUND(E4709-E4708,2)</f>
        <v/>
      </c>
      <c r="G4709" s="6">
        <f>ROUND(F4709-D4709,2)</f>
        <v/>
      </c>
    </row>
    <row r="4710">
      <c r="A4710" t="inlineStr">
        <is>
          <t>2022-11-12</t>
        </is>
      </c>
      <c r="B4710" t="n">
        <v>9</v>
      </c>
      <c r="C4710" t="n">
        <v>3098</v>
      </c>
      <c r="D4710" s="6" t="n">
        <v>38.6</v>
      </c>
      <c r="E4710" s="6" t="n">
        <v>1312014.48</v>
      </c>
      <c r="F4710" s="6">
        <f>ROUND(E4710-E4709,2)</f>
        <v/>
      </c>
      <c r="G4710" s="6">
        <f>ROUND(F4710-D4710,2)</f>
        <v/>
      </c>
    </row>
    <row r="4711">
      <c r="A4711" t="inlineStr">
        <is>
          <t>2022-11-12</t>
        </is>
      </c>
      <c r="B4711" t="n">
        <v>10</v>
      </c>
      <c r="C4711" t="n">
        <v>3098</v>
      </c>
      <c r="D4711" s="6" t="n">
        <v>38.6</v>
      </c>
      <c r="E4711" s="6" t="n">
        <v>1312053.08</v>
      </c>
      <c r="F4711" s="6">
        <f>ROUND(E4711-E4710,2)</f>
        <v/>
      </c>
      <c r="G4711" s="6">
        <f>ROUND(F4711-D4711,2)</f>
        <v/>
      </c>
    </row>
    <row r="4712">
      <c r="A4712" t="inlineStr">
        <is>
          <t>2022-11-12</t>
        </is>
      </c>
      <c r="B4712" t="n">
        <v>11</v>
      </c>
      <c r="C4712" t="n">
        <v>3098</v>
      </c>
      <c r="D4712" s="6" t="n">
        <v>199.6</v>
      </c>
      <c r="E4712" s="6" t="n">
        <v>1312252.68</v>
      </c>
      <c r="F4712" s="6">
        <f>ROUND(E4712-E4711,2)</f>
        <v/>
      </c>
      <c r="G4712" s="6">
        <f>ROUND(F4712-D4712,2)</f>
        <v/>
      </c>
    </row>
    <row r="4713">
      <c r="A4713" t="inlineStr">
        <is>
          <t>2022-11-12</t>
        </is>
      </c>
      <c r="B4713" t="n">
        <v>12</v>
      </c>
      <c r="C4713" t="n">
        <v>3098</v>
      </c>
      <c r="D4713" s="6" t="n">
        <v>35.7</v>
      </c>
      <c r="E4713" s="6" t="n">
        <v>1312288.38</v>
      </c>
      <c r="F4713" s="6">
        <f>ROUND(E4713-E4712,2)</f>
        <v/>
      </c>
      <c r="G4713" s="6">
        <f>ROUND(F4713-D4713,2)</f>
        <v/>
      </c>
    </row>
    <row r="4714">
      <c r="A4714" t="inlineStr">
        <is>
          <t>2022-11-12</t>
        </is>
      </c>
      <c r="B4714" t="n">
        <v>13</v>
      </c>
      <c r="C4714" t="n">
        <v>3098</v>
      </c>
      <c r="D4714" s="6" t="n">
        <v>25.7</v>
      </c>
      <c r="E4714" s="6" t="n">
        <v>1312314.08</v>
      </c>
      <c r="F4714" s="6">
        <f>ROUND(E4714-E4713,2)</f>
        <v/>
      </c>
      <c r="G4714" s="6">
        <f>ROUND(F4714-D4714,2)</f>
        <v/>
      </c>
    </row>
    <row r="4715">
      <c r="A4715" t="inlineStr">
        <is>
          <t>2022-11-12</t>
        </is>
      </c>
      <c r="B4715" t="n">
        <v>14</v>
      </c>
      <c r="C4715" t="n">
        <v>3098</v>
      </c>
      <c r="D4715" s="6" t="n">
        <v>92</v>
      </c>
      <c r="E4715" s="6" t="n">
        <v>1312406.08</v>
      </c>
      <c r="F4715" s="6">
        <f>ROUND(E4715-E4714,2)</f>
        <v/>
      </c>
      <c r="G4715" s="6">
        <f>ROUND(F4715-D4715,2)</f>
        <v/>
      </c>
    </row>
    <row r="4716">
      <c r="A4716" t="inlineStr">
        <is>
          <t>2022-11-12</t>
        </is>
      </c>
      <c r="B4716" t="n">
        <v>15</v>
      </c>
      <c r="C4716" t="n">
        <v>3098</v>
      </c>
      <c r="D4716" s="6" t="n">
        <v>42.3</v>
      </c>
      <c r="E4716" s="6" t="n">
        <v>1312448.38</v>
      </c>
      <c r="F4716" s="6">
        <f>ROUND(E4716-E4715,2)</f>
        <v/>
      </c>
      <c r="G4716" s="6">
        <f>ROUND(F4716-D4716,2)</f>
        <v/>
      </c>
    </row>
    <row r="4717">
      <c r="A4717" t="inlineStr">
        <is>
          <t>2022-11-12</t>
        </is>
      </c>
      <c r="B4717" t="n">
        <v>16</v>
      </c>
      <c r="C4717" t="n">
        <v>3098</v>
      </c>
      <c r="D4717" s="6" t="n">
        <v>42.3</v>
      </c>
      <c r="E4717" s="6" t="n">
        <v>1312490.68</v>
      </c>
      <c r="F4717" s="6">
        <f>ROUND(E4717-E4716,2)</f>
        <v/>
      </c>
      <c r="G4717" s="6">
        <f>ROUND(F4717-D4717,2)</f>
        <v/>
      </c>
    </row>
    <row r="4718">
      <c r="A4718" t="inlineStr">
        <is>
          <t>2022-11-12</t>
        </is>
      </c>
      <c r="B4718" t="n">
        <v>17</v>
      </c>
      <c r="C4718" t="n">
        <v>3098</v>
      </c>
      <c r="D4718" s="6" t="n">
        <v>24.6</v>
      </c>
      <c r="E4718" s="6" t="n">
        <v>1312515.28</v>
      </c>
      <c r="F4718" s="6">
        <f>ROUND(E4718-E4717,2)</f>
        <v/>
      </c>
      <c r="G4718" s="6">
        <f>ROUND(F4718-D4718,2)</f>
        <v/>
      </c>
    </row>
    <row r="4719">
      <c r="A4719" t="inlineStr">
        <is>
          <t>2022-11-12</t>
        </is>
      </c>
      <c r="B4719" t="n">
        <v>18</v>
      </c>
      <c r="C4719" t="n">
        <v>3098</v>
      </c>
      <c r="D4719" s="6" t="n">
        <v>19.8</v>
      </c>
      <c r="E4719" s="6" t="n">
        <v>1312535.08</v>
      </c>
      <c r="F4719" s="6">
        <f>ROUND(E4719-E4718,2)</f>
        <v/>
      </c>
      <c r="G4719" s="6">
        <f>ROUND(F4719-D4719,2)</f>
        <v/>
      </c>
    </row>
    <row r="4720">
      <c r="A4720" t="inlineStr">
        <is>
          <t>2022-11-12</t>
        </is>
      </c>
      <c r="B4720" t="n">
        <v>19</v>
      </c>
      <c r="C4720" t="n">
        <v>3098</v>
      </c>
      <c r="D4720" s="6" t="n">
        <v>26.9</v>
      </c>
      <c r="E4720" s="6" t="n">
        <v>1312561.98</v>
      </c>
      <c r="F4720" s="6">
        <f>ROUND(E4720-E4719,2)</f>
        <v/>
      </c>
      <c r="G4720" s="6">
        <f>ROUND(F4720-D4720,2)</f>
        <v/>
      </c>
    </row>
    <row r="4721">
      <c r="A4721" t="inlineStr">
        <is>
          <t>2022-11-12</t>
        </is>
      </c>
      <c r="B4721" t="n">
        <v>20</v>
      </c>
      <c r="C4721" t="n">
        <v>3098</v>
      </c>
      <c r="D4721" s="6" t="n">
        <v>26.9</v>
      </c>
      <c r="E4721" s="6" t="n">
        <v>1312588.88</v>
      </c>
      <c r="F4721" s="6">
        <f>ROUND(E4721-E4720,2)</f>
        <v/>
      </c>
      <c r="G4721" s="6">
        <f>ROUND(F4721-D4721,2)</f>
        <v/>
      </c>
    </row>
    <row r="4722">
      <c r="A4722" t="inlineStr">
        <is>
          <t>2022-11-12</t>
        </is>
      </c>
      <c r="B4722" t="n">
        <v>21</v>
      </c>
      <c r="C4722" t="n">
        <v>3098</v>
      </c>
      <c r="D4722" s="6" t="n">
        <v>68</v>
      </c>
      <c r="E4722" s="6" t="n">
        <v>1312656.88</v>
      </c>
      <c r="F4722" s="6">
        <f>ROUND(E4722-E4721,2)</f>
        <v/>
      </c>
      <c r="G4722" s="6">
        <f>ROUND(F4722-D4722,2)</f>
        <v/>
      </c>
    </row>
    <row r="4723">
      <c r="A4723" t="inlineStr">
        <is>
          <t>2022-11-12</t>
        </is>
      </c>
      <c r="B4723" t="n">
        <v>22</v>
      </c>
      <c r="C4723" t="n">
        <v>3098</v>
      </c>
      <c r="D4723" s="6" t="n">
        <v>83.8</v>
      </c>
      <c r="E4723" s="6" t="n">
        <v>1312740.68</v>
      </c>
      <c r="F4723" s="6">
        <f>ROUND(E4723-E4722,2)</f>
        <v/>
      </c>
      <c r="G4723" s="6">
        <f>ROUND(F4723-D4723,2)</f>
        <v/>
      </c>
    </row>
    <row r="4724">
      <c r="A4724" t="inlineStr">
        <is>
          <t>2022-11-12</t>
        </is>
      </c>
      <c r="B4724" t="n">
        <v>23</v>
      </c>
      <c r="C4724" t="n">
        <v>3098</v>
      </c>
      <c r="D4724" s="6" t="n">
        <v>111.1</v>
      </c>
      <c r="E4724" s="6" t="n">
        <v>1312851.78</v>
      </c>
      <c r="F4724" s="6">
        <f>ROUND(E4724-E4723,2)</f>
        <v/>
      </c>
      <c r="G4724" s="6">
        <f>ROUND(F4724-D4724,2)</f>
        <v/>
      </c>
    </row>
    <row r="4725">
      <c r="A4725" t="inlineStr">
        <is>
          <t>2022-11-12</t>
        </is>
      </c>
      <c r="B4725" t="n">
        <v>24</v>
      </c>
      <c r="C4725" t="n">
        <v>3098</v>
      </c>
      <c r="D4725" s="6" t="n">
        <v>139.8</v>
      </c>
      <c r="E4725" s="6" t="n">
        <v>1312991.58</v>
      </c>
      <c r="F4725" s="6">
        <f>ROUND(E4725-E4724,2)</f>
        <v/>
      </c>
      <c r="G4725" s="6">
        <f>ROUND(F4725-D4725,2)</f>
        <v/>
      </c>
    </row>
    <row r="4726">
      <c r="A4726" t="inlineStr">
        <is>
          <t>2022-11-12</t>
        </is>
      </c>
      <c r="B4726" t="n">
        <v>25</v>
      </c>
      <c r="C4726" t="n">
        <v>3098</v>
      </c>
      <c r="D4726" s="6" t="n">
        <v>81.8</v>
      </c>
      <c r="E4726" s="6" t="n">
        <v>1313073.38</v>
      </c>
      <c r="F4726" s="6">
        <f>ROUND(E4726-E4725,2)</f>
        <v/>
      </c>
      <c r="G4726" s="6">
        <f>ROUND(F4726-D4726,2)</f>
        <v/>
      </c>
    </row>
    <row r="4727">
      <c r="A4727" t="inlineStr">
        <is>
          <t>2022-11-12</t>
        </is>
      </c>
      <c r="B4727" t="n">
        <v>26</v>
      </c>
      <c r="C4727" t="n">
        <v>3098</v>
      </c>
      <c r="D4727" s="6" t="n">
        <v>222.9</v>
      </c>
      <c r="E4727" s="6" t="n">
        <v>1313296.28</v>
      </c>
      <c r="F4727" s="6">
        <f>ROUND(E4727-E4726,2)</f>
        <v/>
      </c>
      <c r="G4727" s="6">
        <f>ROUND(F4727-D4727,2)</f>
        <v/>
      </c>
    </row>
    <row r="4728">
      <c r="A4728" t="inlineStr">
        <is>
          <t>2022-11-12</t>
        </is>
      </c>
      <c r="B4728" t="n">
        <v>27</v>
      </c>
      <c r="C4728" t="n">
        <v>3098</v>
      </c>
      <c r="D4728" s="6" t="n">
        <v>15</v>
      </c>
      <c r="E4728" s="6" t="n">
        <v>1313311.28</v>
      </c>
      <c r="F4728" s="6">
        <f>ROUND(E4728-E4727,2)</f>
        <v/>
      </c>
      <c r="G4728" s="6">
        <f>ROUND(F4728-D4728,2)</f>
        <v/>
      </c>
    </row>
    <row r="4729">
      <c r="A4729" t="inlineStr">
        <is>
          <t>2022-11-12</t>
        </is>
      </c>
      <c r="B4729" t="n">
        <v>28</v>
      </c>
      <c r="C4729" t="n">
        <v>3098</v>
      </c>
      <c r="D4729" s="6" t="n">
        <v>107.7</v>
      </c>
      <c r="E4729" s="6" t="n">
        <v>1313418.98</v>
      </c>
      <c r="F4729" s="6">
        <f>ROUND(E4729-E4728,2)</f>
        <v/>
      </c>
      <c r="G4729" s="6">
        <f>ROUND(F4729-D4729,2)</f>
        <v/>
      </c>
    </row>
    <row r="4730">
      <c r="A4730" t="inlineStr">
        <is>
          <t>2022-11-12</t>
        </is>
      </c>
      <c r="B4730" t="n">
        <v>29</v>
      </c>
      <c r="C4730" t="n">
        <v>3098</v>
      </c>
      <c r="D4730" s="6" t="n">
        <v>24.25</v>
      </c>
      <c r="E4730" s="6" t="n">
        <v>1313443.23</v>
      </c>
      <c r="F4730" s="6">
        <f>ROUND(E4730-E4729,2)</f>
        <v/>
      </c>
      <c r="G4730" s="6">
        <f>ROUND(F4730-D4730,2)</f>
        <v/>
      </c>
    </row>
    <row r="4731">
      <c r="A4731" t="inlineStr">
        <is>
          <t>2022-11-12</t>
        </is>
      </c>
      <c r="B4731" t="n">
        <v>30</v>
      </c>
      <c r="C4731" t="n">
        <v>3098</v>
      </c>
      <c r="D4731" s="6" t="n">
        <v>24.25</v>
      </c>
      <c r="E4731" s="6" t="n">
        <v>1313467.48</v>
      </c>
      <c r="F4731" s="6">
        <f>ROUND(E4731-E4730,2)</f>
        <v/>
      </c>
      <c r="G4731" s="6">
        <f>ROUND(F4731-D4731,2)</f>
        <v/>
      </c>
    </row>
    <row r="4732">
      <c r="A4732" t="inlineStr">
        <is>
          <t>2022-11-12</t>
        </is>
      </c>
      <c r="B4732" t="n">
        <v>31</v>
      </c>
      <c r="C4732" t="n">
        <v>3098</v>
      </c>
      <c r="D4732" s="6" t="n">
        <v>34.8</v>
      </c>
      <c r="E4732" s="6" t="n">
        <v>1313502.28</v>
      </c>
      <c r="F4732" s="6">
        <f>ROUND(E4732-E4731,2)</f>
        <v/>
      </c>
      <c r="G4732" s="6">
        <f>ROUND(F4732-D4732,2)</f>
        <v/>
      </c>
    </row>
    <row r="4733">
      <c r="A4733" t="inlineStr">
        <is>
          <t>2022-11-12</t>
        </is>
      </c>
      <c r="B4733" t="n">
        <v>32</v>
      </c>
      <c r="C4733" t="n">
        <v>3098</v>
      </c>
      <c r="D4733" s="6" t="n">
        <v>34.8</v>
      </c>
      <c r="E4733" s="6" t="n">
        <v>1313537.08</v>
      </c>
      <c r="F4733" s="6">
        <f>ROUND(E4733-E4732,2)</f>
        <v/>
      </c>
      <c r="G4733" s="6">
        <f>ROUND(F4733-D4733,2)</f>
        <v/>
      </c>
    </row>
    <row r="4734">
      <c r="A4734" t="inlineStr">
        <is>
          <t>2022-11-12</t>
        </is>
      </c>
      <c r="B4734" t="n">
        <v>33</v>
      </c>
      <c r="C4734" t="n">
        <v>3098</v>
      </c>
      <c r="D4734" s="6" t="n">
        <v>74.59999999999999</v>
      </c>
      <c r="E4734" s="6" t="n">
        <v>1313611.68</v>
      </c>
      <c r="F4734" s="6">
        <f>ROUND(E4734-E4733,2)</f>
        <v/>
      </c>
      <c r="G4734" s="6">
        <f>ROUND(F4734-D4734,2)</f>
        <v/>
      </c>
    </row>
    <row r="4735">
      <c r="A4735" t="inlineStr">
        <is>
          <t>2022-11-13</t>
        </is>
      </c>
      <c r="B4735" t="n">
        <v>1</v>
      </c>
      <c r="C4735" t="n">
        <v>3099</v>
      </c>
      <c r="D4735" s="6" t="n">
        <v>47</v>
      </c>
      <c r="E4735" s="6" t="n">
        <v>1313658.68</v>
      </c>
      <c r="F4735" s="6">
        <f>ROUND(E4735-E4734,2)</f>
        <v/>
      </c>
      <c r="G4735" s="6">
        <f>ROUND(F4735-D4735,2)</f>
        <v/>
      </c>
    </row>
    <row r="4736">
      <c r="A4736" t="inlineStr">
        <is>
          <t>2022-11-13</t>
        </is>
      </c>
      <c r="B4736" t="n">
        <v>2</v>
      </c>
      <c r="C4736" t="n">
        <v>3099</v>
      </c>
      <c r="D4736" s="6" t="n">
        <v>37.6</v>
      </c>
      <c r="E4736" s="6" t="n">
        <v>1313696.28</v>
      </c>
      <c r="F4736" s="6">
        <f>ROUND(E4736-E4735,2)</f>
        <v/>
      </c>
      <c r="G4736" s="6">
        <f>ROUND(F4736-D4736,2)</f>
        <v/>
      </c>
    </row>
    <row r="4737">
      <c r="A4737" t="inlineStr">
        <is>
          <t>2022-11-13</t>
        </is>
      </c>
      <c r="B4737" t="n">
        <v>3</v>
      </c>
      <c r="C4737" t="n">
        <v>3099</v>
      </c>
      <c r="D4737" s="6" t="n">
        <v>65.8</v>
      </c>
      <c r="E4737" s="6" t="n">
        <v>1313762.08</v>
      </c>
      <c r="F4737" s="6">
        <f>ROUND(E4737-E4736,2)</f>
        <v/>
      </c>
      <c r="G4737" s="6">
        <f>ROUND(F4737-D4737,2)</f>
        <v/>
      </c>
    </row>
    <row r="4738">
      <c r="A4738" t="inlineStr">
        <is>
          <t>2022-11-13</t>
        </is>
      </c>
      <c r="B4738" t="n">
        <v>4</v>
      </c>
      <c r="C4738" t="n">
        <v>3099</v>
      </c>
      <c r="D4738" s="6" t="n">
        <v>118.4</v>
      </c>
      <c r="E4738" s="6" t="n">
        <v>1313880.48</v>
      </c>
      <c r="F4738" s="6">
        <f>ROUND(E4738-E4737,2)</f>
        <v/>
      </c>
      <c r="G4738" s="6">
        <f>ROUND(F4738-D4738,2)</f>
        <v/>
      </c>
    </row>
    <row r="4739">
      <c r="A4739" t="inlineStr">
        <is>
          <t>2022-11-13</t>
        </is>
      </c>
      <c r="B4739" t="n">
        <v>5</v>
      </c>
      <c r="C4739" t="n">
        <v>3099</v>
      </c>
      <c r="D4739" s="6" t="n">
        <v>90.59999999999999</v>
      </c>
      <c r="E4739" s="6" t="n">
        <v>1313971.08</v>
      </c>
      <c r="F4739" s="6">
        <f>ROUND(E4739-E4738,2)</f>
        <v/>
      </c>
      <c r="G4739" s="6">
        <f>ROUND(F4739-D4739,2)</f>
        <v/>
      </c>
    </row>
    <row r="4740">
      <c r="A4740" t="inlineStr">
        <is>
          <t>2022-11-13</t>
        </is>
      </c>
      <c r="B4740" t="n">
        <v>6</v>
      </c>
      <c r="C4740" t="n">
        <v>3099</v>
      </c>
      <c r="D4740" s="6" t="n">
        <v>85.2</v>
      </c>
      <c r="E4740" s="6" t="n">
        <v>1314056.28</v>
      </c>
      <c r="F4740" s="6">
        <f>ROUND(E4740-E4739,2)</f>
        <v/>
      </c>
      <c r="G4740" s="6">
        <f>ROUND(F4740-D4740,2)</f>
        <v/>
      </c>
    </row>
    <row r="4741">
      <c r="A4741" t="inlineStr">
        <is>
          <t>2022-11-13</t>
        </is>
      </c>
      <c r="B4741" t="n">
        <v>7</v>
      </c>
      <c r="C4741" t="n">
        <v>3099</v>
      </c>
      <c r="D4741" s="6" t="n">
        <v>106.1</v>
      </c>
      <c r="E4741" s="6" t="n">
        <v>1314162.38</v>
      </c>
      <c r="F4741" s="6">
        <f>ROUND(E4741-E4740,2)</f>
        <v/>
      </c>
      <c r="G4741" s="6">
        <f>ROUND(F4741-D4741,2)</f>
        <v/>
      </c>
    </row>
    <row r="4742">
      <c r="A4742" t="inlineStr">
        <is>
          <t>2022-11-13</t>
        </is>
      </c>
      <c r="B4742" t="n">
        <v>8</v>
      </c>
      <c r="C4742" t="n">
        <v>3099</v>
      </c>
      <c r="D4742" s="6" t="n">
        <v>55.2</v>
      </c>
      <c r="E4742" s="6" t="n">
        <v>1314217.58</v>
      </c>
      <c r="F4742" s="6">
        <f>ROUND(E4742-E4741,2)</f>
        <v/>
      </c>
      <c r="G4742" s="6">
        <f>ROUND(F4742-D4742,2)</f>
        <v/>
      </c>
    </row>
    <row r="4743">
      <c r="A4743" t="inlineStr">
        <is>
          <t>2022-11-13</t>
        </is>
      </c>
      <c r="B4743" t="n">
        <v>9</v>
      </c>
      <c r="C4743" t="n">
        <v>3099</v>
      </c>
      <c r="D4743" s="6" t="n">
        <v>96.8</v>
      </c>
      <c r="E4743" s="6" t="n">
        <v>1314314.38</v>
      </c>
      <c r="F4743" s="6">
        <f>ROUND(E4743-E4742,2)</f>
        <v/>
      </c>
      <c r="G4743" s="6">
        <f>ROUND(F4743-D4743,2)</f>
        <v/>
      </c>
    </row>
    <row r="4744">
      <c r="A4744" t="inlineStr">
        <is>
          <t>2022-11-13</t>
        </is>
      </c>
      <c r="B4744" t="n">
        <v>10</v>
      </c>
      <c r="C4744" t="n">
        <v>3099</v>
      </c>
      <c r="D4744" s="6" t="n">
        <v>58.45</v>
      </c>
      <c r="E4744" s="6" t="n">
        <v>1314372.83</v>
      </c>
      <c r="F4744" s="6">
        <f>ROUND(E4744-E4743,2)</f>
        <v/>
      </c>
      <c r="G4744" s="6">
        <f>ROUND(F4744-D4744,2)</f>
        <v/>
      </c>
    </row>
    <row r="4745">
      <c r="A4745" t="inlineStr">
        <is>
          <t>2022-11-13</t>
        </is>
      </c>
      <c r="B4745" t="n">
        <v>11</v>
      </c>
      <c r="C4745" t="n">
        <v>3099</v>
      </c>
      <c r="D4745" s="6" t="n">
        <v>58.45</v>
      </c>
      <c r="E4745" s="6" t="n">
        <v>1314431.28</v>
      </c>
      <c r="F4745" s="6">
        <f>ROUND(E4745-E4744,2)</f>
        <v/>
      </c>
      <c r="G4745" s="6">
        <f>ROUND(F4745-D4745,2)</f>
        <v/>
      </c>
    </row>
    <row r="4746">
      <c r="A4746" t="inlineStr">
        <is>
          <t>2022-11-13</t>
        </is>
      </c>
      <c r="B4746" t="n">
        <v>12</v>
      </c>
      <c r="C4746" t="n">
        <v>3099</v>
      </c>
      <c r="D4746" s="6" t="n">
        <v>75.8</v>
      </c>
      <c r="E4746" s="6" t="n">
        <v>1314507.08</v>
      </c>
      <c r="F4746" s="6">
        <f>ROUND(E4746-E4745,2)</f>
        <v/>
      </c>
      <c r="G4746" s="6">
        <f>ROUND(F4746-D4746,2)</f>
        <v/>
      </c>
    </row>
    <row r="4747">
      <c r="A4747" t="inlineStr">
        <is>
          <t>2022-11-13</t>
        </is>
      </c>
      <c r="B4747" t="n">
        <v>13</v>
      </c>
      <c r="C4747" t="n">
        <v>3099</v>
      </c>
      <c r="D4747" s="6" t="n">
        <v>57.8</v>
      </c>
      <c r="E4747" s="6" t="n">
        <v>1314564.88</v>
      </c>
      <c r="F4747" s="6">
        <f>ROUND(E4747-E4746,2)</f>
        <v/>
      </c>
      <c r="G4747" s="6">
        <f>ROUND(F4747-D4747,2)</f>
        <v/>
      </c>
    </row>
    <row r="4748">
      <c r="A4748" t="inlineStr">
        <is>
          <t>2022-11-13</t>
        </is>
      </c>
      <c r="B4748" t="n">
        <v>14</v>
      </c>
      <c r="C4748" t="n">
        <v>3099</v>
      </c>
      <c r="D4748" s="6" t="n">
        <v>20.7</v>
      </c>
      <c r="E4748" s="6" t="n">
        <v>1314585.58</v>
      </c>
      <c r="F4748" s="6">
        <f>ROUND(E4748-E4747,2)</f>
        <v/>
      </c>
      <c r="G4748" s="6">
        <f>ROUND(F4748-D4748,2)</f>
        <v/>
      </c>
    </row>
    <row r="4749">
      <c r="A4749" t="inlineStr">
        <is>
          <t>2022-11-13</t>
        </is>
      </c>
      <c r="B4749" t="n">
        <v>15</v>
      </c>
      <c r="C4749" t="n">
        <v>3099</v>
      </c>
      <c r="D4749" s="6" t="n">
        <v>78.7</v>
      </c>
      <c r="E4749" s="6" t="n">
        <v>1314664.28</v>
      </c>
      <c r="F4749" s="6">
        <f>ROUND(E4749-E4748,2)</f>
        <v/>
      </c>
      <c r="G4749" s="6">
        <f>ROUND(F4749-D4749,2)</f>
        <v/>
      </c>
    </row>
    <row r="4750">
      <c r="A4750" t="inlineStr">
        <is>
          <t>2022-11-13</t>
        </is>
      </c>
      <c r="B4750" t="n">
        <v>16</v>
      </c>
      <c r="C4750" t="n">
        <v>3099</v>
      </c>
      <c r="D4750" s="6" t="n">
        <v>140.7</v>
      </c>
      <c r="E4750" s="6" t="n">
        <v>1314804.98</v>
      </c>
      <c r="F4750" s="6">
        <f>ROUND(E4750-E4749,2)</f>
        <v/>
      </c>
      <c r="G4750" s="6">
        <f>ROUND(F4750-D4750,2)</f>
        <v/>
      </c>
    </row>
    <row r="4751">
      <c r="A4751" t="inlineStr">
        <is>
          <t>2022-11-13</t>
        </is>
      </c>
      <c r="B4751" t="n">
        <v>17</v>
      </c>
      <c r="C4751" t="n">
        <v>3099</v>
      </c>
      <c r="D4751" s="6" t="n">
        <v>70.59999999999999</v>
      </c>
      <c r="E4751" s="6" t="n">
        <v>1314875.58</v>
      </c>
      <c r="F4751" s="6">
        <f>ROUND(E4751-E4750,2)</f>
        <v/>
      </c>
      <c r="G4751" s="6">
        <f>ROUND(F4751-D4751,2)</f>
        <v/>
      </c>
    </row>
    <row r="4752">
      <c r="A4752" t="inlineStr">
        <is>
          <t>2022-11-16</t>
        </is>
      </c>
      <c r="B4752" t="n">
        <v>1</v>
      </c>
      <c r="C4752" t="n">
        <v>3100</v>
      </c>
      <c r="D4752" s="6" t="n">
        <v>76.5</v>
      </c>
      <c r="E4752" s="6" t="n">
        <v>1314952.08</v>
      </c>
      <c r="F4752" s="6">
        <f>ROUND(E4752-E4751,2)</f>
        <v/>
      </c>
      <c r="G4752" s="6">
        <f>ROUND(F4752-D4752,2)</f>
        <v/>
      </c>
    </row>
    <row r="4753">
      <c r="A4753" t="inlineStr">
        <is>
          <t>2022-11-16</t>
        </is>
      </c>
      <c r="B4753" t="n">
        <v>2</v>
      </c>
      <c r="C4753" t="n">
        <v>3100</v>
      </c>
      <c r="D4753" s="6" t="n">
        <v>40.8</v>
      </c>
      <c r="E4753" s="6" t="n">
        <v>1314992.88</v>
      </c>
      <c r="F4753" s="6">
        <f>ROUND(E4753-E4752,2)</f>
        <v/>
      </c>
      <c r="G4753" s="6">
        <f>ROUND(F4753-D4753,2)</f>
        <v/>
      </c>
    </row>
    <row r="4754">
      <c r="A4754" t="inlineStr">
        <is>
          <t>2022-11-16</t>
        </is>
      </c>
      <c r="B4754" t="n">
        <v>3</v>
      </c>
      <c r="C4754" t="n">
        <v>3100</v>
      </c>
      <c r="D4754" s="6" t="n">
        <v>126.2</v>
      </c>
      <c r="E4754" s="6" t="n">
        <v>1315119.08</v>
      </c>
      <c r="F4754" s="6">
        <f>ROUND(E4754-E4753,2)</f>
        <v/>
      </c>
      <c r="G4754" s="6">
        <f>ROUND(F4754-D4754,2)</f>
        <v/>
      </c>
    </row>
    <row r="4755">
      <c r="A4755" t="inlineStr">
        <is>
          <t>2022-11-16</t>
        </is>
      </c>
      <c r="B4755" t="n">
        <v>4</v>
      </c>
      <c r="C4755" t="n">
        <v>3100</v>
      </c>
      <c r="D4755" s="6" t="n">
        <v>76.90000000000001</v>
      </c>
      <c r="E4755" s="6" t="n">
        <v>1315195.98</v>
      </c>
      <c r="F4755" s="6">
        <f>ROUND(E4755-E4754,2)</f>
        <v/>
      </c>
      <c r="G4755" s="6">
        <f>ROUND(F4755-D4755,2)</f>
        <v/>
      </c>
    </row>
    <row r="4756">
      <c r="A4756" t="inlineStr">
        <is>
          <t>2022-11-16</t>
        </is>
      </c>
      <c r="B4756" t="n">
        <v>5</v>
      </c>
      <c r="C4756" t="n">
        <v>3100</v>
      </c>
      <c r="D4756" s="6" t="n">
        <v>48.4</v>
      </c>
      <c r="E4756" s="6" t="n">
        <v>1315244.38</v>
      </c>
      <c r="F4756" s="6">
        <f>ROUND(E4756-E4755,2)</f>
        <v/>
      </c>
      <c r="G4756" s="6">
        <f>ROUND(F4756-D4756,2)</f>
        <v/>
      </c>
    </row>
    <row r="4757">
      <c r="A4757" t="inlineStr">
        <is>
          <t>2022-11-16</t>
        </is>
      </c>
      <c r="B4757" t="n">
        <v>6</v>
      </c>
      <c r="C4757" t="n">
        <v>3100</v>
      </c>
      <c r="D4757" s="6" t="n">
        <v>25.2</v>
      </c>
      <c r="E4757" s="6" t="n">
        <v>1315269.58</v>
      </c>
      <c r="F4757" s="6">
        <f>ROUND(E4757-E4756,2)</f>
        <v/>
      </c>
      <c r="G4757" s="6">
        <f>ROUND(F4757-D4757,2)</f>
        <v/>
      </c>
    </row>
    <row r="4758">
      <c r="A4758" t="inlineStr">
        <is>
          <t>2022-11-16</t>
        </is>
      </c>
      <c r="B4758" t="n">
        <v>7</v>
      </c>
      <c r="C4758" t="n">
        <v>3100</v>
      </c>
      <c r="D4758" s="6" t="n">
        <v>59.8</v>
      </c>
      <c r="E4758" s="6" t="n">
        <v>1315329.38</v>
      </c>
      <c r="F4758" s="6">
        <f>ROUND(E4758-E4757,2)</f>
        <v/>
      </c>
      <c r="G4758" s="6">
        <f>ROUND(F4758-D4758,2)</f>
        <v/>
      </c>
    </row>
    <row r="4759">
      <c r="A4759" t="inlineStr">
        <is>
          <t>2022-11-16</t>
        </is>
      </c>
      <c r="B4759" t="n">
        <v>8</v>
      </c>
      <c r="C4759" t="n">
        <v>3100</v>
      </c>
      <c r="D4759" s="6" t="n">
        <v>61.5</v>
      </c>
      <c r="E4759" s="6" t="n">
        <v>1315390.88</v>
      </c>
      <c r="F4759" s="6">
        <f>ROUND(E4759-E4758,2)</f>
        <v/>
      </c>
      <c r="G4759" s="6">
        <f>ROUND(F4759-D4759,2)</f>
        <v/>
      </c>
    </row>
    <row r="4760">
      <c r="A4760" t="inlineStr">
        <is>
          <t>2022-11-16</t>
        </is>
      </c>
      <c r="B4760" t="n">
        <v>9</v>
      </c>
      <c r="C4760" t="n">
        <v>3100</v>
      </c>
      <c r="D4760" s="6" t="n">
        <v>44.2</v>
      </c>
      <c r="E4760" s="6" t="n">
        <v>1315435.08</v>
      </c>
      <c r="F4760" s="6">
        <f>ROUND(E4760-E4759,2)</f>
        <v/>
      </c>
      <c r="G4760" s="6">
        <f>ROUND(F4760-D4760,2)</f>
        <v/>
      </c>
    </row>
    <row r="4761">
      <c r="A4761" t="inlineStr">
        <is>
          <t>2022-11-16</t>
        </is>
      </c>
      <c r="B4761" t="n">
        <v>10</v>
      </c>
      <c r="C4761" t="n">
        <v>3100</v>
      </c>
      <c r="D4761" s="6" t="n">
        <v>90.3</v>
      </c>
      <c r="E4761" s="6" t="n">
        <v>1315525.38</v>
      </c>
      <c r="F4761" s="6">
        <f>ROUND(E4761-E4760,2)</f>
        <v/>
      </c>
      <c r="G4761" s="6">
        <f>ROUND(F4761-D4761,2)</f>
        <v/>
      </c>
    </row>
    <row r="4762">
      <c r="A4762" t="inlineStr">
        <is>
          <t>2022-11-16</t>
        </is>
      </c>
      <c r="B4762" t="n">
        <v>11</v>
      </c>
      <c r="C4762" t="n">
        <v>3100</v>
      </c>
      <c r="D4762" s="6" t="n">
        <v>90.3</v>
      </c>
      <c r="E4762" s="6" t="n">
        <v>1315615.68</v>
      </c>
      <c r="F4762" s="6">
        <f>ROUND(E4762-E4761,2)</f>
        <v/>
      </c>
      <c r="G4762" s="6">
        <f>ROUND(F4762-D4762,2)</f>
        <v/>
      </c>
    </row>
    <row r="4763">
      <c r="A4763" t="inlineStr">
        <is>
          <t>2022-11-16</t>
        </is>
      </c>
      <c r="B4763" t="n">
        <v>12</v>
      </c>
      <c r="C4763" t="n">
        <v>3100</v>
      </c>
      <c r="D4763" s="6" t="n">
        <v>24.7</v>
      </c>
      <c r="E4763" s="6" t="n">
        <v>1315640.38</v>
      </c>
      <c r="F4763" s="6">
        <f>ROUND(E4763-E4762,2)</f>
        <v/>
      </c>
      <c r="G4763" s="6">
        <f>ROUND(F4763-D4763,2)</f>
        <v/>
      </c>
    </row>
    <row r="4764">
      <c r="A4764" t="inlineStr">
        <is>
          <t>2022-11-16</t>
        </is>
      </c>
      <c r="B4764" t="n">
        <v>13</v>
      </c>
      <c r="C4764" t="n">
        <v>3100</v>
      </c>
      <c r="D4764" s="6" t="n">
        <v>9.9</v>
      </c>
      <c r="E4764" s="6" t="n">
        <v>1315650.28</v>
      </c>
      <c r="F4764" s="6">
        <f>ROUND(E4764-E4763,2)</f>
        <v/>
      </c>
      <c r="G4764" s="6">
        <f>ROUND(F4764-D4764,2)</f>
        <v/>
      </c>
    </row>
    <row r="4765">
      <c r="A4765" t="inlineStr">
        <is>
          <t>2022-11-16</t>
        </is>
      </c>
      <c r="B4765" t="n">
        <v>14</v>
      </c>
      <c r="C4765" t="n">
        <v>3100</v>
      </c>
      <c r="D4765" s="6" t="n">
        <v>34</v>
      </c>
      <c r="E4765" s="6" t="n">
        <v>1315684.28</v>
      </c>
      <c r="F4765" s="6">
        <f>ROUND(E4765-E4764,2)</f>
        <v/>
      </c>
      <c r="G4765" s="6">
        <f>ROUND(F4765-D4765,2)</f>
        <v/>
      </c>
    </row>
    <row r="4766">
      <c r="A4766" t="inlineStr">
        <is>
          <t>2022-11-16</t>
        </is>
      </c>
      <c r="B4766" t="n">
        <v>15</v>
      </c>
      <c r="C4766" t="n">
        <v>3100</v>
      </c>
      <c r="D4766" s="6" t="n">
        <v>85</v>
      </c>
      <c r="E4766" s="6" t="n">
        <v>1315769.28</v>
      </c>
      <c r="F4766" s="6">
        <f>ROUND(E4766-E4765,2)</f>
        <v/>
      </c>
      <c r="G4766" s="6">
        <f>ROUND(F4766-D4766,2)</f>
        <v/>
      </c>
    </row>
    <row r="4767">
      <c r="A4767" t="inlineStr">
        <is>
          <t>2022-11-16</t>
        </is>
      </c>
      <c r="B4767" t="n">
        <v>16</v>
      </c>
      <c r="C4767" t="n">
        <v>3100</v>
      </c>
      <c r="D4767" s="6" t="n">
        <v>62.5</v>
      </c>
      <c r="E4767" s="6" t="n">
        <v>1315831.78</v>
      </c>
      <c r="F4767" s="6">
        <f>ROUND(E4767-E4766,2)</f>
        <v/>
      </c>
      <c r="G4767" s="6">
        <f>ROUND(F4767-D4767,2)</f>
        <v/>
      </c>
    </row>
    <row r="4768">
      <c r="A4768" t="inlineStr">
        <is>
          <t>2022-11-16</t>
        </is>
      </c>
      <c r="B4768" t="n">
        <v>17</v>
      </c>
      <c r="C4768" t="n">
        <v>3100</v>
      </c>
      <c r="D4768" s="6" t="n">
        <v>31.05</v>
      </c>
      <c r="E4768" s="6" t="n">
        <v>1315862.83</v>
      </c>
      <c r="F4768" s="6">
        <f>ROUND(E4768-E4767,2)</f>
        <v/>
      </c>
      <c r="G4768" s="6">
        <f>ROUND(F4768-D4768,2)</f>
        <v/>
      </c>
    </row>
    <row r="4769">
      <c r="A4769" t="inlineStr">
        <is>
          <t>2022-11-16</t>
        </is>
      </c>
      <c r="B4769" t="n">
        <v>18</v>
      </c>
      <c r="C4769" t="n">
        <v>3100</v>
      </c>
      <c r="D4769" s="6" t="n">
        <v>31.05</v>
      </c>
      <c r="E4769" s="6" t="n">
        <v>1315893.88</v>
      </c>
      <c r="F4769" s="6">
        <f>ROUND(E4769-E4768,2)</f>
        <v/>
      </c>
      <c r="G4769" s="6">
        <f>ROUND(F4769-D4769,2)</f>
        <v/>
      </c>
    </row>
    <row r="4770">
      <c r="A4770" t="inlineStr">
        <is>
          <t>2022-11-16</t>
        </is>
      </c>
      <c r="B4770" t="n">
        <v>19</v>
      </c>
      <c r="C4770" t="n">
        <v>3100</v>
      </c>
      <c r="D4770" s="6" t="n">
        <v>28.4</v>
      </c>
      <c r="E4770" s="6" t="n">
        <v>1315922.28</v>
      </c>
      <c r="F4770" s="6">
        <f>ROUND(E4770-E4769,2)</f>
        <v/>
      </c>
      <c r="G4770" s="6">
        <f>ROUND(F4770-D4770,2)</f>
        <v/>
      </c>
    </row>
    <row r="4771">
      <c r="A4771" t="inlineStr">
        <is>
          <t>2022-11-16</t>
        </is>
      </c>
      <c r="B4771" t="n">
        <v>20</v>
      </c>
      <c r="C4771" t="n">
        <v>3100</v>
      </c>
      <c r="D4771" s="6" t="n">
        <v>154.3</v>
      </c>
      <c r="E4771" s="6" t="n">
        <v>1316076.58</v>
      </c>
      <c r="F4771" s="6">
        <f>ROUND(E4771-E4770,2)</f>
        <v/>
      </c>
      <c r="G4771" s="6">
        <f>ROUND(F4771-D4771,2)</f>
        <v/>
      </c>
    </row>
    <row r="4772">
      <c r="A4772" t="inlineStr">
        <is>
          <t>2022-11-17</t>
        </is>
      </c>
      <c r="B4772" t="n">
        <v>1</v>
      </c>
      <c r="C4772" t="n">
        <v>3101</v>
      </c>
      <c r="D4772" s="6" t="n">
        <v>80.09999999999999</v>
      </c>
      <c r="E4772" s="6" t="n">
        <v>1316156.68</v>
      </c>
      <c r="F4772" s="6">
        <f>ROUND(E4772-E4771,2)</f>
        <v/>
      </c>
      <c r="G4772" s="6">
        <f>ROUND(F4772-D4772,2)</f>
        <v/>
      </c>
    </row>
    <row r="4773">
      <c r="A4773" t="inlineStr">
        <is>
          <t>2022-11-17</t>
        </is>
      </c>
      <c r="B4773" t="n">
        <v>2</v>
      </c>
      <c r="C4773" t="n">
        <v>3101</v>
      </c>
      <c r="D4773" s="6" t="n">
        <v>165</v>
      </c>
      <c r="E4773" s="6" t="n">
        <v>1316321.68</v>
      </c>
      <c r="F4773" s="6">
        <f>ROUND(E4773-E4772,2)</f>
        <v/>
      </c>
      <c r="G4773" s="6">
        <f>ROUND(F4773-D4773,2)</f>
        <v/>
      </c>
    </row>
    <row r="4774">
      <c r="A4774" t="inlineStr">
        <is>
          <t>2022-11-17</t>
        </is>
      </c>
      <c r="B4774" t="n">
        <v>3</v>
      </c>
      <c r="C4774" t="n">
        <v>3101</v>
      </c>
      <c r="D4774" s="6" t="n">
        <v>25</v>
      </c>
      <c r="E4774" s="6" t="n">
        <v>1316346.68</v>
      </c>
      <c r="F4774" s="6">
        <f>ROUND(E4774-E4773,2)</f>
        <v/>
      </c>
      <c r="G4774" s="6">
        <f>ROUND(F4774-D4774,2)</f>
        <v/>
      </c>
    </row>
    <row r="4775">
      <c r="A4775" t="inlineStr">
        <is>
          <t>2022-11-17</t>
        </is>
      </c>
      <c r="B4775" t="n">
        <v>4</v>
      </c>
      <c r="C4775" t="n">
        <v>3101</v>
      </c>
      <c r="D4775" s="6" t="n">
        <v>161.8</v>
      </c>
      <c r="E4775" s="6" t="n">
        <v>1316508.48</v>
      </c>
      <c r="F4775" s="6">
        <f>ROUND(E4775-E4774,2)</f>
        <v/>
      </c>
      <c r="G4775" s="6">
        <f>ROUND(F4775-D4775,2)</f>
        <v/>
      </c>
    </row>
    <row r="4776">
      <c r="A4776" t="inlineStr">
        <is>
          <t>2022-11-17</t>
        </is>
      </c>
      <c r="B4776" t="n">
        <v>5</v>
      </c>
      <c r="C4776" t="n">
        <v>3101</v>
      </c>
      <c r="D4776" s="6" t="n">
        <v>67.5</v>
      </c>
      <c r="E4776" s="6" t="n">
        <v>1316575.98</v>
      </c>
      <c r="F4776" s="6">
        <f>ROUND(E4776-E4775,2)</f>
        <v/>
      </c>
      <c r="G4776" s="6">
        <f>ROUND(F4776-D4776,2)</f>
        <v/>
      </c>
    </row>
    <row r="4777">
      <c r="A4777" t="inlineStr">
        <is>
          <t>2022-11-17</t>
        </is>
      </c>
      <c r="B4777" t="n">
        <v>6</v>
      </c>
      <c r="C4777" t="n">
        <v>3101</v>
      </c>
      <c r="D4777" s="6" t="n">
        <v>72.59999999999999</v>
      </c>
      <c r="E4777" s="6" t="n">
        <v>1316648.58</v>
      </c>
      <c r="F4777" s="6">
        <f>ROUND(E4777-E4776,2)</f>
        <v/>
      </c>
      <c r="G4777" s="6">
        <f>ROUND(F4777-D4777,2)</f>
        <v/>
      </c>
    </row>
    <row r="4778">
      <c r="A4778" t="inlineStr">
        <is>
          <t>2022-11-17</t>
        </is>
      </c>
      <c r="B4778" t="n">
        <v>7</v>
      </c>
      <c r="C4778" t="n">
        <v>3101</v>
      </c>
      <c r="D4778" s="6" t="n">
        <v>87</v>
      </c>
      <c r="E4778" s="6" t="n">
        <v>1316735.58</v>
      </c>
      <c r="F4778" s="6">
        <f>ROUND(E4778-E4777,2)</f>
        <v/>
      </c>
      <c r="G4778" s="6">
        <f>ROUND(F4778-D4778,2)</f>
        <v/>
      </c>
    </row>
    <row r="4779">
      <c r="A4779" t="inlineStr">
        <is>
          <t>2022-11-17</t>
        </is>
      </c>
      <c r="B4779" t="n">
        <v>8</v>
      </c>
      <c r="C4779" t="n">
        <v>3101</v>
      </c>
      <c r="D4779" s="6" t="n">
        <v>31.6</v>
      </c>
      <c r="E4779" s="6" t="n">
        <v>1316767.18</v>
      </c>
      <c r="F4779" s="6">
        <f>ROUND(E4779-E4778,2)</f>
        <v/>
      </c>
      <c r="G4779" s="6">
        <f>ROUND(F4779-D4779,2)</f>
        <v/>
      </c>
    </row>
    <row r="4780">
      <c r="A4780" t="inlineStr">
        <is>
          <t>2022-11-17</t>
        </is>
      </c>
      <c r="B4780" t="n">
        <v>9</v>
      </c>
      <c r="C4780" t="n">
        <v>3101</v>
      </c>
      <c r="D4780" s="6" t="n">
        <v>71.59999999999999</v>
      </c>
      <c r="E4780" s="6" t="n">
        <v>1316838.78</v>
      </c>
      <c r="F4780" s="6">
        <f>ROUND(E4780-E4779,2)</f>
        <v/>
      </c>
      <c r="G4780" s="6">
        <f>ROUND(F4780-D4780,2)</f>
        <v/>
      </c>
    </row>
    <row r="4781">
      <c r="A4781" t="inlineStr">
        <is>
          <t>2022-11-17</t>
        </is>
      </c>
      <c r="B4781" t="n">
        <v>10</v>
      </c>
      <c r="C4781" t="n">
        <v>3101</v>
      </c>
      <c r="D4781" s="6" t="n">
        <v>133.8</v>
      </c>
      <c r="E4781" s="6" t="n">
        <v>1316972.58</v>
      </c>
      <c r="F4781" s="6">
        <f>ROUND(E4781-E4780,2)</f>
        <v/>
      </c>
      <c r="G4781" s="6">
        <f>ROUND(F4781-D4781,2)</f>
        <v/>
      </c>
    </row>
    <row r="4782">
      <c r="A4782" t="inlineStr">
        <is>
          <t>2022-11-17</t>
        </is>
      </c>
      <c r="B4782" t="n">
        <v>11</v>
      </c>
      <c r="C4782" t="n">
        <v>3101</v>
      </c>
      <c r="D4782" s="6" t="n">
        <v>39.25</v>
      </c>
      <c r="E4782" s="6" t="n">
        <v>1317011.83</v>
      </c>
      <c r="F4782" s="6">
        <f>ROUND(E4782-E4781,2)</f>
        <v/>
      </c>
      <c r="G4782" s="6">
        <f>ROUND(F4782-D4782,2)</f>
        <v/>
      </c>
    </row>
    <row r="4783">
      <c r="A4783" t="inlineStr">
        <is>
          <t>2022-11-17</t>
        </is>
      </c>
      <c r="B4783" t="n">
        <v>12</v>
      </c>
      <c r="C4783" t="n">
        <v>3101</v>
      </c>
      <c r="D4783" s="6" t="n">
        <v>39.25</v>
      </c>
      <c r="E4783" s="6" t="n">
        <v>1317051.08</v>
      </c>
      <c r="F4783" s="6">
        <f>ROUND(E4783-E4782,2)</f>
        <v/>
      </c>
      <c r="G4783" s="6">
        <f>ROUND(F4783-D4783,2)</f>
        <v/>
      </c>
    </row>
    <row r="4784">
      <c r="A4784" t="inlineStr">
        <is>
          <t>2022-11-18</t>
        </is>
      </c>
      <c r="B4784" t="n">
        <v>1</v>
      </c>
      <c r="C4784" t="n">
        <v>3102</v>
      </c>
      <c r="D4784" s="6" t="n">
        <v>81.59999999999999</v>
      </c>
      <c r="E4784" s="6" t="n">
        <v>1317132.68</v>
      </c>
      <c r="F4784" s="6">
        <f>ROUND(E4784-E4783,2)</f>
        <v/>
      </c>
      <c r="G4784" s="6">
        <f>ROUND(F4784-D4784,2)</f>
        <v/>
      </c>
    </row>
    <row r="4785">
      <c r="A4785" t="inlineStr">
        <is>
          <t>2022-11-18</t>
        </is>
      </c>
      <c r="B4785" t="n">
        <v>2</v>
      </c>
      <c r="C4785" t="n">
        <v>3102</v>
      </c>
      <c r="D4785" s="6" t="n">
        <v>47.7</v>
      </c>
      <c r="E4785" s="6" t="n">
        <v>1317180.38</v>
      </c>
      <c r="F4785" s="6">
        <f>ROUND(E4785-E4784,2)</f>
        <v/>
      </c>
      <c r="G4785" s="6">
        <f>ROUND(F4785-D4785,2)</f>
        <v/>
      </c>
    </row>
    <row r="4786">
      <c r="A4786" t="inlineStr">
        <is>
          <t>2022-11-18</t>
        </is>
      </c>
      <c r="B4786" t="n">
        <v>3</v>
      </c>
      <c r="C4786" t="n">
        <v>3102</v>
      </c>
      <c r="D4786" s="6" t="n">
        <v>47.7</v>
      </c>
      <c r="E4786" s="6" t="n">
        <v>1317228.08</v>
      </c>
      <c r="F4786" s="6">
        <f>ROUND(E4786-E4785,2)</f>
        <v/>
      </c>
      <c r="G4786" s="6">
        <f>ROUND(F4786-D4786,2)</f>
        <v/>
      </c>
    </row>
    <row r="4787">
      <c r="A4787" t="inlineStr">
        <is>
          <t>2022-11-18</t>
        </is>
      </c>
      <c r="B4787" t="n">
        <v>4</v>
      </c>
      <c r="C4787" t="n">
        <v>3102</v>
      </c>
      <c r="D4787" s="6" t="n">
        <v>40.9</v>
      </c>
      <c r="E4787" s="6" t="n">
        <v>1317268.98</v>
      </c>
      <c r="F4787" s="6">
        <f>ROUND(E4787-E4786,2)</f>
        <v/>
      </c>
      <c r="G4787" s="6">
        <f>ROUND(F4787-D4787,2)</f>
        <v/>
      </c>
    </row>
    <row r="4788">
      <c r="A4788" t="inlineStr">
        <is>
          <t>2022-11-18</t>
        </is>
      </c>
      <c r="B4788" t="n">
        <v>5</v>
      </c>
      <c r="C4788" t="n">
        <v>3102</v>
      </c>
      <c r="D4788" s="6" t="n">
        <v>66.40000000000001</v>
      </c>
      <c r="E4788" s="6" t="n">
        <v>1317335.38</v>
      </c>
      <c r="F4788" s="6">
        <f>ROUND(E4788-E4787,2)</f>
        <v/>
      </c>
      <c r="G4788" s="6">
        <f>ROUND(F4788-D4788,2)</f>
        <v/>
      </c>
    </row>
    <row r="4789">
      <c r="A4789" t="inlineStr">
        <is>
          <t>2022-11-18</t>
        </is>
      </c>
      <c r="B4789" t="n">
        <v>6</v>
      </c>
      <c r="C4789" t="n">
        <v>3102</v>
      </c>
      <c r="D4789" s="6" t="n">
        <v>29.4</v>
      </c>
      <c r="E4789" s="6" t="n">
        <v>1317364.78</v>
      </c>
      <c r="F4789" s="6">
        <f>ROUND(E4789-E4788,2)</f>
        <v/>
      </c>
      <c r="G4789" s="6">
        <f>ROUND(F4789-D4789,2)</f>
        <v/>
      </c>
    </row>
    <row r="4790">
      <c r="A4790" t="inlineStr">
        <is>
          <t>2022-11-18</t>
        </is>
      </c>
      <c r="B4790" t="n">
        <v>7</v>
      </c>
      <c r="C4790" t="n">
        <v>3102</v>
      </c>
      <c r="D4790" s="6" t="n">
        <v>59.3</v>
      </c>
      <c r="E4790" s="6" t="n">
        <v>1317424.08</v>
      </c>
      <c r="F4790" s="6">
        <f>ROUND(E4790-E4789,2)</f>
        <v/>
      </c>
      <c r="G4790" s="6">
        <f>ROUND(F4790-D4790,2)</f>
        <v/>
      </c>
    </row>
    <row r="4791">
      <c r="A4791" t="inlineStr">
        <is>
          <t>2022-11-18</t>
        </is>
      </c>
      <c r="B4791" t="n">
        <v>8</v>
      </c>
      <c r="C4791" t="n">
        <v>3102</v>
      </c>
      <c r="D4791" s="6" t="n">
        <v>158</v>
      </c>
      <c r="E4791" s="6" t="n">
        <v>1317582.08</v>
      </c>
      <c r="F4791" s="6">
        <f>ROUND(E4791-E4790,2)</f>
        <v/>
      </c>
      <c r="G4791" s="6">
        <f>ROUND(F4791-D4791,2)</f>
        <v/>
      </c>
    </row>
    <row r="4792">
      <c r="A4792" t="inlineStr">
        <is>
          <t>2022-11-18</t>
        </is>
      </c>
      <c r="B4792" t="n">
        <v>9</v>
      </c>
      <c r="C4792" t="n">
        <v>3102</v>
      </c>
      <c r="D4792" s="6" t="n">
        <v>89.59999999999999</v>
      </c>
      <c r="E4792" s="6" t="n">
        <v>1317671.68</v>
      </c>
      <c r="F4792" s="6">
        <f>ROUND(E4792-E4791,2)</f>
        <v/>
      </c>
      <c r="G4792" s="6">
        <f>ROUND(F4792-D4792,2)</f>
        <v/>
      </c>
    </row>
    <row r="4793">
      <c r="A4793" t="inlineStr">
        <is>
          <t>2022-11-18</t>
        </is>
      </c>
      <c r="B4793" t="n">
        <v>10</v>
      </c>
      <c r="C4793" t="n">
        <v>3102</v>
      </c>
      <c r="D4793" s="6" t="n">
        <v>144</v>
      </c>
      <c r="E4793" s="6" t="n">
        <v>1317815.68</v>
      </c>
      <c r="F4793" s="6">
        <f>ROUND(E4793-E4792,2)</f>
        <v/>
      </c>
      <c r="G4793" s="6">
        <f>ROUND(F4793-D4793,2)</f>
        <v/>
      </c>
    </row>
    <row r="4794">
      <c r="A4794" t="inlineStr">
        <is>
          <t>2022-11-19</t>
        </is>
      </c>
      <c r="B4794" t="n">
        <v>1</v>
      </c>
      <c r="C4794" t="n">
        <v>3103</v>
      </c>
      <c r="D4794" s="6" t="n">
        <v>55</v>
      </c>
      <c r="E4794" s="6" t="n">
        <v>1317870.68</v>
      </c>
      <c r="F4794" s="6">
        <f>ROUND(E4794-E4793,2)</f>
        <v/>
      </c>
      <c r="G4794" s="6">
        <f>ROUND(F4794-D4794,2)</f>
        <v/>
      </c>
    </row>
    <row r="4795">
      <c r="A4795" t="inlineStr">
        <is>
          <t>2022-11-19</t>
        </is>
      </c>
      <c r="B4795" t="n">
        <v>2</v>
      </c>
      <c r="C4795" t="n">
        <v>3103</v>
      </c>
      <c r="D4795" s="6" t="n">
        <v>56</v>
      </c>
      <c r="E4795" s="6" t="n">
        <v>1317926.68</v>
      </c>
      <c r="F4795" s="6">
        <f>ROUND(E4795-E4794,2)</f>
        <v/>
      </c>
      <c r="G4795" s="6">
        <f>ROUND(F4795-D4795,2)</f>
        <v/>
      </c>
    </row>
    <row r="4796">
      <c r="A4796" t="inlineStr">
        <is>
          <t>2022-11-19</t>
        </is>
      </c>
      <c r="B4796" t="n">
        <v>3</v>
      </c>
      <c r="C4796" t="n">
        <v>3103</v>
      </c>
      <c r="D4796" s="6" t="n">
        <v>73.90000000000001</v>
      </c>
      <c r="E4796" s="6" t="n">
        <v>1318000.58</v>
      </c>
      <c r="F4796" s="6">
        <f>ROUND(E4796-E4795,2)</f>
        <v/>
      </c>
      <c r="G4796" s="6">
        <f>ROUND(F4796-D4796,2)</f>
        <v/>
      </c>
    </row>
    <row r="4797">
      <c r="A4797" t="inlineStr">
        <is>
          <t>2022-11-19</t>
        </is>
      </c>
      <c r="B4797" t="n">
        <v>4</v>
      </c>
      <c r="C4797" t="n">
        <v>3103</v>
      </c>
      <c r="D4797" s="6" t="n">
        <v>162.5</v>
      </c>
      <c r="E4797" s="6" t="n">
        <v>1318163.08</v>
      </c>
      <c r="F4797" s="6">
        <f>ROUND(E4797-E4796,2)</f>
        <v/>
      </c>
      <c r="G4797" s="6">
        <f>ROUND(F4797-D4797,2)</f>
        <v/>
      </c>
    </row>
    <row r="4798">
      <c r="A4798" t="inlineStr">
        <is>
          <t>2022-11-19</t>
        </is>
      </c>
      <c r="B4798" t="n">
        <v>5</v>
      </c>
      <c r="C4798" t="n">
        <v>3103</v>
      </c>
      <c r="D4798" s="6" t="n">
        <v>70.59999999999999</v>
      </c>
      <c r="E4798" s="6" t="n">
        <v>1318233.68</v>
      </c>
      <c r="F4798" s="6">
        <f>ROUND(E4798-E4797,2)</f>
        <v/>
      </c>
      <c r="G4798" s="6">
        <f>ROUND(F4798-D4798,2)</f>
        <v/>
      </c>
    </row>
    <row r="4799">
      <c r="A4799" t="inlineStr">
        <is>
          <t>2022-11-19</t>
        </is>
      </c>
      <c r="B4799" t="n">
        <v>6</v>
      </c>
      <c r="C4799" t="n">
        <v>3103</v>
      </c>
      <c r="D4799" s="6" t="n">
        <v>108.36</v>
      </c>
      <c r="E4799" s="6" t="n">
        <v>1318342.04</v>
      </c>
      <c r="F4799" s="6">
        <f>ROUND(E4799-E4798,2)</f>
        <v/>
      </c>
      <c r="G4799" s="6">
        <f>ROUND(F4799-D4799,2)</f>
        <v/>
      </c>
    </row>
    <row r="4800">
      <c r="A4800" t="inlineStr">
        <is>
          <t>2022-11-19</t>
        </is>
      </c>
      <c r="B4800" t="n">
        <v>7</v>
      </c>
      <c r="C4800" t="n">
        <v>3103</v>
      </c>
      <c r="D4800" s="6" t="n">
        <v>60.3</v>
      </c>
      <c r="E4800" s="6" t="n">
        <v>1318402.34</v>
      </c>
      <c r="F4800" s="6">
        <f>ROUND(E4800-E4799,2)</f>
        <v/>
      </c>
      <c r="G4800" s="6">
        <f>ROUND(F4800-D4800,2)</f>
        <v/>
      </c>
    </row>
    <row r="4801">
      <c r="A4801" t="inlineStr">
        <is>
          <t>2022-11-19</t>
        </is>
      </c>
      <c r="B4801" t="n">
        <v>8</v>
      </c>
      <c r="C4801" t="n">
        <v>3103</v>
      </c>
      <c r="D4801" s="6" t="n">
        <v>164.4</v>
      </c>
      <c r="E4801" s="6" t="n">
        <v>1318566.74</v>
      </c>
      <c r="F4801" s="6">
        <f>ROUND(E4801-E4800,2)</f>
        <v/>
      </c>
      <c r="G4801" s="6">
        <f>ROUND(F4801-D4801,2)</f>
        <v/>
      </c>
    </row>
    <row r="4802">
      <c r="A4802" t="inlineStr">
        <is>
          <t>2022-11-19</t>
        </is>
      </c>
      <c r="B4802" t="n">
        <v>9</v>
      </c>
      <c r="C4802" t="n">
        <v>3103</v>
      </c>
      <c r="D4802" s="6" t="n">
        <v>73.2</v>
      </c>
      <c r="E4802" s="6" t="n">
        <v>1318639.94</v>
      </c>
      <c r="F4802" s="6">
        <f>ROUND(E4802-E4801,2)</f>
        <v/>
      </c>
      <c r="G4802" s="6">
        <f>ROUND(F4802-D4802,2)</f>
        <v/>
      </c>
    </row>
    <row r="4803">
      <c r="A4803" t="inlineStr">
        <is>
          <t>2022-11-19</t>
        </is>
      </c>
      <c r="B4803" t="n">
        <v>10</v>
      </c>
      <c r="C4803" t="n">
        <v>3103</v>
      </c>
      <c r="D4803" s="6" t="n">
        <v>69</v>
      </c>
      <c r="E4803" s="6" t="n">
        <v>1318708.94</v>
      </c>
      <c r="F4803" s="6">
        <f>ROUND(E4803-E4802,2)</f>
        <v/>
      </c>
      <c r="G4803" s="6">
        <f>ROUND(F4803-D4803,2)</f>
        <v/>
      </c>
    </row>
    <row r="4804">
      <c r="A4804" t="inlineStr">
        <is>
          <t>2022-11-19</t>
        </is>
      </c>
      <c r="B4804" t="n">
        <v>11</v>
      </c>
      <c r="C4804" t="n">
        <v>3103</v>
      </c>
      <c r="D4804" s="6" t="n">
        <v>55.6</v>
      </c>
      <c r="E4804" s="6" t="n">
        <v>1318764.54</v>
      </c>
      <c r="F4804" s="6">
        <f>ROUND(E4804-E4803,2)</f>
        <v/>
      </c>
      <c r="G4804" s="6">
        <f>ROUND(F4804-D4804,2)</f>
        <v/>
      </c>
    </row>
    <row r="4805">
      <c r="A4805" t="inlineStr">
        <is>
          <t>2022-11-19</t>
        </is>
      </c>
      <c r="B4805" t="n">
        <v>12</v>
      </c>
      <c r="C4805" t="n">
        <v>3103</v>
      </c>
      <c r="D4805" s="6" t="n">
        <v>69.7</v>
      </c>
      <c r="E4805" s="6" t="n">
        <v>1318834.24</v>
      </c>
      <c r="F4805" s="6">
        <f>ROUND(E4805-E4804,2)</f>
        <v/>
      </c>
      <c r="G4805" s="6">
        <f>ROUND(F4805-D4805,2)</f>
        <v/>
      </c>
    </row>
    <row r="4806">
      <c r="A4806" t="inlineStr">
        <is>
          <t>2022-11-19</t>
        </is>
      </c>
      <c r="B4806" t="n">
        <v>13</v>
      </c>
      <c r="C4806" t="n">
        <v>3103</v>
      </c>
      <c r="D4806" s="6" t="n">
        <v>90</v>
      </c>
      <c r="E4806" s="6" t="n">
        <v>1318924.24</v>
      </c>
      <c r="F4806" s="6">
        <f>ROUND(E4806-E4805,2)</f>
        <v/>
      </c>
      <c r="G4806" s="6">
        <f>ROUND(F4806-D4806,2)</f>
        <v/>
      </c>
    </row>
    <row r="4807">
      <c r="A4807" t="inlineStr">
        <is>
          <t>2022-11-19</t>
        </is>
      </c>
      <c r="B4807" t="n">
        <v>14</v>
      </c>
      <c r="C4807" t="n">
        <v>3103</v>
      </c>
      <c r="D4807" s="6" t="n">
        <v>151.3</v>
      </c>
      <c r="E4807" s="6" t="n">
        <v>1319075.54</v>
      </c>
      <c r="F4807" s="6">
        <f>ROUND(E4807-E4806,2)</f>
        <v/>
      </c>
      <c r="G4807" s="6">
        <f>ROUND(F4807-D4807,2)</f>
        <v/>
      </c>
    </row>
    <row r="4808">
      <c r="A4808" t="inlineStr">
        <is>
          <t>2022-11-19</t>
        </is>
      </c>
      <c r="B4808" t="n">
        <v>15</v>
      </c>
      <c r="C4808" t="n">
        <v>3103</v>
      </c>
      <c r="D4808" s="6" t="n">
        <v>99.40000000000001</v>
      </c>
      <c r="E4808" s="6" t="n">
        <v>1319174.94</v>
      </c>
      <c r="F4808" s="6">
        <f>ROUND(E4808-E4807,2)</f>
        <v/>
      </c>
      <c r="G4808" s="6">
        <f>ROUND(F4808-D4808,2)</f>
        <v/>
      </c>
    </row>
    <row r="4809">
      <c r="A4809" t="inlineStr">
        <is>
          <t>2022-11-19</t>
        </is>
      </c>
      <c r="B4809" t="n">
        <v>16</v>
      </c>
      <c r="C4809" t="n">
        <v>3103</v>
      </c>
      <c r="D4809" s="6" t="n">
        <v>330.3</v>
      </c>
      <c r="E4809" s="6" t="n">
        <v>1319505.24</v>
      </c>
      <c r="F4809" s="6">
        <f>ROUND(E4809-E4808,2)</f>
        <v/>
      </c>
      <c r="G4809" s="6">
        <f>ROUND(F4809-D4809,2)</f>
        <v/>
      </c>
    </row>
    <row r="4810">
      <c r="A4810" t="inlineStr">
        <is>
          <t>2022-11-19</t>
        </is>
      </c>
      <c r="B4810" t="n">
        <v>17</v>
      </c>
      <c r="C4810" t="n">
        <v>3103</v>
      </c>
      <c r="D4810" s="6" t="n">
        <v>53.9</v>
      </c>
      <c r="E4810" s="6" t="n">
        <v>1319559.14</v>
      </c>
      <c r="F4810" s="6">
        <f>ROUND(E4810-E4809,2)</f>
        <v/>
      </c>
      <c r="G4810" s="6">
        <f>ROUND(F4810-D4810,2)</f>
        <v/>
      </c>
    </row>
    <row r="4811">
      <c r="A4811" t="inlineStr">
        <is>
          <t>2022-11-19</t>
        </is>
      </c>
      <c r="B4811" t="n">
        <v>18</v>
      </c>
      <c r="C4811" t="n">
        <v>3103</v>
      </c>
      <c r="D4811" s="6" t="n">
        <v>31.4</v>
      </c>
      <c r="E4811" s="6" t="n">
        <v>1319590.54</v>
      </c>
      <c r="F4811" s="6">
        <f>ROUND(E4811-E4810,2)</f>
        <v/>
      </c>
      <c r="G4811" s="6">
        <f>ROUND(F4811-D4811,2)</f>
        <v/>
      </c>
    </row>
    <row r="4812">
      <c r="A4812" t="inlineStr">
        <is>
          <t>2022-11-19</t>
        </is>
      </c>
      <c r="B4812" t="n">
        <v>19</v>
      </c>
      <c r="C4812" t="n">
        <v>3103</v>
      </c>
      <c r="D4812" s="6" t="n">
        <v>26.5</v>
      </c>
      <c r="E4812" s="6" t="n">
        <v>1319617.04</v>
      </c>
      <c r="F4812" s="6">
        <f>ROUND(E4812-E4811,2)</f>
        <v/>
      </c>
      <c r="G4812" s="6">
        <f>ROUND(F4812-D4812,2)</f>
        <v/>
      </c>
    </row>
    <row r="4813">
      <c r="A4813" t="inlineStr">
        <is>
          <t>2022-11-19</t>
        </is>
      </c>
      <c r="B4813" t="n">
        <v>20</v>
      </c>
      <c r="C4813" t="n">
        <v>3103</v>
      </c>
      <c r="D4813" s="6" t="n">
        <v>24.3</v>
      </c>
      <c r="E4813" s="6" t="n">
        <v>1319641.34</v>
      </c>
      <c r="F4813" s="6">
        <f>ROUND(E4813-E4812,2)</f>
        <v/>
      </c>
      <c r="G4813" s="6">
        <f>ROUND(F4813-D4813,2)</f>
        <v/>
      </c>
    </row>
    <row r="4814">
      <c r="A4814" t="inlineStr">
        <is>
          <t>2022-11-19</t>
        </is>
      </c>
      <c r="B4814" t="n">
        <v>21</v>
      </c>
      <c r="C4814" t="n">
        <v>3103</v>
      </c>
      <c r="D4814" s="6" t="n">
        <v>32.5</v>
      </c>
      <c r="E4814" s="6" t="n">
        <v>1319673.84</v>
      </c>
      <c r="F4814" s="6">
        <f>ROUND(E4814-E4813,2)</f>
        <v/>
      </c>
      <c r="G4814" s="6">
        <f>ROUND(F4814-D4814,2)</f>
        <v/>
      </c>
    </row>
    <row r="4815">
      <c r="A4815" t="inlineStr">
        <is>
          <t>2022-11-20</t>
        </is>
      </c>
      <c r="B4815" t="n">
        <v>1</v>
      </c>
      <c r="C4815" t="n">
        <v>3104</v>
      </c>
      <c r="D4815" s="6" t="n">
        <v>43.7</v>
      </c>
      <c r="E4815" s="6" t="n">
        <v>1319717.54</v>
      </c>
      <c r="F4815" s="6">
        <f>ROUND(E4815-E4814,2)</f>
        <v/>
      </c>
      <c r="G4815" s="6">
        <f>ROUND(F4815-D4815,2)</f>
        <v/>
      </c>
    </row>
    <row r="4816">
      <c r="A4816" t="inlineStr">
        <is>
          <t>2022-11-20</t>
        </is>
      </c>
      <c r="B4816" t="n">
        <v>2</v>
      </c>
      <c r="C4816" t="n">
        <v>3104</v>
      </c>
      <c r="D4816" s="6" t="n">
        <v>77.8</v>
      </c>
      <c r="E4816" s="6" t="n">
        <v>1319795.34</v>
      </c>
      <c r="F4816" s="6">
        <f>ROUND(E4816-E4815,2)</f>
        <v/>
      </c>
      <c r="G4816" s="6">
        <f>ROUND(F4816-D4816,2)</f>
        <v/>
      </c>
    </row>
    <row r="4817">
      <c r="A4817" t="inlineStr">
        <is>
          <t>2022-11-20</t>
        </is>
      </c>
      <c r="B4817" t="n">
        <v>3</v>
      </c>
      <c r="C4817" t="n">
        <v>3104</v>
      </c>
      <c r="D4817" s="6" t="n">
        <v>65.2</v>
      </c>
      <c r="E4817" s="6" t="n">
        <v>1319860.54</v>
      </c>
      <c r="F4817" s="6">
        <f>ROUND(E4817-E4816,2)</f>
        <v/>
      </c>
      <c r="G4817" s="6">
        <f>ROUND(F4817-D4817,2)</f>
        <v/>
      </c>
    </row>
    <row r="4818">
      <c r="A4818" t="inlineStr">
        <is>
          <t>2022-11-20</t>
        </is>
      </c>
      <c r="B4818" t="n">
        <v>4</v>
      </c>
      <c r="C4818" t="n">
        <v>3104</v>
      </c>
      <c r="D4818" s="6" t="n">
        <v>113.8</v>
      </c>
      <c r="E4818" s="6" t="n">
        <v>1319974.34</v>
      </c>
      <c r="F4818" s="6">
        <f>ROUND(E4818-E4817,2)</f>
        <v/>
      </c>
      <c r="G4818" s="6">
        <f>ROUND(F4818-D4818,2)</f>
        <v/>
      </c>
    </row>
    <row r="4819">
      <c r="A4819" t="inlineStr">
        <is>
          <t>2022-11-20</t>
        </is>
      </c>
      <c r="B4819" t="n">
        <v>5</v>
      </c>
      <c r="C4819" t="n">
        <v>3104</v>
      </c>
      <c r="D4819" s="6" t="n">
        <v>77.5</v>
      </c>
      <c r="E4819" s="6" t="n">
        <v>1320051.84</v>
      </c>
      <c r="F4819" s="6">
        <f>ROUND(E4819-E4818,2)</f>
        <v/>
      </c>
      <c r="G4819" s="6">
        <f>ROUND(F4819-D4819,2)</f>
        <v/>
      </c>
    </row>
    <row r="4820">
      <c r="A4820" t="inlineStr">
        <is>
          <t>2022-11-20</t>
        </is>
      </c>
      <c r="B4820" t="n">
        <v>6</v>
      </c>
      <c r="C4820" t="n">
        <v>3104</v>
      </c>
      <c r="D4820" s="6" t="n">
        <v>94.40000000000001</v>
      </c>
      <c r="E4820" s="6" t="n">
        <v>1320146.24</v>
      </c>
      <c r="F4820" s="6">
        <f>ROUND(E4820-E4819,2)</f>
        <v/>
      </c>
      <c r="G4820" s="6">
        <f>ROUND(F4820-D4820,2)</f>
        <v/>
      </c>
    </row>
    <row r="4821">
      <c r="A4821" t="inlineStr">
        <is>
          <t>2022-11-20</t>
        </is>
      </c>
      <c r="B4821" t="n">
        <v>7</v>
      </c>
      <c r="C4821" t="n">
        <v>3104</v>
      </c>
      <c r="D4821" s="6" t="n">
        <v>146.6</v>
      </c>
      <c r="E4821" s="6" t="n">
        <v>1320292.84</v>
      </c>
      <c r="F4821" s="6">
        <f>ROUND(E4821-E4820,2)</f>
        <v/>
      </c>
      <c r="G4821" s="6">
        <f>ROUND(F4821-D4821,2)</f>
        <v/>
      </c>
    </row>
    <row r="4822">
      <c r="A4822" t="inlineStr">
        <is>
          <t>2022-11-20</t>
        </is>
      </c>
      <c r="B4822" t="n">
        <v>8</v>
      </c>
      <c r="C4822" t="n">
        <v>3104</v>
      </c>
      <c r="D4822" s="6" t="n">
        <v>104.5</v>
      </c>
      <c r="E4822" s="6" t="n">
        <v>1320397.34</v>
      </c>
      <c r="F4822" s="6">
        <f>ROUND(E4822-E4821,2)</f>
        <v/>
      </c>
      <c r="G4822" s="6">
        <f>ROUND(F4822-D4822,2)</f>
        <v/>
      </c>
    </row>
    <row r="4823">
      <c r="A4823" t="inlineStr">
        <is>
          <t>2022-11-20</t>
        </is>
      </c>
      <c r="B4823" t="n">
        <v>9</v>
      </c>
      <c r="C4823" t="n">
        <v>3104</v>
      </c>
      <c r="D4823" s="6" t="n">
        <v>99.8</v>
      </c>
      <c r="E4823" s="6" t="n">
        <v>1320497.14</v>
      </c>
      <c r="F4823" s="6">
        <f>ROUND(E4823-E4822,2)</f>
        <v/>
      </c>
      <c r="G4823" s="6">
        <f>ROUND(F4823-D4823,2)</f>
        <v/>
      </c>
    </row>
    <row r="4824">
      <c r="A4824" t="inlineStr">
        <is>
          <t>2022-11-20</t>
        </is>
      </c>
      <c r="B4824" t="n">
        <v>10</v>
      </c>
      <c r="C4824" t="n">
        <v>3104</v>
      </c>
      <c r="D4824" s="6" t="n">
        <v>88.40000000000001</v>
      </c>
      <c r="E4824" s="6" t="n">
        <v>1320585.54</v>
      </c>
      <c r="F4824" s="6">
        <f>ROUND(E4824-E4823,2)</f>
        <v/>
      </c>
      <c r="G4824" s="6">
        <f>ROUND(F4824-D4824,2)</f>
        <v/>
      </c>
    </row>
    <row r="4825">
      <c r="A4825" t="inlineStr">
        <is>
          <t>2022-11-20</t>
        </is>
      </c>
      <c r="B4825" t="n">
        <v>11</v>
      </c>
      <c r="C4825" t="n">
        <v>3104</v>
      </c>
      <c r="D4825" s="6" t="n">
        <v>63.9</v>
      </c>
      <c r="E4825" s="6" t="n">
        <v>1320649.44</v>
      </c>
      <c r="F4825" s="6">
        <f>ROUND(E4825-E4824,2)</f>
        <v/>
      </c>
      <c r="G4825" s="6">
        <f>ROUND(F4825-D4825,2)</f>
        <v/>
      </c>
    </row>
    <row r="4826">
      <c r="A4826" t="inlineStr">
        <is>
          <t>2022-11-23</t>
        </is>
      </c>
      <c r="B4826" t="n">
        <v>1</v>
      </c>
      <c r="C4826" t="n">
        <v>3105</v>
      </c>
      <c r="D4826" s="6" t="n">
        <v>18.6</v>
      </c>
      <c r="E4826" s="6" t="n">
        <v>1320668.04</v>
      </c>
      <c r="F4826" s="6">
        <f>ROUND(E4826-E4825,2)</f>
        <v/>
      </c>
      <c r="G4826" s="6">
        <f>ROUND(F4826-D4826,2)</f>
        <v/>
      </c>
    </row>
    <row r="4827">
      <c r="A4827" t="inlineStr">
        <is>
          <t>2022-11-23</t>
        </is>
      </c>
      <c r="B4827" t="n">
        <v>2</v>
      </c>
      <c r="C4827" t="n">
        <v>3105</v>
      </c>
      <c r="D4827" s="6" t="n">
        <v>18.6</v>
      </c>
      <c r="E4827" s="6" t="n">
        <v>1320686.64</v>
      </c>
      <c r="F4827" s="6">
        <f>ROUND(E4827-E4826,2)</f>
        <v/>
      </c>
      <c r="G4827" s="6">
        <f>ROUND(F4827-D4827,2)</f>
        <v/>
      </c>
    </row>
    <row r="4828">
      <c r="A4828" t="inlineStr">
        <is>
          <t>2022-11-23</t>
        </is>
      </c>
      <c r="B4828" t="n">
        <v>3</v>
      </c>
      <c r="C4828" t="n">
        <v>3105</v>
      </c>
      <c r="D4828" s="6" t="n">
        <v>16.9</v>
      </c>
      <c r="E4828" s="6" t="n">
        <v>1320703.54</v>
      </c>
      <c r="F4828" s="6">
        <f>ROUND(E4828-E4827,2)</f>
        <v/>
      </c>
      <c r="G4828" s="6">
        <f>ROUND(F4828-D4828,2)</f>
        <v/>
      </c>
    </row>
    <row r="4829">
      <c r="A4829" t="inlineStr">
        <is>
          <t>2022-11-23</t>
        </is>
      </c>
      <c r="B4829" t="n">
        <v>4</v>
      </c>
      <c r="C4829" t="n">
        <v>3105</v>
      </c>
      <c r="D4829" s="6" t="n">
        <v>39.4</v>
      </c>
      <c r="E4829" s="6" t="n">
        <v>1320742.94</v>
      </c>
      <c r="F4829" s="6">
        <f>ROUND(E4829-E4828,2)</f>
        <v/>
      </c>
      <c r="G4829" s="6">
        <f>ROUND(F4829-D4829,2)</f>
        <v/>
      </c>
    </row>
    <row r="4830">
      <c r="A4830" t="inlineStr">
        <is>
          <t>2022-11-23</t>
        </is>
      </c>
      <c r="B4830" t="n">
        <v>5</v>
      </c>
      <c r="C4830" t="n">
        <v>3105</v>
      </c>
      <c r="D4830" s="6" t="n">
        <v>20.4</v>
      </c>
      <c r="E4830" s="6" t="n">
        <v>1320763.34</v>
      </c>
      <c r="F4830" s="6">
        <f>ROUND(E4830-E4829,2)</f>
        <v/>
      </c>
      <c r="G4830" s="6">
        <f>ROUND(F4830-D4830,2)</f>
        <v/>
      </c>
    </row>
    <row r="4831">
      <c r="A4831" t="inlineStr">
        <is>
          <t>2022-11-23</t>
        </is>
      </c>
      <c r="B4831" t="n">
        <v>6</v>
      </c>
      <c r="C4831" t="n">
        <v>3105</v>
      </c>
      <c r="D4831" s="6" t="n">
        <v>22.9</v>
      </c>
      <c r="E4831" s="6" t="n">
        <v>1320786.24</v>
      </c>
      <c r="F4831" s="6">
        <f>ROUND(E4831-E4830,2)</f>
        <v/>
      </c>
      <c r="G4831" s="6">
        <f>ROUND(F4831-D4831,2)</f>
        <v/>
      </c>
    </row>
    <row r="4832">
      <c r="A4832" t="inlineStr">
        <is>
          <t>2022-11-23</t>
        </is>
      </c>
      <c r="B4832" t="n">
        <v>7</v>
      </c>
      <c r="C4832" t="n">
        <v>3105</v>
      </c>
      <c r="D4832" s="6" t="n">
        <v>16.9</v>
      </c>
      <c r="E4832" s="6" t="n">
        <v>1320803.14</v>
      </c>
      <c r="F4832" s="6">
        <f>ROUND(E4832-E4831,2)</f>
        <v/>
      </c>
      <c r="G4832" s="6">
        <f>ROUND(F4832-D4832,2)</f>
        <v/>
      </c>
    </row>
    <row r="4833">
      <c r="A4833" t="inlineStr">
        <is>
          <t>2022-11-23</t>
        </is>
      </c>
      <c r="B4833" t="n">
        <v>8</v>
      </c>
      <c r="C4833" t="n">
        <v>3105</v>
      </c>
      <c r="D4833" s="6" t="n">
        <v>94.40000000000001</v>
      </c>
      <c r="E4833" s="6" t="n">
        <v>1320897.54</v>
      </c>
      <c r="F4833" s="6">
        <f>ROUND(E4833-E4832,2)</f>
        <v/>
      </c>
      <c r="G4833" s="6">
        <f>ROUND(F4833-D4833,2)</f>
        <v/>
      </c>
    </row>
    <row r="4834">
      <c r="A4834" t="inlineStr">
        <is>
          <t>2022-11-23</t>
        </is>
      </c>
      <c r="B4834" t="n">
        <v>9</v>
      </c>
      <c r="C4834" t="n">
        <v>3105</v>
      </c>
      <c r="D4834" s="6" t="n">
        <v>85.7</v>
      </c>
      <c r="E4834" s="6" t="n">
        <v>1320983.24</v>
      </c>
      <c r="F4834" s="6">
        <f>ROUND(E4834-E4833,2)</f>
        <v/>
      </c>
      <c r="G4834" s="6">
        <f>ROUND(F4834-D4834,2)</f>
        <v/>
      </c>
    </row>
    <row r="4835">
      <c r="A4835" t="inlineStr">
        <is>
          <t>2022-11-23</t>
        </is>
      </c>
      <c r="B4835" t="n">
        <v>10</v>
      </c>
      <c r="C4835" t="n">
        <v>3105</v>
      </c>
      <c r="D4835" s="6" t="n">
        <v>18.2</v>
      </c>
      <c r="E4835" s="6" t="n">
        <v>1321001.44</v>
      </c>
      <c r="F4835" s="6">
        <f>ROUND(E4835-E4834,2)</f>
        <v/>
      </c>
      <c r="G4835" s="6">
        <f>ROUND(F4835-D4835,2)</f>
        <v/>
      </c>
    </row>
    <row r="4836">
      <c r="A4836" t="inlineStr">
        <is>
          <t>2022-11-23</t>
        </is>
      </c>
      <c r="B4836" t="n">
        <v>11</v>
      </c>
      <c r="C4836" t="n">
        <v>3105</v>
      </c>
      <c r="D4836" s="6" t="n">
        <v>261.3</v>
      </c>
      <c r="E4836" s="6" t="n">
        <v>1321262.74</v>
      </c>
      <c r="F4836" s="6">
        <f>ROUND(E4836-E4835,2)</f>
        <v/>
      </c>
      <c r="G4836" s="6">
        <f>ROUND(F4836-D4836,2)</f>
        <v/>
      </c>
    </row>
    <row r="4837">
      <c r="A4837" t="inlineStr">
        <is>
          <t>2022-11-23</t>
        </is>
      </c>
      <c r="B4837" t="n">
        <v>12</v>
      </c>
      <c r="C4837" t="n">
        <v>3105</v>
      </c>
      <c r="D4837" s="6" t="n">
        <v>221.3</v>
      </c>
      <c r="E4837" s="6" t="n">
        <v>1321484.04</v>
      </c>
      <c r="F4837" s="6">
        <f>ROUND(E4837-E4836,2)</f>
        <v/>
      </c>
      <c r="G4837" s="6">
        <f>ROUND(F4837-D4837,2)</f>
        <v/>
      </c>
    </row>
    <row r="4838">
      <c r="A4838" t="inlineStr">
        <is>
          <t>2022-11-23</t>
        </is>
      </c>
      <c r="B4838" t="n">
        <v>13</v>
      </c>
      <c r="C4838" t="n">
        <v>3105</v>
      </c>
      <c r="D4838" s="6" t="n">
        <v>55.6</v>
      </c>
      <c r="E4838" s="6" t="n">
        <v>1321539.64</v>
      </c>
      <c r="F4838" s="6">
        <f>ROUND(E4838-E4837,2)</f>
        <v/>
      </c>
      <c r="G4838" s="6">
        <f>ROUND(F4838-D4838,2)</f>
        <v/>
      </c>
    </row>
    <row r="4839">
      <c r="A4839" t="inlineStr">
        <is>
          <t>2022-11-23</t>
        </is>
      </c>
      <c r="B4839" t="n">
        <v>14</v>
      </c>
      <c r="C4839" t="n">
        <v>3105</v>
      </c>
      <c r="D4839" s="6" t="n">
        <v>55.6</v>
      </c>
      <c r="E4839" s="6" t="n">
        <v>1321595.24</v>
      </c>
      <c r="F4839" s="6">
        <f>ROUND(E4839-E4838,2)</f>
        <v/>
      </c>
      <c r="G4839" s="6">
        <f>ROUND(F4839-D4839,2)</f>
        <v/>
      </c>
    </row>
    <row r="4840">
      <c r="A4840" t="inlineStr">
        <is>
          <t>2022-11-23</t>
        </is>
      </c>
      <c r="B4840" t="n">
        <v>15</v>
      </c>
      <c r="C4840" t="n">
        <v>3105</v>
      </c>
      <c r="D4840" s="6" t="n">
        <v>72.3</v>
      </c>
      <c r="E4840" s="6" t="n">
        <v>1321667.54</v>
      </c>
      <c r="F4840" s="6">
        <f>ROUND(E4840-E4839,2)</f>
        <v/>
      </c>
      <c r="G4840" s="6">
        <f>ROUND(F4840-D4840,2)</f>
        <v/>
      </c>
    </row>
    <row r="4841">
      <c r="A4841" t="inlineStr">
        <is>
          <t>2022-11-24</t>
        </is>
      </c>
      <c r="B4841" t="n">
        <v>1</v>
      </c>
      <c r="C4841" t="n">
        <v>3106</v>
      </c>
      <c r="D4841" s="6" t="n">
        <v>17</v>
      </c>
      <c r="E4841" s="6" t="n">
        <v>1321684.54</v>
      </c>
      <c r="F4841" s="6">
        <f>ROUND(E4841-E4840,2)</f>
        <v/>
      </c>
      <c r="G4841" s="6">
        <f>ROUND(F4841-D4841,2)</f>
        <v/>
      </c>
    </row>
    <row r="4842">
      <c r="A4842" t="inlineStr">
        <is>
          <t>2022-11-24</t>
        </is>
      </c>
      <c r="B4842" t="n">
        <v>2</v>
      </c>
      <c r="C4842" t="n">
        <v>3106</v>
      </c>
      <c r="D4842" s="6" t="n">
        <v>92.7</v>
      </c>
      <c r="E4842" s="6" t="n">
        <v>1321777.24</v>
      </c>
      <c r="F4842" s="6">
        <f>ROUND(E4842-E4841,2)</f>
        <v/>
      </c>
      <c r="G4842" s="6">
        <f>ROUND(F4842-D4842,2)</f>
        <v/>
      </c>
    </row>
    <row r="4843">
      <c r="A4843" t="inlineStr">
        <is>
          <t>2022-11-24</t>
        </is>
      </c>
      <c r="B4843" t="n">
        <v>3</v>
      </c>
      <c r="C4843" t="n">
        <v>3106</v>
      </c>
      <c r="D4843" s="6" t="n">
        <v>163.7</v>
      </c>
      <c r="E4843" s="6" t="n">
        <v>1321940.94</v>
      </c>
      <c r="F4843" s="6">
        <f>ROUND(E4843-E4842,2)</f>
        <v/>
      </c>
      <c r="G4843" s="6">
        <f>ROUND(F4843-D4843,2)</f>
        <v/>
      </c>
    </row>
    <row r="4844">
      <c r="A4844" t="inlineStr">
        <is>
          <t>2022-11-24</t>
        </is>
      </c>
      <c r="B4844" t="n">
        <v>4</v>
      </c>
      <c r="C4844" t="n">
        <v>3106</v>
      </c>
      <c r="D4844" s="6" t="n">
        <v>58</v>
      </c>
      <c r="E4844" s="6" t="n">
        <v>1321998.94</v>
      </c>
      <c r="F4844" s="6">
        <f>ROUND(E4844-E4843,2)</f>
        <v/>
      </c>
      <c r="G4844" s="6">
        <f>ROUND(F4844-D4844,2)</f>
        <v/>
      </c>
    </row>
    <row r="4845">
      <c r="A4845" t="inlineStr">
        <is>
          <t>2022-11-24</t>
        </is>
      </c>
      <c r="B4845" t="n">
        <v>5</v>
      </c>
      <c r="C4845" t="n">
        <v>3106</v>
      </c>
      <c r="D4845" s="6" t="n">
        <v>46.3</v>
      </c>
      <c r="E4845" s="6" t="n">
        <v>1322045.24</v>
      </c>
      <c r="F4845" s="6">
        <f>ROUND(E4845-E4844,2)</f>
        <v/>
      </c>
      <c r="G4845" s="6">
        <f>ROUND(F4845-D4845,2)</f>
        <v/>
      </c>
    </row>
    <row r="4846">
      <c r="A4846" t="inlineStr">
        <is>
          <t>2022-11-24</t>
        </is>
      </c>
      <c r="B4846" t="n">
        <v>6</v>
      </c>
      <c r="C4846" t="n">
        <v>3106</v>
      </c>
      <c r="D4846" s="6" t="n">
        <v>84.8</v>
      </c>
      <c r="E4846" s="6" t="n">
        <v>1322130.04</v>
      </c>
      <c r="F4846" s="6">
        <f>ROUND(E4846-E4845,2)</f>
        <v/>
      </c>
      <c r="G4846" s="6">
        <f>ROUND(F4846-D4846,2)</f>
        <v/>
      </c>
    </row>
    <row r="4847">
      <c r="A4847" t="inlineStr">
        <is>
          <t>2022-11-24</t>
        </is>
      </c>
      <c r="B4847" t="n">
        <v>7</v>
      </c>
      <c r="C4847" t="n">
        <v>3106</v>
      </c>
      <c r="D4847" s="6" t="n">
        <v>91.90000000000001</v>
      </c>
      <c r="E4847" s="6" t="n">
        <v>1322221.94</v>
      </c>
      <c r="F4847" s="6">
        <f>ROUND(E4847-E4846,2)</f>
        <v/>
      </c>
      <c r="G4847" s="6">
        <f>ROUND(F4847-D4847,2)</f>
        <v/>
      </c>
    </row>
    <row r="4848">
      <c r="A4848" t="inlineStr">
        <is>
          <t>2022-11-24</t>
        </is>
      </c>
      <c r="B4848" t="n">
        <v>8</v>
      </c>
      <c r="C4848" t="n">
        <v>3106</v>
      </c>
      <c r="D4848" s="6" t="n">
        <v>50.1</v>
      </c>
      <c r="E4848" s="6" t="n">
        <v>1322272.04</v>
      </c>
      <c r="F4848" s="6">
        <f>ROUND(E4848-E4847,2)</f>
        <v/>
      </c>
      <c r="G4848" s="6">
        <f>ROUND(F4848-D4848,2)</f>
        <v/>
      </c>
    </row>
    <row r="4849">
      <c r="A4849" t="inlineStr">
        <is>
          <t>2022-11-25</t>
        </is>
      </c>
      <c r="B4849" t="n">
        <v>1</v>
      </c>
      <c r="C4849" t="n">
        <v>3107</v>
      </c>
      <c r="D4849" s="6" t="n">
        <v>67.59999999999999</v>
      </c>
      <c r="E4849" s="6" t="n">
        <v>1322339.64</v>
      </c>
      <c r="F4849" s="6">
        <f>ROUND(E4849-E4848,2)</f>
        <v/>
      </c>
      <c r="G4849" s="6">
        <f>ROUND(F4849-D4849,2)</f>
        <v/>
      </c>
    </row>
    <row r="4850">
      <c r="A4850" t="inlineStr">
        <is>
          <t>2022-11-25</t>
        </is>
      </c>
      <c r="B4850" t="n">
        <v>2</v>
      </c>
      <c r="C4850" t="n">
        <v>3107</v>
      </c>
      <c r="D4850" s="6" t="n">
        <v>113.6</v>
      </c>
      <c r="E4850" s="6" t="n">
        <v>1322453.24</v>
      </c>
      <c r="F4850" s="6">
        <f>ROUND(E4850-E4849,2)</f>
        <v/>
      </c>
      <c r="G4850" s="6">
        <f>ROUND(F4850-D4850,2)</f>
        <v/>
      </c>
    </row>
    <row r="4851">
      <c r="A4851" t="inlineStr">
        <is>
          <t>2022-11-25</t>
        </is>
      </c>
      <c r="B4851" t="n">
        <v>3</v>
      </c>
      <c r="C4851" t="n">
        <v>3107</v>
      </c>
      <c r="D4851" s="6" t="n">
        <v>81.90000000000001</v>
      </c>
      <c r="E4851" s="6" t="n">
        <v>1322535.14</v>
      </c>
      <c r="F4851" s="6">
        <f>ROUND(E4851-E4850,2)</f>
        <v/>
      </c>
      <c r="G4851" s="6">
        <f>ROUND(F4851-D4851,2)</f>
        <v/>
      </c>
    </row>
    <row r="4852">
      <c r="A4852" t="inlineStr">
        <is>
          <t>2022-11-25</t>
        </is>
      </c>
      <c r="B4852" t="n">
        <v>4</v>
      </c>
      <c r="C4852" t="n">
        <v>3107</v>
      </c>
      <c r="D4852" s="6" t="n">
        <v>25.2</v>
      </c>
      <c r="E4852" s="6" t="n">
        <v>1322560.34</v>
      </c>
      <c r="F4852" s="6">
        <f>ROUND(E4852-E4851,2)</f>
        <v/>
      </c>
      <c r="G4852" s="6">
        <f>ROUND(F4852-D4852,2)</f>
        <v/>
      </c>
    </row>
    <row r="4853">
      <c r="A4853" t="inlineStr">
        <is>
          <t>2022-11-25</t>
        </is>
      </c>
      <c r="B4853" t="n">
        <v>5</v>
      </c>
      <c r="C4853" t="n">
        <v>3107</v>
      </c>
      <c r="D4853" s="6" t="n">
        <v>91.2</v>
      </c>
      <c r="E4853" s="6" t="n">
        <v>1322651.54</v>
      </c>
      <c r="F4853" s="6">
        <f>ROUND(E4853-E4852,2)</f>
        <v/>
      </c>
      <c r="G4853" s="6">
        <f>ROUND(F4853-D4853,2)</f>
        <v/>
      </c>
    </row>
    <row r="4854">
      <c r="A4854" t="inlineStr">
        <is>
          <t>2022-11-25</t>
        </is>
      </c>
      <c r="B4854" t="n">
        <v>6</v>
      </c>
      <c r="C4854" t="n">
        <v>3107</v>
      </c>
      <c r="D4854" s="6" t="n">
        <v>102.6</v>
      </c>
      <c r="E4854" s="6" t="n">
        <v>1322754.14</v>
      </c>
      <c r="F4854" s="6">
        <f>ROUND(E4854-E4853,2)</f>
        <v/>
      </c>
      <c r="G4854" s="6">
        <f>ROUND(F4854-D4854,2)</f>
        <v/>
      </c>
    </row>
    <row r="4855">
      <c r="A4855" t="inlineStr">
        <is>
          <t>2022-11-25</t>
        </is>
      </c>
      <c r="B4855" t="n">
        <v>7</v>
      </c>
      <c r="C4855" t="n">
        <v>3107</v>
      </c>
      <c r="D4855" s="6" t="n">
        <v>39.4</v>
      </c>
      <c r="E4855" s="6" t="n">
        <v>1322793.54</v>
      </c>
      <c r="F4855" s="6">
        <f>ROUND(E4855-E4854,2)</f>
        <v/>
      </c>
      <c r="G4855" s="6">
        <f>ROUND(F4855-D4855,2)</f>
        <v/>
      </c>
    </row>
    <row r="4856">
      <c r="A4856" t="inlineStr">
        <is>
          <t>2022-11-25</t>
        </is>
      </c>
      <c r="B4856" t="n">
        <v>8</v>
      </c>
      <c r="C4856" t="n">
        <v>3107</v>
      </c>
      <c r="D4856" s="6" t="n">
        <v>32.5</v>
      </c>
      <c r="E4856" s="6" t="n">
        <v>1322826.04</v>
      </c>
      <c r="F4856" s="6">
        <f>ROUND(E4856-E4855,2)</f>
        <v/>
      </c>
      <c r="G4856" s="6">
        <f>ROUND(F4856-D4856,2)</f>
        <v/>
      </c>
    </row>
    <row r="4857">
      <c r="A4857" t="inlineStr">
        <is>
          <t>2022-11-25</t>
        </is>
      </c>
      <c r="B4857" t="n">
        <v>9</v>
      </c>
      <c r="C4857" t="n">
        <v>3107</v>
      </c>
      <c r="D4857" s="6" t="n">
        <v>33.1</v>
      </c>
      <c r="E4857" s="6" t="n">
        <v>1322859.14</v>
      </c>
      <c r="F4857" s="6">
        <f>ROUND(E4857-E4856,2)</f>
        <v/>
      </c>
      <c r="G4857" s="6">
        <f>ROUND(F4857-D4857,2)</f>
        <v/>
      </c>
    </row>
    <row r="4858">
      <c r="A4858" t="inlineStr">
        <is>
          <t>2022-11-25</t>
        </is>
      </c>
      <c r="B4858" t="n">
        <v>10</v>
      </c>
      <c r="C4858" t="n">
        <v>3107</v>
      </c>
      <c r="D4858" s="6" t="n">
        <v>23.1</v>
      </c>
      <c r="E4858" s="6" t="n">
        <v>1322882.24</v>
      </c>
      <c r="F4858" s="6">
        <f>ROUND(E4858-E4857,2)</f>
        <v/>
      </c>
      <c r="G4858" s="6">
        <f>ROUND(F4858-D4858,2)</f>
        <v/>
      </c>
    </row>
    <row r="4859">
      <c r="A4859" t="inlineStr">
        <is>
          <t>2022-11-25</t>
        </is>
      </c>
      <c r="B4859" t="n">
        <v>11</v>
      </c>
      <c r="C4859" t="n">
        <v>3107</v>
      </c>
      <c r="D4859" s="6" t="n">
        <v>28.5</v>
      </c>
      <c r="E4859" s="6" t="n">
        <v>1322910.74</v>
      </c>
      <c r="F4859" s="6">
        <f>ROUND(E4859-E4858,2)</f>
        <v/>
      </c>
      <c r="G4859" s="6">
        <f>ROUND(F4859-D4859,2)</f>
        <v/>
      </c>
    </row>
    <row r="4860">
      <c r="A4860" t="inlineStr">
        <is>
          <t>2022-11-26</t>
        </is>
      </c>
      <c r="B4860" t="n">
        <v>1</v>
      </c>
      <c r="C4860" t="n">
        <v>3108</v>
      </c>
      <c r="D4860" s="6" t="n">
        <v>90.5</v>
      </c>
      <c r="E4860" s="6" t="n">
        <v>1323001.24</v>
      </c>
      <c r="F4860" s="6">
        <f>ROUND(E4860-E4859,2)</f>
        <v/>
      </c>
      <c r="G4860" s="6">
        <f>ROUND(F4860-D4860,2)</f>
        <v/>
      </c>
    </row>
    <row r="4861">
      <c r="A4861" t="inlineStr">
        <is>
          <t>2022-11-26</t>
        </is>
      </c>
      <c r="B4861" t="n">
        <v>2</v>
      </c>
      <c r="C4861" t="n">
        <v>3108</v>
      </c>
      <c r="D4861" s="6" t="n">
        <v>60.9</v>
      </c>
      <c r="E4861" s="6" t="n">
        <v>1323062.14</v>
      </c>
      <c r="F4861" s="6">
        <f>ROUND(E4861-E4860,2)</f>
        <v/>
      </c>
      <c r="G4861" s="6">
        <f>ROUND(F4861-D4861,2)</f>
        <v/>
      </c>
    </row>
    <row r="4862">
      <c r="A4862" t="inlineStr">
        <is>
          <t>2022-11-26</t>
        </is>
      </c>
      <c r="B4862" t="n">
        <v>3</v>
      </c>
      <c r="C4862" t="n">
        <v>3108</v>
      </c>
      <c r="D4862" s="6" t="n">
        <v>131.6</v>
      </c>
      <c r="E4862" s="6" t="n">
        <v>1323193.74</v>
      </c>
      <c r="F4862" s="6">
        <f>ROUND(E4862-E4861,2)</f>
        <v/>
      </c>
      <c r="G4862" s="6">
        <f>ROUND(F4862-D4862,2)</f>
        <v/>
      </c>
    </row>
    <row r="4863">
      <c r="A4863" t="inlineStr">
        <is>
          <t>2022-11-26</t>
        </is>
      </c>
      <c r="B4863" t="n">
        <v>4</v>
      </c>
      <c r="C4863" t="n">
        <v>3108</v>
      </c>
      <c r="D4863" s="6" t="n">
        <v>235.6</v>
      </c>
      <c r="E4863" s="6" t="n">
        <v>1323429.34</v>
      </c>
      <c r="F4863" s="6">
        <f>ROUND(E4863-E4862,2)</f>
        <v/>
      </c>
      <c r="G4863" s="6">
        <f>ROUND(F4863-D4863,2)</f>
        <v/>
      </c>
    </row>
    <row r="4864">
      <c r="A4864" t="inlineStr">
        <is>
          <t>2022-11-26</t>
        </is>
      </c>
      <c r="B4864" t="n">
        <v>5</v>
      </c>
      <c r="C4864" t="n">
        <v>3108</v>
      </c>
      <c r="D4864" s="6" t="n">
        <v>62.4</v>
      </c>
      <c r="E4864" s="6" t="n">
        <v>1323491.74</v>
      </c>
      <c r="F4864" s="6">
        <f>ROUND(E4864-E4863,2)</f>
        <v/>
      </c>
      <c r="G4864" s="6">
        <f>ROUND(F4864-D4864,2)</f>
        <v/>
      </c>
    </row>
    <row r="4865">
      <c r="A4865" t="inlineStr">
        <is>
          <t>2022-11-26</t>
        </is>
      </c>
      <c r="B4865" t="n">
        <v>6</v>
      </c>
      <c r="C4865" t="n">
        <v>3108</v>
      </c>
      <c r="D4865" s="6" t="n">
        <v>115.9</v>
      </c>
      <c r="E4865" s="6" t="n">
        <v>1323607.64</v>
      </c>
      <c r="F4865" s="6">
        <f>ROUND(E4865-E4864,2)</f>
        <v/>
      </c>
      <c r="G4865" s="6">
        <f>ROUND(F4865-D4865,2)</f>
        <v/>
      </c>
    </row>
    <row r="4866">
      <c r="A4866" t="inlineStr">
        <is>
          <t>2022-11-26</t>
        </is>
      </c>
      <c r="B4866" t="n">
        <v>7</v>
      </c>
      <c r="C4866" t="n">
        <v>3108</v>
      </c>
      <c r="D4866" s="6" t="n">
        <v>105.7</v>
      </c>
      <c r="E4866" s="6" t="n">
        <v>1323713.34</v>
      </c>
      <c r="F4866" s="6">
        <f>ROUND(E4866-E4865,2)</f>
        <v/>
      </c>
      <c r="G4866" s="6">
        <f>ROUND(F4866-D4866,2)</f>
        <v/>
      </c>
    </row>
    <row r="4867">
      <c r="A4867" t="inlineStr">
        <is>
          <t>2022-11-26</t>
        </is>
      </c>
      <c r="B4867" t="n">
        <v>8</v>
      </c>
      <c r="C4867" t="n">
        <v>3108</v>
      </c>
      <c r="D4867" s="6" t="n">
        <v>61.8</v>
      </c>
      <c r="E4867" s="6" t="n">
        <v>1323775.14</v>
      </c>
      <c r="F4867" s="6">
        <f>ROUND(E4867-E4866,2)</f>
        <v/>
      </c>
      <c r="G4867" s="6">
        <f>ROUND(F4867-D4867,2)</f>
        <v/>
      </c>
    </row>
    <row r="4868">
      <c r="A4868" t="inlineStr">
        <is>
          <t>2022-11-26</t>
        </is>
      </c>
      <c r="B4868" t="n">
        <v>9</v>
      </c>
      <c r="C4868" t="n">
        <v>3108</v>
      </c>
      <c r="D4868" s="6" t="n">
        <v>61.8</v>
      </c>
      <c r="E4868" s="6" t="n">
        <v>1323836.94</v>
      </c>
      <c r="F4868" s="6">
        <f>ROUND(E4868-E4867,2)</f>
        <v/>
      </c>
      <c r="G4868" s="6">
        <f>ROUND(F4868-D4868,2)</f>
        <v/>
      </c>
    </row>
    <row r="4869">
      <c r="A4869" t="inlineStr">
        <is>
          <t>2022-11-26</t>
        </is>
      </c>
      <c r="B4869" t="n">
        <v>10</v>
      </c>
      <c r="C4869" t="n">
        <v>3108</v>
      </c>
      <c r="D4869" s="6" t="n">
        <v>37.8</v>
      </c>
      <c r="E4869" s="6" t="n">
        <v>1323874.74</v>
      </c>
      <c r="F4869" s="6">
        <f>ROUND(E4869-E4868,2)</f>
        <v/>
      </c>
      <c r="G4869" s="6">
        <f>ROUND(F4869-D4869,2)</f>
        <v/>
      </c>
    </row>
    <row r="4870">
      <c r="A4870" t="inlineStr">
        <is>
          <t>2022-11-26</t>
        </is>
      </c>
      <c r="B4870" t="n">
        <v>11</v>
      </c>
      <c r="C4870" t="n">
        <v>3108</v>
      </c>
      <c r="D4870" s="6" t="n">
        <v>52.3</v>
      </c>
      <c r="E4870" s="6" t="n">
        <v>1323927.04</v>
      </c>
      <c r="F4870" s="6">
        <f>ROUND(E4870-E4869,2)</f>
        <v/>
      </c>
      <c r="G4870" s="6">
        <f>ROUND(F4870-D4870,2)</f>
        <v/>
      </c>
    </row>
    <row r="4871">
      <c r="A4871" t="inlineStr">
        <is>
          <t>2022-11-26</t>
        </is>
      </c>
      <c r="B4871" t="n">
        <v>12</v>
      </c>
      <c r="C4871" t="n">
        <v>3108</v>
      </c>
      <c r="D4871" s="6" t="n">
        <v>22.6</v>
      </c>
      <c r="E4871" s="6" t="n">
        <v>1323949.64</v>
      </c>
      <c r="F4871" s="6">
        <f>ROUND(E4871-E4870,2)</f>
        <v/>
      </c>
      <c r="G4871" s="6">
        <f>ROUND(F4871-D4871,2)</f>
        <v/>
      </c>
    </row>
    <row r="4872">
      <c r="A4872" t="inlineStr">
        <is>
          <t>2022-11-26</t>
        </is>
      </c>
      <c r="B4872" t="n">
        <v>13</v>
      </c>
      <c r="C4872" t="n">
        <v>3108</v>
      </c>
      <c r="D4872" s="6" t="n">
        <v>69.5</v>
      </c>
      <c r="E4872" s="6" t="n">
        <v>1324019.14</v>
      </c>
      <c r="F4872" s="6">
        <f>ROUND(E4872-E4871,2)</f>
        <v/>
      </c>
      <c r="G4872" s="6">
        <f>ROUND(F4872-D4872,2)</f>
        <v/>
      </c>
    </row>
    <row r="4873">
      <c r="A4873" t="inlineStr">
        <is>
          <t>2022-11-26</t>
        </is>
      </c>
      <c r="B4873" t="n">
        <v>14</v>
      </c>
      <c r="C4873" t="n">
        <v>3108</v>
      </c>
      <c r="D4873" s="6" t="n">
        <v>152.6</v>
      </c>
      <c r="E4873" s="6" t="n">
        <v>1324171.74</v>
      </c>
      <c r="F4873" s="6">
        <f>ROUND(E4873-E4872,2)</f>
        <v/>
      </c>
      <c r="G4873" s="6">
        <f>ROUND(F4873-D4873,2)</f>
        <v/>
      </c>
    </row>
    <row r="4874">
      <c r="A4874" t="inlineStr">
        <is>
          <t>2022-11-26</t>
        </is>
      </c>
      <c r="B4874" t="n">
        <v>15</v>
      </c>
      <c r="C4874" t="n">
        <v>3108</v>
      </c>
      <c r="D4874" s="6" t="n">
        <v>73.90000000000001</v>
      </c>
      <c r="E4874" s="6" t="n">
        <v>1324245.64</v>
      </c>
      <c r="F4874" s="6">
        <f>ROUND(E4874-E4873,2)</f>
        <v/>
      </c>
      <c r="G4874" s="6">
        <f>ROUND(F4874-D4874,2)</f>
        <v/>
      </c>
    </row>
    <row r="4875">
      <c r="A4875" t="inlineStr">
        <is>
          <t>2022-11-26</t>
        </is>
      </c>
      <c r="B4875" t="n">
        <v>16</v>
      </c>
      <c r="C4875" t="n">
        <v>3108</v>
      </c>
      <c r="D4875" s="6" t="n">
        <v>96.40000000000001</v>
      </c>
      <c r="E4875" s="6" t="n">
        <v>1324342.04</v>
      </c>
      <c r="F4875" s="6">
        <f>ROUND(E4875-E4874,2)</f>
        <v/>
      </c>
      <c r="G4875" s="6">
        <f>ROUND(F4875-D4875,2)</f>
        <v/>
      </c>
    </row>
    <row r="4876">
      <c r="A4876" t="inlineStr">
        <is>
          <t>2022-11-26</t>
        </is>
      </c>
      <c r="B4876" t="n">
        <v>17</v>
      </c>
      <c r="C4876" t="n">
        <v>3108</v>
      </c>
      <c r="D4876" s="6" t="n">
        <v>183.9</v>
      </c>
      <c r="E4876" s="6" t="n">
        <v>1324525.94</v>
      </c>
      <c r="F4876" s="6">
        <f>ROUND(E4876-E4875,2)</f>
        <v/>
      </c>
      <c r="G4876" s="6">
        <f>ROUND(F4876-D4876,2)</f>
        <v/>
      </c>
    </row>
    <row r="4877">
      <c r="A4877" t="inlineStr">
        <is>
          <t>2022-11-26</t>
        </is>
      </c>
      <c r="B4877" t="n">
        <v>18</v>
      </c>
      <c r="C4877" t="n">
        <v>3108</v>
      </c>
      <c r="D4877" s="6" t="n">
        <v>63.35</v>
      </c>
      <c r="E4877" s="6" t="n">
        <v>1324589.29</v>
      </c>
      <c r="F4877" s="6">
        <f>ROUND(E4877-E4876,2)</f>
        <v/>
      </c>
      <c r="G4877" s="6">
        <f>ROUND(F4877-D4877,2)</f>
        <v/>
      </c>
    </row>
    <row r="4878">
      <c r="A4878" t="inlineStr">
        <is>
          <t>2022-11-26</t>
        </is>
      </c>
      <c r="B4878" t="n">
        <v>19</v>
      </c>
      <c r="C4878" t="n">
        <v>3108</v>
      </c>
      <c r="D4878" s="6" t="n">
        <v>75.95</v>
      </c>
      <c r="E4878" s="6" t="n">
        <v>1324665.24</v>
      </c>
      <c r="F4878" s="6">
        <f>ROUND(E4878-E4877,2)</f>
        <v/>
      </c>
      <c r="G4878" s="6">
        <f>ROUND(F4878-D4878,2)</f>
        <v/>
      </c>
    </row>
    <row r="4879">
      <c r="A4879" t="inlineStr">
        <is>
          <t>2022-11-26</t>
        </is>
      </c>
      <c r="B4879" t="n">
        <v>20</v>
      </c>
      <c r="C4879" t="n">
        <v>3108</v>
      </c>
      <c r="D4879" s="6" t="n">
        <v>30.5</v>
      </c>
      <c r="E4879" s="6" t="n">
        <v>1324695.74</v>
      </c>
      <c r="F4879" s="6">
        <f>ROUND(E4879-E4878,2)</f>
        <v/>
      </c>
      <c r="G4879" s="6">
        <f>ROUND(F4879-D4879,2)</f>
        <v/>
      </c>
    </row>
    <row r="4880">
      <c r="A4880" t="inlineStr">
        <is>
          <t>2022-11-26</t>
        </is>
      </c>
      <c r="B4880" t="n">
        <v>21</v>
      </c>
      <c r="C4880" t="n">
        <v>3108</v>
      </c>
      <c r="D4880" s="6" t="n">
        <v>30.5</v>
      </c>
      <c r="E4880" s="6" t="n">
        <v>1324726.24</v>
      </c>
      <c r="F4880" s="6">
        <f>ROUND(E4880-E4879,2)</f>
        <v/>
      </c>
      <c r="G4880" s="6">
        <f>ROUND(F4880-D4880,2)</f>
        <v/>
      </c>
    </row>
    <row r="4881">
      <c r="A4881" t="inlineStr">
        <is>
          <t>2022-11-26</t>
        </is>
      </c>
      <c r="B4881" t="n">
        <v>22</v>
      </c>
      <c r="C4881" t="n">
        <v>3108</v>
      </c>
      <c r="D4881" s="6" t="n">
        <v>108.9</v>
      </c>
      <c r="E4881" s="6" t="n">
        <v>1324835.14</v>
      </c>
      <c r="F4881" s="6">
        <f>ROUND(E4881-E4880,2)</f>
        <v/>
      </c>
      <c r="G4881" s="6">
        <f>ROUND(F4881-D4881,2)</f>
        <v/>
      </c>
    </row>
    <row r="4882">
      <c r="A4882" t="inlineStr">
        <is>
          <t>2022-11-26</t>
        </is>
      </c>
      <c r="B4882" t="n">
        <v>23</v>
      </c>
      <c r="C4882" t="n">
        <v>3108</v>
      </c>
      <c r="D4882" s="6" t="n">
        <v>87.7</v>
      </c>
      <c r="E4882" s="6" t="n">
        <v>1324922.84</v>
      </c>
      <c r="F4882" s="6">
        <f>ROUND(E4882-E4881,2)</f>
        <v/>
      </c>
      <c r="G4882" s="6">
        <f>ROUND(F4882-D4882,2)</f>
        <v/>
      </c>
    </row>
    <row r="4883">
      <c r="A4883" t="inlineStr">
        <is>
          <t>2022-11-26</t>
        </is>
      </c>
      <c r="B4883" t="n">
        <v>24</v>
      </c>
      <c r="C4883" t="n">
        <v>3108</v>
      </c>
      <c r="D4883" s="6" t="n">
        <v>39.7</v>
      </c>
      <c r="E4883" s="6" t="n">
        <v>1324962.54</v>
      </c>
      <c r="F4883" s="6">
        <f>ROUND(E4883-E4882,2)</f>
        <v/>
      </c>
      <c r="G4883" s="6">
        <f>ROUND(F4883-D4883,2)</f>
        <v/>
      </c>
    </row>
    <row r="4884">
      <c r="A4884" t="inlineStr">
        <is>
          <t>2022-11-26</t>
        </is>
      </c>
      <c r="B4884" t="n">
        <v>25</v>
      </c>
      <c r="C4884" t="n">
        <v>3108</v>
      </c>
      <c r="D4884" s="6" t="n">
        <v>39.7</v>
      </c>
      <c r="E4884" s="6" t="n">
        <v>1325002.24</v>
      </c>
      <c r="F4884" s="6">
        <f>ROUND(E4884-E4883,2)</f>
        <v/>
      </c>
      <c r="G4884" s="6">
        <f>ROUND(F4884-D4884,2)</f>
        <v/>
      </c>
    </row>
    <row r="4885">
      <c r="A4885" t="inlineStr">
        <is>
          <t>2022-11-27</t>
        </is>
      </c>
      <c r="B4885" t="n">
        <v>1</v>
      </c>
      <c r="C4885" t="n">
        <v>3109</v>
      </c>
      <c r="D4885" s="6" t="n">
        <v>50.2</v>
      </c>
      <c r="E4885" s="6" t="n">
        <v>1325052.44</v>
      </c>
      <c r="F4885" s="6">
        <f>ROUND(E4885-E4884,2)</f>
        <v/>
      </c>
      <c r="G4885" s="6">
        <f>ROUND(F4885-D4885,2)</f>
        <v/>
      </c>
    </row>
    <row r="4886">
      <c r="A4886" t="inlineStr">
        <is>
          <t>2022-11-27</t>
        </is>
      </c>
      <c r="B4886" t="n">
        <v>2</v>
      </c>
      <c r="C4886" t="n">
        <v>3109</v>
      </c>
      <c r="D4886" s="6" t="n">
        <v>53.6</v>
      </c>
      <c r="E4886" s="6" t="n">
        <v>1325106.04</v>
      </c>
      <c r="F4886" s="6">
        <f>ROUND(E4886-E4885,2)</f>
        <v/>
      </c>
      <c r="G4886" s="6">
        <f>ROUND(F4886-D4886,2)</f>
        <v/>
      </c>
    </row>
    <row r="4887">
      <c r="A4887" t="inlineStr">
        <is>
          <t>2022-11-27</t>
        </is>
      </c>
      <c r="B4887" t="n">
        <v>3</v>
      </c>
      <c r="C4887" t="n">
        <v>3109</v>
      </c>
      <c r="D4887" s="6" t="n">
        <v>103.5</v>
      </c>
      <c r="E4887" s="6" t="n">
        <v>1325209.54</v>
      </c>
      <c r="F4887" s="6">
        <f>ROUND(E4887-E4886,2)</f>
        <v/>
      </c>
      <c r="G4887" s="6">
        <f>ROUND(F4887-D4887,2)</f>
        <v/>
      </c>
    </row>
    <row r="4888">
      <c r="A4888" t="inlineStr">
        <is>
          <t>2022-11-27</t>
        </is>
      </c>
      <c r="B4888" t="n">
        <v>4</v>
      </c>
      <c r="C4888" t="n">
        <v>3109</v>
      </c>
      <c r="D4888" s="6" t="n">
        <v>74.7</v>
      </c>
      <c r="E4888" s="6" t="n">
        <v>1325284.24</v>
      </c>
      <c r="F4888" s="6">
        <f>ROUND(E4888-E4887,2)</f>
        <v/>
      </c>
      <c r="G4888" s="6">
        <f>ROUND(F4888-D4888,2)</f>
        <v/>
      </c>
    </row>
    <row r="4889">
      <c r="A4889" t="inlineStr">
        <is>
          <t>2022-11-27</t>
        </is>
      </c>
      <c r="B4889" t="n">
        <v>5</v>
      </c>
      <c r="C4889" t="n">
        <v>3109</v>
      </c>
      <c r="D4889" s="6" t="n">
        <v>165.3</v>
      </c>
      <c r="E4889" s="6" t="n">
        <v>1325449.54</v>
      </c>
      <c r="F4889" s="6">
        <f>ROUND(E4889-E4888,2)</f>
        <v/>
      </c>
      <c r="G4889" s="6">
        <f>ROUND(F4889-D4889,2)</f>
        <v/>
      </c>
    </row>
    <row r="4890">
      <c r="A4890" t="inlineStr">
        <is>
          <t>2022-11-27</t>
        </is>
      </c>
      <c r="B4890" t="n">
        <v>6</v>
      </c>
      <c r="C4890" t="n">
        <v>3109</v>
      </c>
      <c r="D4890" s="6" t="n">
        <v>48.9</v>
      </c>
      <c r="E4890" s="6" t="n">
        <v>1325498.44</v>
      </c>
      <c r="F4890" s="6">
        <f>ROUND(E4890-E4889,2)</f>
        <v/>
      </c>
      <c r="G4890" s="6">
        <f>ROUND(F4890-D4890,2)</f>
        <v/>
      </c>
    </row>
    <row r="4891">
      <c r="A4891" t="inlineStr">
        <is>
          <t>2022-11-27</t>
        </is>
      </c>
      <c r="B4891" t="n">
        <v>7</v>
      </c>
      <c r="C4891" t="n">
        <v>3109</v>
      </c>
      <c r="D4891" s="6" t="n">
        <v>136.6</v>
      </c>
      <c r="E4891" s="6" t="n">
        <v>1325635.04</v>
      </c>
      <c r="F4891" s="6">
        <f>ROUND(E4891-E4890,2)</f>
        <v/>
      </c>
      <c r="G4891" s="6">
        <f>ROUND(F4891-D4891,2)</f>
        <v/>
      </c>
    </row>
    <row r="4892">
      <c r="A4892" t="inlineStr">
        <is>
          <t>2022-11-27</t>
        </is>
      </c>
      <c r="B4892" t="n">
        <v>8</v>
      </c>
      <c r="C4892" t="n">
        <v>3109</v>
      </c>
      <c r="D4892" s="6" t="n">
        <v>80.59999999999999</v>
      </c>
      <c r="E4892" s="6" t="n">
        <v>1325715.64</v>
      </c>
      <c r="F4892" s="6">
        <f>ROUND(E4892-E4891,2)</f>
        <v/>
      </c>
      <c r="G4892" s="6">
        <f>ROUND(F4892-D4892,2)</f>
        <v/>
      </c>
    </row>
    <row r="4893">
      <c r="A4893" t="inlineStr">
        <is>
          <t>2022-11-27</t>
        </is>
      </c>
      <c r="B4893" t="n">
        <v>9</v>
      </c>
      <c r="C4893" t="n">
        <v>3109</v>
      </c>
      <c r="D4893" s="6" t="n">
        <v>75.5</v>
      </c>
      <c r="E4893" s="6" t="n">
        <v>1325791.14</v>
      </c>
      <c r="F4893" s="6">
        <f>ROUND(E4893-E4892,2)</f>
        <v/>
      </c>
      <c r="G4893" s="6">
        <f>ROUND(F4893-D4893,2)</f>
        <v/>
      </c>
    </row>
    <row r="4894">
      <c r="A4894" t="inlineStr">
        <is>
          <t>2022-11-27</t>
        </is>
      </c>
      <c r="B4894" t="n">
        <v>10</v>
      </c>
      <c r="C4894" t="n">
        <v>3109</v>
      </c>
      <c r="D4894" s="6" t="n">
        <v>236.2</v>
      </c>
      <c r="E4894" s="6" t="n">
        <v>1326027.34</v>
      </c>
      <c r="F4894" s="6">
        <f>ROUND(E4894-E4893,2)</f>
        <v/>
      </c>
      <c r="G4894" s="6">
        <f>ROUND(F4894-D4894,2)</f>
        <v/>
      </c>
    </row>
    <row r="4895">
      <c r="A4895" t="inlineStr">
        <is>
          <t>2022-11-27</t>
        </is>
      </c>
      <c r="B4895" t="n">
        <v>11</v>
      </c>
      <c r="C4895" t="n">
        <v>3109</v>
      </c>
      <c r="D4895" s="6" t="n">
        <v>107</v>
      </c>
      <c r="E4895" s="6" t="n">
        <v>1326134.34</v>
      </c>
      <c r="F4895" s="6">
        <f>ROUND(E4895-E4894,2)</f>
        <v/>
      </c>
      <c r="G4895" s="6">
        <f>ROUND(F4895-D4895,2)</f>
        <v/>
      </c>
    </row>
    <row r="4896">
      <c r="A4896" t="inlineStr">
        <is>
          <t>2022-12-07</t>
        </is>
      </c>
      <c r="B4896" t="n">
        <v>1</v>
      </c>
      <c r="C4896" t="n">
        <v>3110</v>
      </c>
      <c r="D4896" s="6" t="n">
        <v>37.2</v>
      </c>
      <c r="E4896" s="6" t="n">
        <v>1326171.54</v>
      </c>
      <c r="F4896" s="6">
        <f>ROUND(E4896-E4895,2)</f>
        <v/>
      </c>
      <c r="G4896" s="6">
        <f>ROUND(F4896-D4896,2)</f>
        <v/>
      </c>
    </row>
    <row r="4897">
      <c r="A4897" t="inlineStr">
        <is>
          <t>2022-12-07</t>
        </is>
      </c>
      <c r="B4897" t="n">
        <v>2</v>
      </c>
      <c r="C4897" t="n">
        <v>3110</v>
      </c>
      <c r="D4897" s="6" t="n">
        <v>34.1</v>
      </c>
      <c r="E4897" s="6" t="n">
        <v>1326205.64</v>
      </c>
      <c r="F4897" s="6">
        <f>ROUND(E4897-E4896,2)</f>
        <v/>
      </c>
      <c r="G4897" s="6">
        <f>ROUND(F4897-D4897,2)</f>
        <v/>
      </c>
    </row>
    <row r="4898">
      <c r="A4898" t="inlineStr">
        <is>
          <t>2022-12-07</t>
        </is>
      </c>
      <c r="B4898" t="n">
        <v>3</v>
      </c>
      <c r="C4898" t="n">
        <v>3110</v>
      </c>
      <c r="D4898" s="6" t="n">
        <v>94.40000000000001</v>
      </c>
      <c r="E4898" s="6" t="n">
        <v>1326300.04</v>
      </c>
      <c r="F4898" s="6">
        <f>ROUND(E4898-E4897,2)</f>
        <v/>
      </c>
      <c r="G4898" s="6">
        <f>ROUND(F4898-D4898,2)</f>
        <v/>
      </c>
    </row>
    <row r="4899">
      <c r="A4899" t="inlineStr">
        <is>
          <t>2022-12-07</t>
        </is>
      </c>
      <c r="B4899" t="n">
        <v>4</v>
      </c>
      <c r="C4899" t="n">
        <v>3110</v>
      </c>
      <c r="D4899" s="6" t="n">
        <v>87.3</v>
      </c>
      <c r="E4899" s="6" t="n">
        <v>1326387.34</v>
      </c>
      <c r="F4899" s="6">
        <f>ROUND(E4899-E4898,2)</f>
        <v/>
      </c>
      <c r="G4899" s="6">
        <f>ROUND(F4899-D4899,2)</f>
        <v/>
      </c>
    </row>
    <row r="4900">
      <c r="A4900" t="inlineStr">
        <is>
          <t>2022-12-07</t>
        </is>
      </c>
      <c r="B4900" t="n">
        <v>5</v>
      </c>
      <c r="C4900" t="n">
        <v>3110</v>
      </c>
      <c r="D4900" s="6" t="n">
        <v>61.3</v>
      </c>
      <c r="E4900" s="6" t="n">
        <v>1326448.64</v>
      </c>
      <c r="F4900" s="6">
        <f>ROUND(E4900-E4899,2)</f>
        <v/>
      </c>
      <c r="G4900" s="6">
        <f>ROUND(F4900-D4900,2)</f>
        <v/>
      </c>
    </row>
    <row r="4901">
      <c r="A4901" t="inlineStr">
        <is>
          <t>2022-12-07</t>
        </is>
      </c>
      <c r="B4901" t="n">
        <v>6</v>
      </c>
      <c r="C4901" t="n">
        <v>3110</v>
      </c>
      <c r="D4901" s="6" t="n">
        <v>40.4</v>
      </c>
      <c r="E4901" s="6" t="n">
        <v>1326489.04</v>
      </c>
      <c r="F4901" s="6">
        <f>ROUND(E4901-E4900,2)</f>
        <v/>
      </c>
      <c r="G4901" s="6">
        <f>ROUND(F4901-D4901,2)</f>
        <v/>
      </c>
    </row>
    <row r="4902">
      <c r="A4902" t="inlineStr">
        <is>
          <t>2022-12-07</t>
        </is>
      </c>
      <c r="B4902" t="n">
        <v>7</v>
      </c>
      <c r="C4902" t="n">
        <v>3110</v>
      </c>
      <c r="D4902" s="6" t="n">
        <v>41.1</v>
      </c>
      <c r="E4902" s="6" t="n">
        <v>1326530.14</v>
      </c>
      <c r="F4902" s="6">
        <f>ROUND(E4902-E4901,2)</f>
        <v/>
      </c>
      <c r="G4902" s="6">
        <f>ROUND(F4902-D4902,2)</f>
        <v/>
      </c>
    </row>
    <row r="4903">
      <c r="A4903" t="inlineStr">
        <is>
          <t>2022-12-07</t>
        </is>
      </c>
      <c r="B4903" t="n">
        <v>8</v>
      </c>
      <c r="C4903" t="n">
        <v>3110</v>
      </c>
      <c r="D4903" s="6" t="n">
        <v>80.5</v>
      </c>
      <c r="E4903" s="6" t="n">
        <v>1326610.64</v>
      </c>
      <c r="F4903" s="6">
        <f>ROUND(E4903-E4902,2)</f>
        <v/>
      </c>
      <c r="G4903" s="6">
        <f>ROUND(F4903-D4903,2)</f>
        <v/>
      </c>
    </row>
    <row r="4904">
      <c r="A4904" t="inlineStr">
        <is>
          <t>2022-12-07</t>
        </is>
      </c>
      <c r="B4904" t="n">
        <v>9</v>
      </c>
      <c r="C4904" t="n">
        <v>3110</v>
      </c>
      <c r="D4904" s="6" t="n">
        <v>58.4</v>
      </c>
      <c r="E4904" s="6" t="n">
        <v>1326669.04</v>
      </c>
      <c r="F4904" s="6">
        <f>ROUND(E4904-E4903,2)</f>
        <v/>
      </c>
      <c r="G4904" s="6">
        <f>ROUND(F4904-D4904,2)</f>
        <v/>
      </c>
    </row>
    <row r="4905">
      <c r="A4905" t="inlineStr">
        <is>
          <t>2022-12-07</t>
        </is>
      </c>
      <c r="B4905" t="n">
        <v>10</v>
      </c>
      <c r="C4905" t="n">
        <v>3110</v>
      </c>
      <c r="D4905" s="6" t="n">
        <v>24.9</v>
      </c>
      <c r="E4905" s="6" t="n">
        <v>1326693.94</v>
      </c>
      <c r="F4905" s="6">
        <f>ROUND(E4905-E4904,2)</f>
        <v/>
      </c>
      <c r="G4905" s="6">
        <f>ROUND(F4905-D4905,2)</f>
        <v/>
      </c>
    </row>
    <row r="4906">
      <c r="A4906" t="inlineStr">
        <is>
          <t>2022-12-07</t>
        </is>
      </c>
      <c r="B4906" t="n">
        <v>11</v>
      </c>
      <c r="C4906" t="n">
        <v>3110</v>
      </c>
      <c r="D4906" s="6" t="n">
        <v>39.2</v>
      </c>
      <c r="E4906" s="6" t="n">
        <v>1326733.14</v>
      </c>
      <c r="F4906" s="6">
        <f>ROUND(E4906-E4905,2)</f>
        <v/>
      </c>
      <c r="G4906" s="6">
        <f>ROUND(F4906-D4906,2)</f>
        <v/>
      </c>
    </row>
    <row r="4907">
      <c r="A4907" t="inlineStr">
        <is>
          <t>2022-12-07</t>
        </is>
      </c>
      <c r="B4907" t="n">
        <v>12</v>
      </c>
      <c r="C4907" t="n">
        <v>3110</v>
      </c>
      <c r="D4907" s="6" t="n">
        <v>46.1</v>
      </c>
      <c r="E4907" s="6" t="n">
        <v>1326779.24</v>
      </c>
      <c r="F4907" s="6">
        <f>ROUND(E4907-E4906,2)</f>
        <v/>
      </c>
      <c r="G4907" s="6">
        <f>ROUND(F4907-D4907,2)</f>
        <v/>
      </c>
    </row>
    <row r="4908">
      <c r="A4908" t="inlineStr">
        <is>
          <t>2022-12-07</t>
        </is>
      </c>
      <c r="B4908" t="n">
        <v>13</v>
      </c>
      <c r="C4908" t="n">
        <v>3110</v>
      </c>
      <c r="D4908" s="6" t="n">
        <v>45.7</v>
      </c>
      <c r="E4908" s="6" t="n">
        <v>1326824.94</v>
      </c>
      <c r="F4908" s="6">
        <f>ROUND(E4908-E4907,2)</f>
        <v/>
      </c>
      <c r="G4908" s="6">
        <f>ROUND(F4908-D4908,2)</f>
        <v/>
      </c>
    </row>
    <row r="4909">
      <c r="A4909" t="inlineStr">
        <is>
          <t>2022-12-07</t>
        </is>
      </c>
      <c r="B4909" t="n">
        <v>14</v>
      </c>
      <c r="C4909" t="n">
        <v>3110</v>
      </c>
      <c r="D4909" s="6" t="n">
        <v>28.35</v>
      </c>
      <c r="E4909" s="6" t="n">
        <v>1326853.29</v>
      </c>
      <c r="F4909" s="6">
        <f>ROUND(E4909-E4908,2)</f>
        <v/>
      </c>
      <c r="G4909" s="6">
        <f>ROUND(F4909-D4909,2)</f>
        <v/>
      </c>
    </row>
    <row r="4910">
      <c r="A4910" t="inlineStr">
        <is>
          <t>2022-12-07</t>
        </is>
      </c>
      <c r="B4910" t="n">
        <v>15</v>
      </c>
      <c r="C4910" t="n">
        <v>3110</v>
      </c>
      <c r="D4910" s="6" t="n">
        <v>60.5</v>
      </c>
      <c r="E4910" s="6" t="n">
        <v>1326913.79</v>
      </c>
      <c r="F4910" s="6">
        <f>ROUND(E4910-E4909,2)</f>
        <v/>
      </c>
      <c r="G4910" s="6">
        <f>ROUND(F4910-D4910,2)</f>
        <v/>
      </c>
    </row>
    <row r="4911">
      <c r="A4911" t="inlineStr">
        <is>
          <t>2022-12-07</t>
        </is>
      </c>
      <c r="B4911" t="n">
        <v>16</v>
      </c>
      <c r="C4911" t="n">
        <v>3110</v>
      </c>
      <c r="D4911" s="6" t="n">
        <v>45.1</v>
      </c>
      <c r="E4911" s="6" t="n">
        <v>1326958.89</v>
      </c>
      <c r="F4911" s="6">
        <f>ROUND(E4911-E4910,2)</f>
        <v/>
      </c>
      <c r="G4911" s="6">
        <f>ROUND(F4911-D4911,2)</f>
        <v/>
      </c>
    </row>
    <row r="4912">
      <c r="A4912" t="inlineStr">
        <is>
          <t>2022-12-07</t>
        </is>
      </c>
      <c r="B4912" t="n">
        <v>17</v>
      </c>
      <c r="C4912" t="n">
        <v>3110</v>
      </c>
      <c r="D4912" s="6" t="n">
        <v>48.1</v>
      </c>
      <c r="E4912" s="6" t="n">
        <v>1327006.99</v>
      </c>
      <c r="F4912" s="6">
        <f>ROUND(E4912-E4911,2)</f>
        <v/>
      </c>
      <c r="G4912" s="6">
        <f>ROUND(F4912-D4912,2)</f>
        <v/>
      </c>
    </row>
    <row r="4913">
      <c r="A4913" t="inlineStr">
        <is>
          <t>2022-12-07</t>
        </is>
      </c>
      <c r="B4913" t="n">
        <v>18</v>
      </c>
      <c r="C4913" t="n">
        <v>3110</v>
      </c>
      <c r="D4913" s="6" t="n">
        <v>21.85</v>
      </c>
      <c r="E4913" s="6" t="n">
        <v>1327028.84</v>
      </c>
      <c r="F4913" s="6">
        <f>ROUND(E4913-E4912,2)</f>
        <v/>
      </c>
      <c r="G4913" s="6">
        <f>ROUND(F4913-D4913,2)</f>
        <v/>
      </c>
    </row>
    <row r="4914">
      <c r="A4914" t="inlineStr">
        <is>
          <t>2022-12-07</t>
        </is>
      </c>
      <c r="B4914" t="n">
        <v>19</v>
      </c>
      <c r="C4914" t="n">
        <v>3110</v>
      </c>
      <c r="D4914" s="6" t="n">
        <v>21.85</v>
      </c>
      <c r="E4914" s="6" t="n">
        <v>1327050.69</v>
      </c>
      <c r="F4914" s="6">
        <f>ROUND(E4914-E4913,2)</f>
        <v/>
      </c>
      <c r="G4914" s="6">
        <f>ROUND(F4914-D4914,2)</f>
        <v/>
      </c>
    </row>
    <row r="4915">
      <c r="A4915" t="inlineStr">
        <is>
          <t>2022-12-08</t>
        </is>
      </c>
      <c r="B4915" t="n">
        <v>1</v>
      </c>
      <c r="C4915" t="n">
        <v>3111</v>
      </c>
      <c r="D4915" s="6" t="n">
        <v>112.5</v>
      </c>
      <c r="E4915" s="6" t="n">
        <v>1327163.19</v>
      </c>
      <c r="F4915" s="6">
        <f>ROUND(E4915-E4914,2)</f>
        <v/>
      </c>
      <c r="G4915" s="6">
        <f>ROUND(F4915-D4915,2)</f>
        <v/>
      </c>
    </row>
    <row r="4916">
      <c r="A4916" t="inlineStr">
        <is>
          <t>2022-12-08</t>
        </is>
      </c>
      <c r="B4916" t="n">
        <v>2</v>
      </c>
      <c r="C4916" t="n">
        <v>3111</v>
      </c>
      <c r="D4916" s="6" t="n">
        <v>70.2</v>
      </c>
      <c r="E4916" s="6" t="n">
        <v>1327233.39</v>
      </c>
      <c r="F4916" s="6">
        <f>ROUND(E4916-E4915,2)</f>
        <v/>
      </c>
      <c r="G4916" s="6">
        <f>ROUND(F4916-D4916,2)</f>
        <v/>
      </c>
    </row>
    <row r="4917">
      <c r="A4917" t="inlineStr">
        <is>
          <t>2022-12-08</t>
        </is>
      </c>
      <c r="B4917" t="n">
        <v>3</v>
      </c>
      <c r="C4917" t="n">
        <v>3111</v>
      </c>
      <c r="D4917" s="6" t="n">
        <v>96.3</v>
      </c>
      <c r="E4917" s="6" t="n">
        <v>1327329.69</v>
      </c>
      <c r="F4917" s="6">
        <f>ROUND(E4917-E4916,2)</f>
        <v/>
      </c>
      <c r="G4917" s="6">
        <f>ROUND(F4917-D4917,2)</f>
        <v/>
      </c>
    </row>
    <row r="4918">
      <c r="A4918" t="inlineStr">
        <is>
          <t>2022-12-08</t>
        </is>
      </c>
      <c r="B4918" t="n">
        <v>4</v>
      </c>
      <c r="C4918" t="n">
        <v>3111</v>
      </c>
      <c r="D4918" s="6" t="n">
        <v>194.7</v>
      </c>
      <c r="E4918" s="6" t="n">
        <v>1327524.39</v>
      </c>
      <c r="F4918" s="6">
        <f>ROUND(E4918-E4917,2)</f>
        <v/>
      </c>
      <c r="G4918" s="6">
        <f>ROUND(F4918-D4918,2)</f>
        <v/>
      </c>
    </row>
    <row r="4919">
      <c r="A4919" t="inlineStr">
        <is>
          <t>2022-12-08</t>
        </is>
      </c>
      <c r="B4919" t="n">
        <v>5</v>
      </c>
      <c r="C4919" t="n">
        <v>3111</v>
      </c>
      <c r="D4919" s="6" t="n">
        <v>34</v>
      </c>
      <c r="E4919" s="6" t="n">
        <v>1327558.39</v>
      </c>
      <c r="F4919" s="6">
        <f>ROUND(E4919-E4918,2)</f>
        <v/>
      </c>
      <c r="G4919" s="6">
        <f>ROUND(F4919-D4919,2)</f>
        <v/>
      </c>
    </row>
    <row r="4920">
      <c r="A4920" t="inlineStr">
        <is>
          <t>2022-12-08</t>
        </is>
      </c>
      <c r="B4920" t="n">
        <v>6</v>
      </c>
      <c r="C4920" t="n">
        <v>3111</v>
      </c>
      <c r="D4920" s="6" t="n">
        <v>35.04</v>
      </c>
      <c r="E4920" s="6" t="n">
        <v>1327593.43</v>
      </c>
      <c r="F4920" s="6">
        <f>ROUND(E4920-E4919,2)</f>
        <v/>
      </c>
      <c r="G4920" s="6">
        <f>ROUND(F4920-D4920,2)</f>
        <v/>
      </c>
    </row>
    <row r="4921">
      <c r="A4921" t="inlineStr">
        <is>
          <t>2022-12-08</t>
        </is>
      </c>
      <c r="B4921" t="n">
        <v>7</v>
      </c>
      <c r="C4921" t="n">
        <v>3111</v>
      </c>
      <c r="D4921" s="6" t="n">
        <v>33.96</v>
      </c>
      <c r="E4921" s="6" t="n">
        <v>1327627.39</v>
      </c>
      <c r="F4921" s="6">
        <f>ROUND(E4921-E4920,2)</f>
        <v/>
      </c>
      <c r="G4921" s="6">
        <f>ROUND(F4921-D4921,2)</f>
        <v/>
      </c>
    </row>
    <row r="4922">
      <c r="A4922" t="inlineStr">
        <is>
          <t>2022-12-08</t>
        </is>
      </c>
      <c r="B4922" t="n">
        <v>8</v>
      </c>
      <c r="C4922" t="n">
        <v>3111</v>
      </c>
      <c r="D4922" s="6" t="n">
        <v>33.8</v>
      </c>
      <c r="E4922" s="6" t="n">
        <v>1327661.19</v>
      </c>
      <c r="F4922" s="6">
        <f>ROUND(E4922-E4921,2)</f>
        <v/>
      </c>
      <c r="G4922" s="6">
        <f>ROUND(F4922-D4922,2)</f>
        <v/>
      </c>
    </row>
    <row r="4923">
      <c r="A4923" t="inlineStr">
        <is>
          <t>2022-12-09</t>
        </is>
      </c>
      <c r="B4923" t="n">
        <v>1</v>
      </c>
      <c r="C4923" t="n">
        <v>3112</v>
      </c>
      <c r="D4923" s="6" t="n">
        <v>40.9</v>
      </c>
      <c r="E4923" s="6" t="n">
        <v>1327702.09</v>
      </c>
      <c r="F4923" s="6">
        <f>ROUND(E4923-E4922,2)</f>
        <v/>
      </c>
      <c r="G4923" s="6">
        <f>ROUND(F4923-D4923,2)</f>
        <v/>
      </c>
    </row>
    <row r="4924">
      <c r="A4924" t="inlineStr">
        <is>
          <t>2022-12-09</t>
        </is>
      </c>
      <c r="B4924" t="n">
        <v>2</v>
      </c>
      <c r="C4924" t="n">
        <v>3112</v>
      </c>
      <c r="D4924" s="6" t="n">
        <v>85</v>
      </c>
      <c r="E4924" s="6" t="n">
        <v>1327787.09</v>
      </c>
      <c r="F4924" s="6">
        <f>ROUND(E4924-E4923,2)</f>
        <v/>
      </c>
      <c r="G4924" s="6">
        <f>ROUND(F4924-D4924,2)</f>
        <v/>
      </c>
    </row>
    <row r="4925">
      <c r="A4925" t="inlineStr">
        <is>
          <t>2022-12-09</t>
        </is>
      </c>
      <c r="B4925" t="n">
        <v>3</v>
      </c>
      <c r="C4925" t="n">
        <v>3112</v>
      </c>
      <c r="D4925" s="6" t="n">
        <v>61.4</v>
      </c>
      <c r="E4925" s="6" t="n">
        <v>1327848.49</v>
      </c>
      <c r="F4925" s="6">
        <f>ROUND(E4925-E4924,2)</f>
        <v/>
      </c>
      <c r="G4925" s="6">
        <f>ROUND(F4925-D4925,2)</f>
        <v/>
      </c>
    </row>
    <row r="4926">
      <c r="A4926" t="inlineStr">
        <is>
          <t>2022-12-09</t>
        </is>
      </c>
      <c r="B4926" t="n">
        <v>4</v>
      </c>
      <c r="C4926" t="n">
        <v>3112</v>
      </c>
      <c r="D4926" s="6" t="n">
        <v>55.5</v>
      </c>
      <c r="E4926" s="6" t="n">
        <v>1327903.99</v>
      </c>
      <c r="F4926" s="6">
        <f>ROUND(E4926-E4925,2)</f>
        <v/>
      </c>
      <c r="G4926" s="6">
        <f>ROUND(F4926-D4926,2)</f>
        <v/>
      </c>
    </row>
    <row r="4927">
      <c r="A4927" t="inlineStr">
        <is>
          <t>2022-12-09</t>
        </is>
      </c>
      <c r="B4927" t="n">
        <v>5</v>
      </c>
      <c r="C4927" t="n">
        <v>3112</v>
      </c>
      <c r="D4927" s="6" t="n">
        <v>52.6</v>
      </c>
      <c r="E4927" s="6" t="n">
        <v>1327956.59</v>
      </c>
      <c r="F4927" s="6">
        <f>ROUND(E4927-E4926,2)</f>
        <v/>
      </c>
      <c r="G4927" s="6">
        <f>ROUND(F4927-D4927,2)</f>
        <v/>
      </c>
    </row>
    <row r="4928">
      <c r="A4928" t="inlineStr">
        <is>
          <t>2022-12-09</t>
        </is>
      </c>
      <c r="B4928" t="n">
        <v>6</v>
      </c>
      <c r="C4928" t="n">
        <v>3112</v>
      </c>
      <c r="D4928" s="6" t="n">
        <v>104.9</v>
      </c>
      <c r="E4928" s="6" t="n">
        <v>1328061.49</v>
      </c>
      <c r="F4928" s="6">
        <f>ROUND(E4928-E4927,2)</f>
        <v/>
      </c>
      <c r="G4928" s="6">
        <f>ROUND(F4928-D4928,2)</f>
        <v/>
      </c>
    </row>
    <row r="4929">
      <c r="A4929" t="inlineStr">
        <is>
          <t>2022-12-09</t>
        </is>
      </c>
      <c r="B4929" t="n">
        <v>7</v>
      </c>
      <c r="C4929" t="n">
        <v>3112</v>
      </c>
      <c r="D4929" s="6" t="n">
        <v>202.4</v>
      </c>
      <c r="E4929" s="6" t="n">
        <v>1328263.89</v>
      </c>
      <c r="F4929" s="6">
        <f>ROUND(E4929-E4928,2)</f>
        <v/>
      </c>
      <c r="G4929" s="6">
        <f>ROUND(F4929-D4929,2)</f>
        <v/>
      </c>
    </row>
    <row r="4930">
      <c r="A4930" t="inlineStr">
        <is>
          <t>2022-12-09</t>
        </is>
      </c>
      <c r="B4930" t="n">
        <v>8</v>
      </c>
      <c r="C4930" t="n">
        <v>3112</v>
      </c>
      <c r="D4930" s="6" t="n">
        <v>80.59999999999999</v>
      </c>
      <c r="E4930" s="6" t="n">
        <v>1328344.49</v>
      </c>
      <c r="F4930" s="6">
        <f>ROUND(E4930-E4929,2)</f>
        <v/>
      </c>
      <c r="G4930" s="6">
        <f>ROUND(F4930-D4930,2)</f>
        <v/>
      </c>
    </row>
    <row r="4931">
      <c r="A4931" t="inlineStr">
        <is>
          <t>2022-12-09</t>
        </is>
      </c>
      <c r="B4931" t="n">
        <v>9</v>
      </c>
      <c r="C4931" t="n">
        <v>3112</v>
      </c>
      <c r="D4931" s="6" t="n">
        <v>53.4</v>
      </c>
      <c r="E4931" s="6" t="n">
        <v>1328397.89</v>
      </c>
      <c r="F4931" s="6">
        <f>ROUND(E4931-E4930,2)</f>
        <v/>
      </c>
      <c r="G4931" s="6">
        <f>ROUND(F4931-D4931,2)</f>
        <v/>
      </c>
    </row>
    <row r="4932">
      <c r="A4932" t="inlineStr">
        <is>
          <t>2022-12-09</t>
        </is>
      </c>
      <c r="B4932" t="n">
        <v>10</v>
      </c>
      <c r="C4932" t="n">
        <v>3112</v>
      </c>
      <c r="D4932" s="6" t="n">
        <v>53.4</v>
      </c>
      <c r="E4932" s="6" t="n">
        <v>1328451.29</v>
      </c>
      <c r="F4932" s="6">
        <f>ROUND(E4932-E4931,2)</f>
        <v/>
      </c>
      <c r="G4932" s="6">
        <f>ROUND(F4932-D4932,2)</f>
        <v/>
      </c>
    </row>
    <row r="4933">
      <c r="A4933" t="inlineStr">
        <is>
          <t>2022-12-09</t>
        </is>
      </c>
      <c r="B4933" t="n">
        <v>11</v>
      </c>
      <c r="C4933" t="n">
        <v>3112</v>
      </c>
      <c r="D4933" s="6" t="n">
        <v>37.1</v>
      </c>
      <c r="E4933" s="6" t="n">
        <v>1328488.39</v>
      </c>
      <c r="F4933" s="6">
        <f>ROUND(E4933-E4932,2)</f>
        <v/>
      </c>
      <c r="G4933" s="6">
        <f>ROUND(F4933-D4933,2)</f>
        <v/>
      </c>
    </row>
    <row r="4934">
      <c r="A4934" t="inlineStr">
        <is>
          <t>2022-12-09</t>
        </is>
      </c>
      <c r="B4934" t="n">
        <v>12</v>
      </c>
      <c r="C4934" t="n">
        <v>3112</v>
      </c>
      <c r="D4934" s="6" t="n">
        <v>43.1</v>
      </c>
      <c r="E4934" s="6" t="n">
        <v>1328531.49</v>
      </c>
      <c r="F4934" s="6">
        <f>ROUND(E4934-E4933,2)</f>
        <v/>
      </c>
      <c r="G4934" s="6">
        <f>ROUND(F4934-D4934,2)</f>
        <v/>
      </c>
    </row>
    <row r="4935">
      <c r="A4935" t="inlineStr">
        <is>
          <t>2022-12-09</t>
        </is>
      </c>
      <c r="B4935" t="n">
        <v>13</v>
      </c>
      <c r="C4935" t="n">
        <v>3112</v>
      </c>
      <c r="D4935" s="6" t="n">
        <v>41.5</v>
      </c>
      <c r="E4935" s="6" t="n">
        <v>1328572.99</v>
      </c>
      <c r="F4935" s="6">
        <f>ROUND(E4935-E4934,2)</f>
        <v/>
      </c>
      <c r="G4935" s="6">
        <f>ROUND(F4935-D4935,2)</f>
        <v/>
      </c>
    </row>
    <row r="4936">
      <c r="A4936" t="inlineStr">
        <is>
          <t>2022-12-09</t>
        </is>
      </c>
      <c r="B4936" t="n">
        <v>14</v>
      </c>
      <c r="C4936" t="n">
        <v>3112</v>
      </c>
      <c r="D4936" s="6" t="n">
        <v>33.8</v>
      </c>
      <c r="E4936" s="6" t="n">
        <v>1328606.79</v>
      </c>
      <c r="F4936" s="6">
        <f>ROUND(E4936-E4935,2)</f>
        <v/>
      </c>
      <c r="G4936" s="6">
        <f>ROUND(F4936-D4936,2)</f>
        <v/>
      </c>
    </row>
    <row r="4937">
      <c r="A4937" t="inlineStr">
        <is>
          <t>2022-12-09</t>
        </is>
      </c>
      <c r="B4937" t="n">
        <v>15</v>
      </c>
      <c r="C4937" t="n">
        <v>3112</v>
      </c>
      <c r="D4937" s="6" t="n">
        <v>156.5</v>
      </c>
      <c r="E4937" s="6" t="n">
        <v>1328763.29</v>
      </c>
      <c r="F4937" s="6">
        <f>ROUND(E4937-E4936,2)</f>
        <v/>
      </c>
      <c r="G4937" s="6">
        <f>ROUND(F4937-D4937,2)</f>
        <v/>
      </c>
    </row>
    <row r="4938">
      <c r="A4938" t="inlineStr">
        <is>
          <t>2022-12-10</t>
        </is>
      </c>
      <c r="B4938" t="n">
        <v>1</v>
      </c>
      <c r="C4938" t="n">
        <v>3113</v>
      </c>
      <c r="D4938" s="6" t="n">
        <v>26.1</v>
      </c>
      <c r="E4938" s="6" t="n">
        <v>1328789.39</v>
      </c>
      <c r="F4938" s="6">
        <f>ROUND(E4938-E4937,2)</f>
        <v/>
      </c>
      <c r="G4938" s="6">
        <f>ROUND(F4938-D4938,2)</f>
        <v/>
      </c>
    </row>
    <row r="4939">
      <c r="A4939" t="inlineStr">
        <is>
          <t>2022-12-10</t>
        </is>
      </c>
      <c r="B4939" t="n">
        <v>2</v>
      </c>
      <c r="C4939" t="n">
        <v>3113</v>
      </c>
      <c r="D4939" s="6" t="n">
        <v>41.9</v>
      </c>
      <c r="E4939" s="6" t="n">
        <v>1328831.29</v>
      </c>
      <c r="F4939" s="6">
        <f>ROUND(E4939-E4938,2)</f>
        <v/>
      </c>
      <c r="G4939" s="6">
        <f>ROUND(F4939-D4939,2)</f>
        <v/>
      </c>
    </row>
    <row r="4940">
      <c r="A4940" t="inlineStr">
        <is>
          <t>2022-12-10</t>
        </is>
      </c>
      <c r="B4940" t="n">
        <v>3</v>
      </c>
      <c r="C4940" t="n">
        <v>3113</v>
      </c>
      <c r="D4940" s="6" t="n">
        <v>69.40000000000001</v>
      </c>
      <c r="E4940" s="6" t="n">
        <v>1328900.69</v>
      </c>
      <c r="F4940" s="6">
        <f>ROUND(E4940-E4939,2)</f>
        <v/>
      </c>
      <c r="G4940" s="6">
        <f>ROUND(F4940-D4940,2)</f>
        <v/>
      </c>
    </row>
    <row r="4941">
      <c r="A4941" t="inlineStr">
        <is>
          <t>2022-12-10</t>
        </is>
      </c>
      <c r="B4941" t="n">
        <v>4</v>
      </c>
      <c r="C4941" t="n">
        <v>3113</v>
      </c>
      <c r="D4941" s="6" t="n">
        <v>90.8</v>
      </c>
      <c r="E4941" s="6" t="n">
        <v>1328991.49</v>
      </c>
      <c r="F4941" s="6">
        <f>ROUND(E4941-E4940,2)</f>
        <v/>
      </c>
      <c r="G4941" s="6">
        <f>ROUND(F4941-D4941,2)</f>
        <v/>
      </c>
    </row>
    <row r="4942">
      <c r="A4942" t="inlineStr">
        <is>
          <t>2022-12-10</t>
        </is>
      </c>
      <c r="B4942" t="n">
        <v>5</v>
      </c>
      <c r="C4942" t="n">
        <v>3113</v>
      </c>
      <c r="D4942" s="6" t="n">
        <v>89.2</v>
      </c>
      <c r="E4942" s="6" t="n">
        <v>1329080.69</v>
      </c>
      <c r="F4942" s="6">
        <f>ROUND(E4942-E4941,2)</f>
        <v/>
      </c>
      <c r="G4942" s="6">
        <f>ROUND(F4942-D4942,2)</f>
        <v/>
      </c>
    </row>
    <row r="4943">
      <c r="A4943" t="inlineStr">
        <is>
          <t>2022-12-10</t>
        </is>
      </c>
      <c r="B4943" t="n">
        <v>6</v>
      </c>
      <c r="C4943" t="n">
        <v>3113</v>
      </c>
      <c r="D4943" s="6" t="n">
        <v>33.7</v>
      </c>
      <c r="E4943" s="6" t="n">
        <v>1329114.39</v>
      </c>
      <c r="F4943" s="6">
        <f>ROUND(E4943-E4942,2)</f>
        <v/>
      </c>
      <c r="G4943" s="6">
        <f>ROUND(F4943-D4943,2)</f>
        <v/>
      </c>
    </row>
    <row r="4944">
      <c r="A4944" t="inlineStr">
        <is>
          <t>2022-12-10</t>
        </is>
      </c>
      <c r="B4944" t="n">
        <v>7</v>
      </c>
      <c r="C4944" t="n">
        <v>3113</v>
      </c>
      <c r="D4944" s="6" t="n">
        <v>33.7</v>
      </c>
      <c r="E4944" s="6" t="n">
        <v>1329148.09</v>
      </c>
      <c r="F4944" s="6">
        <f>ROUND(E4944-E4943,2)</f>
        <v/>
      </c>
      <c r="G4944" s="6">
        <f>ROUND(F4944-D4944,2)</f>
        <v/>
      </c>
    </row>
    <row r="4945">
      <c r="A4945" t="inlineStr">
        <is>
          <t>2022-12-10</t>
        </is>
      </c>
      <c r="B4945" t="n">
        <v>8</v>
      </c>
      <c r="C4945" t="n">
        <v>3113</v>
      </c>
      <c r="D4945" s="6" t="n">
        <v>75.7</v>
      </c>
      <c r="E4945" s="6" t="n">
        <v>1329223.79</v>
      </c>
      <c r="F4945" s="6">
        <f>ROUND(E4945-E4944,2)</f>
        <v/>
      </c>
      <c r="G4945" s="6">
        <f>ROUND(F4945-D4945,2)</f>
        <v/>
      </c>
    </row>
    <row r="4946">
      <c r="A4946" t="inlineStr">
        <is>
          <t>2022-12-10</t>
        </is>
      </c>
      <c r="B4946" t="n">
        <v>9</v>
      </c>
      <c r="C4946" t="n">
        <v>3113</v>
      </c>
      <c r="D4946" s="6" t="n">
        <v>85.5</v>
      </c>
      <c r="E4946" s="6" t="n">
        <v>1329309.29</v>
      </c>
      <c r="F4946" s="6">
        <f>ROUND(E4946-E4945,2)</f>
        <v/>
      </c>
      <c r="G4946" s="6">
        <f>ROUND(F4946-D4946,2)</f>
        <v/>
      </c>
    </row>
    <row r="4947">
      <c r="A4947" t="inlineStr">
        <is>
          <t>2022-12-10</t>
        </is>
      </c>
      <c r="B4947" t="n">
        <v>10</v>
      </c>
      <c r="C4947" t="n">
        <v>3113</v>
      </c>
      <c r="D4947" s="6" t="n">
        <v>84</v>
      </c>
      <c r="E4947" s="6" t="n">
        <v>1329393.29</v>
      </c>
      <c r="F4947" s="6">
        <f>ROUND(E4947-E4946,2)</f>
        <v/>
      </c>
      <c r="G4947" s="6">
        <f>ROUND(F4947-D4947,2)</f>
        <v/>
      </c>
    </row>
    <row r="4948">
      <c r="A4948" t="inlineStr">
        <is>
          <t>2022-12-10</t>
        </is>
      </c>
      <c r="B4948" t="n">
        <v>11</v>
      </c>
      <c r="C4948" t="n">
        <v>3113</v>
      </c>
      <c r="D4948" s="6" t="n">
        <v>54.4</v>
      </c>
      <c r="E4948" s="6" t="n">
        <v>1329447.69</v>
      </c>
      <c r="F4948" s="6">
        <f>ROUND(E4948-E4947,2)</f>
        <v/>
      </c>
      <c r="G4948" s="6">
        <f>ROUND(F4948-D4948,2)</f>
        <v/>
      </c>
    </row>
    <row r="4949">
      <c r="A4949" t="inlineStr">
        <is>
          <t>2022-12-10</t>
        </is>
      </c>
      <c r="B4949" t="n">
        <v>12</v>
      </c>
      <c r="C4949" t="n">
        <v>3113</v>
      </c>
      <c r="D4949" s="6" t="n">
        <v>55.5</v>
      </c>
      <c r="E4949" s="6" t="n">
        <v>1329503.19</v>
      </c>
      <c r="F4949" s="6">
        <f>ROUND(E4949-E4948,2)</f>
        <v/>
      </c>
      <c r="G4949" s="6">
        <f>ROUND(F4949-D4949,2)</f>
        <v/>
      </c>
    </row>
    <row r="4950">
      <c r="A4950" t="inlineStr">
        <is>
          <t>2022-12-10</t>
        </is>
      </c>
      <c r="B4950" t="n">
        <v>13</v>
      </c>
      <c r="C4950" t="n">
        <v>3113</v>
      </c>
      <c r="D4950" s="6" t="n">
        <v>55.4</v>
      </c>
      <c r="E4950" s="6" t="n">
        <v>1329558.59</v>
      </c>
      <c r="F4950" s="6">
        <f>ROUND(E4950-E4949,2)</f>
        <v/>
      </c>
      <c r="G4950" s="6">
        <f>ROUND(F4950-D4950,2)</f>
        <v/>
      </c>
    </row>
    <row r="4951">
      <c r="A4951" t="inlineStr">
        <is>
          <t>2022-12-10</t>
        </is>
      </c>
      <c r="B4951" t="n">
        <v>14</v>
      </c>
      <c r="C4951" t="n">
        <v>3113</v>
      </c>
      <c r="D4951" s="6" t="n">
        <v>77.7</v>
      </c>
      <c r="E4951" s="6" t="n">
        <v>1329636.29</v>
      </c>
      <c r="F4951" s="6">
        <f>ROUND(E4951-E4950,2)</f>
        <v/>
      </c>
      <c r="G4951" s="6">
        <f>ROUND(F4951-D4951,2)</f>
        <v/>
      </c>
    </row>
    <row r="4952">
      <c r="A4952" t="inlineStr">
        <is>
          <t>2022-12-10</t>
        </is>
      </c>
      <c r="B4952" t="n">
        <v>15</v>
      </c>
      <c r="C4952" t="n">
        <v>3113</v>
      </c>
      <c r="D4952" s="6" t="n">
        <v>172.7</v>
      </c>
      <c r="E4952" s="6" t="n">
        <v>1329808.99</v>
      </c>
      <c r="F4952" s="6">
        <f>ROUND(E4952-E4951,2)</f>
        <v/>
      </c>
      <c r="G4952" s="6">
        <f>ROUND(F4952-D4952,2)</f>
        <v/>
      </c>
    </row>
    <row r="4953">
      <c r="A4953" t="inlineStr">
        <is>
          <t>2022-12-10</t>
        </is>
      </c>
      <c r="B4953" t="n">
        <v>16</v>
      </c>
      <c r="C4953" t="n">
        <v>3113</v>
      </c>
      <c r="D4953" s="6" t="n">
        <v>129.7</v>
      </c>
      <c r="E4953" s="6" t="n">
        <v>1329938.69</v>
      </c>
      <c r="F4953" s="6">
        <f>ROUND(E4953-E4952,2)</f>
        <v/>
      </c>
      <c r="G4953" s="6">
        <f>ROUND(F4953-D4953,2)</f>
        <v/>
      </c>
    </row>
    <row r="4954">
      <c r="A4954" t="inlineStr">
        <is>
          <t>2022-12-10</t>
        </is>
      </c>
      <c r="B4954" t="n">
        <v>17</v>
      </c>
      <c r="C4954" t="n">
        <v>3113</v>
      </c>
      <c r="D4954" s="6" t="n">
        <v>110.1</v>
      </c>
      <c r="E4954" s="6" t="n">
        <v>1330048.79</v>
      </c>
      <c r="F4954" s="6">
        <f>ROUND(E4954-E4953,2)</f>
        <v/>
      </c>
      <c r="G4954" s="6">
        <f>ROUND(F4954-D4954,2)</f>
        <v/>
      </c>
    </row>
    <row r="4955">
      <c r="A4955" t="inlineStr">
        <is>
          <t>2022-12-10</t>
        </is>
      </c>
      <c r="B4955" t="n">
        <v>18</v>
      </c>
      <c r="C4955" t="n">
        <v>3113</v>
      </c>
      <c r="D4955" s="6" t="n">
        <v>33.15</v>
      </c>
      <c r="E4955" s="6" t="n">
        <v>1330081.94</v>
      </c>
      <c r="F4955" s="6">
        <f>ROUND(E4955-E4954,2)</f>
        <v/>
      </c>
      <c r="G4955" s="6">
        <f>ROUND(F4955-D4955,2)</f>
        <v/>
      </c>
    </row>
    <row r="4956">
      <c r="A4956" t="inlineStr">
        <is>
          <t>2022-12-10</t>
        </is>
      </c>
      <c r="B4956" t="n">
        <v>19</v>
      </c>
      <c r="C4956" t="n">
        <v>3113</v>
      </c>
      <c r="D4956" s="6" t="n">
        <v>33.15</v>
      </c>
      <c r="E4956" s="6" t="n">
        <v>1330115.09</v>
      </c>
      <c r="F4956" s="6">
        <f>ROUND(E4956-E4955,2)</f>
        <v/>
      </c>
      <c r="G4956" s="6">
        <f>ROUND(F4956-D4956,2)</f>
        <v/>
      </c>
    </row>
    <row r="4957">
      <c r="A4957" t="inlineStr">
        <is>
          <t>2022-12-11</t>
        </is>
      </c>
      <c r="B4957" t="n">
        <v>1</v>
      </c>
      <c r="C4957" t="n">
        <v>3114</v>
      </c>
      <c r="D4957" s="6" t="n">
        <v>23.7</v>
      </c>
      <c r="E4957" s="6" t="n">
        <v>1330138.79</v>
      </c>
      <c r="F4957" s="6">
        <f>ROUND(E4957-E4956,2)</f>
        <v/>
      </c>
      <c r="G4957" s="6">
        <f>ROUND(F4957-D4957,2)</f>
        <v/>
      </c>
    </row>
    <row r="4958">
      <c r="A4958" t="inlineStr">
        <is>
          <t>2022-12-11</t>
        </is>
      </c>
      <c r="B4958" t="n">
        <v>2</v>
      </c>
      <c r="C4958" t="n">
        <v>3114</v>
      </c>
      <c r="D4958" s="6" t="n">
        <v>60.8</v>
      </c>
      <c r="E4958" s="6" t="n">
        <v>1330199.59</v>
      </c>
      <c r="F4958" s="6">
        <f>ROUND(E4958-E4957,2)</f>
        <v/>
      </c>
      <c r="G4958" s="6">
        <f>ROUND(F4958-D4958,2)</f>
        <v/>
      </c>
    </row>
    <row r="4959">
      <c r="A4959" t="inlineStr">
        <is>
          <t>2022-12-11</t>
        </is>
      </c>
      <c r="B4959" t="n">
        <v>3</v>
      </c>
      <c r="C4959" t="n">
        <v>3114</v>
      </c>
      <c r="D4959" s="6" t="n">
        <v>48.4</v>
      </c>
      <c r="E4959" s="6" t="n">
        <v>1330247.99</v>
      </c>
      <c r="F4959" s="6">
        <f>ROUND(E4959-E4958,2)</f>
        <v/>
      </c>
      <c r="G4959" s="6">
        <f>ROUND(F4959-D4959,2)</f>
        <v/>
      </c>
    </row>
    <row r="4960">
      <c r="A4960" t="inlineStr">
        <is>
          <t>2022-12-11</t>
        </is>
      </c>
      <c r="B4960" t="n">
        <v>4</v>
      </c>
      <c r="C4960" t="n">
        <v>3114</v>
      </c>
      <c r="D4960" s="6" t="n">
        <v>76</v>
      </c>
      <c r="E4960" s="6" t="n">
        <v>1330323.99</v>
      </c>
      <c r="F4960" s="6">
        <f>ROUND(E4960-E4959,2)</f>
        <v/>
      </c>
      <c r="G4960" s="6">
        <f>ROUND(F4960-D4960,2)</f>
        <v/>
      </c>
    </row>
    <row r="4961">
      <c r="A4961" t="inlineStr">
        <is>
          <t>2022-12-11</t>
        </is>
      </c>
      <c r="B4961" t="n">
        <v>5</v>
      </c>
      <c r="C4961" t="n">
        <v>3114</v>
      </c>
      <c r="D4961" s="6" t="n">
        <v>77.59999999999999</v>
      </c>
      <c r="E4961" s="6" t="n">
        <v>1330401.59</v>
      </c>
      <c r="F4961" s="6">
        <f>ROUND(E4961-E4960,2)</f>
        <v/>
      </c>
      <c r="G4961" s="6">
        <f>ROUND(F4961-D4961,2)</f>
        <v/>
      </c>
    </row>
    <row r="4962">
      <c r="A4962" t="inlineStr">
        <is>
          <t>2022-12-11</t>
        </is>
      </c>
      <c r="B4962" t="n">
        <v>6</v>
      </c>
      <c r="C4962" t="n">
        <v>3114</v>
      </c>
      <c r="D4962" s="6" t="n">
        <v>85.8</v>
      </c>
      <c r="E4962" s="6" t="n">
        <v>1330487.39</v>
      </c>
      <c r="F4962" s="6">
        <f>ROUND(E4962-E4961,2)</f>
        <v/>
      </c>
      <c r="G4962" s="6">
        <f>ROUND(F4962-D4962,2)</f>
        <v/>
      </c>
    </row>
    <row r="4963">
      <c r="A4963" t="inlineStr">
        <is>
          <t>2022-12-11</t>
        </is>
      </c>
      <c r="B4963" t="n">
        <v>7</v>
      </c>
      <c r="C4963" t="n">
        <v>3114</v>
      </c>
      <c r="D4963" s="6" t="n">
        <v>83</v>
      </c>
      <c r="E4963" s="6" t="n">
        <v>1330570.39</v>
      </c>
      <c r="F4963" s="6">
        <f>ROUND(E4963-E4962,2)</f>
        <v/>
      </c>
      <c r="G4963" s="6">
        <f>ROUND(F4963-D4963,2)</f>
        <v/>
      </c>
    </row>
    <row r="4964">
      <c r="A4964" t="inlineStr">
        <is>
          <t>2022-12-11</t>
        </is>
      </c>
      <c r="B4964" t="n">
        <v>8</v>
      </c>
      <c r="C4964" t="n">
        <v>3114</v>
      </c>
      <c r="D4964" s="6" t="n">
        <v>53.9</v>
      </c>
      <c r="E4964" s="6" t="n">
        <v>1330624.29</v>
      </c>
      <c r="F4964" s="6">
        <f>ROUND(E4964-E4963,2)</f>
        <v/>
      </c>
      <c r="G4964" s="6">
        <f>ROUND(F4964-D4964,2)</f>
        <v/>
      </c>
    </row>
    <row r="4965">
      <c r="A4965" t="inlineStr">
        <is>
          <t>2022-12-11</t>
        </is>
      </c>
      <c r="B4965" t="n">
        <v>9</v>
      </c>
      <c r="C4965" t="n">
        <v>3114</v>
      </c>
      <c r="D4965" s="6" t="n">
        <v>87.5</v>
      </c>
      <c r="E4965" s="6" t="n">
        <v>1330711.79</v>
      </c>
      <c r="F4965" s="6">
        <f>ROUND(E4965-E4964,2)</f>
        <v/>
      </c>
      <c r="G4965" s="6">
        <f>ROUND(F4965-D4965,2)</f>
        <v/>
      </c>
    </row>
    <row r="4966">
      <c r="A4966" t="inlineStr">
        <is>
          <t>2022-12-11</t>
        </is>
      </c>
      <c r="B4966" t="n">
        <v>10</v>
      </c>
      <c r="C4966" t="n">
        <v>3114</v>
      </c>
      <c r="D4966" s="6" t="n">
        <v>68.59999999999999</v>
      </c>
      <c r="E4966" s="6" t="n">
        <v>1330780.39</v>
      </c>
      <c r="F4966" s="6">
        <f>ROUND(E4966-E4965,2)</f>
        <v/>
      </c>
      <c r="G4966" s="6">
        <f>ROUND(F4966-D4966,2)</f>
        <v/>
      </c>
    </row>
    <row r="4967">
      <c r="A4967" t="inlineStr">
        <is>
          <t>2022-12-11</t>
        </is>
      </c>
      <c r="B4967" t="n">
        <v>11</v>
      </c>
      <c r="C4967" t="n">
        <v>3114</v>
      </c>
      <c r="D4967" s="6" t="n">
        <v>78.8</v>
      </c>
      <c r="E4967" s="6" t="n">
        <v>1330859.19</v>
      </c>
      <c r="F4967" s="6">
        <f>ROUND(E4967-E4966,2)</f>
        <v/>
      </c>
      <c r="G4967" s="6">
        <f>ROUND(F4967-D4967,2)</f>
        <v/>
      </c>
    </row>
    <row r="4968">
      <c r="A4968" t="inlineStr">
        <is>
          <t>2022-12-11</t>
        </is>
      </c>
      <c r="B4968" t="n">
        <v>12</v>
      </c>
      <c r="C4968" t="n">
        <v>3114</v>
      </c>
      <c r="D4968" s="6" t="n">
        <v>145.4</v>
      </c>
      <c r="E4968" s="6" t="n">
        <v>1331004.59</v>
      </c>
      <c r="F4968" s="6">
        <f>ROUND(E4968-E4967,2)</f>
        <v/>
      </c>
      <c r="G4968" s="6">
        <f>ROUND(F4968-D4968,2)</f>
        <v/>
      </c>
    </row>
    <row r="4969">
      <c r="A4969" t="inlineStr">
        <is>
          <t>2022-12-11</t>
        </is>
      </c>
      <c r="B4969" t="n">
        <v>13</v>
      </c>
      <c r="C4969" t="n">
        <v>3114</v>
      </c>
      <c r="D4969" s="6" t="n">
        <v>117.4</v>
      </c>
      <c r="E4969" s="6" t="n">
        <v>1331121.99</v>
      </c>
      <c r="F4969" s="6">
        <f>ROUND(E4969-E4968,2)</f>
        <v/>
      </c>
      <c r="G4969" s="6">
        <f>ROUND(F4969-D4969,2)</f>
        <v/>
      </c>
    </row>
    <row r="4970">
      <c r="A4970" t="inlineStr">
        <is>
          <t>2022-12-14</t>
        </is>
      </c>
      <c r="B4970" t="n">
        <v>1</v>
      </c>
      <c r="C4970" t="n">
        <v>3115</v>
      </c>
      <c r="D4970" s="6" t="n">
        <v>51.9</v>
      </c>
      <c r="E4970" s="6" t="n">
        <v>1331173.89</v>
      </c>
      <c r="F4970" s="6">
        <f>ROUND(E4970-E4969,2)</f>
        <v/>
      </c>
      <c r="G4970" s="6">
        <f>ROUND(F4970-D4970,2)</f>
        <v/>
      </c>
    </row>
    <row r="4971">
      <c r="A4971" t="inlineStr">
        <is>
          <t>2022-12-14</t>
        </is>
      </c>
      <c r="B4971" t="n">
        <v>2</v>
      </c>
      <c r="C4971" t="n">
        <v>3115</v>
      </c>
      <c r="D4971" s="6" t="n">
        <v>69.59999999999999</v>
      </c>
      <c r="E4971" s="6" t="n">
        <v>1331243.49</v>
      </c>
      <c r="F4971" s="6">
        <f>ROUND(E4971-E4970,2)</f>
        <v/>
      </c>
      <c r="G4971" s="6">
        <f>ROUND(F4971-D4971,2)</f>
        <v/>
      </c>
    </row>
    <row r="4972">
      <c r="A4972" t="inlineStr">
        <is>
          <t>2022-12-14</t>
        </is>
      </c>
      <c r="B4972" t="n">
        <v>3</v>
      </c>
      <c r="C4972" t="n">
        <v>3115</v>
      </c>
      <c r="D4972" s="6" t="n">
        <v>36.2</v>
      </c>
      <c r="E4972" s="6" t="n">
        <v>1331279.69</v>
      </c>
      <c r="F4972" s="6">
        <f>ROUND(E4972-E4971,2)</f>
        <v/>
      </c>
      <c r="G4972" s="6">
        <f>ROUND(F4972-D4972,2)</f>
        <v/>
      </c>
    </row>
    <row r="4973">
      <c r="A4973" t="inlineStr">
        <is>
          <t>2022-12-14</t>
        </is>
      </c>
      <c r="B4973" t="n">
        <v>4</v>
      </c>
      <c r="C4973" t="n">
        <v>3115</v>
      </c>
      <c r="D4973" s="6" t="n">
        <v>25.9</v>
      </c>
      <c r="E4973" s="6" t="n">
        <v>1331305.59</v>
      </c>
      <c r="F4973" s="6">
        <f>ROUND(E4973-E4972,2)</f>
        <v/>
      </c>
      <c r="G4973" s="6">
        <f>ROUND(F4973-D4973,2)</f>
        <v/>
      </c>
    </row>
    <row r="4974">
      <c r="A4974" t="inlineStr">
        <is>
          <t>2022-12-14</t>
        </is>
      </c>
      <c r="B4974" t="n">
        <v>5</v>
      </c>
      <c r="C4974" t="n">
        <v>3115</v>
      </c>
      <c r="D4974" s="6" t="n">
        <v>23.1</v>
      </c>
      <c r="E4974" s="6" t="n">
        <v>1331328.69</v>
      </c>
      <c r="F4974" s="6">
        <f>ROUND(E4974-E4973,2)</f>
        <v/>
      </c>
      <c r="G4974" s="6">
        <f>ROUND(F4974-D4974,2)</f>
        <v/>
      </c>
    </row>
    <row r="4975">
      <c r="A4975" t="inlineStr">
        <is>
          <t>2022-12-14</t>
        </is>
      </c>
      <c r="B4975" t="n">
        <v>6</v>
      </c>
      <c r="C4975" t="n">
        <v>3115</v>
      </c>
      <c r="D4975" s="6" t="n">
        <v>24.3</v>
      </c>
      <c r="E4975" s="6" t="n">
        <v>1331352.99</v>
      </c>
      <c r="F4975" s="6">
        <f>ROUND(E4975-E4974,2)</f>
        <v/>
      </c>
      <c r="G4975" s="6">
        <f>ROUND(F4975-D4975,2)</f>
        <v/>
      </c>
    </row>
    <row r="4976">
      <c r="A4976" t="inlineStr">
        <is>
          <t>2022-12-14</t>
        </is>
      </c>
      <c r="B4976" t="n">
        <v>7</v>
      </c>
      <c r="C4976" t="n">
        <v>3115</v>
      </c>
      <c r="D4976" s="6" t="n">
        <v>19.1</v>
      </c>
      <c r="E4976" s="6" t="n">
        <v>1331372.09</v>
      </c>
      <c r="F4976" s="6">
        <f>ROUND(E4976-E4975,2)</f>
        <v/>
      </c>
      <c r="G4976" s="6">
        <f>ROUND(F4976-D4976,2)</f>
        <v/>
      </c>
    </row>
    <row r="4977">
      <c r="A4977" t="inlineStr">
        <is>
          <t>2022-12-14</t>
        </is>
      </c>
      <c r="B4977" t="n">
        <v>8</v>
      </c>
      <c r="C4977" t="n">
        <v>3115</v>
      </c>
      <c r="D4977" s="6" t="n">
        <v>82.59999999999999</v>
      </c>
      <c r="E4977" s="6" t="n">
        <v>1331454.69</v>
      </c>
      <c r="F4977" s="6">
        <f>ROUND(E4977-E4976,2)</f>
        <v/>
      </c>
      <c r="G4977" s="6">
        <f>ROUND(F4977-D4977,2)</f>
        <v/>
      </c>
    </row>
    <row r="4978">
      <c r="A4978" t="inlineStr">
        <is>
          <t>2022-12-14</t>
        </is>
      </c>
      <c r="B4978" t="n">
        <v>9</v>
      </c>
      <c r="C4978" t="n">
        <v>3115</v>
      </c>
      <c r="D4978" s="6" t="n">
        <v>209</v>
      </c>
      <c r="E4978" s="6" t="n">
        <v>1331663.69</v>
      </c>
      <c r="F4978" s="6">
        <f>ROUND(E4978-E4977,2)</f>
        <v/>
      </c>
      <c r="G4978" s="6">
        <f>ROUND(F4978-D4978,2)</f>
        <v/>
      </c>
    </row>
    <row r="4979">
      <c r="A4979" t="inlineStr">
        <is>
          <t>2022-12-15</t>
        </is>
      </c>
      <c r="B4979" t="n">
        <v>1</v>
      </c>
      <c r="C4979" t="n">
        <v>3116</v>
      </c>
      <c r="D4979" s="6" t="n">
        <v>62.9</v>
      </c>
      <c r="E4979" s="6" t="n">
        <v>1331726.59</v>
      </c>
      <c r="F4979" s="6">
        <f>ROUND(E4979-E4978,2)</f>
        <v/>
      </c>
      <c r="G4979" s="6">
        <f>ROUND(F4979-D4979,2)</f>
        <v/>
      </c>
    </row>
    <row r="4980">
      <c r="A4980" t="inlineStr">
        <is>
          <t>2022-12-15</t>
        </is>
      </c>
      <c r="B4980" t="n">
        <v>2</v>
      </c>
      <c r="C4980" t="n">
        <v>3116</v>
      </c>
      <c r="D4980" s="6" t="n">
        <v>78.40000000000001</v>
      </c>
      <c r="E4980" s="6" t="n">
        <v>1331804.99</v>
      </c>
      <c r="F4980" s="6">
        <f>ROUND(E4980-E4979,2)</f>
        <v/>
      </c>
      <c r="G4980" s="6">
        <f>ROUND(F4980-D4980,2)</f>
        <v/>
      </c>
    </row>
    <row r="4981">
      <c r="A4981" t="inlineStr">
        <is>
          <t>2022-12-15</t>
        </is>
      </c>
      <c r="B4981" t="n">
        <v>3</v>
      </c>
      <c r="C4981" t="n">
        <v>3116</v>
      </c>
      <c r="D4981" s="6" t="n">
        <v>45.1</v>
      </c>
      <c r="E4981" s="6" t="n">
        <v>1331850.09</v>
      </c>
      <c r="F4981" s="6">
        <f>ROUND(E4981-E4980,2)</f>
        <v/>
      </c>
      <c r="G4981" s="6">
        <f>ROUND(F4981-D4981,2)</f>
        <v/>
      </c>
    </row>
    <row r="4982">
      <c r="A4982" t="inlineStr">
        <is>
          <t>2022-12-15</t>
        </is>
      </c>
      <c r="B4982" t="n">
        <v>4</v>
      </c>
      <c r="C4982" t="n">
        <v>3116</v>
      </c>
      <c r="D4982" s="6" t="n">
        <v>82.2</v>
      </c>
      <c r="E4982" s="6" t="n">
        <v>1331932.29</v>
      </c>
      <c r="F4982" s="6">
        <f>ROUND(E4982-E4981,2)</f>
        <v/>
      </c>
      <c r="G4982" s="6">
        <f>ROUND(F4982-D4982,2)</f>
        <v/>
      </c>
    </row>
    <row r="4983">
      <c r="A4983" t="inlineStr">
        <is>
          <t>2022-12-15</t>
        </is>
      </c>
      <c r="B4983" t="n">
        <v>5</v>
      </c>
      <c r="C4983" t="n">
        <v>3116</v>
      </c>
      <c r="D4983" s="6" t="n">
        <v>35.3</v>
      </c>
      <c r="E4983" s="6" t="n">
        <v>1331967.59</v>
      </c>
      <c r="F4983" s="6">
        <f>ROUND(E4983-E4982,2)</f>
        <v/>
      </c>
      <c r="G4983" s="6">
        <f>ROUND(F4983-D4983,2)</f>
        <v/>
      </c>
    </row>
    <row r="4984">
      <c r="A4984" t="inlineStr">
        <is>
          <t>2022-12-15</t>
        </is>
      </c>
      <c r="B4984" t="n">
        <v>6</v>
      </c>
      <c r="C4984" t="n">
        <v>3116</v>
      </c>
      <c r="D4984" s="6" t="n">
        <v>53.5</v>
      </c>
      <c r="E4984" s="6" t="n">
        <v>1332021.09</v>
      </c>
      <c r="F4984" s="6">
        <f>ROUND(E4984-E4983,2)</f>
        <v/>
      </c>
      <c r="G4984" s="6">
        <f>ROUND(F4984-D4984,2)</f>
        <v/>
      </c>
    </row>
    <row r="4985">
      <c r="A4985" t="inlineStr">
        <is>
          <t>2022-12-15</t>
        </is>
      </c>
      <c r="B4985" t="n">
        <v>7</v>
      </c>
      <c r="C4985" t="n">
        <v>3116</v>
      </c>
      <c r="D4985" s="6" t="n">
        <v>185.2</v>
      </c>
      <c r="E4985" s="6" t="n">
        <v>1332206.29</v>
      </c>
      <c r="F4985" s="6">
        <f>ROUND(E4985-E4984,2)</f>
        <v/>
      </c>
      <c r="G4985" s="6">
        <f>ROUND(F4985-D4985,2)</f>
        <v/>
      </c>
    </row>
    <row r="4986">
      <c r="A4986" t="inlineStr">
        <is>
          <t>2022-12-15</t>
        </is>
      </c>
      <c r="B4986" t="n">
        <v>8</v>
      </c>
      <c r="C4986" t="n">
        <v>3116</v>
      </c>
      <c r="D4986" s="6" t="n">
        <v>100</v>
      </c>
      <c r="E4986" s="6" t="n">
        <v>1332306.29</v>
      </c>
      <c r="F4986" s="6">
        <f>ROUND(E4986-E4985,2)</f>
        <v/>
      </c>
      <c r="G4986" s="6">
        <f>ROUND(F4986-D4986,2)</f>
        <v/>
      </c>
    </row>
    <row r="4987">
      <c r="A4987" t="inlineStr">
        <is>
          <t>2022-12-15</t>
        </is>
      </c>
      <c r="B4987" t="n">
        <v>9</v>
      </c>
      <c r="C4987" t="n">
        <v>3116</v>
      </c>
      <c r="D4987" s="6" t="n">
        <v>41.3</v>
      </c>
      <c r="E4987" s="6" t="n">
        <v>1332347.59</v>
      </c>
      <c r="F4987" s="6">
        <f>ROUND(E4987-E4986,2)</f>
        <v/>
      </c>
      <c r="G4987" s="6">
        <f>ROUND(F4987-D4987,2)</f>
        <v/>
      </c>
    </row>
    <row r="4988">
      <c r="A4988" t="inlineStr">
        <is>
          <t>2022-12-15</t>
        </is>
      </c>
      <c r="B4988" t="n">
        <v>10</v>
      </c>
      <c r="C4988" t="n">
        <v>3116</v>
      </c>
      <c r="D4988" s="6" t="n">
        <v>37.9</v>
      </c>
      <c r="E4988" s="6" t="n">
        <v>1332385.49</v>
      </c>
      <c r="F4988" s="6">
        <f>ROUND(E4988-E4987,2)</f>
        <v/>
      </c>
      <c r="G4988" s="6">
        <f>ROUND(F4988-D4988,2)</f>
        <v/>
      </c>
    </row>
    <row r="4989">
      <c r="A4989" t="inlineStr">
        <is>
          <t>2022-12-15</t>
        </is>
      </c>
      <c r="B4989" t="n">
        <v>11</v>
      </c>
      <c r="C4989" t="n">
        <v>3116</v>
      </c>
      <c r="D4989" s="6" t="n">
        <v>90.09999999999999</v>
      </c>
      <c r="E4989" s="6" t="n">
        <v>1332475.59</v>
      </c>
      <c r="F4989" s="6">
        <f>ROUND(E4989-E4988,2)</f>
        <v/>
      </c>
      <c r="G4989" s="6">
        <f>ROUND(F4989-D4989,2)</f>
        <v/>
      </c>
    </row>
    <row r="4990">
      <c r="A4990" t="inlineStr">
        <is>
          <t>2022-12-15</t>
        </is>
      </c>
      <c r="B4990" t="n">
        <v>12</v>
      </c>
      <c r="C4990" t="n">
        <v>3116</v>
      </c>
      <c r="D4990" s="6" t="n">
        <v>155.8</v>
      </c>
      <c r="E4990" s="6" t="n">
        <v>1332631.39</v>
      </c>
      <c r="F4990" s="6">
        <f>ROUND(E4990-E4989,2)</f>
        <v/>
      </c>
      <c r="G4990" s="6">
        <f>ROUND(F4990-D4990,2)</f>
        <v/>
      </c>
    </row>
    <row r="4991">
      <c r="A4991" t="inlineStr">
        <is>
          <t>2022-12-15</t>
        </is>
      </c>
      <c r="B4991" t="n">
        <v>13</v>
      </c>
      <c r="C4991" t="n">
        <v>3116</v>
      </c>
      <c r="D4991" s="6" t="n">
        <v>65</v>
      </c>
      <c r="E4991" s="6" t="n">
        <v>1332696.39</v>
      </c>
      <c r="F4991" s="6">
        <f>ROUND(E4991-E4990,2)</f>
        <v/>
      </c>
      <c r="G4991" s="6">
        <f>ROUND(F4991-D4991,2)</f>
        <v/>
      </c>
    </row>
    <row r="4992">
      <c r="A4992" t="inlineStr">
        <is>
          <t>2022-12-16</t>
        </is>
      </c>
      <c r="B4992" t="n">
        <v>1</v>
      </c>
      <c r="C4992" t="n">
        <v>3117</v>
      </c>
      <c r="D4992" s="6" t="n">
        <v>31.1</v>
      </c>
      <c r="E4992" s="6" t="n">
        <v>1332727.49</v>
      </c>
      <c r="F4992" s="6">
        <f>ROUND(E4992-E4991,2)</f>
        <v/>
      </c>
      <c r="G4992" s="6">
        <f>ROUND(F4992-D4992,2)</f>
        <v/>
      </c>
    </row>
    <row r="4993">
      <c r="A4993" t="inlineStr">
        <is>
          <t>2022-12-16</t>
        </is>
      </c>
      <c r="B4993" t="n">
        <v>2</v>
      </c>
      <c r="C4993" t="n">
        <v>3117</v>
      </c>
      <c r="D4993" s="6" t="n">
        <v>124.8</v>
      </c>
      <c r="E4993" s="6" t="n">
        <v>1332852.29</v>
      </c>
      <c r="F4993" s="6">
        <f>ROUND(E4993-E4992,2)</f>
        <v/>
      </c>
      <c r="G4993" s="6">
        <f>ROUND(F4993-D4993,2)</f>
        <v/>
      </c>
    </row>
    <row r="4994">
      <c r="A4994" t="inlineStr">
        <is>
          <t>2022-12-16</t>
        </is>
      </c>
      <c r="B4994" t="n">
        <v>3</v>
      </c>
      <c r="C4994" t="n">
        <v>3117</v>
      </c>
      <c r="D4994" s="6" t="n">
        <v>52.8</v>
      </c>
      <c r="E4994" s="6" t="n">
        <v>1332905.09</v>
      </c>
      <c r="F4994" s="6">
        <f>ROUND(E4994-E4993,2)</f>
        <v/>
      </c>
      <c r="G4994" s="6">
        <f>ROUND(F4994-D4994,2)</f>
        <v/>
      </c>
    </row>
    <row r="4995">
      <c r="A4995" t="inlineStr">
        <is>
          <t>2022-12-16</t>
        </is>
      </c>
      <c r="B4995" t="n">
        <v>4</v>
      </c>
      <c r="C4995" t="n">
        <v>3117</v>
      </c>
      <c r="D4995" s="6" t="n">
        <v>77.8</v>
      </c>
      <c r="E4995" s="6" t="n">
        <v>1332982.89</v>
      </c>
      <c r="F4995" s="6">
        <f>ROUND(E4995-E4994,2)</f>
        <v/>
      </c>
      <c r="G4995" s="6">
        <f>ROUND(F4995-D4995,2)</f>
        <v/>
      </c>
    </row>
    <row r="4996">
      <c r="A4996" t="inlineStr">
        <is>
          <t>2022-12-16</t>
        </is>
      </c>
      <c r="B4996" t="n">
        <v>5</v>
      </c>
      <c r="C4996" t="n">
        <v>3117</v>
      </c>
      <c r="D4996" s="6" t="n">
        <v>77.25</v>
      </c>
      <c r="E4996" s="6" t="n">
        <v>1333060.14</v>
      </c>
      <c r="F4996" s="6">
        <f>ROUND(E4996-E4995,2)</f>
        <v/>
      </c>
      <c r="G4996" s="6">
        <f>ROUND(F4996-D4996,2)</f>
        <v/>
      </c>
    </row>
    <row r="4997">
      <c r="A4997" t="inlineStr">
        <is>
          <t>2022-12-16</t>
        </is>
      </c>
      <c r="B4997" t="n">
        <v>6</v>
      </c>
      <c r="C4997" t="n">
        <v>3117</v>
      </c>
      <c r="D4997" s="6" t="n">
        <v>17.25</v>
      </c>
      <c r="E4997" s="6" t="n">
        <v>1333077.39</v>
      </c>
      <c r="F4997" s="6">
        <f>ROUND(E4997-E4996,2)</f>
        <v/>
      </c>
      <c r="G4997" s="6">
        <f>ROUND(F4997-D4997,2)</f>
        <v/>
      </c>
    </row>
    <row r="4998">
      <c r="A4998" t="inlineStr">
        <is>
          <t>2022-12-16</t>
        </is>
      </c>
      <c r="B4998" t="n">
        <v>7</v>
      </c>
      <c r="C4998" t="n">
        <v>3117</v>
      </c>
      <c r="D4998" s="6" t="n">
        <v>22.9</v>
      </c>
      <c r="E4998" s="6" t="n">
        <v>1333100.29</v>
      </c>
      <c r="F4998" s="6">
        <f>ROUND(E4998-E4997,2)</f>
        <v/>
      </c>
      <c r="G4998" s="6">
        <f>ROUND(F4998-D4998,2)</f>
        <v/>
      </c>
    </row>
    <row r="4999">
      <c r="A4999" t="inlineStr">
        <is>
          <t>2022-12-16</t>
        </is>
      </c>
      <c r="B4999" t="n">
        <v>8</v>
      </c>
      <c r="C4999" t="n">
        <v>3117</v>
      </c>
      <c r="D4999" s="6" t="n">
        <v>22.9</v>
      </c>
      <c r="E4999" s="6" t="n">
        <v>1333123.19</v>
      </c>
      <c r="F4999" s="6">
        <f>ROUND(E4999-E4998,2)</f>
        <v/>
      </c>
      <c r="G4999" s="6">
        <f>ROUND(F4999-D4999,2)</f>
        <v/>
      </c>
    </row>
    <row r="5000">
      <c r="A5000" t="inlineStr">
        <is>
          <t>2022-12-16</t>
        </is>
      </c>
      <c r="B5000" t="n">
        <v>9</v>
      </c>
      <c r="C5000" t="n">
        <v>3117</v>
      </c>
      <c r="D5000" s="6" t="n">
        <v>76</v>
      </c>
      <c r="E5000" s="6" t="n">
        <v>1333199.19</v>
      </c>
      <c r="F5000" s="6">
        <f>ROUND(E5000-E4999,2)</f>
        <v/>
      </c>
      <c r="G5000" s="6">
        <f>ROUND(F5000-D5000,2)</f>
        <v/>
      </c>
    </row>
    <row r="5001">
      <c r="A5001" t="inlineStr">
        <is>
          <t>2022-12-17</t>
        </is>
      </c>
      <c r="B5001" t="n">
        <v>1</v>
      </c>
      <c r="C5001" t="n">
        <v>3118</v>
      </c>
      <c r="D5001" s="6" t="n">
        <v>45.4</v>
      </c>
      <c r="E5001" s="6" t="n">
        <v>1333244.59</v>
      </c>
      <c r="F5001" s="6">
        <f>ROUND(E5001-E5000,2)</f>
        <v/>
      </c>
      <c r="G5001" s="6">
        <f>ROUND(F5001-D5001,2)</f>
        <v/>
      </c>
    </row>
    <row r="5002">
      <c r="A5002" t="inlineStr">
        <is>
          <t>2022-12-17</t>
        </is>
      </c>
      <c r="B5002" t="n">
        <v>2</v>
      </c>
      <c r="C5002" t="n">
        <v>3118</v>
      </c>
      <c r="D5002" s="6" t="n">
        <v>58.2</v>
      </c>
      <c r="E5002" s="6" t="n">
        <v>1333302.79</v>
      </c>
      <c r="F5002" s="6">
        <f>ROUND(E5002-E5001,2)</f>
        <v/>
      </c>
      <c r="G5002" s="6">
        <f>ROUND(F5002-D5002,2)</f>
        <v/>
      </c>
    </row>
    <row r="5003">
      <c r="A5003" t="inlineStr">
        <is>
          <t>2022-12-17</t>
        </is>
      </c>
      <c r="B5003" t="n">
        <v>3</v>
      </c>
      <c r="C5003" t="n">
        <v>3118</v>
      </c>
      <c r="D5003" s="6" t="n">
        <v>45.9</v>
      </c>
      <c r="E5003" s="6" t="n">
        <v>1333348.69</v>
      </c>
      <c r="F5003" s="6">
        <f>ROUND(E5003-E5002,2)</f>
        <v/>
      </c>
      <c r="G5003" s="6">
        <f>ROUND(F5003-D5003,2)</f>
        <v/>
      </c>
    </row>
    <row r="5004">
      <c r="A5004" t="inlineStr">
        <is>
          <t>2022-12-17</t>
        </is>
      </c>
      <c r="B5004" t="n">
        <v>4</v>
      </c>
      <c r="C5004" t="n">
        <v>3118</v>
      </c>
      <c r="D5004" s="6" t="n">
        <v>45.9</v>
      </c>
      <c r="E5004" s="6" t="n">
        <v>1333394.59</v>
      </c>
      <c r="F5004" s="6">
        <f>ROUND(E5004-E5003,2)</f>
        <v/>
      </c>
      <c r="G5004" s="6">
        <f>ROUND(F5004-D5004,2)</f>
        <v/>
      </c>
    </row>
    <row r="5005">
      <c r="A5005" t="inlineStr">
        <is>
          <t>2022-12-17</t>
        </is>
      </c>
      <c r="B5005" t="n">
        <v>5</v>
      </c>
      <c r="C5005" t="n">
        <v>3118</v>
      </c>
      <c r="D5005" s="6" t="n">
        <v>135.3</v>
      </c>
      <c r="E5005" s="6" t="n">
        <v>1333529.89</v>
      </c>
      <c r="F5005" s="6">
        <f>ROUND(E5005-E5004,2)</f>
        <v/>
      </c>
      <c r="G5005" s="6">
        <f>ROUND(F5005-D5005,2)</f>
        <v/>
      </c>
    </row>
    <row r="5006">
      <c r="A5006" t="inlineStr">
        <is>
          <t>2022-12-17</t>
        </is>
      </c>
      <c r="B5006" t="n">
        <v>6</v>
      </c>
      <c r="C5006" t="n">
        <v>3118</v>
      </c>
      <c r="D5006" s="6" t="n">
        <v>23.3</v>
      </c>
      <c r="E5006" s="6" t="n">
        <v>1333553.19</v>
      </c>
      <c r="F5006" s="6">
        <f>ROUND(E5006-E5005,2)</f>
        <v/>
      </c>
      <c r="G5006" s="6">
        <f>ROUND(F5006-D5006,2)</f>
        <v/>
      </c>
    </row>
    <row r="5007">
      <c r="A5007" t="inlineStr">
        <is>
          <t>2022-12-17</t>
        </is>
      </c>
      <c r="B5007" t="n">
        <v>7</v>
      </c>
      <c r="C5007" t="n">
        <v>3118</v>
      </c>
      <c r="D5007" s="6" t="n">
        <v>23.3</v>
      </c>
      <c r="E5007" s="6" t="n">
        <v>1333576.49</v>
      </c>
      <c r="F5007" s="6">
        <f>ROUND(E5007-E5006,2)</f>
        <v/>
      </c>
      <c r="G5007" s="6">
        <f>ROUND(F5007-D5007,2)</f>
        <v/>
      </c>
    </row>
    <row r="5008">
      <c r="A5008" t="inlineStr">
        <is>
          <t>2022-12-17</t>
        </is>
      </c>
      <c r="B5008" t="n">
        <v>8</v>
      </c>
      <c r="C5008" t="n">
        <v>3118</v>
      </c>
      <c r="D5008" s="6" t="n">
        <v>62.5</v>
      </c>
      <c r="E5008" s="6" t="n">
        <v>1333638.99</v>
      </c>
      <c r="F5008" s="6">
        <f>ROUND(E5008-E5007,2)</f>
        <v/>
      </c>
      <c r="G5008" s="6">
        <f>ROUND(F5008-D5008,2)</f>
        <v/>
      </c>
    </row>
    <row r="5009">
      <c r="A5009" t="inlineStr">
        <is>
          <t>2022-12-17</t>
        </is>
      </c>
      <c r="B5009" t="n">
        <v>9</v>
      </c>
      <c r="C5009" t="n">
        <v>3118</v>
      </c>
      <c r="D5009" s="6" t="n">
        <v>50.9</v>
      </c>
      <c r="E5009" s="6" t="n">
        <v>1333689.89</v>
      </c>
      <c r="F5009" s="6">
        <f>ROUND(E5009-E5008,2)</f>
        <v/>
      </c>
      <c r="G5009" s="6">
        <f>ROUND(F5009-D5009,2)</f>
        <v/>
      </c>
    </row>
    <row r="5010">
      <c r="A5010" t="inlineStr">
        <is>
          <t>2022-12-17</t>
        </is>
      </c>
      <c r="B5010" t="n">
        <v>10</v>
      </c>
      <c r="C5010" t="n">
        <v>3118</v>
      </c>
      <c r="D5010" s="6" t="n">
        <v>109</v>
      </c>
      <c r="E5010" s="6" t="n">
        <v>1333798.89</v>
      </c>
      <c r="F5010" s="6">
        <f>ROUND(E5010-E5009,2)</f>
        <v/>
      </c>
      <c r="G5010" s="6">
        <f>ROUND(F5010-D5010,2)</f>
        <v/>
      </c>
    </row>
    <row r="5011">
      <c r="A5011" t="inlineStr">
        <is>
          <t>2022-12-17</t>
        </is>
      </c>
      <c r="B5011" t="n">
        <v>11</v>
      </c>
      <c r="C5011" t="n">
        <v>3118</v>
      </c>
      <c r="D5011" s="6" t="n">
        <v>120.2</v>
      </c>
      <c r="E5011" s="6" t="n">
        <v>1333919.09</v>
      </c>
      <c r="F5011" s="6">
        <f>ROUND(E5011-E5010,2)</f>
        <v/>
      </c>
      <c r="G5011" s="6">
        <f>ROUND(F5011-D5011,2)</f>
        <v/>
      </c>
    </row>
    <row r="5012">
      <c r="A5012" t="inlineStr">
        <is>
          <t>2022-12-17</t>
        </is>
      </c>
      <c r="B5012" t="n">
        <v>12</v>
      </c>
      <c r="C5012" t="n">
        <v>3118</v>
      </c>
      <c r="D5012" s="6" t="n">
        <v>69.90000000000001</v>
      </c>
      <c r="E5012" s="6" t="n">
        <v>1333988.99</v>
      </c>
      <c r="F5012" s="6">
        <f>ROUND(E5012-E5011,2)</f>
        <v/>
      </c>
      <c r="G5012" s="6">
        <f>ROUND(F5012-D5012,2)</f>
        <v/>
      </c>
    </row>
    <row r="5013">
      <c r="A5013" t="inlineStr">
        <is>
          <t>2022-12-17</t>
        </is>
      </c>
      <c r="B5013" t="n">
        <v>13</v>
      </c>
      <c r="C5013" t="n">
        <v>3118</v>
      </c>
      <c r="D5013" s="6" t="n">
        <v>85.8</v>
      </c>
      <c r="E5013" s="6" t="n">
        <v>1334074.79</v>
      </c>
      <c r="F5013" s="6">
        <f>ROUND(E5013-E5012,2)</f>
        <v/>
      </c>
      <c r="G5013" s="6">
        <f>ROUND(F5013-D5013,2)</f>
        <v/>
      </c>
    </row>
    <row r="5014">
      <c r="A5014" t="inlineStr">
        <is>
          <t>2022-12-17</t>
        </is>
      </c>
      <c r="B5014" t="n">
        <v>14</v>
      </c>
      <c r="C5014" t="n">
        <v>3118</v>
      </c>
      <c r="D5014" s="6" t="n">
        <v>66.8</v>
      </c>
      <c r="E5014" s="6" t="n">
        <v>1334141.59</v>
      </c>
      <c r="F5014" s="6">
        <f>ROUND(E5014-E5013,2)</f>
        <v/>
      </c>
      <c r="G5014" s="6">
        <f>ROUND(F5014-D5014,2)</f>
        <v/>
      </c>
    </row>
    <row r="5015">
      <c r="A5015" t="inlineStr">
        <is>
          <t>2022-12-17</t>
        </is>
      </c>
      <c r="B5015" t="n">
        <v>15</v>
      </c>
      <c r="C5015" t="n">
        <v>3118</v>
      </c>
      <c r="D5015" s="6" t="n">
        <v>134.9</v>
      </c>
      <c r="E5015" s="6" t="n">
        <v>1334276.49</v>
      </c>
      <c r="F5015" s="6">
        <f>ROUND(E5015-E5014,2)</f>
        <v/>
      </c>
      <c r="G5015" s="6">
        <f>ROUND(F5015-D5015,2)</f>
        <v/>
      </c>
    </row>
    <row r="5016">
      <c r="A5016" t="inlineStr">
        <is>
          <t>2022-12-17</t>
        </is>
      </c>
      <c r="B5016" t="n">
        <v>16</v>
      </c>
      <c r="C5016" t="n">
        <v>3118</v>
      </c>
      <c r="D5016" s="6" t="n">
        <v>95.59999999999999</v>
      </c>
      <c r="E5016" s="6" t="n">
        <v>1334372.09</v>
      </c>
      <c r="F5016" s="6">
        <f>ROUND(E5016-E5015,2)</f>
        <v/>
      </c>
      <c r="G5016" s="6">
        <f>ROUND(F5016-D5016,2)</f>
        <v/>
      </c>
    </row>
    <row r="5017">
      <c r="A5017" t="inlineStr">
        <is>
          <t>2022-12-17</t>
        </is>
      </c>
      <c r="B5017" t="n">
        <v>17</v>
      </c>
      <c r="C5017" t="n">
        <v>3118</v>
      </c>
      <c r="D5017" s="6" t="n">
        <v>87.05</v>
      </c>
      <c r="E5017" s="6" t="n">
        <v>1334459.14</v>
      </c>
      <c r="F5017" s="6">
        <f>ROUND(E5017-E5016,2)</f>
        <v/>
      </c>
      <c r="G5017" s="6">
        <f>ROUND(F5017-D5017,2)</f>
        <v/>
      </c>
    </row>
    <row r="5018">
      <c r="A5018" t="inlineStr">
        <is>
          <t>2022-12-17</t>
        </is>
      </c>
      <c r="B5018" t="n">
        <v>18</v>
      </c>
      <c r="C5018" t="n">
        <v>3118</v>
      </c>
      <c r="D5018" s="6" t="n">
        <v>87.05</v>
      </c>
      <c r="E5018" s="6" t="n">
        <v>1334546.19</v>
      </c>
      <c r="F5018" s="6">
        <f>ROUND(E5018-E5017,2)</f>
        <v/>
      </c>
      <c r="G5018" s="6">
        <f>ROUND(F5018-D5018,2)</f>
        <v/>
      </c>
    </row>
    <row r="5019">
      <c r="A5019" t="inlineStr">
        <is>
          <t>2022-12-17</t>
        </is>
      </c>
      <c r="B5019" t="n">
        <v>19</v>
      </c>
      <c r="C5019" t="n">
        <v>3118</v>
      </c>
      <c r="D5019" s="6" t="n">
        <v>103.5</v>
      </c>
      <c r="E5019" s="6" t="n">
        <v>1334649.69</v>
      </c>
      <c r="F5019" s="6">
        <f>ROUND(E5019-E5018,2)</f>
        <v/>
      </c>
      <c r="G5019" s="6">
        <f>ROUND(F5019-D5019,2)</f>
        <v/>
      </c>
    </row>
    <row r="5020">
      <c r="A5020" t="inlineStr">
        <is>
          <t>2022-12-17</t>
        </is>
      </c>
      <c r="B5020" t="n">
        <v>20</v>
      </c>
      <c r="C5020" t="n">
        <v>3118</v>
      </c>
      <c r="D5020" s="6" t="n">
        <v>31.85</v>
      </c>
      <c r="E5020" s="6" t="n">
        <v>1334681.54</v>
      </c>
      <c r="F5020" s="6">
        <f>ROUND(E5020-E5019,2)</f>
        <v/>
      </c>
      <c r="G5020" s="6">
        <f>ROUND(F5020-D5020,2)</f>
        <v/>
      </c>
    </row>
    <row r="5021">
      <c r="A5021" t="inlineStr">
        <is>
          <t>2022-12-17</t>
        </is>
      </c>
      <c r="B5021" t="n">
        <v>21</v>
      </c>
      <c r="C5021" t="n">
        <v>3118</v>
      </c>
      <c r="D5021" s="6" t="n">
        <v>31.85</v>
      </c>
      <c r="E5021" s="6" t="n">
        <v>1334713.39</v>
      </c>
      <c r="F5021" s="6">
        <f>ROUND(E5021-E5020,2)</f>
        <v/>
      </c>
      <c r="G5021" s="6">
        <f>ROUND(F5021-D5021,2)</f>
        <v/>
      </c>
    </row>
    <row r="5022">
      <c r="A5022" t="inlineStr">
        <is>
          <t>2022-12-17</t>
        </is>
      </c>
      <c r="B5022" t="n">
        <v>22</v>
      </c>
      <c r="C5022" t="n">
        <v>3118</v>
      </c>
      <c r="D5022" s="6" t="n">
        <v>109.7</v>
      </c>
      <c r="E5022" s="6" t="n">
        <v>1334823.09</v>
      </c>
      <c r="F5022" s="6">
        <f>ROUND(E5022-E5021,2)</f>
        <v/>
      </c>
      <c r="G5022" s="6">
        <f>ROUND(F5022-D5022,2)</f>
        <v/>
      </c>
    </row>
    <row r="5023">
      <c r="A5023" t="inlineStr">
        <is>
          <t>2022-12-17</t>
        </is>
      </c>
      <c r="B5023" t="n">
        <v>23</v>
      </c>
      <c r="C5023" t="n">
        <v>3118</v>
      </c>
      <c r="D5023" s="6" t="n">
        <v>76.8</v>
      </c>
      <c r="E5023" s="6" t="n">
        <v>1334899.89</v>
      </c>
      <c r="F5023" s="6">
        <f>ROUND(E5023-E5022,2)</f>
        <v/>
      </c>
      <c r="G5023" s="6">
        <f>ROUND(F5023-D5023,2)</f>
        <v/>
      </c>
    </row>
    <row r="5024">
      <c r="A5024" t="inlineStr">
        <is>
          <t>2022-12-17</t>
        </is>
      </c>
      <c r="B5024" t="n">
        <v>24</v>
      </c>
      <c r="C5024" t="n">
        <v>3118</v>
      </c>
      <c r="D5024" s="6" t="n">
        <v>186.9</v>
      </c>
      <c r="E5024" s="6" t="n">
        <v>1335086.79</v>
      </c>
      <c r="F5024" s="6">
        <f>ROUND(E5024-E5023,2)</f>
        <v/>
      </c>
      <c r="G5024" s="6">
        <f>ROUND(F5024-D5024,2)</f>
        <v/>
      </c>
    </row>
    <row r="5025">
      <c r="A5025" t="inlineStr">
        <is>
          <t>2022-12-17</t>
        </is>
      </c>
      <c r="B5025" t="n">
        <v>25</v>
      </c>
      <c r="C5025" t="n">
        <v>3118</v>
      </c>
      <c r="D5025" s="6" t="n">
        <v>86</v>
      </c>
      <c r="E5025" s="6" t="n">
        <v>1335172.79</v>
      </c>
      <c r="F5025" s="6">
        <f>ROUND(E5025-E5024,2)</f>
        <v/>
      </c>
      <c r="G5025" s="6">
        <f>ROUND(F5025-D5025,2)</f>
        <v/>
      </c>
    </row>
    <row r="5026">
      <c r="A5026" t="inlineStr">
        <is>
          <t>2022-12-17</t>
        </is>
      </c>
      <c r="B5026" t="n">
        <v>26</v>
      </c>
      <c r="C5026" t="n">
        <v>3118</v>
      </c>
      <c r="D5026" s="6" t="n">
        <v>97.8</v>
      </c>
      <c r="E5026" s="6" t="n">
        <v>1335270.59</v>
      </c>
      <c r="F5026" s="6">
        <f>ROUND(E5026-E5025,2)</f>
        <v/>
      </c>
      <c r="G5026" s="6">
        <f>ROUND(F5026-D5026,2)</f>
        <v/>
      </c>
    </row>
    <row r="5027">
      <c r="A5027" t="inlineStr">
        <is>
          <t>2022-12-17</t>
        </is>
      </c>
      <c r="B5027" t="n">
        <v>27</v>
      </c>
      <c r="C5027" t="n">
        <v>3118</v>
      </c>
      <c r="D5027" s="6" t="n">
        <v>41.3</v>
      </c>
      <c r="E5027" s="6" t="n">
        <v>1335311.89</v>
      </c>
      <c r="F5027" s="6">
        <f>ROUND(E5027-E5026,2)</f>
        <v/>
      </c>
      <c r="G5027" s="6">
        <f>ROUND(F5027-D5027,2)</f>
        <v/>
      </c>
    </row>
    <row r="5028">
      <c r="A5028" t="inlineStr">
        <is>
          <t>2022-12-18</t>
        </is>
      </c>
      <c r="B5028" t="n">
        <v>1</v>
      </c>
      <c r="C5028" t="n">
        <v>3119</v>
      </c>
      <c r="D5028" s="6" t="n">
        <v>58</v>
      </c>
      <c r="E5028" s="6" t="n">
        <v>1335369.89</v>
      </c>
      <c r="F5028" s="6">
        <f>ROUND(E5028-E5027,2)</f>
        <v/>
      </c>
      <c r="G5028" s="6">
        <f>ROUND(F5028-D5028,2)</f>
        <v/>
      </c>
    </row>
    <row r="5029">
      <c r="A5029" t="inlineStr">
        <is>
          <t>2022-12-18</t>
        </is>
      </c>
      <c r="B5029" t="n">
        <v>2</v>
      </c>
      <c r="C5029" t="n">
        <v>3119</v>
      </c>
      <c r="D5029" s="6" t="n">
        <v>76.5</v>
      </c>
      <c r="E5029" s="6" t="n">
        <v>1335446.39</v>
      </c>
      <c r="F5029" s="6">
        <f>ROUND(E5029-E5028,2)</f>
        <v/>
      </c>
      <c r="G5029" s="6">
        <f>ROUND(F5029-D5029,2)</f>
        <v/>
      </c>
    </row>
    <row r="5030">
      <c r="A5030" t="inlineStr">
        <is>
          <t>2022-12-18</t>
        </is>
      </c>
      <c r="B5030" t="n">
        <v>3</v>
      </c>
      <c r="C5030" t="n">
        <v>3119</v>
      </c>
      <c r="D5030" s="6" t="n">
        <v>113.1</v>
      </c>
      <c r="E5030" s="6" t="n">
        <v>1335559.49</v>
      </c>
      <c r="F5030" s="6">
        <f>ROUND(E5030-E5029,2)</f>
        <v/>
      </c>
      <c r="G5030" s="6">
        <f>ROUND(F5030-D5030,2)</f>
        <v/>
      </c>
    </row>
    <row r="5031">
      <c r="A5031" t="inlineStr">
        <is>
          <t>2022-12-18</t>
        </is>
      </c>
      <c r="B5031" t="n">
        <v>4</v>
      </c>
      <c r="C5031" t="n">
        <v>3119</v>
      </c>
      <c r="D5031" s="6" t="n">
        <v>131.4</v>
      </c>
      <c r="E5031" s="6" t="n">
        <v>1335690.89</v>
      </c>
      <c r="F5031" s="6">
        <f>ROUND(E5031-E5030,2)</f>
        <v/>
      </c>
      <c r="G5031" s="6">
        <f>ROUND(F5031-D5031,2)</f>
        <v/>
      </c>
    </row>
    <row r="5032">
      <c r="A5032" t="inlineStr">
        <is>
          <t>2022-12-18</t>
        </is>
      </c>
      <c r="B5032" t="n">
        <v>5</v>
      </c>
      <c r="C5032" t="n">
        <v>3119</v>
      </c>
      <c r="D5032" s="6" t="n">
        <v>97.2</v>
      </c>
      <c r="E5032" s="6" t="n">
        <v>1335788.09</v>
      </c>
      <c r="F5032" s="6">
        <f>ROUND(E5032-E5031,2)</f>
        <v/>
      </c>
      <c r="G5032" s="6">
        <f>ROUND(F5032-D5032,2)</f>
        <v/>
      </c>
    </row>
    <row r="5033">
      <c r="A5033" t="inlineStr">
        <is>
          <t>2022-12-18</t>
        </is>
      </c>
      <c r="B5033" t="n">
        <v>6</v>
      </c>
      <c r="C5033" t="n">
        <v>3119</v>
      </c>
      <c r="D5033" s="6" t="n">
        <v>61.2</v>
      </c>
      <c r="E5033" s="6" t="n">
        <v>1335849.29</v>
      </c>
      <c r="F5033" s="6">
        <f>ROUND(E5033-E5032,2)</f>
        <v/>
      </c>
      <c r="G5033" s="6">
        <f>ROUND(F5033-D5033,2)</f>
        <v/>
      </c>
    </row>
    <row r="5034">
      <c r="A5034" t="inlineStr">
        <is>
          <t>2022-12-18</t>
        </is>
      </c>
      <c r="B5034" t="n">
        <v>7</v>
      </c>
      <c r="C5034" t="n">
        <v>3119</v>
      </c>
      <c r="D5034" s="6" t="n">
        <v>89.3</v>
      </c>
      <c r="E5034" s="6" t="n">
        <v>1335938.59</v>
      </c>
      <c r="F5034" s="6">
        <f>ROUND(E5034-E5033,2)</f>
        <v/>
      </c>
      <c r="G5034" s="6">
        <f>ROUND(F5034-D5034,2)</f>
        <v/>
      </c>
    </row>
    <row r="5035">
      <c r="A5035" t="inlineStr">
        <is>
          <t>2022-12-18</t>
        </is>
      </c>
      <c r="B5035" t="n">
        <v>8</v>
      </c>
      <c r="C5035" t="n">
        <v>3119</v>
      </c>
      <c r="D5035" s="6" t="n">
        <v>86.7</v>
      </c>
      <c r="E5035" s="6" t="n">
        <v>1336025.29</v>
      </c>
      <c r="F5035" s="6">
        <f>ROUND(E5035-E5034,2)</f>
        <v/>
      </c>
      <c r="G5035" s="6">
        <f>ROUND(F5035-D5035,2)</f>
        <v/>
      </c>
    </row>
    <row r="5036">
      <c r="A5036" t="inlineStr">
        <is>
          <t>2022-12-18</t>
        </is>
      </c>
      <c r="B5036" t="n">
        <v>9</v>
      </c>
      <c r="C5036" t="n">
        <v>3119</v>
      </c>
      <c r="D5036" s="6" t="n">
        <v>145</v>
      </c>
      <c r="E5036" s="6" t="n">
        <v>1336170.29</v>
      </c>
      <c r="F5036" s="6">
        <f>ROUND(E5036-E5035,2)</f>
        <v/>
      </c>
      <c r="G5036" s="6">
        <f>ROUND(F5036-D5036,2)</f>
        <v/>
      </c>
    </row>
    <row r="5037">
      <c r="A5037" t="inlineStr">
        <is>
          <t>2022-12-18</t>
        </is>
      </c>
      <c r="B5037" t="n">
        <v>10</v>
      </c>
      <c r="C5037" t="n">
        <v>3119</v>
      </c>
      <c r="D5037" s="6" t="n">
        <v>90</v>
      </c>
      <c r="E5037" s="6" t="n">
        <v>1336260.29</v>
      </c>
      <c r="F5037" s="6">
        <f>ROUND(E5037-E5036,2)</f>
        <v/>
      </c>
      <c r="G5037" s="6">
        <f>ROUND(F5037-D5037,2)</f>
        <v/>
      </c>
    </row>
    <row r="5038">
      <c r="A5038" t="inlineStr">
        <is>
          <t>2022-12-18</t>
        </is>
      </c>
      <c r="B5038" t="n">
        <v>11</v>
      </c>
      <c r="C5038" t="n">
        <v>3119</v>
      </c>
      <c r="D5038" s="6" t="n">
        <v>82.2</v>
      </c>
      <c r="E5038" s="6" t="n">
        <v>1336342.49</v>
      </c>
      <c r="F5038" s="6">
        <f>ROUND(E5038-E5037,2)</f>
        <v/>
      </c>
      <c r="G5038" s="6">
        <f>ROUND(F5038-D5038,2)</f>
        <v/>
      </c>
    </row>
    <row r="5039">
      <c r="A5039" t="inlineStr">
        <is>
          <t>2022-12-18</t>
        </is>
      </c>
      <c r="B5039" t="n">
        <v>12</v>
      </c>
      <c r="C5039" t="n">
        <v>3119</v>
      </c>
      <c r="D5039" s="6" t="n">
        <v>48.9</v>
      </c>
      <c r="E5039" s="6" t="n">
        <v>1336391.39</v>
      </c>
      <c r="F5039" s="6">
        <f>ROUND(E5039-E5038,2)</f>
        <v/>
      </c>
      <c r="G5039" s="6">
        <f>ROUND(F5039-D5039,2)</f>
        <v/>
      </c>
    </row>
    <row r="5040">
      <c r="A5040" t="inlineStr">
        <is>
          <t>2022-12-18</t>
        </is>
      </c>
      <c r="B5040" t="n">
        <v>13</v>
      </c>
      <c r="C5040" t="n">
        <v>3119</v>
      </c>
      <c r="D5040" s="6" t="n">
        <v>155</v>
      </c>
      <c r="E5040" s="6" t="n">
        <v>1336546.39</v>
      </c>
      <c r="F5040" s="6">
        <f>ROUND(E5040-E5039,2)</f>
        <v/>
      </c>
      <c r="G5040" s="6">
        <f>ROUND(F5040-D5040,2)</f>
        <v/>
      </c>
    </row>
    <row r="5041">
      <c r="A5041" t="inlineStr">
        <is>
          <t>2022-12-21</t>
        </is>
      </c>
      <c r="B5041" t="n">
        <v>1</v>
      </c>
      <c r="C5041" t="n">
        <v>3120</v>
      </c>
      <c r="D5041" s="6" t="n">
        <v>60.9</v>
      </c>
      <c r="E5041" s="6" t="n">
        <v>1336607.29</v>
      </c>
      <c r="F5041" s="6">
        <f>ROUND(E5041-E5040,2)</f>
        <v/>
      </c>
      <c r="G5041" s="6">
        <f>ROUND(F5041-D5041,2)</f>
        <v/>
      </c>
    </row>
    <row r="5042">
      <c r="A5042" t="inlineStr">
        <is>
          <t>2022-12-21</t>
        </is>
      </c>
      <c r="B5042" t="n">
        <v>2</v>
      </c>
      <c r="C5042" t="n">
        <v>3120</v>
      </c>
      <c r="D5042" s="6" t="n">
        <v>81.2</v>
      </c>
      <c r="E5042" s="6" t="n">
        <v>1336688.49</v>
      </c>
      <c r="F5042" s="6">
        <f>ROUND(E5042-E5041,2)</f>
        <v/>
      </c>
      <c r="G5042" s="6">
        <f>ROUND(F5042-D5042,2)</f>
        <v/>
      </c>
    </row>
    <row r="5043">
      <c r="A5043" t="inlineStr">
        <is>
          <t>2022-12-21</t>
        </is>
      </c>
      <c r="B5043" t="n">
        <v>3</v>
      </c>
      <c r="C5043" t="n">
        <v>3120</v>
      </c>
      <c r="D5043" s="6" t="n">
        <v>80.3</v>
      </c>
      <c r="E5043" s="6" t="n">
        <v>1336768.79</v>
      </c>
      <c r="F5043" s="6">
        <f>ROUND(E5043-E5042,2)</f>
        <v/>
      </c>
      <c r="G5043" s="6">
        <f>ROUND(F5043-D5043,2)</f>
        <v/>
      </c>
    </row>
    <row r="5044">
      <c r="A5044" t="inlineStr">
        <is>
          <t>2022-12-21</t>
        </is>
      </c>
      <c r="B5044" t="n">
        <v>4</v>
      </c>
      <c r="C5044" t="n">
        <v>3120</v>
      </c>
      <c r="D5044" s="6" t="n">
        <v>59.5</v>
      </c>
      <c r="E5044" s="6" t="n">
        <v>1336828.29</v>
      </c>
      <c r="F5044" s="6">
        <f>ROUND(E5044-E5043,2)</f>
        <v/>
      </c>
      <c r="G5044" s="6">
        <f>ROUND(F5044-D5044,2)</f>
        <v/>
      </c>
    </row>
    <row r="5045">
      <c r="A5045" t="inlineStr">
        <is>
          <t>2022-12-21</t>
        </is>
      </c>
      <c r="B5045" t="n">
        <v>5</v>
      </c>
      <c r="C5045" t="n">
        <v>3120</v>
      </c>
      <c r="D5045" s="6" t="n">
        <v>83</v>
      </c>
      <c r="E5045" s="6" t="n">
        <v>1336911.29</v>
      </c>
      <c r="F5045" s="6">
        <f>ROUND(E5045-E5044,2)</f>
        <v/>
      </c>
      <c r="G5045" s="6">
        <f>ROUND(F5045-D5045,2)</f>
        <v/>
      </c>
    </row>
    <row r="5046">
      <c r="A5046" t="inlineStr">
        <is>
          <t>2022-12-21</t>
        </is>
      </c>
      <c r="B5046" t="n">
        <v>6</v>
      </c>
      <c r="C5046" t="n">
        <v>3120</v>
      </c>
      <c r="D5046" s="6" t="n">
        <v>263.2</v>
      </c>
      <c r="E5046" s="6" t="n">
        <v>1337174.49</v>
      </c>
      <c r="F5046" s="6">
        <f>ROUND(E5046-E5045,2)</f>
        <v/>
      </c>
      <c r="G5046" s="6">
        <f>ROUND(F5046-D5046,2)</f>
        <v/>
      </c>
    </row>
    <row r="5047">
      <c r="A5047" t="inlineStr">
        <is>
          <t>2022-12-21</t>
        </is>
      </c>
      <c r="B5047" t="n">
        <v>7</v>
      </c>
      <c r="C5047" t="n">
        <v>3120</v>
      </c>
      <c r="D5047" s="6" t="n">
        <v>104.5</v>
      </c>
      <c r="E5047" s="6" t="n">
        <v>1337278.99</v>
      </c>
      <c r="F5047" s="6">
        <f>ROUND(E5047-E5046,2)</f>
        <v/>
      </c>
      <c r="G5047" s="6">
        <f>ROUND(F5047-D5047,2)</f>
        <v/>
      </c>
    </row>
    <row r="5048">
      <c r="A5048" t="inlineStr">
        <is>
          <t>2022-12-21</t>
        </is>
      </c>
      <c r="B5048" t="n">
        <v>8</v>
      </c>
      <c r="C5048" t="n">
        <v>3120</v>
      </c>
      <c r="D5048" s="6" t="n">
        <v>36.35</v>
      </c>
      <c r="E5048" s="6" t="n">
        <v>1337315.34</v>
      </c>
      <c r="F5048" s="6">
        <f>ROUND(E5048-E5047,2)</f>
        <v/>
      </c>
      <c r="G5048" s="6">
        <f>ROUND(F5048-D5048,2)</f>
        <v/>
      </c>
    </row>
    <row r="5049">
      <c r="A5049" t="inlineStr">
        <is>
          <t>2022-12-21</t>
        </is>
      </c>
      <c r="B5049" t="n">
        <v>9</v>
      </c>
      <c r="C5049" t="n">
        <v>3120</v>
      </c>
      <c r="D5049" s="6" t="n">
        <v>36.35</v>
      </c>
      <c r="E5049" s="6" t="n">
        <v>1337351.69</v>
      </c>
      <c r="F5049" s="6">
        <f>ROUND(E5049-E5048,2)</f>
        <v/>
      </c>
      <c r="G5049" s="6">
        <f>ROUND(F5049-D5049,2)</f>
        <v/>
      </c>
    </row>
    <row r="5050">
      <c r="A5050" t="inlineStr">
        <is>
          <t>2022-12-21</t>
        </is>
      </c>
      <c r="B5050" t="n">
        <v>10</v>
      </c>
      <c r="C5050" t="n">
        <v>3120</v>
      </c>
      <c r="D5050" s="6" t="n">
        <v>84.5</v>
      </c>
      <c r="E5050" s="6" t="n">
        <v>1337436.19</v>
      </c>
      <c r="F5050" s="6">
        <f>ROUND(E5050-E5049,2)</f>
        <v/>
      </c>
      <c r="G5050" s="6">
        <f>ROUND(F5050-D5050,2)</f>
        <v/>
      </c>
    </row>
    <row r="5051">
      <c r="A5051" t="inlineStr">
        <is>
          <t>2022-12-21</t>
        </is>
      </c>
      <c r="B5051" t="n">
        <v>11</v>
      </c>
      <c r="C5051" t="n">
        <v>3120</v>
      </c>
      <c r="D5051" s="6" t="n">
        <v>96.7</v>
      </c>
      <c r="E5051" s="6" t="n">
        <v>1337532.89</v>
      </c>
      <c r="F5051" s="6">
        <f>ROUND(E5051-E5050,2)</f>
        <v/>
      </c>
      <c r="G5051" s="6">
        <f>ROUND(F5051-D5051,2)</f>
        <v/>
      </c>
    </row>
    <row r="5052">
      <c r="A5052" t="inlineStr">
        <is>
          <t>2022-12-21</t>
        </is>
      </c>
      <c r="B5052" t="n">
        <v>12</v>
      </c>
      <c r="C5052" t="n">
        <v>3120</v>
      </c>
      <c r="D5052" s="6" t="n">
        <v>90</v>
      </c>
      <c r="E5052" s="6" t="n">
        <v>1337622.89</v>
      </c>
      <c r="F5052" s="6">
        <f>ROUND(E5052-E5051,2)</f>
        <v/>
      </c>
      <c r="G5052" s="6">
        <f>ROUND(F5052-D5052,2)</f>
        <v/>
      </c>
    </row>
    <row r="5053">
      <c r="A5053" t="inlineStr">
        <is>
          <t>2022-12-21</t>
        </is>
      </c>
      <c r="B5053" t="n">
        <v>13</v>
      </c>
      <c r="C5053" t="n">
        <v>3120</v>
      </c>
      <c r="D5053" s="6" t="n">
        <v>130</v>
      </c>
      <c r="E5053" s="6" t="n">
        <v>1337752.89</v>
      </c>
      <c r="F5053" s="6">
        <f>ROUND(E5053-E5052,2)</f>
        <v/>
      </c>
      <c r="G5053" s="6">
        <f>ROUND(F5053-D5053,2)</f>
        <v/>
      </c>
    </row>
    <row r="5054">
      <c r="A5054" t="inlineStr">
        <is>
          <t>2022-12-22</t>
        </is>
      </c>
      <c r="B5054" t="n">
        <v>1</v>
      </c>
      <c r="C5054" t="n">
        <v>3121</v>
      </c>
      <c r="D5054" s="6" t="n">
        <v>41.8</v>
      </c>
      <c r="E5054" s="6" t="n">
        <v>1337794.69</v>
      </c>
      <c r="F5054" s="6">
        <f>ROUND(E5054-E5053,2)</f>
        <v/>
      </c>
      <c r="G5054" s="6">
        <f>ROUND(F5054-D5054,2)</f>
        <v/>
      </c>
    </row>
    <row r="5055">
      <c r="A5055" t="inlineStr">
        <is>
          <t>2022-12-22</t>
        </is>
      </c>
      <c r="B5055" t="n">
        <v>2</v>
      </c>
      <c r="C5055" t="n">
        <v>3121</v>
      </c>
      <c r="D5055" s="6" t="n">
        <v>127.2</v>
      </c>
      <c r="E5055" s="6" t="n">
        <v>1337921.89</v>
      </c>
      <c r="F5055" s="6">
        <f>ROUND(E5055-E5054,2)</f>
        <v/>
      </c>
      <c r="G5055" s="6">
        <f>ROUND(F5055-D5055,2)</f>
        <v/>
      </c>
    </row>
    <row r="5056">
      <c r="A5056" t="inlineStr">
        <is>
          <t>2022-12-22</t>
        </is>
      </c>
      <c r="B5056" t="n">
        <v>3</v>
      </c>
      <c r="C5056" t="n">
        <v>3121</v>
      </c>
      <c r="D5056" s="6" t="n">
        <v>120.9</v>
      </c>
      <c r="E5056" s="6" t="n">
        <v>1338042.79</v>
      </c>
      <c r="F5056" s="6">
        <f>ROUND(E5056-E5055,2)</f>
        <v/>
      </c>
      <c r="G5056" s="6">
        <f>ROUND(F5056-D5056,2)</f>
        <v/>
      </c>
    </row>
    <row r="5057">
      <c r="A5057" t="inlineStr">
        <is>
          <t>2022-12-22</t>
        </is>
      </c>
      <c r="B5057" t="n">
        <v>4</v>
      </c>
      <c r="C5057" t="n">
        <v>3121</v>
      </c>
      <c r="D5057" s="6" t="n">
        <v>52.4</v>
      </c>
      <c r="E5057" s="6" t="n">
        <v>1338095.19</v>
      </c>
      <c r="F5057" s="6">
        <f>ROUND(E5057-E5056,2)</f>
        <v/>
      </c>
      <c r="G5057" s="6">
        <f>ROUND(F5057-D5057,2)</f>
        <v/>
      </c>
    </row>
    <row r="5058">
      <c r="A5058" t="inlineStr">
        <is>
          <t>2022-12-22</t>
        </is>
      </c>
      <c r="B5058" t="n">
        <v>5</v>
      </c>
      <c r="C5058" t="n">
        <v>3121</v>
      </c>
      <c r="D5058" s="6" t="n">
        <v>28.9</v>
      </c>
      <c r="E5058" s="6" t="n">
        <v>1338124.09</v>
      </c>
      <c r="F5058" s="6">
        <f>ROUND(E5058-E5057,2)</f>
        <v/>
      </c>
      <c r="G5058" s="6">
        <f>ROUND(F5058-D5058,2)</f>
        <v/>
      </c>
    </row>
    <row r="5059">
      <c r="A5059" t="inlineStr">
        <is>
          <t>2022-12-22</t>
        </is>
      </c>
      <c r="B5059" t="n">
        <v>6</v>
      </c>
      <c r="C5059" t="n">
        <v>3121</v>
      </c>
      <c r="D5059" s="6" t="n">
        <v>106.3</v>
      </c>
      <c r="E5059" s="6" t="n">
        <v>1338230.39</v>
      </c>
      <c r="F5059" s="6">
        <f>ROUND(E5059-E5058,2)</f>
        <v/>
      </c>
      <c r="G5059" s="6">
        <f>ROUND(F5059-D5059,2)</f>
        <v/>
      </c>
    </row>
    <row r="5060">
      <c r="A5060" t="inlineStr">
        <is>
          <t>2022-12-22</t>
        </is>
      </c>
      <c r="B5060" t="n">
        <v>7</v>
      </c>
      <c r="C5060" t="n">
        <v>3121</v>
      </c>
      <c r="D5060" s="6" t="n">
        <v>40.7</v>
      </c>
      <c r="E5060" s="6" t="n">
        <v>1338271.09</v>
      </c>
      <c r="F5060" s="6">
        <f>ROUND(E5060-E5059,2)</f>
        <v/>
      </c>
      <c r="G5060" s="6">
        <f>ROUND(F5060-D5060,2)</f>
        <v/>
      </c>
    </row>
    <row r="5061">
      <c r="A5061" t="inlineStr">
        <is>
          <t>2022-12-22</t>
        </is>
      </c>
      <c r="B5061" t="n">
        <v>8</v>
      </c>
      <c r="C5061" t="n">
        <v>3121</v>
      </c>
      <c r="D5061" s="6" t="n">
        <v>32.5</v>
      </c>
      <c r="E5061" s="6" t="n">
        <v>1338303.59</v>
      </c>
      <c r="F5061" s="6">
        <f>ROUND(E5061-E5060,2)</f>
        <v/>
      </c>
      <c r="G5061" s="6">
        <f>ROUND(F5061-D5061,2)</f>
        <v/>
      </c>
    </row>
    <row r="5062">
      <c r="A5062" t="inlineStr">
        <is>
          <t>2022-12-22</t>
        </is>
      </c>
      <c r="B5062" t="n">
        <v>9</v>
      </c>
      <c r="C5062" t="n">
        <v>3121</v>
      </c>
      <c r="D5062" s="6" t="n">
        <v>20.8</v>
      </c>
      <c r="E5062" s="6" t="n">
        <v>1338324.39</v>
      </c>
      <c r="F5062" s="6">
        <f>ROUND(E5062-E5061,2)</f>
        <v/>
      </c>
      <c r="G5062" s="6">
        <f>ROUND(F5062-D5062,2)</f>
        <v/>
      </c>
    </row>
    <row r="5063">
      <c r="A5063" t="inlineStr">
        <is>
          <t>2022-12-22</t>
        </is>
      </c>
      <c r="B5063" t="n">
        <v>10</v>
      </c>
      <c r="C5063" t="n">
        <v>3121</v>
      </c>
      <c r="D5063" s="6" t="n">
        <v>39.5</v>
      </c>
      <c r="E5063" s="6" t="n">
        <v>1338363.89</v>
      </c>
      <c r="F5063" s="6">
        <f>ROUND(E5063-E5062,2)</f>
        <v/>
      </c>
      <c r="G5063" s="6">
        <f>ROUND(F5063-D5063,2)</f>
        <v/>
      </c>
    </row>
    <row r="5064">
      <c r="A5064" t="inlineStr">
        <is>
          <t>2022-12-22</t>
        </is>
      </c>
      <c r="B5064" t="n">
        <v>11</v>
      </c>
      <c r="C5064" t="n">
        <v>3121</v>
      </c>
      <c r="D5064" s="6" t="n">
        <v>39.5</v>
      </c>
      <c r="E5064" s="6" t="n">
        <v>1338403.39</v>
      </c>
      <c r="F5064" s="6">
        <f>ROUND(E5064-E5063,2)</f>
        <v/>
      </c>
      <c r="G5064" s="6">
        <f>ROUND(F5064-D5064,2)</f>
        <v/>
      </c>
    </row>
    <row r="5065">
      <c r="A5065" t="inlineStr">
        <is>
          <t>2022-12-22</t>
        </is>
      </c>
      <c r="B5065" t="n">
        <v>12</v>
      </c>
      <c r="C5065" t="n">
        <v>3121</v>
      </c>
      <c r="D5065" s="6" t="n">
        <v>81</v>
      </c>
      <c r="E5065" s="6" t="n">
        <v>1338484.39</v>
      </c>
      <c r="F5065" s="6">
        <f>ROUND(E5065-E5064,2)</f>
        <v/>
      </c>
      <c r="G5065" s="6">
        <f>ROUND(F5065-D5065,2)</f>
        <v/>
      </c>
    </row>
    <row r="5066">
      <c r="A5066" t="inlineStr">
        <is>
          <t>2022-12-22</t>
        </is>
      </c>
      <c r="B5066" t="n">
        <v>13</v>
      </c>
      <c r="C5066" t="n">
        <v>3121</v>
      </c>
      <c r="D5066" s="6" t="n">
        <v>29.85</v>
      </c>
      <c r="E5066" s="6" t="n">
        <v>1338514.24</v>
      </c>
      <c r="F5066" s="6">
        <f>ROUND(E5066-E5065,2)</f>
        <v/>
      </c>
      <c r="G5066" s="6">
        <f>ROUND(F5066-D5066,2)</f>
        <v/>
      </c>
    </row>
    <row r="5067">
      <c r="A5067" t="inlineStr">
        <is>
          <t>2022-12-22</t>
        </is>
      </c>
      <c r="B5067" t="n">
        <v>14</v>
      </c>
      <c r="C5067" t="n">
        <v>3121</v>
      </c>
      <c r="D5067" s="6" t="n">
        <v>29.85</v>
      </c>
      <c r="E5067" s="6" t="n">
        <v>1338544.09</v>
      </c>
      <c r="F5067" s="6">
        <f>ROUND(E5067-E5066,2)</f>
        <v/>
      </c>
      <c r="G5067" s="6">
        <f>ROUND(F5067-D5067,2)</f>
        <v/>
      </c>
    </row>
    <row r="5068">
      <c r="A5068" t="inlineStr">
        <is>
          <t>2022-12-22</t>
        </is>
      </c>
      <c r="B5068" t="n">
        <v>15</v>
      </c>
      <c r="C5068" t="n">
        <v>3121</v>
      </c>
      <c r="D5068" s="6" t="n">
        <v>103.3</v>
      </c>
      <c r="E5068" s="6" t="n">
        <v>1338647.39</v>
      </c>
      <c r="F5068" s="6">
        <f>ROUND(E5068-E5067,2)</f>
        <v/>
      </c>
      <c r="G5068" s="6">
        <f>ROUND(F5068-D5068,2)</f>
        <v/>
      </c>
    </row>
    <row r="5069">
      <c r="A5069" t="inlineStr">
        <is>
          <t>2022-12-22</t>
        </is>
      </c>
      <c r="B5069" t="n">
        <v>16</v>
      </c>
      <c r="C5069" t="n">
        <v>3121</v>
      </c>
      <c r="D5069" s="6" t="n">
        <v>128.4</v>
      </c>
      <c r="E5069" s="6" t="n">
        <v>1338775.79</v>
      </c>
      <c r="F5069" s="6">
        <f>ROUND(E5069-E5068,2)</f>
        <v/>
      </c>
      <c r="G5069" s="6">
        <f>ROUND(F5069-D5069,2)</f>
        <v/>
      </c>
    </row>
    <row r="5070">
      <c r="A5070" t="inlineStr">
        <is>
          <t>2022-12-22</t>
        </is>
      </c>
      <c r="B5070" t="n">
        <v>17</v>
      </c>
      <c r="C5070" t="n">
        <v>3121</v>
      </c>
      <c r="D5070" s="6" t="n">
        <v>23.9</v>
      </c>
      <c r="E5070" s="6" t="n">
        <v>1338799.69</v>
      </c>
      <c r="F5070" s="6">
        <f>ROUND(E5070-E5069,2)</f>
        <v/>
      </c>
      <c r="G5070" s="6">
        <f>ROUND(F5070-D5070,2)</f>
        <v/>
      </c>
    </row>
    <row r="5071">
      <c r="A5071" t="inlineStr">
        <is>
          <t>2022-12-22</t>
        </is>
      </c>
      <c r="B5071" t="n">
        <v>18</v>
      </c>
      <c r="C5071" t="n">
        <v>3121</v>
      </c>
      <c r="D5071" s="6" t="n">
        <v>27.6</v>
      </c>
      <c r="E5071" s="6" t="n">
        <v>1338827.29</v>
      </c>
      <c r="F5071" s="6">
        <f>ROUND(E5071-E5070,2)</f>
        <v/>
      </c>
      <c r="G5071" s="6">
        <f>ROUND(F5071-D5071,2)</f>
        <v/>
      </c>
    </row>
    <row r="5072">
      <c r="A5072" t="inlineStr">
        <is>
          <t>2022-12-22</t>
        </is>
      </c>
      <c r="B5072" t="n">
        <v>19</v>
      </c>
      <c r="C5072" t="n">
        <v>3121</v>
      </c>
      <c r="D5072" s="6" t="n">
        <v>104.3</v>
      </c>
      <c r="E5072" s="6" t="n">
        <v>1338931.59</v>
      </c>
      <c r="F5072" s="6">
        <f>ROUND(E5072-E5071,2)</f>
        <v/>
      </c>
      <c r="G5072" s="6">
        <f>ROUND(F5072-D5072,2)</f>
        <v/>
      </c>
    </row>
    <row r="5073">
      <c r="A5073" t="inlineStr">
        <is>
          <t>2022-12-23</t>
        </is>
      </c>
      <c r="B5073" t="n">
        <v>1</v>
      </c>
      <c r="C5073" t="n">
        <v>3122</v>
      </c>
      <c r="D5073" s="6" t="n">
        <v>100</v>
      </c>
      <c r="E5073" s="6" t="n">
        <v>1339031.59</v>
      </c>
      <c r="F5073" s="6">
        <f>ROUND(E5073-E5072,2)</f>
        <v/>
      </c>
      <c r="G5073" s="6">
        <f>ROUND(F5073-D5073,2)</f>
        <v/>
      </c>
    </row>
    <row r="5074">
      <c r="A5074" t="inlineStr">
        <is>
          <t>2022-12-23</t>
        </is>
      </c>
      <c r="B5074" t="n">
        <v>2</v>
      </c>
      <c r="C5074" t="n">
        <v>3122</v>
      </c>
      <c r="D5074" s="6" t="n">
        <v>75.40000000000001</v>
      </c>
      <c r="E5074" s="6" t="n">
        <v>1339106.99</v>
      </c>
      <c r="F5074" s="6">
        <f>ROUND(E5074-E5073,2)</f>
        <v/>
      </c>
      <c r="G5074" s="6">
        <f>ROUND(F5074-D5074,2)</f>
        <v/>
      </c>
    </row>
    <row r="5075">
      <c r="A5075" t="inlineStr">
        <is>
          <t>2022-12-23</t>
        </is>
      </c>
      <c r="B5075" t="n">
        <v>3</v>
      </c>
      <c r="C5075" t="n">
        <v>3122</v>
      </c>
      <c r="D5075" s="6" t="n">
        <v>70.40000000000001</v>
      </c>
      <c r="E5075" s="6" t="n">
        <v>1339177.39</v>
      </c>
      <c r="F5075" s="6">
        <f>ROUND(E5075-E5074,2)</f>
        <v/>
      </c>
      <c r="G5075" s="6">
        <f>ROUND(F5075-D5075,2)</f>
        <v/>
      </c>
    </row>
    <row r="5076">
      <c r="A5076" t="inlineStr">
        <is>
          <t>2022-12-23</t>
        </is>
      </c>
      <c r="B5076" t="n">
        <v>4</v>
      </c>
      <c r="C5076" t="n">
        <v>3122</v>
      </c>
      <c r="D5076" s="6" t="n">
        <v>80.09999999999999</v>
      </c>
      <c r="E5076" s="6" t="n">
        <v>1339257.49</v>
      </c>
      <c r="F5076" s="6">
        <f>ROUND(E5076-E5075,2)</f>
        <v/>
      </c>
      <c r="G5076" s="6">
        <f>ROUND(F5076-D5076,2)</f>
        <v/>
      </c>
    </row>
    <row r="5077">
      <c r="A5077" t="inlineStr">
        <is>
          <t>2022-12-23</t>
        </is>
      </c>
      <c r="B5077" t="n">
        <v>5</v>
      </c>
      <c r="C5077" t="n">
        <v>3122</v>
      </c>
      <c r="D5077" s="6" t="n">
        <v>201</v>
      </c>
      <c r="E5077" s="6" t="n">
        <v>1339458.49</v>
      </c>
      <c r="F5077" s="6">
        <f>ROUND(E5077-E5076,2)</f>
        <v/>
      </c>
      <c r="G5077" s="6">
        <f>ROUND(F5077-D5077,2)</f>
        <v/>
      </c>
    </row>
    <row r="5078">
      <c r="A5078" t="inlineStr">
        <is>
          <t>2022-12-23</t>
        </is>
      </c>
      <c r="B5078" t="n">
        <v>6</v>
      </c>
      <c r="C5078" t="n">
        <v>3122</v>
      </c>
      <c r="D5078" s="6" t="n">
        <v>58</v>
      </c>
      <c r="E5078" s="6" t="n">
        <v>1339516.49</v>
      </c>
      <c r="F5078" s="6">
        <f>ROUND(E5078-E5077,2)</f>
        <v/>
      </c>
      <c r="G5078" s="6">
        <f>ROUND(F5078-D5078,2)</f>
        <v/>
      </c>
    </row>
    <row r="5079">
      <c r="A5079" t="inlineStr">
        <is>
          <t>2022-12-23</t>
        </is>
      </c>
      <c r="B5079" t="n">
        <v>7</v>
      </c>
      <c r="C5079" t="n">
        <v>3122</v>
      </c>
      <c r="D5079" s="6" t="n">
        <v>120</v>
      </c>
      <c r="E5079" s="6" t="n">
        <v>1339636.49</v>
      </c>
      <c r="F5079" s="6">
        <f>ROUND(E5079-E5078,2)</f>
        <v/>
      </c>
      <c r="G5079" s="6">
        <f>ROUND(F5079-D5079,2)</f>
        <v/>
      </c>
    </row>
    <row r="5080">
      <c r="A5080" t="inlineStr">
        <is>
          <t>2022-12-23</t>
        </is>
      </c>
      <c r="B5080" t="n">
        <v>8</v>
      </c>
      <c r="C5080" t="n">
        <v>3122</v>
      </c>
      <c r="D5080" s="6" t="n">
        <v>116.3</v>
      </c>
      <c r="E5080" s="6" t="n">
        <v>1339752.79</v>
      </c>
      <c r="F5080" s="6">
        <f>ROUND(E5080-E5079,2)</f>
        <v/>
      </c>
      <c r="G5080" s="6">
        <f>ROUND(F5080-D5080,2)</f>
        <v/>
      </c>
    </row>
    <row r="5081">
      <c r="A5081" t="inlineStr">
        <is>
          <t>2022-12-23</t>
        </is>
      </c>
      <c r="B5081" t="n">
        <v>9</v>
      </c>
      <c r="C5081" t="n">
        <v>3122</v>
      </c>
      <c r="D5081" s="6" t="n">
        <v>94</v>
      </c>
      <c r="E5081" s="6" t="n">
        <v>1339846.79</v>
      </c>
      <c r="F5081" s="6">
        <f>ROUND(E5081-E5080,2)</f>
        <v/>
      </c>
      <c r="G5081" s="6">
        <f>ROUND(F5081-D5081,2)</f>
        <v/>
      </c>
    </row>
    <row r="5082">
      <c r="A5082" t="inlineStr">
        <is>
          <t>2022-12-23</t>
        </is>
      </c>
      <c r="B5082" t="n">
        <v>10</v>
      </c>
      <c r="C5082" t="n">
        <v>3122</v>
      </c>
      <c r="D5082" s="6" t="n">
        <v>52.3</v>
      </c>
      <c r="E5082" s="6" t="n">
        <v>1339899.09</v>
      </c>
      <c r="F5082" s="6">
        <f>ROUND(E5082-E5081,2)</f>
        <v/>
      </c>
      <c r="G5082" s="6">
        <f>ROUND(F5082-D5082,2)</f>
        <v/>
      </c>
    </row>
    <row r="5083">
      <c r="A5083" t="inlineStr">
        <is>
          <t>2022-12-23</t>
        </is>
      </c>
      <c r="B5083" t="n">
        <v>11</v>
      </c>
      <c r="C5083" t="n">
        <v>3122</v>
      </c>
      <c r="D5083" s="6" t="n">
        <v>44.35</v>
      </c>
      <c r="E5083" s="6" t="n">
        <v>1339943.44</v>
      </c>
      <c r="F5083" s="6">
        <f>ROUND(E5083-E5082,2)</f>
        <v/>
      </c>
      <c r="G5083" s="6">
        <f>ROUND(F5083-D5083,2)</f>
        <v/>
      </c>
    </row>
    <row r="5084">
      <c r="A5084" t="inlineStr">
        <is>
          <t>2022-12-23</t>
        </is>
      </c>
      <c r="B5084" t="n">
        <v>12</v>
      </c>
      <c r="C5084" t="n">
        <v>3122</v>
      </c>
      <c r="D5084" s="6" t="n">
        <v>44.35</v>
      </c>
      <c r="E5084" s="6" t="n">
        <v>1339987.79</v>
      </c>
      <c r="F5084" s="6">
        <f>ROUND(E5084-E5083,2)</f>
        <v/>
      </c>
      <c r="G5084" s="6">
        <f>ROUND(F5084-D5084,2)</f>
        <v/>
      </c>
    </row>
    <row r="5085">
      <c r="A5085" t="inlineStr">
        <is>
          <t>2022-12-23</t>
        </is>
      </c>
      <c r="B5085" t="n">
        <v>13</v>
      </c>
      <c r="C5085" t="n">
        <v>3122</v>
      </c>
      <c r="D5085" s="6" t="n">
        <v>81.40000000000001</v>
      </c>
      <c r="E5085" s="6" t="n">
        <v>1340069.19</v>
      </c>
      <c r="F5085" s="6">
        <f>ROUND(E5085-E5084,2)</f>
        <v/>
      </c>
      <c r="G5085" s="6">
        <f>ROUND(F5085-D5085,2)</f>
        <v/>
      </c>
    </row>
    <row r="5086">
      <c r="A5086" t="inlineStr">
        <is>
          <t>2022-12-23</t>
        </is>
      </c>
      <c r="B5086" t="n">
        <v>14</v>
      </c>
      <c r="C5086" t="n">
        <v>3122</v>
      </c>
      <c r="D5086" s="6" t="n">
        <v>38.4</v>
      </c>
      <c r="E5086" s="6" t="n">
        <v>1340107.59</v>
      </c>
      <c r="F5086" s="6">
        <f>ROUND(E5086-E5085,2)</f>
        <v/>
      </c>
      <c r="G5086" s="6">
        <f>ROUND(F5086-D5086,2)</f>
        <v/>
      </c>
    </row>
    <row r="5087">
      <c r="A5087" t="inlineStr">
        <is>
          <t>2022-12-23</t>
        </is>
      </c>
      <c r="B5087" t="n">
        <v>15</v>
      </c>
      <c r="C5087" t="n">
        <v>3122</v>
      </c>
      <c r="D5087" s="6" t="n">
        <v>16.9</v>
      </c>
      <c r="E5087" s="6" t="n">
        <v>1340124.49</v>
      </c>
      <c r="F5087" s="6">
        <f>ROUND(E5087-E5086,2)</f>
        <v/>
      </c>
      <c r="G5087" s="6">
        <f>ROUND(F5087-D5087,2)</f>
        <v/>
      </c>
    </row>
    <row r="5088">
      <c r="A5088" t="inlineStr">
        <is>
          <t>2022-12-23</t>
        </is>
      </c>
      <c r="B5088" t="n">
        <v>16</v>
      </c>
      <c r="C5088" t="n">
        <v>3122</v>
      </c>
      <c r="D5088" s="6" t="n">
        <v>103</v>
      </c>
      <c r="E5088" s="6" t="n">
        <v>1340227.49</v>
      </c>
      <c r="F5088" s="6">
        <f>ROUND(E5088-E5087,2)</f>
        <v/>
      </c>
      <c r="G5088" s="6">
        <f>ROUND(F5088-D5088,2)</f>
        <v/>
      </c>
    </row>
    <row r="5089">
      <c r="A5089" t="inlineStr">
        <is>
          <t>2022-12-28</t>
        </is>
      </c>
      <c r="B5089" t="n">
        <v>1</v>
      </c>
      <c r="C5089" t="n">
        <v>3123</v>
      </c>
      <c r="D5089" s="6" t="n">
        <v>47.8</v>
      </c>
      <c r="E5089" s="6" t="n">
        <v>1340275.29</v>
      </c>
      <c r="F5089" s="6">
        <f>ROUND(E5089-E5088,2)</f>
        <v/>
      </c>
      <c r="G5089" s="6">
        <f>ROUND(F5089-D5089,2)</f>
        <v/>
      </c>
    </row>
    <row r="5090">
      <c r="A5090" t="inlineStr">
        <is>
          <t>2022-12-28</t>
        </is>
      </c>
      <c r="B5090" t="n">
        <v>2</v>
      </c>
      <c r="C5090" t="n">
        <v>3123</v>
      </c>
      <c r="D5090" s="6" t="n">
        <v>30.6</v>
      </c>
      <c r="E5090" s="6" t="n">
        <v>1340305.89</v>
      </c>
      <c r="F5090" s="6">
        <f>ROUND(E5090-E5089,2)</f>
        <v/>
      </c>
      <c r="G5090" s="6">
        <f>ROUND(F5090-D5090,2)</f>
        <v/>
      </c>
    </row>
    <row r="5091">
      <c r="A5091" t="inlineStr">
        <is>
          <t>2022-12-28</t>
        </is>
      </c>
      <c r="B5091" t="n">
        <v>3</v>
      </c>
      <c r="C5091" t="n">
        <v>3123</v>
      </c>
      <c r="D5091" s="6" t="n">
        <v>30.6</v>
      </c>
      <c r="E5091" s="6" t="n">
        <v>1340336.49</v>
      </c>
      <c r="F5091" s="6">
        <f>ROUND(E5091-E5090,2)</f>
        <v/>
      </c>
      <c r="G5091" s="6">
        <f>ROUND(F5091-D5091,2)</f>
        <v/>
      </c>
    </row>
    <row r="5092">
      <c r="A5092" t="inlineStr">
        <is>
          <t>2022-12-28</t>
        </is>
      </c>
      <c r="B5092" t="n">
        <v>4</v>
      </c>
      <c r="C5092" t="n">
        <v>3123</v>
      </c>
      <c r="D5092" s="6" t="n">
        <v>87.90000000000001</v>
      </c>
      <c r="E5092" s="6" t="n">
        <v>1340424.39</v>
      </c>
      <c r="F5092" s="6">
        <f>ROUND(E5092-E5091,2)</f>
        <v/>
      </c>
      <c r="G5092" s="6">
        <f>ROUND(F5092-D5092,2)</f>
        <v/>
      </c>
    </row>
    <row r="5093">
      <c r="A5093" t="inlineStr">
        <is>
          <t>2022-12-28</t>
        </is>
      </c>
      <c r="B5093" t="n">
        <v>5</v>
      </c>
      <c r="C5093" t="n">
        <v>3123</v>
      </c>
      <c r="D5093" s="6" t="n">
        <v>39</v>
      </c>
      <c r="E5093" s="6" t="n">
        <v>1340463.39</v>
      </c>
      <c r="F5093" s="6">
        <f>ROUND(E5093-E5092,2)</f>
        <v/>
      </c>
      <c r="G5093" s="6">
        <f>ROUND(F5093-D5093,2)</f>
        <v/>
      </c>
    </row>
    <row r="5094">
      <c r="A5094" t="inlineStr">
        <is>
          <t>2022-12-28</t>
        </is>
      </c>
      <c r="B5094" t="n">
        <v>6</v>
      </c>
      <c r="C5094" t="n">
        <v>3123</v>
      </c>
      <c r="D5094" s="6" t="n">
        <v>137.4</v>
      </c>
      <c r="E5094" s="6" t="n">
        <v>1340600.79</v>
      </c>
      <c r="F5094" s="6">
        <f>ROUND(E5094-E5093,2)</f>
        <v/>
      </c>
      <c r="G5094" s="6">
        <f>ROUND(F5094-D5094,2)</f>
        <v/>
      </c>
    </row>
    <row r="5095">
      <c r="A5095" t="inlineStr">
        <is>
          <t>2022-12-28</t>
        </is>
      </c>
      <c r="B5095" t="n">
        <v>7</v>
      </c>
      <c r="C5095" t="n">
        <v>3123</v>
      </c>
      <c r="D5095" s="6" t="n">
        <v>45.1</v>
      </c>
      <c r="E5095" s="6" t="n">
        <v>1340645.89</v>
      </c>
      <c r="F5095" s="6">
        <f>ROUND(E5095-E5094,2)</f>
        <v/>
      </c>
      <c r="G5095" s="6">
        <f>ROUND(F5095-D5095,2)</f>
        <v/>
      </c>
    </row>
    <row r="5096">
      <c r="A5096" t="inlineStr">
        <is>
          <t>2022-12-28</t>
        </is>
      </c>
      <c r="B5096" t="n">
        <v>8</v>
      </c>
      <c r="C5096" t="n">
        <v>3123</v>
      </c>
      <c r="D5096" s="6" t="n">
        <v>484.1</v>
      </c>
      <c r="E5096" s="6" t="n">
        <v>1341129.99</v>
      </c>
      <c r="F5096" s="6">
        <f>ROUND(E5096-E5095,2)</f>
        <v/>
      </c>
      <c r="G5096" s="6">
        <f>ROUND(F5096-D5096,2)</f>
        <v/>
      </c>
    </row>
    <row r="5097">
      <c r="A5097" t="inlineStr">
        <is>
          <t>2022-12-28</t>
        </is>
      </c>
      <c r="B5097" t="n">
        <v>9</v>
      </c>
      <c r="C5097" t="n">
        <v>3123</v>
      </c>
      <c r="D5097" s="6" t="n">
        <v>52.3</v>
      </c>
      <c r="E5097" s="6" t="n">
        <v>1341182.29</v>
      </c>
      <c r="F5097" s="6">
        <f>ROUND(E5097-E5096,2)</f>
        <v/>
      </c>
      <c r="G5097" s="6">
        <f>ROUND(F5097-D5097,2)</f>
        <v/>
      </c>
    </row>
    <row r="5098">
      <c r="A5098" t="inlineStr">
        <is>
          <t>2022-12-28</t>
        </is>
      </c>
      <c r="B5098" t="n">
        <v>10</v>
      </c>
      <c r="C5098" t="n">
        <v>3123</v>
      </c>
      <c r="D5098" s="6" t="n">
        <v>85.59999999999999</v>
      </c>
      <c r="E5098" s="6" t="n">
        <v>1341267.89</v>
      </c>
      <c r="F5098" s="6">
        <f>ROUND(E5098-E5097,2)</f>
        <v/>
      </c>
      <c r="G5098" s="6">
        <f>ROUND(F5098-D5098,2)</f>
        <v/>
      </c>
    </row>
    <row r="5099">
      <c r="A5099" t="inlineStr">
        <is>
          <t>2022-12-28</t>
        </is>
      </c>
      <c r="B5099" t="n">
        <v>11</v>
      </c>
      <c r="C5099" t="n">
        <v>3123</v>
      </c>
      <c r="D5099" s="6" t="n">
        <v>45.6</v>
      </c>
      <c r="E5099" s="6" t="n">
        <v>1341313.49</v>
      </c>
      <c r="F5099" s="6">
        <f>ROUND(E5099-E5098,2)</f>
        <v/>
      </c>
      <c r="G5099" s="6">
        <f>ROUND(F5099-D5099,2)</f>
        <v/>
      </c>
    </row>
    <row r="5100">
      <c r="A5100" t="inlineStr">
        <is>
          <t>2022-12-28</t>
        </is>
      </c>
      <c r="B5100" t="n">
        <v>12</v>
      </c>
      <c r="C5100" t="n">
        <v>3123</v>
      </c>
      <c r="D5100" s="6" t="n">
        <v>4.25</v>
      </c>
      <c r="E5100" s="6" t="n">
        <v>1341317.74</v>
      </c>
      <c r="F5100" s="6">
        <f>ROUND(E5100-E5099,2)</f>
        <v/>
      </c>
      <c r="G5100" s="6">
        <f>ROUND(F5100-D5100,2)</f>
        <v/>
      </c>
    </row>
    <row r="5101">
      <c r="A5101" t="inlineStr">
        <is>
          <t>2022-12-28</t>
        </is>
      </c>
      <c r="B5101" t="n">
        <v>13</v>
      </c>
      <c r="C5101" t="n">
        <v>3123</v>
      </c>
      <c r="D5101" s="6" t="n">
        <v>25.25</v>
      </c>
      <c r="E5101" s="6" t="n">
        <v>1341342.99</v>
      </c>
      <c r="F5101" s="6">
        <f>ROUND(E5101-E5100,2)</f>
        <v/>
      </c>
      <c r="G5101" s="6">
        <f>ROUND(F5101-D5101,2)</f>
        <v/>
      </c>
    </row>
    <row r="5102">
      <c r="A5102" t="inlineStr">
        <is>
          <t>2022-12-28</t>
        </is>
      </c>
      <c r="B5102" t="n">
        <v>14</v>
      </c>
      <c r="C5102" t="n">
        <v>3123</v>
      </c>
      <c r="D5102" s="6" t="n">
        <v>25.25</v>
      </c>
      <c r="E5102" s="6" t="n">
        <v>1341368.24</v>
      </c>
      <c r="F5102" s="6">
        <f>ROUND(E5102-E5101,2)</f>
        <v/>
      </c>
      <c r="G5102" s="6">
        <f>ROUND(F5102-D5102,2)</f>
        <v/>
      </c>
    </row>
    <row r="5103">
      <c r="A5103" t="inlineStr">
        <is>
          <t>2022-12-28</t>
        </is>
      </c>
      <c r="B5103" t="n">
        <v>15</v>
      </c>
      <c r="C5103" t="n">
        <v>3123</v>
      </c>
      <c r="D5103" s="6" t="n">
        <v>69.7</v>
      </c>
      <c r="E5103" s="6" t="n">
        <v>1341437.94</v>
      </c>
      <c r="F5103" s="6">
        <f>ROUND(E5103-E5102,2)</f>
        <v/>
      </c>
      <c r="G5103" s="6">
        <f>ROUND(F5103-D5103,2)</f>
        <v/>
      </c>
    </row>
    <row r="5104">
      <c r="A5104" t="inlineStr">
        <is>
          <t>2022-12-28</t>
        </is>
      </c>
      <c r="B5104" t="n">
        <v>16</v>
      </c>
      <c r="C5104" t="n">
        <v>3123</v>
      </c>
      <c r="D5104" s="6" t="n">
        <v>97.8</v>
      </c>
      <c r="E5104" s="6" t="n">
        <v>1341535.74</v>
      </c>
      <c r="F5104" s="6">
        <f>ROUND(E5104-E5103,2)</f>
        <v/>
      </c>
      <c r="G5104" s="6">
        <f>ROUND(F5104-D5104,2)</f>
        <v/>
      </c>
    </row>
    <row r="5105">
      <c r="A5105" t="inlineStr">
        <is>
          <t>2022-12-28</t>
        </is>
      </c>
      <c r="B5105" t="n">
        <v>18</v>
      </c>
      <c r="C5105" t="n">
        <v>3123</v>
      </c>
      <c r="D5105" s="6" t="n">
        <v>127.3</v>
      </c>
      <c r="E5105" s="6" t="n">
        <v>1341663.04</v>
      </c>
      <c r="F5105" s="6">
        <f>ROUND(E5105-E5104,2)</f>
        <v/>
      </c>
      <c r="G5105" s="6">
        <f>ROUND(F5105-D5105,2)</f>
        <v/>
      </c>
    </row>
    <row r="5106">
      <c r="A5106" t="inlineStr">
        <is>
          <t>2022-12-28</t>
        </is>
      </c>
      <c r="B5106" t="n">
        <v>19</v>
      </c>
      <c r="C5106" t="n">
        <v>3123</v>
      </c>
      <c r="D5106" s="6" t="n">
        <v>6.6</v>
      </c>
      <c r="E5106" s="6" t="n">
        <v>1341669.64</v>
      </c>
      <c r="F5106" s="6">
        <f>ROUND(E5106-E5105,2)</f>
        <v/>
      </c>
      <c r="G5106" s="6">
        <f>ROUND(F5106-D5106,2)</f>
        <v/>
      </c>
    </row>
    <row r="5107">
      <c r="A5107" t="inlineStr">
        <is>
          <t>2022-12-28</t>
        </is>
      </c>
      <c r="B5107" t="n">
        <v>20</v>
      </c>
      <c r="C5107" t="n">
        <v>3123</v>
      </c>
      <c r="D5107" s="6" t="n">
        <v>385.6</v>
      </c>
      <c r="E5107" s="6" t="n">
        <v>1342055.24</v>
      </c>
      <c r="F5107" s="6">
        <f>ROUND(E5107-E5106,2)</f>
        <v/>
      </c>
      <c r="G5107" s="6">
        <f>ROUND(F5107-D5107,2)</f>
        <v/>
      </c>
    </row>
    <row r="5108">
      <c r="A5108" t="inlineStr">
        <is>
          <t>2022-12-29</t>
        </is>
      </c>
      <c r="B5108" t="n">
        <v>1</v>
      </c>
      <c r="C5108" t="n">
        <v>3124</v>
      </c>
      <c r="D5108" s="6" t="n">
        <v>28.7</v>
      </c>
      <c r="E5108" s="6" t="n">
        <v>1342083.94</v>
      </c>
      <c r="F5108" s="6">
        <f>ROUND(E5108-E5107,2)</f>
        <v/>
      </c>
      <c r="G5108" s="6">
        <f>ROUND(F5108-D5108,2)</f>
        <v/>
      </c>
    </row>
    <row r="5109">
      <c r="A5109" t="inlineStr">
        <is>
          <t>2022-12-29</t>
        </is>
      </c>
      <c r="B5109" t="n">
        <v>2</v>
      </c>
      <c r="C5109" t="n">
        <v>3124</v>
      </c>
      <c r="D5109" s="6" t="n">
        <v>53.6</v>
      </c>
      <c r="E5109" s="6" t="n">
        <v>1342137.54</v>
      </c>
      <c r="F5109" s="6">
        <f>ROUND(E5109-E5108,2)</f>
        <v/>
      </c>
      <c r="G5109" s="6">
        <f>ROUND(F5109-D5109,2)</f>
        <v/>
      </c>
    </row>
    <row r="5110">
      <c r="A5110" t="inlineStr">
        <is>
          <t>2022-12-29</t>
        </is>
      </c>
      <c r="B5110" t="n">
        <v>3</v>
      </c>
      <c r="C5110" t="n">
        <v>3124</v>
      </c>
      <c r="D5110" s="6" t="n">
        <v>65.3</v>
      </c>
      <c r="E5110" s="6" t="n">
        <v>1342202.84</v>
      </c>
      <c r="F5110" s="6">
        <f>ROUND(E5110-E5109,2)</f>
        <v/>
      </c>
      <c r="G5110" s="6">
        <f>ROUND(F5110-D5110,2)</f>
        <v/>
      </c>
    </row>
    <row r="5111">
      <c r="A5111" t="inlineStr">
        <is>
          <t>2022-12-29</t>
        </is>
      </c>
      <c r="B5111" t="n">
        <v>4</v>
      </c>
      <c r="C5111" t="n">
        <v>3124</v>
      </c>
      <c r="D5111" s="6" t="n">
        <v>58.7</v>
      </c>
      <c r="E5111" s="6" t="n">
        <v>1342261.54</v>
      </c>
      <c r="F5111" s="6">
        <f>ROUND(E5111-E5110,2)</f>
        <v/>
      </c>
      <c r="G5111" s="6">
        <f>ROUND(F5111-D5111,2)</f>
        <v/>
      </c>
    </row>
    <row r="5112">
      <c r="A5112" t="inlineStr">
        <is>
          <t>2022-12-29</t>
        </is>
      </c>
      <c r="B5112" t="n">
        <v>5</v>
      </c>
      <c r="C5112" t="n">
        <v>3124</v>
      </c>
      <c r="D5112" s="6" t="n">
        <v>66.2</v>
      </c>
      <c r="E5112" s="6" t="n">
        <v>1342327.74</v>
      </c>
      <c r="F5112" s="6">
        <f>ROUND(E5112-E5111,2)</f>
        <v/>
      </c>
      <c r="G5112" s="6">
        <f>ROUND(F5112-D5112,2)</f>
        <v/>
      </c>
    </row>
    <row r="5113">
      <c r="A5113" t="inlineStr">
        <is>
          <t>2022-12-29</t>
        </is>
      </c>
      <c r="B5113" t="n">
        <v>6</v>
      </c>
      <c r="C5113" t="n">
        <v>3124</v>
      </c>
      <c r="D5113" s="6" t="n">
        <v>30.7</v>
      </c>
      <c r="E5113" s="6" t="n">
        <v>1342358.44</v>
      </c>
      <c r="F5113" s="6">
        <f>ROUND(E5113-E5112,2)</f>
        <v/>
      </c>
      <c r="G5113" s="6">
        <f>ROUND(F5113-D5113,2)</f>
        <v/>
      </c>
    </row>
    <row r="5114">
      <c r="A5114" t="inlineStr">
        <is>
          <t>2022-12-29</t>
        </is>
      </c>
      <c r="B5114" t="n">
        <v>7</v>
      </c>
      <c r="C5114" t="n">
        <v>3124</v>
      </c>
      <c r="D5114" s="6" t="n">
        <v>36.6</v>
      </c>
      <c r="E5114" s="6" t="n">
        <v>1342395.04</v>
      </c>
      <c r="F5114" s="6">
        <f>ROUND(E5114-E5113,2)</f>
        <v/>
      </c>
      <c r="G5114" s="6">
        <f>ROUND(F5114-D5114,2)</f>
        <v/>
      </c>
    </row>
    <row r="5115">
      <c r="A5115" t="inlineStr">
        <is>
          <t>2022-12-29</t>
        </is>
      </c>
      <c r="B5115" t="n">
        <v>8</v>
      </c>
      <c r="C5115" t="n">
        <v>3124</v>
      </c>
      <c r="D5115" s="6" t="n">
        <v>102.8</v>
      </c>
      <c r="E5115" s="6" t="n">
        <v>1342497.84</v>
      </c>
      <c r="F5115" s="6">
        <f>ROUND(E5115-E5114,2)</f>
        <v/>
      </c>
      <c r="G5115" s="6">
        <f>ROUND(F5115-D5115,2)</f>
        <v/>
      </c>
    </row>
    <row r="5116">
      <c r="A5116" t="inlineStr">
        <is>
          <t>2022-12-29</t>
        </is>
      </c>
      <c r="B5116" t="n">
        <v>9</v>
      </c>
      <c r="C5116" t="n">
        <v>3124</v>
      </c>
      <c r="D5116" s="6" t="n">
        <v>28.9</v>
      </c>
      <c r="E5116" s="6" t="n">
        <v>1342526.74</v>
      </c>
      <c r="F5116" s="6">
        <f>ROUND(E5116-E5115,2)</f>
        <v/>
      </c>
      <c r="G5116" s="6">
        <f>ROUND(F5116-D5116,2)</f>
        <v/>
      </c>
    </row>
    <row r="5117">
      <c r="A5117" t="inlineStr">
        <is>
          <t>2022-12-29</t>
        </is>
      </c>
      <c r="B5117" t="n">
        <v>10</v>
      </c>
      <c r="C5117" t="n">
        <v>3124</v>
      </c>
      <c r="D5117" s="6" t="n">
        <v>52.5</v>
      </c>
      <c r="E5117" s="6" t="n">
        <v>1342579.24</v>
      </c>
      <c r="F5117" s="6">
        <f>ROUND(E5117-E5116,2)</f>
        <v/>
      </c>
      <c r="G5117" s="6">
        <f>ROUND(F5117-D5117,2)</f>
        <v/>
      </c>
    </row>
    <row r="5118">
      <c r="A5118" t="inlineStr">
        <is>
          <t>2022-12-29</t>
        </is>
      </c>
      <c r="B5118" t="n">
        <v>11</v>
      </c>
      <c r="C5118" t="n">
        <v>3124</v>
      </c>
      <c r="D5118" s="6" t="n">
        <v>64.40000000000001</v>
      </c>
      <c r="E5118" s="6" t="n">
        <v>1342643.64</v>
      </c>
      <c r="F5118" s="6">
        <f>ROUND(E5118-E5117,2)</f>
        <v/>
      </c>
      <c r="G5118" s="6">
        <f>ROUND(F5118-D5118,2)</f>
        <v/>
      </c>
    </row>
    <row r="5119">
      <c r="A5119" t="inlineStr">
        <is>
          <t>2022-12-29</t>
        </is>
      </c>
      <c r="B5119" t="n">
        <v>12</v>
      </c>
      <c r="C5119" t="n">
        <v>3124</v>
      </c>
      <c r="D5119" s="6" t="n">
        <v>70.05</v>
      </c>
      <c r="E5119" s="6" t="n">
        <v>1342713.69</v>
      </c>
      <c r="F5119" s="6">
        <f>ROUND(E5119-E5118,2)</f>
        <v/>
      </c>
      <c r="G5119" s="6">
        <f>ROUND(F5119-D5119,2)</f>
        <v/>
      </c>
    </row>
    <row r="5120">
      <c r="A5120" t="inlineStr">
        <is>
          <t>2022-12-29</t>
        </is>
      </c>
      <c r="B5120" t="n">
        <v>13</v>
      </c>
      <c r="C5120" t="n">
        <v>3124</v>
      </c>
      <c r="D5120" s="6" t="n">
        <v>94.7</v>
      </c>
      <c r="E5120" s="6" t="n">
        <v>1342808.39</v>
      </c>
      <c r="F5120" s="6">
        <f>ROUND(E5120-E5119,2)</f>
        <v/>
      </c>
      <c r="G5120" s="6">
        <f>ROUND(F5120-D5120,2)</f>
        <v/>
      </c>
    </row>
    <row r="5121">
      <c r="A5121" t="inlineStr">
        <is>
          <t>2022-12-29</t>
        </is>
      </c>
      <c r="B5121" t="n">
        <v>14</v>
      </c>
      <c r="C5121" t="n">
        <v>3124</v>
      </c>
      <c r="D5121" s="6" t="n">
        <v>75.90000000000001</v>
      </c>
      <c r="E5121" s="6" t="n">
        <v>1342884.29</v>
      </c>
      <c r="F5121" s="6">
        <f>ROUND(E5121-E5120,2)</f>
        <v/>
      </c>
      <c r="G5121" s="6">
        <f>ROUND(F5121-D5121,2)</f>
        <v/>
      </c>
    </row>
    <row r="5122">
      <c r="A5122" t="inlineStr">
        <is>
          <t>2022-12-29</t>
        </is>
      </c>
      <c r="B5122" t="n">
        <v>15</v>
      </c>
      <c r="C5122" t="n">
        <v>3124</v>
      </c>
      <c r="D5122" s="6" t="n">
        <v>95.59999999999999</v>
      </c>
      <c r="E5122" s="6" t="n">
        <v>1342979.89</v>
      </c>
      <c r="F5122" s="6">
        <f>ROUND(E5122-E5121,2)</f>
        <v/>
      </c>
      <c r="G5122" s="6">
        <f>ROUND(F5122-D5122,2)</f>
        <v/>
      </c>
    </row>
    <row r="5123">
      <c r="A5123" t="inlineStr">
        <is>
          <t>2022-12-29</t>
        </is>
      </c>
      <c r="B5123" t="n">
        <v>16</v>
      </c>
      <c r="C5123" t="n">
        <v>3124</v>
      </c>
      <c r="D5123" s="6" t="n">
        <v>134.2</v>
      </c>
      <c r="E5123" s="6" t="n">
        <v>1343114.09</v>
      </c>
      <c r="F5123" s="6">
        <f>ROUND(E5123-E5122,2)</f>
        <v/>
      </c>
      <c r="G5123" s="6">
        <f>ROUND(F5123-D5123,2)</f>
        <v/>
      </c>
    </row>
    <row r="5124">
      <c r="A5124" t="inlineStr">
        <is>
          <t>2022-12-29</t>
        </is>
      </c>
      <c r="B5124" t="n">
        <v>17</v>
      </c>
      <c r="C5124" t="n">
        <v>3124</v>
      </c>
      <c r="D5124" s="6" t="n">
        <v>134</v>
      </c>
      <c r="E5124" s="6" t="n">
        <v>1343248.09</v>
      </c>
      <c r="F5124" s="6">
        <f>ROUND(E5124-E5123,2)</f>
        <v/>
      </c>
      <c r="G5124" s="6">
        <f>ROUND(F5124-D5124,2)</f>
        <v/>
      </c>
    </row>
    <row r="5125">
      <c r="A5125" t="inlineStr">
        <is>
          <t>2022-12-29</t>
        </is>
      </c>
      <c r="B5125" t="n">
        <v>18</v>
      </c>
      <c r="C5125" t="n">
        <v>3124</v>
      </c>
      <c r="D5125" s="6" t="n">
        <v>80.5</v>
      </c>
      <c r="E5125" s="6" t="n">
        <v>1343328.59</v>
      </c>
      <c r="F5125" s="6">
        <f>ROUND(E5125-E5124,2)</f>
        <v/>
      </c>
      <c r="G5125" s="6">
        <f>ROUND(F5125-D5125,2)</f>
        <v/>
      </c>
    </row>
    <row r="5126">
      <c r="A5126" t="inlineStr">
        <is>
          <t>2022-12-29</t>
        </is>
      </c>
      <c r="B5126" t="n">
        <v>19</v>
      </c>
      <c r="C5126" t="n">
        <v>3124</v>
      </c>
      <c r="D5126" s="6" t="n">
        <v>68.5</v>
      </c>
      <c r="E5126" s="6" t="n">
        <v>1343397.09</v>
      </c>
      <c r="F5126" s="6">
        <f>ROUND(E5126-E5125,2)</f>
        <v/>
      </c>
      <c r="G5126" s="6">
        <f>ROUND(F5126-D5126,2)</f>
        <v/>
      </c>
    </row>
    <row r="5127">
      <c r="A5127" t="inlineStr">
        <is>
          <t>2022-12-30</t>
        </is>
      </c>
      <c r="B5127" t="n">
        <v>1</v>
      </c>
      <c r="C5127" t="n">
        <v>3125</v>
      </c>
      <c r="D5127" s="6" t="n">
        <v>47.5</v>
      </c>
      <c r="E5127" s="6" t="n">
        <v>1343444.59</v>
      </c>
      <c r="F5127" s="6">
        <f>ROUND(E5127-E5126,2)</f>
        <v/>
      </c>
      <c r="G5127" s="6">
        <f>ROUND(F5127-D5127,2)</f>
        <v/>
      </c>
    </row>
    <row r="5128">
      <c r="A5128" t="inlineStr">
        <is>
          <t>2022-12-30</t>
        </is>
      </c>
      <c r="B5128" t="n">
        <v>2</v>
      </c>
      <c r="C5128" t="n">
        <v>3125</v>
      </c>
      <c r="D5128" s="6" t="n">
        <v>79.5</v>
      </c>
      <c r="E5128" s="6" t="n">
        <v>1343524.09</v>
      </c>
      <c r="F5128" s="6">
        <f>ROUND(E5128-E5127,2)</f>
        <v/>
      </c>
      <c r="G5128" s="6">
        <f>ROUND(F5128-D5128,2)</f>
        <v/>
      </c>
    </row>
    <row r="5129">
      <c r="A5129" t="inlineStr">
        <is>
          <t>2022-12-30</t>
        </is>
      </c>
      <c r="B5129" t="n">
        <v>3</v>
      </c>
      <c r="C5129" t="n">
        <v>3125</v>
      </c>
      <c r="D5129" s="6" t="n">
        <v>39.8</v>
      </c>
      <c r="E5129" s="6" t="n">
        <v>1343563.89</v>
      </c>
      <c r="F5129" s="6">
        <f>ROUND(E5129-E5128,2)</f>
        <v/>
      </c>
      <c r="G5129" s="6">
        <f>ROUND(F5129-D5129,2)</f>
        <v/>
      </c>
    </row>
    <row r="5130">
      <c r="A5130" t="inlineStr">
        <is>
          <t>2022-12-30</t>
        </is>
      </c>
      <c r="B5130" t="n">
        <v>4</v>
      </c>
      <c r="C5130" t="n">
        <v>3125</v>
      </c>
      <c r="D5130" s="6" t="n">
        <v>59.3</v>
      </c>
      <c r="E5130" s="6" t="n">
        <v>1343623.19</v>
      </c>
      <c r="F5130" s="6">
        <f>ROUND(E5130-E5129,2)</f>
        <v/>
      </c>
      <c r="G5130" s="6">
        <f>ROUND(F5130-D5130,2)</f>
        <v/>
      </c>
    </row>
    <row r="5131">
      <c r="A5131" t="inlineStr">
        <is>
          <t>2022-12-30</t>
        </is>
      </c>
      <c r="B5131" t="n">
        <v>5</v>
      </c>
      <c r="C5131" t="n">
        <v>3125</v>
      </c>
      <c r="D5131" s="6" t="n">
        <v>59.1</v>
      </c>
      <c r="E5131" s="6" t="n">
        <v>1343682.29</v>
      </c>
      <c r="F5131" s="6">
        <f>ROUND(E5131-E5130,2)</f>
        <v/>
      </c>
      <c r="G5131" s="6">
        <f>ROUND(F5131-D5131,2)</f>
        <v/>
      </c>
    </row>
    <row r="5132">
      <c r="A5132" t="inlineStr">
        <is>
          <t>2022-12-30</t>
        </is>
      </c>
      <c r="B5132" t="n">
        <v>6</v>
      </c>
      <c r="C5132" t="n">
        <v>3125</v>
      </c>
      <c r="D5132" s="6" t="n">
        <v>18.5</v>
      </c>
      <c r="E5132" s="6" t="n">
        <v>1343700.79</v>
      </c>
      <c r="F5132" s="6">
        <f>ROUND(E5132-E5131,2)</f>
        <v/>
      </c>
      <c r="G5132" s="6">
        <f>ROUND(F5132-D5132,2)</f>
        <v/>
      </c>
    </row>
    <row r="5133">
      <c r="A5133" t="inlineStr">
        <is>
          <t>2022-12-30</t>
        </is>
      </c>
      <c r="B5133" t="n">
        <v>7</v>
      </c>
      <c r="C5133" t="n">
        <v>3125</v>
      </c>
      <c r="D5133" s="6" t="n">
        <v>83.59999999999999</v>
      </c>
      <c r="E5133" s="6" t="n">
        <v>1343784.39</v>
      </c>
      <c r="F5133" s="6">
        <f>ROUND(E5133-E5132,2)</f>
        <v/>
      </c>
      <c r="G5133" s="6">
        <f>ROUND(F5133-D5133,2)</f>
        <v/>
      </c>
    </row>
    <row r="5134">
      <c r="A5134" t="inlineStr">
        <is>
          <t>2022-12-30</t>
        </is>
      </c>
      <c r="B5134" t="n">
        <v>8</v>
      </c>
      <c r="C5134" t="n">
        <v>3125</v>
      </c>
      <c r="D5134" s="6" t="n">
        <v>67.40000000000001</v>
      </c>
      <c r="E5134" s="6" t="n">
        <v>1343851.79</v>
      </c>
      <c r="F5134" s="6">
        <f>ROUND(E5134-E5133,2)</f>
        <v/>
      </c>
      <c r="G5134" s="6">
        <f>ROUND(F5134-D5134,2)</f>
        <v/>
      </c>
    </row>
    <row r="5135">
      <c r="A5135" t="inlineStr">
        <is>
          <t>2022-12-30</t>
        </is>
      </c>
      <c r="B5135" t="n">
        <v>9</v>
      </c>
      <c r="C5135" t="n">
        <v>3125</v>
      </c>
      <c r="D5135" s="6" t="n">
        <v>142.6</v>
      </c>
      <c r="E5135" s="6" t="n">
        <v>1343994.39</v>
      </c>
      <c r="F5135" s="6">
        <f>ROUND(E5135-E5134,2)</f>
        <v/>
      </c>
      <c r="G5135" s="6">
        <f>ROUND(F5135-D5135,2)</f>
        <v/>
      </c>
    </row>
    <row r="5136">
      <c r="A5136" t="inlineStr">
        <is>
          <t>2022-12-30</t>
        </is>
      </c>
      <c r="B5136" t="n">
        <v>10</v>
      </c>
      <c r="C5136" t="n">
        <v>3125</v>
      </c>
      <c r="D5136" s="6" t="n">
        <v>41.1</v>
      </c>
      <c r="E5136" s="6" t="n">
        <v>1344035.49</v>
      </c>
      <c r="F5136" s="6">
        <f>ROUND(E5136-E5135,2)</f>
        <v/>
      </c>
      <c r="G5136" s="6">
        <f>ROUND(F5136-D5136,2)</f>
        <v/>
      </c>
    </row>
    <row r="5137">
      <c r="A5137" t="inlineStr">
        <is>
          <t>2022-12-30</t>
        </is>
      </c>
      <c r="B5137" t="n">
        <v>11</v>
      </c>
      <c r="C5137" t="n">
        <v>3125</v>
      </c>
      <c r="D5137" s="6" t="n">
        <v>43.3</v>
      </c>
      <c r="E5137" s="6" t="n">
        <v>1344078.79</v>
      </c>
      <c r="F5137" s="6">
        <f>ROUND(E5137-E5136,2)</f>
        <v/>
      </c>
      <c r="G5137" s="6">
        <f>ROUND(F5137-D5137,2)</f>
        <v/>
      </c>
    </row>
    <row r="5138">
      <c r="A5138" t="inlineStr">
        <is>
          <t>2022-12-30</t>
        </is>
      </c>
      <c r="B5138" t="n">
        <v>12</v>
      </c>
      <c r="C5138" t="n">
        <v>3125</v>
      </c>
      <c r="D5138" s="6" t="n">
        <v>97.2</v>
      </c>
      <c r="E5138" s="6" t="n">
        <v>1344175.99</v>
      </c>
      <c r="F5138" s="6">
        <f>ROUND(E5138-E5137,2)</f>
        <v/>
      </c>
      <c r="G5138" s="6">
        <f>ROUND(F5138-D5138,2)</f>
        <v/>
      </c>
    </row>
    <row r="5139">
      <c r="A5139" t="inlineStr">
        <is>
          <t>2022-12-30</t>
        </is>
      </c>
      <c r="B5139" t="n">
        <v>13</v>
      </c>
      <c r="C5139" t="n">
        <v>3125</v>
      </c>
      <c r="D5139" s="6" t="n">
        <v>55</v>
      </c>
      <c r="E5139" s="6" t="n">
        <v>1344230.99</v>
      </c>
      <c r="F5139" s="6">
        <f>ROUND(E5139-E5138,2)</f>
        <v/>
      </c>
      <c r="G5139" s="6">
        <f>ROUND(F5139-D5139,2)</f>
        <v/>
      </c>
    </row>
    <row r="5140">
      <c r="A5140" t="inlineStr">
        <is>
          <t>2022-12-30</t>
        </is>
      </c>
      <c r="B5140" t="n">
        <v>14</v>
      </c>
      <c r="C5140" t="n">
        <v>3125</v>
      </c>
      <c r="D5140" s="6" t="n">
        <v>55</v>
      </c>
      <c r="E5140" s="6" t="n">
        <v>1344285.99</v>
      </c>
      <c r="F5140" s="6">
        <f>ROUND(E5140-E5139,2)</f>
        <v/>
      </c>
      <c r="G5140" s="6">
        <f>ROUND(F5140-D5140,2)</f>
        <v/>
      </c>
    </row>
    <row r="5141">
      <c r="A5141" t="inlineStr">
        <is>
          <t>2022-12-30</t>
        </is>
      </c>
      <c r="B5141" t="n">
        <v>15</v>
      </c>
      <c r="C5141" t="n">
        <v>3125</v>
      </c>
      <c r="D5141" s="6" t="n">
        <v>258.5</v>
      </c>
      <c r="E5141" s="6" t="n">
        <v>1344544.49</v>
      </c>
      <c r="F5141" s="6">
        <f>ROUND(E5141-E5140,2)</f>
        <v/>
      </c>
      <c r="G5141" s="6">
        <f>ROUND(F5141-D5141,2)</f>
        <v/>
      </c>
    </row>
    <row r="5142">
      <c r="A5142" t="inlineStr">
        <is>
          <t>2022-12-30</t>
        </is>
      </c>
      <c r="B5142" t="n">
        <v>16</v>
      </c>
      <c r="C5142" t="n">
        <v>3125</v>
      </c>
      <c r="D5142" s="6" t="n">
        <v>108.1</v>
      </c>
      <c r="E5142" s="6" t="n">
        <v>1344652.59</v>
      </c>
      <c r="F5142" s="6">
        <f>ROUND(E5142-E5141,2)</f>
        <v/>
      </c>
      <c r="G5142" s="6">
        <f>ROUND(F5142-D5142,2)</f>
        <v/>
      </c>
    </row>
    <row r="5143">
      <c r="A5143" t="inlineStr">
        <is>
          <t>2022-12-31</t>
        </is>
      </c>
      <c r="B5143" t="n">
        <v>1</v>
      </c>
      <c r="C5143" t="n">
        <v>3126</v>
      </c>
      <c r="D5143" s="6" t="n">
        <v>107.7</v>
      </c>
      <c r="E5143" s="6" t="n">
        <v>1344760.29</v>
      </c>
      <c r="F5143" s="6">
        <f>ROUND(E5143-E5142,2)</f>
        <v/>
      </c>
      <c r="G5143" s="6">
        <f>ROUND(F5143-D5143,2)</f>
        <v/>
      </c>
    </row>
    <row r="5144">
      <c r="A5144" t="inlineStr">
        <is>
          <t>2022-12-31</t>
        </is>
      </c>
      <c r="B5144" t="n">
        <v>2</v>
      </c>
      <c r="C5144" t="n">
        <v>3126</v>
      </c>
      <c r="D5144" s="6" t="n">
        <v>70.7</v>
      </c>
      <c r="E5144" s="6" t="n">
        <v>1344830.99</v>
      </c>
      <c r="F5144" s="6">
        <f>ROUND(E5144-E5143,2)</f>
        <v/>
      </c>
      <c r="G5144" s="6">
        <f>ROUND(F5144-D5144,2)</f>
        <v/>
      </c>
    </row>
    <row r="5145">
      <c r="A5145" t="inlineStr">
        <is>
          <t>2022-12-31</t>
        </is>
      </c>
      <c r="B5145" t="n">
        <v>3</v>
      </c>
      <c r="C5145" t="n">
        <v>3126</v>
      </c>
      <c r="D5145" s="6" t="n">
        <v>90.59999999999999</v>
      </c>
      <c r="E5145" s="6" t="n">
        <v>1344921.59</v>
      </c>
      <c r="F5145" s="6">
        <f>ROUND(E5145-E5144,2)</f>
        <v/>
      </c>
      <c r="G5145" s="6">
        <f>ROUND(F5145-D5145,2)</f>
        <v/>
      </c>
    </row>
    <row r="5146">
      <c r="A5146" t="inlineStr">
        <is>
          <t>2022-12-31</t>
        </is>
      </c>
      <c r="B5146" t="n">
        <v>4</v>
      </c>
      <c r="C5146" t="n">
        <v>3126</v>
      </c>
      <c r="D5146" s="6" t="n">
        <v>67.59999999999999</v>
      </c>
      <c r="E5146" s="6" t="n">
        <v>1344989.19</v>
      </c>
      <c r="F5146" s="6">
        <f>ROUND(E5146-E5145,2)</f>
        <v/>
      </c>
      <c r="G5146" s="6">
        <f>ROUND(F5146-D5146,2)</f>
        <v/>
      </c>
    </row>
    <row r="5147">
      <c r="A5147" t="inlineStr">
        <is>
          <t>2022-12-31</t>
        </is>
      </c>
      <c r="B5147" t="n">
        <v>5</v>
      </c>
      <c r="C5147" t="n">
        <v>3126</v>
      </c>
      <c r="D5147" s="6" t="n">
        <v>45.6</v>
      </c>
      <c r="E5147" s="6" t="n">
        <v>1345034.79</v>
      </c>
      <c r="F5147" s="6">
        <f>ROUND(E5147-E5146,2)</f>
        <v/>
      </c>
      <c r="G5147" s="6">
        <f>ROUND(F5147-D5147,2)</f>
        <v/>
      </c>
    </row>
    <row r="5148">
      <c r="A5148" t="inlineStr">
        <is>
          <t>2022-12-31</t>
        </is>
      </c>
      <c r="B5148" t="n">
        <v>6</v>
      </c>
      <c r="C5148" t="n">
        <v>3126</v>
      </c>
      <c r="D5148" s="6" t="n">
        <v>121.6</v>
      </c>
      <c r="E5148" s="6" t="n">
        <v>1345156.39</v>
      </c>
      <c r="F5148" s="6">
        <f>ROUND(E5148-E5147,2)</f>
        <v/>
      </c>
      <c r="G5148" s="6">
        <f>ROUND(F5148-D5148,2)</f>
        <v/>
      </c>
    </row>
    <row r="5149">
      <c r="A5149" t="inlineStr">
        <is>
          <t>2022-12-31</t>
        </is>
      </c>
      <c r="B5149" t="n">
        <v>7</v>
      </c>
      <c r="C5149" t="n">
        <v>3126</v>
      </c>
      <c r="D5149" s="6" t="n">
        <v>46.5</v>
      </c>
      <c r="E5149" s="6" t="n">
        <v>1345202.89</v>
      </c>
      <c r="F5149" s="6">
        <f>ROUND(E5149-E5148,2)</f>
        <v/>
      </c>
      <c r="G5149" s="6">
        <f>ROUND(F5149-D5149,2)</f>
        <v/>
      </c>
    </row>
    <row r="5150">
      <c r="A5150" t="inlineStr">
        <is>
          <t>2022-12-31</t>
        </is>
      </c>
      <c r="B5150" t="n">
        <v>8</v>
      </c>
      <c r="C5150" t="n">
        <v>3126</v>
      </c>
      <c r="D5150" s="6" t="n">
        <v>265.5</v>
      </c>
      <c r="E5150" s="6" t="n">
        <v>1345468.39</v>
      </c>
      <c r="F5150" s="6">
        <f>ROUND(E5150-E5149,2)</f>
        <v/>
      </c>
      <c r="G5150" s="6">
        <f>ROUND(F5150-D5150,2)</f>
        <v/>
      </c>
    </row>
    <row r="5151">
      <c r="A5151" t="inlineStr">
        <is>
          <t>2022-12-31</t>
        </is>
      </c>
      <c r="B5151" t="n">
        <v>9</v>
      </c>
      <c r="C5151" t="n">
        <v>3126</v>
      </c>
      <c r="D5151" s="6" t="n">
        <v>56.1</v>
      </c>
      <c r="E5151" s="6" t="n">
        <v>1345524.49</v>
      </c>
      <c r="F5151" s="6">
        <f>ROUND(E5151-E5150,2)</f>
        <v/>
      </c>
      <c r="G5151" s="6">
        <f>ROUND(F5151-D5151,2)</f>
        <v/>
      </c>
    </row>
    <row r="5152">
      <c r="A5152" t="inlineStr">
        <is>
          <t>2022-12-31</t>
        </is>
      </c>
      <c r="B5152" t="n">
        <v>10</v>
      </c>
      <c r="C5152" t="n">
        <v>3126</v>
      </c>
      <c r="D5152" s="6" t="n">
        <v>111.9</v>
      </c>
      <c r="E5152" s="6" t="n">
        <v>1345636.39</v>
      </c>
      <c r="F5152" s="6">
        <f>ROUND(E5152-E5151,2)</f>
        <v/>
      </c>
      <c r="G5152" s="6">
        <f>ROUND(F5152-D5152,2)</f>
        <v/>
      </c>
    </row>
    <row r="5153">
      <c r="A5153" t="inlineStr">
        <is>
          <t>2022-12-31</t>
        </is>
      </c>
      <c r="B5153" t="n">
        <v>11</v>
      </c>
      <c r="C5153" t="n">
        <v>3126</v>
      </c>
      <c r="D5153" s="6" t="n">
        <v>115.1</v>
      </c>
      <c r="E5153" s="6" t="n">
        <v>1345751.49</v>
      </c>
      <c r="F5153" s="6">
        <f>ROUND(E5153-E5152,2)</f>
        <v/>
      </c>
      <c r="G5153" s="6">
        <f>ROUND(F5153-D5153,2)</f>
        <v/>
      </c>
    </row>
    <row r="5154">
      <c r="A5154" t="inlineStr">
        <is>
          <t>2022-12-31</t>
        </is>
      </c>
      <c r="B5154" t="n">
        <v>12</v>
      </c>
      <c r="C5154" t="n">
        <v>3126</v>
      </c>
      <c r="D5154" s="6" t="n">
        <v>20.2</v>
      </c>
      <c r="E5154" s="6" t="n">
        <v>1345771.69</v>
      </c>
      <c r="F5154" s="6">
        <f>ROUND(E5154-E5153,2)</f>
        <v/>
      </c>
      <c r="G5154" s="6">
        <f>ROUND(F5154-D5154,2)</f>
        <v/>
      </c>
    </row>
    <row r="5155">
      <c r="A5155" t="inlineStr">
        <is>
          <t>2022-12-31</t>
        </is>
      </c>
      <c r="B5155" t="n">
        <v>13</v>
      </c>
      <c r="C5155" t="n">
        <v>3126</v>
      </c>
      <c r="D5155" s="6" t="n">
        <v>69.55</v>
      </c>
      <c r="E5155" s="6" t="n">
        <v>1345841.24</v>
      </c>
      <c r="F5155" s="6">
        <f>ROUND(E5155-E5154,2)</f>
        <v/>
      </c>
      <c r="G5155" s="6">
        <f>ROUND(F5155-D5155,2)</f>
        <v/>
      </c>
    </row>
    <row r="5156">
      <c r="A5156" t="inlineStr">
        <is>
          <t>2022-12-31</t>
        </is>
      </c>
      <c r="B5156" t="n">
        <v>14</v>
      </c>
      <c r="C5156" t="n">
        <v>3126</v>
      </c>
      <c r="D5156" s="6" t="n">
        <v>69.55</v>
      </c>
      <c r="E5156" s="6" t="n">
        <v>1345910.79</v>
      </c>
      <c r="F5156" s="6">
        <f>ROUND(E5156-E5155,2)</f>
        <v/>
      </c>
      <c r="G5156" s="6">
        <f>ROUND(F5156-D5156,2)</f>
        <v/>
      </c>
    </row>
    <row r="5157">
      <c r="A5157" t="inlineStr">
        <is>
          <t>2022-12-31</t>
        </is>
      </c>
      <c r="B5157" t="n">
        <v>15</v>
      </c>
      <c r="C5157" t="n">
        <v>3126</v>
      </c>
      <c r="D5157" s="6" t="n">
        <v>115.8</v>
      </c>
      <c r="E5157" s="6" t="n">
        <v>1346026.59</v>
      </c>
      <c r="F5157" s="6">
        <f>ROUND(E5157-E5156,2)</f>
        <v/>
      </c>
      <c r="G5157" s="6">
        <f>ROUND(F5157-D5157,2)</f>
        <v/>
      </c>
    </row>
    <row r="5158">
      <c r="A5158" t="inlineStr">
        <is>
          <t>2022-12-31</t>
        </is>
      </c>
      <c r="B5158" t="n">
        <v>16</v>
      </c>
      <c r="C5158" t="n">
        <v>3126</v>
      </c>
      <c r="D5158" s="6" t="n">
        <v>168.9</v>
      </c>
      <c r="E5158" s="6" t="n">
        <v>1346195.49</v>
      </c>
      <c r="F5158" s="6">
        <f>ROUND(E5158-E5157,2)</f>
        <v/>
      </c>
      <c r="G5158" s="6">
        <f>ROUND(F5158-D5158,2)</f>
        <v/>
      </c>
    </row>
    <row r="5159">
      <c r="A5159" t="inlineStr">
        <is>
          <t>2022-12-31</t>
        </is>
      </c>
      <c r="B5159" t="n">
        <v>17</v>
      </c>
      <c r="C5159" t="n">
        <v>3126</v>
      </c>
      <c r="D5159" s="6" t="n">
        <v>82.45</v>
      </c>
      <c r="E5159" s="6" t="n">
        <v>1346277.94</v>
      </c>
      <c r="F5159" s="6">
        <f>ROUND(E5159-E5158,2)</f>
        <v/>
      </c>
      <c r="G5159" s="6">
        <f>ROUND(F5159-D5159,2)</f>
        <v/>
      </c>
    </row>
    <row r="5160">
      <c r="A5160" t="inlineStr">
        <is>
          <t>2022-12-31</t>
        </is>
      </c>
      <c r="B5160" t="n">
        <v>18</v>
      </c>
      <c r="C5160" t="n">
        <v>3126</v>
      </c>
      <c r="D5160" s="6" t="n">
        <v>82.45</v>
      </c>
      <c r="E5160" s="6" t="n">
        <v>1346360.39</v>
      </c>
      <c r="F5160" s="6">
        <f>ROUND(E5160-E5159,2)</f>
        <v/>
      </c>
      <c r="G5160" s="6">
        <f>ROUND(F5160-D5160,2)</f>
        <v/>
      </c>
    </row>
    <row r="5161">
      <c r="A5161" t="inlineStr">
        <is>
          <t>2022-12-31</t>
        </is>
      </c>
      <c r="B5161" t="n">
        <v>19</v>
      </c>
      <c r="C5161" t="n">
        <v>3126</v>
      </c>
      <c r="D5161" s="6" t="n">
        <v>284</v>
      </c>
      <c r="E5161" s="6" t="n">
        <v>1346644.39</v>
      </c>
      <c r="F5161" s="6">
        <f>ROUND(E5161-E5160,2)</f>
        <v/>
      </c>
      <c r="G5161" s="6">
        <f>ROUND(F5161-D5161,2)</f>
        <v/>
      </c>
    </row>
    <row r="5162">
      <c r="A5162" t="inlineStr">
        <is>
          <t>2022-12-31</t>
        </is>
      </c>
      <c r="B5162" t="n">
        <v>20</v>
      </c>
      <c r="C5162" t="n">
        <v>3126</v>
      </c>
      <c r="D5162" s="6" t="n">
        <v>94.3</v>
      </c>
      <c r="E5162" s="6" t="n">
        <v>1346738.69</v>
      </c>
      <c r="F5162" s="6">
        <f>ROUND(E5162-E5161,2)</f>
        <v/>
      </c>
      <c r="G5162" s="6">
        <f>ROUND(F5162-D5162,2)</f>
        <v/>
      </c>
    </row>
    <row r="5163">
      <c r="A5163" t="inlineStr">
        <is>
          <t>2022-12-31</t>
        </is>
      </c>
      <c r="B5163" t="n">
        <v>21</v>
      </c>
      <c r="C5163" t="n">
        <v>3126</v>
      </c>
      <c r="D5163" s="6" t="n">
        <v>356.9</v>
      </c>
      <c r="E5163" s="6" t="n">
        <v>1347095.59</v>
      </c>
      <c r="F5163" s="6">
        <f>ROUND(E5163-E5162,2)</f>
        <v/>
      </c>
      <c r="G5163" s="6">
        <f>ROUND(F5163-D5163,2)</f>
        <v/>
      </c>
    </row>
    <row r="5164">
      <c r="A5164" t="inlineStr">
        <is>
          <t>2022-12-31</t>
        </is>
      </c>
      <c r="B5164" t="n">
        <v>22</v>
      </c>
      <c r="C5164" t="n">
        <v>3126</v>
      </c>
      <c r="D5164" s="6" t="n">
        <v>284.2</v>
      </c>
      <c r="E5164" s="6" t="n">
        <v>1347379.79</v>
      </c>
      <c r="F5164" s="6">
        <f>ROUND(E5164-E5163,2)</f>
        <v/>
      </c>
      <c r="G5164" s="6">
        <f>ROUND(F5164-D5164,2)</f>
        <v/>
      </c>
    </row>
    <row r="5165">
      <c r="A5165" t="inlineStr">
        <is>
          <t>2023-01-04</t>
        </is>
      </c>
      <c r="B5165" t="n">
        <v>1</v>
      </c>
      <c r="C5165" t="n">
        <v>3127</v>
      </c>
      <c r="D5165" s="6" t="n">
        <v>100.4</v>
      </c>
      <c r="E5165" s="6" t="n">
        <v>1347480.19</v>
      </c>
      <c r="F5165" s="6">
        <f>ROUND(E5165-E5164,2)</f>
        <v/>
      </c>
      <c r="G5165" s="6">
        <f>ROUND(F5165-D5165,2)</f>
        <v/>
      </c>
    </row>
    <row r="5166">
      <c r="A5166" t="inlineStr">
        <is>
          <t>2023-01-04</t>
        </is>
      </c>
      <c r="B5166" t="n">
        <v>2</v>
      </c>
      <c r="C5166" t="n">
        <v>3127</v>
      </c>
      <c r="D5166" s="6" t="n">
        <v>35.5</v>
      </c>
      <c r="E5166" s="6" t="n">
        <v>1347515.69</v>
      </c>
      <c r="F5166" s="6">
        <f>ROUND(E5166-E5165,2)</f>
        <v/>
      </c>
      <c r="G5166" s="6">
        <f>ROUND(F5166-D5166,2)</f>
        <v/>
      </c>
    </row>
    <row r="5167">
      <c r="A5167" t="inlineStr">
        <is>
          <t>2023-01-04</t>
        </is>
      </c>
      <c r="B5167" t="n">
        <v>3</v>
      </c>
      <c r="C5167" t="n">
        <v>3127</v>
      </c>
      <c r="D5167" s="6" t="n">
        <v>86.90000000000001</v>
      </c>
      <c r="E5167" s="6" t="n">
        <v>1347602.59</v>
      </c>
      <c r="F5167" s="6">
        <f>ROUND(E5167-E5166,2)</f>
        <v/>
      </c>
      <c r="G5167" s="6">
        <f>ROUND(F5167-D5167,2)</f>
        <v/>
      </c>
    </row>
    <row r="5168">
      <c r="A5168" t="inlineStr">
        <is>
          <t>2023-01-04</t>
        </is>
      </c>
      <c r="B5168" t="n">
        <v>4</v>
      </c>
      <c r="C5168" t="n">
        <v>3127</v>
      </c>
      <c r="D5168" s="6" t="n">
        <v>64.7</v>
      </c>
      <c r="E5168" s="6" t="n">
        <v>1347667.29</v>
      </c>
      <c r="F5168" s="6">
        <f>ROUND(E5168-E5167,2)</f>
        <v/>
      </c>
      <c r="G5168" s="6">
        <f>ROUND(F5168-D5168,2)</f>
        <v/>
      </c>
    </row>
    <row r="5169">
      <c r="A5169" t="inlineStr">
        <is>
          <t>2023-01-04</t>
        </is>
      </c>
      <c r="B5169" t="n">
        <v>5</v>
      </c>
      <c r="C5169" t="n">
        <v>3127</v>
      </c>
      <c r="D5169" s="6" t="n">
        <v>113.8</v>
      </c>
      <c r="E5169" s="6" t="n">
        <v>1347781.09</v>
      </c>
      <c r="F5169" s="6">
        <f>ROUND(E5169-E5168,2)</f>
        <v/>
      </c>
      <c r="G5169" s="6">
        <f>ROUND(F5169-D5169,2)</f>
        <v/>
      </c>
    </row>
    <row r="5170">
      <c r="A5170" t="inlineStr">
        <is>
          <t>2023-01-04</t>
        </is>
      </c>
      <c r="B5170" t="n">
        <v>6</v>
      </c>
      <c r="C5170" t="n">
        <v>3127</v>
      </c>
      <c r="D5170" s="6" t="n">
        <v>151.8</v>
      </c>
      <c r="E5170" s="6" t="n">
        <v>1347932.89</v>
      </c>
      <c r="F5170" s="6">
        <f>ROUND(E5170-E5169,2)</f>
        <v/>
      </c>
      <c r="G5170" s="6">
        <f>ROUND(F5170-D5170,2)</f>
        <v/>
      </c>
    </row>
    <row r="5171">
      <c r="A5171" t="inlineStr">
        <is>
          <t>2023-01-04</t>
        </is>
      </c>
      <c r="B5171" t="n">
        <v>7</v>
      </c>
      <c r="C5171" t="n">
        <v>3127</v>
      </c>
      <c r="D5171" s="6" t="n">
        <v>47.5</v>
      </c>
      <c r="E5171" s="6" t="n">
        <v>1347980.39</v>
      </c>
      <c r="F5171" s="6">
        <f>ROUND(E5171-E5170,2)</f>
        <v/>
      </c>
      <c r="G5171" s="6">
        <f>ROUND(F5171-D5171,2)</f>
        <v/>
      </c>
    </row>
    <row r="5172">
      <c r="A5172" t="inlineStr">
        <is>
          <t>2023-01-04</t>
        </is>
      </c>
      <c r="B5172" t="n">
        <v>8</v>
      </c>
      <c r="C5172" t="n">
        <v>3127</v>
      </c>
      <c r="D5172" s="6" t="n">
        <v>60.4</v>
      </c>
      <c r="E5172" s="6" t="n">
        <v>1348040.79</v>
      </c>
      <c r="F5172" s="6">
        <f>ROUND(E5172-E5171,2)</f>
        <v/>
      </c>
      <c r="G5172" s="6">
        <f>ROUND(F5172-D5172,2)</f>
        <v/>
      </c>
    </row>
    <row r="5173">
      <c r="A5173" t="inlineStr">
        <is>
          <t>2023-01-04</t>
        </is>
      </c>
      <c r="B5173" t="n">
        <v>9</v>
      </c>
      <c r="C5173" t="n">
        <v>3127</v>
      </c>
      <c r="D5173" s="6" t="n">
        <v>57.8</v>
      </c>
      <c r="E5173" s="6" t="n">
        <v>1348098.59</v>
      </c>
      <c r="F5173" s="6">
        <f>ROUND(E5173-E5172,2)</f>
        <v/>
      </c>
      <c r="G5173" s="6">
        <f>ROUND(F5173-D5173,2)</f>
        <v/>
      </c>
    </row>
    <row r="5174">
      <c r="A5174" t="inlineStr">
        <is>
          <t>2023-01-04</t>
        </is>
      </c>
      <c r="B5174" t="n">
        <v>10</v>
      </c>
      <c r="C5174" t="n">
        <v>3127</v>
      </c>
      <c r="D5174" s="6" t="n">
        <v>112</v>
      </c>
      <c r="E5174" s="6" t="n">
        <v>1348210.59</v>
      </c>
      <c r="F5174" s="6">
        <f>ROUND(E5174-E5173,2)</f>
        <v/>
      </c>
      <c r="G5174" s="6">
        <f>ROUND(F5174-D5174,2)</f>
        <v/>
      </c>
    </row>
    <row r="5175">
      <c r="A5175" t="inlineStr">
        <is>
          <t>2023-01-04</t>
        </is>
      </c>
      <c r="B5175" t="n">
        <v>11</v>
      </c>
      <c r="C5175" t="n">
        <v>3127</v>
      </c>
      <c r="D5175" s="6" t="n">
        <v>101.3</v>
      </c>
      <c r="E5175" s="6" t="n">
        <v>1348311.89</v>
      </c>
      <c r="F5175" s="6">
        <f>ROUND(E5175-E5174,2)</f>
        <v/>
      </c>
      <c r="G5175" s="6">
        <f>ROUND(F5175-D5175,2)</f>
        <v/>
      </c>
    </row>
    <row r="5176">
      <c r="A5176" t="inlineStr">
        <is>
          <t>2023-01-05</t>
        </is>
      </c>
      <c r="B5176" t="n">
        <v>1</v>
      </c>
      <c r="C5176" t="n">
        <v>3128</v>
      </c>
      <c r="D5176" s="6" t="n">
        <v>14.7</v>
      </c>
      <c r="E5176" s="6" t="n">
        <v>1348326.59</v>
      </c>
      <c r="F5176" s="6">
        <f>ROUND(E5176-E5175,2)</f>
        <v/>
      </c>
      <c r="G5176" s="6">
        <f>ROUND(F5176-D5176,2)</f>
        <v/>
      </c>
    </row>
    <row r="5177">
      <c r="A5177" t="inlineStr">
        <is>
          <t>2023-01-05</t>
        </is>
      </c>
      <c r="B5177" t="n">
        <v>2</v>
      </c>
      <c r="C5177" t="n">
        <v>3128</v>
      </c>
      <c r="D5177" s="6" t="n">
        <v>19.2</v>
      </c>
      <c r="E5177" s="6" t="n">
        <v>1348345.79</v>
      </c>
      <c r="F5177" s="6">
        <f>ROUND(E5177-E5176,2)</f>
        <v/>
      </c>
      <c r="G5177" s="6">
        <f>ROUND(F5177-D5177,2)</f>
        <v/>
      </c>
    </row>
    <row r="5178">
      <c r="A5178" t="inlineStr">
        <is>
          <t>2023-01-05</t>
        </is>
      </c>
      <c r="B5178" t="n">
        <v>3</v>
      </c>
      <c r="C5178" t="n">
        <v>3128</v>
      </c>
      <c r="D5178" s="6" t="n">
        <v>96.2</v>
      </c>
      <c r="E5178" s="6" t="n">
        <v>1348441.99</v>
      </c>
      <c r="F5178" s="6">
        <f>ROUND(E5178-E5177,2)</f>
        <v/>
      </c>
      <c r="G5178" s="6">
        <f>ROUND(F5178-D5178,2)</f>
        <v/>
      </c>
    </row>
    <row r="5179">
      <c r="A5179" t="inlineStr">
        <is>
          <t>2023-01-05</t>
        </is>
      </c>
      <c r="B5179" t="n">
        <v>4</v>
      </c>
      <c r="C5179" t="n">
        <v>3128</v>
      </c>
      <c r="D5179" s="6" t="n">
        <v>110.4</v>
      </c>
      <c r="E5179" s="6" t="n">
        <v>1348552.39</v>
      </c>
      <c r="F5179" s="6">
        <f>ROUND(E5179-E5178,2)</f>
        <v/>
      </c>
      <c r="G5179" s="6">
        <f>ROUND(F5179-D5179,2)</f>
        <v/>
      </c>
    </row>
    <row r="5180">
      <c r="A5180" t="inlineStr">
        <is>
          <t>2023-01-05</t>
        </is>
      </c>
      <c r="B5180" t="n">
        <v>5</v>
      </c>
      <c r="C5180" t="n">
        <v>3128</v>
      </c>
      <c r="D5180" s="6" t="n">
        <v>82.2</v>
      </c>
      <c r="E5180" s="6" t="n">
        <v>1348634.59</v>
      </c>
      <c r="F5180" s="6">
        <f>ROUND(E5180-E5179,2)</f>
        <v/>
      </c>
      <c r="G5180" s="6">
        <f>ROUND(F5180-D5180,2)</f>
        <v/>
      </c>
    </row>
    <row r="5181">
      <c r="A5181" t="inlineStr">
        <is>
          <t>2023-01-05</t>
        </is>
      </c>
      <c r="B5181" t="n">
        <v>6</v>
      </c>
      <c r="C5181" t="n">
        <v>3128</v>
      </c>
      <c r="D5181" s="6" t="n">
        <v>14.1</v>
      </c>
      <c r="E5181" s="6" t="n">
        <v>1348648.69</v>
      </c>
      <c r="F5181" s="6">
        <f>ROUND(E5181-E5180,2)</f>
        <v/>
      </c>
      <c r="G5181" s="6">
        <f>ROUND(F5181-D5181,2)</f>
        <v/>
      </c>
    </row>
    <row r="5182">
      <c r="A5182" t="inlineStr">
        <is>
          <t>2023-01-05</t>
        </is>
      </c>
      <c r="B5182" t="n">
        <v>7</v>
      </c>
      <c r="C5182" t="n">
        <v>3128</v>
      </c>
      <c r="D5182" s="6" t="n">
        <v>78.40000000000001</v>
      </c>
      <c r="E5182" s="6" t="n">
        <v>1348727.09</v>
      </c>
      <c r="F5182" s="6">
        <f>ROUND(E5182-E5181,2)</f>
        <v/>
      </c>
      <c r="G5182" s="6">
        <f>ROUND(F5182-D5182,2)</f>
        <v/>
      </c>
    </row>
    <row r="5183">
      <c r="A5183" t="inlineStr">
        <is>
          <t>2023-01-05</t>
        </is>
      </c>
      <c r="B5183" t="n">
        <v>8</v>
      </c>
      <c r="C5183" t="n">
        <v>3128</v>
      </c>
      <c r="D5183" s="6" t="n">
        <v>76.5</v>
      </c>
      <c r="E5183" s="6" t="n">
        <v>1348803.59</v>
      </c>
      <c r="F5183" s="6">
        <f>ROUND(E5183-E5182,2)</f>
        <v/>
      </c>
      <c r="G5183" s="6">
        <f>ROUND(F5183-D5183,2)</f>
        <v/>
      </c>
    </row>
    <row r="5184">
      <c r="A5184" t="inlineStr">
        <is>
          <t>2023-01-05</t>
        </is>
      </c>
      <c r="B5184" t="n">
        <v>9</v>
      </c>
      <c r="C5184" t="n">
        <v>3128</v>
      </c>
      <c r="D5184" s="6" t="n">
        <v>7</v>
      </c>
      <c r="E5184" s="6" t="n">
        <v>1348810.59</v>
      </c>
      <c r="F5184" s="6">
        <f>ROUND(E5184-E5183,2)</f>
        <v/>
      </c>
      <c r="G5184" s="6">
        <f>ROUND(F5184-D5184,2)</f>
        <v/>
      </c>
    </row>
    <row r="5185">
      <c r="A5185" t="inlineStr">
        <is>
          <t>2023-01-05</t>
        </is>
      </c>
      <c r="B5185" t="n">
        <v>10</v>
      </c>
      <c r="C5185" t="n">
        <v>3128</v>
      </c>
      <c r="D5185" s="6" t="n">
        <v>30.05</v>
      </c>
      <c r="E5185" s="6" t="n">
        <v>1348840.64</v>
      </c>
      <c r="F5185" s="6">
        <f>ROUND(E5185-E5184,2)</f>
        <v/>
      </c>
      <c r="G5185" s="6">
        <f>ROUND(F5185-D5185,2)</f>
        <v/>
      </c>
    </row>
    <row r="5186">
      <c r="A5186" t="inlineStr">
        <is>
          <t>2023-01-05</t>
        </is>
      </c>
      <c r="B5186" t="n">
        <v>11</v>
      </c>
      <c r="C5186" t="n">
        <v>3128</v>
      </c>
      <c r="D5186" s="6" t="n">
        <v>30.05</v>
      </c>
      <c r="E5186" s="6" t="n">
        <v>1348870.69</v>
      </c>
      <c r="F5186" s="6">
        <f>ROUND(E5186-E5185,2)</f>
        <v/>
      </c>
      <c r="G5186" s="6">
        <f>ROUND(F5186-D5186,2)</f>
        <v/>
      </c>
    </row>
    <row r="5187">
      <c r="A5187" t="inlineStr">
        <is>
          <t>2023-01-05</t>
        </is>
      </c>
      <c r="B5187" t="n">
        <v>12</v>
      </c>
      <c r="C5187" t="n">
        <v>3128</v>
      </c>
      <c r="D5187" s="6" t="n">
        <v>121.7</v>
      </c>
      <c r="E5187" s="6" t="n">
        <v>1348992.39</v>
      </c>
      <c r="F5187" s="6">
        <f>ROUND(E5187-E5186,2)</f>
        <v/>
      </c>
      <c r="G5187" s="6">
        <f>ROUND(F5187-D5187,2)</f>
        <v/>
      </c>
    </row>
    <row r="5188">
      <c r="A5188" t="inlineStr">
        <is>
          <t>2023-01-05</t>
        </is>
      </c>
      <c r="B5188" t="n">
        <v>13</v>
      </c>
      <c r="C5188" t="n">
        <v>3128</v>
      </c>
      <c r="D5188" s="6" t="n">
        <v>173.3</v>
      </c>
      <c r="E5188" s="6" t="n">
        <v>1349165.69</v>
      </c>
      <c r="F5188" s="6">
        <f>ROUND(E5188-E5187,2)</f>
        <v/>
      </c>
      <c r="G5188" s="6">
        <f>ROUND(F5188-D5188,2)</f>
        <v/>
      </c>
    </row>
    <row r="5189">
      <c r="A5189" t="inlineStr">
        <is>
          <t>2023-01-05</t>
        </is>
      </c>
      <c r="B5189" t="n">
        <v>14</v>
      </c>
      <c r="C5189" t="n">
        <v>3128</v>
      </c>
      <c r="D5189" s="6" t="n">
        <v>30.8</v>
      </c>
      <c r="E5189" s="6" t="n">
        <v>1349196.49</v>
      </c>
      <c r="F5189" s="6">
        <f>ROUND(E5189-E5188,2)</f>
        <v/>
      </c>
      <c r="G5189" s="6">
        <f>ROUND(F5189-D5189,2)</f>
        <v/>
      </c>
    </row>
    <row r="5190">
      <c r="A5190" t="inlineStr">
        <is>
          <t>2023-01-05</t>
        </is>
      </c>
      <c r="B5190" t="n">
        <v>15</v>
      </c>
      <c r="C5190" t="n">
        <v>3128</v>
      </c>
      <c r="D5190" s="6" t="n">
        <v>30.8</v>
      </c>
      <c r="E5190" s="6" t="n">
        <v>1349227.29</v>
      </c>
      <c r="F5190" s="6">
        <f>ROUND(E5190-E5189,2)</f>
        <v/>
      </c>
      <c r="G5190" s="6">
        <f>ROUND(F5190-D5190,2)</f>
        <v/>
      </c>
    </row>
    <row r="5191">
      <c r="A5191" t="inlineStr">
        <is>
          <t>2023-01-06</t>
        </is>
      </c>
      <c r="B5191" t="n">
        <v>1</v>
      </c>
      <c r="C5191" t="n">
        <v>3129</v>
      </c>
      <c r="D5191" s="6" t="n">
        <v>97.8</v>
      </c>
      <c r="E5191" s="6" t="n">
        <v>1349325.09</v>
      </c>
      <c r="F5191" s="6">
        <f>ROUND(E5191-E5190,2)</f>
        <v/>
      </c>
      <c r="G5191" s="6">
        <f>ROUND(F5191-D5191,2)</f>
        <v/>
      </c>
    </row>
    <row r="5192">
      <c r="A5192" t="inlineStr">
        <is>
          <t>2023-01-06</t>
        </is>
      </c>
      <c r="B5192" t="n">
        <v>2</v>
      </c>
      <c r="C5192" t="n">
        <v>3129</v>
      </c>
      <c r="D5192" s="6" t="n">
        <v>55.1</v>
      </c>
      <c r="E5192" s="6" t="n">
        <v>1349380.19</v>
      </c>
      <c r="F5192" s="6">
        <f>ROUND(E5192-E5191,2)</f>
        <v/>
      </c>
      <c r="G5192" s="6">
        <f>ROUND(F5192-D5192,2)</f>
        <v/>
      </c>
    </row>
    <row r="5193">
      <c r="A5193" t="inlineStr">
        <is>
          <t>2023-01-06</t>
        </is>
      </c>
      <c r="B5193" t="n">
        <v>3</v>
      </c>
      <c r="C5193" t="n">
        <v>3129</v>
      </c>
      <c r="D5193" s="6" t="n">
        <v>88.8</v>
      </c>
      <c r="E5193" s="6" t="n">
        <v>1349468.99</v>
      </c>
      <c r="F5193" s="6">
        <f>ROUND(E5193-E5192,2)</f>
        <v/>
      </c>
      <c r="G5193" s="6">
        <f>ROUND(F5193-D5193,2)</f>
        <v/>
      </c>
    </row>
    <row r="5194">
      <c r="A5194" t="inlineStr">
        <is>
          <t>2023-01-06</t>
        </is>
      </c>
      <c r="B5194" t="n">
        <v>4</v>
      </c>
      <c r="C5194" t="n">
        <v>3129</v>
      </c>
      <c r="D5194" s="6" t="n">
        <v>70.59999999999999</v>
      </c>
      <c r="E5194" s="6" t="n">
        <v>1349539.59</v>
      </c>
      <c r="F5194" s="6">
        <f>ROUND(E5194-E5193,2)</f>
        <v/>
      </c>
      <c r="G5194" s="6">
        <f>ROUND(F5194-D5194,2)</f>
        <v/>
      </c>
    </row>
    <row r="5195">
      <c r="A5195" t="inlineStr">
        <is>
          <t>2023-01-06</t>
        </is>
      </c>
      <c r="B5195" t="n">
        <v>5</v>
      </c>
      <c r="C5195" t="n">
        <v>3129</v>
      </c>
      <c r="D5195" s="6" t="n">
        <v>64.2</v>
      </c>
      <c r="E5195" s="6" t="n">
        <v>1349603.79</v>
      </c>
      <c r="F5195" s="6">
        <f>ROUND(E5195-E5194,2)</f>
        <v/>
      </c>
      <c r="G5195" s="6">
        <f>ROUND(F5195-D5195,2)</f>
        <v/>
      </c>
    </row>
    <row r="5196">
      <c r="A5196" t="inlineStr">
        <is>
          <t>2023-01-06</t>
        </is>
      </c>
      <c r="B5196" t="n">
        <v>6</v>
      </c>
      <c r="C5196" t="n">
        <v>3129</v>
      </c>
      <c r="D5196" s="6" t="n">
        <v>48.8</v>
      </c>
      <c r="E5196" s="6" t="n">
        <v>1349652.59</v>
      </c>
      <c r="F5196" s="6">
        <f>ROUND(E5196-E5195,2)</f>
        <v/>
      </c>
      <c r="G5196" s="6">
        <f>ROUND(F5196-D5196,2)</f>
        <v/>
      </c>
    </row>
    <row r="5197">
      <c r="A5197" t="inlineStr">
        <is>
          <t>2023-01-06</t>
        </is>
      </c>
      <c r="B5197" t="n">
        <v>7</v>
      </c>
      <c r="C5197" t="n">
        <v>3129</v>
      </c>
      <c r="D5197" s="6" t="n">
        <v>118.2</v>
      </c>
      <c r="E5197" s="6" t="n">
        <v>1349770.79</v>
      </c>
      <c r="F5197" s="6">
        <f>ROUND(E5197-E5196,2)</f>
        <v/>
      </c>
      <c r="G5197" s="6">
        <f>ROUND(F5197-D5197,2)</f>
        <v/>
      </c>
    </row>
    <row r="5198">
      <c r="A5198" t="inlineStr">
        <is>
          <t>2023-01-06</t>
        </is>
      </c>
      <c r="B5198" t="n">
        <v>8</v>
      </c>
      <c r="C5198" t="n">
        <v>3129</v>
      </c>
      <c r="D5198" s="6" t="n">
        <v>36.1</v>
      </c>
      <c r="E5198" s="6" t="n">
        <v>1349806.89</v>
      </c>
      <c r="F5198" s="6">
        <f>ROUND(E5198-E5197,2)</f>
        <v/>
      </c>
      <c r="G5198" s="6">
        <f>ROUND(F5198-D5198,2)</f>
        <v/>
      </c>
    </row>
    <row r="5199">
      <c r="A5199" t="inlineStr">
        <is>
          <t>2023-01-06</t>
        </is>
      </c>
      <c r="B5199" t="n">
        <v>9</v>
      </c>
      <c r="C5199" t="n">
        <v>3129</v>
      </c>
      <c r="D5199" s="6" t="n">
        <v>64</v>
      </c>
      <c r="E5199" s="6" t="n">
        <v>1349870.89</v>
      </c>
      <c r="F5199" s="6">
        <f>ROUND(E5199-E5198,2)</f>
        <v/>
      </c>
      <c r="G5199" s="6">
        <f>ROUND(F5199-D5199,2)</f>
        <v/>
      </c>
    </row>
    <row r="5200">
      <c r="A5200" t="inlineStr">
        <is>
          <t>2023-01-06</t>
        </is>
      </c>
      <c r="B5200" t="n">
        <v>10</v>
      </c>
      <c r="C5200" t="n">
        <v>3129</v>
      </c>
      <c r="D5200" s="6" t="n">
        <v>108.9</v>
      </c>
      <c r="E5200" s="6" t="n">
        <v>1349979.79</v>
      </c>
      <c r="F5200" s="6">
        <f>ROUND(E5200-E5199,2)</f>
        <v/>
      </c>
      <c r="G5200" s="6">
        <f>ROUND(F5200-D5200,2)</f>
        <v/>
      </c>
    </row>
    <row r="5201">
      <c r="A5201" t="inlineStr">
        <is>
          <t>2023-01-06</t>
        </is>
      </c>
      <c r="B5201" t="n">
        <v>11</v>
      </c>
      <c r="C5201" t="n">
        <v>3129</v>
      </c>
      <c r="D5201" s="6" t="n">
        <v>68.09999999999999</v>
      </c>
      <c r="E5201" s="6" t="n">
        <v>1350047.89</v>
      </c>
      <c r="F5201" s="6">
        <f>ROUND(E5201-E5200,2)</f>
        <v/>
      </c>
      <c r="G5201" s="6">
        <f>ROUND(F5201-D5201,2)</f>
        <v/>
      </c>
    </row>
    <row r="5202">
      <c r="A5202" t="inlineStr">
        <is>
          <t>2023-01-06</t>
        </is>
      </c>
      <c r="B5202" t="n">
        <v>12</v>
      </c>
      <c r="C5202" t="n">
        <v>3129</v>
      </c>
      <c r="D5202" s="6" t="n">
        <v>85.2</v>
      </c>
      <c r="E5202" s="6" t="n">
        <v>1350133.09</v>
      </c>
      <c r="F5202" s="6">
        <f>ROUND(E5202-E5201,2)</f>
        <v/>
      </c>
      <c r="G5202" s="6">
        <f>ROUND(F5202-D5202,2)</f>
        <v/>
      </c>
    </row>
    <row r="5203">
      <c r="A5203" t="inlineStr">
        <is>
          <t>2023-01-06</t>
        </is>
      </c>
      <c r="B5203" t="n">
        <v>13</v>
      </c>
      <c r="C5203" t="n">
        <v>3129</v>
      </c>
      <c r="D5203" s="6" t="n">
        <v>64.2</v>
      </c>
      <c r="E5203" s="6" t="n">
        <v>1350197.29</v>
      </c>
      <c r="F5203" s="6">
        <f>ROUND(E5203-E5202,2)</f>
        <v/>
      </c>
      <c r="G5203" s="6">
        <f>ROUND(F5203-D5203,2)</f>
        <v/>
      </c>
    </row>
    <row r="5204">
      <c r="A5204" t="inlineStr">
        <is>
          <t>2023-01-06</t>
        </is>
      </c>
      <c r="B5204" t="n">
        <v>14</v>
      </c>
      <c r="C5204" t="n">
        <v>3129</v>
      </c>
      <c r="D5204" s="6" t="n">
        <v>72.09999999999999</v>
      </c>
      <c r="E5204" s="6" t="n">
        <v>1350269.39</v>
      </c>
      <c r="F5204" s="6">
        <f>ROUND(E5204-E5203,2)</f>
        <v/>
      </c>
      <c r="G5204" s="6">
        <f>ROUND(F5204-D5204,2)</f>
        <v/>
      </c>
    </row>
    <row r="5205">
      <c r="A5205" t="inlineStr">
        <is>
          <t>2023-01-06</t>
        </is>
      </c>
      <c r="B5205" t="n">
        <v>15</v>
      </c>
      <c r="C5205" t="n">
        <v>3129</v>
      </c>
      <c r="D5205" s="6" t="n">
        <v>118</v>
      </c>
      <c r="E5205" s="6" t="n">
        <v>1350387.39</v>
      </c>
      <c r="F5205" s="6">
        <f>ROUND(E5205-E5204,2)</f>
        <v/>
      </c>
      <c r="G5205" s="6">
        <f>ROUND(F5205-D5205,2)</f>
        <v/>
      </c>
    </row>
    <row r="5206">
      <c r="A5206" t="inlineStr">
        <is>
          <t>2023-01-06</t>
        </is>
      </c>
      <c r="B5206" t="n">
        <v>16</v>
      </c>
      <c r="C5206" t="n">
        <v>3129</v>
      </c>
      <c r="D5206" s="6" t="n">
        <v>69</v>
      </c>
      <c r="E5206" s="6" t="n">
        <v>1350456.39</v>
      </c>
      <c r="F5206" s="6">
        <f>ROUND(E5206-E5205,2)</f>
        <v/>
      </c>
      <c r="G5206" s="6">
        <f>ROUND(F5206-D5206,2)</f>
        <v/>
      </c>
    </row>
    <row r="5207">
      <c r="A5207" t="inlineStr">
        <is>
          <t>2023-01-06</t>
        </is>
      </c>
      <c r="B5207" t="n">
        <v>17</v>
      </c>
      <c r="C5207" t="n">
        <v>3129</v>
      </c>
      <c r="D5207" s="6" t="n">
        <v>52.5</v>
      </c>
      <c r="E5207" s="6" t="n">
        <v>1350508.89</v>
      </c>
      <c r="F5207" s="6">
        <f>ROUND(E5207-E5206,2)</f>
        <v/>
      </c>
      <c r="G5207" s="6">
        <f>ROUND(F5207-D5207,2)</f>
        <v/>
      </c>
    </row>
    <row r="5208">
      <c r="A5208" t="inlineStr">
        <is>
          <t>2023-01-06</t>
        </is>
      </c>
      <c r="B5208" t="n">
        <v>18</v>
      </c>
      <c r="C5208" t="n">
        <v>3129</v>
      </c>
      <c r="D5208" s="6" t="n">
        <v>70.90000000000001</v>
      </c>
      <c r="E5208" s="6" t="n">
        <v>1350579.79</v>
      </c>
      <c r="F5208" s="6">
        <f>ROUND(E5208-E5207,2)</f>
        <v/>
      </c>
      <c r="G5208" s="6">
        <f>ROUND(F5208-D5208,2)</f>
        <v/>
      </c>
    </row>
    <row r="5209">
      <c r="A5209" t="inlineStr">
        <is>
          <t>2023-01-07</t>
        </is>
      </c>
      <c r="B5209" t="n">
        <v>1</v>
      </c>
      <c r="C5209" t="n">
        <v>3130</v>
      </c>
      <c r="D5209" s="6" t="n">
        <v>59.1</v>
      </c>
      <c r="E5209" s="6" t="n">
        <v>1350638.89</v>
      </c>
      <c r="F5209" s="6">
        <f>ROUND(E5209-E5208,2)</f>
        <v/>
      </c>
      <c r="G5209" s="6">
        <f>ROUND(F5209-D5209,2)</f>
        <v/>
      </c>
    </row>
    <row r="5210">
      <c r="A5210" t="inlineStr">
        <is>
          <t>2023-01-07</t>
        </is>
      </c>
      <c r="B5210" t="n">
        <v>2</v>
      </c>
      <c r="C5210" t="n">
        <v>3130</v>
      </c>
      <c r="D5210" s="6" t="n">
        <v>34.1</v>
      </c>
      <c r="E5210" s="6" t="n">
        <v>1350672.99</v>
      </c>
      <c r="F5210" s="6">
        <f>ROUND(E5210-E5209,2)</f>
        <v/>
      </c>
      <c r="G5210" s="6">
        <f>ROUND(F5210-D5210,2)</f>
        <v/>
      </c>
    </row>
    <row r="5211">
      <c r="A5211" t="inlineStr">
        <is>
          <t>2023-01-07</t>
        </is>
      </c>
      <c r="B5211" t="n">
        <v>3</v>
      </c>
      <c r="C5211" t="n">
        <v>3130</v>
      </c>
      <c r="D5211" s="6" t="n">
        <v>104.9</v>
      </c>
      <c r="E5211" s="6" t="n">
        <v>1350777.89</v>
      </c>
      <c r="F5211" s="6">
        <f>ROUND(E5211-E5210,2)</f>
        <v/>
      </c>
      <c r="G5211" s="6">
        <f>ROUND(F5211-D5211,2)</f>
        <v/>
      </c>
    </row>
    <row r="5212">
      <c r="A5212" t="inlineStr">
        <is>
          <t>2023-01-07</t>
        </is>
      </c>
      <c r="B5212" t="n">
        <v>4</v>
      </c>
      <c r="C5212" t="n">
        <v>3130</v>
      </c>
      <c r="D5212" s="6" t="n">
        <v>95.8</v>
      </c>
      <c r="E5212" s="6" t="n">
        <v>1350873.69</v>
      </c>
      <c r="F5212" s="6">
        <f>ROUND(E5212-E5211,2)</f>
        <v/>
      </c>
      <c r="G5212" s="6">
        <f>ROUND(F5212-D5212,2)</f>
        <v/>
      </c>
    </row>
    <row r="5213">
      <c r="A5213" t="inlineStr">
        <is>
          <t>2023-01-07</t>
        </is>
      </c>
      <c r="B5213" t="n">
        <v>5</v>
      </c>
      <c r="C5213" t="n">
        <v>3130</v>
      </c>
      <c r="D5213" s="6" t="n">
        <v>34</v>
      </c>
      <c r="E5213" s="6" t="n">
        <v>1350907.69</v>
      </c>
      <c r="F5213" s="6">
        <f>ROUND(E5213-E5212,2)</f>
        <v/>
      </c>
      <c r="G5213" s="6">
        <f>ROUND(F5213-D5213,2)</f>
        <v/>
      </c>
    </row>
    <row r="5214">
      <c r="A5214" t="inlineStr">
        <is>
          <t>2023-01-07</t>
        </is>
      </c>
      <c r="B5214" t="n">
        <v>6</v>
      </c>
      <c r="C5214" t="n">
        <v>3130</v>
      </c>
      <c r="D5214" s="6" t="n">
        <v>64.2</v>
      </c>
      <c r="E5214" s="6" t="n">
        <v>1350971.89</v>
      </c>
      <c r="F5214" s="6">
        <f>ROUND(E5214-E5213,2)</f>
        <v/>
      </c>
      <c r="G5214" s="6">
        <f>ROUND(F5214-D5214,2)</f>
        <v/>
      </c>
    </row>
    <row r="5215">
      <c r="A5215" t="inlineStr">
        <is>
          <t>2023-01-07</t>
        </is>
      </c>
      <c r="B5215" t="n">
        <v>7</v>
      </c>
      <c r="C5215" t="n">
        <v>3130</v>
      </c>
      <c r="D5215" s="6" t="n">
        <v>66.59999999999999</v>
      </c>
      <c r="E5215" s="6" t="n">
        <v>1351038.49</v>
      </c>
      <c r="F5215" s="6">
        <f>ROUND(E5215-E5214,2)</f>
        <v/>
      </c>
      <c r="G5215" s="6">
        <f>ROUND(F5215-D5215,2)</f>
        <v/>
      </c>
    </row>
    <row r="5216">
      <c r="A5216" t="inlineStr">
        <is>
          <t>2023-01-07</t>
        </is>
      </c>
      <c r="B5216" t="n">
        <v>8</v>
      </c>
      <c r="C5216" t="n">
        <v>3130</v>
      </c>
      <c r="D5216" s="6" t="n">
        <v>31.25</v>
      </c>
      <c r="E5216" s="6" t="n">
        <v>1351069.74</v>
      </c>
      <c r="F5216" s="6">
        <f>ROUND(E5216-E5215,2)</f>
        <v/>
      </c>
      <c r="G5216" s="6">
        <f>ROUND(F5216-D5216,2)</f>
        <v/>
      </c>
    </row>
    <row r="5217">
      <c r="A5217" t="inlineStr">
        <is>
          <t>2023-01-07</t>
        </is>
      </c>
      <c r="B5217" t="n">
        <v>9</v>
      </c>
      <c r="C5217" t="n">
        <v>3130</v>
      </c>
      <c r="D5217" s="6" t="n">
        <v>31.25</v>
      </c>
      <c r="E5217" s="6" t="n">
        <v>1351100.99</v>
      </c>
      <c r="F5217" s="6">
        <f>ROUND(E5217-E5216,2)</f>
        <v/>
      </c>
      <c r="G5217" s="6">
        <f>ROUND(F5217-D5217,2)</f>
        <v/>
      </c>
    </row>
    <row r="5218">
      <c r="A5218" t="inlineStr">
        <is>
          <t>2023-01-07</t>
        </is>
      </c>
      <c r="B5218" t="n">
        <v>10</v>
      </c>
      <c r="C5218" t="n">
        <v>3130</v>
      </c>
      <c r="D5218" s="6" t="n">
        <v>102.9</v>
      </c>
      <c r="E5218" s="6" t="n">
        <v>1351203.89</v>
      </c>
      <c r="F5218" s="6">
        <f>ROUND(E5218-E5217,2)</f>
        <v/>
      </c>
      <c r="G5218" s="6">
        <f>ROUND(F5218-D5218,2)</f>
        <v/>
      </c>
    </row>
    <row r="5219">
      <c r="A5219" t="inlineStr">
        <is>
          <t>2023-01-07</t>
        </is>
      </c>
      <c r="B5219" t="n">
        <v>11</v>
      </c>
      <c r="C5219" t="n">
        <v>3130</v>
      </c>
      <c r="D5219" s="6" t="n">
        <v>49.55</v>
      </c>
      <c r="E5219" s="6" t="n">
        <v>1351253.44</v>
      </c>
      <c r="F5219" s="6">
        <f>ROUND(E5219-E5218,2)</f>
        <v/>
      </c>
      <c r="G5219" s="6">
        <f>ROUND(F5219-D5219,2)</f>
        <v/>
      </c>
    </row>
    <row r="5220">
      <c r="A5220" t="inlineStr">
        <is>
          <t>2023-01-07</t>
        </is>
      </c>
      <c r="B5220" t="n">
        <v>12</v>
      </c>
      <c r="C5220" t="n">
        <v>3130</v>
      </c>
      <c r="D5220" s="6" t="n">
        <v>49.55</v>
      </c>
      <c r="E5220" s="6" t="n">
        <v>1351302.99</v>
      </c>
      <c r="F5220" s="6">
        <f>ROUND(E5220-E5219,2)</f>
        <v/>
      </c>
      <c r="G5220" s="6">
        <f>ROUND(F5220-D5220,2)</f>
        <v/>
      </c>
    </row>
    <row r="5221">
      <c r="A5221" t="inlineStr">
        <is>
          <t>2023-01-07</t>
        </is>
      </c>
      <c r="B5221" t="n">
        <v>13</v>
      </c>
      <c r="C5221" t="n">
        <v>3130</v>
      </c>
      <c r="D5221" s="6" t="n">
        <v>59.1</v>
      </c>
      <c r="E5221" s="6" t="n">
        <v>1351362.09</v>
      </c>
      <c r="F5221" s="6">
        <f>ROUND(E5221-E5220,2)</f>
        <v/>
      </c>
      <c r="G5221" s="6">
        <f>ROUND(F5221-D5221,2)</f>
        <v/>
      </c>
    </row>
    <row r="5222">
      <c r="A5222" t="inlineStr">
        <is>
          <t>2023-01-07</t>
        </is>
      </c>
      <c r="B5222" t="n">
        <v>14</v>
      </c>
      <c r="C5222" t="n">
        <v>3130</v>
      </c>
      <c r="D5222" s="6" t="n">
        <v>78.40000000000001</v>
      </c>
      <c r="E5222" s="6" t="n">
        <v>1351440.49</v>
      </c>
      <c r="F5222" s="6">
        <f>ROUND(E5222-E5221,2)</f>
        <v/>
      </c>
      <c r="G5222" s="6">
        <f>ROUND(F5222-D5222,2)</f>
        <v/>
      </c>
    </row>
    <row r="5223">
      <c r="A5223" t="inlineStr">
        <is>
          <t>2023-01-07</t>
        </is>
      </c>
      <c r="B5223" t="n">
        <v>15</v>
      </c>
      <c r="C5223" t="n">
        <v>3130</v>
      </c>
      <c r="D5223" s="6" t="n">
        <v>41.45</v>
      </c>
      <c r="E5223" s="6" t="n">
        <v>1351481.94</v>
      </c>
      <c r="F5223" s="6">
        <f>ROUND(E5223-E5222,2)</f>
        <v/>
      </c>
      <c r="G5223" s="6">
        <f>ROUND(F5223-D5223,2)</f>
        <v/>
      </c>
    </row>
    <row r="5224">
      <c r="A5224" t="inlineStr">
        <is>
          <t>2023-01-07</t>
        </is>
      </c>
      <c r="B5224" t="n">
        <v>16</v>
      </c>
      <c r="C5224" t="n">
        <v>3130</v>
      </c>
      <c r="D5224" s="6" t="n">
        <v>41.45</v>
      </c>
      <c r="E5224" s="6" t="n">
        <v>1351523.39</v>
      </c>
      <c r="F5224" s="6">
        <f>ROUND(E5224-E5223,2)</f>
        <v/>
      </c>
      <c r="G5224" s="6">
        <f>ROUND(F5224-D5224,2)</f>
        <v/>
      </c>
    </row>
    <row r="5225">
      <c r="A5225" t="inlineStr">
        <is>
          <t>2023-01-07</t>
        </is>
      </c>
      <c r="B5225" t="n">
        <v>17</v>
      </c>
      <c r="C5225" t="n">
        <v>3130</v>
      </c>
      <c r="D5225" s="6" t="n">
        <v>59.6</v>
      </c>
      <c r="E5225" s="6" t="n">
        <v>1351582.99</v>
      </c>
      <c r="F5225" s="6">
        <f>ROUND(E5225-E5224,2)</f>
        <v/>
      </c>
      <c r="G5225" s="6">
        <f>ROUND(F5225-D5225,2)</f>
        <v/>
      </c>
    </row>
    <row r="5226">
      <c r="A5226" t="inlineStr">
        <is>
          <t>2023-01-07</t>
        </is>
      </c>
      <c r="B5226" t="n">
        <v>18</v>
      </c>
      <c r="C5226" t="n">
        <v>3130</v>
      </c>
      <c r="D5226" s="6" t="n">
        <v>50.8</v>
      </c>
      <c r="E5226" s="6" t="n">
        <v>1351633.79</v>
      </c>
      <c r="F5226" s="6">
        <f>ROUND(E5226-E5225,2)</f>
        <v/>
      </c>
      <c r="G5226" s="6">
        <f>ROUND(F5226-D5226,2)</f>
        <v/>
      </c>
    </row>
    <row r="5227">
      <c r="A5227" t="inlineStr">
        <is>
          <t>2023-01-07</t>
        </is>
      </c>
      <c r="B5227" t="n">
        <v>19</v>
      </c>
      <c r="C5227" t="n">
        <v>3130</v>
      </c>
      <c r="D5227" s="6" t="n">
        <v>56.6</v>
      </c>
      <c r="E5227" s="6" t="n">
        <v>1351690.39</v>
      </c>
      <c r="F5227" s="6">
        <f>ROUND(E5227-E5226,2)</f>
        <v/>
      </c>
      <c r="G5227" s="6">
        <f>ROUND(F5227-D5227,2)</f>
        <v/>
      </c>
    </row>
    <row r="5228">
      <c r="A5228" t="inlineStr">
        <is>
          <t>2023-01-07</t>
        </is>
      </c>
      <c r="B5228" t="n">
        <v>20</v>
      </c>
      <c r="C5228" t="n">
        <v>3130</v>
      </c>
      <c r="D5228" s="6" t="n">
        <v>194.7</v>
      </c>
      <c r="E5228" s="6" t="n">
        <v>1351885.09</v>
      </c>
      <c r="F5228" s="6">
        <f>ROUND(E5228-E5227,2)</f>
        <v/>
      </c>
      <c r="G5228" s="6">
        <f>ROUND(F5228-D5228,2)</f>
        <v/>
      </c>
    </row>
    <row r="5229">
      <c r="A5229" t="inlineStr">
        <is>
          <t>2023-01-07</t>
        </is>
      </c>
      <c r="B5229" t="n">
        <v>21</v>
      </c>
      <c r="C5229" t="n">
        <v>3130</v>
      </c>
      <c r="D5229" s="6" t="n">
        <v>62.4</v>
      </c>
      <c r="E5229" s="6" t="n">
        <v>1351947.49</v>
      </c>
      <c r="F5229" s="6">
        <f>ROUND(E5229-E5228,2)</f>
        <v/>
      </c>
      <c r="G5229" s="6">
        <f>ROUND(F5229-D5229,2)</f>
        <v/>
      </c>
    </row>
    <row r="5230">
      <c r="A5230" t="inlineStr">
        <is>
          <t>2023-01-07</t>
        </is>
      </c>
      <c r="B5230" t="n">
        <v>22</v>
      </c>
      <c r="C5230" t="n">
        <v>3130</v>
      </c>
      <c r="D5230" s="6" t="n">
        <v>68.5</v>
      </c>
      <c r="E5230" s="6" t="n">
        <v>1352015.99</v>
      </c>
      <c r="F5230" s="6">
        <f>ROUND(E5230-E5229,2)</f>
        <v/>
      </c>
      <c r="G5230" s="6">
        <f>ROUND(F5230-D5230,2)</f>
        <v/>
      </c>
    </row>
    <row r="5231">
      <c r="A5231" t="inlineStr">
        <is>
          <t>2023-01-08</t>
        </is>
      </c>
      <c r="B5231" t="n">
        <v>1</v>
      </c>
      <c r="C5231" t="n">
        <v>3131</v>
      </c>
      <c r="D5231" s="6" t="n">
        <v>38.4</v>
      </c>
      <c r="E5231" s="6" t="n">
        <v>1352054.39</v>
      </c>
      <c r="F5231" s="6">
        <f>ROUND(E5231-E5230,2)</f>
        <v/>
      </c>
      <c r="G5231" s="6">
        <f>ROUND(F5231-D5231,2)</f>
        <v/>
      </c>
    </row>
    <row r="5232">
      <c r="A5232" t="inlineStr">
        <is>
          <t>2023-01-08</t>
        </is>
      </c>
      <c r="B5232" t="n">
        <v>2</v>
      </c>
      <c r="C5232" t="n">
        <v>3131</v>
      </c>
      <c r="D5232" s="6" t="n">
        <v>57.8</v>
      </c>
      <c r="E5232" s="6" t="n">
        <v>1352112.19</v>
      </c>
      <c r="F5232" s="6">
        <f>ROUND(E5232-E5231,2)</f>
        <v/>
      </c>
      <c r="G5232" s="6">
        <f>ROUND(F5232-D5232,2)</f>
        <v/>
      </c>
    </row>
    <row r="5233">
      <c r="A5233" t="inlineStr">
        <is>
          <t>2023-01-08</t>
        </is>
      </c>
      <c r="B5233" t="n">
        <v>3</v>
      </c>
      <c r="C5233" t="n">
        <v>3131</v>
      </c>
      <c r="D5233" s="6" t="n">
        <v>97.40000000000001</v>
      </c>
      <c r="E5233" s="6" t="n">
        <v>1352209.59</v>
      </c>
      <c r="F5233" s="6">
        <f>ROUND(E5233-E5232,2)</f>
        <v/>
      </c>
      <c r="G5233" s="6">
        <f>ROUND(F5233-D5233,2)</f>
        <v/>
      </c>
    </row>
    <row r="5234">
      <c r="A5234" t="inlineStr">
        <is>
          <t>2023-01-08</t>
        </is>
      </c>
      <c r="B5234" t="n">
        <v>4</v>
      </c>
      <c r="C5234" t="n">
        <v>3131</v>
      </c>
      <c r="D5234" s="6" t="n">
        <v>67.8</v>
      </c>
      <c r="E5234" s="6" t="n">
        <v>1352277.39</v>
      </c>
      <c r="F5234" s="6">
        <f>ROUND(E5234-E5233,2)</f>
        <v/>
      </c>
      <c r="G5234" s="6">
        <f>ROUND(F5234-D5234,2)</f>
        <v/>
      </c>
    </row>
    <row r="5235">
      <c r="A5235" t="inlineStr">
        <is>
          <t>2023-01-08</t>
        </is>
      </c>
      <c r="B5235" t="n">
        <v>5</v>
      </c>
      <c r="C5235" t="n">
        <v>3131</v>
      </c>
      <c r="D5235" s="6" t="n">
        <v>122.5</v>
      </c>
      <c r="E5235" s="6" t="n">
        <v>1352399.89</v>
      </c>
      <c r="F5235" s="6">
        <f>ROUND(E5235-E5234,2)</f>
        <v/>
      </c>
      <c r="G5235" s="6">
        <f>ROUND(F5235-D5235,2)</f>
        <v/>
      </c>
    </row>
    <row r="5236">
      <c r="A5236" t="inlineStr">
        <is>
          <t>2023-01-08</t>
        </is>
      </c>
      <c r="B5236" t="n">
        <v>6</v>
      </c>
      <c r="C5236" t="n">
        <v>3131</v>
      </c>
      <c r="D5236" s="6" t="n">
        <v>68</v>
      </c>
      <c r="E5236" s="6" t="n">
        <v>1352467.89</v>
      </c>
      <c r="F5236" s="6">
        <f>ROUND(E5236-E5235,2)</f>
        <v/>
      </c>
      <c r="G5236" s="6">
        <f>ROUND(F5236-D5236,2)</f>
        <v/>
      </c>
    </row>
    <row r="5237">
      <c r="A5237" t="inlineStr">
        <is>
          <t>2023-01-08</t>
        </is>
      </c>
      <c r="B5237" t="n">
        <v>7</v>
      </c>
      <c r="C5237" t="n">
        <v>3131</v>
      </c>
      <c r="D5237" s="6" t="n">
        <v>95.3</v>
      </c>
      <c r="E5237" s="6" t="n">
        <v>1352563.19</v>
      </c>
      <c r="F5237" s="6">
        <f>ROUND(E5237-E5236,2)</f>
        <v/>
      </c>
      <c r="G5237" s="6">
        <f>ROUND(F5237-D5237,2)</f>
        <v/>
      </c>
    </row>
    <row r="5238">
      <c r="A5238" t="inlineStr">
        <is>
          <t>2023-01-08</t>
        </is>
      </c>
      <c r="B5238" t="n">
        <v>8</v>
      </c>
      <c r="C5238" t="n">
        <v>3131</v>
      </c>
      <c r="D5238" s="6" t="n">
        <v>95.3</v>
      </c>
      <c r="E5238" s="6" t="n">
        <v>1352658.49</v>
      </c>
      <c r="F5238" s="6">
        <f>ROUND(E5238-E5237,2)</f>
        <v/>
      </c>
      <c r="G5238" s="6">
        <f>ROUND(F5238-D5238,2)</f>
        <v/>
      </c>
    </row>
    <row r="5239">
      <c r="A5239" t="inlineStr">
        <is>
          <t>2023-01-08</t>
        </is>
      </c>
      <c r="B5239" t="n">
        <v>9</v>
      </c>
      <c r="C5239" t="n">
        <v>3131</v>
      </c>
      <c r="D5239" s="6" t="n">
        <v>71.09999999999999</v>
      </c>
      <c r="E5239" s="6" t="n">
        <v>1352729.59</v>
      </c>
      <c r="F5239" s="6">
        <f>ROUND(E5239-E5238,2)</f>
        <v/>
      </c>
      <c r="G5239" s="6">
        <f>ROUND(F5239-D5239,2)</f>
        <v/>
      </c>
    </row>
    <row r="5240">
      <c r="A5240" t="inlineStr">
        <is>
          <t>2023-01-08</t>
        </is>
      </c>
      <c r="B5240" t="n">
        <v>10</v>
      </c>
      <c r="C5240" t="n">
        <v>3131</v>
      </c>
      <c r="D5240" s="6" t="n">
        <v>107.3</v>
      </c>
      <c r="E5240" s="6" t="n">
        <v>1352836.89</v>
      </c>
      <c r="F5240" s="6">
        <f>ROUND(E5240-E5239,2)</f>
        <v/>
      </c>
      <c r="G5240" s="6">
        <f>ROUND(F5240-D5240,2)</f>
        <v/>
      </c>
    </row>
    <row r="5241">
      <c r="A5241" t="inlineStr">
        <is>
          <t>2023-01-08</t>
        </is>
      </c>
      <c r="B5241" t="n">
        <v>11</v>
      </c>
      <c r="C5241" t="n">
        <v>3131</v>
      </c>
      <c r="D5241" s="6" t="n">
        <v>89.2</v>
      </c>
      <c r="E5241" s="6" t="n">
        <v>1352926.09</v>
      </c>
      <c r="F5241" s="6">
        <f>ROUND(E5241-E5240,2)</f>
        <v/>
      </c>
      <c r="G5241" s="6">
        <f>ROUND(F5241-D5241,2)</f>
        <v/>
      </c>
    </row>
    <row r="5242">
      <c r="A5242" t="inlineStr">
        <is>
          <t>2023-02-23</t>
        </is>
      </c>
      <c r="B5242" t="n">
        <v>1</v>
      </c>
      <c r="C5242" t="n">
        <v>3132</v>
      </c>
      <c r="D5242" s="6" t="n">
        <v>63.2</v>
      </c>
      <c r="E5242" s="6" t="n">
        <v>1352989.29</v>
      </c>
      <c r="F5242" s="6">
        <f>ROUND(E5242-E5241,2)</f>
        <v/>
      </c>
      <c r="G5242" s="6">
        <f>ROUND(F5242-D5242,2)</f>
        <v/>
      </c>
    </row>
    <row r="5243">
      <c r="A5243" t="inlineStr">
        <is>
          <t>2023-02-23</t>
        </is>
      </c>
      <c r="B5243" t="n">
        <v>2</v>
      </c>
      <c r="C5243" t="n">
        <v>3132</v>
      </c>
      <c r="D5243" s="6" t="n">
        <v>67.90000000000001</v>
      </c>
      <c r="E5243" s="6" t="n">
        <v>1353057.19</v>
      </c>
      <c r="F5243" s="6">
        <f>ROUND(E5243-E5242,2)</f>
        <v/>
      </c>
      <c r="G5243" s="6">
        <f>ROUND(F5243-D5243,2)</f>
        <v/>
      </c>
    </row>
    <row r="5244">
      <c r="A5244" t="inlineStr">
        <is>
          <t>2023-02-23</t>
        </is>
      </c>
      <c r="B5244" t="n">
        <v>3</v>
      </c>
      <c r="C5244" t="n">
        <v>3132</v>
      </c>
      <c r="D5244" s="6" t="n">
        <v>29.5</v>
      </c>
      <c r="E5244" s="6" t="n">
        <v>1353086.69</v>
      </c>
      <c r="F5244" s="6">
        <f>ROUND(E5244-E5243,2)</f>
        <v/>
      </c>
      <c r="G5244" s="6">
        <f>ROUND(F5244-D5244,2)</f>
        <v/>
      </c>
    </row>
    <row r="5245">
      <c r="A5245" t="inlineStr">
        <is>
          <t>2023-02-23</t>
        </is>
      </c>
      <c r="B5245" t="n">
        <v>4</v>
      </c>
      <c r="C5245" t="n">
        <v>3132</v>
      </c>
      <c r="D5245" s="6" t="n">
        <v>83.5</v>
      </c>
      <c r="E5245" s="6" t="n">
        <v>1353170.19</v>
      </c>
      <c r="F5245" s="6">
        <f>ROUND(E5245-E5244,2)</f>
        <v/>
      </c>
      <c r="G5245" s="6">
        <f>ROUND(F5245-D5245,2)</f>
        <v/>
      </c>
    </row>
    <row r="5246">
      <c r="A5246" t="inlineStr">
        <is>
          <t>2023-02-23</t>
        </is>
      </c>
      <c r="B5246" t="n">
        <v>5</v>
      </c>
      <c r="C5246" t="n">
        <v>3132</v>
      </c>
      <c r="D5246" s="6" t="n">
        <v>52.8</v>
      </c>
      <c r="E5246" s="6" t="n">
        <v>1353222.99</v>
      </c>
      <c r="F5246" s="6">
        <f>ROUND(E5246-E5245,2)</f>
        <v/>
      </c>
      <c r="G5246" s="6">
        <f>ROUND(F5246-D5246,2)</f>
        <v/>
      </c>
    </row>
    <row r="5247">
      <c r="A5247" t="inlineStr">
        <is>
          <t>2023-02-23</t>
        </is>
      </c>
      <c r="B5247" t="n">
        <v>6</v>
      </c>
      <c r="C5247" t="n">
        <v>3132</v>
      </c>
      <c r="D5247" s="6" t="n">
        <v>30.4</v>
      </c>
      <c r="E5247" s="6" t="n">
        <v>1353253.39</v>
      </c>
      <c r="F5247" s="6">
        <f>ROUND(E5247-E5246,2)</f>
        <v/>
      </c>
      <c r="G5247" s="6">
        <f>ROUND(F5247-D5247,2)</f>
        <v/>
      </c>
    </row>
    <row r="5248">
      <c r="A5248" t="inlineStr">
        <is>
          <t>2023-02-23</t>
        </is>
      </c>
      <c r="B5248" t="n">
        <v>7</v>
      </c>
      <c r="C5248" t="n">
        <v>3132</v>
      </c>
      <c r="D5248" s="6" t="n">
        <v>23.5</v>
      </c>
      <c r="E5248" s="6" t="n">
        <v>1353276.89</v>
      </c>
      <c r="F5248" s="6">
        <f>ROUND(E5248-E5247,2)</f>
        <v/>
      </c>
      <c r="G5248" s="6">
        <f>ROUND(F5248-D5248,2)</f>
        <v/>
      </c>
    </row>
    <row r="5249">
      <c r="A5249" t="inlineStr">
        <is>
          <t>2023-02-23</t>
        </is>
      </c>
      <c r="B5249" t="n">
        <v>8</v>
      </c>
      <c r="C5249" t="n">
        <v>3132</v>
      </c>
      <c r="D5249" s="6" t="n">
        <v>23.5</v>
      </c>
      <c r="E5249" s="6" t="n">
        <v>1353300.39</v>
      </c>
      <c r="F5249" s="6">
        <f>ROUND(E5249-E5248,2)</f>
        <v/>
      </c>
      <c r="G5249" s="6">
        <f>ROUND(F5249-D5249,2)</f>
        <v/>
      </c>
    </row>
    <row r="5250">
      <c r="A5250" t="inlineStr">
        <is>
          <t>2023-02-23</t>
        </is>
      </c>
      <c r="B5250" t="n">
        <v>9</v>
      </c>
      <c r="C5250" t="n">
        <v>3132</v>
      </c>
      <c r="D5250" s="6" t="n">
        <v>146.8</v>
      </c>
      <c r="E5250" s="6" t="n">
        <v>1353447.19</v>
      </c>
      <c r="F5250" s="6">
        <f>ROUND(E5250-E5249,2)</f>
        <v/>
      </c>
      <c r="G5250" s="6">
        <f>ROUND(F5250-D5250,2)</f>
        <v/>
      </c>
    </row>
    <row r="5251">
      <c r="A5251" t="inlineStr">
        <is>
          <t>2023-02-23</t>
        </is>
      </c>
      <c r="B5251" t="n">
        <v>10</v>
      </c>
      <c r="C5251" t="n">
        <v>3132</v>
      </c>
      <c r="D5251" s="6" t="n">
        <v>25.8</v>
      </c>
      <c r="E5251" s="6" t="n">
        <v>1353472.99</v>
      </c>
      <c r="F5251" s="6">
        <f>ROUND(E5251-E5250,2)</f>
        <v/>
      </c>
      <c r="G5251" s="6">
        <f>ROUND(F5251-D5251,2)</f>
        <v/>
      </c>
    </row>
    <row r="5252">
      <c r="A5252" t="inlineStr">
        <is>
          <t>2023-02-23</t>
        </is>
      </c>
      <c r="B5252" t="n">
        <v>11</v>
      </c>
      <c r="C5252" t="n">
        <v>3132</v>
      </c>
      <c r="D5252" s="6" t="n">
        <v>26.2</v>
      </c>
      <c r="E5252" s="6" t="n">
        <v>1353499.19</v>
      </c>
      <c r="F5252" s="6">
        <f>ROUND(E5252-E5251,2)</f>
        <v/>
      </c>
      <c r="G5252" s="6">
        <f>ROUND(F5252-D5252,2)</f>
        <v/>
      </c>
    </row>
    <row r="5253">
      <c r="A5253" t="inlineStr">
        <is>
          <t>2023-02-23</t>
        </is>
      </c>
      <c r="B5253" t="n">
        <v>12</v>
      </c>
      <c r="C5253" t="n">
        <v>3132</v>
      </c>
      <c r="D5253" s="6" t="n">
        <v>64.2</v>
      </c>
      <c r="E5253" s="6" t="n">
        <v>1353563.39</v>
      </c>
      <c r="F5253" s="6">
        <f>ROUND(E5253-E5252,2)</f>
        <v/>
      </c>
      <c r="G5253" s="6">
        <f>ROUND(F5253-D5253,2)</f>
        <v/>
      </c>
    </row>
    <row r="5254">
      <c r="A5254" t="inlineStr">
        <is>
          <t>2023-02-23</t>
        </is>
      </c>
      <c r="B5254" t="n">
        <v>13</v>
      </c>
      <c r="C5254" t="n">
        <v>3132</v>
      </c>
      <c r="D5254" s="6" t="n">
        <v>107.2</v>
      </c>
      <c r="E5254" s="6" t="n">
        <v>1353670.59</v>
      </c>
      <c r="F5254" s="6">
        <f>ROUND(E5254-E5253,2)</f>
        <v/>
      </c>
      <c r="G5254" s="6">
        <f>ROUND(F5254-D5254,2)</f>
        <v/>
      </c>
    </row>
    <row r="5255">
      <c r="A5255" t="inlineStr">
        <is>
          <t>2023-02-23</t>
        </is>
      </c>
      <c r="B5255" t="n">
        <v>14</v>
      </c>
      <c r="C5255" t="n">
        <v>3132</v>
      </c>
      <c r="D5255" s="6" t="n">
        <v>24.8</v>
      </c>
      <c r="E5255" s="6" t="n">
        <v>1353695.39</v>
      </c>
      <c r="F5255" s="6">
        <f>ROUND(E5255-E5254,2)</f>
        <v/>
      </c>
      <c r="G5255" s="6">
        <f>ROUND(F5255-D5255,2)</f>
        <v/>
      </c>
    </row>
    <row r="5256">
      <c r="A5256" t="inlineStr">
        <is>
          <t>2023-02-23</t>
        </is>
      </c>
      <c r="B5256" t="n">
        <v>15</v>
      </c>
      <c r="C5256" t="n">
        <v>3132</v>
      </c>
      <c r="D5256" s="6" t="n">
        <v>24.8</v>
      </c>
      <c r="E5256" s="6" t="n">
        <v>1353720.19</v>
      </c>
      <c r="F5256" s="6">
        <f>ROUND(E5256-E5255,2)</f>
        <v/>
      </c>
      <c r="G5256" s="6">
        <f>ROUND(F5256-D5256,2)</f>
        <v/>
      </c>
    </row>
    <row r="5257">
      <c r="A5257" t="inlineStr">
        <is>
          <t>2023-02-24</t>
        </is>
      </c>
      <c r="B5257" t="n">
        <v>1</v>
      </c>
      <c r="C5257" t="n">
        <v>3133</v>
      </c>
      <c r="D5257" s="6" t="n">
        <v>68.7</v>
      </c>
      <c r="E5257" s="6" t="n">
        <v>1353788.89</v>
      </c>
      <c r="F5257" s="6">
        <f>ROUND(E5257-E5256,2)</f>
        <v/>
      </c>
      <c r="G5257" s="6">
        <f>ROUND(F5257-D5257,2)</f>
        <v/>
      </c>
    </row>
    <row r="5258">
      <c r="A5258" t="inlineStr">
        <is>
          <t>2023-02-24</t>
        </is>
      </c>
      <c r="B5258" t="n">
        <v>2</v>
      </c>
      <c r="C5258" t="n">
        <v>3133</v>
      </c>
      <c r="D5258" s="6" t="n">
        <v>82.3</v>
      </c>
      <c r="E5258" s="6" t="n">
        <v>1353871.19</v>
      </c>
      <c r="F5258" s="6">
        <f>ROUND(E5258-E5257,2)</f>
        <v/>
      </c>
      <c r="G5258" s="6">
        <f>ROUND(F5258-D5258,2)</f>
        <v/>
      </c>
    </row>
    <row r="5259">
      <c r="A5259" t="inlineStr">
        <is>
          <t>2023-02-24</t>
        </is>
      </c>
      <c r="B5259" t="n">
        <v>3</v>
      </c>
      <c r="C5259" t="n">
        <v>3133</v>
      </c>
      <c r="D5259" s="6" t="n">
        <v>25.1</v>
      </c>
      <c r="E5259" s="6" t="n">
        <v>1353896.29</v>
      </c>
      <c r="F5259" s="6">
        <f>ROUND(E5259-E5258,2)</f>
        <v/>
      </c>
      <c r="G5259" s="6">
        <f>ROUND(F5259-D5259,2)</f>
        <v/>
      </c>
    </row>
    <row r="5260">
      <c r="A5260" t="inlineStr">
        <is>
          <t>2023-02-24</t>
        </is>
      </c>
      <c r="B5260" t="n">
        <v>4</v>
      </c>
      <c r="C5260" t="n">
        <v>3133</v>
      </c>
      <c r="D5260" s="6" t="n">
        <v>71.8</v>
      </c>
      <c r="E5260" s="6" t="n">
        <v>1353968.09</v>
      </c>
      <c r="F5260" s="6">
        <f>ROUND(E5260-E5259,2)</f>
        <v/>
      </c>
      <c r="G5260" s="6">
        <f>ROUND(F5260-D5260,2)</f>
        <v/>
      </c>
    </row>
    <row r="5261">
      <c r="A5261" t="inlineStr">
        <is>
          <t>2023-02-24</t>
        </is>
      </c>
      <c r="B5261" t="n">
        <v>5</v>
      </c>
      <c r="C5261" t="n">
        <v>3133</v>
      </c>
      <c r="D5261" s="6" t="n">
        <v>24.8</v>
      </c>
      <c r="E5261" s="6" t="n">
        <v>1353992.89</v>
      </c>
      <c r="F5261" s="6">
        <f>ROUND(E5261-E5260,2)</f>
        <v/>
      </c>
      <c r="G5261" s="6">
        <f>ROUND(F5261-D5261,2)</f>
        <v/>
      </c>
    </row>
    <row r="5262">
      <c r="A5262" t="inlineStr">
        <is>
          <t>2023-02-24</t>
        </is>
      </c>
      <c r="B5262" t="n">
        <v>6</v>
      </c>
      <c r="C5262" t="n">
        <v>3133</v>
      </c>
      <c r="D5262" s="6" t="n">
        <v>50.3</v>
      </c>
      <c r="E5262" s="6" t="n">
        <v>1354043.19</v>
      </c>
      <c r="F5262" s="6">
        <f>ROUND(E5262-E5261,2)</f>
        <v/>
      </c>
      <c r="G5262" s="6">
        <f>ROUND(F5262-D5262,2)</f>
        <v/>
      </c>
    </row>
    <row r="5263">
      <c r="A5263" t="inlineStr">
        <is>
          <t>2023-02-24</t>
        </is>
      </c>
      <c r="B5263" t="n">
        <v>7</v>
      </c>
      <c r="C5263" t="n">
        <v>3133</v>
      </c>
      <c r="D5263" s="6" t="n">
        <v>66.7</v>
      </c>
      <c r="E5263" s="6" t="n">
        <v>1354109.89</v>
      </c>
      <c r="F5263" s="6">
        <f>ROUND(E5263-E5262,2)</f>
        <v/>
      </c>
      <c r="G5263" s="6">
        <f>ROUND(F5263-D5263,2)</f>
        <v/>
      </c>
    </row>
    <row r="5264">
      <c r="A5264" t="inlineStr">
        <is>
          <t>2023-02-24</t>
        </is>
      </c>
      <c r="B5264" t="n">
        <v>8</v>
      </c>
      <c r="C5264" t="n">
        <v>3133</v>
      </c>
      <c r="D5264" s="6" t="n">
        <v>89.90000000000001</v>
      </c>
      <c r="E5264" s="6" t="n">
        <v>1354199.79</v>
      </c>
      <c r="F5264" s="6">
        <f>ROUND(E5264-E5263,2)</f>
        <v/>
      </c>
      <c r="G5264" s="6">
        <f>ROUND(F5264-D5264,2)</f>
        <v/>
      </c>
    </row>
    <row r="5265">
      <c r="A5265" t="inlineStr">
        <is>
          <t>2023-02-24</t>
        </is>
      </c>
      <c r="B5265" t="n">
        <v>9</v>
      </c>
      <c r="C5265" t="n">
        <v>3133</v>
      </c>
      <c r="D5265" s="6" t="n">
        <v>99.25</v>
      </c>
      <c r="E5265" s="6" t="n">
        <v>1354299.04</v>
      </c>
      <c r="F5265" s="6">
        <f>ROUND(E5265-E5264,2)</f>
        <v/>
      </c>
      <c r="G5265" s="6">
        <f>ROUND(F5265-D5265,2)</f>
        <v/>
      </c>
    </row>
    <row r="5266">
      <c r="A5266" t="inlineStr">
        <is>
          <t>2023-02-24</t>
        </is>
      </c>
      <c r="B5266" t="n">
        <v>10</v>
      </c>
      <c r="C5266" t="n">
        <v>3133</v>
      </c>
      <c r="D5266" s="6" t="n">
        <v>99.25</v>
      </c>
      <c r="E5266" s="6" t="n">
        <v>1354398.29</v>
      </c>
      <c r="F5266" s="6">
        <f>ROUND(E5266-E5265,2)</f>
        <v/>
      </c>
      <c r="G5266" s="6">
        <f>ROUND(F5266-D5266,2)</f>
        <v/>
      </c>
    </row>
    <row r="5267">
      <c r="A5267" t="inlineStr">
        <is>
          <t>2023-02-24</t>
        </is>
      </c>
      <c r="B5267" t="n">
        <v>11</v>
      </c>
      <c r="C5267" t="n">
        <v>3133</v>
      </c>
      <c r="D5267" s="6" t="n">
        <v>65.09999999999999</v>
      </c>
      <c r="E5267" s="6" t="n">
        <v>1354463.39</v>
      </c>
      <c r="F5267" s="6">
        <f>ROUND(E5267-E5266,2)</f>
        <v/>
      </c>
      <c r="G5267" s="6">
        <f>ROUND(F5267-D5267,2)</f>
        <v/>
      </c>
    </row>
    <row r="5268">
      <c r="A5268" t="inlineStr">
        <is>
          <t>2023-02-24</t>
        </is>
      </c>
      <c r="B5268" t="n">
        <v>12</v>
      </c>
      <c r="C5268" t="n">
        <v>3133</v>
      </c>
      <c r="D5268" s="6" t="n">
        <v>93.09999999999999</v>
      </c>
      <c r="E5268" s="6" t="n">
        <v>1354556.49</v>
      </c>
      <c r="F5268" s="6">
        <f>ROUND(E5268-E5267,2)</f>
        <v/>
      </c>
      <c r="G5268" s="6">
        <f>ROUND(F5268-D5268,2)</f>
        <v/>
      </c>
    </row>
    <row r="5269">
      <c r="A5269" t="inlineStr">
        <is>
          <t>2023-02-24</t>
        </is>
      </c>
      <c r="B5269" t="n">
        <v>13</v>
      </c>
      <c r="C5269" t="n">
        <v>3133</v>
      </c>
      <c r="D5269" s="6" t="n">
        <v>230.6</v>
      </c>
      <c r="E5269" s="6" t="n">
        <v>1354787.09</v>
      </c>
      <c r="F5269" s="6">
        <f>ROUND(E5269-E5268,2)</f>
        <v/>
      </c>
      <c r="G5269" s="6">
        <f>ROUND(F5269-D5269,2)</f>
        <v/>
      </c>
    </row>
    <row r="5270">
      <c r="A5270" t="inlineStr">
        <is>
          <t>2023-02-24</t>
        </is>
      </c>
      <c r="B5270" t="n">
        <v>14</v>
      </c>
      <c r="C5270" t="n">
        <v>3133</v>
      </c>
      <c r="D5270" s="6" t="n">
        <v>57.2</v>
      </c>
      <c r="E5270" s="6" t="n">
        <v>1354844.29</v>
      </c>
      <c r="F5270" s="6">
        <f>ROUND(E5270-E5269,2)</f>
        <v/>
      </c>
      <c r="G5270" s="6">
        <f>ROUND(F5270-D5270,2)</f>
        <v/>
      </c>
    </row>
    <row r="5271">
      <c r="A5271" t="inlineStr">
        <is>
          <t>2023-02-25</t>
        </is>
      </c>
      <c r="B5271" t="n">
        <v>1</v>
      </c>
      <c r="C5271" t="n">
        <v>3134</v>
      </c>
      <c r="D5271" s="6" t="n">
        <v>42.8</v>
      </c>
      <c r="E5271" s="6" t="n">
        <v>1354887.09</v>
      </c>
      <c r="F5271" s="6">
        <f>ROUND(E5271-E5270,2)</f>
        <v/>
      </c>
      <c r="G5271" s="6">
        <f>ROUND(F5271-D5271,2)</f>
        <v/>
      </c>
    </row>
    <row r="5272">
      <c r="A5272" t="inlineStr">
        <is>
          <t>2023-02-25</t>
        </is>
      </c>
      <c r="B5272" t="n">
        <v>2</v>
      </c>
      <c r="C5272" t="n">
        <v>3134</v>
      </c>
      <c r="D5272" s="6" t="n">
        <v>103.4</v>
      </c>
      <c r="E5272" s="6" t="n">
        <v>1354990.49</v>
      </c>
      <c r="F5272" s="6">
        <f>ROUND(E5272-E5271,2)</f>
        <v/>
      </c>
      <c r="G5272" s="6">
        <f>ROUND(F5272-D5272,2)</f>
        <v/>
      </c>
    </row>
    <row r="5273">
      <c r="A5273" t="inlineStr">
        <is>
          <t>2023-02-25</t>
        </is>
      </c>
      <c r="B5273" t="n">
        <v>3</v>
      </c>
      <c r="C5273" t="n">
        <v>3134</v>
      </c>
      <c r="D5273" s="6" t="n">
        <v>86.3</v>
      </c>
      <c r="E5273" s="6" t="n">
        <v>1355076.79</v>
      </c>
      <c r="F5273" s="6">
        <f>ROUND(E5273-E5272,2)</f>
        <v/>
      </c>
      <c r="G5273" s="6">
        <f>ROUND(F5273-D5273,2)</f>
        <v/>
      </c>
    </row>
    <row r="5274">
      <c r="A5274" t="inlineStr">
        <is>
          <t>2023-02-25</t>
        </is>
      </c>
      <c r="B5274" t="n">
        <v>4</v>
      </c>
      <c r="C5274" t="n">
        <v>3134</v>
      </c>
      <c r="D5274" s="6" t="n">
        <v>78.25</v>
      </c>
      <c r="E5274" s="6" t="n">
        <v>1355155.04</v>
      </c>
      <c r="F5274" s="6">
        <f>ROUND(E5274-E5273,2)</f>
        <v/>
      </c>
      <c r="G5274" s="6">
        <f>ROUND(F5274-D5274,2)</f>
        <v/>
      </c>
    </row>
    <row r="5275">
      <c r="A5275" t="inlineStr">
        <is>
          <t>2023-02-25</t>
        </is>
      </c>
      <c r="B5275" t="n">
        <v>5</v>
      </c>
      <c r="C5275" t="n">
        <v>3134</v>
      </c>
      <c r="D5275" s="6" t="n">
        <v>81.7</v>
      </c>
      <c r="E5275" s="6" t="n">
        <v>1355236.74</v>
      </c>
      <c r="F5275" s="6">
        <f>ROUND(E5275-E5274,2)</f>
        <v/>
      </c>
      <c r="G5275" s="6">
        <f>ROUND(F5275-D5275,2)</f>
        <v/>
      </c>
    </row>
    <row r="5276">
      <c r="A5276" t="inlineStr">
        <is>
          <t>2023-02-25</t>
        </is>
      </c>
      <c r="B5276" t="n">
        <v>6</v>
      </c>
      <c r="C5276" t="n">
        <v>3134</v>
      </c>
      <c r="D5276" s="6" t="n">
        <v>78.25</v>
      </c>
      <c r="E5276" s="6" t="n">
        <v>1355314.99</v>
      </c>
      <c r="F5276" s="6">
        <f>ROUND(E5276-E5275,2)</f>
        <v/>
      </c>
      <c r="G5276" s="6">
        <f>ROUND(F5276-D5276,2)</f>
        <v/>
      </c>
    </row>
    <row r="5277">
      <c r="A5277" t="inlineStr">
        <is>
          <t>2023-02-25</t>
        </is>
      </c>
      <c r="B5277" t="n">
        <v>7</v>
      </c>
      <c r="C5277" t="n">
        <v>3134</v>
      </c>
      <c r="D5277" s="6" t="n">
        <v>71.59999999999999</v>
      </c>
      <c r="E5277" s="6" t="n">
        <v>1355386.59</v>
      </c>
      <c r="F5277" s="6">
        <f>ROUND(E5277-E5276,2)</f>
        <v/>
      </c>
      <c r="G5277" s="6">
        <f>ROUND(F5277-D5277,2)</f>
        <v/>
      </c>
    </row>
    <row r="5278">
      <c r="A5278" t="inlineStr">
        <is>
          <t>2023-02-25</t>
        </is>
      </c>
      <c r="B5278" t="n">
        <v>8</v>
      </c>
      <c r="C5278" t="n">
        <v>3134</v>
      </c>
      <c r="D5278" s="6" t="n">
        <v>76.3</v>
      </c>
      <c r="E5278" s="6" t="n">
        <v>1355462.89</v>
      </c>
      <c r="F5278" s="6">
        <f>ROUND(E5278-E5277,2)</f>
        <v/>
      </c>
      <c r="G5278" s="6">
        <f>ROUND(F5278-D5278,2)</f>
        <v/>
      </c>
    </row>
    <row r="5279">
      <c r="A5279" t="inlineStr">
        <is>
          <t>2023-02-25</t>
        </is>
      </c>
      <c r="B5279" t="n">
        <v>9</v>
      </c>
      <c r="C5279" t="n">
        <v>3134</v>
      </c>
      <c r="D5279" s="6" t="n">
        <v>74.8</v>
      </c>
      <c r="E5279" s="6" t="n">
        <v>1355537.69</v>
      </c>
      <c r="F5279" s="6">
        <f>ROUND(E5279-E5278,2)</f>
        <v/>
      </c>
      <c r="G5279" s="6">
        <f>ROUND(F5279-D5279,2)</f>
        <v/>
      </c>
    </row>
    <row r="5280">
      <c r="A5280" t="inlineStr">
        <is>
          <t>2023-02-25</t>
        </is>
      </c>
      <c r="B5280" t="n">
        <v>10</v>
      </c>
      <c r="C5280" t="n">
        <v>3134</v>
      </c>
      <c r="D5280" s="6" t="n">
        <v>85.40000000000001</v>
      </c>
      <c r="E5280" s="6" t="n">
        <v>1355623.09</v>
      </c>
      <c r="F5280" s="6">
        <f>ROUND(E5280-E5279,2)</f>
        <v/>
      </c>
      <c r="G5280" s="6">
        <f>ROUND(F5280-D5280,2)</f>
        <v/>
      </c>
    </row>
    <row r="5281">
      <c r="A5281" t="inlineStr">
        <is>
          <t>2023-02-25</t>
        </is>
      </c>
      <c r="B5281" t="n">
        <v>11</v>
      </c>
      <c r="C5281" t="n">
        <v>3134</v>
      </c>
      <c r="D5281" s="6" t="n">
        <v>60.65</v>
      </c>
      <c r="E5281" s="6" t="n">
        <v>1355683.74</v>
      </c>
      <c r="F5281" s="6">
        <f>ROUND(E5281-E5280,2)</f>
        <v/>
      </c>
      <c r="G5281" s="6">
        <f>ROUND(F5281-D5281,2)</f>
        <v/>
      </c>
    </row>
    <row r="5282">
      <c r="A5282" t="inlineStr">
        <is>
          <t>2023-02-25</t>
        </is>
      </c>
      <c r="B5282" t="n">
        <v>12</v>
      </c>
      <c r="C5282" t="n">
        <v>3134</v>
      </c>
      <c r="D5282" s="6" t="n">
        <v>60.65</v>
      </c>
      <c r="E5282" s="6" t="n">
        <v>1355744.39</v>
      </c>
      <c r="F5282" s="6">
        <f>ROUND(E5282-E5281,2)</f>
        <v/>
      </c>
      <c r="G5282" s="6">
        <f>ROUND(F5282-D5282,2)</f>
        <v/>
      </c>
    </row>
    <row r="5283">
      <c r="A5283" t="inlineStr">
        <is>
          <t>2023-02-25</t>
        </is>
      </c>
      <c r="B5283" t="n">
        <v>13</v>
      </c>
      <c r="C5283" t="n">
        <v>3134</v>
      </c>
      <c r="D5283" s="6" t="n">
        <v>51.2</v>
      </c>
      <c r="E5283" s="6" t="n">
        <v>1355795.59</v>
      </c>
      <c r="F5283" s="6">
        <f>ROUND(E5283-E5282,2)</f>
        <v/>
      </c>
      <c r="G5283" s="6">
        <f>ROUND(F5283-D5283,2)</f>
        <v/>
      </c>
    </row>
    <row r="5284">
      <c r="A5284" t="inlineStr">
        <is>
          <t>2023-02-25</t>
        </is>
      </c>
      <c r="B5284" t="n">
        <v>14</v>
      </c>
      <c r="C5284" t="n">
        <v>3134</v>
      </c>
      <c r="D5284" s="6" t="n">
        <v>152.8</v>
      </c>
      <c r="E5284" s="6" t="n">
        <v>1355948.39</v>
      </c>
      <c r="F5284" s="6">
        <f>ROUND(E5284-E5283,2)</f>
        <v/>
      </c>
      <c r="G5284" s="6">
        <f>ROUND(F5284-D5284,2)</f>
        <v/>
      </c>
    </row>
    <row r="5285">
      <c r="A5285" t="inlineStr">
        <is>
          <t>2023-02-25</t>
        </is>
      </c>
      <c r="B5285" t="n">
        <v>15</v>
      </c>
      <c r="C5285" t="n">
        <v>3134</v>
      </c>
      <c r="D5285" s="6" t="n">
        <v>49.6</v>
      </c>
      <c r="E5285" s="6" t="n">
        <v>1355997.99</v>
      </c>
      <c r="F5285" s="6">
        <f>ROUND(E5285-E5284,2)</f>
        <v/>
      </c>
      <c r="G5285" s="6">
        <f>ROUND(F5285-D5285,2)</f>
        <v/>
      </c>
    </row>
    <row r="5286">
      <c r="A5286" t="inlineStr">
        <is>
          <t>2023-02-25</t>
        </is>
      </c>
      <c r="B5286" t="n">
        <v>16</v>
      </c>
      <c r="C5286" t="n">
        <v>3134</v>
      </c>
      <c r="D5286" s="6" t="n">
        <v>85.59999999999999</v>
      </c>
      <c r="E5286" s="6" t="n">
        <v>1356083.59</v>
      </c>
      <c r="F5286" s="6">
        <f>ROUND(E5286-E5285,2)</f>
        <v/>
      </c>
      <c r="G5286" s="6">
        <f>ROUND(F5286-D5286,2)</f>
        <v/>
      </c>
    </row>
    <row r="5287">
      <c r="A5287" t="inlineStr">
        <is>
          <t>2023-02-25</t>
        </is>
      </c>
      <c r="B5287" t="n">
        <v>17</v>
      </c>
      <c r="C5287" t="n">
        <v>3134</v>
      </c>
      <c r="D5287" s="6" t="n">
        <v>113.4</v>
      </c>
      <c r="E5287" s="6" t="n">
        <v>1356196.99</v>
      </c>
      <c r="F5287" s="6">
        <f>ROUND(E5287-E5286,2)</f>
        <v/>
      </c>
      <c r="G5287" s="6">
        <f>ROUND(F5287-D5287,2)</f>
        <v/>
      </c>
    </row>
    <row r="5288">
      <c r="A5288" t="inlineStr">
        <is>
          <t>2023-02-25</t>
        </is>
      </c>
      <c r="B5288" t="n">
        <v>18</v>
      </c>
      <c r="C5288" t="n">
        <v>3134</v>
      </c>
      <c r="D5288" s="6" t="n">
        <v>242.3</v>
      </c>
      <c r="E5288" s="6" t="n">
        <v>1356439.29</v>
      </c>
      <c r="F5288" s="6">
        <f>ROUND(E5288-E5287,2)</f>
        <v/>
      </c>
      <c r="G5288" s="6">
        <f>ROUND(F5288-D5288,2)</f>
        <v/>
      </c>
    </row>
    <row r="5289">
      <c r="A5289" t="inlineStr">
        <is>
          <t>2023-02-25</t>
        </is>
      </c>
      <c r="B5289" t="n">
        <v>19</v>
      </c>
      <c r="C5289" t="n">
        <v>3134</v>
      </c>
      <c r="D5289" s="6" t="n">
        <v>29.9</v>
      </c>
      <c r="E5289" s="6" t="n">
        <v>1356469.19</v>
      </c>
      <c r="F5289" s="6">
        <f>ROUND(E5289-E5288,2)</f>
        <v/>
      </c>
      <c r="G5289" s="6">
        <f>ROUND(F5289-D5289,2)</f>
        <v/>
      </c>
    </row>
    <row r="5290">
      <c r="A5290" t="inlineStr">
        <is>
          <t>2023-02-26</t>
        </is>
      </c>
      <c r="B5290" t="n">
        <v>1</v>
      </c>
      <c r="C5290" t="n">
        <v>3135</v>
      </c>
      <c r="D5290" s="6" t="n">
        <v>56.9</v>
      </c>
      <c r="E5290" s="6" t="n">
        <v>1356526.09</v>
      </c>
      <c r="F5290" s="6">
        <f>ROUND(E5290-E5289,2)</f>
        <v/>
      </c>
      <c r="G5290" s="6">
        <f>ROUND(F5290-D5290,2)</f>
        <v/>
      </c>
    </row>
    <row r="5291">
      <c r="A5291" t="inlineStr">
        <is>
          <t>2023-02-26</t>
        </is>
      </c>
      <c r="B5291" t="n">
        <v>2</v>
      </c>
      <c r="C5291" t="n">
        <v>3135</v>
      </c>
      <c r="D5291" s="6" t="n">
        <v>84.09999999999999</v>
      </c>
      <c r="E5291" s="6" t="n">
        <v>1356610.19</v>
      </c>
      <c r="F5291" s="6">
        <f>ROUND(E5291-E5290,2)</f>
        <v/>
      </c>
      <c r="G5291" s="6">
        <f>ROUND(F5291-D5291,2)</f>
        <v/>
      </c>
    </row>
    <row r="5292">
      <c r="A5292" t="inlineStr">
        <is>
          <t>2023-02-26</t>
        </is>
      </c>
      <c r="B5292" t="n">
        <v>3</v>
      </c>
      <c r="C5292" t="n">
        <v>3135</v>
      </c>
      <c r="D5292" s="6" t="n">
        <v>94.7</v>
      </c>
      <c r="E5292" s="6" t="n">
        <v>1356704.89</v>
      </c>
      <c r="F5292" s="6">
        <f>ROUND(E5292-E5291,2)</f>
        <v/>
      </c>
      <c r="G5292" s="6">
        <f>ROUND(F5292-D5292,2)</f>
        <v/>
      </c>
    </row>
    <row r="5293">
      <c r="A5293" t="inlineStr">
        <is>
          <t>2023-02-26</t>
        </is>
      </c>
      <c r="B5293" t="n">
        <v>4</v>
      </c>
      <c r="C5293" t="n">
        <v>3135</v>
      </c>
      <c r="D5293" s="6" t="n">
        <v>70.90000000000001</v>
      </c>
      <c r="E5293" s="6" t="n">
        <v>1356775.79</v>
      </c>
      <c r="F5293" s="6">
        <f>ROUND(E5293-E5292,2)</f>
        <v/>
      </c>
      <c r="G5293" s="6">
        <f>ROUND(F5293-D5293,2)</f>
        <v/>
      </c>
    </row>
    <row r="5294">
      <c r="A5294" t="inlineStr">
        <is>
          <t>2023-02-26</t>
        </is>
      </c>
      <c r="B5294" t="n">
        <v>5</v>
      </c>
      <c r="C5294" t="n">
        <v>3135</v>
      </c>
      <c r="D5294" s="6" t="n">
        <v>70.2</v>
      </c>
      <c r="E5294" s="6" t="n">
        <v>1356845.99</v>
      </c>
      <c r="F5294" s="6">
        <f>ROUND(E5294-E5293,2)</f>
        <v/>
      </c>
      <c r="G5294" s="6">
        <f>ROUND(F5294-D5294,2)</f>
        <v/>
      </c>
    </row>
    <row r="5295">
      <c r="A5295" t="inlineStr">
        <is>
          <t>2023-02-26</t>
        </is>
      </c>
      <c r="B5295" t="n">
        <v>6</v>
      </c>
      <c r="C5295" t="n">
        <v>3135</v>
      </c>
      <c r="D5295" s="6" t="n">
        <v>51.3</v>
      </c>
      <c r="E5295" s="6" t="n">
        <v>1356897.29</v>
      </c>
      <c r="F5295" s="6">
        <f>ROUND(E5295-E5294,2)</f>
        <v/>
      </c>
      <c r="G5295" s="6">
        <f>ROUND(F5295-D5295,2)</f>
        <v/>
      </c>
    </row>
    <row r="5296">
      <c r="A5296" t="inlineStr">
        <is>
          <t>2023-02-26</t>
        </is>
      </c>
      <c r="B5296" t="n">
        <v>7</v>
      </c>
      <c r="C5296" t="n">
        <v>3135</v>
      </c>
      <c r="D5296" s="6" t="n">
        <v>97.59999999999999</v>
      </c>
      <c r="E5296" s="6" t="n">
        <v>1356994.89</v>
      </c>
      <c r="F5296" s="6">
        <f>ROUND(E5296-E5295,2)</f>
        <v/>
      </c>
      <c r="G5296" s="6">
        <f>ROUND(F5296-D5296,2)</f>
        <v/>
      </c>
    </row>
    <row r="5297">
      <c r="A5297" t="inlineStr">
        <is>
          <t>2023-02-26</t>
        </is>
      </c>
      <c r="B5297" t="n">
        <v>8</v>
      </c>
      <c r="C5297" t="n">
        <v>3135</v>
      </c>
      <c r="D5297" s="6" t="n">
        <v>74.7</v>
      </c>
      <c r="E5297" s="6" t="n">
        <v>1357069.59</v>
      </c>
      <c r="F5297" s="6">
        <f>ROUND(E5297-E5296,2)</f>
        <v/>
      </c>
      <c r="G5297" s="6">
        <f>ROUND(F5297-D5297,2)</f>
        <v/>
      </c>
    </row>
    <row r="5298">
      <c r="A5298" t="inlineStr">
        <is>
          <t>2023-02-26</t>
        </is>
      </c>
      <c r="B5298" t="n">
        <v>9</v>
      </c>
      <c r="C5298" t="n">
        <v>3135</v>
      </c>
      <c r="D5298" s="6" t="n">
        <v>102.8</v>
      </c>
      <c r="E5298" s="6" t="n">
        <v>1357172.39</v>
      </c>
      <c r="F5298" s="6">
        <f>ROUND(E5298-E5297,2)</f>
        <v/>
      </c>
      <c r="G5298" s="6">
        <f>ROUND(F5298-D5298,2)</f>
        <v/>
      </c>
    </row>
    <row r="5299">
      <c r="A5299" t="inlineStr">
        <is>
          <t>2023-02-26</t>
        </is>
      </c>
      <c r="B5299" t="n">
        <v>10</v>
      </c>
      <c r="C5299" t="n">
        <v>3135</v>
      </c>
      <c r="D5299" s="6" t="n">
        <v>84.40000000000001</v>
      </c>
      <c r="E5299" s="6" t="n">
        <v>1357256.79</v>
      </c>
      <c r="F5299" s="6">
        <f>ROUND(E5299-E5298,2)</f>
        <v/>
      </c>
      <c r="G5299" s="6">
        <f>ROUND(F5299-D5299,2)</f>
        <v/>
      </c>
    </row>
    <row r="5300">
      <c r="A5300" t="inlineStr">
        <is>
          <t>2023-02-26</t>
        </is>
      </c>
      <c r="B5300" t="n">
        <v>11</v>
      </c>
      <c r="C5300" t="n">
        <v>3135</v>
      </c>
      <c r="D5300" s="6" t="n">
        <v>109</v>
      </c>
      <c r="E5300" s="6" t="n">
        <v>1357365.79</v>
      </c>
      <c r="F5300" s="6">
        <f>ROUND(E5300-E5299,2)</f>
        <v/>
      </c>
      <c r="G5300" s="6">
        <f>ROUND(F5300-D5300,2)</f>
        <v/>
      </c>
    </row>
    <row r="5301">
      <c r="A5301" t="inlineStr">
        <is>
          <t>2023-02-26</t>
        </is>
      </c>
      <c r="B5301" t="n">
        <v>12</v>
      </c>
      <c r="C5301" t="n">
        <v>3135</v>
      </c>
      <c r="D5301" s="6" t="n">
        <v>114.2</v>
      </c>
      <c r="E5301" s="6" t="n">
        <v>1357479.99</v>
      </c>
      <c r="F5301" s="6">
        <f>ROUND(E5301-E5300,2)</f>
        <v/>
      </c>
      <c r="G5301" s="6">
        <f>ROUND(F5301-D5301,2)</f>
        <v/>
      </c>
    </row>
    <row r="5302">
      <c r="A5302" t="inlineStr">
        <is>
          <t>2023-02-26</t>
        </is>
      </c>
      <c r="B5302" t="n">
        <v>13</v>
      </c>
      <c r="C5302" t="n">
        <v>3135</v>
      </c>
      <c r="D5302" s="6" t="n">
        <v>25.1</v>
      </c>
      <c r="E5302" s="6" t="n">
        <v>1357505.09</v>
      </c>
      <c r="F5302" s="6">
        <f>ROUND(E5302-E5301,2)</f>
        <v/>
      </c>
      <c r="G5302" s="6">
        <f>ROUND(F5302-D5302,2)</f>
        <v/>
      </c>
    </row>
    <row r="5303">
      <c r="A5303" t="inlineStr">
        <is>
          <t>2023-02-26</t>
        </is>
      </c>
      <c r="B5303" t="n">
        <v>14</v>
      </c>
      <c r="C5303" t="n">
        <v>3135</v>
      </c>
      <c r="D5303" s="6" t="n">
        <v>69.40000000000001</v>
      </c>
      <c r="E5303" s="6" t="n">
        <v>1357574.49</v>
      </c>
      <c r="F5303" s="6">
        <f>ROUND(E5303-E5302,2)</f>
        <v/>
      </c>
      <c r="G5303" s="6">
        <f>ROUND(F5303-D5303,2)</f>
        <v/>
      </c>
    </row>
    <row r="5304">
      <c r="A5304" t="inlineStr">
        <is>
          <t>2023-02-26</t>
        </is>
      </c>
      <c r="B5304" t="n">
        <v>15</v>
      </c>
      <c r="C5304" t="n">
        <v>3135</v>
      </c>
      <c r="D5304" s="6" t="n">
        <v>32.3</v>
      </c>
      <c r="E5304" s="6" t="n">
        <v>1357606.79</v>
      </c>
      <c r="F5304" s="6">
        <f>ROUND(E5304-E5303,2)</f>
        <v/>
      </c>
      <c r="G5304" s="6">
        <f>ROUND(F5304-D5304,2)</f>
        <v/>
      </c>
    </row>
    <row r="5305">
      <c r="A5305" t="inlineStr">
        <is>
          <t>2023-02-26</t>
        </is>
      </c>
      <c r="B5305" t="n">
        <v>16</v>
      </c>
      <c r="C5305" t="n">
        <v>3135</v>
      </c>
      <c r="D5305" s="6" t="n">
        <v>30.2</v>
      </c>
      <c r="E5305" s="6" t="n">
        <v>1357636.99</v>
      </c>
      <c r="F5305" s="6">
        <f>ROUND(E5305-E5304,2)</f>
        <v/>
      </c>
      <c r="G5305" s="6">
        <f>ROUND(F5305-D5305,2)</f>
        <v/>
      </c>
    </row>
    <row r="5306">
      <c r="A5306" t="inlineStr">
        <is>
          <t>2023-02-26</t>
        </is>
      </c>
      <c r="B5306" t="n">
        <v>17</v>
      </c>
      <c r="C5306" t="n">
        <v>3135</v>
      </c>
      <c r="D5306" s="6" t="n">
        <v>79</v>
      </c>
      <c r="E5306" s="6" t="n">
        <v>1357715.99</v>
      </c>
      <c r="F5306" s="6">
        <f>ROUND(E5306-E5305,2)</f>
        <v/>
      </c>
      <c r="G5306" s="6">
        <f>ROUND(F5306-D5306,2)</f>
        <v/>
      </c>
    </row>
    <row r="5307">
      <c r="A5307" t="inlineStr">
        <is>
          <t>2023-03-01</t>
        </is>
      </c>
      <c r="B5307" t="n">
        <v>1</v>
      </c>
      <c r="C5307" t="n">
        <v>3136</v>
      </c>
      <c r="D5307" s="6" t="n">
        <v>54</v>
      </c>
      <c r="E5307" s="6" t="n">
        <v>1357769.99</v>
      </c>
      <c r="F5307" s="6">
        <f>ROUND(E5307-E5306,2)</f>
        <v/>
      </c>
      <c r="G5307" s="6">
        <f>ROUND(F5307-D5307,2)</f>
        <v/>
      </c>
    </row>
    <row r="5308">
      <c r="A5308" t="inlineStr">
        <is>
          <t>2023-03-01</t>
        </is>
      </c>
      <c r="B5308" t="n">
        <v>2</v>
      </c>
      <c r="C5308" t="n">
        <v>3136</v>
      </c>
      <c r="D5308" s="6" t="n">
        <v>90.2</v>
      </c>
      <c r="E5308" s="6" t="n">
        <v>1357860.19</v>
      </c>
      <c r="F5308" s="6">
        <f>ROUND(E5308-E5307,2)</f>
        <v/>
      </c>
      <c r="G5308" s="6">
        <f>ROUND(F5308-D5308,2)</f>
        <v/>
      </c>
    </row>
    <row r="5309">
      <c r="A5309" t="inlineStr">
        <is>
          <t>2023-03-01</t>
        </is>
      </c>
      <c r="B5309" t="n">
        <v>3</v>
      </c>
      <c r="C5309" t="n">
        <v>3136</v>
      </c>
      <c r="D5309" s="6" t="n">
        <v>33.4</v>
      </c>
      <c r="E5309" s="6" t="n">
        <v>1357893.59</v>
      </c>
      <c r="F5309" s="6">
        <f>ROUND(E5309-E5308,2)</f>
        <v/>
      </c>
      <c r="G5309" s="6">
        <f>ROUND(F5309-D5309,2)</f>
        <v/>
      </c>
    </row>
    <row r="5310">
      <c r="A5310" t="inlineStr">
        <is>
          <t>2023-03-01</t>
        </is>
      </c>
      <c r="B5310" t="n">
        <v>4</v>
      </c>
      <c r="C5310" t="n">
        <v>3136</v>
      </c>
      <c r="D5310" s="6" t="n">
        <v>33.4</v>
      </c>
      <c r="E5310" s="6" t="n">
        <v>1357926.99</v>
      </c>
      <c r="F5310" s="6">
        <f>ROUND(E5310-E5309,2)</f>
        <v/>
      </c>
      <c r="G5310" s="6">
        <f>ROUND(F5310-D5310,2)</f>
        <v/>
      </c>
    </row>
    <row r="5311">
      <c r="A5311" t="inlineStr">
        <is>
          <t>2023-03-01</t>
        </is>
      </c>
      <c r="B5311" t="n">
        <v>5</v>
      </c>
      <c r="C5311" t="n">
        <v>3136</v>
      </c>
      <c r="D5311" s="6" t="n">
        <v>90.2</v>
      </c>
      <c r="E5311" s="6" t="n">
        <v>1358017.19</v>
      </c>
      <c r="F5311" s="6">
        <f>ROUND(E5311-E5310,2)</f>
        <v/>
      </c>
      <c r="G5311" s="6">
        <f>ROUND(F5311-D5311,2)</f>
        <v/>
      </c>
    </row>
    <row r="5312">
      <c r="A5312" t="inlineStr">
        <is>
          <t>2023-03-01</t>
        </is>
      </c>
      <c r="B5312" t="n">
        <v>6</v>
      </c>
      <c r="C5312" t="n">
        <v>3136</v>
      </c>
      <c r="D5312" s="6" t="n">
        <v>64</v>
      </c>
      <c r="E5312" s="6" t="n">
        <v>1358081.19</v>
      </c>
      <c r="F5312" s="6">
        <f>ROUND(E5312-E5311,2)</f>
        <v/>
      </c>
      <c r="G5312" s="6">
        <f>ROUND(F5312-D5312,2)</f>
        <v/>
      </c>
    </row>
    <row r="5313">
      <c r="A5313" t="inlineStr">
        <is>
          <t>2023-03-01</t>
        </is>
      </c>
      <c r="B5313" t="n">
        <v>7</v>
      </c>
      <c r="C5313" t="n">
        <v>3136</v>
      </c>
      <c r="D5313" s="6" t="n">
        <v>117.7</v>
      </c>
      <c r="E5313" s="6" t="n">
        <v>1358198.89</v>
      </c>
      <c r="F5313" s="6">
        <f>ROUND(E5313-E5312,2)</f>
        <v/>
      </c>
      <c r="G5313" s="6">
        <f>ROUND(F5313-D5313,2)</f>
        <v/>
      </c>
    </row>
    <row r="5314">
      <c r="A5314" t="inlineStr">
        <is>
          <t>2023-03-01</t>
        </is>
      </c>
      <c r="B5314" t="n">
        <v>8</v>
      </c>
      <c r="C5314" t="n">
        <v>3136</v>
      </c>
      <c r="D5314" s="6" t="n">
        <v>89.8</v>
      </c>
      <c r="E5314" s="6" t="n">
        <v>1358288.69</v>
      </c>
      <c r="F5314" s="6">
        <f>ROUND(E5314-E5313,2)</f>
        <v/>
      </c>
      <c r="G5314" s="6">
        <f>ROUND(F5314-D5314,2)</f>
        <v/>
      </c>
    </row>
    <row r="5315">
      <c r="A5315" t="inlineStr">
        <is>
          <t>2023-03-01</t>
        </is>
      </c>
      <c r="B5315" t="n">
        <v>9</v>
      </c>
      <c r="C5315" t="n">
        <v>3136</v>
      </c>
      <c r="D5315" s="6" t="n">
        <v>32</v>
      </c>
      <c r="E5315" s="6" t="n">
        <v>1358320.69</v>
      </c>
      <c r="F5315" s="6">
        <f>ROUND(E5315-E5314,2)</f>
        <v/>
      </c>
      <c r="G5315" s="6">
        <f>ROUND(F5315-D5315,2)</f>
        <v/>
      </c>
    </row>
    <row r="5316">
      <c r="A5316" t="inlineStr">
        <is>
          <t>2023-03-02</t>
        </is>
      </c>
      <c r="B5316" t="n">
        <v>1</v>
      </c>
      <c r="C5316" t="n">
        <v>3137</v>
      </c>
      <c r="D5316" s="6" t="n">
        <v>40</v>
      </c>
      <c r="E5316" s="6" t="n">
        <v>1358360.69</v>
      </c>
      <c r="F5316" s="6">
        <f>ROUND(E5316-E5315,2)</f>
        <v/>
      </c>
      <c r="G5316" s="6">
        <f>ROUND(F5316-D5316,2)</f>
        <v/>
      </c>
    </row>
    <row r="5317">
      <c r="A5317" t="inlineStr">
        <is>
          <t>2023-03-02</t>
        </is>
      </c>
      <c r="B5317" t="n">
        <v>2</v>
      </c>
      <c r="C5317" t="n">
        <v>3137</v>
      </c>
      <c r="D5317" s="6" t="n">
        <v>30.8</v>
      </c>
      <c r="E5317" s="6" t="n">
        <v>1358391.49</v>
      </c>
      <c r="F5317" s="6">
        <f>ROUND(E5317-E5316,2)</f>
        <v/>
      </c>
      <c r="G5317" s="6">
        <f>ROUND(F5317-D5317,2)</f>
        <v/>
      </c>
    </row>
    <row r="5318">
      <c r="A5318" t="inlineStr">
        <is>
          <t>2023-03-02</t>
        </is>
      </c>
      <c r="B5318" t="n">
        <v>3</v>
      </c>
      <c r="C5318" t="n">
        <v>3137</v>
      </c>
      <c r="D5318" s="6" t="n">
        <v>29.4</v>
      </c>
      <c r="E5318" s="6" t="n">
        <v>1358420.89</v>
      </c>
      <c r="F5318" s="6">
        <f>ROUND(E5318-E5317,2)</f>
        <v/>
      </c>
      <c r="G5318" s="6">
        <f>ROUND(F5318-D5318,2)</f>
        <v/>
      </c>
    </row>
    <row r="5319">
      <c r="A5319" t="inlineStr">
        <is>
          <t>2023-03-02</t>
        </is>
      </c>
      <c r="B5319" t="n">
        <v>4</v>
      </c>
      <c r="C5319" t="n">
        <v>3137</v>
      </c>
      <c r="D5319" s="6" t="n">
        <v>67</v>
      </c>
      <c r="E5319" s="6" t="n">
        <v>1358487.89</v>
      </c>
      <c r="F5319" s="6">
        <f>ROUND(E5319-E5318,2)</f>
        <v/>
      </c>
      <c r="G5319" s="6">
        <f>ROUND(F5319-D5319,2)</f>
        <v/>
      </c>
    </row>
    <row r="5320">
      <c r="A5320" t="inlineStr">
        <is>
          <t>2023-03-03</t>
        </is>
      </c>
      <c r="B5320" t="n">
        <v>1</v>
      </c>
      <c r="C5320" t="n">
        <v>3138</v>
      </c>
      <c r="D5320" s="6" t="n">
        <v>67</v>
      </c>
      <c r="E5320" s="6" t="n">
        <v>1358554.89</v>
      </c>
      <c r="F5320" s="6">
        <f>ROUND(E5320-E5319,2)</f>
        <v/>
      </c>
      <c r="G5320" s="6">
        <f>ROUND(F5320-D5320,2)</f>
        <v/>
      </c>
    </row>
    <row r="5321">
      <c r="A5321" t="inlineStr">
        <is>
          <t>2023-03-03</t>
        </is>
      </c>
      <c r="B5321" t="n">
        <v>2</v>
      </c>
      <c r="C5321" t="n">
        <v>3138</v>
      </c>
      <c r="D5321" s="6" t="n">
        <v>67</v>
      </c>
      <c r="E5321" s="6" t="n">
        <v>1358621.89</v>
      </c>
      <c r="F5321" s="6">
        <f>ROUND(E5321-E5320,2)</f>
        <v/>
      </c>
      <c r="G5321" s="6">
        <f>ROUND(F5321-D5321,2)</f>
        <v/>
      </c>
    </row>
    <row r="5322">
      <c r="A5322" t="inlineStr">
        <is>
          <t>2023-03-03</t>
        </is>
      </c>
      <c r="B5322" t="n">
        <v>3</v>
      </c>
      <c r="C5322" t="n">
        <v>3138</v>
      </c>
      <c r="D5322" s="6" t="n">
        <v>19.8</v>
      </c>
      <c r="E5322" s="6" t="n">
        <v>1358641.69</v>
      </c>
      <c r="F5322" s="6">
        <f>ROUND(E5322-E5321,2)</f>
        <v/>
      </c>
      <c r="G5322" s="6">
        <f>ROUND(F5322-D5322,2)</f>
        <v/>
      </c>
    </row>
    <row r="5323">
      <c r="A5323" t="inlineStr">
        <is>
          <t>2023-03-03</t>
        </is>
      </c>
      <c r="B5323" t="n">
        <v>4</v>
      </c>
      <c r="C5323" t="n">
        <v>3138</v>
      </c>
      <c r="D5323" s="6" t="n">
        <v>124.1</v>
      </c>
      <c r="E5323" s="6" t="n">
        <v>1358765.79</v>
      </c>
      <c r="F5323" s="6">
        <f>ROUND(E5323-E5322,2)</f>
        <v/>
      </c>
      <c r="G5323" s="6">
        <f>ROUND(F5323-D5323,2)</f>
        <v/>
      </c>
    </row>
    <row r="5324">
      <c r="A5324" t="inlineStr">
        <is>
          <t>2023-03-03</t>
        </is>
      </c>
      <c r="B5324" t="n">
        <v>5</v>
      </c>
      <c r="C5324" t="n">
        <v>3138</v>
      </c>
      <c r="D5324" s="6" t="n">
        <v>88.2</v>
      </c>
      <c r="E5324" s="6" t="n">
        <v>1358853.99</v>
      </c>
      <c r="F5324" s="6">
        <f>ROUND(E5324-E5323,2)</f>
        <v/>
      </c>
      <c r="G5324" s="6">
        <f>ROUND(F5324-D5324,2)</f>
        <v/>
      </c>
    </row>
    <row r="5325">
      <c r="A5325" t="inlineStr">
        <is>
          <t>2023-03-03</t>
        </is>
      </c>
      <c r="B5325" t="n">
        <v>6</v>
      </c>
      <c r="C5325" t="n">
        <v>3138</v>
      </c>
      <c r="D5325" s="6" t="n">
        <v>47.6</v>
      </c>
      <c r="E5325" s="6" t="n">
        <v>1358901.59</v>
      </c>
      <c r="F5325" s="6">
        <f>ROUND(E5325-E5324,2)</f>
        <v/>
      </c>
      <c r="G5325" s="6">
        <f>ROUND(F5325-D5325,2)</f>
        <v/>
      </c>
    </row>
    <row r="5326">
      <c r="A5326" t="inlineStr">
        <is>
          <t>2023-03-03</t>
        </is>
      </c>
      <c r="B5326" t="n">
        <v>7</v>
      </c>
      <c r="C5326" t="n">
        <v>3138</v>
      </c>
      <c r="D5326" s="6" t="n">
        <v>50.6</v>
      </c>
      <c r="E5326" s="6" t="n">
        <v>1358952.19</v>
      </c>
      <c r="F5326" s="6">
        <f>ROUND(E5326-E5325,2)</f>
        <v/>
      </c>
      <c r="G5326" s="6">
        <f>ROUND(F5326-D5326,2)</f>
        <v/>
      </c>
    </row>
    <row r="5327">
      <c r="A5327" t="inlineStr">
        <is>
          <t>2023-03-03</t>
        </is>
      </c>
      <c r="B5327" t="n">
        <v>8</v>
      </c>
      <c r="C5327" t="n">
        <v>3138</v>
      </c>
      <c r="D5327" s="6" t="n">
        <v>54.2</v>
      </c>
      <c r="E5327" s="6" t="n">
        <v>1359006.39</v>
      </c>
      <c r="F5327" s="6">
        <f>ROUND(E5327-E5326,2)</f>
        <v/>
      </c>
      <c r="G5327" s="6">
        <f>ROUND(F5327-D5327,2)</f>
        <v/>
      </c>
    </row>
    <row r="5328">
      <c r="A5328" t="inlineStr">
        <is>
          <t>2023-03-03</t>
        </is>
      </c>
      <c r="B5328" t="n">
        <v>9</v>
      </c>
      <c r="C5328" t="n">
        <v>3138</v>
      </c>
      <c r="D5328" s="6" t="n">
        <v>105.8</v>
      </c>
      <c r="E5328" s="6" t="n">
        <v>1359112.19</v>
      </c>
      <c r="F5328" s="6">
        <f>ROUND(E5328-E5327,2)</f>
        <v/>
      </c>
      <c r="G5328" s="6">
        <f>ROUND(F5328-D5328,2)</f>
        <v/>
      </c>
    </row>
    <row r="5329">
      <c r="A5329" t="inlineStr">
        <is>
          <t>2023-03-03</t>
        </is>
      </c>
      <c r="B5329" t="n">
        <v>10</v>
      </c>
      <c r="C5329" t="n">
        <v>3138</v>
      </c>
      <c r="D5329" s="6" t="n">
        <v>81.90000000000001</v>
      </c>
      <c r="E5329" s="6" t="n">
        <v>1359194.09</v>
      </c>
      <c r="F5329" s="6">
        <f>ROUND(E5329-E5328,2)</f>
        <v/>
      </c>
      <c r="G5329" s="6">
        <f>ROUND(F5329-D5329,2)</f>
        <v/>
      </c>
    </row>
    <row r="5330">
      <c r="A5330" t="inlineStr">
        <is>
          <t>2023-03-03</t>
        </is>
      </c>
      <c r="B5330" t="n">
        <v>11</v>
      </c>
      <c r="C5330" t="n">
        <v>3138</v>
      </c>
      <c r="D5330" s="6" t="n">
        <v>39.6</v>
      </c>
      <c r="E5330" s="6" t="n">
        <v>1359233.69</v>
      </c>
      <c r="F5330" s="6">
        <f>ROUND(E5330-E5329,2)</f>
        <v/>
      </c>
      <c r="G5330" s="6">
        <f>ROUND(F5330-D5330,2)</f>
        <v/>
      </c>
    </row>
    <row r="5331">
      <c r="A5331" t="inlineStr">
        <is>
          <t>2023-03-04</t>
        </is>
      </c>
      <c r="B5331" t="n">
        <v>1</v>
      </c>
      <c r="C5331" t="n">
        <v>3139</v>
      </c>
      <c r="D5331" s="6" t="n">
        <v>52.1</v>
      </c>
      <c r="E5331" s="6" t="n">
        <v>1359285.79</v>
      </c>
      <c r="F5331" s="6">
        <f>ROUND(E5331-E5330,2)</f>
        <v/>
      </c>
      <c r="G5331" s="6">
        <f>ROUND(F5331-D5331,2)</f>
        <v/>
      </c>
    </row>
    <row r="5332">
      <c r="A5332" t="inlineStr">
        <is>
          <t>2023-03-04</t>
        </is>
      </c>
      <c r="B5332" t="n">
        <v>2</v>
      </c>
      <c r="C5332" t="n">
        <v>3139</v>
      </c>
      <c r="D5332" s="6" t="n">
        <v>129.9</v>
      </c>
      <c r="E5332" s="6" t="n">
        <v>1359415.69</v>
      </c>
      <c r="F5332" s="6">
        <f>ROUND(E5332-E5331,2)</f>
        <v/>
      </c>
      <c r="G5332" s="6">
        <f>ROUND(F5332-D5332,2)</f>
        <v/>
      </c>
    </row>
    <row r="5333">
      <c r="A5333" t="inlineStr">
        <is>
          <t>2023-03-04</t>
        </is>
      </c>
      <c r="B5333" t="n">
        <v>3</v>
      </c>
      <c r="C5333" t="n">
        <v>3139</v>
      </c>
      <c r="D5333" s="6" t="n">
        <v>53.75</v>
      </c>
      <c r="E5333" s="6" t="n">
        <v>1359469.44</v>
      </c>
      <c r="F5333" s="6">
        <f>ROUND(E5333-E5332,2)</f>
        <v/>
      </c>
      <c r="G5333" s="6">
        <f>ROUND(F5333-D5333,2)</f>
        <v/>
      </c>
    </row>
    <row r="5334">
      <c r="A5334" t="inlineStr">
        <is>
          <t>2023-03-04</t>
        </is>
      </c>
      <c r="B5334" t="n">
        <v>4</v>
      </c>
      <c r="C5334" t="n">
        <v>3139</v>
      </c>
      <c r="D5334" s="6" t="n">
        <v>53.75</v>
      </c>
      <c r="E5334" s="6" t="n">
        <v>1359523.19</v>
      </c>
      <c r="F5334" s="6">
        <f>ROUND(E5334-E5333,2)</f>
        <v/>
      </c>
      <c r="G5334" s="6">
        <f>ROUND(F5334-D5334,2)</f>
        <v/>
      </c>
    </row>
    <row r="5335">
      <c r="A5335" t="inlineStr">
        <is>
          <t>2023-03-04</t>
        </is>
      </c>
      <c r="B5335" t="n">
        <v>5</v>
      </c>
      <c r="C5335" t="n">
        <v>3139</v>
      </c>
      <c r="D5335" s="6" t="n">
        <v>79.59999999999999</v>
      </c>
      <c r="E5335" s="6" t="n">
        <v>1359602.79</v>
      </c>
      <c r="F5335" s="6">
        <f>ROUND(E5335-E5334,2)</f>
        <v/>
      </c>
      <c r="G5335" s="6">
        <f>ROUND(F5335-D5335,2)</f>
        <v/>
      </c>
    </row>
    <row r="5336">
      <c r="A5336" t="inlineStr">
        <is>
          <t>2023-03-04</t>
        </is>
      </c>
      <c r="B5336" t="n">
        <v>6</v>
      </c>
      <c r="C5336" t="n">
        <v>3139</v>
      </c>
      <c r="D5336" s="6" t="n">
        <v>104.3</v>
      </c>
      <c r="E5336" s="6" t="n">
        <v>1359707.09</v>
      </c>
      <c r="F5336" s="6">
        <f>ROUND(E5336-E5335,2)</f>
        <v/>
      </c>
      <c r="G5336" s="6">
        <f>ROUND(F5336-D5336,2)</f>
        <v/>
      </c>
    </row>
    <row r="5337">
      <c r="A5337" t="inlineStr">
        <is>
          <t>2023-03-04</t>
        </is>
      </c>
      <c r="B5337" t="n">
        <v>7</v>
      </c>
      <c r="C5337" t="n">
        <v>3139</v>
      </c>
      <c r="D5337" s="6" t="n">
        <v>78.09999999999999</v>
      </c>
      <c r="E5337" s="6" t="n">
        <v>1359785.19</v>
      </c>
      <c r="F5337" s="6">
        <f>ROUND(E5337-E5336,2)</f>
        <v/>
      </c>
      <c r="G5337" s="6">
        <f>ROUND(F5337-D5337,2)</f>
        <v/>
      </c>
    </row>
    <row r="5338">
      <c r="A5338" t="inlineStr">
        <is>
          <t>2023-03-04</t>
        </is>
      </c>
      <c r="B5338" t="n">
        <v>8</v>
      </c>
      <c r="C5338" t="n">
        <v>3139</v>
      </c>
      <c r="D5338" s="6" t="n">
        <v>25</v>
      </c>
      <c r="E5338" s="6" t="n">
        <v>1359810.19</v>
      </c>
      <c r="F5338" s="6">
        <f>ROUND(E5338-E5337,2)</f>
        <v/>
      </c>
      <c r="G5338" s="6">
        <f>ROUND(F5338-D5338,2)</f>
        <v/>
      </c>
    </row>
    <row r="5339">
      <c r="A5339" t="inlineStr">
        <is>
          <t>2023-03-04</t>
        </is>
      </c>
      <c r="B5339" t="n">
        <v>9</v>
      </c>
      <c r="C5339" t="n">
        <v>3139</v>
      </c>
      <c r="D5339" s="6" t="n">
        <v>25</v>
      </c>
      <c r="E5339" s="6" t="n">
        <v>1359835.19</v>
      </c>
      <c r="F5339" s="6">
        <f>ROUND(E5339-E5338,2)</f>
        <v/>
      </c>
      <c r="G5339" s="6">
        <f>ROUND(F5339-D5339,2)</f>
        <v/>
      </c>
    </row>
    <row r="5340">
      <c r="A5340" t="inlineStr">
        <is>
          <t>2023-03-04</t>
        </is>
      </c>
      <c r="B5340" t="n">
        <v>10</v>
      </c>
      <c r="C5340" t="n">
        <v>3139</v>
      </c>
      <c r="D5340" s="6" t="n">
        <v>82.59999999999999</v>
      </c>
      <c r="E5340" s="6" t="n">
        <v>1359917.79</v>
      </c>
      <c r="F5340" s="6">
        <f>ROUND(E5340-E5339,2)</f>
        <v/>
      </c>
      <c r="G5340" s="6">
        <f>ROUND(F5340-D5340,2)</f>
        <v/>
      </c>
    </row>
    <row r="5341">
      <c r="A5341" t="inlineStr">
        <is>
          <t>2023-03-04</t>
        </is>
      </c>
      <c r="B5341" t="n">
        <v>11</v>
      </c>
      <c r="C5341" t="n">
        <v>3139</v>
      </c>
      <c r="D5341" s="6" t="n">
        <v>121.2</v>
      </c>
      <c r="E5341" s="6" t="n">
        <v>1360038.99</v>
      </c>
      <c r="F5341" s="6">
        <f>ROUND(E5341-E5340,2)</f>
        <v/>
      </c>
      <c r="G5341" s="6">
        <f>ROUND(F5341-D5341,2)</f>
        <v/>
      </c>
    </row>
    <row r="5342">
      <c r="A5342" t="inlineStr">
        <is>
          <t>2023-03-04</t>
        </is>
      </c>
      <c r="B5342" t="n">
        <v>12</v>
      </c>
      <c r="C5342" t="n">
        <v>3139</v>
      </c>
      <c r="D5342" s="6" t="n">
        <v>47.6</v>
      </c>
      <c r="E5342" s="6" t="n">
        <v>1360086.59</v>
      </c>
      <c r="F5342" s="6">
        <f>ROUND(E5342-E5341,2)</f>
        <v/>
      </c>
      <c r="G5342" s="6">
        <f>ROUND(F5342-D5342,2)</f>
        <v/>
      </c>
    </row>
    <row r="5343">
      <c r="A5343" t="inlineStr">
        <is>
          <t>2023-03-04</t>
        </is>
      </c>
      <c r="B5343" t="n">
        <v>13</v>
      </c>
      <c r="C5343" t="n">
        <v>3139</v>
      </c>
      <c r="D5343" s="6" t="n">
        <v>37.3</v>
      </c>
      <c r="E5343" s="6" t="n">
        <v>1360123.89</v>
      </c>
      <c r="F5343" s="6">
        <f>ROUND(E5343-E5342,2)</f>
        <v/>
      </c>
      <c r="G5343" s="6">
        <f>ROUND(F5343-D5343,2)</f>
        <v/>
      </c>
    </row>
    <row r="5344">
      <c r="A5344" t="inlineStr">
        <is>
          <t>2023-03-04</t>
        </is>
      </c>
      <c r="B5344" t="n">
        <v>14</v>
      </c>
      <c r="C5344" t="n">
        <v>3139</v>
      </c>
      <c r="D5344" s="6" t="n">
        <v>30.35</v>
      </c>
      <c r="E5344" s="6" t="n">
        <v>1360154.24</v>
      </c>
      <c r="F5344" s="6">
        <f>ROUND(E5344-E5343,2)</f>
        <v/>
      </c>
      <c r="G5344" s="6">
        <f>ROUND(F5344-D5344,2)</f>
        <v/>
      </c>
    </row>
    <row r="5345">
      <c r="A5345" t="inlineStr">
        <is>
          <t>2023-03-04</t>
        </is>
      </c>
      <c r="B5345" t="n">
        <v>15</v>
      </c>
      <c r="C5345" t="n">
        <v>3139</v>
      </c>
      <c r="D5345" s="6" t="n">
        <v>30.35</v>
      </c>
      <c r="E5345" s="6" t="n">
        <v>1360184.59</v>
      </c>
      <c r="F5345" s="6">
        <f>ROUND(E5345-E5344,2)</f>
        <v/>
      </c>
      <c r="G5345" s="6">
        <f>ROUND(F5345-D5345,2)</f>
        <v/>
      </c>
    </row>
    <row r="5346">
      <c r="A5346" t="inlineStr">
        <is>
          <t>2023-03-04</t>
        </is>
      </c>
      <c r="B5346" t="n">
        <v>16</v>
      </c>
      <c r="C5346" t="n">
        <v>3139</v>
      </c>
      <c r="D5346" s="6" t="n">
        <v>142.7</v>
      </c>
      <c r="E5346" s="6" t="n">
        <v>1360327.29</v>
      </c>
      <c r="F5346" s="6">
        <f>ROUND(E5346-E5345,2)</f>
        <v/>
      </c>
      <c r="G5346" s="6">
        <f>ROUND(F5346-D5346,2)</f>
        <v/>
      </c>
    </row>
    <row r="5347">
      <c r="A5347" t="inlineStr">
        <is>
          <t>2023-03-04</t>
        </is>
      </c>
      <c r="B5347" t="n">
        <v>17</v>
      </c>
      <c r="C5347" t="n">
        <v>3139</v>
      </c>
      <c r="D5347" s="6" t="n">
        <v>61.5</v>
      </c>
      <c r="E5347" s="6" t="n">
        <v>1360388.79</v>
      </c>
      <c r="F5347" s="6">
        <f>ROUND(E5347-E5346,2)</f>
        <v/>
      </c>
      <c r="G5347" s="6">
        <f>ROUND(F5347-D5347,2)</f>
        <v/>
      </c>
    </row>
    <row r="5348">
      <c r="A5348" t="inlineStr">
        <is>
          <t>2023-03-04</t>
        </is>
      </c>
      <c r="B5348" t="n">
        <v>18</v>
      </c>
      <c r="C5348" t="n">
        <v>3139</v>
      </c>
      <c r="D5348" s="6" t="n">
        <v>53.6</v>
      </c>
      <c r="E5348" s="6" t="n">
        <v>1360442.39</v>
      </c>
      <c r="F5348" s="6">
        <f>ROUND(E5348-E5347,2)</f>
        <v/>
      </c>
      <c r="G5348" s="6">
        <f>ROUND(F5348-D5348,2)</f>
        <v/>
      </c>
    </row>
    <row r="5349">
      <c r="A5349" t="inlineStr">
        <is>
          <t>2023-03-04</t>
        </is>
      </c>
      <c r="B5349" t="n">
        <v>19</v>
      </c>
      <c r="C5349" t="n">
        <v>3139</v>
      </c>
      <c r="D5349" s="6" t="n">
        <v>69.40000000000001</v>
      </c>
      <c r="E5349" s="6" t="n">
        <v>1360511.79</v>
      </c>
      <c r="F5349" s="6">
        <f>ROUND(E5349-E5348,2)</f>
        <v/>
      </c>
      <c r="G5349" s="6">
        <f>ROUND(F5349-D5349,2)</f>
        <v/>
      </c>
    </row>
    <row r="5350">
      <c r="A5350" t="inlineStr">
        <is>
          <t>2023-03-04</t>
        </is>
      </c>
      <c r="B5350" t="n">
        <v>20</v>
      </c>
      <c r="C5350" t="n">
        <v>3139</v>
      </c>
      <c r="D5350" s="6" t="n">
        <v>75.2</v>
      </c>
      <c r="E5350" s="6" t="n">
        <v>1360586.99</v>
      </c>
      <c r="F5350" s="6">
        <f>ROUND(E5350-E5349,2)</f>
        <v/>
      </c>
      <c r="G5350" s="6">
        <f>ROUND(F5350-D5350,2)</f>
        <v/>
      </c>
    </row>
    <row r="5351">
      <c r="A5351" t="inlineStr">
        <is>
          <t>2023-03-04</t>
        </is>
      </c>
      <c r="B5351" t="n">
        <v>21</v>
      </c>
      <c r="C5351" t="n">
        <v>3139</v>
      </c>
      <c r="D5351" s="6" t="n">
        <v>16.1</v>
      </c>
      <c r="E5351" s="6" t="n">
        <v>1360603.09</v>
      </c>
      <c r="F5351" s="6">
        <f>ROUND(E5351-E5350,2)</f>
        <v/>
      </c>
      <c r="G5351" s="6">
        <f>ROUND(F5351-D5351,2)</f>
        <v/>
      </c>
    </row>
    <row r="5352">
      <c r="A5352" t="inlineStr">
        <is>
          <t>2023-03-04</t>
        </is>
      </c>
      <c r="B5352" t="n">
        <v>22</v>
      </c>
      <c r="C5352" t="n">
        <v>3139</v>
      </c>
      <c r="D5352" s="6" t="n">
        <v>35.2</v>
      </c>
      <c r="E5352" s="6" t="n">
        <v>1360638.29</v>
      </c>
      <c r="F5352" s="6">
        <f>ROUND(E5352-E5351,2)</f>
        <v/>
      </c>
      <c r="G5352" s="6">
        <f>ROUND(F5352-D5352,2)</f>
        <v/>
      </c>
    </row>
    <row r="5353">
      <c r="A5353" t="inlineStr">
        <is>
          <t>2023-03-04</t>
        </is>
      </c>
      <c r="B5353" t="n">
        <v>23</v>
      </c>
      <c r="C5353" t="n">
        <v>3139</v>
      </c>
      <c r="D5353" s="6" t="n">
        <v>75.8</v>
      </c>
      <c r="E5353" s="6" t="n">
        <v>1360714.09</v>
      </c>
      <c r="F5353" s="6">
        <f>ROUND(E5353-E5352,2)</f>
        <v/>
      </c>
      <c r="G5353" s="6">
        <f>ROUND(F5353-D5353,2)</f>
        <v/>
      </c>
    </row>
    <row r="5354">
      <c r="A5354" t="inlineStr">
        <is>
          <t>2023-03-04</t>
        </is>
      </c>
      <c r="B5354" t="n">
        <v>24</v>
      </c>
      <c r="C5354" t="n">
        <v>3139</v>
      </c>
      <c r="D5354" s="6" t="n">
        <v>59.9</v>
      </c>
      <c r="E5354" s="6" t="n">
        <v>1360773.99</v>
      </c>
      <c r="F5354" s="6">
        <f>ROUND(E5354-E5353,2)</f>
        <v/>
      </c>
      <c r="G5354" s="6">
        <f>ROUND(F5354-D5354,2)</f>
        <v/>
      </c>
    </row>
    <row r="5355">
      <c r="A5355" t="inlineStr">
        <is>
          <t>2023-03-04</t>
        </is>
      </c>
      <c r="B5355" t="n">
        <v>25</v>
      </c>
      <c r="C5355" t="n">
        <v>3139</v>
      </c>
      <c r="D5355" s="6" t="n">
        <v>77.08</v>
      </c>
      <c r="E5355" s="6" t="n">
        <v>1360851.07</v>
      </c>
      <c r="F5355" s="6">
        <f>ROUND(E5355-E5354,2)</f>
        <v/>
      </c>
      <c r="G5355" s="6">
        <f>ROUND(F5355-D5355,2)</f>
        <v/>
      </c>
    </row>
    <row r="5356">
      <c r="A5356" t="inlineStr">
        <is>
          <t>2023-03-04</t>
        </is>
      </c>
      <c r="B5356" t="n">
        <v>26</v>
      </c>
      <c r="C5356" t="n">
        <v>3139</v>
      </c>
      <c r="D5356" s="6" t="n">
        <v>38.54</v>
      </c>
      <c r="E5356" s="6" t="n">
        <v>1360889.61</v>
      </c>
      <c r="F5356" s="6">
        <f>ROUND(E5356-E5355,2)</f>
        <v/>
      </c>
      <c r="G5356" s="6">
        <f>ROUND(F5356-D5356,2)</f>
        <v/>
      </c>
    </row>
    <row r="5357">
      <c r="A5357" t="inlineStr">
        <is>
          <t>2023-03-04</t>
        </is>
      </c>
      <c r="B5357" t="n">
        <v>27</v>
      </c>
      <c r="C5357" t="n">
        <v>3139</v>
      </c>
      <c r="D5357" s="6" t="n">
        <v>38.54</v>
      </c>
      <c r="E5357" s="6" t="n">
        <v>1360928.15</v>
      </c>
      <c r="F5357" s="6">
        <f>ROUND(E5357-E5356,2)</f>
        <v/>
      </c>
      <c r="G5357" s="6">
        <f>ROUND(F5357-D5357,2)</f>
        <v/>
      </c>
    </row>
    <row r="5358">
      <c r="A5358" t="inlineStr">
        <is>
          <t>2023-03-04</t>
        </is>
      </c>
      <c r="B5358" t="n">
        <v>28</v>
      </c>
      <c r="C5358" t="n">
        <v>3139</v>
      </c>
      <c r="D5358" s="6" t="n">
        <v>38.54</v>
      </c>
      <c r="E5358" s="6" t="n">
        <v>1360966.69</v>
      </c>
      <c r="F5358" s="6">
        <f>ROUND(E5358-E5357,2)</f>
        <v/>
      </c>
      <c r="G5358" s="6">
        <f>ROUND(F5358-D5358,2)</f>
        <v/>
      </c>
    </row>
    <row r="5359">
      <c r="A5359" t="inlineStr">
        <is>
          <t>2023-03-04</t>
        </is>
      </c>
      <c r="B5359" t="n">
        <v>29</v>
      </c>
      <c r="C5359" t="n">
        <v>3139</v>
      </c>
      <c r="D5359" s="6" t="n">
        <v>176.8</v>
      </c>
      <c r="E5359" s="6" t="n">
        <v>1361143.49</v>
      </c>
      <c r="F5359" s="6">
        <f>ROUND(E5359-E5358,2)</f>
        <v/>
      </c>
      <c r="G5359" s="6">
        <f>ROUND(F5359-D5359,2)</f>
        <v/>
      </c>
    </row>
    <row r="5360">
      <c r="A5360" t="inlineStr">
        <is>
          <t>2023-03-04</t>
        </is>
      </c>
      <c r="B5360" t="n">
        <v>30</v>
      </c>
      <c r="C5360" t="n">
        <v>3139</v>
      </c>
      <c r="D5360" s="6" t="n">
        <v>44.6</v>
      </c>
      <c r="E5360" s="6" t="n">
        <v>1361188.09</v>
      </c>
      <c r="F5360" s="6">
        <f>ROUND(E5360-E5359,2)</f>
        <v/>
      </c>
      <c r="G5360" s="6">
        <f>ROUND(F5360-D5360,2)</f>
        <v/>
      </c>
    </row>
    <row r="5361">
      <c r="A5361" t="inlineStr">
        <is>
          <t>2023-03-04</t>
        </is>
      </c>
      <c r="B5361" t="n">
        <v>31</v>
      </c>
      <c r="C5361" t="n">
        <v>3139</v>
      </c>
      <c r="D5361" s="6" t="n">
        <v>108.7</v>
      </c>
      <c r="E5361" s="6" t="n">
        <v>1361296.79</v>
      </c>
      <c r="F5361" s="6">
        <f>ROUND(E5361-E5360,2)</f>
        <v/>
      </c>
      <c r="G5361" s="6">
        <f>ROUND(F5361-D5361,2)</f>
        <v/>
      </c>
    </row>
    <row r="5362">
      <c r="A5362" t="inlineStr">
        <is>
          <t>2023-03-05</t>
        </is>
      </c>
      <c r="B5362" t="n">
        <v>1</v>
      </c>
      <c r="C5362" t="n">
        <v>3140</v>
      </c>
      <c r="D5362" s="6" t="n">
        <v>79.40000000000001</v>
      </c>
      <c r="E5362" s="6" t="n">
        <v>1361376.19</v>
      </c>
      <c r="F5362" s="6">
        <f>ROUND(E5362-E5361,2)</f>
        <v/>
      </c>
      <c r="G5362" s="6">
        <f>ROUND(F5362-D5362,2)</f>
        <v/>
      </c>
    </row>
    <row r="5363">
      <c r="A5363" t="inlineStr">
        <is>
          <t>2023-03-05</t>
        </is>
      </c>
      <c r="B5363" t="n">
        <v>2</v>
      </c>
      <c r="C5363" t="n">
        <v>3140</v>
      </c>
      <c r="D5363" s="6" t="n">
        <v>100.2</v>
      </c>
      <c r="E5363" s="6" t="n">
        <v>1361476.39</v>
      </c>
      <c r="F5363" s="6">
        <f>ROUND(E5363-E5362,2)</f>
        <v/>
      </c>
      <c r="G5363" s="6">
        <f>ROUND(F5363-D5363,2)</f>
        <v/>
      </c>
    </row>
    <row r="5364">
      <c r="A5364" t="inlineStr">
        <is>
          <t>2023-03-05</t>
        </is>
      </c>
      <c r="B5364" t="n">
        <v>3</v>
      </c>
      <c r="C5364" t="n">
        <v>3140</v>
      </c>
      <c r="D5364" s="6" t="n">
        <v>84.59999999999999</v>
      </c>
      <c r="E5364" s="6" t="n">
        <v>1361560.99</v>
      </c>
      <c r="F5364" s="6">
        <f>ROUND(E5364-E5363,2)</f>
        <v/>
      </c>
      <c r="G5364" s="6">
        <f>ROUND(F5364-D5364,2)</f>
        <v/>
      </c>
    </row>
    <row r="5365">
      <c r="A5365" t="inlineStr">
        <is>
          <t>2023-03-05</t>
        </is>
      </c>
      <c r="B5365" t="n">
        <v>4</v>
      </c>
      <c r="C5365" t="n">
        <v>3140</v>
      </c>
      <c r="D5365" s="6" t="n">
        <v>91.09999999999999</v>
      </c>
      <c r="E5365" s="6" t="n">
        <v>1361652.09</v>
      </c>
      <c r="F5365" s="6">
        <f>ROUND(E5365-E5364,2)</f>
        <v/>
      </c>
      <c r="G5365" s="6">
        <f>ROUND(F5365-D5365,2)</f>
        <v/>
      </c>
    </row>
    <row r="5366">
      <c r="A5366" t="inlineStr">
        <is>
          <t>2023-03-05</t>
        </is>
      </c>
      <c r="B5366" t="n">
        <v>5</v>
      </c>
      <c r="C5366" t="n">
        <v>3140</v>
      </c>
      <c r="D5366" s="6" t="n">
        <v>43.9</v>
      </c>
      <c r="E5366" s="6" t="n">
        <v>1361695.99</v>
      </c>
      <c r="F5366" s="6">
        <f>ROUND(E5366-E5365,2)</f>
        <v/>
      </c>
      <c r="G5366" s="6">
        <f>ROUND(F5366-D5366,2)</f>
        <v/>
      </c>
    </row>
    <row r="5367">
      <c r="A5367" t="inlineStr">
        <is>
          <t>2023-03-05</t>
        </is>
      </c>
      <c r="B5367" t="n">
        <v>6</v>
      </c>
      <c r="C5367" t="n">
        <v>3140</v>
      </c>
      <c r="D5367" s="6" t="n">
        <v>66.3</v>
      </c>
      <c r="E5367" s="6" t="n">
        <v>1361762.29</v>
      </c>
      <c r="F5367" s="6">
        <f>ROUND(E5367-E5366,2)</f>
        <v/>
      </c>
      <c r="G5367" s="6">
        <f>ROUND(F5367-D5367,2)</f>
        <v/>
      </c>
    </row>
    <row r="5368">
      <c r="A5368" t="inlineStr">
        <is>
          <t>2023-03-05</t>
        </is>
      </c>
      <c r="B5368" t="n">
        <v>7</v>
      </c>
      <c r="C5368" t="n">
        <v>3140</v>
      </c>
      <c r="D5368" s="6" t="n">
        <v>43.9</v>
      </c>
      <c r="E5368" s="6" t="n">
        <v>1361806.19</v>
      </c>
      <c r="F5368" s="6">
        <f>ROUND(E5368-E5367,2)</f>
        <v/>
      </c>
      <c r="G5368" s="6">
        <f>ROUND(F5368-D5368,2)</f>
        <v/>
      </c>
    </row>
    <row r="5369">
      <c r="A5369" t="inlineStr">
        <is>
          <t>2023-03-05</t>
        </is>
      </c>
      <c r="B5369" t="n">
        <v>8</v>
      </c>
      <c r="C5369" t="n">
        <v>3140</v>
      </c>
      <c r="D5369" s="6" t="n">
        <v>98.90000000000001</v>
      </c>
      <c r="E5369" s="6" t="n">
        <v>1361905.09</v>
      </c>
      <c r="F5369" s="6">
        <f>ROUND(E5369-E5368,2)</f>
        <v/>
      </c>
      <c r="G5369" s="6">
        <f>ROUND(F5369-D5369,2)</f>
        <v/>
      </c>
    </row>
    <row r="5370">
      <c r="A5370" t="inlineStr">
        <is>
          <t>2023-03-05</t>
        </is>
      </c>
      <c r="B5370" t="n">
        <v>9</v>
      </c>
      <c r="C5370" t="n">
        <v>3140</v>
      </c>
      <c r="D5370" s="6" t="n">
        <v>120.5</v>
      </c>
      <c r="E5370" s="6" t="n">
        <v>1362025.59</v>
      </c>
      <c r="F5370" s="6">
        <f>ROUND(E5370-E5369,2)</f>
        <v/>
      </c>
      <c r="G5370" s="6">
        <f>ROUND(F5370-D5370,2)</f>
        <v/>
      </c>
    </row>
    <row r="5371">
      <c r="A5371" t="inlineStr">
        <is>
          <t>2023-03-05</t>
        </is>
      </c>
      <c r="B5371" t="n">
        <v>10</v>
      </c>
      <c r="C5371" t="n">
        <v>3140</v>
      </c>
      <c r="D5371" s="6" t="n">
        <v>170.6</v>
      </c>
      <c r="E5371" s="6" t="n">
        <v>1362196.19</v>
      </c>
      <c r="F5371" s="6">
        <f>ROUND(E5371-E5370,2)</f>
        <v/>
      </c>
      <c r="G5371" s="6">
        <f>ROUND(F5371-D5371,2)</f>
        <v/>
      </c>
    </row>
    <row r="5372">
      <c r="A5372" t="inlineStr">
        <is>
          <t>2023-03-05</t>
        </is>
      </c>
      <c r="B5372" t="n">
        <v>11</v>
      </c>
      <c r="C5372" t="n">
        <v>3140</v>
      </c>
      <c r="D5372" s="6" t="n">
        <v>116.8</v>
      </c>
      <c r="E5372" s="6" t="n">
        <v>1362312.99</v>
      </c>
      <c r="F5372" s="6">
        <f>ROUND(E5372-E5371,2)</f>
        <v/>
      </c>
      <c r="G5372" s="6">
        <f>ROUND(F5372-D5372,2)</f>
        <v/>
      </c>
    </row>
    <row r="5373">
      <c r="A5373" t="inlineStr">
        <is>
          <t>2023-03-05</t>
        </is>
      </c>
      <c r="B5373" t="n">
        <v>12</v>
      </c>
      <c r="C5373" t="n">
        <v>3140</v>
      </c>
      <c r="D5373" s="6" t="n">
        <v>116.8</v>
      </c>
      <c r="E5373" s="6" t="n">
        <v>1362429.79</v>
      </c>
      <c r="F5373" s="6">
        <f>ROUND(E5373-E5372,2)</f>
        <v/>
      </c>
      <c r="G5373" s="6">
        <f>ROUND(F5373-D5373,2)</f>
        <v/>
      </c>
    </row>
    <row r="5374">
      <c r="A5374" t="inlineStr">
        <is>
          <t>2023-03-08</t>
        </is>
      </c>
      <c r="B5374" t="n">
        <v>1</v>
      </c>
      <c r="C5374" t="n">
        <v>3141</v>
      </c>
      <c r="D5374" s="6" t="n">
        <v>45.9</v>
      </c>
      <c r="E5374" s="6" t="n">
        <v>1362475.69</v>
      </c>
      <c r="F5374" s="6">
        <f>ROUND(E5374-E5373,2)</f>
        <v/>
      </c>
      <c r="G5374" s="6">
        <f>ROUND(F5374-D5374,2)</f>
        <v/>
      </c>
    </row>
    <row r="5375">
      <c r="A5375" t="inlineStr">
        <is>
          <t>2023-03-08</t>
        </is>
      </c>
      <c r="B5375" t="n">
        <v>2</v>
      </c>
      <c r="C5375" t="n">
        <v>3141</v>
      </c>
      <c r="D5375" s="6" t="n">
        <v>23.7</v>
      </c>
      <c r="E5375" s="6" t="n">
        <v>1362499.39</v>
      </c>
      <c r="F5375" s="6">
        <f>ROUND(E5375-E5374,2)</f>
        <v/>
      </c>
      <c r="G5375" s="6">
        <f>ROUND(F5375-D5375,2)</f>
        <v/>
      </c>
    </row>
    <row r="5376">
      <c r="A5376" t="inlineStr">
        <is>
          <t>2023-03-08</t>
        </is>
      </c>
      <c r="B5376" t="n">
        <v>3</v>
      </c>
      <c r="C5376" t="n">
        <v>3141</v>
      </c>
      <c r="D5376" s="6" t="n">
        <v>72.90000000000001</v>
      </c>
      <c r="E5376" s="6" t="n">
        <v>1362572.29</v>
      </c>
      <c r="F5376" s="6">
        <f>ROUND(E5376-E5375,2)</f>
        <v/>
      </c>
      <c r="G5376" s="6">
        <f>ROUND(F5376-D5376,2)</f>
        <v/>
      </c>
    </row>
    <row r="5377">
      <c r="A5377" t="inlineStr">
        <is>
          <t>2023-03-08</t>
        </is>
      </c>
      <c r="B5377" t="n">
        <v>4</v>
      </c>
      <c r="C5377" t="n">
        <v>3141</v>
      </c>
      <c r="D5377" s="6" t="n">
        <v>34</v>
      </c>
      <c r="E5377" s="6" t="n">
        <v>1362606.29</v>
      </c>
      <c r="F5377" s="6">
        <f>ROUND(E5377-E5376,2)</f>
        <v/>
      </c>
      <c r="G5377" s="6">
        <f>ROUND(F5377-D5377,2)</f>
        <v/>
      </c>
    </row>
    <row r="5378">
      <c r="A5378" t="inlineStr">
        <is>
          <t>2023-03-08</t>
        </is>
      </c>
      <c r="B5378" t="n">
        <v>5</v>
      </c>
      <c r="C5378" t="n">
        <v>3141</v>
      </c>
      <c r="D5378" s="6" t="n">
        <v>64.5</v>
      </c>
      <c r="E5378" s="6" t="n">
        <v>1362670.79</v>
      </c>
      <c r="F5378" s="6">
        <f>ROUND(E5378-E5377,2)</f>
        <v/>
      </c>
      <c r="G5378" s="6">
        <f>ROUND(F5378-D5378,2)</f>
        <v/>
      </c>
    </row>
    <row r="5379">
      <c r="A5379" t="inlineStr">
        <is>
          <t>2023-03-08</t>
        </is>
      </c>
      <c r="B5379" t="n">
        <v>6</v>
      </c>
      <c r="C5379" t="n">
        <v>3141</v>
      </c>
      <c r="D5379" s="6" t="n">
        <v>49.4</v>
      </c>
      <c r="E5379" s="6" t="n">
        <v>1362720.19</v>
      </c>
      <c r="F5379" s="6">
        <f>ROUND(E5379-E5378,2)</f>
        <v/>
      </c>
      <c r="G5379" s="6">
        <f>ROUND(F5379-D5379,2)</f>
        <v/>
      </c>
    </row>
    <row r="5380">
      <c r="A5380" t="inlineStr">
        <is>
          <t>2023-03-08</t>
        </is>
      </c>
      <c r="B5380" t="n">
        <v>7</v>
      </c>
      <c r="C5380" t="n">
        <v>3141</v>
      </c>
      <c r="D5380" s="6" t="n">
        <v>23.8</v>
      </c>
      <c r="E5380" s="6" t="n">
        <v>1362743.99</v>
      </c>
      <c r="F5380" s="6">
        <f>ROUND(E5380-E5379,2)</f>
        <v/>
      </c>
      <c r="G5380" s="6">
        <f>ROUND(F5380-D5380,2)</f>
        <v/>
      </c>
    </row>
    <row r="5381">
      <c r="A5381" t="inlineStr">
        <is>
          <t>2023-03-08</t>
        </is>
      </c>
      <c r="B5381" t="n">
        <v>8</v>
      </c>
      <c r="C5381" t="n">
        <v>3141</v>
      </c>
      <c r="D5381" s="6" t="n">
        <v>24.9</v>
      </c>
      <c r="E5381" s="6" t="n">
        <v>1362768.89</v>
      </c>
      <c r="F5381" s="6">
        <f>ROUND(E5381-E5380,2)</f>
        <v/>
      </c>
      <c r="G5381" s="6">
        <f>ROUND(F5381-D5381,2)</f>
        <v/>
      </c>
    </row>
    <row r="5382">
      <c r="A5382" t="inlineStr">
        <is>
          <t>2023-03-08</t>
        </is>
      </c>
      <c r="B5382" t="n">
        <v>9</v>
      </c>
      <c r="C5382" t="n">
        <v>3141</v>
      </c>
      <c r="D5382" s="6" t="n">
        <v>19.9</v>
      </c>
      <c r="E5382" s="6" t="n">
        <v>1362788.79</v>
      </c>
      <c r="F5382" s="6">
        <f>ROUND(E5382-E5381,2)</f>
        <v/>
      </c>
      <c r="G5382" s="6">
        <f>ROUND(F5382-D5382,2)</f>
        <v/>
      </c>
    </row>
    <row r="5383">
      <c r="A5383" t="inlineStr">
        <is>
          <t>2023-03-08</t>
        </is>
      </c>
      <c r="B5383" t="n">
        <v>10</v>
      </c>
      <c r="C5383" t="n">
        <v>3141</v>
      </c>
      <c r="D5383" s="6" t="n">
        <v>45.6</v>
      </c>
      <c r="E5383" s="6" t="n">
        <v>1362834.39</v>
      </c>
      <c r="F5383" s="6">
        <f>ROUND(E5383-E5382,2)</f>
        <v/>
      </c>
      <c r="G5383" s="6">
        <f>ROUND(F5383-D5383,2)</f>
        <v/>
      </c>
    </row>
    <row r="5384">
      <c r="A5384" t="inlineStr">
        <is>
          <t>2023-03-08</t>
        </is>
      </c>
      <c r="B5384" t="n">
        <v>11</v>
      </c>
      <c r="C5384" t="n">
        <v>3141</v>
      </c>
      <c r="D5384" s="6" t="n">
        <v>36.55</v>
      </c>
      <c r="E5384" s="6" t="n">
        <v>1362870.94</v>
      </c>
      <c r="F5384" s="6">
        <f>ROUND(E5384-E5383,2)</f>
        <v/>
      </c>
      <c r="G5384" s="6">
        <f>ROUND(F5384-D5384,2)</f>
        <v/>
      </c>
    </row>
    <row r="5385">
      <c r="A5385" t="inlineStr">
        <is>
          <t>2023-03-08</t>
        </is>
      </c>
      <c r="B5385" t="n">
        <v>12</v>
      </c>
      <c r="C5385" t="n">
        <v>3141</v>
      </c>
      <c r="D5385" s="6" t="n">
        <v>36.55</v>
      </c>
      <c r="E5385" s="6" t="n">
        <v>1362907.49</v>
      </c>
      <c r="F5385" s="6">
        <f>ROUND(E5385-E5384,2)</f>
        <v/>
      </c>
      <c r="G5385" s="6">
        <f>ROUND(F5385-D5385,2)</f>
        <v/>
      </c>
    </row>
    <row r="5386">
      <c r="A5386" t="inlineStr">
        <is>
          <t>2023-03-08</t>
        </is>
      </c>
      <c r="B5386" t="n">
        <v>13</v>
      </c>
      <c r="C5386" t="n">
        <v>3141</v>
      </c>
      <c r="D5386" s="6" t="n">
        <v>36.44</v>
      </c>
      <c r="E5386" s="6" t="n">
        <v>1362943.93</v>
      </c>
      <c r="F5386" s="6">
        <f>ROUND(E5386-E5385,2)</f>
        <v/>
      </c>
      <c r="G5386" s="6">
        <f>ROUND(F5386-D5386,2)</f>
        <v/>
      </c>
    </row>
    <row r="5387">
      <c r="A5387" t="inlineStr">
        <is>
          <t>2023-03-08</t>
        </is>
      </c>
      <c r="B5387" t="n">
        <v>14</v>
      </c>
      <c r="C5387" t="n">
        <v>3141</v>
      </c>
      <c r="D5387" s="6" t="n">
        <v>36.44</v>
      </c>
      <c r="E5387" s="6" t="n">
        <v>1362980.37</v>
      </c>
      <c r="F5387" s="6">
        <f>ROUND(E5387-E5386,2)</f>
        <v/>
      </c>
      <c r="G5387" s="6">
        <f>ROUND(F5387-D5387,2)</f>
        <v/>
      </c>
    </row>
    <row r="5388">
      <c r="A5388" t="inlineStr">
        <is>
          <t>2023-03-08</t>
        </is>
      </c>
      <c r="B5388" t="n">
        <v>15</v>
      </c>
      <c r="C5388" t="n">
        <v>3141</v>
      </c>
      <c r="D5388" s="6" t="n">
        <v>36.44</v>
      </c>
      <c r="E5388" s="6" t="n">
        <v>1363016.81</v>
      </c>
      <c r="F5388" s="6">
        <f>ROUND(E5388-E5387,2)</f>
        <v/>
      </c>
      <c r="G5388" s="6">
        <f>ROUND(F5388-D5388,2)</f>
        <v/>
      </c>
    </row>
    <row r="5389">
      <c r="A5389" t="inlineStr">
        <is>
          <t>2023-03-08</t>
        </is>
      </c>
      <c r="B5389" t="n">
        <v>16</v>
      </c>
      <c r="C5389" t="n">
        <v>3141</v>
      </c>
      <c r="D5389" s="6" t="n">
        <v>36.44</v>
      </c>
      <c r="E5389" s="6" t="n">
        <v>1363053.25</v>
      </c>
      <c r="F5389" s="6">
        <f>ROUND(E5389-E5388,2)</f>
        <v/>
      </c>
      <c r="G5389" s="6">
        <f>ROUND(F5389-D5389,2)</f>
        <v/>
      </c>
    </row>
    <row r="5390">
      <c r="A5390" t="inlineStr">
        <is>
          <t>2023-03-08</t>
        </is>
      </c>
      <c r="B5390" t="n">
        <v>17</v>
      </c>
      <c r="C5390" t="n">
        <v>3141</v>
      </c>
      <c r="D5390" s="6" t="n">
        <v>36.44</v>
      </c>
      <c r="E5390" s="6" t="n">
        <v>1363089.69</v>
      </c>
      <c r="F5390" s="6">
        <f>ROUND(E5390-E5389,2)</f>
        <v/>
      </c>
      <c r="G5390" s="6">
        <f>ROUND(F5390-D5390,2)</f>
        <v/>
      </c>
    </row>
    <row r="5391">
      <c r="A5391" t="inlineStr">
        <is>
          <t>2023-03-08</t>
        </is>
      </c>
      <c r="B5391" t="n">
        <v>18</v>
      </c>
      <c r="C5391" t="n">
        <v>3141</v>
      </c>
      <c r="D5391" s="6" t="n">
        <v>34</v>
      </c>
      <c r="E5391" s="6" t="n">
        <v>1363123.69</v>
      </c>
      <c r="F5391" s="6">
        <f>ROUND(E5391-E5390,2)</f>
        <v/>
      </c>
      <c r="G5391" s="6">
        <f>ROUND(F5391-D5391,2)</f>
        <v/>
      </c>
    </row>
    <row r="5392">
      <c r="A5392" t="inlineStr">
        <is>
          <t>2023-03-08</t>
        </is>
      </c>
      <c r="B5392" t="n">
        <v>19</v>
      </c>
      <c r="C5392" t="n">
        <v>3141</v>
      </c>
      <c r="D5392" s="6" t="n">
        <v>27.4</v>
      </c>
      <c r="E5392" s="6" t="n">
        <v>1363151.09</v>
      </c>
      <c r="F5392" s="6">
        <f>ROUND(E5392-E5391,2)</f>
        <v/>
      </c>
      <c r="G5392" s="6">
        <f>ROUND(F5392-D5392,2)</f>
        <v/>
      </c>
    </row>
    <row r="5393">
      <c r="A5393" t="inlineStr">
        <is>
          <t>2023-03-08</t>
        </is>
      </c>
      <c r="B5393" t="n">
        <v>20</v>
      </c>
      <c r="C5393" t="n">
        <v>3141</v>
      </c>
      <c r="D5393" s="6" t="n">
        <v>13.1</v>
      </c>
      <c r="E5393" s="6" t="n">
        <v>1363164.19</v>
      </c>
      <c r="F5393" s="6">
        <f>ROUND(E5393-E5392,2)</f>
        <v/>
      </c>
      <c r="G5393" s="6">
        <f>ROUND(F5393-D5393,2)</f>
        <v/>
      </c>
    </row>
    <row r="5394">
      <c r="A5394" t="inlineStr">
        <is>
          <t>2023-03-08</t>
        </is>
      </c>
      <c r="B5394" t="n">
        <v>21</v>
      </c>
      <c r="C5394" t="n">
        <v>3141</v>
      </c>
      <c r="D5394" s="6" t="n">
        <v>27.35</v>
      </c>
      <c r="E5394" s="6" t="n">
        <v>1363191.54</v>
      </c>
      <c r="F5394" s="6">
        <f>ROUND(E5394-E5393,2)</f>
        <v/>
      </c>
      <c r="G5394" s="6">
        <f>ROUND(F5394-D5394,2)</f>
        <v/>
      </c>
    </row>
    <row r="5395">
      <c r="A5395" t="inlineStr">
        <is>
          <t>2023-03-08</t>
        </is>
      </c>
      <c r="B5395" t="n">
        <v>22</v>
      </c>
      <c r="C5395" t="n">
        <v>3141</v>
      </c>
      <c r="D5395" s="6" t="n">
        <v>27.35</v>
      </c>
      <c r="E5395" s="6" t="n">
        <v>1363218.89</v>
      </c>
      <c r="F5395" s="6">
        <f>ROUND(E5395-E5394,2)</f>
        <v/>
      </c>
      <c r="G5395" s="6">
        <f>ROUND(F5395-D5395,2)</f>
        <v/>
      </c>
    </row>
    <row r="5396">
      <c r="A5396" t="inlineStr">
        <is>
          <t>2023-03-08</t>
        </is>
      </c>
      <c r="B5396" t="n">
        <v>23</v>
      </c>
      <c r="C5396" t="n">
        <v>3141</v>
      </c>
      <c r="D5396" s="6" t="n">
        <v>116</v>
      </c>
      <c r="E5396" s="6" t="n">
        <v>1363334.89</v>
      </c>
      <c r="F5396" s="6">
        <f>ROUND(E5396-E5395,2)</f>
        <v/>
      </c>
      <c r="G5396" s="6">
        <f>ROUND(F5396-D5396,2)</f>
        <v/>
      </c>
    </row>
    <row r="5397">
      <c r="A5397" t="inlineStr">
        <is>
          <t>2023-03-08</t>
        </is>
      </c>
      <c r="B5397" t="n">
        <v>24</v>
      </c>
      <c r="C5397" t="n">
        <v>3141</v>
      </c>
      <c r="D5397" s="6" t="n">
        <v>116.2</v>
      </c>
      <c r="E5397" s="6" t="n">
        <v>1363451.09</v>
      </c>
      <c r="F5397" s="6">
        <f>ROUND(E5397-E5396,2)</f>
        <v/>
      </c>
      <c r="G5397" s="6">
        <f>ROUND(F5397-D5397,2)</f>
        <v/>
      </c>
    </row>
    <row r="5398">
      <c r="A5398" t="inlineStr">
        <is>
          <t>2023-03-09</t>
        </is>
      </c>
      <c r="B5398" t="n">
        <v>1</v>
      </c>
      <c r="C5398" t="n">
        <v>3142</v>
      </c>
      <c r="D5398" s="6" t="n">
        <v>143.6</v>
      </c>
      <c r="E5398" s="6" t="n">
        <v>1363594.69</v>
      </c>
      <c r="F5398" s="6">
        <f>ROUND(E5398-E5397,2)</f>
        <v/>
      </c>
      <c r="G5398" s="6">
        <f>ROUND(F5398-D5398,2)</f>
        <v/>
      </c>
    </row>
    <row r="5399">
      <c r="A5399" t="inlineStr">
        <is>
          <t>2023-03-09</t>
        </is>
      </c>
      <c r="B5399" t="n">
        <v>2</v>
      </c>
      <c r="C5399" t="n">
        <v>3142</v>
      </c>
      <c r="D5399" s="6" t="n">
        <v>70</v>
      </c>
      <c r="E5399" s="6" t="n">
        <v>1363664.69</v>
      </c>
      <c r="F5399" s="6">
        <f>ROUND(E5399-E5398,2)</f>
        <v/>
      </c>
      <c r="G5399" s="6">
        <f>ROUND(F5399-D5399,2)</f>
        <v/>
      </c>
    </row>
    <row r="5400">
      <c r="A5400" t="inlineStr">
        <is>
          <t>2023-03-09</t>
        </is>
      </c>
      <c r="B5400" t="n">
        <v>3</v>
      </c>
      <c r="C5400" t="n">
        <v>3142</v>
      </c>
      <c r="D5400" s="6" t="n">
        <v>64.3</v>
      </c>
      <c r="E5400" s="6" t="n">
        <v>1363728.99</v>
      </c>
      <c r="F5400" s="6">
        <f>ROUND(E5400-E5399,2)</f>
        <v/>
      </c>
      <c r="G5400" s="6">
        <f>ROUND(F5400-D5400,2)</f>
        <v/>
      </c>
    </row>
    <row r="5401">
      <c r="A5401" t="inlineStr">
        <is>
          <t>2023-03-09</t>
        </is>
      </c>
      <c r="B5401" t="n">
        <v>4</v>
      </c>
      <c r="C5401" t="n">
        <v>3142</v>
      </c>
      <c r="D5401" s="6" t="n">
        <v>76.8</v>
      </c>
      <c r="E5401" s="6" t="n">
        <v>1363805.79</v>
      </c>
      <c r="F5401" s="6">
        <f>ROUND(E5401-E5400,2)</f>
        <v/>
      </c>
      <c r="G5401" s="6">
        <f>ROUND(F5401-D5401,2)</f>
        <v/>
      </c>
    </row>
    <row r="5402">
      <c r="A5402" t="inlineStr">
        <is>
          <t>2023-03-09</t>
        </is>
      </c>
      <c r="B5402" t="n">
        <v>5</v>
      </c>
      <c r="C5402" t="n">
        <v>3142</v>
      </c>
      <c r="D5402" s="6" t="n">
        <v>17</v>
      </c>
      <c r="E5402" s="6" t="n">
        <v>1363822.79</v>
      </c>
      <c r="F5402" s="6">
        <f>ROUND(E5402-E5401,2)</f>
        <v/>
      </c>
      <c r="G5402" s="6">
        <f>ROUND(F5402-D5402,2)</f>
        <v/>
      </c>
    </row>
    <row r="5403">
      <c r="A5403" t="inlineStr">
        <is>
          <t>2023-03-09</t>
        </is>
      </c>
      <c r="B5403" t="n">
        <v>6</v>
      </c>
      <c r="C5403" t="n">
        <v>3142</v>
      </c>
      <c r="D5403" s="6" t="n">
        <v>7.7</v>
      </c>
      <c r="E5403" s="6" t="n">
        <v>1363830.49</v>
      </c>
      <c r="F5403" s="6">
        <f>ROUND(E5403-E5402,2)</f>
        <v/>
      </c>
      <c r="G5403" s="6">
        <f>ROUND(F5403-D5403,2)</f>
        <v/>
      </c>
    </row>
    <row r="5404">
      <c r="A5404" t="inlineStr">
        <is>
          <t>2023-03-09</t>
        </is>
      </c>
      <c r="B5404" t="n">
        <v>7</v>
      </c>
      <c r="C5404" t="n">
        <v>3142</v>
      </c>
      <c r="D5404" s="6" t="n">
        <v>62.8</v>
      </c>
      <c r="E5404" s="6" t="n">
        <v>1363893.29</v>
      </c>
      <c r="F5404" s="6">
        <f>ROUND(E5404-E5403,2)</f>
        <v/>
      </c>
      <c r="G5404" s="6">
        <f>ROUND(F5404-D5404,2)</f>
        <v/>
      </c>
    </row>
    <row r="5405">
      <c r="A5405" t="inlineStr">
        <is>
          <t>2023-03-09</t>
        </is>
      </c>
      <c r="B5405" t="n">
        <v>8</v>
      </c>
      <c r="C5405" t="n">
        <v>3142</v>
      </c>
      <c r="D5405" s="6" t="n">
        <v>118.1</v>
      </c>
      <c r="E5405" s="6" t="n">
        <v>1364011.39</v>
      </c>
      <c r="F5405" s="6">
        <f>ROUND(E5405-E5404,2)</f>
        <v/>
      </c>
      <c r="G5405" s="6">
        <f>ROUND(F5405-D5405,2)</f>
        <v/>
      </c>
    </row>
    <row r="5406">
      <c r="A5406" t="inlineStr">
        <is>
          <t>2023-03-09</t>
        </is>
      </c>
      <c r="B5406" t="n">
        <v>9</v>
      </c>
      <c r="C5406" t="n">
        <v>3142</v>
      </c>
      <c r="D5406" s="6" t="n">
        <v>60.5</v>
      </c>
      <c r="E5406" s="6" t="n">
        <v>1364071.89</v>
      </c>
      <c r="F5406" s="6">
        <f>ROUND(E5406-E5405,2)</f>
        <v/>
      </c>
      <c r="G5406" s="6">
        <f>ROUND(F5406-D5406,2)</f>
        <v/>
      </c>
    </row>
    <row r="5407">
      <c r="A5407" t="inlineStr">
        <is>
          <t>2023-03-09</t>
        </is>
      </c>
      <c r="B5407" t="n">
        <v>10</v>
      </c>
      <c r="C5407" t="n">
        <v>3142</v>
      </c>
      <c r="D5407" s="6" t="n">
        <v>83.90000000000001</v>
      </c>
      <c r="E5407" s="6" t="n">
        <v>1364155.79</v>
      </c>
      <c r="F5407" s="6">
        <f>ROUND(E5407-E5406,2)</f>
        <v/>
      </c>
      <c r="G5407" s="6">
        <f>ROUND(F5407-D5407,2)</f>
        <v/>
      </c>
    </row>
    <row r="5408">
      <c r="A5408" t="inlineStr">
        <is>
          <t>2023-03-10</t>
        </is>
      </c>
      <c r="B5408" t="n">
        <v>1</v>
      </c>
      <c r="C5408" t="n">
        <v>3143</v>
      </c>
      <c r="D5408" s="6" t="n">
        <v>70.09999999999999</v>
      </c>
      <c r="E5408" s="6" t="n">
        <v>1364225.89</v>
      </c>
      <c r="F5408" s="6">
        <f>ROUND(E5408-E5407,2)</f>
        <v/>
      </c>
      <c r="G5408" s="6">
        <f>ROUND(F5408-D5408,2)</f>
        <v/>
      </c>
    </row>
    <row r="5409">
      <c r="A5409" t="inlineStr">
        <is>
          <t>2023-03-10</t>
        </is>
      </c>
      <c r="B5409" t="n">
        <v>2</v>
      </c>
      <c r="C5409" t="n">
        <v>3143</v>
      </c>
      <c r="D5409" s="6" t="n">
        <v>43.4</v>
      </c>
      <c r="E5409" s="6" t="n">
        <v>1364269.29</v>
      </c>
      <c r="F5409" s="6">
        <f>ROUND(E5409-E5408,2)</f>
        <v/>
      </c>
      <c r="G5409" s="6">
        <f>ROUND(F5409-D5409,2)</f>
        <v/>
      </c>
    </row>
    <row r="5410">
      <c r="A5410" t="inlineStr">
        <is>
          <t>2023-03-10</t>
        </is>
      </c>
      <c r="B5410" t="n">
        <v>3</v>
      </c>
      <c r="C5410" t="n">
        <v>3143</v>
      </c>
      <c r="D5410" s="6" t="n">
        <v>11</v>
      </c>
      <c r="E5410" s="6" t="n">
        <v>1364280.29</v>
      </c>
      <c r="F5410" s="6">
        <f>ROUND(E5410-E5409,2)</f>
        <v/>
      </c>
      <c r="G5410" s="6">
        <f>ROUND(F5410-D5410,2)</f>
        <v/>
      </c>
    </row>
    <row r="5411">
      <c r="A5411" t="inlineStr">
        <is>
          <t>2023-03-10</t>
        </is>
      </c>
      <c r="B5411" t="n">
        <v>4</v>
      </c>
      <c r="C5411" t="n">
        <v>3143</v>
      </c>
      <c r="D5411" s="6" t="n">
        <v>50.3</v>
      </c>
      <c r="E5411" s="6" t="n">
        <v>1364330.59</v>
      </c>
      <c r="F5411" s="6">
        <f>ROUND(E5411-E5410,2)</f>
        <v/>
      </c>
      <c r="G5411" s="6">
        <f>ROUND(F5411-D5411,2)</f>
        <v/>
      </c>
    </row>
    <row r="5412">
      <c r="A5412" t="inlineStr">
        <is>
          <t>2023-03-10</t>
        </is>
      </c>
      <c r="B5412" t="n">
        <v>5</v>
      </c>
      <c r="C5412" t="n">
        <v>3143</v>
      </c>
      <c r="D5412" s="6" t="n">
        <v>50.1</v>
      </c>
      <c r="E5412" s="6" t="n">
        <v>1364380.69</v>
      </c>
      <c r="F5412" s="6">
        <f>ROUND(E5412-E5411,2)</f>
        <v/>
      </c>
      <c r="G5412" s="6">
        <f>ROUND(F5412-D5412,2)</f>
        <v/>
      </c>
    </row>
    <row r="5413">
      <c r="A5413" t="inlineStr">
        <is>
          <t>2023-03-10</t>
        </is>
      </c>
      <c r="B5413" t="n">
        <v>6</v>
      </c>
      <c r="C5413" t="n">
        <v>3143</v>
      </c>
      <c r="D5413" s="6" t="n">
        <v>81</v>
      </c>
      <c r="E5413" s="6" t="n">
        <v>1364461.69</v>
      </c>
      <c r="F5413" s="6">
        <f>ROUND(E5413-E5412,2)</f>
        <v/>
      </c>
      <c r="G5413" s="6">
        <f>ROUND(F5413-D5413,2)</f>
        <v/>
      </c>
    </row>
    <row r="5414">
      <c r="A5414" t="inlineStr">
        <is>
          <t>2023-03-10</t>
        </is>
      </c>
      <c r="B5414" t="n">
        <v>7</v>
      </c>
      <c r="C5414" t="n">
        <v>3143</v>
      </c>
      <c r="D5414" s="6" t="n">
        <v>96.09999999999999</v>
      </c>
      <c r="E5414" s="6" t="n">
        <v>1364557.79</v>
      </c>
      <c r="F5414" s="6">
        <f>ROUND(E5414-E5413,2)</f>
        <v/>
      </c>
      <c r="G5414" s="6">
        <f>ROUND(F5414-D5414,2)</f>
        <v/>
      </c>
    </row>
    <row r="5415">
      <c r="A5415" t="inlineStr">
        <is>
          <t>2023-03-10</t>
        </is>
      </c>
      <c r="B5415" t="n">
        <v>8</v>
      </c>
      <c r="C5415" t="n">
        <v>3143</v>
      </c>
      <c r="D5415" s="6" t="n">
        <v>102.2</v>
      </c>
      <c r="E5415" s="6" t="n">
        <v>1364659.99</v>
      </c>
      <c r="F5415" s="6">
        <f>ROUND(E5415-E5414,2)</f>
        <v/>
      </c>
      <c r="G5415" s="6">
        <f>ROUND(F5415-D5415,2)</f>
        <v/>
      </c>
    </row>
    <row r="5416">
      <c r="A5416" t="inlineStr">
        <is>
          <t>2023-03-10</t>
        </is>
      </c>
      <c r="B5416" t="n">
        <v>9</v>
      </c>
      <c r="C5416" t="n">
        <v>3143</v>
      </c>
      <c r="D5416" s="6" t="n">
        <v>28.11</v>
      </c>
      <c r="E5416" s="6" t="n">
        <v>1364688.1</v>
      </c>
      <c r="F5416" s="6">
        <f>ROUND(E5416-E5415,2)</f>
        <v/>
      </c>
      <c r="G5416" s="6">
        <f>ROUND(F5416-D5416,2)</f>
        <v/>
      </c>
    </row>
    <row r="5417">
      <c r="A5417" t="inlineStr">
        <is>
          <t>2023-03-10</t>
        </is>
      </c>
      <c r="B5417" t="n">
        <v>10</v>
      </c>
      <c r="C5417" t="n">
        <v>3143</v>
      </c>
      <c r="D5417" s="6" t="n">
        <v>28.11</v>
      </c>
      <c r="E5417" s="6" t="n">
        <v>1364716.21</v>
      </c>
      <c r="F5417" s="6">
        <f>ROUND(E5417-E5416,2)</f>
        <v/>
      </c>
      <c r="G5417" s="6">
        <f>ROUND(F5417-D5417,2)</f>
        <v/>
      </c>
    </row>
    <row r="5418">
      <c r="A5418" t="inlineStr">
        <is>
          <t>2023-03-10</t>
        </is>
      </c>
      <c r="B5418" t="n">
        <v>11</v>
      </c>
      <c r="C5418" t="n">
        <v>3143</v>
      </c>
      <c r="D5418" s="6" t="n">
        <v>27.97</v>
      </c>
      <c r="E5418" s="6" t="n">
        <v>1364744.18</v>
      </c>
      <c r="F5418" s="6">
        <f>ROUND(E5418-E5417,2)</f>
        <v/>
      </c>
      <c r="G5418" s="6">
        <f>ROUND(F5418-D5418,2)</f>
        <v/>
      </c>
    </row>
    <row r="5419">
      <c r="A5419" t="inlineStr">
        <is>
          <t>2023-03-10</t>
        </is>
      </c>
      <c r="B5419" t="n">
        <v>12</v>
      </c>
      <c r="C5419" t="n">
        <v>3143</v>
      </c>
      <c r="D5419" s="6" t="n">
        <v>29.6</v>
      </c>
      <c r="E5419" s="6" t="n">
        <v>1364773.78</v>
      </c>
      <c r="F5419" s="6">
        <f>ROUND(E5419-E5418,2)</f>
        <v/>
      </c>
      <c r="G5419" s="6">
        <f>ROUND(F5419-D5419,2)</f>
        <v/>
      </c>
    </row>
    <row r="5420">
      <c r="A5420" t="inlineStr">
        <is>
          <t>2023-03-10</t>
        </is>
      </c>
      <c r="B5420" t="n">
        <v>13</v>
      </c>
      <c r="C5420" t="n">
        <v>3143</v>
      </c>
      <c r="D5420" s="6" t="n">
        <v>27.97</v>
      </c>
      <c r="E5420" s="6" t="n">
        <v>1364801.75</v>
      </c>
      <c r="F5420" s="6">
        <f>ROUND(E5420-E5419,2)</f>
        <v/>
      </c>
      <c r="G5420" s="6">
        <f>ROUND(F5420-D5420,2)</f>
        <v/>
      </c>
    </row>
    <row r="5421">
      <c r="A5421" t="inlineStr">
        <is>
          <t>2023-03-10</t>
        </is>
      </c>
      <c r="B5421" t="n">
        <v>14</v>
      </c>
      <c r="C5421" t="n">
        <v>3143</v>
      </c>
      <c r="D5421" s="6" t="n">
        <v>29.6</v>
      </c>
      <c r="E5421" s="6" t="n">
        <v>1364831.35</v>
      </c>
      <c r="F5421" s="6">
        <f>ROUND(E5421-E5420,2)</f>
        <v/>
      </c>
      <c r="G5421" s="6">
        <f>ROUND(F5421-D5421,2)</f>
        <v/>
      </c>
    </row>
    <row r="5422">
      <c r="A5422" t="inlineStr">
        <is>
          <t>2023-03-10</t>
        </is>
      </c>
      <c r="B5422" t="n">
        <v>15</v>
      </c>
      <c r="C5422" t="n">
        <v>3143</v>
      </c>
      <c r="D5422" s="6" t="n">
        <v>27.54</v>
      </c>
      <c r="E5422" s="6" t="n">
        <v>1364858.89</v>
      </c>
      <c r="F5422" s="6">
        <f>ROUND(E5422-E5421,2)</f>
        <v/>
      </c>
      <c r="G5422" s="6">
        <f>ROUND(F5422-D5422,2)</f>
        <v/>
      </c>
    </row>
    <row r="5423">
      <c r="A5423" t="inlineStr">
        <is>
          <t>2023-03-10</t>
        </is>
      </c>
      <c r="B5423" t="n">
        <v>16</v>
      </c>
      <c r="C5423" t="n">
        <v>3143</v>
      </c>
      <c r="D5423" s="6" t="n">
        <v>26.14</v>
      </c>
      <c r="E5423" s="6" t="n">
        <v>1364885.03</v>
      </c>
      <c r="F5423" s="6">
        <f>ROUND(E5423-E5422,2)</f>
        <v/>
      </c>
      <c r="G5423" s="6">
        <f>ROUND(F5423-D5423,2)</f>
        <v/>
      </c>
    </row>
    <row r="5424">
      <c r="A5424" t="inlineStr">
        <is>
          <t>2023-03-10</t>
        </is>
      </c>
      <c r="B5424" t="n">
        <v>17</v>
      </c>
      <c r="C5424" t="n">
        <v>3143</v>
      </c>
      <c r="D5424" s="6" t="n">
        <v>26.14</v>
      </c>
      <c r="E5424" s="6" t="n">
        <v>1364911.17</v>
      </c>
      <c r="F5424" s="6">
        <f>ROUND(E5424-E5423,2)</f>
        <v/>
      </c>
      <c r="G5424" s="6">
        <f>ROUND(F5424-D5424,2)</f>
        <v/>
      </c>
    </row>
    <row r="5425">
      <c r="A5425" t="inlineStr">
        <is>
          <t>2023-03-10</t>
        </is>
      </c>
      <c r="B5425" t="n">
        <v>18</v>
      </c>
      <c r="C5425" t="n">
        <v>3143</v>
      </c>
      <c r="D5425" s="6" t="n">
        <v>26.14</v>
      </c>
      <c r="E5425" s="6" t="n">
        <v>1364937.31</v>
      </c>
      <c r="F5425" s="6">
        <f>ROUND(E5425-E5424,2)</f>
        <v/>
      </c>
      <c r="G5425" s="6">
        <f>ROUND(F5425-D5425,2)</f>
        <v/>
      </c>
    </row>
    <row r="5426">
      <c r="A5426" t="inlineStr">
        <is>
          <t>2023-03-10</t>
        </is>
      </c>
      <c r="B5426" t="n">
        <v>19</v>
      </c>
      <c r="C5426" t="n">
        <v>3143</v>
      </c>
      <c r="D5426" s="6" t="n">
        <v>26.08</v>
      </c>
      <c r="E5426" s="6" t="n">
        <v>1364963.39</v>
      </c>
      <c r="F5426" s="6">
        <f>ROUND(E5426-E5425,2)</f>
        <v/>
      </c>
      <c r="G5426" s="6">
        <f>ROUND(F5426-D5426,2)</f>
        <v/>
      </c>
    </row>
    <row r="5427">
      <c r="A5427" t="inlineStr">
        <is>
          <t>2023-03-10</t>
        </is>
      </c>
      <c r="B5427" t="n">
        <v>20</v>
      </c>
      <c r="C5427" t="n">
        <v>3143</v>
      </c>
      <c r="D5427" s="6" t="n">
        <v>21</v>
      </c>
      <c r="E5427" s="6" t="n">
        <v>1364984.39</v>
      </c>
      <c r="F5427" s="6">
        <f>ROUND(E5427-E5426,2)</f>
        <v/>
      </c>
      <c r="G5427" s="6">
        <f>ROUND(F5427-D5427,2)</f>
        <v/>
      </c>
    </row>
    <row r="5428">
      <c r="A5428" t="inlineStr">
        <is>
          <t>2023-03-10</t>
        </is>
      </c>
      <c r="B5428" t="n">
        <v>21</v>
      </c>
      <c r="C5428" t="n">
        <v>3143</v>
      </c>
      <c r="D5428" s="6" t="n">
        <v>62.7</v>
      </c>
      <c r="E5428" s="6" t="n">
        <v>1365047.09</v>
      </c>
      <c r="F5428" s="6">
        <f>ROUND(E5428-E5427,2)</f>
        <v/>
      </c>
      <c r="G5428" s="6">
        <f>ROUND(F5428-D5428,2)</f>
        <v/>
      </c>
    </row>
    <row r="5429">
      <c r="A5429" t="inlineStr">
        <is>
          <t>2023-03-10</t>
        </is>
      </c>
      <c r="B5429" t="n">
        <v>22</v>
      </c>
      <c r="C5429" t="n">
        <v>3143</v>
      </c>
      <c r="D5429" s="6" t="n">
        <v>24.15</v>
      </c>
      <c r="E5429" s="6" t="n">
        <v>1365071.24</v>
      </c>
      <c r="F5429" s="6">
        <f>ROUND(E5429-E5428,2)</f>
        <v/>
      </c>
      <c r="G5429" s="6">
        <f>ROUND(F5429-D5429,2)</f>
        <v/>
      </c>
    </row>
    <row r="5430">
      <c r="A5430" t="inlineStr">
        <is>
          <t>2023-03-10</t>
        </is>
      </c>
      <c r="B5430" t="n">
        <v>23</v>
      </c>
      <c r="C5430" t="n">
        <v>3143</v>
      </c>
      <c r="D5430" s="6" t="n">
        <v>24.15</v>
      </c>
      <c r="E5430" s="6" t="n">
        <v>1365095.39</v>
      </c>
      <c r="F5430" s="6">
        <f>ROUND(E5430-E5429,2)</f>
        <v/>
      </c>
      <c r="G5430" s="6">
        <f>ROUND(F5430-D5430,2)</f>
        <v/>
      </c>
    </row>
    <row r="5431">
      <c r="A5431" t="inlineStr">
        <is>
          <t>2023-03-10</t>
        </is>
      </c>
      <c r="B5431" t="n">
        <v>24</v>
      </c>
      <c r="C5431" t="n">
        <v>3143</v>
      </c>
      <c r="D5431" s="6" t="n">
        <v>24.15</v>
      </c>
      <c r="E5431" s="6" t="n">
        <v>1365119.54</v>
      </c>
      <c r="F5431" s="6">
        <f>ROUND(E5431-E5430,2)</f>
        <v/>
      </c>
      <c r="G5431" s="6">
        <f>ROUND(F5431-D5431,2)</f>
        <v/>
      </c>
    </row>
    <row r="5432">
      <c r="A5432" t="inlineStr">
        <is>
          <t>2023-03-10</t>
        </is>
      </c>
      <c r="B5432" t="n">
        <v>25</v>
      </c>
      <c r="C5432" t="n">
        <v>3143</v>
      </c>
      <c r="D5432" s="6" t="n">
        <v>24.15</v>
      </c>
      <c r="E5432" s="6" t="n">
        <v>1365143.69</v>
      </c>
      <c r="F5432" s="6">
        <f>ROUND(E5432-E5431,2)</f>
        <v/>
      </c>
      <c r="G5432" s="6">
        <f>ROUND(F5432-D5432,2)</f>
        <v/>
      </c>
    </row>
    <row r="5433">
      <c r="A5433" t="inlineStr">
        <is>
          <t>2023-03-10</t>
        </is>
      </c>
      <c r="B5433" t="n">
        <v>26</v>
      </c>
      <c r="C5433" t="n">
        <v>3143</v>
      </c>
      <c r="D5433" s="6" t="n">
        <v>25</v>
      </c>
      <c r="E5433" s="6" t="n">
        <v>1365168.69</v>
      </c>
      <c r="F5433" s="6">
        <f>ROUND(E5433-E5432,2)</f>
        <v/>
      </c>
      <c r="G5433" s="6">
        <f>ROUND(F5433-D5433,2)</f>
        <v/>
      </c>
    </row>
    <row r="5434">
      <c r="A5434" t="inlineStr">
        <is>
          <t>2023-03-10</t>
        </is>
      </c>
      <c r="B5434" t="n">
        <v>27</v>
      </c>
      <c r="C5434" t="n">
        <v>3143</v>
      </c>
      <c r="D5434" s="6" t="n">
        <v>32.64</v>
      </c>
      <c r="E5434" s="6" t="n">
        <v>1365201.33</v>
      </c>
      <c r="F5434" s="6">
        <f>ROUND(E5434-E5433,2)</f>
        <v/>
      </c>
      <c r="G5434" s="6">
        <f>ROUND(F5434-D5434,2)</f>
        <v/>
      </c>
    </row>
    <row r="5435">
      <c r="A5435" t="inlineStr">
        <is>
          <t>2023-03-10</t>
        </is>
      </c>
      <c r="B5435" t="n">
        <v>28</v>
      </c>
      <c r="C5435" t="n">
        <v>3143</v>
      </c>
      <c r="D5435" s="6" t="n">
        <v>32.64</v>
      </c>
      <c r="E5435" s="6" t="n">
        <v>1365233.97</v>
      </c>
      <c r="F5435" s="6">
        <f>ROUND(E5435-E5434,2)</f>
        <v/>
      </c>
      <c r="G5435" s="6">
        <f>ROUND(F5435-D5435,2)</f>
        <v/>
      </c>
    </row>
    <row r="5436">
      <c r="A5436" t="inlineStr">
        <is>
          <t>2023-03-10</t>
        </is>
      </c>
      <c r="B5436" t="n">
        <v>29</v>
      </c>
      <c r="C5436" t="n">
        <v>3143</v>
      </c>
      <c r="D5436" s="6" t="n">
        <v>32.64</v>
      </c>
      <c r="E5436" s="6" t="n">
        <v>1365266.61</v>
      </c>
      <c r="F5436" s="6">
        <f>ROUND(E5436-E5435,2)</f>
        <v/>
      </c>
      <c r="G5436" s="6">
        <f>ROUND(F5436-D5436,2)</f>
        <v/>
      </c>
    </row>
    <row r="5437">
      <c r="A5437" t="inlineStr">
        <is>
          <t>2023-03-10</t>
        </is>
      </c>
      <c r="B5437" t="n">
        <v>30</v>
      </c>
      <c r="C5437" t="n">
        <v>3143</v>
      </c>
      <c r="D5437" s="6" t="n">
        <v>32.58</v>
      </c>
      <c r="E5437" s="6" t="n">
        <v>1365299.19</v>
      </c>
      <c r="F5437" s="6">
        <f>ROUND(E5437-E5436,2)</f>
        <v/>
      </c>
      <c r="G5437" s="6">
        <f>ROUND(F5437-D5437,2)</f>
        <v/>
      </c>
    </row>
    <row r="5438">
      <c r="A5438" t="inlineStr">
        <is>
          <t>2023-03-11</t>
        </is>
      </c>
      <c r="B5438" t="n">
        <v>1</v>
      </c>
      <c r="C5438" t="n">
        <v>3144</v>
      </c>
      <c r="D5438" s="6" t="n">
        <v>52.1</v>
      </c>
      <c r="E5438" s="6" t="n">
        <v>1365351.29</v>
      </c>
      <c r="F5438" s="6">
        <f>ROUND(E5438-E5437,2)</f>
        <v/>
      </c>
      <c r="G5438" s="6">
        <f>ROUND(F5438-D5438,2)</f>
        <v/>
      </c>
    </row>
    <row r="5439">
      <c r="A5439" t="inlineStr">
        <is>
          <t>2023-03-11</t>
        </is>
      </c>
      <c r="B5439" t="n">
        <v>2</v>
      </c>
      <c r="C5439" t="n">
        <v>3144</v>
      </c>
      <c r="D5439" s="6" t="n">
        <v>74.90000000000001</v>
      </c>
      <c r="E5439" s="6" t="n">
        <v>1365426.19</v>
      </c>
      <c r="F5439" s="6">
        <f>ROUND(E5439-E5438,2)</f>
        <v/>
      </c>
      <c r="G5439" s="6">
        <f>ROUND(F5439-D5439,2)</f>
        <v/>
      </c>
    </row>
    <row r="5440">
      <c r="A5440" t="inlineStr">
        <is>
          <t>2023-03-11</t>
        </is>
      </c>
      <c r="B5440" t="n">
        <v>3</v>
      </c>
      <c r="C5440" t="n">
        <v>3144</v>
      </c>
      <c r="D5440" s="6" t="n">
        <v>111</v>
      </c>
      <c r="E5440" s="6" t="n">
        <v>1365537.19</v>
      </c>
      <c r="F5440" s="6">
        <f>ROUND(E5440-E5439,2)</f>
        <v/>
      </c>
      <c r="G5440" s="6">
        <f>ROUND(F5440-D5440,2)</f>
        <v/>
      </c>
    </row>
    <row r="5441">
      <c r="A5441" t="inlineStr">
        <is>
          <t>2023-03-11</t>
        </is>
      </c>
      <c r="B5441" t="n">
        <v>4</v>
      </c>
      <c r="C5441" t="n">
        <v>3144</v>
      </c>
      <c r="D5441" s="6" t="n">
        <v>217.6</v>
      </c>
      <c r="E5441" s="6" t="n">
        <v>1365754.79</v>
      </c>
      <c r="F5441" s="6">
        <f>ROUND(E5441-E5440,2)</f>
        <v/>
      </c>
      <c r="G5441" s="6">
        <f>ROUND(F5441-D5441,2)</f>
        <v/>
      </c>
    </row>
    <row r="5442">
      <c r="A5442" t="inlineStr">
        <is>
          <t>2023-03-11</t>
        </is>
      </c>
      <c r="B5442" t="n">
        <v>5</v>
      </c>
      <c r="C5442" t="n">
        <v>3144</v>
      </c>
      <c r="D5442" s="6" t="n">
        <v>89.09999999999999</v>
      </c>
      <c r="E5442" s="6" t="n">
        <v>1365843.89</v>
      </c>
      <c r="F5442" s="6">
        <f>ROUND(E5442-E5441,2)</f>
        <v/>
      </c>
      <c r="G5442" s="6">
        <f>ROUND(F5442-D5442,2)</f>
        <v/>
      </c>
    </row>
    <row r="5443">
      <c r="A5443" t="inlineStr">
        <is>
          <t>2023-03-11</t>
        </is>
      </c>
      <c r="B5443" t="n">
        <v>6</v>
      </c>
      <c r="C5443" t="n">
        <v>3144</v>
      </c>
      <c r="D5443" s="6" t="n">
        <v>89.09999999999999</v>
      </c>
      <c r="E5443" s="6" t="n">
        <v>1365932.99</v>
      </c>
      <c r="F5443" s="6">
        <f>ROUND(E5443-E5442,2)</f>
        <v/>
      </c>
      <c r="G5443" s="6">
        <f>ROUND(F5443-D5443,2)</f>
        <v/>
      </c>
    </row>
    <row r="5444">
      <c r="A5444" t="inlineStr">
        <is>
          <t>2023-03-11</t>
        </is>
      </c>
      <c r="B5444" t="n">
        <v>7</v>
      </c>
      <c r="C5444" t="n">
        <v>3144</v>
      </c>
      <c r="D5444" s="6" t="n">
        <v>81.40000000000001</v>
      </c>
      <c r="E5444" s="6" t="n">
        <v>1366014.39</v>
      </c>
      <c r="F5444" s="6">
        <f>ROUND(E5444-E5443,2)</f>
        <v/>
      </c>
      <c r="G5444" s="6">
        <f>ROUND(F5444-D5444,2)</f>
        <v/>
      </c>
    </row>
    <row r="5445">
      <c r="A5445" t="inlineStr">
        <is>
          <t>2023-03-11</t>
        </is>
      </c>
      <c r="B5445" t="n">
        <v>8</v>
      </c>
      <c r="C5445" t="n">
        <v>3144</v>
      </c>
      <c r="D5445" s="6" t="n">
        <v>147.4</v>
      </c>
      <c r="E5445" s="6" t="n">
        <v>1366161.79</v>
      </c>
      <c r="F5445" s="6">
        <f>ROUND(E5445-E5444,2)</f>
        <v/>
      </c>
      <c r="G5445" s="6">
        <f>ROUND(F5445-D5445,2)</f>
        <v/>
      </c>
    </row>
    <row r="5446">
      <c r="A5446" t="inlineStr">
        <is>
          <t>2023-03-11</t>
        </is>
      </c>
      <c r="B5446" t="n">
        <v>9</v>
      </c>
      <c r="C5446" t="n">
        <v>3144</v>
      </c>
      <c r="D5446" s="6" t="n">
        <v>28</v>
      </c>
      <c r="E5446" s="6" t="n">
        <v>1366189.79</v>
      </c>
      <c r="F5446" s="6">
        <f>ROUND(E5446-E5445,2)</f>
        <v/>
      </c>
      <c r="G5446" s="6">
        <f>ROUND(F5446-D5446,2)</f>
        <v/>
      </c>
    </row>
    <row r="5447">
      <c r="A5447" t="inlineStr">
        <is>
          <t>2023-03-11</t>
        </is>
      </c>
      <c r="B5447" t="n">
        <v>10</v>
      </c>
      <c r="C5447" t="n">
        <v>3144</v>
      </c>
      <c r="D5447" s="6" t="n">
        <v>25.1</v>
      </c>
      <c r="E5447" s="6" t="n">
        <v>1366214.89</v>
      </c>
      <c r="F5447" s="6">
        <f>ROUND(E5447-E5446,2)</f>
        <v/>
      </c>
      <c r="G5447" s="6">
        <f>ROUND(F5447-D5447,2)</f>
        <v/>
      </c>
    </row>
    <row r="5448">
      <c r="A5448" t="inlineStr">
        <is>
          <t>2023-03-11</t>
        </is>
      </c>
      <c r="B5448" t="n">
        <v>11</v>
      </c>
      <c r="C5448" t="n">
        <v>3144</v>
      </c>
      <c r="D5448" s="6" t="n">
        <v>76.09999999999999</v>
      </c>
      <c r="E5448" s="6" t="n">
        <v>1366290.99</v>
      </c>
      <c r="F5448" s="6">
        <f>ROUND(E5448-E5447,2)</f>
        <v/>
      </c>
      <c r="G5448" s="6">
        <f>ROUND(F5448-D5448,2)</f>
        <v/>
      </c>
    </row>
    <row r="5449">
      <c r="A5449" t="inlineStr">
        <is>
          <t>2023-03-11</t>
        </is>
      </c>
      <c r="B5449" t="n">
        <v>12</v>
      </c>
      <c r="C5449" t="n">
        <v>3144</v>
      </c>
      <c r="D5449" s="6" t="n">
        <v>47.15</v>
      </c>
      <c r="E5449" s="6" t="n">
        <v>1366338.14</v>
      </c>
      <c r="F5449" s="6">
        <f>ROUND(E5449-E5448,2)</f>
        <v/>
      </c>
      <c r="G5449" s="6">
        <f>ROUND(F5449-D5449,2)</f>
        <v/>
      </c>
    </row>
    <row r="5450">
      <c r="A5450" t="inlineStr">
        <is>
          <t>2023-03-11</t>
        </is>
      </c>
      <c r="B5450" t="n">
        <v>13</v>
      </c>
      <c r="C5450" t="n">
        <v>3144</v>
      </c>
      <c r="D5450" s="6" t="n">
        <v>47.15</v>
      </c>
      <c r="E5450" s="6" t="n">
        <v>1366385.29</v>
      </c>
      <c r="F5450" s="6">
        <f>ROUND(E5450-E5449,2)</f>
        <v/>
      </c>
      <c r="G5450" s="6">
        <f>ROUND(F5450-D5450,2)</f>
        <v/>
      </c>
    </row>
    <row r="5451">
      <c r="A5451" t="inlineStr">
        <is>
          <t>2023-03-11</t>
        </is>
      </c>
      <c r="B5451" t="n">
        <v>14</v>
      </c>
      <c r="C5451" t="n">
        <v>3144</v>
      </c>
      <c r="D5451" s="6" t="n">
        <v>92</v>
      </c>
      <c r="E5451" s="6" t="n">
        <v>1366477.29</v>
      </c>
      <c r="F5451" s="6">
        <f>ROUND(E5451-E5450,2)</f>
        <v/>
      </c>
      <c r="G5451" s="6">
        <f>ROUND(F5451-D5451,2)</f>
        <v/>
      </c>
    </row>
    <row r="5452">
      <c r="A5452" t="inlineStr">
        <is>
          <t>2023-03-11</t>
        </is>
      </c>
      <c r="B5452" t="n">
        <v>15</v>
      </c>
      <c r="C5452" t="n">
        <v>3144</v>
      </c>
      <c r="D5452" s="6" t="n">
        <v>118.4</v>
      </c>
      <c r="E5452" s="6" t="n">
        <v>1366595.69</v>
      </c>
      <c r="F5452" s="6">
        <f>ROUND(E5452-E5451,2)</f>
        <v/>
      </c>
      <c r="G5452" s="6">
        <f>ROUND(F5452-D5452,2)</f>
        <v/>
      </c>
    </row>
    <row r="5453">
      <c r="A5453" t="inlineStr">
        <is>
          <t>2023-03-11</t>
        </is>
      </c>
      <c r="B5453" t="n">
        <v>16</v>
      </c>
      <c r="C5453" t="n">
        <v>3144</v>
      </c>
      <c r="D5453" s="6" t="n">
        <v>36.92</v>
      </c>
      <c r="E5453" s="6" t="n">
        <v>1366632.61</v>
      </c>
      <c r="F5453" s="6">
        <f>ROUND(E5453-E5452,2)</f>
        <v/>
      </c>
      <c r="G5453" s="6">
        <f>ROUND(F5453-D5453,2)</f>
        <v/>
      </c>
    </row>
    <row r="5454">
      <c r="A5454" t="inlineStr">
        <is>
          <t>2023-03-11</t>
        </is>
      </c>
      <c r="B5454" t="n">
        <v>17</v>
      </c>
      <c r="C5454" t="n">
        <v>3144</v>
      </c>
      <c r="D5454" s="6" t="n">
        <v>37.3</v>
      </c>
      <c r="E5454" s="6" t="n">
        <v>1366669.91</v>
      </c>
      <c r="F5454" s="6">
        <f>ROUND(E5454-E5453,2)</f>
        <v/>
      </c>
      <c r="G5454" s="6">
        <f>ROUND(F5454-D5454,2)</f>
        <v/>
      </c>
    </row>
    <row r="5455">
      <c r="A5455" t="inlineStr">
        <is>
          <t>2023-03-11</t>
        </is>
      </c>
      <c r="B5455" t="n">
        <v>18</v>
      </c>
      <c r="C5455" t="n">
        <v>3144</v>
      </c>
      <c r="D5455" s="6" t="n">
        <v>84.3</v>
      </c>
      <c r="E5455" s="6" t="n">
        <v>1366754.21</v>
      </c>
      <c r="F5455" s="6">
        <f>ROUND(E5455-E5454,2)</f>
        <v/>
      </c>
      <c r="G5455" s="6">
        <f>ROUND(F5455-D5455,2)</f>
        <v/>
      </c>
    </row>
    <row r="5456">
      <c r="A5456" t="inlineStr">
        <is>
          <t>2023-03-11</t>
        </is>
      </c>
      <c r="B5456" t="n">
        <v>19</v>
      </c>
      <c r="C5456" t="n">
        <v>3144</v>
      </c>
      <c r="D5456" s="6" t="n">
        <v>61.5</v>
      </c>
      <c r="E5456" s="6" t="n">
        <v>1366815.71</v>
      </c>
      <c r="F5456" s="6">
        <f>ROUND(E5456-E5455,2)</f>
        <v/>
      </c>
      <c r="G5456" s="6">
        <f>ROUND(F5456-D5456,2)</f>
        <v/>
      </c>
    </row>
    <row r="5457">
      <c r="A5457" t="inlineStr">
        <is>
          <t>2023-03-11</t>
        </is>
      </c>
      <c r="B5457" t="n">
        <v>20</v>
      </c>
      <c r="C5457" t="n">
        <v>3144</v>
      </c>
      <c r="D5457" s="6" t="n">
        <v>28.9</v>
      </c>
      <c r="E5457" s="6" t="n">
        <v>1366844.61</v>
      </c>
      <c r="F5457" s="6">
        <f>ROUND(E5457-E5456,2)</f>
        <v/>
      </c>
      <c r="G5457" s="6">
        <f>ROUND(F5457-D5457,2)</f>
        <v/>
      </c>
    </row>
    <row r="5458">
      <c r="A5458" t="inlineStr">
        <is>
          <t>2023-03-11</t>
        </is>
      </c>
      <c r="B5458" t="n">
        <v>21</v>
      </c>
      <c r="C5458" t="n">
        <v>3144</v>
      </c>
      <c r="D5458" s="6" t="n">
        <v>33.76</v>
      </c>
      <c r="E5458" s="6" t="n">
        <v>1366878.37</v>
      </c>
      <c r="F5458" s="6">
        <f>ROUND(E5458-E5457,2)</f>
        <v/>
      </c>
      <c r="G5458" s="6">
        <f>ROUND(F5458-D5458,2)</f>
        <v/>
      </c>
    </row>
    <row r="5459">
      <c r="A5459" t="inlineStr">
        <is>
          <t>2023-03-11</t>
        </is>
      </c>
      <c r="B5459" t="n">
        <v>22</v>
      </c>
      <c r="C5459" t="n">
        <v>3144</v>
      </c>
      <c r="D5459" s="6" t="n">
        <v>34.59</v>
      </c>
      <c r="E5459" s="6" t="n">
        <v>1366912.96</v>
      </c>
      <c r="F5459" s="6">
        <f>ROUND(E5459-E5458,2)</f>
        <v/>
      </c>
      <c r="G5459" s="6">
        <f>ROUND(F5459-D5459,2)</f>
        <v/>
      </c>
    </row>
    <row r="5460">
      <c r="A5460" t="inlineStr">
        <is>
          <t>2023-03-11</t>
        </is>
      </c>
      <c r="B5460" t="n">
        <v>23</v>
      </c>
      <c r="C5460" t="n">
        <v>3144</v>
      </c>
      <c r="D5460" s="6" t="n">
        <v>113.6</v>
      </c>
      <c r="E5460" s="6" t="n">
        <v>1367026.56</v>
      </c>
      <c r="F5460" s="6">
        <f>ROUND(E5460-E5459,2)</f>
        <v/>
      </c>
      <c r="G5460" s="6">
        <f>ROUND(F5460-D5460,2)</f>
        <v/>
      </c>
    </row>
    <row r="5461">
      <c r="A5461" t="inlineStr">
        <is>
          <t>2023-03-11</t>
        </is>
      </c>
      <c r="B5461" t="n">
        <v>24</v>
      </c>
      <c r="C5461" t="n">
        <v>3144</v>
      </c>
      <c r="D5461" s="6" t="n">
        <v>48.7</v>
      </c>
      <c r="E5461" s="6" t="n">
        <v>1367075.26</v>
      </c>
      <c r="F5461" s="6">
        <f>ROUND(E5461-E5460,2)</f>
        <v/>
      </c>
      <c r="G5461" s="6">
        <f>ROUND(F5461-D5461,2)</f>
        <v/>
      </c>
    </row>
    <row r="5462">
      <c r="A5462" t="inlineStr">
        <is>
          <t>2023-03-12</t>
        </is>
      </c>
      <c r="B5462" t="n">
        <v>1</v>
      </c>
      <c r="C5462" t="n">
        <v>3145</v>
      </c>
      <c r="D5462" s="6" t="n">
        <v>69.59999999999999</v>
      </c>
      <c r="E5462" s="6" t="n">
        <v>1367144.86</v>
      </c>
      <c r="F5462" s="6">
        <f>ROUND(E5462-E5461,2)</f>
        <v/>
      </c>
      <c r="G5462" s="6">
        <f>ROUND(F5462-D5462,2)</f>
        <v/>
      </c>
    </row>
    <row r="5463">
      <c r="A5463" t="inlineStr">
        <is>
          <t>2023-03-12</t>
        </is>
      </c>
      <c r="B5463" t="n">
        <v>2</v>
      </c>
      <c r="C5463" t="n">
        <v>3145</v>
      </c>
      <c r="D5463" s="6" t="n">
        <v>35.9</v>
      </c>
      <c r="E5463" s="6" t="n">
        <v>1367180.76</v>
      </c>
      <c r="F5463" s="6">
        <f>ROUND(E5463-E5462,2)</f>
        <v/>
      </c>
      <c r="G5463" s="6">
        <f>ROUND(F5463-D5463,2)</f>
        <v/>
      </c>
    </row>
    <row r="5464">
      <c r="A5464" t="inlineStr">
        <is>
          <t>2023-03-12</t>
        </is>
      </c>
      <c r="B5464" t="n">
        <v>3</v>
      </c>
      <c r="C5464" t="n">
        <v>3145</v>
      </c>
      <c r="D5464" s="6" t="n">
        <v>31.7</v>
      </c>
      <c r="E5464" s="6" t="n">
        <v>1367212.46</v>
      </c>
      <c r="F5464" s="6">
        <f>ROUND(E5464-E5463,2)</f>
        <v/>
      </c>
      <c r="G5464" s="6">
        <f>ROUND(F5464-D5464,2)</f>
        <v/>
      </c>
    </row>
    <row r="5465">
      <c r="A5465" t="inlineStr">
        <is>
          <t>2023-03-12</t>
        </is>
      </c>
      <c r="B5465" t="n">
        <v>4</v>
      </c>
      <c r="C5465" t="n">
        <v>3145</v>
      </c>
      <c r="D5465" s="6" t="n">
        <v>72.2</v>
      </c>
      <c r="E5465" s="6" t="n">
        <v>1367284.66</v>
      </c>
      <c r="F5465" s="6">
        <f>ROUND(E5465-E5464,2)</f>
        <v/>
      </c>
      <c r="G5465" s="6">
        <f>ROUND(F5465-D5465,2)</f>
        <v/>
      </c>
    </row>
    <row r="5466">
      <c r="A5466" t="inlineStr">
        <is>
          <t>2023-03-12</t>
        </is>
      </c>
      <c r="B5466" t="n">
        <v>5</v>
      </c>
      <c r="C5466" t="n">
        <v>3145</v>
      </c>
      <c r="D5466" s="6" t="n">
        <v>47.6</v>
      </c>
      <c r="E5466" s="6" t="n">
        <v>1367332.26</v>
      </c>
      <c r="F5466" s="6">
        <f>ROUND(E5466-E5465,2)</f>
        <v/>
      </c>
      <c r="G5466" s="6">
        <f>ROUND(F5466-D5466,2)</f>
        <v/>
      </c>
    </row>
    <row r="5467">
      <c r="A5467" t="inlineStr">
        <is>
          <t>2023-03-12</t>
        </is>
      </c>
      <c r="B5467" t="n">
        <v>6</v>
      </c>
      <c r="C5467" t="n">
        <v>3145</v>
      </c>
      <c r="D5467" s="6" t="n">
        <v>252.5</v>
      </c>
      <c r="E5467" s="6" t="n">
        <v>1367584.76</v>
      </c>
      <c r="F5467" s="6">
        <f>ROUND(E5467-E5466,2)</f>
        <v/>
      </c>
      <c r="G5467" s="6">
        <f>ROUND(F5467-D5467,2)</f>
        <v/>
      </c>
    </row>
    <row r="5468">
      <c r="A5468" t="inlineStr">
        <is>
          <t>2023-03-12</t>
        </is>
      </c>
      <c r="B5468" t="n">
        <v>7</v>
      </c>
      <c r="C5468" t="n">
        <v>3145</v>
      </c>
      <c r="D5468" s="6" t="n">
        <v>112.6</v>
      </c>
      <c r="E5468" s="6" t="n">
        <v>1367697.36</v>
      </c>
      <c r="F5468" s="6">
        <f>ROUND(E5468-E5467,2)</f>
        <v/>
      </c>
      <c r="G5468" s="6">
        <f>ROUND(F5468-D5468,2)</f>
        <v/>
      </c>
    </row>
    <row r="5469">
      <c r="A5469" t="inlineStr">
        <is>
          <t>2023-03-12</t>
        </is>
      </c>
      <c r="B5469" t="n">
        <v>8</v>
      </c>
      <c r="C5469" t="n">
        <v>3145</v>
      </c>
      <c r="D5469" s="6" t="n">
        <v>82.09999999999999</v>
      </c>
      <c r="E5469" s="6" t="n">
        <v>1367779.46</v>
      </c>
      <c r="F5469" s="6">
        <f>ROUND(E5469-E5468,2)</f>
        <v/>
      </c>
      <c r="G5469" s="6">
        <f>ROUND(F5469-D5469,2)</f>
        <v/>
      </c>
    </row>
    <row r="5470">
      <c r="A5470" t="inlineStr">
        <is>
          <t>2023-03-12</t>
        </is>
      </c>
      <c r="B5470" t="n">
        <v>9</v>
      </c>
      <c r="C5470" t="n">
        <v>3145</v>
      </c>
      <c r="D5470" s="6" t="n">
        <v>128.6</v>
      </c>
      <c r="E5470" s="6" t="n">
        <v>1367908.06</v>
      </c>
      <c r="F5470" s="6">
        <f>ROUND(E5470-E5469,2)</f>
        <v/>
      </c>
      <c r="G5470" s="6">
        <f>ROUND(F5470-D5470,2)</f>
        <v/>
      </c>
    </row>
    <row r="5471">
      <c r="A5471" t="inlineStr">
        <is>
          <t>2023-03-12</t>
        </is>
      </c>
      <c r="B5471" t="n">
        <v>10</v>
      </c>
      <c r="C5471" t="n">
        <v>3145</v>
      </c>
      <c r="D5471" s="6" t="n">
        <v>123</v>
      </c>
      <c r="E5471" s="6" t="n">
        <v>1368031.06</v>
      </c>
      <c r="F5471" s="6">
        <f>ROUND(E5471-E5470,2)</f>
        <v/>
      </c>
      <c r="G5471" s="6">
        <f>ROUND(F5471-D5471,2)</f>
        <v/>
      </c>
    </row>
    <row r="5472">
      <c r="A5472" t="inlineStr">
        <is>
          <t>2023-03-12</t>
        </is>
      </c>
      <c r="B5472" t="n">
        <v>11</v>
      </c>
      <c r="C5472" t="n">
        <v>3145</v>
      </c>
      <c r="D5472" s="6" t="n">
        <v>134.5</v>
      </c>
      <c r="E5472" s="6" t="n">
        <v>1368165.56</v>
      </c>
      <c r="F5472" s="6">
        <f>ROUND(E5472-E5471,2)</f>
        <v/>
      </c>
      <c r="G5472" s="6">
        <f>ROUND(F5472-D5472,2)</f>
        <v/>
      </c>
    </row>
    <row r="5473">
      <c r="A5473" t="inlineStr">
        <is>
          <t>2023-03-12</t>
        </is>
      </c>
      <c r="B5473" t="n">
        <v>12</v>
      </c>
      <c r="C5473" t="n">
        <v>3145</v>
      </c>
      <c r="D5473" s="6" t="n">
        <v>38</v>
      </c>
      <c r="E5473" s="6" t="n">
        <v>1368203.56</v>
      </c>
      <c r="F5473" s="6">
        <f>ROUND(E5473-E5472,2)</f>
        <v/>
      </c>
      <c r="G5473" s="6">
        <f>ROUND(F5473-D5473,2)</f>
        <v/>
      </c>
    </row>
    <row r="5474">
      <c r="A5474" t="inlineStr">
        <is>
          <t>2023-03-12</t>
        </is>
      </c>
      <c r="B5474" t="n">
        <v>13</v>
      </c>
      <c r="C5474" t="n">
        <v>3145</v>
      </c>
      <c r="D5474" s="6" t="n">
        <v>174.2</v>
      </c>
      <c r="E5474" s="6" t="n">
        <v>1368377.76</v>
      </c>
      <c r="F5474" s="6">
        <f>ROUND(E5474-E5473,2)</f>
        <v/>
      </c>
      <c r="G5474" s="6">
        <f>ROUND(F5474-D5474,2)</f>
        <v/>
      </c>
    </row>
    <row r="5475">
      <c r="A5475" t="inlineStr">
        <is>
          <t>2023-03-15</t>
        </is>
      </c>
      <c r="B5475" t="n">
        <v>1</v>
      </c>
      <c r="C5475" t="n">
        <v>3146</v>
      </c>
      <c r="D5475" s="6" t="n">
        <v>40.2</v>
      </c>
      <c r="E5475" s="6" t="n">
        <v>1368417.96</v>
      </c>
      <c r="F5475" s="6">
        <f>ROUND(E5475-E5474,2)</f>
        <v/>
      </c>
      <c r="G5475" s="6">
        <f>ROUND(F5475-D5475,2)</f>
        <v/>
      </c>
    </row>
    <row r="5476">
      <c r="A5476" t="inlineStr">
        <is>
          <t>2023-03-15</t>
        </is>
      </c>
      <c r="B5476" t="n">
        <v>2</v>
      </c>
      <c r="C5476" t="n">
        <v>3146</v>
      </c>
      <c r="D5476" s="6" t="n">
        <v>126.4</v>
      </c>
      <c r="E5476" s="6" t="n">
        <v>1368544.36</v>
      </c>
      <c r="F5476" s="6">
        <f>ROUND(E5476-E5475,2)</f>
        <v/>
      </c>
      <c r="G5476" s="6">
        <f>ROUND(F5476-D5476,2)</f>
        <v/>
      </c>
    </row>
    <row r="5477">
      <c r="A5477" t="inlineStr">
        <is>
          <t>2023-03-15</t>
        </is>
      </c>
      <c r="B5477" t="n">
        <v>3</v>
      </c>
      <c r="C5477" t="n">
        <v>3146</v>
      </c>
      <c r="D5477" s="6" t="n">
        <v>26.8</v>
      </c>
      <c r="E5477" s="6" t="n">
        <v>1368571.16</v>
      </c>
      <c r="F5477" s="6">
        <f>ROUND(E5477-E5476,2)</f>
        <v/>
      </c>
      <c r="G5477" s="6">
        <f>ROUND(F5477-D5477,2)</f>
        <v/>
      </c>
    </row>
    <row r="5478">
      <c r="A5478" t="inlineStr">
        <is>
          <t>2023-03-15</t>
        </is>
      </c>
      <c r="B5478" t="n">
        <v>4</v>
      </c>
      <c r="C5478" t="n">
        <v>3146</v>
      </c>
      <c r="D5478" s="6" t="n">
        <v>36.7</v>
      </c>
      <c r="E5478" s="6" t="n">
        <v>1368607.86</v>
      </c>
      <c r="F5478" s="6">
        <f>ROUND(E5478-E5477,2)</f>
        <v/>
      </c>
      <c r="G5478" s="6">
        <f>ROUND(F5478-D5478,2)</f>
        <v/>
      </c>
    </row>
    <row r="5479">
      <c r="A5479" t="inlineStr">
        <is>
          <t>2023-03-15</t>
        </is>
      </c>
      <c r="B5479" t="n">
        <v>5</v>
      </c>
      <c r="C5479" t="n">
        <v>3146</v>
      </c>
      <c r="D5479" s="6" t="n">
        <v>136.7</v>
      </c>
      <c r="E5479" s="6" t="n">
        <v>1368744.56</v>
      </c>
      <c r="F5479" s="6">
        <f>ROUND(E5479-E5478,2)</f>
        <v/>
      </c>
      <c r="G5479" s="6">
        <f>ROUND(F5479-D5479,2)</f>
        <v/>
      </c>
    </row>
    <row r="5480">
      <c r="A5480" t="inlineStr">
        <is>
          <t>2023-03-15</t>
        </is>
      </c>
      <c r="B5480" t="n">
        <v>6</v>
      </c>
      <c r="C5480" t="n">
        <v>3146</v>
      </c>
      <c r="D5480" s="6" t="n">
        <v>37.9</v>
      </c>
      <c r="E5480" s="6" t="n">
        <v>1368782.46</v>
      </c>
      <c r="F5480" s="6">
        <f>ROUND(E5480-E5479,2)</f>
        <v/>
      </c>
      <c r="G5480" s="6">
        <f>ROUND(F5480-D5480,2)</f>
        <v/>
      </c>
    </row>
    <row r="5481">
      <c r="A5481" t="inlineStr">
        <is>
          <t>2023-03-15</t>
        </is>
      </c>
      <c r="B5481" t="n">
        <v>7</v>
      </c>
      <c r="C5481" t="n">
        <v>3146</v>
      </c>
      <c r="D5481" s="6" t="n">
        <v>37.9</v>
      </c>
      <c r="E5481" s="6" t="n">
        <v>1368820.36</v>
      </c>
      <c r="F5481" s="6">
        <f>ROUND(E5481-E5480,2)</f>
        <v/>
      </c>
      <c r="G5481" s="6">
        <f>ROUND(F5481-D5481,2)</f>
        <v/>
      </c>
    </row>
    <row r="5482">
      <c r="A5482" t="inlineStr">
        <is>
          <t>2023-03-15</t>
        </is>
      </c>
      <c r="B5482" t="n">
        <v>8</v>
      </c>
      <c r="C5482" t="n">
        <v>3146</v>
      </c>
      <c r="D5482" s="6" t="n">
        <v>29.9</v>
      </c>
      <c r="E5482" s="6" t="n">
        <v>1368850.26</v>
      </c>
      <c r="F5482" s="6">
        <f>ROUND(E5482-E5481,2)</f>
        <v/>
      </c>
      <c r="G5482" s="6">
        <f>ROUND(F5482-D5482,2)</f>
        <v/>
      </c>
    </row>
    <row r="5483">
      <c r="A5483" t="inlineStr">
        <is>
          <t>2023-03-15</t>
        </is>
      </c>
      <c r="B5483" t="n">
        <v>9</v>
      </c>
      <c r="C5483" t="n">
        <v>3146</v>
      </c>
      <c r="D5483" s="6" t="n">
        <v>43.3</v>
      </c>
      <c r="E5483" s="6" t="n">
        <v>1368893.56</v>
      </c>
      <c r="F5483" s="6">
        <f>ROUND(E5483-E5482,2)</f>
        <v/>
      </c>
      <c r="G5483" s="6">
        <f>ROUND(F5483-D5483,2)</f>
        <v/>
      </c>
    </row>
    <row r="5484">
      <c r="A5484" t="inlineStr">
        <is>
          <t>2023-03-15</t>
        </is>
      </c>
      <c r="B5484" t="n">
        <v>10</v>
      </c>
      <c r="C5484" t="n">
        <v>3146</v>
      </c>
      <c r="D5484" s="6" t="n">
        <v>79</v>
      </c>
      <c r="E5484" s="6" t="n">
        <v>1368972.56</v>
      </c>
      <c r="F5484" s="6">
        <f>ROUND(E5484-E5483,2)</f>
        <v/>
      </c>
      <c r="G5484" s="6">
        <f>ROUND(F5484-D5484,2)</f>
        <v/>
      </c>
    </row>
    <row r="5485">
      <c r="A5485" t="inlineStr">
        <is>
          <t>2023-03-15</t>
        </is>
      </c>
      <c r="B5485" t="n">
        <v>11</v>
      </c>
      <c r="C5485" t="n">
        <v>3146</v>
      </c>
      <c r="D5485" s="6" t="n">
        <v>31.4</v>
      </c>
      <c r="E5485" s="6" t="n">
        <v>1369003.96</v>
      </c>
      <c r="F5485" s="6">
        <f>ROUND(E5485-E5484,2)</f>
        <v/>
      </c>
      <c r="G5485" s="6">
        <f>ROUND(F5485-D5485,2)</f>
        <v/>
      </c>
    </row>
    <row r="5486">
      <c r="A5486" t="inlineStr">
        <is>
          <t>2023-03-15</t>
        </is>
      </c>
      <c r="B5486" t="n">
        <v>12</v>
      </c>
      <c r="C5486" t="n">
        <v>3146</v>
      </c>
      <c r="D5486" s="6" t="n">
        <v>34.3</v>
      </c>
      <c r="E5486" s="6" t="n">
        <v>1369038.26</v>
      </c>
      <c r="F5486" s="6">
        <f>ROUND(E5486-E5485,2)</f>
        <v/>
      </c>
      <c r="G5486" s="6">
        <f>ROUND(F5486-D5486,2)</f>
        <v/>
      </c>
    </row>
    <row r="5487">
      <c r="A5487" t="inlineStr">
        <is>
          <t>2023-03-15</t>
        </is>
      </c>
      <c r="B5487" t="n">
        <v>13</v>
      </c>
      <c r="C5487" t="n">
        <v>3146</v>
      </c>
      <c r="D5487" s="6" t="n">
        <v>46.6</v>
      </c>
      <c r="E5487" s="6" t="n">
        <v>1369084.86</v>
      </c>
      <c r="F5487" s="6">
        <f>ROUND(E5487-E5486,2)</f>
        <v/>
      </c>
      <c r="G5487" s="6">
        <f>ROUND(F5487-D5487,2)</f>
        <v/>
      </c>
    </row>
    <row r="5488">
      <c r="A5488" t="inlineStr">
        <is>
          <t>2023-03-15</t>
        </is>
      </c>
      <c r="B5488" t="n">
        <v>14</v>
      </c>
      <c r="C5488" t="n">
        <v>3146</v>
      </c>
      <c r="D5488" s="6" t="n">
        <v>107.2</v>
      </c>
      <c r="E5488" s="6" t="n">
        <v>1369192.06</v>
      </c>
      <c r="F5488" s="6">
        <f>ROUND(E5488-E5487,2)</f>
        <v/>
      </c>
      <c r="G5488" s="6">
        <f>ROUND(F5488-D5488,2)</f>
        <v/>
      </c>
    </row>
    <row r="5489">
      <c r="A5489" t="inlineStr">
        <is>
          <t>2023-03-15</t>
        </is>
      </c>
      <c r="B5489" t="n">
        <v>15</v>
      </c>
      <c r="C5489" t="n">
        <v>3146</v>
      </c>
      <c r="D5489" s="6" t="n">
        <v>36</v>
      </c>
      <c r="E5489" s="6" t="n">
        <v>1369228.06</v>
      </c>
      <c r="F5489" s="6">
        <f>ROUND(E5489-E5488,2)</f>
        <v/>
      </c>
      <c r="G5489" s="6">
        <f>ROUND(F5489-D5489,2)</f>
        <v/>
      </c>
    </row>
    <row r="5490">
      <c r="A5490" t="inlineStr">
        <is>
          <t>2023-03-15</t>
        </is>
      </c>
      <c r="B5490" t="n">
        <v>16</v>
      </c>
      <c r="C5490" t="n">
        <v>3146</v>
      </c>
      <c r="D5490" s="6" t="n">
        <v>56.6</v>
      </c>
      <c r="E5490" s="6" t="n">
        <v>1369284.66</v>
      </c>
      <c r="F5490" s="6">
        <f>ROUND(E5490-E5489,2)</f>
        <v/>
      </c>
      <c r="G5490" s="6">
        <f>ROUND(F5490-D5490,2)</f>
        <v/>
      </c>
    </row>
    <row r="5491">
      <c r="A5491" t="inlineStr">
        <is>
          <t>2023-03-16</t>
        </is>
      </c>
      <c r="B5491" t="n">
        <v>1</v>
      </c>
      <c r="C5491" t="n">
        <v>3147</v>
      </c>
      <c r="D5491" s="6" t="n">
        <v>54.4</v>
      </c>
      <c r="E5491" s="6" t="n">
        <v>1369339.06</v>
      </c>
      <c r="F5491" s="6">
        <f>ROUND(E5491-E5490,2)</f>
        <v/>
      </c>
      <c r="G5491" s="6">
        <f>ROUND(F5491-D5491,2)</f>
        <v/>
      </c>
    </row>
    <row r="5492">
      <c r="A5492" t="inlineStr">
        <is>
          <t>2023-03-16</t>
        </is>
      </c>
      <c r="B5492" t="n">
        <v>2</v>
      </c>
      <c r="C5492" t="n">
        <v>3147</v>
      </c>
      <c r="D5492" s="6" t="n">
        <v>41.4</v>
      </c>
      <c r="E5492" s="6" t="n">
        <v>1369380.46</v>
      </c>
      <c r="F5492" s="6">
        <f>ROUND(E5492-E5491,2)</f>
        <v/>
      </c>
      <c r="G5492" s="6">
        <f>ROUND(F5492-D5492,2)</f>
        <v/>
      </c>
    </row>
    <row r="5493">
      <c r="A5493" t="inlineStr">
        <is>
          <t>2023-03-16</t>
        </is>
      </c>
      <c r="B5493" t="n">
        <v>3</v>
      </c>
      <c r="C5493" t="n">
        <v>3147</v>
      </c>
      <c r="D5493" s="6" t="n">
        <v>18.7</v>
      </c>
      <c r="E5493" s="6" t="n">
        <v>1369399.16</v>
      </c>
      <c r="F5493" s="6">
        <f>ROUND(E5493-E5492,2)</f>
        <v/>
      </c>
      <c r="G5493" s="6">
        <f>ROUND(F5493-D5493,2)</f>
        <v/>
      </c>
    </row>
    <row r="5494">
      <c r="A5494" t="inlineStr">
        <is>
          <t>2023-03-16</t>
        </is>
      </c>
      <c r="B5494" t="n">
        <v>4</v>
      </c>
      <c r="C5494" t="n">
        <v>3147</v>
      </c>
      <c r="D5494" s="6" t="n">
        <v>20.5</v>
      </c>
      <c r="E5494" s="6" t="n">
        <v>1369419.66</v>
      </c>
      <c r="F5494" s="6">
        <f>ROUND(E5494-E5493,2)</f>
        <v/>
      </c>
      <c r="G5494" s="6">
        <f>ROUND(F5494-D5494,2)</f>
        <v/>
      </c>
    </row>
    <row r="5495">
      <c r="A5495" t="inlineStr">
        <is>
          <t>2023-03-16</t>
        </is>
      </c>
      <c r="B5495" t="n">
        <v>5</v>
      </c>
      <c r="C5495" t="n">
        <v>3147</v>
      </c>
      <c r="D5495" s="6" t="n">
        <v>20.5</v>
      </c>
      <c r="E5495" s="6" t="n">
        <v>1369440.16</v>
      </c>
      <c r="F5495" s="6">
        <f>ROUND(E5495-E5494,2)</f>
        <v/>
      </c>
      <c r="G5495" s="6">
        <f>ROUND(F5495-D5495,2)</f>
        <v/>
      </c>
    </row>
    <row r="5496">
      <c r="A5496" t="inlineStr">
        <is>
          <t>2023-03-16</t>
        </is>
      </c>
      <c r="B5496" t="n">
        <v>6</v>
      </c>
      <c r="C5496" t="n">
        <v>3147</v>
      </c>
      <c r="D5496" s="6" t="n">
        <v>60.4</v>
      </c>
      <c r="E5496" s="6" t="n">
        <v>1369500.56</v>
      </c>
      <c r="F5496" s="6">
        <f>ROUND(E5496-E5495,2)</f>
        <v/>
      </c>
      <c r="G5496" s="6">
        <f>ROUND(F5496-D5496,2)</f>
        <v/>
      </c>
    </row>
    <row r="5497">
      <c r="A5497" t="inlineStr">
        <is>
          <t>2023-03-16</t>
        </is>
      </c>
      <c r="B5497" t="n">
        <v>7</v>
      </c>
      <c r="C5497" t="n">
        <v>3147</v>
      </c>
      <c r="D5497" s="6" t="n">
        <v>56.7</v>
      </c>
      <c r="E5497" s="6" t="n">
        <v>1369557.26</v>
      </c>
      <c r="F5497" s="6">
        <f>ROUND(E5497-E5496,2)</f>
        <v/>
      </c>
      <c r="G5497" s="6">
        <f>ROUND(F5497-D5497,2)</f>
        <v/>
      </c>
    </row>
    <row r="5498">
      <c r="A5498" t="inlineStr">
        <is>
          <t>2023-03-16</t>
        </is>
      </c>
      <c r="B5498" t="n">
        <v>8</v>
      </c>
      <c r="C5498" t="n">
        <v>3147</v>
      </c>
      <c r="D5498" s="6" t="n">
        <v>31.4</v>
      </c>
      <c r="E5498" s="6" t="n">
        <v>1369588.66</v>
      </c>
      <c r="F5498" s="6">
        <f>ROUND(E5498-E5497,2)</f>
        <v/>
      </c>
      <c r="G5498" s="6">
        <f>ROUND(F5498-D5498,2)</f>
        <v/>
      </c>
    </row>
    <row r="5499">
      <c r="A5499" t="inlineStr">
        <is>
          <t>2023-03-16</t>
        </is>
      </c>
      <c r="B5499" t="n">
        <v>9</v>
      </c>
      <c r="C5499" t="n">
        <v>3147</v>
      </c>
      <c r="D5499" s="6" t="n">
        <v>77.40000000000001</v>
      </c>
      <c r="E5499" s="6" t="n">
        <v>1369666.06</v>
      </c>
      <c r="F5499" s="6">
        <f>ROUND(E5499-E5498,2)</f>
        <v/>
      </c>
      <c r="G5499" s="6">
        <f>ROUND(F5499-D5499,2)</f>
        <v/>
      </c>
    </row>
    <row r="5500">
      <c r="A5500" t="inlineStr">
        <is>
          <t>2023-03-16</t>
        </is>
      </c>
      <c r="B5500" t="n">
        <v>10</v>
      </c>
      <c r="C5500" t="n">
        <v>3147</v>
      </c>
      <c r="D5500" s="6" t="n">
        <v>67.90000000000001</v>
      </c>
      <c r="E5500" s="6" t="n">
        <v>1369733.96</v>
      </c>
      <c r="F5500" s="6">
        <f>ROUND(E5500-E5499,2)</f>
        <v/>
      </c>
      <c r="G5500" s="6">
        <f>ROUND(F5500-D5500,2)</f>
        <v/>
      </c>
    </row>
    <row r="5501">
      <c r="A5501" t="inlineStr">
        <is>
          <t>2023-03-16</t>
        </is>
      </c>
      <c r="B5501" t="n">
        <v>11</v>
      </c>
      <c r="C5501" t="n">
        <v>3147</v>
      </c>
      <c r="D5501" s="6" t="n">
        <v>32.7</v>
      </c>
      <c r="E5501" s="6" t="n">
        <v>1369766.66</v>
      </c>
      <c r="F5501" s="6">
        <f>ROUND(E5501-E5500,2)</f>
        <v/>
      </c>
      <c r="G5501" s="6">
        <f>ROUND(F5501-D5501,2)</f>
        <v/>
      </c>
    </row>
    <row r="5502">
      <c r="A5502" t="inlineStr">
        <is>
          <t>2023-03-16</t>
        </is>
      </c>
      <c r="B5502" t="n">
        <v>12</v>
      </c>
      <c r="C5502" t="n">
        <v>3147</v>
      </c>
      <c r="D5502" s="6" t="n">
        <v>32.7</v>
      </c>
      <c r="E5502" s="6" t="n">
        <v>1369799.36</v>
      </c>
      <c r="F5502" s="6">
        <f>ROUND(E5502-E5501,2)</f>
        <v/>
      </c>
      <c r="G5502" s="6">
        <f>ROUND(F5502-D5502,2)</f>
        <v/>
      </c>
    </row>
    <row r="5503">
      <c r="A5503" t="inlineStr">
        <is>
          <t>2023-03-17</t>
        </is>
      </c>
      <c r="B5503" t="n">
        <v>1</v>
      </c>
      <c r="C5503" t="n">
        <v>3148</v>
      </c>
      <c r="D5503" s="6" t="n">
        <v>82.8</v>
      </c>
      <c r="E5503" s="6" t="n">
        <v>1369882.16</v>
      </c>
      <c r="F5503" s="6">
        <f>ROUND(E5503-E5502,2)</f>
        <v/>
      </c>
      <c r="G5503" s="6">
        <f>ROUND(F5503-D5503,2)</f>
        <v/>
      </c>
    </row>
    <row r="5504">
      <c r="A5504" t="inlineStr">
        <is>
          <t>2023-03-17</t>
        </is>
      </c>
      <c r="B5504" t="n">
        <v>2</v>
      </c>
      <c r="C5504" t="n">
        <v>3148</v>
      </c>
      <c r="D5504" s="6" t="n">
        <v>26.4</v>
      </c>
      <c r="E5504" s="6" t="n">
        <v>1369908.56</v>
      </c>
      <c r="F5504" s="6">
        <f>ROUND(E5504-E5503,2)</f>
        <v/>
      </c>
      <c r="G5504" s="6">
        <f>ROUND(F5504-D5504,2)</f>
        <v/>
      </c>
    </row>
    <row r="5505">
      <c r="A5505" t="inlineStr">
        <is>
          <t>2023-03-17</t>
        </is>
      </c>
      <c r="B5505" t="n">
        <v>3</v>
      </c>
      <c r="C5505" t="n">
        <v>3148</v>
      </c>
      <c r="D5505" s="6" t="n">
        <v>86.8</v>
      </c>
      <c r="E5505" s="6" t="n">
        <v>1369995.36</v>
      </c>
      <c r="F5505" s="6">
        <f>ROUND(E5505-E5504,2)</f>
        <v/>
      </c>
      <c r="G5505" s="6">
        <f>ROUND(F5505-D5505,2)</f>
        <v/>
      </c>
    </row>
    <row r="5506">
      <c r="A5506" t="inlineStr">
        <is>
          <t>2023-03-17</t>
        </is>
      </c>
      <c r="B5506" t="n">
        <v>4</v>
      </c>
      <c r="C5506" t="n">
        <v>3148</v>
      </c>
      <c r="D5506" s="6" t="n">
        <v>70.90000000000001</v>
      </c>
      <c r="E5506" s="6" t="n">
        <v>1370066.26</v>
      </c>
      <c r="F5506" s="6">
        <f>ROUND(E5506-E5505,2)</f>
        <v/>
      </c>
      <c r="G5506" s="6">
        <f>ROUND(F5506-D5506,2)</f>
        <v/>
      </c>
    </row>
    <row r="5507">
      <c r="A5507" t="inlineStr">
        <is>
          <t>2023-03-17</t>
        </is>
      </c>
      <c r="B5507" t="n">
        <v>5</v>
      </c>
      <c r="C5507" t="n">
        <v>3148</v>
      </c>
      <c r="D5507" s="6" t="n">
        <v>79</v>
      </c>
      <c r="E5507" s="6" t="n">
        <v>1370145.26</v>
      </c>
      <c r="F5507" s="6">
        <f>ROUND(E5507-E5506,2)</f>
        <v/>
      </c>
      <c r="G5507" s="6">
        <f>ROUND(F5507-D5507,2)</f>
        <v/>
      </c>
    </row>
    <row r="5508">
      <c r="A5508" t="inlineStr">
        <is>
          <t>2023-03-17</t>
        </is>
      </c>
      <c r="B5508" t="n">
        <v>6</v>
      </c>
      <c r="C5508" t="n">
        <v>3148</v>
      </c>
      <c r="D5508" s="6" t="n">
        <v>56.4</v>
      </c>
      <c r="E5508" s="6" t="n">
        <v>1370201.66</v>
      </c>
      <c r="F5508" s="6">
        <f>ROUND(E5508-E5507,2)</f>
        <v/>
      </c>
      <c r="G5508" s="6">
        <f>ROUND(F5508-D5508,2)</f>
        <v/>
      </c>
    </row>
    <row r="5509">
      <c r="A5509" t="inlineStr">
        <is>
          <t>2023-03-17</t>
        </is>
      </c>
      <c r="B5509" t="n">
        <v>7</v>
      </c>
      <c r="C5509" t="n">
        <v>3148</v>
      </c>
      <c r="D5509" s="6" t="n">
        <v>82.09999999999999</v>
      </c>
      <c r="E5509" s="6" t="n">
        <v>1370283.76</v>
      </c>
      <c r="F5509" s="6">
        <f>ROUND(E5509-E5508,2)</f>
        <v/>
      </c>
      <c r="G5509" s="6">
        <f>ROUND(F5509-D5509,2)</f>
        <v/>
      </c>
    </row>
    <row r="5510">
      <c r="A5510" t="inlineStr">
        <is>
          <t>2023-03-17</t>
        </is>
      </c>
      <c r="B5510" t="n">
        <v>8</v>
      </c>
      <c r="C5510" t="n">
        <v>3148</v>
      </c>
      <c r="D5510" s="6" t="n">
        <v>77.2</v>
      </c>
      <c r="E5510" s="6" t="n">
        <v>1370360.96</v>
      </c>
      <c r="F5510" s="6">
        <f>ROUND(E5510-E5509,2)</f>
        <v/>
      </c>
      <c r="G5510" s="6">
        <f>ROUND(F5510-D5510,2)</f>
        <v/>
      </c>
    </row>
    <row r="5511">
      <c r="A5511" t="inlineStr">
        <is>
          <t>2023-03-17</t>
        </is>
      </c>
      <c r="B5511" t="n">
        <v>9</v>
      </c>
      <c r="C5511" t="n">
        <v>3148</v>
      </c>
      <c r="D5511" s="6" t="n">
        <v>66.2</v>
      </c>
      <c r="E5511" s="6" t="n">
        <v>1370427.16</v>
      </c>
      <c r="F5511" s="6">
        <f>ROUND(E5511-E5510,2)</f>
        <v/>
      </c>
      <c r="G5511" s="6">
        <f>ROUND(F5511-D5511,2)</f>
        <v/>
      </c>
    </row>
    <row r="5512">
      <c r="A5512" t="inlineStr">
        <is>
          <t>2023-03-17</t>
        </is>
      </c>
      <c r="B5512" t="n">
        <v>10</v>
      </c>
      <c r="C5512" t="n">
        <v>3148</v>
      </c>
      <c r="D5512" s="6" t="n">
        <v>32.35</v>
      </c>
      <c r="E5512" s="6" t="n">
        <v>1370459.51</v>
      </c>
      <c r="F5512" s="6">
        <f>ROUND(E5512-E5511,2)</f>
        <v/>
      </c>
      <c r="G5512" s="6">
        <f>ROUND(F5512-D5512,2)</f>
        <v/>
      </c>
    </row>
    <row r="5513">
      <c r="A5513" t="inlineStr">
        <is>
          <t>2023-03-17</t>
        </is>
      </c>
      <c r="B5513" t="n">
        <v>11</v>
      </c>
      <c r="C5513" t="n">
        <v>3148</v>
      </c>
      <c r="D5513" s="6" t="n">
        <v>32.35</v>
      </c>
      <c r="E5513" s="6" t="n">
        <v>1370491.86</v>
      </c>
      <c r="F5513" s="6">
        <f>ROUND(E5513-E5512,2)</f>
        <v/>
      </c>
      <c r="G5513" s="6">
        <f>ROUND(F5513-D5513,2)</f>
        <v/>
      </c>
    </row>
    <row r="5514">
      <c r="A5514" t="inlineStr">
        <is>
          <t>2023-03-17</t>
        </is>
      </c>
      <c r="B5514" t="n">
        <v>12</v>
      </c>
      <c r="C5514" t="n">
        <v>3148</v>
      </c>
      <c r="D5514" s="6" t="n">
        <v>123.2</v>
      </c>
      <c r="E5514" s="6" t="n">
        <v>1370615.06</v>
      </c>
      <c r="F5514" s="6">
        <f>ROUND(E5514-E5513,2)</f>
        <v/>
      </c>
      <c r="G5514" s="6">
        <f>ROUND(F5514-D5514,2)</f>
        <v/>
      </c>
    </row>
    <row r="5515">
      <c r="A5515" t="inlineStr">
        <is>
          <t>2023-03-17</t>
        </is>
      </c>
      <c r="B5515" t="n">
        <v>13</v>
      </c>
      <c r="C5515" t="n">
        <v>3148</v>
      </c>
      <c r="D5515" s="6" t="n">
        <v>116.3</v>
      </c>
      <c r="E5515" s="6" t="n">
        <v>1370731.36</v>
      </c>
      <c r="F5515" s="6">
        <f>ROUND(E5515-E5514,2)</f>
        <v/>
      </c>
      <c r="G5515" s="6">
        <f>ROUND(F5515-D5515,2)</f>
        <v/>
      </c>
    </row>
    <row r="5516">
      <c r="A5516" t="inlineStr">
        <is>
          <t>2023-03-17</t>
        </is>
      </c>
      <c r="B5516" t="n">
        <v>14</v>
      </c>
      <c r="C5516" t="n">
        <v>3148</v>
      </c>
      <c r="D5516" s="6" t="n">
        <v>131.6</v>
      </c>
      <c r="E5516" s="6" t="n">
        <v>1370862.96</v>
      </c>
      <c r="F5516" s="6">
        <f>ROUND(E5516-E5515,2)</f>
        <v/>
      </c>
      <c r="G5516" s="6">
        <f>ROUND(F5516-D5516,2)</f>
        <v/>
      </c>
    </row>
    <row r="5517">
      <c r="A5517" t="inlineStr">
        <is>
          <t>2023-03-18</t>
        </is>
      </c>
      <c r="B5517" t="n">
        <v>1</v>
      </c>
      <c r="C5517" t="n">
        <v>3149</v>
      </c>
      <c r="D5517" s="6" t="n">
        <v>44</v>
      </c>
      <c r="E5517" s="6" t="n">
        <v>1370906.96</v>
      </c>
      <c r="F5517" s="6">
        <f>ROUND(E5517-E5516,2)</f>
        <v/>
      </c>
      <c r="G5517" s="6">
        <f>ROUND(F5517-D5517,2)</f>
        <v/>
      </c>
    </row>
    <row r="5518">
      <c r="A5518" t="inlineStr">
        <is>
          <t>2023-03-18</t>
        </is>
      </c>
      <c r="B5518" t="n">
        <v>2</v>
      </c>
      <c r="C5518" t="n">
        <v>3149</v>
      </c>
      <c r="D5518" s="6" t="n">
        <v>49.1</v>
      </c>
      <c r="E5518" s="6" t="n">
        <v>1370956.06</v>
      </c>
      <c r="F5518" s="6">
        <f>ROUND(E5518-E5517,2)</f>
        <v/>
      </c>
      <c r="G5518" s="6">
        <f>ROUND(F5518-D5518,2)</f>
        <v/>
      </c>
    </row>
    <row r="5519">
      <c r="A5519" t="inlineStr">
        <is>
          <t>2023-03-18</t>
        </is>
      </c>
      <c r="B5519" t="n">
        <v>3</v>
      </c>
      <c r="C5519" t="n">
        <v>3149</v>
      </c>
      <c r="D5519" s="6" t="n">
        <v>66.8</v>
      </c>
      <c r="E5519" s="6" t="n">
        <v>1371022.86</v>
      </c>
      <c r="F5519" s="6">
        <f>ROUND(E5519-E5518,2)</f>
        <v/>
      </c>
      <c r="G5519" s="6">
        <f>ROUND(F5519-D5519,2)</f>
        <v/>
      </c>
    </row>
    <row r="5520">
      <c r="A5520" t="inlineStr">
        <is>
          <t>2023-03-18</t>
        </is>
      </c>
      <c r="B5520" t="n">
        <v>4</v>
      </c>
      <c r="C5520" t="n">
        <v>3149</v>
      </c>
      <c r="D5520" s="6" t="n">
        <v>95</v>
      </c>
      <c r="E5520" s="6" t="n">
        <v>1371117.86</v>
      </c>
      <c r="F5520" s="6">
        <f>ROUND(E5520-E5519,2)</f>
        <v/>
      </c>
      <c r="G5520" s="6">
        <f>ROUND(F5520-D5520,2)</f>
        <v/>
      </c>
    </row>
    <row r="5521">
      <c r="A5521" t="inlineStr">
        <is>
          <t>2023-03-18</t>
        </is>
      </c>
      <c r="B5521" t="n">
        <v>5</v>
      </c>
      <c r="C5521" t="n">
        <v>3149</v>
      </c>
      <c r="D5521" s="6" t="n">
        <v>38.4</v>
      </c>
      <c r="E5521" s="6" t="n">
        <v>1371156.26</v>
      </c>
      <c r="F5521" s="6">
        <f>ROUND(E5521-E5520,2)</f>
        <v/>
      </c>
      <c r="G5521" s="6">
        <f>ROUND(F5521-D5521,2)</f>
        <v/>
      </c>
    </row>
    <row r="5522">
      <c r="A5522" t="inlineStr">
        <is>
          <t>2023-03-18</t>
        </is>
      </c>
      <c r="B5522" t="n">
        <v>6</v>
      </c>
      <c r="C5522" t="n">
        <v>3149</v>
      </c>
      <c r="D5522" s="6" t="n">
        <v>72</v>
      </c>
      <c r="E5522" s="6" t="n">
        <v>1371228.26</v>
      </c>
      <c r="F5522" s="6">
        <f>ROUND(E5522-E5521,2)</f>
        <v/>
      </c>
      <c r="G5522" s="6">
        <f>ROUND(F5522-D5522,2)</f>
        <v/>
      </c>
    </row>
    <row r="5523">
      <c r="A5523" t="inlineStr">
        <is>
          <t>2023-03-18</t>
        </is>
      </c>
      <c r="B5523" t="n">
        <v>7</v>
      </c>
      <c r="C5523" t="n">
        <v>3149</v>
      </c>
      <c r="D5523" s="6" t="n">
        <v>60.5</v>
      </c>
      <c r="E5523" s="6" t="n">
        <v>1371288.76</v>
      </c>
      <c r="F5523" s="6">
        <f>ROUND(E5523-E5522,2)</f>
        <v/>
      </c>
      <c r="G5523" s="6">
        <f>ROUND(F5523-D5523,2)</f>
        <v/>
      </c>
    </row>
    <row r="5524">
      <c r="A5524" t="inlineStr">
        <is>
          <t>2023-03-18</t>
        </is>
      </c>
      <c r="B5524" t="n">
        <v>8</v>
      </c>
      <c r="C5524" t="n">
        <v>3149</v>
      </c>
      <c r="D5524" s="6" t="n">
        <v>65.09999999999999</v>
      </c>
      <c r="E5524" s="6" t="n">
        <v>1371353.86</v>
      </c>
      <c r="F5524" s="6">
        <f>ROUND(E5524-E5523,2)</f>
        <v/>
      </c>
      <c r="G5524" s="6">
        <f>ROUND(F5524-D5524,2)</f>
        <v/>
      </c>
    </row>
    <row r="5525">
      <c r="A5525" t="inlineStr">
        <is>
          <t>2023-03-18</t>
        </is>
      </c>
      <c r="B5525" t="n">
        <v>9</v>
      </c>
      <c r="C5525" t="n">
        <v>3149</v>
      </c>
      <c r="D5525" s="6" t="n">
        <v>107.7</v>
      </c>
      <c r="E5525" s="6" t="n">
        <v>1371461.56</v>
      </c>
      <c r="F5525" s="6">
        <f>ROUND(E5525-E5524,2)</f>
        <v/>
      </c>
      <c r="G5525" s="6">
        <f>ROUND(F5525-D5525,2)</f>
        <v/>
      </c>
    </row>
    <row r="5526">
      <c r="A5526" t="inlineStr">
        <is>
          <t>2023-03-18</t>
        </is>
      </c>
      <c r="B5526" t="n">
        <v>10</v>
      </c>
      <c r="C5526" t="n">
        <v>3149</v>
      </c>
      <c r="D5526" s="6" t="n">
        <v>86.09999999999999</v>
      </c>
      <c r="E5526" s="6" t="n">
        <v>1371547.66</v>
      </c>
      <c r="F5526" s="6">
        <f>ROUND(E5526-E5525,2)</f>
        <v/>
      </c>
      <c r="G5526" s="6">
        <f>ROUND(F5526-D5526,2)</f>
        <v/>
      </c>
    </row>
    <row r="5527">
      <c r="A5527" t="inlineStr">
        <is>
          <t>2023-03-18</t>
        </is>
      </c>
      <c r="B5527" t="n">
        <v>11</v>
      </c>
      <c r="C5527" t="n">
        <v>3149</v>
      </c>
      <c r="D5527" s="6" t="n">
        <v>76.2</v>
      </c>
      <c r="E5527" s="6" t="n">
        <v>1371623.86</v>
      </c>
      <c r="F5527" s="6">
        <f>ROUND(E5527-E5526,2)</f>
        <v/>
      </c>
      <c r="G5527" s="6">
        <f>ROUND(F5527-D5527,2)</f>
        <v/>
      </c>
    </row>
    <row r="5528">
      <c r="A5528" t="inlineStr">
        <is>
          <t>2023-03-18</t>
        </is>
      </c>
      <c r="B5528" t="n">
        <v>12</v>
      </c>
      <c r="C5528" t="n">
        <v>3149</v>
      </c>
      <c r="D5528" s="6" t="n">
        <v>80.5</v>
      </c>
      <c r="E5528" s="6" t="n">
        <v>1371704.36</v>
      </c>
      <c r="F5528" s="6">
        <f>ROUND(E5528-E5527,2)</f>
        <v/>
      </c>
      <c r="G5528" s="6">
        <f>ROUND(F5528-D5528,2)</f>
        <v/>
      </c>
    </row>
    <row r="5529">
      <c r="A5529" t="inlineStr">
        <is>
          <t>2023-03-18</t>
        </is>
      </c>
      <c r="B5529" t="n">
        <v>13</v>
      </c>
      <c r="C5529" t="n">
        <v>3149</v>
      </c>
      <c r="D5529" s="6" t="n">
        <v>95.5</v>
      </c>
      <c r="E5529" s="6" t="n">
        <v>1371799.86</v>
      </c>
      <c r="F5529" s="6">
        <f>ROUND(E5529-E5528,2)</f>
        <v/>
      </c>
      <c r="G5529" s="6">
        <f>ROUND(F5529-D5529,2)</f>
        <v/>
      </c>
    </row>
    <row r="5530">
      <c r="A5530" t="inlineStr">
        <is>
          <t>2023-03-18</t>
        </is>
      </c>
      <c r="B5530" t="n">
        <v>14</v>
      </c>
      <c r="C5530" t="n">
        <v>3149</v>
      </c>
      <c r="D5530" s="6" t="n">
        <v>64.90000000000001</v>
      </c>
      <c r="E5530" s="6" t="n">
        <v>1371864.76</v>
      </c>
      <c r="F5530" s="6">
        <f>ROUND(E5530-E5529,2)</f>
        <v/>
      </c>
      <c r="G5530" s="6">
        <f>ROUND(F5530-D5530,2)</f>
        <v/>
      </c>
    </row>
    <row r="5531">
      <c r="A5531" t="inlineStr">
        <is>
          <t>2023-03-18</t>
        </is>
      </c>
      <c r="B5531" t="n">
        <v>15</v>
      </c>
      <c r="C5531" t="n">
        <v>3149</v>
      </c>
      <c r="D5531" s="6" t="n">
        <v>229.9</v>
      </c>
      <c r="E5531" s="6" t="n">
        <v>1372094.66</v>
      </c>
      <c r="F5531" s="6">
        <f>ROUND(E5531-E5530,2)</f>
        <v/>
      </c>
      <c r="G5531" s="6">
        <f>ROUND(F5531-D5531,2)</f>
        <v/>
      </c>
    </row>
    <row r="5532">
      <c r="A5532" t="inlineStr">
        <is>
          <t>2023-03-18</t>
        </is>
      </c>
      <c r="B5532" t="n">
        <v>16</v>
      </c>
      <c r="C5532" t="n">
        <v>3149</v>
      </c>
      <c r="D5532" s="6" t="n">
        <v>28.6</v>
      </c>
      <c r="E5532" s="6" t="n">
        <v>1372123.26</v>
      </c>
      <c r="F5532" s="6">
        <f>ROUND(E5532-E5531,2)</f>
        <v/>
      </c>
      <c r="G5532" s="6">
        <f>ROUND(F5532-D5532,2)</f>
        <v/>
      </c>
    </row>
    <row r="5533">
      <c r="A5533" t="inlineStr">
        <is>
          <t>2023-03-18</t>
        </is>
      </c>
      <c r="B5533" t="n">
        <v>17</v>
      </c>
      <c r="C5533" t="n">
        <v>3149</v>
      </c>
      <c r="D5533" s="6" t="n">
        <v>28.6</v>
      </c>
      <c r="E5533" s="6" t="n">
        <v>1372151.86</v>
      </c>
      <c r="F5533" s="6">
        <f>ROUND(E5533-E5532,2)</f>
        <v/>
      </c>
      <c r="G5533" s="6">
        <f>ROUND(F5533-D5533,2)</f>
        <v/>
      </c>
    </row>
    <row r="5534">
      <c r="A5534" t="inlineStr">
        <is>
          <t>2023-03-18</t>
        </is>
      </c>
      <c r="B5534" t="n">
        <v>18</v>
      </c>
      <c r="C5534" t="n">
        <v>3149</v>
      </c>
      <c r="D5534" s="6" t="n">
        <v>30.4</v>
      </c>
      <c r="E5534" s="6" t="n">
        <v>1372182.26</v>
      </c>
      <c r="F5534" s="6">
        <f>ROUND(E5534-E5533,2)</f>
        <v/>
      </c>
      <c r="G5534" s="6">
        <f>ROUND(F5534-D5534,2)</f>
        <v/>
      </c>
    </row>
    <row r="5535">
      <c r="A5535" t="inlineStr">
        <is>
          <t>2023-03-18</t>
        </is>
      </c>
      <c r="B5535" t="n">
        <v>19</v>
      </c>
      <c r="C5535" t="n">
        <v>3149</v>
      </c>
      <c r="D5535" s="6" t="n">
        <v>30</v>
      </c>
      <c r="E5535" s="6" t="n">
        <v>1372212.26</v>
      </c>
      <c r="F5535" s="6">
        <f>ROUND(E5535-E5534,2)</f>
        <v/>
      </c>
      <c r="G5535" s="6">
        <f>ROUND(F5535-D5535,2)</f>
        <v/>
      </c>
    </row>
    <row r="5536">
      <c r="A5536" t="inlineStr">
        <is>
          <t>2023-03-18</t>
        </is>
      </c>
      <c r="B5536" t="n">
        <v>20</v>
      </c>
      <c r="C5536" t="n">
        <v>3149</v>
      </c>
      <c r="D5536" s="6" t="n">
        <v>22.9</v>
      </c>
      <c r="E5536" s="6" t="n">
        <v>1372235.16</v>
      </c>
      <c r="F5536" s="6">
        <f>ROUND(E5536-E5535,2)</f>
        <v/>
      </c>
      <c r="G5536" s="6">
        <f>ROUND(F5536-D5536,2)</f>
        <v/>
      </c>
    </row>
    <row r="5537">
      <c r="A5537" t="inlineStr">
        <is>
          <t>2023-03-19</t>
        </is>
      </c>
      <c r="B5537" t="n">
        <v>1</v>
      </c>
      <c r="C5537" t="n">
        <v>3150</v>
      </c>
      <c r="D5537" s="6" t="n">
        <v>98.8</v>
      </c>
      <c r="E5537" s="6" t="n">
        <v>1372333.96</v>
      </c>
      <c r="F5537" s="6">
        <f>ROUND(E5537-E5536,2)</f>
        <v/>
      </c>
      <c r="G5537" s="6">
        <f>ROUND(F5537-D5537,2)</f>
        <v/>
      </c>
    </row>
    <row r="5538">
      <c r="A5538" t="inlineStr">
        <is>
          <t>2023-03-19</t>
        </is>
      </c>
      <c r="B5538" t="n">
        <v>2</v>
      </c>
      <c r="C5538" t="n">
        <v>3150</v>
      </c>
      <c r="D5538" s="6" t="n">
        <v>59.2</v>
      </c>
      <c r="E5538" s="6" t="n">
        <v>1372393.16</v>
      </c>
      <c r="F5538" s="6">
        <f>ROUND(E5538-E5537,2)</f>
        <v/>
      </c>
      <c r="G5538" s="6">
        <f>ROUND(F5538-D5538,2)</f>
        <v/>
      </c>
    </row>
    <row r="5539">
      <c r="A5539" t="inlineStr">
        <is>
          <t>2023-03-19</t>
        </is>
      </c>
      <c r="B5539" t="n">
        <v>3</v>
      </c>
      <c r="C5539" t="n">
        <v>3150</v>
      </c>
      <c r="D5539" s="6" t="n">
        <v>75.40000000000001</v>
      </c>
      <c r="E5539" s="6" t="n">
        <v>1372468.56</v>
      </c>
      <c r="F5539" s="6">
        <f>ROUND(E5539-E5538,2)</f>
        <v/>
      </c>
      <c r="G5539" s="6">
        <f>ROUND(F5539-D5539,2)</f>
        <v/>
      </c>
    </row>
    <row r="5540">
      <c r="A5540" t="inlineStr">
        <is>
          <t>2023-03-19</t>
        </is>
      </c>
      <c r="B5540" t="n">
        <v>4</v>
      </c>
      <c r="C5540" t="n">
        <v>3150</v>
      </c>
      <c r="D5540" s="6" t="n">
        <v>91.15000000000001</v>
      </c>
      <c r="E5540" s="6" t="n">
        <v>1372559.71</v>
      </c>
      <c r="F5540" s="6">
        <f>ROUND(E5540-E5539,2)</f>
        <v/>
      </c>
      <c r="G5540" s="6">
        <f>ROUND(F5540-D5540,2)</f>
        <v/>
      </c>
    </row>
    <row r="5541">
      <c r="A5541" t="inlineStr">
        <is>
          <t>2023-03-19</t>
        </is>
      </c>
      <c r="B5541" t="n">
        <v>5</v>
      </c>
      <c r="C5541" t="n">
        <v>3150</v>
      </c>
      <c r="D5541" s="6" t="n">
        <v>91.15000000000001</v>
      </c>
      <c r="E5541" s="6" t="n">
        <v>1372650.86</v>
      </c>
      <c r="F5541" s="6">
        <f>ROUND(E5541-E5540,2)</f>
        <v/>
      </c>
      <c r="G5541" s="6">
        <f>ROUND(F5541-D5541,2)</f>
        <v/>
      </c>
    </row>
    <row r="5542">
      <c r="A5542" t="inlineStr">
        <is>
          <t>2023-03-19</t>
        </is>
      </c>
      <c r="B5542" t="n">
        <v>6</v>
      </c>
      <c r="C5542" t="n">
        <v>3150</v>
      </c>
      <c r="D5542" s="6" t="n">
        <v>173.2</v>
      </c>
      <c r="E5542" s="6" t="n">
        <v>1372824.06</v>
      </c>
      <c r="F5542" s="6">
        <f>ROUND(E5542-E5541,2)</f>
        <v/>
      </c>
      <c r="G5542" s="6">
        <f>ROUND(F5542-D5542,2)</f>
        <v/>
      </c>
    </row>
    <row r="5543">
      <c r="A5543" t="inlineStr">
        <is>
          <t>2023-03-19</t>
        </is>
      </c>
      <c r="B5543" t="n">
        <v>7</v>
      </c>
      <c r="C5543" t="n">
        <v>3150</v>
      </c>
      <c r="D5543" s="6" t="n">
        <v>109.3</v>
      </c>
      <c r="E5543" s="6" t="n">
        <v>1372933.36</v>
      </c>
      <c r="F5543" s="6">
        <f>ROUND(E5543-E5542,2)</f>
        <v/>
      </c>
      <c r="G5543" s="6">
        <f>ROUND(F5543-D5543,2)</f>
        <v/>
      </c>
    </row>
    <row r="5544">
      <c r="A5544" t="inlineStr">
        <is>
          <t>2023-03-19</t>
        </is>
      </c>
      <c r="B5544" t="n">
        <v>8</v>
      </c>
      <c r="C5544" t="n">
        <v>3150</v>
      </c>
      <c r="D5544" s="6" t="n">
        <v>151.7</v>
      </c>
      <c r="E5544" s="6" t="n">
        <v>1373085.06</v>
      </c>
      <c r="F5544" s="6">
        <f>ROUND(E5544-E5543,2)</f>
        <v/>
      </c>
      <c r="G5544" s="6">
        <f>ROUND(F5544-D5544,2)</f>
        <v/>
      </c>
    </row>
    <row r="5545">
      <c r="A5545" t="inlineStr">
        <is>
          <t>2023-03-19</t>
        </is>
      </c>
      <c r="B5545" t="n">
        <v>9</v>
      </c>
      <c r="C5545" t="n">
        <v>3150</v>
      </c>
      <c r="D5545" s="6" t="n">
        <v>113</v>
      </c>
      <c r="E5545" s="6" t="n">
        <v>1373198.06</v>
      </c>
      <c r="F5545" s="6">
        <f>ROUND(E5545-E5544,2)</f>
        <v/>
      </c>
      <c r="G5545" s="6">
        <f>ROUND(F5545-D5545,2)</f>
        <v/>
      </c>
    </row>
    <row r="5546">
      <c r="A5546" t="inlineStr">
        <is>
          <t>2023-03-22</t>
        </is>
      </c>
      <c r="B5546" t="n">
        <v>1</v>
      </c>
      <c r="C5546" t="n">
        <v>3151</v>
      </c>
      <c r="D5546" s="6" t="n">
        <v>110.1</v>
      </c>
      <c r="E5546" s="6" t="n">
        <v>1373308.16</v>
      </c>
      <c r="F5546" s="6">
        <f>ROUND(E5546-E5545,2)</f>
        <v/>
      </c>
      <c r="G5546" s="6">
        <f>ROUND(F5546-D5546,2)</f>
        <v/>
      </c>
    </row>
    <row r="5547">
      <c r="A5547" t="inlineStr">
        <is>
          <t>2023-03-22</t>
        </is>
      </c>
      <c r="B5547" t="n">
        <v>2</v>
      </c>
      <c r="C5547" t="n">
        <v>3151</v>
      </c>
      <c r="D5547" s="6" t="n">
        <v>14.7</v>
      </c>
      <c r="E5547" s="6" t="n">
        <v>1373322.86</v>
      </c>
      <c r="F5547" s="6">
        <f>ROUND(E5547-E5546,2)</f>
        <v/>
      </c>
      <c r="G5547" s="6">
        <f>ROUND(F5547-D5547,2)</f>
        <v/>
      </c>
    </row>
    <row r="5548">
      <c r="A5548" t="inlineStr">
        <is>
          <t>2023-03-22</t>
        </is>
      </c>
      <c r="B5548" t="n">
        <v>3</v>
      </c>
      <c r="C5548" t="n">
        <v>3151</v>
      </c>
      <c r="D5548" s="6" t="n">
        <v>85</v>
      </c>
      <c r="E5548" s="6" t="n">
        <v>1373407.86</v>
      </c>
      <c r="F5548" s="6">
        <f>ROUND(E5548-E5547,2)</f>
        <v/>
      </c>
      <c r="G5548" s="6">
        <f>ROUND(F5548-D5548,2)</f>
        <v/>
      </c>
    </row>
    <row r="5549">
      <c r="A5549" t="inlineStr">
        <is>
          <t>2023-03-22</t>
        </is>
      </c>
      <c r="B5549" t="n">
        <v>4</v>
      </c>
      <c r="C5549" t="n">
        <v>3151</v>
      </c>
      <c r="D5549" s="6" t="n">
        <v>60.6</v>
      </c>
      <c r="E5549" s="6" t="n">
        <v>1373468.46</v>
      </c>
      <c r="F5549" s="6">
        <f>ROUND(E5549-E5548,2)</f>
        <v/>
      </c>
      <c r="G5549" s="6">
        <f>ROUND(F5549-D5549,2)</f>
        <v/>
      </c>
    </row>
    <row r="5550">
      <c r="A5550" t="inlineStr">
        <is>
          <t>2023-03-22</t>
        </is>
      </c>
      <c r="B5550" t="n">
        <v>5</v>
      </c>
      <c r="C5550" t="n">
        <v>3151</v>
      </c>
      <c r="D5550" s="6" t="n">
        <v>26.55</v>
      </c>
      <c r="E5550" s="6" t="n">
        <v>1373495.01</v>
      </c>
      <c r="F5550" s="6">
        <f>ROUND(E5550-E5549,2)</f>
        <v/>
      </c>
      <c r="G5550" s="6">
        <f>ROUND(F5550-D5550,2)</f>
        <v/>
      </c>
    </row>
    <row r="5551">
      <c r="A5551" t="inlineStr">
        <is>
          <t>2023-03-22</t>
        </is>
      </c>
      <c r="B5551" t="n">
        <v>6</v>
      </c>
      <c r="C5551" t="n">
        <v>3151</v>
      </c>
      <c r="D5551" s="6" t="n">
        <v>26.55</v>
      </c>
      <c r="E5551" s="6" t="n">
        <v>1373521.56</v>
      </c>
      <c r="F5551" s="6">
        <f>ROUND(E5551-E5550,2)</f>
        <v/>
      </c>
      <c r="G5551" s="6">
        <f>ROUND(F5551-D5551,2)</f>
        <v/>
      </c>
    </row>
    <row r="5552">
      <c r="A5552" t="inlineStr">
        <is>
          <t>2023-03-22</t>
        </is>
      </c>
      <c r="B5552" t="n">
        <v>7</v>
      </c>
      <c r="C5552" t="n">
        <v>3151</v>
      </c>
      <c r="D5552" s="6" t="n">
        <v>67</v>
      </c>
      <c r="E5552" s="6" t="n">
        <v>1373588.56</v>
      </c>
      <c r="F5552" s="6">
        <f>ROUND(E5552-E5551,2)</f>
        <v/>
      </c>
      <c r="G5552" s="6">
        <f>ROUND(F5552-D5552,2)</f>
        <v/>
      </c>
    </row>
    <row r="5553">
      <c r="A5553" t="inlineStr">
        <is>
          <t>2023-03-22</t>
        </is>
      </c>
      <c r="B5553" t="n">
        <v>8</v>
      </c>
      <c r="C5553" t="n">
        <v>3151</v>
      </c>
      <c r="D5553" s="6" t="n">
        <v>61.7</v>
      </c>
      <c r="E5553" s="6" t="n">
        <v>1373650.26</v>
      </c>
      <c r="F5553" s="6">
        <f>ROUND(E5553-E5552,2)</f>
        <v/>
      </c>
      <c r="G5553" s="6">
        <f>ROUND(F5553-D5553,2)</f>
        <v/>
      </c>
    </row>
    <row r="5554">
      <c r="A5554" t="inlineStr">
        <is>
          <t>2023-03-22</t>
        </is>
      </c>
      <c r="B5554" t="n">
        <v>9</v>
      </c>
      <c r="C5554" t="n">
        <v>3151</v>
      </c>
      <c r="D5554" s="6" t="n">
        <v>52.5</v>
      </c>
      <c r="E5554" s="6" t="n">
        <v>1373702.76</v>
      </c>
      <c r="F5554" s="6">
        <f>ROUND(E5554-E5553,2)</f>
        <v/>
      </c>
      <c r="G5554" s="6">
        <f>ROUND(F5554-D5554,2)</f>
        <v/>
      </c>
    </row>
    <row r="5555">
      <c r="A5555" t="inlineStr">
        <is>
          <t>2023-03-22</t>
        </is>
      </c>
      <c r="B5555" t="n">
        <v>10</v>
      </c>
      <c r="C5555" t="n">
        <v>3151</v>
      </c>
      <c r="D5555" s="6" t="n">
        <v>58</v>
      </c>
      <c r="E5555" s="6" t="n">
        <v>1373760.76</v>
      </c>
      <c r="F5555" s="6">
        <f>ROUND(E5555-E5554,2)</f>
        <v/>
      </c>
      <c r="G5555" s="6">
        <f>ROUND(F5555-D5555,2)</f>
        <v/>
      </c>
    </row>
    <row r="5556">
      <c r="A5556" t="inlineStr">
        <is>
          <t>2023-03-22</t>
        </is>
      </c>
      <c r="B5556" t="n">
        <v>11</v>
      </c>
      <c r="C5556" t="n">
        <v>3151</v>
      </c>
      <c r="D5556" s="6" t="n">
        <v>70</v>
      </c>
      <c r="E5556" s="6" t="n">
        <v>1373830.76</v>
      </c>
      <c r="F5556" s="6">
        <f>ROUND(E5556-E5555,2)</f>
        <v/>
      </c>
      <c r="G5556" s="6">
        <f>ROUND(F5556-D5556,2)</f>
        <v/>
      </c>
    </row>
    <row r="5557">
      <c r="A5557" t="inlineStr">
        <is>
          <t>2023-03-22</t>
        </is>
      </c>
      <c r="B5557" t="n">
        <v>12</v>
      </c>
      <c r="C5557" t="n">
        <v>3151</v>
      </c>
      <c r="D5557" s="6" t="n">
        <v>194.3</v>
      </c>
      <c r="E5557" s="6" t="n">
        <v>1374025.06</v>
      </c>
      <c r="F5557" s="6">
        <f>ROUND(E5557-E5556,2)</f>
        <v/>
      </c>
      <c r="G5557" s="6">
        <f>ROUND(F5557-D5557,2)</f>
        <v/>
      </c>
    </row>
    <row r="5558">
      <c r="A5558" t="inlineStr">
        <is>
          <t>2023-03-22</t>
        </is>
      </c>
      <c r="B5558" t="n">
        <v>13</v>
      </c>
      <c r="C5558" t="n">
        <v>3151</v>
      </c>
      <c r="D5558" s="6" t="n">
        <v>124.3</v>
      </c>
      <c r="E5558" s="6" t="n">
        <v>1374149.36</v>
      </c>
      <c r="F5558" s="6">
        <f>ROUND(E5558-E5557,2)</f>
        <v/>
      </c>
      <c r="G5558" s="6">
        <f>ROUND(F5558-D5558,2)</f>
        <v/>
      </c>
    </row>
    <row r="5559">
      <c r="A5559" t="inlineStr">
        <is>
          <t>2023-03-22</t>
        </is>
      </c>
      <c r="B5559" t="n">
        <v>14</v>
      </c>
      <c r="C5559" t="n">
        <v>3151</v>
      </c>
      <c r="D5559" s="6" t="n">
        <v>26.25</v>
      </c>
      <c r="E5559" s="6" t="n">
        <v>1374175.61</v>
      </c>
      <c r="F5559" s="6">
        <f>ROUND(E5559-E5558,2)</f>
        <v/>
      </c>
      <c r="G5559" s="6">
        <f>ROUND(F5559-D5559,2)</f>
        <v/>
      </c>
    </row>
    <row r="5560">
      <c r="A5560" t="inlineStr">
        <is>
          <t>2023-03-22</t>
        </is>
      </c>
      <c r="B5560" t="n">
        <v>15</v>
      </c>
      <c r="C5560" t="n">
        <v>3151</v>
      </c>
      <c r="D5560" s="6" t="n">
        <v>83.95</v>
      </c>
      <c r="E5560" s="6" t="n">
        <v>1374259.56</v>
      </c>
      <c r="F5560" s="6">
        <f>ROUND(E5560-E5559,2)</f>
        <v/>
      </c>
      <c r="G5560" s="6">
        <f>ROUND(F5560-D5560,2)</f>
        <v/>
      </c>
    </row>
    <row r="5561">
      <c r="A5561" t="inlineStr">
        <is>
          <t>2023-03-22</t>
        </is>
      </c>
      <c r="B5561" t="n">
        <v>16</v>
      </c>
      <c r="C5561" t="n">
        <v>3151</v>
      </c>
      <c r="D5561" s="6" t="n">
        <v>34.3</v>
      </c>
      <c r="E5561" s="6" t="n">
        <v>1374293.86</v>
      </c>
      <c r="F5561" s="6">
        <f>ROUND(E5561-E5560,2)</f>
        <v/>
      </c>
      <c r="G5561" s="6">
        <f>ROUND(F5561-D5561,2)</f>
        <v/>
      </c>
    </row>
    <row r="5562">
      <c r="A5562" t="inlineStr">
        <is>
          <t>2023-03-23</t>
        </is>
      </c>
      <c r="B5562" t="n">
        <v>1</v>
      </c>
      <c r="C5562" t="n">
        <v>3152</v>
      </c>
      <c r="D5562" s="6" t="n">
        <v>48.9</v>
      </c>
      <c r="E5562" s="6" t="n">
        <v>1374342.76</v>
      </c>
      <c r="F5562" s="6">
        <f>ROUND(E5562-E5561,2)</f>
        <v/>
      </c>
      <c r="G5562" s="6">
        <f>ROUND(F5562-D5562,2)</f>
        <v/>
      </c>
    </row>
    <row r="5563">
      <c r="A5563" t="inlineStr">
        <is>
          <t>2023-03-23</t>
        </is>
      </c>
      <c r="B5563" t="n">
        <v>2</v>
      </c>
      <c r="C5563" t="n">
        <v>3152</v>
      </c>
      <c r="D5563" s="6" t="n">
        <v>14.6</v>
      </c>
      <c r="E5563" s="6" t="n">
        <v>1374357.36</v>
      </c>
      <c r="F5563" s="6">
        <f>ROUND(E5563-E5562,2)</f>
        <v/>
      </c>
      <c r="G5563" s="6">
        <f>ROUND(F5563-D5563,2)</f>
        <v/>
      </c>
    </row>
    <row r="5564">
      <c r="A5564" t="inlineStr">
        <is>
          <t>2023-03-23</t>
        </is>
      </c>
      <c r="B5564" t="n">
        <v>3</v>
      </c>
      <c r="C5564" t="n">
        <v>3152</v>
      </c>
      <c r="D5564" s="6" t="n">
        <v>11.5</v>
      </c>
      <c r="E5564" s="6" t="n">
        <v>1374368.86</v>
      </c>
      <c r="F5564" s="6">
        <f>ROUND(E5564-E5563,2)</f>
        <v/>
      </c>
      <c r="G5564" s="6">
        <f>ROUND(F5564-D5564,2)</f>
        <v/>
      </c>
    </row>
    <row r="5565">
      <c r="A5565" t="inlineStr">
        <is>
          <t>2023-03-23</t>
        </is>
      </c>
      <c r="B5565" t="n">
        <v>4</v>
      </c>
      <c r="C5565" t="n">
        <v>3152</v>
      </c>
      <c r="D5565" s="6" t="n">
        <v>181</v>
      </c>
      <c r="E5565" s="6" t="n">
        <v>1374549.86</v>
      </c>
      <c r="F5565" s="6">
        <f>ROUND(E5565-E5564,2)</f>
        <v/>
      </c>
      <c r="G5565" s="6">
        <f>ROUND(F5565-D5565,2)</f>
        <v/>
      </c>
    </row>
    <row r="5566">
      <c r="A5566" t="inlineStr">
        <is>
          <t>2023-03-24</t>
        </is>
      </c>
      <c r="B5566" t="n">
        <v>1</v>
      </c>
      <c r="C5566" t="n">
        <v>3153</v>
      </c>
      <c r="D5566" s="6" t="n">
        <v>92.40000000000001</v>
      </c>
      <c r="E5566" s="6" t="n">
        <v>1374642.26</v>
      </c>
      <c r="F5566" s="6">
        <f>ROUND(E5566-E5565,2)</f>
        <v/>
      </c>
      <c r="G5566" s="6">
        <f>ROUND(F5566-D5566,2)</f>
        <v/>
      </c>
    </row>
    <row r="5567">
      <c r="A5567" t="inlineStr">
        <is>
          <t>2023-03-24</t>
        </is>
      </c>
      <c r="B5567" t="n">
        <v>2</v>
      </c>
      <c r="C5567" t="n">
        <v>3153</v>
      </c>
      <c r="D5567" s="6" t="n">
        <v>110.2</v>
      </c>
      <c r="E5567" s="6" t="n">
        <v>1374752.46</v>
      </c>
      <c r="F5567" s="6">
        <f>ROUND(E5567-E5566,2)</f>
        <v/>
      </c>
      <c r="G5567" s="6">
        <f>ROUND(F5567-D5567,2)</f>
        <v/>
      </c>
    </row>
    <row r="5568">
      <c r="A5568" t="inlineStr">
        <is>
          <t>2023-03-24</t>
        </is>
      </c>
      <c r="B5568" t="n">
        <v>3</v>
      </c>
      <c r="C5568" t="n">
        <v>3153</v>
      </c>
      <c r="D5568" s="6" t="n">
        <v>75</v>
      </c>
      <c r="E5568" s="6" t="n">
        <v>1374827.46</v>
      </c>
      <c r="F5568" s="6">
        <f>ROUND(E5568-E5567,2)</f>
        <v/>
      </c>
      <c r="G5568" s="6">
        <f>ROUND(F5568-D5568,2)</f>
        <v/>
      </c>
    </row>
    <row r="5569">
      <c r="A5569" t="inlineStr">
        <is>
          <t>2023-03-24</t>
        </is>
      </c>
      <c r="B5569" t="n">
        <v>4</v>
      </c>
      <c r="C5569" t="n">
        <v>3153</v>
      </c>
      <c r="D5569" s="6" t="n">
        <v>101.3</v>
      </c>
      <c r="E5569" s="6" t="n">
        <v>1374928.76</v>
      </c>
      <c r="F5569" s="6">
        <f>ROUND(E5569-E5568,2)</f>
        <v/>
      </c>
      <c r="G5569" s="6">
        <f>ROUND(F5569-D5569,2)</f>
        <v/>
      </c>
    </row>
    <row r="5570">
      <c r="A5570" t="inlineStr">
        <is>
          <t>2023-03-24</t>
        </is>
      </c>
      <c r="B5570" t="n">
        <v>5</v>
      </c>
      <c r="C5570" t="n">
        <v>3153</v>
      </c>
      <c r="D5570" s="6" t="n">
        <v>134.9</v>
      </c>
      <c r="E5570" s="6" t="n">
        <v>1375063.66</v>
      </c>
      <c r="F5570" s="6">
        <f>ROUND(E5570-E5569,2)</f>
        <v/>
      </c>
      <c r="G5570" s="6">
        <f>ROUND(F5570-D5570,2)</f>
        <v/>
      </c>
    </row>
    <row r="5571">
      <c r="A5571" t="inlineStr">
        <is>
          <t>2023-03-24</t>
        </is>
      </c>
      <c r="B5571" t="n">
        <v>6</v>
      </c>
      <c r="C5571" t="n">
        <v>3153</v>
      </c>
      <c r="D5571" s="6" t="n">
        <v>106</v>
      </c>
      <c r="E5571" s="6" t="n">
        <v>1375169.66</v>
      </c>
      <c r="F5571" s="6">
        <f>ROUND(E5571-E5570,2)</f>
        <v/>
      </c>
      <c r="G5571" s="6">
        <f>ROUND(F5571-D5571,2)</f>
        <v/>
      </c>
    </row>
    <row r="5572">
      <c r="A5572" t="inlineStr">
        <is>
          <t>2023-03-24</t>
        </is>
      </c>
      <c r="B5572" t="n">
        <v>7</v>
      </c>
      <c r="C5572" t="n">
        <v>3153</v>
      </c>
      <c r="D5572" s="6" t="n">
        <v>86.2</v>
      </c>
      <c r="E5572" s="6" t="n">
        <v>1375255.86</v>
      </c>
      <c r="F5572" s="6">
        <f>ROUND(E5572-E5571,2)</f>
        <v/>
      </c>
      <c r="G5572" s="6">
        <f>ROUND(F5572-D5572,2)</f>
        <v/>
      </c>
    </row>
    <row r="5573">
      <c r="A5573" t="inlineStr">
        <is>
          <t>2023-03-24</t>
        </is>
      </c>
      <c r="B5573" t="n">
        <v>8</v>
      </c>
      <c r="C5573" t="n">
        <v>3153</v>
      </c>
      <c r="D5573" s="6" t="n">
        <v>106.4</v>
      </c>
      <c r="E5573" s="6" t="n">
        <v>1375362.26</v>
      </c>
      <c r="F5573" s="6">
        <f>ROUND(E5573-E5572,2)</f>
        <v/>
      </c>
      <c r="G5573" s="6">
        <f>ROUND(F5573-D5573,2)</f>
        <v/>
      </c>
    </row>
    <row r="5574">
      <c r="A5574" t="inlineStr">
        <is>
          <t>2023-03-24</t>
        </is>
      </c>
      <c r="B5574" t="n">
        <v>9</v>
      </c>
      <c r="C5574" t="n">
        <v>3153</v>
      </c>
      <c r="D5574" s="6" t="n">
        <v>83.90000000000001</v>
      </c>
      <c r="E5574" s="6" t="n">
        <v>1375446.16</v>
      </c>
      <c r="F5574" s="6">
        <f>ROUND(E5574-E5573,2)</f>
        <v/>
      </c>
      <c r="G5574" s="6">
        <f>ROUND(F5574-D5574,2)</f>
        <v/>
      </c>
    </row>
    <row r="5575">
      <c r="A5575" t="inlineStr">
        <is>
          <t>2023-03-25</t>
        </is>
      </c>
      <c r="B5575" t="n">
        <v>1</v>
      </c>
      <c r="C5575" t="n">
        <v>3154</v>
      </c>
      <c r="D5575" s="6" t="n">
        <v>94.5</v>
      </c>
      <c r="E5575" s="6" t="n">
        <v>1375540.66</v>
      </c>
      <c r="F5575" s="6">
        <f>ROUND(E5575-E5574,2)</f>
        <v/>
      </c>
      <c r="G5575" s="6">
        <f>ROUND(F5575-D5575,2)</f>
        <v/>
      </c>
    </row>
    <row r="5576">
      <c r="A5576" t="inlineStr">
        <is>
          <t>2023-03-25</t>
        </is>
      </c>
      <c r="B5576" t="n">
        <v>2</v>
      </c>
      <c r="C5576" t="n">
        <v>3154</v>
      </c>
      <c r="D5576" s="6" t="n">
        <v>255.5</v>
      </c>
      <c r="E5576" s="6" t="n">
        <v>1375796.16</v>
      </c>
      <c r="F5576" s="6">
        <f>ROUND(E5576-E5575,2)</f>
        <v/>
      </c>
      <c r="G5576" s="6">
        <f>ROUND(F5576-D5576,2)</f>
        <v/>
      </c>
    </row>
    <row r="5577">
      <c r="A5577" t="inlineStr">
        <is>
          <t>2023-03-25</t>
        </is>
      </c>
      <c r="B5577" t="n">
        <v>3</v>
      </c>
      <c r="C5577" t="n">
        <v>3154</v>
      </c>
      <c r="D5577" s="6" t="n">
        <v>60.8</v>
      </c>
      <c r="E5577" s="6" t="n">
        <v>1375856.96</v>
      </c>
      <c r="F5577" s="6">
        <f>ROUND(E5577-E5576,2)</f>
        <v/>
      </c>
      <c r="G5577" s="6">
        <f>ROUND(F5577-D5577,2)</f>
        <v/>
      </c>
    </row>
    <row r="5578">
      <c r="A5578" t="inlineStr">
        <is>
          <t>2023-03-25</t>
        </is>
      </c>
      <c r="B5578" t="n">
        <v>4</v>
      </c>
      <c r="C5578" t="n">
        <v>3154</v>
      </c>
      <c r="D5578" s="6" t="n">
        <v>31.7</v>
      </c>
      <c r="E5578" s="6" t="n">
        <v>1375888.66</v>
      </c>
      <c r="F5578" s="6">
        <f>ROUND(E5578-E5577,2)</f>
        <v/>
      </c>
      <c r="G5578" s="6">
        <f>ROUND(F5578-D5578,2)</f>
        <v/>
      </c>
    </row>
    <row r="5579">
      <c r="A5579" t="inlineStr">
        <is>
          <t>2023-03-25</t>
        </is>
      </c>
      <c r="B5579" t="n">
        <v>5</v>
      </c>
      <c r="C5579" t="n">
        <v>3154</v>
      </c>
      <c r="D5579" s="6" t="n">
        <v>31.7</v>
      </c>
      <c r="E5579" s="6" t="n">
        <v>1375920.36</v>
      </c>
      <c r="F5579" s="6">
        <f>ROUND(E5579-E5578,2)</f>
        <v/>
      </c>
      <c r="G5579" s="6">
        <f>ROUND(F5579-D5579,2)</f>
        <v/>
      </c>
    </row>
    <row r="5580">
      <c r="A5580" t="inlineStr">
        <is>
          <t>2023-03-25</t>
        </is>
      </c>
      <c r="B5580" t="n">
        <v>6</v>
      </c>
      <c r="C5580" t="n">
        <v>3154</v>
      </c>
      <c r="D5580" s="6" t="n">
        <v>55.4</v>
      </c>
      <c r="E5580" s="6" t="n">
        <v>1375975.76</v>
      </c>
      <c r="F5580" s="6">
        <f>ROUND(E5580-E5579,2)</f>
        <v/>
      </c>
      <c r="G5580" s="6">
        <f>ROUND(F5580-D5580,2)</f>
        <v/>
      </c>
    </row>
    <row r="5581">
      <c r="A5581" t="inlineStr">
        <is>
          <t>2023-03-25</t>
        </is>
      </c>
      <c r="B5581" t="n">
        <v>7</v>
      </c>
      <c r="C5581" t="n">
        <v>3154</v>
      </c>
      <c r="D5581" s="6" t="n">
        <v>116.3</v>
      </c>
      <c r="E5581" s="6" t="n">
        <v>1376092.06</v>
      </c>
      <c r="F5581" s="6">
        <f>ROUND(E5581-E5580,2)</f>
        <v/>
      </c>
      <c r="G5581" s="6">
        <f>ROUND(F5581-D5581,2)</f>
        <v/>
      </c>
    </row>
    <row r="5582">
      <c r="A5582" t="inlineStr">
        <is>
          <t>2023-03-25</t>
        </is>
      </c>
      <c r="B5582" t="n">
        <v>8</v>
      </c>
      <c r="C5582" t="n">
        <v>3154</v>
      </c>
      <c r="D5582" s="6" t="n">
        <v>142</v>
      </c>
      <c r="E5582" s="6" t="n">
        <v>1376234.06</v>
      </c>
      <c r="F5582" s="6">
        <f>ROUND(E5582-E5581,2)</f>
        <v/>
      </c>
      <c r="G5582" s="6">
        <f>ROUND(F5582-D5582,2)</f>
        <v/>
      </c>
    </row>
    <row r="5583">
      <c r="A5583" t="inlineStr">
        <is>
          <t>2023-03-25</t>
        </is>
      </c>
      <c r="B5583" t="n">
        <v>9</v>
      </c>
      <c r="C5583" t="n">
        <v>3154</v>
      </c>
      <c r="D5583" s="6" t="n">
        <v>110.2</v>
      </c>
      <c r="E5583" s="6" t="n">
        <v>1376344.26</v>
      </c>
      <c r="F5583" s="6">
        <f>ROUND(E5583-E5582,2)</f>
        <v/>
      </c>
      <c r="G5583" s="6">
        <f>ROUND(F5583-D5583,2)</f>
        <v/>
      </c>
    </row>
    <row r="5584">
      <c r="A5584" t="inlineStr">
        <is>
          <t>2023-03-25</t>
        </is>
      </c>
      <c r="B5584" t="n">
        <v>10</v>
      </c>
      <c r="C5584" t="n">
        <v>3154</v>
      </c>
      <c r="D5584" s="6" t="n">
        <v>164</v>
      </c>
      <c r="E5584" s="6" t="n">
        <v>1376508.26</v>
      </c>
      <c r="F5584" s="6">
        <f>ROUND(E5584-E5583,2)</f>
        <v/>
      </c>
      <c r="G5584" s="6">
        <f>ROUND(F5584-D5584,2)</f>
        <v/>
      </c>
    </row>
    <row r="5585">
      <c r="A5585" t="inlineStr">
        <is>
          <t>2023-03-25</t>
        </is>
      </c>
      <c r="B5585" t="n">
        <v>11</v>
      </c>
      <c r="C5585" t="n">
        <v>3154</v>
      </c>
      <c r="D5585" s="6" t="n">
        <v>170.1</v>
      </c>
      <c r="E5585" s="6" t="n">
        <v>1376678.36</v>
      </c>
      <c r="F5585" s="6">
        <f>ROUND(E5585-E5584,2)</f>
        <v/>
      </c>
      <c r="G5585" s="6">
        <f>ROUND(F5585-D5585,2)</f>
        <v/>
      </c>
    </row>
    <row r="5586">
      <c r="A5586" t="inlineStr">
        <is>
          <t>2023-03-25</t>
        </is>
      </c>
      <c r="B5586" t="n">
        <v>12</v>
      </c>
      <c r="C5586" t="n">
        <v>3154</v>
      </c>
      <c r="D5586" s="6" t="n">
        <v>61.6</v>
      </c>
      <c r="E5586" s="6" t="n">
        <v>1376739.96</v>
      </c>
      <c r="F5586" s="6">
        <f>ROUND(E5586-E5585,2)</f>
        <v/>
      </c>
      <c r="G5586" s="6">
        <f>ROUND(F5586-D5586,2)</f>
        <v/>
      </c>
    </row>
    <row r="5587">
      <c r="A5587" t="inlineStr">
        <is>
          <t>2023-03-25</t>
        </is>
      </c>
      <c r="B5587" t="n">
        <v>13</v>
      </c>
      <c r="C5587" t="n">
        <v>3154</v>
      </c>
      <c r="D5587" s="6" t="n">
        <v>79.09999999999999</v>
      </c>
      <c r="E5587" s="6" t="n">
        <v>1376819.06</v>
      </c>
      <c r="F5587" s="6">
        <f>ROUND(E5587-E5586,2)</f>
        <v/>
      </c>
      <c r="G5587" s="6">
        <f>ROUND(F5587-D5587,2)</f>
        <v/>
      </c>
    </row>
    <row r="5588">
      <c r="A5588" t="inlineStr">
        <is>
          <t>2023-03-25</t>
        </is>
      </c>
      <c r="B5588" t="n">
        <v>14</v>
      </c>
      <c r="C5588" t="n">
        <v>3154</v>
      </c>
      <c r="D5588" s="6" t="n">
        <v>72.90000000000001</v>
      </c>
      <c r="E5588" s="6" t="n">
        <v>1376891.96</v>
      </c>
      <c r="F5588" s="6">
        <f>ROUND(E5588-E5587,2)</f>
        <v/>
      </c>
      <c r="G5588" s="6">
        <f>ROUND(F5588-D5588,2)</f>
        <v/>
      </c>
    </row>
    <row r="5589">
      <c r="A5589" t="inlineStr">
        <is>
          <t>2023-03-25</t>
        </is>
      </c>
      <c r="B5589" t="n">
        <v>15</v>
      </c>
      <c r="C5589" t="n">
        <v>3154</v>
      </c>
      <c r="D5589" s="6" t="n">
        <v>47.6</v>
      </c>
      <c r="E5589" s="6" t="n">
        <v>1376939.56</v>
      </c>
      <c r="F5589" s="6">
        <f>ROUND(E5589-E5588,2)</f>
        <v/>
      </c>
      <c r="G5589" s="6">
        <f>ROUND(F5589-D5589,2)</f>
        <v/>
      </c>
    </row>
    <row r="5590">
      <c r="A5590" t="inlineStr">
        <is>
          <t>2023-03-25</t>
        </is>
      </c>
      <c r="B5590" t="n">
        <v>16</v>
      </c>
      <c r="C5590" t="n">
        <v>3154</v>
      </c>
      <c r="D5590" s="6" t="n">
        <v>39.95</v>
      </c>
      <c r="E5590" s="6" t="n">
        <v>1376979.51</v>
      </c>
      <c r="F5590" s="6">
        <f>ROUND(E5590-E5589,2)</f>
        <v/>
      </c>
      <c r="G5590" s="6">
        <f>ROUND(F5590-D5590,2)</f>
        <v/>
      </c>
    </row>
    <row r="5591">
      <c r="A5591" t="inlineStr">
        <is>
          <t>2023-03-25</t>
        </is>
      </c>
      <c r="B5591" t="n">
        <v>17</v>
      </c>
      <c r="C5591" t="n">
        <v>3154</v>
      </c>
      <c r="D5591" s="6" t="n">
        <v>39.95</v>
      </c>
      <c r="E5591" s="6" t="n">
        <v>1377019.46</v>
      </c>
      <c r="F5591" s="6">
        <f>ROUND(E5591-E5590,2)</f>
        <v/>
      </c>
      <c r="G5591" s="6">
        <f>ROUND(F5591-D5591,2)</f>
        <v/>
      </c>
    </row>
    <row r="5592">
      <c r="A5592" t="inlineStr">
        <is>
          <t>2023-03-25</t>
        </is>
      </c>
      <c r="B5592" t="n">
        <v>18</v>
      </c>
      <c r="C5592" t="n">
        <v>3154</v>
      </c>
      <c r="D5592" s="6" t="n">
        <v>118.4</v>
      </c>
      <c r="E5592" s="6" t="n">
        <v>1377137.86</v>
      </c>
      <c r="F5592" s="6">
        <f>ROUND(E5592-E5591,2)</f>
        <v/>
      </c>
      <c r="G5592" s="6">
        <f>ROUND(F5592-D5592,2)</f>
        <v/>
      </c>
    </row>
    <row r="5593">
      <c r="A5593" t="inlineStr">
        <is>
          <t>2023-03-25</t>
        </is>
      </c>
      <c r="B5593" t="n">
        <v>19</v>
      </c>
      <c r="C5593" t="n">
        <v>3154</v>
      </c>
      <c r="D5593" s="6" t="n">
        <v>118.4</v>
      </c>
      <c r="E5593" s="6" t="n">
        <v>1377256.26</v>
      </c>
      <c r="F5593" s="6">
        <f>ROUND(E5593-E5592,2)</f>
        <v/>
      </c>
      <c r="G5593" s="6">
        <f>ROUND(F5593-D5593,2)</f>
        <v/>
      </c>
    </row>
    <row r="5594">
      <c r="A5594" t="inlineStr">
        <is>
          <t>2023-03-25</t>
        </is>
      </c>
      <c r="B5594" t="n">
        <v>20</v>
      </c>
      <c r="C5594" t="n">
        <v>3154</v>
      </c>
      <c r="D5594" s="6" t="n">
        <v>245.3</v>
      </c>
      <c r="E5594" s="6" t="n">
        <v>1377501.56</v>
      </c>
      <c r="F5594" s="6">
        <f>ROUND(E5594-E5593,2)</f>
        <v/>
      </c>
      <c r="G5594" s="6">
        <f>ROUND(F5594-D5594,2)</f>
        <v/>
      </c>
    </row>
    <row r="5595">
      <c r="A5595" t="inlineStr">
        <is>
          <t>2023-03-26</t>
        </is>
      </c>
      <c r="B5595" t="n">
        <v>1</v>
      </c>
      <c r="C5595" t="n">
        <v>3155</v>
      </c>
      <c r="D5595" s="6" t="n">
        <v>78.3</v>
      </c>
      <c r="E5595" s="6" t="n">
        <v>1377579.86</v>
      </c>
      <c r="F5595" s="6">
        <f>ROUND(E5595-E5594,2)</f>
        <v/>
      </c>
      <c r="G5595" s="6">
        <f>ROUND(F5595-D5595,2)</f>
        <v/>
      </c>
    </row>
    <row r="5596">
      <c r="A5596" t="inlineStr">
        <is>
          <t>2023-03-26</t>
        </is>
      </c>
      <c r="B5596" t="n">
        <v>2</v>
      </c>
      <c r="C5596" t="n">
        <v>3155</v>
      </c>
      <c r="D5596" s="6" t="n">
        <v>86.3</v>
      </c>
      <c r="E5596" s="6" t="n">
        <v>1377666.16</v>
      </c>
      <c r="F5596" s="6">
        <f>ROUND(E5596-E5595,2)</f>
        <v/>
      </c>
      <c r="G5596" s="6">
        <f>ROUND(F5596-D5596,2)</f>
        <v/>
      </c>
    </row>
    <row r="5597">
      <c r="A5597" t="inlineStr">
        <is>
          <t>2023-03-26</t>
        </is>
      </c>
      <c r="B5597" t="n">
        <v>3</v>
      </c>
      <c r="C5597" t="n">
        <v>3155</v>
      </c>
      <c r="D5597" s="6" t="n">
        <v>71.40000000000001</v>
      </c>
      <c r="E5597" s="6" t="n">
        <v>1377737.56</v>
      </c>
      <c r="F5597" s="6">
        <f>ROUND(E5597-E5596,2)</f>
        <v/>
      </c>
      <c r="G5597" s="6">
        <f>ROUND(F5597-D5597,2)</f>
        <v/>
      </c>
    </row>
    <row r="5598">
      <c r="A5598" t="inlineStr">
        <is>
          <t>2023-03-26</t>
        </is>
      </c>
      <c r="B5598" t="n">
        <v>4</v>
      </c>
      <c r="C5598" t="n">
        <v>3155</v>
      </c>
      <c r="D5598" s="6" t="n">
        <v>25.6</v>
      </c>
      <c r="E5598" s="6" t="n">
        <v>1377763.16</v>
      </c>
      <c r="F5598" s="6">
        <f>ROUND(E5598-E5597,2)</f>
        <v/>
      </c>
      <c r="G5598" s="6">
        <f>ROUND(F5598-D5598,2)</f>
        <v/>
      </c>
    </row>
    <row r="5599">
      <c r="A5599" t="inlineStr">
        <is>
          <t>2023-03-26</t>
        </is>
      </c>
      <c r="B5599" t="n">
        <v>5</v>
      </c>
      <c r="C5599" t="n">
        <v>3155</v>
      </c>
      <c r="D5599" s="6" t="n">
        <v>89.5</v>
      </c>
      <c r="E5599" s="6" t="n">
        <v>1377852.66</v>
      </c>
      <c r="F5599" s="6">
        <f>ROUND(E5599-E5598,2)</f>
        <v/>
      </c>
      <c r="G5599" s="6">
        <f>ROUND(F5599-D5599,2)</f>
        <v/>
      </c>
    </row>
    <row r="5600">
      <c r="A5600" t="inlineStr">
        <is>
          <t>2023-03-26</t>
        </is>
      </c>
      <c r="B5600" t="n">
        <v>6</v>
      </c>
      <c r="C5600" t="n">
        <v>3155</v>
      </c>
      <c r="D5600" s="6" t="n">
        <v>106.2</v>
      </c>
      <c r="E5600" s="6" t="n">
        <v>1377958.86</v>
      </c>
      <c r="F5600" s="6">
        <f>ROUND(E5600-E5599,2)</f>
        <v/>
      </c>
      <c r="G5600" s="6">
        <f>ROUND(F5600-D5600,2)</f>
        <v/>
      </c>
    </row>
    <row r="5601">
      <c r="A5601" t="inlineStr">
        <is>
          <t>2023-03-26</t>
        </is>
      </c>
      <c r="B5601" t="n">
        <v>7</v>
      </c>
      <c r="C5601" t="n">
        <v>3155</v>
      </c>
      <c r="D5601" s="6" t="n">
        <v>182.5</v>
      </c>
      <c r="E5601" s="6" t="n">
        <v>1378141.36</v>
      </c>
      <c r="F5601" s="6">
        <f>ROUND(E5601-E5600,2)</f>
        <v/>
      </c>
      <c r="G5601" s="6">
        <f>ROUND(F5601-D5601,2)</f>
        <v/>
      </c>
    </row>
    <row r="5602">
      <c r="A5602" t="inlineStr">
        <is>
          <t>2023-03-26</t>
        </is>
      </c>
      <c r="B5602" t="n">
        <v>8</v>
      </c>
      <c r="C5602" t="n">
        <v>3155</v>
      </c>
      <c r="D5602" s="6" t="n">
        <v>38.2</v>
      </c>
      <c r="E5602" s="6" t="n">
        <v>1378179.56</v>
      </c>
      <c r="F5602" s="6">
        <f>ROUND(E5602-E5601,2)</f>
        <v/>
      </c>
      <c r="G5602" s="6">
        <f>ROUND(F5602-D5602,2)</f>
        <v/>
      </c>
    </row>
    <row r="5603">
      <c r="A5603" t="inlineStr">
        <is>
          <t>2023-03-26</t>
        </is>
      </c>
      <c r="B5603" t="n">
        <v>9</v>
      </c>
      <c r="C5603" t="n">
        <v>3155</v>
      </c>
      <c r="D5603" s="6" t="n">
        <v>38.2</v>
      </c>
      <c r="E5603" s="6" t="n">
        <v>1378217.76</v>
      </c>
      <c r="F5603" s="6">
        <f>ROUND(E5603-E5602,2)</f>
        <v/>
      </c>
      <c r="G5603" s="6">
        <f>ROUND(F5603-D5603,2)</f>
        <v/>
      </c>
    </row>
    <row r="5604">
      <c r="A5604" t="inlineStr">
        <is>
          <t>2023-03-26</t>
        </is>
      </c>
      <c r="B5604" t="n">
        <v>10</v>
      </c>
      <c r="C5604" t="n">
        <v>3155</v>
      </c>
      <c r="D5604" s="6" t="n">
        <v>81.2</v>
      </c>
      <c r="E5604" s="6" t="n">
        <v>1378298.96</v>
      </c>
      <c r="F5604" s="6">
        <f>ROUND(E5604-E5603,2)</f>
        <v/>
      </c>
      <c r="G5604" s="6">
        <f>ROUND(F5604-D5604,2)</f>
        <v/>
      </c>
    </row>
    <row r="5605">
      <c r="A5605" t="inlineStr">
        <is>
          <t>2023-03-26</t>
        </is>
      </c>
      <c r="B5605" t="n">
        <v>11</v>
      </c>
      <c r="C5605" t="n">
        <v>3155</v>
      </c>
      <c r="D5605" s="6" t="n">
        <v>39.2</v>
      </c>
      <c r="E5605" s="6" t="n">
        <v>1378338.16</v>
      </c>
      <c r="F5605" s="6">
        <f>ROUND(E5605-E5604,2)</f>
        <v/>
      </c>
      <c r="G5605" s="6">
        <f>ROUND(F5605-D5605,2)</f>
        <v/>
      </c>
    </row>
    <row r="5606">
      <c r="A5606" t="inlineStr">
        <is>
          <t>2023-03-26</t>
        </is>
      </c>
      <c r="B5606" t="n">
        <v>12</v>
      </c>
      <c r="C5606" t="n">
        <v>3155</v>
      </c>
      <c r="D5606" s="6" t="n">
        <v>39.2</v>
      </c>
      <c r="E5606" s="6" t="n">
        <v>1378377.36</v>
      </c>
      <c r="F5606" s="6">
        <f>ROUND(E5606-E5605,2)</f>
        <v/>
      </c>
      <c r="G5606" s="6">
        <f>ROUND(F5606-D5606,2)</f>
        <v/>
      </c>
    </row>
    <row r="5607">
      <c r="A5607" t="inlineStr">
        <is>
          <t>2023-03-29</t>
        </is>
      </c>
      <c r="B5607" t="n">
        <v>1</v>
      </c>
      <c r="C5607" t="n">
        <v>3156</v>
      </c>
      <c r="D5607" s="6" t="n">
        <v>10.8</v>
      </c>
      <c r="E5607" s="6" t="n">
        <v>1378388.16</v>
      </c>
      <c r="F5607" s="6">
        <f>ROUND(E5607-E5606,2)</f>
        <v/>
      </c>
      <c r="G5607" s="6">
        <f>ROUND(F5607-D5607,2)</f>
        <v/>
      </c>
    </row>
    <row r="5608">
      <c r="A5608" t="inlineStr">
        <is>
          <t>2023-03-29</t>
        </is>
      </c>
      <c r="B5608" t="n">
        <v>2</v>
      </c>
      <c r="C5608" t="n">
        <v>3156</v>
      </c>
      <c r="D5608" s="6" t="n">
        <v>53.5</v>
      </c>
      <c r="E5608" s="6" t="n">
        <v>1378441.66</v>
      </c>
      <c r="F5608" s="6">
        <f>ROUND(E5608-E5607,2)</f>
        <v/>
      </c>
      <c r="G5608" s="6">
        <f>ROUND(F5608-D5608,2)</f>
        <v/>
      </c>
    </row>
    <row r="5609">
      <c r="A5609" t="inlineStr">
        <is>
          <t>2023-03-29</t>
        </is>
      </c>
      <c r="B5609" t="n">
        <v>3</v>
      </c>
      <c r="C5609" t="n">
        <v>3156</v>
      </c>
      <c r="D5609" s="6" t="n">
        <v>65.3</v>
      </c>
      <c r="E5609" s="6" t="n">
        <v>1378506.96</v>
      </c>
      <c r="F5609" s="6">
        <f>ROUND(E5609-E5608,2)</f>
        <v/>
      </c>
      <c r="G5609" s="6">
        <f>ROUND(F5609-D5609,2)</f>
        <v/>
      </c>
    </row>
    <row r="5610">
      <c r="A5610" t="inlineStr">
        <is>
          <t>2023-03-29</t>
        </is>
      </c>
      <c r="B5610" t="n">
        <v>4</v>
      </c>
      <c r="C5610" t="n">
        <v>3156</v>
      </c>
      <c r="D5610" s="6" t="n">
        <v>67.90000000000001</v>
      </c>
      <c r="E5610" s="6" t="n">
        <v>1378574.86</v>
      </c>
      <c r="F5610" s="6">
        <f>ROUND(E5610-E5609,2)</f>
        <v/>
      </c>
      <c r="G5610" s="6">
        <f>ROUND(F5610-D5610,2)</f>
        <v/>
      </c>
    </row>
    <row r="5611">
      <c r="A5611" t="inlineStr">
        <is>
          <t>2023-03-29</t>
        </is>
      </c>
      <c r="B5611" t="n">
        <v>5</v>
      </c>
      <c r="C5611" t="n">
        <v>3156</v>
      </c>
      <c r="D5611" s="6" t="n">
        <v>62.1</v>
      </c>
      <c r="E5611" s="6" t="n">
        <v>1378636.96</v>
      </c>
      <c r="F5611" s="6">
        <f>ROUND(E5611-E5610,2)</f>
        <v/>
      </c>
      <c r="G5611" s="6">
        <f>ROUND(F5611-D5611,2)</f>
        <v/>
      </c>
    </row>
    <row r="5612">
      <c r="A5612" t="inlineStr">
        <is>
          <t>2023-03-29</t>
        </is>
      </c>
      <c r="B5612" t="n">
        <v>6</v>
      </c>
      <c r="C5612" t="n">
        <v>3156</v>
      </c>
      <c r="D5612" s="6" t="n">
        <v>66.2</v>
      </c>
      <c r="E5612" s="6" t="n">
        <v>1378703.16</v>
      </c>
      <c r="F5612" s="6">
        <f>ROUND(E5612-E5611,2)</f>
        <v/>
      </c>
      <c r="G5612" s="6">
        <f>ROUND(F5612-D5612,2)</f>
        <v/>
      </c>
    </row>
    <row r="5613">
      <c r="A5613" t="inlineStr">
        <is>
          <t>2023-03-29</t>
        </is>
      </c>
      <c r="B5613" t="n">
        <v>7</v>
      </c>
      <c r="C5613" t="n">
        <v>3156</v>
      </c>
      <c r="D5613" s="6" t="n">
        <v>118.9</v>
      </c>
      <c r="E5613" s="6" t="n">
        <v>1378822.06</v>
      </c>
      <c r="F5613" s="6">
        <f>ROUND(E5613-E5612,2)</f>
        <v/>
      </c>
      <c r="G5613" s="6">
        <f>ROUND(F5613-D5613,2)</f>
        <v/>
      </c>
    </row>
    <row r="5614">
      <c r="A5614" t="inlineStr">
        <is>
          <t>2023-03-29</t>
        </is>
      </c>
      <c r="B5614" t="n">
        <v>8</v>
      </c>
      <c r="C5614" t="n">
        <v>3156</v>
      </c>
      <c r="D5614" s="6" t="n">
        <v>38.5</v>
      </c>
      <c r="E5614" s="6" t="n">
        <v>1378860.56</v>
      </c>
      <c r="F5614" s="6">
        <f>ROUND(E5614-E5613,2)</f>
        <v/>
      </c>
      <c r="G5614" s="6">
        <f>ROUND(F5614-D5614,2)</f>
        <v/>
      </c>
    </row>
    <row r="5615">
      <c r="A5615" t="inlineStr">
        <is>
          <t>2023-03-29</t>
        </is>
      </c>
      <c r="B5615" t="n">
        <v>9</v>
      </c>
      <c r="C5615" t="n">
        <v>3156</v>
      </c>
      <c r="D5615" s="6" t="n">
        <v>35.73</v>
      </c>
      <c r="E5615" s="6" t="n">
        <v>1378896.29</v>
      </c>
      <c r="F5615" s="6">
        <f>ROUND(E5615-E5614,2)</f>
        <v/>
      </c>
      <c r="G5615" s="6">
        <f>ROUND(F5615-D5615,2)</f>
        <v/>
      </c>
    </row>
    <row r="5616">
      <c r="A5616" t="inlineStr">
        <is>
          <t>2023-03-29</t>
        </is>
      </c>
      <c r="B5616" t="n">
        <v>10</v>
      </c>
      <c r="C5616" t="n">
        <v>3156</v>
      </c>
      <c r="D5616" s="6" t="n">
        <v>35.73</v>
      </c>
      <c r="E5616" s="6" t="n">
        <v>1378932.02</v>
      </c>
      <c r="F5616" s="6">
        <f>ROUND(E5616-E5615,2)</f>
        <v/>
      </c>
      <c r="G5616" s="6">
        <f>ROUND(F5616-D5616,2)</f>
        <v/>
      </c>
    </row>
    <row r="5617">
      <c r="A5617" t="inlineStr">
        <is>
          <t>2023-03-29</t>
        </is>
      </c>
      <c r="B5617" t="n">
        <v>11</v>
      </c>
      <c r="C5617" t="n">
        <v>3156</v>
      </c>
      <c r="D5617" s="6" t="n">
        <v>35.73</v>
      </c>
      <c r="E5617" s="6" t="n">
        <v>1378967.75</v>
      </c>
      <c r="F5617" s="6">
        <f>ROUND(E5617-E5616,2)</f>
        <v/>
      </c>
      <c r="G5617" s="6">
        <f>ROUND(F5617-D5617,2)</f>
        <v/>
      </c>
    </row>
    <row r="5618">
      <c r="A5618" t="inlineStr">
        <is>
          <t>2023-03-29</t>
        </is>
      </c>
      <c r="B5618" t="n">
        <v>12</v>
      </c>
      <c r="C5618" t="n">
        <v>3156</v>
      </c>
      <c r="D5618" s="6" t="n">
        <v>35.61</v>
      </c>
      <c r="E5618" s="6" t="n">
        <v>1379003.36</v>
      </c>
      <c r="F5618" s="6">
        <f>ROUND(E5618-E5617,2)</f>
        <v/>
      </c>
      <c r="G5618" s="6">
        <f>ROUND(F5618-D5618,2)</f>
        <v/>
      </c>
    </row>
    <row r="5619">
      <c r="A5619" t="inlineStr">
        <is>
          <t>2023-03-29</t>
        </is>
      </c>
      <c r="B5619" t="n">
        <v>13</v>
      </c>
      <c r="C5619" t="n">
        <v>3156</v>
      </c>
      <c r="D5619" s="6" t="n">
        <v>32.16</v>
      </c>
      <c r="E5619" s="6" t="n">
        <v>1379035.52</v>
      </c>
      <c r="F5619" s="6">
        <f>ROUND(E5619-E5618,2)</f>
        <v/>
      </c>
      <c r="G5619" s="6">
        <f>ROUND(F5619-D5619,2)</f>
        <v/>
      </c>
    </row>
    <row r="5620">
      <c r="A5620" t="inlineStr">
        <is>
          <t>2023-03-29</t>
        </is>
      </c>
      <c r="B5620" t="n">
        <v>14</v>
      </c>
      <c r="C5620" t="n">
        <v>3156</v>
      </c>
      <c r="D5620" s="6" t="n">
        <v>32.16</v>
      </c>
      <c r="E5620" s="6" t="n">
        <v>1379067.68</v>
      </c>
      <c r="F5620" s="6">
        <f>ROUND(E5620-E5619,2)</f>
        <v/>
      </c>
      <c r="G5620" s="6">
        <f>ROUND(F5620-D5620,2)</f>
        <v/>
      </c>
    </row>
    <row r="5621">
      <c r="A5621" t="inlineStr">
        <is>
          <t>2023-03-29</t>
        </is>
      </c>
      <c r="B5621" t="n">
        <v>15</v>
      </c>
      <c r="C5621" t="n">
        <v>3156</v>
      </c>
      <c r="D5621" s="6" t="n">
        <v>32.16</v>
      </c>
      <c r="E5621" s="6" t="n">
        <v>1379099.84</v>
      </c>
      <c r="F5621" s="6">
        <f>ROUND(E5621-E5620,2)</f>
        <v/>
      </c>
      <c r="G5621" s="6">
        <f>ROUND(F5621-D5621,2)</f>
        <v/>
      </c>
    </row>
    <row r="5622">
      <c r="A5622" t="inlineStr">
        <is>
          <t>2023-03-29</t>
        </is>
      </c>
      <c r="B5622" t="n">
        <v>16</v>
      </c>
      <c r="C5622" t="n">
        <v>3156</v>
      </c>
      <c r="D5622" s="6" t="n">
        <v>32.16</v>
      </c>
      <c r="E5622" s="6" t="n">
        <v>1379132</v>
      </c>
      <c r="F5622" s="6">
        <f>ROUND(E5622-E5621,2)</f>
        <v/>
      </c>
      <c r="G5622" s="6">
        <f>ROUND(F5622-D5622,2)</f>
        <v/>
      </c>
    </row>
    <row r="5623">
      <c r="A5623" t="inlineStr">
        <is>
          <t>2023-03-30</t>
        </is>
      </c>
      <c r="B5623" t="n">
        <v>1</v>
      </c>
      <c r="C5623" t="n">
        <v>3157</v>
      </c>
      <c r="D5623" s="6" t="n">
        <v>16.4</v>
      </c>
      <c r="E5623" s="6" t="n">
        <v>1379148.4</v>
      </c>
      <c r="F5623" s="6">
        <f>ROUND(E5623-E5622,2)</f>
        <v/>
      </c>
      <c r="G5623" s="6">
        <f>ROUND(F5623-D5623,2)</f>
        <v/>
      </c>
    </row>
    <row r="5624">
      <c r="A5624" t="inlineStr">
        <is>
          <t>2023-03-30</t>
        </is>
      </c>
      <c r="B5624" t="n">
        <v>2</v>
      </c>
      <c r="C5624" t="n">
        <v>3157</v>
      </c>
      <c r="D5624" s="6" t="n">
        <v>13.9</v>
      </c>
      <c r="E5624" s="6" t="n">
        <v>1379162.3</v>
      </c>
      <c r="F5624" s="6">
        <f>ROUND(E5624-E5623,2)</f>
        <v/>
      </c>
      <c r="G5624" s="6">
        <f>ROUND(F5624-D5624,2)</f>
        <v/>
      </c>
    </row>
    <row r="5625">
      <c r="A5625" t="inlineStr">
        <is>
          <t>2023-03-30</t>
        </is>
      </c>
      <c r="B5625" t="n">
        <v>3</v>
      </c>
      <c r="C5625" t="n">
        <v>3157</v>
      </c>
      <c r="D5625" s="6" t="n">
        <v>72.90000000000001</v>
      </c>
      <c r="E5625" s="6" t="n">
        <v>1379235.2</v>
      </c>
      <c r="F5625" s="6">
        <f>ROUND(E5625-E5624,2)</f>
        <v/>
      </c>
      <c r="G5625" s="6">
        <f>ROUND(F5625-D5625,2)</f>
        <v/>
      </c>
    </row>
    <row r="5626">
      <c r="A5626" t="inlineStr">
        <is>
          <t>2023-03-30</t>
        </is>
      </c>
      <c r="B5626" t="n">
        <v>4</v>
      </c>
      <c r="C5626" t="n">
        <v>3157</v>
      </c>
      <c r="D5626" s="6" t="n">
        <v>23</v>
      </c>
      <c r="E5626" s="6" t="n">
        <v>1379258.2</v>
      </c>
      <c r="F5626" s="6">
        <f>ROUND(E5626-E5625,2)</f>
        <v/>
      </c>
      <c r="G5626" s="6">
        <f>ROUND(F5626-D5626,2)</f>
        <v/>
      </c>
    </row>
    <row r="5627">
      <c r="A5627" t="inlineStr">
        <is>
          <t>2023-03-30</t>
        </is>
      </c>
      <c r="B5627" t="n">
        <v>5</v>
      </c>
      <c r="C5627" t="n">
        <v>3157</v>
      </c>
      <c r="D5627" s="6" t="n">
        <v>37.5</v>
      </c>
      <c r="E5627" s="6" t="n">
        <v>1379295.7</v>
      </c>
      <c r="F5627" s="6">
        <f>ROUND(E5627-E5626,2)</f>
        <v/>
      </c>
      <c r="G5627" s="6">
        <f>ROUND(F5627-D5627,2)</f>
        <v/>
      </c>
    </row>
    <row r="5628">
      <c r="A5628" t="inlineStr">
        <is>
          <t>2023-03-30</t>
        </is>
      </c>
      <c r="B5628" t="n">
        <v>6</v>
      </c>
      <c r="C5628" t="n">
        <v>3157</v>
      </c>
      <c r="D5628" s="6" t="n">
        <v>20</v>
      </c>
      <c r="E5628" s="6" t="n">
        <v>1379315.7</v>
      </c>
      <c r="F5628" s="6">
        <f>ROUND(E5628-E5627,2)</f>
        <v/>
      </c>
      <c r="G5628" s="6">
        <f>ROUND(F5628-D5628,2)</f>
        <v/>
      </c>
    </row>
    <row r="5629">
      <c r="A5629" t="inlineStr">
        <is>
          <t>2023-03-30</t>
        </is>
      </c>
      <c r="B5629" t="n">
        <v>7</v>
      </c>
      <c r="C5629" t="n">
        <v>3157</v>
      </c>
      <c r="D5629" s="6" t="n">
        <v>19.1</v>
      </c>
      <c r="E5629" s="6" t="n">
        <v>1379334.8</v>
      </c>
      <c r="F5629" s="6">
        <f>ROUND(E5629-E5628,2)</f>
        <v/>
      </c>
      <c r="G5629" s="6">
        <f>ROUND(F5629-D5629,2)</f>
        <v/>
      </c>
    </row>
    <row r="5630">
      <c r="A5630" t="inlineStr">
        <is>
          <t>2023-03-30</t>
        </is>
      </c>
      <c r="B5630" t="n">
        <v>8</v>
      </c>
      <c r="C5630" t="n">
        <v>3157</v>
      </c>
      <c r="D5630" s="6" t="n">
        <v>18.6</v>
      </c>
      <c r="E5630" s="6" t="n">
        <v>1379353.4</v>
      </c>
      <c r="F5630" s="6">
        <f>ROUND(E5630-E5629,2)</f>
        <v/>
      </c>
      <c r="G5630" s="6">
        <f>ROUND(F5630-D5630,2)</f>
        <v/>
      </c>
    </row>
    <row r="5631">
      <c r="A5631" t="inlineStr">
        <is>
          <t>2023-03-30</t>
        </is>
      </c>
      <c r="B5631" t="n">
        <v>9</v>
      </c>
      <c r="C5631" t="n">
        <v>3157</v>
      </c>
      <c r="D5631" s="6" t="n">
        <v>13.9</v>
      </c>
      <c r="E5631" s="6" t="n">
        <v>1379367.3</v>
      </c>
      <c r="F5631" s="6">
        <f>ROUND(E5631-E5630,2)</f>
        <v/>
      </c>
      <c r="G5631" s="6">
        <f>ROUND(F5631-D5631,2)</f>
        <v/>
      </c>
    </row>
    <row r="5632">
      <c r="A5632" t="inlineStr">
        <is>
          <t>2023-03-30</t>
        </is>
      </c>
      <c r="B5632" t="n">
        <v>10</v>
      </c>
      <c r="C5632" t="n">
        <v>3157</v>
      </c>
      <c r="D5632" s="6" t="n">
        <v>52.8</v>
      </c>
      <c r="E5632" s="6" t="n">
        <v>1379420.1</v>
      </c>
      <c r="F5632" s="6">
        <f>ROUND(E5632-E5631,2)</f>
        <v/>
      </c>
      <c r="G5632" s="6">
        <f>ROUND(F5632-D5632,2)</f>
        <v/>
      </c>
    </row>
    <row r="5633">
      <c r="A5633" t="inlineStr">
        <is>
          <t>2023-03-30</t>
        </is>
      </c>
      <c r="B5633" t="n">
        <v>11</v>
      </c>
      <c r="C5633" t="n">
        <v>3157</v>
      </c>
      <c r="D5633" s="6" t="n">
        <v>60.2</v>
      </c>
      <c r="E5633" s="6" t="n">
        <v>1379480.3</v>
      </c>
      <c r="F5633" s="6">
        <f>ROUND(E5633-E5632,2)</f>
        <v/>
      </c>
      <c r="G5633" s="6">
        <f>ROUND(F5633-D5633,2)</f>
        <v/>
      </c>
    </row>
    <row r="5634">
      <c r="A5634" t="inlineStr">
        <is>
          <t>2023-03-30</t>
        </is>
      </c>
      <c r="B5634" t="n">
        <v>12</v>
      </c>
      <c r="C5634" t="n">
        <v>3157</v>
      </c>
      <c r="D5634" s="6" t="n">
        <v>34.4</v>
      </c>
      <c r="E5634" s="6" t="n">
        <v>1379514.7</v>
      </c>
      <c r="F5634" s="6">
        <f>ROUND(E5634-E5633,2)</f>
        <v/>
      </c>
      <c r="G5634" s="6">
        <f>ROUND(F5634-D5634,2)</f>
        <v/>
      </c>
    </row>
    <row r="5635">
      <c r="A5635" t="inlineStr">
        <is>
          <t>2023-03-30</t>
        </is>
      </c>
      <c r="B5635" t="n">
        <v>13</v>
      </c>
      <c r="C5635" t="n">
        <v>3157</v>
      </c>
      <c r="D5635" s="6" t="n">
        <v>86.59999999999999</v>
      </c>
      <c r="E5635" s="6" t="n">
        <v>1379601.3</v>
      </c>
      <c r="F5635" s="6">
        <f>ROUND(E5635-E5634,2)</f>
        <v/>
      </c>
      <c r="G5635" s="6">
        <f>ROUND(F5635-D5635,2)</f>
        <v/>
      </c>
    </row>
    <row r="5636">
      <c r="A5636" t="inlineStr">
        <is>
          <t>2023-03-30</t>
        </is>
      </c>
      <c r="B5636" t="n">
        <v>14</v>
      </c>
      <c r="C5636" t="n">
        <v>3157</v>
      </c>
      <c r="D5636" s="6" t="n">
        <v>59.5</v>
      </c>
      <c r="E5636" s="6" t="n">
        <v>1379660.8</v>
      </c>
      <c r="F5636" s="6">
        <f>ROUND(E5636-E5635,2)</f>
        <v/>
      </c>
      <c r="G5636" s="6">
        <f>ROUND(F5636-D5636,2)</f>
        <v/>
      </c>
    </row>
    <row r="5637">
      <c r="A5637" t="inlineStr">
        <is>
          <t>2023-03-30</t>
        </is>
      </c>
      <c r="B5637" t="n">
        <v>15</v>
      </c>
      <c r="C5637" t="n">
        <v>3157</v>
      </c>
      <c r="D5637" s="6" t="n">
        <v>69</v>
      </c>
      <c r="E5637" s="6" t="n">
        <v>1379729.8</v>
      </c>
      <c r="F5637" s="6">
        <f>ROUND(E5637-E5636,2)</f>
        <v/>
      </c>
      <c r="G5637" s="6">
        <f>ROUND(F5637-D5637,2)</f>
        <v/>
      </c>
    </row>
    <row r="5638">
      <c r="A5638" t="inlineStr">
        <is>
          <t>2023-03-30</t>
        </is>
      </c>
      <c r="B5638" t="n">
        <v>16</v>
      </c>
      <c r="C5638" t="n">
        <v>3157</v>
      </c>
      <c r="D5638" s="6" t="n">
        <v>76.7</v>
      </c>
      <c r="E5638" s="6" t="n">
        <v>1379806.5</v>
      </c>
      <c r="F5638" s="6">
        <f>ROUND(E5638-E5637,2)</f>
        <v/>
      </c>
      <c r="G5638" s="6">
        <f>ROUND(F5638-D5638,2)</f>
        <v/>
      </c>
    </row>
    <row r="5639">
      <c r="A5639" t="inlineStr">
        <is>
          <t>2023-03-30</t>
        </is>
      </c>
      <c r="B5639" t="n">
        <v>17</v>
      </c>
      <c r="C5639" t="n">
        <v>3157</v>
      </c>
      <c r="D5639" s="6" t="n">
        <v>70.90000000000001</v>
      </c>
      <c r="E5639" s="6" t="n">
        <v>1379877.4</v>
      </c>
      <c r="F5639" s="6">
        <f>ROUND(E5639-E5638,2)</f>
        <v/>
      </c>
      <c r="G5639" s="6">
        <f>ROUND(F5639-D5639,2)</f>
        <v/>
      </c>
    </row>
    <row r="5640">
      <c r="A5640" t="inlineStr">
        <is>
          <t>2023-03-31</t>
        </is>
      </c>
      <c r="B5640" t="n">
        <v>1</v>
      </c>
      <c r="C5640" t="n">
        <v>3158</v>
      </c>
      <c r="D5640" s="6" t="n">
        <v>65.59999999999999</v>
      </c>
      <c r="E5640" s="6" t="n">
        <v>1379943</v>
      </c>
      <c r="F5640" s="6">
        <f>ROUND(E5640-E5639,2)</f>
        <v/>
      </c>
      <c r="G5640" s="6">
        <f>ROUND(F5640-D5640,2)</f>
        <v/>
      </c>
    </row>
    <row r="5641">
      <c r="A5641" t="inlineStr">
        <is>
          <t>2023-03-31</t>
        </is>
      </c>
      <c r="B5641" t="n">
        <v>2</v>
      </c>
      <c r="C5641" t="n">
        <v>3158</v>
      </c>
      <c r="D5641" s="6" t="n">
        <v>55.8</v>
      </c>
      <c r="E5641" s="6" t="n">
        <v>1379998.8</v>
      </c>
      <c r="F5641" s="6">
        <f>ROUND(E5641-E5640,2)</f>
        <v/>
      </c>
      <c r="G5641" s="6">
        <f>ROUND(F5641-D5641,2)</f>
        <v/>
      </c>
    </row>
    <row r="5642">
      <c r="A5642" t="inlineStr">
        <is>
          <t>2023-03-31</t>
        </is>
      </c>
      <c r="B5642" t="n">
        <v>3</v>
      </c>
      <c r="C5642" t="n">
        <v>3158</v>
      </c>
      <c r="D5642" s="6" t="n">
        <v>97.40000000000001</v>
      </c>
      <c r="E5642" s="6" t="n">
        <v>1380096.2</v>
      </c>
      <c r="F5642" s="6">
        <f>ROUND(E5642-E5641,2)</f>
        <v/>
      </c>
      <c r="G5642" s="6">
        <f>ROUND(F5642-D5642,2)</f>
        <v/>
      </c>
    </row>
    <row r="5643">
      <c r="A5643" t="inlineStr">
        <is>
          <t>2023-03-31</t>
        </is>
      </c>
      <c r="B5643" t="n">
        <v>4</v>
      </c>
      <c r="C5643" t="n">
        <v>3158</v>
      </c>
      <c r="D5643" s="6" t="n">
        <v>67</v>
      </c>
      <c r="E5643" s="6" t="n">
        <v>1380163.2</v>
      </c>
      <c r="F5643" s="6">
        <f>ROUND(E5643-E5642,2)</f>
        <v/>
      </c>
      <c r="G5643" s="6">
        <f>ROUND(F5643-D5643,2)</f>
        <v/>
      </c>
    </row>
    <row r="5644">
      <c r="A5644" t="inlineStr">
        <is>
          <t>2023-03-31</t>
        </is>
      </c>
      <c r="B5644" t="n">
        <v>5</v>
      </c>
      <c r="C5644" t="n">
        <v>3158</v>
      </c>
      <c r="D5644" s="6" t="n">
        <v>61.9</v>
      </c>
      <c r="E5644" s="6" t="n">
        <v>1380225.1</v>
      </c>
      <c r="F5644" s="6">
        <f>ROUND(E5644-E5643,2)</f>
        <v/>
      </c>
      <c r="G5644" s="6">
        <f>ROUND(F5644-D5644,2)</f>
        <v/>
      </c>
    </row>
    <row r="5645">
      <c r="A5645" t="inlineStr">
        <is>
          <t>2023-03-31</t>
        </is>
      </c>
      <c r="B5645" t="n">
        <v>6</v>
      </c>
      <c r="C5645" t="n">
        <v>3158</v>
      </c>
      <c r="D5645" s="6" t="n">
        <v>17.7</v>
      </c>
      <c r="E5645" s="6" t="n">
        <v>1380242.8</v>
      </c>
      <c r="F5645" s="6">
        <f>ROUND(E5645-E5644,2)</f>
        <v/>
      </c>
      <c r="G5645" s="6">
        <f>ROUND(F5645-D5645,2)</f>
        <v/>
      </c>
    </row>
    <row r="5646">
      <c r="A5646" t="inlineStr">
        <is>
          <t>2023-03-31</t>
        </is>
      </c>
      <c r="B5646" t="n">
        <v>7</v>
      </c>
      <c r="C5646" t="n">
        <v>3158</v>
      </c>
      <c r="D5646" s="6" t="n">
        <v>24.5</v>
      </c>
      <c r="E5646" s="6" t="n">
        <v>1380267.3</v>
      </c>
      <c r="F5646" s="6">
        <f>ROUND(E5646-E5645,2)</f>
        <v/>
      </c>
      <c r="G5646" s="6">
        <f>ROUND(F5646-D5646,2)</f>
        <v/>
      </c>
    </row>
    <row r="5647">
      <c r="A5647" t="inlineStr">
        <is>
          <t>2023-03-31</t>
        </is>
      </c>
      <c r="B5647" t="n">
        <v>8</v>
      </c>
      <c r="C5647" t="n">
        <v>3158</v>
      </c>
      <c r="D5647" s="6" t="n">
        <v>27.8</v>
      </c>
      <c r="E5647" s="6" t="n">
        <v>1380295.1</v>
      </c>
      <c r="F5647" s="6">
        <f>ROUND(E5647-E5646,2)</f>
        <v/>
      </c>
      <c r="G5647" s="6">
        <f>ROUND(F5647-D5647,2)</f>
        <v/>
      </c>
    </row>
    <row r="5648">
      <c r="A5648" t="inlineStr">
        <is>
          <t>2023-03-31</t>
        </is>
      </c>
      <c r="B5648" t="n">
        <v>9</v>
      </c>
      <c r="C5648" t="n">
        <v>3158</v>
      </c>
      <c r="D5648" s="6" t="n">
        <v>14.5</v>
      </c>
      <c r="E5648" s="6" t="n">
        <v>1380309.6</v>
      </c>
      <c r="F5648" s="6">
        <f>ROUND(E5648-E5647,2)</f>
        <v/>
      </c>
      <c r="G5648" s="6">
        <f>ROUND(F5648-D5648,2)</f>
        <v/>
      </c>
    </row>
    <row r="5649">
      <c r="A5649" t="inlineStr">
        <is>
          <t>2023-03-31</t>
        </is>
      </c>
      <c r="B5649" t="n">
        <v>10</v>
      </c>
      <c r="C5649" t="n">
        <v>3158</v>
      </c>
      <c r="D5649" s="6" t="n">
        <v>67</v>
      </c>
      <c r="E5649" s="6" t="n">
        <v>1380376.6</v>
      </c>
      <c r="F5649" s="6">
        <f>ROUND(E5649-E5648,2)</f>
        <v/>
      </c>
      <c r="G5649" s="6">
        <f>ROUND(F5649-D5649,2)</f>
        <v/>
      </c>
    </row>
    <row r="5650">
      <c r="A5650" t="inlineStr">
        <is>
          <t>2023-03-31</t>
        </is>
      </c>
      <c r="B5650" t="n">
        <v>11</v>
      </c>
      <c r="C5650" t="n">
        <v>3158</v>
      </c>
      <c r="D5650" s="6" t="n">
        <v>75.09999999999999</v>
      </c>
      <c r="E5650" s="6" t="n">
        <v>1380451.7</v>
      </c>
      <c r="F5650" s="6">
        <f>ROUND(E5650-E5649,2)</f>
        <v/>
      </c>
      <c r="G5650" s="6">
        <f>ROUND(F5650-D5650,2)</f>
        <v/>
      </c>
    </row>
    <row r="5651">
      <c r="A5651" t="inlineStr">
        <is>
          <t>2023-03-31</t>
        </is>
      </c>
      <c r="B5651" t="n">
        <v>12</v>
      </c>
      <c r="C5651" t="n">
        <v>3158</v>
      </c>
      <c r="D5651" s="6" t="n">
        <v>59.2</v>
      </c>
      <c r="E5651" s="6" t="n">
        <v>1380510.9</v>
      </c>
      <c r="F5651" s="6">
        <f>ROUND(E5651-E5650,2)</f>
        <v/>
      </c>
      <c r="G5651" s="6">
        <f>ROUND(F5651-D5651,2)</f>
        <v/>
      </c>
    </row>
    <row r="5652">
      <c r="A5652" t="inlineStr">
        <is>
          <t>2023-03-31</t>
        </is>
      </c>
      <c r="B5652" t="n">
        <v>13</v>
      </c>
      <c r="C5652" t="n">
        <v>3158</v>
      </c>
      <c r="D5652" s="6" t="n">
        <v>33.8</v>
      </c>
      <c r="E5652" s="6" t="n">
        <v>1380544.7</v>
      </c>
      <c r="F5652" s="6">
        <f>ROUND(E5652-E5651,2)</f>
        <v/>
      </c>
      <c r="G5652" s="6">
        <f>ROUND(F5652-D5652,2)</f>
        <v/>
      </c>
    </row>
    <row r="5653">
      <c r="A5653" t="inlineStr">
        <is>
          <t>2023-03-31</t>
        </is>
      </c>
      <c r="B5653" t="n">
        <v>14</v>
      </c>
      <c r="C5653" t="n">
        <v>3158</v>
      </c>
      <c r="D5653" s="6" t="n">
        <v>26.7</v>
      </c>
      <c r="E5653" s="6" t="n">
        <v>1380571.4</v>
      </c>
      <c r="F5653" s="6">
        <f>ROUND(E5653-E5652,2)</f>
        <v/>
      </c>
      <c r="G5653" s="6">
        <f>ROUND(F5653-D5653,2)</f>
        <v/>
      </c>
    </row>
    <row r="5654">
      <c r="A5654" t="inlineStr">
        <is>
          <t>2023-03-31</t>
        </is>
      </c>
      <c r="B5654" t="n">
        <v>15</v>
      </c>
      <c r="C5654" t="n">
        <v>3158</v>
      </c>
      <c r="D5654" s="6" t="n">
        <v>243.7</v>
      </c>
      <c r="E5654" s="6" t="n">
        <v>1380815.1</v>
      </c>
      <c r="F5654" s="6">
        <f>ROUND(E5654-E5653,2)</f>
        <v/>
      </c>
      <c r="G5654" s="6">
        <f>ROUND(F5654-D5654,2)</f>
        <v/>
      </c>
    </row>
    <row r="5655">
      <c r="A5655" t="inlineStr">
        <is>
          <t>2023-03-31</t>
        </is>
      </c>
      <c r="B5655" t="n">
        <v>16</v>
      </c>
      <c r="C5655" t="n">
        <v>3158</v>
      </c>
      <c r="D5655" s="6" t="n">
        <v>99.7</v>
      </c>
      <c r="E5655" s="6" t="n">
        <v>1380914.8</v>
      </c>
      <c r="F5655" s="6">
        <f>ROUND(E5655-E5654,2)</f>
        <v/>
      </c>
      <c r="G5655" s="6">
        <f>ROUND(F5655-D5655,2)</f>
        <v/>
      </c>
    </row>
    <row r="5656">
      <c r="A5656" t="inlineStr">
        <is>
          <t>2023-03-31</t>
        </is>
      </c>
      <c r="B5656" t="n">
        <v>17</v>
      </c>
      <c r="C5656" t="n">
        <v>3158</v>
      </c>
      <c r="D5656" s="6" t="n">
        <v>36.1</v>
      </c>
      <c r="E5656" s="6" t="n">
        <v>1380950.9</v>
      </c>
      <c r="F5656" s="6">
        <f>ROUND(E5656-E5655,2)</f>
        <v/>
      </c>
      <c r="G5656" s="6">
        <f>ROUND(F5656-D5656,2)</f>
        <v/>
      </c>
    </row>
    <row r="5657">
      <c r="A5657" t="inlineStr">
        <is>
          <t>2023-03-31</t>
        </is>
      </c>
      <c r="B5657" t="n">
        <v>18</v>
      </c>
      <c r="C5657" t="n">
        <v>3158</v>
      </c>
      <c r="D5657" s="6" t="n">
        <v>25.7</v>
      </c>
      <c r="E5657" s="6" t="n">
        <v>1380976.6</v>
      </c>
      <c r="F5657" s="6">
        <f>ROUND(E5657-E5656,2)</f>
        <v/>
      </c>
      <c r="G5657" s="6">
        <f>ROUND(F5657-D5657,2)</f>
        <v/>
      </c>
    </row>
    <row r="5658">
      <c r="A5658" t="inlineStr">
        <is>
          <t>2023-03-31</t>
        </is>
      </c>
      <c r="B5658" t="n">
        <v>19</v>
      </c>
      <c r="C5658" t="n">
        <v>3158</v>
      </c>
      <c r="D5658" s="6" t="n">
        <v>42</v>
      </c>
      <c r="E5658" s="6" t="n">
        <v>1381018.6</v>
      </c>
      <c r="F5658" s="6">
        <f>ROUND(E5658-E5657,2)</f>
        <v/>
      </c>
      <c r="G5658" s="6">
        <f>ROUND(F5658-D5658,2)</f>
        <v/>
      </c>
    </row>
    <row r="5659">
      <c r="A5659" t="inlineStr">
        <is>
          <t>2023-03-31</t>
        </is>
      </c>
      <c r="B5659" t="n">
        <v>20</v>
      </c>
      <c r="C5659" t="n">
        <v>3158</v>
      </c>
      <c r="D5659" s="6" t="n">
        <v>45.9</v>
      </c>
      <c r="E5659" s="6" t="n">
        <v>1381064.5</v>
      </c>
      <c r="F5659" s="6">
        <f>ROUND(E5659-E5658,2)</f>
        <v/>
      </c>
      <c r="G5659" s="6">
        <f>ROUND(F5659-D5659,2)</f>
        <v/>
      </c>
    </row>
    <row r="5660">
      <c r="A5660" t="inlineStr">
        <is>
          <t>2023-03-31</t>
        </is>
      </c>
      <c r="B5660" t="n">
        <v>21</v>
      </c>
      <c r="C5660" t="n">
        <v>3158</v>
      </c>
      <c r="D5660" s="6" t="n">
        <v>45.7</v>
      </c>
      <c r="E5660" s="6" t="n">
        <v>1381110.2</v>
      </c>
      <c r="F5660" s="6">
        <f>ROUND(E5660-E5659,2)</f>
        <v/>
      </c>
      <c r="G5660" s="6">
        <f>ROUND(F5660-D5660,2)</f>
        <v/>
      </c>
    </row>
    <row r="5662">
      <c r="A5662" s="2" t="inlineStr">
        <is>
          <t>Report à nouveau (A NOUVEAUX)</t>
        </is>
      </c>
      <c r="E5662" s="6" t="n">
        <v>977739.78</v>
      </c>
    </row>
    <row r="5663">
      <c r="A5663" s="2" t="inlineStr">
        <is>
          <t>Compteur en fin de période (MAX)</t>
        </is>
      </c>
      <c r="E5663" s="6">
        <f>MAX(E3:E5660)</f>
        <v/>
      </c>
    </row>
    <row r="5664">
      <c r="A5664" s="2" t="inlineStr">
        <is>
          <t>Progression du compteur (€)</t>
        </is>
      </c>
      <c r="E5664" s="6">
        <f>ROUND(MAX(E3:E5660)-977739.78,2)</f>
        <v/>
      </c>
    </row>
    <row r="5665">
      <c r="A5665" s="2" t="inlineStr">
        <is>
          <t>Somme des tickets TTC (€)</t>
        </is>
      </c>
      <c r="E5665" s="6">
        <f>ROUND(SUM(D3:D5660),2)</f>
        <v/>
      </c>
    </row>
    <row r="5666">
      <c r="A5666" s="2" t="inlineStr">
        <is>
          <t>Écart progression − somme TTC (€)</t>
        </is>
      </c>
      <c r="E5666" s="10">
        <f>ROUND((MAX(E3:E5660)-977739.78)-SUM(D3:D5660),2)</f>
        <v/>
      </c>
    </row>
    <row r="5667">
      <c r="A5667" s="2" t="inlineStr">
        <is>
          <t>Nombre de tickets</t>
        </is>
      </c>
      <c r="E5667">
        <f>COUNT(D3:D5660)</f>
        <v/>
      </c>
    </row>
    <row r="5668">
      <c r="A5668" s="2" t="inlineStr">
        <is>
          <t>Incréments négatifs (ruptures arrière)</t>
        </is>
      </c>
      <c r="E5668" s="11">
        <f>COUNTIF(F4:F5660,"&lt;0")</f>
        <v/>
      </c>
    </row>
    <row r="5669">
      <c r="A5669" s="2" t="inlineStr">
        <is>
          <t>Incréments ≠ TTC du ticket (|écart|&gt;0)</t>
        </is>
      </c>
      <c r="E5669" s="11">
        <f>COUNTIF(G3:G5660,"&lt;&gt;0")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43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2" t="inlineStr">
        <is>
          <t>Règlements 2022-2023 (ANNEXE-F1, hors pied « TOTAL ») — montant par mode</t>
        </is>
      </c>
    </row>
    <row r="2">
      <c r="A2" s="5" t="inlineStr">
        <is>
          <t>mod_regl</t>
        </is>
      </c>
      <c r="B2" s="5" t="inlineStr">
        <is>
          <t>montant (€)</t>
        </is>
      </c>
    </row>
    <row r="3">
      <c r="A3" t="inlineStr">
        <is>
          <t>CB</t>
        </is>
      </c>
      <c r="B3" s="6" t="n">
        <v>67.40000000000001</v>
      </c>
    </row>
    <row r="4">
      <c r="A4" t="inlineStr">
        <is>
          <t>CB</t>
        </is>
      </c>
      <c r="B4" s="6" t="n">
        <v>20.9</v>
      </c>
    </row>
    <row r="5">
      <c r="A5" t="inlineStr">
        <is>
          <t>CB</t>
        </is>
      </c>
      <c r="B5" s="6" t="n">
        <v>61.4</v>
      </c>
    </row>
    <row r="6">
      <c r="A6" t="inlineStr">
        <is>
          <t>CB</t>
        </is>
      </c>
      <c r="B6" s="6" t="n">
        <v>23.8</v>
      </c>
    </row>
    <row r="7">
      <c r="A7" t="inlineStr">
        <is>
          <t>CB</t>
        </is>
      </c>
      <c r="B7" s="6" t="n">
        <v>23.8</v>
      </c>
    </row>
    <row r="8">
      <c r="A8" t="inlineStr">
        <is>
          <t>CB</t>
        </is>
      </c>
      <c r="B8" s="6" t="n">
        <v>33</v>
      </c>
    </row>
    <row r="9">
      <c r="A9" t="inlineStr">
        <is>
          <t>CB</t>
        </is>
      </c>
      <c r="B9" s="6" t="n">
        <v>52.2</v>
      </c>
    </row>
    <row r="10">
      <c r="A10" t="inlineStr">
        <is>
          <t>CB</t>
        </is>
      </c>
      <c r="B10" s="6" t="n">
        <v>59.4</v>
      </c>
    </row>
    <row r="11">
      <c r="A11" t="inlineStr">
        <is>
          <t>CB</t>
        </is>
      </c>
      <c r="B11" s="6" t="n">
        <v>19.9</v>
      </c>
    </row>
    <row r="12">
      <c r="A12" t="inlineStr">
        <is>
          <t>CB</t>
        </is>
      </c>
      <c r="B12" s="6" t="n">
        <v>19.9</v>
      </c>
    </row>
    <row r="13">
      <c r="A13" t="inlineStr">
        <is>
          <t>CB</t>
        </is>
      </c>
      <c r="B13" s="6" t="n">
        <v>29.35</v>
      </c>
    </row>
    <row r="14">
      <c r="A14" t="inlineStr">
        <is>
          <t>CB</t>
        </is>
      </c>
      <c r="B14" s="6" t="n">
        <v>29.35</v>
      </c>
    </row>
    <row r="15">
      <c r="A15" t="inlineStr">
        <is>
          <t>CB</t>
        </is>
      </c>
      <c r="B15" s="6" t="n">
        <v>26.45</v>
      </c>
    </row>
    <row r="16">
      <c r="A16" t="inlineStr">
        <is>
          <t>CB</t>
        </is>
      </c>
      <c r="B16" s="6" t="n">
        <v>26.45</v>
      </c>
    </row>
    <row r="17">
      <c r="A17" t="inlineStr">
        <is>
          <t>CB</t>
        </is>
      </c>
      <c r="B17" s="6" t="n">
        <v>20.25</v>
      </c>
    </row>
    <row r="18">
      <c r="A18" t="inlineStr">
        <is>
          <t>CB</t>
        </is>
      </c>
      <c r="B18" s="6" t="n">
        <v>20.25</v>
      </c>
    </row>
    <row r="19">
      <c r="A19" t="inlineStr">
        <is>
          <t>CHQ</t>
        </is>
      </c>
      <c r="B19" s="6" t="n">
        <v>87.40000000000001</v>
      </c>
    </row>
    <row r="20">
      <c r="A20" t="inlineStr">
        <is>
          <t>CB</t>
        </is>
      </c>
      <c r="B20" s="6" t="n">
        <v>223.5</v>
      </c>
    </row>
    <row r="21">
      <c r="A21" t="inlineStr">
        <is>
          <t>CB</t>
        </is>
      </c>
      <c r="B21" s="6" t="n">
        <v>51.2</v>
      </c>
    </row>
    <row r="22">
      <c r="A22" t="inlineStr">
        <is>
          <t>CB</t>
        </is>
      </c>
      <c r="B22" s="6" t="n">
        <v>54.5</v>
      </c>
    </row>
    <row r="23">
      <c r="A23" t="inlineStr">
        <is>
          <t>CB</t>
        </is>
      </c>
      <c r="B23" s="6" t="n">
        <v>27</v>
      </c>
    </row>
    <row r="24">
      <c r="A24" t="inlineStr">
        <is>
          <t>CB</t>
        </is>
      </c>
      <c r="B24" s="6" t="n">
        <v>60</v>
      </c>
    </row>
    <row r="25">
      <c r="A25" t="inlineStr">
        <is>
          <t>CB</t>
        </is>
      </c>
      <c r="B25" s="6" t="n">
        <v>26.9</v>
      </c>
    </row>
    <row r="26">
      <c r="A26" t="inlineStr">
        <is>
          <t>CB</t>
        </is>
      </c>
      <c r="B26" s="6" t="n">
        <v>13.2</v>
      </c>
    </row>
    <row r="27">
      <c r="A27" t="inlineStr">
        <is>
          <t>CB</t>
        </is>
      </c>
      <c r="B27" s="6" t="n">
        <v>76.8</v>
      </c>
    </row>
    <row r="28">
      <c r="A28" t="inlineStr">
        <is>
          <t>CB</t>
        </is>
      </c>
      <c r="B28" s="6" t="n">
        <v>26.9</v>
      </c>
    </row>
    <row r="29">
      <c r="A29" t="inlineStr">
        <is>
          <t>CB</t>
        </is>
      </c>
      <c r="B29" s="6" t="n">
        <v>28.3</v>
      </c>
    </row>
    <row r="30">
      <c r="A30" t="inlineStr">
        <is>
          <t>CB</t>
        </is>
      </c>
      <c r="B30" s="6" t="n">
        <v>135.8</v>
      </c>
    </row>
    <row r="31">
      <c r="A31" t="inlineStr">
        <is>
          <t>CB</t>
        </is>
      </c>
      <c r="B31" s="6" t="n">
        <v>23.2</v>
      </c>
    </row>
    <row r="32">
      <c r="A32" t="inlineStr">
        <is>
          <t>CB</t>
        </is>
      </c>
      <c r="B32" s="6" t="n">
        <v>22.5</v>
      </c>
    </row>
    <row r="33">
      <c r="A33" t="inlineStr">
        <is>
          <t>CB</t>
        </is>
      </c>
      <c r="B33" s="6" t="n">
        <v>21.5</v>
      </c>
    </row>
    <row r="34">
      <c r="A34" t="inlineStr">
        <is>
          <t>CB</t>
        </is>
      </c>
      <c r="B34" s="6" t="n">
        <v>43.1</v>
      </c>
    </row>
    <row r="35">
      <c r="A35" t="inlineStr">
        <is>
          <t>CB</t>
        </is>
      </c>
      <c r="B35" s="6" t="n">
        <v>28.8</v>
      </c>
    </row>
    <row r="36">
      <c r="A36" t="inlineStr">
        <is>
          <t>CB</t>
        </is>
      </c>
      <c r="B36" s="6" t="n">
        <v>66.09999999999999</v>
      </c>
    </row>
    <row r="37">
      <c r="A37" t="inlineStr">
        <is>
          <t>CB</t>
        </is>
      </c>
      <c r="B37" s="6" t="n">
        <v>41.8</v>
      </c>
    </row>
    <row r="38">
      <c r="A38" t="inlineStr">
        <is>
          <t>TR</t>
        </is>
      </c>
      <c r="B38" s="6" t="n">
        <v>9.199999999999999</v>
      </c>
    </row>
    <row r="39">
      <c r="A39" t="inlineStr">
        <is>
          <t>TR</t>
        </is>
      </c>
      <c r="B39" s="6" t="n">
        <v>9.199999999999999</v>
      </c>
    </row>
    <row r="40">
      <c r="A40" t="inlineStr">
        <is>
          <t>CB</t>
        </is>
      </c>
      <c r="B40" s="6" t="n">
        <v>2.4</v>
      </c>
    </row>
    <row r="41">
      <c r="A41" t="inlineStr">
        <is>
          <t>CB</t>
        </is>
      </c>
      <c r="B41" s="6" t="n">
        <v>48.1</v>
      </c>
    </row>
    <row r="42">
      <c r="A42" t="inlineStr">
        <is>
          <t>TR</t>
        </is>
      </c>
      <c r="B42" s="6" t="n">
        <v>47.5</v>
      </c>
    </row>
    <row r="43">
      <c r="A43" t="inlineStr">
        <is>
          <t>CB</t>
        </is>
      </c>
      <c r="B43" s="6" t="n">
        <v>4.6</v>
      </c>
    </row>
    <row r="44">
      <c r="A44" t="inlineStr">
        <is>
          <t>CB</t>
        </is>
      </c>
      <c r="B44" s="6" t="n">
        <v>40.2</v>
      </c>
    </row>
    <row r="45">
      <c r="A45" t="inlineStr">
        <is>
          <t>CB</t>
        </is>
      </c>
      <c r="B45" s="6" t="n">
        <v>87.5</v>
      </c>
    </row>
    <row r="46">
      <c r="A46" t="inlineStr">
        <is>
          <t>CB</t>
        </is>
      </c>
      <c r="B46" s="6" t="n">
        <v>98.8</v>
      </c>
    </row>
    <row r="47">
      <c r="A47" t="inlineStr">
        <is>
          <t>CB</t>
        </is>
      </c>
      <c r="B47" s="6" t="n">
        <v>40.9</v>
      </c>
    </row>
    <row r="48">
      <c r="A48" t="inlineStr">
        <is>
          <t>CB</t>
        </is>
      </c>
      <c r="B48" s="6" t="n">
        <v>25.1</v>
      </c>
    </row>
    <row r="49">
      <c r="A49" t="inlineStr">
        <is>
          <t>CB</t>
        </is>
      </c>
      <c r="B49" s="6" t="n">
        <v>99.5</v>
      </c>
    </row>
    <row r="50">
      <c r="A50" t="inlineStr">
        <is>
          <t>TR</t>
        </is>
      </c>
      <c r="B50" s="6" t="n">
        <v>73.59999999999999</v>
      </c>
    </row>
    <row r="51">
      <c r="A51" t="inlineStr">
        <is>
          <t>CB</t>
        </is>
      </c>
      <c r="B51" s="6" t="n">
        <v>28.7</v>
      </c>
    </row>
    <row r="52">
      <c r="A52" t="inlineStr">
        <is>
          <t>CB</t>
        </is>
      </c>
      <c r="B52" s="6" t="n">
        <v>31.2</v>
      </c>
    </row>
    <row r="53">
      <c r="A53" t="inlineStr">
        <is>
          <t>CB</t>
        </is>
      </c>
      <c r="B53" s="6" t="n">
        <v>70.7</v>
      </c>
    </row>
    <row r="54">
      <c r="A54" t="inlineStr">
        <is>
          <t>CB</t>
        </is>
      </c>
      <c r="B54" s="6" t="n">
        <v>17.9</v>
      </c>
    </row>
    <row r="55">
      <c r="A55" t="inlineStr">
        <is>
          <t>CHQ</t>
        </is>
      </c>
      <c r="B55" s="6" t="n">
        <v>254.3</v>
      </c>
    </row>
    <row r="56">
      <c r="A56" t="inlineStr">
        <is>
          <t>TR</t>
        </is>
      </c>
      <c r="B56" s="6" t="n">
        <v>38</v>
      </c>
    </row>
    <row r="57">
      <c r="A57" t="inlineStr">
        <is>
          <t>CB</t>
        </is>
      </c>
      <c r="B57" s="6" t="n">
        <v>34.9</v>
      </c>
    </row>
    <row r="58">
      <c r="A58" t="inlineStr">
        <is>
          <t>CHV</t>
        </is>
      </c>
      <c r="B58" s="6" t="n">
        <v>40</v>
      </c>
    </row>
    <row r="59">
      <c r="A59" t="inlineStr">
        <is>
          <t>CB</t>
        </is>
      </c>
      <c r="B59" s="6" t="n">
        <v>34.9</v>
      </c>
    </row>
    <row r="60">
      <c r="A60" t="inlineStr">
        <is>
          <t>CB</t>
        </is>
      </c>
      <c r="B60" s="6" t="n">
        <v>57.4</v>
      </c>
    </row>
    <row r="61">
      <c r="A61" t="inlineStr">
        <is>
          <t>CB</t>
        </is>
      </c>
      <c r="B61" s="6" t="n">
        <v>67.7</v>
      </c>
    </row>
    <row r="62">
      <c r="A62" t="inlineStr">
        <is>
          <t>CB</t>
        </is>
      </c>
      <c r="B62" s="6" t="n">
        <v>136.9</v>
      </c>
    </row>
    <row r="63">
      <c r="A63" t="inlineStr">
        <is>
          <t>CB</t>
        </is>
      </c>
      <c r="B63" s="6" t="n">
        <v>39.6</v>
      </c>
    </row>
    <row r="64">
      <c r="A64" t="inlineStr">
        <is>
          <t>CB</t>
        </is>
      </c>
      <c r="B64" s="6" t="n">
        <v>77.40000000000001</v>
      </c>
    </row>
    <row r="65">
      <c r="A65" t="inlineStr">
        <is>
          <t>CB</t>
        </is>
      </c>
      <c r="B65" s="6" t="n">
        <v>41</v>
      </c>
    </row>
    <row r="66">
      <c r="A66" t="inlineStr">
        <is>
          <t>TR</t>
        </is>
      </c>
      <c r="B66" s="6" t="n">
        <v>88</v>
      </c>
    </row>
    <row r="67">
      <c r="A67" t="inlineStr">
        <is>
          <t>ESP</t>
        </is>
      </c>
      <c r="B67" s="6" t="n">
        <v>11.8</v>
      </c>
    </row>
    <row r="68">
      <c r="A68" t="inlineStr">
        <is>
          <t>CB</t>
        </is>
      </c>
      <c r="B68" s="6" t="n">
        <v>67.2</v>
      </c>
    </row>
    <row r="69">
      <c r="A69" t="inlineStr">
        <is>
          <t>CB</t>
        </is>
      </c>
      <c r="B69" s="6" t="n">
        <v>46.2</v>
      </c>
    </row>
    <row r="70">
      <c r="A70" t="inlineStr">
        <is>
          <t>CB</t>
        </is>
      </c>
      <c r="B70" s="6" t="n">
        <v>48.5</v>
      </c>
    </row>
    <row r="71">
      <c r="A71" t="inlineStr">
        <is>
          <t>TR</t>
        </is>
      </c>
      <c r="B71" s="6" t="n">
        <v>47.5</v>
      </c>
    </row>
    <row r="72">
      <c r="A72" t="inlineStr">
        <is>
          <t>CB</t>
        </is>
      </c>
      <c r="B72" s="6" t="n">
        <v>12.1</v>
      </c>
    </row>
    <row r="73">
      <c r="A73" t="inlineStr">
        <is>
          <t>CB</t>
        </is>
      </c>
      <c r="B73" s="6" t="n">
        <v>53.1</v>
      </c>
    </row>
    <row r="74">
      <c r="A74" t="inlineStr">
        <is>
          <t>CB</t>
        </is>
      </c>
      <c r="B74" s="6" t="n">
        <v>32.7</v>
      </c>
    </row>
    <row r="75">
      <c r="A75" t="inlineStr">
        <is>
          <t>CB</t>
        </is>
      </c>
      <c r="B75" s="6" t="n">
        <v>59.3</v>
      </c>
    </row>
    <row r="76">
      <c r="A76" t="inlineStr">
        <is>
          <t>CHQ</t>
        </is>
      </c>
      <c r="B76" s="6" t="n">
        <v>100.8</v>
      </c>
    </row>
    <row r="77">
      <c r="A77" t="inlineStr">
        <is>
          <t>TR</t>
        </is>
      </c>
      <c r="B77" s="6" t="n">
        <v>16</v>
      </c>
    </row>
    <row r="78">
      <c r="A78" t="inlineStr">
        <is>
          <t>CB</t>
        </is>
      </c>
      <c r="B78" s="6" t="n">
        <v>46.6</v>
      </c>
    </row>
    <row r="79">
      <c r="A79" t="inlineStr">
        <is>
          <t>CB</t>
        </is>
      </c>
      <c r="B79" s="6" t="n">
        <v>50.5</v>
      </c>
    </row>
    <row r="80">
      <c r="A80" t="inlineStr">
        <is>
          <t>CHV</t>
        </is>
      </c>
      <c r="B80" s="6" t="n">
        <v>179</v>
      </c>
    </row>
    <row r="81">
      <c r="A81" t="inlineStr">
        <is>
          <t>CHV</t>
        </is>
      </c>
      <c r="B81" s="6" t="n">
        <v>40</v>
      </c>
    </row>
    <row r="82">
      <c r="A82" t="inlineStr">
        <is>
          <t>ESP</t>
        </is>
      </c>
      <c r="B82" s="6" t="n">
        <v>6.8</v>
      </c>
    </row>
    <row r="83">
      <c r="A83" t="inlineStr">
        <is>
          <t>CB</t>
        </is>
      </c>
      <c r="B83" s="6" t="n">
        <v>50.5</v>
      </c>
    </row>
    <row r="84">
      <c r="A84" t="inlineStr">
        <is>
          <t>CB</t>
        </is>
      </c>
      <c r="B84" s="6" t="n">
        <v>47.2</v>
      </c>
    </row>
    <row r="85">
      <c r="A85" t="inlineStr">
        <is>
          <t>CB</t>
        </is>
      </c>
      <c r="B85" s="6" t="n">
        <v>31.8</v>
      </c>
    </row>
    <row r="86">
      <c r="A86" t="inlineStr">
        <is>
          <t>TR</t>
        </is>
      </c>
      <c r="B86" s="6" t="n">
        <v>45</v>
      </c>
    </row>
    <row r="87">
      <c r="A87" t="inlineStr">
        <is>
          <t>CB</t>
        </is>
      </c>
      <c r="B87" s="6" t="n">
        <v>6</v>
      </c>
    </row>
    <row r="88">
      <c r="A88" t="inlineStr">
        <is>
          <t>CB</t>
        </is>
      </c>
      <c r="B88" s="6" t="n">
        <v>77.90000000000001</v>
      </c>
    </row>
    <row r="89">
      <c r="A89" t="inlineStr">
        <is>
          <t>CB</t>
        </is>
      </c>
      <c r="B89" s="6" t="n">
        <v>100.9</v>
      </c>
    </row>
    <row r="90">
      <c r="A90" t="inlineStr">
        <is>
          <t>CB</t>
        </is>
      </c>
      <c r="B90" s="6" t="n">
        <v>50.5</v>
      </c>
    </row>
    <row r="91">
      <c r="A91" t="inlineStr">
        <is>
          <t>CB</t>
        </is>
      </c>
      <c r="B91" s="6" t="n">
        <v>172.6</v>
      </c>
    </row>
    <row r="92">
      <c r="A92" t="inlineStr">
        <is>
          <t>CB</t>
        </is>
      </c>
      <c r="B92" s="6" t="n">
        <v>64.59999999999999</v>
      </c>
    </row>
    <row r="93">
      <c r="A93" t="inlineStr">
        <is>
          <t>CB</t>
        </is>
      </c>
      <c r="B93" s="6" t="n">
        <v>20.8</v>
      </c>
    </row>
    <row r="94">
      <c r="A94" t="inlineStr">
        <is>
          <t>CB</t>
        </is>
      </c>
      <c r="B94" s="6" t="n">
        <v>40</v>
      </c>
    </row>
    <row r="95">
      <c r="A95" t="inlineStr">
        <is>
          <t>TR</t>
        </is>
      </c>
      <c r="B95" s="6" t="n">
        <v>35</v>
      </c>
    </row>
    <row r="96">
      <c r="A96" t="inlineStr">
        <is>
          <t>CB</t>
        </is>
      </c>
      <c r="B96" s="6" t="n">
        <v>33.5</v>
      </c>
    </row>
    <row r="97">
      <c r="A97" t="inlineStr">
        <is>
          <t>TR</t>
        </is>
      </c>
      <c r="B97" s="6" t="n">
        <v>16.8</v>
      </c>
    </row>
    <row r="98">
      <c r="A98" t="inlineStr">
        <is>
          <t>CB</t>
        </is>
      </c>
      <c r="B98" s="6" t="n">
        <v>36.7</v>
      </c>
    </row>
    <row r="99">
      <c r="A99" t="inlineStr">
        <is>
          <t>CB</t>
        </is>
      </c>
      <c r="B99" s="6" t="n">
        <v>35.8</v>
      </c>
    </row>
    <row r="100">
      <c r="A100" t="inlineStr">
        <is>
          <t>CB</t>
        </is>
      </c>
      <c r="B100" s="6" t="n">
        <v>35.8</v>
      </c>
    </row>
    <row r="101">
      <c r="A101" t="inlineStr">
        <is>
          <t>CB</t>
        </is>
      </c>
      <c r="B101" s="6" t="n">
        <v>35.8</v>
      </c>
    </row>
    <row r="102">
      <c r="A102" t="inlineStr">
        <is>
          <t>CB</t>
        </is>
      </c>
      <c r="B102" s="6" t="n">
        <v>49.5</v>
      </c>
    </row>
    <row r="103">
      <c r="A103" t="inlineStr">
        <is>
          <t>TR</t>
        </is>
      </c>
      <c r="B103" s="6" t="n">
        <v>46.8</v>
      </c>
    </row>
    <row r="104">
      <c r="A104" t="inlineStr">
        <is>
          <t>CB</t>
        </is>
      </c>
      <c r="B104" s="6" t="n">
        <v>110.8</v>
      </c>
    </row>
    <row r="105">
      <c r="A105" t="inlineStr">
        <is>
          <t>CB</t>
        </is>
      </c>
      <c r="B105" s="6" t="n">
        <v>34.4</v>
      </c>
    </row>
    <row r="106">
      <c r="A106" t="inlineStr">
        <is>
          <t>CB</t>
        </is>
      </c>
      <c r="B106" s="6" t="n">
        <v>34.4</v>
      </c>
    </row>
    <row r="107">
      <c r="A107" t="inlineStr">
        <is>
          <t>CB</t>
        </is>
      </c>
      <c r="B107" s="6" t="n">
        <v>34.3</v>
      </c>
    </row>
    <row r="108">
      <c r="A108" t="inlineStr">
        <is>
          <t>CB</t>
        </is>
      </c>
      <c r="B108" s="6" t="n">
        <v>53.4</v>
      </c>
    </row>
    <row r="109">
      <c r="A109" t="inlineStr">
        <is>
          <t>CB</t>
        </is>
      </c>
      <c r="B109" s="6" t="n">
        <v>49.1</v>
      </c>
    </row>
    <row r="110">
      <c r="A110" t="inlineStr">
        <is>
          <t>CB</t>
        </is>
      </c>
      <c r="B110" s="6" t="n">
        <v>107.2</v>
      </c>
    </row>
    <row r="111">
      <c r="A111" t="inlineStr">
        <is>
          <t>CB</t>
        </is>
      </c>
      <c r="B111" s="6" t="n">
        <v>76.2</v>
      </c>
    </row>
    <row r="112">
      <c r="A112" t="inlineStr">
        <is>
          <t>CB</t>
        </is>
      </c>
      <c r="B112" s="6" t="n">
        <v>73.59999999999999</v>
      </c>
    </row>
    <row r="113">
      <c r="A113" t="inlineStr">
        <is>
          <t>CB</t>
        </is>
      </c>
      <c r="B113" s="6" t="n">
        <v>73.09999999999999</v>
      </c>
    </row>
    <row r="114">
      <c r="A114" t="inlineStr">
        <is>
          <t>CB</t>
        </is>
      </c>
      <c r="B114" s="6" t="n">
        <v>71.3</v>
      </c>
    </row>
    <row r="115">
      <c r="A115" t="inlineStr">
        <is>
          <t>CB</t>
        </is>
      </c>
      <c r="B115" s="6" t="n">
        <v>100</v>
      </c>
    </row>
    <row r="116">
      <c r="A116" t="inlineStr">
        <is>
          <t>CB</t>
        </is>
      </c>
      <c r="B116" s="6" t="n">
        <v>202.6</v>
      </c>
    </row>
    <row r="117">
      <c r="A117" t="inlineStr">
        <is>
          <t>CB</t>
        </is>
      </c>
      <c r="B117" s="6" t="n">
        <v>96.90000000000001</v>
      </c>
    </row>
    <row r="118">
      <c r="A118" t="inlineStr">
        <is>
          <t>CB</t>
        </is>
      </c>
      <c r="B118" s="6" t="n">
        <v>20.3</v>
      </c>
    </row>
    <row r="119">
      <c r="A119" t="inlineStr">
        <is>
          <t>CB</t>
        </is>
      </c>
      <c r="B119" s="6" t="n">
        <v>67.8</v>
      </c>
    </row>
    <row r="120">
      <c r="A120" t="inlineStr">
        <is>
          <t>CB</t>
        </is>
      </c>
      <c r="B120" s="6" t="n">
        <v>43.4</v>
      </c>
    </row>
    <row r="121">
      <c r="A121" t="inlineStr">
        <is>
          <t>CB</t>
        </is>
      </c>
      <c r="B121" s="6" t="n">
        <v>21.2</v>
      </c>
    </row>
    <row r="122">
      <c r="A122" t="inlineStr">
        <is>
          <t>CB</t>
        </is>
      </c>
      <c r="B122" s="6" t="n">
        <v>44.6</v>
      </c>
    </row>
    <row r="123">
      <c r="A123" t="inlineStr">
        <is>
          <t>CB</t>
        </is>
      </c>
      <c r="B123" s="6" t="n">
        <v>21.5</v>
      </c>
    </row>
    <row r="124">
      <c r="A124" t="inlineStr">
        <is>
          <t>CB</t>
        </is>
      </c>
      <c r="B124" s="6" t="n">
        <v>119.8</v>
      </c>
    </row>
    <row r="125">
      <c r="A125" t="inlineStr">
        <is>
          <t>CB</t>
        </is>
      </c>
      <c r="B125" s="6" t="n">
        <v>72.3</v>
      </c>
    </row>
    <row r="126">
      <c r="A126" t="inlineStr">
        <is>
          <t>CB</t>
        </is>
      </c>
      <c r="B126" s="6" t="n">
        <v>126</v>
      </c>
    </row>
    <row r="127">
      <c r="A127" t="inlineStr">
        <is>
          <t>CB</t>
        </is>
      </c>
      <c r="B127" s="6" t="n">
        <v>120.1</v>
      </c>
    </row>
    <row r="128">
      <c r="A128" t="inlineStr">
        <is>
          <t>CB</t>
        </is>
      </c>
      <c r="B128" s="6" t="n">
        <v>70.90000000000001</v>
      </c>
    </row>
    <row r="129">
      <c r="A129" t="inlineStr">
        <is>
          <t>CB</t>
        </is>
      </c>
      <c r="B129" s="6" t="n">
        <v>41.9</v>
      </c>
    </row>
    <row r="130">
      <c r="A130" t="inlineStr">
        <is>
          <t>CHV</t>
        </is>
      </c>
      <c r="B130" s="6" t="n">
        <v>50</v>
      </c>
    </row>
    <row r="131">
      <c r="A131" t="inlineStr">
        <is>
          <t>ESP</t>
        </is>
      </c>
      <c r="B131" s="6" t="n">
        <v>6.3</v>
      </c>
    </row>
    <row r="132">
      <c r="A132" t="inlineStr">
        <is>
          <t>CB</t>
        </is>
      </c>
      <c r="B132" s="6" t="n">
        <v>29.9</v>
      </c>
    </row>
    <row r="133">
      <c r="A133" t="inlineStr">
        <is>
          <t>CB</t>
        </is>
      </c>
      <c r="B133" s="6" t="n">
        <v>27.2</v>
      </c>
    </row>
    <row r="134">
      <c r="A134" t="inlineStr">
        <is>
          <t>CB</t>
        </is>
      </c>
      <c r="B134" s="6" t="n">
        <v>24.3</v>
      </c>
    </row>
    <row r="135">
      <c r="A135" t="inlineStr">
        <is>
          <t>CB</t>
        </is>
      </c>
      <c r="B135" s="6" t="n">
        <v>17.1</v>
      </c>
    </row>
    <row r="136">
      <c r="A136" t="inlineStr">
        <is>
          <t>CB</t>
        </is>
      </c>
      <c r="B136" s="6" t="n">
        <v>82.2</v>
      </c>
    </row>
    <row r="137">
      <c r="A137" t="inlineStr">
        <is>
          <t>TR</t>
        </is>
      </c>
      <c r="B137" s="6" t="n">
        <v>57</v>
      </c>
    </row>
    <row r="138">
      <c r="A138" t="inlineStr">
        <is>
          <t>CB</t>
        </is>
      </c>
      <c r="B138" s="6" t="n">
        <v>7.7</v>
      </c>
    </row>
    <row r="139">
      <c r="A139" t="inlineStr">
        <is>
          <t>CB</t>
        </is>
      </c>
      <c r="B139" s="6" t="n">
        <v>103.2</v>
      </c>
    </row>
    <row r="140">
      <c r="A140" t="inlineStr">
        <is>
          <t>TR</t>
        </is>
      </c>
      <c r="B140" s="6" t="n">
        <v>73.59999999999999</v>
      </c>
    </row>
    <row r="141">
      <c r="A141" t="inlineStr">
        <is>
          <t>ESP</t>
        </is>
      </c>
      <c r="B141" s="6" t="n">
        <v>0.1</v>
      </c>
    </row>
    <row r="142">
      <c r="A142" t="inlineStr">
        <is>
          <t>CB</t>
        </is>
      </c>
      <c r="B142" s="6" t="n">
        <v>54.5</v>
      </c>
    </row>
    <row r="143">
      <c r="A143" t="inlineStr">
        <is>
          <t>CHV</t>
        </is>
      </c>
      <c r="B143" s="6" t="n">
        <v>130</v>
      </c>
    </row>
    <row r="144">
      <c r="A144" t="inlineStr">
        <is>
          <t>CB</t>
        </is>
      </c>
      <c r="B144" s="6" t="n">
        <v>61.6</v>
      </c>
    </row>
    <row r="145">
      <c r="A145" t="inlineStr">
        <is>
          <t>CB</t>
        </is>
      </c>
      <c r="B145" s="6" t="n">
        <v>131.5</v>
      </c>
    </row>
    <row r="146">
      <c r="A146" t="inlineStr">
        <is>
          <t>CB</t>
        </is>
      </c>
      <c r="B146" s="6" t="n">
        <v>88.5</v>
      </c>
    </row>
    <row r="147">
      <c r="A147" t="inlineStr">
        <is>
          <t>CB</t>
        </is>
      </c>
      <c r="B147" s="6" t="n">
        <v>59.9</v>
      </c>
    </row>
    <row r="148">
      <c r="A148" t="inlineStr">
        <is>
          <t>TR</t>
        </is>
      </c>
      <c r="B148" s="6" t="n">
        <v>104</v>
      </c>
    </row>
    <row r="149">
      <c r="A149" t="inlineStr">
        <is>
          <t>CB</t>
        </is>
      </c>
      <c r="B149" s="6" t="n">
        <v>21.8</v>
      </c>
    </row>
    <row r="150">
      <c r="A150" t="inlineStr">
        <is>
          <t>CB</t>
        </is>
      </c>
      <c r="B150" s="6" t="n">
        <v>27.75</v>
      </c>
    </row>
    <row r="151">
      <c r="A151" t="inlineStr">
        <is>
          <t>CB</t>
        </is>
      </c>
      <c r="B151" s="6" t="n">
        <v>27.75</v>
      </c>
    </row>
    <row r="152">
      <c r="A152" t="inlineStr">
        <is>
          <t>CB</t>
        </is>
      </c>
      <c r="B152" s="6" t="n">
        <v>27.75</v>
      </c>
    </row>
    <row r="153">
      <c r="A153" t="inlineStr">
        <is>
          <t>CB</t>
        </is>
      </c>
      <c r="B153" s="6" t="n">
        <v>27.75</v>
      </c>
    </row>
    <row r="154">
      <c r="A154" t="inlineStr">
        <is>
          <t>CB</t>
        </is>
      </c>
      <c r="B154" s="6" t="n">
        <v>27.75</v>
      </c>
    </row>
    <row r="155">
      <c r="A155" t="inlineStr">
        <is>
          <t>CB</t>
        </is>
      </c>
      <c r="B155" s="6" t="n">
        <v>27.75</v>
      </c>
    </row>
    <row r="156">
      <c r="A156" t="inlineStr">
        <is>
          <t>CB</t>
        </is>
      </c>
      <c r="B156" s="6" t="n">
        <v>62.1</v>
      </c>
    </row>
    <row r="157">
      <c r="A157" t="inlineStr">
        <is>
          <t>CB</t>
        </is>
      </c>
      <c r="B157" s="6" t="n">
        <v>41.95</v>
      </c>
    </row>
    <row r="158">
      <c r="A158" t="inlineStr">
        <is>
          <t>CB</t>
        </is>
      </c>
      <c r="B158" s="6" t="n">
        <v>62.1</v>
      </c>
    </row>
    <row r="159">
      <c r="A159" t="inlineStr">
        <is>
          <t>CB</t>
        </is>
      </c>
      <c r="B159" s="6" t="n">
        <v>41.95</v>
      </c>
    </row>
    <row r="160">
      <c r="A160" t="inlineStr">
        <is>
          <t>CB</t>
        </is>
      </c>
      <c r="B160" s="6" t="n">
        <v>46.1</v>
      </c>
    </row>
    <row r="161">
      <c r="A161" t="inlineStr">
        <is>
          <t>CB</t>
        </is>
      </c>
      <c r="B161" s="6" t="n">
        <v>86.40000000000001</v>
      </c>
    </row>
    <row r="162">
      <c r="A162" t="inlineStr">
        <is>
          <t>CB</t>
        </is>
      </c>
      <c r="B162" s="6" t="n">
        <v>75.5</v>
      </c>
    </row>
    <row r="163">
      <c r="A163" t="inlineStr">
        <is>
          <t>CB</t>
        </is>
      </c>
      <c r="B163" s="6" t="n">
        <v>85.09999999999999</v>
      </c>
    </row>
    <row r="164">
      <c r="A164" t="inlineStr">
        <is>
          <t>CB</t>
        </is>
      </c>
      <c r="B164" s="6" t="n">
        <v>96.7</v>
      </c>
    </row>
    <row r="165">
      <c r="A165" t="inlineStr">
        <is>
          <t>CB</t>
        </is>
      </c>
      <c r="B165" s="6" t="n">
        <v>76.5</v>
      </c>
    </row>
    <row r="166">
      <c r="A166" t="inlineStr">
        <is>
          <t>TR</t>
        </is>
      </c>
      <c r="B166" s="6" t="n">
        <v>18</v>
      </c>
    </row>
    <row r="167">
      <c r="A167" t="inlineStr">
        <is>
          <t>CB</t>
        </is>
      </c>
      <c r="B167" s="6" t="n">
        <v>35.1</v>
      </c>
    </row>
    <row r="168">
      <c r="A168" t="inlineStr">
        <is>
          <t>CHV</t>
        </is>
      </c>
      <c r="B168" s="6" t="n">
        <v>50</v>
      </c>
    </row>
    <row r="169">
      <c r="A169" t="inlineStr">
        <is>
          <t>ESP</t>
        </is>
      </c>
      <c r="B169" s="6" t="n">
        <v>3.4</v>
      </c>
    </row>
    <row r="170">
      <c r="A170" t="inlineStr">
        <is>
          <t>CB</t>
        </is>
      </c>
      <c r="B170" s="6" t="n">
        <v>52.9</v>
      </c>
    </row>
    <row r="171">
      <c r="A171" t="inlineStr">
        <is>
          <t>CB</t>
        </is>
      </c>
      <c r="B171" s="6" t="n">
        <v>67.59999999999999</v>
      </c>
    </row>
    <row r="172">
      <c r="A172" t="inlineStr">
        <is>
          <t>CB</t>
        </is>
      </c>
      <c r="B172" s="6" t="n">
        <v>54.8</v>
      </c>
    </row>
    <row r="173">
      <c r="A173" t="inlineStr">
        <is>
          <t>CB</t>
        </is>
      </c>
      <c r="B173" s="6" t="n">
        <v>64.8</v>
      </c>
    </row>
    <row r="174">
      <c r="A174" t="inlineStr">
        <is>
          <t>CHV</t>
        </is>
      </c>
      <c r="B174" s="6" t="n">
        <v>30</v>
      </c>
    </row>
    <row r="175">
      <c r="A175" t="inlineStr">
        <is>
          <t>CB</t>
        </is>
      </c>
      <c r="B175" s="6" t="n">
        <v>31.6</v>
      </c>
    </row>
    <row r="176">
      <c r="A176" t="inlineStr">
        <is>
          <t>CB</t>
        </is>
      </c>
      <c r="B176" s="6" t="n">
        <v>50.6</v>
      </c>
    </row>
    <row r="177">
      <c r="A177" t="inlineStr">
        <is>
          <t>CB</t>
        </is>
      </c>
      <c r="B177" s="6" t="n">
        <v>73.59999999999999</v>
      </c>
    </row>
    <row r="178">
      <c r="A178" t="inlineStr">
        <is>
          <t>CB</t>
        </is>
      </c>
      <c r="B178" s="6" t="n">
        <v>23.05</v>
      </c>
    </row>
    <row r="179">
      <c r="A179" t="inlineStr">
        <is>
          <t>CB</t>
        </is>
      </c>
      <c r="B179" s="6" t="n">
        <v>39.6</v>
      </c>
    </row>
    <row r="180">
      <c r="A180" t="inlineStr">
        <is>
          <t>CB</t>
        </is>
      </c>
      <c r="B180" s="6" t="n">
        <v>75.8</v>
      </c>
    </row>
    <row r="181">
      <c r="A181" t="inlineStr">
        <is>
          <t>CB</t>
        </is>
      </c>
      <c r="B181" s="6" t="n">
        <v>63.8</v>
      </c>
    </row>
    <row r="182">
      <c r="A182" t="inlineStr">
        <is>
          <t>CB</t>
        </is>
      </c>
      <c r="B182" s="6" t="n">
        <v>71.5</v>
      </c>
    </row>
    <row r="183">
      <c r="A183" t="inlineStr">
        <is>
          <t>CB</t>
        </is>
      </c>
      <c r="B183" s="6" t="n">
        <v>47.3</v>
      </c>
    </row>
    <row r="184">
      <c r="A184" t="inlineStr">
        <is>
          <t>CB</t>
        </is>
      </c>
      <c r="B184" s="6" t="n">
        <v>19.8</v>
      </c>
    </row>
    <row r="185">
      <c r="A185" t="inlineStr">
        <is>
          <t>CB</t>
        </is>
      </c>
      <c r="B185" s="6" t="n">
        <v>76</v>
      </c>
    </row>
    <row r="186">
      <c r="A186" t="inlineStr">
        <is>
          <t>CB</t>
        </is>
      </c>
      <c r="B186" s="6" t="n">
        <v>160.5</v>
      </c>
    </row>
    <row r="187">
      <c r="A187" t="inlineStr">
        <is>
          <t>CB</t>
        </is>
      </c>
      <c r="B187" s="6" t="n">
        <v>81.40000000000001</v>
      </c>
    </row>
    <row r="188">
      <c r="A188" t="inlineStr">
        <is>
          <t>CB</t>
        </is>
      </c>
      <c r="B188" s="6" t="n">
        <v>67.2</v>
      </c>
    </row>
    <row r="189">
      <c r="A189" t="inlineStr">
        <is>
          <t>CB</t>
        </is>
      </c>
      <c r="B189" s="6" t="n">
        <v>37.8</v>
      </c>
    </row>
    <row r="190">
      <c r="A190" t="inlineStr">
        <is>
          <t>CB</t>
        </is>
      </c>
      <c r="B190" s="6" t="n">
        <v>48.5</v>
      </c>
    </row>
    <row r="191">
      <c r="A191" t="inlineStr">
        <is>
          <t>CB</t>
        </is>
      </c>
      <c r="B191" s="6" t="n">
        <v>17.6</v>
      </c>
    </row>
    <row r="192">
      <c r="A192" t="inlineStr">
        <is>
          <t>CB</t>
        </is>
      </c>
      <c r="B192" s="6" t="n">
        <v>31.8</v>
      </c>
    </row>
    <row r="193">
      <c r="A193" t="inlineStr">
        <is>
          <t>CB</t>
        </is>
      </c>
      <c r="B193" s="6" t="n">
        <v>23.7</v>
      </c>
    </row>
    <row r="194">
      <c r="A194" t="inlineStr">
        <is>
          <t>CB</t>
        </is>
      </c>
      <c r="B194" s="6" t="n">
        <v>23.05</v>
      </c>
    </row>
    <row r="195">
      <c r="A195" t="inlineStr">
        <is>
          <t>TR</t>
        </is>
      </c>
      <c r="B195" s="6" t="n">
        <v>70</v>
      </c>
    </row>
    <row r="196">
      <c r="A196" t="inlineStr">
        <is>
          <t>CB</t>
        </is>
      </c>
      <c r="B196" s="6" t="n">
        <v>18.1</v>
      </c>
    </row>
    <row r="197">
      <c r="A197" t="inlineStr">
        <is>
          <t>CHQ</t>
        </is>
      </c>
      <c r="B197" s="6" t="n">
        <v>110.8</v>
      </c>
    </row>
    <row r="198">
      <c r="A198" t="inlineStr">
        <is>
          <t>CB</t>
        </is>
      </c>
      <c r="B198" s="6" t="n">
        <v>90.8</v>
      </c>
    </row>
    <row r="199">
      <c r="A199" t="inlineStr">
        <is>
          <t>CB</t>
        </is>
      </c>
      <c r="B199" s="6" t="n">
        <v>63.5</v>
      </c>
    </row>
    <row r="200">
      <c r="A200" t="inlineStr">
        <is>
          <t>CB</t>
        </is>
      </c>
      <c r="B200" s="6" t="n">
        <v>83.40000000000001</v>
      </c>
    </row>
    <row r="201">
      <c r="A201" t="inlineStr">
        <is>
          <t>CB</t>
        </is>
      </c>
      <c r="B201" s="6" t="n">
        <v>35.9</v>
      </c>
    </row>
    <row r="202">
      <c r="A202" t="inlineStr">
        <is>
          <t>CB</t>
        </is>
      </c>
      <c r="B202" s="6" t="n">
        <v>75.7</v>
      </c>
    </row>
    <row r="203">
      <c r="A203" t="inlineStr">
        <is>
          <t>CB</t>
        </is>
      </c>
      <c r="B203" s="6" t="n">
        <v>80.59999999999999</v>
      </c>
    </row>
    <row r="204">
      <c r="A204" t="inlineStr">
        <is>
          <t>CB</t>
        </is>
      </c>
      <c r="B204" s="6" t="n">
        <v>57.1</v>
      </c>
    </row>
    <row r="205">
      <c r="A205" t="inlineStr">
        <is>
          <t>CB</t>
        </is>
      </c>
      <c r="B205" s="6" t="n">
        <v>46.9</v>
      </c>
    </row>
    <row r="206">
      <c r="A206" t="inlineStr">
        <is>
          <t>CHV</t>
        </is>
      </c>
      <c r="B206" s="6" t="n">
        <v>100</v>
      </c>
    </row>
    <row r="207">
      <c r="A207" t="inlineStr">
        <is>
          <t>ESP</t>
        </is>
      </c>
      <c r="B207" s="6" t="n">
        <v>8</v>
      </c>
    </row>
    <row r="208">
      <c r="A208" t="inlineStr">
        <is>
          <t>CB</t>
        </is>
      </c>
      <c r="B208" s="6" t="n">
        <v>147.5</v>
      </c>
    </row>
    <row r="209">
      <c r="A209" t="inlineStr">
        <is>
          <t>TR</t>
        </is>
      </c>
      <c r="B209" s="6" t="n">
        <v>51</v>
      </c>
    </row>
    <row r="210">
      <c r="A210" t="inlineStr">
        <is>
          <t>CB</t>
        </is>
      </c>
      <c r="B210" s="6" t="n">
        <v>55.8</v>
      </c>
    </row>
    <row r="211">
      <c r="A211" t="inlineStr">
        <is>
          <t>TR</t>
        </is>
      </c>
      <c r="B211" s="6" t="n">
        <v>18.4</v>
      </c>
    </row>
    <row r="212">
      <c r="A212" t="inlineStr">
        <is>
          <t>ESP</t>
        </is>
      </c>
      <c r="B212" s="6" t="n">
        <v>2.6</v>
      </c>
    </row>
    <row r="213">
      <c r="A213" t="inlineStr">
        <is>
          <t>CB</t>
        </is>
      </c>
      <c r="B213" s="6" t="n">
        <v>17.6</v>
      </c>
    </row>
    <row r="214">
      <c r="A214" t="inlineStr">
        <is>
          <t>CB</t>
        </is>
      </c>
      <c r="B214" s="6" t="n">
        <v>54.2</v>
      </c>
    </row>
    <row r="215">
      <c r="A215" t="inlineStr">
        <is>
          <t>CB</t>
        </is>
      </c>
      <c r="B215" s="6" t="n">
        <v>100.9</v>
      </c>
    </row>
    <row r="216">
      <c r="A216" t="inlineStr">
        <is>
          <t>CB</t>
        </is>
      </c>
      <c r="B216" s="6" t="n">
        <v>67.5</v>
      </c>
    </row>
    <row r="217">
      <c r="A217" t="inlineStr">
        <is>
          <t>CB</t>
        </is>
      </c>
      <c r="B217" s="6" t="n">
        <v>122.3</v>
      </c>
    </row>
    <row r="218">
      <c r="A218" t="inlineStr">
        <is>
          <t>CB</t>
        </is>
      </c>
      <c r="B218" s="6" t="n">
        <v>44.3</v>
      </c>
    </row>
    <row r="219">
      <c r="A219" t="inlineStr">
        <is>
          <t>CB</t>
        </is>
      </c>
      <c r="B219" s="6" t="n">
        <v>21.5</v>
      </c>
    </row>
    <row r="220">
      <c r="A220" t="inlineStr">
        <is>
          <t>CB</t>
        </is>
      </c>
      <c r="B220" s="6" t="n">
        <v>21</v>
      </c>
    </row>
    <row r="221">
      <c r="A221" t="inlineStr">
        <is>
          <t>CB</t>
        </is>
      </c>
      <c r="B221" s="6" t="n">
        <v>25.1</v>
      </c>
    </row>
    <row r="222">
      <c r="A222" t="inlineStr">
        <is>
          <t>CB</t>
        </is>
      </c>
      <c r="B222" s="6" t="n">
        <v>22.2</v>
      </c>
    </row>
    <row r="223">
      <c r="A223" t="inlineStr">
        <is>
          <t>CB</t>
        </is>
      </c>
      <c r="B223" s="6" t="n">
        <v>30.4</v>
      </c>
    </row>
    <row r="224">
      <c r="A224" t="inlineStr">
        <is>
          <t>CB</t>
        </is>
      </c>
      <c r="B224" s="6" t="n">
        <v>22.2</v>
      </c>
    </row>
    <row r="225">
      <c r="A225" t="inlineStr">
        <is>
          <t>CB</t>
        </is>
      </c>
      <c r="B225" s="6" t="n">
        <v>16.9</v>
      </c>
    </row>
    <row r="226">
      <c r="A226" t="inlineStr">
        <is>
          <t>CB</t>
        </is>
      </c>
      <c r="B226" s="6" t="n">
        <v>68.8</v>
      </c>
    </row>
    <row r="227">
      <c r="A227" t="inlineStr">
        <is>
          <t>TR</t>
        </is>
      </c>
      <c r="B227" s="6" t="n">
        <v>27</v>
      </c>
    </row>
    <row r="228">
      <c r="A228" t="inlineStr">
        <is>
          <t>TR</t>
        </is>
      </c>
      <c r="B228" s="6" t="n">
        <v>3</v>
      </c>
    </row>
    <row r="229">
      <c r="A229" t="inlineStr">
        <is>
          <t>TR</t>
        </is>
      </c>
      <c r="B229" s="6" t="n">
        <v>4.4</v>
      </c>
    </row>
    <row r="230">
      <c r="A230" t="inlineStr">
        <is>
          <t>CB</t>
        </is>
      </c>
      <c r="B230" s="6" t="n">
        <v>42.6</v>
      </c>
    </row>
    <row r="231">
      <c r="A231" t="inlineStr">
        <is>
          <t>CHV</t>
        </is>
      </c>
      <c r="B231" s="6" t="n">
        <v>59.4</v>
      </c>
    </row>
    <row r="232">
      <c r="A232" t="inlineStr">
        <is>
          <t>CB</t>
        </is>
      </c>
      <c r="B232" s="6" t="n">
        <v>55.2</v>
      </c>
    </row>
    <row r="233">
      <c r="A233" t="inlineStr">
        <is>
          <t>CB</t>
        </is>
      </c>
      <c r="B233" s="6" t="n">
        <v>147.7</v>
      </c>
    </row>
    <row r="234">
      <c r="A234" t="inlineStr">
        <is>
          <t>CB</t>
        </is>
      </c>
      <c r="B234" s="6" t="n">
        <v>30.4</v>
      </c>
    </row>
    <row r="235">
      <c r="A235" t="inlineStr">
        <is>
          <t>CB</t>
        </is>
      </c>
      <c r="B235" s="6" t="n">
        <v>66.7</v>
      </c>
    </row>
    <row r="236">
      <c r="A236" t="inlineStr">
        <is>
          <t>CB</t>
        </is>
      </c>
      <c r="B236" s="6" t="n">
        <v>45.8</v>
      </c>
    </row>
    <row r="237">
      <c r="A237" t="inlineStr">
        <is>
          <t>CB</t>
        </is>
      </c>
      <c r="B237" s="6" t="n">
        <v>23.8</v>
      </c>
    </row>
    <row r="238">
      <c r="A238" t="inlineStr">
        <is>
          <t>CB</t>
        </is>
      </c>
      <c r="B238" s="6" t="n">
        <v>23.8</v>
      </c>
    </row>
    <row r="239">
      <c r="A239" t="inlineStr">
        <is>
          <t>CB</t>
        </is>
      </c>
      <c r="B239" s="6" t="n">
        <v>23.8</v>
      </c>
    </row>
    <row r="240">
      <c r="A240" t="inlineStr">
        <is>
          <t>CB</t>
        </is>
      </c>
      <c r="B240" s="6" t="n">
        <v>96.40000000000001</v>
      </c>
    </row>
    <row r="241">
      <c r="A241" t="inlineStr">
        <is>
          <t>TR</t>
        </is>
      </c>
      <c r="B241" s="6" t="n">
        <v>38</v>
      </c>
    </row>
    <row r="242">
      <c r="A242" t="inlineStr">
        <is>
          <t>CB</t>
        </is>
      </c>
      <c r="B242" s="6" t="n">
        <v>39.9</v>
      </c>
    </row>
    <row r="243">
      <c r="A243" t="inlineStr">
        <is>
          <t>CB</t>
        </is>
      </c>
      <c r="B243" s="6" t="n">
        <v>159.5</v>
      </c>
    </row>
    <row r="244">
      <c r="A244" t="inlineStr">
        <is>
          <t>CB</t>
        </is>
      </c>
      <c r="B244" s="6" t="n">
        <v>65.2</v>
      </c>
    </row>
    <row r="245">
      <c r="A245" t="inlineStr">
        <is>
          <t>CB</t>
        </is>
      </c>
      <c r="B245" s="6" t="n">
        <v>67.7</v>
      </c>
    </row>
    <row r="246">
      <c r="A246" t="inlineStr">
        <is>
          <t>CB</t>
        </is>
      </c>
      <c r="B246" s="6" t="n">
        <v>51.9</v>
      </c>
    </row>
    <row r="247">
      <c r="A247" t="inlineStr">
        <is>
          <t>CB</t>
        </is>
      </c>
      <c r="B247" s="6" t="n">
        <v>87.7</v>
      </c>
    </row>
    <row r="248">
      <c r="A248" t="inlineStr">
        <is>
          <t>CB</t>
        </is>
      </c>
      <c r="B248" s="6" t="n">
        <v>55.6</v>
      </c>
    </row>
    <row r="249">
      <c r="A249" t="inlineStr">
        <is>
          <t>CB</t>
        </is>
      </c>
      <c r="B249" s="6" t="n">
        <v>49.2</v>
      </c>
    </row>
    <row r="250">
      <c r="A250" t="inlineStr">
        <is>
          <t>CB</t>
        </is>
      </c>
      <c r="B250" s="6" t="n">
        <v>100.9</v>
      </c>
    </row>
    <row r="251">
      <c r="A251" t="inlineStr">
        <is>
          <t>CB</t>
        </is>
      </c>
      <c r="B251" s="6" t="n">
        <v>75.40000000000001</v>
      </c>
    </row>
    <row r="252">
      <c r="A252" t="inlineStr">
        <is>
          <t>CB</t>
        </is>
      </c>
      <c r="B252" s="6" t="n">
        <v>73.90000000000001</v>
      </c>
    </row>
    <row r="253">
      <c r="A253" t="inlineStr">
        <is>
          <t>CB</t>
        </is>
      </c>
      <c r="B253" s="6" t="n">
        <v>71.2</v>
      </c>
    </row>
    <row r="254">
      <c r="A254" t="inlineStr">
        <is>
          <t>CB</t>
        </is>
      </c>
      <c r="B254" s="6" t="n">
        <v>242.5</v>
      </c>
    </row>
    <row r="255">
      <c r="A255" t="inlineStr">
        <is>
          <t>CB</t>
        </is>
      </c>
      <c r="B255" s="6" t="n">
        <v>119.8</v>
      </c>
    </row>
    <row r="256">
      <c r="A256" t="inlineStr">
        <is>
          <t>CB</t>
        </is>
      </c>
      <c r="B256" s="6" t="n">
        <v>161.7</v>
      </c>
    </row>
    <row r="257">
      <c r="A257" t="inlineStr">
        <is>
          <t>CB</t>
        </is>
      </c>
      <c r="B257" s="6" t="n">
        <v>147.1</v>
      </c>
    </row>
    <row r="258">
      <c r="A258" t="inlineStr">
        <is>
          <t>CB</t>
        </is>
      </c>
      <c r="B258" s="6" t="n">
        <v>73.2</v>
      </c>
    </row>
    <row r="259">
      <c r="A259" t="inlineStr">
        <is>
          <t>CB</t>
        </is>
      </c>
      <c r="B259" s="6" t="n">
        <v>73.8</v>
      </c>
    </row>
    <row r="260">
      <c r="A260" t="inlineStr">
        <is>
          <t>CB</t>
        </is>
      </c>
      <c r="B260" s="6" t="n">
        <v>61</v>
      </c>
    </row>
    <row r="261">
      <c r="A261" t="inlineStr">
        <is>
          <t>CB</t>
        </is>
      </c>
      <c r="B261" s="6" t="n">
        <v>88.3</v>
      </c>
    </row>
    <row r="262">
      <c r="A262" t="inlineStr">
        <is>
          <t>CB</t>
        </is>
      </c>
      <c r="B262" s="6" t="n">
        <v>86.90000000000001</v>
      </c>
    </row>
    <row r="263">
      <c r="A263" t="inlineStr">
        <is>
          <t>CB</t>
        </is>
      </c>
      <c r="B263" s="6" t="n">
        <v>45</v>
      </c>
    </row>
    <row r="264">
      <c r="A264" t="inlineStr">
        <is>
          <t>CB</t>
        </is>
      </c>
      <c r="B264" s="6" t="n">
        <v>48.1</v>
      </c>
    </row>
    <row r="265">
      <c r="A265" t="inlineStr">
        <is>
          <t>CB</t>
        </is>
      </c>
      <c r="B265" s="6" t="n">
        <v>36.5</v>
      </c>
    </row>
    <row r="266">
      <c r="A266" t="inlineStr">
        <is>
          <t>TR</t>
        </is>
      </c>
      <c r="B266" s="6" t="n">
        <v>42</v>
      </c>
    </row>
    <row r="267">
      <c r="A267" t="inlineStr">
        <is>
          <t>CB</t>
        </is>
      </c>
      <c r="B267" s="6" t="n">
        <v>19.5</v>
      </c>
    </row>
    <row r="268">
      <c r="A268" t="inlineStr">
        <is>
          <t>TR</t>
        </is>
      </c>
      <c r="B268" s="6" t="n">
        <v>38</v>
      </c>
    </row>
    <row r="269">
      <c r="A269" t="inlineStr">
        <is>
          <t>CB</t>
        </is>
      </c>
      <c r="B269" s="6" t="n">
        <v>12.5</v>
      </c>
    </row>
    <row r="270">
      <c r="A270" t="inlineStr">
        <is>
          <t>CB</t>
        </is>
      </c>
      <c r="B270" s="6" t="n">
        <v>70</v>
      </c>
    </row>
    <row r="271">
      <c r="A271" t="inlineStr">
        <is>
          <t>CB</t>
        </is>
      </c>
      <c r="B271" s="6" t="n">
        <v>72.2</v>
      </c>
    </row>
    <row r="272">
      <c r="A272" t="inlineStr">
        <is>
          <t>CB</t>
        </is>
      </c>
      <c r="B272" s="6" t="n">
        <v>50.2</v>
      </c>
    </row>
    <row r="273">
      <c r="A273" t="inlineStr">
        <is>
          <t>CB</t>
        </is>
      </c>
      <c r="B273" s="6" t="n">
        <v>85.59999999999999</v>
      </c>
    </row>
    <row r="274">
      <c r="A274" t="inlineStr">
        <is>
          <t>CB</t>
        </is>
      </c>
      <c r="B274" s="6" t="n">
        <v>72.59999999999999</v>
      </c>
    </row>
    <row r="275">
      <c r="A275" t="inlineStr">
        <is>
          <t>TR</t>
        </is>
      </c>
      <c r="B275" s="6" t="n">
        <v>27</v>
      </c>
    </row>
    <row r="276">
      <c r="A276" t="inlineStr">
        <is>
          <t>CB</t>
        </is>
      </c>
      <c r="B276" s="6" t="n">
        <v>48.4</v>
      </c>
    </row>
    <row r="277">
      <c r="A277" t="inlineStr">
        <is>
          <t>CB</t>
        </is>
      </c>
      <c r="B277" s="6" t="n">
        <v>67.40000000000001</v>
      </c>
    </row>
    <row r="278">
      <c r="A278" t="inlineStr">
        <is>
          <t>CB</t>
        </is>
      </c>
      <c r="B278" s="6" t="n">
        <v>69.40000000000001</v>
      </c>
    </row>
    <row r="279">
      <c r="A279" t="inlineStr">
        <is>
          <t>CB</t>
        </is>
      </c>
      <c r="B279" s="6" t="n">
        <v>147.3</v>
      </c>
    </row>
    <row r="280">
      <c r="A280" t="inlineStr">
        <is>
          <t>CB</t>
        </is>
      </c>
      <c r="B280" s="6" t="n">
        <v>58.25</v>
      </c>
    </row>
    <row r="281">
      <c r="A281" t="inlineStr">
        <is>
          <t>CB</t>
        </is>
      </c>
      <c r="B281" s="6" t="n">
        <v>58.25</v>
      </c>
    </row>
    <row r="282">
      <c r="A282" t="inlineStr">
        <is>
          <t>CB</t>
        </is>
      </c>
      <c r="B282" s="6" t="n">
        <v>31.8</v>
      </c>
    </row>
    <row r="283">
      <c r="A283" t="inlineStr">
        <is>
          <t>CB</t>
        </is>
      </c>
      <c r="B283" s="6" t="n">
        <v>138.4</v>
      </c>
    </row>
    <row r="284">
      <c r="A284" t="inlineStr">
        <is>
          <t>CB</t>
        </is>
      </c>
      <c r="B284" s="6" t="n">
        <v>119.5</v>
      </c>
    </row>
    <row r="285">
      <c r="A285" t="inlineStr">
        <is>
          <t>CB</t>
        </is>
      </c>
      <c r="B285" s="6" t="n">
        <v>91.7</v>
      </c>
    </row>
    <row r="286">
      <c r="A286" t="inlineStr">
        <is>
          <t>CB</t>
        </is>
      </c>
      <c r="B286" s="6" t="n">
        <v>34.1</v>
      </c>
    </row>
    <row r="287">
      <c r="A287" t="inlineStr">
        <is>
          <t>CB</t>
        </is>
      </c>
      <c r="B287" s="6" t="n">
        <v>82.7</v>
      </c>
    </row>
    <row r="288">
      <c r="A288" t="inlineStr">
        <is>
          <t>CB</t>
        </is>
      </c>
      <c r="B288" s="6" t="n">
        <v>61.2</v>
      </c>
    </row>
    <row r="289">
      <c r="A289" t="inlineStr">
        <is>
          <t>CB</t>
        </is>
      </c>
      <c r="B289" s="6" t="n">
        <v>78.09999999999999</v>
      </c>
    </row>
    <row r="290">
      <c r="A290" t="inlineStr">
        <is>
          <t>CB</t>
        </is>
      </c>
      <c r="B290" s="6" t="n">
        <v>132.7</v>
      </c>
    </row>
    <row r="291">
      <c r="A291" t="inlineStr">
        <is>
          <t>CB</t>
        </is>
      </c>
      <c r="B291" s="6" t="n">
        <v>66.59999999999999</v>
      </c>
    </row>
    <row r="292">
      <c r="A292" t="inlineStr">
        <is>
          <t>CB</t>
        </is>
      </c>
      <c r="B292" s="6" t="n">
        <v>85.5</v>
      </c>
    </row>
    <row r="293">
      <c r="A293" t="inlineStr">
        <is>
          <t>CHV</t>
        </is>
      </c>
      <c r="B293" s="6" t="n">
        <v>20</v>
      </c>
    </row>
    <row r="294">
      <c r="A294" t="inlineStr">
        <is>
          <t>CB</t>
        </is>
      </c>
      <c r="B294" s="6" t="n">
        <v>67.7</v>
      </c>
    </row>
    <row r="295">
      <c r="A295" t="inlineStr">
        <is>
          <t>CB</t>
        </is>
      </c>
      <c r="B295" s="6" t="n">
        <v>106.5</v>
      </c>
    </row>
    <row r="296">
      <c r="A296" t="inlineStr">
        <is>
          <t>CB</t>
        </is>
      </c>
      <c r="B296" s="6" t="n">
        <v>15.9</v>
      </c>
    </row>
    <row r="297">
      <c r="A297" t="inlineStr">
        <is>
          <t>CB</t>
        </is>
      </c>
      <c r="B297" s="6" t="n">
        <v>56.1</v>
      </c>
    </row>
    <row r="298">
      <c r="A298" t="inlineStr">
        <is>
          <t>CB</t>
        </is>
      </c>
      <c r="B298" s="6" t="n">
        <v>36.6</v>
      </c>
    </row>
    <row r="299">
      <c r="A299" t="inlineStr">
        <is>
          <t>CB</t>
        </is>
      </c>
      <c r="B299" s="6" t="n">
        <v>30.1</v>
      </c>
    </row>
    <row r="300">
      <c r="A300" t="inlineStr">
        <is>
          <t>CHV</t>
        </is>
      </c>
      <c r="B300" s="6" t="n">
        <v>30</v>
      </c>
    </row>
    <row r="301">
      <c r="A301" t="inlineStr">
        <is>
          <t>CB</t>
        </is>
      </c>
      <c r="B301" s="6" t="n">
        <v>0.1</v>
      </c>
    </row>
    <row r="302">
      <c r="A302" t="inlineStr">
        <is>
          <t>CB</t>
        </is>
      </c>
      <c r="B302" s="6" t="n">
        <v>62.5</v>
      </c>
    </row>
    <row r="303">
      <c r="A303" t="inlineStr">
        <is>
          <t>CB</t>
        </is>
      </c>
      <c r="B303" s="6" t="n">
        <v>81.5</v>
      </c>
    </row>
    <row r="304">
      <c r="A304" t="inlineStr">
        <is>
          <t>CB</t>
        </is>
      </c>
      <c r="B304" s="6" t="n">
        <v>38</v>
      </c>
    </row>
    <row r="305">
      <c r="A305" t="inlineStr">
        <is>
          <t>CB</t>
        </is>
      </c>
      <c r="B305" s="6" t="n">
        <v>34</v>
      </c>
    </row>
    <row r="306">
      <c r="A306" t="inlineStr">
        <is>
          <t>CB</t>
        </is>
      </c>
      <c r="B306" s="6" t="n">
        <v>67.5</v>
      </c>
    </row>
    <row r="307">
      <c r="A307" t="inlineStr">
        <is>
          <t>TR</t>
        </is>
      </c>
      <c r="B307" s="6" t="n">
        <v>38</v>
      </c>
    </row>
    <row r="308">
      <c r="A308" t="inlineStr">
        <is>
          <t>CB</t>
        </is>
      </c>
      <c r="B308" s="6" t="n">
        <v>92</v>
      </c>
    </row>
    <row r="309">
      <c r="A309" t="inlineStr">
        <is>
          <t>CB</t>
        </is>
      </c>
      <c r="B309" s="6" t="n">
        <v>86.2</v>
      </c>
    </row>
    <row r="310">
      <c r="A310" t="inlineStr">
        <is>
          <t>CB</t>
        </is>
      </c>
      <c r="B310" s="6" t="n">
        <v>67.40000000000001</v>
      </c>
    </row>
    <row r="311">
      <c r="A311" t="inlineStr">
        <is>
          <t>CB</t>
        </is>
      </c>
      <c r="B311" s="6" t="n">
        <v>64.7</v>
      </c>
    </row>
    <row r="312">
      <c r="A312" t="inlineStr">
        <is>
          <t>CB</t>
        </is>
      </c>
      <c r="B312" s="6" t="n">
        <v>93.09999999999999</v>
      </c>
    </row>
    <row r="313">
      <c r="A313" t="inlineStr">
        <is>
          <t>CB</t>
        </is>
      </c>
      <c r="B313" s="6" t="n">
        <v>75.7</v>
      </c>
    </row>
    <row r="314">
      <c r="A314" t="inlineStr">
        <is>
          <t>CB</t>
        </is>
      </c>
      <c r="B314" s="6" t="n">
        <v>81.09999999999999</v>
      </c>
    </row>
    <row r="315">
      <c r="A315" t="inlineStr">
        <is>
          <t>CB</t>
        </is>
      </c>
      <c r="B315" s="6" t="n">
        <v>89.8</v>
      </c>
    </row>
    <row r="316">
      <c r="A316" t="inlineStr">
        <is>
          <t>CB</t>
        </is>
      </c>
      <c r="B316" s="6" t="n">
        <v>40.2</v>
      </c>
    </row>
    <row r="317">
      <c r="A317" t="inlineStr">
        <is>
          <t>CHV</t>
        </is>
      </c>
      <c r="B317" s="6" t="n">
        <v>40</v>
      </c>
    </row>
    <row r="318">
      <c r="A318" t="inlineStr">
        <is>
          <t>CB</t>
        </is>
      </c>
      <c r="B318" s="6" t="n">
        <v>27.4</v>
      </c>
    </row>
    <row r="319">
      <c r="A319" t="inlineStr">
        <is>
          <t>CB</t>
        </is>
      </c>
      <c r="B319" s="6" t="n">
        <v>265.8</v>
      </c>
    </row>
    <row r="320">
      <c r="A320" t="inlineStr">
        <is>
          <t>CB</t>
        </is>
      </c>
      <c r="B320" s="6" t="n">
        <v>120.6</v>
      </c>
    </row>
    <row r="321">
      <c r="A321" t="inlineStr">
        <is>
          <t>CB</t>
        </is>
      </c>
      <c r="B321" s="6" t="n">
        <v>64.8</v>
      </c>
    </row>
    <row r="322">
      <c r="A322" t="inlineStr">
        <is>
          <t>CB</t>
        </is>
      </c>
      <c r="B322" s="6" t="n">
        <v>117.5</v>
      </c>
    </row>
    <row r="323">
      <c r="A323" t="inlineStr">
        <is>
          <t>CB</t>
        </is>
      </c>
      <c r="B323" s="6" t="n">
        <v>104.9</v>
      </c>
    </row>
    <row r="324">
      <c r="A324" t="inlineStr">
        <is>
          <t>TR</t>
        </is>
      </c>
      <c r="B324" s="6" t="n">
        <v>38</v>
      </c>
    </row>
    <row r="325">
      <c r="A325" t="inlineStr">
        <is>
          <t>CB</t>
        </is>
      </c>
      <c r="B325" s="6" t="n">
        <v>17.8</v>
      </c>
    </row>
    <row r="326">
      <c r="A326" t="inlineStr">
        <is>
          <t>TR</t>
        </is>
      </c>
      <c r="B326" s="6" t="n">
        <v>41.65</v>
      </c>
    </row>
    <row r="327">
      <c r="A327" t="inlineStr">
        <is>
          <t>CB</t>
        </is>
      </c>
      <c r="B327" s="6" t="n">
        <v>21.15</v>
      </c>
    </row>
    <row r="328">
      <c r="A328" t="inlineStr">
        <is>
          <t>CB</t>
        </is>
      </c>
      <c r="B328" s="6" t="n">
        <v>53.8</v>
      </c>
    </row>
    <row r="329">
      <c r="A329" t="inlineStr">
        <is>
          <t>CB</t>
        </is>
      </c>
      <c r="B329" s="6" t="n">
        <v>68.8</v>
      </c>
    </row>
    <row r="330">
      <c r="A330" t="inlineStr">
        <is>
          <t>CB</t>
        </is>
      </c>
      <c r="B330" s="6" t="n">
        <v>90</v>
      </c>
    </row>
    <row r="331">
      <c r="A331" t="inlineStr">
        <is>
          <t>CB</t>
        </is>
      </c>
      <c r="B331" s="6" t="n">
        <v>59.25</v>
      </c>
    </row>
    <row r="332">
      <c r="A332" t="inlineStr">
        <is>
          <t>TR</t>
        </is>
      </c>
      <c r="B332" s="6" t="n">
        <v>38</v>
      </c>
    </row>
    <row r="333">
      <c r="A333" t="inlineStr">
        <is>
          <t>ESP</t>
        </is>
      </c>
      <c r="B333" s="6" t="n">
        <v>37.5</v>
      </c>
    </row>
    <row r="334">
      <c r="A334" t="inlineStr">
        <is>
          <t>CB</t>
        </is>
      </c>
      <c r="B334" s="6" t="n">
        <v>59.25</v>
      </c>
    </row>
    <row r="335">
      <c r="A335" t="inlineStr">
        <is>
          <t>CB</t>
        </is>
      </c>
      <c r="B335" s="6" t="n">
        <v>69.09999999999999</v>
      </c>
    </row>
    <row r="336">
      <c r="A336" t="inlineStr">
        <is>
          <t>CB</t>
        </is>
      </c>
      <c r="B336" s="6" t="n">
        <v>73.09999999999999</v>
      </c>
    </row>
    <row r="337">
      <c r="A337" t="inlineStr">
        <is>
          <t>CB</t>
        </is>
      </c>
      <c r="B337" s="6" t="n">
        <v>73.09999999999999</v>
      </c>
    </row>
    <row r="338">
      <c r="A338" t="inlineStr">
        <is>
          <t>CB</t>
        </is>
      </c>
      <c r="B338" s="6" t="n">
        <v>75.40000000000001</v>
      </c>
    </row>
    <row r="339">
      <c r="A339" t="inlineStr">
        <is>
          <t>CB</t>
        </is>
      </c>
      <c r="B339" s="6" t="n">
        <v>66.3</v>
      </c>
    </row>
    <row r="340">
      <c r="A340" t="inlineStr">
        <is>
          <t>CB</t>
        </is>
      </c>
      <c r="B340" s="6" t="n">
        <v>18.9</v>
      </c>
    </row>
    <row r="341">
      <c r="A341" t="inlineStr">
        <is>
          <t>CB</t>
        </is>
      </c>
      <c r="B341" s="6" t="n">
        <v>43.8</v>
      </c>
    </row>
    <row r="342">
      <c r="A342" t="inlineStr">
        <is>
          <t>CB</t>
        </is>
      </c>
      <c r="B342" s="6" t="n">
        <v>37.9</v>
      </c>
    </row>
    <row r="343">
      <c r="A343" t="inlineStr">
        <is>
          <t>CB</t>
        </is>
      </c>
      <c r="B343" s="6" t="n">
        <v>76</v>
      </c>
    </row>
    <row r="344">
      <c r="A344" t="inlineStr">
        <is>
          <t>CB</t>
        </is>
      </c>
      <c r="B344" s="6" t="n">
        <v>26.7</v>
      </c>
    </row>
    <row r="345">
      <c r="A345" t="inlineStr">
        <is>
          <t>CB</t>
        </is>
      </c>
      <c r="B345" s="6" t="n">
        <v>30.3</v>
      </c>
    </row>
    <row r="346">
      <c r="A346" t="inlineStr">
        <is>
          <t>CB</t>
        </is>
      </c>
      <c r="B346" s="6" t="n">
        <v>120.9</v>
      </c>
    </row>
    <row r="347">
      <c r="A347" t="inlineStr">
        <is>
          <t>CB</t>
        </is>
      </c>
      <c r="B347" s="6" t="n">
        <v>14.3</v>
      </c>
    </row>
    <row r="348">
      <c r="A348" t="inlineStr">
        <is>
          <t>CB</t>
        </is>
      </c>
      <c r="B348" s="6" t="n">
        <v>60.6</v>
      </c>
    </row>
    <row r="349">
      <c r="A349" t="inlineStr">
        <is>
          <t>CB</t>
        </is>
      </c>
      <c r="B349" s="6" t="n">
        <v>92.90000000000001</v>
      </c>
    </row>
    <row r="350">
      <c r="A350" t="inlineStr">
        <is>
          <t>CB</t>
        </is>
      </c>
      <c r="B350" s="6" t="n">
        <v>49.6</v>
      </c>
    </row>
    <row r="351">
      <c r="A351" t="inlineStr">
        <is>
          <t>CB</t>
        </is>
      </c>
      <c r="B351" s="6" t="n">
        <v>41.6</v>
      </c>
    </row>
    <row r="352">
      <c r="A352" t="inlineStr">
        <is>
          <t>CB</t>
        </is>
      </c>
      <c r="B352" s="6" t="n">
        <v>86.2</v>
      </c>
    </row>
    <row r="353">
      <c r="A353" t="inlineStr">
        <is>
          <t>CB</t>
        </is>
      </c>
      <c r="B353" s="6" t="n">
        <v>52</v>
      </c>
    </row>
    <row r="354">
      <c r="A354" t="inlineStr">
        <is>
          <t>CHV</t>
        </is>
      </c>
      <c r="B354" s="6" t="n">
        <v>60</v>
      </c>
    </row>
    <row r="355">
      <c r="A355" t="inlineStr">
        <is>
          <t>ESP</t>
        </is>
      </c>
      <c r="B355" s="6" t="n">
        <v>2.4</v>
      </c>
    </row>
    <row r="356">
      <c r="A356" t="inlineStr">
        <is>
          <t>CB</t>
        </is>
      </c>
      <c r="B356" s="6" t="n">
        <v>63.7</v>
      </c>
    </row>
    <row r="357">
      <c r="A357" t="inlineStr">
        <is>
          <t>CB</t>
        </is>
      </c>
      <c r="B357" s="6" t="n">
        <v>25</v>
      </c>
    </row>
    <row r="358">
      <c r="A358" t="inlineStr">
        <is>
          <t>CB</t>
        </is>
      </c>
      <c r="B358" s="6" t="n">
        <v>76.7</v>
      </c>
    </row>
    <row r="359">
      <c r="A359" t="inlineStr">
        <is>
          <t>CB</t>
        </is>
      </c>
      <c r="B359" s="6" t="n">
        <v>49.2</v>
      </c>
    </row>
    <row r="360">
      <c r="A360" t="inlineStr">
        <is>
          <t>CB</t>
        </is>
      </c>
      <c r="B360" s="6" t="n">
        <v>44.7</v>
      </c>
    </row>
    <row r="361">
      <c r="A361" t="inlineStr">
        <is>
          <t>CB</t>
        </is>
      </c>
      <c r="B361" s="6" t="n">
        <v>19.8</v>
      </c>
    </row>
    <row r="362">
      <c r="A362" t="inlineStr">
        <is>
          <t>CB</t>
        </is>
      </c>
      <c r="B362" s="6" t="n">
        <v>25.4</v>
      </c>
    </row>
    <row r="363">
      <c r="A363" t="inlineStr">
        <is>
          <t>CB</t>
        </is>
      </c>
      <c r="B363" s="6" t="n">
        <v>22</v>
      </c>
    </row>
    <row r="364">
      <c r="A364" t="inlineStr">
        <is>
          <t>CB</t>
        </is>
      </c>
      <c r="B364" s="6" t="n">
        <v>7.6</v>
      </c>
    </row>
    <row r="365">
      <c r="A365" t="inlineStr">
        <is>
          <t>TR</t>
        </is>
      </c>
      <c r="B365" s="6" t="n">
        <v>25.4</v>
      </c>
    </row>
    <row r="366">
      <c r="A366" t="inlineStr">
        <is>
          <t>CB</t>
        </is>
      </c>
      <c r="B366" s="6" t="n">
        <v>153.2</v>
      </c>
    </row>
    <row r="367">
      <c r="A367" t="inlineStr">
        <is>
          <t>CB</t>
        </is>
      </c>
      <c r="B367" s="6" t="n">
        <v>92.40000000000001</v>
      </c>
    </row>
    <row r="368">
      <c r="A368" t="inlineStr">
        <is>
          <t>CB</t>
        </is>
      </c>
      <c r="B368" s="6" t="n">
        <v>50.8</v>
      </c>
    </row>
    <row r="369">
      <c r="A369" t="inlineStr">
        <is>
          <t>CB</t>
        </is>
      </c>
      <c r="B369" s="6" t="n">
        <v>68.8</v>
      </c>
    </row>
    <row r="370">
      <c r="A370" t="inlineStr">
        <is>
          <t>CB</t>
        </is>
      </c>
      <c r="B370" s="6" t="n">
        <v>62.6</v>
      </c>
    </row>
    <row r="371">
      <c r="A371" t="inlineStr">
        <is>
          <t>TR</t>
        </is>
      </c>
      <c r="B371" s="6" t="n">
        <v>45</v>
      </c>
    </row>
    <row r="372">
      <c r="A372" t="inlineStr">
        <is>
          <t>CB</t>
        </is>
      </c>
      <c r="B372" s="6" t="n">
        <v>18.7</v>
      </c>
    </row>
    <row r="373">
      <c r="A373" t="inlineStr">
        <is>
          <t>CB</t>
        </is>
      </c>
      <c r="B373" s="6" t="n">
        <v>100.2</v>
      </c>
    </row>
    <row r="374">
      <c r="A374" t="inlineStr">
        <is>
          <t>CB</t>
        </is>
      </c>
      <c r="B374" s="6" t="n">
        <v>141.9</v>
      </c>
    </row>
    <row r="375">
      <c r="A375" t="inlineStr">
        <is>
          <t>TR</t>
        </is>
      </c>
      <c r="B375" s="6" t="n">
        <v>34</v>
      </c>
    </row>
    <row r="376">
      <c r="A376" t="inlineStr">
        <is>
          <t>CB</t>
        </is>
      </c>
      <c r="B376" s="6" t="n">
        <v>22</v>
      </c>
    </row>
    <row r="377">
      <c r="A377" t="inlineStr">
        <is>
          <t>CB</t>
        </is>
      </c>
      <c r="B377" s="6" t="n">
        <v>77</v>
      </c>
    </row>
    <row r="378">
      <c r="A378" t="inlineStr">
        <is>
          <t>CB</t>
        </is>
      </c>
      <c r="B378" s="6" t="n">
        <v>35.4</v>
      </c>
    </row>
    <row r="379">
      <c r="A379" t="inlineStr">
        <is>
          <t>CB</t>
        </is>
      </c>
      <c r="B379" s="6" t="n">
        <v>56.5</v>
      </c>
    </row>
    <row r="380">
      <c r="A380" t="inlineStr">
        <is>
          <t>CB</t>
        </is>
      </c>
      <c r="B380" s="6" t="n">
        <v>61.2</v>
      </c>
    </row>
    <row r="381">
      <c r="A381" t="inlineStr">
        <is>
          <t>CB</t>
        </is>
      </c>
      <c r="B381" s="6" t="n">
        <v>26.38</v>
      </c>
    </row>
    <row r="382">
      <c r="A382" t="inlineStr">
        <is>
          <t>CB</t>
        </is>
      </c>
      <c r="B382" s="6" t="n">
        <v>81.8</v>
      </c>
    </row>
    <row r="383">
      <c r="A383" t="inlineStr">
        <is>
          <t>CB</t>
        </is>
      </c>
      <c r="B383" s="6" t="n">
        <v>42.4</v>
      </c>
    </row>
    <row r="384">
      <c r="A384" t="inlineStr">
        <is>
          <t>CB</t>
        </is>
      </c>
      <c r="B384" s="6" t="n">
        <v>26.38</v>
      </c>
    </row>
    <row r="385">
      <c r="A385" t="inlineStr">
        <is>
          <t>CB</t>
        </is>
      </c>
      <c r="B385" s="6" t="n">
        <v>26.38</v>
      </c>
    </row>
    <row r="386">
      <c r="A386" t="inlineStr">
        <is>
          <t>CB</t>
        </is>
      </c>
      <c r="B386" s="6" t="n">
        <v>26.38</v>
      </c>
    </row>
    <row r="387">
      <c r="A387" t="inlineStr">
        <is>
          <t>CB</t>
        </is>
      </c>
      <c r="B387" s="6" t="n">
        <v>26.38</v>
      </c>
    </row>
    <row r="388">
      <c r="A388" t="inlineStr">
        <is>
          <t>CB</t>
        </is>
      </c>
      <c r="B388" s="6" t="n">
        <v>50.3</v>
      </c>
    </row>
    <row r="389">
      <c r="A389" t="inlineStr">
        <is>
          <t>CB</t>
        </is>
      </c>
      <c r="B389" s="6" t="n">
        <v>74.59999999999999</v>
      </c>
    </row>
    <row r="390">
      <c r="A390" t="inlineStr">
        <is>
          <t>CB</t>
        </is>
      </c>
      <c r="B390" s="6" t="n">
        <v>45</v>
      </c>
    </row>
    <row r="391">
      <c r="A391" t="inlineStr">
        <is>
          <t>CB</t>
        </is>
      </c>
      <c r="B391" s="6" t="n">
        <v>32.2</v>
      </c>
    </row>
    <row r="392">
      <c r="A392" t="inlineStr">
        <is>
          <t>CHV</t>
        </is>
      </c>
      <c r="B392" s="6" t="n">
        <v>50</v>
      </c>
    </row>
    <row r="393">
      <c r="A393" t="inlineStr">
        <is>
          <t>ESP</t>
        </is>
      </c>
      <c r="B393" s="6" t="n">
        <v>3.5</v>
      </c>
    </row>
    <row r="394">
      <c r="A394" t="inlineStr">
        <is>
          <t>CB</t>
        </is>
      </c>
      <c r="B394" s="6" t="n">
        <v>58.3</v>
      </c>
    </row>
    <row r="395">
      <c r="A395" t="inlineStr">
        <is>
          <t>CB</t>
        </is>
      </c>
      <c r="B395" s="6" t="n">
        <v>14.3</v>
      </c>
    </row>
    <row r="396">
      <c r="A396" t="inlineStr">
        <is>
          <t>CB</t>
        </is>
      </c>
      <c r="B396" s="6" t="n">
        <v>48.7</v>
      </c>
    </row>
    <row r="397">
      <c r="A397" t="inlineStr">
        <is>
          <t>CB</t>
        </is>
      </c>
      <c r="B397" s="6" t="n">
        <v>26.05</v>
      </c>
    </row>
    <row r="398">
      <c r="A398" t="inlineStr">
        <is>
          <t>TR</t>
        </is>
      </c>
      <c r="B398" s="6" t="n">
        <v>28</v>
      </c>
    </row>
    <row r="399">
      <c r="A399" t="inlineStr">
        <is>
          <t>CB</t>
        </is>
      </c>
      <c r="B399" s="6" t="n">
        <v>25</v>
      </c>
    </row>
    <row r="400">
      <c r="A400" t="inlineStr">
        <is>
          <t>CB</t>
        </is>
      </c>
      <c r="B400" s="6" t="n">
        <v>25.15</v>
      </c>
    </row>
    <row r="401">
      <c r="A401" t="inlineStr">
        <is>
          <t>CB</t>
        </is>
      </c>
      <c r="B401" s="6" t="n">
        <v>63.3</v>
      </c>
    </row>
    <row r="402">
      <c r="A402" t="inlineStr">
        <is>
          <t>CHV</t>
        </is>
      </c>
      <c r="B402" s="6" t="n">
        <v>58.8</v>
      </c>
    </row>
    <row r="403">
      <c r="A403" t="inlineStr">
        <is>
          <t>CB</t>
        </is>
      </c>
      <c r="B403" s="6" t="n">
        <v>52.6</v>
      </c>
    </row>
    <row r="404">
      <c r="A404" t="inlineStr">
        <is>
          <t>CB</t>
        </is>
      </c>
      <c r="B404" s="6" t="n">
        <v>18.1</v>
      </c>
    </row>
    <row r="405">
      <c r="A405" t="inlineStr">
        <is>
          <t>CB</t>
        </is>
      </c>
      <c r="B405" s="6" t="n">
        <v>50.8</v>
      </c>
    </row>
    <row r="406">
      <c r="A406" t="inlineStr">
        <is>
          <t>CB</t>
        </is>
      </c>
      <c r="B406" s="6" t="n">
        <v>33.2</v>
      </c>
    </row>
    <row r="407">
      <c r="A407" t="inlineStr">
        <is>
          <t>CB</t>
        </is>
      </c>
      <c r="B407" s="6" t="n">
        <v>83.8</v>
      </c>
    </row>
    <row r="408">
      <c r="A408" t="inlineStr">
        <is>
          <t>CHV</t>
        </is>
      </c>
      <c r="B408" s="6" t="n">
        <v>89.59999999999999</v>
      </c>
    </row>
    <row r="409">
      <c r="A409" t="inlineStr">
        <is>
          <t>CB</t>
        </is>
      </c>
      <c r="B409" s="6" t="n">
        <v>120.4</v>
      </c>
    </row>
    <row r="410">
      <c r="A410" t="inlineStr">
        <is>
          <t>CB</t>
        </is>
      </c>
      <c r="B410" s="6" t="n">
        <v>67.90000000000001</v>
      </c>
    </row>
    <row r="411">
      <c r="A411" t="inlineStr">
        <is>
          <t>CB</t>
        </is>
      </c>
      <c r="B411" s="6" t="n">
        <v>64</v>
      </c>
    </row>
    <row r="412">
      <c r="A412" t="inlineStr">
        <is>
          <t>CB</t>
        </is>
      </c>
      <c r="B412" s="6" t="n">
        <v>101.2</v>
      </c>
    </row>
    <row r="413">
      <c r="A413" t="inlineStr">
        <is>
          <t>CB</t>
        </is>
      </c>
      <c r="B413" s="6" t="n">
        <v>37.6</v>
      </c>
    </row>
    <row r="414">
      <c r="A414" t="inlineStr">
        <is>
          <t>TR</t>
        </is>
      </c>
      <c r="B414" s="6" t="n">
        <v>38</v>
      </c>
    </row>
    <row r="415">
      <c r="A415" t="inlineStr">
        <is>
          <t>CB</t>
        </is>
      </c>
      <c r="B415" s="6" t="n">
        <v>53.2</v>
      </c>
    </row>
    <row r="416">
      <c r="A416" t="inlineStr">
        <is>
          <t>CB</t>
        </is>
      </c>
      <c r="B416" s="6" t="n">
        <v>171.7</v>
      </c>
    </row>
    <row r="417">
      <c r="A417" t="inlineStr">
        <is>
          <t>CB</t>
        </is>
      </c>
      <c r="B417" s="6" t="n">
        <v>27.5</v>
      </c>
    </row>
    <row r="418">
      <c r="A418" t="inlineStr">
        <is>
          <t>CB</t>
        </is>
      </c>
      <c r="B418" s="6" t="n">
        <v>27.5</v>
      </c>
    </row>
    <row r="419">
      <c r="A419" t="inlineStr">
        <is>
          <t>CB</t>
        </is>
      </c>
      <c r="B419" s="6" t="n">
        <v>27.5</v>
      </c>
    </row>
    <row r="420">
      <c r="A420" t="inlineStr">
        <is>
          <t>CB</t>
        </is>
      </c>
      <c r="B420" s="6" t="n">
        <v>27.5</v>
      </c>
    </row>
    <row r="421">
      <c r="A421" t="inlineStr">
        <is>
          <t>CB</t>
        </is>
      </c>
      <c r="B421" s="6" t="n">
        <v>27.3</v>
      </c>
    </row>
    <row r="422">
      <c r="A422" t="inlineStr">
        <is>
          <t>CB</t>
        </is>
      </c>
      <c r="B422" s="6" t="n">
        <v>137.2</v>
      </c>
    </row>
    <row r="423">
      <c r="A423" t="inlineStr">
        <is>
          <t>CB</t>
        </is>
      </c>
      <c r="B423" s="6" t="n">
        <v>64.90000000000001</v>
      </c>
    </row>
    <row r="424">
      <c r="A424" t="inlineStr">
        <is>
          <t>CB</t>
        </is>
      </c>
      <c r="B424" s="6" t="n">
        <v>53.2</v>
      </c>
    </row>
    <row r="425">
      <c r="A425" t="inlineStr">
        <is>
          <t>CB</t>
        </is>
      </c>
      <c r="B425" s="6" t="n">
        <v>88.3</v>
      </c>
    </row>
    <row r="426">
      <c r="A426" t="inlineStr">
        <is>
          <t>CB</t>
        </is>
      </c>
      <c r="B426" s="6" t="n">
        <v>31.7</v>
      </c>
    </row>
    <row r="427">
      <c r="A427" t="inlineStr">
        <is>
          <t>CB</t>
        </is>
      </c>
      <c r="B427" s="6" t="n">
        <v>31.7</v>
      </c>
    </row>
    <row r="428">
      <c r="A428" t="inlineStr">
        <is>
          <t>CB</t>
        </is>
      </c>
      <c r="B428" s="6" t="n">
        <v>31.7</v>
      </c>
    </row>
    <row r="429">
      <c r="A429" t="inlineStr">
        <is>
          <t>CB</t>
        </is>
      </c>
      <c r="B429" s="6" t="n">
        <v>31.7</v>
      </c>
    </row>
    <row r="430">
      <c r="A430" t="inlineStr">
        <is>
          <t>CB</t>
        </is>
      </c>
      <c r="B430" s="6" t="n">
        <v>65.40000000000001</v>
      </c>
    </row>
    <row r="431">
      <c r="A431" t="inlineStr">
        <is>
          <t>TR</t>
        </is>
      </c>
      <c r="B431" s="6" t="n">
        <v>14</v>
      </c>
    </row>
    <row r="432">
      <c r="A432" t="inlineStr">
        <is>
          <t>CB</t>
        </is>
      </c>
      <c r="B432" s="6" t="n">
        <v>23.2</v>
      </c>
    </row>
    <row r="433">
      <c r="A433" t="inlineStr">
        <is>
          <t>CHQ</t>
        </is>
      </c>
      <c r="B433" s="6" t="n">
        <v>30.55</v>
      </c>
    </row>
    <row r="434">
      <c r="A434" t="inlineStr">
        <is>
          <t>CB</t>
        </is>
      </c>
      <c r="B434" s="6" t="n">
        <v>93.5</v>
      </c>
    </row>
    <row r="435">
      <c r="A435" t="inlineStr">
        <is>
          <t>CB</t>
        </is>
      </c>
      <c r="B435" s="6" t="n">
        <v>80.2</v>
      </c>
    </row>
    <row r="436">
      <c r="A436" t="inlineStr">
        <is>
          <t>CB</t>
        </is>
      </c>
      <c r="B436" s="6" t="n">
        <v>103</v>
      </c>
    </row>
    <row r="437">
      <c r="A437" t="inlineStr">
        <is>
          <t>CB</t>
        </is>
      </c>
      <c r="B437" s="6" t="n">
        <v>74.2</v>
      </c>
    </row>
    <row r="438">
      <c r="A438" t="inlineStr">
        <is>
          <t>CB</t>
        </is>
      </c>
      <c r="B438" s="6" t="n">
        <v>20.93</v>
      </c>
    </row>
    <row r="439">
      <c r="A439" t="inlineStr">
        <is>
          <t>TR</t>
        </is>
      </c>
      <c r="B439" s="6" t="n">
        <v>49.8</v>
      </c>
    </row>
    <row r="440">
      <c r="A440" t="inlineStr">
        <is>
          <t>CB</t>
        </is>
      </c>
      <c r="B440" s="6" t="n">
        <v>12.2</v>
      </c>
    </row>
    <row r="441">
      <c r="A441" t="inlineStr">
        <is>
          <t>CB</t>
        </is>
      </c>
      <c r="B441" s="6" t="n">
        <v>58.4</v>
      </c>
    </row>
    <row r="442">
      <c r="A442" t="inlineStr">
        <is>
          <t>CB</t>
        </is>
      </c>
      <c r="B442" s="6" t="n">
        <v>20.97</v>
      </c>
    </row>
    <row r="443">
      <c r="A443" t="inlineStr">
        <is>
          <t>CB</t>
        </is>
      </c>
      <c r="B443" s="6" t="n">
        <v>21.6</v>
      </c>
    </row>
    <row r="444">
      <c r="A444" t="inlineStr">
        <is>
          <t>TR</t>
        </is>
      </c>
      <c r="B444" s="6" t="n">
        <v>38</v>
      </c>
    </row>
    <row r="445">
      <c r="A445" t="inlineStr">
        <is>
          <t>CB</t>
        </is>
      </c>
      <c r="B445" s="6" t="n">
        <v>42.5</v>
      </c>
    </row>
    <row r="446">
      <c r="A446" t="inlineStr">
        <is>
          <t>CB</t>
        </is>
      </c>
      <c r="B446" s="6" t="n">
        <v>96.09999999999999</v>
      </c>
    </row>
    <row r="447">
      <c r="A447" t="inlineStr">
        <is>
          <t>CB</t>
        </is>
      </c>
      <c r="B447" s="6" t="n">
        <v>30.55</v>
      </c>
    </row>
    <row r="448">
      <c r="A448" t="inlineStr">
        <is>
          <t>CB</t>
        </is>
      </c>
      <c r="B448" s="6" t="n">
        <v>142.6</v>
      </c>
    </row>
    <row r="449">
      <c r="A449" t="inlineStr">
        <is>
          <t>CB</t>
        </is>
      </c>
      <c r="B449" s="6" t="n">
        <v>80.8</v>
      </c>
    </row>
    <row r="450">
      <c r="A450" t="inlineStr">
        <is>
          <t>CB</t>
        </is>
      </c>
      <c r="B450" s="6" t="n">
        <v>124.5</v>
      </c>
    </row>
    <row r="451">
      <c r="A451" t="inlineStr">
        <is>
          <t>CHV</t>
        </is>
      </c>
      <c r="B451" s="6" t="n">
        <v>70</v>
      </c>
    </row>
    <row r="452">
      <c r="A452" t="inlineStr">
        <is>
          <t>ESP</t>
        </is>
      </c>
      <c r="B452" s="6" t="n">
        <v>0.8</v>
      </c>
    </row>
    <row r="453">
      <c r="A453" t="inlineStr">
        <is>
          <t>CB</t>
        </is>
      </c>
      <c r="B453" s="6" t="n">
        <v>66.40000000000001</v>
      </c>
    </row>
    <row r="454">
      <c r="A454" t="inlineStr">
        <is>
          <t>CB</t>
        </is>
      </c>
      <c r="B454" s="6" t="n">
        <v>132.1</v>
      </c>
    </row>
    <row r="455">
      <c r="A455" t="inlineStr">
        <is>
          <t>TR</t>
        </is>
      </c>
      <c r="B455" s="6" t="n">
        <v>38</v>
      </c>
    </row>
    <row r="456">
      <c r="A456" t="inlineStr">
        <is>
          <t>CB</t>
        </is>
      </c>
      <c r="B456" s="6" t="n">
        <v>26.6</v>
      </c>
    </row>
    <row r="457">
      <c r="A457" t="inlineStr">
        <is>
          <t>CB</t>
        </is>
      </c>
      <c r="B457" s="6" t="n">
        <v>53.8</v>
      </c>
    </row>
    <row r="458">
      <c r="A458" t="inlineStr">
        <is>
          <t>CHV</t>
        </is>
      </c>
      <c r="B458" s="6" t="n">
        <v>90</v>
      </c>
    </row>
    <row r="459">
      <c r="A459" t="inlineStr">
        <is>
          <t>ESP</t>
        </is>
      </c>
      <c r="B459" s="6" t="n">
        <v>0.1</v>
      </c>
    </row>
    <row r="460">
      <c r="A460" t="inlineStr">
        <is>
          <t>CB</t>
        </is>
      </c>
      <c r="B460" s="6" t="n">
        <v>41.3</v>
      </c>
    </row>
    <row r="461">
      <c r="A461" t="inlineStr">
        <is>
          <t>CB</t>
        </is>
      </c>
      <c r="B461" s="6" t="n">
        <v>45.4</v>
      </c>
    </row>
    <row r="462">
      <c r="A462" t="inlineStr">
        <is>
          <t>CB</t>
        </is>
      </c>
      <c r="B462" s="6" t="n">
        <v>24.8</v>
      </c>
    </row>
    <row r="463">
      <c r="A463" t="inlineStr">
        <is>
          <t>CB</t>
        </is>
      </c>
      <c r="B463" s="6" t="n">
        <v>82.2</v>
      </c>
    </row>
    <row r="464">
      <c r="A464" t="inlineStr">
        <is>
          <t>ESP</t>
        </is>
      </c>
      <c r="B464" s="6" t="n">
        <v>24.8</v>
      </c>
    </row>
    <row r="465">
      <c r="A465" t="inlineStr">
        <is>
          <t>CB</t>
        </is>
      </c>
      <c r="B465" s="6" t="n">
        <v>41.3</v>
      </c>
    </row>
    <row r="466">
      <c r="A466" t="inlineStr">
        <is>
          <t>CB</t>
        </is>
      </c>
      <c r="B466" s="6" t="n">
        <v>79.8</v>
      </c>
    </row>
    <row r="467">
      <c r="A467" t="inlineStr">
        <is>
          <t>CB</t>
        </is>
      </c>
      <c r="B467" s="6" t="n">
        <v>64.2</v>
      </c>
    </row>
    <row r="468">
      <c r="A468" t="inlineStr">
        <is>
          <t>CB</t>
        </is>
      </c>
      <c r="B468" s="6" t="n">
        <v>65.7</v>
      </c>
    </row>
    <row r="469">
      <c r="A469" t="inlineStr">
        <is>
          <t>CB</t>
        </is>
      </c>
      <c r="B469" s="6" t="n">
        <v>48.9</v>
      </c>
    </row>
    <row r="470">
      <c r="A470" t="inlineStr">
        <is>
          <t>TR</t>
        </is>
      </c>
      <c r="B470" s="6" t="n">
        <v>38</v>
      </c>
    </row>
    <row r="471">
      <c r="A471" t="inlineStr">
        <is>
          <t>CB</t>
        </is>
      </c>
      <c r="B471" s="6" t="n">
        <v>23.5</v>
      </c>
    </row>
    <row r="472">
      <c r="A472" t="inlineStr">
        <is>
          <t>CB</t>
        </is>
      </c>
      <c r="B472" s="6" t="n">
        <v>109.5</v>
      </c>
    </row>
    <row r="473">
      <c r="A473" t="inlineStr">
        <is>
          <t>CB</t>
        </is>
      </c>
      <c r="B473" s="6" t="n">
        <v>166.3</v>
      </c>
    </row>
    <row r="474">
      <c r="A474" t="inlineStr">
        <is>
          <t>CB</t>
        </is>
      </c>
      <c r="B474" s="6" t="n">
        <v>46.9</v>
      </c>
    </row>
    <row r="475">
      <c r="A475" t="inlineStr">
        <is>
          <t>CB</t>
        </is>
      </c>
      <c r="B475" s="6" t="n">
        <v>47.8</v>
      </c>
    </row>
    <row r="476">
      <c r="A476" t="inlineStr">
        <is>
          <t>CB</t>
        </is>
      </c>
      <c r="B476" s="6" t="n">
        <v>37.1</v>
      </c>
    </row>
    <row r="477">
      <c r="A477" t="inlineStr">
        <is>
          <t>CB</t>
        </is>
      </c>
      <c r="B477" s="6" t="n">
        <v>120.7</v>
      </c>
    </row>
    <row r="478">
      <c r="A478" t="inlineStr">
        <is>
          <t>CB</t>
        </is>
      </c>
      <c r="B478" s="6" t="n">
        <v>104.1</v>
      </c>
    </row>
    <row r="479">
      <c r="A479" t="inlineStr">
        <is>
          <t>CB</t>
        </is>
      </c>
      <c r="B479" s="6" t="n">
        <v>123</v>
      </c>
    </row>
    <row r="480">
      <c r="A480" t="inlineStr">
        <is>
          <t>CB</t>
        </is>
      </c>
      <c r="B480" s="6" t="n">
        <v>275.3</v>
      </c>
    </row>
    <row r="481">
      <c r="A481" t="inlineStr">
        <is>
          <t>CB</t>
        </is>
      </c>
      <c r="B481" s="6" t="n">
        <v>31.8</v>
      </c>
    </row>
    <row r="482">
      <c r="A482" t="inlineStr">
        <is>
          <t>TR</t>
        </is>
      </c>
      <c r="B482" s="6" t="n">
        <v>38</v>
      </c>
    </row>
    <row r="483">
      <c r="A483" t="inlineStr">
        <is>
          <t>CB</t>
        </is>
      </c>
      <c r="B483" s="6" t="n">
        <v>36.9</v>
      </c>
    </row>
    <row r="484">
      <c r="A484" t="inlineStr">
        <is>
          <t>CB</t>
        </is>
      </c>
      <c r="B484" s="6" t="n">
        <v>71.59999999999999</v>
      </c>
    </row>
    <row r="485">
      <c r="A485" t="inlineStr">
        <is>
          <t>CB</t>
        </is>
      </c>
      <c r="B485" s="6" t="n">
        <v>122</v>
      </c>
    </row>
    <row r="486">
      <c r="A486" t="inlineStr">
        <is>
          <t>CB</t>
        </is>
      </c>
      <c r="B486" s="6" t="n">
        <v>74.90000000000001</v>
      </c>
    </row>
    <row r="487">
      <c r="A487" t="inlineStr">
        <is>
          <t>CB</t>
        </is>
      </c>
      <c r="B487" s="6" t="n">
        <v>232.1</v>
      </c>
    </row>
    <row r="488">
      <c r="A488" t="inlineStr">
        <is>
          <t>CB</t>
        </is>
      </c>
      <c r="B488" s="6" t="n">
        <v>44.4</v>
      </c>
    </row>
    <row r="489">
      <c r="A489" t="inlineStr">
        <is>
          <t>CB</t>
        </is>
      </c>
      <c r="B489" s="6" t="n">
        <v>108.3</v>
      </c>
    </row>
    <row r="490">
      <c r="A490" t="inlineStr">
        <is>
          <t>CB</t>
        </is>
      </c>
      <c r="B490" s="6" t="n">
        <v>122</v>
      </c>
    </row>
    <row r="491">
      <c r="A491" t="inlineStr">
        <is>
          <t>CB</t>
        </is>
      </c>
      <c r="B491" s="6" t="n">
        <v>187.1</v>
      </c>
    </row>
    <row r="492">
      <c r="A492" t="inlineStr">
        <is>
          <t>CB</t>
        </is>
      </c>
      <c r="B492" s="6" t="n">
        <v>98.09999999999999</v>
      </c>
    </row>
    <row r="493">
      <c r="A493" t="inlineStr">
        <is>
          <t>CB</t>
        </is>
      </c>
      <c r="B493" s="6" t="n">
        <v>69.3</v>
      </c>
    </row>
    <row r="494">
      <c r="A494" t="inlineStr">
        <is>
          <t>CB</t>
        </is>
      </c>
      <c r="B494" s="6" t="n">
        <v>28.9</v>
      </c>
    </row>
    <row r="495">
      <c r="A495" t="inlineStr">
        <is>
          <t>CB</t>
        </is>
      </c>
      <c r="B495" s="6" t="n">
        <v>55.7</v>
      </c>
    </row>
    <row r="496">
      <c r="A496" t="inlineStr">
        <is>
          <t>CB</t>
        </is>
      </c>
      <c r="B496" s="6" t="n">
        <v>32.5</v>
      </c>
    </row>
    <row r="497">
      <c r="A497" t="inlineStr">
        <is>
          <t>CB</t>
        </is>
      </c>
      <c r="B497" s="6" t="n">
        <v>50.2</v>
      </c>
    </row>
    <row r="498">
      <c r="A498" t="inlineStr">
        <is>
          <t>CB</t>
        </is>
      </c>
      <c r="B498" s="6" t="n">
        <v>42.8</v>
      </c>
    </row>
    <row r="499">
      <c r="A499" t="inlineStr">
        <is>
          <t>CB</t>
        </is>
      </c>
      <c r="B499" s="6" t="n">
        <v>52</v>
      </c>
    </row>
    <row r="500">
      <c r="A500" t="inlineStr">
        <is>
          <t>CB</t>
        </is>
      </c>
      <c r="B500" s="6" t="n">
        <v>90.3</v>
      </c>
    </row>
    <row r="501">
      <c r="A501" t="inlineStr">
        <is>
          <t>TR</t>
        </is>
      </c>
      <c r="B501" s="6" t="n">
        <v>60</v>
      </c>
    </row>
    <row r="502">
      <c r="A502" t="inlineStr">
        <is>
          <t>ESP</t>
        </is>
      </c>
      <c r="B502" s="6" t="n">
        <v>5</v>
      </c>
    </row>
    <row r="503">
      <c r="A503" t="inlineStr">
        <is>
          <t>CB</t>
        </is>
      </c>
      <c r="B503" s="6" t="n">
        <v>25.7</v>
      </c>
    </row>
    <row r="504">
      <c r="A504" t="inlineStr">
        <is>
          <t>CB</t>
        </is>
      </c>
      <c r="B504" s="6" t="n">
        <v>170.7</v>
      </c>
    </row>
    <row r="505">
      <c r="A505" t="inlineStr">
        <is>
          <t>CB</t>
        </is>
      </c>
      <c r="B505" s="6" t="n">
        <v>100.6</v>
      </c>
    </row>
    <row r="506">
      <c r="A506" t="inlineStr">
        <is>
          <t>CB</t>
        </is>
      </c>
      <c r="B506" s="6" t="n">
        <v>91.90000000000001</v>
      </c>
    </row>
    <row r="507">
      <c r="A507" t="inlineStr">
        <is>
          <t>CB</t>
        </is>
      </c>
      <c r="B507" s="6" t="n">
        <v>63.6</v>
      </c>
    </row>
    <row r="508">
      <c r="A508" t="inlineStr">
        <is>
          <t>CB</t>
        </is>
      </c>
      <c r="B508" s="6" t="n">
        <v>60</v>
      </c>
    </row>
    <row r="509">
      <c r="A509" t="inlineStr">
        <is>
          <t>TR</t>
        </is>
      </c>
      <c r="B509" s="6" t="n">
        <v>41.65</v>
      </c>
    </row>
    <row r="510">
      <c r="A510" t="inlineStr">
        <is>
          <t>CB</t>
        </is>
      </c>
      <c r="B510" s="6" t="n">
        <v>37.51</v>
      </c>
    </row>
    <row r="511">
      <c r="A511" t="inlineStr">
        <is>
          <t>CB</t>
        </is>
      </c>
      <c r="B511" s="6" t="n">
        <v>79.16</v>
      </c>
    </row>
    <row r="512">
      <c r="A512" t="inlineStr">
        <is>
          <t>CB</t>
        </is>
      </c>
      <c r="B512" s="6" t="n">
        <v>79.18000000000001</v>
      </c>
    </row>
    <row r="513">
      <c r="A513" t="inlineStr">
        <is>
          <t>CB</t>
        </is>
      </c>
      <c r="B513" s="6" t="n">
        <v>177.8</v>
      </c>
    </row>
    <row r="514">
      <c r="A514" t="inlineStr">
        <is>
          <t>CB</t>
        </is>
      </c>
      <c r="B514" s="6" t="n">
        <v>99.3</v>
      </c>
    </row>
    <row r="515">
      <c r="A515" t="inlineStr">
        <is>
          <t>CB</t>
        </is>
      </c>
      <c r="B515" s="6" t="n">
        <v>94.09999999999999</v>
      </c>
    </row>
    <row r="516">
      <c r="A516" t="inlineStr">
        <is>
          <t>CB</t>
        </is>
      </c>
      <c r="B516" s="6" t="n">
        <v>47.1</v>
      </c>
    </row>
    <row r="517">
      <c r="A517" t="inlineStr">
        <is>
          <t>CB</t>
        </is>
      </c>
      <c r="B517" s="6" t="n">
        <v>30</v>
      </c>
    </row>
    <row r="518">
      <c r="A518" t="inlineStr">
        <is>
          <t>CB</t>
        </is>
      </c>
      <c r="B518" s="6" t="n">
        <v>17.1</v>
      </c>
    </row>
    <row r="519">
      <c r="A519" t="inlineStr">
        <is>
          <t>CB</t>
        </is>
      </c>
      <c r="B519" s="6" t="n">
        <v>68.09999999999999</v>
      </c>
    </row>
    <row r="520">
      <c r="A520" t="inlineStr">
        <is>
          <t>CB</t>
        </is>
      </c>
      <c r="B520" s="6" t="n">
        <v>66.2</v>
      </c>
    </row>
    <row r="521">
      <c r="A521" t="inlineStr">
        <is>
          <t>CB</t>
        </is>
      </c>
      <c r="B521" s="6" t="n">
        <v>84.8</v>
      </c>
    </row>
    <row r="522">
      <c r="A522" t="inlineStr">
        <is>
          <t>CB</t>
        </is>
      </c>
      <c r="B522" s="6" t="n">
        <v>83.09999999999999</v>
      </c>
    </row>
    <row r="523">
      <c r="A523" t="inlineStr">
        <is>
          <t>CB</t>
        </is>
      </c>
      <c r="B523" s="6" t="n">
        <v>33.8</v>
      </c>
    </row>
    <row r="524">
      <c r="A524" t="inlineStr">
        <is>
          <t>CB</t>
        </is>
      </c>
      <c r="B524" s="6" t="n">
        <v>12.3</v>
      </c>
    </row>
    <row r="525">
      <c r="A525" t="inlineStr">
        <is>
          <t>CB</t>
        </is>
      </c>
      <c r="B525" s="6" t="n">
        <v>24.6</v>
      </c>
    </row>
    <row r="526">
      <c r="A526" t="inlineStr">
        <is>
          <t>ESP</t>
        </is>
      </c>
      <c r="B526" s="6" t="n">
        <v>15</v>
      </c>
    </row>
    <row r="527">
      <c r="A527" t="inlineStr">
        <is>
          <t>CB</t>
        </is>
      </c>
      <c r="B527" s="6" t="n">
        <v>36.9</v>
      </c>
    </row>
    <row r="528">
      <c r="A528" t="inlineStr">
        <is>
          <t>CB</t>
        </is>
      </c>
      <c r="B528" s="6" t="n">
        <v>83.09999999999999</v>
      </c>
    </row>
    <row r="529">
      <c r="A529" t="inlineStr">
        <is>
          <t>CB</t>
        </is>
      </c>
      <c r="B529" s="6" t="n">
        <v>38.5</v>
      </c>
    </row>
    <row r="530">
      <c r="A530" t="inlineStr">
        <is>
          <t>CB</t>
        </is>
      </c>
      <c r="B530" s="6" t="n">
        <v>46.9</v>
      </c>
    </row>
    <row r="531">
      <c r="A531" t="inlineStr">
        <is>
          <t>CB</t>
        </is>
      </c>
      <c r="B531" s="6" t="n">
        <v>28.1</v>
      </c>
    </row>
    <row r="532">
      <c r="A532" t="inlineStr">
        <is>
          <t>CB</t>
        </is>
      </c>
      <c r="B532" s="6" t="n">
        <v>36.3</v>
      </c>
    </row>
    <row r="533">
      <c r="A533" t="inlineStr">
        <is>
          <t>CB</t>
        </is>
      </c>
      <c r="B533" s="6" t="n">
        <v>67</v>
      </c>
    </row>
    <row r="534">
      <c r="A534" t="inlineStr">
        <is>
          <t>CB</t>
        </is>
      </c>
      <c r="B534" s="6" t="n">
        <v>138.7</v>
      </c>
    </row>
    <row r="535">
      <c r="A535" t="inlineStr">
        <is>
          <t>CB</t>
        </is>
      </c>
      <c r="B535" s="6" t="n">
        <v>71.40000000000001</v>
      </c>
    </row>
    <row r="536">
      <c r="A536" t="inlineStr">
        <is>
          <t>CHQ</t>
        </is>
      </c>
      <c r="B536" s="6" t="n">
        <v>54.8</v>
      </c>
    </row>
    <row r="537">
      <c r="A537" t="inlineStr">
        <is>
          <t>CB</t>
        </is>
      </c>
      <c r="B537" s="6" t="n">
        <v>68.59999999999999</v>
      </c>
    </row>
    <row r="538">
      <c r="A538" t="inlineStr">
        <is>
          <t>CB</t>
        </is>
      </c>
      <c r="B538" s="6" t="n">
        <v>20.6</v>
      </c>
    </row>
    <row r="539">
      <c r="A539" t="inlineStr">
        <is>
          <t>CB</t>
        </is>
      </c>
      <c r="B539" s="6" t="n">
        <v>53.2</v>
      </c>
    </row>
    <row r="540">
      <c r="A540" t="inlineStr">
        <is>
          <t>CB</t>
        </is>
      </c>
      <c r="B540" s="6" t="n">
        <v>50</v>
      </c>
    </row>
    <row r="541">
      <c r="A541" t="inlineStr">
        <is>
          <t>TR</t>
        </is>
      </c>
      <c r="B541" s="6" t="n">
        <v>26.8</v>
      </c>
    </row>
    <row r="542">
      <c r="A542" t="inlineStr">
        <is>
          <t>TR</t>
        </is>
      </c>
      <c r="B542" s="6" t="n">
        <v>21</v>
      </c>
    </row>
    <row r="543">
      <c r="A543" t="inlineStr">
        <is>
          <t>CB</t>
        </is>
      </c>
      <c r="B543" s="6" t="n">
        <v>7.8</v>
      </c>
    </row>
    <row r="544">
      <c r="A544" t="inlineStr">
        <is>
          <t>CB</t>
        </is>
      </c>
      <c r="B544" s="6" t="n">
        <v>31.9</v>
      </c>
    </row>
    <row r="545">
      <c r="A545" t="inlineStr">
        <is>
          <t>CB</t>
        </is>
      </c>
      <c r="B545" s="6" t="n">
        <v>22.9</v>
      </c>
    </row>
    <row r="546">
      <c r="A546" t="inlineStr">
        <is>
          <t>CB</t>
        </is>
      </c>
      <c r="B546" s="6" t="n">
        <v>28.4</v>
      </c>
    </row>
    <row r="547">
      <c r="A547" t="inlineStr">
        <is>
          <t>CB</t>
        </is>
      </c>
      <c r="B547" s="6" t="n">
        <v>65</v>
      </c>
    </row>
    <row r="548">
      <c r="A548" t="inlineStr">
        <is>
          <t>CB</t>
        </is>
      </c>
      <c r="B548" s="6" t="n">
        <v>35.3</v>
      </c>
    </row>
    <row r="549">
      <c r="A549" t="inlineStr">
        <is>
          <t>CB</t>
        </is>
      </c>
      <c r="B549" s="6" t="n">
        <v>63.6</v>
      </c>
    </row>
    <row r="550">
      <c r="A550" t="inlineStr">
        <is>
          <t>CB</t>
        </is>
      </c>
      <c r="B550" s="6" t="n">
        <v>54.4</v>
      </c>
    </row>
    <row r="551">
      <c r="A551" t="inlineStr">
        <is>
          <t>CB</t>
        </is>
      </c>
      <c r="B551" s="6" t="n">
        <v>71.40000000000001</v>
      </c>
    </row>
    <row r="552">
      <c r="A552" t="inlineStr">
        <is>
          <t>CB</t>
        </is>
      </c>
      <c r="B552" s="6" t="n">
        <v>29.1</v>
      </c>
    </row>
    <row r="553">
      <c r="A553" t="inlineStr">
        <is>
          <t>CB</t>
        </is>
      </c>
      <c r="B553" s="6" t="n">
        <v>51.9</v>
      </c>
    </row>
    <row r="554">
      <c r="A554" t="inlineStr">
        <is>
          <t>CB</t>
        </is>
      </c>
      <c r="B554" s="6" t="n">
        <v>96.2</v>
      </c>
    </row>
    <row r="555">
      <c r="A555" t="inlineStr">
        <is>
          <t>CB</t>
        </is>
      </c>
      <c r="B555" s="6" t="n">
        <v>86.09999999999999</v>
      </c>
    </row>
    <row r="556">
      <c r="A556" t="inlineStr">
        <is>
          <t>CB</t>
        </is>
      </c>
      <c r="B556" s="6" t="n">
        <v>35.8</v>
      </c>
    </row>
    <row r="557">
      <c r="A557" t="inlineStr">
        <is>
          <t>CB</t>
        </is>
      </c>
      <c r="B557" s="6" t="n">
        <v>96</v>
      </c>
    </row>
    <row r="558">
      <c r="A558" t="inlineStr">
        <is>
          <t>CB</t>
        </is>
      </c>
      <c r="B558" s="6" t="n">
        <v>48.1</v>
      </c>
    </row>
    <row r="559">
      <c r="A559" t="inlineStr">
        <is>
          <t>CB</t>
        </is>
      </c>
      <c r="B559" s="6" t="n">
        <v>40.9</v>
      </c>
    </row>
    <row r="560">
      <c r="A560" t="inlineStr">
        <is>
          <t>CB</t>
        </is>
      </c>
      <c r="B560" s="6" t="n">
        <v>20</v>
      </c>
    </row>
    <row r="561">
      <c r="A561" t="inlineStr">
        <is>
          <t>CB</t>
        </is>
      </c>
      <c r="B561" s="6" t="n">
        <v>60.5</v>
      </c>
    </row>
    <row r="562">
      <c r="A562" t="inlineStr">
        <is>
          <t>CB</t>
        </is>
      </c>
      <c r="B562" s="6" t="n">
        <v>35.3</v>
      </c>
    </row>
    <row r="563">
      <c r="A563" t="inlineStr">
        <is>
          <t>CB</t>
        </is>
      </c>
      <c r="B563" s="6" t="n">
        <v>143.7</v>
      </c>
    </row>
    <row r="564">
      <c r="A564" t="inlineStr">
        <is>
          <t>CB</t>
        </is>
      </c>
      <c r="B564" s="6" t="n">
        <v>69.5</v>
      </c>
    </row>
    <row r="565">
      <c r="A565" t="inlineStr">
        <is>
          <t>TR</t>
        </is>
      </c>
      <c r="B565" s="6" t="n">
        <v>38</v>
      </c>
    </row>
    <row r="566">
      <c r="A566" t="inlineStr">
        <is>
          <t>CB</t>
        </is>
      </c>
      <c r="B566" s="6" t="n">
        <v>36.1</v>
      </c>
    </row>
    <row r="567">
      <c r="A567" t="inlineStr">
        <is>
          <t>CB</t>
        </is>
      </c>
      <c r="B567" s="6" t="n">
        <v>35.1</v>
      </c>
    </row>
    <row r="568">
      <c r="A568" t="inlineStr">
        <is>
          <t>CB</t>
        </is>
      </c>
      <c r="B568" s="6" t="n">
        <v>84</v>
      </c>
    </row>
    <row r="569">
      <c r="A569" t="inlineStr">
        <is>
          <t>CB</t>
        </is>
      </c>
      <c r="B569" s="6" t="n">
        <v>24.8</v>
      </c>
    </row>
    <row r="570">
      <c r="A570" t="inlineStr">
        <is>
          <t>CB</t>
        </is>
      </c>
      <c r="B570" s="6" t="n">
        <v>43.7</v>
      </c>
    </row>
    <row r="571">
      <c r="A571" t="inlineStr">
        <is>
          <t>CB</t>
        </is>
      </c>
      <c r="B571" s="6" t="n">
        <v>48.4</v>
      </c>
    </row>
    <row r="572">
      <c r="A572" t="inlineStr">
        <is>
          <t>CB</t>
        </is>
      </c>
      <c r="B572" s="6" t="n">
        <v>58.4</v>
      </c>
    </row>
    <row r="573">
      <c r="A573" t="inlineStr">
        <is>
          <t>CB</t>
        </is>
      </c>
      <c r="B573" s="6" t="n">
        <v>35.8</v>
      </c>
    </row>
    <row r="574">
      <c r="A574" t="inlineStr">
        <is>
          <t>CB</t>
        </is>
      </c>
      <c r="B574" s="6" t="n">
        <v>16.1</v>
      </c>
    </row>
    <row r="575">
      <c r="A575" t="inlineStr">
        <is>
          <t>CB</t>
        </is>
      </c>
      <c r="B575" s="6" t="n">
        <v>43.7</v>
      </c>
    </row>
    <row r="576">
      <c r="A576" t="inlineStr">
        <is>
          <t>CB</t>
        </is>
      </c>
      <c r="B576" s="6" t="n">
        <v>24.8</v>
      </c>
    </row>
    <row r="577">
      <c r="A577" t="inlineStr">
        <is>
          <t>CB</t>
        </is>
      </c>
      <c r="B577" s="6" t="n">
        <v>175.6</v>
      </c>
    </row>
    <row r="578">
      <c r="A578" t="inlineStr">
        <is>
          <t>CB</t>
        </is>
      </c>
      <c r="B578" s="6" t="n">
        <v>98.7</v>
      </c>
    </row>
    <row r="579">
      <c r="A579" t="inlineStr">
        <is>
          <t>CB</t>
        </is>
      </c>
      <c r="B579" s="6" t="n">
        <v>27.4</v>
      </c>
    </row>
    <row r="580">
      <c r="A580" t="inlineStr">
        <is>
          <t>CB</t>
        </is>
      </c>
      <c r="B580" s="6" t="n">
        <v>27.4</v>
      </c>
    </row>
    <row r="581">
      <c r="A581" t="inlineStr">
        <is>
          <t>CB</t>
        </is>
      </c>
      <c r="B581" s="6" t="n">
        <v>56.5</v>
      </c>
    </row>
    <row r="582">
      <c r="A582" t="inlineStr">
        <is>
          <t>CB</t>
        </is>
      </c>
      <c r="B582" s="6" t="n">
        <v>41.6</v>
      </c>
    </row>
    <row r="583">
      <c r="A583" t="inlineStr">
        <is>
          <t>CB</t>
        </is>
      </c>
      <c r="B583" s="6" t="n">
        <v>22.9</v>
      </c>
    </row>
    <row r="584">
      <c r="A584" t="inlineStr">
        <is>
          <t>CB</t>
        </is>
      </c>
      <c r="B584" s="6" t="n">
        <v>26.9</v>
      </c>
    </row>
    <row r="585">
      <c r="A585" t="inlineStr">
        <is>
          <t>CB</t>
        </is>
      </c>
      <c r="B585" s="6" t="n">
        <v>69.3</v>
      </c>
    </row>
    <row r="586">
      <c r="A586" t="inlineStr">
        <is>
          <t>CB</t>
        </is>
      </c>
      <c r="B586" s="6" t="n">
        <v>58.4</v>
      </c>
    </row>
    <row r="587">
      <c r="A587" t="inlineStr">
        <is>
          <t>CB</t>
        </is>
      </c>
      <c r="B587" s="6" t="n">
        <v>40.2</v>
      </c>
    </row>
    <row r="588">
      <c r="A588" t="inlineStr">
        <is>
          <t>CB</t>
        </is>
      </c>
      <c r="B588" s="6" t="n">
        <v>80.40000000000001</v>
      </c>
    </row>
    <row r="589">
      <c r="A589" t="inlineStr">
        <is>
          <t>CB</t>
        </is>
      </c>
      <c r="B589" s="6" t="n">
        <v>159.4</v>
      </c>
    </row>
    <row r="590">
      <c r="A590" t="inlineStr">
        <is>
          <t>CB</t>
        </is>
      </c>
      <c r="B590" s="6" t="n">
        <v>75.8</v>
      </c>
    </row>
    <row r="591">
      <c r="A591" t="inlineStr">
        <is>
          <t>CB</t>
        </is>
      </c>
      <c r="B591" s="6" t="n">
        <v>68.90000000000001</v>
      </c>
    </row>
    <row r="592">
      <c r="A592" t="inlineStr">
        <is>
          <t>CB</t>
        </is>
      </c>
      <c r="B592" s="6" t="n">
        <v>64.09999999999999</v>
      </c>
    </row>
    <row r="593">
      <c r="A593" t="inlineStr">
        <is>
          <t>CB</t>
        </is>
      </c>
      <c r="B593" s="6" t="n">
        <v>66.3</v>
      </c>
    </row>
    <row r="594">
      <c r="A594" t="inlineStr">
        <is>
          <t>TR</t>
        </is>
      </c>
      <c r="B594" s="6" t="n">
        <v>38</v>
      </c>
    </row>
    <row r="595">
      <c r="A595" t="inlineStr">
        <is>
          <t>CB</t>
        </is>
      </c>
      <c r="B595" s="6" t="n">
        <v>61.5</v>
      </c>
    </row>
    <row r="596">
      <c r="A596" t="inlineStr">
        <is>
          <t>CB</t>
        </is>
      </c>
      <c r="B596" s="6" t="n">
        <v>75.3</v>
      </c>
    </row>
    <row r="597">
      <c r="A597" t="inlineStr">
        <is>
          <t>TR</t>
        </is>
      </c>
      <c r="B597" s="6" t="n">
        <v>38</v>
      </c>
    </row>
    <row r="598">
      <c r="A598" t="inlineStr">
        <is>
          <t>CB</t>
        </is>
      </c>
      <c r="B598" s="6" t="n">
        <v>97.5</v>
      </c>
    </row>
    <row r="599">
      <c r="A599" t="inlineStr">
        <is>
          <t>CB</t>
        </is>
      </c>
      <c r="B599" s="6" t="n">
        <v>56.8</v>
      </c>
    </row>
    <row r="600">
      <c r="A600" t="inlineStr">
        <is>
          <t>CB</t>
        </is>
      </c>
      <c r="B600" s="6" t="n">
        <v>34.75</v>
      </c>
    </row>
    <row r="601">
      <c r="A601" t="inlineStr">
        <is>
          <t>CB</t>
        </is>
      </c>
      <c r="B601" s="6" t="n">
        <v>63.2</v>
      </c>
    </row>
    <row r="602">
      <c r="A602" t="inlineStr">
        <is>
          <t>CHQ</t>
        </is>
      </c>
      <c r="B602" s="6" t="n">
        <v>64.59999999999999</v>
      </c>
    </row>
    <row r="603">
      <c r="A603" t="inlineStr">
        <is>
          <t>CB</t>
        </is>
      </c>
      <c r="B603" s="6" t="n">
        <v>43.8</v>
      </c>
    </row>
    <row r="604">
      <c r="A604" t="inlineStr">
        <is>
          <t>CB</t>
        </is>
      </c>
      <c r="B604" s="6" t="n">
        <v>34.75</v>
      </c>
    </row>
    <row r="605">
      <c r="A605" t="inlineStr">
        <is>
          <t>CHQ</t>
        </is>
      </c>
      <c r="B605" s="6" t="n">
        <v>62.4</v>
      </c>
    </row>
    <row r="606">
      <c r="A606" t="inlineStr">
        <is>
          <t>CHQ</t>
        </is>
      </c>
      <c r="B606" s="6" t="n">
        <v>97.8</v>
      </c>
    </row>
    <row r="607">
      <c r="A607" t="inlineStr">
        <is>
          <t>CB</t>
        </is>
      </c>
      <c r="B607" s="6" t="n">
        <v>83.40000000000001</v>
      </c>
    </row>
    <row r="608">
      <c r="A608" t="inlineStr">
        <is>
          <t>TR</t>
        </is>
      </c>
      <c r="B608" s="6" t="n">
        <v>38</v>
      </c>
    </row>
    <row r="609">
      <c r="A609" t="inlineStr">
        <is>
          <t>CB</t>
        </is>
      </c>
      <c r="B609" s="6" t="n">
        <v>10</v>
      </c>
    </row>
    <row r="610">
      <c r="A610" t="inlineStr">
        <is>
          <t>CB</t>
        </is>
      </c>
      <c r="B610" s="6" t="n">
        <v>48</v>
      </c>
    </row>
    <row r="611">
      <c r="A611" t="inlineStr">
        <is>
          <t>TR</t>
        </is>
      </c>
      <c r="B611" s="6" t="n">
        <v>64.40000000000001</v>
      </c>
    </row>
    <row r="612">
      <c r="A612" t="inlineStr">
        <is>
          <t>CB</t>
        </is>
      </c>
      <c r="B612" s="6" t="n">
        <v>14</v>
      </c>
    </row>
    <row r="613">
      <c r="A613" t="inlineStr">
        <is>
          <t>CB</t>
        </is>
      </c>
      <c r="B613" s="6" t="n">
        <v>96.40000000000001</v>
      </c>
    </row>
    <row r="614">
      <c r="A614" t="inlineStr">
        <is>
          <t>CB</t>
        </is>
      </c>
      <c r="B614" s="6" t="n">
        <v>38.1</v>
      </c>
    </row>
    <row r="615">
      <c r="A615" t="inlineStr">
        <is>
          <t>CB</t>
        </is>
      </c>
      <c r="B615" s="6" t="n">
        <v>118.4</v>
      </c>
    </row>
    <row r="616">
      <c r="A616" t="inlineStr">
        <is>
          <t>CB</t>
        </is>
      </c>
      <c r="B616" s="6" t="n">
        <v>118.4</v>
      </c>
    </row>
    <row r="617">
      <c r="A617" t="inlineStr">
        <is>
          <t>CB</t>
        </is>
      </c>
      <c r="B617" s="6" t="n">
        <v>103.9</v>
      </c>
    </row>
    <row r="618">
      <c r="A618" t="inlineStr">
        <is>
          <t>CB</t>
        </is>
      </c>
      <c r="B618" s="6" t="n">
        <v>72.09999999999999</v>
      </c>
    </row>
    <row r="619">
      <c r="A619" t="inlineStr">
        <is>
          <t>TR</t>
        </is>
      </c>
      <c r="B619" s="6" t="n">
        <v>45</v>
      </c>
    </row>
    <row r="620">
      <c r="A620" t="inlineStr">
        <is>
          <t>ESP</t>
        </is>
      </c>
      <c r="B620" s="6" t="n">
        <v>0.2</v>
      </c>
    </row>
    <row r="621">
      <c r="A621" t="inlineStr">
        <is>
          <t>CB</t>
        </is>
      </c>
      <c r="B621" s="6" t="n">
        <v>51.1</v>
      </c>
    </row>
    <row r="622">
      <c r="A622" t="inlineStr">
        <is>
          <t>CB</t>
        </is>
      </c>
      <c r="B622" s="6" t="n">
        <v>93.90000000000001</v>
      </c>
    </row>
    <row r="623">
      <c r="A623" t="inlineStr">
        <is>
          <t>CB</t>
        </is>
      </c>
      <c r="B623" s="6" t="n">
        <v>58.5</v>
      </c>
    </row>
    <row r="624">
      <c r="A624" t="inlineStr">
        <is>
          <t>CB</t>
        </is>
      </c>
      <c r="B624" s="6" t="n">
        <v>75.5</v>
      </c>
    </row>
    <row r="625">
      <c r="A625" t="inlineStr">
        <is>
          <t>CB</t>
        </is>
      </c>
      <c r="B625" s="6" t="n">
        <v>93.40000000000001</v>
      </c>
    </row>
    <row r="626">
      <c r="A626" t="inlineStr">
        <is>
          <t>CB</t>
        </is>
      </c>
      <c r="B626" s="6" t="n">
        <v>79.8</v>
      </c>
    </row>
    <row r="627">
      <c r="A627" t="inlineStr">
        <is>
          <t>CB</t>
        </is>
      </c>
      <c r="B627" s="6" t="n">
        <v>73.2</v>
      </c>
    </row>
    <row r="628">
      <c r="A628" t="inlineStr">
        <is>
          <t>CB</t>
        </is>
      </c>
      <c r="B628" s="6" t="n">
        <v>272.3</v>
      </c>
    </row>
    <row r="629">
      <c r="A629" t="inlineStr">
        <is>
          <t>CB</t>
        </is>
      </c>
      <c r="B629" s="6" t="n">
        <v>66</v>
      </c>
    </row>
    <row r="630">
      <c r="A630" t="inlineStr">
        <is>
          <t>CB</t>
        </is>
      </c>
      <c r="B630" s="6" t="n">
        <v>77.2</v>
      </c>
    </row>
    <row r="631">
      <c r="A631" t="inlineStr">
        <is>
          <t>CB</t>
        </is>
      </c>
      <c r="B631" s="6" t="n">
        <v>28.3</v>
      </c>
    </row>
    <row r="632">
      <c r="A632" t="inlineStr">
        <is>
          <t>CB</t>
        </is>
      </c>
      <c r="B632" s="6" t="n">
        <v>75.8</v>
      </c>
    </row>
    <row r="633">
      <c r="A633" t="inlineStr">
        <is>
          <t>CB</t>
        </is>
      </c>
      <c r="B633" s="6" t="n">
        <v>66.40000000000001</v>
      </c>
    </row>
    <row r="634">
      <c r="A634" t="inlineStr">
        <is>
          <t>CB</t>
        </is>
      </c>
      <c r="B634" s="6" t="n">
        <v>36.6</v>
      </c>
    </row>
    <row r="635">
      <c r="A635" t="inlineStr">
        <is>
          <t>TR</t>
        </is>
      </c>
      <c r="B635" s="6" t="n">
        <v>19</v>
      </c>
    </row>
    <row r="636">
      <c r="A636" t="inlineStr">
        <is>
          <t>CB</t>
        </is>
      </c>
      <c r="B636" s="6" t="n">
        <v>19.6</v>
      </c>
    </row>
    <row r="637">
      <c r="A637" t="inlineStr">
        <is>
          <t>ESP</t>
        </is>
      </c>
      <c r="B637" s="6" t="n">
        <v>34.9</v>
      </c>
    </row>
    <row r="638">
      <c r="A638" t="inlineStr">
        <is>
          <t>CB</t>
        </is>
      </c>
      <c r="B638" s="6" t="n">
        <v>71.8</v>
      </c>
    </row>
    <row r="639">
      <c r="A639" t="inlineStr">
        <is>
          <t>CB</t>
        </is>
      </c>
      <c r="B639" s="6" t="n">
        <v>85.55</v>
      </c>
    </row>
    <row r="640">
      <c r="A640" t="inlineStr">
        <is>
          <t>CB</t>
        </is>
      </c>
      <c r="B640" s="6" t="n">
        <v>55.1</v>
      </c>
    </row>
    <row r="641">
      <c r="A641" t="inlineStr">
        <is>
          <t>CB</t>
        </is>
      </c>
      <c r="B641" s="6" t="n">
        <v>67.7</v>
      </c>
    </row>
    <row r="642">
      <c r="A642" t="inlineStr">
        <is>
          <t>CB</t>
        </is>
      </c>
      <c r="B642" s="6" t="n">
        <v>51.4</v>
      </c>
    </row>
    <row r="643">
      <c r="A643" t="inlineStr">
        <is>
          <t>CHV</t>
        </is>
      </c>
      <c r="B643" s="6" t="n">
        <v>30</v>
      </c>
    </row>
    <row r="644">
      <c r="A644" t="inlineStr">
        <is>
          <t>CB</t>
        </is>
      </c>
      <c r="B644" s="6" t="n">
        <v>10.4</v>
      </c>
    </row>
    <row r="645">
      <c r="A645" t="inlineStr">
        <is>
          <t>CB</t>
        </is>
      </c>
      <c r="B645" s="6" t="n">
        <v>44.9</v>
      </c>
    </row>
    <row r="646">
      <c r="A646" t="inlineStr">
        <is>
          <t>CB</t>
        </is>
      </c>
      <c r="B646" s="6" t="n">
        <v>96.5</v>
      </c>
    </row>
    <row r="647">
      <c r="A647" t="inlineStr">
        <is>
          <t>CB</t>
        </is>
      </c>
      <c r="B647" s="6" t="n">
        <v>85.5</v>
      </c>
    </row>
    <row r="648">
      <c r="A648" t="inlineStr">
        <is>
          <t>CB</t>
        </is>
      </c>
      <c r="B648" s="6" t="n">
        <v>83</v>
      </c>
    </row>
    <row r="649">
      <c r="A649" t="inlineStr">
        <is>
          <t>CB</t>
        </is>
      </c>
      <c r="B649" s="6" t="n">
        <v>85.55</v>
      </c>
    </row>
    <row r="650">
      <c r="A650" t="inlineStr">
        <is>
          <t>CB</t>
        </is>
      </c>
      <c r="B650" s="6" t="n">
        <v>32.3</v>
      </c>
    </row>
    <row r="651">
      <c r="A651" t="inlineStr">
        <is>
          <t>CB</t>
        </is>
      </c>
      <c r="B651" s="6" t="n">
        <v>60.2</v>
      </c>
    </row>
    <row r="652">
      <c r="A652" t="inlineStr">
        <is>
          <t>TR</t>
        </is>
      </c>
      <c r="B652" s="6" t="n">
        <v>34.8</v>
      </c>
    </row>
    <row r="653">
      <c r="A653" t="inlineStr">
        <is>
          <t>CB</t>
        </is>
      </c>
      <c r="B653" s="6" t="n">
        <v>5.1</v>
      </c>
    </row>
    <row r="654">
      <c r="A654" t="inlineStr">
        <is>
          <t>CB</t>
        </is>
      </c>
      <c r="B654" s="6" t="n">
        <v>55.7</v>
      </c>
    </row>
    <row r="655">
      <c r="A655" t="inlineStr">
        <is>
          <t>CB</t>
        </is>
      </c>
      <c r="B655" s="6" t="n">
        <v>95.3</v>
      </c>
    </row>
    <row r="656">
      <c r="A656" t="inlineStr">
        <is>
          <t>CB</t>
        </is>
      </c>
      <c r="B656" s="6" t="n">
        <v>60.6</v>
      </c>
    </row>
    <row r="657">
      <c r="A657" t="inlineStr">
        <is>
          <t>CB</t>
        </is>
      </c>
      <c r="B657" s="6" t="n">
        <v>74</v>
      </c>
    </row>
    <row r="658">
      <c r="A658" t="inlineStr">
        <is>
          <t>TR</t>
        </is>
      </c>
      <c r="B658" s="6" t="n">
        <v>64.09999999999999</v>
      </c>
    </row>
    <row r="659">
      <c r="A659" t="inlineStr">
        <is>
          <t>CB</t>
        </is>
      </c>
      <c r="B659" s="6" t="n">
        <v>59.4</v>
      </c>
    </row>
    <row r="660">
      <c r="A660" t="inlineStr">
        <is>
          <t>CB</t>
        </is>
      </c>
      <c r="B660" s="6" t="n">
        <v>37.2</v>
      </c>
    </row>
    <row r="661">
      <c r="A661" t="inlineStr">
        <is>
          <t>CB</t>
        </is>
      </c>
      <c r="B661" s="6" t="n">
        <v>25.1</v>
      </c>
    </row>
    <row r="662">
      <c r="A662" t="inlineStr">
        <is>
          <t>CB</t>
        </is>
      </c>
      <c r="B662" s="6" t="n">
        <v>76</v>
      </c>
    </row>
    <row r="663">
      <c r="A663" t="inlineStr">
        <is>
          <t>CB</t>
        </is>
      </c>
      <c r="B663" s="6" t="n">
        <v>103.7</v>
      </c>
    </row>
    <row r="664">
      <c r="A664" t="inlineStr">
        <is>
          <t>CB</t>
        </is>
      </c>
      <c r="B664" s="6" t="n">
        <v>18.1</v>
      </c>
    </row>
    <row r="665">
      <c r="A665" t="inlineStr">
        <is>
          <t>CB</t>
        </is>
      </c>
      <c r="B665" s="6" t="n">
        <v>23.7</v>
      </c>
    </row>
    <row r="666">
      <c r="A666" t="inlineStr">
        <is>
          <t>CB</t>
        </is>
      </c>
      <c r="B666" s="6" t="n">
        <v>27.1</v>
      </c>
    </row>
    <row r="667">
      <c r="A667" t="inlineStr">
        <is>
          <t>TR</t>
        </is>
      </c>
      <c r="B667" s="6" t="n">
        <v>34.8</v>
      </c>
    </row>
    <row r="668">
      <c r="A668" t="inlineStr">
        <is>
          <t>CB</t>
        </is>
      </c>
      <c r="B668" s="6" t="n">
        <v>5.1</v>
      </c>
    </row>
    <row r="669">
      <c r="A669" t="inlineStr">
        <is>
          <t>CB</t>
        </is>
      </c>
      <c r="B669" s="6" t="n">
        <v>54.9</v>
      </c>
    </row>
    <row r="670">
      <c r="A670" t="inlineStr">
        <is>
          <t>CB</t>
        </is>
      </c>
      <c r="B670" s="6" t="n">
        <v>48.25</v>
      </c>
    </row>
    <row r="671">
      <c r="A671" t="inlineStr">
        <is>
          <t>CB</t>
        </is>
      </c>
      <c r="B671" s="6" t="n">
        <v>44.1</v>
      </c>
    </row>
    <row r="672">
      <c r="A672" t="inlineStr">
        <is>
          <t>CB</t>
        </is>
      </c>
      <c r="B672" s="6" t="n">
        <v>70.65000000000001</v>
      </c>
    </row>
    <row r="673">
      <c r="A673" t="inlineStr">
        <is>
          <t>CHV</t>
        </is>
      </c>
      <c r="B673" s="6" t="n">
        <v>40</v>
      </c>
    </row>
    <row r="674">
      <c r="A674" t="inlineStr">
        <is>
          <t>CB</t>
        </is>
      </c>
      <c r="B674" s="6" t="n">
        <v>32.5</v>
      </c>
    </row>
    <row r="675">
      <c r="A675" t="inlineStr">
        <is>
          <t>CB</t>
        </is>
      </c>
      <c r="B675" s="6" t="n">
        <v>52.5</v>
      </c>
    </row>
    <row r="676">
      <c r="A676" t="inlineStr">
        <is>
          <t>CB</t>
        </is>
      </c>
      <c r="B676" s="6" t="n">
        <v>37.9</v>
      </c>
    </row>
    <row r="677">
      <c r="A677" t="inlineStr">
        <is>
          <t>CB</t>
        </is>
      </c>
      <c r="B677" s="6" t="n">
        <v>63.2</v>
      </c>
    </row>
    <row r="678">
      <c r="A678" t="inlineStr">
        <is>
          <t>CB</t>
        </is>
      </c>
      <c r="B678" s="6" t="n">
        <v>76.09999999999999</v>
      </c>
    </row>
    <row r="679">
      <c r="A679" t="inlineStr">
        <is>
          <t>CB</t>
        </is>
      </c>
      <c r="B679" s="6" t="n">
        <v>106.8</v>
      </c>
    </row>
    <row r="680">
      <c r="A680" t="inlineStr">
        <is>
          <t>CB</t>
        </is>
      </c>
      <c r="B680" s="6" t="n">
        <v>70.7</v>
      </c>
    </row>
    <row r="681">
      <c r="A681" t="inlineStr">
        <is>
          <t>CB</t>
        </is>
      </c>
      <c r="B681" s="6" t="n">
        <v>57.1</v>
      </c>
    </row>
    <row r="682">
      <c r="A682" t="inlineStr">
        <is>
          <t>CB</t>
        </is>
      </c>
      <c r="B682" s="6" t="n">
        <v>48.25</v>
      </c>
    </row>
    <row r="683">
      <c r="A683" t="inlineStr">
        <is>
          <t>CB</t>
        </is>
      </c>
      <c r="B683" s="6" t="n">
        <v>70.65000000000001</v>
      </c>
    </row>
    <row r="684">
      <c r="A684" t="inlineStr">
        <is>
          <t>CB</t>
        </is>
      </c>
      <c r="B684" s="6" t="n">
        <v>49</v>
      </c>
    </row>
    <row r="685">
      <c r="A685" t="inlineStr">
        <is>
          <t>CB</t>
        </is>
      </c>
      <c r="B685" s="6" t="n">
        <v>37.9</v>
      </c>
    </row>
    <row r="686">
      <c r="A686" t="inlineStr">
        <is>
          <t>CB</t>
        </is>
      </c>
      <c r="B686" s="6" t="n">
        <v>52.4</v>
      </c>
    </row>
    <row r="687">
      <c r="A687" t="inlineStr">
        <is>
          <t>CB</t>
        </is>
      </c>
      <c r="B687" s="6" t="n">
        <v>69</v>
      </c>
    </row>
    <row r="688">
      <c r="A688" t="inlineStr">
        <is>
          <t>CB</t>
        </is>
      </c>
      <c r="B688" s="6" t="n">
        <v>42.7</v>
      </c>
    </row>
    <row r="689">
      <c r="A689" t="inlineStr">
        <is>
          <t>CB</t>
        </is>
      </c>
      <c r="B689" s="6" t="n">
        <v>71.90000000000001</v>
      </c>
    </row>
    <row r="690">
      <c r="A690" t="inlineStr">
        <is>
          <t>CB</t>
        </is>
      </c>
      <c r="B690" s="6" t="n">
        <v>75.09999999999999</v>
      </c>
    </row>
    <row r="691">
      <c r="A691" t="inlineStr">
        <is>
          <t>CB</t>
        </is>
      </c>
      <c r="B691" s="6" t="n">
        <v>76.7</v>
      </c>
    </row>
    <row r="692">
      <c r="A692" t="inlineStr">
        <is>
          <t>CB</t>
        </is>
      </c>
      <c r="B692" s="6" t="n">
        <v>48.8</v>
      </c>
    </row>
    <row r="693">
      <c r="A693" t="inlineStr">
        <is>
          <t>CB</t>
        </is>
      </c>
      <c r="B693" s="6" t="n">
        <v>80.59999999999999</v>
      </c>
    </row>
    <row r="694">
      <c r="A694" t="inlineStr">
        <is>
          <t>CB</t>
        </is>
      </c>
      <c r="B694" s="6" t="n">
        <v>62.9</v>
      </c>
    </row>
    <row r="695">
      <c r="A695" t="inlineStr">
        <is>
          <t>CB</t>
        </is>
      </c>
      <c r="B695" s="6" t="n">
        <v>45.35</v>
      </c>
    </row>
    <row r="696">
      <c r="A696" t="inlineStr">
        <is>
          <t>CB</t>
        </is>
      </c>
      <c r="B696" s="6" t="n">
        <v>45.35</v>
      </c>
    </row>
    <row r="697">
      <c r="A697" t="inlineStr">
        <is>
          <t>CB</t>
        </is>
      </c>
      <c r="B697" s="6" t="n">
        <v>45.35</v>
      </c>
    </row>
    <row r="698">
      <c r="A698" t="inlineStr">
        <is>
          <t>CB</t>
        </is>
      </c>
      <c r="B698" s="6" t="n">
        <v>45.35</v>
      </c>
    </row>
    <row r="699">
      <c r="A699" t="inlineStr">
        <is>
          <t>CB</t>
        </is>
      </c>
      <c r="B699" s="6" t="n">
        <v>65.3</v>
      </c>
    </row>
    <row r="700">
      <c r="A700" t="inlineStr">
        <is>
          <t>TR</t>
        </is>
      </c>
      <c r="B700" s="6" t="n">
        <v>20</v>
      </c>
    </row>
    <row r="701">
      <c r="A701" t="inlineStr">
        <is>
          <t>ESP</t>
        </is>
      </c>
      <c r="B701" s="6" t="n">
        <v>2.9</v>
      </c>
    </row>
    <row r="702">
      <c r="A702" t="inlineStr">
        <is>
          <t>CB</t>
        </is>
      </c>
      <c r="B702" s="6" t="n">
        <v>22.9</v>
      </c>
    </row>
    <row r="703">
      <c r="A703" t="inlineStr">
        <is>
          <t>CB</t>
        </is>
      </c>
      <c r="B703" s="6" t="n">
        <v>30.6</v>
      </c>
    </row>
    <row r="704">
      <c r="A704" t="inlineStr">
        <is>
          <t>CB</t>
        </is>
      </c>
      <c r="B704" s="6" t="n">
        <v>30.6</v>
      </c>
    </row>
    <row r="705">
      <c r="A705" t="inlineStr">
        <is>
          <t>CB</t>
        </is>
      </c>
      <c r="B705" s="6" t="n">
        <v>13.95</v>
      </c>
    </row>
    <row r="706">
      <c r="A706" t="inlineStr">
        <is>
          <t>CB</t>
        </is>
      </c>
      <c r="B706" s="6" t="n">
        <v>61.6</v>
      </c>
    </row>
    <row r="707">
      <c r="A707" t="inlineStr">
        <is>
          <t>CB</t>
        </is>
      </c>
      <c r="B707" s="6" t="n">
        <v>40.8</v>
      </c>
    </row>
    <row r="708">
      <c r="A708" t="inlineStr">
        <is>
          <t>CB</t>
        </is>
      </c>
      <c r="B708" s="6" t="n">
        <v>61.8</v>
      </c>
    </row>
    <row r="709">
      <c r="A709" t="inlineStr">
        <is>
          <t>CB</t>
        </is>
      </c>
      <c r="B709" s="6" t="n">
        <v>24.5</v>
      </c>
    </row>
    <row r="710">
      <c r="A710" t="inlineStr">
        <is>
          <t>CB</t>
        </is>
      </c>
      <c r="B710" s="6" t="n">
        <v>64.59999999999999</v>
      </c>
    </row>
    <row r="711">
      <c r="A711" t="inlineStr">
        <is>
          <t>CB</t>
        </is>
      </c>
      <c r="B711" s="6" t="n">
        <v>54.5</v>
      </c>
    </row>
    <row r="712">
      <c r="A712" t="inlineStr">
        <is>
          <t>CB</t>
        </is>
      </c>
      <c r="B712" s="6" t="n">
        <v>24.2</v>
      </c>
    </row>
    <row r="713">
      <c r="A713" t="inlineStr">
        <is>
          <t>CB</t>
        </is>
      </c>
      <c r="B713" s="6" t="n">
        <v>108.6</v>
      </c>
    </row>
    <row r="714">
      <c r="A714" t="inlineStr">
        <is>
          <t>CB</t>
        </is>
      </c>
      <c r="B714" s="6" t="n">
        <v>32.7</v>
      </c>
    </row>
    <row r="715">
      <c r="A715" t="inlineStr">
        <is>
          <t>CB</t>
        </is>
      </c>
      <c r="B715" s="6" t="n">
        <v>89.5</v>
      </c>
    </row>
    <row r="716">
      <c r="A716" t="inlineStr">
        <is>
          <t>CB</t>
        </is>
      </c>
      <c r="B716" s="6" t="n">
        <v>62.6</v>
      </c>
    </row>
    <row r="717">
      <c r="A717" t="inlineStr">
        <is>
          <t>CB</t>
        </is>
      </c>
      <c r="B717" s="6" t="n">
        <v>116.5</v>
      </c>
    </row>
    <row r="718">
      <c r="A718" t="inlineStr">
        <is>
          <t>CB</t>
        </is>
      </c>
      <c r="B718" s="6" t="n">
        <v>89.90000000000001</v>
      </c>
    </row>
    <row r="719">
      <c r="A719" t="inlineStr">
        <is>
          <t>CB</t>
        </is>
      </c>
      <c r="B719" s="6" t="n">
        <v>67.7</v>
      </c>
    </row>
    <row r="720">
      <c r="A720" t="inlineStr">
        <is>
          <t>CB</t>
        </is>
      </c>
      <c r="B720" s="6" t="n">
        <v>91.5</v>
      </c>
    </row>
    <row r="721">
      <c r="A721" t="inlineStr">
        <is>
          <t>CB</t>
        </is>
      </c>
      <c r="B721" s="6" t="n">
        <v>175</v>
      </c>
    </row>
    <row r="722">
      <c r="A722" t="inlineStr">
        <is>
          <t>CB</t>
        </is>
      </c>
      <c r="B722" s="6" t="n">
        <v>33.6</v>
      </c>
    </row>
    <row r="723">
      <c r="A723" t="inlineStr">
        <is>
          <t>CB</t>
        </is>
      </c>
      <c r="B723" s="6" t="n">
        <v>74.09999999999999</v>
      </c>
    </row>
    <row r="724">
      <c r="A724" t="inlineStr">
        <is>
          <t>CB</t>
        </is>
      </c>
      <c r="B724" s="6" t="n">
        <v>46.5</v>
      </c>
    </row>
    <row r="725">
      <c r="A725" t="inlineStr">
        <is>
          <t>CB</t>
        </is>
      </c>
      <c r="B725" s="6" t="n">
        <v>77.3</v>
      </c>
    </row>
    <row r="726">
      <c r="A726" t="inlineStr">
        <is>
          <t>CB</t>
        </is>
      </c>
      <c r="B726" s="6" t="n">
        <v>19.8</v>
      </c>
    </row>
    <row r="727">
      <c r="A727" t="inlineStr">
        <is>
          <t>CB</t>
        </is>
      </c>
      <c r="B727" s="6" t="n">
        <v>80.40000000000001</v>
      </c>
    </row>
    <row r="728">
      <c r="A728" t="inlineStr">
        <is>
          <t>CB</t>
        </is>
      </c>
      <c r="B728" s="6" t="n">
        <v>77.8</v>
      </c>
    </row>
    <row r="729">
      <c r="A729" t="inlineStr">
        <is>
          <t>CB</t>
        </is>
      </c>
      <c r="B729" s="6" t="n">
        <v>73.7</v>
      </c>
    </row>
    <row r="730">
      <c r="A730" t="inlineStr">
        <is>
          <t>CB</t>
        </is>
      </c>
      <c r="B730" s="6" t="n">
        <v>23.8</v>
      </c>
    </row>
    <row r="731">
      <c r="A731" t="inlineStr">
        <is>
          <t>CB</t>
        </is>
      </c>
      <c r="B731" s="6" t="n">
        <v>39.1</v>
      </c>
    </row>
    <row r="732">
      <c r="A732" t="inlineStr">
        <is>
          <t>CB</t>
        </is>
      </c>
      <c r="B732" s="6" t="n">
        <v>65.09999999999999</v>
      </c>
    </row>
    <row r="733">
      <c r="A733" t="inlineStr">
        <is>
          <t>CB</t>
        </is>
      </c>
      <c r="B733" s="6" t="n">
        <v>74</v>
      </c>
    </row>
    <row r="734">
      <c r="A734" t="inlineStr">
        <is>
          <t>CB</t>
        </is>
      </c>
      <c r="B734" s="6" t="n">
        <v>190.7</v>
      </c>
    </row>
    <row r="735">
      <c r="A735" t="inlineStr">
        <is>
          <t>CB</t>
        </is>
      </c>
      <c r="B735" s="6" t="n">
        <v>77.8</v>
      </c>
    </row>
    <row r="736">
      <c r="A736" t="inlineStr">
        <is>
          <t>CB</t>
        </is>
      </c>
      <c r="B736" s="6" t="n">
        <v>97</v>
      </c>
    </row>
    <row r="737">
      <c r="A737" t="inlineStr">
        <is>
          <t>CB</t>
        </is>
      </c>
      <c r="B737" s="6" t="n">
        <v>120.7</v>
      </c>
    </row>
    <row r="738">
      <c r="A738" t="inlineStr">
        <is>
          <t>CB</t>
        </is>
      </c>
      <c r="B738" s="6" t="n">
        <v>76.90000000000001</v>
      </c>
    </row>
    <row r="739">
      <c r="A739" t="inlineStr">
        <is>
          <t>CB</t>
        </is>
      </c>
      <c r="B739" s="6" t="n">
        <v>68.09999999999999</v>
      </c>
    </row>
    <row r="740">
      <c r="A740" t="inlineStr">
        <is>
          <t>CB</t>
        </is>
      </c>
      <c r="B740" s="6" t="n">
        <v>94.8</v>
      </c>
    </row>
    <row r="741">
      <c r="A741" t="inlineStr">
        <is>
          <t>CB</t>
        </is>
      </c>
      <c r="B741" s="6" t="n">
        <v>55.2</v>
      </c>
    </row>
    <row r="742">
      <c r="A742" t="inlineStr">
        <is>
          <t>CB</t>
        </is>
      </c>
      <c r="B742" s="6" t="n">
        <v>64</v>
      </c>
    </row>
    <row r="743">
      <c r="A743" t="inlineStr">
        <is>
          <t>CB</t>
        </is>
      </c>
      <c r="B743" s="6" t="n">
        <v>32</v>
      </c>
    </row>
    <row r="744">
      <c r="A744" t="inlineStr">
        <is>
          <t>CB</t>
        </is>
      </c>
      <c r="B744" s="6" t="n">
        <v>32</v>
      </c>
    </row>
    <row r="745">
      <c r="A745" t="inlineStr">
        <is>
          <t>TR</t>
        </is>
      </c>
      <c r="B745" s="6" t="n">
        <v>63.6</v>
      </c>
    </row>
    <row r="746">
      <c r="A746" t="inlineStr">
        <is>
          <t>CB</t>
        </is>
      </c>
      <c r="B746" s="6" t="n">
        <v>32.4</v>
      </c>
    </row>
    <row r="747">
      <c r="A747" t="inlineStr">
        <is>
          <t>CB</t>
        </is>
      </c>
      <c r="B747" s="6" t="n">
        <v>26.27</v>
      </c>
    </row>
    <row r="748">
      <c r="A748" t="inlineStr">
        <is>
          <t>CB</t>
        </is>
      </c>
      <c r="B748" s="6" t="n">
        <v>26.27</v>
      </c>
    </row>
    <row r="749">
      <c r="A749" t="inlineStr">
        <is>
          <t>CB</t>
        </is>
      </c>
      <c r="B749" s="6" t="n">
        <v>29.26</v>
      </c>
    </row>
    <row r="750">
      <c r="A750" t="inlineStr">
        <is>
          <t>CB</t>
        </is>
      </c>
      <c r="B750" s="6" t="n">
        <v>32.4</v>
      </c>
    </row>
    <row r="751">
      <c r="A751" t="inlineStr">
        <is>
          <t>CB</t>
        </is>
      </c>
      <c r="B751" s="6" t="n">
        <v>59.1</v>
      </c>
    </row>
    <row r="752">
      <c r="A752" t="inlineStr">
        <is>
          <t>CB</t>
        </is>
      </c>
      <c r="B752" s="6" t="n">
        <v>90.3</v>
      </c>
    </row>
    <row r="753">
      <c r="A753" t="inlineStr">
        <is>
          <t>CB</t>
        </is>
      </c>
      <c r="B753" s="6" t="n">
        <v>152.4</v>
      </c>
    </row>
    <row r="754">
      <c r="A754" t="inlineStr">
        <is>
          <t>CB</t>
        </is>
      </c>
      <c r="B754" s="6" t="n">
        <v>89.5</v>
      </c>
    </row>
    <row r="755">
      <c r="A755" t="inlineStr">
        <is>
          <t>CB</t>
        </is>
      </c>
      <c r="B755" s="6" t="n">
        <v>116.1</v>
      </c>
    </row>
    <row r="756">
      <c r="A756" t="inlineStr">
        <is>
          <t>CB</t>
        </is>
      </c>
      <c r="B756" s="6" t="n">
        <v>65.40000000000001</v>
      </c>
    </row>
    <row r="757">
      <c r="A757" t="inlineStr">
        <is>
          <t>CB</t>
        </is>
      </c>
      <c r="B757" s="6" t="n">
        <v>90.90000000000001</v>
      </c>
    </row>
    <row r="758">
      <c r="A758" t="inlineStr">
        <is>
          <t>CHV</t>
        </is>
      </c>
      <c r="B758" s="6" t="n">
        <v>10</v>
      </c>
    </row>
    <row r="759">
      <c r="A759" t="inlineStr">
        <is>
          <t>CB</t>
        </is>
      </c>
      <c r="B759" s="6" t="n">
        <v>43.4</v>
      </c>
    </row>
    <row r="760">
      <c r="A760" t="inlineStr">
        <is>
          <t>CB</t>
        </is>
      </c>
      <c r="B760" s="6" t="n">
        <v>82.5</v>
      </c>
    </row>
    <row r="761">
      <c r="A761" t="inlineStr">
        <is>
          <t>CB</t>
        </is>
      </c>
      <c r="B761" s="6" t="n">
        <v>51.3</v>
      </c>
    </row>
    <row r="762">
      <c r="A762" t="inlineStr">
        <is>
          <t>CB</t>
        </is>
      </c>
      <c r="B762" s="6" t="n">
        <v>77.40000000000001</v>
      </c>
    </row>
    <row r="763">
      <c r="A763" t="inlineStr">
        <is>
          <t>CB</t>
        </is>
      </c>
      <c r="B763" s="6" t="n">
        <v>74.59999999999999</v>
      </c>
    </row>
    <row r="764">
      <c r="A764" t="inlineStr">
        <is>
          <t>CB</t>
        </is>
      </c>
      <c r="B764" s="6" t="n">
        <v>160.1</v>
      </c>
    </row>
    <row r="765">
      <c r="A765" t="inlineStr">
        <is>
          <t>CB</t>
        </is>
      </c>
      <c r="B765" s="6" t="n">
        <v>54.8</v>
      </c>
    </row>
    <row r="766">
      <c r="A766" t="inlineStr">
        <is>
          <t>CB</t>
        </is>
      </c>
      <c r="B766" s="6" t="n">
        <v>57.7</v>
      </c>
    </row>
    <row r="767">
      <c r="A767" t="inlineStr">
        <is>
          <t>CB</t>
        </is>
      </c>
      <c r="B767" s="6" t="n">
        <v>15.9</v>
      </c>
    </row>
    <row r="768">
      <c r="A768" t="inlineStr">
        <is>
          <t>CB</t>
        </is>
      </c>
      <c r="B768" s="6" t="n">
        <v>83.7</v>
      </c>
    </row>
    <row r="769">
      <c r="A769" t="inlineStr">
        <is>
          <t>CB</t>
        </is>
      </c>
      <c r="B769" s="6" t="n">
        <v>57.2</v>
      </c>
    </row>
    <row r="770">
      <c r="A770" t="inlineStr">
        <is>
          <t>CB</t>
        </is>
      </c>
      <c r="B770" s="6" t="n">
        <v>121</v>
      </c>
    </row>
    <row r="771">
      <c r="A771" t="inlineStr">
        <is>
          <t>CB</t>
        </is>
      </c>
      <c r="B771" s="6" t="n">
        <v>74.5</v>
      </c>
    </row>
    <row r="772">
      <c r="A772" t="inlineStr">
        <is>
          <t>CB</t>
        </is>
      </c>
      <c r="B772" s="6" t="n">
        <v>70.40000000000001</v>
      </c>
    </row>
    <row r="773">
      <c r="A773" t="inlineStr">
        <is>
          <t>TR</t>
        </is>
      </c>
      <c r="B773" s="6" t="n">
        <v>38</v>
      </c>
    </row>
    <row r="774">
      <c r="A774" t="inlineStr">
        <is>
          <t>CB</t>
        </is>
      </c>
      <c r="B774" s="6" t="n">
        <v>99</v>
      </c>
    </row>
    <row r="775">
      <c r="A775" t="inlineStr">
        <is>
          <t>CB</t>
        </is>
      </c>
      <c r="B775" s="6" t="n">
        <v>96.40000000000001</v>
      </c>
    </row>
    <row r="776">
      <c r="A776" t="inlineStr">
        <is>
          <t>CB</t>
        </is>
      </c>
      <c r="B776" s="6" t="n">
        <v>56.75</v>
      </c>
    </row>
    <row r="777">
      <c r="A777" t="inlineStr">
        <is>
          <t>CB</t>
        </is>
      </c>
      <c r="B777" s="6" t="n">
        <v>79.7</v>
      </c>
    </row>
    <row r="778">
      <c r="A778" t="inlineStr">
        <is>
          <t>CB</t>
        </is>
      </c>
      <c r="B778" s="6" t="n">
        <v>100</v>
      </c>
    </row>
    <row r="779">
      <c r="A779" t="inlineStr">
        <is>
          <t>TR</t>
        </is>
      </c>
      <c r="B779" s="6" t="n">
        <v>38</v>
      </c>
    </row>
    <row r="780">
      <c r="A780" t="inlineStr">
        <is>
          <t>CB</t>
        </is>
      </c>
      <c r="B780" s="6" t="n">
        <v>8.1</v>
      </c>
    </row>
    <row r="781">
      <c r="A781" t="inlineStr">
        <is>
          <t>CB</t>
        </is>
      </c>
      <c r="B781" s="6" t="n">
        <v>42.2</v>
      </c>
    </row>
    <row r="782">
      <c r="A782" t="inlineStr">
        <is>
          <t>CB</t>
        </is>
      </c>
      <c r="B782" s="6" t="n">
        <v>53.8</v>
      </c>
    </row>
    <row r="783">
      <c r="A783" t="inlineStr">
        <is>
          <t>CB</t>
        </is>
      </c>
      <c r="B783" s="6" t="n">
        <v>56.75</v>
      </c>
    </row>
    <row r="784">
      <c r="A784" t="inlineStr">
        <is>
          <t>CB</t>
        </is>
      </c>
      <c r="B784" s="6" t="n">
        <v>21.4</v>
      </c>
    </row>
    <row r="785">
      <c r="A785" t="inlineStr">
        <is>
          <t>CB</t>
        </is>
      </c>
      <c r="B785" s="6" t="n">
        <v>70.2</v>
      </c>
    </row>
    <row r="786">
      <c r="A786" t="inlineStr">
        <is>
          <t>TR</t>
        </is>
      </c>
      <c r="B786" s="6" t="n">
        <v>49</v>
      </c>
    </row>
    <row r="787">
      <c r="A787" t="inlineStr">
        <is>
          <t>CB</t>
        </is>
      </c>
      <c r="B787" s="6" t="n">
        <v>55.9</v>
      </c>
    </row>
    <row r="788">
      <c r="A788" t="inlineStr">
        <is>
          <t>CB</t>
        </is>
      </c>
      <c r="B788" s="6" t="n">
        <v>100.9</v>
      </c>
    </row>
    <row r="789">
      <c r="A789" t="inlineStr">
        <is>
          <t>CB</t>
        </is>
      </c>
      <c r="B789" s="6" t="n">
        <v>21.4</v>
      </c>
    </row>
    <row r="790">
      <c r="A790" t="inlineStr">
        <is>
          <t>CB</t>
        </is>
      </c>
      <c r="B790" s="6" t="n">
        <v>33.7</v>
      </c>
    </row>
    <row r="791">
      <c r="A791" t="inlineStr">
        <is>
          <t>CB</t>
        </is>
      </c>
      <c r="B791" s="6" t="n">
        <v>76.5</v>
      </c>
    </row>
    <row r="792">
      <c r="A792" t="inlineStr">
        <is>
          <t>CHV</t>
        </is>
      </c>
      <c r="B792" s="6" t="n">
        <v>80</v>
      </c>
    </row>
    <row r="793">
      <c r="A793" t="inlineStr">
        <is>
          <t>ESP</t>
        </is>
      </c>
      <c r="B793" s="6" t="n">
        <v>0.4</v>
      </c>
    </row>
    <row r="794">
      <c r="A794" t="inlineStr">
        <is>
          <t>ESP</t>
        </is>
      </c>
      <c r="B794" s="6" t="n">
        <v>65.09999999999999</v>
      </c>
    </row>
    <row r="795">
      <c r="A795" t="inlineStr">
        <is>
          <t>CB</t>
        </is>
      </c>
      <c r="B795" s="6" t="n">
        <v>111.4</v>
      </c>
    </row>
    <row r="796">
      <c r="A796" t="inlineStr">
        <is>
          <t>CB</t>
        </is>
      </c>
      <c r="B796" s="6" t="n">
        <v>55.6</v>
      </c>
    </row>
    <row r="797">
      <c r="A797" t="inlineStr">
        <is>
          <t>CB</t>
        </is>
      </c>
      <c r="B797" s="6" t="n">
        <v>64.5</v>
      </c>
    </row>
    <row r="798">
      <c r="A798" t="inlineStr">
        <is>
          <t>CB</t>
        </is>
      </c>
      <c r="B798" s="6" t="n">
        <v>44.2</v>
      </c>
    </row>
    <row r="799">
      <c r="A799" t="inlineStr">
        <is>
          <t>TR</t>
        </is>
      </c>
      <c r="B799" s="6" t="n">
        <v>21</v>
      </c>
    </row>
    <row r="800">
      <c r="A800" t="inlineStr">
        <is>
          <t>CB</t>
        </is>
      </c>
      <c r="B800" s="6" t="n">
        <v>10.8</v>
      </c>
    </row>
    <row r="801">
      <c r="A801" t="inlineStr">
        <is>
          <t>CB</t>
        </is>
      </c>
      <c r="B801" s="6" t="n">
        <v>69.90000000000001</v>
      </c>
    </row>
    <row r="802">
      <c r="A802" t="inlineStr">
        <is>
          <t>CB</t>
        </is>
      </c>
      <c r="B802" s="6" t="n">
        <v>72.2</v>
      </c>
    </row>
    <row r="803">
      <c r="A803" t="inlineStr">
        <is>
          <t>CB</t>
        </is>
      </c>
      <c r="B803" s="6" t="n">
        <v>47.9</v>
      </c>
    </row>
    <row r="804">
      <c r="A804" t="inlineStr">
        <is>
          <t>CB</t>
        </is>
      </c>
      <c r="B804" s="6" t="n">
        <v>56.6</v>
      </c>
    </row>
    <row r="805">
      <c r="A805" t="inlineStr">
        <is>
          <t>CB</t>
        </is>
      </c>
      <c r="B805" s="6" t="n">
        <v>24.3</v>
      </c>
    </row>
    <row r="806">
      <c r="A806" t="inlineStr">
        <is>
          <t>CB</t>
        </is>
      </c>
      <c r="B806" s="6" t="n">
        <v>67</v>
      </c>
    </row>
    <row r="807">
      <c r="A807" t="inlineStr">
        <is>
          <t>CB</t>
        </is>
      </c>
      <c r="B807" s="6" t="n">
        <v>56</v>
      </c>
    </row>
    <row r="808">
      <c r="A808" t="inlineStr">
        <is>
          <t>CB</t>
        </is>
      </c>
      <c r="B808" s="6" t="n">
        <v>24.3</v>
      </c>
    </row>
    <row r="809">
      <c r="A809" t="inlineStr">
        <is>
          <t>CB</t>
        </is>
      </c>
      <c r="B809" s="6" t="n">
        <v>24.45</v>
      </c>
    </row>
    <row r="810">
      <c r="A810" t="inlineStr">
        <is>
          <t>CB</t>
        </is>
      </c>
      <c r="B810" s="6" t="n">
        <v>34.1</v>
      </c>
    </row>
    <row r="811">
      <c r="A811" t="inlineStr">
        <is>
          <t>CB</t>
        </is>
      </c>
      <c r="B811" s="6" t="n">
        <v>26.8</v>
      </c>
    </row>
    <row r="812">
      <c r="A812" t="inlineStr">
        <is>
          <t>CB</t>
        </is>
      </c>
      <c r="B812" s="6" t="n">
        <v>24.45</v>
      </c>
    </row>
    <row r="813">
      <c r="A813" t="inlineStr">
        <is>
          <t>CB</t>
        </is>
      </c>
      <c r="B813" s="6" t="n">
        <v>56.4</v>
      </c>
    </row>
    <row r="814">
      <c r="A814" t="inlineStr">
        <is>
          <t>CB</t>
        </is>
      </c>
      <c r="B814" s="6" t="n">
        <v>60</v>
      </c>
    </row>
    <row r="815">
      <c r="A815" t="inlineStr">
        <is>
          <t>ESP</t>
        </is>
      </c>
      <c r="B815" s="6" t="n">
        <v>59.8</v>
      </c>
    </row>
    <row r="816">
      <c r="A816" t="inlineStr">
        <is>
          <t>CB</t>
        </is>
      </c>
      <c r="B816" s="6" t="n">
        <v>108.1</v>
      </c>
    </row>
    <row r="817">
      <c r="A817" t="inlineStr">
        <is>
          <t>CB</t>
        </is>
      </c>
      <c r="B817" s="6" t="n">
        <v>125.9</v>
      </c>
    </row>
    <row r="818">
      <c r="A818" t="inlineStr">
        <is>
          <t>CB</t>
        </is>
      </c>
      <c r="B818" s="6" t="n">
        <v>50.6</v>
      </c>
    </row>
    <row r="819">
      <c r="A819" t="inlineStr">
        <is>
          <t>CB</t>
        </is>
      </c>
      <c r="B819" s="6" t="n">
        <v>57.5</v>
      </c>
    </row>
    <row r="820">
      <c r="A820" t="inlineStr">
        <is>
          <t>TR</t>
        </is>
      </c>
      <c r="B820" s="6" t="n">
        <v>27.15</v>
      </c>
    </row>
    <row r="821">
      <c r="A821" t="inlineStr">
        <is>
          <t>ESP</t>
        </is>
      </c>
      <c r="B821" s="6" t="n">
        <v>33.45</v>
      </c>
    </row>
    <row r="822">
      <c r="A822" t="inlineStr">
        <is>
          <t>CB</t>
        </is>
      </c>
      <c r="B822" s="6" t="n">
        <v>44.6</v>
      </c>
    </row>
    <row r="823">
      <c r="A823" t="inlineStr">
        <is>
          <t>CB</t>
        </is>
      </c>
      <c r="B823" s="6" t="n">
        <v>53.1</v>
      </c>
    </row>
    <row r="824">
      <c r="A824" t="inlineStr">
        <is>
          <t>CB</t>
        </is>
      </c>
      <c r="B824" s="6" t="n">
        <v>81</v>
      </c>
    </row>
    <row r="825">
      <c r="A825" t="inlineStr">
        <is>
          <t>CB</t>
        </is>
      </c>
      <c r="B825" s="6" t="n">
        <v>55.3</v>
      </c>
    </row>
    <row r="826">
      <c r="A826" t="inlineStr">
        <is>
          <t>CB</t>
        </is>
      </c>
      <c r="B826" s="6" t="n">
        <v>77.40000000000001</v>
      </c>
    </row>
    <row r="827">
      <c r="A827" t="inlineStr">
        <is>
          <t>TR</t>
        </is>
      </c>
      <c r="B827" s="6" t="n">
        <v>30</v>
      </c>
    </row>
    <row r="828">
      <c r="A828" t="inlineStr">
        <is>
          <t>CB</t>
        </is>
      </c>
      <c r="B828" s="6" t="n">
        <v>36</v>
      </c>
    </row>
    <row r="829">
      <c r="A829" t="inlineStr">
        <is>
          <t>CB</t>
        </is>
      </c>
      <c r="B829" s="6" t="n">
        <v>45.9</v>
      </c>
    </row>
    <row r="830">
      <c r="A830" t="inlineStr">
        <is>
          <t>CB</t>
        </is>
      </c>
      <c r="B830" s="6" t="n">
        <v>60.2</v>
      </c>
    </row>
    <row r="831">
      <c r="A831" t="inlineStr">
        <is>
          <t>CB</t>
        </is>
      </c>
      <c r="B831" s="6" t="n">
        <v>44</v>
      </c>
    </row>
    <row r="832">
      <c r="A832" t="inlineStr">
        <is>
          <t>CB</t>
        </is>
      </c>
      <c r="B832" s="6" t="n">
        <v>44</v>
      </c>
    </row>
    <row r="833">
      <c r="A833" t="inlineStr">
        <is>
          <t>CB</t>
        </is>
      </c>
      <c r="B833" s="6" t="n">
        <v>48</v>
      </c>
    </row>
    <row r="834">
      <c r="A834" t="inlineStr">
        <is>
          <t>CB</t>
        </is>
      </c>
      <c r="B834" s="6" t="n">
        <v>70</v>
      </c>
    </row>
    <row r="835">
      <c r="A835" t="inlineStr">
        <is>
          <t>CB</t>
        </is>
      </c>
      <c r="B835" s="6" t="n">
        <v>52.7</v>
      </c>
    </row>
    <row r="836">
      <c r="A836" t="inlineStr">
        <is>
          <t>CB</t>
        </is>
      </c>
      <c r="B836" s="6" t="n">
        <v>43</v>
      </c>
    </row>
    <row r="837">
      <c r="A837" t="inlineStr">
        <is>
          <t>CB</t>
        </is>
      </c>
      <c r="B837" s="6" t="n">
        <v>47.7</v>
      </c>
    </row>
    <row r="838">
      <c r="A838" t="inlineStr">
        <is>
          <t>CB</t>
        </is>
      </c>
      <c r="B838" s="6" t="n">
        <v>45.1</v>
      </c>
    </row>
    <row r="839">
      <c r="A839" t="inlineStr">
        <is>
          <t>CB</t>
        </is>
      </c>
      <c r="B839" s="6" t="n">
        <v>86.5</v>
      </c>
    </row>
    <row r="840">
      <c r="A840" t="inlineStr">
        <is>
          <t>CB</t>
        </is>
      </c>
      <c r="B840" s="6" t="n">
        <v>45.7</v>
      </c>
    </row>
    <row r="841">
      <c r="A841" t="inlineStr">
        <is>
          <t>CB</t>
        </is>
      </c>
      <c r="B841" s="6" t="n">
        <v>60.1</v>
      </c>
    </row>
    <row r="842">
      <c r="A842" t="inlineStr">
        <is>
          <t>CB</t>
        </is>
      </c>
      <c r="B842" s="6" t="n">
        <v>50.5</v>
      </c>
    </row>
    <row r="843">
      <c r="A843" t="inlineStr">
        <is>
          <t>CB</t>
        </is>
      </c>
      <c r="B843" s="6" t="n">
        <v>63.4</v>
      </c>
    </row>
    <row r="844">
      <c r="A844" t="inlineStr">
        <is>
          <t>CB</t>
        </is>
      </c>
      <c r="B844" s="6" t="n">
        <v>62.7</v>
      </c>
    </row>
    <row r="845">
      <c r="A845" t="inlineStr">
        <is>
          <t>CB</t>
        </is>
      </c>
      <c r="B845" s="6" t="n">
        <v>64.40000000000001</v>
      </c>
    </row>
    <row r="846">
      <c r="A846" t="inlineStr">
        <is>
          <t>CB</t>
        </is>
      </c>
      <c r="B846" s="6" t="n">
        <v>22.6</v>
      </c>
    </row>
    <row r="847">
      <c r="A847" t="inlineStr">
        <is>
          <t>CB</t>
        </is>
      </c>
      <c r="B847" s="6" t="n">
        <v>68.09999999999999</v>
      </c>
    </row>
    <row r="848">
      <c r="A848" t="inlineStr">
        <is>
          <t>CB</t>
        </is>
      </c>
      <c r="B848" s="6" t="n">
        <v>67.3</v>
      </c>
    </row>
    <row r="849">
      <c r="A849" t="inlineStr">
        <is>
          <t>CB</t>
        </is>
      </c>
      <c r="B849" s="6" t="n">
        <v>66.40000000000001</v>
      </c>
    </row>
    <row r="850">
      <c r="A850" t="inlineStr">
        <is>
          <t>CB</t>
        </is>
      </c>
      <c r="B850" s="6" t="n">
        <v>60.1</v>
      </c>
    </row>
    <row r="851">
      <c r="A851" t="inlineStr">
        <is>
          <t>CB</t>
        </is>
      </c>
      <c r="B851" s="6" t="n">
        <v>69.2</v>
      </c>
    </row>
    <row r="852">
      <c r="A852" t="inlineStr">
        <is>
          <t>CB</t>
        </is>
      </c>
      <c r="B852" s="6" t="n">
        <v>86</v>
      </c>
    </row>
    <row r="853">
      <c r="A853" t="inlineStr">
        <is>
          <t>CB</t>
        </is>
      </c>
      <c r="B853" s="6" t="n">
        <v>80.40000000000001</v>
      </c>
    </row>
    <row r="854">
      <c r="A854" t="inlineStr">
        <is>
          <t>CB</t>
        </is>
      </c>
      <c r="B854" s="6" t="n">
        <v>123.2</v>
      </c>
    </row>
    <row r="855">
      <c r="A855" t="inlineStr">
        <is>
          <t>CB</t>
        </is>
      </c>
      <c r="B855" s="6" t="n">
        <v>30.8</v>
      </c>
    </row>
    <row r="856">
      <c r="A856" t="inlineStr">
        <is>
          <t>CB</t>
        </is>
      </c>
      <c r="B856" s="6" t="n">
        <v>67.5</v>
      </c>
    </row>
    <row r="857">
      <c r="A857" t="inlineStr">
        <is>
          <t>CB</t>
        </is>
      </c>
      <c r="B857" s="6" t="n">
        <v>47.2</v>
      </c>
    </row>
    <row r="858">
      <c r="A858" t="inlineStr">
        <is>
          <t>CB</t>
        </is>
      </c>
      <c r="B858" s="6" t="n">
        <v>22.6</v>
      </c>
    </row>
    <row r="859">
      <c r="A859" t="inlineStr">
        <is>
          <t>CB</t>
        </is>
      </c>
      <c r="B859" s="6" t="n">
        <v>30.8</v>
      </c>
    </row>
    <row r="860">
      <c r="A860" t="inlineStr">
        <is>
          <t>CB</t>
        </is>
      </c>
      <c r="B860" s="6" t="n">
        <v>42</v>
      </c>
    </row>
    <row r="861">
      <c r="A861" t="inlineStr">
        <is>
          <t>CB</t>
        </is>
      </c>
      <c r="B861" s="6" t="n">
        <v>204.6</v>
      </c>
    </row>
    <row r="862">
      <c r="A862" t="inlineStr">
        <is>
          <t>CB</t>
        </is>
      </c>
      <c r="B862" s="6" t="n">
        <v>54.7</v>
      </c>
    </row>
    <row r="863">
      <c r="A863" t="inlineStr">
        <is>
          <t>CB</t>
        </is>
      </c>
      <c r="B863" s="6" t="n">
        <v>24.1</v>
      </c>
    </row>
    <row r="864">
      <c r="A864" t="inlineStr">
        <is>
          <t>CB</t>
        </is>
      </c>
      <c r="B864" s="6" t="n">
        <v>76.2</v>
      </c>
    </row>
    <row r="865">
      <c r="A865" t="inlineStr">
        <is>
          <t>CB</t>
        </is>
      </c>
      <c r="B865" s="6" t="n">
        <v>121.7</v>
      </c>
    </row>
    <row r="866">
      <c r="A866" t="inlineStr">
        <is>
          <t>CB</t>
        </is>
      </c>
      <c r="B866" s="6" t="n">
        <v>40.3</v>
      </c>
    </row>
    <row r="867">
      <c r="A867" t="inlineStr">
        <is>
          <t>CB</t>
        </is>
      </c>
      <c r="B867" s="6" t="n">
        <v>77</v>
      </c>
    </row>
    <row r="868">
      <c r="A868" t="inlineStr">
        <is>
          <t>CB</t>
        </is>
      </c>
      <c r="B868" s="6" t="n">
        <v>24.1</v>
      </c>
    </row>
    <row r="869">
      <c r="A869" t="inlineStr">
        <is>
          <t>CB</t>
        </is>
      </c>
      <c r="B869" s="6" t="n">
        <v>30.2</v>
      </c>
    </row>
    <row r="870">
      <c r="A870" t="inlineStr">
        <is>
          <t>CB</t>
        </is>
      </c>
      <c r="B870" s="6" t="n">
        <v>51.7</v>
      </c>
    </row>
    <row r="871">
      <c r="A871" t="inlineStr">
        <is>
          <t>CB</t>
        </is>
      </c>
      <c r="B871" s="6" t="n">
        <v>78.40000000000001</v>
      </c>
    </row>
    <row r="872">
      <c r="A872" t="inlineStr">
        <is>
          <t>CB</t>
        </is>
      </c>
      <c r="B872" s="6" t="n">
        <v>79</v>
      </c>
    </row>
    <row r="873">
      <c r="A873" t="inlineStr">
        <is>
          <t>CB</t>
        </is>
      </c>
      <c r="B873" s="6" t="n">
        <v>75.5</v>
      </c>
    </row>
    <row r="874">
      <c r="A874" t="inlineStr">
        <is>
          <t>TR</t>
        </is>
      </c>
      <c r="B874" s="6" t="n">
        <v>62.4</v>
      </c>
    </row>
    <row r="875">
      <c r="A875" t="inlineStr">
        <is>
          <t>CB</t>
        </is>
      </c>
      <c r="B875" s="6" t="n">
        <v>53.2</v>
      </c>
    </row>
    <row r="876">
      <c r="A876" t="inlineStr">
        <is>
          <t>CB</t>
        </is>
      </c>
      <c r="B876" s="6" t="n">
        <v>120.6</v>
      </c>
    </row>
    <row r="877">
      <c r="A877" t="inlineStr">
        <is>
          <t>CB</t>
        </is>
      </c>
      <c r="B877" s="6" t="n">
        <v>145.5</v>
      </c>
    </row>
    <row r="878">
      <c r="A878" t="inlineStr">
        <is>
          <t>CB</t>
        </is>
      </c>
      <c r="B878" s="6" t="n">
        <v>104.7</v>
      </c>
    </row>
    <row r="879">
      <c r="A879" t="inlineStr">
        <is>
          <t>TR</t>
        </is>
      </c>
      <c r="B879" s="6" t="n">
        <v>42.5</v>
      </c>
    </row>
    <row r="880">
      <c r="A880" t="inlineStr">
        <is>
          <t>CB</t>
        </is>
      </c>
      <c r="B880" s="6" t="n">
        <v>20.8</v>
      </c>
    </row>
    <row r="881">
      <c r="A881" t="inlineStr">
        <is>
          <t>CB</t>
        </is>
      </c>
      <c r="B881" s="6" t="n">
        <v>77.40000000000001</v>
      </c>
    </row>
    <row r="882">
      <c r="A882" t="inlineStr">
        <is>
          <t>CB</t>
        </is>
      </c>
      <c r="B882" s="6" t="n">
        <v>47.6</v>
      </c>
    </row>
    <row r="883">
      <c r="A883" t="inlineStr">
        <is>
          <t>CB</t>
        </is>
      </c>
      <c r="B883" s="6" t="n">
        <v>55.1</v>
      </c>
    </row>
    <row r="884">
      <c r="A884" t="inlineStr">
        <is>
          <t>CB</t>
        </is>
      </c>
      <c r="B884" s="6" t="n">
        <v>33.9</v>
      </c>
    </row>
    <row r="885">
      <c r="A885" t="inlineStr">
        <is>
          <t>CB</t>
        </is>
      </c>
      <c r="B885" s="6" t="n">
        <v>28.8</v>
      </c>
    </row>
    <row r="886">
      <c r="A886" t="inlineStr">
        <is>
          <t>CB</t>
        </is>
      </c>
      <c r="B886" s="6" t="n">
        <v>29</v>
      </c>
    </row>
    <row r="887">
      <c r="A887" t="inlineStr">
        <is>
          <t>CB</t>
        </is>
      </c>
      <c r="B887" s="6" t="n">
        <v>110.1</v>
      </c>
    </row>
    <row r="888">
      <c r="A888" t="inlineStr">
        <is>
          <t>CB</t>
        </is>
      </c>
      <c r="B888" s="6" t="n">
        <v>45.8</v>
      </c>
    </row>
    <row r="889">
      <c r="A889" t="inlineStr">
        <is>
          <t>CB</t>
        </is>
      </c>
      <c r="B889" s="6" t="n">
        <v>73.7</v>
      </c>
    </row>
    <row r="890">
      <c r="A890" t="inlineStr">
        <is>
          <t>CB</t>
        </is>
      </c>
      <c r="B890" s="6" t="n">
        <v>65.7</v>
      </c>
    </row>
    <row r="891">
      <c r="A891" t="inlineStr">
        <is>
          <t>CB</t>
        </is>
      </c>
      <c r="B891" s="6" t="n">
        <v>36.6</v>
      </c>
    </row>
    <row r="892">
      <c r="A892" t="inlineStr">
        <is>
          <t>CB</t>
        </is>
      </c>
      <c r="B892" s="6" t="n">
        <v>60.6</v>
      </c>
    </row>
    <row r="893">
      <c r="A893" t="inlineStr">
        <is>
          <t>CB</t>
        </is>
      </c>
      <c r="B893" s="6" t="n">
        <v>61.7</v>
      </c>
    </row>
    <row r="894">
      <c r="A894" t="inlineStr">
        <is>
          <t>CB</t>
        </is>
      </c>
      <c r="B894" s="6" t="n">
        <v>21.6</v>
      </c>
    </row>
    <row r="895">
      <c r="A895" t="inlineStr">
        <is>
          <t>CB</t>
        </is>
      </c>
      <c r="B895" s="6" t="n">
        <v>64.5</v>
      </c>
    </row>
    <row r="896">
      <c r="A896" t="inlineStr">
        <is>
          <t>TR</t>
        </is>
      </c>
      <c r="B896" s="6" t="n">
        <v>35</v>
      </c>
    </row>
    <row r="897">
      <c r="A897" t="inlineStr">
        <is>
          <t>CB</t>
        </is>
      </c>
      <c r="B897" s="6" t="n">
        <v>14.7</v>
      </c>
    </row>
    <row r="898">
      <c r="A898" t="inlineStr">
        <is>
          <t>ESP</t>
        </is>
      </c>
      <c r="B898" s="6" t="n">
        <v>30.4</v>
      </c>
    </row>
    <row r="899">
      <c r="A899" t="inlineStr">
        <is>
          <t>CB</t>
        </is>
      </c>
      <c r="B899" s="6" t="n">
        <v>34</v>
      </c>
    </row>
    <row r="900">
      <c r="A900" t="inlineStr">
        <is>
          <t>CB</t>
        </is>
      </c>
      <c r="B900" s="6" t="n">
        <v>53.2</v>
      </c>
    </row>
    <row r="901">
      <c r="A901" t="inlineStr">
        <is>
          <t>CB</t>
        </is>
      </c>
      <c r="B901" s="6" t="n">
        <v>121.7</v>
      </c>
    </row>
    <row r="902">
      <c r="A902" t="inlineStr">
        <is>
          <t>CB</t>
        </is>
      </c>
      <c r="B902" s="6" t="n">
        <v>92.8</v>
      </c>
    </row>
    <row r="903">
      <c r="A903" t="inlineStr">
        <is>
          <t>CB</t>
        </is>
      </c>
      <c r="B903" s="6" t="n">
        <v>169.8</v>
      </c>
    </row>
    <row r="904">
      <c r="A904" t="inlineStr">
        <is>
          <t>CB</t>
        </is>
      </c>
      <c r="B904" s="6" t="n">
        <v>38.1</v>
      </c>
    </row>
    <row r="905">
      <c r="A905" t="inlineStr">
        <is>
          <t>CB</t>
        </is>
      </c>
      <c r="B905" s="6" t="n">
        <v>56.2</v>
      </c>
    </row>
    <row r="906">
      <c r="A906" t="inlineStr">
        <is>
          <t>CB</t>
        </is>
      </c>
      <c r="B906" s="6" t="n">
        <v>96.5</v>
      </c>
    </row>
    <row r="907">
      <c r="A907" t="inlineStr">
        <is>
          <t>CB</t>
        </is>
      </c>
      <c r="B907" s="6" t="n">
        <v>62.9</v>
      </c>
    </row>
    <row r="908">
      <c r="A908" t="inlineStr">
        <is>
          <t>CB</t>
        </is>
      </c>
      <c r="B908" s="6" t="n">
        <v>49.2</v>
      </c>
    </row>
    <row r="909">
      <c r="A909" t="inlineStr">
        <is>
          <t>CHV</t>
        </is>
      </c>
      <c r="B909" s="6" t="n">
        <v>80</v>
      </c>
    </row>
    <row r="910">
      <c r="A910" t="inlineStr">
        <is>
          <t>ESP</t>
        </is>
      </c>
      <c r="B910" s="6" t="n">
        <v>0.4</v>
      </c>
    </row>
    <row r="911">
      <c r="A911" t="inlineStr">
        <is>
          <t>TR</t>
        </is>
      </c>
      <c r="B911" s="6" t="n">
        <v>32</v>
      </c>
    </row>
    <row r="912">
      <c r="A912" t="inlineStr">
        <is>
          <t>CB</t>
        </is>
      </c>
      <c r="B912" s="6" t="n">
        <v>20.3</v>
      </c>
    </row>
    <row r="913">
      <c r="A913" t="inlineStr">
        <is>
          <t>CB</t>
        </is>
      </c>
      <c r="B913" s="6" t="n">
        <v>52.7</v>
      </c>
    </row>
    <row r="914">
      <c r="A914" t="inlineStr">
        <is>
          <t>CB</t>
        </is>
      </c>
      <c r="B914" s="6" t="n">
        <v>28.7</v>
      </c>
    </row>
    <row r="915">
      <c r="A915" t="inlineStr">
        <is>
          <t>CB</t>
        </is>
      </c>
      <c r="B915" s="6" t="n">
        <v>160.4</v>
      </c>
    </row>
    <row r="916">
      <c r="A916" t="inlineStr">
        <is>
          <t>CB</t>
        </is>
      </c>
      <c r="B916" s="6" t="n">
        <v>69.7</v>
      </c>
    </row>
    <row r="917">
      <c r="A917" t="inlineStr">
        <is>
          <t>CB</t>
        </is>
      </c>
      <c r="B917" s="6" t="n">
        <v>57.8</v>
      </c>
    </row>
    <row r="918">
      <c r="A918" t="inlineStr">
        <is>
          <t>CB</t>
        </is>
      </c>
      <c r="B918" s="6" t="n">
        <v>64.3</v>
      </c>
    </row>
    <row r="919">
      <c r="A919" t="inlineStr">
        <is>
          <t>CB</t>
        </is>
      </c>
      <c r="B919" s="6" t="n">
        <v>46.4</v>
      </c>
    </row>
    <row r="920">
      <c r="A920" t="inlineStr">
        <is>
          <t>CB</t>
        </is>
      </c>
      <c r="B920" s="6" t="n">
        <v>148.5</v>
      </c>
    </row>
    <row r="921">
      <c r="A921" t="inlineStr">
        <is>
          <t>CB</t>
        </is>
      </c>
      <c r="B921" s="6" t="n">
        <v>57.7</v>
      </c>
    </row>
    <row r="922">
      <c r="A922" t="inlineStr">
        <is>
          <t>CB</t>
        </is>
      </c>
      <c r="B922" s="6" t="n">
        <v>43.35</v>
      </c>
    </row>
    <row r="923">
      <c r="A923" t="inlineStr">
        <is>
          <t>CB</t>
        </is>
      </c>
      <c r="B923" s="6" t="n">
        <v>81.8</v>
      </c>
    </row>
    <row r="924">
      <c r="A924" t="inlineStr">
        <is>
          <t>CB</t>
        </is>
      </c>
      <c r="B924" s="6" t="n">
        <v>25.8</v>
      </c>
    </row>
    <row r="925">
      <c r="A925" t="inlineStr">
        <is>
          <t>CB</t>
        </is>
      </c>
      <c r="B925" s="6" t="n">
        <v>62.5</v>
      </c>
    </row>
    <row r="926">
      <c r="A926" t="inlineStr">
        <is>
          <t>CB</t>
        </is>
      </c>
      <c r="B926" s="6" t="n">
        <v>101.2</v>
      </c>
    </row>
    <row r="927">
      <c r="A927" t="inlineStr">
        <is>
          <t>CB</t>
        </is>
      </c>
      <c r="B927" s="6" t="n">
        <v>80</v>
      </c>
    </row>
    <row r="928">
      <c r="A928" t="inlineStr">
        <is>
          <t>CB</t>
        </is>
      </c>
      <c r="B928" s="6" t="n">
        <v>44.3</v>
      </c>
    </row>
    <row r="929">
      <c r="A929" t="inlineStr">
        <is>
          <t>CB</t>
        </is>
      </c>
      <c r="B929" s="6" t="n">
        <v>57.7</v>
      </c>
    </row>
    <row r="930">
      <c r="A930" t="inlineStr">
        <is>
          <t>CB</t>
        </is>
      </c>
      <c r="B930" s="6" t="n">
        <v>18.6</v>
      </c>
    </row>
    <row r="931">
      <c r="A931" t="inlineStr">
        <is>
          <t>CB</t>
        </is>
      </c>
      <c r="B931" s="6" t="n">
        <v>66.40000000000001</v>
      </c>
    </row>
    <row r="932">
      <c r="A932" t="inlineStr">
        <is>
          <t>CB</t>
        </is>
      </c>
      <c r="B932" s="6" t="n">
        <v>55.5</v>
      </c>
    </row>
    <row r="933">
      <c r="A933" t="inlineStr">
        <is>
          <t>CB</t>
        </is>
      </c>
      <c r="B933" s="6" t="n">
        <v>43.35</v>
      </c>
    </row>
    <row r="934">
      <c r="A934" t="inlineStr">
        <is>
          <t>CB</t>
        </is>
      </c>
      <c r="B934" s="6" t="n">
        <v>42</v>
      </c>
    </row>
    <row r="935">
      <c r="A935" t="inlineStr">
        <is>
          <t>CB</t>
        </is>
      </c>
      <c r="B935" s="6" t="n">
        <v>194.4</v>
      </c>
    </row>
    <row r="936">
      <c r="A936" t="inlineStr">
        <is>
          <t>CB</t>
        </is>
      </c>
      <c r="B936" s="6" t="n">
        <v>101.3</v>
      </c>
    </row>
    <row r="937">
      <c r="A937" t="inlineStr">
        <is>
          <t>CB</t>
        </is>
      </c>
      <c r="B937" s="6" t="n">
        <v>93.3</v>
      </c>
    </row>
    <row r="938">
      <c r="A938" t="inlineStr">
        <is>
          <t>CB</t>
        </is>
      </c>
      <c r="B938" s="6" t="n">
        <v>85.7</v>
      </c>
    </row>
    <row r="939">
      <c r="A939" t="inlineStr">
        <is>
          <t>CHV</t>
        </is>
      </c>
      <c r="B939" s="6" t="n">
        <v>90</v>
      </c>
    </row>
    <row r="940">
      <c r="A940" t="inlineStr">
        <is>
          <t>ESP</t>
        </is>
      </c>
      <c r="B940" s="6" t="n">
        <v>0.7</v>
      </c>
    </row>
    <row r="941">
      <c r="A941" t="inlineStr">
        <is>
          <t>CB</t>
        </is>
      </c>
      <c r="B941" s="6" t="n">
        <v>25.4</v>
      </c>
    </row>
    <row r="942">
      <c r="A942" t="inlineStr">
        <is>
          <t>CB</t>
        </is>
      </c>
      <c r="B942" s="6" t="n">
        <v>93.59999999999999</v>
      </c>
    </row>
    <row r="943">
      <c r="A943" t="inlineStr">
        <is>
          <t>CB</t>
        </is>
      </c>
      <c r="B943" s="6" t="n">
        <v>73.40000000000001</v>
      </c>
    </row>
    <row r="944">
      <c r="A944" t="inlineStr">
        <is>
          <t>CB</t>
        </is>
      </c>
      <c r="B944" s="6" t="n">
        <v>111.4</v>
      </c>
    </row>
    <row r="945">
      <c r="A945" t="inlineStr">
        <is>
          <t>CB</t>
        </is>
      </c>
      <c r="B945" s="6" t="n">
        <v>32.3</v>
      </c>
    </row>
    <row r="946">
      <c r="A946" t="inlineStr">
        <is>
          <t>CB</t>
        </is>
      </c>
      <c r="B946" s="6" t="n">
        <v>30</v>
      </c>
    </row>
    <row r="947">
      <c r="A947" t="inlineStr">
        <is>
          <t>CB</t>
        </is>
      </c>
      <c r="B947" s="6" t="n">
        <v>29</v>
      </c>
    </row>
    <row r="948">
      <c r="A948" t="inlineStr">
        <is>
          <t>CB</t>
        </is>
      </c>
      <c r="B948" s="6" t="n">
        <v>56.3</v>
      </c>
    </row>
    <row r="949">
      <c r="A949" t="inlineStr">
        <is>
          <t>CB</t>
        </is>
      </c>
      <c r="B949" s="6" t="n">
        <v>67.3</v>
      </c>
    </row>
    <row r="950">
      <c r="A950" t="inlineStr">
        <is>
          <t>CB</t>
        </is>
      </c>
      <c r="B950" s="6" t="n">
        <v>139.7</v>
      </c>
    </row>
    <row r="951">
      <c r="A951" t="inlineStr">
        <is>
          <t>CB</t>
        </is>
      </c>
      <c r="B951" s="6" t="n">
        <v>48.8</v>
      </c>
    </row>
    <row r="952">
      <c r="A952" t="inlineStr">
        <is>
          <t>TR</t>
        </is>
      </c>
      <c r="B952" s="6" t="n">
        <v>39</v>
      </c>
    </row>
    <row r="953">
      <c r="A953" t="inlineStr">
        <is>
          <t>ESP</t>
        </is>
      </c>
      <c r="B953" s="6" t="n">
        <v>20.8</v>
      </c>
    </row>
    <row r="954">
      <c r="A954" t="inlineStr">
        <is>
          <t>CB</t>
        </is>
      </c>
      <c r="B954" s="6" t="n">
        <v>60</v>
      </c>
    </row>
    <row r="955">
      <c r="A955" t="inlineStr">
        <is>
          <t>CB</t>
        </is>
      </c>
      <c r="B955" s="6" t="n">
        <v>44.6</v>
      </c>
    </row>
    <row r="956">
      <c r="A956" t="inlineStr">
        <is>
          <t>ESP</t>
        </is>
      </c>
      <c r="B956" s="6" t="n">
        <v>60</v>
      </c>
    </row>
    <row r="957">
      <c r="A957" t="inlineStr">
        <is>
          <t>CB</t>
        </is>
      </c>
      <c r="B957" s="6" t="n">
        <v>144.3</v>
      </c>
    </row>
    <row r="958">
      <c r="A958" t="inlineStr">
        <is>
          <t>CB</t>
        </is>
      </c>
      <c r="B958" s="6" t="n">
        <v>31.8</v>
      </c>
    </row>
    <row r="959">
      <c r="A959" t="inlineStr">
        <is>
          <t>CB</t>
        </is>
      </c>
      <c r="B959" s="6" t="n">
        <v>68.40000000000001</v>
      </c>
    </row>
    <row r="960">
      <c r="A960" t="inlineStr">
        <is>
          <t>CB</t>
        </is>
      </c>
      <c r="B960" s="6" t="n">
        <v>76.3</v>
      </c>
    </row>
    <row r="961">
      <c r="A961" t="inlineStr">
        <is>
          <t>CB</t>
        </is>
      </c>
      <c r="B961" s="6" t="n">
        <v>48.9</v>
      </c>
    </row>
    <row r="962">
      <c r="A962" t="inlineStr">
        <is>
          <t>TR</t>
        </is>
      </c>
      <c r="B962" s="6" t="n">
        <v>77.09999999999999</v>
      </c>
    </row>
    <row r="963">
      <c r="A963" t="inlineStr">
        <is>
          <t>CB</t>
        </is>
      </c>
      <c r="B963" s="6" t="n">
        <v>236.4</v>
      </c>
    </row>
    <row r="964">
      <c r="A964" t="inlineStr">
        <is>
          <t>CB</t>
        </is>
      </c>
      <c r="B964" s="6" t="n">
        <v>74.2</v>
      </c>
    </row>
    <row r="965">
      <c r="A965" t="inlineStr">
        <is>
          <t>ESP</t>
        </is>
      </c>
      <c r="B965" s="6" t="n">
        <v>37.2</v>
      </c>
    </row>
    <row r="966">
      <c r="A966" t="inlineStr">
        <is>
          <t>CB</t>
        </is>
      </c>
      <c r="B966" s="6" t="n">
        <v>92.75</v>
      </c>
    </row>
    <row r="967">
      <c r="A967" t="inlineStr">
        <is>
          <t>CB</t>
        </is>
      </c>
      <c r="B967" s="6" t="n">
        <v>51.6</v>
      </c>
    </row>
    <row r="968">
      <c r="A968" t="inlineStr">
        <is>
          <t>CB</t>
        </is>
      </c>
      <c r="B968" s="6" t="n">
        <v>50.1</v>
      </c>
    </row>
    <row r="969">
      <c r="A969" t="inlineStr">
        <is>
          <t>CB</t>
        </is>
      </c>
      <c r="B969" s="6" t="n">
        <v>76.8</v>
      </c>
    </row>
    <row r="970">
      <c r="A970" t="inlineStr">
        <is>
          <t>CB</t>
        </is>
      </c>
      <c r="B970" s="6" t="n">
        <v>91.59999999999999</v>
      </c>
    </row>
    <row r="971">
      <c r="A971" t="inlineStr">
        <is>
          <t>CB</t>
        </is>
      </c>
      <c r="B971" s="6" t="n">
        <v>37.2</v>
      </c>
    </row>
    <row r="972">
      <c r="A972" t="inlineStr">
        <is>
          <t>CB</t>
        </is>
      </c>
      <c r="B972" s="6" t="n">
        <v>92.75</v>
      </c>
    </row>
    <row r="973">
      <c r="A973" t="inlineStr">
        <is>
          <t>CB</t>
        </is>
      </c>
      <c r="B973" s="6" t="n">
        <v>127.8</v>
      </c>
    </row>
    <row r="974">
      <c r="A974" t="inlineStr">
        <is>
          <t>CB</t>
        </is>
      </c>
      <c r="B974" s="6" t="n">
        <v>44.3</v>
      </c>
    </row>
    <row r="975">
      <c r="A975" t="inlineStr">
        <is>
          <t>CB</t>
        </is>
      </c>
      <c r="B975" s="6" t="n">
        <v>65.7</v>
      </c>
    </row>
    <row r="976">
      <c r="A976" t="inlineStr">
        <is>
          <t>CB</t>
        </is>
      </c>
      <c r="B976" s="6" t="n">
        <v>82</v>
      </c>
    </row>
    <row r="977">
      <c r="A977" t="inlineStr">
        <is>
          <t>ESP</t>
        </is>
      </c>
      <c r="B977" s="6" t="n">
        <v>29</v>
      </c>
    </row>
    <row r="978">
      <c r="A978" t="inlineStr">
        <is>
          <t>CB</t>
        </is>
      </c>
      <c r="B978" s="6" t="n">
        <v>47.8</v>
      </c>
    </row>
    <row r="979">
      <c r="A979" t="inlineStr">
        <is>
          <t>CB</t>
        </is>
      </c>
      <c r="B979" s="6" t="n">
        <v>51.5</v>
      </c>
    </row>
    <row r="980">
      <c r="A980" t="inlineStr">
        <is>
          <t>CB</t>
        </is>
      </c>
      <c r="B980" s="6" t="n">
        <v>43.5</v>
      </c>
    </row>
    <row r="981">
      <c r="A981" t="inlineStr">
        <is>
          <t>CB</t>
        </is>
      </c>
      <c r="B981" s="6" t="n">
        <v>144.6</v>
      </c>
    </row>
    <row r="982">
      <c r="A982" t="inlineStr">
        <is>
          <t>CB</t>
        </is>
      </c>
      <c r="B982" s="6" t="n">
        <v>51.4</v>
      </c>
    </row>
    <row r="983">
      <c r="A983" t="inlineStr">
        <is>
          <t>CB</t>
        </is>
      </c>
      <c r="B983" s="6" t="n">
        <v>38</v>
      </c>
    </row>
    <row r="984">
      <c r="A984" t="inlineStr">
        <is>
          <t>CB</t>
        </is>
      </c>
      <c r="B984" s="6" t="n">
        <v>32</v>
      </c>
    </row>
    <row r="985">
      <c r="A985" t="inlineStr">
        <is>
          <t>CB</t>
        </is>
      </c>
      <c r="B985" s="6" t="n">
        <v>64</v>
      </c>
    </row>
    <row r="986">
      <c r="A986" t="inlineStr">
        <is>
          <t>CB</t>
        </is>
      </c>
      <c r="B986" s="6" t="n">
        <v>32</v>
      </c>
    </row>
    <row r="987">
      <c r="A987" t="inlineStr">
        <is>
          <t>CB</t>
        </is>
      </c>
      <c r="B987" s="6" t="n">
        <v>27.9</v>
      </c>
    </row>
    <row r="988">
      <c r="A988" t="inlineStr">
        <is>
          <t>CB</t>
        </is>
      </c>
      <c r="B988" s="6" t="n">
        <v>48.4</v>
      </c>
    </row>
    <row r="989">
      <c r="A989" t="inlineStr">
        <is>
          <t>CB</t>
        </is>
      </c>
      <c r="B989" s="6" t="n">
        <v>41.3</v>
      </c>
    </row>
    <row r="990">
      <c r="A990" t="inlineStr">
        <is>
          <t>CB</t>
        </is>
      </c>
      <c r="B990" s="6" t="n">
        <v>116.3</v>
      </c>
    </row>
    <row r="991">
      <c r="A991" t="inlineStr">
        <is>
          <t>CB</t>
        </is>
      </c>
      <c r="B991" s="6" t="n">
        <v>70.5</v>
      </c>
    </row>
    <row r="992">
      <c r="A992" t="inlineStr">
        <is>
          <t>CB</t>
        </is>
      </c>
      <c r="B992" s="6" t="n">
        <v>35.3</v>
      </c>
    </row>
    <row r="993">
      <c r="A993" t="inlineStr">
        <is>
          <t>CB</t>
        </is>
      </c>
      <c r="B993" s="6" t="n">
        <v>43</v>
      </c>
    </row>
    <row r="994">
      <c r="A994" t="inlineStr">
        <is>
          <t>CB</t>
        </is>
      </c>
      <c r="B994" s="6" t="n">
        <v>58.2</v>
      </c>
    </row>
    <row r="995">
      <c r="A995" t="inlineStr">
        <is>
          <t>CB</t>
        </is>
      </c>
      <c r="B995" s="6" t="n">
        <v>101.9</v>
      </c>
    </row>
    <row r="996">
      <c r="A996" t="inlineStr">
        <is>
          <t>CB</t>
        </is>
      </c>
      <c r="B996" s="6" t="n">
        <v>57</v>
      </c>
    </row>
    <row r="997">
      <c r="A997" t="inlineStr">
        <is>
          <t>CB</t>
        </is>
      </c>
      <c r="B997" s="6" t="n">
        <v>67.8</v>
      </c>
    </row>
    <row r="998">
      <c r="A998" t="inlineStr">
        <is>
          <t>CB</t>
        </is>
      </c>
      <c r="B998" s="6" t="n">
        <v>76.40000000000001</v>
      </c>
    </row>
    <row r="999">
      <c r="A999" t="inlineStr">
        <is>
          <t>TR</t>
        </is>
      </c>
      <c r="B999" s="6" t="n">
        <v>38</v>
      </c>
    </row>
    <row r="1000">
      <c r="A1000" t="inlineStr">
        <is>
          <t>TR</t>
        </is>
      </c>
      <c r="B1000" s="6" t="n">
        <v>25.9</v>
      </c>
    </row>
    <row r="1001">
      <c r="A1001" t="inlineStr">
        <is>
          <t>CB</t>
        </is>
      </c>
      <c r="B1001" s="6" t="n">
        <v>54.5</v>
      </c>
    </row>
    <row r="1002">
      <c r="A1002" t="inlineStr">
        <is>
          <t>CB</t>
        </is>
      </c>
      <c r="B1002" s="6" t="n">
        <v>56.5</v>
      </c>
    </row>
    <row r="1003">
      <c r="A1003" t="inlineStr">
        <is>
          <t>CB</t>
        </is>
      </c>
      <c r="B1003" s="6" t="n">
        <v>38.4</v>
      </c>
    </row>
    <row r="1004">
      <c r="A1004" t="inlineStr">
        <is>
          <t>CB</t>
        </is>
      </c>
      <c r="B1004" s="6" t="n">
        <v>28.6</v>
      </c>
    </row>
    <row r="1005">
      <c r="A1005" t="inlineStr">
        <is>
          <t>CB</t>
        </is>
      </c>
      <c r="B1005" s="6" t="n">
        <v>36.3</v>
      </c>
    </row>
    <row r="1006">
      <c r="A1006" t="inlineStr">
        <is>
          <t>CB</t>
        </is>
      </c>
      <c r="B1006" s="6" t="n">
        <v>82.09999999999999</v>
      </c>
    </row>
    <row r="1007">
      <c r="A1007" t="inlineStr">
        <is>
          <t>CB</t>
        </is>
      </c>
      <c r="B1007" s="6" t="n">
        <v>49.5</v>
      </c>
    </row>
    <row r="1008">
      <c r="A1008" t="inlineStr">
        <is>
          <t>CB</t>
        </is>
      </c>
      <c r="B1008" s="6" t="n">
        <v>49.4</v>
      </c>
    </row>
    <row r="1009">
      <c r="A1009" t="inlineStr">
        <is>
          <t>CB</t>
        </is>
      </c>
      <c r="B1009" s="6" t="n">
        <v>74.84999999999999</v>
      </c>
    </row>
    <row r="1010">
      <c r="A1010" t="inlineStr">
        <is>
          <t>TR</t>
        </is>
      </c>
      <c r="B1010" s="6" t="n">
        <v>46</v>
      </c>
    </row>
    <row r="1011">
      <c r="A1011" t="inlineStr">
        <is>
          <t>CB</t>
        </is>
      </c>
      <c r="B1011" s="6" t="n">
        <v>29.6</v>
      </c>
    </row>
    <row r="1012">
      <c r="A1012" t="inlineStr">
        <is>
          <t>CB</t>
        </is>
      </c>
      <c r="B1012" s="6" t="n">
        <v>45.3</v>
      </c>
    </row>
    <row r="1013">
      <c r="A1013" t="inlineStr">
        <is>
          <t>CB</t>
        </is>
      </c>
      <c r="B1013" s="6" t="n">
        <v>184</v>
      </c>
    </row>
    <row r="1014">
      <c r="A1014" t="inlineStr">
        <is>
          <t>TR</t>
        </is>
      </c>
      <c r="B1014" s="6" t="n">
        <v>51</v>
      </c>
    </row>
    <row r="1015">
      <c r="A1015" t="inlineStr">
        <is>
          <t>ESP</t>
        </is>
      </c>
      <c r="B1015" s="6" t="n">
        <v>6.8</v>
      </c>
    </row>
    <row r="1016">
      <c r="A1016" t="inlineStr">
        <is>
          <t>CB</t>
        </is>
      </c>
      <c r="B1016" s="6" t="n">
        <v>59.6</v>
      </c>
    </row>
    <row r="1017">
      <c r="A1017" t="inlineStr">
        <is>
          <t>CB</t>
        </is>
      </c>
      <c r="B1017" s="6" t="n">
        <v>89.7</v>
      </c>
    </row>
    <row r="1018">
      <c r="A1018" t="inlineStr">
        <is>
          <t>CB</t>
        </is>
      </c>
      <c r="B1018" s="6" t="n">
        <v>30.1</v>
      </c>
    </row>
    <row r="1019">
      <c r="A1019" t="inlineStr">
        <is>
          <t>CB</t>
        </is>
      </c>
      <c r="B1019" s="6" t="n">
        <v>74.84999999999999</v>
      </c>
    </row>
    <row r="1020">
      <c r="A1020" t="inlineStr">
        <is>
          <t>CB</t>
        </is>
      </c>
      <c r="B1020" s="6" t="n">
        <v>30.1</v>
      </c>
    </row>
    <row r="1021">
      <c r="A1021" t="inlineStr">
        <is>
          <t>CB</t>
        </is>
      </c>
      <c r="B1021" s="6" t="n">
        <v>86.45</v>
      </c>
    </row>
    <row r="1022">
      <c r="A1022" t="inlineStr">
        <is>
          <t>CB</t>
        </is>
      </c>
      <c r="B1022" s="6" t="n">
        <v>50.6</v>
      </c>
    </row>
    <row r="1023">
      <c r="A1023" t="inlineStr">
        <is>
          <t>CB</t>
        </is>
      </c>
      <c r="B1023" s="6" t="n">
        <v>98.09999999999999</v>
      </c>
    </row>
    <row r="1024">
      <c r="A1024" t="inlineStr">
        <is>
          <t>CB</t>
        </is>
      </c>
      <c r="B1024" s="6" t="n">
        <v>27.2</v>
      </c>
    </row>
    <row r="1025">
      <c r="A1025" t="inlineStr">
        <is>
          <t>CB</t>
        </is>
      </c>
      <c r="B1025" s="6" t="n">
        <v>81.40000000000001</v>
      </c>
    </row>
    <row r="1026">
      <c r="A1026" t="inlineStr">
        <is>
          <t>CB</t>
        </is>
      </c>
      <c r="B1026" s="6" t="n">
        <v>48.9</v>
      </c>
    </row>
    <row r="1027">
      <c r="A1027" t="inlineStr">
        <is>
          <t>CB</t>
        </is>
      </c>
      <c r="B1027" s="6" t="n">
        <v>77.09999999999999</v>
      </c>
    </row>
    <row r="1028">
      <c r="A1028" t="inlineStr">
        <is>
          <t>CB</t>
        </is>
      </c>
      <c r="B1028" s="6" t="n">
        <v>50.8</v>
      </c>
    </row>
    <row r="1029">
      <c r="A1029" t="inlineStr">
        <is>
          <t>TR</t>
        </is>
      </c>
      <c r="B1029" s="6" t="n">
        <v>54</v>
      </c>
    </row>
    <row r="1030">
      <c r="A1030" t="inlineStr">
        <is>
          <t>CB</t>
        </is>
      </c>
      <c r="B1030" s="6" t="n">
        <v>45</v>
      </c>
    </row>
    <row r="1031">
      <c r="A1031" t="inlineStr">
        <is>
          <t>CB</t>
        </is>
      </c>
      <c r="B1031" s="6" t="n">
        <v>159.3</v>
      </c>
    </row>
    <row r="1032">
      <c r="A1032" t="inlineStr">
        <is>
          <t>CB</t>
        </is>
      </c>
      <c r="B1032" s="6" t="n">
        <v>107.3</v>
      </c>
    </row>
    <row r="1033">
      <c r="A1033" t="inlineStr">
        <is>
          <t>CHV</t>
        </is>
      </c>
      <c r="B1033" s="6" t="n">
        <v>60</v>
      </c>
    </row>
    <row r="1034">
      <c r="A1034" t="inlineStr">
        <is>
          <t>ESP</t>
        </is>
      </c>
      <c r="B1034" s="6" t="n">
        <v>4.5</v>
      </c>
    </row>
    <row r="1035">
      <c r="A1035" t="inlineStr">
        <is>
          <t>CB</t>
        </is>
      </c>
      <c r="B1035" s="6" t="n">
        <v>50</v>
      </c>
    </row>
    <row r="1036">
      <c r="A1036" t="inlineStr">
        <is>
          <t>CB</t>
        </is>
      </c>
      <c r="B1036" s="6" t="n">
        <v>71.8</v>
      </c>
    </row>
    <row r="1037">
      <c r="A1037" t="inlineStr">
        <is>
          <t>CB</t>
        </is>
      </c>
      <c r="B1037" s="6" t="n">
        <v>75.40000000000001</v>
      </c>
    </row>
    <row r="1038">
      <c r="A1038" t="inlineStr">
        <is>
          <t>CB</t>
        </is>
      </c>
      <c r="B1038" s="6" t="n">
        <v>27.2</v>
      </c>
    </row>
    <row r="1039">
      <c r="A1039" t="inlineStr">
        <is>
          <t>CB</t>
        </is>
      </c>
      <c r="B1039" s="6" t="n">
        <v>107.3</v>
      </c>
    </row>
    <row r="1040">
      <c r="A1040" t="inlineStr">
        <is>
          <t>CB</t>
        </is>
      </c>
      <c r="B1040" s="6" t="n">
        <v>70.90000000000001</v>
      </c>
    </row>
    <row r="1041">
      <c r="A1041" t="inlineStr">
        <is>
          <t>CB</t>
        </is>
      </c>
      <c r="B1041" s="6" t="n">
        <v>146.2</v>
      </c>
    </row>
    <row r="1042">
      <c r="A1042" t="inlineStr">
        <is>
          <t>CB</t>
        </is>
      </c>
      <c r="B1042" s="6" t="n">
        <v>61.4</v>
      </c>
    </row>
    <row r="1043">
      <c r="A1043" t="inlineStr">
        <is>
          <t>CB</t>
        </is>
      </c>
      <c r="B1043" s="6" t="n">
        <v>46.3</v>
      </c>
    </row>
    <row r="1044">
      <c r="A1044" t="inlineStr">
        <is>
          <t>CB</t>
        </is>
      </c>
      <c r="B1044" s="6" t="n">
        <v>87.8</v>
      </c>
    </row>
    <row r="1045">
      <c r="A1045" t="inlineStr">
        <is>
          <t>CB</t>
        </is>
      </c>
      <c r="B1045" s="6" t="n">
        <v>136.3</v>
      </c>
    </row>
    <row r="1046">
      <c r="A1046" t="inlineStr">
        <is>
          <t>CB</t>
        </is>
      </c>
      <c r="B1046" s="6" t="n">
        <v>67.8</v>
      </c>
    </row>
    <row r="1047">
      <c r="A1047" t="inlineStr">
        <is>
          <t>CB</t>
        </is>
      </c>
      <c r="B1047" s="6" t="n">
        <v>59.8</v>
      </c>
    </row>
    <row r="1048">
      <c r="A1048" t="inlineStr">
        <is>
          <t>CB</t>
        </is>
      </c>
      <c r="B1048" s="6" t="n">
        <v>125.7</v>
      </c>
    </row>
    <row r="1049">
      <c r="A1049" t="inlineStr">
        <is>
          <t>CB</t>
        </is>
      </c>
      <c r="B1049" s="6" t="n">
        <v>111.7</v>
      </c>
    </row>
    <row r="1050">
      <c r="A1050" t="inlineStr">
        <is>
          <t>CB</t>
        </is>
      </c>
      <c r="B1050" s="6" t="n">
        <v>25.9</v>
      </c>
    </row>
    <row r="1051">
      <c r="A1051" t="inlineStr">
        <is>
          <t>CB</t>
        </is>
      </c>
      <c r="B1051" s="6" t="n">
        <v>141.4</v>
      </c>
    </row>
    <row r="1052">
      <c r="A1052" t="inlineStr">
        <is>
          <t>CB</t>
        </is>
      </c>
      <c r="B1052" s="6" t="n">
        <v>96</v>
      </c>
    </row>
    <row r="1053">
      <c r="A1053" t="inlineStr">
        <is>
          <t>CB</t>
        </is>
      </c>
      <c r="B1053" s="6" t="n">
        <v>74.8</v>
      </c>
    </row>
    <row r="1054">
      <c r="A1054" t="inlineStr">
        <is>
          <t>CB</t>
        </is>
      </c>
      <c r="B1054" s="6" t="n">
        <v>71.90000000000001</v>
      </c>
    </row>
    <row r="1055">
      <c r="A1055" t="inlineStr">
        <is>
          <t>CB</t>
        </is>
      </c>
      <c r="B1055" s="6" t="n">
        <v>52.1</v>
      </c>
    </row>
    <row r="1056">
      <c r="A1056" t="inlineStr">
        <is>
          <t>CB</t>
        </is>
      </c>
      <c r="B1056" s="6" t="n">
        <v>71.3</v>
      </c>
    </row>
    <row r="1057">
      <c r="A1057" t="inlineStr">
        <is>
          <t>CB</t>
        </is>
      </c>
      <c r="B1057" s="6" t="n">
        <v>21.75</v>
      </c>
    </row>
    <row r="1058">
      <c r="A1058" t="inlineStr">
        <is>
          <t>CB</t>
        </is>
      </c>
      <c r="B1058" s="6" t="n">
        <v>52.9</v>
      </c>
    </row>
    <row r="1059">
      <c r="A1059" t="inlineStr">
        <is>
          <t>CB</t>
        </is>
      </c>
      <c r="B1059" s="6" t="n">
        <v>21.75</v>
      </c>
    </row>
    <row r="1060">
      <c r="A1060" t="inlineStr">
        <is>
          <t>CB</t>
        </is>
      </c>
      <c r="B1060" s="6" t="n">
        <v>129</v>
      </c>
    </row>
    <row r="1061">
      <c r="A1061" t="inlineStr">
        <is>
          <t>CB</t>
        </is>
      </c>
      <c r="B1061" s="6" t="n">
        <v>65.5</v>
      </c>
    </row>
    <row r="1062">
      <c r="A1062" t="inlineStr">
        <is>
          <t>CB</t>
        </is>
      </c>
      <c r="B1062" s="6" t="n">
        <v>204.9</v>
      </c>
    </row>
    <row r="1063">
      <c r="A1063" t="inlineStr">
        <is>
          <t>TR</t>
        </is>
      </c>
      <c r="B1063" s="6" t="n">
        <v>38</v>
      </c>
    </row>
    <row r="1064">
      <c r="A1064" t="inlineStr">
        <is>
          <t>CB</t>
        </is>
      </c>
      <c r="B1064" s="6" t="n">
        <v>105.7</v>
      </c>
    </row>
    <row r="1065">
      <c r="A1065" t="inlineStr">
        <is>
          <t>CB</t>
        </is>
      </c>
      <c r="B1065" s="6" t="n">
        <v>78</v>
      </c>
    </row>
    <row r="1066">
      <c r="A1066" t="inlineStr">
        <is>
          <t>CB</t>
        </is>
      </c>
      <c r="B1066" s="6" t="n">
        <v>37.6</v>
      </c>
    </row>
    <row r="1067">
      <c r="A1067" t="inlineStr">
        <is>
          <t>CB</t>
        </is>
      </c>
      <c r="B1067" s="6" t="n">
        <v>81.90000000000001</v>
      </c>
    </row>
    <row r="1068">
      <c r="A1068" t="inlineStr">
        <is>
          <t>CB</t>
        </is>
      </c>
      <c r="B1068" s="6" t="n">
        <v>77.09999999999999</v>
      </c>
    </row>
    <row r="1069">
      <c r="A1069" t="inlineStr">
        <is>
          <t>TR</t>
        </is>
      </c>
      <c r="B1069" s="6" t="n">
        <v>38</v>
      </c>
    </row>
    <row r="1070">
      <c r="A1070" t="inlineStr">
        <is>
          <t>ESP</t>
        </is>
      </c>
      <c r="B1070" s="6" t="n">
        <v>34</v>
      </c>
    </row>
    <row r="1071">
      <c r="A1071" t="inlineStr">
        <is>
          <t>CB</t>
        </is>
      </c>
      <c r="B1071" s="6" t="n">
        <v>52.2</v>
      </c>
    </row>
    <row r="1072">
      <c r="A1072" t="inlineStr">
        <is>
          <t>CB</t>
        </is>
      </c>
      <c r="B1072" s="6" t="n">
        <v>105.4</v>
      </c>
    </row>
    <row r="1073">
      <c r="A1073" t="inlineStr">
        <is>
          <t>CB</t>
        </is>
      </c>
      <c r="B1073" s="6" t="n">
        <v>49.9</v>
      </c>
    </row>
    <row r="1074">
      <c r="A1074" t="inlineStr">
        <is>
          <t>CB</t>
        </is>
      </c>
      <c r="B1074" s="6" t="n">
        <v>65.7</v>
      </c>
    </row>
    <row r="1075">
      <c r="A1075" t="inlineStr">
        <is>
          <t>CB</t>
        </is>
      </c>
      <c r="B1075" s="6" t="n">
        <v>23.8</v>
      </c>
    </row>
    <row r="1076">
      <c r="A1076" t="inlineStr">
        <is>
          <t>CB</t>
        </is>
      </c>
      <c r="B1076" s="6" t="n">
        <v>82.90000000000001</v>
      </c>
    </row>
    <row r="1077">
      <c r="A1077" t="inlineStr">
        <is>
          <t>CB</t>
        </is>
      </c>
      <c r="B1077" s="6" t="n">
        <v>23.6</v>
      </c>
    </row>
    <row r="1078">
      <c r="A1078" t="inlineStr">
        <is>
          <t>CB</t>
        </is>
      </c>
      <c r="B1078" s="6" t="n">
        <v>74.40000000000001</v>
      </c>
    </row>
    <row r="1079">
      <c r="A1079" t="inlineStr">
        <is>
          <t>CB</t>
        </is>
      </c>
      <c r="B1079" s="6" t="n">
        <v>25.7</v>
      </c>
    </row>
    <row r="1080">
      <c r="A1080" t="inlineStr">
        <is>
          <t>CHV</t>
        </is>
      </c>
      <c r="B1080" s="6" t="n">
        <v>20</v>
      </c>
    </row>
    <row r="1081">
      <c r="A1081" t="inlineStr">
        <is>
          <t>CB</t>
        </is>
      </c>
      <c r="B1081" s="6" t="n">
        <v>61</v>
      </c>
    </row>
    <row r="1082">
      <c r="A1082" t="inlineStr">
        <is>
          <t>CB</t>
        </is>
      </c>
      <c r="B1082" s="6" t="n">
        <v>114.8</v>
      </c>
    </row>
    <row r="1083">
      <c r="A1083" t="inlineStr">
        <is>
          <t>CB</t>
        </is>
      </c>
      <c r="B1083" s="6" t="n">
        <v>50.1</v>
      </c>
    </row>
    <row r="1084">
      <c r="A1084" t="inlineStr">
        <is>
          <t>CB</t>
        </is>
      </c>
      <c r="B1084" s="6" t="n">
        <v>100.9</v>
      </c>
    </row>
    <row r="1085">
      <c r="A1085" t="inlineStr">
        <is>
          <t>CB</t>
        </is>
      </c>
      <c r="B1085" s="6" t="n">
        <v>51.1</v>
      </c>
    </row>
    <row r="1086">
      <c r="A1086" t="inlineStr">
        <is>
          <t>CB</t>
        </is>
      </c>
      <c r="B1086" s="6" t="n">
        <v>82.3</v>
      </c>
    </row>
    <row r="1087">
      <c r="A1087" t="inlineStr">
        <is>
          <t>CB</t>
        </is>
      </c>
      <c r="B1087" s="6" t="n">
        <v>118.7</v>
      </c>
    </row>
    <row r="1088">
      <c r="A1088" t="inlineStr">
        <is>
          <t>CHV</t>
        </is>
      </c>
      <c r="B1088" s="6" t="n">
        <v>40</v>
      </c>
    </row>
    <row r="1089">
      <c r="A1089" t="inlineStr">
        <is>
          <t>CB</t>
        </is>
      </c>
      <c r="B1089" s="6" t="n">
        <v>9.199999999999999</v>
      </c>
    </row>
    <row r="1090">
      <c r="A1090" t="inlineStr">
        <is>
          <t>CHV</t>
        </is>
      </c>
      <c r="B1090" s="6" t="n">
        <v>60</v>
      </c>
    </row>
    <row r="1091">
      <c r="A1091" t="inlineStr">
        <is>
          <t>CB</t>
        </is>
      </c>
      <c r="B1091" s="6" t="n">
        <v>2.3</v>
      </c>
    </row>
    <row r="1092">
      <c r="A1092" t="inlineStr">
        <is>
          <t>CHQ</t>
        </is>
      </c>
      <c r="B1092" s="6" t="n">
        <v>100</v>
      </c>
    </row>
    <row r="1093">
      <c r="A1093" t="inlineStr">
        <is>
          <t>ESP</t>
        </is>
      </c>
      <c r="B1093" s="6" t="n">
        <v>3.6</v>
      </c>
    </row>
    <row r="1094">
      <c r="A1094" t="inlineStr">
        <is>
          <t>CB</t>
        </is>
      </c>
      <c r="B1094" s="6" t="n">
        <v>115</v>
      </c>
    </row>
    <row r="1095">
      <c r="A1095" t="inlineStr">
        <is>
          <t>CB</t>
        </is>
      </c>
      <c r="B1095" s="6" t="n">
        <v>71.95999999999999</v>
      </c>
    </row>
    <row r="1096">
      <c r="A1096" t="inlineStr">
        <is>
          <t>CB</t>
        </is>
      </c>
      <c r="B1096" s="6" t="n">
        <v>50.45</v>
      </c>
    </row>
    <row r="1097">
      <c r="A1097" t="inlineStr">
        <is>
          <t>CB</t>
        </is>
      </c>
      <c r="B1097" s="6" t="n">
        <v>51.1</v>
      </c>
    </row>
    <row r="1098">
      <c r="A1098" t="inlineStr">
        <is>
          <t>CB</t>
        </is>
      </c>
      <c r="B1098" s="6" t="n">
        <v>35.84</v>
      </c>
    </row>
    <row r="1099">
      <c r="A1099" t="inlineStr">
        <is>
          <t>CB</t>
        </is>
      </c>
      <c r="B1099" s="6" t="n">
        <v>29.4</v>
      </c>
    </row>
    <row r="1100">
      <c r="A1100" t="inlineStr">
        <is>
          <t>CB</t>
        </is>
      </c>
      <c r="B1100" s="6" t="n">
        <v>50.45</v>
      </c>
    </row>
    <row r="1101">
      <c r="A1101" t="inlineStr">
        <is>
          <t>CB</t>
        </is>
      </c>
      <c r="B1101" s="6" t="n">
        <v>102.7</v>
      </c>
    </row>
    <row r="1102">
      <c r="A1102" t="inlineStr">
        <is>
          <t>CHQ</t>
        </is>
      </c>
      <c r="B1102" s="6" t="n">
        <v>50.6</v>
      </c>
    </row>
    <row r="1103">
      <c r="A1103" t="inlineStr">
        <is>
          <t>TR</t>
        </is>
      </c>
      <c r="B1103" s="6" t="n">
        <v>38</v>
      </c>
    </row>
    <row r="1104">
      <c r="A1104" t="inlineStr">
        <is>
          <t>ESP</t>
        </is>
      </c>
      <c r="B1104" s="6" t="n">
        <v>10.6</v>
      </c>
    </row>
    <row r="1105">
      <c r="A1105" t="inlineStr">
        <is>
          <t>CB</t>
        </is>
      </c>
      <c r="B1105" s="6" t="n">
        <v>46.7</v>
      </c>
    </row>
    <row r="1106">
      <c r="A1106" t="inlineStr">
        <is>
          <t>CB</t>
        </is>
      </c>
      <c r="B1106" s="6" t="n">
        <v>132</v>
      </c>
    </row>
    <row r="1107">
      <c r="A1107" t="inlineStr">
        <is>
          <t>CB</t>
        </is>
      </c>
      <c r="B1107" s="6" t="n">
        <v>73.8</v>
      </c>
    </row>
    <row r="1108">
      <c r="A1108" t="inlineStr">
        <is>
          <t>CB</t>
        </is>
      </c>
      <c r="B1108" s="6" t="n">
        <v>61.4</v>
      </c>
    </row>
    <row r="1109">
      <c r="A1109" t="inlineStr">
        <is>
          <t>CB</t>
        </is>
      </c>
      <c r="B1109" s="6" t="n">
        <v>73.5</v>
      </c>
    </row>
    <row r="1110">
      <c r="A1110" t="inlineStr">
        <is>
          <t>CB</t>
        </is>
      </c>
      <c r="B1110" s="6" t="n">
        <v>55.85</v>
      </c>
    </row>
    <row r="1111">
      <c r="A1111" t="inlineStr">
        <is>
          <t>ESP</t>
        </is>
      </c>
      <c r="B1111" s="6" t="n">
        <v>27.92</v>
      </c>
    </row>
    <row r="1112">
      <c r="A1112" t="inlineStr">
        <is>
          <t>CB</t>
        </is>
      </c>
      <c r="B1112" s="6" t="n">
        <v>57.9</v>
      </c>
    </row>
    <row r="1113">
      <c r="A1113" t="inlineStr">
        <is>
          <t>CB</t>
        </is>
      </c>
      <c r="B1113" s="6" t="n">
        <v>61.6</v>
      </c>
    </row>
    <row r="1114">
      <c r="A1114" t="inlineStr">
        <is>
          <t>CHV</t>
        </is>
      </c>
      <c r="B1114" s="6" t="n">
        <v>40</v>
      </c>
    </row>
    <row r="1115">
      <c r="A1115" t="inlineStr">
        <is>
          <t>CB</t>
        </is>
      </c>
      <c r="B1115" s="6" t="n">
        <v>18.6</v>
      </c>
    </row>
    <row r="1116">
      <c r="A1116" t="inlineStr">
        <is>
          <t>CB</t>
        </is>
      </c>
      <c r="B1116" s="6" t="n">
        <v>72.5</v>
      </c>
    </row>
    <row r="1117">
      <c r="A1117" t="inlineStr">
        <is>
          <t>CB</t>
        </is>
      </c>
      <c r="B1117" s="6" t="n">
        <v>54.4</v>
      </c>
    </row>
    <row r="1118">
      <c r="A1118" t="inlineStr">
        <is>
          <t>CB</t>
        </is>
      </c>
      <c r="B1118" s="6" t="n">
        <v>134.8</v>
      </c>
    </row>
    <row r="1119">
      <c r="A1119" t="inlineStr">
        <is>
          <t>CB</t>
        </is>
      </c>
      <c r="B1119" s="6" t="n">
        <v>59.2</v>
      </c>
    </row>
    <row r="1120">
      <c r="A1120" t="inlineStr">
        <is>
          <t>CB</t>
        </is>
      </c>
      <c r="B1120" s="6" t="n">
        <v>72.2</v>
      </c>
    </row>
    <row r="1121">
      <c r="A1121" t="inlineStr">
        <is>
          <t>CB</t>
        </is>
      </c>
      <c r="B1121" s="6" t="n">
        <v>15.9</v>
      </c>
    </row>
    <row r="1122">
      <c r="A1122" t="inlineStr">
        <is>
          <t>CB</t>
        </is>
      </c>
      <c r="B1122" s="6" t="n">
        <v>27.93</v>
      </c>
    </row>
    <row r="1123">
      <c r="A1123" t="inlineStr">
        <is>
          <t>CB</t>
        </is>
      </c>
      <c r="B1123" s="6" t="n">
        <v>129.3</v>
      </c>
    </row>
    <row r="1124">
      <c r="A1124" t="inlineStr">
        <is>
          <t>CB</t>
        </is>
      </c>
      <c r="B1124" s="6" t="n">
        <v>87.2</v>
      </c>
    </row>
    <row r="1125">
      <c r="A1125" t="inlineStr">
        <is>
          <t>CB</t>
        </is>
      </c>
      <c r="B1125" s="6" t="n">
        <v>90.40000000000001</v>
      </c>
    </row>
    <row r="1126">
      <c r="A1126" t="inlineStr">
        <is>
          <t>CB</t>
        </is>
      </c>
      <c r="B1126" s="6" t="n">
        <v>58.1</v>
      </c>
    </row>
    <row r="1127">
      <c r="A1127" t="inlineStr">
        <is>
          <t>CB</t>
        </is>
      </c>
      <c r="B1127" s="6" t="n">
        <v>63.2</v>
      </c>
    </row>
    <row r="1128">
      <c r="A1128" t="inlineStr">
        <is>
          <t>CB</t>
        </is>
      </c>
      <c r="B1128" s="6" t="n">
        <v>65.5</v>
      </c>
    </row>
    <row r="1129">
      <c r="A1129" t="inlineStr">
        <is>
          <t>CB</t>
        </is>
      </c>
      <c r="B1129" s="6" t="n">
        <v>81.7</v>
      </c>
    </row>
    <row r="1130">
      <c r="A1130" t="inlineStr">
        <is>
          <t>CB</t>
        </is>
      </c>
      <c r="B1130" s="6" t="n">
        <v>89.8</v>
      </c>
    </row>
    <row r="1131">
      <c r="A1131" t="inlineStr">
        <is>
          <t>CB</t>
        </is>
      </c>
      <c r="B1131" s="6" t="n">
        <v>51</v>
      </c>
    </row>
    <row r="1132">
      <c r="A1132" t="inlineStr">
        <is>
          <t>CB</t>
        </is>
      </c>
      <c r="B1132" s="6" t="n">
        <v>76.3</v>
      </c>
    </row>
    <row r="1133">
      <c r="A1133" t="inlineStr">
        <is>
          <t>CB</t>
        </is>
      </c>
      <c r="B1133" s="6" t="n">
        <v>76.8</v>
      </c>
    </row>
    <row r="1134">
      <c r="A1134" t="inlineStr">
        <is>
          <t>CB</t>
        </is>
      </c>
      <c r="B1134" s="6" t="n">
        <v>116.5</v>
      </c>
    </row>
    <row r="1135">
      <c r="A1135" t="inlineStr">
        <is>
          <t>CB</t>
        </is>
      </c>
      <c r="B1135" s="6" t="n">
        <v>56.2</v>
      </c>
    </row>
    <row r="1136">
      <c r="A1136" t="inlineStr">
        <is>
          <t>CB</t>
        </is>
      </c>
      <c r="B1136" s="6" t="n">
        <v>28.1</v>
      </c>
    </row>
    <row r="1137">
      <c r="A1137" t="inlineStr">
        <is>
          <t>ESP</t>
        </is>
      </c>
      <c r="B1137" s="6" t="n">
        <v>28.1</v>
      </c>
    </row>
    <row r="1138">
      <c r="A1138" t="inlineStr">
        <is>
          <t>CB</t>
        </is>
      </c>
      <c r="B1138" s="6" t="n">
        <v>42.3</v>
      </c>
    </row>
    <row r="1139">
      <c r="A1139" t="inlineStr">
        <is>
          <t>CB</t>
        </is>
      </c>
      <c r="B1139" s="6" t="n">
        <v>88.90000000000001</v>
      </c>
    </row>
    <row r="1140">
      <c r="A1140" t="inlineStr">
        <is>
          <t>CB</t>
        </is>
      </c>
      <c r="B1140" s="6" t="n">
        <v>113.9</v>
      </c>
    </row>
    <row r="1141">
      <c r="A1141" t="inlineStr">
        <is>
          <t>CB</t>
        </is>
      </c>
      <c r="B1141" s="6" t="n">
        <v>71.09999999999999</v>
      </c>
    </row>
    <row r="1142">
      <c r="A1142" t="inlineStr">
        <is>
          <t>CB</t>
        </is>
      </c>
      <c r="B1142" s="6" t="n">
        <v>39.8</v>
      </c>
    </row>
    <row r="1143">
      <c r="A1143" t="inlineStr">
        <is>
          <t>CB</t>
        </is>
      </c>
      <c r="B1143" s="6" t="n">
        <v>10.4</v>
      </c>
    </row>
    <row r="1144">
      <c r="A1144" t="inlineStr">
        <is>
          <t>CB</t>
        </is>
      </c>
      <c r="B1144" s="6" t="n">
        <v>42.3</v>
      </c>
    </row>
    <row r="1145">
      <c r="A1145" t="inlineStr">
        <is>
          <t>CB</t>
        </is>
      </c>
      <c r="B1145" s="6" t="n">
        <v>65.7</v>
      </c>
    </row>
    <row r="1146">
      <c r="A1146" t="inlineStr">
        <is>
          <t>CB</t>
        </is>
      </c>
      <c r="B1146" s="6" t="n">
        <v>88.59999999999999</v>
      </c>
    </row>
    <row r="1147">
      <c r="A1147" t="inlineStr">
        <is>
          <t>CHV</t>
        </is>
      </c>
      <c r="B1147" s="6" t="n">
        <v>60</v>
      </c>
    </row>
    <row r="1148">
      <c r="A1148" t="inlineStr">
        <is>
          <t>CB</t>
        </is>
      </c>
      <c r="B1148" s="6" t="n">
        <v>21.5</v>
      </c>
    </row>
    <row r="1149">
      <c r="A1149" t="inlineStr">
        <is>
          <t>CHQ</t>
        </is>
      </c>
      <c r="B1149" s="6" t="n">
        <v>76.5</v>
      </c>
    </row>
    <row r="1150">
      <c r="A1150" t="inlineStr">
        <is>
          <t>CB</t>
        </is>
      </c>
      <c r="B1150" s="6" t="n">
        <v>181.2</v>
      </c>
    </row>
    <row r="1151">
      <c r="A1151" t="inlineStr">
        <is>
          <t>CB</t>
        </is>
      </c>
      <c r="B1151" s="6" t="n">
        <v>116.5</v>
      </c>
    </row>
    <row r="1152">
      <c r="A1152" t="inlineStr">
        <is>
          <t>CB</t>
        </is>
      </c>
      <c r="B1152" s="6" t="n">
        <v>175</v>
      </c>
    </row>
    <row r="1153">
      <c r="A1153" t="inlineStr">
        <is>
          <t>CB</t>
        </is>
      </c>
      <c r="B1153" s="6" t="n">
        <v>87.59999999999999</v>
      </c>
    </row>
    <row r="1154">
      <c r="A1154" t="inlineStr">
        <is>
          <t>CB</t>
        </is>
      </c>
      <c r="B1154" s="6" t="n">
        <v>45.5</v>
      </c>
    </row>
    <row r="1155">
      <c r="A1155" t="inlineStr">
        <is>
          <t>CB</t>
        </is>
      </c>
      <c r="B1155" s="6" t="n">
        <v>46</v>
      </c>
    </row>
    <row r="1156">
      <c r="A1156" t="inlineStr">
        <is>
          <t>CB</t>
        </is>
      </c>
      <c r="B1156" s="6" t="n">
        <v>89.5</v>
      </c>
    </row>
    <row r="1157">
      <c r="A1157" t="inlineStr">
        <is>
          <t>CB</t>
        </is>
      </c>
      <c r="B1157" s="6" t="n">
        <v>111.9</v>
      </c>
    </row>
    <row r="1158">
      <c r="A1158" t="inlineStr">
        <is>
          <t>CB</t>
        </is>
      </c>
      <c r="B1158" s="6" t="n">
        <v>23.3</v>
      </c>
    </row>
    <row r="1159">
      <c r="A1159" t="inlineStr">
        <is>
          <t>CHV</t>
        </is>
      </c>
      <c r="B1159" s="6" t="n">
        <v>140</v>
      </c>
    </row>
    <row r="1160">
      <c r="A1160" t="inlineStr">
        <is>
          <t>ESP</t>
        </is>
      </c>
      <c r="B1160" s="6" t="n">
        <v>12.5</v>
      </c>
    </row>
    <row r="1161">
      <c r="A1161" t="inlineStr">
        <is>
          <t>CB</t>
        </is>
      </c>
      <c r="B1161" s="6" t="n">
        <v>101.4</v>
      </c>
    </row>
    <row r="1162">
      <c r="A1162" t="inlineStr">
        <is>
          <t>CB</t>
        </is>
      </c>
      <c r="B1162" s="6" t="n">
        <v>79.3</v>
      </c>
    </row>
    <row r="1163">
      <c r="A1163" t="inlineStr">
        <is>
          <t>CB</t>
        </is>
      </c>
      <c r="B1163" s="6" t="n">
        <v>65.15000000000001</v>
      </c>
    </row>
    <row r="1164">
      <c r="A1164" t="inlineStr">
        <is>
          <t>CB</t>
        </is>
      </c>
      <c r="B1164" s="6" t="n">
        <v>71.90000000000001</v>
      </c>
    </row>
    <row r="1165">
      <c r="A1165" t="inlineStr">
        <is>
          <t>CB</t>
        </is>
      </c>
      <c r="B1165" s="6" t="n">
        <v>85.5</v>
      </c>
    </row>
    <row r="1166">
      <c r="A1166" t="inlineStr">
        <is>
          <t>CB</t>
        </is>
      </c>
      <c r="B1166" s="6" t="n">
        <v>76.59999999999999</v>
      </c>
    </row>
    <row r="1167">
      <c r="A1167" t="inlineStr">
        <is>
          <t>CB</t>
        </is>
      </c>
      <c r="B1167" s="6" t="n">
        <v>60</v>
      </c>
    </row>
    <row r="1168">
      <c r="A1168" t="inlineStr">
        <is>
          <t>CB</t>
        </is>
      </c>
      <c r="B1168" s="6" t="n">
        <v>51.8</v>
      </c>
    </row>
    <row r="1169">
      <c r="A1169" t="inlineStr">
        <is>
          <t>CB</t>
        </is>
      </c>
      <c r="B1169" s="6" t="n">
        <v>79.5</v>
      </c>
    </row>
    <row r="1170">
      <c r="A1170" t="inlineStr">
        <is>
          <t>CB</t>
        </is>
      </c>
      <c r="B1170" s="6" t="n">
        <v>15.9</v>
      </c>
    </row>
    <row r="1171">
      <c r="A1171" t="inlineStr">
        <is>
          <t>CB</t>
        </is>
      </c>
      <c r="B1171" s="6" t="n">
        <v>57</v>
      </c>
    </row>
    <row r="1172">
      <c r="A1172" t="inlineStr">
        <is>
          <t>CB</t>
        </is>
      </c>
      <c r="B1172" s="6" t="n">
        <v>84.2</v>
      </c>
    </row>
    <row r="1173">
      <c r="A1173" t="inlineStr">
        <is>
          <t>CB</t>
        </is>
      </c>
      <c r="B1173" s="6" t="n">
        <v>97.09999999999999</v>
      </c>
    </row>
    <row r="1174">
      <c r="A1174" t="inlineStr">
        <is>
          <t>CB</t>
        </is>
      </c>
      <c r="B1174" s="6" t="n">
        <v>126</v>
      </c>
    </row>
    <row r="1175">
      <c r="A1175" t="inlineStr">
        <is>
          <t>CB</t>
        </is>
      </c>
      <c r="B1175" s="6" t="n">
        <v>73.7</v>
      </c>
    </row>
    <row r="1176">
      <c r="A1176" t="inlineStr">
        <is>
          <t>CB</t>
        </is>
      </c>
      <c r="B1176" s="6" t="n">
        <v>118.9</v>
      </c>
    </row>
    <row r="1177">
      <c r="A1177" t="inlineStr">
        <is>
          <t>CB</t>
        </is>
      </c>
      <c r="B1177" s="6" t="n">
        <v>32.25</v>
      </c>
    </row>
    <row r="1178">
      <c r="A1178" t="inlineStr">
        <is>
          <t>CB</t>
        </is>
      </c>
      <c r="B1178" s="6" t="n">
        <v>37.9</v>
      </c>
    </row>
    <row r="1179">
      <c r="A1179" t="inlineStr">
        <is>
          <t>CB</t>
        </is>
      </c>
      <c r="B1179" s="6" t="n">
        <v>65.15000000000001</v>
      </c>
    </row>
    <row r="1180">
      <c r="A1180" t="inlineStr">
        <is>
          <t>CB</t>
        </is>
      </c>
      <c r="B1180" s="6" t="n">
        <v>44.6</v>
      </c>
    </row>
    <row r="1181">
      <c r="A1181" t="inlineStr">
        <is>
          <t>CB</t>
        </is>
      </c>
      <c r="B1181" s="6" t="n">
        <v>32.25</v>
      </c>
    </row>
    <row r="1182">
      <c r="A1182" t="inlineStr">
        <is>
          <t>CB</t>
        </is>
      </c>
      <c r="B1182" s="6" t="n">
        <v>109.1</v>
      </c>
    </row>
    <row r="1183">
      <c r="A1183" t="inlineStr">
        <is>
          <t>CB</t>
        </is>
      </c>
      <c r="B1183" s="6" t="n">
        <v>35.9</v>
      </c>
    </row>
    <row r="1184">
      <c r="A1184" t="inlineStr">
        <is>
          <t>CB</t>
        </is>
      </c>
      <c r="B1184" s="6" t="n">
        <v>84.16</v>
      </c>
    </row>
    <row r="1185">
      <c r="A1185" t="inlineStr">
        <is>
          <t>CB</t>
        </is>
      </c>
      <c r="B1185" s="6" t="n">
        <v>84.16</v>
      </c>
    </row>
    <row r="1186">
      <c r="A1186" t="inlineStr">
        <is>
          <t>CB</t>
        </is>
      </c>
      <c r="B1186" s="6" t="n">
        <v>84.18000000000001</v>
      </c>
    </row>
    <row r="1187">
      <c r="A1187" t="inlineStr">
        <is>
          <t>TR</t>
        </is>
      </c>
      <c r="B1187" s="6" t="n">
        <v>20</v>
      </c>
    </row>
    <row r="1188">
      <c r="A1188" t="inlineStr">
        <is>
          <t>TR</t>
        </is>
      </c>
      <c r="B1188" s="6" t="n">
        <v>38</v>
      </c>
    </row>
    <row r="1189">
      <c r="A1189" t="inlineStr">
        <is>
          <t>ESP</t>
        </is>
      </c>
      <c r="B1189" s="6" t="n">
        <v>3.8</v>
      </c>
    </row>
    <row r="1190">
      <c r="A1190" t="inlineStr">
        <is>
          <t>TR</t>
        </is>
      </c>
      <c r="B1190" s="6" t="n">
        <v>38</v>
      </c>
    </row>
    <row r="1191">
      <c r="A1191" t="inlineStr">
        <is>
          <t>TR</t>
        </is>
      </c>
      <c r="B1191" s="6" t="n">
        <v>35.8</v>
      </c>
    </row>
    <row r="1192">
      <c r="A1192" t="inlineStr">
        <is>
          <t>CB</t>
        </is>
      </c>
      <c r="B1192" s="6" t="n">
        <v>26.2</v>
      </c>
    </row>
    <row r="1193">
      <c r="A1193" t="inlineStr">
        <is>
          <t>CB</t>
        </is>
      </c>
      <c r="B1193" s="6" t="n">
        <v>73.7</v>
      </c>
    </row>
    <row r="1194">
      <c r="A1194" t="inlineStr">
        <is>
          <t>CB</t>
        </is>
      </c>
      <c r="B1194" s="6" t="n">
        <v>38.85</v>
      </c>
    </row>
    <row r="1195">
      <c r="A1195" t="inlineStr">
        <is>
          <t>CB</t>
        </is>
      </c>
      <c r="B1195" s="6" t="n">
        <v>66.09999999999999</v>
      </c>
    </row>
    <row r="1196">
      <c r="A1196" t="inlineStr">
        <is>
          <t>CB</t>
        </is>
      </c>
      <c r="B1196" s="6" t="n">
        <v>47.1</v>
      </c>
    </row>
    <row r="1197">
      <c r="A1197" t="inlineStr">
        <is>
          <t>CB</t>
        </is>
      </c>
      <c r="B1197" s="6" t="n">
        <v>38.85</v>
      </c>
    </row>
    <row r="1198">
      <c r="A1198" t="inlineStr">
        <is>
          <t>CB</t>
        </is>
      </c>
      <c r="B1198" s="6" t="n">
        <v>53.1</v>
      </c>
    </row>
    <row r="1199">
      <c r="A1199" t="inlineStr">
        <is>
          <t>CB</t>
        </is>
      </c>
      <c r="B1199" s="6" t="n">
        <v>208</v>
      </c>
    </row>
    <row r="1200">
      <c r="A1200" t="inlineStr">
        <is>
          <t>CB</t>
        </is>
      </c>
      <c r="B1200" s="6" t="n">
        <v>66.09999999999999</v>
      </c>
    </row>
    <row r="1201">
      <c r="A1201" t="inlineStr">
        <is>
          <t>CB</t>
        </is>
      </c>
      <c r="B1201" s="6" t="n">
        <v>120.1</v>
      </c>
    </row>
    <row r="1202">
      <c r="A1202" t="inlineStr">
        <is>
          <t>TR</t>
        </is>
      </c>
      <c r="B1202" s="6" t="n">
        <v>76</v>
      </c>
    </row>
    <row r="1203">
      <c r="A1203" t="inlineStr">
        <is>
          <t>CB</t>
        </is>
      </c>
      <c r="B1203" s="6" t="n">
        <v>75.3</v>
      </c>
    </row>
    <row r="1204">
      <c r="A1204" t="inlineStr">
        <is>
          <t>CB</t>
        </is>
      </c>
      <c r="B1204" s="6" t="n">
        <v>221.8</v>
      </c>
    </row>
    <row r="1205">
      <c r="A1205" t="inlineStr">
        <is>
          <t>CB</t>
        </is>
      </c>
      <c r="B1205" s="6" t="n">
        <v>71.8</v>
      </c>
    </row>
    <row r="1206">
      <c r="A1206" t="inlineStr">
        <is>
          <t>CB</t>
        </is>
      </c>
      <c r="B1206" s="6" t="n">
        <v>46.3</v>
      </c>
    </row>
    <row r="1207">
      <c r="A1207" t="inlineStr">
        <is>
          <t>CHV</t>
        </is>
      </c>
      <c r="B1207" s="6" t="n">
        <v>40</v>
      </c>
    </row>
    <row r="1208">
      <c r="A1208" t="inlineStr">
        <is>
          <t>CB</t>
        </is>
      </c>
      <c r="B1208" s="6" t="n">
        <v>57.4</v>
      </c>
    </row>
    <row r="1209">
      <c r="A1209" t="inlineStr">
        <is>
          <t>CB</t>
        </is>
      </c>
      <c r="B1209" s="6" t="n">
        <v>79.09999999999999</v>
      </c>
    </row>
    <row r="1210">
      <c r="A1210" t="inlineStr">
        <is>
          <t>CB</t>
        </is>
      </c>
      <c r="B1210" s="6" t="n">
        <v>80.5</v>
      </c>
    </row>
    <row r="1211">
      <c r="A1211" t="inlineStr">
        <is>
          <t>CB</t>
        </is>
      </c>
      <c r="B1211" s="6" t="n">
        <v>45.53</v>
      </c>
    </row>
    <row r="1212">
      <c r="A1212" t="inlineStr">
        <is>
          <t>CB</t>
        </is>
      </c>
      <c r="B1212" s="6" t="n">
        <v>45.53</v>
      </c>
    </row>
    <row r="1213">
      <c r="A1213" t="inlineStr">
        <is>
          <t>CB</t>
        </is>
      </c>
      <c r="B1213" s="6" t="n">
        <v>45.53</v>
      </c>
    </row>
    <row r="1214">
      <c r="A1214" t="inlineStr">
        <is>
          <t>CB</t>
        </is>
      </c>
      <c r="B1214" s="6" t="n">
        <v>45.51</v>
      </c>
    </row>
    <row r="1215">
      <c r="A1215" t="inlineStr">
        <is>
          <t>CB</t>
        </is>
      </c>
      <c r="B1215" s="6" t="n">
        <v>34.4</v>
      </c>
    </row>
    <row r="1216">
      <c r="A1216" t="inlineStr">
        <is>
          <t>CHQ</t>
        </is>
      </c>
      <c r="B1216" s="6" t="n">
        <v>46</v>
      </c>
    </row>
    <row r="1217">
      <c r="A1217" t="inlineStr">
        <is>
          <t>CB</t>
        </is>
      </c>
      <c r="B1217" s="6" t="n">
        <v>29.2</v>
      </c>
    </row>
    <row r="1218">
      <c r="A1218" t="inlineStr">
        <is>
          <t>CB</t>
        </is>
      </c>
      <c r="B1218" s="6" t="n">
        <v>77.90000000000001</v>
      </c>
    </row>
    <row r="1219">
      <c r="A1219" t="inlineStr">
        <is>
          <t>CB</t>
        </is>
      </c>
      <c r="B1219" s="6" t="n">
        <v>129.4</v>
      </c>
    </row>
    <row r="1220">
      <c r="A1220" t="inlineStr">
        <is>
          <t>CB</t>
        </is>
      </c>
      <c r="B1220" s="6" t="n">
        <v>87.59999999999999</v>
      </c>
    </row>
    <row r="1221">
      <c r="A1221" t="inlineStr">
        <is>
          <t>CB</t>
        </is>
      </c>
      <c r="B1221" s="6" t="n">
        <v>31.8</v>
      </c>
    </row>
    <row r="1222">
      <c r="A1222" t="inlineStr">
        <is>
          <t>CB</t>
        </is>
      </c>
      <c r="B1222" s="6" t="n">
        <v>18.2</v>
      </c>
    </row>
    <row r="1223">
      <c r="A1223" t="inlineStr">
        <is>
          <t>CB</t>
        </is>
      </c>
      <c r="B1223" s="6" t="n">
        <v>54</v>
      </c>
    </row>
    <row r="1224">
      <c r="A1224" t="inlineStr">
        <is>
          <t>CB</t>
        </is>
      </c>
      <c r="B1224" s="6" t="n">
        <v>46.8</v>
      </c>
    </row>
    <row r="1225">
      <c r="A1225" t="inlineStr">
        <is>
          <t>CHV</t>
        </is>
      </c>
      <c r="B1225" s="6" t="n">
        <v>49.4</v>
      </c>
    </row>
    <row r="1226">
      <c r="A1226" t="inlineStr">
        <is>
          <t>CB</t>
        </is>
      </c>
      <c r="B1226" s="6" t="n">
        <v>81.90000000000001</v>
      </c>
    </row>
    <row r="1227">
      <c r="A1227" t="inlineStr">
        <is>
          <t>CB</t>
        </is>
      </c>
      <c r="B1227" s="6" t="n">
        <v>81.59999999999999</v>
      </c>
    </row>
    <row r="1228">
      <c r="A1228" t="inlineStr">
        <is>
          <t>CB</t>
        </is>
      </c>
      <c r="B1228" s="6" t="n">
        <v>100</v>
      </c>
    </row>
    <row r="1229">
      <c r="A1229" t="inlineStr">
        <is>
          <t>CB</t>
        </is>
      </c>
      <c r="B1229" s="6" t="n">
        <v>64.16</v>
      </c>
    </row>
    <row r="1230">
      <c r="A1230" t="inlineStr">
        <is>
          <t>CB</t>
        </is>
      </c>
      <c r="B1230" s="6" t="n">
        <v>64.16</v>
      </c>
    </row>
    <row r="1231">
      <c r="A1231" t="inlineStr">
        <is>
          <t>CB</t>
        </is>
      </c>
      <c r="B1231" s="6" t="n">
        <v>64.18000000000001</v>
      </c>
    </row>
    <row r="1232">
      <c r="A1232" t="inlineStr">
        <is>
          <t>CHV</t>
        </is>
      </c>
      <c r="B1232" s="6" t="n">
        <v>80</v>
      </c>
    </row>
    <row r="1233">
      <c r="A1233" t="inlineStr">
        <is>
          <t>CHV</t>
        </is>
      </c>
      <c r="B1233" s="6" t="n">
        <v>6.5</v>
      </c>
    </row>
    <row r="1234">
      <c r="A1234" t="inlineStr">
        <is>
          <t>CB</t>
        </is>
      </c>
      <c r="B1234" s="6" t="n">
        <v>29.8</v>
      </c>
    </row>
    <row r="1235">
      <c r="A1235" t="inlineStr">
        <is>
          <t>CB</t>
        </is>
      </c>
      <c r="B1235" s="6" t="n">
        <v>29.8</v>
      </c>
    </row>
    <row r="1236">
      <c r="A1236" t="inlineStr">
        <is>
          <t>CB</t>
        </is>
      </c>
      <c r="B1236" s="6" t="n">
        <v>29.8</v>
      </c>
    </row>
    <row r="1237">
      <c r="A1237" t="inlineStr">
        <is>
          <t>CB</t>
        </is>
      </c>
      <c r="B1237" s="6" t="n">
        <v>29.8</v>
      </c>
    </row>
    <row r="1238">
      <c r="A1238" t="inlineStr">
        <is>
          <t>CB</t>
        </is>
      </c>
      <c r="B1238" s="6" t="n">
        <v>124.2</v>
      </c>
    </row>
    <row r="1239">
      <c r="A1239" t="inlineStr">
        <is>
          <t>CB</t>
        </is>
      </c>
      <c r="B1239" s="6" t="n">
        <v>106.1</v>
      </c>
    </row>
    <row r="1240">
      <c r="A1240" t="inlineStr">
        <is>
          <t>CB</t>
        </is>
      </c>
      <c r="B1240" s="6" t="n">
        <v>89.7</v>
      </c>
    </row>
    <row r="1241">
      <c r="A1241" t="inlineStr">
        <is>
          <t>CB</t>
        </is>
      </c>
      <c r="B1241" s="6" t="n">
        <v>18.2</v>
      </c>
    </row>
    <row r="1242">
      <c r="A1242" t="inlineStr">
        <is>
          <t>CB</t>
        </is>
      </c>
      <c r="B1242" s="6" t="n">
        <v>43.7</v>
      </c>
    </row>
    <row r="1243">
      <c r="A1243" t="inlineStr">
        <is>
          <t>CB</t>
        </is>
      </c>
      <c r="B1243" s="6" t="n">
        <v>120</v>
      </c>
    </row>
    <row r="1244">
      <c r="A1244" t="inlineStr">
        <is>
          <t>CB</t>
        </is>
      </c>
      <c r="B1244" s="6" t="n">
        <v>18.6</v>
      </c>
    </row>
    <row r="1245">
      <c r="A1245" t="inlineStr">
        <is>
          <t>CB</t>
        </is>
      </c>
      <c r="B1245" s="6" t="n">
        <v>22.9</v>
      </c>
    </row>
    <row r="1246">
      <c r="A1246" t="inlineStr">
        <is>
          <t>CB</t>
        </is>
      </c>
      <c r="B1246" s="6" t="n">
        <v>72.59999999999999</v>
      </c>
    </row>
    <row r="1247">
      <c r="A1247" t="inlineStr">
        <is>
          <t>CHV</t>
        </is>
      </c>
      <c r="B1247" s="6" t="n">
        <v>40</v>
      </c>
    </row>
    <row r="1248">
      <c r="A1248" t="inlineStr">
        <is>
          <t>ESP</t>
        </is>
      </c>
      <c r="B1248" s="6" t="n">
        <v>5.5</v>
      </c>
    </row>
    <row r="1249">
      <c r="A1249" t="inlineStr">
        <is>
          <t>ESP</t>
        </is>
      </c>
      <c r="B1249" s="6" t="n">
        <v>84.40000000000001</v>
      </c>
    </row>
    <row r="1250">
      <c r="A1250" t="inlineStr">
        <is>
          <t>CB</t>
        </is>
      </c>
      <c r="B1250" s="6" t="n">
        <v>50</v>
      </c>
    </row>
    <row r="1251">
      <c r="A1251" t="inlineStr">
        <is>
          <t>CB</t>
        </is>
      </c>
      <c r="B1251" s="6" t="n">
        <v>137</v>
      </c>
    </row>
    <row r="1252">
      <c r="A1252" t="inlineStr">
        <is>
          <t>CB</t>
        </is>
      </c>
      <c r="B1252" s="6" t="n">
        <v>126.6</v>
      </c>
    </row>
    <row r="1253">
      <c r="A1253" t="inlineStr">
        <is>
          <t>CB</t>
        </is>
      </c>
      <c r="B1253" s="6" t="n">
        <v>71.3</v>
      </c>
    </row>
    <row r="1254">
      <c r="A1254" t="inlineStr">
        <is>
          <t>CB</t>
        </is>
      </c>
      <c r="B1254" s="6" t="n">
        <v>134.7</v>
      </c>
    </row>
    <row r="1255">
      <c r="A1255" t="inlineStr">
        <is>
          <t>CHV</t>
        </is>
      </c>
      <c r="B1255" s="6" t="n">
        <v>48.9</v>
      </c>
    </row>
    <row r="1256">
      <c r="A1256" t="inlineStr">
        <is>
          <t>CB</t>
        </is>
      </c>
      <c r="B1256" s="6" t="n">
        <v>63.7</v>
      </c>
    </row>
    <row r="1257">
      <c r="A1257" t="inlineStr">
        <is>
          <t>CB</t>
        </is>
      </c>
      <c r="B1257" s="6" t="n">
        <v>64</v>
      </c>
    </row>
    <row r="1258">
      <c r="A1258" t="inlineStr">
        <is>
          <t>CB</t>
        </is>
      </c>
      <c r="B1258" s="6" t="n">
        <v>237.3</v>
      </c>
    </row>
    <row r="1259">
      <c r="A1259" t="inlineStr">
        <is>
          <t>CB</t>
        </is>
      </c>
      <c r="B1259" s="6" t="n">
        <v>72.3</v>
      </c>
    </row>
    <row r="1260">
      <c r="A1260" t="inlineStr">
        <is>
          <t>CB</t>
        </is>
      </c>
      <c r="B1260" s="6" t="n">
        <v>58.5</v>
      </c>
    </row>
    <row r="1261">
      <c r="A1261" t="inlineStr">
        <is>
          <t>CB</t>
        </is>
      </c>
      <c r="B1261" s="6" t="n">
        <v>43.35</v>
      </c>
    </row>
    <row r="1262">
      <c r="A1262" t="inlineStr">
        <is>
          <t>CHV</t>
        </is>
      </c>
      <c r="B1262" s="6" t="n">
        <v>30</v>
      </c>
    </row>
    <row r="1263">
      <c r="A1263" t="inlineStr">
        <is>
          <t>ESP</t>
        </is>
      </c>
      <c r="B1263" s="6" t="n">
        <v>52.8</v>
      </c>
    </row>
    <row r="1264">
      <c r="A1264" t="inlineStr">
        <is>
          <t>CB</t>
        </is>
      </c>
      <c r="B1264" s="6" t="n">
        <v>56.6</v>
      </c>
    </row>
    <row r="1265">
      <c r="A1265" t="inlineStr">
        <is>
          <t>CB</t>
        </is>
      </c>
      <c r="B1265" s="6" t="n">
        <v>25.6</v>
      </c>
    </row>
    <row r="1266">
      <c r="A1266" t="inlineStr">
        <is>
          <t>CB</t>
        </is>
      </c>
      <c r="B1266" s="6" t="n">
        <v>26.4</v>
      </c>
    </row>
    <row r="1267">
      <c r="A1267" t="inlineStr">
        <is>
          <t>CB</t>
        </is>
      </c>
      <c r="B1267" s="6" t="n">
        <v>43.35</v>
      </c>
    </row>
    <row r="1268">
      <c r="A1268" t="inlineStr">
        <is>
          <t>CB</t>
        </is>
      </c>
      <c r="B1268" s="6" t="n">
        <v>63.7</v>
      </c>
    </row>
    <row r="1269">
      <c r="A1269" t="inlineStr">
        <is>
          <t>CB</t>
        </is>
      </c>
      <c r="B1269" s="6" t="n">
        <v>70</v>
      </c>
    </row>
    <row r="1270">
      <c r="A1270" t="inlineStr">
        <is>
          <t>CB</t>
        </is>
      </c>
      <c r="B1270" s="6" t="n">
        <v>39.5</v>
      </c>
    </row>
    <row r="1271">
      <c r="A1271" t="inlineStr">
        <is>
          <t>CB</t>
        </is>
      </c>
      <c r="B1271" s="6" t="n">
        <v>46.5</v>
      </c>
    </row>
    <row r="1272">
      <c r="A1272" t="inlineStr">
        <is>
          <t>CB</t>
        </is>
      </c>
      <c r="B1272" s="6" t="n">
        <v>93</v>
      </c>
    </row>
    <row r="1273">
      <c r="A1273" t="inlineStr">
        <is>
          <t>CB</t>
        </is>
      </c>
      <c r="B1273" s="6" t="n">
        <v>92.8</v>
      </c>
    </row>
    <row r="1274">
      <c r="A1274" t="inlineStr">
        <is>
          <t>CB</t>
        </is>
      </c>
      <c r="B1274" s="6" t="n">
        <v>78.7</v>
      </c>
    </row>
    <row r="1275">
      <c r="A1275" t="inlineStr">
        <is>
          <t>CB</t>
        </is>
      </c>
      <c r="B1275" s="6" t="n">
        <v>45.8</v>
      </c>
    </row>
    <row r="1276">
      <c r="A1276" t="inlineStr">
        <is>
          <t>CB</t>
        </is>
      </c>
      <c r="B1276" s="6" t="n">
        <v>90</v>
      </c>
    </row>
    <row r="1277">
      <c r="A1277" t="inlineStr">
        <is>
          <t>CB</t>
        </is>
      </c>
      <c r="B1277" s="6" t="n">
        <v>39.2</v>
      </c>
    </row>
    <row r="1278">
      <c r="A1278" t="inlineStr">
        <is>
          <t>TR</t>
        </is>
      </c>
      <c r="B1278" s="6" t="n">
        <v>34.16</v>
      </c>
    </row>
    <row r="1279">
      <c r="A1279" t="inlineStr">
        <is>
          <t>CB</t>
        </is>
      </c>
      <c r="B1279" s="6" t="n">
        <v>78.04000000000001</v>
      </c>
    </row>
    <row r="1280">
      <c r="A1280" t="inlineStr">
        <is>
          <t>CB</t>
        </is>
      </c>
      <c r="B1280" s="6" t="n">
        <v>145.7</v>
      </c>
    </row>
    <row r="1281">
      <c r="A1281" t="inlineStr">
        <is>
          <t>CB</t>
        </is>
      </c>
      <c r="B1281" s="6" t="n">
        <v>45.3</v>
      </c>
    </row>
    <row r="1282">
      <c r="A1282" t="inlineStr">
        <is>
          <t>CB</t>
        </is>
      </c>
      <c r="B1282" s="6" t="n">
        <v>42.2</v>
      </c>
    </row>
    <row r="1283">
      <c r="A1283" t="inlineStr">
        <is>
          <t>CB</t>
        </is>
      </c>
      <c r="B1283" s="6" t="n">
        <v>102.75</v>
      </c>
    </row>
    <row r="1284">
      <c r="A1284" t="inlineStr">
        <is>
          <t>CB</t>
        </is>
      </c>
      <c r="B1284" s="6" t="n">
        <v>49.6</v>
      </c>
    </row>
    <row r="1285">
      <c r="A1285" t="inlineStr">
        <is>
          <t>CB</t>
        </is>
      </c>
      <c r="B1285" s="6" t="n">
        <v>105</v>
      </c>
    </row>
    <row r="1286">
      <c r="A1286" t="inlineStr">
        <is>
          <t>CHQ</t>
        </is>
      </c>
      <c r="B1286" s="6" t="n">
        <v>38</v>
      </c>
    </row>
    <row r="1287">
      <c r="A1287" t="inlineStr">
        <is>
          <t>CB</t>
        </is>
      </c>
      <c r="B1287" s="6" t="n">
        <v>67.5</v>
      </c>
    </row>
    <row r="1288">
      <c r="A1288" t="inlineStr">
        <is>
          <t>CB</t>
        </is>
      </c>
      <c r="B1288" s="6" t="n">
        <v>48</v>
      </c>
    </row>
    <row r="1289">
      <c r="A1289" t="inlineStr">
        <is>
          <t>CHV</t>
        </is>
      </c>
      <c r="B1289" s="6" t="n">
        <v>60</v>
      </c>
    </row>
    <row r="1290">
      <c r="A1290" t="inlineStr">
        <is>
          <t>CB</t>
        </is>
      </c>
      <c r="B1290" s="6" t="n">
        <v>10.6</v>
      </c>
    </row>
    <row r="1291">
      <c r="A1291" t="inlineStr">
        <is>
          <t>CB</t>
        </is>
      </c>
      <c r="B1291" s="6" t="n">
        <v>86</v>
      </c>
    </row>
    <row r="1292">
      <c r="A1292" t="inlineStr">
        <is>
          <t>CB</t>
        </is>
      </c>
      <c r="B1292" s="6" t="n">
        <v>63.2</v>
      </c>
    </row>
    <row r="1293">
      <c r="A1293" t="inlineStr">
        <is>
          <t>CB</t>
        </is>
      </c>
      <c r="B1293" s="6" t="n">
        <v>89.7</v>
      </c>
    </row>
    <row r="1294">
      <c r="A1294" t="inlineStr">
        <is>
          <t>CB</t>
        </is>
      </c>
      <c r="B1294" s="6" t="n">
        <v>55.8</v>
      </c>
    </row>
    <row r="1295">
      <c r="A1295" t="inlineStr">
        <is>
          <t>CB</t>
        </is>
      </c>
      <c r="B1295" s="6" t="n">
        <v>66.95</v>
      </c>
    </row>
    <row r="1296">
      <c r="A1296" t="inlineStr">
        <is>
          <t>TR</t>
        </is>
      </c>
      <c r="B1296" s="6" t="n">
        <v>25.5</v>
      </c>
    </row>
    <row r="1297">
      <c r="A1297" t="inlineStr">
        <is>
          <t>TR</t>
        </is>
      </c>
      <c r="B1297" s="6" t="n">
        <v>38</v>
      </c>
    </row>
    <row r="1298">
      <c r="A1298" t="inlineStr">
        <is>
          <t>CHQ</t>
        </is>
      </c>
      <c r="B1298" s="6" t="n">
        <v>253.5</v>
      </c>
    </row>
    <row r="1299">
      <c r="A1299" t="inlineStr">
        <is>
          <t>CB</t>
        </is>
      </c>
      <c r="B1299" s="6" t="n">
        <v>69.3</v>
      </c>
    </row>
    <row r="1300">
      <c r="A1300" t="inlineStr">
        <is>
          <t>CB</t>
        </is>
      </c>
      <c r="B1300" s="6" t="n">
        <v>35.7</v>
      </c>
    </row>
    <row r="1301">
      <c r="A1301" t="inlineStr">
        <is>
          <t>CB</t>
        </is>
      </c>
      <c r="B1301" s="6" t="n">
        <v>66.95</v>
      </c>
    </row>
    <row r="1302">
      <c r="A1302" t="inlineStr">
        <is>
          <t>CB</t>
        </is>
      </c>
      <c r="B1302" s="6" t="n">
        <v>64.90000000000001</v>
      </c>
    </row>
    <row r="1303">
      <c r="A1303" t="inlineStr">
        <is>
          <t>CB</t>
        </is>
      </c>
      <c r="B1303" s="6" t="n">
        <v>98.7</v>
      </c>
    </row>
    <row r="1304">
      <c r="A1304" t="inlineStr">
        <is>
          <t>CB</t>
        </is>
      </c>
      <c r="B1304" s="6" t="n">
        <v>79.90000000000001</v>
      </c>
    </row>
    <row r="1305">
      <c r="A1305" t="inlineStr">
        <is>
          <t>CB</t>
        </is>
      </c>
      <c r="B1305" s="6" t="n">
        <v>82.3</v>
      </c>
    </row>
    <row r="1306">
      <c r="A1306" t="inlineStr">
        <is>
          <t>CB</t>
        </is>
      </c>
      <c r="B1306" s="6" t="n">
        <v>113.7</v>
      </c>
    </row>
    <row r="1307">
      <c r="A1307" t="inlineStr">
        <is>
          <t>CB</t>
        </is>
      </c>
      <c r="B1307" s="6" t="n">
        <v>99.40000000000001</v>
      </c>
    </row>
    <row r="1308">
      <c r="A1308" t="inlineStr">
        <is>
          <t>CB</t>
        </is>
      </c>
      <c r="B1308" s="6" t="n">
        <v>105.2</v>
      </c>
    </row>
    <row r="1309">
      <c r="A1309" t="inlineStr">
        <is>
          <t>TR</t>
        </is>
      </c>
      <c r="B1309" s="6" t="n">
        <v>38</v>
      </c>
    </row>
    <row r="1310">
      <c r="A1310" t="inlineStr">
        <is>
          <t>CB</t>
        </is>
      </c>
      <c r="B1310" s="6" t="n">
        <v>79.2</v>
      </c>
    </row>
    <row r="1311">
      <c r="A1311" t="inlineStr">
        <is>
          <t>CB</t>
        </is>
      </c>
      <c r="B1311" s="6" t="n">
        <v>56</v>
      </c>
    </row>
    <row r="1312">
      <c r="A1312" t="inlineStr">
        <is>
          <t>CB</t>
        </is>
      </c>
      <c r="B1312" s="6" t="n">
        <v>81.8</v>
      </c>
    </row>
    <row r="1313">
      <c r="A1313" t="inlineStr">
        <is>
          <t>CB</t>
        </is>
      </c>
      <c r="B1313" s="6" t="n">
        <v>46.2</v>
      </c>
    </row>
    <row r="1314">
      <c r="A1314" t="inlineStr">
        <is>
          <t>CHV</t>
        </is>
      </c>
      <c r="B1314" s="6" t="n">
        <v>50</v>
      </c>
    </row>
    <row r="1315">
      <c r="A1315" t="inlineStr">
        <is>
          <t>ESP</t>
        </is>
      </c>
      <c r="B1315" s="6" t="n">
        <v>2.7</v>
      </c>
    </row>
    <row r="1316">
      <c r="A1316" t="inlineStr">
        <is>
          <t>CB</t>
        </is>
      </c>
      <c r="B1316" s="6" t="n">
        <v>116.6</v>
      </c>
    </row>
    <row r="1317">
      <c r="A1317" t="inlineStr">
        <is>
          <t>CB</t>
        </is>
      </c>
      <c r="B1317" s="6" t="n">
        <v>59.8</v>
      </c>
    </row>
    <row r="1318">
      <c r="A1318" t="inlineStr">
        <is>
          <t>CB</t>
        </is>
      </c>
      <c r="B1318" s="6" t="n">
        <v>56</v>
      </c>
    </row>
    <row r="1319">
      <c r="A1319" t="inlineStr">
        <is>
          <t>CB</t>
        </is>
      </c>
      <c r="B1319" s="6" t="n">
        <v>57.7</v>
      </c>
    </row>
    <row r="1320">
      <c r="A1320" t="inlineStr">
        <is>
          <t>CB</t>
        </is>
      </c>
      <c r="B1320" s="6" t="n">
        <v>45</v>
      </c>
    </row>
    <row r="1321">
      <c r="A1321" t="inlineStr">
        <is>
          <t>CB</t>
        </is>
      </c>
      <c r="B1321" s="6" t="n">
        <v>64.90000000000001</v>
      </c>
    </row>
    <row r="1322">
      <c r="A1322" t="inlineStr">
        <is>
          <t>CB</t>
        </is>
      </c>
      <c r="B1322" s="6" t="n">
        <v>12.2</v>
      </c>
    </row>
    <row r="1323">
      <c r="A1323" t="inlineStr">
        <is>
          <t>CB</t>
        </is>
      </c>
      <c r="B1323" s="6" t="n">
        <v>25</v>
      </c>
    </row>
    <row r="1324">
      <c r="A1324" t="inlineStr">
        <is>
          <t>TR</t>
        </is>
      </c>
      <c r="B1324" s="6" t="n">
        <v>27.6</v>
      </c>
    </row>
    <row r="1325">
      <c r="A1325" t="inlineStr">
        <is>
          <t>CB</t>
        </is>
      </c>
      <c r="B1325" s="6" t="n">
        <v>38.5</v>
      </c>
    </row>
    <row r="1326">
      <c r="A1326" t="inlineStr">
        <is>
          <t>CB</t>
        </is>
      </c>
      <c r="B1326" s="6" t="n">
        <v>53.4</v>
      </c>
    </row>
    <row r="1327">
      <c r="A1327" t="inlineStr">
        <is>
          <t>TR</t>
        </is>
      </c>
      <c r="B1327" s="6" t="n">
        <v>35.2</v>
      </c>
    </row>
    <row r="1328">
      <c r="A1328" t="inlineStr">
        <is>
          <t>CB</t>
        </is>
      </c>
      <c r="B1328" s="6" t="n">
        <v>11.9</v>
      </c>
    </row>
    <row r="1329">
      <c r="A1329" t="inlineStr">
        <is>
          <t>CB</t>
        </is>
      </c>
      <c r="B1329" s="6" t="n">
        <v>39.6</v>
      </c>
    </row>
    <row r="1330">
      <c r="A1330" t="inlineStr">
        <is>
          <t>CB</t>
        </is>
      </c>
      <c r="B1330" s="6" t="n">
        <v>60.8</v>
      </c>
    </row>
    <row r="1331">
      <c r="A1331" t="inlineStr">
        <is>
          <t>CB</t>
        </is>
      </c>
      <c r="B1331" s="6" t="n">
        <v>57.8</v>
      </c>
    </row>
    <row r="1332">
      <c r="A1332" t="inlineStr">
        <is>
          <t>CB</t>
        </is>
      </c>
      <c r="B1332" s="6" t="n">
        <v>91</v>
      </c>
    </row>
    <row r="1333">
      <c r="A1333" t="inlineStr">
        <is>
          <t>CB</t>
        </is>
      </c>
      <c r="B1333" s="6" t="n">
        <v>25</v>
      </c>
    </row>
    <row r="1334">
      <c r="A1334" t="inlineStr">
        <is>
          <t>TR</t>
        </is>
      </c>
      <c r="B1334" s="6" t="n">
        <v>45</v>
      </c>
    </row>
    <row r="1335">
      <c r="A1335" t="inlineStr">
        <is>
          <t>ESP</t>
        </is>
      </c>
      <c r="B1335" s="6" t="n">
        <v>5</v>
      </c>
    </row>
    <row r="1336">
      <c r="A1336" t="inlineStr">
        <is>
          <t>TR</t>
        </is>
      </c>
      <c r="B1336" s="6" t="n">
        <v>45</v>
      </c>
    </row>
    <row r="1337">
      <c r="A1337" t="inlineStr">
        <is>
          <t>ESP</t>
        </is>
      </c>
      <c r="B1337" s="6" t="n">
        <v>2.6</v>
      </c>
    </row>
    <row r="1338">
      <c r="A1338" t="inlineStr">
        <is>
          <t>CB</t>
        </is>
      </c>
      <c r="B1338" s="6" t="n">
        <v>17.6</v>
      </c>
    </row>
    <row r="1339">
      <c r="A1339" t="inlineStr">
        <is>
          <t>CB</t>
        </is>
      </c>
      <c r="B1339" s="6" t="n">
        <v>295.2</v>
      </c>
    </row>
    <row r="1340">
      <c r="A1340" t="inlineStr">
        <is>
          <t>CB</t>
        </is>
      </c>
      <c r="B1340" s="6" t="n">
        <v>40.9</v>
      </c>
    </row>
    <row r="1341">
      <c r="A1341" t="inlineStr">
        <is>
          <t>CB</t>
        </is>
      </c>
      <c r="B1341" s="6" t="n">
        <v>42.8</v>
      </c>
    </row>
    <row r="1342">
      <c r="A1342" t="inlineStr">
        <is>
          <t>CB</t>
        </is>
      </c>
      <c r="B1342" s="6" t="n">
        <v>35</v>
      </c>
    </row>
    <row r="1343">
      <c r="A1343" t="inlineStr">
        <is>
          <t>CB</t>
        </is>
      </c>
      <c r="B1343" s="6" t="n">
        <v>21.5</v>
      </c>
    </row>
    <row r="1344">
      <c r="A1344" t="inlineStr">
        <is>
          <t>CB</t>
        </is>
      </c>
      <c r="B1344" s="6" t="n">
        <v>21.5</v>
      </c>
    </row>
    <row r="1345">
      <c r="A1345" t="inlineStr">
        <is>
          <t>CB</t>
        </is>
      </c>
      <c r="B1345" s="6" t="n">
        <v>54</v>
      </c>
    </row>
    <row r="1346">
      <c r="A1346" t="inlineStr">
        <is>
          <t>CB</t>
        </is>
      </c>
      <c r="B1346" s="6" t="n">
        <v>25</v>
      </c>
    </row>
    <row r="1347">
      <c r="A1347" t="inlineStr">
        <is>
          <t>CB</t>
        </is>
      </c>
      <c r="B1347" s="6" t="n">
        <v>32.6</v>
      </c>
    </row>
    <row r="1348">
      <c r="A1348" t="inlineStr">
        <is>
          <t>CB</t>
        </is>
      </c>
      <c r="B1348" s="6" t="n">
        <v>57.8</v>
      </c>
    </row>
    <row r="1349">
      <c r="A1349" t="inlineStr">
        <is>
          <t>CB</t>
        </is>
      </c>
      <c r="B1349" s="6" t="n">
        <v>53.4</v>
      </c>
    </row>
    <row r="1350">
      <c r="A1350" t="inlineStr">
        <is>
          <t>CB</t>
        </is>
      </c>
      <c r="B1350" s="6" t="n">
        <v>74.2</v>
      </c>
    </row>
    <row r="1351">
      <c r="A1351" t="inlineStr">
        <is>
          <t>TR</t>
        </is>
      </c>
      <c r="B1351" s="6" t="n">
        <v>38</v>
      </c>
    </row>
    <row r="1352">
      <c r="A1352" t="inlineStr">
        <is>
          <t>CB</t>
        </is>
      </c>
      <c r="B1352" s="6" t="n">
        <v>19.9</v>
      </c>
    </row>
    <row r="1353">
      <c r="A1353" t="inlineStr">
        <is>
          <t>CB</t>
        </is>
      </c>
      <c r="B1353" s="6" t="n">
        <v>51.2</v>
      </c>
    </row>
    <row r="1354">
      <c r="A1354" t="inlineStr">
        <is>
          <t>CB</t>
        </is>
      </c>
      <c r="B1354" s="6" t="n">
        <v>29.2</v>
      </c>
    </row>
    <row r="1355">
      <c r="A1355" t="inlineStr">
        <is>
          <t>CHV</t>
        </is>
      </c>
      <c r="B1355" s="6" t="n">
        <v>10</v>
      </c>
    </row>
    <row r="1356">
      <c r="A1356" t="inlineStr">
        <is>
          <t>ESP</t>
        </is>
      </c>
      <c r="B1356" s="6" t="n">
        <v>3</v>
      </c>
    </row>
    <row r="1357">
      <c r="A1357" t="inlineStr">
        <is>
          <t>CB</t>
        </is>
      </c>
      <c r="B1357" s="6" t="n">
        <v>57.9</v>
      </c>
    </row>
    <row r="1358">
      <c r="A1358" t="inlineStr">
        <is>
          <t>CB</t>
        </is>
      </c>
      <c r="B1358" s="6" t="n">
        <v>93.7</v>
      </c>
    </row>
    <row r="1359">
      <c r="A1359" t="inlineStr">
        <is>
          <t>CB</t>
        </is>
      </c>
      <c r="B1359" s="6" t="n">
        <v>97.55</v>
      </c>
    </row>
    <row r="1360">
      <c r="A1360" t="inlineStr">
        <is>
          <t>TR</t>
        </is>
      </c>
      <c r="B1360" s="6" t="n">
        <v>145.1</v>
      </c>
    </row>
    <row r="1361">
      <c r="A1361" t="inlineStr">
        <is>
          <t>CB</t>
        </is>
      </c>
      <c r="B1361" s="6" t="n">
        <v>59.2</v>
      </c>
    </row>
    <row r="1362">
      <c r="A1362" t="inlineStr">
        <is>
          <t>CB</t>
        </is>
      </c>
      <c r="B1362" s="6" t="n">
        <v>65.5</v>
      </c>
    </row>
    <row r="1363">
      <c r="A1363" t="inlineStr">
        <is>
          <t>CB</t>
        </is>
      </c>
      <c r="B1363" s="6" t="n">
        <v>42.7</v>
      </c>
    </row>
    <row r="1364">
      <c r="A1364" t="inlineStr">
        <is>
          <t>CB</t>
        </is>
      </c>
      <c r="B1364" s="6" t="n">
        <v>88.8</v>
      </c>
    </row>
    <row r="1365">
      <c r="A1365" t="inlineStr">
        <is>
          <t>CB</t>
        </is>
      </c>
      <c r="B1365" s="6" t="n">
        <v>70.7</v>
      </c>
    </row>
    <row r="1366">
      <c r="A1366" t="inlineStr">
        <is>
          <t>CB</t>
        </is>
      </c>
      <c r="B1366" s="6" t="n">
        <v>67.5</v>
      </c>
    </row>
    <row r="1367">
      <c r="A1367" t="inlineStr">
        <is>
          <t>CHV</t>
        </is>
      </c>
      <c r="B1367" s="6" t="n">
        <v>90.5</v>
      </c>
    </row>
    <row r="1368">
      <c r="A1368" t="inlineStr">
        <is>
          <t>CB</t>
        </is>
      </c>
      <c r="B1368" s="6" t="n">
        <v>67.90000000000001</v>
      </c>
    </row>
    <row r="1369">
      <c r="A1369" t="inlineStr">
        <is>
          <t>CB</t>
        </is>
      </c>
      <c r="B1369" s="6" t="n">
        <v>51.7</v>
      </c>
    </row>
    <row r="1370">
      <c r="A1370" t="inlineStr">
        <is>
          <t>CB</t>
        </is>
      </c>
      <c r="B1370" s="6" t="n">
        <v>69.2</v>
      </c>
    </row>
    <row r="1371">
      <c r="A1371" t="inlineStr">
        <is>
          <t>ESP</t>
        </is>
      </c>
      <c r="B1371" s="6" t="n">
        <v>30.1</v>
      </c>
    </row>
    <row r="1372">
      <c r="A1372" t="inlineStr">
        <is>
          <t>CB</t>
        </is>
      </c>
      <c r="B1372" s="6" t="n">
        <v>97.55</v>
      </c>
    </row>
    <row r="1373">
      <c r="A1373" t="inlineStr">
        <is>
          <t>CB</t>
        </is>
      </c>
      <c r="B1373" s="6" t="n">
        <v>67.90000000000001</v>
      </c>
    </row>
    <row r="1374">
      <c r="A1374" t="inlineStr">
        <is>
          <t>CB</t>
        </is>
      </c>
      <c r="B1374" s="6" t="n">
        <v>31.07</v>
      </c>
    </row>
    <row r="1375">
      <c r="A1375" t="inlineStr">
        <is>
          <t>CB</t>
        </is>
      </c>
      <c r="B1375" s="6" t="n">
        <v>31.07</v>
      </c>
    </row>
    <row r="1376">
      <c r="A1376" t="inlineStr">
        <is>
          <t>CB</t>
        </is>
      </c>
      <c r="B1376" s="6" t="n">
        <v>31.06</v>
      </c>
    </row>
    <row r="1377">
      <c r="A1377" t="inlineStr">
        <is>
          <t>CB</t>
        </is>
      </c>
      <c r="B1377" s="6" t="n">
        <v>66.40000000000001</v>
      </c>
    </row>
    <row r="1378">
      <c r="A1378" t="inlineStr">
        <is>
          <t>CB</t>
        </is>
      </c>
      <c r="B1378" s="6" t="n">
        <v>43.2</v>
      </c>
    </row>
    <row r="1379">
      <c r="A1379" t="inlineStr">
        <is>
          <t>CB</t>
        </is>
      </c>
      <c r="B1379" s="6" t="n">
        <v>53.2</v>
      </c>
    </row>
    <row r="1380">
      <c r="A1380" t="inlineStr">
        <is>
          <t>CB</t>
        </is>
      </c>
      <c r="B1380" s="6" t="n">
        <v>46.8</v>
      </c>
    </row>
    <row r="1381">
      <c r="A1381" t="inlineStr">
        <is>
          <t>CB</t>
        </is>
      </c>
      <c r="B1381" s="6" t="n">
        <v>128.7</v>
      </c>
    </row>
    <row r="1382">
      <c r="A1382" t="inlineStr">
        <is>
          <t>CB</t>
        </is>
      </c>
      <c r="B1382" s="6" t="n">
        <v>59.6</v>
      </c>
    </row>
    <row r="1383">
      <c r="A1383" t="inlineStr">
        <is>
          <t>CB</t>
        </is>
      </c>
      <c r="B1383" s="6" t="n">
        <v>55.9</v>
      </c>
    </row>
    <row r="1384">
      <c r="A1384" t="inlineStr">
        <is>
          <t>CHV</t>
        </is>
      </c>
      <c r="B1384" s="6" t="n">
        <v>30</v>
      </c>
    </row>
    <row r="1385">
      <c r="A1385" t="inlineStr">
        <is>
          <t>CB</t>
        </is>
      </c>
      <c r="B1385" s="6" t="n">
        <v>48.4</v>
      </c>
    </row>
    <row r="1386">
      <c r="A1386" t="inlineStr">
        <is>
          <t>CB</t>
        </is>
      </c>
      <c r="B1386" s="6" t="n">
        <v>51.3</v>
      </c>
    </row>
    <row r="1387">
      <c r="A1387" t="inlineStr">
        <is>
          <t>CB</t>
        </is>
      </c>
      <c r="B1387" s="6" t="n">
        <v>75.09999999999999</v>
      </c>
    </row>
    <row r="1388">
      <c r="A1388" t="inlineStr">
        <is>
          <t>CB</t>
        </is>
      </c>
      <c r="B1388" s="6" t="n">
        <v>60.9</v>
      </c>
    </row>
    <row r="1389">
      <c r="A1389" t="inlineStr">
        <is>
          <t>CB</t>
        </is>
      </c>
      <c r="B1389" s="6" t="n">
        <v>75.09999999999999</v>
      </c>
    </row>
    <row r="1390">
      <c r="A1390" t="inlineStr">
        <is>
          <t>CB</t>
        </is>
      </c>
      <c r="B1390" s="6" t="n">
        <v>41.5</v>
      </c>
    </row>
    <row r="1391">
      <c r="A1391" t="inlineStr">
        <is>
          <t>CB</t>
        </is>
      </c>
      <c r="B1391" s="6" t="n">
        <v>179.7</v>
      </c>
    </row>
    <row r="1392">
      <c r="A1392" t="inlineStr">
        <is>
          <t>CB</t>
        </is>
      </c>
      <c r="B1392" s="6" t="n">
        <v>29</v>
      </c>
    </row>
    <row r="1393">
      <c r="A1393" t="inlineStr">
        <is>
          <t>CB</t>
        </is>
      </c>
      <c r="B1393" s="6" t="n">
        <v>45.9</v>
      </c>
    </row>
    <row r="1394">
      <c r="A1394" t="inlineStr">
        <is>
          <t>CB</t>
        </is>
      </c>
      <c r="B1394" s="6" t="n">
        <v>67</v>
      </c>
    </row>
    <row r="1395">
      <c r="A1395" t="inlineStr">
        <is>
          <t>CB</t>
        </is>
      </c>
      <c r="B1395" s="6" t="n">
        <v>62</v>
      </c>
    </row>
    <row r="1396">
      <c r="A1396" t="inlineStr">
        <is>
          <t>CB</t>
        </is>
      </c>
      <c r="B1396" s="6" t="n">
        <v>55.7</v>
      </c>
    </row>
    <row r="1397">
      <c r="A1397" t="inlineStr">
        <is>
          <t>CB</t>
        </is>
      </c>
      <c r="B1397" s="6" t="n">
        <v>75.7</v>
      </c>
    </row>
    <row r="1398">
      <c r="A1398" t="inlineStr">
        <is>
          <t>TR</t>
        </is>
      </c>
      <c r="B1398" s="6" t="n">
        <v>47.5</v>
      </c>
    </row>
    <row r="1399">
      <c r="A1399" t="inlineStr">
        <is>
          <t>TR</t>
        </is>
      </c>
      <c r="B1399" s="6" t="n">
        <v>37.5</v>
      </c>
    </row>
    <row r="1400">
      <c r="A1400" t="inlineStr">
        <is>
          <t>CB</t>
        </is>
      </c>
      <c r="B1400" s="6" t="n">
        <v>27.7</v>
      </c>
    </row>
    <row r="1401">
      <c r="A1401" t="inlineStr">
        <is>
          <t>CB</t>
        </is>
      </c>
      <c r="B1401" s="6" t="n">
        <v>58.6</v>
      </c>
    </row>
    <row r="1402">
      <c r="A1402" t="inlineStr">
        <is>
          <t>CB</t>
        </is>
      </c>
      <c r="B1402" s="6" t="n">
        <v>79.40000000000001</v>
      </c>
    </row>
    <row r="1403">
      <c r="A1403" t="inlineStr">
        <is>
          <t>CB</t>
        </is>
      </c>
      <c r="B1403" s="6" t="n">
        <v>61.3</v>
      </c>
    </row>
    <row r="1404">
      <c r="A1404" t="inlineStr">
        <is>
          <t>CB</t>
        </is>
      </c>
      <c r="B1404" s="6" t="n">
        <v>84.7</v>
      </c>
    </row>
    <row r="1405">
      <c r="A1405" t="inlineStr">
        <is>
          <t>CB</t>
        </is>
      </c>
      <c r="B1405" s="6" t="n">
        <v>27.7</v>
      </c>
    </row>
    <row r="1406">
      <c r="A1406" t="inlineStr">
        <is>
          <t>CB</t>
        </is>
      </c>
      <c r="B1406" s="6" t="n">
        <v>67.8</v>
      </c>
    </row>
    <row r="1407">
      <c r="A1407" t="inlineStr">
        <is>
          <t>CB</t>
        </is>
      </c>
      <c r="B1407" s="6" t="n">
        <v>29.8</v>
      </c>
    </row>
    <row r="1408">
      <c r="A1408" t="inlineStr">
        <is>
          <t>CB</t>
        </is>
      </c>
      <c r="B1408" s="6" t="n">
        <v>37.2</v>
      </c>
    </row>
    <row r="1409">
      <c r="A1409" t="inlineStr">
        <is>
          <t>TR</t>
        </is>
      </c>
      <c r="B1409" s="6" t="n">
        <v>18.4</v>
      </c>
    </row>
    <row r="1410">
      <c r="A1410" t="inlineStr">
        <is>
          <t>TR</t>
        </is>
      </c>
      <c r="B1410" s="6" t="n">
        <v>14</v>
      </c>
    </row>
    <row r="1411">
      <c r="A1411" t="inlineStr">
        <is>
          <t>ESP</t>
        </is>
      </c>
      <c r="B1411" s="6" t="n">
        <v>5.6</v>
      </c>
    </row>
    <row r="1412">
      <c r="A1412" t="inlineStr">
        <is>
          <t>CB</t>
        </is>
      </c>
      <c r="B1412" s="6" t="n">
        <v>55.1</v>
      </c>
    </row>
    <row r="1413">
      <c r="A1413" t="inlineStr">
        <is>
          <t>CB</t>
        </is>
      </c>
      <c r="B1413" s="6" t="n">
        <v>24.98</v>
      </c>
    </row>
    <row r="1414">
      <c r="A1414" t="inlineStr">
        <is>
          <t>CB</t>
        </is>
      </c>
      <c r="B1414" s="6" t="n">
        <v>37.98</v>
      </c>
    </row>
    <row r="1415">
      <c r="A1415" t="inlineStr">
        <is>
          <t>CB</t>
        </is>
      </c>
      <c r="B1415" s="6" t="n">
        <v>37.98</v>
      </c>
    </row>
    <row r="1416">
      <c r="A1416" t="inlineStr">
        <is>
          <t>CB</t>
        </is>
      </c>
      <c r="B1416" s="6" t="n">
        <v>19.88</v>
      </c>
    </row>
    <row r="1417">
      <c r="A1417" t="inlineStr">
        <is>
          <t>CB</t>
        </is>
      </c>
      <c r="B1417" s="6" t="n">
        <v>23.58</v>
      </c>
    </row>
    <row r="1418">
      <c r="A1418" t="inlineStr">
        <is>
          <t>CB</t>
        </is>
      </c>
      <c r="B1418" s="6" t="n">
        <v>57.1</v>
      </c>
    </row>
    <row r="1419">
      <c r="A1419" t="inlineStr">
        <is>
          <t>CB</t>
        </is>
      </c>
      <c r="B1419" s="6" t="n">
        <v>31.6</v>
      </c>
    </row>
    <row r="1420">
      <c r="A1420" t="inlineStr">
        <is>
          <t>CB</t>
        </is>
      </c>
      <c r="B1420" s="6" t="n">
        <v>27.7</v>
      </c>
    </row>
    <row r="1421">
      <c r="A1421" t="inlineStr">
        <is>
          <t>CB</t>
        </is>
      </c>
      <c r="B1421" s="6" t="n">
        <v>23.9</v>
      </c>
    </row>
    <row r="1422">
      <c r="A1422" t="inlineStr">
        <is>
          <t>CB</t>
        </is>
      </c>
      <c r="B1422" s="6" t="n">
        <v>29.7</v>
      </c>
    </row>
    <row r="1423">
      <c r="A1423" t="inlineStr">
        <is>
          <t>CB</t>
        </is>
      </c>
      <c r="B1423" s="6" t="n">
        <v>89.90000000000001</v>
      </c>
    </row>
    <row r="1424">
      <c r="A1424" t="inlineStr">
        <is>
          <t>CB</t>
        </is>
      </c>
      <c r="B1424" s="6" t="n">
        <v>19.9</v>
      </c>
    </row>
    <row r="1425">
      <c r="A1425" t="inlineStr">
        <is>
          <t>CB</t>
        </is>
      </c>
      <c r="B1425" s="6" t="n">
        <v>58</v>
      </c>
    </row>
    <row r="1426">
      <c r="A1426" t="inlineStr">
        <is>
          <t>CB</t>
        </is>
      </c>
      <c r="B1426" s="6" t="n">
        <v>164.6</v>
      </c>
    </row>
    <row r="1427">
      <c r="A1427" t="inlineStr">
        <is>
          <t>CB</t>
        </is>
      </c>
      <c r="B1427" s="6" t="n">
        <v>92.3</v>
      </c>
    </row>
    <row r="1428">
      <c r="A1428" t="inlineStr">
        <is>
          <t>CB</t>
        </is>
      </c>
      <c r="B1428" s="6" t="n">
        <v>54.7</v>
      </c>
    </row>
    <row r="1429">
      <c r="A1429" t="inlineStr">
        <is>
          <t>TR</t>
        </is>
      </c>
      <c r="B1429" s="6" t="n">
        <v>34</v>
      </c>
    </row>
    <row r="1430">
      <c r="A1430" t="inlineStr">
        <is>
          <t>CB</t>
        </is>
      </c>
      <c r="B1430" s="6" t="n">
        <v>7.6</v>
      </c>
    </row>
    <row r="1431">
      <c r="A1431" t="inlineStr">
        <is>
          <t>CB</t>
        </is>
      </c>
      <c r="B1431" s="6" t="n">
        <v>146</v>
      </c>
    </row>
    <row r="1432">
      <c r="A1432" t="inlineStr">
        <is>
          <t>CB</t>
        </is>
      </c>
      <c r="B1432" s="6" t="n">
        <v>89.40000000000001</v>
      </c>
    </row>
    <row r="1433">
      <c r="A1433" t="inlineStr">
        <is>
          <t>CB</t>
        </is>
      </c>
      <c r="B1433" s="6" t="n">
        <v>62.25</v>
      </c>
    </row>
    <row r="1434">
      <c r="A1434" t="inlineStr">
        <is>
          <t>CB</t>
        </is>
      </c>
      <c r="B1434" s="6" t="n">
        <v>72.40000000000001</v>
      </c>
    </row>
    <row r="1435">
      <c r="A1435" t="inlineStr">
        <is>
          <t>CB</t>
        </is>
      </c>
      <c r="B1435" s="6" t="n">
        <v>190.9</v>
      </c>
    </row>
    <row r="1436">
      <c r="A1436" t="inlineStr">
        <is>
          <t>CB</t>
        </is>
      </c>
      <c r="B1436" s="6" t="n">
        <v>62.25</v>
      </c>
    </row>
    <row r="1437">
      <c r="A1437" t="inlineStr">
        <is>
          <t>CB</t>
        </is>
      </c>
      <c r="B1437" s="6" t="n">
        <v>53.8</v>
      </c>
    </row>
    <row r="1438">
      <c r="A1438" t="inlineStr">
        <is>
          <t>CB</t>
        </is>
      </c>
      <c r="B1438" s="6" t="n">
        <v>75.7</v>
      </c>
    </row>
    <row r="1439">
      <c r="A1439" t="inlineStr">
        <is>
          <t>CB</t>
        </is>
      </c>
      <c r="B1439" s="6" t="n">
        <v>64.2</v>
      </c>
    </row>
    <row r="1440">
      <c r="A1440" t="inlineStr">
        <is>
          <t>CB</t>
        </is>
      </c>
      <c r="B1440" s="6" t="n">
        <v>52.2</v>
      </c>
    </row>
    <row r="1441">
      <c r="A1441" t="inlineStr">
        <is>
          <t>CB</t>
        </is>
      </c>
      <c r="B1441" s="6" t="n">
        <v>63.6</v>
      </c>
    </row>
    <row r="1442">
      <c r="A1442" t="inlineStr">
        <is>
          <t>CB</t>
        </is>
      </c>
      <c r="B1442" s="6" t="n">
        <v>98.3</v>
      </c>
    </row>
    <row r="1443">
      <c r="A1443" t="inlineStr">
        <is>
          <t>CB</t>
        </is>
      </c>
      <c r="B1443" s="6" t="n">
        <v>47.55</v>
      </c>
    </row>
    <row r="1444">
      <c r="A1444" t="inlineStr">
        <is>
          <t>CB</t>
        </is>
      </c>
      <c r="B1444" s="6" t="n">
        <v>27.55</v>
      </c>
    </row>
    <row r="1445">
      <c r="A1445" t="inlineStr">
        <is>
          <t>CB</t>
        </is>
      </c>
      <c r="B1445" s="6" t="n">
        <v>76.90000000000001</v>
      </c>
    </row>
    <row r="1446">
      <c r="A1446" t="inlineStr">
        <is>
          <t>CB</t>
        </is>
      </c>
      <c r="B1446" s="6" t="n">
        <v>37.9</v>
      </c>
    </row>
    <row r="1447">
      <c r="A1447" t="inlineStr">
        <is>
          <t>CB</t>
        </is>
      </c>
      <c r="B1447" s="6" t="n">
        <v>45.1</v>
      </c>
    </row>
    <row r="1448">
      <c r="A1448" t="inlineStr">
        <is>
          <t>TR</t>
        </is>
      </c>
      <c r="B1448" s="6" t="n">
        <v>10</v>
      </c>
    </row>
    <row r="1449">
      <c r="A1449" t="inlineStr">
        <is>
          <t>ESP</t>
        </is>
      </c>
      <c r="B1449" s="6" t="n">
        <v>4.9</v>
      </c>
    </row>
    <row r="1450">
      <c r="A1450" t="inlineStr">
        <is>
          <t>TR</t>
        </is>
      </c>
      <c r="B1450" s="6" t="n">
        <v>46</v>
      </c>
    </row>
    <row r="1451">
      <c r="A1451" t="inlineStr">
        <is>
          <t>TR</t>
        </is>
      </c>
      <c r="B1451" s="6" t="n">
        <v>18.4</v>
      </c>
    </row>
    <row r="1452">
      <c r="A1452" t="inlineStr">
        <is>
          <t>ESP</t>
        </is>
      </c>
      <c r="B1452" s="6" t="n">
        <v>4.8</v>
      </c>
    </row>
    <row r="1453">
      <c r="A1453" t="inlineStr">
        <is>
          <t>CB</t>
        </is>
      </c>
      <c r="B1453" s="6" t="n">
        <v>53.3</v>
      </c>
    </row>
    <row r="1454">
      <c r="A1454" t="inlineStr">
        <is>
          <t>CB</t>
        </is>
      </c>
      <c r="B1454" s="6" t="n">
        <v>48.4</v>
      </c>
    </row>
    <row r="1455">
      <c r="A1455" t="inlineStr">
        <is>
          <t>CB</t>
        </is>
      </c>
      <c r="B1455" s="6" t="n">
        <v>27.55</v>
      </c>
    </row>
    <row r="1456">
      <c r="A1456" t="inlineStr">
        <is>
          <t>CB</t>
        </is>
      </c>
      <c r="B1456" s="6" t="n">
        <v>18.2</v>
      </c>
    </row>
    <row r="1457">
      <c r="A1457" t="inlineStr">
        <is>
          <t>CB</t>
        </is>
      </c>
      <c r="B1457" s="6" t="n">
        <v>17.6</v>
      </c>
    </row>
    <row r="1458">
      <c r="A1458" t="inlineStr">
        <is>
          <t>CB</t>
        </is>
      </c>
      <c r="B1458" s="6" t="n">
        <v>52.2</v>
      </c>
    </row>
    <row r="1459">
      <c r="A1459" t="inlineStr">
        <is>
          <t>CB</t>
        </is>
      </c>
      <c r="B1459" s="6" t="n">
        <v>47.55</v>
      </c>
    </row>
    <row r="1460">
      <c r="A1460" t="inlineStr">
        <is>
          <t>CB</t>
        </is>
      </c>
      <c r="B1460" s="6" t="n">
        <v>99.7</v>
      </c>
    </row>
    <row r="1461">
      <c r="A1461" t="inlineStr">
        <is>
          <t>CB</t>
        </is>
      </c>
      <c r="B1461" s="6" t="n">
        <v>64.59999999999999</v>
      </c>
    </row>
    <row r="1462">
      <c r="A1462" t="inlineStr">
        <is>
          <t>CB</t>
        </is>
      </c>
      <c r="B1462" s="6" t="n">
        <v>98.2</v>
      </c>
    </row>
    <row r="1463">
      <c r="A1463" t="inlineStr">
        <is>
          <t>CB</t>
        </is>
      </c>
      <c r="B1463" s="6" t="n">
        <v>60</v>
      </c>
    </row>
    <row r="1464">
      <c r="A1464" t="inlineStr">
        <is>
          <t>CB</t>
        </is>
      </c>
      <c r="B1464" s="6" t="n">
        <v>31.8</v>
      </c>
    </row>
    <row r="1465">
      <c r="A1465" t="inlineStr">
        <is>
          <t>TR</t>
        </is>
      </c>
      <c r="B1465" s="6" t="n">
        <v>34</v>
      </c>
    </row>
    <row r="1466">
      <c r="A1466" t="inlineStr">
        <is>
          <t>CB</t>
        </is>
      </c>
      <c r="B1466" s="6" t="n">
        <v>7.6</v>
      </c>
    </row>
    <row r="1467">
      <c r="A1467" t="inlineStr">
        <is>
          <t>CB</t>
        </is>
      </c>
      <c r="B1467" s="6" t="n">
        <v>87</v>
      </c>
    </row>
    <row r="1468">
      <c r="A1468" t="inlineStr">
        <is>
          <t>TR</t>
        </is>
      </c>
      <c r="B1468" s="6" t="n">
        <v>73.59999999999999</v>
      </c>
    </row>
    <row r="1469">
      <c r="A1469" t="inlineStr">
        <is>
          <t>CB</t>
        </is>
      </c>
      <c r="B1469" s="6" t="n">
        <v>1.9</v>
      </c>
    </row>
    <row r="1470">
      <c r="A1470" t="inlineStr">
        <is>
          <t>CB</t>
        </is>
      </c>
      <c r="B1470" s="6" t="n">
        <v>124.1</v>
      </c>
    </row>
    <row r="1471">
      <c r="A1471" t="inlineStr">
        <is>
          <t>CB</t>
        </is>
      </c>
      <c r="B1471" s="6" t="n">
        <v>104.7</v>
      </c>
    </row>
    <row r="1472">
      <c r="A1472" t="inlineStr">
        <is>
          <t>CB</t>
        </is>
      </c>
      <c r="B1472" s="6" t="n">
        <v>42.4</v>
      </c>
    </row>
    <row r="1473">
      <c r="A1473" t="inlineStr">
        <is>
          <t>TR</t>
        </is>
      </c>
      <c r="B1473" s="6" t="n">
        <v>48</v>
      </c>
    </row>
    <row r="1474">
      <c r="A1474" t="inlineStr">
        <is>
          <t>CB</t>
        </is>
      </c>
      <c r="B1474" s="6" t="n">
        <v>7.2</v>
      </c>
    </row>
    <row r="1475">
      <c r="A1475" t="inlineStr">
        <is>
          <t>CB</t>
        </is>
      </c>
      <c r="B1475" s="6" t="n">
        <v>31.8</v>
      </c>
    </row>
    <row r="1476">
      <c r="A1476" t="inlineStr">
        <is>
          <t>CB</t>
        </is>
      </c>
      <c r="B1476" s="6" t="n">
        <v>42.9</v>
      </c>
    </row>
    <row r="1477">
      <c r="A1477" t="inlineStr">
        <is>
          <t>CB</t>
        </is>
      </c>
      <c r="B1477" s="6" t="n">
        <v>126</v>
      </c>
    </row>
    <row r="1478">
      <c r="A1478" t="inlineStr">
        <is>
          <t>TR</t>
        </is>
      </c>
      <c r="B1478" s="6" t="n">
        <v>46</v>
      </c>
    </row>
    <row r="1479">
      <c r="A1479" t="inlineStr">
        <is>
          <t>CB</t>
        </is>
      </c>
      <c r="B1479" s="6" t="n">
        <v>50</v>
      </c>
    </row>
    <row r="1480">
      <c r="A1480" t="inlineStr">
        <is>
          <t>CB</t>
        </is>
      </c>
      <c r="B1480" s="6" t="n">
        <v>75.40000000000001</v>
      </c>
    </row>
    <row r="1481">
      <c r="A1481" t="inlineStr">
        <is>
          <t>CB</t>
        </is>
      </c>
      <c r="B1481" s="6" t="n">
        <v>76.90000000000001</v>
      </c>
    </row>
    <row r="1482">
      <c r="A1482" t="inlineStr">
        <is>
          <t>CB</t>
        </is>
      </c>
      <c r="B1482" s="6" t="n">
        <v>52.6</v>
      </c>
    </row>
    <row r="1483">
      <c r="A1483" t="inlineStr">
        <is>
          <t>CB</t>
        </is>
      </c>
      <c r="B1483" s="6" t="n">
        <v>34</v>
      </c>
    </row>
    <row r="1484">
      <c r="A1484" t="inlineStr">
        <is>
          <t>CHV</t>
        </is>
      </c>
      <c r="B1484" s="6" t="n">
        <v>81</v>
      </c>
    </row>
    <row r="1485">
      <c r="A1485" t="inlineStr">
        <is>
          <t>CB</t>
        </is>
      </c>
      <c r="B1485" s="6" t="n">
        <v>29.35</v>
      </c>
    </row>
    <row r="1486">
      <c r="A1486" t="inlineStr">
        <is>
          <t>CB</t>
        </is>
      </c>
      <c r="B1486" s="6" t="n">
        <v>52.2</v>
      </c>
    </row>
    <row r="1487">
      <c r="A1487" t="inlineStr">
        <is>
          <t>CB</t>
        </is>
      </c>
      <c r="B1487" s="6" t="n">
        <v>64.8</v>
      </c>
    </row>
    <row r="1488">
      <c r="A1488" t="inlineStr">
        <is>
          <t>CB</t>
        </is>
      </c>
      <c r="B1488" s="6" t="n">
        <v>62.4</v>
      </c>
    </row>
    <row r="1489">
      <c r="A1489" t="inlineStr">
        <is>
          <t>CB</t>
        </is>
      </c>
      <c r="B1489" s="6" t="n">
        <v>29.35</v>
      </c>
    </row>
    <row r="1490">
      <c r="A1490" t="inlineStr">
        <is>
          <t>CB</t>
        </is>
      </c>
      <c r="B1490" s="6" t="n">
        <v>100.7</v>
      </c>
    </row>
    <row r="1491">
      <c r="A1491" t="inlineStr">
        <is>
          <t>CB</t>
        </is>
      </c>
      <c r="B1491" s="6" t="n">
        <v>92.7</v>
      </c>
    </row>
    <row r="1492">
      <c r="A1492" t="inlineStr">
        <is>
          <t>CB</t>
        </is>
      </c>
      <c r="B1492" s="6" t="n">
        <v>67.8</v>
      </c>
    </row>
    <row r="1493">
      <c r="A1493" t="inlineStr">
        <is>
          <t>CB</t>
        </is>
      </c>
      <c r="B1493" s="6" t="n">
        <v>93.8</v>
      </c>
    </row>
    <row r="1494">
      <c r="A1494" t="inlineStr">
        <is>
          <t>CB</t>
        </is>
      </c>
      <c r="B1494" s="6" t="n">
        <v>165.2</v>
      </c>
    </row>
    <row r="1495">
      <c r="A1495" t="inlineStr">
        <is>
          <t>CB</t>
        </is>
      </c>
      <c r="B1495" s="6" t="n">
        <v>53.2</v>
      </c>
    </row>
    <row r="1496">
      <c r="A1496" t="inlineStr">
        <is>
          <t>TR</t>
        </is>
      </c>
      <c r="B1496" s="6" t="n">
        <v>38</v>
      </c>
    </row>
    <row r="1497">
      <c r="A1497" t="inlineStr">
        <is>
          <t>TR</t>
        </is>
      </c>
      <c r="B1497" s="6" t="n">
        <v>38</v>
      </c>
    </row>
    <row r="1498">
      <c r="A1498" t="inlineStr">
        <is>
          <t>CB</t>
        </is>
      </c>
      <c r="B1498" s="6" t="n">
        <v>58.6</v>
      </c>
    </row>
    <row r="1499">
      <c r="A1499" t="inlineStr">
        <is>
          <t>TR</t>
        </is>
      </c>
      <c r="B1499" s="6" t="n">
        <v>28.05</v>
      </c>
    </row>
    <row r="1500">
      <c r="A1500" t="inlineStr">
        <is>
          <t>CB</t>
        </is>
      </c>
      <c r="B1500" s="6" t="n">
        <v>30.85</v>
      </c>
    </row>
    <row r="1501">
      <c r="A1501" t="inlineStr">
        <is>
          <t>CB</t>
        </is>
      </c>
      <c r="B1501" s="6" t="n">
        <v>29.9</v>
      </c>
    </row>
    <row r="1502">
      <c r="A1502" t="inlineStr">
        <is>
          <t>CB</t>
        </is>
      </c>
      <c r="B1502" s="6" t="n">
        <v>29.9</v>
      </c>
    </row>
    <row r="1503">
      <c r="A1503" t="inlineStr">
        <is>
          <t>TR</t>
        </is>
      </c>
      <c r="B1503" s="6" t="n">
        <v>14</v>
      </c>
    </row>
    <row r="1504">
      <c r="A1504" t="inlineStr">
        <is>
          <t>CB</t>
        </is>
      </c>
      <c r="B1504" s="6" t="n">
        <v>15.7</v>
      </c>
    </row>
    <row r="1505">
      <c r="A1505" t="inlineStr">
        <is>
          <t>CB</t>
        </is>
      </c>
      <c r="B1505" s="6" t="n">
        <v>68.2</v>
      </c>
    </row>
    <row r="1506">
      <c r="A1506" t="inlineStr">
        <is>
          <t>CB</t>
        </is>
      </c>
      <c r="B1506" s="6" t="n">
        <v>98.2</v>
      </c>
    </row>
    <row r="1507">
      <c r="A1507" t="inlineStr">
        <is>
          <t>CB</t>
        </is>
      </c>
      <c r="B1507" s="6" t="n">
        <v>94.09999999999999</v>
      </c>
    </row>
    <row r="1508">
      <c r="A1508" t="inlineStr">
        <is>
          <t>CB</t>
        </is>
      </c>
      <c r="B1508" s="6" t="n">
        <v>41</v>
      </c>
    </row>
    <row r="1509">
      <c r="A1509" t="inlineStr">
        <is>
          <t>CB</t>
        </is>
      </c>
      <c r="B1509" s="6" t="n">
        <v>79.3</v>
      </c>
    </row>
    <row r="1510">
      <c r="A1510" t="inlineStr">
        <is>
          <t>CB</t>
        </is>
      </c>
      <c r="B1510" s="6" t="n">
        <v>127.65</v>
      </c>
    </row>
    <row r="1511">
      <c r="A1511" t="inlineStr">
        <is>
          <t>CB</t>
        </is>
      </c>
      <c r="B1511" s="6" t="n">
        <v>87.2</v>
      </c>
    </row>
    <row r="1512">
      <c r="A1512" t="inlineStr">
        <is>
          <t>CB</t>
        </is>
      </c>
      <c r="B1512" s="6" t="n">
        <v>124.8</v>
      </c>
    </row>
    <row r="1513">
      <c r="A1513" t="inlineStr">
        <is>
          <t>CB</t>
        </is>
      </c>
      <c r="B1513" s="6" t="n">
        <v>88.59999999999999</v>
      </c>
    </row>
    <row r="1514">
      <c r="A1514" t="inlineStr">
        <is>
          <t>CB</t>
        </is>
      </c>
      <c r="B1514" s="6" t="n">
        <v>34.4</v>
      </c>
    </row>
    <row r="1515">
      <c r="A1515" t="inlineStr">
        <is>
          <t>CB</t>
        </is>
      </c>
      <c r="B1515" s="6" t="n">
        <v>39.1</v>
      </c>
    </row>
    <row r="1516">
      <c r="A1516" t="inlineStr">
        <is>
          <t>CB</t>
        </is>
      </c>
      <c r="B1516" s="6" t="n">
        <v>80.09999999999999</v>
      </c>
    </row>
    <row r="1517">
      <c r="A1517" t="inlineStr">
        <is>
          <t>CB</t>
        </is>
      </c>
      <c r="B1517" s="6" t="n">
        <v>86</v>
      </c>
    </row>
    <row r="1518">
      <c r="A1518" t="inlineStr">
        <is>
          <t>CB</t>
        </is>
      </c>
      <c r="B1518" s="6" t="n">
        <v>96.8</v>
      </c>
    </row>
    <row r="1519">
      <c r="A1519" t="inlineStr">
        <is>
          <t>CB</t>
        </is>
      </c>
      <c r="B1519" s="6" t="n">
        <v>194.2</v>
      </c>
    </row>
    <row r="1520">
      <c r="A1520" t="inlineStr">
        <is>
          <t>CB</t>
        </is>
      </c>
      <c r="B1520" s="6" t="n">
        <v>54.2</v>
      </c>
    </row>
    <row r="1521">
      <c r="A1521" t="inlineStr">
        <is>
          <t>CB</t>
        </is>
      </c>
      <c r="B1521" s="6" t="n">
        <v>105.1</v>
      </c>
    </row>
    <row r="1522">
      <c r="A1522" t="inlineStr">
        <is>
          <t>CB</t>
        </is>
      </c>
      <c r="B1522" s="6" t="n">
        <v>93.2</v>
      </c>
    </row>
    <row r="1523">
      <c r="A1523" t="inlineStr">
        <is>
          <t>CB</t>
        </is>
      </c>
      <c r="B1523" s="6" t="n">
        <v>42.4</v>
      </c>
    </row>
    <row r="1524">
      <c r="A1524" t="inlineStr">
        <is>
          <t>CB</t>
        </is>
      </c>
      <c r="B1524" s="6" t="n">
        <v>98.3</v>
      </c>
    </row>
    <row r="1525">
      <c r="A1525" t="inlineStr">
        <is>
          <t>CB</t>
        </is>
      </c>
      <c r="B1525" s="6" t="n">
        <v>70.8</v>
      </c>
    </row>
    <row r="1526">
      <c r="A1526" t="inlineStr">
        <is>
          <t>CB</t>
        </is>
      </c>
      <c r="B1526" s="6" t="n">
        <v>20</v>
      </c>
    </row>
    <row r="1527">
      <c r="A1527" t="inlineStr">
        <is>
          <t>CB</t>
        </is>
      </c>
      <c r="B1527" s="6" t="n">
        <v>17.6</v>
      </c>
    </row>
    <row r="1528">
      <c r="A1528" t="inlineStr">
        <is>
          <t>CB</t>
        </is>
      </c>
      <c r="B1528" s="6" t="n">
        <v>18.5</v>
      </c>
    </row>
    <row r="1529">
      <c r="A1529" t="inlineStr">
        <is>
          <t>CB</t>
        </is>
      </c>
      <c r="B1529" s="6" t="n">
        <v>38.2</v>
      </c>
    </row>
    <row r="1530">
      <c r="A1530" t="inlineStr">
        <is>
          <t>CB</t>
        </is>
      </c>
      <c r="B1530" s="6" t="n">
        <v>48.2</v>
      </c>
    </row>
    <row r="1531">
      <c r="A1531" t="inlineStr">
        <is>
          <t>CB</t>
        </is>
      </c>
      <c r="B1531" s="6" t="n">
        <v>91.90000000000001</v>
      </c>
    </row>
    <row r="1532">
      <c r="A1532" t="inlineStr">
        <is>
          <t>CB</t>
        </is>
      </c>
      <c r="B1532" s="6" t="n">
        <v>69.59999999999999</v>
      </c>
    </row>
    <row r="1533">
      <c r="A1533" t="inlineStr">
        <is>
          <t>CB</t>
        </is>
      </c>
      <c r="B1533" s="6" t="n">
        <v>65.3</v>
      </c>
    </row>
    <row r="1534">
      <c r="A1534" t="inlineStr">
        <is>
          <t>CB</t>
        </is>
      </c>
      <c r="B1534" s="6" t="n">
        <v>45.6</v>
      </c>
    </row>
    <row r="1535">
      <c r="A1535" t="inlineStr">
        <is>
          <t>CB</t>
        </is>
      </c>
      <c r="B1535" s="6" t="n">
        <v>57.63</v>
      </c>
    </row>
    <row r="1536">
      <c r="A1536" t="inlineStr">
        <is>
          <t>CB</t>
        </is>
      </c>
      <c r="B1536" s="6" t="n">
        <v>57.63</v>
      </c>
    </row>
    <row r="1537">
      <c r="A1537" t="inlineStr">
        <is>
          <t>CB</t>
        </is>
      </c>
      <c r="B1537" s="6" t="n">
        <v>57.64</v>
      </c>
    </row>
    <row r="1538">
      <c r="A1538" t="inlineStr">
        <is>
          <t>CB</t>
        </is>
      </c>
      <c r="B1538" s="6" t="n">
        <v>19.9</v>
      </c>
    </row>
    <row r="1539">
      <c r="A1539" t="inlineStr">
        <is>
          <t>CB</t>
        </is>
      </c>
      <c r="B1539" s="6" t="n">
        <v>48.43</v>
      </c>
    </row>
    <row r="1540">
      <c r="A1540" t="inlineStr">
        <is>
          <t>CB</t>
        </is>
      </c>
      <c r="B1540" s="6" t="n">
        <v>48.43</v>
      </c>
    </row>
    <row r="1541">
      <c r="A1541" t="inlineStr">
        <is>
          <t>CB</t>
        </is>
      </c>
      <c r="B1541" s="6" t="n">
        <v>48.44</v>
      </c>
    </row>
    <row r="1542">
      <c r="A1542" t="inlineStr">
        <is>
          <t>CB</t>
        </is>
      </c>
      <c r="B1542" s="6" t="n">
        <v>15.9</v>
      </c>
    </row>
    <row r="1543">
      <c r="A1543" t="inlineStr">
        <is>
          <t>CB</t>
        </is>
      </c>
      <c r="B1543" s="6" t="n">
        <v>69</v>
      </c>
    </row>
    <row r="1544">
      <c r="A1544" t="inlineStr">
        <is>
          <t>CB</t>
        </is>
      </c>
      <c r="B1544" s="6" t="n">
        <v>58.8</v>
      </c>
    </row>
    <row r="1545">
      <c r="A1545" t="inlineStr">
        <is>
          <t>CB</t>
        </is>
      </c>
      <c r="B1545" s="6" t="n">
        <v>50</v>
      </c>
    </row>
    <row r="1546">
      <c r="A1546" t="inlineStr">
        <is>
          <t>CB</t>
        </is>
      </c>
      <c r="B1546" s="6" t="n">
        <v>112.5</v>
      </c>
    </row>
    <row r="1547">
      <c r="A1547" t="inlineStr">
        <is>
          <t>CB</t>
        </is>
      </c>
      <c r="B1547" s="6" t="n">
        <v>51.6</v>
      </c>
    </row>
    <row r="1548">
      <c r="A1548" t="inlineStr">
        <is>
          <t>CB</t>
        </is>
      </c>
      <c r="B1548" s="6" t="n">
        <v>56</v>
      </c>
    </row>
    <row r="1549">
      <c r="A1549" t="inlineStr">
        <is>
          <t>CB</t>
        </is>
      </c>
      <c r="B1549" s="6" t="n">
        <v>68.5</v>
      </c>
    </row>
    <row r="1550">
      <c r="A1550" t="inlineStr">
        <is>
          <t>CB</t>
        </is>
      </c>
      <c r="B1550" s="6" t="n">
        <v>35.25</v>
      </c>
    </row>
    <row r="1551">
      <c r="A1551" t="inlineStr">
        <is>
          <t>CB</t>
        </is>
      </c>
      <c r="B1551" s="6" t="n">
        <v>60.8</v>
      </c>
    </row>
    <row r="1552">
      <c r="A1552" t="inlineStr">
        <is>
          <t>CB</t>
        </is>
      </c>
      <c r="B1552" s="6" t="n">
        <v>81</v>
      </c>
    </row>
    <row r="1553">
      <c r="A1553" t="inlineStr">
        <is>
          <t>CB</t>
        </is>
      </c>
      <c r="B1553" s="6" t="n">
        <v>88.40000000000001</v>
      </c>
    </row>
    <row r="1554">
      <c r="A1554" t="inlineStr">
        <is>
          <t>CB</t>
        </is>
      </c>
      <c r="B1554" s="6" t="n">
        <v>71.7</v>
      </c>
    </row>
    <row r="1555">
      <c r="A1555" t="inlineStr">
        <is>
          <t>CB</t>
        </is>
      </c>
      <c r="B1555" s="6" t="n">
        <v>62.2</v>
      </c>
    </row>
    <row r="1556">
      <c r="A1556" t="inlineStr">
        <is>
          <t>CB</t>
        </is>
      </c>
      <c r="B1556" s="6" t="n">
        <v>50.6</v>
      </c>
    </row>
    <row r="1557">
      <c r="A1557" t="inlineStr">
        <is>
          <t>CB</t>
        </is>
      </c>
      <c r="B1557" s="6" t="n">
        <v>81</v>
      </c>
    </row>
    <row r="1558">
      <c r="A1558" t="inlineStr">
        <is>
          <t>CB</t>
        </is>
      </c>
      <c r="B1558" s="6" t="n">
        <v>35.25</v>
      </c>
    </row>
    <row r="1559">
      <c r="A1559" t="inlineStr">
        <is>
          <t>CB</t>
        </is>
      </c>
      <c r="B1559" s="6" t="n">
        <v>87.09999999999999</v>
      </c>
    </row>
    <row r="1560">
      <c r="A1560" t="inlineStr">
        <is>
          <t>CB</t>
        </is>
      </c>
      <c r="B1560" s="6" t="n">
        <v>34.1</v>
      </c>
    </row>
    <row r="1561">
      <c r="A1561" t="inlineStr">
        <is>
          <t>CB</t>
        </is>
      </c>
      <c r="B1561" s="6" t="n">
        <v>125.6</v>
      </c>
    </row>
    <row r="1562">
      <c r="A1562" t="inlineStr">
        <is>
          <t>CB</t>
        </is>
      </c>
      <c r="B1562" s="6" t="n">
        <v>64.09999999999999</v>
      </c>
    </row>
    <row r="1563">
      <c r="A1563" t="inlineStr">
        <is>
          <t>CB</t>
        </is>
      </c>
      <c r="B1563" s="6" t="n">
        <v>80.59999999999999</v>
      </c>
    </row>
    <row r="1564">
      <c r="A1564" t="inlineStr">
        <is>
          <t>CB</t>
        </is>
      </c>
      <c r="B1564" s="6" t="n">
        <v>101.7</v>
      </c>
    </row>
    <row r="1565">
      <c r="A1565" t="inlineStr">
        <is>
          <t>CB</t>
        </is>
      </c>
      <c r="B1565" s="6" t="n">
        <v>37.2</v>
      </c>
    </row>
    <row r="1566">
      <c r="A1566" t="inlineStr">
        <is>
          <t>CB</t>
        </is>
      </c>
      <c r="B1566" s="6" t="n">
        <v>88</v>
      </c>
    </row>
    <row r="1567">
      <c r="A1567" t="inlineStr">
        <is>
          <t>CB</t>
        </is>
      </c>
      <c r="B1567" s="6" t="n">
        <v>89.8</v>
      </c>
    </row>
    <row r="1568">
      <c r="A1568" t="inlineStr">
        <is>
          <t>CB</t>
        </is>
      </c>
      <c r="B1568" s="6" t="n">
        <v>46.1</v>
      </c>
    </row>
    <row r="1569">
      <c r="A1569" t="inlineStr">
        <is>
          <t>CB</t>
        </is>
      </c>
      <c r="B1569" s="6" t="n">
        <v>39.6</v>
      </c>
    </row>
    <row r="1570">
      <c r="A1570" t="inlineStr">
        <is>
          <t>CB</t>
        </is>
      </c>
      <c r="B1570" s="6" t="n">
        <v>56.1</v>
      </c>
    </row>
    <row r="1571">
      <c r="A1571" t="inlineStr">
        <is>
          <t>CB</t>
        </is>
      </c>
      <c r="B1571" s="6" t="n">
        <v>94.7</v>
      </c>
    </row>
    <row r="1572">
      <c r="A1572" t="inlineStr">
        <is>
          <t>TR</t>
        </is>
      </c>
      <c r="B1572" s="6" t="n">
        <v>36</v>
      </c>
    </row>
    <row r="1573">
      <c r="A1573" t="inlineStr">
        <is>
          <t>CB</t>
        </is>
      </c>
      <c r="B1573" s="6" t="n">
        <v>8.4</v>
      </c>
    </row>
    <row r="1574">
      <c r="A1574" t="inlineStr">
        <is>
          <t>TR</t>
        </is>
      </c>
      <c r="B1574" s="6" t="n">
        <v>9</v>
      </c>
    </row>
    <row r="1575">
      <c r="A1575" t="inlineStr">
        <is>
          <t>CB</t>
        </is>
      </c>
      <c r="B1575" s="6" t="n">
        <v>94.40000000000001</v>
      </c>
    </row>
    <row r="1576">
      <c r="A1576" t="inlineStr">
        <is>
          <t>CB</t>
        </is>
      </c>
      <c r="B1576" s="6" t="n">
        <v>37.2</v>
      </c>
    </row>
    <row r="1577">
      <c r="A1577" t="inlineStr">
        <is>
          <t>CB</t>
        </is>
      </c>
      <c r="B1577" s="6" t="n">
        <v>74.3</v>
      </c>
    </row>
    <row r="1578">
      <c r="A1578" t="inlineStr">
        <is>
          <t>ESP</t>
        </is>
      </c>
      <c r="B1578" s="6" t="n">
        <v>55.5</v>
      </c>
    </row>
    <row r="1579">
      <c r="A1579" t="inlineStr">
        <is>
          <t>CB</t>
        </is>
      </c>
      <c r="B1579" s="6" t="n">
        <v>53.9</v>
      </c>
    </row>
    <row r="1580">
      <c r="A1580" t="inlineStr">
        <is>
          <t>CB</t>
        </is>
      </c>
      <c r="B1580" s="6" t="n">
        <v>26.95</v>
      </c>
    </row>
    <row r="1581">
      <c r="A1581" t="inlineStr">
        <is>
          <t>CB</t>
        </is>
      </c>
      <c r="B1581" s="6" t="n">
        <v>26.95</v>
      </c>
    </row>
    <row r="1582">
      <c r="A1582" t="inlineStr">
        <is>
          <t>CB</t>
        </is>
      </c>
      <c r="B1582" s="6" t="n">
        <v>81.09999999999999</v>
      </c>
    </row>
    <row r="1583">
      <c r="A1583" t="inlineStr">
        <is>
          <t>CB</t>
        </is>
      </c>
      <c r="B1583" s="6" t="n">
        <v>67.90000000000001</v>
      </c>
    </row>
    <row r="1584">
      <c r="A1584" t="inlineStr">
        <is>
          <t>CB</t>
        </is>
      </c>
      <c r="B1584" s="6" t="n">
        <v>82.09999999999999</v>
      </c>
    </row>
    <row r="1585">
      <c r="A1585" t="inlineStr">
        <is>
          <t>CB</t>
        </is>
      </c>
      <c r="B1585" s="6" t="n">
        <v>42.2</v>
      </c>
    </row>
    <row r="1586">
      <c r="A1586" t="inlineStr">
        <is>
          <t>CB</t>
        </is>
      </c>
      <c r="B1586" s="6" t="n">
        <v>58.8</v>
      </c>
    </row>
    <row r="1587">
      <c r="A1587" t="inlineStr">
        <is>
          <t>CHQ</t>
        </is>
      </c>
      <c r="B1587" s="6" t="n">
        <v>21.7</v>
      </c>
    </row>
    <row r="1588">
      <c r="A1588" t="inlineStr">
        <is>
          <t>CB</t>
        </is>
      </c>
      <c r="B1588" s="6" t="n">
        <v>51.3</v>
      </c>
    </row>
    <row r="1589">
      <c r="A1589" t="inlineStr">
        <is>
          <t>CB</t>
        </is>
      </c>
      <c r="B1589" s="6" t="n">
        <v>29.8</v>
      </c>
    </row>
    <row r="1590">
      <c r="A1590" t="inlineStr">
        <is>
          <t>CB</t>
        </is>
      </c>
      <c r="B1590" s="6" t="n">
        <v>43.6</v>
      </c>
    </row>
    <row r="1591">
      <c r="A1591" t="inlineStr">
        <is>
          <t>CB</t>
        </is>
      </c>
      <c r="B1591" s="6" t="n">
        <v>100.2</v>
      </c>
    </row>
    <row r="1592">
      <c r="A1592" t="inlineStr">
        <is>
          <t>TR</t>
        </is>
      </c>
      <c r="B1592" s="6" t="n">
        <v>16</v>
      </c>
    </row>
    <row r="1593">
      <c r="A1593" t="inlineStr">
        <is>
          <t>CB</t>
        </is>
      </c>
      <c r="B1593" s="6" t="n">
        <v>5.7</v>
      </c>
    </row>
    <row r="1594">
      <c r="A1594" t="inlineStr">
        <is>
          <t>CB</t>
        </is>
      </c>
      <c r="B1594" s="6" t="n">
        <v>55.5</v>
      </c>
    </row>
    <row r="1595">
      <c r="A1595" t="inlineStr">
        <is>
          <t>CB</t>
        </is>
      </c>
      <c r="B1595" s="6" t="n">
        <v>30.2</v>
      </c>
    </row>
    <row r="1596">
      <c r="A1596" t="inlineStr">
        <is>
          <t>CB</t>
        </is>
      </c>
      <c r="B1596" s="6" t="n">
        <v>52.3</v>
      </c>
    </row>
    <row r="1597">
      <c r="A1597" t="inlineStr">
        <is>
          <t>CB</t>
        </is>
      </c>
      <c r="B1597" s="6" t="n">
        <v>91</v>
      </c>
    </row>
    <row r="1598">
      <c r="A1598" t="inlineStr">
        <is>
          <t>CB</t>
        </is>
      </c>
      <c r="B1598" s="6" t="n">
        <v>48.9</v>
      </c>
    </row>
    <row r="1599">
      <c r="A1599" t="inlineStr">
        <is>
          <t>CB</t>
        </is>
      </c>
      <c r="B1599" s="6" t="n">
        <v>61.9</v>
      </c>
    </row>
    <row r="1600">
      <c r="A1600" t="inlineStr">
        <is>
          <t>CB</t>
        </is>
      </c>
      <c r="B1600" s="6" t="n">
        <v>88.3</v>
      </c>
    </row>
    <row r="1601">
      <c r="A1601" t="inlineStr">
        <is>
          <t>CB</t>
        </is>
      </c>
      <c r="B1601" s="6" t="n">
        <v>31.8</v>
      </c>
    </row>
    <row r="1602">
      <c r="A1602" t="inlineStr">
        <is>
          <t>TR</t>
        </is>
      </c>
      <c r="B1602" s="6" t="n">
        <v>32</v>
      </c>
    </row>
    <row r="1603">
      <c r="A1603" t="inlineStr">
        <is>
          <t>TR</t>
        </is>
      </c>
      <c r="B1603" s="6" t="n">
        <v>27</v>
      </c>
    </row>
    <row r="1604">
      <c r="A1604" t="inlineStr">
        <is>
          <t>CB</t>
        </is>
      </c>
      <c r="B1604" s="6" t="n">
        <v>36.4</v>
      </c>
    </row>
    <row r="1605">
      <c r="A1605" t="inlineStr">
        <is>
          <t>CB</t>
        </is>
      </c>
      <c r="B1605" s="6" t="n">
        <v>81.59999999999999</v>
      </c>
    </row>
    <row r="1606">
      <c r="A1606" t="inlineStr">
        <is>
          <t>CB</t>
        </is>
      </c>
      <c r="B1606" s="6" t="n">
        <v>97</v>
      </c>
    </row>
    <row r="1607">
      <c r="A1607" t="inlineStr">
        <is>
          <t>CB</t>
        </is>
      </c>
      <c r="B1607" s="6" t="n">
        <v>126.9</v>
      </c>
    </row>
    <row r="1608">
      <c r="A1608" t="inlineStr">
        <is>
          <t>CB</t>
        </is>
      </c>
      <c r="B1608" s="6" t="n">
        <v>51.5</v>
      </c>
    </row>
    <row r="1609">
      <c r="A1609" t="inlineStr">
        <is>
          <t>CB</t>
        </is>
      </c>
      <c r="B1609" s="6" t="n">
        <v>54.5</v>
      </c>
    </row>
    <row r="1610">
      <c r="A1610" t="inlineStr">
        <is>
          <t>CB</t>
        </is>
      </c>
      <c r="B1610" s="6" t="n">
        <v>69</v>
      </c>
    </row>
    <row r="1611">
      <c r="A1611" t="inlineStr">
        <is>
          <t>CB</t>
        </is>
      </c>
      <c r="B1611" s="6" t="n">
        <v>38.8</v>
      </c>
    </row>
    <row r="1612">
      <c r="A1612" t="inlineStr">
        <is>
          <t>CB</t>
        </is>
      </c>
      <c r="B1612" s="6" t="n">
        <v>32.3</v>
      </c>
    </row>
    <row r="1613">
      <c r="A1613" t="inlineStr">
        <is>
          <t>CB</t>
        </is>
      </c>
      <c r="B1613" s="6" t="n">
        <v>75.5</v>
      </c>
    </row>
    <row r="1614">
      <c r="A1614" t="inlineStr">
        <is>
          <t>CB</t>
        </is>
      </c>
      <c r="B1614" s="6" t="n">
        <v>19.9</v>
      </c>
    </row>
    <row r="1615">
      <c r="A1615" t="inlineStr">
        <is>
          <t>CB</t>
        </is>
      </c>
      <c r="B1615" s="6" t="n">
        <v>22.8</v>
      </c>
    </row>
    <row r="1616">
      <c r="A1616" t="inlineStr">
        <is>
          <t>CB</t>
        </is>
      </c>
      <c r="B1616" s="6" t="n">
        <v>43.6</v>
      </c>
    </row>
    <row r="1617">
      <c r="A1617" t="inlineStr">
        <is>
          <t>CB</t>
        </is>
      </c>
      <c r="B1617" s="6" t="n">
        <v>22.9</v>
      </c>
    </row>
    <row r="1618">
      <c r="A1618" t="inlineStr">
        <is>
          <t>CB</t>
        </is>
      </c>
      <c r="B1618" s="6" t="n">
        <v>22</v>
      </c>
    </row>
    <row r="1619">
      <c r="A1619" t="inlineStr">
        <is>
          <t>CB</t>
        </is>
      </c>
      <c r="B1619" s="6" t="n">
        <v>58.5</v>
      </c>
    </row>
    <row r="1620">
      <c r="A1620" t="inlineStr">
        <is>
          <t>TR</t>
        </is>
      </c>
      <c r="B1620" s="6" t="n">
        <v>38</v>
      </c>
    </row>
    <row r="1621">
      <c r="A1621" t="inlineStr">
        <is>
          <t>CB</t>
        </is>
      </c>
      <c r="B1621" s="6" t="n">
        <v>47</v>
      </c>
    </row>
    <row r="1622">
      <c r="A1622" t="inlineStr">
        <is>
          <t>CB</t>
        </is>
      </c>
      <c r="B1622" s="6" t="n">
        <v>28.9</v>
      </c>
    </row>
    <row r="1623">
      <c r="A1623" t="inlineStr">
        <is>
          <t>CB</t>
        </is>
      </c>
      <c r="B1623" s="6" t="n">
        <v>26</v>
      </c>
    </row>
    <row r="1624">
      <c r="A1624" t="inlineStr">
        <is>
          <t>CB</t>
        </is>
      </c>
      <c r="B1624" s="6" t="n">
        <v>22</v>
      </c>
    </row>
    <row r="1625">
      <c r="A1625" t="inlineStr">
        <is>
          <t>CB</t>
        </is>
      </c>
      <c r="B1625" s="6" t="n">
        <v>78.8</v>
      </c>
    </row>
    <row r="1626">
      <c r="A1626" t="inlineStr">
        <is>
          <t>CB</t>
        </is>
      </c>
      <c r="B1626" s="6" t="n">
        <v>32.4</v>
      </c>
    </row>
    <row r="1627">
      <c r="A1627" t="inlineStr">
        <is>
          <t>CB</t>
        </is>
      </c>
      <c r="B1627" s="6" t="n">
        <v>19.8</v>
      </c>
    </row>
    <row r="1628">
      <c r="A1628" t="inlineStr">
        <is>
          <t>CB</t>
        </is>
      </c>
      <c r="B1628" s="6" t="n">
        <v>69.09999999999999</v>
      </c>
    </row>
    <row r="1629">
      <c r="A1629" t="inlineStr">
        <is>
          <t>CB</t>
        </is>
      </c>
      <c r="B1629" s="6" t="n">
        <v>54.4</v>
      </c>
    </row>
    <row r="1630">
      <c r="A1630" t="inlineStr">
        <is>
          <t>CB</t>
        </is>
      </c>
      <c r="B1630" s="6" t="n">
        <v>38</v>
      </c>
    </row>
    <row r="1631">
      <c r="A1631" t="inlineStr">
        <is>
          <t>CB</t>
        </is>
      </c>
      <c r="B1631" s="6" t="n">
        <v>99</v>
      </c>
    </row>
    <row r="1632">
      <c r="A1632" t="inlineStr">
        <is>
          <t>CB</t>
        </is>
      </c>
      <c r="B1632" s="6" t="n">
        <v>156.7</v>
      </c>
    </row>
    <row r="1633">
      <c r="A1633" t="inlineStr">
        <is>
          <t>CB</t>
        </is>
      </c>
      <c r="B1633" s="6" t="n">
        <v>62.9</v>
      </c>
    </row>
    <row r="1634">
      <c r="A1634" t="inlineStr">
        <is>
          <t>CB</t>
        </is>
      </c>
      <c r="B1634" s="6" t="n">
        <v>74</v>
      </c>
    </row>
    <row r="1635">
      <c r="A1635" t="inlineStr">
        <is>
          <t>CB</t>
        </is>
      </c>
      <c r="B1635" s="6" t="n">
        <v>52.6</v>
      </c>
    </row>
    <row r="1636">
      <c r="A1636" t="inlineStr">
        <is>
          <t>CB</t>
        </is>
      </c>
      <c r="B1636" s="6" t="n">
        <v>97.59999999999999</v>
      </c>
    </row>
    <row r="1637">
      <c r="A1637" t="inlineStr">
        <is>
          <t>CB</t>
        </is>
      </c>
      <c r="B1637" s="6" t="n">
        <v>55</v>
      </c>
    </row>
    <row r="1638">
      <c r="A1638" t="inlineStr">
        <is>
          <t>ESP</t>
        </is>
      </c>
      <c r="B1638" s="6" t="n">
        <v>86.09999999999999</v>
      </c>
    </row>
    <row r="1639">
      <c r="A1639" t="inlineStr">
        <is>
          <t>ESP</t>
        </is>
      </c>
      <c r="B1639" s="6" t="n">
        <v>5.9</v>
      </c>
    </row>
    <row r="1640">
      <c r="A1640" t="inlineStr">
        <is>
          <t>CB</t>
        </is>
      </c>
      <c r="B1640" s="6" t="n">
        <v>53.3</v>
      </c>
    </row>
    <row r="1641">
      <c r="A1641" t="inlineStr">
        <is>
          <t>CB</t>
        </is>
      </c>
      <c r="B1641" s="6" t="n">
        <v>92.90000000000001</v>
      </c>
    </row>
    <row r="1642">
      <c r="A1642" t="inlineStr">
        <is>
          <t>CB</t>
        </is>
      </c>
      <c r="B1642" s="6" t="n">
        <v>60.6</v>
      </c>
    </row>
    <row r="1643">
      <c r="A1643" t="inlineStr">
        <is>
          <t>TR</t>
        </is>
      </c>
      <c r="B1643" s="6" t="n">
        <v>38</v>
      </c>
    </row>
    <row r="1644">
      <c r="A1644" t="inlineStr">
        <is>
          <t>CB</t>
        </is>
      </c>
      <c r="B1644" s="6" t="n">
        <v>25.2</v>
      </c>
    </row>
    <row r="1645">
      <c r="A1645" t="inlineStr">
        <is>
          <t>CB</t>
        </is>
      </c>
      <c r="B1645" s="6" t="n">
        <v>58.9</v>
      </c>
    </row>
    <row r="1646">
      <c r="A1646" t="inlineStr">
        <is>
          <t>TR</t>
        </is>
      </c>
      <c r="B1646" s="6" t="n">
        <v>58.1</v>
      </c>
    </row>
    <row r="1647">
      <c r="A1647" t="inlineStr">
        <is>
          <t>ESP</t>
        </is>
      </c>
      <c r="B1647" s="6" t="n">
        <v>7.2</v>
      </c>
    </row>
    <row r="1648">
      <c r="A1648" t="inlineStr">
        <is>
          <t>CB</t>
        </is>
      </c>
      <c r="B1648" s="6" t="n">
        <v>60.2</v>
      </c>
    </row>
    <row r="1649">
      <c r="A1649" t="inlineStr">
        <is>
          <t>CHV</t>
        </is>
      </c>
      <c r="B1649" s="6" t="n">
        <v>39.8</v>
      </c>
    </row>
    <row r="1650">
      <c r="A1650" t="inlineStr">
        <is>
          <t>TR</t>
        </is>
      </c>
      <c r="B1650" s="6" t="n">
        <v>18</v>
      </c>
    </row>
    <row r="1651">
      <c r="A1651" t="inlineStr">
        <is>
          <t>TR</t>
        </is>
      </c>
      <c r="B1651" s="6" t="n">
        <v>18</v>
      </c>
    </row>
    <row r="1652">
      <c r="A1652" t="inlineStr">
        <is>
          <t>TR</t>
        </is>
      </c>
      <c r="B1652" s="6" t="n">
        <v>18</v>
      </c>
    </row>
    <row r="1653">
      <c r="A1653" t="inlineStr">
        <is>
          <t>CB</t>
        </is>
      </c>
      <c r="B1653" s="6" t="n">
        <v>6.1</v>
      </c>
    </row>
    <row r="1654">
      <c r="A1654" t="inlineStr">
        <is>
          <t>CB</t>
        </is>
      </c>
      <c r="B1654" s="6" t="n">
        <v>63.2</v>
      </c>
    </row>
    <row r="1655">
      <c r="A1655" t="inlineStr">
        <is>
          <t>CB</t>
        </is>
      </c>
      <c r="B1655" s="6" t="n">
        <v>45</v>
      </c>
    </row>
    <row r="1656">
      <c r="A1656" t="inlineStr">
        <is>
          <t>CB</t>
        </is>
      </c>
      <c r="B1656" s="6" t="n">
        <v>105.1</v>
      </c>
    </row>
    <row r="1657">
      <c r="A1657" t="inlineStr">
        <is>
          <t>CB</t>
        </is>
      </c>
      <c r="B1657" s="6" t="n">
        <v>42.7</v>
      </c>
    </row>
    <row r="1658">
      <c r="A1658" t="inlineStr">
        <is>
          <t>CB</t>
        </is>
      </c>
      <c r="B1658" s="6" t="n">
        <v>123.6</v>
      </c>
    </row>
    <row r="1659">
      <c r="A1659" t="inlineStr">
        <is>
          <t>CB</t>
        </is>
      </c>
      <c r="B1659" s="6" t="n">
        <v>93.3</v>
      </c>
    </row>
    <row r="1660">
      <c r="A1660" t="inlineStr">
        <is>
          <t>CB</t>
        </is>
      </c>
      <c r="B1660" s="6" t="n">
        <v>57.1</v>
      </c>
    </row>
    <row r="1661">
      <c r="A1661" t="inlineStr">
        <is>
          <t>CB</t>
        </is>
      </c>
      <c r="B1661" s="6" t="n">
        <v>173</v>
      </c>
    </row>
    <row r="1662">
      <c r="A1662" t="inlineStr">
        <is>
          <t>CB</t>
        </is>
      </c>
      <c r="B1662" s="6" t="n">
        <v>79.7</v>
      </c>
    </row>
    <row r="1663">
      <c r="A1663" t="inlineStr">
        <is>
          <t>CB</t>
        </is>
      </c>
      <c r="B1663" s="6" t="n">
        <v>59</v>
      </c>
    </row>
    <row r="1664">
      <c r="A1664" t="inlineStr">
        <is>
          <t>CB</t>
        </is>
      </c>
      <c r="B1664" s="6" t="n">
        <v>62.3</v>
      </c>
    </row>
    <row r="1665">
      <c r="A1665" t="inlineStr">
        <is>
          <t>CB</t>
        </is>
      </c>
      <c r="B1665" s="6" t="n">
        <v>105.9</v>
      </c>
    </row>
    <row r="1666">
      <c r="A1666" t="inlineStr">
        <is>
          <t>CB</t>
        </is>
      </c>
      <c r="B1666" s="6" t="n">
        <v>90.3</v>
      </c>
    </row>
    <row r="1667">
      <c r="A1667" t="inlineStr">
        <is>
          <t>CB</t>
        </is>
      </c>
      <c r="B1667" s="6" t="n">
        <v>77.3</v>
      </c>
    </row>
    <row r="1668">
      <c r="A1668" t="inlineStr">
        <is>
          <t>CB</t>
        </is>
      </c>
      <c r="B1668" s="6" t="n">
        <v>95.7</v>
      </c>
    </row>
    <row r="1669">
      <c r="A1669" t="inlineStr">
        <is>
          <t>TR</t>
        </is>
      </c>
      <c r="B1669" s="6" t="n">
        <v>70</v>
      </c>
    </row>
    <row r="1670">
      <c r="A1670" t="inlineStr">
        <is>
          <t>TR</t>
        </is>
      </c>
      <c r="B1670" s="6" t="n">
        <v>30</v>
      </c>
    </row>
    <row r="1671">
      <c r="A1671" t="inlineStr">
        <is>
          <t>CB</t>
        </is>
      </c>
      <c r="B1671" s="6" t="n">
        <v>34.1</v>
      </c>
    </row>
    <row r="1672">
      <c r="A1672" t="inlineStr">
        <is>
          <t>CB</t>
        </is>
      </c>
      <c r="B1672" s="6" t="n">
        <v>68.8</v>
      </c>
    </row>
    <row r="1673">
      <c r="A1673" t="inlineStr">
        <is>
          <t>CB</t>
        </is>
      </c>
      <c r="B1673" s="6" t="n">
        <v>48.4</v>
      </c>
    </row>
    <row r="1674">
      <c r="A1674" t="inlineStr">
        <is>
          <t>CB</t>
        </is>
      </c>
      <c r="B1674" s="6" t="n">
        <v>64</v>
      </c>
    </row>
    <row r="1675">
      <c r="A1675" t="inlineStr">
        <is>
          <t>ESP</t>
        </is>
      </c>
      <c r="B1675" s="6" t="n">
        <v>20</v>
      </c>
    </row>
    <row r="1676">
      <c r="A1676" t="inlineStr">
        <is>
          <t>CB</t>
        </is>
      </c>
      <c r="B1676" s="6" t="n">
        <v>5.4</v>
      </c>
    </row>
    <row r="1677">
      <c r="A1677" t="inlineStr">
        <is>
          <t>CB</t>
        </is>
      </c>
      <c r="B1677" s="6" t="n">
        <v>59.9</v>
      </c>
    </row>
    <row r="1678">
      <c r="A1678" t="inlineStr">
        <is>
          <t>CB</t>
        </is>
      </c>
      <c r="B1678" s="6" t="n">
        <v>45.6</v>
      </c>
    </row>
    <row r="1679">
      <c r="A1679" t="inlineStr">
        <is>
          <t>CB</t>
        </is>
      </c>
      <c r="B1679" s="6" t="n">
        <v>76.90000000000001</v>
      </c>
    </row>
    <row r="1680">
      <c r="A1680" t="inlineStr">
        <is>
          <t>CB</t>
        </is>
      </c>
      <c r="B1680" s="6" t="n">
        <v>90.3</v>
      </c>
    </row>
    <row r="1681">
      <c r="A1681" t="inlineStr">
        <is>
          <t>CB</t>
        </is>
      </c>
      <c r="B1681" s="6" t="n">
        <v>25.4</v>
      </c>
    </row>
    <row r="1682">
      <c r="A1682" t="inlineStr">
        <is>
          <t>TR</t>
        </is>
      </c>
      <c r="B1682" s="6" t="n">
        <v>19</v>
      </c>
    </row>
    <row r="1683">
      <c r="A1683" t="inlineStr">
        <is>
          <t>CB</t>
        </is>
      </c>
      <c r="B1683" s="6" t="n">
        <v>151.2</v>
      </c>
    </row>
    <row r="1684">
      <c r="A1684" t="inlineStr">
        <is>
          <t>CB</t>
        </is>
      </c>
      <c r="B1684" s="6" t="n">
        <v>83.7</v>
      </c>
    </row>
    <row r="1685">
      <c r="A1685" t="inlineStr">
        <is>
          <t>CB</t>
        </is>
      </c>
      <c r="B1685" s="6" t="n">
        <v>116.7</v>
      </c>
    </row>
    <row r="1686">
      <c r="A1686" t="inlineStr">
        <is>
          <t>CB</t>
        </is>
      </c>
      <c r="B1686" s="6" t="n">
        <v>50.8</v>
      </c>
    </row>
    <row r="1687">
      <c r="A1687" t="inlineStr">
        <is>
          <t>CB</t>
        </is>
      </c>
      <c r="B1687" s="6" t="n">
        <v>20.7</v>
      </c>
    </row>
    <row r="1688">
      <c r="A1688" t="inlineStr">
        <is>
          <t>CB</t>
        </is>
      </c>
      <c r="B1688" s="6" t="n">
        <v>57.9</v>
      </c>
    </row>
    <row r="1689">
      <c r="A1689" t="inlineStr">
        <is>
          <t>CB</t>
        </is>
      </c>
      <c r="B1689" s="6" t="n">
        <v>19.8</v>
      </c>
    </row>
    <row r="1690">
      <c r="A1690" t="inlineStr">
        <is>
          <t>CB</t>
        </is>
      </c>
      <c r="B1690" s="6" t="n">
        <v>68.09999999999999</v>
      </c>
    </row>
    <row r="1691">
      <c r="A1691" t="inlineStr">
        <is>
          <t>CB</t>
        </is>
      </c>
      <c r="B1691" s="6" t="n">
        <v>168.7</v>
      </c>
    </row>
    <row r="1692">
      <c r="A1692" t="inlineStr">
        <is>
          <t>CB</t>
        </is>
      </c>
      <c r="B1692" s="6" t="n">
        <v>83.5</v>
      </c>
    </row>
    <row r="1693">
      <c r="A1693" t="inlineStr">
        <is>
          <t>CB</t>
        </is>
      </c>
      <c r="B1693" s="6" t="n">
        <v>92.40000000000001</v>
      </c>
    </row>
    <row r="1694">
      <c r="A1694" t="inlineStr">
        <is>
          <t>CB</t>
        </is>
      </c>
      <c r="B1694" s="6" t="n">
        <v>65.3</v>
      </c>
    </row>
    <row r="1695">
      <c r="A1695" t="inlineStr">
        <is>
          <t>CB</t>
        </is>
      </c>
      <c r="B1695" s="6" t="n">
        <v>12</v>
      </c>
    </row>
    <row r="1696">
      <c r="A1696" t="inlineStr">
        <is>
          <t>CB</t>
        </is>
      </c>
      <c r="B1696" s="6" t="n">
        <v>79.59999999999999</v>
      </c>
    </row>
    <row r="1697">
      <c r="A1697" t="inlineStr">
        <is>
          <t>CB</t>
        </is>
      </c>
      <c r="B1697" s="6" t="n">
        <v>80.40000000000001</v>
      </c>
    </row>
    <row r="1698">
      <c r="A1698" t="inlineStr">
        <is>
          <t>CB</t>
        </is>
      </c>
      <c r="B1698" s="6" t="n">
        <v>41.2</v>
      </c>
    </row>
    <row r="1699">
      <c r="A1699" t="inlineStr">
        <is>
          <t>CB</t>
        </is>
      </c>
      <c r="B1699" s="6" t="n">
        <v>90.7</v>
      </c>
    </row>
    <row r="1700">
      <c r="A1700" t="inlineStr">
        <is>
          <t>CB</t>
        </is>
      </c>
      <c r="B1700" s="6" t="n">
        <v>67.09999999999999</v>
      </c>
    </row>
    <row r="1701">
      <c r="A1701" t="inlineStr">
        <is>
          <t>CB</t>
        </is>
      </c>
      <c r="B1701" s="6" t="n">
        <v>30.6</v>
      </c>
    </row>
    <row r="1702">
      <c r="A1702" t="inlineStr">
        <is>
          <t>CB</t>
        </is>
      </c>
      <c r="B1702" s="6" t="n">
        <v>76.09999999999999</v>
      </c>
    </row>
    <row r="1703">
      <c r="A1703" t="inlineStr">
        <is>
          <t>CB</t>
        </is>
      </c>
      <c r="B1703" s="6" t="n">
        <v>161.4</v>
      </c>
    </row>
    <row r="1704">
      <c r="A1704" t="inlineStr">
        <is>
          <t>CB</t>
        </is>
      </c>
      <c r="B1704" s="6" t="n">
        <v>23.1</v>
      </c>
    </row>
    <row r="1705">
      <c r="A1705" t="inlineStr">
        <is>
          <t>CB</t>
        </is>
      </c>
      <c r="B1705" s="6" t="n">
        <v>71.40000000000001</v>
      </c>
    </row>
    <row r="1706">
      <c r="A1706" t="inlineStr">
        <is>
          <t>CB</t>
        </is>
      </c>
      <c r="B1706" s="6" t="n">
        <v>63.3</v>
      </c>
    </row>
    <row r="1707">
      <c r="A1707" t="inlineStr">
        <is>
          <t>CB</t>
        </is>
      </c>
      <c r="B1707" s="6" t="n">
        <v>24.9</v>
      </c>
    </row>
    <row r="1708">
      <c r="A1708" t="inlineStr">
        <is>
          <t>CB</t>
        </is>
      </c>
      <c r="B1708" s="6" t="n">
        <v>59.7</v>
      </c>
    </row>
    <row r="1709">
      <c r="A1709" t="inlineStr">
        <is>
          <t>CB</t>
        </is>
      </c>
      <c r="B1709" s="6" t="n">
        <v>87.3</v>
      </c>
    </row>
    <row r="1710">
      <c r="A1710" t="inlineStr">
        <is>
          <t>CB</t>
        </is>
      </c>
      <c r="B1710" s="6" t="n">
        <v>19.8</v>
      </c>
    </row>
    <row r="1711">
      <c r="A1711" t="inlineStr">
        <is>
          <t>CB</t>
        </is>
      </c>
      <c r="B1711" s="6" t="n">
        <v>57.8</v>
      </c>
    </row>
    <row r="1712">
      <c r="A1712" t="inlineStr">
        <is>
          <t>CB</t>
        </is>
      </c>
      <c r="B1712" s="6" t="n">
        <v>40.6</v>
      </c>
    </row>
    <row r="1713">
      <c r="A1713" t="inlineStr">
        <is>
          <t>CB</t>
        </is>
      </c>
      <c r="B1713" s="6" t="n">
        <v>20.1</v>
      </c>
    </row>
    <row r="1714">
      <c r="A1714" t="inlineStr">
        <is>
          <t>CB</t>
        </is>
      </c>
      <c r="B1714" s="6" t="n">
        <v>35</v>
      </c>
    </row>
    <row r="1715">
      <c r="A1715" t="inlineStr">
        <is>
          <t>CB</t>
        </is>
      </c>
      <c r="B1715" s="6" t="n">
        <v>25.95</v>
      </c>
    </row>
    <row r="1716">
      <c r="A1716" t="inlineStr">
        <is>
          <t>CB</t>
        </is>
      </c>
      <c r="B1716" s="6" t="n">
        <v>43.2</v>
      </c>
    </row>
    <row r="1717">
      <c r="A1717" t="inlineStr">
        <is>
          <t>CB</t>
        </is>
      </c>
      <c r="B1717" s="6" t="n">
        <v>70.7</v>
      </c>
    </row>
    <row r="1718">
      <c r="A1718" t="inlineStr">
        <is>
          <t>CB</t>
        </is>
      </c>
      <c r="B1718" s="6" t="n">
        <v>49.5</v>
      </c>
    </row>
    <row r="1719">
      <c r="A1719" t="inlineStr">
        <is>
          <t>CB</t>
        </is>
      </c>
      <c r="B1719" s="6" t="n">
        <v>10</v>
      </c>
    </row>
    <row r="1720">
      <c r="A1720" t="inlineStr">
        <is>
          <t>CB</t>
        </is>
      </c>
      <c r="B1720" s="6" t="n">
        <v>19</v>
      </c>
    </row>
    <row r="1721">
      <c r="A1721" t="inlineStr">
        <is>
          <t>TR</t>
        </is>
      </c>
      <c r="B1721" s="6" t="n">
        <v>38</v>
      </c>
    </row>
    <row r="1722">
      <c r="A1722" t="inlineStr">
        <is>
          <t>CB</t>
        </is>
      </c>
      <c r="B1722" s="6" t="n">
        <v>7.4</v>
      </c>
    </row>
    <row r="1723">
      <c r="A1723" t="inlineStr">
        <is>
          <t>CB</t>
        </is>
      </c>
      <c r="B1723" s="6" t="n">
        <v>128.4</v>
      </c>
    </row>
    <row r="1724">
      <c r="A1724" t="inlineStr">
        <is>
          <t>CB</t>
        </is>
      </c>
      <c r="B1724" s="6" t="n">
        <v>41.6</v>
      </c>
    </row>
    <row r="1725">
      <c r="A1725" t="inlineStr">
        <is>
          <t>CB</t>
        </is>
      </c>
      <c r="B1725" s="6" t="n">
        <v>32.3</v>
      </c>
    </row>
    <row r="1726">
      <c r="A1726" t="inlineStr">
        <is>
          <t>CB</t>
        </is>
      </c>
      <c r="B1726" s="6" t="n">
        <v>133</v>
      </c>
    </row>
    <row r="1727">
      <c r="A1727" t="inlineStr">
        <is>
          <t>CB</t>
        </is>
      </c>
      <c r="B1727" s="6" t="n">
        <v>45.4</v>
      </c>
    </row>
    <row r="1728">
      <c r="A1728" t="inlineStr">
        <is>
          <t>CB</t>
        </is>
      </c>
      <c r="B1728" s="6" t="n">
        <v>60.5</v>
      </c>
    </row>
    <row r="1729">
      <c r="A1729" t="inlineStr">
        <is>
          <t>CB</t>
        </is>
      </c>
      <c r="B1729" s="6" t="n">
        <v>25.95</v>
      </c>
    </row>
    <row r="1730">
      <c r="A1730" t="inlineStr">
        <is>
          <t>ESP</t>
        </is>
      </c>
      <c r="B1730" s="6" t="n">
        <v>26.05</v>
      </c>
    </row>
    <row r="1731">
      <c r="A1731" t="inlineStr">
        <is>
          <t>CB</t>
        </is>
      </c>
      <c r="B1731" s="6" t="n">
        <v>184.5</v>
      </c>
    </row>
    <row r="1732">
      <c r="A1732" t="inlineStr">
        <is>
          <t>CB</t>
        </is>
      </c>
      <c r="B1732" s="6" t="n">
        <v>54.3</v>
      </c>
    </row>
    <row r="1733">
      <c r="A1733" t="inlineStr">
        <is>
          <t>CB</t>
        </is>
      </c>
      <c r="B1733" s="6" t="n">
        <v>80</v>
      </c>
    </row>
    <row r="1734">
      <c r="A1734" t="inlineStr">
        <is>
          <t>CB</t>
        </is>
      </c>
      <c r="B1734" s="6" t="n">
        <v>79</v>
      </c>
    </row>
    <row r="1735">
      <c r="A1735" t="inlineStr">
        <is>
          <t>CB</t>
        </is>
      </c>
      <c r="B1735" s="6" t="n">
        <v>61.1</v>
      </c>
    </row>
    <row r="1736">
      <c r="A1736" t="inlineStr">
        <is>
          <t>CB</t>
        </is>
      </c>
      <c r="B1736" s="6" t="n">
        <v>98.5</v>
      </c>
    </row>
    <row r="1737">
      <c r="A1737" t="inlineStr">
        <is>
          <t>CB</t>
        </is>
      </c>
      <c r="B1737" s="6" t="n">
        <v>59.7</v>
      </c>
    </row>
    <row r="1738">
      <c r="A1738" t="inlineStr">
        <is>
          <t>ESP</t>
        </is>
      </c>
      <c r="B1738" s="6" t="n">
        <v>26.05</v>
      </c>
    </row>
    <row r="1739">
      <c r="A1739" t="inlineStr">
        <is>
          <t>CB</t>
        </is>
      </c>
      <c r="B1739" s="6" t="n">
        <v>55.5</v>
      </c>
    </row>
    <row r="1740">
      <c r="A1740" t="inlineStr">
        <is>
          <t>CB</t>
        </is>
      </c>
      <c r="B1740" s="6" t="n">
        <v>72.40000000000001</v>
      </c>
    </row>
    <row r="1741">
      <c r="A1741" t="inlineStr">
        <is>
          <t>CB</t>
        </is>
      </c>
      <c r="B1741" s="6" t="n">
        <v>24.4</v>
      </c>
    </row>
    <row r="1742">
      <c r="A1742" t="inlineStr">
        <is>
          <t>CB</t>
        </is>
      </c>
      <c r="B1742" s="6" t="n">
        <v>24.4</v>
      </c>
    </row>
    <row r="1743">
      <c r="A1743" t="inlineStr">
        <is>
          <t>CB</t>
        </is>
      </c>
      <c r="B1743" s="6" t="n">
        <v>35.2</v>
      </c>
    </row>
    <row r="1744">
      <c r="A1744" t="inlineStr">
        <is>
          <t>CB</t>
        </is>
      </c>
      <c r="B1744" s="6" t="n">
        <v>80.8</v>
      </c>
    </row>
    <row r="1745">
      <c r="A1745" t="inlineStr">
        <is>
          <t>CB</t>
        </is>
      </c>
      <c r="B1745" s="6" t="n">
        <v>67.40000000000001</v>
      </c>
    </row>
    <row r="1746">
      <c r="A1746" t="inlineStr">
        <is>
          <t>ESP</t>
        </is>
      </c>
      <c r="B1746" s="6" t="n">
        <v>41.3</v>
      </c>
    </row>
    <row r="1747">
      <c r="A1747" t="inlineStr">
        <is>
          <t>CB</t>
        </is>
      </c>
      <c r="B1747" s="6" t="n">
        <v>44.9</v>
      </c>
    </row>
    <row r="1748">
      <c r="A1748" t="inlineStr">
        <is>
          <t>CB</t>
        </is>
      </c>
      <c r="B1748" s="6" t="n">
        <v>61.7</v>
      </c>
    </row>
    <row r="1749">
      <c r="A1749" t="inlineStr">
        <is>
          <t>CB</t>
        </is>
      </c>
      <c r="B1749" s="6" t="n">
        <v>62.6</v>
      </c>
    </row>
    <row r="1750">
      <c r="A1750" t="inlineStr">
        <is>
          <t>CB</t>
        </is>
      </c>
      <c r="B1750" s="6" t="n">
        <v>32.6</v>
      </c>
    </row>
    <row r="1751">
      <c r="A1751" t="inlineStr">
        <is>
          <t>CB</t>
        </is>
      </c>
      <c r="B1751" s="6" t="n">
        <v>76</v>
      </c>
    </row>
    <row r="1752">
      <c r="A1752" t="inlineStr">
        <is>
          <t>CB</t>
        </is>
      </c>
      <c r="B1752" s="6" t="n">
        <v>34.9</v>
      </c>
    </row>
    <row r="1753">
      <c r="A1753" t="inlineStr">
        <is>
          <t>CB</t>
        </is>
      </c>
      <c r="B1753" s="6" t="n">
        <v>46.7</v>
      </c>
    </row>
    <row r="1754">
      <c r="A1754" t="inlineStr">
        <is>
          <t>CB</t>
        </is>
      </c>
      <c r="B1754" s="6" t="n">
        <v>135.7</v>
      </c>
    </row>
    <row r="1755">
      <c r="A1755" t="inlineStr">
        <is>
          <t>CB</t>
        </is>
      </c>
      <c r="B1755" s="6" t="n">
        <v>71.5</v>
      </c>
    </row>
    <row r="1756">
      <c r="A1756" t="inlineStr">
        <is>
          <t>CB</t>
        </is>
      </c>
      <c r="B1756" s="6" t="n">
        <v>69.90000000000001</v>
      </c>
    </row>
    <row r="1757">
      <c r="A1757" t="inlineStr">
        <is>
          <t>CB</t>
        </is>
      </c>
      <c r="B1757" s="6" t="n">
        <v>123</v>
      </c>
    </row>
    <row r="1758">
      <c r="A1758" t="inlineStr">
        <is>
          <t>CB</t>
        </is>
      </c>
      <c r="B1758" s="6" t="n">
        <v>95.8</v>
      </c>
    </row>
    <row r="1759">
      <c r="A1759" t="inlineStr">
        <is>
          <t>CB</t>
        </is>
      </c>
      <c r="B1759" s="6" t="n">
        <v>87.7</v>
      </c>
    </row>
    <row r="1760">
      <c r="A1760" t="inlineStr">
        <is>
          <t>CB</t>
        </is>
      </c>
      <c r="B1760" s="6" t="n">
        <v>105.6</v>
      </c>
    </row>
    <row r="1761">
      <c r="A1761" t="inlineStr">
        <is>
          <t>TR</t>
        </is>
      </c>
      <c r="B1761" s="6" t="n">
        <v>70</v>
      </c>
    </row>
    <row r="1762">
      <c r="A1762" t="inlineStr">
        <is>
          <t>CB</t>
        </is>
      </c>
      <c r="B1762" s="6" t="n">
        <v>35.9</v>
      </c>
    </row>
    <row r="1763">
      <c r="A1763" t="inlineStr">
        <is>
          <t>ESP</t>
        </is>
      </c>
      <c r="B1763" s="6" t="n">
        <v>1.2</v>
      </c>
    </row>
    <row r="1764">
      <c r="A1764" t="inlineStr">
        <is>
          <t>CB</t>
        </is>
      </c>
      <c r="B1764" s="6" t="n">
        <v>54.6</v>
      </c>
    </row>
    <row r="1765">
      <c r="A1765" t="inlineStr">
        <is>
          <t>TR</t>
        </is>
      </c>
      <c r="B1765" s="6" t="n">
        <v>14.4</v>
      </c>
    </row>
    <row r="1766">
      <c r="A1766" t="inlineStr">
        <is>
          <t>CB</t>
        </is>
      </c>
      <c r="B1766" s="6" t="n">
        <v>52</v>
      </c>
    </row>
    <row r="1767">
      <c r="A1767" t="inlineStr">
        <is>
          <t>CB</t>
        </is>
      </c>
      <c r="B1767" s="6" t="n">
        <v>33.5</v>
      </c>
    </row>
    <row r="1768">
      <c r="A1768" t="inlineStr">
        <is>
          <t>CB</t>
        </is>
      </c>
      <c r="B1768" s="6" t="n">
        <v>41.1</v>
      </c>
    </row>
    <row r="1769">
      <c r="A1769" t="inlineStr">
        <is>
          <t>CB</t>
        </is>
      </c>
      <c r="B1769" s="6" t="n">
        <v>63.9</v>
      </c>
    </row>
    <row r="1770">
      <c r="A1770" t="inlineStr">
        <is>
          <t>CB</t>
        </is>
      </c>
      <c r="B1770" s="6" t="n">
        <v>52.4</v>
      </c>
    </row>
    <row r="1771">
      <c r="A1771" t="inlineStr">
        <is>
          <t>CB</t>
        </is>
      </c>
      <c r="B1771" s="6" t="n">
        <v>78.09999999999999</v>
      </c>
    </row>
    <row r="1772">
      <c r="A1772" t="inlineStr">
        <is>
          <t>CB</t>
        </is>
      </c>
      <c r="B1772" s="6" t="n">
        <v>17.8</v>
      </c>
    </row>
    <row r="1773">
      <c r="A1773" t="inlineStr">
        <is>
          <t>CB</t>
        </is>
      </c>
      <c r="B1773" s="6" t="n">
        <v>65.59999999999999</v>
      </c>
    </row>
    <row r="1774">
      <c r="A1774" t="inlineStr">
        <is>
          <t>CB</t>
        </is>
      </c>
      <c r="B1774" s="6" t="n">
        <v>63.2</v>
      </c>
    </row>
    <row r="1775">
      <c r="A1775" t="inlineStr">
        <is>
          <t>CB</t>
        </is>
      </c>
      <c r="B1775" s="6" t="n">
        <v>80.5</v>
      </c>
    </row>
    <row r="1776">
      <c r="A1776" t="inlineStr">
        <is>
          <t>CB</t>
        </is>
      </c>
      <c r="B1776" s="6" t="n">
        <v>62.7</v>
      </c>
    </row>
    <row r="1777">
      <c r="A1777" t="inlineStr">
        <is>
          <t>CB</t>
        </is>
      </c>
      <c r="B1777" s="6" t="n">
        <v>217.3</v>
      </c>
    </row>
    <row r="1778">
      <c r="A1778" t="inlineStr">
        <is>
          <t>CB</t>
        </is>
      </c>
      <c r="B1778" s="6" t="n">
        <v>46.7</v>
      </c>
    </row>
    <row r="1779">
      <c r="A1779" t="inlineStr">
        <is>
          <t>CB</t>
        </is>
      </c>
      <c r="B1779" s="6" t="n">
        <v>91.7</v>
      </c>
    </row>
    <row r="1780">
      <c r="A1780" t="inlineStr">
        <is>
          <t>CB</t>
        </is>
      </c>
      <c r="B1780" s="6" t="n">
        <v>105.7</v>
      </c>
    </row>
    <row r="1781">
      <c r="A1781" t="inlineStr">
        <is>
          <t>CB</t>
        </is>
      </c>
      <c r="B1781" s="6" t="n">
        <v>78.3</v>
      </c>
    </row>
    <row r="1782">
      <c r="A1782" t="inlineStr">
        <is>
          <t>CB</t>
        </is>
      </c>
      <c r="B1782" s="6" t="n">
        <v>49.7</v>
      </c>
    </row>
    <row r="1783">
      <c r="A1783" t="inlineStr">
        <is>
          <t>CB</t>
        </is>
      </c>
      <c r="B1783" s="6" t="n">
        <v>69.90000000000001</v>
      </c>
    </row>
    <row r="1784">
      <c r="A1784" t="inlineStr">
        <is>
          <t>CB</t>
        </is>
      </c>
      <c r="B1784" s="6" t="n">
        <v>73.2</v>
      </c>
    </row>
    <row r="1785">
      <c r="A1785" t="inlineStr">
        <is>
          <t>CB</t>
        </is>
      </c>
      <c r="B1785" s="6" t="n">
        <v>78.5</v>
      </c>
    </row>
    <row r="1786">
      <c r="A1786" t="inlineStr">
        <is>
          <t>CB</t>
        </is>
      </c>
      <c r="B1786" s="6" t="n">
        <v>92</v>
      </c>
    </row>
    <row r="1787">
      <c r="A1787" t="inlineStr">
        <is>
          <t>CB</t>
        </is>
      </c>
      <c r="B1787" s="6" t="n">
        <v>98.3</v>
      </c>
    </row>
    <row r="1788">
      <c r="A1788" t="inlineStr">
        <is>
          <t>CB</t>
        </is>
      </c>
      <c r="B1788" s="6" t="n">
        <v>61.3</v>
      </c>
    </row>
    <row r="1789">
      <c r="A1789" t="inlineStr">
        <is>
          <t>CB</t>
        </is>
      </c>
      <c r="B1789" s="6" t="n">
        <v>81.3</v>
      </c>
    </row>
    <row r="1790">
      <c r="A1790" t="inlineStr">
        <is>
          <t>CB</t>
        </is>
      </c>
      <c r="B1790" s="6" t="n">
        <v>67.59999999999999</v>
      </c>
    </row>
    <row r="1791">
      <c r="A1791" t="inlineStr">
        <is>
          <t>CB</t>
        </is>
      </c>
      <c r="B1791" s="6" t="n">
        <v>66.2</v>
      </c>
    </row>
    <row r="1792">
      <c r="A1792" t="inlineStr">
        <is>
          <t>CB</t>
        </is>
      </c>
      <c r="B1792" s="6" t="n">
        <v>114.1</v>
      </c>
    </row>
    <row r="1793">
      <c r="A1793" t="inlineStr">
        <is>
          <t>CB</t>
        </is>
      </c>
      <c r="B1793" s="6" t="n">
        <v>55.9</v>
      </c>
    </row>
    <row r="1794">
      <c r="A1794" t="inlineStr">
        <is>
          <t>CB</t>
        </is>
      </c>
      <c r="B1794" s="6" t="n">
        <v>62.5</v>
      </c>
    </row>
    <row r="1795">
      <c r="A1795" t="inlineStr">
        <is>
          <t>TR</t>
        </is>
      </c>
      <c r="B1795" s="6" t="n">
        <v>18</v>
      </c>
    </row>
    <row r="1796">
      <c r="A1796" t="inlineStr">
        <is>
          <t>CB</t>
        </is>
      </c>
      <c r="B1796" s="6" t="n">
        <v>47.4</v>
      </c>
    </row>
    <row r="1797">
      <c r="A1797" t="inlineStr">
        <is>
          <t>CB</t>
        </is>
      </c>
      <c r="B1797" s="6" t="n">
        <v>69.59999999999999</v>
      </c>
    </row>
    <row r="1798">
      <c r="A1798" t="inlineStr">
        <is>
          <t>CB</t>
        </is>
      </c>
      <c r="B1798" s="6" t="n">
        <v>61.9</v>
      </c>
    </row>
    <row r="1799">
      <c r="A1799" t="inlineStr">
        <is>
          <t>CB</t>
        </is>
      </c>
      <c r="B1799" s="6" t="n">
        <v>102.4</v>
      </c>
    </row>
    <row r="1800">
      <c r="A1800" t="inlineStr">
        <is>
          <t>CB</t>
        </is>
      </c>
      <c r="B1800" s="6" t="n">
        <v>92.7</v>
      </c>
    </row>
    <row r="1801">
      <c r="A1801" t="inlineStr">
        <is>
          <t>CB</t>
        </is>
      </c>
      <c r="B1801" s="6" t="n">
        <v>131.4</v>
      </c>
    </row>
    <row r="1802">
      <c r="A1802" t="inlineStr">
        <is>
          <t>CB</t>
        </is>
      </c>
      <c r="B1802" s="6" t="n">
        <v>59.6</v>
      </c>
    </row>
    <row r="1803">
      <c r="A1803" t="inlineStr">
        <is>
          <t>CB</t>
        </is>
      </c>
      <c r="B1803" s="6" t="n">
        <v>43.4</v>
      </c>
    </row>
    <row r="1804">
      <c r="A1804" t="inlineStr">
        <is>
          <t>CB</t>
        </is>
      </c>
      <c r="B1804" s="6" t="n">
        <v>53.2</v>
      </c>
    </row>
    <row r="1805">
      <c r="A1805" t="inlineStr">
        <is>
          <t>CB</t>
        </is>
      </c>
      <c r="B1805" s="6" t="n">
        <v>67.59999999999999</v>
      </c>
    </row>
    <row r="1806">
      <c r="A1806" t="inlineStr">
        <is>
          <t>CB</t>
        </is>
      </c>
      <c r="B1806" s="6" t="n">
        <v>70.90000000000001</v>
      </c>
    </row>
    <row r="1807">
      <c r="A1807" t="inlineStr">
        <is>
          <t>CHV</t>
        </is>
      </c>
      <c r="B1807" s="6" t="n">
        <v>40</v>
      </c>
    </row>
    <row r="1808">
      <c r="A1808" t="inlineStr">
        <is>
          <t>ESP</t>
        </is>
      </c>
      <c r="B1808" s="6" t="n">
        <v>7.1</v>
      </c>
    </row>
    <row r="1809">
      <c r="A1809" t="inlineStr">
        <is>
          <t>CB</t>
        </is>
      </c>
      <c r="B1809" s="6" t="n">
        <v>29.7</v>
      </c>
    </row>
    <row r="1810">
      <c r="A1810" t="inlineStr">
        <is>
          <t>CB</t>
        </is>
      </c>
      <c r="B1810" s="6" t="n">
        <v>43.4</v>
      </c>
    </row>
    <row r="1811">
      <c r="A1811" t="inlineStr">
        <is>
          <t>CB</t>
        </is>
      </c>
      <c r="B1811" s="6" t="n">
        <v>48.2</v>
      </c>
    </row>
    <row r="1812">
      <c r="A1812" t="inlineStr">
        <is>
          <t>CB</t>
        </is>
      </c>
      <c r="B1812" s="6" t="n">
        <v>41.6</v>
      </c>
    </row>
    <row r="1813">
      <c r="A1813" t="inlineStr">
        <is>
          <t>CB</t>
        </is>
      </c>
      <c r="B1813" s="6" t="n">
        <v>80.09999999999999</v>
      </c>
    </row>
    <row r="1814">
      <c r="A1814" t="inlineStr">
        <is>
          <t>CB</t>
        </is>
      </c>
      <c r="B1814" s="6" t="n">
        <v>25.3</v>
      </c>
    </row>
    <row r="1815">
      <c r="A1815" t="inlineStr">
        <is>
          <t>CB</t>
        </is>
      </c>
      <c r="B1815" s="6" t="n">
        <v>48.6</v>
      </c>
    </row>
    <row r="1816">
      <c r="A1816" t="inlineStr">
        <is>
          <t>CHV</t>
        </is>
      </c>
      <c r="B1816" s="6" t="n">
        <v>70</v>
      </c>
    </row>
    <row r="1817">
      <c r="A1817" t="inlineStr">
        <is>
          <t>ESP</t>
        </is>
      </c>
      <c r="B1817" s="6" t="n">
        <v>2.3</v>
      </c>
    </row>
    <row r="1818">
      <c r="A1818" t="inlineStr">
        <is>
          <t>CB</t>
        </is>
      </c>
      <c r="B1818" s="6" t="n">
        <v>263.1</v>
      </c>
    </row>
    <row r="1819">
      <c r="A1819" t="inlineStr">
        <is>
          <t>CB</t>
        </is>
      </c>
      <c r="B1819" s="6" t="n">
        <v>133.2</v>
      </c>
    </row>
    <row r="1820">
      <c r="A1820" t="inlineStr">
        <is>
          <t>CHV</t>
        </is>
      </c>
      <c r="B1820" s="6" t="n">
        <v>20</v>
      </c>
    </row>
    <row r="1821">
      <c r="A1821" t="inlineStr">
        <is>
          <t>CB</t>
        </is>
      </c>
      <c r="B1821" s="6" t="n">
        <v>20.2</v>
      </c>
    </row>
    <row r="1822">
      <c r="A1822" t="inlineStr">
        <is>
          <t>CB</t>
        </is>
      </c>
      <c r="B1822" s="6" t="n">
        <v>255.9</v>
      </c>
    </row>
    <row r="1823">
      <c r="A1823" t="inlineStr">
        <is>
          <t>CB</t>
        </is>
      </c>
      <c r="B1823" s="6" t="n">
        <v>53.2</v>
      </c>
    </row>
    <row r="1824">
      <c r="A1824" t="inlineStr">
        <is>
          <t>CB</t>
        </is>
      </c>
      <c r="B1824" s="6" t="n">
        <v>213.1</v>
      </c>
    </row>
    <row r="1825">
      <c r="A1825" t="inlineStr">
        <is>
          <t>CB</t>
        </is>
      </c>
      <c r="B1825" s="6" t="n">
        <v>106.7</v>
      </c>
    </row>
    <row r="1826">
      <c r="A1826" t="inlineStr">
        <is>
          <t>CB</t>
        </is>
      </c>
      <c r="B1826" s="6" t="n">
        <v>90.09999999999999</v>
      </c>
    </row>
    <row r="1827">
      <c r="A1827" t="inlineStr">
        <is>
          <t>CB</t>
        </is>
      </c>
      <c r="B1827" s="6" t="n">
        <v>29.9</v>
      </c>
    </row>
    <row r="1828">
      <c r="A1828" t="inlineStr">
        <is>
          <t>CB</t>
        </is>
      </c>
      <c r="B1828" s="6" t="n">
        <v>26.55</v>
      </c>
    </row>
    <row r="1829">
      <c r="A1829" t="inlineStr">
        <is>
          <t>CB</t>
        </is>
      </c>
      <c r="B1829" s="6" t="n">
        <v>36.5</v>
      </c>
    </row>
    <row r="1830">
      <c r="A1830" t="inlineStr">
        <is>
          <t>TR</t>
        </is>
      </c>
      <c r="B1830" s="6" t="n">
        <v>36</v>
      </c>
    </row>
    <row r="1831">
      <c r="A1831" t="inlineStr">
        <is>
          <t>CB</t>
        </is>
      </c>
      <c r="B1831" s="6" t="n">
        <v>23.3</v>
      </c>
    </row>
    <row r="1832">
      <c r="A1832" t="inlineStr">
        <is>
          <t>CB</t>
        </is>
      </c>
      <c r="B1832" s="6" t="n">
        <v>59.4</v>
      </c>
    </row>
    <row r="1833">
      <c r="A1833" t="inlineStr">
        <is>
          <t>CB</t>
        </is>
      </c>
      <c r="B1833" s="6" t="n">
        <v>69.7</v>
      </c>
    </row>
    <row r="1834">
      <c r="A1834" t="inlineStr">
        <is>
          <t>CB</t>
        </is>
      </c>
      <c r="B1834" s="6" t="n">
        <v>26.55</v>
      </c>
    </row>
    <row r="1835">
      <c r="A1835" t="inlineStr">
        <is>
          <t>CB</t>
        </is>
      </c>
      <c r="B1835" s="6" t="n">
        <v>25.3</v>
      </c>
    </row>
    <row r="1836">
      <c r="A1836" t="inlineStr">
        <is>
          <t>TR</t>
        </is>
      </c>
      <c r="B1836" s="6" t="n">
        <v>24</v>
      </c>
    </row>
    <row r="1837">
      <c r="A1837" t="inlineStr">
        <is>
          <t>CB</t>
        </is>
      </c>
      <c r="B1837" s="6" t="n">
        <v>12.9</v>
      </c>
    </row>
    <row r="1838">
      <c r="A1838" t="inlineStr">
        <is>
          <t>CB</t>
        </is>
      </c>
      <c r="B1838" s="6" t="n">
        <v>61.8</v>
      </c>
    </row>
    <row r="1839">
      <c r="A1839" t="inlineStr">
        <is>
          <t>CB</t>
        </is>
      </c>
      <c r="B1839" s="6" t="n">
        <v>42.4</v>
      </c>
    </row>
    <row r="1840">
      <c r="A1840" t="inlineStr">
        <is>
          <t>CHV</t>
        </is>
      </c>
      <c r="B1840" s="6" t="n">
        <v>60</v>
      </c>
    </row>
    <row r="1841">
      <c r="A1841" t="inlineStr">
        <is>
          <t>CB</t>
        </is>
      </c>
      <c r="B1841" s="6" t="n">
        <v>208.6</v>
      </c>
    </row>
    <row r="1842">
      <c r="A1842" t="inlineStr">
        <is>
          <t>CB</t>
        </is>
      </c>
      <c r="B1842" s="6" t="n">
        <v>58.3</v>
      </c>
    </row>
    <row r="1843">
      <c r="A1843" t="inlineStr">
        <is>
          <t>CHQ</t>
        </is>
      </c>
      <c r="B1843" s="6" t="n">
        <v>81.90000000000001</v>
      </c>
    </row>
    <row r="1844">
      <c r="A1844" t="inlineStr">
        <is>
          <t>CB</t>
        </is>
      </c>
      <c r="B1844" s="6" t="n">
        <v>110.1</v>
      </c>
    </row>
    <row r="1845">
      <c r="A1845" t="inlineStr">
        <is>
          <t>CB</t>
        </is>
      </c>
      <c r="B1845" s="6" t="n">
        <v>55.8</v>
      </c>
    </row>
    <row r="1846">
      <c r="A1846" t="inlineStr">
        <is>
          <t>CB</t>
        </is>
      </c>
      <c r="B1846" s="6" t="n">
        <v>152.6</v>
      </c>
    </row>
    <row r="1847">
      <c r="A1847" t="inlineStr">
        <is>
          <t>CB</t>
        </is>
      </c>
      <c r="B1847" s="6" t="n">
        <v>109</v>
      </c>
    </row>
    <row r="1848">
      <c r="A1848" t="inlineStr">
        <is>
          <t>CB</t>
        </is>
      </c>
      <c r="B1848" s="6" t="n">
        <v>52.2</v>
      </c>
    </row>
    <row r="1849">
      <c r="A1849" t="inlineStr">
        <is>
          <t>CB</t>
        </is>
      </c>
      <c r="B1849" s="6" t="n">
        <v>57.6</v>
      </c>
    </row>
    <row r="1850">
      <c r="A1850" t="inlineStr">
        <is>
          <t>CB</t>
        </is>
      </c>
      <c r="B1850" s="6" t="n">
        <v>88.40000000000001</v>
      </c>
    </row>
    <row r="1851">
      <c r="A1851" t="inlineStr">
        <is>
          <t>CB</t>
        </is>
      </c>
      <c r="B1851" s="6" t="n">
        <v>61.8</v>
      </c>
    </row>
    <row r="1852">
      <c r="A1852" t="inlineStr">
        <is>
          <t>CB</t>
        </is>
      </c>
      <c r="B1852" s="6" t="n">
        <v>32</v>
      </c>
    </row>
    <row r="1853">
      <c r="A1853" t="inlineStr">
        <is>
          <t>CB</t>
        </is>
      </c>
      <c r="B1853" s="6" t="n">
        <v>50.2</v>
      </c>
    </row>
    <row r="1854">
      <c r="A1854" t="inlineStr">
        <is>
          <t>CB</t>
        </is>
      </c>
      <c r="B1854" s="6" t="n">
        <v>42.4</v>
      </c>
    </row>
    <row r="1855">
      <c r="A1855" t="inlineStr">
        <is>
          <t>CB</t>
        </is>
      </c>
      <c r="B1855" s="6" t="n">
        <v>69.59999999999999</v>
      </c>
    </row>
    <row r="1856">
      <c r="A1856" t="inlineStr">
        <is>
          <t>CB</t>
        </is>
      </c>
      <c r="B1856" s="6" t="n">
        <v>82.90000000000001</v>
      </c>
    </row>
    <row r="1857">
      <c r="A1857" t="inlineStr">
        <is>
          <t>CB</t>
        </is>
      </c>
      <c r="B1857" s="6" t="n">
        <v>65</v>
      </c>
    </row>
    <row r="1858">
      <c r="A1858" t="inlineStr">
        <is>
          <t>CB</t>
        </is>
      </c>
      <c r="B1858" s="6" t="n">
        <v>36.9</v>
      </c>
    </row>
    <row r="1859">
      <c r="A1859" t="inlineStr">
        <is>
          <t>CB</t>
        </is>
      </c>
      <c r="B1859" s="6" t="n">
        <v>60</v>
      </c>
    </row>
    <row r="1860">
      <c r="A1860" t="inlineStr">
        <is>
          <t>CB</t>
        </is>
      </c>
      <c r="B1860" s="6" t="n">
        <v>56</v>
      </c>
    </row>
    <row r="1861">
      <c r="A1861" t="inlineStr">
        <is>
          <t>CB</t>
        </is>
      </c>
      <c r="B1861" s="6" t="n">
        <v>80.40000000000001</v>
      </c>
    </row>
    <row r="1862">
      <c r="A1862" t="inlineStr">
        <is>
          <t>CB</t>
        </is>
      </c>
      <c r="B1862" s="6" t="n">
        <v>109.8</v>
      </c>
    </row>
    <row r="1863">
      <c r="A1863" t="inlineStr">
        <is>
          <t>CB</t>
        </is>
      </c>
      <c r="B1863" s="6" t="n">
        <v>110</v>
      </c>
    </row>
    <row r="1864">
      <c r="A1864" t="inlineStr">
        <is>
          <t>CB</t>
        </is>
      </c>
      <c r="B1864" s="6" t="n">
        <v>73.90000000000001</v>
      </c>
    </row>
    <row r="1865">
      <c r="A1865" t="inlineStr">
        <is>
          <t>CB</t>
        </is>
      </c>
      <c r="B1865" s="6" t="n">
        <v>22.7</v>
      </c>
    </row>
    <row r="1866">
      <c r="A1866" t="inlineStr">
        <is>
          <t>CB</t>
        </is>
      </c>
      <c r="B1866" s="6" t="n">
        <v>70.59999999999999</v>
      </c>
    </row>
    <row r="1867">
      <c r="A1867" t="inlineStr">
        <is>
          <t>CB</t>
        </is>
      </c>
      <c r="B1867" s="6" t="n">
        <v>56.8</v>
      </c>
    </row>
    <row r="1868">
      <c r="A1868" t="inlineStr">
        <is>
          <t>ESP</t>
        </is>
      </c>
      <c r="B1868" s="6" t="n">
        <v>107</v>
      </c>
    </row>
    <row r="1869">
      <c r="A1869" t="inlineStr">
        <is>
          <t>CB</t>
        </is>
      </c>
      <c r="B1869" s="6" t="n">
        <v>34.3</v>
      </c>
    </row>
    <row r="1870">
      <c r="A1870" t="inlineStr">
        <is>
          <t>CB</t>
        </is>
      </c>
      <c r="B1870" s="6" t="n">
        <v>30.7</v>
      </c>
    </row>
    <row r="1871">
      <c r="A1871" t="inlineStr">
        <is>
          <t>CB</t>
        </is>
      </c>
      <c r="B1871" s="6" t="n">
        <v>67.5</v>
      </c>
    </row>
    <row r="1872">
      <c r="A1872" t="inlineStr">
        <is>
          <t>CB</t>
        </is>
      </c>
      <c r="B1872" s="6" t="n">
        <v>48.2</v>
      </c>
    </row>
    <row r="1873">
      <c r="A1873" t="inlineStr">
        <is>
          <t>ESP</t>
        </is>
      </c>
      <c r="B1873" s="6" t="n">
        <v>49.4</v>
      </c>
    </row>
    <row r="1874">
      <c r="A1874" t="inlineStr">
        <is>
          <t>CB</t>
        </is>
      </c>
      <c r="B1874" s="6" t="n">
        <v>83.8</v>
      </c>
    </row>
    <row r="1875">
      <c r="A1875" t="inlineStr">
        <is>
          <t>CB</t>
        </is>
      </c>
      <c r="B1875" s="6" t="n">
        <v>48.4</v>
      </c>
    </row>
    <row r="1876">
      <c r="A1876" t="inlineStr">
        <is>
          <t>CB</t>
        </is>
      </c>
      <c r="B1876" s="6" t="n">
        <v>95.40000000000001</v>
      </c>
    </row>
    <row r="1877">
      <c r="A1877" t="inlineStr">
        <is>
          <t>CB</t>
        </is>
      </c>
      <c r="B1877" s="6" t="n">
        <v>138.2</v>
      </c>
    </row>
    <row r="1878">
      <c r="A1878" t="inlineStr">
        <is>
          <t>CB</t>
        </is>
      </c>
      <c r="B1878" s="6" t="n">
        <v>74.90000000000001</v>
      </c>
    </row>
    <row r="1879">
      <c r="A1879" t="inlineStr">
        <is>
          <t>CB</t>
        </is>
      </c>
      <c r="B1879" s="6" t="n">
        <v>49.4</v>
      </c>
    </row>
    <row r="1880">
      <c r="A1880" t="inlineStr">
        <is>
          <t>CB</t>
        </is>
      </c>
      <c r="B1880" s="6" t="n">
        <v>48.2</v>
      </c>
    </row>
    <row r="1881">
      <c r="A1881" t="inlineStr">
        <is>
          <t>CB</t>
        </is>
      </c>
      <c r="B1881" s="6" t="n">
        <v>51.6</v>
      </c>
    </row>
    <row r="1882">
      <c r="A1882" t="inlineStr">
        <is>
          <t>CB</t>
        </is>
      </c>
      <c r="B1882" s="6" t="n">
        <v>62.3</v>
      </c>
    </row>
    <row r="1883">
      <c r="A1883" t="inlineStr">
        <is>
          <t>CB</t>
        </is>
      </c>
      <c r="B1883" s="6" t="n">
        <v>83</v>
      </c>
    </row>
    <row r="1884">
      <c r="A1884" t="inlineStr">
        <is>
          <t>CB</t>
        </is>
      </c>
      <c r="B1884" s="6" t="n">
        <v>96.09999999999999</v>
      </c>
    </row>
    <row r="1885">
      <c r="A1885" t="inlineStr">
        <is>
          <t>CB</t>
        </is>
      </c>
      <c r="B1885" s="6" t="n">
        <v>109.1</v>
      </c>
    </row>
    <row r="1886">
      <c r="A1886" t="inlineStr">
        <is>
          <t>CB</t>
        </is>
      </c>
      <c r="B1886" s="6" t="n">
        <v>68.59999999999999</v>
      </c>
    </row>
    <row r="1887">
      <c r="A1887" t="inlineStr">
        <is>
          <t>CB</t>
        </is>
      </c>
      <c r="B1887" s="6" t="n">
        <v>73.09999999999999</v>
      </c>
    </row>
    <row r="1888">
      <c r="A1888" t="inlineStr">
        <is>
          <t>CB</t>
        </is>
      </c>
      <c r="B1888" s="6" t="n">
        <v>129.5</v>
      </c>
    </row>
    <row r="1889">
      <c r="A1889" t="inlineStr">
        <is>
          <t>CB</t>
        </is>
      </c>
      <c r="B1889" s="6" t="n">
        <v>141</v>
      </c>
    </row>
    <row r="1890">
      <c r="A1890" t="inlineStr">
        <is>
          <t>CB</t>
        </is>
      </c>
      <c r="B1890" s="6" t="n">
        <v>58</v>
      </c>
    </row>
    <row r="1891">
      <c r="A1891" t="inlineStr">
        <is>
          <t>CHV</t>
        </is>
      </c>
      <c r="B1891" s="6" t="n">
        <v>60</v>
      </c>
    </row>
    <row r="1892">
      <c r="A1892" t="inlineStr">
        <is>
          <t>ESP</t>
        </is>
      </c>
      <c r="B1892" s="6" t="n">
        <v>1.1</v>
      </c>
    </row>
    <row r="1893">
      <c r="A1893" t="inlineStr">
        <is>
          <t>CB</t>
        </is>
      </c>
      <c r="B1893" s="6" t="n">
        <v>85.40000000000001</v>
      </c>
    </row>
    <row r="1894">
      <c r="A1894" t="inlineStr">
        <is>
          <t>CB</t>
        </is>
      </c>
      <c r="B1894" s="6" t="n">
        <v>80.3</v>
      </c>
    </row>
    <row r="1895">
      <c r="A1895" t="inlineStr">
        <is>
          <t>TR</t>
        </is>
      </c>
      <c r="B1895" s="6" t="n">
        <v>8.300000000000001</v>
      </c>
    </row>
    <row r="1896">
      <c r="A1896" t="inlineStr">
        <is>
          <t>CB</t>
        </is>
      </c>
      <c r="B1896" s="6" t="n">
        <v>45.6</v>
      </c>
    </row>
    <row r="1897">
      <c r="A1897" t="inlineStr">
        <is>
          <t>CB</t>
        </is>
      </c>
      <c r="B1897" s="6" t="n">
        <v>24</v>
      </c>
    </row>
    <row r="1898">
      <c r="A1898" t="inlineStr">
        <is>
          <t>CB</t>
        </is>
      </c>
      <c r="B1898" s="6" t="n">
        <v>71.3</v>
      </c>
    </row>
    <row r="1899">
      <c r="A1899" t="inlineStr">
        <is>
          <t>CB</t>
        </is>
      </c>
      <c r="B1899" s="6" t="n">
        <v>63.2</v>
      </c>
    </row>
    <row r="1900">
      <c r="A1900" t="inlineStr">
        <is>
          <t>ESP</t>
        </is>
      </c>
      <c r="B1900" s="6" t="n">
        <v>47.5</v>
      </c>
    </row>
    <row r="1901">
      <c r="A1901" t="inlineStr">
        <is>
          <t>CB</t>
        </is>
      </c>
      <c r="B1901" s="6" t="n">
        <v>40</v>
      </c>
    </row>
    <row r="1902">
      <c r="A1902" t="inlineStr">
        <is>
          <t>CB</t>
        </is>
      </c>
      <c r="B1902" s="6" t="n">
        <v>40.5</v>
      </c>
    </row>
    <row r="1903">
      <c r="A1903" t="inlineStr">
        <is>
          <t>CB</t>
        </is>
      </c>
      <c r="B1903" s="6" t="n">
        <v>40.5</v>
      </c>
    </row>
    <row r="1904">
      <c r="A1904" t="inlineStr">
        <is>
          <t>CB</t>
        </is>
      </c>
      <c r="B1904" s="6" t="n">
        <v>32.4</v>
      </c>
    </row>
    <row r="1905">
      <c r="A1905" t="inlineStr">
        <is>
          <t>CB</t>
        </is>
      </c>
      <c r="B1905" s="6" t="n">
        <v>32.4</v>
      </c>
    </row>
    <row r="1906">
      <c r="A1906" t="inlineStr">
        <is>
          <t>CB</t>
        </is>
      </c>
      <c r="B1906" s="6" t="n">
        <v>32.4</v>
      </c>
    </row>
    <row r="1907">
      <c r="A1907" t="inlineStr">
        <is>
          <t>CB</t>
        </is>
      </c>
      <c r="B1907" s="6" t="n">
        <v>150.5</v>
      </c>
    </row>
    <row r="1908">
      <c r="A1908" t="inlineStr">
        <is>
          <t>CB</t>
        </is>
      </c>
      <c r="B1908" s="6" t="n">
        <v>60</v>
      </c>
    </row>
    <row r="1909">
      <c r="A1909" t="inlineStr">
        <is>
          <t>CB</t>
        </is>
      </c>
      <c r="B1909" s="6" t="n">
        <v>62.9</v>
      </c>
    </row>
    <row r="1910">
      <c r="A1910" t="inlineStr">
        <is>
          <t>CB</t>
        </is>
      </c>
      <c r="B1910" s="6" t="n">
        <v>75.8</v>
      </c>
    </row>
    <row r="1911">
      <c r="A1911" t="inlineStr">
        <is>
          <t>CB</t>
        </is>
      </c>
      <c r="B1911" s="6" t="n">
        <v>53.1</v>
      </c>
    </row>
    <row r="1912">
      <c r="A1912" t="inlineStr">
        <is>
          <t>CB</t>
        </is>
      </c>
      <c r="B1912" s="6" t="n">
        <v>30</v>
      </c>
    </row>
    <row r="1913">
      <c r="A1913" t="inlineStr">
        <is>
          <t>CB</t>
        </is>
      </c>
      <c r="B1913" s="6" t="n">
        <v>39.2</v>
      </c>
    </row>
    <row r="1914">
      <c r="A1914" t="inlineStr">
        <is>
          <t>CB</t>
        </is>
      </c>
      <c r="B1914" s="6" t="n">
        <v>44</v>
      </c>
    </row>
    <row r="1915">
      <c r="A1915" t="inlineStr">
        <is>
          <t>CB</t>
        </is>
      </c>
      <c r="B1915" s="6" t="n">
        <v>35.1</v>
      </c>
    </row>
    <row r="1916">
      <c r="A1916" t="inlineStr">
        <is>
          <t>CB</t>
        </is>
      </c>
      <c r="B1916" s="6" t="n">
        <v>41.7</v>
      </c>
    </row>
    <row r="1917">
      <c r="A1917" t="inlineStr">
        <is>
          <t>CB</t>
        </is>
      </c>
      <c r="B1917" s="6" t="n">
        <v>39.2</v>
      </c>
    </row>
    <row r="1918">
      <c r="A1918" t="inlineStr">
        <is>
          <t>CB</t>
        </is>
      </c>
      <c r="B1918" s="6" t="n">
        <v>35.1</v>
      </c>
    </row>
    <row r="1919">
      <c r="A1919" t="inlineStr">
        <is>
          <t>CB</t>
        </is>
      </c>
      <c r="B1919" s="6" t="n">
        <v>29.3</v>
      </c>
    </row>
    <row r="1920">
      <c r="A1920" t="inlineStr">
        <is>
          <t>CB</t>
        </is>
      </c>
      <c r="B1920" s="6" t="n">
        <v>115.1</v>
      </c>
    </row>
    <row r="1921">
      <c r="A1921" t="inlineStr">
        <is>
          <t>CB</t>
        </is>
      </c>
      <c r="B1921" s="6" t="n">
        <v>61.5</v>
      </c>
    </row>
    <row r="1922">
      <c r="A1922" t="inlineStr">
        <is>
          <t>CB</t>
        </is>
      </c>
      <c r="B1922" s="6" t="n">
        <v>65.40000000000001</v>
      </c>
    </row>
    <row r="1923">
      <c r="A1923" t="inlineStr">
        <is>
          <t>CB</t>
        </is>
      </c>
      <c r="B1923" s="6" t="n">
        <v>28</v>
      </c>
    </row>
    <row r="1924">
      <c r="A1924" t="inlineStr">
        <is>
          <t>TR</t>
        </is>
      </c>
      <c r="B1924" s="6" t="n">
        <v>16.66</v>
      </c>
    </row>
    <row r="1925">
      <c r="A1925" t="inlineStr">
        <is>
          <t>CB</t>
        </is>
      </c>
      <c r="B1925" s="6" t="n">
        <v>55.74</v>
      </c>
    </row>
    <row r="1926">
      <c r="A1926" t="inlineStr">
        <is>
          <t>CB</t>
        </is>
      </c>
      <c r="B1926" s="6" t="n">
        <v>117</v>
      </c>
    </row>
    <row r="1927">
      <c r="A1927" t="inlineStr">
        <is>
          <t>CB</t>
        </is>
      </c>
      <c r="B1927" s="6" t="n">
        <v>63.7</v>
      </c>
    </row>
    <row r="1928">
      <c r="A1928" t="inlineStr">
        <is>
          <t>CB</t>
        </is>
      </c>
      <c r="B1928" s="6" t="n">
        <v>59.4</v>
      </c>
    </row>
    <row r="1929">
      <c r="A1929" t="inlineStr">
        <is>
          <t>CB</t>
        </is>
      </c>
      <c r="B1929" s="6" t="n">
        <v>49.8</v>
      </c>
    </row>
    <row r="1930">
      <c r="A1930" t="inlineStr">
        <is>
          <t>CB</t>
        </is>
      </c>
      <c r="B1930" s="6" t="n">
        <v>87.09999999999999</v>
      </c>
    </row>
    <row r="1931">
      <c r="A1931" t="inlineStr">
        <is>
          <t>CB</t>
        </is>
      </c>
      <c r="B1931" s="6" t="n">
        <v>29.3</v>
      </c>
    </row>
    <row r="1932">
      <c r="A1932" t="inlineStr">
        <is>
          <t>CB</t>
        </is>
      </c>
      <c r="B1932" s="6" t="n">
        <v>28</v>
      </c>
    </row>
    <row r="1933">
      <c r="A1933" t="inlineStr">
        <is>
          <t>CB</t>
        </is>
      </c>
      <c r="B1933" s="6" t="n">
        <v>66.8</v>
      </c>
    </row>
    <row r="1934">
      <c r="A1934" t="inlineStr">
        <is>
          <t>CB</t>
        </is>
      </c>
      <c r="B1934" s="6" t="n">
        <v>112.4</v>
      </c>
    </row>
    <row r="1935">
      <c r="A1935" t="inlineStr">
        <is>
          <t>CB</t>
        </is>
      </c>
      <c r="B1935" s="6" t="n">
        <v>22.2</v>
      </c>
    </row>
    <row r="1936">
      <c r="A1936" t="inlineStr">
        <is>
          <t>CB</t>
        </is>
      </c>
      <c r="B1936" s="6" t="n">
        <v>77.09999999999999</v>
      </c>
    </row>
    <row r="1937">
      <c r="A1937" t="inlineStr">
        <is>
          <t>CB</t>
        </is>
      </c>
      <c r="B1937" s="6" t="n">
        <v>44.9</v>
      </c>
    </row>
    <row r="1938">
      <c r="A1938" t="inlineStr">
        <is>
          <t>TR</t>
        </is>
      </c>
      <c r="B1938" s="6" t="n">
        <v>38</v>
      </c>
    </row>
    <row r="1939">
      <c r="A1939" t="inlineStr">
        <is>
          <t>CB</t>
        </is>
      </c>
      <c r="B1939" s="6" t="n">
        <v>10.4</v>
      </c>
    </row>
    <row r="1940">
      <c r="A1940" t="inlineStr">
        <is>
          <t>CB</t>
        </is>
      </c>
      <c r="B1940" s="6" t="n">
        <v>83.40000000000001</v>
      </c>
    </row>
    <row r="1941">
      <c r="A1941" t="inlineStr">
        <is>
          <t>CB</t>
        </is>
      </c>
      <c r="B1941" s="6" t="n">
        <v>22</v>
      </c>
    </row>
    <row r="1942">
      <c r="A1942" t="inlineStr">
        <is>
          <t>CB</t>
        </is>
      </c>
      <c r="B1942" s="6" t="n">
        <v>61.1</v>
      </c>
    </row>
    <row r="1943">
      <c r="A1943" t="inlineStr">
        <is>
          <t>CB</t>
        </is>
      </c>
      <c r="B1943" s="6" t="n">
        <v>57.8</v>
      </c>
    </row>
    <row r="1944">
      <c r="A1944" t="inlineStr">
        <is>
          <t>CB</t>
        </is>
      </c>
      <c r="B1944" s="6" t="n">
        <v>109.4</v>
      </c>
    </row>
    <row r="1945">
      <c r="A1945" t="inlineStr">
        <is>
          <t>CB</t>
        </is>
      </c>
      <c r="B1945" s="6" t="n">
        <v>49.2</v>
      </c>
    </row>
    <row r="1946">
      <c r="A1946" t="inlineStr">
        <is>
          <t>CB</t>
        </is>
      </c>
      <c r="B1946" s="6" t="n">
        <v>50.6</v>
      </c>
    </row>
    <row r="1947">
      <c r="A1947" t="inlineStr">
        <is>
          <t>CB</t>
        </is>
      </c>
      <c r="B1947" s="6" t="n">
        <v>56.6</v>
      </c>
    </row>
    <row r="1948">
      <c r="A1948" t="inlineStr">
        <is>
          <t>CB</t>
        </is>
      </c>
      <c r="B1948" s="6" t="n">
        <v>79.7</v>
      </c>
    </row>
    <row r="1949">
      <c r="A1949" t="inlineStr">
        <is>
          <t>CB</t>
        </is>
      </c>
      <c r="B1949" s="6" t="n">
        <v>62.3</v>
      </c>
    </row>
    <row r="1950">
      <c r="A1950" t="inlineStr">
        <is>
          <t>CB</t>
        </is>
      </c>
      <c r="B1950" s="6" t="n">
        <v>66</v>
      </c>
    </row>
    <row r="1951">
      <c r="A1951" t="inlineStr">
        <is>
          <t>CB</t>
        </is>
      </c>
      <c r="B1951" s="6" t="n">
        <v>84.09999999999999</v>
      </c>
    </row>
    <row r="1952">
      <c r="A1952" t="inlineStr">
        <is>
          <t>CB</t>
        </is>
      </c>
      <c r="B1952" s="6" t="n">
        <v>261.3</v>
      </c>
    </row>
    <row r="1953">
      <c r="A1953" t="inlineStr">
        <is>
          <t>CB</t>
        </is>
      </c>
      <c r="B1953" s="6" t="n">
        <v>97.59999999999999</v>
      </c>
    </row>
    <row r="1954">
      <c r="A1954" t="inlineStr">
        <is>
          <t>CB</t>
        </is>
      </c>
      <c r="B1954" s="6" t="n">
        <v>57.1</v>
      </c>
    </row>
    <row r="1955">
      <c r="A1955" t="inlineStr">
        <is>
          <t>CB</t>
        </is>
      </c>
      <c r="B1955" s="6" t="n">
        <v>19.9</v>
      </c>
    </row>
    <row r="1956">
      <c r="A1956" t="inlineStr">
        <is>
          <t>CB</t>
        </is>
      </c>
      <c r="B1956" s="6" t="n">
        <v>64.8</v>
      </c>
    </row>
    <row r="1957">
      <c r="A1957" t="inlineStr">
        <is>
          <t>CB</t>
        </is>
      </c>
      <c r="B1957" s="6" t="n">
        <v>43.7</v>
      </c>
    </row>
    <row r="1958">
      <c r="A1958" t="inlineStr">
        <is>
          <t>CB</t>
        </is>
      </c>
      <c r="B1958" s="6" t="n">
        <v>88</v>
      </c>
    </row>
    <row r="1959">
      <c r="A1959" t="inlineStr">
        <is>
          <t>CB</t>
        </is>
      </c>
      <c r="B1959" s="6" t="n">
        <v>58.1</v>
      </c>
    </row>
    <row r="1960">
      <c r="A1960" t="inlineStr">
        <is>
          <t>CB</t>
        </is>
      </c>
      <c r="B1960" s="6" t="n">
        <v>71.5</v>
      </c>
    </row>
    <row r="1961">
      <c r="A1961" t="inlineStr">
        <is>
          <t>CB</t>
        </is>
      </c>
      <c r="B1961" s="6" t="n">
        <v>19.9</v>
      </c>
    </row>
    <row r="1962">
      <c r="A1962" t="inlineStr">
        <is>
          <t>CB</t>
        </is>
      </c>
      <c r="B1962" s="6" t="n">
        <v>42</v>
      </c>
    </row>
    <row r="1963">
      <c r="A1963" t="inlineStr">
        <is>
          <t>CB</t>
        </is>
      </c>
      <c r="B1963" s="6" t="n">
        <v>34.8</v>
      </c>
    </row>
    <row r="1964">
      <c r="A1964" t="inlineStr">
        <is>
          <t>CB</t>
        </is>
      </c>
      <c r="B1964" s="6" t="n">
        <v>37.3</v>
      </c>
    </row>
    <row r="1965">
      <c r="A1965" t="inlineStr">
        <is>
          <t>TR</t>
        </is>
      </c>
      <c r="B1965" s="6" t="n">
        <v>19</v>
      </c>
    </row>
    <row r="1966">
      <c r="A1966" t="inlineStr">
        <is>
          <t>CB</t>
        </is>
      </c>
      <c r="B1966" s="6" t="n">
        <v>18.3</v>
      </c>
    </row>
    <row r="1967">
      <c r="A1967" t="inlineStr">
        <is>
          <t>CB</t>
        </is>
      </c>
      <c r="B1967" s="6" t="n">
        <v>70.8</v>
      </c>
    </row>
    <row r="1968">
      <c r="A1968" t="inlineStr">
        <is>
          <t>CB</t>
        </is>
      </c>
      <c r="B1968" s="6" t="n">
        <v>79.90000000000001</v>
      </c>
    </row>
    <row r="1969">
      <c r="A1969" t="inlineStr">
        <is>
          <t>CB</t>
        </is>
      </c>
      <c r="B1969" s="6" t="n">
        <v>89.3</v>
      </c>
    </row>
    <row r="1970">
      <c r="A1970" t="inlineStr">
        <is>
          <t>CB</t>
        </is>
      </c>
      <c r="B1970" s="6" t="n">
        <v>46.2</v>
      </c>
    </row>
    <row r="1971">
      <c r="A1971" t="inlineStr">
        <is>
          <t>CB</t>
        </is>
      </c>
      <c r="B1971" s="6" t="n">
        <v>56.1</v>
      </c>
    </row>
    <row r="1972">
      <c r="A1972" t="inlineStr">
        <is>
          <t>CB</t>
        </is>
      </c>
      <c r="B1972" s="6" t="n">
        <v>78.3</v>
      </c>
    </row>
    <row r="1973">
      <c r="A1973" t="inlineStr">
        <is>
          <t>CB</t>
        </is>
      </c>
      <c r="B1973" s="6" t="n">
        <v>43.6</v>
      </c>
    </row>
    <row r="1974">
      <c r="A1974" t="inlineStr">
        <is>
          <t>CB</t>
        </is>
      </c>
      <c r="B1974" s="6" t="n">
        <v>68.2</v>
      </c>
    </row>
    <row r="1975">
      <c r="A1975" t="inlineStr">
        <is>
          <t>CB</t>
        </is>
      </c>
      <c r="B1975" s="6" t="n">
        <v>62.9</v>
      </c>
    </row>
    <row r="1976">
      <c r="A1976" t="inlineStr">
        <is>
          <t>TR</t>
        </is>
      </c>
      <c r="B1976" s="6" t="n">
        <v>53.75</v>
      </c>
    </row>
    <row r="1977">
      <c r="A1977" t="inlineStr">
        <is>
          <t>CB</t>
        </is>
      </c>
      <c r="B1977" s="6" t="n">
        <v>9.85</v>
      </c>
    </row>
    <row r="1978">
      <c r="A1978" t="inlineStr">
        <is>
          <t>CB</t>
        </is>
      </c>
      <c r="B1978" s="6" t="n">
        <v>53.9</v>
      </c>
    </row>
    <row r="1979">
      <c r="A1979" t="inlineStr">
        <is>
          <t>TR</t>
        </is>
      </c>
      <c r="B1979" s="6" t="n">
        <v>28</v>
      </c>
    </row>
    <row r="1980">
      <c r="A1980" t="inlineStr">
        <is>
          <t>CB</t>
        </is>
      </c>
      <c r="B1980" s="6" t="n">
        <v>27.5</v>
      </c>
    </row>
    <row r="1981">
      <c r="A1981" t="inlineStr">
        <is>
          <t>CB</t>
        </is>
      </c>
      <c r="B1981" s="6" t="n">
        <v>103.9</v>
      </c>
    </row>
    <row r="1982">
      <c r="A1982" t="inlineStr">
        <is>
          <t>CB</t>
        </is>
      </c>
      <c r="B1982" s="6" t="n">
        <v>123.5</v>
      </c>
    </row>
    <row r="1983">
      <c r="A1983" t="inlineStr">
        <is>
          <t>CB</t>
        </is>
      </c>
      <c r="B1983" s="6" t="n">
        <v>336.3</v>
      </c>
    </row>
    <row r="1984">
      <c r="A1984" t="inlineStr">
        <is>
          <t>CB</t>
        </is>
      </c>
      <c r="B1984" s="6" t="n">
        <v>119.7</v>
      </c>
    </row>
    <row r="1985">
      <c r="A1985" t="inlineStr">
        <is>
          <t>CB</t>
        </is>
      </c>
      <c r="B1985" s="6" t="n">
        <v>75.09999999999999</v>
      </c>
    </row>
    <row r="1986">
      <c r="A1986" t="inlineStr">
        <is>
          <t>CB</t>
        </is>
      </c>
      <c r="B1986" s="6" t="n">
        <v>47</v>
      </c>
    </row>
    <row r="1987">
      <c r="A1987" t="inlineStr">
        <is>
          <t>CB</t>
        </is>
      </c>
      <c r="B1987" s="6" t="n">
        <v>23.65</v>
      </c>
    </row>
    <row r="1988">
      <c r="A1988" t="inlineStr">
        <is>
          <t>CB</t>
        </is>
      </c>
      <c r="B1988" s="6" t="n">
        <v>25</v>
      </c>
    </row>
    <row r="1989">
      <c r="A1989" t="inlineStr">
        <is>
          <t>CB</t>
        </is>
      </c>
      <c r="B1989" s="6" t="n">
        <v>54.4</v>
      </c>
    </row>
    <row r="1990">
      <c r="A1990" t="inlineStr">
        <is>
          <t>CB</t>
        </is>
      </c>
      <c r="B1990" s="6" t="n">
        <v>52.2</v>
      </c>
    </row>
    <row r="1991">
      <c r="A1991" t="inlineStr">
        <is>
          <t>CB</t>
        </is>
      </c>
      <c r="B1991" s="6" t="n">
        <v>52.3</v>
      </c>
    </row>
    <row r="1992">
      <c r="A1992" t="inlineStr">
        <is>
          <t>CB</t>
        </is>
      </c>
      <c r="B1992" s="6" t="n">
        <v>134.5</v>
      </c>
    </row>
    <row r="1993">
      <c r="A1993" t="inlineStr">
        <is>
          <t>CB</t>
        </is>
      </c>
      <c r="B1993" s="6" t="n">
        <v>72.2</v>
      </c>
    </row>
    <row r="1994">
      <c r="A1994" t="inlineStr">
        <is>
          <t>ESP</t>
        </is>
      </c>
      <c r="B1994" s="6" t="n">
        <v>71.7</v>
      </c>
    </row>
    <row r="1995">
      <c r="A1995" t="inlineStr">
        <is>
          <t>CB</t>
        </is>
      </c>
      <c r="B1995" s="6" t="n">
        <v>68.7</v>
      </c>
    </row>
    <row r="1996">
      <c r="A1996" t="inlineStr">
        <is>
          <t>CB</t>
        </is>
      </c>
      <c r="B1996" s="6" t="n">
        <v>42.5</v>
      </c>
    </row>
    <row r="1997">
      <c r="A1997" t="inlineStr">
        <is>
          <t>CB</t>
        </is>
      </c>
      <c r="B1997" s="6" t="n">
        <v>123.5</v>
      </c>
    </row>
    <row r="1998">
      <c r="A1998" t="inlineStr">
        <is>
          <t>CB</t>
        </is>
      </c>
      <c r="B1998" s="6" t="n">
        <v>23.65</v>
      </c>
    </row>
    <row r="1999">
      <c r="A1999" t="inlineStr">
        <is>
          <t>CB</t>
        </is>
      </c>
      <c r="B1999" s="6" t="n">
        <v>64</v>
      </c>
    </row>
    <row r="2000">
      <c r="A2000" t="inlineStr">
        <is>
          <t>CB</t>
        </is>
      </c>
      <c r="B2000" s="6" t="n">
        <v>76.2</v>
      </c>
    </row>
    <row r="2001">
      <c r="A2001" t="inlineStr">
        <is>
          <t>CB</t>
        </is>
      </c>
      <c r="B2001" s="6" t="n">
        <v>51.9</v>
      </c>
    </row>
    <row r="2002">
      <c r="A2002" t="inlineStr">
        <is>
          <t>CB</t>
        </is>
      </c>
      <c r="B2002" s="6" t="n">
        <v>42.65</v>
      </c>
    </row>
    <row r="2003">
      <c r="A2003" t="inlineStr">
        <is>
          <t>CB</t>
        </is>
      </c>
      <c r="B2003" s="6" t="n">
        <v>62.9</v>
      </c>
    </row>
    <row r="2004">
      <c r="A2004" t="inlineStr">
        <is>
          <t>CB</t>
        </is>
      </c>
      <c r="B2004" s="6" t="n">
        <v>62.4</v>
      </c>
    </row>
    <row r="2005">
      <c r="A2005" t="inlineStr">
        <is>
          <t>CB</t>
        </is>
      </c>
      <c r="B2005" s="6" t="n">
        <v>25.1</v>
      </c>
    </row>
    <row r="2006">
      <c r="A2006" t="inlineStr">
        <is>
          <t>CB</t>
        </is>
      </c>
      <c r="B2006" s="6" t="n">
        <v>303</v>
      </c>
    </row>
    <row r="2007">
      <c r="A2007" t="inlineStr">
        <is>
          <t>CB</t>
        </is>
      </c>
      <c r="B2007" s="6" t="n">
        <v>142.3</v>
      </c>
    </row>
    <row r="2008">
      <c r="A2008" t="inlineStr">
        <is>
          <t>CB</t>
        </is>
      </c>
      <c r="B2008" s="6" t="n">
        <v>53.8</v>
      </c>
    </row>
    <row r="2009">
      <c r="A2009" t="inlineStr">
        <is>
          <t>CB</t>
        </is>
      </c>
      <c r="B2009" s="6" t="n">
        <v>65.8</v>
      </c>
    </row>
    <row r="2010">
      <c r="A2010" t="inlineStr">
        <is>
          <t>CB</t>
        </is>
      </c>
      <c r="B2010" s="6" t="n">
        <v>34.45</v>
      </c>
    </row>
    <row r="2011">
      <c r="A2011" t="inlineStr">
        <is>
          <t>CB</t>
        </is>
      </c>
      <c r="B2011" s="6" t="n">
        <v>93.40000000000001</v>
      </c>
    </row>
    <row r="2012">
      <c r="A2012" t="inlineStr">
        <is>
          <t>CB</t>
        </is>
      </c>
      <c r="B2012" s="6" t="n">
        <v>112.1</v>
      </c>
    </row>
    <row r="2013">
      <c r="A2013" t="inlineStr">
        <is>
          <t>CB</t>
        </is>
      </c>
      <c r="B2013" s="6" t="n">
        <v>86.8</v>
      </c>
    </row>
    <row r="2014">
      <c r="A2014" t="inlineStr">
        <is>
          <t>CB</t>
        </is>
      </c>
      <c r="B2014" s="6" t="n">
        <v>106.5</v>
      </c>
    </row>
    <row r="2015">
      <c r="A2015" t="inlineStr">
        <is>
          <t>CB</t>
        </is>
      </c>
      <c r="B2015" s="6" t="n">
        <v>55.6</v>
      </c>
    </row>
    <row r="2016">
      <c r="A2016" t="inlineStr">
        <is>
          <t>CB</t>
        </is>
      </c>
      <c r="B2016" s="6" t="n">
        <v>42.65</v>
      </c>
    </row>
    <row r="2017">
      <c r="A2017" t="inlineStr">
        <is>
          <t>CB</t>
        </is>
      </c>
      <c r="B2017" s="6" t="n">
        <v>34.45</v>
      </c>
    </row>
    <row r="2018">
      <c r="A2018" t="inlineStr">
        <is>
          <t>CB</t>
        </is>
      </c>
      <c r="B2018" s="6" t="n">
        <v>104.1</v>
      </c>
    </row>
    <row r="2019">
      <c r="A2019" t="inlineStr">
        <is>
          <t>CB</t>
        </is>
      </c>
      <c r="B2019" s="6" t="n">
        <v>41</v>
      </c>
    </row>
    <row r="2020">
      <c r="A2020" t="inlineStr">
        <is>
          <t>CB</t>
        </is>
      </c>
      <c r="B2020" s="6" t="n">
        <v>63.1</v>
      </c>
    </row>
    <row r="2021">
      <c r="A2021" t="inlineStr">
        <is>
          <t>CB</t>
        </is>
      </c>
      <c r="B2021" s="6" t="n">
        <v>149.2</v>
      </c>
    </row>
    <row r="2022">
      <c r="A2022" t="inlineStr">
        <is>
          <t>CB</t>
        </is>
      </c>
      <c r="B2022" s="6" t="n">
        <v>99.40000000000001</v>
      </c>
    </row>
    <row r="2023">
      <c r="A2023" t="inlineStr">
        <is>
          <t>CB</t>
        </is>
      </c>
      <c r="B2023" s="6" t="n">
        <v>32.85</v>
      </c>
    </row>
    <row r="2024">
      <c r="A2024" t="inlineStr">
        <is>
          <t>CB</t>
        </is>
      </c>
      <c r="B2024" s="6" t="n">
        <v>68.7</v>
      </c>
    </row>
    <row r="2025">
      <c r="A2025" t="inlineStr">
        <is>
          <t>CB</t>
        </is>
      </c>
      <c r="B2025" s="6" t="n">
        <v>70.3</v>
      </c>
    </row>
    <row r="2026">
      <c r="A2026" t="inlineStr">
        <is>
          <t>CB</t>
        </is>
      </c>
      <c r="B2026" s="6" t="n">
        <v>52.3</v>
      </c>
    </row>
    <row r="2027">
      <c r="A2027" t="inlineStr">
        <is>
          <t>TR</t>
        </is>
      </c>
      <c r="B2027" s="6" t="n">
        <v>44.5</v>
      </c>
    </row>
    <row r="2028">
      <c r="A2028" t="inlineStr">
        <is>
          <t>ESP</t>
        </is>
      </c>
      <c r="B2028" s="6" t="n">
        <v>7.6</v>
      </c>
    </row>
    <row r="2029">
      <c r="A2029" t="inlineStr">
        <is>
          <t>CB</t>
        </is>
      </c>
      <c r="B2029" s="6" t="n">
        <v>103.5</v>
      </c>
    </row>
    <row r="2030">
      <c r="A2030" t="inlineStr">
        <is>
          <t>CB</t>
        </is>
      </c>
      <c r="B2030" s="6" t="n">
        <v>192.8</v>
      </c>
    </row>
    <row r="2031">
      <c r="A2031" t="inlineStr">
        <is>
          <t>CB</t>
        </is>
      </c>
      <c r="B2031" s="6" t="n">
        <v>32.85</v>
      </c>
    </row>
    <row r="2032">
      <c r="A2032" t="inlineStr">
        <is>
          <t>CB</t>
        </is>
      </c>
      <c r="B2032" s="6" t="n">
        <v>78.3</v>
      </c>
    </row>
    <row r="2033">
      <c r="A2033" t="inlineStr">
        <is>
          <t>CHV</t>
        </is>
      </c>
      <c r="B2033" s="6" t="n">
        <v>45</v>
      </c>
    </row>
    <row r="2034">
      <c r="A2034" t="inlineStr">
        <is>
          <t>ESP</t>
        </is>
      </c>
      <c r="B2034" s="6" t="n">
        <v>57.4</v>
      </c>
    </row>
    <row r="2035">
      <c r="A2035" t="inlineStr">
        <is>
          <t>CHQ</t>
        </is>
      </c>
      <c r="B2035" s="6" t="n">
        <v>10</v>
      </c>
    </row>
    <row r="2036">
      <c r="A2036" t="inlineStr">
        <is>
          <t>CB</t>
        </is>
      </c>
      <c r="B2036" s="6" t="n">
        <v>16.3</v>
      </c>
    </row>
    <row r="2037">
      <c r="A2037" t="inlineStr">
        <is>
          <t>CB</t>
        </is>
      </c>
      <c r="B2037" s="6" t="n">
        <v>64.90000000000001</v>
      </c>
    </row>
    <row r="2038">
      <c r="A2038" t="inlineStr">
        <is>
          <t>CB</t>
        </is>
      </c>
      <c r="B2038" s="6" t="n">
        <v>93.90000000000001</v>
      </c>
    </row>
    <row r="2039">
      <c r="A2039" t="inlineStr">
        <is>
          <t>CB</t>
        </is>
      </c>
      <c r="B2039" s="6" t="n">
        <v>76</v>
      </c>
    </row>
    <row r="2040">
      <c r="A2040" t="inlineStr">
        <is>
          <t>CB</t>
        </is>
      </c>
      <c r="B2040" s="6" t="n">
        <v>23.8</v>
      </c>
    </row>
    <row r="2041">
      <c r="A2041" t="inlineStr">
        <is>
          <t>CB</t>
        </is>
      </c>
      <c r="B2041" s="6" t="n">
        <v>56.4</v>
      </c>
    </row>
    <row r="2042">
      <c r="A2042" t="inlineStr">
        <is>
          <t>CB</t>
        </is>
      </c>
      <c r="B2042" s="6" t="n">
        <v>72.3</v>
      </c>
    </row>
    <row r="2043">
      <c r="A2043" t="inlineStr">
        <is>
          <t>CB</t>
        </is>
      </c>
      <c r="B2043" s="6" t="n">
        <v>39.6</v>
      </c>
    </row>
    <row r="2044">
      <c r="A2044" t="inlineStr">
        <is>
          <t>CB</t>
        </is>
      </c>
      <c r="B2044" s="6" t="n">
        <v>50.8</v>
      </c>
    </row>
    <row r="2045">
      <c r="A2045" t="inlineStr">
        <is>
          <t>CB</t>
        </is>
      </c>
      <c r="B2045" s="6" t="n">
        <v>90.7</v>
      </c>
    </row>
    <row r="2046">
      <c r="A2046" t="inlineStr">
        <is>
          <t>CB</t>
        </is>
      </c>
      <c r="B2046" s="6" t="n">
        <v>21.7</v>
      </c>
    </row>
    <row r="2047">
      <c r="A2047" t="inlineStr">
        <is>
          <t>CB</t>
        </is>
      </c>
      <c r="B2047" s="6" t="n">
        <v>39.6</v>
      </c>
    </row>
    <row r="2048">
      <c r="A2048" t="inlineStr">
        <is>
          <t>CB</t>
        </is>
      </c>
      <c r="B2048" s="6" t="n">
        <v>106.6</v>
      </c>
    </row>
    <row r="2049">
      <c r="A2049" t="inlineStr">
        <is>
          <t>TR</t>
        </is>
      </c>
      <c r="B2049" s="6" t="n">
        <v>18</v>
      </c>
    </row>
    <row r="2050">
      <c r="A2050" t="inlineStr">
        <is>
          <t>CB</t>
        </is>
      </c>
      <c r="B2050" s="6" t="n">
        <v>13.7</v>
      </c>
    </row>
    <row r="2051">
      <c r="A2051" t="inlineStr">
        <is>
          <t>CB</t>
        </is>
      </c>
      <c r="B2051" s="6" t="n">
        <v>82.90000000000001</v>
      </c>
    </row>
    <row r="2052">
      <c r="A2052" t="inlineStr">
        <is>
          <t>CB</t>
        </is>
      </c>
      <c r="B2052" s="6" t="n">
        <v>46.7</v>
      </c>
    </row>
    <row r="2053">
      <c r="A2053" t="inlineStr">
        <is>
          <t>CB</t>
        </is>
      </c>
      <c r="B2053" s="6" t="n">
        <v>119.7</v>
      </c>
    </row>
    <row r="2054">
      <c r="A2054" t="inlineStr">
        <is>
          <t>CB</t>
        </is>
      </c>
      <c r="B2054" s="6" t="n">
        <v>31.6</v>
      </c>
    </row>
    <row r="2055">
      <c r="A2055" t="inlineStr">
        <is>
          <t>CB</t>
        </is>
      </c>
      <c r="B2055" s="6" t="n">
        <v>52.7</v>
      </c>
    </row>
    <row r="2056">
      <c r="A2056" t="inlineStr">
        <is>
          <t>CB</t>
        </is>
      </c>
      <c r="B2056" s="6" t="n">
        <v>34.5</v>
      </c>
    </row>
    <row r="2057">
      <c r="A2057" t="inlineStr">
        <is>
          <t>CB</t>
        </is>
      </c>
      <c r="B2057" s="6" t="n">
        <v>70.90000000000001</v>
      </c>
    </row>
    <row r="2058">
      <c r="A2058" t="inlineStr">
        <is>
          <t>CB</t>
        </is>
      </c>
      <c r="B2058" s="6" t="n">
        <v>18.4</v>
      </c>
    </row>
    <row r="2059">
      <c r="A2059" t="inlineStr">
        <is>
          <t>CB</t>
        </is>
      </c>
      <c r="B2059" s="6" t="n">
        <v>75.5</v>
      </c>
    </row>
    <row r="2060">
      <c r="A2060" t="inlineStr">
        <is>
          <t>CHV</t>
        </is>
      </c>
      <c r="B2060" s="6" t="n">
        <v>59.7</v>
      </c>
    </row>
    <row r="2061">
      <c r="A2061" t="inlineStr">
        <is>
          <t>CB</t>
        </is>
      </c>
      <c r="B2061" s="6" t="n">
        <v>67.5</v>
      </c>
    </row>
    <row r="2062">
      <c r="A2062" t="inlineStr">
        <is>
          <t>CB</t>
        </is>
      </c>
      <c r="B2062" s="6" t="n">
        <v>31.7</v>
      </c>
    </row>
    <row r="2063">
      <c r="A2063" t="inlineStr">
        <is>
          <t>CB</t>
        </is>
      </c>
      <c r="B2063" s="6" t="n">
        <v>116.8</v>
      </c>
    </row>
    <row r="2064">
      <c r="A2064" t="inlineStr">
        <is>
          <t>CB</t>
        </is>
      </c>
      <c r="B2064" s="6" t="n">
        <v>33.5</v>
      </c>
    </row>
    <row r="2065">
      <c r="A2065" t="inlineStr">
        <is>
          <t>CB</t>
        </is>
      </c>
      <c r="B2065" s="6" t="n">
        <v>50</v>
      </c>
    </row>
    <row r="2066">
      <c r="A2066" t="inlineStr">
        <is>
          <t>CB</t>
        </is>
      </c>
      <c r="B2066" s="6" t="n">
        <v>204.2</v>
      </c>
    </row>
    <row r="2067">
      <c r="A2067" t="inlineStr">
        <is>
          <t>CB</t>
        </is>
      </c>
      <c r="B2067" s="6" t="n">
        <v>71.3</v>
      </c>
    </row>
    <row r="2068">
      <c r="A2068" t="inlineStr">
        <is>
          <t>CB</t>
        </is>
      </c>
      <c r="B2068" s="6" t="n">
        <v>47.4</v>
      </c>
    </row>
    <row r="2069">
      <c r="A2069" t="inlineStr">
        <is>
          <t>CB</t>
        </is>
      </c>
      <c r="B2069" s="6" t="n">
        <v>51.7</v>
      </c>
    </row>
    <row r="2070">
      <c r="A2070" t="inlineStr">
        <is>
          <t>CB</t>
        </is>
      </c>
      <c r="B2070" s="6" t="n">
        <v>21.1</v>
      </c>
    </row>
    <row r="2071">
      <c r="A2071" t="inlineStr">
        <is>
          <t>CB</t>
        </is>
      </c>
      <c r="B2071" s="6" t="n">
        <v>11</v>
      </c>
    </row>
    <row r="2072">
      <c r="A2072" t="inlineStr">
        <is>
          <t>CB</t>
        </is>
      </c>
      <c r="B2072" s="6" t="n">
        <v>69.09999999999999</v>
      </c>
    </row>
    <row r="2073">
      <c r="A2073" t="inlineStr">
        <is>
          <t>CB</t>
        </is>
      </c>
      <c r="B2073" s="6" t="n">
        <v>75.3</v>
      </c>
    </row>
    <row r="2074">
      <c r="A2074" t="inlineStr">
        <is>
          <t>CB</t>
        </is>
      </c>
      <c r="B2074" s="6" t="n">
        <v>25.8</v>
      </c>
    </row>
    <row r="2075">
      <c r="A2075" t="inlineStr">
        <is>
          <t>CB</t>
        </is>
      </c>
      <c r="B2075" s="6" t="n">
        <v>21.45</v>
      </c>
    </row>
    <row r="2076">
      <c r="A2076" t="inlineStr">
        <is>
          <t>CB</t>
        </is>
      </c>
      <c r="B2076" s="6" t="n">
        <v>29.8</v>
      </c>
    </row>
    <row r="2077">
      <c r="A2077" t="inlineStr">
        <is>
          <t>CB</t>
        </is>
      </c>
      <c r="B2077" s="6" t="n">
        <v>21.1</v>
      </c>
    </row>
    <row r="2078">
      <c r="A2078" t="inlineStr">
        <is>
          <t>CB</t>
        </is>
      </c>
      <c r="B2078" s="6" t="n">
        <v>21.1</v>
      </c>
    </row>
    <row r="2079">
      <c r="A2079" t="inlineStr">
        <is>
          <t>CB</t>
        </is>
      </c>
      <c r="B2079" s="6" t="n">
        <v>21.5</v>
      </c>
    </row>
    <row r="2080">
      <c r="A2080" t="inlineStr">
        <is>
          <t>CB</t>
        </is>
      </c>
      <c r="B2080" s="6" t="n">
        <v>41.7</v>
      </c>
    </row>
    <row r="2081">
      <c r="A2081" t="inlineStr">
        <is>
          <t>CB</t>
        </is>
      </c>
      <c r="B2081" s="6" t="n">
        <v>24.3</v>
      </c>
    </row>
    <row r="2082">
      <c r="A2082" t="inlineStr">
        <is>
          <t>CB</t>
        </is>
      </c>
      <c r="B2082" s="6" t="n">
        <v>21.45</v>
      </c>
    </row>
    <row r="2083">
      <c r="A2083" t="inlineStr">
        <is>
          <t>CB</t>
        </is>
      </c>
      <c r="B2083" s="6" t="n">
        <v>61.1</v>
      </c>
    </row>
    <row r="2084">
      <c r="A2084" t="inlineStr">
        <is>
          <t>CB</t>
        </is>
      </c>
      <c r="B2084" s="6" t="n">
        <v>88</v>
      </c>
    </row>
    <row r="2085">
      <c r="A2085" t="inlineStr">
        <is>
          <t>CB</t>
        </is>
      </c>
      <c r="B2085" s="6" t="n">
        <v>141.9</v>
      </c>
    </row>
    <row r="2086">
      <c r="A2086" t="inlineStr">
        <is>
          <t>CB</t>
        </is>
      </c>
      <c r="B2086" s="6" t="n">
        <v>65</v>
      </c>
    </row>
    <row r="2087">
      <c r="A2087" t="inlineStr">
        <is>
          <t>CB</t>
        </is>
      </c>
      <c r="B2087" s="6" t="n">
        <v>183</v>
      </c>
    </row>
    <row r="2088">
      <c r="A2088" t="inlineStr">
        <is>
          <t>CHV</t>
        </is>
      </c>
      <c r="B2088" s="6" t="n">
        <v>82.7</v>
      </c>
    </row>
    <row r="2089">
      <c r="A2089" t="inlineStr">
        <is>
          <t>CB</t>
        </is>
      </c>
      <c r="B2089" s="6" t="n">
        <v>55.2</v>
      </c>
    </row>
    <row r="2090">
      <c r="A2090" t="inlineStr">
        <is>
          <t>CB</t>
        </is>
      </c>
      <c r="B2090" s="6" t="n">
        <v>27.53</v>
      </c>
    </row>
    <row r="2091">
      <c r="A2091" t="inlineStr">
        <is>
          <t>CB</t>
        </is>
      </c>
      <c r="B2091" s="6" t="n">
        <v>27.53</v>
      </c>
    </row>
    <row r="2092">
      <c r="A2092" t="inlineStr">
        <is>
          <t>CB</t>
        </is>
      </c>
      <c r="B2092" s="6" t="n">
        <v>27.54</v>
      </c>
    </row>
    <row r="2093">
      <c r="A2093" t="inlineStr">
        <is>
          <t>CB</t>
        </is>
      </c>
      <c r="B2093" s="6" t="n">
        <v>71.09999999999999</v>
      </c>
    </row>
    <row r="2094">
      <c r="A2094" t="inlineStr">
        <is>
          <t>CB</t>
        </is>
      </c>
      <c r="B2094" s="6" t="n">
        <v>30.6</v>
      </c>
    </row>
    <row r="2095">
      <c r="A2095" t="inlineStr">
        <is>
          <t>CHV</t>
        </is>
      </c>
      <c r="B2095" s="6" t="n">
        <v>20</v>
      </c>
    </row>
    <row r="2096">
      <c r="A2096" t="inlineStr">
        <is>
          <t>TR</t>
        </is>
      </c>
      <c r="B2096" s="6" t="n">
        <v>18.4</v>
      </c>
    </row>
    <row r="2097">
      <c r="A2097" t="inlineStr">
        <is>
          <t>CB</t>
        </is>
      </c>
      <c r="B2097" s="6" t="n">
        <v>66.90000000000001</v>
      </c>
    </row>
    <row r="2098">
      <c r="A2098" t="inlineStr">
        <is>
          <t>CB</t>
        </is>
      </c>
      <c r="B2098" s="6" t="n">
        <v>141.8</v>
      </c>
    </row>
    <row r="2099">
      <c r="A2099" t="inlineStr">
        <is>
          <t>CB</t>
        </is>
      </c>
      <c r="B2099" s="6" t="n">
        <v>30.6</v>
      </c>
    </row>
    <row r="2100">
      <c r="A2100" t="inlineStr">
        <is>
          <t>CHQ</t>
        </is>
      </c>
      <c r="B2100" s="6" t="n">
        <v>102.9</v>
      </c>
    </row>
    <row r="2101">
      <c r="A2101" t="inlineStr">
        <is>
          <t>CB</t>
        </is>
      </c>
      <c r="B2101" s="6" t="n">
        <v>170</v>
      </c>
    </row>
    <row r="2102">
      <c r="A2102" t="inlineStr">
        <is>
          <t>CB</t>
        </is>
      </c>
      <c r="B2102" s="6" t="n">
        <v>48.4</v>
      </c>
    </row>
    <row r="2103">
      <c r="A2103" t="inlineStr">
        <is>
          <t>CB</t>
        </is>
      </c>
      <c r="B2103" s="6" t="n">
        <v>18.1</v>
      </c>
    </row>
    <row r="2104">
      <c r="A2104" t="inlineStr">
        <is>
          <t>CB</t>
        </is>
      </c>
      <c r="B2104" s="6" t="n">
        <v>20.6</v>
      </c>
    </row>
    <row r="2105">
      <c r="A2105" t="inlineStr">
        <is>
          <t>CB</t>
        </is>
      </c>
      <c r="B2105" s="6" t="n">
        <v>47.8</v>
      </c>
    </row>
    <row r="2106">
      <c r="A2106" t="inlineStr">
        <is>
          <t>CB</t>
        </is>
      </c>
      <c r="B2106" s="6" t="n">
        <v>64.09999999999999</v>
      </c>
    </row>
    <row r="2107">
      <c r="A2107" t="inlineStr">
        <is>
          <t>CB</t>
        </is>
      </c>
      <c r="B2107" s="6" t="n">
        <v>57.1</v>
      </c>
    </row>
    <row r="2108">
      <c r="A2108" t="inlineStr">
        <is>
          <t>CB</t>
        </is>
      </c>
      <c r="B2108" s="6" t="n">
        <v>54.9</v>
      </c>
    </row>
    <row r="2109">
      <c r="A2109" t="inlineStr">
        <is>
          <t>CB</t>
        </is>
      </c>
      <c r="B2109" s="6" t="n">
        <v>52.1</v>
      </c>
    </row>
    <row r="2110">
      <c r="A2110" t="inlineStr">
        <is>
          <t>TR</t>
        </is>
      </c>
      <c r="B2110" s="6" t="n">
        <v>36.8</v>
      </c>
    </row>
    <row r="2111">
      <c r="A2111" t="inlineStr">
        <is>
          <t>CB</t>
        </is>
      </c>
      <c r="B2111" s="6" t="n">
        <v>36.4</v>
      </c>
    </row>
    <row r="2112">
      <c r="A2112" t="inlineStr">
        <is>
          <t>CB</t>
        </is>
      </c>
      <c r="B2112" s="6" t="n">
        <v>48.3</v>
      </c>
    </row>
    <row r="2113">
      <c r="A2113" t="inlineStr">
        <is>
          <t>CB</t>
        </is>
      </c>
      <c r="B2113" s="6" t="n">
        <v>15.9</v>
      </c>
    </row>
    <row r="2114">
      <c r="A2114" t="inlineStr">
        <is>
          <t>CB</t>
        </is>
      </c>
      <c r="B2114" s="6" t="n">
        <v>33.2</v>
      </c>
    </row>
    <row r="2115">
      <c r="A2115" t="inlineStr">
        <is>
          <t>CB</t>
        </is>
      </c>
      <c r="B2115" s="6" t="n">
        <v>18.1</v>
      </c>
    </row>
    <row r="2116">
      <c r="A2116" t="inlineStr">
        <is>
          <t>CB</t>
        </is>
      </c>
      <c r="B2116" s="6" t="n">
        <v>79.59999999999999</v>
      </c>
    </row>
    <row r="2117">
      <c r="A2117" t="inlineStr">
        <is>
          <t>CB</t>
        </is>
      </c>
      <c r="B2117" s="6" t="n">
        <v>48.4</v>
      </c>
    </row>
    <row r="2118">
      <c r="A2118" t="inlineStr">
        <is>
          <t>CB</t>
        </is>
      </c>
      <c r="B2118" s="6" t="n">
        <v>75.90000000000001</v>
      </c>
    </row>
    <row r="2119">
      <c r="A2119" t="inlineStr">
        <is>
          <t>CB</t>
        </is>
      </c>
      <c r="B2119" s="6" t="n">
        <v>19.8</v>
      </c>
    </row>
    <row r="2120">
      <c r="A2120" t="inlineStr">
        <is>
          <t>CB</t>
        </is>
      </c>
      <c r="B2120" s="6" t="n">
        <v>98.3</v>
      </c>
    </row>
    <row r="2121">
      <c r="A2121" t="inlineStr">
        <is>
          <t>CB</t>
        </is>
      </c>
      <c r="B2121" s="6" t="n">
        <v>83.09999999999999</v>
      </c>
    </row>
    <row r="2122">
      <c r="A2122" t="inlineStr">
        <is>
          <t>CB</t>
        </is>
      </c>
      <c r="B2122" s="6" t="n">
        <v>55.8</v>
      </c>
    </row>
    <row r="2123">
      <c r="A2123" t="inlineStr">
        <is>
          <t>CB</t>
        </is>
      </c>
      <c r="B2123" s="6" t="n">
        <v>51.9</v>
      </c>
    </row>
    <row r="2124">
      <c r="A2124" t="inlineStr">
        <is>
          <t>CB</t>
        </is>
      </c>
      <c r="B2124" s="6" t="n">
        <v>102.85</v>
      </c>
    </row>
    <row r="2125">
      <c r="A2125" t="inlineStr">
        <is>
          <t>CB</t>
        </is>
      </c>
      <c r="B2125" s="6" t="n">
        <v>104.1</v>
      </c>
    </row>
    <row r="2126">
      <c r="A2126" t="inlineStr">
        <is>
          <t>CHV</t>
        </is>
      </c>
      <c r="B2126" s="6" t="n">
        <v>70</v>
      </c>
    </row>
    <row r="2127">
      <c r="A2127" t="inlineStr">
        <is>
          <t>CB</t>
        </is>
      </c>
      <c r="B2127" s="6" t="n">
        <v>10.8</v>
      </c>
    </row>
    <row r="2128">
      <c r="A2128" t="inlineStr">
        <is>
          <t>CB</t>
        </is>
      </c>
      <c r="B2128" s="6" t="n">
        <v>68</v>
      </c>
    </row>
    <row r="2129">
      <c r="A2129" t="inlineStr">
        <is>
          <t>CHQ</t>
        </is>
      </c>
      <c r="B2129" s="6" t="n">
        <v>69.3</v>
      </c>
    </row>
    <row r="2130">
      <c r="A2130" t="inlineStr">
        <is>
          <t>CB</t>
        </is>
      </c>
      <c r="B2130" s="6" t="n">
        <v>85.5</v>
      </c>
    </row>
    <row r="2131">
      <c r="A2131" t="inlineStr">
        <is>
          <t>CB</t>
        </is>
      </c>
      <c r="B2131" s="6" t="n">
        <v>91.7</v>
      </c>
    </row>
    <row r="2132">
      <c r="A2132" t="inlineStr">
        <is>
          <t>CB</t>
        </is>
      </c>
      <c r="B2132" s="6" t="n">
        <v>78.59999999999999</v>
      </c>
    </row>
    <row r="2133">
      <c r="A2133" t="inlineStr">
        <is>
          <t>CB</t>
        </is>
      </c>
      <c r="B2133" s="6" t="n">
        <v>52.2</v>
      </c>
    </row>
    <row r="2134">
      <c r="A2134" t="inlineStr">
        <is>
          <t>CB</t>
        </is>
      </c>
      <c r="B2134" s="6" t="n">
        <v>54.9</v>
      </c>
    </row>
    <row r="2135">
      <c r="A2135" t="inlineStr">
        <is>
          <t>CB</t>
        </is>
      </c>
      <c r="B2135" s="6" t="n">
        <v>102.85</v>
      </c>
    </row>
    <row r="2136">
      <c r="A2136" t="inlineStr">
        <is>
          <t>CB</t>
        </is>
      </c>
      <c r="B2136" s="6" t="n">
        <v>36.8</v>
      </c>
    </row>
    <row r="2137">
      <c r="A2137" t="inlineStr">
        <is>
          <t>CB</t>
        </is>
      </c>
      <c r="B2137" s="6" t="n">
        <v>60.4</v>
      </c>
    </row>
    <row r="2138">
      <c r="A2138" t="inlineStr">
        <is>
          <t>CB</t>
        </is>
      </c>
      <c r="B2138" s="6" t="n">
        <v>72.5</v>
      </c>
    </row>
    <row r="2139">
      <c r="A2139" t="inlineStr">
        <is>
          <t>CB</t>
        </is>
      </c>
      <c r="B2139" s="6" t="n">
        <v>67.2</v>
      </c>
    </row>
    <row r="2140">
      <c r="A2140" t="inlineStr">
        <is>
          <t>CHV</t>
        </is>
      </c>
      <c r="B2140" s="6" t="n">
        <v>70</v>
      </c>
    </row>
    <row r="2141">
      <c r="A2141" t="inlineStr">
        <is>
          <t>CB</t>
        </is>
      </c>
      <c r="B2141" s="6" t="n">
        <v>3.1</v>
      </c>
    </row>
    <row r="2142">
      <c r="A2142" t="inlineStr">
        <is>
          <t>CB</t>
        </is>
      </c>
      <c r="B2142" s="6" t="n">
        <v>57</v>
      </c>
    </row>
    <row r="2143">
      <c r="A2143" t="inlineStr">
        <is>
          <t>CB</t>
        </is>
      </c>
      <c r="B2143" s="6" t="n">
        <v>141</v>
      </c>
    </row>
    <row r="2144">
      <c r="A2144" t="inlineStr">
        <is>
          <t>CB</t>
        </is>
      </c>
      <c r="B2144" s="6" t="n">
        <v>18.5</v>
      </c>
    </row>
    <row r="2145">
      <c r="A2145" t="inlineStr">
        <is>
          <t>CB</t>
        </is>
      </c>
      <c r="B2145" s="6" t="n">
        <v>52.9</v>
      </c>
    </row>
    <row r="2146">
      <c r="A2146" t="inlineStr">
        <is>
          <t>CB</t>
        </is>
      </c>
      <c r="B2146" s="6" t="n">
        <v>51.7</v>
      </c>
    </row>
    <row r="2147">
      <c r="A2147" t="inlineStr">
        <is>
          <t>CB</t>
        </is>
      </c>
      <c r="B2147" s="6" t="n">
        <v>43.75</v>
      </c>
    </row>
    <row r="2148">
      <c r="A2148" t="inlineStr">
        <is>
          <t>CB</t>
        </is>
      </c>
      <c r="B2148" s="6" t="n">
        <v>59.7</v>
      </c>
    </row>
    <row r="2149">
      <c r="A2149" t="inlineStr">
        <is>
          <t>CB</t>
        </is>
      </c>
      <c r="B2149" s="6" t="n">
        <v>80.7</v>
      </c>
    </row>
    <row r="2150">
      <c r="A2150" t="inlineStr">
        <is>
          <t>CB</t>
        </is>
      </c>
      <c r="B2150" s="6" t="n">
        <v>45.3</v>
      </c>
    </row>
    <row r="2151">
      <c r="A2151" t="inlineStr">
        <is>
          <t>CB</t>
        </is>
      </c>
      <c r="B2151" s="6" t="n">
        <v>51.9</v>
      </c>
    </row>
    <row r="2152">
      <c r="A2152" t="inlineStr">
        <is>
          <t>CB</t>
        </is>
      </c>
      <c r="B2152" s="6" t="n">
        <v>22.1</v>
      </c>
    </row>
    <row r="2153">
      <c r="A2153" t="inlineStr">
        <is>
          <t>CB</t>
        </is>
      </c>
      <c r="B2153" s="6" t="n">
        <v>43.7</v>
      </c>
    </row>
    <row r="2154">
      <c r="A2154" t="inlineStr">
        <is>
          <t>CB</t>
        </is>
      </c>
      <c r="B2154" s="6" t="n">
        <v>61.5</v>
      </c>
    </row>
    <row r="2155">
      <c r="A2155" t="inlineStr">
        <is>
          <t>CB</t>
        </is>
      </c>
      <c r="B2155" s="6" t="n">
        <v>44.1</v>
      </c>
    </row>
    <row r="2156">
      <c r="A2156" t="inlineStr">
        <is>
          <t>CB</t>
        </is>
      </c>
      <c r="B2156" s="6" t="n">
        <v>58.1</v>
      </c>
    </row>
    <row r="2157">
      <c r="A2157" t="inlineStr">
        <is>
          <t>CB</t>
        </is>
      </c>
      <c r="B2157" s="6" t="n">
        <v>10.7</v>
      </c>
    </row>
    <row r="2158">
      <c r="A2158" t="inlineStr">
        <is>
          <t>CB</t>
        </is>
      </c>
      <c r="B2158" s="6" t="n">
        <v>10.7</v>
      </c>
    </row>
    <row r="2159">
      <c r="A2159" t="inlineStr">
        <is>
          <t>TR</t>
        </is>
      </c>
      <c r="B2159" s="6" t="n">
        <v>13</v>
      </c>
    </row>
    <row r="2160">
      <c r="A2160" t="inlineStr">
        <is>
          <t>TR</t>
        </is>
      </c>
      <c r="B2160" s="6" t="n">
        <v>6.5</v>
      </c>
    </row>
    <row r="2161">
      <c r="A2161" t="inlineStr">
        <is>
          <t>CB</t>
        </is>
      </c>
      <c r="B2161" s="6" t="n">
        <v>5.2</v>
      </c>
    </row>
    <row r="2162">
      <c r="A2162" t="inlineStr">
        <is>
          <t>CHV</t>
        </is>
      </c>
      <c r="B2162" s="6" t="n">
        <v>10</v>
      </c>
    </row>
    <row r="2163">
      <c r="A2163" t="inlineStr">
        <is>
          <t>CB</t>
        </is>
      </c>
      <c r="B2163" s="6" t="n">
        <v>1.7</v>
      </c>
    </row>
    <row r="2164">
      <c r="A2164" t="inlineStr">
        <is>
          <t>CB</t>
        </is>
      </c>
      <c r="B2164" s="6" t="n">
        <v>52.2</v>
      </c>
    </row>
    <row r="2165">
      <c r="A2165" t="inlineStr">
        <is>
          <t>CHV</t>
        </is>
      </c>
      <c r="B2165" s="6" t="n">
        <v>50</v>
      </c>
    </row>
    <row r="2166">
      <c r="A2166" t="inlineStr">
        <is>
          <t>CB</t>
        </is>
      </c>
      <c r="B2166" s="6" t="n">
        <v>5.4</v>
      </c>
    </row>
    <row r="2167">
      <c r="A2167" t="inlineStr">
        <is>
          <t>CB</t>
        </is>
      </c>
      <c r="B2167" s="6" t="n">
        <v>43.75</v>
      </c>
    </row>
    <row r="2168">
      <c r="A2168" t="inlineStr">
        <is>
          <t>CB</t>
        </is>
      </c>
      <c r="B2168" s="6" t="n">
        <v>13</v>
      </c>
    </row>
    <row r="2169">
      <c r="A2169" t="inlineStr">
        <is>
          <t>CB</t>
        </is>
      </c>
      <c r="B2169" s="6" t="n">
        <v>13</v>
      </c>
    </row>
    <row r="2170">
      <c r="A2170" t="inlineStr">
        <is>
          <t>CB</t>
        </is>
      </c>
      <c r="B2170" s="6" t="n">
        <v>28.1</v>
      </c>
    </row>
    <row r="2171">
      <c r="A2171" t="inlineStr">
        <is>
          <t>CB</t>
        </is>
      </c>
      <c r="B2171" s="6" t="n">
        <v>59.3</v>
      </c>
    </row>
    <row r="2172">
      <c r="A2172" t="inlineStr">
        <is>
          <t>CB</t>
        </is>
      </c>
      <c r="B2172" s="6" t="n">
        <v>89.40000000000001</v>
      </c>
    </row>
    <row r="2173">
      <c r="A2173" t="inlineStr">
        <is>
          <t>CB</t>
        </is>
      </c>
      <c r="B2173" s="6" t="n">
        <v>69.2</v>
      </c>
    </row>
    <row r="2174">
      <c r="A2174" t="inlineStr">
        <is>
          <t>CB</t>
        </is>
      </c>
      <c r="B2174" s="6" t="n">
        <v>54.2</v>
      </c>
    </row>
    <row r="2175">
      <c r="A2175" t="inlineStr">
        <is>
          <t>CHV</t>
        </is>
      </c>
      <c r="B2175" s="6" t="n">
        <v>60</v>
      </c>
    </row>
    <row r="2176">
      <c r="A2176" t="inlineStr">
        <is>
          <t>CB</t>
        </is>
      </c>
      <c r="B2176" s="6" t="n">
        <v>8.5</v>
      </c>
    </row>
    <row r="2177">
      <c r="A2177" t="inlineStr">
        <is>
          <t>CB</t>
        </is>
      </c>
      <c r="B2177" s="6" t="n">
        <v>115.3</v>
      </c>
    </row>
    <row r="2178">
      <c r="A2178" t="inlineStr">
        <is>
          <t>CB</t>
        </is>
      </c>
      <c r="B2178" s="6" t="n">
        <v>148.4</v>
      </c>
    </row>
    <row r="2179">
      <c r="A2179" t="inlineStr">
        <is>
          <t>TR</t>
        </is>
      </c>
      <c r="B2179" s="6" t="n">
        <v>34.72</v>
      </c>
    </row>
    <row r="2180">
      <c r="A2180" t="inlineStr">
        <is>
          <t>CB</t>
        </is>
      </c>
      <c r="B2180" s="6" t="n">
        <v>33.38</v>
      </c>
    </row>
    <row r="2181">
      <c r="A2181" t="inlineStr">
        <is>
          <t>CB</t>
        </is>
      </c>
      <c r="B2181" s="6" t="n">
        <v>47.5</v>
      </c>
    </row>
    <row r="2182">
      <c r="A2182" t="inlineStr">
        <is>
          <t>CB</t>
        </is>
      </c>
      <c r="B2182" s="6" t="n">
        <v>122.2</v>
      </c>
    </row>
    <row r="2183">
      <c r="A2183" t="inlineStr">
        <is>
          <t>CB</t>
        </is>
      </c>
      <c r="B2183" s="6" t="n">
        <v>106.7</v>
      </c>
    </row>
    <row r="2184">
      <c r="A2184" t="inlineStr">
        <is>
          <t>CB</t>
        </is>
      </c>
      <c r="B2184" s="6" t="n">
        <v>89.59999999999999</v>
      </c>
    </row>
    <row r="2185">
      <c r="A2185" t="inlineStr">
        <is>
          <t>CB</t>
        </is>
      </c>
      <c r="B2185" s="6" t="n">
        <v>67.40000000000001</v>
      </c>
    </row>
    <row r="2186">
      <c r="A2186" t="inlineStr">
        <is>
          <t>CHV</t>
        </is>
      </c>
      <c r="B2186" s="6" t="n">
        <v>40</v>
      </c>
    </row>
    <row r="2187">
      <c r="A2187" t="inlineStr">
        <is>
          <t>CB</t>
        </is>
      </c>
      <c r="B2187" s="6" t="n">
        <v>69.90000000000001</v>
      </c>
    </row>
    <row r="2188">
      <c r="A2188" t="inlineStr">
        <is>
          <t>CB</t>
        </is>
      </c>
      <c r="B2188" s="6" t="n">
        <v>91</v>
      </c>
    </row>
    <row r="2189">
      <c r="A2189" t="inlineStr">
        <is>
          <t>CB</t>
        </is>
      </c>
      <c r="B2189" s="6" t="n">
        <v>129.3</v>
      </c>
    </row>
    <row r="2190">
      <c r="A2190" t="inlineStr">
        <is>
          <t>CB</t>
        </is>
      </c>
      <c r="B2190" s="6" t="n">
        <v>91.2</v>
      </c>
    </row>
    <row r="2191">
      <c r="A2191" t="inlineStr">
        <is>
          <t>CB</t>
        </is>
      </c>
      <c r="B2191" s="6" t="n">
        <v>45.7</v>
      </c>
    </row>
    <row r="2192">
      <c r="A2192" t="inlineStr">
        <is>
          <t>CB</t>
        </is>
      </c>
      <c r="B2192" s="6" t="n">
        <v>49</v>
      </c>
    </row>
    <row r="2193">
      <c r="A2193" t="inlineStr">
        <is>
          <t>CB</t>
        </is>
      </c>
      <c r="B2193" s="6" t="n">
        <v>35.8</v>
      </c>
    </row>
    <row r="2194">
      <c r="A2194" t="inlineStr">
        <is>
          <t>CB</t>
        </is>
      </c>
      <c r="B2194" s="6" t="n">
        <v>23.7</v>
      </c>
    </row>
    <row r="2195">
      <c r="A2195" t="inlineStr">
        <is>
          <t>CB</t>
        </is>
      </c>
      <c r="B2195" s="6" t="n">
        <v>19.8</v>
      </c>
    </row>
    <row r="2196">
      <c r="A2196" t="inlineStr">
        <is>
          <t>CB</t>
        </is>
      </c>
      <c r="B2196" s="6" t="n">
        <v>89</v>
      </c>
    </row>
    <row r="2197">
      <c r="A2197" t="inlineStr">
        <is>
          <t>CB</t>
        </is>
      </c>
      <c r="B2197" s="6" t="n">
        <v>82.09999999999999</v>
      </c>
    </row>
    <row r="2198">
      <c r="A2198" t="inlineStr">
        <is>
          <t>CB</t>
        </is>
      </c>
      <c r="B2198" s="6" t="n">
        <v>117.8</v>
      </c>
    </row>
    <row r="2199">
      <c r="A2199" t="inlineStr">
        <is>
          <t>CB</t>
        </is>
      </c>
      <c r="B2199" s="6" t="n">
        <v>69.90000000000001</v>
      </c>
    </row>
    <row r="2200">
      <c r="A2200" t="inlineStr">
        <is>
          <t>CB</t>
        </is>
      </c>
      <c r="B2200" s="6" t="n">
        <v>46.1</v>
      </c>
    </row>
    <row r="2201">
      <c r="A2201" t="inlineStr">
        <is>
          <t>CHQ</t>
        </is>
      </c>
      <c r="B2201" s="6" t="n">
        <v>79.40000000000001</v>
      </c>
    </row>
    <row r="2202">
      <c r="A2202" t="inlineStr">
        <is>
          <t>CB</t>
        </is>
      </c>
      <c r="B2202" s="6" t="n">
        <v>88.90000000000001</v>
      </c>
    </row>
    <row r="2203">
      <c r="A2203" t="inlineStr">
        <is>
          <t>CB</t>
        </is>
      </c>
      <c r="B2203" s="6" t="n">
        <v>54.9</v>
      </c>
    </row>
    <row r="2204">
      <c r="A2204" t="inlineStr">
        <is>
          <t>CB</t>
        </is>
      </c>
      <c r="B2204" s="6" t="n">
        <v>115.8</v>
      </c>
    </row>
    <row r="2205">
      <c r="A2205" t="inlineStr">
        <is>
          <t>CB</t>
        </is>
      </c>
      <c r="B2205" s="6" t="n">
        <v>62.9</v>
      </c>
    </row>
    <row r="2206">
      <c r="A2206" t="inlineStr">
        <is>
          <t>CHV</t>
        </is>
      </c>
      <c r="B2206" s="6" t="n">
        <v>30</v>
      </c>
    </row>
    <row r="2207">
      <c r="A2207" t="inlineStr">
        <is>
          <t>CB</t>
        </is>
      </c>
      <c r="B2207" s="6" t="n">
        <v>50.1</v>
      </c>
    </row>
    <row r="2208">
      <c r="A2208" t="inlineStr">
        <is>
          <t>CB</t>
        </is>
      </c>
      <c r="B2208" s="6" t="n">
        <v>24.9</v>
      </c>
    </row>
    <row r="2209">
      <c r="A2209" t="inlineStr">
        <is>
          <t>CB</t>
        </is>
      </c>
      <c r="B2209" s="6" t="n">
        <v>57.2</v>
      </c>
    </row>
    <row r="2210">
      <c r="A2210" t="inlineStr">
        <is>
          <t>CB</t>
        </is>
      </c>
      <c r="B2210" s="6" t="n">
        <v>30.4</v>
      </c>
    </row>
    <row r="2211">
      <c r="A2211" t="inlineStr">
        <is>
          <t>CB</t>
        </is>
      </c>
      <c r="B2211" s="6" t="n">
        <v>135</v>
      </c>
    </row>
    <row r="2212">
      <c r="A2212" t="inlineStr">
        <is>
          <t>CB</t>
        </is>
      </c>
      <c r="B2212" s="6" t="n">
        <v>164</v>
      </c>
    </row>
    <row r="2213">
      <c r="A2213" t="inlineStr">
        <is>
          <t>CB</t>
        </is>
      </c>
      <c r="B2213" s="6" t="n">
        <v>138.6</v>
      </c>
    </row>
    <row r="2214">
      <c r="A2214" t="inlineStr">
        <is>
          <t>CB</t>
        </is>
      </c>
      <c r="B2214" s="6" t="n">
        <v>15</v>
      </c>
    </row>
    <row r="2215">
      <c r="A2215" t="inlineStr">
        <is>
          <t>CB</t>
        </is>
      </c>
      <c r="B2215" s="6" t="n">
        <v>38.2</v>
      </c>
    </row>
    <row r="2216">
      <c r="A2216" t="inlineStr">
        <is>
          <t>CB</t>
        </is>
      </c>
      <c r="B2216" s="6" t="n">
        <v>104.6</v>
      </c>
    </row>
    <row r="2217">
      <c r="A2217" t="inlineStr">
        <is>
          <t>CB</t>
        </is>
      </c>
      <c r="B2217" s="6" t="n">
        <v>24.9</v>
      </c>
    </row>
    <row r="2218">
      <c r="A2218" t="inlineStr">
        <is>
          <t>CB</t>
        </is>
      </c>
      <c r="B2218" s="6" t="n">
        <v>38.2</v>
      </c>
    </row>
    <row r="2219">
      <c r="A2219" t="inlineStr">
        <is>
          <t>CB</t>
        </is>
      </c>
      <c r="B2219" s="6" t="n">
        <v>58.8</v>
      </c>
    </row>
    <row r="2220">
      <c r="A2220" t="inlineStr">
        <is>
          <t>CB</t>
        </is>
      </c>
      <c r="B2220" s="6" t="n">
        <v>76.8</v>
      </c>
    </row>
    <row r="2221">
      <c r="A2221" t="inlineStr">
        <is>
          <t>CB</t>
        </is>
      </c>
      <c r="B2221" s="6" t="n">
        <v>46.4</v>
      </c>
    </row>
    <row r="2222">
      <c r="A2222" t="inlineStr">
        <is>
          <t>CB</t>
        </is>
      </c>
      <c r="B2222" s="6" t="n">
        <v>72.90000000000001</v>
      </c>
    </row>
    <row r="2223">
      <c r="A2223" t="inlineStr">
        <is>
          <t>CB</t>
        </is>
      </c>
      <c r="B2223" s="6" t="n">
        <v>80.90000000000001</v>
      </c>
    </row>
    <row r="2224">
      <c r="A2224" t="inlineStr">
        <is>
          <t>CB</t>
        </is>
      </c>
      <c r="B2224" s="6" t="n">
        <v>103.6</v>
      </c>
    </row>
    <row r="2225">
      <c r="A2225" t="inlineStr">
        <is>
          <t>CB</t>
        </is>
      </c>
      <c r="B2225" s="6" t="n">
        <v>169.7</v>
      </c>
    </row>
    <row r="2226">
      <c r="A2226" t="inlineStr">
        <is>
          <t>TR</t>
        </is>
      </c>
      <c r="B2226" s="6" t="n">
        <v>27.6</v>
      </c>
    </row>
    <row r="2227">
      <c r="A2227" t="inlineStr">
        <is>
          <t>CB</t>
        </is>
      </c>
      <c r="B2227" s="6" t="n">
        <v>33.6</v>
      </c>
    </row>
    <row r="2228">
      <c r="A2228" t="inlineStr">
        <is>
          <t>CB</t>
        </is>
      </c>
      <c r="B2228" s="6" t="n">
        <v>226.4</v>
      </c>
    </row>
    <row r="2229">
      <c r="A2229" t="inlineStr">
        <is>
          <t>CB</t>
        </is>
      </c>
      <c r="B2229" s="6" t="n">
        <v>100</v>
      </c>
    </row>
    <row r="2230">
      <c r="A2230" t="inlineStr">
        <is>
          <t>CB</t>
        </is>
      </c>
      <c r="B2230" s="6" t="n">
        <v>101.5</v>
      </c>
    </row>
    <row r="2231">
      <c r="A2231" t="inlineStr">
        <is>
          <t>CB</t>
        </is>
      </c>
      <c r="B2231" s="6" t="n">
        <v>90</v>
      </c>
    </row>
    <row r="2232">
      <c r="A2232" t="inlineStr">
        <is>
          <t>CB</t>
        </is>
      </c>
      <c r="B2232" s="6" t="n">
        <v>41.8</v>
      </c>
    </row>
    <row r="2233">
      <c r="A2233" t="inlineStr">
        <is>
          <t>TR</t>
        </is>
      </c>
      <c r="B2233" s="6" t="n">
        <v>54</v>
      </c>
    </row>
    <row r="2234">
      <c r="A2234" t="inlineStr">
        <is>
          <t>CB</t>
        </is>
      </c>
      <c r="B2234" s="6" t="n">
        <v>15.5</v>
      </c>
    </row>
    <row r="2235">
      <c r="A2235" t="inlineStr">
        <is>
          <t>CHV</t>
        </is>
      </c>
      <c r="B2235" s="6" t="n">
        <v>20</v>
      </c>
    </row>
    <row r="2236">
      <c r="A2236" t="inlineStr">
        <is>
          <t>CB</t>
        </is>
      </c>
      <c r="B2236" s="6" t="n">
        <v>23.1</v>
      </c>
    </row>
    <row r="2237">
      <c r="A2237" t="inlineStr">
        <is>
          <t>CHV</t>
        </is>
      </c>
      <c r="B2237" s="6" t="n">
        <v>20</v>
      </c>
    </row>
    <row r="2238">
      <c r="A2238" t="inlineStr">
        <is>
          <t>ESP</t>
        </is>
      </c>
      <c r="B2238" s="6" t="n">
        <v>3.1</v>
      </c>
    </row>
    <row r="2239">
      <c r="A2239" t="inlineStr">
        <is>
          <t>CB</t>
        </is>
      </c>
      <c r="B2239" s="6" t="n">
        <v>79.2</v>
      </c>
    </row>
    <row r="2240">
      <c r="A2240" t="inlineStr">
        <is>
          <t>CB</t>
        </is>
      </c>
      <c r="B2240" s="6" t="n">
        <v>66.09999999999999</v>
      </c>
    </row>
    <row r="2241">
      <c r="A2241" t="inlineStr">
        <is>
          <t>CB</t>
        </is>
      </c>
      <c r="B2241" s="6" t="n">
        <v>73.90000000000001</v>
      </c>
    </row>
    <row r="2242">
      <c r="A2242" t="inlineStr">
        <is>
          <t>CB</t>
        </is>
      </c>
      <c r="B2242" s="6" t="n">
        <v>43.4</v>
      </c>
    </row>
    <row r="2243">
      <c r="A2243" t="inlineStr">
        <is>
          <t>CB</t>
        </is>
      </c>
      <c r="B2243" s="6" t="n">
        <v>63.8</v>
      </c>
    </row>
    <row r="2244">
      <c r="A2244" t="inlineStr">
        <is>
          <t>CB</t>
        </is>
      </c>
      <c r="B2244" s="6" t="n">
        <v>20.1</v>
      </c>
    </row>
    <row r="2245">
      <c r="A2245" t="inlineStr">
        <is>
          <t>CB</t>
        </is>
      </c>
      <c r="B2245" s="6" t="n">
        <v>70.59999999999999</v>
      </c>
    </row>
    <row r="2246">
      <c r="A2246" t="inlineStr">
        <is>
          <t>CB</t>
        </is>
      </c>
      <c r="B2246" s="6" t="n">
        <v>79.09999999999999</v>
      </c>
    </row>
    <row r="2247">
      <c r="A2247" t="inlineStr">
        <is>
          <t>CB</t>
        </is>
      </c>
      <c r="B2247" s="6" t="n">
        <v>187.1</v>
      </c>
    </row>
    <row r="2248">
      <c r="A2248" t="inlineStr">
        <is>
          <t>CB</t>
        </is>
      </c>
      <c r="B2248" s="6" t="n">
        <v>45.9</v>
      </c>
    </row>
    <row r="2249">
      <c r="A2249" t="inlineStr">
        <is>
          <t>CB</t>
        </is>
      </c>
      <c r="B2249" s="6" t="n">
        <v>62.7</v>
      </c>
    </row>
    <row r="2250">
      <c r="A2250" t="inlineStr">
        <is>
          <t>CB</t>
        </is>
      </c>
      <c r="B2250" s="6" t="n">
        <v>111.4</v>
      </c>
    </row>
    <row r="2251">
      <c r="A2251" t="inlineStr">
        <is>
          <t>CB</t>
        </is>
      </c>
      <c r="B2251" s="6" t="n">
        <v>55.5</v>
      </c>
    </row>
    <row r="2252">
      <c r="A2252" t="inlineStr">
        <is>
          <t>CB</t>
        </is>
      </c>
      <c r="B2252" s="6" t="n">
        <v>43.1</v>
      </c>
    </row>
    <row r="2253">
      <c r="A2253" t="inlineStr">
        <is>
          <t>CB</t>
        </is>
      </c>
      <c r="B2253" s="6" t="n">
        <v>38.7</v>
      </c>
    </row>
    <row r="2254">
      <c r="A2254" t="inlineStr">
        <is>
          <t>CB</t>
        </is>
      </c>
      <c r="B2254" s="6" t="n">
        <v>20.1</v>
      </c>
    </row>
    <row r="2255">
      <c r="A2255" t="inlineStr">
        <is>
          <t>CB</t>
        </is>
      </c>
      <c r="B2255" s="6" t="n">
        <v>75</v>
      </c>
    </row>
    <row r="2256">
      <c r="A2256" t="inlineStr">
        <is>
          <t>CB</t>
        </is>
      </c>
      <c r="B2256" s="6" t="n">
        <v>97.40000000000001</v>
      </c>
    </row>
    <row r="2257">
      <c r="A2257" t="inlineStr">
        <is>
          <t>CB</t>
        </is>
      </c>
      <c r="B2257" s="6" t="n">
        <v>43</v>
      </c>
    </row>
    <row r="2258">
      <c r="A2258" t="inlineStr">
        <is>
          <t>CB</t>
        </is>
      </c>
      <c r="B2258" s="6" t="n">
        <v>79.8</v>
      </c>
    </row>
    <row r="2259">
      <c r="A2259" t="inlineStr">
        <is>
          <t>CB</t>
        </is>
      </c>
      <c r="B2259" s="6" t="n">
        <v>61.4</v>
      </c>
    </row>
    <row r="2260">
      <c r="A2260" t="inlineStr">
        <is>
          <t>CB</t>
        </is>
      </c>
      <c r="B2260" s="6" t="n">
        <v>31.8</v>
      </c>
    </row>
    <row r="2261">
      <c r="A2261" t="inlineStr">
        <is>
          <t>CB</t>
        </is>
      </c>
      <c r="B2261" s="6" t="n">
        <v>26.3</v>
      </c>
    </row>
    <row r="2262">
      <c r="A2262" t="inlineStr">
        <is>
          <t>CB</t>
        </is>
      </c>
      <c r="B2262" s="6" t="n">
        <v>39.8</v>
      </c>
    </row>
    <row r="2263">
      <c r="A2263" t="inlineStr">
        <is>
          <t>CB</t>
        </is>
      </c>
      <c r="B2263" s="6" t="n">
        <v>58.5</v>
      </c>
    </row>
    <row r="2264">
      <c r="A2264" t="inlineStr">
        <is>
          <t>CB</t>
        </is>
      </c>
      <c r="B2264" s="6" t="n">
        <v>64</v>
      </c>
    </row>
    <row r="2265">
      <c r="A2265" t="inlineStr">
        <is>
          <t>CB</t>
        </is>
      </c>
      <c r="B2265" s="6" t="n">
        <v>183.8</v>
      </c>
    </row>
    <row r="2266">
      <c r="A2266" t="inlineStr">
        <is>
          <t>CB</t>
        </is>
      </c>
      <c r="B2266" s="6" t="n">
        <v>52.2</v>
      </c>
    </row>
    <row r="2267">
      <c r="A2267" t="inlineStr">
        <is>
          <t>CB</t>
        </is>
      </c>
      <c r="B2267" s="6" t="n">
        <v>65.3</v>
      </c>
    </row>
    <row r="2268">
      <c r="A2268" t="inlineStr">
        <is>
          <t>CB</t>
        </is>
      </c>
      <c r="B2268" s="6" t="n">
        <v>67.7</v>
      </c>
    </row>
    <row r="2269">
      <c r="A2269" t="inlineStr">
        <is>
          <t>CB</t>
        </is>
      </c>
      <c r="B2269" s="6" t="n">
        <v>25.4</v>
      </c>
    </row>
    <row r="2270">
      <c r="A2270" t="inlineStr">
        <is>
          <t>CB</t>
        </is>
      </c>
      <c r="B2270" s="6" t="n">
        <v>72.8</v>
      </c>
    </row>
    <row r="2271">
      <c r="A2271" t="inlineStr">
        <is>
          <t>CB</t>
        </is>
      </c>
      <c r="B2271" s="6" t="n">
        <v>31.8</v>
      </c>
    </row>
    <row r="2272">
      <c r="A2272" t="inlineStr">
        <is>
          <t>CB</t>
        </is>
      </c>
      <c r="B2272" s="6" t="n">
        <v>83.90000000000001</v>
      </c>
    </row>
    <row r="2273">
      <c r="A2273" t="inlineStr">
        <is>
          <t>CB</t>
        </is>
      </c>
      <c r="B2273" s="6" t="n">
        <v>60</v>
      </c>
    </row>
    <row r="2274">
      <c r="A2274" t="inlineStr">
        <is>
          <t>CB</t>
        </is>
      </c>
      <c r="B2274" s="6" t="n">
        <v>153.4</v>
      </c>
    </row>
    <row r="2275">
      <c r="A2275" t="inlineStr">
        <is>
          <t>CB</t>
        </is>
      </c>
      <c r="B2275" s="6" t="n">
        <v>18</v>
      </c>
    </row>
    <row r="2276">
      <c r="A2276" t="inlineStr">
        <is>
          <t>CB</t>
        </is>
      </c>
      <c r="B2276" s="6" t="n">
        <v>79.5</v>
      </c>
    </row>
    <row r="2277">
      <c r="A2277" t="inlineStr">
        <is>
          <t>CB</t>
        </is>
      </c>
      <c r="B2277" s="6" t="n">
        <v>30</v>
      </c>
    </row>
    <row r="2278">
      <c r="A2278" t="inlineStr">
        <is>
          <t>CB</t>
        </is>
      </c>
      <c r="B2278" s="6" t="n">
        <v>78.09999999999999</v>
      </c>
    </row>
    <row r="2279">
      <c r="A2279" t="inlineStr">
        <is>
          <t>CB</t>
        </is>
      </c>
      <c r="B2279" s="6" t="n">
        <v>38.7</v>
      </c>
    </row>
    <row r="2280">
      <c r="A2280" t="inlineStr">
        <is>
          <t>CB</t>
        </is>
      </c>
      <c r="B2280" s="6" t="n">
        <v>82.90000000000001</v>
      </c>
    </row>
    <row r="2281">
      <c r="A2281" t="inlineStr">
        <is>
          <t>CB</t>
        </is>
      </c>
      <c r="B2281" s="6" t="n">
        <v>66.3</v>
      </c>
    </row>
    <row r="2282">
      <c r="A2282" t="inlineStr">
        <is>
          <t>CB</t>
        </is>
      </c>
      <c r="B2282" s="6" t="n">
        <v>32</v>
      </c>
    </row>
    <row r="2283">
      <c r="A2283" t="inlineStr">
        <is>
          <t>CB</t>
        </is>
      </c>
      <c r="B2283" s="6" t="n">
        <v>46.5</v>
      </c>
    </row>
    <row r="2284">
      <c r="A2284" t="inlineStr">
        <is>
          <t>CB</t>
        </is>
      </c>
      <c r="B2284" s="6" t="n">
        <v>84.2</v>
      </c>
    </row>
    <row r="2285">
      <c r="A2285" t="inlineStr">
        <is>
          <t>CB</t>
        </is>
      </c>
      <c r="B2285" s="6" t="n">
        <v>42.5</v>
      </c>
    </row>
    <row r="2286">
      <c r="A2286" t="inlineStr">
        <is>
          <t>CB</t>
        </is>
      </c>
      <c r="B2286" s="6" t="n">
        <v>23.7</v>
      </c>
    </row>
    <row r="2287">
      <c r="A2287" t="inlineStr">
        <is>
          <t>CB</t>
        </is>
      </c>
      <c r="B2287" s="6" t="n">
        <v>22.9</v>
      </c>
    </row>
    <row r="2288">
      <c r="A2288" t="inlineStr">
        <is>
          <t>CB</t>
        </is>
      </c>
      <c r="B2288" s="6" t="n">
        <v>30.25</v>
      </c>
    </row>
    <row r="2289">
      <c r="A2289" t="inlineStr">
        <is>
          <t>ESP</t>
        </is>
      </c>
      <c r="B2289" s="6" t="n">
        <v>30.5</v>
      </c>
    </row>
    <row r="2290">
      <c r="A2290" t="inlineStr">
        <is>
          <t>CB</t>
        </is>
      </c>
      <c r="B2290" s="6" t="n">
        <v>45</v>
      </c>
    </row>
    <row r="2291">
      <c r="A2291" t="inlineStr">
        <is>
          <t>CB</t>
        </is>
      </c>
      <c r="B2291" s="6" t="n">
        <v>60.7</v>
      </c>
    </row>
    <row r="2292">
      <c r="A2292" t="inlineStr">
        <is>
          <t>CB</t>
        </is>
      </c>
      <c r="B2292" s="6" t="n">
        <v>71.3</v>
      </c>
    </row>
    <row r="2293">
      <c r="A2293" t="inlineStr">
        <is>
          <t>CB</t>
        </is>
      </c>
      <c r="B2293" s="6" t="n">
        <v>89.5</v>
      </c>
    </row>
    <row r="2294">
      <c r="A2294" t="inlineStr">
        <is>
          <t>CB</t>
        </is>
      </c>
      <c r="B2294" s="6" t="n">
        <v>26.55</v>
      </c>
    </row>
    <row r="2295">
      <c r="A2295" t="inlineStr">
        <is>
          <t>CB</t>
        </is>
      </c>
      <c r="B2295" s="6" t="n">
        <v>23.7</v>
      </c>
    </row>
    <row r="2296">
      <c r="A2296" t="inlineStr">
        <is>
          <t>CB</t>
        </is>
      </c>
      <c r="B2296" s="6" t="n">
        <v>30.25</v>
      </c>
    </row>
    <row r="2297">
      <c r="A2297" t="inlineStr">
        <is>
          <t>CB</t>
        </is>
      </c>
      <c r="B2297" s="6" t="n">
        <v>26.55</v>
      </c>
    </row>
    <row r="2298">
      <c r="A2298" t="inlineStr">
        <is>
          <t>CB</t>
        </is>
      </c>
      <c r="B2298" s="6" t="n">
        <v>73.8</v>
      </c>
    </row>
    <row r="2299">
      <c r="A2299" t="inlineStr">
        <is>
          <t>CB</t>
        </is>
      </c>
      <c r="B2299" s="6" t="n">
        <v>23.08</v>
      </c>
    </row>
    <row r="2300">
      <c r="A2300" t="inlineStr">
        <is>
          <t>CB</t>
        </is>
      </c>
      <c r="B2300" s="6" t="n">
        <v>23.42</v>
      </c>
    </row>
    <row r="2301">
      <c r="A2301" t="inlineStr">
        <is>
          <t>CB</t>
        </is>
      </c>
      <c r="B2301" s="6" t="n">
        <v>61.2</v>
      </c>
    </row>
    <row r="2302">
      <c r="A2302" t="inlineStr">
        <is>
          <t>CB</t>
        </is>
      </c>
      <c r="B2302" s="6" t="n">
        <v>129</v>
      </c>
    </row>
    <row r="2303">
      <c r="A2303" t="inlineStr">
        <is>
          <t>CB</t>
        </is>
      </c>
      <c r="B2303" s="6" t="n">
        <v>117.2</v>
      </c>
    </row>
    <row r="2304">
      <c r="A2304" t="inlineStr">
        <is>
          <t>CB</t>
        </is>
      </c>
      <c r="B2304" s="6" t="n">
        <v>54</v>
      </c>
    </row>
    <row r="2305">
      <c r="A2305" t="inlineStr">
        <is>
          <t>CB</t>
        </is>
      </c>
      <c r="B2305" s="6" t="n">
        <v>60.4</v>
      </c>
    </row>
    <row r="2306">
      <c r="A2306" t="inlineStr">
        <is>
          <t>CB</t>
        </is>
      </c>
      <c r="B2306" s="6" t="n">
        <v>100.1</v>
      </c>
    </row>
    <row r="2307">
      <c r="A2307" t="inlineStr">
        <is>
          <t>CHV</t>
        </is>
      </c>
      <c r="B2307" s="6" t="n">
        <v>70</v>
      </c>
    </row>
    <row r="2308">
      <c r="A2308" t="inlineStr">
        <is>
          <t>ESP</t>
        </is>
      </c>
      <c r="B2308" s="6" t="n">
        <v>3.9</v>
      </c>
    </row>
    <row r="2309">
      <c r="A2309" t="inlineStr">
        <is>
          <t>CB</t>
        </is>
      </c>
      <c r="B2309" s="6" t="n">
        <v>67.3</v>
      </c>
    </row>
    <row r="2310">
      <c r="A2310" t="inlineStr">
        <is>
          <t>CB</t>
        </is>
      </c>
      <c r="B2310" s="6" t="n">
        <v>115.8</v>
      </c>
    </row>
    <row r="2311">
      <c r="A2311" t="inlineStr">
        <is>
          <t>CB</t>
        </is>
      </c>
      <c r="B2311" s="6" t="n">
        <v>60.5</v>
      </c>
    </row>
    <row r="2312">
      <c r="A2312" t="inlineStr">
        <is>
          <t>CB</t>
        </is>
      </c>
      <c r="B2312" s="6" t="n">
        <v>102</v>
      </c>
    </row>
    <row r="2313">
      <c r="A2313" t="inlineStr">
        <is>
          <t>CB</t>
        </is>
      </c>
      <c r="B2313" s="6" t="n">
        <v>82</v>
      </c>
    </row>
    <row r="2314">
      <c r="A2314" t="inlineStr">
        <is>
          <t>TR</t>
        </is>
      </c>
      <c r="B2314" s="6" t="n">
        <v>18</v>
      </c>
    </row>
    <row r="2315">
      <c r="A2315" t="inlineStr">
        <is>
          <t>CB</t>
        </is>
      </c>
      <c r="B2315" s="6" t="n">
        <v>38.5</v>
      </c>
    </row>
    <row r="2316">
      <c r="A2316" t="inlineStr">
        <is>
          <t>CB</t>
        </is>
      </c>
      <c r="B2316" s="6" t="n">
        <v>86.59999999999999</v>
      </c>
    </row>
    <row r="2317">
      <c r="A2317" t="inlineStr">
        <is>
          <t>CB</t>
        </is>
      </c>
      <c r="B2317" s="6" t="n">
        <v>65.3</v>
      </c>
    </row>
    <row r="2318">
      <c r="A2318" t="inlineStr">
        <is>
          <t>CB</t>
        </is>
      </c>
      <c r="B2318" s="6" t="n">
        <v>24.3</v>
      </c>
    </row>
    <row r="2319">
      <c r="A2319" t="inlineStr">
        <is>
          <t>CB</t>
        </is>
      </c>
      <c r="B2319" s="6" t="n">
        <v>66.40000000000001</v>
      </c>
    </row>
    <row r="2320">
      <c r="A2320" t="inlineStr">
        <is>
          <t>CB</t>
        </is>
      </c>
      <c r="B2320" s="6" t="n">
        <v>37.15</v>
      </c>
    </row>
    <row r="2321">
      <c r="A2321" t="inlineStr">
        <is>
          <t>CB</t>
        </is>
      </c>
      <c r="B2321" s="6" t="n">
        <v>27.3</v>
      </c>
    </row>
    <row r="2322">
      <c r="A2322" t="inlineStr">
        <is>
          <t>CB</t>
        </is>
      </c>
      <c r="B2322" s="6" t="n">
        <v>27.3</v>
      </c>
    </row>
    <row r="2323">
      <c r="A2323" t="inlineStr">
        <is>
          <t>CB</t>
        </is>
      </c>
      <c r="B2323" s="6" t="n">
        <v>67.2</v>
      </c>
    </row>
    <row r="2324">
      <c r="A2324" t="inlineStr">
        <is>
          <t>TR</t>
        </is>
      </c>
      <c r="B2324" s="6" t="n">
        <v>15</v>
      </c>
    </row>
    <row r="2325">
      <c r="A2325" t="inlineStr">
        <is>
          <t>CB</t>
        </is>
      </c>
      <c r="B2325" s="6" t="n">
        <v>8</v>
      </c>
    </row>
    <row r="2326">
      <c r="A2326" t="inlineStr">
        <is>
          <t>CB</t>
        </is>
      </c>
      <c r="B2326" s="6" t="n">
        <v>79.09999999999999</v>
      </c>
    </row>
    <row r="2327">
      <c r="A2327" t="inlineStr">
        <is>
          <t>CB</t>
        </is>
      </c>
      <c r="B2327" s="6" t="n">
        <v>45.2</v>
      </c>
    </row>
    <row r="2328">
      <c r="A2328" t="inlineStr">
        <is>
          <t>CB</t>
        </is>
      </c>
      <c r="B2328" s="6" t="n">
        <v>91.2</v>
      </c>
    </row>
    <row r="2329">
      <c r="A2329" t="inlineStr">
        <is>
          <t>CB</t>
        </is>
      </c>
      <c r="B2329" s="6" t="n">
        <v>38.8</v>
      </c>
    </row>
    <row r="2330">
      <c r="A2330" t="inlineStr">
        <is>
          <t>CB</t>
        </is>
      </c>
      <c r="B2330" s="6" t="n">
        <v>124.7</v>
      </c>
    </row>
    <row r="2331">
      <c r="A2331" t="inlineStr">
        <is>
          <t>CB</t>
        </is>
      </c>
      <c r="B2331" s="6" t="n">
        <v>149.2</v>
      </c>
    </row>
    <row r="2332">
      <c r="A2332" t="inlineStr">
        <is>
          <t>CB</t>
        </is>
      </c>
      <c r="B2332" s="6" t="n">
        <v>78.40000000000001</v>
      </c>
    </row>
    <row r="2333">
      <c r="A2333" t="inlineStr">
        <is>
          <t>CB</t>
        </is>
      </c>
      <c r="B2333" s="6" t="n">
        <v>54</v>
      </c>
    </row>
    <row r="2334">
      <c r="A2334" t="inlineStr">
        <is>
          <t>TR</t>
        </is>
      </c>
      <c r="B2334" s="6" t="n">
        <v>34</v>
      </c>
    </row>
    <row r="2335">
      <c r="A2335" t="inlineStr">
        <is>
          <t>ESP</t>
        </is>
      </c>
      <c r="B2335" s="6" t="n">
        <v>49.8</v>
      </c>
    </row>
    <row r="2336">
      <c r="A2336" t="inlineStr">
        <is>
          <t>CB</t>
        </is>
      </c>
      <c r="B2336" s="6" t="n">
        <v>99.40000000000001</v>
      </c>
    </row>
    <row r="2337">
      <c r="A2337" t="inlineStr">
        <is>
          <t>CB</t>
        </is>
      </c>
      <c r="B2337" s="6" t="n">
        <v>44.4</v>
      </c>
    </row>
    <row r="2338">
      <c r="A2338" t="inlineStr">
        <is>
          <t>CB</t>
        </is>
      </c>
      <c r="B2338" s="6" t="n">
        <v>52</v>
      </c>
    </row>
    <row r="2339">
      <c r="A2339" t="inlineStr">
        <is>
          <t>CB</t>
        </is>
      </c>
      <c r="B2339" s="6" t="n">
        <v>63.4</v>
      </c>
    </row>
    <row r="2340">
      <c r="A2340" t="inlineStr">
        <is>
          <t>CB</t>
        </is>
      </c>
      <c r="B2340" s="6" t="n">
        <v>56.8</v>
      </c>
    </row>
    <row r="2341">
      <c r="A2341" t="inlineStr">
        <is>
          <t>CB</t>
        </is>
      </c>
      <c r="B2341" s="6" t="n">
        <v>65.40000000000001</v>
      </c>
    </row>
    <row r="2342">
      <c r="A2342" t="inlineStr">
        <is>
          <t>CB</t>
        </is>
      </c>
      <c r="B2342" s="6" t="n">
        <v>105.4</v>
      </c>
    </row>
    <row r="2343">
      <c r="A2343" t="inlineStr">
        <is>
          <t>CB</t>
        </is>
      </c>
      <c r="B2343" s="6" t="n">
        <v>64.7</v>
      </c>
    </row>
    <row r="2344">
      <c r="A2344" t="inlineStr">
        <is>
          <t>CB</t>
        </is>
      </c>
      <c r="B2344" s="6" t="n">
        <v>69.09999999999999</v>
      </c>
    </row>
    <row r="2345">
      <c r="A2345" t="inlineStr">
        <is>
          <t>CB</t>
        </is>
      </c>
      <c r="B2345" s="6" t="n">
        <v>111.8</v>
      </c>
    </row>
    <row r="2346">
      <c r="A2346" t="inlineStr">
        <is>
          <t>CB</t>
        </is>
      </c>
      <c r="B2346" s="6" t="n">
        <v>78.2</v>
      </c>
    </row>
    <row r="2347">
      <c r="A2347" t="inlineStr">
        <is>
          <t>CB</t>
        </is>
      </c>
      <c r="B2347" s="6" t="n">
        <v>85.23</v>
      </c>
    </row>
    <row r="2348">
      <c r="A2348" t="inlineStr">
        <is>
          <t>CB</t>
        </is>
      </c>
      <c r="B2348" s="6" t="n">
        <v>85.23</v>
      </c>
    </row>
    <row r="2349">
      <c r="A2349" t="inlineStr">
        <is>
          <t>CB</t>
        </is>
      </c>
      <c r="B2349" s="6" t="n">
        <v>42.62</v>
      </c>
    </row>
    <row r="2350">
      <c r="A2350" t="inlineStr">
        <is>
          <t>ESP</t>
        </is>
      </c>
      <c r="B2350" s="6" t="n">
        <v>42.62</v>
      </c>
    </row>
    <row r="2351">
      <c r="A2351" t="inlineStr">
        <is>
          <t>CB</t>
        </is>
      </c>
      <c r="B2351" s="6" t="n">
        <v>63.8</v>
      </c>
    </row>
    <row r="2352">
      <c r="A2352" t="inlineStr">
        <is>
          <t>CB</t>
        </is>
      </c>
      <c r="B2352" s="6" t="n">
        <v>106</v>
      </c>
    </row>
    <row r="2353">
      <c r="A2353" t="inlineStr">
        <is>
          <t>CB</t>
        </is>
      </c>
      <c r="B2353" s="6" t="n">
        <v>61.9</v>
      </c>
    </row>
    <row r="2354">
      <c r="A2354" t="inlineStr">
        <is>
          <t>CB</t>
        </is>
      </c>
      <c r="B2354" s="6" t="n">
        <v>56</v>
      </c>
    </row>
    <row r="2355">
      <c r="A2355" t="inlineStr">
        <is>
          <t>CB</t>
        </is>
      </c>
      <c r="B2355" s="6" t="n">
        <v>112.7</v>
      </c>
    </row>
    <row r="2356">
      <c r="A2356" t="inlineStr">
        <is>
          <t>CHV</t>
        </is>
      </c>
      <c r="B2356" s="6" t="n">
        <v>100</v>
      </c>
    </row>
    <row r="2357">
      <c r="A2357" t="inlineStr">
        <is>
          <t>ESP</t>
        </is>
      </c>
      <c r="B2357" s="6" t="n">
        <v>0.1</v>
      </c>
    </row>
    <row r="2358">
      <c r="A2358" t="inlineStr">
        <is>
          <t>CB</t>
        </is>
      </c>
      <c r="B2358" s="6" t="n">
        <v>85.3</v>
      </c>
    </row>
    <row r="2359">
      <c r="A2359" t="inlineStr">
        <is>
          <t>CB</t>
        </is>
      </c>
      <c r="B2359" s="6" t="n">
        <v>41.2</v>
      </c>
    </row>
    <row r="2360">
      <c r="A2360" t="inlineStr">
        <is>
          <t>ESP</t>
        </is>
      </c>
      <c r="B2360" s="6" t="n">
        <v>38.7</v>
      </c>
    </row>
    <row r="2361">
      <c r="A2361" t="inlineStr">
        <is>
          <t>CB</t>
        </is>
      </c>
      <c r="B2361" s="6" t="n">
        <v>58.3</v>
      </c>
    </row>
    <row r="2362">
      <c r="A2362" t="inlineStr">
        <is>
          <t>CB</t>
        </is>
      </c>
      <c r="B2362" s="6" t="n">
        <v>81.8</v>
      </c>
    </row>
    <row r="2363">
      <c r="A2363" t="inlineStr">
        <is>
          <t>CB</t>
        </is>
      </c>
      <c r="B2363" s="6" t="n">
        <v>18.93</v>
      </c>
    </row>
    <row r="2364">
      <c r="A2364" t="inlineStr">
        <is>
          <t>CB</t>
        </is>
      </c>
      <c r="B2364" s="6" t="n">
        <v>182</v>
      </c>
    </row>
    <row r="2365">
      <c r="A2365" t="inlineStr">
        <is>
          <t>CB</t>
        </is>
      </c>
      <c r="B2365" s="6" t="n">
        <v>83</v>
      </c>
    </row>
    <row r="2366">
      <c r="A2366" t="inlineStr">
        <is>
          <t>CB</t>
        </is>
      </c>
      <c r="B2366" s="6" t="n">
        <v>39.9</v>
      </c>
    </row>
    <row r="2367">
      <c r="A2367" t="inlineStr">
        <is>
          <t>CB</t>
        </is>
      </c>
      <c r="B2367" s="6" t="n">
        <v>56.9</v>
      </c>
    </row>
    <row r="2368">
      <c r="A2368" t="inlineStr">
        <is>
          <t>CB</t>
        </is>
      </c>
      <c r="B2368" s="6" t="n">
        <v>37.6</v>
      </c>
    </row>
    <row r="2369">
      <c r="A2369" t="inlineStr">
        <is>
          <t>CB</t>
        </is>
      </c>
      <c r="B2369" s="6" t="n">
        <v>74.40000000000001</v>
      </c>
    </row>
    <row r="2370">
      <c r="A2370" t="inlineStr">
        <is>
          <t>CB</t>
        </is>
      </c>
      <c r="B2370" s="6" t="n">
        <v>18.95</v>
      </c>
    </row>
    <row r="2371">
      <c r="A2371" t="inlineStr">
        <is>
          <t>CB</t>
        </is>
      </c>
      <c r="B2371" s="6" t="n">
        <v>19.52</v>
      </c>
    </row>
    <row r="2372">
      <c r="A2372" t="inlineStr">
        <is>
          <t>CB</t>
        </is>
      </c>
      <c r="B2372" s="6" t="n">
        <v>139.1</v>
      </c>
    </row>
    <row r="2373">
      <c r="A2373" t="inlineStr">
        <is>
          <t>CB</t>
        </is>
      </c>
      <c r="B2373" s="6" t="n">
        <v>59.7</v>
      </c>
    </row>
    <row r="2374">
      <c r="A2374" t="inlineStr">
        <is>
          <t>CB</t>
        </is>
      </c>
      <c r="B2374" s="6" t="n">
        <v>94.7</v>
      </c>
    </row>
    <row r="2375">
      <c r="A2375" t="inlineStr">
        <is>
          <t>CB</t>
        </is>
      </c>
      <c r="B2375" s="6" t="n">
        <v>71.59999999999999</v>
      </c>
    </row>
    <row r="2376">
      <c r="A2376" t="inlineStr">
        <is>
          <t>CB</t>
        </is>
      </c>
      <c r="B2376" s="6" t="n">
        <v>73.59999999999999</v>
      </c>
    </row>
    <row r="2377">
      <c r="A2377" t="inlineStr">
        <is>
          <t>CB</t>
        </is>
      </c>
      <c r="B2377" s="6" t="n">
        <v>122.2</v>
      </c>
    </row>
    <row r="2378">
      <c r="A2378" t="inlineStr">
        <is>
          <t>CHV</t>
        </is>
      </c>
      <c r="B2378" s="6" t="n">
        <v>120</v>
      </c>
    </row>
    <row r="2379">
      <c r="A2379" t="inlineStr">
        <is>
          <t>ESP</t>
        </is>
      </c>
      <c r="B2379" s="6" t="n">
        <v>0.2</v>
      </c>
    </row>
    <row r="2380">
      <c r="A2380" t="inlineStr">
        <is>
          <t>CB</t>
        </is>
      </c>
      <c r="B2380" s="6" t="n">
        <v>168.6</v>
      </c>
    </row>
    <row r="2381">
      <c r="A2381" t="inlineStr">
        <is>
          <t>CB</t>
        </is>
      </c>
      <c r="B2381" s="6" t="n">
        <v>60.5</v>
      </c>
    </row>
    <row r="2382">
      <c r="A2382" t="inlineStr">
        <is>
          <t>CB</t>
        </is>
      </c>
      <c r="B2382" s="6" t="n">
        <v>92.3</v>
      </c>
    </row>
    <row r="2383">
      <c r="A2383" t="inlineStr">
        <is>
          <t>CB</t>
        </is>
      </c>
      <c r="B2383" s="6" t="n">
        <v>73.2</v>
      </c>
    </row>
    <row r="2384">
      <c r="A2384" t="inlineStr">
        <is>
          <t>CB</t>
        </is>
      </c>
      <c r="B2384" s="6" t="n">
        <v>56.9</v>
      </c>
    </row>
    <row r="2385">
      <c r="A2385" t="inlineStr">
        <is>
          <t>CB</t>
        </is>
      </c>
      <c r="B2385" s="6" t="n">
        <v>48.8</v>
      </c>
    </row>
    <row r="2386">
      <c r="A2386" t="inlineStr">
        <is>
          <t>CB</t>
        </is>
      </c>
      <c r="B2386" s="6" t="n">
        <v>67.40000000000001</v>
      </c>
    </row>
    <row r="2387">
      <c r="A2387" t="inlineStr">
        <is>
          <t>CB</t>
        </is>
      </c>
      <c r="B2387" s="6" t="n">
        <v>80.09999999999999</v>
      </c>
    </row>
    <row r="2388">
      <c r="A2388" t="inlineStr">
        <is>
          <t>CB</t>
        </is>
      </c>
      <c r="B2388" s="6" t="n">
        <v>69.7</v>
      </c>
    </row>
    <row r="2389">
      <c r="A2389" t="inlineStr">
        <is>
          <t>CB</t>
        </is>
      </c>
      <c r="B2389" s="6" t="n">
        <v>56</v>
      </c>
    </row>
    <row r="2390">
      <c r="A2390" t="inlineStr">
        <is>
          <t>CB</t>
        </is>
      </c>
      <c r="B2390" s="6" t="n">
        <v>118</v>
      </c>
    </row>
    <row r="2391">
      <c r="A2391" t="inlineStr">
        <is>
          <t>CB</t>
        </is>
      </c>
      <c r="B2391" s="6" t="n">
        <v>41.7</v>
      </c>
    </row>
    <row r="2392">
      <c r="A2392" t="inlineStr">
        <is>
          <t>CB</t>
        </is>
      </c>
      <c r="B2392" s="6" t="n">
        <v>68.59999999999999</v>
      </c>
    </row>
    <row r="2393">
      <c r="A2393" t="inlineStr">
        <is>
          <t>CB</t>
        </is>
      </c>
      <c r="B2393" s="6" t="n">
        <v>56.4</v>
      </c>
    </row>
    <row r="2394">
      <c r="A2394" t="inlineStr">
        <is>
          <t>CB</t>
        </is>
      </c>
      <c r="B2394" s="6" t="n">
        <v>94.09999999999999</v>
      </c>
    </row>
    <row r="2395">
      <c r="A2395" t="inlineStr">
        <is>
          <t>CB</t>
        </is>
      </c>
      <c r="B2395" s="6" t="n">
        <v>32.3</v>
      </c>
    </row>
    <row r="2396">
      <c r="A2396" t="inlineStr">
        <is>
          <t>CB</t>
        </is>
      </c>
      <c r="B2396" s="6" t="n">
        <v>63.4</v>
      </c>
    </row>
    <row r="2397">
      <c r="A2397" t="inlineStr">
        <is>
          <t>CHV</t>
        </is>
      </c>
      <c r="B2397" s="6" t="n">
        <v>40</v>
      </c>
    </row>
    <row r="2398">
      <c r="A2398" t="inlineStr">
        <is>
          <t>CB</t>
        </is>
      </c>
      <c r="B2398" s="6" t="n">
        <v>7.4</v>
      </c>
    </row>
    <row r="2399">
      <c r="A2399" t="inlineStr">
        <is>
          <t>CB</t>
        </is>
      </c>
      <c r="B2399" s="6" t="n">
        <v>85.90000000000001</v>
      </c>
    </row>
    <row r="2400">
      <c r="A2400" t="inlineStr">
        <is>
          <t>CB</t>
        </is>
      </c>
      <c r="B2400" s="6" t="n">
        <v>77.5</v>
      </c>
    </row>
    <row r="2401">
      <c r="A2401" t="inlineStr">
        <is>
          <t>CB</t>
        </is>
      </c>
      <c r="B2401" s="6" t="n">
        <v>28.4</v>
      </c>
    </row>
    <row r="2402">
      <c r="A2402" t="inlineStr">
        <is>
          <t>CB</t>
        </is>
      </c>
      <c r="B2402" s="6" t="n">
        <v>57.5</v>
      </c>
    </row>
    <row r="2403">
      <c r="A2403" t="inlineStr">
        <is>
          <t>CB</t>
        </is>
      </c>
      <c r="B2403" s="6" t="n">
        <v>35.1</v>
      </c>
    </row>
    <row r="2404">
      <c r="A2404" t="inlineStr">
        <is>
          <t>CB</t>
        </is>
      </c>
      <c r="B2404" s="6" t="n">
        <v>118.1</v>
      </c>
    </row>
    <row r="2405">
      <c r="A2405" t="inlineStr">
        <is>
          <t>CB</t>
        </is>
      </c>
      <c r="B2405" s="6" t="n">
        <v>28.9</v>
      </c>
    </row>
    <row r="2406">
      <c r="A2406" t="inlineStr">
        <is>
          <t>CB</t>
        </is>
      </c>
      <c r="B2406" s="6" t="n">
        <v>20.8</v>
      </c>
    </row>
    <row r="2407">
      <c r="A2407" t="inlineStr">
        <is>
          <t>TR</t>
        </is>
      </c>
      <c r="B2407" s="6" t="n">
        <v>33</v>
      </c>
    </row>
    <row r="2408">
      <c r="A2408" t="inlineStr">
        <is>
          <t>CB</t>
        </is>
      </c>
      <c r="B2408" s="6" t="n">
        <v>25.2</v>
      </c>
    </row>
    <row r="2409">
      <c r="A2409" t="inlineStr">
        <is>
          <t>CB</t>
        </is>
      </c>
      <c r="B2409" s="6" t="n">
        <v>64.40000000000001</v>
      </c>
    </row>
    <row r="2410">
      <c r="A2410" t="inlineStr">
        <is>
          <t>CB</t>
        </is>
      </c>
      <c r="B2410" s="6" t="n">
        <v>32.3</v>
      </c>
    </row>
    <row r="2411">
      <c r="A2411" t="inlineStr">
        <is>
          <t>CB</t>
        </is>
      </c>
      <c r="B2411" s="6" t="n">
        <v>64.90000000000001</v>
      </c>
    </row>
    <row r="2412">
      <c r="A2412" t="inlineStr">
        <is>
          <t>CB</t>
        </is>
      </c>
      <c r="B2412" s="6" t="n">
        <v>116.6</v>
      </c>
    </row>
    <row r="2413">
      <c r="A2413" t="inlineStr">
        <is>
          <t>CB</t>
        </is>
      </c>
      <c r="B2413" s="6" t="n">
        <v>35.1</v>
      </c>
    </row>
    <row r="2414">
      <c r="A2414" t="inlineStr">
        <is>
          <t>CB</t>
        </is>
      </c>
      <c r="B2414" s="6" t="n">
        <v>28.9</v>
      </c>
    </row>
    <row r="2415">
      <c r="A2415" t="inlineStr">
        <is>
          <t>CB</t>
        </is>
      </c>
      <c r="B2415" s="6" t="n">
        <v>36.1</v>
      </c>
    </row>
    <row r="2416">
      <c r="A2416" t="inlineStr">
        <is>
          <t>CB</t>
        </is>
      </c>
      <c r="B2416" s="6" t="n">
        <v>53.7</v>
      </c>
    </row>
    <row r="2417">
      <c r="A2417" t="inlineStr">
        <is>
          <t>CB</t>
        </is>
      </c>
      <c r="B2417" s="6" t="n">
        <v>86.09999999999999</v>
      </c>
    </row>
    <row r="2418">
      <c r="A2418" t="inlineStr">
        <is>
          <t>CB</t>
        </is>
      </c>
      <c r="B2418" s="6" t="n">
        <v>121.4</v>
      </c>
    </row>
    <row r="2419">
      <c r="A2419" t="inlineStr">
        <is>
          <t>CB</t>
        </is>
      </c>
      <c r="B2419" s="6" t="n">
        <v>52.4</v>
      </c>
    </row>
    <row r="2420">
      <c r="A2420" t="inlineStr">
        <is>
          <t>CB</t>
        </is>
      </c>
      <c r="B2420" s="6" t="n">
        <v>19.7</v>
      </c>
    </row>
    <row r="2421">
      <c r="A2421" t="inlineStr">
        <is>
          <t>CB</t>
        </is>
      </c>
      <c r="B2421" s="6" t="n">
        <v>156.1</v>
      </c>
    </row>
    <row r="2422">
      <c r="A2422" t="inlineStr">
        <is>
          <t>CB</t>
        </is>
      </c>
      <c r="B2422" s="6" t="n">
        <v>23.7</v>
      </c>
    </row>
    <row r="2423">
      <c r="A2423" t="inlineStr">
        <is>
          <t>CB</t>
        </is>
      </c>
      <c r="B2423" s="6" t="n">
        <v>86.7</v>
      </c>
    </row>
    <row r="2424">
      <c r="A2424" t="inlineStr">
        <is>
          <t>CB</t>
        </is>
      </c>
      <c r="B2424" s="6" t="n">
        <v>53.8</v>
      </c>
    </row>
    <row r="2425">
      <c r="A2425" t="inlineStr">
        <is>
          <t>CB</t>
        </is>
      </c>
      <c r="B2425" s="6" t="n">
        <v>44.9</v>
      </c>
    </row>
    <row r="2426">
      <c r="A2426" t="inlineStr">
        <is>
          <t>CB</t>
        </is>
      </c>
      <c r="B2426" s="6" t="n">
        <v>81.3</v>
      </c>
    </row>
    <row r="2427">
      <c r="A2427" t="inlineStr">
        <is>
          <t>CB</t>
        </is>
      </c>
      <c r="B2427" s="6" t="n">
        <v>93.7</v>
      </c>
    </row>
    <row r="2428">
      <c r="A2428" t="inlineStr">
        <is>
          <t>CB</t>
        </is>
      </c>
      <c r="B2428" s="6" t="n">
        <v>49.3</v>
      </c>
    </row>
    <row r="2429">
      <c r="A2429" t="inlineStr">
        <is>
          <t>CB</t>
        </is>
      </c>
      <c r="B2429" s="6" t="n">
        <v>20.2</v>
      </c>
    </row>
    <row r="2430">
      <c r="A2430" t="inlineStr">
        <is>
          <t>CHV</t>
        </is>
      </c>
      <c r="B2430" s="6" t="n">
        <v>45</v>
      </c>
    </row>
    <row r="2431">
      <c r="A2431" t="inlineStr">
        <is>
          <t>CB</t>
        </is>
      </c>
      <c r="B2431" s="6" t="n">
        <v>19.8</v>
      </c>
    </row>
    <row r="2432">
      <c r="A2432" t="inlineStr">
        <is>
          <t>CB</t>
        </is>
      </c>
      <c r="B2432" s="6" t="n">
        <v>29.4</v>
      </c>
    </row>
    <row r="2433">
      <c r="A2433" t="inlineStr">
        <is>
          <t>CB</t>
        </is>
      </c>
      <c r="B2433" s="6" t="n">
        <v>44.9</v>
      </c>
    </row>
    <row r="2434">
      <c r="A2434" t="inlineStr">
        <is>
          <t>CB</t>
        </is>
      </c>
      <c r="B2434" s="6" t="n">
        <v>46.5</v>
      </c>
    </row>
    <row r="2435">
      <c r="A2435" t="inlineStr">
        <is>
          <t>CB</t>
        </is>
      </c>
      <c r="B2435" s="6" t="n">
        <v>64</v>
      </c>
    </row>
    <row r="2436">
      <c r="A2436" t="inlineStr">
        <is>
          <t>CB</t>
        </is>
      </c>
      <c r="B2436" s="6" t="n">
        <v>41.2</v>
      </c>
    </row>
    <row r="2437">
      <c r="A2437" t="inlineStr">
        <is>
          <t>CB</t>
        </is>
      </c>
      <c r="B2437" s="6" t="n">
        <v>80.7</v>
      </c>
    </row>
    <row r="2438">
      <c r="A2438" t="inlineStr">
        <is>
          <t>CB</t>
        </is>
      </c>
      <c r="B2438" s="6" t="n">
        <v>69.40000000000001</v>
      </c>
    </row>
    <row r="2439">
      <c r="A2439" t="inlineStr">
        <is>
          <t>CB</t>
        </is>
      </c>
      <c r="B2439" s="6" t="n">
        <v>107.3</v>
      </c>
    </row>
    <row r="2440">
      <c r="A2440" t="inlineStr">
        <is>
          <t>CB</t>
        </is>
      </c>
      <c r="B2440" s="6" t="n">
        <v>42.6</v>
      </c>
    </row>
    <row r="2441">
      <c r="A2441" t="inlineStr">
        <is>
          <t>CB</t>
        </is>
      </c>
      <c r="B2441" s="6" t="n">
        <v>27.6</v>
      </c>
    </row>
    <row r="2442">
      <c r="A2442" t="inlineStr">
        <is>
          <t>CHV</t>
        </is>
      </c>
      <c r="B2442" s="6" t="n">
        <v>30</v>
      </c>
    </row>
    <row r="2443">
      <c r="A2443" t="inlineStr">
        <is>
          <t>CB</t>
        </is>
      </c>
      <c r="B2443" s="6" t="n">
        <v>90.7</v>
      </c>
    </row>
    <row r="2444">
      <c r="A2444" t="inlineStr">
        <is>
          <t>CB</t>
        </is>
      </c>
      <c r="B2444" s="6" t="n">
        <v>199</v>
      </c>
    </row>
    <row r="2445">
      <c r="A2445" t="inlineStr">
        <is>
          <t>CB</t>
        </is>
      </c>
      <c r="B2445" s="6" t="n">
        <v>64.40000000000001</v>
      </c>
    </row>
    <row r="2446">
      <c r="A2446" t="inlineStr">
        <is>
          <t>CB</t>
        </is>
      </c>
      <c r="B2446" s="6" t="n">
        <v>52.8</v>
      </c>
    </row>
    <row r="2447">
      <c r="A2447" t="inlineStr">
        <is>
          <t>CB</t>
        </is>
      </c>
      <c r="B2447" s="6" t="n">
        <v>89.2</v>
      </c>
    </row>
    <row r="2448">
      <c r="A2448" t="inlineStr">
        <is>
          <t>CB</t>
        </is>
      </c>
      <c r="B2448" s="6" t="n">
        <v>136.5</v>
      </c>
    </row>
    <row r="2449">
      <c r="A2449" t="inlineStr">
        <is>
          <t>CB</t>
        </is>
      </c>
      <c r="B2449" s="6" t="n">
        <v>36.6</v>
      </c>
    </row>
    <row r="2450">
      <c r="A2450" t="inlineStr">
        <is>
          <t>CB</t>
        </is>
      </c>
      <c r="B2450" s="6" t="n">
        <v>52.7</v>
      </c>
    </row>
    <row r="2451">
      <c r="A2451" t="inlineStr">
        <is>
          <t>CB</t>
        </is>
      </c>
      <c r="B2451" s="6" t="n">
        <v>69.40000000000001</v>
      </c>
    </row>
    <row r="2452">
      <c r="A2452" t="inlineStr">
        <is>
          <t>CB</t>
        </is>
      </c>
      <c r="B2452" s="6" t="n">
        <v>30.9</v>
      </c>
    </row>
    <row r="2453">
      <c r="A2453" t="inlineStr">
        <is>
          <t>CB</t>
        </is>
      </c>
      <c r="B2453" s="6" t="n">
        <v>43.9</v>
      </c>
    </row>
    <row r="2454">
      <c r="A2454" t="inlineStr">
        <is>
          <t>CB</t>
        </is>
      </c>
      <c r="B2454" s="6" t="n">
        <v>90.90000000000001</v>
      </c>
    </row>
    <row r="2455">
      <c r="A2455" t="inlineStr">
        <is>
          <t>CB</t>
        </is>
      </c>
      <c r="B2455" s="6" t="n">
        <v>55.3</v>
      </c>
    </row>
    <row r="2456">
      <c r="A2456" t="inlineStr">
        <is>
          <t>CB</t>
        </is>
      </c>
      <c r="B2456" s="6" t="n">
        <v>51.7</v>
      </c>
    </row>
    <row r="2457">
      <c r="A2457" t="inlineStr">
        <is>
          <t>CB</t>
        </is>
      </c>
      <c r="B2457" s="6" t="n">
        <v>36.6</v>
      </c>
    </row>
    <row r="2458">
      <c r="A2458" t="inlineStr">
        <is>
          <t>CB</t>
        </is>
      </c>
      <c r="B2458" s="6" t="n">
        <v>24.7</v>
      </c>
    </row>
    <row r="2459">
      <c r="A2459" t="inlineStr">
        <is>
          <t>CB</t>
        </is>
      </c>
      <c r="B2459" s="6" t="n">
        <v>202.4</v>
      </c>
    </row>
    <row r="2460">
      <c r="A2460" t="inlineStr">
        <is>
          <t>CB</t>
        </is>
      </c>
      <c r="B2460" s="6" t="n">
        <v>82.59999999999999</v>
      </c>
    </row>
    <row r="2461">
      <c r="A2461" t="inlineStr">
        <is>
          <t>CB</t>
        </is>
      </c>
      <c r="B2461" s="6" t="n">
        <v>44.9</v>
      </c>
    </row>
    <row r="2462">
      <c r="A2462" t="inlineStr">
        <is>
          <t>CB</t>
        </is>
      </c>
      <c r="B2462" s="6" t="n">
        <v>103.6</v>
      </c>
    </row>
    <row r="2463">
      <c r="A2463" t="inlineStr">
        <is>
          <t>CB</t>
        </is>
      </c>
      <c r="B2463" s="6" t="n">
        <v>79.3</v>
      </c>
    </row>
    <row r="2464">
      <c r="A2464" t="inlineStr">
        <is>
          <t>CB</t>
        </is>
      </c>
      <c r="B2464" s="6" t="n">
        <v>38.9</v>
      </c>
    </row>
    <row r="2465">
      <c r="A2465" t="inlineStr">
        <is>
          <t>CB</t>
        </is>
      </c>
      <c r="B2465" s="6" t="n">
        <v>112.4</v>
      </c>
    </row>
    <row r="2466">
      <c r="A2466" t="inlineStr">
        <is>
          <t>CB</t>
        </is>
      </c>
      <c r="B2466" s="6" t="n">
        <v>66.52</v>
      </c>
    </row>
    <row r="2467">
      <c r="A2467" t="inlineStr">
        <is>
          <t>CB</t>
        </is>
      </c>
      <c r="B2467" s="6" t="n">
        <v>33.26</v>
      </c>
    </row>
    <row r="2468">
      <c r="A2468" t="inlineStr">
        <is>
          <t>CB</t>
        </is>
      </c>
      <c r="B2468" s="6" t="n">
        <v>66.52</v>
      </c>
    </row>
    <row r="2469">
      <c r="A2469" t="inlineStr">
        <is>
          <t>CB</t>
        </is>
      </c>
      <c r="B2469" s="6" t="n">
        <v>33.25</v>
      </c>
    </row>
    <row r="2470">
      <c r="A2470" t="inlineStr">
        <is>
          <t>CB</t>
        </is>
      </c>
      <c r="B2470" s="6" t="n">
        <v>33.25</v>
      </c>
    </row>
    <row r="2471">
      <c r="A2471" t="inlineStr">
        <is>
          <t>CB</t>
        </is>
      </c>
      <c r="B2471" s="6" t="n">
        <v>82.09999999999999</v>
      </c>
    </row>
    <row r="2472">
      <c r="A2472" t="inlineStr">
        <is>
          <t>CB</t>
        </is>
      </c>
      <c r="B2472" s="6" t="n">
        <v>65.3</v>
      </c>
    </row>
    <row r="2473">
      <c r="A2473" t="inlineStr">
        <is>
          <t>CB</t>
        </is>
      </c>
      <c r="B2473" s="6" t="n">
        <v>24.7</v>
      </c>
    </row>
    <row r="2474">
      <c r="A2474" t="inlineStr">
        <is>
          <t>CB</t>
        </is>
      </c>
      <c r="B2474" s="6" t="n">
        <v>17.6</v>
      </c>
    </row>
    <row r="2475">
      <c r="A2475" t="inlineStr">
        <is>
          <t>CB</t>
        </is>
      </c>
      <c r="B2475" s="6" t="n">
        <v>19.9</v>
      </c>
    </row>
    <row r="2476">
      <c r="A2476" t="inlineStr">
        <is>
          <t>ESP</t>
        </is>
      </c>
      <c r="B2476" s="6" t="n">
        <v>19.9</v>
      </c>
    </row>
    <row r="2477">
      <c r="A2477" t="inlineStr">
        <is>
          <t>CB</t>
        </is>
      </c>
      <c r="B2477" s="6" t="n">
        <v>72.59999999999999</v>
      </c>
    </row>
    <row r="2478">
      <c r="A2478" t="inlineStr">
        <is>
          <t>CB</t>
        </is>
      </c>
      <c r="B2478" s="6" t="n">
        <v>49.7</v>
      </c>
    </row>
    <row r="2479">
      <c r="A2479" t="inlineStr">
        <is>
          <t>CB</t>
        </is>
      </c>
      <c r="B2479" s="6" t="n">
        <v>48.2</v>
      </c>
    </row>
    <row r="2480">
      <c r="A2480" t="inlineStr">
        <is>
          <t>CB</t>
        </is>
      </c>
      <c r="B2480" s="6" t="n">
        <v>52.9</v>
      </c>
    </row>
    <row r="2481">
      <c r="A2481" t="inlineStr">
        <is>
          <t>TR</t>
        </is>
      </c>
      <c r="B2481" s="6" t="n">
        <v>27</v>
      </c>
    </row>
    <row r="2482">
      <c r="A2482" t="inlineStr">
        <is>
          <t>CB</t>
        </is>
      </c>
      <c r="B2482" s="6" t="n">
        <v>13</v>
      </c>
    </row>
    <row r="2483">
      <c r="A2483" t="inlineStr">
        <is>
          <t>CB</t>
        </is>
      </c>
      <c r="B2483" s="6" t="n">
        <v>0.2</v>
      </c>
    </row>
    <row r="2484">
      <c r="A2484" t="inlineStr">
        <is>
          <t>CB</t>
        </is>
      </c>
      <c r="B2484" s="6" t="n">
        <v>60.9</v>
      </c>
    </row>
    <row r="2485">
      <c r="A2485" t="inlineStr">
        <is>
          <t>CB</t>
        </is>
      </c>
      <c r="B2485" s="6" t="n">
        <v>41.7</v>
      </c>
    </row>
    <row r="2486">
      <c r="A2486" t="inlineStr">
        <is>
          <t>TR</t>
        </is>
      </c>
      <c r="B2486" s="6" t="n">
        <v>40</v>
      </c>
    </row>
    <row r="2487">
      <c r="A2487" t="inlineStr">
        <is>
          <t>ESP</t>
        </is>
      </c>
      <c r="B2487" s="6" t="n">
        <v>43.6</v>
      </c>
    </row>
    <row r="2488">
      <c r="A2488" t="inlineStr">
        <is>
          <t>CB</t>
        </is>
      </c>
      <c r="B2488" s="6" t="n">
        <v>112.2</v>
      </c>
    </row>
    <row r="2489">
      <c r="A2489" t="inlineStr">
        <is>
          <t>CB</t>
        </is>
      </c>
      <c r="B2489" s="6" t="n">
        <v>34.7</v>
      </c>
    </row>
    <row r="2490">
      <c r="A2490" t="inlineStr">
        <is>
          <t>CHV</t>
        </is>
      </c>
      <c r="B2490" s="6" t="n">
        <v>40</v>
      </c>
    </row>
    <row r="2491">
      <c r="A2491" t="inlineStr">
        <is>
          <t>ESP</t>
        </is>
      </c>
      <c r="B2491" s="6" t="n">
        <v>8.9</v>
      </c>
    </row>
    <row r="2492">
      <c r="A2492" t="inlineStr">
        <is>
          <t>CB</t>
        </is>
      </c>
      <c r="B2492" s="6" t="n">
        <v>108.6</v>
      </c>
    </row>
    <row r="2493">
      <c r="A2493" t="inlineStr">
        <is>
          <t>CB</t>
        </is>
      </c>
      <c r="B2493" s="6" t="n">
        <v>164.8</v>
      </c>
    </row>
    <row r="2494">
      <c r="A2494" t="inlineStr">
        <is>
          <t>TR</t>
        </is>
      </c>
      <c r="B2494" s="6" t="n">
        <v>52.5</v>
      </c>
    </row>
    <row r="2495">
      <c r="A2495" t="inlineStr">
        <is>
          <t>CB</t>
        </is>
      </c>
      <c r="B2495" s="6" t="n">
        <v>2.1</v>
      </c>
    </row>
    <row r="2496">
      <c r="A2496" t="inlineStr">
        <is>
          <t>CB</t>
        </is>
      </c>
      <c r="B2496" s="6" t="n">
        <v>58.9</v>
      </c>
    </row>
    <row r="2497">
      <c r="A2497" t="inlineStr">
        <is>
          <t>CB</t>
        </is>
      </c>
      <c r="B2497" s="6" t="n">
        <v>44.5</v>
      </c>
    </row>
    <row r="2498">
      <c r="A2498" t="inlineStr">
        <is>
          <t>CHV</t>
        </is>
      </c>
      <c r="B2498" s="6" t="n">
        <v>47.6</v>
      </c>
    </row>
    <row r="2499">
      <c r="A2499" t="inlineStr">
        <is>
          <t>CB</t>
        </is>
      </c>
      <c r="B2499" s="6" t="n">
        <v>88.5</v>
      </c>
    </row>
    <row r="2500">
      <c r="A2500" t="inlineStr">
        <is>
          <t>CB</t>
        </is>
      </c>
      <c r="B2500" s="6" t="n">
        <v>79</v>
      </c>
    </row>
    <row r="2501">
      <c r="A2501" t="inlineStr">
        <is>
          <t>CB</t>
        </is>
      </c>
      <c r="B2501" s="6" t="n">
        <v>45.8</v>
      </c>
    </row>
    <row r="2502">
      <c r="A2502" t="inlineStr">
        <is>
          <t>CB</t>
        </is>
      </c>
      <c r="B2502" s="6" t="n">
        <v>73.8</v>
      </c>
    </row>
    <row r="2503">
      <c r="A2503" t="inlineStr">
        <is>
          <t>CHV</t>
        </is>
      </c>
      <c r="B2503" s="6" t="n">
        <v>40</v>
      </c>
    </row>
    <row r="2504">
      <c r="A2504" t="inlineStr">
        <is>
          <t>ESP</t>
        </is>
      </c>
      <c r="B2504" s="6" t="n">
        <v>8.800000000000001</v>
      </c>
    </row>
    <row r="2505">
      <c r="A2505" t="inlineStr">
        <is>
          <t>CB</t>
        </is>
      </c>
      <c r="B2505" s="6" t="n">
        <v>44.5</v>
      </c>
    </row>
    <row r="2506">
      <c r="A2506" t="inlineStr">
        <is>
          <t>CB</t>
        </is>
      </c>
      <c r="B2506" s="6" t="n">
        <v>45.8</v>
      </c>
    </row>
    <row r="2507">
      <c r="A2507" t="inlineStr">
        <is>
          <t>CB</t>
        </is>
      </c>
      <c r="B2507" s="6" t="n">
        <v>82.3</v>
      </c>
    </row>
    <row r="2508">
      <c r="A2508" t="inlineStr">
        <is>
          <t>CB</t>
        </is>
      </c>
      <c r="B2508" s="6" t="n">
        <v>238.7</v>
      </c>
    </row>
    <row r="2509">
      <c r="A2509" t="inlineStr">
        <is>
          <t>CB</t>
        </is>
      </c>
      <c r="B2509" s="6" t="n">
        <v>57.2</v>
      </c>
    </row>
    <row r="2510">
      <c r="A2510" t="inlineStr">
        <is>
          <t>CB</t>
        </is>
      </c>
      <c r="B2510" s="6" t="n">
        <v>44.3</v>
      </c>
    </row>
    <row r="2511">
      <c r="A2511" t="inlineStr">
        <is>
          <t>CB</t>
        </is>
      </c>
      <c r="B2511" s="6" t="n">
        <v>43.1</v>
      </c>
    </row>
    <row r="2512">
      <c r="A2512" t="inlineStr">
        <is>
          <t>CB</t>
        </is>
      </c>
      <c r="B2512" s="6" t="n">
        <v>125.9</v>
      </c>
    </row>
    <row r="2513">
      <c r="A2513" t="inlineStr">
        <is>
          <t>CB</t>
        </is>
      </c>
      <c r="B2513" s="6" t="n">
        <v>52</v>
      </c>
    </row>
    <row r="2514">
      <c r="A2514" t="inlineStr">
        <is>
          <t>CB</t>
        </is>
      </c>
      <c r="B2514" s="6" t="n">
        <v>46.9</v>
      </c>
    </row>
    <row r="2515">
      <c r="A2515" t="inlineStr">
        <is>
          <t>CB</t>
        </is>
      </c>
      <c r="B2515" s="6" t="n">
        <v>65</v>
      </c>
    </row>
    <row r="2516">
      <c r="A2516" t="inlineStr">
        <is>
          <t>CB</t>
        </is>
      </c>
      <c r="B2516" s="6" t="n">
        <v>66.5</v>
      </c>
    </row>
    <row r="2517">
      <c r="A2517" t="inlineStr">
        <is>
          <t>CHV</t>
        </is>
      </c>
      <c r="B2517" s="6" t="n">
        <v>60</v>
      </c>
    </row>
    <row r="2518">
      <c r="A2518" t="inlineStr">
        <is>
          <t>ESP</t>
        </is>
      </c>
      <c r="B2518" s="6" t="n">
        <v>15.2</v>
      </c>
    </row>
    <row r="2519">
      <c r="A2519" t="inlineStr">
        <is>
          <t>CB</t>
        </is>
      </c>
      <c r="B2519" s="6" t="n">
        <v>39.8</v>
      </c>
    </row>
    <row r="2520">
      <c r="A2520" t="inlineStr">
        <is>
          <t>CB</t>
        </is>
      </c>
      <c r="B2520" s="6" t="n">
        <v>79.59999999999999</v>
      </c>
    </row>
    <row r="2521">
      <c r="A2521" t="inlineStr">
        <is>
          <t>CB</t>
        </is>
      </c>
      <c r="B2521" s="6" t="n">
        <v>36.6</v>
      </c>
    </row>
    <row r="2522">
      <c r="A2522" t="inlineStr">
        <is>
          <t>CB</t>
        </is>
      </c>
      <c r="B2522" s="6" t="n">
        <v>64.8</v>
      </c>
    </row>
    <row r="2523">
      <c r="A2523" t="inlineStr">
        <is>
          <t>CB</t>
        </is>
      </c>
      <c r="B2523" s="6" t="n">
        <v>72.5</v>
      </c>
    </row>
    <row r="2524">
      <c r="A2524" t="inlineStr">
        <is>
          <t>CB</t>
        </is>
      </c>
      <c r="B2524" s="6" t="n">
        <v>62.7</v>
      </c>
    </row>
    <row r="2525">
      <c r="A2525" t="inlineStr">
        <is>
          <t>CB</t>
        </is>
      </c>
      <c r="B2525" s="6" t="n">
        <v>107.7</v>
      </c>
    </row>
    <row r="2526">
      <c r="A2526" t="inlineStr">
        <is>
          <t>CB</t>
        </is>
      </c>
      <c r="B2526" s="6" t="n">
        <v>184.7</v>
      </c>
    </row>
    <row r="2527">
      <c r="A2527" t="inlineStr">
        <is>
          <t>CB</t>
        </is>
      </c>
      <c r="B2527" s="6" t="n">
        <v>137.7</v>
      </c>
    </row>
    <row r="2528">
      <c r="A2528" t="inlineStr">
        <is>
          <t>CB</t>
        </is>
      </c>
      <c r="B2528" s="6" t="n">
        <v>53.9</v>
      </c>
    </row>
    <row r="2529">
      <c r="A2529" t="inlineStr">
        <is>
          <t>CB</t>
        </is>
      </c>
      <c r="B2529" s="6" t="n">
        <v>58.4</v>
      </c>
    </row>
    <row r="2530">
      <c r="A2530" t="inlineStr">
        <is>
          <t>CB</t>
        </is>
      </c>
      <c r="B2530" s="6" t="n">
        <v>80.09999999999999</v>
      </c>
    </row>
    <row r="2531">
      <c r="A2531" t="inlineStr">
        <is>
          <t>CB</t>
        </is>
      </c>
      <c r="B2531" s="6" t="n">
        <v>55.2</v>
      </c>
    </row>
    <row r="2532">
      <c r="A2532" t="inlineStr">
        <is>
          <t>CB</t>
        </is>
      </c>
      <c r="B2532" s="6" t="n">
        <v>74.2</v>
      </c>
    </row>
    <row r="2533">
      <c r="A2533" t="inlineStr">
        <is>
          <t>CB</t>
        </is>
      </c>
      <c r="B2533" s="6" t="n">
        <v>36.6</v>
      </c>
    </row>
    <row r="2534">
      <c r="A2534" t="inlineStr">
        <is>
          <t>CB</t>
        </is>
      </c>
      <c r="B2534" s="6" t="n">
        <v>24.9</v>
      </c>
    </row>
    <row r="2535">
      <c r="A2535" t="inlineStr">
        <is>
          <t>CB</t>
        </is>
      </c>
      <c r="B2535" s="6" t="n">
        <v>69.2</v>
      </c>
    </row>
    <row r="2536">
      <c r="A2536" t="inlineStr">
        <is>
          <t>CB</t>
        </is>
      </c>
      <c r="B2536" s="6" t="n">
        <v>31.6</v>
      </c>
    </row>
    <row r="2537">
      <c r="A2537" t="inlineStr">
        <is>
          <t>CB</t>
        </is>
      </c>
      <c r="B2537" s="6" t="n">
        <v>35.2</v>
      </c>
    </row>
    <row r="2538">
      <c r="A2538" t="inlineStr">
        <is>
          <t>CB</t>
        </is>
      </c>
      <c r="B2538" s="6" t="n">
        <v>49.75</v>
      </c>
    </row>
    <row r="2539">
      <c r="A2539" t="inlineStr">
        <is>
          <t>CB</t>
        </is>
      </c>
      <c r="B2539" s="6" t="n">
        <v>60.3</v>
      </c>
    </row>
    <row r="2540">
      <c r="A2540" t="inlineStr">
        <is>
          <t>CB</t>
        </is>
      </c>
      <c r="B2540" s="6" t="n">
        <v>60.1</v>
      </c>
    </row>
    <row r="2541">
      <c r="A2541" t="inlineStr">
        <is>
          <t>CB</t>
        </is>
      </c>
      <c r="B2541" s="6" t="n">
        <v>85.5</v>
      </c>
    </row>
    <row r="2542">
      <c r="A2542" t="inlineStr">
        <is>
          <t>CB</t>
        </is>
      </c>
      <c r="B2542" s="6" t="n">
        <v>61.7</v>
      </c>
    </row>
    <row r="2543">
      <c r="A2543" t="inlineStr">
        <is>
          <t>CB</t>
        </is>
      </c>
      <c r="B2543" s="6" t="n">
        <v>76.59999999999999</v>
      </c>
    </row>
    <row r="2544">
      <c r="A2544" t="inlineStr">
        <is>
          <t>CB</t>
        </is>
      </c>
      <c r="B2544" s="6" t="n">
        <v>23</v>
      </c>
    </row>
    <row r="2545">
      <c r="A2545" t="inlineStr">
        <is>
          <t>CB</t>
        </is>
      </c>
      <c r="B2545" s="6" t="n">
        <v>22</v>
      </c>
    </row>
    <row r="2546">
      <c r="A2546" t="inlineStr">
        <is>
          <t>CB</t>
        </is>
      </c>
      <c r="B2546" s="6" t="n">
        <v>42.1</v>
      </c>
    </row>
    <row r="2547">
      <c r="A2547" t="inlineStr">
        <is>
          <t>CHV</t>
        </is>
      </c>
      <c r="B2547" s="6" t="n">
        <v>40</v>
      </c>
    </row>
    <row r="2548">
      <c r="A2548" t="inlineStr">
        <is>
          <t>ESP</t>
        </is>
      </c>
      <c r="B2548" s="6" t="n">
        <v>3.4</v>
      </c>
    </row>
    <row r="2549">
      <c r="A2549" t="inlineStr">
        <is>
          <t>CB</t>
        </is>
      </c>
      <c r="B2549" s="6" t="n">
        <v>78.90000000000001</v>
      </c>
    </row>
    <row r="2550">
      <c r="A2550" t="inlineStr">
        <is>
          <t>CB</t>
        </is>
      </c>
      <c r="B2550" s="6" t="n">
        <v>58.7</v>
      </c>
    </row>
    <row r="2551">
      <c r="A2551" t="inlineStr">
        <is>
          <t>CB</t>
        </is>
      </c>
      <c r="B2551" s="6" t="n">
        <v>35.3</v>
      </c>
    </row>
    <row r="2552">
      <c r="A2552" t="inlineStr">
        <is>
          <t>CB</t>
        </is>
      </c>
      <c r="B2552" s="6" t="n">
        <v>56.9</v>
      </c>
    </row>
    <row r="2553">
      <c r="A2553" t="inlineStr">
        <is>
          <t>CB</t>
        </is>
      </c>
      <c r="B2553" s="6" t="n">
        <v>49.75</v>
      </c>
    </row>
    <row r="2554">
      <c r="A2554" t="inlineStr">
        <is>
          <t>CB</t>
        </is>
      </c>
      <c r="B2554" s="6" t="n">
        <v>103.3</v>
      </c>
    </row>
    <row r="2555">
      <c r="A2555" t="inlineStr">
        <is>
          <t>CB</t>
        </is>
      </c>
      <c r="B2555" s="6" t="n">
        <v>41.6</v>
      </c>
    </row>
    <row r="2556">
      <c r="A2556" t="inlineStr">
        <is>
          <t>CB</t>
        </is>
      </c>
      <c r="B2556" s="6" t="n">
        <v>123</v>
      </c>
    </row>
    <row r="2557">
      <c r="A2557" t="inlineStr">
        <is>
          <t>CB</t>
        </is>
      </c>
      <c r="B2557" s="6" t="n">
        <v>80.09999999999999</v>
      </c>
    </row>
    <row r="2558">
      <c r="A2558" t="inlineStr">
        <is>
          <t>CB</t>
        </is>
      </c>
      <c r="B2558" s="6" t="n">
        <v>151.9</v>
      </c>
    </row>
    <row r="2559">
      <c r="A2559" t="inlineStr">
        <is>
          <t>CB</t>
        </is>
      </c>
      <c r="B2559" s="6" t="n">
        <v>62.3</v>
      </c>
    </row>
    <row r="2560">
      <c r="A2560" t="inlineStr">
        <is>
          <t>CB</t>
        </is>
      </c>
      <c r="B2560" s="6" t="n">
        <v>138.3</v>
      </c>
    </row>
    <row r="2561">
      <c r="A2561" t="inlineStr">
        <is>
          <t>CB</t>
        </is>
      </c>
      <c r="B2561" s="6" t="n">
        <v>47.8</v>
      </c>
    </row>
    <row r="2562">
      <c r="A2562" t="inlineStr">
        <is>
          <t>CB</t>
        </is>
      </c>
      <c r="B2562" s="6" t="n">
        <v>70.09999999999999</v>
      </c>
    </row>
    <row r="2563">
      <c r="A2563" t="inlineStr">
        <is>
          <t>CB</t>
        </is>
      </c>
      <c r="B2563" s="6" t="n">
        <v>70.40000000000001</v>
      </c>
    </row>
    <row r="2564">
      <c r="A2564" t="inlineStr">
        <is>
          <t>CB</t>
        </is>
      </c>
      <c r="B2564" s="6" t="n">
        <v>114.6</v>
      </c>
    </row>
    <row r="2565">
      <c r="A2565" t="inlineStr">
        <is>
          <t>CB</t>
        </is>
      </c>
      <c r="B2565" s="6" t="n">
        <v>76.7</v>
      </c>
    </row>
    <row r="2566">
      <c r="A2566" t="inlineStr">
        <is>
          <t>CB</t>
        </is>
      </c>
      <c r="B2566" s="6" t="n">
        <v>44.3</v>
      </c>
    </row>
    <row r="2567">
      <c r="A2567" t="inlineStr">
        <is>
          <t>CB</t>
        </is>
      </c>
      <c r="B2567" s="6" t="n">
        <v>69.40000000000001</v>
      </c>
    </row>
    <row r="2568">
      <c r="A2568" t="inlineStr">
        <is>
          <t>CHV</t>
        </is>
      </c>
      <c r="B2568" s="6" t="n">
        <v>90</v>
      </c>
    </row>
    <row r="2569">
      <c r="A2569" t="inlineStr">
        <is>
          <t>CB</t>
        </is>
      </c>
      <c r="B2569" s="6" t="n">
        <v>15.4</v>
      </c>
    </row>
    <row r="2570">
      <c r="A2570" t="inlineStr">
        <is>
          <t>CB</t>
        </is>
      </c>
      <c r="B2570" s="6" t="n">
        <v>29.8</v>
      </c>
    </row>
    <row r="2571">
      <c r="A2571" t="inlineStr">
        <is>
          <t>CB</t>
        </is>
      </c>
      <c r="B2571" s="6" t="n">
        <v>64.5</v>
      </c>
    </row>
    <row r="2572">
      <c r="A2572" t="inlineStr">
        <is>
          <t>CB</t>
        </is>
      </c>
      <c r="B2572" s="6" t="n">
        <v>60.9</v>
      </c>
    </row>
    <row r="2573">
      <c r="A2573" t="inlineStr">
        <is>
          <t>CB</t>
        </is>
      </c>
      <c r="B2573" s="6" t="n">
        <v>92.7</v>
      </c>
    </row>
    <row r="2574">
      <c r="A2574" t="inlineStr">
        <is>
          <t>CB</t>
        </is>
      </c>
      <c r="B2574" s="6" t="n">
        <v>74.90000000000001</v>
      </c>
    </row>
    <row r="2575">
      <c r="A2575" t="inlineStr">
        <is>
          <t>CB</t>
        </is>
      </c>
      <c r="B2575" s="6" t="n">
        <v>19.9</v>
      </c>
    </row>
    <row r="2576">
      <c r="A2576" t="inlineStr">
        <is>
          <t>CB</t>
        </is>
      </c>
      <c r="B2576" s="6" t="n">
        <v>64.5</v>
      </c>
    </row>
    <row r="2577">
      <c r="A2577" t="inlineStr">
        <is>
          <t>CB</t>
        </is>
      </c>
      <c r="B2577" s="6" t="n">
        <v>42.1</v>
      </c>
    </row>
    <row r="2578">
      <c r="A2578" t="inlineStr">
        <is>
          <t>CHV</t>
        </is>
      </c>
      <c r="B2578" s="6" t="n">
        <v>100</v>
      </c>
    </row>
    <row r="2579">
      <c r="A2579" t="inlineStr">
        <is>
          <t>ESP</t>
        </is>
      </c>
      <c r="B2579" s="6" t="n">
        <v>5.8</v>
      </c>
    </row>
    <row r="2580">
      <c r="A2580" t="inlineStr">
        <is>
          <t>CB</t>
        </is>
      </c>
      <c r="B2580" s="6" t="n">
        <v>40.8</v>
      </c>
    </row>
    <row r="2581">
      <c r="A2581" t="inlineStr">
        <is>
          <t>CB</t>
        </is>
      </c>
      <c r="B2581" s="6" t="n">
        <v>81.2</v>
      </c>
    </row>
    <row r="2582">
      <c r="A2582" t="inlineStr">
        <is>
          <t>CB</t>
        </is>
      </c>
      <c r="B2582" s="6" t="n">
        <v>68.7</v>
      </c>
    </row>
    <row r="2583">
      <c r="A2583" t="inlineStr">
        <is>
          <t>CB</t>
        </is>
      </c>
      <c r="B2583" s="6" t="n">
        <v>71.8</v>
      </c>
    </row>
    <row r="2584">
      <c r="A2584" t="inlineStr">
        <is>
          <t>CB</t>
        </is>
      </c>
      <c r="B2584" s="6" t="n">
        <v>40.2</v>
      </c>
    </row>
    <row r="2585">
      <c r="A2585" t="inlineStr">
        <is>
          <t>CB</t>
        </is>
      </c>
      <c r="B2585" s="6" t="n">
        <v>50.4</v>
      </c>
    </row>
    <row r="2586">
      <c r="A2586" t="inlineStr">
        <is>
          <t>CB</t>
        </is>
      </c>
      <c r="B2586" s="6" t="n">
        <v>65.7</v>
      </c>
    </row>
    <row r="2587">
      <c r="A2587" t="inlineStr">
        <is>
          <t>CB</t>
        </is>
      </c>
      <c r="B2587" s="6" t="n">
        <v>83.5</v>
      </c>
    </row>
    <row r="2588">
      <c r="A2588" t="inlineStr">
        <is>
          <t>CB</t>
        </is>
      </c>
      <c r="B2588" s="6" t="n">
        <v>94.3</v>
      </c>
    </row>
    <row r="2589">
      <c r="A2589" t="inlineStr">
        <is>
          <t>CB</t>
        </is>
      </c>
      <c r="B2589" s="6" t="n">
        <v>132.1</v>
      </c>
    </row>
    <row r="2590">
      <c r="A2590" t="inlineStr">
        <is>
          <t>CB</t>
        </is>
      </c>
      <c r="B2590" s="6" t="n">
        <v>102.2</v>
      </c>
    </row>
    <row r="2591">
      <c r="A2591" t="inlineStr">
        <is>
          <t>CB</t>
        </is>
      </c>
      <c r="B2591" s="6" t="n">
        <v>86.2</v>
      </c>
    </row>
    <row r="2592">
      <c r="A2592" t="inlineStr">
        <is>
          <t>CB</t>
        </is>
      </c>
      <c r="B2592" s="6" t="n">
        <v>74.3</v>
      </c>
    </row>
    <row r="2593">
      <c r="A2593" t="inlineStr">
        <is>
          <t>CB</t>
        </is>
      </c>
      <c r="B2593" s="6" t="n">
        <v>106.5</v>
      </c>
    </row>
    <row r="2594">
      <c r="A2594" t="inlineStr">
        <is>
          <t>CB</t>
        </is>
      </c>
      <c r="B2594" s="6" t="n">
        <v>105.3</v>
      </c>
    </row>
    <row r="2595">
      <c r="A2595" t="inlineStr">
        <is>
          <t>CB</t>
        </is>
      </c>
      <c r="B2595" s="6" t="n">
        <v>28.3</v>
      </c>
    </row>
    <row r="2596">
      <c r="A2596" t="inlineStr">
        <is>
          <t>CB</t>
        </is>
      </c>
      <c r="B2596" s="6" t="n">
        <v>28.3</v>
      </c>
    </row>
    <row r="2597">
      <c r="A2597" t="inlineStr">
        <is>
          <t>ESP</t>
        </is>
      </c>
      <c r="B2597" s="6" t="n">
        <v>28.4</v>
      </c>
    </row>
    <row r="2598">
      <c r="A2598" t="inlineStr">
        <is>
          <t>CHV</t>
        </is>
      </c>
      <c r="B2598" s="6" t="n">
        <v>60</v>
      </c>
    </row>
    <row r="2599">
      <c r="A2599" t="inlineStr">
        <is>
          <t>ESP</t>
        </is>
      </c>
      <c r="B2599" s="6" t="n">
        <v>1.8</v>
      </c>
    </row>
    <row r="2600">
      <c r="A2600" t="inlineStr">
        <is>
          <t>CB</t>
        </is>
      </c>
      <c r="B2600" s="6" t="n">
        <v>58.5</v>
      </c>
    </row>
    <row r="2601">
      <c r="A2601" t="inlineStr">
        <is>
          <t>CB</t>
        </is>
      </c>
      <c r="B2601" s="6" t="n">
        <v>39.6</v>
      </c>
    </row>
    <row r="2602">
      <c r="A2602" t="inlineStr">
        <is>
          <t>CB</t>
        </is>
      </c>
      <c r="B2602" s="6" t="n">
        <v>59.3</v>
      </c>
    </row>
    <row r="2603">
      <c r="A2603" t="inlineStr">
        <is>
          <t>CHV</t>
        </is>
      </c>
      <c r="B2603" s="6" t="n">
        <v>40</v>
      </c>
    </row>
    <row r="2604">
      <c r="A2604" t="inlineStr">
        <is>
          <t>CB</t>
        </is>
      </c>
      <c r="B2604" s="6" t="n">
        <v>7.8</v>
      </c>
    </row>
    <row r="2605">
      <c r="A2605" t="inlineStr">
        <is>
          <t>CB</t>
        </is>
      </c>
      <c r="B2605" s="6" t="n">
        <v>58.3</v>
      </c>
    </row>
    <row r="2606">
      <c r="A2606" t="inlineStr">
        <is>
          <t>CB</t>
        </is>
      </c>
      <c r="B2606" s="6" t="n">
        <v>72.59999999999999</v>
      </c>
    </row>
    <row r="2607">
      <c r="A2607" t="inlineStr">
        <is>
          <t>CB</t>
        </is>
      </c>
      <c r="B2607" s="6" t="n">
        <v>73.2</v>
      </c>
    </row>
    <row r="2608">
      <c r="A2608" t="inlineStr">
        <is>
          <t>CB</t>
        </is>
      </c>
      <c r="B2608" s="6" t="n">
        <v>41.45</v>
      </c>
    </row>
    <row r="2609">
      <c r="A2609" t="inlineStr">
        <is>
          <t>CB</t>
        </is>
      </c>
      <c r="B2609" s="6" t="n">
        <v>52.7</v>
      </c>
    </row>
    <row r="2610">
      <c r="A2610" t="inlineStr">
        <is>
          <t>CB</t>
        </is>
      </c>
      <c r="B2610" s="6" t="n">
        <v>39.9</v>
      </c>
    </row>
    <row r="2611">
      <c r="A2611" t="inlineStr">
        <is>
          <t>CB</t>
        </is>
      </c>
      <c r="B2611" s="6" t="n">
        <v>64.8</v>
      </c>
    </row>
    <row r="2612">
      <c r="A2612" t="inlineStr">
        <is>
          <t>CHQ</t>
        </is>
      </c>
      <c r="B2612" s="6" t="n">
        <v>46.1</v>
      </c>
    </row>
    <row r="2613">
      <c r="A2613" t="inlineStr">
        <is>
          <t>TR</t>
        </is>
      </c>
      <c r="B2613" s="6" t="n">
        <v>30.9</v>
      </c>
    </row>
    <row r="2614">
      <c r="A2614" t="inlineStr">
        <is>
          <t>CB</t>
        </is>
      </c>
      <c r="B2614" s="6" t="n">
        <v>73.5</v>
      </c>
    </row>
    <row r="2615">
      <c r="A2615" t="inlineStr">
        <is>
          <t>CB</t>
        </is>
      </c>
      <c r="B2615" s="6" t="n">
        <v>61.1</v>
      </c>
    </row>
    <row r="2616">
      <c r="A2616" t="inlineStr">
        <is>
          <t>CB</t>
        </is>
      </c>
      <c r="B2616" s="6" t="n">
        <v>62.1</v>
      </c>
    </row>
    <row r="2617">
      <c r="A2617" t="inlineStr">
        <is>
          <t>CB</t>
        </is>
      </c>
      <c r="B2617" s="6" t="n">
        <v>41.45</v>
      </c>
    </row>
    <row r="2618">
      <c r="A2618" t="inlineStr">
        <is>
          <t>CB</t>
        </is>
      </c>
      <c r="B2618" s="6" t="n">
        <v>23.5</v>
      </c>
    </row>
    <row r="2619">
      <c r="A2619" t="inlineStr">
        <is>
          <t>CB</t>
        </is>
      </c>
      <c r="B2619" s="6" t="n">
        <v>100.2</v>
      </c>
    </row>
    <row r="2620">
      <c r="A2620" t="inlineStr">
        <is>
          <t>CB</t>
        </is>
      </c>
      <c r="B2620" s="6" t="n">
        <v>61.1</v>
      </c>
    </row>
    <row r="2621">
      <c r="A2621" t="inlineStr">
        <is>
          <t>CB</t>
        </is>
      </c>
      <c r="B2621" s="6" t="n">
        <v>153.99</v>
      </c>
    </row>
    <row r="2622">
      <c r="A2622" t="inlineStr">
        <is>
          <t>CB</t>
        </is>
      </c>
      <c r="B2622" s="6" t="n">
        <v>102.66</v>
      </c>
    </row>
    <row r="2623">
      <c r="A2623" t="inlineStr">
        <is>
          <t>CB</t>
        </is>
      </c>
      <c r="B2623" s="6" t="n">
        <v>102.66</v>
      </c>
    </row>
    <row r="2624">
      <c r="A2624" t="inlineStr">
        <is>
          <t>CB</t>
        </is>
      </c>
      <c r="B2624" s="6" t="n">
        <v>51.33</v>
      </c>
    </row>
    <row r="2625">
      <c r="A2625" t="inlineStr">
        <is>
          <t>CB</t>
        </is>
      </c>
      <c r="B2625" s="6" t="n">
        <v>102.66</v>
      </c>
    </row>
    <row r="2626">
      <c r="A2626" t="inlineStr">
        <is>
          <t>TR</t>
        </is>
      </c>
      <c r="B2626" s="6" t="n">
        <v>54</v>
      </c>
    </row>
    <row r="2627">
      <c r="A2627" t="inlineStr">
        <is>
          <t>CB</t>
        </is>
      </c>
      <c r="B2627" s="6" t="n">
        <v>53.2</v>
      </c>
    </row>
    <row r="2628">
      <c r="A2628" t="inlineStr">
        <is>
          <t>CB</t>
        </is>
      </c>
      <c r="B2628" s="6" t="n">
        <v>75.2</v>
      </c>
    </row>
    <row r="2629">
      <c r="A2629" t="inlineStr">
        <is>
          <t>CB</t>
        </is>
      </c>
      <c r="B2629" s="6" t="n">
        <v>63</v>
      </c>
    </row>
    <row r="2630">
      <c r="A2630" t="inlineStr">
        <is>
          <t>CB</t>
        </is>
      </c>
      <c r="B2630" s="6" t="n">
        <v>113.9</v>
      </c>
    </row>
    <row r="2631">
      <c r="A2631" t="inlineStr">
        <is>
          <t>CB</t>
        </is>
      </c>
      <c r="B2631" s="6" t="n">
        <v>143.9</v>
      </c>
    </row>
    <row r="2632">
      <c r="A2632" t="inlineStr">
        <is>
          <t>CB</t>
        </is>
      </c>
      <c r="B2632" s="6" t="n">
        <v>23.2</v>
      </c>
    </row>
    <row r="2633">
      <c r="A2633" t="inlineStr">
        <is>
          <t>CB</t>
        </is>
      </c>
      <c r="B2633" s="6" t="n">
        <v>80.09999999999999</v>
      </c>
    </row>
    <row r="2634">
      <c r="A2634" t="inlineStr">
        <is>
          <t>CB</t>
        </is>
      </c>
      <c r="B2634" s="6" t="n">
        <v>68.40000000000001</v>
      </c>
    </row>
    <row r="2635">
      <c r="A2635" t="inlineStr">
        <is>
          <t>CHV</t>
        </is>
      </c>
      <c r="B2635" s="6" t="n">
        <v>20</v>
      </c>
    </row>
    <row r="2636">
      <c r="A2636" t="inlineStr">
        <is>
          <t>CB</t>
        </is>
      </c>
      <c r="B2636" s="6" t="n">
        <v>40.9</v>
      </c>
    </row>
    <row r="2637">
      <c r="A2637" t="inlineStr">
        <is>
          <t>CB</t>
        </is>
      </c>
      <c r="B2637" s="6" t="n">
        <v>27.5</v>
      </c>
    </row>
    <row r="2638">
      <c r="A2638" t="inlineStr">
        <is>
          <t>CB</t>
        </is>
      </c>
      <c r="B2638" s="6" t="n">
        <v>33.2</v>
      </c>
    </row>
    <row r="2639">
      <c r="A2639" t="inlineStr">
        <is>
          <t>CB</t>
        </is>
      </c>
      <c r="B2639" s="6" t="n">
        <v>22.9</v>
      </c>
    </row>
    <row r="2640">
      <c r="A2640" t="inlineStr">
        <is>
          <t>CB</t>
        </is>
      </c>
      <c r="B2640" s="6" t="n">
        <v>22.6</v>
      </c>
    </row>
    <row r="2641">
      <c r="A2641" t="inlineStr">
        <is>
          <t>CB</t>
        </is>
      </c>
      <c r="B2641" s="6" t="n">
        <v>23.8</v>
      </c>
    </row>
    <row r="2642">
      <c r="A2642" t="inlineStr">
        <is>
          <t>CB</t>
        </is>
      </c>
      <c r="B2642" s="6" t="n">
        <v>19.3</v>
      </c>
    </row>
    <row r="2643">
      <c r="A2643" t="inlineStr">
        <is>
          <t>CB</t>
        </is>
      </c>
      <c r="B2643" s="6" t="n">
        <v>95.09999999999999</v>
      </c>
    </row>
    <row r="2644">
      <c r="A2644" t="inlineStr">
        <is>
          <t>CB</t>
        </is>
      </c>
      <c r="B2644" s="6" t="n">
        <v>70.3</v>
      </c>
    </row>
    <row r="2645">
      <c r="A2645" t="inlineStr">
        <is>
          <t>CB</t>
        </is>
      </c>
      <c r="B2645" s="6" t="n">
        <v>65.8</v>
      </c>
    </row>
    <row r="2646">
      <c r="A2646" t="inlineStr">
        <is>
          <t>CB</t>
        </is>
      </c>
      <c r="B2646" s="6" t="n">
        <v>144.7</v>
      </c>
    </row>
    <row r="2647">
      <c r="A2647" t="inlineStr">
        <is>
          <t>CB</t>
        </is>
      </c>
      <c r="B2647" s="6" t="n">
        <v>105.8</v>
      </c>
    </row>
    <row r="2648">
      <c r="A2648" t="inlineStr">
        <is>
          <t>CB</t>
        </is>
      </c>
      <c r="B2648" s="6" t="n">
        <v>47.6</v>
      </c>
    </row>
    <row r="2649">
      <c r="A2649" t="inlineStr">
        <is>
          <t>CB</t>
        </is>
      </c>
      <c r="B2649" s="6" t="n">
        <v>41.4</v>
      </c>
    </row>
    <row r="2650">
      <c r="A2650" t="inlineStr">
        <is>
          <t>CB</t>
        </is>
      </c>
      <c r="B2650" s="6" t="n">
        <v>115.8</v>
      </c>
    </row>
    <row r="2651">
      <c r="A2651" t="inlineStr">
        <is>
          <t>CB</t>
        </is>
      </c>
      <c r="B2651" s="6" t="n">
        <v>56.5</v>
      </c>
    </row>
    <row r="2652">
      <c r="A2652" t="inlineStr">
        <is>
          <t>CB</t>
        </is>
      </c>
      <c r="B2652" s="6" t="n">
        <v>28.25</v>
      </c>
    </row>
    <row r="2653">
      <c r="A2653" t="inlineStr">
        <is>
          <t>CB</t>
        </is>
      </c>
      <c r="B2653" s="6" t="n">
        <v>84.75</v>
      </c>
    </row>
    <row r="2654">
      <c r="A2654" t="inlineStr">
        <is>
          <t>ESP</t>
        </is>
      </c>
      <c r="B2654" s="6" t="n">
        <v>28.1</v>
      </c>
    </row>
    <row r="2655">
      <c r="A2655" t="inlineStr">
        <is>
          <t>CB</t>
        </is>
      </c>
      <c r="B2655" s="6" t="n">
        <v>103.5</v>
      </c>
    </row>
    <row r="2656">
      <c r="A2656" t="inlineStr">
        <is>
          <t>CB</t>
        </is>
      </c>
      <c r="B2656" s="6" t="n">
        <v>140</v>
      </c>
    </row>
    <row r="2657">
      <c r="A2657" t="inlineStr">
        <is>
          <t>CB</t>
        </is>
      </c>
      <c r="B2657" s="6" t="n">
        <v>30.2</v>
      </c>
    </row>
    <row r="2658">
      <c r="A2658" t="inlineStr">
        <is>
          <t>CB</t>
        </is>
      </c>
      <c r="B2658" s="6" t="n">
        <v>11.2</v>
      </c>
    </row>
    <row r="2659">
      <c r="A2659" t="inlineStr">
        <is>
          <t>CB</t>
        </is>
      </c>
      <c r="B2659" s="6" t="n">
        <v>96.7</v>
      </c>
    </row>
    <row r="2660">
      <c r="A2660" t="inlineStr">
        <is>
          <t>CB</t>
        </is>
      </c>
      <c r="B2660" s="6" t="n">
        <v>69.7</v>
      </c>
    </row>
    <row r="2661">
      <c r="A2661" t="inlineStr">
        <is>
          <t>CB</t>
        </is>
      </c>
      <c r="B2661" s="6" t="n">
        <v>19.5</v>
      </c>
    </row>
    <row r="2662">
      <c r="A2662" t="inlineStr">
        <is>
          <t>CB</t>
        </is>
      </c>
      <c r="B2662" s="6" t="n">
        <v>83.3</v>
      </c>
    </row>
    <row r="2663">
      <c r="A2663" t="inlineStr">
        <is>
          <t>CB</t>
        </is>
      </c>
      <c r="B2663" s="6" t="n">
        <v>90.40000000000001</v>
      </c>
    </row>
    <row r="2664">
      <c r="A2664" t="inlineStr">
        <is>
          <t>CB</t>
        </is>
      </c>
      <c r="B2664" s="6" t="n">
        <v>100.1</v>
      </c>
    </row>
    <row r="2665">
      <c r="A2665" t="inlineStr">
        <is>
          <t>CB</t>
        </is>
      </c>
      <c r="B2665" s="6" t="n">
        <v>115.55</v>
      </c>
    </row>
    <row r="2666">
      <c r="A2666" t="inlineStr">
        <is>
          <t>CB</t>
        </is>
      </c>
      <c r="B2666" s="6" t="n">
        <v>240.5</v>
      </c>
    </row>
    <row r="2667">
      <c r="A2667" t="inlineStr">
        <is>
          <t>CB</t>
        </is>
      </c>
      <c r="B2667" s="6" t="n">
        <v>28</v>
      </c>
    </row>
    <row r="2668">
      <c r="A2668" t="inlineStr">
        <is>
          <t>CB</t>
        </is>
      </c>
      <c r="B2668" s="6" t="n">
        <v>24.8</v>
      </c>
    </row>
    <row r="2669">
      <c r="A2669" t="inlineStr">
        <is>
          <t>CB</t>
        </is>
      </c>
      <c r="B2669" s="6" t="n">
        <v>24.8</v>
      </c>
    </row>
    <row r="2670">
      <c r="A2670" t="inlineStr">
        <is>
          <t>CB</t>
        </is>
      </c>
      <c r="B2670" s="6" t="n">
        <v>36.55</v>
      </c>
    </row>
    <row r="2671">
      <c r="A2671" t="inlineStr">
        <is>
          <t>CB</t>
        </is>
      </c>
      <c r="B2671" s="6" t="n">
        <v>92.40000000000001</v>
      </c>
    </row>
    <row r="2672">
      <c r="A2672" t="inlineStr">
        <is>
          <t>CB</t>
        </is>
      </c>
      <c r="B2672" s="6" t="n">
        <v>67.7</v>
      </c>
    </row>
    <row r="2673">
      <c r="A2673" t="inlineStr">
        <is>
          <t>CB</t>
        </is>
      </c>
      <c r="B2673" s="6" t="n">
        <v>76.5</v>
      </c>
    </row>
    <row r="2674">
      <c r="A2674" t="inlineStr">
        <is>
          <t>CB</t>
        </is>
      </c>
      <c r="B2674" s="6" t="n">
        <v>19.5</v>
      </c>
    </row>
    <row r="2675">
      <c r="A2675" t="inlineStr">
        <is>
          <t>CB</t>
        </is>
      </c>
      <c r="B2675" s="6" t="n">
        <v>35.2</v>
      </c>
    </row>
    <row r="2676">
      <c r="A2676" t="inlineStr">
        <is>
          <t>CHV</t>
        </is>
      </c>
      <c r="B2676" s="6" t="n">
        <v>40</v>
      </c>
    </row>
    <row r="2677">
      <c r="A2677" t="inlineStr">
        <is>
          <t>ESP</t>
        </is>
      </c>
      <c r="B2677" s="6" t="n">
        <v>9.9</v>
      </c>
    </row>
    <row r="2678">
      <c r="A2678" t="inlineStr">
        <is>
          <t>CB</t>
        </is>
      </c>
      <c r="B2678" s="6" t="n">
        <v>27.6</v>
      </c>
    </row>
    <row r="2679">
      <c r="A2679" t="inlineStr">
        <is>
          <t>CB</t>
        </is>
      </c>
      <c r="B2679" s="6" t="n">
        <v>43.3</v>
      </c>
    </row>
    <row r="2680">
      <c r="A2680" t="inlineStr">
        <is>
          <t>CB</t>
        </is>
      </c>
      <c r="B2680" s="6" t="n">
        <v>5.4</v>
      </c>
    </row>
    <row r="2681">
      <c r="A2681" t="inlineStr">
        <is>
          <t>CB</t>
        </is>
      </c>
      <c r="B2681" s="6" t="n">
        <v>36.55</v>
      </c>
    </row>
    <row r="2682">
      <c r="A2682" t="inlineStr">
        <is>
          <t>CB</t>
        </is>
      </c>
      <c r="B2682" s="6" t="n">
        <v>15.9</v>
      </c>
    </row>
    <row r="2683">
      <c r="A2683" t="inlineStr">
        <is>
          <t>CB</t>
        </is>
      </c>
      <c r="B2683" s="6" t="n">
        <v>115.55</v>
      </c>
    </row>
    <row r="2684">
      <c r="A2684" t="inlineStr">
        <is>
          <t>CB</t>
        </is>
      </c>
      <c r="B2684" s="6" t="n">
        <v>76.09999999999999</v>
      </c>
    </row>
    <row r="2685">
      <c r="A2685" t="inlineStr">
        <is>
          <t>CB</t>
        </is>
      </c>
      <c r="B2685" s="6" t="n">
        <v>106</v>
      </c>
    </row>
    <row r="2686">
      <c r="A2686" t="inlineStr">
        <is>
          <t>CB</t>
        </is>
      </c>
      <c r="B2686" s="6" t="n">
        <v>131.1</v>
      </c>
    </row>
    <row r="2687">
      <c r="A2687" t="inlineStr">
        <is>
          <t>CB</t>
        </is>
      </c>
      <c r="B2687" s="6" t="n">
        <v>47.5</v>
      </c>
    </row>
    <row r="2688">
      <c r="A2688" t="inlineStr">
        <is>
          <t>CB</t>
        </is>
      </c>
      <c r="B2688" s="6" t="n">
        <v>56.3</v>
      </c>
    </row>
    <row r="2689">
      <c r="A2689" t="inlineStr">
        <is>
          <t>CB</t>
        </is>
      </c>
      <c r="B2689" s="6" t="n">
        <v>113.9</v>
      </c>
    </row>
    <row r="2690">
      <c r="A2690" t="inlineStr">
        <is>
          <t>CB</t>
        </is>
      </c>
      <c r="B2690" s="6" t="n">
        <v>110.3</v>
      </c>
    </row>
    <row r="2691">
      <c r="A2691" t="inlineStr">
        <is>
          <t>CB</t>
        </is>
      </c>
      <c r="B2691" s="6" t="n">
        <v>55.2</v>
      </c>
    </row>
    <row r="2692">
      <c r="A2692" t="inlineStr">
        <is>
          <t>CHV</t>
        </is>
      </c>
      <c r="B2692" s="6" t="n">
        <v>120</v>
      </c>
    </row>
    <row r="2693">
      <c r="A2693" t="inlineStr">
        <is>
          <t>ESP</t>
        </is>
      </c>
      <c r="B2693" s="6" t="n">
        <v>0.3</v>
      </c>
    </row>
    <row r="2694">
      <c r="A2694" t="inlineStr">
        <is>
          <t>CB</t>
        </is>
      </c>
      <c r="B2694" s="6" t="n">
        <v>106.4</v>
      </c>
    </row>
    <row r="2695">
      <c r="A2695" t="inlineStr">
        <is>
          <t>CB</t>
        </is>
      </c>
      <c r="B2695" s="6" t="n">
        <v>80.90000000000001</v>
      </c>
    </row>
    <row r="2696">
      <c r="A2696" t="inlineStr">
        <is>
          <t>CB</t>
        </is>
      </c>
      <c r="B2696" s="6" t="n">
        <v>83.59999999999999</v>
      </c>
    </row>
    <row r="2697">
      <c r="A2697" t="inlineStr">
        <is>
          <t>CB</t>
        </is>
      </c>
      <c r="B2697" s="6" t="n">
        <v>72.3</v>
      </c>
    </row>
    <row r="2698">
      <c r="A2698" t="inlineStr">
        <is>
          <t>CB</t>
        </is>
      </c>
      <c r="B2698" s="6" t="n">
        <v>76.09999999999999</v>
      </c>
    </row>
    <row r="2699">
      <c r="A2699" t="inlineStr">
        <is>
          <t>CB</t>
        </is>
      </c>
      <c r="B2699" s="6" t="n">
        <v>44.3</v>
      </c>
    </row>
    <row r="2700">
      <c r="A2700" t="inlineStr">
        <is>
          <t>CHV</t>
        </is>
      </c>
      <c r="B2700" s="6" t="n">
        <v>130</v>
      </c>
    </row>
    <row r="2701">
      <c r="A2701" t="inlineStr">
        <is>
          <t>ESP</t>
        </is>
      </c>
      <c r="B2701" s="6" t="n">
        <v>4.4</v>
      </c>
    </row>
    <row r="2702">
      <c r="A2702" t="inlineStr">
        <is>
          <t>CHV</t>
        </is>
      </c>
      <c r="B2702" s="6" t="n">
        <v>40</v>
      </c>
    </row>
    <row r="2703">
      <c r="A2703" t="inlineStr">
        <is>
          <t>ESP</t>
        </is>
      </c>
      <c r="B2703" s="6" t="n">
        <v>6.3</v>
      </c>
    </row>
    <row r="2704">
      <c r="A2704" t="inlineStr">
        <is>
          <t>CB</t>
        </is>
      </c>
      <c r="B2704" s="6" t="n">
        <v>48.9</v>
      </c>
    </row>
    <row r="2705">
      <c r="A2705" t="inlineStr">
        <is>
          <t>CB</t>
        </is>
      </c>
      <c r="B2705" s="6" t="n">
        <v>66.2</v>
      </c>
    </row>
    <row r="2706">
      <c r="A2706" t="inlineStr">
        <is>
          <t>CHV</t>
        </is>
      </c>
      <c r="B2706" s="6" t="n">
        <v>70</v>
      </c>
    </row>
    <row r="2707">
      <c r="A2707" t="inlineStr">
        <is>
          <t>ESP</t>
        </is>
      </c>
      <c r="B2707" s="6" t="n">
        <v>1.3</v>
      </c>
    </row>
    <row r="2708">
      <c r="A2708" t="inlineStr">
        <is>
          <t>CB</t>
        </is>
      </c>
      <c r="B2708" s="6" t="n">
        <v>93.90000000000001</v>
      </c>
    </row>
    <row r="2709">
      <c r="A2709" t="inlineStr">
        <is>
          <t>CB</t>
        </is>
      </c>
      <c r="B2709" s="6" t="n">
        <v>136.1</v>
      </c>
    </row>
    <row r="2710">
      <c r="A2710" t="inlineStr">
        <is>
          <t>TR</t>
        </is>
      </c>
      <c r="B2710" s="6" t="n">
        <v>48</v>
      </c>
    </row>
    <row r="2711">
      <c r="A2711" t="inlineStr">
        <is>
          <t>CB</t>
        </is>
      </c>
      <c r="B2711" s="6" t="n">
        <v>37.4</v>
      </c>
    </row>
    <row r="2712">
      <c r="A2712" t="inlineStr">
        <is>
          <t>CB</t>
        </is>
      </c>
      <c r="B2712" s="6" t="n">
        <v>105.6</v>
      </c>
    </row>
    <row r="2713">
      <c r="A2713" t="inlineStr">
        <is>
          <t>CB</t>
        </is>
      </c>
      <c r="B2713" s="6" t="n">
        <v>29.8</v>
      </c>
    </row>
    <row r="2714">
      <c r="A2714" t="inlineStr">
        <is>
          <t>CB</t>
        </is>
      </c>
      <c r="B2714" s="6" t="n">
        <v>31.7</v>
      </c>
    </row>
    <row r="2715">
      <c r="A2715" t="inlineStr">
        <is>
          <t>CB</t>
        </is>
      </c>
      <c r="B2715" s="6" t="n">
        <v>101.4</v>
      </c>
    </row>
    <row r="2716">
      <c r="A2716" t="inlineStr">
        <is>
          <t>CB</t>
        </is>
      </c>
      <c r="B2716" s="6" t="n">
        <v>40.5</v>
      </c>
    </row>
    <row r="2717">
      <c r="A2717" t="inlineStr">
        <is>
          <t>CB</t>
        </is>
      </c>
      <c r="B2717" s="6" t="n">
        <v>112.8</v>
      </c>
    </row>
    <row r="2718">
      <c r="A2718" t="inlineStr">
        <is>
          <t>CB</t>
        </is>
      </c>
      <c r="B2718" s="6" t="n">
        <v>64.40000000000001</v>
      </c>
    </row>
    <row r="2719">
      <c r="A2719" t="inlineStr">
        <is>
          <t>CB</t>
        </is>
      </c>
      <c r="B2719" s="6" t="n">
        <v>61.1</v>
      </c>
    </row>
    <row r="2720">
      <c r="A2720" t="inlineStr">
        <is>
          <t>CB</t>
        </is>
      </c>
      <c r="B2720" s="6" t="n">
        <v>21.6</v>
      </c>
    </row>
    <row r="2721">
      <c r="A2721" t="inlineStr">
        <is>
          <t>CB</t>
        </is>
      </c>
      <c r="B2721" s="6" t="n">
        <v>31.7</v>
      </c>
    </row>
    <row r="2722">
      <c r="A2722" t="inlineStr">
        <is>
          <t>CB</t>
        </is>
      </c>
      <c r="B2722" s="6" t="n">
        <v>95.90000000000001</v>
      </c>
    </row>
    <row r="2723">
      <c r="A2723" t="inlineStr">
        <is>
          <t>CB</t>
        </is>
      </c>
      <c r="B2723" s="6" t="n">
        <v>17.1</v>
      </c>
    </row>
    <row r="2724">
      <c r="A2724" t="inlineStr">
        <is>
          <t>CB</t>
        </is>
      </c>
      <c r="B2724" s="6" t="n">
        <v>38.7</v>
      </c>
    </row>
    <row r="2725">
      <c r="A2725" t="inlineStr">
        <is>
          <t>CB</t>
        </is>
      </c>
      <c r="B2725" s="6" t="n">
        <v>79.8</v>
      </c>
    </row>
    <row r="2726">
      <c r="A2726" t="inlineStr">
        <is>
          <t>CB</t>
        </is>
      </c>
      <c r="B2726" s="6" t="n">
        <v>209.9</v>
      </c>
    </row>
    <row r="2727">
      <c r="A2727" t="inlineStr">
        <is>
          <t>CB</t>
        </is>
      </c>
      <c r="B2727" s="6" t="n">
        <v>32.25</v>
      </c>
    </row>
    <row r="2728">
      <c r="A2728" t="inlineStr">
        <is>
          <t>CB</t>
        </is>
      </c>
      <c r="B2728" s="6" t="n">
        <v>62.5</v>
      </c>
    </row>
    <row r="2729">
      <c r="A2729" t="inlineStr">
        <is>
          <t>CB</t>
        </is>
      </c>
      <c r="B2729" s="6" t="n">
        <v>43.6</v>
      </c>
    </row>
    <row r="2730">
      <c r="A2730" t="inlineStr">
        <is>
          <t>CB</t>
        </is>
      </c>
      <c r="B2730" s="6" t="n">
        <v>55.7</v>
      </c>
    </row>
    <row r="2731">
      <c r="A2731" t="inlineStr">
        <is>
          <t>CB</t>
        </is>
      </c>
      <c r="B2731" s="6" t="n">
        <v>97.09999999999999</v>
      </c>
    </row>
    <row r="2732">
      <c r="A2732" t="inlineStr">
        <is>
          <t>CB</t>
        </is>
      </c>
      <c r="B2732" s="6" t="n">
        <v>63.2</v>
      </c>
    </row>
    <row r="2733">
      <c r="A2733" t="inlineStr">
        <is>
          <t>TR</t>
        </is>
      </c>
      <c r="B2733" s="6" t="n">
        <v>64.75</v>
      </c>
    </row>
    <row r="2734">
      <c r="A2734" t="inlineStr">
        <is>
          <t>CHV</t>
        </is>
      </c>
      <c r="B2734" s="6" t="n">
        <v>10</v>
      </c>
    </row>
    <row r="2735">
      <c r="A2735" t="inlineStr">
        <is>
          <t>TR</t>
        </is>
      </c>
      <c r="B2735" s="6" t="n">
        <v>15</v>
      </c>
    </row>
    <row r="2736">
      <c r="A2736" t="inlineStr">
        <is>
          <t>ESP</t>
        </is>
      </c>
      <c r="B2736" s="6" t="n">
        <v>1.45</v>
      </c>
    </row>
    <row r="2737">
      <c r="A2737" t="inlineStr">
        <is>
          <t>CB</t>
        </is>
      </c>
      <c r="B2737" s="6" t="n">
        <v>81.59999999999999</v>
      </c>
    </row>
    <row r="2738">
      <c r="A2738" t="inlineStr">
        <is>
          <t>CB</t>
        </is>
      </c>
      <c r="B2738" s="6" t="n">
        <v>50</v>
      </c>
    </row>
    <row r="2739">
      <c r="A2739" t="inlineStr">
        <is>
          <t>CB</t>
        </is>
      </c>
      <c r="B2739" s="6" t="n">
        <v>54.8</v>
      </c>
    </row>
    <row r="2740">
      <c r="A2740" t="inlineStr">
        <is>
          <t>CB</t>
        </is>
      </c>
      <c r="B2740" s="6" t="n">
        <v>32.25</v>
      </c>
    </row>
    <row r="2741">
      <c r="A2741" t="inlineStr">
        <is>
          <t>CB</t>
        </is>
      </c>
      <c r="B2741" s="6" t="n">
        <v>28.9</v>
      </c>
    </row>
    <row r="2742">
      <c r="A2742" t="inlineStr">
        <is>
          <t>ESP</t>
        </is>
      </c>
      <c r="B2742" s="6" t="n">
        <v>74</v>
      </c>
    </row>
    <row r="2743">
      <c r="A2743" t="inlineStr">
        <is>
          <t>TR</t>
        </is>
      </c>
      <c r="B2743" s="6" t="n">
        <v>59.6</v>
      </c>
    </row>
    <row r="2744">
      <c r="A2744" t="inlineStr">
        <is>
          <t>CB</t>
        </is>
      </c>
      <c r="B2744" s="6" t="n">
        <v>44</v>
      </c>
    </row>
    <row r="2745">
      <c r="A2745" t="inlineStr">
        <is>
          <t>ESP</t>
        </is>
      </c>
      <c r="B2745" s="6" t="n">
        <v>93.2</v>
      </c>
    </row>
    <row r="2746">
      <c r="A2746" t="inlineStr">
        <is>
          <t>CB</t>
        </is>
      </c>
      <c r="B2746" s="6" t="n">
        <v>106.3</v>
      </c>
    </row>
    <row r="2747">
      <c r="A2747" t="inlineStr">
        <is>
          <t>ESP</t>
        </is>
      </c>
      <c r="B2747" s="6" t="n">
        <v>119.1</v>
      </c>
    </row>
    <row r="2748">
      <c r="A2748" t="inlineStr">
        <is>
          <t>CB</t>
        </is>
      </c>
      <c r="B2748" s="6" t="n">
        <v>94.09999999999999</v>
      </c>
    </row>
    <row r="2749">
      <c r="A2749" t="inlineStr">
        <is>
          <t>CB</t>
        </is>
      </c>
      <c r="B2749" s="6" t="n">
        <v>96</v>
      </c>
    </row>
    <row r="2750">
      <c r="A2750" t="inlineStr">
        <is>
          <t>CB</t>
        </is>
      </c>
      <c r="B2750" s="6" t="n">
        <v>93.40000000000001</v>
      </c>
    </row>
    <row r="2751">
      <c r="A2751" t="inlineStr">
        <is>
          <t>CB</t>
        </is>
      </c>
      <c r="B2751" s="6" t="n">
        <v>69.40000000000001</v>
      </c>
    </row>
    <row r="2752">
      <c r="A2752" t="inlineStr">
        <is>
          <t>CB</t>
        </is>
      </c>
      <c r="B2752" s="6" t="n">
        <v>107.1</v>
      </c>
    </row>
    <row r="2753">
      <c r="A2753" t="inlineStr">
        <is>
          <t>CB</t>
        </is>
      </c>
      <c r="B2753" s="6" t="n">
        <v>158.5</v>
      </c>
    </row>
    <row r="2754">
      <c r="A2754" t="inlineStr">
        <is>
          <t>CB</t>
        </is>
      </c>
      <c r="B2754" s="6" t="n">
        <v>131.6</v>
      </c>
    </row>
    <row r="2755">
      <c r="A2755" t="inlineStr">
        <is>
          <t>CB</t>
        </is>
      </c>
      <c r="B2755" s="6" t="n">
        <v>221.5</v>
      </c>
    </row>
    <row r="2756">
      <c r="A2756" t="inlineStr">
        <is>
          <t>CB</t>
        </is>
      </c>
      <c r="B2756" s="6" t="n">
        <v>146.9</v>
      </c>
    </row>
    <row r="2757">
      <c r="A2757" t="inlineStr">
        <is>
          <t>CB</t>
        </is>
      </c>
      <c r="B2757" s="6" t="n">
        <v>29.5</v>
      </c>
    </row>
    <row r="2758">
      <c r="A2758" t="inlineStr">
        <is>
          <t>CB</t>
        </is>
      </c>
      <c r="B2758" s="6" t="n">
        <v>21.5</v>
      </c>
    </row>
    <row r="2759">
      <c r="A2759" t="inlineStr">
        <is>
          <t>CB</t>
        </is>
      </c>
      <c r="B2759" s="6" t="n">
        <v>56.6</v>
      </c>
    </row>
    <row r="2760">
      <c r="A2760" t="inlineStr">
        <is>
          <t>CB</t>
        </is>
      </c>
      <c r="B2760" s="6" t="n">
        <v>60.6</v>
      </c>
    </row>
    <row r="2761">
      <c r="A2761" t="inlineStr">
        <is>
          <t>CB</t>
        </is>
      </c>
      <c r="B2761" s="6" t="n">
        <v>29.5</v>
      </c>
    </row>
    <row r="2762">
      <c r="A2762" t="inlineStr">
        <is>
          <t>CB</t>
        </is>
      </c>
      <c r="B2762" s="6" t="n">
        <v>43.9</v>
      </c>
    </row>
    <row r="2763">
      <c r="A2763" t="inlineStr">
        <is>
          <t>CB</t>
        </is>
      </c>
      <c r="B2763" s="6" t="n">
        <v>52.2</v>
      </c>
    </row>
    <row r="2764">
      <c r="A2764" t="inlineStr">
        <is>
          <t>CB</t>
        </is>
      </c>
      <c r="B2764" s="6" t="n">
        <v>30</v>
      </c>
    </row>
    <row r="2765">
      <c r="A2765" t="inlineStr">
        <is>
          <t>CHV</t>
        </is>
      </c>
      <c r="B2765" s="6" t="n">
        <v>70</v>
      </c>
    </row>
    <row r="2766">
      <c r="A2766" t="inlineStr">
        <is>
          <t>ESP</t>
        </is>
      </c>
      <c r="B2766" s="6" t="n">
        <v>5</v>
      </c>
    </row>
    <row r="2767">
      <c r="A2767" t="inlineStr">
        <is>
          <t>CB</t>
        </is>
      </c>
      <c r="B2767" s="6" t="n">
        <v>41.6</v>
      </c>
    </row>
    <row r="2768">
      <c r="A2768" t="inlineStr">
        <is>
          <t>CB</t>
        </is>
      </c>
      <c r="B2768" s="6" t="n">
        <v>80.2</v>
      </c>
    </row>
    <row r="2769">
      <c r="A2769" t="inlineStr">
        <is>
          <t>CB</t>
        </is>
      </c>
      <c r="B2769" s="6" t="n">
        <v>60</v>
      </c>
    </row>
    <row r="2770">
      <c r="A2770" t="inlineStr">
        <is>
          <t>CB</t>
        </is>
      </c>
      <c r="B2770" s="6" t="n">
        <v>116.8</v>
      </c>
    </row>
    <row r="2771">
      <c r="A2771" t="inlineStr">
        <is>
          <t>CB</t>
        </is>
      </c>
      <c r="B2771" s="6" t="n">
        <v>57.5</v>
      </c>
    </row>
    <row r="2772">
      <c r="A2772" t="inlineStr">
        <is>
          <t>CB</t>
        </is>
      </c>
      <c r="B2772" s="6" t="n">
        <v>48.7</v>
      </c>
    </row>
    <row r="2773">
      <c r="A2773" t="inlineStr">
        <is>
          <t>CB</t>
        </is>
      </c>
      <c r="B2773" s="6" t="n">
        <v>51</v>
      </c>
    </row>
    <row r="2774">
      <c r="A2774" t="inlineStr">
        <is>
          <t>CB</t>
        </is>
      </c>
      <c r="B2774" s="6" t="n">
        <v>47.8</v>
      </c>
    </row>
    <row r="2775">
      <c r="A2775" t="inlineStr">
        <is>
          <t>CB</t>
        </is>
      </c>
      <c r="B2775" s="6" t="n">
        <v>44.2</v>
      </c>
    </row>
    <row r="2776">
      <c r="A2776" t="inlineStr">
        <is>
          <t>CHV</t>
        </is>
      </c>
      <c r="B2776" s="6" t="n">
        <v>40</v>
      </c>
    </row>
    <row r="2777">
      <c r="A2777" t="inlineStr">
        <is>
          <t>CB</t>
        </is>
      </c>
      <c r="B2777" s="6" t="n">
        <v>15.9</v>
      </c>
    </row>
    <row r="2778">
      <c r="A2778" t="inlineStr">
        <is>
          <t>CB</t>
        </is>
      </c>
      <c r="B2778" s="6" t="n">
        <v>51.5</v>
      </c>
    </row>
    <row r="2779">
      <c r="A2779" t="inlineStr">
        <is>
          <t>CB</t>
        </is>
      </c>
      <c r="B2779" s="6" t="n">
        <v>62.1</v>
      </c>
    </row>
    <row r="2780">
      <c r="A2780" t="inlineStr">
        <is>
          <t>CB</t>
        </is>
      </c>
      <c r="B2780" s="6" t="n">
        <v>79.40000000000001</v>
      </c>
    </row>
    <row r="2781">
      <c r="A2781" t="inlineStr">
        <is>
          <t>CB</t>
        </is>
      </c>
      <c r="B2781" s="6" t="n">
        <v>70.90000000000001</v>
      </c>
    </row>
    <row r="2782">
      <c r="A2782" t="inlineStr">
        <is>
          <t>CB</t>
        </is>
      </c>
      <c r="B2782" s="6" t="n">
        <v>70.75</v>
      </c>
    </row>
    <row r="2783">
      <c r="A2783" t="inlineStr">
        <is>
          <t>CB</t>
        </is>
      </c>
      <c r="B2783" s="6" t="n">
        <v>109.2</v>
      </c>
    </row>
    <row r="2784">
      <c r="A2784" t="inlineStr">
        <is>
          <t>CB</t>
        </is>
      </c>
      <c r="B2784" s="6" t="n">
        <v>57.8</v>
      </c>
    </row>
    <row r="2785">
      <c r="A2785" t="inlineStr">
        <is>
          <t>CB</t>
        </is>
      </c>
      <c r="B2785" s="6" t="n">
        <v>120.15</v>
      </c>
    </row>
    <row r="2786">
      <c r="A2786" t="inlineStr">
        <is>
          <t>CB</t>
        </is>
      </c>
      <c r="B2786" s="6" t="n">
        <v>156.1</v>
      </c>
    </row>
    <row r="2787">
      <c r="A2787" t="inlineStr">
        <is>
          <t>TR</t>
        </is>
      </c>
      <c r="B2787" s="6" t="n">
        <v>80</v>
      </c>
    </row>
    <row r="2788">
      <c r="A2788" t="inlineStr">
        <is>
          <t>ESP</t>
        </is>
      </c>
      <c r="B2788" s="6" t="n">
        <v>2.9</v>
      </c>
    </row>
    <row r="2789">
      <c r="A2789" t="inlineStr">
        <is>
          <t>CB</t>
        </is>
      </c>
      <c r="B2789" s="6" t="n">
        <v>73.8</v>
      </c>
    </row>
    <row r="2790">
      <c r="A2790" t="inlineStr">
        <is>
          <t>CB</t>
        </is>
      </c>
      <c r="B2790" s="6" t="n">
        <v>55.7</v>
      </c>
    </row>
    <row r="2791">
      <c r="A2791" t="inlineStr">
        <is>
          <t>CB</t>
        </is>
      </c>
      <c r="B2791" s="6" t="n">
        <v>59.4</v>
      </c>
    </row>
    <row r="2792">
      <c r="A2792" t="inlineStr">
        <is>
          <t>CB</t>
        </is>
      </c>
      <c r="B2792" s="6" t="n">
        <v>40.8</v>
      </c>
    </row>
    <row r="2793">
      <c r="A2793" t="inlineStr">
        <is>
          <t>CB</t>
        </is>
      </c>
      <c r="B2793" s="6" t="n">
        <v>70.75</v>
      </c>
    </row>
    <row r="2794">
      <c r="A2794" t="inlineStr">
        <is>
          <t>CB</t>
        </is>
      </c>
      <c r="B2794" s="6" t="n">
        <v>40.8</v>
      </c>
    </row>
    <row r="2795">
      <c r="A2795" t="inlineStr">
        <is>
          <t>CB</t>
        </is>
      </c>
      <c r="B2795" s="6" t="n">
        <v>120.15</v>
      </c>
    </row>
    <row r="2796">
      <c r="A2796" t="inlineStr">
        <is>
          <t>CB</t>
        </is>
      </c>
      <c r="B2796" s="6" t="n">
        <v>106.8</v>
      </c>
    </row>
    <row r="2797">
      <c r="A2797" t="inlineStr">
        <is>
          <t>CB</t>
        </is>
      </c>
      <c r="B2797" s="6" t="n">
        <v>65.5</v>
      </c>
    </row>
    <row r="2798">
      <c r="A2798" t="inlineStr">
        <is>
          <t>CB</t>
        </is>
      </c>
      <c r="B2798" s="6" t="n">
        <v>152.1</v>
      </c>
    </row>
    <row r="2799">
      <c r="A2799" t="inlineStr">
        <is>
          <t>CB</t>
        </is>
      </c>
      <c r="B2799" s="6" t="n">
        <v>41.5</v>
      </c>
    </row>
    <row r="2800">
      <c r="A2800" t="inlineStr">
        <is>
          <t>CB</t>
        </is>
      </c>
      <c r="B2800" s="6" t="n">
        <v>69.2</v>
      </c>
    </row>
    <row r="2801">
      <c r="A2801" t="inlineStr">
        <is>
          <t>CB</t>
        </is>
      </c>
      <c r="B2801" s="6" t="n">
        <v>78.40000000000001</v>
      </c>
    </row>
    <row r="2802">
      <c r="A2802" t="inlineStr">
        <is>
          <t>CB</t>
        </is>
      </c>
      <c r="B2802" s="6" t="n">
        <v>45.2</v>
      </c>
    </row>
    <row r="2803">
      <c r="A2803" t="inlineStr">
        <is>
          <t>CB</t>
        </is>
      </c>
      <c r="B2803" s="6" t="n">
        <v>23.35</v>
      </c>
    </row>
    <row r="2804">
      <c r="A2804" t="inlineStr">
        <is>
          <t>CB</t>
        </is>
      </c>
      <c r="B2804" s="6" t="n">
        <v>23.35</v>
      </c>
    </row>
    <row r="2805">
      <c r="A2805" t="inlineStr">
        <is>
          <t>CHV</t>
        </is>
      </c>
      <c r="B2805" s="6" t="n">
        <v>20</v>
      </c>
    </row>
    <row r="2806">
      <c r="A2806" t="inlineStr">
        <is>
          <t>ESP</t>
        </is>
      </c>
      <c r="B2806" s="6" t="n">
        <v>3.3</v>
      </c>
    </row>
    <row r="2807">
      <c r="A2807" t="inlineStr">
        <is>
          <t>TR</t>
        </is>
      </c>
      <c r="B2807" s="6" t="n">
        <v>36</v>
      </c>
    </row>
    <row r="2808">
      <c r="A2808" t="inlineStr">
        <is>
          <t>CB</t>
        </is>
      </c>
      <c r="B2808" s="6" t="n">
        <v>21.1</v>
      </c>
    </row>
    <row r="2809">
      <c r="A2809" t="inlineStr">
        <is>
          <t>CB</t>
        </is>
      </c>
      <c r="B2809" s="6" t="n">
        <v>88.65000000000001</v>
      </c>
    </row>
    <row r="2810">
      <c r="A2810" t="inlineStr">
        <is>
          <t>CB</t>
        </is>
      </c>
      <c r="B2810" s="6" t="n">
        <v>147.75</v>
      </c>
    </row>
    <row r="2811">
      <c r="A2811" t="inlineStr">
        <is>
          <t>CB</t>
        </is>
      </c>
      <c r="B2811" s="6" t="n">
        <v>57.7</v>
      </c>
    </row>
    <row r="2812">
      <c r="A2812" t="inlineStr">
        <is>
          <t>CB</t>
        </is>
      </c>
      <c r="B2812" s="6" t="n">
        <v>106</v>
      </c>
    </row>
    <row r="2813">
      <c r="A2813" t="inlineStr">
        <is>
          <t>CB</t>
        </is>
      </c>
      <c r="B2813" s="6" t="n">
        <v>29.65</v>
      </c>
    </row>
    <row r="2814">
      <c r="A2814" t="inlineStr">
        <is>
          <t>CB</t>
        </is>
      </c>
      <c r="B2814" s="6" t="n">
        <v>60</v>
      </c>
    </row>
    <row r="2815">
      <c r="A2815" t="inlineStr">
        <is>
          <t>CB</t>
        </is>
      </c>
      <c r="B2815" s="6" t="n">
        <v>108.2</v>
      </c>
    </row>
    <row r="2816">
      <c r="A2816" t="inlineStr">
        <is>
          <t>CB</t>
        </is>
      </c>
      <c r="B2816" s="6" t="n">
        <v>95.5</v>
      </c>
    </row>
    <row r="2817">
      <c r="A2817" t="inlineStr">
        <is>
          <t>CB</t>
        </is>
      </c>
      <c r="B2817" s="6" t="n">
        <v>29.65</v>
      </c>
    </row>
    <row r="2818">
      <c r="A2818" t="inlineStr">
        <is>
          <t>CB</t>
        </is>
      </c>
      <c r="B2818" s="6" t="n">
        <v>121.3</v>
      </c>
    </row>
    <row r="2819">
      <c r="A2819" t="inlineStr">
        <is>
          <t>CB</t>
        </is>
      </c>
      <c r="B2819" s="6" t="n">
        <v>31.7</v>
      </c>
    </row>
    <row r="2820">
      <c r="A2820" t="inlineStr">
        <is>
          <t>CB</t>
        </is>
      </c>
      <c r="B2820" s="6" t="n">
        <v>66.7</v>
      </c>
    </row>
    <row r="2821">
      <c r="A2821" t="inlineStr">
        <is>
          <t>CHV</t>
        </is>
      </c>
      <c r="B2821" s="6" t="n">
        <v>80</v>
      </c>
    </row>
    <row r="2822">
      <c r="A2822" t="inlineStr">
        <is>
          <t>CB</t>
        </is>
      </c>
      <c r="B2822" s="6" t="n">
        <v>11.4</v>
      </c>
    </row>
    <row r="2823">
      <c r="A2823" t="inlineStr">
        <is>
          <t>CB</t>
        </is>
      </c>
      <c r="B2823" s="6" t="n">
        <v>74.3</v>
      </c>
    </row>
    <row r="2824">
      <c r="A2824" t="inlineStr">
        <is>
          <t>CB</t>
        </is>
      </c>
      <c r="B2824" s="6" t="n">
        <v>149.2</v>
      </c>
    </row>
    <row r="2825">
      <c r="A2825" t="inlineStr">
        <is>
          <t>CHV</t>
        </is>
      </c>
      <c r="B2825" s="6" t="n">
        <v>160</v>
      </c>
    </row>
    <row r="2826">
      <c r="A2826" t="inlineStr">
        <is>
          <t>ESP</t>
        </is>
      </c>
      <c r="B2826" s="6" t="n">
        <v>0.5</v>
      </c>
    </row>
    <row r="2827">
      <c r="A2827" t="inlineStr">
        <is>
          <t>CB</t>
        </is>
      </c>
      <c r="B2827" s="6" t="n">
        <v>73.7</v>
      </c>
    </row>
    <row r="2828">
      <c r="A2828" t="inlineStr">
        <is>
          <t>CB</t>
        </is>
      </c>
      <c r="B2828" s="6" t="n">
        <v>25.1</v>
      </c>
    </row>
    <row r="2829">
      <c r="A2829" t="inlineStr">
        <is>
          <t>ESP</t>
        </is>
      </c>
      <c r="B2829" s="6" t="n">
        <v>115.2</v>
      </c>
    </row>
    <row r="2830">
      <c r="A2830" t="inlineStr">
        <is>
          <t>CB</t>
        </is>
      </c>
      <c r="B2830" s="6" t="n">
        <v>54</v>
      </c>
    </row>
    <row r="2831">
      <c r="A2831" t="inlineStr">
        <is>
          <t>CHV</t>
        </is>
      </c>
      <c r="B2831" s="6" t="n">
        <v>50</v>
      </c>
    </row>
    <row r="2832">
      <c r="A2832" t="inlineStr">
        <is>
          <t>CHV</t>
        </is>
      </c>
      <c r="B2832" s="6" t="n">
        <v>30</v>
      </c>
    </row>
    <row r="2833">
      <c r="A2833" t="inlineStr">
        <is>
          <t>ESP</t>
        </is>
      </c>
      <c r="B2833" s="6" t="n">
        <v>26.9</v>
      </c>
    </row>
    <row r="2834">
      <c r="A2834" t="inlineStr">
        <is>
          <t>CB</t>
        </is>
      </c>
      <c r="B2834" s="6" t="n">
        <v>54.3</v>
      </c>
    </row>
    <row r="2835">
      <c r="A2835" t="inlineStr">
        <is>
          <t>CB</t>
        </is>
      </c>
      <c r="B2835" s="6" t="n">
        <v>40.35</v>
      </c>
    </row>
    <row r="2836">
      <c r="A2836" t="inlineStr">
        <is>
          <t>CB</t>
        </is>
      </c>
      <c r="B2836" s="6" t="n">
        <v>30.1</v>
      </c>
    </row>
    <row r="2837">
      <c r="A2837" t="inlineStr">
        <is>
          <t>CB</t>
        </is>
      </c>
      <c r="B2837" s="6" t="n">
        <v>108.1</v>
      </c>
    </row>
    <row r="2838">
      <c r="A2838" t="inlineStr">
        <is>
          <t>CB</t>
        </is>
      </c>
      <c r="B2838" s="6" t="n">
        <v>54.1</v>
      </c>
    </row>
    <row r="2839">
      <c r="A2839" t="inlineStr">
        <is>
          <t>CB</t>
        </is>
      </c>
      <c r="B2839" s="6" t="n">
        <v>89.90000000000001</v>
      </c>
    </row>
    <row r="2840">
      <c r="A2840" t="inlineStr">
        <is>
          <t>CB</t>
        </is>
      </c>
      <c r="B2840" s="6" t="n">
        <v>63.86</v>
      </c>
    </row>
    <row r="2841">
      <c r="A2841" t="inlineStr">
        <is>
          <t>ESP</t>
        </is>
      </c>
      <c r="B2841" s="6" t="n">
        <v>31.94</v>
      </c>
    </row>
    <row r="2842">
      <c r="A2842" t="inlineStr">
        <is>
          <t>CB</t>
        </is>
      </c>
      <c r="B2842" s="6" t="n">
        <v>80.75</v>
      </c>
    </row>
    <row r="2843">
      <c r="A2843" t="inlineStr">
        <is>
          <t>CB</t>
        </is>
      </c>
      <c r="B2843" s="6" t="n">
        <v>40.4</v>
      </c>
    </row>
    <row r="2844">
      <c r="A2844" t="inlineStr">
        <is>
          <t>CB</t>
        </is>
      </c>
      <c r="B2844" s="6" t="n">
        <v>30.1</v>
      </c>
    </row>
    <row r="2845">
      <c r="A2845" t="inlineStr">
        <is>
          <t>CB</t>
        </is>
      </c>
      <c r="B2845" s="6" t="n">
        <v>34</v>
      </c>
    </row>
    <row r="2846">
      <c r="A2846" t="inlineStr">
        <is>
          <t>TR</t>
        </is>
      </c>
      <c r="B2846" s="6" t="n">
        <v>36</v>
      </c>
    </row>
    <row r="2847">
      <c r="A2847" t="inlineStr">
        <is>
          <t>CB</t>
        </is>
      </c>
      <c r="B2847" s="6" t="n">
        <v>29.7</v>
      </c>
    </row>
    <row r="2848">
      <c r="A2848" t="inlineStr">
        <is>
          <t>CB</t>
        </is>
      </c>
      <c r="B2848" s="6" t="n">
        <v>71.59999999999999</v>
      </c>
    </row>
    <row r="2849">
      <c r="A2849" t="inlineStr">
        <is>
          <t>CB</t>
        </is>
      </c>
      <c r="B2849" s="6" t="n">
        <v>55</v>
      </c>
    </row>
    <row r="2850">
      <c r="A2850" t="inlineStr">
        <is>
          <t>CB</t>
        </is>
      </c>
      <c r="B2850" s="6" t="n">
        <v>34.4</v>
      </c>
    </row>
    <row r="2851">
      <c r="A2851" t="inlineStr">
        <is>
          <t>CB</t>
        </is>
      </c>
      <c r="B2851" s="6" t="n">
        <v>41.6</v>
      </c>
    </row>
    <row r="2852">
      <c r="A2852" t="inlineStr">
        <is>
          <t>CB</t>
        </is>
      </c>
      <c r="B2852" s="6" t="n">
        <v>46.1</v>
      </c>
    </row>
    <row r="2853">
      <c r="A2853" t="inlineStr">
        <is>
          <t>CB</t>
        </is>
      </c>
      <c r="B2853" s="6" t="n">
        <v>27</v>
      </c>
    </row>
    <row r="2854">
      <c r="A2854" t="inlineStr">
        <is>
          <t>CB</t>
        </is>
      </c>
      <c r="B2854" s="6" t="n">
        <v>27</v>
      </c>
    </row>
    <row r="2855">
      <c r="A2855" t="inlineStr">
        <is>
          <t>CB</t>
        </is>
      </c>
      <c r="B2855" s="6" t="n">
        <v>27</v>
      </c>
    </row>
    <row r="2856">
      <c r="A2856" t="inlineStr">
        <is>
          <t>TR</t>
        </is>
      </c>
      <c r="B2856" s="6" t="n">
        <v>33.32</v>
      </c>
    </row>
    <row r="2857">
      <c r="A2857" t="inlineStr">
        <is>
          <t>CB</t>
        </is>
      </c>
      <c r="B2857" s="6" t="n">
        <v>8.18</v>
      </c>
    </row>
    <row r="2858">
      <c r="A2858" t="inlineStr">
        <is>
          <t>CB</t>
        </is>
      </c>
      <c r="B2858" s="6" t="n">
        <v>61.7</v>
      </c>
    </row>
    <row r="2859">
      <c r="A2859" t="inlineStr">
        <is>
          <t>CB</t>
        </is>
      </c>
      <c r="B2859" s="6" t="n">
        <v>63.9</v>
      </c>
    </row>
    <row r="2860">
      <c r="A2860" t="inlineStr">
        <is>
          <t>CB</t>
        </is>
      </c>
      <c r="B2860" s="6" t="n">
        <v>52.7</v>
      </c>
    </row>
    <row r="2861">
      <c r="A2861" t="inlineStr">
        <is>
          <t>CB</t>
        </is>
      </c>
      <c r="B2861" s="6" t="n">
        <v>80.8</v>
      </c>
    </row>
    <row r="2862">
      <c r="A2862" t="inlineStr">
        <is>
          <t>CB</t>
        </is>
      </c>
      <c r="B2862" s="6" t="n">
        <v>84.3</v>
      </c>
    </row>
    <row r="2863">
      <c r="A2863" t="inlineStr">
        <is>
          <t>CB</t>
        </is>
      </c>
      <c r="B2863" s="6" t="n">
        <v>115.72</v>
      </c>
    </row>
    <row r="2864">
      <c r="A2864" t="inlineStr">
        <is>
          <t>CB</t>
        </is>
      </c>
      <c r="B2864" s="6" t="n">
        <v>86.78</v>
      </c>
    </row>
    <row r="2865">
      <c r="A2865" t="inlineStr">
        <is>
          <t>CB</t>
        </is>
      </c>
      <c r="B2865" s="6" t="n">
        <v>164.1</v>
      </c>
    </row>
    <row r="2866">
      <c r="A2866" t="inlineStr">
        <is>
          <t>CB</t>
        </is>
      </c>
      <c r="B2866" s="6" t="n">
        <v>28.4</v>
      </c>
    </row>
    <row r="2867">
      <c r="A2867" t="inlineStr">
        <is>
          <t>CB</t>
        </is>
      </c>
      <c r="B2867" s="6" t="n">
        <v>38.6</v>
      </c>
    </row>
    <row r="2868">
      <c r="A2868" t="inlineStr">
        <is>
          <t>CB</t>
        </is>
      </c>
      <c r="B2868" s="6" t="n">
        <v>210.9</v>
      </c>
    </row>
    <row r="2869">
      <c r="A2869" t="inlineStr">
        <is>
          <t>CB</t>
        </is>
      </c>
      <c r="B2869" s="6" t="n">
        <v>117.9</v>
      </c>
    </row>
    <row r="2870">
      <c r="A2870" t="inlineStr">
        <is>
          <t>CB</t>
        </is>
      </c>
      <c r="B2870" s="6" t="n">
        <v>174.2</v>
      </c>
    </row>
    <row r="2871">
      <c r="A2871" t="inlineStr">
        <is>
          <t>CB</t>
        </is>
      </c>
      <c r="B2871" s="6" t="n">
        <v>35.2</v>
      </c>
    </row>
    <row r="2872">
      <c r="A2872" t="inlineStr">
        <is>
          <t>CB</t>
        </is>
      </c>
      <c r="B2872" s="6" t="n">
        <v>85.59999999999999</v>
      </c>
    </row>
    <row r="2873">
      <c r="A2873" t="inlineStr">
        <is>
          <t>CB</t>
        </is>
      </c>
      <c r="B2873" s="6" t="n">
        <v>33.4</v>
      </c>
    </row>
    <row r="2874">
      <c r="A2874" t="inlineStr">
        <is>
          <t>CB</t>
        </is>
      </c>
      <c r="B2874" s="6" t="n">
        <v>38.2</v>
      </c>
    </row>
    <row r="2875">
      <c r="A2875" t="inlineStr">
        <is>
          <t>CB</t>
        </is>
      </c>
      <c r="B2875" s="6" t="n">
        <v>38.6</v>
      </c>
    </row>
    <row r="2876">
      <c r="A2876" t="inlineStr">
        <is>
          <t>CB</t>
        </is>
      </c>
      <c r="B2876" s="6" t="n">
        <v>69.7</v>
      </c>
    </row>
    <row r="2877">
      <c r="A2877" t="inlineStr">
        <is>
          <t>CB</t>
        </is>
      </c>
      <c r="B2877" s="6" t="n">
        <v>268.9</v>
      </c>
    </row>
    <row r="2878">
      <c r="A2878" t="inlineStr">
        <is>
          <t>CHV</t>
        </is>
      </c>
      <c r="B2878" s="6" t="n">
        <v>60</v>
      </c>
    </row>
    <row r="2879">
      <c r="A2879" t="inlineStr">
        <is>
          <t>CB</t>
        </is>
      </c>
      <c r="B2879" s="6" t="n">
        <v>17.8</v>
      </c>
    </row>
    <row r="2880">
      <c r="A2880" t="inlineStr">
        <is>
          <t>CB</t>
        </is>
      </c>
      <c r="B2880" s="6" t="n">
        <v>78.2</v>
      </c>
    </row>
    <row r="2881">
      <c r="A2881" t="inlineStr">
        <is>
          <t>CB</t>
        </is>
      </c>
      <c r="B2881" s="6" t="n">
        <v>116.1</v>
      </c>
    </row>
    <row r="2882">
      <c r="A2882" t="inlineStr">
        <is>
          <t>CB</t>
        </is>
      </c>
      <c r="B2882" s="6" t="n">
        <v>60</v>
      </c>
    </row>
    <row r="2883">
      <c r="A2883" t="inlineStr">
        <is>
          <t>CB</t>
        </is>
      </c>
      <c r="B2883" s="6" t="n">
        <v>22.4</v>
      </c>
    </row>
    <row r="2884">
      <c r="A2884" t="inlineStr">
        <is>
          <t>CB</t>
        </is>
      </c>
      <c r="B2884" s="6" t="n">
        <v>61.8</v>
      </c>
    </row>
    <row r="2885">
      <c r="A2885" t="inlineStr">
        <is>
          <t>CB</t>
        </is>
      </c>
      <c r="B2885" s="6" t="n">
        <v>70.59999999999999</v>
      </c>
    </row>
    <row r="2886">
      <c r="A2886" t="inlineStr">
        <is>
          <t>CB</t>
        </is>
      </c>
      <c r="B2886" s="6" t="n">
        <v>60</v>
      </c>
    </row>
    <row r="2887">
      <c r="A2887" t="inlineStr">
        <is>
          <t>CB</t>
        </is>
      </c>
      <c r="B2887" s="6" t="n">
        <v>118.8</v>
      </c>
    </row>
    <row r="2888">
      <c r="A2888" t="inlineStr">
        <is>
          <t>CB</t>
        </is>
      </c>
      <c r="B2888" s="6" t="n">
        <v>57.55</v>
      </c>
    </row>
    <row r="2889">
      <c r="A2889" t="inlineStr">
        <is>
          <t>CB</t>
        </is>
      </c>
      <c r="B2889" s="6" t="n">
        <v>69</v>
      </c>
    </row>
    <row r="2890">
      <c r="A2890" t="inlineStr">
        <is>
          <t>CHV</t>
        </is>
      </c>
      <c r="B2890" s="6" t="n">
        <v>70</v>
      </c>
    </row>
    <row r="2891">
      <c r="A2891" t="inlineStr">
        <is>
          <t>CB</t>
        </is>
      </c>
      <c r="B2891" s="6" t="n">
        <v>8.6</v>
      </c>
    </row>
    <row r="2892">
      <c r="A2892" t="inlineStr">
        <is>
          <t>CB</t>
        </is>
      </c>
      <c r="B2892" s="6" t="n">
        <v>53.7</v>
      </c>
    </row>
    <row r="2893">
      <c r="A2893" t="inlineStr">
        <is>
          <t>CB</t>
        </is>
      </c>
      <c r="B2893" s="6" t="n">
        <v>44.3</v>
      </c>
    </row>
    <row r="2894">
      <c r="A2894" t="inlineStr">
        <is>
          <t>CB</t>
        </is>
      </c>
      <c r="B2894" s="6" t="n">
        <v>18.9</v>
      </c>
    </row>
    <row r="2895">
      <c r="A2895" t="inlineStr">
        <is>
          <t>CB</t>
        </is>
      </c>
      <c r="B2895" s="6" t="n">
        <v>94.3</v>
      </c>
    </row>
    <row r="2896">
      <c r="A2896" t="inlineStr">
        <is>
          <t>CB</t>
        </is>
      </c>
      <c r="B2896" s="6" t="n">
        <v>57.55</v>
      </c>
    </row>
    <row r="2897">
      <c r="A2897" t="inlineStr">
        <is>
          <t>CB</t>
        </is>
      </c>
      <c r="B2897" s="6" t="n">
        <v>52.2</v>
      </c>
    </row>
    <row r="2898">
      <c r="A2898" t="inlineStr">
        <is>
          <t>CB</t>
        </is>
      </c>
      <c r="B2898" s="6" t="n">
        <v>37.8</v>
      </c>
    </row>
    <row r="2899">
      <c r="A2899" t="inlineStr">
        <is>
          <t>CB</t>
        </is>
      </c>
      <c r="B2899" s="6" t="n">
        <v>14.7</v>
      </c>
    </row>
    <row r="2900">
      <c r="A2900" t="inlineStr">
        <is>
          <t>CHV</t>
        </is>
      </c>
      <c r="B2900" s="6" t="n">
        <v>3</v>
      </c>
    </row>
    <row r="2901">
      <c r="A2901" t="inlineStr">
        <is>
          <t>CHV</t>
        </is>
      </c>
      <c r="B2901" s="6" t="n">
        <v>27</v>
      </c>
    </row>
    <row r="2902">
      <c r="A2902" t="inlineStr">
        <is>
          <t>CB</t>
        </is>
      </c>
      <c r="B2902" s="6" t="n">
        <v>39.4</v>
      </c>
    </row>
    <row r="2903">
      <c r="A2903" t="inlineStr">
        <is>
          <t>CB</t>
        </is>
      </c>
      <c r="B2903" s="6" t="n">
        <v>91.7</v>
      </c>
    </row>
    <row r="2904">
      <c r="A2904" t="inlineStr">
        <is>
          <t>CB</t>
        </is>
      </c>
      <c r="B2904" s="6" t="n">
        <v>29.6</v>
      </c>
    </row>
    <row r="2905">
      <c r="A2905" t="inlineStr">
        <is>
          <t>CB</t>
        </is>
      </c>
      <c r="B2905" s="6" t="n">
        <v>29.6</v>
      </c>
    </row>
    <row r="2906">
      <c r="A2906" t="inlineStr">
        <is>
          <t>CB</t>
        </is>
      </c>
      <c r="B2906" s="6" t="n">
        <v>29.6</v>
      </c>
    </row>
    <row r="2907">
      <c r="A2907" t="inlineStr">
        <is>
          <t>CB</t>
        </is>
      </c>
      <c r="B2907" s="6" t="n">
        <v>29.7</v>
      </c>
    </row>
    <row r="2908">
      <c r="A2908" t="inlineStr">
        <is>
          <t>CB</t>
        </is>
      </c>
      <c r="B2908" s="6" t="n">
        <v>58.8</v>
      </c>
    </row>
    <row r="2909">
      <c r="A2909" t="inlineStr">
        <is>
          <t>TR</t>
        </is>
      </c>
      <c r="B2909" s="6" t="n">
        <v>37.2</v>
      </c>
    </row>
    <row r="2910">
      <c r="A2910" t="inlineStr">
        <is>
          <t>ESP</t>
        </is>
      </c>
      <c r="B2910" s="6" t="n">
        <v>4.3</v>
      </c>
    </row>
    <row r="2911">
      <c r="A2911" t="inlineStr">
        <is>
          <t>TR</t>
        </is>
      </c>
      <c r="B2911" s="6" t="n">
        <v>18.4</v>
      </c>
    </row>
    <row r="2912">
      <c r="A2912" t="inlineStr">
        <is>
          <t>CB</t>
        </is>
      </c>
      <c r="B2912" s="6" t="n">
        <v>31.1</v>
      </c>
    </row>
    <row r="2913">
      <c r="A2913" t="inlineStr">
        <is>
          <t>CB</t>
        </is>
      </c>
      <c r="B2913" s="6" t="n">
        <v>29.7</v>
      </c>
    </row>
    <row r="2914">
      <c r="A2914" t="inlineStr">
        <is>
          <t>CB</t>
        </is>
      </c>
      <c r="B2914" s="6" t="n">
        <v>131.6</v>
      </c>
    </row>
    <row r="2915">
      <c r="A2915" t="inlineStr">
        <is>
          <t>CB</t>
        </is>
      </c>
      <c r="B2915" s="6" t="n">
        <v>72.90000000000001</v>
      </c>
    </row>
    <row r="2916">
      <c r="A2916" t="inlineStr">
        <is>
          <t>CB</t>
        </is>
      </c>
      <c r="B2916" s="6" t="n">
        <v>79.40000000000001</v>
      </c>
    </row>
    <row r="2917">
      <c r="A2917" t="inlineStr">
        <is>
          <t>CB</t>
        </is>
      </c>
      <c r="B2917" s="6" t="n">
        <v>63</v>
      </c>
    </row>
    <row r="2918">
      <c r="A2918" t="inlineStr">
        <is>
          <t>CB</t>
        </is>
      </c>
      <c r="B2918" s="6" t="n">
        <v>73.8</v>
      </c>
    </row>
    <row r="2919">
      <c r="A2919" t="inlineStr">
        <is>
          <t>CB</t>
        </is>
      </c>
      <c r="B2919" s="6" t="n">
        <v>57.2</v>
      </c>
    </row>
    <row r="2920">
      <c r="A2920" t="inlineStr">
        <is>
          <t>CHV</t>
        </is>
      </c>
      <c r="B2920" s="6" t="n">
        <v>40</v>
      </c>
    </row>
    <row r="2921">
      <c r="A2921" t="inlineStr">
        <is>
          <t>ESP</t>
        </is>
      </c>
      <c r="B2921" s="6" t="n">
        <v>5</v>
      </c>
    </row>
    <row r="2922">
      <c r="A2922" t="inlineStr">
        <is>
          <t>CB</t>
        </is>
      </c>
      <c r="B2922" s="6" t="n">
        <v>12.2</v>
      </c>
    </row>
    <row r="2923">
      <c r="A2923" t="inlineStr">
        <is>
          <t>CB</t>
        </is>
      </c>
      <c r="B2923" s="6" t="n">
        <v>65.40000000000001</v>
      </c>
    </row>
    <row r="2924">
      <c r="A2924" t="inlineStr">
        <is>
          <t>CB</t>
        </is>
      </c>
      <c r="B2924" s="6" t="n">
        <v>68.7</v>
      </c>
    </row>
    <row r="2925">
      <c r="A2925" t="inlineStr">
        <is>
          <t>CB</t>
        </is>
      </c>
      <c r="B2925" s="6" t="n">
        <v>63.8</v>
      </c>
    </row>
    <row r="2926">
      <c r="A2926" t="inlineStr">
        <is>
          <t>CB</t>
        </is>
      </c>
      <c r="B2926" s="6" t="n">
        <v>84.09999999999999</v>
      </c>
    </row>
    <row r="2927">
      <c r="A2927" t="inlineStr">
        <is>
          <t>CB</t>
        </is>
      </c>
      <c r="B2927" s="6" t="n">
        <v>46.6</v>
      </c>
    </row>
    <row r="2928">
      <c r="A2928" t="inlineStr">
        <is>
          <t>CB</t>
        </is>
      </c>
      <c r="B2928" s="6" t="n">
        <v>53.7</v>
      </c>
    </row>
    <row r="2929">
      <c r="A2929" t="inlineStr">
        <is>
          <t>CB</t>
        </is>
      </c>
      <c r="B2929" s="6" t="n">
        <v>115.3</v>
      </c>
    </row>
    <row r="2930">
      <c r="A2930" t="inlineStr">
        <is>
          <t>CB</t>
        </is>
      </c>
      <c r="B2930" s="6" t="n">
        <v>65.2</v>
      </c>
    </row>
    <row r="2931">
      <c r="A2931" t="inlineStr">
        <is>
          <t>TR</t>
        </is>
      </c>
      <c r="B2931" s="6" t="n">
        <v>27</v>
      </c>
    </row>
    <row r="2932">
      <c r="A2932" t="inlineStr">
        <is>
          <t>TR</t>
        </is>
      </c>
      <c r="B2932" s="6" t="n">
        <v>9</v>
      </c>
    </row>
    <row r="2933">
      <c r="A2933" t="inlineStr">
        <is>
          <t>CB</t>
        </is>
      </c>
      <c r="B2933" s="6" t="n">
        <v>18</v>
      </c>
    </row>
    <row r="2934">
      <c r="A2934" t="inlineStr">
        <is>
          <t>TR</t>
        </is>
      </c>
      <c r="B2934" s="6" t="n">
        <v>9</v>
      </c>
    </row>
    <row r="2935">
      <c r="A2935" t="inlineStr">
        <is>
          <t>CB</t>
        </is>
      </c>
      <c r="B2935" s="6" t="n">
        <v>47.3</v>
      </c>
    </row>
    <row r="2936">
      <c r="A2936" t="inlineStr">
        <is>
          <t>CB</t>
        </is>
      </c>
      <c r="B2936" s="6" t="n">
        <v>60</v>
      </c>
    </row>
    <row r="2937">
      <c r="A2937" t="inlineStr">
        <is>
          <t>CB</t>
        </is>
      </c>
      <c r="B2937" s="6" t="n">
        <v>32.25</v>
      </c>
    </row>
    <row r="2938">
      <c r="A2938" t="inlineStr">
        <is>
          <t>CB</t>
        </is>
      </c>
      <c r="B2938" s="6" t="n">
        <v>38.3</v>
      </c>
    </row>
    <row r="2939">
      <c r="A2939" t="inlineStr">
        <is>
          <t>CB</t>
        </is>
      </c>
      <c r="B2939" s="6" t="n">
        <v>78.09999999999999</v>
      </c>
    </row>
    <row r="2940">
      <c r="A2940" t="inlineStr">
        <is>
          <t>CB</t>
        </is>
      </c>
      <c r="B2940" s="6" t="n">
        <v>83.3</v>
      </c>
    </row>
    <row r="2941">
      <c r="A2941" t="inlineStr">
        <is>
          <t>CHV</t>
        </is>
      </c>
      <c r="B2941" s="6" t="n">
        <v>95.3</v>
      </c>
    </row>
    <row r="2942">
      <c r="A2942" t="inlineStr">
        <is>
          <t>CB</t>
        </is>
      </c>
      <c r="B2942" s="6" t="n">
        <v>52.8</v>
      </c>
    </row>
    <row r="2943">
      <c r="A2943" t="inlineStr">
        <is>
          <t>CB</t>
        </is>
      </c>
      <c r="B2943" s="6" t="n">
        <v>71.05</v>
      </c>
    </row>
    <row r="2944">
      <c r="A2944" t="inlineStr">
        <is>
          <t>CB</t>
        </is>
      </c>
      <c r="B2944" s="6" t="n">
        <v>32.25</v>
      </c>
    </row>
    <row r="2945">
      <c r="A2945" t="inlineStr">
        <is>
          <t>CB</t>
        </is>
      </c>
      <c r="B2945" s="6" t="n">
        <v>82.40000000000001</v>
      </c>
    </row>
    <row r="2946">
      <c r="A2946" t="inlineStr">
        <is>
          <t>CB</t>
        </is>
      </c>
      <c r="B2946" s="6" t="n">
        <v>35.35</v>
      </c>
    </row>
    <row r="2947">
      <c r="A2947" t="inlineStr">
        <is>
          <t>CB</t>
        </is>
      </c>
      <c r="B2947" s="6" t="n">
        <v>52.1</v>
      </c>
    </row>
    <row r="2948">
      <c r="A2948" t="inlineStr">
        <is>
          <t>CB</t>
        </is>
      </c>
      <c r="B2948" s="6" t="n">
        <v>147.9</v>
      </c>
    </row>
    <row r="2949">
      <c r="A2949" t="inlineStr">
        <is>
          <t>CB</t>
        </is>
      </c>
      <c r="B2949" s="6" t="n">
        <v>46.9</v>
      </c>
    </row>
    <row r="2950">
      <c r="A2950" t="inlineStr">
        <is>
          <t>CB</t>
        </is>
      </c>
      <c r="B2950" s="6" t="n">
        <v>51.4</v>
      </c>
    </row>
    <row r="2951">
      <c r="A2951" t="inlineStr">
        <is>
          <t>CB</t>
        </is>
      </c>
      <c r="B2951" s="6" t="n">
        <v>134.8</v>
      </c>
    </row>
    <row r="2952">
      <c r="A2952" t="inlineStr">
        <is>
          <t>CB</t>
        </is>
      </c>
      <c r="B2952" s="6" t="n">
        <v>58.4</v>
      </c>
    </row>
    <row r="2953">
      <c r="A2953" t="inlineStr">
        <is>
          <t>TR</t>
        </is>
      </c>
      <c r="B2953" s="6" t="n">
        <v>37.92</v>
      </c>
    </row>
    <row r="2954">
      <c r="A2954" t="inlineStr">
        <is>
          <t>CB</t>
        </is>
      </c>
      <c r="B2954" s="6" t="n">
        <v>5.58</v>
      </c>
    </row>
    <row r="2955">
      <c r="A2955" t="inlineStr">
        <is>
          <t>TR</t>
        </is>
      </c>
      <c r="B2955" s="6" t="n">
        <v>93.5</v>
      </c>
    </row>
    <row r="2956">
      <c r="A2956" t="inlineStr">
        <is>
          <t>CB</t>
        </is>
      </c>
      <c r="B2956" s="6" t="n">
        <v>2.8</v>
      </c>
    </row>
    <row r="2957">
      <c r="A2957" t="inlineStr">
        <is>
          <t>CB</t>
        </is>
      </c>
      <c r="B2957" s="6" t="n">
        <v>78.5</v>
      </c>
    </row>
    <row r="2958">
      <c r="A2958" t="inlineStr">
        <is>
          <t>CB</t>
        </is>
      </c>
      <c r="B2958" s="6" t="n">
        <v>58</v>
      </c>
    </row>
    <row r="2959">
      <c r="A2959" t="inlineStr">
        <is>
          <t>CB</t>
        </is>
      </c>
      <c r="B2959" s="6" t="n">
        <v>43.6</v>
      </c>
    </row>
    <row r="2960">
      <c r="A2960" t="inlineStr">
        <is>
          <t>CB</t>
        </is>
      </c>
      <c r="B2960" s="6" t="n">
        <v>43.6</v>
      </c>
    </row>
    <row r="2961">
      <c r="A2961" t="inlineStr">
        <is>
          <t>CB</t>
        </is>
      </c>
      <c r="B2961" s="6" t="n">
        <v>43.8</v>
      </c>
    </row>
    <row r="2962">
      <c r="A2962" t="inlineStr">
        <is>
          <t>CB</t>
        </is>
      </c>
      <c r="B2962" s="6" t="n">
        <v>41.86</v>
      </c>
    </row>
    <row r="2963">
      <c r="A2963" t="inlineStr">
        <is>
          <t>CB</t>
        </is>
      </c>
      <c r="B2963" s="6" t="n">
        <v>41.86</v>
      </c>
    </row>
    <row r="2964">
      <c r="A2964" t="inlineStr">
        <is>
          <t>CB</t>
        </is>
      </c>
      <c r="B2964" s="6" t="n">
        <v>41.88</v>
      </c>
    </row>
    <row r="2965">
      <c r="A2965" t="inlineStr">
        <is>
          <t>CB</t>
        </is>
      </c>
      <c r="B2965" s="6" t="n">
        <v>71.05</v>
      </c>
    </row>
    <row r="2966">
      <c r="A2966" t="inlineStr">
        <is>
          <t>CB</t>
        </is>
      </c>
      <c r="B2966" s="6" t="n">
        <v>35.35</v>
      </c>
    </row>
    <row r="2967">
      <c r="A2967" t="inlineStr">
        <is>
          <t>CB</t>
        </is>
      </c>
      <c r="B2967" s="6" t="n">
        <v>50.8</v>
      </c>
    </row>
    <row r="2968">
      <c r="A2968" t="inlineStr">
        <is>
          <t>CB</t>
        </is>
      </c>
      <c r="B2968" s="6" t="n">
        <v>88.5</v>
      </c>
    </row>
    <row r="2969">
      <c r="A2969" t="inlineStr">
        <is>
          <t>CB</t>
        </is>
      </c>
      <c r="B2969" s="6" t="n">
        <v>43.1</v>
      </c>
    </row>
    <row r="2970">
      <c r="A2970" t="inlineStr">
        <is>
          <t>CB</t>
        </is>
      </c>
      <c r="B2970" s="6" t="n">
        <v>15.9</v>
      </c>
    </row>
    <row r="2971">
      <c r="A2971" t="inlineStr">
        <is>
          <t>CB</t>
        </is>
      </c>
      <c r="B2971" s="6" t="n">
        <v>66.40000000000001</v>
      </c>
    </row>
    <row r="2972">
      <c r="A2972" t="inlineStr">
        <is>
          <t>CB</t>
        </is>
      </c>
      <c r="B2972" s="6" t="n">
        <v>127.9</v>
      </c>
    </row>
    <row r="2973">
      <c r="A2973" t="inlineStr">
        <is>
          <t>CB</t>
        </is>
      </c>
      <c r="B2973" s="6" t="n">
        <v>41.6</v>
      </c>
    </row>
    <row r="2974">
      <c r="A2974" t="inlineStr">
        <is>
          <t>CB</t>
        </is>
      </c>
      <c r="B2974" s="6" t="n">
        <v>42.7</v>
      </c>
    </row>
    <row r="2975">
      <c r="A2975" t="inlineStr">
        <is>
          <t>CB</t>
        </is>
      </c>
      <c r="B2975" s="6" t="n">
        <v>66.8</v>
      </c>
    </row>
    <row r="2976">
      <c r="A2976" t="inlineStr">
        <is>
          <t>CB</t>
        </is>
      </c>
      <c r="B2976" s="6" t="n">
        <v>90</v>
      </c>
    </row>
    <row r="2977">
      <c r="A2977" t="inlineStr">
        <is>
          <t>CB</t>
        </is>
      </c>
      <c r="B2977" s="6" t="n">
        <v>37.1</v>
      </c>
    </row>
    <row r="2978">
      <c r="A2978" t="inlineStr">
        <is>
          <t>CB</t>
        </is>
      </c>
      <c r="B2978" s="6" t="n">
        <v>54.8</v>
      </c>
    </row>
    <row r="2979">
      <c r="A2979" t="inlineStr">
        <is>
          <t>CB</t>
        </is>
      </c>
      <c r="B2979" s="6" t="n">
        <v>107.6</v>
      </c>
    </row>
    <row r="2980">
      <c r="A2980" t="inlineStr">
        <is>
          <t>CB</t>
        </is>
      </c>
      <c r="B2980" s="6" t="n">
        <v>116.9</v>
      </c>
    </row>
    <row r="2981">
      <c r="A2981" t="inlineStr">
        <is>
          <t>CB</t>
        </is>
      </c>
      <c r="B2981" s="6" t="n">
        <v>71.09999999999999</v>
      </c>
    </row>
    <row r="2982">
      <c r="A2982" t="inlineStr">
        <is>
          <t>CB</t>
        </is>
      </c>
      <c r="B2982" s="6" t="n">
        <v>38.8</v>
      </c>
    </row>
    <row r="2983">
      <c r="A2983" t="inlineStr">
        <is>
          <t>CB</t>
        </is>
      </c>
      <c r="B2983" s="6" t="n">
        <v>37.1</v>
      </c>
    </row>
    <row r="2984">
      <c r="A2984" t="inlineStr">
        <is>
          <t>CB</t>
        </is>
      </c>
      <c r="B2984" s="6" t="n">
        <v>48.7</v>
      </c>
    </row>
    <row r="2985">
      <c r="A2985" t="inlineStr">
        <is>
          <t>CB</t>
        </is>
      </c>
      <c r="B2985" s="6" t="n">
        <v>51.4</v>
      </c>
    </row>
    <row r="2986">
      <c r="A2986" t="inlineStr">
        <is>
          <t>CB</t>
        </is>
      </c>
      <c r="B2986" s="6" t="n">
        <v>70.5</v>
      </c>
    </row>
    <row r="2987">
      <c r="A2987" t="inlineStr">
        <is>
          <t>CB</t>
        </is>
      </c>
      <c r="B2987" s="6" t="n">
        <v>109.1</v>
      </c>
    </row>
    <row r="2988">
      <c r="A2988" t="inlineStr">
        <is>
          <t>CB</t>
        </is>
      </c>
      <c r="B2988" s="6" t="n">
        <v>71.2</v>
      </c>
    </row>
    <row r="2989">
      <c r="A2989" t="inlineStr">
        <is>
          <t>CB</t>
        </is>
      </c>
      <c r="B2989" s="6" t="n">
        <v>133.8</v>
      </c>
    </row>
    <row r="2990">
      <c r="A2990" t="inlineStr">
        <is>
          <t>CB</t>
        </is>
      </c>
      <c r="B2990" s="6" t="n">
        <v>48.8</v>
      </c>
    </row>
    <row r="2991">
      <c r="A2991" t="inlineStr">
        <is>
          <t>CB</t>
        </is>
      </c>
      <c r="B2991" s="6" t="n">
        <v>80.09999999999999</v>
      </c>
    </row>
    <row r="2992">
      <c r="A2992" t="inlineStr">
        <is>
          <t>CB</t>
        </is>
      </c>
      <c r="B2992" s="6" t="n">
        <v>52.3</v>
      </c>
    </row>
    <row r="2993">
      <c r="A2993" t="inlineStr">
        <is>
          <t>CHQ</t>
        </is>
      </c>
      <c r="B2993" s="6" t="n">
        <v>52.6</v>
      </c>
    </row>
    <row r="2994">
      <c r="A2994" t="inlineStr">
        <is>
          <t>CB</t>
        </is>
      </c>
      <c r="B2994" s="6" t="n">
        <v>26.6</v>
      </c>
    </row>
    <row r="2995">
      <c r="A2995" t="inlineStr">
        <is>
          <t>TR</t>
        </is>
      </c>
      <c r="B2995" s="6" t="n">
        <v>95</v>
      </c>
    </row>
    <row r="2996">
      <c r="A2996" t="inlineStr">
        <is>
          <t>CHQ</t>
        </is>
      </c>
      <c r="B2996" s="6" t="n">
        <v>49.8</v>
      </c>
    </row>
    <row r="2997">
      <c r="A2997" t="inlineStr">
        <is>
          <t>CB</t>
        </is>
      </c>
      <c r="B2997" s="6" t="n">
        <v>79.7</v>
      </c>
    </row>
    <row r="2998">
      <c r="A2998" t="inlineStr">
        <is>
          <t>CB</t>
        </is>
      </c>
      <c r="B2998" s="6" t="n">
        <v>42.3</v>
      </c>
    </row>
    <row r="2999">
      <c r="A2999" t="inlineStr">
        <is>
          <t>CB</t>
        </is>
      </c>
      <c r="B2999" s="6" t="n">
        <v>71.8</v>
      </c>
    </row>
    <row r="3000">
      <c r="A3000" t="inlineStr">
        <is>
          <t>CB</t>
        </is>
      </c>
      <c r="B3000" s="6" t="n">
        <v>65</v>
      </c>
    </row>
    <row r="3001">
      <c r="A3001" t="inlineStr">
        <is>
          <t>CB</t>
        </is>
      </c>
      <c r="B3001" s="6" t="n">
        <v>41.3</v>
      </c>
    </row>
    <row r="3002">
      <c r="A3002" t="inlineStr">
        <is>
          <t>CB</t>
        </is>
      </c>
      <c r="B3002" s="6" t="n">
        <v>26.6</v>
      </c>
    </row>
    <row r="3003">
      <c r="A3003" t="inlineStr">
        <is>
          <t>CB</t>
        </is>
      </c>
      <c r="B3003" s="6" t="n">
        <v>34</v>
      </c>
    </row>
    <row r="3004">
      <c r="A3004" t="inlineStr">
        <is>
          <t>CB</t>
        </is>
      </c>
      <c r="B3004" s="6" t="n">
        <v>60.8</v>
      </c>
    </row>
    <row r="3005">
      <c r="A3005" t="inlineStr">
        <is>
          <t>CB</t>
        </is>
      </c>
      <c r="B3005" s="6" t="n">
        <v>34</v>
      </c>
    </row>
    <row r="3006">
      <c r="A3006" t="inlineStr">
        <is>
          <t>CB</t>
        </is>
      </c>
      <c r="B3006" s="6" t="n">
        <v>41.2</v>
      </c>
    </row>
    <row r="3007">
      <c r="A3007" t="inlineStr">
        <is>
          <t>CB</t>
        </is>
      </c>
      <c r="B3007" s="6" t="n">
        <v>77</v>
      </c>
    </row>
    <row r="3008">
      <c r="A3008" t="inlineStr">
        <is>
          <t>CHV</t>
        </is>
      </c>
      <c r="B3008" s="6" t="n">
        <v>50</v>
      </c>
    </row>
    <row r="3009">
      <c r="A3009" t="inlineStr">
        <is>
          <t>CB</t>
        </is>
      </c>
      <c r="B3009" s="6" t="n">
        <v>51.65</v>
      </c>
    </row>
    <row r="3010">
      <c r="A3010" t="inlineStr">
        <is>
          <t>ESP</t>
        </is>
      </c>
      <c r="B3010" s="6" t="n">
        <v>1.65</v>
      </c>
    </row>
    <row r="3011">
      <c r="A3011" t="inlineStr">
        <is>
          <t>CB</t>
        </is>
      </c>
      <c r="B3011" s="6" t="n">
        <v>42.4</v>
      </c>
    </row>
    <row r="3012">
      <c r="A3012" t="inlineStr">
        <is>
          <t>CB</t>
        </is>
      </c>
      <c r="B3012" s="6" t="n">
        <v>44.8</v>
      </c>
    </row>
    <row r="3013">
      <c r="A3013" t="inlineStr">
        <is>
          <t>CB</t>
        </is>
      </c>
      <c r="B3013" s="6" t="n">
        <v>61</v>
      </c>
    </row>
    <row r="3014">
      <c r="A3014" t="inlineStr">
        <is>
          <t>CB</t>
        </is>
      </c>
      <c r="B3014" s="6" t="n">
        <v>40.5</v>
      </c>
    </row>
    <row r="3015">
      <c r="A3015" t="inlineStr">
        <is>
          <t>CB</t>
        </is>
      </c>
      <c r="B3015" s="6" t="n">
        <v>79</v>
      </c>
    </row>
    <row r="3016">
      <c r="A3016" t="inlineStr">
        <is>
          <t>CB</t>
        </is>
      </c>
      <c r="B3016" s="6" t="n">
        <v>35.7</v>
      </c>
    </row>
    <row r="3017">
      <c r="A3017" t="inlineStr">
        <is>
          <t>CB</t>
        </is>
      </c>
      <c r="B3017" s="6" t="n">
        <v>47</v>
      </c>
    </row>
    <row r="3018">
      <c r="A3018" t="inlineStr">
        <is>
          <t>CHV</t>
        </is>
      </c>
      <c r="B3018" s="6" t="n">
        <v>40</v>
      </c>
    </row>
    <row r="3019">
      <c r="A3019" t="inlineStr">
        <is>
          <t>CB</t>
        </is>
      </c>
      <c r="B3019" s="6" t="n">
        <v>11.1</v>
      </c>
    </row>
    <row r="3020">
      <c r="A3020" t="inlineStr">
        <is>
          <t>CB</t>
        </is>
      </c>
      <c r="B3020" s="6" t="n">
        <v>223.4</v>
      </c>
    </row>
    <row r="3021">
      <c r="A3021" t="inlineStr">
        <is>
          <t>CB</t>
        </is>
      </c>
      <c r="B3021" s="6" t="n">
        <v>31.65</v>
      </c>
    </row>
    <row r="3022">
      <c r="A3022" t="inlineStr">
        <is>
          <t>CB</t>
        </is>
      </c>
      <c r="B3022" s="6" t="n">
        <v>54.1</v>
      </c>
    </row>
    <row r="3023">
      <c r="A3023" t="inlineStr">
        <is>
          <t>CB</t>
        </is>
      </c>
      <c r="B3023" s="6" t="n">
        <v>19.8</v>
      </c>
    </row>
    <row r="3024">
      <c r="A3024" t="inlineStr">
        <is>
          <t>CB</t>
        </is>
      </c>
      <c r="B3024" s="6" t="n">
        <v>47.7</v>
      </c>
    </row>
    <row r="3025">
      <c r="A3025" t="inlineStr">
        <is>
          <t>CB</t>
        </is>
      </c>
      <c r="B3025" s="6" t="n">
        <v>33.7</v>
      </c>
    </row>
    <row r="3026">
      <c r="A3026" t="inlineStr">
        <is>
          <t>CB</t>
        </is>
      </c>
      <c r="B3026" s="6" t="n">
        <v>21.1</v>
      </c>
    </row>
    <row r="3027">
      <c r="A3027" t="inlineStr">
        <is>
          <t>CB</t>
        </is>
      </c>
      <c r="B3027" s="6" t="n">
        <v>31.65</v>
      </c>
    </row>
    <row r="3028">
      <c r="A3028" t="inlineStr">
        <is>
          <t>TR</t>
        </is>
      </c>
      <c r="B3028" s="6" t="n">
        <v>65</v>
      </c>
    </row>
    <row r="3029">
      <c r="A3029" t="inlineStr">
        <is>
          <t>TR</t>
        </is>
      </c>
      <c r="B3029" s="6" t="n">
        <v>4.9</v>
      </c>
    </row>
    <row r="3030">
      <c r="A3030" t="inlineStr">
        <is>
          <t>CB</t>
        </is>
      </c>
      <c r="B3030" s="6" t="n">
        <v>129.5</v>
      </c>
    </row>
    <row r="3031">
      <c r="A3031" t="inlineStr">
        <is>
          <t>CB</t>
        </is>
      </c>
      <c r="B3031" s="6" t="n">
        <v>26.37</v>
      </c>
    </row>
    <row r="3032">
      <c r="A3032" t="inlineStr">
        <is>
          <t>CB</t>
        </is>
      </c>
      <c r="B3032" s="6" t="n">
        <v>26.37</v>
      </c>
    </row>
    <row r="3033">
      <c r="A3033" t="inlineStr">
        <is>
          <t>CB</t>
        </is>
      </c>
      <c r="B3033" s="6" t="n">
        <v>25.37</v>
      </c>
    </row>
    <row r="3034">
      <c r="A3034" t="inlineStr">
        <is>
          <t>CB</t>
        </is>
      </c>
      <c r="B3034" s="6" t="n">
        <v>25.39</v>
      </c>
    </row>
    <row r="3035">
      <c r="A3035" t="inlineStr">
        <is>
          <t>ESP</t>
        </is>
      </c>
      <c r="B3035" s="6" t="n">
        <v>2</v>
      </c>
    </row>
    <row r="3036">
      <c r="A3036" t="inlineStr">
        <is>
          <t>CB</t>
        </is>
      </c>
      <c r="B3036" s="6" t="n">
        <v>102.2</v>
      </c>
    </row>
    <row r="3037">
      <c r="A3037" t="inlineStr">
        <is>
          <t>CB</t>
        </is>
      </c>
      <c r="B3037" s="6" t="n">
        <v>106.2</v>
      </c>
    </row>
    <row r="3038">
      <c r="A3038" t="inlineStr">
        <is>
          <t>CB</t>
        </is>
      </c>
      <c r="B3038" s="6" t="n">
        <v>39.4</v>
      </c>
    </row>
    <row r="3039">
      <c r="A3039" t="inlineStr">
        <is>
          <t>CB</t>
        </is>
      </c>
      <c r="B3039" s="6" t="n">
        <v>72</v>
      </c>
    </row>
    <row r="3040">
      <c r="A3040" t="inlineStr">
        <is>
          <t>CB</t>
        </is>
      </c>
      <c r="B3040" s="6" t="n">
        <v>73.8</v>
      </c>
    </row>
    <row r="3041">
      <c r="A3041" t="inlineStr">
        <is>
          <t>CB</t>
        </is>
      </c>
      <c r="B3041" s="6" t="n">
        <v>99.3</v>
      </c>
    </row>
    <row r="3042">
      <c r="A3042" t="inlineStr">
        <is>
          <t>CB</t>
        </is>
      </c>
      <c r="B3042" s="6" t="n">
        <v>90.5</v>
      </c>
    </row>
    <row r="3043">
      <c r="A3043" t="inlineStr">
        <is>
          <t>CHV</t>
        </is>
      </c>
      <c r="B3043" s="6" t="n">
        <v>30</v>
      </c>
    </row>
    <row r="3044">
      <c r="A3044" t="inlineStr">
        <is>
          <t>CB</t>
        </is>
      </c>
      <c r="B3044" s="6" t="n">
        <v>24.8</v>
      </c>
    </row>
    <row r="3045">
      <c r="A3045" t="inlineStr">
        <is>
          <t>CB</t>
        </is>
      </c>
      <c r="B3045" s="6" t="n">
        <v>83.8</v>
      </c>
    </row>
    <row r="3046">
      <c r="A3046" t="inlineStr">
        <is>
          <t>CB</t>
        </is>
      </c>
      <c r="B3046" s="6" t="n">
        <v>24.2</v>
      </c>
    </row>
    <row r="3047">
      <c r="A3047" t="inlineStr">
        <is>
          <t>CB</t>
        </is>
      </c>
      <c r="B3047" s="6" t="n">
        <v>24.2</v>
      </c>
    </row>
    <row r="3048">
      <c r="A3048" t="inlineStr">
        <is>
          <t>CB</t>
        </is>
      </c>
      <c r="B3048" s="6" t="n">
        <v>24.2</v>
      </c>
    </row>
    <row r="3049">
      <c r="A3049" t="inlineStr">
        <is>
          <t>CB</t>
        </is>
      </c>
      <c r="B3049" s="6" t="n">
        <v>24.2</v>
      </c>
    </row>
    <row r="3050">
      <c r="A3050" t="inlineStr">
        <is>
          <t>CB</t>
        </is>
      </c>
      <c r="B3050" s="6" t="n">
        <v>75.2</v>
      </c>
    </row>
    <row r="3051">
      <c r="A3051" t="inlineStr">
        <is>
          <t>CHV</t>
        </is>
      </c>
      <c r="B3051" s="6" t="n">
        <v>19</v>
      </c>
    </row>
    <row r="3052">
      <c r="A3052" t="inlineStr">
        <is>
          <t>CB</t>
        </is>
      </c>
      <c r="B3052" s="6" t="n">
        <v>53.2</v>
      </c>
    </row>
    <row r="3053">
      <c r="A3053" t="inlineStr">
        <is>
          <t>CB</t>
        </is>
      </c>
      <c r="B3053" s="6" t="n">
        <v>69</v>
      </c>
    </row>
    <row r="3054">
      <c r="A3054" t="inlineStr">
        <is>
          <t>CB</t>
        </is>
      </c>
      <c r="B3054" s="6" t="n">
        <v>69.40000000000001</v>
      </c>
    </row>
    <row r="3055">
      <c r="A3055" t="inlineStr">
        <is>
          <t>CB</t>
        </is>
      </c>
      <c r="B3055" s="6" t="n">
        <v>65.2</v>
      </c>
    </row>
    <row r="3056">
      <c r="A3056" t="inlineStr">
        <is>
          <t>CB</t>
        </is>
      </c>
      <c r="B3056" s="6" t="n">
        <v>74.2</v>
      </c>
    </row>
    <row r="3057">
      <c r="A3057" t="inlineStr">
        <is>
          <t>TR</t>
        </is>
      </c>
      <c r="B3057" s="6" t="n">
        <v>45</v>
      </c>
    </row>
    <row r="3058">
      <c r="A3058" t="inlineStr">
        <is>
          <t>CB</t>
        </is>
      </c>
      <c r="B3058" s="6" t="n">
        <v>75.3</v>
      </c>
    </row>
    <row r="3059">
      <c r="A3059" t="inlineStr">
        <is>
          <t>CB</t>
        </is>
      </c>
      <c r="B3059" s="6" t="n">
        <v>39.6</v>
      </c>
    </row>
    <row r="3060">
      <c r="A3060" t="inlineStr">
        <is>
          <t>CB</t>
        </is>
      </c>
      <c r="B3060" s="6" t="n">
        <v>36.5</v>
      </c>
    </row>
    <row r="3061">
      <c r="A3061" t="inlineStr">
        <is>
          <t>CB</t>
        </is>
      </c>
      <c r="B3061" s="6" t="n">
        <v>16.61</v>
      </c>
    </row>
    <row r="3062">
      <c r="A3062" t="inlineStr">
        <is>
          <t>CB</t>
        </is>
      </c>
      <c r="B3062" s="6" t="n">
        <v>16.61</v>
      </c>
    </row>
    <row r="3063">
      <c r="A3063" t="inlineStr">
        <is>
          <t>CB</t>
        </is>
      </c>
      <c r="B3063" s="6" t="n">
        <v>16.61</v>
      </c>
    </row>
    <row r="3064">
      <c r="A3064" t="inlineStr">
        <is>
          <t>CB</t>
        </is>
      </c>
      <c r="B3064" s="6" t="n">
        <v>16.61</v>
      </c>
    </row>
    <row r="3065">
      <c r="A3065" t="inlineStr">
        <is>
          <t>CB</t>
        </is>
      </c>
      <c r="B3065" s="6" t="n">
        <v>16.61</v>
      </c>
    </row>
    <row r="3066">
      <c r="A3066" t="inlineStr">
        <is>
          <t>CB</t>
        </is>
      </c>
      <c r="B3066" s="6" t="n">
        <v>16.65</v>
      </c>
    </row>
    <row r="3067">
      <c r="A3067" t="inlineStr">
        <is>
          <t>CHV</t>
        </is>
      </c>
      <c r="B3067" s="6" t="n">
        <v>100</v>
      </c>
    </row>
    <row r="3068">
      <c r="A3068" t="inlineStr">
        <is>
          <t>CHQ</t>
        </is>
      </c>
      <c r="B3068" s="6" t="n">
        <v>48.5</v>
      </c>
    </row>
    <row r="3069">
      <c r="A3069" t="inlineStr">
        <is>
          <t>CB</t>
        </is>
      </c>
      <c r="B3069" s="6" t="n">
        <v>66.59999999999999</v>
      </c>
    </row>
    <row r="3070">
      <c r="A3070" t="inlineStr">
        <is>
          <t>CB</t>
        </is>
      </c>
      <c r="B3070" s="6" t="n">
        <v>78.09999999999999</v>
      </c>
    </row>
    <row r="3071">
      <c r="A3071" t="inlineStr">
        <is>
          <t>CB</t>
        </is>
      </c>
      <c r="B3071" s="6" t="n">
        <v>45.3</v>
      </c>
    </row>
    <row r="3072">
      <c r="A3072" t="inlineStr">
        <is>
          <t>CB</t>
        </is>
      </c>
      <c r="B3072" s="6" t="n">
        <v>46.1</v>
      </c>
    </row>
    <row r="3073">
      <c r="A3073" t="inlineStr">
        <is>
          <t>CB</t>
        </is>
      </c>
      <c r="B3073" s="6" t="n">
        <v>99.7</v>
      </c>
    </row>
    <row r="3074">
      <c r="A3074" t="inlineStr">
        <is>
          <t>CB</t>
        </is>
      </c>
      <c r="B3074" s="6" t="n">
        <v>104.9</v>
      </c>
    </row>
    <row r="3075">
      <c r="A3075" t="inlineStr">
        <is>
          <t>CB</t>
        </is>
      </c>
      <c r="B3075" s="6" t="n">
        <v>78.2</v>
      </c>
    </row>
    <row r="3076">
      <c r="A3076" t="inlineStr">
        <is>
          <t>CHV</t>
        </is>
      </c>
      <c r="B3076" s="6" t="n">
        <v>90</v>
      </c>
    </row>
    <row r="3077">
      <c r="A3077" t="inlineStr">
        <is>
          <t>ESP</t>
        </is>
      </c>
      <c r="B3077" s="6" t="n">
        <v>6.4</v>
      </c>
    </row>
    <row r="3078">
      <c r="A3078" t="inlineStr">
        <is>
          <t>CB</t>
        </is>
      </c>
      <c r="B3078" s="6" t="n">
        <v>88.90000000000001</v>
      </c>
    </row>
    <row r="3079">
      <c r="A3079" t="inlineStr">
        <is>
          <t>CB</t>
        </is>
      </c>
      <c r="B3079" s="6" t="n">
        <v>147.8</v>
      </c>
    </row>
    <row r="3080">
      <c r="A3080" t="inlineStr">
        <is>
          <t>CB</t>
        </is>
      </c>
      <c r="B3080" s="6" t="n">
        <v>81.8</v>
      </c>
    </row>
    <row r="3081">
      <c r="A3081" t="inlineStr">
        <is>
          <t>CB</t>
        </is>
      </c>
      <c r="B3081" s="6" t="n">
        <v>78</v>
      </c>
    </row>
    <row r="3082">
      <c r="A3082" t="inlineStr">
        <is>
          <t>CB</t>
        </is>
      </c>
      <c r="B3082" s="6" t="n">
        <v>52.8</v>
      </c>
    </row>
    <row r="3083">
      <c r="A3083" t="inlineStr">
        <is>
          <t>CHV</t>
        </is>
      </c>
      <c r="B3083" s="6" t="n">
        <v>40</v>
      </c>
    </row>
    <row r="3084">
      <c r="A3084" t="inlineStr">
        <is>
          <t>CB</t>
        </is>
      </c>
      <c r="B3084" s="6" t="n">
        <v>19.8</v>
      </c>
    </row>
    <row r="3085">
      <c r="A3085" t="inlineStr">
        <is>
          <t>CB</t>
        </is>
      </c>
      <c r="B3085" s="6" t="n">
        <v>84.59999999999999</v>
      </c>
    </row>
    <row r="3086">
      <c r="A3086" t="inlineStr">
        <is>
          <t>CB</t>
        </is>
      </c>
      <c r="B3086" s="6" t="n">
        <v>119.1</v>
      </c>
    </row>
    <row r="3087">
      <c r="A3087" t="inlineStr">
        <is>
          <t>CB</t>
        </is>
      </c>
      <c r="B3087" s="6" t="n">
        <v>115.9</v>
      </c>
    </row>
    <row r="3088">
      <c r="A3088" t="inlineStr">
        <is>
          <t>CB</t>
        </is>
      </c>
      <c r="B3088" s="6" t="n">
        <v>51.13</v>
      </c>
    </row>
    <row r="3089">
      <c r="A3089" t="inlineStr">
        <is>
          <t>CB</t>
        </is>
      </c>
      <c r="B3089" s="6" t="n">
        <v>51.13</v>
      </c>
    </row>
    <row r="3090">
      <c r="A3090" t="inlineStr">
        <is>
          <t>CB</t>
        </is>
      </c>
      <c r="B3090" s="6" t="n">
        <v>51.14</v>
      </c>
    </row>
    <row r="3091">
      <c r="A3091" t="inlineStr">
        <is>
          <t>CB</t>
        </is>
      </c>
      <c r="B3091" s="6" t="n">
        <v>79.90000000000001</v>
      </c>
    </row>
    <row r="3092">
      <c r="A3092" t="inlineStr">
        <is>
          <t>CB</t>
        </is>
      </c>
      <c r="B3092" s="6" t="n">
        <v>28.5</v>
      </c>
    </row>
    <row r="3093">
      <c r="A3093" t="inlineStr">
        <is>
          <t>CB</t>
        </is>
      </c>
      <c r="B3093" s="6" t="n">
        <v>45.5</v>
      </c>
    </row>
    <row r="3094">
      <c r="A3094" t="inlineStr">
        <is>
          <t>CB</t>
        </is>
      </c>
      <c r="B3094" s="6" t="n">
        <v>101.6</v>
      </c>
    </row>
    <row r="3095">
      <c r="A3095" t="inlineStr">
        <is>
          <t>CB</t>
        </is>
      </c>
      <c r="B3095" s="6" t="n">
        <v>45.2</v>
      </c>
    </row>
    <row r="3096">
      <c r="A3096" t="inlineStr">
        <is>
          <t>CHV</t>
        </is>
      </c>
      <c r="B3096" s="6" t="n">
        <v>40</v>
      </c>
    </row>
    <row r="3097">
      <c r="A3097" t="inlineStr">
        <is>
          <t>CB</t>
        </is>
      </c>
      <c r="B3097" s="6" t="n">
        <v>37.5</v>
      </c>
    </row>
    <row r="3098">
      <c r="A3098" t="inlineStr">
        <is>
          <t>CHV</t>
        </is>
      </c>
      <c r="B3098" s="6" t="n">
        <v>59.5</v>
      </c>
    </row>
    <row r="3099">
      <c r="A3099" t="inlineStr">
        <is>
          <t>CB</t>
        </is>
      </c>
      <c r="B3099" s="6" t="n">
        <v>106.5</v>
      </c>
    </row>
    <row r="3100">
      <c r="A3100" t="inlineStr">
        <is>
          <t>CB</t>
        </is>
      </c>
      <c r="B3100" s="6" t="n">
        <v>78.09999999999999</v>
      </c>
    </row>
    <row r="3101">
      <c r="A3101" t="inlineStr">
        <is>
          <t>CB</t>
        </is>
      </c>
      <c r="B3101" s="6" t="n">
        <v>110.4</v>
      </c>
    </row>
    <row r="3102">
      <c r="A3102" t="inlineStr">
        <is>
          <t>CB</t>
        </is>
      </c>
      <c r="B3102" s="6" t="n">
        <v>61.2</v>
      </c>
    </row>
    <row r="3103">
      <c r="A3103" t="inlineStr">
        <is>
          <t>CB</t>
        </is>
      </c>
      <c r="B3103" s="6" t="n">
        <v>74.3</v>
      </c>
    </row>
    <row r="3104">
      <c r="A3104" t="inlineStr">
        <is>
          <t>CB</t>
        </is>
      </c>
      <c r="B3104" s="6" t="n">
        <v>54.7</v>
      </c>
    </row>
    <row r="3105">
      <c r="A3105" t="inlineStr">
        <is>
          <t>CB</t>
        </is>
      </c>
      <c r="B3105" s="6" t="n">
        <v>90</v>
      </c>
    </row>
    <row r="3106">
      <c r="A3106" t="inlineStr">
        <is>
          <t>CB</t>
        </is>
      </c>
      <c r="B3106" s="6" t="n">
        <v>71</v>
      </c>
    </row>
    <row r="3107">
      <c r="A3107" t="inlineStr">
        <is>
          <t>CB</t>
        </is>
      </c>
      <c r="B3107" s="6" t="n">
        <v>48.8</v>
      </c>
    </row>
    <row r="3108">
      <c r="A3108" t="inlineStr">
        <is>
          <t>TR</t>
        </is>
      </c>
      <c r="B3108" s="6" t="n">
        <v>9</v>
      </c>
    </row>
    <row r="3109">
      <c r="A3109" t="inlineStr">
        <is>
          <t>CB</t>
        </is>
      </c>
      <c r="B3109" s="6" t="n">
        <v>27</v>
      </c>
    </row>
    <row r="3110">
      <c r="A3110" t="inlineStr">
        <is>
          <t>CB</t>
        </is>
      </c>
      <c r="B3110" s="6" t="n">
        <v>36</v>
      </c>
    </row>
    <row r="3111">
      <c r="A3111" t="inlineStr">
        <is>
          <t>CB</t>
        </is>
      </c>
      <c r="B3111" s="6" t="n">
        <v>36</v>
      </c>
    </row>
    <row r="3112">
      <c r="A3112" t="inlineStr">
        <is>
          <t>CB</t>
        </is>
      </c>
      <c r="B3112" s="6" t="n">
        <v>36.3</v>
      </c>
    </row>
    <row r="3113">
      <c r="A3113" t="inlineStr">
        <is>
          <t>CB</t>
        </is>
      </c>
      <c r="B3113" s="6" t="n">
        <v>30.2</v>
      </c>
    </row>
    <row r="3114">
      <c r="A3114" t="inlineStr">
        <is>
          <t>CB</t>
        </is>
      </c>
      <c r="B3114" s="6" t="n">
        <v>28.7</v>
      </c>
    </row>
    <row r="3115">
      <c r="A3115" t="inlineStr">
        <is>
          <t>CB</t>
        </is>
      </c>
      <c r="B3115" s="6" t="n">
        <v>64.59999999999999</v>
      </c>
    </row>
    <row r="3116">
      <c r="A3116" t="inlineStr">
        <is>
          <t>CB</t>
        </is>
      </c>
      <c r="B3116" s="6" t="n">
        <v>63.7</v>
      </c>
    </row>
    <row r="3117">
      <c r="A3117" t="inlineStr">
        <is>
          <t>TR</t>
        </is>
      </c>
      <c r="B3117" s="6" t="n">
        <v>60.3</v>
      </c>
    </row>
    <row r="3118">
      <c r="A3118" t="inlineStr">
        <is>
          <t>CB</t>
        </is>
      </c>
      <c r="B3118" s="6" t="n">
        <v>59.6</v>
      </c>
    </row>
    <row r="3119">
      <c r="A3119" t="inlineStr">
        <is>
          <t>CB</t>
        </is>
      </c>
      <c r="B3119" s="6" t="n">
        <v>87.90000000000001</v>
      </c>
    </row>
    <row r="3120">
      <c r="A3120" t="inlineStr">
        <is>
          <t>CB</t>
        </is>
      </c>
      <c r="B3120" s="6" t="n">
        <v>31.6</v>
      </c>
    </row>
    <row r="3121">
      <c r="A3121" t="inlineStr">
        <is>
          <t>CB</t>
        </is>
      </c>
      <c r="B3121" s="6" t="n">
        <v>57.2</v>
      </c>
    </row>
    <row r="3122">
      <c r="A3122" t="inlineStr">
        <is>
          <t>CB</t>
        </is>
      </c>
      <c r="B3122" s="6" t="n">
        <v>95.3</v>
      </c>
    </row>
    <row r="3123">
      <c r="A3123" t="inlineStr">
        <is>
          <t>CB</t>
        </is>
      </c>
      <c r="B3123" s="6" t="n">
        <v>110.2</v>
      </c>
    </row>
    <row r="3124">
      <c r="A3124" t="inlineStr">
        <is>
          <t>CB</t>
        </is>
      </c>
      <c r="B3124" s="6" t="n">
        <v>56.7</v>
      </c>
    </row>
    <row r="3125">
      <c r="A3125" t="inlineStr">
        <is>
          <t>CHV</t>
        </is>
      </c>
      <c r="B3125" s="6" t="n">
        <v>60</v>
      </c>
    </row>
    <row r="3126">
      <c r="A3126" t="inlineStr">
        <is>
          <t>CB</t>
        </is>
      </c>
      <c r="B3126" s="6" t="n">
        <v>9.1</v>
      </c>
    </row>
    <row r="3127">
      <c r="A3127" t="inlineStr">
        <is>
          <t>CB</t>
        </is>
      </c>
      <c r="B3127" s="6" t="n">
        <v>105.6</v>
      </c>
    </row>
    <row r="3128">
      <c r="A3128" t="inlineStr">
        <is>
          <t>CB</t>
        </is>
      </c>
      <c r="B3128" s="6" t="n">
        <v>27.4</v>
      </c>
    </row>
    <row r="3129">
      <c r="A3129" t="inlineStr">
        <is>
          <t>CB</t>
        </is>
      </c>
      <c r="B3129" s="6" t="n">
        <v>31.6</v>
      </c>
    </row>
    <row r="3130">
      <c r="A3130" t="inlineStr">
        <is>
          <t>CB</t>
        </is>
      </c>
      <c r="B3130" s="6" t="n">
        <v>76</v>
      </c>
    </row>
    <row r="3131">
      <c r="A3131" t="inlineStr">
        <is>
          <t>CB</t>
        </is>
      </c>
      <c r="B3131" s="6" t="n">
        <v>97.8</v>
      </c>
    </row>
    <row r="3132">
      <c r="A3132" t="inlineStr">
        <is>
          <t>CB</t>
        </is>
      </c>
      <c r="B3132" s="6" t="n">
        <v>77.8</v>
      </c>
    </row>
    <row r="3133">
      <c r="A3133" t="inlineStr">
        <is>
          <t>CB</t>
        </is>
      </c>
      <c r="B3133" s="6" t="n">
        <v>34.7</v>
      </c>
    </row>
    <row r="3134">
      <c r="A3134" t="inlineStr">
        <is>
          <t>CB</t>
        </is>
      </c>
      <c r="B3134" s="6" t="n">
        <v>29.3</v>
      </c>
    </row>
    <row r="3135">
      <c r="A3135" t="inlineStr">
        <is>
          <t>CB</t>
        </is>
      </c>
      <c r="B3135" s="6" t="n">
        <v>63.5</v>
      </c>
    </row>
    <row r="3136">
      <c r="A3136" t="inlineStr">
        <is>
          <t>CB</t>
        </is>
      </c>
      <c r="B3136" s="6" t="n">
        <v>68.8</v>
      </c>
    </row>
    <row r="3137">
      <c r="A3137" t="inlineStr">
        <is>
          <t>CB</t>
        </is>
      </c>
      <c r="B3137" s="6" t="n">
        <v>64</v>
      </c>
    </row>
    <row r="3138">
      <c r="A3138" t="inlineStr">
        <is>
          <t>CB</t>
        </is>
      </c>
      <c r="B3138" s="6" t="n">
        <v>23.35</v>
      </c>
    </row>
    <row r="3139">
      <c r="A3139" t="inlineStr">
        <is>
          <t>CHV</t>
        </is>
      </c>
      <c r="B3139" s="6" t="n">
        <v>50</v>
      </c>
    </row>
    <row r="3140">
      <c r="A3140" t="inlineStr">
        <is>
          <t>CB</t>
        </is>
      </c>
      <c r="B3140" s="6" t="n">
        <v>3.8</v>
      </c>
    </row>
    <row r="3141">
      <c r="A3141" t="inlineStr">
        <is>
          <t>CB</t>
        </is>
      </c>
      <c r="B3141" s="6" t="n">
        <v>114.7</v>
      </c>
    </row>
    <row r="3142">
      <c r="A3142" t="inlineStr">
        <is>
          <t>CB</t>
        </is>
      </c>
      <c r="B3142" s="6" t="n">
        <v>52.3</v>
      </c>
    </row>
    <row r="3143">
      <c r="A3143" t="inlineStr">
        <is>
          <t>CB</t>
        </is>
      </c>
      <c r="B3143" s="6" t="n">
        <v>83.8</v>
      </c>
    </row>
    <row r="3144">
      <c r="A3144" t="inlineStr">
        <is>
          <t>CB</t>
        </is>
      </c>
      <c r="B3144" s="6" t="n">
        <v>64.59999999999999</v>
      </c>
    </row>
    <row r="3145">
      <c r="A3145" t="inlineStr">
        <is>
          <t>CB</t>
        </is>
      </c>
      <c r="B3145" s="6" t="n">
        <v>58.4</v>
      </c>
    </row>
    <row r="3146">
      <c r="A3146" t="inlineStr">
        <is>
          <t>CB</t>
        </is>
      </c>
      <c r="B3146" s="6" t="n">
        <v>62.1</v>
      </c>
    </row>
    <row r="3147">
      <c r="A3147" t="inlineStr">
        <is>
          <t>CB</t>
        </is>
      </c>
      <c r="B3147" s="6" t="n">
        <v>97.7</v>
      </c>
    </row>
    <row r="3148">
      <c r="A3148" t="inlineStr">
        <is>
          <t>CB</t>
        </is>
      </c>
      <c r="B3148" s="6" t="n">
        <v>63.3</v>
      </c>
    </row>
    <row r="3149">
      <c r="A3149" t="inlineStr">
        <is>
          <t>CB</t>
        </is>
      </c>
      <c r="B3149" s="6" t="n">
        <v>131.2</v>
      </c>
    </row>
    <row r="3150">
      <c r="A3150" t="inlineStr">
        <is>
          <t>CB</t>
        </is>
      </c>
      <c r="B3150" s="6" t="n">
        <v>57.9</v>
      </c>
    </row>
    <row r="3151">
      <c r="A3151" t="inlineStr">
        <is>
          <t>CB</t>
        </is>
      </c>
      <c r="B3151" s="6" t="n">
        <v>23.35</v>
      </c>
    </row>
    <row r="3152">
      <c r="A3152" t="inlineStr">
        <is>
          <t>CB</t>
        </is>
      </c>
      <c r="B3152" s="6" t="n">
        <v>58.5</v>
      </c>
    </row>
    <row r="3153">
      <c r="A3153" t="inlineStr">
        <is>
          <t>CB</t>
        </is>
      </c>
      <c r="B3153" s="6" t="n">
        <v>86.8</v>
      </c>
    </row>
    <row r="3154">
      <c r="A3154" t="inlineStr">
        <is>
          <t>CB</t>
        </is>
      </c>
      <c r="B3154" s="6" t="n">
        <v>65</v>
      </c>
    </row>
    <row r="3155">
      <c r="A3155" t="inlineStr">
        <is>
          <t>CB</t>
        </is>
      </c>
      <c r="B3155" s="6" t="n">
        <v>97.3</v>
      </c>
    </row>
    <row r="3156">
      <c r="A3156" t="inlineStr">
        <is>
          <t>CB</t>
        </is>
      </c>
      <c r="B3156" s="6" t="n">
        <v>129.9</v>
      </c>
    </row>
    <row r="3157">
      <c r="A3157" t="inlineStr">
        <is>
          <t>CB</t>
        </is>
      </c>
      <c r="B3157" s="6" t="n">
        <v>116.9</v>
      </c>
    </row>
    <row r="3158">
      <c r="A3158" t="inlineStr">
        <is>
          <t>CB</t>
        </is>
      </c>
      <c r="B3158" s="6" t="n">
        <v>61.2</v>
      </c>
    </row>
    <row r="3159">
      <c r="A3159" t="inlineStr">
        <is>
          <t>CHV</t>
        </is>
      </c>
      <c r="B3159" s="6" t="n">
        <v>69.7</v>
      </c>
    </row>
    <row r="3160">
      <c r="A3160" t="inlineStr">
        <is>
          <t>CB</t>
        </is>
      </c>
      <c r="B3160" s="6" t="n">
        <v>45.2</v>
      </c>
    </row>
    <row r="3161">
      <c r="A3161" t="inlineStr">
        <is>
          <t>CB</t>
        </is>
      </c>
      <c r="B3161" s="6" t="n">
        <v>81.59999999999999</v>
      </c>
    </row>
    <row r="3162">
      <c r="A3162" t="inlineStr">
        <is>
          <t>CB</t>
        </is>
      </c>
      <c r="B3162" s="6" t="n">
        <v>80.3</v>
      </c>
    </row>
    <row r="3163">
      <c r="A3163" t="inlineStr">
        <is>
          <t>CB</t>
        </is>
      </c>
      <c r="B3163" s="6" t="n">
        <v>73.90000000000001</v>
      </c>
    </row>
    <row r="3164">
      <c r="A3164" t="inlineStr">
        <is>
          <t>CB</t>
        </is>
      </c>
      <c r="B3164" s="6" t="n">
        <v>57</v>
      </c>
    </row>
    <row r="3165">
      <c r="A3165" t="inlineStr">
        <is>
          <t>CB</t>
        </is>
      </c>
      <c r="B3165" s="6" t="n">
        <v>59.8</v>
      </c>
    </row>
    <row r="3166">
      <c r="A3166" t="inlineStr">
        <is>
          <t>CB</t>
        </is>
      </c>
      <c r="B3166" s="6" t="n">
        <v>43.7</v>
      </c>
    </row>
    <row r="3167">
      <c r="A3167" t="inlineStr">
        <is>
          <t>CB</t>
        </is>
      </c>
      <c r="B3167" s="6" t="n">
        <v>55.8</v>
      </c>
    </row>
    <row r="3168">
      <c r="A3168" t="inlineStr">
        <is>
          <t>CB</t>
        </is>
      </c>
      <c r="B3168" s="6" t="n">
        <v>49</v>
      </c>
    </row>
    <row r="3169">
      <c r="A3169" t="inlineStr">
        <is>
          <t>CB</t>
        </is>
      </c>
      <c r="B3169" s="6" t="n">
        <v>48.2</v>
      </c>
    </row>
    <row r="3170">
      <c r="A3170" t="inlineStr">
        <is>
          <t>CB</t>
        </is>
      </c>
      <c r="B3170" s="6" t="n">
        <v>71.2</v>
      </c>
    </row>
    <row r="3171">
      <c r="A3171" t="inlineStr">
        <is>
          <t>CB</t>
        </is>
      </c>
      <c r="B3171" s="6" t="n">
        <v>69.40000000000001</v>
      </c>
    </row>
    <row r="3172">
      <c r="A3172" t="inlineStr">
        <is>
          <t>CHV</t>
        </is>
      </c>
      <c r="B3172" s="6" t="n">
        <v>60</v>
      </c>
    </row>
    <row r="3173">
      <c r="A3173" t="inlineStr">
        <is>
          <t>ESP</t>
        </is>
      </c>
      <c r="B3173" s="6" t="n">
        <v>5.7</v>
      </c>
    </row>
    <row r="3174">
      <c r="A3174" t="inlineStr">
        <is>
          <t>CB</t>
        </is>
      </c>
      <c r="B3174" s="6" t="n">
        <v>53.6</v>
      </c>
    </row>
    <row r="3175">
      <c r="A3175" t="inlineStr">
        <is>
          <t>CB</t>
        </is>
      </c>
      <c r="B3175" s="6" t="n">
        <v>34.5</v>
      </c>
    </row>
    <row r="3176">
      <c r="A3176" t="inlineStr">
        <is>
          <t>CHV</t>
        </is>
      </c>
      <c r="B3176" s="6" t="n">
        <v>90</v>
      </c>
    </row>
    <row r="3177">
      <c r="A3177" t="inlineStr">
        <is>
          <t>ESP</t>
        </is>
      </c>
      <c r="B3177" s="6" t="n">
        <v>7.9</v>
      </c>
    </row>
    <row r="3178">
      <c r="A3178" t="inlineStr">
        <is>
          <t>CB</t>
        </is>
      </c>
      <c r="B3178" s="6" t="n">
        <v>53.2</v>
      </c>
    </row>
    <row r="3179">
      <c r="A3179" t="inlineStr">
        <is>
          <t>CHV</t>
        </is>
      </c>
      <c r="B3179" s="6" t="n">
        <v>20</v>
      </c>
    </row>
    <row r="3180">
      <c r="A3180" t="inlineStr">
        <is>
          <t>CB</t>
        </is>
      </c>
      <c r="B3180" s="6" t="n">
        <v>85.09999999999999</v>
      </c>
    </row>
    <row r="3181">
      <c r="A3181" t="inlineStr">
        <is>
          <t>CB</t>
        </is>
      </c>
      <c r="B3181" s="6" t="n">
        <v>47.4</v>
      </c>
    </row>
    <row r="3182">
      <c r="A3182" t="inlineStr">
        <is>
          <t>CB</t>
        </is>
      </c>
      <c r="B3182" s="6" t="n">
        <v>45.6</v>
      </c>
    </row>
    <row r="3183">
      <c r="A3183" t="inlineStr">
        <is>
          <t>CB</t>
        </is>
      </c>
      <c r="B3183" s="6" t="n">
        <v>19.8</v>
      </c>
    </row>
    <row r="3184">
      <c r="A3184" t="inlineStr">
        <is>
          <t>CB</t>
        </is>
      </c>
      <c r="B3184" s="6" t="n">
        <v>26.7</v>
      </c>
    </row>
    <row r="3185">
      <c r="A3185" t="inlineStr">
        <is>
          <t>CB</t>
        </is>
      </c>
      <c r="B3185" s="6" t="n">
        <v>19.8</v>
      </c>
    </row>
    <row r="3186">
      <c r="A3186" t="inlineStr">
        <is>
          <t>CB</t>
        </is>
      </c>
      <c r="B3186" s="6" t="n">
        <v>21.8</v>
      </c>
    </row>
    <row r="3187">
      <c r="A3187" t="inlineStr">
        <is>
          <t>CB</t>
        </is>
      </c>
      <c r="B3187" s="6" t="n">
        <v>87.8</v>
      </c>
    </row>
    <row r="3188">
      <c r="A3188" t="inlineStr">
        <is>
          <t>CB</t>
        </is>
      </c>
      <c r="B3188" s="6" t="n">
        <v>114.7</v>
      </c>
    </row>
    <row r="3189">
      <c r="A3189" t="inlineStr">
        <is>
          <t>CB</t>
        </is>
      </c>
      <c r="B3189" s="6" t="n">
        <v>74.40000000000001</v>
      </c>
    </row>
    <row r="3190">
      <c r="A3190" t="inlineStr">
        <is>
          <t>CB</t>
        </is>
      </c>
      <c r="B3190" s="6" t="n">
        <v>62.6</v>
      </c>
    </row>
    <row r="3191">
      <c r="A3191" t="inlineStr">
        <is>
          <t>CB</t>
        </is>
      </c>
      <c r="B3191" s="6" t="n">
        <v>200</v>
      </c>
    </row>
    <row r="3192">
      <c r="A3192" t="inlineStr">
        <is>
          <t>CB</t>
        </is>
      </c>
      <c r="B3192" s="6" t="n">
        <v>89.2</v>
      </c>
    </row>
    <row r="3193">
      <c r="A3193" t="inlineStr">
        <is>
          <t>CB</t>
        </is>
      </c>
      <c r="B3193" s="6" t="n">
        <v>100.4</v>
      </c>
    </row>
    <row r="3194">
      <c r="A3194" t="inlineStr">
        <is>
          <t>CB</t>
        </is>
      </c>
      <c r="B3194" s="6" t="n">
        <v>74.40000000000001</v>
      </c>
    </row>
    <row r="3195">
      <c r="A3195" t="inlineStr">
        <is>
          <t>CB</t>
        </is>
      </c>
      <c r="B3195" s="6" t="n">
        <v>59.2</v>
      </c>
    </row>
    <row r="3196">
      <c r="A3196" t="inlineStr">
        <is>
          <t>CHV</t>
        </is>
      </c>
      <c r="B3196" s="6" t="n">
        <v>70</v>
      </c>
    </row>
    <row r="3197">
      <c r="A3197" t="inlineStr">
        <is>
          <t>ESP</t>
        </is>
      </c>
      <c r="B3197" s="6" t="n">
        <v>1.6</v>
      </c>
    </row>
    <row r="3198">
      <c r="A3198" t="inlineStr">
        <is>
          <t>CB</t>
        </is>
      </c>
      <c r="B3198" s="6" t="n">
        <v>26.6</v>
      </c>
    </row>
    <row r="3199">
      <c r="A3199" t="inlineStr">
        <is>
          <t>CB</t>
        </is>
      </c>
      <c r="B3199" s="6" t="n">
        <v>68.59999999999999</v>
      </c>
    </row>
    <row r="3200">
      <c r="A3200" t="inlineStr">
        <is>
          <t>CB</t>
        </is>
      </c>
      <c r="B3200" s="6" t="n">
        <v>26.6</v>
      </c>
    </row>
    <row r="3201">
      <c r="A3201" t="inlineStr">
        <is>
          <t>CB</t>
        </is>
      </c>
      <c r="B3201" s="6" t="n">
        <v>63</v>
      </c>
    </row>
    <row r="3202">
      <c r="A3202" t="inlineStr">
        <is>
          <t>CB</t>
        </is>
      </c>
      <c r="B3202" s="6" t="n">
        <v>44.55</v>
      </c>
    </row>
    <row r="3203">
      <c r="A3203" t="inlineStr">
        <is>
          <t>TR</t>
        </is>
      </c>
      <c r="B3203" s="6" t="n">
        <v>75.84</v>
      </c>
    </row>
    <row r="3204">
      <c r="A3204" t="inlineStr">
        <is>
          <t>ESP</t>
        </is>
      </c>
      <c r="B3204" s="6" t="n">
        <v>4.86</v>
      </c>
    </row>
    <row r="3205">
      <c r="A3205" t="inlineStr">
        <is>
          <t>CB</t>
        </is>
      </c>
      <c r="B3205" s="6" t="n">
        <v>40.1</v>
      </c>
    </row>
    <row r="3206">
      <c r="A3206" t="inlineStr">
        <is>
          <t>CB</t>
        </is>
      </c>
      <c r="B3206" s="6" t="n">
        <v>28.85</v>
      </c>
    </row>
    <row r="3207">
      <c r="A3207" t="inlineStr">
        <is>
          <t>CB</t>
        </is>
      </c>
      <c r="B3207" s="6" t="n">
        <v>71.7</v>
      </c>
    </row>
    <row r="3208">
      <c r="A3208" t="inlineStr">
        <is>
          <t>CB</t>
        </is>
      </c>
      <c r="B3208" s="6" t="n">
        <v>110.5</v>
      </c>
    </row>
    <row r="3209">
      <c r="A3209" t="inlineStr">
        <is>
          <t>CB</t>
        </is>
      </c>
      <c r="B3209" s="6" t="n">
        <v>62.1</v>
      </c>
    </row>
    <row r="3210">
      <c r="A3210" t="inlineStr">
        <is>
          <t>CB</t>
        </is>
      </c>
      <c r="B3210" s="6" t="n">
        <v>26.32</v>
      </c>
    </row>
    <row r="3211">
      <c r="A3211" t="inlineStr">
        <is>
          <t>CB</t>
        </is>
      </c>
      <c r="B3211" s="6" t="n">
        <v>26.32</v>
      </c>
    </row>
    <row r="3212">
      <c r="A3212" t="inlineStr">
        <is>
          <t>CB</t>
        </is>
      </c>
      <c r="B3212" s="6" t="n">
        <v>26.33</v>
      </c>
    </row>
    <row r="3213">
      <c r="A3213" t="inlineStr">
        <is>
          <t>ESP</t>
        </is>
      </c>
      <c r="B3213" s="6" t="n">
        <v>26.33</v>
      </c>
    </row>
    <row r="3214">
      <c r="A3214" t="inlineStr">
        <is>
          <t>CB</t>
        </is>
      </c>
      <c r="B3214" s="6" t="n">
        <v>41.3</v>
      </c>
    </row>
    <row r="3215">
      <c r="A3215" t="inlineStr">
        <is>
          <t>CB</t>
        </is>
      </c>
      <c r="B3215" s="6" t="n">
        <v>121.5</v>
      </c>
    </row>
    <row r="3216">
      <c r="A3216" t="inlineStr">
        <is>
          <t>CB</t>
        </is>
      </c>
      <c r="B3216" s="6" t="n">
        <v>68.7</v>
      </c>
    </row>
    <row r="3217">
      <c r="A3217" t="inlineStr">
        <is>
          <t>CB</t>
        </is>
      </c>
      <c r="B3217" s="6" t="n">
        <v>44.55</v>
      </c>
    </row>
    <row r="3218">
      <c r="A3218" t="inlineStr">
        <is>
          <t>CB</t>
        </is>
      </c>
      <c r="B3218" s="6" t="n">
        <v>28.85</v>
      </c>
    </row>
    <row r="3219">
      <c r="A3219" t="inlineStr">
        <is>
          <t>CB</t>
        </is>
      </c>
      <c r="B3219" s="6" t="n">
        <v>45.1</v>
      </c>
    </row>
    <row r="3220">
      <c r="A3220" t="inlineStr">
        <is>
          <t>TR</t>
        </is>
      </c>
      <c r="B3220" s="6" t="n">
        <v>18.6</v>
      </c>
    </row>
    <row r="3221">
      <c r="A3221" t="inlineStr">
        <is>
          <t>CB</t>
        </is>
      </c>
      <c r="B3221" s="6" t="n">
        <v>10.6</v>
      </c>
    </row>
    <row r="3222">
      <c r="A3222" t="inlineStr">
        <is>
          <t>CB</t>
        </is>
      </c>
      <c r="B3222" s="6" t="n">
        <v>46.8</v>
      </c>
    </row>
    <row r="3223">
      <c r="A3223" t="inlineStr">
        <is>
          <t>ESP</t>
        </is>
      </c>
      <c r="B3223" s="6" t="n">
        <v>19.8</v>
      </c>
    </row>
    <row r="3224">
      <c r="A3224" t="inlineStr">
        <is>
          <t>CB</t>
        </is>
      </c>
      <c r="B3224" s="6" t="n">
        <v>19.8</v>
      </c>
    </row>
    <row r="3225">
      <c r="A3225" t="inlineStr">
        <is>
          <t>CB</t>
        </is>
      </c>
      <c r="B3225" s="6" t="n">
        <v>90.40000000000001</v>
      </c>
    </row>
    <row r="3226">
      <c r="A3226" t="inlineStr">
        <is>
          <t>CB</t>
        </is>
      </c>
      <c r="B3226" s="6" t="n">
        <v>59.3</v>
      </c>
    </row>
    <row r="3227">
      <c r="A3227" t="inlineStr">
        <is>
          <t>CB</t>
        </is>
      </c>
      <c r="B3227" s="6" t="n">
        <v>100.5</v>
      </c>
    </row>
    <row r="3228">
      <c r="A3228" t="inlineStr">
        <is>
          <t>CB</t>
        </is>
      </c>
      <c r="B3228" s="6" t="n">
        <v>203.3</v>
      </c>
    </row>
    <row r="3229">
      <c r="A3229" t="inlineStr">
        <is>
          <t>CB</t>
        </is>
      </c>
      <c r="B3229" s="6" t="n">
        <v>118</v>
      </c>
    </row>
    <row r="3230">
      <c r="A3230" t="inlineStr">
        <is>
          <t>CB</t>
        </is>
      </c>
      <c r="B3230" s="6" t="n">
        <v>88.59999999999999</v>
      </c>
    </row>
    <row r="3231">
      <c r="A3231" t="inlineStr">
        <is>
          <t>CHV</t>
        </is>
      </c>
      <c r="B3231" s="6" t="n">
        <v>30</v>
      </c>
    </row>
    <row r="3232">
      <c r="A3232" t="inlineStr">
        <is>
          <t>CB</t>
        </is>
      </c>
      <c r="B3232" s="6" t="n">
        <v>31.4</v>
      </c>
    </row>
    <row r="3233">
      <c r="A3233" t="inlineStr">
        <is>
          <t>CB</t>
        </is>
      </c>
      <c r="B3233" s="6" t="n">
        <v>179.2</v>
      </c>
    </row>
    <row r="3234">
      <c r="A3234" t="inlineStr">
        <is>
          <t>CB</t>
        </is>
      </c>
      <c r="B3234" s="6" t="n">
        <v>30.3</v>
      </c>
    </row>
    <row r="3235">
      <c r="A3235" t="inlineStr">
        <is>
          <t>TR</t>
        </is>
      </c>
      <c r="B3235" s="6" t="n">
        <v>30</v>
      </c>
    </row>
    <row r="3236">
      <c r="A3236" t="inlineStr">
        <is>
          <t>CB</t>
        </is>
      </c>
      <c r="B3236" s="6" t="n">
        <v>10.8</v>
      </c>
    </row>
    <row r="3237">
      <c r="A3237" t="inlineStr">
        <is>
          <t>CB</t>
        </is>
      </c>
      <c r="B3237" s="6" t="n">
        <v>87</v>
      </c>
    </row>
    <row r="3238">
      <c r="A3238" t="inlineStr">
        <is>
          <t>CB</t>
        </is>
      </c>
      <c r="B3238" s="6" t="n">
        <v>39.1</v>
      </c>
    </row>
    <row r="3239">
      <c r="A3239" t="inlineStr">
        <is>
          <t>CB</t>
        </is>
      </c>
      <c r="B3239" s="6" t="n">
        <v>73.40000000000001</v>
      </c>
    </row>
    <row r="3240">
      <c r="A3240" t="inlineStr">
        <is>
          <t>CB</t>
        </is>
      </c>
      <c r="B3240" s="6" t="n">
        <v>57.7</v>
      </c>
    </row>
    <row r="3241">
      <c r="A3241" t="inlineStr">
        <is>
          <t>CB</t>
        </is>
      </c>
      <c r="B3241" s="6" t="n">
        <v>90.7</v>
      </c>
    </row>
    <row r="3242">
      <c r="A3242" t="inlineStr">
        <is>
          <t>CB</t>
        </is>
      </c>
      <c r="B3242" s="6" t="n">
        <v>45.9</v>
      </c>
    </row>
    <row r="3243">
      <c r="A3243" t="inlineStr">
        <is>
          <t>CB</t>
        </is>
      </c>
      <c r="B3243" s="6" t="n">
        <v>60.3</v>
      </c>
    </row>
    <row r="3244">
      <c r="A3244" t="inlineStr">
        <is>
          <t>CB</t>
        </is>
      </c>
      <c r="B3244" s="6" t="n">
        <v>64.7</v>
      </c>
    </row>
    <row r="3245">
      <c r="A3245" t="inlineStr">
        <is>
          <t>CHV</t>
        </is>
      </c>
      <c r="B3245" s="6" t="n">
        <v>139.8</v>
      </c>
    </row>
    <row r="3246">
      <c r="A3246" t="inlineStr">
        <is>
          <t>CB</t>
        </is>
      </c>
      <c r="B3246" s="6" t="n">
        <v>23.4</v>
      </c>
    </row>
    <row r="3247">
      <c r="A3247" t="inlineStr">
        <is>
          <t>CB</t>
        </is>
      </c>
      <c r="B3247" s="6" t="n">
        <v>79.8</v>
      </c>
    </row>
    <row r="3248">
      <c r="A3248" t="inlineStr">
        <is>
          <t>CB</t>
        </is>
      </c>
      <c r="B3248" s="6" t="n">
        <v>28</v>
      </c>
    </row>
    <row r="3249">
      <c r="A3249" t="inlineStr">
        <is>
          <t>CB</t>
        </is>
      </c>
      <c r="B3249" s="6" t="n">
        <v>56.1</v>
      </c>
    </row>
    <row r="3250">
      <c r="A3250" t="inlineStr">
        <is>
          <t>CHV</t>
        </is>
      </c>
      <c r="B3250" s="6" t="n">
        <v>50</v>
      </c>
    </row>
    <row r="3251">
      <c r="A3251" t="inlineStr">
        <is>
          <t>ESP</t>
        </is>
      </c>
      <c r="B3251" s="6" t="n">
        <v>1.9</v>
      </c>
    </row>
    <row r="3252">
      <c r="A3252" t="inlineStr">
        <is>
          <t>CB</t>
        </is>
      </c>
      <c r="B3252" s="6" t="n">
        <v>103.3</v>
      </c>
    </row>
    <row r="3253">
      <c r="A3253" t="inlineStr">
        <is>
          <t>CB</t>
        </is>
      </c>
      <c r="B3253" s="6" t="n">
        <v>70.7</v>
      </c>
    </row>
    <row r="3254">
      <c r="A3254" t="inlineStr">
        <is>
          <t>CB</t>
        </is>
      </c>
      <c r="B3254" s="6" t="n">
        <v>70.59999999999999</v>
      </c>
    </row>
    <row r="3255">
      <c r="A3255" t="inlineStr">
        <is>
          <t>TR</t>
        </is>
      </c>
      <c r="B3255" s="6" t="n">
        <v>36</v>
      </c>
    </row>
    <row r="3256">
      <c r="A3256" t="inlineStr">
        <is>
          <t>CB</t>
        </is>
      </c>
      <c r="B3256" s="6" t="n">
        <v>50.1</v>
      </c>
    </row>
    <row r="3257">
      <c r="A3257" t="inlineStr">
        <is>
          <t>CB</t>
        </is>
      </c>
      <c r="B3257" s="6" t="n">
        <v>61.5</v>
      </c>
    </row>
    <row r="3258">
      <c r="A3258" t="inlineStr">
        <is>
          <t>CB</t>
        </is>
      </c>
      <c r="B3258" s="6" t="n">
        <v>47.8</v>
      </c>
    </row>
    <row r="3259">
      <c r="A3259" t="inlineStr">
        <is>
          <t>CB</t>
        </is>
      </c>
      <c r="B3259" s="6" t="n">
        <v>23.8</v>
      </c>
    </row>
    <row r="3260">
      <c r="A3260" t="inlineStr">
        <is>
          <t>CB</t>
        </is>
      </c>
      <c r="B3260" s="6" t="n">
        <v>23.8</v>
      </c>
    </row>
    <row r="3261">
      <c r="A3261" t="inlineStr">
        <is>
          <t>ESP</t>
        </is>
      </c>
      <c r="B3261" s="6" t="n">
        <v>23.8</v>
      </c>
    </row>
    <row r="3262">
      <c r="A3262" t="inlineStr">
        <is>
          <t>CB</t>
        </is>
      </c>
      <c r="B3262" s="6" t="n">
        <v>23.4</v>
      </c>
    </row>
    <row r="3263">
      <c r="A3263" t="inlineStr">
        <is>
          <t>CB</t>
        </is>
      </c>
      <c r="B3263" s="6" t="n">
        <v>126.5</v>
      </c>
    </row>
    <row r="3264">
      <c r="A3264" t="inlineStr">
        <is>
          <t>CB</t>
        </is>
      </c>
      <c r="B3264" s="6" t="n">
        <v>73.40000000000001</v>
      </c>
    </row>
    <row r="3265">
      <c r="A3265" t="inlineStr">
        <is>
          <t>CB</t>
        </is>
      </c>
      <c r="B3265" s="6" t="n">
        <v>152.7</v>
      </c>
    </row>
    <row r="3266">
      <c r="A3266" t="inlineStr">
        <is>
          <t>CB</t>
        </is>
      </c>
      <c r="B3266" s="6" t="n">
        <v>111.8</v>
      </c>
    </row>
    <row r="3267">
      <c r="A3267" t="inlineStr">
        <is>
          <t>TR</t>
        </is>
      </c>
      <c r="B3267" s="6" t="n">
        <v>36</v>
      </c>
    </row>
    <row r="3268">
      <c r="A3268" t="inlineStr">
        <is>
          <t>CB</t>
        </is>
      </c>
      <c r="B3268" s="6" t="n">
        <v>25.1</v>
      </c>
    </row>
    <row r="3269">
      <c r="A3269" t="inlineStr">
        <is>
          <t>CB</t>
        </is>
      </c>
      <c r="B3269" s="6" t="n">
        <v>31.8</v>
      </c>
    </row>
    <row r="3270">
      <c r="A3270" t="inlineStr">
        <is>
          <t>CB</t>
        </is>
      </c>
      <c r="B3270" s="6" t="n">
        <v>73.3</v>
      </c>
    </row>
    <row r="3271">
      <c r="A3271" t="inlineStr">
        <is>
          <t>CB</t>
        </is>
      </c>
      <c r="B3271" s="6" t="n">
        <v>75.90000000000001</v>
      </c>
    </row>
    <row r="3272">
      <c r="A3272" t="inlineStr">
        <is>
          <t>CB</t>
        </is>
      </c>
      <c r="B3272" s="6" t="n">
        <v>65.59999999999999</v>
      </c>
    </row>
    <row r="3273">
      <c r="A3273" t="inlineStr">
        <is>
          <t>CB</t>
        </is>
      </c>
      <c r="B3273" s="6" t="n">
        <v>41.3</v>
      </c>
    </row>
    <row r="3274">
      <c r="A3274" t="inlineStr">
        <is>
          <t>CB</t>
        </is>
      </c>
      <c r="B3274" s="6" t="n">
        <v>213.1</v>
      </c>
    </row>
    <row r="3275">
      <c r="A3275" t="inlineStr">
        <is>
          <t>CB</t>
        </is>
      </c>
      <c r="B3275" s="6" t="n">
        <v>71.5</v>
      </c>
    </row>
    <row r="3276">
      <c r="A3276" t="inlineStr">
        <is>
          <t>CHV</t>
        </is>
      </c>
      <c r="B3276" s="6" t="n">
        <v>40</v>
      </c>
    </row>
    <row r="3277">
      <c r="A3277" t="inlineStr">
        <is>
          <t>CB</t>
        </is>
      </c>
      <c r="B3277" s="6" t="n">
        <v>11.9</v>
      </c>
    </row>
    <row r="3278">
      <c r="A3278" t="inlineStr">
        <is>
          <t>CHV</t>
        </is>
      </c>
      <c r="B3278" s="6" t="n">
        <v>60</v>
      </c>
    </row>
    <row r="3279">
      <c r="A3279" t="inlineStr">
        <is>
          <t>ESP</t>
        </is>
      </c>
      <c r="B3279" s="6" t="n">
        <v>4.2</v>
      </c>
    </row>
    <row r="3280">
      <c r="A3280" t="inlineStr">
        <is>
          <t>TR</t>
        </is>
      </c>
      <c r="B3280" s="6" t="n">
        <v>9.48</v>
      </c>
    </row>
    <row r="3281">
      <c r="A3281" t="inlineStr">
        <is>
          <t>TR</t>
        </is>
      </c>
      <c r="B3281" s="6" t="n">
        <v>9.48</v>
      </c>
    </row>
    <row r="3282">
      <c r="A3282" t="inlineStr">
        <is>
          <t>ESP</t>
        </is>
      </c>
      <c r="B3282" s="6" t="n">
        <v>3.99</v>
      </c>
    </row>
    <row r="3283">
      <c r="A3283" t="inlineStr">
        <is>
          <t>CB</t>
        </is>
      </c>
      <c r="B3283" s="6" t="n">
        <v>73.5</v>
      </c>
    </row>
    <row r="3284">
      <c r="A3284" t="inlineStr">
        <is>
          <t>CB</t>
        </is>
      </c>
      <c r="B3284" s="6" t="n">
        <v>30.1</v>
      </c>
    </row>
    <row r="3285">
      <c r="A3285" t="inlineStr">
        <is>
          <t>CB</t>
        </is>
      </c>
      <c r="B3285" s="6" t="n">
        <v>17.6</v>
      </c>
    </row>
    <row r="3286">
      <c r="A3286" t="inlineStr">
        <is>
          <t>CB</t>
        </is>
      </c>
      <c r="B3286" s="6" t="n">
        <v>49.7</v>
      </c>
    </row>
    <row r="3287">
      <c r="A3287" t="inlineStr">
        <is>
          <t>CB</t>
        </is>
      </c>
      <c r="B3287" s="6" t="n">
        <v>54</v>
      </c>
    </row>
    <row r="3288">
      <c r="A3288" t="inlineStr">
        <is>
          <t>CB</t>
        </is>
      </c>
      <c r="B3288" s="6" t="n">
        <v>48.9</v>
      </c>
    </row>
    <row r="3289">
      <c r="A3289" t="inlineStr">
        <is>
          <t>CB</t>
        </is>
      </c>
      <c r="B3289" s="6" t="n">
        <v>47.8</v>
      </c>
    </row>
    <row r="3290">
      <c r="A3290" t="inlineStr">
        <is>
          <t>CB</t>
        </is>
      </c>
      <c r="B3290" s="6" t="n">
        <v>34.8</v>
      </c>
    </row>
    <row r="3291">
      <c r="A3291" t="inlineStr">
        <is>
          <t>CB</t>
        </is>
      </c>
      <c r="B3291" s="6" t="n">
        <v>125.1</v>
      </c>
    </row>
    <row r="3292">
      <c r="A3292" t="inlineStr">
        <is>
          <t>CB</t>
        </is>
      </c>
      <c r="B3292" s="6" t="n">
        <v>59.3</v>
      </c>
    </row>
    <row r="3293">
      <c r="A3293" t="inlineStr">
        <is>
          <t>CB</t>
        </is>
      </c>
      <c r="B3293" s="6" t="n">
        <v>57.3</v>
      </c>
    </row>
    <row r="3294">
      <c r="A3294" t="inlineStr">
        <is>
          <t>CB</t>
        </is>
      </c>
      <c r="B3294" s="6" t="n">
        <v>96.8</v>
      </c>
    </row>
    <row r="3295">
      <c r="A3295" t="inlineStr">
        <is>
          <t>CB</t>
        </is>
      </c>
      <c r="B3295" s="6" t="n">
        <v>15.9</v>
      </c>
    </row>
    <row r="3296">
      <c r="A3296" t="inlineStr">
        <is>
          <t>CB</t>
        </is>
      </c>
      <c r="B3296" s="6" t="n">
        <v>88.3</v>
      </c>
    </row>
    <row r="3297">
      <c r="A3297" t="inlineStr">
        <is>
          <t>CB</t>
        </is>
      </c>
      <c r="B3297" s="6" t="n">
        <v>47.3</v>
      </c>
    </row>
    <row r="3298">
      <c r="A3298" t="inlineStr">
        <is>
          <t>CB</t>
        </is>
      </c>
      <c r="B3298" s="6" t="n">
        <v>29.15</v>
      </c>
    </row>
    <row r="3299">
      <c r="A3299" t="inlineStr">
        <is>
          <t>CHV</t>
        </is>
      </c>
      <c r="B3299" s="6" t="n">
        <v>30</v>
      </c>
    </row>
    <row r="3300">
      <c r="A3300" t="inlineStr">
        <is>
          <t>ESP</t>
        </is>
      </c>
      <c r="B3300" s="6" t="n">
        <v>6.3</v>
      </c>
    </row>
    <row r="3301">
      <c r="A3301" t="inlineStr">
        <is>
          <t>CB</t>
        </is>
      </c>
      <c r="B3301" s="6" t="n">
        <v>40.3</v>
      </c>
    </row>
    <row r="3302">
      <c r="A3302" t="inlineStr">
        <is>
          <t>CB</t>
        </is>
      </c>
      <c r="B3302" s="6" t="n">
        <v>57.8</v>
      </c>
    </row>
    <row r="3303">
      <c r="A3303" t="inlineStr">
        <is>
          <t>CHV</t>
        </is>
      </c>
      <c r="B3303" s="6" t="n">
        <v>40</v>
      </c>
    </row>
    <row r="3304">
      <c r="A3304" t="inlineStr">
        <is>
          <t>CB</t>
        </is>
      </c>
      <c r="B3304" s="6" t="n">
        <v>39.2</v>
      </c>
    </row>
    <row r="3305">
      <c r="A3305" t="inlineStr">
        <is>
          <t>CB</t>
        </is>
      </c>
      <c r="B3305" s="6" t="n">
        <v>18.1</v>
      </c>
    </row>
    <row r="3306">
      <c r="A3306" t="inlineStr">
        <is>
          <t>CB</t>
        </is>
      </c>
      <c r="B3306" s="6" t="n">
        <v>29.15</v>
      </c>
    </row>
    <row r="3307">
      <c r="A3307" t="inlineStr">
        <is>
          <t>CB</t>
        </is>
      </c>
      <c r="B3307" s="6" t="n">
        <v>86</v>
      </c>
    </row>
    <row r="3308">
      <c r="A3308" t="inlineStr">
        <is>
          <t>CB</t>
        </is>
      </c>
      <c r="B3308" s="6" t="n">
        <v>41.7</v>
      </c>
    </row>
    <row r="3309">
      <c r="A3309" t="inlineStr">
        <is>
          <t>CB</t>
        </is>
      </c>
      <c r="B3309" s="6" t="n">
        <v>47.5</v>
      </c>
    </row>
    <row r="3310">
      <c r="A3310" t="inlineStr">
        <is>
          <t>CB</t>
        </is>
      </c>
      <c r="B3310" s="6" t="n">
        <v>89.90000000000001</v>
      </c>
    </row>
    <row r="3311">
      <c r="A3311" t="inlineStr">
        <is>
          <t>CB</t>
        </is>
      </c>
      <c r="B3311" s="6" t="n">
        <v>35.2</v>
      </c>
    </row>
    <row r="3312">
      <c r="A3312" t="inlineStr">
        <is>
          <t>CHV</t>
        </is>
      </c>
      <c r="B3312" s="6" t="n">
        <v>70</v>
      </c>
    </row>
    <row r="3313">
      <c r="A3313" t="inlineStr">
        <is>
          <t>CB</t>
        </is>
      </c>
      <c r="B3313" s="6" t="n">
        <v>13.3</v>
      </c>
    </row>
    <row r="3314">
      <c r="A3314" t="inlineStr">
        <is>
          <t>CB</t>
        </is>
      </c>
      <c r="B3314" s="6" t="n">
        <v>144.7</v>
      </c>
    </row>
    <row r="3315">
      <c r="A3315" t="inlineStr">
        <is>
          <t>CB</t>
        </is>
      </c>
      <c r="B3315" s="6" t="n">
        <v>162.7</v>
      </c>
    </row>
    <row r="3316">
      <c r="A3316" t="inlineStr">
        <is>
          <t>CB</t>
        </is>
      </c>
      <c r="B3316" s="6" t="n">
        <v>79.59999999999999</v>
      </c>
    </row>
    <row r="3317">
      <c r="A3317" t="inlineStr">
        <is>
          <t>CB</t>
        </is>
      </c>
      <c r="B3317" s="6" t="n">
        <v>29.86</v>
      </c>
    </row>
    <row r="3318">
      <c r="A3318" t="inlineStr">
        <is>
          <t>CB</t>
        </is>
      </c>
      <c r="B3318" s="6" t="n">
        <v>29.86</v>
      </c>
    </row>
    <row r="3319">
      <c r="A3319" t="inlineStr">
        <is>
          <t>CHV</t>
        </is>
      </c>
      <c r="B3319" s="6" t="n">
        <v>20</v>
      </c>
    </row>
    <row r="3320">
      <c r="A3320" t="inlineStr">
        <is>
          <t>CB</t>
        </is>
      </c>
      <c r="B3320" s="6" t="n">
        <v>9.859999999999999</v>
      </c>
    </row>
    <row r="3321">
      <c r="A3321" t="inlineStr">
        <is>
          <t>CHV</t>
        </is>
      </c>
      <c r="B3321" s="6" t="n">
        <v>59.72</v>
      </c>
    </row>
    <row r="3322">
      <c r="A3322" t="inlineStr">
        <is>
          <t>CB</t>
        </is>
      </c>
      <c r="B3322" s="6" t="n">
        <v>19.8</v>
      </c>
    </row>
    <row r="3323">
      <c r="A3323" t="inlineStr">
        <is>
          <t>CB</t>
        </is>
      </c>
      <c r="B3323" s="6" t="n">
        <v>59.4</v>
      </c>
    </row>
    <row r="3324">
      <c r="A3324" t="inlineStr">
        <is>
          <t>CB</t>
        </is>
      </c>
      <c r="B3324" s="6" t="n">
        <v>107.6</v>
      </c>
    </row>
    <row r="3325">
      <c r="A3325" t="inlineStr">
        <is>
          <t>TR</t>
        </is>
      </c>
      <c r="B3325" s="6" t="n">
        <v>60</v>
      </c>
    </row>
    <row r="3326">
      <c r="A3326" t="inlineStr">
        <is>
          <t>ESP</t>
        </is>
      </c>
      <c r="B3326" s="6" t="n">
        <v>1.9</v>
      </c>
    </row>
    <row r="3327">
      <c r="A3327" t="inlineStr">
        <is>
          <t>CB</t>
        </is>
      </c>
      <c r="B3327" s="6" t="n">
        <v>102.9</v>
      </c>
    </row>
    <row r="3328">
      <c r="A3328" t="inlineStr">
        <is>
          <t>CB</t>
        </is>
      </c>
      <c r="B3328" s="6" t="n">
        <v>63.7</v>
      </c>
    </row>
    <row r="3329">
      <c r="A3329" t="inlineStr">
        <is>
          <t>CB</t>
        </is>
      </c>
      <c r="B3329" s="6" t="n">
        <v>87.5</v>
      </c>
    </row>
    <row r="3330">
      <c r="A3330" t="inlineStr">
        <is>
          <t>CB</t>
        </is>
      </c>
      <c r="B3330" s="6" t="n">
        <v>55.9</v>
      </c>
    </row>
    <row r="3331">
      <c r="A3331" t="inlineStr">
        <is>
          <t>CB</t>
        </is>
      </c>
      <c r="B3331" s="6" t="n">
        <v>92.40000000000001</v>
      </c>
    </row>
    <row r="3332">
      <c r="A3332" t="inlineStr">
        <is>
          <t>CB</t>
        </is>
      </c>
      <c r="B3332" s="6" t="n">
        <v>21.5</v>
      </c>
    </row>
    <row r="3333">
      <c r="A3333" t="inlineStr">
        <is>
          <t>CB</t>
        </is>
      </c>
      <c r="B3333" s="6" t="n">
        <v>170.1</v>
      </c>
    </row>
    <row r="3334">
      <c r="A3334" t="inlineStr">
        <is>
          <t>CB</t>
        </is>
      </c>
      <c r="B3334" s="6" t="n">
        <v>146.1</v>
      </c>
    </row>
    <row r="3335">
      <c r="A3335" t="inlineStr">
        <is>
          <t>CB</t>
        </is>
      </c>
      <c r="B3335" s="6" t="n">
        <v>67.90000000000001</v>
      </c>
    </row>
    <row r="3336">
      <c r="A3336" t="inlineStr">
        <is>
          <t>CB</t>
        </is>
      </c>
      <c r="B3336" s="6" t="n">
        <v>72.3</v>
      </c>
    </row>
    <row r="3337">
      <c r="A3337" t="inlineStr">
        <is>
          <t>CB</t>
        </is>
      </c>
      <c r="B3337" s="6" t="n">
        <v>76.3</v>
      </c>
    </row>
    <row r="3338">
      <c r="A3338" t="inlineStr">
        <is>
          <t>CB</t>
        </is>
      </c>
      <c r="B3338" s="6" t="n">
        <v>64</v>
      </c>
    </row>
    <row r="3339">
      <c r="A3339" t="inlineStr">
        <is>
          <t>CB</t>
        </is>
      </c>
      <c r="B3339" s="6" t="n">
        <v>67.8</v>
      </c>
    </row>
    <row r="3340">
      <c r="A3340" t="inlineStr">
        <is>
          <t>CB</t>
        </is>
      </c>
      <c r="B3340" s="6" t="n">
        <v>15.9</v>
      </c>
    </row>
    <row r="3341">
      <c r="A3341" t="inlineStr">
        <is>
          <t>CB</t>
        </is>
      </c>
      <c r="B3341" s="6" t="n">
        <v>199.1</v>
      </c>
    </row>
    <row r="3342">
      <c r="A3342" t="inlineStr">
        <is>
          <t>CB</t>
        </is>
      </c>
      <c r="B3342" s="6" t="n">
        <v>55.9</v>
      </c>
    </row>
    <row r="3343">
      <c r="A3343" t="inlineStr">
        <is>
          <t>CB</t>
        </is>
      </c>
      <c r="B3343" s="6" t="n">
        <v>21.5</v>
      </c>
    </row>
    <row r="3344">
      <c r="A3344" t="inlineStr">
        <is>
          <t>CB</t>
        </is>
      </c>
      <c r="B3344" s="6" t="n">
        <v>84.5</v>
      </c>
    </row>
    <row r="3345">
      <c r="A3345" t="inlineStr">
        <is>
          <t>CB</t>
        </is>
      </c>
      <c r="B3345" s="6" t="n">
        <v>195.8</v>
      </c>
    </row>
    <row r="3346">
      <c r="A3346" t="inlineStr">
        <is>
          <t>CB</t>
        </is>
      </c>
      <c r="B3346" s="6" t="n">
        <v>65.2</v>
      </c>
    </row>
    <row r="3347">
      <c r="A3347" t="inlineStr">
        <is>
          <t>CB</t>
        </is>
      </c>
      <c r="B3347" s="6" t="n">
        <v>94.5</v>
      </c>
    </row>
    <row r="3348">
      <c r="A3348" t="inlineStr">
        <is>
          <t>CB</t>
        </is>
      </c>
      <c r="B3348" s="6" t="n">
        <v>90.09999999999999</v>
      </c>
    </row>
    <row r="3349">
      <c r="A3349" t="inlineStr">
        <is>
          <t>CB</t>
        </is>
      </c>
      <c r="B3349" s="6" t="n">
        <v>83.59999999999999</v>
      </c>
    </row>
    <row r="3350">
      <c r="A3350" t="inlineStr">
        <is>
          <t>CHV</t>
        </is>
      </c>
      <c r="B3350" s="6" t="n">
        <v>100</v>
      </c>
    </row>
    <row r="3351">
      <c r="A3351" t="inlineStr">
        <is>
          <t>ESP</t>
        </is>
      </c>
      <c r="B3351" s="6" t="n">
        <v>5.6</v>
      </c>
    </row>
    <row r="3352">
      <c r="A3352" t="inlineStr">
        <is>
          <t>CHV</t>
        </is>
      </c>
      <c r="B3352" s="6" t="n">
        <v>30</v>
      </c>
    </row>
    <row r="3353">
      <c r="A3353" t="inlineStr">
        <is>
          <t>CB</t>
        </is>
      </c>
      <c r="B3353" s="6" t="n">
        <v>7.9</v>
      </c>
    </row>
    <row r="3354">
      <c r="A3354" t="inlineStr">
        <is>
          <t>CB</t>
        </is>
      </c>
      <c r="B3354" s="6" t="n">
        <v>107.5</v>
      </c>
    </row>
    <row r="3355">
      <c r="A3355" t="inlineStr">
        <is>
          <t>CHV</t>
        </is>
      </c>
      <c r="B3355" s="6" t="n">
        <v>90</v>
      </c>
    </row>
    <row r="3356">
      <c r="A3356" t="inlineStr">
        <is>
          <t>CHV</t>
        </is>
      </c>
      <c r="B3356" s="6" t="n">
        <v>70</v>
      </c>
    </row>
    <row r="3357">
      <c r="A3357" t="inlineStr">
        <is>
          <t>ESP</t>
        </is>
      </c>
      <c r="B3357" s="6" t="n">
        <v>12.4</v>
      </c>
    </row>
    <row r="3358">
      <c r="A3358" t="inlineStr">
        <is>
          <t>CB</t>
        </is>
      </c>
      <c r="B3358" s="6" t="n">
        <v>53</v>
      </c>
    </row>
    <row r="3359">
      <c r="A3359" t="inlineStr">
        <is>
          <t>CB</t>
        </is>
      </c>
      <c r="B3359" s="6" t="n">
        <v>75.09999999999999</v>
      </c>
    </row>
    <row r="3360">
      <c r="A3360" t="inlineStr">
        <is>
          <t>CB</t>
        </is>
      </c>
      <c r="B3360" s="6" t="n">
        <v>81.09999999999999</v>
      </c>
    </row>
    <row r="3361">
      <c r="A3361" t="inlineStr">
        <is>
          <t>CB</t>
        </is>
      </c>
      <c r="B3361" s="6" t="n">
        <v>37.2</v>
      </c>
    </row>
    <row r="3362">
      <c r="A3362" t="inlineStr">
        <is>
          <t>CB</t>
        </is>
      </c>
      <c r="B3362" s="6" t="n">
        <v>84.90000000000001</v>
      </c>
    </row>
    <row r="3363">
      <c r="A3363" t="inlineStr">
        <is>
          <t>CB</t>
        </is>
      </c>
      <c r="B3363" s="6" t="n">
        <v>60.8</v>
      </c>
    </row>
    <row r="3364">
      <c r="A3364" t="inlineStr">
        <is>
          <t>CB</t>
        </is>
      </c>
      <c r="B3364" s="6" t="n">
        <v>47.8</v>
      </c>
    </row>
    <row r="3365">
      <c r="A3365" t="inlineStr">
        <is>
          <t>CB</t>
        </is>
      </c>
      <c r="B3365" s="6" t="n">
        <v>81.84999999999999</v>
      </c>
    </row>
    <row r="3366">
      <c r="A3366" t="inlineStr">
        <is>
          <t>CB</t>
        </is>
      </c>
      <c r="B3366" s="6" t="n">
        <v>88.8</v>
      </c>
    </row>
    <row r="3367">
      <c r="A3367" t="inlineStr">
        <is>
          <t>CHV</t>
        </is>
      </c>
      <c r="B3367" s="6" t="n">
        <v>50</v>
      </c>
    </row>
    <row r="3368">
      <c r="A3368" t="inlineStr">
        <is>
          <t>CB</t>
        </is>
      </c>
      <c r="B3368" s="6" t="n">
        <v>14.1</v>
      </c>
    </row>
    <row r="3369">
      <c r="A3369" t="inlineStr">
        <is>
          <t>CB</t>
        </is>
      </c>
      <c r="B3369" s="6" t="n">
        <v>133</v>
      </c>
    </row>
    <row r="3370">
      <c r="A3370" t="inlineStr">
        <is>
          <t>CHV</t>
        </is>
      </c>
      <c r="B3370" s="6" t="n">
        <v>187.9</v>
      </c>
    </row>
    <row r="3371">
      <c r="A3371" t="inlineStr">
        <is>
          <t>CB</t>
        </is>
      </c>
      <c r="B3371" s="6" t="n">
        <v>88</v>
      </c>
    </row>
    <row r="3372">
      <c r="A3372" t="inlineStr">
        <is>
          <t>TR</t>
        </is>
      </c>
      <c r="B3372" s="6" t="n">
        <v>95</v>
      </c>
    </row>
    <row r="3373">
      <c r="A3373" t="inlineStr">
        <is>
          <t>CB</t>
        </is>
      </c>
      <c r="B3373" s="6" t="n">
        <v>28.5</v>
      </c>
    </row>
    <row r="3374">
      <c r="A3374" t="inlineStr">
        <is>
          <t>CB</t>
        </is>
      </c>
      <c r="B3374" s="6" t="n">
        <v>58.4</v>
      </c>
    </row>
    <row r="3375">
      <c r="A3375" t="inlineStr">
        <is>
          <t>CB</t>
        </is>
      </c>
      <c r="B3375" s="6" t="n">
        <v>91.09999999999999</v>
      </c>
    </row>
    <row r="3376">
      <c r="A3376" t="inlineStr">
        <is>
          <t>CB</t>
        </is>
      </c>
      <c r="B3376" s="6" t="n">
        <v>89.2</v>
      </c>
    </row>
    <row r="3377">
      <c r="A3377" t="inlineStr">
        <is>
          <t>CB</t>
        </is>
      </c>
      <c r="B3377" s="6" t="n">
        <v>104.1</v>
      </c>
    </row>
    <row r="3378">
      <c r="A3378" t="inlineStr">
        <is>
          <t>CB</t>
        </is>
      </c>
      <c r="B3378" s="6" t="n">
        <v>58.4</v>
      </c>
    </row>
    <row r="3379">
      <c r="A3379" t="inlineStr">
        <is>
          <t>CB</t>
        </is>
      </c>
      <c r="B3379" s="6" t="n">
        <v>81.84999999999999</v>
      </c>
    </row>
    <row r="3380">
      <c r="A3380" t="inlineStr">
        <is>
          <t>CB</t>
        </is>
      </c>
      <c r="B3380" s="6" t="n">
        <v>77</v>
      </c>
    </row>
    <row r="3381">
      <c r="A3381" t="inlineStr">
        <is>
          <t>CB</t>
        </is>
      </c>
      <c r="B3381" s="6" t="n">
        <v>78.59999999999999</v>
      </c>
    </row>
    <row r="3382">
      <c r="A3382" t="inlineStr">
        <is>
          <t>CB</t>
        </is>
      </c>
      <c r="B3382" s="6" t="n">
        <v>75.59999999999999</v>
      </c>
    </row>
    <row r="3383">
      <c r="A3383" t="inlineStr">
        <is>
          <t>CB</t>
        </is>
      </c>
      <c r="B3383" s="6" t="n">
        <v>106.9</v>
      </c>
    </row>
    <row r="3384">
      <c r="A3384" t="inlineStr">
        <is>
          <t>CB</t>
        </is>
      </c>
      <c r="B3384" s="6" t="n">
        <v>76.40000000000001</v>
      </c>
    </row>
    <row r="3385">
      <c r="A3385" t="inlineStr">
        <is>
          <t>CB</t>
        </is>
      </c>
      <c r="B3385" s="6" t="n">
        <v>61.9</v>
      </c>
    </row>
    <row r="3386">
      <c r="A3386" t="inlineStr">
        <is>
          <t>CB</t>
        </is>
      </c>
      <c r="B3386" s="6" t="n">
        <v>40.4</v>
      </c>
    </row>
    <row r="3387">
      <c r="A3387" t="inlineStr">
        <is>
          <t>CB</t>
        </is>
      </c>
      <c r="B3387" s="6" t="n">
        <v>129.6</v>
      </c>
    </row>
    <row r="3388">
      <c r="A3388" t="inlineStr">
        <is>
          <t>CB</t>
        </is>
      </c>
      <c r="B3388" s="6" t="n">
        <v>92.09999999999999</v>
      </c>
    </row>
    <row r="3389">
      <c r="A3389" t="inlineStr">
        <is>
          <t>CB</t>
        </is>
      </c>
      <c r="B3389" s="6" t="n">
        <v>75.3</v>
      </c>
    </row>
    <row r="3390">
      <c r="A3390" t="inlineStr">
        <is>
          <t>CB</t>
        </is>
      </c>
      <c r="B3390" s="6" t="n">
        <v>131.2</v>
      </c>
    </row>
    <row r="3391">
      <c r="A3391" t="inlineStr">
        <is>
          <t>CB</t>
        </is>
      </c>
      <c r="B3391" s="6" t="n">
        <v>111.3</v>
      </c>
    </row>
    <row r="3392">
      <c r="A3392" t="inlineStr">
        <is>
          <t>CB</t>
        </is>
      </c>
      <c r="B3392" s="6" t="n">
        <v>52.9</v>
      </c>
    </row>
    <row r="3393">
      <c r="A3393" t="inlineStr">
        <is>
          <t>CB</t>
        </is>
      </c>
      <c r="B3393" s="6" t="n">
        <v>125.8</v>
      </c>
    </row>
    <row r="3394">
      <c r="A3394" t="inlineStr">
        <is>
          <t>CB</t>
        </is>
      </c>
      <c r="B3394" s="6" t="n">
        <v>63.8</v>
      </c>
    </row>
    <row r="3395">
      <c r="A3395" t="inlineStr">
        <is>
          <t>CB</t>
        </is>
      </c>
      <c r="B3395" s="6" t="n">
        <v>40.1</v>
      </c>
    </row>
    <row r="3396">
      <c r="A3396" t="inlineStr">
        <is>
          <t>CB</t>
        </is>
      </c>
      <c r="B3396" s="6" t="n">
        <v>95</v>
      </c>
    </row>
    <row r="3397">
      <c r="A3397" t="inlineStr">
        <is>
          <t>CB</t>
        </is>
      </c>
      <c r="B3397" s="6" t="n">
        <v>59.3</v>
      </c>
    </row>
    <row r="3398">
      <c r="A3398" t="inlineStr">
        <is>
          <t>CB</t>
        </is>
      </c>
      <c r="B3398" s="6" t="n">
        <v>73.40000000000001</v>
      </c>
    </row>
    <row r="3399">
      <c r="A3399" t="inlineStr">
        <is>
          <t>CB</t>
        </is>
      </c>
      <c r="B3399" s="6" t="n">
        <v>103</v>
      </c>
    </row>
    <row r="3400">
      <c r="A3400" t="inlineStr">
        <is>
          <t>CB</t>
        </is>
      </c>
      <c r="B3400" s="6" t="n">
        <v>41</v>
      </c>
    </row>
    <row r="3401">
      <c r="A3401" t="inlineStr">
        <is>
          <t>CB</t>
        </is>
      </c>
      <c r="B3401" s="6" t="n">
        <v>33.8</v>
      </c>
    </row>
    <row r="3402">
      <c r="A3402" t="inlineStr">
        <is>
          <t>CB</t>
        </is>
      </c>
      <c r="B3402" s="6" t="n">
        <v>39.1</v>
      </c>
    </row>
    <row r="3403">
      <c r="A3403" t="inlineStr">
        <is>
          <t>CB</t>
        </is>
      </c>
      <c r="B3403" s="6" t="n">
        <v>102.4</v>
      </c>
    </row>
    <row r="3404">
      <c r="A3404" t="inlineStr">
        <is>
          <t>CB</t>
        </is>
      </c>
      <c r="B3404" s="6" t="n">
        <v>53.2</v>
      </c>
    </row>
    <row r="3405">
      <c r="A3405" t="inlineStr">
        <is>
          <t>CB</t>
        </is>
      </c>
      <c r="B3405" s="6" t="n">
        <v>92.2</v>
      </c>
    </row>
    <row r="3406">
      <c r="A3406" t="inlineStr">
        <is>
          <t>CB</t>
        </is>
      </c>
      <c r="B3406" s="6" t="n">
        <v>23.7</v>
      </c>
    </row>
    <row r="3407">
      <c r="A3407" t="inlineStr">
        <is>
          <t>CHV</t>
        </is>
      </c>
      <c r="B3407" s="6" t="n">
        <v>19.8</v>
      </c>
    </row>
    <row r="3408">
      <c r="A3408" t="inlineStr">
        <is>
          <t>CB</t>
        </is>
      </c>
      <c r="B3408" s="6" t="n">
        <v>63.8</v>
      </c>
    </row>
    <row r="3409">
      <c r="A3409" t="inlineStr">
        <is>
          <t>CB</t>
        </is>
      </c>
      <c r="B3409" s="6" t="n">
        <v>53.2</v>
      </c>
    </row>
    <row r="3410">
      <c r="A3410" t="inlineStr">
        <is>
          <t>CB</t>
        </is>
      </c>
      <c r="B3410" s="6" t="n">
        <v>19.8</v>
      </c>
    </row>
    <row r="3411">
      <c r="A3411" t="inlineStr">
        <is>
          <t>CB</t>
        </is>
      </c>
      <c r="B3411" s="6" t="n">
        <v>98.2</v>
      </c>
    </row>
    <row r="3412">
      <c r="A3412" t="inlineStr">
        <is>
          <t>CB</t>
        </is>
      </c>
      <c r="B3412" s="6" t="n">
        <v>24.2</v>
      </c>
    </row>
    <row r="3413">
      <c r="A3413" t="inlineStr">
        <is>
          <t>CB</t>
        </is>
      </c>
      <c r="B3413" s="6" t="n">
        <v>143.4</v>
      </c>
    </row>
    <row r="3414">
      <c r="A3414" t="inlineStr">
        <is>
          <t>CB</t>
        </is>
      </c>
      <c r="B3414" s="6" t="n">
        <v>83.09999999999999</v>
      </c>
    </row>
    <row r="3415">
      <c r="A3415" t="inlineStr">
        <is>
          <t>CB</t>
        </is>
      </c>
      <c r="B3415" s="6" t="n">
        <v>59.6</v>
      </c>
    </row>
    <row r="3416">
      <c r="A3416" t="inlineStr">
        <is>
          <t>CB</t>
        </is>
      </c>
      <c r="B3416" s="6" t="n">
        <v>68.09999999999999</v>
      </c>
    </row>
    <row r="3417">
      <c r="A3417" t="inlineStr">
        <is>
          <t>CB</t>
        </is>
      </c>
      <c r="B3417" s="6" t="n">
        <v>69.5</v>
      </c>
    </row>
    <row r="3418">
      <c r="A3418" t="inlineStr">
        <is>
          <t>CB</t>
        </is>
      </c>
      <c r="B3418" s="6" t="n">
        <v>68.2</v>
      </c>
    </row>
    <row r="3419">
      <c r="A3419" t="inlineStr">
        <is>
          <t>CB</t>
        </is>
      </c>
      <c r="B3419" s="6" t="n">
        <v>92.90000000000001</v>
      </c>
    </row>
    <row r="3420">
      <c r="A3420" t="inlineStr">
        <is>
          <t>CB</t>
        </is>
      </c>
      <c r="B3420" s="6" t="n">
        <v>32.9</v>
      </c>
    </row>
    <row r="3421">
      <c r="A3421" t="inlineStr">
        <is>
          <t>CB</t>
        </is>
      </c>
      <c r="B3421" s="6" t="n">
        <v>56.1</v>
      </c>
    </row>
    <row r="3422">
      <c r="A3422" t="inlineStr">
        <is>
          <t>CB</t>
        </is>
      </c>
      <c r="B3422" s="6" t="n">
        <v>76.09999999999999</v>
      </c>
    </row>
    <row r="3423">
      <c r="A3423" t="inlineStr">
        <is>
          <t>CB</t>
        </is>
      </c>
      <c r="B3423" s="6" t="n">
        <v>75.40000000000001</v>
      </c>
    </row>
    <row r="3424">
      <c r="A3424" t="inlineStr">
        <is>
          <t>CB</t>
        </is>
      </c>
      <c r="B3424" s="6" t="n">
        <v>54.4</v>
      </c>
    </row>
    <row r="3425">
      <c r="A3425" t="inlineStr">
        <is>
          <t>CB</t>
        </is>
      </c>
      <c r="B3425" s="6" t="n">
        <v>32.9</v>
      </c>
    </row>
    <row r="3426">
      <c r="A3426" t="inlineStr">
        <is>
          <t>CB</t>
        </is>
      </c>
      <c r="B3426" s="6" t="n">
        <v>18.9</v>
      </c>
    </row>
    <row r="3427">
      <c r="A3427" t="inlineStr">
        <is>
          <t>CB</t>
        </is>
      </c>
      <c r="B3427" s="6" t="n">
        <v>84.90000000000001</v>
      </c>
    </row>
    <row r="3428">
      <c r="A3428" t="inlineStr">
        <is>
          <t>CHV</t>
        </is>
      </c>
      <c r="B3428" s="6" t="n">
        <v>20</v>
      </c>
    </row>
    <row r="3429">
      <c r="A3429" t="inlineStr">
        <is>
          <t>CB</t>
        </is>
      </c>
      <c r="B3429" s="6" t="n">
        <v>8</v>
      </c>
    </row>
    <row r="3430">
      <c r="A3430" t="inlineStr">
        <is>
          <t>CB</t>
        </is>
      </c>
      <c r="B3430" s="6" t="n">
        <v>77.34999999999999</v>
      </c>
    </row>
    <row r="3431">
      <c r="A3431" t="inlineStr">
        <is>
          <t>CB</t>
        </is>
      </c>
      <c r="B3431" s="6" t="n">
        <v>32.6</v>
      </c>
    </row>
    <row r="3432">
      <c r="A3432" t="inlineStr">
        <is>
          <t>CB</t>
        </is>
      </c>
      <c r="B3432" s="6" t="n">
        <v>119.1</v>
      </c>
    </row>
    <row r="3433">
      <c r="A3433" t="inlineStr">
        <is>
          <t>CHV</t>
        </is>
      </c>
      <c r="B3433" s="6" t="n">
        <v>20</v>
      </c>
    </row>
    <row r="3434">
      <c r="A3434" t="inlineStr">
        <is>
          <t>CB</t>
        </is>
      </c>
      <c r="B3434" s="6" t="n">
        <v>47.1</v>
      </c>
    </row>
    <row r="3435">
      <c r="A3435" t="inlineStr">
        <is>
          <t>CB</t>
        </is>
      </c>
      <c r="B3435" s="6" t="n">
        <v>81.2</v>
      </c>
    </row>
    <row r="3436">
      <c r="A3436" t="inlineStr">
        <is>
          <t>CB</t>
        </is>
      </c>
      <c r="B3436" s="6" t="n">
        <v>53.7</v>
      </c>
    </row>
    <row r="3437">
      <c r="A3437" t="inlineStr">
        <is>
          <t>CB</t>
        </is>
      </c>
      <c r="B3437" s="6" t="n">
        <v>20.15</v>
      </c>
    </row>
    <row r="3438">
      <c r="A3438" t="inlineStr">
        <is>
          <t>CB</t>
        </is>
      </c>
      <c r="B3438" s="6" t="n">
        <v>50</v>
      </c>
    </row>
    <row r="3439">
      <c r="A3439" t="inlineStr">
        <is>
          <t>CB</t>
        </is>
      </c>
      <c r="B3439" s="6" t="n">
        <v>59.2</v>
      </c>
    </row>
    <row r="3440">
      <c r="A3440" t="inlineStr">
        <is>
          <t>CB</t>
        </is>
      </c>
      <c r="B3440" s="6" t="n">
        <v>20.15</v>
      </c>
    </row>
    <row r="3441">
      <c r="A3441" t="inlineStr">
        <is>
          <t>CB</t>
        </is>
      </c>
      <c r="B3441" s="6" t="n">
        <v>77.34999999999999</v>
      </c>
    </row>
    <row r="3442">
      <c r="A3442" t="inlineStr">
        <is>
          <t>CB</t>
        </is>
      </c>
      <c r="B3442" s="6" t="n">
        <v>72.09999999999999</v>
      </c>
    </row>
    <row r="3443">
      <c r="A3443" t="inlineStr">
        <is>
          <t>CB</t>
        </is>
      </c>
      <c r="B3443" s="6" t="n">
        <v>76.59999999999999</v>
      </c>
    </row>
    <row r="3444">
      <c r="A3444" t="inlineStr">
        <is>
          <t>CB</t>
        </is>
      </c>
      <c r="B3444" s="6" t="n">
        <v>136.9</v>
      </c>
    </row>
    <row r="3445">
      <c r="A3445" t="inlineStr">
        <is>
          <t>CB</t>
        </is>
      </c>
      <c r="B3445" s="6" t="n">
        <v>151.7</v>
      </c>
    </row>
    <row r="3446">
      <c r="A3446" t="inlineStr">
        <is>
          <t>CB</t>
        </is>
      </c>
      <c r="B3446" s="6" t="n">
        <v>46.3</v>
      </c>
    </row>
    <row r="3447">
      <c r="A3447" t="inlineStr">
        <is>
          <t>CB</t>
        </is>
      </c>
      <c r="B3447" s="6" t="n">
        <v>58.75</v>
      </c>
    </row>
    <row r="3448">
      <c r="A3448" t="inlineStr">
        <is>
          <t>CB</t>
        </is>
      </c>
      <c r="B3448" s="6" t="n">
        <v>34.95</v>
      </c>
    </row>
    <row r="3449">
      <c r="A3449" t="inlineStr">
        <is>
          <t>CB</t>
        </is>
      </c>
      <c r="B3449" s="6" t="n">
        <v>110.3</v>
      </c>
    </row>
    <row r="3450">
      <c r="A3450" t="inlineStr">
        <is>
          <t>CB</t>
        </is>
      </c>
      <c r="B3450" s="6" t="n">
        <v>62.2</v>
      </c>
    </row>
    <row r="3451">
      <c r="A3451" t="inlineStr">
        <is>
          <t>CB</t>
        </is>
      </c>
      <c r="B3451" s="6" t="n">
        <v>110.1</v>
      </c>
    </row>
    <row r="3452">
      <c r="A3452" t="inlineStr">
        <is>
          <t>CB</t>
        </is>
      </c>
      <c r="B3452" s="6" t="n">
        <v>100</v>
      </c>
    </row>
    <row r="3453">
      <c r="A3453" t="inlineStr">
        <is>
          <t>CB</t>
        </is>
      </c>
      <c r="B3453" s="6" t="n">
        <v>57.6</v>
      </c>
    </row>
    <row r="3454">
      <c r="A3454" t="inlineStr">
        <is>
          <t>CB</t>
        </is>
      </c>
      <c r="B3454" s="6" t="n">
        <v>24.9</v>
      </c>
    </row>
    <row r="3455">
      <c r="A3455" t="inlineStr">
        <is>
          <t>CB</t>
        </is>
      </c>
      <c r="B3455" s="6" t="n">
        <v>36.5</v>
      </c>
    </row>
    <row r="3456">
      <c r="A3456" t="inlineStr">
        <is>
          <t>CB</t>
        </is>
      </c>
      <c r="B3456" s="6" t="n">
        <v>22</v>
      </c>
    </row>
    <row r="3457">
      <c r="A3457" t="inlineStr">
        <is>
          <t>CB</t>
        </is>
      </c>
      <c r="B3457" s="6" t="n">
        <v>58.75</v>
      </c>
    </row>
    <row r="3458">
      <c r="A3458" t="inlineStr">
        <is>
          <t>CB</t>
        </is>
      </c>
      <c r="B3458" s="6" t="n">
        <v>24.9</v>
      </c>
    </row>
    <row r="3459">
      <c r="A3459" t="inlineStr">
        <is>
          <t>CB</t>
        </is>
      </c>
      <c r="B3459" s="6" t="n">
        <v>34.95</v>
      </c>
    </row>
    <row r="3460">
      <c r="A3460" t="inlineStr">
        <is>
          <t>CB</t>
        </is>
      </c>
      <c r="B3460" s="6" t="n">
        <v>26.8</v>
      </c>
    </row>
    <row r="3461">
      <c r="A3461" t="inlineStr">
        <is>
          <t>CB</t>
        </is>
      </c>
      <c r="B3461" s="6" t="n">
        <v>17.6</v>
      </c>
    </row>
    <row r="3462">
      <c r="A3462" t="inlineStr">
        <is>
          <t>CB</t>
        </is>
      </c>
      <c r="B3462" s="6" t="n">
        <v>116.4</v>
      </c>
    </row>
    <row r="3463">
      <c r="A3463" t="inlineStr">
        <is>
          <t>CB</t>
        </is>
      </c>
      <c r="B3463" s="6" t="n">
        <v>126.3</v>
      </c>
    </row>
    <row r="3464">
      <c r="A3464" t="inlineStr">
        <is>
          <t>CB</t>
        </is>
      </c>
      <c r="B3464" s="6" t="n">
        <v>113.7</v>
      </c>
    </row>
    <row r="3465">
      <c r="A3465" t="inlineStr">
        <is>
          <t>CB</t>
        </is>
      </c>
      <c r="B3465" s="6" t="n">
        <v>60</v>
      </c>
    </row>
    <row r="3466">
      <c r="A3466" t="inlineStr">
        <is>
          <t>CB</t>
        </is>
      </c>
      <c r="B3466" s="6" t="n">
        <v>87</v>
      </c>
    </row>
    <row r="3467">
      <c r="A3467" t="inlineStr">
        <is>
          <t>CHV</t>
        </is>
      </c>
      <c r="B3467" s="6" t="n">
        <v>40</v>
      </c>
    </row>
    <row r="3468">
      <c r="A3468" t="inlineStr">
        <is>
          <t>ESP</t>
        </is>
      </c>
      <c r="B3468" s="6" t="n">
        <v>2.6</v>
      </c>
    </row>
    <row r="3469">
      <c r="A3469" t="inlineStr">
        <is>
          <t>CB</t>
        </is>
      </c>
      <c r="B3469" s="6" t="n">
        <v>63.8</v>
      </c>
    </row>
    <row r="3470">
      <c r="A3470" t="inlineStr">
        <is>
          <t>CB</t>
        </is>
      </c>
      <c r="B3470" s="6" t="n">
        <v>32.2</v>
      </c>
    </row>
    <row r="3471">
      <c r="A3471" t="inlineStr">
        <is>
          <t>CB</t>
        </is>
      </c>
      <c r="B3471" s="6" t="n">
        <v>70.40000000000001</v>
      </c>
    </row>
    <row r="3472">
      <c r="A3472" t="inlineStr">
        <is>
          <t>CHV</t>
        </is>
      </c>
      <c r="B3472" s="6" t="n">
        <v>50</v>
      </c>
    </row>
    <row r="3473">
      <c r="A3473" t="inlineStr">
        <is>
          <t>CB</t>
        </is>
      </c>
      <c r="B3473" s="6" t="n">
        <v>7.9</v>
      </c>
    </row>
    <row r="3474">
      <c r="A3474" t="inlineStr">
        <is>
          <t>CHV</t>
        </is>
      </c>
      <c r="B3474" s="6" t="n">
        <v>80</v>
      </c>
    </row>
    <row r="3475">
      <c r="A3475" t="inlineStr">
        <is>
          <t>ESP</t>
        </is>
      </c>
      <c r="B3475" s="6" t="n">
        <v>0.3</v>
      </c>
    </row>
    <row r="3476">
      <c r="A3476" t="inlineStr">
        <is>
          <t>CB</t>
        </is>
      </c>
      <c r="B3476" s="6" t="n">
        <v>93.5</v>
      </c>
    </row>
    <row r="3477">
      <c r="A3477" t="inlineStr">
        <is>
          <t>CB</t>
        </is>
      </c>
      <c r="B3477" s="6" t="n">
        <v>46</v>
      </c>
    </row>
    <row r="3478">
      <c r="A3478" t="inlineStr">
        <is>
          <t>CB</t>
        </is>
      </c>
      <c r="B3478" s="6" t="n">
        <v>43.5</v>
      </c>
    </row>
    <row r="3479">
      <c r="A3479" t="inlineStr">
        <is>
          <t>CB</t>
        </is>
      </c>
      <c r="B3479" s="6" t="n">
        <v>20.1</v>
      </c>
    </row>
    <row r="3480">
      <c r="A3480" t="inlineStr">
        <is>
          <t>CB</t>
        </is>
      </c>
      <c r="B3480" s="6" t="n">
        <v>155.9</v>
      </c>
    </row>
    <row r="3481">
      <c r="A3481" t="inlineStr">
        <is>
          <t>CB</t>
        </is>
      </c>
      <c r="B3481" s="6" t="n">
        <v>89.90000000000001</v>
      </c>
    </row>
    <row r="3482">
      <c r="A3482" t="inlineStr">
        <is>
          <t>CB</t>
        </is>
      </c>
      <c r="B3482" s="6" t="n">
        <v>126.3</v>
      </c>
    </row>
    <row r="3483">
      <c r="A3483" t="inlineStr">
        <is>
          <t>CB</t>
        </is>
      </c>
      <c r="B3483" s="6" t="n">
        <v>31.8</v>
      </c>
    </row>
    <row r="3484">
      <c r="A3484" t="inlineStr">
        <is>
          <t>CB</t>
        </is>
      </c>
      <c r="B3484" s="6" t="n">
        <v>67.8</v>
      </c>
    </row>
    <row r="3485">
      <c r="A3485" t="inlineStr">
        <is>
          <t>CB</t>
        </is>
      </c>
      <c r="B3485" s="6" t="n">
        <v>95.40000000000001</v>
      </c>
    </row>
    <row r="3486">
      <c r="A3486" t="inlineStr">
        <is>
          <t>CB</t>
        </is>
      </c>
      <c r="B3486" s="6" t="n">
        <v>41.1</v>
      </c>
    </row>
    <row r="3487">
      <c r="A3487" t="inlineStr">
        <is>
          <t>CB</t>
        </is>
      </c>
      <c r="B3487" s="6" t="n">
        <v>177</v>
      </c>
    </row>
    <row r="3488">
      <c r="A3488" t="inlineStr">
        <is>
          <t>CB</t>
        </is>
      </c>
      <c r="B3488" s="6" t="n">
        <v>80.7</v>
      </c>
    </row>
    <row r="3489">
      <c r="A3489" t="inlineStr">
        <is>
          <t>CB</t>
        </is>
      </c>
      <c r="B3489" s="6" t="n">
        <v>54.6</v>
      </c>
    </row>
    <row r="3490">
      <c r="A3490" t="inlineStr">
        <is>
          <t>CB</t>
        </is>
      </c>
      <c r="B3490" s="6" t="n">
        <v>109.1</v>
      </c>
    </row>
    <row r="3491">
      <c r="A3491" t="inlineStr">
        <is>
          <t>CB</t>
        </is>
      </c>
      <c r="B3491" s="6" t="n">
        <v>86.40000000000001</v>
      </c>
    </row>
    <row r="3492">
      <c r="A3492" t="inlineStr">
        <is>
          <t>CB</t>
        </is>
      </c>
      <c r="B3492" s="6" t="n">
        <v>84.8</v>
      </c>
    </row>
    <row r="3493">
      <c r="A3493" t="inlineStr">
        <is>
          <t>CB</t>
        </is>
      </c>
      <c r="B3493" s="6" t="n">
        <v>31.5</v>
      </c>
    </row>
    <row r="3494">
      <c r="A3494" t="inlineStr">
        <is>
          <t>CB</t>
        </is>
      </c>
      <c r="B3494" s="6" t="n">
        <v>50</v>
      </c>
    </row>
    <row r="3495">
      <c r="A3495" t="inlineStr">
        <is>
          <t>CB</t>
        </is>
      </c>
      <c r="B3495" s="6" t="n">
        <v>20.1</v>
      </c>
    </row>
    <row r="3496">
      <c r="A3496" t="inlineStr">
        <is>
          <t>CB</t>
        </is>
      </c>
      <c r="B3496" s="6" t="n">
        <v>33.3</v>
      </c>
    </row>
    <row r="3497">
      <c r="A3497" t="inlineStr">
        <is>
          <t>CB</t>
        </is>
      </c>
      <c r="B3497" s="6" t="n">
        <v>31.1</v>
      </c>
    </row>
    <row r="3498">
      <c r="A3498" t="inlineStr">
        <is>
          <t>CB</t>
        </is>
      </c>
      <c r="B3498" s="6" t="n">
        <v>28</v>
      </c>
    </row>
    <row r="3499">
      <c r="A3499" t="inlineStr">
        <is>
          <t>CB</t>
        </is>
      </c>
      <c r="B3499" s="6" t="n">
        <v>84.8</v>
      </c>
    </row>
    <row r="3500">
      <c r="A3500" t="inlineStr">
        <is>
          <t>CB</t>
        </is>
      </c>
      <c r="B3500" s="6" t="n">
        <v>58.6</v>
      </c>
    </row>
    <row r="3501">
      <c r="A3501" t="inlineStr">
        <is>
          <t>CB</t>
        </is>
      </c>
      <c r="B3501" s="6" t="n">
        <v>78.90000000000001</v>
      </c>
    </row>
    <row r="3502">
      <c r="A3502" t="inlineStr">
        <is>
          <t>CB</t>
        </is>
      </c>
      <c r="B3502" s="6" t="n">
        <v>49.7</v>
      </c>
    </row>
    <row r="3503">
      <c r="A3503" t="inlineStr">
        <is>
          <t>CB</t>
        </is>
      </c>
      <c r="B3503" s="6" t="n">
        <v>65.7</v>
      </c>
    </row>
    <row r="3504">
      <c r="A3504" t="inlineStr">
        <is>
          <t>CB</t>
        </is>
      </c>
      <c r="B3504" s="6" t="n">
        <v>45.3</v>
      </c>
    </row>
    <row r="3505">
      <c r="A3505" t="inlineStr">
        <is>
          <t>CB</t>
        </is>
      </c>
      <c r="B3505" s="6" t="n">
        <v>98</v>
      </c>
    </row>
    <row r="3506">
      <c r="A3506" t="inlineStr">
        <is>
          <t>CHV</t>
        </is>
      </c>
      <c r="B3506" s="6" t="n">
        <v>46.8</v>
      </c>
    </row>
    <row r="3507">
      <c r="A3507" t="inlineStr">
        <is>
          <t>CB</t>
        </is>
      </c>
      <c r="B3507" s="6" t="n">
        <v>43.05</v>
      </c>
    </row>
    <row r="3508">
      <c r="A3508" t="inlineStr">
        <is>
          <t>TR</t>
        </is>
      </c>
      <c r="B3508" s="6" t="n">
        <v>35</v>
      </c>
    </row>
    <row r="3509">
      <c r="A3509" t="inlineStr">
        <is>
          <t>CB</t>
        </is>
      </c>
      <c r="B3509" s="6" t="n">
        <v>54.2</v>
      </c>
    </row>
    <row r="3510">
      <c r="A3510" t="inlineStr">
        <is>
          <t>CB</t>
        </is>
      </c>
      <c r="B3510" s="6" t="n">
        <v>117.5</v>
      </c>
    </row>
    <row r="3511">
      <c r="A3511" t="inlineStr">
        <is>
          <t>CB</t>
        </is>
      </c>
      <c r="B3511" s="6" t="n">
        <v>81.2</v>
      </c>
    </row>
    <row r="3512">
      <c r="A3512" t="inlineStr">
        <is>
          <t>CB</t>
        </is>
      </c>
      <c r="B3512" s="6" t="n">
        <v>79</v>
      </c>
    </row>
    <row r="3513">
      <c r="A3513" t="inlineStr">
        <is>
          <t>CB</t>
        </is>
      </c>
      <c r="B3513" s="6" t="n">
        <v>105.2</v>
      </c>
    </row>
    <row r="3514">
      <c r="A3514" t="inlineStr">
        <is>
          <t>CB</t>
        </is>
      </c>
      <c r="B3514" s="6" t="n">
        <v>84</v>
      </c>
    </row>
    <row r="3515">
      <c r="A3515" t="inlineStr">
        <is>
          <t>TR</t>
        </is>
      </c>
      <c r="B3515" s="6" t="n">
        <v>54</v>
      </c>
    </row>
    <row r="3516">
      <c r="A3516" t="inlineStr">
        <is>
          <t>ESP</t>
        </is>
      </c>
      <c r="B3516" s="6" t="n">
        <v>2.3</v>
      </c>
    </row>
    <row r="3517">
      <c r="A3517" t="inlineStr">
        <is>
          <t>CB</t>
        </is>
      </c>
      <c r="B3517" s="6" t="n">
        <v>30.3</v>
      </c>
    </row>
    <row r="3518">
      <c r="A3518" t="inlineStr">
        <is>
          <t>CB</t>
        </is>
      </c>
      <c r="B3518" s="6" t="n">
        <v>47</v>
      </c>
    </row>
    <row r="3519">
      <c r="A3519" t="inlineStr">
        <is>
          <t>CB</t>
        </is>
      </c>
      <c r="B3519" s="6" t="n">
        <v>43.05</v>
      </c>
    </row>
    <row r="3520">
      <c r="A3520" t="inlineStr">
        <is>
          <t>CB</t>
        </is>
      </c>
      <c r="B3520" s="6" t="n">
        <v>30</v>
      </c>
    </row>
    <row r="3521">
      <c r="A3521" t="inlineStr">
        <is>
          <t>CB</t>
        </is>
      </c>
      <c r="B3521" s="6" t="n">
        <v>27.4</v>
      </c>
    </row>
    <row r="3522">
      <c r="A3522" t="inlineStr">
        <is>
          <t>CB</t>
        </is>
      </c>
      <c r="B3522" s="6" t="n">
        <v>96.3</v>
      </c>
    </row>
    <row r="3523">
      <c r="A3523" t="inlineStr">
        <is>
          <t>CB</t>
        </is>
      </c>
      <c r="B3523" s="6" t="n">
        <v>54.2</v>
      </c>
    </row>
    <row r="3524">
      <c r="A3524" t="inlineStr">
        <is>
          <t>CB</t>
        </is>
      </c>
      <c r="B3524" s="6" t="n">
        <v>58.8</v>
      </c>
    </row>
    <row r="3525">
      <c r="A3525" t="inlineStr">
        <is>
          <t>CB</t>
        </is>
      </c>
      <c r="B3525" s="6" t="n">
        <v>95.5</v>
      </c>
    </row>
    <row r="3526">
      <c r="A3526" t="inlineStr">
        <is>
          <t>CB</t>
        </is>
      </c>
      <c r="B3526" s="6" t="n">
        <v>59.6</v>
      </c>
    </row>
    <row r="3527">
      <c r="A3527" t="inlineStr">
        <is>
          <t>CB</t>
        </is>
      </c>
      <c r="B3527" s="6" t="n">
        <v>127.8</v>
      </c>
    </row>
    <row r="3528">
      <c r="A3528" t="inlineStr">
        <is>
          <t>CB</t>
        </is>
      </c>
      <c r="B3528" s="6" t="n">
        <v>54.9</v>
      </c>
    </row>
    <row r="3529">
      <c r="A3529" t="inlineStr">
        <is>
          <t>CB</t>
        </is>
      </c>
      <c r="B3529" s="6" t="n">
        <v>29.7</v>
      </c>
    </row>
    <row r="3530">
      <c r="A3530" t="inlineStr">
        <is>
          <t>CB</t>
        </is>
      </c>
      <c r="B3530" s="6" t="n">
        <v>73.3</v>
      </c>
    </row>
    <row r="3531">
      <c r="A3531" t="inlineStr">
        <is>
          <t>CB</t>
        </is>
      </c>
      <c r="B3531" s="6" t="n">
        <v>89.3</v>
      </c>
    </row>
    <row r="3532">
      <c r="A3532" t="inlineStr">
        <is>
          <t>CB</t>
        </is>
      </c>
      <c r="B3532" s="6" t="n">
        <v>100.6</v>
      </c>
    </row>
    <row r="3533">
      <c r="A3533" t="inlineStr">
        <is>
          <t>CB</t>
        </is>
      </c>
      <c r="B3533" s="6" t="n">
        <v>93.90000000000001</v>
      </c>
    </row>
    <row r="3534">
      <c r="A3534" t="inlineStr">
        <is>
          <t>CB</t>
        </is>
      </c>
      <c r="B3534" s="6" t="n">
        <v>261</v>
      </c>
    </row>
    <row r="3535">
      <c r="A3535" t="inlineStr">
        <is>
          <t>CB</t>
        </is>
      </c>
      <c r="B3535" s="6" t="n">
        <v>63.2</v>
      </c>
    </row>
    <row r="3536">
      <c r="A3536" t="inlineStr">
        <is>
          <t>TR</t>
        </is>
      </c>
      <c r="B3536" s="6" t="n">
        <v>66</v>
      </c>
    </row>
    <row r="3537">
      <c r="A3537" t="inlineStr">
        <is>
          <t>ESP</t>
        </is>
      </c>
      <c r="B3537" s="6" t="n">
        <v>8.1</v>
      </c>
    </row>
    <row r="3538">
      <c r="A3538" t="inlineStr">
        <is>
          <t>CB</t>
        </is>
      </c>
      <c r="B3538" s="6" t="n">
        <v>50.9</v>
      </c>
    </row>
    <row r="3539">
      <c r="A3539" t="inlineStr">
        <is>
          <t>CB</t>
        </is>
      </c>
      <c r="B3539" s="6" t="n">
        <v>59.1</v>
      </c>
    </row>
    <row r="3540">
      <c r="A3540" t="inlineStr">
        <is>
          <t>CB</t>
        </is>
      </c>
      <c r="B3540" s="6" t="n">
        <v>45.6</v>
      </c>
    </row>
    <row r="3541">
      <c r="A3541" t="inlineStr">
        <is>
          <t>CHV</t>
        </is>
      </c>
      <c r="B3541" s="6" t="n">
        <v>20</v>
      </c>
    </row>
    <row r="3542">
      <c r="A3542" t="inlineStr">
        <is>
          <t>CB</t>
        </is>
      </c>
      <c r="B3542" s="6" t="n">
        <v>65.5</v>
      </c>
    </row>
    <row r="3543">
      <c r="A3543" t="inlineStr">
        <is>
          <t>CB</t>
        </is>
      </c>
      <c r="B3543" s="6" t="n">
        <v>64.59999999999999</v>
      </c>
    </row>
    <row r="3544">
      <c r="A3544" t="inlineStr">
        <is>
          <t>CB</t>
        </is>
      </c>
      <c r="B3544" s="6" t="n">
        <v>46.8</v>
      </c>
    </row>
    <row r="3545">
      <c r="A3545" t="inlineStr">
        <is>
          <t>CB</t>
        </is>
      </c>
      <c r="B3545" s="6" t="n">
        <v>83.5</v>
      </c>
    </row>
    <row r="3546">
      <c r="A3546" t="inlineStr">
        <is>
          <t>CB</t>
        </is>
      </c>
      <c r="B3546" s="6" t="n">
        <v>55.9</v>
      </c>
    </row>
    <row r="3547">
      <c r="A3547" t="inlineStr">
        <is>
          <t>CHV</t>
        </is>
      </c>
      <c r="B3547" s="6" t="n">
        <v>80</v>
      </c>
    </row>
    <row r="3548">
      <c r="A3548" t="inlineStr">
        <is>
          <t>CB</t>
        </is>
      </c>
      <c r="B3548" s="6" t="n">
        <v>17.6</v>
      </c>
    </row>
    <row r="3549">
      <c r="A3549" t="inlineStr">
        <is>
          <t>CB</t>
        </is>
      </c>
      <c r="B3549" s="6" t="n">
        <v>95</v>
      </c>
    </row>
    <row r="3550">
      <c r="A3550" t="inlineStr">
        <is>
          <t>CB</t>
        </is>
      </c>
      <c r="B3550" s="6" t="n">
        <v>67.59999999999999</v>
      </c>
    </row>
    <row r="3551">
      <c r="A3551" t="inlineStr">
        <is>
          <t>CB</t>
        </is>
      </c>
      <c r="B3551" s="6" t="n">
        <v>53.5</v>
      </c>
    </row>
    <row r="3552">
      <c r="A3552" t="inlineStr">
        <is>
          <t>CB</t>
        </is>
      </c>
      <c r="B3552" s="6" t="n">
        <v>194.6</v>
      </c>
    </row>
    <row r="3553">
      <c r="A3553" t="inlineStr">
        <is>
          <t>CB</t>
        </is>
      </c>
      <c r="B3553" s="6" t="n">
        <v>43.1</v>
      </c>
    </row>
    <row r="3554">
      <c r="A3554" t="inlineStr">
        <is>
          <t>CB</t>
        </is>
      </c>
      <c r="B3554" s="6" t="n">
        <v>114.8</v>
      </c>
    </row>
    <row r="3555">
      <c r="A3555" t="inlineStr">
        <is>
          <t>CB</t>
        </is>
      </c>
      <c r="B3555" s="6" t="n">
        <v>53.5</v>
      </c>
    </row>
    <row r="3556">
      <c r="A3556" t="inlineStr">
        <is>
          <t>CB</t>
        </is>
      </c>
      <c r="B3556" s="6" t="n">
        <v>96.40000000000001</v>
      </c>
    </row>
    <row r="3557">
      <c r="A3557" t="inlineStr">
        <is>
          <t>CB</t>
        </is>
      </c>
      <c r="B3557" s="6" t="n">
        <v>56.5</v>
      </c>
    </row>
    <row r="3558">
      <c r="A3558" t="inlineStr">
        <is>
          <t>CB</t>
        </is>
      </c>
      <c r="B3558" s="6" t="n">
        <v>103.9</v>
      </c>
    </row>
    <row r="3559">
      <c r="A3559" t="inlineStr">
        <is>
          <t>CB</t>
        </is>
      </c>
      <c r="B3559" s="6" t="n">
        <v>193.5</v>
      </c>
    </row>
    <row r="3560">
      <c r="A3560" t="inlineStr">
        <is>
          <t>CHV</t>
        </is>
      </c>
      <c r="B3560" s="6" t="n">
        <v>95.40000000000001</v>
      </c>
    </row>
    <row r="3561">
      <c r="A3561" t="inlineStr">
        <is>
          <t>CHV</t>
        </is>
      </c>
      <c r="B3561" s="6" t="n">
        <v>100</v>
      </c>
    </row>
    <row r="3562">
      <c r="A3562" t="inlineStr">
        <is>
          <t>ESP</t>
        </is>
      </c>
      <c r="B3562" s="6" t="n">
        <v>3.5</v>
      </c>
    </row>
    <row r="3563">
      <c r="A3563" t="inlineStr">
        <is>
          <t>CB</t>
        </is>
      </c>
      <c r="B3563" s="6" t="n">
        <v>87.34999999999999</v>
      </c>
    </row>
    <row r="3564">
      <c r="A3564" t="inlineStr">
        <is>
          <t>CB</t>
        </is>
      </c>
      <c r="B3564" s="6" t="n">
        <v>105.7</v>
      </c>
    </row>
    <row r="3565">
      <c r="A3565" t="inlineStr">
        <is>
          <t>CB</t>
        </is>
      </c>
      <c r="B3565" s="6" t="n">
        <v>39.6</v>
      </c>
    </row>
    <row r="3566">
      <c r="A3566" t="inlineStr">
        <is>
          <t>TR</t>
        </is>
      </c>
      <c r="B3566" s="6" t="n">
        <v>80</v>
      </c>
    </row>
    <row r="3567">
      <c r="A3567" t="inlineStr">
        <is>
          <t>TR</t>
        </is>
      </c>
      <c r="B3567" s="6" t="n">
        <v>64</v>
      </c>
    </row>
    <row r="3568">
      <c r="A3568" t="inlineStr">
        <is>
          <t>CB</t>
        </is>
      </c>
      <c r="B3568" s="6" t="n">
        <v>84.59999999999999</v>
      </c>
    </row>
    <row r="3569">
      <c r="A3569" t="inlineStr">
        <is>
          <t>CB</t>
        </is>
      </c>
      <c r="B3569" s="6" t="n">
        <v>59.6</v>
      </c>
    </row>
    <row r="3570">
      <c r="A3570" t="inlineStr">
        <is>
          <t>TR</t>
        </is>
      </c>
      <c r="B3570" s="6" t="n">
        <v>27</v>
      </c>
    </row>
    <row r="3571">
      <c r="A3571" t="inlineStr">
        <is>
          <t>CB</t>
        </is>
      </c>
      <c r="B3571" s="6" t="n">
        <v>10.4</v>
      </c>
    </row>
    <row r="3572">
      <c r="A3572" t="inlineStr">
        <is>
          <t>CB</t>
        </is>
      </c>
      <c r="B3572" s="6" t="n">
        <v>64</v>
      </c>
    </row>
    <row r="3573">
      <c r="A3573" t="inlineStr">
        <is>
          <t>CB</t>
        </is>
      </c>
      <c r="B3573" s="6" t="n">
        <v>74.5</v>
      </c>
    </row>
    <row r="3574">
      <c r="A3574" t="inlineStr">
        <is>
          <t>CHV</t>
        </is>
      </c>
      <c r="B3574" s="6" t="n">
        <v>40</v>
      </c>
    </row>
    <row r="3575">
      <c r="A3575" t="inlineStr">
        <is>
          <t>ESP</t>
        </is>
      </c>
      <c r="B3575" s="6" t="n">
        <v>2.9</v>
      </c>
    </row>
    <row r="3576">
      <c r="A3576" t="inlineStr">
        <is>
          <t>CB</t>
        </is>
      </c>
      <c r="B3576" s="6" t="n">
        <v>72.7</v>
      </c>
    </row>
    <row r="3577">
      <c r="A3577" t="inlineStr">
        <is>
          <t>CB</t>
        </is>
      </c>
      <c r="B3577" s="6" t="n">
        <v>87.34999999999999</v>
      </c>
    </row>
    <row r="3578">
      <c r="A3578" t="inlineStr">
        <is>
          <t>CB</t>
        </is>
      </c>
      <c r="B3578" s="6" t="n">
        <v>64</v>
      </c>
    </row>
    <row r="3579">
      <c r="A3579" t="inlineStr">
        <is>
          <t>CHV</t>
        </is>
      </c>
      <c r="B3579" s="6" t="n">
        <v>20</v>
      </c>
    </row>
    <row r="3580">
      <c r="A3580" t="inlineStr">
        <is>
          <t>CB</t>
        </is>
      </c>
      <c r="B3580" s="6" t="n">
        <v>17.4</v>
      </c>
    </row>
    <row r="3581">
      <c r="A3581" t="inlineStr">
        <is>
          <t>CB</t>
        </is>
      </c>
      <c r="B3581" s="6" t="n">
        <v>215.4</v>
      </c>
    </row>
    <row r="3582">
      <c r="A3582" t="inlineStr">
        <is>
          <t>CB</t>
        </is>
      </c>
      <c r="B3582" s="6" t="n">
        <v>50</v>
      </c>
    </row>
    <row r="3583">
      <c r="A3583" t="inlineStr">
        <is>
          <t>CB</t>
        </is>
      </c>
      <c r="B3583" s="6" t="n">
        <v>21.2</v>
      </c>
    </row>
    <row r="3584">
      <c r="A3584" t="inlineStr">
        <is>
          <t>CB</t>
        </is>
      </c>
      <c r="B3584" s="6" t="n">
        <v>71.09999999999999</v>
      </c>
    </row>
    <row r="3585">
      <c r="A3585" t="inlineStr">
        <is>
          <t>CHV</t>
        </is>
      </c>
      <c r="B3585" s="6" t="n">
        <v>30</v>
      </c>
    </row>
    <row r="3586">
      <c r="A3586" t="inlineStr">
        <is>
          <t>CB</t>
        </is>
      </c>
      <c r="B3586" s="6" t="n">
        <v>44.9</v>
      </c>
    </row>
    <row r="3587">
      <c r="A3587" t="inlineStr">
        <is>
          <t>CB</t>
        </is>
      </c>
      <c r="B3587" s="6" t="n">
        <v>48.7</v>
      </c>
    </row>
    <row r="3588">
      <c r="A3588" t="inlineStr">
        <is>
          <t>CB</t>
        </is>
      </c>
      <c r="B3588" s="6" t="n">
        <v>61.2</v>
      </c>
    </row>
    <row r="3589">
      <c r="A3589" t="inlineStr">
        <is>
          <t>CB</t>
        </is>
      </c>
      <c r="B3589" s="6" t="n">
        <v>57.6</v>
      </c>
    </row>
    <row r="3590">
      <c r="A3590" t="inlineStr">
        <is>
          <t>CHQ</t>
        </is>
      </c>
      <c r="B3590" s="6" t="n">
        <v>80.8</v>
      </c>
    </row>
    <row r="3591">
      <c r="A3591" t="inlineStr">
        <is>
          <t>CB</t>
        </is>
      </c>
      <c r="B3591" s="6" t="n">
        <v>75.2</v>
      </c>
    </row>
    <row r="3592">
      <c r="A3592" t="inlineStr">
        <is>
          <t>CB</t>
        </is>
      </c>
      <c r="B3592" s="6" t="n">
        <v>180.6</v>
      </c>
    </row>
    <row r="3593">
      <c r="A3593" t="inlineStr">
        <is>
          <t>CB</t>
        </is>
      </c>
      <c r="B3593" s="6" t="n">
        <v>35.2</v>
      </c>
    </row>
    <row r="3594">
      <c r="A3594" t="inlineStr">
        <is>
          <t>CB</t>
        </is>
      </c>
      <c r="B3594" s="6" t="n">
        <v>69.40000000000001</v>
      </c>
    </row>
    <row r="3595">
      <c r="A3595" t="inlineStr">
        <is>
          <t>CB</t>
        </is>
      </c>
      <c r="B3595" s="6" t="n">
        <v>81.7</v>
      </c>
    </row>
    <row r="3596">
      <c r="A3596" t="inlineStr">
        <is>
          <t>CB</t>
        </is>
      </c>
      <c r="B3596" s="6" t="n">
        <v>102.5</v>
      </c>
    </row>
    <row r="3597">
      <c r="A3597" t="inlineStr">
        <is>
          <t>CB</t>
        </is>
      </c>
      <c r="B3597" s="6" t="n">
        <v>35.2</v>
      </c>
    </row>
    <row r="3598">
      <c r="A3598" t="inlineStr">
        <is>
          <t>CB</t>
        </is>
      </c>
      <c r="B3598" s="6" t="n">
        <v>59.4</v>
      </c>
    </row>
    <row r="3599">
      <c r="A3599" t="inlineStr">
        <is>
          <t>CB</t>
        </is>
      </c>
      <c r="B3599" s="6" t="n">
        <v>128.8</v>
      </c>
    </row>
    <row r="3600">
      <c r="A3600" t="inlineStr">
        <is>
          <t>CB</t>
        </is>
      </c>
      <c r="B3600" s="6" t="n">
        <v>57</v>
      </c>
    </row>
    <row r="3601">
      <c r="A3601" t="inlineStr">
        <is>
          <t>CB</t>
        </is>
      </c>
      <c r="B3601" s="6" t="n">
        <v>68.2</v>
      </c>
    </row>
    <row r="3602">
      <c r="A3602" t="inlineStr">
        <is>
          <t>CB</t>
        </is>
      </c>
      <c r="B3602" s="6" t="n">
        <v>95.90000000000001</v>
      </c>
    </row>
    <row r="3603">
      <c r="A3603" t="inlineStr">
        <is>
          <t>CB</t>
        </is>
      </c>
      <c r="B3603" s="6" t="n">
        <v>66.8</v>
      </c>
    </row>
    <row r="3604">
      <c r="A3604" t="inlineStr">
        <is>
          <t>CB</t>
        </is>
      </c>
      <c r="B3604" s="6" t="n">
        <v>54.8</v>
      </c>
    </row>
    <row r="3605">
      <c r="A3605" t="inlineStr">
        <is>
          <t>CB</t>
        </is>
      </c>
      <c r="B3605" s="6" t="n">
        <v>87.2</v>
      </c>
    </row>
    <row r="3606">
      <c r="A3606" t="inlineStr">
        <is>
          <t>CB</t>
        </is>
      </c>
      <c r="B3606" s="6" t="n">
        <v>83.5</v>
      </c>
    </row>
    <row r="3607">
      <c r="A3607" t="inlineStr">
        <is>
          <t>CB</t>
        </is>
      </c>
      <c r="B3607" s="6" t="n">
        <v>45</v>
      </c>
    </row>
    <row r="3608">
      <c r="A3608" t="inlineStr">
        <is>
          <t>CHV</t>
        </is>
      </c>
      <c r="B3608" s="6" t="n">
        <v>60</v>
      </c>
    </row>
    <row r="3609">
      <c r="A3609" t="inlineStr">
        <is>
          <t>ESP</t>
        </is>
      </c>
      <c r="B3609" s="6" t="n">
        <v>6.7</v>
      </c>
    </row>
    <row r="3610">
      <c r="A3610" t="inlineStr">
        <is>
          <t>CB</t>
        </is>
      </c>
      <c r="B3610" s="6" t="n">
        <v>91.09999999999999</v>
      </c>
    </row>
    <row r="3611">
      <c r="A3611" t="inlineStr">
        <is>
          <t>CB</t>
        </is>
      </c>
      <c r="B3611" s="6" t="n">
        <v>45.55</v>
      </c>
    </row>
    <row r="3612">
      <c r="A3612" t="inlineStr">
        <is>
          <t>CB</t>
        </is>
      </c>
      <c r="B3612" s="6" t="n">
        <v>45.55</v>
      </c>
    </row>
    <row r="3613">
      <c r="A3613" t="inlineStr">
        <is>
          <t>CB</t>
        </is>
      </c>
      <c r="B3613" s="6" t="n">
        <v>121.2</v>
      </c>
    </row>
    <row r="3614">
      <c r="A3614" t="inlineStr">
        <is>
          <t>CB</t>
        </is>
      </c>
      <c r="B3614" s="6" t="n">
        <v>63</v>
      </c>
    </row>
    <row r="3615">
      <c r="A3615" t="inlineStr">
        <is>
          <t>CB</t>
        </is>
      </c>
      <c r="B3615" s="6" t="n">
        <v>200</v>
      </c>
    </row>
    <row r="3616">
      <c r="A3616" t="inlineStr">
        <is>
          <t>CB</t>
        </is>
      </c>
      <c r="B3616" s="6" t="n">
        <v>24</v>
      </c>
    </row>
    <row r="3617">
      <c r="A3617" t="inlineStr">
        <is>
          <t>CB</t>
        </is>
      </c>
      <c r="B3617" s="6" t="n">
        <v>39.7</v>
      </c>
    </row>
    <row r="3618">
      <c r="A3618" t="inlineStr">
        <is>
          <t>CHV</t>
        </is>
      </c>
      <c r="B3618" s="6" t="n">
        <v>60</v>
      </c>
    </row>
    <row r="3619">
      <c r="A3619" t="inlineStr">
        <is>
          <t>ESP</t>
        </is>
      </c>
      <c r="B3619" s="6" t="n">
        <v>2.9</v>
      </c>
    </row>
    <row r="3620">
      <c r="A3620" t="inlineStr">
        <is>
          <t>CB</t>
        </is>
      </c>
      <c r="B3620" s="6" t="n">
        <v>27.2</v>
      </c>
    </row>
    <row r="3621">
      <c r="A3621" t="inlineStr">
        <is>
          <t>CB</t>
        </is>
      </c>
      <c r="B3621" s="6" t="n">
        <v>52.8</v>
      </c>
    </row>
    <row r="3622">
      <c r="A3622" t="inlineStr">
        <is>
          <t>CB</t>
        </is>
      </c>
      <c r="B3622" s="6" t="n">
        <v>77.3</v>
      </c>
    </row>
    <row r="3623">
      <c r="A3623" t="inlineStr">
        <is>
          <t>CB</t>
        </is>
      </c>
      <c r="B3623" s="6" t="n">
        <v>134.2</v>
      </c>
    </row>
    <row r="3624">
      <c r="A3624" t="inlineStr">
        <is>
          <t>CB</t>
        </is>
      </c>
      <c r="B3624" s="6" t="n">
        <v>75.09999999999999</v>
      </c>
    </row>
    <row r="3625">
      <c r="A3625" t="inlineStr">
        <is>
          <t>TR</t>
        </is>
      </c>
      <c r="B3625" s="6" t="n">
        <v>83.3</v>
      </c>
    </row>
    <row r="3626">
      <c r="A3626" t="inlineStr">
        <is>
          <t>CB</t>
        </is>
      </c>
      <c r="B3626" s="6" t="n">
        <v>14.5</v>
      </c>
    </row>
    <row r="3627">
      <c r="A3627" t="inlineStr">
        <is>
          <t>CB</t>
        </is>
      </c>
      <c r="B3627" s="6" t="n">
        <v>92.8</v>
      </c>
    </row>
    <row r="3628">
      <c r="A3628" t="inlineStr">
        <is>
          <t>CB</t>
        </is>
      </c>
      <c r="B3628" s="6" t="n">
        <v>69.7</v>
      </c>
    </row>
    <row r="3629">
      <c r="A3629" t="inlineStr">
        <is>
          <t>CB</t>
        </is>
      </c>
      <c r="B3629" s="6" t="n">
        <v>157</v>
      </c>
    </row>
    <row r="3630">
      <c r="A3630" t="inlineStr">
        <is>
          <t>CHQ</t>
        </is>
      </c>
      <c r="B3630" s="6" t="n">
        <v>87.17</v>
      </c>
    </row>
    <row r="3631">
      <c r="A3631" t="inlineStr">
        <is>
          <t>CB</t>
        </is>
      </c>
      <c r="B3631" s="6" t="n">
        <v>43.59</v>
      </c>
    </row>
    <row r="3632">
      <c r="A3632" t="inlineStr">
        <is>
          <t>CHQ</t>
        </is>
      </c>
      <c r="B3632" s="6" t="n">
        <v>43.59</v>
      </c>
    </row>
    <row r="3633">
      <c r="A3633" t="inlineStr">
        <is>
          <t>CB</t>
        </is>
      </c>
      <c r="B3633" s="6" t="n">
        <v>87.15000000000001</v>
      </c>
    </row>
    <row r="3634">
      <c r="A3634" t="inlineStr">
        <is>
          <t>CB</t>
        </is>
      </c>
      <c r="B3634" s="6" t="n">
        <v>27.7</v>
      </c>
    </row>
    <row r="3635">
      <c r="A3635" t="inlineStr">
        <is>
          <t>CB</t>
        </is>
      </c>
      <c r="B3635" s="6" t="n">
        <v>66.90000000000001</v>
      </c>
    </row>
    <row r="3636">
      <c r="A3636" t="inlineStr">
        <is>
          <t>CB</t>
        </is>
      </c>
      <c r="B3636" s="6" t="n">
        <v>96.59999999999999</v>
      </c>
    </row>
    <row r="3637">
      <c r="A3637" t="inlineStr">
        <is>
          <t>CB</t>
        </is>
      </c>
      <c r="B3637" s="6" t="n">
        <v>26.9</v>
      </c>
    </row>
    <row r="3638">
      <c r="A3638" t="inlineStr">
        <is>
          <t>CB</t>
        </is>
      </c>
      <c r="B3638" s="6" t="n">
        <v>81.34</v>
      </c>
    </row>
    <row r="3639">
      <c r="A3639" t="inlineStr">
        <is>
          <t>CHV</t>
        </is>
      </c>
      <c r="B3639" s="6" t="n">
        <v>120</v>
      </c>
    </row>
    <row r="3640">
      <c r="A3640" t="inlineStr">
        <is>
          <t>ESP</t>
        </is>
      </c>
      <c r="B3640" s="6" t="n">
        <v>3.4</v>
      </c>
    </row>
    <row r="3641">
      <c r="A3641" t="inlineStr">
        <is>
          <t>CB</t>
        </is>
      </c>
      <c r="B3641" s="6" t="n">
        <v>60.2</v>
      </c>
    </row>
    <row r="3642">
      <c r="A3642" t="inlineStr">
        <is>
          <t>CB</t>
        </is>
      </c>
      <c r="B3642" s="6" t="n">
        <v>103.7</v>
      </c>
    </row>
    <row r="3643">
      <c r="A3643" t="inlineStr">
        <is>
          <t>CB</t>
        </is>
      </c>
      <c r="B3643" s="6" t="n">
        <v>99.8</v>
      </c>
    </row>
    <row r="3644">
      <c r="A3644" t="inlineStr">
        <is>
          <t>CB</t>
        </is>
      </c>
      <c r="B3644" s="6" t="n">
        <v>207.3</v>
      </c>
    </row>
    <row r="3645">
      <c r="A3645" t="inlineStr">
        <is>
          <t>CB</t>
        </is>
      </c>
      <c r="B3645" s="6" t="n">
        <v>63.1</v>
      </c>
    </row>
    <row r="3646">
      <c r="A3646" t="inlineStr">
        <is>
          <t>CB</t>
        </is>
      </c>
      <c r="B3646" s="6" t="n">
        <v>49.2</v>
      </c>
    </row>
    <row r="3647">
      <c r="A3647" t="inlineStr">
        <is>
          <t>CHV</t>
        </is>
      </c>
      <c r="B3647" s="6" t="n">
        <v>10</v>
      </c>
    </row>
    <row r="3648">
      <c r="A3648" t="inlineStr">
        <is>
          <t>CB</t>
        </is>
      </c>
      <c r="B3648" s="6" t="n">
        <v>10.65</v>
      </c>
    </row>
    <row r="3649">
      <c r="A3649" t="inlineStr">
        <is>
          <t>CB</t>
        </is>
      </c>
      <c r="B3649" s="6" t="n">
        <v>19.5</v>
      </c>
    </row>
    <row r="3650">
      <c r="A3650" t="inlineStr">
        <is>
          <t>CB</t>
        </is>
      </c>
      <c r="B3650" s="6" t="n">
        <v>52.7</v>
      </c>
    </row>
    <row r="3651">
      <c r="A3651" t="inlineStr">
        <is>
          <t>CB</t>
        </is>
      </c>
      <c r="B3651" s="6" t="n">
        <v>70.2</v>
      </c>
    </row>
    <row r="3652">
      <c r="A3652" t="inlineStr">
        <is>
          <t>CB</t>
        </is>
      </c>
      <c r="B3652" s="6" t="n">
        <v>88.7</v>
      </c>
    </row>
    <row r="3653">
      <c r="A3653" t="inlineStr">
        <is>
          <t>CB</t>
        </is>
      </c>
      <c r="B3653" s="6" t="n">
        <v>63.1</v>
      </c>
    </row>
    <row r="3654">
      <c r="A3654" t="inlineStr">
        <is>
          <t>CB</t>
        </is>
      </c>
      <c r="B3654" s="6" t="n">
        <v>70.2</v>
      </c>
    </row>
    <row r="3655">
      <c r="A3655" t="inlineStr">
        <is>
          <t>TR</t>
        </is>
      </c>
      <c r="B3655" s="6" t="n">
        <v>18.5</v>
      </c>
    </row>
    <row r="3656">
      <c r="A3656" t="inlineStr">
        <is>
          <t>CB</t>
        </is>
      </c>
      <c r="B3656" s="6" t="n">
        <v>2.15</v>
      </c>
    </row>
    <row r="3657">
      <c r="A3657" t="inlineStr">
        <is>
          <t>CB</t>
        </is>
      </c>
      <c r="B3657" s="6" t="n">
        <v>60</v>
      </c>
    </row>
    <row r="3658">
      <c r="A3658" t="inlineStr">
        <is>
          <t>CB</t>
        </is>
      </c>
      <c r="B3658" s="6" t="n">
        <v>85.3</v>
      </c>
    </row>
    <row r="3659">
      <c r="A3659" t="inlineStr">
        <is>
          <t>CB</t>
        </is>
      </c>
      <c r="B3659" s="6" t="n">
        <v>37.9</v>
      </c>
    </row>
    <row r="3660">
      <c r="A3660" t="inlineStr">
        <is>
          <t>CB</t>
        </is>
      </c>
      <c r="B3660" s="6" t="n">
        <v>57.2</v>
      </c>
    </row>
    <row r="3661">
      <c r="A3661" t="inlineStr">
        <is>
          <t>CB</t>
        </is>
      </c>
      <c r="B3661" s="6" t="n">
        <v>43.8</v>
      </c>
    </row>
    <row r="3662">
      <c r="A3662" t="inlineStr">
        <is>
          <t>TR</t>
        </is>
      </c>
      <c r="B3662" s="6" t="n">
        <v>45</v>
      </c>
    </row>
    <row r="3663">
      <c r="A3663" t="inlineStr">
        <is>
          <t>TR</t>
        </is>
      </c>
      <c r="B3663" s="6" t="n">
        <v>24</v>
      </c>
    </row>
    <row r="3664">
      <c r="A3664" t="inlineStr">
        <is>
          <t>CB</t>
        </is>
      </c>
      <c r="B3664" s="6" t="n">
        <v>28.3</v>
      </c>
    </row>
    <row r="3665">
      <c r="A3665" t="inlineStr">
        <is>
          <t>CB</t>
        </is>
      </c>
      <c r="B3665" s="6" t="n">
        <v>113</v>
      </c>
    </row>
    <row r="3666">
      <c r="A3666" t="inlineStr">
        <is>
          <t>CB</t>
        </is>
      </c>
      <c r="B3666" s="6" t="n">
        <v>74</v>
      </c>
    </row>
    <row r="3667">
      <c r="A3667" t="inlineStr">
        <is>
          <t>CB</t>
        </is>
      </c>
      <c r="B3667" s="6" t="n">
        <v>59.1</v>
      </c>
    </row>
    <row r="3668">
      <c r="A3668" t="inlineStr">
        <is>
          <t>CB</t>
        </is>
      </c>
      <c r="B3668" s="6" t="n">
        <v>48</v>
      </c>
    </row>
    <row r="3669">
      <c r="A3669" t="inlineStr">
        <is>
          <t>CB</t>
        </is>
      </c>
      <c r="B3669" s="6" t="n">
        <v>70.2</v>
      </c>
    </row>
    <row r="3670">
      <c r="A3670" t="inlineStr">
        <is>
          <t>CB</t>
        </is>
      </c>
      <c r="B3670" s="6" t="n">
        <v>46</v>
      </c>
    </row>
    <row r="3671">
      <c r="A3671" t="inlineStr">
        <is>
          <t>CB</t>
        </is>
      </c>
      <c r="B3671" s="6" t="n">
        <v>45</v>
      </c>
    </row>
    <row r="3672">
      <c r="A3672" t="inlineStr">
        <is>
          <t>CB</t>
        </is>
      </c>
      <c r="B3672" s="6" t="n">
        <v>151.7</v>
      </c>
    </row>
    <row r="3673">
      <c r="A3673" t="inlineStr">
        <is>
          <t>CHV</t>
        </is>
      </c>
      <c r="B3673" s="6" t="n">
        <v>70</v>
      </c>
    </row>
    <row r="3674">
      <c r="A3674" t="inlineStr">
        <is>
          <t>CB</t>
        </is>
      </c>
      <c r="B3674" s="6" t="n">
        <v>7.6</v>
      </c>
    </row>
    <row r="3675">
      <c r="A3675" t="inlineStr">
        <is>
          <t>CB</t>
        </is>
      </c>
      <c r="B3675" s="6" t="n">
        <v>51</v>
      </c>
    </row>
    <row r="3676">
      <c r="A3676" t="inlineStr">
        <is>
          <t>CB</t>
        </is>
      </c>
      <c r="B3676" s="6" t="n">
        <v>81.3</v>
      </c>
    </row>
    <row r="3677">
      <c r="A3677" t="inlineStr">
        <is>
          <t>CB</t>
        </is>
      </c>
      <c r="B3677" s="6" t="n">
        <v>71.2</v>
      </c>
    </row>
    <row r="3678">
      <c r="A3678" t="inlineStr">
        <is>
          <t>CB</t>
        </is>
      </c>
      <c r="B3678" s="6" t="n">
        <v>92.5</v>
      </c>
    </row>
    <row r="3679">
      <c r="A3679" t="inlineStr">
        <is>
          <t>TR</t>
        </is>
      </c>
      <c r="B3679" s="6" t="n">
        <v>84</v>
      </c>
    </row>
    <row r="3680">
      <c r="A3680" t="inlineStr">
        <is>
          <t>CB</t>
        </is>
      </c>
      <c r="B3680" s="6" t="n">
        <v>62.4</v>
      </c>
    </row>
    <row r="3681">
      <c r="A3681" t="inlineStr">
        <is>
          <t>TR</t>
        </is>
      </c>
      <c r="B3681" s="6" t="n">
        <v>10</v>
      </c>
    </row>
    <row r="3682">
      <c r="A3682" t="inlineStr">
        <is>
          <t>CB</t>
        </is>
      </c>
      <c r="B3682" s="6" t="n">
        <v>83.2</v>
      </c>
    </row>
    <row r="3683">
      <c r="A3683" t="inlineStr">
        <is>
          <t>CB</t>
        </is>
      </c>
      <c r="B3683" s="6" t="n">
        <v>43.5</v>
      </c>
    </row>
    <row r="3684">
      <c r="A3684" t="inlineStr">
        <is>
          <t>CB</t>
        </is>
      </c>
      <c r="B3684" s="6" t="n">
        <v>53.2</v>
      </c>
    </row>
    <row r="3685">
      <c r="A3685" t="inlineStr">
        <is>
          <t>CB</t>
        </is>
      </c>
      <c r="B3685" s="6" t="n">
        <v>105.2</v>
      </c>
    </row>
    <row r="3686">
      <c r="A3686" t="inlineStr">
        <is>
          <t>CHV</t>
        </is>
      </c>
      <c r="B3686" s="6" t="n">
        <v>68.34999999999999</v>
      </c>
    </row>
    <row r="3687">
      <c r="A3687" t="inlineStr">
        <is>
          <t>CB</t>
        </is>
      </c>
      <c r="B3687" s="6" t="n">
        <v>82</v>
      </c>
    </row>
    <row r="3688">
      <c r="A3688" t="inlineStr">
        <is>
          <t>CB</t>
        </is>
      </c>
      <c r="B3688" s="6" t="n">
        <v>125.8</v>
      </c>
    </row>
    <row r="3689">
      <c r="A3689" t="inlineStr">
        <is>
          <t>CB</t>
        </is>
      </c>
      <c r="B3689" s="6" t="n">
        <v>112</v>
      </c>
    </row>
    <row r="3690">
      <c r="A3690" t="inlineStr">
        <is>
          <t>TR</t>
        </is>
      </c>
      <c r="B3690" s="6" t="n">
        <v>9.48</v>
      </c>
    </row>
    <row r="3691">
      <c r="A3691" t="inlineStr">
        <is>
          <t>ESP</t>
        </is>
      </c>
      <c r="B3691" s="6" t="n">
        <v>0.02</v>
      </c>
    </row>
    <row r="3692">
      <c r="A3692" t="inlineStr">
        <is>
          <t>CB</t>
        </is>
      </c>
      <c r="B3692" s="6" t="n">
        <v>68.34999999999999</v>
      </c>
    </row>
    <row r="3693">
      <c r="A3693" t="inlineStr">
        <is>
          <t>CB</t>
        </is>
      </c>
      <c r="B3693" s="6" t="n">
        <v>63.9</v>
      </c>
    </row>
    <row r="3694">
      <c r="A3694" t="inlineStr">
        <is>
          <t>CB</t>
        </is>
      </c>
      <c r="B3694" s="6" t="n">
        <v>63.3</v>
      </c>
    </row>
    <row r="3695">
      <c r="A3695" t="inlineStr">
        <is>
          <t>CB</t>
        </is>
      </c>
      <c r="B3695" s="6" t="n">
        <v>62.7</v>
      </c>
    </row>
    <row r="3696">
      <c r="A3696" t="inlineStr">
        <is>
          <t>CB</t>
        </is>
      </c>
      <c r="B3696" s="6" t="n">
        <v>38</v>
      </c>
    </row>
    <row r="3697">
      <c r="A3697" t="inlineStr">
        <is>
          <t>CB</t>
        </is>
      </c>
      <c r="B3697" s="6" t="n">
        <v>98.59999999999999</v>
      </c>
    </row>
    <row r="3698">
      <c r="A3698" t="inlineStr">
        <is>
          <t>CB</t>
        </is>
      </c>
      <c r="B3698" s="6" t="n">
        <v>38.45</v>
      </c>
    </row>
    <row r="3699">
      <c r="A3699" t="inlineStr">
        <is>
          <t>CB</t>
        </is>
      </c>
      <c r="B3699" s="6" t="n">
        <v>38.6</v>
      </c>
    </row>
    <row r="3700">
      <c r="A3700" t="inlineStr">
        <is>
          <t>CB</t>
        </is>
      </c>
      <c r="B3700" s="6" t="n">
        <v>73.09999999999999</v>
      </c>
    </row>
    <row r="3701">
      <c r="A3701" t="inlineStr">
        <is>
          <t>CB</t>
        </is>
      </c>
      <c r="B3701" s="6" t="n">
        <v>79.59999999999999</v>
      </c>
    </row>
    <row r="3702">
      <c r="A3702" t="inlineStr">
        <is>
          <t>CB</t>
        </is>
      </c>
      <c r="B3702" s="6" t="n">
        <v>40.6</v>
      </c>
    </row>
    <row r="3703">
      <c r="A3703" t="inlineStr">
        <is>
          <t>CB</t>
        </is>
      </c>
      <c r="B3703" s="6" t="n">
        <v>56.3</v>
      </c>
    </row>
    <row r="3704">
      <c r="A3704" t="inlineStr">
        <is>
          <t>CB</t>
        </is>
      </c>
      <c r="B3704" s="6" t="n">
        <v>36.1</v>
      </c>
    </row>
    <row r="3705">
      <c r="A3705" t="inlineStr">
        <is>
          <t>CB</t>
        </is>
      </c>
      <c r="B3705" s="6" t="n">
        <v>175.9</v>
      </c>
    </row>
    <row r="3706">
      <c r="A3706" t="inlineStr">
        <is>
          <t>CB</t>
        </is>
      </c>
      <c r="B3706" s="6" t="n">
        <v>58.6</v>
      </c>
    </row>
    <row r="3707">
      <c r="A3707" t="inlineStr">
        <is>
          <t>CB</t>
        </is>
      </c>
      <c r="B3707" s="6" t="n">
        <v>54.8</v>
      </c>
    </row>
    <row r="3708">
      <c r="A3708" t="inlineStr">
        <is>
          <t>CB</t>
        </is>
      </c>
      <c r="B3708" s="6" t="n">
        <v>42.1</v>
      </c>
    </row>
    <row r="3709">
      <c r="A3709" t="inlineStr">
        <is>
          <t>CB</t>
        </is>
      </c>
      <c r="B3709" s="6" t="n">
        <v>38.45</v>
      </c>
    </row>
    <row r="3710">
      <c r="A3710" t="inlineStr">
        <is>
          <t>CB</t>
        </is>
      </c>
      <c r="B3710" s="6" t="n">
        <v>32</v>
      </c>
    </row>
    <row r="3711">
      <c r="A3711" t="inlineStr">
        <is>
          <t>CB</t>
        </is>
      </c>
      <c r="B3711" s="6" t="n">
        <v>106.3</v>
      </c>
    </row>
    <row r="3712">
      <c r="A3712" t="inlineStr">
        <is>
          <t>CB</t>
        </is>
      </c>
      <c r="B3712" s="6" t="n">
        <v>68.3</v>
      </c>
    </row>
    <row r="3713">
      <c r="A3713" t="inlineStr">
        <is>
          <t>CB</t>
        </is>
      </c>
      <c r="B3713" s="6" t="n">
        <v>146.7</v>
      </c>
    </row>
    <row r="3714">
      <c r="A3714" t="inlineStr">
        <is>
          <t>ESP</t>
        </is>
      </c>
      <c r="B3714" s="6" t="n">
        <v>1</v>
      </c>
    </row>
    <row r="3715">
      <c r="A3715" t="inlineStr">
        <is>
          <t>CHV</t>
        </is>
      </c>
      <c r="B3715" s="6" t="n">
        <v>120</v>
      </c>
    </row>
    <row r="3716">
      <c r="A3716" t="inlineStr">
        <is>
          <t>ESP</t>
        </is>
      </c>
      <c r="B3716" s="6" t="n">
        <v>2.1</v>
      </c>
    </row>
    <row r="3717">
      <c r="A3717" t="inlineStr">
        <is>
          <t>CHV</t>
        </is>
      </c>
      <c r="B3717" s="6" t="n">
        <v>40</v>
      </c>
    </row>
    <row r="3718">
      <c r="A3718" t="inlineStr">
        <is>
          <t>CHV</t>
        </is>
      </c>
      <c r="B3718" s="6" t="n">
        <v>20</v>
      </c>
    </row>
    <row r="3719">
      <c r="A3719" t="inlineStr">
        <is>
          <t>CB</t>
        </is>
      </c>
      <c r="B3719" s="6" t="n">
        <v>38.7</v>
      </c>
    </row>
    <row r="3720">
      <c r="A3720" t="inlineStr">
        <is>
          <t>CB</t>
        </is>
      </c>
      <c r="B3720" s="6" t="n">
        <v>102.6</v>
      </c>
    </row>
    <row r="3721">
      <c r="A3721" t="inlineStr">
        <is>
          <t>CB</t>
        </is>
      </c>
      <c r="B3721" s="6" t="n">
        <v>80.8</v>
      </c>
    </row>
    <row r="3722">
      <c r="A3722" t="inlineStr">
        <is>
          <t>CB</t>
        </is>
      </c>
      <c r="B3722" s="6" t="n">
        <v>99.3</v>
      </c>
    </row>
    <row r="3723">
      <c r="A3723" t="inlineStr">
        <is>
          <t>CHV</t>
        </is>
      </c>
      <c r="B3723" s="6" t="n">
        <v>40</v>
      </c>
    </row>
    <row r="3724">
      <c r="A3724" t="inlineStr">
        <is>
          <t>ESP</t>
        </is>
      </c>
      <c r="B3724" s="6" t="n">
        <v>5.3</v>
      </c>
    </row>
    <row r="3725">
      <c r="A3725" t="inlineStr">
        <is>
          <t>CHV</t>
        </is>
      </c>
      <c r="B3725" s="6" t="n">
        <v>60</v>
      </c>
    </row>
    <row r="3726">
      <c r="A3726" t="inlineStr">
        <is>
          <t>CB</t>
        </is>
      </c>
      <c r="B3726" s="6" t="n">
        <v>46.1</v>
      </c>
    </row>
    <row r="3727">
      <c r="A3727" t="inlineStr">
        <is>
          <t>CB</t>
        </is>
      </c>
      <c r="B3727" s="6" t="n">
        <v>86.2</v>
      </c>
    </row>
    <row r="3728">
      <c r="A3728" t="inlineStr">
        <is>
          <t>CB</t>
        </is>
      </c>
      <c r="B3728" s="6" t="n">
        <v>37.25</v>
      </c>
    </row>
    <row r="3729">
      <c r="A3729" t="inlineStr">
        <is>
          <t>CB</t>
        </is>
      </c>
      <c r="B3729" s="6" t="n">
        <v>82.8</v>
      </c>
    </row>
    <row r="3730">
      <c r="A3730" t="inlineStr">
        <is>
          <t>CB</t>
        </is>
      </c>
      <c r="B3730" s="6" t="n">
        <v>86.5</v>
      </c>
    </row>
    <row r="3731">
      <c r="A3731" t="inlineStr">
        <is>
          <t>CB</t>
        </is>
      </c>
      <c r="B3731" s="6" t="n">
        <v>62.1</v>
      </c>
    </row>
    <row r="3732">
      <c r="A3732" t="inlineStr">
        <is>
          <t>CB</t>
        </is>
      </c>
      <c r="B3732" s="6" t="n">
        <v>101</v>
      </c>
    </row>
    <row r="3733">
      <c r="A3733" t="inlineStr">
        <is>
          <t>CB</t>
        </is>
      </c>
      <c r="B3733" s="6" t="n">
        <v>27.9</v>
      </c>
    </row>
    <row r="3734">
      <c r="A3734" t="inlineStr">
        <is>
          <t>CB</t>
        </is>
      </c>
      <c r="B3734" s="6" t="n">
        <v>27.9</v>
      </c>
    </row>
    <row r="3735">
      <c r="A3735" t="inlineStr">
        <is>
          <t>CB</t>
        </is>
      </c>
      <c r="B3735" s="6" t="n">
        <v>27.9</v>
      </c>
    </row>
    <row r="3736">
      <c r="A3736" t="inlineStr">
        <is>
          <t>CB</t>
        </is>
      </c>
      <c r="B3736" s="6" t="n">
        <v>64.8</v>
      </c>
    </row>
    <row r="3737">
      <c r="A3737" t="inlineStr">
        <is>
          <t>CB</t>
        </is>
      </c>
      <c r="B3737" s="6" t="n">
        <v>126.7</v>
      </c>
    </row>
    <row r="3738">
      <c r="A3738" t="inlineStr">
        <is>
          <t>CB</t>
        </is>
      </c>
      <c r="B3738" s="6" t="n">
        <v>106.5</v>
      </c>
    </row>
    <row r="3739">
      <c r="A3739" t="inlineStr">
        <is>
          <t>CHV</t>
        </is>
      </c>
      <c r="B3739" s="6" t="n">
        <v>70</v>
      </c>
    </row>
    <row r="3740">
      <c r="A3740" t="inlineStr">
        <is>
          <t>CB</t>
        </is>
      </c>
      <c r="B3740" s="6" t="n">
        <v>6.7</v>
      </c>
    </row>
    <row r="3741">
      <c r="A3741" t="inlineStr">
        <is>
          <t>CB</t>
        </is>
      </c>
      <c r="B3741" s="6" t="n">
        <v>56.1</v>
      </c>
    </row>
    <row r="3742">
      <c r="A3742" t="inlineStr">
        <is>
          <t>CB</t>
        </is>
      </c>
      <c r="B3742" s="6" t="n">
        <v>23.2</v>
      </c>
    </row>
    <row r="3743">
      <c r="A3743" t="inlineStr">
        <is>
          <t>CB</t>
        </is>
      </c>
      <c r="B3743" s="6" t="n">
        <v>24.3</v>
      </c>
    </row>
    <row r="3744">
      <c r="A3744" t="inlineStr">
        <is>
          <t>CB</t>
        </is>
      </c>
      <c r="B3744" s="6" t="n">
        <v>70.90000000000001</v>
      </c>
    </row>
    <row r="3745">
      <c r="A3745" t="inlineStr">
        <is>
          <t>CB</t>
        </is>
      </c>
      <c r="B3745" s="6" t="n">
        <v>53.1</v>
      </c>
    </row>
    <row r="3746">
      <c r="A3746" t="inlineStr">
        <is>
          <t>CB</t>
        </is>
      </c>
      <c r="B3746" s="6" t="n">
        <v>32.6</v>
      </c>
    </row>
    <row r="3747">
      <c r="A3747" t="inlineStr">
        <is>
          <t>CB</t>
        </is>
      </c>
      <c r="B3747" s="6" t="n">
        <v>42.4</v>
      </c>
    </row>
    <row r="3748">
      <c r="A3748" t="inlineStr">
        <is>
          <t>CB</t>
        </is>
      </c>
      <c r="B3748" s="6" t="n">
        <v>23.2</v>
      </c>
    </row>
    <row r="3749">
      <c r="A3749" t="inlineStr">
        <is>
          <t>CB</t>
        </is>
      </c>
      <c r="B3749" s="6" t="n">
        <v>63.7</v>
      </c>
    </row>
    <row r="3750">
      <c r="A3750" t="inlineStr">
        <is>
          <t>CB</t>
        </is>
      </c>
      <c r="B3750" s="6" t="n">
        <v>62.9</v>
      </c>
    </row>
    <row r="3751">
      <c r="A3751" t="inlineStr">
        <is>
          <t>CB</t>
        </is>
      </c>
      <c r="B3751" s="6" t="n">
        <v>41.5</v>
      </c>
    </row>
    <row r="3752">
      <c r="A3752" t="inlineStr">
        <is>
          <t>CB</t>
        </is>
      </c>
      <c r="B3752" s="6" t="n">
        <v>74.2</v>
      </c>
    </row>
    <row r="3753">
      <c r="A3753" t="inlineStr">
        <is>
          <t>CB</t>
        </is>
      </c>
      <c r="B3753" s="6" t="n">
        <v>64.59999999999999</v>
      </c>
    </row>
    <row r="3754">
      <c r="A3754" t="inlineStr">
        <is>
          <t>CB</t>
        </is>
      </c>
      <c r="B3754" s="6" t="n">
        <v>55.7</v>
      </c>
    </row>
    <row r="3755">
      <c r="A3755" t="inlineStr">
        <is>
          <t>CB</t>
        </is>
      </c>
      <c r="B3755" s="6" t="n">
        <v>43.3</v>
      </c>
    </row>
    <row r="3756">
      <c r="A3756" t="inlineStr">
        <is>
          <t>CB</t>
        </is>
      </c>
      <c r="B3756" s="6" t="n">
        <v>79.8</v>
      </c>
    </row>
    <row r="3757">
      <c r="A3757" t="inlineStr">
        <is>
          <t>CB</t>
        </is>
      </c>
      <c r="B3757" s="6" t="n">
        <v>84.59999999999999</v>
      </c>
    </row>
    <row r="3758">
      <c r="A3758" t="inlineStr">
        <is>
          <t>CB</t>
        </is>
      </c>
      <c r="B3758" s="6" t="n">
        <v>102.4</v>
      </c>
    </row>
    <row r="3759">
      <c r="A3759" t="inlineStr">
        <is>
          <t>CB</t>
        </is>
      </c>
      <c r="B3759" s="6" t="n">
        <v>103.4</v>
      </c>
    </row>
    <row r="3760">
      <c r="A3760" t="inlineStr">
        <is>
          <t>CB</t>
        </is>
      </c>
      <c r="B3760" s="6" t="n">
        <v>43.07</v>
      </c>
    </row>
    <row r="3761">
      <c r="A3761" t="inlineStr">
        <is>
          <t>CB</t>
        </is>
      </c>
      <c r="B3761" s="6" t="n">
        <v>173.5</v>
      </c>
    </row>
    <row r="3762">
      <c r="A3762" t="inlineStr">
        <is>
          <t>CB</t>
        </is>
      </c>
      <c r="B3762" s="6" t="n">
        <v>45.8</v>
      </c>
    </row>
    <row r="3763">
      <c r="A3763" t="inlineStr">
        <is>
          <t>CB</t>
        </is>
      </c>
      <c r="B3763" s="6" t="n">
        <v>261.9</v>
      </c>
    </row>
    <row r="3764">
      <c r="A3764" t="inlineStr">
        <is>
          <t>CB</t>
        </is>
      </c>
      <c r="B3764" s="6" t="n">
        <v>82.8</v>
      </c>
    </row>
    <row r="3765">
      <c r="A3765" t="inlineStr">
        <is>
          <t>CB</t>
        </is>
      </c>
      <c r="B3765" s="6" t="n">
        <v>31.25</v>
      </c>
    </row>
    <row r="3766">
      <c r="A3766" t="inlineStr">
        <is>
          <t>CB</t>
        </is>
      </c>
      <c r="B3766" s="6" t="n">
        <v>78.2</v>
      </c>
    </row>
    <row r="3767">
      <c r="A3767" t="inlineStr">
        <is>
          <t>CB</t>
        </is>
      </c>
      <c r="B3767" s="6" t="n">
        <v>78.2</v>
      </c>
    </row>
    <row r="3768">
      <c r="A3768" t="inlineStr">
        <is>
          <t>CB</t>
        </is>
      </c>
      <c r="B3768" s="6" t="n">
        <v>31.25</v>
      </c>
    </row>
    <row r="3769">
      <c r="A3769" t="inlineStr">
        <is>
          <t>CB</t>
        </is>
      </c>
      <c r="B3769" s="6" t="n">
        <v>43.22</v>
      </c>
    </row>
    <row r="3770">
      <c r="A3770" t="inlineStr">
        <is>
          <t>CB</t>
        </is>
      </c>
      <c r="B3770" s="6" t="n">
        <v>43.31</v>
      </c>
    </row>
    <row r="3771">
      <c r="A3771" t="inlineStr">
        <is>
          <t>CB</t>
        </is>
      </c>
      <c r="B3771" s="6" t="n">
        <v>77</v>
      </c>
    </row>
    <row r="3772">
      <c r="A3772" t="inlineStr">
        <is>
          <t>CB</t>
        </is>
      </c>
      <c r="B3772" s="6" t="n">
        <v>149.6</v>
      </c>
    </row>
    <row r="3773">
      <c r="A3773" t="inlineStr">
        <is>
          <t>CB</t>
        </is>
      </c>
      <c r="B3773" s="6" t="n">
        <v>33.1</v>
      </c>
    </row>
    <row r="3774">
      <c r="A3774" t="inlineStr">
        <is>
          <t>CB</t>
        </is>
      </c>
      <c r="B3774" s="6" t="n">
        <v>115.1</v>
      </c>
    </row>
    <row r="3775">
      <c r="A3775" t="inlineStr">
        <is>
          <t>CHV</t>
        </is>
      </c>
      <c r="B3775" s="6" t="n">
        <v>110</v>
      </c>
    </row>
    <row r="3776">
      <c r="A3776" t="inlineStr">
        <is>
          <t>ESP</t>
        </is>
      </c>
      <c r="B3776" s="6" t="n">
        <v>1.2</v>
      </c>
    </row>
    <row r="3777">
      <c r="A3777" t="inlineStr">
        <is>
          <t>CB</t>
        </is>
      </c>
      <c r="B3777" s="6" t="n">
        <v>74.90000000000001</v>
      </c>
    </row>
    <row r="3778">
      <c r="A3778" t="inlineStr">
        <is>
          <t>CB</t>
        </is>
      </c>
      <c r="B3778" s="6" t="n">
        <v>95.2</v>
      </c>
    </row>
    <row r="3779">
      <c r="A3779" t="inlineStr">
        <is>
          <t>CB</t>
        </is>
      </c>
      <c r="B3779" s="6" t="n">
        <v>111.6</v>
      </c>
    </row>
    <row r="3780">
      <c r="A3780" t="inlineStr">
        <is>
          <t>CB</t>
        </is>
      </c>
      <c r="B3780" s="6" t="n">
        <v>30.3</v>
      </c>
    </row>
    <row r="3781">
      <c r="A3781" t="inlineStr">
        <is>
          <t>CB</t>
        </is>
      </c>
      <c r="B3781" s="6" t="n">
        <v>37.4</v>
      </c>
    </row>
    <row r="3782">
      <c r="A3782" t="inlineStr">
        <is>
          <t>CHV</t>
        </is>
      </c>
      <c r="B3782" s="6" t="n">
        <v>50</v>
      </c>
    </row>
    <row r="3783">
      <c r="A3783" t="inlineStr">
        <is>
          <t>CB</t>
        </is>
      </c>
      <c r="B3783" s="6" t="n">
        <v>14.8</v>
      </c>
    </row>
    <row r="3784">
      <c r="A3784" t="inlineStr">
        <is>
          <t>CB</t>
        </is>
      </c>
      <c r="B3784" s="6" t="n">
        <v>85.90000000000001</v>
      </c>
    </row>
    <row r="3785">
      <c r="A3785" t="inlineStr">
        <is>
          <t>CB</t>
        </is>
      </c>
      <c r="B3785" s="6" t="n">
        <v>79.90000000000001</v>
      </c>
    </row>
    <row r="3786">
      <c r="A3786" t="inlineStr">
        <is>
          <t>CB</t>
        </is>
      </c>
      <c r="B3786" s="6" t="n">
        <v>160.1</v>
      </c>
    </row>
    <row r="3787">
      <c r="A3787" t="inlineStr">
        <is>
          <t>CB</t>
        </is>
      </c>
      <c r="B3787" s="6" t="n">
        <v>49.8</v>
      </c>
    </row>
    <row r="3788">
      <c r="A3788" t="inlineStr">
        <is>
          <t>CB</t>
        </is>
      </c>
      <c r="B3788" s="6" t="n">
        <v>88.7</v>
      </c>
    </row>
    <row r="3789">
      <c r="A3789" t="inlineStr">
        <is>
          <t>CHV</t>
        </is>
      </c>
      <c r="B3789" s="6" t="n">
        <v>60</v>
      </c>
    </row>
    <row r="3790">
      <c r="A3790" t="inlineStr">
        <is>
          <t>ESP</t>
        </is>
      </c>
      <c r="B3790" s="6" t="n">
        <v>0.9</v>
      </c>
    </row>
    <row r="3791">
      <c r="A3791" t="inlineStr">
        <is>
          <t>CB</t>
        </is>
      </c>
      <c r="B3791" s="6" t="n">
        <v>86.59999999999999</v>
      </c>
    </row>
    <row r="3792">
      <c r="A3792" t="inlineStr">
        <is>
          <t>CB</t>
        </is>
      </c>
      <c r="B3792" s="6" t="n">
        <v>50</v>
      </c>
    </row>
    <row r="3793">
      <c r="A3793" t="inlineStr">
        <is>
          <t>CB</t>
        </is>
      </c>
      <c r="B3793" s="6" t="n">
        <v>49.7</v>
      </c>
    </row>
    <row r="3794">
      <c r="A3794" t="inlineStr">
        <is>
          <t>CHV</t>
        </is>
      </c>
      <c r="B3794" s="6" t="n">
        <v>60</v>
      </c>
    </row>
    <row r="3795">
      <c r="A3795" t="inlineStr">
        <is>
          <t>CB</t>
        </is>
      </c>
      <c r="B3795" s="6" t="n">
        <v>65.90000000000001</v>
      </c>
    </row>
    <row r="3796">
      <c r="A3796" t="inlineStr">
        <is>
          <t>CB</t>
        </is>
      </c>
      <c r="B3796" s="6" t="n">
        <v>92.90000000000001</v>
      </c>
    </row>
    <row r="3797">
      <c r="A3797" t="inlineStr">
        <is>
          <t>CB</t>
        </is>
      </c>
      <c r="B3797" s="6" t="n">
        <v>57.2</v>
      </c>
    </row>
    <row r="3798">
      <c r="A3798" t="inlineStr">
        <is>
          <t>CB</t>
        </is>
      </c>
      <c r="B3798" s="6" t="n">
        <v>118.8</v>
      </c>
    </row>
    <row r="3799">
      <c r="A3799" t="inlineStr">
        <is>
          <t>CB</t>
        </is>
      </c>
      <c r="B3799" s="6" t="n">
        <v>272.2</v>
      </c>
    </row>
    <row r="3800">
      <c r="A3800" t="inlineStr">
        <is>
          <t>CB</t>
        </is>
      </c>
      <c r="B3800" s="6" t="n">
        <v>7.8</v>
      </c>
    </row>
    <row r="3801">
      <c r="A3801" t="inlineStr">
        <is>
          <t>CB</t>
        </is>
      </c>
      <c r="B3801" s="6" t="n">
        <v>47.2</v>
      </c>
    </row>
    <row r="3802">
      <c r="A3802" t="inlineStr">
        <is>
          <t>CB</t>
        </is>
      </c>
      <c r="B3802" s="6" t="n">
        <v>172.8</v>
      </c>
    </row>
    <row r="3803">
      <c r="A3803" t="inlineStr">
        <is>
          <t>CB</t>
        </is>
      </c>
      <c r="B3803" s="6" t="n">
        <v>15.2</v>
      </c>
    </row>
    <row r="3804">
      <c r="A3804" t="inlineStr">
        <is>
          <t>CB</t>
        </is>
      </c>
      <c r="B3804" s="6" t="n">
        <v>78.8</v>
      </c>
    </row>
    <row r="3805">
      <c r="A3805" t="inlineStr">
        <is>
          <t>CB</t>
        </is>
      </c>
      <c r="B3805" s="6" t="n">
        <v>71.90000000000001</v>
      </c>
    </row>
    <row r="3806">
      <c r="A3806" t="inlineStr">
        <is>
          <t>CB</t>
        </is>
      </c>
      <c r="B3806" s="6" t="n">
        <v>26.9</v>
      </c>
    </row>
    <row r="3807">
      <c r="A3807" t="inlineStr">
        <is>
          <t>CB</t>
        </is>
      </c>
      <c r="B3807" s="6" t="n">
        <v>54</v>
      </c>
    </row>
    <row r="3808">
      <c r="A3808" t="inlineStr">
        <is>
          <t>ESP</t>
        </is>
      </c>
      <c r="B3808" s="6" t="n">
        <v>4.1</v>
      </c>
    </row>
    <row r="3809">
      <c r="A3809" t="inlineStr">
        <is>
          <t>ESP</t>
        </is>
      </c>
      <c r="B3809" s="6" t="n">
        <v>16.8</v>
      </c>
    </row>
    <row r="3810">
      <c r="A3810" t="inlineStr">
        <is>
          <t>ESP</t>
        </is>
      </c>
      <c r="B3810" s="6" t="n">
        <v>14.5</v>
      </c>
    </row>
    <row r="3811">
      <c r="A3811" t="inlineStr">
        <is>
          <t>ESP</t>
        </is>
      </c>
      <c r="B3811" s="6" t="n">
        <v>16.9</v>
      </c>
    </row>
    <row r="3812">
      <c r="A3812" t="inlineStr">
        <is>
          <t>ESP</t>
        </is>
      </c>
      <c r="B3812" s="6" t="n">
        <v>8.300000000000001</v>
      </c>
    </row>
    <row r="3813">
      <c r="A3813" t="inlineStr">
        <is>
          <t>CB</t>
        </is>
      </c>
      <c r="B3813" s="6" t="n">
        <v>88.90000000000001</v>
      </c>
    </row>
    <row r="3814">
      <c r="A3814" t="inlineStr">
        <is>
          <t>CB</t>
        </is>
      </c>
      <c r="B3814" s="6" t="n">
        <v>23.7</v>
      </c>
    </row>
    <row r="3815">
      <c r="A3815" t="inlineStr">
        <is>
          <t>CB</t>
        </is>
      </c>
      <c r="B3815" s="6" t="n">
        <v>65.59999999999999</v>
      </c>
    </row>
    <row r="3816">
      <c r="A3816" t="inlineStr">
        <is>
          <t>CB</t>
        </is>
      </c>
      <c r="B3816" s="6" t="n">
        <v>60.4</v>
      </c>
    </row>
    <row r="3817">
      <c r="A3817" t="inlineStr">
        <is>
          <t>CB</t>
        </is>
      </c>
      <c r="B3817" s="6" t="n">
        <v>70.09999999999999</v>
      </c>
    </row>
    <row r="3818">
      <c r="A3818" t="inlineStr">
        <is>
          <t>CB</t>
        </is>
      </c>
      <c r="B3818" s="6" t="n">
        <v>76.59999999999999</v>
      </c>
    </row>
    <row r="3819">
      <c r="A3819" t="inlineStr">
        <is>
          <t>CB</t>
        </is>
      </c>
      <c r="B3819" s="6" t="n">
        <v>52</v>
      </c>
    </row>
    <row r="3820">
      <c r="A3820" t="inlineStr">
        <is>
          <t>CB</t>
        </is>
      </c>
      <c r="B3820" s="6" t="n">
        <v>91.40000000000001</v>
      </c>
    </row>
    <row r="3821">
      <c r="A3821" t="inlineStr">
        <is>
          <t>CB</t>
        </is>
      </c>
      <c r="B3821" s="6" t="n">
        <v>44</v>
      </c>
    </row>
    <row r="3822">
      <c r="A3822" t="inlineStr">
        <is>
          <t>CB</t>
        </is>
      </c>
      <c r="B3822" s="6" t="n">
        <v>71.09999999999999</v>
      </c>
    </row>
    <row r="3823">
      <c r="A3823" t="inlineStr">
        <is>
          <t>CB</t>
        </is>
      </c>
      <c r="B3823" s="6" t="n">
        <v>50</v>
      </c>
    </row>
    <row r="3824">
      <c r="A3824" t="inlineStr">
        <is>
          <t>CB</t>
        </is>
      </c>
      <c r="B3824" s="6" t="n">
        <v>70.8</v>
      </c>
    </row>
    <row r="3825">
      <c r="A3825" t="inlineStr">
        <is>
          <t>CB</t>
        </is>
      </c>
      <c r="B3825" s="6" t="n">
        <v>69.90000000000001</v>
      </c>
    </row>
    <row r="3826">
      <c r="A3826" t="inlineStr">
        <is>
          <t>CB</t>
        </is>
      </c>
      <c r="B3826" s="6" t="n">
        <v>20.4</v>
      </c>
    </row>
    <row r="3827">
      <c r="A3827" t="inlineStr">
        <is>
          <t>CB</t>
        </is>
      </c>
      <c r="B3827" s="6" t="n">
        <v>61.2</v>
      </c>
    </row>
    <row r="3828">
      <c r="A3828" t="inlineStr">
        <is>
          <t>CHQ</t>
        </is>
      </c>
      <c r="B3828" s="6" t="n">
        <v>45</v>
      </c>
    </row>
    <row r="3829">
      <c r="A3829" t="inlineStr">
        <is>
          <t>CB</t>
        </is>
      </c>
      <c r="B3829" s="6" t="n">
        <v>65.09999999999999</v>
      </c>
    </row>
    <row r="3830">
      <c r="A3830" t="inlineStr">
        <is>
          <t>CB</t>
        </is>
      </c>
      <c r="B3830" s="6" t="n">
        <v>57.4</v>
      </c>
    </row>
    <row r="3831">
      <c r="A3831" t="inlineStr">
        <is>
          <t>CB</t>
        </is>
      </c>
      <c r="B3831" s="6" t="n">
        <v>36.3</v>
      </c>
    </row>
    <row r="3832">
      <c r="A3832" t="inlineStr">
        <is>
          <t>CB</t>
        </is>
      </c>
      <c r="B3832" s="6" t="n">
        <v>67.3</v>
      </c>
    </row>
    <row r="3833">
      <c r="A3833" t="inlineStr">
        <is>
          <t>CB</t>
        </is>
      </c>
      <c r="B3833" s="6" t="n">
        <v>104.6</v>
      </c>
    </row>
    <row r="3834">
      <c r="A3834" t="inlineStr">
        <is>
          <t>CB</t>
        </is>
      </c>
      <c r="B3834" s="6" t="n">
        <v>34.3</v>
      </c>
    </row>
    <row r="3835">
      <c r="A3835" t="inlineStr">
        <is>
          <t>CB</t>
        </is>
      </c>
      <c r="B3835" s="6" t="n">
        <v>159.1</v>
      </c>
    </row>
    <row r="3836">
      <c r="A3836" t="inlineStr">
        <is>
          <t>CB</t>
        </is>
      </c>
      <c r="B3836" s="6" t="n">
        <v>182.1</v>
      </c>
    </row>
    <row r="3837">
      <c r="A3837" t="inlineStr">
        <is>
          <t>CB</t>
        </is>
      </c>
      <c r="B3837" s="6" t="n">
        <v>67.09999999999999</v>
      </c>
    </row>
    <row r="3838">
      <c r="A3838" t="inlineStr">
        <is>
          <t>CB</t>
        </is>
      </c>
      <c r="B3838" s="6" t="n">
        <v>47.1</v>
      </c>
    </row>
    <row r="3839">
      <c r="A3839" t="inlineStr">
        <is>
          <t>CB</t>
        </is>
      </c>
      <c r="B3839" s="6" t="n">
        <v>115</v>
      </c>
    </row>
    <row r="3840">
      <c r="A3840" t="inlineStr">
        <is>
          <t>CB</t>
        </is>
      </c>
      <c r="B3840" s="6" t="n">
        <v>56.4</v>
      </c>
    </row>
    <row r="3841">
      <c r="A3841" t="inlineStr">
        <is>
          <t>CB</t>
        </is>
      </c>
      <c r="B3841" s="6" t="n">
        <v>41.7</v>
      </c>
    </row>
    <row r="3842">
      <c r="A3842" t="inlineStr">
        <is>
          <t>CB</t>
        </is>
      </c>
      <c r="B3842" s="6" t="n">
        <v>96.2</v>
      </c>
    </row>
    <row r="3843">
      <c r="A3843" t="inlineStr">
        <is>
          <t>TR</t>
        </is>
      </c>
      <c r="B3843" s="6" t="n">
        <v>56.3</v>
      </c>
    </row>
    <row r="3844">
      <c r="A3844" t="inlineStr">
        <is>
          <t>CB</t>
        </is>
      </c>
      <c r="B3844" s="6" t="n">
        <v>84.8</v>
      </c>
    </row>
    <row r="3845">
      <c r="A3845" t="inlineStr">
        <is>
          <t>CB</t>
        </is>
      </c>
      <c r="B3845" s="6" t="n">
        <v>102.8</v>
      </c>
    </row>
    <row r="3846">
      <c r="A3846" t="inlineStr">
        <is>
          <t>CB</t>
        </is>
      </c>
      <c r="B3846" s="6" t="n">
        <v>61.2</v>
      </c>
    </row>
    <row r="3847">
      <c r="A3847" t="inlineStr">
        <is>
          <t>CB</t>
        </is>
      </c>
      <c r="B3847" s="6" t="n">
        <v>103</v>
      </c>
    </row>
    <row r="3848">
      <c r="A3848" t="inlineStr">
        <is>
          <t>CB</t>
        </is>
      </c>
      <c r="B3848" s="6" t="n">
        <v>75.5</v>
      </c>
    </row>
    <row r="3849">
      <c r="A3849" t="inlineStr">
        <is>
          <t>CB</t>
        </is>
      </c>
      <c r="B3849" s="6" t="n">
        <v>74</v>
      </c>
    </row>
    <row r="3850">
      <c r="A3850" t="inlineStr">
        <is>
          <t>CB</t>
        </is>
      </c>
      <c r="B3850" s="6" t="n">
        <v>99.2</v>
      </c>
    </row>
    <row r="3851">
      <c r="A3851" t="inlineStr">
        <is>
          <t>CB</t>
        </is>
      </c>
      <c r="B3851" s="6" t="n">
        <v>100.6</v>
      </c>
    </row>
    <row r="3852">
      <c r="A3852" t="inlineStr">
        <is>
          <t>CB</t>
        </is>
      </c>
      <c r="B3852" s="6" t="n">
        <v>64</v>
      </c>
    </row>
    <row r="3853">
      <c r="A3853" t="inlineStr">
        <is>
          <t>CB</t>
        </is>
      </c>
      <c r="B3853" s="6" t="n">
        <v>135.2</v>
      </c>
    </row>
    <row r="3854">
      <c r="A3854" t="inlineStr">
        <is>
          <t>CB</t>
        </is>
      </c>
      <c r="B3854" s="6" t="n">
        <v>17.6</v>
      </c>
    </row>
    <row r="3855">
      <c r="A3855" t="inlineStr">
        <is>
          <t>CB</t>
        </is>
      </c>
      <c r="B3855" s="6" t="n">
        <v>128</v>
      </c>
    </row>
    <row r="3856">
      <c r="A3856" t="inlineStr">
        <is>
          <t>CB</t>
        </is>
      </c>
      <c r="B3856" s="6" t="n">
        <v>112.7</v>
      </c>
    </row>
    <row r="3857">
      <c r="A3857" t="inlineStr">
        <is>
          <t>CB</t>
        </is>
      </c>
      <c r="B3857" s="6" t="n">
        <v>60</v>
      </c>
    </row>
    <row r="3858">
      <c r="A3858" t="inlineStr">
        <is>
          <t>CB</t>
        </is>
      </c>
      <c r="B3858" s="6" t="n">
        <v>96.7</v>
      </c>
    </row>
    <row r="3859">
      <c r="A3859" t="inlineStr">
        <is>
          <t>CB</t>
        </is>
      </c>
      <c r="B3859" s="6" t="n">
        <v>84.8</v>
      </c>
    </row>
    <row r="3860">
      <c r="A3860" t="inlineStr">
        <is>
          <t>CB</t>
        </is>
      </c>
      <c r="B3860" s="6" t="n">
        <v>41</v>
      </c>
    </row>
    <row r="3861">
      <c r="A3861" t="inlineStr">
        <is>
          <t>CB</t>
        </is>
      </c>
      <c r="B3861" s="6" t="n">
        <v>62</v>
      </c>
    </row>
    <row r="3862">
      <c r="A3862" t="inlineStr">
        <is>
          <t>CB</t>
        </is>
      </c>
      <c r="B3862" s="6" t="n">
        <v>250.3</v>
      </c>
    </row>
    <row r="3863">
      <c r="A3863" t="inlineStr">
        <is>
          <t>CB</t>
        </is>
      </c>
      <c r="B3863" s="6" t="n">
        <v>35.7</v>
      </c>
    </row>
    <row r="3864">
      <c r="A3864" t="inlineStr">
        <is>
          <t>CB</t>
        </is>
      </c>
      <c r="B3864" s="6" t="n">
        <v>43</v>
      </c>
    </row>
    <row r="3865">
      <c r="A3865" t="inlineStr">
        <is>
          <t>CB</t>
        </is>
      </c>
      <c r="B3865" s="6" t="n">
        <v>79.3</v>
      </c>
    </row>
    <row r="3866">
      <c r="A3866" t="inlineStr">
        <is>
          <t>CB</t>
        </is>
      </c>
      <c r="B3866" s="6" t="n">
        <v>16.3</v>
      </c>
    </row>
    <row r="3867">
      <c r="A3867" t="inlineStr">
        <is>
          <t>CHV</t>
        </is>
      </c>
      <c r="B3867" s="6" t="n">
        <v>40</v>
      </c>
    </row>
    <row r="3868">
      <c r="A3868" t="inlineStr">
        <is>
          <t>CB</t>
        </is>
      </c>
      <c r="B3868" s="6" t="n">
        <v>6</v>
      </c>
    </row>
    <row r="3869">
      <c r="A3869" t="inlineStr">
        <is>
          <t>CB</t>
        </is>
      </c>
      <c r="B3869" s="6" t="n">
        <v>22.5</v>
      </c>
    </row>
    <row r="3870">
      <c r="A3870" t="inlineStr">
        <is>
          <t>CB</t>
        </is>
      </c>
      <c r="B3870" s="6" t="n">
        <v>15.9</v>
      </c>
    </row>
    <row r="3871">
      <c r="A3871" t="inlineStr">
        <is>
          <t>CB</t>
        </is>
      </c>
      <c r="B3871" s="6" t="n">
        <v>19</v>
      </c>
    </row>
    <row r="3872">
      <c r="A3872" t="inlineStr">
        <is>
          <t>CB</t>
        </is>
      </c>
      <c r="B3872" s="6" t="n">
        <v>16.3</v>
      </c>
    </row>
    <row r="3873">
      <c r="A3873" t="inlineStr">
        <is>
          <t>CHV</t>
        </is>
      </c>
      <c r="B3873" s="6" t="n">
        <v>60</v>
      </c>
    </row>
    <row r="3874">
      <c r="A3874" t="inlineStr">
        <is>
          <t>CB</t>
        </is>
      </c>
      <c r="B3874" s="6" t="n">
        <v>5.7</v>
      </c>
    </row>
    <row r="3875">
      <c r="A3875" t="inlineStr">
        <is>
          <t>CB</t>
        </is>
      </c>
      <c r="B3875" s="6" t="n">
        <v>68.90000000000001</v>
      </c>
    </row>
    <row r="3876">
      <c r="A3876" t="inlineStr">
        <is>
          <t>CB</t>
        </is>
      </c>
      <c r="B3876" s="6" t="n">
        <v>84.8</v>
      </c>
    </row>
    <row r="3877">
      <c r="A3877" t="inlineStr">
        <is>
          <t>CB</t>
        </is>
      </c>
      <c r="B3877" s="6" t="n">
        <v>48.3</v>
      </c>
    </row>
    <row r="3878">
      <c r="A3878" t="inlineStr">
        <is>
          <t>CB</t>
        </is>
      </c>
      <c r="B3878" s="6" t="n">
        <v>99.40000000000001</v>
      </c>
    </row>
    <row r="3879">
      <c r="A3879" t="inlineStr">
        <is>
          <t>CB</t>
        </is>
      </c>
      <c r="B3879" s="6" t="n">
        <v>77.2</v>
      </c>
    </row>
    <row r="3880">
      <c r="A3880" t="inlineStr">
        <is>
          <t>CB</t>
        </is>
      </c>
      <c r="B3880" s="6" t="n">
        <v>70.3</v>
      </c>
    </row>
    <row r="3881">
      <c r="A3881" t="inlineStr">
        <is>
          <t>CB</t>
        </is>
      </c>
      <c r="B3881" s="6" t="n">
        <v>36.4</v>
      </c>
    </row>
    <row r="3882">
      <c r="A3882" t="inlineStr">
        <is>
          <t>CB</t>
        </is>
      </c>
      <c r="B3882" s="6" t="n">
        <v>404.8</v>
      </c>
    </row>
    <row r="3883">
      <c r="A3883" t="inlineStr">
        <is>
          <t>CB</t>
        </is>
      </c>
      <c r="B3883" s="6" t="n">
        <v>20.5</v>
      </c>
    </row>
    <row r="3884">
      <c r="A3884" t="inlineStr">
        <is>
          <t>CB</t>
        </is>
      </c>
      <c r="B3884" s="6" t="n">
        <v>20.5</v>
      </c>
    </row>
    <row r="3885">
      <c r="A3885" t="inlineStr">
        <is>
          <t>CB</t>
        </is>
      </c>
      <c r="B3885" s="6" t="n">
        <v>26.3</v>
      </c>
    </row>
    <row r="3886">
      <c r="A3886" t="inlineStr">
        <is>
          <t>CB</t>
        </is>
      </c>
      <c r="B3886" s="6" t="n">
        <v>125.5</v>
      </c>
    </row>
    <row r="3887">
      <c r="A3887" t="inlineStr">
        <is>
          <t>CB</t>
        </is>
      </c>
      <c r="B3887" s="6" t="n">
        <v>66.09999999999999</v>
      </c>
    </row>
    <row r="3888">
      <c r="A3888" t="inlineStr">
        <is>
          <t>CB</t>
        </is>
      </c>
      <c r="B3888" s="6" t="n">
        <v>100.3</v>
      </c>
    </row>
    <row r="3889">
      <c r="A3889" t="inlineStr">
        <is>
          <t>CB</t>
        </is>
      </c>
      <c r="B3889" s="6" t="n">
        <v>44.3</v>
      </c>
    </row>
    <row r="3890">
      <c r="A3890" t="inlineStr">
        <is>
          <t>CB</t>
        </is>
      </c>
      <c r="B3890" s="6" t="n">
        <v>48.2</v>
      </c>
    </row>
    <row r="3891">
      <c r="A3891" t="inlineStr">
        <is>
          <t>CB</t>
        </is>
      </c>
      <c r="B3891" s="6" t="n">
        <v>45.8</v>
      </c>
    </row>
    <row r="3892">
      <c r="A3892" t="inlineStr">
        <is>
          <t>CB</t>
        </is>
      </c>
      <c r="B3892" s="6" t="n">
        <v>74.5</v>
      </c>
    </row>
    <row r="3893">
      <c r="A3893" t="inlineStr">
        <is>
          <t>CB</t>
        </is>
      </c>
      <c r="B3893" s="6" t="n">
        <v>26.3</v>
      </c>
    </row>
    <row r="3894">
      <c r="A3894" t="inlineStr">
        <is>
          <t>CB</t>
        </is>
      </c>
      <c r="B3894" s="6" t="n">
        <v>65.90000000000001</v>
      </c>
    </row>
    <row r="3895">
      <c r="A3895" t="inlineStr">
        <is>
          <t>CHQ</t>
        </is>
      </c>
      <c r="B3895" s="6" t="n">
        <v>43.6</v>
      </c>
    </row>
    <row r="3896">
      <c r="A3896" t="inlineStr">
        <is>
          <t>CB</t>
        </is>
      </c>
      <c r="B3896" s="6" t="n">
        <v>118.1</v>
      </c>
    </row>
    <row r="3897">
      <c r="A3897" t="inlineStr">
        <is>
          <t>CB</t>
        </is>
      </c>
      <c r="B3897" s="6" t="n">
        <v>17.4</v>
      </c>
    </row>
    <row r="3898">
      <c r="A3898" t="inlineStr">
        <is>
          <t>CHV</t>
        </is>
      </c>
      <c r="B3898" s="6" t="n">
        <v>80</v>
      </c>
    </row>
    <row r="3899">
      <c r="A3899" t="inlineStr">
        <is>
          <t>CB</t>
        </is>
      </c>
      <c r="B3899" s="6" t="n">
        <v>50.8</v>
      </c>
    </row>
    <row r="3900">
      <c r="A3900" t="inlineStr">
        <is>
          <t>CB</t>
        </is>
      </c>
      <c r="B3900" s="6" t="n">
        <v>34.2</v>
      </c>
    </row>
    <row r="3901">
      <c r="A3901" t="inlineStr">
        <is>
          <t>CB</t>
        </is>
      </c>
      <c r="B3901" s="6" t="n">
        <v>79.7</v>
      </c>
    </row>
    <row r="3902">
      <c r="A3902" t="inlineStr">
        <is>
          <t>CB</t>
        </is>
      </c>
      <c r="B3902" s="6" t="n">
        <v>127.4</v>
      </c>
    </row>
    <row r="3903">
      <c r="A3903" t="inlineStr">
        <is>
          <t>CB</t>
        </is>
      </c>
      <c r="B3903" s="6" t="n">
        <v>61.8</v>
      </c>
    </row>
    <row r="3904">
      <c r="A3904" t="inlineStr">
        <is>
          <t>CB</t>
        </is>
      </c>
      <c r="B3904" s="6" t="n">
        <v>66.25</v>
      </c>
    </row>
    <row r="3905">
      <c r="A3905" t="inlineStr">
        <is>
          <t>CB</t>
        </is>
      </c>
      <c r="B3905" s="6" t="n">
        <v>56.8</v>
      </c>
    </row>
    <row r="3906">
      <c r="A3906" t="inlineStr">
        <is>
          <t>CB</t>
        </is>
      </c>
      <c r="B3906" s="6" t="n">
        <v>33.85</v>
      </c>
    </row>
    <row r="3907">
      <c r="A3907" t="inlineStr">
        <is>
          <t>CB</t>
        </is>
      </c>
      <c r="B3907" s="6" t="n">
        <v>19.6</v>
      </c>
    </row>
    <row r="3908">
      <c r="A3908" t="inlineStr">
        <is>
          <t>CB</t>
        </is>
      </c>
      <c r="B3908" s="6" t="n">
        <v>33.85</v>
      </c>
    </row>
    <row r="3909">
      <c r="A3909" t="inlineStr">
        <is>
          <t>CB</t>
        </is>
      </c>
      <c r="B3909" s="6" t="n">
        <v>57.4</v>
      </c>
    </row>
    <row r="3910">
      <c r="A3910" t="inlineStr">
        <is>
          <t>CB</t>
        </is>
      </c>
      <c r="B3910" s="6" t="n">
        <v>43.1</v>
      </c>
    </row>
    <row r="3911">
      <c r="A3911" t="inlineStr">
        <is>
          <t>CB</t>
        </is>
      </c>
      <c r="B3911" s="6" t="n">
        <v>52.4</v>
      </c>
    </row>
    <row r="3912">
      <c r="A3912" t="inlineStr">
        <is>
          <t>CB</t>
        </is>
      </c>
      <c r="B3912" s="6" t="n">
        <v>147.3</v>
      </c>
    </row>
    <row r="3913">
      <c r="A3913" t="inlineStr">
        <is>
          <t>CB</t>
        </is>
      </c>
      <c r="B3913" s="6" t="n">
        <v>49.1</v>
      </c>
    </row>
    <row r="3914">
      <c r="A3914" t="inlineStr">
        <is>
          <t>CHV</t>
        </is>
      </c>
      <c r="B3914" s="6" t="n">
        <v>50</v>
      </c>
    </row>
    <row r="3915">
      <c r="A3915" t="inlineStr">
        <is>
          <t>CB</t>
        </is>
      </c>
      <c r="B3915" s="6" t="n">
        <v>16.2</v>
      </c>
    </row>
    <row r="3916">
      <c r="A3916" t="inlineStr">
        <is>
          <t>CB</t>
        </is>
      </c>
      <c r="B3916" s="6" t="n">
        <v>54.2</v>
      </c>
    </row>
    <row r="3917">
      <c r="A3917" t="inlineStr">
        <is>
          <t>CB</t>
        </is>
      </c>
      <c r="B3917" s="6" t="n">
        <v>49.7</v>
      </c>
    </row>
    <row r="3918">
      <c r="A3918" t="inlineStr">
        <is>
          <t>CB</t>
        </is>
      </c>
      <c r="B3918" s="6" t="n">
        <v>65.59999999999999</v>
      </c>
    </row>
    <row r="3919">
      <c r="A3919" t="inlineStr">
        <is>
          <t>CB</t>
        </is>
      </c>
      <c r="B3919" s="6" t="n">
        <v>43</v>
      </c>
    </row>
    <row r="3920">
      <c r="A3920" t="inlineStr">
        <is>
          <t>CB</t>
        </is>
      </c>
      <c r="B3920" s="6" t="n">
        <v>40.3</v>
      </c>
    </row>
    <row r="3921">
      <c r="A3921" t="inlineStr">
        <is>
          <t>CB</t>
        </is>
      </c>
      <c r="B3921" s="6" t="n">
        <v>81.90000000000001</v>
      </c>
    </row>
    <row r="3922">
      <c r="A3922" t="inlineStr">
        <is>
          <t>CB</t>
        </is>
      </c>
      <c r="B3922" s="6" t="n">
        <v>78.90000000000001</v>
      </c>
    </row>
    <row r="3923">
      <c r="A3923" t="inlineStr">
        <is>
          <t>CB</t>
        </is>
      </c>
      <c r="B3923" s="6" t="n">
        <v>72.90000000000001</v>
      </c>
    </row>
    <row r="3924">
      <c r="A3924" t="inlineStr">
        <is>
          <t>CB</t>
        </is>
      </c>
      <c r="B3924" s="6" t="n">
        <v>20.8</v>
      </c>
    </row>
    <row r="3925">
      <c r="A3925" t="inlineStr">
        <is>
          <t>CB</t>
        </is>
      </c>
      <c r="B3925" s="6" t="n">
        <v>18.8</v>
      </c>
    </row>
    <row r="3926">
      <c r="A3926" t="inlineStr">
        <is>
          <t>CB</t>
        </is>
      </c>
      <c r="B3926" s="6" t="n">
        <v>21</v>
      </c>
    </row>
    <row r="3927">
      <c r="A3927" t="inlineStr">
        <is>
          <t>CB</t>
        </is>
      </c>
      <c r="B3927" s="6" t="n">
        <v>99.59999999999999</v>
      </c>
    </row>
    <row r="3928">
      <c r="A3928" t="inlineStr">
        <is>
          <t>CB</t>
        </is>
      </c>
      <c r="B3928" s="6" t="n">
        <v>56.4</v>
      </c>
    </row>
    <row r="3929">
      <c r="A3929" t="inlineStr">
        <is>
          <t>CB</t>
        </is>
      </c>
      <c r="B3929" s="6" t="n">
        <v>76.40000000000001</v>
      </c>
    </row>
    <row r="3930">
      <c r="A3930" t="inlineStr">
        <is>
          <t>CB</t>
        </is>
      </c>
      <c r="B3930" s="6" t="n">
        <v>81.3</v>
      </c>
    </row>
    <row r="3931">
      <c r="A3931" t="inlineStr">
        <is>
          <t>CB</t>
        </is>
      </c>
      <c r="B3931" s="6" t="n">
        <v>139.8</v>
      </c>
    </row>
    <row r="3932">
      <c r="A3932" t="inlineStr">
        <is>
          <t>CB</t>
        </is>
      </c>
      <c r="B3932" s="6" t="n">
        <v>181.7</v>
      </c>
    </row>
    <row r="3933">
      <c r="A3933" t="inlineStr">
        <is>
          <t>CB</t>
        </is>
      </c>
      <c r="B3933" s="6" t="n">
        <v>60.1</v>
      </c>
    </row>
    <row r="3934">
      <c r="A3934" t="inlineStr">
        <is>
          <t>CB</t>
        </is>
      </c>
      <c r="B3934" s="6" t="n">
        <v>56.4</v>
      </c>
    </row>
    <row r="3935">
      <c r="A3935" t="inlineStr">
        <is>
          <t>CB</t>
        </is>
      </c>
      <c r="B3935" s="6" t="n">
        <v>24.4</v>
      </c>
    </row>
    <row r="3936">
      <c r="A3936" t="inlineStr">
        <is>
          <t>CB</t>
        </is>
      </c>
      <c r="B3936" s="6" t="n">
        <v>24.4</v>
      </c>
    </row>
    <row r="3937">
      <c r="A3937" t="inlineStr">
        <is>
          <t>CB</t>
        </is>
      </c>
      <c r="B3937" s="6" t="n">
        <v>24.4</v>
      </c>
    </row>
    <row r="3938">
      <c r="A3938" t="inlineStr">
        <is>
          <t>CHV</t>
        </is>
      </c>
      <c r="B3938" s="6" t="n">
        <v>189.5</v>
      </c>
    </row>
    <row r="3939">
      <c r="A3939" t="inlineStr">
        <is>
          <t>CB</t>
        </is>
      </c>
      <c r="B3939" s="6" t="n">
        <v>78.3</v>
      </c>
    </row>
    <row r="3940">
      <c r="A3940" t="inlineStr">
        <is>
          <t>CB</t>
        </is>
      </c>
      <c r="B3940" s="6" t="n">
        <v>61.1</v>
      </c>
    </row>
    <row r="3941">
      <c r="A3941" t="inlineStr">
        <is>
          <t>CB</t>
        </is>
      </c>
      <c r="B3941" s="6" t="n">
        <v>23.95</v>
      </c>
    </row>
    <row r="3942">
      <c r="A3942" t="inlineStr">
        <is>
          <t>CB</t>
        </is>
      </c>
      <c r="B3942" s="6" t="n">
        <v>69.59999999999999</v>
      </c>
    </row>
    <row r="3943">
      <c r="A3943" t="inlineStr">
        <is>
          <t>CB</t>
        </is>
      </c>
      <c r="B3943" s="6" t="n">
        <v>30.1</v>
      </c>
    </row>
    <row r="3944">
      <c r="A3944" t="inlineStr">
        <is>
          <t>TR</t>
        </is>
      </c>
      <c r="B3944" s="6" t="n">
        <v>33.32</v>
      </c>
    </row>
    <row r="3945">
      <c r="A3945" t="inlineStr">
        <is>
          <t>CB</t>
        </is>
      </c>
      <c r="B3945" s="6" t="n">
        <v>34.28</v>
      </c>
    </row>
    <row r="3946">
      <c r="A3946" t="inlineStr">
        <is>
          <t>CB</t>
        </is>
      </c>
      <c r="B3946" s="6" t="n">
        <v>130.6</v>
      </c>
    </row>
    <row r="3947">
      <c r="A3947" t="inlineStr">
        <is>
          <t>CB</t>
        </is>
      </c>
      <c r="B3947" s="6" t="n">
        <v>47</v>
      </c>
    </row>
    <row r="3948">
      <c r="A3948" t="inlineStr">
        <is>
          <t>CB</t>
        </is>
      </c>
      <c r="B3948" s="6" t="n">
        <v>70.5</v>
      </c>
    </row>
    <row r="3949">
      <c r="A3949" t="inlineStr">
        <is>
          <t>CB</t>
        </is>
      </c>
      <c r="B3949" s="6" t="n">
        <v>23.8</v>
      </c>
    </row>
    <row r="3950">
      <c r="A3950" t="inlineStr">
        <is>
          <t>CB</t>
        </is>
      </c>
      <c r="B3950" s="6" t="n">
        <v>83.59999999999999</v>
      </c>
    </row>
    <row r="3951">
      <c r="A3951" t="inlineStr">
        <is>
          <t>CB</t>
        </is>
      </c>
      <c r="B3951" s="6" t="n">
        <v>39.3</v>
      </c>
    </row>
    <row r="3952">
      <c r="A3952" t="inlineStr">
        <is>
          <t>CB</t>
        </is>
      </c>
      <c r="B3952" s="6" t="n">
        <v>108.3</v>
      </c>
    </row>
    <row r="3953">
      <c r="A3953" t="inlineStr">
        <is>
          <t>CB</t>
        </is>
      </c>
      <c r="B3953" s="6" t="n">
        <v>61.8</v>
      </c>
    </row>
    <row r="3954">
      <c r="A3954" t="inlineStr">
        <is>
          <t>CB</t>
        </is>
      </c>
      <c r="B3954" s="6" t="n">
        <v>93.59999999999999</v>
      </c>
    </row>
    <row r="3955">
      <c r="A3955" t="inlineStr">
        <is>
          <t>CB</t>
        </is>
      </c>
      <c r="B3955" s="6" t="n">
        <v>23.95</v>
      </c>
    </row>
    <row r="3956">
      <c r="A3956" t="inlineStr">
        <is>
          <t>CB</t>
        </is>
      </c>
      <c r="B3956" s="6" t="n">
        <v>99.90000000000001</v>
      </c>
    </row>
    <row r="3957">
      <c r="A3957" t="inlineStr">
        <is>
          <t>CB</t>
        </is>
      </c>
      <c r="B3957" s="6" t="n">
        <v>80.8</v>
      </c>
    </row>
    <row r="3958">
      <c r="A3958" t="inlineStr">
        <is>
          <t>TR</t>
        </is>
      </c>
      <c r="B3958" s="6" t="n">
        <v>18</v>
      </c>
    </row>
    <row r="3959">
      <c r="A3959" t="inlineStr">
        <is>
          <t>CB</t>
        </is>
      </c>
      <c r="B3959" s="6" t="n">
        <v>3</v>
      </c>
    </row>
    <row r="3960">
      <c r="A3960" t="inlineStr">
        <is>
          <t>CB</t>
        </is>
      </c>
      <c r="B3960" s="6" t="n">
        <v>55.6</v>
      </c>
    </row>
    <row r="3961">
      <c r="A3961" t="inlineStr">
        <is>
          <t>CB</t>
        </is>
      </c>
      <c r="B3961" s="6" t="n">
        <v>40</v>
      </c>
    </row>
    <row r="3962">
      <c r="A3962" t="inlineStr">
        <is>
          <t>CB</t>
        </is>
      </c>
      <c r="B3962" s="6" t="n">
        <v>158.1</v>
      </c>
    </row>
    <row r="3963">
      <c r="A3963" t="inlineStr">
        <is>
          <t>CB</t>
        </is>
      </c>
      <c r="B3963" s="6" t="n">
        <v>138.2</v>
      </c>
    </row>
    <row r="3964">
      <c r="A3964" t="inlineStr">
        <is>
          <t>CB</t>
        </is>
      </c>
      <c r="B3964" s="6" t="n">
        <v>103</v>
      </c>
    </row>
    <row r="3965">
      <c r="A3965" t="inlineStr">
        <is>
          <t>CB</t>
        </is>
      </c>
      <c r="B3965" s="6" t="n">
        <v>89.8</v>
      </c>
    </row>
    <row r="3966">
      <c r="A3966" t="inlineStr">
        <is>
          <t>TR</t>
        </is>
      </c>
      <c r="B3966" s="6" t="n">
        <v>62</v>
      </c>
    </row>
    <row r="3967">
      <c r="A3967" t="inlineStr">
        <is>
          <t>CB</t>
        </is>
      </c>
      <c r="B3967" s="6" t="n">
        <v>51.4</v>
      </c>
    </row>
    <row r="3968">
      <c r="A3968" t="inlineStr">
        <is>
          <t>CB</t>
        </is>
      </c>
      <c r="B3968" s="6" t="n">
        <v>27.9</v>
      </c>
    </row>
    <row r="3969">
      <c r="A3969" t="inlineStr">
        <is>
          <t>CB</t>
        </is>
      </c>
      <c r="B3969" s="6" t="n">
        <v>136.8</v>
      </c>
    </row>
    <row r="3970">
      <c r="A3970" t="inlineStr">
        <is>
          <t>CB</t>
        </is>
      </c>
      <c r="B3970" s="6" t="n">
        <v>97.90000000000001</v>
      </c>
    </row>
    <row r="3971">
      <c r="A3971" t="inlineStr">
        <is>
          <t>CB</t>
        </is>
      </c>
      <c r="B3971" s="6" t="n">
        <v>50.9</v>
      </c>
    </row>
    <row r="3972">
      <c r="A3972" t="inlineStr">
        <is>
          <t>CB</t>
        </is>
      </c>
      <c r="B3972" s="6" t="n">
        <v>85.3</v>
      </c>
    </row>
    <row r="3973">
      <c r="A3973" t="inlineStr">
        <is>
          <t>CB</t>
        </is>
      </c>
      <c r="B3973" s="6" t="n">
        <v>92.2</v>
      </c>
    </row>
    <row r="3974">
      <c r="A3974" t="inlineStr">
        <is>
          <t>CB</t>
        </is>
      </c>
      <c r="B3974" s="6" t="n">
        <v>53.92</v>
      </c>
    </row>
    <row r="3975">
      <c r="A3975" t="inlineStr">
        <is>
          <t>CB</t>
        </is>
      </c>
      <c r="B3975" s="6" t="n">
        <v>58.7</v>
      </c>
    </row>
    <row r="3976">
      <c r="A3976" t="inlineStr">
        <is>
          <t>CB</t>
        </is>
      </c>
      <c r="B3976" s="6" t="n">
        <v>51.1</v>
      </c>
    </row>
    <row r="3977">
      <c r="A3977" t="inlineStr">
        <is>
          <t>CB</t>
        </is>
      </c>
      <c r="B3977" s="6" t="n">
        <v>17.6</v>
      </c>
    </row>
    <row r="3978">
      <c r="A3978" t="inlineStr">
        <is>
          <t>CB</t>
        </is>
      </c>
      <c r="B3978" s="6" t="n">
        <v>66.5</v>
      </c>
    </row>
    <row r="3979">
      <c r="A3979" t="inlineStr">
        <is>
          <t>CB</t>
        </is>
      </c>
      <c r="B3979" s="6" t="n">
        <v>26.25</v>
      </c>
    </row>
    <row r="3980">
      <c r="A3980" t="inlineStr">
        <is>
          <t>CB</t>
        </is>
      </c>
      <c r="B3980" s="6" t="n">
        <v>60.7</v>
      </c>
    </row>
    <row r="3981">
      <c r="A3981" t="inlineStr">
        <is>
          <t>CB</t>
        </is>
      </c>
      <c r="B3981" s="6" t="n">
        <v>41.7</v>
      </c>
    </row>
    <row r="3982">
      <c r="A3982" t="inlineStr">
        <is>
          <t>TR</t>
        </is>
      </c>
      <c r="B3982" s="6" t="n">
        <v>98</v>
      </c>
    </row>
    <row r="3983">
      <c r="A3983" t="inlineStr">
        <is>
          <t>ESP</t>
        </is>
      </c>
      <c r="B3983" s="6" t="n">
        <v>1.9</v>
      </c>
    </row>
    <row r="3984">
      <c r="A3984" t="inlineStr">
        <is>
          <t>CB</t>
        </is>
      </c>
      <c r="B3984" s="6" t="n">
        <v>87.7</v>
      </c>
    </row>
    <row r="3985">
      <c r="A3985" t="inlineStr">
        <is>
          <t>CB</t>
        </is>
      </c>
      <c r="B3985" s="6" t="n">
        <v>87.59999999999999</v>
      </c>
    </row>
    <row r="3986">
      <c r="A3986" t="inlineStr">
        <is>
          <t>CHQ</t>
        </is>
      </c>
      <c r="B3986" s="6" t="n">
        <v>93.5</v>
      </c>
    </row>
    <row r="3987">
      <c r="A3987" t="inlineStr">
        <is>
          <t>CB</t>
        </is>
      </c>
      <c r="B3987" s="6" t="n">
        <v>52.6</v>
      </c>
    </row>
    <row r="3988">
      <c r="A3988" t="inlineStr">
        <is>
          <t>CHQ</t>
        </is>
      </c>
      <c r="B3988" s="6" t="n">
        <v>196.8</v>
      </c>
    </row>
    <row r="3989">
      <c r="A3989" t="inlineStr">
        <is>
          <t>CB</t>
        </is>
      </c>
      <c r="B3989" s="6" t="n">
        <v>68</v>
      </c>
    </row>
    <row r="3990">
      <c r="A3990" t="inlineStr">
        <is>
          <t>CB</t>
        </is>
      </c>
      <c r="B3990" s="6" t="n">
        <v>57.4</v>
      </c>
    </row>
    <row r="3991">
      <c r="A3991" t="inlineStr">
        <is>
          <t>CB</t>
        </is>
      </c>
      <c r="B3991" s="6" t="n">
        <v>128</v>
      </c>
    </row>
    <row r="3992">
      <c r="A3992" t="inlineStr">
        <is>
          <t>CB</t>
        </is>
      </c>
      <c r="B3992" s="6" t="n">
        <v>81.8</v>
      </c>
    </row>
    <row r="3993">
      <c r="A3993" t="inlineStr">
        <is>
          <t>CB</t>
        </is>
      </c>
      <c r="B3993" s="6" t="n">
        <v>67.7</v>
      </c>
    </row>
    <row r="3994">
      <c r="A3994" t="inlineStr">
        <is>
          <t>CB</t>
        </is>
      </c>
      <c r="B3994" s="6" t="n">
        <v>61.3</v>
      </c>
    </row>
    <row r="3995">
      <c r="A3995" t="inlineStr">
        <is>
          <t>CB</t>
        </is>
      </c>
      <c r="B3995" s="6" t="n">
        <v>109.9</v>
      </c>
    </row>
    <row r="3996">
      <c r="A3996" t="inlineStr">
        <is>
          <t>CB</t>
        </is>
      </c>
      <c r="B3996" s="6" t="n">
        <v>45.5</v>
      </c>
    </row>
    <row r="3997">
      <c r="A3997" t="inlineStr">
        <is>
          <t>CB</t>
        </is>
      </c>
      <c r="B3997" s="6" t="n">
        <v>44.9</v>
      </c>
    </row>
    <row r="3998">
      <c r="A3998" t="inlineStr">
        <is>
          <t>CB</t>
        </is>
      </c>
      <c r="B3998" s="6" t="n">
        <v>235.9</v>
      </c>
    </row>
    <row r="3999">
      <c r="A3999" t="inlineStr">
        <is>
          <t>CB</t>
        </is>
      </c>
      <c r="B3999" s="6" t="n">
        <v>68</v>
      </c>
    </row>
    <row r="4000">
      <c r="A4000" t="inlineStr">
        <is>
          <t>CB</t>
        </is>
      </c>
      <c r="B4000" s="6" t="n">
        <v>115.6</v>
      </c>
    </row>
    <row r="4001">
      <c r="A4001" t="inlineStr">
        <is>
          <t>CB</t>
        </is>
      </c>
      <c r="B4001" s="6" t="n">
        <v>73</v>
      </c>
    </row>
    <row r="4002">
      <c r="A4002" t="inlineStr">
        <is>
          <t>CB</t>
        </is>
      </c>
      <c r="B4002" s="6" t="n">
        <v>113.4</v>
      </c>
    </row>
    <row r="4003">
      <c r="A4003" t="inlineStr">
        <is>
          <t>CB</t>
        </is>
      </c>
      <c r="B4003" s="6" t="n">
        <v>96.90000000000001</v>
      </c>
    </row>
    <row r="4004">
      <c r="A4004" t="inlineStr">
        <is>
          <t>CB</t>
        </is>
      </c>
      <c r="B4004" s="6" t="n">
        <v>19.8</v>
      </c>
    </row>
    <row r="4005">
      <c r="A4005" t="inlineStr">
        <is>
          <t>CB</t>
        </is>
      </c>
      <c r="B4005" s="6" t="n">
        <v>111.8</v>
      </c>
    </row>
    <row r="4006">
      <c r="A4006" t="inlineStr">
        <is>
          <t>CB</t>
        </is>
      </c>
      <c r="B4006" s="6" t="n">
        <v>100</v>
      </c>
    </row>
    <row r="4007">
      <c r="A4007" t="inlineStr">
        <is>
          <t>CB</t>
        </is>
      </c>
      <c r="B4007" s="6" t="n">
        <v>64.3</v>
      </c>
    </row>
    <row r="4008">
      <c r="A4008" t="inlineStr">
        <is>
          <t>CB</t>
        </is>
      </c>
      <c r="B4008" s="6" t="n">
        <v>68.7</v>
      </c>
    </row>
    <row r="4009">
      <c r="A4009" t="inlineStr">
        <is>
          <t>CB</t>
        </is>
      </c>
      <c r="B4009" s="6" t="n">
        <v>71.84999999999999</v>
      </c>
    </row>
    <row r="4010">
      <c r="A4010" t="inlineStr">
        <is>
          <t>CB</t>
        </is>
      </c>
      <c r="B4010" s="6" t="n">
        <v>28.1</v>
      </c>
    </row>
    <row r="4011">
      <c r="A4011" t="inlineStr">
        <is>
          <t>CB</t>
        </is>
      </c>
      <c r="B4011" s="6" t="n">
        <v>93.8</v>
      </c>
    </row>
    <row r="4012">
      <c r="A4012" t="inlineStr">
        <is>
          <t>CB</t>
        </is>
      </c>
      <c r="B4012" s="6" t="n">
        <v>73.90000000000001</v>
      </c>
    </row>
    <row r="4013">
      <c r="A4013" t="inlineStr">
        <is>
          <t>TR</t>
        </is>
      </c>
      <c r="B4013" s="6" t="n">
        <v>56</v>
      </c>
    </row>
    <row r="4014">
      <c r="A4014" t="inlineStr">
        <is>
          <t>ESP</t>
        </is>
      </c>
      <c r="B4014" s="6" t="n">
        <v>2</v>
      </c>
    </row>
    <row r="4015">
      <c r="A4015" t="inlineStr">
        <is>
          <t>CB</t>
        </is>
      </c>
      <c r="B4015" s="6" t="n">
        <v>53.3</v>
      </c>
    </row>
    <row r="4016">
      <c r="A4016" t="inlineStr">
        <is>
          <t>CB</t>
        </is>
      </c>
      <c r="B4016" s="6" t="n">
        <v>37.9</v>
      </c>
    </row>
    <row r="4017">
      <c r="A4017" t="inlineStr">
        <is>
          <t>CB</t>
        </is>
      </c>
      <c r="B4017" s="6" t="n">
        <v>85.40000000000001</v>
      </c>
    </row>
    <row r="4018">
      <c r="A4018" t="inlineStr">
        <is>
          <t>CHV</t>
        </is>
      </c>
      <c r="B4018" s="6" t="n">
        <v>50</v>
      </c>
    </row>
    <row r="4019">
      <c r="A4019" t="inlineStr">
        <is>
          <t>CB</t>
        </is>
      </c>
      <c r="B4019" s="6" t="n">
        <v>19.5</v>
      </c>
    </row>
    <row r="4020">
      <c r="A4020" t="inlineStr">
        <is>
          <t>CB</t>
        </is>
      </c>
      <c r="B4020" s="6" t="n">
        <v>52.4</v>
      </c>
    </row>
    <row r="4021">
      <c r="A4021" t="inlineStr">
        <is>
          <t>CB</t>
        </is>
      </c>
      <c r="B4021" s="6" t="n">
        <v>26.8</v>
      </c>
    </row>
    <row r="4022">
      <c r="A4022" t="inlineStr">
        <is>
          <t>CB</t>
        </is>
      </c>
      <c r="B4022" s="6" t="n">
        <v>59.3</v>
      </c>
    </row>
    <row r="4023">
      <c r="A4023" t="inlineStr">
        <is>
          <t>TR</t>
        </is>
      </c>
      <c r="B4023" s="6" t="n">
        <v>18.66</v>
      </c>
    </row>
    <row r="4024">
      <c r="A4024" t="inlineStr">
        <is>
          <t>CB</t>
        </is>
      </c>
      <c r="B4024" s="6" t="n">
        <v>71.84</v>
      </c>
    </row>
    <row r="4025">
      <c r="A4025" t="inlineStr">
        <is>
          <t>CB</t>
        </is>
      </c>
      <c r="B4025" s="6" t="n">
        <v>29</v>
      </c>
    </row>
    <row r="4026">
      <c r="A4026" t="inlineStr">
        <is>
          <t>CHV</t>
        </is>
      </c>
      <c r="B4026" s="6" t="n">
        <v>30</v>
      </c>
    </row>
    <row r="4027">
      <c r="A4027" t="inlineStr">
        <is>
          <t>CB</t>
        </is>
      </c>
      <c r="B4027" s="6" t="n">
        <v>20.2</v>
      </c>
    </row>
    <row r="4028">
      <c r="A4028" t="inlineStr">
        <is>
          <t>CB</t>
        </is>
      </c>
      <c r="B4028" s="6" t="n">
        <v>100.6</v>
      </c>
    </row>
    <row r="4029">
      <c r="A4029" t="inlineStr">
        <is>
          <t>CB</t>
        </is>
      </c>
      <c r="B4029" s="6" t="n">
        <v>23.1</v>
      </c>
    </row>
    <row r="4030">
      <c r="A4030" t="inlineStr">
        <is>
          <t>TR</t>
        </is>
      </c>
      <c r="B4030" s="6" t="n">
        <v>30</v>
      </c>
    </row>
    <row r="4031">
      <c r="A4031" t="inlineStr">
        <is>
          <t>CB</t>
        </is>
      </c>
      <c r="B4031" s="6" t="n">
        <v>65.59999999999999</v>
      </c>
    </row>
    <row r="4032">
      <c r="A4032" t="inlineStr">
        <is>
          <t>CB</t>
        </is>
      </c>
      <c r="B4032" s="6" t="n">
        <v>54.9</v>
      </c>
    </row>
    <row r="4033">
      <c r="A4033" t="inlineStr">
        <is>
          <t>CB</t>
        </is>
      </c>
      <c r="B4033" s="6" t="n">
        <v>97</v>
      </c>
    </row>
    <row r="4034">
      <c r="A4034" t="inlineStr">
        <is>
          <t>CB</t>
        </is>
      </c>
      <c r="B4034" s="6" t="n">
        <v>50.9</v>
      </c>
    </row>
    <row r="4035">
      <c r="A4035" t="inlineStr">
        <is>
          <t>CB</t>
        </is>
      </c>
      <c r="B4035" s="6" t="n">
        <v>28.65</v>
      </c>
    </row>
    <row r="4036">
      <c r="A4036" t="inlineStr">
        <is>
          <t>CB</t>
        </is>
      </c>
      <c r="B4036" s="6" t="n">
        <v>57.7</v>
      </c>
    </row>
    <row r="4037">
      <c r="A4037" t="inlineStr">
        <is>
          <t>CB</t>
        </is>
      </c>
      <c r="B4037" s="6" t="n">
        <v>66.59999999999999</v>
      </c>
    </row>
    <row r="4038">
      <c r="A4038" t="inlineStr">
        <is>
          <t>CB</t>
        </is>
      </c>
      <c r="B4038" s="6" t="n">
        <v>63.9</v>
      </c>
    </row>
    <row r="4039">
      <c r="A4039" t="inlineStr">
        <is>
          <t>CB</t>
        </is>
      </c>
      <c r="B4039" s="6" t="n">
        <v>66.90000000000001</v>
      </c>
    </row>
    <row r="4040">
      <c r="A4040" t="inlineStr">
        <is>
          <t>CB</t>
        </is>
      </c>
      <c r="B4040" s="6" t="n">
        <v>88</v>
      </c>
    </row>
    <row r="4041">
      <c r="A4041" t="inlineStr">
        <is>
          <t>CB</t>
        </is>
      </c>
      <c r="B4041" s="6" t="n">
        <v>37.6</v>
      </c>
    </row>
    <row r="4042">
      <c r="A4042" t="inlineStr">
        <is>
          <t>CB</t>
        </is>
      </c>
      <c r="B4042" s="6" t="n">
        <v>28.65</v>
      </c>
    </row>
    <row r="4043">
      <c r="A4043" t="inlineStr">
        <is>
          <t>CB</t>
        </is>
      </c>
      <c r="B4043" s="6" t="n">
        <v>61.9</v>
      </c>
    </row>
    <row r="4044">
      <c r="A4044" t="inlineStr">
        <is>
          <t>CB</t>
        </is>
      </c>
      <c r="B4044" s="6" t="n">
        <v>47.5</v>
      </c>
    </row>
    <row r="4045">
      <c r="A4045" t="inlineStr">
        <is>
          <t>CB</t>
        </is>
      </c>
      <c r="B4045" s="6" t="n">
        <v>32.33</v>
      </c>
    </row>
    <row r="4046">
      <c r="A4046" t="inlineStr">
        <is>
          <t>CB</t>
        </is>
      </c>
      <c r="B4046" s="6" t="n">
        <v>32.33</v>
      </c>
    </row>
    <row r="4047">
      <c r="A4047" t="inlineStr">
        <is>
          <t>CB</t>
        </is>
      </c>
      <c r="B4047" s="6" t="n">
        <v>32.34</v>
      </c>
    </row>
    <row r="4048">
      <c r="A4048" t="inlineStr">
        <is>
          <t>CB</t>
        </is>
      </c>
      <c r="B4048" s="6" t="n">
        <v>114.5</v>
      </c>
    </row>
    <row r="4049">
      <c r="A4049" t="inlineStr">
        <is>
          <t>CB</t>
        </is>
      </c>
      <c r="B4049" s="6" t="n">
        <v>49.7</v>
      </c>
    </row>
    <row r="4050">
      <c r="A4050" t="inlineStr">
        <is>
          <t>CB</t>
        </is>
      </c>
      <c r="B4050" s="6" t="n">
        <v>53.4</v>
      </c>
    </row>
    <row r="4051">
      <c r="A4051" t="inlineStr">
        <is>
          <t>CB</t>
        </is>
      </c>
      <c r="B4051" s="6" t="n">
        <v>25.05</v>
      </c>
    </row>
    <row r="4052">
      <c r="A4052" t="inlineStr">
        <is>
          <t>CB</t>
        </is>
      </c>
      <c r="B4052" s="6" t="n">
        <v>49.95</v>
      </c>
    </row>
    <row r="4053">
      <c r="A4053" t="inlineStr">
        <is>
          <t>CB</t>
        </is>
      </c>
      <c r="B4053" s="6" t="n">
        <v>51.4</v>
      </c>
    </row>
    <row r="4054">
      <c r="A4054" t="inlineStr">
        <is>
          <t>CB</t>
        </is>
      </c>
      <c r="B4054" s="6" t="n">
        <v>95.40000000000001</v>
      </c>
    </row>
    <row r="4055">
      <c r="A4055" t="inlineStr">
        <is>
          <t>CB</t>
        </is>
      </c>
      <c r="B4055" s="6" t="n">
        <v>80.2</v>
      </c>
    </row>
    <row r="4056">
      <c r="A4056" t="inlineStr">
        <is>
          <t>CB</t>
        </is>
      </c>
      <c r="B4056" s="6" t="n">
        <v>54.5</v>
      </c>
    </row>
    <row r="4057">
      <c r="A4057" t="inlineStr">
        <is>
          <t>CB</t>
        </is>
      </c>
      <c r="B4057" s="6" t="n">
        <v>65.8</v>
      </c>
    </row>
    <row r="4058">
      <c r="A4058" t="inlineStr">
        <is>
          <t>CB</t>
        </is>
      </c>
      <c r="B4058" s="6" t="n">
        <v>28.1</v>
      </c>
    </row>
    <row r="4059">
      <c r="A4059" t="inlineStr">
        <is>
          <t>CB</t>
        </is>
      </c>
      <c r="B4059" s="6" t="n">
        <v>40.3</v>
      </c>
    </row>
    <row r="4060">
      <c r="A4060" t="inlineStr">
        <is>
          <t>CB</t>
        </is>
      </c>
      <c r="B4060" s="6" t="n">
        <v>25.05</v>
      </c>
    </row>
    <row r="4061">
      <c r="A4061" t="inlineStr">
        <is>
          <t>CB</t>
        </is>
      </c>
      <c r="B4061" s="6" t="n">
        <v>59</v>
      </c>
    </row>
    <row r="4062">
      <c r="A4062" t="inlineStr">
        <is>
          <t>CB</t>
        </is>
      </c>
      <c r="B4062" s="6" t="n">
        <v>49.95</v>
      </c>
    </row>
    <row r="4063">
      <c r="A4063" t="inlineStr">
        <is>
          <t>CB</t>
        </is>
      </c>
      <c r="B4063" s="6" t="n">
        <v>30.5</v>
      </c>
    </row>
    <row r="4064">
      <c r="A4064" t="inlineStr">
        <is>
          <t>CB</t>
        </is>
      </c>
      <c r="B4064" s="6" t="n">
        <v>27.9</v>
      </c>
    </row>
    <row r="4065">
      <c r="A4065" t="inlineStr">
        <is>
          <t>CB</t>
        </is>
      </c>
      <c r="B4065" s="6" t="n">
        <v>78</v>
      </c>
    </row>
    <row r="4066">
      <c r="A4066" t="inlineStr">
        <is>
          <t>CB</t>
        </is>
      </c>
      <c r="B4066" s="6" t="n">
        <v>38.8</v>
      </c>
    </row>
    <row r="4067">
      <c r="A4067" t="inlineStr">
        <is>
          <t>CB</t>
        </is>
      </c>
      <c r="B4067" s="6" t="n">
        <v>72.8</v>
      </c>
    </row>
    <row r="4068">
      <c r="A4068" t="inlineStr">
        <is>
          <t>CB</t>
        </is>
      </c>
      <c r="B4068" s="6" t="n">
        <v>77.8</v>
      </c>
    </row>
    <row r="4069">
      <c r="A4069" t="inlineStr">
        <is>
          <t>CB</t>
        </is>
      </c>
      <c r="B4069" s="6" t="n">
        <v>130.2</v>
      </c>
    </row>
    <row r="4070">
      <c r="A4070" t="inlineStr">
        <is>
          <t>CHV</t>
        </is>
      </c>
      <c r="B4070" s="6" t="n">
        <v>80</v>
      </c>
    </row>
    <row r="4071">
      <c r="A4071" t="inlineStr">
        <is>
          <t>CB</t>
        </is>
      </c>
      <c r="B4071" s="6" t="n">
        <v>19.2</v>
      </c>
    </row>
    <row r="4072">
      <c r="A4072" t="inlineStr">
        <is>
          <t>CB</t>
        </is>
      </c>
      <c r="B4072" s="6" t="n">
        <v>76.2</v>
      </c>
    </row>
    <row r="4073">
      <c r="A4073" t="inlineStr">
        <is>
          <t>CB</t>
        </is>
      </c>
      <c r="B4073" s="6" t="n">
        <v>131.5</v>
      </c>
    </row>
    <row r="4074">
      <c r="A4074" t="inlineStr">
        <is>
          <t>CB</t>
        </is>
      </c>
      <c r="B4074" s="6" t="n">
        <v>52.2</v>
      </c>
    </row>
    <row r="4075">
      <c r="A4075" t="inlineStr">
        <is>
          <t>CB</t>
        </is>
      </c>
      <c r="B4075" s="6" t="n">
        <v>20.1</v>
      </c>
    </row>
    <row r="4076">
      <c r="A4076" t="inlineStr">
        <is>
          <t>CB</t>
        </is>
      </c>
      <c r="B4076" s="6" t="n">
        <v>38</v>
      </c>
    </row>
    <row r="4077">
      <c r="A4077" t="inlineStr">
        <is>
          <t>ESP</t>
        </is>
      </c>
      <c r="B4077" s="6" t="n">
        <v>40.3</v>
      </c>
    </row>
    <row r="4078">
      <c r="A4078" t="inlineStr">
        <is>
          <t>CB</t>
        </is>
      </c>
      <c r="B4078" s="6" t="n">
        <v>47.7</v>
      </c>
    </row>
    <row r="4079">
      <c r="A4079" t="inlineStr">
        <is>
          <t>CB</t>
        </is>
      </c>
      <c r="B4079" s="6" t="n">
        <v>39.9</v>
      </c>
    </row>
    <row r="4080">
      <c r="A4080" t="inlineStr">
        <is>
          <t>CB</t>
        </is>
      </c>
      <c r="B4080" s="6" t="n">
        <v>30.2</v>
      </c>
    </row>
    <row r="4081">
      <c r="A4081" t="inlineStr">
        <is>
          <t>CB</t>
        </is>
      </c>
      <c r="B4081" s="6" t="n">
        <v>20.1</v>
      </c>
    </row>
    <row r="4082">
      <c r="A4082" t="inlineStr">
        <is>
          <t>ESP</t>
        </is>
      </c>
      <c r="B4082" s="6" t="n">
        <v>40.3</v>
      </c>
    </row>
    <row r="4083">
      <c r="A4083" t="inlineStr">
        <is>
          <t>CB</t>
        </is>
      </c>
      <c r="B4083" s="6" t="n">
        <v>89.09999999999999</v>
      </c>
    </row>
    <row r="4084">
      <c r="A4084" t="inlineStr">
        <is>
          <t>CB</t>
        </is>
      </c>
      <c r="B4084" s="6" t="n">
        <v>63.1</v>
      </c>
    </row>
    <row r="4085">
      <c r="A4085" t="inlineStr">
        <is>
          <t>CB</t>
        </is>
      </c>
      <c r="B4085" s="6" t="n">
        <v>70.59999999999999</v>
      </c>
    </row>
    <row r="4086">
      <c r="A4086" t="inlineStr">
        <is>
          <t>CHV</t>
        </is>
      </c>
      <c r="B4086" s="6" t="n">
        <v>80</v>
      </c>
    </row>
    <row r="4087">
      <c r="A4087" t="inlineStr">
        <is>
          <t>ESP</t>
        </is>
      </c>
      <c r="B4087" s="6" t="n">
        <v>1.8</v>
      </c>
    </row>
    <row r="4088">
      <c r="A4088" t="inlineStr">
        <is>
          <t>CB</t>
        </is>
      </c>
      <c r="B4088" s="6" t="n">
        <v>207</v>
      </c>
    </row>
    <row r="4089">
      <c r="A4089" t="inlineStr">
        <is>
          <t>CB</t>
        </is>
      </c>
      <c r="B4089" s="6" t="n">
        <v>75.7</v>
      </c>
    </row>
    <row r="4090">
      <c r="A4090" t="inlineStr">
        <is>
          <t>CB</t>
        </is>
      </c>
      <c r="B4090" s="6" t="n">
        <v>76.90000000000001</v>
      </c>
    </row>
    <row r="4091">
      <c r="A4091" t="inlineStr">
        <is>
          <t>CB</t>
        </is>
      </c>
      <c r="B4091" s="6" t="n">
        <v>27.4</v>
      </c>
    </row>
    <row r="4092">
      <c r="A4092" t="inlineStr">
        <is>
          <t>CB</t>
        </is>
      </c>
      <c r="B4092" s="6" t="n">
        <v>45.2</v>
      </c>
    </row>
    <row r="4093">
      <c r="A4093" t="inlineStr">
        <is>
          <t>CB</t>
        </is>
      </c>
      <c r="B4093" s="6" t="n">
        <v>41.85</v>
      </c>
    </row>
    <row r="4094">
      <c r="A4094" t="inlineStr">
        <is>
          <t>CB</t>
        </is>
      </c>
      <c r="B4094" s="6" t="n">
        <v>41.85</v>
      </c>
    </row>
    <row r="4095">
      <c r="A4095" t="inlineStr">
        <is>
          <t>CB</t>
        </is>
      </c>
      <c r="B4095" s="6" t="n">
        <v>82.40000000000001</v>
      </c>
    </row>
    <row r="4096">
      <c r="A4096" t="inlineStr">
        <is>
          <t>TR</t>
        </is>
      </c>
      <c r="B4096" s="6" t="n">
        <v>34</v>
      </c>
    </row>
    <row r="4097">
      <c r="A4097" t="inlineStr">
        <is>
          <t>ESP</t>
        </is>
      </c>
      <c r="B4097" s="6" t="n">
        <v>4.3</v>
      </c>
    </row>
    <row r="4098">
      <c r="A4098" t="inlineStr">
        <is>
          <t>CB</t>
        </is>
      </c>
      <c r="B4098" s="6" t="n">
        <v>38.3</v>
      </c>
    </row>
    <row r="4099">
      <c r="A4099" t="inlineStr">
        <is>
          <t>CB</t>
        </is>
      </c>
      <c r="B4099" s="6" t="n">
        <v>126.6</v>
      </c>
    </row>
    <row r="4100">
      <c r="A4100" t="inlineStr">
        <is>
          <t>CB</t>
        </is>
      </c>
      <c r="B4100" s="6" t="n">
        <v>88.90000000000001</v>
      </c>
    </row>
    <row r="4101">
      <c r="A4101" t="inlineStr">
        <is>
          <t>ESP</t>
        </is>
      </c>
      <c r="B4101" s="6" t="n">
        <v>58.3</v>
      </c>
    </row>
    <row r="4102">
      <c r="A4102" t="inlineStr">
        <is>
          <t>CB</t>
        </is>
      </c>
      <c r="B4102" s="6" t="n">
        <v>66.40000000000001</v>
      </c>
    </row>
    <row r="4103">
      <c r="A4103" t="inlineStr">
        <is>
          <t>CB</t>
        </is>
      </c>
      <c r="B4103" s="6" t="n">
        <v>102.4</v>
      </c>
    </row>
    <row r="4104">
      <c r="A4104" t="inlineStr">
        <is>
          <t>CHV</t>
        </is>
      </c>
      <c r="B4104" s="6" t="n">
        <v>82.59999999999999</v>
      </c>
    </row>
    <row r="4105">
      <c r="A4105" t="inlineStr">
        <is>
          <t>CB</t>
        </is>
      </c>
      <c r="B4105" s="6" t="n">
        <v>81.5</v>
      </c>
    </row>
    <row r="4106">
      <c r="A4106" t="inlineStr">
        <is>
          <t>CB</t>
        </is>
      </c>
      <c r="B4106" s="6" t="n">
        <v>139.1</v>
      </c>
    </row>
    <row r="4107">
      <c r="A4107" t="inlineStr">
        <is>
          <t>CB</t>
        </is>
      </c>
      <c r="B4107" s="6" t="n">
        <v>66.5</v>
      </c>
    </row>
    <row r="4108">
      <c r="A4108" t="inlineStr">
        <is>
          <t>CB</t>
        </is>
      </c>
      <c r="B4108" s="6" t="n">
        <v>70</v>
      </c>
    </row>
    <row r="4109">
      <c r="A4109" t="inlineStr">
        <is>
          <t>CB</t>
        </is>
      </c>
      <c r="B4109" s="6" t="n">
        <v>66.40000000000001</v>
      </c>
    </row>
    <row r="4110">
      <c r="A4110" t="inlineStr">
        <is>
          <t>TR</t>
        </is>
      </c>
      <c r="B4110" s="6" t="n">
        <v>47.4</v>
      </c>
    </row>
    <row r="4111">
      <c r="A4111" t="inlineStr">
        <is>
          <t>ESP</t>
        </is>
      </c>
      <c r="B4111" s="6" t="n">
        <v>7.6</v>
      </c>
    </row>
    <row r="4112">
      <c r="A4112" t="inlineStr">
        <is>
          <t>CB</t>
        </is>
      </c>
      <c r="B4112" s="6" t="n">
        <v>46.7</v>
      </c>
    </row>
    <row r="4113">
      <c r="A4113" t="inlineStr">
        <is>
          <t>CB</t>
        </is>
      </c>
      <c r="B4113" s="6" t="n">
        <v>91.3</v>
      </c>
    </row>
    <row r="4114">
      <c r="A4114" t="inlineStr">
        <is>
          <t>CB</t>
        </is>
      </c>
      <c r="B4114" s="6" t="n">
        <v>65.5</v>
      </c>
    </row>
    <row r="4115">
      <c r="A4115" t="inlineStr">
        <is>
          <t>CB</t>
        </is>
      </c>
      <c r="B4115" s="6" t="n">
        <v>53.8</v>
      </c>
    </row>
    <row r="4116">
      <c r="A4116" t="inlineStr">
        <is>
          <t>TR</t>
        </is>
      </c>
      <c r="B4116" s="6" t="n">
        <v>64</v>
      </c>
    </row>
    <row r="4117">
      <c r="A4117" t="inlineStr">
        <is>
          <t>CB</t>
        </is>
      </c>
      <c r="B4117" s="6" t="n">
        <v>33.1</v>
      </c>
    </row>
    <row r="4118">
      <c r="A4118" t="inlineStr">
        <is>
          <t>TR</t>
        </is>
      </c>
      <c r="B4118" s="6" t="n">
        <v>28.44</v>
      </c>
    </row>
    <row r="4119">
      <c r="A4119" t="inlineStr">
        <is>
          <t>CB</t>
        </is>
      </c>
      <c r="B4119" s="6" t="n">
        <v>29.76</v>
      </c>
    </row>
    <row r="4120">
      <c r="A4120" t="inlineStr">
        <is>
          <t>CB</t>
        </is>
      </c>
      <c r="B4120" s="6" t="n">
        <v>70.09999999999999</v>
      </c>
    </row>
    <row r="4121">
      <c r="A4121" t="inlineStr">
        <is>
          <t>CB</t>
        </is>
      </c>
      <c r="B4121" s="6" t="n">
        <v>49.3</v>
      </c>
    </row>
    <row r="4122">
      <c r="A4122" t="inlineStr">
        <is>
          <t>CB</t>
        </is>
      </c>
      <c r="B4122" s="6" t="n">
        <v>66.8</v>
      </c>
    </row>
    <row r="4123">
      <c r="A4123" t="inlineStr">
        <is>
          <t>CB</t>
        </is>
      </c>
      <c r="B4123" s="6" t="n">
        <v>33.2</v>
      </c>
    </row>
    <row r="4124">
      <c r="A4124" t="inlineStr">
        <is>
          <t>CB</t>
        </is>
      </c>
      <c r="B4124" s="6" t="n">
        <v>158.6</v>
      </c>
    </row>
    <row r="4125">
      <c r="A4125" t="inlineStr">
        <is>
          <t>TR</t>
        </is>
      </c>
      <c r="B4125" s="6" t="n">
        <v>33.32</v>
      </c>
    </row>
    <row r="4126">
      <c r="A4126" t="inlineStr">
        <is>
          <t>CB</t>
        </is>
      </c>
      <c r="B4126" s="6" t="n">
        <v>18.38</v>
      </c>
    </row>
    <row r="4127">
      <c r="A4127" t="inlineStr">
        <is>
          <t>CB</t>
        </is>
      </c>
      <c r="B4127" s="6" t="n">
        <v>56.8</v>
      </c>
    </row>
    <row r="4128">
      <c r="A4128" t="inlineStr">
        <is>
          <t>CB</t>
        </is>
      </c>
      <c r="B4128" s="6" t="n">
        <v>69.3</v>
      </c>
    </row>
    <row r="4129">
      <c r="A4129" t="inlineStr">
        <is>
          <t>CB</t>
        </is>
      </c>
      <c r="B4129" s="6" t="n">
        <v>42.8</v>
      </c>
    </row>
    <row r="4130">
      <c r="A4130" t="inlineStr">
        <is>
          <t>CB</t>
        </is>
      </c>
      <c r="B4130" s="6" t="n">
        <v>157.4</v>
      </c>
    </row>
    <row r="4131">
      <c r="A4131" t="inlineStr">
        <is>
          <t>CB</t>
        </is>
      </c>
      <c r="B4131" s="6" t="n">
        <v>49.3</v>
      </c>
    </row>
    <row r="4132">
      <c r="A4132" t="inlineStr">
        <is>
          <t>CB</t>
        </is>
      </c>
      <c r="B4132" s="6" t="n">
        <v>33.2</v>
      </c>
    </row>
    <row r="4133">
      <c r="A4133" t="inlineStr">
        <is>
          <t>CB</t>
        </is>
      </c>
      <c r="B4133" s="6" t="n">
        <v>80</v>
      </c>
    </row>
    <row r="4134">
      <c r="A4134" t="inlineStr">
        <is>
          <t>CB</t>
        </is>
      </c>
      <c r="B4134" s="6" t="n">
        <v>85.3</v>
      </c>
    </row>
    <row r="4135">
      <c r="A4135" t="inlineStr">
        <is>
          <t>CB</t>
        </is>
      </c>
      <c r="B4135" s="6" t="n">
        <v>68.5</v>
      </c>
    </row>
    <row r="4136">
      <c r="A4136" t="inlineStr">
        <is>
          <t>CB</t>
        </is>
      </c>
      <c r="B4136" s="6" t="n">
        <v>160</v>
      </c>
    </row>
    <row r="4137">
      <c r="A4137" t="inlineStr">
        <is>
          <t>CB</t>
        </is>
      </c>
      <c r="B4137" s="6" t="n">
        <v>58.8</v>
      </c>
    </row>
    <row r="4138">
      <c r="A4138" t="inlineStr">
        <is>
          <t>CB</t>
        </is>
      </c>
      <c r="B4138" s="6" t="n">
        <v>88.59999999999999</v>
      </c>
    </row>
    <row r="4139">
      <c r="A4139" t="inlineStr">
        <is>
          <t>CB</t>
        </is>
      </c>
      <c r="B4139" s="6" t="n">
        <v>68.3</v>
      </c>
    </row>
    <row r="4140">
      <c r="A4140" t="inlineStr">
        <is>
          <t>CB</t>
        </is>
      </c>
      <c r="B4140" s="6" t="n">
        <v>78.3</v>
      </c>
    </row>
    <row r="4141">
      <c r="A4141" t="inlineStr">
        <is>
          <t>CB</t>
        </is>
      </c>
      <c r="B4141" s="6" t="n">
        <v>143.1</v>
      </c>
    </row>
    <row r="4142">
      <c r="A4142" t="inlineStr">
        <is>
          <t>CB</t>
        </is>
      </c>
      <c r="B4142" s="6" t="n">
        <v>112.2</v>
      </c>
    </row>
    <row r="4143">
      <c r="A4143" t="inlineStr">
        <is>
          <t>CB</t>
        </is>
      </c>
      <c r="B4143" s="6" t="n">
        <v>87.09999999999999</v>
      </c>
    </row>
    <row r="4144">
      <c r="A4144" t="inlineStr">
        <is>
          <t>CB</t>
        </is>
      </c>
      <c r="B4144" s="6" t="n">
        <v>69.40000000000001</v>
      </c>
    </row>
    <row r="4145">
      <c r="A4145" t="inlineStr">
        <is>
          <t>CB</t>
        </is>
      </c>
      <c r="B4145" s="6" t="n">
        <v>100.4</v>
      </c>
    </row>
    <row r="4146">
      <c r="A4146" t="inlineStr">
        <is>
          <t>CB</t>
        </is>
      </c>
      <c r="B4146" s="6" t="n">
        <v>77.8</v>
      </c>
    </row>
    <row r="4147">
      <c r="A4147" t="inlineStr">
        <is>
          <t>CB</t>
        </is>
      </c>
      <c r="B4147" s="6" t="n">
        <v>36.3</v>
      </c>
    </row>
    <row r="4148">
      <c r="A4148" t="inlineStr">
        <is>
          <t>CB</t>
        </is>
      </c>
      <c r="B4148" s="6" t="n">
        <v>72.59999999999999</v>
      </c>
    </row>
    <row r="4149">
      <c r="A4149" t="inlineStr">
        <is>
          <t>CB</t>
        </is>
      </c>
      <c r="B4149" s="6" t="n">
        <v>132.9</v>
      </c>
    </row>
    <row r="4150">
      <c r="A4150" t="inlineStr">
        <is>
          <t>CB</t>
        </is>
      </c>
      <c r="B4150" s="6" t="n">
        <v>77.09999999999999</v>
      </c>
    </row>
    <row r="4151">
      <c r="A4151" t="inlineStr">
        <is>
          <t>CHV</t>
        </is>
      </c>
      <c r="B4151" s="6" t="n">
        <v>90</v>
      </c>
    </row>
    <row r="4152">
      <c r="A4152" t="inlineStr">
        <is>
          <t>ESP</t>
        </is>
      </c>
      <c r="B4152" s="6" t="n">
        <v>2.8</v>
      </c>
    </row>
    <row r="4153">
      <c r="A4153" t="inlineStr">
        <is>
          <t>CB</t>
        </is>
      </c>
      <c r="B4153" s="6" t="n">
        <v>184.8</v>
      </c>
    </row>
    <row r="4154">
      <c r="A4154" t="inlineStr">
        <is>
          <t>CB</t>
        </is>
      </c>
      <c r="B4154" s="6" t="n">
        <v>82</v>
      </c>
    </row>
    <row r="4155">
      <c r="A4155" t="inlineStr">
        <is>
          <t>CB</t>
        </is>
      </c>
      <c r="B4155" s="6" t="n">
        <v>95.59999999999999</v>
      </c>
    </row>
    <row r="4156">
      <c r="A4156" t="inlineStr">
        <is>
          <t>CB</t>
        </is>
      </c>
      <c r="B4156" s="6" t="n">
        <v>288.3</v>
      </c>
    </row>
    <row r="4157">
      <c r="A4157" t="inlineStr">
        <is>
          <t>CB</t>
        </is>
      </c>
      <c r="B4157" s="6" t="n">
        <v>88</v>
      </c>
    </row>
    <row r="4158">
      <c r="A4158" t="inlineStr">
        <is>
          <t>CHV</t>
        </is>
      </c>
      <c r="B4158" s="6" t="n">
        <v>10</v>
      </c>
    </row>
    <row r="4159">
      <c r="A4159" t="inlineStr">
        <is>
          <t>CB</t>
        </is>
      </c>
      <c r="B4159" s="6" t="n">
        <v>11.8</v>
      </c>
    </row>
    <row r="4160">
      <c r="A4160" t="inlineStr">
        <is>
          <t>CB</t>
        </is>
      </c>
      <c r="B4160" s="6" t="n">
        <v>74.3</v>
      </c>
    </row>
    <row r="4161">
      <c r="A4161" t="inlineStr">
        <is>
          <t>CB</t>
        </is>
      </c>
      <c r="B4161" s="6" t="n">
        <v>82</v>
      </c>
    </row>
    <row r="4162">
      <c r="A4162" t="inlineStr">
        <is>
          <t>CB</t>
        </is>
      </c>
      <c r="B4162" s="6" t="n">
        <v>157.8</v>
      </c>
    </row>
    <row r="4163">
      <c r="A4163" t="inlineStr">
        <is>
          <t>CB</t>
        </is>
      </c>
      <c r="B4163" s="6" t="n">
        <v>74.59999999999999</v>
      </c>
    </row>
    <row r="4164">
      <c r="A4164" t="inlineStr">
        <is>
          <t>CB</t>
        </is>
      </c>
      <c r="B4164" s="6" t="n">
        <v>61.3</v>
      </c>
    </row>
    <row r="4165">
      <c r="A4165" t="inlineStr">
        <is>
          <t>CB</t>
        </is>
      </c>
      <c r="B4165" s="6" t="n">
        <v>82</v>
      </c>
    </row>
    <row r="4166">
      <c r="A4166" t="inlineStr">
        <is>
          <t>CB</t>
        </is>
      </c>
      <c r="B4166" s="6" t="n">
        <v>75.5</v>
      </c>
    </row>
    <row r="4167">
      <c r="A4167" t="inlineStr">
        <is>
          <t>CB</t>
        </is>
      </c>
      <c r="B4167" s="6" t="n">
        <v>74.40000000000001</v>
      </c>
    </row>
    <row r="4168">
      <c r="A4168" t="inlineStr">
        <is>
          <t>CHV</t>
        </is>
      </c>
      <c r="B4168" s="6" t="n">
        <v>65.40000000000001</v>
      </c>
    </row>
    <row r="4169">
      <c r="A4169" t="inlineStr">
        <is>
          <t>CB</t>
        </is>
      </c>
      <c r="B4169" s="6" t="n">
        <v>82.7</v>
      </c>
    </row>
    <row r="4170">
      <c r="A4170" t="inlineStr">
        <is>
          <t>CB</t>
        </is>
      </c>
      <c r="B4170" s="6" t="n">
        <v>56.1</v>
      </c>
    </row>
    <row r="4171">
      <c r="A4171" t="inlineStr">
        <is>
          <t>CB</t>
        </is>
      </c>
      <c r="B4171" s="6" t="n">
        <v>39.1</v>
      </c>
    </row>
    <row r="4172">
      <c r="A4172" t="inlineStr">
        <is>
          <t>TR</t>
        </is>
      </c>
      <c r="B4172" s="6" t="n">
        <v>45.5</v>
      </c>
    </row>
    <row r="4173">
      <c r="A4173" t="inlineStr">
        <is>
          <t>CB</t>
        </is>
      </c>
      <c r="B4173" s="6" t="n">
        <v>25.3</v>
      </c>
    </row>
    <row r="4174">
      <c r="A4174" t="inlineStr">
        <is>
          <t>CB</t>
        </is>
      </c>
      <c r="B4174" s="6" t="n">
        <v>100.5</v>
      </c>
    </row>
    <row r="4175">
      <c r="A4175" t="inlineStr">
        <is>
          <t>CB</t>
        </is>
      </c>
      <c r="B4175" s="6" t="n">
        <v>58</v>
      </c>
    </row>
    <row r="4176">
      <c r="A4176" t="inlineStr">
        <is>
          <t>CB</t>
        </is>
      </c>
      <c r="B4176" s="6" t="n">
        <v>79.2</v>
      </c>
    </row>
    <row r="4177">
      <c r="A4177" t="inlineStr">
        <is>
          <t>CB</t>
        </is>
      </c>
      <c r="B4177" s="6" t="n">
        <v>50.7</v>
      </c>
    </row>
    <row r="4178">
      <c r="A4178" t="inlineStr">
        <is>
          <t>CB</t>
        </is>
      </c>
      <c r="B4178" s="6" t="n">
        <v>100</v>
      </c>
    </row>
    <row r="4179">
      <c r="A4179" t="inlineStr">
        <is>
          <t>CB</t>
        </is>
      </c>
      <c r="B4179" s="6" t="n">
        <v>66.40000000000001</v>
      </c>
    </row>
    <row r="4180">
      <c r="A4180" t="inlineStr">
        <is>
          <t>CB</t>
        </is>
      </c>
      <c r="B4180" s="6" t="n">
        <v>61.6</v>
      </c>
    </row>
    <row r="4181">
      <c r="A4181" t="inlineStr">
        <is>
          <t>CB</t>
        </is>
      </c>
      <c r="B4181" s="6" t="n">
        <v>122.5</v>
      </c>
    </row>
    <row r="4182">
      <c r="A4182" t="inlineStr">
        <is>
          <t>CB</t>
        </is>
      </c>
      <c r="B4182" s="6" t="n">
        <v>89.2</v>
      </c>
    </row>
    <row r="4183">
      <c r="A4183" t="inlineStr">
        <is>
          <t>CB</t>
        </is>
      </c>
      <c r="B4183" s="6" t="n">
        <v>90.2</v>
      </c>
    </row>
    <row r="4184">
      <c r="A4184" t="inlineStr">
        <is>
          <t>CB</t>
        </is>
      </c>
      <c r="B4184" s="6" t="n">
        <v>29.9</v>
      </c>
    </row>
    <row r="4185">
      <c r="A4185" t="inlineStr">
        <is>
          <t>CB</t>
        </is>
      </c>
      <c r="B4185" s="6" t="n">
        <v>69.40000000000001</v>
      </c>
    </row>
    <row r="4186">
      <c r="A4186" t="inlineStr">
        <is>
          <t>CB</t>
        </is>
      </c>
      <c r="B4186" s="6" t="n">
        <v>40.5</v>
      </c>
    </row>
    <row r="4187">
      <c r="A4187" t="inlineStr">
        <is>
          <t>CB</t>
        </is>
      </c>
      <c r="B4187" s="6" t="n">
        <v>29.9</v>
      </c>
    </row>
    <row r="4188">
      <c r="A4188" t="inlineStr">
        <is>
          <t>CB</t>
        </is>
      </c>
      <c r="B4188" s="6" t="n">
        <v>64.7</v>
      </c>
    </row>
    <row r="4189">
      <c r="A4189" t="inlineStr">
        <is>
          <t>CB</t>
        </is>
      </c>
      <c r="B4189" s="6" t="n">
        <v>79.5</v>
      </c>
    </row>
    <row r="4190">
      <c r="A4190" t="inlineStr">
        <is>
          <t>CB</t>
        </is>
      </c>
      <c r="B4190" s="6" t="n">
        <v>27.35</v>
      </c>
    </row>
    <row r="4191">
      <c r="A4191" t="inlineStr">
        <is>
          <t>CB</t>
        </is>
      </c>
      <c r="B4191" s="6" t="n">
        <v>73.2</v>
      </c>
    </row>
    <row r="4192">
      <c r="A4192" t="inlineStr">
        <is>
          <t>CB</t>
        </is>
      </c>
      <c r="B4192" s="6" t="n">
        <v>54</v>
      </c>
    </row>
    <row r="4193">
      <c r="A4193" t="inlineStr">
        <is>
          <t>CB</t>
        </is>
      </c>
      <c r="B4193" s="6" t="n">
        <v>118.8</v>
      </c>
    </row>
    <row r="4194">
      <c r="A4194" t="inlineStr">
        <is>
          <t>CB</t>
        </is>
      </c>
      <c r="B4194" s="6" t="n">
        <v>31.8</v>
      </c>
    </row>
    <row r="4195">
      <c r="A4195" t="inlineStr">
        <is>
          <t>CB</t>
        </is>
      </c>
      <c r="B4195" s="6" t="n">
        <v>49.2</v>
      </c>
    </row>
    <row r="4196">
      <c r="A4196" t="inlineStr">
        <is>
          <t>CB</t>
        </is>
      </c>
      <c r="B4196" s="6" t="n">
        <v>55.9</v>
      </c>
    </row>
    <row r="4197">
      <c r="A4197" t="inlineStr">
        <is>
          <t>CB</t>
        </is>
      </c>
      <c r="B4197" s="6" t="n">
        <v>5</v>
      </c>
    </row>
    <row r="4198">
      <c r="A4198" t="inlineStr">
        <is>
          <t>CB</t>
        </is>
      </c>
      <c r="B4198" s="6" t="n">
        <v>27.35</v>
      </c>
    </row>
    <row r="4199">
      <c r="A4199" t="inlineStr">
        <is>
          <t>CB</t>
        </is>
      </c>
      <c r="B4199" s="6" t="n">
        <v>58.9</v>
      </c>
    </row>
    <row r="4200">
      <c r="A4200" t="inlineStr">
        <is>
          <t>CB</t>
        </is>
      </c>
      <c r="B4200" s="6" t="n">
        <v>62.8</v>
      </c>
    </row>
    <row r="4201">
      <c r="A4201" t="inlineStr">
        <is>
          <t>CB</t>
        </is>
      </c>
      <c r="B4201" s="6" t="n">
        <v>23.75</v>
      </c>
    </row>
    <row r="4202">
      <c r="A4202" t="inlineStr">
        <is>
          <t>CB</t>
        </is>
      </c>
      <c r="B4202" s="6" t="n">
        <v>23.75</v>
      </c>
    </row>
    <row r="4203">
      <c r="A4203" t="inlineStr">
        <is>
          <t>CB</t>
        </is>
      </c>
      <c r="B4203" s="6" t="n">
        <v>23.75</v>
      </c>
    </row>
    <row r="4204">
      <c r="A4204" t="inlineStr">
        <is>
          <t>CB</t>
        </is>
      </c>
      <c r="B4204" s="6" t="n">
        <v>23.75</v>
      </c>
    </row>
    <row r="4205">
      <c r="A4205" t="inlineStr">
        <is>
          <t>CHV</t>
        </is>
      </c>
      <c r="B4205" s="6" t="n">
        <v>19.8</v>
      </c>
    </row>
    <row r="4206">
      <c r="A4206" t="inlineStr">
        <is>
          <t>CB</t>
        </is>
      </c>
      <c r="B4206" s="6" t="n">
        <v>24.6</v>
      </c>
    </row>
    <row r="4207">
      <c r="A4207" t="inlineStr">
        <is>
          <t>CB</t>
        </is>
      </c>
      <c r="B4207" s="6" t="n">
        <v>71.8</v>
      </c>
    </row>
    <row r="4208">
      <c r="A4208" t="inlineStr">
        <is>
          <t>CB</t>
        </is>
      </c>
      <c r="B4208" s="6" t="n">
        <v>94.59999999999999</v>
      </c>
    </row>
    <row r="4209">
      <c r="A4209" t="inlineStr">
        <is>
          <t>CB</t>
        </is>
      </c>
      <c r="B4209" s="6" t="n">
        <v>80.5</v>
      </c>
    </row>
    <row r="4210">
      <c r="A4210" t="inlineStr">
        <is>
          <t>CB</t>
        </is>
      </c>
      <c r="B4210" s="6" t="n">
        <v>19.9</v>
      </c>
    </row>
    <row r="4211">
      <c r="A4211" t="inlineStr">
        <is>
          <t>CB</t>
        </is>
      </c>
      <c r="B4211" s="6" t="n">
        <v>46</v>
      </c>
    </row>
    <row r="4212">
      <c r="A4212" t="inlineStr">
        <is>
          <t>CB</t>
        </is>
      </c>
      <c r="B4212" s="6" t="n">
        <v>54.7</v>
      </c>
    </row>
    <row r="4213">
      <c r="A4213" t="inlineStr">
        <is>
          <t>CB</t>
        </is>
      </c>
      <c r="B4213" s="6" t="n">
        <v>39.6</v>
      </c>
    </row>
    <row r="4214">
      <c r="A4214" t="inlineStr">
        <is>
          <t>CB</t>
        </is>
      </c>
      <c r="B4214" s="6" t="n">
        <v>40.5</v>
      </c>
    </row>
    <row r="4215">
      <c r="A4215" t="inlineStr">
        <is>
          <t>CB</t>
        </is>
      </c>
      <c r="B4215" s="6" t="n">
        <v>50.3</v>
      </c>
    </row>
    <row r="4216">
      <c r="A4216" t="inlineStr">
        <is>
          <t>CB</t>
        </is>
      </c>
      <c r="B4216" s="6" t="n">
        <v>19.9</v>
      </c>
    </row>
    <row r="4217">
      <c r="A4217" t="inlineStr">
        <is>
          <t>CB</t>
        </is>
      </c>
      <c r="B4217" s="6" t="n">
        <v>30.9</v>
      </c>
    </row>
    <row r="4218">
      <c r="A4218" t="inlineStr">
        <is>
          <t>CB</t>
        </is>
      </c>
      <c r="B4218" s="6" t="n">
        <v>24.7</v>
      </c>
    </row>
    <row r="4219">
      <c r="A4219" t="inlineStr">
        <is>
          <t>CB</t>
        </is>
      </c>
      <c r="B4219" s="6" t="n">
        <v>23.1</v>
      </c>
    </row>
    <row r="4220">
      <c r="A4220" t="inlineStr">
        <is>
          <t>CB</t>
        </is>
      </c>
      <c r="B4220" s="6" t="n">
        <v>49.2</v>
      </c>
    </row>
    <row r="4221">
      <c r="A4221" t="inlineStr">
        <is>
          <t>CB</t>
        </is>
      </c>
      <c r="B4221" s="6" t="n">
        <v>54.7</v>
      </c>
    </row>
    <row r="4222">
      <c r="A4222" t="inlineStr">
        <is>
          <t>CB</t>
        </is>
      </c>
      <c r="B4222" s="6" t="n">
        <v>103.2</v>
      </c>
    </row>
    <row r="4223">
      <c r="A4223" t="inlineStr">
        <is>
          <t>CB</t>
        </is>
      </c>
      <c r="B4223" s="6" t="n">
        <v>89.2</v>
      </c>
    </row>
    <row r="4224">
      <c r="A4224" t="inlineStr">
        <is>
          <t>TR</t>
        </is>
      </c>
      <c r="B4224" s="6" t="n">
        <v>36</v>
      </c>
    </row>
    <row r="4225">
      <c r="A4225" t="inlineStr">
        <is>
          <t>CB</t>
        </is>
      </c>
      <c r="B4225" s="6" t="n">
        <v>15.2</v>
      </c>
    </row>
    <row r="4226">
      <c r="A4226" t="inlineStr">
        <is>
          <t>CB</t>
        </is>
      </c>
      <c r="B4226" s="6" t="n">
        <v>115.3</v>
      </c>
    </row>
    <row r="4227">
      <c r="A4227" t="inlineStr">
        <is>
          <t>CB</t>
        </is>
      </c>
      <c r="B4227" s="6" t="n">
        <v>119.3</v>
      </c>
    </row>
    <row r="4228">
      <c r="A4228" t="inlineStr">
        <is>
          <t>CB</t>
        </is>
      </c>
      <c r="B4228" s="6" t="n">
        <v>26.52</v>
      </c>
    </row>
    <row r="4229">
      <c r="A4229" t="inlineStr">
        <is>
          <t>CB</t>
        </is>
      </c>
      <c r="B4229" s="6" t="n">
        <v>54.8</v>
      </c>
    </row>
    <row r="4230">
      <c r="A4230" t="inlineStr">
        <is>
          <t>CB</t>
        </is>
      </c>
      <c r="B4230" s="6" t="n">
        <v>19.6</v>
      </c>
    </row>
    <row r="4231">
      <c r="A4231" t="inlineStr">
        <is>
          <t>CB</t>
        </is>
      </c>
      <c r="B4231" s="6" t="n">
        <v>26.75</v>
      </c>
    </row>
    <row r="4232">
      <c r="A4232" t="inlineStr">
        <is>
          <t>CB</t>
        </is>
      </c>
      <c r="B4232" s="6" t="n">
        <v>27.13</v>
      </c>
    </row>
    <row r="4233">
      <c r="A4233" t="inlineStr">
        <is>
          <t>TR</t>
        </is>
      </c>
      <c r="B4233" s="6" t="n">
        <v>49.8</v>
      </c>
    </row>
    <row r="4234">
      <c r="A4234" t="inlineStr">
        <is>
          <t>CB</t>
        </is>
      </c>
      <c r="B4234" s="6" t="n">
        <v>3.2</v>
      </c>
    </row>
    <row r="4235">
      <c r="A4235" t="inlineStr">
        <is>
          <t>CB</t>
        </is>
      </c>
      <c r="B4235" s="6" t="n">
        <v>47.4</v>
      </c>
    </row>
    <row r="4236">
      <c r="A4236" t="inlineStr">
        <is>
          <t>CB</t>
        </is>
      </c>
      <c r="B4236" s="6" t="n">
        <v>39.6</v>
      </c>
    </row>
    <row r="4237">
      <c r="A4237" t="inlineStr">
        <is>
          <t>CB</t>
        </is>
      </c>
      <c r="B4237" s="6" t="n">
        <v>17.7</v>
      </c>
    </row>
    <row r="4238">
      <c r="A4238" t="inlineStr">
        <is>
          <t>CB</t>
        </is>
      </c>
      <c r="B4238" s="6" t="n">
        <v>65</v>
      </c>
    </row>
    <row r="4239">
      <c r="A4239" t="inlineStr">
        <is>
          <t>CB</t>
        </is>
      </c>
      <c r="B4239" s="6" t="n">
        <v>77.2</v>
      </c>
    </row>
    <row r="4240">
      <c r="A4240" t="inlineStr">
        <is>
          <t>CB</t>
        </is>
      </c>
      <c r="B4240" s="6" t="n">
        <v>59</v>
      </c>
    </row>
    <row r="4241">
      <c r="A4241" t="inlineStr">
        <is>
          <t>CB</t>
        </is>
      </c>
      <c r="B4241" s="6" t="n">
        <v>66</v>
      </c>
    </row>
    <row r="4242">
      <c r="A4242" t="inlineStr">
        <is>
          <t>CB</t>
        </is>
      </c>
      <c r="B4242" s="6" t="n">
        <v>22.9</v>
      </c>
    </row>
    <row r="4243">
      <c r="A4243" t="inlineStr">
        <is>
          <t>CB</t>
        </is>
      </c>
      <c r="B4243" s="6" t="n">
        <v>64</v>
      </c>
    </row>
    <row r="4244">
      <c r="A4244" t="inlineStr">
        <is>
          <t>CB</t>
        </is>
      </c>
      <c r="B4244" s="6" t="n">
        <v>45.8</v>
      </c>
    </row>
    <row r="4245">
      <c r="A4245" t="inlineStr">
        <is>
          <t>CB</t>
        </is>
      </c>
      <c r="B4245" s="6" t="n">
        <v>66.09999999999999</v>
      </c>
    </row>
    <row r="4246">
      <c r="A4246" t="inlineStr">
        <is>
          <t>CB</t>
        </is>
      </c>
      <c r="B4246" s="6" t="n">
        <v>18.1</v>
      </c>
    </row>
    <row r="4247">
      <c r="A4247" t="inlineStr">
        <is>
          <t>CB</t>
        </is>
      </c>
      <c r="B4247" s="6" t="n">
        <v>69.59999999999999</v>
      </c>
    </row>
    <row r="4248">
      <c r="A4248" t="inlineStr">
        <is>
          <t>CB</t>
        </is>
      </c>
      <c r="B4248" s="6" t="n">
        <v>98.2</v>
      </c>
    </row>
    <row r="4249">
      <c r="A4249" t="inlineStr">
        <is>
          <t>CB</t>
        </is>
      </c>
      <c r="B4249" s="6" t="n">
        <v>69.09999999999999</v>
      </c>
    </row>
    <row r="4250">
      <c r="A4250" t="inlineStr">
        <is>
          <t>CB</t>
        </is>
      </c>
      <c r="B4250" s="6" t="n">
        <v>171.6</v>
      </c>
    </row>
    <row r="4251">
      <c r="A4251" t="inlineStr">
        <is>
          <t>CB</t>
        </is>
      </c>
      <c r="B4251" s="6" t="n">
        <v>82.2</v>
      </c>
    </row>
    <row r="4252">
      <c r="A4252" t="inlineStr">
        <is>
          <t>CB</t>
        </is>
      </c>
      <c r="B4252" s="6" t="n">
        <v>44.4</v>
      </c>
    </row>
    <row r="4253">
      <c r="A4253" t="inlineStr">
        <is>
          <t>CB</t>
        </is>
      </c>
      <c r="B4253" s="6" t="n">
        <v>101</v>
      </c>
    </row>
    <row r="4254">
      <c r="A4254" t="inlineStr">
        <is>
          <t>CB</t>
        </is>
      </c>
      <c r="B4254" s="6" t="n">
        <v>85.3</v>
      </c>
    </row>
    <row r="4255">
      <c r="A4255" t="inlineStr">
        <is>
          <t>CB</t>
        </is>
      </c>
      <c r="B4255" s="6" t="n">
        <v>52.8</v>
      </c>
    </row>
    <row r="4256">
      <c r="A4256" t="inlineStr">
        <is>
          <t>CB</t>
        </is>
      </c>
      <c r="B4256" s="6" t="n">
        <v>53.2</v>
      </c>
    </row>
    <row r="4257">
      <c r="A4257" t="inlineStr">
        <is>
          <t>CB</t>
        </is>
      </c>
      <c r="B4257" s="6" t="n">
        <v>74.8</v>
      </c>
    </row>
    <row r="4258">
      <c r="A4258" t="inlineStr">
        <is>
          <t>CB</t>
        </is>
      </c>
      <c r="B4258" s="6" t="n">
        <v>70.59999999999999</v>
      </c>
    </row>
    <row r="4259">
      <c r="A4259" t="inlineStr">
        <is>
          <t>CHQ</t>
        </is>
      </c>
      <c r="B4259" s="6" t="n">
        <v>46.9</v>
      </c>
    </row>
    <row r="4260">
      <c r="A4260" t="inlineStr">
        <is>
          <t>CB</t>
        </is>
      </c>
      <c r="B4260" s="6" t="n">
        <v>70.7</v>
      </c>
    </row>
    <row r="4261">
      <c r="A4261" t="inlineStr">
        <is>
          <t>CB</t>
        </is>
      </c>
      <c r="B4261" s="6" t="n">
        <v>53.1</v>
      </c>
    </row>
    <row r="4262">
      <c r="A4262" t="inlineStr">
        <is>
          <t>CB</t>
        </is>
      </c>
      <c r="B4262" s="6" t="n">
        <v>62</v>
      </c>
    </row>
    <row r="4263">
      <c r="A4263" t="inlineStr">
        <is>
          <t>CB</t>
        </is>
      </c>
      <c r="B4263" s="6" t="n">
        <v>77.09999999999999</v>
      </c>
    </row>
    <row r="4264">
      <c r="A4264" t="inlineStr">
        <is>
          <t>CB</t>
        </is>
      </c>
      <c r="B4264" s="6" t="n">
        <v>130.4</v>
      </c>
    </row>
    <row r="4265">
      <c r="A4265" t="inlineStr">
        <is>
          <t>CB</t>
        </is>
      </c>
      <c r="B4265" s="6" t="n">
        <v>67.2</v>
      </c>
    </row>
    <row r="4266">
      <c r="A4266" t="inlineStr">
        <is>
          <t>CB</t>
        </is>
      </c>
      <c r="B4266" s="6" t="n">
        <v>54.2</v>
      </c>
    </row>
    <row r="4267">
      <c r="A4267" t="inlineStr">
        <is>
          <t>CB</t>
        </is>
      </c>
      <c r="B4267" s="6" t="n">
        <v>54</v>
      </c>
    </row>
    <row r="4268">
      <c r="A4268" t="inlineStr">
        <is>
          <t>CB</t>
        </is>
      </c>
      <c r="B4268" s="6" t="n">
        <v>95.7</v>
      </c>
    </row>
    <row r="4269">
      <c r="A4269" t="inlineStr">
        <is>
          <t>CB</t>
        </is>
      </c>
      <c r="B4269" s="6" t="n">
        <v>45.4</v>
      </c>
    </row>
    <row r="4270">
      <c r="A4270" t="inlineStr">
        <is>
          <t>CHV</t>
        </is>
      </c>
      <c r="B4270" s="6" t="n">
        <v>20</v>
      </c>
    </row>
    <row r="4271">
      <c r="A4271" t="inlineStr">
        <is>
          <t>CB</t>
        </is>
      </c>
      <c r="B4271" s="6" t="n">
        <v>49.2</v>
      </c>
    </row>
    <row r="4272">
      <c r="A4272" t="inlineStr">
        <is>
          <t>CB</t>
        </is>
      </c>
      <c r="B4272" s="6" t="n">
        <v>161.2</v>
      </c>
    </row>
    <row r="4273">
      <c r="A4273" t="inlineStr">
        <is>
          <t>CB</t>
        </is>
      </c>
      <c r="B4273" s="6" t="n">
        <v>54.1</v>
      </c>
    </row>
    <row r="4274">
      <c r="A4274" t="inlineStr">
        <is>
          <t>CB</t>
        </is>
      </c>
      <c r="B4274" s="6" t="n">
        <v>45.2</v>
      </c>
    </row>
    <row r="4275">
      <c r="A4275" t="inlineStr">
        <is>
          <t>CHV</t>
        </is>
      </c>
      <c r="B4275" s="6" t="n">
        <v>50</v>
      </c>
    </row>
    <row r="4276">
      <c r="A4276" t="inlineStr">
        <is>
          <t>CB</t>
        </is>
      </c>
      <c r="B4276" s="6" t="n">
        <v>81.40000000000001</v>
      </c>
    </row>
    <row r="4277">
      <c r="A4277" t="inlineStr">
        <is>
          <t>CB</t>
        </is>
      </c>
      <c r="B4277" s="6" t="n">
        <v>115</v>
      </c>
    </row>
    <row r="4278">
      <c r="A4278" t="inlineStr">
        <is>
          <t>CB</t>
        </is>
      </c>
      <c r="B4278" s="6" t="n">
        <v>76.3</v>
      </c>
    </row>
    <row r="4279">
      <c r="A4279" t="inlineStr">
        <is>
          <t>CB</t>
        </is>
      </c>
      <c r="B4279" s="6" t="n">
        <v>29.9</v>
      </c>
    </row>
    <row r="4280">
      <c r="A4280" t="inlineStr">
        <is>
          <t>CHV</t>
        </is>
      </c>
      <c r="B4280" s="6" t="n">
        <v>80</v>
      </c>
    </row>
    <row r="4281">
      <c r="A4281" t="inlineStr">
        <is>
          <t>ESP</t>
        </is>
      </c>
      <c r="B4281" s="6" t="n">
        <v>1.8</v>
      </c>
    </row>
    <row r="4282">
      <c r="A4282" t="inlineStr">
        <is>
          <t>CB</t>
        </is>
      </c>
      <c r="B4282" s="6" t="n">
        <v>47</v>
      </c>
    </row>
    <row r="4283">
      <c r="A4283" t="inlineStr">
        <is>
          <t>CB</t>
        </is>
      </c>
      <c r="B4283" s="6" t="n">
        <v>50</v>
      </c>
    </row>
    <row r="4284">
      <c r="A4284" t="inlineStr">
        <is>
          <t>CB</t>
        </is>
      </c>
      <c r="B4284" s="6" t="n">
        <v>24.75</v>
      </c>
    </row>
    <row r="4285">
      <c r="A4285" t="inlineStr">
        <is>
          <t>CB</t>
        </is>
      </c>
      <c r="B4285" s="6" t="n">
        <v>39.27</v>
      </c>
    </row>
    <row r="4286">
      <c r="A4286" t="inlineStr">
        <is>
          <t>CB</t>
        </is>
      </c>
      <c r="B4286" s="6" t="n">
        <v>39.27</v>
      </c>
    </row>
    <row r="4287">
      <c r="A4287" t="inlineStr">
        <is>
          <t>CHV</t>
        </is>
      </c>
      <c r="B4287" s="6" t="n">
        <v>30</v>
      </c>
    </row>
    <row r="4288">
      <c r="A4288" t="inlineStr">
        <is>
          <t>CB</t>
        </is>
      </c>
      <c r="B4288" s="6" t="n">
        <v>9.26</v>
      </c>
    </row>
    <row r="4289">
      <c r="A4289" t="inlineStr">
        <is>
          <t>CB</t>
        </is>
      </c>
      <c r="B4289" s="6" t="n">
        <v>87.7</v>
      </c>
    </row>
    <row r="4290">
      <c r="A4290" t="inlineStr">
        <is>
          <t>CB</t>
        </is>
      </c>
      <c r="B4290" s="6" t="n">
        <v>147.7</v>
      </c>
    </row>
    <row r="4291">
      <c r="A4291" t="inlineStr">
        <is>
          <t>CB</t>
        </is>
      </c>
      <c r="B4291" s="6" t="n">
        <v>92.3</v>
      </c>
    </row>
    <row r="4292">
      <c r="A4292" t="inlineStr">
        <is>
          <t>CB</t>
        </is>
      </c>
      <c r="B4292" s="6" t="n">
        <v>60.5</v>
      </c>
    </row>
    <row r="4293">
      <c r="A4293" t="inlineStr">
        <is>
          <t>CB</t>
        </is>
      </c>
      <c r="B4293" s="6" t="n">
        <v>54.1</v>
      </c>
    </row>
    <row r="4294">
      <c r="A4294" t="inlineStr">
        <is>
          <t>CB</t>
        </is>
      </c>
      <c r="B4294" s="6" t="n">
        <v>49.1</v>
      </c>
    </row>
    <row r="4295">
      <c r="A4295" t="inlineStr">
        <is>
          <t>TR</t>
        </is>
      </c>
      <c r="B4295" s="6" t="n">
        <v>57</v>
      </c>
    </row>
    <row r="4296">
      <c r="A4296" t="inlineStr">
        <is>
          <t>CB</t>
        </is>
      </c>
      <c r="B4296" s="6" t="n">
        <v>24.6</v>
      </c>
    </row>
    <row r="4297">
      <c r="A4297" t="inlineStr">
        <is>
          <t>TR</t>
        </is>
      </c>
      <c r="B4297" s="6" t="n">
        <v>18</v>
      </c>
    </row>
    <row r="4298">
      <c r="A4298" t="inlineStr">
        <is>
          <t>CB</t>
        </is>
      </c>
      <c r="B4298" s="6" t="n">
        <v>6.75</v>
      </c>
    </row>
    <row r="4299">
      <c r="A4299" t="inlineStr">
        <is>
          <t>CB</t>
        </is>
      </c>
      <c r="B4299" s="6" t="n">
        <v>52.3</v>
      </c>
    </row>
    <row r="4300">
      <c r="A4300" t="inlineStr">
        <is>
          <t>CB</t>
        </is>
      </c>
      <c r="B4300" s="6" t="n">
        <v>107.8</v>
      </c>
    </row>
    <row r="4301">
      <c r="A4301" t="inlineStr">
        <is>
          <t>CB</t>
        </is>
      </c>
      <c r="B4301" s="6" t="n">
        <v>162.8</v>
      </c>
    </row>
    <row r="4302">
      <c r="A4302" t="inlineStr">
        <is>
          <t>CB</t>
        </is>
      </c>
      <c r="B4302" s="6" t="n">
        <v>31.8</v>
      </c>
    </row>
    <row r="4303">
      <c r="A4303" t="inlineStr">
        <is>
          <t>CB</t>
        </is>
      </c>
      <c r="B4303" s="6" t="n">
        <v>100.9</v>
      </c>
    </row>
    <row r="4304">
      <c r="A4304" t="inlineStr">
        <is>
          <t>TR</t>
        </is>
      </c>
      <c r="B4304" s="6" t="n">
        <v>60</v>
      </c>
    </row>
    <row r="4305">
      <c r="A4305" t="inlineStr">
        <is>
          <t>ESP</t>
        </is>
      </c>
      <c r="B4305" s="6" t="n">
        <v>13.2</v>
      </c>
    </row>
    <row r="4306">
      <c r="A4306" t="inlineStr">
        <is>
          <t>CB</t>
        </is>
      </c>
      <c r="B4306" s="6" t="n">
        <v>87.2</v>
      </c>
    </row>
    <row r="4307">
      <c r="A4307" t="inlineStr">
        <is>
          <t>CB</t>
        </is>
      </c>
      <c r="B4307" s="6" t="n">
        <v>150</v>
      </c>
    </row>
    <row r="4308">
      <c r="A4308" t="inlineStr">
        <is>
          <t>CB</t>
        </is>
      </c>
      <c r="B4308" s="6" t="n">
        <v>41.5</v>
      </c>
    </row>
    <row r="4309">
      <c r="A4309" t="inlineStr">
        <is>
          <t>CB</t>
        </is>
      </c>
      <c r="B4309" s="6" t="n">
        <v>93.7</v>
      </c>
    </row>
    <row r="4310">
      <c r="A4310" t="inlineStr">
        <is>
          <t>CB</t>
        </is>
      </c>
      <c r="B4310" s="6" t="n">
        <v>52.3</v>
      </c>
    </row>
    <row r="4311">
      <c r="A4311" t="inlineStr">
        <is>
          <t>CB</t>
        </is>
      </c>
      <c r="B4311" s="6" t="n">
        <v>59.1</v>
      </c>
    </row>
    <row r="4312">
      <c r="A4312" t="inlineStr">
        <is>
          <t>CB</t>
        </is>
      </c>
      <c r="B4312" s="6" t="n">
        <v>64.8</v>
      </c>
    </row>
    <row r="4313">
      <c r="A4313" t="inlineStr">
        <is>
          <t>CB</t>
        </is>
      </c>
      <c r="B4313" s="6" t="n">
        <v>63.9</v>
      </c>
    </row>
    <row r="4314">
      <c r="A4314" t="inlineStr">
        <is>
          <t>CB</t>
        </is>
      </c>
      <c r="B4314" s="6" t="n">
        <v>46</v>
      </c>
    </row>
    <row r="4315">
      <c r="A4315" t="inlineStr">
        <is>
          <t>CB</t>
        </is>
      </c>
      <c r="B4315" s="6" t="n">
        <v>63.5</v>
      </c>
    </row>
    <row r="4316">
      <c r="A4316" t="inlineStr">
        <is>
          <t>CB</t>
        </is>
      </c>
      <c r="B4316" s="6" t="n">
        <v>101.7</v>
      </c>
    </row>
    <row r="4317">
      <c r="A4317" t="inlineStr">
        <is>
          <t>CB</t>
        </is>
      </c>
      <c r="B4317" s="6" t="n">
        <v>117.2</v>
      </c>
    </row>
    <row r="4318">
      <c r="A4318" t="inlineStr">
        <is>
          <t>CB</t>
        </is>
      </c>
      <c r="B4318" s="6" t="n">
        <v>96</v>
      </c>
    </row>
    <row r="4319">
      <c r="A4319" t="inlineStr">
        <is>
          <t>CHV</t>
        </is>
      </c>
      <c r="B4319" s="6" t="n">
        <v>50</v>
      </c>
    </row>
    <row r="4320">
      <c r="A4320" t="inlineStr">
        <is>
          <t>ESP</t>
        </is>
      </c>
      <c r="B4320" s="6" t="n">
        <v>6.3</v>
      </c>
    </row>
    <row r="4321">
      <c r="A4321" t="inlineStr">
        <is>
          <t>CB</t>
        </is>
      </c>
      <c r="B4321" s="6" t="n">
        <v>46</v>
      </c>
    </row>
    <row r="4322">
      <c r="A4322" t="inlineStr">
        <is>
          <t>CB</t>
        </is>
      </c>
      <c r="B4322" s="6" t="n">
        <v>102.4</v>
      </c>
    </row>
    <row r="4323">
      <c r="A4323" t="inlineStr">
        <is>
          <t>CB</t>
        </is>
      </c>
      <c r="B4323" s="6" t="n">
        <v>44.1</v>
      </c>
    </row>
    <row r="4324">
      <c r="A4324" t="inlineStr">
        <is>
          <t>CB</t>
        </is>
      </c>
      <c r="B4324" s="6" t="n">
        <v>30.55</v>
      </c>
    </row>
    <row r="4325">
      <c r="A4325" t="inlineStr">
        <is>
          <t>CB</t>
        </is>
      </c>
      <c r="B4325" s="6" t="n">
        <v>29.7</v>
      </c>
    </row>
    <row r="4326">
      <c r="A4326" t="inlineStr">
        <is>
          <t>CB</t>
        </is>
      </c>
      <c r="B4326" s="6" t="n">
        <v>48</v>
      </c>
    </row>
    <row r="4327">
      <c r="A4327" t="inlineStr">
        <is>
          <t>CB</t>
        </is>
      </c>
      <c r="B4327" s="6" t="n">
        <v>70.09999999999999</v>
      </c>
    </row>
    <row r="4328">
      <c r="A4328" t="inlineStr">
        <is>
          <t>CB</t>
        </is>
      </c>
      <c r="B4328" s="6" t="n">
        <v>56.2</v>
      </c>
    </row>
    <row r="4329">
      <c r="A4329" t="inlineStr">
        <is>
          <t>CB</t>
        </is>
      </c>
      <c r="B4329" s="6" t="n">
        <v>53.4</v>
      </c>
    </row>
    <row r="4330">
      <c r="A4330" t="inlineStr">
        <is>
          <t>CB</t>
        </is>
      </c>
      <c r="B4330" s="6" t="n">
        <v>48.3</v>
      </c>
    </row>
    <row r="4331">
      <c r="A4331" t="inlineStr">
        <is>
          <t>CB</t>
        </is>
      </c>
      <c r="B4331" s="6" t="n">
        <v>115.8</v>
      </c>
    </row>
    <row r="4332">
      <c r="A4332" t="inlineStr">
        <is>
          <t>CB</t>
        </is>
      </c>
      <c r="B4332" s="6" t="n">
        <v>61.4</v>
      </c>
    </row>
    <row r="4333">
      <c r="A4333" t="inlineStr">
        <is>
          <t>CB</t>
        </is>
      </c>
      <c r="B4333" s="6" t="n">
        <v>37.4</v>
      </c>
    </row>
    <row r="4334">
      <c r="A4334" t="inlineStr">
        <is>
          <t>CB</t>
        </is>
      </c>
      <c r="B4334" s="6" t="n">
        <v>46.9</v>
      </c>
    </row>
    <row r="4335">
      <c r="A4335" t="inlineStr">
        <is>
          <t>CB</t>
        </is>
      </c>
      <c r="B4335" s="6" t="n">
        <v>51.7</v>
      </c>
    </row>
    <row r="4336">
      <c r="A4336" t="inlineStr">
        <is>
          <t>CB</t>
        </is>
      </c>
      <c r="B4336" s="6" t="n">
        <v>52.9</v>
      </c>
    </row>
    <row r="4337">
      <c r="A4337" t="inlineStr">
        <is>
          <t>CB</t>
        </is>
      </c>
      <c r="B4337" s="6" t="n">
        <v>116.2</v>
      </c>
    </row>
    <row r="4338">
      <c r="A4338" t="inlineStr">
        <is>
          <t>CB</t>
        </is>
      </c>
      <c r="B4338" s="6" t="n">
        <v>52.8</v>
      </c>
    </row>
    <row r="4339">
      <c r="A4339" t="inlineStr">
        <is>
          <t>CB</t>
        </is>
      </c>
      <c r="B4339" s="6" t="n">
        <v>59.2</v>
      </c>
    </row>
    <row r="4340">
      <c r="A4340" t="inlineStr">
        <is>
          <t>CB</t>
        </is>
      </c>
      <c r="B4340" s="6" t="n">
        <v>81.8</v>
      </c>
    </row>
    <row r="4341">
      <c r="A4341" t="inlineStr">
        <is>
          <t>CB</t>
        </is>
      </c>
      <c r="B4341" s="6" t="n">
        <v>60.5</v>
      </c>
    </row>
    <row r="4342">
      <c r="A4342" t="inlineStr">
        <is>
          <t>CB</t>
        </is>
      </c>
      <c r="B4342" s="6" t="n">
        <v>97.59999999999999</v>
      </c>
    </row>
    <row r="4343">
      <c r="A4343" t="inlineStr">
        <is>
          <t>CB</t>
        </is>
      </c>
      <c r="B4343" s="6" t="n">
        <v>64.09999999999999</v>
      </c>
    </row>
    <row r="4344">
      <c r="A4344" t="inlineStr">
        <is>
          <t>TR</t>
        </is>
      </c>
      <c r="B4344" s="6" t="n">
        <v>27</v>
      </c>
    </row>
    <row r="4345">
      <c r="A4345" t="inlineStr">
        <is>
          <t>CB</t>
        </is>
      </c>
      <c r="B4345" s="6" t="n">
        <v>49.1</v>
      </c>
    </row>
    <row r="4346">
      <c r="A4346" t="inlineStr">
        <is>
          <t>CB</t>
        </is>
      </c>
      <c r="B4346" s="6" t="n">
        <v>59.6</v>
      </c>
    </row>
    <row r="4347">
      <c r="A4347" t="inlineStr">
        <is>
          <t>CB</t>
        </is>
      </c>
      <c r="B4347" s="6" t="n">
        <v>30.05</v>
      </c>
    </row>
    <row r="4348">
      <c r="A4348" t="inlineStr">
        <is>
          <t>CB</t>
        </is>
      </c>
      <c r="B4348" s="6" t="n">
        <v>42.7</v>
      </c>
    </row>
    <row r="4349">
      <c r="A4349" t="inlineStr">
        <is>
          <t>CB</t>
        </is>
      </c>
      <c r="B4349" s="6" t="n">
        <v>89</v>
      </c>
    </row>
    <row r="4350">
      <c r="A4350" t="inlineStr">
        <is>
          <t>CB</t>
        </is>
      </c>
      <c r="B4350" s="6" t="n">
        <v>76.8</v>
      </c>
    </row>
    <row r="4351">
      <c r="A4351" t="inlineStr">
        <is>
          <t>CHQ</t>
        </is>
      </c>
      <c r="B4351" s="6" t="n">
        <v>60</v>
      </c>
    </row>
    <row r="4352">
      <c r="A4352" t="inlineStr">
        <is>
          <t>CB</t>
        </is>
      </c>
      <c r="B4352" s="6" t="n">
        <v>24.2</v>
      </c>
    </row>
    <row r="4353">
      <c r="A4353" t="inlineStr">
        <is>
          <t>CB</t>
        </is>
      </c>
      <c r="B4353" s="6" t="n">
        <v>53.5</v>
      </c>
    </row>
    <row r="4354">
      <c r="A4354" t="inlineStr">
        <is>
          <t>CB</t>
        </is>
      </c>
      <c r="B4354" s="6" t="n">
        <v>83.5</v>
      </c>
    </row>
    <row r="4355">
      <c r="A4355" t="inlineStr">
        <is>
          <t>CB</t>
        </is>
      </c>
      <c r="B4355" s="6" t="n">
        <v>57.4</v>
      </c>
    </row>
    <row r="4356">
      <c r="A4356" t="inlineStr">
        <is>
          <t>CB</t>
        </is>
      </c>
      <c r="B4356" s="6" t="n">
        <v>93.09999999999999</v>
      </c>
    </row>
    <row r="4357">
      <c r="A4357" t="inlineStr">
        <is>
          <t>CB</t>
        </is>
      </c>
      <c r="B4357" s="6" t="n">
        <v>59.6</v>
      </c>
    </row>
    <row r="4358">
      <c r="A4358" t="inlineStr">
        <is>
          <t>CHV</t>
        </is>
      </c>
      <c r="B4358" s="6" t="n">
        <v>10</v>
      </c>
    </row>
    <row r="4359">
      <c r="A4359" t="inlineStr">
        <is>
          <t>TR</t>
        </is>
      </c>
      <c r="B4359" s="6" t="n">
        <v>26.55</v>
      </c>
    </row>
    <row r="4360">
      <c r="A4360" t="inlineStr">
        <is>
          <t>CB</t>
        </is>
      </c>
      <c r="B4360" s="6" t="n">
        <v>66.7</v>
      </c>
    </row>
    <row r="4361">
      <c r="A4361" t="inlineStr">
        <is>
          <t>CB</t>
        </is>
      </c>
      <c r="B4361" s="6" t="n">
        <v>160.8</v>
      </c>
    </row>
    <row r="4362">
      <c r="A4362" t="inlineStr">
        <is>
          <t>CB</t>
        </is>
      </c>
      <c r="B4362" s="6" t="n">
        <v>50.2</v>
      </c>
    </row>
    <row r="4363">
      <c r="A4363" t="inlineStr">
        <is>
          <t>CB</t>
        </is>
      </c>
      <c r="B4363" s="6" t="n">
        <v>87.8</v>
      </c>
    </row>
    <row r="4364">
      <c r="A4364" t="inlineStr">
        <is>
          <t>CB</t>
        </is>
      </c>
      <c r="B4364" s="6" t="n">
        <v>73</v>
      </c>
    </row>
    <row r="4365">
      <c r="A4365" t="inlineStr">
        <is>
          <t>TR</t>
        </is>
      </c>
      <c r="B4365" s="6" t="n">
        <v>8</v>
      </c>
    </row>
    <row r="4366">
      <c r="A4366" t="inlineStr">
        <is>
          <t>CB</t>
        </is>
      </c>
      <c r="B4366" s="6" t="n">
        <v>15.9</v>
      </c>
    </row>
    <row r="4367">
      <c r="A4367" t="inlineStr">
        <is>
          <t>CB</t>
        </is>
      </c>
      <c r="B4367" s="6" t="n">
        <v>69.8</v>
      </c>
    </row>
    <row r="4368">
      <c r="A4368" t="inlineStr">
        <is>
          <t>CB</t>
        </is>
      </c>
      <c r="B4368" s="6" t="n">
        <v>64.40000000000001</v>
      </c>
    </row>
    <row r="4369">
      <c r="A4369" t="inlineStr">
        <is>
          <t>CHV</t>
        </is>
      </c>
      <c r="B4369" s="6" t="n">
        <v>80</v>
      </c>
    </row>
    <row r="4370">
      <c r="A4370" t="inlineStr">
        <is>
          <t>CB</t>
        </is>
      </c>
      <c r="B4370" s="6" t="n">
        <v>6.4</v>
      </c>
    </row>
    <row r="4371">
      <c r="A4371" t="inlineStr">
        <is>
          <t>CB</t>
        </is>
      </c>
      <c r="B4371" s="6" t="n">
        <v>44.8</v>
      </c>
    </row>
    <row r="4372">
      <c r="A4372" t="inlineStr">
        <is>
          <t>TR</t>
        </is>
      </c>
      <c r="B4372" s="6" t="n">
        <v>24</v>
      </c>
    </row>
    <row r="4373">
      <c r="A4373" t="inlineStr">
        <is>
          <t>CB</t>
        </is>
      </c>
      <c r="B4373" s="6" t="n">
        <v>2.1</v>
      </c>
    </row>
    <row r="4374">
      <c r="A4374" t="inlineStr">
        <is>
          <t>TR</t>
        </is>
      </c>
      <c r="B4374" s="6" t="n">
        <v>24</v>
      </c>
    </row>
    <row r="4375">
      <c r="A4375" t="inlineStr">
        <is>
          <t>CB</t>
        </is>
      </c>
      <c r="B4375" s="6" t="n">
        <v>2.1</v>
      </c>
    </row>
    <row r="4376">
      <c r="A4376" t="inlineStr">
        <is>
          <t>CHV</t>
        </is>
      </c>
      <c r="B4376" s="6" t="n">
        <v>20</v>
      </c>
    </row>
    <row r="4377">
      <c r="A4377" t="inlineStr">
        <is>
          <t>CB</t>
        </is>
      </c>
      <c r="B4377" s="6" t="n">
        <v>3.9</v>
      </c>
    </row>
    <row r="4378">
      <c r="A4378" t="inlineStr">
        <is>
          <t>CB</t>
        </is>
      </c>
      <c r="B4378" s="6" t="n">
        <v>36.55</v>
      </c>
    </row>
    <row r="4379">
      <c r="A4379" t="inlineStr">
        <is>
          <t>CB</t>
        </is>
      </c>
      <c r="B4379" s="6" t="n">
        <v>155.4</v>
      </c>
    </row>
    <row r="4380">
      <c r="A4380" t="inlineStr">
        <is>
          <t>CB</t>
        </is>
      </c>
      <c r="B4380" s="6" t="n">
        <v>23.5</v>
      </c>
    </row>
    <row r="4381">
      <c r="A4381" t="inlineStr">
        <is>
          <t>CB</t>
        </is>
      </c>
      <c r="B4381" s="6" t="n">
        <v>126.6</v>
      </c>
    </row>
    <row r="4382">
      <c r="A4382" t="inlineStr">
        <is>
          <t>CB</t>
        </is>
      </c>
      <c r="B4382" s="6" t="n">
        <v>91</v>
      </c>
    </row>
    <row r="4383">
      <c r="A4383" t="inlineStr">
        <is>
          <t>CB</t>
        </is>
      </c>
      <c r="B4383" s="6" t="n">
        <v>98.3</v>
      </c>
    </row>
    <row r="4384">
      <c r="A4384" t="inlineStr">
        <is>
          <t>CB</t>
        </is>
      </c>
      <c r="B4384" s="6" t="n">
        <v>58.6</v>
      </c>
    </row>
    <row r="4385">
      <c r="A4385" t="inlineStr">
        <is>
          <t>CB</t>
        </is>
      </c>
      <c r="B4385" s="6" t="n">
        <v>70.5</v>
      </c>
    </row>
    <row r="4386">
      <c r="A4386" t="inlineStr">
        <is>
          <t>CB</t>
        </is>
      </c>
      <c r="B4386" s="6" t="n">
        <v>27.98</v>
      </c>
    </row>
    <row r="4387">
      <c r="A4387" t="inlineStr">
        <is>
          <t>CB</t>
        </is>
      </c>
      <c r="B4387" s="6" t="n">
        <v>27.98</v>
      </c>
    </row>
    <row r="4388">
      <c r="A4388" t="inlineStr">
        <is>
          <t>CB</t>
        </is>
      </c>
      <c r="B4388" s="6" t="n">
        <v>27.98</v>
      </c>
    </row>
    <row r="4389">
      <c r="A4389" t="inlineStr">
        <is>
          <t>CB</t>
        </is>
      </c>
      <c r="B4389" s="6" t="n">
        <v>27.96</v>
      </c>
    </row>
    <row r="4390">
      <c r="A4390" t="inlineStr">
        <is>
          <t>CB</t>
        </is>
      </c>
      <c r="B4390" s="6" t="n">
        <v>65.59999999999999</v>
      </c>
    </row>
    <row r="4391">
      <c r="A4391" t="inlineStr">
        <is>
          <t>CB</t>
        </is>
      </c>
      <c r="B4391" s="6" t="n">
        <v>74.40000000000001</v>
      </c>
    </row>
    <row r="4392">
      <c r="A4392" t="inlineStr">
        <is>
          <t>CB</t>
        </is>
      </c>
      <c r="B4392" s="6" t="n">
        <v>88.90000000000001</v>
      </c>
    </row>
    <row r="4393">
      <c r="A4393" t="inlineStr">
        <is>
          <t>CB</t>
        </is>
      </c>
      <c r="B4393" s="6" t="n">
        <v>82.90000000000001</v>
      </c>
    </row>
    <row r="4394">
      <c r="A4394" t="inlineStr">
        <is>
          <t>CB</t>
        </is>
      </c>
      <c r="B4394" s="6" t="n">
        <v>80.5</v>
      </c>
    </row>
    <row r="4395">
      <c r="A4395" t="inlineStr">
        <is>
          <t>CB</t>
        </is>
      </c>
      <c r="B4395" s="6" t="n">
        <v>131.9</v>
      </c>
    </row>
    <row r="4396">
      <c r="A4396" t="inlineStr">
        <is>
          <t>CB</t>
        </is>
      </c>
      <c r="B4396" s="6" t="n">
        <v>32.4</v>
      </c>
    </row>
    <row r="4397">
      <c r="A4397" t="inlineStr">
        <is>
          <t>CB</t>
        </is>
      </c>
      <c r="B4397" s="6" t="n">
        <v>60.9</v>
      </c>
    </row>
    <row r="4398">
      <c r="A4398" t="inlineStr">
        <is>
          <t>CB</t>
        </is>
      </c>
      <c r="B4398" s="6" t="n">
        <v>46</v>
      </c>
    </row>
    <row r="4399">
      <c r="A4399" t="inlineStr">
        <is>
          <t>CB</t>
        </is>
      </c>
      <c r="B4399" s="6" t="n">
        <v>29</v>
      </c>
    </row>
    <row r="4400">
      <c r="A4400" t="inlineStr">
        <is>
          <t>CB</t>
        </is>
      </c>
      <c r="B4400" s="6" t="n">
        <v>34.2</v>
      </c>
    </row>
    <row r="4401">
      <c r="A4401" t="inlineStr">
        <is>
          <t>CB</t>
        </is>
      </c>
      <c r="B4401" s="6" t="n">
        <v>97.65000000000001</v>
      </c>
    </row>
    <row r="4402">
      <c r="A4402" t="inlineStr">
        <is>
          <t>CB</t>
        </is>
      </c>
      <c r="B4402" s="6" t="n">
        <v>20.46</v>
      </c>
    </row>
    <row r="4403">
      <c r="A4403" t="inlineStr">
        <is>
          <t>CB</t>
        </is>
      </c>
      <c r="B4403" s="6" t="n">
        <v>20.46</v>
      </c>
    </row>
    <row r="4404">
      <c r="A4404" t="inlineStr">
        <is>
          <t>CB</t>
        </is>
      </c>
      <c r="B4404" s="6" t="n">
        <v>20.46</v>
      </c>
    </row>
    <row r="4405">
      <c r="A4405" t="inlineStr">
        <is>
          <t>CB</t>
        </is>
      </c>
      <c r="B4405" s="6" t="n">
        <v>20.46</v>
      </c>
    </row>
    <row r="4406">
      <c r="A4406" t="inlineStr">
        <is>
          <t>CB</t>
        </is>
      </c>
      <c r="B4406" s="6" t="n">
        <v>20.46</v>
      </c>
    </row>
    <row r="4407">
      <c r="A4407" t="inlineStr">
        <is>
          <t>CB</t>
        </is>
      </c>
      <c r="B4407" s="6" t="n">
        <v>39.3</v>
      </c>
    </row>
    <row r="4408">
      <c r="A4408" t="inlineStr">
        <is>
          <t>CB</t>
        </is>
      </c>
      <c r="B4408" s="6" t="n">
        <v>9.4</v>
      </c>
    </row>
    <row r="4409">
      <c r="A4409" t="inlineStr">
        <is>
          <t>CB</t>
        </is>
      </c>
      <c r="B4409" s="6" t="n">
        <v>84.2</v>
      </c>
    </row>
    <row r="4410">
      <c r="A4410" t="inlineStr">
        <is>
          <t>TR</t>
        </is>
      </c>
      <c r="B4410" s="6" t="n">
        <v>16</v>
      </c>
    </row>
    <row r="4411">
      <c r="A4411" t="inlineStr">
        <is>
          <t>CB</t>
        </is>
      </c>
      <c r="B4411" s="6" t="n">
        <v>4.48</v>
      </c>
    </row>
    <row r="4412">
      <c r="A4412" t="inlineStr">
        <is>
          <t>ESP</t>
        </is>
      </c>
      <c r="B4412" s="6" t="n">
        <v>0.5</v>
      </c>
    </row>
    <row r="4413">
      <c r="A4413" t="inlineStr">
        <is>
          <t>CHV</t>
        </is>
      </c>
      <c r="B4413" s="6" t="n">
        <v>20</v>
      </c>
    </row>
    <row r="4414">
      <c r="A4414" t="inlineStr">
        <is>
          <t>CHV</t>
        </is>
      </c>
      <c r="B4414" s="6" t="n">
        <v>20</v>
      </c>
    </row>
    <row r="4415">
      <c r="A4415" t="inlineStr">
        <is>
          <t>ESP</t>
        </is>
      </c>
      <c r="B4415" s="6" t="n">
        <v>0.5</v>
      </c>
    </row>
    <row r="4416">
      <c r="A4416" t="inlineStr">
        <is>
          <t>CB</t>
        </is>
      </c>
      <c r="B4416" s="6" t="n">
        <v>20.42</v>
      </c>
    </row>
    <row r="4417">
      <c r="A4417" t="inlineStr">
        <is>
          <t>CB</t>
        </is>
      </c>
      <c r="B4417" s="6" t="n">
        <v>22</v>
      </c>
    </row>
    <row r="4418">
      <c r="A4418" t="inlineStr">
        <is>
          <t>CB</t>
        </is>
      </c>
      <c r="B4418" s="6" t="n">
        <v>83.09999999999999</v>
      </c>
    </row>
    <row r="4419">
      <c r="A4419" t="inlineStr">
        <is>
          <t>CB</t>
        </is>
      </c>
      <c r="B4419" s="6" t="n">
        <v>95.59999999999999</v>
      </c>
    </row>
    <row r="4420">
      <c r="A4420" t="inlineStr">
        <is>
          <t>CB</t>
        </is>
      </c>
      <c r="B4420" s="6" t="n">
        <v>82.3</v>
      </c>
    </row>
    <row r="4421">
      <c r="A4421" t="inlineStr">
        <is>
          <t>CB</t>
        </is>
      </c>
      <c r="B4421" s="6" t="n">
        <v>29</v>
      </c>
    </row>
    <row r="4422">
      <c r="A4422" t="inlineStr">
        <is>
          <t>CB</t>
        </is>
      </c>
      <c r="B4422" s="6" t="n">
        <v>97.65000000000001</v>
      </c>
    </row>
    <row r="4423">
      <c r="A4423" t="inlineStr">
        <is>
          <t>CB</t>
        </is>
      </c>
      <c r="B4423" s="6" t="n">
        <v>79.59999999999999</v>
      </c>
    </row>
    <row r="4424">
      <c r="A4424" t="inlineStr">
        <is>
          <t>CB</t>
        </is>
      </c>
      <c r="B4424" s="6" t="n">
        <v>108.3</v>
      </c>
    </row>
    <row r="4425">
      <c r="A4425" t="inlineStr">
        <is>
          <t>CB</t>
        </is>
      </c>
      <c r="B4425" s="6" t="n">
        <v>127.8</v>
      </c>
    </row>
    <row r="4426">
      <c r="A4426" t="inlineStr">
        <is>
          <t>CB</t>
        </is>
      </c>
      <c r="B4426" s="6" t="n">
        <v>36.9</v>
      </c>
    </row>
    <row r="4427">
      <c r="A4427" t="inlineStr">
        <is>
          <t>CB</t>
        </is>
      </c>
      <c r="B4427" s="6" t="n">
        <v>65.5</v>
      </c>
    </row>
    <row r="4428">
      <c r="A4428" t="inlineStr">
        <is>
          <t>CB</t>
        </is>
      </c>
      <c r="B4428" s="6" t="n">
        <v>60.5</v>
      </c>
    </row>
    <row r="4429">
      <c r="A4429" t="inlineStr">
        <is>
          <t>CB</t>
        </is>
      </c>
      <c r="B4429" s="6" t="n">
        <v>60.5</v>
      </c>
    </row>
    <row r="4430">
      <c r="A4430" t="inlineStr">
        <is>
          <t>CB</t>
        </is>
      </c>
      <c r="B4430" s="6" t="n">
        <v>60</v>
      </c>
    </row>
    <row r="4431">
      <c r="A4431" t="inlineStr">
        <is>
          <t>CB</t>
        </is>
      </c>
      <c r="B4431" s="6" t="n">
        <v>74.40000000000001</v>
      </c>
    </row>
    <row r="4432">
      <c r="A4432" t="inlineStr">
        <is>
          <t>CB</t>
        </is>
      </c>
      <c r="B4432" s="6" t="n">
        <v>35.2</v>
      </c>
    </row>
    <row r="4433">
      <c r="A4433" t="inlineStr">
        <is>
          <t>CHV</t>
        </is>
      </c>
      <c r="B4433" s="6" t="n">
        <v>50</v>
      </c>
    </row>
    <row r="4434">
      <c r="A4434" t="inlineStr">
        <is>
          <t>CB</t>
        </is>
      </c>
      <c r="B4434" s="6" t="n">
        <v>11.6</v>
      </c>
    </row>
    <row r="4435">
      <c r="A4435" t="inlineStr">
        <is>
          <t>CB</t>
        </is>
      </c>
      <c r="B4435" s="6" t="n">
        <v>103.5</v>
      </c>
    </row>
    <row r="4436">
      <c r="A4436" t="inlineStr">
        <is>
          <t>CB</t>
        </is>
      </c>
      <c r="B4436" s="6" t="n">
        <v>70.90000000000001</v>
      </c>
    </row>
    <row r="4437">
      <c r="A4437" t="inlineStr">
        <is>
          <t>TR</t>
        </is>
      </c>
      <c r="B4437" s="6" t="n">
        <v>36</v>
      </c>
    </row>
    <row r="4438">
      <c r="A4438" t="inlineStr">
        <is>
          <t>CB</t>
        </is>
      </c>
      <c r="B4438" s="6" t="n">
        <v>39.1</v>
      </c>
    </row>
    <row r="4439">
      <c r="A4439" t="inlineStr">
        <is>
          <t>CB</t>
        </is>
      </c>
      <c r="B4439" s="6" t="n">
        <v>89.3</v>
      </c>
    </row>
    <row r="4440">
      <c r="A4440" t="inlineStr">
        <is>
          <t>CB</t>
        </is>
      </c>
      <c r="B4440" s="6" t="n">
        <v>21.1</v>
      </c>
    </row>
    <row r="4441">
      <c r="A4441" t="inlineStr">
        <is>
          <t>CB</t>
        </is>
      </c>
      <c r="B4441" s="6" t="n">
        <v>35.2</v>
      </c>
    </row>
    <row r="4442">
      <c r="A4442" t="inlineStr">
        <is>
          <t>CB</t>
        </is>
      </c>
      <c r="B4442" s="6" t="n">
        <v>124.1</v>
      </c>
    </row>
    <row r="4443">
      <c r="A4443" t="inlineStr">
        <is>
          <t>CB</t>
        </is>
      </c>
      <c r="B4443" s="6" t="n">
        <v>22.9</v>
      </c>
    </row>
    <row r="4444">
      <c r="A4444" t="inlineStr">
        <is>
          <t>CB</t>
        </is>
      </c>
      <c r="B4444" s="6" t="n">
        <v>189.8</v>
      </c>
    </row>
    <row r="4445">
      <c r="A4445" t="inlineStr">
        <is>
          <t>CB</t>
        </is>
      </c>
      <c r="B4445" s="6" t="n">
        <v>33.3</v>
      </c>
    </row>
    <row r="4446">
      <c r="A4446" t="inlineStr">
        <is>
          <t>CB</t>
        </is>
      </c>
      <c r="B4446" s="6" t="n">
        <v>60.5</v>
      </c>
    </row>
    <row r="4447">
      <c r="A4447" t="inlineStr">
        <is>
          <t>CB</t>
        </is>
      </c>
      <c r="B4447" s="6" t="n">
        <v>85.5</v>
      </c>
    </row>
    <row r="4448">
      <c r="A4448" t="inlineStr">
        <is>
          <t>CB</t>
        </is>
      </c>
      <c r="B4448" s="6" t="n">
        <v>34.8</v>
      </c>
    </row>
    <row r="4449">
      <c r="A4449" t="inlineStr">
        <is>
          <t>CB</t>
        </is>
      </c>
      <c r="B4449" s="6" t="n">
        <v>120.2</v>
      </c>
    </row>
    <row r="4450">
      <c r="A4450" t="inlineStr">
        <is>
          <t>CB</t>
        </is>
      </c>
      <c r="B4450" s="6" t="n">
        <v>44.3</v>
      </c>
    </row>
    <row r="4451">
      <c r="A4451" t="inlineStr">
        <is>
          <t>CB</t>
        </is>
      </c>
      <c r="B4451" s="6" t="n">
        <v>79.09999999999999</v>
      </c>
    </row>
    <row r="4452">
      <c r="A4452" t="inlineStr">
        <is>
          <t>CB</t>
        </is>
      </c>
      <c r="B4452" s="6" t="n">
        <v>79.2</v>
      </c>
    </row>
    <row r="4453">
      <c r="A4453" t="inlineStr">
        <is>
          <t>CB</t>
        </is>
      </c>
      <c r="B4453" s="6" t="n">
        <v>88.5</v>
      </c>
    </row>
    <row r="4454">
      <c r="A4454" t="inlineStr">
        <is>
          <t>CB</t>
        </is>
      </c>
      <c r="B4454" s="6" t="n">
        <v>32.9</v>
      </c>
    </row>
    <row r="4455">
      <c r="A4455" t="inlineStr">
        <is>
          <t>CB</t>
        </is>
      </c>
      <c r="B4455" s="6" t="n">
        <v>28.7</v>
      </c>
    </row>
    <row r="4456">
      <c r="A4456" t="inlineStr">
        <is>
          <t>CB</t>
        </is>
      </c>
      <c r="B4456" s="6" t="n">
        <v>29.3</v>
      </c>
    </row>
    <row r="4457">
      <c r="A4457" t="inlineStr">
        <is>
          <t>CB</t>
        </is>
      </c>
      <c r="B4457" s="6" t="n">
        <v>27.2</v>
      </c>
    </row>
    <row r="4458">
      <c r="A4458" t="inlineStr">
        <is>
          <t>CB</t>
        </is>
      </c>
      <c r="B4458" s="6" t="n">
        <v>29.4</v>
      </c>
    </row>
    <row r="4459">
      <c r="A4459" t="inlineStr">
        <is>
          <t>TR</t>
        </is>
      </c>
      <c r="B4459" s="6" t="n">
        <v>80</v>
      </c>
    </row>
    <row r="4460">
      <c r="A4460" t="inlineStr">
        <is>
          <t>ESP</t>
        </is>
      </c>
      <c r="B4460" s="6" t="n">
        <v>2.7</v>
      </c>
    </row>
    <row r="4461">
      <c r="A4461" t="inlineStr">
        <is>
          <t>CB</t>
        </is>
      </c>
      <c r="B4461" s="6" t="n">
        <v>80.3</v>
      </c>
    </row>
    <row r="4462">
      <c r="A4462" t="inlineStr">
        <is>
          <t>CB</t>
        </is>
      </c>
      <c r="B4462" s="6" t="n">
        <v>62.4</v>
      </c>
    </row>
    <row r="4463">
      <c r="A4463" t="inlineStr">
        <is>
          <t>CB</t>
        </is>
      </c>
      <c r="B4463" s="6" t="n">
        <v>75.84999999999999</v>
      </c>
    </row>
    <row r="4464">
      <c r="A4464" t="inlineStr">
        <is>
          <t>CB</t>
        </is>
      </c>
      <c r="B4464" s="6" t="n">
        <v>68.3</v>
      </c>
    </row>
    <row r="4465">
      <c r="A4465" t="inlineStr">
        <is>
          <t>CB</t>
        </is>
      </c>
      <c r="B4465" s="6" t="n">
        <v>47.8</v>
      </c>
    </row>
    <row r="4466">
      <c r="A4466" t="inlineStr">
        <is>
          <t>CB</t>
        </is>
      </c>
      <c r="B4466" s="6" t="n">
        <v>69.09999999999999</v>
      </c>
    </row>
    <row r="4467">
      <c r="A4467" t="inlineStr">
        <is>
          <t>CB</t>
        </is>
      </c>
      <c r="B4467" s="6" t="n">
        <v>103.3</v>
      </c>
    </row>
    <row r="4468">
      <c r="A4468" t="inlineStr">
        <is>
          <t>CHV</t>
        </is>
      </c>
      <c r="B4468" s="6" t="n">
        <v>70</v>
      </c>
    </row>
    <row r="4469">
      <c r="A4469" t="inlineStr">
        <is>
          <t>ESP</t>
        </is>
      </c>
      <c r="B4469" s="6" t="n">
        <v>3.7</v>
      </c>
    </row>
    <row r="4470">
      <c r="A4470" t="inlineStr">
        <is>
          <t>CHV</t>
        </is>
      </c>
      <c r="B4470" s="6" t="n">
        <v>60</v>
      </c>
    </row>
    <row r="4471">
      <c r="A4471" t="inlineStr">
        <is>
          <t>CB</t>
        </is>
      </c>
      <c r="B4471" s="6" t="n">
        <v>24.1</v>
      </c>
    </row>
    <row r="4472">
      <c r="A4472" t="inlineStr">
        <is>
          <t>CB</t>
        </is>
      </c>
      <c r="B4472" s="6" t="n">
        <v>54.4</v>
      </c>
    </row>
    <row r="4473">
      <c r="A4473" t="inlineStr">
        <is>
          <t>CB</t>
        </is>
      </c>
      <c r="B4473" s="6" t="n">
        <v>155.3</v>
      </c>
    </row>
    <row r="4474">
      <c r="A4474" t="inlineStr">
        <is>
          <t>TR</t>
        </is>
      </c>
      <c r="B4474" s="6" t="n">
        <v>60</v>
      </c>
    </row>
    <row r="4475">
      <c r="A4475" t="inlineStr">
        <is>
          <t>CB</t>
        </is>
      </c>
      <c r="B4475" s="6" t="n">
        <v>21.1</v>
      </c>
    </row>
    <row r="4476">
      <c r="A4476" t="inlineStr">
        <is>
          <t>CB</t>
        </is>
      </c>
      <c r="B4476" s="6" t="n">
        <v>67.59999999999999</v>
      </c>
    </row>
    <row r="4477">
      <c r="A4477" t="inlineStr">
        <is>
          <t>CB</t>
        </is>
      </c>
      <c r="B4477" s="6" t="n">
        <v>47.8</v>
      </c>
    </row>
    <row r="4478">
      <c r="A4478" t="inlineStr">
        <is>
          <t>CB</t>
        </is>
      </c>
      <c r="B4478" s="6" t="n">
        <v>75.84999999999999</v>
      </c>
    </row>
    <row r="4479">
      <c r="A4479" t="inlineStr">
        <is>
          <t>CHV</t>
        </is>
      </c>
      <c r="B4479" s="6" t="n">
        <v>70</v>
      </c>
    </row>
    <row r="4480">
      <c r="A4480" t="inlineStr">
        <is>
          <t>ESP</t>
        </is>
      </c>
      <c r="B4480" s="6" t="n">
        <v>4.1</v>
      </c>
    </row>
    <row r="4481">
      <c r="A4481" t="inlineStr">
        <is>
          <t>CB</t>
        </is>
      </c>
      <c r="B4481" s="6" t="n">
        <v>72.59999999999999</v>
      </c>
    </row>
    <row r="4482">
      <c r="A4482" t="inlineStr">
        <is>
          <t>CB</t>
        </is>
      </c>
      <c r="B4482" s="6" t="n">
        <v>85.7</v>
      </c>
    </row>
    <row r="4483">
      <c r="A4483" t="inlineStr">
        <is>
          <t>CB</t>
        </is>
      </c>
      <c r="B4483" s="6" t="n">
        <v>88</v>
      </c>
    </row>
    <row r="4484">
      <c r="A4484" t="inlineStr">
        <is>
          <t>CB</t>
        </is>
      </c>
      <c r="B4484" s="6" t="n">
        <v>83.5</v>
      </c>
    </row>
    <row r="4485">
      <c r="A4485" t="inlineStr">
        <is>
          <t>CB</t>
        </is>
      </c>
      <c r="B4485" s="6" t="n">
        <v>173.3</v>
      </c>
    </row>
    <row r="4486">
      <c r="A4486" t="inlineStr">
        <is>
          <t>CB</t>
        </is>
      </c>
      <c r="B4486" s="6" t="n">
        <v>119.8</v>
      </c>
    </row>
    <row r="4487">
      <c r="A4487" t="inlineStr">
        <is>
          <t>CB</t>
        </is>
      </c>
      <c r="B4487" s="6" t="n">
        <v>117.2</v>
      </c>
    </row>
    <row r="4488">
      <c r="A4488" t="inlineStr">
        <is>
          <t>CB</t>
        </is>
      </c>
      <c r="B4488" s="6" t="n">
        <v>75</v>
      </c>
    </row>
    <row r="4489">
      <c r="A4489" t="inlineStr">
        <is>
          <t>CB</t>
        </is>
      </c>
      <c r="B4489" s="6" t="n">
        <v>54.7</v>
      </c>
    </row>
    <row r="4490">
      <c r="A4490" t="inlineStr">
        <is>
          <t>CB</t>
        </is>
      </c>
      <c r="B4490" s="6" t="n">
        <v>79.5</v>
      </c>
    </row>
    <row r="4491">
      <c r="A4491" t="inlineStr">
        <is>
          <t>CB</t>
        </is>
      </c>
      <c r="B4491" s="6" t="n">
        <v>171.6</v>
      </c>
    </row>
    <row r="4492">
      <c r="A4492" t="inlineStr">
        <is>
          <t>CB</t>
        </is>
      </c>
      <c r="B4492" s="6" t="n">
        <v>106.8</v>
      </c>
    </row>
    <row r="4493">
      <c r="A4493" t="inlineStr">
        <is>
          <t>CB</t>
        </is>
      </c>
      <c r="B4493" s="6" t="n">
        <v>70.2</v>
      </c>
    </row>
    <row r="4494">
      <c r="A4494" t="inlineStr">
        <is>
          <t>CB</t>
        </is>
      </c>
      <c r="B4494" s="6" t="n">
        <v>31.3</v>
      </c>
    </row>
    <row r="4495">
      <c r="A4495" t="inlineStr">
        <is>
          <t>CHV</t>
        </is>
      </c>
      <c r="B4495" s="6" t="n">
        <v>240</v>
      </c>
    </row>
    <row r="4496">
      <c r="A4496" t="inlineStr">
        <is>
          <t>ESP</t>
        </is>
      </c>
      <c r="B4496" s="6" t="n">
        <v>2.3</v>
      </c>
    </row>
    <row r="4497">
      <c r="A4497" t="inlineStr">
        <is>
          <t>CB</t>
        </is>
      </c>
      <c r="B4497" s="6" t="n">
        <v>61.7</v>
      </c>
    </row>
    <row r="4498">
      <c r="A4498" t="inlineStr">
        <is>
          <t>CB</t>
        </is>
      </c>
      <c r="B4498" s="6" t="n">
        <v>28.2</v>
      </c>
    </row>
    <row r="4499">
      <c r="A4499" t="inlineStr">
        <is>
          <t>CB</t>
        </is>
      </c>
      <c r="B4499" s="6" t="n">
        <v>79.8</v>
      </c>
    </row>
    <row r="4500">
      <c r="A4500" t="inlineStr">
        <is>
          <t>CB</t>
        </is>
      </c>
      <c r="B4500" s="6" t="n">
        <v>52.7</v>
      </c>
    </row>
    <row r="4501">
      <c r="A4501" t="inlineStr">
        <is>
          <t>CB</t>
        </is>
      </c>
      <c r="B4501" s="6" t="n">
        <v>21</v>
      </c>
    </row>
    <row r="4502">
      <c r="A4502" t="inlineStr">
        <is>
          <t>CB</t>
        </is>
      </c>
      <c r="B4502" s="6" t="n">
        <v>38.3</v>
      </c>
    </row>
    <row r="4503">
      <c r="A4503" t="inlineStr">
        <is>
          <t>CB</t>
        </is>
      </c>
      <c r="B4503" s="6" t="n">
        <v>7.8</v>
      </c>
    </row>
    <row r="4504">
      <c r="A4504" t="inlineStr">
        <is>
          <t>CB</t>
        </is>
      </c>
      <c r="B4504" s="6" t="n">
        <v>491.3</v>
      </c>
    </row>
    <row r="4505">
      <c r="A4505" t="inlineStr">
        <is>
          <t>CB</t>
        </is>
      </c>
      <c r="B4505" s="6" t="n">
        <v>142.1</v>
      </c>
    </row>
    <row r="4506">
      <c r="A4506" t="inlineStr">
        <is>
          <t>CB</t>
        </is>
      </c>
      <c r="B4506" s="6" t="n">
        <v>90.59999999999999</v>
      </c>
    </row>
    <row r="4507">
      <c r="A4507" t="inlineStr">
        <is>
          <t>CB</t>
        </is>
      </c>
      <c r="B4507" s="6" t="n">
        <v>24.8</v>
      </c>
    </row>
    <row r="4508">
      <c r="A4508" t="inlineStr">
        <is>
          <t>CB</t>
        </is>
      </c>
      <c r="B4508" s="6" t="n">
        <v>101.6</v>
      </c>
    </row>
    <row r="4509">
      <c r="A4509" t="inlineStr">
        <is>
          <t>CB</t>
        </is>
      </c>
      <c r="B4509" s="6" t="n">
        <v>169.5</v>
      </c>
    </row>
    <row r="4510">
      <c r="A4510" t="inlineStr">
        <is>
          <t>CB</t>
        </is>
      </c>
      <c r="B4510" s="6" t="n">
        <v>82.7</v>
      </c>
    </row>
    <row r="4511">
      <c r="A4511" t="inlineStr">
        <is>
          <t>CB</t>
        </is>
      </c>
      <c r="B4511" s="6" t="n">
        <v>53</v>
      </c>
    </row>
    <row r="4512">
      <c r="A4512" t="inlineStr">
        <is>
          <t>CB</t>
        </is>
      </c>
      <c r="B4512" s="6" t="n">
        <v>119.4</v>
      </c>
    </row>
    <row r="4513">
      <c r="A4513" t="inlineStr">
        <is>
          <t>CB</t>
        </is>
      </c>
      <c r="B4513" s="6" t="n">
        <v>59.9</v>
      </c>
    </row>
    <row r="4514">
      <c r="A4514" t="inlineStr">
        <is>
          <t>CB</t>
        </is>
      </c>
      <c r="B4514" s="6" t="n">
        <v>45.2</v>
      </c>
    </row>
    <row r="4515">
      <c r="A4515" t="inlineStr">
        <is>
          <t>CHV</t>
        </is>
      </c>
      <c r="B4515" s="6" t="n">
        <v>20</v>
      </c>
    </row>
    <row r="4516">
      <c r="A4516" t="inlineStr">
        <is>
          <t>CB</t>
        </is>
      </c>
      <c r="B4516" s="6" t="n">
        <v>27.4</v>
      </c>
    </row>
    <row r="4517">
      <c r="A4517" t="inlineStr">
        <is>
          <t>CB</t>
        </is>
      </c>
      <c r="B4517" s="6" t="n">
        <v>129.1</v>
      </c>
    </row>
    <row r="4518">
      <c r="A4518" t="inlineStr">
        <is>
          <t>CB</t>
        </is>
      </c>
      <c r="B4518" s="6" t="n">
        <v>15</v>
      </c>
    </row>
    <row r="4519">
      <c r="A4519" t="inlineStr">
        <is>
          <t>CB</t>
        </is>
      </c>
      <c r="B4519" s="6" t="n">
        <v>19.5</v>
      </c>
    </row>
    <row r="4520">
      <c r="A4520" t="inlineStr">
        <is>
          <t>CB</t>
        </is>
      </c>
      <c r="B4520" s="6" t="n">
        <v>89.59999999999999</v>
      </c>
    </row>
    <row r="4521">
      <c r="A4521" t="inlineStr">
        <is>
          <t>CB</t>
        </is>
      </c>
      <c r="B4521" s="6" t="n">
        <v>18.6</v>
      </c>
    </row>
    <row r="4522">
      <c r="A4522" t="inlineStr">
        <is>
          <t>CB</t>
        </is>
      </c>
      <c r="B4522" s="6" t="n">
        <v>18.6</v>
      </c>
    </row>
    <row r="4523">
      <c r="A4523" t="inlineStr">
        <is>
          <t>CB</t>
        </is>
      </c>
      <c r="B4523" s="6" t="n">
        <v>153.4</v>
      </c>
    </row>
    <row r="4524">
      <c r="A4524" t="inlineStr">
        <is>
          <t>CB</t>
        </is>
      </c>
      <c r="B4524" s="6" t="n">
        <v>71.8</v>
      </c>
    </row>
    <row r="4525">
      <c r="A4525" t="inlineStr">
        <is>
          <t>CB</t>
        </is>
      </c>
      <c r="B4525" s="6" t="n">
        <v>56.4</v>
      </c>
    </row>
    <row r="4526">
      <c r="A4526" t="inlineStr">
        <is>
          <t>CB</t>
        </is>
      </c>
      <c r="B4526" s="6" t="n">
        <v>86.8</v>
      </c>
    </row>
    <row r="4527">
      <c r="A4527" t="inlineStr">
        <is>
          <t>CB</t>
        </is>
      </c>
      <c r="B4527" s="6" t="n">
        <v>150.8</v>
      </c>
    </row>
    <row r="4528">
      <c r="A4528" t="inlineStr">
        <is>
          <t>CB</t>
        </is>
      </c>
      <c r="B4528" s="6" t="n">
        <v>45.2</v>
      </c>
    </row>
    <row r="4529">
      <c r="A4529" t="inlineStr">
        <is>
          <t>CB</t>
        </is>
      </c>
      <c r="B4529" s="6" t="n">
        <v>50.3</v>
      </c>
    </row>
    <row r="4530">
      <c r="A4530" t="inlineStr">
        <is>
          <t>CB</t>
        </is>
      </c>
      <c r="B4530" s="6" t="n">
        <v>77.7</v>
      </c>
    </row>
    <row r="4531">
      <c r="A4531" t="inlineStr">
        <is>
          <t>CB</t>
        </is>
      </c>
      <c r="B4531" s="6" t="n">
        <v>22.8</v>
      </c>
    </row>
    <row r="4532">
      <c r="A4532" t="inlineStr">
        <is>
          <t>TR</t>
        </is>
      </c>
      <c r="B4532" s="6" t="n">
        <v>9.199999999999999</v>
      </c>
    </row>
    <row r="4533">
      <c r="A4533" t="inlineStr">
        <is>
          <t>CB</t>
        </is>
      </c>
      <c r="B4533" s="6" t="n">
        <v>14</v>
      </c>
    </row>
    <row r="4534">
      <c r="A4534" t="inlineStr">
        <is>
          <t>CB</t>
        </is>
      </c>
      <c r="B4534" s="6" t="n">
        <v>25.5</v>
      </c>
    </row>
    <row r="4535">
      <c r="A4535" t="inlineStr">
        <is>
          <t>CB</t>
        </is>
      </c>
      <c r="B4535" s="6" t="n">
        <v>55.2</v>
      </c>
    </row>
    <row r="4536">
      <c r="A4536" t="inlineStr">
        <is>
          <t>CB</t>
        </is>
      </c>
      <c r="B4536" s="6" t="n">
        <v>34</v>
      </c>
    </row>
    <row r="4537">
      <c r="A4537" t="inlineStr">
        <is>
          <t>CB</t>
        </is>
      </c>
      <c r="B4537" s="6" t="n">
        <v>79.40000000000001</v>
      </c>
    </row>
    <row r="4538">
      <c r="A4538" t="inlineStr">
        <is>
          <t>CB</t>
        </is>
      </c>
      <c r="B4538" s="6" t="n">
        <v>63.4</v>
      </c>
    </row>
    <row r="4539">
      <c r="A4539" t="inlineStr">
        <is>
          <t>CB</t>
        </is>
      </c>
      <c r="B4539" s="6" t="n">
        <v>52</v>
      </c>
    </row>
    <row r="4540">
      <c r="A4540" t="inlineStr">
        <is>
          <t>CB</t>
        </is>
      </c>
      <c r="B4540" s="6" t="n">
        <v>74.5</v>
      </c>
    </row>
    <row r="4541">
      <c r="A4541" t="inlineStr">
        <is>
          <t>CB</t>
        </is>
      </c>
      <c r="B4541" s="6" t="n">
        <v>71.7</v>
      </c>
    </row>
    <row r="4542">
      <c r="A4542" t="inlineStr">
        <is>
          <t>CB</t>
        </is>
      </c>
      <c r="B4542" s="6" t="n">
        <v>58.9</v>
      </c>
    </row>
    <row r="4543">
      <c r="A4543" t="inlineStr">
        <is>
          <t>CB</t>
        </is>
      </c>
      <c r="B4543" s="6" t="n">
        <v>47.33</v>
      </c>
    </row>
    <row r="4544">
      <c r="A4544" t="inlineStr">
        <is>
          <t>CB</t>
        </is>
      </c>
      <c r="B4544" s="6" t="n">
        <v>47.33</v>
      </c>
    </row>
    <row r="4545">
      <c r="A4545" t="inlineStr">
        <is>
          <t>CB</t>
        </is>
      </c>
      <c r="B4545" s="6" t="n">
        <v>23.66</v>
      </c>
    </row>
    <row r="4546">
      <c r="A4546" t="inlineStr">
        <is>
          <t>CB</t>
        </is>
      </c>
      <c r="B4546" s="6" t="n">
        <v>23.66</v>
      </c>
    </row>
    <row r="4547">
      <c r="A4547" t="inlineStr">
        <is>
          <t>ESP</t>
        </is>
      </c>
      <c r="B4547" s="6" t="n">
        <v>47.32</v>
      </c>
    </row>
    <row r="4548">
      <c r="A4548" t="inlineStr">
        <is>
          <t>CB</t>
        </is>
      </c>
      <c r="B4548" s="6" t="n">
        <v>44.3</v>
      </c>
    </row>
    <row r="4549">
      <c r="A4549" t="inlineStr">
        <is>
          <t>CB</t>
        </is>
      </c>
      <c r="B4549" s="6" t="n">
        <v>101.9</v>
      </c>
    </row>
    <row r="4550">
      <c r="A4550" t="inlineStr">
        <is>
          <t>CB</t>
        </is>
      </c>
      <c r="B4550" s="6" t="n">
        <v>28.4</v>
      </c>
    </row>
    <row r="4551">
      <c r="A4551" t="inlineStr">
        <is>
          <t>CB</t>
        </is>
      </c>
      <c r="B4551" s="6" t="n">
        <v>72.59999999999999</v>
      </c>
    </row>
    <row r="4552">
      <c r="A4552" t="inlineStr">
        <is>
          <t>CB</t>
        </is>
      </c>
      <c r="B4552" s="6" t="n">
        <v>66.09999999999999</v>
      </c>
    </row>
    <row r="4553">
      <c r="A4553" t="inlineStr">
        <is>
          <t>CB</t>
        </is>
      </c>
      <c r="B4553" s="6" t="n">
        <v>31.3</v>
      </c>
    </row>
    <row r="4554">
      <c r="A4554" t="inlineStr">
        <is>
          <t>CB</t>
        </is>
      </c>
      <c r="B4554" s="6" t="n">
        <v>5.4</v>
      </c>
    </row>
    <row r="4555">
      <c r="A4555" t="inlineStr">
        <is>
          <t>CB</t>
        </is>
      </c>
      <c r="B4555" s="6" t="n">
        <v>5</v>
      </c>
    </row>
    <row r="4556">
      <c r="A4556" t="inlineStr">
        <is>
          <t>ESP</t>
        </is>
      </c>
      <c r="B4556" s="6" t="n">
        <v>5</v>
      </c>
    </row>
    <row r="4557">
      <c r="A4557" t="inlineStr">
        <is>
          <t>CB</t>
        </is>
      </c>
      <c r="B4557" s="6" t="n">
        <v>43.9</v>
      </c>
    </row>
    <row r="4558">
      <c r="A4558" t="inlineStr">
        <is>
          <t>CB</t>
        </is>
      </c>
      <c r="B4558" s="6" t="n">
        <v>5.2</v>
      </c>
    </row>
    <row r="4559">
      <c r="A4559" t="inlineStr">
        <is>
          <t>CB</t>
        </is>
      </c>
      <c r="B4559" s="6" t="n">
        <v>22.7</v>
      </c>
    </row>
    <row r="4560">
      <c r="A4560" t="inlineStr">
        <is>
          <t>TR</t>
        </is>
      </c>
      <c r="B4560" s="6" t="n">
        <v>19</v>
      </c>
    </row>
    <row r="4561">
      <c r="A4561" t="inlineStr">
        <is>
          <t>CB</t>
        </is>
      </c>
      <c r="B4561" s="6" t="n">
        <v>16.8</v>
      </c>
    </row>
    <row r="4562">
      <c r="A4562" t="inlineStr">
        <is>
          <t>CB</t>
        </is>
      </c>
      <c r="B4562" s="6" t="n">
        <v>22.7</v>
      </c>
    </row>
    <row r="4563">
      <c r="A4563" t="inlineStr">
        <is>
          <t>CB</t>
        </is>
      </c>
      <c r="B4563" s="6" t="n">
        <v>31.7</v>
      </c>
    </row>
    <row r="4564">
      <c r="A4564" t="inlineStr">
        <is>
          <t>CB</t>
        </is>
      </c>
      <c r="B4564" s="6" t="n">
        <v>23.6</v>
      </c>
    </row>
    <row r="4565">
      <c r="A4565" t="inlineStr">
        <is>
          <t>CB</t>
        </is>
      </c>
      <c r="B4565" s="6" t="n">
        <v>42.3</v>
      </c>
    </row>
    <row r="4566">
      <c r="A4566" t="inlineStr">
        <is>
          <t>CB</t>
        </is>
      </c>
      <c r="B4566" s="6" t="n">
        <v>36.4</v>
      </c>
    </row>
    <row r="4567">
      <c r="A4567" t="inlineStr">
        <is>
          <t>CB</t>
        </is>
      </c>
      <c r="B4567" s="6" t="n">
        <v>28.5</v>
      </c>
    </row>
    <row r="4568">
      <c r="A4568" t="inlineStr">
        <is>
          <t>CB</t>
        </is>
      </c>
      <c r="B4568" s="6" t="n">
        <v>33.5</v>
      </c>
    </row>
    <row r="4569">
      <c r="A4569" t="inlineStr">
        <is>
          <t>CB</t>
        </is>
      </c>
      <c r="B4569" s="6" t="n">
        <v>104.5</v>
      </c>
    </row>
    <row r="4570">
      <c r="A4570" t="inlineStr">
        <is>
          <t>CB</t>
        </is>
      </c>
      <c r="B4570" s="6" t="n">
        <v>86</v>
      </c>
    </row>
    <row r="4571">
      <c r="A4571" t="inlineStr">
        <is>
          <t>ESP</t>
        </is>
      </c>
      <c r="B4571" s="6" t="n">
        <v>42.4</v>
      </c>
    </row>
    <row r="4572">
      <c r="A4572" t="inlineStr">
        <is>
          <t>CB</t>
        </is>
      </c>
      <c r="B4572" s="6" t="n">
        <v>105.8</v>
      </c>
    </row>
    <row r="4573">
      <c r="A4573" t="inlineStr">
        <is>
          <t>CB</t>
        </is>
      </c>
      <c r="B4573" s="6" t="n">
        <v>98.90000000000001</v>
      </c>
    </row>
    <row r="4574">
      <c r="A4574" t="inlineStr">
        <is>
          <t>CB</t>
        </is>
      </c>
      <c r="B4574" s="6" t="n">
        <v>287</v>
      </c>
    </row>
    <row r="4575">
      <c r="A4575" t="inlineStr">
        <is>
          <t>CB</t>
        </is>
      </c>
      <c r="B4575" s="6" t="n">
        <v>102.5</v>
      </c>
    </row>
    <row r="4576">
      <c r="A4576" t="inlineStr">
        <is>
          <t>CB</t>
        </is>
      </c>
      <c r="B4576" s="6" t="n">
        <v>104.8</v>
      </c>
    </row>
    <row r="4577">
      <c r="A4577" t="inlineStr">
        <is>
          <t>CB</t>
        </is>
      </c>
      <c r="B4577" s="6" t="n">
        <v>116</v>
      </c>
    </row>
    <row r="4578">
      <c r="A4578" t="inlineStr">
        <is>
          <t>CB</t>
        </is>
      </c>
      <c r="B4578" s="6" t="n">
        <v>184</v>
      </c>
    </row>
    <row r="4579">
      <c r="A4579" t="inlineStr">
        <is>
          <t>TR</t>
        </is>
      </c>
      <c r="B4579" s="6" t="n">
        <v>9.25</v>
      </c>
    </row>
    <row r="4580">
      <c r="A4580" t="inlineStr">
        <is>
          <t>CB</t>
        </is>
      </c>
      <c r="B4580" s="6" t="n">
        <v>62.75</v>
      </c>
    </row>
    <row r="4581">
      <c r="A4581" t="inlineStr">
        <is>
          <t>CB</t>
        </is>
      </c>
      <c r="B4581" s="6" t="n">
        <v>19.9</v>
      </c>
    </row>
    <row r="4582">
      <c r="A4582" t="inlineStr">
        <is>
          <t>CB</t>
        </is>
      </c>
      <c r="B4582" s="6" t="n">
        <v>159.3</v>
      </c>
    </row>
    <row r="4583">
      <c r="A4583" t="inlineStr">
        <is>
          <t>CB</t>
        </is>
      </c>
      <c r="B4583" s="6" t="n">
        <v>19.8</v>
      </c>
    </row>
    <row r="4584">
      <c r="A4584" t="inlineStr">
        <is>
          <t>CB</t>
        </is>
      </c>
      <c r="B4584" s="6" t="n">
        <v>19.8</v>
      </c>
    </row>
    <row r="4585">
      <c r="A4585" t="inlineStr">
        <is>
          <t>CB</t>
        </is>
      </c>
      <c r="B4585" s="6" t="n">
        <v>86.40000000000001</v>
      </c>
    </row>
    <row r="4586">
      <c r="A4586" t="inlineStr">
        <is>
          <t>CB</t>
        </is>
      </c>
      <c r="B4586" s="6" t="n">
        <v>127.9</v>
      </c>
    </row>
    <row r="4587">
      <c r="A4587" t="inlineStr">
        <is>
          <t>CB</t>
        </is>
      </c>
      <c r="B4587" s="6" t="n">
        <v>71.2</v>
      </c>
    </row>
    <row r="4588">
      <c r="A4588" t="inlineStr">
        <is>
          <t>CB</t>
        </is>
      </c>
      <c r="B4588" s="6" t="n">
        <v>50.4</v>
      </c>
    </row>
    <row r="4589">
      <c r="A4589" t="inlineStr">
        <is>
          <t>CB</t>
        </is>
      </c>
      <c r="B4589" s="6" t="n">
        <v>114.9</v>
      </c>
    </row>
    <row r="4590">
      <c r="A4590" t="inlineStr">
        <is>
          <t>CB</t>
        </is>
      </c>
      <c r="B4590" s="6" t="n">
        <v>123.8</v>
      </c>
    </row>
    <row r="4591">
      <c r="A4591" t="inlineStr">
        <is>
          <t>CB</t>
        </is>
      </c>
      <c r="B4591" s="6" t="n">
        <v>62.4</v>
      </c>
    </row>
    <row r="4592">
      <c r="A4592" t="inlineStr">
        <is>
          <t>CB</t>
        </is>
      </c>
      <c r="B4592" s="6" t="n">
        <v>21.1</v>
      </c>
    </row>
    <row r="4593">
      <c r="A4593" t="inlineStr">
        <is>
          <t>CHV</t>
        </is>
      </c>
      <c r="B4593" s="6" t="n">
        <v>50</v>
      </c>
    </row>
    <row r="4594">
      <c r="A4594" t="inlineStr">
        <is>
          <t>CB</t>
        </is>
      </c>
      <c r="B4594" s="6" t="n">
        <v>31.2</v>
      </c>
    </row>
    <row r="4595">
      <c r="A4595" t="inlineStr">
        <is>
          <t>CB</t>
        </is>
      </c>
      <c r="B4595" s="6" t="n">
        <v>31</v>
      </c>
    </row>
    <row r="4596">
      <c r="A4596" t="inlineStr">
        <is>
          <t>CB</t>
        </is>
      </c>
      <c r="B4596" s="6" t="n">
        <v>31</v>
      </c>
    </row>
    <row r="4597">
      <c r="A4597" t="inlineStr">
        <is>
          <t>CB</t>
        </is>
      </c>
      <c r="B4597" s="6" t="n">
        <v>31</v>
      </c>
    </row>
    <row r="4598">
      <c r="A4598" t="inlineStr">
        <is>
          <t>CB</t>
        </is>
      </c>
      <c r="B4598" s="6" t="n">
        <v>98</v>
      </c>
    </row>
    <row r="4599">
      <c r="A4599" t="inlineStr">
        <is>
          <t>CB</t>
        </is>
      </c>
      <c r="B4599" s="6" t="n">
        <v>70.34999999999999</v>
      </c>
    </row>
    <row r="4600">
      <c r="A4600" t="inlineStr">
        <is>
          <t>TR</t>
        </is>
      </c>
      <c r="B4600" s="6" t="n">
        <v>70</v>
      </c>
    </row>
    <row r="4601">
      <c r="A4601" t="inlineStr">
        <is>
          <t>CB</t>
        </is>
      </c>
      <c r="B4601" s="6" t="n">
        <v>56.1</v>
      </c>
    </row>
    <row r="4602">
      <c r="A4602" t="inlineStr">
        <is>
          <t>CB</t>
        </is>
      </c>
      <c r="B4602" s="6" t="n">
        <v>67.7</v>
      </c>
    </row>
    <row r="4603">
      <c r="A4603" t="inlineStr">
        <is>
          <t>CB</t>
        </is>
      </c>
      <c r="B4603" s="6" t="n">
        <v>39.6</v>
      </c>
    </row>
    <row r="4604">
      <c r="A4604" t="inlineStr">
        <is>
          <t>CB</t>
        </is>
      </c>
      <c r="B4604" s="6" t="n">
        <v>28.7</v>
      </c>
    </row>
    <row r="4605">
      <c r="A4605" t="inlineStr">
        <is>
          <t>CB</t>
        </is>
      </c>
      <c r="B4605" s="6" t="n">
        <v>70.34999999999999</v>
      </c>
    </row>
    <row r="4606">
      <c r="A4606" t="inlineStr">
        <is>
          <t>CB</t>
        </is>
      </c>
      <c r="B4606" s="6" t="n">
        <v>37.2</v>
      </c>
    </row>
    <row r="4607">
      <c r="A4607" t="inlineStr">
        <is>
          <t>CB</t>
        </is>
      </c>
      <c r="B4607" s="6" t="n">
        <v>116</v>
      </c>
    </row>
    <row r="4608">
      <c r="A4608" t="inlineStr">
        <is>
          <t>CB</t>
        </is>
      </c>
      <c r="B4608" s="6" t="n">
        <v>79.3</v>
      </c>
    </row>
    <row r="4609">
      <c r="A4609" t="inlineStr">
        <is>
          <t>CB</t>
        </is>
      </c>
      <c r="B4609" s="6" t="n">
        <v>93</v>
      </c>
    </row>
    <row r="4610">
      <c r="A4610" t="inlineStr">
        <is>
          <t>CB</t>
        </is>
      </c>
      <c r="B4610" s="6" t="n">
        <v>113.3</v>
      </c>
    </row>
    <row r="4611">
      <c r="A4611" t="inlineStr">
        <is>
          <t>CB</t>
        </is>
      </c>
      <c r="B4611" s="6" t="n">
        <v>93.8</v>
      </c>
    </row>
    <row r="4612">
      <c r="A4612" t="inlineStr">
        <is>
          <t>CHV</t>
        </is>
      </c>
      <c r="B4612" s="6" t="n">
        <v>166</v>
      </c>
    </row>
    <row r="4613">
      <c r="A4613" t="inlineStr">
        <is>
          <t>CB</t>
        </is>
      </c>
      <c r="B4613" s="6" t="n">
        <v>114.7</v>
      </c>
    </row>
    <row r="4614">
      <c r="A4614" t="inlineStr">
        <is>
          <t>CB</t>
        </is>
      </c>
      <c r="B4614" s="6" t="n">
        <v>97.40000000000001</v>
      </c>
    </row>
    <row r="4615">
      <c r="A4615" t="inlineStr">
        <is>
          <t>CB</t>
        </is>
      </c>
      <c r="B4615" s="6" t="n">
        <v>189</v>
      </c>
    </row>
    <row r="4616">
      <c r="A4616" t="inlineStr">
        <is>
          <t>CB</t>
        </is>
      </c>
      <c r="B4616" s="6" t="n">
        <v>60.7</v>
      </c>
    </row>
    <row r="4617">
      <c r="A4617" t="inlineStr">
        <is>
          <t>CB</t>
        </is>
      </c>
      <c r="B4617" s="6" t="n">
        <v>154.6</v>
      </c>
    </row>
    <row r="4618">
      <c r="A4618" t="inlineStr">
        <is>
          <t>CB</t>
        </is>
      </c>
      <c r="B4618" s="6" t="n">
        <v>49.2</v>
      </c>
    </row>
    <row r="4619">
      <c r="A4619" t="inlineStr">
        <is>
          <t>CHV</t>
        </is>
      </c>
      <c r="B4619" s="6" t="n">
        <v>60</v>
      </c>
    </row>
    <row r="4620">
      <c r="A4620" t="inlineStr">
        <is>
          <t>CB</t>
        </is>
      </c>
      <c r="B4620" s="6" t="n">
        <v>6.8</v>
      </c>
    </row>
    <row r="4621">
      <c r="A4621" t="inlineStr">
        <is>
          <t>CB</t>
        </is>
      </c>
      <c r="B4621" s="6" t="n">
        <v>58.8</v>
      </c>
    </row>
    <row r="4622">
      <c r="A4622" t="inlineStr">
        <is>
          <t>CB</t>
        </is>
      </c>
      <c r="B4622" s="6" t="n">
        <v>59.4</v>
      </c>
    </row>
    <row r="4623">
      <c r="A4623" t="inlineStr">
        <is>
          <t>CB</t>
        </is>
      </c>
      <c r="B4623" s="6" t="n">
        <v>121.8</v>
      </c>
    </row>
    <row r="4624">
      <c r="A4624" t="inlineStr">
        <is>
          <t>CHV</t>
        </is>
      </c>
      <c r="B4624" s="6" t="n">
        <v>40</v>
      </c>
    </row>
    <row r="4625">
      <c r="A4625" t="inlineStr">
        <is>
          <t>CB</t>
        </is>
      </c>
      <c r="B4625" s="6" t="n">
        <v>20.4</v>
      </c>
    </row>
    <row r="4626">
      <c r="A4626" t="inlineStr">
        <is>
          <t>CB</t>
        </is>
      </c>
      <c r="B4626" s="6" t="n">
        <v>61.8</v>
      </c>
    </row>
    <row r="4627">
      <c r="A4627" t="inlineStr">
        <is>
          <t>CB</t>
        </is>
      </c>
      <c r="B4627" s="6" t="n">
        <v>83.7</v>
      </c>
    </row>
    <row r="4628">
      <c r="A4628" t="inlineStr">
        <is>
          <t>CB</t>
        </is>
      </c>
      <c r="B4628" s="6" t="n">
        <v>71.3</v>
      </c>
    </row>
    <row r="4629">
      <c r="A4629" t="inlineStr">
        <is>
          <t>CB</t>
        </is>
      </c>
      <c r="B4629" s="6" t="n">
        <v>50.8</v>
      </c>
    </row>
    <row r="4630">
      <c r="A4630" t="inlineStr">
        <is>
          <t>CB</t>
        </is>
      </c>
      <c r="B4630" s="6" t="n">
        <v>61.8</v>
      </c>
    </row>
    <row r="4631">
      <c r="A4631" t="inlineStr">
        <is>
          <t>CHQ</t>
        </is>
      </c>
      <c r="B4631" s="6" t="n">
        <v>45.7</v>
      </c>
    </row>
    <row r="4632">
      <c r="A4632" t="inlineStr">
        <is>
          <t>CB</t>
        </is>
      </c>
      <c r="B4632" s="6" t="n">
        <v>81.40000000000001</v>
      </c>
    </row>
    <row r="4633">
      <c r="A4633" t="inlineStr">
        <is>
          <t>CB</t>
        </is>
      </c>
      <c r="B4633" s="6" t="n">
        <v>50.4</v>
      </c>
    </row>
    <row r="4634">
      <c r="A4634" t="inlineStr">
        <is>
          <t>CB</t>
        </is>
      </c>
      <c r="B4634" s="6" t="n">
        <v>60.2</v>
      </c>
    </row>
    <row r="4635">
      <c r="A4635" t="inlineStr">
        <is>
          <t>CB</t>
        </is>
      </c>
      <c r="B4635" s="6" t="n">
        <v>23.9</v>
      </c>
    </row>
    <row r="4636">
      <c r="A4636" t="inlineStr">
        <is>
          <t>CB</t>
        </is>
      </c>
      <c r="B4636" s="6" t="n">
        <v>23.9</v>
      </c>
    </row>
    <row r="4637">
      <c r="A4637" t="inlineStr">
        <is>
          <t>CB</t>
        </is>
      </c>
      <c r="B4637" s="6" t="n">
        <v>92.59999999999999</v>
      </c>
    </row>
    <row r="4638">
      <c r="A4638" t="inlineStr">
        <is>
          <t>CB</t>
        </is>
      </c>
      <c r="B4638" s="6" t="n">
        <v>71.8</v>
      </c>
    </row>
    <row r="4639">
      <c r="A4639" t="inlineStr">
        <is>
          <t>CB</t>
        </is>
      </c>
      <c r="B4639" s="6" t="n">
        <v>71.09999999999999</v>
      </c>
    </row>
    <row r="4640">
      <c r="A4640" t="inlineStr">
        <is>
          <t>CB</t>
        </is>
      </c>
      <c r="B4640" s="6" t="n">
        <v>69.8</v>
      </c>
    </row>
    <row r="4641">
      <c r="A4641" t="inlineStr">
        <is>
          <t>CB</t>
        </is>
      </c>
      <c r="B4641" s="6" t="n">
        <v>43</v>
      </c>
    </row>
    <row r="4642">
      <c r="A4642" t="inlineStr">
        <is>
          <t>CB</t>
        </is>
      </c>
      <c r="B4642" s="6" t="n">
        <v>96.2</v>
      </c>
    </row>
    <row r="4643">
      <c r="A4643" t="inlineStr">
        <is>
          <t>CB</t>
        </is>
      </c>
      <c r="B4643" s="6" t="n">
        <v>98</v>
      </c>
    </row>
    <row r="4644">
      <c r="A4644" t="inlineStr">
        <is>
          <t>CHV</t>
        </is>
      </c>
      <c r="B4644" s="6" t="n">
        <v>30</v>
      </c>
    </row>
    <row r="4645">
      <c r="A4645" t="inlineStr">
        <is>
          <t>ESP</t>
        </is>
      </c>
      <c r="B4645" s="6" t="n">
        <v>5.4</v>
      </c>
    </row>
    <row r="4646">
      <c r="A4646" t="inlineStr">
        <is>
          <t>CB</t>
        </is>
      </c>
      <c r="B4646" s="6" t="n">
        <v>72.2</v>
      </c>
    </row>
    <row r="4647">
      <c r="A4647" t="inlineStr">
        <is>
          <t>CB</t>
        </is>
      </c>
      <c r="B4647" s="6" t="n">
        <v>34.8</v>
      </c>
    </row>
    <row r="4648">
      <c r="A4648" t="inlineStr">
        <is>
          <t>CB</t>
        </is>
      </c>
      <c r="B4648" s="6" t="n">
        <v>34.8</v>
      </c>
    </row>
    <row r="4649">
      <c r="A4649" t="inlineStr">
        <is>
          <t>CB</t>
        </is>
      </c>
      <c r="B4649" s="6" t="n">
        <v>106.6</v>
      </c>
    </row>
    <row r="4650">
      <c r="A4650" t="inlineStr">
        <is>
          <t>CB</t>
        </is>
      </c>
      <c r="B4650" s="6" t="n">
        <v>47.4</v>
      </c>
    </row>
    <row r="4651">
      <c r="A4651" t="inlineStr">
        <is>
          <t>CB</t>
        </is>
      </c>
      <c r="B4651" s="6" t="n">
        <v>38.05</v>
      </c>
    </row>
    <row r="4652">
      <c r="A4652" t="inlineStr">
        <is>
          <t>CB</t>
        </is>
      </c>
      <c r="B4652" s="6" t="n">
        <v>18.7</v>
      </c>
    </row>
    <row r="4653">
      <c r="A4653" t="inlineStr">
        <is>
          <t>CB</t>
        </is>
      </c>
      <c r="B4653" s="6" t="n">
        <v>25</v>
      </c>
    </row>
    <row r="4654">
      <c r="A4654" t="inlineStr">
        <is>
          <t>CB</t>
        </is>
      </c>
      <c r="B4654" s="6" t="n">
        <v>25</v>
      </c>
    </row>
    <row r="4655">
      <c r="A4655" t="inlineStr">
        <is>
          <t>CB</t>
        </is>
      </c>
      <c r="B4655" s="6" t="n">
        <v>26</v>
      </c>
    </row>
    <row r="4656">
      <c r="A4656" t="inlineStr">
        <is>
          <t>CB</t>
        </is>
      </c>
      <c r="B4656" s="6" t="n">
        <v>55.3</v>
      </c>
    </row>
    <row r="4657">
      <c r="A4657" t="inlineStr">
        <is>
          <t>CB</t>
        </is>
      </c>
      <c r="B4657" s="6" t="n">
        <v>22.55</v>
      </c>
    </row>
    <row r="4658">
      <c r="A4658" t="inlineStr">
        <is>
          <t>CB</t>
        </is>
      </c>
      <c r="B4658" s="6" t="n">
        <v>73.09999999999999</v>
      </c>
    </row>
    <row r="4659">
      <c r="A4659" t="inlineStr">
        <is>
          <t>CB</t>
        </is>
      </c>
      <c r="B4659" s="6" t="n">
        <v>57.8</v>
      </c>
    </row>
    <row r="4660">
      <c r="A4660" t="inlineStr">
        <is>
          <t>CB</t>
        </is>
      </c>
      <c r="B4660" s="6" t="n">
        <v>132.5</v>
      </c>
    </row>
    <row r="4661">
      <c r="A4661" t="inlineStr">
        <is>
          <t>CB</t>
        </is>
      </c>
      <c r="B4661" s="6" t="n">
        <v>22.55</v>
      </c>
    </row>
    <row r="4662">
      <c r="A4662" t="inlineStr">
        <is>
          <t>CB</t>
        </is>
      </c>
      <c r="B4662" s="6" t="n">
        <v>32.5</v>
      </c>
    </row>
    <row r="4663">
      <c r="A4663" t="inlineStr">
        <is>
          <t>CB</t>
        </is>
      </c>
      <c r="B4663" s="6" t="n">
        <v>35.1</v>
      </c>
    </row>
    <row r="4664">
      <c r="A4664" t="inlineStr">
        <is>
          <t>CB</t>
        </is>
      </c>
      <c r="B4664" s="6" t="n">
        <v>194.6</v>
      </c>
    </row>
    <row r="4665">
      <c r="A4665" t="inlineStr">
        <is>
          <t>CB</t>
        </is>
      </c>
      <c r="B4665" s="6" t="n">
        <v>31.8</v>
      </c>
    </row>
    <row r="4666">
      <c r="A4666" t="inlineStr">
        <is>
          <t>CB</t>
        </is>
      </c>
      <c r="B4666" s="6" t="n">
        <v>15.9</v>
      </c>
    </row>
    <row r="4667">
      <c r="A4667" t="inlineStr">
        <is>
          <t>CB</t>
        </is>
      </c>
      <c r="B4667" s="6" t="n">
        <v>136.9</v>
      </c>
    </row>
    <row r="4668">
      <c r="A4668" t="inlineStr">
        <is>
          <t>CB</t>
        </is>
      </c>
      <c r="B4668" s="6" t="n">
        <v>63.8</v>
      </c>
    </row>
    <row r="4669">
      <c r="A4669" t="inlineStr">
        <is>
          <t>CB</t>
        </is>
      </c>
      <c r="B4669" s="6" t="n">
        <v>93.40000000000001</v>
      </c>
    </row>
    <row r="4670">
      <c r="A4670" t="inlineStr">
        <is>
          <t>CB</t>
        </is>
      </c>
      <c r="B4670" s="6" t="n">
        <v>67.59999999999999</v>
      </c>
    </row>
    <row r="4671">
      <c r="A4671" t="inlineStr">
        <is>
          <t>CB</t>
        </is>
      </c>
      <c r="B4671" s="6" t="n">
        <v>16.2</v>
      </c>
    </row>
    <row r="4672">
      <c r="A4672" t="inlineStr">
        <is>
          <t>CB</t>
        </is>
      </c>
      <c r="B4672" s="6" t="n">
        <v>68.2</v>
      </c>
    </row>
    <row r="4673">
      <c r="A4673" t="inlineStr">
        <is>
          <t>CB</t>
        </is>
      </c>
      <c r="B4673" s="6" t="n">
        <v>43.8</v>
      </c>
    </row>
    <row r="4674">
      <c r="A4674" t="inlineStr">
        <is>
          <t>CB</t>
        </is>
      </c>
      <c r="B4674" s="6" t="n">
        <v>42.75</v>
      </c>
    </row>
    <row r="4675">
      <c r="A4675" t="inlineStr">
        <is>
          <t>CB</t>
        </is>
      </c>
      <c r="B4675" s="6" t="n">
        <v>44.25</v>
      </c>
    </row>
    <row r="4676">
      <c r="A4676" t="inlineStr">
        <is>
          <t>CB</t>
        </is>
      </c>
      <c r="B4676" s="6" t="n">
        <v>78.5</v>
      </c>
    </row>
    <row r="4677">
      <c r="A4677" t="inlineStr">
        <is>
          <t>CB</t>
        </is>
      </c>
      <c r="B4677" s="6" t="n">
        <v>63</v>
      </c>
    </row>
    <row r="4678">
      <c r="A4678" t="inlineStr">
        <is>
          <t>CB</t>
        </is>
      </c>
      <c r="B4678" s="6" t="n">
        <v>53.3</v>
      </c>
    </row>
    <row r="4679">
      <c r="A4679" t="inlineStr">
        <is>
          <t>CHV</t>
        </is>
      </c>
      <c r="B4679" s="6" t="n">
        <v>50</v>
      </c>
    </row>
    <row r="4680">
      <c r="A4680" t="inlineStr">
        <is>
          <t>ESP</t>
        </is>
      </c>
      <c r="B4680" s="6" t="n">
        <v>3.9</v>
      </c>
    </row>
    <row r="4681">
      <c r="A4681" t="inlineStr">
        <is>
          <t>CB</t>
        </is>
      </c>
      <c r="B4681" s="6" t="n">
        <v>62.6</v>
      </c>
    </row>
    <row r="4682">
      <c r="A4682" t="inlineStr">
        <is>
          <t>CB</t>
        </is>
      </c>
      <c r="B4682" s="6" t="n">
        <v>62.7</v>
      </c>
    </row>
    <row r="4683">
      <c r="A4683" t="inlineStr">
        <is>
          <t>CB</t>
        </is>
      </c>
      <c r="B4683" s="6" t="n">
        <v>45.2</v>
      </c>
    </row>
    <row r="4684">
      <c r="A4684" t="inlineStr">
        <is>
          <t>CB</t>
        </is>
      </c>
      <c r="B4684" s="6" t="n">
        <v>73.40000000000001</v>
      </c>
    </row>
    <row r="4685">
      <c r="A4685" t="inlineStr">
        <is>
          <t>CB</t>
        </is>
      </c>
      <c r="B4685" s="6" t="n">
        <v>40</v>
      </c>
    </row>
    <row r="4686">
      <c r="A4686" t="inlineStr">
        <is>
          <t>CB</t>
        </is>
      </c>
      <c r="B4686" s="6" t="n">
        <v>26.5</v>
      </c>
    </row>
    <row r="4687">
      <c r="A4687" t="inlineStr">
        <is>
          <t>ESP</t>
        </is>
      </c>
      <c r="B4687" s="6" t="n">
        <v>12</v>
      </c>
    </row>
    <row r="4688">
      <c r="A4688" t="inlineStr">
        <is>
          <t>CB</t>
        </is>
      </c>
      <c r="B4688" s="6" t="n">
        <v>31.85</v>
      </c>
    </row>
    <row r="4689">
      <c r="A4689" t="inlineStr">
        <is>
          <t>CB</t>
        </is>
      </c>
      <c r="B4689" s="6" t="n">
        <v>73.90000000000001</v>
      </c>
    </row>
    <row r="4690">
      <c r="A4690" t="inlineStr">
        <is>
          <t>TR</t>
        </is>
      </c>
      <c r="B4690" s="6" t="n">
        <v>16</v>
      </c>
    </row>
    <row r="4691">
      <c r="A4691" t="inlineStr">
        <is>
          <t>CB</t>
        </is>
      </c>
      <c r="B4691" s="6" t="n">
        <v>47.7</v>
      </c>
    </row>
    <row r="4692">
      <c r="A4692" t="inlineStr">
        <is>
          <t>CB</t>
        </is>
      </c>
      <c r="B4692" s="6" t="n">
        <v>75.8</v>
      </c>
    </row>
    <row r="4693">
      <c r="A4693" t="inlineStr">
        <is>
          <t>CB</t>
        </is>
      </c>
      <c r="B4693" s="6" t="n">
        <v>76.90000000000001</v>
      </c>
    </row>
    <row r="4694">
      <c r="A4694" t="inlineStr">
        <is>
          <t>CB</t>
        </is>
      </c>
      <c r="B4694" s="6" t="n">
        <v>23.5</v>
      </c>
    </row>
    <row r="4695">
      <c r="A4695" t="inlineStr">
        <is>
          <t>CB</t>
        </is>
      </c>
      <c r="B4695" s="6" t="n">
        <v>93.7</v>
      </c>
    </row>
    <row r="4696">
      <c r="A4696" t="inlineStr">
        <is>
          <t>CB</t>
        </is>
      </c>
      <c r="B4696" s="6" t="n">
        <v>29.7</v>
      </c>
    </row>
    <row r="4697">
      <c r="A4697" t="inlineStr">
        <is>
          <t>CB</t>
        </is>
      </c>
      <c r="B4697" s="6" t="n">
        <v>31.7</v>
      </c>
    </row>
    <row r="4698">
      <c r="A4698" t="inlineStr">
        <is>
          <t>ESP</t>
        </is>
      </c>
      <c r="B4698" s="6" t="n">
        <v>24.2</v>
      </c>
    </row>
    <row r="4699">
      <c r="A4699" t="inlineStr">
        <is>
          <t>CB</t>
        </is>
      </c>
      <c r="B4699" s="6" t="n">
        <v>93.3</v>
      </c>
    </row>
    <row r="4700">
      <c r="A4700" t="inlineStr">
        <is>
          <t>CB</t>
        </is>
      </c>
      <c r="B4700" s="6" t="n">
        <v>43.85</v>
      </c>
    </row>
    <row r="4701">
      <c r="A4701" t="inlineStr">
        <is>
          <t>CB</t>
        </is>
      </c>
      <c r="B4701" s="6" t="n">
        <v>40</v>
      </c>
    </row>
    <row r="4702">
      <c r="A4702" t="inlineStr">
        <is>
          <t>TR</t>
        </is>
      </c>
      <c r="B4702" s="6" t="n">
        <v>56.88</v>
      </c>
    </row>
    <row r="4703">
      <c r="A4703" t="inlineStr">
        <is>
          <t>ESP</t>
        </is>
      </c>
      <c r="B4703" s="6" t="n">
        <v>1.82</v>
      </c>
    </row>
    <row r="4704">
      <c r="A4704" t="inlineStr">
        <is>
          <t>CB</t>
        </is>
      </c>
      <c r="B4704" s="6" t="n">
        <v>36.6</v>
      </c>
    </row>
    <row r="4705">
      <c r="A4705" t="inlineStr">
        <is>
          <t>CB</t>
        </is>
      </c>
      <c r="B4705" s="6" t="n">
        <v>65.59999999999999</v>
      </c>
    </row>
    <row r="4706">
      <c r="A4706" t="inlineStr">
        <is>
          <t>CB</t>
        </is>
      </c>
      <c r="B4706" s="6" t="n">
        <v>113.2</v>
      </c>
    </row>
    <row r="4707">
      <c r="A4707" t="inlineStr">
        <is>
          <t>CB</t>
        </is>
      </c>
      <c r="B4707" s="6" t="n">
        <v>39.5</v>
      </c>
    </row>
    <row r="4708">
      <c r="A4708" t="inlineStr">
        <is>
          <t>CB</t>
        </is>
      </c>
      <c r="B4708" s="6" t="n">
        <v>62.6</v>
      </c>
    </row>
    <row r="4709">
      <c r="A4709" t="inlineStr">
        <is>
          <t>CB</t>
        </is>
      </c>
      <c r="B4709" s="6" t="n">
        <v>62.6</v>
      </c>
    </row>
    <row r="4710">
      <c r="A4710" t="inlineStr">
        <is>
          <t>CB</t>
        </is>
      </c>
      <c r="B4710" s="6" t="n">
        <v>125.9</v>
      </c>
    </row>
    <row r="4711">
      <c r="A4711" t="inlineStr">
        <is>
          <t>CB</t>
        </is>
      </c>
      <c r="B4711" s="6" t="n">
        <v>59.6</v>
      </c>
    </row>
    <row r="4712">
      <c r="A4712" t="inlineStr">
        <is>
          <t>CB</t>
        </is>
      </c>
      <c r="B4712" s="6" t="n">
        <v>132</v>
      </c>
    </row>
    <row r="4713">
      <c r="A4713" t="inlineStr">
        <is>
          <t>CB</t>
        </is>
      </c>
      <c r="B4713" s="6" t="n">
        <v>127.4</v>
      </c>
    </row>
    <row r="4714">
      <c r="A4714" t="inlineStr">
        <is>
          <t>CB</t>
        </is>
      </c>
      <c r="B4714" s="6" t="n">
        <v>72.2</v>
      </c>
    </row>
    <row r="4715">
      <c r="A4715" t="inlineStr">
        <is>
          <t>TR</t>
        </is>
      </c>
      <c r="B4715" s="6" t="n">
        <v>72.52</v>
      </c>
    </row>
    <row r="4716">
      <c r="A4716" t="inlineStr">
        <is>
          <t>CB</t>
        </is>
      </c>
      <c r="B4716" s="6" t="n">
        <v>30.88</v>
      </c>
    </row>
    <row r="4717">
      <c r="A4717" t="inlineStr">
        <is>
          <t>CB</t>
        </is>
      </c>
      <c r="B4717" s="6" t="n">
        <v>29</v>
      </c>
    </row>
    <row r="4718">
      <c r="A4718" t="inlineStr">
        <is>
          <t>CB</t>
        </is>
      </c>
      <c r="B4718" s="6" t="n">
        <v>108.2</v>
      </c>
    </row>
    <row r="4719">
      <c r="A4719" t="inlineStr">
        <is>
          <t>TR</t>
        </is>
      </c>
      <c r="B4719" s="6" t="n">
        <v>22.5</v>
      </c>
    </row>
    <row r="4720">
      <c r="A4720" t="inlineStr">
        <is>
          <t>CB</t>
        </is>
      </c>
      <c r="B4720" s="6" t="n">
        <v>52.8</v>
      </c>
    </row>
    <row r="4721">
      <c r="A4721" t="inlineStr">
        <is>
          <t>CB</t>
        </is>
      </c>
      <c r="B4721" s="6" t="n">
        <v>115.3</v>
      </c>
    </row>
    <row r="4722">
      <c r="A4722" t="inlineStr">
        <is>
          <t>CB</t>
        </is>
      </c>
      <c r="B4722" s="6" t="n">
        <v>75.09999999999999</v>
      </c>
    </row>
    <row r="4723">
      <c r="A4723" t="inlineStr">
        <is>
          <t>CB</t>
        </is>
      </c>
      <c r="B4723" s="6" t="n">
        <v>93.7</v>
      </c>
    </row>
    <row r="4724">
      <c r="A4724" t="inlineStr">
        <is>
          <t>CB</t>
        </is>
      </c>
      <c r="B4724" s="6" t="n">
        <v>53</v>
      </c>
    </row>
    <row r="4725">
      <c r="A4725" t="inlineStr">
        <is>
          <t>CB</t>
        </is>
      </c>
      <c r="B4725" s="6" t="n">
        <v>22.27</v>
      </c>
    </row>
    <row r="4726">
      <c r="A4726" t="inlineStr">
        <is>
          <t>ESP</t>
        </is>
      </c>
      <c r="B4726" s="6" t="n">
        <v>22.3</v>
      </c>
    </row>
    <row r="4727">
      <c r="A4727" t="inlineStr">
        <is>
          <t>CB</t>
        </is>
      </c>
      <c r="B4727" s="6" t="n">
        <v>39.63</v>
      </c>
    </row>
    <row r="4728">
      <c r="A4728" t="inlineStr">
        <is>
          <t>CB</t>
        </is>
      </c>
      <c r="B4728" s="6" t="n">
        <v>61.5</v>
      </c>
    </row>
    <row r="4729">
      <c r="A4729" t="inlineStr">
        <is>
          <t>CB</t>
        </is>
      </c>
      <c r="B4729" s="6" t="n">
        <v>62.34</v>
      </c>
    </row>
    <row r="4730">
      <c r="A4730" t="inlineStr">
        <is>
          <t>CB</t>
        </is>
      </c>
      <c r="B4730" s="6" t="n">
        <v>42.5</v>
      </c>
    </row>
    <row r="4731">
      <c r="A4731" t="inlineStr">
        <is>
          <t>CB</t>
        </is>
      </c>
      <c r="B4731" s="6" t="n">
        <v>139</v>
      </c>
    </row>
    <row r="4732">
      <c r="A4732" t="inlineStr">
        <is>
          <t>CB</t>
        </is>
      </c>
      <c r="B4732" s="6" t="n">
        <v>84.90000000000001</v>
      </c>
    </row>
    <row r="4733">
      <c r="A4733" t="inlineStr">
        <is>
          <t>CHV</t>
        </is>
      </c>
      <c r="B4733" s="6" t="n">
        <v>30</v>
      </c>
    </row>
    <row r="4734">
      <c r="A4734" t="inlineStr">
        <is>
          <t>CB</t>
        </is>
      </c>
      <c r="B4734" s="6" t="n">
        <v>23.7</v>
      </c>
    </row>
    <row r="4735">
      <c r="A4735" t="inlineStr">
        <is>
          <t>CB</t>
        </is>
      </c>
      <c r="B4735" s="6" t="n">
        <v>48.9</v>
      </c>
    </row>
    <row r="4736">
      <c r="A4736" t="inlineStr">
        <is>
          <t>CB</t>
        </is>
      </c>
      <c r="B4736" s="6" t="n">
        <v>158.9</v>
      </c>
    </row>
    <row r="4737">
      <c r="A4737" t="inlineStr">
        <is>
          <t>CB</t>
        </is>
      </c>
      <c r="B4737" s="6" t="n">
        <v>135.1</v>
      </c>
    </row>
    <row r="4738">
      <c r="A4738" t="inlineStr">
        <is>
          <t>CB</t>
        </is>
      </c>
      <c r="B4738" s="6" t="n">
        <v>102.6</v>
      </c>
    </row>
    <row r="4739">
      <c r="A4739" t="inlineStr">
        <is>
          <t>CB</t>
        </is>
      </c>
      <c r="B4739" s="6" t="n">
        <v>65.94</v>
      </c>
    </row>
    <row r="4740">
      <c r="A4740" t="inlineStr">
        <is>
          <t>CB</t>
        </is>
      </c>
      <c r="B4740" s="6" t="n">
        <v>65.94</v>
      </c>
    </row>
    <row r="4741">
      <c r="A4741" t="inlineStr">
        <is>
          <t>CB</t>
        </is>
      </c>
      <c r="B4741" s="6" t="n">
        <v>65.92</v>
      </c>
    </row>
    <row r="4742">
      <c r="A4742" t="inlineStr">
        <is>
          <t>CB</t>
        </is>
      </c>
      <c r="B4742" s="6" t="n">
        <v>135.9</v>
      </c>
    </row>
    <row r="4743">
      <c r="A4743" t="inlineStr">
        <is>
          <t>CHV</t>
        </is>
      </c>
      <c r="B4743" s="6" t="n">
        <v>40</v>
      </c>
    </row>
    <row r="4744">
      <c r="A4744" t="inlineStr">
        <is>
          <t>CB</t>
        </is>
      </c>
      <c r="B4744" s="6" t="n">
        <v>28.6</v>
      </c>
    </row>
    <row r="4745">
      <c r="A4745" t="inlineStr">
        <is>
          <t>CB</t>
        </is>
      </c>
      <c r="B4745" s="6" t="n">
        <v>61.8</v>
      </c>
    </row>
    <row r="4746">
      <c r="A4746" t="inlineStr">
        <is>
          <t>CB</t>
        </is>
      </c>
      <c r="B4746" s="6" t="n">
        <v>124.7</v>
      </c>
    </row>
    <row r="4747">
      <c r="A4747" t="inlineStr">
        <is>
          <t>CB</t>
        </is>
      </c>
      <c r="B4747" s="6" t="n">
        <v>74.76000000000001</v>
      </c>
    </row>
    <row r="4748">
      <c r="A4748" t="inlineStr">
        <is>
          <t>CB</t>
        </is>
      </c>
      <c r="B4748" s="6" t="n">
        <v>49.84</v>
      </c>
    </row>
    <row r="4749">
      <c r="A4749" t="inlineStr">
        <is>
          <t>CB</t>
        </is>
      </c>
      <c r="B4749" s="6" t="n">
        <v>16.9</v>
      </c>
    </row>
    <row r="4750">
      <c r="A4750" t="inlineStr">
        <is>
          <t>CB</t>
        </is>
      </c>
      <c r="B4750" s="6" t="n">
        <v>19.8</v>
      </c>
    </row>
    <row r="4751">
      <c r="A4751" t="inlineStr">
        <is>
          <t>CB</t>
        </is>
      </c>
      <c r="B4751" s="6" t="n">
        <v>17.6</v>
      </c>
    </row>
    <row r="4752">
      <c r="A4752" t="inlineStr">
        <is>
          <t>CB</t>
        </is>
      </c>
      <c r="B4752" s="6" t="n">
        <v>38.4</v>
      </c>
    </row>
    <row r="4753">
      <c r="A4753" t="inlineStr">
        <is>
          <t>CB</t>
        </is>
      </c>
      <c r="B4753" s="6" t="n">
        <v>88</v>
      </c>
    </row>
    <row r="4754">
      <c r="A4754" t="inlineStr">
        <is>
          <t>CB</t>
        </is>
      </c>
      <c r="B4754" s="6" t="n">
        <v>69</v>
      </c>
    </row>
    <row r="4755">
      <c r="A4755" t="inlineStr">
        <is>
          <t>TR</t>
        </is>
      </c>
      <c r="B4755" s="6" t="n">
        <v>18.96</v>
      </c>
    </row>
    <row r="4756">
      <c r="A4756" t="inlineStr">
        <is>
          <t>CB</t>
        </is>
      </c>
      <c r="B4756" s="6" t="n">
        <v>7.34</v>
      </c>
    </row>
    <row r="4757">
      <c r="A4757" t="inlineStr">
        <is>
          <t>CB</t>
        </is>
      </c>
      <c r="B4757" s="6" t="n">
        <v>92.90000000000001</v>
      </c>
    </row>
    <row r="4758">
      <c r="A4758" t="inlineStr">
        <is>
          <t>CB</t>
        </is>
      </c>
      <c r="B4758" s="6" t="n">
        <v>115.8</v>
      </c>
    </row>
    <row r="4759">
      <c r="A4759" t="inlineStr">
        <is>
          <t>CB</t>
        </is>
      </c>
      <c r="B4759" s="6" t="n">
        <v>23.2</v>
      </c>
    </row>
    <row r="4760">
      <c r="A4760" t="inlineStr">
        <is>
          <t>CB</t>
        </is>
      </c>
      <c r="B4760" s="6" t="n">
        <v>40.3</v>
      </c>
    </row>
    <row r="4761">
      <c r="A4761" t="inlineStr">
        <is>
          <t>CB</t>
        </is>
      </c>
      <c r="B4761" s="6" t="n">
        <v>15.9</v>
      </c>
    </row>
    <row r="4762">
      <c r="A4762" t="inlineStr">
        <is>
          <t>CB</t>
        </is>
      </c>
      <c r="B4762" s="6" t="n">
        <v>55</v>
      </c>
    </row>
    <row r="4763">
      <c r="A4763" t="inlineStr">
        <is>
          <t>TR</t>
        </is>
      </c>
      <c r="B4763" s="6" t="n">
        <v>22</v>
      </c>
    </row>
    <row r="4764">
      <c r="A4764" t="inlineStr">
        <is>
          <t>CB</t>
        </is>
      </c>
      <c r="B4764" s="6" t="n">
        <v>17.6</v>
      </c>
    </row>
    <row r="4765">
      <c r="A4765" t="inlineStr">
        <is>
          <t>CB</t>
        </is>
      </c>
      <c r="B4765" s="6" t="n">
        <v>64.40000000000001</v>
      </c>
    </row>
    <row r="4766">
      <c r="A4766" t="inlineStr">
        <is>
          <t>CB</t>
        </is>
      </c>
      <c r="B4766" s="6" t="n">
        <v>54.5</v>
      </c>
    </row>
    <row r="4767">
      <c r="A4767" t="inlineStr">
        <is>
          <t>CB</t>
        </is>
      </c>
      <c r="B4767" s="6" t="n">
        <v>39</v>
      </c>
    </row>
    <row r="4768">
      <c r="A4768" t="inlineStr">
        <is>
          <t>CB</t>
        </is>
      </c>
      <c r="B4768" s="6" t="n">
        <v>28.5</v>
      </c>
    </row>
    <row r="4769">
      <c r="A4769" t="inlineStr">
        <is>
          <t>CB</t>
        </is>
      </c>
      <c r="B4769" s="6" t="n">
        <v>65.40000000000001</v>
      </c>
    </row>
    <row r="4770">
      <c r="A4770" t="inlineStr">
        <is>
          <t>CB</t>
        </is>
      </c>
      <c r="B4770" s="6" t="n">
        <v>59.5</v>
      </c>
    </row>
    <row r="4771">
      <c r="A4771" t="inlineStr">
        <is>
          <t>CB</t>
        </is>
      </c>
      <c r="B4771" s="6" t="n">
        <v>164.8</v>
      </c>
    </row>
    <row r="4772">
      <c r="A4772" t="inlineStr">
        <is>
          <t>CB</t>
        </is>
      </c>
      <c r="B4772" s="6" t="n">
        <v>96.90000000000001</v>
      </c>
    </row>
    <row r="4773">
      <c r="A4773" t="inlineStr">
        <is>
          <t>CB</t>
        </is>
      </c>
      <c r="B4773" s="6" t="n">
        <v>20.8</v>
      </c>
    </row>
    <row r="4774">
      <c r="A4774" t="inlineStr">
        <is>
          <t>CB</t>
        </is>
      </c>
      <c r="B4774" s="6" t="n">
        <v>38.9</v>
      </c>
    </row>
    <row r="4775">
      <c r="A4775" t="inlineStr">
        <is>
          <t>CHQ</t>
        </is>
      </c>
      <c r="B4775" s="6" t="n">
        <v>56.6</v>
      </c>
    </row>
    <row r="4776">
      <c r="A4776" t="inlineStr">
        <is>
          <t>CB</t>
        </is>
      </c>
      <c r="B4776" s="6" t="n">
        <v>88.40000000000001</v>
      </c>
    </row>
    <row r="4777">
      <c r="A4777" t="inlineStr">
        <is>
          <t>CB</t>
        </is>
      </c>
      <c r="B4777" s="6" t="n">
        <v>58.4</v>
      </c>
    </row>
    <row r="4778">
      <c r="A4778" t="inlineStr">
        <is>
          <t>CB</t>
        </is>
      </c>
      <c r="B4778" s="6" t="n">
        <v>59.2</v>
      </c>
    </row>
    <row r="4779">
      <c r="A4779" t="inlineStr">
        <is>
          <t>CB</t>
        </is>
      </c>
      <c r="B4779" s="6" t="n">
        <v>24</v>
      </c>
    </row>
    <row r="4780">
      <c r="A4780" t="inlineStr">
        <is>
          <t>CB</t>
        </is>
      </c>
      <c r="B4780" s="6" t="n">
        <v>24</v>
      </c>
    </row>
    <row r="4781">
      <c r="A4781" t="inlineStr">
        <is>
          <t>ESP</t>
        </is>
      </c>
      <c r="B4781" s="6" t="n">
        <v>22.1</v>
      </c>
    </row>
    <row r="4782">
      <c r="A4782" t="inlineStr">
        <is>
          <t>TR</t>
        </is>
      </c>
      <c r="B4782" s="6" t="n">
        <v>21</v>
      </c>
    </row>
    <row r="4783">
      <c r="A4783" t="inlineStr">
        <is>
          <t>CB</t>
        </is>
      </c>
      <c r="B4783" s="6" t="n">
        <v>77.7</v>
      </c>
    </row>
    <row r="4784">
      <c r="A4784" t="inlineStr">
        <is>
          <t>CB</t>
        </is>
      </c>
      <c r="B4784" s="6" t="n">
        <v>72.7</v>
      </c>
    </row>
    <row r="4785">
      <c r="A4785" t="inlineStr">
        <is>
          <t>CB</t>
        </is>
      </c>
      <c r="B4785" s="6" t="n">
        <v>16.5</v>
      </c>
    </row>
    <row r="4786">
      <c r="A4786" t="inlineStr">
        <is>
          <t>CB</t>
        </is>
      </c>
      <c r="B4786" s="6" t="n">
        <v>24.8</v>
      </c>
    </row>
    <row r="4787">
      <c r="A4787" t="inlineStr">
        <is>
          <t>CB</t>
        </is>
      </c>
      <c r="B4787" s="6" t="n">
        <v>122.7</v>
      </c>
    </row>
    <row r="4788">
      <c r="A4788" t="inlineStr">
        <is>
          <t>CB</t>
        </is>
      </c>
      <c r="B4788" s="6" t="n">
        <v>67.8</v>
      </c>
    </row>
    <row r="4789">
      <c r="A4789" t="inlineStr">
        <is>
          <t>CB</t>
        </is>
      </c>
      <c r="B4789" s="6" t="n">
        <v>46.86</v>
      </c>
    </row>
    <row r="4790">
      <c r="A4790" t="inlineStr">
        <is>
          <t>CB</t>
        </is>
      </c>
      <c r="B4790" s="6" t="n">
        <v>23.44</v>
      </c>
    </row>
    <row r="4791">
      <c r="A4791" t="inlineStr">
        <is>
          <t>CB</t>
        </is>
      </c>
      <c r="B4791" s="6" t="n">
        <v>44.8</v>
      </c>
    </row>
    <row r="4792">
      <c r="A4792" t="inlineStr">
        <is>
          <t>CB</t>
        </is>
      </c>
      <c r="B4792" s="6" t="n">
        <v>54.1</v>
      </c>
    </row>
    <row r="4793">
      <c r="A4793" t="inlineStr">
        <is>
          <t>CB</t>
        </is>
      </c>
      <c r="B4793" s="6" t="n">
        <v>26.9</v>
      </c>
    </row>
    <row r="4794">
      <c r="A4794" t="inlineStr">
        <is>
          <t>CB</t>
        </is>
      </c>
      <c r="B4794" s="6" t="n">
        <v>44.7</v>
      </c>
    </row>
    <row r="4795">
      <c r="A4795" t="inlineStr">
        <is>
          <t>CB</t>
        </is>
      </c>
      <c r="B4795" s="6" t="n">
        <v>17</v>
      </c>
    </row>
    <row r="4796">
      <c r="A4796" t="inlineStr">
        <is>
          <t>CB</t>
        </is>
      </c>
      <c r="B4796" s="6" t="n">
        <v>101.2</v>
      </c>
    </row>
    <row r="4797">
      <c r="A4797" t="inlineStr">
        <is>
          <t>CB</t>
        </is>
      </c>
      <c r="B4797" s="6" t="n">
        <v>71.40000000000001</v>
      </c>
    </row>
    <row r="4798">
      <c r="A4798" t="inlineStr">
        <is>
          <t>CB</t>
        </is>
      </c>
      <c r="B4798" s="6" t="n">
        <v>59.6</v>
      </c>
    </row>
    <row r="4799">
      <c r="A4799" t="inlineStr">
        <is>
          <t>CB</t>
        </is>
      </c>
      <c r="B4799" s="6" t="n">
        <v>186.3</v>
      </c>
    </row>
    <row r="4800">
      <c r="A4800" t="inlineStr">
        <is>
          <t>CB</t>
        </is>
      </c>
      <c r="B4800" s="6" t="n">
        <v>57.9</v>
      </c>
    </row>
    <row r="4801">
      <c r="A4801" t="inlineStr">
        <is>
          <t>CB</t>
        </is>
      </c>
      <c r="B4801" s="6" t="n">
        <v>62.9</v>
      </c>
    </row>
    <row r="4802">
      <c r="A4802" t="inlineStr">
        <is>
          <t>CHV</t>
        </is>
      </c>
      <c r="B4802" s="6" t="n">
        <v>95.5</v>
      </c>
    </row>
    <row r="4803">
      <c r="A4803" t="inlineStr">
        <is>
          <t>CB</t>
        </is>
      </c>
      <c r="B4803" s="6" t="n">
        <v>25.85</v>
      </c>
    </row>
    <row r="4804">
      <c r="A4804" t="inlineStr">
        <is>
          <t>CB</t>
        </is>
      </c>
      <c r="B4804" s="6" t="n">
        <v>49.9</v>
      </c>
    </row>
    <row r="4805">
      <c r="A4805" t="inlineStr">
        <is>
          <t>CB</t>
        </is>
      </c>
      <c r="B4805" s="6" t="n">
        <v>104.6</v>
      </c>
    </row>
    <row r="4806">
      <c r="A4806" t="inlineStr">
        <is>
          <t>CB</t>
        </is>
      </c>
      <c r="B4806" s="6" t="n">
        <v>72</v>
      </c>
    </row>
    <row r="4807">
      <c r="A4807" t="inlineStr">
        <is>
          <t>CB</t>
        </is>
      </c>
      <c r="B4807" s="6" t="n">
        <v>49.8</v>
      </c>
    </row>
    <row r="4808">
      <c r="A4808" t="inlineStr">
        <is>
          <t>CB</t>
        </is>
      </c>
      <c r="B4808" s="6" t="n">
        <v>79.59999999999999</v>
      </c>
    </row>
    <row r="4809">
      <c r="A4809" t="inlineStr">
        <is>
          <t>CB</t>
        </is>
      </c>
      <c r="B4809" s="6" t="n">
        <v>28.8</v>
      </c>
    </row>
    <row r="4810">
      <c r="A4810" t="inlineStr">
        <is>
          <t>CB</t>
        </is>
      </c>
      <c r="B4810" s="6" t="n">
        <v>50.7</v>
      </c>
    </row>
    <row r="4811">
      <c r="A4811" t="inlineStr">
        <is>
          <t>ESP</t>
        </is>
      </c>
      <c r="B4811" s="6" t="n">
        <v>113.1</v>
      </c>
    </row>
    <row r="4812">
      <c r="A4812" t="inlineStr">
        <is>
          <t>CB</t>
        </is>
      </c>
      <c r="B4812" s="6" t="n">
        <v>25</v>
      </c>
    </row>
    <row r="4813">
      <c r="A4813" t="inlineStr">
        <is>
          <t>CB</t>
        </is>
      </c>
      <c r="B4813" s="6" t="n">
        <v>33.5</v>
      </c>
    </row>
    <row r="4814">
      <c r="A4814" t="inlineStr">
        <is>
          <t>CB</t>
        </is>
      </c>
      <c r="B4814" s="6" t="n">
        <v>33.5</v>
      </c>
    </row>
    <row r="4815">
      <c r="A4815" t="inlineStr">
        <is>
          <t>CB</t>
        </is>
      </c>
      <c r="B4815" s="6" t="n">
        <v>24.9</v>
      </c>
    </row>
    <row r="4816">
      <c r="A4816" t="inlineStr">
        <is>
          <t>CB</t>
        </is>
      </c>
      <c r="B4816" s="6" t="n">
        <v>25.86</v>
      </c>
    </row>
    <row r="4817">
      <c r="A4817" t="inlineStr">
        <is>
          <t>CB</t>
        </is>
      </c>
      <c r="B4817" s="6" t="n">
        <v>26.09</v>
      </c>
    </row>
    <row r="4818">
      <c r="A4818" t="inlineStr">
        <is>
          <t>CB</t>
        </is>
      </c>
      <c r="B4818" s="6" t="n">
        <v>42.1</v>
      </c>
    </row>
    <row r="4819">
      <c r="A4819" t="inlineStr">
        <is>
          <t>CB</t>
        </is>
      </c>
      <c r="B4819" s="6" t="n">
        <v>54.5</v>
      </c>
    </row>
    <row r="4820">
      <c r="A4820" t="inlineStr">
        <is>
          <t>CB</t>
        </is>
      </c>
      <c r="B4820" s="6" t="n">
        <v>18.3</v>
      </c>
    </row>
    <row r="4821">
      <c r="A4821" t="inlineStr">
        <is>
          <t>CB</t>
        </is>
      </c>
      <c r="B4821" s="6" t="n">
        <v>94.90000000000001</v>
      </c>
    </row>
    <row r="4822">
      <c r="A4822" t="inlineStr">
        <is>
          <t>CHQ</t>
        </is>
      </c>
      <c r="B4822" s="6" t="n">
        <v>70</v>
      </c>
    </row>
    <row r="4823">
      <c r="A4823" t="inlineStr">
        <is>
          <t>CB</t>
        </is>
      </c>
      <c r="B4823" s="6" t="n">
        <v>10.5</v>
      </c>
    </row>
    <row r="4824">
      <c r="A4824" t="inlineStr">
        <is>
          <t>CB</t>
        </is>
      </c>
      <c r="B4824" s="6" t="n">
        <v>250.5</v>
      </c>
    </row>
    <row r="4825">
      <c r="A4825" t="inlineStr">
        <is>
          <t>CB</t>
        </is>
      </c>
      <c r="B4825" s="6" t="n">
        <v>87.5</v>
      </c>
    </row>
    <row r="4826">
      <c r="A4826" t="inlineStr">
        <is>
          <t>ESP</t>
        </is>
      </c>
      <c r="B4826" s="6" t="n">
        <v>4.99</v>
      </c>
    </row>
    <row r="4827">
      <c r="A4827" t="inlineStr">
        <is>
          <t>TR</t>
        </is>
      </c>
      <c r="B4827" s="6" t="n">
        <v>66.31</v>
      </c>
    </row>
    <row r="4828">
      <c r="A4828" t="inlineStr">
        <is>
          <t>CB</t>
        </is>
      </c>
      <c r="B4828" s="6" t="n">
        <v>60.6</v>
      </c>
    </row>
    <row r="4829">
      <c r="A4829" t="inlineStr">
        <is>
          <t>CB</t>
        </is>
      </c>
      <c r="B4829" s="6" t="n">
        <v>60.3</v>
      </c>
    </row>
    <row r="4830">
      <c r="A4830" t="inlineStr">
        <is>
          <t>CB</t>
        </is>
      </c>
      <c r="B4830" s="6" t="n">
        <v>20.6</v>
      </c>
    </row>
    <row r="4831">
      <c r="A4831" t="inlineStr">
        <is>
          <t>CB</t>
        </is>
      </c>
      <c r="B4831" s="6" t="n">
        <v>20.6</v>
      </c>
    </row>
    <row r="4832">
      <c r="A4832" t="inlineStr">
        <is>
          <t>CB</t>
        </is>
      </c>
      <c r="B4832" s="6" t="n">
        <v>20.6</v>
      </c>
    </row>
    <row r="4833">
      <c r="A4833" t="inlineStr">
        <is>
          <t>CB</t>
        </is>
      </c>
      <c r="B4833" s="6" t="n">
        <v>125.3</v>
      </c>
    </row>
    <row r="4834">
      <c r="A4834" t="inlineStr">
        <is>
          <t>CB</t>
        </is>
      </c>
      <c r="B4834" s="6" t="n">
        <v>56.6</v>
      </c>
    </row>
    <row r="4835">
      <c r="A4835" t="inlineStr">
        <is>
          <t>CB</t>
        </is>
      </c>
      <c r="B4835" s="6" t="n">
        <v>20.9</v>
      </c>
    </row>
    <row r="4836">
      <c r="A4836" t="inlineStr">
        <is>
          <t>CB</t>
        </is>
      </c>
      <c r="B4836" s="6" t="n">
        <v>57.2</v>
      </c>
    </row>
    <row r="4837">
      <c r="A4837" t="inlineStr">
        <is>
          <t>CB</t>
        </is>
      </c>
      <c r="B4837" s="6" t="n">
        <v>60.7</v>
      </c>
    </row>
    <row r="4838">
      <c r="A4838" t="inlineStr">
        <is>
          <t>CB</t>
        </is>
      </c>
      <c r="B4838" s="6" t="n">
        <v>151.3</v>
      </c>
    </row>
    <row r="4839">
      <c r="A4839" t="inlineStr">
        <is>
          <t>TR</t>
        </is>
      </c>
      <c r="B4839" s="6" t="n">
        <v>30</v>
      </c>
    </row>
    <row r="4840">
      <c r="A4840" t="inlineStr">
        <is>
          <t>CB</t>
        </is>
      </c>
      <c r="B4840" s="6" t="n">
        <v>7</v>
      </c>
    </row>
    <row r="4841">
      <c r="A4841" t="inlineStr">
        <is>
          <t>CB</t>
        </is>
      </c>
      <c r="B4841" s="6" t="n">
        <v>60.6</v>
      </c>
    </row>
    <row r="4842">
      <c r="A4842" t="inlineStr">
        <is>
          <t>CB</t>
        </is>
      </c>
      <c r="B4842" s="6" t="n">
        <v>66.90000000000001</v>
      </c>
    </row>
    <row r="4843">
      <c r="A4843" t="inlineStr">
        <is>
          <t>CB</t>
        </is>
      </c>
      <c r="B4843" s="6" t="n">
        <v>76.59999999999999</v>
      </c>
    </row>
    <row r="4844">
      <c r="A4844" t="inlineStr">
        <is>
          <t>CHV</t>
        </is>
      </c>
      <c r="B4844" s="6" t="n">
        <v>100</v>
      </c>
    </row>
    <row r="4845">
      <c r="A4845" t="inlineStr">
        <is>
          <t>CB</t>
        </is>
      </c>
      <c r="B4845" s="6" t="n">
        <v>68.09999999999999</v>
      </c>
    </row>
    <row r="4846">
      <c r="A4846" t="inlineStr">
        <is>
          <t>CB</t>
        </is>
      </c>
      <c r="B4846" s="6" t="n">
        <v>82.5</v>
      </c>
    </row>
    <row r="4847">
      <c r="A4847" t="inlineStr">
        <is>
          <t>CB</t>
        </is>
      </c>
      <c r="B4847" s="6" t="n">
        <v>20.9</v>
      </c>
    </row>
    <row r="4848">
      <c r="A4848" t="inlineStr">
        <is>
          <t>CB</t>
        </is>
      </c>
      <c r="B4848" s="6" t="n">
        <v>144.2</v>
      </c>
    </row>
    <row r="4849">
      <c r="A4849" t="inlineStr">
        <is>
          <t>CB</t>
        </is>
      </c>
      <c r="B4849" s="6" t="n">
        <v>27.1</v>
      </c>
    </row>
    <row r="4850">
      <c r="A4850" t="inlineStr">
        <is>
          <t>CB</t>
        </is>
      </c>
      <c r="B4850" s="6" t="n">
        <v>20.8</v>
      </c>
    </row>
    <row r="4851">
      <c r="A4851" t="inlineStr">
        <is>
          <t>CB</t>
        </is>
      </c>
      <c r="B4851" s="6" t="n">
        <v>108.2</v>
      </c>
    </row>
    <row r="4852">
      <c r="A4852" t="inlineStr">
        <is>
          <t>CB</t>
        </is>
      </c>
      <c r="B4852" s="6" t="n">
        <v>99</v>
      </c>
    </row>
    <row r="4853">
      <c r="A4853" t="inlineStr">
        <is>
          <t>CB</t>
        </is>
      </c>
      <c r="B4853" s="6" t="n">
        <v>60.4</v>
      </c>
    </row>
    <row r="4854">
      <c r="A4854" t="inlineStr">
        <is>
          <t>CB</t>
        </is>
      </c>
      <c r="B4854" s="6" t="n">
        <v>21.6</v>
      </c>
    </row>
    <row r="4855">
      <c r="A4855" t="inlineStr">
        <is>
          <t>CB</t>
        </is>
      </c>
      <c r="B4855" s="6" t="n">
        <v>83.5</v>
      </c>
    </row>
    <row r="4856">
      <c r="A4856" t="inlineStr">
        <is>
          <t>CB</t>
        </is>
      </c>
      <c r="B4856" s="6" t="n">
        <v>33.95</v>
      </c>
    </row>
    <row r="4857">
      <c r="A4857" t="inlineStr">
        <is>
          <t>CB</t>
        </is>
      </c>
      <c r="B4857" s="6" t="n">
        <v>172</v>
      </c>
    </row>
    <row r="4858">
      <c r="A4858" t="inlineStr">
        <is>
          <t>CB</t>
        </is>
      </c>
      <c r="B4858" s="6" t="n">
        <v>82</v>
      </c>
    </row>
    <row r="4859">
      <c r="A4859" t="inlineStr">
        <is>
          <t>CB</t>
        </is>
      </c>
      <c r="B4859" s="6" t="n">
        <v>66.8</v>
      </c>
    </row>
    <row r="4860">
      <c r="A4860" t="inlineStr">
        <is>
          <t>CB</t>
        </is>
      </c>
      <c r="B4860" s="6" t="n">
        <v>47.5</v>
      </c>
    </row>
    <row r="4861">
      <c r="A4861" t="inlineStr">
        <is>
          <t>CB</t>
        </is>
      </c>
      <c r="B4861" s="6" t="n">
        <v>189.8</v>
      </c>
    </row>
    <row r="4862">
      <c r="A4862" t="inlineStr">
        <is>
          <t>CB</t>
        </is>
      </c>
      <c r="B4862" s="6" t="n">
        <v>72.8</v>
      </c>
    </row>
    <row r="4863">
      <c r="A4863" t="inlineStr">
        <is>
          <t>CB</t>
        </is>
      </c>
      <c r="B4863" s="6" t="n">
        <v>60.1</v>
      </c>
    </row>
    <row r="4864">
      <c r="A4864" t="inlineStr">
        <is>
          <t>CB</t>
        </is>
      </c>
      <c r="B4864" s="6" t="n">
        <v>33.95</v>
      </c>
    </row>
    <row r="4865">
      <c r="A4865" t="inlineStr">
        <is>
          <t>CB</t>
        </is>
      </c>
      <c r="B4865" s="6" t="n">
        <v>104.9</v>
      </c>
    </row>
    <row r="4866">
      <c r="A4866" t="inlineStr">
        <is>
          <t>ESP</t>
        </is>
      </c>
      <c r="B4866" s="6" t="n">
        <v>118.7</v>
      </c>
    </row>
    <row r="4867">
      <c r="A4867" t="inlineStr">
        <is>
          <t>CB</t>
        </is>
      </c>
      <c r="B4867" s="6" t="n">
        <v>26.35</v>
      </c>
    </row>
    <row r="4868">
      <c r="A4868" t="inlineStr">
        <is>
          <t>CB</t>
        </is>
      </c>
      <c r="B4868" s="6" t="n">
        <v>87</v>
      </c>
    </row>
    <row r="4869">
      <c r="A4869" t="inlineStr">
        <is>
          <t>CB</t>
        </is>
      </c>
      <c r="B4869" s="6" t="n">
        <v>146.9</v>
      </c>
    </row>
    <row r="4870">
      <c r="A4870" t="inlineStr">
        <is>
          <t>CB</t>
        </is>
      </c>
      <c r="B4870" s="6" t="n">
        <v>68.8</v>
      </c>
    </row>
    <row r="4871">
      <c r="A4871" t="inlineStr">
        <is>
          <t>CHQ</t>
        </is>
      </c>
      <c r="B4871" s="6" t="n">
        <v>44.1</v>
      </c>
    </row>
    <row r="4872">
      <c r="A4872" t="inlineStr">
        <is>
          <t>CB</t>
        </is>
      </c>
      <c r="B4872" s="6" t="n">
        <v>61.9</v>
      </c>
    </row>
    <row r="4873">
      <c r="A4873" t="inlineStr">
        <is>
          <t>CB</t>
        </is>
      </c>
      <c r="B4873" s="6" t="n">
        <v>87.59999999999999</v>
      </c>
    </row>
    <row r="4874">
      <c r="A4874" t="inlineStr">
        <is>
          <t>TR</t>
        </is>
      </c>
      <c r="B4874" s="6" t="n">
        <v>54</v>
      </c>
    </row>
    <row r="4875">
      <c r="A4875" t="inlineStr">
        <is>
          <t>CB</t>
        </is>
      </c>
      <c r="B4875" s="6" t="n">
        <v>23.1</v>
      </c>
    </row>
    <row r="4876">
      <c r="A4876" t="inlineStr">
        <is>
          <t>CB</t>
        </is>
      </c>
      <c r="B4876" s="6" t="n">
        <v>26.35</v>
      </c>
    </row>
    <row r="4877">
      <c r="A4877" t="inlineStr">
        <is>
          <t>CB</t>
        </is>
      </c>
      <c r="B4877" s="6" t="n">
        <v>87.2</v>
      </c>
    </row>
    <row r="4878">
      <c r="A4878" t="inlineStr">
        <is>
          <t>CB</t>
        </is>
      </c>
      <c r="B4878" s="6" t="n">
        <v>79.5</v>
      </c>
    </row>
    <row r="4879">
      <c r="A4879" t="inlineStr">
        <is>
          <t>CB</t>
        </is>
      </c>
      <c r="B4879" s="6" t="n">
        <v>156.1</v>
      </c>
    </row>
    <row r="4880">
      <c r="A4880" t="inlineStr">
        <is>
          <t>CB</t>
        </is>
      </c>
      <c r="B4880" s="6" t="n">
        <v>68</v>
      </c>
    </row>
    <row r="4881">
      <c r="A4881" t="inlineStr">
        <is>
          <t>CB</t>
        </is>
      </c>
      <c r="B4881" s="6" t="n">
        <v>55.3</v>
      </c>
    </row>
    <row r="4882">
      <c r="A4882" t="inlineStr">
        <is>
          <t>CB</t>
        </is>
      </c>
      <c r="B4882" s="6" t="n">
        <v>24.05</v>
      </c>
    </row>
    <row r="4883">
      <c r="A4883" t="inlineStr">
        <is>
          <t>CB</t>
        </is>
      </c>
      <c r="B4883" s="6" t="n">
        <v>24.05</v>
      </c>
    </row>
    <row r="4884">
      <c r="A4884" t="inlineStr">
        <is>
          <t>CB</t>
        </is>
      </c>
      <c r="B4884" s="6" t="n">
        <v>45.1</v>
      </c>
    </row>
    <row r="4885">
      <c r="A4885" t="inlineStr">
        <is>
          <t>CB</t>
        </is>
      </c>
      <c r="B4885" s="6" t="n">
        <v>52.7</v>
      </c>
    </row>
    <row r="4886">
      <c r="A4886" t="inlineStr">
        <is>
          <t>CB</t>
        </is>
      </c>
      <c r="B4886" s="6" t="n">
        <v>56.5</v>
      </c>
    </row>
    <row r="4887">
      <c r="A4887" t="inlineStr">
        <is>
          <t>CB</t>
        </is>
      </c>
      <c r="B4887" s="6" t="n">
        <v>49.3</v>
      </c>
    </row>
    <row r="4888">
      <c r="A4888" t="inlineStr">
        <is>
          <t>CB</t>
        </is>
      </c>
      <c r="B4888" s="6" t="n">
        <v>38.9</v>
      </c>
    </row>
    <row r="4889">
      <c r="A4889" t="inlineStr">
        <is>
          <t>CB</t>
        </is>
      </c>
      <c r="B4889" s="6" t="n">
        <v>68.59999999999999</v>
      </c>
    </row>
    <row r="4890">
      <c r="A4890" t="inlineStr">
        <is>
          <t>CB</t>
        </is>
      </c>
      <c r="B4890" s="6" t="n">
        <v>153.5</v>
      </c>
    </row>
    <row r="4891">
      <c r="A4891" t="inlineStr">
        <is>
          <t>CB</t>
        </is>
      </c>
      <c r="B4891" s="6" t="n">
        <v>164</v>
      </c>
    </row>
    <row r="4892">
      <c r="A4892" t="inlineStr">
        <is>
          <t>CB</t>
        </is>
      </c>
      <c r="B4892" s="6" t="n">
        <v>30.5</v>
      </c>
    </row>
    <row r="4893">
      <c r="A4893" t="inlineStr">
        <is>
          <t>CB</t>
        </is>
      </c>
      <c r="B4893" s="6" t="n">
        <v>78.3</v>
      </c>
    </row>
    <row r="4894">
      <c r="A4894" t="inlineStr">
        <is>
          <t>CB</t>
        </is>
      </c>
      <c r="B4894" s="6" t="n">
        <v>22.2</v>
      </c>
    </row>
    <row r="4895">
      <c r="A4895" t="inlineStr">
        <is>
          <t>CB</t>
        </is>
      </c>
      <c r="B4895" s="6" t="n">
        <v>23.8</v>
      </c>
    </row>
    <row r="4896">
      <c r="A4896" t="inlineStr">
        <is>
          <t>CB</t>
        </is>
      </c>
      <c r="B4896" s="6" t="n">
        <v>72.5</v>
      </c>
    </row>
    <row r="4897">
      <c r="A4897" t="inlineStr">
        <is>
          <t>CB</t>
        </is>
      </c>
      <c r="B4897" s="6" t="n">
        <v>94</v>
      </c>
    </row>
    <row r="4898">
      <c r="A4898" t="inlineStr">
        <is>
          <t>CB</t>
        </is>
      </c>
      <c r="B4898" s="6" t="n">
        <v>31.6</v>
      </c>
    </row>
    <row r="4899">
      <c r="A4899" t="inlineStr">
        <is>
          <t>CB</t>
        </is>
      </c>
      <c r="B4899" s="6" t="n">
        <v>50.5</v>
      </c>
    </row>
    <row r="4900">
      <c r="A4900" t="inlineStr">
        <is>
          <t>CB</t>
        </is>
      </c>
      <c r="B4900" s="6" t="n">
        <v>19</v>
      </c>
    </row>
    <row r="4901">
      <c r="A4901" t="inlineStr">
        <is>
          <t>CB</t>
        </is>
      </c>
      <c r="B4901" s="6" t="n">
        <v>31.6</v>
      </c>
    </row>
    <row r="4902">
      <c r="A4902" t="inlineStr">
        <is>
          <t>CB</t>
        </is>
      </c>
      <c r="B4902" s="6" t="n">
        <v>66.5</v>
      </c>
    </row>
    <row r="4903">
      <c r="A4903" t="inlineStr">
        <is>
          <t>CB</t>
        </is>
      </c>
      <c r="B4903" s="6" t="n">
        <v>69.09999999999999</v>
      </c>
    </row>
    <row r="4904">
      <c r="A4904" t="inlineStr">
        <is>
          <t>CB</t>
        </is>
      </c>
      <c r="B4904" s="6" t="n">
        <v>105.6</v>
      </c>
    </row>
    <row r="4905">
      <c r="A4905" t="inlineStr">
        <is>
          <t>CB</t>
        </is>
      </c>
      <c r="B4905" s="6" t="n">
        <v>30.3</v>
      </c>
    </row>
    <row r="4906">
      <c r="A4906" t="inlineStr">
        <is>
          <t>CB</t>
        </is>
      </c>
      <c r="B4906" s="6" t="n">
        <v>68.7</v>
      </c>
    </row>
    <row r="4907">
      <c r="A4907" t="inlineStr">
        <is>
          <t>CB</t>
        </is>
      </c>
      <c r="B4907" s="6" t="n">
        <v>117.1</v>
      </c>
    </row>
    <row r="4908">
      <c r="A4908" t="inlineStr">
        <is>
          <t>CB</t>
        </is>
      </c>
      <c r="B4908" s="6" t="n">
        <v>67.09999999999999</v>
      </c>
    </row>
    <row r="4909">
      <c r="A4909" t="inlineStr">
        <is>
          <t>CB</t>
        </is>
      </c>
      <c r="B4909" s="6" t="n">
        <v>93.59999999999999</v>
      </c>
    </row>
    <row r="4910">
      <c r="A4910" t="inlineStr">
        <is>
          <t>CB</t>
        </is>
      </c>
      <c r="B4910" s="6" t="n">
        <v>31.7</v>
      </c>
    </row>
    <row r="4911">
      <c r="A4911" t="inlineStr">
        <is>
          <t>CB</t>
        </is>
      </c>
      <c r="B4911" s="6" t="n">
        <v>43.5</v>
      </c>
    </row>
    <row r="4912">
      <c r="A4912" t="inlineStr">
        <is>
          <t>CB</t>
        </is>
      </c>
      <c r="B4912" s="6" t="n">
        <v>39.2</v>
      </c>
    </row>
    <row r="4913">
      <c r="A4913" t="inlineStr">
        <is>
          <t>CB</t>
        </is>
      </c>
      <c r="B4913" s="6" t="n">
        <v>26.1</v>
      </c>
    </row>
    <row r="4914">
      <c r="A4914" t="inlineStr">
        <is>
          <t>CB</t>
        </is>
      </c>
      <c r="B4914" s="6" t="n">
        <v>20.9</v>
      </c>
    </row>
    <row r="4915">
      <c r="A4915" t="inlineStr">
        <is>
          <t>CB</t>
        </is>
      </c>
      <c r="B4915" s="6" t="n">
        <v>62.2</v>
      </c>
    </row>
    <row r="4916">
      <c r="A4916" t="inlineStr">
        <is>
          <t>CB</t>
        </is>
      </c>
      <c r="B4916" s="6" t="n">
        <v>76.5</v>
      </c>
    </row>
    <row r="4917">
      <c r="A4917" t="inlineStr">
        <is>
          <t>CB</t>
        </is>
      </c>
      <c r="B4917" s="6" t="n">
        <v>60.4</v>
      </c>
    </row>
    <row r="4918">
      <c r="A4918" t="inlineStr">
        <is>
          <t>CB</t>
        </is>
      </c>
      <c r="B4918" s="6" t="n">
        <v>47.4</v>
      </c>
    </row>
    <row r="4919">
      <c r="A4919" t="inlineStr">
        <is>
          <t>CB</t>
        </is>
      </c>
      <c r="B4919" s="6" t="n">
        <v>13.4</v>
      </c>
    </row>
    <row r="4920">
      <c r="A4920" t="inlineStr">
        <is>
          <t>CB</t>
        </is>
      </c>
      <c r="B4920" s="6" t="n">
        <v>94.59999999999999</v>
      </c>
    </row>
    <row r="4921">
      <c r="A4921" t="inlineStr">
        <is>
          <t>CB</t>
        </is>
      </c>
      <c r="B4921" s="6" t="n">
        <v>93.2</v>
      </c>
    </row>
    <row r="4922">
      <c r="A4922" t="inlineStr">
        <is>
          <t>CB</t>
        </is>
      </c>
      <c r="B4922" s="6" t="n">
        <v>65.59999999999999</v>
      </c>
    </row>
    <row r="4923">
      <c r="A4923" t="inlineStr">
        <is>
          <t>CB</t>
        </is>
      </c>
      <c r="B4923" s="6" t="n">
        <v>59.7</v>
      </c>
    </row>
    <row r="4924">
      <c r="A4924" t="inlineStr">
        <is>
          <t>CB</t>
        </is>
      </c>
      <c r="B4924" s="6" t="n">
        <v>39.5</v>
      </c>
    </row>
    <row r="4925">
      <c r="A4925" t="inlineStr">
        <is>
          <t>CB</t>
        </is>
      </c>
      <c r="B4925" s="6" t="n">
        <v>103.3</v>
      </c>
    </row>
    <row r="4926">
      <c r="A4926" t="inlineStr">
        <is>
          <t>CB</t>
        </is>
      </c>
      <c r="B4926" s="6" t="n">
        <v>76.5</v>
      </c>
    </row>
    <row r="4927">
      <c r="A4927" t="inlineStr">
        <is>
          <t>CB</t>
        </is>
      </c>
      <c r="B4927" s="6" t="n">
        <v>87.5</v>
      </c>
    </row>
    <row r="4928">
      <c r="A4928" t="inlineStr">
        <is>
          <t>CB</t>
        </is>
      </c>
      <c r="B4928" s="6" t="n">
        <v>67.5</v>
      </c>
    </row>
    <row r="4929">
      <c r="A4929" t="inlineStr">
        <is>
          <t>CB</t>
        </is>
      </c>
      <c r="B4929" s="6" t="n">
        <v>82.59999999999999</v>
      </c>
    </row>
    <row r="4930">
      <c r="A4930" t="inlineStr">
        <is>
          <t>CB</t>
        </is>
      </c>
      <c r="B4930" s="6" t="n">
        <v>82.59999999999999</v>
      </c>
    </row>
    <row r="4931">
      <c r="A4931" t="inlineStr">
        <is>
          <t>CB</t>
        </is>
      </c>
      <c r="B4931" s="6" t="n">
        <v>102.9</v>
      </c>
    </row>
    <row r="4932">
      <c r="A4932" t="inlineStr">
        <is>
          <t>CB</t>
        </is>
      </c>
      <c r="B4932" s="6" t="n">
        <v>132.6</v>
      </c>
    </row>
    <row r="4933">
      <c r="A4933" t="inlineStr">
        <is>
          <t>CB</t>
        </is>
      </c>
      <c r="B4933" s="6" t="n">
        <v>59.6</v>
      </c>
    </row>
    <row r="4934">
      <c r="A4934" t="inlineStr">
        <is>
          <t>CB</t>
        </is>
      </c>
      <c r="B4934" s="6" t="n">
        <v>75.7</v>
      </c>
    </row>
    <row r="4935">
      <c r="A4935" t="inlineStr">
        <is>
          <t>CB</t>
        </is>
      </c>
      <c r="B4935" s="6" t="n">
        <v>29.7</v>
      </c>
    </row>
    <row r="4936">
      <c r="A4936" t="inlineStr">
        <is>
          <t>CB</t>
        </is>
      </c>
      <c r="B4936" s="6" t="n">
        <v>133.1</v>
      </c>
    </row>
    <row r="4937">
      <c r="A4937" t="inlineStr">
        <is>
          <t>CB</t>
        </is>
      </c>
      <c r="B4937" s="6" t="n">
        <v>219.7</v>
      </c>
    </row>
    <row r="4938">
      <c r="A4938" t="inlineStr">
        <is>
          <t>CB</t>
        </is>
      </c>
      <c r="B4938" s="6" t="n">
        <v>101</v>
      </c>
    </row>
    <row r="4939">
      <c r="A4939" t="inlineStr">
        <is>
          <t>CB</t>
        </is>
      </c>
      <c r="B4939" s="6" t="n">
        <v>44.7</v>
      </c>
    </row>
    <row r="4940">
      <c r="A4940" t="inlineStr">
        <is>
          <t>CB</t>
        </is>
      </c>
      <c r="B4940" s="6" t="n">
        <v>133.1</v>
      </c>
    </row>
    <row r="4941">
      <c r="A4941" t="inlineStr">
        <is>
          <t>CB</t>
        </is>
      </c>
      <c r="B4941" s="6" t="n">
        <v>66.59999999999999</v>
      </c>
    </row>
    <row r="4942">
      <c r="A4942" t="inlineStr">
        <is>
          <t>CB</t>
        </is>
      </c>
      <c r="B4942" s="6" t="n">
        <v>134.1</v>
      </c>
    </row>
    <row r="4943">
      <c r="A4943" t="inlineStr">
        <is>
          <t>CB</t>
        </is>
      </c>
      <c r="B4943" s="6" t="n">
        <v>76.3</v>
      </c>
    </row>
    <row r="4944">
      <c r="A4944" t="inlineStr">
        <is>
          <t>CB</t>
        </is>
      </c>
      <c r="B4944" s="6" t="n">
        <v>97.59999999999999</v>
      </c>
    </row>
    <row r="4945">
      <c r="A4945" t="inlineStr">
        <is>
          <t>CB</t>
        </is>
      </c>
      <c r="B4945" s="6" t="n">
        <v>46.8</v>
      </c>
    </row>
    <row r="4946">
      <c r="A4946" t="inlineStr">
        <is>
          <t>CB</t>
        </is>
      </c>
      <c r="B4946" s="6" t="n">
        <v>84.40000000000001</v>
      </c>
    </row>
    <row r="4947">
      <c r="A4947" t="inlineStr">
        <is>
          <t>CB</t>
        </is>
      </c>
      <c r="B4947" s="6" t="n">
        <v>83.09999999999999</v>
      </c>
    </row>
    <row r="4948">
      <c r="A4948" t="inlineStr">
        <is>
          <t>CB</t>
        </is>
      </c>
      <c r="B4948" s="6" t="n">
        <v>68.59999999999999</v>
      </c>
    </row>
    <row r="4949">
      <c r="A4949" t="inlineStr">
        <is>
          <t>CB</t>
        </is>
      </c>
      <c r="B4949" s="6" t="n">
        <v>81.90000000000001</v>
      </c>
    </row>
    <row r="4950">
      <c r="A4950" t="inlineStr">
        <is>
          <t>CB</t>
        </is>
      </c>
      <c r="B4950" s="6" t="n">
        <v>96</v>
      </c>
    </row>
    <row r="4951">
      <c r="A4951" t="inlineStr">
        <is>
          <t>CB</t>
        </is>
      </c>
      <c r="B4951" s="6" t="n">
        <v>119.9</v>
      </c>
    </row>
    <row r="4952">
      <c r="A4952" t="inlineStr">
        <is>
          <t>CB</t>
        </is>
      </c>
      <c r="B4952" s="6" t="n">
        <v>59.8</v>
      </c>
    </row>
    <row r="4953">
      <c r="A4953" t="inlineStr">
        <is>
          <t>CB</t>
        </is>
      </c>
      <c r="B4953" s="6" t="n">
        <v>69.09999999999999</v>
      </c>
    </row>
    <row r="4954">
      <c r="A4954" t="inlineStr">
        <is>
          <t>CB</t>
        </is>
      </c>
      <c r="B4954" s="6" t="n">
        <v>122.7</v>
      </c>
    </row>
    <row r="4955">
      <c r="A4955" t="inlineStr">
        <is>
          <t>CB</t>
        </is>
      </c>
      <c r="B4955" s="6" t="n">
        <v>49.4</v>
      </c>
    </row>
    <row r="4956">
      <c r="A4956" t="inlineStr">
        <is>
          <t>CB</t>
        </is>
      </c>
      <c r="B4956" s="6" t="n">
        <v>82.09999999999999</v>
      </c>
    </row>
    <row r="4957">
      <c r="A4957" t="inlineStr">
        <is>
          <t>CB</t>
        </is>
      </c>
      <c r="B4957" s="6" t="n">
        <v>59.8</v>
      </c>
    </row>
    <row r="4958">
      <c r="A4958" t="inlineStr">
        <is>
          <t>CB</t>
        </is>
      </c>
      <c r="B4958" s="6" t="n">
        <v>13</v>
      </c>
    </row>
    <row r="4959">
      <c r="A4959" t="inlineStr">
        <is>
          <t>CB</t>
        </is>
      </c>
      <c r="B4959" s="6" t="n">
        <v>26.55</v>
      </c>
    </row>
    <row r="4960">
      <c r="A4960" t="inlineStr">
        <is>
          <t>CB</t>
        </is>
      </c>
      <c r="B4960" s="6" t="n">
        <v>26.55</v>
      </c>
    </row>
    <row r="4961">
      <c r="A4961" t="inlineStr">
        <is>
          <t>CB</t>
        </is>
      </c>
      <c r="B4961" s="6" t="n">
        <v>26.55</v>
      </c>
    </row>
    <row r="4962">
      <c r="A4962" t="inlineStr">
        <is>
          <t>CB</t>
        </is>
      </c>
      <c r="B4962" s="6" t="n">
        <v>26.55</v>
      </c>
    </row>
    <row r="4963">
      <c r="A4963" t="inlineStr">
        <is>
          <t>CB</t>
        </is>
      </c>
      <c r="B4963" s="6" t="n">
        <v>135.4</v>
      </c>
    </row>
    <row r="4964">
      <c r="A4964" t="inlineStr">
        <is>
          <t>CB</t>
        </is>
      </c>
      <c r="B4964" s="6" t="n">
        <v>58.45</v>
      </c>
    </row>
    <row r="4965">
      <c r="A4965" t="inlineStr">
        <is>
          <t>CB</t>
        </is>
      </c>
      <c r="B4965" s="6" t="n">
        <v>113.8</v>
      </c>
    </row>
    <row r="4966">
      <c r="A4966" t="inlineStr">
        <is>
          <t>CB</t>
        </is>
      </c>
      <c r="B4966" s="6" t="n">
        <v>35.3</v>
      </c>
    </row>
    <row r="4967">
      <c r="A4967" t="inlineStr">
        <is>
          <t>CB</t>
        </is>
      </c>
      <c r="B4967" s="6" t="n">
        <v>70.5</v>
      </c>
    </row>
    <row r="4968">
      <c r="A4968" t="inlineStr">
        <is>
          <t>CB</t>
        </is>
      </c>
      <c r="B4968" s="6" t="n">
        <v>28.5</v>
      </c>
    </row>
    <row r="4969">
      <c r="A4969" t="inlineStr">
        <is>
          <t>CB</t>
        </is>
      </c>
      <c r="B4969" s="6" t="n">
        <v>58.45</v>
      </c>
    </row>
    <row r="4970">
      <c r="A4970" t="inlineStr">
        <is>
          <t>CB</t>
        </is>
      </c>
      <c r="B4970" s="6" t="n">
        <v>70.09999999999999</v>
      </c>
    </row>
    <row r="4971">
      <c r="A4971" t="inlineStr">
        <is>
          <t>CB</t>
        </is>
      </c>
      <c r="B4971" s="6" t="n">
        <v>86.40000000000001</v>
      </c>
    </row>
    <row r="4972">
      <c r="A4972" t="inlineStr">
        <is>
          <t>CB</t>
        </is>
      </c>
      <c r="B4972" s="6" t="n">
        <v>43.5</v>
      </c>
    </row>
    <row r="4973">
      <c r="A4973" t="inlineStr">
        <is>
          <t>CB</t>
        </is>
      </c>
      <c r="B4973" s="6" t="n">
        <v>43.1</v>
      </c>
    </row>
    <row r="4974">
      <c r="A4974" t="inlineStr">
        <is>
          <t>CB</t>
        </is>
      </c>
      <c r="B4974" s="6" t="n">
        <v>93.5</v>
      </c>
    </row>
    <row r="4975">
      <c r="A4975" t="inlineStr">
        <is>
          <t>CB</t>
        </is>
      </c>
      <c r="B4975" s="6" t="n">
        <v>63.5</v>
      </c>
    </row>
    <row r="4976">
      <c r="A4976" t="inlineStr">
        <is>
          <t>CB</t>
        </is>
      </c>
      <c r="B4976" s="6" t="n">
        <v>18.7</v>
      </c>
    </row>
    <row r="4977">
      <c r="A4977" t="inlineStr">
        <is>
          <t>CB</t>
        </is>
      </c>
      <c r="B4977" s="6" t="n">
        <v>83.40000000000001</v>
      </c>
    </row>
    <row r="4978">
      <c r="A4978" t="inlineStr">
        <is>
          <t>CB</t>
        </is>
      </c>
      <c r="B4978" s="6" t="n">
        <v>42.7</v>
      </c>
    </row>
    <row r="4979">
      <c r="A4979" t="inlineStr">
        <is>
          <t>CB</t>
        </is>
      </c>
      <c r="B4979" s="6" t="n">
        <v>22.85</v>
      </c>
    </row>
    <row r="4980">
      <c r="A4980" t="inlineStr">
        <is>
          <t>CB</t>
        </is>
      </c>
      <c r="B4980" s="6" t="n">
        <v>63.7</v>
      </c>
    </row>
    <row r="4981">
      <c r="A4981" t="inlineStr">
        <is>
          <t>CB</t>
        </is>
      </c>
      <c r="B4981" s="6" t="n">
        <v>37.5</v>
      </c>
    </row>
    <row r="4982">
      <c r="A4982" t="inlineStr">
        <is>
          <t>CB</t>
        </is>
      </c>
      <c r="B4982" s="6" t="n">
        <v>23.1</v>
      </c>
    </row>
    <row r="4983">
      <c r="A4983" t="inlineStr">
        <is>
          <t>CB</t>
        </is>
      </c>
      <c r="B4983" s="6" t="n">
        <v>134.8</v>
      </c>
    </row>
    <row r="4984">
      <c r="A4984" t="inlineStr">
        <is>
          <t>CB</t>
        </is>
      </c>
      <c r="B4984" s="6" t="n">
        <v>24.4</v>
      </c>
    </row>
    <row r="4985">
      <c r="A4985" t="inlineStr">
        <is>
          <t>CB</t>
        </is>
      </c>
      <c r="B4985" s="6" t="n">
        <v>26.7</v>
      </c>
    </row>
    <row r="4986">
      <c r="A4986" t="inlineStr">
        <is>
          <t>CB</t>
        </is>
      </c>
      <c r="B4986" s="6" t="n">
        <v>33.2</v>
      </c>
    </row>
    <row r="4987">
      <c r="A4987" t="inlineStr">
        <is>
          <t>CB</t>
        </is>
      </c>
      <c r="B4987" s="6" t="n">
        <v>18.9</v>
      </c>
    </row>
    <row r="4988">
      <c r="A4988" t="inlineStr">
        <is>
          <t>CB</t>
        </is>
      </c>
      <c r="B4988" s="6" t="n">
        <v>16.5</v>
      </c>
    </row>
    <row r="4989">
      <c r="A4989" t="inlineStr">
        <is>
          <t>CB</t>
        </is>
      </c>
      <c r="B4989" s="6" t="n">
        <v>17</v>
      </c>
    </row>
    <row r="4990">
      <c r="A4990" t="inlineStr">
        <is>
          <t>CB</t>
        </is>
      </c>
      <c r="B4990" s="6" t="n">
        <v>22.85</v>
      </c>
    </row>
    <row r="4991">
      <c r="A4991" t="inlineStr">
        <is>
          <t>CB</t>
        </is>
      </c>
      <c r="B4991" s="6" t="n">
        <v>61.1</v>
      </c>
    </row>
    <row r="4992">
      <c r="A4992" t="inlineStr">
        <is>
          <t>TR</t>
        </is>
      </c>
      <c r="B4992" s="6" t="n">
        <v>9.48</v>
      </c>
    </row>
    <row r="4993">
      <c r="A4993" t="inlineStr">
        <is>
          <t>TR</t>
        </is>
      </c>
      <c r="B4993" s="6" t="n">
        <v>9.48</v>
      </c>
    </row>
    <row r="4994">
      <c r="A4994" t="inlineStr">
        <is>
          <t>TR</t>
        </is>
      </c>
      <c r="B4994" s="6" t="n">
        <v>9.48</v>
      </c>
    </row>
    <row r="4995">
      <c r="A4995" t="inlineStr">
        <is>
          <t>CB</t>
        </is>
      </c>
      <c r="B4995" s="6" t="n">
        <v>40.76</v>
      </c>
    </row>
    <row r="4996">
      <c r="A4996" t="inlineStr">
        <is>
          <t>CB</t>
        </is>
      </c>
      <c r="B4996" s="6" t="n">
        <v>67.2</v>
      </c>
    </row>
    <row r="4997">
      <c r="A4997" t="inlineStr">
        <is>
          <t>CB</t>
        </is>
      </c>
      <c r="B4997" s="6" t="n">
        <v>105.8</v>
      </c>
    </row>
    <row r="4998">
      <c r="A4998" t="inlineStr">
        <is>
          <t>CB</t>
        </is>
      </c>
      <c r="B4998" s="6" t="n">
        <v>90.3</v>
      </c>
    </row>
    <row r="4999">
      <c r="A4999" t="inlineStr">
        <is>
          <t>TR</t>
        </is>
      </c>
      <c r="B4999" s="6" t="n">
        <v>32</v>
      </c>
    </row>
    <row r="5000">
      <c r="A5000" t="inlineStr">
        <is>
          <t>CB</t>
        </is>
      </c>
      <c r="B5000" s="6" t="n">
        <v>26.2</v>
      </c>
    </row>
    <row r="5001">
      <c r="A5001" t="inlineStr">
        <is>
          <t>CB</t>
        </is>
      </c>
      <c r="B5001" s="6" t="n">
        <v>22.9</v>
      </c>
    </row>
    <row r="5002">
      <c r="A5002" t="inlineStr">
        <is>
          <t>CB</t>
        </is>
      </c>
      <c r="B5002" s="6" t="n">
        <v>69.40000000000001</v>
      </c>
    </row>
    <row r="5003">
      <c r="A5003" t="inlineStr">
        <is>
          <t>CB</t>
        </is>
      </c>
      <c r="B5003" s="6" t="n">
        <v>63.4</v>
      </c>
    </row>
    <row r="5004">
      <c r="A5004" t="inlineStr">
        <is>
          <t>CB</t>
        </is>
      </c>
      <c r="B5004" s="6" t="n">
        <v>19.8</v>
      </c>
    </row>
    <row r="5005">
      <c r="A5005" t="inlineStr">
        <is>
          <t>CB</t>
        </is>
      </c>
      <c r="B5005" s="6" t="n">
        <v>79</v>
      </c>
    </row>
    <row r="5006">
      <c r="A5006" t="inlineStr">
        <is>
          <t>CB</t>
        </is>
      </c>
      <c r="B5006" s="6" t="n">
        <v>56.7</v>
      </c>
    </row>
    <row r="5007">
      <c r="A5007" t="inlineStr">
        <is>
          <t>CB</t>
        </is>
      </c>
      <c r="B5007" s="6" t="n">
        <v>83.5</v>
      </c>
    </row>
    <row r="5008">
      <c r="A5008" t="inlineStr">
        <is>
          <t>CB</t>
        </is>
      </c>
      <c r="B5008" s="6" t="n">
        <v>26.25</v>
      </c>
    </row>
    <row r="5009">
      <c r="A5009" t="inlineStr">
        <is>
          <t>CB</t>
        </is>
      </c>
      <c r="B5009" s="6" t="n">
        <v>26.25</v>
      </c>
    </row>
    <row r="5010">
      <c r="A5010" t="inlineStr">
        <is>
          <t>CB</t>
        </is>
      </c>
      <c r="B5010" s="6" t="n">
        <v>22.2</v>
      </c>
    </row>
    <row r="5011">
      <c r="A5011" t="inlineStr">
        <is>
          <t>CB</t>
        </is>
      </c>
      <c r="B5011" s="6" t="n">
        <v>53.8</v>
      </c>
    </row>
    <row r="5012">
      <c r="A5012" t="inlineStr">
        <is>
          <t>CB</t>
        </is>
      </c>
      <c r="B5012" s="6" t="n">
        <v>61.55</v>
      </c>
    </row>
    <row r="5013">
      <c r="A5013" t="inlineStr">
        <is>
          <t>CB</t>
        </is>
      </c>
      <c r="B5013" s="6" t="n">
        <v>75.90000000000001</v>
      </c>
    </row>
    <row r="5014">
      <c r="A5014" t="inlineStr">
        <is>
          <t>CB</t>
        </is>
      </c>
      <c r="B5014" s="6" t="n">
        <v>59.3</v>
      </c>
    </row>
    <row r="5015">
      <c r="A5015" t="inlineStr">
        <is>
          <t>CB</t>
        </is>
      </c>
      <c r="B5015" s="6" t="n">
        <v>13</v>
      </c>
    </row>
    <row r="5016">
      <c r="A5016" t="inlineStr">
        <is>
          <t>CB</t>
        </is>
      </c>
      <c r="B5016" s="6" t="n">
        <v>38.1</v>
      </c>
    </row>
    <row r="5017">
      <c r="A5017" t="inlineStr">
        <is>
          <t>CB</t>
        </is>
      </c>
      <c r="B5017" s="6" t="n">
        <v>44.1</v>
      </c>
    </row>
    <row r="5018">
      <c r="A5018" t="inlineStr">
        <is>
          <t>CB</t>
        </is>
      </c>
      <c r="B5018" s="6" t="n">
        <v>63.2</v>
      </c>
    </row>
    <row r="5019">
      <c r="A5019" t="inlineStr">
        <is>
          <t>CB</t>
        </is>
      </c>
      <c r="B5019" s="6" t="n">
        <v>50.85</v>
      </c>
    </row>
    <row r="5020">
      <c r="A5020" t="inlineStr">
        <is>
          <t>CB</t>
        </is>
      </c>
      <c r="B5020" s="6" t="n">
        <v>50.85</v>
      </c>
    </row>
    <row r="5021">
      <c r="A5021" t="inlineStr">
        <is>
          <t>CB</t>
        </is>
      </c>
      <c r="B5021" s="6" t="n">
        <v>41.2</v>
      </c>
    </row>
    <row r="5022">
      <c r="A5022" t="inlineStr">
        <is>
          <t>ESP</t>
        </is>
      </c>
      <c r="B5022" s="6" t="n">
        <v>14.7</v>
      </c>
    </row>
    <row r="5023">
      <c r="A5023" t="inlineStr">
        <is>
          <t>CB</t>
        </is>
      </c>
      <c r="B5023" s="6" t="n">
        <v>18.6</v>
      </c>
    </row>
    <row r="5024">
      <c r="A5024" t="inlineStr">
        <is>
          <t>CB</t>
        </is>
      </c>
      <c r="B5024" s="6" t="n">
        <v>18.3</v>
      </c>
    </row>
    <row r="5025">
      <c r="A5025" t="inlineStr">
        <is>
          <t>CB</t>
        </is>
      </c>
      <c r="B5025" s="6" t="n">
        <v>64.2</v>
      </c>
    </row>
    <row r="5026">
      <c r="A5026" t="inlineStr">
        <is>
          <t>CB</t>
        </is>
      </c>
      <c r="B5026" s="6" t="n">
        <v>45.9</v>
      </c>
    </row>
    <row r="5027">
      <c r="A5027" t="inlineStr">
        <is>
          <t>CB</t>
        </is>
      </c>
      <c r="B5027" s="6" t="n">
        <v>19.9</v>
      </c>
    </row>
    <row r="5028">
      <c r="A5028" t="inlineStr">
        <is>
          <t>CB</t>
        </is>
      </c>
      <c r="B5028" s="6" t="n">
        <v>87.7</v>
      </c>
    </row>
    <row r="5029">
      <c r="A5029" t="inlineStr">
        <is>
          <t>CB</t>
        </is>
      </c>
      <c r="B5029" s="6" t="n">
        <v>51.6</v>
      </c>
    </row>
    <row r="5030">
      <c r="A5030" t="inlineStr">
        <is>
          <t>CB</t>
        </is>
      </c>
      <c r="B5030" s="6" t="n">
        <v>151</v>
      </c>
    </row>
    <row r="5031">
      <c r="A5031" t="inlineStr">
        <is>
          <t>CB</t>
        </is>
      </c>
      <c r="B5031" s="6" t="n">
        <v>84.7</v>
      </c>
    </row>
    <row r="5032">
      <c r="A5032" t="inlineStr">
        <is>
          <t>CB</t>
        </is>
      </c>
      <c r="B5032" s="6" t="n">
        <v>48.6</v>
      </c>
    </row>
    <row r="5033">
      <c r="A5033" t="inlineStr">
        <is>
          <t>CB</t>
        </is>
      </c>
      <c r="B5033" s="6" t="n">
        <v>130.7</v>
      </c>
    </row>
    <row r="5034">
      <c r="A5034" t="inlineStr">
        <is>
          <t>CB</t>
        </is>
      </c>
      <c r="B5034" s="6" t="n">
        <v>22.5</v>
      </c>
    </row>
    <row r="5035">
      <c r="A5035" t="inlineStr">
        <is>
          <t>CB</t>
        </is>
      </c>
      <c r="B5035" s="6" t="n">
        <v>32.3</v>
      </c>
    </row>
    <row r="5036">
      <c r="A5036" t="inlineStr">
        <is>
          <t>CB</t>
        </is>
      </c>
      <c r="B5036" s="6" t="n">
        <v>64.90000000000001</v>
      </c>
    </row>
    <row r="5037">
      <c r="A5037" t="inlineStr">
        <is>
          <t>CB</t>
        </is>
      </c>
      <c r="B5037" s="6" t="n">
        <v>67.5</v>
      </c>
    </row>
    <row r="5038">
      <c r="A5038" t="inlineStr">
        <is>
          <t>TR</t>
        </is>
      </c>
      <c r="B5038" s="6" t="n">
        <v>9.800000000000001</v>
      </c>
    </row>
    <row r="5039">
      <c r="A5039" t="inlineStr">
        <is>
          <t>TR</t>
        </is>
      </c>
      <c r="B5039" s="6" t="n">
        <v>9.800000000000001</v>
      </c>
    </row>
    <row r="5040">
      <c r="A5040" t="inlineStr">
        <is>
          <t>CB</t>
        </is>
      </c>
      <c r="B5040" s="6" t="n">
        <v>21.4</v>
      </c>
    </row>
    <row r="5041">
      <c r="A5041" t="inlineStr">
        <is>
          <t>CB</t>
        </is>
      </c>
      <c r="B5041" s="6" t="n">
        <v>20</v>
      </c>
    </row>
    <row r="5042">
      <c r="A5042" t="inlineStr">
        <is>
          <t>CB</t>
        </is>
      </c>
      <c r="B5042" s="6" t="n">
        <v>42.6</v>
      </c>
    </row>
    <row r="5043">
      <c r="A5043" t="inlineStr">
        <is>
          <t>CB</t>
        </is>
      </c>
      <c r="B5043" s="6" t="n">
        <v>76.3</v>
      </c>
    </row>
    <row r="5044">
      <c r="A5044" t="inlineStr">
        <is>
          <t>CB</t>
        </is>
      </c>
      <c r="B5044" s="6" t="n">
        <v>32.3</v>
      </c>
    </row>
    <row r="5045">
      <c r="A5045" t="inlineStr">
        <is>
          <t>CB</t>
        </is>
      </c>
      <c r="B5045" s="6" t="n">
        <v>73.8</v>
      </c>
    </row>
    <row r="5046">
      <c r="A5046" t="inlineStr">
        <is>
          <t>CB</t>
        </is>
      </c>
      <c r="B5046" s="6" t="n">
        <v>62.3</v>
      </c>
    </row>
    <row r="5047">
      <c r="A5047" t="inlineStr">
        <is>
          <t>CB</t>
        </is>
      </c>
      <c r="B5047" s="6" t="n">
        <v>71.40000000000001</v>
      </c>
    </row>
    <row r="5048">
      <c r="A5048" t="inlineStr">
        <is>
          <t>CB</t>
        </is>
      </c>
      <c r="B5048" s="6" t="n">
        <v>95.3</v>
      </c>
    </row>
    <row r="5049">
      <c r="A5049" t="inlineStr">
        <is>
          <t>CB</t>
        </is>
      </c>
      <c r="B5049" s="6" t="n">
        <v>24.85</v>
      </c>
    </row>
    <row r="5050">
      <c r="A5050" t="inlineStr">
        <is>
          <t>CB</t>
        </is>
      </c>
      <c r="B5050" s="6" t="n">
        <v>24.85</v>
      </c>
    </row>
    <row r="5051">
      <c r="A5051" t="inlineStr">
        <is>
          <t>CB</t>
        </is>
      </c>
      <c r="B5051" s="6" t="n">
        <v>94.8</v>
      </c>
    </row>
    <row r="5052">
      <c r="A5052" t="inlineStr">
        <is>
          <t>CB</t>
        </is>
      </c>
      <c r="B5052" s="6" t="n">
        <v>50.7</v>
      </c>
    </row>
    <row r="5053">
      <c r="A5053" t="inlineStr">
        <is>
          <t>CB</t>
        </is>
      </c>
      <c r="B5053" s="6" t="n">
        <v>89.3</v>
      </c>
    </row>
    <row r="5054">
      <c r="A5054" t="inlineStr">
        <is>
          <t>CB</t>
        </is>
      </c>
      <c r="B5054" s="6" t="n">
        <v>64.40000000000001</v>
      </c>
    </row>
    <row r="5055">
      <c r="A5055" t="inlineStr">
        <is>
          <t>CB</t>
        </is>
      </c>
      <c r="B5055" s="6" t="n">
        <v>100.9</v>
      </c>
    </row>
    <row r="5056">
      <c r="A5056" t="inlineStr">
        <is>
          <t>CB</t>
        </is>
      </c>
      <c r="B5056" s="6" t="n">
        <v>164.7</v>
      </c>
    </row>
    <row r="5057">
      <c r="A5057" t="inlineStr">
        <is>
          <t>CB</t>
        </is>
      </c>
      <c r="B5057" s="6" t="n">
        <v>48.3</v>
      </c>
    </row>
    <row r="5058">
      <c r="A5058" t="inlineStr">
        <is>
          <t>CB</t>
        </is>
      </c>
      <c r="B5058" s="6" t="n">
        <v>44.4</v>
      </c>
    </row>
    <row r="5059">
      <c r="A5059" t="inlineStr">
        <is>
          <t>CB</t>
        </is>
      </c>
      <c r="B5059" s="6" t="n">
        <v>113.7</v>
      </c>
    </row>
    <row r="5060">
      <c r="A5060" t="inlineStr">
        <is>
          <t>CB</t>
        </is>
      </c>
      <c r="B5060" s="6" t="n">
        <v>68.8</v>
      </c>
    </row>
    <row r="5061">
      <c r="A5061" t="inlineStr">
        <is>
          <t>CB</t>
        </is>
      </c>
      <c r="B5061" s="6" t="n">
        <v>115.1</v>
      </c>
    </row>
    <row r="5062">
      <c r="A5062" t="inlineStr">
        <is>
          <t>CB</t>
        </is>
      </c>
      <c r="B5062" s="6" t="n">
        <v>76.40000000000001</v>
      </c>
    </row>
    <row r="5063">
      <c r="A5063" t="inlineStr">
        <is>
          <t>CB</t>
        </is>
      </c>
      <c r="B5063" s="6" t="n">
        <v>28.95</v>
      </c>
    </row>
    <row r="5064">
      <c r="A5064" t="inlineStr">
        <is>
          <t>CB</t>
        </is>
      </c>
      <c r="B5064" s="6" t="n">
        <v>61.7</v>
      </c>
    </row>
    <row r="5065">
      <c r="A5065" t="inlineStr">
        <is>
          <t>CB</t>
        </is>
      </c>
      <c r="B5065" s="6" t="n">
        <v>72.3</v>
      </c>
    </row>
    <row r="5066">
      <c r="A5066" t="inlineStr">
        <is>
          <t>CB</t>
        </is>
      </c>
      <c r="B5066" s="6" t="n">
        <v>53.4</v>
      </c>
    </row>
    <row r="5067">
      <c r="A5067" t="inlineStr">
        <is>
          <t>CB</t>
        </is>
      </c>
      <c r="B5067" s="6" t="n">
        <v>48.4</v>
      </c>
    </row>
    <row r="5068">
      <c r="A5068" t="inlineStr">
        <is>
          <t>CHV</t>
        </is>
      </c>
      <c r="B5068" s="6" t="n">
        <v>50</v>
      </c>
    </row>
    <row r="5069">
      <c r="A5069" t="inlineStr">
        <is>
          <t>ESP</t>
        </is>
      </c>
      <c r="B5069" s="6" t="n">
        <v>1.65</v>
      </c>
    </row>
    <row r="5070">
      <c r="A5070" t="inlineStr">
        <is>
          <t>CB</t>
        </is>
      </c>
      <c r="B5070" s="6" t="n">
        <v>48.4</v>
      </c>
    </row>
    <row r="5071">
      <c r="A5071" t="inlineStr">
        <is>
          <t>CB</t>
        </is>
      </c>
      <c r="B5071" s="6" t="n">
        <v>121.8</v>
      </c>
    </row>
    <row r="5072">
      <c r="A5072" t="inlineStr">
        <is>
          <t>TR</t>
        </is>
      </c>
      <c r="B5072" s="6" t="n">
        <v>27</v>
      </c>
    </row>
    <row r="5073">
      <c r="A5073" t="inlineStr">
        <is>
          <t>TR</t>
        </is>
      </c>
      <c r="B5073" s="6" t="n">
        <v>18</v>
      </c>
    </row>
    <row r="5074">
      <c r="A5074" t="inlineStr">
        <is>
          <t>CB</t>
        </is>
      </c>
      <c r="B5074" s="6" t="n">
        <v>8</v>
      </c>
    </row>
    <row r="5075">
      <c r="A5075" t="inlineStr">
        <is>
          <t>CB</t>
        </is>
      </c>
      <c r="B5075" s="6" t="n">
        <v>26.5</v>
      </c>
    </row>
    <row r="5076">
      <c r="A5076" t="inlineStr">
        <is>
          <t>CB</t>
        </is>
      </c>
      <c r="B5076" s="6" t="n">
        <v>26.2</v>
      </c>
    </row>
    <row r="5077">
      <c r="A5077" t="inlineStr">
        <is>
          <t>CB</t>
        </is>
      </c>
      <c r="B5077" s="6" t="n">
        <v>95.8</v>
      </c>
    </row>
    <row r="5078">
      <c r="A5078" t="inlineStr">
        <is>
          <t>CB</t>
        </is>
      </c>
      <c r="B5078" s="6" t="n">
        <v>18.6</v>
      </c>
    </row>
    <row r="5079">
      <c r="A5079" t="inlineStr">
        <is>
          <t>CB</t>
        </is>
      </c>
      <c r="B5079" s="6" t="n">
        <v>28.95</v>
      </c>
    </row>
    <row r="5080">
      <c r="A5080" t="inlineStr">
        <is>
          <t>CB</t>
        </is>
      </c>
      <c r="B5080" s="6" t="n">
        <v>48.4</v>
      </c>
    </row>
    <row r="5081">
      <c r="A5081" t="inlineStr">
        <is>
          <t>CB</t>
        </is>
      </c>
      <c r="B5081" s="6" t="n">
        <v>51.65</v>
      </c>
    </row>
    <row r="5082">
      <c r="A5082" t="inlineStr">
        <is>
          <t>CB</t>
        </is>
      </c>
      <c r="B5082" s="6" t="n">
        <v>49.5</v>
      </c>
    </row>
    <row r="5083">
      <c r="A5083" t="inlineStr">
        <is>
          <t>CB</t>
        </is>
      </c>
      <c r="B5083" s="6" t="n">
        <v>57.1</v>
      </c>
    </row>
    <row r="5084">
      <c r="A5084" t="inlineStr">
        <is>
          <t>CB</t>
        </is>
      </c>
      <c r="B5084" s="6" t="n">
        <v>67.09999999999999</v>
      </c>
    </row>
    <row r="5085">
      <c r="A5085" t="inlineStr">
        <is>
          <t>CB</t>
        </is>
      </c>
      <c r="B5085" s="6" t="n">
        <v>25.5</v>
      </c>
    </row>
    <row r="5086">
      <c r="A5086" t="inlineStr">
        <is>
          <t>CB</t>
        </is>
      </c>
      <c r="B5086" s="6" t="n">
        <v>44.7</v>
      </c>
    </row>
    <row r="5087">
      <c r="A5087" t="inlineStr">
        <is>
          <t>TR</t>
        </is>
      </c>
      <c r="B5087" s="6" t="n">
        <v>64.40000000000001</v>
      </c>
    </row>
    <row r="5088">
      <c r="A5088" t="inlineStr">
        <is>
          <t>CB</t>
        </is>
      </c>
      <c r="B5088" s="6" t="n">
        <v>3.3</v>
      </c>
    </row>
    <row r="5089">
      <c r="A5089" t="inlineStr">
        <is>
          <t>CB</t>
        </is>
      </c>
      <c r="B5089" s="6" t="n">
        <v>63</v>
      </c>
    </row>
    <row r="5090">
      <c r="A5090" t="inlineStr">
        <is>
          <t>CB</t>
        </is>
      </c>
      <c r="B5090" s="6" t="n">
        <v>158.1</v>
      </c>
    </row>
    <row r="5091">
      <c r="A5091" t="inlineStr">
        <is>
          <t>CB</t>
        </is>
      </c>
      <c r="B5091" s="6" t="n">
        <v>45.1</v>
      </c>
    </row>
    <row r="5092">
      <c r="A5092" t="inlineStr">
        <is>
          <t>CB</t>
        </is>
      </c>
      <c r="B5092" s="6" t="n">
        <v>45.1</v>
      </c>
    </row>
    <row r="5093">
      <c r="A5093" t="inlineStr">
        <is>
          <t>CB</t>
        </is>
      </c>
      <c r="B5093" s="6" t="n">
        <v>77.2</v>
      </c>
    </row>
    <row r="5094">
      <c r="A5094" t="inlineStr">
        <is>
          <t>CB</t>
        </is>
      </c>
      <c r="B5094" s="6" t="n">
        <v>77.2</v>
      </c>
    </row>
    <row r="5095">
      <c r="A5095" t="inlineStr">
        <is>
          <t>CB</t>
        </is>
      </c>
      <c r="B5095" s="6" t="n">
        <v>65.8</v>
      </c>
    </row>
    <row r="5096">
      <c r="A5096" t="inlineStr">
        <is>
          <t>CB</t>
        </is>
      </c>
      <c r="B5096" s="6" t="n">
        <v>101.4</v>
      </c>
    </row>
    <row r="5097">
      <c r="A5097" t="inlineStr">
        <is>
          <t>CB</t>
        </is>
      </c>
      <c r="B5097" s="6" t="n">
        <v>51.1</v>
      </c>
    </row>
    <row r="5098">
      <c r="A5098" t="inlineStr">
        <is>
          <t>CB</t>
        </is>
      </c>
      <c r="B5098" s="6" t="n">
        <v>64.8</v>
      </c>
    </row>
    <row r="5099">
      <c r="A5099" t="inlineStr">
        <is>
          <t>CB</t>
        </is>
      </c>
      <c r="B5099" s="6" t="n">
        <v>55</v>
      </c>
    </row>
    <row r="5100">
      <c r="A5100" t="inlineStr">
        <is>
          <t>CB</t>
        </is>
      </c>
      <c r="B5100" s="6" t="n">
        <v>67.5</v>
      </c>
    </row>
    <row r="5101">
      <c r="A5101" t="inlineStr">
        <is>
          <t>CB</t>
        </is>
      </c>
      <c r="B5101" s="6" t="n">
        <v>105.3</v>
      </c>
    </row>
    <row r="5102">
      <c r="A5102" t="inlineStr">
        <is>
          <t>CB</t>
        </is>
      </c>
      <c r="B5102" s="6" t="n">
        <v>96.2</v>
      </c>
    </row>
    <row r="5103">
      <c r="A5103" t="inlineStr">
        <is>
          <t>CB</t>
        </is>
      </c>
      <c r="B5103" s="6" t="n">
        <v>100</v>
      </c>
    </row>
    <row r="5104">
      <c r="A5104" t="inlineStr">
        <is>
          <t>CHV</t>
        </is>
      </c>
      <c r="B5104" s="6" t="n">
        <v>20</v>
      </c>
    </row>
    <row r="5105">
      <c r="A5105" t="inlineStr">
        <is>
          <t>CB</t>
        </is>
      </c>
      <c r="B5105" s="6" t="n">
        <v>16.15</v>
      </c>
    </row>
    <row r="5106">
      <c r="A5106" t="inlineStr">
        <is>
          <t>CB</t>
        </is>
      </c>
      <c r="B5106" s="6" t="n">
        <v>61.4</v>
      </c>
    </row>
    <row r="5107">
      <c r="A5107" t="inlineStr">
        <is>
          <t>CB</t>
        </is>
      </c>
      <c r="B5107" s="6" t="n">
        <v>179.4</v>
      </c>
    </row>
    <row r="5108">
      <c r="A5108" t="inlineStr">
        <is>
          <t>CB</t>
        </is>
      </c>
      <c r="B5108" s="6" t="n">
        <v>49.2</v>
      </c>
    </row>
    <row r="5109">
      <c r="A5109" t="inlineStr">
        <is>
          <t>CB</t>
        </is>
      </c>
      <c r="B5109" s="6" t="n">
        <v>154.4</v>
      </c>
    </row>
    <row r="5110">
      <c r="A5110" t="inlineStr">
        <is>
          <t>TR</t>
        </is>
      </c>
      <c r="B5110" s="6" t="n">
        <v>144</v>
      </c>
    </row>
    <row r="5111">
      <c r="A5111" t="inlineStr">
        <is>
          <t>ESP</t>
        </is>
      </c>
      <c r="B5111" s="6" t="n">
        <v>6.8</v>
      </c>
    </row>
    <row r="5112">
      <c r="A5112" t="inlineStr">
        <is>
          <t>CHV</t>
        </is>
      </c>
      <c r="B5112" s="6" t="n">
        <v>60</v>
      </c>
    </row>
    <row r="5113">
      <c r="A5113" t="inlineStr">
        <is>
          <t>CB</t>
        </is>
      </c>
      <c r="B5113" s="6" t="n">
        <v>4.9</v>
      </c>
    </row>
    <row r="5114">
      <c r="A5114" t="inlineStr">
        <is>
          <t>CB</t>
        </is>
      </c>
      <c r="B5114" s="6" t="n">
        <v>67.5</v>
      </c>
    </row>
    <row r="5115">
      <c r="A5115" t="inlineStr">
        <is>
          <t>CB</t>
        </is>
      </c>
      <c r="B5115" s="6" t="n">
        <v>190.5</v>
      </c>
    </row>
    <row r="5116">
      <c r="A5116" t="inlineStr">
        <is>
          <t>CB</t>
        </is>
      </c>
      <c r="B5116" s="6" t="n">
        <v>36.15</v>
      </c>
    </row>
    <row r="5117">
      <c r="A5117" t="inlineStr">
        <is>
          <t>TR</t>
        </is>
      </c>
      <c r="B5117" s="6" t="n">
        <v>9</v>
      </c>
    </row>
    <row r="5118">
      <c r="A5118" t="inlineStr">
        <is>
          <t>TR</t>
        </is>
      </c>
      <c r="B5118" s="6" t="n">
        <v>8</v>
      </c>
    </row>
    <row r="5119">
      <c r="A5119" t="inlineStr">
        <is>
          <t>TR</t>
        </is>
      </c>
      <c r="B5119" s="6" t="n">
        <v>42.5</v>
      </c>
    </row>
    <row r="5120">
      <c r="A5120" t="inlineStr">
        <is>
          <t>CB</t>
        </is>
      </c>
      <c r="B5120" s="6" t="n">
        <v>5.4</v>
      </c>
    </row>
    <row r="5121">
      <c r="A5121" t="inlineStr">
        <is>
          <t>CB</t>
        </is>
      </c>
      <c r="B5121" s="6" t="n">
        <v>89</v>
      </c>
    </row>
    <row r="5122">
      <c r="A5122" t="inlineStr">
        <is>
          <t>CB</t>
        </is>
      </c>
      <c r="B5122" s="6" t="n">
        <v>87.90000000000001</v>
      </c>
    </row>
    <row r="5123">
      <c r="A5123" t="inlineStr">
        <is>
          <t>TR</t>
        </is>
      </c>
      <c r="B5123" s="6" t="n">
        <v>36</v>
      </c>
    </row>
    <row r="5124">
      <c r="A5124" t="inlineStr">
        <is>
          <t>CB</t>
        </is>
      </c>
      <c r="B5124" s="6" t="n">
        <v>52.3</v>
      </c>
    </row>
    <row r="5125">
      <c r="A5125" t="inlineStr">
        <is>
          <t>TR</t>
        </is>
      </c>
      <c r="B5125" s="6" t="n">
        <v>36</v>
      </c>
    </row>
    <row r="5126">
      <c r="A5126" t="inlineStr">
        <is>
          <t>CB</t>
        </is>
      </c>
      <c r="B5126" s="6" t="n">
        <v>32.2</v>
      </c>
    </row>
    <row r="5127">
      <c r="A5127" t="inlineStr">
        <is>
          <t>CB</t>
        </is>
      </c>
      <c r="B5127" s="6" t="n">
        <v>75.13</v>
      </c>
    </row>
    <row r="5128">
      <c r="A5128" t="inlineStr">
        <is>
          <t>CB</t>
        </is>
      </c>
      <c r="B5128" s="6" t="n">
        <v>50.1</v>
      </c>
    </row>
    <row r="5129">
      <c r="A5129" t="inlineStr">
        <is>
          <t>CB</t>
        </is>
      </c>
      <c r="B5129" s="6" t="n">
        <v>50.07</v>
      </c>
    </row>
    <row r="5130">
      <c r="A5130" t="inlineStr">
        <is>
          <t>CB</t>
        </is>
      </c>
      <c r="B5130" s="6" t="n">
        <v>114.7</v>
      </c>
    </row>
    <row r="5131">
      <c r="A5131" t="inlineStr">
        <is>
          <t>CB</t>
        </is>
      </c>
      <c r="B5131" s="6" t="n">
        <v>113.2</v>
      </c>
    </row>
    <row r="5132">
      <c r="A5132" t="inlineStr">
        <is>
          <t>CB</t>
        </is>
      </c>
      <c r="B5132" s="6" t="n">
        <v>90.7</v>
      </c>
    </row>
    <row r="5133">
      <c r="A5133" t="inlineStr">
        <is>
          <t>CB</t>
        </is>
      </c>
      <c r="B5133" s="6" t="n">
        <v>119.3</v>
      </c>
    </row>
    <row r="5134">
      <c r="A5134" t="inlineStr">
        <is>
          <t>CB</t>
        </is>
      </c>
      <c r="B5134" s="6" t="n">
        <v>32.6</v>
      </c>
    </row>
    <row r="5135">
      <c r="A5135" t="inlineStr">
        <is>
          <t>CB</t>
        </is>
      </c>
      <c r="B5135" s="6" t="n">
        <v>72.7</v>
      </c>
    </row>
    <row r="5136">
      <c r="A5136" t="inlineStr">
        <is>
          <t>CB</t>
        </is>
      </c>
      <c r="B5136" s="6" t="n">
        <v>115.6</v>
      </c>
    </row>
    <row r="5137">
      <c r="A5137" t="inlineStr">
        <is>
          <t>CB</t>
        </is>
      </c>
      <c r="B5137" s="6" t="n">
        <v>44.5</v>
      </c>
    </row>
    <row r="5138">
      <c r="A5138" t="inlineStr">
        <is>
          <t>CB</t>
        </is>
      </c>
      <c r="B5138" s="6" t="n">
        <v>71.2</v>
      </c>
    </row>
    <row r="5139">
      <c r="A5139" t="inlineStr">
        <is>
          <t>CHV</t>
        </is>
      </c>
      <c r="B5139" s="6" t="n">
        <v>80</v>
      </c>
    </row>
    <row r="5140">
      <c r="A5140" t="inlineStr">
        <is>
          <t>ESP</t>
        </is>
      </c>
      <c r="B5140" s="6" t="n">
        <v>4.2</v>
      </c>
    </row>
    <row r="5141">
      <c r="A5141" t="inlineStr">
        <is>
          <t>CB</t>
        </is>
      </c>
      <c r="B5141" s="6" t="n">
        <v>56.9</v>
      </c>
    </row>
    <row r="5142">
      <c r="A5142" t="inlineStr">
        <is>
          <t>CB</t>
        </is>
      </c>
      <c r="B5142" s="6" t="n">
        <v>104.1</v>
      </c>
    </row>
    <row r="5143">
      <c r="A5143" t="inlineStr">
        <is>
          <t>CB</t>
        </is>
      </c>
      <c r="B5143" s="6" t="n">
        <v>65.3</v>
      </c>
    </row>
    <row r="5144">
      <c r="A5144" t="inlineStr">
        <is>
          <t>CB</t>
        </is>
      </c>
      <c r="B5144" s="6" t="n">
        <v>77.7</v>
      </c>
    </row>
    <row r="5145">
      <c r="A5145" t="inlineStr">
        <is>
          <t>CB</t>
        </is>
      </c>
      <c r="B5145" s="6" t="n">
        <v>49.2</v>
      </c>
    </row>
    <row r="5146">
      <c r="A5146" t="inlineStr">
        <is>
          <t>CB</t>
        </is>
      </c>
      <c r="B5146" s="6" t="n">
        <v>62</v>
      </c>
    </row>
    <row r="5147">
      <c r="A5147" t="inlineStr">
        <is>
          <t>CB</t>
        </is>
      </c>
      <c r="B5147" s="6" t="n">
        <v>112.3</v>
      </c>
    </row>
    <row r="5148">
      <c r="A5148" t="inlineStr">
        <is>
          <t>CHV</t>
        </is>
      </c>
      <c r="B5148" s="6" t="n">
        <v>120</v>
      </c>
    </row>
    <row r="5149">
      <c r="A5149" t="inlineStr">
        <is>
          <t>ESP</t>
        </is>
      </c>
      <c r="B5149" s="6" t="n">
        <v>2.4</v>
      </c>
    </row>
    <row r="5150">
      <c r="A5150" t="inlineStr">
        <is>
          <t>CB</t>
        </is>
      </c>
      <c r="B5150" s="6" t="n">
        <v>51</v>
      </c>
    </row>
    <row r="5151">
      <c r="A5151" t="inlineStr">
        <is>
          <t>CB</t>
        </is>
      </c>
      <c r="B5151" s="6" t="n">
        <v>25.4</v>
      </c>
    </row>
    <row r="5152">
      <c r="A5152" t="inlineStr">
        <is>
          <t>CB</t>
        </is>
      </c>
      <c r="B5152" s="6" t="n">
        <v>26.8</v>
      </c>
    </row>
    <row r="5153">
      <c r="A5153" t="inlineStr">
        <is>
          <t>CB</t>
        </is>
      </c>
      <c r="B5153" s="6" t="n">
        <v>37.1</v>
      </c>
    </row>
    <row r="5154">
      <c r="A5154" t="inlineStr">
        <is>
          <t>CB</t>
        </is>
      </c>
      <c r="B5154" s="6" t="n">
        <v>66.59999999999999</v>
      </c>
    </row>
    <row r="5155">
      <c r="A5155" t="inlineStr">
        <is>
          <t>CB</t>
        </is>
      </c>
      <c r="B5155" s="6" t="n">
        <v>87.8</v>
      </c>
    </row>
    <row r="5156">
      <c r="A5156" t="inlineStr">
        <is>
          <t>CB</t>
        </is>
      </c>
      <c r="B5156" s="6" t="n">
        <v>90.90000000000001</v>
      </c>
    </row>
    <row r="5157">
      <c r="A5157" t="inlineStr">
        <is>
          <t>TR</t>
        </is>
      </c>
      <c r="B5157" s="6" t="n">
        <v>22</v>
      </c>
    </row>
    <row r="5158">
      <c r="A5158" t="inlineStr">
        <is>
          <t>ESP</t>
        </is>
      </c>
      <c r="B5158" s="6" t="n">
        <v>3.5</v>
      </c>
    </row>
    <row r="5159">
      <c r="A5159" t="inlineStr">
        <is>
          <t>CB</t>
        </is>
      </c>
      <c r="B5159" s="6" t="n">
        <v>68.40000000000001</v>
      </c>
    </row>
    <row r="5160">
      <c r="A5160" t="inlineStr">
        <is>
          <t>CB</t>
        </is>
      </c>
      <c r="B5160" s="6" t="n">
        <v>43.8</v>
      </c>
    </row>
    <row r="5161">
      <c r="A5161" t="inlineStr">
        <is>
          <t>CB</t>
        </is>
      </c>
      <c r="B5161" s="6" t="n">
        <v>46.8</v>
      </c>
    </row>
    <row r="5162">
      <c r="A5162" t="inlineStr">
        <is>
          <t>CB</t>
        </is>
      </c>
      <c r="B5162" s="6" t="n">
        <v>55.4</v>
      </c>
    </row>
    <row r="5163">
      <c r="A5163" t="inlineStr">
        <is>
          <t>CB</t>
        </is>
      </c>
      <c r="B5163" s="6" t="n">
        <v>106</v>
      </c>
    </row>
    <row r="5164">
      <c r="A5164" t="inlineStr">
        <is>
          <t>CB</t>
        </is>
      </c>
      <c r="B5164" s="6" t="n">
        <v>57.35</v>
      </c>
    </row>
    <row r="5165">
      <c r="A5165" t="inlineStr">
        <is>
          <t>CB</t>
        </is>
      </c>
      <c r="B5165" s="6" t="n">
        <v>57.35</v>
      </c>
    </row>
    <row r="5166">
      <c r="A5166" t="inlineStr">
        <is>
          <t>CB</t>
        </is>
      </c>
      <c r="B5166" s="6" t="n">
        <v>97.59999999999999</v>
      </c>
    </row>
    <row r="5167">
      <c r="A5167" t="inlineStr">
        <is>
          <t>CB</t>
        </is>
      </c>
      <c r="B5167" s="6" t="n">
        <v>88.59999999999999</v>
      </c>
    </row>
    <row r="5168">
      <c r="A5168" t="inlineStr">
        <is>
          <t>CB</t>
        </is>
      </c>
      <c r="B5168" s="6" t="n">
        <v>32</v>
      </c>
    </row>
    <row r="5169">
      <c r="A5169" t="inlineStr">
        <is>
          <t>CB</t>
        </is>
      </c>
      <c r="B5169" s="6" t="n">
        <v>91.40000000000001</v>
      </c>
    </row>
    <row r="5170">
      <c r="A5170" t="inlineStr">
        <is>
          <t>CB</t>
        </is>
      </c>
      <c r="B5170" s="6" t="n">
        <v>36.6</v>
      </c>
    </row>
    <row r="5171">
      <c r="A5171" t="inlineStr">
        <is>
          <t>CB</t>
        </is>
      </c>
      <c r="B5171" s="6" t="n">
        <v>61.1</v>
      </c>
    </row>
    <row r="5172">
      <c r="A5172" t="inlineStr">
        <is>
          <t>CHV</t>
        </is>
      </c>
      <c r="B5172" s="6" t="n">
        <v>70</v>
      </c>
    </row>
    <row r="5173">
      <c r="A5173" t="inlineStr">
        <is>
          <t>ESP</t>
        </is>
      </c>
      <c r="B5173" s="6" t="n">
        <v>5.3</v>
      </c>
    </row>
    <row r="5174">
      <c r="A5174" t="inlineStr">
        <is>
          <t>CB</t>
        </is>
      </c>
      <c r="B5174" s="6" t="n">
        <v>92.59999999999999</v>
      </c>
    </row>
    <row r="5175">
      <c r="A5175" t="inlineStr">
        <is>
          <t>CB</t>
        </is>
      </c>
      <c r="B5175" s="6" t="n">
        <v>53.1</v>
      </c>
    </row>
    <row r="5176">
      <c r="A5176" t="inlineStr">
        <is>
          <t>CB</t>
        </is>
      </c>
      <c r="B5176" s="6" t="n">
        <v>33.9</v>
      </c>
    </row>
    <row r="5177">
      <c r="A5177" t="inlineStr">
        <is>
          <t>CB</t>
        </is>
      </c>
      <c r="B5177" s="6" t="n">
        <v>38</v>
      </c>
    </row>
    <row r="5178">
      <c r="A5178" t="inlineStr">
        <is>
          <t>CB</t>
        </is>
      </c>
      <c r="B5178" s="6" t="n">
        <v>19</v>
      </c>
    </row>
    <row r="5179">
      <c r="A5179" t="inlineStr">
        <is>
          <t>CB</t>
        </is>
      </c>
      <c r="B5179" s="6" t="n">
        <v>19</v>
      </c>
    </row>
    <row r="5180">
      <c r="A5180" t="inlineStr">
        <is>
          <t>CB</t>
        </is>
      </c>
      <c r="B5180" s="6" t="n">
        <v>37.6</v>
      </c>
    </row>
    <row r="5181">
      <c r="A5181" t="inlineStr">
        <is>
          <t>CHV</t>
        </is>
      </c>
      <c r="B5181" s="6" t="n">
        <v>80</v>
      </c>
    </row>
    <row r="5182">
      <c r="A5182" t="inlineStr">
        <is>
          <t>ESP</t>
        </is>
      </c>
      <c r="B5182" s="6" t="n">
        <v>10</v>
      </c>
    </row>
    <row r="5183">
      <c r="A5183" t="inlineStr">
        <is>
          <t>CB</t>
        </is>
      </c>
      <c r="B5183" s="6" t="n">
        <v>25</v>
      </c>
    </row>
    <row r="5184">
      <c r="A5184" t="inlineStr">
        <is>
          <t>CB</t>
        </is>
      </c>
      <c r="B5184" s="6" t="n">
        <v>89.5</v>
      </c>
    </row>
    <row r="5185">
      <c r="A5185" t="inlineStr">
        <is>
          <t>CB</t>
        </is>
      </c>
      <c r="B5185" s="6" t="n">
        <v>55.2</v>
      </c>
    </row>
    <row r="5186">
      <c r="A5186" t="inlineStr">
        <is>
          <t>CB</t>
        </is>
      </c>
      <c r="B5186" s="6" t="n">
        <v>24.7</v>
      </c>
    </row>
    <row r="5187">
      <c r="A5187" t="inlineStr">
        <is>
          <t>CB</t>
        </is>
      </c>
      <c r="B5187" s="6" t="n">
        <v>92.59999999999999</v>
      </c>
    </row>
    <row r="5188">
      <c r="A5188" t="inlineStr">
        <is>
          <t>CB</t>
        </is>
      </c>
      <c r="B5188" s="6" t="n">
        <v>33.9</v>
      </c>
    </row>
    <row r="5189">
      <c r="A5189" t="inlineStr">
        <is>
          <t>CB</t>
        </is>
      </c>
      <c r="B5189" s="6" t="n">
        <v>45.1</v>
      </c>
    </row>
    <row r="5190">
      <c r="A5190" t="inlineStr">
        <is>
          <t>CB</t>
        </is>
      </c>
      <c r="B5190" s="6" t="n">
        <v>21</v>
      </c>
    </row>
    <row r="5191">
      <c r="A5191" t="inlineStr">
        <is>
          <t>CB</t>
        </is>
      </c>
      <c r="B5191" s="6" t="n">
        <v>25</v>
      </c>
    </row>
    <row r="5192">
      <c r="A5192" t="inlineStr">
        <is>
          <t>CB</t>
        </is>
      </c>
      <c r="B5192" s="6" t="n">
        <v>25</v>
      </c>
    </row>
    <row r="5193">
      <c r="A5193" t="inlineStr">
        <is>
          <t>CB</t>
        </is>
      </c>
      <c r="B5193" s="6" t="n">
        <v>24.7</v>
      </c>
    </row>
    <row r="5194">
      <c r="A5194" t="inlineStr">
        <is>
          <t>CB</t>
        </is>
      </c>
      <c r="B5194" s="6" t="n">
        <v>20.6</v>
      </c>
    </row>
    <row r="5195">
      <c r="A5195" t="inlineStr">
        <is>
          <t>CB</t>
        </is>
      </c>
      <c r="B5195" s="6" t="n">
        <v>22</v>
      </c>
    </row>
    <row r="5196">
      <c r="A5196" t="inlineStr">
        <is>
          <t>CB</t>
        </is>
      </c>
      <c r="B5196" s="6" t="n">
        <v>67.5</v>
      </c>
    </row>
    <row r="5197">
      <c r="A5197" t="inlineStr">
        <is>
          <t>CB</t>
        </is>
      </c>
      <c r="B5197" s="6" t="n">
        <v>125.1</v>
      </c>
    </row>
    <row r="5198">
      <c r="A5198" t="inlineStr">
        <is>
          <t>CB</t>
        </is>
      </c>
      <c r="B5198" s="6" t="n">
        <v>58.6</v>
      </c>
    </row>
    <row r="5199">
      <c r="A5199" t="inlineStr">
        <is>
          <t>CB</t>
        </is>
      </c>
      <c r="B5199" s="6" t="n">
        <v>73</v>
      </c>
    </row>
    <row r="5200">
      <c r="A5200" t="inlineStr">
        <is>
          <t>CB</t>
        </is>
      </c>
      <c r="B5200" s="6" t="n">
        <v>41.8</v>
      </c>
    </row>
    <row r="5201">
      <c r="A5201" t="inlineStr">
        <is>
          <t>CB</t>
        </is>
      </c>
      <c r="B5201" s="6" t="n">
        <v>72.3</v>
      </c>
    </row>
    <row r="5202">
      <c r="A5202" t="inlineStr">
        <is>
          <t>ESP</t>
        </is>
      </c>
      <c r="B5202" s="6" t="n">
        <v>27.2</v>
      </c>
    </row>
    <row r="5203">
      <c r="A5203" t="inlineStr">
        <is>
          <t>CB</t>
        </is>
      </c>
      <c r="B5203" s="6" t="n">
        <v>62.7</v>
      </c>
    </row>
    <row r="5204">
      <c r="A5204" t="inlineStr">
        <is>
          <t>CB</t>
        </is>
      </c>
      <c r="B5204" s="6" t="n">
        <v>47.7</v>
      </c>
    </row>
    <row r="5205">
      <c r="A5205" t="inlineStr">
        <is>
          <t>CB</t>
        </is>
      </c>
      <c r="B5205" s="6" t="n">
        <v>16</v>
      </c>
    </row>
    <row r="5206">
      <c r="A5206" t="inlineStr">
        <is>
          <t>CB</t>
        </is>
      </c>
      <c r="B5206" s="6" t="n">
        <v>16</v>
      </c>
    </row>
    <row r="5207">
      <c r="A5207" t="inlineStr">
        <is>
          <t>CB</t>
        </is>
      </c>
      <c r="B5207" s="6" t="n">
        <v>16.1</v>
      </c>
    </row>
    <row r="5208">
      <c r="A5208" t="inlineStr">
        <is>
          <t>CB</t>
        </is>
      </c>
      <c r="B5208" s="6" t="n">
        <v>129.6</v>
      </c>
    </row>
    <row r="5209">
      <c r="A5209" t="inlineStr">
        <is>
          <t>CB</t>
        </is>
      </c>
      <c r="B5209" s="6" t="n">
        <v>49.7</v>
      </c>
    </row>
    <row r="5210">
      <c r="A5210" t="inlineStr">
        <is>
          <t>CB</t>
        </is>
      </c>
      <c r="B5210" s="6" t="n">
        <v>75.5</v>
      </c>
    </row>
    <row r="5211">
      <c r="A5211" t="inlineStr">
        <is>
          <t>CB</t>
        </is>
      </c>
      <c r="B5211" s="6" t="n">
        <v>24.5</v>
      </c>
    </row>
    <row r="5212">
      <c r="A5212" t="inlineStr">
        <is>
          <t>CB</t>
        </is>
      </c>
      <c r="B5212" s="6" t="n">
        <v>143.3</v>
      </c>
    </row>
    <row r="5213">
      <c r="A5213" t="inlineStr">
        <is>
          <t>CB</t>
        </is>
      </c>
      <c r="B5213" s="6" t="n">
        <v>27.2</v>
      </c>
    </row>
    <row r="5214">
      <c r="A5214" t="inlineStr">
        <is>
          <t>CB</t>
        </is>
      </c>
      <c r="B5214" s="6" t="n">
        <v>24.9</v>
      </c>
    </row>
    <row r="5215">
      <c r="A5215" t="inlineStr">
        <is>
          <t>CB</t>
        </is>
      </c>
      <c r="B5215" s="6" t="n">
        <v>79.8</v>
      </c>
    </row>
    <row r="5216">
      <c r="A5216" t="inlineStr">
        <is>
          <t>CB</t>
        </is>
      </c>
      <c r="B5216" s="6" t="n">
        <v>132.1</v>
      </c>
    </row>
    <row r="5217">
      <c r="A5217" t="inlineStr">
        <is>
          <t>CB</t>
        </is>
      </c>
      <c r="B5217" s="6" t="n">
        <v>95.7</v>
      </c>
    </row>
    <row r="5218">
      <c r="A5218" t="inlineStr">
        <is>
          <t>CB</t>
        </is>
      </c>
      <c r="B5218" s="6" t="n">
        <v>42.6</v>
      </c>
    </row>
    <row r="5219">
      <c r="A5219" t="inlineStr">
        <is>
          <t>CB</t>
        </is>
      </c>
      <c r="B5219" s="6" t="n">
        <v>25</v>
      </c>
    </row>
    <row r="5220">
      <c r="A5220" t="inlineStr">
        <is>
          <t>CB</t>
        </is>
      </c>
      <c r="B5220" s="6" t="n">
        <v>62</v>
      </c>
    </row>
    <row r="5221">
      <c r="A5221" t="inlineStr">
        <is>
          <t>CB</t>
        </is>
      </c>
      <c r="B5221" s="6" t="n">
        <v>103.9</v>
      </c>
    </row>
    <row r="5222">
      <c r="A5222" t="inlineStr">
        <is>
          <t>CB</t>
        </is>
      </c>
      <c r="B5222" s="6" t="n">
        <v>96.2</v>
      </c>
    </row>
    <row r="5223">
      <c r="A5223" t="inlineStr">
        <is>
          <t>CB</t>
        </is>
      </c>
      <c r="B5223" s="6" t="n">
        <v>76.09999999999999</v>
      </c>
    </row>
    <row r="5224">
      <c r="A5224" t="inlineStr">
        <is>
          <t>CB</t>
        </is>
      </c>
      <c r="B5224" s="6" t="n">
        <v>45</v>
      </c>
    </row>
    <row r="5225">
      <c r="A5225" t="inlineStr">
        <is>
          <t>CB</t>
        </is>
      </c>
      <c r="B5225" s="6" t="n">
        <v>65.8</v>
      </c>
    </row>
    <row r="5226">
      <c r="A5226" t="inlineStr">
        <is>
          <t>CB</t>
        </is>
      </c>
      <c r="B5226" s="6" t="n">
        <v>100</v>
      </c>
    </row>
    <row r="5227">
      <c r="A5227" t="inlineStr">
        <is>
          <t>CB</t>
        </is>
      </c>
      <c r="B5227" s="6" t="n">
        <v>95.40000000000001</v>
      </c>
    </row>
    <row r="5228">
      <c r="A5228" t="inlineStr">
        <is>
          <t>CB</t>
        </is>
      </c>
      <c r="B5228" s="6" t="n">
        <v>56.7</v>
      </c>
    </row>
    <row r="5229">
      <c r="A5229" t="inlineStr">
        <is>
          <t>CB</t>
        </is>
      </c>
      <c r="B5229" s="6" t="n">
        <v>58.6</v>
      </c>
    </row>
    <row r="5230">
      <c r="A5230" t="inlineStr">
        <is>
          <t>CB</t>
        </is>
      </c>
      <c r="B5230" s="6" t="n">
        <v>123.2</v>
      </c>
    </row>
    <row r="5231">
      <c r="A5231" t="inlineStr">
        <is>
          <t>CB</t>
        </is>
      </c>
      <c r="B5231" s="6" t="n">
        <v>63.8</v>
      </c>
    </row>
    <row r="5232">
      <c r="A5232" t="inlineStr">
        <is>
          <t>CB</t>
        </is>
      </c>
      <c r="B5232" s="6" t="n">
        <v>17.7</v>
      </c>
    </row>
    <row r="5233">
      <c r="A5233" t="inlineStr">
        <is>
          <t>CB</t>
        </is>
      </c>
      <c r="B5233" s="6" t="n">
        <v>93</v>
      </c>
    </row>
    <row r="5234">
      <c r="A5234" t="inlineStr">
        <is>
          <t>CB</t>
        </is>
      </c>
      <c r="B5234" s="6" t="n">
        <v>65.3</v>
      </c>
    </row>
    <row r="5235">
      <c r="A5235" t="inlineStr">
        <is>
          <t>CB</t>
        </is>
      </c>
      <c r="B5235" s="6" t="n">
        <v>107.5</v>
      </c>
    </row>
    <row r="5236">
      <c r="A5236" t="inlineStr">
        <is>
          <t>CB</t>
        </is>
      </c>
      <c r="B5236" s="6" t="n">
        <v>32.6</v>
      </c>
    </row>
    <row r="5237">
      <c r="A5237" t="inlineStr">
        <is>
          <t>ESP</t>
        </is>
      </c>
      <c r="B5237" s="6" t="n">
        <v>28.9</v>
      </c>
    </row>
    <row r="5238">
      <c r="A5238" t="inlineStr">
        <is>
          <t>CB</t>
        </is>
      </c>
      <c r="B5238" s="6" t="n">
        <v>59.4</v>
      </c>
    </row>
    <row r="5239">
      <c r="A5239" t="inlineStr">
        <is>
          <t>CB</t>
        </is>
      </c>
      <c r="B5239" s="6" t="n">
        <v>72.5</v>
      </c>
    </row>
    <row r="5240">
      <c r="A5240" t="inlineStr">
        <is>
          <t>CB</t>
        </is>
      </c>
      <c r="B5240" s="6" t="n">
        <v>101.1</v>
      </c>
    </row>
    <row r="5241">
      <c r="A5241" t="inlineStr">
        <is>
          <t>CB</t>
        </is>
      </c>
      <c r="B5241" s="6" t="n">
        <v>110</v>
      </c>
    </row>
    <row r="5242">
      <c r="A5242" t="inlineStr">
        <is>
          <t>CB</t>
        </is>
      </c>
      <c r="B5242" s="6" t="n">
        <v>91.8</v>
      </c>
    </row>
    <row r="5243">
      <c r="A5243" t="inlineStr">
        <is>
          <t>CB</t>
        </is>
      </c>
      <c r="B5243" s="6" t="n">
        <v>112.8</v>
      </c>
    </row>
    <row r="5244">
      <c r="A5244" t="inlineStr">
        <is>
          <t>CB</t>
        </is>
      </c>
      <c r="B5244" s="6" t="n">
        <v>98.7</v>
      </c>
    </row>
    <row r="5245">
      <c r="A5245" t="inlineStr">
        <is>
          <t>CB</t>
        </is>
      </c>
      <c r="B5245" s="6" t="n">
        <v>82.8</v>
      </c>
    </row>
    <row r="5246">
      <c r="A5246" t="inlineStr">
        <is>
          <t>CB</t>
        </is>
      </c>
      <c r="B5246" s="6" t="n">
        <v>86.3</v>
      </c>
    </row>
    <row r="5247">
      <c r="A5247" t="inlineStr">
        <is>
          <t>CB</t>
        </is>
      </c>
      <c r="B5247" s="6" t="n">
        <v>42.7</v>
      </c>
    </row>
    <row r="5248">
      <c r="A5248" t="inlineStr">
        <is>
          <t>CHQ</t>
        </is>
      </c>
      <c r="B5248" s="6" t="n">
        <v>144.1</v>
      </c>
    </row>
    <row r="5249">
      <c r="A5249" t="inlineStr">
        <is>
          <t>CHQ</t>
        </is>
      </c>
      <c r="B5249" s="6" t="n">
        <v>164.7</v>
      </c>
    </row>
    <row r="5250">
      <c r="A5250" t="inlineStr">
        <is>
          <t>CB</t>
        </is>
      </c>
      <c r="B5250" s="6" t="n">
        <v>33</v>
      </c>
    </row>
    <row r="5251">
      <c r="A5251" t="inlineStr">
        <is>
          <t>CHQ</t>
        </is>
      </c>
      <c r="B5251" s="6" t="n">
        <v>52.4</v>
      </c>
    </row>
    <row r="5252">
      <c r="A5252" t="inlineStr">
        <is>
          <t>CHQ</t>
        </is>
      </c>
      <c r="B5252" s="6" t="n">
        <v>140.1</v>
      </c>
    </row>
    <row r="5253">
      <c r="A5253" t="inlineStr">
        <is>
          <t>CHQ</t>
        </is>
      </c>
      <c r="B5253" s="6" t="n">
        <v>78.5</v>
      </c>
    </row>
    <row r="5254">
      <c r="A5254" t="inlineStr">
        <is>
          <t>CHQ</t>
        </is>
      </c>
      <c r="B5254" s="6" t="n">
        <v>100.2</v>
      </c>
    </row>
    <row r="5255">
      <c r="A5255" t="inlineStr">
        <is>
          <t>CHQ</t>
        </is>
      </c>
      <c r="B5255" s="6" t="n">
        <v>140.1</v>
      </c>
    </row>
    <row r="5256">
      <c r="A5256" t="inlineStr">
        <is>
          <t>CHV</t>
        </is>
      </c>
      <c r="B5256" s="6" t="n">
        <v>50</v>
      </c>
    </row>
    <row r="5257">
      <c r="A5257" t="inlineStr">
        <is>
          <t>CB</t>
        </is>
      </c>
      <c r="B5257" s="6" t="n">
        <v>65</v>
      </c>
    </row>
    <row r="5258">
      <c r="A5258" t="inlineStr">
        <is>
          <t>CB</t>
        </is>
      </c>
      <c r="B5258" s="6" t="n">
        <v>85.59999999999999</v>
      </c>
    </row>
    <row r="5259">
      <c r="A5259" t="inlineStr">
        <is>
          <t>CB</t>
        </is>
      </c>
      <c r="B5259" s="6" t="n">
        <v>44.5</v>
      </c>
    </row>
    <row r="5260">
      <c r="A5260" t="inlineStr">
        <is>
          <t>CB</t>
        </is>
      </c>
      <c r="B5260" s="6" t="n">
        <v>65.09999999999999</v>
      </c>
    </row>
    <row r="5261">
      <c r="A5261" t="inlineStr">
        <is>
          <t>CB</t>
        </is>
      </c>
      <c r="B5261" s="6" t="n">
        <v>124</v>
      </c>
    </row>
    <row r="5262">
      <c r="A5262" t="inlineStr">
        <is>
          <t>CB</t>
        </is>
      </c>
      <c r="B5262" s="6" t="n">
        <v>76.2</v>
      </c>
    </row>
    <row r="5263">
      <c r="A5263" t="inlineStr">
        <is>
          <t>CB</t>
        </is>
      </c>
      <c r="B5263" s="6" t="n">
        <v>67.59999999999999</v>
      </c>
    </row>
    <row r="5264">
      <c r="A5264" t="inlineStr">
        <is>
          <t>CB</t>
        </is>
      </c>
      <c r="B5264" s="6" t="n">
        <v>75.7</v>
      </c>
    </row>
    <row r="5265">
      <c r="A5265" t="inlineStr">
        <is>
          <t>CB</t>
        </is>
      </c>
      <c r="B5265" s="6" t="n">
        <v>53.8</v>
      </c>
    </row>
    <row r="5266">
      <c r="A5266" t="inlineStr">
        <is>
          <t>CB</t>
        </is>
      </c>
      <c r="B5266" s="6" t="n">
        <v>109.9</v>
      </c>
    </row>
    <row r="5267">
      <c r="A5267" t="inlineStr">
        <is>
          <t>CB</t>
        </is>
      </c>
      <c r="B5267" s="6" t="n">
        <v>192.9</v>
      </c>
    </row>
    <row r="5268">
      <c r="A5268" t="inlineStr">
        <is>
          <t>CB</t>
        </is>
      </c>
      <c r="B5268" s="6" t="n">
        <v>80.7</v>
      </c>
    </row>
    <row r="5269">
      <c r="A5269" t="inlineStr">
        <is>
          <t>CB</t>
        </is>
      </c>
      <c r="B5269" s="6" t="n">
        <v>80</v>
      </c>
    </row>
    <row r="5270">
      <c r="A5270" t="inlineStr">
        <is>
          <t>CB</t>
        </is>
      </c>
      <c r="B5270" s="6" t="n">
        <v>71.40000000000001</v>
      </c>
    </row>
    <row r="5271">
      <c r="A5271" t="inlineStr">
        <is>
          <t>TR</t>
        </is>
      </c>
      <c r="B5271" s="6" t="n">
        <v>13</v>
      </c>
    </row>
    <row r="5272">
      <c r="A5272" t="inlineStr">
        <is>
          <t>CB</t>
        </is>
      </c>
      <c r="B5272" s="6" t="n">
        <v>62.5</v>
      </c>
    </row>
    <row r="5273">
      <c r="A5273" t="inlineStr">
        <is>
          <t>TR</t>
        </is>
      </c>
      <c r="B5273" s="6" t="n">
        <v>20</v>
      </c>
    </row>
    <row r="5274">
      <c r="A5274" t="inlineStr">
        <is>
          <t>CB</t>
        </is>
      </c>
      <c r="B5274" s="6" t="n">
        <v>24.5</v>
      </c>
    </row>
    <row r="5275">
      <c r="A5275" t="inlineStr">
        <is>
          <t>CB</t>
        </is>
      </c>
      <c r="B5275" s="6" t="n">
        <v>15.6</v>
      </c>
    </row>
    <row r="5276">
      <c r="A5276" t="inlineStr">
        <is>
          <t>CB</t>
        </is>
      </c>
      <c r="B5276" s="6" t="n">
        <v>80.7</v>
      </c>
    </row>
    <row r="5277">
      <c r="A5277" t="inlineStr">
        <is>
          <t>CB</t>
        </is>
      </c>
      <c r="B5277" s="6" t="n">
        <v>80</v>
      </c>
    </row>
    <row r="5278">
      <c r="A5278" t="inlineStr">
        <is>
          <t>ESP</t>
        </is>
      </c>
      <c r="B5278" s="6" t="n">
        <v>28</v>
      </c>
    </row>
    <row r="5279">
      <c r="A5279" t="inlineStr">
        <is>
          <t>CB</t>
        </is>
      </c>
      <c r="B5279" s="6" t="n">
        <v>39.2</v>
      </c>
    </row>
    <row r="5280">
      <c r="A5280" t="inlineStr">
        <is>
          <t>TR</t>
        </is>
      </c>
      <c r="B5280" s="6" t="n">
        <v>47.25</v>
      </c>
    </row>
    <row r="5281">
      <c r="A5281" t="inlineStr">
        <is>
          <t>TR</t>
        </is>
      </c>
      <c r="B5281" s="6" t="n">
        <v>9.25</v>
      </c>
    </row>
    <row r="5282">
      <c r="A5282" t="inlineStr">
        <is>
          <t>ESP</t>
        </is>
      </c>
      <c r="B5282" s="6" t="n">
        <v>6.1</v>
      </c>
    </row>
    <row r="5283">
      <c r="A5283" t="inlineStr">
        <is>
          <t>CHQ</t>
        </is>
      </c>
      <c r="B5283" s="6" t="n">
        <v>75.7</v>
      </c>
    </row>
    <row r="5284">
      <c r="A5284" t="inlineStr">
        <is>
          <t>CHQ</t>
        </is>
      </c>
      <c r="B5284" s="6" t="n">
        <v>253.4</v>
      </c>
    </row>
    <row r="5285">
      <c r="A5285" t="inlineStr">
        <is>
          <t>CHQ</t>
        </is>
      </c>
      <c r="B5285" s="6" t="n">
        <v>86.2</v>
      </c>
    </row>
    <row r="5286">
      <c r="A5286" t="inlineStr">
        <is>
          <t>CHQ</t>
        </is>
      </c>
      <c r="B5286" s="6" t="n">
        <v>62.2</v>
      </c>
    </row>
    <row r="5287">
      <c r="A5287" t="inlineStr">
        <is>
          <t>CHQ</t>
        </is>
      </c>
      <c r="B5287" s="6" t="n">
        <v>73.5</v>
      </c>
    </row>
    <row r="5288">
      <c r="A5288" t="inlineStr">
        <is>
          <t>CHQ</t>
        </is>
      </c>
      <c r="B5288" s="6" t="n">
        <v>86.2</v>
      </c>
    </row>
    <row r="5289">
      <c r="A5289" t="inlineStr">
        <is>
          <t>CB</t>
        </is>
      </c>
      <c r="B5289" s="6" t="n">
        <v>83.59999999999999</v>
      </c>
    </row>
    <row r="5290">
      <c r="A5290" t="inlineStr">
        <is>
          <t>CB</t>
        </is>
      </c>
      <c r="B5290" s="6" t="n">
        <v>59.5</v>
      </c>
    </row>
    <row r="5291">
      <c r="A5291" t="inlineStr">
        <is>
          <t>CB</t>
        </is>
      </c>
      <c r="B5291" s="6" t="n">
        <v>73.09999999999999</v>
      </c>
    </row>
    <row r="5292">
      <c r="A5292" t="inlineStr">
        <is>
          <t>CB</t>
        </is>
      </c>
      <c r="B5292" s="6" t="n">
        <v>65.5</v>
      </c>
    </row>
    <row r="5293">
      <c r="A5293" t="inlineStr">
        <is>
          <t>CB</t>
        </is>
      </c>
      <c r="B5293" s="6" t="n">
        <v>54</v>
      </c>
    </row>
    <row r="5294">
      <c r="A5294" t="inlineStr">
        <is>
          <t>CB</t>
        </is>
      </c>
      <c r="B5294" s="6" t="n">
        <v>8.5</v>
      </c>
    </row>
    <row r="5295">
      <c r="A5295" t="inlineStr">
        <is>
          <t>CB</t>
        </is>
      </c>
      <c r="B5295" s="6" t="n">
        <v>47.9</v>
      </c>
    </row>
    <row r="5296">
      <c r="A5296" t="inlineStr">
        <is>
          <t>CB</t>
        </is>
      </c>
      <c r="B5296" s="6" t="n">
        <v>59.6</v>
      </c>
    </row>
    <row r="5297">
      <c r="A5297" t="inlineStr">
        <is>
          <t>CB</t>
        </is>
      </c>
      <c r="B5297" s="6" t="n">
        <v>48.2</v>
      </c>
    </row>
    <row r="5298">
      <c r="A5298" t="inlineStr">
        <is>
          <t>CB</t>
        </is>
      </c>
      <c r="B5298" s="6" t="n">
        <v>13.3</v>
      </c>
    </row>
    <row r="5299">
      <c r="A5299" t="inlineStr">
        <is>
          <t>CB</t>
        </is>
      </c>
      <c r="B5299" s="6" t="n">
        <v>47.5</v>
      </c>
    </row>
    <row r="5300">
      <c r="A5300" t="inlineStr">
        <is>
          <t>CB</t>
        </is>
      </c>
      <c r="B5300" s="6" t="n">
        <v>75.90000000000001</v>
      </c>
    </row>
    <row r="5301">
      <c r="A5301" t="inlineStr">
        <is>
          <t>TR</t>
        </is>
      </c>
      <c r="B5301" s="6" t="n">
        <v>54</v>
      </c>
    </row>
    <row r="5302">
      <c r="A5302" t="inlineStr">
        <is>
          <t>ESP</t>
        </is>
      </c>
      <c r="B5302" s="6" t="n">
        <v>4.8</v>
      </c>
    </row>
    <row r="5303">
      <c r="A5303" t="inlineStr">
        <is>
          <t>CB</t>
        </is>
      </c>
      <c r="B5303" s="6" t="n">
        <v>43.46</v>
      </c>
    </row>
    <row r="5304">
      <c r="A5304" t="inlineStr">
        <is>
          <t>CHV</t>
        </is>
      </c>
      <c r="B5304" s="6" t="n">
        <v>30</v>
      </c>
    </row>
    <row r="5305">
      <c r="A5305" t="inlineStr">
        <is>
          <t>CB</t>
        </is>
      </c>
      <c r="B5305" s="6" t="n">
        <v>13.46</v>
      </c>
    </row>
    <row r="5306">
      <c r="A5306" t="inlineStr">
        <is>
          <t>CHV</t>
        </is>
      </c>
      <c r="B5306" s="6" t="n">
        <v>10</v>
      </c>
    </row>
    <row r="5307">
      <c r="A5307" t="inlineStr">
        <is>
          <t>CB</t>
        </is>
      </c>
      <c r="B5307" s="6" t="n">
        <v>33.48</v>
      </c>
    </row>
    <row r="5308">
      <c r="A5308" t="inlineStr">
        <is>
          <t>CB</t>
        </is>
      </c>
      <c r="B5308" s="6" t="n">
        <v>61.3</v>
      </c>
    </row>
    <row r="5309">
      <c r="A5309" t="inlineStr">
        <is>
          <t>CB</t>
        </is>
      </c>
      <c r="B5309" s="6" t="n">
        <v>26.1</v>
      </c>
    </row>
    <row r="5310">
      <c r="A5310" t="inlineStr">
        <is>
          <t>CHV</t>
        </is>
      </c>
      <c r="B5310" s="6" t="n">
        <v>20</v>
      </c>
    </row>
    <row r="5311">
      <c r="A5311" t="inlineStr">
        <is>
          <t>ESP</t>
        </is>
      </c>
      <c r="B5311" s="6" t="n">
        <v>25</v>
      </c>
    </row>
    <row r="5312">
      <c r="A5312" t="inlineStr">
        <is>
          <t>CB</t>
        </is>
      </c>
      <c r="B5312" s="6" t="n">
        <v>66.2</v>
      </c>
    </row>
    <row r="5313">
      <c r="A5313" t="inlineStr">
        <is>
          <t>CB</t>
        </is>
      </c>
      <c r="B5313" s="6" t="n">
        <v>90.59999999999999</v>
      </c>
    </row>
    <row r="5314">
      <c r="A5314" t="inlineStr">
        <is>
          <t>CB</t>
        </is>
      </c>
      <c r="B5314" s="6" t="n">
        <v>29.9</v>
      </c>
    </row>
    <row r="5315">
      <c r="A5315" t="inlineStr">
        <is>
          <t>CB</t>
        </is>
      </c>
      <c r="B5315" s="6" t="n">
        <v>29.9</v>
      </c>
    </row>
    <row r="5316">
      <c r="A5316" t="inlineStr">
        <is>
          <t>TR</t>
        </is>
      </c>
      <c r="B5316" s="6" t="n">
        <v>27</v>
      </c>
    </row>
    <row r="5317">
      <c r="A5317" t="inlineStr">
        <is>
          <t>ESP</t>
        </is>
      </c>
      <c r="B5317" s="6" t="n">
        <v>3.3</v>
      </c>
    </row>
    <row r="5318">
      <c r="A5318" t="inlineStr">
        <is>
          <t>CB</t>
        </is>
      </c>
      <c r="B5318" s="6" t="n">
        <v>95.8</v>
      </c>
    </row>
    <row r="5319">
      <c r="A5319" t="inlineStr">
        <is>
          <t>CB</t>
        </is>
      </c>
      <c r="B5319" s="6" t="n">
        <v>51.6</v>
      </c>
    </row>
    <row r="5320">
      <c r="A5320" t="inlineStr">
        <is>
          <t>CB</t>
        </is>
      </c>
      <c r="B5320" s="6" t="n">
        <v>52.9</v>
      </c>
    </row>
    <row r="5321">
      <c r="A5321" t="inlineStr">
        <is>
          <t>CB</t>
        </is>
      </c>
      <c r="B5321" s="6" t="n">
        <v>80.40000000000001</v>
      </c>
    </row>
    <row r="5322">
      <c r="A5322" t="inlineStr">
        <is>
          <t>CB</t>
        </is>
      </c>
      <c r="B5322" s="6" t="n">
        <v>69.7</v>
      </c>
    </row>
    <row r="5323">
      <c r="A5323" t="inlineStr">
        <is>
          <t>CB</t>
        </is>
      </c>
      <c r="B5323" s="6" t="n">
        <v>94.40000000000001</v>
      </c>
    </row>
    <row r="5324">
      <c r="A5324" t="inlineStr">
        <is>
          <t>CB</t>
        </is>
      </c>
      <c r="B5324" s="6" t="n">
        <v>120</v>
      </c>
    </row>
    <row r="5325">
      <c r="A5325" t="inlineStr">
        <is>
          <t>CB</t>
        </is>
      </c>
      <c r="B5325" s="6" t="n">
        <v>79.40000000000001</v>
      </c>
    </row>
    <row r="5326">
      <c r="A5326" t="inlineStr">
        <is>
          <t>CB</t>
        </is>
      </c>
      <c r="B5326" s="6" t="n">
        <v>103.9</v>
      </c>
    </row>
    <row r="5327">
      <c r="A5327" t="inlineStr">
        <is>
          <t>CB</t>
        </is>
      </c>
      <c r="B5327" s="6" t="n">
        <v>32.25</v>
      </c>
    </row>
    <row r="5328">
      <c r="A5328" t="inlineStr">
        <is>
          <t>CB</t>
        </is>
      </c>
      <c r="B5328" s="6" t="n">
        <v>53.4</v>
      </c>
    </row>
    <row r="5329">
      <c r="A5329" t="inlineStr">
        <is>
          <t>CB</t>
        </is>
      </c>
      <c r="B5329" s="6" t="n">
        <v>62.15</v>
      </c>
    </row>
    <row r="5330">
      <c r="A5330" t="inlineStr">
        <is>
          <t>CB</t>
        </is>
      </c>
      <c r="B5330" s="6" t="n">
        <v>68.90000000000001</v>
      </c>
    </row>
    <row r="5331">
      <c r="A5331" t="inlineStr">
        <is>
          <t>CB</t>
        </is>
      </c>
      <c r="B5331" s="6" t="n">
        <v>61.7</v>
      </c>
    </row>
    <row r="5332">
      <c r="A5332" t="inlineStr">
        <is>
          <t>CB</t>
        </is>
      </c>
      <c r="B5332" s="6" t="n">
        <v>58.5</v>
      </c>
    </row>
    <row r="5333">
      <c r="A5333" t="inlineStr">
        <is>
          <t>CB</t>
        </is>
      </c>
      <c r="B5333" s="6" t="n">
        <v>135.3</v>
      </c>
    </row>
    <row r="5334">
      <c r="A5334" t="inlineStr">
        <is>
          <t>CB</t>
        </is>
      </c>
      <c r="B5334" s="6" t="n">
        <v>20.4</v>
      </c>
    </row>
    <row r="5335">
      <c r="A5335" t="inlineStr">
        <is>
          <t>CB</t>
        </is>
      </c>
      <c r="B5335" s="6" t="n">
        <v>66.2</v>
      </c>
    </row>
    <row r="5336">
      <c r="A5336" t="inlineStr">
        <is>
          <t>TR</t>
        </is>
      </c>
      <c r="B5336" s="6" t="n">
        <v>27</v>
      </c>
    </row>
    <row r="5337">
      <c r="A5337" t="inlineStr">
        <is>
          <t>CB</t>
        </is>
      </c>
      <c r="B5337" s="6" t="n">
        <v>46.8</v>
      </c>
    </row>
    <row r="5338">
      <c r="A5338" t="inlineStr">
        <is>
          <t>CB</t>
        </is>
      </c>
      <c r="B5338" s="6" t="n">
        <v>35.8</v>
      </c>
    </row>
    <row r="5339">
      <c r="A5339" t="inlineStr">
        <is>
          <t>CB</t>
        </is>
      </c>
      <c r="B5339" s="6" t="n">
        <v>89.3</v>
      </c>
    </row>
    <row r="5340">
      <c r="A5340" t="inlineStr">
        <is>
          <t>CHQ</t>
        </is>
      </c>
      <c r="B5340" s="6" t="n">
        <v>65.59999999999999</v>
      </c>
    </row>
    <row r="5341">
      <c r="A5341" t="inlineStr">
        <is>
          <t>CB</t>
        </is>
      </c>
      <c r="B5341" s="6" t="n">
        <v>67</v>
      </c>
    </row>
    <row r="5342">
      <c r="A5342" t="inlineStr">
        <is>
          <t>CB</t>
        </is>
      </c>
      <c r="B5342" s="6" t="n">
        <v>37.6</v>
      </c>
    </row>
    <row r="5343">
      <c r="A5343" t="inlineStr">
        <is>
          <t>CB</t>
        </is>
      </c>
      <c r="B5343" s="6" t="n">
        <v>140</v>
      </c>
    </row>
    <row r="5344">
      <c r="A5344" t="inlineStr">
        <is>
          <t>CB</t>
        </is>
      </c>
      <c r="B5344" s="6" t="n">
        <v>97.90000000000001</v>
      </c>
    </row>
    <row r="5345">
      <c r="A5345" t="inlineStr">
        <is>
          <t>CB</t>
        </is>
      </c>
      <c r="B5345" s="6" t="n">
        <v>89.59999999999999</v>
      </c>
    </row>
    <row r="5346">
      <c r="A5346" t="inlineStr">
        <is>
          <t>CB</t>
        </is>
      </c>
      <c r="B5346" s="6" t="n">
        <v>236.7</v>
      </c>
    </row>
    <row r="5347">
      <c r="A5347" t="inlineStr">
        <is>
          <t>CB</t>
        </is>
      </c>
      <c r="B5347" s="6" t="n">
        <v>27</v>
      </c>
    </row>
    <row r="5348">
      <c r="A5348" t="inlineStr">
        <is>
          <t>CB</t>
        </is>
      </c>
      <c r="B5348" s="6" t="n">
        <v>57.2</v>
      </c>
    </row>
    <row r="5349">
      <c r="A5349" t="inlineStr">
        <is>
          <t>CB</t>
        </is>
      </c>
      <c r="B5349" s="6" t="n">
        <v>104.3</v>
      </c>
    </row>
    <row r="5350">
      <c r="A5350" t="inlineStr">
        <is>
          <t>CB</t>
        </is>
      </c>
      <c r="B5350" s="6" t="n">
        <v>134.5</v>
      </c>
    </row>
    <row r="5351">
      <c r="A5351" t="inlineStr">
        <is>
          <t>CB</t>
        </is>
      </c>
      <c r="B5351" s="6" t="n">
        <v>83.40000000000001</v>
      </c>
    </row>
    <row r="5352">
      <c r="A5352" t="inlineStr">
        <is>
          <t>CB</t>
        </is>
      </c>
      <c r="B5352" s="6" t="n">
        <v>39.2</v>
      </c>
    </row>
    <row r="5353">
      <c r="A5353" t="inlineStr">
        <is>
          <t>CB</t>
        </is>
      </c>
      <c r="B5353" s="6" t="n">
        <v>58.8</v>
      </c>
    </row>
    <row r="5354">
      <c r="A5354" t="inlineStr">
        <is>
          <t>CB</t>
        </is>
      </c>
      <c r="B5354" s="6" t="n">
        <v>44.4</v>
      </c>
    </row>
    <row r="5355">
      <c r="A5355" t="inlineStr">
        <is>
          <t>CB</t>
        </is>
      </c>
      <c r="B5355" s="6" t="n">
        <v>49.05</v>
      </c>
    </row>
    <row r="5356">
      <c r="A5356" t="inlineStr">
        <is>
          <t>CB</t>
        </is>
      </c>
      <c r="B5356" s="6" t="n">
        <v>76.3</v>
      </c>
    </row>
    <row r="5357">
      <c r="A5357" t="inlineStr">
        <is>
          <t>CB</t>
        </is>
      </c>
      <c r="B5357" s="6" t="n">
        <v>87.59999999999999</v>
      </c>
    </row>
    <row r="5358">
      <c r="A5358" t="inlineStr">
        <is>
          <t>CB</t>
        </is>
      </c>
      <c r="B5358" s="6" t="n">
        <v>25.7</v>
      </c>
    </row>
    <row r="5359">
      <c r="A5359" t="inlineStr">
        <is>
          <t>CB</t>
        </is>
      </c>
      <c r="B5359" s="6" t="n">
        <v>92</v>
      </c>
    </row>
    <row r="5360">
      <c r="A5360" t="inlineStr">
        <is>
          <t>CB</t>
        </is>
      </c>
      <c r="B5360" s="6" t="n">
        <v>71.90000000000001</v>
      </c>
    </row>
    <row r="5361">
      <c r="A5361" t="inlineStr">
        <is>
          <t>CB</t>
        </is>
      </c>
      <c r="B5361" s="6" t="n">
        <v>144.5</v>
      </c>
    </row>
    <row r="5362">
      <c r="A5362" t="inlineStr">
        <is>
          <t>CB</t>
        </is>
      </c>
      <c r="B5362" s="6" t="n">
        <v>49.05</v>
      </c>
    </row>
    <row r="5363">
      <c r="A5363" t="inlineStr">
        <is>
          <t>CHV</t>
        </is>
      </c>
      <c r="B5363" s="6" t="n">
        <v>80</v>
      </c>
    </row>
    <row r="5364">
      <c r="A5364" t="inlineStr">
        <is>
          <t>CHV</t>
        </is>
      </c>
      <c r="B5364" s="6" t="n">
        <v>49.7</v>
      </c>
    </row>
    <row r="5365">
      <c r="A5365" t="inlineStr">
        <is>
          <t>CB</t>
        </is>
      </c>
      <c r="B5365" s="6" t="n">
        <v>199.6</v>
      </c>
    </row>
    <row r="5366">
      <c r="A5366" t="inlineStr">
        <is>
          <t>CB</t>
        </is>
      </c>
      <c r="B5366" s="6" t="n">
        <v>38.6</v>
      </c>
    </row>
    <row r="5367">
      <c r="A5367" t="inlineStr">
        <is>
          <t>CB</t>
        </is>
      </c>
      <c r="B5367" s="6" t="n">
        <v>42.3</v>
      </c>
    </row>
    <row r="5368">
      <c r="A5368" t="inlineStr">
        <is>
          <t>CB</t>
        </is>
      </c>
      <c r="B5368" s="6" t="n">
        <v>24.6</v>
      </c>
    </row>
    <row r="5369">
      <c r="A5369" t="inlineStr">
        <is>
          <t>CB</t>
        </is>
      </c>
      <c r="B5369" s="6" t="n">
        <v>38.6</v>
      </c>
    </row>
    <row r="5370">
      <c r="A5370" t="inlineStr">
        <is>
          <t>CB</t>
        </is>
      </c>
      <c r="B5370" s="6" t="n">
        <v>35.7</v>
      </c>
    </row>
    <row r="5371">
      <c r="A5371" t="inlineStr">
        <is>
          <t>CB</t>
        </is>
      </c>
      <c r="B5371" s="6" t="n">
        <v>42.3</v>
      </c>
    </row>
    <row r="5372">
      <c r="A5372" t="inlineStr">
        <is>
          <t>CB</t>
        </is>
      </c>
      <c r="B5372" s="6" t="n">
        <v>83.8</v>
      </c>
    </row>
    <row r="5373">
      <c r="A5373" t="inlineStr">
        <is>
          <t>CB</t>
        </is>
      </c>
      <c r="B5373" s="6" t="n">
        <v>68</v>
      </c>
    </row>
    <row r="5374">
      <c r="A5374" t="inlineStr">
        <is>
          <t>CHQ</t>
        </is>
      </c>
      <c r="B5374" s="6" t="n">
        <v>19.8</v>
      </c>
    </row>
    <row r="5375">
      <c r="A5375" t="inlineStr">
        <is>
          <t>TR</t>
        </is>
      </c>
      <c r="B5375" s="6" t="n">
        <v>100.8</v>
      </c>
    </row>
    <row r="5376">
      <c r="A5376" t="inlineStr">
        <is>
          <t>CB</t>
        </is>
      </c>
      <c r="B5376" s="6" t="n">
        <v>122.1</v>
      </c>
    </row>
    <row r="5377">
      <c r="A5377" t="inlineStr">
        <is>
          <t>CB</t>
        </is>
      </c>
      <c r="B5377" s="6" t="n">
        <v>107.7</v>
      </c>
    </row>
    <row r="5378">
      <c r="A5378" t="inlineStr">
        <is>
          <t>CB</t>
        </is>
      </c>
      <c r="B5378" s="6" t="n">
        <v>81.8</v>
      </c>
    </row>
    <row r="5379">
      <c r="A5379" t="inlineStr">
        <is>
          <t>CB</t>
        </is>
      </c>
      <c r="B5379" s="6" t="n">
        <v>26.9</v>
      </c>
    </row>
    <row r="5380">
      <c r="A5380" t="inlineStr">
        <is>
          <t>CB</t>
        </is>
      </c>
      <c r="B5380" s="6" t="n">
        <v>34.8</v>
      </c>
    </row>
    <row r="5381">
      <c r="A5381" t="inlineStr">
        <is>
          <t>CB</t>
        </is>
      </c>
      <c r="B5381" s="6" t="n">
        <v>111.1</v>
      </c>
    </row>
    <row r="5382">
      <c r="A5382" t="inlineStr">
        <is>
          <t>CB</t>
        </is>
      </c>
      <c r="B5382" s="6" t="n">
        <v>26.9</v>
      </c>
    </row>
    <row r="5383">
      <c r="A5383" t="inlineStr">
        <is>
          <t>CB</t>
        </is>
      </c>
      <c r="B5383" s="6" t="n">
        <v>139.8</v>
      </c>
    </row>
    <row r="5384">
      <c r="A5384" t="inlineStr">
        <is>
          <t>CB</t>
        </is>
      </c>
      <c r="B5384" s="6" t="n">
        <v>74.59999999999999</v>
      </c>
    </row>
    <row r="5385">
      <c r="A5385" t="inlineStr">
        <is>
          <t>CB</t>
        </is>
      </c>
      <c r="B5385" s="6" t="n">
        <v>24.25</v>
      </c>
    </row>
    <row r="5386">
      <c r="A5386" t="inlineStr">
        <is>
          <t>CB</t>
        </is>
      </c>
      <c r="B5386" s="6" t="n">
        <v>15</v>
      </c>
    </row>
    <row r="5387">
      <c r="A5387" t="inlineStr">
        <is>
          <t>CB</t>
        </is>
      </c>
      <c r="B5387" s="6" t="n">
        <v>24.25</v>
      </c>
    </row>
    <row r="5388">
      <c r="A5388" t="inlineStr">
        <is>
          <t>CB</t>
        </is>
      </c>
      <c r="B5388" s="6" t="n">
        <v>34.8</v>
      </c>
    </row>
    <row r="5389">
      <c r="A5389" t="inlineStr">
        <is>
          <t>TR</t>
        </is>
      </c>
      <c r="B5389" s="6" t="n">
        <v>28.44</v>
      </c>
    </row>
    <row r="5390">
      <c r="A5390" t="inlineStr">
        <is>
          <t>TR</t>
        </is>
      </c>
      <c r="B5390" s="6" t="n">
        <v>9.48</v>
      </c>
    </row>
    <row r="5391">
      <c r="A5391" t="inlineStr">
        <is>
          <t>TR</t>
        </is>
      </c>
      <c r="B5391" s="6" t="n">
        <v>9.08</v>
      </c>
    </row>
    <row r="5392">
      <c r="A5392" t="inlineStr">
        <is>
          <t>CB</t>
        </is>
      </c>
      <c r="B5392" s="6" t="n">
        <v>106.1</v>
      </c>
    </row>
    <row r="5393">
      <c r="A5393" t="inlineStr">
        <is>
          <t>CB</t>
        </is>
      </c>
      <c r="B5393" s="6" t="n">
        <v>65.8</v>
      </c>
    </row>
    <row r="5394">
      <c r="A5394" t="inlineStr">
        <is>
          <t>CHQ</t>
        </is>
      </c>
      <c r="B5394" s="6" t="n">
        <v>90.59999999999999</v>
      </c>
    </row>
    <row r="5395">
      <c r="A5395" t="inlineStr">
        <is>
          <t>CB</t>
        </is>
      </c>
      <c r="B5395" s="6" t="n">
        <v>55.2</v>
      </c>
    </row>
    <row r="5396">
      <c r="A5396" t="inlineStr">
        <is>
          <t>CB</t>
        </is>
      </c>
      <c r="B5396" s="6" t="n">
        <v>85.2</v>
      </c>
    </row>
    <row r="5397">
      <c r="A5397" t="inlineStr">
        <is>
          <t>CB</t>
        </is>
      </c>
      <c r="B5397" s="6" t="n">
        <v>118.4</v>
      </c>
    </row>
    <row r="5398">
      <c r="A5398" t="inlineStr">
        <is>
          <t>CB</t>
        </is>
      </c>
      <c r="B5398" s="6" t="n">
        <v>58.45</v>
      </c>
    </row>
    <row r="5399">
      <c r="A5399" t="inlineStr">
        <is>
          <t>CB</t>
        </is>
      </c>
      <c r="B5399" s="6" t="n">
        <v>37.6</v>
      </c>
    </row>
    <row r="5400">
      <c r="A5400" t="inlineStr">
        <is>
          <t>CB</t>
        </is>
      </c>
      <c r="B5400" s="6" t="n">
        <v>75.8</v>
      </c>
    </row>
    <row r="5401">
      <c r="A5401" t="inlineStr">
        <is>
          <t>CB</t>
        </is>
      </c>
      <c r="B5401" s="6" t="n">
        <v>140.7</v>
      </c>
    </row>
    <row r="5402">
      <c r="A5402" t="inlineStr">
        <is>
          <t>CHV</t>
        </is>
      </c>
      <c r="B5402" s="6" t="n">
        <v>10</v>
      </c>
    </row>
    <row r="5403">
      <c r="A5403" t="inlineStr">
        <is>
          <t>CB</t>
        </is>
      </c>
      <c r="B5403" s="6" t="n">
        <v>68.7</v>
      </c>
    </row>
    <row r="5404">
      <c r="A5404" t="inlineStr">
        <is>
          <t>ESP</t>
        </is>
      </c>
      <c r="B5404" s="6" t="n">
        <v>70</v>
      </c>
    </row>
    <row r="5405">
      <c r="A5405" t="inlineStr">
        <is>
          <t>CB</t>
        </is>
      </c>
      <c r="B5405" s="6" t="n">
        <v>26.8</v>
      </c>
    </row>
    <row r="5406">
      <c r="A5406" t="inlineStr">
        <is>
          <t>CB</t>
        </is>
      </c>
      <c r="B5406" s="6" t="n">
        <v>57.8</v>
      </c>
    </row>
    <row r="5407">
      <c r="A5407" t="inlineStr">
        <is>
          <t>CB</t>
        </is>
      </c>
      <c r="B5407" s="6" t="n">
        <v>70.59999999999999</v>
      </c>
    </row>
    <row r="5408">
      <c r="A5408" t="inlineStr">
        <is>
          <t>CB</t>
        </is>
      </c>
      <c r="B5408" s="6" t="n">
        <v>20.7</v>
      </c>
    </row>
    <row r="5409">
      <c r="A5409" t="inlineStr">
        <is>
          <t>CB</t>
        </is>
      </c>
      <c r="B5409" s="6" t="n">
        <v>58.45</v>
      </c>
    </row>
    <row r="5410">
      <c r="A5410" t="inlineStr">
        <is>
          <t>CB</t>
        </is>
      </c>
      <c r="B5410" s="6" t="n">
        <v>126.2</v>
      </c>
    </row>
    <row r="5411">
      <c r="A5411" t="inlineStr">
        <is>
          <t>CB</t>
        </is>
      </c>
      <c r="B5411" s="6" t="n">
        <v>76.5</v>
      </c>
    </row>
    <row r="5412">
      <c r="A5412" t="inlineStr">
        <is>
          <t>CB</t>
        </is>
      </c>
      <c r="B5412" s="6" t="n">
        <v>40.8</v>
      </c>
    </row>
    <row r="5413">
      <c r="A5413" t="inlineStr">
        <is>
          <t>CB</t>
        </is>
      </c>
      <c r="B5413" s="6" t="n">
        <v>59.8</v>
      </c>
    </row>
    <row r="5414">
      <c r="A5414" t="inlineStr">
        <is>
          <t>CB</t>
        </is>
      </c>
      <c r="B5414" s="6" t="n">
        <v>76.90000000000001</v>
      </c>
    </row>
    <row r="5415">
      <c r="A5415" t="inlineStr">
        <is>
          <t>CB</t>
        </is>
      </c>
      <c r="B5415" s="6" t="n">
        <v>25.2</v>
      </c>
    </row>
    <row r="5416">
      <c r="A5416" t="inlineStr">
        <is>
          <t>CB</t>
        </is>
      </c>
      <c r="B5416" s="6" t="n">
        <v>90.3</v>
      </c>
    </row>
    <row r="5417">
      <c r="A5417" t="inlineStr">
        <is>
          <t>CHQ</t>
        </is>
      </c>
      <c r="B5417" s="6" t="n">
        <v>61.5</v>
      </c>
    </row>
    <row r="5418">
      <c r="A5418" t="inlineStr">
        <is>
          <t>TR</t>
        </is>
      </c>
      <c r="B5418" s="6" t="n">
        <v>8.800000000000001</v>
      </c>
    </row>
    <row r="5419">
      <c r="A5419" t="inlineStr">
        <is>
          <t>CB</t>
        </is>
      </c>
      <c r="B5419" s="6" t="n">
        <v>35.4</v>
      </c>
    </row>
    <row r="5420">
      <c r="A5420" t="inlineStr">
        <is>
          <t>CB</t>
        </is>
      </c>
      <c r="B5420" s="6" t="n">
        <v>48.4</v>
      </c>
    </row>
    <row r="5421">
      <c r="A5421" t="inlineStr">
        <is>
          <t>CB</t>
        </is>
      </c>
      <c r="B5421" s="6" t="n">
        <v>9.9</v>
      </c>
    </row>
    <row r="5422">
      <c r="A5422" t="inlineStr">
        <is>
          <t>CB</t>
        </is>
      </c>
      <c r="B5422" s="6" t="n">
        <v>90.3</v>
      </c>
    </row>
    <row r="5423">
      <c r="A5423" t="inlineStr">
        <is>
          <t>CB</t>
        </is>
      </c>
      <c r="B5423" s="6" t="n">
        <v>24.7</v>
      </c>
    </row>
    <row r="5424">
      <c r="A5424" t="inlineStr">
        <is>
          <t>CB</t>
        </is>
      </c>
      <c r="B5424" s="6" t="n">
        <v>154.3</v>
      </c>
    </row>
    <row r="5425">
      <c r="A5425" t="inlineStr">
        <is>
          <t>CB</t>
        </is>
      </c>
      <c r="B5425" s="6" t="n">
        <v>85</v>
      </c>
    </row>
    <row r="5426">
      <c r="A5426" t="inlineStr">
        <is>
          <t>CB</t>
        </is>
      </c>
      <c r="B5426" s="6" t="n">
        <v>62.5</v>
      </c>
    </row>
    <row r="5427">
      <c r="A5427" t="inlineStr">
        <is>
          <t>CB</t>
        </is>
      </c>
      <c r="B5427" s="6" t="n">
        <v>31.05</v>
      </c>
    </row>
    <row r="5428">
      <c r="A5428" t="inlineStr">
        <is>
          <t>CB</t>
        </is>
      </c>
      <c r="B5428" s="6" t="n">
        <v>34</v>
      </c>
    </row>
    <row r="5429">
      <c r="A5429" t="inlineStr">
        <is>
          <t>CB</t>
        </is>
      </c>
      <c r="B5429" s="6" t="n">
        <v>31.05</v>
      </c>
    </row>
    <row r="5430">
      <c r="A5430" t="inlineStr">
        <is>
          <t>CB</t>
        </is>
      </c>
      <c r="B5430" s="6" t="n">
        <v>28.4</v>
      </c>
    </row>
    <row r="5431">
      <c r="A5431" t="inlineStr">
        <is>
          <t>CB</t>
        </is>
      </c>
      <c r="B5431" s="6" t="n">
        <v>80.09999999999999</v>
      </c>
    </row>
    <row r="5432">
      <c r="A5432" t="inlineStr">
        <is>
          <t>CB</t>
        </is>
      </c>
      <c r="B5432" s="6" t="n">
        <v>165</v>
      </c>
    </row>
    <row r="5433">
      <c r="A5433" t="inlineStr">
        <is>
          <t>CB</t>
        </is>
      </c>
      <c r="B5433" s="6" t="n">
        <v>25</v>
      </c>
    </row>
    <row r="5434">
      <c r="A5434" t="inlineStr">
        <is>
          <t>CB</t>
        </is>
      </c>
      <c r="B5434" s="6" t="n">
        <v>161.8</v>
      </c>
    </row>
    <row r="5435">
      <c r="A5435" t="inlineStr">
        <is>
          <t>CB</t>
        </is>
      </c>
      <c r="B5435" s="6" t="n">
        <v>72.59999999999999</v>
      </c>
    </row>
    <row r="5436">
      <c r="A5436" t="inlineStr">
        <is>
          <t>CB</t>
        </is>
      </c>
      <c r="B5436" s="6" t="n">
        <v>87</v>
      </c>
    </row>
    <row r="5437">
      <c r="A5437" t="inlineStr">
        <is>
          <t>CB</t>
        </is>
      </c>
      <c r="B5437" s="6" t="n">
        <v>67.5</v>
      </c>
    </row>
    <row r="5438">
      <c r="A5438" t="inlineStr">
        <is>
          <t>CB</t>
        </is>
      </c>
      <c r="B5438" s="6" t="n">
        <v>71.59999999999999</v>
      </c>
    </row>
    <row r="5439">
      <c r="A5439" t="inlineStr">
        <is>
          <t>CB</t>
        </is>
      </c>
      <c r="B5439" s="6" t="n">
        <v>39.25</v>
      </c>
    </row>
    <row r="5440">
      <c r="A5440" t="inlineStr">
        <is>
          <t>CB</t>
        </is>
      </c>
      <c r="B5440" s="6" t="n">
        <v>133.8</v>
      </c>
    </row>
    <row r="5441">
      <c r="A5441" t="inlineStr">
        <is>
          <t>CB</t>
        </is>
      </c>
      <c r="B5441" s="6" t="n">
        <v>31.6</v>
      </c>
    </row>
    <row r="5442">
      <c r="A5442" t="inlineStr">
        <is>
          <t>CB</t>
        </is>
      </c>
      <c r="B5442" s="6" t="n">
        <v>39.25</v>
      </c>
    </row>
    <row r="5443">
      <c r="A5443" t="inlineStr">
        <is>
          <t>CB</t>
        </is>
      </c>
      <c r="B5443" s="6" t="n">
        <v>81.59999999999999</v>
      </c>
    </row>
    <row r="5444">
      <c r="A5444" t="inlineStr">
        <is>
          <t>CB</t>
        </is>
      </c>
      <c r="B5444" s="6" t="n">
        <v>47.7</v>
      </c>
    </row>
    <row r="5445">
      <c r="A5445" t="inlineStr">
        <is>
          <t>CB</t>
        </is>
      </c>
      <c r="B5445" s="6" t="n">
        <v>47.7</v>
      </c>
    </row>
    <row r="5446">
      <c r="A5446" t="inlineStr">
        <is>
          <t>CB</t>
        </is>
      </c>
      <c r="B5446" s="6" t="n">
        <v>40.9</v>
      </c>
    </row>
    <row r="5447">
      <c r="A5447" t="inlineStr">
        <is>
          <t>TR</t>
        </is>
      </c>
      <c r="B5447" s="6" t="n">
        <v>27</v>
      </c>
    </row>
    <row r="5448">
      <c r="A5448" t="inlineStr">
        <is>
          <t>CB</t>
        </is>
      </c>
      <c r="B5448" s="6" t="n">
        <v>39.4</v>
      </c>
    </row>
    <row r="5449">
      <c r="A5449" t="inlineStr">
        <is>
          <t>CB</t>
        </is>
      </c>
      <c r="B5449" s="6" t="n">
        <v>59.3</v>
      </c>
    </row>
    <row r="5450">
      <c r="A5450" t="inlineStr">
        <is>
          <t>CB</t>
        </is>
      </c>
      <c r="B5450" s="6" t="n">
        <v>48</v>
      </c>
    </row>
    <row r="5451">
      <c r="A5451" t="inlineStr">
        <is>
          <t>CB</t>
        </is>
      </c>
      <c r="B5451" s="6" t="n">
        <v>48</v>
      </c>
    </row>
    <row r="5452">
      <c r="A5452" t="inlineStr">
        <is>
          <t>CB</t>
        </is>
      </c>
      <c r="B5452" s="6" t="n">
        <v>48</v>
      </c>
    </row>
    <row r="5453">
      <c r="A5453" t="inlineStr">
        <is>
          <t>CB</t>
        </is>
      </c>
      <c r="B5453" s="6" t="n">
        <v>89.59999999999999</v>
      </c>
    </row>
    <row r="5454">
      <c r="A5454" t="inlineStr">
        <is>
          <t>CB</t>
        </is>
      </c>
      <c r="B5454" s="6" t="n">
        <v>158</v>
      </c>
    </row>
    <row r="5455">
      <c r="A5455" t="inlineStr">
        <is>
          <t>CB</t>
        </is>
      </c>
      <c r="B5455" s="6" t="n">
        <v>29.4</v>
      </c>
    </row>
    <row r="5456">
      <c r="A5456" t="inlineStr">
        <is>
          <t>CB</t>
        </is>
      </c>
      <c r="B5456" s="6" t="n">
        <v>55</v>
      </c>
    </row>
    <row r="5457">
      <c r="A5457" t="inlineStr">
        <is>
          <t>CB</t>
        </is>
      </c>
      <c r="B5457" s="6" t="n">
        <v>73.90000000000001</v>
      </c>
    </row>
    <row r="5458">
      <c r="A5458" t="inlineStr">
        <is>
          <t>CB</t>
        </is>
      </c>
      <c r="B5458" s="6" t="n">
        <v>56</v>
      </c>
    </row>
    <row r="5459">
      <c r="A5459" t="inlineStr">
        <is>
          <t>CB</t>
        </is>
      </c>
      <c r="B5459" s="6" t="n">
        <v>162.5</v>
      </c>
    </row>
    <row r="5460">
      <c r="A5460" t="inlineStr">
        <is>
          <t>CB</t>
        </is>
      </c>
      <c r="B5460" s="6" t="n">
        <v>70.59999999999999</v>
      </c>
    </row>
    <row r="5461">
      <c r="A5461" t="inlineStr">
        <is>
          <t>CB</t>
        </is>
      </c>
      <c r="B5461" s="6" t="n">
        <v>108.36</v>
      </c>
    </row>
    <row r="5462">
      <c r="A5462" t="inlineStr">
        <is>
          <t>CHQ</t>
        </is>
      </c>
      <c r="B5462" s="6" t="n">
        <v>60.3</v>
      </c>
    </row>
    <row r="5463">
      <c r="A5463" t="inlineStr">
        <is>
          <t>CB</t>
        </is>
      </c>
      <c r="B5463" s="6" t="n">
        <v>164.4</v>
      </c>
    </row>
    <row r="5464">
      <c r="A5464" t="inlineStr">
        <is>
          <t>CB</t>
        </is>
      </c>
      <c r="B5464" s="6" t="n">
        <v>73.2</v>
      </c>
    </row>
    <row r="5465">
      <c r="A5465" t="inlineStr">
        <is>
          <t>TR</t>
        </is>
      </c>
      <c r="B5465" s="6" t="n">
        <v>66</v>
      </c>
    </row>
    <row r="5466">
      <c r="A5466" t="inlineStr">
        <is>
          <t>ESP</t>
        </is>
      </c>
      <c r="B5466" s="6" t="n">
        <v>3</v>
      </c>
    </row>
    <row r="5467">
      <c r="A5467" t="inlineStr">
        <is>
          <t>CB</t>
        </is>
      </c>
      <c r="B5467" s="6" t="n">
        <v>55.6</v>
      </c>
    </row>
    <row r="5468">
      <c r="A5468" t="inlineStr">
        <is>
          <t>CB</t>
        </is>
      </c>
      <c r="B5468" s="6" t="n">
        <v>53.9</v>
      </c>
    </row>
    <row r="5469">
      <c r="A5469" t="inlineStr">
        <is>
          <t>CB</t>
        </is>
      </c>
      <c r="B5469" s="6" t="n">
        <v>75.65000000000001</v>
      </c>
    </row>
    <row r="5470">
      <c r="A5470" t="inlineStr">
        <is>
          <t>CB</t>
        </is>
      </c>
      <c r="B5470" s="6" t="n">
        <v>37.83</v>
      </c>
    </row>
    <row r="5471">
      <c r="A5471" t="inlineStr">
        <is>
          <t>CB</t>
        </is>
      </c>
      <c r="B5471" s="6" t="n">
        <v>37.82</v>
      </c>
    </row>
    <row r="5472">
      <c r="A5472" t="inlineStr">
        <is>
          <t>CB</t>
        </is>
      </c>
      <c r="B5472" s="6" t="n">
        <v>90</v>
      </c>
    </row>
    <row r="5473">
      <c r="A5473" t="inlineStr">
        <is>
          <t>CB</t>
        </is>
      </c>
      <c r="B5473" s="6" t="n">
        <v>99.40000000000001</v>
      </c>
    </row>
    <row r="5474">
      <c r="A5474" t="inlineStr">
        <is>
          <t>CB</t>
        </is>
      </c>
      <c r="B5474" s="6" t="n">
        <v>69.7</v>
      </c>
    </row>
    <row r="5475">
      <c r="A5475" t="inlineStr">
        <is>
          <t>CB</t>
        </is>
      </c>
      <c r="B5475" s="6" t="n">
        <v>330.3</v>
      </c>
    </row>
    <row r="5476">
      <c r="A5476" t="inlineStr">
        <is>
          <t>CB</t>
        </is>
      </c>
      <c r="B5476" s="6" t="n">
        <v>24.3</v>
      </c>
    </row>
    <row r="5477">
      <c r="A5477" t="inlineStr">
        <is>
          <t>CB</t>
        </is>
      </c>
      <c r="B5477" s="6" t="n">
        <v>31.4</v>
      </c>
    </row>
    <row r="5478">
      <c r="A5478" t="inlineStr">
        <is>
          <t>CB</t>
        </is>
      </c>
      <c r="B5478" s="6" t="n">
        <v>26.5</v>
      </c>
    </row>
    <row r="5479">
      <c r="A5479" t="inlineStr">
        <is>
          <t>CHV</t>
        </is>
      </c>
      <c r="B5479" s="6" t="n">
        <v>30</v>
      </c>
    </row>
    <row r="5480">
      <c r="A5480" t="inlineStr">
        <is>
          <t>ESP</t>
        </is>
      </c>
      <c r="B5480" s="6" t="n">
        <v>2.5</v>
      </c>
    </row>
    <row r="5481">
      <c r="A5481" t="inlineStr">
        <is>
          <t>CB</t>
        </is>
      </c>
      <c r="B5481" s="6" t="n">
        <v>43.7</v>
      </c>
    </row>
    <row r="5482">
      <c r="A5482" t="inlineStr">
        <is>
          <t>CB</t>
        </is>
      </c>
      <c r="B5482" s="6" t="n">
        <v>77.8</v>
      </c>
    </row>
    <row r="5483">
      <c r="A5483" t="inlineStr">
        <is>
          <t>CB</t>
        </is>
      </c>
      <c r="B5483" s="6" t="n">
        <v>65.2</v>
      </c>
    </row>
    <row r="5484">
      <c r="A5484" t="inlineStr">
        <is>
          <t>CB</t>
        </is>
      </c>
      <c r="B5484" s="6" t="n">
        <v>113.8</v>
      </c>
    </row>
    <row r="5485">
      <c r="A5485" t="inlineStr">
        <is>
          <t>CB</t>
        </is>
      </c>
      <c r="B5485" s="6" t="n">
        <v>77.5</v>
      </c>
    </row>
    <row r="5486">
      <c r="A5486" t="inlineStr">
        <is>
          <t>CB</t>
        </is>
      </c>
      <c r="B5486" s="6" t="n">
        <v>94.40000000000001</v>
      </c>
    </row>
    <row r="5487">
      <c r="A5487" t="inlineStr">
        <is>
          <t>TR</t>
        </is>
      </c>
      <c r="B5487" s="6" t="n">
        <v>42</v>
      </c>
    </row>
    <row r="5488">
      <c r="A5488" t="inlineStr">
        <is>
          <t>CB</t>
        </is>
      </c>
      <c r="B5488" s="6" t="n">
        <v>57.8</v>
      </c>
    </row>
    <row r="5489">
      <c r="A5489" t="inlineStr">
        <is>
          <t>CB</t>
        </is>
      </c>
      <c r="B5489" s="6" t="n">
        <v>146.6</v>
      </c>
    </row>
    <row r="5490">
      <c r="A5490" t="inlineStr">
        <is>
          <t>CB</t>
        </is>
      </c>
      <c r="B5490" s="6" t="n">
        <v>104.5</v>
      </c>
    </row>
    <row r="5491">
      <c r="A5491" t="inlineStr">
        <is>
          <t>CB</t>
        </is>
      </c>
      <c r="B5491" s="6" t="n">
        <v>88.40000000000001</v>
      </c>
    </row>
    <row r="5492">
      <c r="A5492" t="inlineStr">
        <is>
          <t>CB</t>
        </is>
      </c>
      <c r="B5492" s="6" t="n">
        <v>40</v>
      </c>
    </row>
    <row r="5493">
      <c r="A5493" t="inlineStr">
        <is>
          <t>CB</t>
        </is>
      </c>
      <c r="B5493" s="6" t="n">
        <v>23.9</v>
      </c>
    </row>
    <row r="5494">
      <c r="A5494" t="inlineStr">
        <is>
          <t>CB</t>
        </is>
      </c>
      <c r="B5494" s="6" t="n">
        <v>16.9</v>
      </c>
    </row>
    <row r="5495">
      <c r="A5495" t="inlineStr">
        <is>
          <t>CB</t>
        </is>
      </c>
      <c r="B5495" s="6" t="n">
        <v>39.4</v>
      </c>
    </row>
    <row r="5496">
      <c r="A5496" t="inlineStr">
        <is>
          <t>CB</t>
        </is>
      </c>
      <c r="B5496" s="6" t="n">
        <v>94.40000000000001</v>
      </c>
    </row>
    <row r="5497">
      <c r="A5497" t="inlineStr">
        <is>
          <t>CB</t>
        </is>
      </c>
      <c r="B5497" s="6" t="n">
        <v>18.6</v>
      </c>
    </row>
    <row r="5498">
      <c r="A5498" t="inlineStr">
        <is>
          <t>CB</t>
        </is>
      </c>
      <c r="B5498" s="6" t="n">
        <v>18.6</v>
      </c>
    </row>
    <row r="5499">
      <c r="A5499" t="inlineStr">
        <is>
          <t>CB</t>
        </is>
      </c>
      <c r="B5499" s="6" t="n">
        <v>16.9</v>
      </c>
    </row>
    <row r="5500">
      <c r="A5500" t="inlineStr">
        <is>
          <t>CB</t>
        </is>
      </c>
      <c r="B5500" s="6" t="n">
        <v>85.7</v>
      </c>
    </row>
    <row r="5501">
      <c r="A5501" t="inlineStr">
        <is>
          <t>CB</t>
        </is>
      </c>
      <c r="B5501" s="6" t="n">
        <v>72.3</v>
      </c>
    </row>
    <row r="5502">
      <c r="A5502" t="inlineStr">
        <is>
          <t>CB</t>
        </is>
      </c>
      <c r="B5502" s="6" t="n">
        <v>20.4</v>
      </c>
    </row>
    <row r="5503">
      <c r="A5503" t="inlineStr">
        <is>
          <t>CB</t>
        </is>
      </c>
      <c r="B5503" s="6" t="n">
        <v>22.9</v>
      </c>
    </row>
    <row r="5504">
      <c r="A5504" t="inlineStr">
        <is>
          <t>CB</t>
        </is>
      </c>
      <c r="B5504" s="6" t="n">
        <v>18.2</v>
      </c>
    </row>
    <row r="5505">
      <c r="A5505" t="inlineStr">
        <is>
          <t>CHV</t>
        </is>
      </c>
      <c r="B5505" s="6" t="n">
        <v>110</v>
      </c>
    </row>
    <row r="5506">
      <c r="A5506" t="inlineStr">
        <is>
          <t>CHV</t>
        </is>
      </c>
      <c r="B5506" s="6" t="n">
        <v>110</v>
      </c>
    </row>
    <row r="5507">
      <c r="A5507" t="inlineStr">
        <is>
          <t>ESP</t>
        </is>
      </c>
      <c r="B5507" s="6" t="n">
        <v>1.3</v>
      </c>
    </row>
    <row r="5508">
      <c r="A5508" t="inlineStr">
        <is>
          <t>CB</t>
        </is>
      </c>
      <c r="B5508" s="6" t="n">
        <v>261.3</v>
      </c>
    </row>
    <row r="5509">
      <c r="A5509" t="inlineStr">
        <is>
          <t>CB</t>
        </is>
      </c>
      <c r="B5509" s="6" t="n">
        <v>55.6</v>
      </c>
    </row>
    <row r="5510">
      <c r="A5510" t="inlineStr">
        <is>
          <t>CB</t>
        </is>
      </c>
      <c r="B5510" s="6" t="n">
        <v>55.6</v>
      </c>
    </row>
    <row r="5511">
      <c r="A5511" t="inlineStr">
        <is>
          <t>CB</t>
        </is>
      </c>
      <c r="B5511" s="6" t="n">
        <v>17</v>
      </c>
    </row>
    <row r="5512">
      <c r="A5512" t="inlineStr">
        <is>
          <t>CHV</t>
        </is>
      </c>
      <c r="B5512" s="6" t="n">
        <v>40</v>
      </c>
    </row>
    <row r="5513">
      <c r="A5513" t="inlineStr">
        <is>
          <t>TR</t>
        </is>
      </c>
      <c r="B5513" s="6" t="n">
        <v>42</v>
      </c>
    </row>
    <row r="5514">
      <c r="A5514" t="inlineStr">
        <is>
          <t>ESP</t>
        </is>
      </c>
      <c r="B5514" s="6" t="n">
        <v>10.7</v>
      </c>
    </row>
    <row r="5515">
      <c r="A5515" t="inlineStr">
        <is>
          <t>CB</t>
        </is>
      </c>
      <c r="B5515" s="6" t="n">
        <v>163.7</v>
      </c>
    </row>
    <row r="5516">
      <c r="A5516" t="inlineStr">
        <is>
          <t>CHQ</t>
        </is>
      </c>
      <c r="B5516" s="6" t="n">
        <v>84.8</v>
      </c>
    </row>
    <row r="5517">
      <c r="A5517" t="inlineStr">
        <is>
          <t>CB</t>
        </is>
      </c>
      <c r="B5517" s="6" t="n">
        <v>58</v>
      </c>
    </row>
    <row r="5518">
      <c r="A5518" t="inlineStr">
        <is>
          <t>CB</t>
        </is>
      </c>
      <c r="B5518" s="6" t="n">
        <v>91.90000000000001</v>
      </c>
    </row>
    <row r="5519">
      <c r="A5519" t="inlineStr">
        <is>
          <t>CB</t>
        </is>
      </c>
      <c r="B5519" s="6" t="n">
        <v>46.3</v>
      </c>
    </row>
    <row r="5520">
      <c r="A5520" t="inlineStr">
        <is>
          <t>CB</t>
        </is>
      </c>
      <c r="B5520" s="6" t="n">
        <v>50.1</v>
      </c>
    </row>
    <row r="5521">
      <c r="A5521" t="inlineStr">
        <is>
          <t>CB</t>
        </is>
      </c>
      <c r="B5521" s="6" t="n">
        <v>67.59999999999999</v>
      </c>
    </row>
    <row r="5522">
      <c r="A5522" t="inlineStr">
        <is>
          <t>CHV</t>
        </is>
      </c>
      <c r="B5522" s="6" t="n">
        <v>113.6</v>
      </c>
    </row>
    <row r="5523">
      <c r="A5523" t="inlineStr">
        <is>
          <t>CB</t>
        </is>
      </c>
      <c r="B5523" s="6" t="n">
        <v>81.90000000000001</v>
      </c>
    </row>
    <row r="5524">
      <c r="A5524" t="inlineStr">
        <is>
          <t>CB</t>
        </is>
      </c>
      <c r="B5524" s="6" t="n">
        <v>91.2</v>
      </c>
    </row>
    <row r="5525">
      <c r="A5525" t="inlineStr">
        <is>
          <t>CB</t>
        </is>
      </c>
      <c r="B5525" s="6" t="n">
        <v>102.6</v>
      </c>
    </row>
    <row r="5526">
      <c r="A5526" t="inlineStr">
        <is>
          <t>CB</t>
        </is>
      </c>
      <c r="B5526" s="6" t="n">
        <v>25.2</v>
      </c>
    </row>
    <row r="5527">
      <c r="A5527" t="inlineStr">
        <is>
          <t>CB</t>
        </is>
      </c>
      <c r="B5527" s="6" t="n">
        <v>28.5</v>
      </c>
    </row>
    <row r="5528">
      <c r="A5528" t="inlineStr">
        <is>
          <t>CB</t>
        </is>
      </c>
      <c r="B5528" s="6" t="n">
        <v>39.4</v>
      </c>
    </row>
    <row r="5529">
      <c r="A5529" t="inlineStr">
        <is>
          <t>CB</t>
        </is>
      </c>
      <c r="B5529" s="6" t="n">
        <v>32.5</v>
      </c>
    </row>
    <row r="5530">
      <c r="A5530" t="inlineStr">
        <is>
          <t>CB</t>
        </is>
      </c>
      <c r="B5530" s="6" t="n">
        <v>33.1</v>
      </c>
    </row>
    <row r="5531">
      <c r="A5531" t="inlineStr">
        <is>
          <t>CB</t>
        </is>
      </c>
      <c r="B5531" s="6" t="n">
        <v>23.1</v>
      </c>
    </row>
    <row r="5532">
      <c r="A5532" t="inlineStr">
        <is>
          <t>CB</t>
        </is>
      </c>
      <c r="B5532" s="6" t="n">
        <v>131.6</v>
      </c>
    </row>
    <row r="5533">
      <c r="A5533" t="inlineStr">
        <is>
          <t>CB</t>
        </is>
      </c>
      <c r="B5533" s="6" t="n">
        <v>61.8</v>
      </c>
    </row>
    <row r="5534">
      <c r="A5534" t="inlineStr">
        <is>
          <t>CB</t>
        </is>
      </c>
      <c r="B5534" s="6" t="n">
        <v>235.6</v>
      </c>
    </row>
    <row r="5535">
      <c r="A5535" t="inlineStr">
        <is>
          <t>CB</t>
        </is>
      </c>
      <c r="B5535" s="6" t="n">
        <v>62.4</v>
      </c>
    </row>
    <row r="5536">
      <c r="A5536" t="inlineStr">
        <is>
          <t>CB</t>
        </is>
      </c>
      <c r="B5536" s="6" t="n">
        <v>105.7</v>
      </c>
    </row>
    <row r="5537">
      <c r="A5537" t="inlineStr">
        <is>
          <t>CHV</t>
        </is>
      </c>
      <c r="B5537" s="6" t="n">
        <v>90.5</v>
      </c>
    </row>
    <row r="5538">
      <c r="A5538" t="inlineStr">
        <is>
          <t>CHV</t>
        </is>
      </c>
      <c r="B5538" s="6" t="n">
        <v>60.9</v>
      </c>
    </row>
    <row r="5539">
      <c r="A5539" t="inlineStr">
        <is>
          <t>CB</t>
        </is>
      </c>
      <c r="B5539" s="6" t="n">
        <v>115.9</v>
      </c>
    </row>
    <row r="5540">
      <c r="A5540" t="inlineStr">
        <is>
          <t>CB</t>
        </is>
      </c>
      <c r="B5540" s="6" t="n">
        <v>61.8</v>
      </c>
    </row>
    <row r="5541">
      <c r="A5541" t="inlineStr">
        <is>
          <t>CB</t>
        </is>
      </c>
      <c r="B5541" s="6" t="n">
        <v>152.6</v>
      </c>
    </row>
    <row r="5542">
      <c r="A5542" t="inlineStr">
        <is>
          <t>TR</t>
        </is>
      </c>
      <c r="B5542" s="6" t="n">
        <v>36</v>
      </c>
    </row>
    <row r="5543">
      <c r="A5543" t="inlineStr">
        <is>
          <t>CB</t>
        </is>
      </c>
      <c r="B5543" s="6" t="n">
        <v>16.3</v>
      </c>
    </row>
    <row r="5544">
      <c r="A5544" t="inlineStr">
        <is>
          <t>CB</t>
        </is>
      </c>
      <c r="B5544" s="6" t="n">
        <v>22.6</v>
      </c>
    </row>
    <row r="5545">
      <c r="A5545" t="inlineStr">
        <is>
          <t>CB</t>
        </is>
      </c>
      <c r="B5545" s="6" t="n">
        <v>37.8</v>
      </c>
    </row>
    <row r="5546">
      <c r="A5546" t="inlineStr">
        <is>
          <t>CHV</t>
        </is>
      </c>
      <c r="B5546" s="6" t="n">
        <v>70</v>
      </c>
    </row>
    <row r="5547">
      <c r="A5547" t="inlineStr">
        <is>
          <t>ESP</t>
        </is>
      </c>
      <c r="B5547" s="6" t="n">
        <v>3.9</v>
      </c>
    </row>
    <row r="5548">
      <c r="A5548" t="inlineStr">
        <is>
          <t>CB</t>
        </is>
      </c>
      <c r="B5548" s="6" t="n">
        <v>69.5</v>
      </c>
    </row>
    <row r="5549">
      <c r="A5549" t="inlineStr">
        <is>
          <t>CB</t>
        </is>
      </c>
      <c r="B5549" s="6" t="n">
        <v>96.40000000000001</v>
      </c>
    </row>
    <row r="5550">
      <c r="A5550" t="inlineStr">
        <is>
          <t>CB</t>
        </is>
      </c>
      <c r="B5550" s="6" t="n">
        <v>183.9</v>
      </c>
    </row>
    <row r="5551">
      <c r="A5551" t="inlineStr">
        <is>
          <t>TR</t>
        </is>
      </c>
      <c r="B5551" s="6" t="n">
        <v>26</v>
      </c>
    </row>
    <row r="5552">
      <c r="A5552" t="inlineStr">
        <is>
          <t>CB</t>
        </is>
      </c>
      <c r="B5552" s="6" t="n">
        <v>49.95</v>
      </c>
    </row>
    <row r="5553">
      <c r="A5553" t="inlineStr">
        <is>
          <t>CB</t>
        </is>
      </c>
      <c r="B5553" s="6" t="n">
        <v>63.35</v>
      </c>
    </row>
    <row r="5554">
      <c r="A5554" t="inlineStr">
        <is>
          <t>CB</t>
        </is>
      </c>
      <c r="B5554" s="6" t="n">
        <v>30.5</v>
      </c>
    </row>
    <row r="5555">
      <c r="A5555" t="inlineStr">
        <is>
          <t>CB</t>
        </is>
      </c>
      <c r="B5555" s="6" t="n">
        <v>30.5</v>
      </c>
    </row>
    <row r="5556">
      <c r="A5556" t="inlineStr">
        <is>
          <t>CB</t>
        </is>
      </c>
      <c r="B5556" s="6" t="n">
        <v>39.7</v>
      </c>
    </row>
    <row r="5557">
      <c r="A5557" t="inlineStr">
        <is>
          <t>CB</t>
        </is>
      </c>
      <c r="B5557" s="6" t="n">
        <v>108.9</v>
      </c>
    </row>
    <row r="5558">
      <c r="A5558" t="inlineStr">
        <is>
          <t>CB</t>
        </is>
      </c>
      <c r="B5558" s="6" t="n">
        <v>87.7</v>
      </c>
    </row>
    <row r="5559">
      <c r="A5559" t="inlineStr">
        <is>
          <t>CB</t>
        </is>
      </c>
      <c r="B5559" s="6" t="n">
        <v>39.7</v>
      </c>
    </row>
    <row r="5560">
      <c r="A5560" t="inlineStr">
        <is>
          <t>CB</t>
        </is>
      </c>
      <c r="B5560" s="6" t="n">
        <v>50.2</v>
      </c>
    </row>
    <row r="5561">
      <c r="A5561" t="inlineStr">
        <is>
          <t>CB</t>
        </is>
      </c>
      <c r="B5561" s="6" t="n">
        <v>103.5</v>
      </c>
    </row>
    <row r="5562">
      <c r="A5562" t="inlineStr">
        <is>
          <t>CB</t>
        </is>
      </c>
      <c r="B5562" s="6" t="n">
        <v>107</v>
      </c>
    </row>
    <row r="5563">
      <c r="A5563" t="inlineStr">
        <is>
          <t>CB</t>
        </is>
      </c>
      <c r="B5563" s="6" t="n">
        <v>165.3</v>
      </c>
    </row>
    <row r="5564">
      <c r="A5564" t="inlineStr">
        <is>
          <t>CB</t>
        </is>
      </c>
      <c r="B5564" s="6" t="n">
        <v>53.6</v>
      </c>
    </row>
    <row r="5565">
      <c r="A5565" t="inlineStr">
        <is>
          <t>CB</t>
        </is>
      </c>
      <c r="B5565" s="6" t="n">
        <v>74.7</v>
      </c>
    </row>
    <row r="5566">
      <c r="A5566" t="inlineStr">
        <is>
          <t>CB</t>
        </is>
      </c>
      <c r="B5566" s="6" t="n">
        <v>75.5</v>
      </c>
    </row>
    <row r="5567">
      <c r="A5567" t="inlineStr">
        <is>
          <t>CB</t>
        </is>
      </c>
      <c r="B5567" s="6" t="n">
        <v>80.59999999999999</v>
      </c>
    </row>
    <row r="5568">
      <c r="A5568" t="inlineStr">
        <is>
          <t>CB</t>
        </is>
      </c>
      <c r="B5568" s="6" t="n">
        <v>48.9</v>
      </c>
    </row>
    <row r="5569">
      <c r="A5569" t="inlineStr">
        <is>
          <t>CB</t>
        </is>
      </c>
      <c r="B5569" s="6" t="n">
        <v>136.6</v>
      </c>
    </row>
    <row r="5570">
      <c r="A5570" t="inlineStr">
        <is>
          <t>CB</t>
        </is>
      </c>
      <c r="B5570" s="6" t="n">
        <v>236.2</v>
      </c>
    </row>
    <row r="5571">
      <c r="A5571" t="inlineStr">
        <is>
          <t>CB</t>
        </is>
      </c>
      <c r="B5571" s="6" t="n">
        <v>34.1</v>
      </c>
    </row>
    <row r="5572">
      <c r="A5572" t="inlineStr">
        <is>
          <t>CB</t>
        </is>
      </c>
      <c r="B5572" s="6" t="n">
        <v>37.2</v>
      </c>
    </row>
    <row r="5573">
      <c r="A5573" t="inlineStr">
        <is>
          <t>CB</t>
        </is>
      </c>
      <c r="B5573" s="6" t="n">
        <v>87.3</v>
      </c>
    </row>
    <row r="5574">
      <c r="A5574" t="inlineStr">
        <is>
          <t>CB</t>
        </is>
      </c>
      <c r="B5574" s="6" t="n">
        <v>61.3</v>
      </c>
    </row>
    <row r="5575">
      <c r="A5575" t="inlineStr">
        <is>
          <t>CB</t>
        </is>
      </c>
      <c r="B5575" s="6" t="n">
        <v>94.40000000000001</v>
      </c>
    </row>
    <row r="5576">
      <c r="A5576" t="inlineStr">
        <is>
          <t>CB</t>
        </is>
      </c>
      <c r="B5576" s="6" t="n">
        <v>41.1</v>
      </c>
    </row>
    <row r="5577">
      <c r="A5577" t="inlineStr">
        <is>
          <t>CB</t>
        </is>
      </c>
      <c r="B5577" s="6" t="n">
        <v>48.1</v>
      </c>
    </row>
    <row r="5578">
      <c r="A5578" t="inlineStr">
        <is>
          <t>CB</t>
        </is>
      </c>
      <c r="B5578" s="6" t="n">
        <v>40.4</v>
      </c>
    </row>
    <row r="5579">
      <c r="A5579" t="inlineStr">
        <is>
          <t>CB</t>
        </is>
      </c>
      <c r="B5579" s="6" t="n">
        <v>21.85</v>
      </c>
    </row>
    <row r="5580">
      <c r="A5580" t="inlineStr">
        <is>
          <t>CB</t>
        </is>
      </c>
      <c r="B5580" s="6" t="n">
        <v>80.5</v>
      </c>
    </row>
    <row r="5581">
      <c r="A5581" t="inlineStr">
        <is>
          <t>CB</t>
        </is>
      </c>
      <c r="B5581" s="6" t="n">
        <v>45.7</v>
      </c>
    </row>
    <row r="5582">
      <c r="A5582" t="inlineStr">
        <is>
          <t>CB</t>
        </is>
      </c>
      <c r="B5582" s="6" t="n">
        <v>58.4</v>
      </c>
    </row>
    <row r="5583">
      <c r="A5583" t="inlineStr">
        <is>
          <t>CB</t>
        </is>
      </c>
      <c r="B5583" s="6" t="n">
        <v>24.9</v>
      </c>
    </row>
    <row r="5584">
      <c r="A5584" t="inlineStr">
        <is>
          <t>CB</t>
        </is>
      </c>
      <c r="B5584" s="6" t="n">
        <v>39.2</v>
      </c>
    </row>
    <row r="5585">
      <c r="A5585" t="inlineStr">
        <is>
          <t>CB</t>
        </is>
      </c>
      <c r="B5585" s="6" t="n">
        <v>46.1</v>
      </c>
    </row>
    <row r="5586">
      <c r="A5586" t="inlineStr">
        <is>
          <t>CB</t>
        </is>
      </c>
      <c r="B5586" s="6" t="n">
        <v>28.35</v>
      </c>
    </row>
    <row r="5587">
      <c r="A5587" t="inlineStr">
        <is>
          <t>CB</t>
        </is>
      </c>
      <c r="B5587" s="6" t="n">
        <v>60.5</v>
      </c>
    </row>
    <row r="5588">
      <c r="A5588" t="inlineStr">
        <is>
          <t>CB</t>
        </is>
      </c>
      <c r="B5588" s="6" t="n">
        <v>45.1</v>
      </c>
    </row>
    <row r="5589">
      <c r="A5589" t="inlineStr">
        <is>
          <t>CB</t>
        </is>
      </c>
      <c r="B5589" s="6" t="n">
        <v>21.85</v>
      </c>
    </row>
    <row r="5590">
      <c r="A5590" t="inlineStr">
        <is>
          <t>CB</t>
        </is>
      </c>
      <c r="B5590" s="6" t="n">
        <v>112.5</v>
      </c>
    </row>
    <row r="5591">
      <c r="A5591" t="inlineStr">
        <is>
          <t>CB</t>
        </is>
      </c>
      <c r="B5591" s="6" t="n">
        <v>70.2</v>
      </c>
    </row>
    <row r="5592">
      <c r="A5592" t="inlineStr">
        <is>
          <t>CB</t>
        </is>
      </c>
      <c r="B5592" s="6" t="n">
        <v>33.96</v>
      </c>
    </row>
    <row r="5593">
      <c r="A5593" t="inlineStr">
        <is>
          <t>CB</t>
        </is>
      </c>
      <c r="B5593" s="6" t="n">
        <v>96.3</v>
      </c>
    </row>
    <row r="5594">
      <c r="A5594" t="inlineStr">
        <is>
          <t>CB</t>
        </is>
      </c>
      <c r="B5594" s="6" t="n">
        <v>194.7</v>
      </c>
    </row>
    <row r="5595">
      <c r="A5595" t="inlineStr">
        <is>
          <t>CB</t>
        </is>
      </c>
      <c r="B5595" s="6" t="n">
        <v>34</v>
      </c>
    </row>
    <row r="5596">
      <c r="A5596" t="inlineStr">
        <is>
          <t>CHV</t>
        </is>
      </c>
      <c r="B5596" s="6" t="n">
        <v>35.04</v>
      </c>
    </row>
    <row r="5597">
      <c r="A5597" t="inlineStr">
        <is>
          <t>CB</t>
        </is>
      </c>
      <c r="B5597" s="6" t="n">
        <v>33.8</v>
      </c>
    </row>
    <row r="5598">
      <c r="A5598" t="inlineStr">
        <is>
          <t>CB</t>
        </is>
      </c>
      <c r="B5598" s="6" t="n">
        <v>85</v>
      </c>
    </row>
    <row r="5599">
      <c r="A5599" t="inlineStr">
        <is>
          <t>CB</t>
        </is>
      </c>
      <c r="B5599" s="6" t="n">
        <v>40.9</v>
      </c>
    </row>
    <row r="5600">
      <c r="A5600" t="inlineStr">
        <is>
          <t>CB</t>
        </is>
      </c>
      <c r="B5600" s="6" t="n">
        <v>61.4</v>
      </c>
    </row>
    <row r="5601">
      <c r="A5601" t="inlineStr">
        <is>
          <t>CB</t>
        </is>
      </c>
      <c r="B5601" s="6" t="n">
        <v>55.5</v>
      </c>
    </row>
    <row r="5602">
      <c r="A5602" t="inlineStr">
        <is>
          <t>CB</t>
        </is>
      </c>
      <c r="B5602" s="6" t="n">
        <v>104.9</v>
      </c>
    </row>
    <row r="5603">
      <c r="A5603" t="inlineStr">
        <is>
          <t>CB</t>
        </is>
      </c>
      <c r="B5603" s="6" t="n">
        <v>41.5</v>
      </c>
    </row>
    <row r="5604">
      <c r="A5604" t="inlineStr">
        <is>
          <t>CHV</t>
        </is>
      </c>
      <c r="B5604" s="6" t="n">
        <v>100</v>
      </c>
    </row>
    <row r="5605">
      <c r="A5605" t="inlineStr">
        <is>
          <t>CB</t>
        </is>
      </c>
      <c r="B5605" s="6" t="n">
        <v>102.4</v>
      </c>
    </row>
    <row r="5606">
      <c r="A5606" t="inlineStr">
        <is>
          <t>CB</t>
        </is>
      </c>
      <c r="B5606" s="6" t="n">
        <v>53.4</v>
      </c>
    </row>
    <row r="5607">
      <c r="A5607" t="inlineStr">
        <is>
          <t>CB</t>
        </is>
      </c>
      <c r="B5607" s="6" t="n">
        <v>52.6</v>
      </c>
    </row>
    <row r="5608">
      <c r="A5608" t="inlineStr">
        <is>
          <t>CB</t>
        </is>
      </c>
      <c r="B5608" s="6" t="n">
        <v>80.59999999999999</v>
      </c>
    </row>
    <row r="5609">
      <c r="A5609" t="inlineStr">
        <is>
          <t>CHV</t>
        </is>
      </c>
      <c r="B5609" s="6" t="n">
        <v>50</v>
      </c>
    </row>
    <row r="5610">
      <c r="A5610" t="inlineStr">
        <is>
          <t>CHV</t>
        </is>
      </c>
      <c r="B5610" s="6" t="n">
        <v>20</v>
      </c>
    </row>
    <row r="5611">
      <c r="A5611" t="inlineStr">
        <is>
          <t>CHV</t>
        </is>
      </c>
      <c r="B5611" s="6" t="n">
        <v>86.5</v>
      </c>
    </row>
    <row r="5612">
      <c r="A5612" t="inlineStr">
        <is>
          <t>CB</t>
        </is>
      </c>
      <c r="B5612" s="6" t="n">
        <v>53.4</v>
      </c>
    </row>
    <row r="5613">
      <c r="A5613" t="inlineStr">
        <is>
          <t>TR</t>
        </is>
      </c>
      <c r="B5613" s="6" t="n">
        <v>34</v>
      </c>
    </row>
    <row r="5614">
      <c r="A5614" t="inlineStr">
        <is>
          <t>ESP</t>
        </is>
      </c>
      <c r="B5614" s="6" t="n">
        <v>3.1</v>
      </c>
    </row>
    <row r="5615">
      <c r="A5615" t="inlineStr">
        <is>
          <t>CB</t>
        </is>
      </c>
      <c r="B5615" s="6" t="n">
        <v>43.1</v>
      </c>
    </row>
    <row r="5616">
      <c r="A5616" t="inlineStr">
        <is>
          <t>CB</t>
        </is>
      </c>
      <c r="B5616" s="6" t="n">
        <v>33.8</v>
      </c>
    </row>
    <row r="5617">
      <c r="A5617" t="inlineStr">
        <is>
          <t>CB</t>
        </is>
      </c>
      <c r="B5617" s="6" t="n">
        <v>26.1</v>
      </c>
    </row>
    <row r="5618">
      <c r="A5618" t="inlineStr">
        <is>
          <t>CB</t>
        </is>
      </c>
      <c r="B5618" s="6" t="n">
        <v>75.7</v>
      </c>
    </row>
    <row r="5619">
      <c r="A5619" t="inlineStr">
        <is>
          <t>CB</t>
        </is>
      </c>
      <c r="B5619" s="6" t="n">
        <v>89.2</v>
      </c>
    </row>
    <row r="5620">
      <c r="A5620" t="inlineStr">
        <is>
          <t>CB</t>
        </is>
      </c>
      <c r="B5620" s="6" t="n">
        <v>41.9</v>
      </c>
    </row>
    <row r="5621">
      <c r="A5621" t="inlineStr">
        <is>
          <t>ESP</t>
        </is>
      </c>
      <c r="B5621" s="6" t="n">
        <v>33.7</v>
      </c>
    </row>
    <row r="5622">
      <c r="A5622" t="inlineStr">
        <is>
          <t>CB</t>
        </is>
      </c>
      <c r="B5622" s="6" t="n">
        <v>69.40000000000001</v>
      </c>
    </row>
    <row r="5623">
      <c r="A5623" t="inlineStr">
        <is>
          <t>CB</t>
        </is>
      </c>
      <c r="B5623" s="6" t="n">
        <v>90.8</v>
      </c>
    </row>
    <row r="5624">
      <c r="A5624" t="inlineStr">
        <is>
          <t>CB</t>
        </is>
      </c>
      <c r="B5624" s="6" t="n">
        <v>33.7</v>
      </c>
    </row>
    <row r="5625">
      <c r="A5625" t="inlineStr">
        <is>
          <t>CB</t>
        </is>
      </c>
      <c r="B5625" s="6" t="n">
        <v>84</v>
      </c>
    </row>
    <row r="5626">
      <c r="A5626" t="inlineStr">
        <is>
          <t>CB</t>
        </is>
      </c>
      <c r="B5626" s="6" t="n">
        <v>85.5</v>
      </c>
    </row>
    <row r="5627">
      <c r="A5627" t="inlineStr">
        <is>
          <t>CB</t>
        </is>
      </c>
      <c r="B5627" s="6" t="n">
        <v>129.7</v>
      </c>
    </row>
    <row r="5628">
      <c r="A5628" t="inlineStr">
        <is>
          <t>CB</t>
        </is>
      </c>
      <c r="B5628" s="6" t="n">
        <v>55.5</v>
      </c>
    </row>
    <row r="5629">
      <c r="A5629" t="inlineStr">
        <is>
          <t>CB</t>
        </is>
      </c>
      <c r="B5629" s="6" t="n">
        <v>54.4</v>
      </c>
    </row>
    <row r="5630">
      <c r="A5630" t="inlineStr">
        <is>
          <t>CB</t>
        </is>
      </c>
      <c r="B5630" s="6" t="n">
        <v>55.4</v>
      </c>
    </row>
    <row r="5631">
      <c r="A5631" t="inlineStr">
        <is>
          <t>CB</t>
        </is>
      </c>
      <c r="B5631" s="6" t="n">
        <v>110.1</v>
      </c>
    </row>
    <row r="5632">
      <c r="A5632" t="inlineStr">
        <is>
          <t>CHV</t>
        </is>
      </c>
      <c r="B5632" s="6" t="n">
        <v>70</v>
      </c>
    </row>
    <row r="5633">
      <c r="A5633" t="inlineStr">
        <is>
          <t>CB</t>
        </is>
      </c>
      <c r="B5633" s="6" t="n">
        <v>7.7</v>
      </c>
    </row>
    <row r="5634">
      <c r="A5634" t="inlineStr">
        <is>
          <t>CB</t>
        </is>
      </c>
      <c r="B5634" s="6" t="n">
        <v>172.7</v>
      </c>
    </row>
    <row r="5635">
      <c r="A5635" t="inlineStr">
        <is>
          <t>CB</t>
        </is>
      </c>
      <c r="B5635" s="6" t="n">
        <v>33.15</v>
      </c>
    </row>
    <row r="5636">
      <c r="A5636" t="inlineStr">
        <is>
          <t>CB</t>
        </is>
      </c>
      <c r="B5636" s="6" t="n">
        <v>33.15</v>
      </c>
    </row>
    <row r="5637">
      <c r="A5637" t="inlineStr">
        <is>
          <t>CB</t>
        </is>
      </c>
      <c r="B5637" s="6" t="n">
        <v>77.59999999999999</v>
      </c>
    </row>
    <row r="5638">
      <c r="A5638" t="inlineStr">
        <is>
          <t>CB</t>
        </is>
      </c>
      <c r="B5638" s="6" t="n">
        <v>23.7</v>
      </c>
    </row>
    <row r="5639">
      <c r="A5639" t="inlineStr">
        <is>
          <t>CB</t>
        </is>
      </c>
      <c r="B5639" s="6" t="n">
        <v>83</v>
      </c>
    </row>
    <row r="5640">
      <c r="A5640" t="inlineStr">
        <is>
          <t>CB</t>
        </is>
      </c>
      <c r="B5640" s="6" t="n">
        <v>53.9</v>
      </c>
    </row>
    <row r="5641">
      <c r="A5641" t="inlineStr">
        <is>
          <t>CB</t>
        </is>
      </c>
      <c r="B5641" s="6" t="n">
        <v>60.8</v>
      </c>
    </row>
    <row r="5642">
      <c r="A5642" t="inlineStr">
        <is>
          <t>CB</t>
        </is>
      </c>
      <c r="B5642" s="6" t="n">
        <v>85.8</v>
      </c>
    </row>
    <row r="5643">
      <c r="A5643" t="inlineStr">
        <is>
          <t>CB</t>
        </is>
      </c>
      <c r="B5643" s="6" t="n">
        <v>76</v>
      </c>
    </row>
    <row r="5644">
      <c r="A5644" t="inlineStr">
        <is>
          <t>CB</t>
        </is>
      </c>
      <c r="B5644" s="6" t="n">
        <v>68.59999999999999</v>
      </c>
    </row>
    <row r="5645">
      <c r="A5645" t="inlineStr">
        <is>
          <t>CB</t>
        </is>
      </c>
      <c r="B5645" s="6" t="n">
        <v>87.5</v>
      </c>
    </row>
    <row r="5646">
      <c r="A5646" t="inlineStr">
        <is>
          <t>CB</t>
        </is>
      </c>
      <c r="B5646" s="6" t="n">
        <v>145.4</v>
      </c>
    </row>
    <row r="5647">
      <c r="A5647" t="inlineStr">
        <is>
          <t>CB</t>
        </is>
      </c>
      <c r="B5647" s="6" t="n">
        <v>48.4</v>
      </c>
    </row>
    <row r="5648">
      <c r="A5648" t="inlineStr">
        <is>
          <t>CB</t>
        </is>
      </c>
      <c r="B5648" s="6" t="n">
        <v>78.8</v>
      </c>
    </row>
    <row r="5649">
      <c r="A5649" t="inlineStr">
        <is>
          <t>CB</t>
        </is>
      </c>
      <c r="B5649" s="6" t="n">
        <v>117.4</v>
      </c>
    </row>
    <row r="5650">
      <c r="A5650" t="inlineStr">
        <is>
          <t>CB</t>
        </is>
      </c>
      <c r="B5650" s="6" t="n">
        <v>51.9</v>
      </c>
    </row>
    <row r="5651">
      <c r="A5651" t="inlineStr">
        <is>
          <t>CB</t>
        </is>
      </c>
      <c r="B5651" s="6" t="n">
        <v>69.59999999999999</v>
      </c>
    </row>
    <row r="5652">
      <c r="A5652" t="inlineStr">
        <is>
          <t>CB</t>
        </is>
      </c>
      <c r="B5652" s="6" t="n">
        <v>25.9</v>
      </c>
    </row>
    <row r="5653">
      <c r="A5653" t="inlineStr">
        <is>
          <t>CB</t>
        </is>
      </c>
      <c r="B5653" s="6" t="n">
        <v>36.2</v>
      </c>
    </row>
    <row r="5654">
      <c r="A5654" t="inlineStr">
        <is>
          <t>CB</t>
        </is>
      </c>
      <c r="B5654" s="6" t="n">
        <v>19.1</v>
      </c>
    </row>
    <row r="5655">
      <c r="A5655" t="inlineStr">
        <is>
          <t>CB</t>
        </is>
      </c>
      <c r="B5655" s="6" t="n">
        <v>82.59999999999999</v>
      </c>
    </row>
    <row r="5656">
      <c r="A5656" t="inlineStr">
        <is>
          <t>CB</t>
        </is>
      </c>
      <c r="B5656" s="6" t="n">
        <v>23.1</v>
      </c>
    </row>
    <row r="5657">
      <c r="A5657" t="inlineStr">
        <is>
          <t>CB</t>
        </is>
      </c>
      <c r="B5657" s="6" t="n">
        <v>24.3</v>
      </c>
    </row>
    <row r="5658">
      <c r="A5658" t="inlineStr">
        <is>
          <t>CB</t>
        </is>
      </c>
      <c r="B5658" s="6" t="n">
        <v>209</v>
      </c>
    </row>
    <row r="5659">
      <c r="A5659" t="inlineStr">
        <is>
          <t>CB</t>
        </is>
      </c>
      <c r="B5659" s="6" t="n">
        <v>62.9</v>
      </c>
    </row>
    <row r="5660">
      <c r="A5660" t="inlineStr">
        <is>
          <t>CB</t>
        </is>
      </c>
      <c r="B5660" s="6" t="n">
        <v>78.40000000000001</v>
      </c>
    </row>
    <row r="5661">
      <c r="A5661" t="inlineStr">
        <is>
          <t>CB</t>
        </is>
      </c>
      <c r="B5661" s="6" t="n">
        <v>35.3</v>
      </c>
    </row>
    <row r="5662">
      <c r="A5662" t="inlineStr">
        <is>
          <t>TR</t>
        </is>
      </c>
      <c r="B5662" s="6" t="n">
        <v>16</v>
      </c>
    </row>
    <row r="5663">
      <c r="A5663" t="inlineStr">
        <is>
          <t>TR</t>
        </is>
      </c>
      <c r="B5663" s="6" t="n">
        <v>8</v>
      </c>
    </row>
    <row r="5664">
      <c r="A5664" t="inlineStr">
        <is>
          <t>CB</t>
        </is>
      </c>
      <c r="B5664" s="6" t="n">
        <v>58.2</v>
      </c>
    </row>
    <row r="5665">
      <c r="A5665" t="inlineStr">
        <is>
          <t>CB</t>
        </is>
      </c>
      <c r="B5665" s="6" t="n">
        <v>53.5</v>
      </c>
    </row>
    <row r="5666">
      <c r="A5666" t="inlineStr">
        <is>
          <t>CB</t>
        </is>
      </c>
      <c r="B5666" s="6" t="n">
        <v>185.2</v>
      </c>
    </row>
    <row r="5667">
      <c r="A5667" t="inlineStr">
        <is>
          <t>CB</t>
        </is>
      </c>
      <c r="B5667" s="6" t="n">
        <v>100</v>
      </c>
    </row>
    <row r="5668">
      <c r="A5668" t="inlineStr">
        <is>
          <t>CB</t>
        </is>
      </c>
      <c r="B5668" s="6" t="n">
        <v>45.1</v>
      </c>
    </row>
    <row r="5669">
      <c r="A5669" t="inlineStr">
        <is>
          <t>CB</t>
        </is>
      </c>
      <c r="B5669" s="6" t="n">
        <v>41.3</v>
      </c>
    </row>
    <row r="5670">
      <c r="A5670" t="inlineStr">
        <is>
          <t>CB</t>
        </is>
      </c>
      <c r="B5670" s="6" t="n">
        <v>90.09999999999999</v>
      </c>
    </row>
    <row r="5671">
      <c r="A5671" t="inlineStr">
        <is>
          <t>CB</t>
        </is>
      </c>
      <c r="B5671" s="6" t="n">
        <v>37.9</v>
      </c>
    </row>
    <row r="5672">
      <c r="A5672" t="inlineStr">
        <is>
          <t>CB</t>
        </is>
      </c>
      <c r="B5672" s="6" t="n">
        <v>155.8</v>
      </c>
    </row>
    <row r="5673">
      <c r="A5673" t="inlineStr">
        <is>
          <t>CB</t>
        </is>
      </c>
      <c r="B5673" s="6" t="n">
        <v>65</v>
      </c>
    </row>
    <row r="5674">
      <c r="A5674" t="inlineStr">
        <is>
          <t>CB</t>
        </is>
      </c>
      <c r="B5674" s="6" t="n">
        <v>31.1</v>
      </c>
    </row>
    <row r="5675">
      <c r="A5675" t="inlineStr">
        <is>
          <t>CB</t>
        </is>
      </c>
      <c r="B5675" s="6" t="n">
        <v>124.8</v>
      </c>
    </row>
    <row r="5676">
      <c r="A5676" t="inlineStr">
        <is>
          <t>CB</t>
        </is>
      </c>
      <c r="B5676" s="6" t="n">
        <v>22.9</v>
      </c>
    </row>
    <row r="5677">
      <c r="A5677" t="inlineStr">
        <is>
          <t>CB</t>
        </is>
      </c>
      <c r="B5677" s="6" t="n">
        <v>52.8</v>
      </c>
    </row>
    <row r="5678">
      <c r="A5678" t="inlineStr">
        <is>
          <t>CB</t>
        </is>
      </c>
      <c r="B5678" s="6" t="n">
        <v>17.25</v>
      </c>
    </row>
    <row r="5679">
      <c r="A5679" t="inlineStr">
        <is>
          <t>CHQ</t>
        </is>
      </c>
      <c r="B5679" s="6" t="n">
        <v>77.8</v>
      </c>
    </row>
    <row r="5680">
      <c r="A5680" t="inlineStr">
        <is>
          <t>CB</t>
        </is>
      </c>
      <c r="B5680" s="6" t="n">
        <v>76</v>
      </c>
    </row>
    <row r="5681">
      <c r="A5681" t="inlineStr">
        <is>
          <t>CB</t>
        </is>
      </c>
      <c r="B5681" s="6" t="n">
        <v>77.25</v>
      </c>
    </row>
    <row r="5682">
      <c r="A5682" t="inlineStr">
        <is>
          <t>CB</t>
        </is>
      </c>
      <c r="B5682" s="6" t="n">
        <v>22.9</v>
      </c>
    </row>
    <row r="5683">
      <c r="A5683" t="inlineStr">
        <is>
          <t>CB</t>
        </is>
      </c>
      <c r="B5683" s="6" t="n">
        <v>45.9</v>
      </c>
    </row>
    <row r="5684">
      <c r="A5684" t="inlineStr">
        <is>
          <t>CB</t>
        </is>
      </c>
      <c r="B5684" s="6" t="n">
        <v>45.4</v>
      </c>
    </row>
    <row r="5685">
      <c r="A5685" t="inlineStr">
        <is>
          <t>CB</t>
        </is>
      </c>
      <c r="B5685" s="6" t="n">
        <v>58.2</v>
      </c>
    </row>
    <row r="5686">
      <c r="A5686" t="inlineStr">
        <is>
          <t>CB</t>
        </is>
      </c>
      <c r="B5686" s="6" t="n">
        <v>62.5</v>
      </c>
    </row>
    <row r="5687">
      <c r="A5687" t="inlineStr">
        <is>
          <t>CB</t>
        </is>
      </c>
      <c r="B5687" s="6" t="n">
        <v>135.3</v>
      </c>
    </row>
    <row r="5688">
      <c r="A5688" t="inlineStr">
        <is>
          <t>CB</t>
        </is>
      </c>
      <c r="B5688" s="6" t="n">
        <v>23.3</v>
      </c>
    </row>
    <row r="5689">
      <c r="A5689" t="inlineStr">
        <is>
          <t>CB</t>
        </is>
      </c>
      <c r="B5689" s="6" t="n">
        <v>50.9</v>
      </c>
    </row>
    <row r="5690">
      <c r="A5690" t="inlineStr">
        <is>
          <t>CB</t>
        </is>
      </c>
      <c r="B5690" s="6" t="n">
        <v>134.9</v>
      </c>
    </row>
    <row r="5691">
      <c r="A5691" t="inlineStr">
        <is>
          <t>CB</t>
        </is>
      </c>
      <c r="B5691" s="6" t="n">
        <v>45.9</v>
      </c>
    </row>
    <row r="5692">
      <c r="A5692" t="inlineStr">
        <is>
          <t>CB</t>
        </is>
      </c>
      <c r="B5692" s="6" t="n">
        <v>23.3</v>
      </c>
    </row>
    <row r="5693">
      <c r="A5693" t="inlineStr">
        <is>
          <t>CB</t>
        </is>
      </c>
      <c r="B5693" s="6" t="n">
        <v>109</v>
      </c>
    </row>
    <row r="5694">
      <c r="A5694" t="inlineStr">
        <is>
          <t>CB</t>
        </is>
      </c>
      <c r="B5694" s="6" t="n">
        <v>120.2</v>
      </c>
    </row>
    <row r="5695">
      <c r="A5695" t="inlineStr">
        <is>
          <t>CB</t>
        </is>
      </c>
      <c r="B5695" s="6" t="n">
        <v>85.8</v>
      </c>
    </row>
    <row r="5696">
      <c r="A5696" t="inlineStr">
        <is>
          <t>CB</t>
        </is>
      </c>
      <c r="B5696" s="6" t="n">
        <v>66.8</v>
      </c>
    </row>
    <row r="5697">
      <c r="A5697" t="inlineStr">
        <is>
          <t>CB</t>
        </is>
      </c>
      <c r="B5697" s="6" t="n">
        <v>103.5</v>
      </c>
    </row>
    <row r="5698">
      <c r="A5698" t="inlineStr">
        <is>
          <t>CB</t>
        </is>
      </c>
      <c r="B5698" s="6" t="n">
        <v>69.90000000000001</v>
      </c>
    </row>
    <row r="5699">
      <c r="A5699" t="inlineStr">
        <is>
          <t>CB</t>
        </is>
      </c>
      <c r="B5699" s="6" t="n">
        <v>87.05</v>
      </c>
    </row>
    <row r="5700">
      <c r="A5700" t="inlineStr">
        <is>
          <t>CB</t>
        </is>
      </c>
      <c r="B5700" s="6" t="n">
        <v>109.7</v>
      </c>
    </row>
    <row r="5701">
      <c r="A5701" t="inlineStr">
        <is>
          <t>CB</t>
        </is>
      </c>
      <c r="B5701" s="6" t="n">
        <v>62.3</v>
      </c>
    </row>
    <row r="5702">
      <c r="A5702" t="inlineStr">
        <is>
          <t>CB</t>
        </is>
      </c>
      <c r="B5702" s="6" t="n">
        <v>62.3</v>
      </c>
    </row>
    <row r="5703">
      <c r="A5703" t="inlineStr">
        <is>
          <t>TR</t>
        </is>
      </c>
      <c r="B5703" s="6" t="n">
        <v>60</v>
      </c>
    </row>
    <row r="5704">
      <c r="A5704" t="inlineStr">
        <is>
          <t>ESP</t>
        </is>
      </c>
      <c r="B5704" s="6" t="n">
        <v>2.3</v>
      </c>
    </row>
    <row r="5705">
      <c r="A5705" t="inlineStr">
        <is>
          <t>CB</t>
        </is>
      </c>
      <c r="B5705" s="6" t="n">
        <v>31.85</v>
      </c>
    </row>
    <row r="5706">
      <c r="A5706" t="inlineStr">
        <is>
          <t>TR</t>
        </is>
      </c>
      <c r="B5706" s="6" t="n">
        <v>95.59999999999999</v>
      </c>
    </row>
    <row r="5707">
      <c r="A5707" t="inlineStr">
        <is>
          <t>CB</t>
        </is>
      </c>
      <c r="B5707" s="6" t="n">
        <v>76.8</v>
      </c>
    </row>
    <row r="5708">
      <c r="A5708" t="inlineStr">
        <is>
          <t>CB</t>
        </is>
      </c>
      <c r="B5708" s="6" t="n">
        <v>41.3</v>
      </c>
    </row>
    <row r="5709">
      <c r="A5709" t="inlineStr">
        <is>
          <t>CB</t>
        </is>
      </c>
      <c r="B5709" s="6" t="n">
        <v>86</v>
      </c>
    </row>
    <row r="5710">
      <c r="A5710" t="inlineStr">
        <is>
          <t>CB</t>
        </is>
      </c>
      <c r="B5710" s="6" t="n">
        <v>87.05</v>
      </c>
    </row>
    <row r="5711">
      <c r="A5711" t="inlineStr">
        <is>
          <t>CB</t>
        </is>
      </c>
      <c r="B5711" s="6" t="n">
        <v>31.85</v>
      </c>
    </row>
    <row r="5712">
      <c r="A5712" t="inlineStr">
        <is>
          <t>CB</t>
        </is>
      </c>
      <c r="B5712" s="6" t="n">
        <v>97.8</v>
      </c>
    </row>
    <row r="5713">
      <c r="A5713" t="inlineStr">
        <is>
          <t>CB</t>
        </is>
      </c>
      <c r="B5713" s="6" t="n">
        <v>76.5</v>
      </c>
    </row>
    <row r="5714">
      <c r="A5714" t="inlineStr">
        <is>
          <t>CB</t>
        </is>
      </c>
      <c r="B5714" s="6" t="n">
        <v>86.7</v>
      </c>
    </row>
    <row r="5715">
      <c r="A5715" t="inlineStr">
        <is>
          <t>CB</t>
        </is>
      </c>
      <c r="B5715" s="6" t="n">
        <v>28.27</v>
      </c>
    </row>
    <row r="5716">
      <c r="A5716" t="inlineStr">
        <is>
          <t>CB</t>
        </is>
      </c>
      <c r="B5716" s="6" t="n">
        <v>28.27</v>
      </c>
    </row>
    <row r="5717">
      <c r="A5717" t="inlineStr">
        <is>
          <t>CB</t>
        </is>
      </c>
      <c r="B5717" s="6" t="n">
        <v>56.56</v>
      </c>
    </row>
    <row r="5718">
      <c r="A5718" t="inlineStr">
        <is>
          <t>CB</t>
        </is>
      </c>
      <c r="B5718" s="6" t="n">
        <v>61.2</v>
      </c>
    </row>
    <row r="5719">
      <c r="A5719" t="inlineStr">
        <is>
          <t>CB</t>
        </is>
      </c>
      <c r="B5719" s="6" t="n">
        <v>58</v>
      </c>
    </row>
    <row r="5720">
      <c r="A5720" t="inlineStr">
        <is>
          <t>CB</t>
        </is>
      </c>
      <c r="B5720" s="6" t="n">
        <v>131.4</v>
      </c>
    </row>
    <row r="5721">
      <c r="A5721" t="inlineStr">
        <is>
          <t>CB</t>
        </is>
      </c>
      <c r="B5721" s="6" t="n">
        <v>89.3</v>
      </c>
    </row>
    <row r="5722">
      <c r="A5722" t="inlineStr">
        <is>
          <t>CB</t>
        </is>
      </c>
      <c r="B5722" s="6" t="n">
        <v>97.2</v>
      </c>
    </row>
    <row r="5723">
      <c r="A5723" t="inlineStr">
        <is>
          <t>CB</t>
        </is>
      </c>
      <c r="B5723" s="6" t="n">
        <v>145</v>
      </c>
    </row>
    <row r="5724">
      <c r="A5724" t="inlineStr">
        <is>
          <t>CB</t>
        </is>
      </c>
      <c r="B5724" s="6" t="n">
        <v>90</v>
      </c>
    </row>
    <row r="5725">
      <c r="A5725" t="inlineStr">
        <is>
          <t>TR</t>
        </is>
      </c>
      <c r="B5725" s="6" t="n">
        <v>51</v>
      </c>
    </row>
    <row r="5726">
      <c r="A5726" t="inlineStr">
        <is>
          <t>TR</t>
        </is>
      </c>
      <c r="B5726" s="6" t="n">
        <v>31.2</v>
      </c>
    </row>
    <row r="5727">
      <c r="A5727" t="inlineStr">
        <is>
          <t>CB</t>
        </is>
      </c>
      <c r="B5727" s="6" t="n">
        <v>48.9</v>
      </c>
    </row>
    <row r="5728">
      <c r="A5728" t="inlineStr">
        <is>
          <t>CB</t>
        </is>
      </c>
      <c r="B5728" s="6" t="n">
        <v>155</v>
      </c>
    </row>
    <row r="5729">
      <c r="A5729" t="inlineStr">
        <is>
          <t>CB</t>
        </is>
      </c>
      <c r="B5729" s="6" t="n">
        <v>60.9</v>
      </c>
    </row>
    <row r="5730">
      <c r="A5730" t="inlineStr">
        <is>
          <t>CB</t>
        </is>
      </c>
      <c r="B5730" s="6" t="n">
        <v>80.3</v>
      </c>
    </row>
    <row r="5731">
      <c r="A5731" t="inlineStr">
        <is>
          <t>CB</t>
        </is>
      </c>
      <c r="B5731" s="6" t="n">
        <v>81.2</v>
      </c>
    </row>
    <row r="5732">
      <c r="A5732" t="inlineStr">
        <is>
          <t>CB</t>
        </is>
      </c>
      <c r="B5732" s="6" t="n">
        <v>263.2</v>
      </c>
    </row>
    <row r="5733">
      <c r="A5733" t="inlineStr">
        <is>
          <t>CB</t>
        </is>
      </c>
      <c r="B5733" s="6" t="n">
        <v>59.5</v>
      </c>
    </row>
    <row r="5734">
      <c r="A5734" t="inlineStr">
        <is>
          <t>CB</t>
        </is>
      </c>
      <c r="B5734" s="6" t="n">
        <v>83</v>
      </c>
    </row>
    <row r="5735">
      <c r="A5735" t="inlineStr">
        <is>
          <t>CB</t>
        </is>
      </c>
      <c r="B5735" s="6" t="n">
        <v>104.5</v>
      </c>
    </row>
    <row r="5736">
      <c r="A5736" t="inlineStr">
        <is>
          <t>CB</t>
        </is>
      </c>
      <c r="B5736" s="6" t="n">
        <v>36.35</v>
      </c>
    </row>
    <row r="5737">
      <c r="A5737" t="inlineStr">
        <is>
          <t>CB</t>
        </is>
      </c>
      <c r="B5737" s="6" t="n">
        <v>36.35</v>
      </c>
    </row>
    <row r="5738">
      <c r="A5738" t="inlineStr">
        <is>
          <t>CB</t>
        </is>
      </c>
      <c r="B5738" s="6" t="n">
        <v>84.5</v>
      </c>
    </row>
    <row r="5739">
      <c r="A5739" t="inlineStr">
        <is>
          <t>CB</t>
        </is>
      </c>
      <c r="B5739" s="6" t="n">
        <v>96.7</v>
      </c>
    </row>
    <row r="5740">
      <c r="A5740" t="inlineStr">
        <is>
          <t>CB</t>
        </is>
      </c>
      <c r="B5740" s="6" t="n">
        <v>90</v>
      </c>
    </row>
    <row r="5741">
      <c r="A5741" t="inlineStr">
        <is>
          <t>CB</t>
        </is>
      </c>
      <c r="B5741" s="6" t="n">
        <v>130</v>
      </c>
    </row>
    <row r="5742">
      <c r="A5742" t="inlineStr">
        <is>
          <t>CB</t>
        </is>
      </c>
      <c r="B5742" s="6" t="n">
        <v>41.8</v>
      </c>
    </row>
    <row r="5743">
      <c r="A5743" t="inlineStr">
        <is>
          <t>CB</t>
        </is>
      </c>
      <c r="B5743" s="6" t="n">
        <v>40.7</v>
      </c>
    </row>
    <row r="5744">
      <c r="A5744" t="inlineStr">
        <is>
          <t>CB</t>
        </is>
      </c>
      <c r="B5744" s="6" t="n">
        <v>81</v>
      </c>
    </row>
    <row r="5745">
      <c r="A5745" t="inlineStr">
        <is>
          <t>CB</t>
        </is>
      </c>
      <c r="B5745" s="6" t="n">
        <v>127.2</v>
      </c>
    </row>
    <row r="5746">
      <c r="A5746" t="inlineStr">
        <is>
          <t>CB</t>
        </is>
      </c>
      <c r="B5746" s="6" t="n">
        <v>106.3</v>
      </c>
    </row>
    <row r="5747">
      <c r="A5747" t="inlineStr">
        <is>
          <t>CB</t>
        </is>
      </c>
      <c r="B5747" s="6" t="n">
        <v>28.9</v>
      </c>
    </row>
    <row r="5748">
      <c r="A5748" t="inlineStr">
        <is>
          <t>CB</t>
        </is>
      </c>
      <c r="B5748" s="6" t="n">
        <v>52.4</v>
      </c>
    </row>
    <row r="5749">
      <c r="A5749" t="inlineStr">
        <is>
          <t>CB</t>
        </is>
      </c>
      <c r="B5749" s="6" t="n">
        <v>120.9</v>
      </c>
    </row>
    <row r="5750">
      <c r="A5750" t="inlineStr">
        <is>
          <t>CB</t>
        </is>
      </c>
      <c r="B5750" s="6" t="n">
        <v>39.5</v>
      </c>
    </row>
    <row r="5751">
      <c r="A5751" t="inlineStr">
        <is>
          <t>CB</t>
        </is>
      </c>
      <c r="B5751" s="6" t="n">
        <v>29.85</v>
      </c>
    </row>
    <row r="5752">
      <c r="A5752" t="inlineStr">
        <is>
          <t>CB</t>
        </is>
      </c>
      <c r="B5752" s="6" t="n">
        <v>32.5</v>
      </c>
    </row>
    <row r="5753">
      <c r="A5753" t="inlineStr">
        <is>
          <t>CB</t>
        </is>
      </c>
      <c r="B5753" s="6" t="n">
        <v>20.8</v>
      </c>
    </row>
    <row r="5754">
      <c r="A5754" t="inlineStr">
        <is>
          <t>CB</t>
        </is>
      </c>
      <c r="B5754" s="6" t="n">
        <v>39.5</v>
      </c>
    </row>
    <row r="5755">
      <c r="A5755" t="inlineStr">
        <is>
          <t>CB</t>
        </is>
      </c>
      <c r="B5755" s="6" t="n">
        <v>103.3</v>
      </c>
    </row>
    <row r="5756">
      <c r="A5756" t="inlineStr">
        <is>
          <t>CB</t>
        </is>
      </c>
      <c r="B5756" s="6" t="n">
        <v>128.4</v>
      </c>
    </row>
    <row r="5757">
      <c r="A5757" t="inlineStr">
        <is>
          <t>CB</t>
        </is>
      </c>
      <c r="B5757" s="6" t="n">
        <v>27.6</v>
      </c>
    </row>
    <row r="5758">
      <c r="A5758" t="inlineStr">
        <is>
          <t>CHQ</t>
        </is>
      </c>
      <c r="B5758" s="6" t="n">
        <v>104.3</v>
      </c>
    </row>
    <row r="5759">
      <c r="A5759" t="inlineStr">
        <is>
          <t>CB</t>
        </is>
      </c>
      <c r="B5759" s="6" t="n">
        <v>29.85</v>
      </c>
    </row>
    <row r="5760">
      <c r="A5760" t="inlineStr">
        <is>
          <t>CB</t>
        </is>
      </c>
      <c r="B5760" s="6" t="n">
        <v>23.9</v>
      </c>
    </row>
    <row r="5761">
      <c r="A5761" t="inlineStr">
        <is>
          <t>CB</t>
        </is>
      </c>
      <c r="B5761" s="6" t="n">
        <v>75.40000000000001</v>
      </c>
    </row>
    <row r="5762">
      <c r="A5762" t="inlineStr">
        <is>
          <t>CB</t>
        </is>
      </c>
      <c r="B5762" s="6" t="n">
        <v>100</v>
      </c>
    </row>
    <row r="5763">
      <c r="A5763" t="inlineStr">
        <is>
          <t>CB</t>
        </is>
      </c>
      <c r="B5763" s="6" t="n">
        <v>70.40000000000001</v>
      </c>
    </row>
    <row r="5764">
      <c r="A5764" t="inlineStr">
        <is>
          <t>CB</t>
        </is>
      </c>
      <c r="B5764" s="6" t="n">
        <v>201</v>
      </c>
    </row>
    <row r="5765">
      <c r="A5765" t="inlineStr">
        <is>
          <t>CB</t>
        </is>
      </c>
      <c r="B5765" s="6" t="n">
        <v>80.09999999999999</v>
      </c>
    </row>
    <row r="5766">
      <c r="A5766" t="inlineStr">
        <is>
          <t>CB</t>
        </is>
      </c>
      <c r="B5766" s="6" t="n">
        <v>58</v>
      </c>
    </row>
    <row r="5767">
      <c r="A5767" t="inlineStr">
        <is>
          <t>CHV</t>
        </is>
      </c>
      <c r="B5767" s="6" t="n">
        <v>90</v>
      </c>
    </row>
    <row r="5768">
      <c r="A5768" t="inlineStr">
        <is>
          <t>ESP</t>
        </is>
      </c>
      <c r="B5768" s="6" t="n">
        <v>4</v>
      </c>
    </row>
    <row r="5769">
      <c r="A5769" t="inlineStr">
        <is>
          <t>CB</t>
        </is>
      </c>
      <c r="B5769" s="6" t="n">
        <v>120</v>
      </c>
    </row>
    <row r="5770">
      <c r="A5770" t="inlineStr">
        <is>
          <t>CB</t>
        </is>
      </c>
      <c r="B5770" s="6" t="n">
        <v>116.3</v>
      </c>
    </row>
    <row r="5771">
      <c r="A5771" t="inlineStr">
        <is>
          <t>CB</t>
        </is>
      </c>
      <c r="B5771" s="6" t="n">
        <v>81.40000000000001</v>
      </c>
    </row>
    <row r="5772">
      <c r="A5772" t="inlineStr">
        <is>
          <t>CB</t>
        </is>
      </c>
      <c r="B5772" s="6" t="n">
        <v>16.9</v>
      </c>
    </row>
    <row r="5773">
      <c r="A5773" t="inlineStr">
        <is>
          <t>CB</t>
        </is>
      </c>
      <c r="B5773" s="6" t="n">
        <v>44.35</v>
      </c>
    </row>
    <row r="5774">
      <c r="A5774" t="inlineStr">
        <is>
          <t>CB</t>
        </is>
      </c>
      <c r="B5774" s="6" t="n">
        <v>52.3</v>
      </c>
    </row>
    <row r="5775">
      <c r="A5775" t="inlineStr">
        <is>
          <t>CB</t>
        </is>
      </c>
      <c r="B5775" s="6" t="n">
        <v>38.4</v>
      </c>
    </row>
    <row r="5776">
      <c r="A5776" t="inlineStr">
        <is>
          <t>CB</t>
        </is>
      </c>
      <c r="B5776" s="6" t="n">
        <v>103</v>
      </c>
    </row>
    <row r="5777">
      <c r="A5777" t="inlineStr">
        <is>
          <t>CB</t>
        </is>
      </c>
      <c r="B5777" s="6" t="n">
        <v>44.35</v>
      </c>
    </row>
    <row r="5778">
      <c r="A5778" t="inlineStr">
        <is>
          <t>CB</t>
        </is>
      </c>
      <c r="B5778" s="6" t="n">
        <v>47.8</v>
      </c>
    </row>
    <row r="5779">
      <c r="A5779" t="inlineStr">
        <is>
          <t>CB</t>
        </is>
      </c>
      <c r="B5779" s="6" t="n">
        <v>30.6</v>
      </c>
    </row>
    <row r="5780">
      <c r="A5780" t="inlineStr">
        <is>
          <t>CB</t>
        </is>
      </c>
      <c r="B5780" s="6" t="n">
        <v>87.90000000000001</v>
      </c>
    </row>
    <row r="5781">
      <c r="A5781" t="inlineStr">
        <is>
          <t>TR</t>
        </is>
      </c>
      <c r="B5781" s="6" t="n">
        <v>28</v>
      </c>
    </row>
    <row r="5782">
      <c r="A5782" t="inlineStr">
        <is>
          <t>CB</t>
        </is>
      </c>
      <c r="B5782" s="6" t="n">
        <v>109.4</v>
      </c>
    </row>
    <row r="5783">
      <c r="A5783" t="inlineStr">
        <is>
          <t>CB</t>
        </is>
      </c>
      <c r="B5783" s="6" t="n">
        <v>39</v>
      </c>
    </row>
    <row r="5784">
      <c r="A5784" t="inlineStr">
        <is>
          <t>CB</t>
        </is>
      </c>
      <c r="B5784" s="6" t="n">
        <v>186.2</v>
      </c>
    </row>
    <row r="5785">
      <c r="A5785" t="inlineStr">
        <is>
          <t>CB</t>
        </is>
      </c>
      <c r="B5785" s="6" t="n">
        <v>112</v>
      </c>
    </row>
    <row r="5786">
      <c r="A5786" t="inlineStr">
        <is>
          <t>CB</t>
        </is>
      </c>
      <c r="B5786" s="6" t="n">
        <v>185.9</v>
      </c>
    </row>
    <row r="5787">
      <c r="A5787" t="inlineStr">
        <is>
          <t>CB</t>
        </is>
      </c>
      <c r="B5787" s="6" t="n">
        <v>52.3</v>
      </c>
    </row>
    <row r="5788">
      <c r="A5788" t="inlineStr">
        <is>
          <t>CB</t>
        </is>
      </c>
      <c r="B5788" s="6" t="n">
        <v>85.59999999999999</v>
      </c>
    </row>
    <row r="5789">
      <c r="A5789" t="inlineStr">
        <is>
          <t>CB</t>
        </is>
      </c>
      <c r="B5789" s="6" t="n">
        <v>30.6</v>
      </c>
    </row>
    <row r="5790">
      <c r="A5790" t="inlineStr">
        <is>
          <t>CB</t>
        </is>
      </c>
      <c r="B5790" s="6" t="n">
        <v>45.1</v>
      </c>
    </row>
    <row r="5791">
      <c r="A5791" t="inlineStr">
        <is>
          <t>CB</t>
        </is>
      </c>
      <c r="B5791" s="6" t="n">
        <v>25.25</v>
      </c>
    </row>
    <row r="5792">
      <c r="A5792" t="inlineStr">
        <is>
          <t>CB</t>
        </is>
      </c>
      <c r="B5792" s="6" t="n">
        <v>385.6</v>
      </c>
    </row>
    <row r="5793">
      <c r="A5793" t="inlineStr">
        <is>
          <t>CB</t>
        </is>
      </c>
      <c r="B5793" s="6" t="n">
        <v>45.6</v>
      </c>
    </row>
    <row r="5794">
      <c r="A5794" t="inlineStr">
        <is>
          <t>CB</t>
        </is>
      </c>
      <c r="B5794" s="6" t="n">
        <v>4.25</v>
      </c>
    </row>
    <row r="5795">
      <c r="A5795" t="inlineStr">
        <is>
          <t>CB</t>
        </is>
      </c>
      <c r="B5795" s="6" t="n">
        <v>25.25</v>
      </c>
    </row>
    <row r="5796">
      <c r="A5796" t="inlineStr">
        <is>
          <t>CB</t>
        </is>
      </c>
      <c r="B5796" s="6" t="n">
        <v>127.3</v>
      </c>
    </row>
    <row r="5797">
      <c r="A5797" t="inlineStr">
        <is>
          <t>CB</t>
        </is>
      </c>
      <c r="B5797" s="6" t="n">
        <v>6.6</v>
      </c>
    </row>
    <row r="5798">
      <c r="A5798" t="inlineStr">
        <is>
          <t>CB</t>
        </is>
      </c>
      <c r="B5798" s="6" t="n">
        <v>97.8</v>
      </c>
    </row>
    <row r="5799">
      <c r="A5799" t="inlineStr">
        <is>
          <t>CB</t>
        </is>
      </c>
      <c r="B5799" s="6" t="n">
        <v>69.7</v>
      </c>
    </row>
    <row r="5800">
      <c r="A5800" t="inlineStr">
        <is>
          <t>CB</t>
        </is>
      </c>
      <c r="B5800" s="6" t="n">
        <v>28.7</v>
      </c>
    </row>
    <row r="5801">
      <c r="A5801" t="inlineStr">
        <is>
          <t>CB</t>
        </is>
      </c>
      <c r="B5801" s="6" t="n">
        <v>53.6</v>
      </c>
    </row>
    <row r="5802">
      <c r="A5802" t="inlineStr">
        <is>
          <t>CB</t>
        </is>
      </c>
      <c r="B5802" s="6" t="n">
        <v>65.3</v>
      </c>
    </row>
    <row r="5803">
      <c r="A5803" t="inlineStr">
        <is>
          <t>CB</t>
        </is>
      </c>
      <c r="B5803" s="6" t="n">
        <v>58.7</v>
      </c>
    </row>
    <row r="5804">
      <c r="A5804" t="inlineStr">
        <is>
          <t>CB</t>
        </is>
      </c>
      <c r="B5804" s="6" t="n">
        <v>102.8</v>
      </c>
    </row>
    <row r="5805">
      <c r="A5805" t="inlineStr">
        <is>
          <t>CB</t>
        </is>
      </c>
      <c r="B5805" s="6" t="n">
        <v>66.2</v>
      </c>
    </row>
    <row r="5806">
      <c r="A5806" t="inlineStr">
        <is>
          <t>CB</t>
        </is>
      </c>
      <c r="B5806" s="6" t="n">
        <v>36.6</v>
      </c>
    </row>
    <row r="5807">
      <c r="A5807" t="inlineStr">
        <is>
          <t>CB</t>
        </is>
      </c>
      <c r="B5807" s="6" t="n">
        <v>94.7</v>
      </c>
    </row>
    <row r="5808">
      <c r="A5808" t="inlineStr">
        <is>
          <t>CB</t>
        </is>
      </c>
      <c r="B5808" s="6" t="n">
        <v>30.7</v>
      </c>
    </row>
    <row r="5809">
      <c r="A5809" t="inlineStr">
        <is>
          <t>CB</t>
        </is>
      </c>
      <c r="B5809" s="6" t="n">
        <v>95.59999999999999</v>
      </c>
    </row>
    <row r="5810">
      <c r="A5810" t="inlineStr">
        <is>
          <t>CB</t>
        </is>
      </c>
      <c r="B5810" s="6" t="n">
        <v>52.5</v>
      </c>
    </row>
    <row r="5811">
      <c r="A5811" t="inlineStr">
        <is>
          <t>CHQ</t>
        </is>
      </c>
      <c r="B5811" s="6" t="n">
        <v>50</v>
      </c>
    </row>
    <row r="5812">
      <c r="A5812" t="inlineStr">
        <is>
          <t>CB</t>
        </is>
      </c>
      <c r="B5812" s="6" t="n">
        <v>14.4</v>
      </c>
    </row>
    <row r="5813">
      <c r="A5813" t="inlineStr">
        <is>
          <t>CB</t>
        </is>
      </c>
      <c r="B5813" s="6" t="n">
        <v>28.9</v>
      </c>
    </row>
    <row r="5814">
      <c r="A5814" t="inlineStr">
        <is>
          <t>CB</t>
        </is>
      </c>
      <c r="B5814" s="6" t="n">
        <v>44.74</v>
      </c>
    </row>
    <row r="5815">
      <c r="A5815" t="inlineStr">
        <is>
          <t>CB</t>
        </is>
      </c>
      <c r="B5815" s="6" t="n">
        <v>44.74</v>
      </c>
    </row>
    <row r="5816">
      <c r="A5816" t="inlineStr">
        <is>
          <t>CB</t>
        </is>
      </c>
      <c r="B5816" s="6" t="n">
        <v>44.72</v>
      </c>
    </row>
    <row r="5817">
      <c r="A5817" t="inlineStr">
        <is>
          <t>CB</t>
        </is>
      </c>
      <c r="B5817" s="6" t="n">
        <v>68.5</v>
      </c>
    </row>
    <row r="5818">
      <c r="A5818" t="inlineStr">
        <is>
          <t>CB</t>
        </is>
      </c>
      <c r="B5818" s="6" t="n">
        <v>134</v>
      </c>
    </row>
    <row r="5819">
      <c r="A5819" t="inlineStr">
        <is>
          <t>CB</t>
        </is>
      </c>
      <c r="B5819" s="6" t="n">
        <v>75.90000000000001</v>
      </c>
    </row>
    <row r="5820">
      <c r="A5820" t="inlineStr">
        <is>
          <t>CB</t>
        </is>
      </c>
      <c r="B5820" s="6" t="n">
        <v>80.5</v>
      </c>
    </row>
    <row r="5821">
      <c r="A5821" t="inlineStr">
        <is>
          <t>CB</t>
        </is>
      </c>
      <c r="B5821" s="6" t="n">
        <v>70.05</v>
      </c>
    </row>
    <row r="5822">
      <c r="A5822" t="inlineStr">
        <is>
          <t>CB</t>
        </is>
      </c>
      <c r="B5822" s="6" t="n">
        <v>47.5</v>
      </c>
    </row>
    <row r="5823">
      <c r="A5823" t="inlineStr">
        <is>
          <t>CHQ</t>
        </is>
      </c>
      <c r="B5823" s="6" t="n">
        <v>39.8</v>
      </c>
    </row>
    <row r="5824">
      <c r="A5824" t="inlineStr">
        <is>
          <t>CB</t>
        </is>
      </c>
      <c r="B5824" s="6" t="n">
        <v>79.5</v>
      </c>
    </row>
    <row r="5825">
      <c r="A5825" t="inlineStr">
        <is>
          <t>CB</t>
        </is>
      </c>
      <c r="B5825" s="6" t="n">
        <v>59.1</v>
      </c>
    </row>
    <row r="5826">
      <c r="A5826" t="inlineStr">
        <is>
          <t>CB</t>
        </is>
      </c>
      <c r="B5826" s="6" t="n">
        <v>59.3</v>
      </c>
    </row>
    <row r="5827">
      <c r="A5827" t="inlineStr">
        <is>
          <t>CB</t>
        </is>
      </c>
      <c r="B5827" s="6" t="n">
        <v>18.5</v>
      </c>
    </row>
    <row r="5828">
      <c r="A5828" t="inlineStr">
        <is>
          <t>CB</t>
        </is>
      </c>
      <c r="B5828" s="6" t="n">
        <v>83.59999999999999</v>
      </c>
    </row>
    <row r="5829">
      <c r="A5829" t="inlineStr">
        <is>
          <t>CB</t>
        </is>
      </c>
      <c r="B5829" s="6" t="n">
        <v>67.40000000000001</v>
      </c>
    </row>
    <row r="5830">
      <c r="A5830" t="inlineStr">
        <is>
          <t>CB</t>
        </is>
      </c>
      <c r="B5830" s="6" t="n">
        <v>55</v>
      </c>
    </row>
    <row r="5831">
      <c r="A5831" t="inlineStr">
        <is>
          <t>CB</t>
        </is>
      </c>
      <c r="B5831" s="6" t="n">
        <v>142.6</v>
      </c>
    </row>
    <row r="5832">
      <c r="A5832" t="inlineStr">
        <is>
          <t>TR</t>
        </is>
      </c>
      <c r="B5832" s="6" t="n">
        <v>15</v>
      </c>
    </row>
    <row r="5833">
      <c r="A5833" t="inlineStr">
        <is>
          <t>ESP</t>
        </is>
      </c>
      <c r="B5833" s="6" t="n">
        <v>21</v>
      </c>
    </row>
    <row r="5834">
      <c r="A5834" t="inlineStr">
        <is>
          <t>CB</t>
        </is>
      </c>
      <c r="B5834" s="6" t="n">
        <v>36.3</v>
      </c>
    </row>
    <row r="5835">
      <c r="A5835" t="inlineStr">
        <is>
          <t>CB</t>
        </is>
      </c>
      <c r="B5835" s="6" t="n">
        <v>35.8</v>
      </c>
    </row>
    <row r="5836">
      <c r="A5836" t="inlineStr">
        <is>
          <t>CB</t>
        </is>
      </c>
      <c r="B5836" s="6" t="n">
        <v>258.5</v>
      </c>
    </row>
    <row r="5837">
      <c r="A5837" t="inlineStr">
        <is>
          <t>CB</t>
        </is>
      </c>
      <c r="B5837" s="6" t="n">
        <v>97.2</v>
      </c>
    </row>
    <row r="5838">
      <c r="A5838" t="inlineStr">
        <is>
          <t>CHV</t>
        </is>
      </c>
      <c r="B5838" s="6" t="n">
        <v>40</v>
      </c>
    </row>
    <row r="5839">
      <c r="A5839" t="inlineStr">
        <is>
          <t>ESP</t>
        </is>
      </c>
      <c r="B5839" s="6" t="n">
        <v>1.1</v>
      </c>
    </row>
    <row r="5840">
      <c r="A5840" t="inlineStr">
        <is>
          <t>CB</t>
        </is>
      </c>
      <c r="B5840" s="6" t="n">
        <v>43.3</v>
      </c>
    </row>
    <row r="5841">
      <c r="A5841" t="inlineStr">
        <is>
          <t>CB</t>
        </is>
      </c>
      <c r="B5841" s="6" t="n">
        <v>55</v>
      </c>
    </row>
    <row r="5842">
      <c r="A5842" t="inlineStr">
        <is>
          <t>CB</t>
        </is>
      </c>
      <c r="B5842" s="6" t="n">
        <v>35.9</v>
      </c>
    </row>
    <row r="5843">
      <c r="A5843" t="inlineStr">
        <is>
          <t>CB</t>
        </is>
      </c>
      <c r="B5843" s="6" t="n">
        <v>35.9</v>
      </c>
    </row>
    <row r="5844">
      <c r="A5844" t="inlineStr">
        <is>
          <t>CB</t>
        </is>
      </c>
      <c r="B5844" s="6" t="n">
        <v>35.9</v>
      </c>
    </row>
    <row r="5845">
      <c r="A5845" t="inlineStr">
        <is>
          <t>CHQ</t>
        </is>
      </c>
      <c r="B5845" s="6" t="n">
        <v>67.59999999999999</v>
      </c>
    </row>
    <row r="5846">
      <c r="A5846" t="inlineStr">
        <is>
          <t>CB</t>
        </is>
      </c>
      <c r="B5846" s="6" t="n">
        <v>70.7</v>
      </c>
    </row>
    <row r="5847">
      <c r="A5847" t="inlineStr">
        <is>
          <t>CB</t>
        </is>
      </c>
      <c r="B5847" s="6" t="n">
        <v>265.5</v>
      </c>
    </row>
    <row r="5848">
      <c r="A5848" t="inlineStr">
        <is>
          <t>CB</t>
        </is>
      </c>
      <c r="B5848" s="6" t="n">
        <v>46.5</v>
      </c>
    </row>
    <row r="5849">
      <c r="A5849" t="inlineStr">
        <is>
          <t>CB</t>
        </is>
      </c>
      <c r="B5849" s="6" t="n">
        <v>90.59999999999999</v>
      </c>
    </row>
    <row r="5850">
      <c r="A5850" t="inlineStr">
        <is>
          <t>CB</t>
        </is>
      </c>
      <c r="B5850" s="6" t="n">
        <v>56.1</v>
      </c>
    </row>
    <row r="5851">
      <c r="A5851" t="inlineStr">
        <is>
          <t>CB</t>
        </is>
      </c>
      <c r="B5851" s="6" t="n">
        <v>45.6</v>
      </c>
    </row>
    <row r="5852">
      <c r="A5852" t="inlineStr">
        <is>
          <t>CB</t>
        </is>
      </c>
      <c r="B5852" s="6" t="n">
        <v>121.6</v>
      </c>
    </row>
    <row r="5853">
      <c r="A5853" t="inlineStr">
        <is>
          <t>CB</t>
        </is>
      </c>
      <c r="B5853" s="6" t="n">
        <v>111.9</v>
      </c>
    </row>
    <row r="5854">
      <c r="A5854" t="inlineStr">
        <is>
          <t>CB</t>
        </is>
      </c>
      <c r="B5854" s="6" t="n">
        <v>115.8</v>
      </c>
    </row>
    <row r="5855">
      <c r="A5855" t="inlineStr">
        <is>
          <t>CB</t>
        </is>
      </c>
      <c r="B5855" s="6" t="n">
        <v>115.1</v>
      </c>
    </row>
    <row r="5856">
      <c r="A5856" t="inlineStr">
        <is>
          <t>CB</t>
        </is>
      </c>
      <c r="B5856" s="6" t="n">
        <v>168.9</v>
      </c>
    </row>
    <row r="5857">
      <c r="A5857" t="inlineStr">
        <is>
          <t>CB</t>
        </is>
      </c>
      <c r="B5857" s="6" t="n">
        <v>69.55</v>
      </c>
    </row>
    <row r="5858">
      <c r="A5858" t="inlineStr">
        <is>
          <t>CB</t>
        </is>
      </c>
      <c r="B5858" s="6" t="n">
        <v>82.45</v>
      </c>
    </row>
    <row r="5859">
      <c r="A5859" t="inlineStr">
        <is>
          <t>CB</t>
        </is>
      </c>
      <c r="B5859" s="6" t="n">
        <v>284.2</v>
      </c>
    </row>
    <row r="5860">
      <c r="A5860" t="inlineStr">
        <is>
          <t>CB</t>
        </is>
      </c>
      <c r="B5860" s="6" t="n">
        <v>94.3</v>
      </c>
    </row>
    <row r="5861">
      <c r="A5861" t="inlineStr">
        <is>
          <t>CB</t>
        </is>
      </c>
      <c r="B5861" s="6" t="n">
        <v>50</v>
      </c>
    </row>
    <row r="5862">
      <c r="A5862" t="inlineStr">
        <is>
          <t>CB</t>
        </is>
      </c>
      <c r="B5862" s="6" t="n">
        <v>100</v>
      </c>
    </row>
    <row r="5863">
      <c r="A5863" t="inlineStr">
        <is>
          <t>CB</t>
        </is>
      </c>
      <c r="B5863" s="6" t="n">
        <v>206.9</v>
      </c>
    </row>
    <row r="5864">
      <c r="A5864" t="inlineStr">
        <is>
          <t>CB</t>
        </is>
      </c>
      <c r="B5864" s="6" t="n">
        <v>94.67</v>
      </c>
    </row>
    <row r="5865">
      <c r="A5865" t="inlineStr">
        <is>
          <t>CB</t>
        </is>
      </c>
      <c r="B5865" s="6" t="n">
        <v>94.67</v>
      </c>
    </row>
    <row r="5866">
      <c r="A5866" t="inlineStr">
        <is>
          <t>CB</t>
        </is>
      </c>
      <c r="B5866" s="6" t="n">
        <v>94.66</v>
      </c>
    </row>
    <row r="5867">
      <c r="A5867" t="inlineStr">
        <is>
          <t>CB</t>
        </is>
      </c>
      <c r="B5867" s="6" t="n">
        <v>20.2</v>
      </c>
    </row>
    <row r="5868">
      <c r="A5868" t="inlineStr">
        <is>
          <t>CB</t>
        </is>
      </c>
      <c r="B5868" s="6" t="n">
        <v>69.55</v>
      </c>
    </row>
    <row r="5869">
      <c r="A5869" t="inlineStr">
        <is>
          <t>CB</t>
        </is>
      </c>
      <c r="B5869" s="6" t="n">
        <v>82.45</v>
      </c>
    </row>
    <row r="5870">
      <c r="A5870" t="inlineStr">
        <is>
          <t>CB</t>
        </is>
      </c>
      <c r="B5870" s="6" t="n">
        <v>100.4</v>
      </c>
    </row>
    <row r="5871">
      <c r="A5871" t="inlineStr">
        <is>
          <t>TR</t>
        </is>
      </c>
      <c r="B5871" s="6" t="n">
        <v>22</v>
      </c>
    </row>
    <row r="5872">
      <c r="A5872" t="inlineStr">
        <is>
          <t>CB</t>
        </is>
      </c>
      <c r="B5872" s="6" t="n">
        <v>13.5</v>
      </c>
    </row>
    <row r="5873">
      <c r="A5873" t="inlineStr">
        <is>
          <t>CB</t>
        </is>
      </c>
      <c r="B5873" s="6" t="n">
        <v>64.7</v>
      </c>
    </row>
    <row r="5874">
      <c r="A5874" t="inlineStr">
        <is>
          <t>CB</t>
        </is>
      </c>
      <c r="B5874" s="6" t="n">
        <v>86.90000000000001</v>
      </c>
    </row>
    <row r="5875">
      <c r="A5875" t="inlineStr">
        <is>
          <t>CB</t>
        </is>
      </c>
      <c r="B5875" s="6" t="n">
        <v>113.8</v>
      </c>
    </row>
    <row r="5876">
      <c r="A5876" t="inlineStr">
        <is>
          <t>CB</t>
        </is>
      </c>
      <c r="B5876" s="6" t="n">
        <v>151.8</v>
      </c>
    </row>
    <row r="5877">
      <c r="A5877" t="inlineStr">
        <is>
          <t>CB</t>
        </is>
      </c>
      <c r="B5877" s="6" t="n">
        <v>47.5</v>
      </c>
    </row>
    <row r="5878">
      <c r="A5878" t="inlineStr">
        <is>
          <t>CB</t>
        </is>
      </c>
      <c r="B5878" s="6" t="n">
        <v>57.8</v>
      </c>
    </row>
    <row r="5879">
      <c r="A5879" t="inlineStr">
        <is>
          <t>CB</t>
        </is>
      </c>
      <c r="B5879" s="6" t="n">
        <v>60.4</v>
      </c>
    </row>
    <row r="5880">
      <c r="A5880" t="inlineStr">
        <is>
          <t>CB</t>
        </is>
      </c>
      <c r="B5880" s="6" t="n">
        <v>112</v>
      </c>
    </row>
    <row r="5881">
      <c r="A5881" t="inlineStr">
        <is>
          <t>CB</t>
        </is>
      </c>
      <c r="B5881" s="6" t="n">
        <v>101.3</v>
      </c>
    </row>
    <row r="5882">
      <c r="A5882" t="inlineStr">
        <is>
          <t>CB</t>
        </is>
      </c>
      <c r="B5882" s="6" t="n">
        <v>19.2</v>
      </c>
    </row>
    <row r="5883">
      <c r="A5883" t="inlineStr">
        <is>
          <t>CB</t>
        </is>
      </c>
      <c r="B5883" s="6" t="n">
        <v>78.40000000000001</v>
      </c>
    </row>
    <row r="5884">
      <c r="A5884" t="inlineStr">
        <is>
          <t>CB</t>
        </is>
      </c>
      <c r="B5884" s="6" t="n">
        <v>82.2</v>
      </c>
    </row>
    <row r="5885">
      <c r="A5885" t="inlineStr">
        <is>
          <t>CB</t>
        </is>
      </c>
      <c r="B5885" s="6" t="n">
        <v>14.1</v>
      </c>
    </row>
    <row r="5886">
      <c r="A5886" t="inlineStr">
        <is>
          <t>CB</t>
        </is>
      </c>
      <c r="B5886" s="6" t="n">
        <v>37.07</v>
      </c>
    </row>
    <row r="5887">
      <c r="A5887" t="inlineStr">
        <is>
          <t>CB</t>
        </is>
      </c>
      <c r="B5887" s="6" t="n">
        <v>32.07</v>
      </c>
    </row>
    <row r="5888">
      <c r="A5888" t="inlineStr">
        <is>
          <t>CB</t>
        </is>
      </c>
      <c r="B5888" s="6" t="n">
        <v>27.06</v>
      </c>
    </row>
    <row r="5889">
      <c r="A5889" t="inlineStr">
        <is>
          <t>CB</t>
        </is>
      </c>
      <c r="B5889" s="6" t="n">
        <v>14.7</v>
      </c>
    </row>
    <row r="5890">
      <c r="A5890" t="inlineStr">
        <is>
          <t>CB</t>
        </is>
      </c>
      <c r="B5890" s="6" t="n">
        <v>76.5</v>
      </c>
    </row>
    <row r="5891">
      <c r="A5891" t="inlineStr">
        <is>
          <t>CB</t>
        </is>
      </c>
      <c r="B5891" s="6" t="n">
        <v>110.4</v>
      </c>
    </row>
    <row r="5892">
      <c r="A5892" t="inlineStr">
        <is>
          <t>CB</t>
        </is>
      </c>
      <c r="B5892" s="6" t="n">
        <v>7</v>
      </c>
    </row>
    <row r="5893">
      <c r="A5893" t="inlineStr">
        <is>
          <t>CB</t>
        </is>
      </c>
      <c r="B5893" s="6" t="n">
        <v>30.42</v>
      </c>
    </row>
    <row r="5894">
      <c r="A5894" t="inlineStr">
        <is>
          <t>CB</t>
        </is>
      </c>
      <c r="B5894" s="6" t="n">
        <v>30.42</v>
      </c>
    </row>
    <row r="5895">
      <c r="A5895" t="inlineStr">
        <is>
          <t>CB</t>
        </is>
      </c>
      <c r="B5895" s="6" t="n">
        <v>30.42</v>
      </c>
    </row>
    <row r="5896">
      <c r="A5896" t="inlineStr">
        <is>
          <t>CB</t>
        </is>
      </c>
      <c r="B5896" s="6" t="n">
        <v>30.44</v>
      </c>
    </row>
    <row r="5897">
      <c r="A5897" t="inlineStr">
        <is>
          <t>CB</t>
        </is>
      </c>
      <c r="B5897" s="6" t="n">
        <v>173.3</v>
      </c>
    </row>
    <row r="5898">
      <c r="A5898" t="inlineStr">
        <is>
          <t>CB</t>
        </is>
      </c>
      <c r="B5898" s="6" t="n">
        <v>30.05</v>
      </c>
    </row>
    <row r="5899">
      <c r="A5899" t="inlineStr">
        <is>
          <t>CB</t>
        </is>
      </c>
      <c r="B5899" s="6" t="n">
        <v>30.8</v>
      </c>
    </row>
    <row r="5900">
      <c r="A5900" t="inlineStr">
        <is>
          <t>CB</t>
        </is>
      </c>
      <c r="B5900" s="6" t="n">
        <v>30.05</v>
      </c>
    </row>
    <row r="5901">
      <c r="A5901" t="inlineStr">
        <is>
          <t>CB</t>
        </is>
      </c>
      <c r="B5901" s="6" t="n">
        <v>30.8</v>
      </c>
    </row>
    <row r="5902">
      <c r="A5902" t="inlineStr">
        <is>
          <t>CB</t>
        </is>
      </c>
      <c r="B5902" s="6" t="n">
        <v>88.8</v>
      </c>
    </row>
    <row r="5903">
      <c r="A5903" t="inlineStr">
        <is>
          <t>CB</t>
        </is>
      </c>
      <c r="B5903" s="6" t="n">
        <v>32.43</v>
      </c>
    </row>
    <row r="5904">
      <c r="A5904" t="inlineStr">
        <is>
          <t>CB</t>
        </is>
      </c>
      <c r="B5904" s="6" t="n">
        <v>32.43</v>
      </c>
    </row>
    <row r="5905">
      <c r="A5905" t="inlineStr">
        <is>
          <t>CB</t>
        </is>
      </c>
      <c r="B5905" s="6" t="n">
        <v>32.94</v>
      </c>
    </row>
    <row r="5906">
      <c r="A5906" t="inlineStr">
        <is>
          <t>CB</t>
        </is>
      </c>
      <c r="B5906" s="6" t="n">
        <v>48.8</v>
      </c>
    </row>
    <row r="5907">
      <c r="A5907" t="inlineStr">
        <is>
          <t>CB</t>
        </is>
      </c>
      <c r="B5907" s="6" t="n">
        <v>64.2</v>
      </c>
    </row>
    <row r="5908">
      <c r="A5908" t="inlineStr">
        <is>
          <t>CB</t>
        </is>
      </c>
      <c r="B5908" s="6" t="n">
        <v>70.59999999999999</v>
      </c>
    </row>
    <row r="5909">
      <c r="A5909" t="inlineStr">
        <is>
          <t>CB</t>
        </is>
      </c>
      <c r="B5909" s="6" t="n">
        <v>55.1</v>
      </c>
    </row>
    <row r="5910">
      <c r="A5910" t="inlineStr">
        <is>
          <t>CB</t>
        </is>
      </c>
      <c r="B5910" s="6" t="n">
        <v>118.2</v>
      </c>
    </row>
    <row r="5911">
      <c r="A5911" t="inlineStr">
        <is>
          <t>CB</t>
        </is>
      </c>
      <c r="B5911" s="6" t="n">
        <v>85.2</v>
      </c>
    </row>
    <row r="5912">
      <c r="A5912" t="inlineStr">
        <is>
          <t>CB</t>
        </is>
      </c>
      <c r="B5912" s="6" t="n">
        <v>108.9</v>
      </c>
    </row>
    <row r="5913">
      <c r="A5913" t="inlineStr">
        <is>
          <t>CB</t>
        </is>
      </c>
      <c r="B5913" s="6" t="n">
        <v>64</v>
      </c>
    </row>
    <row r="5914">
      <c r="A5914" t="inlineStr">
        <is>
          <t>CB</t>
        </is>
      </c>
      <c r="B5914" s="6" t="n">
        <v>118</v>
      </c>
    </row>
    <row r="5915">
      <c r="A5915" t="inlineStr">
        <is>
          <t>CB</t>
        </is>
      </c>
      <c r="B5915" s="6" t="n">
        <v>36.1</v>
      </c>
    </row>
    <row r="5916">
      <c r="A5916" t="inlineStr">
        <is>
          <t>CB</t>
        </is>
      </c>
      <c r="B5916" s="6" t="n">
        <v>64.2</v>
      </c>
    </row>
    <row r="5917">
      <c r="A5917" t="inlineStr">
        <is>
          <t>CB</t>
        </is>
      </c>
      <c r="B5917" s="6" t="n">
        <v>70.90000000000001</v>
      </c>
    </row>
    <row r="5918">
      <c r="A5918" t="inlineStr">
        <is>
          <t>CB</t>
        </is>
      </c>
      <c r="B5918" s="6" t="n">
        <v>52.5</v>
      </c>
    </row>
    <row r="5919">
      <c r="A5919" t="inlineStr">
        <is>
          <t>CB</t>
        </is>
      </c>
      <c r="B5919" s="6" t="n">
        <v>69</v>
      </c>
    </row>
    <row r="5920">
      <c r="A5920" t="inlineStr">
        <is>
          <t>CB</t>
        </is>
      </c>
      <c r="B5920" s="6" t="n">
        <v>68.09999999999999</v>
      </c>
    </row>
    <row r="5921">
      <c r="A5921" t="inlineStr">
        <is>
          <t>CB</t>
        </is>
      </c>
      <c r="B5921" s="6" t="n">
        <v>72.09999999999999</v>
      </c>
    </row>
    <row r="5922">
      <c r="A5922" t="inlineStr">
        <is>
          <t>CB</t>
        </is>
      </c>
      <c r="B5922" s="6" t="n">
        <v>59.1</v>
      </c>
    </row>
    <row r="5923">
      <c r="A5923" t="inlineStr">
        <is>
          <t>CB</t>
        </is>
      </c>
      <c r="B5923" s="6" t="n">
        <v>104.9</v>
      </c>
    </row>
    <row r="5924">
      <c r="A5924" t="inlineStr">
        <is>
          <t>CB</t>
        </is>
      </c>
      <c r="B5924" s="6" t="n">
        <v>95.8</v>
      </c>
    </row>
    <row r="5925">
      <c r="A5925" t="inlineStr">
        <is>
          <t>CB</t>
        </is>
      </c>
      <c r="B5925" s="6" t="n">
        <v>34.1</v>
      </c>
    </row>
    <row r="5926">
      <c r="A5926" t="inlineStr">
        <is>
          <t>CB</t>
        </is>
      </c>
      <c r="B5926" s="6" t="n">
        <v>34</v>
      </c>
    </row>
    <row r="5927">
      <c r="A5927" t="inlineStr">
        <is>
          <t>CB</t>
        </is>
      </c>
      <c r="B5927" s="6" t="n">
        <v>64.2</v>
      </c>
    </row>
    <row r="5928">
      <c r="A5928" t="inlineStr">
        <is>
          <t>CB</t>
        </is>
      </c>
      <c r="B5928" s="6" t="n">
        <v>102.9</v>
      </c>
    </row>
    <row r="5929">
      <c r="A5929" t="inlineStr">
        <is>
          <t>TR</t>
        </is>
      </c>
      <c r="B5929" s="6" t="n">
        <v>28</v>
      </c>
    </row>
    <row r="5930">
      <c r="A5930" t="inlineStr">
        <is>
          <t>CB</t>
        </is>
      </c>
      <c r="B5930" s="6" t="n">
        <v>21.55</v>
      </c>
    </row>
    <row r="5931">
      <c r="A5931" t="inlineStr">
        <is>
          <t>CB</t>
        </is>
      </c>
      <c r="B5931" s="6" t="n">
        <v>66.59999999999999</v>
      </c>
    </row>
    <row r="5932">
      <c r="A5932" t="inlineStr">
        <is>
          <t>CB</t>
        </is>
      </c>
      <c r="B5932" s="6" t="n">
        <v>31.25</v>
      </c>
    </row>
    <row r="5933">
      <c r="A5933" t="inlineStr">
        <is>
          <t>CB</t>
        </is>
      </c>
      <c r="B5933" s="6" t="n">
        <v>41.45</v>
      </c>
    </row>
    <row r="5934">
      <c r="A5934" t="inlineStr">
        <is>
          <t>TR</t>
        </is>
      </c>
      <c r="B5934" s="6" t="n">
        <v>16</v>
      </c>
    </row>
    <row r="5935">
      <c r="A5935" t="inlineStr">
        <is>
          <t>CB</t>
        </is>
      </c>
      <c r="B5935" s="6" t="n">
        <v>40.6</v>
      </c>
    </row>
    <row r="5936">
      <c r="A5936" t="inlineStr">
        <is>
          <t>CB</t>
        </is>
      </c>
      <c r="B5936" s="6" t="n">
        <v>59.6</v>
      </c>
    </row>
    <row r="5937">
      <c r="A5937" t="inlineStr">
        <is>
          <t>CB</t>
        </is>
      </c>
      <c r="B5937" s="6" t="n">
        <v>68.5</v>
      </c>
    </row>
    <row r="5938">
      <c r="A5938" t="inlineStr">
        <is>
          <t>CB</t>
        </is>
      </c>
      <c r="B5938" s="6" t="n">
        <v>31.25</v>
      </c>
    </row>
    <row r="5939">
      <c r="A5939" t="inlineStr">
        <is>
          <t>CB</t>
        </is>
      </c>
      <c r="B5939" s="6" t="n">
        <v>50.8</v>
      </c>
    </row>
    <row r="5940">
      <c r="A5940" t="inlineStr">
        <is>
          <t>CB</t>
        </is>
      </c>
      <c r="B5940" s="6" t="n">
        <v>194.7</v>
      </c>
    </row>
    <row r="5941">
      <c r="A5941" t="inlineStr">
        <is>
          <t>CB</t>
        </is>
      </c>
      <c r="B5941" s="6" t="n">
        <v>49.55</v>
      </c>
    </row>
    <row r="5942">
      <c r="A5942" t="inlineStr">
        <is>
          <t>CB</t>
        </is>
      </c>
      <c r="B5942" s="6" t="n">
        <v>78.40000000000001</v>
      </c>
    </row>
    <row r="5943">
      <c r="A5943" t="inlineStr">
        <is>
          <t>CB</t>
        </is>
      </c>
      <c r="B5943" s="6" t="n">
        <v>62.4</v>
      </c>
    </row>
    <row r="5944">
      <c r="A5944" t="inlineStr">
        <is>
          <t>CB</t>
        </is>
      </c>
      <c r="B5944" s="6" t="n">
        <v>59.1</v>
      </c>
    </row>
    <row r="5945">
      <c r="A5945" t="inlineStr">
        <is>
          <t>CB</t>
        </is>
      </c>
      <c r="B5945" s="6" t="n">
        <v>41.45</v>
      </c>
    </row>
    <row r="5946">
      <c r="A5946" t="inlineStr">
        <is>
          <t>CB</t>
        </is>
      </c>
      <c r="B5946" s="6" t="n">
        <v>38.4</v>
      </c>
    </row>
    <row r="5947">
      <c r="A5947" t="inlineStr">
        <is>
          <t>CB</t>
        </is>
      </c>
      <c r="B5947" s="6" t="n">
        <v>57.8</v>
      </c>
    </row>
    <row r="5948">
      <c r="A5948" t="inlineStr">
        <is>
          <t>CB</t>
        </is>
      </c>
      <c r="B5948" s="6" t="n">
        <v>67.8</v>
      </c>
    </row>
    <row r="5949">
      <c r="A5949" t="inlineStr">
        <is>
          <t>CHQ</t>
        </is>
      </c>
      <c r="B5949" s="6" t="n">
        <v>97.40000000000001</v>
      </c>
    </row>
    <row r="5950">
      <c r="A5950" t="inlineStr">
        <is>
          <t>CB</t>
        </is>
      </c>
      <c r="B5950" s="6" t="n">
        <v>122.5</v>
      </c>
    </row>
    <row r="5951">
      <c r="A5951" t="inlineStr">
        <is>
          <t>CB</t>
        </is>
      </c>
      <c r="B5951" s="6" t="n">
        <v>68</v>
      </c>
    </row>
    <row r="5952">
      <c r="A5952" t="inlineStr">
        <is>
          <t>CB</t>
        </is>
      </c>
      <c r="B5952" s="6" t="n">
        <v>95.3</v>
      </c>
    </row>
    <row r="5953">
      <c r="A5953" t="inlineStr">
        <is>
          <t>CB</t>
        </is>
      </c>
      <c r="B5953" s="6" t="n">
        <v>95.3</v>
      </c>
    </row>
    <row r="5954">
      <c r="A5954" t="inlineStr">
        <is>
          <t>CB</t>
        </is>
      </c>
      <c r="B5954" s="6" t="n">
        <v>71.09999999999999</v>
      </c>
    </row>
    <row r="5955">
      <c r="A5955" t="inlineStr">
        <is>
          <t>CB</t>
        </is>
      </c>
      <c r="B5955" s="6" t="n">
        <v>107.3</v>
      </c>
    </row>
    <row r="5956">
      <c r="A5956" t="inlineStr">
        <is>
          <t>CB</t>
        </is>
      </c>
      <c r="B5956" s="6" t="n">
        <v>89.2</v>
      </c>
    </row>
    <row r="5957">
      <c r="A5957" t="inlineStr">
        <is>
          <t>CB</t>
        </is>
      </c>
      <c r="B5957" s="6" t="n">
        <v>63.2</v>
      </c>
    </row>
    <row r="5958">
      <c r="A5958" t="inlineStr">
        <is>
          <t>CB</t>
        </is>
      </c>
      <c r="B5958" s="6" t="n">
        <v>67.90000000000001</v>
      </c>
    </row>
    <row r="5959">
      <c r="A5959" t="inlineStr">
        <is>
          <t>CB</t>
        </is>
      </c>
      <c r="B5959" s="6" t="n">
        <v>29.5</v>
      </c>
    </row>
    <row r="5960">
      <c r="A5960" t="inlineStr">
        <is>
          <t>CB</t>
        </is>
      </c>
      <c r="B5960" s="6" t="n">
        <v>146.8</v>
      </c>
    </row>
    <row r="5961">
      <c r="A5961" t="inlineStr">
        <is>
          <t>CB</t>
        </is>
      </c>
      <c r="B5961" s="6" t="n">
        <v>83.5</v>
      </c>
    </row>
    <row r="5962">
      <c r="A5962" t="inlineStr">
        <is>
          <t>CB</t>
        </is>
      </c>
      <c r="B5962" s="6" t="n">
        <v>23.5</v>
      </c>
    </row>
    <row r="5963">
      <c r="A5963" t="inlineStr">
        <is>
          <t>CB</t>
        </is>
      </c>
      <c r="B5963" s="6" t="n">
        <v>64.2</v>
      </c>
    </row>
    <row r="5964">
      <c r="A5964" t="inlineStr">
        <is>
          <t>TR</t>
        </is>
      </c>
      <c r="B5964" s="6" t="n">
        <v>16</v>
      </c>
    </row>
    <row r="5965">
      <c r="A5965" t="inlineStr">
        <is>
          <t>CB</t>
        </is>
      </c>
      <c r="B5965" s="6" t="n">
        <v>36.8</v>
      </c>
    </row>
    <row r="5966">
      <c r="A5966" t="inlineStr">
        <is>
          <t>CB</t>
        </is>
      </c>
      <c r="B5966" s="6" t="n">
        <v>30.4</v>
      </c>
    </row>
    <row r="5967">
      <c r="A5967" t="inlineStr">
        <is>
          <t>CB</t>
        </is>
      </c>
      <c r="B5967" s="6" t="n">
        <v>26.2</v>
      </c>
    </row>
    <row r="5968">
      <c r="A5968" t="inlineStr">
        <is>
          <t>CB</t>
        </is>
      </c>
      <c r="B5968" s="6" t="n">
        <v>107.2</v>
      </c>
    </row>
    <row r="5969">
      <c r="A5969" t="inlineStr">
        <is>
          <t>CB</t>
        </is>
      </c>
      <c r="B5969" s="6" t="n">
        <v>24.8</v>
      </c>
    </row>
    <row r="5970">
      <c r="A5970" t="inlineStr">
        <is>
          <t>CB</t>
        </is>
      </c>
      <c r="B5970" s="6" t="n">
        <v>23.5</v>
      </c>
    </row>
    <row r="5971">
      <c r="A5971" t="inlineStr">
        <is>
          <t>CB</t>
        </is>
      </c>
      <c r="B5971" s="6" t="n">
        <v>25.8</v>
      </c>
    </row>
    <row r="5972">
      <c r="A5972" t="inlineStr">
        <is>
          <t>CB</t>
        </is>
      </c>
      <c r="B5972" s="6" t="n">
        <v>24.8</v>
      </c>
    </row>
    <row r="5973">
      <c r="A5973" t="inlineStr">
        <is>
          <t>CHV</t>
        </is>
      </c>
      <c r="B5973" s="6" t="n">
        <v>60</v>
      </c>
    </row>
    <row r="5974">
      <c r="A5974" t="inlineStr">
        <is>
          <t>CB</t>
        </is>
      </c>
      <c r="B5974" s="6" t="n">
        <v>8.699999999999999</v>
      </c>
    </row>
    <row r="5975">
      <c r="A5975" t="inlineStr">
        <is>
          <t>CB</t>
        </is>
      </c>
      <c r="B5975" s="6" t="n">
        <v>82.3</v>
      </c>
    </row>
    <row r="5976">
      <c r="A5976" t="inlineStr">
        <is>
          <t>CB</t>
        </is>
      </c>
      <c r="B5976" s="6" t="n">
        <v>25.1</v>
      </c>
    </row>
    <row r="5977">
      <c r="A5977" t="inlineStr">
        <is>
          <t>CB</t>
        </is>
      </c>
      <c r="B5977" s="6" t="n">
        <v>71.8</v>
      </c>
    </row>
    <row r="5978">
      <c r="A5978" t="inlineStr">
        <is>
          <t>CB</t>
        </is>
      </c>
      <c r="B5978" s="6" t="n">
        <v>24.8</v>
      </c>
    </row>
    <row r="5979">
      <c r="A5979" t="inlineStr">
        <is>
          <t>TR</t>
        </is>
      </c>
      <c r="B5979" s="6" t="n">
        <v>45</v>
      </c>
    </row>
    <row r="5980">
      <c r="A5980" t="inlineStr">
        <is>
          <t>CB</t>
        </is>
      </c>
      <c r="B5980" s="6" t="n">
        <v>5.3</v>
      </c>
    </row>
    <row r="5981">
      <c r="A5981" t="inlineStr">
        <is>
          <t>CB</t>
        </is>
      </c>
      <c r="B5981" s="6" t="n">
        <v>99.25</v>
      </c>
    </row>
    <row r="5982">
      <c r="A5982" t="inlineStr">
        <is>
          <t>CB</t>
        </is>
      </c>
      <c r="B5982" s="6" t="n">
        <v>89.90000000000001</v>
      </c>
    </row>
    <row r="5983">
      <c r="A5983" t="inlineStr">
        <is>
          <t>ESP</t>
        </is>
      </c>
      <c r="B5983" s="6" t="n">
        <v>30</v>
      </c>
    </row>
    <row r="5984">
      <c r="A5984" t="inlineStr">
        <is>
          <t>CB</t>
        </is>
      </c>
      <c r="B5984" s="6" t="n">
        <v>27.2</v>
      </c>
    </row>
    <row r="5985">
      <c r="A5985" t="inlineStr">
        <is>
          <t>CB</t>
        </is>
      </c>
      <c r="B5985" s="6" t="n">
        <v>66.7</v>
      </c>
    </row>
    <row r="5986">
      <c r="A5986" t="inlineStr">
        <is>
          <t>CB</t>
        </is>
      </c>
      <c r="B5986" s="6" t="n">
        <v>76.90000000000001</v>
      </c>
    </row>
    <row r="5987">
      <c r="A5987" t="inlineStr">
        <is>
          <t>CB</t>
        </is>
      </c>
      <c r="B5987" s="6" t="n">
        <v>153.7</v>
      </c>
    </row>
    <row r="5988">
      <c r="A5988" t="inlineStr">
        <is>
          <t>TR</t>
        </is>
      </c>
      <c r="B5988" s="6" t="n">
        <v>44</v>
      </c>
    </row>
    <row r="5989">
      <c r="A5989" t="inlineStr">
        <is>
          <t>CB</t>
        </is>
      </c>
      <c r="B5989" s="6" t="n">
        <v>49.1</v>
      </c>
    </row>
    <row r="5990">
      <c r="A5990" t="inlineStr">
        <is>
          <t>CHV</t>
        </is>
      </c>
      <c r="B5990" s="6" t="n">
        <v>60</v>
      </c>
    </row>
    <row r="5991">
      <c r="A5991" t="inlineStr">
        <is>
          <t>CB</t>
        </is>
      </c>
      <c r="B5991" s="6" t="n">
        <v>5.1</v>
      </c>
    </row>
    <row r="5992">
      <c r="A5992" t="inlineStr">
        <is>
          <t>CB</t>
        </is>
      </c>
      <c r="B5992" s="6" t="n">
        <v>99.25</v>
      </c>
    </row>
    <row r="5993">
      <c r="A5993" t="inlineStr">
        <is>
          <t>CB</t>
        </is>
      </c>
      <c r="B5993" s="6" t="n">
        <v>78.25</v>
      </c>
    </row>
    <row r="5994">
      <c r="A5994" t="inlineStr">
        <is>
          <t>CB</t>
        </is>
      </c>
      <c r="B5994" s="6" t="n">
        <v>86.3</v>
      </c>
    </row>
    <row r="5995">
      <c r="A5995" t="inlineStr">
        <is>
          <t>CB</t>
        </is>
      </c>
      <c r="B5995" s="6" t="n">
        <v>103.4</v>
      </c>
    </row>
    <row r="5996">
      <c r="A5996" t="inlineStr">
        <is>
          <t>CB</t>
        </is>
      </c>
      <c r="B5996" s="6" t="n">
        <v>42.8</v>
      </c>
    </row>
    <row r="5997">
      <c r="A5997" t="inlineStr">
        <is>
          <t>CB</t>
        </is>
      </c>
      <c r="B5997" s="6" t="n">
        <v>81.7</v>
      </c>
    </row>
    <row r="5998">
      <c r="A5998" t="inlineStr">
        <is>
          <t>TR</t>
        </is>
      </c>
      <c r="B5998" s="6" t="n">
        <v>72</v>
      </c>
    </row>
    <row r="5999">
      <c r="A5999" t="inlineStr">
        <is>
          <t>ESP</t>
        </is>
      </c>
      <c r="B5999" s="6" t="n">
        <v>4.3</v>
      </c>
    </row>
    <row r="6000">
      <c r="A6000" t="inlineStr">
        <is>
          <t>CHV</t>
        </is>
      </c>
      <c r="B6000" s="6" t="n">
        <v>70</v>
      </c>
    </row>
    <row r="6001">
      <c r="A6001" t="inlineStr">
        <is>
          <t>CB</t>
        </is>
      </c>
      <c r="B6001" s="6" t="n">
        <v>8.25</v>
      </c>
    </row>
    <row r="6002">
      <c r="A6002" t="inlineStr">
        <is>
          <t>CB</t>
        </is>
      </c>
      <c r="B6002" s="6" t="n">
        <v>85.40000000000001</v>
      </c>
    </row>
    <row r="6003">
      <c r="A6003" t="inlineStr">
        <is>
          <t>CB</t>
        </is>
      </c>
      <c r="B6003" s="6" t="n">
        <v>71.59999999999999</v>
      </c>
    </row>
    <row r="6004">
      <c r="A6004" t="inlineStr">
        <is>
          <t>CB</t>
        </is>
      </c>
      <c r="B6004" s="6" t="n">
        <v>74.8</v>
      </c>
    </row>
    <row r="6005">
      <c r="A6005" t="inlineStr">
        <is>
          <t>CB</t>
        </is>
      </c>
      <c r="B6005" s="6" t="n">
        <v>113.4</v>
      </c>
    </row>
    <row r="6006">
      <c r="A6006" t="inlineStr">
        <is>
          <t>CHQ</t>
        </is>
      </c>
      <c r="B6006" s="6" t="n">
        <v>51.2</v>
      </c>
    </row>
    <row r="6007">
      <c r="A6007" t="inlineStr">
        <is>
          <t>CB</t>
        </is>
      </c>
      <c r="B6007" s="6" t="n">
        <v>60.65</v>
      </c>
    </row>
    <row r="6008">
      <c r="A6008" t="inlineStr">
        <is>
          <t>CB</t>
        </is>
      </c>
      <c r="B6008" s="6" t="n">
        <v>152.8</v>
      </c>
    </row>
    <row r="6009">
      <c r="A6009" t="inlineStr">
        <is>
          <t>CB</t>
        </is>
      </c>
      <c r="B6009" s="6" t="n">
        <v>121.15</v>
      </c>
    </row>
    <row r="6010">
      <c r="A6010" t="inlineStr">
        <is>
          <t>CB</t>
        </is>
      </c>
      <c r="B6010" s="6" t="n">
        <v>60.58</v>
      </c>
    </row>
    <row r="6011">
      <c r="A6011" t="inlineStr">
        <is>
          <t>CB</t>
        </is>
      </c>
      <c r="B6011" s="6" t="n">
        <v>60.57</v>
      </c>
    </row>
    <row r="6012">
      <c r="A6012" t="inlineStr">
        <is>
          <t>CB</t>
        </is>
      </c>
      <c r="B6012" s="6" t="n">
        <v>60.65</v>
      </c>
    </row>
    <row r="6013">
      <c r="A6013" t="inlineStr">
        <is>
          <t>CB</t>
        </is>
      </c>
      <c r="B6013" s="6" t="n">
        <v>49.6</v>
      </c>
    </row>
    <row r="6014">
      <c r="A6014" t="inlineStr">
        <is>
          <t>CB</t>
        </is>
      </c>
      <c r="B6014" s="6" t="n">
        <v>85.59999999999999</v>
      </c>
    </row>
    <row r="6015">
      <c r="A6015" t="inlineStr">
        <is>
          <t>CB</t>
        </is>
      </c>
      <c r="B6015" s="6" t="n">
        <v>29.9</v>
      </c>
    </row>
    <row r="6016">
      <c r="A6016" t="inlineStr">
        <is>
          <t>CB</t>
        </is>
      </c>
      <c r="B6016" s="6" t="n">
        <v>94.7</v>
      </c>
    </row>
    <row r="6017">
      <c r="A6017" t="inlineStr">
        <is>
          <t>CB</t>
        </is>
      </c>
      <c r="B6017" s="6" t="n">
        <v>97.59999999999999</v>
      </c>
    </row>
    <row r="6018">
      <c r="A6018" t="inlineStr">
        <is>
          <t>CB</t>
        </is>
      </c>
      <c r="B6018" s="6" t="n">
        <v>56.9</v>
      </c>
    </row>
    <row r="6019">
      <c r="A6019" t="inlineStr">
        <is>
          <t>CHQ</t>
        </is>
      </c>
      <c r="B6019" s="6" t="n">
        <v>84.09999999999999</v>
      </c>
    </row>
    <row r="6020">
      <c r="A6020" t="inlineStr">
        <is>
          <t>CB</t>
        </is>
      </c>
      <c r="B6020" s="6" t="n">
        <v>51.3</v>
      </c>
    </row>
    <row r="6021">
      <c r="A6021" t="inlineStr">
        <is>
          <t>CB</t>
        </is>
      </c>
      <c r="B6021" s="6" t="n">
        <v>74.7</v>
      </c>
    </row>
    <row r="6022">
      <c r="A6022" t="inlineStr">
        <is>
          <t>CB</t>
        </is>
      </c>
      <c r="B6022" s="6" t="n">
        <v>102.8</v>
      </c>
    </row>
    <row r="6023">
      <c r="A6023" t="inlineStr">
        <is>
          <t>CB</t>
        </is>
      </c>
      <c r="B6023" s="6" t="n">
        <v>70.2</v>
      </c>
    </row>
    <row r="6024">
      <c r="A6024" t="inlineStr">
        <is>
          <t>CB</t>
        </is>
      </c>
      <c r="B6024" s="6" t="n">
        <v>84.40000000000001</v>
      </c>
    </row>
    <row r="6025">
      <c r="A6025" t="inlineStr">
        <is>
          <t>CB</t>
        </is>
      </c>
      <c r="B6025" s="6" t="n">
        <v>25.1</v>
      </c>
    </row>
    <row r="6026">
      <c r="A6026" t="inlineStr">
        <is>
          <t>CB</t>
        </is>
      </c>
      <c r="B6026" s="6" t="n">
        <v>109</v>
      </c>
    </row>
    <row r="6027">
      <c r="A6027" t="inlineStr">
        <is>
          <t>CB</t>
        </is>
      </c>
      <c r="B6027" s="6" t="n">
        <v>70.90000000000001</v>
      </c>
    </row>
    <row r="6028">
      <c r="A6028" t="inlineStr">
        <is>
          <t>CB</t>
        </is>
      </c>
      <c r="B6028" s="6" t="n">
        <v>114.2</v>
      </c>
    </row>
    <row r="6029">
      <c r="A6029" t="inlineStr">
        <is>
          <t>CB</t>
        </is>
      </c>
      <c r="B6029" s="6" t="n">
        <v>69.40000000000001</v>
      </c>
    </row>
    <row r="6030">
      <c r="A6030" t="inlineStr">
        <is>
          <t>CB</t>
        </is>
      </c>
      <c r="B6030" s="6" t="n">
        <v>79</v>
      </c>
    </row>
    <row r="6031">
      <c r="A6031" t="inlineStr">
        <is>
          <t>CB</t>
        </is>
      </c>
      <c r="B6031" s="6" t="n">
        <v>32.3</v>
      </c>
    </row>
    <row r="6032">
      <c r="A6032" t="inlineStr">
        <is>
          <t>CB</t>
        </is>
      </c>
      <c r="B6032" s="6" t="n">
        <v>30.2</v>
      </c>
    </row>
    <row r="6033">
      <c r="A6033" t="inlineStr">
        <is>
          <t>CB</t>
        </is>
      </c>
      <c r="B6033" s="6" t="n">
        <v>90.2</v>
      </c>
    </row>
    <row r="6034">
      <c r="A6034" t="inlineStr">
        <is>
          <t>CB</t>
        </is>
      </c>
      <c r="B6034" s="6" t="n">
        <v>54</v>
      </c>
    </row>
    <row r="6035">
      <c r="A6035" t="inlineStr">
        <is>
          <t>CB</t>
        </is>
      </c>
      <c r="B6035" s="6" t="n">
        <v>33.4</v>
      </c>
    </row>
    <row r="6036">
      <c r="A6036" t="inlineStr">
        <is>
          <t>CB</t>
        </is>
      </c>
      <c r="B6036" s="6" t="n">
        <v>90.2</v>
      </c>
    </row>
    <row r="6037">
      <c r="A6037" t="inlineStr">
        <is>
          <t>CB</t>
        </is>
      </c>
      <c r="B6037" s="6" t="n">
        <v>33.4</v>
      </c>
    </row>
    <row r="6038">
      <c r="A6038" t="inlineStr">
        <is>
          <t>CB</t>
        </is>
      </c>
      <c r="B6038" s="6" t="n">
        <v>64</v>
      </c>
    </row>
    <row r="6039">
      <c r="A6039" t="inlineStr">
        <is>
          <t>CB</t>
        </is>
      </c>
      <c r="B6039" s="6" t="n">
        <v>117.7</v>
      </c>
    </row>
    <row r="6040">
      <c r="A6040" t="inlineStr">
        <is>
          <t>TR</t>
        </is>
      </c>
      <c r="B6040" s="6" t="n">
        <v>44</v>
      </c>
    </row>
    <row r="6041">
      <c r="A6041" t="inlineStr">
        <is>
          <t>CB</t>
        </is>
      </c>
      <c r="B6041" s="6" t="n">
        <v>45.8</v>
      </c>
    </row>
    <row r="6042">
      <c r="A6042" t="inlineStr">
        <is>
          <t>CB</t>
        </is>
      </c>
      <c r="B6042" s="6" t="n">
        <v>32</v>
      </c>
    </row>
    <row r="6043">
      <c r="A6043" t="inlineStr">
        <is>
          <t>CB</t>
        </is>
      </c>
      <c r="B6043" s="6" t="n">
        <v>40</v>
      </c>
    </row>
    <row r="6044">
      <c r="A6044" t="inlineStr">
        <is>
          <t>CB</t>
        </is>
      </c>
      <c r="B6044" s="6" t="n">
        <v>67</v>
      </c>
    </row>
    <row r="6045">
      <c r="A6045" t="inlineStr">
        <is>
          <t>CB</t>
        </is>
      </c>
      <c r="B6045" s="6" t="n">
        <v>30.8</v>
      </c>
    </row>
    <row r="6046">
      <c r="A6046" t="inlineStr">
        <is>
          <t>CB</t>
        </is>
      </c>
      <c r="B6046" s="6" t="n">
        <v>29.4</v>
      </c>
    </row>
    <row r="6047">
      <c r="A6047" t="inlineStr">
        <is>
          <t>CB</t>
        </is>
      </c>
      <c r="B6047" s="6" t="n">
        <v>67</v>
      </c>
    </row>
    <row r="6048">
      <c r="A6048" t="inlineStr">
        <is>
          <t>CB</t>
        </is>
      </c>
      <c r="B6048" s="6" t="n">
        <v>67</v>
      </c>
    </row>
    <row r="6049">
      <c r="A6049" t="inlineStr">
        <is>
          <t>CHV</t>
        </is>
      </c>
      <c r="B6049" s="6" t="n">
        <v>19.8</v>
      </c>
    </row>
    <row r="6050">
      <c r="A6050" t="inlineStr">
        <is>
          <t>CB</t>
        </is>
      </c>
      <c r="B6050" s="6" t="n">
        <v>124.1</v>
      </c>
    </row>
    <row r="6051">
      <c r="A6051" t="inlineStr">
        <is>
          <t>CB</t>
        </is>
      </c>
      <c r="B6051" s="6" t="n">
        <v>88.2</v>
      </c>
    </row>
    <row r="6052">
      <c r="A6052" t="inlineStr">
        <is>
          <t>CB</t>
        </is>
      </c>
      <c r="B6052" s="6" t="n">
        <v>54.2</v>
      </c>
    </row>
    <row r="6053">
      <c r="A6053" t="inlineStr">
        <is>
          <t>CB</t>
        </is>
      </c>
      <c r="B6053" s="6" t="n">
        <v>47.6</v>
      </c>
    </row>
    <row r="6054">
      <c r="A6054" t="inlineStr">
        <is>
          <t>CB</t>
        </is>
      </c>
      <c r="B6054" s="6" t="n">
        <v>105.8</v>
      </c>
    </row>
    <row r="6055">
      <c r="A6055" t="inlineStr">
        <is>
          <t>CB</t>
        </is>
      </c>
      <c r="B6055" s="6" t="n">
        <v>81.90000000000001</v>
      </c>
    </row>
    <row r="6056">
      <c r="A6056" t="inlineStr">
        <is>
          <t>CB</t>
        </is>
      </c>
      <c r="B6056" s="6" t="n">
        <v>50.6</v>
      </c>
    </row>
    <row r="6057">
      <c r="A6057" t="inlineStr">
        <is>
          <t>CB</t>
        </is>
      </c>
      <c r="B6057" s="6" t="n">
        <v>39.6</v>
      </c>
    </row>
    <row r="6058">
      <c r="A6058" t="inlineStr">
        <is>
          <t>CB</t>
        </is>
      </c>
      <c r="B6058" s="6" t="n">
        <v>129.9</v>
      </c>
    </row>
    <row r="6059">
      <c r="A6059" t="inlineStr">
        <is>
          <t>CB</t>
        </is>
      </c>
      <c r="B6059" s="6" t="n">
        <v>52.1</v>
      </c>
    </row>
    <row r="6060">
      <c r="A6060" t="inlineStr">
        <is>
          <t>CB</t>
        </is>
      </c>
      <c r="B6060" s="6" t="n">
        <v>79.59999999999999</v>
      </c>
    </row>
    <row r="6061">
      <c r="A6061" t="inlineStr">
        <is>
          <t>CB</t>
        </is>
      </c>
      <c r="B6061" s="6" t="n">
        <v>53.75</v>
      </c>
    </row>
    <row r="6062">
      <c r="A6062" t="inlineStr">
        <is>
          <t>CB</t>
        </is>
      </c>
      <c r="B6062" s="6" t="n">
        <v>78.09999999999999</v>
      </c>
    </row>
    <row r="6063">
      <c r="A6063" t="inlineStr">
        <is>
          <t>CB</t>
        </is>
      </c>
      <c r="B6063" s="6" t="n">
        <v>142.7</v>
      </c>
    </row>
    <row r="6064">
      <c r="A6064" t="inlineStr">
        <is>
          <t>CB</t>
        </is>
      </c>
      <c r="B6064" s="6" t="n">
        <v>104.3</v>
      </c>
    </row>
    <row r="6065">
      <c r="A6065" t="inlineStr">
        <is>
          <t>CB</t>
        </is>
      </c>
      <c r="B6065" s="6" t="n">
        <v>25</v>
      </c>
    </row>
    <row r="6066">
      <c r="A6066" t="inlineStr">
        <is>
          <t>ESP</t>
        </is>
      </c>
      <c r="B6066" s="6" t="n">
        <v>53.75</v>
      </c>
    </row>
    <row r="6067">
      <c r="A6067" t="inlineStr">
        <is>
          <t>CB</t>
        </is>
      </c>
      <c r="B6067" s="6" t="n">
        <v>82.59999999999999</v>
      </c>
    </row>
    <row r="6068">
      <c r="A6068" t="inlineStr">
        <is>
          <t>CB</t>
        </is>
      </c>
      <c r="B6068" s="6" t="n">
        <v>24.24</v>
      </c>
    </row>
    <row r="6069">
      <c r="A6069" t="inlineStr">
        <is>
          <t>CB</t>
        </is>
      </c>
      <c r="B6069" s="6" t="n">
        <v>96.95999999999999</v>
      </c>
    </row>
    <row r="6070">
      <c r="A6070" t="inlineStr">
        <is>
          <t>CB</t>
        </is>
      </c>
      <c r="B6070" s="6" t="n">
        <v>30.35</v>
      </c>
    </row>
    <row r="6071">
      <c r="A6071" t="inlineStr">
        <is>
          <t>CB</t>
        </is>
      </c>
      <c r="B6071" s="6" t="n">
        <v>25</v>
      </c>
    </row>
    <row r="6072">
      <c r="A6072" t="inlineStr">
        <is>
          <t>CB</t>
        </is>
      </c>
      <c r="B6072" s="6" t="n">
        <v>47.6</v>
      </c>
    </row>
    <row r="6073">
      <c r="A6073" t="inlineStr">
        <is>
          <t>CB</t>
        </is>
      </c>
      <c r="B6073" s="6" t="n">
        <v>37.3</v>
      </c>
    </row>
    <row r="6074">
      <c r="A6074" t="inlineStr">
        <is>
          <t>CB</t>
        </is>
      </c>
      <c r="B6074" s="6" t="n">
        <v>69.40000000000001</v>
      </c>
    </row>
    <row r="6075">
      <c r="A6075" t="inlineStr">
        <is>
          <t>CB</t>
        </is>
      </c>
      <c r="B6075" s="6" t="n">
        <v>30.35</v>
      </c>
    </row>
    <row r="6076">
      <c r="A6076" t="inlineStr">
        <is>
          <t>CB</t>
        </is>
      </c>
      <c r="B6076" s="6" t="n">
        <v>53.6</v>
      </c>
    </row>
    <row r="6077">
      <c r="A6077" t="inlineStr">
        <is>
          <t>CB</t>
        </is>
      </c>
      <c r="B6077" s="6" t="n">
        <v>59.9</v>
      </c>
    </row>
    <row r="6078">
      <c r="A6078" t="inlineStr">
        <is>
          <t>CB</t>
        </is>
      </c>
      <c r="B6078" s="6" t="n">
        <v>75.2</v>
      </c>
    </row>
    <row r="6079">
      <c r="A6079" t="inlineStr">
        <is>
          <t>TR</t>
        </is>
      </c>
      <c r="B6079" s="6" t="n">
        <v>48</v>
      </c>
    </row>
    <row r="6080">
      <c r="A6080" t="inlineStr">
        <is>
          <t>CB</t>
        </is>
      </c>
      <c r="B6080" s="6" t="n">
        <v>13.5</v>
      </c>
    </row>
    <row r="6081">
      <c r="A6081" t="inlineStr">
        <is>
          <t>CB</t>
        </is>
      </c>
      <c r="B6081" s="6" t="n">
        <v>176.8</v>
      </c>
    </row>
    <row r="6082">
      <c r="A6082" t="inlineStr">
        <is>
          <t>CB</t>
        </is>
      </c>
      <c r="B6082" s="6" t="n">
        <v>38.54</v>
      </c>
    </row>
    <row r="6083">
      <c r="A6083" t="inlineStr">
        <is>
          <t>CB</t>
        </is>
      </c>
      <c r="B6083" s="6" t="n">
        <v>44.6</v>
      </c>
    </row>
    <row r="6084">
      <c r="A6084" t="inlineStr">
        <is>
          <t>CB</t>
        </is>
      </c>
      <c r="B6084" s="6" t="n">
        <v>108.7</v>
      </c>
    </row>
    <row r="6085">
      <c r="A6085" t="inlineStr">
        <is>
          <t>CB</t>
        </is>
      </c>
      <c r="B6085" s="6" t="n">
        <v>16.1</v>
      </c>
    </row>
    <row r="6086">
      <c r="A6086" t="inlineStr">
        <is>
          <t>CB</t>
        </is>
      </c>
      <c r="B6086" s="6" t="n">
        <v>35.2</v>
      </c>
    </row>
    <row r="6087">
      <c r="A6087" t="inlineStr">
        <is>
          <t>CB</t>
        </is>
      </c>
      <c r="B6087" s="6" t="n">
        <v>75.8</v>
      </c>
    </row>
    <row r="6088">
      <c r="A6088" t="inlineStr">
        <is>
          <t>CB</t>
        </is>
      </c>
      <c r="B6088" s="6" t="n">
        <v>77.08</v>
      </c>
    </row>
    <row r="6089">
      <c r="A6089" t="inlineStr">
        <is>
          <t>CB</t>
        </is>
      </c>
      <c r="B6089" s="6" t="n">
        <v>38.54</v>
      </c>
    </row>
    <row r="6090">
      <c r="A6090" t="inlineStr">
        <is>
          <t>CB</t>
        </is>
      </c>
      <c r="B6090" s="6" t="n">
        <v>38.54</v>
      </c>
    </row>
    <row r="6091">
      <c r="A6091" t="inlineStr">
        <is>
          <t>CB</t>
        </is>
      </c>
      <c r="B6091" s="6" t="n">
        <v>91.09999999999999</v>
      </c>
    </row>
    <row r="6092">
      <c r="A6092" t="inlineStr">
        <is>
          <t>CB</t>
        </is>
      </c>
      <c r="B6092" s="6" t="n">
        <v>100.2</v>
      </c>
    </row>
    <row r="6093">
      <c r="A6093" t="inlineStr">
        <is>
          <t>CB</t>
        </is>
      </c>
      <c r="B6093" s="6" t="n">
        <v>84.59999999999999</v>
      </c>
    </row>
    <row r="6094">
      <c r="A6094" t="inlineStr">
        <is>
          <t>CB</t>
        </is>
      </c>
      <c r="B6094" s="6" t="n">
        <v>98.90000000000001</v>
      </c>
    </row>
    <row r="6095">
      <c r="A6095" t="inlineStr">
        <is>
          <t>CB</t>
        </is>
      </c>
      <c r="B6095" s="6" t="n">
        <v>79.40000000000001</v>
      </c>
    </row>
    <row r="6096">
      <c r="A6096" t="inlineStr">
        <is>
          <t>CB</t>
        </is>
      </c>
      <c r="B6096" s="6" t="n">
        <v>66.3</v>
      </c>
    </row>
    <row r="6097">
      <c r="A6097" t="inlineStr">
        <is>
          <t>CB</t>
        </is>
      </c>
      <c r="B6097" s="6" t="n">
        <v>43.9</v>
      </c>
    </row>
    <row r="6098">
      <c r="A6098" t="inlineStr">
        <is>
          <t>CB</t>
        </is>
      </c>
      <c r="B6098" s="6" t="n">
        <v>120.5</v>
      </c>
    </row>
    <row r="6099">
      <c r="A6099" t="inlineStr">
        <is>
          <t>CB</t>
        </is>
      </c>
      <c r="B6099" s="6" t="n">
        <v>170.6</v>
      </c>
    </row>
    <row r="6100">
      <c r="A6100" t="inlineStr">
        <is>
          <t>CB</t>
        </is>
      </c>
      <c r="B6100" s="6" t="n">
        <v>116.8</v>
      </c>
    </row>
    <row r="6101">
      <c r="A6101" t="inlineStr">
        <is>
          <t>CB</t>
        </is>
      </c>
      <c r="B6101" s="6" t="n">
        <v>43.9</v>
      </c>
    </row>
    <row r="6102">
      <c r="A6102" t="inlineStr">
        <is>
          <t>CB</t>
        </is>
      </c>
      <c r="B6102" s="6" t="n">
        <v>116.8</v>
      </c>
    </row>
    <row r="6103">
      <c r="A6103" t="inlineStr">
        <is>
          <t>CB</t>
        </is>
      </c>
      <c r="B6103" s="6" t="n">
        <v>45.9</v>
      </c>
    </row>
    <row r="6104">
      <c r="A6104" t="inlineStr">
        <is>
          <t>CB</t>
        </is>
      </c>
      <c r="B6104" s="6" t="n">
        <v>72.90000000000001</v>
      </c>
    </row>
    <row r="6105">
      <c r="A6105" t="inlineStr">
        <is>
          <t>CB</t>
        </is>
      </c>
      <c r="B6105" s="6" t="n">
        <v>23.7</v>
      </c>
    </row>
    <row r="6106">
      <c r="A6106" t="inlineStr">
        <is>
          <t>CB</t>
        </is>
      </c>
      <c r="B6106" s="6" t="n">
        <v>34</v>
      </c>
    </row>
    <row r="6107">
      <c r="A6107" t="inlineStr">
        <is>
          <t>CB</t>
        </is>
      </c>
      <c r="B6107" s="6" t="n">
        <v>36.55</v>
      </c>
    </row>
    <row r="6108">
      <c r="A6108" t="inlineStr">
        <is>
          <t>CB</t>
        </is>
      </c>
      <c r="B6108" s="6" t="n">
        <v>45.6</v>
      </c>
    </row>
    <row r="6109">
      <c r="A6109" t="inlineStr">
        <is>
          <t>CB</t>
        </is>
      </c>
      <c r="B6109" s="6" t="n">
        <v>36.44</v>
      </c>
    </row>
    <row r="6110">
      <c r="A6110" t="inlineStr">
        <is>
          <t>CHV</t>
        </is>
      </c>
      <c r="B6110" s="6" t="n">
        <v>20</v>
      </c>
    </row>
    <row r="6111">
      <c r="A6111" t="inlineStr">
        <is>
          <t>CB</t>
        </is>
      </c>
      <c r="B6111" s="6" t="n">
        <v>7.35</v>
      </c>
    </row>
    <row r="6112">
      <c r="A6112" t="inlineStr">
        <is>
          <t>CB</t>
        </is>
      </c>
      <c r="B6112" s="6" t="n">
        <v>116.2</v>
      </c>
    </row>
    <row r="6113">
      <c r="A6113" t="inlineStr">
        <is>
          <t>CB</t>
        </is>
      </c>
      <c r="B6113" s="6" t="n">
        <v>64.5</v>
      </c>
    </row>
    <row r="6114">
      <c r="A6114" t="inlineStr">
        <is>
          <t>CB</t>
        </is>
      </c>
      <c r="B6114" s="6" t="n">
        <v>49.4</v>
      </c>
    </row>
    <row r="6115">
      <c r="A6115" t="inlineStr">
        <is>
          <t>CB</t>
        </is>
      </c>
      <c r="B6115" s="6" t="n">
        <v>23.8</v>
      </c>
    </row>
    <row r="6116">
      <c r="A6116" t="inlineStr">
        <is>
          <t>CB</t>
        </is>
      </c>
      <c r="B6116" s="6" t="n">
        <v>24.9</v>
      </c>
    </row>
    <row r="6117">
      <c r="A6117" t="inlineStr">
        <is>
          <t>CB</t>
        </is>
      </c>
      <c r="B6117" s="6" t="n">
        <v>19.9</v>
      </c>
    </row>
    <row r="6118">
      <c r="A6118" t="inlineStr">
        <is>
          <t>CB</t>
        </is>
      </c>
      <c r="B6118" s="6" t="n">
        <v>36.55</v>
      </c>
    </row>
    <row r="6119">
      <c r="A6119" t="inlineStr">
        <is>
          <t>CB</t>
        </is>
      </c>
      <c r="B6119" s="6" t="n">
        <v>116</v>
      </c>
    </row>
    <row r="6120">
      <c r="A6120" t="inlineStr">
        <is>
          <t>CB</t>
        </is>
      </c>
      <c r="B6120" s="6" t="n">
        <v>36.44</v>
      </c>
    </row>
    <row r="6121">
      <c r="A6121" t="inlineStr">
        <is>
          <t>CB</t>
        </is>
      </c>
      <c r="B6121" s="6" t="n">
        <v>36.44</v>
      </c>
    </row>
    <row r="6122">
      <c r="A6122" t="inlineStr">
        <is>
          <t>TR</t>
        </is>
      </c>
      <c r="B6122" s="6" t="n">
        <v>30</v>
      </c>
    </row>
    <row r="6123">
      <c r="A6123" t="inlineStr">
        <is>
          <t>CB</t>
        </is>
      </c>
      <c r="B6123" s="6" t="n">
        <v>6.44</v>
      </c>
    </row>
    <row r="6124">
      <c r="A6124" t="inlineStr">
        <is>
          <t>CB</t>
        </is>
      </c>
      <c r="B6124" s="6" t="n">
        <v>36.44</v>
      </c>
    </row>
    <row r="6125">
      <c r="A6125" t="inlineStr">
        <is>
          <t>CB</t>
        </is>
      </c>
      <c r="B6125" s="6" t="n">
        <v>34</v>
      </c>
    </row>
    <row r="6126">
      <c r="A6126" t="inlineStr">
        <is>
          <t>CB</t>
        </is>
      </c>
      <c r="B6126" s="6" t="n">
        <v>27.4</v>
      </c>
    </row>
    <row r="6127">
      <c r="A6127" t="inlineStr">
        <is>
          <t>CB</t>
        </is>
      </c>
      <c r="B6127" s="6" t="n">
        <v>13.1</v>
      </c>
    </row>
    <row r="6128">
      <c r="A6128" t="inlineStr">
        <is>
          <t>CHV</t>
        </is>
      </c>
      <c r="B6128" s="6" t="n">
        <v>20</v>
      </c>
    </row>
    <row r="6129">
      <c r="A6129" t="inlineStr">
        <is>
          <t>CB</t>
        </is>
      </c>
      <c r="B6129" s="6" t="n">
        <v>7.35</v>
      </c>
    </row>
    <row r="6130">
      <c r="A6130" t="inlineStr">
        <is>
          <t>CB</t>
        </is>
      </c>
      <c r="B6130" s="6" t="n">
        <v>70</v>
      </c>
    </row>
    <row r="6131">
      <c r="A6131" t="inlineStr">
        <is>
          <t>CB</t>
        </is>
      </c>
      <c r="B6131" s="6" t="n">
        <v>76.8</v>
      </c>
    </row>
    <row r="6132">
      <c r="A6132" t="inlineStr">
        <is>
          <t>CB</t>
        </is>
      </c>
      <c r="B6132" s="6" t="n">
        <v>143.6</v>
      </c>
    </row>
    <row r="6133">
      <c r="A6133" t="inlineStr">
        <is>
          <t>CB</t>
        </is>
      </c>
      <c r="B6133" s="6" t="n">
        <v>64.3</v>
      </c>
    </row>
    <row r="6134">
      <c r="A6134" t="inlineStr">
        <is>
          <t>CB</t>
        </is>
      </c>
      <c r="B6134" s="6" t="n">
        <v>62.8</v>
      </c>
    </row>
    <row r="6135">
      <c r="A6135" t="inlineStr">
        <is>
          <t>CB</t>
        </is>
      </c>
      <c r="B6135" s="6" t="n">
        <v>7.7</v>
      </c>
    </row>
    <row r="6136">
      <c r="A6136" t="inlineStr">
        <is>
          <t>CB</t>
        </is>
      </c>
      <c r="B6136" s="6" t="n">
        <v>118.1</v>
      </c>
    </row>
    <row r="6137">
      <c r="A6137" t="inlineStr">
        <is>
          <t>CB</t>
        </is>
      </c>
      <c r="B6137" s="6" t="n">
        <v>83.90000000000001</v>
      </c>
    </row>
    <row r="6138">
      <c r="A6138" t="inlineStr">
        <is>
          <t>CB</t>
        </is>
      </c>
      <c r="B6138" s="6" t="n">
        <v>17</v>
      </c>
    </row>
    <row r="6139">
      <c r="A6139" t="inlineStr">
        <is>
          <t>CB</t>
        </is>
      </c>
      <c r="B6139" s="6" t="n">
        <v>60.5</v>
      </c>
    </row>
    <row r="6140">
      <c r="A6140" t="inlineStr">
        <is>
          <t>CB</t>
        </is>
      </c>
      <c r="B6140" s="6" t="n">
        <v>50.3</v>
      </c>
    </row>
    <row r="6141">
      <c r="A6141" t="inlineStr">
        <is>
          <t>CB</t>
        </is>
      </c>
      <c r="B6141" s="6" t="n">
        <v>11</v>
      </c>
    </row>
    <row r="6142">
      <c r="A6142" t="inlineStr">
        <is>
          <t>CB</t>
        </is>
      </c>
      <c r="B6142" s="6" t="n">
        <v>70.09999999999999</v>
      </c>
    </row>
    <row r="6143">
      <c r="A6143" t="inlineStr">
        <is>
          <t>CB</t>
        </is>
      </c>
      <c r="B6143" s="6" t="n">
        <v>43.4</v>
      </c>
    </row>
    <row r="6144">
      <c r="A6144" t="inlineStr">
        <is>
          <t>CB</t>
        </is>
      </c>
      <c r="B6144" s="6" t="n">
        <v>50.1</v>
      </c>
    </row>
    <row r="6145">
      <c r="A6145" t="inlineStr">
        <is>
          <t>CB</t>
        </is>
      </c>
      <c r="B6145" s="6" t="n">
        <v>81</v>
      </c>
    </row>
    <row r="6146">
      <c r="A6146" t="inlineStr">
        <is>
          <t>CB</t>
        </is>
      </c>
      <c r="B6146" s="6" t="n">
        <v>96.09999999999999</v>
      </c>
    </row>
    <row r="6147">
      <c r="A6147" t="inlineStr">
        <is>
          <t>CB</t>
        </is>
      </c>
      <c r="B6147" s="6" t="n">
        <v>102.2</v>
      </c>
    </row>
    <row r="6148">
      <c r="A6148" t="inlineStr">
        <is>
          <t>TR</t>
        </is>
      </c>
      <c r="B6148" s="6" t="n">
        <v>30</v>
      </c>
    </row>
    <row r="6149">
      <c r="A6149" t="inlineStr">
        <is>
          <t>ESP</t>
        </is>
      </c>
      <c r="B6149" s="6" t="n">
        <v>2.58</v>
      </c>
    </row>
    <row r="6150">
      <c r="A6150" t="inlineStr">
        <is>
          <t>CB</t>
        </is>
      </c>
      <c r="B6150" s="6" t="n">
        <v>62.7</v>
      </c>
    </row>
    <row r="6151">
      <c r="A6151" t="inlineStr">
        <is>
          <t>ESP</t>
        </is>
      </c>
      <c r="B6151" s="6" t="n">
        <v>27.54</v>
      </c>
    </row>
    <row r="6152">
      <c r="A6152" t="inlineStr">
        <is>
          <t>CB</t>
        </is>
      </c>
      <c r="B6152" s="6" t="n">
        <v>24.15</v>
      </c>
    </row>
    <row r="6153">
      <c r="A6153" t="inlineStr">
        <is>
          <t>ESP</t>
        </is>
      </c>
      <c r="B6153" s="6" t="n">
        <v>26.08</v>
      </c>
    </row>
    <row r="6154">
      <c r="A6154" t="inlineStr">
        <is>
          <t>CB</t>
        </is>
      </c>
      <c r="B6154" s="6" t="n">
        <v>28.11</v>
      </c>
    </row>
    <row r="6155">
      <c r="A6155" t="inlineStr">
        <is>
          <t>CB</t>
        </is>
      </c>
      <c r="B6155" s="6" t="n">
        <v>28.11</v>
      </c>
    </row>
    <row r="6156">
      <c r="A6156" t="inlineStr">
        <is>
          <t>CB</t>
        </is>
      </c>
      <c r="B6156" s="6" t="n">
        <v>27.97</v>
      </c>
    </row>
    <row r="6157">
      <c r="A6157" t="inlineStr">
        <is>
          <t>CB</t>
        </is>
      </c>
      <c r="B6157" s="6" t="n">
        <v>29.6</v>
      </c>
    </row>
    <row r="6158">
      <c r="A6158" t="inlineStr">
        <is>
          <t>CB</t>
        </is>
      </c>
      <c r="B6158" s="6" t="n">
        <v>27.97</v>
      </c>
    </row>
    <row r="6159">
      <c r="A6159" t="inlineStr">
        <is>
          <t>CB</t>
        </is>
      </c>
      <c r="B6159" s="6" t="n">
        <v>29.6</v>
      </c>
    </row>
    <row r="6160">
      <c r="A6160" t="inlineStr">
        <is>
          <t>CB</t>
        </is>
      </c>
      <c r="B6160" s="6" t="n">
        <v>26.14</v>
      </c>
    </row>
    <row r="6161">
      <c r="A6161" t="inlineStr">
        <is>
          <t>CB</t>
        </is>
      </c>
      <c r="B6161" s="6" t="n">
        <v>26.14</v>
      </c>
    </row>
    <row r="6162">
      <c r="A6162" t="inlineStr">
        <is>
          <t>ESP</t>
        </is>
      </c>
      <c r="B6162" s="6" t="n">
        <v>26.14</v>
      </c>
    </row>
    <row r="6163">
      <c r="A6163" t="inlineStr">
        <is>
          <t>CB</t>
        </is>
      </c>
      <c r="B6163" s="6" t="n">
        <v>21</v>
      </c>
    </row>
    <row r="6164">
      <c r="A6164" t="inlineStr">
        <is>
          <t>CB</t>
        </is>
      </c>
      <c r="B6164" s="6" t="n">
        <v>24.15</v>
      </c>
    </row>
    <row r="6165">
      <c r="A6165" t="inlineStr">
        <is>
          <t>CB</t>
        </is>
      </c>
      <c r="B6165" s="6" t="n">
        <v>24.15</v>
      </c>
    </row>
    <row r="6166">
      <c r="A6166" t="inlineStr">
        <is>
          <t>CB</t>
        </is>
      </c>
      <c r="B6166" s="6" t="n">
        <v>24.15</v>
      </c>
    </row>
    <row r="6167">
      <c r="A6167" t="inlineStr">
        <is>
          <t>CB</t>
        </is>
      </c>
      <c r="B6167" s="6" t="n">
        <v>25</v>
      </c>
    </row>
    <row r="6168">
      <c r="A6168" t="inlineStr">
        <is>
          <t>CB</t>
        </is>
      </c>
      <c r="B6168" s="6" t="n">
        <v>32.64</v>
      </c>
    </row>
    <row r="6169">
      <c r="A6169" t="inlineStr">
        <is>
          <t>CB</t>
        </is>
      </c>
      <c r="B6169" s="6" t="n">
        <v>32.64</v>
      </c>
    </row>
    <row r="6170">
      <c r="A6170" t="inlineStr">
        <is>
          <t>CB</t>
        </is>
      </c>
      <c r="B6170" s="6" t="n">
        <v>32.64</v>
      </c>
    </row>
    <row r="6171">
      <c r="A6171" t="inlineStr">
        <is>
          <t>CB</t>
        </is>
      </c>
      <c r="B6171" s="6" t="n">
        <v>52.1</v>
      </c>
    </row>
    <row r="6172">
      <c r="A6172" t="inlineStr">
        <is>
          <t>CB</t>
        </is>
      </c>
      <c r="B6172" s="6" t="n">
        <v>74.90000000000001</v>
      </c>
    </row>
    <row r="6173">
      <c r="A6173" t="inlineStr">
        <is>
          <t>CB</t>
        </is>
      </c>
      <c r="B6173" s="6" t="n">
        <v>111</v>
      </c>
    </row>
    <row r="6174">
      <c r="A6174" t="inlineStr">
        <is>
          <t>CB</t>
        </is>
      </c>
      <c r="B6174" s="6" t="n">
        <v>217.6</v>
      </c>
    </row>
    <row r="6175">
      <c r="A6175" t="inlineStr">
        <is>
          <t>CB</t>
        </is>
      </c>
      <c r="B6175" s="6" t="n">
        <v>89.09999999999999</v>
      </c>
    </row>
    <row r="6176">
      <c r="A6176" t="inlineStr">
        <is>
          <t>CB</t>
        </is>
      </c>
      <c r="B6176" s="6" t="n">
        <v>147.4</v>
      </c>
    </row>
    <row r="6177">
      <c r="A6177" t="inlineStr">
        <is>
          <t>CHV</t>
        </is>
      </c>
      <c r="B6177" s="6" t="n">
        <v>80</v>
      </c>
    </row>
    <row r="6178">
      <c r="A6178" t="inlineStr">
        <is>
          <t>ESP</t>
        </is>
      </c>
      <c r="B6178" s="6" t="n">
        <v>1.4</v>
      </c>
    </row>
    <row r="6179">
      <c r="A6179" t="inlineStr">
        <is>
          <t>CB</t>
        </is>
      </c>
      <c r="B6179" s="6" t="n">
        <v>76.09999999999999</v>
      </c>
    </row>
    <row r="6180">
      <c r="A6180" t="inlineStr">
        <is>
          <t>CB</t>
        </is>
      </c>
      <c r="B6180" s="6" t="n">
        <v>89.09999999999999</v>
      </c>
    </row>
    <row r="6181">
      <c r="A6181" t="inlineStr">
        <is>
          <t>CB</t>
        </is>
      </c>
      <c r="B6181" s="6" t="n">
        <v>47.15</v>
      </c>
    </row>
    <row r="6182">
      <c r="A6182" t="inlineStr">
        <is>
          <t>CB</t>
        </is>
      </c>
      <c r="B6182" s="6" t="n">
        <v>84.3</v>
      </c>
    </row>
    <row r="6183">
      <c r="A6183" t="inlineStr">
        <is>
          <t>TR</t>
        </is>
      </c>
      <c r="B6183" s="6" t="n">
        <v>42.5</v>
      </c>
    </row>
    <row r="6184">
      <c r="A6184" t="inlineStr">
        <is>
          <t>CB</t>
        </is>
      </c>
      <c r="B6184" s="6" t="n">
        <v>6.2</v>
      </c>
    </row>
    <row r="6185">
      <c r="A6185" t="inlineStr">
        <is>
          <t>CB</t>
        </is>
      </c>
      <c r="B6185" s="6" t="n">
        <v>28</v>
      </c>
    </row>
    <row r="6186">
      <c r="A6186" t="inlineStr">
        <is>
          <t>CB</t>
        </is>
      </c>
      <c r="B6186" s="6" t="n">
        <v>25.1</v>
      </c>
    </row>
    <row r="6187">
      <c r="A6187" t="inlineStr">
        <is>
          <t>CB</t>
        </is>
      </c>
      <c r="B6187" s="6" t="n">
        <v>92</v>
      </c>
    </row>
    <row r="6188">
      <c r="A6188" t="inlineStr">
        <is>
          <t>CB</t>
        </is>
      </c>
      <c r="B6188" s="6" t="n">
        <v>61.5</v>
      </c>
    </row>
    <row r="6189">
      <c r="A6189" t="inlineStr">
        <is>
          <t>CB</t>
        </is>
      </c>
      <c r="B6189" s="6" t="n">
        <v>47.15</v>
      </c>
    </row>
    <row r="6190">
      <c r="A6190" t="inlineStr">
        <is>
          <t>CB</t>
        </is>
      </c>
      <c r="B6190" s="6" t="n">
        <v>118.4</v>
      </c>
    </row>
    <row r="6191">
      <c r="A6191" t="inlineStr">
        <is>
          <t>CB</t>
        </is>
      </c>
      <c r="B6191" s="6" t="n">
        <v>113.6</v>
      </c>
    </row>
    <row r="6192">
      <c r="A6192" t="inlineStr">
        <is>
          <t>CB</t>
        </is>
      </c>
      <c r="B6192" s="6" t="n">
        <v>6.85</v>
      </c>
    </row>
    <row r="6193">
      <c r="A6193" t="inlineStr">
        <is>
          <t>CB</t>
        </is>
      </c>
      <c r="B6193" s="6" t="n">
        <v>36.92</v>
      </c>
    </row>
    <row r="6194">
      <c r="A6194" t="inlineStr">
        <is>
          <t>CB</t>
        </is>
      </c>
      <c r="B6194" s="6" t="n">
        <v>37.3</v>
      </c>
    </row>
    <row r="6195">
      <c r="A6195" t="inlineStr">
        <is>
          <t>CB</t>
        </is>
      </c>
      <c r="B6195" s="6" t="n">
        <v>28.9</v>
      </c>
    </row>
    <row r="6196">
      <c r="A6196" t="inlineStr">
        <is>
          <t>CB</t>
        </is>
      </c>
      <c r="B6196" s="6" t="n">
        <v>33.76</v>
      </c>
    </row>
    <row r="6197">
      <c r="A6197" t="inlineStr">
        <is>
          <t>CB</t>
        </is>
      </c>
      <c r="B6197" s="6" t="n">
        <v>34.59</v>
      </c>
    </row>
    <row r="6198">
      <c r="A6198" t="inlineStr">
        <is>
          <t>CB</t>
        </is>
      </c>
      <c r="B6198" s="6" t="n">
        <v>123</v>
      </c>
    </row>
    <row r="6199">
      <c r="A6199" t="inlineStr">
        <is>
          <t>CB</t>
        </is>
      </c>
      <c r="B6199" s="6" t="n">
        <v>31.7</v>
      </c>
    </row>
    <row r="6200">
      <c r="A6200" t="inlineStr">
        <is>
          <t>CB</t>
        </is>
      </c>
      <c r="B6200" s="6" t="n">
        <v>112.6</v>
      </c>
    </row>
    <row r="6201">
      <c r="A6201" t="inlineStr">
        <is>
          <t>CB</t>
        </is>
      </c>
      <c r="B6201" s="6" t="n">
        <v>47.6</v>
      </c>
    </row>
    <row r="6202">
      <c r="A6202" t="inlineStr">
        <is>
          <t>CB</t>
        </is>
      </c>
      <c r="B6202" s="6" t="n">
        <v>252.5</v>
      </c>
    </row>
    <row r="6203">
      <c r="A6203" t="inlineStr">
        <is>
          <t>CB</t>
        </is>
      </c>
      <c r="B6203" s="6" t="n">
        <v>72.2</v>
      </c>
    </row>
    <row r="6204">
      <c r="A6204" t="inlineStr">
        <is>
          <t>CB</t>
        </is>
      </c>
      <c r="B6204" s="6" t="n">
        <v>69.59999999999999</v>
      </c>
    </row>
    <row r="6205">
      <c r="A6205" t="inlineStr">
        <is>
          <t>CB</t>
        </is>
      </c>
      <c r="B6205" s="6" t="n">
        <v>35.9</v>
      </c>
    </row>
    <row r="6206">
      <c r="A6206" t="inlineStr">
        <is>
          <t>CB</t>
        </is>
      </c>
      <c r="B6206" s="6" t="n">
        <v>174.2</v>
      </c>
    </row>
    <row r="6207">
      <c r="A6207" t="inlineStr">
        <is>
          <t>CB</t>
        </is>
      </c>
      <c r="B6207" s="6" t="n">
        <v>82.09999999999999</v>
      </c>
    </row>
    <row r="6208">
      <c r="A6208" t="inlineStr">
        <is>
          <t>CB</t>
        </is>
      </c>
      <c r="B6208" s="6" t="n">
        <v>134.5</v>
      </c>
    </row>
    <row r="6209">
      <c r="A6209" t="inlineStr">
        <is>
          <t>CB</t>
        </is>
      </c>
      <c r="B6209" s="6" t="n">
        <v>38</v>
      </c>
    </row>
    <row r="6210">
      <c r="A6210" t="inlineStr">
        <is>
          <t>CB</t>
        </is>
      </c>
      <c r="B6210" s="6" t="n">
        <v>128.6</v>
      </c>
    </row>
    <row r="6211">
      <c r="A6211" t="inlineStr">
        <is>
          <t>CB</t>
        </is>
      </c>
      <c r="B6211" s="6" t="n">
        <v>126.4</v>
      </c>
    </row>
    <row r="6212">
      <c r="A6212" t="inlineStr">
        <is>
          <t>CB</t>
        </is>
      </c>
      <c r="B6212" s="6" t="n">
        <v>40.2</v>
      </c>
    </row>
    <row r="6213">
      <c r="A6213" t="inlineStr">
        <is>
          <t>CB</t>
        </is>
      </c>
      <c r="B6213" s="6" t="n">
        <v>31.4</v>
      </c>
    </row>
    <row r="6214">
      <c r="A6214" t="inlineStr">
        <is>
          <t>CB</t>
        </is>
      </c>
      <c r="B6214" s="6" t="n">
        <v>136.7</v>
      </c>
    </row>
    <row r="6215">
      <c r="A6215" t="inlineStr">
        <is>
          <t>CB</t>
        </is>
      </c>
      <c r="B6215" s="6" t="n">
        <v>46.6</v>
      </c>
    </row>
    <row r="6216">
      <c r="A6216" t="inlineStr">
        <is>
          <t>CB</t>
        </is>
      </c>
      <c r="B6216" s="6" t="n">
        <v>36.7</v>
      </c>
    </row>
    <row r="6217">
      <c r="A6217" t="inlineStr">
        <is>
          <t>CB</t>
        </is>
      </c>
      <c r="B6217" s="6" t="n">
        <v>26.8</v>
      </c>
    </row>
    <row r="6218">
      <c r="A6218" t="inlineStr">
        <is>
          <t>CB</t>
        </is>
      </c>
      <c r="B6218" s="6" t="n">
        <v>34.3</v>
      </c>
    </row>
    <row r="6219">
      <c r="A6219" t="inlineStr">
        <is>
          <t>CB</t>
        </is>
      </c>
      <c r="B6219" s="6" t="n">
        <v>56.6</v>
      </c>
    </row>
    <row r="6220">
      <c r="A6220" t="inlineStr">
        <is>
          <t>CB</t>
        </is>
      </c>
      <c r="B6220" s="6" t="n">
        <v>107.2</v>
      </c>
    </row>
    <row r="6221">
      <c r="A6221" t="inlineStr">
        <is>
          <t>CB</t>
        </is>
      </c>
      <c r="B6221" s="6" t="n">
        <v>37.9</v>
      </c>
    </row>
    <row r="6222">
      <c r="A6222" t="inlineStr">
        <is>
          <t>CB</t>
        </is>
      </c>
      <c r="B6222" s="6" t="n">
        <v>37.9</v>
      </c>
    </row>
    <row r="6223">
      <c r="A6223" t="inlineStr">
        <is>
          <t>CB</t>
        </is>
      </c>
      <c r="B6223" s="6" t="n">
        <v>29.9</v>
      </c>
    </row>
    <row r="6224">
      <c r="A6224" t="inlineStr">
        <is>
          <t>CB</t>
        </is>
      </c>
      <c r="B6224" s="6" t="n">
        <v>43.3</v>
      </c>
    </row>
    <row r="6225">
      <c r="A6225" t="inlineStr">
        <is>
          <t>CB</t>
        </is>
      </c>
      <c r="B6225" s="6" t="n">
        <v>79</v>
      </c>
    </row>
    <row r="6226">
      <c r="A6226" t="inlineStr">
        <is>
          <t>CB</t>
        </is>
      </c>
      <c r="B6226" s="6" t="n">
        <v>36</v>
      </c>
    </row>
    <row r="6227">
      <c r="A6227" t="inlineStr">
        <is>
          <t>CB</t>
        </is>
      </c>
      <c r="B6227" s="6" t="n">
        <v>54.4</v>
      </c>
    </row>
    <row r="6228">
      <c r="A6228" t="inlineStr">
        <is>
          <t>CB</t>
        </is>
      </c>
      <c r="B6228" s="6" t="n">
        <v>20.5</v>
      </c>
    </row>
    <row r="6229">
      <c r="A6229" t="inlineStr">
        <is>
          <t>CB</t>
        </is>
      </c>
      <c r="B6229" s="6" t="n">
        <v>41.4</v>
      </c>
    </row>
    <row r="6230">
      <c r="A6230" t="inlineStr">
        <is>
          <t>CB</t>
        </is>
      </c>
      <c r="B6230" s="6" t="n">
        <v>60.4</v>
      </c>
    </row>
    <row r="6231">
      <c r="A6231" t="inlineStr">
        <is>
          <t>CB</t>
        </is>
      </c>
      <c r="B6231" s="6" t="n">
        <v>56.7</v>
      </c>
    </row>
    <row r="6232">
      <c r="A6232" t="inlineStr">
        <is>
          <t>CB</t>
        </is>
      </c>
      <c r="B6232" s="6" t="n">
        <v>31.4</v>
      </c>
    </row>
    <row r="6233">
      <c r="A6233" t="inlineStr">
        <is>
          <t>CB</t>
        </is>
      </c>
      <c r="B6233" s="6" t="n">
        <v>18.7</v>
      </c>
    </row>
    <row r="6234">
      <c r="A6234" t="inlineStr">
        <is>
          <t>CB</t>
        </is>
      </c>
      <c r="B6234" s="6" t="n">
        <v>20.5</v>
      </c>
    </row>
    <row r="6235">
      <c r="A6235" t="inlineStr">
        <is>
          <t>CB</t>
        </is>
      </c>
      <c r="B6235" s="6" t="n">
        <v>77.40000000000001</v>
      </c>
    </row>
    <row r="6236">
      <c r="A6236" t="inlineStr">
        <is>
          <t>CB</t>
        </is>
      </c>
      <c r="B6236" s="6" t="n">
        <v>32.7</v>
      </c>
    </row>
    <row r="6237">
      <c r="A6237" t="inlineStr">
        <is>
          <t>CB</t>
        </is>
      </c>
      <c r="B6237" s="6" t="n">
        <v>67.90000000000001</v>
      </c>
    </row>
    <row r="6238">
      <c r="A6238" t="inlineStr">
        <is>
          <t>CB</t>
        </is>
      </c>
      <c r="B6238" s="6" t="n">
        <v>32.7</v>
      </c>
    </row>
    <row r="6239">
      <c r="A6239" t="inlineStr">
        <is>
          <t>CB</t>
        </is>
      </c>
      <c r="B6239" s="6" t="n">
        <v>82.8</v>
      </c>
    </row>
    <row r="6240">
      <c r="A6240" t="inlineStr">
        <is>
          <t>CB</t>
        </is>
      </c>
      <c r="B6240" s="6" t="n">
        <v>86.8</v>
      </c>
    </row>
    <row r="6241">
      <c r="A6241" t="inlineStr">
        <is>
          <t>CB</t>
        </is>
      </c>
      <c r="B6241" s="6" t="n">
        <v>26.4</v>
      </c>
    </row>
    <row r="6242">
      <c r="A6242" t="inlineStr">
        <is>
          <t>CB</t>
        </is>
      </c>
      <c r="B6242" s="6" t="n">
        <v>70.90000000000001</v>
      </c>
    </row>
    <row r="6243">
      <c r="A6243" t="inlineStr">
        <is>
          <t>CB</t>
        </is>
      </c>
      <c r="B6243" s="6" t="n">
        <v>82.09999999999999</v>
      </c>
    </row>
    <row r="6244">
      <c r="A6244" t="inlineStr">
        <is>
          <t>CB</t>
        </is>
      </c>
      <c r="B6244" s="6" t="n">
        <v>56.4</v>
      </c>
    </row>
    <row r="6245">
      <c r="A6245" t="inlineStr">
        <is>
          <t>CB</t>
        </is>
      </c>
      <c r="B6245" s="6" t="n">
        <v>43.86</v>
      </c>
    </row>
    <row r="6246">
      <c r="A6246" t="inlineStr">
        <is>
          <t>CB</t>
        </is>
      </c>
      <c r="B6246" s="6" t="n">
        <v>43.86</v>
      </c>
    </row>
    <row r="6247">
      <c r="A6247" t="inlineStr">
        <is>
          <t>TR</t>
        </is>
      </c>
      <c r="B6247" s="6" t="n">
        <v>30</v>
      </c>
    </row>
    <row r="6248">
      <c r="A6248" t="inlineStr">
        <is>
          <t>CB</t>
        </is>
      </c>
      <c r="B6248" s="6" t="n">
        <v>13.88</v>
      </c>
    </row>
    <row r="6249">
      <c r="A6249" t="inlineStr">
        <is>
          <t>CB</t>
        </is>
      </c>
      <c r="B6249" s="6" t="n">
        <v>66.2</v>
      </c>
    </row>
    <row r="6250">
      <c r="A6250" t="inlineStr">
        <is>
          <t>CB</t>
        </is>
      </c>
      <c r="B6250" s="6" t="n">
        <v>79</v>
      </c>
    </row>
    <row r="6251">
      <c r="A6251" t="inlineStr">
        <is>
          <t>ESP</t>
        </is>
      </c>
      <c r="B6251" s="6" t="n">
        <v>32.35</v>
      </c>
    </row>
    <row r="6252">
      <c r="A6252" t="inlineStr">
        <is>
          <t>CB</t>
        </is>
      </c>
      <c r="B6252" s="6" t="n">
        <v>123.2</v>
      </c>
    </row>
    <row r="6253">
      <c r="A6253" t="inlineStr">
        <is>
          <t>CB</t>
        </is>
      </c>
      <c r="B6253" s="6" t="n">
        <v>77.2</v>
      </c>
    </row>
    <row r="6254">
      <c r="A6254" t="inlineStr">
        <is>
          <t>CB</t>
        </is>
      </c>
      <c r="B6254" s="6" t="n">
        <v>116.3</v>
      </c>
    </row>
    <row r="6255">
      <c r="A6255" t="inlineStr">
        <is>
          <t>CB</t>
        </is>
      </c>
      <c r="B6255" s="6" t="n">
        <v>32.35</v>
      </c>
    </row>
    <row r="6256">
      <c r="A6256" t="inlineStr">
        <is>
          <t>CB</t>
        </is>
      </c>
      <c r="B6256" s="6" t="n">
        <v>44</v>
      </c>
    </row>
    <row r="6257">
      <c r="A6257" t="inlineStr">
        <is>
          <t>CB</t>
        </is>
      </c>
      <c r="B6257" s="6" t="n">
        <v>95</v>
      </c>
    </row>
    <row r="6258">
      <c r="A6258" t="inlineStr">
        <is>
          <t>CB</t>
        </is>
      </c>
      <c r="B6258" s="6" t="n">
        <v>19.2</v>
      </c>
    </row>
    <row r="6259">
      <c r="A6259" t="inlineStr">
        <is>
          <t>CB</t>
        </is>
      </c>
      <c r="B6259" s="6" t="n">
        <v>19.2</v>
      </c>
    </row>
    <row r="6260">
      <c r="A6260" t="inlineStr">
        <is>
          <t>CB</t>
        </is>
      </c>
      <c r="B6260" s="6" t="n">
        <v>49.1</v>
      </c>
    </row>
    <row r="6261">
      <c r="A6261" t="inlineStr">
        <is>
          <t>CB</t>
        </is>
      </c>
      <c r="B6261" s="6" t="n">
        <v>66.8</v>
      </c>
    </row>
    <row r="6262">
      <c r="A6262" t="inlineStr">
        <is>
          <t>CB</t>
        </is>
      </c>
      <c r="B6262" s="6" t="n">
        <v>72</v>
      </c>
    </row>
    <row r="6263">
      <c r="A6263" t="inlineStr">
        <is>
          <t>CB</t>
        </is>
      </c>
      <c r="B6263" s="6" t="n">
        <v>65.09999999999999</v>
      </c>
    </row>
    <row r="6264">
      <c r="A6264" t="inlineStr">
        <is>
          <t>TR</t>
        </is>
      </c>
      <c r="B6264" s="6" t="n">
        <v>57.9</v>
      </c>
    </row>
    <row r="6265">
      <c r="A6265" t="inlineStr">
        <is>
          <t>TR</t>
        </is>
      </c>
      <c r="B6265" s="6" t="n">
        <v>2.6</v>
      </c>
    </row>
    <row r="6266">
      <c r="A6266" t="inlineStr">
        <is>
          <t>CB</t>
        </is>
      </c>
      <c r="B6266" s="6" t="n">
        <v>76.2</v>
      </c>
    </row>
    <row r="6267">
      <c r="A6267" t="inlineStr">
        <is>
          <t>CB</t>
        </is>
      </c>
      <c r="B6267" s="6" t="n">
        <v>107.7</v>
      </c>
    </row>
    <row r="6268">
      <c r="A6268" t="inlineStr">
        <is>
          <t>CB</t>
        </is>
      </c>
      <c r="B6268" s="6" t="n">
        <v>64.90000000000001</v>
      </c>
    </row>
    <row r="6269">
      <c r="A6269" t="inlineStr">
        <is>
          <t>CB</t>
        </is>
      </c>
      <c r="B6269" s="6" t="n">
        <v>91.95999999999999</v>
      </c>
    </row>
    <row r="6270">
      <c r="A6270" t="inlineStr">
        <is>
          <t>CB</t>
        </is>
      </c>
      <c r="B6270" s="6" t="n">
        <v>91.95999999999999</v>
      </c>
    </row>
    <row r="6271">
      <c r="A6271" t="inlineStr">
        <is>
          <t>CB</t>
        </is>
      </c>
      <c r="B6271" s="6" t="n">
        <v>45.98</v>
      </c>
    </row>
    <row r="6272">
      <c r="A6272" t="inlineStr">
        <is>
          <t>CB</t>
        </is>
      </c>
      <c r="B6272" s="6" t="n">
        <v>80.5</v>
      </c>
    </row>
    <row r="6273">
      <c r="A6273" t="inlineStr">
        <is>
          <t>CB</t>
        </is>
      </c>
      <c r="B6273" s="6" t="n">
        <v>95.5</v>
      </c>
    </row>
    <row r="6274">
      <c r="A6274" t="inlineStr">
        <is>
          <t>CB</t>
        </is>
      </c>
      <c r="B6274" s="6" t="n">
        <v>22.9</v>
      </c>
    </row>
    <row r="6275">
      <c r="A6275" t="inlineStr">
        <is>
          <t>CB</t>
        </is>
      </c>
      <c r="B6275" s="6" t="n">
        <v>28.6</v>
      </c>
    </row>
    <row r="6276">
      <c r="A6276" t="inlineStr">
        <is>
          <t>CB</t>
        </is>
      </c>
      <c r="B6276" s="6" t="n">
        <v>86.09999999999999</v>
      </c>
    </row>
    <row r="6277">
      <c r="A6277" t="inlineStr">
        <is>
          <t>CB</t>
        </is>
      </c>
      <c r="B6277" s="6" t="n">
        <v>28.6</v>
      </c>
    </row>
    <row r="6278">
      <c r="A6278" t="inlineStr">
        <is>
          <t>CB</t>
        </is>
      </c>
      <c r="B6278" s="6" t="n">
        <v>30.4</v>
      </c>
    </row>
    <row r="6279">
      <c r="A6279" t="inlineStr">
        <is>
          <t>CB</t>
        </is>
      </c>
      <c r="B6279" s="6" t="n">
        <v>30</v>
      </c>
    </row>
    <row r="6280">
      <c r="A6280" t="inlineStr">
        <is>
          <t>CB</t>
        </is>
      </c>
      <c r="B6280" s="6" t="n">
        <v>98.8</v>
      </c>
    </row>
    <row r="6281">
      <c r="A6281" t="inlineStr">
        <is>
          <t>CB</t>
        </is>
      </c>
      <c r="B6281" s="6" t="n">
        <v>59.2</v>
      </c>
    </row>
    <row r="6282">
      <c r="A6282" t="inlineStr">
        <is>
          <t>CB</t>
        </is>
      </c>
      <c r="B6282" s="6" t="n">
        <v>91.15000000000001</v>
      </c>
    </row>
    <row r="6283">
      <c r="A6283" t="inlineStr">
        <is>
          <t>CB</t>
        </is>
      </c>
      <c r="B6283" s="6" t="n">
        <v>109.3</v>
      </c>
    </row>
    <row r="6284">
      <c r="A6284" t="inlineStr">
        <is>
          <t>CB</t>
        </is>
      </c>
      <c r="B6284" s="6" t="n">
        <v>75.40000000000001</v>
      </c>
    </row>
    <row r="6285">
      <c r="A6285" t="inlineStr">
        <is>
          <t>CB</t>
        </is>
      </c>
      <c r="B6285" s="6" t="n">
        <v>173.2</v>
      </c>
    </row>
    <row r="6286">
      <c r="A6286" t="inlineStr">
        <is>
          <t>CB</t>
        </is>
      </c>
      <c r="B6286" s="6" t="n">
        <v>151.7</v>
      </c>
    </row>
    <row r="6287">
      <c r="A6287" t="inlineStr">
        <is>
          <t>CB</t>
        </is>
      </c>
      <c r="B6287" s="6" t="n">
        <v>113</v>
      </c>
    </row>
    <row r="6288">
      <c r="A6288" t="inlineStr">
        <is>
          <t>CB</t>
        </is>
      </c>
      <c r="B6288" s="6" t="n">
        <v>91.15000000000001</v>
      </c>
    </row>
    <row r="6289">
      <c r="A6289" t="inlineStr">
        <is>
          <t>CB</t>
        </is>
      </c>
      <c r="B6289" s="6" t="n">
        <v>110.1</v>
      </c>
    </row>
    <row r="6290">
      <c r="A6290" t="inlineStr">
        <is>
          <t>CB</t>
        </is>
      </c>
      <c r="B6290" s="6" t="n">
        <v>14.7</v>
      </c>
    </row>
    <row r="6291">
      <c r="A6291" t="inlineStr">
        <is>
          <t>CB</t>
        </is>
      </c>
      <c r="B6291" s="6" t="n">
        <v>85</v>
      </c>
    </row>
    <row r="6292">
      <c r="A6292" t="inlineStr">
        <is>
          <t>CB</t>
        </is>
      </c>
      <c r="B6292" s="6" t="n">
        <v>67</v>
      </c>
    </row>
    <row r="6293">
      <c r="A6293" t="inlineStr">
        <is>
          <t>CB</t>
        </is>
      </c>
      <c r="B6293" s="6" t="n">
        <v>60.6</v>
      </c>
    </row>
    <row r="6294">
      <c r="A6294" t="inlineStr">
        <is>
          <t>CB</t>
        </is>
      </c>
      <c r="B6294" s="6" t="n">
        <v>34.3</v>
      </c>
    </row>
    <row r="6295">
      <c r="A6295" t="inlineStr">
        <is>
          <t>CB</t>
        </is>
      </c>
      <c r="B6295" s="6" t="n">
        <v>61.7</v>
      </c>
    </row>
    <row r="6296">
      <c r="A6296" t="inlineStr">
        <is>
          <t>CB</t>
        </is>
      </c>
      <c r="B6296" s="6" t="n">
        <v>26.55</v>
      </c>
    </row>
    <row r="6297">
      <c r="A6297" t="inlineStr">
        <is>
          <t>CB</t>
        </is>
      </c>
      <c r="B6297" s="6" t="n">
        <v>70</v>
      </c>
    </row>
    <row r="6298">
      <c r="A6298" t="inlineStr">
        <is>
          <t>CB</t>
        </is>
      </c>
      <c r="B6298" s="6" t="n">
        <v>194.3</v>
      </c>
    </row>
    <row r="6299">
      <c r="A6299" t="inlineStr">
        <is>
          <t>CB</t>
        </is>
      </c>
      <c r="B6299" s="6" t="n">
        <v>26.55</v>
      </c>
    </row>
    <row r="6300">
      <c r="A6300" t="inlineStr">
        <is>
          <t>CB</t>
        </is>
      </c>
      <c r="B6300" s="6" t="n">
        <v>58</v>
      </c>
    </row>
    <row r="6301">
      <c r="A6301" t="inlineStr">
        <is>
          <t>CB</t>
        </is>
      </c>
      <c r="B6301" s="6" t="n">
        <v>52.5</v>
      </c>
    </row>
    <row r="6302">
      <c r="A6302" t="inlineStr">
        <is>
          <t>CB</t>
        </is>
      </c>
      <c r="B6302" s="6" t="n">
        <v>124.3</v>
      </c>
    </row>
    <row r="6303">
      <c r="A6303" t="inlineStr">
        <is>
          <t>CB</t>
        </is>
      </c>
      <c r="B6303" s="6" t="n">
        <v>26.25</v>
      </c>
    </row>
    <row r="6304">
      <c r="A6304" t="inlineStr">
        <is>
          <t>CB</t>
        </is>
      </c>
      <c r="B6304" s="6" t="n">
        <v>83.95</v>
      </c>
    </row>
    <row r="6305">
      <c r="A6305" t="inlineStr">
        <is>
          <t>CB</t>
        </is>
      </c>
      <c r="B6305" s="6" t="n">
        <v>48.9</v>
      </c>
    </row>
    <row r="6306">
      <c r="A6306" t="inlineStr">
        <is>
          <t>CB</t>
        </is>
      </c>
      <c r="B6306" s="6" t="n">
        <v>11.5</v>
      </c>
    </row>
    <row r="6307">
      <c r="A6307" t="inlineStr">
        <is>
          <t>CB</t>
        </is>
      </c>
      <c r="B6307" s="6" t="n">
        <v>181</v>
      </c>
    </row>
    <row r="6308">
      <c r="A6308" t="inlineStr">
        <is>
          <t>CB</t>
        </is>
      </c>
      <c r="B6308" s="6" t="n">
        <v>14.6</v>
      </c>
    </row>
    <row r="6309">
      <c r="A6309" t="inlineStr">
        <is>
          <t>CB</t>
        </is>
      </c>
      <c r="B6309" s="6" t="n">
        <v>30.8</v>
      </c>
    </row>
    <row r="6310">
      <c r="A6310" t="inlineStr">
        <is>
          <t>CB</t>
        </is>
      </c>
      <c r="B6310" s="6" t="n">
        <v>30.8</v>
      </c>
    </row>
    <row r="6311">
      <c r="A6311" t="inlineStr">
        <is>
          <t>CB</t>
        </is>
      </c>
      <c r="B6311" s="6" t="n">
        <v>30.8</v>
      </c>
    </row>
    <row r="6312">
      <c r="A6312" t="inlineStr">
        <is>
          <t>CB</t>
        </is>
      </c>
      <c r="B6312" s="6" t="n">
        <v>110.2</v>
      </c>
    </row>
    <row r="6313">
      <c r="A6313" t="inlineStr">
        <is>
          <t>CB</t>
        </is>
      </c>
      <c r="B6313" s="6" t="n">
        <v>106.4</v>
      </c>
    </row>
    <row r="6314">
      <c r="A6314" t="inlineStr">
        <is>
          <t>CB</t>
        </is>
      </c>
      <c r="B6314" s="6" t="n">
        <v>134.9</v>
      </c>
    </row>
    <row r="6315">
      <c r="A6315" t="inlineStr">
        <is>
          <t>CB</t>
        </is>
      </c>
      <c r="B6315" s="6" t="n">
        <v>75</v>
      </c>
    </row>
    <row r="6316">
      <c r="A6316" t="inlineStr">
        <is>
          <t>CB</t>
        </is>
      </c>
      <c r="B6316" s="6" t="n">
        <v>83.90000000000001</v>
      </c>
    </row>
    <row r="6317">
      <c r="A6317" t="inlineStr">
        <is>
          <t>CB</t>
        </is>
      </c>
      <c r="B6317" s="6" t="n">
        <v>106</v>
      </c>
    </row>
    <row r="6318">
      <c r="A6318" t="inlineStr">
        <is>
          <t>CB</t>
        </is>
      </c>
      <c r="B6318" s="6" t="n">
        <v>101.3</v>
      </c>
    </row>
    <row r="6319">
      <c r="A6319" t="inlineStr">
        <is>
          <t>CB</t>
        </is>
      </c>
      <c r="B6319" s="6" t="n">
        <v>86.2</v>
      </c>
    </row>
    <row r="6320">
      <c r="A6320" t="inlineStr">
        <is>
          <t>CB</t>
        </is>
      </c>
      <c r="B6320" s="6" t="n">
        <v>85.16</v>
      </c>
    </row>
    <row r="6321">
      <c r="A6321" t="inlineStr">
        <is>
          <t>CB</t>
        </is>
      </c>
      <c r="B6321" s="6" t="n">
        <v>85.16</v>
      </c>
    </row>
    <row r="6322">
      <c r="A6322" t="inlineStr">
        <is>
          <t>CB</t>
        </is>
      </c>
      <c r="B6322" s="6" t="n">
        <v>85.18000000000001</v>
      </c>
    </row>
    <row r="6323">
      <c r="A6323" t="inlineStr">
        <is>
          <t>CB</t>
        </is>
      </c>
      <c r="B6323" s="6" t="n">
        <v>164</v>
      </c>
    </row>
    <row r="6324">
      <c r="A6324" t="inlineStr">
        <is>
          <t>CB</t>
        </is>
      </c>
      <c r="B6324" s="6" t="n">
        <v>60.8</v>
      </c>
    </row>
    <row r="6325">
      <c r="A6325" t="inlineStr">
        <is>
          <t>CB</t>
        </is>
      </c>
      <c r="B6325" s="6" t="n">
        <v>142</v>
      </c>
    </row>
    <row r="6326">
      <c r="A6326" t="inlineStr">
        <is>
          <t>CB</t>
        </is>
      </c>
      <c r="B6326" s="6" t="n">
        <v>94.5</v>
      </c>
    </row>
    <row r="6327">
      <c r="A6327" t="inlineStr">
        <is>
          <t>CB</t>
        </is>
      </c>
      <c r="B6327" s="6" t="n">
        <v>170.1</v>
      </c>
    </row>
    <row r="6328">
      <c r="A6328" t="inlineStr">
        <is>
          <t>CB</t>
        </is>
      </c>
      <c r="B6328" s="6" t="n">
        <v>31.7</v>
      </c>
    </row>
    <row r="6329">
      <c r="A6329" t="inlineStr">
        <is>
          <t>CB</t>
        </is>
      </c>
      <c r="B6329" s="6" t="n">
        <v>110.2</v>
      </c>
    </row>
    <row r="6330">
      <c r="A6330" t="inlineStr">
        <is>
          <t>CB</t>
        </is>
      </c>
      <c r="B6330" s="6" t="n">
        <v>55.4</v>
      </c>
    </row>
    <row r="6331">
      <c r="A6331" t="inlineStr">
        <is>
          <t>CB</t>
        </is>
      </c>
      <c r="B6331" s="6" t="n">
        <v>116.3</v>
      </c>
    </row>
    <row r="6332">
      <c r="A6332" t="inlineStr">
        <is>
          <t>CB</t>
        </is>
      </c>
      <c r="B6332" s="6" t="n">
        <v>31.7</v>
      </c>
    </row>
    <row r="6333">
      <c r="A6333" t="inlineStr">
        <is>
          <t>CB</t>
        </is>
      </c>
      <c r="B6333" s="6" t="n">
        <v>61.6</v>
      </c>
    </row>
    <row r="6334">
      <c r="A6334" t="inlineStr">
        <is>
          <t>CB</t>
        </is>
      </c>
      <c r="B6334" s="6" t="n">
        <v>79.09999999999999</v>
      </c>
    </row>
    <row r="6335">
      <c r="A6335" t="inlineStr">
        <is>
          <t>ESP</t>
        </is>
      </c>
      <c r="B6335" s="6" t="n">
        <v>100</v>
      </c>
    </row>
    <row r="6336">
      <c r="A6336" t="inlineStr">
        <is>
          <t>CB</t>
        </is>
      </c>
      <c r="B6336" s="6" t="n">
        <v>18.4</v>
      </c>
    </row>
    <row r="6337">
      <c r="A6337" t="inlineStr">
        <is>
          <t>CB</t>
        </is>
      </c>
      <c r="B6337" s="6" t="n">
        <v>35.05</v>
      </c>
    </row>
    <row r="6338">
      <c r="A6338" t="inlineStr">
        <is>
          <t>TR</t>
        </is>
      </c>
      <c r="B6338" s="6" t="n">
        <v>33</v>
      </c>
    </row>
    <row r="6339">
      <c r="A6339" t="inlineStr">
        <is>
          <t>ESP</t>
        </is>
      </c>
      <c r="B6339" s="6" t="n">
        <v>2.05</v>
      </c>
    </row>
    <row r="6340">
      <c r="A6340" t="inlineStr">
        <is>
          <t>CB</t>
        </is>
      </c>
      <c r="B6340" s="6" t="n">
        <v>35.05</v>
      </c>
    </row>
    <row r="6341">
      <c r="A6341" t="inlineStr">
        <is>
          <t>CB</t>
        </is>
      </c>
      <c r="B6341" s="6" t="n">
        <v>35.04</v>
      </c>
    </row>
    <row r="6342">
      <c r="A6342" t="inlineStr">
        <is>
          <t>CB</t>
        </is>
      </c>
      <c r="B6342" s="6" t="n">
        <v>35.05</v>
      </c>
    </row>
    <row r="6343">
      <c r="A6343" t="inlineStr">
        <is>
          <t>CB</t>
        </is>
      </c>
      <c r="B6343" s="6" t="n">
        <v>35.03</v>
      </c>
    </row>
    <row r="6344">
      <c r="A6344" t="inlineStr">
        <is>
          <t>CB</t>
        </is>
      </c>
      <c r="B6344" s="6" t="n">
        <v>35.03</v>
      </c>
    </row>
    <row r="6345">
      <c r="A6345" t="inlineStr">
        <is>
          <t>CB</t>
        </is>
      </c>
      <c r="B6345" s="6" t="n">
        <v>47.6</v>
      </c>
    </row>
    <row r="6346">
      <c r="A6346" t="inlineStr">
        <is>
          <t>CB</t>
        </is>
      </c>
      <c r="B6346" s="6" t="n">
        <v>72.90000000000001</v>
      </c>
    </row>
    <row r="6347">
      <c r="A6347" t="inlineStr">
        <is>
          <t>CB</t>
        </is>
      </c>
      <c r="B6347" s="6" t="n">
        <v>39.95</v>
      </c>
    </row>
    <row r="6348">
      <c r="A6348" t="inlineStr">
        <is>
          <t>CB</t>
        </is>
      </c>
      <c r="B6348" s="6" t="n">
        <v>25.6</v>
      </c>
    </row>
    <row r="6349">
      <c r="A6349" t="inlineStr">
        <is>
          <t>CB</t>
        </is>
      </c>
      <c r="B6349" s="6" t="n">
        <v>39.95</v>
      </c>
    </row>
    <row r="6350">
      <c r="A6350" t="inlineStr">
        <is>
          <t>CB</t>
        </is>
      </c>
      <c r="B6350" s="6" t="n">
        <v>118.4</v>
      </c>
    </row>
    <row r="6351">
      <c r="A6351" t="inlineStr">
        <is>
          <t>CB</t>
        </is>
      </c>
      <c r="B6351" s="6" t="n">
        <v>182.5</v>
      </c>
    </row>
    <row r="6352">
      <c r="A6352" t="inlineStr">
        <is>
          <t>CB</t>
        </is>
      </c>
      <c r="B6352" s="6" t="n">
        <v>78.3</v>
      </c>
    </row>
    <row r="6353">
      <c r="A6353" t="inlineStr">
        <is>
          <t>CB</t>
        </is>
      </c>
      <c r="B6353" s="6" t="n">
        <v>38.2</v>
      </c>
    </row>
    <row r="6354">
      <c r="A6354" t="inlineStr">
        <is>
          <t>CB</t>
        </is>
      </c>
      <c r="B6354" s="6" t="n">
        <v>86.3</v>
      </c>
    </row>
    <row r="6355">
      <c r="A6355" t="inlineStr">
        <is>
          <t>CB</t>
        </is>
      </c>
      <c r="B6355" s="6" t="n">
        <v>71.40000000000001</v>
      </c>
    </row>
    <row r="6356">
      <c r="A6356" t="inlineStr">
        <is>
          <t>CB</t>
        </is>
      </c>
      <c r="B6356" s="6" t="n">
        <v>39.2</v>
      </c>
    </row>
    <row r="6357">
      <c r="A6357" t="inlineStr">
        <is>
          <t>CB</t>
        </is>
      </c>
      <c r="B6357" s="6" t="n">
        <v>106.2</v>
      </c>
    </row>
    <row r="6358">
      <c r="A6358" t="inlineStr">
        <is>
          <t>CB</t>
        </is>
      </c>
      <c r="B6358" s="6" t="n">
        <v>89.5</v>
      </c>
    </row>
    <row r="6359">
      <c r="A6359" t="inlineStr">
        <is>
          <t>CB</t>
        </is>
      </c>
      <c r="B6359" s="6" t="n">
        <v>81.2</v>
      </c>
    </row>
    <row r="6360">
      <c r="A6360" t="inlineStr">
        <is>
          <t>CB</t>
        </is>
      </c>
      <c r="B6360" s="6" t="n">
        <v>25.6</v>
      </c>
    </row>
    <row r="6361">
      <c r="A6361" t="inlineStr">
        <is>
          <t>CB</t>
        </is>
      </c>
      <c r="B6361" s="6" t="n">
        <v>38.2</v>
      </c>
    </row>
    <row r="6362">
      <c r="A6362" t="inlineStr">
        <is>
          <t>CB</t>
        </is>
      </c>
      <c r="B6362" s="6" t="n">
        <v>39.2</v>
      </c>
    </row>
    <row r="6363">
      <c r="A6363" t="inlineStr">
        <is>
          <t>CB</t>
        </is>
      </c>
      <c r="B6363" s="6" t="n">
        <v>10.8</v>
      </c>
    </row>
    <row r="6364">
      <c r="A6364" t="inlineStr">
        <is>
          <t>CB</t>
        </is>
      </c>
      <c r="B6364" s="6" t="n">
        <v>66.2</v>
      </c>
    </row>
    <row r="6365">
      <c r="A6365" t="inlineStr">
        <is>
          <t>CHV</t>
        </is>
      </c>
      <c r="B6365" s="6" t="n">
        <v>30</v>
      </c>
    </row>
    <row r="6366">
      <c r="A6366" t="inlineStr">
        <is>
          <t>CB</t>
        </is>
      </c>
      <c r="B6366" s="6" t="n">
        <v>32.1</v>
      </c>
    </row>
    <row r="6367">
      <c r="A6367" t="inlineStr">
        <is>
          <t>CB</t>
        </is>
      </c>
      <c r="B6367" s="6" t="n">
        <v>53.5</v>
      </c>
    </row>
    <row r="6368">
      <c r="A6368" t="inlineStr">
        <is>
          <t>CB</t>
        </is>
      </c>
      <c r="B6368" s="6" t="n">
        <v>65.3</v>
      </c>
    </row>
    <row r="6369">
      <c r="A6369" t="inlineStr">
        <is>
          <t>CB</t>
        </is>
      </c>
      <c r="B6369" s="6" t="n">
        <v>67.90000000000001</v>
      </c>
    </row>
    <row r="6370">
      <c r="A6370" t="inlineStr">
        <is>
          <t>CB</t>
        </is>
      </c>
      <c r="B6370" s="6" t="n">
        <v>35.61</v>
      </c>
    </row>
    <row r="6371">
      <c r="A6371" t="inlineStr">
        <is>
          <t>CB</t>
        </is>
      </c>
      <c r="B6371" s="6" t="n">
        <v>118.9</v>
      </c>
    </row>
    <row r="6372">
      <c r="A6372" t="inlineStr">
        <is>
          <t>CB</t>
        </is>
      </c>
      <c r="B6372" s="6" t="n">
        <v>38.5</v>
      </c>
    </row>
    <row r="6373">
      <c r="A6373" t="inlineStr">
        <is>
          <t>CB</t>
        </is>
      </c>
      <c r="B6373" s="6" t="n">
        <v>35.73</v>
      </c>
    </row>
    <row r="6374">
      <c r="A6374" t="inlineStr">
        <is>
          <t>CB</t>
        </is>
      </c>
      <c r="B6374" s="6" t="n">
        <v>35.73</v>
      </c>
    </row>
    <row r="6375">
      <c r="A6375" t="inlineStr">
        <is>
          <t>CB</t>
        </is>
      </c>
      <c r="B6375" s="6" t="n">
        <v>35.73</v>
      </c>
    </row>
    <row r="6376">
      <c r="A6376" t="inlineStr">
        <is>
          <t>CB</t>
        </is>
      </c>
      <c r="B6376" s="6" t="n">
        <v>32.16</v>
      </c>
    </row>
    <row r="6377">
      <c r="A6377" t="inlineStr">
        <is>
          <t>CB</t>
        </is>
      </c>
      <c r="B6377" s="6" t="n">
        <v>32.16</v>
      </c>
    </row>
    <row r="6378">
      <c r="A6378" t="inlineStr">
        <is>
          <t>CB</t>
        </is>
      </c>
      <c r="B6378" s="6" t="n">
        <v>32.16</v>
      </c>
    </row>
    <row r="6379">
      <c r="A6379" t="inlineStr">
        <is>
          <t>CB</t>
        </is>
      </c>
      <c r="B6379" s="6" t="n">
        <v>32.16</v>
      </c>
    </row>
    <row r="6380">
      <c r="A6380" t="inlineStr">
        <is>
          <t>CB</t>
        </is>
      </c>
      <c r="B6380" s="6" t="n">
        <v>37.5</v>
      </c>
    </row>
    <row r="6381">
      <c r="A6381" t="inlineStr">
        <is>
          <t>CB</t>
        </is>
      </c>
      <c r="B6381" s="6" t="n">
        <v>13.9</v>
      </c>
    </row>
    <row r="6382">
      <c r="A6382" t="inlineStr">
        <is>
          <t>CB</t>
        </is>
      </c>
      <c r="B6382" s="6" t="n">
        <v>72.90000000000001</v>
      </c>
    </row>
    <row r="6383">
      <c r="A6383" t="inlineStr">
        <is>
          <t>CB</t>
        </is>
      </c>
      <c r="B6383" s="6" t="n">
        <v>16.4</v>
      </c>
    </row>
    <row r="6384">
      <c r="A6384" t="inlineStr">
        <is>
          <t>CB</t>
        </is>
      </c>
      <c r="B6384" s="6" t="n">
        <v>52.8</v>
      </c>
    </row>
    <row r="6385">
      <c r="A6385" t="inlineStr">
        <is>
          <t>CB</t>
        </is>
      </c>
      <c r="B6385" s="6" t="n">
        <v>60.2</v>
      </c>
    </row>
    <row r="6386">
      <c r="A6386" t="inlineStr">
        <is>
          <t>CB</t>
        </is>
      </c>
      <c r="B6386" s="6" t="n">
        <v>86.59999999999999</v>
      </c>
    </row>
    <row r="6387">
      <c r="A6387" t="inlineStr">
        <is>
          <t>CB</t>
        </is>
      </c>
      <c r="B6387" s="6" t="n">
        <v>13.9</v>
      </c>
    </row>
    <row r="6388">
      <c r="A6388" t="inlineStr">
        <is>
          <t>CB</t>
        </is>
      </c>
      <c r="B6388" s="6" t="n">
        <v>23</v>
      </c>
    </row>
    <row r="6389">
      <c r="A6389" t="inlineStr">
        <is>
          <t>CB</t>
        </is>
      </c>
      <c r="B6389" s="6" t="n">
        <v>59.5</v>
      </c>
    </row>
    <row r="6390">
      <c r="A6390" t="inlineStr">
        <is>
          <t>CB</t>
        </is>
      </c>
      <c r="B6390" s="6" t="n">
        <v>20</v>
      </c>
    </row>
    <row r="6391">
      <c r="A6391" t="inlineStr">
        <is>
          <t>CB</t>
        </is>
      </c>
      <c r="B6391" s="6" t="n">
        <v>19.1</v>
      </c>
    </row>
    <row r="6392">
      <c r="A6392" t="inlineStr">
        <is>
          <t>CB</t>
        </is>
      </c>
      <c r="B6392" s="6" t="n">
        <v>18.6</v>
      </c>
    </row>
    <row r="6393">
      <c r="A6393" t="inlineStr">
        <is>
          <t>CB</t>
        </is>
      </c>
      <c r="B6393" s="6" t="n">
        <v>34.4</v>
      </c>
    </row>
    <row r="6394">
      <c r="A6394" t="inlineStr">
        <is>
          <t>CB</t>
        </is>
      </c>
      <c r="B6394" s="6" t="n">
        <v>69</v>
      </c>
    </row>
    <row r="6395">
      <c r="A6395" t="inlineStr">
        <is>
          <t>CB</t>
        </is>
      </c>
      <c r="B6395" s="6" t="n">
        <v>70.90000000000001</v>
      </c>
    </row>
    <row r="6396">
      <c r="A6396" t="inlineStr">
        <is>
          <t>CB</t>
        </is>
      </c>
      <c r="B6396" s="6" t="n">
        <v>76.7</v>
      </c>
    </row>
    <row r="6397">
      <c r="A6397" t="inlineStr">
        <is>
          <t>CB</t>
        </is>
      </c>
      <c r="B6397" s="6" t="n">
        <v>65.59999999999999</v>
      </c>
    </row>
    <row r="6398">
      <c r="A6398" t="inlineStr">
        <is>
          <t>CB</t>
        </is>
      </c>
      <c r="B6398" s="6" t="n">
        <v>55.8</v>
      </c>
    </row>
    <row r="6399">
      <c r="A6399" t="inlineStr">
        <is>
          <t>CB</t>
        </is>
      </c>
      <c r="B6399" s="6" t="n">
        <v>67</v>
      </c>
    </row>
    <row r="6400">
      <c r="A6400" t="inlineStr">
        <is>
          <t>CB</t>
        </is>
      </c>
      <c r="B6400" s="6" t="n">
        <v>24.35</v>
      </c>
    </row>
    <row r="6401">
      <c r="A6401" t="inlineStr">
        <is>
          <t>CB</t>
        </is>
      </c>
      <c r="B6401" s="6" t="n">
        <v>24.35</v>
      </c>
    </row>
    <row r="6402">
      <c r="A6402" t="inlineStr">
        <is>
          <t>CB</t>
        </is>
      </c>
      <c r="B6402" s="6" t="n">
        <v>24.35</v>
      </c>
    </row>
    <row r="6403">
      <c r="A6403" t="inlineStr">
        <is>
          <t>CHV</t>
        </is>
      </c>
      <c r="B6403" s="6" t="n">
        <v>20</v>
      </c>
    </row>
    <row r="6404">
      <c r="A6404" t="inlineStr">
        <is>
          <t>ESP</t>
        </is>
      </c>
      <c r="B6404" s="6" t="n">
        <v>4.35</v>
      </c>
    </row>
    <row r="6405">
      <c r="A6405" t="inlineStr">
        <is>
          <t>CB</t>
        </is>
      </c>
      <c r="B6405" s="6" t="n">
        <v>14.5</v>
      </c>
    </row>
    <row r="6406">
      <c r="A6406" t="inlineStr">
        <is>
          <t>CB</t>
        </is>
      </c>
      <c r="B6406" s="6" t="n">
        <v>26.7</v>
      </c>
    </row>
    <row r="6407">
      <c r="A6407" t="inlineStr">
        <is>
          <t>CHV</t>
        </is>
      </c>
      <c r="B6407" s="6" t="n">
        <v>30</v>
      </c>
    </row>
    <row r="6408">
      <c r="A6408" t="inlineStr">
        <is>
          <t>CB</t>
        </is>
      </c>
      <c r="B6408" s="6" t="n">
        <v>31.9</v>
      </c>
    </row>
    <row r="6409">
      <c r="A6409" t="inlineStr">
        <is>
          <t>CB</t>
        </is>
      </c>
      <c r="B6409" s="6" t="n">
        <v>17.7</v>
      </c>
    </row>
    <row r="6410">
      <c r="A6410" t="inlineStr">
        <is>
          <t>CB</t>
        </is>
      </c>
      <c r="B6410" s="6" t="n">
        <v>24.5</v>
      </c>
    </row>
    <row r="6411">
      <c r="A6411" t="inlineStr">
        <is>
          <t>CB</t>
        </is>
      </c>
      <c r="B6411" s="6" t="n">
        <v>27.8</v>
      </c>
    </row>
    <row r="6412">
      <c r="A6412" t="inlineStr">
        <is>
          <t>CB</t>
        </is>
      </c>
      <c r="B6412" s="6" t="n">
        <v>45.7</v>
      </c>
    </row>
    <row r="6413">
      <c r="A6413" t="inlineStr">
        <is>
          <t>CB</t>
        </is>
      </c>
      <c r="B6413" s="6" t="n">
        <v>34.82</v>
      </c>
    </row>
    <row r="6414">
      <c r="A6414" t="inlineStr">
        <is>
          <t>CB</t>
        </is>
      </c>
      <c r="B6414" s="6" t="n">
        <v>34.82</v>
      </c>
    </row>
    <row r="6415">
      <c r="A6415" t="inlineStr">
        <is>
          <t>CB</t>
        </is>
      </c>
      <c r="B6415" s="6" t="n">
        <v>34.81</v>
      </c>
    </row>
    <row r="6416">
      <c r="A6416" t="inlineStr">
        <is>
          <t>CB</t>
        </is>
      </c>
      <c r="B6416" s="6" t="n">
        <v>69.62</v>
      </c>
    </row>
    <row r="6417">
      <c r="A6417" t="inlineStr">
        <is>
          <t>CB</t>
        </is>
      </c>
      <c r="B6417" s="6" t="n">
        <v>69.63</v>
      </c>
    </row>
    <row r="6418">
      <c r="A6418" t="inlineStr">
        <is>
          <t>CB</t>
        </is>
      </c>
      <c r="B6418" s="6" t="n">
        <v>59.2</v>
      </c>
    </row>
    <row r="6419">
      <c r="A6419" t="inlineStr">
        <is>
          <t>TR</t>
        </is>
      </c>
      <c r="B6419" s="6" t="n">
        <v>9.65</v>
      </c>
    </row>
    <row r="6420">
      <c r="A6420" t="inlineStr">
        <is>
          <t>TR</t>
        </is>
      </c>
      <c r="B6420" s="6" t="n">
        <v>9.65</v>
      </c>
    </row>
    <row r="6421">
      <c r="A6421" t="inlineStr">
        <is>
          <t>ESP</t>
        </is>
      </c>
      <c r="B6421" s="6" t="n">
        <v>6.4</v>
      </c>
    </row>
    <row r="6422">
      <c r="A6422" t="inlineStr">
        <is>
          <t>CB</t>
        </is>
      </c>
      <c r="B6422" s="6" t="n">
        <v>67</v>
      </c>
    </row>
    <row r="6423">
      <c r="A6423" t="inlineStr">
        <is>
          <t>CB</t>
        </is>
      </c>
      <c r="B6423" s="6" t="n">
        <v>75.09999999999999</v>
      </c>
    </row>
    <row r="6424">
      <c r="A6424" t="inlineStr">
        <is>
          <t>CB</t>
        </is>
      </c>
      <c r="B6424" s="6" t="n">
        <v>99.7</v>
      </c>
    </row>
    <row r="6425">
      <c r="A6425" t="inlineStr">
        <is>
          <t>CB</t>
        </is>
      </c>
      <c r="B6425" s="6" t="n">
        <v>33.8</v>
      </c>
    </row>
    <row r="6426">
      <c r="A6426" t="inlineStr">
        <is>
          <t>CB</t>
        </is>
      </c>
      <c r="B6426" s="6" t="n">
        <v>36.1</v>
      </c>
    </row>
    <row r="6427">
      <c r="A6427" t="inlineStr">
        <is>
          <t>CB</t>
        </is>
      </c>
      <c r="B6427" s="6" t="n">
        <v>42</v>
      </c>
    </row>
    <row r="6428">
      <c r="A6428" t="inlineStr">
        <is>
          <t>CB</t>
        </is>
      </c>
      <c r="B6428" s="6" t="n">
        <v>45.9</v>
      </c>
    </row>
    <row r="6430">
      <c r="A6430" s="2" t="inlineStr">
        <is>
          <t>TOTAL</t>
        </is>
      </c>
      <c r="B6430" s="6">
        <f>ROUND(SUM(B3:B6428),2)</f>
        <v/>
      </c>
    </row>
    <row r="6431">
      <c r="A6431" t="inlineStr">
        <is>
          <t>CB</t>
        </is>
      </c>
      <c r="B6431" s="6">
        <f>ROUND(SUMIF($A$3:$A$6428,"CB",$B$3:$B$6428),2)</f>
        <v/>
      </c>
    </row>
    <row r="6432">
      <c r="A6432" t="inlineStr">
        <is>
          <t>CHV</t>
        </is>
      </c>
      <c r="B6432" s="6">
        <f>ROUND(SUMIF($A$3:$A$6428,"CHV",$B$3:$B$6428),2)</f>
        <v/>
      </c>
    </row>
    <row r="6433">
      <c r="A6433" t="inlineStr">
        <is>
          <t>TR</t>
        </is>
      </c>
      <c r="B6433" s="6">
        <f>ROUND(SUMIF($A$3:$A$6428,"TR",$B$3:$B$6428),2)</f>
        <v/>
      </c>
    </row>
    <row r="6434">
      <c r="A6434" t="inlineStr">
        <is>
          <t>CHQ</t>
        </is>
      </c>
      <c r="B6434" s="6">
        <f>ROUND(SUMIF($A$3:$A$6428,"CHQ",$B$3:$B$6428),2)</f>
        <v/>
      </c>
    </row>
    <row r="6435">
      <c r="A6435" t="inlineStr">
        <is>
          <t>ESP</t>
        </is>
      </c>
      <c r="B6435" s="6">
        <f>ROUND(SUMIF($A$3:$A$6428,"ESP",$B$3:$B$6428),2)</f>
        <v/>
      </c>
    </row>
    <row r="6436">
      <c r="A6436" s="2" t="inlineStr">
        <is>
          <t>Espèces (ESP) — part</t>
        </is>
      </c>
      <c r="B6436" s="12">
        <f>SUMIF($A$3:$A$6428,"ESP",$B$3:$B$6428)/SUM(B3:B6428)</f>
        <v/>
      </c>
    </row>
    <row r="6437">
      <c r="A6437" s="2" t="inlineStr">
        <is>
          <t>Bancarisé (hors ESP) — part</t>
        </is>
      </c>
      <c r="B6437" s="12">
        <f>1-SUMIF($A$3:$A$6428,"ESP",$B$3:$B$6428)/SUM(B3:B6428)</f>
        <v/>
      </c>
    </row>
    <row r="6438">
      <c r="A6438" s="2" t="inlineStr">
        <is>
          <t>Montant DEL 2022-2023 / espèces encaissées (×)</t>
        </is>
      </c>
      <c r="B6438" s="7">
        <f>ROUND(Calcul!B3/SUMIF($A$3:$A$6428,"ESP",$B$3:$B$6428),1)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Tickets clôturés à 0,00 € (ANNEXE-H1) et jumeau encaissé même n°/même jour</t>
        </is>
      </c>
    </row>
    <row r="2">
      <c r="A2" s="5" t="inlineStr">
        <is>
          <t>date_ticket</t>
        </is>
      </c>
      <c r="B2" s="5" t="inlineStr">
        <is>
          <t>no_ticket</t>
        </is>
      </c>
      <c r="C2" s="5" t="inlineStr">
        <is>
          <t>tot_ttc</t>
        </is>
      </c>
      <c r="D2" s="5" t="inlineStr">
        <is>
          <t>jumeau</t>
        </is>
      </c>
    </row>
    <row r="3">
      <c r="A3" t="inlineStr">
        <is>
          <t>2022-04-14</t>
        </is>
      </c>
      <c r="B3" t="n">
        <v>1</v>
      </c>
      <c r="C3" s="6" t="n">
        <v>0</v>
      </c>
      <c r="D3" t="n">
        <v>1</v>
      </c>
    </row>
    <row r="4">
      <c r="A4" t="inlineStr">
        <is>
          <t>2022-04-14</t>
        </is>
      </c>
      <c r="B4" t="n">
        <v>2</v>
      </c>
      <c r="C4" s="6" t="n">
        <v>0</v>
      </c>
      <c r="D4" t="n">
        <v>1</v>
      </c>
    </row>
    <row r="5">
      <c r="A5" t="inlineStr">
        <is>
          <t>2022-04-14</t>
        </is>
      </c>
      <c r="B5" t="n">
        <v>3</v>
      </c>
      <c r="C5" s="6" t="n">
        <v>0</v>
      </c>
      <c r="D5" t="n">
        <v>1</v>
      </c>
    </row>
    <row r="6">
      <c r="A6" t="inlineStr">
        <is>
          <t>2022-04-14</t>
        </is>
      </c>
      <c r="B6" t="n">
        <v>5</v>
      </c>
      <c r="C6" s="6" t="n">
        <v>0</v>
      </c>
      <c r="D6" t="n">
        <v>1</v>
      </c>
    </row>
    <row r="7">
      <c r="A7" t="inlineStr">
        <is>
          <t>2022-04-14</t>
        </is>
      </c>
      <c r="B7" t="n">
        <v>4</v>
      </c>
      <c r="C7" s="6" t="n">
        <v>0</v>
      </c>
      <c r="D7" t="n">
        <v>1</v>
      </c>
    </row>
    <row r="8">
      <c r="A8" t="inlineStr">
        <is>
          <t>2022-04-14</t>
        </is>
      </c>
      <c r="B8" t="n">
        <v>6</v>
      </c>
      <c r="C8" s="6" t="n">
        <v>0</v>
      </c>
      <c r="D8" t="n">
        <v>1</v>
      </c>
    </row>
    <row r="9">
      <c r="A9" t="inlineStr">
        <is>
          <t>2022-04-14</t>
        </is>
      </c>
      <c r="B9" t="n">
        <v>7</v>
      </c>
      <c r="C9" s="6" t="n">
        <v>0</v>
      </c>
      <c r="D9" t="n">
        <v>1</v>
      </c>
    </row>
    <row r="10">
      <c r="A10" t="inlineStr">
        <is>
          <t>2022-04-14</t>
        </is>
      </c>
      <c r="B10" t="n">
        <v>9</v>
      </c>
      <c r="C10" s="6" t="n">
        <v>0</v>
      </c>
      <c r="D10" t="n">
        <v>1</v>
      </c>
    </row>
    <row r="11">
      <c r="A11" t="inlineStr">
        <is>
          <t>2022-04-14</t>
        </is>
      </c>
      <c r="B11" t="n">
        <v>8</v>
      </c>
      <c r="C11" s="6" t="n">
        <v>0</v>
      </c>
      <c r="D11" t="n">
        <v>1</v>
      </c>
    </row>
    <row r="12">
      <c r="A12" t="inlineStr">
        <is>
          <t>2022-04-15</t>
        </is>
      </c>
      <c r="B12" t="n">
        <v>1</v>
      </c>
      <c r="C12" s="6" t="n">
        <v>0</v>
      </c>
      <c r="D12" t="n">
        <v>1</v>
      </c>
    </row>
    <row r="13">
      <c r="A13" t="inlineStr">
        <is>
          <t>2022-04-15</t>
        </is>
      </c>
      <c r="B13" t="n">
        <v>2</v>
      </c>
      <c r="C13" s="6" t="n">
        <v>0</v>
      </c>
      <c r="D13" t="n">
        <v>1</v>
      </c>
    </row>
    <row r="14">
      <c r="A14" t="inlineStr">
        <is>
          <t>2022-04-15</t>
        </is>
      </c>
      <c r="B14" t="n">
        <v>3</v>
      </c>
      <c r="C14" s="6" t="n">
        <v>0</v>
      </c>
      <c r="D14" t="n">
        <v>1</v>
      </c>
    </row>
    <row r="15">
      <c r="A15" t="inlineStr">
        <is>
          <t>2022-04-15</t>
        </is>
      </c>
      <c r="B15" t="n">
        <v>4</v>
      </c>
      <c r="C15" s="6" t="n">
        <v>0</v>
      </c>
      <c r="D15" t="n">
        <v>1</v>
      </c>
    </row>
    <row r="16">
      <c r="A16" t="inlineStr">
        <is>
          <t>2022-04-16</t>
        </is>
      </c>
      <c r="B16" t="n">
        <v>2</v>
      </c>
      <c r="C16" s="6" t="n">
        <v>0</v>
      </c>
      <c r="D16" t="n">
        <v>1</v>
      </c>
    </row>
    <row r="17">
      <c r="A17" t="inlineStr">
        <is>
          <t>2022-04-16</t>
        </is>
      </c>
      <c r="B17" t="n">
        <v>1</v>
      </c>
      <c r="C17" s="6" t="n">
        <v>0</v>
      </c>
      <c r="D17" t="n">
        <v>1</v>
      </c>
    </row>
    <row r="18">
      <c r="A18" t="inlineStr">
        <is>
          <t>2022-04-16</t>
        </is>
      </c>
      <c r="B18" t="n">
        <v>3</v>
      </c>
      <c r="C18" s="6" t="n">
        <v>0</v>
      </c>
      <c r="D18" t="n">
        <v>1</v>
      </c>
    </row>
    <row r="19">
      <c r="A19" t="inlineStr">
        <is>
          <t>2022-04-16</t>
        </is>
      </c>
      <c r="B19" t="n">
        <v>4</v>
      </c>
      <c r="C19" s="6" t="n">
        <v>0</v>
      </c>
      <c r="D19" t="n">
        <v>1</v>
      </c>
    </row>
    <row r="20">
      <c r="A20" t="inlineStr">
        <is>
          <t>2022-04-16</t>
        </is>
      </c>
      <c r="B20" t="n">
        <v>5</v>
      </c>
      <c r="C20" s="6" t="n">
        <v>0</v>
      </c>
      <c r="D20" t="n">
        <v>1</v>
      </c>
    </row>
    <row r="21">
      <c r="A21" t="inlineStr">
        <is>
          <t>2022-04-16</t>
        </is>
      </c>
      <c r="B21" t="n">
        <v>9</v>
      </c>
      <c r="C21" s="6" t="n">
        <v>0</v>
      </c>
      <c r="D21" t="n">
        <v>1</v>
      </c>
    </row>
    <row r="22">
      <c r="A22" t="inlineStr">
        <is>
          <t>2022-04-16</t>
        </is>
      </c>
      <c r="B22" t="n">
        <v>6</v>
      </c>
      <c r="C22" s="6" t="n">
        <v>0</v>
      </c>
      <c r="D22" t="n">
        <v>1</v>
      </c>
    </row>
    <row r="23">
      <c r="A23" t="inlineStr">
        <is>
          <t>2022-04-16</t>
        </is>
      </c>
      <c r="B23" t="n">
        <v>10</v>
      </c>
      <c r="C23" s="6" t="n">
        <v>0</v>
      </c>
      <c r="D23" t="n">
        <v>1</v>
      </c>
    </row>
    <row r="24">
      <c r="A24" t="inlineStr">
        <is>
          <t>2022-04-16</t>
        </is>
      </c>
      <c r="B24" t="n">
        <v>7</v>
      </c>
      <c r="C24" s="6" t="n">
        <v>0</v>
      </c>
      <c r="D24" t="n">
        <v>1</v>
      </c>
    </row>
    <row r="25">
      <c r="A25" t="inlineStr">
        <is>
          <t>2022-04-16</t>
        </is>
      </c>
      <c r="B25" t="n">
        <v>13</v>
      </c>
      <c r="C25" s="6" t="n">
        <v>0</v>
      </c>
      <c r="D25" t="n">
        <v>1</v>
      </c>
    </row>
    <row r="26">
      <c r="A26" t="inlineStr">
        <is>
          <t>2022-04-16</t>
        </is>
      </c>
      <c r="B26" t="n">
        <v>11</v>
      </c>
      <c r="C26" s="6" t="n">
        <v>0</v>
      </c>
      <c r="D26" t="n">
        <v>1</v>
      </c>
    </row>
    <row r="27">
      <c r="A27" t="inlineStr">
        <is>
          <t>2022-04-16</t>
        </is>
      </c>
      <c r="B27" t="n">
        <v>8</v>
      </c>
      <c r="C27" s="6" t="n">
        <v>0</v>
      </c>
      <c r="D27" t="n">
        <v>1</v>
      </c>
    </row>
    <row r="28">
      <c r="A28" t="inlineStr">
        <is>
          <t>2022-04-16</t>
        </is>
      </c>
      <c r="B28" t="n">
        <v>12</v>
      </c>
      <c r="C28" s="6" t="n">
        <v>0</v>
      </c>
      <c r="D28" t="n">
        <v>1</v>
      </c>
    </row>
    <row r="29">
      <c r="A29" t="inlineStr">
        <is>
          <t>2022-04-17</t>
        </is>
      </c>
      <c r="B29" t="n">
        <v>1</v>
      </c>
      <c r="C29" s="6" t="n">
        <v>0</v>
      </c>
      <c r="D29" t="n">
        <v>1</v>
      </c>
    </row>
    <row r="30">
      <c r="A30" t="inlineStr">
        <is>
          <t>2022-04-17</t>
        </is>
      </c>
      <c r="B30" t="n">
        <v>2</v>
      </c>
      <c r="C30" s="6" t="n">
        <v>0</v>
      </c>
      <c r="D30" t="n">
        <v>1</v>
      </c>
    </row>
    <row r="31">
      <c r="A31" t="inlineStr">
        <is>
          <t>2022-04-17</t>
        </is>
      </c>
      <c r="B31" t="n">
        <v>3</v>
      </c>
      <c r="C31" s="6" t="n">
        <v>0</v>
      </c>
      <c r="D31" t="n">
        <v>1</v>
      </c>
    </row>
    <row r="32">
      <c r="A32" t="inlineStr">
        <is>
          <t>2022-04-17</t>
        </is>
      </c>
      <c r="B32" t="n">
        <v>4</v>
      </c>
      <c r="C32" s="6" t="n">
        <v>0</v>
      </c>
      <c r="D32" t="n">
        <v>1</v>
      </c>
    </row>
    <row r="33">
      <c r="A33" t="inlineStr">
        <is>
          <t>2022-04-17</t>
        </is>
      </c>
      <c r="B33" t="n">
        <v>5</v>
      </c>
      <c r="C33" s="6" t="n">
        <v>0</v>
      </c>
      <c r="D33" t="n">
        <v>1</v>
      </c>
    </row>
    <row r="34">
      <c r="A34" t="inlineStr">
        <is>
          <t>2022-04-18</t>
        </is>
      </c>
      <c r="B34" t="n">
        <v>3</v>
      </c>
      <c r="C34" s="6" t="n">
        <v>0</v>
      </c>
      <c r="D34" t="n">
        <v>1</v>
      </c>
    </row>
    <row r="35">
      <c r="A35" t="inlineStr">
        <is>
          <t>2022-04-18</t>
        </is>
      </c>
      <c r="B35" t="n">
        <v>2</v>
      </c>
      <c r="C35" s="6" t="n">
        <v>0</v>
      </c>
      <c r="D35" t="n">
        <v>1</v>
      </c>
    </row>
    <row r="36">
      <c r="A36" t="inlineStr">
        <is>
          <t>2022-04-18</t>
        </is>
      </c>
      <c r="B36" t="n">
        <v>1</v>
      </c>
      <c r="C36" s="6" t="n">
        <v>0</v>
      </c>
      <c r="D36" t="n">
        <v>1</v>
      </c>
    </row>
    <row r="37">
      <c r="A37" t="inlineStr">
        <is>
          <t>2022-04-18</t>
        </is>
      </c>
      <c r="B37" t="n">
        <v>4</v>
      </c>
      <c r="C37" s="6" t="n">
        <v>0</v>
      </c>
      <c r="D37" t="n">
        <v>1</v>
      </c>
    </row>
    <row r="38">
      <c r="A38" t="inlineStr">
        <is>
          <t>2022-04-20</t>
        </is>
      </c>
      <c r="B38" t="n">
        <v>1</v>
      </c>
      <c r="C38" s="6" t="n">
        <v>0</v>
      </c>
      <c r="D38" t="n">
        <v>1</v>
      </c>
    </row>
    <row r="39">
      <c r="A39" t="inlineStr">
        <is>
          <t>2022-04-20</t>
        </is>
      </c>
      <c r="B39" t="n">
        <v>2</v>
      </c>
      <c r="C39" s="6" t="n">
        <v>0</v>
      </c>
      <c r="D39" t="n">
        <v>1</v>
      </c>
    </row>
    <row r="40">
      <c r="A40" t="inlineStr">
        <is>
          <t>2022-04-20</t>
        </is>
      </c>
      <c r="B40" t="n">
        <v>5</v>
      </c>
      <c r="C40" s="6" t="n">
        <v>0</v>
      </c>
      <c r="D40" t="n">
        <v>1</v>
      </c>
    </row>
    <row r="41">
      <c r="A41" t="inlineStr">
        <is>
          <t>2022-04-20</t>
        </is>
      </c>
      <c r="B41" t="n">
        <v>4</v>
      </c>
      <c r="C41" s="6" t="n">
        <v>0</v>
      </c>
      <c r="D41" t="n">
        <v>1</v>
      </c>
    </row>
    <row r="42">
      <c r="A42" t="inlineStr">
        <is>
          <t>2022-04-20</t>
        </is>
      </c>
      <c r="B42" t="n">
        <v>3</v>
      </c>
      <c r="C42" s="6" t="n">
        <v>0</v>
      </c>
      <c r="D42" t="n">
        <v>1</v>
      </c>
    </row>
    <row r="43">
      <c r="A43" t="inlineStr">
        <is>
          <t>2022-04-21</t>
        </is>
      </c>
      <c r="B43" t="n">
        <v>1</v>
      </c>
      <c r="C43" s="6" t="n">
        <v>0</v>
      </c>
      <c r="D43" t="n">
        <v>1</v>
      </c>
    </row>
    <row r="44">
      <c r="A44" t="inlineStr">
        <is>
          <t>2022-04-21</t>
        </is>
      </c>
      <c r="B44" t="n">
        <v>2</v>
      </c>
      <c r="C44" s="6" t="n">
        <v>0</v>
      </c>
      <c r="D44" t="n">
        <v>1</v>
      </c>
    </row>
    <row r="45">
      <c r="A45" t="inlineStr">
        <is>
          <t>2022-04-21</t>
        </is>
      </c>
      <c r="B45" t="n">
        <v>3</v>
      </c>
      <c r="C45" s="6" t="n">
        <v>0</v>
      </c>
      <c r="D45" t="n">
        <v>1</v>
      </c>
    </row>
    <row r="46">
      <c r="A46" t="inlineStr">
        <is>
          <t>2022-04-21</t>
        </is>
      </c>
      <c r="B46" t="n">
        <v>4</v>
      </c>
      <c r="C46" s="6" t="n">
        <v>0</v>
      </c>
      <c r="D46" t="n">
        <v>1</v>
      </c>
    </row>
    <row r="47">
      <c r="A47" t="inlineStr">
        <is>
          <t>2022-04-21</t>
        </is>
      </c>
      <c r="B47" t="n">
        <v>5</v>
      </c>
      <c r="C47" s="6" t="n">
        <v>0</v>
      </c>
      <c r="D47" t="n">
        <v>1</v>
      </c>
    </row>
    <row r="48">
      <c r="A48" t="inlineStr">
        <is>
          <t>2022-04-21</t>
        </is>
      </c>
      <c r="B48" t="n">
        <v>6</v>
      </c>
      <c r="C48" s="6" t="n">
        <v>0</v>
      </c>
      <c r="D48" t="n">
        <v>1</v>
      </c>
    </row>
    <row r="49">
      <c r="A49" t="inlineStr">
        <is>
          <t>2022-04-21</t>
        </is>
      </c>
      <c r="B49" t="n">
        <v>7</v>
      </c>
      <c r="C49" s="6" t="n">
        <v>0</v>
      </c>
      <c r="D49" t="n">
        <v>1</v>
      </c>
    </row>
    <row r="50">
      <c r="A50" t="inlineStr">
        <is>
          <t>2022-04-21</t>
        </is>
      </c>
      <c r="B50" t="n">
        <v>8</v>
      </c>
      <c r="C50" s="6" t="n">
        <v>0</v>
      </c>
      <c r="D50" t="n">
        <v>1</v>
      </c>
    </row>
    <row r="51">
      <c r="A51" t="inlineStr">
        <is>
          <t>2022-04-21</t>
        </is>
      </c>
      <c r="B51" t="n">
        <v>9</v>
      </c>
      <c r="C51" s="6" t="n">
        <v>0</v>
      </c>
      <c r="D51" t="n">
        <v>1</v>
      </c>
    </row>
    <row r="52">
      <c r="A52" t="inlineStr">
        <is>
          <t>2022-04-21</t>
        </is>
      </c>
      <c r="B52" t="n">
        <v>10</v>
      </c>
      <c r="C52" s="6" t="n">
        <v>0</v>
      </c>
      <c r="D52" t="n">
        <v>1</v>
      </c>
    </row>
    <row r="53">
      <c r="A53" t="inlineStr">
        <is>
          <t>2022-04-22</t>
        </is>
      </c>
      <c r="B53" t="n">
        <v>1</v>
      </c>
      <c r="C53" s="6" t="n">
        <v>0</v>
      </c>
      <c r="D53" t="n">
        <v>1</v>
      </c>
    </row>
    <row r="54">
      <c r="A54" t="inlineStr">
        <is>
          <t>2022-04-22</t>
        </is>
      </c>
      <c r="B54" t="n">
        <v>3</v>
      </c>
      <c r="C54" s="6" t="n">
        <v>0</v>
      </c>
      <c r="D54" t="n">
        <v>1</v>
      </c>
    </row>
    <row r="55">
      <c r="A55" t="inlineStr">
        <is>
          <t>2022-04-22</t>
        </is>
      </c>
      <c r="B55" t="n">
        <v>2</v>
      </c>
      <c r="C55" s="6" t="n">
        <v>0</v>
      </c>
      <c r="D55" t="n">
        <v>1</v>
      </c>
    </row>
    <row r="56">
      <c r="A56" t="inlineStr">
        <is>
          <t>2022-04-23</t>
        </is>
      </c>
      <c r="B56" t="n">
        <v>1</v>
      </c>
      <c r="C56" s="6" t="n">
        <v>0</v>
      </c>
      <c r="D56" t="n">
        <v>1</v>
      </c>
    </row>
    <row r="57">
      <c r="A57" t="inlineStr">
        <is>
          <t>2022-04-23</t>
        </is>
      </c>
      <c r="B57" t="n">
        <v>2</v>
      </c>
      <c r="C57" s="6" t="n">
        <v>0</v>
      </c>
      <c r="D57" t="n">
        <v>1</v>
      </c>
    </row>
    <row r="58">
      <c r="A58" t="inlineStr">
        <is>
          <t>2022-04-23</t>
        </is>
      </c>
      <c r="B58" t="n">
        <v>4</v>
      </c>
      <c r="C58" s="6" t="n">
        <v>0</v>
      </c>
      <c r="D58" t="n">
        <v>1</v>
      </c>
    </row>
    <row r="59">
      <c r="A59" t="inlineStr">
        <is>
          <t>2022-04-23</t>
        </is>
      </c>
      <c r="B59" t="n">
        <v>3</v>
      </c>
      <c r="C59" s="6" t="n">
        <v>0</v>
      </c>
      <c r="D59" t="n">
        <v>1</v>
      </c>
    </row>
    <row r="60">
      <c r="A60" t="inlineStr">
        <is>
          <t>2022-04-24</t>
        </is>
      </c>
      <c r="B60" t="n">
        <v>1</v>
      </c>
      <c r="C60" s="6" t="n">
        <v>0</v>
      </c>
      <c r="D60" t="n">
        <v>1</v>
      </c>
    </row>
    <row r="61">
      <c r="A61" t="inlineStr">
        <is>
          <t>2022-04-27</t>
        </is>
      </c>
      <c r="B61" t="n">
        <v>1</v>
      </c>
      <c r="C61" s="6" t="n">
        <v>0</v>
      </c>
      <c r="D61" t="n">
        <v>1</v>
      </c>
    </row>
    <row r="62">
      <c r="A62" t="inlineStr">
        <is>
          <t>2022-04-27</t>
        </is>
      </c>
      <c r="B62" t="n">
        <v>2</v>
      </c>
      <c r="C62" s="6" t="n">
        <v>0</v>
      </c>
      <c r="D62" t="n">
        <v>1</v>
      </c>
    </row>
    <row r="63">
      <c r="A63" t="inlineStr">
        <is>
          <t>2022-04-27</t>
        </is>
      </c>
      <c r="B63" t="n">
        <v>3</v>
      </c>
      <c r="C63" s="6" t="n">
        <v>0</v>
      </c>
      <c r="D63" t="n">
        <v>1</v>
      </c>
    </row>
    <row r="64">
      <c r="A64" t="inlineStr">
        <is>
          <t>2022-04-27</t>
        </is>
      </c>
      <c r="B64" t="n">
        <v>4</v>
      </c>
      <c r="C64" s="6" t="n">
        <v>0</v>
      </c>
      <c r="D64" t="n">
        <v>1</v>
      </c>
    </row>
    <row r="65">
      <c r="A65" t="inlineStr">
        <is>
          <t>2022-04-27</t>
        </is>
      </c>
      <c r="B65" t="n">
        <v>5</v>
      </c>
      <c r="C65" s="6" t="n">
        <v>0</v>
      </c>
      <c r="D65" t="n">
        <v>1</v>
      </c>
    </row>
    <row r="66">
      <c r="A66" t="inlineStr">
        <is>
          <t>2022-04-28</t>
        </is>
      </c>
      <c r="B66" t="n">
        <v>1</v>
      </c>
      <c r="C66" s="6" t="n">
        <v>0</v>
      </c>
      <c r="D66" t="n">
        <v>1</v>
      </c>
    </row>
    <row r="67">
      <c r="A67" t="inlineStr">
        <is>
          <t>2022-04-28</t>
        </is>
      </c>
      <c r="B67" t="n">
        <v>2</v>
      </c>
      <c r="C67" s="6" t="n">
        <v>0</v>
      </c>
      <c r="D67" t="n">
        <v>1</v>
      </c>
    </row>
    <row r="68">
      <c r="A68" t="inlineStr">
        <is>
          <t>2022-04-28</t>
        </is>
      </c>
      <c r="B68" t="n">
        <v>4</v>
      </c>
      <c r="C68" s="6" t="n">
        <v>0</v>
      </c>
      <c r="D68" t="n">
        <v>1</v>
      </c>
    </row>
    <row r="69">
      <c r="A69" t="inlineStr">
        <is>
          <t>2022-04-28</t>
        </is>
      </c>
      <c r="B69" t="n">
        <v>5</v>
      </c>
      <c r="C69" s="6" t="n">
        <v>0</v>
      </c>
      <c r="D69" t="n">
        <v>1</v>
      </c>
    </row>
    <row r="70">
      <c r="A70" t="inlineStr">
        <is>
          <t>2022-04-28</t>
        </is>
      </c>
      <c r="B70" t="n">
        <v>3</v>
      </c>
      <c r="C70" s="6" t="n">
        <v>0</v>
      </c>
      <c r="D70" t="n">
        <v>1</v>
      </c>
    </row>
    <row r="71">
      <c r="A71" t="inlineStr">
        <is>
          <t>2022-04-29</t>
        </is>
      </c>
      <c r="B71" t="n">
        <v>3</v>
      </c>
      <c r="C71" s="6" t="n">
        <v>0</v>
      </c>
      <c r="D71" t="n">
        <v>1</v>
      </c>
    </row>
    <row r="72">
      <c r="A72" t="inlineStr">
        <is>
          <t>2022-04-29</t>
        </is>
      </c>
      <c r="B72" t="n">
        <v>1</v>
      </c>
      <c r="C72" s="6" t="n">
        <v>0</v>
      </c>
      <c r="D72" t="n">
        <v>1</v>
      </c>
    </row>
    <row r="73">
      <c r="A73" t="inlineStr">
        <is>
          <t>2022-04-29</t>
        </is>
      </c>
      <c r="B73" t="n">
        <v>2</v>
      </c>
      <c r="C73" s="6" t="n">
        <v>0</v>
      </c>
      <c r="D73" t="n">
        <v>1</v>
      </c>
    </row>
    <row r="74">
      <c r="A74" t="inlineStr">
        <is>
          <t>2022-04-29</t>
        </is>
      </c>
      <c r="B74" t="n">
        <v>6</v>
      </c>
      <c r="C74" s="6" t="n">
        <v>0</v>
      </c>
      <c r="D74" t="n">
        <v>1</v>
      </c>
    </row>
    <row r="75">
      <c r="A75" t="inlineStr">
        <is>
          <t>2022-04-29</t>
        </is>
      </c>
      <c r="B75" t="n">
        <v>5</v>
      </c>
      <c r="C75" s="6" t="n">
        <v>0</v>
      </c>
      <c r="D75" t="n">
        <v>1</v>
      </c>
    </row>
    <row r="76">
      <c r="A76" t="inlineStr">
        <is>
          <t>2022-04-29</t>
        </is>
      </c>
      <c r="B76" t="n">
        <v>15</v>
      </c>
      <c r="C76" s="6" t="n">
        <v>0</v>
      </c>
      <c r="D76" t="n">
        <v>0</v>
      </c>
    </row>
    <row r="77">
      <c r="A77" t="inlineStr">
        <is>
          <t>2022-04-29</t>
        </is>
      </c>
      <c r="B77" t="n">
        <v>4</v>
      </c>
      <c r="C77" s="6" t="n">
        <v>0</v>
      </c>
      <c r="D77" t="n">
        <v>1</v>
      </c>
    </row>
    <row r="78">
      <c r="A78" t="inlineStr">
        <is>
          <t>2022-04-29</t>
        </is>
      </c>
      <c r="B78" t="n">
        <v>9</v>
      </c>
      <c r="C78" s="6" t="n">
        <v>0</v>
      </c>
      <c r="D78" t="n">
        <v>1</v>
      </c>
    </row>
    <row r="79">
      <c r="A79" t="inlineStr">
        <is>
          <t>2022-04-29</t>
        </is>
      </c>
      <c r="B79" t="n">
        <v>10</v>
      </c>
      <c r="C79" s="6" t="n">
        <v>0</v>
      </c>
      <c r="D79" t="n">
        <v>1</v>
      </c>
    </row>
    <row r="80">
      <c r="A80" t="inlineStr">
        <is>
          <t>2022-04-29</t>
        </is>
      </c>
      <c r="B80" t="n">
        <v>7</v>
      </c>
      <c r="C80" s="6" t="n">
        <v>0</v>
      </c>
      <c r="D80" t="n">
        <v>1</v>
      </c>
    </row>
    <row r="81">
      <c r="A81" t="inlineStr">
        <is>
          <t>2022-04-29</t>
        </is>
      </c>
      <c r="B81" t="n">
        <v>8</v>
      </c>
      <c r="C81" s="6" t="n">
        <v>0</v>
      </c>
      <c r="D81" t="n">
        <v>1</v>
      </c>
    </row>
    <row r="82">
      <c r="A82" t="inlineStr">
        <is>
          <t>2022-04-30</t>
        </is>
      </c>
      <c r="B82" t="n">
        <v>1</v>
      </c>
      <c r="C82" s="6" t="n">
        <v>0</v>
      </c>
      <c r="D82" t="n">
        <v>1</v>
      </c>
    </row>
    <row r="83">
      <c r="A83" t="inlineStr">
        <is>
          <t>2022-04-30</t>
        </is>
      </c>
      <c r="B83" t="n">
        <v>2</v>
      </c>
      <c r="C83" s="6" t="n">
        <v>0</v>
      </c>
      <c r="D83" t="n">
        <v>1</v>
      </c>
    </row>
    <row r="84">
      <c r="A84" t="inlineStr">
        <is>
          <t>2022-04-30</t>
        </is>
      </c>
      <c r="B84" t="n">
        <v>3</v>
      </c>
      <c r="C84" s="6" t="n">
        <v>0</v>
      </c>
      <c r="D84" t="n">
        <v>1</v>
      </c>
    </row>
    <row r="85">
      <c r="A85" t="inlineStr">
        <is>
          <t>2022-04-30</t>
        </is>
      </c>
      <c r="B85" t="n">
        <v>4</v>
      </c>
      <c r="C85" s="6" t="n">
        <v>0</v>
      </c>
      <c r="D85" t="n">
        <v>1</v>
      </c>
    </row>
    <row r="86">
      <c r="A86" t="inlineStr">
        <is>
          <t>2022-05-04</t>
        </is>
      </c>
      <c r="B86" t="n">
        <v>1</v>
      </c>
      <c r="C86" s="6" t="n">
        <v>0</v>
      </c>
      <c r="D86" t="n">
        <v>1</v>
      </c>
    </row>
    <row r="87">
      <c r="A87" t="inlineStr">
        <is>
          <t>2022-05-04</t>
        </is>
      </c>
      <c r="B87" t="n">
        <v>2</v>
      </c>
      <c r="C87" s="6" t="n">
        <v>0</v>
      </c>
      <c r="D87" t="n">
        <v>1</v>
      </c>
    </row>
    <row r="88">
      <c r="A88" t="inlineStr">
        <is>
          <t>2022-05-04</t>
        </is>
      </c>
      <c r="B88" t="n">
        <v>3</v>
      </c>
      <c r="C88" s="6" t="n">
        <v>0</v>
      </c>
      <c r="D88" t="n">
        <v>1</v>
      </c>
    </row>
    <row r="89">
      <c r="A89" t="inlineStr">
        <is>
          <t>2022-05-04</t>
        </is>
      </c>
      <c r="B89" t="n">
        <v>4</v>
      </c>
      <c r="C89" s="6" t="n">
        <v>0</v>
      </c>
      <c r="D89" t="n">
        <v>1</v>
      </c>
    </row>
    <row r="90">
      <c r="A90" t="inlineStr">
        <is>
          <t>2022-05-04</t>
        </is>
      </c>
      <c r="B90" t="n">
        <v>5</v>
      </c>
      <c r="C90" s="6" t="n">
        <v>0</v>
      </c>
      <c r="D90" t="n">
        <v>1</v>
      </c>
    </row>
    <row r="91">
      <c r="A91" t="inlineStr">
        <is>
          <t>2022-05-05</t>
        </is>
      </c>
      <c r="B91" t="n">
        <v>1</v>
      </c>
      <c r="C91" s="6" t="n">
        <v>0</v>
      </c>
      <c r="D91" t="n">
        <v>1</v>
      </c>
    </row>
    <row r="92">
      <c r="A92" t="inlineStr">
        <is>
          <t>2022-05-05</t>
        </is>
      </c>
      <c r="B92" t="n">
        <v>2</v>
      </c>
      <c r="C92" s="6" t="n">
        <v>0</v>
      </c>
      <c r="D92" t="n">
        <v>1</v>
      </c>
    </row>
    <row r="93">
      <c r="A93" t="inlineStr">
        <is>
          <t>2022-05-05</t>
        </is>
      </c>
      <c r="B93" t="n">
        <v>3</v>
      </c>
      <c r="C93" s="6" t="n">
        <v>0</v>
      </c>
      <c r="D93" t="n">
        <v>1</v>
      </c>
    </row>
    <row r="94">
      <c r="A94" t="inlineStr">
        <is>
          <t>2022-05-05</t>
        </is>
      </c>
      <c r="B94" t="n">
        <v>4</v>
      </c>
      <c r="C94" s="6" t="n">
        <v>0</v>
      </c>
      <c r="D94" t="n">
        <v>1</v>
      </c>
    </row>
    <row r="95">
      <c r="A95" t="inlineStr">
        <is>
          <t>2022-05-05</t>
        </is>
      </c>
      <c r="B95" t="n">
        <v>5</v>
      </c>
      <c r="C95" s="6" t="n">
        <v>0</v>
      </c>
      <c r="D95" t="n">
        <v>1</v>
      </c>
    </row>
    <row r="96">
      <c r="A96" t="inlineStr">
        <is>
          <t>2022-05-06</t>
        </is>
      </c>
      <c r="B96" t="n">
        <v>1</v>
      </c>
      <c r="C96" s="6" t="n">
        <v>0</v>
      </c>
      <c r="D96" t="n">
        <v>1</v>
      </c>
    </row>
    <row r="97">
      <c r="A97" t="inlineStr">
        <is>
          <t>2022-05-06</t>
        </is>
      </c>
      <c r="B97" t="n">
        <v>4</v>
      </c>
      <c r="C97" s="6" t="n">
        <v>0</v>
      </c>
      <c r="D97" t="n">
        <v>1</v>
      </c>
    </row>
    <row r="98">
      <c r="A98" t="inlineStr">
        <is>
          <t>2022-05-06</t>
        </is>
      </c>
      <c r="B98" t="n">
        <v>8</v>
      </c>
      <c r="C98" s="6" t="n">
        <v>0</v>
      </c>
      <c r="D98" t="n">
        <v>1</v>
      </c>
    </row>
    <row r="99">
      <c r="A99" t="inlineStr">
        <is>
          <t>2022-05-06</t>
        </is>
      </c>
      <c r="B99" t="n">
        <v>2</v>
      </c>
      <c r="C99" s="6" t="n">
        <v>0</v>
      </c>
      <c r="D99" t="n">
        <v>1</v>
      </c>
    </row>
    <row r="100">
      <c r="A100" t="inlineStr">
        <is>
          <t>2022-05-06</t>
        </is>
      </c>
      <c r="B100" t="n">
        <v>3</v>
      </c>
      <c r="C100" s="6" t="n">
        <v>0</v>
      </c>
      <c r="D100" t="n">
        <v>1</v>
      </c>
    </row>
    <row r="101">
      <c r="A101" t="inlineStr">
        <is>
          <t>2022-05-06</t>
        </is>
      </c>
      <c r="B101" t="n">
        <v>7</v>
      </c>
      <c r="C101" s="6" t="n">
        <v>0</v>
      </c>
      <c r="D101" t="n">
        <v>1</v>
      </c>
    </row>
    <row r="102">
      <c r="A102" t="inlineStr">
        <is>
          <t>2022-05-06</t>
        </is>
      </c>
      <c r="B102" t="n">
        <v>6</v>
      </c>
      <c r="C102" s="6" t="n">
        <v>0</v>
      </c>
      <c r="D102" t="n">
        <v>1</v>
      </c>
    </row>
    <row r="103">
      <c r="A103" t="inlineStr">
        <is>
          <t>2022-05-06</t>
        </is>
      </c>
      <c r="B103" t="n">
        <v>5</v>
      </c>
      <c r="C103" s="6" t="n">
        <v>0</v>
      </c>
      <c r="D103" t="n">
        <v>1</v>
      </c>
    </row>
    <row r="104">
      <c r="A104" t="inlineStr">
        <is>
          <t>2022-05-07</t>
        </is>
      </c>
      <c r="B104" t="n">
        <v>2</v>
      </c>
      <c r="C104" s="6" t="n">
        <v>0</v>
      </c>
      <c r="D104" t="n">
        <v>1</v>
      </c>
    </row>
    <row r="105">
      <c r="A105" t="inlineStr">
        <is>
          <t>2022-05-07</t>
        </is>
      </c>
      <c r="B105" t="n">
        <v>3</v>
      </c>
      <c r="C105" s="6" t="n">
        <v>0</v>
      </c>
      <c r="D105" t="n">
        <v>1</v>
      </c>
    </row>
    <row r="106">
      <c r="A106" t="inlineStr">
        <is>
          <t>2022-05-07</t>
        </is>
      </c>
      <c r="B106" t="n">
        <v>1</v>
      </c>
      <c r="C106" s="6" t="n">
        <v>0</v>
      </c>
      <c r="D106" t="n">
        <v>1</v>
      </c>
    </row>
    <row r="107">
      <c r="A107" t="inlineStr">
        <is>
          <t>2022-05-07</t>
        </is>
      </c>
      <c r="B107" t="n">
        <v>4</v>
      </c>
      <c r="C107" s="6" t="n">
        <v>0</v>
      </c>
      <c r="D107" t="n">
        <v>1</v>
      </c>
    </row>
    <row r="108">
      <c r="A108" t="inlineStr">
        <is>
          <t>2022-05-07</t>
        </is>
      </c>
      <c r="B108" t="n">
        <v>5</v>
      </c>
      <c r="C108" s="6" t="n">
        <v>0</v>
      </c>
      <c r="D108" t="n">
        <v>1</v>
      </c>
    </row>
    <row r="109">
      <c r="A109" t="inlineStr">
        <is>
          <t>2022-05-07</t>
        </is>
      </c>
      <c r="B109" t="n">
        <v>9</v>
      </c>
      <c r="C109" s="6" t="n">
        <v>0</v>
      </c>
      <c r="D109" t="n">
        <v>1</v>
      </c>
    </row>
    <row r="110">
      <c r="A110" t="inlineStr">
        <is>
          <t>2022-05-07</t>
        </is>
      </c>
      <c r="B110" t="n">
        <v>6</v>
      </c>
      <c r="C110" s="6" t="n">
        <v>0</v>
      </c>
      <c r="D110" t="n">
        <v>1</v>
      </c>
    </row>
    <row r="111">
      <c r="A111" t="inlineStr">
        <is>
          <t>2022-05-07</t>
        </is>
      </c>
      <c r="B111" t="n">
        <v>14</v>
      </c>
      <c r="C111" s="6" t="n">
        <v>0</v>
      </c>
      <c r="D111" t="n">
        <v>1</v>
      </c>
    </row>
    <row r="112">
      <c r="A112" t="inlineStr">
        <is>
          <t>2022-05-07</t>
        </is>
      </c>
      <c r="B112" t="n">
        <v>7</v>
      </c>
      <c r="C112" s="6" t="n">
        <v>0</v>
      </c>
      <c r="D112" t="n">
        <v>1</v>
      </c>
    </row>
    <row r="113">
      <c r="A113" t="inlineStr">
        <is>
          <t>2022-05-07</t>
        </is>
      </c>
      <c r="B113" t="n">
        <v>8</v>
      </c>
      <c r="C113" s="6" t="n">
        <v>0</v>
      </c>
      <c r="D113" t="n">
        <v>1</v>
      </c>
    </row>
    <row r="114">
      <c r="A114" t="inlineStr">
        <is>
          <t>2022-05-07</t>
        </is>
      </c>
      <c r="B114" t="n">
        <v>10</v>
      </c>
      <c r="C114" s="6" t="n">
        <v>0</v>
      </c>
      <c r="D114" t="n">
        <v>1</v>
      </c>
    </row>
    <row r="115">
      <c r="A115" t="inlineStr">
        <is>
          <t>2022-05-07</t>
        </is>
      </c>
      <c r="B115" t="n">
        <v>11</v>
      </c>
      <c r="C115" s="6" t="n">
        <v>0</v>
      </c>
      <c r="D115" t="n">
        <v>1</v>
      </c>
    </row>
    <row r="116">
      <c r="A116" t="inlineStr">
        <is>
          <t>2022-05-07</t>
        </is>
      </c>
      <c r="B116" t="n">
        <v>12</v>
      </c>
      <c r="C116" s="6" t="n">
        <v>0</v>
      </c>
      <c r="D116" t="n">
        <v>1</v>
      </c>
    </row>
    <row r="117">
      <c r="A117" t="inlineStr">
        <is>
          <t>2022-05-07</t>
        </is>
      </c>
      <c r="B117" t="n">
        <v>13</v>
      </c>
      <c r="C117" s="6" t="n">
        <v>0</v>
      </c>
      <c r="D117" t="n">
        <v>1</v>
      </c>
    </row>
    <row r="118">
      <c r="A118" t="inlineStr">
        <is>
          <t>2022-05-07</t>
        </is>
      </c>
      <c r="B118" t="n">
        <v>15</v>
      </c>
      <c r="C118" s="6" t="n">
        <v>0</v>
      </c>
      <c r="D118" t="n">
        <v>1</v>
      </c>
    </row>
    <row r="119">
      <c r="A119" t="inlineStr">
        <is>
          <t>2022-05-07</t>
        </is>
      </c>
      <c r="B119" t="n">
        <v>16</v>
      </c>
      <c r="C119" s="6" t="n">
        <v>0</v>
      </c>
      <c r="D119" t="n">
        <v>1</v>
      </c>
    </row>
    <row r="120">
      <c r="A120" t="inlineStr">
        <is>
          <t>2022-05-08</t>
        </is>
      </c>
      <c r="B120" t="n">
        <v>1</v>
      </c>
      <c r="C120" s="6" t="n">
        <v>0</v>
      </c>
      <c r="D120" t="n">
        <v>1</v>
      </c>
    </row>
    <row r="121">
      <c r="A121" t="inlineStr">
        <is>
          <t>2022-05-08</t>
        </is>
      </c>
      <c r="B121" t="n">
        <v>2</v>
      </c>
      <c r="C121" s="6" t="n">
        <v>0</v>
      </c>
      <c r="D121" t="n">
        <v>1</v>
      </c>
    </row>
    <row r="122">
      <c r="A122" t="inlineStr">
        <is>
          <t>2022-05-08</t>
        </is>
      </c>
      <c r="B122" t="n">
        <v>3</v>
      </c>
      <c r="C122" s="6" t="n">
        <v>0</v>
      </c>
      <c r="D122" t="n">
        <v>1</v>
      </c>
    </row>
    <row r="123">
      <c r="A123" t="inlineStr">
        <is>
          <t>2022-05-11</t>
        </is>
      </c>
      <c r="B123" t="n">
        <v>1</v>
      </c>
      <c r="C123" s="6" t="n">
        <v>0</v>
      </c>
      <c r="D123" t="n">
        <v>1</v>
      </c>
    </row>
    <row r="124">
      <c r="A124" t="inlineStr">
        <is>
          <t>2022-05-11</t>
        </is>
      </c>
      <c r="B124" t="n">
        <v>2</v>
      </c>
      <c r="C124" s="6" t="n">
        <v>0</v>
      </c>
      <c r="D124" t="n">
        <v>1</v>
      </c>
    </row>
    <row r="125">
      <c r="A125" t="inlineStr">
        <is>
          <t>2022-05-11</t>
        </is>
      </c>
      <c r="B125" t="n">
        <v>5</v>
      </c>
      <c r="C125" s="6" t="n">
        <v>0</v>
      </c>
      <c r="D125" t="n">
        <v>1</v>
      </c>
    </row>
    <row r="126">
      <c r="A126" t="inlineStr">
        <is>
          <t>2022-05-11</t>
        </is>
      </c>
      <c r="B126" t="n">
        <v>4</v>
      </c>
      <c r="C126" s="6" t="n">
        <v>0</v>
      </c>
      <c r="D126" t="n">
        <v>1</v>
      </c>
    </row>
    <row r="127">
      <c r="A127" t="inlineStr">
        <is>
          <t>2022-05-11</t>
        </is>
      </c>
      <c r="B127" t="n">
        <v>3</v>
      </c>
      <c r="C127" s="6" t="n">
        <v>0</v>
      </c>
      <c r="D127" t="n">
        <v>1</v>
      </c>
    </row>
    <row r="128">
      <c r="A128" t="inlineStr">
        <is>
          <t>2022-05-11</t>
        </is>
      </c>
      <c r="B128" t="n">
        <v>6</v>
      </c>
      <c r="C128" s="6" t="n">
        <v>0</v>
      </c>
      <c r="D128" t="n">
        <v>1</v>
      </c>
    </row>
    <row r="129">
      <c r="A129" t="inlineStr">
        <is>
          <t>2022-05-12</t>
        </is>
      </c>
      <c r="B129" t="n">
        <v>1</v>
      </c>
      <c r="C129" s="6" t="n">
        <v>0</v>
      </c>
      <c r="D129" t="n">
        <v>1</v>
      </c>
    </row>
    <row r="130">
      <c r="A130" t="inlineStr">
        <is>
          <t>2022-05-12</t>
        </is>
      </c>
      <c r="B130" t="n">
        <v>2</v>
      </c>
      <c r="C130" s="6" t="n">
        <v>0</v>
      </c>
      <c r="D130" t="n">
        <v>1</v>
      </c>
    </row>
    <row r="131">
      <c r="A131" t="inlineStr">
        <is>
          <t>2022-05-12</t>
        </is>
      </c>
      <c r="B131" t="n">
        <v>3</v>
      </c>
      <c r="C131" s="6" t="n">
        <v>0</v>
      </c>
      <c r="D131" t="n">
        <v>1</v>
      </c>
    </row>
    <row r="132">
      <c r="A132" t="inlineStr">
        <is>
          <t>2022-05-12</t>
        </is>
      </c>
      <c r="B132" t="n">
        <v>5</v>
      </c>
      <c r="C132" s="6" t="n">
        <v>0</v>
      </c>
      <c r="D132" t="n">
        <v>1</v>
      </c>
    </row>
    <row r="133">
      <c r="A133" t="inlineStr">
        <is>
          <t>2022-05-12</t>
        </is>
      </c>
      <c r="B133" t="n">
        <v>4</v>
      </c>
      <c r="C133" s="6" t="n">
        <v>0</v>
      </c>
      <c r="D133" t="n">
        <v>1</v>
      </c>
    </row>
    <row r="134">
      <c r="A134" t="inlineStr">
        <is>
          <t>2022-05-12</t>
        </is>
      </c>
      <c r="B134" t="n">
        <v>6</v>
      </c>
      <c r="C134" s="6" t="n">
        <v>0</v>
      </c>
      <c r="D134" t="n">
        <v>1</v>
      </c>
    </row>
    <row r="135">
      <c r="A135" t="inlineStr">
        <is>
          <t>2022-05-13</t>
        </is>
      </c>
      <c r="B135" t="n">
        <v>1</v>
      </c>
      <c r="C135" s="6" t="n">
        <v>0</v>
      </c>
      <c r="D135" t="n">
        <v>1</v>
      </c>
    </row>
    <row r="136">
      <c r="A136" t="inlineStr">
        <is>
          <t>2022-05-13</t>
        </is>
      </c>
      <c r="B136" t="n">
        <v>2</v>
      </c>
      <c r="C136" s="6" t="n">
        <v>0</v>
      </c>
      <c r="D136" t="n">
        <v>1</v>
      </c>
    </row>
    <row r="137">
      <c r="A137" t="inlineStr">
        <is>
          <t>2022-05-13</t>
        </is>
      </c>
      <c r="B137" t="n">
        <v>3</v>
      </c>
      <c r="C137" s="6" t="n">
        <v>0</v>
      </c>
      <c r="D137" t="n">
        <v>1</v>
      </c>
    </row>
    <row r="138">
      <c r="A138" t="inlineStr">
        <is>
          <t>2022-05-13</t>
        </is>
      </c>
      <c r="B138" t="n">
        <v>5</v>
      </c>
      <c r="C138" s="6" t="n">
        <v>0</v>
      </c>
      <c r="D138" t="n">
        <v>1</v>
      </c>
    </row>
    <row r="139">
      <c r="A139" t="inlineStr">
        <is>
          <t>2022-05-13</t>
        </is>
      </c>
      <c r="B139" t="n">
        <v>6</v>
      </c>
      <c r="C139" s="6" t="n">
        <v>0</v>
      </c>
      <c r="D139" t="n">
        <v>1</v>
      </c>
    </row>
    <row r="140">
      <c r="A140" t="inlineStr">
        <is>
          <t>2022-05-13</t>
        </is>
      </c>
      <c r="B140" t="n">
        <v>4</v>
      </c>
      <c r="C140" s="6" t="n">
        <v>0</v>
      </c>
      <c r="D140" t="n">
        <v>1</v>
      </c>
    </row>
    <row r="141">
      <c r="A141" t="inlineStr">
        <is>
          <t>2022-05-14</t>
        </is>
      </c>
      <c r="B141" t="n">
        <v>5</v>
      </c>
      <c r="C141" s="6" t="n">
        <v>0</v>
      </c>
      <c r="D141" t="n">
        <v>1</v>
      </c>
    </row>
    <row r="142">
      <c r="A142" t="inlineStr">
        <is>
          <t>2022-05-14</t>
        </is>
      </c>
      <c r="B142" t="n">
        <v>1</v>
      </c>
      <c r="C142" s="6" t="n">
        <v>0</v>
      </c>
      <c r="D142" t="n">
        <v>1</v>
      </c>
    </row>
    <row r="143">
      <c r="A143" t="inlineStr">
        <is>
          <t>2022-05-14</t>
        </is>
      </c>
      <c r="B143" t="n">
        <v>2</v>
      </c>
      <c r="C143" s="6" t="n">
        <v>0</v>
      </c>
      <c r="D143" t="n">
        <v>1</v>
      </c>
    </row>
    <row r="144">
      <c r="A144" t="inlineStr">
        <is>
          <t>2022-05-14</t>
        </is>
      </c>
      <c r="B144" t="n">
        <v>3</v>
      </c>
      <c r="C144" s="6" t="n">
        <v>0</v>
      </c>
      <c r="D144" t="n">
        <v>1</v>
      </c>
    </row>
    <row r="145">
      <c r="A145" t="inlineStr">
        <is>
          <t>2022-05-14</t>
        </is>
      </c>
      <c r="B145" t="n">
        <v>4</v>
      </c>
      <c r="C145" s="6" t="n">
        <v>0</v>
      </c>
      <c r="D145" t="n">
        <v>1</v>
      </c>
    </row>
    <row r="146">
      <c r="A146" t="inlineStr">
        <is>
          <t>2022-05-14</t>
        </is>
      </c>
      <c r="B146" t="n">
        <v>6</v>
      </c>
      <c r="C146" s="6" t="n">
        <v>0</v>
      </c>
      <c r="D146" t="n">
        <v>1</v>
      </c>
    </row>
    <row r="147">
      <c r="A147" t="inlineStr">
        <is>
          <t>2022-05-14</t>
        </is>
      </c>
      <c r="B147" t="n">
        <v>8</v>
      </c>
      <c r="C147" s="6" t="n">
        <v>0</v>
      </c>
      <c r="D147" t="n">
        <v>1</v>
      </c>
    </row>
    <row r="148">
      <c r="A148" t="inlineStr">
        <is>
          <t>2022-05-14</t>
        </is>
      </c>
      <c r="B148" t="n">
        <v>9</v>
      </c>
      <c r="C148" s="6" t="n">
        <v>0</v>
      </c>
      <c r="D148" t="n">
        <v>1</v>
      </c>
    </row>
    <row r="149">
      <c r="A149" t="inlineStr">
        <is>
          <t>2022-05-14</t>
        </is>
      </c>
      <c r="B149" t="n">
        <v>7</v>
      </c>
      <c r="C149" s="6" t="n">
        <v>0</v>
      </c>
      <c r="D149" t="n">
        <v>1</v>
      </c>
    </row>
    <row r="150">
      <c r="A150" t="inlineStr">
        <is>
          <t>2022-05-15</t>
        </is>
      </c>
      <c r="B150" t="n">
        <v>3</v>
      </c>
      <c r="C150" s="6" t="n">
        <v>0</v>
      </c>
      <c r="D150" t="n">
        <v>1</v>
      </c>
    </row>
    <row r="151">
      <c r="A151" t="inlineStr">
        <is>
          <t>2022-05-15</t>
        </is>
      </c>
      <c r="B151" t="n">
        <v>1</v>
      </c>
      <c r="C151" s="6" t="n">
        <v>0</v>
      </c>
      <c r="D151" t="n">
        <v>1</v>
      </c>
    </row>
    <row r="152">
      <c r="A152" t="inlineStr">
        <is>
          <t>2022-05-15</t>
        </is>
      </c>
      <c r="B152" t="n">
        <v>2</v>
      </c>
      <c r="C152" s="6" t="n">
        <v>0</v>
      </c>
      <c r="D152" t="n">
        <v>1</v>
      </c>
    </row>
    <row r="153">
      <c r="A153" t="inlineStr">
        <is>
          <t>2022-05-15</t>
        </is>
      </c>
      <c r="B153" t="n">
        <v>4</v>
      </c>
      <c r="C153" s="6" t="n">
        <v>0</v>
      </c>
      <c r="D153" t="n">
        <v>1</v>
      </c>
    </row>
    <row r="154">
      <c r="A154" t="inlineStr">
        <is>
          <t>2022-05-15</t>
        </is>
      </c>
      <c r="B154" t="n">
        <v>5</v>
      </c>
      <c r="C154" s="6" t="n">
        <v>0</v>
      </c>
      <c r="D154" t="n">
        <v>1</v>
      </c>
    </row>
    <row r="155">
      <c r="A155" t="inlineStr">
        <is>
          <t>2022-05-15</t>
        </is>
      </c>
      <c r="B155" t="n">
        <v>6</v>
      </c>
      <c r="C155" s="6" t="n">
        <v>0</v>
      </c>
      <c r="D155" t="n">
        <v>1</v>
      </c>
    </row>
    <row r="156">
      <c r="A156" t="inlineStr">
        <is>
          <t>2022-05-15</t>
        </is>
      </c>
      <c r="B156" t="n">
        <v>7</v>
      </c>
      <c r="C156" s="6" t="n">
        <v>0</v>
      </c>
      <c r="D156" t="n">
        <v>1</v>
      </c>
    </row>
    <row r="157">
      <c r="A157" t="inlineStr">
        <is>
          <t>2022-05-18</t>
        </is>
      </c>
      <c r="B157" t="n">
        <v>1</v>
      </c>
      <c r="C157" s="6" t="n">
        <v>0</v>
      </c>
      <c r="D157" t="n">
        <v>1</v>
      </c>
    </row>
    <row r="158">
      <c r="A158" t="inlineStr">
        <is>
          <t>2022-05-18</t>
        </is>
      </c>
      <c r="B158" t="n">
        <v>2</v>
      </c>
      <c r="C158" s="6" t="n">
        <v>0</v>
      </c>
      <c r="D158" t="n">
        <v>1</v>
      </c>
    </row>
    <row r="159">
      <c r="A159" t="inlineStr">
        <is>
          <t>2022-05-18</t>
        </is>
      </c>
      <c r="B159" t="n">
        <v>5</v>
      </c>
      <c r="C159" s="6" t="n">
        <v>0</v>
      </c>
      <c r="D159" t="n">
        <v>1</v>
      </c>
    </row>
    <row r="160">
      <c r="A160" t="inlineStr">
        <is>
          <t>2022-05-18</t>
        </is>
      </c>
      <c r="B160" t="n">
        <v>4</v>
      </c>
      <c r="C160" s="6" t="n">
        <v>0</v>
      </c>
      <c r="D160" t="n">
        <v>1</v>
      </c>
    </row>
    <row r="161">
      <c r="A161" t="inlineStr">
        <is>
          <t>2022-05-18</t>
        </is>
      </c>
      <c r="B161" t="n">
        <v>3</v>
      </c>
      <c r="C161" s="6" t="n">
        <v>0</v>
      </c>
      <c r="D161" t="n">
        <v>1</v>
      </c>
    </row>
    <row r="162">
      <c r="A162" t="inlineStr">
        <is>
          <t>2022-05-19</t>
        </is>
      </c>
      <c r="B162" t="n">
        <v>1</v>
      </c>
      <c r="C162" s="6" t="n">
        <v>0</v>
      </c>
      <c r="D162" t="n">
        <v>1</v>
      </c>
    </row>
    <row r="163">
      <c r="A163" t="inlineStr">
        <is>
          <t>2022-05-19</t>
        </is>
      </c>
      <c r="B163" t="n">
        <v>3</v>
      </c>
      <c r="C163" s="6" t="n">
        <v>0</v>
      </c>
      <c r="D163" t="n">
        <v>1</v>
      </c>
    </row>
    <row r="164">
      <c r="A164" t="inlineStr">
        <is>
          <t>2022-05-19</t>
        </is>
      </c>
      <c r="B164" t="n">
        <v>2</v>
      </c>
      <c r="C164" s="6" t="n">
        <v>0</v>
      </c>
      <c r="D164" t="n">
        <v>1</v>
      </c>
    </row>
    <row r="165">
      <c r="A165" t="inlineStr">
        <is>
          <t>2022-05-19</t>
        </is>
      </c>
      <c r="B165" t="n">
        <v>4</v>
      </c>
      <c r="C165" s="6" t="n">
        <v>0</v>
      </c>
      <c r="D165" t="n">
        <v>1</v>
      </c>
    </row>
    <row r="166">
      <c r="A166" t="inlineStr">
        <is>
          <t>2022-05-19</t>
        </is>
      </c>
      <c r="B166" t="n">
        <v>5</v>
      </c>
      <c r="C166" s="6" t="n">
        <v>0</v>
      </c>
      <c r="D166" t="n">
        <v>1</v>
      </c>
    </row>
    <row r="167">
      <c r="A167" t="inlineStr">
        <is>
          <t>2022-05-19</t>
        </is>
      </c>
      <c r="B167" t="n">
        <v>6</v>
      </c>
      <c r="C167" s="6" t="n">
        <v>0</v>
      </c>
      <c r="D167" t="n">
        <v>1</v>
      </c>
    </row>
    <row r="168">
      <c r="A168" t="inlineStr">
        <is>
          <t>2022-05-19</t>
        </is>
      </c>
      <c r="B168" t="n">
        <v>7</v>
      </c>
      <c r="C168" s="6" t="n">
        <v>0</v>
      </c>
      <c r="D168" t="n">
        <v>1</v>
      </c>
    </row>
    <row r="169">
      <c r="A169" t="inlineStr">
        <is>
          <t>2022-05-19</t>
        </is>
      </c>
      <c r="B169" t="n">
        <v>8</v>
      </c>
      <c r="C169" s="6" t="n">
        <v>0</v>
      </c>
      <c r="D169" t="n">
        <v>1</v>
      </c>
    </row>
    <row r="170">
      <c r="A170" t="inlineStr">
        <is>
          <t>2022-05-20</t>
        </is>
      </c>
      <c r="B170" t="n">
        <v>1</v>
      </c>
      <c r="C170" s="6" t="n">
        <v>0</v>
      </c>
      <c r="D170" t="n">
        <v>1</v>
      </c>
    </row>
    <row r="171">
      <c r="A171" t="inlineStr">
        <is>
          <t>2022-05-20</t>
        </is>
      </c>
      <c r="B171" t="n">
        <v>4</v>
      </c>
      <c r="C171" s="6" t="n">
        <v>0</v>
      </c>
      <c r="D171" t="n">
        <v>1</v>
      </c>
    </row>
    <row r="172">
      <c r="A172" t="inlineStr">
        <is>
          <t>2022-05-20</t>
        </is>
      </c>
      <c r="B172" t="n">
        <v>3</v>
      </c>
      <c r="C172" s="6" t="n">
        <v>0</v>
      </c>
      <c r="D172" t="n">
        <v>1</v>
      </c>
    </row>
    <row r="173">
      <c r="A173" t="inlineStr">
        <is>
          <t>2022-05-20</t>
        </is>
      </c>
      <c r="B173" t="n">
        <v>2</v>
      </c>
      <c r="C173" s="6" t="n">
        <v>0</v>
      </c>
      <c r="D173" t="n">
        <v>1</v>
      </c>
    </row>
    <row r="174">
      <c r="A174" t="inlineStr">
        <is>
          <t>2022-05-22</t>
        </is>
      </c>
      <c r="B174" t="n">
        <v>1</v>
      </c>
      <c r="C174" s="6" t="n">
        <v>0</v>
      </c>
      <c r="D174" t="n">
        <v>1</v>
      </c>
    </row>
    <row r="175">
      <c r="A175" t="inlineStr">
        <is>
          <t>2022-05-22</t>
        </is>
      </c>
      <c r="B175" t="n">
        <v>3</v>
      </c>
      <c r="C175" s="6" t="n">
        <v>0</v>
      </c>
      <c r="D175" t="n">
        <v>1</v>
      </c>
    </row>
    <row r="176">
      <c r="A176" t="inlineStr">
        <is>
          <t>2022-05-22</t>
        </is>
      </c>
      <c r="B176" t="n">
        <v>2</v>
      </c>
      <c r="C176" s="6" t="n">
        <v>0</v>
      </c>
      <c r="D176" t="n">
        <v>1</v>
      </c>
    </row>
    <row r="177">
      <c r="A177" t="inlineStr">
        <is>
          <t>2022-05-22</t>
        </is>
      </c>
      <c r="B177" t="n">
        <v>4</v>
      </c>
      <c r="C177" s="6" t="n">
        <v>0</v>
      </c>
      <c r="D177" t="n">
        <v>1</v>
      </c>
    </row>
    <row r="178">
      <c r="A178" t="inlineStr">
        <is>
          <t>2022-05-22</t>
        </is>
      </c>
      <c r="B178" t="n">
        <v>5</v>
      </c>
      <c r="C178" s="6" t="n">
        <v>0</v>
      </c>
      <c r="D178" t="n">
        <v>1</v>
      </c>
    </row>
    <row r="179">
      <c r="A179" t="inlineStr">
        <is>
          <t>2022-05-22</t>
        </is>
      </c>
      <c r="B179" t="n">
        <v>6</v>
      </c>
      <c r="C179" s="6" t="n">
        <v>0</v>
      </c>
      <c r="D179" t="n">
        <v>1</v>
      </c>
    </row>
    <row r="180">
      <c r="A180" t="inlineStr">
        <is>
          <t>2022-05-25</t>
        </is>
      </c>
      <c r="B180" t="n">
        <v>1</v>
      </c>
      <c r="C180" s="6" t="n">
        <v>0</v>
      </c>
      <c r="D180" t="n">
        <v>1</v>
      </c>
    </row>
    <row r="181">
      <c r="A181" t="inlineStr">
        <is>
          <t>2022-05-25</t>
        </is>
      </c>
      <c r="B181" t="n">
        <v>2</v>
      </c>
      <c r="C181" s="6" t="n">
        <v>0</v>
      </c>
      <c r="D181" t="n">
        <v>1</v>
      </c>
    </row>
    <row r="182">
      <c r="A182" t="inlineStr">
        <is>
          <t>2022-05-25</t>
        </is>
      </c>
      <c r="B182" t="n">
        <v>3</v>
      </c>
      <c r="C182" s="6" t="n">
        <v>0</v>
      </c>
      <c r="D182" t="n">
        <v>1</v>
      </c>
    </row>
    <row r="183">
      <c r="A183" t="inlineStr">
        <is>
          <t>2022-05-25</t>
        </is>
      </c>
      <c r="B183" t="n">
        <v>4</v>
      </c>
      <c r="C183" s="6" t="n">
        <v>0</v>
      </c>
      <c r="D183" t="n">
        <v>1</v>
      </c>
    </row>
    <row r="184">
      <c r="A184" t="inlineStr">
        <is>
          <t>2022-05-26</t>
        </is>
      </c>
      <c r="B184" t="n">
        <v>3</v>
      </c>
      <c r="C184" s="6" t="n">
        <v>0</v>
      </c>
      <c r="D184" t="n">
        <v>1</v>
      </c>
    </row>
    <row r="185">
      <c r="A185" t="inlineStr">
        <is>
          <t>2022-05-26</t>
        </is>
      </c>
      <c r="B185" t="n">
        <v>2</v>
      </c>
      <c r="C185" s="6" t="n">
        <v>0</v>
      </c>
      <c r="D185" t="n">
        <v>1</v>
      </c>
    </row>
    <row r="186">
      <c r="A186" t="inlineStr">
        <is>
          <t>2022-05-26</t>
        </is>
      </c>
      <c r="B186" t="n">
        <v>1</v>
      </c>
      <c r="C186" s="6" t="n">
        <v>0</v>
      </c>
      <c r="D186" t="n">
        <v>1</v>
      </c>
    </row>
    <row r="187">
      <c r="A187" t="inlineStr">
        <is>
          <t>2022-05-26</t>
        </is>
      </c>
      <c r="B187" t="n">
        <v>4</v>
      </c>
      <c r="C187" s="6" t="n">
        <v>0</v>
      </c>
      <c r="D187" t="n">
        <v>1</v>
      </c>
    </row>
    <row r="188">
      <c r="A188" t="inlineStr">
        <is>
          <t>2022-05-26</t>
        </is>
      </c>
      <c r="B188" t="n">
        <v>6</v>
      </c>
      <c r="C188" s="6" t="n">
        <v>0</v>
      </c>
      <c r="D188" t="n">
        <v>1</v>
      </c>
    </row>
    <row r="189">
      <c r="A189" t="inlineStr">
        <is>
          <t>2022-05-26</t>
        </is>
      </c>
      <c r="B189" t="n">
        <v>5</v>
      </c>
      <c r="C189" s="6" t="n">
        <v>0</v>
      </c>
      <c r="D189" t="n">
        <v>1</v>
      </c>
    </row>
    <row r="190">
      <c r="A190" t="inlineStr">
        <is>
          <t>2022-05-27</t>
        </is>
      </c>
      <c r="B190" t="n">
        <v>1</v>
      </c>
      <c r="C190" s="6" t="n">
        <v>0</v>
      </c>
      <c r="D190" t="n">
        <v>1</v>
      </c>
    </row>
    <row r="191">
      <c r="A191" t="inlineStr">
        <is>
          <t>2022-05-27</t>
        </is>
      </c>
      <c r="B191" t="n">
        <v>2</v>
      </c>
      <c r="C191" s="6" t="n">
        <v>0</v>
      </c>
      <c r="D191" t="n">
        <v>1</v>
      </c>
    </row>
    <row r="192">
      <c r="A192" t="inlineStr">
        <is>
          <t>2022-05-27</t>
        </is>
      </c>
      <c r="B192" t="n">
        <v>3</v>
      </c>
      <c r="C192" s="6" t="n">
        <v>0</v>
      </c>
      <c r="D192" t="n">
        <v>1</v>
      </c>
    </row>
    <row r="193">
      <c r="A193" t="inlineStr">
        <is>
          <t>2022-05-27</t>
        </is>
      </c>
      <c r="B193" t="n">
        <v>4</v>
      </c>
      <c r="C193" s="6" t="n">
        <v>0</v>
      </c>
      <c r="D193" t="n">
        <v>1</v>
      </c>
    </row>
    <row r="194">
      <c r="A194" t="inlineStr">
        <is>
          <t>2022-05-28</t>
        </is>
      </c>
      <c r="B194" t="n">
        <v>1</v>
      </c>
      <c r="C194" s="6" t="n">
        <v>0</v>
      </c>
      <c r="D194" t="n">
        <v>1</v>
      </c>
    </row>
    <row r="195">
      <c r="A195" t="inlineStr">
        <is>
          <t>2022-05-28</t>
        </is>
      </c>
      <c r="B195" t="n">
        <v>2</v>
      </c>
      <c r="C195" s="6" t="n">
        <v>0</v>
      </c>
      <c r="D195" t="n">
        <v>1</v>
      </c>
    </row>
    <row r="196">
      <c r="A196" t="inlineStr">
        <is>
          <t>2022-05-28</t>
        </is>
      </c>
      <c r="B196" t="n">
        <v>6</v>
      </c>
      <c r="C196" s="6" t="n">
        <v>0</v>
      </c>
      <c r="D196" t="n">
        <v>1</v>
      </c>
    </row>
    <row r="197">
      <c r="A197" t="inlineStr">
        <is>
          <t>2022-05-28</t>
        </is>
      </c>
      <c r="B197" t="n">
        <v>4</v>
      </c>
      <c r="C197" s="6" t="n">
        <v>0</v>
      </c>
      <c r="D197" t="n">
        <v>1</v>
      </c>
    </row>
    <row r="198">
      <c r="A198" t="inlineStr">
        <is>
          <t>2022-05-28</t>
        </is>
      </c>
      <c r="B198" t="n">
        <v>3</v>
      </c>
      <c r="C198" s="6" t="n">
        <v>0</v>
      </c>
      <c r="D198" t="n">
        <v>1</v>
      </c>
    </row>
    <row r="199">
      <c r="A199" t="inlineStr">
        <is>
          <t>2022-05-28</t>
        </is>
      </c>
      <c r="B199" t="n">
        <v>5</v>
      </c>
      <c r="C199" s="6" t="n">
        <v>0</v>
      </c>
      <c r="D199" t="n">
        <v>1</v>
      </c>
    </row>
    <row r="200">
      <c r="A200" t="inlineStr">
        <is>
          <t>2022-05-28</t>
        </is>
      </c>
      <c r="B200" t="n">
        <v>7</v>
      </c>
      <c r="C200" s="6" t="n">
        <v>0</v>
      </c>
      <c r="D200" t="n">
        <v>1</v>
      </c>
    </row>
    <row r="201">
      <c r="A201" t="inlineStr">
        <is>
          <t>2022-05-29</t>
        </is>
      </c>
      <c r="B201" t="n">
        <v>5</v>
      </c>
      <c r="C201" s="6" t="n">
        <v>0</v>
      </c>
      <c r="D201" t="n">
        <v>1</v>
      </c>
    </row>
    <row r="202">
      <c r="A202" t="inlineStr">
        <is>
          <t>2022-05-29</t>
        </is>
      </c>
      <c r="B202" t="n">
        <v>1</v>
      </c>
      <c r="C202" s="6" t="n">
        <v>0</v>
      </c>
      <c r="D202" t="n">
        <v>1</v>
      </c>
    </row>
    <row r="203">
      <c r="A203" t="inlineStr">
        <is>
          <t>2022-05-29</t>
        </is>
      </c>
      <c r="B203" t="n">
        <v>4</v>
      </c>
      <c r="C203" s="6" t="n">
        <v>0</v>
      </c>
      <c r="D203" t="n">
        <v>1</v>
      </c>
    </row>
    <row r="204">
      <c r="A204" t="inlineStr">
        <is>
          <t>2022-05-29</t>
        </is>
      </c>
      <c r="B204" t="n">
        <v>3</v>
      </c>
      <c r="C204" s="6" t="n">
        <v>0</v>
      </c>
      <c r="D204" t="n">
        <v>1</v>
      </c>
    </row>
    <row r="205">
      <c r="A205" t="inlineStr">
        <is>
          <t>2022-05-29</t>
        </is>
      </c>
      <c r="B205" t="n">
        <v>6</v>
      </c>
      <c r="C205" s="6" t="n">
        <v>0</v>
      </c>
      <c r="D205" t="n">
        <v>1</v>
      </c>
    </row>
    <row r="206">
      <c r="A206" t="inlineStr">
        <is>
          <t>2022-05-29</t>
        </is>
      </c>
      <c r="B206" t="n">
        <v>2</v>
      </c>
      <c r="C206" s="6" t="n">
        <v>0</v>
      </c>
      <c r="D206" t="n">
        <v>1</v>
      </c>
    </row>
    <row r="207">
      <c r="A207" t="inlineStr">
        <is>
          <t>2022-05-29</t>
        </is>
      </c>
      <c r="B207" t="n">
        <v>7</v>
      </c>
      <c r="C207" s="6" t="n">
        <v>0</v>
      </c>
      <c r="D207" t="n">
        <v>1</v>
      </c>
    </row>
    <row r="208">
      <c r="A208" t="inlineStr">
        <is>
          <t>2022-05-29</t>
        </is>
      </c>
      <c r="B208" t="n">
        <v>11</v>
      </c>
      <c r="C208" s="6" t="n">
        <v>0</v>
      </c>
      <c r="D208" t="n">
        <v>1</v>
      </c>
    </row>
    <row r="209">
      <c r="A209" t="inlineStr">
        <is>
          <t>2022-05-29</t>
        </is>
      </c>
      <c r="B209" t="n">
        <v>8</v>
      </c>
      <c r="C209" s="6" t="n">
        <v>0</v>
      </c>
      <c r="D209" t="n">
        <v>1</v>
      </c>
    </row>
    <row r="210">
      <c r="A210" t="inlineStr">
        <is>
          <t>2022-05-29</t>
        </is>
      </c>
      <c r="B210" t="n">
        <v>9</v>
      </c>
      <c r="C210" s="6" t="n">
        <v>0</v>
      </c>
      <c r="D210" t="n">
        <v>1</v>
      </c>
    </row>
    <row r="211">
      <c r="A211" t="inlineStr">
        <is>
          <t>2022-05-29</t>
        </is>
      </c>
      <c r="B211" t="n">
        <v>10</v>
      </c>
      <c r="C211" s="6" t="n">
        <v>0</v>
      </c>
      <c r="D211" t="n">
        <v>1</v>
      </c>
    </row>
    <row r="212">
      <c r="A212" t="inlineStr">
        <is>
          <t>2022-06-01</t>
        </is>
      </c>
      <c r="B212" t="n">
        <v>2</v>
      </c>
      <c r="C212" s="6" t="n">
        <v>0</v>
      </c>
      <c r="D212" t="n">
        <v>1</v>
      </c>
    </row>
    <row r="213">
      <c r="A213" t="inlineStr">
        <is>
          <t>2022-06-01</t>
        </is>
      </c>
      <c r="B213" t="n">
        <v>1</v>
      </c>
      <c r="C213" s="6" t="n">
        <v>0</v>
      </c>
      <c r="D213" t="n">
        <v>1</v>
      </c>
    </row>
    <row r="214">
      <c r="A214" t="inlineStr">
        <is>
          <t>2022-06-01</t>
        </is>
      </c>
      <c r="B214" t="n">
        <v>3</v>
      </c>
      <c r="C214" s="6" t="n">
        <v>0</v>
      </c>
      <c r="D214" t="n">
        <v>1</v>
      </c>
    </row>
    <row r="215">
      <c r="A215" t="inlineStr">
        <is>
          <t>2022-06-01</t>
        </is>
      </c>
      <c r="B215" t="n">
        <v>7</v>
      </c>
      <c r="C215" s="6" t="n">
        <v>0</v>
      </c>
      <c r="D215" t="n">
        <v>1</v>
      </c>
    </row>
    <row r="216">
      <c r="A216" t="inlineStr">
        <is>
          <t>2022-06-01</t>
        </is>
      </c>
      <c r="B216" t="n">
        <v>5</v>
      </c>
      <c r="C216" s="6" t="n">
        <v>0</v>
      </c>
      <c r="D216" t="n">
        <v>1</v>
      </c>
    </row>
    <row r="217">
      <c r="A217" t="inlineStr">
        <is>
          <t>2022-06-01</t>
        </is>
      </c>
      <c r="B217" t="n">
        <v>4</v>
      </c>
      <c r="C217" s="6" t="n">
        <v>0</v>
      </c>
      <c r="D217" t="n">
        <v>1</v>
      </c>
    </row>
    <row r="218">
      <c r="A218" t="inlineStr">
        <is>
          <t>2022-06-01</t>
        </is>
      </c>
      <c r="B218" t="n">
        <v>6</v>
      </c>
      <c r="C218" s="6" t="n">
        <v>0</v>
      </c>
      <c r="D218" t="n">
        <v>1</v>
      </c>
    </row>
    <row r="219">
      <c r="A219" t="inlineStr">
        <is>
          <t>2022-06-02</t>
        </is>
      </c>
      <c r="B219" t="n">
        <v>1</v>
      </c>
      <c r="C219" s="6" t="n">
        <v>0</v>
      </c>
      <c r="D219" t="n">
        <v>1</v>
      </c>
    </row>
    <row r="220">
      <c r="A220" t="inlineStr">
        <is>
          <t>2022-06-02</t>
        </is>
      </c>
      <c r="B220" t="n">
        <v>2</v>
      </c>
      <c r="C220" s="6" t="n">
        <v>0</v>
      </c>
      <c r="D220" t="n">
        <v>1</v>
      </c>
    </row>
    <row r="221">
      <c r="A221" t="inlineStr">
        <is>
          <t>2022-06-02</t>
        </is>
      </c>
      <c r="B221" t="n">
        <v>7</v>
      </c>
      <c r="C221" s="6" t="n">
        <v>0</v>
      </c>
      <c r="D221" t="n">
        <v>1</v>
      </c>
    </row>
    <row r="222">
      <c r="A222" t="inlineStr">
        <is>
          <t>2022-06-02</t>
        </is>
      </c>
      <c r="B222" t="n">
        <v>6</v>
      </c>
      <c r="C222" s="6" t="n">
        <v>0</v>
      </c>
      <c r="D222" t="n">
        <v>1</v>
      </c>
    </row>
    <row r="223">
      <c r="A223" t="inlineStr">
        <is>
          <t>2022-06-02</t>
        </is>
      </c>
      <c r="B223" t="n">
        <v>4</v>
      </c>
      <c r="C223" s="6" t="n">
        <v>0</v>
      </c>
      <c r="D223" t="n">
        <v>1</v>
      </c>
    </row>
    <row r="224">
      <c r="A224" t="inlineStr">
        <is>
          <t>2022-06-02</t>
        </is>
      </c>
      <c r="B224" t="n">
        <v>3</v>
      </c>
      <c r="C224" s="6" t="n">
        <v>0</v>
      </c>
      <c r="D224" t="n">
        <v>1</v>
      </c>
    </row>
    <row r="225">
      <c r="A225" t="inlineStr">
        <is>
          <t>2022-06-02</t>
        </is>
      </c>
      <c r="B225" t="n">
        <v>8</v>
      </c>
      <c r="C225" s="6" t="n">
        <v>0</v>
      </c>
      <c r="D225" t="n">
        <v>1</v>
      </c>
    </row>
    <row r="226">
      <c r="A226" t="inlineStr">
        <is>
          <t>2022-06-02</t>
        </is>
      </c>
      <c r="B226" t="n">
        <v>5</v>
      </c>
      <c r="C226" s="6" t="n">
        <v>0</v>
      </c>
      <c r="D226" t="n">
        <v>1</v>
      </c>
    </row>
    <row r="227">
      <c r="A227" t="inlineStr">
        <is>
          <t>2022-06-03</t>
        </is>
      </c>
      <c r="B227" t="n">
        <v>1</v>
      </c>
      <c r="C227" s="6" t="n">
        <v>0</v>
      </c>
      <c r="D227" t="n">
        <v>1</v>
      </c>
    </row>
    <row r="228">
      <c r="A228" t="inlineStr">
        <is>
          <t>2022-06-03</t>
        </is>
      </c>
      <c r="B228" t="n">
        <v>3</v>
      </c>
      <c r="C228" s="6" t="n">
        <v>0</v>
      </c>
      <c r="D228" t="n">
        <v>1</v>
      </c>
    </row>
    <row r="229">
      <c r="A229" t="inlineStr">
        <is>
          <t>2022-06-03</t>
        </is>
      </c>
      <c r="B229" t="n">
        <v>2</v>
      </c>
      <c r="C229" s="6" t="n">
        <v>0</v>
      </c>
      <c r="D229" t="n">
        <v>1</v>
      </c>
    </row>
    <row r="230">
      <c r="A230" t="inlineStr">
        <is>
          <t>2022-06-03</t>
        </is>
      </c>
      <c r="B230" t="n">
        <v>4</v>
      </c>
      <c r="C230" s="6" t="n">
        <v>0</v>
      </c>
      <c r="D230" t="n">
        <v>1</v>
      </c>
    </row>
    <row r="231">
      <c r="A231" t="inlineStr">
        <is>
          <t>2022-06-03</t>
        </is>
      </c>
      <c r="B231" t="n">
        <v>5</v>
      </c>
      <c r="C231" s="6" t="n">
        <v>0</v>
      </c>
      <c r="D231" t="n">
        <v>1</v>
      </c>
    </row>
    <row r="232">
      <c r="A232" t="inlineStr">
        <is>
          <t>2022-06-04</t>
        </is>
      </c>
      <c r="B232" t="n">
        <v>2</v>
      </c>
      <c r="C232" s="6" t="n">
        <v>0</v>
      </c>
      <c r="D232" t="n">
        <v>1</v>
      </c>
    </row>
    <row r="233">
      <c r="A233" t="inlineStr">
        <is>
          <t>2022-06-04</t>
        </is>
      </c>
      <c r="B233" t="n">
        <v>6</v>
      </c>
      <c r="C233" s="6" t="n">
        <v>0</v>
      </c>
      <c r="D233" t="n">
        <v>1</v>
      </c>
    </row>
    <row r="234">
      <c r="A234" t="inlineStr">
        <is>
          <t>2022-06-04</t>
        </is>
      </c>
      <c r="B234" t="n">
        <v>4</v>
      </c>
      <c r="C234" s="6" t="n">
        <v>0</v>
      </c>
      <c r="D234" t="n">
        <v>1</v>
      </c>
    </row>
    <row r="235">
      <c r="A235" t="inlineStr">
        <is>
          <t>2022-06-04</t>
        </is>
      </c>
      <c r="B235" t="n">
        <v>5</v>
      </c>
      <c r="C235" s="6" t="n">
        <v>0</v>
      </c>
      <c r="D235" t="n">
        <v>1</v>
      </c>
    </row>
    <row r="236">
      <c r="A236" t="inlineStr">
        <is>
          <t>2022-06-04</t>
        </is>
      </c>
      <c r="B236" t="n">
        <v>1</v>
      </c>
      <c r="C236" s="6" t="n">
        <v>0</v>
      </c>
      <c r="D236" t="n">
        <v>1</v>
      </c>
    </row>
    <row r="237">
      <c r="A237" t="inlineStr">
        <is>
          <t>2022-06-04</t>
        </is>
      </c>
      <c r="B237" t="n">
        <v>3</v>
      </c>
      <c r="C237" s="6" t="n">
        <v>0</v>
      </c>
      <c r="D237" t="n">
        <v>1</v>
      </c>
    </row>
    <row r="238">
      <c r="A238" t="inlineStr">
        <is>
          <t>2022-06-04</t>
        </is>
      </c>
      <c r="B238" t="n">
        <v>7</v>
      </c>
      <c r="C238" s="6" t="n">
        <v>0</v>
      </c>
      <c r="D238" t="n">
        <v>1</v>
      </c>
    </row>
    <row r="239">
      <c r="A239" t="inlineStr">
        <is>
          <t>2022-06-04</t>
        </is>
      </c>
      <c r="B239" t="n">
        <v>8</v>
      </c>
      <c r="C239" s="6" t="n">
        <v>0</v>
      </c>
      <c r="D239" t="n">
        <v>1</v>
      </c>
    </row>
    <row r="240">
      <c r="A240" t="inlineStr">
        <is>
          <t>2022-06-04</t>
        </is>
      </c>
      <c r="B240" t="n">
        <v>10</v>
      </c>
      <c r="C240" s="6" t="n">
        <v>0</v>
      </c>
      <c r="D240" t="n">
        <v>1</v>
      </c>
    </row>
    <row r="241">
      <c r="A241" t="inlineStr">
        <is>
          <t>2022-06-04</t>
        </is>
      </c>
      <c r="B241" t="n">
        <v>9</v>
      </c>
      <c r="C241" s="6" t="n">
        <v>0</v>
      </c>
      <c r="D241" t="n">
        <v>1</v>
      </c>
    </row>
    <row r="242">
      <c r="A242" t="inlineStr">
        <is>
          <t>2022-06-04</t>
        </is>
      </c>
      <c r="B242" t="n">
        <v>11</v>
      </c>
      <c r="C242" s="6" t="n">
        <v>0</v>
      </c>
      <c r="D242" t="n">
        <v>1</v>
      </c>
    </row>
    <row r="243">
      <c r="A243" t="inlineStr">
        <is>
          <t>2022-06-04</t>
        </is>
      </c>
      <c r="B243" t="n">
        <v>12</v>
      </c>
      <c r="C243" s="6" t="n">
        <v>0</v>
      </c>
      <c r="D243" t="n">
        <v>1</v>
      </c>
    </row>
    <row r="244">
      <c r="A244" t="inlineStr">
        <is>
          <t>2022-06-05</t>
        </is>
      </c>
      <c r="B244" t="n">
        <v>1</v>
      </c>
      <c r="C244" s="6" t="n">
        <v>0</v>
      </c>
      <c r="D244" t="n">
        <v>1</v>
      </c>
    </row>
    <row r="245">
      <c r="A245" t="inlineStr">
        <is>
          <t>2022-06-05</t>
        </is>
      </c>
      <c r="B245" t="n">
        <v>2</v>
      </c>
      <c r="C245" s="6" t="n">
        <v>0</v>
      </c>
      <c r="D245" t="n">
        <v>1</v>
      </c>
    </row>
    <row r="246">
      <c r="A246" t="inlineStr">
        <is>
          <t>2022-06-05</t>
        </is>
      </c>
      <c r="B246" t="n">
        <v>3</v>
      </c>
      <c r="C246" s="6" t="n">
        <v>0</v>
      </c>
      <c r="D246" t="n">
        <v>1</v>
      </c>
    </row>
    <row r="247">
      <c r="A247" t="inlineStr">
        <is>
          <t>2022-06-05</t>
        </is>
      </c>
      <c r="B247" t="n">
        <v>4</v>
      </c>
      <c r="C247" s="6" t="n">
        <v>0</v>
      </c>
      <c r="D247" t="n">
        <v>1</v>
      </c>
    </row>
    <row r="248">
      <c r="A248" t="inlineStr">
        <is>
          <t>2022-06-06</t>
        </is>
      </c>
      <c r="B248" t="n">
        <v>1</v>
      </c>
      <c r="C248" s="6" t="n">
        <v>0</v>
      </c>
      <c r="D248" t="n">
        <v>1</v>
      </c>
    </row>
    <row r="249">
      <c r="A249" t="inlineStr">
        <is>
          <t>2022-06-06</t>
        </is>
      </c>
      <c r="B249" t="n">
        <v>2</v>
      </c>
      <c r="C249" s="6" t="n">
        <v>0</v>
      </c>
      <c r="D249" t="n">
        <v>1</v>
      </c>
    </row>
    <row r="250">
      <c r="A250" t="inlineStr">
        <is>
          <t>2022-06-06</t>
        </is>
      </c>
      <c r="B250" t="n">
        <v>3</v>
      </c>
      <c r="C250" s="6" t="n">
        <v>0</v>
      </c>
      <c r="D250" t="n">
        <v>1</v>
      </c>
    </row>
    <row r="251">
      <c r="A251" t="inlineStr">
        <is>
          <t>2022-06-08</t>
        </is>
      </c>
      <c r="B251" t="n">
        <v>2</v>
      </c>
      <c r="C251" s="6" t="n">
        <v>0</v>
      </c>
      <c r="D251" t="n">
        <v>1</v>
      </c>
    </row>
    <row r="252">
      <c r="A252" t="inlineStr">
        <is>
          <t>2022-06-08</t>
        </is>
      </c>
      <c r="B252" t="n">
        <v>3</v>
      </c>
      <c r="C252" s="6" t="n">
        <v>0</v>
      </c>
      <c r="D252" t="n">
        <v>1</v>
      </c>
    </row>
    <row r="253">
      <c r="A253" t="inlineStr">
        <is>
          <t>2022-06-08</t>
        </is>
      </c>
      <c r="B253" t="n">
        <v>1</v>
      </c>
      <c r="C253" s="6" t="n">
        <v>0</v>
      </c>
      <c r="D253" t="n">
        <v>1</v>
      </c>
    </row>
    <row r="254">
      <c r="A254" t="inlineStr">
        <is>
          <t>2022-06-08</t>
        </is>
      </c>
      <c r="B254" t="n">
        <v>4</v>
      </c>
      <c r="C254" s="6" t="n">
        <v>0</v>
      </c>
      <c r="D254" t="n">
        <v>1</v>
      </c>
    </row>
    <row r="255">
      <c r="A255" t="inlineStr">
        <is>
          <t>2022-06-09</t>
        </is>
      </c>
      <c r="B255" t="n">
        <v>1</v>
      </c>
      <c r="C255" s="6" t="n">
        <v>0</v>
      </c>
      <c r="D255" t="n">
        <v>1</v>
      </c>
    </row>
    <row r="256">
      <c r="A256" t="inlineStr">
        <is>
          <t>2022-06-09</t>
        </is>
      </c>
      <c r="B256" t="n">
        <v>3</v>
      </c>
      <c r="C256" s="6" t="n">
        <v>0</v>
      </c>
      <c r="D256" t="n">
        <v>1</v>
      </c>
    </row>
    <row r="257">
      <c r="A257" t="inlineStr">
        <is>
          <t>2022-06-09</t>
        </is>
      </c>
      <c r="B257" t="n">
        <v>2</v>
      </c>
      <c r="C257" s="6" t="n">
        <v>0</v>
      </c>
      <c r="D257" t="n">
        <v>1</v>
      </c>
    </row>
    <row r="258">
      <c r="A258" t="inlineStr">
        <is>
          <t>2022-06-09</t>
        </is>
      </c>
      <c r="B258" t="n">
        <v>4</v>
      </c>
      <c r="C258" s="6" t="n">
        <v>0</v>
      </c>
      <c r="D258" t="n">
        <v>1</v>
      </c>
    </row>
    <row r="259">
      <c r="A259" t="inlineStr">
        <is>
          <t>2022-06-09</t>
        </is>
      </c>
      <c r="B259" t="n">
        <v>5</v>
      </c>
      <c r="C259" s="6" t="n">
        <v>0</v>
      </c>
      <c r="D259" t="n">
        <v>1</v>
      </c>
    </row>
    <row r="260">
      <c r="A260" t="inlineStr">
        <is>
          <t>2022-06-09</t>
        </is>
      </c>
      <c r="B260" t="n">
        <v>7</v>
      </c>
      <c r="C260" s="6" t="n">
        <v>0</v>
      </c>
      <c r="D260" t="n">
        <v>1</v>
      </c>
    </row>
    <row r="261">
      <c r="A261" t="inlineStr">
        <is>
          <t>2022-06-09</t>
        </is>
      </c>
      <c r="B261" t="n">
        <v>8</v>
      </c>
      <c r="C261" s="6" t="n">
        <v>0</v>
      </c>
      <c r="D261" t="n">
        <v>1</v>
      </c>
    </row>
    <row r="262">
      <c r="A262" t="inlineStr">
        <is>
          <t>2022-06-09</t>
        </is>
      </c>
      <c r="B262" t="n">
        <v>6</v>
      </c>
      <c r="C262" s="6" t="n">
        <v>0</v>
      </c>
      <c r="D262" t="n">
        <v>1</v>
      </c>
    </row>
    <row r="263">
      <c r="A263" t="inlineStr">
        <is>
          <t>2022-06-09</t>
        </is>
      </c>
      <c r="B263" t="n">
        <v>9</v>
      </c>
      <c r="C263" s="6" t="n">
        <v>0</v>
      </c>
      <c r="D263" t="n">
        <v>1</v>
      </c>
    </row>
    <row r="264">
      <c r="A264" t="inlineStr">
        <is>
          <t>2022-06-10</t>
        </is>
      </c>
      <c r="B264" t="n">
        <v>1</v>
      </c>
      <c r="C264" s="6" t="n">
        <v>0</v>
      </c>
      <c r="D264" t="n">
        <v>1</v>
      </c>
    </row>
    <row r="265">
      <c r="A265" t="inlineStr">
        <is>
          <t>2022-06-10</t>
        </is>
      </c>
      <c r="B265" t="n">
        <v>2</v>
      </c>
      <c r="C265" s="6" t="n">
        <v>0</v>
      </c>
      <c r="D265" t="n">
        <v>1</v>
      </c>
    </row>
    <row r="266">
      <c r="A266" t="inlineStr">
        <is>
          <t>2022-06-10</t>
        </is>
      </c>
      <c r="B266" t="n">
        <v>3</v>
      </c>
      <c r="C266" s="6" t="n">
        <v>0</v>
      </c>
      <c r="D266" t="n">
        <v>1</v>
      </c>
    </row>
    <row r="267">
      <c r="A267" t="inlineStr">
        <is>
          <t>2022-06-10</t>
        </is>
      </c>
      <c r="B267" t="n">
        <v>5</v>
      </c>
      <c r="C267" s="6" t="n">
        <v>0</v>
      </c>
      <c r="D267" t="n">
        <v>1</v>
      </c>
    </row>
    <row r="268">
      <c r="A268" t="inlineStr">
        <is>
          <t>2022-06-10</t>
        </is>
      </c>
      <c r="B268" t="n">
        <v>7</v>
      </c>
      <c r="C268" s="6" t="n">
        <v>0</v>
      </c>
      <c r="D268" t="n">
        <v>1</v>
      </c>
    </row>
    <row r="269">
      <c r="A269" t="inlineStr">
        <is>
          <t>2022-06-10</t>
        </is>
      </c>
      <c r="B269" t="n">
        <v>4</v>
      </c>
      <c r="C269" s="6" t="n">
        <v>0</v>
      </c>
      <c r="D269" t="n">
        <v>1</v>
      </c>
    </row>
    <row r="270">
      <c r="A270" t="inlineStr">
        <is>
          <t>2022-06-10</t>
        </is>
      </c>
      <c r="B270" t="n">
        <v>6</v>
      </c>
      <c r="C270" s="6" t="n">
        <v>0</v>
      </c>
      <c r="D270" t="n">
        <v>1</v>
      </c>
    </row>
    <row r="271">
      <c r="A271" t="inlineStr">
        <is>
          <t>2022-06-11</t>
        </is>
      </c>
      <c r="B271" t="n">
        <v>1</v>
      </c>
      <c r="C271" s="6" t="n">
        <v>0</v>
      </c>
      <c r="D271" t="n">
        <v>1</v>
      </c>
    </row>
    <row r="272">
      <c r="A272" t="inlineStr">
        <is>
          <t>2022-06-11</t>
        </is>
      </c>
      <c r="B272" t="n">
        <v>2</v>
      </c>
      <c r="C272" s="6" t="n">
        <v>0</v>
      </c>
      <c r="D272" t="n">
        <v>1</v>
      </c>
    </row>
    <row r="273">
      <c r="A273" t="inlineStr">
        <is>
          <t>2022-06-11</t>
        </is>
      </c>
      <c r="B273" t="n">
        <v>5</v>
      </c>
      <c r="C273" s="6" t="n">
        <v>0</v>
      </c>
      <c r="D273" t="n">
        <v>1</v>
      </c>
    </row>
    <row r="274">
      <c r="A274" t="inlineStr">
        <is>
          <t>2022-06-11</t>
        </is>
      </c>
      <c r="B274" t="n">
        <v>6</v>
      </c>
      <c r="C274" s="6" t="n">
        <v>0</v>
      </c>
      <c r="D274" t="n">
        <v>1</v>
      </c>
    </row>
    <row r="275">
      <c r="A275" t="inlineStr">
        <is>
          <t>2022-06-11</t>
        </is>
      </c>
      <c r="B275" t="n">
        <v>3</v>
      </c>
      <c r="C275" s="6" t="n">
        <v>0</v>
      </c>
      <c r="D275" t="n">
        <v>1</v>
      </c>
    </row>
    <row r="276">
      <c r="A276" t="inlineStr">
        <is>
          <t>2022-06-11</t>
        </is>
      </c>
      <c r="B276" t="n">
        <v>4</v>
      </c>
      <c r="C276" s="6" t="n">
        <v>0</v>
      </c>
      <c r="D276" t="n">
        <v>1</v>
      </c>
    </row>
    <row r="277">
      <c r="A277" t="inlineStr">
        <is>
          <t>2022-06-11</t>
        </is>
      </c>
      <c r="B277" t="n">
        <v>7</v>
      </c>
      <c r="C277" s="6" t="n">
        <v>0</v>
      </c>
      <c r="D277" t="n">
        <v>1</v>
      </c>
    </row>
    <row r="278">
      <c r="A278" t="inlineStr">
        <is>
          <t>2022-06-11</t>
        </is>
      </c>
      <c r="B278" t="n">
        <v>8</v>
      </c>
      <c r="C278" s="6" t="n">
        <v>0</v>
      </c>
      <c r="D278" t="n">
        <v>1</v>
      </c>
    </row>
    <row r="279">
      <c r="A279" t="inlineStr">
        <is>
          <t>2022-06-12</t>
        </is>
      </c>
      <c r="B279" t="n">
        <v>1</v>
      </c>
      <c r="C279" s="6" t="n">
        <v>0</v>
      </c>
      <c r="D279" t="n">
        <v>1</v>
      </c>
    </row>
    <row r="280">
      <c r="A280" t="inlineStr">
        <is>
          <t>2022-06-12</t>
        </is>
      </c>
      <c r="B280" t="n">
        <v>2</v>
      </c>
      <c r="C280" s="6" t="n">
        <v>0</v>
      </c>
      <c r="D280" t="n">
        <v>1</v>
      </c>
    </row>
    <row r="281">
      <c r="A281" t="inlineStr">
        <is>
          <t>2022-06-12</t>
        </is>
      </c>
      <c r="B281" t="n">
        <v>3</v>
      </c>
      <c r="C281" s="6" t="n">
        <v>0</v>
      </c>
      <c r="D281" t="n">
        <v>1</v>
      </c>
    </row>
    <row r="282">
      <c r="A282" t="inlineStr">
        <is>
          <t>2022-06-12</t>
        </is>
      </c>
      <c r="B282" t="n">
        <v>4</v>
      </c>
      <c r="C282" s="6" t="n">
        <v>0</v>
      </c>
      <c r="D282" t="n">
        <v>1</v>
      </c>
    </row>
    <row r="283">
      <c r="A283" t="inlineStr">
        <is>
          <t>2022-06-12</t>
        </is>
      </c>
      <c r="B283" t="n">
        <v>5</v>
      </c>
      <c r="C283" s="6" t="n">
        <v>0</v>
      </c>
      <c r="D283" t="n">
        <v>1</v>
      </c>
    </row>
    <row r="284">
      <c r="A284" t="inlineStr">
        <is>
          <t>2022-06-15</t>
        </is>
      </c>
      <c r="B284" t="n">
        <v>1</v>
      </c>
      <c r="C284" s="6" t="n">
        <v>0</v>
      </c>
      <c r="D284" t="n">
        <v>1</v>
      </c>
    </row>
    <row r="285">
      <c r="A285" t="inlineStr">
        <is>
          <t>2022-06-15</t>
        </is>
      </c>
      <c r="B285" t="n">
        <v>2</v>
      </c>
      <c r="C285" s="6" t="n">
        <v>0</v>
      </c>
      <c r="D285" t="n">
        <v>1</v>
      </c>
    </row>
    <row r="286">
      <c r="A286" t="inlineStr">
        <is>
          <t>2022-06-15</t>
        </is>
      </c>
      <c r="B286" t="n">
        <v>3</v>
      </c>
      <c r="C286" s="6" t="n">
        <v>0</v>
      </c>
      <c r="D286" t="n">
        <v>1</v>
      </c>
    </row>
    <row r="287">
      <c r="A287" t="inlineStr">
        <is>
          <t>2022-06-16</t>
        </is>
      </c>
      <c r="B287" t="n">
        <v>1</v>
      </c>
      <c r="C287" s="6" t="n">
        <v>0</v>
      </c>
      <c r="D287" t="n">
        <v>1</v>
      </c>
    </row>
    <row r="288">
      <c r="A288" t="inlineStr">
        <is>
          <t>2022-06-16</t>
        </is>
      </c>
      <c r="B288" t="n">
        <v>2</v>
      </c>
      <c r="C288" s="6" t="n">
        <v>0</v>
      </c>
      <c r="D288" t="n">
        <v>1</v>
      </c>
    </row>
    <row r="289">
      <c r="A289" t="inlineStr">
        <is>
          <t>2022-06-16</t>
        </is>
      </c>
      <c r="B289" t="n">
        <v>4</v>
      </c>
      <c r="C289" s="6" t="n">
        <v>0</v>
      </c>
      <c r="D289" t="n">
        <v>1</v>
      </c>
    </row>
    <row r="290">
      <c r="A290" t="inlineStr">
        <is>
          <t>2022-06-16</t>
        </is>
      </c>
      <c r="B290" t="n">
        <v>3</v>
      </c>
      <c r="C290" s="6" t="n">
        <v>0</v>
      </c>
      <c r="D290" t="n">
        <v>1</v>
      </c>
    </row>
    <row r="291">
      <c r="A291" t="inlineStr">
        <is>
          <t>2022-06-16</t>
        </is>
      </c>
      <c r="B291" t="n">
        <v>5</v>
      </c>
      <c r="C291" s="6" t="n">
        <v>0</v>
      </c>
      <c r="D291" t="n">
        <v>1</v>
      </c>
    </row>
    <row r="292">
      <c r="A292" t="inlineStr">
        <is>
          <t>2022-06-17</t>
        </is>
      </c>
      <c r="B292" t="n">
        <v>1</v>
      </c>
      <c r="C292" s="6" t="n">
        <v>0</v>
      </c>
      <c r="D292" t="n">
        <v>1</v>
      </c>
    </row>
    <row r="293">
      <c r="A293" t="inlineStr">
        <is>
          <t>2022-06-17</t>
        </is>
      </c>
      <c r="B293" t="n">
        <v>2</v>
      </c>
      <c r="C293" s="6" t="n">
        <v>0</v>
      </c>
      <c r="D293" t="n">
        <v>1</v>
      </c>
    </row>
    <row r="294">
      <c r="A294" t="inlineStr">
        <is>
          <t>2022-06-17</t>
        </is>
      </c>
      <c r="B294" t="n">
        <v>7</v>
      </c>
      <c r="C294" s="6" t="n">
        <v>0</v>
      </c>
      <c r="D294" t="n">
        <v>1</v>
      </c>
    </row>
    <row r="295">
      <c r="A295" t="inlineStr">
        <is>
          <t>2022-06-17</t>
        </is>
      </c>
      <c r="B295" t="n">
        <v>3</v>
      </c>
      <c r="C295" s="6" t="n">
        <v>0</v>
      </c>
      <c r="D295" t="n">
        <v>1</v>
      </c>
    </row>
    <row r="296">
      <c r="A296" t="inlineStr">
        <is>
          <t>2022-06-17</t>
        </is>
      </c>
      <c r="B296" t="n">
        <v>5</v>
      </c>
      <c r="C296" s="6" t="n">
        <v>0</v>
      </c>
      <c r="D296" t="n">
        <v>1</v>
      </c>
    </row>
    <row r="297">
      <c r="A297" t="inlineStr">
        <is>
          <t>2022-06-17</t>
        </is>
      </c>
      <c r="B297" t="n">
        <v>4</v>
      </c>
      <c r="C297" s="6" t="n">
        <v>0</v>
      </c>
      <c r="D297" t="n">
        <v>1</v>
      </c>
    </row>
    <row r="298">
      <c r="A298" t="inlineStr">
        <is>
          <t>2022-06-17</t>
        </is>
      </c>
      <c r="B298" t="n">
        <v>8</v>
      </c>
      <c r="C298" s="6" t="n">
        <v>0</v>
      </c>
      <c r="D298" t="n">
        <v>1</v>
      </c>
    </row>
    <row r="299">
      <c r="A299" t="inlineStr">
        <is>
          <t>2022-06-17</t>
        </is>
      </c>
      <c r="B299" t="n">
        <v>9</v>
      </c>
      <c r="C299" s="6" t="n">
        <v>0</v>
      </c>
      <c r="D299" t="n">
        <v>1</v>
      </c>
    </row>
    <row r="300">
      <c r="A300" t="inlineStr">
        <is>
          <t>2022-06-17</t>
        </is>
      </c>
      <c r="B300" t="n">
        <v>11</v>
      </c>
      <c r="C300" s="6" t="n">
        <v>0</v>
      </c>
      <c r="D300" t="n">
        <v>1</v>
      </c>
    </row>
    <row r="301">
      <c r="A301" t="inlineStr">
        <is>
          <t>2022-06-17</t>
        </is>
      </c>
      <c r="B301" t="n">
        <v>12</v>
      </c>
      <c r="C301" s="6" t="n">
        <v>0</v>
      </c>
      <c r="D301" t="n">
        <v>1</v>
      </c>
    </row>
    <row r="302">
      <c r="A302" t="inlineStr">
        <is>
          <t>2022-06-17</t>
        </is>
      </c>
      <c r="B302" t="n">
        <v>6</v>
      </c>
      <c r="C302" s="6" t="n">
        <v>0</v>
      </c>
      <c r="D302" t="n">
        <v>1</v>
      </c>
    </row>
    <row r="303">
      <c r="A303" t="inlineStr">
        <is>
          <t>2022-06-17</t>
        </is>
      </c>
      <c r="B303" t="n">
        <v>10</v>
      </c>
      <c r="C303" s="6" t="n">
        <v>0</v>
      </c>
      <c r="D303" t="n">
        <v>1</v>
      </c>
    </row>
    <row r="304">
      <c r="A304" t="inlineStr">
        <is>
          <t>2022-06-18</t>
        </is>
      </c>
      <c r="B304" t="n">
        <v>2</v>
      </c>
      <c r="C304" s="6" t="n">
        <v>0</v>
      </c>
      <c r="D304" t="n">
        <v>1</v>
      </c>
    </row>
    <row r="305">
      <c r="A305" t="inlineStr">
        <is>
          <t>2022-06-18</t>
        </is>
      </c>
      <c r="B305" t="n">
        <v>1</v>
      </c>
      <c r="C305" s="6" t="n">
        <v>0</v>
      </c>
      <c r="D305" t="n">
        <v>1</v>
      </c>
    </row>
    <row r="306">
      <c r="A306" t="inlineStr">
        <is>
          <t>2022-06-18</t>
        </is>
      </c>
      <c r="B306" t="n">
        <v>4</v>
      </c>
      <c r="C306" s="6" t="n">
        <v>0</v>
      </c>
      <c r="D306" t="n">
        <v>1</v>
      </c>
    </row>
    <row r="307">
      <c r="A307" t="inlineStr">
        <is>
          <t>2022-06-18</t>
        </is>
      </c>
      <c r="B307" t="n">
        <v>3</v>
      </c>
      <c r="C307" s="6" t="n">
        <v>0</v>
      </c>
      <c r="D307" t="n">
        <v>1</v>
      </c>
    </row>
    <row r="308">
      <c r="A308" t="inlineStr">
        <is>
          <t>2022-06-18</t>
        </is>
      </c>
      <c r="B308" t="n">
        <v>5</v>
      </c>
      <c r="C308" s="6" t="n">
        <v>0</v>
      </c>
      <c r="D308" t="n">
        <v>1</v>
      </c>
    </row>
    <row r="309">
      <c r="A309" t="inlineStr">
        <is>
          <t>2022-06-18</t>
        </is>
      </c>
      <c r="B309" t="n">
        <v>7</v>
      </c>
      <c r="C309" s="6" t="n">
        <v>0</v>
      </c>
      <c r="D309" t="n">
        <v>1</v>
      </c>
    </row>
    <row r="310">
      <c r="A310" t="inlineStr">
        <is>
          <t>2022-06-18</t>
        </is>
      </c>
      <c r="B310" t="n">
        <v>6</v>
      </c>
      <c r="C310" s="6" t="n">
        <v>0</v>
      </c>
      <c r="D310" t="n">
        <v>1</v>
      </c>
    </row>
    <row r="311">
      <c r="A311" t="inlineStr">
        <is>
          <t>2022-06-19</t>
        </is>
      </c>
      <c r="B311" t="n">
        <v>1</v>
      </c>
      <c r="C311" s="6" t="n">
        <v>0</v>
      </c>
      <c r="D311" t="n">
        <v>1</v>
      </c>
    </row>
    <row r="312">
      <c r="A312" t="inlineStr">
        <is>
          <t>2022-06-22</t>
        </is>
      </c>
      <c r="B312" t="n">
        <v>1</v>
      </c>
      <c r="C312" s="6" t="n">
        <v>0</v>
      </c>
      <c r="D312" t="n">
        <v>1</v>
      </c>
    </row>
    <row r="313">
      <c r="A313" t="inlineStr">
        <is>
          <t>2022-06-22</t>
        </is>
      </c>
      <c r="B313" t="n">
        <v>3</v>
      </c>
      <c r="C313" s="6" t="n">
        <v>0</v>
      </c>
      <c r="D313" t="n">
        <v>1</v>
      </c>
    </row>
    <row r="314">
      <c r="A314" t="inlineStr">
        <is>
          <t>2022-06-22</t>
        </is>
      </c>
      <c r="B314" t="n">
        <v>2</v>
      </c>
      <c r="C314" s="6" t="n">
        <v>0</v>
      </c>
      <c r="D314" t="n">
        <v>1</v>
      </c>
    </row>
    <row r="315">
      <c r="A315" t="inlineStr">
        <is>
          <t>2022-06-22</t>
        </is>
      </c>
      <c r="B315" t="n">
        <v>5</v>
      </c>
      <c r="C315" s="6" t="n">
        <v>0</v>
      </c>
      <c r="D315" t="n">
        <v>1</v>
      </c>
    </row>
    <row r="316">
      <c r="A316" t="inlineStr">
        <is>
          <t>2022-06-22</t>
        </is>
      </c>
      <c r="B316" t="n">
        <v>4</v>
      </c>
      <c r="C316" s="6" t="n">
        <v>0</v>
      </c>
      <c r="D316" t="n">
        <v>1</v>
      </c>
    </row>
    <row r="317">
      <c r="A317" t="inlineStr">
        <is>
          <t>2022-06-22</t>
        </is>
      </c>
      <c r="B317" t="n">
        <v>9</v>
      </c>
      <c r="C317" s="6" t="n">
        <v>0</v>
      </c>
      <c r="D317" t="n">
        <v>1</v>
      </c>
    </row>
    <row r="318">
      <c r="A318" t="inlineStr">
        <is>
          <t>2022-06-22</t>
        </is>
      </c>
      <c r="B318" t="n">
        <v>7</v>
      </c>
      <c r="C318" s="6" t="n">
        <v>0</v>
      </c>
      <c r="D318" t="n">
        <v>1</v>
      </c>
    </row>
    <row r="319">
      <c r="A319" t="inlineStr">
        <is>
          <t>2022-06-22</t>
        </is>
      </c>
      <c r="B319" t="n">
        <v>6</v>
      </c>
      <c r="C319" s="6" t="n">
        <v>0</v>
      </c>
      <c r="D319" t="n">
        <v>1</v>
      </c>
    </row>
    <row r="320">
      <c r="A320" t="inlineStr">
        <is>
          <t>2022-06-22</t>
        </is>
      </c>
      <c r="B320" t="n">
        <v>8</v>
      </c>
      <c r="C320" s="6" t="n">
        <v>0</v>
      </c>
      <c r="D320" t="n">
        <v>1</v>
      </c>
    </row>
    <row r="321">
      <c r="A321" t="inlineStr">
        <is>
          <t>2022-06-23</t>
        </is>
      </c>
      <c r="B321" t="n">
        <v>1</v>
      </c>
      <c r="C321" s="6" t="n">
        <v>0</v>
      </c>
      <c r="D321" t="n">
        <v>1</v>
      </c>
    </row>
    <row r="322">
      <c r="A322" t="inlineStr">
        <is>
          <t>2022-06-23</t>
        </is>
      </c>
      <c r="B322" t="n">
        <v>3</v>
      </c>
      <c r="C322" s="6" t="n">
        <v>0</v>
      </c>
      <c r="D322" t="n">
        <v>1</v>
      </c>
    </row>
    <row r="323">
      <c r="A323" t="inlineStr">
        <is>
          <t>2022-06-23</t>
        </is>
      </c>
      <c r="B323" t="n">
        <v>2</v>
      </c>
      <c r="C323" s="6" t="n">
        <v>0</v>
      </c>
      <c r="D323" t="n">
        <v>1</v>
      </c>
    </row>
    <row r="324">
      <c r="A324" t="inlineStr">
        <is>
          <t>2022-06-23</t>
        </is>
      </c>
      <c r="B324" t="n">
        <v>4</v>
      </c>
      <c r="C324" s="6" t="n">
        <v>0</v>
      </c>
      <c r="D324" t="n">
        <v>1</v>
      </c>
    </row>
    <row r="325">
      <c r="A325" t="inlineStr">
        <is>
          <t>2022-06-23</t>
        </is>
      </c>
      <c r="B325" t="n">
        <v>5</v>
      </c>
      <c r="C325" s="6" t="n">
        <v>0</v>
      </c>
      <c r="D325" t="n">
        <v>1</v>
      </c>
    </row>
    <row r="326">
      <c r="A326" t="inlineStr">
        <is>
          <t>2022-06-23</t>
        </is>
      </c>
      <c r="B326" t="n">
        <v>6</v>
      </c>
      <c r="C326" s="6" t="n">
        <v>0</v>
      </c>
      <c r="D326" t="n">
        <v>1</v>
      </c>
    </row>
    <row r="327">
      <c r="A327" t="inlineStr">
        <is>
          <t>2022-06-23</t>
        </is>
      </c>
      <c r="B327" t="n">
        <v>7</v>
      </c>
      <c r="C327" s="6" t="n">
        <v>0</v>
      </c>
      <c r="D327" t="n">
        <v>1</v>
      </c>
    </row>
    <row r="328">
      <c r="A328" t="inlineStr">
        <is>
          <t>2022-06-24</t>
        </is>
      </c>
      <c r="B328" t="n">
        <v>1</v>
      </c>
      <c r="C328" s="6" t="n">
        <v>0</v>
      </c>
      <c r="D328" t="n">
        <v>1</v>
      </c>
    </row>
    <row r="329">
      <c r="A329" t="inlineStr">
        <is>
          <t>2022-06-24</t>
        </is>
      </c>
      <c r="B329" t="n">
        <v>2</v>
      </c>
      <c r="C329" s="6" t="n">
        <v>0</v>
      </c>
      <c r="D329" t="n">
        <v>1</v>
      </c>
    </row>
    <row r="330">
      <c r="A330" t="inlineStr">
        <is>
          <t>2022-06-24</t>
        </is>
      </c>
      <c r="B330" t="n">
        <v>3</v>
      </c>
      <c r="C330" s="6" t="n">
        <v>0</v>
      </c>
      <c r="D330" t="n">
        <v>1</v>
      </c>
    </row>
    <row r="331">
      <c r="A331" t="inlineStr">
        <is>
          <t>2022-06-24</t>
        </is>
      </c>
      <c r="B331" t="n">
        <v>4</v>
      </c>
      <c r="C331" s="6" t="n">
        <v>0</v>
      </c>
      <c r="D331" t="n">
        <v>1</v>
      </c>
    </row>
    <row r="332">
      <c r="A332" t="inlineStr">
        <is>
          <t>2022-06-24</t>
        </is>
      </c>
      <c r="B332" t="n">
        <v>5</v>
      </c>
      <c r="C332" s="6" t="n">
        <v>0</v>
      </c>
      <c r="D332" t="n">
        <v>1</v>
      </c>
    </row>
    <row r="333">
      <c r="A333" t="inlineStr">
        <is>
          <t>2022-06-24</t>
        </is>
      </c>
      <c r="B333" t="n">
        <v>6</v>
      </c>
      <c r="C333" s="6" t="n">
        <v>0</v>
      </c>
      <c r="D333" t="n">
        <v>1</v>
      </c>
    </row>
    <row r="334">
      <c r="A334" t="inlineStr">
        <is>
          <t>2022-06-25</t>
        </is>
      </c>
      <c r="B334" t="n">
        <v>1</v>
      </c>
      <c r="C334" s="6" t="n">
        <v>0</v>
      </c>
      <c r="D334" t="n">
        <v>1</v>
      </c>
    </row>
    <row r="335">
      <c r="A335" t="inlineStr">
        <is>
          <t>2022-06-25</t>
        </is>
      </c>
      <c r="B335" t="n">
        <v>3</v>
      </c>
      <c r="C335" s="6" t="n">
        <v>0</v>
      </c>
      <c r="D335" t="n">
        <v>1</v>
      </c>
    </row>
    <row r="336">
      <c r="A336" t="inlineStr">
        <is>
          <t>2022-06-25</t>
        </is>
      </c>
      <c r="B336" t="n">
        <v>2</v>
      </c>
      <c r="C336" s="6" t="n">
        <v>0</v>
      </c>
      <c r="D336" t="n">
        <v>1</v>
      </c>
    </row>
    <row r="337">
      <c r="A337" t="inlineStr">
        <is>
          <t>2022-06-25</t>
        </is>
      </c>
      <c r="B337" t="n">
        <v>4</v>
      </c>
      <c r="C337" s="6" t="n">
        <v>0</v>
      </c>
      <c r="D337" t="n">
        <v>1</v>
      </c>
    </row>
    <row r="338">
      <c r="A338" t="inlineStr">
        <is>
          <t>2022-06-25</t>
        </is>
      </c>
      <c r="B338" t="n">
        <v>5</v>
      </c>
      <c r="C338" s="6" t="n">
        <v>0</v>
      </c>
      <c r="D338" t="n">
        <v>1</v>
      </c>
    </row>
    <row r="339">
      <c r="A339" t="inlineStr">
        <is>
          <t>2022-06-25</t>
        </is>
      </c>
      <c r="B339" t="n">
        <v>6</v>
      </c>
      <c r="C339" s="6" t="n">
        <v>0</v>
      </c>
      <c r="D339" t="n">
        <v>1</v>
      </c>
    </row>
    <row r="340">
      <c r="A340" t="inlineStr">
        <is>
          <t>2022-06-25</t>
        </is>
      </c>
      <c r="B340" t="n">
        <v>8</v>
      </c>
      <c r="C340" s="6" t="n">
        <v>0</v>
      </c>
      <c r="D340" t="n">
        <v>1</v>
      </c>
    </row>
    <row r="341">
      <c r="A341" t="inlineStr">
        <is>
          <t>2022-06-25</t>
        </is>
      </c>
      <c r="B341" t="n">
        <v>7</v>
      </c>
      <c r="C341" s="6" t="n">
        <v>0</v>
      </c>
      <c r="D341" t="n">
        <v>1</v>
      </c>
    </row>
    <row r="342">
      <c r="A342" t="inlineStr">
        <is>
          <t>2022-06-25</t>
        </is>
      </c>
      <c r="B342" t="n">
        <v>10</v>
      </c>
      <c r="C342" s="6" t="n">
        <v>0</v>
      </c>
      <c r="D342" t="n">
        <v>1</v>
      </c>
    </row>
    <row r="343">
      <c r="A343" t="inlineStr">
        <is>
          <t>2022-06-25</t>
        </is>
      </c>
      <c r="B343" t="n">
        <v>9</v>
      </c>
      <c r="C343" s="6" t="n">
        <v>0</v>
      </c>
      <c r="D343" t="n">
        <v>1</v>
      </c>
    </row>
    <row r="344">
      <c r="A344" t="inlineStr">
        <is>
          <t>2022-06-26</t>
        </is>
      </c>
      <c r="B344" t="n">
        <v>1</v>
      </c>
      <c r="C344" s="6" t="n">
        <v>0</v>
      </c>
      <c r="D344" t="n">
        <v>1</v>
      </c>
    </row>
    <row r="345">
      <c r="A345" t="inlineStr">
        <is>
          <t>2022-06-26</t>
        </is>
      </c>
      <c r="B345" t="n">
        <v>3</v>
      </c>
      <c r="C345" s="6" t="n">
        <v>0</v>
      </c>
      <c r="D345" t="n">
        <v>1</v>
      </c>
    </row>
    <row r="346">
      <c r="A346" t="inlineStr">
        <is>
          <t>2022-06-26</t>
        </is>
      </c>
      <c r="B346" t="n">
        <v>2</v>
      </c>
      <c r="C346" s="6" t="n">
        <v>0</v>
      </c>
      <c r="D346" t="n">
        <v>1</v>
      </c>
    </row>
    <row r="347">
      <c r="A347" t="inlineStr">
        <is>
          <t>2022-06-26</t>
        </is>
      </c>
      <c r="B347" t="n">
        <v>6</v>
      </c>
      <c r="C347" s="6" t="n">
        <v>0</v>
      </c>
      <c r="D347" t="n">
        <v>1</v>
      </c>
    </row>
    <row r="348">
      <c r="A348" t="inlineStr">
        <is>
          <t>2022-06-26</t>
        </is>
      </c>
      <c r="B348" t="n">
        <v>7</v>
      </c>
      <c r="C348" s="6" t="n">
        <v>0</v>
      </c>
      <c r="D348" t="n">
        <v>1</v>
      </c>
    </row>
    <row r="349">
      <c r="A349" t="inlineStr">
        <is>
          <t>2022-06-26</t>
        </is>
      </c>
      <c r="B349" t="n">
        <v>5</v>
      </c>
      <c r="C349" s="6" t="n">
        <v>0</v>
      </c>
      <c r="D349" t="n">
        <v>1</v>
      </c>
    </row>
    <row r="350">
      <c r="A350" t="inlineStr">
        <is>
          <t>2022-06-26</t>
        </is>
      </c>
      <c r="B350" t="n">
        <v>4</v>
      </c>
      <c r="C350" s="6" t="n">
        <v>0</v>
      </c>
      <c r="D350" t="n">
        <v>1</v>
      </c>
    </row>
    <row r="351">
      <c r="A351" t="inlineStr">
        <is>
          <t>2022-06-29</t>
        </is>
      </c>
      <c r="B351" t="n">
        <v>1</v>
      </c>
      <c r="C351" s="6" t="n">
        <v>0</v>
      </c>
      <c r="D351" t="n">
        <v>1</v>
      </c>
    </row>
    <row r="352">
      <c r="A352" t="inlineStr">
        <is>
          <t>2022-06-29</t>
        </is>
      </c>
      <c r="B352" t="n">
        <v>2</v>
      </c>
      <c r="C352" s="6" t="n">
        <v>0</v>
      </c>
      <c r="D352" t="n">
        <v>1</v>
      </c>
    </row>
    <row r="353">
      <c r="A353" t="inlineStr">
        <is>
          <t>2022-06-29</t>
        </is>
      </c>
      <c r="B353" t="n">
        <v>4</v>
      </c>
      <c r="C353" s="6" t="n">
        <v>0</v>
      </c>
      <c r="D353" t="n">
        <v>1</v>
      </c>
    </row>
    <row r="354">
      <c r="A354" t="inlineStr">
        <is>
          <t>2022-06-29</t>
        </is>
      </c>
      <c r="B354" t="n">
        <v>3</v>
      </c>
      <c r="C354" s="6" t="n">
        <v>0</v>
      </c>
      <c r="D354" t="n">
        <v>1</v>
      </c>
    </row>
    <row r="355">
      <c r="A355" t="inlineStr">
        <is>
          <t>2022-06-29</t>
        </is>
      </c>
      <c r="B355" t="n">
        <v>6</v>
      </c>
      <c r="C355" s="6" t="n">
        <v>0</v>
      </c>
      <c r="D355" t="n">
        <v>1</v>
      </c>
    </row>
    <row r="356">
      <c r="A356" t="inlineStr">
        <is>
          <t>2022-06-29</t>
        </is>
      </c>
      <c r="B356" t="n">
        <v>5</v>
      </c>
      <c r="C356" s="6" t="n">
        <v>0</v>
      </c>
      <c r="D356" t="n">
        <v>1</v>
      </c>
    </row>
    <row r="357">
      <c r="A357" t="inlineStr">
        <is>
          <t>2022-06-30</t>
        </is>
      </c>
      <c r="B357" t="n">
        <v>1</v>
      </c>
      <c r="C357" s="6" t="n">
        <v>0</v>
      </c>
      <c r="D357" t="n">
        <v>1</v>
      </c>
    </row>
    <row r="358">
      <c r="A358" t="inlineStr">
        <is>
          <t>2022-06-30</t>
        </is>
      </c>
      <c r="B358" t="n">
        <v>2</v>
      </c>
      <c r="C358" s="6" t="n">
        <v>0</v>
      </c>
      <c r="D358" t="n">
        <v>1</v>
      </c>
    </row>
    <row r="359">
      <c r="A359" t="inlineStr">
        <is>
          <t>2022-06-30</t>
        </is>
      </c>
      <c r="B359" t="n">
        <v>3</v>
      </c>
      <c r="C359" s="6" t="n">
        <v>0</v>
      </c>
      <c r="D359" t="n">
        <v>1</v>
      </c>
    </row>
    <row r="360">
      <c r="A360" t="inlineStr">
        <is>
          <t>2022-06-30</t>
        </is>
      </c>
      <c r="B360" t="n">
        <v>4</v>
      </c>
      <c r="C360" s="6" t="n">
        <v>0</v>
      </c>
      <c r="D360" t="n">
        <v>1</v>
      </c>
    </row>
    <row r="361">
      <c r="A361" t="inlineStr">
        <is>
          <t>2022-07-01</t>
        </is>
      </c>
      <c r="B361" t="n">
        <v>1</v>
      </c>
      <c r="C361" s="6" t="n">
        <v>0</v>
      </c>
      <c r="D361" t="n">
        <v>1</v>
      </c>
    </row>
    <row r="362">
      <c r="A362" t="inlineStr">
        <is>
          <t>2022-07-01</t>
        </is>
      </c>
      <c r="B362" t="n">
        <v>2</v>
      </c>
      <c r="C362" s="6" t="n">
        <v>0</v>
      </c>
      <c r="D362" t="n">
        <v>1</v>
      </c>
    </row>
    <row r="363">
      <c r="A363" t="inlineStr">
        <is>
          <t>2022-07-02</t>
        </is>
      </c>
      <c r="B363" t="n">
        <v>6</v>
      </c>
      <c r="C363" s="6" t="n">
        <v>0</v>
      </c>
      <c r="D363" t="n">
        <v>1</v>
      </c>
    </row>
    <row r="364">
      <c r="A364" t="inlineStr">
        <is>
          <t>2022-07-02</t>
        </is>
      </c>
      <c r="B364" t="n">
        <v>5</v>
      </c>
      <c r="C364" s="6" t="n">
        <v>0</v>
      </c>
      <c r="D364" t="n">
        <v>1</v>
      </c>
    </row>
    <row r="365">
      <c r="A365" t="inlineStr">
        <is>
          <t>2022-07-02</t>
        </is>
      </c>
      <c r="B365" t="n">
        <v>1</v>
      </c>
      <c r="C365" s="6" t="n">
        <v>0</v>
      </c>
      <c r="D365" t="n">
        <v>1</v>
      </c>
    </row>
    <row r="366">
      <c r="A366" t="inlineStr">
        <is>
          <t>2022-07-02</t>
        </is>
      </c>
      <c r="B366" t="n">
        <v>2</v>
      </c>
      <c r="C366" s="6" t="n">
        <v>0</v>
      </c>
      <c r="D366" t="n">
        <v>1</v>
      </c>
    </row>
    <row r="367">
      <c r="A367" t="inlineStr">
        <is>
          <t>2022-07-02</t>
        </is>
      </c>
      <c r="B367" t="n">
        <v>3</v>
      </c>
      <c r="C367" s="6" t="n">
        <v>0</v>
      </c>
      <c r="D367" t="n">
        <v>1</v>
      </c>
    </row>
    <row r="368">
      <c r="A368" t="inlineStr">
        <is>
          <t>2022-07-02</t>
        </is>
      </c>
      <c r="B368" t="n">
        <v>4</v>
      </c>
      <c r="C368" s="6" t="n">
        <v>0</v>
      </c>
      <c r="D368" t="n">
        <v>1</v>
      </c>
    </row>
    <row r="369">
      <c r="A369" t="inlineStr">
        <is>
          <t>2022-07-02</t>
        </is>
      </c>
      <c r="B369" t="n">
        <v>7</v>
      </c>
      <c r="C369" s="6" t="n">
        <v>0</v>
      </c>
      <c r="D369" t="n">
        <v>1</v>
      </c>
    </row>
    <row r="370">
      <c r="A370" t="inlineStr">
        <is>
          <t>2022-07-02</t>
        </is>
      </c>
      <c r="B370" t="n">
        <v>8</v>
      </c>
      <c r="C370" s="6" t="n">
        <v>0</v>
      </c>
      <c r="D370" t="n">
        <v>1</v>
      </c>
    </row>
    <row r="371">
      <c r="A371" t="inlineStr">
        <is>
          <t>2022-07-02</t>
        </is>
      </c>
      <c r="B371" t="n">
        <v>9</v>
      </c>
      <c r="C371" s="6" t="n">
        <v>0</v>
      </c>
      <c r="D371" t="n">
        <v>1</v>
      </c>
    </row>
    <row r="372">
      <c r="A372" t="inlineStr">
        <is>
          <t>2022-07-02</t>
        </is>
      </c>
      <c r="B372" t="n">
        <v>10</v>
      </c>
      <c r="C372" s="6" t="n">
        <v>0</v>
      </c>
      <c r="D372" t="n">
        <v>1</v>
      </c>
    </row>
    <row r="373">
      <c r="A373" t="inlineStr">
        <is>
          <t>2022-07-02</t>
        </is>
      </c>
      <c r="B373" t="n">
        <v>11</v>
      </c>
      <c r="C373" s="6" t="n">
        <v>0</v>
      </c>
      <c r="D373" t="n">
        <v>1</v>
      </c>
    </row>
    <row r="374">
      <c r="A374" t="inlineStr">
        <is>
          <t>2022-07-03</t>
        </is>
      </c>
      <c r="B374" t="n">
        <v>1</v>
      </c>
      <c r="C374" s="6" t="n">
        <v>0</v>
      </c>
      <c r="D374" t="n">
        <v>1</v>
      </c>
    </row>
    <row r="375">
      <c r="A375" t="inlineStr">
        <is>
          <t>2022-07-03</t>
        </is>
      </c>
      <c r="B375" t="n">
        <v>2</v>
      </c>
      <c r="C375" s="6" t="n">
        <v>0</v>
      </c>
      <c r="D375" t="n">
        <v>1</v>
      </c>
    </row>
    <row r="376">
      <c r="A376" t="inlineStr">
        <is>
          <t>2022-07-03</t>
        </is>
      </c>
      <c r="B376" t="n">
        <v>3</v>
      </c>
      <c r="C376" s="6" t="n">
        <v>0</v>
      </c>
      <c r="D376" t="n">
        <v>1</v>
      </c>
    </row>
    <row r="377">
      <c r="A377" t="inlineStr">
        <is>
          <t>2022-07-03</t>
        </is>
      </c>
      <c r="B377" t="n">
        <v>4</v>
      </c>
      <c r="C377" s="6" t="n">
        <v>0</v>
      </c>
      <c r="D377" t="n">
        <v>1</v>
      </c>
    </row>
    <row r="378">
      <c r="A378" t="inlineStr">
        <is>
          <t>2022-07-03</t>
        </is>
      </c>
      <c r="B378" t="n">
        <v>5</v>
      </c>
      <c r="C378" s="6" t="n">
        <v>0</v>
      </c>
      <c r="D378" t="n">
        <v>1</v>
      </c>
    </row>
    <row r="379">
      <c r="A379" t="inlineStr">
        <is>
          <t>2022-07-06</t>
        </is>
      </c>
      <c r="B379" t="n">
        <v>1</v>
      </c>
      <c r="C379" s="6" t="n">
        <v>0</v>
      </c>
      <c r="D379" t="n">
        <v>1</v>
      </c>
    </row>
    <row r="380">
      <c r="A380" t="inlineStr">
        <is>
          <t>2022-07-06</t>
        </is>
      </c>
      <c r="B380" t="n">
        <v>2</v>
      </c>
      <c r="C380" s="6" t="n">
        <v>0</v>
      </c>
      <c r="D380" t="n">
        <v>1</v>
      </c>
    </row>
    <row r="381">
      <c r="A381" t="inlineStr">
        <is>
          <t>2022-07-06</t>
        </is>
      </c>
      <c r="B381" t="n">
        <v>3</v>
      </c>
      <c r="C381" s="6" t="n">
        <v>0</v>
      </c>
      <c r="D381" t="n">
        <v>1</v>
      </c>
    </row>
    <row r="382">
      <c r="A382" t="inlineStr">
        <is>
          <t>2022-07-06</t>
        </is>
      </c>
      <c r="B382" t="n">
        <v>4</v>
      </c>
      <c r="C382" s="6" t="n">
        <v>0</v>
      </c>
      <c r="D382" t="n">
        <v>1</v>
      </c>
    </row>
    <row r="383">
      <c r="A383" t="inlineStr">
        <is>
          <t>2022-07-06</t>
        </is>
      </c>
      <c r="B383" t="n">
        <v>5</v>
      </c>
      <c r="C383" s="6" t="n">
        <v>0</v>
      </c>
      <c r="D383" t="n">
        <v>1</v>
      </c>
    </row>
    <row r="384">
      <c r="A384" t="inlineStr">
        <is>
          <t>2022-07-06</t>
        </is>
      </c>
      <c r="B384" t="n">
        <v>7</v>
      </c>
      <c r="C384" s="6" t="n">
        <v>0</v>
      </c>
      <c r="D384" t="n">
        <v>1</v>
      </c>
    </row>
    <row r="385">
      <c r="A385" t="inlineStr">
        <is>
          <t>2022-07-06</t>
        </is>
      </c>
      <c r="B385" t="n">
        <v>11</v>
      </c>
      <c r="C385" s="6" t="n">
        <v>0</v>
      </c>
      <c r="D385" t="n">
        <v>1</v>
      </c>
    </row>
    <row r="386">
      <c r="A386" t="inlineStr">
        <is>
          <t>2022-07-06</t>
        </is>
      </c>
      <c r="B386" t="n">
        <v>6</v>
      </c>
      <c r="C386" s="6" t="n">
        <v>0</v>
      </c>
      <c r="D386" t="n">
        <v>1</v>
      </c>
    </row>
    <row r="387">
      <c r="A387" t="inlineStr">
        <is>
          <t>2022-07-06</t>
        </is>
      </c>
      <c r="B387" t="n">
        <v>8</v>
      </c>
      <c r="C387" s="6" t="n">
        <v>0</v>
      </c>
      <c r="D387" t="n">
        <v>1</v>
      </c>
    </row>
    <row r="388">
      <c r="A388" t="inlineStr">
        <is>
          <t>2022-07-06</t>
        </is>
      </c>
      <c r="B388" t="n">
        <v>9</v>
      </c>
      <c r="C388" s="6" t="n">
        <v>0</v>
      </c>
      <c r="D388" t="n">
        <v>1</v>
      </c>
    </row>
    <row r="389">
      <c r="A389" t="inlineStr">
        <is>
          <t>2022-07-06</t>
        </is>
      </c>
      <c r="B389" t="n">
        <v>10</v>
      </c>
      <c r="C389" s="6" t="n">
        <v>0</v>
      </c>
      <c r="D389" t="n">
        <v>1</v>
      </c>
    </row>
    <row r="390">
      <c r="A390" t="inlineStr">
        <is>
          <t>2022-07-07</t>
        </is>
      </c>
      <c r="B390" t="n">
        <v>1</v>
      </c>
      <c r="C390" s="6" t="n">
        <v>0</v>
      </c>
      <c r="D390" t="n">
        <v>1</v>
      </c>
    </row>
    <row r="391">
      <c r="A391" t="inlineStr">
        <is>
          <t>2022-07-07</t>
        </is>
      </c>
      <c r="B391" t="n">
        <v>2</v>
      </c>
      <c r="C391" s="6" t="n">
        <v>0</v>
      </c>
      <c r="D391" t="n">
        <v>1</v>
      </c>
    </row>
    <row r="392">
      <c r="A392" t="inlineStr">
        <is>
          <t>2022-07-07</t>
        </is>
      </c>
      <c r="B392" t="n">
        <v>5</v>
      </c>
      <c r="C392" s="6" t="n">
        <v>0</v>
      </c>
      <c r="D392" t="n">
        <v>1</v>
      </c>
    </row>
    <row r="393">
      <c r="A393" t="inlineStr">
        <is>
          <t>2022-07-07</t>
        </is>
      </c>
      <c r="B393" t="n">
        <v>3</v>
      </c>
      <c r="C393" s="6" t="n">
        <v>0</v>
      </c>
      <c r="D393" t="n">
        <v>1</v>
      </c>
    </row>
    <row r="394">
      <c r="A394" t="inlineStr">
        <is>
          <t>2022-07-07</t>
        </is>
      </c>
      <c r="B394" t="n">
        <v>4</v>
      </c>
      <c r="C394" s="6" t="n">
        <v>0</v>
      </c>
      <c r="D394" t="n">
        <v>1</v>
      </c>
    </row>
    <row r="395">
      <c r="A395" t="inlineStr">
        <is>
          <t>2022-07-07</t>
        </is>
      </c>
      <c r="B395" t="n">
        <v>6</v>
      </c>
      <c r="C395" s="6" t="n">
        <v>0</v>
      </c>
      <c r="D395" t="n">
        <v>1</v>
      </c>
    </row>
    <row r="396">
      <c r="A396" t="inlineStr">
        <is>
          <t>2022-07-07</t>
        </is>
      </c>
      <c r="B396" t="n">
        <v>8</v>
      </c>
      <c r="C396" s="6" t="n">
        <v>0</v>
      </c>
      <c r="D396" t="n">
        <v>1</v>
      </c>
    </row>
    <row r="397">
      <c r="A397" t="inlineStr">
        <is>
          <t>2022-07-07</t>
        </is>
      </c>
      <c r="B397" t="n">
        <v>9</v>
      </c>
      <c r="C397" s="6" t="n">
        <v>0</v>
      </c>
      <c r="D397" t="n">
        <v>1</v>
      </c>
    </row>
    <row r="398">
      <c r="A398" t="inlineStr">
        <is>
          <t>2022-07-07</t>
        </is>
      </c>
      <c r="B398" t="n">
        <v>10</v>
      </c>
      <c r="C398" s="6" t="n">
        <v>0</v>
      </c>
      <c r="D398" t="n">
        <v>1</v>
      </c>
    </row>
    <row r="399">
      <c r="A399" t="inlineStr">
        <is>
          <t>2022-07-07</t>
        </is>
      </c>
      <c r="B399" t="n">
        <v>7</v>
      </c>
      <c r="C399" s="6" t="n">
        <v>0</v>
      </c>
      <c r="D399" t="n">
        <v>1</v>
      </c>
    </row>
    <row r="400">
      <c r="A400" t="inlineStr">
        <is>
          <t>2022-07-08</t>
        </is>
      </c>
      <c r="B400" t="n">
        <v>2</v>
      </c>
      <c r="C400" s="6" t="n">
        <v>0</v>
      </c>
      <c r="D400" t="n">
        <v>1</v>
      </c>
    </row>
    <row r="401">
      <c r="A401" t="inlineStr">
        <is>
          <t>2022-07-08</t>
        </is>
      </c>
      <c r="B401" t="n">
        <v>1</v>
      </c>
      <c r="C401" s="6" t="n">
        <v>0</v>
      </c>
      <c r="D401" t="n">
        <v>1</v>
      </c>
    </row>
    <row r="402">
      <c r="A402" t="inlineStr">
        <is>
          <t>2022-07-08</t>
        </is>
      </c>
      <c r="B402" t="n">
        <v>5</v>
      </c>
      <c r="C402" s="6" t="n">
        <v>0</v>
      </c>
      <c r="D402" t="n">
        <v>1</v>
      </c>
    </row>
    <row r="403">
      <c r="A403" t="inlineStr">
        <is>
          <t>2022-07-08</t>
        </is>
      </c>
      <c r="B403" t="n">
        <v>4</v>
      </c>
      <c r="C403" s="6" t="n">
        <v>0</v>
      </c>
      <c r="D403" t="n">
        <v>1</v>
      </c>
    </row>
    <row r="404">
      <c r="A404" t="inlineStr">
        <is>
          <t>2022-07-08</t>
        </is>
      </c>
      <c r="B404" t="n">
        <v>3</v>
      </c>
      <c r="C404" s="6" t="n">
        <v>0</v>
      </c>
      <c r="D404" t="n">
        <v>1</v>
      </c>
    </row>
    <row r="405">
      <c r="A405" t="inlineStr">
        <is>
          <t>2022-07-09</t>
        </is>
      </c>
      <c r="B405" t="n">
        <v>2</v>
      </c>
      <c r="C405" s="6" t="n">
        <v>0</v>
      </c>
      <c r="D405" t="n">
        <v>1</v>
      </c>
    </row>
    <row r="406">
      <c r="A406" t="inlineStr">
        <is>
          <t>2022-07-09</t>
        </is>
      </c>
      <c r="B406" t="n">
        <v>1</v>
      </c>
      <c r="C406" s="6" t="n">
        <v>0</v>
      </c>
      <c r="D406" t="n">
        <v>1</v>
      </c>
    </row>
    <row r="407">
      <c r="A407" t="inlineStr">
        <is>
          <t>2022-07-09</t>
        </is>
      </c>
      <c r="B407" t="n">
        <v>4</v>
      </c>
      <c r="C407" s="6" t="n">
        <v>0</v>
      </c>
      <c r="D407" t="n">
        <v>1</v>
      </c>
    </row>
    <row r="408">
      <c r="A408" t="inlineStr">
        <is>
          <t>2022-07-09</t>
        </is>
      </c>
      <c r="B408" t="n">
        <v>3</v>
      </c>
      <c r="C408" s="6" t="n">
        <v>0</v>
      </c>
      <c r="D408" t="n">
        <v>1</v>
      </c>
    </row>
    <row r="409">
      <c r="A409" t="inlineStr">
        <is>
          <t>2022-07-09</t>
        </is>
      </c>
      <c r="B409" t="n">
        <v>6</v>
      </c>
      <c r="C409" s="6" t="n">
        <v>0</v>
      </c>
      <c r="D409" t="n">
        <v>1</v>
      </c>
    </row>
    <row r="410">
      <c r="A410" t="inlineStr">
        <is>
          <t>2022-07-09</t>
        </is>
      </c>
      <c r="B410" t="n">
        <v>5</v>
      </c>
      <c r="C410" s="6" t="n">
        <v>0</v>
      </c>
      <c r="D410" t="n">
        <v>1</v>
      </c>
    </row>
    <row r="411">
      <c r="A411" t="inlineStr">
        <is>
          <t>2022-07-09</t>
        </is>
      </c>
      <c r="B411" t="n">
        <v>7</v>
      </c>
      <c r="C411" s="6" t="n">
        <v>0</v>
      </c>
      <c r="D411" t="n">
        <v>1</v>
      </c>
    </row>
    <row r="412">
      <c r="A412" t="inlineStr">
        <is>
          <t>2022-07-09</t>
        </is>
      </c>
      <c r="B412" t="n">
        <v>8</v>
      </c>
      <c r="C412" s="6" t="n">
        <v>0</v>
      </c>
      <c r="D412" t="n">
        <v>1</v>
      </c>
    </row>
    <row r="413">
      <c r="A413" t="inlineStr">
        <is>
          <t>2022-07-09</t>
        </is>
      </c>
      <c r="B413" t="n">
        <v>10</v>
      </c>
      <c r="C413" s="6" t="n">
        <v>0</v>
      </c>
      <c r="D413" t="n">
        <v>1</v>
      </c>
    </row>
    <row r="414">
      <c r="A414" t="inlineStr">
        <is>
          <t>2022-07-09</t>
        </is>
      </c>
      <c r="B414" t="n">
        <v>11</v>
      </c>
      <c r="C414" s="6" t="n">
        <v>0</v>
      </c>
      <c r="D414" t="n">
        <v>1</v>
      </c>
    </row>
    <row r="415">
      <c r="A415" t="inlineStr">
        <is>
          <t>2022-07-09</t>
        </is>
      </c>
      <c r="B415" t="n">
        <v>9</v>
      </c>
      <c r="C415" s="6" t="n">
        <v>0</v>
      </c>
      <c r="D415" t="n">
        <v>1</v>
      </c>
    </row>
    <row r="416">
      <c r="A416" t="inlineStr">
        <is>
          <t>2022-07-09</t>
        </is>
      </c>
      <c r="B416" t="n">
        <v>15</v>
      </c>
      <c r="C416" s="6" t="n">
        <v>0</v>
      </c>
      <c r="D416" t="n">
        <v>1</v>
      </c>
    </row>
    <row r="417">
      <c r="A417" t="inlineStr">
        <is>
          <t>2022-07-09</t>
        </is>
      </c>
      <c r="B417" t="n">
        <v>12</v>
      </c>
      <c r="C417" s="6" t="n">
        <v>0</v>
      </c>
      <c r="D417" t="n">
        <v>1</v>
      </c>
    </row>
    <row r="418">
      <c r="A418" t="inlineStr">
        <is>
          <t>2022-07-09</t>
        </is>
      </c>
      <c r="B418" t="n">
        <v>18</v>
      </c>
      <c r="C418" s="6" t="n">
        <v>0</v>
      </c>
      <c r="D418" t="n">
        <v>1</v>
      </c>
    </row>
    <row r="419">
      <c r="A419" t="inlineStr">
        <is>
          <t>2022-07-09</t>
        </is>
      </c>
      <c r="B419" t="n">
        <v>13</v>
      </c>
      <c r="C419" s="6" t="n">
        <v>0</v>
      </c>
      <c r="D419" t="n">
        <v>1</v>
      </c>
    </row>
    <row r="420">
      <c r="A420" t="inlineStr">
        <is>
          <t>2022-07-09</t>
        </is>
      </c>
      <c r="B420" t="n">
        <v>14</v>
      </c>
      <c r="C420" s="6" t="n">
        <v>0</v>
      </c>
      <c r="D420" t="n">
        <v>1</v>
      </c>
    </row>
    <row r="421">
      <c r="A421" t="inlineStr">
        <is>
          <t>2022-07-09</t>
        </is>
      </c>
      <c r="B421" t="n">
        <v>16</v>
      </c>
      <c r="C421" s="6" t="n">
        <v>0</v>
      </c>
      <c r="D421" t="n">
        <v>1</v>
      </c>
    </row>
    <row r="422">
      <c r="A422" t="inlineStr">
        <is>
          <t>2022-07-09</t>
        </is>
      </c>
      <c r="B422" t="n">
        <v>17</v>
      </c>
      <c r="C422" s="6" t="n">
        <v>0</v>
      </c>
      <c r="D422" t="n">
        <v>1</v>
      </c>
    </row>
    <row r="423">
      <c r="A423" t="inlineStr">
        <is>
          <t>2022-07-10</t>
        </is>
      </c>
      <c r="B423" t="n">
        <v>2</v>
      </c>
      <c r="C423" s="6" t="n">
        <v>0</v>
      </c>
      <c r="D423" t="n">
        <v>1</v>
      </c>
    </row>
    <row r="424">
      <c r="A424" t="inlineStr">
        <is>
          <t>2022-07-10</t>
        </is>
      </c>
      <c r="B424" t="n">
        <v>1</v>
      </c>
      <c r="C424" s="6" t="n">
        <v>0</v>
      </c>
      <c r="D424" t="n">
        <v>1</v>
      </c>
    </row>
    <row r="425">
      <c r="A425" t="inlineStr">
        <is>
          <t>2022-07-10</t>
        </is>
      </c>
      <c r="B425" t="n">
        <v>4</v>
      </c>
      <c r="C425" s="6" t="n">
        <v>0</v>
      </c>
      <c r="D425" t="n">
        <v>1</v>
      </c>
    </row>
    <row r="426">
      <c r="A426" t="inlineStr">
        <is>
          <t>2022-07-10</t>
        </is>
      </c>
      <c r="B426" t="n">
        <v>5</v>
      </c>
      <c r="C426" s="6" t="n">
        <v>0</v>
      </c>
      <c r="D426" t="n">
        <v>1</v>
      </c>
    </row>
    <row r="427">
      <c r="A427" t="inlineStr">
        <is>
          <t>2022-07-10</t>
        </is>
      </c>
      <c r="B427" t="n">
        <v>7</v>
      </c>
      <c r="C427" s="6" t="n">
        <v>0</v>
      </c>
      <c r="D427" t="n">
        <v>1</v>
      </c>
    </row>
    <row r="428">
      <c r="A428" t="inlineStr">
        <is>
          <t>2022-07-10</t>
        </is>
      </c>
      <c r="B428" t="n">
        <v>3</v>
      </c>
      <c r="C428" s="6" t="n">
        <v>0</v>
      </c>
      <c r="D428" t="n">
        <v>1</v>
      </c>
    </row>
    <row r="429">
      <c r="A429" t="inlineStr">
        <is>
          <t>2022-07-10</t>
        </is>
      </c>
      <c r="B429" t="n">
        <v>6</v>
      </c>
      <c r="C429" s="6" t="n">
        <v>0</v>
      </c>
      <c r="D429" t="n">
        <v>1</v>
      </c>
    </row>
    <row r="430">
      <c r="A430" t="inlineStr">
        <is>
          <t>2022-07-10</t>
        </is>
      </c>
      <c r="B430" t="n">
        <v>8</v>
      </c>
      <c r="C430" s="6" t="n">
        <v>0</v>
      </c>
      <c r="D430" t="n">
        <v>1</v>
      </c>
    </row>
    <row r="431">
      <c r="A431" t="inlineStr">
        <is>
          <t>2022-07-12</t>
        </is>
      </c>
      <c r="B431" t="n">
        <v>2</v>
      </c>
      <c r="C431" s="6" t="n">
        <v>0</v>
      </c>
      <c r="D431" t="n">
        <v>1</v>
      </c>
    </row>
    <row r="432">
      <c r="A432" t="inlineStr">
        <is>
          <t>2022-07-12</t>
        </is>
      </c>
      <c r="B432" t="n">
        <v>1</v>
      </c>
      <c r="C432" s="6" t="n">
        <v>0</v>
      </c>
      <c r="D432" t="n">
        <v>1</v>
      </c>
    </row>
    <row r="433">
      <c r="A433" t="inlineStr">
        <is>
          <t>2022-07-12</t>
        </is>
      </c>
      <c r="B433" t="n">
        <v>3</v>
      </c>
      <c r="C433" s="6" t="n">
        <v>0</v>
      </c>
      <c r="D433" t="n">
        <v>1</v>
      </c>
    </row>
    <row r="434">
      <c r="A434" t="inlineStr">
        <is>
          <t>2022-07-12</t>
        </is>
      </c>
      <c r="B434" t="n">
        <v>4</v>
      </c>
      <c r="C434" s="6" t="n">
        <v>0</v>
      </c>
      <c r="D434" t="n">
        <v>1</v>
      </c>
    </row>
    <row r="435">
      <c r="A435" t="inlineStr">
        <is>
          <t>2022-07-13</t>
        </is>
      </c>
      <c r="B435" t="n">
        <v>1</v>
      </c>
      <c r="C435" s="6" t="n">
        <v>0</v>
      </c>
      <c r="D435" t="n">
        <v>1</v>
      </c>
    </row>
    <row r="436">
      <c r="A436" t="inlineStr">
        <is>
          <t>2022-07-13</t>
        </is>
      </c>
      <c r="B436" t="n">
        <v>2</v>
      </c>
      <c r="C436" s="6" t="n">
        <v>0</v>
      </c>
      <c r="D436" t="n">
        <v>1</v>
      </c>
    </row>
    <row r="437">
      <c r="A437" t="inlineStr">
        <is>
          <t>2022-07-14</t>
        </is>
      </c>
      <c r="B437" t="n">
        <v>2</v>
      </c>
      <c r="C437" s="6" t="n">
        <v>0</v>
      </c>
      <c r="D437" t="n">
        <v>1</v>
      </c>
    </row>
    <row r="438">
      <c r="A438" t="inlineStr">
        <is>
          <t>2022-07-14</t>
        </is>
      </c>
      <c r="B438" t="n">
        <v>1</v>
      </c>
      <c r="C438" s="6" t="n">
        <v>0</v>
      </c>
      <c r="D438" t="n">
        <v>1</v>
      </c>
    </row>
    <row r="439">
      <c r="A439" t="inlineStr">
        <is>
          <t>2022-07-14</t>
        </is>
      </c>
      <c r="B439" t="n">
        <v>3</v>
      </c>
      <c r="C439" s="6" t="n">
        <v>0</v>
      </c>
      <c r="D439" t="n">
        <v>1</v>
      </c>
    </row>
    <row r="440">
      <c r="A440" t="inlineStr">
        <is>
          <t>2022-07-14</t>
        </is>
      </c>
      <c r="B440" t="n">
        <v>4</v>
      </c>
      <c r="C440" s="6" t="n">
        <v>0</v>
      </c>
      <c r="D440" t="n">
        <v>1</v>
      </c>
    </row>
    <row r="441">
      <c r="A441" t="inlineStr">
        <is>
          <t>2022-07-14</t>
        </is>
      </c>
      <c r="B441" t="n">
        <v>5</v>
      </c>
      <c r="C441" s="6" t="n">
        <v>0</v>
      </c>
      <c r="D441" t="n">
        <v>1</v>
      </c>
    </row>
    <row r="442">
      <c r="A442" t="inlineStr">
        <is>
          <t>2022-07-15</t>
        </is>
      </c>
      <c r="B442" t="n">
        <v>1</v>
      </c>
      <c r="C442" s="6" t="n">
        <v>0</v>
      </c>
      <c r="D442" t="n">
        <v>1</v>
      </c>
    </row>
    <row r="443">
      <c r="A443" t="inlineStr">
        <is>
          <t>2022-07-15</t>
        </is>
      </c>
      <c r="B443" t="n">
        <v>2</v>
      </c>
      <c r="C443" s="6" t="n">
        <v>0</v>
      </c>
      <c r="D443" t="n">
        <v>1</v>
      </c>
    </row>
    <row r="444">
      <c r="A444" t="inlineStr">
        <is>
          <t>2022-07-15</t>
        </is>
      </c>
      <c r="B444" t="n">
        <v>3</v>
      </c>
      <c r="C444" s="6" t="n">
        <v>0</v>
      </c>
      <c r="D444" t="n">
        <v>1</v>
      </c>
    </row>
    <row r="445">
      <c r="A445" t="inlineStr">
        <is>
          <t>2022-07-15</t>
        </is>
      </c>
      <c r="B445" t="n">
        <v>5</v>
      </c>
      <c r="C445" s="6" t="n">
        <v>0</v>
      </c>
      <c r="D445" t="n">
        <v>1</v>
      </c>
    </row>
    <row r="446">
      <c r="A446" t="inlineStr">
        <is>
          <t>2022-07-15</t>
        </is>
      </c>
      <c r="B446" t="n">
        <v>6</v>
      </c>
      <c r="C446" s="6" t="n">
        <v>0</v>
      </c>
      <c r="D446" t="n">
        <v>1</v>
      </c>
    </row>
    <row r="447">
      <c r="A447" t="inlineStr">
        <is>
          <t>2022-07-15</t>
        </is>
      </c>
      <c r="B447" t="n">
        <v>4</v>
      </c>
      <c r="C447" s="6" t="n">
        <v>0</v>
      </c>
      <c r="D447" t="n">
        <v>1</v>
      </c>
    </row>
    <row r="448">
      <c r="A448" t="inlineStr">
        <is>
          <t>2022-07-16</t>
        </is>
      </c>
      <c r="B448" t="n">
        <v>1</v>
      </c>
      <c r="C448" s="6" t="n">
        <v>0</v>
      </c>
      <c r="D448" t="n">
        <v>1</v>
      </c>
    </row>
    <row r="449">
      <c r="A449" t="inlineStr">
        <is>
          <t>2022-07-16</t>
        </is>
      </c>
      <c r="B449" t="n">
        <v>3</v>
      </c>
      <c r="C449" s="6" t="n">
        <v>0</v>
      </c>
      <c r="D449" t="n">
        <v>1</v>
      </c>
    </row>
    <row r="450">
      <c r="A450" t="inlineStr">
        <is>
          <t>2022-07-16</t>
        </is>
      </c>
      <c r="B450" t="n">
        <v>2</v>
      </c>
      <c r="C450" s="6" t="n">
        <v>0</v>
      </c>
      <c r="D450" t="n">
        <v>1</v>
      </c>
    </row>
    <row r="451">
      <c r="A451" t="inlineStr">
        <is>
          <t>2022-07-16</t>
        </is>
      </c>
      <c r="B451" t="n">
        <v>4</v>
      </c>
      <c r="C451" s="6" t="n">
        <v>0</v>
      </c>
      <c r="D451" t="n">
        <v>1</v>
      </c>
    </row>
    <row r="452">
      <c r="A452" t="inlineStr">
        <is>
          <t>2022-07-16</t>
        </is>
      </c>
      <c r="B452" t="n">
        <v>6</v>
      </c>
      <c r="C452" s="6" t="n">
        <v>0</v>
      </c>
      <c r="D452" t="n">
        <v>1</v>
      </c>
    </row>
    <row r="453">
      <c r="A453" t="inlineStr">
        <is>
          <t>2022-07-16</t>
        </is>
      </c>
      <c r="B453" t="n">
        <v>5</v>
      </c>
      <c r="C453" s="6" t="n">
        <v>0</v>
      </c>
      <c r="D453" t="n">
        <v>1</v>
      </c>
    </row>
    <row r="454">
      <c r="A454" t="inlineStr">
        <is>
          <t>2022-07-16</t>
        </is>
      </c>
      <c r="B454" t="n">
        <v>8</v>
      </c>
      <c r="C454" s="6" t="n">
        <v>0</v>
      </c>
      <c r="D454" t="n">
        <v>1</v>
      </c>
    </row>
    <row r="455">
      <c r="A455" t="inlineStr">
        <is>
          <t>2022-07-16</t>
        </is>
      </c>
      <c r="B455" t="n">
        <v>7</v>
      </c>
      <c r="C455" s="6" t="n">
        <v>0</v>
      </c>
      <c r="D455" t="n">
        <v>1</v>
      </c>
    </row>
    <row r="456">
      <c r="A456" t="inlineStr">
        <is>
          <t>2022-07-17</t>
        </is>
      </c>
      <c r="B456" t="n">
        <v>1</v>
      </c>
      <c r="C456" s="6" t="n">
        <v>0</v>
      </c>
      <c r="D456" t="n">
        <v>1</v>
      </c>
    </row>
    <row r="457">
      <c r="A457" t="inlineStr">
        <is>
          <t>2022-07-17</t>
        </is>
      </c>
      <c r="B457" t="n">
        <v>2</v>
      </c>
      <c r="C457" s="6" t="n">
        <v>0</v>
      </c>
      <c r="D457" t="n">
        <v>1</v>
      </c>
    </row>
    <row r="458">
      <c r="A458" t="inlineStr">
        <is>
          <t>2022-07-17</t>
        </is>
      </c>
      <c r="B458" t="n">
        <v>3</v>
      </c>
      <c r="C458" s="6" t="n">
        <v>0</v>
      </c>
      <c r="D458" t="n">
        <v>1</v>
      </c>
    </row>
    <row r="459">
      <c r="A459" t="inlineStr">
        <is>
          <t>2022-07-17</t>
        </is>
      </c>
      <c r="B459" t="n">
        <v>5</v>
      </c>
      <c r="C459" s="6" t="n">
        <v>0</v>
      </c>
      <c r="D459" t="n">
        <v>1</v>
      </c>
    </row>
    <row r="460">
      <c r="A460" t="inlineStr">
        <is>
          <t>2022-07-17</t>
        </is>
      </c>
      <c r="B460" t="n">
        <v>4</v>
      </c>
      <c r="C460" s="6" t="n">
        <v>0</v>
      </c>
      <c r="D460" t="n">
        <v>1</v>
      </c>
    </row>
    <row r="461">
      <c r="A461" t="inlineStr">
        <is>
          <t>2022-07-19</t>
        </is>
      </c>
      <c r="B461" t="n">
        <v>1</v>
      </c>
      <c r="C461" s="6" t="n">
        <v>0</v>
      </c>
      <c r="D461" t="n">
        <v>1</v>
      </c>
    </row>
    <row r="462">
      <c r="A462" t="inlineStr">
        <is>
          <t>2022-07-19</t>
        </is>
      </c>
      <c r="B462" t="n">
        <v>2</v>
      </c>
      <c r="C462" s="6" t="n">
        <v>0</v>
      </c>
      <c r="D462" t="n">
        <v>1</v>
      </c>
    </row>
    <row r="463">
      <c r="A463" t="inlineStr">
        <is>
          <t>2022-07-19</t>
        </is>
      </c>
      <c r="B463" t="n">
        <v>5</v>
      </c>
      <c r="C463" s="6" t="n">
        <v>0</v>
      </c>
      <c r="D463" t="n">
        <v>1</v>
      </c>
    </row>
    <row r="464">
      <c r="A464" t="inlineStr">
        <is>
          <t>2022-07-19</t>
        </is>
      </c>
      <c r="B464" t="n">
        <v>4</v>
      </c>
      <c r="C464" s="6" t="n">
        <v>0</v>
      </c>
      <c r="D464" t="n">
        <v>1</v>
      </c>
    </row>
    <row r="465">
      <c r="A465" t="inlineStr">
        <is>
          <t>2022-07-19</t>
        </is>
      </c>
      <c r="B465" t="n">
        <v>7</v>
      </c>
      <c r="C465" s="6" t="n">
        <v>0</v>
      </c>
      <c r="D465" t="n">
        <v>1</v>
      </c>
    </row>
    <row r="466">
      <c r="A466" t="inlineStr">
        <is>
          <t>2022-07-19</t>
        </is>
      </c>
      <c r="B466" t="n">
        <v>3</v>
      </c>
      <c r="C466" s="6" t="n">
        <v>0</v>
      </c>
      <c r="D466" t="n">
        <v>1</v>
      </c>
    </row>
    <row r="467">
      <c r="A467" t="inlineStr">
        <is>
          <t>2022-07-19</t>
        </is>
      </c>
      <c r="B467" t="n">
        <v>8</v>
      </c>
      <c r="C467" s="6" t="n">
        <v>0</v>
      </c>
      <c r="D467" t="n">
        <v>1</v>
      </c>
    </row>
    <row r="468">
      <c r="A468" t="inlineStr">
        <is>
          <t>2022-07-19</t>
        </is>
      </c>
      <c r="B468" t="n">
        <v>9</v>
      </c>
      <c r="C468" s="6" t="n">
        <v>0</v>
      </c>
      <c r="D468" t="n">
        <v>1</v>
      </c>
    </row>
    <row r="469">
      <c r="A469" t="inlineStr">
        <is>
          <t>2022-07-19</t>
        </is>
      </c>
      <c r="B469" t="n">
        <v>6</v>
      </c>
      <c r="C469" s="6" t="n">
        <v>0</v>
      </c>
      <c r="D469" t="n">
        <v>1</v>
      </c>
    </row>
    <row r="470">
      <c r="A470" t="inlineStr">
        <is>
          <t>2022-07-20</t>
        </is>
      </c>
      <c r="B470" t="n">
        <v>2</v>
      </c>
      <c r="C470" s="6" t="n">
        <v>0</v>
      </c>
      <c r="D470" t="n">
        <v>1</v>
      </c>
    </row>
    <row r="471">
      <c r="A471" t="inlineStr">
        <is>
          <t>2022-07-20</t>
        </is>
      </c>
      <c r="B471" t="n">
        <v>3</v>
      </c>
      <c r="C471" s="6" t="n">
        <v>0</v>
      </c>
      <c r="D471" t="n">
        <v>1</v>
      </c>
    </row>
    <row r="472">
      <c r="A472" t="inlineStr">
        <is>
          <t>2022-07-20</t>
        </is>
      </c>
      <c r="B472" t="n">
        <v>6</v>
      </c>
      <c r="C472" s="6" t="n">
        <v>0</v>
      </c>
      <c r="D472" t="n">
        <v>1</v>
      </c>
    </row>
    <row r="473">
      <c r="A473" t="inlineStr">
        <is>
          <t>2022-07-20</t>
        </is>
      </c>
      <c r="B473" t="n">
        <v>1</v>
      </c>
      <c r="C473" s="6" t="n">
        <v>0</v>
      </c>
      <c r="D473" t="n">
        <v>1</v>
      </c>
    </row>
    <row r="474">
      <c r="A474" t="inlineStr">
        <is>
          <t>2022-07-20</t>
        </is>
      </c>
      <c r="B474" t="n">
        <v>5</v>
      </c>
      <c r="C474" s="6" t="n">
        <v>0</v>
      </c>
      <c r="D474" t="n">
        <v>1</v>
      </c>
    </row>
    <row r="475">
      <c r="A475" t="inlineStr">
        <is>
          <t>2022-07-20</t>
        </is>
      </c>
      <c r="B475" t="n">
        <v>4</v>
      </c>
      <c r="C475" s="6" t="n">
        <v>0</v>
      </c>
      <c r="D475" t="n">
        <v>1</v>
      </c>
    </row>
    <row r="476">
      <c r="A476" t="inlineStr">
        <is>
          <t>2022-07-21</t>
        </is>
      </c>
      <c r="B476" t="n">
        <v>3</v>
      </c>
      <c r="C476" s="6" t="n">
        <v>0</v>
      </c>
      <c r="D476" t="n">
        <v>1</v>
      </c>
    </row>
    <row r="477">
      <c r="A477" t="inlineStr">
        <is>
          <t>2022-07-21</t>
        </is>
      </c>
      <c r="B477" t="n">
        <v>1</v>
      </c>
      <c r="C477" s="6" t="n">
        <v>0</v>
      </c>
      <c r="D477" t="n">
        <v>1</v>
      </c>
    </row>
    <row r="478">
      <c r="A478" t="inlineStr">
        <is>
          <t>2022-07-21</t>
        </is>
      </c>
      <c r="B478" t="n">
        <v>2</v>
      </c>
      <c r="C478" s="6" t="n">
        <v>0</v>
      </c>
      <c r="D478" t="n">
        <v>1</v>
      </c>
    </row>
    <row r="479">
      <c r="A479" t="inlineStr">
        <is>
          <t>2022-07-21</t>
        </is>
      </c>
      <c r="B479" t="n">
        <v>6</v>
      </c>
      <c r="C479" s="6" t="n">
        <v>0</v>
      </c>
      <c r="D479" t="n">
        <v>1</v>
      </c>
    </row>
    <row r="480">
      <c r="A480" t="inlineStr">
        <is>
          <t>2022-07-21</t>
        </is>
      </c>
      <c r="B480" t="n">
        <v>5</v>
      </c>
      <c r="C480" s="6" t="n">
        <v>0</v>
      </c>
      <c r="D480" t="n">
        <v>1</v>
      </c>
    </row>
    <row r="481">
      <c r="A481" t="inlineStr">
        <is>
          <t>2022-07-21</t>
        </is>
      </c>
      <c r="B481" t="n">
        <v>8</v>
      </c>
      <c r="C481" s="6" t="n">
        <v>0</v>
      </c>
      <c r="D481" t="n">
        <v>1</v>
      </c>
    </row>
    <row r="482">
      <c r="A482" t="inlineStr">
        <is>
          <t>2022-07-21</t>
        </is>
      </c>
      <c r="B482" t="n">
        <v>9</v>
      </c>
      <c r="C482" s="6" t="n">
        <v>0</v>
      </c>
      <c r="D482" t="n">
        <v>1</v>
      </c>
    </row>
    <row r="483">
      <c r="A483" t="inlineStr">
        <is>
          <t>2022-07-21</t>
        </is>
      </c>
      <c r="B483" t="n">
        <v>4</v>
      </c>
      <c r="C483" s="6" t="n">
        <v>0</v>
      </c>
      <c r="D483" t="n">
        <v>1</v>
      </c>
    </row>
    <row r="484">
      <c r="A484" t="inlineStr">
        <is>
          <t>2022-07-21</t>
        </is>
      </c>
      <c r="B484" t="n">
        <v>7</v>
      </c>
      <c r="C484" s="6" t="n">
        <v>0</v>
      </c>
      <c r="D484" t="n">
        <v>1</v>
      </c>
    </row>
    <row r="485">
      <c r="A485" t="inlineStr">
        <is>
          <t>2022-07-21</t>
        </is>
      </c>
      <c r="B485" t="n">
        <v>10</v>
      </c>
      <c r="C485" s="6" t="n">
        <v>0</v>
      </c>
      <c r="D485" t="n">
        <v>1</v>
      </c>
    </row>
    <row r="486">
      <c r="A486" t="inlineStr">
        <is>
          <t>2022-07-22</t>
        </is>
      </c>
      <c r="B486" t="n">
        <v>1</v>
      </c>
      <c r="C486" s="6" t="n">
        <v>0</v>
      </c>
      <c r="D486" t="n">
        <v>1</v>
      </c>
    </row>
    <row r="487">
      <c r="A487" t="inlineStr">
        <is>
          <t>2022-07-22</t>
        </is>
      </c>
      <c r="B487" t="n">
        <v>2</v>
      </c>
      <c r="C487" s="6" t="n">
        <v>0</v>
      </c>
      <c r="D487" t="n">
        <v>1</v>
      </c>
    </row>
    <row r="488">
      <c r="A488" t="inlineStr">
        <is>
          <t>2022-07-23</t>
        </is>
      </c>
      <c r="B488" t="n">
        <v>1</v>
      </c>
      <c r="C488" s="6" t="n">
        <v>0</v>
      </c>
      <c r="D488" t="n">
        <v>1</v>
      </c>
    </row>
    <row r="489">
      <c r="A489" t="inlineStr">
        <is>
          <t>2022-07-23</t>
        </is>
      </c>
      <c r="B489" t="n">
        <v>2</v>
      </c>
      <c r="C489" s="6" t="n">
        <v>0</v>
      </c>
      <c r="D489" t="n">
        <v>1</v>
      </c>
    </row>
    <row r="490">
      <c r="A490" t="inlineStr">
        <is>
          <t>2022-07-23</t>
        </is>
      </c>
      <c r="B490" t="n">
        <v>3</v>
      </c>
      <c r="C490" s="6" t="n">
        <v>0</v>
      </c>
      <c r="D490" t="n">
        <v>1</v>
      </c>
    </row>
    <row r="491">
      <c r="A491" t="inlineStr">
        <is>
          <t>2022-07-23</t>
        </is>
      </c>
      <c r="B491" t="n">
        <v>4</v>
      </c>
      <c r="C491" s="6" t="n">
        <v>0</v>
      </c>
      <c r="D491" t="n">
        <v>1</v>
      </c>
    </row>
    <row r="492">
      <c r="A492" t="inlineStr">
        <is>
          <t>2022-07-23</t>
        </is>
      </c>
      <c r="B492" t="n">
        <v>5</v>
      </c>
      <c r="C492" s="6" t="n">
        <v>0</v>
      </c>
      <c r="D492" t="n">
        <v>1</v>
      </c>
    </row>
    <row r="493">
      <c r="A493" t="inlineStr">
        <is>
          <t>2022-07-23</t>
        </is>
      </c>
      <c r="B493" t="n">
        <v>6</v>
      </c>
      <c r="C493" s="6" t="n">
        <v>0</v>
      </c>
      <c r="D493" t="n">
        <v>1</v>
      </c>
    </row>
    <row r="494">
      <c r="A494" t="inlineStr">
        <is>
          <t>2022-07-24</t>
        </is>
      </c>
      <c r="B494" t="n">
        <v>2</v>
      </c>
      <c r="C494" s="6" t="n">
        <v>0</v>
      </c>
      <c r="D494" t="n">
        <v>1</v>
      </c>
    </row>
    <row r="495">
      <c r="A495" t="inlineStr">
        <is>
          <t>2022-07-24</t>
        </is>
      </c>
      <c r="B495" t="n">
        <v>1</v>
      </c>
      <c r="C495" s="6" t="n">
        <v>0</v>
      </c>
      <c r="D495" t="n">
        <v>1</v>
      </c>
    </row>
    <row r="496">
      <c r="A496" t="inlineStr">
        <is>
          <t>2022-07-24</t>
        </is>
      </c>
      <c r="B496" t="n">
        <v>4</v>
      </c>
      <c r="C496" s="6" t="n">
        <v>0</v>
      </c>
      <c r="D496" t="n">
        <v>1</v>
      </c>
    </row>
    <row r="497">
      <c r="A497" t="inlineStr">
        <is>
          <t>2022-07-24</t>
        </is>
      </c>
      <c r="B497" t="n">
        <v>3</v>
      </c>
      <c r="C497" s="6" t="n">
        <v>0</v>
      </c>
      <c r="D497" t="n">
        <v>1</v>
      </c>
    </row>
    <row r="498">
      <c r="A498" t="inlineStr">
        <is>
          <t>2022-07-24</t>
        </is>
      </c>
      <c r="B498" t="n">
        <v>5</v>
      </c>
      <c r="C498" s="6" t="n">
        <v>0</v>
      </c>
      <c r="D498" t="n">
        <v>1</v>
      </c>
    </row>
    <row r="499">
      <c r="A499" t="inlineStr">
        <is>
          <t>2022-07-26</t>
        </is>
      </c>
      <c r="B499" t="n">
        <v>3</v>
      </c>
      <c r="C499" s="6" t="n">
        <v>0</v>
      </c>
      <c r="D499" t="n">
        <v>1</v>
      </c>
    </row>
    <row r="500">
      <c r="A500" t="inlineStr">
        <is>
          <t>2022-07-26</t>
        </is>
      </c>
      <c r="B500" t="n">
        <v>1</v>
      </c>
      <c r="C500" s="6" t="n">
        <v>0</v>
      </c>
      <c r="D500" t="n">
        <v>1</v>
      </c>
    </row>
    <row r="501">
      <c r="A501" t="inlineStr">
        <is>
          <t>2022-07-26</t>
        </is>
      </c>
      <c r="B501" t="n">
        <v>4</v>
      </c>
      <c r="C501" s="6" t="n">
        <v>0</v>
      </c>
      <c r="D501" t="n">
        <v>1</v>
      </c>
    </row>
    <row r="502">
      <c r="A502" t="inlineStr">
        <is>
          <t>2022-07-26</t>
        </is>
      </c>
      <c r="B502" t="n">
        <v>2</v>
      </c>
      <c r="C502" s="6" t="n">
        <v>0</v>
      </c>
      <c r="D502" t="n">
        <v>1</v>
      </c>
    </row>
    <row r="503">
      <c r="A503" t="inlineStr">
        <is>
          <t>2022-07-26</t>
        </is>
      </c>
      <c r="B503" t="n">
        <v>5</v>
      </c>
      <c r="C503" s="6" t="n">
        <v>0</v>
      </c>
      <c r="D503" t="n">
        <v>1</v>
      </c>
    </row>
    <row r="504">
      <c r="A504" t="inlineStr">
        <is>
          <t>2022-07-26</t>
        </is>
      </c>
      <c r="B504" t="n">
        <v>6</v>
      </c>
      <c r="C504" s="6" t="n">
        <v>0</v>
      </c>
      <c r="D504" t="n">
        <v>1</v>
      </c>
    </row>
    <row r="505">
      <c r="A505" t="inlineStr">
        <is>
          <t>2022-07-26</t>
        </is>
      </c>
      <c r="B505" t="n">
        <v>9</v>
      </c>
      <c r="C505" s="6" t="n">
        <v>0</v>
      </c>
      <c r="D505" t="n">
        <v>1</v>
      </c>
    </row>
    <row r="506">
      <c r="A506" t="inlineStr">
        <is>
          <t>2022-07-26</t>
        </is>
      </c>
      <c r="B506" t="n">
        <v>7</v>
      </c>
      <c r="C506" s="6" t="n">
        <v>0</v>
      </c>
      <c r="D506" t="n">
        <v>1</v>
      </c>
    </row>
    <row r="507">
      <c r="A507" t="inlineStr">
        <is>
          <t>2022-07-26</t>
        </is>
      </c>
      <c r="B507" t="n">
        <v>8</v>
      </c>
      <c r="C507" s="6" t="n">
        <v>0</v>
      </c>
      <c r="D507" t="n">
        <v>1</v>
      </c>
    </row>
    <row r="508">
      <c r="A508" t="inlineStr">
        <is>
          <t>2022-07-27</t>
        </is>
      </c>
      <c r="B508" t="n">
        <v>1</v>
      </c>
      <c r="C508" s="6" t="n">
        <v>0</v>
      </c>
      <c r="D508" t="n">
        <v>1</v>
      </c>
    </row>
    <row r="509">
      <c r="A509" t="inlineStr">
        <is>
          <t>2022-07-27</t>
        </is>
      </c>
      <c r="B509" t="n">
        <v>2</v>
      </c>
      <c r="C509" s="6" t="n">
        <v>0</v>
      </c>
      <c r="D509" t="n">
        <v>1</v>
      </c>
    </row>
    <row r="510">
      <c r="A510" t="inlineStr">
        <is>
          <t>2022-07-27</t>
        </is>
      </c>
      <c r="B510" t="n">
        <v>3</v>
      </c>
      <c r="C510" s="6" t="n">
        <v>0</v>
      </c>
      <c r="D510" t="n">
        <v>1</v>
      </c>
    </row>
    <row r="511">
      <c r="A511" t="inlineStr">
        <is>
          <t>2022-07-27</t>
        </is>
      </c>
      <c r="B511" t="n">
        <v>5</v>
      </c>
      <c r="C511" s="6" t="n">
        <v>0</v>
      </c>
      <c r="D511" t="n">
        <v>1</v>
      </c>
    </row>
    <row r="512">
      <c r="A512" t="inlineStr">
        <is>
          <t>2022-07-27</t>
        </is>
      </c>
      <c r="B512" t="n">
        <v>4</v>
      </c>
      <c r="C512" s="6" t="n">
        <v>0</v>
      </c>
      <c r="D512" t="n">
        <v>1</v>
      </c>
    </row>
    <row r="513">
      <c r="A513" t="inlineStr">
        <is>
          <t>2022-07-27</t>
        </is>
      </c>
      <c r="B513" t="n">
        <v>6</v>
      </c>
      <c r="C513" s="6" t="n">
        <v>0</v>
      </c>
      <c r="D513" t="n">
        <v>1</v>
      </c>
    </row>
    <row r="514">
      <c r="A514" t="inlineStr">
        <is>
          <t>2022-07-28</t>
        </is>
      </c>
      <c r="B514" t="n">
        <v>1</v>
      </c>
      <c r="C514" s="6" t="n">
        <v>0</v>
      </c>
      <c r="D514" t="n">
        <v>1</v>
      </c>
    </row>
    <row r="515">
      <c r="A515" t="inlineStr">
        <is>
          <t>2022-07-28</t>
        </is>
      </c>
      <c r="B515" t="n">
        <v>8</v>
      </c>
      <c r="C515" s="6" t="n">
        <v>0</v>
      </c>
      <c r="D515" t="n">
        <v>1</v>
      </c>
    </row>
    <row r="516">
      <c r="A516" t="inlineStr">
        <is>
          <t>2022-07-28</t>
        </is>
      </c>
      <c r="B516" t="n">
        <v>4</v>
      </c>
      <c r="C516" s="6" t="n">
        <v>0</v>
      </c>
      <c r="D516" t="n">
        <v>1</v>
      </c>
    </row>
    <row r="517">
      <c r="A517" t="inlineStr">
        <is>
          <t>2022-07-28</t>
        </is>
      </c>
      <c r="B517" t="n">
        <v>3</v>
      </c>
      <c r="C517" s="6" t="n">
        <v>0</v>
      </c>
      <c r="D517" t="n">
        <v>1</v>
      </c>
    </row>
    <row r="518">
      <c r="A518" t="inlineStr">
        <is>
          <t>2022-07-28</t>
        </is>
      </c>
      <c r="B518" t="n">
        <v>2</v>
      </c>
      <c r="C518" s="6" t="n">
        <v>0</v>
      </c>
      <c r="D518" t="n">
        <v>1</v>
      </c>
    </row>
    <row r="519">
      <c r="A519" t="inlineStr">
        <is>
          <t>2022-07-28</t>
        </is>
      </c>
      <c r="B519" t="n">
        <v>6</v>
      </c>
      <c r="C519" s="6" t="n">
        <v>0</v>
      </c>
      <c r="D519" t="n">
        <v>1</v>
      </c>
    </row>
    <row r="520">
      <c r="A520" t="inlineStr">
        <is>
          <t>2022-07-28</t>
        </is>
      </c>
      <c r="B520" t="n">
        <v>7</v>
      </c>
      <c r="C520" s="6" t="n">
        <v>0</v>
      </c>
      <c r="D520" t="n">
        <v>1</v>
      </c>
    </row>
    <row r="521">
      <c r="A521" t="inlineStr">
        <is>
          <t>2022-07-28</t>
        </is>
      </c>
      <c r="B521" t="n">
        <v>5</v>
      </c>
      <c r="C521" s="6" t="n">
        <v>0</v>
      </c>
      <c r="D521" t="n">
        <v>1</v>
      </c>
    </row>
    <row r="522">
      <c r="A522" t="inlineStr">
        <is>
          <t>2022-07-28</t>
        </is>
      </c>
      <c r="B522" t="n">
        <v>9</v>
      </c>
      <c r="C522" s="6" t="n">
        <v>0</v>
      </c>
      <c r="D522" t="n">
        <v>1</v>
      </c>
    </row>
    <row r="523">
      <c r="A523" t="inlineStr">
        <is>
          <t>2022-07-28</t>
        </is>
      </c>
      <c r="B523" t="n">
        <v>10</v>
      </c>
      <c r="C523" s="6" t="n">
        <v>0</v>
      </c>
      <c r="D523" t="n">
        <v>1</v>
      </c>
    </row>
    <row r="524">
      <c r="A524" t="inlineStr">
        <is>
          <t>2022-07-28</t>
        </is>
      </c>
      <c r="B524" t="n">
        <v>11</v>
      </c>
      <c r="C524" s="6" t="n">
        <v>0</v>
      </c>
      <c r="D524" t="n">
        <v>1</v>
      </c>
    </row>
    <row r="525">
      <c r="A525" t="inlineStr">
        <is>
          <t>2022-07-29</t>
        </is>
      </c>
      <c r="B525" t="n">
        <v>1</v>
      </c>
      <c r="C525" s="6" t="n">
        <v>0</v>
      </c>
      <c r="D525" t="n">
        <v>1</v>
      </c>
    </row>
    <row r="526">
      <c r="A526" t="inlineStr">
        <is>
          <t>2022-07-29</t>
        </is>
      </c>
      <c r="B526" t="n">
        <v>2</v>
      </c>
      <c r="C526" s="6" t="n">
        <v>0</v>
      </c>
      <c r="D526" t="n">
        <v>1</v>
      </c>
    </row>
    <row r="527">
      <c r="A527" t="inlineStr">
        <is>
          <t>2022-07-29</t>
        </is>
      </c>
      <c r="B527" t="n">
        <v>3</v>
      </c>
      <c r="C527" s="6" t="n">
        <v>0</v>
      </c>
      <c r="D527" t="n">
        <v>1</v>
      </c>
    </row>
    <row r="528">
      <c r="A528" t="inlineStr">
        <is>
          <t>2022-07-29</t>
        </is>
      </c>
      <c r="B528" t="n">
        <v>4</v>
      </c>
      <c r="C528" s="6" t="n">
        <v>0</v>
      </c>
      <c r="D528" t="n">
        <v>1</v>
      </c>
    </row>
    <row r="529">
      <c r="A529" t="inlineStr">
        <is>
          <t>2022-07-30</t>
        </is>
      </c>
      <c r="B529" t="n">
        <v>6</v>
      </c>
      <c r="C529" s="6" t="n">
        <v>0</v>
      </c>
      <c r="D529" t="n">
        <v>1</v>
      </c>
    </row>
    <row r="530">
      <c r="A530" t="inlineStr">
        <is>
          <t>2022-07-30</t>
        </is>
      </c>
      <c r="B530" t="n">
        <v>1</v>
      </c>
      <c r="C530" s="6" t="n">
        <v>0</v>
      </c>
      <c r="D530" t="n">
        <v>1</v>
      </c>
    </row>
    <row r="531">
      <c r="A531" t="inlineStr">
        <is>
          <t>2022-07-30</t>
        </is>
      </c>
      <c r="B531" t="n">
        <v>2</v>
      </c>
      <c r="C531" s="6" t="n">
        <v>0</v>
      </c>
      <c r="D531" t="n">
        <v>1</v>
      </c>
    </row>
    <row r="532">
      <c r="A532" t="inlineStr">
        <is>
          <t>2022-07-30</t>
        </is>
      </c>
      <c r="B532" t="n">
        <v>3</v>
      </c>
      <c r="C532" s="6" t="n">
        <v>0</v>
      </c>
      <c r="D532" t="n">
        <v>1</v>
      </c>
    </row>
    <row r="533">
      <c r="A533" t="inlineStr">
        <is>
          <t>2022-07-30</t>
        </is>
      </c>
      <c r="B533" t="n">
        <v>4</v>
      </c>
      <c r="C533" s="6" t="n">
        <v>0</v>
      </c>
      <c r="D533" t="n">
        <v>1</v>
      </c>
    </row>
    <row r="534">
      <c r="A534" t="inlineStr">
        <is>
          <t>2022-07-30</t>
        </is>
      </c>
      <c r="B534" t="n">
        <v>5</v>
      </c>
      <c r="C534" s="6" t="n">
        <v>0</v>
      </c>
      <c r="D534" t="n">
        <v>1</v>
      </c>
    </row>
    <row r="535">
      <c r="A535" t="inlineStr">
        <is>
          <t>2022-07-30</t>
        </is>
      </c>
      <c r="B535" t="n">
        <v>8</v>
      </c>
      <c r="C535" s="6" t="n">
        <v>0</v>
      </c>
      <c r="D535" t="n">
        <v>1</v>
      </c>
    </row>
    <row r="536">
      <c r="A536" t="inlineStr">
        <is>
          <t>2022-07-30</t>
        </is>
      </c>
      <c r="B536" t="n">
        <v>9</v>
      </c>
      <c r="C536" s="6" t="n">
        <v>0</v>
      </c>
      <c r="D536" t="n">
        <v>1</v>
      </c>
    </row>
    <row r="537">
      <c r="A537" t="inlineStr">
        <is>
          <t>2022-07-30</t>
        </is>
      </c>
      <c r="B537" t="n">
        <v>11</v>
      </c>
      <c r="C537" s="6" t="n">
        <v>0</v>
      </c>
      <c r="D537" t="n">
        <v>1</v>
      </c>
    </row>
    <row r="538">
      <c r="A538" t="inlineStr">
        <is>
          <t>2022-07-30</t>
        </is>
      </c>
      <c r="B538" t="n">
        <v>7</v>
      </c>
      <c r="C538" s="6" t="n">
        <v>0</v>
      </c>
      <c r="D538" t="n">
        <v>1</v>
      </c>
    </row>
    <row r="539">
      <c r="A539" t="inlineStr">
        <is>
          <t>2022-07-30</t>
        </is>
      </c>
      <c r="B539" t="n">
        <v>12</v>
      </c>
      <c r="C539" s="6" t="n">
        <v>0</v>
      </c>
      <c r="D539" t="n">
        <v>1</v>
      </c>
    </row>
    <row r="540">
      <c r="A540" t="inlineStr">
        <is>
          <t>2022-07-30</t>
        </is>
      </c>
      <c r="B540" t="n">
        <v>10</v>
      </c>
      <c r="C540" s="6" t="n">
        <v>0</v>
      </c>
      <c r="D540" t="n">
        <v>1</v>
      </c>
    </row>
    <row r="541">
      <c r="A541" t="inlineStr">
        <is>
          <t>2022-07-31</t>
        </is>
      </c>
      <c r="B541" t="n">
        <v>1</v>
      </c>
      <c r="C541" s="6" t="n">
        <v>0</v>
      </c>
      <c r="D541" t="n">
        <v>1</v>
      </c>
    </row>
    <row r="542">
      <c r="A542" t="inlineStr">
        <is>
          <t>2022-07-31</t>
        </is>
      </c>
      <c r="B542" t="n">
        <v>2</v>
      </c>
      <c r="C542" s="6" t="n">
        <v>0</v>
      </c>
      <c r="D542" t="n">
        <v>1</v>
      </c>
    </row>
    <row r="543">
      <c r="A543" t="inlineStr">
        <is>
          <t>2022-07-31</t>
        </is>
      </c>
      <c r="B543" t="n">
        <v>4</v>
      </c>
      <c r="C543" s="6" t="n">
        <v>0</v>
      </c>
      <c r="D543" t="n">
        <v>1</v>
      </c>
    </row>
    <row r="544">
      <c r="A544" t="inlineStr">
        <is>
          <t>2022-07-31</t>
        </is>
      </c>
      <c r="B544" t="n">
        <v>3</v>
      </c>
      <c r="C544" s="6" t="n">
        <v>0</v>
      </c>
      <c r="D544" t="n">
        <v>1</v>
      </c>
    </row>
    <row r="545">
      <c r="A545" t="inlineStr">
        <is>
          <t>2022-07-31</t>
        </is>
      </c>
      <c r="B545" t="n">
        <v>5</v>
      </c>
      <c r="C545" s="6" t="n">
        <v>0</v>
      </c>
      <c r="D545" t="n">
        <v>1</v>
      </c>
    </row>
    <row r="546">
      <c r="A546" t="inlineStr">
        <is>
          <t>2022-07-31</t>
        </is>
      </c>
      <c r="B546" t="n">
        <v>6</v>
      </c>
      <c r="C546" s="6" t="n">
        <v>0</v>
      </c>
      <c r="D546" t="n">
        <v>1</v>
      </c>
    </row>
    <row r="547">
      <c r="A547" t="inlineStr">
        <is>
          <t>2022-07-31</t>
        </is>
      </c>
      <c r="B547" t="n">
        <v>8</v>
      </c>
      <c r="C547" s="6" t="n">
        <v>0</v>
      </c>
      <c r="D547" t="n">
        <v>1</v>
      </c>
    </row>
    <row r="548">
      <c r="A548" t="inlineStr">
        <is>
          <t>2022-07-31</t>
        </is>
      </c>
      <c r="B548" t="n">
        <v>7</v>
      </c>
      <c r="C548" s="6" t="n">
        <v>0</v>
      </c>
      <c r="D548" t="n">
        <v>1</v>
      </c>
    </row>
    <row r="549">
      <c r="A549" t="inlineStr">
        <is>
          <t>2022-07-31</t>
        </is>
      </c>
      <c r="B549" t="n">
        <v>9</v>
      </c>
      <c r="C549" s="6" t="n">
        <v>0</v>
      </c>
      <c r="D549" t="n">
        <v>1</v>
      </c>
    </row>
    <row r="550">
      <c r="A550" t="inlineStr">
        <is>
          <t>2022-08-02</t>
        </is>
      </c>
      <c r="B550" t="n">
        <v>1</v>
      </c>
      <c r="C550" s="6" t="n">
        <v>0</v>
      </c>
      <c r="D550" t="n">
        <v>1</v>
      </c>
    </row>
    <row r="551">
      <c r="A551" t="inlineStr">
        <is>
          <t>2022-08-02</t>
        </is>
      </c>
      <c r="B551" t="n">
        <v>3</v>
      </c>
      <c r="C551" s="6" t="n">
        <v>0</v>
      </c>
      <c r="D551" t="n">
        <v>1</v>
      </c>
    </row>
    <row r="552">
      <c r="A552" t="inlineStr">
        <is>
          <t>2022-08-02</t>
        </is>
      </c>
      <c r="B552" t="n">
        <v>4</v>
      </c>
      <c r="C552" s="6" t="n">
        <v>0</v>
      </c>
      <c r="D552" t="n">
        <v>1</v>
      </c>
    </row>
    <row r="553">
      <c r="A553" t="inlineStr">
        <is>
          <t>2022-08-02</t>
        </is>
      </c>
      <c r="B553" t="n">
        <v>2</v>
      </c>
      <c r="C553" s="6" t="n">
        <v>0</v>
      </c>
      <c r="D553" t="n">
        <v>1</v>
      </c>
    </row>
    <row r="554">
      <c r="A554" t="inlineStr">
        <is>
          <t>2022-08-02</t>
        </is>
      </c>
      <c r="B554" t="n">
        <v>7</v>
      </c>
      <c r="C554" s="6" t="n">
        <v>0</v>
      </c>
      <c r="D554" t="n">
        <v>1</v>
      </c>
    </row>
    <row r="555">
      <c r="A555" t="inlineStr">
        <is>
          <t>2022-08-02</t>
        </is>
      </c>
      <c r="B555" t="n">
        <v>5</v>
      </c>
      <c r="C555" s="6" t="n">
        <v>0</v>
      </c>
      <c r="D555" t="n">
        <v>1</v>
      </c>
    </row>
    <row r="556">
      <c r="A556" t="inlineStr">
        <is>
          <t>2022-08-02</t>
        </is>
      </c>
      <c r="B556" t="n">
        <v>8</v>
      </c>
      <c r="C556" s="6" t="n">
        <v>0</v>
      </c>
      <c r="D556" t="n">
        <v>1</v>
      </c>
    </row>
    <row r="557">
      <c r="A557" t="inlineStr">
        <is>
          <t>2022-08-02</t>
        </is>
      </c>
      <c r="B557" t="n">
        <v>6</v>
      </c>
      <c r="C557" s="6" t="n">
        <v>0</v>
      </c>
      <c r="D557" t="n">
        <v>1</v>
      </c>
    </row>
    <row r="558">
      <c r="A558" t="inlineStr">
        <is>
          <t>2022-08-03</t>
        </is>
      </c>
      <c r="B558" t="n">
        <v>2</v>
      </c>
      <c r="C558" s="6" t="n">
        <v>0</v>
      </c>
      <c r="D558" t="n">
        <v>1</v>
      </c>
    </row>
    <row r="559">
      <c r="A559" t="inlineStr">
        <is>
          <t>2022-08-03</t>
        </is>
      </c>
      <c r="B559" t="n">
        <v>1</v>
      </c>
      <c r="C559" s="6" t="n">
        <v>0</v>
      </c>
      <c r="D559" t="n">
        <v>1</v>
      </c>
    </row>
    <row r="560">
      <c r="A560" t="inlineStr">
        <is>
          <t>2022-08-03</t>
        </is>
      </c>
      <c r="B560" t="n">
        <v>3</v>
      </c>
      <c r="C560" s="6" t="n">
        <v>0</v>
      </c>
      <c r="D560" t="n">
        <v>1</v>
      </c>
    </row>
    <row r="561">
      <c r="A561" t="inlineStr">
        <is>
          <t>2022-08-03</t>
        </is>
      </c>
      <c r="B561" t="n">
        <v>6</v>
      </c>
      <c r="C561" s="6" t="n">
        <v>0</v>
      </c>
      <c r="D561" t="n">
        <v>1</v>
      </c>
    </row>
    <row r="562">
      <c r="A562" t="inlineStr">
        <is>
          <t>2022-08-03</t>
        </is>
      </c>
      <c r="B562" t="n">
        <v>4</v>
      </c>
      <c r="C562" s="6" t="n">
        <v>0</v>
      </c>
      <c r="D562" t="n">
        <v>1</v>
      </c>
    </row>
    <row r="563">
      <c r="A563" t="inlineStr">
        <is>
          <t>2022-08-03</t>
        </is>
      </c>
      <c r="B563" t="n">
        <v>5</v>
      </c>
      <c r="C563" s="6" t="n">
        <v>0</v>
      </c>
      <c r="D563" t="n">
        <v>1</v>
      </c>
    </row>
    <row r="564">
      <c r="A564" t="inlineStr">
        <is>
          <t>2022-08-03</t>
        </is>
      </c>
      <c r="B564" t="n">
        <v>7</v>
      </c>
      <c r="C564" s="6" t="n">
        <v>0</v>
      </c>
      <c r="D564" t="n">
        <v>1</v>
      </c>
    </row>
    <row r="565">
      <c r="A565" t="inlineStr">
        <is>
          <t>2022-08-03</t>
        </is>
      </c>
      <c r="B565" t="n">
        <v>8</v>
      </c>
      <c r="C565" s="6" t="n">
        <v>0</v>
      </c>
      <c r="D565" t="n">
        <v>1</v>
      </c>
    </row>
    <row r="566">
      <c r="A566" t="inlineStr">
        <is>
          <t>2022-08-04</t>
        </is>
      </c>
      <c r="B566" t="n">
        <v>1</v>
      </c>
      <c r="C566" s="6" t="n">
        <v>0</v>
      </c>
      <c r="D566" t="n">
        <v>1</v>
      </c>
    </row>
    <row r="567">
      <c r="A567" t="inlineStr">
        <is>
          <t>2022-08-04</t>
        </is>
      </c>
      <c r="B567" t="n">
        <v>3</v>
      </c>
      <c r="C567" s="6" t="n">
        <v>0</v>
      </c>
      <c r="D567" t="n">
        <v>1</v>
      </c>
    </row>
    <row r="568">
      <c r="A568" t="inlineStr">
        <is>
          <t>2022-08-04</t>
        </is>
      </c>
      <c r="B568" t="n">
        <v>2</v>
      </c>
      <c r="C568" s="6" t="n">
        <v>0</v>
      </c>
      <c r="D568" t="n">
        <v>1</v>
      </c>
    </row>
    <row r="569">
      <c r="A569" t="inlineStr">
        <is>
          <t>2022-08-04</t>
        </is>
      </c>
      <c r="B569" t="n">
        <v>4</v>
      </c>
      <c r="C569" s="6" t="n">
        <v>0</v>
      </c>
      <c r="D569" t="n">
        <v>1</v>
      </c>
    </row>
    <row r="570">
      <c r="A570" t="inlineStr">
        <is>
          <t>2022-08-05</t>
        </is>
      </c>
      <c r="B570" t="n">
        <v>2</v>
      </c>
      <c r="C570" s="6" t="n">
        <v>0</v>
      </c>
      <c r="D570" t="n">
        <v>1</v>
      </c>
    </row>
    <row r="571">
      <c r="A571" t="inlineStr">
        <is>
          <t>2022-08-05</t>
        </is>
      </c>
      <c r="B571" t="n">
        <v>1</v>
      </c>
      <c r="C571" s="6" t="n">
        <v>0</v>
      </c>
      <c r="D571" t="n">
        <v>1</v>
      </c>
    </row>
    <row r="572">
      <c r="A572" t="inlineStr">
        <is>
          <t>2022-08-05</t>
        </is>
      </c>
      <c r="B572" t="n">
        <v>3</v>
      </c>
      <c r="C572" s="6" t="n">
        <v>0</v>
      </c>
      <c r="D572" t="n">
        <v>1</v>
      </c>
    </row>
    <row r="573">
      <c r="A573" t="inlineStr">
        <is>
          <t>2022-08-05</t>
        </is>
      </c>
      <c r="B573" t="n">
        <v>5</v>
      </c>
      <c r="C573" s="6" t="n">
        <v>0</v>
      </c>
      <c r="D573" t="n">
        <v>1</v>
      </c>
    </row>
    <row r="574">
      <c r="A574" t="inlineStr">
        <is>
          <t>2022-08-05</t>
        </is>
      </c>
      <c r="B574" t="n">
        <v>4</v>
      </c>
      <c r="C574" s="6" t="n">
        <v>0</v>
      </c>
      <c r="D574" t="n">
        <v>1</v>
      </c>
    </row>
    <row r="575">
      <c r="A575" t="inlineStr">
        <is>
          <t>2022-08-06</t>
        </is>
      </c>
      <c r="B575" t="n">
        <v>1</v>
      </c>
      <c r="C575" s="6" t="n">
        <v>0</v>
      </c>
      <c r="D575" t="n">
        <v>1</v>
      </c>
    </row>
    <row r="576">
      <c r="A576" t="inlineStr">
        <is>
          <t>2022-08-06</t>
        </is>
      </c>
      <c r="B576" t="n">
        <v>2</v>
      </c>
      <c r="C576" s="6" t="n">
        <v>0</v>
      </c>
      <c r="D576" t="n">
        <v>1</v>
      </c>
    </row>
    <row r="577">
      <c r="A577" t="inlineStr">
        <is>
          <t>2022-08-06</t>
        </is>
      </c>
      <c r="B577" t="n">
        <v>3</v>
      </c>
      <c r="C577" s="6" t="n">
        <v>0</v>
      </c>
      <c r="D577" t="n">
        <v>1</v>
      </c>
    </row>
    <row r="578">
      <c r="A578" t="inlineStr">
        <is>
          <t>2022-08-06</t>
        </is>
      </c>
      <c r="B578" t="n">
        <v>4</v>
      </c>
      <c r="C578" s="6" t="n">
        <v>0</v>
      </c>
      <c r="D578" t="n">
        <v>1</v>
      </c>
    </row>
    <row r="579">
      <c r="A579" t="inlineStr">
        <is>
          <t>2022-08-07</t>
        </is>
      </c>
      <c r="B579" t="n">
        <v>1</v>
      </c>
      <c r="C579" s="6" t="n">
        <v>0</v>
      </c>
      <c r="D579" t="n">
        <v>1</v>
      </c>
    </row>
    <row r="580">
      <c r="A580" t="inlineStr">
        <is>
          <t>2022-08-07</t>
        </is>
      </c>
      <c r="B580" t="n">
        <v>3</v>
      </c>
      <c r="C580" s="6" t="n">
        <v>0</v>
      </c>
      <c r="D580" t="n">
        <v>1</v>
      </c>
    </row>
    <row r="581">
      <c r="A581" t="inlineStr">
        <is>
          <t>2022-08-07</t>
        </is>
      </c>
      <c r="B581" t="n">
        <v>6</v>
      </c>
      <c r="C581" s="6" t="n">
        <v>0</v>
      </c>
      <c r="D581" t="n">
        <v>1</v>
      </c>
    </row>
    <row r="582">
      <c r="A582" t="inlineStr">
        <is>
          <t>2022-08-07</t>
        </is>
      </c>
      <c r="B582" t="n">
        <v>2</v>
      </c>
      <c r="C582" s="6" t="n">
        <v>0</v>
      </c>
      <c r="D582" t="n">
        <v>1</v>
      </c>
    </row>
    <row r="583">
      <c r="A583" t="inlineStr">
        <is>
          <t>2022-08-07</t>
        </is>
      </c>
      <c r="B583" t="n">
        <v>5</v>
      </c>
      <c r="C583" s="6" t="n">
        <v>0</v>
      </c>
      <c r="D583" t="n">
        <v>1</v>
      </c>
    </row>
    <row r="584">
      <c r="A584" t="inlineStr">
        <is>
          <t>2022-08-07</t>
        </is>
      </c>
      <c r="B584" t="n">
        <v>7</v>
      </c>
      <c r="C584" s="6" t="n">
        <v>0</v>
      </c>
      <c r="D584" t="n">
        <v>1</v>
      </c>
    </row>
    <row r="585">
      <c r="A585" t="inlineStr">
        <is>
          <t>2022-08-07</t>
        </is>
      </c>
      <c r="B585" t="n">
        <v>8</v>
      </c>
      <c r="C585" s="6" t="n">
        <v>0</v>
      </c>
      <c r="D585" t="n">
        <v>1</v>
      </c>
    </row>
    <row r="586">
      <c r="A586" t="inlineStr">
        <is>
          <t>2022-08-07</t>
        </is>
      </c>
      <c r="B586" t="n">
        <v>4</v>
      </c>
      <c r="C586" s="6" t="n">
        <v>0</v>
      </c>
      <c r="D586" t="n">
        <v>1</v>
      </c>
    </row>
    <row r="587">
      <c r="A587" t="inlineStr">
        <is>
          <t>2022-08-09</t>
        </is>
      </c>
      <c r="B587" t="n">
        <v>3</v>
      </c>
      <c r="C587" s="6" t="n">
        <v>0</v>
      </c>
      <c r="D587" t="n">
        <v>1</v>
      </c>
    </row>
    <row r="588">
      <c r="A588" t="inlineStr">
        <is>
          <t>2022-08-09</t>
        </is>
      </c>
      <c r="B588" t="n">
        <v>4</v>
      </c>
      <c r="C588" s="6" t="n">
        <v>0</v>
      </c>
      <c r="D588" t="n">
        <v>1</v>
      </c>
    </row>
    <row r="589">
      <c r="A589" t="inlineStr">
        <is>
          <t>2022-08-09</t>
        </is>
      </c>
      <c r="B589" t="n">
        <v>2</v>
      </c>
      <c r="C589" s="6" t="n">
        <v>0</v>
      </c>
      <c r="D589" t="n">
        <v>1</v>
      </c>
    </row>
    <row r="590">
      <c r="A590" t="inlineStr">
        <is>
          <t>2022-08-09</t>
        </is>
      </c>
      <c r="B590" t="n">
        <v>1</v>
      </c>
      <c r="C590" s="6" t="n">
        <v>0</v>
      </c>
      <c r="D590" t="n">
        <v>1</v>
      </c>
    </row>
    <row r="591">
      <c r="A591" t="inlineStr">
        <is>
          <t>2022-08-09</t>
        </is>
      </c>
      <c r="B591" t="n">
        <v>5</v>
      </c>
      <c r="C591" s="6" t="n">
        <v>0</v>
      </c>
      <c r="D591" t="n">
        <v>1</v>
      </c>
    </row>
    <row r="592">
      <c r="A592" t="inlineStr">
        <is>
          <t>2022-08-09</t>
        </is>
      </c>
      <c r="B592" t="n">
        <v>8</v>
      </c>
      <c r="C592" s="6" t="n">
        <v>0</v>
      </c>
      <c r="D592" t="n">
        <v>1</v>
      </c>
    </row>
    <row r="593">
      <c r="A593" t="inlineStr">
        <is>
          <t>2022-08-09</t>
        </is>
      </c>
      <c r="B593" t="n">
        <v>9</v>
      </c>
      <c r="C593" s="6" t="n">
        <v>0</v>
      </c>
      <c r="D593" t="n">
        <v>1</v>
      </c>
    </row>
    <row r="594">
      <c r="A594" t="inlineStr">
        <is>
          <t>2022-08-09</t>
        </is>
      </c>
      <c r="B594" t="n">
        <v>11</v>
      </c>
      <c r="C594" s="6" t="n">
        <v>0</v>
      </c>
      <c r="D594" t="n">
        <v>1</v>
      </c>
    </row>
    <row r="595">
      <c r="A595" t="inlineStr">
        <is>
          <t>2022-08-09</t>
        </is>
      </c>
      <c r="B595" t="n">
        <v>6</v>
      </c>
      <c r="C595" s="6" t="n">
        <v>0</v>
      </c>
      <c r="D595" t="n">
        <v>1</v>
      </c>
    </row>
    <row r="596">
      <c r="A596" t="inlineStr">
        <is>
          <t>2022-08-09</t>
        </is>
      </c>
      <c r="B596" t="n">
        <v>13</v>
      </c>
      <c r="C596" s="6" t="n">
        <v>0</v>
      </c>
      <c r="D596" t="n">
        <v>1</v>
      </c>
    </row>
    <row r="597">
      <c r="A597" t="inlineStr">
        <is>
          <t>2022-08-09</t>
        </is>
      </c>
      <c r="B597" t="n">
        <v>10</v>
      </c>
      <c r="C597" s="6" t="n">
        <v>0</v>
      </c>
      <c r="D597" t="n">
        <v>1</v>
      </c>
    </row>
    <row r="598">
      <c r="A598" t="inlineStr">
        <is>
          <t>2022-08-09</t>
        </is>
      </c>
      <c r="B598" t="n">
        <v>7</v>
      </c>
      <c r="C598" s="6" t="n">
        <v>0</v>
      </c>
      <c r="D598" t="n">
        <v>1</v>
      </c>
    </row>
    <row r="599">
      <c r="A599" t="inlineStr">
        <is>
          <t>2022-08-09</t>
        </is>
      </c>
      <c r="B599" t="n">
        <v>12</v>
      </c>
      <c r="C599" s="6" t="n">
        <v>0</v>
      </c>
      <c r="D599" t="n">
        <v>1</v>
      </c>
    </row>
    <row r="600">
      <c r="A600" t="inlineStr">
        <is>
          <t>2022-08-10</t>
        </is>
      </c>
      <c r="B600" t="n">
        <v>2</v>
      </c>
      <c r="C600" s="6" t="n">
        <v>0</v>
      </c>
      <c r="D600" t="n">
        <v>1</v>
      </c>
    </row>
    <row r="601">
      <c r="A601" t="inlineStr">
        <is>
          <t>2022-08-10</t>
        </is>
      </c>
      <c r="B601" t="n">
        <v>5</v>
      </c>
      <c r="C601" s="6" t="n">
        <v>0</v>
      </c>
      <c r="D601" t="n">
        <v>1</v>
      </c>
    </row>
    <row r="602">
      <c r="A602" t="inlineStr">
        <is>
          <t>2022-08-10</t>
        </is>
      </c>
      <c r="B602" t="n">
        <v>3</v>
      </c>
      <c r="C602" s="6" t="n">
        <v>0</v>
      </c>
      <c r="D602" t="n">
        <v>1</v>
      </c>
    </row>
    <row r="603">
      <c r="A603" t="inlineStr">
        <is>
          <t>2022-08-10</t>
        </is>
      </c>
      <c r="B603" t="n">
        <v>1</v>
      </c>
      <c r="C603" s="6" t="n">
        <v>0</v>
      </c>
      <c r="D603" t="n">
        <v>1</v>
      </c>
    </row>
    <row r="604">
      <c r="A604" t="inlineStr">
        <is>
          <t>2022-08-10</t>
        </is>
      </c>
      <c r="B604" t="n">
        <v>4</v>
      </c>
      <c r="C604" s="6" t="n">
        <v>0</v>
      </c>
      <c r="D604" t="n">
        <v>1</v>
      </c>
    </row>
    <row r="605">
      <c r="A605" t="inlineStr">
        <is>
          <t>2022-08-10</t>
        </is>
      </c>
      <c r="B605" t="n">
        <v>6</v>
      </c>
      <c r="C605" s="6" t="n">
        <v>0</v>
      </c>
      <c r="D605" t="n">
        <v>1</v>
      </c>
    </row>
    <row r="606">
      <c r="A606" t="inlineStr">
        <is>
          <t>2022-08-10</t>
        </is>
      </c>
      <c r="B606" t="n">
        <v>7</v>
      </c>
      <c r="C606" s="6" t="n">
        <v>0</v>
      </c>
      <c r="D606" t="n">
        <v>1</v>
      </c>
    </row>
    <row r="607">
      <c r="A607" t="inlineStr">
        <is>
          <t>2022-08-11</t>
        </is>
      </c>
      <c r="B607" t="n">
        <v>2</v>
      </c>
      <c r="C607" s="6" t="n">
        <v>0</v>
      </c>
      <c r="D607" t="n">
        <v>1</v>
      </c>
    </row>
    <row r="608">
      <c r="A608" t="inlineStr">
        <is>
          <t>2022-08-11</t>
        </is>
      </c>
      <c r="B608" t="n">
        <v>3</v>
      </c>
      <c r="C608" s="6" t="n">
        <v>0</v>
      </c>
      <c r="D608" t="n">
        <v>1</v>
      </c>
    </row>
    <row r="609">
      <c r="A609" t="inlineStr">
        <is>
          <t>2022-08-11</t>
        </is>
      </c>
      <c r="B609" t="n">
        <v>1</v>
      </c>
      <c r="C609" s="6" t="n">
        <v>0</v>
      </c>
      <c r="D609" t="n">
        <v>1</v>
      </c>
    </row>
    <row r="610">
      <c r="A610" t="inlineStr">
        <is>
          <t>2022-08-11</t>
        </is>
      </c>
      <c r="B610" t="n">
        <v>4</v>
      </c>
      <c r="C610" s="6" t="n">
        <v>0</v>
      </c>
      <c r="D610" t="n">
        <v>1</v>
      </c>
    </row>
    <row r="611">
      <c r="A611" t="inlineStr">
        <is>
          <t>2022-08-11</t>
        </is>
      </c>
      <c r="B611" t="n">
        <v>6</v>
      </c>
      <c r="C611" s="6" t="n">
        <v>0</v>
      </c>
      <c r="D611" t="n">
        <v>1</v>
      </c>
    </row>
    <row r="612">
      <c r="A612" t="inlineStr">
        <is>
          <t>2022-08-11</t>
        </is>
      </c>
      <c r="B612" t="n">
        <v>5</v>
      </c>
      <c r="C612" s="6" t="n">
        <v>0</v>
      </c>
      <c r="D612" t="n">
        <v>1</v>
      </c>
    </row>
    <row r="613">
      <c r="A613" t="inlineStr">
        <is>
          <t>2022-08-11</t>
        </is>
      </c>
      <c r="B613" t="n">
        <v>7</v>
      </c>
      <c r="C613" s="6" t="n">
        <v>0</v>
      </c>
      <c r="D613" t="n">
        <v>1</v>
      </c>
    </row>
    <row r="614">
      <c r="A614" t="inlineStr">
        <is>
          <t>2022-08-12</t>
        </is>
      </c>
      <c r="B614" t="n">
        <v>1</v>
      </c>
      <c r="C614" s="6" t="n">
        <v>0</v>
      </c>
      <c r="D614" t="n">
        <v>1</v>
      </c>
    </row>
    <row r="615">
      <c r="A615" t="inlineStr">
        <is>
          <t>2022-08-12</t>
        </is>
      </c>
      <c r="B615" t="n">
        <v>2</v>
      </c>
      <c r="C615" s="6" t="n">
        <v>0</v>
      </c>
      <c r="D615" t="n">
        <v>1</v>
      </c>
    </row>
    <row r="616">
      <c r="A616" t="inlineStr">
        <is>
          <t>2022-08-12</t>
        </is>
      </c>
      <c r="B616" t="n">
        <v>3</v>
      </c>
      <c r="C616" s="6" t="n">
        <v>0</v>
      </c>
      <c r="D616" t="n">
        <v>1</v>
      </c>
    </row>
    <row r="617">
      <c r="A617" t="inlineStr">
        <is>
          <t>2022-08-12</t>
        </is>
      </c>
      <c r="B617" t="n">
        <v>5</v>
      </c>
      <c r="C617" s="6" t="n">
        <v>0</v>
      </c>
      <c r="D617" t="n">
        <v>1</v>
      </c>
    </row>
    <row r="618">
      <c r="A618" t="inlineStr">
        <is>
          <t>2022-08-12</t>
        </is>
      </c>
      <c r="B618" t="n">
        <v>4</v>
      </c>
      <c r="C618" s="6" t="n">
        <v>0</v>
      </c>
      <c r="D618" t="n">
        <v>1</v>
      </c>
    </row>
    <row r="619">
      <c r="A619" t="inlineStr">
        <is>
          <t>2022-08-12</t>
        </is>
      </c>
      <c r="B619" t="n">
        <v>6</v>
      </c>
      <c r="C619" s="6" t="n">
        <v>0</v>
      </c>
      <c r="D619" t="n">
        <v>1</v>
      </c>
    </row>
    <row r="620">
      <c r="A620" t="inlineStr">
        <is>
          <t>2022-08-13</t>
        </is>
      </c>
      <c r="B620" t="n">
        <v>1</v>
      </c>
      <c r="C620" s="6" t="n">
        <v>0</v>
      </c>
      <c r="D620" t="n">
        <v>1</v>
      </c>
    </row>
    <row r="621">
      <c r="A621" t="inlineStr">
        <is>
          <t>2022-08-13</t>
        </is>
      </c>
      <c r="B621" t="n">
        <v>2</v>
      </c>
      <c r="C621" s="6" t="n">
        <v>0</v>
      </c>
      <c r="D621" t="n">
        <v>1</v>
      </c>
    </row>
    <row r="622">
      <c r="A622" t="inlineStr">
        <is>
          <t>2022-08-13</t>
        </is>
      </c>
      <c r="B622" t="n">
        <v>5</v>
      </c>
      <c r="C622" s="6" t="n">
        <v>0</v>
      </c>
      <c r="D622" t="n">
        <v>1</v>
      </c>
    </row>
    <row r="623">
      <c r="A623" t="inlineStr">
        <is>
          <t>2022-08-13</t>
        </is>
      </c>
      <c r="B623" t="n">
        <v>4</v>
      </c>
      <c r="C623" s="6" t="n">
        <v>0</v>
      </c>
      <c r="D623" t="n">
        <v>1</v>
      </c>
    </row>
    <row r="624">
      <c r="A624" t="inlineStr">
        <is>
          <t>2022-08-13</t>
        </is>
      </c>
      <c r="B624" t="n">
        <v>8</v>
      </c>
      <c r="C624" s="6" t="n">
        <v>0</v>
      </c>
      <c r="D624" t="n">
        <v>1</v>
      </c>
    </row>
    <row r="625">
      <c r="A625" t="inlineStr">
        <is>
          <t>2022-08-13</t>
        </is>
      </c>
      <c r="B625" t="n">
        <v>3</v>
      </c>
      <c r="C625" s="6" t="n">
        <v>0</v>
      </c>
      <c r="D625" t="n">
        <v>1</v>
      </c>
    </row>
    <row r="626">
      <c r="A626" t="inlineStr">
        <is>
          <t>2022-08-13</t>
        </is>
      </c>
      <c r="B626" t="n">
        <v>6</v>
      </c>
      <c r="C626" s="6" t="n">
        <v>0</v>
      </c>
      <c r="D626" t="n">
        <v>1</v>
      </c>
    </row>
    <row r="627">
      <c r="A627" t="inlineStr">
        <is>
          <t>2022-08-13</t>
        </is>
      </c>
      <c r="B627" t="n">
        <v>7</v>
      </c>
      <c r="C627" s="6" t="n">
        <v>0</v>
      </c>
      <c r="D627" t="n">
        <v>1</v>
      </c>
    </row>
    <row r="628">
      <c r="A628" t="inlineStr">
        <is>
          <t>2022-08-13</t>
        </is>
      </c>
      <c r="B628" t="n">
        <v>9</v>
      </c>
      <c r="C628" s="6" t="n">
        <v>0</v>
      </c>
      <c r="D628" t="n">
        <v>1</v>
      </c>
    </row>
    <row r="629">
      <c r="A629" t="inlineStr">
        <is>
          <t>2022-08-14</t>
        </is>
      </c>
      <c r="B629" t="n">
        <v>3</v>
      </c>
      <c r="C629" s="6" t="n">
        <v>0</v>
      </c>
      <c r="D629" t="n">
        <v>1</v>
      </c>
    </row>
    <row r="630">
      <c r="A630" t="inlineStr">
        <is>
          <t>2022-08-14</t>
        </is>
      </c>
      <c r="B630" t="n">
        <v>4</v>
      </c>
      <c r="C630" s="6" t="n">
        <v>0</v>
      </c>
      <c r="D630" t="n">
        <v>1</v>
      </c>
    </row>
    <row r="631">
      <c r="A631" t="inlineStr">
        <is>
          <t>2022-08-14</t>
        </is>
      </c>
      <c r="B631" t="n">
        <v>5</v>
      </c>
      <c r="C631" s="6" t="n">
        <v>0</v>
      </c>
      <c r="D631" t="n">
        <v>1</v>
      </c>
    </row>
    <row r="632">
      <c r="A632" t="inlineStr">
        <is>
          <t>2022-08-14</t>
        </is>
      </c>
      <c r="B632" t="n">
        <v>1</v>
      </c>
      <c r="C632" s="6" t="n">
        <v>0</v>
      </c>
      <c r="D632" t="n">
        <v>1</v>
      </c>
    </row>
    <row r="633">
      <c r="A633" t="inlineStr">
        <is>
          <t>2022-08-14</t>
        </is>
      </c>
      <c r="B633" t="n">
        <v>2</v>
      </c>
      <c r="C633" s="6" t="n">
        <v>0</v>
      </c>
      <c r="D633" t="n">
        <v>1</v>
      </c>
    </row>
    <row r="634">
      <c r="A634" t="inlineStr">
        <is>
          <t>2022-08-16</t>
        </is>
      </c>
      <c r="B634" t="n">
        <v>2</v>
      </c>
      <c r="C634" s="6" t="n">
        <v>0</v>
      </c>
      <c r="D634" t="n">
        <v>1</v>
      </c>
    </row>
    <row r="635">
      <c r="A635" t="inlineStr">
        <is>
          <t>2022-08-16</t>
        </is>
      </c>
      <c r="B635" t="n">
        <v>1</v>
      </c>
      <c r="C635" s="6" t="n">
        <v>0</v>
      </c>
      <c r="D635" t="n">
        <v>1</v>
      </c>
    </row>
    <row r="636">
      <c r="A636" t="inlineStr">
        <is>
          <t>2022-08-16</t>
        </is>
      </c>
      <c r="B636" t="n">
        <v>3</v>
      </c>
      <c r="C636" s="6" t="n">
        <v>0</v>
      </c>
      <c r="D636" t="n">
        <v>1</v>
      </c>
    </row>
    <row r="637">
      <c r="A637" t="inlineStr">
        <is>
          <t>2022-08-16</t>
        </is>
      </c>
      <c r="B637" t="n">
        <v>8</v>
      </c>
      <c r="C637" s="6" t="n">
        <v>0</v>
      </c>
      <c r="D637" t="n">
        <v>1</v>
      </c>
    </row>
    <row r="638">
      <c r="A638" t="inlineStr">
        <is>
          <t>2022-08-16</t>
        </is>
      </c>
      <c r="B638" t="n">
        <v>4</v>
      </c>
      <c r="C638" s="6" t="n">
        <v>0</v>
      </c>
      <c r="D638" t="n">
        <v>1</v>
      </c>
    </row>
    <row r="639">
      <c r="A639" t="inlineStr">
        <is>
          <t>2022-08-16</t>
        </is>
      </c>
      <c r="B639" t="n">
        <v>7</v>
      </c>
      <c r="C639" s="6" t="n">
        <v>0</v>
      </c>
      <c r="D639" t="n">
        <v>1</v>
      </c>
    </row>
    <row r="640">
      <c r="A640" t="inlineStr">
        <is>
          <t>2022-08-16</t>
        </is>
      </c>
      <c r="B640" t="n">
        <v>5</v>
      </c>
      <c r="C640" s="6" t="n">
        <v>0</v>
      </c>
      <c r="D640" t="n">
        <v>1</v>
      </c>
    </row>
    <row r="641">
      <c r="A641" t="inlineStr">
        <is>
          <t>2022-08-16</t>
        </is>
      </c>
      <c r="B641" t="n">
        <v>6</v>
      </c>
      <c r="C641" s="6" t="n">
        <v>0</v>
      </c>
      <c r="D641" t="n">
        <v>1</v>
      </c>
    </row>
    <row r="642">
      <c r="A642" t="inlineStr">
        <is>
          <t>2022-08-16</t>
        </is>
      </c>
      <c r="B642" t="n">
        <v>9</v>
      </c>
      <c r="C642" s="6" t="n">
        <v>0</v>
      </c>
      <c r="D642" t="n">
        <v>1</v>
      </c>
    </row>
    <row r="643">
      <c r="A643" t="inlineStr">
        <is>
          <t>2022-08-17</t>
        </is>
      </c>
      <c r="B643" t="n">
        <v>5</v>
      </c>
      <c r="C643" s="6" t="n">
        <v>0</v>
      </c>
      <c r="D643" t="n">
        <v>1</v>
      </c>
    </row>
    <row r="644">
      <c r="A644" t="inlineStr">
        <is>
          <t>2022-08-17</t>
        </is>
      </c>
      <c r="B644" t="n">
        <v>3</v>
      </c>
      <c r="C644" s="6" t="n">
        <v>0</v>
      </c>
      <c r="D644" t="n">
        <v>1</v>
      </c>
    </row>
    <row r="645">
      <c r="A645" t="inlineStr">
        <is>
          <t>2022-08-17</t>
        </is>
      </c>
      <c r="B645" t="n">
        <v>6</v>
      </c>
      <c r="C645" s="6" t="n">
        <v>0</v>
      </c>
      <c r="D645" t="n">
        <v>1</v>
      </c>
    </row>
    <row r="646">
      <c r="A646" t="inlineStr">
        <is>
          <t>2022-08-17</t>
        </is>
      </c>
      <c r="B646" t="n">
        <v>2</v>
      </c>
      <c r="C646" s="6" t="n">
        <v>0</v>
      </c>
      <c r="D646" t="n">
        <v>1</v>
      </c>
    </row>
    <row r="647">
      <c r="A647" t="inlineStr">
        <is>
          <t>2022-08-17</t>
        </is>
      </c>
      <c r="B647" t="n">
        <v>1</v>
      </c>
      <c r="C647" s="6" t="n">
        <v>0</v>
      </c>
      <c r="D647" t="n">
        <v>1</v>
      </c>
    </row>
    <row r="648">
      <c r="A648" t="inlineStr">
        <is>
          <t>2022-08-17</t>
        </is>
      </c>
      <c r="B648" t="n">
        <v>7</v>
      </c>
      <c r="C648" s="6" t="n">
        <v>0</v>
      </c>
      <c r="D648" t="n">
        <v>1</v>
      </c>
    </row>
    <row r="649">
      <c r="A649" t="inlineStr">
        <is>
          <t>2022-08-17</t>
        </is>
      </c>
      <c r="B649" t="n">
        <v>4</v>
      </c>
      <c r="C649" s="6" t="n">
        <v>0</v>
      </c>
      <c r="D649" t="n">
        <v>1</v>
      </c>
    </row>
    <row r="650">
      <c r="A650" t="inlineStr">
        <is>
          <t>2022-08-17</t>
        </is>
      </c>
      <c r="B650" t="n">
        <v>8</v>
      </c>
      <c r="C650" s="6" t="n">
        <v>0</v>
      </c>
      <c r="D650" t="n">
        <v>1</v>
      </c>
    </row>
    <row r="651">
      <c r="A651" t="inlineStr">
        <is>
          <t>2022-08-17</t>
        </is>
      </c>
      <c r="B651" t="n">
        <v>9</v>
      </c>
      <c r="C651" s="6" t="n">
        <v>0</v>
      </c>
      <c r="D651" t="n">
        <v>1</v>
      </c>
    </row>
    <row r="652">
      <c r="A652" t="inlineStr">
        <is>
          <t>2022-08-18</t>
        </is>
      </c>
      <c r="B652" t="n">
        <v>1</v>
      </c>
      <c r="C652" s="6" t="n">
        <v>0</v>
      </c>
      <c r="D652" t="n">
        <v>1</v>
      </c>
    </row>
    <row r="653">
      <c r="A653" t="inlineStr">
        <is>
          <t>2022-08-18</t>
        </is>
      </c>
      <c r="B653" t="n">
        <v>3</v>
      </c>
      <c r="C653" s="6" t="n">
        <v>0</v>
      </c>
      <c r="D653" t="n">
        <v>1</v>
      </c>
    </row>
    <row r="654">
      <c r="A654" t="inlineStr">
        <is>
          <t>2022-08-18</t>
        </is>
      </c>
      <c r="B654" t="n">
        <v>2</v>
      </c>
      <c r="C654" s="6" t="n">
        <v>0</v>
      </c>
      <c r="D654" t="n">
        <v>1</v>
      </c>
    </row>
    <row r="655">
      <c r="A655" t="inlineStr">
        <is>
          <t>2022-08-19</t>
        </is>
      </c>
      <c r="B655" t="n">
        <v>1</v>
      </c>
      <c r="C655" s="6" t="n">
        <v>0</v>
      </c>
      <c r="D655" t="n">
        <v>1</v>
      </c>
    </row>
    <row r="656">
      <c r="A656" t="inlineStr">
        <is>
          <t>2022-08-19</t>
        </is>
      </c>
      <c r="B656" t="n">
        <v>4</v>
      </c>
      <c r="C656" s="6" t="n">
        <v>0</v>
      </c>
      <c r="D656" t="n">
        <v>1</v>
      </c>
    </row>
    <row r="657">
      <c r="A657" t="inlineStr">
        <is>
          <t>2022-08-19</t>
        </is>
      </c>
      <c r="B657" t="n">
        <v>3</v>
      </c>
      <c r="C657" s="6" t="n">
        <v>0</v>
      </c>
      <c r="D657" t="n">
        <v>1</v>
      </c>
    </row>
    <row r="658">
      <c r="A658" t="inlineStr">
        <is>
          <t>2022-08-19</t>
        </is>
      </c>
      <c r="B658" t="n">
        <v>2</v>
      </c>
      <c r="C658" s="6" t="n">
        <v>0</v>
      </c>
      <c r="D658" t="n">
        <v>1</v>
      </c>
    </row>
    <row r="659">
      <c r="A659" t="inlineStr">
        <is>
          <t>2022-08-20</t>
        </is>
      </c>
      <c r="B659" t="n">
        <v>1</v>
      </c>
      <c r="C659" s="6" t="n">
        <v>0</v>
      </c>
      <c r="D659" t="n">
        <v>1</v>
      </c>
    </row>
    <row r="660">
      <c r="A660" t="inlineStr">
        <is>
          <t>2022-08-20</t>
        </is>
      </c>
      <c r="B660" t="n">
        <v>2</v>
      </c>
      <c r="C660" s="6" t="n">
        <v>0</v>
      </c>
      <c r="D660" t="n">
        <v>1</v>
      </c>
    </row>
    <row r="661">
      <c r="A661" t="inlineStr">
        <is>
          <t>2022-08-20</t>
        </is>
      </c>
      <c r="B661" t="n">
        <v>3</v>
      </c>
      <c r="C661" s="6" t="n">
        <v>0</v>
      </c>
      <c r="D661" t="n">
        <v>1</v>
      </c>
    </row>
    <row r="662">
      <c r="A662" t="inlineStr">
        <is>
          <t>2022-08-20</t>
        </is>
      </c>
      <c r="B662" t="n">
        <v>4</v>
      </c>
      <c r="C662" s="6" t="n">
        <v>0</v>
      </c>
      <c r="D662" t="n">
        <v>1</v>
      </c>
    </row>
    <row r="663">
      <c r="A663" t="inlineStr">
        <is>
          <t>2022-08-20</t>
        </is>
      </c>
      <c r="B663" t="n">
        <v>5</v>
      </c>
      <c r="C663" s="6" t="n">
        <v>0</v>
      </c>
      <c r="D663" t="n">
        <v>1</v>
      </c>
    </row>
    <row r="664">
      <c r="A664" t="inlineStr">
        <is>
          <t>2022-08-21</t>
        </is>
      </c>
      <c r="B664" t="n">
        <v>1</v>
      </c>
      <c r="C664" s="6" t="n">
        <v>0</v>
      </c>
      <c r="D664" t="n">
        <v>1</v>
      </c>
    </row>
    <row r="665">
      <c r="A665" t="inlineStr">
        <is>
          <t>2022-08-21</t>
        </is>
      </c>
      <c r="B665" t="n">
        <v>2</v>
      </c>
      <c r="C665" s="6" t="n">
        <v>0</v>
      </c>
      <c r="D665" t="n">
        <v>1</v>
      </c>
    </row>
    <row r="666">
      <c r="A666" t="inlineStr">
        <is>
          <t>2022-08-21</t>
        </is>
      </c>
      <c r="B666" t="n">
        <v>3</v>
      </c>
      <c r="C666" s="6" t="n">
        <v>0</v>
      </c>
      <c r="D666" t="n">
        <v>1</v>
      </c>
    </row>
    <row r="667">
      <c r="A667" t="inlineStr">
        <is>
          <t>2022-08-21</t>
        </is>
      </c>
      <c r="B667" t="n">
        <v>4</v>
      </c>
      <c r="C667" s="6" t="n">
        <v>0</v>
      </c>
      <c r="D667" t="n">
        <v>1</v>
      </c>
    </row>
    <row r="668">
      <c r="A668" t="inlineStr">
        <is>
          <t>2022-08-21</t>
        </is>
      </c>
      <c r="B668" t="n">
        <v>5</v>
      </c>
      <c r="C668" s="6" t="n">
        <v>0</v>
      </c>
      <c r="D668" t="n">
        <v>1</v>
      </c>
    </row>
    <row r="669">
      <c r="A669" t="inlineStr">
        <is>
          <t>2022-08-21</t>
        </is>
      </c>
      <c r="B669" t="n">
        <v>6</v>
      </c>
      <c r="C669" s="6" t="n">
        <v>0</v>
      </c>
      <c r="D669" t="n">
        <v>1</v>
      </c>
    </row>
    <row r="670">
      <c r="A670" t="inlineStr">
        <is>
          <t>2022-08-24</t>
        </is>
      </c>
      <c r="B670" t="n">
        <v>3</v>
      </c>
      <c r="C670" s="6" t="n">
        <v>0</v>
      </c>
      <c r="D670" t="n">
        <v>1</v>
      </c>
    </row>
    <row r="671">
      <c r="A671" t="inlineStr">
        <is>
          <t>2022-08-24</t>
        </is>
      </c>
      <c r="B671" t="n">
        <v>1</v>
      </c>
      <c r="C671" s="6" t="n">
        <v>0</v>
      </c>
      <c r="D671" t="n">
        <v>1</v>
      </c>
    </row>
    <row r="672">
      <c r="A672" t="inlineStr">
        <is>
          <t>2022-08-24</t>
        </is>
      </c>
      <c r="B672" t="n">
        <v>2</v>
      </c>
      <c r="C672" s="6" t="n">
        <v>0</v>
      </c>
      <c r="D672" t="n">
        <v>1</v>
      </c>
    </row>
    <row r="673">
      <c r="A673" t="inlineStr">
        <is>
          <t>2022-08-24</t>
        </is>
      </c>
      <c r="B673" t="n">
        <v>4</v>
      </c>
      <c r="C673" s="6" t="n">
        <v>0</v>
      </c>
      <c r="D673" t="n">
        <v>1</v>
      </c>
    </row>
    <row r="674">
      <c r="A674" t="inlineStr">
        <is>
          <t>2022-08-24</t>
        </is>
      </c>
      <c r="B674" t="n">
        <v>5</v>
      </c>
      <c r="C674" s="6" t="n">
        <v>0</v>
      </c>
      <c r="D674" t="n">
        <v>1</v>
      </c>
    </row>
    <row r="675">
      <c r="A675" t="inlineStr">
        <is>
          <t>2022-08-24</t>
        </is>
      </c>
      <c r="B675" t="n">
        <v>6</v>
      </c>
      <c r="C675" s="6" t="n">
        <v>0</v>
      </c>
      <c r="D675" t="n">
        <v>1</v>
      </c>
    </row>
    <row r="676">
      <c r="A676" t="inlineStr">
        <is>
          <t>2022-08-25</t>
        </is>
      </c>
      <c r="B676" t="n">
        <v>1</v>
      </c>
      <c r="C676" s="6" t="n">
        <v>0</v>
      </c>
      <c r="D676" t="n">
        <v>1</v>
      </c>
    </row>
    <row r="677">
      <c r="A677" t="inlineStr">
        <is>
          <t>2022-08-25</t>
        </is>
      </c>
      <c r="B677" t="n">
        <v>2</v>
      </c>
      <c r="C677" s="6" t="n">
        <v>0</v>
      </c>
      <c r="D677" t="n">
        <v>1</v>
      </c>
    </row>
    <row r="678">
      <c r="A678" t="inlineStr">
        <is>
          <t>2022-08-25</t>
        </is>
      </c>
      <c r="B678" t="n">
        <v>3</v>
      </c>
      <c r="C678" s="6" t="n">
        <v>0</v>
      </c>
      <c r="D678" t="n">
        <v>1</v>
      </c>
    </row>
    <row r="679">
      <c r="A679" t="inlineStr">
        <is>
          <t>2022-08-26</t>
        </is>
      </c>
      <c r="B679" t="n">
        <v>1</v>
      </c>
      <c r="C679" s="6" t="n">
        <v>0</v>
      </c>
      <c r="D679" t="n">
        <v>1</v>
      </c>
    </row>
    <row r="680">
      <c r="A680" t="inlineStr">
        <is>
          <t>2022-08-26</t>
        </is>
      </c>
      <c r="B680" t="n">
        <v>2</v>
      </c>
      <c r="C680" s="6" t="n">
        <v>0</v>
      </c>
      <c r="D680" t="n">
        <v>1</v>
      </c>
    </row>
    <row r="681">
      <c r="A681" t="inlineStr">
        <is>
          <t>2022-08-26</t>
        </is>
      </c>
      <c r="B681" t="n">
        <v>3</v>
      </c>
      <c r="C681" s="6" t="n">
        <v>0</v>
      </c>
      <c r="D681" t="n">
        <v>1</v>
      </c>
    </row>
    <row r="682">
      <c r="A682" t="inlineStr">
        <is>
          <t>2022-08-26</t>
        </is>
      </c>
      <c r="B682" t="n">
        <v>6</v>
      </c>
      <c r="C682" s="6" t="n">
        <v>0</v>
      </c>
      <c r="D682" t="n">
        <v>1</v>
      </c>
    </row>
    <row r="683">
      <c r="A683" t="inlineStr">
        <is>
          <t>2022-08-26</t>
        </is>
      </c>
      <c r="B683" t="n">
        <v>9</v>
      </c>
      <c r="C683" s="6" t="n">
        <v>0</v>
      </c>
      <c r="D683" t="n">
        <v>1</v>
      </c>
    </row>
    <row r="684">
      <c r="A684" t="inlineStr">
        <is>
          <t>2022-08-26</t>
        </is>
      </c>
      <c r="B684" t="n">
        <v>10</v>
      </c>
      <c r="C684" s="6" t="n">
        <v>0</v>
      </c>
      <c r="D684" t="n">
        <v>1</v>
      </c>
    </row>
    <row r="685">
      <c r="A685" t="inlineStr">
        <is>
          <t>2022-08-26</t>
        </is>
      </c>
      <c r="B685" t="n">
        <v>5</v>
      </c>
      <c r="C685" s="6" t="n">
        <v>0</v>
      </c>
      <c r="D685" t="n">
        <v>1</v>
      </c>
    </row>
    <row r="686">
      <c r="A686" t="inlineStr">
        <is>
          <t>2022-08-26</t>
        </is>
      </c>
      <c r="B686" t="n">
        <v>7</v>
      </c>
      <c r="C686" s="6" t="n">
        <v>0</v>
      </c>
      <c r="D686" t="n">
        <v>1</v>
      </c>
    </row>
    <row r="687">
      <c r="A687" t="inlineStr">
        <is>
          <t>2022-08-26</t>
        </is>
      </c>
      <c r="B687" t="n">
        <v>4</v>
      </c>
      <c r="C687" s="6" t="n">
        <v>0</v>
      </c>
      <c r="D687" t="n">
        <v>1</v>
      </c>
    </row>
    <row r="688">
      <c r="A688" t="inlineStr">
        <is>
          <t>2022-08-26</t>
        </is>
      </c>
      <c r="B688" t="n">
        <v>11</v>
      </c>
      <c r="C688" s="6" t="n">
        <v>0</v>
      </c>
      <c r="D688" t="n">
        <v>1</v>
      </c>
    </row>
    <row r="689">
      <c r="A689" t="inlineStr">
        <is>
          <t>2022-08-26</t>
        </is>
      </c>
      <c r="B689" t="n">
        <v>12</v>
      </c>
      <c r="C689" s="6" t="n">
        <v>0</v>
      </c>
      <c r="D689" t="n">
        <v>1</v>
      </c>
    </row>
    <row r="690">
      <c r="A690" t="inlineStr">
        <is>
          <t>2022-08-26</t>
        </is>
      </c>
      <c r="B690" t="n">
        <v>8</v>
      </c>
      <c r="C690" s="6" t="n">
        <v>0</v>
      </c>
      <c r="D690" t="n">
        <v>1</v>
      </c>
    </row>
    <row r="691">
      <c r="A691" t="inlineStr">
        <is>
          <t>2022-08-27</t>
        </is>
      </c>
      <c r="B691" t="n">
        <v>3</v>
      </c>
      <c r="C691" s="6" t="n">
        <v>0</v>
      </c>
      <c r="D691" t="n">
        <v>1</v>
      </c>
    </row>
    <row r="692">
      <c r="A692" t="inlineStr">
        <is>
          <t>2022-08-27</t>
        </is>
      </c>
      <c r="B692" t="n">
        <v>2</v>
      </c>
      <c r="C692" s="6" t="n">
        <v>0</v>
      </c>
      <c r="D692" t="n">
        <v>1</v>
      </c>
    </row>
    <row r="693">
      <c r="A693" t="inlineStr">
        <is>
          <t>2022-08-27</t>
        </is>
      </c>
      <c r="B693" t="n">
        <v>1</v>
      </c>
      <c r="C693" s="6" t="n">
        <v>0</v>
      </c>
      <c r="D693" t="n">
        <v>1</v>
      </c>
    </row>
    <row r="694">
      <c r="A694" t="inlineStr">
        <is>
          <t>2022-08-27</t>
        </is>
      </c>
      <c r="B694" t="n">
        <v>5</v>
      </c>
      <c r="C694" s="6" t="n">
        <v>0</v>
      </c>
      <c r="D694" t="n">
        <v>1</v>
      </c>
    </row>
    <row r="695">
      <c r="A695" t="inlineStr">
        <is>
          <t>2022-08-27</t>
        </is>
      </c>
      <c r="B695" t="n">
        <v>8</v>
      </c>
      <c r="C695" s="6" t="n">
        <v>0</v>
      </c>
      <c r="D695" t="n">
        <v>1</v>
      </c>
    </row>
    <row r="696">
      <c r="A696" t="inlineStr">
        <is>
          <t>2022-08-27</t>
        </is>
      </c>
      <c r="B696" t="n">
        <v>6</v>
      </c>
      <c r="C696" s="6" t="n">
        <v>0</v>
      </c>
      <c r="D696" t="n">
        <v>1</v>
      </c>
    </row>
    <row r="697">
      <c r="A697" t="inlineStr">
        <is>
          <t>2022-08-27</t>
        </is>
      </c>
      <c r="B697" t="n">
        <v>4</v>
      </c>
      <c r="C697" s="6" t="n">
        <v>0</v>
      </c>
      <c r="D697" t="n">
        <v>1</v>
      </c>
    </row>
    <row r="698">
      <c r="A698" t="inlineStr">
        <is>
          <t>2022-08-27</t>
        </is>
      </c>
      <c r="B698" t="n">
        <v>7</v>
      </c>
      <c r="C698" s="6" t="n">
        <v>0</v>
      </c>
      <c r="D698" t="n">
        <v>1</v>
      </c>
    </row>
    <row r="699">
      <c r="A699" t="inlineStr">
        <is>
          <t>2022-08-27</t>
        </is>
      </c>
      <c r="B699" t="n">
        <v>9</v>
      </c>
      <c r="C699" s="6" t="n">
        <v>0</v>
      </c>
      <c r="D699" t="n">
        <v>1</v>
      </c>
    </row>
    <row r="700">
      <c r="A700" t="inlineStr">
        <is>
          <t>2022-08-28</t>
        </is>
      </c>
      <c r="B700" t="n">
        <v>1</v>
      </c>
      <c r="C700" s="6" t="n">
        <v>0</v>
      </c>
      <c r="D700" t="n">
        <v>1</v>
      </c>
    </row>
    <row r="701">
      <c r="A701" t="inlineStr">
        <is>
          <t>2022-08-28</t>
        </is>
      </c>
      <c r="B701" t="n">
        <v>2</v>
      </c>
      <c r="C701" s="6" t="n">
        <v>0</v>
      </c>
      <c r="D701" t="n">
        <v>1</v>
      </c>
    </row>
    <row r="702">
      <c r="A702" t="inlineStr">
        <is>
          <t>2022-08-28</t>
        </is>
      </c>
      <c r="B702" t="n">
        <v>3</v>
      </c>
      <c r="C702" s="6" t="n">
        <v>0</v>
      </c>
      <c r="D702" t="n">
        <v>1</v>
      </c>
    </row>
    <row r="703">
      <c r="A703" t="inlineStr">
        <is>
          <t>2022-08-28</t>
        </is>
      </c>
      <c r="B703" t="n">
        <v>4</v>
      </c>
      <c r="C703" s="6" t="n">
        <v>0</v>
      </c>
      <c r="D703" t="n">
        <v>1</v>
      </c>
    </row>
    <row r="704">
      <c r="A704" t="inlineStr">
        <is>
          <t>2022-08-30</t>
        </is>
      </c>
      <c r="B704" t="n">
        <v>1</v>
      </c>
      <c r="C704" s="6" t="n">
        <v>0</v>
      </c>
      <c r="D704" t="n">
        <v>1</v>
      </c>
    </row>
    <row r="705">
      <c r="A705" t="inlineStr">
        <is>
          <t>2022-08-30</t>
        </is>
      </c>
      <c r="B705" t="n">
        <v>2</v>
      </c>
      <c r="C705" s="6" t="n">
        <v>0</v>
      </c>
      <c r="D705" t="n">
        <v>1</v>
      </c>
    </row>
    <row r="706">
      <c r="A706" t="inlineStr">
        <is>
          <t>2022-08-31</t>
        </is>
      </c>
      <c r="B706" t="n">
        <v>1</v>
      </c>
      <c r="C706" s="6" t="n">
        <v>0</v>
      </c>
      <c r="D706" t="n">
        <v>1</v>
      </c>
    </row>
    <row r="707">
      <c r="A707" t="inlineStr">
        <is>
          <t>2022-08-31</t>
        </is>
      </c>
      <c r="B707" t="n">
        <v>3</v>
      </c>
      <c r="C707" s="6" t="n">
        <v>0</v>
      </c>
      <c r="D707" t="n">
        <v>1</v>
      </c>
    </row>
    <row r="708">
      <c r="A708" t="inlineStr">
        <is>
          <t>2022-08-31</t>
        </is>
      </c>
      <c r="B708" t="n">
        <v>2</v>
      </c>
      <c r="C708" s="6" t="n">
        <v>0</v>
      </c>
      <c r="D708" t="n">
        <v>1</v>
      </c>
    </row>
    <row r="709">
      <c r="A709" t="inlineStr">
        <is>
          <t>2022-09-01</t>
        </is>
      </c>
      <c r="B709" t="n">
        <v>1</v>
      </c>
      <c r="C709" s="6" t="n">
        <v>0</v>
      </c>
      <c r="D709" t="n">
        <v>1</v>
      </c>
    </row>
    <row r="710">
      <c r="A710" t="inlineStr">
        <is>
          <t>2022-09-01</t>
        </is>
      </c>
      <c r="B710" t="n">
        <v>3</v>
      </c>
      <c r="C710" s="6" t="n">
        <v>0</v>
      </c>
      <c r="D710" t="n">
        <v>1</v>
      </c>
    </row>
    <row r="711">
      <c r="A711" t="inlineStr">
        <is>
          <t>2022-09-01</t>
        </is>
      </c>
      <c r="B711" t="n">
        <v>2</v>
      </c>
      <c r="C711" s="6" t="n">
        <v>0</v>
      </c>
      <c r="D711" t="n">
        <v>1</v>
      </c>
    </row>
    <row r="712">
      <c r="A712" t="inlineStr">
        <is>
          <t>2022-09-02</t>
        </is>
      </c>
      <c r="B712" t="n">
        <v>1</v>
      </c>
      <c r="C712" s="6" t="n">
        <v>0</v>
      </c>
      <c r="D712" t="n">
        <v>1</v>
      </c>
    </row>
    <row r="713">
      <c r="A713" t="inlineStr">
        <is>
          <t>2022-09-02</t>
        </is>
      </c>
      <c r="B713" t="n">
        <v>2</v>
      </c>
      <c r="C713" s="6" t="n">
        <v>0</v>
      </c>
      <c r="D713" t="n">
        <v>1</v>
      </c>
    </row>
    <row r="714">
      <c r="A714" t="inlineStr">
        <is>
          <t>2022-09-02</t>
        </is>
      </c>
      <c r="B714" t="n">
        <v>3</v>
      </c>
      <c r="C714" s="6" t="n">
        <v>0</v>
      </c>
      <c r="D714" t="n">
        <v>1</v>
      </c>
    </row>
    <row r="715">
      <c r="A715" t="inlineStr">
        <is>
          <t>2022-09-02</t>
        </is>
      </c>
      <c r="B715" t="n">
        <v>4</v>
      </c>
      <c r="C715" s="6" t="n">
        <v>0</v>
      </c>
      <c r="D715" t="n">
        <v>1</v>
      </c>
    </row>
    <row r="716">
      <c r="A716" t="inlineStr">
        <is>
          <t>2022-09-02</t>
        </is>
      </c>
      <c r="B716" t="n">
        <v>5</v>
      </c>
      <c r="C716" s="6" t="n">
        <v>0</v>
      </c>
      <c r="D716" t="n">
        <v>1</v>
      </c>
    </row>
    <row r="717">
      <c r="A717" t="inlineStr">
        <is>
          <t>2022-09-03</t>
        </is>
      </c>
      <c r="B717" t="n">
        <v>1</v>
      </c>
      <c r="C717" s="6" t="n">
        <v>0</v>
      </c>
      <c r="D717" t="n">
        <v>1</v>
      </c>
    </row>
    <row r="718">
      <c r="A718" t="inlineStr">
        <is>
          <t>2022-09-03</t>
        </is>
      </c>
      <c r="B718" t="n">
        <v>2</v>
      </c>
      <c r="C718" s="6" t="n">
        <v>0</v>
      </c>
      <c r="D718" t="n">
        <v>1</v>
      </c>
    </row>
    <row r="719">
      <c r="A719" t="inlineStr">
        <is>
          <t>2022-09-03</t>
        </is>
      </c>
      <c r="B719" t="n">
        <v>3</v>
      </c>
      <c r="C719" s="6" t="n">
        <v>0</v>
      </c>
      <c r="D719" t="n">
        <v>1</v>
      </c>
    </row>
    <row r="720">
      <c r="A720" t="inlineStr">
        <is>
          <t>2022-09-03</t>
        </is>
      </c>
      <c r="B720" t="n">
        <v>4</v>
      </c>
      <c r="C720" s="6" t="n">
        <v>0</v>
      </c>
      <c r="D720" t="n">
        <v>1</v>
      </c>
    </row>
    <row r="721">
      <c r="A721" t="inlineStr">
        <is>
          <t>2022-09-03</t>
        </is>
      </c>
      <c r="B721" t="n">
        <v>5</v>
      </c>
      <c r="C721" s="6" t="n">
        <v>0</v>
      </c>
      <c r="D721" t="n">
        <v>1</v>
      </c>
    </row>
    <row r="722">
      <c r="A722" t="inlineStr">
        <is>
          <t>2022-09-04</t>
        </is>
      </c>
      <c r="B722" t="n">
        <v>2</v>
      </c>
      <c r="C722" s="6" t="n">
        <v>0</v>
      </c>
      <c r="D722" t="n">
        <v>1</v>
      </c>
    </row>
    <row r="723">
      <c r="A723" t="inlineStr">
        <is>
          <t>2022-09-04</t>
        </is>
      </c>
      <c r="B723" t="n">
        <v>3</v>
      </c>
      <c r="C723" s="6" t="n">
        <v>0</v>
      </c>
      <c r="D723" t="n">
        <v>1</v>
      </c>
    </row>
    <row r="724">
      <c r="A724" t="inlineStr">
        <is>
          <t>2022-09-04</t>
        </is>
      </c>
      <c r="B724" t="n">
        <v>1</v>
      </c>
      <c r="C724" s="6" t="n">
        <v>0</v>
      </c>
      <c r="D724" t="n">
        <v>1</v>
      </c>
    </row>
    <row r="725">
      <c r="A725" t="inlineStr">
        <is>
          <t>2022-09-04</t>
        </is>
      </c>
      <c r="B725" t="n">
        <v>4</v>
      </c>
      <c r="C725" s="6" t="n">
        <v>0</v>
      </c>
      <c r="D725" t="n">
        <v>1</v>
      </c>
    </row>
    <row r="726">
      <c r="A726" t="inlineStr">
        <is>
          <t>2022-09-04</t>
        </is>
      </c>
      <c r="B726" t="n">
        <v>6</v>
      </c>
      <c r="C726" s="6" t="n">
        <v>0</v>
      </c>
      <c r="D726" t="n">
        <v>1</v>
      </c>
    </row>
    <row r="727">
      <c r="A727" t="inlineStr">
        <is>
          <t>2022-09-04</t>
        </is>
      </c>
      <c r="B727" t="n">
        <v>5</v>
      </c>
      <c r="C727" s="6" t="n">
        <v>0</v>
      </c>
      <c r="D727" t="n">
        <v>1</v>
      </c>
    </row>
    <row r="728">
      <c r="A728" t="inlineStr">
        <is>
          <t>2022-09-04</t>
        </is>
      </c>
      <c r="B728" t="n">
        <v>7</v>
      </c>
      <c r="C728" s="6" t="n">
        <v>0</v>
      </c>
      <c r="D728" t="n">
        <v>1</v>
      </c>
    </row>
    <row r="729">
      <c r="A729" t="inlineStr">
        <is>
          <t>2022-09-07</t>
        </is>
      </c>
      <c r="B729" t="n">
        <v>1</v>
      </c>
      <c r="C729" s="6" t="n">
        <v>0</v>
      </c>
      <c r="D729" t="n">
        <v>1</v>
      </c>
    </row>
    <row r="730">
      <c r="A730" t="inlineStr">
        <is>
          <t>2022-09-07</t>
        </is>
      </c>
      <c r="B730" t="n">
        <v>2</v>
      </c>
      <c r="C730" s="6" t="n">
        <v>0</v>
      </c>
      <c r="D730" t="n">
        <v>1</v>
      </c>
    </row>
    <row r="731">
      <c r="A731" t="inlineStr">
        <is>
          <t>2022-09-07</t>
        </is>
      </c>
      <c r="B731" t="n">
        <v>4</v>
      </c>
      <c r="C731" s="6" t="n">
        <v>0</v>
      </c>
      <c r="D731" t="n">
        <v>1</v>
      </c>
    </row>
    <row r="732">
      <c r="A732" t="inlineStr">
        <is>
          <t>2022-09-07</t>
        </is>
      </c>
      <c r="B732" t="n">
        <v>3</v>
      </c>
      <c r="C732" s="6" t="n">
        <v>0</v>
      </c>
      <c r="D732" t="n">
        <v>1</v>
      </c>
    </row>
    <row r="733">
      <c r="A733" t="inlineStr">
        <is>
          <t>2022-09-07</t>
        </is>
      </c>
      <c r="B733" t="n">
        <v>6</v>
      </c>
      <c r="C733" s="6" t="n">
        <v>0</v>
      </c>
      <c r="D733" t="n">
        <v>1</v>
      </c>
    </row>
    <row r="734">
      <c r="A734" t="inlineStr">
        <is>
          <t>2022-09-07</t>
        </is>
      </c>
      <c r="B734" t="n">
        <v>5</v>
      </c>
      <c r="C734" s="6" t="n">
        <v>0</v>
      </c>
      <c r="D734" t="n">
        <v>1</v>
      </c>
    </row>
    <row r="735">
      <c r="A735" t="inlineStr">
        <is>
          <t>2022-09-07</t>
        </is>
      </c>
      <c r="B735" t="n">
        <v>7</v>
      </c>
      <c r="C735" s="6" t="n">
        <v>0</v>
      </c>
      <c r="D735" t="n">
        <v>1</v>
      </c>
    </row>
    <row r="736">
      <c r="A736" t="inlineStr">
        <is>
          <t>2022-09-07</t>
        </is>
      </c>
      <c r="B736" t="n">
        <v>8</v>
      </c>
      <c r="C736" s="6" t="n">
        <v>0</v>
      </c>
      <c r="D736" t="n">
        <v>1</v>
      </c>
    </row>
    <row r="737">
      <c r="A737" t="inlineStr">
        <is>
          <t>2022-09-08</t>
        </is>
      </c>
      <c r="B737" t="n">
        <v>2</v>
      </c>
      <c r="C737" s="6" t="n">
        <v>0</v>
      </c>
      <c r="D737" t="n">
        <v>1</v>
      </c>
    </row>
    <row r="738">
      <c r="A738" t="inlineStr">
        <is>
          <t>2022-09-08</t>
        </is>
      </c>
      <c r="B738" t="n">
        <v>5</v>
      </c>
      <c r="C738" s="6" t="n">
        <v>0</v>
      </c>
      <c r="D738" t="n">
        <v>1</v>
      </c>
    </row>
    <row r="739">
      <c r="A739" t="inlineStr">
        <is>
          <t>2022-09-08</t>
        </is>
      </c>
      <c r="B739" t="n">
        <v>4</v>
      </c>
      <c r="C739" s="6" t="n">
        <v>0</v>
      </c>
      <c r="D739" t="n">
        <v>1</v>
      </c>
    </row>
    <row r="740">
      <c r="A740" t="inlineStr">
        <is>
          <t>2022-09-08</t>
        </is>
      </c>
      <c r="B740" t="n">
        <v>1</v>
      </c>
      <c r="C740" s="6" t="n">
        <v>0</v>
      </c>
      <c r="D740" t="n">
        <v>1</v>
      </c>
    </row>
    <row r="741">
      <c r="A741" t="inlineStr">
        <is>
          <t>2022-09-08</t>
        </is>
      </c>
      <c r="B741" t="n">
        <v>3</v>
      </c>
      <c r="C741" s="6" t="n">
        <v>0</v>
      </c>
      <c r="D741" t="n">
        <v>1</v>
      </c>
    </row>
    <row r="742">
      <c r="A742" t="inlineStr">
        <is>
          <t>2022-09-08</t>
        </is>
      </c>
      <c r="B742" t="n">
        <v>6</v>
      </c>
      <c r="C742" s="6" t="n">
        <v>0</v>
      </c>
      <c r="D742" t="n">
        <v>1</v>
      </c>
    </row>
    <row r="743">
      <c r="A743" t="inlineStr">
        <is>
          <t>2022-09-08</t>
        </is>
      </c>
      <c r="B743" t="n">
        <v>7</v>
      </c>
      <c r="C743" s="6" t="n">
        <v>0</v>
      </c>
      <c r="D743" t="n">
        <v>1</v>
      </c>
    </row>
    <row r="744">
      <c r="A744" t="inlineStr">
        <is>
          <t>2022-09-08</t>
        </is>
      </c>
      <c r="B744" t="n">
        <v>9</v>
      </c>
      <c r="C744" s="6" t="n">
        <v>0</v>
      </c>
      <c r="D744" t="n">
        <v>1</v>
      </c>
    </row>
    <row r="745">
      <c r="A745" t="inlineStr">
        <is>
          <t>2022-09-08</t>
        </is>
      </c>
      <c r="B745" t="n">
        <v>8</v>
      </c>
      <c r="C745" s="6" t="n">
        <v>0</v>
      </c>
      <c r="D745" t="n">
        <v>1</v>
      </c>
    </row>
    <row r="746">
      <c r="A746" t="inlineStr">
        <is>
          <t>2022-09-09</t>
        </is>
      </c>
      <c r="B746" t="n">
        <v>1</v>
      </c>
      <c r="C746" s="6" t="n">
        <v>0</v>
      </c>
      <c r="D746" t="n">
        <v>1</v>
      </c>
    </row>
    <row r="747">
      <c r="A747" t="inlineStr">
        <is>
          <t>2022-09-09</t>
        </is>
      </c>
      <c r="B747" t="n">
        <v>2</v>
      </c>
      <c r="C747" s="6" t="n">
        <v>0</v>
      </c>
      <c r="D747" t="n">
        <v>1</v>
      </c>
    </row>
    <row r="748">
      <c r="A748" t="inlineStr">
        <is>
          <t>2022-09-09</t>
        </is>
      </c>
      <c r="B748" t="n">
        <v>3</v>
      </c>
      <c r="C748" s="6" t="n">
        <v>0</v>
      </c>
      <c r="D748" t="n">
        <v>1</v>
      </c>
    </row>
    <row r="749">
      <c r="A749" t="inlineStr">
        <is>
          <t>2022-09-09</t>
        </is>
      </c>
      <c r="B749" t="n">
        <v>4</v>
      </c>
      <c r="C749" s="6" t="n">
        <v>0</v>
      </c>
      <c r="D749" t="n">
        <v>1</v>
      </c>
    </row>
    <row r="750">
      <c r="A750" t="inlineStr">
        <is>
          <t>2022-09-09</t>
        </is>
      </c>
      <c r="B750" t="n">
        <v>5</v>
      </c>
      <c r="C750" s="6" t="n">
        <v>0</v>
      </c>
      <c r="D750" t="n">
        <v>1</v>
      </c>
    </row>
    <row r="751">
      <c r="A751" t="inlineStr">
        <is>
          <t>2022-09-09</t>
        </is>
      </c>
      <c r="B751" t="n">
        <v>6</v>
      </c>
      <c r="C751" s="6" t="n">
        <v>0</v>
      </c>
      <c r="D751" t="n">
        <v>1</v>
      </c>
    </row>
    <row r="752">
      <c r="A752" t="inlineStr">
        <is>
          <t>2022-09-09</t>
        </is>
      </c>
      <c r="B752" t="n">
        <v>7</v>
      </c>
      <c r="C752" s="6" t="n">
        <v>0</v>
      </c>
      <c r="D752" t="n">
        <v>1</v>
      </c>
    </row>
    <row r="753">
      <c r="A753" t="inlineStr">
        <is>
          <t>2022-09-09</t>
        </is>
      </c>
      <c r="B753" t="n">
        <v>8</v>
      </c>
      <c r="C753" s="6" t="n">
        <v>0</v>
      </c>
      <c r="D753" t="n">
        <v>1</v>
      </c>
    </row>
    <row r="754">
      <c r="A754" t="inlineStr">
        <is>
          <t>2022-09-09</t>
        </is>
      </c>
      <c r="B754" t="n">
        <v>9</v>
      </c>
      <c r="C754" s="6" t="n">
        <v>0</v>
      </c>
      <c r="D754" t="n">
        <v>1</v>
      </c>
    </row>
    <row r="755">
      <c r="A755" t="inlineStr">
        <is>
          <t>2022-09-10</t>
        </is>
      </c>
      <c r="B755" t="n">
        <v>4</v>
      </c>
      <c r="C755" s="6" t="n">
        <v>0</v>
      </c>
      <c r="D755" t="n">
        <v>1</v>
      </c>
    </row>
    <row r="756">
      <c r="A756" t="inlineStr">
        <is>
          <t>2022-09-10</t>
        </is>
      </c>
      <c r="B756" t="n">
        <v>6</v>
      </c>
      <c r="C756" s="6" t="n">
        <v>0</v>
      </c>
      <c r="D756" t="n">
        <v>1</v>
      </c>
    </row>
    <row r="757">
      <c r="A757" t="inlineStr">
        <is>
          <t>2022-09-10</t>
        </is>
      </c>
      <c r="B757" t="n">
        <v>2</v>
      </c>
      <c r="C757" s="6" t="n">
        <v>0</v>
      </c>
      <c r="D757" t="n">
        <v>1</v>
      </c>
    </row>
    <row r="758">
      <c r="A758" t="inlineStr">
        <is>
          <t>2022-09-10</t>
        </is>
      </c>
      <c r="B758" t="n">
        <v>3</v>
      </c>
      <c r="C758" s="6" t="n">
        <v>0</v>
      </c>
      <c r="D758" t="n">
        <v>1</v>
      </c>
    </row>
    <row r="759">
      <c r="A759" t="inlineStr">
        <is>
          <t>2022-09-10</t>
        </is>
      </c>
      <c r="B759" t="n">
        <v>1</v>
      </c>
      <c r="C759" s="6" t="n">
        <v>0</v>
      </c>
      <c r="D759" t="n">
        <v>1</v>
      </c>
    </row>
    <row r="760">
      <c r="A760" t="inlineStr">
        <is>
          <t>2022-09-10</t>
        </is>
      </c>
      <c r="B760" t="n">
        <v>7</v>
      </c>
      <c r="C760" s="6" t="n">
        <v>0</v>
      </c>
      <c r="D760" t="n">
        <v>1</v>
      </c>
    </row>
    <row r="761">
      <c r="A761" t="inlineStr">
        <is>
          <t>2022-09-10</t>
        </is>
      </c>
      <c r="B761" t="n">
        <v>5</v>
      </c>
      <c r="C761" s="6" t="n">
        <v>0</v>
      </c>
      <c r="D761" t="n">
        <v>1</v>
      </c>
    </row>
    <row r="762">
      <c r="A762" t="inlineStr">
        <is>
          <t>2022-09-10</t>
        </is>
      </c>
      <c r="B762" t="n">
        <v>8</v>
      </c>
      <c r="C762" s="6" t="n">
        <v>0</v>
      </c>
      <c r="D762" t="n">
        <v>1</v>
      </c>
    </row>
    <row r="763">
      <c r="A763" t="inlineStr">
        <is>
          <t>2022-09-10</t>
        </is>
      </c>
      <c r="B763" t="n">
        <v>9</v>
      </c>
      <c r="C763" s="6" t="n">
        <v>0</v>
      </c>
      <c r="D763" t="n">
        <v>1</v>
      </c>
    </row>
    <row r="764">
      <c r="A764" t="inlineStr">
        <is>
          <t>2022-09-11</t>
        </is>
      </c>
      <c r="B764" t="n">
        <v>1</v>
      </c>
      <c r="C764" s="6" t="n">
        <v>0</v>
      </c>
      <c r="D764" t="n">
        <v>1</v>
      </c>
    </row>
    <row r="765">
      <c r="A765" t="inlineStr">
        <is>
          <t>2022-09-11</t>
        </is>
      </c>
      <c r="B765" t="n">
        <v>2</v>
      </c>
      <c r="C765" s="6" t="n">
        <v>0</v>
      </c>
      <c r="D765" t="n">
        <v>1</v>
      </c>
    </row>
    <row r="766">
      <c r="A766" t="inlineStr">
        <is>
          <t>2022-09-11</t>
        </is>
      </c>
      <c r="B766" t="n">
        <v>3</v>
      </c>
      <c r="C766" s="6" t="n">
        <v>0</v>
      </c>
      <c r="D766" t="n">
        <v>1</v>
      </c>
    </row>
    <row r="767">
      <c r="A767" t="inlineStr">
        <is>
          <t>2022-09-11</t>
        </is>
      </c>
      <c r="B767" t="n">
        <v>4</v>
      </c>
      <c r="C767" s="6" t="n">
        <v>0</v>
      </c>
      <c r="D767" t="n">
        <v>1</v>
      </c>
    </row>
    <row r="768">
      <c r="A768" t="inlineStr">
        <is>
          <t>2022-09-11</t>
        </is>
      </c>
      <c r="B768" t="n">
        <v>6</v>
      </c>
      <c r="C768" s="6" t="n">
        <v>0</v>
      </c>
      <c r="D768" t="n">
        <v>1</v>
      </c>
    </row>
    <row r="769">
      <c r="A769" t="inlineStr">
        <is>
          <t>2022-09-11</t>
        </is>
      </c>
      <c r="B769" t="n">
        <v>5</v>
      </c>
      <c r="C769" s="6" t="n">
        <v>0</v>
      </c>
      <c r="D769" t="n">
        <v>1</v>
      </c>
    </row>
    <row r="770">
      <c r="A770" t="inlineStr">
        <is>
          <t>2022-09-11</t>
        </is>
      </c>
      <c r="B770" t="n">
        <v>7</v>
      </c>
      <c r="C770" s="6" t="n">
        <v>0</v>
      </c>
      <c r="D770" t="n">
        <v>1</v>
      </c>
    </row>
    <row r="771">
      <c r="A771" t="inlineStr">
        <is>
          <t>2022-09-14</t>
        </is>
      </c>
      <c r="B771" t="n">
        <v>2</v>
      </c>
      <c r="C771" s="6" t="n">
        <v>0</v>
      </c>
      <c r="D771" t="n">
        <v>1</v>
      </c>
    </row>
    <row r="772">
      <c r="A772" t="inlineStr">
        <is>
          <t>2022-09-14</t>
        </is>
      </c>
      <c r="B772" t="n">
        <v>3</v>
      </c>
      <c r="C772" s="6" t="n">
        <v>0</v>
      </c>
      <c r="D772" t="n">
        <v>1</v>
      </c>
    </row>
    <row r="773">
      <c r="A773" t="inlineStr">
        <is>
          <t>2022-09-14</t>
        </is>
      </c>
      <c r="B773" t="n">
        <v>1</v>
      </c>
      <c r="C773" s="6" t="n">
        <v>0</v>
      </c>
      <c r="D773" t="n">
        <v>1</v>
      </c>
    </row>
    <row r="774">
      <c r="A774" t="inlineStr">
        <is>
          <t>2022-09-14</t>
        </is>
      </c>
      <c r="B774" t="n">
        <v>4</v>
      </c>
      <c r="C774" s="6" t="n">
        <v>0</v>
      </c>
      <c r="D774" t="n">
        <v>1</v>
      </c>
    </row>
    <row r="775">
      <c r="A775" t="inlineStr">
        <is>
          <t>2022-09-14</t>
        </is>
      </c>
      <c r="B775" t="n">
        <v>5</v>
      </c>
      <c r="C775" s="6" t="n">
        <v>0</v>
      </c>
      <c r="D775" t="n">
        <v>1</v>
      </c>
    </row>
    <row r="776">
      <c r="A776" t="inlineStr">
        <is>
          <t>2022-09-14</t>
        </is>
      </c>
      <c r="B776" t="n">
        <v>6</v>
      </c>
      <c r="C776" s="6" t="n">
        <v>0</v>
      </c>
      <c r="D776" t="n">
        <v>1</v>
      </c>
    </row>
    <row r="777">
      <c r="A777" t="inlineStr">
        <is>
          <t>2022-09-15</t>
        </is>
      </c>
      <c r="B777" t="n">
        <v>2</v>
      </c>
      <c r="C777" s="6" t="n">
        <v>0</v>
      </c>
      <c r="D777" t="n">
        <v>1</v>
      </c>
    </row>
    <row r="778">
      <c r="A778" t="inlineStr">
        <is>
          <t>2022-09-15</t>
        </is>
      </c>
      <c r="B778" t="n">
        <v>3</v>
      </c>
      <c r="C778" s="6" t="n">
        <v>0</v>
      </c>
      <c r="D778" t="n">
        <v>1</v>
      </c>
    </row>
    <row r="779">
      <c r="A779" t="inlineStr">
        <is>
          <t>2022-09-15</t>
        </is>
      </c>
      <c r="B779" t="n">
        <v>1</v>
      </c>
      <c r="C779" s="6" t="n">
        <v>0</v>
      </c>
      <c r="D779" t="n">
        <v>1</v>
      </c>
    </row>
    <row r="780">
      <c r="A780" t="inlineStr">
        <is>
          <t>2022-09-15</t>
        </is>
      </c>
      <c r="B780" t="n">
        <v>4</v>
      </c>
      <c r="C780" s="6" t="n">
        <v>0</v>
      </c>
      <c r="D780" t="n">
        <v>1</v>
      </c>
    </row>
    <row r="781">
      <c r="A781" t="inlineStr">
        <is>
          <t>2022-09-15</t>
        </is>
      </c>
      <c r="B781" t="n">
        <v>5</v>
      </c>
      <c r="C781" s="6" t="n">
        <v>0</v>
      </c>
      <c r="D781" t="n">
        <v>1</v>
      </c>
    </row>
    <row r="782">
      <c r="A782" t="inlineStr">
        <is>
          <t>2022-09-16</t>
        </is>
      </c>
      <c r="B782" t="n">
        <v>2</v>
      </c>
      <c r="C782" s="6" t="n">
        <v>0</v>
      </c>
      <c r="D782" t="n">
        <v>1</v>
      </c>
    </row>
    <row r="783">
      <c r="A783" t="inlineStr">
        <is>
          <t>2022-09-16</t>
        </is>
      </c>
      <c r="B783" t="n">
        <v>1</v>
      </c>
      <c r="C783" s="6" t="n">
        <v>0</v>
      </c>
      <c r="D783" t="n">
        <v>1</v>
      </c>
    </row>
    <row r="784">
      <c r="A784" t="inlineStr">
        <is>
          <t>2022-09-16</t>
        </is>
      </c>
      <c r="B784" t="n">
        <v>3</v>
      </c>
      <c r="C784" s="6" t="n">
        <v>0</v>
      </c>
      <c r="D784" t="n">
        <v>1</v>
      </c>
    </row>
    <row r="785">
      <c r="A785" t="inlineStr">
        <is>
          <t>2022-09-16</t>
        </is>
      </c>
      <c r="B785" t="n">
        <v>4</v>
      </c>
      <c r="C785" s="6" t="n">
        <v>0</v>
      </c>
      <c r="D785" t="n">
        <v>1</v>
      </c>
    </row>
    <row r="786">
      <c r="A786" t="inlineStr">
        <is>
          <t>2022-09-17</t>
        </is>
      </c>
      <c r="B786" t="n">
        <v>3</v>
      </c>
      <c r="C786" s="6" t="n">
        <v>0</v>
      </c>
      <c r="D786" t="n">
        <v>1</v>
      </c>
    </row>
    <row r="787">
      <c r="A787" t="inlineStr">
        <is>
          <t>2022-09-17</t>
        </is>
      </c>
      <c r="B787" t="n">
        <v>2</v>
      </c>
      <c r="C787" s="6" t="n">
        <v>0</v>
      </c>
      <c r="D787" t="n">
        <v>1</v>
      </c>
    </row>
    <row r="788">
      <c r="A788" t="inlineStr">
        <is>
          <t>2022-09-17</t>
        </is>
      </c>
      <c r="B788" t="n">
        <v>1</v>
      </c>
      <c r="C788" s="6" t="n">
        <v>0</v>
      </c>
      <c r="D788" t="n">
        <v>1</v>
      </c>
    </row>
    <row r="789">
      <c r="A789" t="inlineStr">
        <is>
          <t>2022-09-17</t>
        </is>
      </c>
      <c r="B789" t="n">
        <v>4</v>
      </c>
      <c r="C789" s="6" t="n">
        <v>0</v>
      </c>
      <c r="D789" t="n">
        <v>1</v>
      </c>
    </row>
    <row r="790">
      <c r="A790" t="inlineStr">
        <is>
          <t>2022-09-18</t>
        </is>
      </c>
      <c r="B790" t="n">
        <v>4</v>
      </c>
      <c r="C790" s="6" t="n">
        <v>0</v>
      </c>
      <c r="D790" t="n">
        <v>1</v>
      </c>
    </row>
    <row r="791">
      <c r="A791" t="inlineStr">
        <is>
          <t>2022-09-18</t>
        </is>
      </c>
      <c r="B791" t="n">
        <v>3</v>
      </c>
      <c r="C791" s="6" t="n">
        <v>0</v>
      </c>
      <c r="D791" t="n">
        <v>1</v>
      </c>
    </row>
    <row r="792">
      <c r="A792" t="inlineStr">
        <is>
          <t>2022-09-18</t>
        </is>
      </c>
      <c r="B792" t="n">
        <v>1</v>
      </c>
      <c r="C792" s="6" t="n">
        <v>0</v>
      </c>
      <c r="D792" t="n">
        <v>1</v>
      </c>
    </row>
    <row r="793">
      <c r="A793" t="inlineStr">
        <is>
          <t>2022-09-18</t>
        </is>
      </c>
      <c r="B793" t="n">
        <v>2</v>
      </c>
      <c r="C793" s="6" t="n">
        <v>0</v>
      </c>
      <c r="D793" t="n">
        <v>1</v>
      </c>
    </row>
    <row r="794">
      <c r="A794" t="inlineStr">
        <is>
          <t>2022-09-18</t>
        </is>
      </c>
      <c r="B794" t="n">
        <v>5</v>
      </c>
      <c r="C794" s="6" t="n">
        <v>0</v>
      </c>
      <c r="D794" t="n">
        <v>1</v>
      </c>
    </row>
    <row r="795">
      <c r="A795" t="inlineStr">
        <is>
          <t>2022-09-18</t>
        </is>
      </c>
      <c r="B795" t="n">
        <v>6</v>
      </c>
      <c r="C795" s="6" t="n">
        <v>0</v>
      </c>
      <c r="D795" t="n">
        <v>1</v>
      </c>
    </row>
    <row r="796">
      <c r="A796" t="inlineStr">
        <is>
          <t>2022-09-21</t>
        </is>
      </c>
      <c r="B796" t="n">
        <v>1</v>
      </c>
      <c r="C796" s="6" t="n">
        <v>0</v>
      </c>
      <c r="D796" t="n">
        <v>1</v>
      </c>
    </row>
    <row r="797">
      <c r="A797" t="inlineStr">
        <is>
          <t>2022-09-21</t>
        </is>
      </c>
      <c r="B797" t="n">
        <v>2</v>
      </c>
      <c r="C797" s="6" t="n">
        <v>0</v>
      </c>
      <c r="D797" t="n">
        <v>1</v>
      </c>
    </row>
    <row r="798">
      <c r="A798" t="inlineStr">
        <is>
          <t>2022-09-21</t>
        </is>
      </c>
      <c r="B798" t="n">
        <v>3</v>
      </c>
      <c r="C798" s="6" t="n">
        <v>0</v>
      </c>
      <c r="D798" t="n">
        <v>1</v>
      </c>
    </row>
    <row r="799">
      <c r="A799" t="inlineStr">
        <is>
          <t>2022-09-21</t>
        </is>
      </c>
      <c r="B799" t="n">
        <v>4</v>
      </c>
      <c r="C799" s="6" t="n">
        <v>0</v>
      </c>
      <c r="D799" t="n">
        <v>1</v>
      </c>
    </row>
    <row r="800">
      <c r="A800" t="inlineStr">
        <is>
          <t>2022-09-22</t>
        </is>
      </c>
      <c r="B800" t="n">
        <v>4</v>
      </c>
      <c r="C800" s="6" t="n">
        <v>0</v>
      </c>
      <c r="D800" t="n">
        <v>1</v>
      </c>
    </row>
    <row r="801">
      <c r="A801" t="inlineStr">
        <is>
          <t>2022-09-22</t>
        </is>
      </c>
      <c r="B801" t="n">
        <v>2</v>
      </c>
      <c r="C801" s="6" t="n">
        <v>0</v>
      </c>
      <c r="D801" t="n">
        <v>1</v>
      </c>
    </row>
    <row r="802">
      <c r="A802" t="inlineStr">
        <is>
          <t>2022-09-22</t>
        </is>
      </c>
      <c r="B802" t="n">
        <v>1</v>
      </c>
      <c r="C802" s="6" t="n">
        <v>0</v>
      </c>
      <c r="D802" t="n">
        <v>1</v>
      </c>
    </row>
    <row r="803">
      <c r="A803" t="inlineStr">
        <is>
          <t>2022-09-22</t>
        </is>
      </c>
      <c r="B803" t="n">
        <v>3</v>
      </c>
      <c r="C803" s="6" t="n">
        <v>0</v>
      </c>
      <c r="D803" t="n">
        <v>1</v>
      </c>
    </row>
    <row r="804">
      <c r="A804" t="inlineStr">
        <is>
          <t>2022-09-22</t>
        </is>
      </c>
      <c r="B804" t="n">
        <v>5</v>
      </c>
      <c r="C804" s="6" t="n">
        <v>0</v>
      </c>
      <c r="D804" t="n">
        <v>1</v>
      </c>
    </row>
    <row r="805">
      <c r="A805" t="inlineStr">
        <is>
          <t>2022-09-22</t>
        </is>
      </c>
      <c r="B805" t="n">
        <v>6</v>
      </c>
      <c r="C805" s="6" t="n">
        <v>0</v>
      </c>
      <c r="D805" t="n">
        <v>1</v>
      </c>
    </row>
    <row r="806">
      <c r="A806" t="inlineStr">
        <is>
          <t>2022-09-22</t>
        </is>
      </c>
      <c r="B806" t="n">
        <v>7</v>
      </c>
      <c r="C806" s="6" t="n">
        <v>0</v>
      </c>
      <c r="D806" t="n">
        <v>1</v>
      </c>
    </row>
    <row r="807">
      <c r="A807" t="inlineStr">
        <is>
          <t>2022-09-23</t>
        </is>
      </c>
      <c r="B807" t="n">
        <v>1</v>
      </c>
      <c r="C807" s="6" t="n">
        <v>0</v>
      </c>
      <c r="D807" t="n">
        <v>1</v>
      </c>
    </row>
    <row r="808">
      <c r="A808" t="inlineStr">
        <is>
          <t>2022-09-23</t>
        </is>
      </c>
      <c r="B808" t="n">
        <v>2</v>
      </c>
      <c r="C808" s="6" t="n">
        <v>0</v>
      </c>
      <c r="D808" t="n">
        <v>1</v>
      </c>
    </row>
    <row r="809">
      <c r="A809" t="inlineStr">
        <is>
          <t>2022-09-24</t>
        </is>
      </c>
      <c r="B809" t="n">
        <v>3</v>
      </c>
      <c r="C809" s="6" t="n">
        <v>0</v>
      </c>
      <c r="D809" t="n">
        <v>1</v>
      </c>
    </row>
    <row r="810">
      <c r="A810" t="inlineStr">
        <is>
          <t>2022-09-24</t>
        </is>
      </c>
      <c r="B810" t="n">
        <v>1</v>
      </c>
      <c r="C810" s="6" t="n">
        <v>0</v>
      </c>
      <c r="D810" t="n">
        <v>1</v>
      </c>
    </row>
    <row r="811">
      <c r="A811" t="inlineStr">
        <is>
          <t>2022-09-24</t>
        </is>
      </c>
      <c r="B811" t="n">
        <v>2</v>
      </c>
      <c r="C811" s="6" t="n">
        <v>0</v>
      </c>
      <c r="D811" t="n">
        <v>1</v>
      </c>
    </row>
    <row r="812">
      <c r="A812" t="inlineStr">
        <is>
          <t>2022-09-25</t>
        </is>
      </c>
      <c r="B812" t="n">
        <v>3</v>
      </c>
      <c r="C812" s="6" t="n">
        <v>0</v>
      </c>
      <c r="D812" t="n">
        <v>1</v>
      </c>
    </row>
    <row r="813">
      <c r="A813" t="inlineStr">
        <is>
          <t>2022-09-25</t>
        </is>
      </c>
      <c r="B813" t="n">
        <v>2</v>
      </c>
      <c r="C813" s="6" t="n">
        <v>0</v>
      </c>
      <c r="D813" t="n">
        <v>1</v>
      </c>
    </row>
    <row r="814">
      <c r="A814" t="inlineStr">
        <is>
          <t>2022-09-25</t>
        </is>
      </c>
      <c r="B814" t="n">
        <v>1</v>
      </c>
      <c r="C814" s="6" t="n">
        <v>0</v>
      </c>
      <c r="D814" t="n">
        <v>1</v>
      </c>
    </row>
    <row r="815">
      <c r="A815" t="inlineStr">
        <is>
          <t>2022-09-25</t>
        </is>
      </c>
      <c r="B815" t="n">
        <v>4</v>
      </c>
      <c r="C815" s="6" t="n">
        <v>0</v>
      </c>
      <c r="D815" t="n">
        <v>1</v>
      </c>
    </row>
    <row r="816">
      <c r="A816" t="inlineStr">
        <is>
          <t>2022-09-25</t>
        </is>
      </c>
      <c r="B816" t="n">
        <v>7</v>
      </c>
      <c r="C816" s="6" t="n">
        <v>0</v>
      </c>
      <c r="D816" t="n">
        <v>1</v>
      </c>
    </row>
    <row r="817">
      <c r="A817" t="inlineStr">
        <is>
          <t>2022-09-25</t>
        </is>
      </c>
      <c r="B817" t="n">
        <v>5</v>
      </c>
      <c r="C817" s="6" t="n">
        <v>0</v>
      </c>
      <c r="D817" t="n">
        <v>1</v>
      </c>
    </row>
    <row r="818">
      <c r="A818" t="inlineStr">
        <is>
          <t>2022-09-25</t>
        </is>
      </c>
      <c r="B818" t="n">
        <v>6</v>
      </c>
      <c r="C818" s="6" t="n">
        <v>0</v>
      </c>
      <c r="D818" t="n">
        <v>1</v>
      </c>
    </row>
    <row r="819">
      <c r="A819" t="inlineStr">
        <is>
          <t>2022-09-28</t>
        </is>
      </c>
      <c r="B819" t="n">
        <v>1</v>
      </c>
      <c r="C819" s="6" t="n">
        <v>0</v>
      </c>
      <c r="D819" t="n">
        <v>1</v>
      </c>
    </row>
    <row r="820">
      <c r="A820" t="inlineStr">
        <is>
          <t>2022-09-28</t>
        </is>
      </c>
      <c r="B820" t="n">
        <v>2</v>
      </c>
      <c r="C820" s="6" t="n">
        <v>0</v>
      </c>
      <c r="D820" t="n">
        <v>1</v>
      </c>
    </row>
    <row r="821">
      <c r="A821" t="inlineStr">
        <is>
          <t>2022-09-28</t>
        </is>
      </c>
      <c r="B821" t="n">
        <v>3</v>
      </c>
      <c r="C821" s="6" t="n">
        <v>0</v>
      </c>
      <c r="D821" t="n">
        <v>1</v>
      </c>
    </row>
    <row r="822">
      <c r="A822" t="inlineStr">
        <is>
          <t>2022-09-28</t>
        </is>
      </c>
      <c r="B822" t="n">
        <v>4</v>
      </c>
      <c r="C822" s="6" t="n">
        <v>0</v>
      </c>
      <c r="D822" t="n">
        <v>1</v>
      </c>
    </row>
    <row r="823">
      <c r="A823" t="inlineStr">
        <is>
          <t>2022-09-28</t>
        </is>
      </c>
      <c r="B823" t="n">
        <v>5</v>
      </c>
      <c r="C823" s="6" t="n">
        <v>0</v>
      </c>
      <c r="D823" t="n">
        <v>1</v>
      </c>
    </row>
    <row r="824">
      <c r="A824" t="inlineStr">
        <is>
          <t>2022-09-29</t>
        </is>
      </c>
      <c r="B824" t="n">
        <v>1</v>
      </c>
      <c r="C824" s="6" t="n">
        <v>0</v>
      </c>
      <c r="D824" t="n">
        <v>1</v>
      </c>
    </row>
    <row r="825">
      <c r="A825" t="inlineStr">
        <is>
          <t>2022-09-29</t>
        </is>
      </c>
      <c r="B825" t="n">
        <v>2</v>
      </c>
      <c r="C825" s="6" t="n">
        <v>0</v>
      </c>
      <c r="D825" t="n">
        <v>1</v>
      </c>
    </row>
    <row r="826">
      <c r="A826" t="inlineStr">
        <is>
          <t>2022-09-29</t>
        </is>
      </c>
      <c r="B826" t="n">
        <v>3</v>
      </c>
      <c r="C826" s="6" t="n">
        <v>0</v>
      </c>
      <c r="D826" t="n">
        <v>1</v>
      </c>
    </row>
    <row r="827">
      <c r="A827" t="inlineStr">
        <is>
          <t>2022-09-30</t>
        </is>
      </c>
      <c r="B827" t="n">
        <v>1</v>
      </c>
      <c r="C827" s="6" t="n">
        <v>0</v>
      </c>
      <c r="D827" t="n">
        <v>1</v>
      </c>
    </row>
    <row r="828">
      <c r="A828" t="inlineStr">
        <is>
          <t>2022-09-30</t>
        </is>
      </c>
      <c r="B828" t="n">
        <v>2</v>
      </c>
      <c r="C828" s="6" t="n">
        <v>0</v>
      </c>
      <c r="D828" t="n">
        <v>1</v>
      </c>
    </row>
    <row r="829">
      <c r="A829" t="inlineStr">
        <is>
          <t>2022-10-01</t>
        </is>
      </c>
      <c r="B829" t="n">
        <v>2</v>
      </c>
      <c r="C829" s="6" t="n">
        <v>0</v>
      </c>
      <c r="D829" t="n">
        <v>1</v>
      </c>
    </row>
    <row r="830">
      <c r="A830" t="inlineStr">
        <is>
          <t>2022-10-01</t>
        </is>
      </c>
      <c r="B830" t="n">
        <v>4</v>
      </c>
      <c r="C830" s="6" t="n">
        <v>0</v>
      </c>
      <c r="D830" t="n">
        <v>1</v>
      </c>
    </row>
    <row r="831">
      <c r="A831" t="inlineStr">
        <is>
          <t>2022-10-01</t>
        </is>
      </c>
      <c r="B831" t="n">
        <v>1</v>
      </c>
      <c r="C831" s="6" t="n">
        <v>0</v>
      </c>
      <c r="D831" t="n">
        <v>1</v>
      </c>
    </row>
    <row r="832">
      <c r="A832" t="inlineStr">
        <is>
          <t>2022-10-01</t>
        </is>
      </c>
      <c r="B832" t="n">
        <v>3</v>
      </c>
      <c r="C832" s="6" t="n">
        <v>0</v>
      </c>
      <c r="D832" t="n">
        <v>1</v>
      </c>
    </row>
    <row r="833">
      <c r="A833" t="inlineStr">
        <is>
          <t>2022-10-01</t>
        </is>
      </c>
      <c r="B833" t="n">
        <v>7</v>
      </c>
      <c r="C833" s="6" t="n">
        <v>0</v>
      </c>
      <c r="D833" t="n">
        <v>1</v>
      </c>
    </row>
    <row r="834">
      <c r="A834" t="inlineStr">
        <is>
          <t>2022-10-01</t>
        </is>
      </c>
      <c r="B834" t="n">
        <v>8</v>
      </c>
      <c r="C834" s="6" t="n">
        <v>0</v>
      </c>
      <c r="D834" t="n">
        <v>1</v>
      </c>
    </row>
    <row r="835">
      <c r="A835" t="inlineStr">
        <is>
          <t>2022-10-01</t>
        </is>
      </c>
      <c r="B835" t="n">
        <v>5</v>
      </c>
      <c r="C835" s="6" t="n">
        <v>0</v>
      </c>
      <c r="D835" t="n">
        <v>1</v>
      </c>
    </row>
    <row r="836">
      <c r="A836" t="inlineStr">
        <is>
          <t>2022-10-01</t>
        </is>
      </c>
      <c r="B836" t="n">
        <v>6</v>
      </c>
      <c r="C836" s="6" t="n">
        <v>0</v>
      </c>
      <c r="D836" t="n">
        <v>1</v>
      </c>
    </row>
    <row r="837">
      <c r="A837" t="inlineStr">
        <is>
          <t>2022-10-02</t>
        </is>
      </c>
      <c r="B837" t="n">
        <v>1</v>
      </c>
      <c r="C837" s="6" t="n">
        <v>0</v>
      </c>
      <c r="D837" t="n">
        <v>1</v>
      </c>
    </row>
    <row r="838">
      <c r="A838" t="inlineStr">
        <is>
          <t>2022-10-02</t>
        </is>
      </c>
      <c r="B838" t="n">
        <v>3</v>
      </c>
      <c r="C838" s="6" t="n">
        <v>0</v>
      </c>
      <c r="D838" t="n">
        <v>1</v>
      </c>
    </row>
    <row r="839">
      <c r="A839" t="inlineStr">
        <is>
          <t>2022-10-02</t>
        </is>
      </c>
      <c r="B839" t="n">
        <v>4</v>
      </c>
      <c r="C839" s="6" t="n">
        <v>0</v>
      </c>
      <c r="D839" t="n">
        <v>1</v>
      </c>
    </row>
    <row r="840">
      <c r="A840" t="inlineStr">
        <is>
          <t>2022-10-02</t>
        </is>
      </c>
      <c r="B840" t="n">
        <v>2</v>
      </c>
      <c r="C840" s="6" t="n">
        <v>0</v>
      </c>
      <c r="D840" t="n">
        <v>1</v>
      </c>
    </row>
    <row r="841">
      <c r="A841" t="inlineStr">
        <is>
          <t>2022-10-05</t>
        </is>
      </c>
      <c r="B841" t="n">
        <v>1</v>
      </c>
      <c r="C841" s="6" t="n">
        <v>0</v>
      </c>
      <c r="D841" t="n">
        <v>1</v>
      </c>
    </row>
    <row r="842">
      <c r="A842" t="inlineStr">
        <is>
          <t>2022-10-05</t>
        </is>
      </c>
      <c r="B842" t="n">
        <v>3</v>
      </c>
      <c r="C842" s="6" t="n">
        <v>0</v>
      </c>
      <c r="D842" t="n">
        <v>1</v>
      </c>
    </row>
    <row r="843">
      <c r="A843" t="inlineStr">
        <is>
          <t>2022-10-05</t>
        </is>
      </c>
      <c r="B843" t="n">
        <v>2</v>
      </c>
      <c r="C843" s="6" t="n">
        <v>0</v>
      </c>
      <c r="D843" t="n">
        <v>1</v>
      </c>
    </row>
    <row r="844">
      <c r="A844" t="inlineStr">
        <is>
          <t>2022-10-05</t>
        </is>
      </c>
      <c r="B844" t="n">
        <v>4</v>
      </c>
      <c r="C844" s="6" t="n">
        <v>0</v>
      </c>
      <c r="D844" t="n">
        <v>1</v>
      </c>
    </row>
    <row r="845">
      <c r="A845" t="inlineStr">
        <is>
          <t>2022-10-05</t>
        </is>
      </c>
      <c r="B845" t="n">
        <v>5</v>
      </c>
      <c r="C845" s="6" t="n">
        <v>0</v>
      </c>
      <c r="D845" t="n">
        <v>1</v>
      </c>
    </row>
    <row r="846">
      <c r="A846" t="inlineStr">
        <is>
          <t>2022-10-05</t>
        </is>
      </c>
      <c r="B846" t="n">
        <v>6</v>
      </c>
      <c r="C846" s="6" t="n">
        <v>0</v>
      </c>
      <c r="D846" t="n">
        <v>1</v>
      </c>
    </row>
    <row r="847">
      <c r="A847" t="inlineStr">
        <is>
          <t>2022-10-05</t>
        </is>
      </c>
      <c r="B847" t="n">
        <v>7</v>
      </c>
      <c r="C847" s="6" t="n">
        <v>0</v>
      </c>
      <c r="D847" t="n">
        <v>1</v>
      </c>
    </row>
    <row r="848">
      <c r="A848" t="inlineStr">
        <is>
          <t>2022-10-05</t>
        </is>
      </c>
      <c r="B848" t="n">
        <v>8</v>
      </c>
      <c r="C848" s="6" t="n">
        <v>0</v>
      </c>
      <c r="D848" t="n">
        <v>1</v>
      </c>
    </row>
    <row r="849">
      <c r="A849" t="inlineStr">
        <is>
          <t>2022-10-05</t>
        </is>
      </c>
      <c r="B849" t="n">
        <v>9</v>
      </c>
      <c r="C849" s="6" t="n">
        <v>0</v>
      </c>
      <c r="D849" t="n">
        <v>1</v>
      </c>
    </row>
    <row r="850">
      <c r="A850" t="inlineStr">
        <is>
          <t>2022-10-05</t>
        </is>
      </c>
      <c r="B850" t="n">
        <v>10</v>
      </c>
      <c r="C850" s="6" t="n">
        <v>0</v>
      </c>
      <c r="D850" t="n">
        <v>1</v>
      </c>
    </row>
    <row r="851">
      <c r="A851" t="inlineStr">
        <is>
          <t>2022-10-05</t>
        </is>
      </c>
      <c r="B851" t="n">
        <v>11</v>
      </c>
      <c r="C851" s="6" t="n">
        <v>0</v>
      </c>
      <c r="D851" t="n">
        <v>1</v>
      </c>
    </row>
    <row r="852">
      <c r="A852" t="inlineStr">
        <is>
          <t>2022-10-05</t>
        </is>
      </c>
      <c r="B852" t="n">
        <v>12</v>
      </c>
      <c r="C852" s="6" t="n">
        <v>0</v>
      </c>
      <c r="D852" t="n">
        <v>1</v>
      </c>
    </row>
    <row r="853">
      <c r="A853" t="inlineStr">
        <is>
          <t>2022-10-06</t>
        </is>
      </c>
      <c r="B853" t="n">
        <v>1</v>
      </c>
      <c r="C853" s="6" t="n">
        <v>0</v>
      </c>
      <c r="D853" t="n">
        <v>1</v>
      </c>
    </row>
    <row r="854">
      <c r="A854" t="inlineStr">
        <is>
          <t>2022-10-06</t>
        </is>
      </c>
      <c r="B854" t="n">
        <v>3</v>
      </c>
      <c r="C854" s="6" t="n">
        <v>0</v>
      </c>
      <c r="D854" t="n">
        <v>1</v>
      </c>
    </row>
    <row r="855">
      <c r="A855" t="inlineStr">
        <is>
          <t>2022-10-06</t>
        </is>
      </c>
      <c r="B855" t="n">
        <v>2</v>
      </c>
      <c r="C855" s="6" t="n">
        <v>0</v>
      </c>
      <c r="D855" t="n">
        <v>1</v>
      </c>
    </row>
    <row r="856">
      <c r="A856" t="inlineStr">
        <is>
          <t>2022-10-06</t>
        </is>
      </c>
      <c r="B856" t="n">
        <v>4</v>
      </c>
      <c r="C856" s="6" t="n">
        <v>0</v>
      </c>
      <c r="D856" t="n">
        <v>1</v>
      </c>
    </row>
    <row r="857">
      <c r="A857" t="inlineStr">
        <is>
          <t>2022-10-06</t>
        </is>
      </c>
      <c r="B857" t="n">
        <v>5</v>
      </c>
      <c r="C857" s="6" t="n">
        <v>0</v>
      </c>
      <c r="D857" t="n">
        <v>1</v>
      </c>
    </row>
    <row r="858">
      <c r="A858" t="inlineStr">
        <is>
          <t>2022-10-07</t>
        </is>
      </c>
      <c r="B858" t="n">
        <v>1</v>
      </c>
      <c r="C858" s="6" t="n">
        <v>0</v>
      </c>
      <c r="D858" t="n">
        <v>1</v>
      </c>
    </row>
    <row r="859">
      <c r="A859" t="inlineStr">
        <is>
          <t>2022-10-07</t>
        </is>
      </c>
      <c r="B859" t="n">
        <v>2</v>
      </c>
      <c r="C859" s="6" t="n">
        <v>0</v>
      </c>
      <c r="D859" t="n">
        <v>1</v>
      </c>
    </row>
    <row r="860">
      <c r="A860" t="inlineStr">
        <is>
          <t>2022-10-07</t>
        </is>
      </c>
      <c r="B860" t="n">
        <v>3</v>
      </c>
      <c r="C860" s="6" t="n">
        <v>0</v>
      </c>
      <c r="D860" t="n">
        <v>1</v>
      </c>
    </row>
    <row r="861">
      <c r="A861" t="inlineStr">
        <is>
          <t>2022-10-07</t>
        </is>
      </c>
      <c r="B861" t="n">
        <v>4</v>
      </c>
      <c r="C861" s="6" t="n">
        <v>0</v>
      </c>
      <c r="D861" t="n">
        <v>1</v>
      </c>
    </row>
    <row r="862">
      <c r="A862" t="inlineStr">
        <is>
          <t>2022-10-07</t>
        </is>
      </c>
      <c r="B862" t="n">
        <v>6</v>
      </c>
      <c r="C862" s="6" t="n">
        <v>0</v>
      </c>
      <c r="D862" t="n">
        <v>1</v>
      </c>
    </row>
    <row r="863">
      <c r="A863" t="inlineStr">
        <is>
          <t>2022-10-07</t>
        </is>
      </c>
      <c r="B863" t="n">
        <v>5</v>
      </c>
      <c r="C863" s="6" t="n">
        <v>0</v>
      </c>
      <c r="D863" t="n">
        <v>1</v>
      </c>
    </row>
    <row r="864">
      <c r="A864" t="inlineStr">
        <is>
          <t>2022-10-07</t>
        </is>
      </c>
      <c r="B864" t="n">
        <v>7</v>
      </c>
      <c r="C864" s="6" t="n">
        <v>0</v>
      </c>
      <c r="D864" t="n">
        <v>1</v>
      </c>
    </row>
    <row r="865">
      <c r="A865" t="inlineStr">
        <is>
          <t>2022-10-08</t>
        </is>
      </c>
      <c r="B865" t="n">
        <v>1</v>
      </c>
      <c r="C865" s="6" t="n">
        <v>0</v>
      </c>
      <c r="D865" t="n">
        <v>1</v>
      </c>
    </row>
    <row r="866">
      <c r="A866" t="inlineStr">
        <is>
          <t>2022-10-08</t>
        </is>
      </c>
      <c r="B866" t="n">
        <v>2</v>
      </c>
      <c r="C866" s="6" t="n">
        <v>0</v>
      </c>
      <c r="D866" t="n">
        <v>1</v>
      </c>
    </row>
    <row r="867">
      <c r="A867" t="inlineStr">
        <is>
          <t>2022-10-08</t>
        </is>
      </c>
      <c r="B867" t="n">
        <v>3</v>
      </c>
      <c r="C867" s="6" t="n">
        <v>0</v>
      </c>
      <c r="D867" t="n">
        <v>1</v>
      </c>
    </row>
    <row r="868">
      <c r="A868" t="inlineStr">
        <is>
          <t>2022-10-08</t>
        </is>
      </c>
      <c r="B868" t="n">
        <v>5</v>
      </c>
      <c r="C868" s="6" t="n">
        <v>0</v>
      </c>
      <c r="D868" t="n">
        <v>1</v>
      </c>
    </row>
    <row r="869">
      <c r="A869" t="inlineStr">
        <is>
          <t>2022-10-08</t>
        </is>
      </c>
      <c r="B869" t="n">
        <v>7</v>
      </c>
      <c r="C869" s="6" t="n">
        <v>0</v>
      </c>
      <c r="D869" t="n">
        <v>1</v>
      </c>
    </row>
    <row r="870">
      <c r="A870" t="inlineStr">
        <is>
          <t>2022-10-08</t>
        </is>
      </c>
      <c r="B870" t="n">
        <v>4</v>
      </c>
      <c r="C870" s="6" t="n">
        <v>0</v>
      </c>
      <c r="D870" t="n">
        <v>1</v>
      </c>
    </row>
    <row r="871">
      <c r="A871" t="inlineStr">
        <is>
          <t>2022-10-08</t>
        </is>
      </c>
      <c r="B871" t="n">
        <v>6</v>
      </c>
      <c r="C871" s="6" t="n">
        <v>0</v>
      </c>
      <c r="D871" t="n">
        <v>1</v>
      </c>
    </row>
    <row r="872">
      <c r="A872" t="inlineStr">
        <is>
          <t>2022-10-08</t>
        </is>
      </c>
      <c r="B872" t="n">
        <v>8</v>
      </c>
      <c r="C872" s="6" t="n">
        <v>0</v>
      </c>
      <c r="D872" t="n">
        <v>1</v>
      </c>
    </row>
    <row r="873">
      <c r="A873" t="inlineStr">
        <is>
          <t>2022-10-09</t>
        </is>
      </c>
      <c r="B873" t="n">
        <v>1</v>
      </c>
      <c r="C873" s="6" t="n">
        <v>0</v>
      </c>
      <c r="D873" t="n">
        <v>1</v>
      </c>
    </row>
    <row r="874">
      <c r="A874" t="inlineStr">
        <is>
          <t>2022-10-09</t>
        </is>
      </c>
      <c r="B874" t="n">
        <v>2</v>
      </c>
      <c r="C874" s="6" t="n">
        <v>0</v>
      </c>
      <c r="D874" t="n">
        <v>1</v>
      </c>
    </row>
    <row r="875">
      <c r="A875" t="inlineStr">
        <is>
          <t>2022-10-09</t>
        </is>
      </c>
      <c r="B875" t="n">
        <v>5</v>
      </c>
      <c r="C875" s="6" t="n">
        <v>0</v>
      </c>
      <c r="D875" t="n">
        <v>1</v>
      </c>
    </row>
    <row r="876">
      <c r="A876" t="inlineStr">
        <is>
          <t>2022-10-09</t>
        </is>
      </c>
      <c r="B876" t="n">
        <v>3</v>
      </c>
      <c r="C876" s="6" t="n">
        <v>0</v>
      </c>
      <c r="D876" t="n">
        <v>1</v>
      </c>
    </row>
    <row r="877">
      <c r="A877" t="inlineStr">
        <is>
          <t>2022-10-09</t>
        </is>
      </c>
      <c r="B877" t="n">
        <v>6</v>
      </c>
      <c r="C877" s="6" t="n">
        <v>0</v>
      </c>
      <c r="D877" t="n">
        <v>1</v>
      </c>
    </row>
    <row r="878">
      <c r="A878" t="inlineStr">
        <is>
          <t>2022-10-09</t>
        </is>
      </c>
      <c r="B878" t="n">
        <v>4</v>
      </c>
      <c r="C878" s="6" t="n">
        <v>0</v>
      </c>
      <c r="D878" t="n">
        <v>1</v>
      </c>
    </row>
    <row r="879">
      <c r="A879" t="inlineStr">
        <is>
          <t>2022-10-12</t>
        </is>
      </c>
      <c r="B879" t="n">
        <v>7</v>
      </c>
      <c r="C879" s="6" t="n">
        <v>0</v>
      </c>
      <c r="D879" t="n">
        <v>1</v>
      </c>
    </row>
    <row r="880">
      <c r="A880" t="inlineStr">
        <is>
          <t>2022-10-12</t>
        </is>
      </c>
      <c r="B880" t="n">
        <v>1</v>
      </c>
      <c r="C880" s="6" t="n">
        <v>0</v>
      </c>
      <c r="D880" t="n">
        <v>1</v>
      </c>
    </row>
    <row r="881">
      <c r="A881" t="inlineStr">
        <is>
          <t>2022-10-12</t>
        </is>
      </c>
      <c r="B881" t="n">
        <v>2</v>
      </c>
      <c r="C881" s="6" t="n">
        <v>0</v>
      </c>
      <c r="D881" t="n">
        <v>1</v>
      </c>
    </row>
    <row r="882">
      <c r="A882" t="inlineStr">
        <is>
          <t>2022-10-12</t>
        </is>
      </c>
      <c r="B882" t="n">
        <v>3</v>
      </c>
      <c r="C882" s="6" t="n">
        <v>0</v>
      </c>
      <c r="D882" t="n">
        <v>1</v>
      </c>
    </row>
    <row r="883">
      <c r="A883" t="inlineStr">
        <is>
          <t>2022-10-12</t>
        </is>
      </c>
      <c r="B883" t="n">
        <v>4</v>
      </c>
      <c r="C883" s="6" t="n">
        <v>0</v>
      </c>
      <c r="D883" t="n">
        <v>1</v>
      </c>
    </row>
    <row r="884">
      <c r="A884" t="inlineStr">
        <is>
          <t>2022-10-12</t>
        </is>
      </c>
      <c r="B884" t="n">
        <v>6</v>
      </c>
      <c r="C884" s="6" t="n">
        <v>0</v>
      </c>
      <c r="D884" t="n">
        <v>1</v>
      </c>
    </row>
    <row r="885">
      <c r="A885" t="inlineStr">
        <is>
          <t>2022-10-12</t>
        </is>
      </c>
      <c r="B885" t="n">
        <v>5</v>
      </c>
      <c r="C885" s="6" t="n">
        <v>0</v>
      </c>
      <c r="D885" t="n">
        <v>1</v>
      </c>
    </row>
    <row r="886">
      <c r="A886" t="inlineStr">
        <is>
          <t>2022-10-12</t>
        </is>
      </c>
      <c r="B886" t="n">
        <v>9</v>
      </c>
      <c r="C886" s="6" t="n">
        <v>0</v>
      </c>
      <c r="D886" t="n">
        <v>1</v>
      </c>
    </row>
    <row r="887">
      <c r="A887" t="inlineStr">
        <is>
          <t>2022-10-12</t>
        </is>
      </c>
      <c r="B887" t="n">
        <v>8</v>
      </c>
      <c r="C887" s="6" t="n">
        <v>0</v>
      </c>
      <c r="D887" t="n">
        <v>1</v>
      </c>
    </row>
    <row r="888">
      <c r="A888" t="inlineStr">
        <is>
          <t>2022-10-13</t>
        </is>
      </c>
      <c r="B888" t="n">
        <v>1</v>
      </c>
      <c r="C888" s="6" t="n">
        <v>0</v>
      </c>
      <c r="D888" t="n">
        <v>1</v>
      </c>
    </row>
    <row r="889">
      <c r="A889" t="inlineStr">
        <is>
          <t>2022-10-13</t>
        </is>
      </c>
      <c r="B889" t="n">
        <v>2</v>
      </c>
      <c r="C889" s="6" t="n">
        <v>0</v>
      </c>
      <c r="D889" t="n">
        <v>1</v>
      </c>
    </row>
    <row r="890">
      <c r="A890" t="inlineStr">
        <is>
          <t>2022-10-14</t>
        </is>
      </c>
      <c r="B890" t="n">
        <v>1</v>
      </c>
      <c r="C890" s="6" t="n">
        <v>0</v>
      </c>
      <c r="D890" t="n">
        <v>1</v>
      </c>
    </row>
    <row r="891">
      <c r="A891" t="inlineStr">
        <is>
          <t>2022-10-14</t>
        </is>
      </c>
      <c r="B891" t="n">
        <v>2</v>
      </c>
      <c r="C891" s="6" t="n">
        <v>0</v>
      </c>
      <c r="D891" t="n">
        <v>1</v>
      </c>
    </row>
    <row r="892">
      <c r="A892" t="inlineStr">
        <is>
          <t>2022-10-14</t>
        </is>
      </c>
      <c r="B892" t="n">
        <v>3</v>
      </c>
      <c r="C892" s="6" t="n">
        <v>0</v>
      </c>
      <c r="D892" t="n">
        <v>1</v>
      </c>
    </row>
    <row r="893">
      <c r="A893" t="inlineStr">
        <is>
          <t>2022-10-14</t>
        </is>
      </c>
      <c r="B893" t="n">
        <v>4</v>
      </c>
      <c r="C893" s="6" t="n">
        <v>0</v>
      </c>
      <c r="D893" t="n">
        <v>1</v>
      </c>
    </row>
    <row r="894">
      <c r="A894" t="inlineStr">
        <is>
          <t>2022-10-14</t>
        </is>
      </c>
      <c r="B894" t="n">
        <v>5</v>
      </c>
      <c r="C894" s="6" t="n">
        <v>0</v>
      </c>
      <c r="D894" t="n">
        <v>1</v>
      </c>
    </row>
    <row r="895">
      <c r="A895" t="inlineStr">
        <is>
          <t>2022-10-15</t>
        </is>
      </c>
      <c r="B895" t="n">
        <v>2</v>
      </c>
      <c r="C895" s="6" t="n">
        <v>0</v>
      </c>
      <c r="D895" t="n">
        <v>1</v>
      </c>
    </row>
    <row r="896">
      <c r="A896" t="inlineStr">
        <is>
          <t>2022-10-15</t>
        </is>
      </c>
      <c r="B896" t="n">
        <v>1</v>
      </c>
      <c r="C896" s="6" t="n">
        <v>0</v>
      </c>
      <c r="D896" t="n">
        <v>1</v>
      </c>
    </row>
    <row r="897">
      <c r="A897" t="inlineStr">
        <is>
          <t>2022-10-15</t>
        </is>
      </c>
      <c r="B897" t="n">
        <v>3</v>
      </c>
      <c r="C897" s="6" t="n">
        <v>0</v>
      </c>
      <c r="D897" t="n">
        <v>1</v>
      </c>
    </row>
    <row r="898">
      <c r="A898" t="inlineStr">
        <is>
          <t>2022-10-15</t>
        </is>
      </c>
      <c r="B898" t="n">
        <v>4</v>
      </c>
      <c r="C898" s="6" t="n">
        <v>0</v>
      </c>
      <c r="D898" t="n">
        <v>1</v>
      </c>
    </row>
    <row r="899">
      <c r="A899" t="inlineStr">
        <is>
          <t>2022-10-15</t>
        </is>
      </c>
      <c r="B899" t="n">
        <v>5</v>
      </c>
      <c r="C899" s="6" t="n">
        <v>0</v>
      </c>
      <c r="D899" t="n">
        <v>1</v>
      </c>
    </row>
    <row r="900">
      <c r="A900" t="inlineStr">
        <is>
          <t>2022-10-16</t>
        </is>
      </c>
      <c r="B900" t="n">
        <v>2</v>
      </c>
      <c r="C900" s="6" t="n">
        <v>0</v>
      </c>
      <c r="D900" t="n">
        <v>1</v>
      </c>
    </row>
    <row r="901">
      <c r="A901" t="inlineStr">
        <is>
          <t>2022-10-16</t>
        </is>
      </c>
      <c r="B901" t="n">
        <v>1</v>
      </c>
      <c r="C901" s="6" t="n">
        <v>0</v>
      </c>
      <c r="D901" t="n">
        <v>1</v>
      </c>
    </row>
    <row r="902">
      <c r="A902" t="inlineStr">
        <is>
          <t>2022-10-16</t>
        </is>
      </c>
      <c r="B902" t="n">
        <v>3</v>
      </c>
      <c r="C902" s="6" t="n">
        <v>0</v>
      </c>
      <c r="D902" t="n">
        <v>1</v>
      </c>
    </row>
    <row r="903">
      <c r="A903" t="inlineStr">
        <is>
          <t>2022-10-19</t>
        </is>
      </c>
      <c r="B903" t="n">
        <v>1</v>
      </c>
      <c r="C903" s="6" t="n">
        <v>0</v>
      </c>
      <c r="D903" t="n">
        <v>1</v>
      </c>
    </row>
    <row r="904">
      <c r="A904" t="inlineStr">
        <is>
          <t>2022-10-19</t>
        </is>
      </c>
      <c r="B904" t="n">
        <v>2</v>
      </c>
      <c r="C904" s="6" t="n">
        <v>0</v>
      </c>
      <c r="D904" t="n">
        <v>1</v>
      </c>
    </row>
    <row r="905">
      <c r="A905" t="inlineStr">
        <is>
          <t>2022-10-20</t>
        </is>
      </c>
      <c r="B905" t="n">
        <v>2</v>
      </c>
      <c r="C905" s="6" t="n">
        <v>0</v>
      </c>
      <c r="D905" t="n">
        <v>1</v>
      </c>
    </row>
    <row r="906">
      <c r="A906" t="inlineStr">
        <is>
          <t>2022-10-20</t>
        </is>
      </c>
      <c r="B906" t="n">
        <v>1</v>
      </c>
      <c r="C906" s="6" t="n">
        <v>0</v>
      </c>
      <c r="D906" t="n">
        <v>1</v>
      </c>
    </row>
    <row r="907">
      <c r="A907" t="inlineStr">
        <is>
          <t>2022-10-20</t>
        </is>
      </c>
      <c r="B907" t="n">
        <v>3</v>
      </c>
      <c r="C907" s="6" t="n">
        <v>0</v>
      </c>
      <c r="D907" t="n">
        <v>1</v>
      </c>
    </row>
    <row r="908">
      <c r="A908" t="inlineStr">
        <is>
          <t>2022-10-20</t>
        </is>
      </c>
      <c r="B908" t="n">
        <v>4</v>
      </c>
      <c r="C908" s="6" t="n">
        <v>0</v>
      </c>
      <c r="D908" t="n">
        <v>1</v>
      </c>
    </row>
    <row r="909">
      <c r="A909" t="inlineStr">
        <is>
          <t>2022-10-20</t>
        </is>
      </c>
      <c r="B909" t="n">
        <v>5</v>
      </c>
      <c r="C909" s="6" t="n">
        <v>0</v>
      </c>
      <c r="D909" t="n">
        <v>1</v>
      </c>
    </row>
    <row r="910">
      <c r="A910" t="inlineStr">
        <is>
          <t>2022-10-20</t>
        </is>
      </c>
      <c r="B910" t="n">
        <v>6</v>
      </c>
      <c r="C910" s="6" t="n">
        <v>0</v>
      </c>
      <c r="D910" t="n">
        <v>1</v>
      </c>
    </row>
    <row r="911">
      <c r="A911" t="inlineStr">
        <is>
          <t>2022-10-20</t>
        </is>
      </c>
      <c r="B911" t="n">
        <v>7</v>
      </c>
      <c r="C911" s="6" t="n">
        <v>0</v>
      </c>
      <c r="D911" t="n">
        <v>1</v>
      </c>
    </row>
    <row r="912">
      <c r="A912" t="inlineStr">
        <is>
          <t>2022-10-20</t>
        </is>
      </c>
      <c r="B912" t="n">
        <v>8</v>
      </c>
      <c r="C912" s="6" t="n">
        <v>0</v>
      </c>
      <c r="D912" t="n">
        <v>1</v>
      </c>
    </row>
    <row r="913">
      <c r="A913" t="inlineStr">
        <is>
          <t>2022-10-20</t>
        </is>
      </c>
      <c r="B913" t="n">
        <v>10</v>
      </c>
      <c r="C913" s="6" t="n">
        <v>0</v>
      </c>
      <c r="D913" t="n">
        <v>1</v>
      </c>
    </row>
    <row r="914">
      <c r="A914" t="inlineStr">
        <is>
          <t>2022-10-20</t>
        </is>
      </c>
      <c r="B914" t="n">
        <v>9</v>
      </c>
      <c r="C914" s="6" t="n">
        <v>0</v>
      </c>
      <c r="D914" t="n">
        <v>1</v>
      </c>
    </row>
    <row r="915">
      <c r="A915" t="inlineStr">
        <is>
          <t>2022-10-20</t>
        </is>
      </c>
      <c r="B915" t="n">
        <v>11</v>
      </c>
      <c r="C915" s="6" t="n">
        <v>0</v>
      </c>
      <c r="D915" t="n">
        <v>1</v>
      </c>
    </row>
    <row r="916">
      <c r="A916" t="inlineStr">
        <is>
          <t>2022-10-21</t>
        </is>
      </c>
      <c r="B916" t="n">
        <v>1</v>
      </c>
      <c r="C916" s="6" t="n">
        <v>0</v>
      </c>
      <c r="D916" t="n">
        <v>1</v>
      </c>
    </row>
    <row r="917">
      <c r="A917" t="inlineStr">
        <is>
          <t>2022-10-21</t>
        </is>
      </c>
      <c r="B917" t="n">
        <v>2</v>
      </c>
      <c r="C917" s="6" t="n">
        <v>0</v>
      </c>
      <c r="D917" t="n">
        <v>1</v>
      </c>
    </row>
    <row r="918">
      <c r="A918" t="inlineStr">
        <is>
          <t>2022-10-22</t>
        </is>
      </c>
      <c r="B918" t="n">
        <v>2</v>
      </c>
      <c r="C918" s="6" t="n">
        <v>0</v>
      </c>
      <c r="D918" t="n">
        <v>1</v>
      </c>
    </row>
    <row r="919">
      <c r="A919" t="inlineStr">
        <is>
          <t>2022-10-22</t>
        </is>
      </c>
      <c r="B919" t="n">
        <v>1</v>
      </c>
      <c r="C919" s="6" t="n">
        <v>0</v>
      </c>
      <c r="D919" t="n">
        <v>1</v>
      </c>
    </row>
    <row r="920">
      <c r="A920" t="inlineStr">
        <is>
          <t>2022-10-22</t>
        </is>
      </c>
      <c r="B920" t="n">
        <v>3</v>
      </c>
      <c r="C920" s="6" t="n">
        <v>0</v>
      </c>
      <c r="D920" t="n">
        <v>1</v>
      </c>
    </row>
    <row r="921">
      <c r="A921" t="inlineStr">
        <is>
          <t>2022-10-22</t>
        </is>
      </c>
      <c r="B921" t="n">
        <v>4</v>
      </c>
      <c r="C921" s="6" t="n">
        <v>0</v>
      </c>
      <c r="D921" t="n">
        <v>1</v>
      </c>
    </row>
    <row r="922">
      <c r="A922" t="inlineStr">
        <is>
          <t>2022-10-22</t>
        </is>
      </c>
      <c r="B922" t="n">
        <v>6</v>
      </c>
      <c r="C922" s="6" t="n">
        <v>0</v>
      </c>
      <c r="D922" t="n">
        <v>1</v>
      </c>
    </row>
    <row r="923">
      <c r="A923" t="inlineStr">
        <is>
          <t>2022-10-22</t>
        </is>
      </c>
      <c r="B923" t="n">
        <v>10</v>
      </c>
      <c r="C923" s="6" t="n">
        <v>0</v>
      </c>
      <c r="D923" t="n">
        <v>1</v>
      </c>
    </row>
    <row r="924">
      <c r="A924" t="inlineStr">
        <is>
          <t>2022-10-22</t>
        </is>
      </c>
      <c r="B924" t="n">
        <v>8</v>
      </c>
      <c r="C924" s="6" t="n">
        <v>0</v>
      </c>
      <c r="D924" t="n">
        <v>1</v>
      </c>
    </row>
    <row r="925">
      <c r="A925" t="inlineStr">
        <is>
          <t>2022-10-22</t>
        </is>
      </c>
      <c r="B925" t="n">
        <v>7</v>
      </c>
      <c r="C925" s="6" t="n">
        <v>0</v>
      </c>
      <c r="D925" t="n">
        <v>1</v>
      </c>
    </row>
    <row r="926">
      <c r="A926" t="inlineStr">
        <is>
          <t>2022-10-22</t>
        </is>
      </c>
      <c r="B926" t="n">
        <v>5</v>
      </c>
      <c r="C926" s="6" t="n">
        <v>0</v>
      </c>
      <c r="D926" t="n">
        <v>1</v>
      </c>
    </row>
    <row r="927">
      <c r="A927" t="inlineStr">
        <is>
          <t>2022-10-22</t>
        </is>
      </c>
      <c r="B927" t="n">
        <v>9</v>
      </c>
      <c r="C927" s="6" t="n">
        <v>0</v>
      </c>
      <c r="D927" t="n">
        <v>1</v>
      </c>
    </row>
    <row r="928">
      <c r="A928" t="inlineStr">
        <is>
          <t>2022-10-22</t>
        </is>
      </c>
      <c r="B928" t="n">
        <v>11</v>
      </c>
      <c r="C928" s="6" t="n">
        <v>0</v>
      </c>
      <c r="D928" t="n">
        <v>1</v>
      </c>
    </row>
    <row r="929">
      <c r="A929" t="inlineStr">
        <is>
          <t>2022-10-23</t>
        </is>
      </c>
      <c r="B929" t="n">
        <v>1</v>
      </c>
      <c r="C929" s="6" t="n">
        <v>0</v>
      </c>
      <c r="D929" t="n">
        <v>1</v>
      </c>
    </row>
    <row r="930">
      <c r="A930" t="inlineStr">
        <is>
          <t>2022-10-23</t>
        </is>
      </c>
      <c r="B930" t="n">
        <v>2</v>
      </c>
      <c r="C930" s="6" t="n">
        <v>0</v>
      </c>
      <c r="D930" t="n">
        <v>1</v>
      </c>
    </row>
    <row r="931">
      <c r="A931" t="inlineStr">
        <is>
          <t>2022-10-23</t>
        </is>
      </c>
      <c r="B931" t="n">
        <v>3</v>
      </c>
      <c r="C931" s="6" t="n">
        <v>0</v>
      </c>
      <c r="D931" t="n">
        <v>1</v>
      </c>
    </row>
    <row r="932">
      <c r="A932" t="inlineStr">
        <is>
          <t>2022-10-23</t>
        </is>
      </c>
      <c r="B932" t="n">
        <v>4</v>
      </c>
      <c r="C932" s="6" t="n">
        <v>0</v>
      </c>
      <c r="D932" t="n">
        <v>1</v>
      </c>
    </row>
    <row r="933">
      <c r="A933" t="inlineStr">
        <is>
          <t>2022-10-26</t>
        </is>
      </c>
      <c r="B933" t="n">
        <v>1</v>
      </c>
      <c r="C933" s="6" t="n">
        <v>0</v>
      </c>
      <c r="D933" t="n">
        <v>1</v>
      </c>
    </row>
    <row r="934">
      <c r="A934" t="inlineStr">
        <is>
          <t>2022-10-26</t>
        </is>
      </c>
      <c r="B934" t="n">
        <v>2</v>
      </c>
      <c r="C934" s="6" t="n">
        <v>0</v>
      </c>
      <c r="D934" t="n">
        <v>1</v>
      </c>
    </row>
    <row r="935">
      <c r="A935" t="inlineStr">
        <is>
          <t>2022-10-26</t>
        </is>
      </c>
      <c r="B935" t="n">
        <v>3</v>
      </c>
      <c r="C935" s="6" t="n">
        <v>0</v>
      </c>
      <c r="D935" t="n">
        <v>1</v>
      </c>
    </row>
    <row r="936">
      <c r="A936" t="inlineStr">
        <is>
          <t>2022-10-27</t>
        </is>
      </c>
      <c r="B936" t="n">
        <v>1</v>
      </c>
      <c r="C936" s="6" t="n">
        <v>0</v>
      </c>
      <c r="D936" t="n">
        <v>1</v>
      </c>
    </row>
    <row r="937">
      <c r="A937" t="inlineStr">
        <is>
          <t>2022-10-27</t>
        </is>
      </c>
      <c r="B937" t="n">
        <v>2</v>
      </c>
      <c r="C937" s="6" t="n">
        <v>0</v>
      </c>
      <c r="D937" t="n">
        <v>1</v>
      </c>
    </row>
    <row r="938">
      <c r="A938" t="inlineStr">
        <is>
          <t>2022-10-27</t>
        </is>
      </c>
      <c r="B938" t="n">
        <v>3</v>
      </c>
      <c r="C938" s="6" t="n">
        <v>0</v>
      </c>
      <c r="D938" t="n">
        <v>1</v>
      </c>
    </row>
    <row r="939">
      <c r="A939" t="inlineStr">
        <is>
          <t>2022-10-27</t>
        </is>
      </c>
      <c r="B939" t="n">
        <v>4</v>
      </c>
      <c r="C939" s="6" t="n">
        <v>0</v>
      </c>
      <c r="D939" t="n">
        <v>1</v>
      </c>
    </row>
    <row r="940">
      <c r="A940" t="inlineStr">
        <is>
          <t>2022-10-27</t>
        </is>
      </c>
      <c r="B940" t="n">
        <v>5</v>
      </c>
      <c r="C940" s="6" t="n">
        <v>0</v>
      </c>
      <c r="D940" t="n">
        <v>1</v>
      </c>
    </row>
    <row r="941">
      <c r="A941" t="inlineStr">
        <is>
          <t>2022-10-28</t>
        </is>
      </c>
      <c r="B941" t="n">
        <v>1</v>
      </c>
      <c r="C941" s="6" t="n">
        <v>0</v>
      </c>
      <c r="D941" t="n">
        <v>1</v>
      </c>
    </row>
    <row r="942">
      <c r="A942" t="inlineStr">
        <is>
          <t>2022-10-28</t>
        </is>
      </c>
      <c r="B942" t="n">
        <v>2</v>
      </c>
      <c r="C942" s="6" t="n">
        <v>0</v>
      </c>
      <c r="D942" t="n">
        <v>1</v>
      </c>
    </row>
    <row r="943">
      <c r="A943" t="inlineStr">
        <is>
          <t>2022-10-28</t>
        </is>
      </c>
      <c r="B943" t="n">
        <v>5</v>
      </c>
      <c r="C943" s="6" t="n">
        <v>0</v>
      </c>
      <c r="D943" t="n">
        <v>1</v>
      </c>
    </row>
    <row r="944">
      <c r="A944" t="inlineStr">
        <is>
          <t>2022-10-28</t>
        </is>
      </c>
      <c r="B944" t="n">
        <v>3</v>
      </c>
      <c r="C944" s="6" t="n">
        <v>0</v>
      </c>
      <c r="D944" t="n">
        <v>1</v>
      </c>
    </row>
    <row r="945">
      <c r="A945" t="inlineStr">
        <is>
          <t>2022-10-28</t>
        </is>
      </c>
      <c r="B945" t="n">
        <v>4</v>
      </c>
      <c r="C945" s="6" t="n">
        <v>0</v>
      </c>
      <c r="D945" t="n">
        <v>1</v>
      </c>
    </row>
    <row r="946">
      <c r="A946" t="inlineStr">
        <is>
          <t>2022-10-29</t>
        </is>
      </c>
      <c r="B946" t="n">
        <v>2</v>
      </c>
      <c r="C946" s="6" t="n">
        <v>0</v>
      </c>
      <c r="D946" t="n">
        <v>1</v>
      </c>
    </row>
    <row r="947">
      <c r="A947" t="inlineStr">
        <is>
          <t>2022-10-29</t>
        </is>
      </c>
      <c r="B947" t="n">
        <v>1</v>
      </c>
      <c r="C947" s="6" t="n">
        <v>0</v>
      </c>
      <c r="D947" t="n">
        <v>1</v>
      </c>
    </row>
    <row r="948">
      <c r="A948" t="inlineStr">
        <is>
          <t>2022-10-29</t>
        </is>
      </c>
      <c r="B948" t="n">
        <v>5</v>
      </c>
      <c r="C948" s="6" t="n">
        <v>0</v>
      </c>
      <c r="D948" t="n">
        <v>1</v>
      </c>
    </row>
    <row r="949">
      <c r="A949" t="inlineStr">
        <is>
          <t>2022-10-29</t>
        </is>
      </c>
      <c r="B949" t="n">
        <v>3</v>
      </c>
      <c r="C949" s="6" t="n">
        <v>0</v>
      </c>
      <c r="D949" t="n">
        <v>1</v>
      </c>
    </row>
    <row r="950">
      <c r="A950" t="inlineStr">
        <is>
          <t>2022-10-29</t>
        </is>
      </c>
      <c r="B950" t="n">
        <v>4</v>
      </c>
      <c r="C950" s="6" t="n">
        <v>0</v>
      </c>
      <c r="D950" t="n">
        <v>1</v>
      </c>
    </row>
    <row r="951">
      <c r="A951" t="inlineStr">
        <is>
          <t>2022-10-30</t>
        </is>
      </c>
      <c r="B951" t="n">
        <v>1</v>
      </c>
      <c r="C951" s="6" t="n">
        <v>0</v>
      </c>
      <c r="D951" t="n">
        <v>1</v>
      </c>
    </row>
    <row r="952">
      <c r="A952" t="inlineStr">
        <is>
          <t>2022-10-30</t>
        </is>
      </c>
      <c r="B952" t="n">
        <v>2</v>
      </c>
      <c r="C952" s="6" t="n">
        <v>0</v>
      </c>
      <c r="D952" t="n">
        <v>1</v>
      </c>
    </row>
    <row r="953">
      <c r="A953" t="inlineStr">
        <is>
          <t>2022-10-30</t>
        </is>
      </c>
      <c r="B953" t="n">
        <v>5</v>
      </c>
      <c r="C953" s="6" t="n">
        <v>0</v>
      </c>
      <c r="D953" t="n">
        <v>1</v>
      </c>
    </row>
    <row r="954">
      <c r="A954" t="inlineStr">
        <is>
          <t>2022-10-30</t>
        </is>
      </c>
      <c r="B954" t="n">
        <v>6</v>
      </c>
      <c r="C954" s="6" t="n">
        <v>0</v>
      </c>
      <c r="D954" t="n">
        <v>1</v>
      </c>
    </row>
    <row r="955">
      <c r="A955" t="inlineStr">
        <is>
          <t>2022-10-30</t>
        </is>
      </c>
      <c r="B955" t="n">
        <v>3</v>
      </c>
      <c r="C955" s="6" t="n">
        <v>0</v>
      </c>
      <c r="D955" t="n">
        <v>1</v>
      </c>
    </row>
    <row r="956">
      <c r="A956" t="inlineStr">
        <is>
          <t>2022-10-30</t>
        </is>
      </c>
      <c r="B956" t="n">
        <v>12</v>
      </c>
      <c r="C956" s="6" t="n">
        <v>0</v>
      </c>
      <c r="D956" t="n">
        <v>1</v>
      </c>
    </row>
    <row r="957">
      <c r="A957" t="inlineStr">
        <is>
          <t>2022-10-30</t>
        </is>
      </c>
      <c r="B957" t="n">
        <v>4</v>
      </c>
      <c r="C957" s="6" t="n">
        <v>0</v>
      </c>
      <c r="D957" t="n">
        <v>1</v>
      </c>
    </row>
    <row r="958">
      <c r="A958" t="inlineStr">
        <is>
          <t>2022-10-30</t>
        </is>
      </c>
      <c r="B958" t="n">
        <v>13</v>
      </c>
      <c r="C958" s="6" t="n">
        <v>0</v>
      </c>
      <c r="D958" t="n">
        <v>1</v>
      </c>
    </row>
    <row r="959">
      <c r="A959" t="inlineStr">
        <is>
          <t>2022-10-30</t>
        </is>
      </c>
      <c r="B959" t="n">
        <v>14</v>
      </c>
      <c r="C959" s="6" t="n">
        <v>0</v>
      </c>
      <c r="D959" t="n">
        <v>1</v>
      </c>
    </row>
    <row r="960">
      <c r="A960" t="inlineStr">
        <is>
          <t>2022-10-30</t>
        </is>
      </c>
      <c r="B960" t="n">
        <v>15</v>
      </c>
      <c r="C960" s="6" t="n">
        <v>0</v>
      </c>
      <c r="D960" t="n">
        <v>1</v>
      </c>
    </row>
    <row r="961">
      <c r="A961" t="inlineStr">
        <is>
          <t>2022-10-30</t>
        </is>
      </c>
      <c r="B961" t="n">
        <v>16</v>
      </c>
      <c r="C961" s="6" t="n">
        <v>0</v>
      </c>
      <c r="D961" t="n">
        <v>1</v>
      </c>
    </row>
    <row r="962">
      <c r="A962" t="inlineStr">
        <is>
          <t>2022-10-30</t>
        </is>
      </c>
      <c r="B962" t="n">
        <v>7</v>
      </c>
      <c r="C962" s="6" t="n">
        <v>0</v>
      </c>
      <c r="D962" t="n">
        <v>1</v>
      </c>
    </row>
    <row r="963">
      <c r="A963" t="inlineStr">
        <is>
          <t>2022-10-30</t>
        </is>
      </c>
      <c r="B963" t="n">
        <v>8</v>
      </c>
      <c r="C963" s="6" t="n">
        <v>0</v>
      </c>
      <c r="D963" t="n">
        <v>1</v>
      </c>
    </row>
    <row r="964">
      <c r="A964" t="inlineStr">
        <is>
          <t>2022-10-30</t>
        </is>
      </c>
      <c r="B964" t="n">
        <v>17</v>
      </c>
      <c r="C964" s="6" t="n">
        <v>0</v>
      </c>
      <c r="D964" t="n">
        <v>1</v>
      </c>
    </row>
    <row r="965">
      <c r="A965" t="inlineStr">
        <is>
          <t>2022-10-30</t>
        </is>
      </c>
      <c r="B965" t="n">
        <v>9</v>
      </c>
      <c r="C965" s="6" t="n">
        <v>0</v>
      </c>
      <c r="D965" t="n">
        <v>1</v>
      </c>
    </row>
    <row r="966">
      <c r="A966" t="inlineStr">
        <is>
          <t>2022-10-30</t>
        </is>
      </c>
      <c r="B966" t="n">
        <v>18</v>
      </c>
      <c r="C966" s="6" t="n">
        <v>0</v>
      </c>
      <c r="D966" t="n">
        <v>1</v>
      </c>
    </row>
    <row r="967">
      <c r="A967" t="inlineStr">
        <is>
          <t>2022-10-30</t>
        </is>
      </c>
      <c r="B967" t="n">
        <v>19</v>
      </c>
      <c r="C967" s="6" t="n">
        <v>0</v>
      </c>
      <c r="D967" t="n">
        <v>1</v>
      </c>
    </row>
    <row r="968">
      <c r="A968" t="inlineStr">
        <is>
          <t>2022-10-30</t>
        </is>
      </c>
      <c r="B968" t="n">
        <v>10</v>
      </c>
      <c r="C968" s="6" t="n">
        <v>0</v>
      </c>
      <c r="D968" t="n">
        <v>1</v>
      </c>
    </row>
    <row r="969">
      <c r="A969" t="inlineStr">
        <is>
          <t>2022-10-30</t>
        </is>
      </c>
      <c r="B969" t="n">
        <v>20</v>
      </c>
      <c r="C969" s="6" t="n">
        <v>0</v>
      </c>
      <c r="D969" t="n">
        <v>1</v>
      </c>
    </row>
    <row r="970">
      <c r="A970" t="inlineStr">
        <is>
          <t>2022-10-30</t>
        </is>
      </c>
      <c r="B970" t="n">
        <v>21</v>
      </c>
      <c r="C970" s="6" t="n">
        <v>0</v>
      </c>
      <c r="D970" t="n">
        <v>1</v>
      </c>
    </row>
    <row r="971">
      <c r="A971" t="inlineStr">
        <is>
          <t>2022-10-30</t>
        </is>
      </c>
      <c r="B971" t="n">
        <v>11</v>
      </c>
      <c r="C971" s="6" t="n">
        <v>0</v>
      </c>
      <c r="D971" t="n">
        <v>1</v>
      </c>
    </row>
    <row r="972">
      <c r="A972" t="inlineStr">
        <is>
          <t>2022-10-30</t>
        </is>
      </c>
      <c r="B972" t="n">
        <v>22</v>
      </c>
      <c r="C972" s="6" t="n">
        <v>0</v>
      </c>
      <c r="D972" t="n">
        <v>1</v>
      </c>
    </row>
    <row r="973">
      <c r="A973" t="inlineStr">
        <is>
          <t>2022-10-30</t>
        </is>
      </c>
      <c r="B973" t="n">
        <v>23</v>
      </c>
      <c r="C973" s="6" t="n">
        <v>0</v>
      </c>
      <c r="D973" t="n">
        <v>1</v>
      </c>
    </row>
    <row r="974">
      <c r="A974" t="inlineStr">
        <is>
          <t>2022-10-30</t>
        </is>
      </c>
      <c r="B974" t="n">
        <v>24</v>
      </c>
      <c r="C974" s="6" t="n">
        <v>0</v>
      </c>
      <c r="D974" t="n">
        <v>1</v>
      </c>
    </row>
    <row r="975">
      <c r="A975" t="inlineStr">
        <is>
          <t>2022-10-30</t>
        </is>
      </c>
      <c r="B975" t="n">
        <v>25</v>
      </c>
      <c r="C975" s="6" t="n">
        <v>0</v>
      </c>
      <c r="D975" t="n">
        <v>1</v>
      </c>
    </row>
    <row r="976">
      <c r="A976" t="inlineStr">
        <is>
          <t>2022-11-02</t>
        </is>
      </c>
      <c r="B976" t="n">
        <v>1</v>
      </c>
      <c r="C976" s="6" t="n">
        <v>0</v>
      </c>
      <c r="D976" t="n">
        <v>1</v>
      </c>
    </row>
    <row r="977">
      <c r="A977" t="inlineStr">
        <is>
          <t>2022-11-02</t>
        </is>
      </c>
      <c r="B977" t="n">
        <v>2</v>
      </c>
      <c r="C977" s="6" t="n">
        <v>0</v>
      </c>
      <c r="D977" t="n">
        <v>1</v>
      </c>
    </row>
    <row r="978">
      <c r="A978" t="inlineStr">
        <is>
          <t>2022-11-02</t>
        </is>
      </c>
      <c r="B978" t="n">
        <v>3</v>
      </c>
      <c r="C978" s="6" t="n">
        <v>0</v>
      </c>
      <c r="D978" t="n">
        <v>1</v>
      </c>
    </row>
    <row r="979">
      <c r="A979" t="inlineStr">
        <is>
          <t>2022-11-02</t>
        </is>
      </c>
      <c r="B979" t="n">
        <v>7</v>
      </c>
      <c r="C979" s="6" t="n">
        <v>0</v>
      </c>
      <c r="D979" t="n">
        <v>1</v>
      </c>
    </row>
    <row r="980">
      <c r="A980" t="inlineStr">
        <is>
          <t>2022-11-02</t>
        </is>
      </c>
      <c r="B980" t="n">
        <v>5</v>
      </c>
      <c r="C980" s="6" t="n">
        <v>0</v>
      </c>
      <c r="D980" t="n">
        <v>1</v>
      </c>
    </row>
    <row r="981">
      <c r="A981" t="inlineStr">
        <is>
          <t>2022-11-02</t>
        </is>
      </c>
      <c r="B981" t="n">
        <v>6</v>
      </c>
      <c r="C981" s="6" t="n">
        <v>0</v>
      </c>
      <c r="D981" t="n">
        <v>1</v>
      </c>
    </row>
    <row r="982">
      <c r="A982" t="inlineStr">
        <is>
          <t>2022-11-02</t>
        </is>
      </c>
      <c r="B982" t="n">
        <v>4</v>
      </c>
      <c r="C982" s="6" t="n">
        <v>0</v>
      </c>
      <c r="D982" t="n">
        <v>1</v>
      </c>
    </row>
    <row r="983">
      <c r="A983" t="inlineStr">
        <is>
          <t>2022-11-02</t>
        </is>
      </c>
      <c r="B983" t="n">
        <v>9</v>
      </c>
      <c r="C983" s="6" t="n">
        <v>0</v>
      </c>
      <c r="D983" t="n">
        <v>1</v>
      </c>
    </row>
    <row r="984">
      <c r="A984" t="inlineStr">
        <is>
          <t>2022-11-02</t>
        </is>
      </c>
      <c r="B984" t="n">
        <v>8</v>
      </c>
      <c r="C984" s="6" t="n">
        <v>0</v>
      </c>
      <c r="D984" t="n">
        <v>1</v>
      </c>
    </row>
    <row r="985">
      <c r="A985" t="inlineStr">
        <is>
          <t>2022-11-03</t>
        </is>
      </c>
      <c r="B985" t="n">
        <v>2</v>
      </c>
      <c r="C985" s="6" t="n">
        <v>0</v>
      </c>
      <c r="D985" t="n">
        <v>1</v>
      </c>
    </row>
    <row r="986">
      <c r="A986" t="inlineStr">
        <is>
          <t>2022-11-03</t>
        </is>
      </c>
      <c r="B986" t="n">
        <v>1</v>
      </c>
      <c r="C986" s="6" t="n">
        <v>0</v>
      </c>
      <c r="D986" t="n">
        <v>1</v>
      </c>
    </row>
    <row r="987">
      <c r="A987" t="inlineStr">
        <is>
          <t>2022-11-03</t>
        </is>
      </c>
      <c r="B987" t="n">
        <v>3</v>
      </c>
      <c r="C987" s="6" t="n">
        <v>0</v>
      </c>
      <c r="D987" t="n">
        <v>1</v>
      </c>
    </row>
    <row r="988">
      <c r="A988" t="inlineStr">
        <is>
          <t>2022-11-03</t>
        </is>
      </c>
      <c r="B988" t="n">
        <v>4</v>
      </c>
      <c r="C988" s="6" t="n">
        <v>0</v>
      </c>
      <c r="D988" t="n">
        <v>1</v>
      </c>
    </row>
    <row r="989">
      <c r="A989" t="inlineStr">
        <is>
          <t>2022-11-04</t>
        </is>
      </c>
      <c r="B989" t="n">
        <v>2</v>
      </c>
      <c r="C989" s="6" t="n">
        <v>0</v>
      </c>
      <c r="D989" t="n">
        <v>1</v>
      </c>
    </row>
    <row r="990">
      <c r="A990" t="inlineStr">
        <is>
          <t>2022-11-04</t>
        </is>
      </c>
      <c r="B990" t="n">
        <v>1</v>
      </c>
      <c r="C990" s="6" t="n">
        <v>0</v>
      </c>
      <c r="D990" t="n">
        <v>1</v>
      </c>
    </row>
    <row r="991">
      <c r="A991" t="inlineStr">
        <is>
          <t>2022-11-05</t>
        </is>
      </c>
      <c r="B991" t="n">
        <v>3</v>
      </c>
      <c r="C991" s="6" t="n">
        <v>0</v>
      </c>
      <c r="D991" t="n">
        <v>1</v>
      </c>
    </row>
    <row r="992">
      <c r="A992" t="inlineStr">
        <is>
          <t>2022-11-05</t>
        </is>
      </c>
      <c r="B992" t="n">
        <v>2</v>
      </c>
      <c r="C992" s="6" t="n">
        <v>0</v>
      </c>
      <c r="D992" t="n">
        <v>1</v>
      </c>
    </row>
    <row r="993">
      <c r="A993" t="inlineStr">
        <is>
          <t>2022-11-05</t>
        </is>
      </c>
      <c r="B993" t="n">
        <v>1</v>
      </c>
      <c r="C993" s="6" t="n">
        <v>0</v>
      </c>
      <c r="D993" t="n">
        <v>1</v>
      </c>
    </row>
    <row r="994">
      <c r="A994" t="inlineStr">
        <is>
          <t>2022-11-05</t>
        </is>
      </c>
      <c r="B994" t="n">
        <v>6</v>
      </c>
      <c r="C994" s="6" t="n">
        <v>0</v>
      </c>
      <c r="D994" t="n">
        <v>1</v>
      </c>
    </row>
    <row r="995">
      <c r="A995" t="inlineStr">
        <is>
          <t>2022-11-05</t>
        </is>
      </c>
      <c r="B995" t="n">
        <v>5</v>
      </c>
      <c r="C995" s="6" t="n">
        <v>0</v>
      </c>
      <c r="D995" t="n">
        <v>1</v>
      </c>
    </row>
    <row r="996">
      <c r="A996" t="inlineStr">
        <is>
          <t>2022-11-05</t>
        </is>
      </c>
      <c r="B996" t="n">
        <v>4</v>
      </c>
      <c r="C996" s="6" t="n">
        <v>0</v>
      </c>
      <c r="D996" t="n">
        <v>1</v>
      </c>
    </row>
    <row r="997">
      <c r="A997" t="inlineStr">
        <is>
          <t>2022-11-05</t>
        </is>
      </c>
      <c r="B997" t="n">
        <v>7</v>
      </c>
      <c r="C997" s="6" t="n">
        <v>0</v>
      </c>
      <c r="D997" t="n">
        <v>1</v>
      </c>
    </row>
    <row r="998">
      <c r="A998" t="inlineStr">
        <is>
          <t>2022-11-05</t>
        </is>
      </c>
      <c r="B998" t="n">
        <v>8</v>
      </c>
      <c r="C998" s="6" t="n">
        <v>0</v>
      </c>
      <c r="D998" t="n">
        <v>1</v>
      </c>
    </row>
    <row r="999">
      <c r="A999" t="inlineStr">
        <is>
          <t>2022-11-06</t>
        </is>
      </c>
      <c r="B999" t="n">
        <v>2</v>
      </c>
      <c r="C999" s="6" t="n">
        <v>0</v>
      </c>
      <c r="D999" t="n">
        <v>1</v>
      </c>
    </row>
    <row r="1000">
      <c r="A1000" t="inlineStr">
        <is>
          <t>2022-11-06</t>
        </is>
      </c>
      <c r="B1000" t="n">
        <v>3</v>
      </c>
      <c r="C1000" s="6" t="n">
        <v>0</v>
      </c>
      <c r="D1000" t="n">
        <v>1</v>
      </c>
    </row>
    <row r="1001">
      <c r="A1001" t="inlineStr">
        <is>
          <t>2022-11-06</t>
        </is>
      </c>
      <c r="B1001" t="n">
        <v>4</v>
      </c>
      <c r="C1001" s="6" t="n">
        <v>0</v>
      </c>
      <c r="D1001" t="n">
        <v>1</v>
      </c>
    </row>
    <row r="1002">
      <c r="A1002" t="inlineStr">
        <is>
          <t>2022-11-06</t>
        </is>
      </c>
      <c r="B1002" t="n">
        <v>1</v>
      </c>
      <c r="C1002" s="6" t="n">
        <v>0</v>
      </c>
      <c r="D1002" t="n">
        <v>1</v>
      </c>
    </row>
    <row r="1003">
      <c r="A1003" t="inlineStr">
        <is>
          <t>2022-11-06</t>
        </is>
      </c>
      <c r="B1003" t="n">
        <v>6</v>
      </c>
      <c r="C1003" s="6" t="n">
        <v>0</v>
      </c>
      <c r="D1003" t="n">
        <v>1</v>
      </c>
    </row>
    <row r="1004">
      <c r="A1004" t="inlineStr">
        <is>
          <t>2022-11-06</t>
        </is>
      </c>
      <c r="B1004" t="n">
        <v>5</v>
      </c>
      <c r="C1004" s="6" t="n">
        <v>0</v>
      </c>
      <c r="D1004" t="n">
        <v>1</v>
      </c>
    </row>
    <row r="1005">
      <c r="A1005" t="inlineStr">
        <is>
          <t>2022-11-06</t>
        </is>
      </c>
      <c r="B1005" t="n">
        <v>9</v>
      </c>
      <c r="C1005" s="6" t="n">
        <v>0</v>
      </c>
      <c r="D1005" t="n">
        <v>1</v>
      </c>
    </row>
    <row r="1006">
      <c r="A1006" t="inlineStr">
        <is>
          <t>2022-11-06</t>
        </is>
      </c>
      <c r="B1006" t="n">
        <v>12</v>
      </c>
      <c r="C1006" s="6" t="n">
        <v>0</v>
      </c>
      <c r="D1006" t="n">
        <v>1</v>
      </c>
    </row>
    <row r="1007">
      <c r="A1007" t="inlineStr">
        <is>
          <t>2022-11-06</t>
        </is>
      </c>
      <c r="B1007" t="n">
        <v>10</v>
      </c>
      <c r="C1007" s="6" t="n">
        <v>0</v>
      </c>
      <c r="D1007" t="n">
        <v>1</v>
      </c>
    </row>
    <row r="1008">
      <c r="A1008" t="inlineStr">
        <is>
          <t>2022-11-06</t>
        </is>
      </c>
      <c r="B1008" t="n">
        <v>7</v>
      </c>
      <c r="C1008" s="6" t="n">
        <v>0</v>
      </c>
      <c r="D1008" t="n">
        <v>1</v>
      </c>
    </row>
    <row r="1009">
      <c r="A1009" t="inlineStr">
        <is>
          <t>2022-11-06</t>
        </is>
      </c>
      <c r="B1009" t="n">
        <v>8</v>
      </c>
      <c r="C1009" s="6" t="n">
        <v>0</v>
      </c>
      <c r="D1009" t="n">
        <v>1</v>
      </c>
    </row>
    <row r="1010">
      <c r="A1010" t="inlineStr">
        <is>
          <t>2022-11-06</t>
        </is>
      </c>
      <c r="B1010" t="n">
        <v>11</v>
      </c>
      <c r="C1010" s="6" t="n">
        <v>0</v>
      </c>
      <c r="D1010" t="n">
        <v>1</v>
      </c>
    </row>
    <row r="1011">
      <c r="A1011" t="inlineStr">
        <is>
          <t>2022-11-09</t>
        </is>
      </c>
      <c r="B1011" t="n">
        <v>1</v>
      </c>
      <c r="C1011" s="6" t="n">
        <v>0</v>
      </c>
      <c r="D1011" t="n">
        <v>1</v>
      </c>
    </row>
    <row r="1012">
      <c r="A1012" t="inlineStr">
        <is>
          <t>2022-11-09</t>
        </is>
      </c>
      <c r="B1012" t="n">
        <v>3</v>
      </c>
      <c r="C1012" s="6" t="n">
        <v>0</v>
      </c>
      <c r="D1012" t="n">
        <v>1</v>
      </c>
    </row>
    <row r="1013">
      <c r="A1013" t="inlineStr">
        <is>
          <t>2022-11-09</t>
        </is>
      </c>
      <c r="B1013" t="n">
        <v>2</v>
      </c>
      <c r="C1013" s="6" t="n">
        <v>0</v>
      </c>
      <c r="D1013" t="n">
        <v>1</v>
      </c>
    </row>
    <row r="1014">
      <c r="A1014" t="inlineStr">
        <is>
          <t>2022-11-10</t>
        </is>
      </c>
      <c r="B1014" t="n">
        <v>1</v>
      </c>
      <c r="C1014" s="6" t="n">
        <v>0</v>
      </c>
      <c r="D1014" t="n">
        <v>1</v>
      </c>
    </row>
    <row r="1015">
      <c r="A1015" t="inlineStr">
        <is>
          <t>2022-11-11</t>
        </is>
      </c>
      <c r="B1015" t="n">
        <v>1</v>
      </c>
      <c r="C1015" s="6" t="n">
        <v>0</v>
      </c>
      <c r="D1015" t="n">
        <v>1</v>
      </c>
    </row>
    <row r="1016">
      <c r="A1016" t="inlineStr">
        <is>
          <t>2022-11-11</t>
        </is>
      </c>
      <c r="B1016" t="n">
        <v>2</v>
      </c>
      <c r="C1016" s="6" t="n">
        <v>0</v>
      </c>
      <c r="D1016" t="n">
        <v>1</v>
      </c>
    </row>
    <row r="1017">
      <c r="A1017" t="inlineStr">
        <is>
          <t>2022-11-11</t>
        </is>
      </c>
      <c r="B1017" t="n">
        <v>3</v>
      </c>
      <c r="C1017" s="6" t="n">
        <v>0</v>
      </c>
      <c r="D1017" t="n">
        <v>1</v>
      </c>
    </row>
    <row r="1018">
      <c r="A1018" t="inlineStr">
        <is>
          <t>2022-11-11</t>
        </is>
      </c>
      <c r="B1018" t="n">
        <v>4</v>
      </c>
      <c r="C1018" s="6" t="n">
        <v>0</v>
      </c>
      <c r="D1018" t="n">
        <v>1</v>
      </c>
    </row>
    <row r="1019">
      <c r="A1019" t="inlineStr">
        <is>
          <t>2022-11-12</t>
        </is>
      </c>
      <c r="B1019" t="n">
        <v>2</v>
      </c>
      <c r="C1019" s="6" t="n">
        <v>0</v>
      </c>
      <c r="D1019" t="n">
        <v>1</v>
      </c>
    </row>
    <row r="1020">
      <c r="A1020" t="inlineStr">
        <is>
          <t>2022-11-12</t>
        </is>
      </c>
      <c r="B1020" t="n">
        <v>1</v>
      </c>
      <c r="C1020" s="6" t="n">
        <v>0</v>
      </c>
      <c r="D1020" t="n">
        <v>1</v>
      </c>
    </row>
    <row r="1021">
      <c r="A1021" t="inlineStr">
        <is>
          <t>2022-11-12</t>
        </is>
      </c>
      <c r="B1021" t="n">
        <v>3</v>
      </c>
      <c r="C1021" s="6" t="n">
        <v>0</v>
      </c>
      <c r="D1021" t="n">
        <v>1</v>
      </c>
    </row>
    <row r="1022">
      <c r="A1022" t="inlineStr">
        <is>
          <t>2022-11-12</t>
        </is>
      </c>
      <c r="B1022" t="n">
        <v>4</v>
      </c>
      <c r="C1022" s="6" t="n">
        <v>0</v>
      </c>
      <c r="D1022" t="n">
        <v>1</v>
      </c>
    </row>
    <row r="1023">
      <c r="A1023" t="inlineStr">
        <is>
          <t>2022-11-12</t>
        </is>
      </c>
      <c r="B1023" t="n">
        <v>5</v>
      </c>
      <c r="C1023" s="6" t="n">
        <v>0</v>
      </c>
      <c r="D1023" t="n">
        <v>1</v>
      </c>
    </row>
    <row r="1024">
      <c r="A1024" t="inlineStr">
        <is>
          <t>2022-11-13</t>
        </is>
      </c>
      <c r="B1024" t="n">
        <v>1</v>
      </c>
      <c r="C1024" s="6" t="n">
        <v>0</v>
      </c>
      <c r="D1024" t="n">
        <v>1</v>
      </c>
    </row>
    <row r="1025">
      <c r="A1025" t="inlineStr">
        <is>
          <t>2022-11-13</t>
        </is>
      </c>
      <c r="B1025" t="n">
        <v>2</v>
      </c>
      <c r="C1025" s="6" t="n">
        <v>0</v>
      </c>
      <c r="D1025" t="n">
        <v>1</v>
      </c>
    </row>
    <row r="1026">
      <c r="A1026" t="inlineStr">
        <is>
          <t>2022-11-16</t>
        </is>
      </c>
      <c r="B1026" t="n">
        <v>2</v>
      </c>
      <c r="C1026" s="6" t="n">
        <v>0</v>
      </c>
      <c r="D1026" t="n">
        <v>1</v>
      </c>
    </row>
    <row r="1027">
      <c r="A1027" t="inlineStr">
        <is>
          <t>2022-11-16</t>
        </is>
      </c>
      <c r="B1027" t="n">
        <v>1</v>
      </c>
      <c r="C1027" s="6" t="n">
        <v>0</v>
      </c>
      <c r="D1027" t="n">
        <v>1</v>
      </c>
    </row>
    <row r="1028">
      <c r="A1028" t="inlineStr">
        <is>
          <t>2022-11-16</t>
        </is>
      </c>
      <c r="B1028" t="n">
        <v>3</v>
      </c>
      <c r="C1028" s="6" t="n">
        <v>0</v>
      </c>
      <c r="D1028" t="n">
        <v>1</v>
      </c>
    </row>
    <row r="1029">
      <c r="A1029" t="inlineStr">
        <is>
          <t>2022-11-16</t>
        </is>
      </c>
      <c r="B1029" t="n">
        <v>6</v>
      </c>
      <c r="C1029" s="6" t="n">
        <v>0</v>
      </c>
      <c r="D1029" t="n">
        <v>1</v>
      </c>
    </row>
    <row r="1030">
      <c r="A1030" t="inlineStr">
        <is>
          <t>2022-11-16</t>
        </is>
      </c>
      <c r="B1030" t="n">
        <v>4</v>
      </c>
      <c r="C1030" s="6" t="n">
        <v>0</v>
      </c>
      <c r="D1030" t="n">
        <v>1</v>
      </c>
    </row>
    <row r="1031">
      <c r="A1031" t="inlineStr">
        <is>
          <t>2022-11-16</t>
        </is>
      </c>
      <c r="B1031" t="n">
        <v>5</v>
      </c>
      <c r="C1031" s="6" t="n">
        <v>0</v>
      </c>
      <c r="D1031" t="n">
        <v>1</v>
      </c>
    </row>
    <row r="1032">
      <c r="A1032" t="inlineStr">
        <is>
          <t>2022-11-16</t>
        </is>
      </c>
      <c r="B1032" t="n">
        <v>7</v>
      </c>
      <c r="C1032" s="6" t="n">
        <v>0</v>
      </c>
      <c r="D1032" t="n">
        <v>1</v>
      </c>
    </row>
    <row r="1033">
      <c r="A1033" t="inlineStr">
        <is>
          <t>2022-11-17</t>
        </is>
      </c>
      <c r="B1033" t="n">
        <v>1</v>
      </c>
      <c r="C1033" s="6" t="n">
        <v>0</v>
      </c>
      <c r="D1033" t="n">
        <v>1</v>
      </c>
    </row>
    <row r="1034">
      <c r="A1034" t="inlineStr">
        <is>
          <t>2022-11-17</t>
        </is>
      </c>
      <c r="B1034" t="n">
        <v>2</v>
      </c>
      <c r="C1034" s="6" t="n">
        <v>0</v>
      </c>
      <c r="D1034" t="n">
        <v>1</v>
      </c>
    </row>
    <row r="1035">
      <c r="A1035" t="inlineStr">
        <is>
          <t>2022-11-18</t>
        </is>
      </c>
      <c r="B1035" t="n">
        <v>1</v>
      </c>
      <c r="C1035" s="6" t="n">
        <v>0</v>
      </c>
      <c r="D1035" t="n">
        <v>1</v>
      </c>
    </row>
    <row r="1036">
      <c r="A1036" t="inlineStr">
        <is>
          <t>2022-11-18</t>
        </is>
      </c>
      <c r="B1036" t="n">
        <v>2</v>
      </c>
      <c r="C1036" s="6" t="n">
        <v>0</v>
      </c>
      <c r="D1036" t="n">
        <v>1</v>
      </c>
    </row>
    <row r="1037">
      <c r="A1037" t="inlineStr">
        <is>
          <t>2022-11-18</t>
        </is>
      </c>
      <c r="B1037" t="n">
        <v>3</v>
      </c>
      <c r="C1037" s="6" t="n">
        <v>0</v>
      </c>
      <c r="D1037" t="n">
        <v>1</v>
      </c>
    </row>
    <row r="1038">
      <c r="A1038" t="inlineStr">
        <is>
          <t>2022-11-19</t>
        </is>
      </c>
      <c r="B1038" t="n">
        <v>1</v>
      </c>
      <c r="C1038" s="6" t="n">
        <v>0</v>
      </c>
      <c r="D1038" t="n">
        <v>1</v>
      </c>
    </row>
    <row r="1039">
      <c r="A1039" t="inlineStr">
        <is>
          <t>2022-11-19</t>
        </is>
      </c>
      <c r="B1039" t="n">
        <v>2</v>
      </c>
      <c r="C1039" s="6" t="n">
        <v>0</v>
      </c>
      <c r="D1039" t="n">
        <v>1</v>
      </c>
    </row>
    <row r="1040">
      <c r="A1040" t="inlineStr">
        <is>
          <t>2022-11-19</t>
        </is>
      </c>
      <c r="B1040" t="n">
        <v>3</v>
      </c>
      <c r="C1040" s="6" t="n">
        <v>0</v>
      </c>
      <c r="D1040" t="n">
        <v>1</v>
      </c>
    </row>
    <row r="1041">
      <c r="A1041" t="inlineStr">
        <is>
          <t>2022-11-19</t>
        </is>
      </c>
      <c r="B1041" t="n">
        <v>4</v>
      </c>
      <c r="C1041" s="6" t="n">
        <v>0</v>
      </c>
      <c r="D1041" t="n">
        <v>1</v>
      </c>
    </row>
    <row r="1042">
      <c r="A1042" t="inlineStr">
        <is>
          <t>2022-11-19</t>
        </is>
      </c>
      <c r="B1042" t="n">
        <v>5</v>
      </c>
      <c r="C1042" s="6" t="n">
        <v>0</v>
      </c>
      <c r="D1042" t="n">
        <v>1</v>
      </c>
    </row>
    <row r="1043">
      <c r="A1043" t="inlineStr">
        <is>
          <t>2022-11-20</t>
        </is>
      </c>
      <c r="B1043" t="n">
        <v>1</v>
      </c>
      <c r="C1043" s="6" t="n">
        <v>0</v>
      </c>
      <c r="D1043" t="n">
        <v>1</v>
      </c>
    </row>
    <row r="1044">
      <c r="A1044" t="inlineStr">
        <is>
          <t>2022-11-20</t>
        </is>
      </c>
      <c r="B1044" t="n">
        <v>2</v>
      </c>
      <c r="C1044" s="6" t="n">
        <v>0</v>
      </c>
      <c r="D1044" t="n">
        <v>1</v>
      </c>
    </row>
    <row r="1045">
      <c r="A1045" t="inlineStr">
        <is>
          <t>2022-11-20</t>
        </is>
      </c>
      <c r="B1045" t="n">
        <v>3</v>
      </c>
      <c r="C1045" s="6" t="n">
        <v>0</v>
      </c>
      <c r="D1045" t="n">
        <v>1</v>
      </c>
    </row>
    <row r="1046">
      <c r="A1046" t="inlineStr">
        <is>
          <t>2022-11-23</t>
        </is>
      </c>
      <c r="B1046" t="n">
        <v>1</v>
      </c>
      <c r="C1046" s="6" t="n">
        <v>0</v>
      </c>
      <c r="D1046" t="n">
        <v>1</v>
      </c>
    </row>
    <row r="1047">
      <c r="A1047" t="inlineStr">
        <is>
          <t>2022-11-23</t>
        </is>
      </c>
      <c r="B1047" t="n">
        <v>2</v>
      </c>
      <c r="C1047" s="6" t="n">
        <v>0</v>
      </c>
      <c r="D1047" t="n">
        <v>1</v>
      </c>
    </row>
    <row r="1048">
      <c r="A1048" t="inlineStr">
        <is>
          <t>2022-11-24</t>
        </is>
      </c>
      <c r="B1048" t="n">
        <v>1</v>
      </c>
      <c r="C1048" s="6" t="n">
        <v>0</v>
      </c>
      <c r="D1048" t="n">
        <v>1</v>
      </c>
    </row>
    <row r="1049">
      <c r="A1049" t="inlineStr">
        <is>
          <t>2022-11-25</t>
        </is>
      </c>
      <c r="B1049" t="n">
        <v>1</v>
      </c>
      <c r="C1049" s="6" t="n">
        <v>0</v>
      </c>
      <c r="D1049" t="n">
        <v>1</v>
      </c>
    </row>
    <row r="1050">
      <c r="A1050" t="inlineStr">
        <is>
          <t>2022-11-25</t>
        </is>
      </c>
      <c r="B1050" t="n">
        <v>2</v>
      </c>
      <c r="C1050" s="6" t="n">
        <v>0</v>
      </c>
      <c r="D1050" t="n">
        <v>1</v>
      </c>
    </row>
    <row r="1051">
      <c r="A1051" t="inlineStr">
        <is>
          <t>2022-11-25</t>
        </is>
      </c>
      <c r="B1051" t="n">
        <v>3</v>
      </c>
      <c r="C1051" s="6" t="n">
        <v>0</v>
      </c>
      <c r="D1051" t="n">
        <v>1</v>
      </c>
    </row>
    <row r="1052">
      <c r="A1052" t="inlineStr">
        <is>
          <t>2022-11-26</t>
        </is>
      </c>
      <c r="B1052" t="n">
        <v>1</v>
      </c>
      <c r="C1052" s="6" t="n">
        <v>0</v>
      </c>
      <c r="D1052" t="n">
        <v>1</v>
      </c>
    </row>
    <row r="1053">
      <c r="A1053" t="inlineStr">
        <is>
          <t>2022-12-07</t>
        </is>
      </c>
      <c r="B1053" t="n">
        <v>1</v>
      </c>
      <c r="C1053" s="6" t="n">
        <v>0</v>
      </c>
      <c r="D1053" t="n">
        <v>1</v>
      </c>
    </row>
    <row r="1054">
      <c r="A1054" t="inlineStr">
        <is>
          <t>2022-12-07</t>
        </is>
      </c>
      <c r="B1054" t="n">
        <v>2</v>
      </c>
      <c r="C1054" s="6" t="n">
        <v>0</v>
      </c>
      <c r="D1054" t="n">
        <v>1</v>
      </c>
    </row>
    <row r="1055">
      <c r="A1055" t="inlineStr">
        <is>
          <t>2022-12-07</t>
        </is>
      </c>
      <c r="B1055" t="n">
        <v>3</v>
      </c>
      <c r="C1055" s="6" t="n">
        <v>0</v>
      </c>
      <c r="D1055" t="n">
        <v>1</v>
      </c>
    </row>
    <row r="1056">
      <c r="A1056" t="inlineStr">
        <is>
          <t>2022-12-08</t>
        </is>
      </c>
      <c r="B1056" t="n">
        <v>3</v>
      </c>
      <c r="C1056" s="6" t="n">
        <v>0</v>
      </c>
      <c r="D1056" t="n">
        <v>1</v>
      </c>
    </row>
    <row r="1057">
      <c r="A1057" t="inlineStr">
        <is>
          <t>2022-12-08</t>
        </is>
      </c>
      <c r="B1057" t="n">
        <v>2</v>
      </c>
      <c r="C1057" s="6" t="n">
        <v>0</v>
      </c>
      <c r="D1057" t="n">
        <v>1</v>
      </c>
    </row>
    <row r="1058">
      <c r="A1058" t="inlineStr">
        <is>
          <t>2022-12-08</t>
        </is>
      </c>
      <c r="B1058" t="n">
        <v>1</v>
      </c>
      <c r="C1058" s="6" t="n">
        <v>0</v>
      </c>
      <c r="D1058" t="n">
        <v>1</v>
      </c>
    </row>
    <row r="1059">
      <c r="A1059" t="inlineStr">
        <is>
          <t>2022-12-09</t>
        </is>
      </c>
      <c r="B1059" t="n">
        <v>1</v>
      </c>
      <c r="C1059" s="6" t="n">
        <v>0</v>
      </c>
      <c r="D1059" t="n">
        <v>1</v>
      </c>
    </row>
    <row r="1060">
      <c r="A1060" t="inlineStr">
        <is>
          <t>2022-12-10</t>
        </is>
      </c>
      <c r="B1060" t="n">
        <v>1</v>
      </c>
      <c r="C1060" s="6" t="n">
        <v>0</v>
      </c>
      <c r="D1060" t="n">
        <v>1</v>
      </c>
    </row>
    <row r="1061">
      <c r="A1061" t="inlineStr">
        <is>
          <t>2022-12-10</t>
        </is>
      </c>
      <c r="B1061" t="n">
        <v>2</v>
      </c>
      <c r="C1061" s="6" t="n">
        <v>0</v>
      </c>
      <c r="D1061" t="n">
        <v>1</v>
      </c>
    </row>
    <row r="1062">
      <c r="A1062" t="inlineStr">
        <is>
          <t>2022-12-10</t>
        </is>
      </c>
      <c r="B1062" t="n">
        <v>4</v>
      </c>
      <c r="C1062" s="6" t="n">
        <v>0</v>
      </c>
      <c r="D1062" t="n">
        <v>1</v>
      </c>
    </row>
    <row r="1063">
      <c r="A1063" t="inlineStr">
        <is>
          <t>2022-12-10</t>
        </is>
      </c>
      <c r="B1063" t="n">
        <v>3</v>
      </c>
      <c r="C1063" s="6" t="n">
        <v>0</v>
      </c>
      <c r="D1063" t="n">
        <v>1</v>
      </c>
    </row>
    <row r="1064">
      <c r="A1064" t="inlineStr">
        <is>
          <t>2022-12-10</t>
        </is>
      </c>
      <c r="B1064" t="n">
        <v>7</v>
      </c>
      <c r="C1064" s="6" t="n">
        <v>0</v>
      </c>
      <c r="D1064" t="n">
        <v>1</v>
      </c>
    </row>
    <row r="1065">
      <c r="A1065" t="inlineStr">
        <is>
          <t>2022-12-10</t>
        </is>
      </c>
      <c r="B1065" t="n">
        <v>8</v>
      </c>
      <c r="C1065" s="6" t="n">
        <v>0</v>
      </c>
      <c r="D1065" t="n">
        <v>1</v>
      </c>
    </row>
    <row r="1066">
      <c r="A1066" t="inlineStr">
        <is>
          <t>2022-12-10</t>
        </is>
      </c>
      <c r="B1066" t="n">
        <v>5</v>
      </c>
      <c r="C1066" s="6" t="n">
        <v>0</v>
      </c>
      <c r="D1066" t="n">
        <v>1</v>
      </c>
    </row>
    <row r="1067">
      <c r="A1067" t="inlineStr">
        <is>
          <t>2022-12-10</t>
        </is>
      </c>
      <c r="B1067" t="n">
        <v>6</v>
      </c>
      <c r="C1067" s="6" t="n">
        <v>0</v>
      </c>
      <c r="D1067" t="n">
        <v>1</v>
      </c>
    </row>
    <row r="1068">
      <c r="A1068" t="inlineStr">
        <is>
          <t>2022-12-11</t>
        </is>
      </c>
      <c r="B1068" t="n">
        <v>1</v>
      </c>
      <c r="C1068" s="6" t="n">
        <v>0</v>
      </c>
      <c r="D1068" t="n">
        <v>1</v>
      </c>
    </row>
    <row r="1069">
      <c r="A1069" t="inlineStr">
        <is>
          <t>2022-12-11</t>
        </is>
      </c>
      <c r="B1069" t="n">
        <v>2</v>
      </c>
      <c r="C1069" s="6" t="n">
        <v>0</v>
      </c>
      <c r="D1069" t="n">
        <v>1</v>
      </c>
    </row>
    <row r="1070">
      <c r="A1070" t="inlineStr">
        <is>
          <t>2022-12-11</t>
        </is>
      </c>
      <c r="B1070" t="n">
        <v>5</v>
      </c>
      <c r="C1070" s="6" t="n">
        <v>0</v>
      </c>
      <c r="D1070" t="n">
        <v>1</v>
      </c>
    </row>
    <row r="1071">
      <c r="A1071" t="inlineStr">
        <is>
          <t>2022-12-11</t>
        </is>
      </c>
      <c r="B1071" t="n">
        <v>3</v>
      </c>
      <c r="C1071" s="6" t="n">
        <v>0</v>
      </c>
      <c r="D1071" t="n">
        <v>1</v>
      </c>
    </row>
    <row r="1072">
      <c r="A1072" t="inlineStr">
        <is>
          <t>2022-12-11</t>
        </is>
      </c>
      <c r="B1072" t="n">
        <v>4</v>
      </c>
      <c r="C1072" s="6" t="n">
        <v>0</v>
      </c>
      <c r="D1072" t="n">
        <v>1</v>
      </c>
    </row>
    <row r="1073">
      <c r="A1073" t="inlineStr">
        <is>
          <t>2022-12-11</t>
        </is>
      </c>
      <c r="B1073" t="n">
        <v>6</v>
      </c>
      <c r="C1073" s="6" t="n">
        <v>0</v>
      </c>
      <c r="D1073" t="n">
        <v>1</v>
      </c>
    </row>
    <row r="1074">
      <c r="A1074" t="inlineStr">
        <is>
          <t>2022-12-11</t>
        </is>
      </c>
      <c r="B1074" t="n">
        <v>7</v>
      </c>
      <c r="C1074" s="6" t="n">
        <v>0</v>
      </c>
      <c r="D1074" t="n">
        <v>1</v>
      </c>
    </row>
    <row r="1075">
      <c r="A1075" t="inlineStr">
        <is>
          <t>2022-12-11</t>
        </is>
      </c>
      <c r="B1075" t="n">
        <v>8</v>
      </c>
      <c r="C1075" s="6" t="n">
        <v>0</v>
      </c>
      <c r="D1075" t="n">
        <v>1</v>
      </c>
    </row>
    <row r="1076">
      <c r="A1076" t="inlineStr">
        <is>
          <t>2022-12-14</t>
        </is>
      </c>
      <c r="B1076" t="n">
        <v>1</v>
      </c>
      <c r="C1076" s="6" t="n">
        <v>0</v>
      </c>
      <c r="D1076" t="n">
        <v>1</v>
      </c>
    </row>
    <row r="1077">
      <c r="A1077" t="inlineStr">
        <is>
          <t>2022-12-15</t>
        </is>
      </c>
      <c r="B1077" t="n">
        <v>1</v>
      </c>
      <c r="C1077" s="6" t="n">
        <v>0</v>
      </c>
      <c r="D1077" t="n">
        <v>1</v>
      </c>
    </row>
    <row r="1078">
      <c r="A1078" t="inlineStr">
        <is>
          <t>2022-12-16</t>
        </is>
      </c>
      <c r="B1078" t="n">
        <v>1</v>
      </c>
      <c r="C1078" s="6" t="n">
        <v>0</v>
      </c>
      <c r="D1078" t="n">
        <v>1</v>
      </c>
    </row>
    <row r="1079">
      <c r="A1079" t="inlineStr">
        <is>
          <t>2022-12-16</t>
        </is>
      </c>
      <c r="B1079" t="n">
        <v>3</v>
      </c>
      <c r="C1079" s="6" t="n">
        <v>0</v>
      </c>
      <c r="D1079" t="n">
        <v>1</v>
      </c>
    </row>
    <row r="1080">
      <c r="A1080" t="inlineStr">
        <is>
          <t>2022-12-16</t>
        </is>
      </c>
      <c r="B1080" t="n">
        <v>2</v>
      </c>
      <c r="C1080" s="6" t="n">
        <v>0</v>
      </c>
      <c r="D1080" t="n">
        <v>1</v>
      </c>
    </row>
    <row r="1081">
      <c r="A1081" t="inlineStr">
        <is>
          <t>2022-12-16</t>
        </is>
      </c>
      <c r="B1081" t="n">
        <v>4</v>
      </c>
      <c r="C1081" s="6" t="n">
        <v>0</v>
      </c>
      <c r="D1081" t="n">
        <v>1</v>
      </c>
    </row>
    <row r="1082">
      <c r="A1082" t="inlineStr">
        <is>
          <t>2022-12-18</t>
        </is>
      </c>
      <c r="B1082" t="n">
        <v>1</v>
      </c>
      <c r="C1082" s="6" t="n">
        <v>0</v>
      </c>
      <c r="D1082" t="n">
        <v>1</v>
      </c>
    </row>
    <row r="1083">
      <c r="A1083" t="inlineStr">
        <is>
          <t>2022-12-18</t>
        </is>
      </c>
      <c r="B1083" t="n">
        <v>2</v>
      </c>
      <c r="C1083" s="6" t="n">
        <v>0</v>
      </c>
      <c r="D1083" t="n">
        <v>1</v>
      </c>
    </row>
    <row r="1084">
      <c r="A1084" t="inlineStr">
        <is>
          <t>2022-12-21</t>
        </is>
      </c>
      <c r="B1084" t="n">
        <v>1</v>
      </c>
      <c r="C1084" s="6" t="n">
        <v>0</v>
      </c>
      <c r="D1084" t="n">
        <v>1</v>
      </c>
    </row>
    <row r="1085">
      <c r="A1085" t="inlineStr">
        <is>
          <t>2022-12-21</t>
        </is>
      </c>
      <c r="B1085" t="n">
        <v>2</v>
      </c>
      <c r="C1085" s="6" t="n">
        <v>0</v>
      </c>
      <c r="D1085" t="n">
        <v>1</v>
      </c>
    </row>
    <row r="1086">
      <c r="A1086" t="inlineStr">
        <is>
          <t>2022-12-21</t>
        </is>
      </c>
      <c r="B1086" t="n">
        <v>3</v>
      </c>
      <c r="C1086" s="6" t="n">
        <v>0</v>
      </c>
      <c r="D1086" t="n">
        <v>1</v>
      </c>
    </row>
    <row r="1087">
      <c r="A1087" t="inlineStr">
        <is>
          <t>2022-12-22</t>
        </is>
      </c>
      <c r="B1087" t="n">
        <v>1</v>
      </c>
      <c r="C1087" s="6" t="n">
        <v>0</v>
      </c>
      <c r="D1087" t="n">
        <v>1</v>
      </c>
    </row>
    <row r="1088">
      <c r="A1088" t="inlineStr">
        <is>
          <t>2022-12-23</t>
        </is>
      </c>
      <c r="B1088" t="n">
        <v>2</v>
      </c>
      <c r="C1088" s="6" t="n">
        <v>0</v>
      </c>
      <c r="D1088" t="n">
        <v>1</v>
      </c>
    </row>
    <row r="1089">
      <c r="A1089" t="inlineStr">
        <is>
          <t>2022-12-23</t>
        </is>
      </c>
      <c r="B1089" t="n">
        <v>1</v>
      </c>
      <c r="C1089" s="6" t="n">
        <v>0</v>
      </c>
      <c r="D1089" t="n">
        <v>1</v>
      </c>
    </row>
    <row r="1090">
      <c r="A1090" t="inlineStr">
        <is>
          <t>2022-12-23</t>
        </is>
      </c>
      <c r="B1090" t="n">
        <v>3</v>
      </c>
      <c r="C1090" s="6" t="n">
        <v>0</v>
      </c>
      <c r="D1090" t="n">
        <v>1</v>
      </c>
    </row>
    <row r="1091">
      <c r="A1091" t="inlineStr">
        <is>
          <t>2022-12-28</t>
        </is>
      </c>
      <c r="B1091" t="n">
        <v>1</v>
      </c>
      <c r="C1091" s="6" t="n">
        <v>0</v>
      </c>
      <c r="D1091" t="n">
        <v>1</v>
      </c>
    </row>
    <row r="1092">
      <c r="A1092" t="inlineStr">
        <is>
          <t>2022-12-28</t>
        </is>
      </c>
      <c r="B1092" t="n">
        <v>2</v>
      </c>
      <c r="C1092" s="6" t="n">
        <v>0</v>
      </c>
      <c r="D1092" t="n">
        <v>1</v>
      </c>
    </row>
    <row r="1093">
      <c r="A1093" t="inlineStr">
        <is>
          <t>2022-12-28</t>
        </is>
      </c>
      <c r="B1093" t="n">
        <v>17</v>
      </c>
      <c r="C1093" s="6" t="n">
        <v>0</v>
      </c>
      <c r="D1093" t="n">
        <v>0</v>
      </c>
    </row>
    <row r="1094">
      <c r="A1094" t="inlineStr">
        <is>
          <t>2022-12-29</t>
        </is>
      </c>
      <c r="B1094" t="n">
        <v>1</v>
      </c>
      <c r="C1094" s="6" t="n">
        <v>0</v>
      </c>
      <c r="D1094" t="n">
        <v>1</v>
      </c>
    </row>
    <row r="1095">
      <c r="A1095" t="inlineStr">
        <is>
          <t>2022-12-29</t>
        </is>
      </c>
      <c r="B1095" t="n">
        <v>4</v>
      </c>
      <c r="C1095" s="6" t="n">
        <v>0</v>
      </c>
      <c r="D1095" t="n">
        <v>1</v>
      </c>
    </row>
    <row r="1096">
      <c r="A1096" t="inlineStr">
        <is>
          <t>2022-12-29</t>
        </is>
      </c>
      <c r="B1096" t="n">
        <v>2</v>
      </c>
      <c r="C1096" s="6" t="n">
        <v>0</v>
      </c>
      <c r="D1096" t="n">
        <v>1</v>
      </c>
    </row>
    <row r="1097">
      <c r="A1097" t="inlineStr">
        <is>
          <t>2022-12-29</t>
        </is>
      </c>
      <c r="B1097" t="n">
        <v>3</v>
      </c>
      <c r="C1097" s="6" t="n">
        <v>0</v>
      </c>
      <c r="D1097" t="n">
        <v>1</v>
      </c>
    </row>
    <row r="1098">
      <c r="A1098" t="inlineStr">
        <is>
          <t>2022-12-29</t>
        </is>
      </c>
      <c r="B1098" t="n">
        <v>5</v>
      </c>
      <c r="C1098" s="6" t="n">
        <v>0</v>
      </c>
      <c r="D1098" t="n">
        <v>1</v>
      </c>
    </row>
    <row r="1099">
      <c r="A1099" t="inlineStr">
        <is>
          <t>2022-12-29</t>
        </is>
      </c>
      <c r="B1099" t="n">
        <v>6</v>
      </c>
      <c r="C1099" s="6" t="n">
        <v>0</v>
      </c>
      <c r="D1099" t="n">
        <v>1</v>
      </c>
    </row>
    <row r="1100">
      <c r="A1100" t="inlineStr">
        <is>
          <t>2022-12-30</t>
        </is>
      </c>
      <c r="B1100" t="n">
        <v>1</v>
      </c>
      <c r="C1100" s="6" t="n">
        <v>0</v>
      </c>
      <c r="D1100" t="n">
        <v>1</v>
      </c>
    </row>
    <row r="1101">
      <c r="A1101" t="inlineStr">
        <is>
          <t>2022-12-30</t>
        </is>
      </c>
      <c r="B1101" t="n">
        <v>4</v>
      </c>
      <c r="C1101" s="6" t="n">
        <v>0</v>
      </c>
      <c r="D1101" t="n">
        <v>1</v>
      </c>
    </row>
    <row r="1102">
      <c r="A1102" t="inlineStr">
        <is>
          <t>2022-12-30</t>
        </is>
      </c>
      <c r="B1102" t="n">
        <v>2</v>
      </c>
      <c r="C1102" s="6" t="n">
        <v>0</v>
      </c>
      <c r="D1102" t="n">
        <v>1</v>
      </c>
    </row>
    <row r="1103">
      <c r="A1103" t="inlineStr">
        <is>
          <t>2022-12-30</t>
        </is>
      </c>
      <c r="B1103" t="n">
        <v>3</v>
      </c>
      <c r="C1103" s="6" t="n">
        <v>0</v>
      </c>
      <c r="D1103" t="n">
        <v>1</v>
      </c>
    </row>
    <row r="1104">
      <c r="A1104" t="inlineStr">
        <is>
          <t>2022-12-31</t>
        </is>
      </c>
      <c r="B1104" t="n">
        <v>1</v>
      </c>
      <c r="C1104" s="6" t="n">
        <v>0</v>
      </c>
      <c r="D1104" t="n">
        <v>1</v>
      </c>
    </row>
    <row r="1105">
      <c r="A1105" t="inlineStr">
        <is>
          <t>2022-12-31</t>
        </is>
      </c>
      <c r="B1105" t="n">
        <v>2</v>
      </c>
      <c r="C1105" s="6" t="n">
        <v>0</v>
      </c>
      <c r="D1105" t="n">
        <v>1</v>
      </c>
    </row>
    <row r="1106">
      <c r="A1106" t="inlineStr">
        <is>
          <t>2023-01-04</t>
        </is>
      </c>
      <c r="B1106" t="n">
        <v>1</v>
      </c>
      <c r="C1106" s="6" t="n">
        <v>0</v>
      </c>
      <c r="D1106" t="n">
        <v>1</v>
      </c>
    </row>
    <row r="1107">
      <c r="A1107" t="inlineStr">
        <is>
          <t>2023-01-05</t>
        </is>
      </c>
      <c r="B1107" t="n">
        <v>1</v>
      </c>
      <c r="C1107" s="6" t="n">
        <v>0</v>
      </c>
      <c r="D1107" t="n">
        <v>1</v>
      </c>
    </row>
    <row r="1108">
      <c r="A1108" t="inlineStr">
        <is>
          <t>2023-01-05</t>
        </is>
      </c>
      <c r="B1108" t="n">
        <v>4</v>
      </c>
      <c r="C1108" s="6" t="n">
        <v>0</v>
      </c>
      <c r="D1108" t="n">
        <v>1</v>
      </c>
    </row>
    <row r="1109">
      <c r="A1109" t="inlineStr">
        <is>
          <t>2023-01-05</t>
        </is>
      </c>
      <c r="B1109" t="n">
        <v>2</v>
      </c>
      <c r="C1109" s="6" t="n">
        <v>0</v>
      </c>
      <c r="D1109" t="n">
        <v>1</v>
      </c>
    </row>
    <row r="1110">
      <c r="A1110" t="inlineStr">
        <is>
          <t>2023-01-05</t>
        </is>
      </c>
      <c r="B1110" t="n">
        <v>5</v>
      </c>
      <c r="C1110" s="6" t="n">
        <v>0</v>
      </c>
      <c r="D1110" t="n">
        <v>1</v>
      </c>
    </row>
    <row r="1111">
      <c r="A1111" t="inlineStr">
        <is>
          <t>2023-01-05</t>
        </is>
      </c>
      <c r="B1111" t="n">
        <v>3</v>
      </c>
      <c r="C1111" s="6" t="n">
        <v>0</v>
      </c>
      <c r="D1111" t="n">
        <v>1</v>
      </c>
    </row>
    <row r="1112">
      <c r="A1112" t="inlineStr">
        <is>
          <t>2023-01-06</t>
        </is>
      </c>
      <c r="B1112" t="n">
        <v>2</v>
      </c>
      <c r="C1112" s="6" t="n">
        <v>0</v>
      </c>
      <c r="D1112" t="n">
        <v>1</v>
      </c>
    </row>
    <row r="1113">
      <c r="A1113" t="inlineStr">
        <is>
          <t>2023-01-06</t>
        </is>
      </c>
      <c r="B1113" t="n">
        <v>1</v>
      </c>
      <c r="C1113" s="6" t="n">
        <v>0</v>
      </c>
      <c r="D1113" t="n">
        <v>1</v>
      </c>
    </row>
    <row r="1114">
      <c r="A1114" t="inlineStr">
        <is>
          <t>2023-01-06</t>
        </is>
      </c>
      <c r="B1114" t="n">
        <v>3</v>
      </c>
      <c r="C1114" s="6" t="n">
        <v>0</v>
      </c>
      <c r="D1114" t="n">
        <v>1</v>
      </c>
    </row>
    <row r="1115">
      <c r="A1115" t="inlineStr">
        <is>
          <t>2023-01-07</t>
        </is>
      </c>
      <c r="B1115" t="n">
        <v>1</v>
      </c>
      <c r="C1115" s="6" t="n">
        <v>0</v>
      </c>
      <c r="D1115" t="n">
        <v>1</v>
      </c>
    </row>
    <row r="1116">
      <c r="A1116" t="inlineStr">
        <is>
          <t>2023-01-07</t>
        </is>
      </c>
      <c r="B1116" t="n">
        <v>2</v>
      </c>
      <c r="C1116" s="6" t="n">
        <v>0</v>
      </c>
      <c r="D1116" t="n">
        <v>1</v>
      </c>
    </row>
    <row r="1117">
      <c r="A1117" t="inlineStr">
        <is>
          <t>2023-01-07</t>
        </is>
      </c>
      <c r="B1117" t="n">
        <v>3</v>
      </c>
      <c r="C1117" s="6" t="n">
        <v>0</v>
      </c>
      <c r="D1117" t="n">
        <v>1</v>
      </c>
    </row>
    <row r="1118">
      <c r="A1118" t="inlineStr">
        <is>
          <t>2023-01-08</t>
        </is>
      </c>
      <c r="B1118" t="n">
        <v>1</v>
      </c>
      <c r="C1118" s="6" t="n">
        <v>0</v>
      </c>
      <c r="D1118" t="n">
        <v>1</v>
      </c>
    </row>
    <row r="1119">
      <c r="A1119" t="inlineStr">
        <is>
          <t>2023-02-23</t>
        </is>
      </c>
      <c r="B1119" t="n">
        <v>1</v>
      </c>
      <c r="C1119" s="6" t="n">
        <v>0</v>
      </c>
      <c r="D1119" t="n">
        <v>1</v>
      </c>
    </row>
    <row r="1120">
      <c r="A1120" t="inlineStr">
        <is>
          <t>2023-02-24</t>
        </is>
      </c>
      <c r="B1120" t="n">
        <v>1</v>
      </c>
      <c r="C1120" s="6" t="n">
        <v>0</v>
      </c>
      <c r="D1120" t="n">
        <v>1</v>
      </c>
    </row>
    <row r="1121">
      <c r="A1121" t="inlineStr">
        <is>
          <t>2023-02-24</t>
        </is>
      </c>
      <c r="B1121" t="n">
        <v>2</v>
      </c>
      <c r="C1121" s="6" t="n">
        <v>0</v>
      </c>
      <c r="D1121" t="n">
        <v>1</v>
      </c>
    </row>
    <row r="1122">
      <c r="A1122" t="inlineStr">
        <is>
          <t>2023-02-24</t>
        </is>
      </c>
      <c r="B1122" t="n">
        <v>3</v>
      </c>
      <c r="C1122" s="6" t="n">
        <v>0</v>
      </c>
      <c r="D1122" t="n">
        <v>1</v>
      </c>
    </row>
    <row r="1123">
      <c r="A1123" t="inlineStr">
        <is>
          <t>2023-02-25</t>
        </is>
      </c>
      <c r="B1123" t="n">
        <v>4</v>
      </c>
      <c r="C1123" s="6" t="n">
        <v>0</v>
      </c>
      <c r="D1123" t="n">
        <v>1</v>
      </c>
    </row>
    <row r="1124">
      <c r="A1124" t="inlineStr">
        <is>
          <t>2023-02-25</t>
        </is>
      </c>
      <c r="B1124" t="n">
        <v>2</v>
      </c>
      <c r="C1124" s="6" t="n">
        <v>0</v>
      </c>
      <c r="D1124" t="n">
        <v>1</v>
      </c>
    </row>
    <row r="1125">
      <c r="A1125" t="inlineStr">
        <is>
          <t>2023-02-25</t>
        </is>
      </c>
      <c r="B1125" t="n">
        <v>1</v>
      </c>
      <c r="C1125" s="6" t="n">
        <v>0</v>
      </c>
      <c r="D1125" t="n">
        <v>1</v>
      </c>
    </row>
    <row r="1126">
      <c r="A1126" t="inlineStr">
        <is>
          <t>2023-02-25</t>
        </is>
      </c>
      <c r="B1126" t="n">
        <v>3</v>
      </c>
      <c r="C1126" s="6" t="n">
        <v>0</v>
      </c>
      <c r="D1126" t="n">
        <v>1</v>
      </c>
    </row>
    <row r="1127">
      <c r="A1127" t="inlineStr">
        <is>
          <t>2023-02-25</t>
        </is>
      </c>
      <c r="B1127" t="n">
        <v>5</v>
      </c>
      <c r="C1127" s="6" t="n">
        <v>0</v>
      </c>
      <c r="D1127" t="n">
        <v>1</v>
      </c>
    </row>
    <row r="1128">
      <c r="A1128" t="inlineStr">
        <is>
          <t>2023-02-25</t>
        </is>
      </c>
      <c r="B1128" t="n">
        <v>6</v>
      </c>
      <c r="C1128" s="6" t="n">
        <v>0</v>
      </c>
      <c r="D1128" t="n">
        <v>1</v>
      </c>
    </row>
    <row r="1129">
      <c r="A1129" t="inlineStr">
        <is>
          <t>2023-02-26</t>
        </is>
      </c>
      <c r="B1129" t="n">
        <v>1</v>
      </c>
      <c r="C1129" s="6" t="n">
        <v>0</v>
      </c>
      <c r="D1129" t="n">
        <v>1</v>
      </c>
    </row>
    <row r="1130">
      <c r="A1130" t="inlineStr">
        <is>
          <t>2023-02-26</t>
        </is>
      </c>
      <c r="B1130" t="n">
        <v>2</v>
      </c>
      <c r="C1130" s="6" t="n">
        <v>0</v>
      </c>
      <c r="D1130" t="n">
        <v>1</v>
      </c>
    </row>
    <row r="1131">
      <c r="A1131" t="inlineStr">
        <is>
          <t>2023-03-01</t>
        </is>
      </c>
      <c r="B1131" t="n">
        <v>1</v>
      </c>
      <c r="C1131" s="6" t="n">
        <v>0</v>
      </c>
      <c r="D1131" t="n">
        <v>1</v>
      </c>
    </row>
    <row r="1132">
      <c r="A1132" t="inlineStr">
        <is>
          <t>2023-03-01</t>
        </is>
      </c>
      <c r="B1132" t="n">
        <v>2</v>
      </c>
      <c r="C1132" s="6" t="n">
        <v>0</v>
      </c>
      <c r="D1132" t="n">
        <v>1</v>
      </c>
    </row>
    <row r="1133">
      <c r="A1133" t="inlineStr">
        <is>
          <t>2023-03-01</t>
        </is>
      </c>
      <c r="B1133" t="n">
        <v>3</v>
      </c>
      <c r="C1133" s="6" t="n">
        <v>0</v>
      </c>
      <c r="D1133" t="n">
        <v>1</v>
      </c>
    </row>
    <row r="1134">
      <c r="A1134" t="inlineStr">
        <is>
          <t>2023-03-02</t>
        </is>
      </c>
      <c r="B1134" t="n">
        <v>1</v>
      </c>
      <c r="C1134" s="6" t="n">
        <v>0</v>
      </c>
      <c r="D1134" t="n">
        <v>1</v>
      </c>
    </row>
    <row r="1135">
      <c r="A1135" t="inlineStr">
        <is>
          <t>2023-03-03</t>
        </is>
      </c>
      <c r="B1135" t="n">
        <v>1</v>
      </c>
      <c r="C1135" s="6" t="n">
        <v>0</v>
      </c>
      <c r="D1135" t="n">
        <v>1</v>
      </c>
    </row>
    <row r="1136">
      <c r="A1136" t="inlineStr">
        <is>
          <t>2023-03-03</t>
        </is>
      </c>
      <c r="B1136" t="n">
        <v>2</v>
      </c>
      <c r="C1136" s="6" t="n">
        <v>0</v>
      </c>
      <c r="D1136" t="n">
        <v>1</v>
      </c>
    </row>
    <row r="1137">
      <c r="A1137" t="inlineStr">
        <is>
          <t>2023-03-04</t>
        </is>
      </c>
      <c r="B1137" t="n">
        <v>1</v>
      </c>
      <c r="C1137" s="6" t="n">
        <v>0</v>
      </c>
      <c r="D1137" t="n">
        <v>1</v>
      </c>
    </row>
    <row r="1138">
      <c r="A1138" t="inlineStr">
        <is>
          <t>2023-03-04</t>
        </is>
      </c>
      <c r="B1138" t="n">
        <v>2</v>
      </c>
      <c r="C1138" s="6" t="n">
        <v>0</v>
      </c>
      <c r="D1138" t="n">
        <v>1</v>
      </c>
    </row>
    <row r="1139">
      <c r="A1139" t="inlineStr">
        <is>
          <t>2023-03-08</t>
        </is>
      </c>
      <c r="B1139" t="n">
        <v>1</v>
      </c>
      <c r="C1139" s="6" t="n">
        <v>0</v>
      </c>
      <c r="D1139" t="n">
        <v>1</v>
      </c>
    </row>
    <row r="1140">
      <c r="A1140" t="inlineStr">
        <is>
          <t>2023-03-08</t>
        </is>
      </c>
      <c r="B1140" t="n">
        <v>3</v>
      </c>
      <c r="C1140" s="6" t="n">
        <v>0</v>
      </c>
      <c r="D1140" t="n">
        <v>1</v>
      </c>
    </row>
    <row r="1141">
      <c r="A1141" t="inlineStr">
        <is>
          <t>2023-03-08</t>
        </is>
      </c>
      <c r="B1141" t="n">
        <v>2</v>
      </c>
      <c r="C1141" s="6" t="n">
        <v>0</v>
      </c>
      <c r="D1141" t="n">
        <v>1</v>
      </c>
    </row>
    <row r="1142">
      <c r="A1142" t="inlineStr">
        <is>
          <t>2023-03-08</t>
        </is>
      </c>
      <c r="B1142" t="n">
        <v>4</v>
      </c>
      <c r="C1142" s="6" t="n">
        <v>0</v>
      </c>
      <c r="D1142" t="n">
        <v>1</v>
      </c>
    </row>
    <row r="1143">
      <c r="A1143" t="inlineStr">
        <is>
          <t>2023-03-10</t>
        </is>
      </c>
      <c r="B1143" t="n">
        <v>1</v>
      </c>
      <c r="C1143" s="6" t="n">
        <v>0</v>
      </c>
      <c r="D1143" t="n">
        <v>1</v>
      </c>
    </row>
    <row r="1144">
      <c r="A1144" t="inlineStr">
        <is>
          <t>2023-03-10</t>
        </is>
      </c>
      <c r="B1144" t="n">
        <v>3</v>
      </c>
      <c r="C1144" s="6" t="n">
        <v>0</v>
      </c>
      <c r="D1144" t="n">
        <v>1</v>
      </c>
    </row>
    <row r="1145">
      <c r="A1145" t="inlineStr">
        <is>
          <t>2023-03-10</t>
        </is>
      </c>
      <c r="B1145" t="n">
        <v>2</v>
      </c>
      <c r="C1145" s="6" t="n">
        <v>0</v>
      </c>
      <c r="D1145" t="n">
        <v>1</v>
      </c>
    </row>
    <row r="1146">
      <c r="A1146" t="inlineStr">
        <is>
          <t>2023-03-11</t>
        </is>
      </c>
      <c r="B1146" t="n">
        <v>1</v>
      </c>
      <c r="C1146" s="6" t="n">
        <v>0</v>
      </c>
      <c r="D1146" t="n">
        <v>1</v>
      </c>
    </row>
    <row r="1147">
      <c r="A1147" t="inlineStr">
        <is>
          <t>2023-03-11</t>
        </is>
      </c>
      <c r="B1147" t="n">
        <v>6</v>
      </c>
      <c r="C1147" s="6" t="n">
        <v>0</v>
      </c>
      <c r="D1147" t="n">
        <v>1</v>
      </c>
    </row>
    <row r="1148">
      <c r="A1148" t="inlineStr">
        <is>
          <t>2023-03-11</t>
        </is>
      </c>
      <c r="B1148" t="n">
        <v>4</v>
      </c>
      <c r="C1148" s="6" t="n">
        <v>0</v>
      </c>
      <c r="D1148" t="n">
        <v>1</v>
      </c>
    </row>
    <row r="1149">
      <c r="A1149" t="inlineStr">
        <is>
          <t>2023-03-11</t>
        </is>
      </c>
      <c r="B1149" t="n">
        <v>2</v>
      </c>
      <c r="C1149" s="6" t="n">
        <v>0</v>
      </c>
      <c r="D1149" t="n">
        <v>1</v>
      </c>
    </row>
    <row r="1150">
      <c r="A1150" t="inlineStr">
        <is>
          <t>2023-03-11</t>
        </is>
      </c>
      <c r="B1150" t="n">
        <v>5</v>
      </c>
      <c r="C1150" s="6" t="n">
        <v>0</v>
      </c>
      <c r="D1150" t="n">
        <v>1</v>
      </c>
    </row>
    <row r="1151">
      <c r="A1151" t="inlineStr">
        <is>
          <t>2023-03-11</t>
        </is>
      </c>
      <c r="B1151" t="n">
        <v>3</v>
      </c>
      <c r="C1151" s="6" t="n">
        <v>0</v>
      </c>
      <c r="D1151" t="n">
        <v>1</v>
      </c>
    </row>
    <row r="1152">
      <c r="A1152" t="inlineStr">
        <is>
          <t>2023-03-12</t>
        </is>
      </c>
      <c r="B1152" t="n">
        <v>1</v>
      </c>
      <c r="C1152" s="6" t="n">
        <v>0</v>
      </c>
      <c r="D1152" t="n">
        <v>1</v>
      </c>
    </row>
    <row r="1153">
      <c r="A1153" t="inlineStr">
        <is>
          <t>2023-03-12</t>
        </is>
      </c>
      <c r="B1153" t="n">
        <v>2</v>
      </c>
      <c r="C1153" s="6" t="n">
        <v>0</v>
      </c>
      <c r="D1153" t="n">
        <v>1</v>
      </c>
    </row>
    <row r="1154">
      <c r="A1154" t="inlineStr">
        <is>
          <t>2023-03-15</t>
        </is>
      </c>
      <c r="B1154" t="n">
        <v>1</v>
      </c>
      <c r="C1154" s="6" t="n">
        <v>0</v>
      </c>
      <c r="D1154" t="n">
        <v>1</v>
      </c>
    </row>
    <row r="1155">
      <c r="A1155" t="inlineStr">
        <is>
          <t>2023-03-15</t>
        </is>
      </c>
      <c r="B1155" t="n">
        <v>2</v>
      </c>
      <c r="C1155" s="6" t="n">
        <v>0</v>
      </c>
      <c r="D1155" t="n">
        <v>1</v>
      </c>
    </row>
    <row r="1156">
      <c r="A1156" t="inlineStr">
        <is>
          <t>2023-03-15</t>
        </is>
      </c>
      <c r="B1156" t="n">
        <v>3</v>
      </c>
      <c r="C1156" s="6" t="n">
        <v>0</v>
      </c>
      <c r="D1156" t="n">
        <v>1</v>
      </c>
    </row>
    <row r="1157">
      <c r="A1157" t="inlineStr">
        <is>
          <t>2023-03-16</t>
        </is>
      </c>
      <c r="B1157" t="n">
        <v>1</v>
      </c>
      <c r="C1157" s="6" t="n">
        <v>0</v>
      </c>
      <c r="D1157" t="n">
        <v>1</v>
      </c>
    </row>
    <row r="1158">
      <c r="A1158" t="inlineStr">
        <is>
          <t>2023-03-17</t>
        </is>
      </c>
      <c r="B1158" t="n">
        <v>1</v>
      </c>
      <c r="C1158" s="6" t="n">
        <v>0</v>
      </c>
      <c r="D1158" t="n">
        <v>1</v>
      </c>
    </row>
    <row r="1159">
      <c r="A1159" t="inlineStr">
        <is>
          <t>2023-03-17</t>
        </is>
      </c>
      <c r="B1159" t="n">
        <v>2</v>
      </c>
      <c r="C1159" s="6" t="n">
        <v>0</v>
      </c>
      <c r="D1159" t="n">
        <v>1</v>
      </c>
    </row>
    <row r="1160">
      <c r="A1160" t="inlineStr">
        <is>
          <t>2023-03-18</t>
        </is>
      </c>
      <c r="B1160" t="n">
        <v>1</v>
      </c>
      <c r="C1160" s="6" t="n">
        <v>0</v>
      </c>
      <c r="D1160" t="n">
        <v>1</v>
      </c>
    </row>
    <row r="1161">
      <c r="A1161" t="inlineStr">
        <is>
          <t>2023-03-18</t>
        </is>
      </c>
      <c r="B1161" t="n">
        <v>2</v>
      </c>
      <c r="C1161" s="6" t="n">
        <v>0</v>
      </c>
      <c r="D1161" t="n">
        <v>1</v>
      </c>
    </row>
    <row r="1162">
      <c r="A1162" t="inlineStr">
        <is>
          <t>2023-03-18</t>
        </is>
      </c>
      <c r="B1162" t="n">
        <v>3</v>
      </c>
      <c r="C1162" s="6" t="n">
        <v>0</v>
      </c>
      <c r="D1162" t="n">
        <v>1</v>
      </c>
    </row>
    <row r="1163">
      <c r="A1163" t="inlineStr">
        <is>
          <t>2023-03-19</t>
        </is>
      </c>
      <c r="B1163" t="n">
        <v>1</v>
      </c>
      <c r="C1163" s="6" t="n">
        <v>0</v>
      </c>
      <c r="D1163" t="n">
        <v>1</v>
      </c>
    </row>
    <row r="1164">
      <c r="A1164" t="inlineStr">
        <is>
          <t>2023-03-19</t>
        </is>
      </c>
      <c r="B1164" t="n">
        <v>2</v>
      </c>
      <c r="C1164" s="6" t="n">
        <v>0</v>
      </c>
      <c r="D1164" t="n">
        <v>1</v>
      </c>
    </row>
    <row r="1165">
      <c r="A1165" t="inlineStr">
        <is>
          <t>2023-03-22</t>
        </is>
      </c>
      <c r="B1165" t="n">
        <v>1</v>
      </c>
      <c r="C1165" s="6" t="n">
        <v>0</v>
      </c>
      <c r="D1165" t="n">
        <v>1</v>
      </c>
    </row>
    <row r="1166">
      <c r="A1166" t="inlineStr">
        <is>
          <t>2023-03-22</t>
        </is>
      </c>
      <c r="B1166" t="n">
        <v>2</v>
      </c>
      <c r="C1166" s="6" t="n">
        <v>0</v>
      </c>
      <c r="D1166" t="n">
        <v>1</v>
      </c>
    </row>
    <row r="1167">
      <c r="A1167" t="inlineStr">
        <is>
          <t>2023-03-22</t>
        </is>
      </c>
      <c r="B1167" t="n">
        <v>3</v>
      </c>
      <c r="C1167" s="6" t="n">
        <v>0</v>
      </c>
      <c r="D1167" t="n">
        <v>1</v>
      </c>
    </row>
    <row r="1168">
      <c r="A1168" t="inlineStr">
        <is>
          <t>2023-03-23</t>
        </is>
      </c>
      <c r="B1168" t="n">
        <v>1</v>
      </c>
      <c r="C1168" s="6" t="n">
        <v>0</v>
      </c>
      <c r="D1168" t="n">
        <v>1</v>
      </c>
    </row>
    <row r="1169">
      <c r="A1169" t="inlineStr">
        <is>
          <t>2023-03-23</t>
        </is>
      </c>
      <c r="B1169" t="n">
        <v>2</v>
      </c>
      <c r="C1169" s="6" t="n">
        <v>0</v>
      </c>
      <c r="D1169" t="n">
        <v>1</v>
      </c>
    </row>
    <row r="1170">
      <c r="A1170" t="inlineStr">
        <is>
          <t>2023-03-23</t>
        </is>
      </c>
      <c r="B1170" t="n">
        <v>3</v>
      </c>
      <c r="C1170" s="6" t="n">
        <v>0</v>
      </c>
      <c r="D1170" t="n">
        <v>1</v>
      </c>
    </row>
    <row r="1171">
      <c r="A1171" t="inlineStr">
        <is>
          <t>2023-03-23</t>
        </is>
      </c>
      <c r="B1171" t="n">
        <v>5</v>
      </c>
      <c r="C1171" s="6" t="n">
        <v>0</v>
      </c>
      <c r="D1171" t="n">
        <v>0</v>
      </c>
    </row>
    <row r="1172">
      <c r="A1172" t="inlineStr">
        <is>
          <t>2023-03-23</t>
        </is>
      </c>
      <c r="B1172" t="n">
        <v>4</v>
      </c>
      <c r="C1172" s="6" t="n">
        <v>0</v>
      </c>
      <c r="D1172" t="n">
        <v>1</v>
      </c>
    </row>
    <row r="1173">
      <c r="A1173" t="inlineStr">
        <is>
          <t>2023-03-24</t>
        </is>
      </c>
      <c r="B1173" t="n">
        <v>1</v>
      </c>
      <c r="C1173" s="6" t="n">
        <v>0</v>
      </c>
      <c r="D1173" t="n">
        <v>1</v>
      </c>
    </row>
    <row r="1174">
      <c r="A1174" t="inlineStr">
        <is>
          <t>2023-03-24</t>
        </is>
      </c>
      <c r="B1174" t="n">
        <v>3</v>
      </c>
      <c r="C1174" s="6" t="n">
        <v>0</v>
      </c>
      <c r="D1174" t="n">
        <v>1</v>
      </c>
    </row>
    <row r="1175">
      <c r="A1175" t="inlineStr">
        <is>
          <t>2023-03-24</t>
        </is>
      </c>
      <c r="B1175" t="n">
        <v>2</v>
      </c>
      <c r="C1175" s="6" t="n">
        <v>0</v>
      </c>
      <c r="D1175" t="n">
        <v>1</v>
      </c>
    </row>
    <row r="1176">
      <c r="A1176" t="inlineStr">
        <is>
          <t>2023-03-25</t>
        </is>
      </c>
      <c r="B1176" t="n">
        <v>1</v>
      </c>
      <c r="C1176" s="6" t="n">
        <v>0</v>
      </c>
      <c r="D1176" t="n">
        <v>1</v>
      </c>
    </row>
    <row r="1177">
      <c r="A1177" t="inlineStr">
        <is>
          <t>2023-03-25</t>
        </is>
      </c>
      <c r="B1177" t="n">
        <v>3</v>
      </c>
      <c r="C1177" s="6" t="n">
        <v>0</v>
      </c>
      <c r="D1177" t="n">
        <v>1</v>
      </c>
    </row>
    <row r="1178">
      <c r="A1178" t="inlineStr">
        <is>
          <t>2023-03-25</t>
        </is>
      </c>
      <c r="B1178" t="n">
        <v>2</v>
      </c>
      <c r="C1178" s="6" t="n">
        <v>0</v>
      </c>
      <c r="D1178" t="n">
        <v>1</v>
      </c>
    </row>
    <row r="1179">
      <c r="A1179" t="inlineStr">
        <is>
          <t>2023-03-25</t>
        </is>
      </c>
      <c r="B1179" t="n">
        <v>5</v>
      </c>
      <c r="C1179" s="6" t="n">
        <v>0</v>
      </c>
      <c r="D1179" t="n">
        <v>1</v>
      </c>
    </row>
    <row r="1180">
      <c r="A1180" t="inlineStr">
        <is>
          <t>2023-03-25</t>
        </is>
      </c>
      <c r="B1180" t="n">
        <v>4</v>
      </c>
      <c r="C1180" s="6" t="n">
        <v>0</v>
      </c>
      <c r="D1180" t="n">
        <v>1</v>
      </c>
    </row>
    <row r="1181">
      <c r="A1181" t="inlineStr">
        <is>
          <t>2023-03-26</t>
        </is>
      </c>
      <c r="B1181" t="n">
        <v>4</v>
      </c>
      <c r="C1181" s="6" t="n">
        <v>0</v>
      </c>
      <c r="D1181" t="n">
        <v>1</v>
      </c>
    </row>
    <row r="1182">
      <c r="A1182" t="inlineStr">
        <is>
          <t>2023-03-26</t>
        </is>
      </c>
      <c r="B1182" t="n">
        <v>2</v>
      </c>
      <c r="C1182" s="6" t="n">
        <v>0</v>
      </c>
      <c r="D1182" t="n">
        <v>1</v>
      </c>
    </row>
    <row r="1183">
      <c r="A1183" t="inlineStr">
        <is>
          <t>2023-03-26</t>
        </is>
      </c>
      <c r="B1183" t="n">
        <v>1</v>
      </c>
      <c r="C1183" s="6" t="n">
        <v>0</v>
      </c>
      <c r="D1183" t="n">
        <v>1</v>
      </c>
    </row>
    <row r="1184">
      <c r="A1184" t="inlineStr">
        <is>
          <t>2023-03-26</t>
        </is>
      </c>
      <c r="B1184" t="n">
        <v>3</v>
      </c>
      <c r="C1184" s="6" t="n">
        <v>0</v>
      </c>
      <c r="D1184" t="n">
        <v>1</v>
      </c>
    </row>
    <row r="1185">
      <c r="A1185" t="inlineStr">
        <is>
          <t>2023-03-29</t>
        </is>
      </c>
      <c r="B1185" t="n">
        <v>1</v>
      </c>
      <c r="C1185" s="6" t="n">
        <v>0</v>
      </c>
      <c r="D1185" t="n">
        <v>1</v>
      </c>
    </row>
    <row r="1186">
      <c r="A1186" t="inlineStr">
        <is>
          <t>2023-03-29</t>
        </is>
      </c>
      <c r="B1186" t="n">
        <v>2</v>
      </c>
      <c r="C1186" s="6" t="n">
        <v>0</v>
      </c>
      <c r="D1186" t="n">
        <v>1</v>
      </c>
    </row>
    <row r="1187">
      <c r="A1187" t="inlineStr">
        <is>
          <t>2023-03-29</t>
        </is>
      </c>
      <c r="B1187" t="n">
        <v>6</v>
      </c>
      <c r="C1187" s="6" t="n">
        <v>0</v>
      </c>
      <c r="D1187" t="n">
        <v>1</v>
      </c>
    </row>
    <row r="1188">
      <c r="A1188" t="inlineStr">
        <is>
          <t>2023-03-29</t>
        </is>
      </c>
      <c r="B1188" t="n">
        <v>3</v>
      </c>
      <c r="C1188" s="6" t="n">
        <v>0</v>
      </c>
      <c r="D1188" t="n">
        <v>1</v>
      </c>
    </row>
    <row r="1189">
      <c r="A1189" t="inlineStr">
        <is>
          <t>2023-03-29</t>
        </is>
      </c>
      <c r="B1189" t="n">
        <v>4</v>
      </c>
      <c r="C1189" s="6" t="n">
        <v>0</v>
      </c>
      <c r="D1189" t="n">
        <v>1</v>
      </c>
    </row>
    <row r="1190">
      <c r="A1190" t="inlineStr">
        <is>
          <t>2023-03-29</t>
        </is>
      </c>
      <c r="B1190" t="n">
        <v>5</v>
      </c>
      <c r="C1190" s="6" t="n">
        <v>0</v>
      </c>
      <c r="D1190" t="n">
        <v>1</v>
      </c>
    </row>
    <row r="1191">
      <c r="A1191" t="inlineStr">
        <is>
          <t>2023-03-29</t>
        </is>
      </c>
      <c r="B1191" t="n">
        <v>7</v>
      </c>
      <c r="C1191" s="6" t="n">
        <v>0</v>
      </c>
      <c r="D1191" t="n">
        <v>1</v>
      </c>
    </row>
    <row r="1192">
      <c r="A1192" t="inlineStr">
        <is>
          <t>2023-03-30</t>
        </is>
      </c>
      <c r="B1192" t="n">
        <v>1</v>
      </c>
      <c r="C1192" s="6" t="n">
        <v>0</v>
      </c>
      <c r="D1192" t="n">
        <v>1</v>
      </c>
    </row>
    <row r="1194">
      <c r="A1194" s="2" t="inlineStr">
        <is>
          <t>Tickets à 0,00 €</t>
        </is>
      </c>
      <c r="D1194">
        <f>COUNT(D3:D1192)</f>
        <v/>
      </c>
    </row>
    <row r="1195">
      <c r="A1195" s="2" t="inlineStr">
        <is>
          <t>… avec jumeau</t>
        </is>
      </c>
      <c r="D1195">
        <f>SUM(D3:D1192)</f>
        <v/>
      </c>
    </row>
    <row r="1196">
      <c r="A1196" s="2" t="inlineStr">
        <is>
          <t>… orphelins (sans jumeau)</t>
        </is>
      </c>
      <c r="D1196">
        <f>COUNT(D3:D1192)-SUM(D3:D1192)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2" t="inlineStr">
        <is>
          <t>Prix unitaires TTC pratiqués 2022-2023 (ANNEXE-C1 col.14, &gt;0, dédoublonnés)</t>
        </is>
      </c>
    </row>
    <row r="3">
      <c r="A3" s="5" t="inlineStr">
        <is>
          <t>#</t>
        </is>
      </c>
      <c r="B3" s="5" t="inlineStr">
        <is>
          <t>Prix TTC (€)</t>
        </is>
      </c>
    </row>
    <row r="4">
      <c r="A4" s="8" t="n">
        <v>1</v>
      </c>
      <c r="B4" s="9" t="n">
        <v>0.4</v>
      </c>
    </row>
    <row r="5">
      <c r="A5" s="8" t="n">
        <v>2</v>
      </c>
      <c r="B5" s="9" t="n">
        <v>0.5</v>
      </c>
    </row>
    <row r="6">
      <c r="A6" s="8" t="n">
        <v>3</v>
      </c>
      <c r="B6" s="9" t="n">
        <v>0.8</v>
      </c>
    </row>
    <row r="7">
      <c r="A7" s="8" t="n">
        <v>4</v>
      </c>
      <c r="B7" s="9" t="n">
        <v>0.9</v>
      </c>
    </row>
    <row r="8">
      <c r="A8" s="8" t="n">
        <v>5</v>
      </c>
      <c r="B8" s="9" t="n">
        <v>1.1</v>
      </c>
    </row>
    <row r="9">
      <c r="A9" s="8" t="n">
        <v>6</v>
      </c>
      <c r="B9" s="9" t="n">
        <v>1.2</v>
      </c>
    </row>
    <row r="10">
      <c r="A10" s="8" t="n">
        <v>7</v>
      </c>
      <c r="B10" s="9" t="n">
        <v>1.4</v>
      </c>
    </row>
    <row r="11">
      <c r="A11" s="8" t="n">
        <v>8</v>
      </c>
      <c r="B11" s="9" t="n">
        <v>1.5</v>
      </c>
    </row>
    <row r="12">
      <c r="A12" s="8" t="n">
        <v>9</v>
      </c>
      <c r="B12" s="9" t="n">
        <v>1.6</v>
      </c>
    </row>
    <row r="13">
      <c r="A13" s="8" t="n">
        <v>10</v>
      </c>
      <c r="B13" s="9" t="n">
        <v>1.7</v>
      </c>
    </row>
    <row r="14">
      <c r="A14" s="8" t="n">
        <v>11</v>
      </c>
      <c r="B14" s="9" t="n">
        <v>1.8</v>
      </c>
    </row>
    <row r="15">
      <c r="A15" s="8" t="n">
        <v>12</v>
      </c>
      <c r="B15" s="9" t="n">
        <v>1.9</v>
      </c>
    </row>
    <row r="16">
      <c r="A16" s="8" t="n">
        <v>13</v>
      </c>
      <c r="B16" s="9" t="n">
        <v>2</v>
      </c>
    </row>
    <row r="17">
      <c r="A17" s="8" t="n">
        <v>14</v>
      </c>
      <c r="B17" s="9" t="n">
        <v>2.16</v>
      </c>
    </row>
    <row r="18">
      <c r="A18" s="8" t="n">
        <v>15</v>
      </c>
      <c r="B18" s="9" t="n">
        <v>2.2</v>
      </c>
    </row>
    <row r="19">
      <c r="A19" s="8" t="n">
        <v>16</v>
      </c>
      <c r="B19" s="9" t="n">
        <v>2.4</v>
      </c>
    </row>
    <row r="20">
      <c r="A20" s="8" t="n">
        <v>17</v>
      </c>
      <c r="B20" s="9" t="n">
        <v>2.5</v>
      </c>
    </row>
    <row r="21">
      <c r="A21" s="8" t="n">
        <v>18</v>
      </c>
      <c r="B21" s="9" t="n">
        <v>2.7</v>
      </c>
    </row>
    <row r="22">
      <c r="A22" s="8" t="n">
        <v>19</v>
      </c>
      <c r="B22" s="9" t="n">
        <v>2.8</v>
      </c>
    </row>
    <row r="23">
      <c r="A23" s="8" t="n">
        <v>20</v>
      </c>
      <c r="B23" s="9" t="n">
        <v>2.85</v>
      </c>
    </row>
    <row r="24">
      <c r="A24" s="8" t="n">
        <v>21</v>
      </c>
      <c r="B24" s="9" t="n">
        <v>2.9</v>
      </c>
    </row>
    <row r="25">
      <c r="A25" s="8" t="n">
        <v>22</v>
      </c>
      <c r="B25" s="9" t="n">
        <v>3</v>
      </c>
    </row>
    <row r="26">
      <c r="A26" s="8" t="n">
        <v>23</v>
      </c>
      <c r="B26" s="9" t="n">
        <v>3.2</v>
      </c>
    </row>
    <row r="27">
      <c r="A27" s="8" t="n">
        <v>24</v>
      </c>
      <c r="B27" s="9" t="n">
        <v>3.3</v>
      </c>
    </row>
    <row r="28">
      <c r="A28" s="8" t="n">
        <v>25</v>
      </c>
      <c r="B28" s="9" t="n">
        <v>3.4</v>
      </c>
    </row>
    <row r="29">
      <c r="A29" s="8" t="n">
        <v>26</v>
      </c>
      <c r="B29" s="9" t="n">
        <v>3.5</v>
      </c>
    </row>
    <row r="30">
      <c r="A30" s="8" t="n">
        <v>27</v>
      </c>
      <c r="B30" s="9" t="n">
        <v>3.6</v>
      </c>
    </row>
    <row r="31">
      <c r="A31" s="8" t="n">
        <v>28</v>
      </c>
      <c r="B31" s="9" t="n">
        <v>3.7</v>
      </c>
    </row>
    <row r="32">
      <c r="A32" s="8" t="n">
        <v>29</v>
      </c>
      <c r="B32" s="9" t="n">
        <v>3.8</v>
      </c>
    </row>
    <row r="33">
      <c r="A33" s="8" t="n">
        <v>30</v>
      </c>
      <c r="B33" s="9" t="n">
        <v>3.9</v>
      </c>
    </row>
    <row r="34">
      <c r="A34" s="8" t="n">
        <v>31</v>
      </c>
      <c r="B34" s="9" t="n">
        <v>4</v>
      </c>
    </row>
    <row r="35">
      <c r="A35" s="8" t="n">
        <v>32</v>
      </c>
      <c r="B35" s="9" t="n">
        <v>4.2</v>
      </c>
    </row>
    <row r="36">
      <c r="A36" s="8" t="n">
        <v>33</v>
      </c>
      <c r="B36" s="9" t="n">
        <v>4.25</v>
      </c>
    </row>
    <row r="37">
      <c r="A37" s="8" t="n">
        <v>34</v>
      </c>
      <c r="B37" s="9" t="n">
        <v>4.5</v>
      </c>
    </row>
    <row r="38">
      <c r="A38" s="8" t="n">
        <v>35</v>
      </c>
      <c r="B38" s="9" t="n">
        <v>4.6</v>
      </c>
    </row>
    <row r="39">
      <c r="A39" s="8" t="n">
        <v>36</v>
      </c>
      <c r="B39" s="9" t="n">
        <v>4.7</v>
      </c>
    </row>
    <row r="40">
      <c r="A40" s="8" t="n">
        <v>37</v>
      </c>
      <c r="B40" s="9" t="n">
        <v>4.9</v>
      </c>
    </row>
    <row r="41">
      <c r="A41" s="8" t="n">
        <v>38</v>
      </c>
      <c r="B41" s="9" t="n">
        <v>5</v>
      </c>
    </row>
    <row r="42">
      <c r="A42" s="8" t="n">
        <v>39</v>
      </c>
      <c r="B42" s="9" t="n">
        <v>5.1</v>
      </c>
    </row>
    <row r="43">
      <c r="A43" s="8" t="n">
        <v>40</v>
      </c>
      <c r="B43" s="9" t="n">
        <v>5.2</v>
      </c>
    </row>
    <row r="44">
      <c r="A44" s="8" t="n">
        <v>41</v>
      </c>
      <c r="B44" s="9" t="n">
        <v>5.4</v>
      </c>
    </row>
    <row r="45">
      <c r="A45" s="8" t="n">
        <v>42</v>
      </c>
      <c r="B45" s="9" t="n">
        <v>5.5</v>
      </c>
    </row>
    <row r="46">
      <c r="A46" s="8" t="n">
        <v>43</v>
      </c>
      <c r="B46" s="9" t="n">
        <v>5.6</v>
      </c>
    </row>
    <row r="47">
      <c r="A47" s="8" t="n">
        <v>44</v>
      </c>
      <c r="B47" s="9" t="n">
        <v>5.8</v>
      </c>
    </row>
    <row r="48">
      <c r="A48" s="8" t="n">
        <v>45</v>
      </c>
      <c r="B48" s="9" t="n">
        <v>5.9</v>
      </c>
    </row>
    <row r="49">
      <c r="A49" s="8" t="n">
        <v>46</v>
      </c>
      <c r="B49" s="9" t="n">
        <v>6</v>
      </c>
    </row>
    <row r="50">
      <c r="A50" s="8" t="n">
        <v>47</v>
      </c>
      <c r="B50" s="9" t="n">
        <v>6.1</v>
      </c>
    </row>
    <row r="51">
      <c r="A51" s="8" t="n">
        <v>48</v>
      </c>
      <c r="B51" s="9" t="n">
        <v>6.3</v>
      </c>
    </row>
    <row r="52">
      <c r="A52" s="8" t="n">
        <v>49</v>
      </c>
      <c r="B52" s="9" t="n">
        <v>6.35</v>
      </c>
    </row>
    <row r="53">
      <c r="A53" s="8" t="n">
        <v>50</v>
      </c>
      <c r="B53" s="9" t="n">
        <v>6.4</v>
      </c>
    </row>
    <row r="54">
      <c r="A54" s="8" t="n">
        <v>51</v>
      </c>
      <c r="B54" s="9" t="n">
        <v>6.5</v>
      </c>
    </row>
    <row r="55">
      <c r="A55" s="8" t="n">
        <v>52</v>
      </c>
      <c r="B55" s="9" t="n">
        <v>6.6</v>
      </c>
    </row>
    <row r="56">
      <c r="A56" s="8" t="n">
        <v>53</v>
      </c>
      <c r="B56" s="9" t="n">
        <v>6.9</v>
      </c>
    </row>
    <row r="57">
      <c r="A57" s="8" t="n">
        <v>54</v>
      </c>
      <c r="B57" s="9" t="n">
        <v>7</v>
      </c>
    </row>
    <row r="58">
      <c r="A58" s="8" t="n">
        <v>55</v>
      </c>
      <c r="B58" s="9" t="n">
        <v>7.2</v>
      </c>
    </row>
    <row r="59">
      <c r="A59" s="8" t="n">
        <v>56</v>
      </c>
      <c r="B59" s="9" t="n">
        <v>7.5</v>
      </c>
    </row>
    <row r="60">
      <c r="A60" s="8" t="n">
        <v>57</v>
      </c>
      <c r="B60" s="9" t="n">
        <v>7.6</v>
      </c>
    </row>
    <row r="61">
      <c r="A61" s="8" t="n">
        <v>58</v>
      </c>
      <c r="B61" s="9" t="n">
        <v>7.8</v>
      </c>
    </row>
    <row r="62">
      <c r="A62" s="8" t="n">
        <v>59</v>
      </c>
      <c r="B62" s="9" t="n">
        <v>7.9</v>
      </c>
    </row>
    <row r="63">
      <c r="A63" s="8" t="n">
        <v>60</v>
      </c>
      <c r="B63" s="9" t="n">
        <v>8</v>
      </c>
    </row>
    <row r="64">
      <c r="A64" s="8" t="n">
        <v>61</v>
      </c>
      <c r="B64" s="9" t="n">
        <v>8.1</v>
      </c>
    </row>
    <row r="65">
      <c r="A65" s="8" t="n">
        <v>62</v>
      </c>
      <c r="B65" s="9" t="n">
        <v>8.199999999999999</v>
      </c>
    </row>
    <row r="66">
      <c r="A66" s="8" t="n">
        <v>63</v>
      </c>
      <c r="B66" s="9" t="n">
        <v>8.300000000000001</v>
      </c>
    </row>
    <row r="67">
      <c r="A67" s="8" t="n">
        <v>64</v>
      </c>
      <c r="B67" s="9" t="n">
        <v>8.4</v>
      </c>
    </row>
    <row r="68">
      <c r="A68" s="8" t="n">
        <v>65</v>
      </c>
      <c r="B68" s="9" t="n">
        <v>8.5</v>
      </c>
    </row>
    <row r="69">
      <c r="A69" s="8" t="n">
        <v>66</v>
      </c>
      <c r="B69" s="9" t="n">
        <v>8.550000000000001</v>
      </c>
    </row>
    <row r="70">
      <c r="A70" s="8" t="n">
        <v>67</v>
      </c>
      <c r="B70" s="9" t="n">
        <v>8.6</v>
      </c>
    </row>
    <row r="71">
      <c r="A71" s="8" t="n">
        <v>68</v>
      </c>
      <c r="B71" s="9" t="n">
        <v>8.67</v>
      </c>
    </row>
    <row r="72">
      <c r="A72" s="8" t="n">
        <v>69</v>
      </c>
      <c r="B72" s="9" t="n">
        <v>8.699999999999999</v>
      </c>
    </row>
    <row r="73">
      <c r="A73" s="8" t="n">
        <v>70</v>
      </c>
      <c r="B73" s="9" t="n">
        <v>8.800000000000001</v>
      </c>
    </row>
    <row r="74">
      <c r="A74" s="8" t="n">
        <v>71</v>
      </c>
      <c r="B74" s="9" t="n">
        <v>8.9</v>
      </c>
    </row>
    <row r="75">
      <c r="A75" s="8" t="n">
        <v>72</v>
      </c>
      <c r="B75" s="9" t="n">
        <v>8.92</v>
      </c>
    </row>
    <row r="76">
      <c r="A76" s="8" t="n">
        <v>73</v>
      </c>
      <c r="B76" s="9" t="n">
        <v>9</v>
      </c>
    </row>
    <row r="77">
      <c r="A77" s="8" t="n">
        <v>74</v>
      </c>
      <c r="B77" s="9" t="n">
        <v>9.1</v>
      </c>
    </row>
    <row r="78">
      <c r="A78" s="8" t="n">
        <v>75</v>
      </c>
      <c r="B78" s="9" t="n">
        <v>9.199999999999999</v>
      </c>
    </row>
    <row r="79">
      <c r="A79" s="8" t="n">
        <v>76</v>
      </c>
      <c r="B79" s="9" t="n">
        <v>9.4</v>
      </c>
    </row>
    <row r="80">
      <c r="A80" s="8" t="n">
        <v>77</v>
      </c>
      <c r="B80" s="9" t="n">
        <v>9.5</v>
      </c>
    </row>
    <row r="81">
      <c r="A81" s="8" t="n">
        <v>78</v>
      </c>
      <c r="B81" s="9" t="n">
        <v>9.6</v>
      </c>
    </row>
    <row r="82">
      <c r="A82" s="8" t="n">
        <v>79</v>
      </c>
      <c r="B82" s="9" t="n">
        <v>9.699999999999999</v>
      </c>
    </row>
    <row r="83">
      <c r="A83" s="8" t="n">
        <v>80</v>
      </c>
      <c r="B83" s="9" t="n">
        <v>9.800000000000001</v>
      </c>
    </row>
    <row r="84">
      <c r="A84" s="8" t="n">
        <v>81</v>
      </c>
      <c r="B84" s="9" t="n">
        <v>9.9</v>
      </c>
    </row>
    <row r="85">
      <c r="A85" s="8" t="n">
        <v>82</v>
      </c>
      <c r="B85" s="9" t="n">
        <v>10</v>
      </c>
    </row>
    <row r="86">
      <c r="A86" s="8" t="n">
        <v>83</v>
      </c>
      <c r="B86" s="9" t="n">
        <v>10.5</v>
      </c>
    </row>
    <row r="87">
      <c r="A87" s="8" t="n">
        <v>84</v>
      </c>
      <c r="B87" s="9" t="n">
        <v>10.7</v>
      </c>
    </row>
    <row r="88">
      <c r="A88" s="8" t="n">
        <v>85</v>
      </c>
      <c r="B88" s="9" t="n">
        <v>10.9</v>
      </c>
    </row>
    <row r="89">
      <c r="A89" s="8" t="n">
        <v>86</v>
      </c>
      <c r="B89" s="9" t="n">
        <v>11</v>
      </c>
    </row>
    <row r="90">
      <c r="A90" s="8" t="n">
        <v>87</v>
      </c>
      <c r="B90" s="9" t="n">
        <v>11.2</v>
      </c>
    </row>
    <row r="91">
      <c r="A91" s="8" t="n">
        <v>88</v>
      </c>
      <c r="B91" s="9" t="n">
        <v>11.4</v>
      </c>
    </row>
    <row r="92">
      <c r="A92" s="8" t="n">
        <v>89</v>
      </c>
      <c r="B92" s="9" t="n">
        <v>11.6</v>
      </c>
    </row>
    <row r="93">
      <c r="A93" s="8" t="n">
        <v>90</v>
      </c>
      <c r="B93" s="9" t="n">
        <v>12</v>
      </c>
    </row>
    <row r="94">
      <c r="A94" s="8" t="n">
        <v>91</v>
      </c>
      <c r="B94" s="9" t="n">
        <v>12.2</v>
      </c>
    </row>
    <row r="95">
      <c r="A95" s="8" t="n">
        <v>92</v>
      </c>
      <c r="B95" s="9" t="n">
        <v>12.5</v>
      </c>
    </row>
    <row r="96">
      <c r="A96" s="8" t="n">
        <v>93</v>
      </c>
      <c r="B96" s="9" t="n">
        <v>13</v>
      </c>
    </row>
    <row r="97">
      <c r="A97" s="8" t="n">
        <v>94</v>
      </c>
      <c r="B97" s="9" t="n">
        <v>13.2</v>
      </c>
    </row>
    <row r="98">
      <c r="A98" s="8" t="n">
        <v>95</v>
      </c>
      <c r="B98" s="9" t="n">
        <v>13.4</v>
      </c>
    </row>
    <row r="99">
      <c r="A99" s="8" t="n">
        <v>96</v>
      </c>
      <c r="B99" s="9" t="n">
        <v>13.9</v>
      </c>
    </row>
    <row r="100">
      <c r="A100" s="8" t="n">
        <v>97</v>
      </c>
      <c r="B100" s="9" t="n">
        <v>13.95</v>
      </c>
    </row>
    <row r="101">
      <c r="A101" s="8" t="n">
        <v>98</v>
      </c>
      <c r="B101" s="9" t="n">
        <v>14</v>
      </c>
    </row>
    <row r="102">
      <c r="A102" s="8" t="n">
        <v>99</v>
      </c>
      <c r="B102" s="9" t="n">
        <v>14.3</v>
      </c>
    </row>
    <row r="103">
      <c r="A103" s="8" t="n">
        <v>100</v>
      </c>
      <c r="B103" s="9" t="n">
        <v>14.5</v>
      </c>
    </row>
    <row r="104">
      <c r="A104" s="8" t="n">
        <v>101</v>
      </c>
      <c r="B104" s="9" t="n">
        <v>14.6</v>
      </c>
    </row>
    <row r="105">
      <c r="A105" s="8" t="n">
        <v>102</v>
      </c>
      <c r="B105" s="9" t="n">
        <v>14.9</v>
      </c>
    </row>
    <row r="106">
      <c r="A106" s="8" t="n">
        <v>103</v>
      </c>
      <c r="B106" s="9" t="n">
        <v>15</v>
      </c>
    </row>
    <row r="107">
      <c r="A107" s="8" t="n">
        <v>104</v>
      </c>
      <c r="B107" s="9" t="n">
        <v>15.2</v>
      </c>
    </row>
    <row r="108">
      <c r="A108" s="8" t="n">
        <v>105</v>
      </c>
      <c r="B108" s="9" t="n">
        <v>15.6</v>
      </c>
    </row>
    <row r="109">
      <c r="A109" s="8" t="n">
        <v>106</v>
      </c>
      <c r="B109" s="9" t="n">
        <v>15.9</v>
      </c>
    </row>
    <row r="110">
      <c r="A110" s="8" t="n">
        <v>107</v>
      </c>
      <c r="B110" s="9" t="n">
        <v>16</v>
      </c>
    </row>
    <row r="111">
      <c r="A111" s="8" t="n">
        <v>108</v>
      </c>
      <c r="B111" s="9" t="n">
        <v>16.4</v>
      </c>
    </row>
    <row r="112">
      <c r="A112" s="8" t="n">
        <v>109</v>
      </c>
      <c r="B112" s="9" t="n">
        <v>16.5</v>
      </c>
    </row>
    <row r="113">
      <c r="A113" s="8" t="n">
        <v>110</v>
      </c>
      <c r="B113" s="9" t="n">
        <v>16.8</v>
      </c>
    </row>
    <row r="114">
      <c r="A114" s="8" t="n">
        <v>111</v>
      </c>
      <c r="B114" s="9" t="n">
        <v>16.9</v>
      </c>
    </row>
    <row r="115">
      <c r="A115" s="8" t="n">
        <v>112</v>
      </c>
      <c r="B115" s="9" t="n">
        <v>17</v>
      </c>
    </row>
    <row r="116">
      <c r="A116" s="8" t="n">
        <v>113</v>
      </c>
      <c r="B116" s="9" t="n">
        <v>17.1</v>
      </c>
    </row>
    <row r="117">
      <c r="A117" s="8" t="n">
        <v>114</v>
      </c>
      <c r="B117" s="9" t="n">
        <v>17.25</v>
      </c>
    </row>
    <row r="118">
      <c r="A118" s="8" t="n">
        <v>115</v>
      </c>
      <c r="B118" s="9" t="n">
        <v>17.55</v>
      </c>
    </row>
    <row r="119">
      <c r="A119" s="8" t="n">
        <v>116</v>
      </c>
      <c r="B119" s="9" t="n">
        <v>17.6</v>
      </c>
    </row>
    <row r="120">
      <c r="A120" s="8" t="n">
        <v>117</v>
      </c>
      <c r="B120" s="9" t="n">
        <v>17.7</v>
      </c>
    </row>
    <row r="121">
      <c r="A121" s="8" t="n">
        <v>118</v>
      </c>
      <c r="B121" s="9" t="n">
        <v>17.9</v>
      </c>
    </row>
    <row r="122">
      <c r="A122" s="8" t="n">
        <v>119</v>
      </c>
      <c r="B122" s="9" t="n">
        <v>18</v>
      </c>
    </row>
    <row r="123">
      <c r="A123" s="8" t="n">
        <v>120</v>
      </c>
      <c r="B123" s="9" t="n">
        <v>18.2</v>
      </c>
    </row>
    <row r="124">
      <c r="A124" s="8" t="n">
        <v>121</v>
      </c>
      <c r="B124" s="9" t="n">
        <v>18.4</v>
      </c>
    </row>
    <row r="125">
      <c r="A125" s="8" t="n">
        <v>122</v>
      </c>
      <c r="B125" s="9" t="n">
        <v>18.5</v>
      </c>
    </row>
    <row r="126">
      <c r="A126" s="8" t="n">
        <v>123</v>
      </c>
      <c r="B126" s="9" t="n">
        <v>18.6</v>
      </c>
    </row>
    <row r="127">
      <c r="A127" s="8" t="n">
        <v>124</v>
      </c>
      <c r="B127" s="9" t="n">
        <v>18.7</v>
      </c>
    </row>
    <row r="128">
      <c r="A128" s="8" t="n">
        <v>125</v>
      </c>
      <c r="B128" s="9" t="n">
        <v>18.9</v>
      </c>
    </row>
    <row r="129">
      <c r="A129" s="8" t="n">
        <v>126</v>
      </c>
      <c r="B129" s="9" t="n">
        <v>19</v>
      </c>
    </row>
    <row r="130">
      <c r="A130" s="8" t="n">
        <v>127</v>
      </c>
      <c r="B130" s="9" t="n">
        <v>19.7</v>
      </c>
    </row>
    <row r="131">
      <c r="A131" s="8" t="n">
        <v>128</v>
      </c>
      <c r="B131" s="9" t="n">
        <v>19.8</v>
      </c>
    </row>
    <row r="132">
      <c r="A132" s="8" t="n">
        <v>129</v>
      </c>
      <c r="B132" s="9" t="n">
        <v>19.9</v>
      </c>
    </row>
    <row r="133">
      <c r="A133" s="8" t="n">
        <v>130</v>
      </c>
      <c r="B133" s="9" t="n">
        <v>20</v>
      </c>
    </row>
    <row r="134">
      <c r="A134" s="8" t="n">
        <v>131</v>
      </c>
      <c r="B134" s="9" t="n">
        <v>20.3</v>
      </c>
    </row>
    <row r="135">
      <c r="A135" s="8" t="n">
        <v>132</v>
      </c>
      <c r="B135" s="9" t="n">
        <v>20.4</v>
      </c>
    </row>
    <row r="136">
      <c r="A136" s="8" t="n">
        <v>133</v>
      </c>
      <c r="B136" s="9" t="n">
        <v>20.7</v>
      </c>
    </row>
    <row r="137">
      <c r="A137" s="8" t="n">
        <v>134</v>
      </c>
      <c r="B137" s="9" t="n">
        <v>20.9</v>
      </c>
    </row>
    <row r="138">
      <c r="A138" s="8" t="n">
        <v>135</v>
      </c>
      <c r="B138" s="9" t="n">
        <v>21</v>
      </c>
    </row>
    <row r="139">
      <c r="A139" s="8" t="n">
        <v>136</v>
      </c>
      <c r="B139" s="9" t="n">
        <v>21.1</v>
      </c>
    </row>
    <row r="140">
      <c r="A140" s="8" t="n">
        <v>137</v>
      </c>
      <c r="B140" s="9" t="n">
        <v>21.6</v>
      </c>
    </row>
    <row r="141">
      <c r="A141" s="8" t="n">
        <v>138</v>
      </c>
      <c r="B141" s="9" t="n">
        <v>21.9</v>
      </c>
    </row>
    <row r="142">
      <c r="A142" s="8" t="n">
        <v>139</v>
      </c>
      <c r="B142" s="9" t="n">
        <v>22.8</v>
      </c>
    </row>
    <row r="143">
      <c r="A143" s="8" t="n">
        <v>140</v>
      </c>
      <c r="B143" s="9" t="n">
        <v>22.9</v>
      </c>
    </row>
    <row r="144">
      <c r="A144" s="8" t="n">
        <v>141</v>
      </c>
      <c r="B144" s="9" t="n">
        <v>23</v>
      </c>
    </row>
    <row r="145">
      <c r="A145" s="8" t="n">
        <v>142</v>
      </c>
      <c r="B145" s="9" t="n">
        <v>23.05</v>
      </c>
    </row>
    <row r="146">
      <c r="A146" s="8" t="n">
        <v>143</v>
      </c>
      <c r="B146" s="9" t="n">
        <v>23.43</v>
      </c>
    </row>
    <row r="147">
      <c r="A147" s="8" t="n">
        <v>144</v>
      </c>
      <c r="B147" s="9" t="n">
        <v>23.44</v>
      </c>
    </row>
    <row r="148">
      <c r="A148" s="8" t="n">
        <v>145</v>
      </c>
      <c r="B148" s="9" t="n">
        <v>23.65</v>
      </c>
    </row>
    <row r="149">
      <c r="A149" s="8" t="n">
        <v>146</v>
      </c>
      <c r="B149" s="9" t="n">
        <v>23.8</v>
      </c>
    </row>
    <row r="150">
      <c r="A150" s="8" t="n">
        <v>147</v>
      </c>
      <c r="B150" s="9" t="n">
        <v>23.82</v>
      </c>
    </row>
    <row r="151">
      <c r="A151" s="8" t="n">
        <v>148</v>
      </c>
      <c r="B151" s="9" t="n">
        <v>23.83</v>
      </c>
    </row>
    <row r="152">
      <c r="A152" s="8" t="n">
        <v>149</v>
      </c>
      <c r="B152" s="9" t="n">
        <v>23.85</v>
      </c>
    </row>
    <row r="153">
      <c r="A153" s="8" t="n">
        <v>150</v>
      </c>
      <c r="B153" s="9" t="n">
        <v>24</v>
      </c>
    </row>
    <row r="154">
      <c r="A154" s="8" t="n">
        <v>151</v>
      </c>
      <c r="B154" s="9" t="n">
        <v>24.6</v>
      </c>
    </row>
    <row r="155">
      <c r="A155" s="8" t="n">
        <v>152</v>
      </c>
      <c r="B155" s="9" t="n">
        <v>24.8</v>
      </c>
    </row>
    <row r="156">
      <c r="A156" s="8" t="n">
        <v>153</v>
      </c>
      <c r="B156" s="9" t="n">
        <v>24.9</v>
      </c>
    </row>
    <row r="157">
      <c r="A157" s="8" t="n">
        <v>154</v>
      </c>
      <c r="B157" s="9" t="n">
        <v>25</v>
      </c>
    </row>
    <row r="158">
      <c r="A158" s="8" t="n">
        <v>155</v>
      </c>
      <c r="B158" s="9" t="n">
        <v>25.1</v>
      </c>
    </row>
    <row r="159">
      <c r="A159" s="8" t="n">
        <v>156</v>
      </c>
      <c r="B159" s="9" t="n">
        <v>25.2</v>
      </c>
    </row>
    <row r="160">
      <c r="A160" s="8" t="n">
        <v>157</v>
      </c>
      <c r="B160" s="9" t="n">
        <v>25.33</v>
      </c>
    </row>
    <row r="161">
      <c r="A161" s="8" t="n">
        <v>158</v>
      </c>
      <c r="B161" s="9" t="n">
        <v>25.34</v>
      </c>
    </row>
    <row r="162">
      <c r="A162" s="8" t="n">
        <v>159</v>
      </c>
      <c r="B162" s="9" t="n">
        <v>25.4</v>
      </c>
    </row>
    <row r="163">
      <c r="A163" s="8" t="n">
        <v>160</v>
      </c>
      <c r="B163" s="9" t="n">
        <v>25.65</v>
      </c>
    </row>
    <row r="164">
      <c r="A164" s="8" t="n">
        <v>161</v>
      </c>
      <c r="B164" s="9" t="n">
        <v>25.9</v>
      </c>
    </row>
    <row r="165">
      <c r="A165" s="8" t="n">
        <v>162</v>
      </c>
      <c r="B165" s="9" t="n">
        <v>26</v>
      </c>
    </row>
    <row r="166">
      <c r="A166" s="8" t="n">
        <v>163</v>
      </c>
      <c r="B166" s="9" t="n">
        <v>26.38</v>
      </c>
    </row>
    <row r="167">
      <c r="A167" s="8" t="n">
        <v>164</v>
      </c>
      <c r="B167" s="9" t="n">
        <v>26.7</v>
      </c>
    </row>
    <row r="168">
      <c r="A168" s="8" t="n">
        <v>165</v>
      </c>
      <c r="B168" s="9" t="n">
        <v>26.75</v>
      </c>
    </row>
    <row r="169">
      <c r="A169" s="8" t="n">
        <v>166</v>
      </c>
      <c r="B169" s="9" t="n">
        <v>26.8</v>
      </c>
    </row>
    <row r="170">
      <c r="A170" s="8" t="n">
        <v>167</v>
      </c>
      <c r="B170" s="9" t="n">
        <v>26.9</v>
      </c>
    </row>
    <row r="171">
      <c r="A171" s="8" t="n">
        <v>168</v>
      </c>
      <c r="B171" s="9" t="n">
        <v>27</v>
      </c>
    </row>
    <row r="172">
      <c r="A172" s="8" t="n">
        <v>169</v>
      </c>
      <c r="B172" s="9" t="n">
        <v>27.2</v>
      </c>
    </row>
    <row r="173">
      <c r="A173" s="8" t="n">
        <v>170</v>
      </c>
      <c r="B173" s="9" t="n">
        <v>27.46</v>
      </c>
    </row>
    <row r="174">
      <c r="A174" s="8" t="n">
        <v>171</v>
      </c>
      <c r="B174" s="9" t="n">
        <v>27.5</v>
      </c>
    </row>
    <row r="175">
      <c r="A175" s="8" t="n">
        <v>172</v>
      </c>
      <c r="B175" s="9" t="n">
        <v>27.8</v>
      </c>
    </row>
    <row r="176">
      <c r="A176" s="8" t="n">
        <v>173</v>
      </c>
      <c r="B176" s="9" t="n">
        <v>27.85</v>
      </c>
    </row>
    <row r="177">
      <c r="A177" s="8" t="n">
        <v>174</v>
      </c>
      <c r="B177" s="9" t="n">
        <v>28</v>
      </c>
    </row>
    <row r="178">
      <c r="A178" s="8" t="n">
        <v>175</v>
      </c>
      <c r="B178" s="9" t="n">
        <v>28.55</v>
      </c>
    </row>
    <row r="179">
      <c r="A179" s="8" t="n">
        <v>176</v>
      </c>
      <c r="B179" s="9" t="n">
        <v>28.6</v>
      </c>
    </row>
    <row r="180">
      <c r="A180" s="8" t="n">
        <v>177</v>
      </c>
      <c r="B180" s="9" t="n">
        <v>29</v>
      </c>
    </row>
    <row r="181">
      <c r="A181" s="8" t="n">
        <v>178</v>
      </c>
      <c r="B181" s="9" t="n">
        <v>29.6</v>
      </c>
    </row>
    <row r="182">
      <c r="A182" s="8" t="n">
        <v>179</v>
      </c>
      <c r="B182" s="9" t="n">
        <v>29.75</v>
      </c>
    </row>
    <row r="183">
      <c r="A183" s="8" t="n">
        <v>180</v>
      </c>
      <c r="B183" s="9" t="n">
        <v>29.9</v>
      </c>
    </row>
    <row r="184">
      <c r="A184" s="8" t="n">
        <v>181</v>
      </c>
      <c r="B184" s="9" t="n">
        <v>30</v>
      </c>
    </row>
    <row r="185">
      <c r="A185" s="8" t="n">
        <v>182</v>
      </c>
      <c r="B185" s="9" t="n">
        <v>30.05</v>
      </c>
    </row>
    <row r="186">
      <c r="A186" s="8" t="n">
        <v>183</v>
      </c>
      <c r="B186" s="9" t="n">
        <v>30.2</v>
      </c>
    </row>
    <row r="187">
      <c r="A187" s="8" t="n">
        <v>184</v>
      </c>
      <c r="B187" s="9" t="n">
        <v>30.5</v>
      </c>
    </row>
    <row r="188">
      <c r="A188" s="8" t="n">
        <v>185</v>
      </c>
      <c r="B188" s="9" t="n">
        <v>30.7</v>
      </c>
    </row>
    <row r="189">
      <c r="A189" s="8" t="n">
        <v>186</v>
      </c>
      <c r="B189" s="9" t="n">
        <v>31.05</v>
      </c>
    </row>
    <row r="190">
      <c r="A190" s="8" t="n">
        <v>187</v>
      </c>
      <c r="B190" s="9" t="n">
        <v>31.7</v>
      </c>
    </row>
    <row r="191">
      <c r="A191" s="8" t="n">
        <v>188</v>
      </c>
      <c r="B191" s="9" t="n">
        <v>31.8</v>
      </c>
    </row>
    <row r="192">
      <c r="A192" s="8" t="n">
        <v>189</v>
      </c>
      <c r="B192" s="9" t="n">
        <v>32</v>
      </c>
    </row>
    <row r="193">
      <c r="A193" s="8" t="n">
        <v>190</v>
      </c>
      <c r="B193" s="9" t="n">
        <v>32.1</v>
      </c>
    </row>
    <row r="194">
      <c r="A194" s="8" t="n">
        <v>191</v>
      </c>
      <c r="B194" s="9" t="n">
        <v>32.35</v>
      </c>
    </row>
    <row r="195">
      <c r="A195" s="8" t="n">
        <v>192</v>
      </c>
      <c r="B195" s="9" t="n">
        <v>32.6</v>
      </c>
    </row>
    <row r="196">
      <c r="A196" s="8" t="n">
        <v>193</v>
      </c>
      <c r="B196" s="9" t="n">
        <v>32.65</v>
      </c>
    </row>
    <row r="197">
      <c r="A197" s="8" t="n">
        <v>194</v>
      </c>
      <c r="B197" s="9" t="n">
        <v>33</v>
      </c>
    </row>
    <row r="198">
      <c r="A198" s="8" t="n">
        <v>195</v>
      </c>
      <c r="B198" s="9" t="n">
        <v>33.1</v>
      </c>
    </row>
    <row r="199">
      <c r="A199" s="8" t="n">
        <v>196</v>
      </c>
      <c r="B199" s="9" t="n">
        <v>33.3</v>
      </c>
    </row>
    <row r="200">
      <c r="A200" s="8" t="n">
        <v>197</v>
      </c>
      <c r="B200" s="9" t="n">
        <v>33.6</v>
      </c>
    </row>
    <row r="201">
      <c r="A201" s="8" t="n">
        <v>198</v>
      </c>
      <c r="B201" s="9" t="n">
        <v>33.75</v>
      </c>
    </row>
    <row r="202">
      <c r="A202" s="8" t="n">
        <v>199</v>
      </c>
      <c r="B202" s="9" t="n">
        <v>34</v>
      </c>
    </row>
    <row r="203">
      <c r="A203" s="8" t="n">
        <v>200</v>
      </c>
      <c r="B203" s="9" t="n">
        <v>34.1</v>
      </c>
    </row>
    <row r="204">
      <c r="A204" s="8" t="n">
        <v>201</v>
      </c>
      <c r="B204" s="9" t="n">
        <v>34.66</v>
      </c>
    </row>
    <row r="205">
      <c r="A205" s="8" t="n">
        <v>202</v>
      </c>
      <c r="B205" s="9" t="n">
        <v>34.8</v>
      </c>
    </row>
    <row r="206">
      <c r="A206" s="8" t="n">
        <v>203</v>
      </c>
      <c r="B206" s="9" t="n">
        <v>34.9</v>
      </c>
    </row>
    <row r="207">
      <c r="A207" s="8" t="n">
        <v>204</v>
      </c>
      <c r="B207" s="9" t="n">
        <v>35</v>
      </c>
    </row>
    <row r="208">
      <c r="A208" s="8" t="n">
        <v>205</v>
      </c>
      <c r="B208" s="9" t="n">
        <v>35.25</v>
      </c>
    </row>
    <row r="209">
      <c r="A209" s="8" t="n">
        <v>206</v>
      </c>
      <c r="B209" s="9" t="n">
        <v>36</v>
      </c>
    </row>
    <row r="210">
      <c r="A210" s="8" t="n">
        <v>207</v>
      </c>
      <c r="B210" s="9" t="n">
        <v>36.05</v>
      </c>
    </row>
    <row r="211">
      <c r="A211" s="8" t="n">
        <v>208</v>
      </c>
      <c r="B211" s="9" t="n">
        <v>36.3</v>
      </c>
    </row>
    <row r="212">
      <c r="A212" s="8" t="n">
        <v>209</v>
      </c>
      <c r="B212" s="9" t="n">
        <v>36.55</v>
      </c>
    </row>
    <row r="213">
      <c r="A213" s="8" t="n">
        <v>210</v>
      </c>
      <c r="B213" s="9" t="n">
        <v>36.6</v>
      </c>
    </row>
    <row r="214">
      <c r="A214" s="8" t="n">
        <v>211</v>
      </c>
      <c r="B214" s="9" t="n">
        <v>37.25</v>
      </c>
    </row>
    <row r="215">
      <c r="A215" s="8" t="n">
        <v>212</v>
      </c>
      <c r="B215" s="9" t="n">
        <v>37.42</v>
      </c>
    </row>
    <row r="216">
      <c r="A216" s="8" t="n">
        <v>213</v>
      </c>
      <c r="B216" s="9" t="n">
        <v>38.3</v>
      </c>
    </row>
    <row r="217">
      <c r="A217" s="8" t="n">
        <v>214</v>
      </c>
      <c r="B217" s="9" t="n">
        <v>38.45</v>
      </c>
    </row>
    <row r="218">
      <c r="A218" s="8" t="n">
        <v>215</v>
      </c>
      <c r="B218" s="9" t="n">
        <v>38.9</v>
      </c>
    </row>
    <row r="219">
      <c r="A219" s="8" t="n">
        <v>216</v>
      </c>
      <c r="B219" s="9" t="n">
        <v>39.2</v>
      </c>
    </row>
    <row r="220">
      <c r="A220" s="8" t="n">
        <v>217</v>
      </c>
      <c r="B220" s="9" t="n">
        <v>39.5</v>
      </c>
    </row>
    <row r="221">
      <c r="A221" s="8" t="n">
        <v>218</v>
      </c>
      <c r="B221" s="9" t="n">
        <v>39.8</v>
      </c>
    </row>
    <row r="222">
      <c r="A222" s="8" t="n">
        <v>219</v>
      </c>
      <c r="B222" s="9" t="n">
        <v>40</v>
      </c>
    </row>
    <row r="223">
      <c r="A223" s="8" t="n">
        <v>220</v>
      </c>
      <c r="B223" s="9" t="n">
        <v>40.9</v>
      </c>
    </row>
    <row r="224">
      <c r="A224" s="8" t="n">
        <v>221</v>
      </c>
      <c r="B224" s="9" t="n">
        <v>41</v>
      </c>
    </row>
    <row r="225">
      <c r="A225" s="8" t="n">
        <v>222</v>
      </c>
      <c r="B225" s="9" t="n">
        <v>41.1</v>
      </c>
    </row>
    <row r="226">
      <c r="A226" s="8" t="n">
        <v>223</v>
      </c>
      <c r="B226" s="9" t="n">
        <v>41.25</v>
      </c>
    </row>
    <row r="227">
      <c r="A227" s="8" t="n">
        <v>224</v>
      </c>
      <c r="B227" s="9" t="n">
        <v>41.85</v>
      </c>
    </row>
    <row r="228">
      <c r="A228" s="8" t="n">
        <v>225</v>
      </c>
      <c r="B228" s="9" t="n">
        <v>42.2</v>
      </c>
    </row>
    <row r="229">
      <c r="A229" s="8" t="n">
        <v>226</v>
      </c>
      <c r="B229" s="9" t="n">
        <v>43.75</v>
      </c>
    </row>
    <row r="230">
      <c r="A230" s="8" t="n">
        <v>227</v>
      </c>
      <c r="B230" s="9" t="n">
        <v>43.8</v>
      </c>
    </row>
    <row r="231">
      <c r="A231" s="8" t="n">
        <v>228</v>
      </c>
      <c r="B231" s="9" t="n">
        <v>44.5</v>
      </c>
    </row>
    <row r="232">
      <c r="A232" s="8" t="n">
        <v>229</v>
      </c>
      <c r="B232" s="9" t="n">
        <v>44.65</v>
      </c>
    </row>
    <row r="233">
      <c r="A233" s="8" t="n">
        <v>230</v>
      </c>
      <c r="B233" s="9" t="n">
        <v>45</v>
      </c>
    </row>
    <row r="234">
      <c r="A234" s="8" t="n">
        <v>231</v>
      </c>
      <c r="B234" s="9" t="n">
        <v>46.9</v>
      </c>
    </row>
    <row r="235">
      <c r="A235" s="8" t="n">
        <v>232</v>
      </c>
      <c r="B235" s="9" t="n">
        <v>47.1</v>
      </c>
    </row>
    <row r="236">
      <c r="A236" s="8" t="n">
        <v>233</v>
      </c>
      <c r="B236" s="9" t="n">
        <v>48.1</v>
      </c>
    </row>
    <row r="237">
      <c r="A237" s="8" t="n">
        <v>234</v>
      </c>
      <c r="B237" s="9" t="n">
        <v>48.55</v>
      </c>
    </row>
    <row r="238">
      <c r="A238" s="8" t="n">
        <v>235</v>
      </c>
      <c r="B238" s="9" t="n">
        <v>49.2</v>
      </c>
    </row>
    <row r="239">
      <c r="A239" s="8" t="n">
        <v>236</v>
      </c>
      <c r="B239" s="9" t="n">
        <v>49.8</v>
      </c>
    </row>
    <row r="240">
      <c r="A240" s="8" t="n">
        <v>237</v>
      </c>
      <c r="B240" s="9" t="n">
        <v>50</v>
      </c>
    </row>
    <row r="241">
      <c r="A241" s="8" t="n">
        <v>238</v>
      </c>
      <c r="B241" s="9" t="n">
        <v>51.75</v>
      </c>
    </row>
    <row r="242">
      <c r="A242" s="8" t="n">
        <v>239</v>
      </c>
      <c r="B242" s="9" t="n">
        <v>52.6</v>
      </c>
    </row>
    <row r="243">
      <c r="A243" s="8" t="n">
        <v>240</v>
      </c>
      <c r="B243" s="9" t="n">
        <v>53.8</v>
      </c>
    </row>
    <row r="244">
      <c r="A244" s="8" t="n">
        <v>241</v>
      </c>
      <c r="B244" s="9" t="n">
        <v>54.1</v>
      </c>
    </row>
    <row r="245">
      <c r="A245" s="8" t="n">
        <v>242</v>
      </c>
      <c r="B245" s="9" t="n">
        <v>54.25</v>
      </c>
    </row>
    <row r="246">
      <c r="A246" s="8" t="n">
        <v>243</v>
      </c>
      <c r="B246" s="9" t="n">
        <v>55</v>
      </c>
    </row>
    <row r="247">
      <c r="A247" s="8" t="n">
        <v>244</v>
      </c>
      <c r="B247" s="9" t="n">
        <v>62.34</v>
      </c>
    </row>
    <row r="248">
      <c r="A248" s="8" t="n">
        <v>245</v>
      </c>
      <c r="B248" s="9" t="n">
        <v>63</v>
      </c>
    </row>
    <row r="249">
      <c r="A249" s="8" t="n">
        <v>246</v>
      </c>
      <c r="B249" s="9" t="n">
        <v>64</v>
      </c>
    </row>
    <row r="250">
      <c r="A250" s="8" t="n">
        <v>247</v>
      </c>
      <c r="B250" s="9" t="n">
        <v>66.3</v>
      </c>
    </row>
    <row r="251">
      <c r="A251" s="8" t="n">
        <v>248</v>
      </c>
      <c r="B251" s="9" t="n">
        <v>67</v>
      </c>
    </row>
    <row r="252">
      <c r="A252" s="8" t="n">
        <v>249</v>
      </c>
      <c r="B252" s="9" t="n">
        <v>67.09999999999999</v>
      </c>
    </row>
    <row r="253">
      <c r="A253" s="8" t="n">
        <v>250</v>
      </c>
      <c r="B253" s="9" t="n">
        <v>70.59999999999999</v>
      </c>
    </row>
    <row r="254">
      <c r="A254" s="8" t="n">
        <v>251</v>
      </c>
      <c r="B254" s="9" t="n">
        <v>72.59999999999999</v>
      </c>
    </row>
    <row r="255">
      <c r="A255" s="8" t="n">
        <v>252</v>
      </c>
      <c r="B255" s="9" t="n">
        <v>75.5</v>
      </c>
    </row>
    <row r="256">
      <c r="A256" s="8" t="n">
        <v>253</v>
      </c>
      <c r="B256" s="9" t="n">
        <v>76.2</v>
      </c>
    </row>
    <row r="257">
      <c r="A257" s="8" t="n">
        <v>254</v>
      </c>
      <c r="B257" s="9" t="n">
        <v>85</v>
      </c>
    </row>
    <row r="258">
      <c r="A258" s="8" t="n">
        <v>255</v>
      </c>
      <c r="B258" s="9" t="n">
        <v>92</v>
      </c>
    </row>
    <row r="259">
      <c r="A259" s="8" t="n">
        <v>256</v>
      </c>
      <c r="B259" s="9" t="n">
        <v>95.3</v>
      </c>
    </row>
    <row r="260">
      <c r="A260" s="8" t="n">
        <v>257</v>
      </c>
      <c r="B260" s="9" t="n">
        <v>95.40000000000001</v>
      </c>
    </row>
    <row r="261">
      <c r="A261" s="8" t="n">
        <v>258</v>
      </c>
      <c r="B261" s="9" t="n">
        <v>100</v>
      </c>
    </row>
    <row r="263">
      <c r="A263" s="2" t="inlineStr">
        <is>
          <t>Nombre de prix distincts :</t>
        </is>
      </c>
      <c r="B263" s="2">
        <f>COUNT($B$4:$B$261)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0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9" customWidth="1" min="5" max="5"/>
    <col width="13" customWidth="1" min="6" max="6"/>
    <col width="8" customWidth="1" min="7" max="7"/>
    <col width="12" customWidth="1" min="8" max="8"/>
    <col width="12" customWidth="1" min="9" max="9"/>
    <col width="11" customWidth="1" min="10" max="10"/>
  </cols>
  <sheetData>
    <row r="1">
      <c r="A1" s="2" t="inlineStr">
        <is>
          <t>Lignes « DEL » 2022-2023 (ANNEXE-E1, pied « Nb lignes » écarté)</t>
        </is>
      </c>
    </row>
    <row r="2">
      <c r="A2" s="5" t="inlineStr">
        <is>
          <t>dateEven</t>
        </is>
      </c>
      <c r="B2" s="5" t="inlineStr">
        <is>
          <t>heureEven</t>
        </is>
      </c>
      <c r="C2" s="5" t="inlineStr">
        <is>
          <t>no_zEport</t>
        </is>
      </c>
      <c r="D2" s="5" t="inlineStr">
        <is>
          <t>amount (€)</t>
        </is>
      </c>
      <c r="E2" s="5" t="inlineStr">
        <is>
          <t>id</t>
        </is>
      </c>
      <c r="F2" s="5" t="inlineStr">
        <is>
          <t>base_price (€)</t>
        </is>
      </c>
      <c r="G2" s="5" t="inlineStr">
        <is>
          <t>mult_k</t>
        </is>
      </c>
      <c r="H2" s="5" t="inlineStr">
        <is>
          <t>verif</t>
        </is>
      </c>
      <c r="I2" s="5" t="inlineStr">
        <is>
          <t>egal_montant</t>
        </is>
      </c>
      <c r="J2" s="5" t="inlineStr">
        <is>
          <t>categorie</t>
        </is>
      </c>
    </row>
    <row r="3">
      <c r="A3" t="inlineStr">
        <is>
          <t>2022-04-14</t>
        </is>
      </c>
      <c r="B3" t="inlineStr">
        <is>
          <t>11:26</t>
        </is>
      </c>
      <c r="C3" t="n">
        <v>2938</v>
      </c>
      <c r="D3" s="6" t="n">
        <v>19</v>
      </c>
      <c r="E3" t="n">
        <v>36682</v>
      </c>
      <c r="F3" s="6" t="n">
        <v>19</v>
      </c>
      <c r="G3" t="n">
        <v>1</v>
      </c>
      <c r="H3" s="6">
        <f>ROUND(G3*F3,2)</f>
        <v/>
      </c>
      <c r="I3">
        <f>IF(ROUND(H3-D3,2)=0,1,0)</f>
        <v/>
      </c>
      <c r="J3">
        <f>IF(F3="","none",IF(G3=1,"carte","multiple"))</f>
        <v/>
      </c>
    </row>
    <row r="4">
      <c r="A4" t="inlineStr">
        <is>
          <t>2022-04-14</t>
        </is>
      </c>
      <c r="B4" t="inlineStr">
        <is>
          <t>11:59</t>
        </is>
      </c>
      <c r="C4" t="n">
        <v>2938</v>
      </c>
      <c r="D4" s="6" t="n">
        <v>3.4</v>
      </c>
      <c r="E4" t="n">
        <v>36683</v>
      </c>
      <c r="F4" s="6" t="n">
        <v>3.4</v>
      </c>
      <c r="G4" t="n">
        <v>1</v>
      </c>
      <c r="H4" s="6">
        <f>ROUND(G4*F4,2)</f>
        <v/>
      </c>
      <c r="I4">
        <f>IF(ROUND(H4-D4,2)=0,1,0)</f>
        <v/>
      </c>
      <c r="J4">
        <f>IF(F4="","none",IF(G4=1,"carte","multiple"))</f>
        <v/>
      </c>
    </row>
    <row r="5">
      <c r="A5" t="inlineStr">
        <is>
          <t>2022-04-14</t>
        </is>
      </c>
      <c r="B5" t="inlineStr">
        <is>
          <t>12:06</t>
        </is>
      </c>
      <c r="C5" t="n">
        <v>2938</v>
      </c>
      <c r="D5" s="6" t="n">
        <v>19.9</v>
      </c>
      <c r="E5" t="n">
        <v>36684</v>
      </c>
      <c r="F5" s="6" t="n">
        <v>19.9</v>
      </c>
      <c r="G5" t="n">
        <v>1</v>
      </c>
      <c r="H5" s="6">
        <f>ROUND(G5*F5,2)</f>
        <v/>
      </c>
      <c r="I5">
        <f>IF(ROUND(H5-D5,2)=0,1,0)</f>
        <v/>
      </c>
      <c r="J5">
        <f>IF(F5="","none",IF(G5=1,"carte","multiple"))</f>
        <v/>
      </c>
    </row>
    <row r="6">
      <c r="A6" t="inlineStr">
        <is>
          <t>2022-04-14</t>
        </is>
      </c>
      <c r="B6" t="inlineStr">
        <is>
          <t>12:25</t>
        </is>
      </c>
      <c r="C6" t="n">
        <v>2938</v>
      </c>
      <c r="D6" s="6" t="n">
        <v>22</v>
      </c>
      <c r="E6" t="n">
        <v>36685</v>
      </c>
      <c r="F6" s="6" t="n">
        <v>0.4</v>
      </c>
      <c r="G6" t="n">
        <v>55</v>
      </c>
      <c r="H6" s="6">
        <f>ROUND(G6*F6,2)</f>
        <v/>
      </c>
      <c r="I6">
        <f>IF(ROUND(H6-D6,2)=0,1,0)</f>
        <v/>
      </c>
      <c r="J6">
        <f>IF(F6="","none",IF(G6=1,"carte","multiple"))</f>
        <v/>
      </c>
    </row>
    <row r="7">
      <c r="A7" t="inlineStr">
        <is>
          <t>2022-04-14</t>
        </is>
      </c>
      <c r="B7" t="inlineStr">
        <is>
          <t>12:25</t>
        </is>
      </c>
      <c r="C7" t="n">
        <v>2938</v>
      </c>
      <c r="D7" s="6" t="n">
        <v>3.9</v>
      </c>
      <c r="E7" t="n">
        <v>36686</v>
      </c>
      <c r="F7" s="6" t="n">
        <v>3.9</v>
      </c>
      <c r="G7" t="n">
        <v>1</v>
      </c>
      <c r="H7" s="6">
        <f>ROUND(G7*F7,2)</f>
        <v/>
      </c>
      <c r="I7">
        <f>IF(ROUND(H7-D7,2)=0,1,0)</f>
        <v/>
      </c>
      <c r="J7">
        <f>IF(F7="","none",IF(G7=1,"carte","multiple"))</f>
        <v/>
      </c>
    </row>
    <row r="8">
      <c r="A8" t="inlineStr">
        <is>
          <t>2022-04-14</t>
        </is>
      </c>
      <c r="B8" t="inlineStr">
        <is>
          <t>12:25</t>
        </is>
      </c>
      <c r="C8" t="n">
        <v>2938</v>
      </c>
      <c r="D8" s="6" t="n">
        <v>4</v>
      </c>
      <c r="E8" t="n">
        <v>36687</v>
      </c>
      <c r="F8" s="6" t="n">
        <v>4</v>
      </c>
      <c r="G8" t="n">
        <v>1</v>
      </c>
      <c r="H8" s="6">
        <f>ROUND(G8*F8,2)</f>
        <v/>
      </c>
      <c r="I8">
        <f>IF(ROUND(H8-D8,2)=0,1,0)</f>
        <v/>
      </c>
      <c r="J8">
        <f>IF(F8="","none",IF(G8=1,"carte","multiple"))</f>
        <v/>
      </c>
    </row>
    <row r="9">
      <c r="A9" t="inlineStr">
        <is>
          <t>2022-04-14</t>
        </is>
      </c>
      <c r="B9" t="inlineStr">
        <is>
          <t>13:35</t>
        </is>
      </c>
      <c r="C9" t="n">
        <v>2938</v>
      </c>
      <c r="D9" s="6" t="n">
        <v>7.6</v>
      </c>
      <c r="E9" t="n">
        <v>36688</v>
      </c>
      <c r="F9" s="6" t="n">
        <v>7.6</v>
      </c>
      <c r="G9" t="n">
        <v>1</v>
      </c>
      <c r="H9" s="6">
        <f>ROUND(G9*F9,2)</f>
        <v/>
      </c>
      <c r="I9">
        <f>IF(ROUND(H9-D9,2)=0,1,0)</f>
        <v/>
      </c>
      <c r="J9">
        <f>IF(F9="","none",IF(G9=1,"carte","multiple"))</f>
        <v/>
      </c>
    </row>
    <row r="10">
      <c r="A10" t="inlineStr">
        <is>
          <t>2022-04-14</t>
        </is>
      </c>
      <c r="B10" t="inlineStr">
        <is>
          <t>13:35</t>
        </is>
      </c>
      <c r="C10" t="n">
        <v>2938</v>
      </c>
      <c r="D10" s="6" t="n">
        <v>19</v>
      </c>
      <c r="E10" t="n">
        <v>36689</v>
      </c>
      <c r="F10" s="6" t="n">
        <v>19</v>
      </c>
      <c r="G10" t="n">
        <v>1</v>
      </c>
      <c r="H10" s="6">
        <f>ROUND(G10*F10,2)</f>
        <v/>
      </c>
      <c r="I10">
        <f>IF(ROUND(H10-D10,2)=0,1,0)</f>
        <v/>
      </c>
      <c r="J10">
        <f>IF(F10="","none",IF(G10=1,"carte","multiple"))</f>
        <v/>
      </c>
    </row>
    <row r="11">
      <c r="A11" t="inlineStr">
        <is>
          <t>2022-04-14</t>
        </is>
      </c>
      <c r="B11" t="inlineStr">
        <is>
          <t>13:35</t>
        </is>
      </c>
      <c r="C11" t="n">
        <v>2938</v>
      </c>
      <c r="D11" s="6" t="n">
        <v>17.6</v>
      </c>
      <c r="E11" t="n">
        <v>36690</v>
      </c>
      <c r="F11" s="6" t="n">
        <v>17.6</v>
      </c>
      <c r="G11" t="n">
        <v>1</v>
      </c>
      <c r="H11" s="6">
        <f>ROUND(G11*F11,2)</f>
        <v/>
      </c>
      <c r="I11">
        <f>IF(ROUND(H11-D11,2)=0,1,0)</f>
        <v/>
      </c>
      <c r="J11">
        <f>IF(F11="","none",IF(G11=1,"carte","multiple"))</f>
        <v/>
      </c>
    </row>
    <row r="12">
      <c r="A12" t="inlineStr">
        <is>
          <t>2022-04-14</t>
        </is>
      </c>
      <c r="B12" t="inlineStr">
        <is>
          <t>13:35</t>
        </is>
      </c>
      <c r="C12" t="n">
        <v>2938</v>
      </c>
      <c r="D12" s="6" t="n">
        <v>4.4</v>
      </c>
      <c r="E12" t="n">
        <v>36691</v>
      </c>
      <c r="F12" s="6" t="n">
        <v>0.4</v>
      </c>
      <c r="G12" t="n">
        <v>11</v>
      </c>
      <c r="H12" s="6">
        <f>ROUND(G12*F12,2)</f>
        <v/>
      </c>
      <c r="I12">
        <f>IF(ROUND(H12-D12,2)=0,1,0)</f>
        <v/>
      </c>
      <c r="J12">
        <f>IF(F12="","none",IF(G12=1,"carte","multiple"))</f>
        <v/>
      </c>
    </row>
    <row r="13">
      <c r="A13" t="inlineStr">
        <is>
          <t>2022-04-14</t>
        </is>
      </c>
      <c r="B13" t="inlineStr">
        <is>
          <t>18:35</t>
        </is>
      </c>
      <c r="C13" t="n">
        <v>2938</v>
      </c>
      <c r="D13" s="6" t="n">
        <v>16.9</v>
      </c>
      <c r="E13" t="n">
        <v>36693</v>
      </c>
      <c r="F13" s="6" t="n">
        <v>16.9</v>
      </c>
      <c r="G13" t="n">
        <v>1</v>
      </c>
      <c r="H13" s="6">
        <f>ROUND(G13*F13,2)</f>
        <v/>
      </c>
      <c r="I13">
        <f>IF(ROUND(H13-D13,2)=0,1,0)</f>
        <v/>
      </c>
      <c r="J13">
        <f>IF(F13="","none",IF(G13=1,"carte","multiple"))</f>
        <v/>
      </c>
    </row>
    <row r="14">
      <c r="A14" t="inlineStr">
        <is>
          <t>2022-04-14</t>
        </is>
      </c>
      <c r="B14" t="inlineStr">
        <is>
          <t>18:35</t>
        </is>
      </c>
      <c r="C14" t="n">
        <v>2938</v>
      </c>
      <c r="D14" s="6" t="n">
        <v>15.9</v>
      </c>
      <c r="E14" t="n">
        <v>36694</v>
      </c>
      <c r="F14" s="6" t="n">
        <v>15.9</v>
      </c>
      <c r="G14" t="n">
        <v>1</v>
      </c>
      <c r="H14" s="6">
        <f>ROUND(G14*F14,2)</f>
        <v/>
      </c>
      <c r="I14">
        <f>IF(ROUND(H14-D14,2)=0,1,0)</f>
        <v/>
      </c>
      <c r="J14">
        <f>IF(F14="","none",IF(G14=1,"carte","multiple"))</f>
        <v/>
      </c>
    </row>
    <row r="15">
      <c r="A15" t="inlineStr">
        <is>
          <t>2022-04-14</t>
        </is>
      </c>
      <c r="B15" t="inlineStr">
        <is>
          <t>18:35</t>
        </is>
      </c>
      <c r="C15" t="n">
        <v>2938</v>
      </c>
      <c r="D15" s="6" t="n">
        <v>9.6</v>
      </c>
      <c r="E15" t="n">
        <v>36695</v>
      </c>
      <c r="F15" s="6" t="n">
        <v>9.6</v>
      </c>
      <c r="G15" t="n">
        <v>1</v>
      </c>
      <c r="H15" s="6">
        <f>ROUND(G15*F15,2)</f>
        <v/>
      </c>
      <c r="I15">
        <f>IF(ROUND(H15-D15,2)=0,1,0)</f>
        <v/>
      </c>
      <c r="J15">
        <f>IF(F15="","none",IF(G15=1,"carte","multiple"))</f>
        <v/>
      </c>
    </row>
    <row r="16">
      <c r="A16" t="inlineStr">
        <is>
          <t>2022-04-14</t>
        </is>
      </c>
      <c r="B16" t="inlineStr">
        <is>
          <t>18:35</t>
        </is>
      </c>
      <c r="C16" t="n">
        <v>2938</v>
      </c>
      <c r="D16" s="6" t="n">
        <v>3.9</v>
      </c>
      <c r="E16" t="n">
        <v>36696</v>
      </c>
      <c r="F16" s="6" t="n">
        <v>3.9</v>
      </c>
      <c r="G16" t="n">
        <v>1</v>
      </c>
      <c r="H16" s="6">
        <f>ROUND(G16*F16,2)</f>
        <v/>
      </c>
      <c r="I16">
        <f>IF(ROUND(H16-D16,2)=0,1,0)</f>
        <v/>
      </c>
      <c r="J16">
        <f>IF(F16="","none",IF(G16=1,"carte","multiple"))</f>
        <v/>
      </c>
    </row>
    <row r="17">
      <c r="A17" t="inlineStr">
        <is>
          <t>2022-04-14</t>
        </is>
      </c>
      <c r="B17" t="inlineStr">
        <is>
          <t>18:35</t>
        </is>
      </c>
      <c r="C17" t="n">
        <v>2938</v>
      </c>
      <c r="D17" s="6" t="n">
        <v>4</v>
      </c>
      <c r="E17" t="n">
        <v>36697</v>
      </c>
      <c r="F17" s="6" t="n">
        <v>4</v>
      </c>
      <c r="G17" t="n">
        <v>1</v>
      </c>
      <c r="H17" s="6">
        <f>ROUND(G17*F17,2)</f>
        <v/>
      </c>
      <c r="I17">
        <f>IF(ROUND(H17-D17,2)=0,1,0)</f>
        <v/>
      </c>
      <c r="J17">
        <f>IF(F17="","none",IF(G17=1,"carte","multiple"))</f>
        <v/>
      </c>
    </row>
    <row r="18">
      <c r="A18" t="inlineStr">
        <is>
          <t>2022-04-14</t>
        </is>
      </c>
      <c r="B18" t="inlineStr">
        <is>
          <t>18:35</t>
        </is>
      </c>
      <c r="C18" t="n">
        <v>2938</v>
      </c>
      <c r="D18" s="6" t="n">
        <v>6.5</v>
      </c>
      <c r="E18" t="n">
        <v>36698</v>
      </c>
      <c r="F18" s="6" t="n">
        <v>6.5</v>
      </c>
      <c r="G18" t="n">
        <v>1</v>
      </c>
      <c r="H18" s="6">
        <f>ROUND(G18*F18,2)</f>
        <v/>
      </c>
      <c r="I18">
        <f>IF(ROUND(H18-D18,2)=0,1,0)</f>
        <v/>
      </c>
      <c r="J18">
        <f>IF(F18="","none",IF(G18=1,"carte","multiple"))</f>
        <v/>
      </c>
    </row>
    <row r="19">
      <c r="A19" t="inlineStr">
        <is>
          <t>2022-04-14</t>
        </is>
      </c>
      <c r="B19" t="inlineStr">
        <is>
          <t>18:35</t>
        </is>
      </c>
      <c r="C19" t="n">
        <v>2938</v>
      </c>
      <c r="D19" s="6" t="n">
        <v>4.7</v>
      </c>
      <c r="E19" t="n">
        <v>36699</v>
      </c>
      <c r="F19" s="6" t="n">
        <v>4.7</v>
      </c>
      <c r="G19" t="n">
        <v>1</v>
      </c>
      <c r="H19" s="6">
        <f>ROUND(G19*F19,2)</f>
        <v/>
      </c>
      <c r="I19">
        <f>IF(ROUND(H19-D19,2)=0,1,0)</f>
        <v/>
      </c>
      <c r="J19">
        <f>IF(F19="","none",IF(G19=1,"carte","multiple"))</f>
        <v/>
      </c>
    </row>
    <row r="20">
      <c r="A20" t="inlineStr">
        <is>
          <t>2022-04-14</t>
        </is>
      </c>
      <c r="B20" t="inlineStr">
        <is>
          <t>18:58</t>
        </is>
      </c>
      <c r="C20" t="n">
        <v>2938</v>
      </c>
      <c r="D20" s="6" t="n">
        <v>30</v>
      </c>
      <c r="E20" t="n">
        <v>36700</v>
      </c>
      <c r="F20" s="6" t="n">
        <v>30</v>
      </c>
      <c r="G20" t="n">
        <v>1</v>
      </c>
      <c r="H20" s="6">
        <f>ROUND(G20*F20,2)</f>
        <v/>
      </c>
      <c r="I20">
        <f>IF(ROUND(H20-D20,2)=0,1,0)</f>
        <v/>
      </c>
      <c r="J20">
        <f>IF(F20="","none",IF(G20=1,"carte","multiple"))</f>
        <v/>
      </c>
    </row>
    <row r="21">
      <c r="A21" t="inlineStr">
        <is>
          <t>2022-04-14</t>
        </is>
      </c>
      <c r="B21" t="inlineStr">
        <is>
          <t>18:58</t>
        </is>
      </c>
      <c r="C21" t="n">
        <v>2938</v>
      </c>
      <c r="D21" s="6" t="n">
        <v>6</v>
      </c>
      <c r="E21" t="n">
        <v>36701</v>
      </c>
      <c r="F21" s="6" t="n">
        <v>6</v>
      </c>
      <c r="G21" t="n">
        <v>1</v>
      </c>
      <c r="H21" s="6">
        <f>ROUND(G21*F21,2)</f>
        <v/>
      </c>
      <c r="I21">
        <f>IF(ROUND(H21-D21,2)=0,1,0)</f>
        <v/>
      </c>
      <c r="J21">
        <f>IF(F21="","none",IF(G21=1,"carte","multiple"))</f>
        <v/>
      </c>
    </row>
    <row r="22">
      <c r="A22" t="inlineStr">
        <is>
          <t>2022-04-14</t>
        </is>
      </c>
      <c r="B22" t="inlineStr">
        <is>
          <t>18:58</t>
        </is>
      </c>
      <c r="C22" t="n">
        <v>2938</v>
      </c>
      <c r="D22" s="6" t="n">
        <v>4.2</v>
      </c>
      <c r="E22" t="n">
        <v>36702</v>
      </c>
      <c r="F22" s="6" t="n">
        <v>4.2</v>
      </c>
      <c r="G22" t="n">
        <v>1</v>
      </c>
      <c r="H22" s="6">
        <f>ROUND(G22*F22,2)</f>
        <v/>
      </c>
      <c r="I22">
        <f>IF(ROUND(H22-D22,2)=0,1,0)</f>
        <v/>
      </c>
      <c r="J22">
        <f>IF(F22="","none",IF(G22=1,"carte","multiple"))</f>
        <v/>
      </c>
    </row>
    <row r="23">
      <c r="A23" t="inlineStr">
        <is>
          <t>2022-04-14</t>
        </is>
      </c>
      <c r="B23" t="inlineStr">
        <is>
          <t>19:18</t>
        </is>
      </c>
      <c r="C23" t="n">
        <v>2938</v>
      </c>
      <c r="D23" s="6" t="n">
        <v>3.2</v>
      </c>
      <c r="E23" t="n">
        <v>36703</v>
      </c>
      <c r="F23" s="6" t="n">
        <v>3.2</v>
      </c>
      <c r="G23" t="n">
        <v>1</v>
      </c>
      <c r="H23" s="6">
        <f>ROUND(G23*F23,2)</f>
        <v/>
      </c>
      <c r="I23">
        <f>IF(ROUND(H23-D23,2)=0,1,0)</f>
        <v/>
      </c>
      <c r="J23">
        <f>IF(F23="","none",IF(G23=1,"carte","multiple"))</f>
        <v/>
      </c>
    </row>
    <row r="24">
      <c r="A24" t="inlineStr">
        <is>
          <t>2022-04-14</t>
        </is>
      </c>
      <c r="B24" t="inlineStr">
        <is>
          <t>19:18</t>
        </is>
      </c>
      <c r="C24" t="n">
        <v>2938</v>
      </c>
      <c r="D24" s="6" t="n">
        <v>5.2</v>
      </c>
      <c r="E24" t="n">
        <v>36704</v>
      </c>
      <c r="F24" s="6" t="n">
        <v>5.2</v>
      </c>
      <c r="G24" t="n">
        <v>1</v>
      </c>
      <c r="H24" s="6">
        <f>ROUND(G24*F24,2)</f>
        <v/>
      </c>
      <c r="I24">
        <f>IF(ROUND(H24-D24,2)=0,1,0)</f>
        <v/>
      </c>
      <c r="J24">
        <f>IF(F24="","none",IF(G24=1,"carte","multiple"))</f>
        <v/>
      </c>
    </row>
    <row r="25">
      <c r="A25" t="inlineStr">
        <is>
          <t>2022-04-14</t>
        </is>
      </c>
      <c r="B25" t="inlineStr">
        <is>
          <t>19:18</t>
        </is>
      </c>
      <c r="C25" t="n">
        <v>2938</v>
      </c>
      <c r="D25" s="6" t="n">
        <v>5.8</v>
      </c>
      <c r="E25" t="n">
        <v>36705</v>
      </c>
      <c r="F25" s="6" t="n">
        <v>5.8</v>
      </c>
      <c r="G25" t="n">
        <v>1</v>
      </c>
      <c r="H25" s="6">
        <f>ROUND(G25*F25,2)</f>
        <v/>
      </c>
      <c r="I25">
        <f>IF(ROUND(H25-D25,2)=0,1,0)</f>
        <v/>
      </c>
      <c r="J25">
        <f>IF(F25="","none",IF(G25=1,"carte","multiple"))</f>
        <v/>
      </c>
    </row>
    <row r="26">
      <c r="A26" t="inlineStr">
        <is>
          <t>2022-04-14</t>
        </is>
      </c>
      <c r="B26" t="inlineStr">
        <is>
          <t>19:18</t>
        </is>
      </c>
      <c r="C26" t="n">
        <v>2938</v>
      </c>
      <c r="D26" s="6" t="n">
        <v>6.4</v>
      </c>
      <c r="E26" t="n">
        <v>36706</v>
      </c>
      <c r="F26" s="6" t="n">
        <v>6.4</v>
      </c>
      <c r="G26" t="n">
        <v>1</v>
      </c>
      <c r="H26" s="6">
        <f>ROUND(G26*F26,2)</f>
        <v/>
      </c>
      <c r="I26">
        <f>IF(ROUND(H26-D26,2)=0,1,0)</f>
        <v/>
      </c>
      <c r="J26">
        <f>IF(F26="","none",IF(G26=1,"carte","multiple"))</f>
        <v/>
      </c>
    </row>
    <row r="27">
      <c r="A27" t="inlineStr">
        <is>
          <t>2022-04-14</t>
        </is>
      </c>
      <c r="B27" t="inlineStr">
        <is>
          <t>19:18</t>
        </is>
      </c>
      <c r="C27" t="n">
        <v>2938</v>
      </c>
      <c r="D27" s="6" t="n">
        <v>16.9</v>
      </c>
      <c r="E27" t="n">
        <v>36707</v>
      </c>
      <c r="F27" s="6" t="n">
        <v>16.9</v>
      </c>
      <c r="G27" t="n">
        <v>1</v>
      </c>
      <c r="H27" s="6">
        <f>ROUND(G27*F27,2)</f>
        <v/>
      </c>
      <c r="I27">
        <f>IF(ROUND(H27-D27,2)=0,1,0)</f>
        <v/>
      </c>
      <c r="J27">
        <f>IF(F27="","none",IF(G27=1,"carte","multiple"))</f>
        <v/>
      </c>
    </row>
    <row r="28">
      <c r="A28" t="inlineStr">
        <is>
          <t>2022-04-14</t>
        </is>
      </c>
      <c r="B28" t="inlineStr">
        <is>
          <t>19:18</t>
        </is>
      </c>
      <c r="C28" t="n">
        <v>2938</v>
      </c>
      <c r="D28" s="6" t="n">
        <v>19.9</v>
      </c>
      <c r="E28" t="n">
        <v>36708</v>
      </c>
      <c r="F28" s="6" t="n">
        <v>19.9</v>
      </c>
      <c r="G28" t="n">
        <v>1</v>
      </c>
      <c r="H28" s="6">
        <f>ROUND(G28*F28,2)</f>
        <v/>
      </c>
      <c r="I28">
        <f>IF(ROUND(H28-D28,2)=0,1,0)</f>
        <v/>
      </c>
      <c r="J28">
        <f>IF(F28="","none",IF(G28=1,"carte","multiple"))</f>
        <v/>
      </c>
    </row>
    <row r="29">
      <c r="A29" t="inlineStr">
        <is>
          <t>2022-04-14</t>
        </is>
      </c>
      <c r="B29" t="inlineStr">
        <is>
          <t>19:18</t>
        </is>
      </c>
      <c r="C29" t="n">
        <v>2938</v>
      </c>
      <c r="D29" s="6" t="n">
        <v>10.9</v>
      </c>
      <c r="E29" t="n">
        <v>36709</v>
      </c>
      <c r="F29" s="6" t="n">
        <v>10.9</v>
      </c>
      <c r="G29" t="n">
        <v>1</v>
      </c>
      <c r="H29" s="6">
        <f>ROUND(G29*F29,2)</f>
        <v/>
      </c>
      <c r="I29">
        <f>IF(ROUND(H29-D29,2)=0,1,0)</f>
        <v/>
      </c>
      <c r="J29">
        <f>IF(F29="","none",IF(G29=1,"carte","multiple"))</f>
        <v/>
      </c>
    </row>
    <row r="30">
      <c r="A30" t="inlineStr">
        <is>
          <t>2022-04-14</t>
        </is>
      </c>
      <c r="B30" t="inlineStr">
        <is>
          <t>20:06</t>
        </is>
      </c>
      <c r="C30" t="n">
        <v>2938</v>
      </c>
      <c r="D30" s="6" t="n">
        <v>3.9</v>
      </c>
      <c r="E30" t="n">
        <v>36710</v>
      </c>
      <c r="F30" s="6" t="n">
        <v>3.9</v>
      </c>
      <c r="G30" t="n">
        <v>1</v>
      </c>
      <c r="H30" s="6">
        <f>ROUND(G30*F30,2)</f>
        <v/>
      </c>
      <c r="I30">
        <f>IF(ROUND(H30-D30,2)=0,1,0)</f>
        <v/>
      </c>
      <c r="J30">
        <f>IF(F30="","none",IF(G30=1,"carte","multiple"))</f>
        <v/>
      </c>
    </row>
    <row r="31">
      <c r="A31" t="inlineStr">
        <is>
          <t>2022-04-14</t>
        </is>
      </c>
      <c r="B31" t="inlineStr">
        <is>
          <t>20:56</t>
        </is>
      </c>
      <c r="C31" t="n">
        <v>2938</v>
      </c>
      <c r="D31" s="6" t="n">
        <v>5.6</v>
      </c>
      <c r="E31" t="n">
        <v>36711</v>
      </c>
      <c r="F31" s="6" t="n">
        <v>5.6</v>
      </c>
      <c r="G31" t="n">
        <v>1</v>
      </c>
      <c r="H31" s="6">
        <f>ROUND(G31*F31,2)</f>
        <v/>
      </c>
      <c r="I31">
        <f>IF(ROUND(H31-D31,2)=0,1,0)</f>
        <v/>
      </c>
      <c r="J31">
        <f>IF(F31="","none",IF(G31=1,"carte","multiple"))</f>
        <v/>
      </c>
    </row>
    <row r="32">
      <c r="A32" t="inlineStr">
        <is>
          <t>2022-04-14</t>
        </is>
      </c>
      <c r="B32" t="inlineStr">
        <is>
          <t>20:56</t>
        </is>
      </c>
      <c r="C32" t="n">
        <v>2938</v>
      </c>
      <c r="D32" s="6" t="n">
        <v>28</v>
      </c>
      <c r="E32" t="n">
        <v>36712</v>
      </c>
      <c r="F32" s="6" t="n">
        <v>28</v>
      </c>
      <c r="G32" t="n">
        <v>1</v>
      </c>
      <c r="H32" s="6">
        <f>ROUND(G32*F32,2)</f>
        <v/>
      </c>
      <c r="I32">
        <f>IF(ROUND(H32-D32,2)=0,1,0)</f>
        <v/>
      </c>
      <c r="J32">
        <f>IF(F32="","none",IF(G32=1,"carte","multiple"))</f>
        <v/>
      </c>
    </row>
    <row r="33">
      <c r="A33" t="inlineStr">
        <is>
          <t>2022-04-14</t>
        </is>
      </c>
      <c r="B33" t="inlineStr">
        <is>
          <t>20:56</t>
        </is>
      </c>
      <c r="C33" t="n">
        <v>2938</v>
      </c>
      <c r="D33" s="6" t="n">
        <v>35.2</v>
      </c>
      <c r="E33" t="n">
        <v>36713</v>
      </c>
      <c r="F33" s="6" t="n">
        <v>0.4</v>
      </c>
      <c r="G33" t="n">
        <v>88</v>
      </c>
      <c r="H33" s="6">
        <f>ROUND(G33*F33,2)</f>
        <v/>
      </c>
      <c r="I33">
        <f>IF(ROUND(H33-D33,2)=0,1,0)</f>
        <v/>
      </c>
      <c r="J33">
        <f>IF(F33="","none",IF(G33=1,"carte","multiple"))</f>
        <v/>
      </c>
    </row>
    <row r="34">
      <c r="A34" t="inlineStr">
        <is>
          <t>2022-04-14</t>
        </is>
      </c>
      <c r="B34" t="inlineStr">
        <is>
          <t>20:56</t>
        </is>
      </c>
      <c r="C34" t="n">
        <v>2938</v>
      </c>
      <c r="D34" s="6" t="n">
        <v>4.9</v>
      </c>
      <c r="E34" t="n">
        <v>36714</v>
      </c>
      <c r="F34" s="6" t="n">
        <v>4.9</v>
      </c>
      <c r="G34" t="n">
        <v>1</v>
      </c>
      <c r="H34" s="6">
        <f>ROUND(G34*F34,2)</f>
        <v/>
      </c>
      <c r="I34">
        <f>IF(ROUND(H34-D34,2)=0,1,0)</f>
        <v/>
      </c>
      <c r="J34">
        <f>IF(F34="","none",IF(G34=1,"carte","multiple"))</f>
        <v/>
      </c>
    </row>
    <row r="35">
      <c r="A35" t="inlineStr">
        <is>
          <t>2022-04-14</t>
        </is>
      </c>
      <c r="B35" t="inlineStr">
        <is>
          <t>20:56</t>
        </is>
      </c>
      <c r="C35" t="n">
        <v>2938</v>
      </c>
      <c r="D35" s="6" t="n">
        <v>5.2</v>
      </c>
      <c r="E35" t="n">
        <v>36715</v>
      </c>
      <c r="F35" s="6" t="n">
        <v>5.2</v>
      </c>
      <c r="G35" t="n">
        <v>1</v>
      </c>
      <c r="H35" s="6">
        <f>ROUND(G35*F35,2)</f>
        <v/>
      </c>
      <c r="I35">
        <f>IF(ROUND(H35-D35,2)=0,1,0)</f>
        <v/>
      </c>
      <c r="J35">
        <f>IF(F35="","none",IF(G35=1,"carte","multiple"))</f>
        <v/>
      </c>
    </row>
    <row r="36">
      <c r="A36" t="inlineStr">
        <is>
          <t>2022-04-14</t>
        </is>
      </c>
      <c r="B36" t="inlineStr">
        <is>
          <t>20:57</t>
        </is>
      </c>
      <c r="C36" t="n">
        <v>2938</v>
      </c>
      <c r="D36" s="6" t="n">
        <v>4.4</v>
      </c>
      <c r="E36" t="n">
        <v>36716</v>
      </c>
      <c r="F36" s="6" t="n">
        <v>0.4</v>
      </c>
      <c r="G36" t="n">
        <v>11</v>
      </c>
      <c r="H36" s="6">
        <f>ROUND(G36*F36,2)</f>
        <v/>
      </c>
      <c r="I36">
        <f>IF(ROUND(H36-D36,2)=0,1,0)</f>
        <v/>
      </c>
      <c r="J36">
        <f>IF(F36="","none",IF(G36=1,"carte","multiple"))</f>
        <v/>
      </c>
    </row>
    <row r="37">
      <c r="A37" t="inlineStr">
        <is>
          <t>2022-04-14</t>
        </is>
      </c>
      <c r="B37" t="inlineStr">
        <is>
          <t>20:57</t>
        </is>
      </c>
      <c r="C37" t="n">
        <v>2938</v>
      </c>
      <c r="D37" s="6" t="n">
        <v>9.800000000000001</v>
      </c>
      <c r="E37" t="n">
        <v>36717</v>
      </c>
      <c r="F37" s="6" t="n">
        <v>9.800000000000001</v>
      </c>
      <c r="G37" t="n">
        <v>1</v>
      </c>
      <c r="H37" s="6">
        <f>ROUND(G37*F37,2)</f>
        <v/>
      </c>
      <c r="I37">
        <f>IF(ROUND(H37-D37,2)=0,1,0)</f>
        <v/>
      </c>
      <c r="J37">
        <f>IF(F37="","none",IF(G37=1,"carte","multiple"))</f>
        <v/>
      </c>
    </row>
    <row r="38">
      <c r="A38" t="inlineStr">
        <is>
          <t>2022-04-14</t>
        </is>
      </c>
      <c r="B38" t="inlineStr">
        <is>
          <t>20:57</t>
        </is>
      </c>
      <c r="C38" t="n">
        <v>2938</v>
      </c>
      <c r="D38" s="6" t="n">
        <v>5.2</v>
      </c>
      <c r="E38" t="n">
        <v>36718</v>
      </c>
      <c r="F38" s="6" t="n">
        <v>5.2</v>
      </c>
      <c r="G38" t="n">
        <v>1</v>
      </c>
      <c r="H38" s="6">
        <f>ROUND(G38*F38,2)</f>
        <v/>
      </c>
      <c r="I38">
        <f>IF(ROUND(H38-D38,2)=0,1,0)</f>
        <v/>
      </c>
      <c r="J38">
        <f>IF(F38="","none",IF(G38=1,"carte","multiple"))</f>
        <v/>
      </c>
    </row>
    <row r="39">
      <c r="A39" t="inlineStr">
        <is>
          <t>2022-04-14</t>
        </is>
      </c>
      <c r="B39" t="inlineStr">
        <is>
          <t>20:57</t>
        </is>
      </c>
      <c r="C39" t="n">
        <v>2938</v>
      </c>
      <c r="D39" s="6" t="n">
        <v>5.2</v>
      </c>
      <c r="E39" t="n">
        <v>36719</v>
      </c>
      <c r="F39" s="6" t="n">
        <v>5.2</v>
      </c>
      <c r="G39" t="n">
        <v>1</v>
      </c>
      <c r="H39" s="6">
        <f>ROUND(G39*F39,2)</f>
        <v/>
      </c>
      <c r="I39">
        <f>IF(ROUND(H39-D39,2)=0,1,0)</f>
        <v/>
      </c>
      <c r="J39">
        <f>IF(F39="","none",IF(G39=1,"carte","multiple"))</f>
        <v/>
      </c>
    </row>
    <row r="40">
      <c r="A40" t="inlineStr">
        <is>
          <t>2022-04-14</t>
        </is>
      </c>
      <c r="B40" t="inlineStr">
        <is>
          <t>20:57</t>
        </is>
      </c>
      <c r="C40" t="n">
        <v>2938</v>
      </c>
      <c r="D40" s="6" t="n">
        <v>17.6</v>
      </c>
      <c r="E40" t="n">
        <v>36720</v>
      </c>
      <c r="F40" s="6" t="n">
        <v>17.6</v>
      </c>
      <c r="G40" t="n">
        <v>1</v>
      </c>
      <c r="H40" s="6">
        <f>ROUND(G40*F40,2)</f>
        <v/>
      </c>
      <c r="I40">
        <f>IF(ROUND(H40-D40,2)=0,1,0)</f>
        <v/>
      </c>
      <c r="J40">
        <f>IF(F40="","none",IF(G40=1,"carte","multiple"))</f>
        <v/>
      </c>
    </row>
    <row r="41">
      <c r="A41" t="inlineStr">
        <is>
          <t>2022-04-14</t>
        </is>
      </c>
      <c r="B41" t="inlineStr">
        <is>
          <t>20:57</t>
        </is>
      </c>
      <c r="C41" t="n">
        <v>2938</v>
      </c>
      <c r="D41" s="6" t="n">
        <v>17.6</v>
      </c>
      <c r="E41" t="n">
        <v>36721</v>
      </c>
      <c r="F41" s="6" t="n">
        <v>17.6</v>
      </c>
      <c r="G41" t="n">
        <v>1</v>
      </c>
      <c r="H41" s="6">
        <f>ROUND(G41*F41,2)</f>
        <v/>
      </c>
      <c r="I41">
        <f>IF(ROUND(H41-D41,2)=0,1,0)</f>
        <v/>
      </c>
      <c r="J41">
        <f>IF(F41="","none",IF(G41=1,"carte","multiple"))</f>
        <v/>
      </c>
    </row>
    <row r="42">
      <c r="A42" t="inlineStr">
        <is>
          <t>2022-04-14</t>
        </is>
      </c>
      <c r="B42" t="inlineStr">
        <is>
          <t>20:57</t>
        </is>
      </c>
      <c r="C42" t="n">
        <v>2938</v>
      </c>
      <c r="D42" s="6" t="n">
        <v>17.8</v>
      </c>
      <c r="E42" t="n">
        <v>36722</v>
      </c>
      <c r="F42" s="6" t="n">
        <v>8.9</v>
      </c>
      <c r="G42" t="n">
        <v>2</v>
      </c>
      <c r="H42" s="6">
        <f>ROUND(G42*F42,2)</f>
        <v/>
      </c>
      <c r="I42">
        <f>IF(ROUND(H42-D42,2)=0,1,0)</f>
        <v/>
      </c>
      <c r="J42">
        <f>IF(F42="","none",IF(G42=1,"carte","multiple"))</f>
        <v/>
      </c>
    </row>
    <row r="43">
      <c r="A43" t="inlineStr">
        <is>
          <t>2022-04-15</t>
        </is>
      </c>
      <c r="B43" t="inlineStr">
        <is>
          <t>11:54</t>
        </is>
      </c>
      <c r="C43" t="n">
        <v>2939</v>
      </c>
      <c r="D43" s="6" t="n">
        <v>19</v>
      </c>
      <c r="E43" t="n">
        <v>36725</v>
      </c>
      <c r="F43" s="6" t="n">
        <v>19</v>
      </c>
      <c r="G43" t="n">
        <v>1</v>
      </c>
      <c r="H43" s="6">
        <f>ROUND(G43*F43,2)</f>
        <v/>
      </c>
      <c r="I43">
        <f>IF(ROUND(H43-D43,2)=0,1,0)</f>
        <v/>
      </c>
      <c r="J43">
        <f>IF(F43="","none",IF(G43=1,"carte","multiple"))</f>
        <v/>
      </c>
    </row>
    <row r="44">
      <c r="A44" t="inlineStr">
        <is>
          <t>2022-04-15</t>
        </is>
      </c>
      <c r="B44" t="inlineStr">
        <is>
          <t>11:54</t>
        </is>
      </c>
      <c r="C44" t="n">
        <v>2939</v>
      </c>
      <c r="D44" s="6" t="n">
        <v>3.9</v>
      </c>
      <c r="E44" t="n">
        <v>36726</v>
      </c>
      <c r="F44" s="6" t="n">
        <v>3.9</v>
      </c>
      <c r="G44" t="n">
        <v>1</v>
      </c>
      <c r="H44" s="6">
        <f>ROUND(G44*F44,2)</f>
        <v/>
      </c>
      <c r="I44">
        <f>IF(ROUND(H44-D44,2)=0,1,0)</f>
        <v/>
      </c>
      <c r="J44">
        <f>IF(F44="","none",IF(G44=1,"carte","multiple"))</f>
        <v/>
      </c>
    </row>
    <row r="45">
      <c r="A45" t="inlineStr">
        <is>
          <t>2022-04-15</t>
        </is>
      </c>
      <c r="B45" t="inlineStr">
        <is>
          <t>12:12</t>
        </is>
      </c>
      <c r="C45" t="n">
        <v>2939</v>
      </c>
      <c r="D45" s="6" t="n">
        <v>3.9</v>
      </c>
      <c r="E45" t="n">
        <v>36727</v>
      </c>
      <c r="F45" s="6" t="n">
        <v>3.9</v>
      </c>
      <c r="G45" t="n">
        <v>1</v>
      </c>
      <c r="H45" s="6">
        <f>ROUND(G45*F45,2)</f>
        <v/>
      </c>
      <c r="I45">
        <f>IF(ROUND(H45-D45,2)=0,1,0)</f>
        <v/>
      </c>
      <c r="J45">
        <f>IF(F45="","none",IF(G45=1,"carte","multiple"))</f>
        <v/>
      </c>
    </row>
    <row r="46">
      <c r="A46" t="inlineStr">
        <is>
          <t>2022-04-15</t>
        </is>
      </c>
      <c r="B46" t="inlineStr">
        <is>
          <t>12:12</t>
        </is>
      </c>
      <c r="C46" t="n">
        <v>2939</v>
      </c>
      <c r="D46" s="6" t="n">
        <v>3.9</v>
      </c>
      <c r="E46" t="n">
        <v>36728</v>
      </c>
      <c r="F46" s="6" t="n">
        <v>3.9</v>
      </c>
      <c r="G46" t="n">
        <v>1</v>
      </c>
      <c r="H46" s="6">
        <f>ROUND(G46*F46,2)</f>
        <v/>
      </c>
      <c r="I46">
        <f>IF(ROUND(H46-D46,2)=0,1,0)</f>
        <v/>
      </c>
      <c r="J46">
        <f>IF(F46="","none",IF(G46=1,"carte","multiple"))</f>
        <v/>
      </c>
    </row>
    <row r="47">
      <c r="A47" t="inlineStr">
        <is>
          <t>2022-04-15</t>
        </is>
      </c>
      <c r="B47" t="inlineStr">
        <is>
          <t>12:12</t>
        </is>
      </c>
      <c r="C47" t="n">
        <v>2939</v>
      </c>
      <c r="D47" s="6" t="n">
        <v>17.6</v>
      </c>
      <c r="E47" t="n">
        <v>36729</v>
      </c>
      <c r="F47" s="6" t="n">
        <v>17.6</v>
      </c>
      <c r="G47" t="n">
        <v>1</v>
      </c>
      <c r="H47" s="6">
        <f>ROUND(G47*F47,2)</f>
        <v/>
      </c>
      <c r="I47">
        <f>IF(ROUND(H47-D47,2)=0,1,0)</f>
        <v/>
      </c>
      <c r="J47">
        <f>IF(F47="","none",IF(G47=1,"carte","multiple"))</f>
        <v/>
      </c>
    </row>
    <row r="48">
      <c r="A48" t="inlineStr">
        <is>
          <t>2022-04-15</t>
        </is>
      </c>
      <c r="B48" t="inlineStr">
        <is>
          <t>12:12</t>
        </is>
      </c>
      <c r="C48" t="n">
        <v>2939</v>
      </c>
      <c r="D48" s="6" t="n">
        <v>19</v>
      </c>
      <c r="E48" t="n">
        <v>36730</v>
      </c>
      <c r="F48" s="6" t="n">
        <v>19</v>
      </c>
      <c r="G48" t="n">
        <v>1</v>
      </c>
      <c r="H48" s="6">
        <f>ROUND(G48*F48,2)</f>
        <v/>
      </c>
      <c r="I48">
        <f>IF(ROUND(H48-D48,2)=0,1,0)</f>
        <v/>
      </c>
      <c r="J48">
        <f>IF(F48="","none",IF(G48=1,"carte","multiple"))</f>
        <v/>
      </c>
    </row>
    <row r="49">
      <c r="A49" t="inlineStr">
        <is>
          <t>2022-04-15</t>
        </is>
      </c>
      <c r="B49" t="inlineStr">
        <is>
          <t>12:12</t>
        </is>
      </c>
      <c r="C49" t="n">
        <v>2939</v>
      </c>
      <c r="D49" s="6" t="n">
        <v>30</v>
      </c>
      <c r="E49" t="n">
        <v>36731</v>
      </c>
      <c r="F49" s="6" t="n">
        <v>30</v>
      </c>
      <c r="G49" t="n">
        <v>1</v>
      </c>
      <c r="H49" s="6">
        <f>ROUND(G49*F49,2)</f>
        <v/>
      </c>
      <c r="I49">
        <f>IF(ROUND(H49-D49,2)=0,1,0)</f>
        <v/>
      </c>
      <c r="J49">
        <f>IF(F49="","none",IF(G49=1,"carte","multiple"))</f>
        <v/>
      </c>
    </row>
    <row r="50">
      <c r="A50" t="inlineStr">
        <is>
          <t>2022-04-15</t>
        </is>
      </c>
      <c r="B50" t="inlineStr">
        <is>
          <t>18:43</t>
        </is>
      </c>
      <c r="C50" t="n">
        <v>2939</v>
      </c>
      <c r="D50" s="6" t="n">
        <v>3.9</v>
      </c>
      <c r="E50" t="n">
        <v>36733</v>
      </c>
      <c r="F50" s="6" t="n">
        <v>3.9</v>
      </c>
      <c r="G50" t="n">
        <v>1</v>
      </c>
      <c r="H50" s="6">
        <f>ROUND(G50*F50,2)</f>
        <v/>
      </c>
      <c r="I50">
        <f>IF(ROUND(H50-D50,2)=0,1,0)</f>
        <v/>
      </c>
      <c r="J50">
        <f>IF(F50="","none",IF(G50=1,"carte","multiple"))</f>
        <v/>
      </c>
    </row>
    <row r="51">
      <c r="A51" t="inlineStr">
        <is>
          <t>2022-04-15</t>
        </is>
      </c>
      <c r="B51" t="inlineStr">
        <is>
          <t>18:43</t>
        </is>
      </c>
      <c r="C51" t="n">
        <v>2939</v>
      </c>
      <c r="D51" s="6" t="n">
        <v>7.8</v>
      </c>
      <c r="E51" t="n">
        <v>36734</v>
      </c>
      <c r="F51" s="6" t="n">
        <v>7.8</v>
      </c>
      <c r="G51" t="n">
        <v>1</v>
      </c>
      <c r="H51" s="6">
        <f>ROUND(G51*F51,2)</f>
        <v/>
      </c>
      <c r="I51">
        <f>IF(ROUND(H51-D51,2)=0,1,0)</f>
        <v/>
      </c>
      <c r="J51">
        <f>IF(F51="","none",IF(G51=1,"carte","multiple"))</f>
        <v/>
      </c>
    </row>
    <row r="52">
      <c r="A52" t="inlineStr">
        <is>
          <t>2022-04-15</t>
        </is>
      </c>
      <c r="B52" t="inlineStr">
        <is>
          <t>18:43</t>
        </is>
      </c>
      <c r="C52" t="n">
        <v>2939</v>
      </c>
      <c r="D52" s="6" t="n">
        <v>24</v>
      </c>
      <c r="E52" t="n">
        <v>36735</v>
      </c>
      <c r="F52" s="6" t="n">
        <v>24</v>
      </c>
      <c r="G52" t="n">
        <v>1</v>
      </c>
      <c r="H52" s="6">
        <f>ROUND(G52*F52,2)</f>
        <v/>
      </c>
      <c r="I52">
        <f>IF(ROUND(H52-D52,2)=0,1,0)</f>
        <v/>
      </c>
      <c r="J52">
        <f>IF(F52="","none",IF(G52=1,"carte","multiple"))</f>
        <v/>
      </c>
    </row>
    <row r="53">
      <c r="A53" t="inlineStr">
        <is>
          <t>2022-04-15</t>
        </is>
      </c>
      <c r="B53" t="inlineStr">
        <is>
          <t>18:43</t>
        </is>
      </c>
      <c r="C53" t="n">
        <v>2939</v>
      </c>
      <c r="D53" s="6" t="n">
        <v>17.6</v>
      </c>
      <c r="E53" t="n">
        <v>36736</v>
      </c>
      <c r="F53" s="6" t="n">
        <v>17.6</v>
      </c>
      <c r="G53" t="n">
        <v>1</v>
      </c>
      <c r="H53" s="6">
        <f>ROUND(G53*F53,2)</f>
        <v/>
      </c>
      <c r="I53">
        <f>IF(ROUND(H53-D53,2)=0,1,0)</f>
        <v/>
      </c>
      <c r="J53">
        <f>IF(F53="","none",IF(G53=1,"carte","multiple"))</f>
        <v/>
      </c>
    </row>
    <row r="54">
      <c r="A54" t="inlineStr">
        <is>
          <t>2022-04-15</t>
        </is>
      </c>
      <c r="B54" t="inlineStr">
        <is>
          <t>18:43</t>
        </is>
      </c>
      <c r="C54" t="n">
        <v>2939</v>
      </c>
      <c r="D54" s="6" t="n">
        <v>16.9</v>
      </c>
      <c r="E54" t="n">
        <v>36737</v>
      </c>
      <c r="F54" s="6" t="n">
        <v>16.9</v>
      </c>
      <c r="G54" t="n">
        <v>1</v>
      </c>
      <c r="H54" s="6">
        <f>ROUND(G54*F54,2)</f>
        <v/>
      </c>
      <c r="I54">
        <f>IF(ROUND(H54-D54,2)=0,1,0)</f>
        <v/>
      </c>
      <c r="J54">
        <f>IF(F54="","none",IF(G54=1,"carte","multiple"))</f>
        <v/>
      </c>
    </row>
    <row r="55">
      <c r="A55" t="inlineStr">
        <is>
          <t>2022-04-15</t>
        </is>
      </c>
      <c r="B55" t="inlineStr">
        <is>
          <t>18:43</t>
        </is>
      </c>
      <c r="C55" t="n">
        <v>2939</v>
      </c>
      <c r="D55" s="6" t="n">
        <v>19</v>
      </c>
      <c r="E55" t="n">
        <v>36738</v>
      </c>
      <c r="F55" s="6" t="n">
        <v>19</v>
      </c>
      <c r="G55" t="n">
        <v>1</v>
      </c>
      <c r="H55" s="6">
        <f>ROUND(G55*F55,2)</f>
        <v/>
      </c>
      <c r="I55">
        <f>IF(ROUND(H55-D55,2)=0,1,0)</f>
        <v/>
      </c>
      <c r="J55">
        <f>IF(F55="","none",IF(G55=1,"carte","multiple"))</f>
        <v/>
      </c>
    </row>
    <row r="56">
      <c r="A56" t="inlineStr">
        <is>
          <t>2022-04-15</t>
        </is>
      </c>
      <c r="B56" t="inlineStr">
        <is>
          <t>18:43</t>
        </is>
      </c>
      <c r="C56" t="n">
        <v>2939</v>
      </c>
      <c r="D56" s="6" t="n">
        <v>8.9</v>
      </c>
      <c r="E56" t="n">
        <v>36739</v>
      </c>
      <c r="F56" s="6" t="n">
        <v>8.9</v>
      </c>
      <c r="G56" t="n">
        <v>1</v>
      </c>
      <c r="H56" s="6">
        <f>ROUND(G56*F56,2)</f>
        <v/>
      </c>
      <c r="I56">
        <f>IF(ROUND(H56-D56,2)=0,1,0)</f>
        <v/>
      </c>
      <c r="J56">
        <f>IF(F56="","none",IF(G56=1,"carte","multiple"))</f>
        <v/>
      </c>
    </row>
    <row r="57">
      <c r="A57" t="inlineStr">
        <is>
          <t>2022-04-15</t>
        </is>
      </c>
      <c r="B57" t="inlineStr">
        <is>
          <t>18:43</t>
        </is>
      </c>
      <c r="C57" t="n">
        <v>2939</v>
      </c>
      <c r="D57" s="6" t="n">
        <v>8</v>
      </c>
      <c r="E57" t="n">
        <v>36740</v>
      </c>
      <c r="F57" s="6" t="n">
        <v>8</v>
      </c>
      <c r="G57" t="n">
        <v>1</v>
      </c>
      <c r="H57" s="6">
        <f>ROUND(G57*F57,2)</f>
        <v/>
      </c>
      <c r="I57">
        <f>IF(ROUND(H57-D57,2)=0,1,0)</f>
        <v/>
      </c>
      <c r="J57">
        <f>IF(F57="","none",IF(G57=1,"carte","multiple"))</f>
        <v/>
      </c>
    </row>
    <row r="58">
      <c r="A58" t="inlineStr">
        <is>
          <t>2022-04-15</t>
        </is>
      </c>
      <c r="B58" t="inlineStr">
        <is>
          <t>18:44</t>
        </is>
      </c>
      <c r="C58" t="n">
        <v>2939</v>
      </c>
      <c r="D58" s="6" t="n">
        <v>2</v>
      </c>
      <c r="E58" t="n">
        <v>36741</v>
      </c>
      <c r="F58" s="6" t="n">
        <v>2</v>
      </c>
      <c r="G58" t="n">
        <v>1</v>
      </c>
      <c r="H58" s="6">
        <f>ROUND(G58*F58,2)</f>
        <v/>
      </c>
      <c r="I58">
        <f>IF(ROUND(H58-D58,2)=0,1,0)</f>
        <v/>
      </c>
      <c r="J58">
        <f>IF(F58="","none",IF(G58=1,"carte","multiple"))</f>
        <v/>
      </c>
    </row>
    <row r="59">
      <c r="A59" t="inlineStr">
        <is>
          <t>2022-04-15</t>
        </is>
      </c>
      <c r="B59" t="inlineStr">
        <is>
          <t>18:44</t>
        </is>
      </c>
      <c r="C59" t="n">
        <v>2939</v>
      </c>
      <c r="D59" s="6" t="n">
        <v>17.6</v>
      </c>
      <c r="E59" t="n">
        <v>36742</v>
      </c>
      <c r="F59" s="6" t="n">
        <v>17.6</v>
      </c>
      <c r="G59" t="n">
        <v>1</v>
      </c>
      <c r="H59" s="6">
        <f>ROUND(G59*F59,2)</f>
        <v/>
      </c>
      <c r="I59">
        <f>IF(ROUND(H59-D59,2)=0,1,0)</f>
        <v/>
      </c>
      <c r="J59">
        <f>IF(F59="","none",IF(G59=1,"carte","multiple"))</f>
        <v/>
      </c>
    </row>
    <row r="60">
      <c r="A60" t="inlineStr">
        <is>
          <t>2022-04-15</t>
        </is>
      </c>
      <c r="B60" t="inlineStr">
        <is>
          <t>18:44</t>
        </is>
      </c>
      <c r="C60" t="n">
        <v>2939</v>
      </c>
      <c r="D60" s="6" t="n">
        <v>13</v>
      </c>
      <c r="E60" t="n">
        <v>36743</v>
      </c>
      <c r="F60" s="6" t="n">
        <v>13</v>
      </c>
      <c r="G60" t="n">
        <v>1</v>
      </c>
      <c r="H60" s="6">
        <f>ROUND(G60*F60,2)</f>
        <v/>
      </c>
      <c r="I60">
        <f>IF(ROUND(H60-D60,2)=0,1,0)</f>
        <v/>
      </c>
      <c r="J60">
        <f>IF(F60="","none",IF(G60=1,"carte","multiple"))</f>
        <v/>
      </c>
    </row>
    <row r="61">
      <c r="A61" t="inlineStr">
        <is>
          <t>2022-04-15</t>
        </is>
      </c>
      <c r="B61" t="inlineStr">
        <is>
          <t>19:10</t>
        </is>
      </c>
      <c r="C61" t="n">
        <v>2939</v>
      </c>
      <c r="D61" s="6" t="n">
        <v>4.2</v>
      </c>
      <c r="E61" t="n">
        <v>36744</v>
      </c>
      <c r="F61" s="6" t="n">
        <v>4.2</v>
      </c>
      <c r="G61" t="n">
        <v>1</v>
      </c>
      <c r="H61" s="6">
        <f>ROUND(G61*F61,2)</f>
        <v/>
      </c>
      <c r="I61">
        <f>IF(ROUND(H61-D61,2)=0,1,0)</f>
        <v/>
      </c>
      <c r="J61">
        <f>IF(F61="","none",IF(G61=1,"carte","multiple"))</f>
        <v/>
      </c>
    </row>
    <row r="62">
      <c r="A62" t="inlineStr">
        <is>
          <t>2022-04-15</t>
        </is>
      </c>
      <c r="B62" t="inlineStr">
        <is>
          <t>20:11</t>
        </is>
      </c>
      <c r="C62" t="n">
        <v>2939</v>
      </c>
      <c r="D62" s="6" t="n">
        <v>2.2</v>
      </c>
      <c r="E62" t="n">
        <v>36745</v>
      </c>
      <c r="F62" s="6" t="n">
        <v>2.2</v>
      </c>
      <c r="G62" t="n">
        <v>1</v>
      </c>
      <c r="H62" s="6">
        <f>ROUND(G62*F62,2)</f>
        <v/>
      </c>
      <c r="I62">
        <f>IF(ROUND(H62-D62,2)=0,1,0)</f>
        <v/>
      </c>
      <c r="J62">
        <f>IF(F62="","none",IF(G62=1,"carte","multiple"))</f>
        <v/>
      </c>
    </row>
    <row r="63">
      <c r="A63" t="inlineStr">
        <is>
          <t>2022-04-16</t>
        </is>
      </c>
      <c r="B63" t="inlineStr">
        <is>
          <t>11:41</t>
        </is>
      </c>
      <c r="C63" t="n">
        <v>2940</v>
      </c>
      <c r="D63" s="6" t="n">
        <v>10.5</v>
      </c>
      <c r="E63" t="n">
        <v>36748</v>
      </c>
      <c r="F63" s="6" t="n">
        <v>10.5</v>
      </c>
      <c r="G63" t="n">
        <v>1</v>
      </c>
      <c r="H63" s="6">
        <f>ROUND(G63*F63,2)</f>
        <v/>
      </c>
      <c r="I63">
        <f>IF(ROUND(H63-D63,2)=0,1,0)</f>
        <v/>
      </c>
      <c r="J63">
        <f>IF(F63="","none",IF(G63=1,"carte","multiple"))</f>
        <v/>
      </c>
    </row>
    <row r="64">
      <c r="A64" t="inlineStr">
        <is>
          <t>2022-04-16</t>
        </is>
      </c>
      <c r="B64" t="inlineStr">
        <is>
          <t>11:41</t>
        </is>
      </c>
      <c r="C64" t="n">
        <v>2940</v>
      </c>
      <c r="D64" s="6" t="n">
        <v>8.800000000000001</v>
      </c>
      <c r="E64" t="n">
        <v>36749</v>
      </c>
      <c r="F64" s="6" t="n">
        <v>8.800000000000001</v>
      </c>
      <c r="G64" t="n">
        <v>1</v>
      </c>
      <c r="H64" s="6">
        <f>ROUND(G64*F64,2)</f>
        <v/>
      </c>
      <c r="I64">
        <f>IF(ROUND(H64-D64,2)=0,1,0)</f>
        <v/>
      </c>
      <c r="J64">
        <f>IF(F64="","none",IF(G64=1,"carte","multiple"))</f>
        <v/>
      </c>
    </row>
    <row r="65">
      <c r="A65" t="inlineStr">
        <is>
          <t>2022-04-16</t>
        </is>
      </c>
      <c r="B65" t="inlineStr">
        <is>
          <t>11:41</t>
        </is>
      </c>
      <c r="C65" t="n">
        <v>2940</v>
      </c>
      <c r="D65" s="6" t="n">
        <v>13.4</v>
      </c>
      <c r="E65" t="n">
        <v>36750</v>
      </c>
      <c r="F65" s="6" t="n">
        <v>13.4</v>
      </c>
      <c r="G65" t="n">
        <v>1</v>
      </c>
      <c r="H65" s="6">
        <f>ROUND(G65*F65,2)</f>
        <v/>
      </c>
      <c r="I65">
        <f>IF(ROUND(H65-D65,2)=0,1,0)</f>
        <v/>
      </c>
      <c r="J65">
        <f>IF(F65="","none",IF(G65=1,"carte","multiple"))</f>
        <v/>
      </c>
    </row>
    <row r="66">
      <c r="A66" t="inlineStr">
        <is>
          <t>2022-04-16</t>
        </is>
      </c>
      <c r="B66" t="inlineStr">
        <is>
          <t>11:41</t>
        </is>
      </c>
      <c r="C66" t="n">
        <v>2940</v>
      </c>
      <c r="D66" s="6" t="n">
        <v>19</v>
      </c>
      <c r="E66" t="n">
        <v>36751</v>
      </c>
      <c r="F66" s="6" t="n">
        <v>19</v>
      </c>
      <c r="G66" t="n">
        <v>1</v>
      </c>
      <c r="H66" s="6">
        <f>ROUND(G66*F66,2)</f>
        <v/>
      </c>
      <c r="I66">
        <f>IF(ROUND(H66-D66,2)=0,1,0)</f>
        <v/>
      </c>
      <c r="J66">
        <f>IF(F66="","none",IF(G66=1,"carte","multiple"))</f>
        <v/>
      </c>
    </row>
    <row r="67">
      <c r="A67" t="inlineStr">
        <is>
          <t>2022-04-16</t>
        </is>
      </c>
      <c r="B67" t="inlineStr">
        <is>
          <t>11:41</t>
        </is>
      </c>
      <c r="C67" t="n">
        <v>2940</v>
      </c>
      <c r="D67" s="6" t="n">
        <v>52.8</v>
      </c>
      <c r="E67" t="n">
        <v>36752</v>
      </c>
      <c r="F67" s="6" t="n">
        <v>0.4</v>
      </c>
      <c r="G67" t="n">
        <v>132</v>
      </c>
      <c r="H67" s="6">
        <f>ROUND(G67*F67,2)</f>
        <v/>
      </c>
      <c r="I67">
        <f>IF(ROUND(H67-D67,2)=0,1,0)</f>
        <v/>
      </c>
      <c r="J67">
        <f>IF(F67="","none",IF(G67=1,"carte","multiple"))</f>
        <v/>
      </c>
    </row>
    <row r="68">
      <c r="A68" t="inlineStr">
        <is>
          <t>2022-04-16</t>
        </is>
      </c>
      <c r="B68" t="inlineStr">
        <is>
          <t>11:41</t>
        </is>
      </c>
      <c r="C68" t="n">
        <v>2940</v>
      </c>
      <c r="D68" s="6" t="n">
        <v>57</v>
      </c>
      <c r="E68" t="n">
        <v>36753</v>
      </c>
      <c r="F68" s="6" t="n">
        <v>0.5</v>
      </c>
      <c r="G68" t="n">
        <v>114</v>
      </c>
      <c r="H68" s="6">
        <f>ROUND(G68*F68,2)</f>
        <v/>
      </c>
      <c r="I68">
        <f>IF(ROUND(H68-D68,2)=0,1,0)</f>
        <v/>
      </c>
      <c r="J68">
        <f>IF(F68="","none",IF(G68=1,"carte","multiple"))</f>
        <v/>
      </c>
    </row>
    <row r="69">
      <c r="A69" t="inlineStr">
        <is>
          <t>2022-04-16</t>
        </is>
      </c>
      <c r="B69" t="inlineStr">
        <is>
          <t>11:41</t>
        </is>
      </c>
      <c r="C69" t="n">
        <v>2940</v>
      </c>
      <c r="D69" s="6" t="n">
        <v>19.9</v>
      </c>
      <c r="E69" t="n">
        <v>36754</v>
      </c>
      <c r="F69" s="6" t="n">
        <v>19.9</v>
      </c>
      <c r="G69" t="n">
        <v>1</v>
      </c>
      <c r="H69" s="6">
        <f>ROUND(G69*F69,2)</f>
        <v/>
      </c>
      <c r="I69">
        <f>IF(ROUND(H69-D69,2)=0,1,0)</f>
        <v/>
      </c>
      <c r="J69">
        <f>IF(F69="","none",IF(G69=1,"carte","multiple"))</f>
        <v/>
      </c>
    </row>
    <row r="70">
      <c r="A70" t="inlineStr">
        <is>
          <t>2022-04-16</t>
        </is>
      </c>
      <c r="B70" t="inlineStr">
        <is>
          <t>11:41</t>
        </is>
      </c>
      <c r="C70" t="n">
        <v>2940</v>
      </c>
      <c r="D70" s="6" t="n">
        <v>5.9</v>
      </c>
      <c r="E70" t="n">
        <v>36755</v>
      </c>
      <c r="F70" s="6" t="n">
        <v>5.9</v>
      </c>
      <c r="G70" t="n">
        <v>1</v>
      </c>
      <c r="H70" s="6">
        <f>ROUND(G70*F70,2)</f>
        <v/>
      </c>
      <c r="I70">
        <f>IF(ROUND(H70-D70,2)=0,1,0)</f>
        <v/>
      </c>
      <c r="J70">
        <f>IF(F70="","none",IF(G70=1,"carte","multiple"))</f>
        <v/>
      </c>
    </row>
    <row r="71">
      <c r="A71" t="inlineStr">
        <is>
          <t>2022-04-16</t>
        </is>
      </c>
      <c r="B71" t="inlineStr">
        <is>
          <t>11:41</t>
        </is>
      </c>
      <c r="C71" t="n">
        <v>2940</v>
      </c>
      <c r="D71" s="6" t="n">
        <v>5.2</v>
      </c>
      <c r="E71" t="n">
        <v>36756</v>
      </c>
      <c r="F71" s="6" t="n">
        <v>5.2</v>
      </c>
      <c r="G71" t="n">
        <v>1</v>
      </c>
      <c r="H71" s="6">
        <f>ROUND(G71*F71,2)</f>
        <v/>
      </c>
      <c r="I71">
        <f>IF(ROUND(H71-D71,2)=0,1,0)</f>
        <v/>
      </c>
      <c r="J71">
        <f>IF(F71="","none",IF(G71=1,"carte","multiple"))</f>
        <v/>
      </c>
    </row>
    <row r="72">
      <c r="A72" t="inlineStr">
        <is>
          <t>2022-04-16</t>
        </is>
      </c>
      <c r="B72" t="inlineStr">
        <is>
          <t>11:41</t>
        </is>
      </c>
      <c r="C72" t="n">
        <v>2940</v>
      </c>
      <c r="D72" s="6" t="n">
        <v>5.2</v>
      </c>
      <c r="E72" t="n">
        <v>36757</v>
      </c>
      <c r="F72" s="6" t="n">
        <v>5.2</v>
      </c>
      <c r="G72" t="n">
        <v>1</v>
      </c>
      <c r="H72" s="6">
        <f>ROUND(G72*F72,2)</f>
        <v/>
      </c>
      <c r="I72">
        <f>IF(ROUND(H72-D72,2)=0,1,0)</f>
        <v/>
      </c>
      <c r="J72">
        <f>IF(F72="","none",IF(G72=1,"carte","multiple"))</f>
        <v/>
      </c>
    </row>
    <row r="73">
      <c r="A73" t="inlineStr">
        <is>
          <t>2022-04-16</t>
        </is>
      </c>
      <c r="B73" t="inlineStr">
        <is>
          <t>11:41</t>
        </is>
      </c>
      <c r="C73" t="n">
        <v>2940</v>
      </c>
      <c r="D73" s="6" t="n">
        <v>2.2</v>
      </c>
      <c r="E73" t="n">
        <v>36758</v>
      </c>
      <c r="F73" s="6" t="n">
        <v>2.2</v>
      </c>
      <c r="G73" t="n">
        <v>1</v>
      </c>
      <c r="H73" s="6">
        <f>ROUND(G73*F73,2)</f>
        <v/>
      </c>
      <c r="I73">
        <f>IF(ROUND(H73-D73,2)=0,1,0)</f>
        <v/>
      </c>
      <c r="J73">
        <f>IF(F73="","none",IF(G73=1,"carte","multiple"))</f>
        <v/>
      </c>
    </row>
    <row r="74">
      <c r="A74" t="inlineStr">
        <is>
          <t>2022-04-16</t>
        </is>
      </c>
      <c r="B74" t="inlineStr">
        <is>
          <t>11:41</t>
        </is>
      </c>
      <c r="C74" t="n">
        <v>2940</v>
      </c>
      <c r="D74" s="6" t="n">
        <v>7.8</v>
      </c>
      <c r="E74" t="n">
        <v>36759</v>
      </c>
      <c r="F74" s="6" t="n">
        <v>7.8</v>
      </c>
      <c r="G74" t="n">
        <v>1</v>
      </c>
      <c r="H74" s="6">
        <f>ROUND(G74*F74,2)</f>
        <v/>
      </c>
      <c r="I74">
        <f>IF(ROUND(H74-D74,2)=0,1,0)</f>
        <v/>
      </c>
      <c r="J74">
        <f>IF(F74="","none",IF(G74=1,"carte","multiple"))</f>
        <v/>
      </c>
    </row>
    <row r="75">
      <c r="A75" t="inlineStr">
        <is>
          <t>2022-04-16</t>
        </is>
      </c>
      <c r="B75" t="inlineStr">
        <is>
          <t>11:41</t>
        </is>
      </c>
      <c r="C75" t="n">
        <v>2940</v>
      </c>
      <c r="D75" s="6" t="n">
        <v>3.9</v>
      </c>
      <c r="E75" t="n">
        <v>36760</v>
      </c>
      <c r="F75" s="6" t="n">
        <v>3.9</v>
      </c>
      <c r="G75" t="n">
        <v>1</v>
      </c>
      <c r="H75" s="6">
        <f>ROUND(G75*F75,2)</f>
        <v/>
      </c>
      <c r="I75">
        <f>IF(ROUND(H75-D75,2)=0,1,0)</f>
        <v/>
      </c>
      <c r="J75">
        <f>IF(F75="","none",IF(G75=1,"carte","multiple"))</f>
        <v/>
      </c>
    </row>
    <row r="76">
      <c r="A76" t="inlineStr">
        <is>
          <t>2022-04-16</t>
        </is>
      </c>
      <c r="B76" t="inlineStr">
        <is>
          <t>11:41</t>
        </is>
      </c>
      <c r="C76" t="n">
        <v>2940</v>
      </c>
      <c r="D76" s="6" t="n">
        <v>3.9</v>
      </c>
      <c r="E76" t="n">
        <v>36761</v>
      </c>
      <c r="F76" s="6" t="n">
        <v>3.9</v>
      </c>
      <c r="G76" t="n">
        <v>1</v>
      </c>
      <c r="H76" s="6">
        <f>ROUND(G76*F76,2)</f>
        <v/>
      </c>
      <c r="I76">
        <f>IF(ROUND(H76-D76,2)=0,1,0)</f>
        <v/>
      </c>
      <c r="J76">
        <f>IF(F76="","none",IF(G76=1,"carte","multiple"))</f>
        <v/>
      </c>
    </row>
    <row r="77">
      <c r="A77" t="inlineStr">
        <is>
          <t>2022-04-16</t>
        </is>
      </c>
      <c r="B77" t="inlineStr">
        <is>
          <t>12:03</t>
        </is>
      </c>
      <c r="C77" t="n">
        <v>2940</v>
      </c>
      <c r="D77" s="6" t="n">
        <v>7.2</v>
      </c>
      <c r="E77" t="n">
        <v>36762</v>
      </c>
      <c r="F77" s="6" t="n">
        <v>7.2</v>
      </c>
      <c r="G77" t="n">
        <v>1</v>
      </c>
      <c r="H77" s="6">
        <f>ROUND(G77*F77,2)</f>
        <v/>
      </c>
      <c r="I77">
        <f>IF(ROUND(H77-D77,2)=0,1,0)</f>
        <v/>
      </c>
      <c r="J77">
        <f>IF(F77="","none",IF(G77=1,"carte","multiple"))</f>
        <v/>
      </c>
    </row>
    <row r="78">
      <c r="A78" t="inlineStr">
        <is>
          <t>2022-04-16</t>
        </is>
      </c>
      <c r="B78" t="inlineStr">
        <is>
          <t>12:03</t>
        </is>
      </c>
      <c r="C78" t="n">
        <v>2940</v>
      </c>
      <c r="D78" s="6" t="n">
        <v>6.6</v>
      </c>
      <c r="E78" t="n">
        <v>36763</v>
      </c>
      <c r="F78" s="6" t="n">
        <v>6.6</v>
      </c>
      <c r="G78" t="n">
        <v>1</v>
      </c>
      <c r="H78" s="6">
        <f>ROUND(G78*F78,2)</f>
        <v/>
      </c>
      <c r="I78">
        <f>IF(ROUND(H78-D78,2)=0,1,0)</f>
        <v/>
      </c>
      <c r="J78">
        <f>IF(F78="","none",IF(G78=1,"carte","multiple"))</f>
        <v/>
      </c>
    </row>
    <row r="79">
      <c r="A79" t="inlineStr">
        <is>
          <t>2022-04-16</t>
        </is>
      </c>
      <c r="B79" t="inlineStr">
        <is>
          <t>12:04</t>
        </is>
      </c>
      <c r="C79" t="n">
        <v>2940</v>
      </c>
      <c r="D79" s="6" t="n">
        <v>5.8</v>
      </c>
      <c r="E79" t="n">
        <v>36764</v>
      </c>
      <c r="F79" s="6" t="n">
        <v>5.8</v>
      </c>
      <c r="G79" t="n">
        <v>1</v>
      </c>
      <c r="H79" s="6">
        <f>ROUND(G79*F79,2)</f>
        <v/>
      </c>
      <c r="I79">
        <f>IF(ROUND(H79-D79,2)=0,1,0)</f>
        <v/>
      </c>
      <c r="J79">
        <f>IF(F79="","none",IF(G79=1,"carte","multiple"))</f>
        <v/>
      </c>
    </row>
    <row r="80">
      <c r="A80" t="inlineStr">
        <is>
          <t>2022-04-16</t>
        </is>
      </c>
      <c r="B80" t="inlineStr">
        <is>
          <t>12:04</t>
        </is>
      </c>
      <c r="C80" t="n">
        <v>2940</v>
      </c>
      <c r="D80" s="6" t="n">
        <v>3.6</v>
      </c>
      <c r="E80" t="n">
        <v>36765</v>
      </c>
      <c r="F80" s="6" t="n">
        <v>3.6</v>
      </c>
      <c r="G80" t="n">
        <v>1</v>
      </c>
      <c r="H80" s="6">
        <f>ROUND(G80*F80,2)</f>
        <v/>
      </c>
      <c r="I80">
        <f>IF(ROUND(H80-D80,2)=0,1,0)</f>
        <v/>
      </c>
      <c r="J80">
        <f>IF(F80="","none",IF(G80=1,"carte","multiple"))</f>
        <v/>
      </c>
    </row>
    <row r="81">
      <c r="A81" t="inlineStr">
        <is>
          <t>2022-04-16</t>
        </is>
      </c>
      <c r="B81" t="inlineStr">
        <is>
          <t>12:04</t>
        </is>
      </c>
      <c r="C81" t="n">
        <v>2940</v>
      </c>
      <c r="D81" s="6" t="n">
        <v>3.9</v>
      </c>
      <c r="E81" t="n">
        <v>36766</v>
      </c>
      <c r="F81" s="6" t="n">
        <v>3.9</v>
      </c>
      <c r="G81" t="n">
        <v>1</v>
      </c>
      <c r="H81" s="6">
        <f>ROUND(G81*F81,2)</f>
        <v/>
      </c>
      <c r="I81">
        <f>IF(ROUND(H81-D81,2)=0,1,0)</f>
        <v/>
      </c>
      <c r="J81">
        <f>IF(F81="","none",IF(G81=1,"carte","multiple"))</f>
        <v/>
      </c>
    </row>
    <row r="82">
      <c r="A82" t="inlineStr">
        <is>
          <t>2022-04-16</t>
        </is>
      </c>
      <c r="B82" t="inlineStr">
        <is>
          <t>12:04</t>
        </is>
      </c>
      <c r="C82" t="n">
        <v>2940</v>
      </c>
      <c r="D82" s="6" t="n">
        <v>8.800000000000001</v>
      </c>
      <c r="E82" t="n">
        <v>36767</v>
      </c>
      <c r="F82" s="6" t="n">
        <v>8.800000000000001</v>
      </c>
      <c r="G82" t="n">
        <v>1</v>
      </c>
      <c r="H82" s="6">
        <f>ROUND(G82*F82,2)</f>
        <v/>
      </c>
      <c r="I82">
        <f>IF(ROUND(H82-D82,2)=0,1,0)</f>
        <v/>
      </c>
      <c r="J82">
        <f>IF(F82="","none",IF(G82=1,"carte","multiple"))</f>
        <v/>
      </c>
    </row>
    <row r="83">
      <c r="A83" t="inlineStr">
        <is>
          <t>2022-04-16</t>
        </is>
      </c>
      <c r="B83" t="inlineStr">
        <is>
          <t>12:04</t>
        </is>
      </c>
      <c r="C83" t="n">
        <v>2940</v>
      </c>
      <c r="D83" s="6" t="n">
        <v>15.9</v>
      </c>
      <c r="E83" t="n">
        <v>36768</v>
      </c>
      <c r="F83" s="6" t="n">
        <v>15.9</v>
      </c>
      <c r="G83" t="n">
        <v>1</v>
      </c>
      <c r="H83" s="6">
        <f>ROUND(G83*F83,2)</f>
        <v/>
      </c>
      <c r="I83">
        <f>IF(ROUND(H83-D83,2)=0,1,0)</f>
        <v/>
      </c>
      <c r="J83">
        <f>IF(F83="","none",IF(G83=1,"carte","multiple"))</f>
        <v/>
      </c>
    </row>
    <row r="84">
      <c r="A84" t="inlineStr">
        <is>
          <t>2022-04-16</t>
        </is>
      </c>
      <c r="B84" t="inlineStr">
        <is>
          <t>12:04</t>
        </is>
      </c>
      <c r="C84" t="n">
        <v>2940</v>
      </c>
      <c r="D84" s="6" t="n">
        <v>46</v>
      </c>
      <c r="E84" t="n">
        <v>36769</v>
      </c>
      <c r="F84" s="6" t="n">
        <v>0.4</v>
      </c>
      <c r="G84" t="n">
        <v>115</v>
      </c>
      <c r="H84" s="6">
        <f>ROUND(G84*F84,2)</f>
        <v/>
      </c>
      <c r="I84">
        <f>IF(ROUND(H84-D84,2)=0,1,0)</f>
        <v/>
      </c>
      <c r="J84">
        <f>IF(F84="","none",IF(G84=1,"carte","multiple"))</f>
        <v/>
      </c>
    </row>
    <row r="85">
      <c r="A85" t="inlineStr">
        <is>
          <t>2022-04-16</t>
        </is>
      </c>
      <c r="B85" t="inlineStr">
        <is>
          <t>12:04</t>
        </is>
      </c>
      <c r="C85" t="n">
        <v>2940</v>
      </c>
      <c r="D85" s="6" t="n">
        <v>4.9</v>
      </c>
      <c r="E85" t="n">
        <v>36770</v>
      </c>
      <c r="F85" s="6" t="n">
        <v>4.9</v>
      </c>
      <c r="G85" t="n">
        <v>1</v>
      </c>
      <c r="H85" s="6">
        <f>ROUND(G85*F85,2)</f>
        <v/>
      </c>
      <c r="I85">
        <f>IF(ROUND(H85-D85,2)=0,1,0)</f>
        <v/>
      </c>
      <c r="J85">
        <f>IF(F85="","none",IF(G85=1,"carte","multiple"))</f>
        <v/>
      </c>
    </row>
    <row r="86">
      <c r="A86" t="inlineStr">
        <is>
          <t>2022-04-16</t>
        </is>
      </c>
      <c r="B86" t="inlineStr">
        <is>
          <t>12:04</t>
        </is>
      </c>
      <c r="C86" t="n">
        <v>2940</v>
      </c>
      <c r="D86" s="6" t="n">
        <v>3.9</v>
      </c>
      <c r="E86" t="n">
        <v>36771</v>
      </c>
      <c r="F86" s="6" t="n">
        <v>3.9</v>
      </c>
      <c r="G86" t="n">
        <v>1</v>
      </c>
      <c r="H86" s="6">
        <f>ROUND(G86*F86,2)</f>
        <v/>
      </c>
      <c r="I86">
        <f>IF(ROUND(H86-D86,2)=0,1,0)</f>
        <v/>
      </c>
      <c r="J86">
        <f>IF(F86="","none",IF(G86=1,"carte","multiple"))</f>
        <v/>
      </c>
    </row>
    <row r="87">
      <c r="A87" t="inlineStr">
        <is>
          <t>2022-04-16</t>
        </is>
      </c>
      <c r="B87" t="inlineStr">
        <is>
          <t>12:04</t>
        </is>
      </c>
      <c r="C87" t="n">
        <v>2940</v>
      </c>
      <c r="D87" s="6" t="n">
        <v>4.2</v>
      </c>
      <c r="E87" t="n">
        <v>36772</v>
      </c>
      <c r="F87" s="6" t="n">
        <v>4.2</v>
      </c>
      <c r="G87" t="n">
        <v>1</v>
      </c>
      <c r="H87" s="6">
        <f>ROUND(G87*F87,2)</f>
        <v/>
      </c>
      <c r="I87">
        <f>IF(ROUND(H87-D87,2)=0,1,0)</f>
        <v/>
      </c>
      <c r="J87">
        <f>IF(F87="","none",IF(G87=1,"carte","multiple"))</f>
        <v/>
      </c>
    </row>
    <row r="88">
      <c r="A88" t="inlineStr">
        <is>
          <t>2022-04-16</t>
        </is>
      </c>
      <c r="B88" t="inlineStr">
        <is>
          <t>12:25</t>
        </is>
      </c>
      <c r="C88" t="n">
        <v>2940</v>
      </c>
      <c r="D88" s="6" t="n">
        <v>3.9</v>
      </c>
      <c r="E88" t="n">
        <v>36773</v>
      </c>
      <c r="F88" s="6" t="n">
        <v>3.9</v>
      </c>
      <c r="G88" t="n">
        <v>1</v>
      </c>
      <c r="H88" s="6">
        <f>ROUND(G88*F88,2)</f>
        <v/>
      </c>
      <c r="I88">
        <f>IF(ROUND(H88-D88,2)=0,1,0)</f>
        <v/>
      </c>
      <c r="J88">
        <f>IF(F88="","none",IF(G88=1,"carte","multiple"))</f>
        <v/>
      </c>
    </row>
    <row r="89">
      <c r="A89" t="inlineStr">
        <is>
          <t>2022-04-16</t>
        </is>
      </c>
      <c r="B89" t="inlineStr">
        <is>
          <t>18:31</t>
        </is>
      </c>
      <c r="C89" t="n">
        <v>2940</v>
      </c>
      <c r="D89" s="6" t="n">
        <v>14.3</v>
      </c>
      <c r="E89" t="n">
        <v>36775</v>
      </c>
      <c r="F89" s="6" t="n">
        <v>14.3</v>
      </c>
      <c r="G89" t="n">
        <v>1</v>
      </c>
      <c r="H89" s="6">
        <f>ROUND(G89*F89,2)</f>
        <v/>
      </c>
      <c r="I89">
        <f>IF(ROUND(H89-D89,2)=0,1,0)</f>
        <v/>
      </c>
      <c r="J89">
        <f>IF(F89="","none",IF(G89=1,"carte","multiple"))</f>
        <v/>
      </c>
    </row>
    <row r="90">
      <c r="A90" t="inlineStr">
        <is>
          <t>2022-04-16</t>
        </is>
      </c>
      <c r="B90" t="inlineStr">
        <is>
          <t>18:31</t>
        </is>
      </c>
      <c r="C90" t="n">
        <v>2940</v>
      </c>
      <c r="D90" s="6" t="n">
        <v>1.8</v>
      </c>
      <c r="E90" t="n">
        <v>36776</v>
      </c>
      <c r="F90" s="6" t="n">
        <v>1.8</v>
      </c>
      <c r="G90" t="n">
        <v>1</v>
      </c>
      <c r="H90" s="6">
        <f>ROUND(G90*F90,2)</f>
        <v/>
      </c>
      <c r="I90">
        <f>IF(ROUND(H90-D90,2)=0,1,0)</f>
        <v/>
      </c>
      <c r="J90">
        <f>IF(F90="","none",IF(G90=1,"carte","multiple"))</f>
        <v/>
      </c>
    </row>
    <row r="91">
      <c r="A91" t="inlineStr">
        <is>
          <t>2022-04-16</t>
        </is>
      </c>
      <c r="B91" t="inlineStr">
        <is>
          <t>18:31</t>
        </is>
      </c>
      <c r="C91" t="n">
        <v>2940</v>
      </c>
      <c r="D91" s="6" t="n">
        <v>2.9</v>
      </c>
      <c r="E91" t="n">
        <v>36777</v>
      </c>
      <c r="F91" s="6" t="n">
        <v>2.9</v>
      </c>
      <c r="G91" t="n">
        <v>1</v>
      </c>
      <c r="H91" s="6">
        <f>ROUND(G91*F91,2)</f>
        <v/>
      </c>
      <c r="I91">
        <f>IF(ROUND(H91-D91,2)=0,1,0)</f>
        <v/>
      </c>
      <c r="J91">
        <f>IF(F91="","none",IF(G91=1,"carte","multiple"))</f>
        <v/>
      </c>
    </row>
    <row r="92">
      <c r="A92" t="inlineStr">
        <is>
          <t>2022-04-16</t>
        </is>
      </c>
      <c r="B92" t="inlineStr">
        <is>
          <t>18:31</t>
        </is>
      </c>
      <c r="C92" t="n">
        <v>2940</v>
      </c>
      <c r="D92" s="6" t="n">
        <v>19.9</v>
      </c>
      <c r="E92" t="n">
        <v>36778</v>
      </c>
      <c r="F92" s="6" t="n">
        <v>19.9</v>
      </c>
      <c r="G92" t="n">
        <v>1</v>
      </c>
      <c r="H92" s="6">
        <f>ROUND(G92*F92,2)</f>
        <v/>
      </c>
      <c r="I92">
        <f>IF(ROUND(H92-D92,2)=0,1,0)</f>
        <v/>
      </c>
      <c r="J92">
        <f>IF(F92="","none",IF(G92=1,"carte","multiple"))</f>
        <v/>
      </c>
    </row>
    <row r="93">
      <c r="A93" t="inlineStr">
        <is>
          <t>2022-04-16</t>
        </is>
      </c>
      <c r="B93" t="inlineStr">
        <is>
          <t>18:31</t>
        </is>
      </c>
      <c r="C93" t="n">
        <v>2940</v>
      </c>
      <c r="D93" s="6" t="n">
        <v>11.6</v>
      </c>
      <c r="E93" t="n">
        <v>36779</v>
      </c>
      <c r="F93" s="6" t="n">
        <v>11.6</v>
      </c>
      <c r="G93" t="n">
        <v>1</v>
      </c>
      <c r="H93" s="6">
        <f>ROUND(G93*F93,2)</f>
        <v/>
      </c>
      <c r="I93">
        <f>IF(ROUND(H93-D93,2)=0,1,0)</f>
        <v/>
      </c>
      <c r="J93">
        <f>IF(F93="","none",IF(G93=1,"carte","multiple"))</f>
        <v/>
      </c>
    </row>
    <row r="94">
      <c r="A94" t="inlineStr">
        <is>
          <t>2022-04-16</t>
        </is>
      </c>
      <c r="B94" t="inlineStr">
        <is>
          <t>18:31</t>
        </is>
      </c>
      <c r="C94" t="n">
        <v>2940</v>
      </c>
      <c r="D94" s="6" t="n">
        <v>9.800000000000001</v>
      </c>
      <c r="E94" t="n">
        <v>36780</v>
      </c>
      <c r="F94" s="6" t="n">
        <v>9.800000000000001</v>
      </c>
      <c r="G94" t="n">
        <v>1</v>
      </c>
      <c r="H94" s="6">
        <f>ROUND(G94*F94,2)</f>
        <v/>
      </c>
      <c r="I94">
        <f>IF(ROUND(H94-D94,2)=0,1,0)</f>
        <v/>
      </c>
      <c r="J94">
        <f>IF(F94="","none",IF(G94=1,"carte","multiple"))</f>
        <v/>
      </c>
    </row>
    <row r="95">
      <c r="A95" t="inlineStr">
        <is>
          <t>2022-04-16</t>
        </is>
      </c>
      <c r="B95" t="inlineStr">
        <is>
          <t>18:38</t>
        </is>
      </c>
      <c r="C95" t="n">
        <v>2940</v>
      </c>
      <c r="D95" s="6" t="n">
        <v>5</v>
      </c>
      <c r="E95" t="n">
        <v>36781</v>
      </c>
      <c r="F95" s="6" t="n">
        <v>5</v>
      </c>
      <c r="G95" t="n">
        <v>1</v>
      </c>
      <c r="H95" s="6">
        <f>ROUND(G95*F95,2)</f>
        <v/>
      </c>
      <c r="I95">
        <f>IF(ROUND(H95-D95,2)=0,1,0)</f>
        <v/>
      </c>
      <c r="J95">
        <f>IF(F95="","none",IF(G95=1,"carte","multiple"))</f>
        <v/>
      </c>
    </row>
    <row r="96">
      <c r="A96" t="inlineStr">
        <is>
          <t>2022-04-16</t>
        </is>
      </c>
      <c r="B96" t="inlineStr">
        <is>
          <t>19:17</t>
        </is>
      </c>
      <c r="C96" t="n">
        <v>2940</v>
      </c>
      <c r="D96" s="6" t="n">
        <v>19</v>
      </c>
      <c r="E96" t="n">
        <v>36782</v>
      </c>
      <c r="F96" s="6" t="n">
        <v>19</v>
      </c>
      <c r="G96" t="n">
        <v>1</v>
      </c>
      <c r="H96" s="6">
        <f>ROUND(G96*F96,2)</f>
        <v/>
      </c>
      <c r="I96">
        <f>IF(ROUND(H96-D96,2)=0,1,0)</f>
        <v/>
      </c>
      <c r="J96">
        <f>IF(F96="","none",IF(G96=1,"carte","multiple"))</f>
        <v/>
      </c>
    </row>
    <row r="97">
      <c r="A97" t="inlineStr">
        <is>
          <t>2022-04-16</t>
        </is>
      </c>
      <c r="B97" t="inlineStr">
        <is>
          <t>19:17</t>
        </is>
      </c>
      <c r="C97" t="n">
        <v>2940</v>
      </c>
      <c r="D97" s="6" t="n">
        <v>7.9</v>
      </c>
      <c r="E97" t="n">
        <v>36783</v>
      </c>
      <c r="F97" s="6" t="n">
        <v>7.9</v>
      </c>
      <c r="G97" t="n">
        <v>1</v>
      </c>
      <c r="H97" s="6">
        <f>ROUND(G97*F97,2)</f>
        <v/>
      </c>
      <c r="I97">
        <f>IF(ROUND(H97-D97,2)=0,1,0)</f>
        <v/>
      </c>
      <c r="J97">
        <f>IF(F97="","none",IF(G97=1,"carte","multiple"))</f>
        <v/>
      </c>
    </row>
    <row r="98">
      <c r="A98" t="inlineStr">
        <is>
          <t>2022-04-16</t>
        </is>
      </c>
      <c r="B98" t="inlineStr">
        <is>
          <t>19:17</t>
        </is>
      </c>
      <c r="C98" t="n">
        <v>2940</v>
      </c>
      <c r="D98" s="6" t="n">
        <v>7.5</v>
      </c>
      <c r="E98" t="n">
        <v>36784</v>
      </c>
      <c r="F98" s="6" t="n">
        <v>7.5</v>
      </c>
      <c r="G98" t="n">
        <v>1</v>
      </c>
      <c r="H98" s="6">
        <f>ROUND(G98*F98,2)</f>
        <v/>
      </c>
      <c r="I98">
        <f>IF(ROUND(H98-D98,2)=0,1,0)</f>
        <v/>
      </c>
      <c r="J98">
        <f>IF(F98="","none",IF(G98=1,"carte","multiple"))</f>
        <v/>
      </c>
    </row>
    <row r="99">
      <c r="A99" t="inlineStr">
        <is>
          <t>2022-04-16</t>
        </is>
      </c>
      <c r="B99" t="inlineStr">
        <is>
          <t>19:54</t>
        </is>
      </c>
      <c r="C99" t="n">
        <v>2940</v>
      </c>
      <c r="D99" s="6" t="n">
        <v>29.9</v>
      </c>
      <c r="E99" t="n">
        <v>36785</v>
      </c>
      <c r="F99" s="6" t="n">
        <v>29.9</v>
      </c>
      <c r="G99" t="n">
        <v>1</v>
      </c>
      <c r="H99" s="6">
        <f>ROUND(G99*F99,2)</f>
        <v/>
      </c>
      <c r="I99">
        <f>IF(ROUND(H99-D99,2)=0,1,0)</f>
        <v/>
      </c>
      <c r="J99">
        <f>IF(F99="","none",IF(G99=1,"carte","multiple"))</f>
        <v/>
      </c>
    </row>
    <row r="100">
      <c r="A100" t="inlineStr">
        <is>
          <t>2022-04-16</t>
        </is>
      </c>
      <c r="B100" t="inlineStr">
        <is>
          <t>19:58</t>
        </is>
      </c>
      <c r="C100" t="n">
        <v>2940</v>
      </c>
      <c r="D100" s="6" t="n">
        <v>2.2</v>
      </c>
      <c r="E100" t="n">
        <v>36786</v>
      </c>
      <c r="F100" s="6" t="n">
        <v>2.2</v>
      </c>
      <c r="G100" t="n">
        <v>1</v>
      </c>
      <c r="H100" s="6">
        <f>ROUND(G100*F100,2)</f>
        <v/>
      </c>
      <c r="I100">
        <f>IF(ROUND(H100-D100,2)=0,1,0)</f>
        <v/>
      </c>
      <c r="J100">
        <f>IF(F100="","none",IF(G100=1,"carte","multiple"))</f>
        <v/>
      </c>
    </row>
    <row r="101">
      <c r="A101" t="inlineStr">
        <is>
          <t>2022-04-16</t>
        </is>
      </c>
      <c r="B101" t="inlineStr">
        <is>
          <t>19:58</t>
        </is>
      </c>
      <c r="C101" t="n">
        <v>2940</v>
      </c>
      <c r="D101" s="6" t="n">
        <v>9.800000000000001</v>
      </c>
      <c r="E101" t="n">
        <v>36787</v>
      </c>
      <c r="F101" s="6" t="n">
        <v>9.800000000000001</v>
      </c>
      <c r="G101" t="n">
        <v>1</v>
      </c>
      <c r="H101" s="6">
        <f>ROUND(G101*F101,2)</f>
        <v/>
      </c>
      <c r="I101">
        <f>IF(ROUND(H101-D101,2)=0,1,0)</f>
        <v/>
      </c>
      <c r="J101">
        <f>IF(F101="","none",IF(G101=1,"carte","multiple"))</f>
        <v/>
      </c>
    </row>
    <row r="102">
      <c r="A102" t="inlineStr">
        <is>
          <t>2022-04-16</t>
        </is>
      </c>
      <c r="B102" t="inlineStr">
        <is>
          <t>19:58</t>
        </is>
      </c>
      <c r="C102" t="n">
        <v>2940</v>
      </c>
      <c r="D102" s="6" t="n">
        <v>32</v>
      </c>
      <c r="E102" t="n">
        <v>36788</v>
      </c>
      <c r="F102" s="6" t="n">
        <v>32</v>
      </c>
      <c r="G102" t="n">
        <v>1</v>
      </c>
      <c r="H102" s="6">
        <f>ROUND(G102*F102,2)</f>
        <v/>
      </c>
      <c r="I102">
        <f>IF(ROUND(H102-D102,2)=0,1,0)</f>
        <v/>
      </c>
      <c r="J102">
        <f>IF(F102="","none",IF(G102=1,"carte","multiple"))</f>
        <v/>
      </c>
    </row>
    <row r="103">
      <c r="A103" t="inlineStr">
        <is>
          <t>2022-04-16</t>
        </is>
      </c>
      <c r="B103" t="inlineStr">
        <is>
          <t>19:58</t>
        </is>
      </c>
      <c r="C103" t="n">
        <v>2940</v>
      </c>
      <c r="D103" s="6" t="n">
        <v>23</v>
      </c>
      <c r="E103" t="n">
        <v>36789</v>
      </c>
      <c r="F103" s="6" t="n">
        <v>23</v>
      </c>
      <c r="G103" t="n">
        <v>1</v>
      </c>
      <c r="H103" s="6">
        <f>ROUND(G103*F103,2)</f>
        <v/>
      </c>
      <c r="I103">
        <f>IF(ROUND(H103-D103,2)=0,1,0)</f>
        <v/>
      </c>
      <c r="J103">
        <f>IF(F103="","none",IF(G103=1,"carte","multiple"))</f>
        <v/>
      </c>
    </row>
    <row r="104">
      <c r="A104" t="inlineStr">
        <is>
          <t>2022-04-16</t>
        </is>
      </c>
      <c r="B104" t="inlineStr">
        <is>
          <t>19:58</t>
        </is>
      </c>
      <c r="C104" t="n">
        <v>2940</v>
      </c>
      <c r="D104" s="6" t="n">
        <v>3.9</v>
      </c>
      <c r="E104" t="n">
        <v>36790</v>
      </c>
      <c r="F104" s="6" t="n">
        <v>3.9</v>
      </c>
      <c r="G104" t="n">
        <v>1</v>
      </c>
      <c r="H104" s="6">
        <f>ROUND(G104*F104,2)</f>
        <v/>
      </c>
      <c r="I104">
        <f>IF(ROUND(H104-D104,2)=0,1,0)</f>
        <v/>
      </c>
      <c r="J104">
        <f>IF(F104="","none",IF(G104=1,"carte","multiple"))</f>
        <v/>
      </c>
    </row>
    <row r="105">
      <c r="A105" t="inlineStr">
        <is>
          <t>2022-04-16</t>
        </is>
      </c>
      <c r="B105" t="inlineStr">
        <is>
          <t>19:58</t>
        </is>
      </c>
      <c r="C105" t="n">
        <v>2940</v>
      </c>
      <c r="D105" s="6" t="n">
        <v>5.2</v>
      </c>
      <c r="E105" t="n">
        <v>36791</v>
      </c>
      <c r="F105" s="6" t="n">
        <v>5.2</v>
      </c>
      <c r="G105" t="n">
        <v>1</v>
      </c>
      <c r="H105" s="6">
        <f>ROUND(G105*F105,2)</f>
        <v/>
      </c>
      <c r="I105">
        <f>IF(ROUND(H105-D105,2)=0,1,0)</f>
        <v/>
      </c>
      <c r="J105">
        <f>IF(F105="","none",IF(G105=1,"carte","multiple"))</f>
        <v/>
      </c>
    </row>
    <row r="106">
      <c r="A106" t="inlineStr">
        <is>
          <t>2022-04-16</t>
        </is>
      </c>
      <c r="B106" t="inlineStr">
        <is>
          <t>20:07</t>
        </is>
      </c>
      <c r="C106" t="n">
        <v>2940</v>
      </c>
      <c r="D106" s="6" t="n">
        <v>8.699999999999999</v>
      </c>
      <c r="E106" t="n">
        <v>36792</v>
      </c>
      <c r="F106" s="6" t="n">
        <v>8.699999999999999</v>
      </c>
      <c r="G106" t="n">
        <v>1</v>
      </c>
      <c r="H106" s="6">
        <f>ROUND(G106*F106,2)</f>
        <v/>
      </c>
      <c r="I106">
        <f>IF(ROUND(H106-D106,2)=0,1,0)</f>
        <v/>
      </c>
      <c r="J106">
        <f>IF(F106="","none",IF(G106=1,"carte","multiple"))</f>
        <v/>
      </c>
    </row>
    <row r="107">
      <c r="A107" t="inlineStr">
        <is>
          <t>2022-04-16</t>
        </is>
      </c>
      <c r="B107" t="inlineStr">
        <is>
          <t>20:07</t>
        </is>
      </c>
      <c r="C107" t="n">
        <v>2940</v>
      </c>
      <c r="D107" s="6" t="n">
        <v>4.7</v>
      </c>
      <c r="E107" t="n">
        <v>36793</v>
      </c>
      <c r="F107" s="6" t="n">
        <v>4.7</v>
      </c>
      <c r="G107" t="n">
        <v>1</v>
      </c>
      <c r="H107" s="6">
        <f>ROUND(G107*F107,2)</f>
        <v/>
      </c>
      <c r="I107">
        <f>IF(ROUND(H107-D107,2)=0,1,0)</f>
        <v/>
      </c>
      <c r="J107">
        <f>IF(F107="","none",IF(G107=1,"carte","multiple"))</f>
        <v/>
      </c>
    </row>
    <row r="108">
      <c r="A108" t="inlineStr">
        <is>
          <t>2022-04-16</t>
        </is>
      </c>
      <c r="B108" t="inlineStr">
        <is>
          <t>20:07</t>
        </is>
      </c>
      <c r="C108" t="n">
        <v>2940</v>
      </c>
      <c r="D108" s="6" t="n">
        <v>3.9</v>
      </c>
      <c r="E108" t="n">
        <v>36794</v>
      </c>
      <c r="F108" s="6" t="n">
        <v>3.9</v>
      </c>
      <c r="G108" t="n">
        <v>1</v>
      </c>
      <c r="H108" s="6">
        <f>ROUND(G108*F108,2)</f>
        <v/>
      </c>
      <c r="I108">
        <f>IF(ROUND(H108-D108,2)=0,1,0)</f>
        <v/>
      </c>
      <c r="J108">
        <f>IF(F108="","none",IF(G108=1,"carte","multiple"))</f>
        <v/>
      </c>
    </row>
    <row r="109">
      <c r="A109" t="inlineStr">
        <is>
          <t>2022-04-16</t>
        </is>
      </c>
      <c r="B109" t="inlineStr">
        <is>
          <t>20:07</t>
        </is>
      </c>
      <c r="C109" t="n">
        <v>2940</v>
      </c>
      <c r="D109" s="6" t="n">
        <v>39.8</v>
      </c>
      <c r="E109" t="n">
        <v>36795</v>
      </c>
      <c r="F109" s="6" t="n">
        <v>39.8</v>
      </c>
      <c r="G109" t="n">
        <v>1</v>
      </c>
      <c r="H109" s="6">
        <f>ROUND(G109*F109,2)</f>
        <v/>
      </c>
      <c r="I109">
        <f>IF(ROUND(H109-D109,2)=0,1,0)</f>
        <v/>
      </c>
      <c r="J109">
        <f>IF(F109="","none",IF(G109=1,"carte","multiple"))</f>
        <v/>
      </c>
    </row>
    <row r="110">
      <c r="A110" t="inlineStr">
        <is>
          <t>2022-04-16</t>
        </is>
      </c>
      <c r="B110" t="inlineStr">
        <is>
          <t>20:07</t>
        </is>
      </c>
      <c r="C110" t="n">
        <v>2940</v>
      </c>
      <c r="D110" s="6" t="n">
        <v>3.9</v>
      </c>
      <c r="E110" t="n">
        <v>36796</v>
      </c>
      <c r="F110" s="6" t="n">
        <v>3.9</v>
      </c>
      <c r="G110" t="n">
        <v>1</v>
      </c>
      <c r="H110" s="6">
        <f>ROUND(G110*F110,2)</f>
        <v/>
      </c>
      <c r="I110">
        <f>IF(ROUND(H110-D110,2)=0,1,0)</f>
        <v/>
      </c>
      <c r="J110">
        <f>IF(F110="","none",IF(G110=1,"carte","multiple"))</f>
        <v/>
      </c>
    </row>
    <row r="111">
      <c r="A111" t="inlineStr">
        <is>
          <t>2022-04-16</t>
        </is>
      </c>
      <c r="B111" t="inlineStr">
        <is>
          <t>20:07</t>
        </is>
      </c>
      <c r="C111" t="n">
        <v>2940</v>
      </c>
      <c r="D111" s="6" t="n">
        <v>7.8</v>
      </c>
      <c r="E111" t="n">
        <v>36797</v>
      </c>
      <c r="F111" s="6" t="n">
        <v>7.8</v>
      </c>
      <c r="G111" t="n">
        <v>1</v>
      </c>
      <c r="H111" s="6">
        <f>ROUND(G111*F111,2)</f>
        <v/>
      </c>
      <c r="I111">
        <f>IF(ROUND(H111-D111,2)=0,1,0)</f>
        <v/>
      </c>
      <c r="J111">
        <f>IF(F111="","none",IF(G111=1,"carte","multiple"))</f>
        <v/>
      </c>
    </row>
    <row r="112">
      <c r="A112" t="inlineStr">
        <is>
          <t>2022-04-16</t>
        </is>
      </c>
      <c r="B112" t="inlineStr">
        <is>
          <t>20:21</t>
        </is>
      </c>
      <c r="C112" t="n">
        <v>2940</v>
      </c>
      <c r="D112" s="6" t="n">
        <v>2.2</v>
      </c>
      <c r="E112" t="n">
        <v>36798</v>
      </c>
      <c r="F112" s="6" t="n">
        <v>2.2</v>
      </c>
      <c r="G112" t="n">
        <v>1</v>
      </c>
      <c r="H112" s="6">
        <f>ROUND(G112*F112,2)</f>
        <v/>
      </c>
      <c r="I112">
        <f>IF(ROUND(H112-D112,2)=0,1,0)</f>
        <v/>
      </c>
      <c r="J112">
        <f>IF(F112="","none",IF(G112=1,"carte","multiple"))</f>
        <v/>
      </c>
    </row>
    <row r="113">
      <c r="A113" t="inlineStr">
        <is>
          <t>2022-04-16</t>
        </is>
      </c>
      <c r="B113" t="inlineStr">
        <is>
          <t>20:21</t>
        </is>
      </c>
      <c r="C113" t="n">
        <v>2940</v>
      </c>
      <c r="D113" s="6" t="n">
        <v>2</v>
      </c>
      <c r="E113" t="n">
        <v>36799</v>
      </c>
      <c r="F113" s="6" t="n">
        <v>2</v>
      </c>
      <c r="G113" t="n">
        <v>1</v>
      </c>
      <c r="H113" s="6">
        <f>ROUND(G113*F113,2)</f>
        <v/>
      </c>
      <c r="I113">
        <f>IF(ROUND(H113-D113,2)=0,1,0)</f>
        <v/>
      </c>
      <c r="J113">
        <f>IF(F113="","none",IF(G113=1,"carte","multiple"))</f>
        <v/>
      </c>
    </row>
    <row r="114">
      <c r="A114" t="inlineStr">
        <is>
          <t>2022-04-16</t>
        </is>
      </c>
      <c r="B114" t="inlineStr">
        <is>
          <t>20:21</t>
        </is>
      </c>
      <c r="C114" t="n">
        <v>2940</v>
      </c>
      <c r="D114" s="6" t="n">
        <v>3.6</v>
      </c>
      <c r="E114" t="n">
        <v>36800</v>
      </c>
      <c r="F114" s="6" t="n">
        <v>3.6</v>
      </c>
      <c r="G114" t="n">
        <v>1</v>
      </c>
      <c r="H114" s="6">
        <f>ROUND(G114*F114,2)</f>
        <v/>
      </c>
      <c r="I114">
        <f>IF(ROUND(H114-D114,2)=0,1,0)</f>
        <v/>
      </c>
      <c r="J114">
        <f>IF(F114="","none",IF(G114=1,"carte","multiple"))</f>
        <v/>
      </c>
    </row>
    <row r="115">
      <c r="A115" t="inlineStr">
        <is>
          <t>2022-04-16</t>
        </is>
      </c>
      <c r="B115" t="inlineStr">
        <is>
          <t>20:21</t>
        </is>
      </c>
      <c r="C115" t="n">
        <v>2940</v>
      </c>
      <c r="D115" s="6" t="n">
        <v>3.9</v>
      </c>
      <c r="E115" t="n">
        <v>36801</v>
      </c>
      <c r="F115" s="6" t="n">
        <v>3.9</v>
      </c>
      <c r="G115" t="n">
        <v>1</v>
      </c>
      <c r="H115" s="6">
        <f>ROUND(G115*F115,2)</f>
        <v/>
      </c>
      <c r="I115">
        <f>IF(ROUND(H115-D115,2)=0,1,0)</f>
        <v/>
      </c>
      <c r="J115">
        <f>IF(F115="","none",IF(G115=1,"carte","multiple"))</f>
        <v/>
      </c>
    </row>
    <row r="116">
      <c r="A116" t="inlineStr">
        <is>
          <t>2022-04-16</t>
        </is>
      </c>
      <c r="B116" t="inlineStr">
        <is>
          <t>20:21</t>
        </is>
      </c>
      <c r="C116" t="n">
        <v>2940</v>
      </c>
      <c r="D116" s="6" t="n">
        <v>38</v>
      </c>
      <c r="E116" t="n">
        <v>36802</v>
      </c>
      <c r="F116" s="6" t="n">
        <v>0.4</v>
      </c>
      <c r="G116" t="n">
        <v>95</v>
      </c>
      <c r="H116" s="6">
        <f>ROUND(G116*F116,2)</f>
        <v/>
      </c>
      <c r="I116">
        <f>IF(ROUND(H116-D116,2)=0,1,0)</f>
        <v/>
      </c>
      <c r="J116">
        <f>IF(F116="","none",IF(G116=1,"carte","multiple"))</f>
        <v/>
      </c>
    </row>
    <row r="117">
      <c r="A117" t="inlineStr">
        <is>
          <t>2022-04-16</t>
        </is>
      </c>
      <c r="B117" t="inlineStr">
        <is>
          <t>20:21</t>
        </is>
      </c>
      <c r="C117" t="n">
        <v>2940</v>
      </c>
      <c r="D117" s="6" t="n">
        <v>8.800000000000001</v>
      </c>
      <c r="E117" t="n">
        <v>36803</v>
      </c>
      <c r="F117" s="6" t="n">
        <v>8.800000000000001</v>
      </c>
      <c r="G117" t="n">
        <v>1</v>
      </c>
      <c r="H117" s="6">
        <f>ROUND(G117*F117,2)</f>
        <v/>
      </c>
      <c r="I117">
        <f>IF(ROUND(H117-D117,2)=0,1,0)</f>
        <v/>
      </c>
      <c r="J117">
        <f>IF(F117="","none",IF(G117=1,"carte","multiple"))</f>
        <v/>
      </c>
    </row>
    <row r="118">
      <c r="A118" t="inlineStr">
        <is>
          <t>2022-04-16</t>
        </is>
      </c>
      <c r="B118" t="inlineStr">
        <is>
          <t>20:21</t>
        </is>
      </c>
      <c r="C118" t="n">
        <v>2940</v>
      </c>
      <c r="D118" s="6" t="n">
        <v>29.8</v>
      </c>
      <c r="E118" t="n">
        <v>36804</v>
      </c>
      <c r="F118" s="6" t="n">
        <v>14.9</v>
      </c>
      <c r="G118" t="n">
        <v>2</v>
      </c>
      <c r="H118" s="6">
        <f>ROUND(G118*F118,2)</f>
        <v/>
      </c>
      <c r="I118">
        <f>IF(ROUND(H118-D118,2)=0,1,0)</f>
        <v/>
      </c>
      <c r="J118">
        <f>IF(F118="","none",IF(G118=1,"carte","multiple"))</f>
        <v/>
      </c>
    </row>
    <row r="119">
      <c r="A119" t="inlineStr">
        <is>
          <t>2022-04-16</t>
        </is>
      </c>
      <c r="B119" t="inlineStr">
        <is>
          <t>20:21</t>
        </is>
      </c>
      <c r="C119" t="n">
        <v>2940</v>
      </c>
      <c r="D119" s="6" t="n">
        <v>7.8</v>
      </c>
      <c r="E119" t="n">
        <v>36805</v>
      </c>
      <c r="F119" s="6" t="n">
        <v>7.8</v>
      </c>
      <c r="G119" t="n">
        <v>1</v>
      </c>
      <c r="H119" s="6">
        <f>ROUND(G119*F119,2)</f>
        <v/>
      </c>
      <c r="I119">
        <f>IF(ROUND(H119-D119,2)=0,1,0)</f>
        <v/>
      </c>
      <c r="J119">
        <f>IF(F119="","none",IF(G119=1,"carte","multiple"))</f>
        <v/>
      </c>
    </row>
    <row r="120">
      <c r="A120" t="inlineStr">
        <is>
          <t>2022-04-16</t>
        </is>
      </c>
      <c r="B120" t="inlineStr">
        <is>
          <t>20:21</t>
        </is>
      </c>
      <c r="C120" t="n">
        <v>2940</v>
      </c>
      <c r="D120" s="6" t="n">
        <v>3.9</v>
      </c>
      <c r="E120" t="n">
        <v>36806</v>
      </c>
      <c r="F120" s="6" t="n">
        <v>3.9</v>
      </c>
      <c r="G120" t="n">
        <v>1</v>
      </c>
      <c r="H120" s="6">
        <f>ROUND(G120*F120,2)</f>
        <v/>
      </c>
      <c r="I120">
        <f>IF(ROUND(H120-D120,2)=0,1,0)</f>
        <v/>
      </c>
      <c r="J120">
        <f>IF(F120="","none",IF(G120=1,"carte","multiple"))</f>
        <v/>
      </c>
    </row>
    <row r="121">
      <c r="A121" t="inlineStr">
        <is>
          <t>2022-04-16</t>
        </is>
      </c>
      <c r="B121" t="inlineStr">
        <is>
          <t>20:21</t>
        </is>
      </c>
      <c r="C121" t="n">
        <v>2940</v>
      </c>
      <c r="D121" s="6" t="n">
        <v>6.5</v>
      </c>
      <c r="E121" t="n">
        <v>36807</v>
      </c>
      <c r="F121" s="6" t="n">
        <v>6.5</v>
      </c>
      <c r="G121" t="n">
        <v>1</v>
      </c>
      <c r="H121" s="6">
        <f>ROUND(G121*F121,2)</f>
        <v/>
      </c>
      <c r="I121">
        <f>IF(ROUND(H121-D121,2)=0,1,0)</f>
        <v/>
      </c>
      <c r="J121">
        <f>IF(F121="","none",IF(G121=1,"carte","multiple"))</f>
        <v/>
      </c>
    </row>
    <row r="122">
      <c r="A122" t="inlineStr">
        <is>
          <t>2022-04-16</t>
        </is>
      </c>
      <c r="B122" t="inlineStr">
        <is>
          <t>20:21</t>
        </is>
      </c>
      <c r="C122" t="n">
        <v>2940</v>
      </c>
      <c r="D122" s="6" t="n">
        <v>5.2</v>
      </c>
      <c r="E122" t="n">
        <v>36808</v>
      </c>
      <c r="F122" s="6" t="n">
        <v>5.2</v>
      </c>
      <c r="G122" t="n">
        <v>1</v>
      </c>
      <c r="H122" s="6">
        <f>ROUND(G122*F122,2)</f>
        <v/>
      </c>
      <c r="I122">
        <f>IF(ROUND(H122-D122,2)=0,1,0)</f>
        <v/>
      </c>
      <c r="J122">
        <f>IF(F122="","none",IF(G122=1,"carte","multiple"))</f>
        <v/>
      </c>
    </row>
    <row r="123">
      <c r="A123" t="inlineStr">
        <is>
          <t>2022-04-16</t>
        </is>
      </c>
      <c r="B123" t="inlineStr">
        <is>
          <t>20:26</t>
        </is>
      </c>
      <c r="C123" t="n">
        <v>2940</v>
      </c>
      <c r="D123" s="6" t="n">
        <v>2</v>
      </c>
      <c r="E123" t="n">
        <v>36809</v>
      </c>
      <c r="F123" s="6" t="n">
        <v>2</v>
      </c>
      <c r="G123" t="n">
        <v>1</v>
      </c>
      <c r="H123" s="6">
        <f>ROUND(G123*F123,2)</f>
        <v/>
      </c>
      <c r="I123">
        <f>IF(ROUND(H123-D123,2)=0,1,0)</f>
        <v/>
      </c>
      <c r="J123">
        <f>IF(F123="","none",IF(G123=1,"carte","multiple"))</f>
        <v/>
      </c>
    </row>
    <row r="124">
      <c r="A124" t="inlineStr">
        <is>
          <t>2022-04-16</t>
        </is>
      </c>
      <c r="B124" t="inlineStr">
        <is>
          <t>20:34</t>
        </is>
      </c>
      <c r="C124" t="n">
        <v>2940</v>
      </c>
      <c r="D124" s="6" t="n">
        <v>4.4</v>
      </c>
      <c r="E124" t="n">
        <v>36810</v>
      </c>
      <c r="F124" s="6" t="n">
        <v>0.4</v>
      </c>
      <c r="G124" t="n">
        <v>11</v>
      </c>
      <c r="H124" s="6">
        <f>ROUND(G124*F124,2)</f>
        <v/>
      </c>
      <c r="I124">
        <f>IF(ROUND(H124-D124,2)=0,1,0)</f>
        <v/>
      </c>
      <c r="J124">
        <f>IF(F124="","none",IF(G124=1,"carte","multiple"))</f>
        <v/>
      </c>
    </row>
    <row r="125">
      <c r="A125" t="inlineStr">
        <is>
          <t>2022-04-16</t>
        </is>
      </c>
      <c r="B125" t="inlineStr">
        <is>
          <t>20:34</t>
        </is>
      </c>
      <c r="C125" t="n">
        <v>2940</v>
      </c>
      <c r="D125" s="6" t="n">
        <v>16.8</v>
      </c>
      <c r="E125" t="n">
        <v>36811</v>
      </c>
      <c r="F125" s="6" t="n">
        <v>16.8</v>
      </c>
      <c r="G125" t="n">
        <v>1</v>
      </c>
      <c r="H125" s="6">
        <f>ROUND(G125*F125,2)</f>
        <v/>
      </c>
      <c r="I125">
        <f>IF(ROUND(H125-D125,2)=0,1,0)</f>
        <v/>
      </c>
      <c r="J125">
        <f>IF(F125="","none",IF(G125=1,"carte","multiple"))</f>
        <v/>
      </c>
    </row>
    <row r="126">
      <c r="A126" t="inlineStr">
        <is>
          <t>2022-04-16</t>
        </is>
      </c>
      <c r="B126" t="inlineStr">
        <is>
          <t>20:34</t>
        </is>
      </c>
      <c r="C126" t="n">
        <v>2940</v>
      </c>
      <c r="D126" s="6" t="n">
        <v>17.6</v>
      </c>
      <c r="E126" t="n">
        <v>36812</v>
      </c>
      <c r="F126" s="6" t="n">
        <v>17.6</v>
      </c>
      <c r="G126" t="n">
        <v>1</v>
      </c>
      <c r="H126" s="6">
        <f>ROUND(G126*F126,2)</f>
        <v/>
      </c>
      <c r="I126">
        <f>IF(ROUND(H126-D126,2)=0,1,0)</f>
        <v/>
      </c>
      <c r="J126">
        <f>IF(F126="","none",IF(G126=1,"carte","multiple"))</f>
        <v/>
      </c>
    </row>
    <row r="127">
      <c r="A127" t="inlineStr">
        <is>
          <t>2022-04-16</t>
        </is>
      </c>
      <c r="B127" t="inlineStr">
        <is>
          <t>20:34</t>
        </is>
      </c>
      <c r="C127" t="n">
        <v>2940</v>
      </c>
      <c r="D127" s="6" t="n">
        <v>35.2</v>
      </c>
      <c r="E127" t="n">
        <v>36813</v>
      </c>
      <c r="F127" s="6" t="n">
        <v>0.4</v>
      </c>
      <c r="G127" t="n">
        <v>88</v>
      </c>
      <c r="H127" s="6">
        <f>ROUND(G127*F127,2)</f>
        <v/>
      </c>
      <c r="I127">
        <f>IF(ROUND(H127-D127,2)=0,1,0)</f>
        <v/>
      </c>
      <c r="J127">
        <f>IF(F127="","none",IF(G127=1,"carte","multiple"))</f>
        <v/>
      </c>
    </row>
    <row r="128">
      <c r="A128" t="inlineStr">
        <is>
          <t>2022-04-16</t>
        </is>
      </c>
      <c r="B128" t="inlineStr">
        <is>
          <t>20:34</t>
        </is>
      </c>
      <c r="C128" t="n">
        <v>2940</v>
      </c>
      <c r="D128" s="6" t="n">
        <v>3.9</v>
      </c>
      <c r="E128" t="n">
        <v>36814</v>
      </c>
      <c r="F128" s="6" t="n">
        <v>3.9</v>
      </c>
      <c r="G128" t="n">
        <v>1</v>
      </c>
      <c r="H128" s="6">
        <f>ROUND(G128*F128,2)</f>
        <v/>
      </c>
      <c r="I128">
        <f>IF(ROUND(H128-D128,2)=0,1,0)</f>
        <v/>
      </c>
      <c r="J128">
        <f>IF(F128="","none",IF(G128=1,"carte","multiple"))</f>
        <v/>
      </c>
    </row>
    <row r="129">
      <c r="A129" t="inlineStr">
        <is>
          <t>2022-04-16</t>
        </is>
      </c>
      <c r="B129" t="inlineStr">
        <is>
          <t>20:34</t>
        </is>
      </c>
      <c r="C129" t="n">
        <v>2940</v>
      </c>
      <c r="D129" s="6" t="n">
        <v>36</v>
      </c>
      <c r="E129" t="n">
        <v>36815</v>
      </c>
      <c r="F129" s="6" t="n">
        <v>36</v>
      </c>
      <c r="G129" t="n">
        <v>1</v>
      </c>
      <c r="H129" s="6">
        <f>ROUND(G129*F129,2)</f>
        <v/>
      </c>
      <c r="I129">
        <f>IF(ROUND(H129-D129,2)=0,1,0)</f>
        <v/>
      </c>
      <c r="J129">
        <f>IF(F129="","none",IF(G129=1,"carte","multiple"))</f>
        <v/>
      </c>
    </row>
    <row r="130">
      <c r="A130" t="inlineStr">
        <is>
          <t>2022-04-16</t>
        </is>
      </c>
      <c r="B130" t="inlineStr">
        <is>
          <t>20:41</t>
        </is>
      </c>
      <c r="C130" t="n">
        <v>2940</v>
      </c>
      <c r="D130" s="6" t="n">
        <v>7.8</v>
      </c>
      <c r="E130" t="n">
        <v>36816</v>
      </c>
      <c r="F130" s="6" t="n">
        <v>7.8</v>
      </c>
      <c r="G130" t="n">
        <v>1</v>
      </c>
      <c r="H130" s="6">
        <f>ROUND(G130*F130,2)</f>
        <v/>
      </c>
      <c r="I130">
        <f>IF(ROUND(H130-D130,2)=0,1,0)</f>
        <v/>
      </c>
      <c r="J130">
        <f>IF(F130="","none",IF(G130=1,"carte","multiple"))</f>
        <v/>
      </c>
    </row>
    <row r="131">
      <c r="A131" t="inlineStr">
        <is>
          <t>2022-04-16</t>
        </is>
      </c>
      <c r="B131" t="inlineStr">
        <is>
          <t>20:41</t>
        </is>
      </c>
      <c r="C131" t="n">
        <v>2940</v>
      </c>
      <c r="D131" s="6" t="n">
        <v>19.9</v>
      </c>
      <c r="E131" t="n">
        <v>36817</v>
      </c>
      <c r="F131" s="6" t="n">
        <v>19.9</v>
      </c>
      <c r="G131" t="n">
        <v>1</v>
      </c>
      <c r="H131" s="6">
        <f>ROUND(G131*F131,2)</f>
        <v/>
      </c>
      <c r="I131">
        <f>IF(ROUND(H131-D131,2)=0,1,0)</f>
        <v/>
      </c>
      <c r="J131">
        <f>IF(F131="","none",IF(G131=1,"carte","multiple"))</f>
        <v/>
      </c>
    </row>
    <row r="132">
      <c r="A132" t="inlineStr">
        <is>
          <t>2022-04-16</t>
        </is>
      </c>
      <c r="B132" t="inlineStr">
        <is>
          <t>20:41</t>
        </is>
      </c>
      <c r="C132" t="n">
        <v>2940</v>
      </c>
      <c r="D132" s="6" t="n">
        <v>17.6</v>
      </c>
      <c r="E132" t="n">
        <v>36818</v>
      </c>
      <c r="F132" s="6" t="n">
        <v>17.6</v>
      </c>
      <c r="G132" t="n">
        <v>1</v>
      </c>
      <c r="H132" s="6">
        <f>ROUND(G132*F132,2)</f>
        <v/>
      </c>
      <c r="I132">
        <f>IF(ROUND(H132-D132,2)=0,1,0)</f>
        <v/>
      </c>
      <c r="J132">
        <f>IF(F132="","none",IF(G132=1,"carte","multiple"))</f>
        <v/>
      </c>
    </row>
    <row r="133">
      <c r="A133" t="inlineStr">
        <is>
          <t>2022-04-16</t>
        </is>
      </c>
      <c r="B133" t="inlineStr">
        <is>
          <t>20:41</t>
        </is>
      </c>
      <c r="C133" t="n">
        <v>2940</v>
      </c>
      <c r="D133" s="6" t="n">
        <v>12.8</v>
      </c>
      <c r="E133" t="n">
        <v>36819</v>
      </c>
      <c r="F133" s="6" t="n">
        <v>0.4</v>
      </c>
      <c r="G133" t="n">
        <v>32</v>
      </c>
      <c r="H133" s="6">
        <f>ROUND(G133*F133,2)</f>
        <v/>
      </c>
      <c r="I133">
        <f>IF(ROUND(H133-D133,2)=0,1,0)</f>
        <v/>
      </c>
      <c r="J133">
        <f>IF(F133="","none",IF(G133=1,"carte","multiple"))</f>
        <v/>
      </c>
    </row>
    <row r="134">
      <c r="A134" t="inlineStr">
        <is>
          <t>2022-04-16</t>
        </is>
      </c>
      <c r="B134" t="inlineStr">
        <is>
          <t>20:41</t>
        </is>
      </c>
      <c r="C134" t="n">
        <v>2940</v>
      </c>
      <c r="D134" s="6" t="n">
        <v>8.4</v>
      </c>
      <c r="E134" t="n">
        <v>36820</v>
      </c>
      <c r="F134" s="6" t="n">
        <v>8.4</v>
      </c>
      <c r="G134" t="n">
        <v>1</v>
      </c>
      <c r="H134" s="6">
        <f>ROUND(G134*F134,2)</f>
        <v/>
      </c>
      <c r="I134">
        <f>IF(ROUND(H134-D134,2)=0,1,0)</f>
        <v/>
      </c>
      <c r="J134">
        <f>IF(F134="","none",IF(G134=1,"carte","multiple"))</f>
        <v/>
      </c>
    </row>
    <row r="135">
      <c r="A135" t="inlineStr">
        <is>
          <t>2022-04-16</t>
        </is>
      </c>
      <c r="B135" t="inlineStr">
        <is>
          <t>20:42</t>
        </is>
      </c>
      <c r="C135" t="n">
        <v>2940</v>
      </c>
      <c r="D135" s="6" t="n">
        <v>5.6</v>
      </c>
      <c r="E135" t="n">
        <v>36821</v>
      </c>
      <c r="F135" s="6" t="n">
        <v>5.6</v>
      </c>
      <c r="G135" t="n">
        <v>1</v>
      </c>
      <c r="H135" s="6">
        <f>ROUND(G135*F135,2)</f>
        <v/>
      </c>
      <c r="I135">
        <f>IF(ROUND(H135-D135,2)=0,1,0)</f>
        <v/>
      </c>
      <c r="J135">
        <f>IF(F135="","none",IF(G135=1,"carte","multiple"))</f>
        <v/>
      </c>
    </row>
    <row r="136">
      <c r="A136" t="inlineStr">
        <is>
          <t>2022-04-16</t>
        </is>
      </c>
      <c r="B136" t="inlineStr">
        <is>
          <t>20:42</t>
        </is>
      </c>
      <c r="C136" t="n">
        <v>2940</v>
      </c>
      <c r="D136" s="6" t="n">
        <v>1.8</v>
      </c>
      <c r="E136" t="n">
        <v>36822</v>
      </c>
      <c r="F136" s="6" t="n">
        <v>1.8</v>
      </c>
      <c r="G136" t="n">
        <v>1</v>
      </c>
      <c r="H136" s="6">
        <f>ROUND(G136*F136,2)</f>
        <v/>
      </c>
      <c r="I136">
        <f>IF(ROUND(H136-D136,2)=0,1,0)</f>
        <v/>
      </c>
      <c r="J136">
        <f>IF(F136="","none",IF(G136=1,"carte","multiple"))</f>
        <v/>
      </c>
    </row>
    <row r="137">
      <c r="A137" t="inlineStr">
        <is>
          <t>2022-04-16</t>
        </is>
      </c>
      <c r="B137" t="inlineStr">
        <is>
          <t>20:42</t>
        </is>
      </c>
      <c r="C137" t="n">
        <v>2940</v>
      </c>
      <c r="D137" s="6" t="n">
        <v>2.9</v>
      </c>
      <c r="E137" t="n">
        <v>36823</v>
      </c>
      <c r="F137" s="6" t="n">
        <v>2.9</v>
      </c>
      <c r="G137" t="n">
        <v>1</v>
      </c>
      <c r="H137" s="6">
        <f>ROUND(G137*F137,2)</f>
        <v/>
      </c>
      <c r="I137">
        <f>IF(ROUND(H137-D137,2)=0,1,0)</f>
        <v/>
      </c>
      <c r="J137">
        <f>IF(F137="","none",IF(G137=1,"carte","multiple"))</f>
        <v/>
      </c>
    </row>
    <row r="138">
      <c r="A138" t="inlineStr">
        <is>
          <t>2022-04-16</t>
        </is>
      </c>
      <c r="B138" t="inlineStr">
        <is>
          <t>20:42</t>
        </is>
      </c>
      <c r="C138" t="n">
        <v>2940</v>
      </c>
      <c r="D138" s="6" t="n">
        <v>4</v>
      </c>
      <c r="E138" t="n">
        <v>36824</v>
      </c>
      <c r="F138" s="6" t="n">
        <v>4</v>
      </c>
      <c r="G138" t="n">
        <v>1</v>
      </c>
      <c r="H138" s="6">
        <f>ROUND(G138*F138,2)</f>
        <v/>
      </c>
      <c r="I138">
        <f>IF(ROUND(H138-D138,2)=0,1,0)</f>
        <v/>
      </c>
      <c r="J138">
        <f>IF(F138="","none",IF(G138=1,"carte","multiple"))</f>
        <v/>
      </c>
    </row>
    <row r="139">
      <c r="A139" t="inlineStr">
        <is>
          <t>2022-04-16</t>
        </is>
      </c>
      <c r="B139" t="inlineStr">
        <is>
          <t>20:42</t>
        </is>
      </c>
      <c r="C139" t="n">
        <v>2940</v>
      </c>
      <c r="D139" s="6" t="n">
        <v>9.4</v>
      </c>
      <c r="E139" t="n">
        <v>36825</v>
      </c>
      <c r="F139" s="6" t="n">
        <v>9.4</v>
      </c>
      <c r="G139" t="n">
        <v>1</v>
      </c>
      <c r="H139" s="6">
        <f>ROUND(G139*F139,2)</f>
        <v/>
      </c>
      <c r="I139">
        <f>IF(ROUND(H139-D139,2)=0,1,0)</f>
        <v/>
      </c>
      <c r="J139">
        <f>IF(F139="","none",IF(G139=1,"carte","multiple"))</f>
        <v/>
      </c>
    </row>
    <row r="140">
      <c r="A140" t="inlineStr">
        <is>
          <t>2022-04-16</t>
        </is>
      </c>
      <c r="B140" t="inlineStr">
        <is>
          <t>20:42</t>
        </is>
      </c>
      <c r="C140" t="n">
        <v>2940</v>
      </c>
      <c r="D140" s="6" t="n">
        <v>3.9</v>
      </c>
      <c r="E140" t="n">
        <v>36826</v>
      </c>
      <c r="F140" s="6" t="n">
        <v>3.9</v>
      </c>
      <c r="G140" t="n">
        <v>1</v>
      </c>
      <c r="H140" s="6">
        <f>ROUND(G140*F140,2)</f>
        <v/>
      </c>
      <c r="I140">
        <f>IF(ROUND(H140-D140,2)=0,1,0)</f>
        <v/>
      </c>
      <c r="J140">
        <f>IF(F140="","none",IF(G140=1,"carte","multiple"))</f>
        <v/>
      </c>
    </row>
    <row r="141">
      <c r="A141" t="inlineStr">
        <is>
          <t>2022-04-16</t>
        </is>
      </c>
      <c r="B141" t="inlineStr">
        <is>
          <t>20:42</t>
        </is>
      </c>
      <c r="C141" t="n">
        <v>2940</v>
      </c>
      <c r="D141" s="6" t="n">
        <v>7</v>
      </c>
      <c r="E141" t="n">
        <v>36827</v>
      </c>
      <c r="F141" s="6" t="n">
        <v>7</v>
      </c>
      <c r="G141" t="n">
        <v>1</v>
      </c>
      <c r="H141" s="6">
        <f>ROUND(G141*F141,2)</f>
        <v/>
      </c>
      <c r="I141">
        <f>IF(ROUND(H141-D141,2)=0,1,0)</f>
        <v/>
      </c>
      <c r="J141">
        <f>IF(F141="","none",IF(G141=1,"carte","multiple"))</f>
        <v/>
      </c>
    </row>
    <row r="142">
      <c r="A142" t="inlineStr">
        <is>
          <t>2022-04-16</t>
        </is>
      </c>
      <c r="B142" t="inlineStr">
        <is>
          <t>20:42</t>
        </is>
      </c>
      <c r="C142" t="n">
        <v>2940</v>
      </c>
      <c r="D142" s="6" t="n">
        <v>1.8</v>
      </c>
      <c r="E142" t="n">
        <v>36828</v>
      </c>
      <c r="F142" s="6" t="n">
        <v>1.8</v>
      </c>
      <c r="G142" t="n">
        <v>1</v>
      </c>
      <c r="H142" s="6">
        <f>ROUND(G142*F142,2)</f>
        <v/>
      </c>
      <c r="I142">
        <f>IF(ROUND(H142-D142,2)=0,1,0)</f>
        <v/>
      </c>
      <c r="J142">
        <f>IF(F142="","none",IF(G142=1,"carte","multiple"))</f>
        <v/>
      </c>
    </row>
    <row r="143">
      <c r="A143" t="inlineStr">
        <is>
          <t>2022-04-16</t>
        </is>
      </c>
      <c r="B143" t="inlineStr">
        <is>
          <t>20:42</t>
        </is>
      </c>
      <c r="C143" t="n">
        <v>2940</v>
      </c>
      <c r="D143" s="6" t="n">
        <v>5.8</v>
      </c>
      <c r="E143" t="n">
        <v>36829</v>
      </c>
      <c r="F143" s="6" t="n">
        <v>5.8</v>
      </c>
      <c r="G143" t="n">
        <v>1</v>
      </c>
      <c r="H143" s="6">
        <f>ROUND(G143*F143,2)</f>
        <v/>
      </c>
      <c r="I143">
        <f>IF(ROUND(H143-D143,2)=0,1,0)</f>
        <v/>
      </c>
      <c r="J143">
        <f>IF(F143="","none",IF(G143=1,"carte","multiple"))</f>
        <v/>
      </c>
    </row>
    <row r="144">
      <c r="A144" t="inlineStr">
        <is>
          <t>2022-04-16</t>
        </is>
      </c>
      <c r="B144" t="inlineStr">
        <is>
          <t>20:42</t>
        </is>
      </c>
      <c r="C144" t="n">
        <v>2940</v>
      </c>
      <c r="D144" s="6" t="n">
        <v>13.9</v>
      </c>
      <c r="E144" t="n">
        <v>36830</v>
      </c>
      <c r="F144" s="6" t="n">
        <v>13.9</v>
      </c>
      <c r="G144" t="n">
        <v>1</v>
      </c>
      <c r="H144" s="6">
        <f>ROUND(G144*F144,2)</f>
        <v/>
      </c>
      <c r="I144">
        <f>IF(ROUND(H144-D144,2)=0,1,0)</f>
        <v/>
      </c>
      <c r="J144">
        <f>IF(F144="","none",IF(G144=1,"carte","multiple"))</f>
        <v/>
      </c>
    </row>
    <row r="145">
      <c r="A145" t="inlineStr">
        <is>
          <t>2022-04-16</t>
        </is>
      </c>
      <c r="B145" t="inlineStr">
        <is>
          <t>20:42</t>
        </is>
      </c>
      <c r="C145" t="n">
        <v>2940</v>
      </c>
      <c r="D145" s="6" t="n">
        <v>41.8</v>
      </c>
      <c r="E145" t="n">
        <v>36831</v>
      </c>
      <c r="F145" s="6" t="n">
        <v>1.1</v>
      </c>
      <c r="G145" t="n">
        <v>38</v>
      </c>
      <c r="H145" s="6">
        <f>ROUND(G145*F145,2)</f>
        <v/>
      </c>
      <c r="I145">
        <f>IF(ROUND(H145-D145,2)=0,1,0)</f>
        <v/>
      </c>
      <c r="J145">
        <f>IF(F145="","none",IF(G145=1,"carte","multiple"))</f>
        <v/>
      </c>
    </row>
    <row r="146">
      <c r="A146" t="inlineStr">
        <is>
          <t>2022-04-16</t>
        </is>
      </c>
      <c r="B146" t="inlineStr">
        <is>
          <t>20:42</t>
        </is>
      </c>
      <c r="C146" t="n">
        <v>2940</v>
      </c>
      <c r="D146" s="6" t="n">
        <v>19</v>
      </c>
      <c r="E146" t="n">
        <v>36832</v>
      </c>
      <c r="F146" s="6" t="n">
        <v>19</v>
      </c>
      <c r="G146" t="n">
        <v>1</v>
      </c>
      <c r="H146" s="6">
        <f>ROUND(G146*F146,2)</f>
        <v/>
      </c>
      <c r="I146">
        <f>IF(ROUND(H146-D146,2)=0,1,0)</f>
        <v/>
      </c>
      <c r="J146">
        <f>IF(F146="","none",IF(G146=1,"carte","multiple"))</f>
        <v/>
      </c>
    </row>
    <row r="147">
      <c r="A147" t="inlineStr">
        <is>
          <t>2022-04-16</t>
        </is>
      </c>
      <c r="B147" t="inlineStr">
        <is>
          <t>20:42</t>
        </is>
      </c>
      <c r="C147" t="n">
        <v>2940</v>
      </c>
      <c r="D147" s="6" t="n">
        <v>43.2</v>
      </c>
      <c r="E147" t="n">
        <v>36833</v>
      </c>
      <c r="F147" s="6" t="n">
        <v>0.4</v>
      </c>
      <c r="G147" t="n">
        <v>108</v>
      </c>
      <c r="H147" s="6">
        <f>ROUND(G147*F147,2)</f>
        <v/>
      </c>
      <c r="I147">
        <f>IF(ROUND(H147-D147,2)=0,1,0)</f>
        <v/>
      </c>
      <c r="J147">
        <f>IF(F147="","none",IF(G147=1,"carte","multiple"))</f>
        <v/>
      </c>
    </row>
    <row r="148">
      <c r="A148" t="inlineStr">
        <is>
          <t>2022-04-16</t>
        </is>
      </c>
      <c r="B148" t="inlineStr">
        <is>
          <t>20:42</t>
        </is>
      </c>
      <c r="C148" t="n">
        <v>2940</v>
      </c>
      <c r="D148" s="6" t="n">
        <v>11.8</v>
      </c>
      <c r="E148" t="n">
        <v>36834</v>
      </c>
      <c r="F148" s="6" t="n">
        <v>5.9</v>
      </c>
      <c r="G148" t="n">
        <v>2</v>
      </c>
      <c r="H148" s="6">
        <f>ROUND(G148*F148,2)</f>
        <v/>
      </c>
      <c r="I148">
        <f>IF(ROUND(H148-D148,2)=0,1,0)</f>
        <v/>
      </c>
      <c r="J148">
        <f>IF(F148="","none",IF(G148=1,"carte","multiple"))</f>
        <v/>
      </c>
    </row>
    <row r="149">
      <c r="A149" t="inlineStr">
        <is>
          <t>2022-04-16</t>
        </is>
      </c>
      <c r="B149" t="inlineStr">
        <is>
          <t>20:42</t>
        </is>
      </c>
      <c r="C149" t="n">
        <v>2940</v>
      </c>
      <c r="D149" s="6" t="n">
        <v>7.9</v>
      </c>
      <c r="E149" t="n">
        <v>36835</v>
      </c>
      <c r="F149" s="6" t="n">
        <v>7.9</v>
      </c>
      <c r="G149" t="n">
        <v>1</v>
      </c>
      <c r="H149" s="6">
        <f>ROUND(G149*F149,2)</f>
        <v/>
      </c>
      <c r="I149">
        <f>IF(ROUND(H149-D149,2)=0,1,0)</f>
        <v/>
      </c>
      <c r="J149">
        <f>IF(F149="","none",IF(G149=1,"carte","multiple"))</f>
        <v/>
      </c>
    </row>
    <row r="150">
      <c r="A150" t="inlineStr">
        <is>
          <t>2022-04-16</t>
        </is>
      </c>
      <c r="B150" t="inlineStr">
        <is>
          <t>20:42</t>
        </is>
      </c>
      <c r="C150" t="n">
        <v>2940</v>
      </c>
      <c r="D150" s="6" t="n">
        <v>7.8</v>
      </c>
      <c r="E150" t="n">
        <v>36836</v>
      </c>
      <c r="F150" s="6" t="n">
        <v>7.8</v>
      </c>
      <c r="G150" t="n">
        <v>1</v>
      </c>
      <c r="H150" s="6">
        <f>ROUND(G150*F150,2)</f>
        <v/>
      </c>
      <c r="I150">
        <f>IF(ROUND(H150-D150,2)=0,1,0)</f>
        <v/>
      </c>
      <c r="J150">
        <f>IF(F150="","none",IF(G150=1,"carte","multiple"))</f>
        <v/>
      </c>
    </row>
    <row r="151">
      <c r="A151" t="inlineStr">
        <is>
          <t>2022-04-16</t>
        </is>
      </c>
      <c r="B151" t="inlineStr">
        <is>
          <t>20:42</t>
        </is>
      </c>
      <c r="C151" t="n">
        <v>2940</v>
      </c>
      <c r="D151" s="6" t="n">
        <v>3.9</v>
      </c>
      <c r="E151" t="n">
        <v>36837</v>
      </c>
      <c r="F151" s="6" t="n">
        <v>3.9</v>
      </c>
      <c r="G151" t="n">
        <v>1</v>
      </c>
      <c r="H151" s="6">
        <f>ROUND(G151*F151,2)</f>
        <v/>
      </c>
      <c r="I151">
        <f>IF(ROUND(H151-D151,2)=0,1,0)</f>
        <v/>
      </c>
      <c r="J151">
        <f>IF(F151="","none",IF(G151=1,"carte","multiple"))</f>
        <v/>
      </c>
    </row>
    <row r="152">
      <c r="A152" t="inlineStr">
        <is>
          <t>2022-04-16</t>
        </is>
      </c>
      <c r="B152" t="inlineStr">
        <is>
          <t>20:42</t>
        </is>
      </c>
      <c r="C152" t="n">
        <v>2940</v>
      </c>
      <c r="D152" s="6" t="n">
        <v>3.6</v>
      </c>
      <c r="E152" t="n">
        <v>36838</v>
      </c>
      <c r="F152" s="6" t="n">
        <v>3.6</v>
      </c>
      <c r="G152" t="n">
        <v>1</v>
      </c>
      <c r="H152" s="6">
        <f>ROUND(G152*F152,2)</f>
        <v/>
      </c>
      <c r="I152">
        <f>IF(ROUND(H152-D152,2)=0,1,0)</f>
        <v/>
      </c>
      <c r="J152">
        <f>IF(F152="","none",IF(G152=1,"carte","multiple"))</f>
        <v/>
      </c>
    </row>
    <row r="153">
      <c r="A153" t="inlineStr">
        <is>
          <t>2022-04-16</t>
        </is>
      </c>
      <c r="B153" t="inlineStr">
        <is>
          <t>20:42</t>
        </is>
      </c>
      <c r="C153" t="n">
        <v>2940</v>
      </c>
      <c r="D153" s="6" t="n">
        <v>13.4</v>
      </c>
      <c r="E153" t="n">
        <v>36839</v>
      </c>
      <c r="F153" s="6" t="n">
        <v>13.4</v>
      </c>
      <c r="G153" t="n">
        <v>1</v>
      </c>
      <c r="H153" s="6">
        <f>ROUND(G153*F153,2)</f>
        <v/>
      </c>
      <c r="I153">
        <f>IF(ROUND(H153-D153,2)=0,1,0)</f>
        <v/>
      </c>
      <c r="J153">
        <f>IF(F153="","none",IF(G153=1,"carte","multiple"))</f>
        <v/>
      </c>
    </row>
    <row r="154">
      <c r="A154" t="inlineStr">
        <is>
          <t>2022-04-16</t>
        </is>
      </c>
      <c r="B154" t="inlineStr">
        <is>
          <t>20:50</t>
        </is>
      </c>
      <c r="C154" t="n">
        <v>2940</v>
      </c>
      <c r="D154" s="6" t="n">
        <v>27.8</v>
      </c>
      <c r="E154" t="n">
        <v>36840</v>
      </c>
      <c r="F154" s="6" t="n">
        <v>27.8</v>
      </c>
      <c r="G154" t="n">
        <v>1</v>
      </c>
      <c r="H154" s="6">
        <f>ROUND(G154*F154,2)</f>
        <v/>
      </c>
      <c r="I154">
        <f>IF(ROUND(H154-D154,2)=0,1,0)</f>
        <v/>
      </c>
      <c r="J154">
        <f>IF(F154="","none",IF(G154=1,"carte","multiple"))</f>
        <v/>
      </c>
    </row>
    <row r="155">
      <c r="A155" t="inlineStr">
        <is>
          <t>2022-04-16</t>
        </is>
      </c>
      <c r="B155" t="inlineStr">
        <is>
          <t>20:50</t>
        </is>
      </c>
      <c r="C155" t="n">
        <v>2940</v>
      </c>
      <c r="D155" s="6" t="n">
        <v>5.9</v>
      </c>
      <c r="E155" t="n">
        <v>36841</v>
      </c>
      <c r="F155" s="6" t="n">
        <v>5.9</v>
      </c>
      <c r="G155" t="n">
        <v>1</v>
      </c>
      <c r="H155" s="6">
        <f>ROUND(G155*F155,2)</f>
        <v/>
      </c>
      <c r="I155">
        <f>IF(ROUND(H155-D155,2)=0,1,0)</f>
        <v/>
      </c>
      <c r="J155">
        <f>IF(F155="","none",IF(G155=1,"carte","multiple"))</f>
        <v/>
      </c>
    </row>
    <row r="156">
      <c r="A156" t="inlineStr">
        <is>
          <t>2022-04-16</t>
        </is>
      </c>
      <c r="B156" t="inlineStr">
        <is>
          <t>20:50</t>
        </is>
      </c>
      <c r="C156" t="n">
        <v>2940</v>
      </c>
      <c r="D156" s="6" t="n">
        <v>17.6</v>
      </c>
      <c r="E156" t="n">
        <v>36842</v>
      </c>
      <c r="F156" s="6" t="n">
        <v>17.6</v>
      </c>
      <c r="G156" t="n">
        <v>1</v>
      </c>
      <c r="H156" s="6">
        <f>ROUND(G156*F156,2)</f>
        <v/>
      </c>
      <c r="I156">
        <f>IF(ROUND(H156-D156,2)=0,1,0)</f>
        <v/>
      </c>
      <c r="J156">
        <f>IF(F156="","none",IF(G156=1,"carte","multiple"))</f>
        <v/>
      </c>
    </row>
    <row r="157">
      <c r="A157" t="inlineStr">
        <is>
          <t>2022-04-16</t>
        </is>
      </c>
      <c r="B157" t="inlineStr">
        <is>
          <t>20:50</t>
        </is>
      </c>
      <c r="C157" t="n">
        <v>2940</v>
      </c>
      <c r="D157" s="6" t="n">
        <v>44.7</v>
      </c>
      <c r="E157" t="n">
        <v>36843</v>
      </c>
      <c r="F157" s="6" t="n">
        <v>14.9</v>
      </c>
      <c r="G157" t="n">
        <v>3</v>
      </c>
      <c r="H157" s="6">
        <f>ROUND(G157*F157,2)</f>
        <v/>
      </c>
      <c r="I157">
        <f>IF(ROUND(H157-D157,2)=0,1,0)</f>
        <v/>
      </c>
      <c r="J157">
        <f>IF(F157="","none",IF(G157=1,"carte","multiple"))</f>
        <v/>
      </c>
    </row>
    <row r="158">
      <c r="A158" t="inlineStr">
        <is>
          <t>2022-04-16</t>
        </is>
      </c>
      <c r="B158" t="inlineStr">
        <is>
          <t>20:50</t>
        </is>
      </c>
      <c r="C158" t="n">
        <v>2940</v>
      </c>
      <c r="D158" s="6" t="n">
        <v>33.8</v>
      </c>
      <c r="E158" t="n">
        <v>36844</v>
      </c>
      <c r="F158" s="6" t="n">
        <v>16.9</v>
      </c>
      <c r="G158" t="n">
        <v>2</v>
      </c>
      <c r="H158" s="6">
        <f>ROUND(G158*F158,2)</f>
        <v/>
      </c>
      <c r="I158">
        <f>IF(ROUND(H158-D158,2)=0,1,0)</f>
        <v/>
      </c>
      <c r="J158">
        <f>IF(F158="","none",IF(G158=1,"carte","multiple"))</f>
        <v/>
      </c>
    </row>
    <row r="159">
      <c r="A159" t="inlineStr">
        <is>
          <t>2022-04-16</t>
        </is>
      </c>
      <c r="B159" t="inlineStr">
        <is>
          <t>20:50</t>
        </is>
      </c>
      <c r="C159" t="n">
        <v>2940</v>
      </c>
      <c r="D159" s="6" t="n">
        <v>15.6</v>
      </c>
      <c r="E159" t="n">
        <v>36845</v>
      </c>
      <c r="F159" s="6" t="n">
        <v>15.6</v>
      </c>
      <c r="G159" t="n">
        <v>1</v>
      </c>
      <c r="H159" s="6">
        <f>ROUND(G159*F159,2)</f>
        <v/>
      </c>
      <c r="I159">
        <f>IF(ROUND(H159-D159,2)=0,1,0)</f>
        <v/>
      </c>
      <c r="J159">
        <f>IF(F159="","none",IF(G159=1,"carte","multiple"))</f>
        <v/>
      </c>
    </row>
    <row r="160">
      <c r="A160" t="inlineStr">
        <is>
          <t>2022-04-16</t>
        </is>
      </c>
      <c r="B160" t="inlineStr">
        <is>
          <t>20:50</t>
        </is>
      </c>
      <c r="C160" t="n">
        <v>2940</v>
      </c>
      <c r="D160" s="6" t="n">
        <v>4.2</v>
      </c>
      <c r="E160" t="n">
        <v>36846</v>
      </c>
      <c r="F160" s="6" t="n">
        <v>4.2</v>
      </c>
      <c r="G160" t="n">
        <v>1</v>
      </c>
      <c r="H160" s="6">
        <f>ROUND(G160*F160,2)</f>
        <v/>
      </c>
      <c r="I160">
        <f>IF(ROUND(H160-D160,2)=0,1,0)</f>
        <v/>
      </c>
      <c r="J160">
        <f>IF(F160="","none",IF(G160=1,"carte","multiple"))</f>
        <v/>
      </c>
    </row>
    <row r="161">
      <c r="A161" t="inlineStr">
        <is>
          <t>2022-04-16</t>
        </is>
      </c>
      <c r="B161" t="inlineStr">
        <is>
          <t>20:51</t>
        </is>
      </c>
      <c r="C161" t="n">
        <v>2940</v>
      </c>
      <c r="D161" s="6" t="n">
        <v>17.6</v>
      </c>
      <c r="E161" t="n">
        <v>36847</v>
      </c>
      <c r="F161" s="6" t="n">
        <v>17.6</v>
      </c>
      <c r="G161" t="n">
        <v>1</v>
      </c>
      <c r="H161" s="6">
        <f>ROUND(G161*F161,2)</f>
        <v/>
      </c>
      <c r="I161">
        <f>IF(ROUND(H161-D161,2)=0,1,0)</f>
        <v/>
      </c>
      <c r="J161">
        <f>IF(F161="","none",IF(G161=1,"carte","multiple"))</f>
        <v/>
      </c>
    </row>
    <row r="162">
      <c r="A162" t="inlineStr">
        <is>
          <t>2022-04-16</t>
        </is>
      </c>
      <c r="B162" t="inlineStr">
        <is>
          <t>20:51</t>
        </is>
      </c>
      <c r="C162" t="n">
        <v>2940</v>
      </c>
      <c r="D162" s="6" t="n">
        <v>32</v>
      </c>
      <c r="E162" t="n">
        <v>36848</v>
      </c>
      <c r="F162" s="6" t="n">
        <v>32</v>
      </c>
      <c r="G162" t="n">
        <v>1</v>
      </c>
      <c r="H162" s="6">
        <f>ROUND(G162*F162,2)</f>
        <v/>
      </c>
      <c r="I162">
        <f>IF(ROUND(H162-D162,2)=0,1,0)</f>
        <v/>
      </c>
      <c r="J162">
        <f>IF(F162="","none",IF(G162=1,"carte","multiple"))</f>
        <v/>
      </c>
    </row>
    <row r="163">
      <c r="A163" t="inlineStr">
        <is>
          <t>2022-04-16</t>
        </is>
      </c>
      <c r="B163" t="inlineStr">
        <is>
          <t>20:51</t>
        </is>
      </c>
      <c r="C163" t="n">
        <v>2940</v>
      </c>
      <c r="D163" s="6" t="n">
        <v>14.4</v>
      </c>
      <c r="E163" t="n">
        <v>36849</v>
      </c>
      <c r="F163" s="6" t="n">
        <v>0.4</v>
      </c>
      <c r="G163" t="n">
        <v>36</v>
      </c>
      <c r="H163" s="6">
        <f>ROUND(G163*F163,2)</f>
        <v/>
      </c>
      <c r="I163">
        <f>IF(ROUND(H163-D163,2)=0,1,0)</f>
        <v/>
      </c>
      <c r="J163">
        <f>IF(F163="","none",IF(G163=1,"carte","multiple"))</f>
        <v/>
      </c>
    </row>
    <row r="164">
      <c r="A164" t="inlineStr">
        <is>
          <t>2022-04-16</t>
        </is>
      </c>
      <c r="B164" t="inlineStr">
        <is>
          <t>20:51</t>
        </is>
      </c>
      <c r="C164" t="n">
        <v>2940</v>
      </c>
      <c r="D164" s="6" t="n">
        <v>6.4</v>
      </c>
      <c r="E164" t="n">
        <v>36850</v>
      </c>
      <c r="F164" s="6" t="n">
        <v>6.4</v>
      </c>
      <c r="G164" t="n">
        <v>1</v>
      </c>
      <c r="H164" s="6">
        <f>ROUND(G164*F164,2)</f>
        <v/>
      </c>
      <c r="I164">
        <f>IF(ROUND(H164-D164,2)=0,1,0)</f>
        <v/>
      </c>
      <c r="J164">
        <f>IF(F164="","none",IF(G164=1,"carte","multiple"))</f>
        <v/>
      </c>
    </row>
    <row r="165">
      <c r="A165" t="inlineStr">
        <is>
          <t>2022-04-16</t>
        </is>
      </c>
      <c r="B165" t="inlineStr">
        <is>
          <t>21:38</t>
        </is>
      </c>
      <c r="C165" t="n">
        <v>2940</v>
      </c>
      <c r="D165" s="6" t="n">
        <v>17.6</v>
      </c>
      <c r="E165" t="n">
        <v>36851</v>
      </c>
      <c r="F165" s="6" t="n">
        <v>17.6</v>
      </c>
      <c r="G165" t="n">
        <v>1</v>
      </c>
      <c r="H165" s="6">
        <f>ROUND(G165*F165,2)</f>
        <v/>
      </c>
      <c r="I165">
        <f>IF(ROUND(H165-D165,2)=0,1,0)</f>
        <v/>
      </c>
      <c r="J165">
        <f>IF(F165="","none",IF(G165=1,"carte","multiple"))</f>
        <v/>
      </c>
    </row>
    <row r="166">
      <c r="A166" t="inlineStr">
        <is>
          <t>2022-04-16</t>
        </is>
      </c>
      <c r="B166" t="inlineStr">
        <is>
          <t>21:38</t>
        </is>
      </c>
      <c r="C166" t="n">
        <v>2940</v>
      </c>
      <c r="D166" s="6" t="n">
        <v>5.9</v>
      </c>
      <c r="E166" t="n">
        <v>36852</v>
      </c>
      <c r="F166" s="6" t="n">
        <v>5.9</v>
      </c>
      <c r="G166" t="n">
        <v>1</v>
      </c>
      <c r="H166" s="6">
        <f>ROUND(G166*F166,2)</f>
        <v/>
      </c>
      <c r="I166">
        <f>IF(ROUND(H166-D166,2)=0,1,0)</f>
        <v/>
      </c>
      <c r="J166">
        <f>IF(F166="","none",IF(G166=1,"carte","multiple"))</f>
        <v/>
      </c>
    </row>
    <row r="167">
      <c r="A167" t="inlineStr">
        <is>
          <t>2022-04-16</t>
        </is>
      </c>
      <c r="B167" t="inlineStr">
        <is>
          <t>21:38</t>
        </is>
      </c>
      <c r="C167" t="n">
        <v>2940</v>
      </c>
      <c r="D167" s="6" t="n">
        <v>8.9</v>
      </c>
      <c r="E167" t="n">
        <v>36853</v>
      </c>
      <c r="F167" s="6" t="n">
        <v>8.9</v>
      </c>
      <c r="G167" t="n">
        <v>1</v>
      </c>
      <c r="H167" s="6">
        <f>ROUND(G167*F167,2)</f>
        <v/>
      </c>
      <c r="I167">
        <f>IF(ROUND(H167-D167,2)=0,1,0)</f>
        <v/>
      </c>
      <c r="J167">
        <f>IF(F167="","none",IF(G167=1,"carte","multiple"))</f>
        <v/>
      </c>
    </row>
    <row r="168">
      <c r="A168" t="inlineStr">
        <is>
          <t>2022-04-17</t>
        </is>
      </c>
      <c r="B168" t="inlineStr">
        <is>
          <t>10:58</t>
        </is>
      </c>
      <c r="C168" t="n">
        <v>2941</v>
      </c>
      <c r="D168" s="6" t="n">
        <v>19.9</v>
      </c>
      <c r="E168" t="n">
        <v>36856</v>
      </c>
      <c r="F168" s="6" t="n">
        <v>19.9</v>
      </c>
      <c r="G168" t="n">
        <v>1</v>
      </c>
      <c r="H168" s="6">
        <f>ROUND(G168*F168,2)</f>
        <v/>
      </c>
      <c r="I168">
        <f>IF(ROUND(H168-D168,2)=0,1,0)</f>
        <v/>
      </c>
      <c r="J168">
        <f>IF(F168="","none",IF(G168=1,"carte","multiple"))</f>
        <v/>
      </c>
    </row>
    <row r="169">
      <c r="A169" t="inlineStr">
        <is>
          <t>2022-04-17</t>
        </is>
      </c>
      <c r="B169" t="inlineStr">
        <is>
          <t>11:42</t>
        </is>
      </c>
      <c r="C169" t="n">
        <v>2941</v>
      </c>
      <c r="D169" s="6" t="n">
        <v>5</v>
      </c>
      <c r="E169" t="n">
        <v>36857</v>
      </c>
      <c r="F169" s="6" t="n">
        <v>5</v>
      </c>
      <c r="G169" t="n">
        <v>1</v>
      </c>
      <c r="H169" s="6">
        <f>ROUND(G169*F169,2)</f>
        <v/>
      </c>
      <c r="I169">
        <f>IF(ROUND(H169-D169,2)=0,1,0)</f>
        <v/>
      </c>
      <c r="J169">
        <f>IF(F169="","none",IF(G169=1,"carte","multiple"))</f>
        <v/>
      </c>
    </row>
    <row r="170">
      <c r="A170" t="inlineStr">
        <is>
          <t>2022-04-17</t>
        </is>
      </c>
      <c r="B170" t="inlineStr">
        <is>
          <t>11:42</t>
        </is>
      </c>
      <c r="C170" t="n">
        <v>2941</v>
      </c>
      <c r="D170" s="6" t="n">
        <v>32</v>
      </c>
      <c r="E170" t="n">
        <v>36858</v>
      </c>
      <c r="F170" s="6" t="n">
        <v>32</v>
      </c>
      <c r="G170" t="n">
        <v>1</v>
      </c>
      <c r="H170" s="6">
        <f>ROUND(G170*F170,2)</f>
        <v/>
      </c>
      <c r="I170">
        <f>IF(ROUND(H170-D170,2)=0,1,0)</f>
        <v/>
      </c>
      <c r="J170">
        <f>IF(F170="","none",IF(G170=1,"carte","multiple"))</f>
        <v/>
      </c>
    </row>
    <row r="171">
      <c r="A171" t="inlineStr">
        <is>
          <t>2022-04-17</t>
        </is>
      </c>
      <c r="B171" t="inlineStr">
        <is>
          <t>12:08</t>
        </is>
      </c>
      <c r="C171" t="n">
        <v>2941</v>
      </c>
      <c r="D171" s="6" t="n">
        <v>5</v>
      </c>
      <c r="E171" t="n">
        <v>36859</v>
      </c>
      <c r="F171" s="6" t="n">
        <v>5</v>
      </c>
      <c r="G171" t="n">
        <v>1</v>
      </c>
      <c r="H171" s="6">
        <f>ROUND(G171*F171,2)</f>
        <v/>
      </c>
      <c r="I171">
        <f>IF(ROUND(H171-D171,2)=0,1,0)</f>
        <v/>
      </c>
      <c r="J171">
        <f>IF(F171="","none",IF(G171=1,"carte","multiple"))</f>
        <v/>
      </c>
    </row>
    <row r="172">
      <c r="A172" t="inlineStr">
        <is>
          <t>2022-04-17</t>
        </is>
      </c>
      <c r="B172" t="inlineStr">
        <is>
          <t>12:34</t>
        </is>
      </c>
      <c r="C172" t="n">
        <v>2941</v>
      </c>
      <c r="D172" s="6" t="n">
        <v>2.2</v>
      </c>
      <c r="E172" t="n">
        <v>36860</v>
      </c>
      <c r="F172" s="6" t="n">
        <v>2.2</v>
      </c>
      <c r="G172" t="n">
        <v>1</v>
      </c>
      <c r="H172" s="6">
        <f>ROUND(G172*F172,2)</f>
        <v/>
      </c>
      <c r="I172">
        <f>IF(ROUND(H172-D172,2)=0,1,0)</f>
        <v/>
      </c>
      <c r="J172">
        <f>IF(F172="","none",IF(G172=1,"carte","multiple"))</f>
        <v/>
      </c>
    </row>
    <row r="173">
      <c r="A173" t="inlineStr">
        <is>
          <t>2022-04-17</t>
        </is>
      </c>
      <c r="B173" t="inlineStr">
        <is>
          <t>12:34</t>
        </is>
      </c>
      <c r="C173" t="n">
        <v>2941</v>
      </c>
      <c r="D173" s="6" t="n">
        <v>8.699999999999999</v>
      </c>
      <c r="E173" t="n">
        <v>36861</v>
      </c>
      <c r="F173" s="6" t="n">
        <v>8.699999999999999</v>
      </c>
      <c r="G173" t="n">
        <v>1</v>
      </c>
      <c r="H173" s="6">
        <f>ROUND(G173*F173,2)</f>
        <v/>
      </c>
      <c r="I173">
        <f>IF(ROUND(H173-D173,2)=0,1,0)</f>
        <v/>
      </c>
      <c r="J173">
        <f>IF(F173="","none",IF(G173=1,"carte","multiple"))</f>
        <v/>
      </c>
    </row>
    <row r="174">
      <c r="A174" t="inlineStr">
        <is>
          <t>2022-04-17</t>
        </is>
      </c>
      <c r="B174" t="inlineStr">
        <is>
          <t>12:34</t>
        </is>
      </c>
      <c r="C174" t="n">
        <v>2941</v>
      </c>
      <c r="D174" s="6" t="n">
        <v>27.8</v>
      </c>
      <c r="E174" t="n">
        <v>36862</v>
      </c>
      <c r="F174" s="6" t="n">
        <v>27.8</v>
      </c>
      <c r="G174" t="n">
        <v>1</v>
      </c>
      <c r="H174" s="6">
        <f>ROUND(G174*F174,2)</f>
        <v/>
      </c>
      <c r="I174">
        <f>IF(ROUND(H174-D174,2)=0,1,0)</f>
        <v/>
      </c>
      <c r="J174">
        <f>IF(F174="","none",IF(G174=1,"carte","multiple"))</f>
        <v/>
      </c>
    </row>
    <row r="175">
      <c r="A175" t="inlineStr">
        <is>
          <t>2022-04-17</t>
        </is>
      </c>
      <c r="B175" t="inlineStr">
        <is>
          <t>12:34</t>
        </is>
      </c>
      <c r="C175" t="n">
        <v>2941</v>
      </c>
      <c r="D175" s="6" t="n">
        <v>19.9</v>
      </c>
      <c r="E175" t="n">
        <v>36863</v>
      </c>
      <c r="F175" s="6" t="n">
        <v>19.9</v>
      </c>
      <c r="G175" t="n">
        <v>1</v>
      </c>
      <c r="H175" s="6">
        <f>ROUND(G175*F175,2)</f>
        <v/>
      </c>
      <c r="I175">
        <f>IF(ROUND(H175-D175,2)=0,1,0)</f>
        <v/>
      </c>
      <c r="J175">
        <f>IF(F175="","none",IF(G175=1,"carte","multiple"))</f>
        <v/>
      </c>
    </row>
    <row r="176">
      <c r="A176" t="inlineStr">
        <is>
          <t>2022-04-17</t>
        </is>
      </c>
      <c r="B176" t="inlineStr">
        <is>
          <t>12:34</t>
        </is>
      </c>
      <c r="C176" t="n">
        <v>2941</v>
      </c>
      <c r="D176" s="6" t="n">
        <v>7.8</v>
      </c>
      <c r="E176" t="n">
        <v>36864</v>
      </c>
      <c r="F176" s="6" t="n">
        <v>7.8</v>
      </c>
      <c r="G176" t="n">
        <v>1</v>
      </c>
      <c r="H176" s="6">
        <f>ROUND(G176*F176,2)</f>
        <v/>
      </c>
      <c r="I176">
        <f>IF(ROUND(H176-D176,2)=0,1,0)</f>
        <v/>
      </c>
      <c r="J176">
        <f>IF(F176="","none",IF(G176=1,"carte","multiple"))</f>
        <v/>
      </c>
    </row>
    <row r="177">
      <c r="A177" t="inlineStr">
        <is>
          <t>2022-04-17</t>
        </is>
      </c>
      <c r="B177" t="inlineStr">
        <is>
          <t>12:34</t>
        </is>
      </c>
      <c r="C177" t="n">
        <v>2941</v>
      </c>
      <c r="D177" s="6" t="n">
        <v>3.9</v>
      </c>
      <c r="E177" t="n">
        <v>36865</v>
      </c>
      <c r="F177" s="6" t="n">
        <v>3.9</v>
      </c>
      <c r="G177" t="n">
        <v>1</v>
      </c>
      <c r="H177" s="6">
        <f>ROUND(G177*F177,2)</f>
        <v/>
      </c>
      <c r="I177">
        <f>IF(ROUND(H177-D177,2)=0,1,0)</f>
        <v/>
      </c>
      <c r="J177">
        <f>IF(F177="","none",IF(G177=1,"carte","multiple"))</f>
        <v/>
      </c>
    </row>
    <row r="178">
      <c r="A178" t="inlineStr">
        <is>
          <t>2022-04-17</t>
        </is>
      </c>
      <c r="B178" t="inlineStr">
        <is>
          <t>12:34</t>
        </is>
      </c>
      <c r="C178" t="n">
        <v>2941</v>
      </c>
      <c r="D178" s="6" t="n">
        <v>29.9</v>
      </c>
      <c r="E178" t="n">
        <v>36866</v>
      </c>
      <c r="F178" s="6" t="n">
        <v>29.9</v>
      </c>
      <c r="G178" t="n">
        <v>1</v>
      </c>
      <c r="H178" s="6">
        <f>ROUND(G178*F178,2)</f>
        <v/>
      </c>
      <c r="I178">
        <f>IF(ROUND(H178-D178,2)=0,1,0)</f>
        <v/>
      </c>
      <c r="J178">
        <f>IF(F178="","none",IF(G178=1,"carte","multiple"))</f>
        <v/>
      </c>
    </row>
    <row r="179">
      <c r="A179" t="inlineStr">
        <is>
          <t>2022-04-17</t>
        </is>
      </c>
      <c r="B179" t="inlineStr">
        <is>
          <t>12:34</t>
        </is>
      </c>
      <c r="C179" t="n">
        <v>2941</v>
      </c>
      <c r="D179" s="6" t="n">
        <v>9.9</v>
      </c>
      <c r="E179" t="n">
        <v>36867</v>
      </c>
      <c r="F179" s="6" t="n">
        <v>9.9</v>
      </c>
      <c r="G179" t="n">
        <v>1</v>
      </c>
      <c r="H179" s="6">
        <f>ROUND(G179*F179,2)</f>
        <v/>
      </c>
      <c r="I179">
        <f>IF(ROUND(H179-D179,2)=0,1,0)</f>
        <v/>
      </c>
      <c r="J179">
        <f>IF(F179="","none",IF(G179=1,"carte","multiple"))</f>
        <v/>
      </c>
    </row>
    <row r="180">
      <c r="A180" t="inlineStr">
        <is>
          <t>2022-04-17</t>
        </is>
      </c>
      <c r="B180" t="inlineStr">
        <is>
          <t>12:35</t>
        </is>
      </c>
      <c r="C180" t="n">
        <v>2941</v>
      </c>
      <c r="D180" s="6" t="n">
        <v>5.8</v>
      </c>
      <c r="E180" t="n">
        <v>36868</v>
      </c>
      <c r="F180" s="6" t="n">
        <v>5.8</v>
      </c>
      <c r="G180" t="n">
        <v>1</v>
      </c>
      <c r="H180" s="6">
        <f>ROUND(G180*F180,2)</f>
        <v/>
      </c>
      <c r="I180">
        <f>IF(ROUND(H180-D180,2)=0,1,0)</f>
        <v/>
      </c>
      <c r="J180">
        <f>IF(F180="","none",IF(G180=1,"carte","multiple"))</f>
        <v/>
      </c>
    </row>
    <row r="181">
      <c r="A181" t="inlineStr">
        <is>
          <t>2022-04-17</t>
        </is>
      </c>
      <c r="B181" t="inlineStr">
        <is>
          <t>12:40</t>
        </is>
      </c>
      <c r="C181" t="n">
        <v>2941</v>
      </c>
      <c r="D181" s="6" t="n">
        <v>6.6</v>
      </c>
      <c r="E181" t="n">
        <v>36869</v>
      </c>
      <c r="F181" s="6" t="n">
        <v>6.6</v>
      </c>
      <c r="G181" t="n">
        <v>1</v>
      </c>
      <c r="H181" s="6">
        <f>ROUND(G181*F181,2)</f>
        <v/>
      </c>
      <c r="I181">
        <f>IF(ROUND(H181-D181,2)=0,1,0)</f>
        <v/>
      </c>
      <c r="J181">
        <f>IF(F181="","none",IF(G181=1,"carte","multiple"))</f>
        <v/>
      </c>
    </row>
    <row r="182">
      <c r="A182" t="inlineStr">
        <is>
          <t>2022-04-17</t>
        </is>
      </c>
      <c r="B182" t="inlineStr">
        <is>
          <t>12:40</t>
        </is>
      </c>
      <c r="C182" t="n">
        <v>2941</v>
      </c>
      <c r="D182" s="6" t="n">
        <v>11.7</v>
      </c>
      <c r="E182" t="n">
        <v>36870</v>
      </c>
      <c r="F182" s="6" t="n">
        <v>0.9</v>
      </c>
      <c r="G182" t="n">
        <v>13</v>
      </c>
      <c r="H182" s="6">
        <f>ROUND(G182*F182,2)</f>
        <v/>
      </c>
      <c r="I182">
        <f>IF(ROUND(H182-D182,2)=0,1,0)</f>
        <v/>
      </c>
      <c r="J182">
        <f>IF(F182="","none",IF(G182=1,"carte","multiple"))</f>
        <v/>
      </c>
    </row>
    <row r="183">
      <c r="A183" t="inlineStr">
        <is>
          <t>2022-04-17</t>
        </is>
      </c>
      <c r="B183" t="inlineStr">
        <is>
          <t>12:40</t>
        </is>
      </c>
      <c r="C183" t="n">
        <v>2941</v>
      </c>
      <c r="D183" s="6" t="n">
        <v>9.800000000000001</v>
      </c>
      <c r="E183" t="n">
        <v>36871</v>
      </c>
      <c r="F183" s="6" t="n">
        <v>9.800000000000001</v>
      </c>
      <c r="G183" t="n">
        <v>1</v>
      </c>
      <c r="H183" s="6">
        <f>ROUND(G183*F183,2)</f>
        <v/>
      </c>
      <c r="I183">
        <f>IF(ROUND(H183-D183,2)=0,1,0)</f>
        <v/>
      </c>
      <c r="J183">
        <f>IF(F183="","none",IF(G183=1,"carte","multiple"))</f>
        <v/>
      </c>
    </row>
    <row r="184">
      <c r="A184" t="inlineStr">
        <is>
          <t>2022-04-17</t>
        </is>
      </c>
      <c r="B184" t="inlineStr">
        <is>
          <t>12:40</t>
        </is>
      </c>
      <c r="C184" t="n">
        <v>2941</v>
      </c>
      <c r="D184" s="6" t="n">
        <v>17.6</v>
      </c>
      <c r="E184" t="n">
        <v>36872</v>
      </c>
      <c r="F184" s="6" t="n">
        <v>17.6</v>
      </c>
      <c r="G184" t="n">
        <v>1</v>
      </c>
      <c r="H184" s="6">
        <f>ROUND(G184*F184,2)</f>
        <v/>
      </c>
      <c r="I184">
        <f>IF(ROUND(H184-D184,2)=0,1,0)</f>
        <v/>
      </c>
      <c r="J184">
        <f>IF(F184="","none",IF(G184=1,"carte","multiple"))</f>
        <v/>
      </c>
    </row>
    <row r="185">
      <c r="A185" t="inlineStr">
        <is>
          <t>2022-04-17</t>
        </is>
      </c>
      <c r="B185" t="inlineStr">
        <is>
          <t>12:40</t>
        </is>
      </c>
      <c r="C185" t="n">
        <v>2941</v>
      </c>
      <c r="D185" s="6" t="n">
        <v>10.9</v>
      </c>
      <c r="E185" t="n">
        <v>36873</v>
      </c>
      <c r="F185" s="6" t="n">
        <v>10.9</v>
      </c>
      <c r="G185" t="n">
        <v>1</v>
      </c>
      <c r="H185" s="6">
        <f>ROUND(G185*F185,2)</f>
        <v/>
      </c>
      <c r="I185">
        <f>IF(ROUND(H185-D185,2)=0,1,0)</f>
        <v/>
      </c>
      <c r="J185">
        <f>IF(F185="","none",IF(G185=1,"carte","multiple"))</f>
        <v/>
      </c>
    </row>
    <row r="186">
      <c r="A186" t="inlineStr">
        <is>
          <t>2022-04-17</t>
        </is>
      </c>
      <c r="B186" t="inlineStr">
        <is>
          <t>12:40</t>
        </is>
      </c>
      <c r="C186" t="n">
        <v>2941</v>
      </c>
      <c r="D186" s="6" t="n">
        <v>21.6</v>
      </c>
      <c r="E186" t="n">
        <v>36874</v>
      </c>
      <c r="F186" s="6" t="n">
        <v>21.6</v>
      </c>
      <c r="G186" t="n">
        <v>1</v>
      </c>
      <c r="H186" s="6">
        <f>ROUND(G186*F186,2)</f>
        <v/>
      </c>
      <c r="I186">
        <f>IF(ROUND(H186-D186,2)=0,1,0)</f>
        <v/>
      </c>
      <c r="J186">
        <f>IF(F186="","none",IF(G186=1,"carte","multiple"))</f>
        <v/>
      </c>
    </row>
    <row r="187">
      <c r="A187" t="inlineStr">
        <is>
          <t>2022-04-17</t>
        </is>
      </c>
      <c r="B187" t="inlineStr">
        <is>
          <t>12:40</t>
        </is>
      </c>
      <c r="C187" t="n">
        <v>2941</v>
      </c>
      <c r="D187" s="6" t="n">
        <v>15.6</v>
      </c>
      <c r="E187" t="n">
        <v>36875</v>
      </c>
      <c r="F187" s="6" t="n">
        <v>15.6</v>
      </c>
      <c r="G187" t="n">
        <v>1</v>
      </c>
      <c r="H187" s="6">
        <f>ROUND(G187*F187,2)</f>
        <v/>
      </c>
      <c r="I187">
        <f>IF(ROUND(H187-D187,2)=0,1,0)</f>
        <v/>
      </c>
      <c r="J187">
        <f>IF(F187="","none",IF(G187=1,"carte","multiple"))</f>
        <v/>
      </c>
    </row>
    <row r="188">
      <c r="A188" t="inlineStr">
        <is>
          <t>2022-04-17</t>
        </is>
      </c>
      <c r="B188" t="inlineStr">
        <is>
          <t>12:40</t>
        </is>
      </c>
      <c r="C188" t="n">
        <v>2941</v>
      </c>
      <c r="D188" s="6" t="n">
        <v>19</v>
      </c>
      <c r="E188" t="n">
        <v>36876</v>
      </c>
      <c r="F188" s="6" t="n">
        <v>19</v>
      </c>
      <c r="G188" t="n">
        <v>1</v>
      </c>
      <c r="H188" s="6">
        <f>ROUND(G188*F188,2)</f>
        <v/>
      </c>
      <c r="I188">
        <f>IF(ROUND(H188-D188,2)=0,1,0)</f>
        <v/>
      </c>
      <c r="J188">
        <f>IF(F188="","none",IF(G188=1,"carte","multiple"))</f>
        <v/>
      </c>
    </row>
    <row r="189">
      <c r="A189" t="inlineStr">
        <is>
          <t>2022-04-17</t>
        </is>
      </c>
      <c r="B189" t="inlineStr">
        <is>
          <t>12:40</t>
        </is>
      </c>
      <c r="C189" t="n">
        <v>2941</v>
      </c>
      <c r="D189" s="6" t="n">
        <v>15.9</v>
      </c>
      <c r="E189" t="n">
        <v>36877</v>
      </c>
      <c r="F189" s="6" t="n">
        <v>15.9</v>
      </c>
      <c r="G189" t="n">
        <v>1</v>
      </c>
      <c r="H189" s="6">
        <f>ROUND(G189*F189,2)</f>
        <v/>
      </c>
      <c r="I189">
        <f>IF(ROUND(H189-D189,2)=0,1,0)</f>
        <v/>
      </c>
      <c r="J189">
        <f>IF(F189="","none",IF(G189=1,"carte","multiple"))</f>
        <v/>
      </c>
    </row>
    <row r="190">
      <c r="A190" t="inlineStr">
        <is>
          <t>2022-04-17</t>
        </is>
      </c>
      <c r="B190" t="inlineStr">
        <is>
          <t>12:40</t>
        </is>
      </c>
      <c r="C190" t="n">
        <v>2941</v>
      </c>
      <c r="D190" s="6" t="n">
        <v>9.9</v>
      </c>
      <c r="E190" t="n">
        <v>36878</v>
      </c>
      <c r="F190" s="6" t="n">
        <v>9.9</v>
      </c>
      <c r="G190" t="n">
        <v>1</v>
      </c>
      <c r="H190" s="6">
        <f>ROUND(G190*F190,2)</f>
        <v/>
      </c>
      <c r="I190">
        <f>IF(ROUND(H190-D190,2)=0,1,0)</f>
        <v/>
      </c>
      <c r="J190">
        <f>IF(F190="","none",IF(G190=1,"carte","multiple"))</f>
        <v/>
      </c>
    </row>
    <row r="191">
      <c r="A191" t="inlineStr">
        <is>
          <t>2022-04-17</t>
        </is>
      </c>
      <c r="B191" t="inlineStr">
        <is>
          <t>12:40</t>
        </is>
      </c>
      <c r="C191" t="n">
        <v>2941</v>
      </c>
      <c r="D191" s="6" t="n">
        <v>7.8</v>
      </c>
      <c r="E191" t="n">
        <v>36879</v>
      </c>
      <c r="F191" s="6" t="n">
        <v>7.8</v>
      </c>
      <c r="G191" t="n">
        <v>1</v>
      </c>
      <c r="H191" s="6">
        <f>ROUND(G191*F191,2)</f>
        <v/>
      </c>
      <c r="I191">
        <f>IF(ROUND(H191-D191,2)=0,1,0)</f>
        <v/>
      </c>
      <c r="J191">
        <f>IF(F191="","none",IF(G191=1,"carte","multiple"))</f>
        <v/>
      </c>
    </row>
    <row r="192">
      <c r="A192" t="inlineStr">
        <is>
          <t>2022-04-17</t>
        </is>
      </c>
      <c r="B192" t="inlineStr">
        <is>
          <t>12:40</t>
        </is>
      </c>
      <c r="C192" t="n">
        <v>2941</v>
      </c>
      <c r="D192" s="6" t="n">
        <v>3.8</v>
      </c>
      <c r="E192" t="n">
        <v>36880</v>
      </c>
      <c r="F192" s="6" t="n">
        <v>3.8</v>
      </c>
      <c r="G192" t="n">
        <v>1</v>
      </c>
      <c r="H192" s="6">
        <f>ROUND(G192*F192,2)</f>
        <v/>
      </c>
      <c r="I192">
        <f>IF(ROUND(H192-D192,2)=0,1,0)</f>
        <v/>
      </c>
      <c r="J192">
        <f>IF(F192="","none",IF(G192=1,"carte","multiple"))</f>
        <v/>
      </c>
    </row>
    <row r="193">
      <c r="A193" t="inlineStr">
        <is>
          <t>2022-04-17</t>
        </is>
      </c>
      <c r="B193" t="inlineStr">
        <is>
          <t>12:40</t>
        </is>
      </c>
      <c r="C193" t="n">
        <v>2941</v>
      </c>
      <c r="D193" s="6" t="n">
        <v>2.2</v>
      </c>
      <c r="E193" t="n">
        <v>36881</v>
      </c>
      <c r="F193" s="6" t="n">
        <v>2.2</v>
      </c>
      <c r="G193" t="n">
        <v>1</v>
      </c>
      <c r="H193" s="6">
        <f>ROUND(G193*F193,2)</f>
        <v/>
      </c>
      <c r="I193">
        <f>IF(ROUND(H193-D193,2)=0,1,0)</f>
        <v/>
      </c>
      <c r="J193">
        <f>IF(F193="","none",IF(G193=1,"carte","multiple"))</f>
        <v/>
      </c>
    </row>
    <row r="194">
      <c r="A194" t="inlineStr">
        <is>
          <t>2022-04-17</t>
        </is>
      </c>
      <c r="B194" t="inlineStr">
        <is>
          <t>13:22</t>
        </is>
      </c>
      <c r="C194" t="n">
        <v>2941</v>
      </c>
      <c r="D194" s="6" t="n">
        <v>4.4</v>
      </c>
      <c r="E194" t="n">
        <v>36882</v>
      </c>
      <c r="F194" s="6" t="n">
        <v>0.4</v>
      </c>
      <c r="G194" t="n">
        <v>11</v>
      </c>
      <c r="H194" s="6">
        <f>ROUND(G194*F194,2)</f>
        <v/>
      </c>
      <c r="I194">
        <f>IF(ROUND(H194-D194,2)=0,1,0)</f>
        <v/>
      </c>
      <c r="J194">
        <f>IF(F194="","none",IF(G194=1,"carte","multiple"))</f>
        <v/>
      </c>
    </row>
    <row r="195">
      <c r="A195" t="inlineStr">
        <is>
          <t>2022-04-17</t>
        </is>
      </c>
      <c r="B195" t="inlineStr">
        <is>
          <t>13:22</t>
        </is>
      </c>
      <c r="C195" t="n">
        <v>2941</v>
      </c>
      <c r="D195" s="6" t="n">
        <v>12.8</v>
      </c>
      <c r="E195" t="n">
        <v>36883</v>
      </c>
      <c r="F195" s="6" t="n">
        <v>0.4</v>
      </c>
      <c r="G195" t="n">
        <v>32</v>
      </c>
      <c r="H195" s="6">
        <f>ROUND(G195*F195,2)</f>
        <v/>
      </c>
      <c r="I195">
        <f>IF(ROUND(H195-D195,2)=0,1,0)</f>
        <v/>
      </c>
      <c r="J195">
        <f>IF(F195="","none",IF(G195=1,"carte","multiple"))</f>
        <v/>
      </c>
    </row>
    <row r="196">
      <c r="A196" t="inlineStr">
        <is>
          <t>2022-04-17</t>
        </is>
      </c>
      <c r="B196" t="inlineStr">
        <is>
          <t>13:22</t>
        </is>
      </c>
      <c r="C196" t="n">
        <v>2941</v>
      </c>
      <c r="D196" s="6" t="n">
        <v>19</v>
      </c>
      <c r="E196" t="n">
        <v>36884</v>
      </c>
      <c r="F196" s="6" t="n">
        <v>19</v>
      </c>
      <c r="G196" t="n">
        <v>1</v>
      </c>
      <c r="H196" s="6">
        <f>ROUND(G196*F196,2)</f>
        <v/>
      </c>
      <c r="I196">
        <f>IF(ROUND(H196-D196,2)=0,1,0)</f>
        <v/>
      </c>
      <c r="J196">
        <f>IF(F196="","none",IF(G196=1,"carte","multiple"))</f>
        <v/>
      </c>
    </row>
    <row r="197">
      <c r="A197" t="inlineStr">
        <is>
          <t>2022-04-17</t>
        </is>
      </c>
      <c r="B197" t="inlineStr">
        <is>
          <t>13:22</t>
        </is>
      </c>
      <c r="C197" t="n">
        <v>2941</v>
      </c>
      <c r="D197" s="6" t="n">
        <v>17.6</v>
      </c>
      <c r="E197" t="n">
        <v>36885</v>
      </c>
      <c r="F197" s="6" t="n">
        <v>17.6</v>
      </c>
      <c r="G197" t="n">
        <v>1</v>
      </c>
      <c r="H197" s="6">
        <f>ROUND(G197*F197,2)</f>
        <v/>
      </c>
      <c r="I197">
        <f>IF(ROUND(H197-D197,2)=0,1,0)</f>
        <v/>
      </c>
      <c r="J197">
        <f>IF(F197="","none",IF(G197=1,"carte","multiple"))</f>
        <v/>
      </c>
    </row>
    <row r="198">
      <c r="A198" t="inlineStr">
        <is>
          <t>2022-04-17</t>
        </is>
      </c>
      <c r="B198" t="inlineStr">
        <is>
          <t>13:22</t>
        </is>
      </c>
      <c r="C198" t="n">
        <v>2941</v>
      </c>
      <c r="D198" s="6" t="n">
        <v>15.9</v>
      </c>
      <c r="E198" t="n">
        <v>36886</v>
      </c>
      <c r="F198" s="6" t="n">
        <v>15.9</v>
      </c>
      <c r="G198" t="n">
        <v>1</v>
      </c>
      <c r="H198" s="6">
        <f>ROUND(G198*F198,2)</f>
        <v/>
      </c>
      <c r="I198">
        <f>IF(ROUND(H198-D198,2)=0,1,0)</f>
        <v/>
      </c>
      <c r="J198">
        <f>IF(F198="","none",IF(G198=1,"carte","multiple"))</f>
        <v/>
      </c>
    </row>
    <row r="199">
      <c r="A199" t="inlineStr">
        <is>
          <t>2022-04-17</t>
        </is>
      </c>
      <c r="B199" t="inlineStr">
        <is>
          <t>13:22</t>
        </is>
      </c>
      <c r="C199" t="n">
        <v>2941</v>
      </c>
      <c r="D199" s="6" t="n">
        <v>3.9</v>
      </c>
      <c r="E199" t="n">
        <v>36887</v>
      </c>
      <c r="F199" s="6" t="n">
        <v>3.9</v>
      </c>
      <c r="G199" t="n">
        <v>1</v>
      </c>
      <c r="H199" s="6">
        <f>ROUND(G199*F199,2)</f>
        <v/>
      </c>
      <c r="I199">
        <f>IF(ROUND(H199-D199,2)=0,1,0)</f>
        <v/>
      </c>
      <c r="J199">
        <f>IF(F199="","none",IF(G199=1,"carte","multiple"))</f>
        <v/>
      </c>
    </row>
    <row r="200">
      <c r="A200" t="inlineStr">
        <is>
          <t>2022-04-17</t>
        </is>
      </c>
      <c r="B200" t="inlineStr">
        <is>
          <t>13:22</t>
        </is>
      </c>
      <c r="C200" t="n">
        <v>2941</v>
      </c>
      <c r="D200" s="6" t="n">
        <v>4.9</v>
      </c>
      <c r="E200" t="n">
        <v>36888</v>
      </c>
      <c r="F200" s="6" t="n">
        <v>4.9</v>
      </c>
      <c r="G200" t="n">
        <v>1</v>
      </c>
      <c r="H200" s="6">
        <f>ROUND(G200*F200,2)</f>
        <v/>
      </c>
      <c r="I200">
        <f>IF(ROUND(H200-D200,2)=0,1,0)</f>
        <v/>
      </c>
      <c r="J200">
        <f>IF(F200="","none",IF(G200=1,"carte","multiple"))</f>
        <v/>
      </c>
    </row>
    <row r="201">
      <c r="A201" t="inlineStr">
        <is>
          <t>2022-04-17</t>
        </is>
      </c>
      <c r="B201" t="inlineStr">
        <is>
          <t>13:22</t>
        </is>
      </c>
      <c r="C201" t="n">
        <v>2941</v>
      </c>
      <c r="D201" s="6" t="n">
        <v>5.2</v>
      </c>
      <c r="E201" t="n">
        <v>36889</v>
      </c>
      <c r="F201" s="6" t="n">
        <v>5.2</v>
      </c>
      <c r="G201" t="n">
        <v>1</v>
      </c>
      <c r="H201" s="6">
        <f>ROUND(G201*F201,2)</f>
        <v/>
      </c>
      <c r="I201">
        <f>IF(ROUND(H201-D201,2)=0,1,0)</f>
        <v/>
      </c>
      <c r="J201">
        <f>IF(F201="","none",IF(G201=1,"carte","multiple"))</f>
        <v/>
      </c>
    </row>
    <row r="202">
      <c r="A202" t="inlineStr">
        <is>
          <t>2022-04-17</t>
        </is>
      </c>
      <c r="B202" t="inlineStr">
        <is>
          <t>13:28</t>
        </is>
      </c>
      <c r="C202" t="n">
        <v>2941</v>
      </c>
      <c r="D202" s="6" t="n">
        <v>9</v>
      </c>
      <c r="E202" t="n">
        <v>36890</v>
      </c>
      <c r="F202" s="6" t="n">
        <v>9</v>
      </c>
      <c r="G202" t="n">
        <v>1</v>
      </c>
      <c r="H202" s="6">
        <f>ROUND(G202*F202,2)</f>
        <v/>
      </c>
      <c r="I202">
        <f>IF(ROUND(H202-D202,2)=0,1,0)</f>
        <v/>
      </c>
      <c r="J202">
        <f>IF(F202="","none",IF(G202=1,"carte","multiple"))</f>
        <v/>
      </c>
    </row>
    <row r="203">
      <c r="A203" t="inlineStr">
        <is>
          <t>2022-04-17</t>
        </is>
      </c>
      <c r="B203" t="inlineStr">
        <is>
          <t>13:28</t>
        </is>
      </c>
      <c r="C203" t="n">
        <v>2941</v>
      </c>
      <c r="D203" s="6" t="n">
        <v>4.9</v>
      </c>
      <c r="E203" t="n">
        <v>36891</v>
      </c>
      <c r="F203" s="6" t="n">
        <v>4.9</v>
      </c>
      <c r="G203" t="n">
        <v>1</v>
      </c>
      <c r="H203" s="6">
        <f>ROUND(G203*F203,2)</f>
        <v/>
      </c>
      <c r="I203">
        <f>IF(ROUND(H203-D203,2)=0,1,0)</f>
        <v/>
      </c>
      <c r="J203">
        <f>IF(F203="","none",IF(G203=1,"carte","multiple"))</f>
        <v/>
      </c>
    </row>
    <row r="204">
      <c r="A204" t="inlineStr">
        <is>
          <t>2022-04-17</t>
        </is>
      </c>
      <c r="B204" t="inlineStr">
        <is>
          <t>13:28</t>
        </is>
      </c>
      <c r="C204" t="n">
        <v>2941</v>
      </c>
      <c r="D204" s="6" t="n">
        <v>4.2</v>
      </c>
      <c r="E204" t="n">
        <v>36892</v>
      </c>
      <c r="F204" s="6" t="n">
        <v>4.2</v>
      </c>
      <c r="G204" t="n">
        <v>1</v>
      </c>
      <c r="H204" s="6">
        <f>ROUND(G204*F204,2)</f>
        <v/>
      </c>
      <c r="I204">
        <f>IF(ROUND(H204-D204,2)=0,1,0)</f>
        <v/>
      </c>
      <c r="J204">
        <f>IF(F204="","none",IF(G204=1,"carte","multiple"))</f>
        <v/>
      </c>
    </row>
    <row r="205">
      <c r="A205" t="inlineStr">
        <is>
          <t>2022-04-17</t>
        </is>
      </c>
      <c r="B205" t="inlineStr">
        <is>
          <t>13:33</t>
        </is>
      </c>
      <c r="C205" t="n">
        <v>2941</v>
      </c>
      <c r="D205" s="6" t="n">
        <v>28.6</v>
      </c>
      <c r="E205" t="n">
        <v>36893</v>
      </c>
      <c r="F205" s="6" t="n">
        <v>28.6</v>
      </c>
      <c r="G205" t="n">
        <v>1</v>
      </c>
      <c r="H205" s="6">
        <f>ROUND(G205*F205,2)</f>
        <v/>
      </c>
      <c r="I205">
        <f>IF(ROUND(H205-D205,2)=0,1,0)</f>
        <v/>
      </c>
      <c r="J205">
        <f>IF(F205="","none",IF(G205=1,"carte","multiple"))</f>
        <v/>
      </c>
    </row>
    <row r="206">
      <c r="A206" t="inlineStr">
        <is>
          <t>2022-04-17</t>
        </is>
      </c>
      <c r="B206" t="inlineStr">
        <is>
          <t>13:33</t>
        </is>
      </c>
      <c r="C206" t="n">
        <v>2941</v>
      </c>
      <c r="D206" s="6" t="n">
        <v>10.9</v>
      </c>
      <c r="E206" t="n">
        <v>36894</v>
      </c>
      <c r="F206" s="6" t="n">
        <v>10.9</v>
      </c>
      <c r="G206" t="n">
        <v>1</v>
      </c>
      <c r="H206" s="6">
        <f>ROUND(G206*F206,2)</f>
        <v/>
      </c>
      <c r="I206">
        <f>IF(ROUND(H206-D206,2)=0,1,0)</f>
        <v/>
      </c>
      <c r="J206">
        <f>IF(F206="","none",IF(G206=1,"carte","multiple"))</f>
        <v/>
      </c>
    </row>
    <row r="207">
      <c r="A207" t="inlineStr">
        <is>
          <t>2022-04-17</t>
        </is>
      </c>
      <c r="B207" t="inlineStr">
        <is>
          <t>13:33</t>
        </is>
      </c>
      <c r="C207" t="n">
        <v>2941</v>
      </c>
      <c r="D207" s="6" t="n">
        <v>15.9</v>
      </c>
      <c r="E207" t="n">
        <v>36895</v>
      </c>
      <c r="F207" s="6" t="n">
        <v>15.9</v>
      </c>
      <c r="G207" t="n">
        <v>1</v>
      </c>
      <c r="H207" s="6">
        <f>ROUND(G207*F207,2)</f>
        <v/>
      </c>
      <c r="I207">
        <f>IF(ROUND(H207-D207,2)=0,1,0)</f>
        <v/>
      </c>
      <c r="J207">
        <f>IF(F207="","none",IF(G207=1,"carte","multiple"))</f>
        <v/>
      </c>
    </row>
    <row r="208">
      <c r="A208" t="inlineStr">
        <is>
          <t>2022-04-17</t>
        </is>
      </c>
      <c r="B208" t="inlineStr">
        <is>
          <t>19:11</t>
        </is>
      </c>
      <c r="C208" t="n">
        <v>2941</v>
      </c>
      <c r="D208" s="6" t="n">
        <v>32</v>
      </c>
      <c r="E208" t="n">
        <v>36897</v>
      </c>
      <c r="F208" s="6" t="n">
        <v>32</v>
      </c>
      <c r="G208" t="n">
        <v>1</v>
      </c>
      <c r="H208" s="6">
        <f>ROUND(G208*F208,2)</f>
        <v/>
      </c>
      <c r="I208">
        <f>IF(ROUND(H208-D208,2)=0,1,0)</f>
        <v/>
      </c>
      <c r="J208">
        <f>IF(F208="","none",IF(G208=1,"carte","multiple"))</f>
        <v/>
      </c>
    </row>
    <row r="209">
      <c r="A209" t="inlineStr">
        <is>
          <t>2022-04-17</t>
        </is>
      </c>
      <c r="B209" t="inlineStr">
        <is>
          <t>19:35</t>
        </is>
      </c>
      <c r="C209" t="n">
        <v>2941</v>
      </c>
      <c r="D209" s="6" t="n">
        <v>7.8</v>
      </c>
      <c r="E209" t="n">
        <v>36898</v>
      </c>
      <c r="F209" s="6" t="n">
        <v>7.8</v>
      </c>
      <c r="G209" t="n">
        <v>1</v>
      </c>
      <c r="H209" s="6">
        <f>ROUND(G209*F209,2)</f>
        <v/>
      </c>
      <c r="I209">
        <f>IF(ROUND(H209-D209,2)=0,1,0)</f>
        <v/>
      </c>
      <c r="J209">
        <f>IF(F209="","none",IF(G209=1,"carte","multiple"))</f>
        <v/>
      </c>
    </row>
    <row r="210">
      <c r="A210" t="inlineStr">
        <is>
          <t>2022-04-17</t>
        </is>
      </c>
      <c r="B210" t="inlineStr">
        <is>
          <t>19:35</t>
        </is>
      </c>
      <c r="C210" t="n">
        <v>2941</v>
      </c>
      <c r="D210" s="6" t="n">
        <v>38</v>
      </c>
      <c r="E210" t="n">
        <v>36899</v>
      </c>
      <c r="F210" s="6" t="n">
        <v>0.4</v>
      </c>
      <c r="G210" t="n">
        <v>95</v>
      </c>
      <c r="H210" s="6">
        <f>ROUND(G210*F210,2)</f>
        <v/>
      </c>
      <c r="I210">
        <f>IF(ROUND(H210-D210,2)=0,1,0)</f>
        <v/>
      </c>
      <c r="J210">
        <f>IF(F210="","none",IF(G210=1,"carte","multiple"))</f>
        <v/>
      </c>
    </row>
    <row r="211">
      <c r="A211" t="inlineStr">
        <is>
          <t>2022-04-17</t>
        </is>
      </c>
      <c r="B211" t="inlineStr">
        <is>
          <t>19:35</t>
        </is>
      </c>
      <c r="C211" t="n">
        <v>2941</v>
      </c>
      <c r="D211" s="6" t="n">
        <v>7.9</v>
      </c>
      <c r="E211" t="n">
        <v>36900</v>
      </c>
      <c r="F211" s="6" t="n">
        <v>7.9</v>
      </c>
      <c r="G211" t="n">
        <v>1</v>
      </c>
      <c r="H211" s="6">
        <f>ROUND(G211*F211,2)</f>
        <v/>
      </c>
      <c r="I211">
        <f>IF(ROUND(H211-D211,2)=0,1,0)</f>
        <v/>
      </c>
      <c r="J211">
        <f>IF(F211="","none",IF(G211=1,"carte","multiple"))</f>
        <v/>
      </c>
    </row>
    <row r="212">
      <c r="A212" t="inlineStr">
        <is>
          <t>2022-04-17</t>
        </is>
      </c>
      <c r="B212" t="inlineStr">
        <is>
          <t>19:35</t>
        </is>
      </c>
      <c r="C212" t="n">
        <v>2941</v>
      </c>
      <c r="D212" s="6" t="n">
        <v>7.9</v>
      </c>
      <c r="E212" t="n">
        <v>36901</v>
      </c>
      <c r="F212" s="6" t="n">
        <v>7.9</v>
      </c>
      <c r="G212" t="n">
        <v>1</v>
      </c>
      <c r="H212" s="6">
        <f>ROUND(G212*F212,2)</f>
        <v/>
      </c>
      <c r="I212">
        <f>IF(ROUND(H212-D212,2)=0,1,0)</f>
        <v/>
      </c>
      <c r="J212">
        <f>IF(F212="","none",IF(G212=1,"carte","multiple"))</f>
        <v/>
      </c>
    </row>
    <row r="213">
      <c r="A213" t="inlineStr">
        <is>
          <t>2022-04-17</t>
        </is>
      </c>
      <c r="B213" t="inlineStr">
        <is>
          <t>19:35</t>
        </is>
      </c>
      <c r="C213" t="n">
        <v>2941</v>
      </c>
      <c r="D213" s="6" t="n">
        <v>7.8</v>
      </c>
      <c r="E213" t="n">
        <v>36902</v>
      </c>
      <c r="F213" s="6" t="n">
        <v>7.8</v>
      </c>
      <c r="G213" t="n">
        <v>1</v>
      </c>
      <c r="H213" s="6">
        <f>ROUND(G213*F213,2)</f>
        <v/>
      </c>
      <c r="I213">
        <f>IF(ROUND(H213-D213,2)=0,1,0)</f>
        <v/>
      </c>
      <c r="J213">
        <f>IF(F213="","none",IF(G213=1,"carte","multiple"))</f>
        <v/>
      </c>
    </row>
    <row r="214">
      <c r="A214" t="inlineStr">
        <is>
          <t>2022-04-17</t>
        </is>
      </c>
      <c r="B214" t="inlineStr">
        <is>
          <t>19:37</t>
        </is>
      </c>
      <c r="C214" t="n">
        <v>2941</v>
      </c>
      <c r="D214" s="6" t="n">
        <v>6.9</v>
      </c>
      <c r="E214" t="n">
        <v>36903</v>
      </c>
      <c r="F214" s="6" t="n">
        <v>6.9</v>
      </c>
      <c r="G214" t="n">
        <v>1</v>
      </c>
      <c r="H214" s="6">
        <f>ROUND(G214*F214,2)</f>
        <v/>
      </c>
      <c r="I214">
        <f>IF(ROUND(H214-D214,2)=0,1,0)</f>
        <v/>
      </c>
      <c r="J214">
        <f>IF(F214="","none",IF(G214=1,"carte","multiple"))</f>
        <v/>
      </c>
    </row>
    <row r="215">
      <c r="A215" t="inlineStr">
        <is>
          <t>2022-04-17</t>
        </is>
      </c>
      <c r="B215" t="inlineStr">
        <is>
          <t>19:37</t>
        </is>
      </c>
      <c r="C215" t="n">
        <v>2941</v>
      </c>
      <c r="D215" s="6" t="n">
        <v>8.1</v>
      </c>
      <c r="E215" t="n">
        <v>36904</v>
      </c>
      <c r="F215" s="6" t="n">
        <v>8.1</v>
      </c>
      <c r="G215" t="n">
        <v>1</v>
      </c>
      <c r="H215" s="6">
        <f>ROUND(G215*F215,2)</f>
        <v/>
      </c>
      <c r="I215">
        <f>IF(ROUND(H215-D215,2)=0,1,0)</f>
        <v/>
      </c>
      <c r="J215">
        <f>IF(F215="","none",IF(G215=1,"carte","multiple"))</f>
        <v/>
      </c>
    </row>
    <row r="216">
      <c r="A216" t="inlineStr">
        <is>
          <t>2022-04-17</t>
        </is>
      </c>
      <c r="B216" t="inlineStr">
        <is>
          <t>19:37</t>
        </is>
      </c>
      <c r="C216" t="n">
        <v>2941</v>
      </c>
      <c r="D216" s="6" t="n">
        <v>17.6</v>
      </c>
      <c r="E216" t="n">
        <v>36905</v>
      </c>
      <c r="F216" s="6" t="n">
        <v>17.6</v>
      </c>
      <c r="G216" t="n">
        <v>1</v>
      </c>
      <c r="H216" s="6">
        <f>ROUND(G216*F216,2)</f>
        <v/>
      </c>
      <c r="I216">
        <f>IF(ROUND(H216-D216,2)=0,1,0)</f>
        <v/>
      </c>
      <c r="J216">
        <f>IF(F216="","none",IF(G216=1,"carte","multiple"))</f>
        <v/>
      </c>
    </row>
    <row r="217">
      <c r="A217" t="inlineStr">
        <is>
          <t>2022-04-17</t>
        </is>
      </c>
      <c r="B217" t="inlineStr">
        <is>
          <t>19:37</t>
        </is>
      </c>
      <c r="C217" t="n">
        <v>2941</v>
      </c>
      <c r="D217" s="6" t="n">
        <v>17.6</v>
      </c>
      <c r="E217" t="n">
        <v>36906</v>
      </c>
      <c r="F217" s="6" t="n">
        <v>17.6</v>
      </c>
      <c r="G217" t="n">
        <v>1</v>
      </c>
      <c r="H217" s="6">
        <f>ROUND(G217*F217,2)</f>
        <v/>
      </c>
      <c r="I217">
        <f>IF(ROUND(H217-D217,2)=0,1,0)</f>
        <v/>
      </c>
      <c r="J217">
        <f>IF(F217="","none",IF(G217=1,"carte","multiple"))</f>
        <v/>
      </c>
    </row>
    <row r="218">
      <c r="A218" t="inlineStr">
        <is>
          <t>2022-04-17</t>
        </is>
      </c>
      <c r="B218" t="inlineStr">
        <is>
          <t>19:37</t>
        </is>
      </c>
      <c r="C218" t="n">
        <v>2941</v>
      </c>
      <c r="D218" s="6" t="n">
        <v>9.800000000000001</v>
      </c>
      <c r="E218" t="n">
        <v>36907</v>
      </c>
      <c r="F218" s="6" t="n">
        <v>9.800000000000001</v>
      </c>
      <c r="G218" t="n">
        <v>1</v>
      </c>
      <c r="H218" s="6">
        <f>ROUND(G218*F218,2)</f>
        <v/>
      </c>
      <c r="I218">
        <f>IF(ROUND(H218-D218,2)=0,1,0)</f>
        <v/>
      </c>
      <c r="J218">
        <f>IF(F218="","none",IF(G218=1,"carte","multiple"))</f>
        <v/>
      </c>
    </row>
    <row r="219">
      <c r="A219" t="inlineStr">
        <is>
          <t>2022-04-17</t>
        </is>
      </c>
      <c r="B219" t="inlineStr">
        <is>
          <t>19:37</t>
        </is>
      </c>
      <c r="C219" t="n">
        <v>2941</v>
      </c>
      <c r="D219" s="6" t="n">
        <v>5.2</v>
      </c>
      <c r="E219" t="n">
        <v>36908</v>
      </c>
      <c r="F219" s="6" t="n">
        <v>5.2</v>
      </c>
      <c r="G219" t="n">
        <v>1</v>
      </c>
      <c r="H219" s="6">
        <f>ROUND(G219*F219,2)</f>
        <v/>
      </c>
      <c r="I219">
        <f>IF(ROUND(H219-D219,2)=0,1,0)</f>
        <v/>
      </c>
      <c r="J219">
        <f>IF(F219="","none",IF(G219=1,"carte","multiple"))</f>
        <v/>
      </c>
    </row>
    <row r="220">
      <c r="A220" t="inlineStr">
        <is>
          <t>2022-04-17</t>
        </is>
      </c>
      <c r="B220" t="inlineStr">
        <is>
          <t>19:37</t>
        </is>
      </c>
      <c r="C220" t="n">
        <v>2941</v>
      </c>
      <c r="D220" s="6" t="n">
        <v>4.9</v>
      </c>
      <c r="E220" t="n">
        <v>36909</v>
      </c>
      <c r="F220" s="6" t="n">
        <v>4.9</v>
      </c>
      <c r="G220" t="n">
        <v>1</v>
      </c>
      <c r="H220" s="6">
        <f>ROUND(G220*F220,2)</f>
        <v/>
      </c>
      <c r="I220">
        <f>IF(ROUND(H220-D220,2)=0,1,0)</f>
        <v/>
      </c>
      <c r="J220">
        <f>IF(F220="","none",IF(G220=1,"carte","multiple"))</f>
        <v/>
      </c>
    </row>
    <row r="221">
      <c r="A221" t="inlineStr">
        <is>
          <t>2022-04-17</t>
        </is>
      </c>
      <c r="B221" t="inlineStr">
        <is>
          <t>19:44</t>
        </is>
      </c>
      <c r="C221" t="n">
        <v>2941</v>
      </c>
      <c r="D221" s="6" t="n">
        <v>34.8</v>
      </c>
      <c r="E221" t="n">
        <v>36910</v>
      </c>
      <c r="F221" s="6" t="n">
        <v>34.8</v>
      </c>
      <c r="G221" t="n">
        <v>1</v>
      </c>
      <c r="H221" s="6">
        <f>ROUND(G221*F221,2)</f>
        <v/>
      </c>
      <c r="I221">
        <f>IF(ROUND(H221-D221,2)=0,1,0)</f>
        <v/>
      </c>
      <c r="J221">
        <f>IF(F221="","none",IF(G221=1,"carte","multiple"))</f>
        <v/>
      </c>
    </row>
    <row r="222">
      <c r="A222" t="inlineStr">
        <is>
          <t>2022-04-17</t>
        </is>
      </c>
      <c r="B222" t="inlineStr">
        <is>
          <t>20:19</t>
        </is>
      </c>
      <c r="C222" t="n">
        <v>2941</v>
      </c>
      <c r="D222" s="6" t="n">
        <v>27.8</v>
      </c>
      <c r="E222" t="n">
        <v>36911</v>
      </c>
      <c r="F222" s="6" t="n">
        <v>27.8</v>
      </c>
      <c r="G222" t="n">
        <v>1</v>
      </c>
      <c r="H222" s="6">
        <f>ROUND(G222*F222,2)</f>
        <v/>
      </c>
      <c r="I222">
        <f>IF(ROUND(H222-D222,2)=0,1,0)</f>
        <v/>
      </c>
      <c r="J222">
        <f>IF(F222="","none",IF(G222=1,"carte","multiple"))</f>
        <v/>
      </c>
    </row>
    <row r="223">
      <c r="A223" t="inlineStr">
        <is>
          <t>2022-04-17</t>
        </is>
      </c>
      <c r="B223" t="inlineStr">
        <is>
          <t>20:19</t>
        </is>
      </c>
      <c r="C223" t="n">
        <v>2941</v>
      </c>
      <c r="D223" s="6" t="n">
        <v>4.4</v>
      </c>
      <c r="E223" t="n">
        <v>36912</v>
      </c>
      <c r="F223" s="6" t="n">
        <v>0.4</v>
      </c>
      <c r="G223" t="n">
        <v>11</v>
      </c>
      <c r="H223" s="6">
        <f>ROUND(G223*F223,2)</f>
        <v/>
      </c>
      <c r="I223">
        <f>IF(ROUND(H223-D223,2)=0,1,0)</f>
        <v/>
      </c>
      <c r="J223">
        <f>IF(F223="","none",IF(G223=1,"carte","multiple"))</f>
        <v/>
      </c>
    </row>
    <row r="224">
      <c r="A224" t="inlineStr">
        <is>
          <t>2022-04-17</t>
        </is>
      </c>
      <c r="B224" t="inlineStr">
        <is>
          <t>20:19</t>
        </is>
      </c>
      <c r="C224" t="n">
        <v>2941</v>
      </c>
      <c r="D224" s="6" t="n">
        <v>19.9</v>
      </c>
      <c r="E224" t="n">
        <v>36913</v>
      </c>
      <c r="F224" s="6" t="n">
        <v>19.9</v>
      </c>
      <c r="G224" t="n">
        <v>1</v>
      </c>
      <c r="H224" s="6">
        <f>ROUND(G224*F224,2)</f>
        <v/>
      </c>
      <c r="I224">
        <f>IF(ROUND(H224-D224,2)=0,1,0)</f>
        <v/>
      </c>
      <c r="J224">
        <f>IF(F224="","none",IF(G224=1,"carte","multiple"))</f>
        <v/>
      </c>
    </row>
    <row r="225">
      <c r="A225" t="inlineStr">
        <is>
          <t>2022-04-17</t>
        </is>
      </c>
      <c r="B225" t="inlineStr">
        <is>
          <t>20:19</t>
        </is>
      </c>
      <c r="C225" t="n">
        <v>2941</v>
      </c>
      <c r="D225" s="6" t="n">
        <v>7.2</v>
      </c>
      <c r="E225" t="n">
        <v>36914</v>
      </c>
      <c r="F225" s="6" t="n">
        <v>7.2</v>
      </c>
      <c r="G225" t="n">
        <v>1</v>
      </c>
      <c r="H225" s="6">
        <f>ROUND(G225*F225,2)</f>
        <v/>
      </c>
      <c r="I225">
        <f>IF(ROUND(H225-D225,2)=0,1,0)</f>
        <v/>
      </c>
      <c r="J225">
        <f>IF(F225="","none",IF(G225=1,"carte","multiple"))</f>
        <v/>
      </c>
    </row>
    <row r="226">
      <c r="A226" t="inlineStr">
        <is>
          <t>2022-04-17</t>
        </is>
      </c>
      <c r="B226" t="inlineStr">
        <is>
          <t>20:19</t>
        </is>
      </c>
      <c r="C226" t="n">
        <v>2941</v>
      </c>
      <c r="D226" s="6" t="n">
        <v>9.6</v>
      </c>
      <c r="E226" t="n">
        <v>36915</v>
      </c>
      <c r="F226" s="6" t="n">
        <v>9.6</v>
      </c>
      <c r="G226" t="n">
        <v>1</v>
      </c>
      <c r="H226" s="6">
        <f>ROUND(G226*F226,2)</f>
        <v/>
      </c>
      <c r="I226">
        <f>IF(ROUND(H226-D226,2)=0,1,0)</f>
        <v/>
      </c>
      <c r="J226">
        <f>IF(F226="","none",IF(G226=1,"carte","multiple"))</f>
        <v/>
      </c>
    </row>
    <row r="227">
      <c r="A227" t="inlineStr">
        <is>
          <t>2022-04-17</t>
        </is>
      </c>
      <c r="B227" t="inlineStr">
        <is>
          <t>20:19</t>
        </is>
      </c>
      <c r="C227" t="n">
        <v>2941</v>
      </c>
      <c r="D227" s="6" t="n">
        <v>4</v>
      </c>
      <c r="E227" t="n">
        <v>36916</v>
      </c>
      <c r="F227" s="6" t="n">
        <v>4</v>
      </c>
      <c r="G227" t="n">
        <v>1</v>
      </c>
      <c r="H227" s="6">
        <f>ROUND(G227*F227,2)</f>
        <v/>
      </c>
      <c r="I227">
        <f>IF(ROUND(H227-D227,2)=0,1,0)</f>
        <v/>
      </c>
      <c r="J227">
        <f>IF(F227="","none",IF(G227=1,"carte","multiple"))</f>
        <v/>
      </c>
    </row>
    <row r="228">
      <c r="A228" t="inlineStr">
        <is>
          <t>2022-04-17</t>
        </is>
      </c>
      <c r="B228" t="inlineStr">
        <is>
          <t>20:19</t>
        </is>
      </c>
      <c r="C228" t="n">
        <v>2941</v>
      </c>
      <c r="D228" s="6" t="n">
        <v>30</v>
      </c>
      <c r="E228" t="n">
        <v>36917</v>
      </c>
      <c r="F228" s="6" t="n">
        <v>30</v>
      </c>
      <c r="G228" t="n">
        <v>1</v>
      </c>
      <c r="H228" s="6">
        <f>ROUND(G228*F228,2)</f>
        <v/>
      </c>
      <c r="I228">
        <f>IF(ROUND(H228-D228,2)=0,1,0)</f>
        <v/>
      </c>
      <c r="J228">
        <f>IF(F228="","none",IF(G228=1,"carte","multiple"))</f>
        <v/>
      </c>
    </row>
    <row r="229">
      <c r="A229" t="inlineStr">
        <is>
          <t>2022-04-17</t>
        </is>
      </c>
      <c r="B229" t="inlineStr">
        <is>
          <t>20:19</t>
        </is>
      </c>
      <c r="C229" t="n">
        <v>2941</v>
      </c>
      <c r="D229" s="6" t="n">
        <v>7.2</v>
      </c>
      <c r="E229" t="n">
        <v>36918</v>
      </c>
      <c r="F229" s="6" t="n">
        <v>7.2</v>
      </c>
      <c r="G229" t="n">
        <v>1</v>
      </c>
      <c r="H229" s="6">
        <f>ROUND(G229*F229,2)</f>
        <v/>
      </c>
      <c r="I229">
        <f>IF(ROUND(H229-D229,2)=0,1,0)</f>
        <v/>
      </c>
      <c r="J229">
        <f>IF(F229="","none",IF(G229=1,"carte","multiple"))</f>
        <v/>
      </c>
    </row>
    <row r="230">
      <c r="A230" t="inlineStr">
        <is>
          <t>2022-04-17</t>
        </is>
      </c>
      <c r="B230" t="inlineStr">
        <is>
          <t>20:19</t>
        </is>
      </c>
      <c r="C230" t="n">
        <v>2941</v>
      </c>
      <c r="D230" s="6" t="n">
        <v>3.9</v>
      </c>
      <c r="E230" t="n">
        <v>36919</v>
      </c>
      <c r="F230" s="6" t="n">
        <v>3.9</v>
      </c>
      <c r="G230" t="n">
        <v>1</v>
      </c>
      <c r="H230" s="6">
        <f>ROUND(G230*F230,2)</f>
        <v/>
      </c>
      <c r="I230">
        <f>IF(ROUND(H230-D230,2)=0,1,0)</f>
        <v/>
      </c>
      <c r="J230">
        <f>IF(F230="","none",IF(G230=1,"carte","multiple"))</f>
        <v/>
      </c>
    </row>
    <row r="231">
      <c r="A231" t="inlineStr">
        <is>
          <t>2022-04-18</t>
        </is>
      </c>
      <c r="B231" t="inlineStr">
        <is>
          <t>11:11</t>
        </is>
      </c>
      <c r="C231" t="n">
        <v>2942</v>
      </c>
      <c r="D231" s="6" t="n">
        <v>15.9</v>
      </c>
      <c r="E231" t="n">
        <v>36922</v>
      </c>
      <c r="F231" s="6" t="n">
        <v>15.9</v>
      </c>
      <c r="G231" t="n">
        <v>1</v>
      </c>
      <c r="H231" s="6">
        <f>ROUND(G231*F231,2)</f>
        <v/>
      </c>
      <c r="I231">
        <f>IF(ROUND(H231-D231,2)=0,1,0)</f>
        <v/>
      </c>
      <c r="J231">
        <f>IF(F231="","none",IF(G231=1,"carte","multiple"))</f>
        <v/>
      </c>
    </row>
    <row r="232">
      <c r="A232" t="inlineStr">
        <is>
          <t>2022-04-18</t>
        </is>
      </c>
      <c r="B232" t="inlineStr">
        <is>
          <t>11:11</t>
        </is>
      </c>
      <c r="C232" t="n">
        <v>2942</v>
      </c>
      <c r="D232" s="6" t="n">
        <v>2</v>
      </c>
      <c r="E232" t="n">
        <v>36923</v>
      </c>
      <c r="F232" s="6" t="n">
        <v>2</v>
      </c>
      <c r="G232" t="n">
        <v>1</v>
      </c>
      <c r="H232" s="6">
        <f>ROUND(G232*F232,2)</f>
        <v/>
      </c>
      <c r="I232">
        <f>IF(ROUND(H232-D232,2)=0,1,0)</f>
        <v/>
      </c>
      <c r="J232">
        <f>IF(F232="","none",IF(G232=1,"carte","multiple"))</f>
        <v/>
      </c>
    </row>
    <row r="233">
      <c r="A233" t="inlineStr">
        <is>
          <t>2022-04-18</t>
        </is>
      </c>
      <c r="B233" t="inlineStr">
        <is>
          <t>11:52</t>
        </is>
      </c>
      <c r="C233" t="n">
        <v>2942</v>
      </c>
      <c r="D233" s="6" t="n">
        <v>36</v>
      </c>
      <c r="E233" t="n">
        <v>36924</v>
      </c>
      <c r="F233" s="6" t="n">
        <v>36</v>
      </c>
      <c r="G233" t="n">
        <v>1</v>
      </c>
      <c r="H233" s="6">
        <f>ROUND(G233*F233,2)</f>
        <v/>
      </c>
      <c r="I233">
        <f>IF(ROUND(H233-D233,2)=0,1,0)</f>
        <v/>
      </c>
      <c r="J233">
        <f>IF(F233="","none",IF(G233=1,"carte","multiple"))</f>
        <v/>
      </c>
    </row>
    <row r="234">
      <c r="A234" t="inlineStr">
        <is>
          <t>2022-04-18</t>
        </is>
      </c>
      <c r="B234" t="inlineStr">
        <is>
          <t>11:52</t>
        </is>
      </c>
      <c r="C234" t="n">
        <v>2942</v>
      </c>
      <c r="D234" s="6" t="n">
        <v>3.9</v>
      </c>
      <c r="E234" t="n">
        <v>36925</v>
      </c>
      <c r="F234" s="6" t="n">
        <v>3.9</v>
      </c>
      <c r="G234" t="n">
        <v>1</v>
      </c>
      <c r="H234" s="6">
        <f>ROUND(G234*F234,2)</f>
        <v/>
      </c>
      <c r="I234">
        <f>IF(ROUND(H234-D234,2)=0,1,0)</f>
        <v/>
      </c>
      <c r="J234">
        <f>IF(F234="","none",IF(G234=1,"carte","multiple"))</f>
        <v/>
      </c>
    </row>
    <row r="235">
      <c r="A235" t="inlineStr">
        <is>
          <t>2022-04-18</t>
        </is>
      </c>
      <c r="B235" t="inlineStr">
        <is>
          <t>11:52</t>
        </is>
      </c>
      <c r="C235" t="n">
        <v>2942</v>
      </c>
      <c r="D235" s="6" t="n">
        <v>45</v>
      </c>
      <c r="E235" t="n">
        <v>36926</v>
      </c>
      <c r="F235" s="6" t="n">
        <v>45</v>
      </c>
      <c r="G235" t="n">
        <v>1</v>
      </c>
      <c r="H235" s="6">
        <f>ROUND(G235*F235,2)</f>
        <v/>
      </c>
      <c r="I235">
        <f>IF(ROUND(H235-D235,2)=0,1,0)</f>
        <v/>
      </c>
      <c r="J235">
        <f>IF(F235="","none",IF(G235=1,"carte","multiple"))</f>
        <v/>
      </c>
    </row>
    <row r="236">
      <c r="A236" t="inlineStr">
        <is>
          <t>2022-04-18</t>
        </is>
      </c>
      <c r="B236" t="inlineStr">
        <is>
          <t>11:52</t>
        </is>
      </c>
      <c r="C236" t="n">
        <v>2942</v>
      </c>
      <c r="D236" s="6" t="n">
        <v>6.4</v>
      </c>
      <c r="E236" t="n">
        <v>36927</v>
      </c>
      <c r="F236" s="6" t="n">
        <v>6.4</v>
      </c>
      <c r="G236" t="n">
        <v>1</v>
      </c>
      <c r="H236" s="6">
        <f>ROUND(G236*F236,2)</f>
        <v/>
      </c>
      <c r="I236">
        <f>IF(ROUND(H236-D236,2)=0,1,0)</f>
        <v/>
      </c>
      <c r="J236">
        <f>IF(F236="","none",IF(G236=1,"carte","multiple"))</f>
        <v/>
      </c>
    </row>
    <row r="237">
      <c r="A237" t="inlineStr">
        <is>
          <t>2022-04-18</t>
        </is>
      </c>
      <c r="B237" t="inlineStr">
        <is>
          <t>11:52</t>
        </is>
      </c>
      <c r="C237" t="n">
        <v>2942</v>
      </c>
      <c r="D237" s="6" t="n">
        <v>5.9</v>
      </c>
      <c r="E237" t="n">
        <v>36928</v>
      </c>
      <c r="F237" s="6" t="n">
        <v>5.9</v>
      </c>
      <c r="G237" t="n">
        <v>1</v>
      </c>
      <c r="H237" s="6">
        <f>ROUND(G237*F237,2)</f>
        <v/>
      </c>
      <c r="I237">
        <f>IF(ROUND(H237-D237,2)=0,1,0)</f>
        <v/>
      </c>
      <c r="J237">
        <f>IF(F237="","none",IF(G237=1,"carte","multiple"))</f>
        <v/>
      </c>
    </row>
    <row r="238">
      <c r="A238" t="inlineStr">
        <is>
          <t>2022-04-18</t>
        </is>
      </c>
      <c r="B238" t="inlineStr">
        <is>
          <t>11:53</t>
        </is>
      </c>
      <c r="C238" t="n">
        <v>2942</v>
      </c>
      <c r="D238" s="6" t="n">
        <v>5</v>
      </c>
      <c r="E238" t="n">
        <v>36929</v>
      </c>
      <c r="F238" s="6" t="n">
        <v>5</v>
      </c>
      <c r="G238" t="n">
        <v>1</v>
      </c>
      <c r="H238" s="6">
        <f>ROUND(G238*F238,2)</f>
        <v/>
      </c>
      <c r="I238">
        <f>IF(ROUND(H238-D238,2)=0,1,0)</f>
        <v/>
      </c>
      <c r="J238">
        <f>IF(F238="","none",IF(G238=1,"carte","multiple"))</f>
        <v/>
      </c>
    </row>
    <row r="239">
      <c r="A239" t="inlineStr">
        <is>
          <t>2022-04-18</t>
        </is>
      </c>
      <c r="B239" t="inlineStr">
        <is>
          <t>12:26</t>
        </is>
      </c>
      <c r="C239" t="n">
        <v>2942</v>
      </c>
      <c r="D239" s="6" t="n">
        <v>17.6</v>
      </c>
      <c r="E239" t="n">
        <v>36930</v>
      </c>
      <c r="F239" s="6" t="n">
        <v>17.6</v>
      </c>
      <c r="G239" t="n">
        <v>1</v>
      </c>
      <c r="H239" s="6">
        <f>ROUND(G239*F239,2)</f>
        <v/>
      </c>
      <c r="I239">
        <f>IF(ROUND(H239-D239,2)=0,1,0)</f>
        <v/>
      </c>
      <c r="J239">
        <f>IF(F239="","none",IF(G239=1,"carte","multiple"))</f>
        <v/>
      </c>
    </row>
    <row r="240">
      <c r="A240" t="inlineStr">
        <is>
          <t>2022-04-18</t>
        </is>
      </c>
      <c r="B240" t="inlineStr">
        <is>
          <t>12:26</t>
        </is>
      </c>
      <c r="C240" t="n">
        <v>2942</v>
      </c>
      <c r="D240" s="6" t="n">
        <v>19.9</v>
      </c>
      <c r="E240" t="n">
        <v>36931</v>
      </c>
      <c r="F240" s="6" t="n">
        <v>19.9</v>
      </c>
      <c r="G240" t="n">
        <v>1</v>
      </c>
      <c r="H240" s="6">
        <f>ROUND(G240*F240,2)</f>
        <v/>
      </c>
      <c r="I240">
        <f>IF(ROUND(H240-D240,2)=0,1,0)</f>
        <v/>
      </c>
      <c r="J240">
        <f>IF(F240="","none",IF(G240=1,"carte","multiple"))</f>
        <v/>
      </c>
    </row>
    <row r="241">
      <c r="A241" t="inlineStr">
        <is>
          <t>2022-04-18</t>
        </is>
      </c>
      <c r="B241" t="inlineStr">
        <is>
          <t>12:26</t>
        </is>
      </c>
      <c r="C241" t="n">
        <v>2942</v>
      </c>
      <c r="D241" s="6" t="n">
        <v>7.2</v>
      </c>
      <c r="E241" t="n">
        <v>36932</v>
      </c>
      <c r="F241" s="6" t="n">
        <v>7.2</v>
      </c>
      <c r="G241" t="n">
        <v>1</v>
      </c>
      <c r="H241" s="6">
        <f>ROUND(G241*F241,2)</f>
        <v/>
      </c>
      <c r="I241">
        <f>IF(ROUND(H241-D241,2)=0,1,0)</f>
        <v/>
      </c>
      <c r="J241">
        <f>IF(F241="","none",IF(G241=1,"carte","multiple"))</f>
        <v/>
      </c>
    </row>
    <row r="242">
      <c r="A242" t="inlineStr">
        <is>
          <t>2022-04-18</t>
        </is>
      </c>
      <c r="B242" t="inlineStr">
        <is>
          <t>12:26</t>
        </is>
      </c>
      <c r="C242" t="n">
        <v>2942</v>
      </c>
      <c r="D242" s="6" t="n">
        <v>14</v>
      </c>
      <c r="E242" t="n">
        <v>36933</v>
      </c>
      <c r="F242" s="6" t="n">
        <v>14</v>
      </c>
      <c r="G242" t="n">
        <v>1</v>
      </c>
      <c r="H242" s="6">
        <f>ROUND(G242*F242,2)</f>
        <v/>
      </c>
      <c r="I242">
        <f>IF(ROUND(H242-D242,2)=0,1,0)</f>
        <v/>
      </c>
      <c r="J242">
        <f>IF(F242="","none",IF(G242=1,"carte","multiple"))</f>
        <v/>
      </c>
    </row>
    <row r="243">
      <c r="A243" t="inlineStr">
        <is>
          <t>2022-04-18</t>
        </is>
      </c>
      <c r="B243" t="inlineStr">
        <is>
          <t>12:29</t>
        </is>
      </c>
      <c r="C243" t="n">
        <v>2942</v>
      </c>
      <c r="D243" s="6" t="n">
        <v>4.4</v>
      </c>
      <c r="E243" t="n">
        <v>36934</v>
      </c>
      <c r="F243" s="6" t="n">
        <v>0.4</v>
      </c>
      <c r="G243" t="n">
        <v>11</v>
      </c>
      <c r="H243" s="6">
        <f>ROUND(G243*F243,2)</f>
        <v/>
      </c>
      <c r="I243">
        <f>IF(ROUND(H243-D243,2)=0,1,0)</f>
        <v/>
      </c>
      <c r="J243">
        <f>IF(F243="","none",IF(G243=1,"carte","multiple"))</f>
        <v/>
      </c>
    </row>
    <row r="244">
      <c r="A244" t="inlineStr">
        <is>
          <t>2022-04-18</t>
        </is>
      </c>
      <c r="B244" t="inlineStr">
        <is>
          <t>12:29</t>
        </is>
      </c>
      <c r="C244" t="n">
        <v>2942</v>
      </c>
      <c r="D244" s="6" t="n">
        <v>9.800000000000001</v>
      </c>
      <c r="E244" t="n">
        <v>36935</v>
      </c>
      <c r="F244" s="6" t="n">
        <v>9.800000000000001</v>
      </c>
      <c r="G244" t="n">
        <v>1</v>
      </c>
      <c r="H244" s="6">
        <f>ROUND(G244*F244,2)</f>
        <v/>
      </c>
      <c r="I244">
        <f>IF(ROUND(H244-D244,2)=0,1,0)</f>
        <v/>
      </c>
      <c r="J244">
        <f>IF(F244="","none",IF(G244=1,"carte","multiple"))</f>
        <v/>
      </c>
    </row>
    <row r="245">
      <c r="A245" t="inlineStr">
        <is>
          <t>2022-04-18</t>
        </is>
      </c>
      <c r="B245" t="inlineStr">
        <is>
          <t>12:29</t>
        </is>
      </c>
      <c r="C245" t="n">
        <v>2942</v>
      </c>
      <c r="D245" s="6" t="n">
        <v>64</v>
      </c>
      <c r="E245" t="n">
        <v>36936</v>
      </c>
      <c r="F245" s="6" t="n">
        <v>64</v>
      </c>
      <c r="G245" t="n">
        <v>1</v>
      </c>
      <c r="H245" s="6">
        <f>ROUND(G245*F245,2)</f>
        <v/>
      </c>
      <c r="I245">
        <f>IF(ROUND(H245-D245,2)=0,1,0)</f>
        <v/>
      </c>
      <c r="J245">
        <f>IF(F245="","none",IF(G245=1,"carte","multiple"))</f>
        <v/>
      </c>
    </row>
    <row r="246">
      <c r="A246" t="inlineStr">
        <is>
          <t>2022-04-18</t>
        </is>
      </c>
      <c r="B246" t="inlineStr">
        <is>
          <t>12:29</t>
        </is>
      </c>
      <c r="C246" t="n">
        <v>2942</v>
      </c>
      <c r="D246" s="6" t="n">
        <v>7.6</v>
      </c>
      <c r="E246" t="n">
        <v>36937</v>
      </c>
      <c r="F246" s="6" t="n">
        <v>7.6</v>
      </c>
      <c r="G246" t="n">
        <v>1</v>
      </c>
      <c r="H246" s="6">
        <f>ROUND(G246*F246,2)</f>
        <v/>
      </c>
      <c r="I246">
        <f>IF(ROUND(H246-D246,2)=0,1,0)</f>
        <v/>
      </c>
      <c r="J246">
        <f>IF(F246="","none",IF(G246=1,"carte","multiple"))</f>
        <v/>
      </c>
    </row>
    <row r="247">
      <c r="A247" t="inlineStr">
        <is>
          <t>2022-04-18</t>
        </is>
      </c>
      <c r="B247" t="inlineStr">
        <is>
          <t>12:30</t>
        </is>
      </c>
      <c r="C247" t="n">
        <v>2942</v>
      </c>
      <c r="D247" s="6" t="n">
        <v>19.9</v>
      </c>
      <c r="E247" t="n">
        <v>36938</v>
      </c>
      <c r="F247" s="6" t="n">
        <v>19.9</v>
      </c>
      <c r="G247" t="n">
        <v>1</v>
      </c>
      <c r="H247" s="6">
        <f>ROUND(G247*F247,2)</f>
        <v/>
      </c>
      <c r="I247">
        <f>IF(ROUND(H247-D247,2)=0,1,0)</f>
        <v/>
      </c>
      <c r="J247">
        <f>IF(F247="","none",IF(G247=1,"carte","multiple"))</f>
        <v/>
      </c>
    </row>
    <row r="248">
      <c r="A248" t="inlineStr">
        <is>
          <t>2022-04-18</t>
        </is>
      </c>
      <c r="B248" t="inlineStr">
        <is>
          <t>12:30</t>
        </is>
      </c>
      <c r="C248" t="n">
        <v>2942</v>
      </c>
      <c r="D248" s="6" t="n">
        <v>19</v>
      </c>
      <c r="E248" t="n">
        <v>36939</v>
      </c>
      <c r="F248" s="6" t="n">
        <v>19</v>
      </c>
      <c r="G248" t="n">
        <v>1</v>
      </c>
      <c r="H248" s="6">
        <f>ROUND(G248*F248,2)</f>
        <v/>
      </c>
      <c r="I248">
        <f>IF(ROUND(H248-D248,2)=0,1,0)</f>
        <v/>
      </c>
      <c r="J248">
        <f>IF(F248="","none",IF(G248=1,"carte","multiple"))</f>
        <v/>
      </c>
    </row>
    <row r="249">
      <c r="A249" t="inlineStr">
        <is>
          <t>2022-04-18</t>
        </is>
      </c>
      <c r="B249" t="inlineStr">
        <is>
          <t>12:34</t>
        </is>
      </c>
      <c r="C249" t="n">
        <v>2942</v>
      </c>
      <c r="D249" s="6" t="n">
        <v>17.6</v>
      </c>
      <c r="E249" t="n">
        <v>36940</v>
      </c>
      <c r="F249" s="6" t="n">
        <v>17.6</v>
      </c>
      <c r="G249" t="n">
        <v>1</v>
      </c>
      <c r="H249" s="6">
        <f>ROUND(G249*F249,2)</f>
        <v/>
      </c>
      <c r="I249">
        <f>IF(ROUND(H249-D249,2)=0,1,0)</f>
        <v/>
      </c>
      <c r="J249">
        <f>IF(F249="","none",IF(G249=1,"carte","multiple"))</f>
        <v/>
      </c>
    </row>
    <row r="250">
      <c r="A250" t="inlineStr">
        <is>
          <t>2022-04-18</t>
        </is>
      </c>
      <c r="B250" t="inlineStr">
        <is>
          <t>12:40</t>
        </is>
      </c>
      <c r="C250" t="n">
        <v>2942</v>
      </c>
      <c r="D250" s="6" t="n">
        <v>16.9</v>
      </c>
      <c r="E250" t="n">
        <v>36941</v>
      </c>
      <c r="F250" s="6" t="n">
        <v>16.9</v>
      </c>
      <c r="G250" t="n">
        <v>1</v>
      </c>
      <c r="H250" s="6">
        <f>ROUND(G250*F250,2)</f>
        <v/>
      </c>
      <c r="I250">
        <f>IF(ROUND(H250-D250,2)=0,1,0)</f>
        <v/>
      </c>
      <c r="J250">
        <f>IF(F250="","none",IF(G250=1,"carte","multiple"))</f>
        <v/>
      </c>
    </row>
    <row r="251">
      <c r="A251" t="inlineStr">
        <is>
          <t>2022-04-18</t>
        </is>
      </c>
      <c r="B251" t="inlineStr">
        <is>
          <t>12:40</t>
        </is>
      </c>
      <c r="C251" t="n">
        <v>2942</v>
      </c>
      <c r="D251" s="6" t="n">
        <v>19</v>
      </c>
      <c r="E251" t="n">
        <v>36942</v>
      </c>
      <c r="F251" s="6" t="n">
        <v>19</v>
      </c>
      <c r="G251" t="n">
        <v>1</v>
      </c>
      <c r="H251" s="6">
        <f>ROUND(G251*F251,2)</f>
        <v/>
      </c>
      <c r="I251">
        <f>IF(ROUND(H251-D251,2)=0,1,0)</f>
        <v/>
      </c>
      <c r="J251">
        <f>IF(F251="","none",IF(G251=1,"carte","multiple"))</f>
        <v/>
      </c>
    </row>
    <row r="252">
      <c r="A252" t="inlineStr">
        <is>
          <t>2022-04-18</t>
        </is>
      </c>
      <c r="B252" t="inlineStr">
        <is>
          <t>12:40</t>
        </is>
      </c>
      <c r="C252" t="n">
        <v>2942</v>
      </c>
      <c r="D252" s="6" t="n">
        <v>3.9</v>
      </c>
      <c r="E252" t="n">
        <v>36943</v>
      </c>
      <c r="F252" s="6" t="n">
        <v>3.9</v>
      </c>
      <c r="G252" t="n">
        <v>1</v>
      </c>
      <c r="H252" s="6">
        <f>ROUND(G252*F252,2)</f>
        <v/>
      </c>
      <c r="I252">
        <f>IF(ROUND(H252-D252,2)=0,1,0)</f>
        <v/>
      </c>
      <c r="J252">
        <f>IF(F252="","none",IF(G252=1,"carte","multiple"))</f>
        <v/>
      </c>
    </row>
    <row r="253">
      <c r="A253" t="inlineStr">
        <is>
          <t>2022-04-18</t>
        </is>
      </c>
      <c r="B253" t="inlineStr">
        <is>
          <t>12:40</t>
        </is>
      </c>
      <c r="C253" t="n">
        <v>2942</v>
      </c>
      <c r="D253" s="6" t="n">
        <v>64</v>
      </c>
      <c r="E253" t="n">
        <v>36944</v>
      </c>
      <c r="F253" s="6" t="n">
        <v>64</v>
      </c>
      <c r="G253" t="n">
        <v>1</v>
      </c>
      <c r="H253" s="6">
        <f>ROUND(G253*F253,2)</f>
        <v/>
      </c>
      <c r="I253">
        <f>IF(ROUND(H253-D253,2)=0,1,0)</f>
        <v/>
      </c>
      <c r="J253">
        <f>IF(F253="","none",IF(G253=1,"carte","multiple"))</f>
        <v/>
      </c>
    </row>
    <row r="254">
      <c r="A254" t="inlineStr">
        <is>
          <t>2022-04-18</t>
        </is>
      </c>
      <c r="B254" t="inlineStr">
        <is>
          <t>12:40</t>
        </is>
      </c>
      <c r="C254" t="n">
        <v>2942</v>
      </c>
      <c r="D254" s="6" t="n">
        <v>9.800000000000001</v>
      </c>
      <c r="E254" t="n">
        <v>36945</v>
      </c>
      <c r="F254" s="6" t="n">
        <v>9.800000000000001</v>
      </c>
      <c r="G254" t="n">
        <v>1</v>
      </c>
      <c r="H254" s="6">
        <f>ROUND(G254*F254,2)</f>
        <v/>
      </c>
      <c r="I254">
        <f>IF(ROUND(H254-D254,2)=0,1,0)</f>
        <v/>
      </c>
      <c r="J254">
        <f>IF(F254="","none",IF(G254=1,"carte","multiple"))</f>
        <v/>
      </c>
    </row>
    <row r="255">
      <c r="A255" t="inlineStr">
        <is>
          <t>2022-04-18</t>
        </is>
      </c>
      <c r="B255" t="inlineStr">
        <is>
          <t>12:40</t>
        </is>
      </c>
      <c r="C255" t="n">
        <v>2942</v>
      </c>
      <c r="D255" s="6" t="n">
        <v>4.9</v>
      </c>
      <c r="E255" t="n">
        <v>36946</v>
      </c>
      <c r="F255" s="6" t="n">
        <v>4.9</v>
      </c>
      <c r="G255" t="n">
        <v>1</v>
      </c>
      <c r="H255" s="6">
        <f>ROUND(G255*F255,2)</f>
        <v/>
      </c>
      <c r="I255">
        <f>IF(ROUND(H255-D255,2)=0,1,0)</f>
        <v/>
      </c>
      <c r="J255">
        <f>IF(F255="","none",IF(G255=1,"carte","multiple"))</f>
        <v/>
      </c>
    </row>
    <row r="256">
      <c r="A256" t="inlineStr">
        <is>
          <t>2022-04-18</t>
        </is>
      </c>
      <c r="B256" t="inlineStr">
        <is>
          <t>12:40</t>
        </is>
      </c>
      <c r="C256" t="n">
        <v>2942</v>
      </c>
      <c r="D256" s="6" t="n">
        <v>3.9</v>
      </c>
      <c r="E256" t="n">
        <v>36947</v>
      </c>
      <c r="F256" s="6" t="n">
        <v>3.9</v>
      </c>
      <c r="G256" t="n">
        <v>1</v>
      </c>
      <c r="H256" s="6">
        <f>ROUND(G256*F256,2)</f>
        <v/>
      </c>
      <c r="I256">
        <f>IF(ROUND(H256-D256,2)=0,1,0)</f>
        <v/>
      </c>
      <c r="J256">
        <f>IF(F256="","none",IF(G256=1,"carte","multiple"))</f>
        <v/>
      </c>
    </row>
    <row r="257">
      <c r="A257" t="inlineStr">
        <is>
          <t>2022-04-18</t>
        </is>
      </c>
      <c r="B257" t="inlineStr">
        <is>
          <t>12:40</t>
        </is>
      </c>
      <c r="C257" t="n">
        <v>2942</v>
      </c>
      <c r="D257" s="6" t="n">
        <v>5.9</v>
      </c>
      <c r="E257" t="n">
        <v>36948</v>
      </c>
      <c r="F257" s="6" t="n">
        <v>5.9</v>
      </c>
      <c r="G257" t="n">
        <v>1</v>
      </c>
      <c r="H257" s="6">
        <f>ROUND(G257*F257,2)</f>
        <v/>
      </c>
      <c r="I257">
        <f>IF(ROUND(H257-D257,2)=0,1,0)</f>
        <v/>
      </c>
      <c r="J257">
        <f>IF(F257="","none",IF(G257=1,"carte","multiple"))</f>
        <v/>
      </c>
    </row>
    <row r="258">
      <c r="A258" t="inlineStr">
        <is>
          <t>2022-04-18</t>
        </is>
      </c>
      <c r="B258" t="inlineStr">
        <is>
          <t>12:40</t>
        </is>
      </c>
      <c r="C258" t="n">
        <v>2942</v>
      </c>
      <c r="D258" s="6" t="n">
        <v>7.2</v>
      </c>
      <c r="E258" t="n">
        <v>36949</v>
      </c>
      <c r="F258" s="6" t="n">
        <v>7.2</v>
      </c>
      <c r="G258" t="n">
        <v>1</v>
      </c>
      <c r="H258" s="6">
        <f>ROUND(G258*F258,2)</f>
        <v/>
      </c>
      <c r="I258">
        <f>IF(ROUND(H258-D258,2)=0,1,0)</f>
        <v/>
      </c>
      <c r="J258">
        <f>IF(F258="","none",IF(G258=1,"carte","multiple"))</f>
        <v/>
      </c>
    </row>
    <row r="259">
      <c r="A259" t="inlineStr">
        <is>
          <t>2022-04-20</t>
        </is>
      </c>
      <c r="B259" t="inlineStr">
        <is>
          <t>11:18</t>
        </is>
      </c>
      <c r="C259" t="n">
        <v>2943</v>
      </c>
      <c r="D259" s="6" t="n">
        <v>27.8</v>
      </c>
      <c r="E259" t="n">
        <v>36952</v>
      </c>
      <c r="F259" s="6" t="n">
        <v>27.8</v>
      </c>
      <c r="G259" t="n">
        <v>1</v>
      </c>
      <c r="H259" s="6">
        <f>ROUND(G259*F259,2)</f>
        <v/>
      </c>
      <c r="I259">
        <f>IF(ROUND(H259-D259,2)=0,1,0)</f>
        <v/>
      </c>
      <c r="J259">
        <f>IF(F259="","none",IF(G259=1,"carte","multiple"))</f>
        <v/>
      </c>
    </row>
    <row r="260">
      <c r="A260" t="inlineStr">
        <is>
          <t>2022-04-20</t>
        </is>
      </c>
      <c r="B260" t="inlineStr">
        <is>
          <t>11:19</t>
        </is>
      </c>
      <c r="C260" t="n">
        <v>2943</v>
      </c>
      <c r="D260" s="6" t="n">
        <v>17.6</v>
      </c>
      <c r="E260" t="n">
        <v>36953</v>
      </c>
      <c r="F260" s="6" t="n">
        <v>17.6</v>
      </c>
      <c r="G260" t="n">
        <v>1</v>
      </c>
      <c r="H260" s="6">
        <f>ROUND(G260*F260,2)</f>
        <v/>
      </c>
      <c r="I260">
        <f>IF(ROUND(H260-D260,2)=0,1,0)</f>
        <v/>
      </c>
      <c r="J260">
        <f>IF(F260="","none",IF(G260=1,"carte","multiple"))</f>
        <v/>
      </c>
    </row>
    <row r="261">
      <c r="A261" t="inlineStr">
        <is>
          <t>2022-04-20</t>
        </is>
      </c>
      <c r="B261" t="inlineStr">
        <is>
          <t>11:54</t>
        </is>
      </c>
      <c r="C261" t="n">
        <v>2943</v>
      </c>
      <c r="D261" s="6" t="n">
        <v>10.4</v>
      </c>
      <c r="E261" t="n">
        <v>36954</v>
      </c>
      <c r="F261" s="6" t="n">
        <v>0.4</v>
      </c>
      <c r="G261" t="n">
        <v>26</v>
      </c>
      <c r="H261" s="6">
        <f>ROUND(G261*F261,2)</f>
        <v/>
      </c>
      <c r="I261">
        <f>IF(ROUND(H261-D261,2)=0,1,0)</f>
        <v/>
      </c>
      <c r="J261">
        <f>IF(F261="","none",IF(G261=1,"carte","multiple"))</f>
        <v/>
      </c>
    </row>
    <row r="262">
      <c r="A262" t="inlineStr">
        <is>
          <t>2022-04-20</t>
        </is>
      </c>
      <c r="B262" t="inlineStr">
        <is>
          <t>11:54</t>
        </is>
      </c>
      <c r="C262" t="n">
        <v>2943</v>
      </c>
      <c r="D262" s="6" t="n">
        <v>3.9</v>
      </c>
      <c r="E262" t="n">
        <v>36955</v>
      </c>
      <c r="F262" s="6" t="n">
        <v>3.9</v>
      </c>
      <c r="G262" t="n">
        <v>1</v>
      </c>
      <c r="H262" s="6">
        <f>ROUND(G262*F262,2)</f>
        <v/>
      </c>
      <c r="I262">
        <f>IF(ROUND(H262-D262,2)=0,1,0)</f>
        <v/>
      </c>
      <c r="J262">
        <f>IF(F262="","none",IF(G262=1,"carte","multiple"))</f>
        <v/>
      </c>
    </row>
    <row r="263">
      <c r="A263" t="inlineStr">
        <is>
          <t>2022-04-20</t>
        </is>
      </c>
      <c r="B263" t="inlineStr">
        <is>
          <t>11:54</t>
        </is>
      </c>
      <c r="C263" t="n">
        <v>2943</v>
      </c>
      <c r="D263" s="6" t="n">
        <v>31.8</v>
      </c>
      <c r="E263" t="n">
        <v>36956</v>
      </c>
      <c r="F263" s="6" t="n">
        <v>31.8</v>
      </c>
      <c r="G263" t="n">
        <v>1</v>
      </c>
      <c r="H263" s="6">
        <f>ROUND(G263*F263,2)</f>
        <v/>
      </c>
      <c r="I263">
        <f>IF(ROUND(H263-D263,2)=0,1,0)</f>
        <v/>
      </c>
      <c r="J263">
        <f>IF(F263="","none",IF(G263=1,"carte","multiple"))</f>
        <v/>
      </c>
    </row>
    <row r="264">
      <c r="A264" t="inlineStr">
        <is>
          <t>2022-04-20</t>
        </is>
      </c>
      <c r="B264" t="inlineStr">
        <is>
          <t>12:49</t>
        </is>
      </c>
      <c r="C264" t="n">
        <v>2943</v>
      </c>
      <c r="D264" s="6" t="n">
        <v>2.2</v>
      </c>
      <c r="E264" t="n">
        <v>36957</v>
      </c>
      <c r="F264" s="6" t="n">
        <v>2.2</v>
      </c>
      <c r="G264" t="n">
        <v>1</v>
      </c>
      <c r="H264" s="6">
        <f>ROUND(G264*F264,2)</f>
        <v/>
      </c>
      <c r="I264">
        <f>IF(ROUND(H264-D264,2)=0,1,0)</f>
        <v/>
      </c>
      <c r="J264">
        <f>IF(F264="","none",IF(G264=1,"carte","multiple"))</f>
        <v/>
      </c>
    </row>
    <row r="265">
      <c r="A265" t="inlineStr">
        <is>
          <t>2022-04-20</t>
        </is>
      </c>
      <c r="B265" t="inlineStr">
        <is>
          <t>12:49</t>
        </is>
      </c>
      <c r="C265" t="n">
        <v>2943</v>
      </c>
      <c r="D265" s="6" t="n">
        <v>7</v>
      </c>
      <c r="E265" t="n">
        <v>36958</v>
      </c>
      <c r="F265" s="6" t="n">
        <v>7</v>
      </c>
      <c r="G265" t="n">
        <v>1</v>
      </c>
      <c r="H265" s="6">
        <f>ROUND(G265*F265,2)</f>
        <v/>
      </c>
      <c r="I265">
        <f>IF(ROUND(H265-D265,2)=0,1,0)</f>
        <v/>
      </c>
      <c r="J265">
        <f>IF(F265="","none",IF(G265=1,"carte","multiple"))</f>
        <v/>
      </c>
    </row>
    <row r="266">
      <c r="A266" t="inlineStr">
        <is>
          <t>2022-04-20</t>
        </is>
      </c>
      <c r="B266" t="inlineStr">
        <is>
          <t>12:49</t>
        </is>
      </c>
      <c r="C266" t="n">
        <v>2943</v>
      </c>
      <c r="D266" s="6" t="n">
        <v>9.9</v>
      </c>
      <c r="E266" t="n">
        <v>36959</v>
      </c>
      <c r="F266" s="6" t="n">
        <v>9.9</v>
      </c>
      <c r="G266" t="n">
        <v>1</v>
      </c>
      <c r="H266" s="6">
        <f>ROUND(G266*F266,2)</f>
        <v/>
      </c>
      <c r="I266">
        <f>IF(ROUND(H266-D266,2)=0,1,0)</f>
        <v/>
      </c>
      <c r="J266">
        <f>IF(F266="","none",IF(G266=1,"carte","multiple"))</f>
        <v/>
      </c>
    </row>
    <row r="267">
      <c r="A267" t="inlineStr">
        <is>
          <t>2022-04-20</t>
        </is>
      </c>
      <c r="B267" t="inlineStr">
        <is>
          <t>12:49</t>
        </is>
      </c>
      <c r="C267" t="n">
        <v>2943</v>
      </c>
      <c r="D267" s="6" t="n">
        <v>4.9</v>
      </c>
      <c r="E267" t="n">
        <v>36960</v>
      </c>
      <c r="F267" s="6" t="n">
        <v>4.9</v>
      </c>
      <c r="G267" t="n">
        <v>1</v>
      </c>
      <c r="H267" s="6">
        <f>ROUND(G267*F267,2)</f>
        <v/>
      </c>
      <c r="I267">
        <f>IF(ROUND(H267-D267,2)=0,1,0)</f>
        <v/>
      </c>
      <c r="J267">
        <f>IF(F267="","none",IF(G267=1,"carte","multiple"))</f>
        <v/>
      </c>
    </row>
    <row r="268">
      <c r="A268" t="inlineStr">
        <is>
          <t>2022-04-20</t>
        </is>
      </c>
      <c r="B268" t="inlineStr">
        <is>
          <t>12:49</t>
        </is>
      </c>
      <c r="C268" t="n">
        <v>2943</v>
      </c>
      <c r="D268" s="6" t="n">
        <v>6.5</v>
      </c>
      <c r="E268" t="n">
        <v>36961</v>
      </c>
      <c r="F268" s="6" t="n">
        <v>6.5</v>
      </c>
      <c r="G268" t="n">
        <v>1</v>
      </c>
      <c r="H268" s="6">
        <f>ROUND(G268*F268,2)</f>
        <v/>
      </c>
      <c r="I268">
        <f>IF(ROUND(H268-D268,2)=0,1,0)</f>
        <v/>
      </c>
      <c r="J268">
        <f>IF(F268="","none",IF(G268=1,"carte","multiple"))</f>
        <v/>
      </c>
    </row>
    <row r="269">
      <c r="A269" t="inlineStr">
        <is>
          <t>2022-04-20</t>
        </is>
      </c>
      <c r="B269" t="inlineStr">
        <is>
          <t>12:49</t>
        </is>
      </c>
      <c r="C269" t="n">
        <v>2943</v>
      </c>
      <c r="D269" s="6" t="n">
        <v>6.4</v>
      </c>
      <c r="E269" t="n">
        <v>36962</v>
      </c>
      <c r="F269" s="6" t="n">
        <v>6.4</v>
      </c>
      <c r="G269" t="n">
        <v>1</v>
      </c>
      <c r="H269" s="6">
        <f>ROUND(G269*F269,2)</f>
        <v/>
      </c>
      <c r="I269">
        <f>IF(ROUND(H269-D269,2)=0,1,0)</f>
        <v/>
      </c>
      <c r="J269">
        <f>IF(F269="","none",IF(G269=1,"carte","multiple"))</f>
        <v/>
      </c>
    </row>
    <row r="270">
      <c r="A270" t="inlineStr">
        <is>
          <t>2022-04-20</t>
        </is>
      </c>
      <c r="B270" t="inlineStr">
        <is>
          <t>12:49</t>
        </is>
      </c>
      <c r="C270" t="n">
        <v>2943</v>
      </c>
      <c r="D270" s="6" t="n">
        <v>17.6</v>
      </c>
      <c r="E270" t="n">
        <v>36963</v>
      </c>
      <c r="F270" s="6" t="n">
        <v>17.6</v>
      </c>
      <c r="G270" t="n">
        <v>1</v>
      </c>
      <c r="H270" s="6">
        <f>ROUND(G270*F270,2)</f>
        <v/>
      </c>
      <c r="I270">
        <f>IF(ROUND(H270-D270,2)=0,1,0)</f>
        <v/>
      </c>
      <c r="J270">
        <f>IF(F270="","none",IF(G270=1,"carte","multiple"))</f>
        <v/>
      </c>
    </row>
    <row r="271">
      <c r="A271" t="inlineStr">
        <is>
          <t>2022-04-20</t>
        </is>
      </c>
      <c r="B271" t="inlineStr">
        <is>
          <t>12:49</t>
        </is>
      </c>
      <c r="C271" t="n">
        <v>2943</v>
      </c>
      <c r="D271" s="6" t="n">
        <v>19</v>
      </c>
      <c r="E271" t="n">
        <v>36964</v>
      </c>
      <c r="F271" s="6" t="n">
        <v>19</v>
      </c>
      <c r="G271" t="n">
        <v>1</v>
      </c>
      <c r="H271" s="6">
        <f>ROUND(G271*F271,2)</f>
        <v/>
      </c>
      <c r="I271">
        <f>IF(ROUND(H271-D271,2)=0,1,0)</f>
        <v/>
      </c>
      <c r="J271">
        <f>IF(F271="","none",IF(G271=1,"carte","multiple"))</f>
        <v/>
      </c>
    </row>
    <row r="272">
      <c r="A272" t="inlineStr">
        <is>
          <t>2022-04-20</t>
        </is>
      </c>
      <c r="B272" t="inlineStr">
        <is>
          <t>17:42</t>
        </is>
      </c>
      <c r="C272" t="n">
        <v>2943</v>
      </c>
      <c r="D272" s="6" t="n">
        <v>17.6</v>
      </c>
      <c r="E272" t="n">
        <v>36966</v>
      </c>
      <c r="F272" s="6" t="n">
        <v>17.6</v>
      </c>
      <c r="G272" t="n">
        <v>1</v>
      </c>
      <c r="H272" s="6">
        <f>ROUND(G272*F272,2)</f>
        <v/>
      </c>
      <c r="I272">
        <f>IF(ROUND(H272-D272,2)=0,1,0)</f>
        <v/>
      </c>
      <c r="J272">
        <f>IF(F272="","none",IF(G272=1,"carte","multiple"))</f>
        <v/>
      </c>
    </row>
    <row r="273">
      <c r="A273" t="inlineStr">
        <is>
          <t>2022-04-20</t>
        </is>
      </c>
      <c r="B273" t="inlineStr">
        <is>
          <t>18:43</t>
        </is>
      </c>
      <c r="C273" t="n">
        <v>2943</v>
      </c>
      <c r="D273" s="6" t="n">
        <v>3.9</v>
      </c>
      <c r="E273" t="n">
        <v>36967</v>
      </c>
      <c r="F273" s="6" t="n">
        <v>3.9</v>
      </c>
      <c r="G273" t="n">
        <v>1</v>
      </c>
      <c r="H273" s="6">
        <f>ROUND(G273*F273,2)</f>
        <v/>
      </c>
      <c r="I273">
        <f>IF(ROUND(H273-D273,2)=0,1,0)</f>
        <v/>
      </c>
      <c r="J273">
        <f>IF(F273="","none",IF(G273=1,"carte","multiple"))</f>
        <v/>
      </c>
    </row>
    <row r="274">
      <c r="A274" t="inlineStr">
        <is>
          <t>2022-04-20</t>
        </is>
      </c>
      <c r="B274" t="inlineStr">
        <is>
          <t>18:46</t>
        </is>
      </c>
      <c r="C274" t="n">
        <v>2943</v>
      </c>
      <c r="D274" s="6" t="n">
        <v>1.8</v>
      </c>
      <c r="E274" t="n">
        <v>36968</v>
      </c>
      <c r="F274" s="6" t="n">
        <v>1.8</v>
      </c>
      <c r="G274" t="n">
        <v>1</v>
      </c>
      <c r="H274" s="6">
        <f>ROUND(G274*F274,2)</f>
        <v/>
      </c>
      <c r="I274">
        <f>IF(ROUND(H274-D274,2)=0,1,0)</f>
        <v/>
      </c>
      <c r="J274">
        <f>IF(F274="","none",IF(G274=1,"carte","multiple"))</f>
        <v/>
      </c>
    </row>
    <row r="275">
      <c r="A275" t="inlineStr">
        <is>
          <t>2022-04-20</t>
        </is>
      </c>
      <c r="B275" t="inlineStr">
        <is>
          <t>18:46</t>
        </is>
      </c>
      <c r="C275" t="n">
        <v>2943</v>
      </c>
      <c r="D275" s="6" t="n">
        <v>1.8</v>
      </c>
      <c r="E275" t="n">
        <v>36969</v>
      </c>
      <c r="F275" s="6" t="n">
        <v>1.8</v>
      </c>
      <c r="G275" t="n">
        <v>1</v>
      </c>
      <c r="H275" s="6">
        <f>ROUND(G275*F275,2)</f>
        <v/>
      </c>
      <c r="I275">
        <f>IF(ROUND(H275-D275,2)=0,1,0)</f>
        <v/>
      </c>
      <c r="J275">
        <f>IF(F275="","none",IF(G275=1,"carte","multiple"))</f>
        <v/>
      </c>
    </row>
    <row r="276">
      <c r="A276" t="inlineStr">
        <is>
          <t>2022-04-20</t>
        </is>
      </c>
      <c r="B276" t="inlineStr">
        <is>
          <t>18:46</t>
        </is>
      </c>
      <c r="C276" t="n">
        <v>2943</v>
      </c>
      <c r="D276" s="6" t="n">
        <v>2</v>
      </c>
      <c r="E276" t="n">
        <v>36970</v>
      </c>
      <c r="F276" s="6" t="n">
        <v>2</v>
      </c>
      <c r="G276" t="n">
        <v>1</v>
      </c>
      <c r="H276" s="6">
        <f>ROUND(G276*F276,2)</f>
        <v/>
      </c>
      <c r="I276">
        <f>IF(ROUND(H276-D276,2)=0,1,0)</f>
        <v/>
      </c>
      <c r="J276">
        <f>IF(F276="","none",IF(G276=1,"carte","multiple"))</f>
        <v/>
      </c>
    </row>
    <row r="277">
      <c r="A277" t="inlineStr">
        <is>
          <t>2022-04-20</t>
        </is>
      </c>
      <c r="B277" t="inlineStr">
        <is>
          <t>18:49</t>
        </is>
      </c>
      <c r="C277" t="n">
        <v>2943</v>
      </c>
      <c r="D277" s="6" t="n">
        <v>11.2</v>
      </c>
      <c r="E277" t="n">
        <v>36971</v>
      </c>
      <c r="F277" s="6" t="n">
        <v>11.2</v>
      </c>
      <c r="G277" t="n">
        <v>1</v>
      </c>
      <c r="H277" s="6">
        <f>ROUND(G277*F277,2)</f>
        <v/>
      </c>
      <c r="I277">
        <f>IF(ROUND(H277-D277,2)=0,1,0)</f>
        <v/>
      </c>
      <c r="J277">
        <f>IF(F277="","none",IF(G277=1,"carte","multiple"))</f>
        <v/>
      </c>
    </row>
    <row r="278">
      <c r="A278" t="inlineStr">
        <is>
          <t>2022-04-20</t>
        </is>
      </c>
      <c r="B278" t="inlineStr">
        <is>
          <t>18:52</t>
        </is>
      </c>
      <c r="C278" t="n">
        <v>2943</v>
      </c>
      <c r="D278" s="6" t="n">
        <v>18.6</v>
      </c>
      <c r="E278" t="n">
        <v>36972</v>
      </c>
      <c r="F278" s="6" t="n">
        <v>18.6</v>
      </c>
      <c r="G278" t="n">
        <v>1</v>
      </c>
      <c r="H278" s="6">
        <f>ROUND(G278*F278,2)</f>
        <v/>
      </c>
      <c r="I278">
        <f>IF(ROUND(H278-D278,2)=0,1,0)</f>
        <v/>
      </c>
      <c r="J278">
        <f>IF(F278="","none",IF(G278=1,"carte","multiple"))</f>
        <v/>
      </c>
    </row>
    <row r="279">
      <c r="A279" t="inlineStr">
        <is>
          <t>2022-04-20</t>
        </is>
      </c>
      <c r="B279" t="inlineStr">
        <is>
          <t>19:19</t>
        </is>
      </c>
      <c r="C279" t="n">
        <v>2943</v>
      </c>
      <c r="D279" s="6" t="n">
        <v>4.4</v>
      </c>
      <c r="E279" t="n">
        <v>36973</v>
      </c>
      <c r="F279" s="6" t="n">
        <v>0.4</v>
      </c>
      <c r="G279" t="n">
        <v>11</v>
      </c>
      <c r="H279" s="6">
        <f>ROUND(G279*F279,2)</f>
        <v/>
      </c>
      <c r="I279">
        <f>IF(ROUND(H279-D279,2)=0,1,0)</f>
        <v/>
      </c>
      <c r="J279">
        <f>IF(F279="","none",IF(G279=1,"carte","multiple"))</f>
        <v/>
      </c>
    </row>
    <row r="280">
      <c r="A280" t="inlineStr">
        <is>
          <t>2022-04-20</t>
        </is>
      </c>
      <c r="B280" t="inlineStr">
        <is>
          <t>19:19</t>
        </is>
      </c>
      <c r="C280" t="n">
        <v>2943</v>
      </c>
      <c r="D280" s="6" t="n">
        <v>29.8</v>
      </c>
      <c r="E280" t="n">
        <v>36974</v>
      </c>
      <c r="F280" s="6" t="n">
        <v>14.9</v>
      </c>
      <c r="G280" t="n">
        <v>2</v>
      </c>
      <c r="H280" s="6">
        <f>ROUND(G280*F280,2)</f>
        <v/>
      </c>
      <c r="I280">
        <f>IF(ROUND(H280-D280,2)=0,1,0)</f>
        <v/>
      </c>
      <c r="J280">
        <f>IF(F280="","none",IF(G280=1,"carte","multiple"))</f>
        <v/>
      </c>
    </row>
    <row r="281">
      <c r="A281" t="inlineStr">
        <is>
          <t>2022-04-20</t>
        </is>
      </c>
      <c r="B281" t="inlineStr">
        <is>
          <t>19:19</t>
        </is>
      </c>
      <c r="C281" t="n">
        <v>2943</v>
      </c>
      <c r="D281" s="6" t="n">
        <v>9.800000000000001</v>
      </c>
      <c r="E281" t="n">
        <v>36975</v>
      </c>
      <c r="F281" s="6" t="n">
        <v>9.800000000000001</v>
      </c>
      <c r="G281" t="n">
        <v>1</v>
      </c>
      <c r="H281" s="6">
        <f>ROUND(G281*F281,2)</f>
        <v/>
      </c>
      <c r="I281">
        <f>IF(ROUND(H281-D281,2)=0,1,0)</f>
        <v/>
      </c>
      <c r="J281">
        <f>IF(F281="","none",IF(G281=1,"carte","multiple"))</f>
        <v/>
      </c>
    </row>
    <row r="282">
      <c r="A282" t="inlineStr">
        <is>
          <t>2022-04-20</t>
        </is>
      </c>
      <c r="B282" t="inlineStr">
        <is>
          <t>19:19</t>
        </is>
      </c>
      <c r="C282" t="n">
        <v>2943</v>
      </c>
      <c r="D282" s="6" t="n">
        <v>19</v>
      </c>
      <c r="E282" t="n">
        <v>36976</v>
      </c>
      <c r="F282" s="6" t="n">
        <v>19</v>
      </c>
      <c r="G282" t="n">
        <v>1</v>
      </c>
      <c r="H282" s="6">
        <f>ROUND(G282*F282,2)</f>
        <v/>
      </c>
      <c r="I282">
        <f>IF(ROUND(H282-D282,2)=0,1,0)</f>
        <v/>
      </c>
      <c r="J282">
        <f>IF(F282="","none",IF(G282=1,"carte","multiple"))</f>
        <v/>
      </c>
    </row>
    <row r="283">
      <c r="A283" t="inlineStr">
        <is>
          <t>2022-04-20</t>
        </is>
      </c>
      <c r="B283" t="inlineStr">
        <is>
          <t>19:21</t>
        </is>
      </c>
      <c r="C283" t="n">
        <v>2943</v>
      </c>
      <c r="D283" s="6" t="n">
        <v>4.7</v>
      </c>
      <c r="E283" t="n">
        <v>36977</v>
      </c>
      <c r="F283" s="6" t="n">
        <v>4.7</v>
      </c>
      <c r="G283" t="n">
        <v>1</v>
      </c>
      <c r="H283" s="6">
        <f>ROUND(G283*F283,2)</f>
        <v/>
      </c>
      <c r="I283">
        <f>IF(ROUND(H283-D283,2)=0,1,0)</f>
        <v/>
      </c>
      <c r="J283">
        <f>IF(F283="","none",IF(G283=1,"carte","multiple"))</f>
        <v/>
      </c>
    </row>
    <row r="284">
      <c r="A284" t="inlineStr">
        <is>
          <t>2022-04-20</t>
        </is>
      </c>
      <c r="B284" t="inlineStr">
        <is>
          <t>19:21</t>
        </is>
      </c>
      <c r="C284" t="n">
        <v>2943</v>
      </c>
      <c r="D284" s="6" t="n">
        <v>8.699999999999999</v>
      </c>
      <c r="E284" t="n">
        <v>36978</v>
      </c>
      <c r="F284" s="6" t="n">
        <v>8.699999999999999</v>
      </c>
      <c r="G284" t="n">
        <v>1</v>
      </c>
      <c r="H284" s="6">
        <f>ROUND(G284*F284,2)</f>
        <v/>
      </c>
      <c r="I284">
        <f>IF(ROUND(H284-D284,2)=0,1,0)</f>
        <v/>
      </c>
      <c r="J284">
        <f>IF(F284="","none",IF(G284=1,"carte","multiple"))</f>
        <v/>
      </c>
    </row>
    <row r="285">
      <c r="A285" t="inlineStr">
        <is>
          <t>2022-04-20</t>
        </is>
      </c>
      <c r="B285" t="inlineStr">
        <is>
          <t>19:21</t>
        </is>
      </c>
      <c r="C285" t="n">
        <v>2943</v>
      </c>
      <c r="D285" s="6" t="n">
        <v>19</v>
      </c>
      <c r="E285" t="n">
        <v>36979</v>
      </c>
      <c r="F285" s="6" t="n">
        <v>19</v>
      </c>
      <c r="G285" t="n">
        <v>1</v>
      </c>
      <c r="H285" s="6">
        <f>ROUND(G285*F285,2)</f>
        <v/>
      </c>
      <c r="I285">
        <f>IF(ROUND(H285-D285,2)=0,1,0)</f>
        <v/>
      </c>
      <c r="J285">
        <f>IF(F285="","none",IF(G285=1,"carte","multiple"))</f>
        <v/>
      </c>
    </row>
    <row r="286">
      <c r="A286" t="inlineStr">
        <is>
          <t>2022-04-20</t>
        </is>
      </c>
      <c r="B286" t="inlineStr">
        <is>
          <t>19:21</t>
        </is>
      </c>
      <c r="C286" t="n">
        <v>2943</v>
      </c>
      <c r="D286" s="6" t="n">
        <v>19.9</v>
      </c>
      <c r="E286" t="n">
        <v>36980</v>
      </c>
      <c r="F286" s="6" t="n">
        <v>19.9</v>
      </c>
      <c r="G286" t="n">
        <v>1</v>
      </c>
      <c r="H286" s="6">
        <f>ROUND(G286*F286,2)</f>
        <v/>
      </c>
      <c r="I286">
        <f>IF(ROUND(H286-D286,2)=0,1,0)</f>
        <v/>
      </c>
      <c r="J286">
        <f>IF(F286="","none",IF(G286=1,"carte","multiple"))</f>
        <v/>
      </c>
    </row>
    <row r="287">
      <c r="A287" t="inlineStr">
        <is>
          <t>2022-04-20</t>
        </is>
      </c>
      <c r="B287" t="inlineStr">
        <is>
          <t>19:21</t>
        </is>
      </c>
      <c r="C287" t="n">
        <v>2943</v>
      </c>
      <c r="D287" s="6" t="n">
        <v>9.800000000000001</v>
      </c>
      <c r="E287" t="n">
        <v>36981</v>
      </c>
      <c r="F287" s="6" t="n">
        <v>9.800000000000001</v>
      </c>
      <c r="G287" t="n">
        <v>1</v>
      </c>
      <c r="H287" s="6">
        <f>ROUND(G287*F287,2)</f>
        <v/>
      </c>
      <c r="I287">
        <f>IF(ROUND(H287-D287,2)=0,1,0)</f>
        <v/>
      </c>
      <c r="J287">
        <f>IF(F287="","none",IF(G287=1,"carte","multiple"))</f>
        <v/>
      </c>
    </row>
    <row r="288">
      <c r="A288" t="inlineStr">
        <is>
          <t>2022-04-20</t>
        </is>
      </c>
      <c r="B288" t="inlineStr">
        <is>
          <t>19:21</t>
        </is>
      </c>
      <c r="C288" t="n">
        <v>2943</v>
      </c>
      <c r="D288" s="6" t="n">
        <v>9.800000000000001</v>
      </c>
      <c r="E288" t="n">
        <v>36982</v>
      </c>
      <c r="F288" s="6" t="n">
        <v>9.800000000000001</v>
      </c>
      <c r="G288" t="n">
        <v>1</v>
      </c>
      <c r="H288" s="6">
        <f>ROUND(G288*F288,2)</f>
        <v/>
      </c>
      <c r="I288">
        <f>IF(ROUND(H288-D288,2)=0,1,0)</f>
        <v/>
      </c>
      <c r="J288">
        <f>IF(F288="","none",IF(G288=1,"carte","multiple"))</f>
        <v/>
      </c>
    </row>
    <row r="289">
      <c r="A289" t="inlineStr">
        <is>
          <t>2022-04-20</t>
        </is>
      </c>
      <c r="B289" t="inlineStr">
        <is>
          <t>20:25</t>
        </is>
      </c>
      <c r="C289" t="n">
        <v>2943</v>
      </c>
      <c r="D289" s="6" t="n">
        <v>7.2</v>
      </c>
      <c r="E289" t="n">
        <v>36983</v>
      </c>
      <c r="F289" s="6" t="n">
        <v>7.2</v>
      </c>
      <c r="G289" t="n">
        <v>1</v>
      </c>
      <c r="H289" s="6">
        <f>ROUND(G289*F289,2)</f>
        <v/>
      </c>
      <c r="I289">
        <f>IF(ROUND(H289-D289,2)=0,1,0)</f>
        <v/>
      </c>
      <c r="J289">
        <f>IF(F289="","none",IF(G289=1,"carte","multiple"))</f>
        <v/>
      </c>
    </row>
    <row r="290">
      <c r="A290" t="inlineStr">
        <is>
          <t>2022-04-20</t>
        </is>
      </c>
      <c r="B290" t="inlineStr">
        <is>
          <t>20:26</t>
        </is>
      </c>
      <c r="C290" t="n">
        <v>2943</v>
      </c>
      <c r="D290" s="6" t="n">
        <v>9.800000000000001</v>
      </c>
      <c r="E290" t="n">
        <v>36984</v>
      </c>
      <c r="F290" s="6" t="n">
        <v>9.800000000000001</v>
      </c>
      <c r="G290" t="n">
        <v>1</v>
      </c>
      <c r="H290" s="6">
        <f>ROUND(G290*F290,2)</f>
        <v/>
      </c>
      <c r="I290">
        <f>IF(ROUND(H290-D290,2)=0,1,0)</f>
        <v/>
      </c>
      <c r="J290">
        <f>IF(F290="","none",IF(G290=1,"carte","multiple"))</f>
        <v/>
      </c>
    </row>
    <row r="291">
      <c r="A291" t="inlineStr">
        <is>
          <t>2022-04-20</t>
        </is>
      </c>
      <c r="B291" t="inlineStr">
        <is>
          <t>20:26</t>
        </is>
      </c>
      <c r="C291" t="n">
        <v>2943</v>
      </c>
      <c r="D291" s="6" t="n">
        <v>4.4</v>
      </c>
      <c r="E291" t="n">
        <v>36985</v>
      </c>
      <c r="F291" s="6" t="n">
        <v>0.4</v>
      </c>
      <c r="G291" t="n">
        <v>11</v>
      </c>
      <c r="H291" s="6">
        <f>ROUND(G291*F291,2)</f>
        <v/>
      </c>
      <c r="I291">
        <f>IF(ROUND(H291-D291,2)=0,1,0)</f>
        <v/>
      </c>
      <c r="J291">
        <f>IF(F291="","none",IF(G291=1,"carte","multiple"))</f>
        <v/>
      </c>
    </row>
    <row r="292">
      <c r="A292" t="inlineStr">
        <is>
          <t>2022-04-20</t>
        </is>
      </c>
      <c r="B292" t="inlineStr">
        <is>
          <t>20:26</t>
        </is>
      </c>
      <c r="C292" t="n">
        <v>2943</v>
      </c>
      <c r="D292" s="6" t="n">
        <v>23</v>
      </c>
      <c r="E292" t="n">
        <v>36986</v>
      </c>
      <c r="F292" s="6" t="n">
        <v>23</v>
      </c>
      <c r="G292" t="n">
        <v>1</v>
      </c>
      <c r="H292" s="6">
        <f>ROUND(G292*F292,2)</f>
        <v/>
      </c>
      <c r="I292">
        <f>IF(ROUND(H292-D292,2)=0,1,0)</f>
        <v/>
      </c>
      <c r="J292">
        <f>IF(F292="","none",IF(G292=1,"carte","multiple"))</f>
        <v/>
      </c>
    </row>
    <row r="293">
      <c r="A293" t="inlineStr">
        <is>
          <t>2022-04-20</t>
        </is>
      </c>
      <c r="B293" t="inlineStr">
        <is>
          <t>20:26</t>
        </is>
      </c>
      <c r="C293" t="n">
        <v>2943</v>
      </c>
      <c r="D293" s="6" t="n">
        <v>32</v>
      </c>
      <c r="E293" t="n">
        <v>36987</v>
      </c>
      <c r="F293" s="6" t="n">
        <v>32</v>
      </c>
      <c r="G293" t="n">
        <v>1</v>
      </c>
      <c r="H293" s="6">
        <f>ROUND(G293*F293,2)</f>
        <v/>
      </c>
      <c r="I293">
        <f>IF(ROUND(H293-D293,2)=0,1,0)</f>
        <v/>
      </c>
      <c r="J293">
        <f>IF(F293="","none",IF(G293=1,"carte","multiple"))</f>
        <v/>
      </c>
    </row>
    <row r="294">
      <c r="A294" t="inlineStr">
        <is>
          <t>2022-04-20</t>
        </is>
      </c>
      <c r="B294" t="inlineStr">
        <is>
          <t>20:54</t>
        </is>
      </c>
      <c r="C294" t="n">
        <v>2943</v>
      </c>
      <c r="D294" s="6" t="n">
        <v>10.7</v>
      </c>
      <c r="E294" t="n">
        <v>36988</v>
      </c>
      <c r="F294" s="6" t="n">
        <v>10.7</v>
      </c>
      <c r="G294" t="n">
        <v>1</v>
      </c>
      <c r="H294" s="6">
        <f>ROUND(G294*F294,2)</f>
        <v/>
      </c>
      <c r="I294">
        <f>IF(ROUND(H294-D294,2)=0,1,0)</f>
        <v/>
      </c>
      <c r="J294">
        <f>IF(F294="","none",IF(G294=1,"carte","multiple"))</f>
        <v/>
      </c>
    </row>
    <row r="295">
      <c r="A295" t="inlineStr">
        <is>
          <t>2022-04-20</t>
        </is>
      </c>
      <c r="B295" t="inlineStr">
        <is>
          <t>20:54</t>
        </is>
      </c>
      <c r="C295" t="n">
        <v>2943</v>
      </c>
      <c r="D295" s="6" t="n">
        <v>7.5</v>
      </c>
      <c r="E295" t="n">
        <v>36989</v>
      </c>
      <c r="F295" s="6" t="n">
        <v>7.5</v>
      </c>
      <c r="G295" t="n">
        <v>1</v>
      </c>
      <c r="H295" s="6">
        <f>ROUND(G295*F295,2)</f>
        <v/>
      </c>
      <c r="I295">
        <f>IF(ROUND(H295-D295,2)=0,1,0)</f>
        <v/>
      </c>
      <c r="J295">
        <f>IF(F295="","none",IF(G295=1,"carte","multiple"))</f>
        <v/>
      </c>
    </row>
    <row r="296">
      <c r="A296" t="inlineStr">
        <is>
          <t>2022-04-20</t>
        </is>
      </c>
      <c r="B296" t="inlineStr">
        <is>
          <t>20:54</t>
        </is>
      </c>
      <c r="C296" t="n">
        <v>2943</v>
      </c>
      <c r="D296" s="6" t="n">
        <v>7.5</v>
      </c>
      <c r="E296" t="n">
        <v>36990</v>
      </c>
      <c r="F296" s="6" t="n">
        <v>7.5</v>
      </c>
      <c r="G296" t="n">
        <v>1</v>
      </c>
      <c r="H296" s="6">
        <f>ROUND(G296*F296,2)</f>
        <v/>
      </c>
      <c r="I296">
        <f>IF(ROUND(H296-D296,2)=0,1,0)</f>
        <v/>
      </c>
      <c r="J296">
        <f>IF(F296="","none",IF(G296=1,"carte","multiple"))</f>
        <v/>
      </c>
    </row>
    <row r="297">
      <c r="A297" t="inlineStr">
        <is>
          <t>2022-04-20</t>
        </is>
      </c>
      <c r="B297" t="inlineStr">
        <is>
          <t>20:54</t>
        </is>
      </c>
      <c r="C297" t="n">
        <v>2943</v>
      </c>
      <c r="D297" s="6" t="n">
        <v>1.8</v>
      </c>
      <c r="E297" t="n">
        <v>36991</v>
      </c>
      <c r="F297" s="6" t="n">
        <v>1.8</v>
      </c>
      <c r="G297" t="n">
        <v>1</v>
      </c>
      <c r="H297" s="6">
        <f>ROUND(G297*F297,2)</f>
        <v/>
      </c>
      <c r="I297">
        <f>IF(ROUND(H297-D297,2)=0,1,0)</f>
        <v/>
      </c>
      <c r="J297">
        <f>IF(F297="","none",IF(G297=1,"carte","multiple"))</f>
        <v/>
      </c>
    </row>
    <row r="298">
      <c r="A298" t="inlineStr">
        <is>
          <t>2022-04-20</t>
        </is>
      </c>
      <c r="B298" t="inlineStr">
        <is>
          <t>20:54</t>
        </is>
      </c>
      <c r="C298" t="n">
        <v>2943</v>
      </c>
      <c r="D298" s="6" t="n">
        <v>1.8</v>
      </c>
      <c r="E298" t="n">
        <v>36992</v>
      </c>
      <c r="F298" s="6" t="n">
        <v>1.8</v>
      </c>
      <c r="G298" t="n">
        <v>1</v>
      </c>
      <c r="H298" s="6">
        <f>ROUND(G298*F298,2)</f>
        <v/>
      </c>
      <c r="I298">
        <f>IF(ROUND(H298-D298,2)=0,1,0)</f>
        <v/>
      </c>
      <c r="J298">
        <f>IF(F298="","none",IF(G298=1,"carte","multiple"))</f>
        <v/>
      </c>
    </row>
    <row r="299">
      <c r="A299" t="inlineStr">
        <is>
          <t>2022-04-20</t>
        </is>
      </c>
      <c r="B299" t="inlineStr">
        <is>
          <t>20:54</t>
        </is>
      </c>
      <c r="C299" t="n">
        <v>2943</v>
      </c>
      <c r="D299" s="6" t="n">
        <v>3.9</v>
      </c>
      <c r="E299" t="n">
        <v>36993</v>
      </c>
      <c r="F299" s="6" t="n">
        <v>3.9</v>
      </c>
      <c r="G299" t="n">
        <v>1</v>
      </c>
      <c r="H299" s="6">
        <f>ROUND(G299*F299,2)</f>
        <v/>
      </c>
      <c r="I299">
        <f>IF(ROUND(H299-D299,2)=0,1,0)</f>
        <v/>
      </c>
      <c r="J299">
        <f>IF(F299="","none",IF(G299=1,"carte","multiple"))</f>
        <v/>
      </c>
    </row>
    <row r="300">
      <c r="A300" t="inlineStr">
        <is>
          <t>2022-04-20</t>
        </is>
      </c>
      <c r="B300" t="inlineStr">
        <is>
          <t>20:54</t>
        </is>
      </c>
      <c r="C300" t="n">
        <v>2943</v>
      </c>
      <c r="D300" s="6" t="n">
        <v>8.5</v>
      </c>
      <c r="E300" t="n">
        <v>36994</v>
      </c>
      <c r="F300" s="6" t="n">
        <v>8.5</v>
      </c>
      <c r="G300" t="n">
        <v>1</v>
      </c>
      <c r="H300" s="6">
        <f>ROUND(G300*F300,2)</f>
        <v/>
      </c>
      <c r="I300">
        <f>IF(ROUND(H300-D300,2)=0,1,0)</f>
        <v/>
      </c>
      <c r="J300">
        <f>IF(F300="","none",IF(G300=1,"carte","multiple"))</f>
        <v/>
      </c>
    </row>
    <row r="301">
      <c r="A301" t="inlineStr">
        <is>
          <t>2022-04-20</t>
        </is>
      </c>
      <c r="B301" t="inlineStr">
        <is>
          <t>20:54</t>
        </is>
      </c>
      <c r="C301" t="n">
        <v>2943</v>
      </c>
      <c r="D301" s="6" t="n">
        <v>38</v>
      </c>
      <c r="E301" t="n">
        <v>36995</v>
      </c>
      <c r="F301" s="6" t="n">
        <v>0.4</v>
      </c>
      <c r="G301" t="n">
        <v>95</v>
      </c>
      <c r="H301" s="6">
        <f>ROUND(G301*F301,2)</f>
        <v/>
      </c>
      <c r="I301">
        <f>IF(ROUND(H301-D301,2)=0,1,0)</f>
        <v/>
      </c>
      <c r="J301">
        <f>IF(F301="","none",IF(G301=1,"carte","multiple"))</f>
        <v/>
      </c>
    </row>
    <row r="302">
      <c r="A302" t="inlineStr">
        <is>
          <t>2022-04-20</t>
        </is>
      </c>
      <c r="B302" t="inlineStr">
        <is>
          <t>20:54</t>
        </is>
      </c>
      <c r="C302" t="n">
        <v>2943</v>
      </c>
      <c r="D302" s="6" t="n">
        <v>19.9</v>
      </c>
      <c r="E302" t="n">
        <v>36996</v>
      </c>
      <c r="F302" s="6" t="n">
        <v>19.9</v>
      </c>
      <c r="G302" t="n">
        <v>1</v>
      </c>
      <c r="H302" s="6">
        <f>ROUND(G302*F302,2)</f>
        <v/>
      </c>
      <c r="I302">
        <f>IF(ROUND(H302-D302,2)=0,1,0)</f>
        <v/>
      </c>
      <c r="J302">
        <f>IF(F302="","none",IF(G302=1,"carte","multiple"))</f>
        <v/>
      </c>
    </row>
    <row r="303">
      <c r="A303" t="inlineStr">
        <is>
          <t>2022-04-20</t>
        </is>
      </c>
      <c r="B303" t="inlineStr">
        <is>
          <t>20:54</t>
        </is>
      </c>
      <c r="C303" t="n">
        <v>2943</v>
      </c>
      <c r="D303" s="6" t="n">
        <v>55.6</v>
      </c>
      <c r="E303" t="n">
        <v>36997</v>
      </c>
      <c r="F303" s="6" t="n">
        <v>0.4</v>
      </c>
      <c r="G303" t="n">
        <v>139</v>
      </c>
      <c r="H303" s="6">
        <f>ROUND(G303*F303,2)</f>
        <v/>
      </c>
      <c r="I303">
        <f>IF(ROUND(H303-D303,2)=0,1,0)</f>
        <v/>
      </c>
      <c r="J303">
        <f>IF(F303="","none",IF(G303=1,"carte","multiple"))</f>
        <v/>
      </c>
    </row>
    <row r="304">
      <c r="A304" t="inlineStr">
        <is>
          <t>2022-04-20</t>
        </is>
      </c>
      <c r="B304" t="inlineStr">
        <is>
          <t>20:54</t>
        </is>
      </c>
      <c r="C304" t="n">
        <v>2943</v>
      </c>
      <c r="D304" s="6" t="n">
        <v>84.5</v>
      </c>
      <c r="E304" t="n">
        <v>36998</v>
      </c>
      <c r="F304" s="6" t="n">
        <v>0.5</v>
      </c>
      <c r="G304" t="n">
        <v>169</v>
      </c>
      <c r="H304" s="6">
        <f>ROUND(G304*F304,2)</f>
        <v/>
      </c>
      <c r="I304">
        <f>IF(ROUND(H304-D304,2)=0,1,0)</f>
        <v/>
      </c>
      <c r="J304">
        <f>IF(F304="","none",IF(G304=1,"carte","multiple"))</f>
        <v/>
      </c>
    </row>
    <row r="305">
      <c r="A305" t="inlineStr">
        <is>
          <t>2022-04-20</t>
        </is>
      </c>
      <c r="B305" t="inlineStr">
        <is>
          <t>20:54</t>
        </is>
      </c>
      <c r="C305" t="n">
        <v>2943</v>
      </c>
      <c r="D305" s="6" t="n">
        <v>29</v>
      </c>
      <c r="E305" t="n">
        <v>36999</v>
      </c>
      <c r="F305" s="6" t="n">
        <v>29</v>
      </c>
      <c r="G305" t="n">
        <v>1</v>
      </c>
      <c r="H305" s="6">
        <f>ROUND(G305*F305,2)</f>
        <v/>
      </c>
      <c r="I305">
        <f>IF(ROUND(H305-D305,2)=0,1,0)</f>
        <v/>
      </c>
      <c r="J305">
        <f>IF(F305="","none",IF(G305=1,"carte","multiple"))</f>
        <v/>
      </c>
    </row>
    <row r="306">
      <c r="A306" t="inlineStr">
        <is>
          <t>2022-04-20</t>
        </is>
      </c>
      <c r="B306" t="inlineStr">
        <is>
          <t>20:54</t>
        </is>
      </c>
      <c r="C306" t="n">
        <v>2943</v>
      </c>
      <c r="D306" s="6" t="n">
        <v>3.9</v>
      </c>
      <c r="E306" t="n">
        <v>37000</v>
      </c>
      <c r="F306" s="6" t="n">
        <v>3.9</v>
      </c>
      <c r="G306" t="n">
        <v>1</v>
      </c>
      <c r="H306" s="6">
        <f>ROUND(G306*F306,2)</f>
        <v/>
      </c>
      <c r="I306">
        <f>IF(ROUND(H306-D306,2)=0,1,0)</f>
        <v/>
      </c>
      <c r="J306">
        <f>IF(F306="","none",IF(G306=1,"carte","multiple"))</f>
        <v/>
      </c>
    </row>
    <row r="307">
      <c r="A307" t="inlineStr">
        <is>
          <t>2022-04-20</t>
        </is>
      </c>
      <c r="B307" t="inlineStr">
        <is>
          <t>20:54</t>
        </is>
      </c>
      <c r="C307" t="n">
        <v>2943</v>
      </c>
      <c r="D307" s="6" t="n">
        <v>3.9</v>
      </c>
      <c r="E307" t="n">
        <v>37001</v>
      </c>
      <c r="F307" s="6" t="n">
        <v>3.9</v>
      </c>
      <c r="G307" t="n">
        <v>1</v>
      </c>
      <c r="H307" s="6">
        <f>ROUND(G307*F307,2)</f>
        <v/>
      </c>
      <c r="I307">
        <f>IF(ROUND(H307-D307,2)=0,1,0)</f>
        <v/>
      </c>
      <c r="J307">
        <f>IF(F307="","none",IF(G307=1,"carte","multiple"))</f>
        <v/>
      </c>
    </row>
    <row r="308">
      <c r="A308" t="inlineStr">
        <is>
          <t>2022-04-20</t>
        </is>
      </c>
      <c r="B308" t="inlineStr">
        <is>
          <t>20:54</t>
        </is>
      </c>
      <c r="C308" t="n">
        <v>2943</v>
      </c>
      <c r="D308" s="6" t="n">
        <v>8.9</v>
      </c>
      <c r="E308" t="n">
        <v>37002</v>
      </c>
      <c r="F308" s="6" t="n">
        <v>8.9</v>
      </c>
      <c r="G308" t="n">
        <v>1</v>
      </c>
      <c r="H308" s="6">
        <f>ROUND(G308*F308,2)</f>
        <v/>
      </c>
      <c r="I308">
        <f>IF(ROUND(H308-D308,2)=0,1,0)</f>
        <v/>
      </c>
      <c r="J308">
        <f>IF(F308="","none",IF(G308=1,"carte","multiple"))</f>
        <v/>
      </c>
    </row>
    <row r="309">
      <c r="A309" t="inlineStr">
        <is>
          <t>2022-04-20</t>
        </is>
      </c>
      <c r="B309" t="inlineStr">
        <is>
          <t>20:54</t>
        </is>
      </c>
      <c r="C309" t="n">
        <v>2943</v>
      </c>
      <c r="D309" s="6" t="n">
        <v>7.8</v>
      </c>
      <c r="E309" t="n">
        <v>37003</v>
      </c>
      <c r="F309" s="6" t="n">
        <v>7.8</v>
      </c>
      <c r="G309" t="n">
        <v>1</v>
      </c>
      <c r="H309" s="6">
        <f>ROUND(G309*F309,2)</f>
        <v/>
      </c>
      <c r="I309">
        <f>IF(ROUND(H309-D309,2)=0,1,0)</f>
        <v/>
      </c>
      <c r="J309">
        <f>IF(F309="","none",IF(G309=1,"carte","multiple"))</f>
        <v/>
      </c>
    </row>
    <row r="310">
      <c r="A310" t="inlineStr">
        <is>
          <t>2022-04-20</t>
        </is>
      </c>
      <c r="B310" t="inlineStr">
        <is>
          <t>20:54</t>
        </is>
      </c>
      <c r="C310" t="n">
        <v>2943</v>
      </c>
      <c r="D310" s="6" t="n">
        <v>5.2</v>
      </c>
      <c r="E310" t="n">
        <v>37004</v>
      </c>
      <c r="F310" s="6" t="n">
        <v>5.2</v>
      </c>
      <c r="G310" t="n">
        <v>1</v>
      </c>
      <c r="H310" s="6">
        <f>ROUND(G310*F310,2)</f>
        <v/>
      </c>
      <c r="I310">
        <f>IF(ROUND(H310-D310,2)=0,1,0)</f>
        <v/>
      </c>
      <c r="J310">
        <f>IF(F310="","none",IF(G310=1,"carte","multiple"))</f>
        <v/>
      </c>
    </row>
    <row r="311">
      <c r="A311" t="inlineStr">
        <is>
          <t>2022-04-21</t>
        </is>
      </c>
      <c r="B311" t="inlineStr">
        <is>
          <t>12:04</t>
        </is>
      </c>
      <c r="C311" t="n">
        <v>2944</v>
      </c>
      <c r="D311" s="6" t="n">
        <v>9.800000000000001</v>
      </c>
      <c r="E311" t="n">
        <v>37007</v>
      </c>
      <c r="F311" s="6" t="n">
        <v>9.800000000000001</v>
      </c>
      <c r="G311" t="n">
        <v>1</v>
      </c>
      <c r="H311" s="6">
        <f>ROUND(G311*F311,2)</f>
        <v/>
      </c>
      <c r="I311">
        <f>IF(ROUND(H311-D311,2)=0,1,0)</f>
        <v/>
      </c>
      <c r="J311">
        <f>IF(F311="","none",IF(G311=1,"carte","multiple"))</f>
        <v/>
      </c>
    </row>
    <row r="312">
      <c r="A312" t="inlineStr">
        <is>
          <t>2022-04-21</t>
        </is>
      </c>
      <c r="B312" t="inlineStr">
        <is>
          <t>12:04</t>
        </is>
      </c>
      <c r="C312" t="n">
        <v>2944</v>
      </c>
      <c r="D312" s="6" t="n">
        <v>45</v>
      </c>
      <c r="E312" t="n">
        <v>37008</v>
      </c>
      <c r="F312" s="6" t="n">
        <v>45</v>
      </c>
      <c r="G312" t="n">
        <v>1</v>
      </c>
      <c r="H312" s="6">
        <f>ROUND(G312*F312,2)</f>
        <v/>
      </c>
      <c r="I312">
        <f>IF(ROUND(H312-D312,2)=0,1,0)</f>
        <v/>
      </c>
      <c r="J312">
        <f>IF(F312="","none",IF(G312=1,"carte","multiple"))</f>
        <v/>
      </c>
    </row>
    <row r="313">
      <c r="A313" t="inlineStr">
        <is>
          <t>2022-04-21</t>
        </is>
      </c>
      <c r="B313" t="inlineStr">
        <is>
          <t>12:04</t>
        </is>
      </c>
      <c r="C313" t="n">
        <v>2944</v>
      </c>
      <c r="D313" s="6" t="n">
        <v>90</v>
      </c>
      <c r="E313" t="n">
        <v>37009</v>
      </c>
      <c r="F313" s="6" t="n">
        <v>0.4</v>
      </c>
      <c r="G313" t="n">
        <v>225</v>
      </c>
      <c r="H313" s="6">
        <f>ROUND(G313*F313,2)</f>
        <v/>
      </c>
      <c r="I313">
        <f>IF(ROUND(H313-D313,2)=0,1,0)</f>
        <v/>
      </c>
      <c r="J313">
        <f>IF(F313="","none",IF(G313=1,"carte","multiple"))</f>
        <v/>
      </c>
    </row>
    <row r="314">
      <c r="A314" t="inlineStr">
        <is>
          <t>2022-04-21</t>
        </is>
      </c>
      <c r="B314" t="inlineStr">
        <is>
          <t>12:58</t>
        </is>
      </c>
      <c r="C314" t="n">
        <v>2944</v>
      </c>
      <c r="D314" s="6" t="n">
        <v>4.4</v>
      </c>
      <c r="E314" t="n">
        <v>37010</v>
      </c>
      <c r="F314" s="6" t="n">
        <v>0.4</v>
      </c>
      <c r="G314" t="n">
        <v>11</v>
      </c>
      <c r="H314" s="6">
        <f>ROUND(G314*F314,2)</f>
        <v/>
      </c>
      <c r="I314">
        <f>IF(ROUND(H314-D314,2)=0,1,0)</f>
        <v/>
      </c>
      <c r="J314">
        <f>IF(F314="","none",IF(G314=1,"carte","multiple"))</f>
        <v/>
      </c>
    </row>
    <row r="315">
      <c r="A315" t="inlineStr">
        <is>
          <t>2022-04-21</t>
        </is>
      </c>
      <c r="B315" t="inlineStr">
        <is>
          <t>12:58</t>
        </is>
      </c>
      <c r="C315" t="n">
        <v>2944</v>
      </c>
      <c r="D315" s="6" t="n">
        <v>17.6</v>
      </c>
      <c r="E315" t="n">
        <v>37011</v>
      </c>
      <c r="F315" s="6" t="n">
        <v>17.6</v>
      </c>
      <c r="G315" t="n">
        <v>1</v>
      </c>
      <c r="H315" s="6">
        <f>ROUND(G315*F315,2)</f>
        <v/>
      </c>
      <c r="I315">
        <f>IF(ROUND(H315-D315,2)=0,1,0)</f>
        <v/>
      </c>
      <c r="J315">
        <f>IF(F315="","none",IF(G315=1,"carte","multiple"))</f>
        <v/>
      </c>
    </row>
    <row r="316">
      <c r="A316" t="inlineStr">
        <is>
          <t>2022-04-21</t>
        </is>
      </c>
      <c r="B316" t="inlineStr">
        <is>
          <t>12:58</t>
        </is>
      </c>
      <c r="C316" t="n">
        <v>2944</v>
      </c>
      <c r="D316" s="6" t="n">
        <v>8.4</v>
      </c>
      <c r="E316" t="n">
        <v>37012</v>
      </c>
      <c r="F316" s="6" t="n">
        <v>8.4</v>
      </c>
      <c r="G316" t="n">
        <v>1</v>
      </c>
      <c r="H316" s="6">
        <f>ROUND(G316*F316,2)</f>
        <v/>
      </c>
      <c r="I316">
        <f>IF(ROUND(H316-D316,2)=0,1,0)</f>
        <v/>
      </c>
      <c r="J316">
        <f>IF(F316="","none",IF(G316=1,"carte","multiple"))</f>
        <v/>
      </c>
    </row>
    <row r="317">
      <c r="A317" t="inlineStr">
        <is>
          <t>2022-04-21</t>
        </is>
      </c>
      <c r="B317" t="inlineStr">
        <is>
          <t>17:42</t>
        </is>
      </c>
      <c r="C317" t="n">
        <v>2944</v>
      </c>
      <c r="D317" s="6" t="n">
        <v>29.9</v>
      </c>
      <c r="E317" t="n">
        <v>37014</v>
      </c>
      <c r="F317" s="6" t="n">
        <v>29.9</v>
      </c>
      <c r="G317" t="n">
        <v>1</v>
      </c>
      <c r="H317" s="6">
        <f>ROUND(G317*F317,2)</f>
        <v/>
      </c>
      <c r="I317">
        <f>IF(ROUND(H317-D317,2)=0,1,0)</f>
        <v/>
      </c>
      <c r="J317">
        <f>IF(F317="","none",IF(G317=1,"carte","multiple"))</f>
        <v/>
      </c>
    </row>
    <row r="318">
      <c r="A318" t="inlineStr">
        <is>
          <t>2022-04-21</t>
        </is>
      </c>
      <c r="B318" t="inlineStr">
        <is>
          <t>17:46</t>
        </is>
      </c>
      <c r="C318" t="n">
        <v>2944</v>
      </c>
      <c r="D318" s="6" t="n">
        <v>9.800000000000001</v>
      </c>
      <c r="E318" t="n">
        <v>37015</v>
      </c>
      <c r="F318" s="6" t="n">
        <v>9.800000000000001</v>
      </c>
      <c r="G318" t="n">
        <v>1</v>
      </c>
      <c r="H318" s="6">
        <f>ROUND(G318*F318,2)</f>
        <v/>
      </c>
      <c r="I318">
        <f>IF(ROUND(H318-D318,2)=0,1,0)</f>
        <v/>
      </c>
      <c r="J318">
        <f>IF(F318="","none",IF(G318=1,"carte","multiple"))</f>
        <v/>
      </c>
    </row>
    <row r="319">
      <c r="A319" t="inlineStr">
        <is>
          <t>2022-04-21</t>
        </is>
      </c>
      <c r="B319" t="inlineStr">
        <is>
          <t>18:31</t>
        </is>
      </c>
      <c r="C319" t="n">
        <v>2944</v>
      </c>
      <c r="D319" s="6" t="n">
        <v>5.9</v>
      </c>
      <c r="E319" t="n">
        <v>37016</v>
      </c>
      <c r="F319" s="6" t="n">
        <v>5.9</v>
      </c>
      <c r="G319" t="n">
        <v>1</v>
      </c>
      <c r="H319" s="6">
        <f>ROUND(G319*F319,2)</f>
        <v/>
      </c>
      <c r="I319">
        <f>IF(ROUND(H319-D319,2)=0,1,0)</f>
        <v/>
      </c>
      <c r="J319">
        <f>IF(F319="","none",IF(G319=1,"carte","multiple"))</f>
        <v/>
      </c>
    </row>
    <row r="320">
      <c r="A320" t="inlineStr">
        <is>
          <t>2022-04-21</t>
        </is>
      </c>
      <c r="B320" t="inlineStr">
        <is>
          <t>18:34</t>
        </is>
      </c>
      <c r="C320" t="n">
        <v>2944</v>
      </c>
      <c r="D320" s="6" t="n">
        <v>19.9</v>
      </c>
      <c r="E320" t="n">
        <v>37017</v>
      </c>
      <c r="F320" s="6" t="n">
        <v>19.9</v>
      </c>
      <c r="G320" t="n">
        <v>1</v>
      </c>
      <c r="H320" s="6">
        <f>ROUND(G320*F320,2)</f>
        <v/>
      </c>
      <c r="I320">
        <f>IF(ROUND(H320-D320,2)=0,1,0)</f>
        <v/>
      </c>
      <c r="J320">
        <f>IF(F320="","none",IF(G320=1,"carte","multiple"))</f>
        <v/>
      </c>
    </row>
    <row r="321">
      <c r="A321" t="inlineStr">
        <is>
          <t>2022-04-21</t>
        </is>
      </c>
      <c r="B321" t="inlineStr">
        <is>
          <t>19:05</t>
        </is>
      </c>
      <c r="C321" t="n">
        <v>2944</v>
      </c>
      <c r="D321" s="6" t="n">
        <v>2.2</v>
      </c>
      <c r="E321" t="n">
        <v>37018</v>
      </c>
      <c r="F321" s="6" t="n">
        <v>2.2</v>
      </c>
      <c r="G321" t="n">
        <v>1</v>
      </c>
      <c r="H321" s="6">
        <f>ROUND(G321*F321,2)</f>
        <v/>
      </c>
      <c r="I321">
        <f>IF(ROUND(H321-D321,2)=0,1,0)</f>
        <v/>
      </c>
      <c r="J321">
        <f>IF(F321="","none",IF(G321=1,"carte","multiple"))</f>
        <v/>
      </c>
    </row>
    <row r="322">
      <c r="A322" t="inlineStr">
        <is>
          <t>2022-04-21</t>
        </is>
      </c>
      <c r="B322" t="inlineStr">
        <is>
          <t>19:05</t>
        </is>
      </c>
      <c r="C322" t="n">
        <v>2944</v>
      </c>
      <c r="D322" s="6" t="n">
        <v>6.9</v>
      </c>
      <c r="E322" t="n">
        <v>37019</v>
      </c>
      <c r="F322" s="6" t="n">
        <v>6.9</v>
      </c>
      <c r="G322" t="n">
        <v>1</v>
      </c>
      <c r="H322" s="6">
        <f>ROUND(G322*F322,2)</f>
        <v/>
      </c>
      <c r="I322">
        <f>IF(ROUND(H322-D322,2)=0,1,0)</f>
        <v/>
      </c>
      <c r="J322">
        <f>IF(F322="","none",IF(G322=1,"carte","multiple"))</f>
        <v/>
      </c>
    </row>
    <row r="323">
      <c r="A323" t="inlineStr">
        <is>
          <t>2022-04-21</t>
        </is>
      </c>
      <c r="B323" t="inlineStr">
        <is>
          <t>19:05</t>
        </is>
      </c>
      <c r="C323" t="n">
        <v>2944</v>
      </c>
      <c r="D323" s="6" t="n">
        <v>28.6</v>
      </c>
      <c r="E323" t="n">
        <v>37020</v>
      </c>
      <c r="F323" s="6" t="n">
        <v>28.6</v>
      </c>
      <c r="G323" t="n">
        <v>1</v>
      </c>
      <c r="H323" s="6">
        <f>ROUND(G323*F323,2)</f>
        <v/>
      </c>
      <c r="I323">
        <f>IF(ROUND(H323-D323,2)=0,1,0)</f>
        <v/>
      </c>
      <c r="J323">
        <f>IF(F323="","none",IF(G323=1,"carte","multiple"))</f>
        <v/>
      </c>
    </row>
    <row r="324">
      <c r="A324" t="inlineStr">
        <is>
          <t>2022-04-21</t>
        </is>
      </c>
      <c r="B324" t="inlineStr">
        <is>
          <t>19:05</t>
        </is>
      </c>
      <c r="C324" t="n">
        <v>2944</v>
      </c>
      <c r="D324" s="6" t="n">
        <v>19.9</v>
      </c>
      <c r="E324" t="n">
        <v>37021</v>
      </c>
      <c r="F324" s="6" t="n">
        <v>19.9</v>
      </c>
      <c r="G324" t="n">
        <v>1</v>
      </c>
      <c r="H324" s="6">
        <f>ROUND(G324*F324,2)</f>
        <v/>
      </c>
      <c r="I324">
        <f>IF(ROUND(H324-D324,2)=0,1,0)</f>
        <v/>
      </c>
      <c r="J324">
        <f>IF(F324="","none",IF(G324=1,"carte","multiple"))</f>
        <v/>
      </c>
    </row>
    <row r="325">
      <c r="A325" t="inlineStr">
        <is>
          <t>2022-04-21</t>
        </is>
      </c>
      <c r="B325" t="inlineStr">
        <is>
          <t>19:05</t>
        </is>
      </c>
      <c r="C325" t="n">
        <v>2944</v>
      </c>
      <c r="D325" s="6" t="n">
        <v>7.9</v>
      </c>
      <c r="E325" t="n">
        <v>37022</v>
      </c>
      <c r="F325" s="6" t="n">
        <v>7.9</v>
      </c>
      <c r="G325" t="n">
        <v>1</v>
      </c>
      <c r="H325" s="6">
        <f>ROUND(G325*F325,2)</f>
        <v/>
      </c>
      <c r="I325">
        <f>IF(ROUND(H325-D325,2)=0,1,0)</f>
        <v/>
      </c>
      <c r="J325">
        <f>IF(F325="","none",IF(G325=1,"carte","multiple"))</f>
        <v/>
      </c>
    </row>
    <row r="326">
      <c r="A326" t="inlineStr">
        <is>
          <t>2022-04-21</t>
        </is>
      </c>
      <c r="B326" t="inlineStr">
        <is>
          <t>19:05</t>
        </is>
      </c>
      <c r="C326" t="n">
        <v>2944</v>
      </c>
      <c r="D326" s="6" t="n">
        <v>5.9</v>
      </c>
      <c r="E326" t="n">
        <v>37023</v>
      </c>
      <c r="F326" s="6" t="n">
        <v>5.9</v>
      </c>
      <c r="G326" t="n">
        <v>1</v>
      </c>
      <c r="H326" s="6">
        <f>ROUND(G326*F326,2)</f>
        <v/>
      </c>
      <c r="I326">
        <f>IF(ROUND(H326-D326,2)=0,1,0)</f>
        <v/>
      </c>
      <c r="J326">
        <f>IF(F326="","none",IF(G326=1,"carte","multiple"))</f>
        <v/>
      </c>
    </row>
    <row r="327">
      <c r="A327" t="inlineStr">
        <is>
          <t>2022-04-21</t>
        </is>
      </c>
      <c r="B327" t="inlineStr">
        <is>
          <t>19:19</t>
        </is>
      </c>
      <c r="C327" t="n">
        <v>2944</v>
      </c>
      <c r="D327" s="6" t="n">
        <v>45</v>
      </c>
      <c r="E327" t="n">
        <v>37024</v>
      </c>
      <c r="F327" s="6" t="n">
        <v>45</v>
      </c>
      <c r="G327" t="n">
        <v>1</v>
      </c>
      <c r="H327" s="6">
        <f>ROUND(G327*F327,2)</f>
        <v/>
      </c>
      <c r="I327">
        <f>IF(ROUND(H327-D327,2)=0,1,0)</f>
        <v/>
      </c>
      <c r="J327">
        <f>IF(F327="","none",IF(G327=1,"carte","multiple"))</f>
        <v/>
      </c>
    </row>
    <row r="328">
      <c r="A328" t="inlineStr">
        <is>
          <t>2022-04-21</t>
        </is>
      </c>
      <c r="B328" t="inlineStr">
        <is>
          <t>19:19</t>
        </is>
      </c>
      <c r="C328" t="n">
        <v>2944</v>
      </c>
      <c r="D328" s="6" t="n">
        <v>4.2</v>
      </c>
      <c r="E328" t="n">
        <v>37025</v>
      </c>
      <c r="F328" s="6" t="n">
        <v>4.2</v>
      </c>
      <c r="G328" t="n">
        <v>1</v>
      </c>
      <c r="H328" s="6">
        <f>ROUND(G328*F328,2)</f>
        <v/>
      </c>
      <c r="I328">
        <f>IF(ROUND(H328-D328,2)=0,1,0)</f>
        <v/>
      </c>
      <c r="J328">
        <f>IF(F328="","none",IF(G328=1,"carte","multiple"))</f>
        <v/>
      </c>
    </row>
    <row r="329">
      <c r="A329" t="inlineStr">
        <is>
          <t>2022-04-21</t>
        </is>
      </c>
      <c r="B329" t="inlineStr">
        <is>
          <t>19:37</t>
        </is>
      </c>
      <c r="C329" t="n">
        <v>2944</v>
      </c>
      <c r="D329" s="6" t="n">
        <v>29.9</v>
      </c>
      <c r="E329" t="n">
        <v>37026</v>
      </c>
      <c r="F329" s="6" t="n">
        <v>29.9</v>
      </c>
      <c r="G329" t="n">
        <v>1</v>
      </c>
      <c r="H329" s="6">
        <f>ROUND(G329*F329,2)</f>
        <v/>
      </c>
      <c r="I329">
        <f>IF(ROUND(H329-D329,2)=0,1,0)</f>
        <v/>
      </c>
      <c r="J329">
        <f>IF(F329="","none",IF(G329=1,"carte","multiple"))</f>
        <v/>
      </c>
    </row>
    <row r="330">
      <c r="A330" t="inlineStr">
        <is>
          <t>2022-04-21</t>
        </is>
      </c>
      <c r="B330" t="inlineStr">
        <is>
          <t>19:43</t>
        </is>
      </c>
      <c r="C330" t="n">
        <v>2944</v>
      </c>
      <c r="D330" s="6" t="n">
        <v>2.9</v>
      </c>
      <c r="E330" t="n">
        <v>37027</v>
      </c>
      <c r="F330" s="6" t="n">
        <v>2.9</v>
      </c>
      <c r="G330" t="n">
        <v>1</v>
      </c>
      <c r="H330" s="6">
        <f>ROUND(G330*F330,2)</f>
        <v/>
      </c>
      <c r="I330">
        <f>IF(ROUND(H330-D330,2)=0,1,0)</f>
        <v/>
      </c>
      <c r="J330">
        <f>IF(F330="","none",IF(G330=1,"carte","multiple"))</f>
        <v/>
      </c>
    </row>
    <row r="331">
      <c r="A331" t="inlineStr">
        <is>
          <t>2022-04-21</t>
        </is>
      </c>
      <c r="B331" t="inlineStr">
        <is>
          <t>20:48</t>
        </is>
      </c>
      <c r="C331" t="n">
        <v>2944</v>
      </c>
      <c r="D331" s="6" t="n">
        <v>3.9</v>
      </c>
      <c r="E331" t="n">
        <v>37028</v>
      </c>
      <c r="F331" s="6" t="n">
        <v>3.9</v>
      </c>
      <c r="G331" t="n">
        <v>1</v>
      </c>
      <c r="H331" s="6">
        <f>ROUND(G331*F331,2)</f>
        <v/>
      </c>
      <c r="I331">
        <f>IF(ROUND(H331-D331,2)=0,1,0)</f>
        <v/>
      </c>
      <c r="J331">
        <f>IF(F331="","none",IF(G331=1,"carte","multiple"))</f>
        <v/>
      </c>
    </row>
    <row r="332">
      <c r="A332" t="inlineStr">
        <is>
          <t>2022-04-21</t>
        </is>
      </c>
      <c r="B332" t="inlineStr">
        <is>
          <t>20:48</t>
        </is>
      </c>
      <c r="C332" t="n">
        <v>2944</v>
      </c>
      <c r="D332" s="6" t="n">
        <v>3.9</v>
      </c>
      <c r="E332" t="n">
        <v>37029</v>
      </c>
      <c r="F332" s="6" t="n">
        <v>3.9</v>
      </c>
      <c r="G332" t="n">
        <v>1</v>
      </c>
      <c r="H332" s="6">
        <f>ROUND(G332*F332,2)</f>
        <v/>
      </c>
      <c r="I332">
        <f>IF(ROUND(H332-D332,2)=0,1,0)</f>
        <v/>
      </c>
      <c r="J332">
        <f>IF(F332="","none",IF(G332=1,"carte","multiple"))</f>
        <v/>
      </c>
    </row>
    <row r="333">
      <c r="A333" t="inlineStr">
        <is>
          <t>2022-04-22</t>
        </is>
      </c>
      <c r="B333" t="inlineStr">
        <is>
          <t>11:39</t>
        </is>
      </c>
      <c r="C333" t="n">
        <v>2945</v>
      </c>
      <c r="D333" s="6" t="n">
        <v>15</v>
      </c>
      <c r="E333" t="n">
        <v>37033</v>
      </c>
      <c r="F333" s="6" t="n">
        <v>15</v>
      </c>
      <c r="G333" t="n">
        <v>1</v>
      </c>
      <c r="H333" s="6">
        <f>ROUND(G333*F333,2)</f>
        <v/>
      </c>
      <c r="I333">
        <f>IF(ROUND(H333-D333,2)=0,1,0)</f>
        <v/>
      </c>
      <c r="J333">
        <f>IF(F333="","none",IF(G333=1,"carte","multiple"))</f>
        <v/>
      </c>
    </row>
    <row r="334">
      <c r="A334" t="inlineStr">
        <is>
          <t>2022-04-22</t>
        </is>
      </c>
      <c r="B334" t="inlineStr">
        <is>
          <t>12:11</t>
        </is>
      </c>
      <c r="C334" t="n">
        <v>2945</v>
      </c>
      <c r="D334" s="6" t="n">
        <v>16.9</v>
      </c>
      <c r="E334" t="n">
        <v>37034</v>
      </c>
      <c r="F334" s="6" t="n">
        <v>16.9</v>
      </c>
      <c r="G334" t="n">
        <v>1</v>
      </c>
      <c r="H334" s="6">
        <f>ROUND(G334*F334,2)</f>
        <v/>
      </c>
      <c r="I334">
        <f>IF(ROUND(H334-D334,2)=0,1,0)</f>
        <v/>
      </c>
      <c r="J334">
        <f>IF(F334="","none",IF(G334=1,"carte","multiple"))</f>
        <v/>
      </c>
    </row>
    <row r="335">
      <c r="A335" t="inlineStr">
        <is>
          <t>2022-04-22</t>
        </is>
      </c>
      <c r="B335" t="inlineStr">
        <is>
          <t>12:22</t>
        </is>
      </c>
      <c r="C335" t="n">
        <v>2945</v>
      </c>
      <c r="D335" s="6" t="n">
        <v>8.1</v>
      </c>
      <c r="E335" t="n">
        <v>37035</v>
      </c>
      <c r="F335" s="6" t="n">
        <v>8.1</v>
      </c>
      <c r="G335" t="n">
        <v>1</v>
      </c>
      <c r="H335" s="6">
        <f>ROUND(G335*F335,2)</f>
        <v/>
      </c>
      <c r="I335">
        <f>IF(ROUND(H335-D335,2)=0,1,0)</f>
        <v/>
      </c>
      <c r="J335">
        <f>IF(F335="","none",IF(G335=1,"carte","multiple"))</f>
        <v/>
      </c>
    </row>
    <row r="336">
      <c r="A336" t="inlineStr">
        <is>
          <t>2022-04-22</t>
        </is>
      </c>
      <c r="B336" t="inlineStr">
        <is>
          <t>12:23</t>
        </is>
      </c>
      <c r="C336" t="n">
        <v>2945</v>
      </c>
      <c r="D336" s="6" t="n">
        <v>4.4</v>
      </c>
      <c r="E336" t="n">
        <v>37036</v>
      </c>
      <c r="F336" s="6" t="n">
        <v>0.4</v>
      </c>
      <c r="G336" t="n">
        <v>11</v>
      </c>
      <c r="H336" s="6">
        <f>ROUND(G336*F336,2)</f>
        <v/>
      </c>
      <c r="I336">
        <f>IF(ROUND(H336-D336,2)=0,1,0)</f>
        <v/>
      </c>
      <c r="J336">
        <f>IF(F336="","none",IF(G336=1,"carte","multiple"))</f>
        <v/>
      </c>
    </row>
    <row r="337">
      <c r="A337" t="inlineStr">
        <is>
          <t>2022-04-22</t>
        </is>
      </c>
      <c r="B337" t="inlineStr">
        <is>
          <t>12:23</t>
        </is>
      </c>
      <c r="C337" t="n">
        <v>2945</v>
      </c>
      <c r="D337" s="6" t="n">
        <v>7.8</v>
      </c>
      <c r="E337" t="n">
        <v>37037</v>
      </c>
      <c r="F337" s="6" t="n">
        <v>7.8</v>
      </c>
      <c r="G337" t="n">
        <v>1</v>
      </c>
      <c r="H337" s="6">
        <f>ROUND(G337*F337,2)</f>
        <v/>
      </c>
      <c r="I337">
        <f>IF(ROUND(H337-D337,2)=0,1,0)</f>
        <v/>
      </c>
      <c r="J337">
        <f>IF(F337="","none",IF(G337=1,"carte","multiple"))</f>
        <v/>
      </c>
    </row>
    <row r="338">
      <c r="A338" t="inlineStr">
        <is>
          <t>2022-04-22</t>
        </is>
      </c>
      <c r="B338" t="inlineStr">
        <is>
          <t>12:23</t>
        </is>
      </c>
      <c r="C338" t="n">
        <v>2945</v>
      </c>
      <c r="D338" s="6" t="n">
        <v>4</v>
      </c>
      <c r="E338" t="n">
        <v>37038</v>
      </c>
      <c r="F338" s="6" t="n">
        <v>4</v>
      </c>
      <c r="G338" t="n">
        <v>1</v>
      </c>
      <c r="H338" s="6">
        <f>ROUND(G338*F338,2)</f>
        <v/>
      </c>
      <c r="I338">
        <f>IF(ROUND(H338-D338,2)=0,1,0)</f>
        <v/>
      </c>
      <c r="J338">
        <f>IF(F338="","none",IF(G338=1,"carte","multiple"))</f>
        <v/>
      </c>
    </row>
    <row r="339">
      <c r="A339" t="inlineStr">
        <is>
          <t>2022-04-22</t>
        </is>
      </c>
      <c r="B339" t="inlineStr">
        <is>
          <t>12:23</t>
        </is>
      </c>
      <c r="C339" t="n">
        <v>2945</v>
      </c>
      <c r="D339" s="6" t="n">
        <v>17.6</v>
      </c>
      <c r="E339" t="n">
        <v>37039</v>
      </c>
      <c r="F339" s="6" t="n">
        <v>17.6</v>
      </c>
      <c r="G339" t="n">
        <v>1</v>
      </c>
      <c r="H339" s="6">
        <f>ROUND(G339*F339,2)</f>
        <v/>
      </c>
      <c r="I339">
        <f>IF(ROUND(H339-D339,2)=0,1,0)</f>
        <v/>
      </c>
      <c r="J339">
        <f>IF(F339="","none",IF(G339=1,"carte","multiple"))</f>
        <v/>
      </c>
    </row>
    <row r="340">
      <c r="A340" t="inlineStr">
        <is>
          <t>2022-04-22</t>
        </is>
      </c>
      <c r="B340" t="inlineStr">
        <is>
          <t>12:23</t>
        </is>
      </c>
      <c r="C340" t="n">
        <v>2945</v>
      </c>
      <c r="D340" s="6" t="n">
        <v>85.8</v>
      </c>
      <c r="E340" t="n">
        <v>37040</v>
      </c>
      <c r="F340" s="6" t="n">
        <v>1.1</v>
      </c>
      <c r="G340" t="n">
        <v>78</v>
      </c>
      <c r="H340" s="6">
        <f>ROUND(G340*F340,2)</f>
        <v/>
      </c>
      <c r="I340">
        <f>IF(ROUND(H340-D340,2)=0,1,0)</f>
        <v/>
      </c>
      <c r="J340">
        <f>IF(F340="","none",IF(G340=1,"carte","multiple"))</f>
        <v/>
      </c>
    </row>
    <row r="341">
      <c r="A341" t="inlineStr">
        <is>
          <t>2022-04-22</t>
        </is>
      </c>
      <c r="B341" t="inlineStr">
        <is>
          <t>12:23</t>
        </is>
      </c>
      <c r="C341" t="n">
        <v>2945</v>
      </c>
      <c r="D341" s="6" t="n">
        <v>18</v>
      </c>
      <c r="E341" t="n">
        <v>37041</v>
      </c>
      <c r="F341" s="6" t="n">
        <v>18</v>
      </c>
      <c r="G341" t="n">
        <v>1</v>
      </c>
      <c r="H341" s="6">
        <f>ROUND(G341*F341,2)</f>
        <v/>
      </c>
      <c r="I341">
        <f>IF(ROUND(H341-D341,2)=0,1,0)</f>
        <v/>
      </c>
      <c r="J341">
        <f>IF(F341="","none",IF(G341=1,"carte","multiple"))</f>
        <v/>
      </c>
    </row>
    <row r="342">
      <c r="A342" t="inlineStr">
        <is>
          <t>2022-04-22</t>
        </is>
      </c>
      <c r="B342" t="inlineStr">
        <is>
          <t>17:46</t>
        </is>
      </c>
      <c r="C342" t="n">
        <v>2945</v>
      </c>
      <c r="D342" s="6" t="n">
        <v>29.9</v>
      </c>
      <c r="E342" t="n">
        <v>37043</v>
      </c>
      <c r="F342" s="6" t="n">
        <v>29.9</v>
      </c>
      <c r="G342" t="n">
        <v>1</v>
      </c>
      <c r="H342" s="6">
        <f>ROUND(G342*F342,2)</f>
        <v/>
      </c>
      <c r="I342">
        <f>IF(ROUND(H342-D342,2)=0,1,0)</f>
        <v/>
      </c>
      <c r="J342">
        <f>IF(F342="","none",IF(G342=1,"carte","multiple"))</f>
        <v/>
      </c>
    </row>
    <row r="343">
      <c r="A343" t="inlineStr">
        <is>
          <t>2022-04-22</t>
        </is>
      </c>
      <c r="B343" t="inlineStr">
        <is>
          <t>17:47</t>
        </is>
      </c>
      <c r="C343" t="n">
        <v>2945</v>
      </c>
      <c r="D343" s="6" t="n">
        <v>7.2</v>
      </c>
      <c r="E343" t="n">
        <v>37044</v>
      </c>
      <c r="F343" s="6" t="n">
        <v>7.2</v>
      </c>
      <c r="G343" t="n">
        <v>1</v>
      </c>
      <c r="H343" s="6">
        <f>ROUND(G343*F343,2)</f>
        <v/>
      </c>
      <c r="I343">
        <f>IF(ROUND(H343-D343,2)=0,1,0)</f>
        <v/>
      </c>
      <c r="J343">
        <f>IF(F343="","none",IF(G343=1,"carte","multiple"))</f>
        <v/>
      </c>
    </row>
    <row r="344">
      <c r="A344" t="inlineStr">
        <is>
          <t>2022-04-22</t>
        </is>
      </c>
      <c r="B344" t="inlineStr">
        <is>
          <t>17:47</t>
        </is>
      </c>
      <c r="C344" t="n">
        <v>2945</v>
      </c>
      <c r="D344" s="6" t="n">
        <v>3.9</v>
      </c>
      <c r="E344" t="n">
        <v>37045</v>
      </c>
      <c r="F344" s="6" t="n">
        <v>3.9</v>
      </c>
      <c r="G344" t="n">
        <v>1</v>
      </c>
      <c r="H344" s="6">
        <f>ROUND(G344*F344,2)</f>
        <v/>
      </c>
      <c r="I344">
        <f>IF(ROUND(H344-D344,2)=0,1,0)</f>
        <v/>
      </c>
      <c r="J344">
        <f>IF(F344="","none",IF(G344=1,"carte","multiple"))</f>
        <v/>
      </c>
    </row>
    <row r="345">
      <c r="A345" t="inlineStr">
        <is>
          <t>2022-04-22</t>
        </is>
      </c>
      <c r="B345" t="inlineStr">
        <is>
          <t>17:47</t>
        </is>
      </c>
      <c r="C345" t="n">
        <v>2945</v>
      </c>
      <c r="D345" s="6" t="n">
        <v>5.9</v>
      </c>
      <c r="E345" t="n">
        <v>37046</v>
      </c>
      <c r="F345" s="6" t="n">
        <v>5.9</v>
      </c>
      <c r="G345" t="n">
        <v>1</v>
      </c>
      <c r="H345" s="6">
        <f>ROUND(G345*F345,2)</f>
        <v/>
      </c>
      <c r="I345">
        <f>IF(ROUND(H345-D345,2)=0,1,0)</f>
        <v/>
      </c>
      <c r="J345">
        <f>IF(F345="","none",IF(G345=1,"carte","multiple"))</f>
        <v/>
      </c>
    </row>
    <row r="346">
      <c r="A346" t="inlineStr">
        <is>
          <t>2022-04-22</t>
        </is>
      </c>
      <c r="B346" t="inlineStr">
        <is>
          <t>17:47</t>
        </is>
      </c>
      <c r="C346" t="n">
        <v>2945</v>
      </c>
      <c r="D346" s="6" t="n">
        <v>16.9</v>
      </c>
      <c r="E346" t="n">
        <v>37047</v>
      </c>
      <c r="F346" s="6" t="n">
        <v>16.9</v>
      </c>
      <c r="G346" t="n">
        <v>1</v>
      </c>
      <c r="H346" s="6">
        <f>ROUND(G346*F346,2)</f>
        <v/>
      </c>
      <c r="I346">
        <f>IF(ROUND(H346-D346,2)=0,1,0)</f>
        <v/>
      </c>
      <c r="J346">
        <f>IF(F346="","none",IF(G346=1,"carte","multiple"))</f>
        <v/>
      </c>
    </row>
    <row r="347">
      <c r="A347" t="inlineStr">
        <is>
          <t>2022-04-22</t>
        </is>
      </c>
      <c r="B347" t="inlineStr">
        <is>
          <t>17:47</t>
        </is>
      </c>
      <c r="C347" t="n">
        <v>2945</v>
      </c>
      <c r="D347" s="6" t="n">
        <v>13</v>
      </c>
      <c r="E347" t="n">
        <v>37048</v>
      </c>
      <c r="F347" s="6" t="n">
        <v>13</v>
      </c>
      <c r="G347" t="n">
        <v>1</v>
      </c>
      <c r="H347" s="6">
        <f>ROUND(G347*F347,2)</f>
        <v/>
      </c>
      <c r="I347">
        <f>IF(ROUND(H347-D347,2)=0,1,0)</f>
        <v/>
      </c>
      <c r="J347">
        <f>IF(F347="","none",IF(G347=1,"carte","multiple"))</f>
        <v/>
      </c>
    </row>
    <row r="348">
      <c r="A348" t="inlineStr">
        <is>
          <t>2022-04-22</t>
        </is>
      </c>
      <c r="B348" t="inlineStr">
        <is>
          <t>17:47</t>
        </is>
      </c>
      <c r="C348" t="n">
        <v>2945</v>
      </c>
      <c r="D348" s="6" t="n">
        <v>19</v>
      </c>
      <c r="E348" t="n">
        <v>37049</v>
      </c>
      <c r="F348" s="6" t="n">
        <v>19</v>
      </c>
      <c r="G348" t="n">
        <v>1</v>
      </c>
      <c r="H348" s="6">
        <f>ROUND(G348*F348,2)</f>
        <v/>
      </c>
      <c r="I348">
        <f>IF(ROUND(H348-D348,2)=0,1,0)</f>
        <v/>
      </c>
      <c r="J348">
        <f>IF(F348="","none",IF(G348=1,"carte","multiple"))</f>
        <v/>
      </c>
    </row>
    <row r="349">
      <c r="A349" t="inlineStr">
        <is>
          <t>2022-04-22</t>
        </is>
      </c>
      <c r="B349" t="inlineStr">
        <is>
          <t>17:47</t>
        </is>
      </c>
      <c r="C349" t="n">
        <v>2945</v>
      </c>
      <c r="D349" s="6" t="n">
        <v>19</v>
      </c>
      <c r="E349" t="n">
        <v>37050</v>
      </c>
      <c r="F349" s="6" t="n">
        <v>19</v>
      </c>
      <c r="G349" t="n">
        <v>1</v>
      </c>
      <c r="H349" s="6">
        <f>ROUND(G349*F349,2)</f>
        <v/>
      </c>
      <c r="I349">
        <f>IF(ROUND(H349-D349,2)=0,1,0)</f>
        <v/>
      </c>
      <c r="J349">
        <f>IF(F349="","none",IF(G349=1,"carte","multiple"))</f>
        <v/>
      </c>
    </row>
    <row r="350">
      <c r="A350" t="inlineStr">
        <is>
          <t>2022-04-22</t>
        </is>
      </c>
      <c r="B350" t="inlineStr">
        <is>
          <t>17:47</t>
        </is>
      </c>
      <c r="C350" t="n">
        <v>2945</v>
      </c>
      <c r="D350" s="6" t="n">
        <v>16.9</v>
      </c>
      <c r="E350" t="n">
        <v>37051</v>
      </c>
      <c r="F350" s="6" t="n">
        <v>16.9</v>
      </c>
      <c r="G350" t="n">
        <v>1</v>
      </c>
      <c r="H350" s="6">
        <f>ROUND(G350*F350,2)</f>
        <v/>
      </c>
      <c r="I350">
        <f>IF(ROUND(H350-D350,2)=0,1,0)</f>
        <v/>
      </c>
      <c r="J350">
        <f>IF(F350="","none",IF(G350=1,"carte","multiple"))</f>
        <v/>
      </c>
    </row>
    <row r="351">
      <c r="A351" t="inlineStr">
        <is>
          <t>2022-04-22</t>
        </is>
      </c>
      <c r="B351" t="inlineStr">
        <is>
          <t>17:47</t>
        </is>
      </c>
      <c r="C351" t="n">
        <v>2945</v>
      </c>
      <c r="D351" s="6" t="n">
        <v>8</v>
      </c>
      <c r="E351" t="n">
        <v>37052</v>
      </c>
      <c r="F351" s="6" t="n">
        <v>8</v>
      </c>
      <c r="G351" t="n">
        <v>1</v>
      </c>
      <c r="H351" s="6">
        <f>ROUND(G351*F351,2)</f>
        <v/>
      </c>
      <c r="I351">
        <f>IF(ROUND(H351-D351,2)=0,1,0)</f>
        <v/>
      </c>
      <c r="J351">
        <f>IF(F351="","none",IF(G351=1,"carte","multiple"))</f>
        <v/>
      </c>
    </row>
    <row r="352">
      <c r="A352" t="inlineStr">
        <is>
          <t>2022-04-22</t>
        </is>
      </c>
      <c r="B352" t="inlineStr">
        <is>
          <t>18:07</t>
        </is>
      </c>
      <c r="C352" t="n">
        <v>2945</v>
      </c>
      <c r="D352" s="6" t="n">
        <v>8.9</v>
      </c>
      <c r="E352" t="n">
        <v>37053</v>
      </c>
      <c r="F352" s="6" t="n">
        <v>8.9</v>
      </c>
      <c r="G352" t="n">
        <v>1</v>
      </c>
      <c r="H352" s="6">
        <f>ROUND(G352*F352,2)</f>
        <v/>
      </c>
      <c r="I352">
        <f>IF(ROUND(H352-D352,2)=0,1,0)</f>
        <v/>
      </c>
      <c r="J352">
        <f>IF(F352="","none",IF(G352=1,"carte","multiple"))</f>
        <v/>
      </c>
    </row>
    <row r="353">
      <c r="A353" t="inlineStr">
        <is>
          <t>2022-04-22</t>
        </is>
      </c>
      <c r="B353" t="inlineStr">
        <is>
          <t>18:13</t>
        </is>
      </c>
      <c r="C353" t="n">
        <v>2945</v>
      </c>
      <c r="D353" s="6" t="n">
        <v>11</v>
      </c>
      <c r="E353" t="n">
        <v>37054</v>
      </c>
      <c r="F353" s="6" t="n">
        <v>11</v>
      </c>
      <c r="G353" t="n">
        <v>1</v>
      </c>
      <c r="H353" s="6">
        <f>ROUND(G353*F353,2)</f>
        <v/>
      </c>
      <c r="I353">
        <f>IF(ROUND(H353-D353,2)=0,1,0)</f>
        <v/>
      </c>
      <c r="J353">
        <f>IF(F353="","none",IF(G353=1,"carte","multiple"))</f>
        <v/>
      </c>
    </row>
    <row r="354">
      <c r="A354" t="inlineStr">
        <is>
          <t>2022-04-22</t>
        </is>
      </c>
      <c r="B354" t="inlineStr">
        <is>
          <t>18:20</t>
        </is>
      </c>
      <c r="C354" t="n">
        <v>2945</v>
      </c>
      <c r="D354" s="6" t="n">
        <v>0</v>
      </c>
      <c r="E354" t="n">
        <v>37055</v>
      </c>
      <c r="H354" t="inlineStr"/>
      <c r="I354" t="inlineStr"/>
      <c r="J354">
        <f>IF(F354="","none",IF(G354=1,"carte","multiple"))</f>
        <v/>
      </c>
    </row>
    <row r="355">
      <c r="A355" t="inlineStr">
        <is>
          <t>2022-04-22</t>
        </is>
      </c>
      <c r="B355" t="inlineStr">
        <is>
          <t>18:20</t>
        </is>
      </c>
      <c r="C355" t="n">
        <v>2945</v>
      </c>
      <c r="D355" s="6" t="n">
        <v>19</v>
      </c>
      <c r="E355" t="n">
        <v>37056</v>
      </c>
      <c r="F355" s="6" t="n">
        <v>19</v>
      </c>
      <c r="G355" t="n">
        <v>1</v>
      </c>
      <c r="H355" s="6">
        <f>ROUND(G355*F355,2)</f>
        <v/>
      </c>
      <c r="I355">
        <f>IF(ROUND(H355-D355,2)=0,1,0)</f>
        <v/>
      </c>
      <c r="J355">
        <f>IF(F355="","none",IF(G355=1,"carte","multiple"))</f>
        <v/>
      </c>
    </row>
    <row r="356">
      <c r="A356" t="inlineStr">
        <is>
          <t>2022-04-22</t>
        </is>
      </c>
      <c r="B356" t="inlineStr">
        <is>
          <t>18:57</t>
        </is>
      </c>
      <c r="C356" t="n">
        <v>2945</v>
      </c>
      <c r="D356" s="6" t="n">
        <v>4.2</v>
      </c>
      <c r="E356" t="n">
        <v>37057</v>
      </c>
      <c r="F356" s="6" t="n">
        <v>4.2</v>
      </c>
      <c r="G356" t="n">
        <v>1</v>
      </c>
      <c r="H356" s="6">
        <f>ROUND(G356*F356,2)</f>
        <v/>
      </c>
      <c r="I356">
        <f>IF(ROUND(H356-D356,2)=0,1,0)</f>
        <v/>
      </c>
      <c r="J356">
        <f>IF(F356="","none",IF(G356=1,"carte","multiple"))</f>
        <v/>
      </c>
    </row>
    <row r="357">
      <c r="A357" t="inlineStr">
        <is>
          <t>2022-04-22</t>
        </is>
      </c>
      <c r="B357" t="inlineStr">
        <is>
          <t>18:57</t>
        </is>
      </c>
      <c r="C357" t="n">
        <v>2945</v>
      </c>
      <c r="D357" s="6" t="n">
        <v>7.8</v>
      </c>
      <c r="E357" t="n">
        <v>37058</v>
      </c>
      <c r="F357" s="6" t="n">
        <v>7.8</v>
      </c>
      <c r="G357" t="n">
        <v>1</v>
      </c>
      <c r="H357" s="6">
        <f>ROUND(G357*F357,2)</f>
        <v/>
      </c>
      <c r="I357">
        <f>IF(ROUND(H357-D357,2)=0,1,0)</f>
        <v/>
      </c>
      <c r="J357">
        <f>IF(F357="","none",IF(G357=1,"carte","multiple"))</f>
        <v/>
      </c>
    </row>
    <row r="358">
      <c r="A358" t="inlineStr">
        <is>
          <t>2022-04-22</t>
        </is>
      </c>
      <c r="B358" t="inlineStr">
        <is>
          <t>19:27</t>
        </is>
      </c>
      <c r="C358" t="n">
        <v>2945</v>
      </c>
      <c r="D358" s="6" t="n">
        <v>17.6</v>
      </c>
      <c r="E358" t="n">
        <v>37059</v>
      </c>
      <c r="F358" s="6" t="n">
        <v>17.6</v>
      </c>
      <c r="G358" t="n">
        <v>1</v>
      </c>
      <c r="H358" s="6">
        <f>ROUND(G358*F358,2)</f>
        <v/>
      </c>
      <c r="I358">
        <f>IF(ROUND(H358-D358,2)=0,1,0)</f>
        <v/>
      </c>
      <c r="J358">
        <f>IF(F358="","none",IF(G358=1,"carte","multiple"))</f>
        <v/>
      </c>
    </row>
    <row r="359">
      <c r="A359" t="inlineStr">
        <is>
          <t>2022-04-22</t>
        </is>
      </c>
      <c r="B359" t="inlineStr">
        <is>
          <t>19:28</t>
        </is>
      </c>
      <c r="C359" t="n">
        <v>2945</v>
      </c>
      <c r="D359" s="6" t="n">
        <v>19</v>
      </c>
      <c r="E359" t="n">
        <v>37060</v>
      </c>
      <c r="F359" s="6" t="n">
        <v>19</v>
      </c>
      <c r="G359" t="n">
        <v>1</v>
      </c>
      <c r="H359" s="6">
        <f>ROUND(G359*F359,2)</f>
        <v/>
      </c>
      <c r="I359">
        <f>IF(ROUND(H359-D359,2)=0,1,0)</f>
        <v/>
      </c>
      <c r="J359">
        <f>IF(F359="","none",IF(G359=1,"carte","multiple"))</f>
        <v/>
      </c>
    </row>
    <row r="360">
      <c r="A360" t="inlineStr">
        <is>
          <t>2022-04-22</t>
        </is>
      </c>
      <c r="B360" t="inlineStr">
        <is>
          <t>19:43</t>
        </is>
      </c>
      <c r="C360" t="n">
        <v>2945</v>
      </c>
      <c r="D360" s="6" t="n">
        <v>3.9</v>
      </c>
      <c r="E360" t="n">
        <v>37061</v>
      </c>
      <c r="F360" s="6" t="n">
        <v>3.9</v>
      </c>
      <c r="G360" t="n">
        <v>1</v>
      </c>
      <c r="H360" s="6">
        <f>ROUND(G360*F360,2)</f>
        <v/>
      </c>
      <c r="I360">
        <f>IF(ROUND(H360-D360,2)=0,1,0)</f>
        <v/>
      </c>
      <c r="J360">
        <f>IF(F360="","none",IF(G360=1,"carte","multiple"))</f>
        <v/>
      </c>
    </row>
    <row r="361">
      <c r="A361" t="inlineStr">
        <is>
          <t>2022-04-22</t>
        </is>
      </c>
      <c r="B361" t="inlineStr">
        <is>
          <t>20:56</t>
        </is>
      </c>
      <c r="C361" t="n">
        <v>2945</v>
      </c>
      <c r="D361" s="6" t="n">
        <v>14.4</v>
      </c>
      <c r="E361" t="n">
        <v>37062</v>
      </c>
      <c r="F361" s="6" t="n">
        <v>0.4</v>
      </c>
      <c r="G361" t="n">
        <v>36</v>
      </c>
      <c r="H361" s="6">
        <f>ROUND(G361*F361,2)</f>
        <v/>
      </c>
      <c r="I361">
        <f>IF(ROUND(H361-D361,2)=0,1,0)</f>
        <v/>
      </c>
      <c r="J361">
        <f>IF(F361="","none",IF(G361=1,"carte","multiple"))</f>
        <v/>
      </c>
    </row>
    <row r="362">
      <c r="A362" t="inlineStr">
        <is>
          <t>2022-04-22</t>
        </is>
      </c>
      <c r="B362" t="inlineStr">
        <is>
          <t>20:56</t>
        </is>
      </c>
      <c r="C362" t="n">
        <v>2945</v>
      </c>
      <c r="D362" s="6" t="n">
        <v>4.4</v>
      </c>
      <c r="E362" t="n">
        <v>37063</v>
      </c>
      <c r="F362" s="6" t="n">
        <v>0.4</v>
      </c>
      <c r="G362" t="n">
        <v>11</v>
      </c>
      <c r="H362" s="6">
        <f>ROUND(G362*F362,2)</f>
        <v/>
      </c>
      <c r="I362">
        <f>IF(ROUND(H362-D362,2)=0,1,0)</f>
        <v/>
      </c>
      <c r="J362">
        <f>IF(F362="","none",IF(G362=1,"carte","multiple"))</f>
        <v/>
      </c>
    </row>
    <row r="363">
      <c r="A363" t="inlineStr">
        <is>
          <t>2022-04-22</t>
        </is>
      </c>
      <c r="B363" t="inlineStr">
        <is>
          <t>20:56</t>
        </is>
      </c>
      <c r="C363" t="n">
        <v>2945</v>
      </c>
      <c r="D363" s="6" t="n">
        <v>10.4</v>
      </c>
      <c r="E363" t="n">
        <v>37064</v>
      </c>
      <c r="F363" s="6" t="n">
        <v>0.4</v>
      </c>
      <c r="G363" t="n">
        <v>26</v>
      </c>
      <c r="H363" s="6">
        <f>ROUND(G363*F363,2)</f>
        <v/>
      </c>
      <c r="I363">
        <f>IF(ROUND(H363-D363,2)=0,1,0)</f>
        <v/>
      </c>
      <c r="J363">
        <f>IF(F363="","none",IF(G363=1,"carte","multiple"))</f>
        <v/>
      </c>
    </row>
    <row r="364">
      <c r="A364" t="inlineStr">
        <is>
          <t>2022-04-22</t>
        </is>
      </c>
      <c r="B364" t="inlineStr">
        <is>
          <t>20:56</t>
        </is>
      </c>
      <c r="C364" t="n">
        <v>2945</v>
      </c>
      <c r="D364" s="6" t="n">
        <v>3.6</v>
      </c>
      <c r="E364" t="n">
        <v>37065</v>
      </c>
      <c r="F364" s="6" t="n">
        <v>3.6</v>
      </c>
      <c r="G364" t="n">
        <v>1</v>
      </c>
      <c r="H364" s="6">
        <f>ROUND(G364*F364,2)</f>
        <v/>
      </c>
      <c r="I364">
        <f>IF(ROUND(H364-D364,2)=0,1,0)</f>
        <v/>
      </c>
      <c r="J364">
        <f>IF(F364="","none",IF(G364=1,"carte","multiple"))</f>
        <v/>
      </c>
    </row>
    <row r="365">
      <c r="A365" t="inlineStr">
        <is>
          <t>2022-04-22</t>
        </is>
      </c>
      <c r="B365" t="inlineStr">
        <is>
          <t>20:56</t>
        </is>
      </c>
      <c r="C365" t="n">
        <v>2945</v>
      </c>
      <c r="D365" s="6" t="n">
        <v>19.4</v>
      </c>
      <c r="E365" t="n">
        <v>37066</v>
      </c>
      <c r="F365" s="6" t="n">
        <v>9.699999999999999</v>
      </c>
      <c r="G365" t="n">
        <v>2</v>
      </c>
      <c r="H365" s="6">
        <f>ROUND(G365*F365,2)</f>
        <v/>
      </c>
      <c r="I365">
        <f>IF(ROUND(H365-D365,2)=0,1,0)</f>
        <v/>
      </c>
      <c r="J365">
        <f>IF(F365="","none",IF(G365=1,"carte","multiple"))</f>
        <v/>
      </c>
    </row>
    <row r="366">
      <c r="A366" t="inlineStr">
        <is>
          <t>2022-04-22</t>
        </is>
      </c>
      <c r="B366" t="inlineStr">
        <is>
          <t>20:56</t>
        </is>
      </c>
      <c r="C366" t="n">
        <v>2945</v>
      </c>
      <c r="D366" s="6" t="n">
        <v>5.9</v>
      </c>
      <c r="E366" t="n">
        <v>37067</v>
      </c>
      <c r="F366" s="6" t="n">
        <v>5.9</v>
      </c>
      <c r="G366" t="n">
        <v>1</v>
      </c>
      <c r="H366" s="6">
        <f>ROUND(G366*F366,2)</f>
        <v/>
      </c>
      <c r="I366">
        <f>IF(ROUND(H366-D366,2)=0,1,0)</f>
        <v/>
      </c>
      <c r="J366">
        <f>IF(F366="","none",IF(G366=1,"carte","multiple"))</f>
        <v/>
      </c>
    </row>
    <row r="367">
      <c r="A367" t="inlineStr">
        <is>
          <t>2022-04-22</t>
        </is>
      </c>
      <c r="B367" t="inlineStr">
        <is>
          <t>20:56</t>
        </is>
      </c>
      <c r="C367" t="n">
        <v>2945</v>
      </c>
      <c r="D367" s="6" t="n">
        <v>48</v>
      </c>
      <c r="E367" t="n">
        <v>37068</v>
      </c>
      <c r="F367" s="6" t="n">
        <v>0.4</v>
      </c>
      <c r="G367" t="n">
        <v>120</v>
      </c>
      <c r="H367" s="6">
        <f>ROUND(G367*F367,2)</f>
        <v/>
      </c>
      <c r="I367">
        <f>IF(ROUND(H367-D367,2)=0,1,0)</f>
        <v/>
      </c>
      <c r="J367">
        <f>IF(F367="","none",IF(G367=1,"carte","multiple"))</f>
        <v/>
      </c>
    </row>
    <row r="368">
      <c r="A368" t="inlineStr">
        <is>
          <t>2022-04-22</t>
        </is>
      </c>
      <c r="B368" t="inlineStr">
        <is>
          <t>20:56</t>
        </is>
      </c>
      <c r="C368" t="n">
        <v>2945</v>
      </c>
      <c r="D368" s="6" t="n">
        <v>12.8</v>
      </c>
      <c r="E368" t="n">
        <v>37069</v>
      </c>
      <c r="F368" s="6" t="n">
        <v>0.4</v>
      </c>
      <c r="G368" t="n">
        <v>32</v>
      </c>
      <c r="H368" s="6">
        <f>ROUND(G368*F368,2)</f>
        <v/>
      </c>
      <c r="I368">
        <f>IF(ROUND(H368-D368,2)=0,1,0)</f>
        <v/>
      </c>
      <c r="J368">
        <f>IF(F368="","none",IF(G368=1,"carte","multiple"))</f>
        <v/>
      </c>
    </row>
    <row r="369">
      <c r="A369" t="inlineStr">
        <is>
          <t>2022-04-22</t>
        </is>
      </c>
      <c r="B369" t="inlineStr">
        <is>
          <t>20:56</t>
        </is>
      </c>
      <c r="C369" t="n">
        <v>2945</v>
      </c>
      <c r="D369" s="6" t="n">
        <v>3.8</v>
      </c>
      <c r="E369" t="n">
        <v>37070</v>
      </c>
      <c r="F369" s="6" t="n">
        <v>3.8</v>
      </c>
      <c r="G369" t="n">
        <v>1</v>
      </c>
      <c r="H369" s="6">
        <f>ROUND(G369*F369,2)</f>
        <v/>
      </c>
      <c r="I369">
        <f>IF(ROUND(H369-D369,2)=0,1,0)</f>
        <v/>
      </c>
      <c r="J369">
        <f>IF(F369="","none",IF(G369=1,"carte","multiple"))</f>
        <v/>
      </c>
    </row>
    <row r="370">
      <c r="A370" t="inlineStr">
        <is>
          <t>2022-04-23</t>
        </is>
      </c>
      <c r="B370" t="inlineStr">
        <is>
          <t>10:49</t>
        </is>
      </c>
      <c r="C370" t="n">
        <v>2946</v>
      </c>
      <c r="D370" s="6" t="n">
        <v>3.9</v>
      </c>
      <c r="E370" t="n">
        <v>37073</v>
      </c>
      <c r="F370" s="6" t="n">
        <v>3.9</v>
      </c>
      <c r="G370" t="n">
        <v>1</v>
      </c>
      <c r="H370" s="6">
        <f>ROUND(G370*F370,2)</f>
        <v/>
      </c>
      <c r="I370">
        <f>IF(ROUND(H370-D370,2)=0,1,0)</f>
        <v/>
      </c>
      <c r="J370">
        <f>IF(F370="","none",IF(G370=1,"carte","multiple"))</f>
        <v/>
      </c>
    </row>
    <row r="371">
      <c r="A371" t="inlineStr">
        <is>
          <t>2022-04-23</t>
        </is>
      </c>
      <c r="B371" t="inlineStr">
        <is>
          <t>11:43</t>
        </is>
      </c>
      <c r="C371" t="n">
        <v>2946</v>
      </c>
      <c r="D371" s="6" t="n">
        <v>2.2</v>
      </c>
      <c r="E371" t="n">
        <v>37074</v>
      </c>
      <c r="F371" s="6" t="n">
        <v>2.2</v>
      </c>
      <c r="G371" t="n">
        <v>1</v>
      </c>
      <c r="H371" s="6">
        <f>ROUND(G371*F371,2)</f>
        <v/>
      </c>
      <c r="I371">
        <f>IF(ROUND(H371-D371,2)=0,1,0)</f>
        <v/>
      </c>
      <c r="J371">
        <f>IF(F371="","none",IF(G371=1,"carte","multiple"))</f>
        <v/>
      </c>
    </row>
    <row r="372">
      <c r="A372" t="inlineStr">
        <is>
          <t>2022-04-23</t>
        </is>
      </c>
      <c r="B372" t="inlineStr">
        <is>
          <t>11:43</t>
        </is>
      </c>
      <c r="C372" t="n">
        <v>2946</v>
      </c>
      <c r="D372" s="6" t="n">
        <v>7.2</v>
      </c>
      <c r="E372" t="n">
        <v>37075</v>
      </c>
      <c r="F372" s="6" t="n">
        <v>7.2</v>
      </c>
      <c r="G372" t="n">
        <v>1</v>
      </c>
      <c r="H372" s="6">
        <f>ROUND(G372*F372,2)</f>
        <v/>
      </c>
      <c r="I372">
        <f>IF(ROUND(H372-D372,2)=0,1,0)</f>
        <v/>
      </c>
      <c r="J372">
        <f>IF(F372="","none",IF(G372=1,"carte","multiple"))</f>
        <v/>
      </c>
    </row>
    <row r="373">
      <c r="A373" t="inlineStr">
        <is>
          <t>2022-04-23</t>
        </is>
      </c>
      <c r="B373" t="inlineStr">
        <is>
          <t>11:43</t>
        </is>
      </c>
      <c r="C373" t="n">
        <v>2946</v>
      </c>
      <c r="D373" s="6" t="n">
        <v>8.800000000000001</v>
      </c>
      <c r="E373" t="n">
        <v>37076</v>
      </c>
      <c r="F373" s="6" t="n">
        <v>8.800000000000001</v>
      </c>
      <c r="G373" t="n">
        <v>1</v>
      </c>
      <c r="H373" s="6">
        <f>ROUND(G373*F373,2)</f>
        <v/>
      </c>
      <c r="I373">
        <f>IF(ROUND(H373-D373,2)=0,1,0)</f>
        <v/>
      </c>
      <c r="J373">
        <f>IF(F373="","none",IF(G373=1,"carte","multiple"))</f>
        <v/>
      </c>
    </row>
    <row r="374">
      <c r="A374" t="inlineStr">
        <is>
          <t>2022-04-23</t>
        </is>
      </c>
      <c r="B374" t="inlineStr">
        <is>
          <t>11:43</t>
        </is>
      </c>
      <c r="C374" t="n">
        <v>2946</v>
      </c>
      <c r="D374" s="6" t="n">
        <v>5.9</v>
      </c>
      <c r="E374" t="n">
        <v>37077</v>
      </c>
      <c r="F374" s="6" t="n">
        <v>5.9</v>
      </c>
      <c r="G374" t="n">
        <v>1</v>
      </c>
      <c r="H374" s="6">
        <f>ROUND(G374*F374,2)</f>
        <v/>
      </c>
      <c r="I374">
        <f>IF(ROUND(H374-D374,2)=0,1,0)</f>
        <v/>
      </c>
      <c r="J374">
        <f>IF(F374="","none",IF(G374=1,"carte","multiple"))</f>
        <v/>
      </c>
    </row>
    <row r="375">
      <c r="A375" t="inlineStr">
        <is>
          <t>2022-04-23</t>
        </is>
      </c>
      <c r="B375" t="inlineStr">
        <is>
          <t>11:43</t>
        </is>
      </c>
      <c r="C375" t="n">
        <v>2946</v>
      </c>
      <c r="D375" s="6" t="n">
        <v>39.8</v>
      </c>
      <c r="E375" t="n">
        <v>37078</v>
      </c>
      <c r="F375" s="6" t="n">
        <v>39.8</v>
      </c>
      <c r="G375" t="n">
        <v>1</v>
      </c>
      <c r="H375" s="6">
        <f>ROUND(G375*F375,2)</f>
        <v/>
      </c>
      <c r="I375">
        <f>IF(ROUND(H375-D375,2)=0,1,0)</f>
        <v/>
      </c>
      <c r="J375">
        <f>IF(F375="","none",IF(G375=1,"carte","multiple"))</f>
        <v/>
      </c>
    </row>
    <row r="376">
      <c r="A376" t="inlineStr">
        <is>
          <t>2022-04-23</t>
        </is>
      </c>
      <c r="B376" t="inlineStr">
        <is>
          <t>11:43</t>
        </is>
      </c>
      <c r="C376" t="n">
        <v>2946</v>
      </c>
      <c r="D376" s="6" t="n">
        <v>4</v>
      </c>
      <c r="E376" t="n">
        <v>37079</v>
      </c>
      <c r="F376" s="6" t="n">
        <v>4</v>
      </c>
      <c r="G376" t="n">
        <v>1</v>
      </c>
      <c r="H376" s="6">
        <f>ROUND(G376*F376,2)</f>
        <v/>
      </c>
      <c r="I376">
        <f>IF(ROUND(H376-D376,2)=0,1,0)</f>
        <v/>
      </c>
      <c r="J376">
        <f>IF(F376="","none",IF(G376=1,"carte","multiple"))</f>
        <v/>
      </c>
    </row>
    <row r="377">
      <c r="A377" t="inlineStr">
        <is>
          <t>2022-04-23</t>
        </is>
      </c>
      <c r="B377" t="inlineStr">
        <is>
          <t>11:43</t>
        </is>
      </c>
      <c r="C377" t="n">
        <v>2946</v>
      </c>
      <c r="D377" s="6" t="n">
        <v>3.9</v>
      </c>
      <c r="E377" t="n">
        <v>37080</v>
      </c>
      <c r="F377" s="6" t="n">
        <v>3.9</v>
      </c>
      <c r="G377" t="n">
        <v>1</v>
      </c>
      <c r="H377" s="6">
        <f>ROUND(G377*F377,2)</f>
        <v/>
      </c>
      <c r="I377">
        <f>IF(ROUND(H377-D377,2)=0,1,0)</f>
        <v/>
      </c>
      <c r="J377">
        <f>IF(F377="","none",IF(G377=1,"carte","multiple"))</f>
        <v/>
      </c>
    </row>
    <row r="378">
      <c r="A378" t="inlineStr">
        <is>
          <t>2022-04-23</t>
        </is>
      </c>
      <c r="B378" t="inlineStr">
        <is>
          <t>12:22</t>
        </is>
      </c>
      <c r="C378" t="n">
        <v>2946</v>
      </c>
      <c r="D378" s="6" t="n">
        <v>2.2</v>
      </c>
      <c r="E378" t="n">
        <v>37081</v>
      </c>
      <c r="F378" s="6" t="n">
        <v>2.2</v>
      </c>
      <c r="G378" t="n">
        <v>1</v>
      </c>
      <c r="H378" s="6">
        <f>ROUND(G378*F378,2)</f>
        <v/>
      </c>
      <c r="I378">
        <f>IF(ROUND(H378-D378,2)=0,1,0)</f>
        <v/>
      </c>
      <c r="J378">
        <f>IF(F378="","none",IF(G378=1,"carte","multiple"))</f>
        <v/>
      </c>
    </row>
    <row r="379">
      <c r="A379" t="inlineStr">
        <is>
          <t>2022-04-23</t>
        </is>
      </c>
      <c r="B379" t="inlineStr">
        <is>
          <t>12:31</t>
        </is>
      </c>
      <c r="C379" t="n">
        <v>2946</v>
      </c>
      <c r="D379" s="6" t="n">
        <v>33.8</v>
      </c>
      <c r="E379" t="n">
        <v>37082</v>
      </c>
      <c r="F379" s="6" t="n">
        <v>16.9</v>
      </c>
      <c r="G379" t="n">
        <v>2</v>
      </c>
      <c r="H379" s="6">
        <f>ROUND(G379*F379,2)</f>
        <v/>
      </c>
      <c r="I379">
        <f>IF(ROUND(H379-D379,2)=0,1,0)</f>
        <v/>
      </c>
      <c r="J379">
        <f>IF(F379="","none",IF(G379=1,"carte","multiple"))</f>
        <v/>
      </c>
    </row>
    <row r="380">
      <c r="A380" t="inlineStr">
        <is>
          <t>2022-04-23</t>
        </is>
      </c>
      <c r="B380" t="inlineStr">
        <is>
          <t>12:31</t>
        </is>
      </c>
      <c r="C380" t="n">
        <v>2946</v>
      </c>
      <c r="D380" s="6" t="n">
        <v>8.9</v>
      </c>
      <c r="E380" t="n">
        <v>37083</v>
      </c>
      <c r="F380" s="6" t="n">
        <v>8.9</v>
      </c>
      <c r="G380" t="n">
        <v>1</v>
      </c>
      <c r="H380" s="6">
        <f>ROUND(G380*F380,2)</f>
        <v/>
      </c>
      <c r="I380">
        <f>IF(ROUND(H380-D380,2)=0,1,0)</f>
        <v/>
      </c>
      <c r="J380">
        <f>IF(F380="","none",IF(G380=1,"carte","multiple"))</f>
        <v/>
      </c>
    </row>
    <row r="381">
      <c r="A381" t="inlineStr">
        <is>
          <t>2022-04-23</t>
        </is>
      </c>
      <c r="B381" t="inlineStr">
        <is>
          <t>12:31</t>
        </is>
      </c>
      <c r="C381" t="n">
        <v>2946</v>
      </c>
      <c r="D381" s="6" t="n">
        <v>10.9</v>
      </c>
      <c r="E381" t="n">
        <v>37084</v>
      </c>
      <c r="F381" s="6" t="n">
        <v>10.9</v>
      </c>
      <c r="G381" t="n">
        <v>1</v>
      </c>
      <c r="H381" s="6">
        <f>ROUND(G381*F381,2)</f>
        <v/>
      </c>
      <c r="I381">
        <f>IF(ROUND(H381-D381,2)=0,1,0)</f>
        <v/>
      </c>
      <c r="J381">
        <f>IF(F381="","none",IF(G381=1,"carte","multiple"))</f>
        <v/>
      </c>
    </row>
    <row r="382">
      <c r="A382" t="inlineStr">
        <is>
          <t>2022-04-23</t>
        </is>
      </c>
      <c r="B382" t="inlineStr">
        <is>
          <t>20:05</t>
        </is>
      </c>
      <c r="C382" t="n">
        <v>2946</v>
      </c>
      <c r="D382" s="6" t="n">
        <v>4.4</v>
      </c>
      <c r="E382" t="n">
        <v>37085</v>
      </c>
      <c r="F382" s="6" t="n">
        <v>0.4</v>
      </c>
      <c r="G382" t="n">
        <v>11</v>
      </c>
      <c r="H382" s="6">
        <f>ROUND(G382*F382,2)</f>
        <v/>
      </c>
      <c r="I382">
        <f>IF(ROUND(H382-D382,2)=0,1,0)</f>
        <v/>
      </c>
      <c r="J382">
        <f>IF(F382="","none",IF(G382=1,"carte","multiple"))</f>
        <v/>
      </c>
    </row>
    <row r="383">
      <c r="A383" t="inlineStr">
        <is>
          <t>2022-04-23</t>
        </is>
      </c>
      <c r="B383" t="inlineStr">
        <is>
          <t>20:05</t>
        </is>
      </c>
      <c r="C383" t="n">
        <v>2946</v>
      </c>
      <c r="D383" s="6" t="n">
        <v>18.6</v>
      </c>
      <c r="E383" t="n">
        <v>37086</v>
      </c>
      <c r="F383" s="6" t="n">
        <v>18.6</v>
      </c>
      <c r="G383" t="n">
        <v>1</v>
      </c>
      <c r="H383" s="6">
        <f>ROUND(G383*F383,2)</f>
        <v/>
      </c>
      <c r="I383">
        <f>IF(ROUND(H383-D383,2)=0,1,0)</f>
        <v/>
      </c>
      <c r="J383">
        <f>IF(F383="","none",IF(G383=1,"carte","multiple"))</f>
        <v/>
      </c>
    </row>
    <row r="384">
      <c r="A384" t="inlineStr">
        <is>
          <t>2022-04-23</t>
        </is>
      </c>
      <c r="B384" t="inlineStr">
        <is>
          <t>20:05</t>
        </is>
      </c>
      <c r="C384" t="n">
        <v>2946</v>
      </c>
      <c r="D384" s="6" t="n">
        <v>17.6</v>
      </c>
      <c r="E384" t="n">
        <v>37087</v>
      </c>
      <c r="F384" s="6" t="n">
        <v>17.6</v>
      </c>
      <c r="G384" t="n">
        <v>1</v>
      </c>
      <c r="H384" s="6">
        <f>ROUND(G384*F384,2)</f>
        <v/>
      </c>
      <c r="I384">
        <f>IF(ROUND(H384-D384,2)=0,1,0)</f>
        <v/>
      </c>
      <c r="J384">
        <f>IF(F384="","none",IF(G384=1,"carte","multiple"))</f>
        <v/>
      </c>
    </row>
    <row r="385">
      <c r="A385" t="inlineStr">
        <is>
          <t>2022-04-23</t>
        </is>
      </c>
      <c r="B385" t="inlineStr">
        <is>
          <t>20:05</t>
        </is>
      </c>
      <c r="C385" t="n">
        <v>2946</v>
      </c>
      <c r="D385" s="6" t="n">
        <v>10.9</v>
      </c>
      <c r="E385" t="n">
        <v>37088</v>
      </c>
      <c r="F385" s="6" t="n">
        <v>10.9</v>
      </c>
      <c r="G385" t="n">
        <v>1</v>
      </c>
      <c r="H385" s="6">
        <f>ROUND(G385*F385,2)</f>
        <v/>
      </c>
      <c r="I385">
        <f>IF(ROUND(H385-D385,2)=0,1,0)</f>
        <v/>
      </c>
      <c r="J385">
        <f>IF(F385="","none",IF(G385=1,"carte","multiple"))</f>
        <v/>
      </c>
    </row>
    <row r="386">
      <c r="A386" t="inlineStr">
        <is>
          <t>2022-04-23</t>
        </is>
      </c>
      <c r="B386" t="inlineStr">
        <is>
          <t>20:05</t>
        </is>
      </c>
      <c r="C386" t="n">
        <v>2946</v>
      </c>
      <c r="D386" s="6" t="n">
        <v>9.6</v>
      </c>
      <c r="E386" t="n">
        <v>37089</v>
      </c>
      <c r="F386" s="6" t="n">
        <v>9.6</v>
      </c>
      <c r="G386" t="n">
        <v>1</v>
      </c>
      <c r="H386" s="6">
        <f>ROUND(G386*F386,2)</f>
        <v/>
      </c>
      <c r="I386">
        <f>IF(ROUND(H386-D386,2)=0,1,0)</f>
        <v/>
      </c>
      <c r="J386">
        <f>IF(F386="","none",IF(G386=1,"carte","multiple"))</f>
        <v/>
      </c>
    </row>
    <row r="387">
      <c r="A387" t="inlineStr">
        <is>
          <t>2022-04-23</t>
        </is>
      </c>
      <c r="B387" t="inlineStr">
        <is>
          <t>20:05</t>
        </is>
      </c>
      <c r="C387" t="n">
        <v>2946</v>
      </c>
      <c r="D387" s="6" t="n">
        <v>20.8</v>
      </c>
      <c r="E387" t="n">
        <v>37090</v>
      </c>
      <c r="F387" s="6" t="n">
        <v>0.4</v>
      </c>
      <c r="G387" t="n">
        <v>52</v>
      </c>
      <c r="H387" s="6">
        <f>ROUND(G387*F387,2)</f>
        <v/>
      </c>
      <c r="I387">
        <f>IF(ROUND(H387-D387,2)=0,1,0)</f>
        <v/>
      </c>
      <c r="J387">
        <f>IF(F387="","none",IF(G387=1,"carte","multiple"))</f>
        <v/>
      </c>
    </row>
    <row r="388">
      <c r="A388" t="inlineStr">
        <is>
          <t>2022-04-23</t>
        </is>
      </c>
      <c r="B388" t="inlineStr">
        <is>
          <t>20:06</t>
        </is>
      </c>
      <c r="C388" t="n">
        <v>2946</v>
      </c>
      <c r="D388" s="6" t="n">
        <v>4</v>
      </c>
      <c r="E388" t="n">
        <v>37091</v>
      </c>
      <c r="F388" s="6" t="n">
        <v>4</v>
      </c>
      <c r="G388" t="n">
        <v>1</v>
      </c>
      <c r="H388" s="6">
        <f>ROUND(G388*F388,2)</f>
        <v/>
      </c>
      <c r="I388">
        <f>IF(ROUND(H388-D388,2)=0,1,0)</f>
        <v/>
      </c>
      <c r="J388">
        <f>IF(F388="","none",IF(G388=1,"carte","multiple"))</f>
        <v/>
      </c>
    </row>
    <row r="389">
      <c r="A389" t="inlineStr">
        <is>
          <t>2022-04-23</t>
        </is>
      </c>
      <c r="B389" t="inlineStr">
        <is>
          <t>20:11</t>
        </is>
      </c>
      <c r="C389" t="n">
        <v>2946</v>
      </c>
      <c r="D389" s="6" t="n">
        <v>5.2</v>
      </c>
      <c r="E389" t="n">
        <v>37092</v>
      </c>
      <c r="F389" s="6" t="n">
        <v>5.2</v>
      </c>
      <c r="G389" t="n">
        <v>1</v>
      </c>
      <c r="H389" s="6">
        <f>ROUND(G389*F389,2)</f>
        <v/>
      </c>
      <c r="I389">
        <f>IF(ROUND(H389-D389,2)=0,1,0)</f>
        <v/>
      </c>
      <c r="J389">
        <f>IF(F389="","none",IF(G389=1,"carte","multiple"))</f>
        <v/>
      </c>
    </row>
    <row r="390">
      <c r="A390" t="inlineStr">
        <is>
          <t>2022-04-23</t>
        </is>
      </c>
      <c r="B390" t="inlineStr">
        <is>
          <t>20:11</t>
        </is>
      </c>
      <c r="C390" t="n">
        <v>2946</v>
      </c>
      <c r="D390" s="6" t="n">
        <v>5.2</v>
      </c>
      <c r="E390" t="n">
        <v>37093</v>
      </c>
      <c r="F390" s="6" t="n">
        <v>5.2</v>
      </c>
      <c r="G390" t="n">
        <v>1</v>
      </c>
      <c r="H390" s="6">
        <f>ROUND(G390*F390,2)</f>
        <v/>
      </c>
      <c r="I390">
        <f>IF(ROUND(H390-D390,2)=0,1,0)</f>
        <v/>
      </c>
      <c r="J390">
        <f>IF(F390="","none",IF(G390=1,"carte","multiple"))</f>
        <v/>
      </c>
    </row>
    <row r="391">
      <c r="A391" t="inlineStr">
        <is>
          <t>2022-04-23</t>
        </is>
      </c>
      <c r="B391" t="inlineStr">
        <is>
          <t>20:11</t>
        </is>
      </c>
      <c r="C391" t="n">
        <v>2946</v>
      </c>
      <c r="D391" s="6" t="n">
        <v>4.4</v>
      </c>
      <c r="E391" t="n">
        <v>37094</v>
      </c>
      <c r="F391" s="6" t="n">
        <v>0.4</v>
      </c>
      <c r="G391" t="n">
        <v>11</v>
      </c>
      <c r="H391" s="6">
        <f>ROUND(G391*F391,2)</f>
        <v/>
      </c>
      <c r="I391">
        <f>IF(ROUND(H391-D391,2)=0,1,0)</f>
        <v/>
      </c>
      <c r="J391">
        <f>IF(F391="","none",IF(G391=1,"carte","multiple"))</f>
        <v/>
      </c>
    </row>
    <row r="392">
      <c r="A392" t="inlineStr">
        <is>
          <t>2022-04-23</t>
        </is>
      </c>
      <c r="B392" t="inlineStr">
        <is>
          <t>20:11</t>
        </is>
      </c>
      <c r="C392" t="n">
        <v>2946</v>
      </c>
      <c r="D392" s="6" t="n">
        <v>7.5</v>
      </c>
      <c r="E392" t="n">
        <v>37095</v>
      </c>
      <c r="F392" s="6" t="n">
        <v>7.5</v>
      </c>
      <c r="G392" t="n">
        <v>1</v>
      </c>
      <c r="H392" s="6">
        <f>ROUND(G392*F392,2)</f>
        <v/>
      </c>
      <c r="I392">
        <f>IF(ROUND(H392-D392,2)=0,1,0)</f>
        <v/>
      </c>
      <c r="J392">
        <f>IF(F392="","none",IF(G392=1,"carte","multiple"))</f>
        <v/>
      </c>
    </row>
    <row r="393">
      <c r="A393" t="inlineStr">
        <is>
          <t>2022-04-23</t>
        </is>
      </c>
      <c r="B393" t="inlineStr">
        <is>
          <t>20:11</t>
        </is>
      </c>
      <c r="C393" t="n">
        <v>2946</v>
      </c>
      <c r="D393" s="6" t="n">
        <v>2</v>
      </c>
      <c r="E393" t="n">
        <v>37096</v>
      </c>
      <c r="F393" s="6" t="n">
        <v>2</v>
      </c>
      <c r="G393" t="n">
        <v>1</v>
      </c>
      <c r="H393" s="6">
        <f>ROUND(G393*F393,2)</f>
        <v/>
      </c>
      <c r="I393">
        <f>IF(ROUND(H393-D393,2)=0,1,0)</f>
        <v/>
      </c>
      <c r="J393">
        <f>IF(F393="","none",IF(G393=1,"carte","multiple"))</f>
        <v/>
      </c>
    </row>
    <row r="394">
      <c r="A394" t="inlineStr">
        <is>
          <t>2022-04-23</t>
        </is>
      </c>
      <c r="B394" t="inlineStr">
        <is>
          <t>20:11</t>
        </is>
      </c>
      <c r="C394" t="n">
        <v>2946</v>
      </c>
      <c r="D394" s="6" t="n">
        <v>3.8</v>
      </c>
      <c r="E394" t="n">
        <v>37097</v>
      </c>
      <c r="F394" s="6" t="n">
        <v>3.8</v>
      </c>
      <c r="G394" t="n">
        <v>1</v>
      </c>
      <c r="H394" s="6">
        <f>ROUND(G394*F394,2)</f>
        <v/>
      </c>
      <c r="I394">
        <f>IF(ROUND(H394-D394,2)=0,1,0)</f>
        <v/>
      </c>
      <c r="J394">
        <f>IF(F394="","none",IF(G394=1,"carte","multiple"))</f>
        <v/>
      </c>
    </row>
    <row r="395">
      <c r="A395" t="inlineStr">
        <is>
          <t>2022-04-23</t>
        </is>
      </c>
      <c r="B395" t="inlineStr">
        <is>
          <t>20:11</t>
        </is>
      </c>
      <c r="C395" t="n">
        <v>2946</v>
      </c>
      <c r="D395" s="6" t="n">
        <v>5.2</v>
      </c>
      <c r="E395" t="n">
        <v>37098</v>
      </c>
      <c r="F395" s="6" t="n">
        <v>5.2</v>
      </c>
      <c r="G395" t="n">
        <v>1</v>
      </c>
      <c r="H395" s="6">
        <f>ROUND(G395*F395,2)</f>
        <v/>
      </c>
      <c r="I395">
        <f>IF(ROUND(H395-D395,2)=0,1,0)</f>
        <v/>
      </c>
      <c r="J395">
        <f>IF(F395="","none",IF(G395=1,"carte","multiple"))</f>
        <v/>
      </c>
    </row>
    <row r="396">
      <c r="A396" t="inlineStr">
        <is>
          <t>2022-04-23</t>
        </is>
      </c>
      <c r="B396" t="inlineStr">
        <is>
          <t>20:11</t>
        </is>
      </c>
      <c r="C396" t="n">
        <v>2946</v>
      </c>
      <c r="D396" s="6" t="n">
        <v>5.2</v>
      </c>
      <c r="E396" t="n">
        <v>37099</v>
      </c>
      <c r="F396" s="6" t="n">
        <v>5.2</v>
      </c>
      <c r="G396" t="n">
        <v>1</v>
      </c>
      <c r="H396" s="6">
        <f>ROUND(G396*F396,2)</f>
        <v/>
      </c>
      <c r="I396">
        <f>IF(ROUND(H396-D396,2)=0,1,0)</f>
        <v/>
      </c>
      <c r="J396">
        <f>IF(F396="","none",IF(G396=1,"carte","multiple"))</f>
        <v/>
      </c>
    </row>
    <row r="397">
      <c r="A397" t="inlineStr">
        <is>
          <t>2022-04-23</t>
        </is>
      </c>
      <c r="B397" t="inlineStr">
        <is>
          <t>20:11</t>
        </is>
      </c>
      <c r="C397" t="n">
        <v>2946</v>
      </c>
      <c r="D397" s="6" t="n">
        <v>4.9</v>
      </c>
      <c r="E397" t="n">
        <v>37100</v>
      </c>
      <c r="F397" s="6" t="n">
        <v>4.9</v>
      </c>
      <c r="G397" t="n">
        <v>1</v>
      </c>
      <c r="H397" s="6">
        <f>ROUND(G397*F397,2)</f>
        <v/>
      </c>
      <c r="I397">
        <f>IF(ROUND(H397-D397,2)=0,1,0)</f>
        <v/>
      </c>
      <c r="J397">
        <f>IF(F397="","none",IF(G397=1,"carte","multiple"))</f>
        <v/>
      </c>
    </row>
    <row r="398">
      <c r="A398" t="inlineStr">
        <is>
          <t>2022-04-23</t>
        </is>
      </c>
      <c r="B398" t="inlineStr">
        <is>
          <t>20:11</t>
        </is>
      </c>
      <c r="C398" t="n">
        <v>2946</v>
      </c>
      <c r="D398" s="6" t="n">
        <v>3.9</v>
      </c>
      <c r="E398" t="n">
        <v>37101</v>
      </c>
      <c r="F398" s="6" t="n">
        <v>3.9</v>
      </c>
      <c r="G398" t="n">
        <v>1</v>
      </c>
      <c r="H398" s="6">
        <f>ROUND(G398*F398,2)</f>
        <v/>
      </c>
      <c r="I398">
        <f>IF(ROUND(H398-D398,2)=0,1,0)</f>
        <v/>
      </c>
      <c r="J398">
        <f>IF(F398="","none",IF(G398=1,"carte","multiple"))</f>
        <v/>
      </c>
    </row>
    <row r="399">
      <c r="A399" t="inlineStr">
        <is>
          <t>2022-04-23</t>
        </is>
      </c>
      <c r="B399" t="inlineStr">
        <is>
          <t>20:11</t>
        </is>
      </c>
      <c r="C399" t="n">
        <v>2946</v>
      </c>
      <c r="D399" s="6" t="n">
        <v>3.9</v>
      </c>
      <c r="E399" t="n">
        <v>37102</v>
      </c>
      <c r="F399" s="6" t="n">
        <v>3.9</v>
      </c>
      <c r="G399" t="n">
        <v>1</v>
      </c>
      <c r="H399" s="6">
        <f>ROUND(G399*F399,2)</f>
        <v/>
      </c>
      <c r="I399">
        <f>IF(ROUND(H399-D399,2)=0,1,0)</f>
        <v/>
      </c>
      <c r="J399">
        <f>IF(F399="","none",IF(G399=1,"carte","multiple"))</f>
        <v/>
      </c>
    </row>
    <row r="400">
      <c r="A400" t="inlineStr">
        <is>
          <t>2022-04-23</t>
        </is>
      </c>
      <c r="B400" t="inlineStr">
        <is>
          <t>20:11</t>
        </is>
      </c>
      <c r="C400" t="n">
        <v>2946</v>
      </c>
      <c r="D400" s="6" t="n">
        <v>9.800000000000001</v>
      </c>
      <c r="E400" t="n">
        <v>37103</v>
      </c>
      <c r="F400" s="6" t="n">
        <v>9.800000000000001</v>
      </c>
      <c r="G400" t="n">
        <v>1</v>
      </c>
      <c r="H400" s="6">
        <f>ROUND(G400*F400,2)</f>
        <v/>
      </c>
      <c r="I400">
        <f>IF(ROUND(H400-D400,2)=0,1,0)</f>
        <v/>
      </c>
      <c r="J400">
        <f>IF(F400="","none",IF(G400=1,"carte","multiple"))</f>
        <v/>
      </c>
    </row>
    <row r="401">
      <c r="A401" t="inlineStr">
        <is>
          <t>2022-04-23</t>
        </is>
      </c>
      <c r="B401" t="inlineStr">
        <is>
          <t>20:11</t>
        </is>
      </c>
      <c r="C401" t="n">
        <v>2946</v>
      </c>
      <c r="D401" s="6" t="n">
        <v>39.5</v>
      </c>
      <c r="E401" t="n">
        <v>37104</v>
      </c>
      <c r="F401" s="6" t="n">
        <v>39.5</v>
      </c>
      <c r="G401" t="n">
        <v>1</v>
      </c>
      <c r="H401" s="6">
        <f>ROUND(G401*F401,2)</f>
        <v/>
      </c>
      <c r="I401">
        <f>IF(ROUND(H401-D401,2)=0,1,0)</f>
        <v/>
      </c>
      <c r="J401">
        <f>IF(F401="","none",IF(G401=1,"carte","multiple"))</f>
        <v/>
      </c>
    </row>
    <row r="402">
      <c r="A402" t="inlineStr">
        <is>
          <t>2022-04-23</t>
        </is>
      </c>
      <c r="B402" t="inlineStr">
        <is>
          <t>20:11</t>
        </is>
      </c>
      <c r="C402" t="n">
        <v>2946</v>
      </c>
      <c r="D402" s="6" t="n">
        <v>55.6</v>
      </c>
      <c r="E402" t="n">
        <v>37105</v>
      </c>
      <c r="F402" s="6" t="n">
        <v>0.4</v>
      </c>
      <c r="G402" t="n">
        <v>139</v>
      </c>
      <c r="H402" s="6">
        <f>ROUND(G402*F402,2)</f>
        <v/>
      </c>
      <c r="I402">
        <f>IF(ROUND(H402-D402,2)=0,1,0)</f>
        <v/>
      </c>
      <c r="J402">
        <f>IF(F402="","none",IF(G402=1,"carte","multiple"))</f>
        <v/>
      </c>
    </row>
    <row r="403">
      <c r="A403" t="inlineStr">
        <is>
          <t>2022-04-23</t>
        </is>
      </c>
      <c r="B403" t="inlineStr">
        <is>
          <t>20:11</t>
        </is>
      </c>
      <c r="C403" t="n">
        <v>2946</v>
      </c>
      <c r="D403" s="6" t="n">
        <v>57.2</v>
      </c>
      <c r="E403" t="n">
        <v>37106</v>
      </c>
      <c r="F403" s="6" t="n">
        <v>0.4</v>
      </c>
      <c r="G403" t="n">
        <v>143</v>
      </c>
      <c r="H403" s="6">
        <f>ROUND(G403*F403,2)</f>
        <v/>
      </c>
      <c r="I403">
        <f>IF(ROUND(H403-D403,2)=0,1,0)</f>
        <v/>
      </c>
      <c r="J403">
        <f>IF(F403="","none",IF(G403=1,"carte","multiple"))</f>
        <v/>
      </c>
    </row>
    <row r="404">
      <c r="A404" t="inlineStr">
        <is>
          <t>2022-04-23</t>
        </is>
      </c>
      <c r="B404" t="inlineStr">
        <is>
          <t>20:11</t>
        </is>
      </c>
      <c r="C404" t="n">
        <v>2946</v>
      </c>
      <c r="D404" s="6" t="n">
        <v>6.9</v>
      </c>
      <c r="E404" t="n">
        <v>37107</v>
      </c>
      <c r="F404" s="6" t="n">
        <v>6.9</v>
      </c>
      <c r="G404" t="n">
        <v>1</v>
      </c>
      <c r="H404" s="6">
        <f>ROUND(G404*F404,2)</f>
        <v/>
      </c>
      <c r="I404">
        <f>IF(ROUND(H404-D404,2)=0,1,0)</f>
        <v/>
      </c>
      <c r="J404">
        <f>IF(F404="","none",IF(G404=1,"carte","multiple"))</f>
        <v/>
      </c>
    </row>
    <row r="405">
      <c r="A405" t="inlineStr">
        <is>
          <t>2022-04-23</t>
        </is>
      </c>
      <c r="B405" t="inlineStr">
        <is>
          <t>20:11</t>
        </is>
      </c>
      <c r="C405" t="n">
        <v>2946</v>
      </c>
      <c r="D405" s="6" t="n">
        <v>9.9</v>
      </c>
      <c r="E405" t="n">
        <v>37108</v>
      </c>
      <c r="F405" s="6" t="n">
        <v>9.9</v>
      </c>
      <c r="G405" t="n">
        <v>1</v>
      </c>
      <c r="H405" s="6">
        <f>ROUND(G405*F405,2)</f>
        <v/>
      </c>
      <c r="I405">
        <f>IF(ROUND(H405-D405,2)=0,1,0)</f>
        <v/>
      </c>
      <c r="J405">
        <f>IF(F405="","none",IF(G405=1,"carte","multiple"))</f>
        <v/>
      </c>
    </row>
    <row r="406">
      <c r="A406" t="inlineStr">
        <is>
          <t>2022-04-23</t>
        </is>
      </c>
      <c r="B406" t="inlineStr">
        <is>
          <t>20:30</t>
        </is>
      </c>
      <c r="C406" t="n">
        <v>2946</v>
      </c>
      <c r="D406" s="6" t="n">
        <v>7.8</v>
      </c>
      <c r="E406" t="n">
        <v>37110</v>
      </c>
      <c r="F406" s="6" t="n">
        <v>7.8</v>
      </c>
      <c r="G406" t="n">
        <v>1</v>
      </c>
      <c r="H406" s="6">
        <f>ROUND(G406*F406,2)</f>
        <v/>
      </c>
      <c r="I406">
        <f>IF(ROUND(H406-D406,2)=0,1,0)</f>
        <v/>
      </c>
      <c r="J406">
        <f>IF(F406="","none",IF(G406=1,"carte","multiple"))</f>
        <v/>
      </c>
    </row>
    <row r="407">
      <c r="A407" t="inlineStr">
        <is>
          <t>2022-04-23</t>
        </is>
      </c>
      <c r="B407" t="inlineStr">
        <is>
          <t>20:30</t>
        </is>
      </c>
      <c r="C407" t="n">
        <v>2946</v>
      </c>
      <c r="D407" s="6" t="n">
        <v>2</v>
      </c>
      <c r="E407" t="n">
        <v>37111</v>
      </c>
      <c r="F407" s="6" t="n">
        <v>2</v>
      </c>
      <c r="G407" t="n">
        <v>1</v>
      </c>
      <c r="H407" s="6">
        <f>ROUND(G407*F407,2)</f>
        <v/>
      </c>
      <c r="I407">
        <f>IF(ROUND(H407-D407,2)=0,1,0)</f>
        <v/>
      </c>
      <c r="J407">
        <f>IF(F407="","none",IF(G407=1,"carte","multiple"))</f>
        <v/>
      </c>
    </row>
    <row r="408">
      <c r="A408" t="inlineStr">
        <is>
          <t>2022-04-23</t>
        </is>
      </c>
      <c r="B408" t="inlineStr">
        <is>
          <t>20:30</t>
        </is>
      </c>
      <c r="C408" t="n">
        <v>2946</v>
      </c>
      <c r="D408" s="6" t="n">
        <v>7</v>
      </c>
      <c r="E408" t="n">
        <v>37112</v>
      </c>
      <c r="F408" s="6" t="n">
        <v>7</v>
      </c>
      <c r="G408" t="n">
        <v>1</v>
      </c>
      <c r="H408" s="6">
        <f>ROUND(G408*F408,2)</f>
        <v/>
      </c>
      <c r="I408">
        <f>IF(ROUND(H408-D408,2)=0,1,0)</f>
        <v/>
      </c>
      <c r="J408">
        <f>IF(F408="","none",IF(G408=1,"carte","multiple"))</f>
        <v/>
      </c>
    </row>
    <row r="409">
      <c r="A409" t="inlineStr">
        <is>
          <t>2022-04-23</t>
        </is>
      </c>
      <c r="B409" t="inlineStr">
        <is>
          <t>20:30</t>
        </is>
      </c>
      <c r="C409" t="n">
        <v>2946</v>
      </c>
      <c r="D409" s="6" t="n">
        <v>20.9</v>
      </c>
      <c r="E409" t="n">
        <v>37113</v>
      </c>
      <c r="F409" s="6" t="n">
        <v>20.9</v>
      </c>
      <c r="G409" t="n">
        <v>1</v>
      </c>
      <c r="H409" s="6">
        <f>ROUND(G409*F409,2)</f>
        <v/>
      </c>
      <c r="I409">
        <f>IF(ROUND(H409-D409,2)=0,1,0)</f>
        <v/>
      </c>
      <c r="J409">
        <f>IF(F409="","none",IF(G409=1,"carte","multiple"))</f>
        <v/>
      </c>
    </row>
    <row r="410">
      <c r="A410" t="inlineStr">
        <is>
          <t>2022-04-23</t>
        </is>
      </c>
      <c r="B410" t="inlineStr">
        <is>
          <t>20:30</t>
        </is>
      </c>
      <c r="C410" t="n">
        <v>2946</v>
      </c>
      <c r="D410" s="6" t="n">
        <v>38</v>
      </c>
      <c r="E410" t="n">
        <v>37114</v>
      </c>
      <c r="F410" s="6" t="n">
        <v>0.4</v>
      </c>
      <c r="G410" t="n">
        <v>95</v>
      </c>
      <c r="H410" s="6">
        <f>ROUND(G410*F410,2)</f>
        <v/>
      </c>
      <c r="I410">
        <f>IF(ROUND(H410-D410,2)=0,1,0)</f>
        <v/>
      </c>
      <c r="J410">
        <f>IF(F410="","none",IF(G410=1,"carte","multiple"))</f>
        <v/>
      </c>
    </row>
    <row r="411">
      <c r="A411" t="inlineStr">
        <is>
          <t>2022-04-23</t>
        </is>
      </c>
      <c r="B411" t="inlineStr">
        <is>
          <t>20:30</t>
        </is>
      </c>
      <c r="C411" t="n">
        <v>2946</v>
      </c>
      <c r="D411" s="6" t="n">
        <v>18.6</v>
      </c>
      <c r="E411" t="n">
        <v>37115</v>
      </c>
      <c r="F411" s="6" t="n">
        <v>18.6</v>
      </c>
      <c r="G411" t="n">
        <v>1</v>
      </c>
      <c r="H411" s="6">
        <f>ROUND(G411*F411,2)</f>
        <v/>
      </c>
      <c r="I411">
        <f>IF(ROUND(H411-D411,2)=0,1,0)</f>
        <v/>
      </c>
      <c r="J411">
        <f>IF(F411="","none",IF(G411=1,"carte","multiple"))</f>
        <v/>
      </c>
    </row>
    <row r="412">
      <c r="A412" t="inlineStr">
        <is>
          <t>2022-04-23</t>
        </is>
      </c>
      <c r="B412" t="inlineStr">
        <is>
          <t>20:30</t>
        </is>
      </c>
      <c r="C412" t="n">
        <v>2946</v>
      </c>
      <c r="D412" s="6" t="n">
        <v>7.8</v>
      </c>
      <c r="E412" t="n">
        <v>37116</v>
      </c>
      <c r="F412" s="6" t="n">
        <v>7.8</v>
      </c>
      <c r="G412" t="n">
        <v>1</v>
      </c>
      <c r="H412" s="6">
        <f>ROUND(G412*F412,2)</f>
        <v/>
      </c>
      <c r="I412">
        <f>IF(ROUND(H412-D412,2)=0,1,0)</f>
        <v/>
      </c>
      <c r="J412">
        <f>IF(F412="","none",IF(G412=1,"carte","multiple"))</f>
        <v/>
      </c>
    </row>
    <row r="413">
      <c r="A413" t="inlineStr">
        <is>
          <t>2022-04-23</t>
        </is>
      </c>
      <c r="B413" t="inlineStr">
        <is>
          <t>20:30</t>
        </is>
      </c>
      <c r="C413" t="n">
        <v>2946</v>
      </c>
      <c r="D413" s="6" t="n">
        <v>3.9</v>
      </c>
      <c r="E413" t="n">
        <v>37117</v>
      </c>
      <c r="F413" s="6" t="n">
        <v>3.9</v>
      </c>
      <c r="G413" t="n">
        <v>1</v>
      </c>
      <c r="H413" s="6">
        <f>ROUND(G413*F413,2)</f>
        <v/>
      </c>
      <c r="I413">
        <f>IF(ROUND(H413-D413,2)=0,1,0)</f>
        <v/>
      </c>
      <c r="J413">
        <f>IF(F413="","none",IF(G413=1,"carte","multiple"))</f>
        <v/>
      </c>
    </row>
    <row r="414">
      <c r="A414" t="inlineStr">
        <is>
          <t>2022-04-23</t>
        </is>
      </c>
      <c r="B414" t="inlineStr">
        <is>
          <t>20:30</t>
        </is>
      </c>
      <c r="C414" t="n">
        <v>2946</v>
      </c>
      <c r="D414" s="6" t="n">
        <v>7.8</v>
      </c>
      <c r="E414" t="n">
        <v>37118</v>
      </c>
      <c r="F414" s="6" t="n">
        <v>7.8</v>
      </c>
      <c r="G414" t="n">
        <v>1</v>
      </c>
      <c r="H414" s="6">
        <f>ROUND(G414*F414,2)</f>
        <v/>
      </c>
      <c r="I414">
        <f>IF(ROUND(H414-D414,2)=0,1,0)</f>
        <v/>
      </c>
      <c r="J414">
        <f>IF(F414="","none",IF(G414=1,"carte","multiple"))</f>
        <v/>
      </c>
    </row>
    <row r="415">
      <c r="A415" t="inlineStr">
        <is>
          <t>2022-04-24</t>
        </is>
      </c>
      <c r="B415" t="inlineStr">
        <is>
          <t>11:58</t>
        </is>
      </c>
      <c r="C415" t="n">
        <v>2947</v>
      </c>
      <c r="D415" s="6" t="n">
        <v>6.6</v>
      </c>
      <c r="E415" t="n">
        <v>37121</v>
      </c>
      <c r="F415" s="6" t="n">
        <v>6.6</v>
      </c>
      <c r="G415" t="n">
        <v>1</v>
      </c>
      <c r="H415" s="6">
        <f>ROUND(G415*F415,2)</f>
        <v/>
      </c>
      <c r="I415">
        <f>IF(ROUND(H415-D415,2)=0,1,0)</f>
        <v/>
      </c>
      <c r="J415">
        <f>IF(F415="","none",IF(G415=1,"carte","multiple"))</f>
        <v/>
      </c>
    </row>
    <row r="416">
      <c r="A416" t="inlineStr">
        <is>
          <t>2022-04-24</t>
        </is>
      </c>
      <c r="B416" t="inlineStr">
        <is>
          <t>11:58</t>
        </is>
      </c>
      <c r="C416" t="n">
        <v>2947</v>
      </c>
      <c r="D416" s="6" t="n">
        <v>19</v>
      </c>
      <c r="E416" t="n">
        <v>37122</v>
      </c>
      <c r="F416" s="6" t="n">
        <v>19</v>
      </c>
      <c r="G416" t="n">
        <v>1</v>
      </c>
      <c r="H416" s="6">
        <f>ROUND(G416*F416,2)</f>
        <v/>
      </c>
      <c r="I416">
        <f>IF(ROUND(H416-D416,2)=0,1,0)</f>
        <v/>
      </c>
      <c r="J416">
        <f>IF(F416="","none",IF(G416=1,"carte","multiple"))</f>
        <v/>
      </c>
    </row>
    <row r="417">
      <c r="A417" t="inlineStr">
        <is>
          <t>2022-04-24</t>
        </is>
      </c>
      <c r="B417" t="inlineStr">
        <is>
          <t>11:58</t>
        </is>
      </c>
      <c r="C417" t="n">
        <v>2947</v>
      </c>
      <c r="D417" s="6" t="n">
        <v>17.6</v>
      </c>
      <c r="E417" t="n">
        <v>37123</v>
      </c>
      <c r="F417" s="6" t="n">
        <v>17.6</v>
      </c>
      <c r="G417" t="n">
        <v>1</v>
      </c>
      <c r="H417" s="6">
        <f>ROUND(G417*F417,2)</f>
        <v/>
      </c>
      <c r="I417">
        <f>IF(ROUND(H417-D417,2)=0,1,0)</f>
        <v/>
      </c>
      <c r="J417">
        <f>IF(F417="","none",IF(G417=1,"carte","multiple"))</f>
        <v/>
      </c>
    </row>
    <row r="418">
      <c r="A418" t="inlineStr">
        <is>
          <t>2022-04-24</t>
        </is>
      </c>
      <c r="B418" t="inlineStr">
        <is>
          <t>11:58</t>
        </is>
      </c>
      <c r="C418" t="n">
        <v>2947</v>
      </c>
      <c r="D418" s="6" t="n">
        <v>29.9</v>
      </c>
      <c r="E418" t="n">
        <v>37124</v>
      </c>
      <c r="F418" s="6" t="n">
        <v>29.9</v>
      </c>
      <c r="G418" t="n">
        <v>1</v>
      </c>
      <c r="H418" s="6">
        <f>ROUND(G418*F418,2)</f>
        <v/>
      </c>
      <c r="I418">
        <f>IF(ROUND(H418-D418,2)=0,1,0)</f>
        <v/>
      </c>
      <c r="J418">
        <f>IF(F418="","none",IF(G418=1,"carte","multiple"))</f>
        <v/>
      </c>
    </row>
    <row r="419">
      <c r="A419" t="inlineStr">
        <is>
          <t>2022-04-24</t>
        </is>
      </c>
      <c r="B419" t="inlineStr">
        <is>
          <t>12:17</t>
        </is>
      </c>
      <c r="C419" t="n">
        <v>2947</v>
      </c>
      <c r="D419" s="6" t="n">
        <v>5.8</v>
      </c>
      <c r="E419" t="n">
        <v>37125</v>
      </c>
      <c r="F419" s="6" t="n">
        <v>5.8</v>
      </c>
      <c r="G419" t="n">
        <v>1</v>
      </c>
      <c r="H419" s="6">
        <f>ROUND(G419*F419,2)</f>
        <v/>
      </c>
      <c r="I419">
        <f>IF(ROUND(H419-D419,2)=0,1,0)</f>
        <v/>
      </c>
      <c r="J419">
        <f>IF(F419="","none",IF(G419=1,"carte","multiple"))</f>
        <v/>
      </c>
    </row>
    <row r="420">
      <c r="A420" t="inlineStr">
        <is>
          <t>2022-04-24</t>
        </is>
      </c>
      <c r="B420" t="inlineStr">
        <is>
          <t>12:17</t>
        </is>
      </c>
      <c r="C420" t="n">
        <v>2947</v>
      </c>
      <c r="D420" s="6" t="n">
        <v>8.699999999999999</v>
      </c>
      <c r="E420" t="n">
        <v>37126</v>
      </c>
      <c r="F420" s="6" t="n">
        <v>8.699999999999999</v>
      </c>
      <c r="G420" t="n">
        <v>1</v>
      </c>
      <c r="H420" s="6">
        <f>ROUND(G420*F420,2)</f>
        <v/>
      </c>
      <c r="I420">
        <f>IF(ROUND(H420-D420,2)=0,1,0)</f>
        <v/>
      </c>
      <c r="J420">
        <f>IF(F420="","none",IF(G420=1,"carte","multiple"))</f>
        <v/>
      </c>
    </row>
    <row r="421">
      <c r="A421" t="inlineStr">
        <is>
          <t>2022-04-24</t>
        </is>
      </c>
      <c r="B421" t="inlineStr">
        <is>
          <t>12:17</t>
        </is>
      </c>
      <c r="C421" t="n">
        <v>2947</v>
      </c>
      <c r="D421" s="6" t="n">
        <v>4</v>
      </c>
      <c r="E421" t="n">
        <v>37127</v>
      </c>
      <c r="F421" s="6" t="n">
        <v>4</v>
      </c>
      <c r="G421" t="n">
        <v>1</v>
      </c>
      <c r="H421" s="6">
        <f>ROUND(G421*F421,2)</f>
        <v/>
      </c>
      <c r="I421">
        <f>IF(ROUND(H421-D421,2)=0,1,0)</f>
        <v/>
      </c>
      <c r="J421">
        <f>IF(F421="","none",IF(G421=1,"carte","multiple"))</f>
        <v/>
      </c>
    </row>
    <row r="422">
      <c r="A422" t="inlineStr">
        <is>
          <t>2022-04-24</t>
        </is>
      </c>
      <c r="B422" t="inlineStr">
        <is>
          <t>12:17</t>
        </is>
      </c>
      <c r="C422" t="n">
        <v>2947</v>
      </c>
      <c r="D422" s="6" t="n">
        <v>19</v>
      </c>
      <c r="E422" t="n">
        <v>37128</v>
      </c>
      <c r="F422" s="6" t="n">
        <v>19</v>
      </c>
      <c r="G422" t="n">
        <v>1</v>
      </c>
      <c r="H422" s="6">
        <f>ROUND(G422*F422,2)</f>
        <v/>
      </c>
      <c r="I422">
        <f>IF(ROUND(H422-D422,2)=0,1,0)</f>
        <v/>
      </c>
      <c r="J422">
        <f>IF(F422="","none",IF(G422=1,"carte","multiple"))</f>
        <v/>
      </c>
    </row>
    <row r="423">
      <c r="A423" t="inlineStr">
        <is>
          <t>2022-04-24</t>
        </is>
      </c>
      <c r="B423" t="inlineStr">
        <is>
          <t>12:17</t>
        </is>
      </c>
      <c r="C423" t="n">
        <v>2947</v>
      </c>
      <c r="D423" s="6" t="n">
        <v>17.6</v>
      </c>
      <c r="E423" t="n">
        <v>37129</v>
      </c>
      <c r="F423" s="6" t="n">
        <v>17.6</v>
      </c>
      <c r="G423" t="n">
        <v>1</v>
      </c>
      <c r="H423" s="6">
        <f>ROUND(G423*F423,2)</f>
        <v/>
      </c>
      <c r="I423">
        <f>IF(ROUND(H423-D423,2)=0,1,0)</f>
        <v/>
      </c>
      <c r="J423">
        <f>IF(F423="","none",IF(G423=1,"carte","multiple"))</f>
        <v/>
      </c>
    </row>
    <row r="424">
      <c r="A424" t="inlineStr">
        <is>
          <t>2022-04-24</t>
        </is>
      </c>
      <c r="B424" t="inlineStr">
        <is>
          <t>12:17</t>
        </is>
      </c>
      <c r="C424" t="n">
        <v>2947</v>
      </c>
      <c r="D424" s="6" t="n">
        <v>4.9</v>
      </c>
      <c r="E424" t="n">
        <v>37130</v>
      </c>
      <c r="F424" s="6" t="n">
        <v>4.9</v>
      </c>
      <c r="G424" t="n">
        <v>1</v>
      </c>
      <c r="H424" s="6">
        <f>ROUND(G424*F424,2)</f>
        <v/>
      </c>
      <c r="I424">
        <f>IF(ROUND(H424-D424,2)=0,1,0)</f>
        <v/>
      </c>
      <c r="J424">
        <f>IF(F424="","none",IF(G424=1,"carte","multiple"))</f>
        <v/>
      </c>
    </row>
    <row r="425">
      <c r="A425" t="inlineStr">
        <is>
          <t>2022-04-24</t>
        </is>
      </c>
      <c r="B425" t="inlineStr">
        <is>
          <t>12:17</t>
        </is>
      </c>
      <c r="C425" t="n">
        <v>2947</v>
      </c>
      <c r="D425" s="6" t="n">
        <v>5.2</v>
      </c>
      <c r="E425" t="n">
        <v>37131</v>
      </c>
      <c r="F425" s="6" t="n">
        <v>5.2</v>
      </c>
      <c r="G425" t="n">
        <v>1</v>
      </c>
      <c r="H425" s="6">
        <f>ROUND(G425*F425,2)</f>
        <v/>
      </c>
      <c r="I425">
        <f>IF(ROUND(H425-D425,2)=0,1,0)</f>
        <v/>
      </c>
      <c r="J425">
        <f>IF(F425="","none",IF(G425=1,"carte","multiple"))</f>
        <v/>
      </c>
    </row>
    <row r="426">
      <c r="A426" t="inlineStr">
        <is>
          <t>2022-04-24</t>
        </is>
      </c>
      <c r="B426" t="inlineStr">
        <is>
          <t>12:24</t>
        </is>
      </c>
      <c r="C426" t="n">
        <v>2947</v>
      </c>
      <c r="D426" s="6" t="n">
        <v>31.8</v>
      </c>
      <c r="E426" t="n">
        <v>37132</v>
      </c>
      <c r="F426" s="6" t="n">
        <v>31.8</v>
      </c>
      <c r="G426" t="n">
        <v>1</v>
      </c>
      <c r="H426" s="6">
        <f>ROUND(G426*F426,2)</f>
        <v/>
      </c>
      <c r="I426">
        <f>IF(ROUND(H426-D426,2)=0,1,0)</f>
        <v/>
      </c>
      <c r="J426">
        <f>IF(F426="","none",IF(G426=1,"carte","multiple"))</f>
        <v/>
      </c>
    </row>
    <row r="427">
      <c r="A427" t="inlineStr">
        <is>
          <t>2022-04-24</t>
        </is>
      </c>
      <c r="B427" t="inlineStr">
        <is>
          <t>12:24</t>
        </is>
      </c>
      <c r="C427" t="n">
        <v>2947</v>
      </c>
      <c r="D427" s="6" t="n">
        <v>6</v>
      </c>
      <c r="E427" t="n">
        <v>37133</v>
      </c>
      <c r="F427" s="6" t="n">
        <v>6</v>
      </c>
      <c r="G427" t="n">
        <v>1</v>
      </c>
      <c r="H427" s="6">
        <f>ROUND(G427*F427,2)</f>
        <v/>
      </c>
      <c r="I427">
        <f>IF(ROUND(H427-D427,2)=0,1,0)</f>
        <v/>
      </c>
      <c r="J427">
        <f>IF(F427="","none",IF(G427=1,"carte","multiple"))</f>
        <v/>
      </c>
    </row>
    <row r="428">
      <c r="A428" t="inlineStr">
        <is>
          <t>2022-04-27</t>
        </is>
      </c>
      <c r="B428" t="inlineStr">
        <is>
          <t>11:35</t>
        </is>
      </c>
      <c r="C428" t="n">
        <v>2948</v>
      </c>
      <c r="D428" s="6" t="n">
        <v>11</v>
      </c>
      <c r="E428" t="n">
        <v>37136</v>
      </c>
      <c r="F428" s="6" t="n">
        <v>11</v>
      </c>
      <c r="G428" t="n">
        <v>1</v>
      </c>
      <c r="H428" s="6">
        <f>ROUND(G428*F428,2)</f>
        <v/>
      </c>
      <c r="I428">
        <f>IF(ROUND(H428-D428,2)=0,1,0)</f>
        <v/>
      </c>
      <c r="J428">
        <f>IF(F428="","none",IF(G428=1,"carte","multiple"))</f>
        <v/>
      </c>
    </row>
    <row r="429">
      <c r="A429" t="inlineStr">
        <is>
          <t>2022-04-27</t>
        </is>
      </c>
      <c r="B429" t="inlineStr">
        <is>
          <t>11:43</t>
        </is>
      </c>
      <c r="C429" t="n">
        <v>2948</v>
      </c>
      <c r="D429" s="6" t="n">
        <v>17.6</v>
      </c>
      <c r="E429" t="n">
        <v>37137</v>
      </c>
      <c r="F429" s="6" t="n">
        <v>17.6</v>
      </c>
      <c r="G429" t="n">
        <v>1</v>
      </c>
      <c r="H429" s="6">
        <f>ROUND(G429*F429,2)</f>
        <v/>
      </c>
      <c r="I429">
        <f>IF(ROUND(H429-D429,2)=0,1,0)</f>
        <v/>
      </c>
      <c r="J429">
        <f>IF(F429="","none",IF(G429=1,"carte","multiple"))</f>
        <v/>
      </c>
    </row>
    <row r="430">
      <c r="A430" t="inlineStr">
        <is>
          <t>2022-04-27</t>
        </is>
      </c>
      <c r="B430" t="inlineStr">
        <is>
          <t>11:58</t>
        </is>
      </c>
      <c r="C430" t="n">
        <v>2948</v>
      </c>
      <c r="D430" s="6" t="n">
        <v>5.9</v>
      </c>
      <c r="E430" t="n">
        <v>37138</v>
      </c>
      <c r="F430" s="6" t="n">
        <v>5.9</v>
      </c>
      <c r="G430" t="n">
        <v>1</v>
      </c>
      <c r="H430" s="6">
        <f>ROUND(G430*F430,2)</f>
        <v/>
      </c>
      <c r="I430">
        <f>IF(ROUND(H430-D430,2)=0,1,0)</f>
        <v/>
      </c>
      <c r="J430">
        <f>IF(F430="","none",IF(G430=1,"carte","multiple"))</f>
        <v/>
      </c>
    </row>
    <row r="431">
      <c r="A431" t="inlineStr">
        <is>
          <t>2022-04-27</t>
        </is>
      </c>
      <c r="B431" t="inlineStr">
        <is>
          <t>12:02</t>
        </is>
      </c>
      <c r="C431" t="n">
        <v>2948</v>
      </c>
      <c r="D431" s="6" t="n">
        <v>6.9</v>
      </c>
      <c r="E431" t="n">
        <v>37139</v>
      </c>
      <c r="F431" s="6" t="n">
        <v>6.9</v>
      </c>
      <c r="G431" t="n">
        <v>1</v>
      </c>
      <c r="H431" s="6">
        <f>ROUND(G431*F431,2)</f>
        <v/>
      </c>
      <c r="I431">
        <f>IF(ROUND(H431-D431,2)=0,1,0)</f>
        <v/>
      </c>
      <c r="J431">
        <f>IF(F431="","none",IF(G431=1,"carte","multiple"))</f>
        <v/>
      </c>
    </row>
    <row r="432">
      <c r="A432" t="inlineStr">
        <is>
          <t>2022-04-27</t>
        </is>
      </c>
      <c r="B432" t="inlineStr">
        <is>
          <t>12:02</t>
        </is>
      </c>
      <c r="C432" t="n">
        <v>2948</v>
      </c>
      <c r="D432" s="6" t="n">
        <v>2.9</v>
      </c>
      <c r="E432" t="n">
        <v>37140</v>
      </c>
      <c r="F432" s="6" t="n">
        <v>2.9</v>
      </c>
      <c r="G432" t="n">
        <v>1</v>
      </c>
      <c r="H432" s="6">
        <f>ROUND(G432*F432,2)</f>
        <v/>
      </c>
      <c r="I432">
        <f>IF(ROUND(H432-D432,2)=0,1,0)</f>
        <v/>
      </c>
      <c r="J432">
        <f>IF(F432="","none",IF(G432=1,"carte","multiple"))</f>
        <v/>
      </c>
    </row>
    <row r="433">
      <c r="A433" t="inlineStr">
        <is>
          <t>2022-04-27</t>
        </is>
      </c>
      <c r="B433" t="inlineStr">
        <is>
          <t>12:02</t>
        </is>
      </c>
      <c r="C433" t="n">
        <v>2948</v>
      </c>
      <c r="D433" s="6" t="n">
        <v>3.9</v>
      </c>
      <c r="E433" t="n">
        <v>37141</v>
      </c>
      <c r="F433" s="6" t="n">
        <v>3.9</v>
      </c>
      <c r="G433" t="n">
        <v>1</v>
      </c>
      <c r="H433" s="6">
        <f>ROUND(G433*F433,2)</f>
        <v/>
      </c>
      <c r="I433">
        <f>IF(ROUND(H433-D433,2)=0,1,0)</f>
        <v/>
      </c>
      <c r="J433">
        <f>IF(F433="","none",IF(G433=1,"carte","multiple"))</f>
        <v/>
      </c>
    </row>
    <row r="434">
      <c r="A434" t="inlineStr">
        <is>
          <t>2022-04-27</t>
        </is>
      </c>
      <c r="B434" t="inlineStr">
        <is>
          <t>12:02</t>
        </is>
      </c>
      <c r="C434" t="n">
        <v>2948</v>
      </c>
      <c r="D434" s="6" t="n">
        <v>8.800000000000001</v>
      </c>
      <c r="E434" t="n">
        <v>37142</v>
      </c>
      <c r="F434" s="6" t="n">
        <v>8.800000000000001</v>
      </c>
      <c r="G434" t="n">
        <v>1</v>
      </c>
      <c r="H434" s="6">
        <f>ROUND(G434*F434,2)</f>
        <v/>
      </c>
      <c r="I434">
        <f>IF(ROUND(H434-D434,2)=0,1,0)</f>
        <v/>
      </c>
      <c r="J434">
        <f>IF(F434="","none",IF(G434=1,"carte","multiple"))</f>
        <v/>
      </c>
    </row>
    <row r="435">
      <c r="A435" t="inlineStr">
        <is>
          <t>2022-04-27</t>
        </is>
      </c>
      <c r="B435" t="inlineStr">
        <is>
          <t>12:02</t>
        </is>
      </c>
      <c r="C435" t="n">
        <v>2948</v>
      </c>
      <c r="D435" s="6" t="n">
        <v>2.9</v>
      </c>
      <c r="E435" t="n">
        <v>37143</v>
      </c>
      <c r="F435" s="6" t="n">
        <v>2.9</v>
      </c>
      <c r="G435" t="n">
        <v>1</v>
      </c>
      <c r="H435" s="6">
        <f>ROUND(G435*F435,2)</f>
        <v/>
      </c>
      <c r="I435">
        <f>IF(ROUND(H435-D435,2)=0,1,0)</f>
        <v/>
      </c>
      <c r="J435">
        <f>IF(F435="","none",IF(G435=1,"carte","multiple"))</f>
        <v/>
      </c>
    </row>
    <row r="436">
      <c r="A436" t="inlineStr">
        <is>
          <t>2022-04-27</t>
        </is>
      </c>
      <c r="B436" t="inlineStr">
        <is>
          <t>12:14</t>
        </is>
      </c>
      <c r="C436" t="n">
        <v>2948</v>
      </c>
      <c r="D436" s="6" t="n">
        <v>2.2</v>
      </c>
      <c r="E436" t="n">
        <v>37144</v>
      </c>
      <c r="F436" s="6" t="n">
        <v>2.2</v>
      </c>
      <c r="G436" t="n">
        <v>1</v>
      </c>
      <c r="H436" s="6">
        <f>ROUND(G436*F436,2)</f>
        <v/>
      </c>
      <c r="I436">
        <f>IF(ROUND(H436-D436,2)=0,1,0)</f>
        <v/>
      </c>
      <c r="J436">
        <f>IF(F436="","none",IF(G436=1,"carte","multiple"))</f>
        <v/>
      </c>
    </row>
    <row r="437">
      <c r="A437" t="inlineStr">
        <is>
          <t>2022-04-27</t>
        </is>
      </c>
      <c r="B437" t="inlineStr">
        <is>
          <t>12:14</t>
        </is>
      </c>
      <c r="C437" t="n">
        <v>2948</v>
      </c>
      <c r="D437" s="6" t="n">
        <v>3.8</v>
      </c>
      <c r="E437" t="n">
        <v>37145</v>
      </c>
      <c r="F437" s="6" t="n">
        <v>3.8</v>
      </c>
      <c r="G437" t="n">
        <v>1</v>
      </c>
      <c r="H437" s="6">
        <f>ROUND(G437*F437,2)</f>
        <v/>
      </c>
      <c r="I437">
        <f>IF(ROUND(H437-D437,2)=0,1,0)</f>
        <v/>
      </c>
      <c r="J437">
        <f>IF(F437="","none",IF(G437=1,"carte","multiple"))</f>
        <v/>
      </c>
    </row>
    <row r="438">
      <c r="A438" t="inlineStr">
        <is>
          <t>2022-04-27</t>
        </is>
      </c>
      <c r="B438" t="inlineStr">
        <is>
          <t>12:14</t>
        </is>
      </c>
      <c r="C438" t="n">
        <v>2948</v>
      </c>
      <c r="D438" s="6" t="n">
        <v>6.4</v>
      </c>
      <c r="E438" t="n">
        <v>37146</v>
      </c>
      <c r="F438" s="6" t="n">
        <v>6.4</v>
      </c>
      <c r="G438" t="n">
        <v>1</v>
      </c>
      <c r="H438" s="6">
        <f>ROUND(G438*F438,2)</f>
        <v/>
      </c>
      <c r="I438">
        <f>IF(ROUND(H438-D438,2)=0,1,0)</f>
        <v/>
      </c>
      <c r="J438">
        <f>IF(F438="","none",IF(G438=1,"carte","multiple"))</f>
        <v/>
      </c>
    </row>
    <row r="439">
      <c r="A439" t="inlineStr">
        <is>
          <t>2022-04-27</t>
        </is>
      </c>
      <c r="B439" t="inlineStr">
        <is>
          <t>12:14</t>
        </is>
      </c>
      <c r="C439" t="n">
        <v>2948</v>
      </c>
      <c r="D439" s="6" t="n">
        <v>6.9</v>
      </c>
      <c r="E439" t="n">
        <v>37147</v>
      </c>
      <c r="F439" s="6" t="n">
        <v>6.9</v>
      </c>
      <c r="G439" t="n">
        <v>1</v>
      </c>
      <c r="H439" s="6">
        <f>ROUND(G439*F439,2)</f>
        <v/>
      </c>
      <c r="I439">
        <f>IF(ROUND(H439-D439,2)=0,1,0)</f>
        <v/>
      </c>
      <c r="J439">
        <f>IF(F439="","none",IF(G439=1,"carte","multiple"))</f>
        <v/>
      </c>
    </row>
    <row r="440">
      <c r="A440" t="inlineStr">
        <is>
          <t>2022-04-27</t>
        </is>
      </c>
      <c r="B440" t="inlineStr">
        <is>
          <t>12:14</t>
        </is>
      </c>
      <c r="C440" t="n">
        <v>2948</v>
      </c>
      <c r="D440" s="6" t="n">
        <v>17.6</v>
      </c>
      <c r="E440" t="n">
        <v>37148</v>
      </c>
      <c r="F440" s="6" t="n">
        <v>17.6</v>
      </c>
      <c r="G440" t="n">
        <v>1</v>
      </c>
      <c r="H440" s="6">
        <f>ROUND(G440*F440,2)</f>
        <v/>
      </c>
      <c r="I440">
        <f>IF(ROUND(H440-D440,2)=0,1,0)</f>
        <v/>
      </c>
      <c r="J440">
        <f>IF(F440="","none",IF(G440=1,"carte","multiple"))</f>
        <v/>
      </c>
    </row>
    <row r="441">
      <c r="A441" t="inlineStr">
        <is>
          <t>2022-04-27</t>
        </is>
      </c>
      <c r="B441" t="inlineStr">
        <is>
          <t>12:14</t>
        </is>
      </c>
      <c r="C441" t="n">
        <v>2948</v>
      </c>
      <c r="D441" s="6" t="n">
        <v>27.8</v>
      </c>
      <c r="E441" t="n">
        <v>37149</v>
      </c>
      <c r="F441" s="6" t="n">
        <v>27.8</v>
      </c>
      <c r="G441" t="n">
        <v>1</v>
      </c>
      <c r="H441" s="6">
        <f>ROUND(G441*F441,2)</f>
        <v/>
      </c>
      <c r="I441">
        <f>IF(ROUND(H441-D441,2)=0,1,0)</f>
        <v/>
      </c>
      <c r="J441">
        <f>IF(F441="","none",IF(G441=1,"carte","multiple"))</f>
        <v/>
      </c>
    </row>
    <row r="442">
      <c r="A442" t="inlineStr">
        <is>
          <t>2022-04-27</t>
        </is>
      </c>
      <c r="B442" t="inlineStr">
        <is>
          <t>12:14</t>
        </is>
      </c>
      <c r="C442" t="n">
        <v>2948</v>
      </c>
      <c r="D442" s="6" t="n">
        <v>28</v>
      </c>
      <c r="E442" t="n">
        <v>37150</v>
      </c>
      <c r="F442" s="6" t="n">
        <v>28</v>
      </c>
      <c r="G442" t="n">
        <v>1</v>
      </c>
      <c r="H442" s="6">
        <f>ROUND(G442*F442,2)</f>
        <v/>
      </c>
      <c r="I442">
        <f>IF(ROUND(H442-D442,2)=0,1,0)</f>
        <v/>
      </c>
      <c r="J442">
        <f>IF(F442="","none",IF(G442=1,"carte","multiple"))</f>
        <v/>
      </c>
    </row>
    <row r="443">
      <c r="A443" t="inlineStr">
        <is>
          <t>2022-04-27</t>
        </is>
      </c>
      <c r="B443" t="inlineStr">
        <is>
          <t>18:12</t>
        </is>
      </c>
      <c r="C443" t="n">
        <v>2948</v>
      </c>
      <c r="D443" s="6" t="n">
        <v>6.9</v>
      </c>
      <c r="E443" t="n">
        <v>37152</v>
      </c>
      <c r="F443" s="6" t="n">
        <v>6.9</v>
      </c>
      <c r="G443" t="n">
        <v>1</v>
      </c>
      <c r="H443" s="6">
        <f>ROUND(G443*F443,2)</f>
        <v/>
      </c>
      <c r="I443">
        <f>IF(ROUND(H443-D443,2)=0,1,0)</f>
        <v/>
      </c>
      <c r="J443">
        <f>IF(F443="","none",IF(G443=1,"carte","multiple"))</f>
        <v/>
      </c>
    </row>
    <row r="444">
      <c r="A444" t="inlineStr">
        <is>
          <t>2022-04-27</t>
        </is>
      </c>
      <c r="B444" t="inlineStr">
        <is>
          <t>18:26</t>
        </is>
      </c>
      <c r="C444" t="n">
        <v>2948</v>
      </c>
      <c r="D444" s="6" t="n">
        <v>4</v>
      </c>
      <c r="E444" t="n">
        <v>37153</v>
      </c>
      <c r="F444" s="6" t="n">
        <v>4</v>
      </c>
      <c r="G444" t="n">
        <v>1</v>
      </c>
      <c r="H444" s="6">
        <f>ROUND(G444*F444,2)</f>
        <v/>
      </c>
      <c r="I444">
        <f>IF(ROUND(H444-D444,2)=0,1,0)</f>
        <v/>
      </c>
      <c r="J444">
        <f>IF(F444="","none",IF(G444=1,"carte","multiple"))</f>
        <v/>
      </c>
    </row>
    <row r="445">
      <c r="A445" t="inlineStr">
        <is>
          <t>2022-04-27</t>
        </is>
      </c>
      <c r="B445" t="inlineStr">
        <is>
          <t>18:26</t>
        </is>
      </c>
      <c r="C445" t="n">
        <v>2948</v>
      </c>
      <c r="D445" s="6" t="n">
        <v>17.6</v>
      </c>
      <c r="E445" t="n">
        <v>37154</v>
      </c>
      <c r="F445" s="6" t="n">
        <v>17.6</v>
      </c>
      <c r="G445" t="n">
        <v>1</v>
      </c>
      <c r="H445" s="6">
        <f>ROUND(G445*F445,2)</f>
        <v/>
      </c>
      <c r="I445">
        <f>IF(ROUND(H445-D445,2)=0,1,0)</f>
        <v/>
      </c>
      <c r="J445">
        <f>IF(F445="","none",IF(G445=1,"carte","multiple"))</f>
        <v/>
      </c>
    </row>
    <row r="446">
      <c r="A446" t="inlineStr">
        <is>
          <t>2022-04-27</t>
        </is>
      </c>
      <c r="B446" t="inlineStr">
        <is>
          <t>18:26</t>
        </is>
      </c>
      <c r="C446" t="n">
        <v>2948</v>
      </c>
      <c r="D446" s="6" t="n">
        <v>11.6</v>
      </c>
      <c r="E446" t="n">
        <v>37155</v>
      </c>
      <c r="F446" s="6" t="n">
        <v>11.6</v>
      </c>
      <c r="G446" t="n">
        <v>1</v>
      </c>
      <c r="H446" s="6">
        <f>ROUND(G446*F446,2)</f>
        <v/>
      </c>
      <c r="I446">
        <f>IF(ROUND(H446-D446,2)=0,1,0)</f>
        <v/>
      </c>
      <c r="J446">
        <f>IF(F446="","none",IF(G446=1,"carte","multiple"))</f>
        <v/>
      </c>
    </row>
    <row r="447">
      <c r="A447" t="inlineStr">
        <is>
          <t>2022-04-27</t>
        </is>
      </c>
      <c r="B447" t="inlineStr">
        <is>
          <t>19:30</t>
        </is>
      </c>
      <c r="C447" t="n">
        <v>2948</v>
      </c>
      <c r="D447" s="6" t="n">
        <v>13</v>
      </c>
      <c r="E447" t="n">
        <v>37156</v>
      </c>
      <c r="F447" s="6" t="n">
        <v>13</v>
      </c>
      <c r="G447" t="n">
        <v>1</v>
      </c>
      <c r="H447" s="6">
        <f>ROUND(G447*F447,2)</f>
        <v/>
      </c>
      <c r="I447">
        <f>IF(ROUND(H447-D447,2)=0,1,0)</f>
        <v/>
      </c>
      <c r="J447">
        <f>IF(F447="","none",IF(G447=1,"carte","multiple"))</f>
        <v/>
      </c>
    </row>
    <row r="448">
      <c r="A448" t="inlineStr">
        <is>
          <t>2022-04-27</t>
        </is>
      </c>
      <c r="B448" t="inlineStr">
        <is>
          <t>19:31</t>
        </is>
      </c>
      <c r="C448" t="n">
        <v>2948</v>
      </c>
      <c r="D448" s="6" t="n">
        <v>2.9</v>
      </c>
      <c r="E448" t="n">
        <v>37157</v>
      </c>
      <c r="F448" s="6" t="n">
        <v>2.9</v>
      </c>
      <c r="G448" t="n">
        <v>1</v>
      </c>
      <c r="H448" s="6">
        <f>ROUND(G448*F448,2)</f>
        <v/>
      </c>
      <c r="I448">
        <f>IF(ROUND(H448-D448,2)=0,1,0)</f>
        <v/>
      </c>
      <c r="J448">
        <f>IF(F448="","none",IF(G448=1,"carte","multiple"))</f>
        <v/>
      </c>
    </row>
    <row r="449">
      <c r="A449" t="inlineStr">
        <is>
          <t>2022-04-27</t>
        </is>
      </c>
      <c r="B449" t="inlineStr">
        <is>
          <t>19:32</t>
        </is>
      </c>
      <c r="C449" t="n">
        <v>2948</v>
      </c>
      <c r="D449" s="6" t="n">
        <v>7.2</v>
      </c>
      <c r="E449" t="n">
        <v>37158</v>
      </c>
      <c r="F449" s="6" t="n">
        <v>7.2</v>
      </c>
      <c r="G449" t="n">
        <v>1</v>
      </c>
      <c r="H449" s="6">
        <f>ROUND(G449*F449,2)</f>
        <v/>
      </c>
      <c r="I449">
        <f>IF(ROUND(H449-D449,2)=0,1,0)</f>
        <v/>
      </c>
      <c r="J449">
        <f>IF(F449="","none",IF(G449=1,"carte","multiple"))</f>
        <v/>
      </c>
    </row>
    <row r="450">
      <c r="A450" t="inlineStr">
        <is>
          <t>2022-04-27</t>
        </is>
      </c>
      <c r="B450" t="inlineStr">
        <is>
          <t>20:40</t>
        </is>
      </c>
      <c r="C450" t="n">
        <v>2948</v>
      </c>
      <c r="D450" s="6" t="n">
        <v>5.9</v>
      </c>
      <c r="E450" t="n">
        <v>37159</v>
      </c>
      <c r="F450" s="6" t="n">
        <v>5.9</v>
      </c>
      <c r="G450" t="n">
        <v>1</v>
      </c>
      <c r="H450" s="6">
        <f>ROUND(G450*F450,2)</f>
        <v/>
      </c>
      <c r="I450">
        <f>IF(ROUND(H450-D450,2)=0,1,0)</f>
        <v/>
      </c>
      <c r="J450">
        <f>IF(F450="","none",IF(G450=1,"carte","multiple"))</f>
        <v/>
      </c>
    </row>
    <row r="451">
      <c r="A451" t="inlineStr">
        <is>
          <t>2022-04-27</t>
        </is>
      </c>
      <c r="B451" t="inlineStr">
        <is>
          <t>20:40</t>
        </is>
      </c>
      <c r="C451" t="n">
        <v>2948</v>
      </c>
      <c r="D451" s="6" t="n">
        <v>44.7</v>
      </c>
      <c r="E451" t="n">
        <v>37160</v>
      </c>
      <c r="F451" s="6" t="n">
        <v>14.9</v>
      </c>
      <c r="G451" t="n">
        <v>3</v>
      </c>
      <c r="H451" s="6">
        <f>ROUND(G451*F451,2)</f>
        <v/>
      </c>
      <c r="I451">
        <f>IF(ROUND(H451-D451,2)=0,1,0)</f>
        <v/>
      </c>
      <c r="J451">
        <f>IF(F451="","none",IF(G451=1,"carte","multiple"))</f>
        <v/>
      </c>
    </row>
    <row r="452">
      <c r="A452" t="inlineStr">
        <is>
          <t>2022-04-27</t>
        </is>
      </c>
      <c r="B452" t="inlineStr">
        <is>
          <t>20:40</t>
        </is>
      </c>
      <c r="C452" t="n">
        <v>2948</v>
      </c>
      <c r="D452" s="6" t="n">
        <v>48</v>
      </c>
      <c r="E452" t="n">
        <v>37161</v>
      </c>
      <c r="F452" s="6" t="n">
        <v>0.4</v>
      </c>
      <c r="G452" t="n">
        <v>120</v>
      </c>
      <c r="H452" s="6">
        <f>ROUND(G452*F452,2)</f>
        <v/>
      </c>
      <c r="I452">
        <f>IF(ROUND(H452-D452,2)=0,1,0)</f>
        <v/>
      </c>
      <c r="J452">
        <f>IF(F452="","none",IF(G452=1,"carte","multiple"))</f>
        <v/>
      </c>
    </row>
    <row r="453">
      <c r="A453" t="inlineStr">
        <is>
          <t>2022-04-27</t>
        </is>
      </c>
      <c r="B453" t="inlineStr">
        <is>
          <t>20:40</t>
        </is>
      </c>
      <c r="C453" t="n">
        <v>2948</v>
      </c>
      <c r="D453" s="6" t="n">
        <v>17.7</v>
      </c>
      <c r="E453" t="n">
        <v>37162</v>
      </c>
      <c r="F453" s="6" t="n">
        <v>17.7</v>
      </c>
      <c r="G453" t="n">
        <v>1</v>
      </c>
      <c r="H453" s="6">
        <f>ROUND(G453*F453,2)</f>
        <v/>
      </c>
      <c r="I453">
        <f>IF(ROUND(H453-D453,2)=0,1,0)</f>
        <v/>
      </c>
      <c r="J453">
        <f>IF(F453="","none",IF(G453=1,"carte","multiple"))</f>
        <v/>
      </c>
    </row>
    <row r="454">
      <c r="A454" t="inlineStr">
        <is>
          <t>2022-04-27</t>
        </is>
      </c>
      <c r="B454" t="inlineStr">
        <is>
          <t>20:40</t>
        </is>
      </c>
      <c r="C454" t="n">
        <v>2948</v>
      </c>
      <c r="D454" s="6" t="n">
        <v>8.800000000000001</v>
      </c>
      <c r="E454" t="n">
        <v>37163</v>
      </c>
      <c r="F454" s="6" t="n">
        <v>8.800000000000001</v>
      </c>
      <c r="G454" t="n">
        <v>1</v>
      </c>
      <c r="H454" s="6">
        <f>ROUND(G454*F454,2)</f>
        <v/>
      </c>
      <c r="I454">
        <f>IF(ROUND(H454-D454,2)=0,1,0)</f>
        <v/>
      </c>
      <c r="J454">
        <f>IF(F454="","none",IF(G454=1,"carte","multiple"))</f>
        <v/>
      </c>
    </row>
    <row r="455">
      <c r="A455" t="inlineStr">
        <is>
          <t>2022-04-27</t>
        </is>
      </c>
      <c r="B455" t="inlineStr">
        <is>
          <t>20:40</t>
        </is>
      </c>
      <c r="C455" t="n">
        <v>2948</v>
      </c>
      <c r="D455" s="6" t="n">
        <v>3.4</v>
      </c>
      <c r="E455" t="n">
        <v>37164</v>
      </c>
      <c r="F455" s="6" t="n">
        <v>3.4</v>
      </c>
      <c r="G455" t="n">
        <v>1</v>
      </c>
      <c r="H455" s="6">
        <f>ROUND(G455*F455,2)</f>
        <v/>
      </c>
      <c r="I455">
        <f>IF(ROUND(H455-D455,2)=0,1,0)</f>
        <v/>
      </c>
      <c r="J455">
        <f>IF(F455="","none",IF(G455=1,"carte","multiple"))</f>
        <v/>
      </c>
    </row>
    <row r="456">
      <c r="A456" t="inlineStr">
        <is>
          <t>2022-04-27</t>
        </is>
      </c>
      <c r="B456" t="inlineStr">
        <is>
          <t>20:40</t>
        </is>
      </c>
      <c r="C456" t="n">
        <v>2948</v>
      </c>
      <c r="D456" s="6" t="n">
        <v>3.4</v>
      </c>
      <c r="E456" t="n">
        <v>37165</v>
      </c>
      <c r="F456" s="6" t="n">
        <v>3.4</v>
      </c>
      <c r="G456" t="n">
        <v>1</v>
      </c>
      <c r="H456" s="6">
        <f>ROUND(G456*F456,2)</f>
        <v/>
      </c>
      <c r="I456">
        <f>IF(ROUND(H456-D456,2)=0,1,0)</f>
        <v/>
      </c>
      <c r="J456">
        <f>IF(F456="","none",IF(G456=1,"carte","multiple"))</f>
        <v/>
      </c>
    </row>
    <row r="457">
      <c r="A457" t="inlineStr">
        <is>
          <t>2022-04-28</t>
        </is>
      </c>
      <c r="B457" t="inlineStr">
        <is>
          <t>12:05</t>
        </is>
      </c>
      <c r="C457" t="n">
        <v>2949</v>
      </c>
      <c r="D457" s="6" t="n">
        <v>4</v>
      </c>
      <c r="E457" t="n">
        <v>37168</v>
      </c>
      <c r="F457" s="6" t="n">
        <v>4</v>
      </c>
      <c r="G457" t="n">
        <v>1</v>
      </c>
      <c r="H457" s="6">
        <f>ROUND(G457*F457,2)</f>
        <v/>
      </c>
      <c r="I457">
        <f>IF(ROUND(H457-D457,2)=0,1,0)</f>
        <v/>
      </c>
      <c r="J457">
        <f>IF(F457="","none",IF(G457=1,"carte","multiple"))</f>
        <v/>
      </c>
    </row>
    <row r="458">
      <c r="A458" t="inlineStr">
        <is>
          <t>2022-04-28</t>
        </is>
      </c>
      <c r="B458" t="inlineStr">
        <is>
          <t>12:07</t>
        </is>
      </c>
      <c r="C458" t="n">
        <v>2949</v>
      </c>
      <c r="D458" s="6" t="n">
        <v>6.6</v>
      </c>
      <c r="E458" t="n">
        <v>37169</v>
      </c>
      <c r="F458" s="6" t="n">
        <v>6.6</v>
      </c>
      <c r="G458" t="n">
        <v>1</v>
      </c>
      <c r="H458" s="6">
        <f>ROUND(G458*F458,2)</f>
        <v/>
      </c>
      <c r="I458">
        <f>IF(ROUND(H458-D458,2)=0,1,0)</f>
        <v/>
      </c>
      <c r="J458">
        <f>IF(F458="","none",IF(G458=1,"carte","multiple"))</f>
        <v/>
      </c>
    </row>
    <row r="459">
      <c r="A459" t="inlineStr">
        <is>
          <t>2022-04-28</t>
        </is>
      </c>
      <c r="B459" t="inlineStr">
        <is>
          <t>12:07</t>
        </is>
      </c>
      <c r="C459" t="n">
        <v>2949</v>
      </c>
      <c r="D459" s="6" t="n">
        <v>3.9</v>
      </c>
      <c r="E459" t="n">
        <v>37170</v>
      </c>
      <c r="F459" s="6" t="n">
        <v>3.9</v>
      </c>
      <c r="G459" t="n">
        <v>1</v>
      </c>
      <c r="H459" s="6">
        <f>ROUND(G459*F459,2)</f>
        <v/>
      </c>
      <c r="I459">
        <f>IF(ROUND(H459-D459,2)=0,1,0)</f>
        <v/>
      </c>
      <c r="J459">
        <f>IF(F459="","none",IF(G459=1,"carte","multiple"))</f>
        <v/>
      </c>
    </row>
    <row r="460">
      <c r="A460" t="inlineStr">
        <is>
          <t>2022-04-28</t>
        </is>
      </c>
      <c r="B460" t="inlineStr">
        <is>
          <t>12:07</t>
        </is>
      </c>
      <c r="C460" t="n">
        <v>2949</v>
      </c>
      <c r="D460" s="6" t="n">
        <v>19</v>
      </c>
      <c r="E460" t="n">
        <v>37171</v>
      </c>
      <c r="F460" s="6" t="n">
        <v>19</v>
      </c>
      <c r="G460" t="n">
        <v>1</v>
      </c>
      <c r="H460" s="6">
        <f>ROUND(G460*F460,2)</f>
        <v/>
      </c>
      <c r="I460">
        <f>IF(ROUND(H460-D460,2)=0,1,0)</f>
        <v/>
      </c>
      <c r="J460">
        <f>IF(F460="","none",IF(G460=1,"carte","multiple"))</f>
        <v/>
      </c>
    </row>
    <row r="461">
      <c r="A461" t="inlineStr">
        <is>
          <t>2022-04-28</t>
        </is>
      </c>
      <c r="B461" t="inlineStr">
        <is>
          <t>12:07</t>
        </is>
      </c>
      <c r="C461" t="n">
        <v>2949</v>
      </c>
      <c r="D461" s="6" t="n">
        <v>15.9</v>
      </c>
      <c r="E461" t="n">
        <v>37172</v>
      </c>
      <c r="F461" s="6" t="n">
        <v>15.9</v>
      </c>
      <c r="G461" t="n">
        <v>1</v>
      </c>
      <c r="H461" s="6">
        <f>ROUND(G461*F461,2)</f>
        <v/>
      </c>
      <c r="I461">
        <f>IF(ROUND(H461-D461,2)=0,1,0)</f>
        <v/>
      </c>
      <c r="J461">
        <f>IF(F461="","none",IF(G461=1,"carte","multiple"))</f>
        <v/>
      </c>
    </row>
    <row r="462">
      <c r="A462" t="inlineStr">
        <is>
          <t>2022-04-28</t>
        </is>
      </c>
      <c r="B462" t="inlineStr">
        <is>
          <t>12:07</t>
        </is>
      </c>
      <c r="C462" t="n">
        <v>2949</v>
      </c>
      <c r="D462" s="6" t="n">
        <v>17.6</v>
      </c>
      <c r="E462" t="n">
        <v>37173</v>
      </c>
      <c r="F462" s="6" t="n">
        <v>17.6</v>
      </c>
      <c r="G462" t="n">
        <v>1</v>
      </c>
      <c r="H462" s="6">
        <f>ROUND(G462*F462,2)</f>
        <v/>
      </c>
      <c r="I462">
        <f>IF(ROUND(H462-D462,2)=0,1,0)</f>
        <v/>
      </c>
      <c r="J462">
        <f>IF(F462="","none",IF(G462=1,"carte","multiple"))</f>
        <v/>
      </c>
    </row>
    <row r="463">
      <c r="A463" t="inlineStr">
        <is>
          <t>2022-04-28</t>
        </is>
      </c>
      <c r="B463" t="inlineStr">
        <is>
          <t>12:07</t>
        </is>
      </c>
      <c r="C463" t="n">
        <v>2949</v>
      </c>
      <c r="D463" s="6" t="n">
        <v>10.9</v>
      </c>
      <c r="E463" t="n">
        <v>37174</v>
      </c>
      <c r="F463" s="6" t="n">
        <v>10.9</v>
      </c>
      <c r="G463" t="n">
        <v>1</v>
      </c>
      <c r="H463" s="6">
        <f>ROUND(G463*F463,2)</f>
        <v/>
      </c>
      <c r="I463">
        <f>IF(ROUND(H463-D463,2)=0,1,0)</f>
        <v/>
      </c>
      <c r="J463">
        <f>IF(F463="","none",IF(G463=1,"carte","multiple"))</f>
        <v/>
      </c>
    </row>
    <row r="464">
      <c r="A464" t="inlineStr">
        <is>
          <t>2022-04-28</t>
        </is>
      </c>
      <c r="B464" t="inlineStr">
        <is>
          <t>12:07</t>
        </is>
      </c>
      <c r="C464" t="n">
        <v>2949</v>
      </c>
      <c r="D464" s="6" t="n">
        <v>8.9</v>
      </c>
      <c r="E464" t="n">
        <v>37175</v>
      </c>
      <c r="F464" s="6" t="n">
        <v>8.9</v>
      </c>
      <c r="G464" t="n">
        <v>1</v>
      </c>
      <c r="H464" s="6">
        <f>ROUND(G464*F464,2)</f>
        <v/>
      </c>
      <c r="I464">
        <f>IF(ROUND(H464-D464,2)=0,1,0)</f>
        <v/>
      </c>
      <c r="J464">
        <f>IF(F464="","none",IF(G464=1,"carte","multiple"))</f>
        <v/>
      </c>
    </row>
    <row r="465">
      <c r="A465" t="inlineStr">
        <is>
          <t>2022-04-28</t>
        </is>
      </c>
      <c r="B465" t="inlineStr">
        <is>
          <t>12:07</t>
        </is>
      </c>
      <c r="C465" t="n">
        <v>2949</v>
      </c>
      <c r="D465" s="6" t="n">
        <v>6.9</v>
      </c>
      <c r="E465" t="n">
        <v>37176</v>
      </c>
      <c r="F465" s="6" t="n">
        <v>6.9</v>
      </c>
      <c r="G465" t="n">
        <v>1</v>
      </c>
      <c r="H465" s="6">
        <f>ROUND(G465*F465,2)</f>
        <v/>
      </c>
      <c r="I465">
        <f>IF(ROUND(H465-D465,2)=0,1,0)</f>
        <v/>
      </c>
      <c r="J465">
        <f>IF(F465="","none",IF(G465=1,"carte","multiple"))</f>
        <v/>
      </c>
    </row>
    <row r="466">
      <c r="A466" t="inlineStr">
        <is>
          <t>2022-04-28</t>
        </is>
      </c>
      <c r="B466" t="inlineStr">
        <is>
          <t>12:07</t>
        </is>
      </c>
      <c r="C466" t="n">
        <v>2949</v>
      </c>
      <c r="D466" s="6" t="n">
        <v>9</v>
      </c>
      <c r="E466" t="n">
        <v>37177</v>
      </c>
      <c r="F466" s="6" t="n">
        <v>9</v>
      </c>
      <c r="G466" t="n">
        <v>1</v>
      </c>
      <c r="H466" s="6">
        <f>ROUND(G466*F466,2)</f>
        <v/>
      </c>
      <c r="I466">
        <f>IF(ROUND(H466-D466,2)=0,1,0)</f>
        <v/>
      </c>
      <c r="J466">
        <f>IF(F466="","none",IF(G466=1,"carte","multiple"))</f>
        <v/>
      </c>
    </row>
    <row r="467">
      <c r="A467" t="inlineStr">
        <is>
          <t>2022-04-28</t>
        </is>
      </c>
      <c r="B467" t="inlineStr">
        <is>
          <t>12:07</t>
        </is>
      </c>
      <c r="C467" t="n">
        <v>2949</v>
      </c>
      <c r="D467" s="6" t="n">
        <v>4.2</v>
      </c>
      <c r="E467" t="n">
        <v>37178</v>
      </c>
      <c r="F467" s="6" t="n">
        <v>4.2</v>
      </c>
      <c r="G467" t="n">
        <v>1</v>
      </c>
      <c r="H467" s="6">
        <f>ROUND(G467*F467,2)</f>
        <v/>
      </c>
      <c r="I467">
        <f>IF(ROUND(H467-D467,2)=0,1,0)</f>
        <v/>
      </c>
      <c r="J467">
        <f>IF(F467="","none",IF(G467=1,"carte","multiple"))</f>
        <v/>
      </c>
    </row>
    <row r="468">
      <c r="A468" t="inlineStr">
        <is>
          <t>2022-04-28</t>
        </is>
      </c>
      <c r="B468" t="inlineStr">
        <is>
          <t>12:07</t>
        </is>
      </c>
      <c r="C468" t="n">
        <v>2949</v>
      </c>
      <c r="D468" s="6" t="n">
        <v>3.9</v>
      </c>
      <c r="E468" t="n">
        <v>37179</v>
      </c>
      <c r="F468" s="6" t="n">
        <v>3.9</v>
      </c>
      <c r="G468" t="n">
        <v>1</v>
      </c>
      <c r="H468" s="6">
        <f>ROUND(G468*F468,2)</f>
        <v/>
      </c>
      <c r="I468">
        <f>IF(ROUND(H468-D468,2)=0,1,0)</f>
        <v/>
      </c>
      <c r="J468">
        <f>IF(F468="","none",IF(G468=1,"carte","multiple"))</f>
        <v/>
      </c>
    </row>
    <row r="469">
      <c r="A469" t="inlineStr">
        <is>
          <t>2022-04-28</t>
        </is>
      </c>
      <c r="B469" t="inlineStr">
        <is>
          <t>12:07</t>
        </is>
      </c>
      <c r="C469" t="n">
        <v>2949</v>
      </c>
      <c r="D469" s="6" t="n">
        <v>7.5</v>
      </c>
      <c r="E469" t="n">
        <v>37180</v>
      </c>
      <c r="F469" s="6" t="n">
        <v>7.5</v>
      </c>
      <c r="G469" t="n">
        <v>1</v>
      </c>
      <c r="H469" s="6">
        <f>ROUND(G469*F469,2)</f>
        <v/>
      </c>
      <c r="I469">
        <f>IF(ROUND(H469-D469,2)=0,1,0)</f>
        <v/>
      </c>
      <c r="J469">
        <f>IF(F469="","none",IF(G469=1,"carte","multiple"))</f>
        <v/>
      </c>
    </row>
    <row r="470">
      <c r="A470" t="inlineStr">
        <is>
          <t>2022-04-28</t>
        </is>
      </c>
      <c r="B470" t="inlineStr">
        <is>
          <t>12:19</t>
        </is>
      </c>
      <c r="C470" t="n">
        <v>2949</v>
      </c>
      <c r="D470" s="6" t="n">
        <v>4.4</v>
      </c>
      <c r="E470" t="n">
        <v>37181</v>
      </c>
      <c r="F470" s="6" t="n">
        <v>0.4</v>
      </c>
      <c r="G470" t="n">
        <v>11</v>
      </c>
      <c r="H470" s="6">
        <f>ROUND(G470*F470,2)</f>
        <v/>
      </c>
      <c r="I470">
        <f>IF(ROUND(H470-D470,2)=0,1,0)</f>
        <v/>
      </c>
      <c r="J470">
        <f>IF(F470="","none",IF(G470=1,"carte","multiple"))</f>
        <v/>
      </c>
    </row>
    <row r="471">
      <c r="A471" t="inlineStr">
        <is>
          <t>2022-04-28</t>
        </is>
      </c>
      <c r="B471" t="inlineStr">
        <is>
          <t>12:24</t>
        </is>
      </c>
      <c r="C471" t="n">
        <v>2949</v>
      </c>
      <c r="D471" s="6" t="n">
        <v>2.2</v>
      </c>
      <c r="E471" t="n">
        <v>37182</v>
      </c>
      <c r="F471" s="6" t="n">
        <v>2.2</v>
      </c>
      <c r="G471" t="n">
        <v>1</v>
      </c>
      <c r="H471" s="6">
        <f>ROUND(G471*F471,2)</f>
        <v/>
      </c>
      <c r="I471">
        <f>IF(ROUND(H471-D471,2)=0,1,0)</f>
        <v/>
      </c>
      <c r="J471">
        <f>IF(F471="","none",IF(G471=1,"carte","multiple"))</f>
        <v/>
      </c>
    </row>
    <row r="472">
      <c r="A472" t="inlineStr">
        <is>
          <t>2022-04-28</t>
        </is>
      </c>
      <c r="B472" t="inlineStr">
        <is>
          <t>12:24</t>
        </is>
      </c>
      <c r="C472" t="n">
        <v>2949</v>
      </c>
      <c r="D472" s="6" t="n">
        <v>19</v>
      </c>
      <c r="E472" t="n">
        <v>37183</v>
      </c>
      <c r="F472" s="6" t="n">
        <v>19</v>
      </c>
      <c r="G472" t="n">
        <v>1</v>
      </c>
      <c r="H472" s="6">
        <f>ROUND(G472*F472,2)</f>
        <v/>
      </c>
      <c r="I472">
        <f>IF(ROUND(H472-D472,2)=0,1,0)</f>
        <v/>
      </c>
      <c r="J472">
        <f>IF(F472="","none",IF(G472=1,"carte","multiple"))</f>
        <v/>
      </c>
    </row>
    <row r="473">
      <c r="A473" t="inlineStr">
        <is>
          <t>2022-04-28</t>
        </is>
      </c>
      <c r="B473" t="inlineStr">
        <is>
          <t>12:24</t>
        </is>
      </c>
      <c r="C473" t="n">
        <v>2949</v>
      </c>
      <c r="D473" s="6" t="n">
        <v>17.6</v>
      </c>
      <c r="E473" t="n">
        <v>37184</v>
      </c>
      <c r="F473" s="6" t="n">
        <v>17.6</v>
      </c>
      <c r="G473" t="n">
        <v>1</v>
      </c>
      <c r="H473" s="6">
        <f>ROUND(G473*F473,2)</f>
        <v/>
      </c>
      <c r="I473">
        <f>IF(ROUND(H473-D473,2)=0,1,0)</f>
        <v/>
      </c>
      <c r="J473">
        <f>IF(F473="","none",IF(G473=1,"carte","multiple"))</f>
        <v/>
      </c>
    </row>
    <row r="474">
      <c r="A474" t="inlineStr">
        <is>
          <t>2022-04-28</t>
        </is>
      </c>
      <c r="B474" t="inlineStr">
        <is>
          <t>12:24</t>
        </is>
      </c>
      <c r="C474" t="n">
        <v>2949</v>
      </c>
      <c r="D474" s="6" t="n">
        <v>5.9</v>
      </c>
      <c r="E474" t="n">
        <v>37185</v>
      </c>
      <c r="F474" s="6" t="n">
        <v>5.9</v>
      </c>
      <c r="G474" t="n">
        <v>1</v>
      </c>
      <c r="H474" s="6">
        <f>ROUND(G474*F474,2)</f>
        <v/>
      </c>
      <c r="I474">
        <f>IF(ROUND(H474-D474,2)=0,1,0)</f>
        <v/>
      </c>
      <c r="J474">
        <f>IF(F474="","none",IF(G474=1,"carte","multiple"))</f>
        <v/>
      </c>
    </row>
    <row r="475">
      <c r="A475" t="inlineStr">
        <is>
          <t>2022-04-28</t>
        </is>
      </c>
      <c r="B475" t="inlineStr">
        <is>
          <t>12:24</t>
        </is>
      </c>
      <c r="C475" t="n">
        <v>2949</v>
      </c>
      <c r="D475" s="6" t="n">
        <v>10.9</v>
      </c>
      <c r="E475" t="n">
        <v>37186</v>
      </c>
      <c r="F475" s="6" t="n">
        <v>10.9</v>
      </c>
      <c r="G475" t="n">
        <v>1</v>
      </c>
      <c r="H475" s="6">
        <f>ROUND(G475*F475,2)</f>
        <v/>
      </c>
      <c r="I475">
        <f>IF(ROUND(H475-D475,2)=0,1,0)</f>
        <v/>
      </c>
      <c r="J475">
        <f>IF(F475="","none",IF(G475=1,"carte","multiple"))</f>
        <v/>
      </c>
    </row>
    <row r="476">
      <c r="A476" t="inlineStr">
        <is>
          <t>2022-04-28</t>
        </is>
      </c>
      <c r="B476" t="inlineStr">
        <is>
          <t>12:24</t>
        </is>
      </c>
      <c r="C476" t="n">
        <v>2949</v>
      </c>
      <c r="D476" s="6" t="n">
        <v>3.9</v>
      </c>
      <c r="E476" t="n">
        <v>37187</v>
      </c>
      <c r="F476" s="6" t="n">
        <v>3.9</v>
      </c>
      <c r="G476" t="n">
        <v>1</v>
      </c>
      <c r="H476" s="6">
        <f>ROUND(G476*F476,2)</f>
        <v/>
      </c>
      <c r="I476">
        <f>IF(ROUND(H476-D476,2)=0,1,0)</f>
        <v/>
      </c>
      <c r="J476">
        <f>IF(F476="","none",IF(G476=1,"carte","multiple"))</f>
        <v/>
      </c>
    </row>
    <row r="477">
      <c r="A477" t="inlineStr">
        <is>
          <t>2022-04-28</t>
        </is>
      </c>
      <c r="B477" t="inlineStr">
        <is>
          <t>12:24</t>
        </is>
      </c>
      <c r="C477" t="n">
        <v>2949</v>
      </c>
      <c r="D477" s="6" t="n">
        <v>3.9</v>
      </c>
      <c r="E477" t="n">
        <v>37188</v>
      </c>
      <c r="F477" s="6" t="n">
        <v>3.9</v>
      </c>
      <c r="G477" t="n">
        <v>1</v>
      </c>
      <c r="H477" s="6">
        <f>ROUND(G477*F477,2)</f>
        <v/>
      </c>
      <c r="I477">
        <f>IF(ROUND(H477-D477,2)=0,1,0)</f>
        <v/>
      </c>
      <c r="J477">
        <f>IF(F477="","none",IF(G477=1,"carte","multiple"))</f>
        <v/>
      </c>
    </row>
    <row r="478">
      <c r="A478" t="inlineStr">
        <is>
          <t>2022-04-28</t>
        </is>
      </c>
      <c r="B478" t="inlineStr">
        <is>
          <t>12:24</t>
        </is>
      </c>
      <c r="C478" t="n">
        <v>2949</v>
      </c>
      <c r="D478" s="6" t="n">
        <v>7.9</v>
      </c>
      <c r="E478" t="n">
        <v>37189</v>
      </c>
      <c r="F478" s="6" t="n">
        <v>7.9</v>
      </c>
      <c r="G478" t="n">
        <v>1</v>
      </c>
      <c r="H478" s="6">
        <f>ROUND(G478*F478,2)</f>
        <v/>
      </c>
      <c r="I478">
        <f>IF(ROUND(H478-D478,2)=0,1,0)</f>
        <v/>
      </c>
      <c r="J478">
        <f>IF(F478="","none",IF(G478=1,"carte","multiple"))</f>
        <v/>
      </c>
    </row>
    <row r="479">
      <c r="A479" t="inlineStr">
        <is>
          <t>2022-04-28</t>
        </is>
      </c>
      <c r="B479" t="inlineStr">
        <is>
          <t>12:29</t>
        </is>
      </c>
      <c r="C479" t="n">
        <v>2949</v>
      </c>
      <c r="D479" s="6" t="n">
        <v>1.2</v>
      </c>
      <c r="E479" t="n">
        <v>37190</v>
      </c>
      <c r="F479" s="6" t="n">
        <v>1.2</v>
      </c>
      <c r="G479" t="n">
        <v>1</v>
      </c>
      <c r="H479" s="6">
        <f>ROUND(G479*F479,2)</f>
        <v/>
      </c>
      <c r="I479">
        <f>IF(ROUND(H479-D479,2)=0,1,0)</f>
        <v/>
      </c>
      <c r="J479">
        <f>IF(F479="","none",IF(G479=1,"carte","multiple"))</f>
        <v/>
      </c>
    </row>
    <row r="480">
      <c r="A480" t="inlineStr">
        <is>
          <t>2022-04-28</t>
        </is>
      </c>
      <c r="B480" t="inlineStr">
        <is>
          <t>12:29</t>
        </is>
      </c>
      <c r="C480" t="n">
        <v>2949</v>
      </c>
      <c r="D480" s="6" t="n">
        <v>1.8</v>
      </c>
      <c r="E480" t="n">
        <v>37191</v>
      </c>
      <c r="F480" s="6" t="n">
        <v>1.8</v>
      </c>
      <c r="G480" t="n">
        <v>1</v>
      </c>
      <c r="H480" s="6">
        <f>ROUND(G480*F480,2)</f>
        <v/>
      </c>
      <c r="I480">
        <f>IF(ROUND(H480-D480,2)=0,1,0)</f>
        <v/>
      </c>
      <c r="J480">
        <f>IF(F480="","none",IF(G480=1,"carte","multiple"))</f>
        <v/>
      </c>
    </row>
    <row r="481">
      <c r="A481" t="inlineStr">
        <is>
          <t>2022-04-28</t>
        </is>
      </c>
      <c r="B481" t="inlineStr">
        <is>
          <t>12:29</t>
        </is>
      </c>
      <c r="C481" t="n">
        <v>2949</v>
      </c>
      <c r="D481" s="6" t="n">
        <v>4</v>
      </c>
      <c r="E481" t="n">
        <v>37192</v>
      </c>
      <c r="F481" s="6" t="n">
        <v>4</v>
      </c>
      <c r="G481" t="n">
        <v>1</v>
      </c>
      <c r="H481" s="6">
        <f>ROUND(G481*F481,2)</f>
        <v/>
      </c>
      <c r="I481">
        <f>IF(ROUND(H481-D481,2)=0,1,0)</f>
        <v/>
      </c>
      <c r="J481">
        <f>IF(F481="","none",IF(G481=1,"carte","multiple"))</f>
        <v/>
      </c>
    </row>
    <row r="482">
      <c r="A482" t="inlineStr">
        <is>
          <t>2022-04-28</t>
        </is>
      </c>
      <c r="B482" t="inlineStr">
        <is>
          <t>12:29</t>
        </is>
      </c>
      <c r="C482" t="n">
        <v>2949</v>
      </c>
      <c r="D482" s="6" t="n">
        <v>4.7</v>
      </c>
      <c r="E482" t="n">
        <v>37193</v>
      </c>
      <c r="F482" s="6" t="n">
        <v>4.7</v>
      </c>
      <c r="G482" t="n">
        <v>1</v>
      </c>
      <c r="H482" s="6">
        <f>ROUND(G482*F482,2)</f>
        <v/>
      </c>
      <c r="I482">
        <f>IF(ROUND(H482-D482,2)=0,1,0)</f>
        <v/>
      </c>
      <c r="J482">
        <f>IF(F482="","none",IF(G482=1,"carte","multiple"))</f>
        <v/>
      </c>
    </row>
    <row r="483">
      <c r="A483" t="inlineStr">
        <is>
          <t>2022-04-28</t>
        </is>
      </c>
      <c r="B483" t="inlineStr">
        <is>
          <t>12:29</t>
        </is>
      </c>
      <c r="C483" t="n">
        <v>2949</v>
      </c>
      <c r="D483" s="6" t="n">
        <v>19.9</v>
      </c>
      <c r="E483" t="n">
        <v>37194</v>
      </c>
      <c r="F483" s="6" t="n">
        <v>19.9</v>
      </c>
      <c r="G483" t="n">
        <v>1</v>
      </c>
      <c r="H483" s="6">
        <f>ROUND(G483*F483,2)</f>
        <v/>
      </c>
      <c r="I483">
        <f>IF(ROUND(H483-D483,2)=0,1,0)</f>
        <v/>
      </c>
      <c r="J483">
        <f>IF(F483="","none",IF(G483=1,"carte","multiple"))</f>
        <v/>
      </c>
    </row>
    <row r="484">
      <c r="A484" t="inlineStr">
        <is>
          <t>2022-04-28</t>
        </is>
      </c>
      <c r="B484" t="inlineStr">
        <is>
          <t>12:29</t>
        </is>
      </c>
      <c r="C484" t="n">
        <v>2949</v>
      </c>
      <c r="D484" s="6" t="n">
        <v>19.9</v>
      </c>
      <c r="E484" t="n">
        <v>37195</v>
      </c>
      <c r="F484" s="6" t="n">
        <v>19.9</v>
      </c>
      <c r="G484" t="n">
        <v>1</v>
      </c>
      <c r="H484" s="6">
        <f>ROUND(G484*F484,2)</f>
        <v/>
      </c>
      <c r="I484">
        <f>IF(ROUND(H484-D484,2)=0,1,0)</f>
        <v/>
      </c>
      <c r="J484">
        <f>IF(F484="","none",IF(G484=1,"carte","multiple"))</f>
        <v/>
      </c>
    </row>
    <row r="485">
      <c r="A485" t="inlineStr">
        <is>
          <t>2022-04-28</t>
        </is>
      </c>
      <c r="B485" t="inlineStr">
        <is>
          <t>12:29</t>
        </is>
      </c>
      <c r="C485" t="n">
        <v>2949</v>
      </c>
      <c r="D485" s="6" t="n">
        <v>15.9</v>
      </c>
      <c r="E485" t="n">
        <v>37196</v>
      </c>
      <c r="F485" s="6" t="n">
        <v>15.9</v>
      </c>
      <c r="G485" t="n">
        <v>1</v>
      </c>
      <c r="H485" s="6">
        <f>ROUND(G485*F485,2)</f>
        <v/>
      </c>
      <c r="I485">
        <f>IF(ROUND(H485-D485,2)=0,1,0)</f>
        <v/>
      </c>
      <c r="J485">
        <f>IF(F485="","none",IF(G485=1,"carte","multiple"))</f>
        <v/>
      </c>
    </row>
    <row r="486">
      <c r="A486" t="inlineStr">
        <is>
          <t>2022-04-28</t>
        </is>
      </c>
      <c r="B486" t="inlineStr">
        <is>
          <t>12:29</t>
        </is>
      </c>
      <c r="C486" t="n">
        <v>2949</v>
      </c>
      <c r="D486" s="6" t="n">
        <v>3.9</v>
      </c>
      <c r="E486" t="n">
        <v>37197</v>
      </c>
      <c r="F486" s="6" t="n">
        <v>3.9</v>
      </c>
      <c r="G486" t="n">
        <v>1</v>
      </c>
      <c r="H486" s="6">
        <f>ROUND(G486*F486,2)</f>
        <v/>
      </c>
      <c r="I486">
        <f>IF(ROUND(H486-D486,2)=0,1,0)</f>
        <v/>
      </c>
      <c r="J486">
        <f>IF(F486="","none",IF(G486=1,"carte","multiple"))</f>
        <v/>
      </c>
    </row>
    <row r="487">
      <c r="A487" t="inlineStr">
        <is>
          <t>2022-04-28</t>
        </is>
      </c>
      <c r="B487" t="inlineStr">
        <is>
          <t>12:29</t>
        </is>
      </c>
      <c r="C487" t="n">
        <v>2949</v>
      </c>
      <c r="D487" s="6" t="n">
        <v>3.9</v>
      </c>
      <c r="E487" t="n">
        <v>37198</v>
      </c>
      <c r="F487" s="6" t="n">
        <v>3.9</v>
      </c>
      <c r="G487" t="n">
        <v>1</v>
      </c>
      <c r="H487" s="6">
        <f>ROUND(G487*F487,2)</f>
        <v/>
      </c>
      <c r="I487">
        <f>IF(ROUND(H487-D487,2)=0,1,0)</f>
        <v/>
      </c>
      <c r="J487">
        <f>IF(F487="","none",IF(G487=1,"carte","multiple"))</f>
        <v/>
      </c>
    </row>
    <row r="488">
      <c r="A488" t="inlineStr">
        <is>
          <t>2022-04-28</t>
        </is>
      </c>
      <c r="B488" t="inlineStr">
        <is>
          <t>12:29</t>
        </is>
      </c>
      <c r="C488" t="n">
        <v>2949</v>
      </c>
      <c r="D488" s="6" t="n">
        <v>3.9</v>
      </c>
      <c r="E488" t="n">
        <v>37199</v>
      </c>
      <c r="F488" s="6" t="n">
        <v>3.9</v>
      </c>
      <c r="G488" t="n">
        <v>1</v>
      </c>
      <c r="H488" s="6">
        <f>ROUND(G488*F488,2)</f>
        <v/>
      </c>
      <c r="I488">
        <f>IF(ROUND(H488-D488,2)=0,1,0)</f>
        <v/>
      </c>
      <c r="J488">
        <f>IF(F488="","none",IF(G488=1,"carte","multiple"))</f>
        <v/>
      </c>
    </row>
    <row r="489">
      <c r="A489" t="inlineStr">
        <is>
          <t>2022-04-28</t>
        </is>
      </c>
      <c r="B489" t="inlineStr">
        <is>
          <t>17:42</t>
        </is>
      </c>
      <c r="C489" t="n">
        <v>2949</v>
      </c>
      <c r="D489" s="6" t="n">
        <v>29.9</v>
      </c>
      <c r="E489" t="n">
        <v>37201</v>
      </c>
      <c r="F489" s="6" t="n">
        <v>29.9</v>
      </c>
      <c r="G489" t="n">
        <v>1</v>
      </c>
      <c r="H489" s="6">
        <f>ROUND(G489*F489,2)</f>
        <v/>
      </c>
      <c r="I489">
        <f>IF(ROUND(H489-D489,2)=0,1,0)</f>
        <v/>
      </c>
      <c r="J489">
        <f>IF(F489="","none",IF(G489=1,"carte","multiple"))</f>
        <v/>
      </c>
    </row>
    <row r="490">
      <c r="A490" t="inlineStr">
        <is>
          <t>2022-04-28</t>
        </is>
      </c>
      <c r="B490" t="inlineStr">
        <is>
          <t>17:44</t>
        </is>
      </c>
      <c r="C490" t="n">
        <v>2949</v>
      </c>
      <c r="D490" s="6" t="n">
        <v>29.9</v>
      </c>
      <c r="E490" t="n">
        <v>37202</v>
      </c>
      <c r="F490" s="6" t="n">
        <v>29.9</v>
      </c>
      <c r="G490" t="n">
        <v>1</v>
      </c>
      <c r="H490" s="6">
        <f>ROUND(G490*F490,2)</f>
        <v/>
      </c>
      <c r="I490">
        <f>IF(ROUND(H490-D490,2)=0,1,0)</f>
        <v/>
      </c>
      <c r="J490">
        <f>IF(F490="","none",IF(G490=1,"carte","multiple"))</f>
        <v/>
      </c>
    </row>
    <row r="491">
      <c r="A491" t="inlineStr">
        <is>
          <t>2022-04-28</t>
        </is>
      </c>
      <c r="B491" t="inlineStr">
        <is>
          <t>18:23</t>
        </is>
      </c>
      <c r="C491" t="n">
        <v>2949</v>
      </c>
      <c r="D491" s="6" t="n">
        <v>7.8</v>
      </c>
      <c r="E491" t="n">
        <v>37203</v>
      </c>
      <c r="F491" s="6" t="n">
        <v>7.8</v>
      </c>
      <c r="G491" t="n">
        <v>1</v>
      </c>
      <c r="H491" s="6">
        <f>ROUND(G491*F491,2)</f>
        <v/>
      </c>
      <c r="I491">
        <f>IF(ROUND(H491-D491,2)=0,1,0)</f>
        <v/>
      </c>
      <c r="J491">
        <f>IF(F491="","none",IF(G491=1,"carte","multiple"))</f>
        <v/>
      </c>
    </row>
    <row r="492">
      <c r="A492" t="inlineStr">
        <is>
          <t>2022-04-28</t>
        </is>
      </c>
      <c r="B492" t="inlineStr">
        <is>
          <t>18:42</t>
        </is>
      </c>
      <c r="C492" t="n">
        <v>2949</v>
      </c>
      <c r="D492" s="6" t="n">
        <v>6.4</v>
      </c>
      <c r="E492" t="n">
        <v>37204</v>
      </c>
      <c r="F492" s="6" t="n">
        <v>6.4</v>
      </c>
      <c r="G492" t="n">
        <v>1</v>
      </c>
      <c r="H492" s="6">
        <f>ROUND(G492*F492,2)</f>
        <v/>
      </c>
      <c r="I492">
        <f>IF(ROUND(H492-D492,2)=0,1,0)</f>
        <v/>
      </c>
      <c r="J492">
        <f>IF(F492="","none",IF(G492=1,"carte","multiple"))</f>
        <v/>
      </c>
    </row>
    <row r="493">
      <c r="A493" t="inlineStr">
        <is>
          <t>2022-04-28</t>
        </is>
      </c>
      <c r="B493" t="inlineStr">
        <is>
          <t>18:42</t>
        </is>
      </c>
      <c r="C493" t="n">
        <v>2949</v>
      </c>
      <c r="D493" s="6" t="n">
        <v>19.2</v>
      </c>
      <c r="E493" t="n">
        <v>37205</v>
      </c>
      <c r="F493" s="6" t="n">
        <v>0.4</v>
      </c>
      <c r="G493" t="n">
        <v>48</v>
      </c>
      <c r="H493" s="6">
        <f>ROUND(G493*F493,2)</f>
        <v/>
      </c>
      <c r="I493">
        <f>IF(ROUND(H493-D493,2)=0,1,0)</f>
        <v/>
      </c>
      <c r="J493">
        <f>IF(F493="","none",IF(G493=1,"carte","multiple"))</f>
        <v/>
      </c>
    </row>
    <row r="494">
      <c r="A494" t="inlineStr">
        <is>
          <t>2022-04-28</t>
        </is>
      </c>
      <c r="B494" t="inlineStr">
        <is>
          <t>18:42</t>
        </is>
      </c>
      <c r="C494" t="n">
        <v>2949</v>
      </c>
      <c r="D494" s="6" t="n">
        <v>39.8</v>
      </c>
      <c r="E494" t="n">
        <v>37206</v>
      </c>
      <c r="F494" s="6" t="n">
        <v>39.8</v>
      </c>
      <c r="G494" t="n">
        <v>1</v>
      </c>
      <c r="H494" s="6">
        <f>ROUND(G494*F494,2)</f>
        <v/>
      </c>
      <c r="I494">
        <f>IF(ROUND(H494-D494,2)=0,1,0)</f>
        <v/>
      </c>
      <c r="J494">
        <f>IF(F494="","none",IF(G494=1,"carte","multiple"))</f>
        <v/>
      </c>
    </row>
    <row r="495">
      <c r="A495" t="inlineStr">
        <is>
          <t>2022-04-28</t>
        </is>
      </c>
      <c r="B495" t="inlineStr">
        <is>
          <t>19:02</t>
        </is>
      </c>
      <c r="C495" t="n">
        <v>2949</v>
      </c>
      <c r="D495" s="6" t="n">
        <v>7.9</v>
      </c>
      <c r="E495" t="n">
        <v>37207</v>
      </c>
      <c r="F495" s="6" t="n">
        <v>7.9</v>
      </c>
      <c r="G495" t="n">
        <v>1</v>
      </c>
      <c r="H495" s="6">
        <f>ROUND(G495*F495,2)</f>
        <v/>
      </c>
      <c r="I495">
        <f>IF(ROUND(H495-D495,2)=0,1,0)</f>
        <v/>
      </c>
      <c r="J495">
        <f>IF(F495="","none",IF(G495=1,"carte","multiple"))</f>
        <v/>
      </c>
    </row>
    <row r="496">
      <c r="A496" t="inlineStr">
        <is>
          <t>2022-04-28</t>
        </is>
      </c>
      <c r="B496" t="inlineStr">
        <is>
          <t>19:02</t>
        </is>
      </c>
      <c r="C496" t="n">
        <v>2949</v>
      </c>
      <c r="D496" s="6" t="n">
        <v>7.9</v>
      </c>
      <c r="E496" t="n">
        <v>37208</v>
      </c>
      <c r="F496" s="6" t="n">
        <v>7.9</v>
      </c>
      <c r="G496" t="n">
        <v>1</v>
      </c>
      <c r="H496" s="6">
        <f>ROUND(G496*F496,2)</f>
        <v/>
      </c>
      <c r="I496">
        <f>IF(ROUND(H496-D496,2)=0,1,0)</f>
        <v/>
      </c>
      <c r="J496">
        <f>IF(F496="","none",IF(G496=1,"carte","multiple"))</f>
        <v/>
      </c>
    </row>
    <row r="497">
      <c r="A497" t="inlineStr">
        <is>
          <t>2022-04-28</t>
        </is>
      </c>
      <c r="B497" t="inlineStr">
        <is>
          <t>19:09</t>
        </is>
      </c>
      <c r="C497" t="n">
        <v>2949</v>
      </c>
      <c r="D497" s="6" t="n">
        <v>1.2</v>
      </c>
      <c r="E497" t="n">
        <v>37209</v>
      </c>
      <c r="F497" s="6" t="n">
        <v>1.2</v>
      </c>
      <c r="G497" t="n">
        <v>1</v>
      </c>
      <c r="H497" s="6">
        <f>ROUND(G497*F497,2)</f>
        <v/>
      </c>
      <c r="I497">
        <f>IF(ROUND(H497-D497,2)=0,1,0)</f>
        <v/>
      </c>
      <c r="J497">
        <f>IF(F497="","none",IF(G497=1,"carte","multiple"))</f>
        <v/>
      </c>
    </row>
    <row r="498">
      <c r="A498" t="inlineStr">
        <is>
          <t>2022-04-28</t>
        </is>
      </c>
      <c r="B498" t="inlineStr">
        <is>
          <t>19:09</t>
        </is>
      </c>
      <c r="C498" t="n">
        <v>2949</v>
      </c>
      <c r="D498" s="6" t="n">
        <v>4.7</v>
      </c>
      <c r="E498" t="n">
        <v>37210</v>
      </c>
      <c r="F498" s="6" t="n">
        <v>4.7</v>
      </c>
      <c r="G498" t="n">
        <v>1</v>
      </c>
      <c r="H498" s="6">
        <f>ROUND(G498*F498,2)</f>
        <v/>
      </c>
      <c r="I498">
        <f>IF(ROUND(H498-D498,2)=0,1,0)</f>
        <v/>
      </c>
      <c r="J498">
        <f>IF(F498="","none",IF(G498=1,"carte","multiple"))</f>
        <v/>
      </c>
    </row>
    <row r="499">
      <c r="A499" t="inlineStr">
        <is>
          <t>2022-04-28</t>
        </is>
      </c>
      <c r="B499" t="inlineStr">
        <is>
          <t>19:09</t>
        </is>
      </c>
      <c r="C499" t="n">
        <v>2949</v>
      </c>
      <c r="D499" s="6" t="n">
        <v>4.7</v>
      </c>
      <c r="E499" t="n">
        <v>37211</v>
      </c>
      <c r="F499" s="6" t="n">
        <v>4.7</v>
      </c>
      <c r="G499" t="n">
        <v>1</v>
      </c>
      <c r="H499" s="6">
        <f>ROUND(G499*F499,2)</f>
        <v/>
      </c>
      <c r="I499">
        <f>IF(ROUND(H499-D499,2)=0,1,0)</f>
        <v/>
      </c>
      <c r="J499">
        <f>IF(F499="","none",IF(G499=1,"carte","multiple"))</f>
        <v/>
      </c>
    </row>
    <row r="500">
      <c r="A500" t="inlineStr">
        <is>
          <t>2022-04-28</t>
        </is>
      </c>
      <c r="B500" t="inlineStr">
        <is>
          <t>19:09</t>
        </is>
      </c>
      <c r="C500" t="n">
        <v>2949</v>
      </c>
      <c r="D500" s="6" t="n">
        <v>17.6</v>
      </c>
      <c r="E500" t="n">
        <v>37212</v>
      </c>
      <c r="F500" s="6" t="n">
        <v>17.6</v>
      </c>
      <c r="G500" t="n">
        <v>1</v>
      </c>
      <c r="H500" s="6">
        <f>ROUND(G500*F500,2)</f>
        <v/>
      </c>
      <c r="I500">
        <f>IF(ROUND(H500-D500,2)=0,1,0)</f>
        <v/>
      </c>
      <c r="J500">
        <f>IF(F500="","none",IF(G500=1,"carte","multiple"))</f>
        <v/>
      </c>
    </row>
    <row r="501">
      <c r="A501" t="inlineStr">
        <is>
          <t>2022-04-28</t>
        </is>
      </c>
      <c r="B501" t="inlineStr">
        <is>
          <t>19:09</t>
        </is>
      </c>
      <c r="C501" t="n">
        <v>2949</v>
      </c>
      <c r="D501" s="6" t="n">
        <v>19</v>
      </c>
      <c r="E501" t="n">
        <v>37213</v>
      </c>
      <c r="F501" s="6" t="n">
        <v>19</v>
      </c>
      <c r="G501" t="n">
        <v>1</v>
      </c>
      <c r="H501" s="6">
        <f>ROUND(G501*F501,2)</f>
        <v/>
      </c>
      <c r="I501">
        <f>IF(ROUND(H501-D501,2)=0,1,0)</f>
        <v/>
      </c>
      <c r="J501">
        <f>IF(F501="","none",IF(G501=1,"carte","multiple"))</f>
        <v/>
      </c>
    </row>
    <row r="502">
      <c r="A502" t="inlineStr">
        <is>
          <t>2022-04-28</t>
        </is>
      </c>
      <c r="B502" t="inlineStr">
        <is>
          <t>19:09</t>
        </is>
      </c>
      <c r="C502" t="n">
        <v>2949</v>
      </c>
      <c r="D502" s="6" t="n">
        <v>6.4</v>
      </c>
      <c r="E502" t="n">
        <v>37214</v>
      </c>
      <c r="F502" s="6" t="n">
        <v>6.4</v>
      </c>
      <c r="G502" t="n">
        <v>1</v>
      </c>
      <c r="H502" s="6">
        <f>ROUND(G502*F502,2)</f>
        <v/>
      </c>
      <c r="I502">
        <f>IF(ROUND(H502-D502,2)=0,1,0)</f>
        <v/>
      </c>
      <c r="J502">
        <f>IF(F502="","none",IF(G502=1,"carte","multiple"))</f>
        <v/>
      </c>
    </row>
    <row r="503">
      <c r="A503" t="inlineStr">
        <is>
          <t>2022-04-28</t>
        </is>
      </c>
      <c r="B503" t="inlineStr">
        <is>
          <t>19:09</t>
        </is>
      </c>
      <c r="C503" t="n">
        <v>2949</v>
      </c>
      <c r="D503" s="6" t="n">
        <v>3.9</v>
      </c>
      <c r="E503" t="n">
        <v>37215</v>
      </c>
      <c r="F503" s="6" t="n">
        <v>3.9</v>
      </c>
      <c r="G503" t="n">
        <v>1</v>
      </c>
      <c r="H503" s="6">
        <f>ROUND(G503*F503,2)</f>
        <v/>
      </c>
      <c r="I503">
        <f>IF(ROUND(H503-D503,2)=0,1,0)</f>
        <v/>
      </c>
      <c r="J503">
        <f>IF(F503="","none",IF(G503=1,"carte","multiple"))</f>
        <v/>
      </c>
    </row>
    <row r="504">
      <c r="A504" t="inlineStr">
        <is>
          <t>2022-04-28</t>
        </is>
      </c>
      <c r="B504" t="inlineStr">
        <is>
          <t>19:14</t>
        </is>
      </c>
      <c r="C504" t="n">
        <v>2949</v>
      </c>
      <c r="D504" s="6" t="n">
        <v>35.2</v>
      </c>
      <c r="E504" t="n">
        <v>37216</v>
      </c>
      <c r="F504" s="6" t="n">
        <v>0.4</v>
      </c>
      <c r="G504" t="n">
        <v>88</v>
      </c>
      <c r="H504" s="6">
        <f>ROUND(G504*F504,2)</f>
        <v/>
      </c>
      <c r="I504">
        <f>IF(ROUND(H504-D504,2)=0,1,0)</f>
        <v/>
      </c>
      <c r="J504">
        <f>IF(F504="","none",IF(G504=1,"carte","multiple"))</f>
        <v/>
      </c>
    </row>
    <row r="505">
      <c r="A505" t="inlineStr">
        <is>
          <t>2022-04-28</t>
        </is>
      </c>
      <c r="B505" t="inlineStr">
        <is>
          <t>19:16</t>
        </is>
      </c>
      <c r="C505" t="n">
        <v>2949</v>
      </c>
      <c r="D505" s="6" t="n">
        <v>39.8</v>
      </c>
      <c r="E505" t="n">
        <v>37217</v>
      </c>
      <c r="F505" s="6" t="n">
        <v>39.8</v>
      </c>
      <c r="G505" t="n">
        <v>1</v>
      </c>
      <c r="H505" s="6">
        <f>ROUND(G505*F505,2)</f>
        <v/>
      </c>
      <c r="I505">
        <f>IF(ROUND(H505-D505,2)=0,1,0)</f>
        <v/>
      </c>
      <c r="J505">
        <f>IF(F505="","none",IF(G505=1,"carte","multiple"))</f>
        <v/>
      </c>
    </row>
    <row r="506">
      <c r="A506" t="inlineStr">
        <is>
          <t>2022-04-28</t>
        </is>
      </c>
      <c r="B506" t="inlineStr">
        <is>
          <t>19:16</t>
        </is>
      </c>
      <c r="C506" t="n">
        <v>2949</v>
      </c>
      <c r="D506" s="6" t="n">
        <v>13.8</v>
      </c>
      <c r="E506" t="n">
        <v>37218</v>
      </c>
      <c r="F506" s="6" t="n">
        <v>4.6</v>
      </c>
      <c r="G506" t="n">
        <v>3</v>
      </c>
      <c r="H506" s="6">
        <f>ROUND(G506*F506,2)</f>
        <v/>
      </c>
      <c r="I506">
        <f>IF(ROUND(H506-D506,2)=0,1,0)</f>
        <v/>
      </c>
      <c r="J506">
        <f>IF(F506="","none",IF(G506=1,"carte","multiple"))</f>
        <v/>
      </c>
    </row>
    <row r="507">
      <c r="A507" t="inlineStr">
        <is>
          <t>2022-04-28</t>
        </is>
      </c>
      <c r="B507" t="inlineStr">
        <is>
          <t>19:16</t>
        </is>
      </c>
      <c r="C507" t="n">
        <v>2949</v>
      </c>
      <c r="D507" s="6" t="n">
        <v>30</v>
      </c>
      <c r="E507" t="n">
        <v>37219</v>
      </c>
      <c r="F507" s="6" t="n">
        <v>30</v>
      </c>
      <c r="G507" t="n">
        <v>1</v>
      </c>
      <c r="H507" s="6">
        <f>ROUND(G507*F507,2)</f>
        <v/>
      </c>
      <c r="I507">
        <f>IF(ROUND(H507-D507,2)=0,1,0)</f>
        <v/>
      </c>
      <c r="J507">
        <f>IF(F507="","none",IF(G507=1,"carte","multiple"))</f>
        <v/>
      </c>
    </row>
    <row r="508">
      <c r="A508" t="inlineStr">
        <is>
          <t>2022-04-28</t>
        </is>
      </c>
      <c r="B508" t="inlineStr">
        <is>
          <t>20:30</t>
        </is>
      </c>
      <c r="C508" t="n">
        <v>2949</v>
      </c>
      <c r="D508" s="6" t="n">
        <v>2.2</v>
      </c>
      <c r="E508" t="n">
        <v>37220</v>
      </c>
      <c r="F508" s="6" t="n">
        <v>2.2</v>
      </c>
      <c r="G508" t="n">
        <v>1</v>
      </c>
      <c r="H508" s="6">
        <f>ROUND(G508*F508,2)</f>
        <v/>
      </c>
      <c r="I508">
        <f>IF(ROUND(H508-D508,2)=0,1,0)</f>
        <v/>
      </c>
      <c r="J508">
        <f>IF(F508="","none",IF(G508=1,"carte","multiple"))</f>
        <v/>
      </c>
    </row>
    <row r="509">
      <c r="A509" t="inlineStr">
        <is>
          <t>2022-04-28</t>
        </is>
      </c>
      <c r="B509" t="inlineStr">
        <is>
          <t>20:30</t>
        </is>
      </c>
      <c r="C509" t="n">
        <v>2949</v>
      </c>
      <c r="D509" s="6" t="n">
        <v>8.699999999999999</v>
      </c>
      <c r="E509" t="n">
        <v>37221</v>
      </c>
      <c r="F509" s="6" t="n">
        <v>8.699999999999999</v>
      </c>
      <c r="G509" t="n">
        <v>1</v>
      </c>
      <c r="H509" s="6">
        <f>ROUND(G509*F509,2)</f>
        <v/>
      </c>
      <c r="I509">
        <f>IF(ROUND(H509-D509,2)=0,1,0)</f>
        <v/>
      </c>
      <c r="J509">
        <f>IF(F509="","none",IF(G509=1,"carte","multiple"))</f>
        <v/>
      </c>
    </row>
    <row r="510">
      <c r="A510" t="inlineStr">
        <is>
          <t>2022-04-28</t>
        </is>
      </c>
      <c r="B510" t="inlineStr">
        <is>
          <t>20:30</t>
        </is>
      </c>
      <c r="C510" t="n">
        <v>2949</v>
      </c>
      <c r="D510" s="6" t="n">
        <v>8.699999999999999</v>
      </c>
      <c r="E510" t="n">
        <v>37222</v>
      </c>
      <c r="F510" s="6" t="n">
        <v>8.699999999999999</v>
      </c>
      <c r="G510" t="n">
        <v>1</v>
      </c>
      <c r="H510" s="6">
        <f>ROUND(G510*F510,2)</f>
        <v/>
      </c>
      <c r="I510">
        <f>IF(ROUND(H510-D510,2)=0,1,0)</f>
        <v/>
      </c>
      <c r="J510">
        <f>IF(F510="","none",IF(G510=1,"carte","multiple"))</f>
        <v/>
      </c>
    </row>
    <row r="511">
      <c r="A511" t="inlineStr">
        <is>
          <t>2022-04-28</t>
        </is>
      </c>
      <c r="B511" t="inlineStr">
        <is>
          <t>20:30</t>
        </is>
      </c>
      <c r="C511" t="n">
        <v>2949</v>
      </c>
      <c r="D511" s="6" t="n">
        <v>10.9</v>
      </c>
      <c r="E511" t="n">
        <v>37223</v>
      </c>
      <c r="F511" s="6" t="n">
        <v>10.9</v>
      </c>
      <c r="G511" t="n">
        <v>1</v>
      </c>
      <c r="H511" s="6">
        <f>ROUND(G511*F511,2)</f>
        <v/>
      </c>
      <c r="I511">
        <f>IF(ROUND(H511-D511,2)=0,1,0)</f>
        <v/>
      </c>
      <c r="J511">
        <f>IF(F511="","none",IF(G511=1,"carte","multiple"))</f>
        <v/>
      </c>
    </row>
    <row r="512">
      <c r="A512" t="inlineStr">
        <is>
          <t>2022-04-28</t>
        </is>
      </c>
      <c r="B512" t="inlineStr">
        <is>
          <t>20:30</t>
        </is>
      </c>
      <c r="C512" t="n">
        <v>2949</v>
      </c>
      <c r="D512" s="6" t="n">
        <v>10.5</v>
      </c>
      <c r="E512" t="n">
        <v>37224</v>
      </c>
      <c r="F512" s="6" t="n">
        <v>10.5</v>
      </c>
      <c r="G512" t="n">
        <v>1</v>
      </c>
      <c r="H512" s="6">
        <f>ROUND(G512*F512,2)</f>
        <v/>
      </c>
      <c r="I512">
        <f>IF(ROUND(H512-D512,2)=0,1,0)</f>
        <v/>
      </c>
      <c r="J512">
        <f>IF(F512="","none",IF(G512=1,"carte","multiple"))</f>
        <v/>
      </c>
    </row>
    <row r="513">
      <c r="A513" t="inlineStr">
        <is>
          <t>2022-04-28</t>
        </is>
      </c>
      <c r="B513" t="inlineStr">
        <is>
          <t>20:30</t>
        </is>
      </c>
      <c r="C513" t="n">
        <v>2949</v>
      </c>
      <c r="D513" s="6" t="n">
        <v>6</v>
      </c>
      <c r="E513" t="n">
        <v>37225</v>
      </c>
      <c r="F513" s="6" t="n">
        <v>6</v>
      </c>
      <c r="G513" t="n">
        <v>1</v>
      </c>
      <c r="H513" s="6">
        <f>ROUND(G513*F513,2)</f>
        <v/>
      </c>
      <c r="I513">
        <f>IF(ROUND(H513-D513,2)=0,1,0)</f>
        <v/>
      </c>
      <c r="J513">
        <f>IF(F513="","none",IF(G513=1,"carte","multiple"))</f>
        <v/>
      </c>
    </row>
    <row r="514">
      <c r="A514" t="inlineStr">
        <is>
          <t>2022-04-28</t>
        </is>
      </c>
      <c r="B514" t="inlineStr">
        <is>
          <t>20:30</t>
        </is>
      </c>
      <c r="C514" t="n">
        <v>2949</v>
      </c>
      <c r="D514" s="6" t="n">
        <v>4.9</v>
      </c>
      <c r="E514" t="n">
        <v>37226</v>
      </c>
      <c r="F514" s="6" t="n">
        <v>4.9</v>
      </c>
      <c r="G514" t="n">
        <v>1</v>
      </c>
      <c r="H514" s="6">
        <f>ROUND(G514*F514,2)</f>
        <v/>
      </c>
      <c r="I514">
        <f>IF(ROUND(H514-D514,2)=0,1,0)</f>
        <v/>
      </c>
      <c r="J514">
        <f>IF(F514="","none",IF(G514=1,"carte","multiple"))</f>
        <v/>
      </c>
    </row>
    <row r="515">
      <c r="A515" t="inlineStr">
        <is>
          <t>2022-04-28</t>
        </is>
      </c>
      <c r="B515" t="inlineStr">
        <is>
          <t>20:30</t>
        </is>
      </c>
      <c r="C515" t="n">
        <v>2949</v>
      </c>
      <c r="D515" s="6" t="n">
        <v>13.9</v>
      </c>
      <c r="E515" t="n">
        <v>37227</v>
      </c>
      <c r="F515" s="6" t="n">
        <v>13.9</v>
      </c>
      <c r="G515" t="n">
        <v>1</v>
      </c>
      <c r="H515" s="6">
        <f>ROUND(G515*F515,2)</f>
        <v/>
      </c>
      <c r="I515">
        <f>IF(ROUND(H515-D515,2)=0,1,0)</f>
        <v/>
      </c>
      <c r="J515">
        <f>IF(F515="","none",IF(G515=1,"carte","multiple"))</f>
        <v/>
      </c>
    </row>
    <row r="516">
      <c r="A516" t="inlineStr">
        <is>
          <t>2022-04-28</t>
        </is>
      </c>
      <c r="B516" t="inlineStr">
        <is>
          <t>20:30</t>
        </is>
      </c>
      <c r="C516" t="n">
        <v>2949</v>
      </c>
      <c r="D516" s="6" t="n">
        <v>21.6</v>
      </c>
      <c r="E516" t="n">
        <v>37228</v>
      </c>
      <c r="F516" s="6" t="n">
        <v>21.6</v>
      </c>
      <c r="G516" t="n">
        <v>1</v>
      </c>
      <c r="H516" s="6">
        <f>ROUND(G516*F516,2)</f>
        <v/>
      </c>
      <c r="I516">
        <f>IF(ROUND(H516-D516,2)=0,1,0)</f>
        <v/>
      </c>
      <c r="J516">
        <f>IF(F516="","none",IF(G516=1,"carte","multiple"))</f>
        <v/>
      </c>
    </row>
    <row r="517">
      <c r="A517" t="inlineStr">
        <is>
          <t>2022-04-28</t>
        </is>
      </c>
      <c r="B517" t="inlineStr">
        <is>
          <t>20:30</t>
        </is>
      </c>
      <c r="C517" t="n">
        <v>2949</v>
      </c>
      <c r="D517" s="6" t="n">
        <v>29</v>
      </c>
      <c r="E517" t="n">
        <v>37229</v>
      </c>
      <c r="F517" s="6" t="n">
        <v>29</v>
      </c>
      <c r="G517" t="n">
        <v>1</v>
      </c>
      <c r="H517" s="6">
        <f>ROUND(G517*F517,2)</f>
        <v/>
      </c>
      <c r="I517">
        <f>IF(ROUND(H517-D517,2)=0,1,0)</f>
        <v/>
      </c>
      <c r="J517">
        <f>IF(F517="","none",IF(G517=1,"carte","multiple"))</f>
        <v/>
      </c>
    </row>
    <row r="518">
      <c r="A518" t="inlineStr">
        <is>
          <t>2022-04-28</t>
        </is>
      </c>
      <c r="B518" t="inlineStr">
        <is>
          <t>20:30</t>
        </is>
      </c>
      <c r="C518" t="n">
        <v>2949</v>
      </c>
      <c r="D518" s="6" t="n">
        <v>10.4</v>
      </c>
      <c r="E518" t="n">
        <v>37230</v>
      </c>
      <c r="F518" s="6" t="n">
        <v>0.4</v>
      </c>
      <c r="G518" t="n">
        <v>26</v>
      </c>
      <c r="H518" s="6">
        <f>ROUND(G518*F518,2)</f>
        <v/>
      </c>
      <c r="I518">
        <f>IF(ROUND(H518-D518,2)=0,1,0)</f>
        <v/>
      </c>
      <c r="J518">
        <f>IF(F518="","none",IF(G518=1,"carte","multiple"))</f>
        <v/>
      </c>
    </row>
    <row r="519">
      <c r="A519" t="inlineStr">
        <is>
          <t>2022-04-29</t>
        </is>
      </c>
      <c r="B519" t="inlineStr">
        <is>
          <t>10:39</t>
        </is>
      </c>
      <c r="C519" t="n">
        <v>2950</v>
      </c>
      <c r="D519" s="6" t="n">
        <v>4.9</v>
      </c>
      <c r="E519" t="n">
        <v>37233</v>
      </c>
      <c r="F519" s="6" t="n">
        <v>4.9</v>
      </c>
      <c r="G519" t="n">
        <v>1</v>
      </c>
      <c r="H519" s="6">
        <f>ROUND(G519*F519,2)</f>
        <v/>
      </c>
      <c r="I519">
        <f>IF(ROUND(H519-D519,2)=0,1,0)</f>
        <v/>
      </c>
      <c r="J519">
        <f>IF(F519="","none",IF(G519=1,"carte","multiple"))</f>
        <v/>
      </c>
    </row>
    <row r="520">
      <c r="A520" t="inlineStr">
        <is>
          <t>2022-04-29</t>
        </is>
      </c>
      <c r="B520" t="inlineStr">
        <is>
          <t>10:43</t>
        </is>
      </c>
      <c r="C520" t="n">
        <v>2950</v>
      </c>
      <c r="D520" s="6" t="n">
        <v>64</v>
      </c>
      <c r="E520" t="n">
        <v>37234</v>
      </c>
      <c r="F520" s="6" t="n">
        <v>64</v>
      </c>
      <c r="G520" t="n">
        <v>1</v>
      </c>
      <c r="H520" s="6">
        <f>ROUND(G520*F520,2)</f>
        <v/>
      </c>
      <c r="I520">
        <f>IF(ROUND(H520-D520,2)=0,1,0)</f>
        <v/>
      </c>
      <c r="J520">
        <f>IF(F520="","none",IF(G520=1,"carte","multiple"))</f>
        <v/>
      </c>
    </row>
    <row r="521">
      <c r="A521" t="inlineStr">
        <is>
          <t>2022-04-29</t>
        </is>
      </c>
      <c r="B521" t="inlineStr">
        <is>
          <t>10:43</t>
        </is>
      </c>
      <c r="C521" t="n">
        <v>2950</v>
      </c>
      <c r="D521" s="6" t="n">
        <v>5.9</v>
      </c>
      <c r="E521" t="n">
        <v>37235</v>
      </c>
      <c r="F521" s="6" t="n">
        <v>5.9</v>
      </c>
      <c r="G521" t="n">
        <v>1</v>
      </c>
      <c r="H521" s="6">
        <f>ROUND(G521*F521,2)</f>
        <v/>
      </c>
      <c r="I521">
        <f>IF(ROUND(H521-D521,2)=0,1,0)</f>
        <v/>
      </c>
      <c r="J521">
        <f>IF(F521="","none",IF(G521=1,"carte","multiple"))</f>
        <v/>
      </c>
    </row>
    <row r="522">
      <c r="A522" t="inlineStr">
        <is>
          <t>2022-04-29</t>
        </is>
      </c>
      <c r="B522" t="inlineStr">
        <is>
          <t>11:44</t>
        </is>
      </c>
      <c r="C522" t="n">
        <v>2950</v>
      </c>
      <c r="D522" s="6" t="n">
        <v>3.9</v>
      </c>
      <c r="E522" t="n">
        <v>37236</v>
      </c>
      <c r="F522" s="6" t="n">
        <v>3.9</v>
      </c>
      <c r="G522" t="n">
        <v>1</v>
      </c>
      <c r="H522" s="6">
        <f>ROUND(G522*F522,2)</f>
        <v/>
      </c>
      <c r="I522">
        <f>IF(ROUND(H522-D522,2)=0,1,0)</f>
        <v/>
      </c>
      <c r="J522">
        <f>IF(F522="","none",IF(G522=1,"carte","multiple"))</f>
        <v/>
      </c>
    </row>
    <row r="523">
      <c r="A523" t="inlineStr">
        <is>
          <t>2022-04-29</t>
        </is>
      </c>
      <c r="B523" t="inlineStr">
        <is>
          <t>11:44</t>
        </is>
      </c>
      <c r="C523" t="n">
        <v>2950</v>
      </c>
      <c r="D523" s="6" t="n">
        <v>9.800000000000001</v>
      </c>
      <c r="E523" t="n">
        <v>37237</v>
      </c>
      <c r="F523" s="6" t="n">
        <v>9.800000000000001</v>
      </c>
      <c r="G523" t="n">
        <v>1</v>
      </c>
      <c r="H523" s="6">
        <f>ROUND(G523*F523,2)</f>
        <v/>
      </c>
      <c r="I523">
        <f>IF(ROUND(H523-D523,2)=0,1,0)</f>
        <v/>
      </c>
      <c r="J523">
        <f>IF(F523="","none",IF(G523=1,"carte","multiple"))</f>
        <v/>
      </c>
    </row>
    <row r="524">
      <c r="A524" t="inlineStr">
        <is>
          <t>2022-04-29</t>
        </is>
      </c>
      <c r="B524" t="inlineStr">
        <is>
          <t>11:44</t>
        </is>
      </c>
      <c r="C524" t="n">
        <v>2950</v>
      </c>
      <c r="D524" s="6" t="n">
        <v>38</v>
      </c>
      <c r="E524" t="n">
        <v>37238</v>
      </c>
      <c r="F524" s="6" t="n">
        <v>0.4</v>
      </c>
      <c r="G524" t="n">
        <v>95</v>
      </c>
      <c r="H524" s="6">
        <f>ROUND(G524*F524,2)</f>
        <v/>
      </c>
      <c r="I524">
        <f>IF(ROUND(H524-D524,2)=0,1,0)</f>
        <v/>
      </c>
      <c r="J524">
        <f>IF(F524="","none",IF(G524=1,"carte","multiple"))</f>
        <v/>
      </c>
    </row>
    <row r="525">
      <c r="A525" t="inlineStr">
        <is>
          <t>2022-04-29</t>
        </is>
      </c>
      <c r="B525" t="inlineStr">
        <is>
          <t>11:44</t>
        </is>
      </c>
      <c r="C525" t="n">
        <v>2950</v>
      </c>
      <c r="D525" s="6" t="n">
        <v>4.2</v>
      </c>
      <c r="E525" t="n">
        <v>37239</v>
      </c>
      <c r="F525" s="6" t="n">
        <v>4.2</v>
      </c>
      <c r="G525" t="n">
        <v>1</v>
      </c>
      <c r="H525" s="6">
        <f>ROUND(G525*F525,2)</f>
        <v/>
      </c>
      <c r="I525">
        <f>IF(ROUND(H525-D525,2)=0,1,0)</f>
        <v/>
      </c>
      <c r="J525">
        <f>IF(F525="","none",IF(G525=1,"carte","multiple"))</f>
        <v/>
      </c>
    </row>
    <row r="526">
      <c r="A526" t="inlineStr">
        <is>
          <t>2022-04-29</t>
        </is>
      </c>
      <c r="B526" t="inlineStr">
        <is>
          <t>11:44</t>
        </is>
      </c>
      <c r="C526" t="n">
        <v>2950</v>
      </c>
      <c r="D526" s="6" t="n">
        <v>3.9</v>
      </c>
      <c r="E526" t="n">
        <v>37240</v>
      </c>
      <c r="F526" s="6" t="n">
        <v>3.9</v>
      </c>
      <c r="G526" t="n">
        <v>1</v>
      </c>
      <c r="H526" s="6">
        <f>ROUND(G526*F526,2)</f>
        <v/>
      </c>
      <c r="I526">
        <f>IF(ROUND(H526-D526,2)=0,1,0)</f>
        <v/>
      </c>
      <c r="J526">
        <f>IF(F526="","none",IF(G526=1,"carte","multiple"))</f>
        <v/>
      </c>
    </row>
    <row r="527">
      <c r="A527" t="inlineStr">
        <is>
          <t>2022-04-29</t>
        </is>
      </c>
      <c r="B527" t="inlineStr">
        <is>
          <t>11:45</t>
        </is>
      </c>
      <c r="C527" t="n">
        <v>2950</v>
      </c>
      <c r="D527" s="6" t="n">
        <v>59.2</v>
      </c>
      <c r="E527" t="n">
        <v>37241</v>
      </c>
      <c r="F527" s="6" t="n">
        <v>0.4</v>
      </c>
      <c r="G527" t="n">
        <v>148</v>
      </c>
      <c r="H527" s="6">
        <f>ROUND(G527*F527,2)</f>
        <v/>
      </c>
      <c r="I527">
        <f>IF(ROUND(H527-D527,2)=0,1,0)</f>
        <v/>
      </c>
      <c r="J527">
        <f>IF(F527="","none",IF(G527=1,"carte","multiple"))</f>
        <v/>
      </c>
    </row>
    <row r="528">
      <c r="A528" t="inlineStr">
        <is>
          <t>2022-04-29</t>
        </is>
      </c>
      <c r="B528" t="inlineStr">
        <is>
          <t>12:07</t>
        </is>
      </c>
      <c r="C528" t="n">
        <v>2950</v>
      </c>
      <c r="D528" s="6" t="n">
        <v>32</v>
      </c>
      <c r="E528" t="n">
        <v>37242</v>
      </c>
      <c r="F528" s="6" t="n">
        <v>32</v>
      </c>
      <c r="G528" t="n">
        <v>1</v>
      </c>
      <c r="H528" s="6">
        <f>ROUND(G528*F528,2)</f>
        <v/>
      </c>
      <c r="I528">
        <f>IF(ROUND(H528-D528,2)=0,1,0)</f>
        <v/>
      </c>
      <c r="J528">
        <f>IF(F528="","none",IF(G528=1,"carte","multiple"))</f>
        <v/>
      </c>
    </row>
    <row r="529">
      <c r="A529" t="inlineStr">
        <is>
          <t>2022-04-29</t>
        </is>
      </c>
      <c r="B529" t="inlineStr">
        <is>
          <t>12:07</t>
        </is>
      </c>
      <c r="C529" t="n">
        <v>2950</v>
      </c>
      <c r="D529" s="6" t="n">
        <v>35.2</v>
      </c>
      <c r="E529" t="n">
        <v>37243</v>
      </c>
      <c r="F529" s="6" t="n">
        <v>0.4</v>
      </c>
      <c r="G529" t="n">
        <v>88</v>
      </c>
      <c r="H529" s="6">
        <f>ROUND(G529*F529,2)</f>
        <v/>
      </c>
      <c r="I529">
        <f>IF(ROUND(H529-D529,2)=0,1,0)</f>
        <v/>
      </c>
      <c r="J529">
        <f>IF(F529="","none",IF(G529=1,"carte","multiple"))</f>
        <v/>
      </c>
    </row>
    <row r="530">
      <c r="A530" t="inlineStr">
        <is>
          <t>2022-04-29</t>
        </is>
      </c>
      <c r="B530" t="inlineStr">
        <is>
          <t>12:07</t>
        </is>
      </c>
      <c r="C530" t="n">
        <v>2950</v>
      </c>
      <c r="D530" s="6" t="n">
        <v>7.2</v>
      </c>
      <c r="E530" t="n">
        <v>37244</v>
      </c>
      <c r="F530" s="6" t="n">
        <v>7.2</v>
      </c>
      <c r="G530" t="n">
        <v>1</v>
      </c>
      <c r="H530" s="6">
        <f>ROUND(G530*F530,2)</f>
        <v/>
      </c>
      <c r="I530">
        <f>IF(ROUND(H530-D530,2)=0,1,0)</f>
        <v/>
      </c>
      <c r="J530">
        <f>IF(F530="","none",IF(G530=1,"carte","multiple"))</f>
        <v/>
      </c>
    </row>
    <row r="531">
      <c r="A531" t="inlineStr">
        <is>
          <t>2022-04-29</t>
        </is>
      </c>
      <c r="B531" t="inlineStr">
        <is>
          <t>12:21</t>
        </is>
      </c>
      <c r="C531" t="n">
        <v>2950</v>
      </c>
      <c r="D531" s="6" t="n">
        <v>2.2</v>
      </c>
      <c r="E531" t="n">
        <v>37245</v>
      </c>
      <c r="F531" s="6" t="n">
        <v>2.2</v>
      </c>
      <c r="G531" t="n">
        <v>1</v>
      </c>
      <c r="H531" s="6">
        <f>ROUND(G531*F531,2)</f>
        <v/>
      </c>
      <c r="I531">
        <f>IF(ROUND(H531-D531,2)=0,1,0)</f>
        <v/>
      </c>
      <c r="J531">
        <f>IF(F531="","none",IF(G531=1,"carte","multiple"))</f>
        <v/>
      </c>
    </row>
    <row r="532">
      <c r="A532" t="inlineStr">
        <is>
          <t>2022-04-29</t>
        </is>
      </c>
      <c r="B532" t="inlineStr">
        <is>
          <t>12:21</t>
        </is>
      </c>
      <c r="C532" t="n">
        <v>2950</v>
      </c>
      <c r="D532" s="6" t="n">
        <v>5.9</v>
      </c>
      <c r="E532" t="n">
        <v>37246</v>
      </c>
      <c r="F532" s="6" t="n">
        <v>5.9</v>
      </c>
      <c r="G532" t="n">
        <v>1</v>
      </c>
      <c r="H532" s="6">
        <f>ROUND(G532*F532,2)</f>
        <v/>
      </c>
      <c r="I532">
        <f>IF(ROUND(H532-D532,2)=0,1,0)</f>
        <v/>
      </c>
      <c r="J532">
        <f>IF(F532="","none",IF(G532=1,"carte","multiple"))</f>
        <v/>
      </c>
    </row>
    <row r="533">
      <c r="A533" t="inlineStr">
        <is>
          <t>2022-04-29</t>
        </is>
      </c>
      <c r="B533" t="inlineStr">
        <is>
          <t>12:21</t>
        </is>
      </c>
      <c r="C533" t="n">
        <v>2950</v>
      </c>
      <c r="D533" s="6" t="n">
        <v>33.8</v>
      </c>
      <c r="E533" t="n">
        <v>37247</v>
      </c>
      <c r="F533" s="6" t="n">
        <v>16.9</v>
      </c>
      <c r="G533" t="n">
        <v>2</v>
      </c>
      <c r="H533" s="6">
        <f>ROUND(G533*F533,2)</f>
        <v/>
      </c>
      <c r="I533">
        <f>IF(ROUND(H533-D533,2)=0,1,0)</f>
        <v/>
      </c>
      <c r="J533">
        <f>IF(F533="","none",IF(G533=1,"carte","multiple"))</f>
        <v/>
      </c>
    </row>
    <row r="534">
      <c r="A534" t="inlineStr">
        <is>
          <t>2022-04-29</t>
        </is>
      </c>
      <c r="B534" t="inlineStr">
        <is>
          <t>12:21</t>
        </is>
      </c>
      <c r="C534" t="n">
        <v>2950</v>
      </c>
      <c r="D534" s="6" t="n">
        <v>8.4</v>
      </c>
      <c r="E534" t="n">
        <v>37248</v>
      </c>
      <c r="F534" s="6" t="n">
        <v>8.4</v>
      </c>
      <c r="G534" t="n">
        <v>1</v>
      </c>
      <c r="H534" s="6">
        <f>ROUND(G534*F534,2)</f>
        <v/>
      </c>
      <c r="I534">
        <f>IF(ROUND(H534-D534,2)=0,1,0)</f>
        <v/>
      </c>
      <c r="J534">
        <f>IF(F534="","none",IF(G534=1,"carte","multiple"))</f>
        <v/>
      </c>
    </row>
    <row r="535">
      <c r="A535" t="inlineStr">
        <is>
          <t>2022-04-29</t>
        </is>
      </c>
      <c r="B535" t="inlineStr">
        <is>
          <t>12:21</t>
        </is>
      </c>
      <c r="C535" t="n">
        <v>2950</v>
      </c>
      <c r="D535" s="6" t="n">
        <v>3.6</v>
      </c>
      <c r="E535" t="n">
        <v>37249</v>
      </c>
      <c r="F535" s="6" t="n">
        <v>3.6</v>
      </c>
      <c r="G535" t="n">
        <v>1</v>
      </c>
      <c r="H535" s="6">
        <f>ROUND(G535*F535,2)</f>
        <v/>
      </c>
      <c r="I535">
        <f>IF(ROUND(H535-D535,2)=0,1,0)</f>
        <v/>
      </c>
      <c r="J535">
        <f>IF(F535="","none",IF(G535=1,"carte","multiple"))</f>
        <v/>
      </c>
    </row>
    <row r="536">
      <c r="A536" t="inlineStr">
        <is>
          <t>2022-04-29</t>
        </is>
      </c>
      <c r="B536" t="inlineStr">
        <is>
          <t>12:21</t>
        </is>
      </c>
      <c r="C536" t="n">
        <v>2950</v>
      </c>
      <c r="D536" s="6" t="n">
        <v>5.9</v>
      </c>
      <c r="E536" t="n">
        <v>37250</v>
      </c>
      <c r="F536" s="6" t="n">
        <v>5.9</v>
      </c>
      <c r="G536" t="n">
        <v>1</v>
      </c>
      <c r="H536" s="6">
        <f>ROUND(G536*F536,2)</f>
        <v/>
      </c>
      <c r="I536">
        <f>IF(ROUND(H536-D536,2)=0,1,0)</f>
        <v/>
      </c>
      <c r="J536">
        <f>IF(F536="","none",IF(G536=1,"carte","multiple"))</f>
        <v/>
      </c>
    </row>
    <row r="537">
      <c r="A537" t="inlineStr">
        <is>
          <t>2022-04-29</t>
        </is>
      </c>
      <c r="B537" t="inlineStr">
        <is>
          <t>12:27</t>
        </is>
      </c>
      <c r="C537" t="n">
        <v>2950</v>
      </c>
      <c r="D537" s="6" t="n">
        <v>3.8</v>
      </c>
      <c r="E537" t="n">
        <v>37251</v>
      </c>
      <c r="F537" s="6" t="n">
        <v>3.8</v>
      </c>
      <c r="G537" t="n">
        <v>1</v>
      </c>
      <c r="H537" s="6">
        <f>ROUND(G537*F537,2)</f>
        <v/>
      </c>
      <c r="I537">
        <f>IF(ROUND(H537-D537,2)=0,1,0)</f>
        <v/>
      </c>
      <c r="J537">
        <f>IF(F537="","none",IF(G537=1,"carte","multiple"))</f>
        <v/>
      </c>
    </row>
    <row r="538">
      <c r="A538" t="inlineStr">
        <is>
          <t>2022-04-29</t>
        </is>
      </c>
      <c r="B538" t="inlineStr">
        <is>
          <t>12:50</t>
        </is>
      </c>
      <c r="C538" t="n">
        <v>2950</v>
      </c>
      <c r="D538" s="6" t="n">
        <v>10.5</v>
      </c>
      <c r="E538" t="n">
        <v>37252</v>
      </c>
      <c r="F538" s="6" t="n">
        <v>10.5</v>
      </c>
      <c r="G538" t="n">
        <v>1</v>
      </c>
      <c r="H538" s="6">
        <f>ROUND(G538*F538,2)</f>
        <v/>
      </c>
      <c r="I538">
        <f>IF(ROUND(H538-D538,2)=0,1,0)</f>
        <v/>
      </c>
      <c r="J538">
        <f>IF(F538="","none",IF(G538=1,"carte","multiple"))</f>
        <v/>
      </c>
    </row>
    <row r="539">
      <c r="A539" t="inlineStr">
        <is>
          <t>2022-04-29</t>
        </is>
      </c>
      <c r="B539" t="inlineStr">
        <is>
          <t>12:50</t>
        </is>
      </c>
      <c r="C539" t="n">
        <v>2950</v>
      </c>
      <c r="D539" s="6" t="n">
        <v>10.7</v>
      </c>
      <c r="E539" t="n">
        <v>37253</v>
      </c>
      <c r="F539" s="6" t="n">
        <v>10.7</v>
      </c>
      <c r="G539" t="n">
        <v>1</v>
      </c>
      <c r="H539" s="6">
        <f>ROUND(G539*F539,2)</f>
        <v/>
      </c>
      <c r="I539">
        <f>IF(ROUND(H539-D539,2)=0,1,0)</f>
        <v/>
      </c>
      <c r="J539">
        <f>IF(F539="","none",IF(G539=1,"carte","multiple"))</f>
        <v/>
      </c>
    </row>
    <row r="540">
      <c r="A540" t="inlineStr">
        <is>
          <t>2022-04-29</t>
        </is>
      </c>
      <c r="B540" t="inlineStr">
        <is>
          <t>12:50</t>
        </is>
      </c>
      <c r="C540" t="n">
        <v>2950</v>
      </c>
      <c r="D540" s="6" t="n">
        <v>19.9</v>
      </c>
      <c r="E540" t="n">
        <v>37254</v>
      </c>
      <c r="F540" s="6" t="n">
        <v>19.9</v>
      </c>
      <c r="G540" t="n">
        <v>1</v>
      </c>
      <c r="H540" s="6">
        <f>ROUND(G540*F540,2)</f>
        <v/>
      </c>
      <c r="I540">
        <f>IF(ROUND(H540-D540,2)=0,1,0)</f>
        <v/>
      </c>
      <c r="J540">
        <f>IF(F540="","none",IF(G540=1,"carte","multiple"))</f>
        <v/>
      </c>
    </row>
    <row r="541">
      <c r="A541" t="inlineStr">
        <is>
          <t>2022-04-29</t>
        </is>
      </c>
      <c r="B541" t="inlineStr">
        <is>
          <t>12:50</t>
        </is>
      </c>
      <c r="C541" t="n">
        <v>2950</v>
      </c>
      <c r="D541" s="6" t="n">
        <v>17.6</v>
      </c>
      <c r="E541" t="n">
        <v>37255</v>
      </c>
      <c r="F541" s="6" t="n">
        <v>17.6</v>
      </c>
      <c r="G541" t="n">
        <v>1</v>
      </c>
      <c r="H541" s="6">
        <f>ROUND(G541*F541,2)</f>
        <v/>
      </c>
      <c r="I541">
        <f>IF(ROUND(H541-D541,2)=0,1,0)</f>
        <v/>
      </c>
      <c r="J541">
        <f>IF(F541="","none",IF(G541=1,"carte","multiple"))</f>
        <v/>
      </c>
    </row>
    <row r="542">
      <c r="A542" t="inlineStr">
        <is>
          <t>2022-04-29</t>
        </is>
      </c>
      <c r="B542" t="inlineStr">
        <is>
          <t>12:50</t>
        </is>
      </c>
      <c r="C542" t="n">
        <v>2950</v>
      </c>
      <c r="D542" s="6" t="n">
        <v>8.9</v>
      </c>
      <c r="E542" t="n">
        <v>37256</v>
      </c>
      <c r="F542" s="6" t="n">
        <v>8.9</v>
      </c>
      <c r="G542" t="n">
        <v>1</v>
      </c>
      <c r="H542" s="6">
        <f>ROUND(G542*F542,2)</f>
        <v/>
      </c>
      <c r="I542">
        <f>IF(ROUND(H542-D542,2)=0,1,0)</f>
        <v/>
      </c>
      <c r="J542">
        <f>IF(F542="","none",IF(G542=1,"carte","multiple"))</f>
        <v/>
      </c>
    </row>
    <row r="543">
      <c r="A543" t="inlineStr">
        <is>
          <t>2022-04-29</t>
        </is>
      </c>
      <c r="B543" t="inlineStr">
        <is>
          <t>12:50</t>
        </is>
      </c>
      <c r="C543" t="n">
        <v>2950</v>
      </c>
      <c r="D543" s="6" t="n">
        <v>7.9</v>
      </c>
      <c r="E543" t="n">
        <v>37257</v>
      </c>
      <c r="F543" s="6" t="n">
        <v>7.9</v>
      </c>
      <c r="G543" t="n">
        <v>1</v>
      </c>
      <c r="H543" s="6">
        <f>ROUND(G543*F543,2)</f>
        <v/>
      </c>
      <c r="I543">
        <f>IF(ROUND(H543-D543,2)=0,1,0)</f>
        <v/>
      </c>
      <c r="J543">
        <f>IF(F543="","none",IF(G543=1,"carte","multiple"))</f>
        <v/>
      </c>
    </row>
    <row r="544">
      <c r="A544" t="inlineStr">
        <is>
          <t>2022-04-29</t>
        </is>
      </c>
      <c r="B544" t="inlineStr">
        <is>
          <t>12:50</t>
        </is>
      </c>
      <c r="C544" t="n">
        <v>2950</v>
      </c>
      <c r="D544" s="6" t="n">
        <v>5.2</v>
      </c>
      <c r="E544" t="n">
        <v>37258</v>
      </c>
      <c r="F544" s="6" t="n">
        <v>5.2</v>
      </c>
      <c r="G544" t="n">
        <v>1</v>
      </c>
      <c r="H544" s="6">
        <f>ROUND(G544*F544,2)</f>
        <v/>
      </c>
      <c r="I544">
        <f>IF(ROUND(H544-D544,2)=0,1,0)</f>
        <v/>
      </c>
      <c r="J544">
        <f>IF(F544="","none",IF(G544=1,"carte","multiple"))</f>
        <v/>
      </c>
    </row>
    <row r="545">
      <c r="A545" t="inlineStr">
        <is>
          <t>2022-04-29</t>
        </is>
      </c>
      <c r="B545" t="inlineStr">
        <is>
          <t>13:21</t>
        </is>
      </c>
      <c r="C545" t="n">
        <v>2950</v>
      </c>
      <c r="D545" s="6" t="n">
        <v>3.9</v>
      </c>
      <c r="E545" t="n">
        <v>37259</v>
      </c>
      <c r="F545" s="6" t="n">
        <v>3.9</v>
      </c>
      <c r="G545" t="n">
        <v>1</v>
      </c>
      <c r="H545" s="6">
        <f>ROUND(G545*F545,2)</f>
        <v/>
      </c>
      <c r="I545">
        <f>IF(ROUND(H545-D545,2)=0,1,0)</f>
        <v/>
      </c>
      <c r="J545">
        <f>IF(F545="","none",IF(G545=1,"carte","multiple"))</f>
        <v/>
      </c>
    </row>
    <row r="546">
      <c r="A546" t="inlineStr">
        <is>
          <t>2022-04-29</t>
        </is>
      </c>
      <c r="B546" t="inlineStr">
        <is>
          <t>13:21</t>
        </is>
      </c>
      <c r="C546" t="n">
        <v>2950</v>
      </c>
      <c r="D546" s="6" t="n">
        <v>16.9</v>
      </c>
      <c r="E546" t="n">
        <v>37260</v>
      </c>
      <c r="F546" s="6" t="n">
        <v>16.9</v>
      </c>
      <c r="G546" t="n">
        <v>1</v>
      </c>
      <c r="H546" s="6">
        <f>ROUND(G546*F546,2)</f>
        <v/>
      </c>
      <c r="I546">
        <f>IF(ROUND(H546-D546,2)=0,1,0)</f>
        <v/>
      </c>
      <c r="J546">
        <f>IF(F546="","none",IF(G546=1,"carte","multiple"))</f>
        <v/>
      </c>
    </row>
    <row r="547">
      <c r="A547" t="inlineStr">
        <is>
          <t>2022-04-29</t>
        </is>
      </c>
      <c r="B547" t="inlineStr">
        <is>
          <t>13:21</t>
        </is>
      </c>
      <c r="C547" t="n">
        <v>2950</v>
      </c>
      <c r="D547" s="6" t="n">
        <v>5.9</v>
      </c>
      <c r="E547" t="n">
        <v>37261</v>
      </c>
      <c r="F547" s="6" t="n">
        <v>5.9</v>
      </c>
      <c r="G547" t="n">
        <v>1</v>
      </c>
      <c r="H547" s="6">
        <f>ROUND(G547*F547,2)</f>
        <v/>
      </c>
      <c r="I547">
        <f>IF(ROUND(H547-D547,2)=0,1,0)</f>
        <v/>
      </c>
      <c r="J547">
        <f>IF(F547="","none",IF(G547=1,"carte","multiple"))</f>
        <v/>
      </c>
    </row>
    <row r="548">
      <c r="A548" t="inlineStr">
        <is>
          <t>2022-04-29</t>
        </is>
      </c>
      <c r="B548" t="inlineStr">
        <is>
          <t>13:21</t>
        </is>
      </c>
      <c r="C548" t="n">
        <v>2950</v>
      </c>
      <c r="D548" s="6" t="n">
        <v>16.4</v>
      </c>
      <c r="E548" t="n">
        <v>37262</v>
      </c>
      <c r="F548" s="6" t="n">
        <v>16.4</v>
      </c>
      <c r="G548" t="n">
        <v>1</v>
      </c>
      <c r="H548" s="6">
        <f>ROUND(G548*F548,2)</f>
        <v/>
      </c>
      <c r="I548">
        <f>IF(ROUND(H548-D548,2)=0,1,0)</f>
        <v/>
      </c>
      <c r="J548">
        <f>IF(F548="","none",IF(G548=1,"carte","multiple"))</f>
        <v/>
      </c>
    </row>
    <row r="549">
      <c r="A549" t="inlineStr">
        <is>
          <t>2022-04-29</t>
        </is>
      </c>
      <c r="B549" t="inlineStr">
        <is>
          <t>13:21</t>
        </is>
      </c>
      <c r="C549" t="n">
        <v>2950</v>
      </c>
      <c r="D549" s="6" t="n">
        <v>38</v>
      </c>
      <c r="E549" t="n">
        <v>37263</v>
      </c>
      <c r="F549" s="6" t="n">
        <v>0.4</v>
      </c>
      <c r="G549" t="n">
        <v>95</v>
      </c>
      <c r="H549" s="6">
        <f>ROUND(G549*F549,2)</f>
        <v/>
      </c>
      <c r="I549">
        <f>IF(ROUND(H549-D549,2)=0,1,0)</f>
        <v/>
      </c>
      <c r="J549">
        <f>IF(F549="","none",IF(G549=1,"carte","multiple"))</f>
        <v/>
      </c>
    </row>
    <row r="550">
      <c r="A550" t="inlineStr">
        <is>
          <t>2022-04-29</t>
        </is>
      </c>
      <c r="B550" t="inlineStr">
        <is>
          <t>13:21</t>
        </is>
      </c>
      <c r="C550" t="n">
        <v>2950</v>
      </c>
      <c r="D550" s="6" t="n">
        <v>29.8</v>
      </c>
      <c r="E550" t="n">
        <v>37264</v>
      </c>
      <c r="F550" s="6" t="n">
        <v>14.9</v>
      </c>
      <c r="G550" t="n">
        <v>2</v>
      </c>
      <c r="H550" s="6">
        <f>ROUND(G550*F550,2)</f>
        <v/>
      </c>
      <c r="I550">
        <f>IF(ROUND(H550-D550,2)=0,1,0)</f>
        <v/>
      </c>
      <c r="J550">
        <f>IF(F550="","none",IF(G550=1,"carte","multiple"))</f>
        <v/>
      </c>
    </row>
    <row r="551">
      <c r="A551" t="inlineStr">
        <is>
          <t>2022-04-29</t>
        </is>
      </c>
      <c r="B551" t="inlineStr">
        <is>
          <t>13:21</t>
        </is>
      </c>
      <c r="C551" t="n">
        <v>2950</v>
      </c>
      <c r="D551" s="6" t="n">
        <v>9.9</v>
      </c>
      <c r="E551" t="n">
        <v>37265</v>
      </c>
      <c r="F551" s="6" t="n">
        <v>9.9</v>
      </c>
      <c r="G551" t="n">
        <v>1</v>
      </c>
      <c r="H551" s="6">
        <f>ROUND(G551*F551,2)</f>
        <v/>
      </c>
      <c r="I551">
        <f>IF(ROUND(H551-D551,2)=0,1,0)</f>
        <v/>
      </c>
      <c r="J551">
        <f>IF(F551="","none",IF(G551=1,"carte","multiple"))</f>
        <v/>
      </c>
    </row>
    <row r="552">
      <c r="A552" t="inlineStr">
        <is>
          <t>2022-04-29</t>
        </is>
      </c>
      <c r="B552" t="inlineStr">
        <is>
          <t>17:39</t>
        </is>
      </c>
      <c r="C552" t="n">
        <v>2950</v>
      </c>
      <c r="D552" s="6" t="n">
        <v>5.2</v>
      </c>
      <c r="E552" t="n">
        <v>37267</v>
      </c>
      <c r="F552" s="6" t="n">
        <v>5.2</v>
      </c>
      <c r="G552" t="n">
        <v>1</v>
      </c>
      <c r="H552" s="6">
        <f>ROUND(G552*F552,2)</f>
        <v/>
      </c>
      <c r="I552">
        <f>IF(ROUND(H552-D552,2)=0,1,0)</f>
        <v/>
      </c>
      <c r="J552">
        <f>IF(F552="","none",IF(G552=1,"carte","multiple"))</f>
        <v/>
      </c>
    </row>
    <row r="553">
      <c r="A553" t="inlineStr">
        <is>
          <t>2022-04-29</t>
        </is>
      </c>
      <c r="B553" t="inlineStr">
        <is>
          <t>17:40</t>
        </is>
      </c>
      <c r="C553" t="n">
        <v>2950</v>
      </c>
      <c r="D553" s="6" t="n">
        <v>3.8</v>
      </c>
      <c r="E553" t="n">
        <v>37268</v>
      </c>
      <c r="F553" s="6" t="n">
        <v>3.8</v>
      </c>
      <c r="G553" t="n">
        <v>1</v>
      </c>
      <c r="H553" s="6">
        <f>ROUND(G553*F553,2)</f>
        <v/>
      </c>
      <c r="I553">
        <f>IF(ROUND(H553-D553,2)=0,1,0)</f>
        <v/>
      </c>
      <c r="J553">
        <f>IF(F553="","none",IF(G553=1,"carte","multiple"))</f>
        <v/>
      </c>
    </row>
    <row r="554">
      <c r="A554" t="inlineStr">
        <is>
          <t>2022-04-29</t>
        </is>
      </c>
      <c r="B554" t="inlineStr">
        <is>
          <t>18:08</t>
        </is>
      </c>
      <c r="C554" t="n">
        <v>2950</v>
      </c>
      <c r="D554" s="6" t="n">
        <v>17.6</v>
      </c>
      <c r="E554" t="n">
        <v>37269</v>
      </c>
      <c r="F554" s="6" t="n">
        <v>17.6</v>
      </c>
      <c r="G554" t="n">
        <v>1</v>
      </c>
      <c r="H554" s="6">
        <f>ROUND(G554*F554,2)</f>
        <v/>
      </c>
      <c r="I554">
        <f>IF(ROUND(H554-D554,2)=0,1,0)</f>
        <v/>
      </c>
      <c r="J554">
        <f>IF(F554="","none",IF(G554=1,"carte","multiple"))</f>
        <v/>
      </c>
    </row>
    <row r="555">
      <c r="A555" t="inlineStr">
        <is>
          <t>2022-04-29</t>
        </is>
      </c>
      <c r="B555" t="inlineStr">
        <is>
          <t>18:29</t>
        </is>
      </c>
      <c r="C555" t="n">
        <v>2950</v>
      </c>
      <c r="D555" s="6" t="n">
        <v>2.4</v>
      </c>
      <c r="E555" t="n">
        <v>37270</v>
      </c>
      <c r="F555" s="6" t="n">
        <v>2.4</v>
      </c>
      <c r="G555" t="n">
        <v>1</v>
      </c>
      <c r="H555" s="6">
        <f>ROUND(G555*F555,2)</f>
        <v/>
      </c>
      <c r="I555">
        <f>IF(ROUND(H555-D555,2)=0,1,0)</f>
        <v/>
      </c>
      <c r="J555">
        <f>IF(F555="","none",IF(G555=1,"carte","multiple"))</f>
        <v/>
      </c>
    </row>
    <row r="556">
      <c r="A556" t="inlineStr">
        <is>
          <t>2022-04-29</t>
        </is>
      </c>
      <c r="B556" t="inlineStr">
        <is>
          <t>18:29</t>
        </is>
      </c>
      <c r="C556" t="n">
        <v>2950</v>
      </c>
      <c r="D556" s="6" t="n">
        <v>3.4</v>
      </c>
      <c r="E556" t="n">
        <v>37271</v>
      </c>
      <c r="F556" s="6" t="n">
        <v>3.4</v>
      </c>
      <c r="G556" t="n">
        <v>1</v>
      </c>
      <c r="H556" s="6">
        <f>ROUND(G556*F556,2)</f>
        <v/>
      </c>
      <c r="I556">
        <f>IF(ROUND(H556-D556,2)=0,1,0)</f>
        <v/>
      </c>
      <c r="J556">
        <f>IF(F556="","none",IF(G556=1,"carte","multiple"))</f>
        <v/>
      </c>
    </row>
    <row r="557">
      <c r="A557" t="inlineStr">
        <is>
          <t>2022-04-29</t>
        </is>
      </c>
      <c r="B557" t="inlineStr">
        <is>
          <t>18:29</t>
        </is>
      </c>
      <c r="C557" t="n">
        <v>2950</v>
      </c>
      <c r="D557" s="6" t="n">
        <v>19</v>
      </c>
      <c r="E557" t="n">
        <v>37272</v>
      </c>
      <c r="F557" s="6" t="n">
        <v>19</v>
      </c>
      <c r="G557" t="n">
        <v>1</v>
      </c>
      <c r="H557" s="6">
        <f>ROUND(G557*F557,2)</f>
        <v/>
      </c>
      <c r="I557">
        <f>IF(ROUND(H557-D557,2)=0,1,0)</f>
        <v/>
      </c>
      <c r="J557">
        <f>IF(F557="","none",IF(G557=1,"carte","multiple"))</f>
        <v/>
      </c>
    </row>
    <row r="558">
      <c r="A558" t="inlineStr">
        <is>
          <t>2022-04-29</t>
        </is>
      </c>
      <c r="B558" t="inlineStr">
        <is>
          <t>18:29</t>
        </is>
      </c>
      <c r="C558" t="n">
        <v>2950</v>
      </c>
      <c r="D558" s="6" t="n">
        <v>0.9</v>
      </c>
      <c r="E558" t="n">
        <v>37273</v>
      </c>
      <c r="F558" s="6" t="n">
        <v>0.9</v>
      </c>
      <c r="G558" t="n">
        <v>1</v>
      </c>
      <c r="H558" s="6">
        <f>ROUND(G558*F558,2)</f>
        <v/>
      </c>
      <c r="I558">
        <f>IF(ROUND(H558-D558,2)=0,1,0)</f>
        <v/>
      </c>
      <c r="J558">
        <f>IF(F558="","none",IF(G558=1,"carte","multiple"))</f>
        <v/>
      </c>
    </row>
    <row r="559">
      <c r="A559" t="inlineStr">
        <is>
          <t>2022-04-29</t>
        </is>
      </c>
      <c r="B559" t="inlineStr">
        <is>
          <t>18:29</t>
        </is>
      </c>
      <c r="C559" t="n">
        <v>2950</v>
      </c>
      <c r="D559" s="6" t="n">
        <v>4</v>
      </c>
      <c r="E559" t="n">
        <v>37274</v>
      </c>
      <c r="F559" s="6" t="n">
        <v>4</v>
      </c>
      <c r="G559" t="n">
        <v>1</v>
      </c>
      <c r="H559" s="6">
        <f>ROUND(G559*F559,2)</f>
        <v/>
      </c>
      <c r="I559">
        <f>IF(ROUND(H559-D559,2)=0,1,0)</f>
        <v/>
      </c>
      <c r="J559">
        <f>IF(F559="","none",IF(G559=1,"carte","multiple"))</f>
        <v/>
      </c>
    </row>
    <row r="560">
      <c r="A560" t="inlineStr">
        <is>
          <t>2022-04-29</t>
        </is>
      </c>
      <c r="B560" t="inlineStr">
        <is>
          <t>18:29</t>
        </is>
      </c>
      <c r="C560" t="n">
        <v>2950</v>
      </c>
      <c r="D560" s="6" t="n">
        <v>2.9</v>
      </c>
      <c r="E560" t="n">
        <v>37275</v>
      </c>
      <c r="F560" s="6" t="n">
        <v>2.9</v>
      </c>
      <c r="G560" t="n">
        <v>1</v>
      </c>
      <c r="H560" s="6">
        <f>ROUND(G560*F560,2)</f>
        <v/>
      </c>
      <c r="I560">
        <f>IF(ROUND(H560-D560,2)=0,1,0)</f>
        <v/>
      </c>
      <c r="J560">
        <f>IF(F560="","none",IF(G560=1,"carte","multiple"))</f>
        <v/>
      </c>
    </row>
    <row r="561">
      <c r="A561" t="inlineStr">
        <is>
          <t>2022-04-29</t>
        </is>
      </c>
      <c r="B561" t="inlineStr">
        <is>
          <t>18:29</t>
        </is>
      </c>
      <c r="C561" t="n">
        <v>2950</v>
      </c>
      <c r="D561" s="6" t="n">
        <v>28.6</v>
      </c>
      <c r="E561" t="n">
        <v>37276</v>
      </c>
      <c r="F561" s="6" t="n">
        <v>28.6</v>
      </c>
      <c r="G561" t="n">
        <v>1</v>
      </c>
      <c r="H561" s="6">
        <f>ROUND(G561*F561,2)</f>
        <v/>
      </c>
      <c r="I561">
        <f>IF(ROUND(H561-D561,2)=0,1,0)</f>
        <v/>
      </c>
      <c r="J561">
        <f>IF(F561="","none",IF(G561=1,"carte","multiple"))</f>
        <v/>
      </c>
    </row>
    <row r="562">
      <c r="A562" t="inlineStr">
        <is>
          <t>2022-04-29</t>
        </is>
      </c>
      <c r="B562" t="inlineStr">
        <is>
          <t>18:29</t>
        </is>
      </c>
      <c r="C562" t="n">
        <v>2950</v>
      </c>
      <c r="D562" s="6" t="n">
        <v>19.9</v>
      </c>
      <c r="E562" t="n">
        <v>37277</v>
      </c>
      <c r="F562" s="6" t="n">
        <v>19.9</v>
      </c>
      <c r="G562" t="n">
        <v>1</v>
      </c>
      <c r="H562" s="6">
        <f>ROUND(G562*F562,2)</f>
        <v/>
      </c>
      <c r="I562">
        <f>IF(ROUND(H562-D562,2)=0,1,0)</f>
        <v/>
      </c>
      <c r="J562">
        <f>IF(F562="","none",IF(G562=1,"carte","multiple"))</f>
        <v/>
      </c>
    </row>
    <row r="563">
      <c r="A563" t="inlineStr">
        <is>
          <t>2022-04-29</t>
        </is>
      </c>
      <c r="B563" t="inlineStr">
        <is>
          <t>18:29</t>
        </is>
      </c>
      <c r="C563" t="n">
        <v>2950</v>
      </c>
      <c r="D563" s="6" t="n">
        <v>5.2</v>
      </c>
      <c r="E563" t="n">
        <v>37278</v>
      </c>
      <c r="F563" s="6" t="n">
        <v>5.2</v>
      </c>
      <c r="G563" t="n">
        <v>1</v>
      </c>
      <c r="H563" s="6">
        <f>ROUND(G563*F563,2)</f>
        <v/>
      </c>
      <c r="I563">
        <f>IF(ROUND(H563-D563,2)=0,1,0)</f>
        <v/>
      </c>
      <c r="J563">
        <f>IF(F563="","none",IF(G563=1,"carte","multiple"))</f>
        <v/>
      </c>
    </row>
    <row r="564">
      <c r="A564" t="inlineStr">
        <is>
          <t>2022-04-29</t>
        </is>
      </c>
      <c r="B564" t="inlineStr">
        <is>
          <t>18:29</t>
        </is>
      </c>
      <c r="C564" t="n">
        <v>2950</v>
      </c>
      <c r="D564" s="6" t="n">
        <v>8.4</v>
      </c>
      <c r="E564" t="n">
        <v>37279</v>
      </c>
      <c r="F564" s="6" t="n">
        <v>8.4</v>
      </c>
      <c r="G564" t="n">
        <v>1</v>
      </c>
      <c r="H564" s="6">
        <f>ROUND(G564*F564,2)</f>
        <v/>
      </c>
      <c r="I564">
        <f>IF(ROUND(H564-D564,2)=0,1,0)</f>
        <v/>
      </c>
      <c r="J564">
        <f>IF(F564="","none",IF(G564=1,"carte","multiple"))</f>
        <v/>
      </c>
    </row>
    <row r="565">
      <c r="A565" t="inlineStr">
        <is>
          <t>2022-04-29</t>
        </is>
      </c>
      <c r="B565" t="inlineStr">
        <is>
          <t>19:37</t>
        </is>
      </c>
      <c r="C565" t="n">
        <v>2950</v>
      </c>
      <c r="D565" s="6" t="n">
        <v>2.4</v>
      </c>
      <c r="E565" t="n">
        <v>37280</v>
      </c>
      <c r="F565" s="6" t="n">
        <v>2.4</v>
      </c>
      <c r="G565" t="n">
        <v>1</v>
      </c>
      <c r="H565" s="6">
        <f>ROUND(G565*F565,2)</f>
        <v/>
      </c>
      <c r="I565">
        <f>IF(ROUND(H565-D565,2)=0,1,0)</f>
        <v/>
      </c>
      <c r="J565">
        <f>IF(F565="","none",IF(G565=1,"carte","multiple"))</f>
        <v/>
      </c>
    </row>
    <row r="566">
      <c r="A566" t="inlineStr">
        <is>
          <t>2022-04-29</t>
        </is>
      </c>
      <c r="B566" t="inlineStr">
        <is>
          <t>19:37</t>
        </is>
      </c>
      <c r="C566" t="n">
        <v>2950</v>
      </c>
      <c r="D566" s="6" t="n">
        <v>1.8</v>
      </c>
      <c r="E566" t="n">
        <v>37281</v>
      </c>
      <c r="F566" s="6" t="n">
        <v>1.8</v>
      </c>
      <c r="G566" t="n">
        <v>1</v>
      </c>
      <c r="H566" s="6">
        <f>ROUND(G566*F566,2)</f>
        <v/>
      </c>
      <c r="I566">
        <f>IF(ROUND(H566-D566,2)=0,1,0)</f>
        <v/>
      </c>
      <c r="J566">
        <f>IF(F566="","none",IF(G566=1,"carte","multiple"))</f>
        <v/>
      </c>
    </row>
    <row r="567">
      <c r="A567" t="inlineStr">
        <is>
          <t>2022-04-29</t>
        </is>
      </c>
      <c r="B567" t="inlineStr">
        <is>
          <t>19:37</t>
        </is>
      </c>
      <c r="C567" t="n">
        <v>2950</v>
      </c>
      <c r="D567" s="6" t="n">
        <v>2.9</v>
      </c>
      <c r="E567" t="n">
        <v>37282</v>
      </c>
      <c r="F567" s="6" t="n">
        <v>2.9</v>
      </c>
      <c r="G567" t="n">
        <v>1</v>
      </c>
      <c r="H567" s="6">
        <f>ROUND(G567*F567,2)</f>
        <v/>
      </c>
      <c r="I567">
        <f>IF(ROUND(H567-D567,2)=0,1,0)</f>
        <v/>
      </c>
      <c r="J567">
        <f>IF(F567="","none",IF(G567=1,"carte","multiple"))</f>
        <v/>
      </c>
    </row>
    <row r="568">
      <c r="A568" t="inlineStr">
        <is>
          <t>2022-04-29</t>
        </is>
      </c>
      <c r="B568" t="inlineStr">
        <is>
          <t>19:37</t>
        </is>
      </c>
      <c r="C568" t="n">
        <v>2950</v>
      </c>
      <c r="D568" s="6" t="n">
        <v>2.2</v>
      </c>
      <c r="E568" t="n">
        <v>37283</v>
      </c>
      <c r="F568" s="6" t="n">
        <v>2.2</v>
      </c>
      <c r="G568" t="n">
        <v>1</v>
      </c>
      <c r="H568" s="6">
        <f>ROUND(G568*F568,2)</f>
        <v/>
      </c>
      <c r="I568">
        <f>IF(ROUND(H568-D568,2)=0,1,0)</f>
        <v/>
      </c>
      <c r="J568">
        <f>IF(F568="","none",IF(G568=1,"carte","multiple"))</f>
        <v/>
      </c>
    </row>
    <row r="569">
      <c r="A569" t="inlineStr">
        <is>
          <t>2022-04-29</t>
        </is>
      </c>
      <c r="B569" t="inlineStr">
        <is>
          <t>19:37</t>
        </is>
      </c>
      <c r="C569" t="n">
        <v>2950</v>
      </c>
      <c r="D569" s="6" t="n">
        <v>3.9</v>
      </c>
      <c r="E569" t="n">
        <v>37284</v>
      </c>
      <c r="F569" s="6" t="n">
        <v>3.9</v>
      </c>
      <c r="G569" t="n">
        <v>1</v>
      </c>
      <c r="H569" s="6">
        <f>ROUND(G569*F569,2)</f>
        <v/>
      </c>
      <c r="I569">
        <f>IF(ROUND(H569-D569,2)=0,1,0)</f>
        <v/>
      </c>
      <c r="J569">
        <f>IF(F569="","none",IF(G569=1,"carte","multiple"))</f>
        <v/>
      </c>
    </row>
    <row r="570">
      <c r="A570" t="inlineStr">
        <is>
          <t>2022-04-29</t>
        </is>
      </c>
      <c r="B570" t="inlineStr">
        <is>
          <t>19:37</t>
        </is>
      </c>
      <c r="C570" t="n">
        <v>2950</v>
      </c>
      <c r="D570" s="6" t="n">
        <v>10.9</v>
      </c>
      <c r="E570" t="n">
        <v>37285</v>
      </c>
      <c r="F570" s="6" t="n">
        <v>10.9</v>
      </c>
      <c r="G570" t="n">
        <v>1</v>
      </c>
      <c r="H570" s="6">
        <f>ROUND(G570*F570,2)</f>
        <v/>
      </c>
      <c r="I570">
        <f>IF(ROUND(H570-D570,2)=0,1,0)</f>
        <v/>
      </c>
      <c r="J570">
        <f>IF(F570="","none",IF(G570=1,"carte","multiple"))</f>
        <v/>
      </c>
    </row>
    <row r="571">
      <c r="A571" t="inlineStr">
        <is>
          <t>2022-04-29</t>
        </is>
      </c>
      <c r="B571" t="inlineStr">
        <is>
          <t>19:37</t>
        </is>
      </c>
      <c r="C571" t="n">
        <v>2950</v>
      </c>
      <c r="D571" s="6" t="n">
        <v>38</v>
      </c>
      <c r="E571" t="n">
        <v>37286</v>
      </c>
      <c r="F571" s="6" t="n">
        <v>0.4</v>
      </c>
      <c r="G571" t="n">
        <v>95</v>
      </c>
      <c r="H571" s="6">
        <f>ROUND(G571*F571,2)</f>
        <v/>
      </c>
      <c r="I571">
        <f>IF(ROUND(H571-D571,2)=0,1,0)</f>
        <v/>
      </c>
      <c r="J571">
        <f>IF(F571="","none",IF(G571=1,"carte","multiple"))</f>
        <v/>
      </c>
    </row>
    <row r="572">
      <c r="A572" t="inlineStr">
        <is>
          <t>2022-04-29</t>
        </is>
      </c>
      <c r="B572" t="inlineStr">
        <is>
          <t>19:37</t>
        </is>
      </c>
      <c r="C572" t="n">
        <v>2950</v>
      </c>
      <c r="D572" s="6" t="n">
        <v>17.6</v>
      </c>
      <c r="E572" t="n">
        <v>37287</v>
      </c>
      <c r="F572" s="6" t="n">
        <v>17.6</v>
      </c>
      <c r="G572" t="n">
        <v>1</v>
      </c>
      <c r="H572" s="6">
        <f>ROUND(G572*F572,2)</f>
        <v/>
      </c>
      <c r="I572">
        <f>IF(ROUND(H572-D572,2)=0,1,0)</f>
        <v/>
      </c>
      <c r="J572">
        <f>IF(F572="","none",IF(G572=1,"carte","multiple"))</f>
        <v/>
      </c>
    </row>
    <row r="573">
      <c r="A573" t="inlineStr">
        <is>
          <t>2022-04-29</t>
        </is>
      </c>
      <c r="B573" t="inlineStr">
        <is>
          <t>19:37</t>
        </is>
      </c>
      <c r="C573" t="n">
        <v>2950</v>
      </c>
      <c r="D573" s="6" t="n">
        <v>17.6</v>
      </c>
      <c r="E573" t="n">
        <v>37288</v>
      </c>
      <c r="F573" s="6" t="n">
        <v>17.6</v>
      </c>
      <c r="G573" t="n">
        <v>1</v>
      </c>
      <c r="H573" s="6">
        <f>ROUND(G573*F573,2)</f>
        <v/>
      </c>
      <c r="I573">
        <f>IF(ROUND(H573-D573,2)=0,1,0)</f>
        <v/>
      </c>
      <c r="J573">
        <f>IF(F573="","none",IF(G573=1,"carte","multiple"))</f>
        <v/>
      </c>
    </row>
    <row r="574">
      <c r="A574" t="inlineStr">
        <is>
          <t>2022-04-29</t>
        </is>
      </c>
      <c r="B574" t="inlineStr">
        <is>
          <t>19:37</t>
        </is>
      </c>
      <c r="C574" t="n">
        <v>2950</v>
      </c>
      <c r="D574" s="6" t="n">
        <v>7.9</v>
      </c>
      <c r="E574" t="n">
        <v>37289</v>
      </c>
      <c r="F574" s="6" t="n">
        <v>7.9</v>
      </c>
      <c r="G574" t="n">
        <v>1</v>
      </c>
      <c r="H574" s="6">
        <f>ROUND(G574*F574,2)</f>
        <v/>
      </c>
      <c r="I574">
        <f>IF(ROUND(H574-D574,2)=0,1,0)</f>
        <v/>
      </c>
      <c r="J574">
        <f>IF(F574="","none",IF(G574=1,"carte","multiple"))</f>
        <v/>
      </c>
    </row>
    <row r="575">
      <c r="A575" t="inlineStr">
        <is>
          <t>2022-04-29</t>
        </is>
      </c>
      <c r="B575" t="inlineStr">
        <is>
          <t>19:37</t>
        </is>
      </c>
      <c r="C575" t="n">
        <v>2950</v>
      </c>
      <c r="D575" s="6" t="n">
        <v>9.800000000000001</v>
      </c>
      <c r="E575" t="n">
        <v>37290</v>
      </c>
      <c r="F575" s="6" t="n">
        <v>9.800000000000001</v>
      </c>
      <c r="G575" t="n">
        <v>1</v>
      </c>
      <c r="H575" s="6">
        <f>ROUND(G575*F575,2)</f>
        <v/>
      </c>
      <c r="I575">
        <f>IF(ROUND(H575-D575,2)=0,1,0)</f>
        <v/>
      </c>
      <c r="J575">
        <f>IF(F575="","none",IF(G575=1,"carte","multiple"))</f>
        <v/>
      </c>
    </row>
    <row r="576">
      <c r="A576" t="inlineStr">
        <is>
          <t>2022-04-29</t>
        </is>
      </c>
      <c r="B576" t="inlineStr">
        <is>
          <t>19:37</t>
        </is>
      </c>
      <c r="C576" t="n">
        <v>2950</v>
      </c>
      <c r="D576" s="6" t="n">
        <v>4.2</v>
      </c>
      <c r="E576" t="n">
        <v>37291</v>
      </c>
      <c r="F576" s="6" t="n">
        <v>4.2</v>
      </c>
      <c r="G576" t="n">
        <v>1</v>
      </c>
      <c r="H576" s="6">
        <f>ROUND(G576*F576,2)</f>
        <v/>
      </c>
      <c r="I576">
        <f>IF(ROUND(H576-D576,2)=0,1,0)</f>
        <v/>
      </c>
      <c r="J576">
        <f>IF(F576="","none",IF(G576=1,"carte","multiple"))</f>
        <v/>
      </c>
    </row>
    <row r="577">
      <c r="A577" t="inlineStr">
        <is>
          <t>2022-04-29</t>
        </is>
      </c>
      <c r="B577" t="inlineStr">
        <is>
          <t>20:15</t>
        </is>
      </c>
      <c r="C577" t="n">
        <v>2950</v>
      </c>
      <c r="D577" s="6" t="n">
        <v>2</v>
      </c>
      <c r="E577" t="n">
        <v>37292</v>
      </c>
      <c r="F577" s="6" t="n">
        <v>2</v>
      </c>
      <c r="G577" t="n">
        <v>1</v>
      </c>
      <c r="H577" s="6">
        <f>ROUND(G577*F577,2)</f>
        <v/>
      </c>
      <c r="I577">
        <f>IF(ROUND(H577-D577,2)=0,1,0)</f>
        <v/>
      </c>
      <c r="J577">
        <f>IF(F577="","none",IF(G577=1,"carte","multiple"))</f>
        <v/>
      </c>
    </row>
    <row r="578">
      <c r="A578" t="inlineStr">
        <is>
          <t>2022-04-30</t>
        </is>
      </c>
      <c r="B578" t="inlineStr">
        <is>
          <t>10:54</t>
        </is>
      </c>
      <c r="C578" t="n">
        <v>2951</v>
      </c>
      <c r="D578" s="6" t="n">
        <v>3.9</v>
      </c>
      <c r="E578" t="n">
        <v>37296</v>
      </c>
      <c r="F578" s="6" t="n">
        <v>3.9</v>
      </c>
      <c r="G578" t="n">
        <v>1</v>
      </c>
      <c r="H578" s="6">
        <f>ROUND(G578*F578,2)</f>
        <v/>
      </c>
      <c r="I578">
        <f>IF(ROUND(H578-D578,2)=0,1,0)</f>
        <v/>
      </c>
      <c r="J578">
        <f>IF(F578="","none",IF(G578=1,"carte","multiple"))</f>
        <v/>
      </c>
    </row>
    <row r="579">
      <c r="A579" t="inlineStr">
        <is>
          <t>2022-04-30</t>
        </is>
      </c>
      <c r="B579" t="inlineStr">
        <is>
          <t>11:35</t>
        </is>
      </c>
      <c r="C579" t="n">
        <v>2951</v>
      </c>
      <c r="D579" s="6" t="n">
        <v>12</v>
      </c>
      <c r="E579" t="n">
        <v>37297</v>
      </c>
      <c r="F579" s="6" t="n">
        <v>12</v>
      </c>
      <c r="G579" t="n">
        <v>1</v>
      </c>
      <c r="H579" s="6">
        <f>ROUND(G579*F579,2)</f>
        <v/>
      </c>
      <c r="I579">
        <f>IF(ROUND(H579-D579,2)=0,1,0)</f>
        <v/>
      </c>
      <c r="J579">
        <f>IF(F579="","none",IF(G579=1,"carte","multiple"))</f>
        <v/>
      </c>
    </row>
    <row r="580">
      <c r="A580" t="inlineStr">
        <is>
          <t>2022-04-30</t>
        </is>
      </c>
      <c r="B580" t="inlineStr">
        <is>
          <t>11:54</t>
        </is>
      </c>
      <c r="C580" t="n">
        <v>2951</v>
      </c>
      <c r="D580" s="6" t="n">
        <v>2</v>
      </c>
      <c r="E580" t="n">
        <v>37298</v>
      </c>
      <c r="F580" s="6" t="n">
        <v>2</v>
      </c>
      <c r="G580" t="n">
        <v>1</v>
      </c>
      <c r="H580" s="6">
        <f>ROUND(G580*F580,2)</f>
        <v/>
      </c>
      <c r="I580">
        <f>IF(ROUND(H580-D580,2)=0,1,0)</f>
        <v/>
      </c>
      <c r="J580">
        <f>IF(F580="","none",IF(G580=1,"carte","multiple"))</f>
        <v/>
      </c>
    </row>
    <row r="581">
      <c r="A581" t="inlineStr">
        <is>
          <t>2022-04-30</t>
        </is>
      </c>
      <c r="B581" t="inlineStr">
        <is>
          <t>12:06</t>
        </is>
      </c>
      <c r="C581" t="n">
        <v>2951</v>
      </c>
      <c r="D581" s="6" t="n">
        <v>3.9</v>
      </c>
      <c r="E581" t="n">
        <v>37299</v>
      </c>
      <c r="F581" s="6" t="n">
        <v>3.9</v>
      </c>
      <c r="G581" t="n">
        <v>1</v>
      </c>
      <c r="H581" s="6">
        <f>ROUND(G581*F581,2)</f>
        <v/>
      </c>
      <c r="I581">
        <f>IF(ROUND(H581-D581,2)=0,1,0)</f>
        <v/>
      </c>
      <c r="J581">
        <f>IF(F581="","none",IF(G581=1,"carte","multiple"))</f>
        <v/>
      </c>
    </row>
    <row r="582">
      <c r="A582" t="inlineStr">
        <is>
          <t>2022-04-30</t>
        </is>
      </c>
      <c r="B582" t="inlineStr">
        <is>
          <t>12:06</t>
        </is>
      </c>
      <c r="C582" t="n">
        <v>2951</v>
      </c>
      <c r="D582" s="6" t="n">
        <v>6.6</v>
      </c>
      <c r="E582" t="n">
        <v>37300</v>
      </c>
      <c r="F582" s="6" t="n">
        <v>6.6</v>
      </c>
      <c r="G582" t="n">
        <v>1</v>
      </c>
      <c r="H582" s="6">
        <f>ROUND(G582*F582,2)</f>
        <v/>
      </c>
      <c r="I582">
        <f>IF(ROUND(H582-D582,2)=0,1,0)</f>
        <v/>
      </c>
      <c r="J582">
        <f>IF(F582="","none",IF(G582=1,"carte","multiple"))</f>
        <v/>
      </c>
    </row>
    <row r="583">
      <c r="A583" t="inlineStr">
        <is>
          <t>2022-04-30</t>
        </is>
      </c>
      <c r="B583" t="inlineStr">
        <is>
          <t>12:06</t>
        </is>
      </c>
      <c r="C583" t="n">
        <v>2951</v>
      </c>
      <c r="D583" s="6" t="n">
        <v>4.7</v>
      </c>
      <c r="E583" t="n">
        <v>37301</v>
      </c>
      <c r="F583" s="6" t="n">
        <v>4.7</v>
      </c>
      <c r="G583" t="n">
        <v>1</v>
      </c>
      <c r="H583" s="6">
        <f>ROUND(G583*F583,2)</f>
        <v/>
      </c>
      <c r="I583">
        <f>IF(ROUND(H583-D583,2)=0,1,0)</f>
        <v/>
      </c>
      <c r="J583">
        <f>IF(F583="","none",IF(G583=1,"carte","multiple"))</f>
        <v/>
      </c>
    </row>
    <row r="584">
      <c r="A584" t="inlineStr">
        <is>
          <t>2022-04-30</t>
        </is>
      </c>
      <c r="B584" t="inlineStr">
        <is>
          <t>12:06</t>
        </is>
      </c>
      <c r="C584" t="n">
        <v>2951</v>
      </c>
      <c r="D584" s="6" t="n">
        <v>7</v>
      </c>
      <c r="E584" t="n">
        <v>37302</v>
      </c>
      <c r="F584" s="6" t="n">
        <v>7</v>
      </c>
      <c r="G584" t="n">
        <v>1</v>
      </c>
      <c r="H584" s="6">
        <f>ROUND(G584*F584,2)</f>
        <v/>
      </c>
      <c r="I584">
        <f>IF(ROUND(H584-D584,2)=0,1,0)</f>
        <v/>
      </c>
      <c r="J584">
        <f>IF(F584="","none",IF(G584=1,"carte","multiple"))</f>
        <v/>
      </c>
    </row>
    <row r="585">
      <c r="A585" t="inlineStr">
        <is>
          <t>2022-04-30</t>
        </is>
      </c>
      <c r="B585" t="inlineStr">
        <is>
          <t>12:06</t>
        </is>
      </c>
      <c r="C585" t="n">
        <v>2951</v>
      </c>
      <c r="D585" s="6" t="n">
        <v>7.9</v>
      </c>
      <c r="E585" t="n">
        <v>37303</v>
      </c>
      <c r="F585" s="6" t="n">
        <v>7.9</v>
      </c>
      <c r="G585" t="n">
        <v>1</v>
      </c>
      <c r="H585" s="6">
        <f>ROUND(G585*F585,2)</f>
        <v/>
      </c>
      <c r="I585">
        <f>IF(ROUND(H585-D585,2)=0,1,0)</f>
        <v/>
      </c>
      <c r="J585">
        <f>IF(F585="","none",IF(G585=1,"carte","multiple"))</f>
        <v/>
      </c>
    </row>
    <row r="586">
      <c r="A586" t="inlineStr">
        <is>
          <t>2022-04-30</t>
        </is>
      </c>
      <c r="B586" t="inlineStr">
        <is>
          <t>12:06</t>
        </is>
      </c>
      <c r="C586" t="n">
        <v>2951</v>
      </c>
      <c r="D586" s="6" t="n">
        <v>4.9</v>
      </c>
      <c r="E586" t="n">
        <v>37304</v>
      </c>
      <c r="F586" s="6" t="n">
        <v>4.9</v>
      </c>
      <c r="G586" t="n">
        <v>1</v>
      </c>
      <c r="H586" s="6">
        <f>ROUND(G586*F586,2)</f>
        <v/>
      </c>
      <c r="I586">
        <f>IF(ROUND(H586-D586,2)=0,1,0)</f>
        <v/>
      </c>
      <c r="J586">
        <f>IF(F586="","none",IF(G586=1,"carte","multiple"))</f>
        <v/>
      </c>
    </row>
    <row r="587">
      <c r="A587" t="inlineStr">
        <is>
          <t>2022-04-30</t>
        </is>
      </c>
      <c r="B587" t="inlineStr">
        <is>
          <t>12:06</t>
        </is>
      </c>
      <c r="C587" t="n">
        <v>2951</v>
      </c>
      <c r="D587" s="6" t="n">
        <v>9.800000000000001</v>
      </c>
      <c r="E587" t="n">
        <v>37305</v>
      </c>
      <c r="F587" s="6" t="n">
        <v>9.800000000000001</v>
      </c>
      <c r="G587" t="n">
        <v>1</v>
      </c>
      <c r="H587" s="6">
        <f>ROUND(G587*F587,2)</f>
        <v/>
      </c>
      <c r="I587">
        <f>IF(ROUND(H587-D587,2)=0,1,0)</f>
        <v/>
      </c>
      <c r="J587">
        <f>IF(F587="","none",IF(G587=1,"carte","multiple"))</f>
        <v/>
      </c>
    </row>
    <row r="588">
      <c r="A588" t="inlineStr">
        <is>
          <t>2022-04-30</t>
        </is>
      </c>
      <c r="B588" t="inlineStr">
        <is>
          <t>12:06</t>
        </is>
      </c>
      <c r="C588" t="n">
        <v>2951</v>
      </c>
      <c r="D588" s="6" t="n">
        <v>5.2</v>
      </c>
      <c r="E588" t="n">
        <v>37306</v>
      </c>
      <c r="F588" s="6" t="n">
        <v>5.2</v>
      </c>
      <c r="G588" t="n">
        <v>1</v>
      </c>
      <c r="H588" s="6">
        <f>ROUND(G588*F588,2)</f>
        <v/>
      </c>
      <c r="I588">
        <f>IF(ROUND(H588-D588,2)=0,1,0)</f>
        <v/>
      </c>
      <c r="J588">
        <f>IF(F588="","none",IF(G588=1,"carte","multiple"))</f>
        <v/>
      </c>
    </row>
    <row r="589">
      <c r="A589" t="inlineStr">
        <is>
          <t>2022-04-30</t>
        </is>
      </c>
      <c r="B589" t="inlineStr">
        <is>
          <t>12:06</t>
        </is>
      </c>
      <c r="C589" t="n">
        <v>2951</v>
      </c>
      <c r="D589" s="6" t="n">
        <v>35.2</v>
      </c>
      <c r="E589" t="n">
        <v>37307</v>
      </c>
      <c r="F589" s="6" t="n">
        <v>0.4</v>
      </c>
      <c r="G589" t="n">
        <v>88</v>
      </c>
      <c r="H589" s="6">
        <f>ROUND(G589*F589,2)</f>
        <v/>
      </c>
      <c r="I589">
        <f>IF(ROUND(H589-D589,2)=0,1,0)</f>
        <v/>
      </c>
      <c r="J589">
        <f>IF(F589="","none",IF(G589=1,"carte","multiple"))</f>
        <v/>
      </c>
    </row>
    <row r="590">
      <c r="A590" t="inlineStr">
        <is>
          <t>2022-04-30</t>
        </is>
      </c>
      <c r="B590" t="inlineStr">
        <is>
          <t>12:06</t>
        </is>
      </c>
      <c r="C590" t="n">
        <v>2951</v>
      </c>
      <c r="D590" s="6" t="n">
        <v>17.6</v>
      </c>
      <c r="E590" t="n">
        <v>37308</v>
      </c>
      <c r="F590" s="6" t="n">
        <v>17.6</v>
      </c>
      <c r="G590" t="n">
        <v>1</v>
      </c>
      <c r="H590" s="6">
        <f>ROUND(G590*F590,2)</f>
        <v/>
      </c>
      <c r="I590">
        <f>IF(ROUND(H590-D590,2)=0,1,0)</f>
        <v/>
      </c>
      <c r="J590">
        <f>IF(F590="","none",IF(G590=1,"carte","multiple"))</f>
        <v/>
      </c>
    </row>
    <row r="591">
      <c r="A591" t="inlineStr">
        <is>
          <t>2022-04-30</t>
        </is>
      </c>
      <c r="B591" t="inlineStr">
        <is>
          <t>12:06</t>
        </is>
      </c>
      <c r="C591" t="n">
        <v>2951</v>
      </c>
      <c r="D591" s="6" t="n">
        <v>16</v>
      </c>
      <c r="E591" t="n">
        <v>37309</v>
      </c>
      <c r="F591" s="6" t="n">
        <v>16</v>
      </c>
      <c r="G591" t="n">
        <v>1</v>
      </c>
      <c r="H591" s="6">
        <f>ROUND(G591*F591,2)</f>
        <v/>
      </c>
      <c r="I591">
        <f>IF(ROUND(H591-D591,2)=0,1,0)</f>
        <v/>
      </c>
      <c r="J591">
        <f>IF(F591="","none",IF(G591=1,"carte","multiple"))</f>
        <v/>
      </c>
    </row>
    <row r="592">
      <c r="A592" t="inlineStr">
        <is>
          <t>2022-04-30</t>
        </is>
      </c>
      <c r="B592" t="inlineStr">
        <is>
          <t>17:25</t>
        </is>
      </c>
      <c r="C592" t="n">
        <v>2951</v>
      </c>
      <c r="D592" s="6" t="n">
        <v>29.9</v>
      </c>
      <c r="E592" t="n">
        <v>37311</v>
      </c>
      <c r="F592" s="6" t="n">
        <v>29.9</v>
      </c>
      <c r="G592" t="n">
        <v>1</v>
      </c>
      <c r="H592" s="6">
        <f>ROUND(G592*F592,2)</f>
        <v/>
      </c>
      <c r="I592">
        <f>IF(ROUND(H592-D592,2)=0,1,0)</f>
        <v/>
      </c>
      <c r="J592">
        <f>IF(F592="","none",IF(G592=1,"carte","multiple"))</f>
        <v/>
      </c>
    </row>
    <row r="593">
      <c r="A593" t="inlineStr">
        <is>
          <t>2022-04-30</t>
        </is>
      </c>
      <c r="B593" t="inlineStr">
        <is>
          <t>19:01</t>
        </is>
      </c>
      <c r="C593" t="n">
        <v>2951</v>
      </c>
      <c r="D593" s="6" t="n">
        <v>37.2</v>
      </c>
      <c r="E593" t="n">
        <v>37312</v>
      </c>
      <c r="F593" s="6" t="n">
        <v>0.4</v>
      </c>
      <c r="G593" t="n">
        <v>93</v>
      </c>
      <c r="H593" s="6">
        <f>ROUND(G593*F593,2)</f>
        <v/>
      </c>
      <c r="I593">
        <f>IF(ROUND(H593-D593,2)=0,1,0)</f>
        <v/>
      </c>
      <c r="J593">
        <f>IF(F593="","none",IF(G593=1,"carte","multiple"))</f>
        <v/>
      </c>
    </row>
    <row r="594">
      <c r="A594" t="inlineStr">
        <is>
          <t>2022-04-30</t>
        </is>
      </c>
      <c r="B594" t="inlineStr">
        <is>
          <t>19:58</t>
        </is>
      </c>
      <c r="C594" t="n">
        <v>2951</v>
      </c>
      <c r="D594" s="6" t="n">
        <v>10.9</v>
      </c>
      <c r="E594" t="n">
        <v>37313</v>
      </c>
      <c r="F594" s="6" t="n">
        <v>10.9</v>
      </c>
      <c r="G594" t="n">
        <v>1</v>
      </c>
      <c r="H594" s="6">
        <f>ROUND(G594*F594,2)</f>
        <v/>
      </c>
      <c r="I594">
        <f>IF(ROUND(H594-D594,2)=0,1,0)</f>
        <v/>
      </c>
      <c r="J594">
        <f>IF(F594="","none",IF(G594=1,"carte","multiple"))</f>
        <v/>
      </c>
    </row>
    <row r="595">
      <c r="A595" t="inlineStr">
        <is>
          <t>2022-04-30</t>
        </is>
      </c>
      <c r="B595" t="inlineStr">
        <is>
          <t>19:58</t>
        </is>
      </c>
      <c r="C595" t="n">
        <v>2951</v>
      </c>
      <c r="D595" s="6" t="n">
        <v>8.699999999999999</v>
      </c>
      <c r="E595" t="n">
        <v>37314</v>
      </c>
      <c r="F595" s="6" t="n">
        <v>8.699999999999999</v>
      </c>
      <c r="G595" t="n">
        <v>1</v>
      </c>
      <c r="H595" s="6">
        <f>ROUND(G595*F595,2)</f>
        <v/>
      </c>
      <c r="I595">
        <f>IF(ROUND(H595-D595,2)=0,1,0)</f>
        <v/>
      </c>
      <c r="J595">
        <f>IF(F595="","none",IF(G595=1,"carte","multiple"))</f>
        <v/>
      </c>
    </row>
    <row r="596">
      <c r="A596" t="inlineStr">
        <is>
          <t>2022-04-30</t>
        </is>
      </c>
      <c r="B596" t="inlineStr">
        <is>
          <t>20:16</t>
        </is>
      </c>
      <c r="C596" t="n">
        <v>2951</v>
      </c>
      <c r="D596" s="6" t="n">
        <v>3.9</v>
      </c>
      <c r="E596" t="n">
        <v>37315</v>
      </c>
      <c r="F596" s="6" t="n">
        <v>3.9</v>
      </c>
      <c r="G596" t="n">
        <v>1</v>
      </c>
      <c r="H596" s="6">
        <f>ROUND(G596*F596,2)</f>
        <v/>
      </c>
      <c r="I596">
        <f>IF(ROUND(H596-D596,2)=0,1,0)</f>
        <v/>
      </c>
      <c r="J596">
        <f>IF(F596="","none",IF(G596=1,"carte","multiple"))</f>
        <v/>
      </c>
    </row>
    <row r="597">
      <c r="A597" t="inlineStr">
        <is>
          <t>2022-04-30</t>
        </is>
      </c>
      <c r="B597" t="inlineStr">
        <is>
          <t>20:16</t>
        </is>
      </c>
      <c r="C597" t="n">
        <v>2951</v>
      </c>
      <c r="D597" s="6" t="n">
        <v>6.5</v>
      </c>
      <c r="E597" t="n">
        <v>37316</v>
      </c>
      <c r="F597" s="6" t="n">
        <v>6.5</v>
      </c>
      <c r="G597" t="n">
        <v>1</v>
      </c>
      <c r="H597" s="6">
        <f>ROUND(G597*F597,2)</f>
        <v/>
      </c>
      <c r="I597">
        <f>IF(ROUND(H597-D597,2)=0,1,0)</f>
        <v/>
      </c>
      <c r="J597">
        <f>IF(F597="","none",IF(G597=1,"carte","multiple"))</f>
        <v/>
      </c>
    </row>
    <row r="598">
      <c r="A598" t="inlineStr">
        <is>
          <t>2022-04-30</t>
        </is>
      </c>
      <c r="B598" t="inlineStr">
        <is>
          <t>21:33</t>
        </is>
      </c>
      <c r="C598" t="n">
        <v>2951</v>
      </c>
      <c r="D598" s="6" t="n">
        <v>7.5</v>
      </c>
      <c r="E598" t="n">
        <v>37319</v>
      </c>
      <c r="F598" s="6" t="n">
        <v>7.5</v>
      </c>
      <c r="G598" t="n">
        <v>1</v>
      </c>
      <c r="H598" s="6">
        <f>ROUND(G598*F598,2)</f>
        <v/>
      </c>
      <c r="I598">
        <f>IF(ROUND(H598-D598,2)=0,1,0)</f>
        <v/>
      </c>
      <c r="J598">
        <f>IF(F598="","none",IF(G598=1,"carte","multiple"))</f>
        <v/>
      </c>
    </row>
    <row r="599">
      <c r="A599" t="inlineStr">
        <is>
          <t>2022-04-30</t>
        </is>
      </c>
      <c r="B599" t="inlineStr">
        <is>
          <t>21:33</t>
        </is>
      </c>
      <c r="C599" t="n">
        <v>2951</v>
      </c>
      <c r="D599" s="6" t="n">
        <v>17.6</v>
      </c>
      <c r="E599" t="n">
        <v>37320</v>
      </c>
      <c r="F599" s="6" t="n">
        <v>17.6</v>
      </c>
      <c r="G599" t="n">
        <v>1</v>
      </c>
      <c r="H599" s="6">
        <f>ROUND(G599*F599,2)</f>
        <v/>
      </c>
      <c r="I599">
        <f>IF(ROUND(H599-D599,2)=0,1,0)</f>
        <v/>
      </c>
      <c r="J599">
        <f>IF(F599="","none",IF(G599=1,"carte","multiple"))</f>
        <v/>
      </c>
    </row>
    <row r="600">
      <c r="A600" t="inlineStr">
        <is>
          <t>2022-04-30</t>
        </is>
      </c>
      <c r="B600" t="inlineStr">
        <is>
          <t>21:33</t>
        </is>
      </c>
      <c r="C600" t="n">
        <v>2951</v>
      </c>
      <c r="D600" s="6" t="n">
        <v>17.6</v>
      </c>
      <c r="E600" t="n">
        <v>37321</v>
      </c>
      <c r="F600" s="6" t="n">
        <v>17.6</v>
      </c>
      <c r="G600" t="n">
        <v>1</v>
      </c>
      <c r="H600" s="6">
        <f>ROUND(G600*F600,2)</f>
        <v/>
      </c>
      <c r="I600">
        <f>IF(ROUND(H600-D600,2)=0,1,0)</f>
        <v/>
      </c>
      <c r="J600">
        <f>IF(F600="","none",IF(G600=1,"carte","multiple"))</f>
        <v/>
      </c>
    </row>
    <row r="601">
      <c r="A601" t="inlineStr">
        <is>
          <t>2022-04-30</t>
        </is>
      </c>
      <c r="B601" t="inlineStr">
        <is>
          <t>21:33</t>
        </is>
      </c>
      <c r="C601" t="n">
        <v>2951</v>
      </c>
      <c r="D601" s="6" t="n">
        <v>8.9</v>
      </c>
      <c r="E601" t="n">
        <v>37322</v>
      </c>
      <c r="F601" s="6" t="n">
        <v>8.9</v>
      </c>
      <c r="G601" t="n">
        <v>1</v>
      </c>
      <c r="H601" s="6">
        <f>ROUND(G601*F601,2)</f>
        <v/>
      </c>
      <c r="I601">
        <f>IF(ROUND(H601-D601,2)=0,1,0)</f>
        <v/>
      </c>
      <c r="J601">
        <f>IF(F601="","none",IF(G601=1,"carte","multiple"))</f>
        <v/>
      </c>
    </row>
    <row r="602">
      <c r="A602" t="inlineStr">
        <is>
          <t>2022-04-30</t>
        </is>
      </c>
      <c r="B602" t="inlineStr">
        <is>
          <t>21:33</t>
        </is>
      </c>
      <c r="C602" t="n">
        <v>2951</v>
      </c>
      <c r="D602" s="6" t="n">
        <v>9.6</v>
      </c>
      <c r="E602" t="n">
        <v>37323</v>
      </c>
      <c r="F602" s="6" t="n">
        <v>9.6</v>
      </c>
      <c r="G602" t="n">
        <v>1</v>
      </c>
      <c r="H602" s="6">
        <f>ROUND(G602*F602,2)</f>
        <v/>
      </c>
      <c r="I602">
        <f>IF(ROUND(H602-D602,2)=0,1,0)</f>
        <v/>
      </c>
      <c r="J602">
        <f>IF(F602="","none",IF(G602=1,"carte","multiple"))</f>
        <v/>
      </c>
    </row>
    <row r="603">
      <c r="A603" t="inlineStr">
        <is>
          <t>2022-04-30</t>
        </is>
      </c>
      <c r="B603" t="inlineStr">
        <is>
          <t>21:33</t>
        </is>
      </c>
      <c r="C603" t="n">
        <v>2951</v>
      </c>
      <c r="D603" s="6" t="n">
        <v>9</v>
      </c>
      <c r="E603" t="n">
        <v>37324</v>
      </c>
      <c r="F603" s="6" t="n">
        <v>9</v>
      </c>
      <c r="G603" t="n">
        <v>1</v>
      </c>
      <c r="H603" s="6">
        <f>ROUND(G603*F603,2)</f>
        <v/>
      </c>
      <c r="I603">
        <f>IF(ROUND(H603-D603,2)=0,1,0)</f>
        <v/>
      </c>
      <c r="J603">
        <f>IF(F603="","none",IF(G603=1,"carte","multiple"))</f>
        <v/>
      </c>
    </row>
    <row r="604">
      <c r="A604" t="inlineStr">
        <is>
          <t>2022-04-30</t>
        </is>
      </c>
      <c r="B604" t="inlineStr">
        <is>
          <t>21:33</t>
        </is>
      </c>
      <c r="C604" t="n">
        <v>2951</v>
      </c>
      <c r="D604" s="6" t="n">
        <v>9</v>
      </c>
      <c r="E604" t="n">
        <v>37325</v>
      </c>
      <c r="F604" s="6" t="n">
        <v>9</v>
      </c>
      <c r="G604" t="n">
        <v>1</v>
      </c>
      <c r="H604" s="6">
        <f>ROUND(G604*F604,2)</f>
        <v/>
      </c>
      <c r="I604">
        <f>IF(ROUND(H604-D604,2)=0,1,0)</f>
        <v/>
      </c>
      <c r="J604">
        <f>IF(F604="","none",IF(G604=1,"carte","multiple"))</f>
        <v/>
      </c>
    </row>
    <row r="605">
      <c r="A605" t="inlineStr">
        <is>
          <t>2022-05-04</t>
        </is>
      </c>
      <c r="B605" t="inlineStr">
        <is>
          <t>11:03</t>
        </is>
      </c>
      <c r="C605" t="n">
        <v>2952</v>
      </c>
      <c r="D605" s="6" t="n">
        <v>4.9</v>
      </c>
      <c r="E605" t="n">
        <v>37328</v>
      </c>
      <c r="F605" s="6" t="n">
        <v>4.9</v>
      </c>
      <c r="G605" t="n">
        <v>1</v>
      </c>
      <c r="H605" s="6">
        <f>ROUND(G605*F605,2)</f>
        <v/>
      </c>
      <c r="I605">
        <f>IF(ROUND(H605-D605,2)=0,1,0)</f>
        <v/>
      </c>
      <c r="J605">
        <f>IF(F605="","none",IF(G605=1,"carte","multiple"))</f>
        <v/>
      </c>
    </row>
    <row r="606">
      <c r="A606" t="inlineStr">
        <is>
          <t>2022-05-04</t>
        </is>
      </c>
      <c r="B606" t="inlineStr">
        <is>
          <t>11:27</t>
        </is>
      </c>
      <c r="C606" t="n">
        <v>2952</v>
      </c>
      <c r="D606" s="6" t="n">
        <v>3.9</v>
      </c>
      <c r="E606" t="n">
        <v>37329</v>
      </c>
      <c r="F606" s="6" t="n">
        <v>3.9</v>
      </c>
      <c r="G606" t="n">
        <v>1</v>
      </c>
      <c r="H606" s="6">
        <f>ROUND(G606*F606,2)</f>
        <v/>
      </c>
      <c r="I606">
        <f>IF(ROUND(H606-D606,2)=0,1,0)</f>
        <v/>
      </c>
      <c r="J606">
        <f>IF(F606="","none",IF(G606=1,"carte","multiple"))</f>
        <v/>
      </c>
    </row>
    <row r="607">
      <c r="A607" t="inlineStr">
        <is>
          <t>2022-05-04</t>
        </is>
      </c>
      <c r="B607" t="inlineStr">
        <is>
          <t>11:27</t>
        </is>
      </c>
      <c r="C607" t="n">
        <v>2952</v>
      </c>
      <c r="D607" s="6" t="n">
        <v>3.9</v>
      </c>
      <c r="E607" t="n">
        <v>37330</v>
      </c>
      <c r="F607" s="6" t="n">
        <v>3.9</v>
      </c>
      <c r="G607" t="n">
        <v>1</v>
      </c>
      <c r="H607" s="6">
        <f>ROUND(G607*F607,2)</f>
        <v/>
      </c>
      <c r="I607">
        <f>IF(ROUND(H607-D607,2)=0,1,0)</f>
        <v/>
      </c>
      <c r="J607">
        <f>IF(F607="","none",IF(G607=1,"carte","multiple"))</f>
        <v/>
      </c>
    </row>
    <row r="608">
      <c r="A608" t="inlineStr">
        <is>
          <t>2022-05-04</t>
        </is>
      </c>
      <c r="B608" t="inlineStr">
        <is>
          <t>11:27</t>
        </is>
      </c>
      <c r="C608" t="n">
        <v>2952</v>
      </c>
      <c r="D608" s="6" t="n">
        <v>3.9</v>
      </c>
      <c r="E608" t="n">
        <v>37331</v>
      </c>
      <c r="F608" s="6" t="n">
        <v>3.9</v>
      </c>
      <c r="G608" t="n">
        <v>1</v>
      </c>
      <c r="H608" s="6">
        <f>ROUND(G608*F608,2)</f>
        <v/>
      </c>
      <c r="I608">
        <f>IF(ROUND(H608-D608,2)=0,1,0)</f>
        <v/>
      </c>
      <c r="J608">
        <f>IF(F608="","none",IF(G608=1,"carte","multiple"))</f>
        <v/>
      </c>
    </row>
    <row r="609">
      <c r="A609" t="inlineStr">
        <is>
          <t>2022-05-04</t>
        </is>
      </c>
      <c r="B609" t="inlineStr">
        <is>
          <t>11:27</t>
        </is>
      </c>
      <c r="C609" t="n">
        <v>2952</v>
      </c>
      <c r="D609" s="6" t="n">
        <v>4.2</v>
      </c>
      <c r="E609" t="n">
        <v>37332</v>
      </c>
      <c r="F609" s="6" t="n">
        <v>4.2</v>
      </c>
      <c r="G609" t="n">
        <v>1</v>
      </c>
      <c r="H609" s="6">
        <f>ROUND(G609*F609,2)</f>
        <v/>
      </c>
      <c r="I609">
        <f>IF(ROUND(H609-D609,2)=0,1,0)</f>
        <v/>
      </c>
      <c r="J609">
        <f>IF(F609="","none",IF(G609=1,"carte","multiple"))</f>
        <v/>
      </c>
    </row>
    <row r="610">
      <c r="A610" t="inlineStr">
        <is>
          <t>2022-05-04</t>
        </is>
      </c>
      <c r="B610" t="inlineStr">
        <is>
          <t>11:27</t>
        </is>
      </c>
      <c r="C610" t="n">
        <v>2952</v>
      </c>
      <c r="D610" s="6" t="n">
        <v>6</v>
      </c>
      <c r="E610" t="n">
        <v>37333</v>
      </c>
      <c r="F610" s="6" t="n">
        <v>6</v>
      </c>
      <c r="G610" t="n">
        <v>1</v>
      </c>
      <c r="H610" s="6">
        <f>ROUND(G610*F610,2)</f>
        <v/>
      </c>
      <c r="I610">
        <f>IF(ROUND(H610-D610,2)=0,1,0)</f>
        <v/>
      </c>
      <c r="J610">
        <f>IF(F610="","none",IF(G610=1,"carte","multiple"))</f>
        <v/>
      </c>
    </row>
    <row r="611">
      <c r="A611" t="inlineStr">
        <is>
          <t>2022-05-04</t>
        </is>
      </c>
      <c r="B611" t="inlineStr">
        <is>
          <t>12:27</t>
        </is>
      </c>
      <c r="C611" t="n">
        <v>2952</v>
      </c>
      <c r="D611" s="6" t="n">
        <v>4</v>
      </c>
      <c r="E611" t="n">
        <v>37334</v>
      </c>
      <c r="F611" s="6" t="n">
        <v>4</v>
      </c>
      <c r="G611" t="n">
        <v>1</v>
      </c>
      <c r="H611" s="6">
        <f>ROUND(G611*F611,2)</f>
        <v/>
      </c>
      <c r="I611">
        <f>IF(ROUND(H611-D611,2)=0,1,0)</f>
        <v/>
      </c>
      <c r="J611">
        <f>IF(F611="","none",IF(G611=1,"carte","multiple"))</f>
        <v/>
      </c>
    </row>
    <row r="612">
      <c r="A612" t="inlineStr">
        <is>
          <t>2022-05-04</t>
        </is>
      </c>
      <c r="B612" t="inlineStr">
        <is>
          <t>12:45</t>
        </is>
      </c>
      <c r="C612" t="n">
        <v>2952</v>
      </c>
      <c r="D612" s="6" t="n">
        <v>4.4</v>
      </c>
      <c r="E612" t="n">
        <v>37335</v>
      </c>
      <c r="F612" s="6" t="n">
        <v>0.4</v>
      </c>
      <c r="G612" t="n">
        <v>11</v>
      </c>
      <c r="H612" s="6">
        <f>ROUND(G612*F612,2)</f>
        <v/>
      </c>
      <c r="I612">
        <f>IF(ROUND(H612-D612,2)=0,1,0)</f>
        <v/>
      </c>
      <c r="J612">
        <f>IF(F612="","none",IF(G612=1,"carte","multiple"))</f>
        <v/>
      </c>
    </row>
    <row r="613">
      <c r="A613" t="inlineStr">
        <is>
          <t>2022-05-04</t>
        </is>
      </c>
      <c r="B613" t="inlineStr">
        <is>
          <t>12:45</t>
        </is>
      </c>
      <c r="C613" t="n">
        <v>2952</v>
      </c>
      <c r="D613" s="6" t="n">
        <v>13.8</v>
      </c>
      <c r="E613" t="n">
        <v>37336</v>
      </c>
      <c r="F613" s="6" t="n">
        <v>4.6</v>
      </c>
      <c r="G613" t="n">
        <v>3</v>
      </c>
      <c r="H613" s="6">
        <f>ROUND(G613*F613,2)</f>
        <v/>
      </c>
      <c r="I613">
        <f>IF(ROUND(H613-D613,2)=0,1,0)</f>
        <v/>
      </c>
      <c r="J613">
        <f>IF(F613="","none",IF(G613=1,"carte","multiple"))</f>
        <v/>
      </c>
    </row>
    <row r="614">
      <c r="A614" t="inlineStr">
        <is>
          <t>2022-05-04</t>
        </is>
      </c>
      <c r="B614" t="inlineStr">
        <is>
          <t>12:45</t>
        </is>
      </c>
      <c r="C614" t="n">
        <v>2952</v>
      </c>
      <c r="D614" s="6" t="n">
        <v>12.8</v>
      </c>
      <c r="E614" t="n">
        <v>37337</v>
      </c>
      <c r="F614" s="6" t="n">
        <v>0.4</v>
      </c>
      <c r="G614" t="n">
        <v>32</v>
      </c>
      <c r="H614" s="6">
        <f>ROUND(G614*F614,2)</f>
        <v/>
      </c>
      <c r="I614">
        <f>IF(ROUND(H614-D614,2)=0,1,0)</f>
        <v/>
      </c>
      <c r="J614">
        <f>IF(F614="","none",IF(G614=1,"carte","multiple"))</f>
        <v/>
      </c>
    </row>
    <row r="615">
      <c r="A615" t="inlineStr">
        <is>
          <t>2022-05-04</t>
        </is>
      </c>
      <c r="B615" t="inlineStr">
        <is>
          <t>12:45</t>
        </is>
      </c>
      <c r="C615" t="n">
        <v>2952</v>
      </c>
      <c r="D615" s="6" t="n">
        <v>17.6</v>
      </c>
      <c r="E615" t="n">
        <v>37338</v>
      </c>
      <c r="F615" s="6" t="n">
        <v>17.6</v>
      </c>
      <c r="G615" t="n">
        <v>1</v>
      </c>
      <c r="H615" s="6">
        <f>ROUND(G615*F615,2)</f>
        <v/>
      </c>
      <c r="I615">
        <f>IF(ROUND(H615-D615,2)=0,1,0)</f>
        <v/>
      </c>
      <c r="J615">
        <f>IF(F615="","none",IF(G615=1,"carte","multiple"))</f>
        <v/>
      </c>
    </row>
    <row r="616">
      <c r="A616" t="inlineStr">
        <is>
          <t>2022-05-04</t>
        </is>
      </c>
      <c r="B616" t="inlineStr">
        <is>
          <t>12:45</t>
        </is>
      </c>
      <c r="C616" t="n">
        <v>2952</v>
      </c>
      <c r="D616" s="6" t="n">
        <v>17.6</v>
      </c>
      <c r="E616" t="n">
        <v>37339</v>
      </c>
      <c r="F616" s="6" t="n">
        <v>17.6</v>
      </c>
      <c r="G616" t="n">
        <v>1</v>
      </c>
      <c r="H616" s="6">
        <f>ROUND(G616*F616,2)</f>
        <v/>
      </c>
      <c r="I616">
        <f>IF(ROUND(H616-D616,2)=0,1,0)</f>
        <v/>
      </c>
      <c r="J616">
        <f>IF(F616="","none",IF(G616=1,"carte","multiple"))</f>
        <v/>
      </c>
    </row>
    <row r="617">
      <c r="A617" t="inlineStr">
        <is>
          <t>2022-05-04</t>
        </is>
      </c>
      <c r="B617" t="inlineStr">
        <is>
          <t>12:54</t>
        </is>
      </c>
      <c r="C617" t="n">
        <v>2952</v>
      </c>
      <c r="D617" s="6" t="n">
        <v>15.6</v>
      </c>
      <c r="E617" t="n">
        <v>37340</v>
      </c>
      <c r="F617" s="6" t="n">
        <v>15.6</v>
      </c>
      <c r="G617" t="n">
        <v>1</v>
      </c>
      <c r="H617" s="6">
        <f>ROUND(G617*F617,2)</f>
        <v/>
      </c>
      <c r="I617">
        <f>IF(ROUND(H617-D617,2)=0,1,0)</f>
        <v/>
      </c>
      <c r="J617">
        <f>IF(F617="","none",IF(G617=1,"carte","multiple"))</f>
        <v/>
      </c>
    </row>
    <row r="618">
      <c r="A618" t="inlineStr">
        <is>
          <t>2022-05-04</t>
        </is>
      </c>
      <c r="B618" t="inlineStr">
        <is>
          <t>12:54</t>
        </is>
      </c>
      <c r="C618" t="n">
        <v>2952</v>
      </c>
      <c r="D618" s="6" t="n">
        <v>17.6</v>
      </c>
      <c r="E618" t="n">
        <v>37341</v>
      </c>
      <c r="F618" s="6" t="n">
        <v>17.6</v>
      </c>
      <c r="G618" t="n">
        <v>1</v>
      </c>
      <c r="H618" s="6">
        <f>ROUND(G618*F618,2)</f>
        <v/>
      </c>
      <c r="I618">
        <f>IF(ROUND(H618-D618,2)=0,1,0)</f>
        <v/>
      </c>
      <c r="J618">
        <f>IF(F618="","none",IF(G618=1,"carte","multiple"))</f>
        <v/>
      </c>
    </row>
    <row r="619">
      <c r="A619" t="inlineStr">
        <is>
          <t>2022-05-04</t>
        </is>
      </c>
      <c r="B619" t="inlineStr">
        <is>
          <t>12:54</t>
        </is>
      </c>
      <c r="C619" t="n">
        <v>2952</v>
      </c>
      <c r="D619" s="6" t="n">
        <v>17.6</v>
      </c>
      <c r="E619" t="n">
        <v>37342</v>
      </c>
      <c r="F619" s="6" t="n">
        <v>17.6</v>
      </c>
      <c r="G619" t="n">
        <v>1</v>
      </c>
      <c r="H619" s="6">
        <f>ROUND(G619*F619,2)</f>
        <v/>
      </c>
      <c r="I619">
        <f>IF(ROUND(H619-D619,2)=0,1,0)</f>
        <v/>
      </c>
      <c r="J619">
        <f>IF(F619="","none",IF(G619=1,"carte","multiple"))</f>
        <v/>
      </c>
    </row>
    <row r="620">
      <c r="A620" t="inlineStr">
        <is>
          <t>2022-05-04</t>
        </is>
      </c>
      <c r="B620" t="inlineStr">
        <is>
          <t>18:21</t>
        </is>
      </c>
      <c r="C620" t="n">
        <v>2952</v>
      </c>
      <c r="D620" s="6" t="n">
        <v>17.6</v>
      </c>
      <c r="E620" t="n">
        <v>37344</v>
      </c>
      <c r="F620" s="6" t="n">
        <v>17.6</v>
      </c>
      <c r="G620" t="n">
        <v>1</v>
      </c>
      <c r="H620" s="6">
        <f>ROUND(G620*F620,2)</f>
        <v/>
      </c>
      <c r="I620">
        <f>IF(ROUND(H620-D620,2)=0,1,0)</f>
        <v/>
      </c>
      <c r="J620">
        <f>IF(F620="","none",IF(G620=1,"carte","multiple"))</f>
        <v/>
      </c>
    </row>
    <row r="621">
      <c r="A621" t="inlineStr">
        <is>
          <t>2022-05-04</t>
        </is>
      </c>
      <c r="B621" t="inlineStr">
        <is>
          <t>18:21</t>
        </is>
      </c>
      <c r="C621" t="n">
        <v>2952</v>
      </c>
      <c r="D621" s="6" t="n">
        <v>17.6</v>
      </c>
      <c r="E621" t="n">
        <v>37345</v>
      </c>
      <c r="F621" s="6" t="n">
        <v>17.6</v>
      </c>
      <c r="G621" t="n">
        <v>1</v>
      </c>
      <c r="H621" s="6">
        <f>ROUND(G621*F621,2)</f>
        <v/>
      </c>
      <c r="I621">
        <f>IF(ROUND(H621-D621,2)=0,1,0)</f>
        <v/>
      </c>
      <c r="J621">
        <f>IF(F621="","none",IF(G621=1,"carte","multiple"))</f>
        <v/>
      </c>
    </row>
    <row r="622">
      <c r="A622" t="inlineStr">
        <is>
          <t>2022-05-04</t>
        </is>
      </c>
      <c r="B622" t="inlineStr">
        <is>
          <t>18:21</t>
        </is>
      </c>
      <c r="C622" t="n">
        <v>2952</v>
      </c>
      <c r="D622" s="6" t="n">
        <v>9.800000000000001</v>
      </c>
      <c r="E622" t="n">
        <v>37346</v>
      </c>
      <c r="F622" s="6" t="n">
        <v>9.800000000000001</v>
      </c>
      <c r="G622" t="n">
        <v>1</v>
      </c>
      <c r="H622" s="6">
        <f>ROUND(G622*F622,2)</f>
        <v/>
      </c>
      <c r="I622">
        <f>IF(ROUND(H622-D622,2)=0,1,0)</f>
        <v/>
      </c>
      <c r="J622">
        <f>IF(F622="","none",IF(G622=1,"carte","multiple"))</f>
        <v/>
      </c>
    </row>
    <row r="623">
      <c r="A623" t="inlineStr">
        <is>
          <t>2022-05-04</t>
        </is>
      </c>
      <c r="B623" t="inlineStr">
        <is>
          <t>18:21</t>
        </is>
      </c>
      <c r="C623" t="n">
        <v>2952</v>
      </c>
      <c r="D623" s="6" t="n">
        <v>6.9</v>
      </c>
      <c r="E623" t="n">
        <v>37347</v>
      </c>
      <c r="F623" s="6" t="n">
        <v>6.9</v>
      </c>
      <c r="G623" t="n">
        <v>1</v>
      </c>
      <c r="H623" s="6">
        <f>ROUND(G623*F623,2)</f>
        <v/>
      </c>
      <c r="I623">
        <f>IF(ROUND(H623-D623,2)=0,1,0)</f>
        <v/>
      </c>
      <c r="J623">
        <f>IF(F623="","none",IF(G623=1,"carte","multiple"))</f>
        <v/>
      </c>
    </row>
    <row r="624">
      <c r="A624" t="inlineStr">
        <is>
          <t>2022-05-04</t>
        </is>
      </c>
      <c r="B624" t="inlineStr">
        <is>
          <t>18:21</t>
        </is>
      </c>
      <c r="C624" t="n">
        <v>2952</v>
      </c>
      <c r="D624" s="6" t="n">
        <v>7.8</v>
      </c>
      <c r="E624" t="n">
        <v>37348</v>
      </c>
      <c r="F624" s="6" t="n">
        <v>7.8</v>
      </c>
      <c r="G624" t="n">
        <v>1</v>
      </c>
      <c r="H624" s="6">
        <f>ROUND(G624*F624,2)</f>
        <v/>
      </c>
      <c r="I624">
        <f>IF(ROUND(H624-D624,2)=0,1,0)</f>
        <v/>
      </c>
      <c r="J624">
        <f>IF(F624="","none",IF(G624=1,"carte","multiple"))</f>
        <v/>
      </c>
    </row>
    <row r="625">
      <c r="A625" t="inlineStr">
        <is>
          <t>2022-05-04</t>
        </is>
      </c>
      <c r="B625" t="inlineStr">
        <is>
          <t>19:05</t>
        </is>
      </c>
      <c r="C625" t="n">
        <v>2952</v>
      </c>
      <c r="D625" s="6" t="n">
        <v>4.4</v>
      </c>
      <c r="E625" t="n">
        <v>37349</v>
      </c>
      <c r="F625" s="6" t="n">
        <v>0.4</v>
      </c>
      <c r="G625" t="n">
        <v>11</v>
      </c>
      <c r="H625" s="6">
        <f>ROUND(G625*F625,2)</f>
        <v/>
      </c>
      <c r="I625">
        <f>IF(ROUND(H625-D625,2)=0,1,0)</f>
        <v/>
      </c>
      <c r="J625">
        <f>IF(F625="","none",IF(G625=1,"carte","multiple"))</f>
        <v/>
      </c>
    </row>
    <row r="626">
      <c r="A626" t="inlineStr">
        <is>
          <t>2022-05-04</t>
        </is>
      </c>
      <c r="B626" t="inlineStr">
        <is>
          <t>19:05</t>
        </is>
      </c>
      <c r="C626" t="n">
        <v>2952</v>
      </c>
      <c r="D626" s="6" t="n">
        <v>35.2</v>
      </c>
      <c r="E626" t="n">
        <v>37350</v>
      </c>
      <c r="F626" s="6" t="n">
        <v>0.4</v>
      </c>
      <c r="G626" t="n">
        <v>88</v>
      </c>
      <c r="H626" s="6">
        <f>ROUND(G626*F626,2)</f>
        <v/>
      </c>
      <c r="I626">
        <f>IF(ROUND(H626-D626,2)=0,1,0)</f>
        <v/>
      </c>
      <c r="J626">
        <f>IF(F626="","none",IF(G626=1,"carte","multiple"))</f>
        <v/>
      </c>
    </row>
    <row r="627">
      <c r="A627" t="inlineStr">
        <is>
          <t>2022-05-04</t>
        </is>
      </c>
      <c r="B627" t="inlineStr">
        <is>
          <t>19:05</t>
        </is>
      </c>
      <c r="C627" t="n">
        <v>2952</v>
      </c>
      <c r="D627" s="6" t="n">
        <v>24</v>
      </c>
      <c r="E627" t="n">
        <v>37351</v>
      </c>
      <c r="F627" s="6" t="n">
        <v>24</v>
      </c>
      <c r="G627" t="n">
        <v>1</v>
      </c>
      <c r="H627" s="6">
        <f>ROUND(G627*F627,2)</f>
        <v/>
      </c>
      <c r="I627">
        <f>IF(ROUND(H627-D627,2)=0,1,0)</f>
        <v/>
      </c>
      <c r="J627">
        <f>IF(F627="","none",IF(G627=1,"carte","multiple"))</f>
        <v/>
      </c>
    </row>
    <row r="628">
      <c r="A628" t="inlineStr">
        <is>
          <t>2022-05-04</t>
        </is>
      </c>
      <c r="B628" t="inlineStr">
        <is>
          <t>19:48</t>
        </is>
      </c>
      <c r="C628" t="n">
        <v>2952</v>
      </c>
      <c r="D628" s="6" t="n">
        <v>2.2</v>
      </c>
      <c r="E628" t="n">
        <v>37352</v>
      </c>
      <c r="F628" s="6" t="n">
        <v>2.2</v>
      </c>
      <c r="G628" t="n">
        <v>1</v>
      </c>
      <c r="H628" s="6">
        <f>ROUND(G628*F628,2)</f>
        <v/>
      </c>
      <c r="I628">
        <f>IF(ROUND(H628-D628,2)=0,1,0)</f>
        <v/>
      </c>
      <c r="J628">
        <f>IF(F628="","none",IF(G628=1,"carte","multiple"))</f>
        <v/>
      </c>
    </row>
    <row r="629">
      <c r="A629" t="inlineStr">
        <is>
          <t>2022-05-04</t>
        </is>
      </c>
      <c r="B629" t="inlineStr">
        <is>
          <t>19:48</t>
        </is>
      </c>
      <c r="C629" t="n">
        <v>2952</v>
      </c>
      <c r="D629" s="6" t="n">
        <v>64</v>
      </c>
      <c r="E629" t="n">
        <v>37353</v>
      </c>
      <c r="F629" s="6" t="n">
        <v>64</v>
      </c>
      <c r="G629" t="n">
        <v>1</v>
      </c>
      <c r="H629" s="6">
        <f>ROUND(G629*F629,2)</f>
        <v/>
      </c>
      <c r="I629">
        <f>IF(ROUND(H629-D629,2)=0,1,0)</f>
        <v/>
      </c>
      <c r="J629">
        <f>IF(F629="","none",IF(G629=1,"carte","multiple"))</f>
        <v/>
      </c>
    </row>
    <row r="630">
      <c r="A630" t="inlineStr">
        <is>
          <t>2022-05-04</t>
        </is>
      </c>
      <c r="B630" t="inlineStr">
        <is>
          <t>19:48</t>
        </is>
      </c>
      <c r="C630" t="n">
        <v>2952</v>
      </c>
      <c r="D630" s="6" t="n">
        <v>28</v>
      </c>
      <c r="E630" t="n">
        <v>37354</v>
      </c>
      <c r="F630" s="6" t="n">
        <v>28</v>
      </c>
      <c r="G630" t="n">
        <v>1</v>
      </c>
      <c r="H630" s="6">
        <f>ROUND(G630*F630,2)</f>
        <v/>
      </c>
      <c r="I630">
        <f>IF(ROUND(H630-D630,2)=0,1,0)</f>
        <v/>
      </c>
      <c r="J630">
        <f>IF(F630="","none",IF(G630=1,"carte","multiple"))</f>
        <v/>
      </c>
    </row>
    <row r="631">
      <c r="A631" t="inlineStr">
        <is>
          <t>2022-05-04</t>
        </is>
      </c>
      <c r="B631" t="inlineStr">
        <is>
          <t>20:39</t>
        </is>
      </c>
      <c r="C631" t="n">
        <v>2952</v>
      </c>
      <c r="D631" s="6" t="n">
        <v>2.9</v>
      </c>
      <c r="E631" t="n">
        <v>37355</v>
      </c>
      <c r="F631" s="6" t="n">
        <v>2.9</v>
      </c>
      <c r="G631" t="n">
        <v>1</v>
      </c>
      <c r="H631" s="6">
        <f>ROUND(G631*F631,2)</f>
        <v/>
      </c>
      <c r="I631">
        <f>IF(ROUND(H631-D631,2)=0,1,0)</f>
        <v/>
      </c>
      <c r="J631">
        <f>IF(F631="","none",IF(G631=1,"carte","multiple"))</f>
        <v/>
      </c>
    </row>
    <row r="632">
      <c r="A632" t="inlineStr">
        <is>
          <t>2022-05-05</t>
        </is>
      </c>
      <c r="B632" t="inlineStr">
        <is>
          <t>12:08</t>
        </is>
      </c>
      <c r="C632" t="n">
        <v>2953</v>
      </c>
      <c r="D632" s="6" t="n">
        <v>17.6</v>
      </c>
      <c r="E632" t="n">
        <v>37358</v>
      </c>
      <c r="F632" s="6" t="n">
        <v>17.6</v>
      </c>
      <c r="G632" t="n">
        <v>1</v>
      </c>
      <c r="H632" s="6">
        <f>ROUND(G632*F632,2)</f>
        <v/>
      </c>
      <c r="I632">
        <f>IF(ROUND(H632-D632,2)=0,1,0)</f>
        <v/>
      </c>
      <c r="J632">
        <f>IF(F632="","none",IF(G632=1,"carte","multiple"))</f>
        <v/>
      </c>
    </row>
    <row r="633">
      <c r="A633" t="inlineStr">
        <is>
          <t>2022-05-05</t>
        </is>
      </c>
      <c r="B633" t="inlineStr">
        <is>
          <t>13:30</t>
        </is>
      </c>
      <c r="C633" t="n">
        <v>2953</v>
      </c>
      <c r="D633" s="6" t="n">
        <v>5.2</v>
      </c>
      <c r="E633" t="n">
        <v>37359</v>
      </c>
      <c r="F633" s="6" t="n">
        <v>5.2</v>
      </c>
      <c r="G633" t="n">
        <v>1</v>
      </c>
      <c r="H633" s="6">
        <f>ROUND(G633*F633,2)</f>
        <v/>
      </c>
      <c r="I633">
        <f>IF(ROUND(H633-D633,2)=0,1,0)</f>
        <v/>
      </c>
      <c r="J633">
        <f>IF(F633="","none",IF(G633=1,"carte","multiple"))</f>
        <v/>
      </c>
    </row>
    <row r="634">
      <c r="A634" t="inlineStr">
        <is>
          <t>2022-05-05</t>
        </is>
      </c>
      <c r="B634" t="inlineStr">
        <is>
          <t>13:30</t>
        </is>
      </c>
      <c r="C634" t="n">
        <v>2953</v>
      </c>
      <c r="D634" s="6" t="n">
        <v>6.5</v>
      </c>
      <c r="E634" t="n">
        <v>37360</v>
      </c>
      <c r="F634" s="6" t="n">
        <v>6.5</v>
      </c>
      <c r="G634" t="n">
        <v>1</v>
      </c>
      <c r="H634" s="6">
        <f>ROUND(G634*F634,2)</f>
        <v/>
      </c>
      <c r="I634">
        <f>IF(ROUND(H634-D634,2)=0,1,0)</f>
        <v/>
      </c>
      <c r="J634">
        <f>IF(F634="","none",IF(G634=1,"carte","multiple"))</f>
        <v/>
      </c>
    </row>
    <row r="635">
      <c r="A635" t="inlineStr">
        <is>
          <t>2022-05-05</t>
        </is>
      </c>
      <c r="B635" t="inlineStr">
        <is>
          <t>13:30</t>
        </is>
      </c>
      <c r="C635" t="n">
        <v>2953</v>
      </c>
      <c r="D635" s="6" t="n">
        <v>4.4</v>
      </c>
      <c r="E635" t="n">
        <v>37361</v>
      </c>
      <c r="F635" s="6" t="n">
        <v>0.4</v>
      </c>
      <c r="G635" t="n">
        <v>11</v>
      </c>
      <c r="H635" s="6">
        <f>ROUND(G635*F635,2)</f>
        <v/>
      </c>
      <c r="I635">
        <f>IF(ROUND(H635-D635,2)=0,1,0)</f>
        <v/>
      </c>
      <c r="J635">
        <f>IF(F635="","none",IF(G635=1,"carte","multiple"))</f>
        <v/>
      </c>
    </row>
    <row r="636">
      <c r="A636" t="inlineStr">
        <is>
          <t>2022-05-05</t>
        </is>
      </c>
      <c r="B636" t="inlineStr">
        <is>
          <t>13:30</t>
        </is>
      </c>
      <c r="C636" t="n">
        <v>2953</v>
      </c>
      <c r="D636" s="6" t="n">
        <v>32</v>
      </c>
      <c r="E636" t="n">
        <v>37362</v>
      </c>
      <c r="F636" s="6" t="n">
        <v>32</v>
      </c>
      <c r="G636" t="n">
        <v>1</v>
      </c>
      <c r="H636" s="6">
        <f>ROUND(G636*F636,2)</f>
        <v/>
      </c>
      <c r="I636">
        <f>IF(ROUND(H636-D636,2)=0,1,0)</f>
        <v/>
      </c>
      <c r="J636">
        <f>IF(F636="","none",IF(G636=1,"carte","multiple"))</f>
        <v/>
      </c>
    </row>
    <row r="637">
      <c r="A637" t="inlineStr">
        <is>
          <t>2022-05-05</t>
        </is>
      </c>
      <c r="B637" t="inlineStr">
        <is>
          <t>13:30</t>
        </is>
      </c>
      <c r="C637" t="n">
        <v>2953</v>
      </c>
      <c r="D637" s="6" t="n">
        <v>32</v>
      </c>
      <c r="E637" t="n">
        <v>37363</v>
      </c>
      <c r="F637" s="6" t="n">
        <v>32</v>
      </c>
      <c r="G637" t="n">
        <v>1</v>
      </c>
      <c r="H637" s="6">
        <f>ROUND(G637*F637,2)</f>
        <v/>
      </c>
      <c r="I637">
        <f>IF(ROUND(H637-D637,2)=0,1,0)</f>
        <v/>
      </c>
      <c r="J637">
        <f>IF(F637="","none",IF(G637=1,"carte","multiple"))</f>
        <v/>
      </c>
    </row>
    <row r="638">
      <c r="A638" t="inlineStr">
        <is>
          <t>2022-05-05</t>
        </is>
      </c>
      <c r="B638" t="inlineStr">
        <is>
          <t>13:30</t>
        </is>
      </c>
      <c r="C638" t="n">
        <v>2953</v>
      </c>
      <c r="D638" s="6" t="n">
        <v>11</v>
      </c>
      <c r="E638" t="n">
        <v>37364</v>
      </c>
      <c r="F638" s="6" t="n">
        <v>11</v>
      </c>
      <c r="G638" t="n">
        <v>1</v>
      </c>
      <c r="H638" s="6">
        <f>ROUND(G638*F638,2)</f>
        <v/>
      </c>
      <c r="I638">
        <f>IF(ROUND(H638-D638,2)=0,1,0)</f>
        <v/>
      </c>
      <c r="J638">
        <f>IF(F638="","none",IF(G638=1,"carte","multiple"))</f>
        <v/>
      </c>
    </row>
    <row r="639">
      <c r="A639" t="inlineStr">
        <is>
          <t>2022-05-05</t>
        </is>
      </c>
      <c r="B639" t="inlineStr">
        <is>
          <t>13:30</t>
        </is>
      </c>
      <c r="C639" t="n">
        <v>2953</v>
      </c>
      <c r="D639" s="6" t="n">
        <v>9.9</v>
      </c>
      <c r="E639" t="n">
        <v>37365</v>
      </c>
      <c r="F639" s="6" t="n">
        <v>9.9</v>
      </c>
      <c r="G639" t="n">
        <v>1</v>
      </c>
      <c r="H639" s="6">
        <f>ROUND(G639*F639,2)</f>
        <v/>
      </c>
      <c r="I639">
        <f>IF(ROUND(H639-D639,2)=0,1,0)</f>
        <v/>
      </c>
      <c r="J639">
        <f>IF(F639="","none",IF(G639=1,"carte","multiple"))</f>
        <v/>
      </c>
    </row>
    <row r="640">
      <c r="A640" t="inlineStr">
        <is>
          <t>2022-05-05</t>
        </is>
      </c>
      <c r="B640" t="inlineStr">
        <is>
          <t>13:30</t>
        </is>
      </c>
      <c r="C640" t="n">
        <v>2953</v>
      </c>
      <c r="D640" s="6" t="n">
        <v>4.4</v>
      </c>
      <c r="E640" t="n">
        <v>37366</v>
      </c>
      <c r="F640" s="6" t="n">
        <v>0.4</v>
      </c>
      <c r="G640" t="n">
        <v>11</v>
      </c>
      <c r="H640" s="6">
        <f>ROUND(G640*F640,2)</f>
        <v/>
      </c>
      <c r="I640">
        <f>IF(ROUND(H640-D640,2)=0,1,0)</f>
        <v/>
      </c>
      <c r="J640">
        <f>IF(F640="","none",IF(G640=1,"carte","multiple"))</f>
        <v/>
      </c>
    </row>
    <row r="641">
      <c r="A641" t="inlineStr">
        <is>
          <t>2022-05-05</t>
        </is>
      </c>
      <c r="B641" t="inlineStr">
        <is>
          <t>13:30</t>
        </is>
      </c>
      <c r="C641" t="n">
        <v>2953</v>
      </c>
      <c r="D641" s="6" t="n">
        <v>17.6</v>
      </c>
      <c r="E641" t="n">
        <v>37367</v>
      </c>
      <c r="F641" s="6" t="n">
        <v>17.6</v>
      </c>
      <c r="G641" t="n">
        <v>1</v>
      </c>
      <c r="H641" s="6">
        <f>ROUND(G641*F641,2)</f>
        <v/>
      </c>
      <c r="I641">
        <f>IF(ROUND(H641-D641,2)=0,1,0)</f>
        <v/>
      </c>
      <c r="J641">
        <f>IF(F641="","none",IF(G641=1,"carte","multiple"))</f>
        <v/>
      </c>
    </row>
    <row r="642">
      <c r="A642" t="inlineStr">
        <is>
          <t>2022-05-05</t>
        </is>
      </c>
      <c r="B642" t="inlineStr">
        <is>
          <t>13:30</t>
        </is>
      </c>
      <c r="C642" t="n">
        <v>2953</v>
      </c>
      <c r="D642" s="6" t="n">
        <v>16.9</v>
      </c>
      <c r="E642" t="n">
        <v>37368</v>
      </c>
      <c r="F642" s="6" t="n">
        <v>16.9</v>
      </c>
      <c r="G642" t="n">
        <v>1</v>
      </c>
      <c r="H642" s="6">
        <f>ROUND(G642*F642,2)</f>
        <v/>
      </c>
      <c r="I642">
        <f>IF(ROUND(H642-D642,2)=0,1,0)</f>
        <v/>
      </c>
      <c r="J642">
        <f>IF(F642="","none",IF(G642=1,"carte","multiple"))</f>
        <v/>
      </c>
    </row>
    <row r="643">
      <c r="A643" t="inlineStr">
        <is>
          <t>2022-05-05</t>
        </is>
      </c>
      <c r="B643" t="inlineStr">
        <is>
          <t>13:30</t>
        </is>
      </c>
      <c r="C643" t="n">
        <v>2953</v>
      </c>
      <c r="D643" s="6" t="n">
        <v>9.800000000000001</v>
      </c>
      <c r="E643" t="n">
        <v>37369</v>
      </c>
      <c r="F643" s="6" t="n">
        <v>9.800000000000001</v>
      </c>
      <c r="G643" t="n">
        <v>1</v>
      </c>
      <c r="H643" s="6">
        <f>ROUND(G643*F643,2)</f>
        <v/>
      </c>
      <c r="I643">
        <f>IF(ROUND(H643-D643,2)=0,1,0)</f>
        <v/>
      </c>
      <c r="J643">
        <f>IF(F643="","none",IF(G643=1,"carte","multiple"))</f>
        <v/>
      </c>
    </row>
    <row r="644">
      <c r="A644" t="inlineStr">
        <is>
          <t>2022-05-05</t>
        </is>
      </c>
      <c r="B644" t="inlineStr">
        <is>
          <t>13:31</t>
        </is>
      </c>
      <c r="C644" t="n">
        <v>2953</v>
      </c>
      <c r="D644" s="6" t="n">
        <v>8.699999999999999</v>
      </c>
      <c r="E644" t="n">
        <v>37370</v>
      </c>
      <c r="F644" s="6" t="n">
        <v>8.699999999999999</v>
      </c>
      <c r="G644" t="n">
        <v>1</v>
      </c>
      <c r="H644" s="6">
        <f>ROUND(G644*F644,2)</f>
        <v/>
      </c>
      <c r="I644">
        <f>IF(ROUND(H644-D644,2)=0,1,0)</f>
        <v/>
      </c>
      <c r="J644">
        <f>IF(F644="","none",IF(G644=1,"carte","multiple"))</f>
        <v/>
      </c>
    </row>
    <row r="645">
      <c r="A645" t="inlineStr">
        <is>
          <t>2022-05-05</t>
        </is>
      </c>
      <c r="B645" t="inlineStr">
        <is>
          <t>13:31</t>
        </is>
      </c>
      <c r="C645" t="n">
        <v>2953</v>
      </c>
      <c r="D645" s="6" t="n">
        <v>6.9</v>
      </c>
      <c r="E645" t="n">
        <v>37371</v>
      </c>
      <c r="F645" s="6" t="n">
        <v>6.9</v>
      </c>
      <c r="G645" t="n">
        <v>1</v>
      </c>
      <c r="H645" s="6">
        <f>ROUND(G645*F645,2)</f>
        <v/>
      </c>
      <c r="I645">
        <f>IF(ROUND(H645-D645,2)=0,1,0)</f>
        <v/>
      </c>
      <c r="J645">
        <f>IF(F645="","none",IF(G645=1,"carte","multiple"))</f>
        <v/>
      </c>
    </row>
    <row r="646">
      <c r="A646" t="inlineStr">
        <is>
          <t>2022-05-05</t>
        </is>
      </c>
      <c r="B646" t="inlineStr">
        <is>
          <t>13:31</t>
        </is>
      </c>
      <c r="C646" t="n">
        <v>2953</v>
      </c>
      <c r="D646" s="6" t="n">
        <v>17.6</v>
      </c>
      <c r="E646" t="n">
        <v>37372</v>
      </c>
      <c r="F646" s="6" t="n">
        <v>17.6</v>
      </c>
      <c r="G646" t="n">
        <v>1</v>
      </c>
      <c r="H646" s="6">
        <f>ROUND(G646*F646,2)</f>
        <v/>
      </c>
      <c r="I646">
        <f>IF(ROUND(H646-D646,2)=0,1,0)</f>
        <v/>
      </c>
      <c r="J646">
        <f>IF(F646="","none",IF(G646=1,"carte","multiple"))</f>
        <v/>
      </c>
    </row>
    <row r="647">
      <c r="A647" t="inlineStr">
        <is>
          <t>2022-05-05</t>
        </is>
      </c>
      <c r="B647" t="inlineStr">
        <is>
          <t>13:31</t>
        </is>
      </c>
      <c r="C647" t="n">
        <v>2953</v>
      </c>
      <c r="D647" s="6" t="n">
        <v>19.9</v>
      </c>
      <c r="E647" t="n">
        <v>37373</v>
      </c>
      <c r="F647" s="6" t="n">
        <v>19.9</v>
      </c>
      <c r="G647" t="n">
        <v>1</v>
      </c>
      <c r="H647" s="6">
        <f>ROUND(G647*F647,2)</f>
        <v/>
      </c>
      <c r="I647">
        <f>IF(ROUND(H647-D647,2)=0,1,0)</f>
        <v/>
      </c>
      <c r="J647">
        <f>IF(F647="","none",IF(G647=1,"carte","multiple"))</f>
        <v/>
      </c>
    </row>
    <row r="648">
      <c r="A648" t="inlineStr">
        <is>
          <t>2022-05-05</t>
        </is>
      </c>
      <c r="B648" t="inlineStr">
        <is>
          <t>13:31</t>
        </is>
      </c>
      <c r="C648" t="n">
        <v>2953</v>
      </c>
      <c r="D648" s="6" t="n">
        <v>9.800000000000001</v>
      </c>
      <c r="E648" t="n">
        <v>37374</v>
      </c>
      <c r="F648" s="6" t="n">
        <v>9.800000000000001</v>
      </c>
      <c r="G648" t="n">
        <v>1</v>
      </c>
      <c r="H648" s="6">
        <f>ROUND(G648*F648,2)</f>
        <v/>
      </c>
      <c r="I648">
        <f>IF(ROUND(H648-D648,2)=0,1,0)</f>
        <v/>
      </c>
      <c r="J648">
        <f>IF(F648="","none",IF(G648=1,"carte","multiple"))</f>
        <v/>
      </c>
    </row>
    <row r="649">
      <c r="A649" t="inlineStr">
        <is>
          <t>2022-05-05</t>
        </is>
      </c>
      <c r="B649" t="inlineStr">
        <is>
          <t>13:31</t>
        </is>
      </c>
      <c r="C649" t="n">
        <v>2953</v>
      </c>
      <c r="D649" s="6" t="n">
        <v>2.2</v>
      </c>
      <c r="E649" t="n">
        <v>37375</v>
      </c>
      <c r="F649" s="6" t="n">
        <v>2.2</v>
      </c>
      <c r="G649" t="n">
        <v>1</v>
      </c>
      <c r="H649" s="6">
        <f>ROUND(G649*F649,2)</f>
        <v/>
      </c>
      <c r="I649">
        <f>IF(ROUND(H649-D649,2)=0,1,0)</f>
        <v/>
      </c>
      <c r="J649">
        <f>IF(F649="","none",IF(G649=1,"carte","multiple"))</f>
        <v/>
      </c>
    </row>
    <row r="650">
      <c r="A650" t="inlineStr">
        <is>
          <t>2022-05-05</t>
        </is>
      </c>
      <c r="B650" t="inlineStr">
        <is>
          <t>13:31</t>
        </is>
      </c>
      <c r="C650" t="n">
        <v>2953</v>
      </c>
      <c r="D650" s="6" t="n">
        <v>8.699999999999999</v>
      </c>
      <c r="E650" t="n">
        <v>37376</v>
      </c>
      <c r="F650" s="6" t="n">
        <v>8.699999999999999</v>
      </c>
      <c r="G650" t="n">
        <v>1</v>
      </c>
      <c r="H650" s="6">
        <f>ROUND(G650*F650,2)</f>
        <v/>
      </c>
      <c r="I650">
        <f>IF(ROUND(H650-D650,2)=0,1,0)</f>
        <v/>
      </c>
      <c r="J650">
        <f>IF(F650="","none",IF(G650=1,"carte","multiple"))</f>
        <v/>
      </c>
    </row>
    <row r="651">
      <c r="A651" t="inlineStr">
        <is>
          <t>2022-05-05</t>
        </is>
      </c>
      <c r="B651" t="inlineStr">
        <is>
          <t>13:31</t>
        </is>
      </c>
      <c r="C651" t="n">
        <v>2953</v>
      </c>
      <c r="D651" s="6" t="n">
        <v>19</v>
      </c>
      <c r="E651" t="n">
        <v>37377</v>
      </c>
      <c r="F651" s="6" t="n">
        <v>19</v>
      </c>
      <c r="G651" t="n">
        <v>1</v>
      </c>
      <c r="H651" s="6">
        <f>ROUND(G651*F651,2)</f>
        <v/>
      </c>
      <c r="I651">
        <f>IF(ROUND(H651-D651,2)=0,1,0)</f>
        <v/>
      </c>
      <c r="J651">
        <f>IF(F651="","none",IF(G651=1,"carte","multiple"))</f>
        <v/>
      </c>
    </row>
    <row r="652">
      <c r="A652" t="inlineStr">
        <is>
          <t>2022-05-05</t>
        </is>
      </c>
      <c r="B652" t="inlineStr">
        <is>
          <t>13:31</t>
        </is>
      </c>
      <c r="C652" t="n">
        <v>2953</v>
      </c>
      <c r="D652" s="6" t="n">
        <v>17.6</v>
      </c>
      <c r="E652" t="n">
        <v>37378</v>
      </c>
      <c r="F652" s="6" t="n">
        <v>17.6</v>
      </c>
      <c r="G652" t="n">
        <v>1</v>
      </c>
      <c r="H652" s="6">
        <f>ROUND(G652*F652,2)</f>
        <v/>
      </c>
      <c r="I652">
        <f>IF(ROUND(H652-D652,2)=0,1,0)</f>
        <v/>
      </c>
      <c r="J652">
        <f>IF(F652="","none",IF(G652=1,"carte","multiple"))</f>
        <v/>
      </c>
    </row>
    <row r="653">
      <c r="A653" t="inlineStr">
        <is>
          <t>2022-05-05</t>
        </is>
      </c>
      <c r="B653" t="inlineStr">
        <is>
          <t>13:31</t>
        </is>
      </c>
      <c r="C653" t="n">
        <v>2953</v>
      </c>
      <c r="D653" s="6" t="n">
        <v>17.6</v>
      </c>
      <c r="E653" t="n">
        <v>37379</v>
      </c>
      <c r="F653" s="6" t="n">
        <v>17.6</v>
      </c>
      <c r="G653" t="n">
        <v>1</v>
      </c>
      <c r="H653" s="6">
        <f>ROUND(G653*F653,2)</f>
        <v/>
      </c>
      <c r="I653">
        <f>IF(ROUND(H653-D653,2)=0,1,0)</f>
        <v/>
      </c>
      <c r="J653">
        <f>IF(F653="","none",IF(G653=1,"carte","multiple"))</f>
        <v/>
      </c>
    </row>
    <row r="654">
      <c r="A654" t="inlineStr">
        <is>
          <t>2022-05-05</t>
        </is>
      </c>
      <c r="B654" t="inlineStr">
        <is>
          <t>13:31</t>
        </is>
      </c>
      <c r="C654" t="n">
        <v>2953</v>
      </c>
      <c r="D654" s="6" t="n">
        <v>31.8</v>
      </c>
      <c r="E654" t="n">
        <v>37380</v>
      </c>
      <c r="F654" s="6" t="n">
        <v>31.8</v>
      </c>
      <c r="G654" t="n">
        <v>1</v>
      </c>
      <c r="H654" s="6">
        <f>ROUND(G654*F654,2)</f>
        <v/>
      </c>
      <c r="I654">
        <f>IF(ROUND(H654-D654,2)=0,1,0)</f>
        <v/>
      </c>
      <c r="J654">
        <f>IF(F654="","none",IF(G654=1,"carte","multiple"))</f>
        <v/>
      </c>
    </row>
    <row r="655">
      <c r="A655" t="inlineStr">
        <is>
          <t>2022-05-05</t>
        </is>
      </c>
      <c r="B655" t="inlineStr">
        <is>
          <t>20:03</t>
        </is>
      </c>
      <c r="C655" t="n">
        <v>2953</v>
      </c>
      <c r="D655" s="6" t="n">
        <v>10.9</v>
      </c>
      <c r="E655" t="n">
        <v>37382</v>
      </c>
      <c r="F655" s="6" t="n">
        <v>10.9</v>
      </c>
      <c r="G655" t="n">
        <v>1</v>
      </c>
      <c r="H655" s="6">
        <f>ROUND(G655*F655,2)</f>
        <v/>
      </c>
      <c r="I655">
        <f>IF(ROUND(H655-D655,2)=0,1,0)</f>
        <v/>
      </c>
      <c r="J655">
        <f>IF(F655="","none",IF(G655=1,"carte","multiple"))</f>
        <v/>
      </c>
    </row>
    <row r="656">
      <c r="A656" t="inlineStr">
        <is>
          <t>2022-05-05</t>
        </is>
      </c>
      <c r="B656" t="inlineStr">
        <is>
          <t>20:03</t>
        </is>
      </c>
      <c r="C656" t="n">
        <v>2953</v>
      </c>
      <c r="D656" s="6" t="n">
        <v>14</v>
      </c>
      <c r="E656" t="n">
        <v>37383</v>
      </c>
      <c r="F656" s="6" t="n">
        <v>14</v>
      </c>
      <c r="G656" t="n">
        <v>1</v>
      </c>
      <c r="H656" s="6">
        <f>ROUND(G656*F656,2)</f>
        <v/>
      </c>
      <c r="I656">
        <f>IF(ROUND(H656-D656,2)=0,1,0)</f>
        <v/>
      </c>
      <c r="J656">
        <f>IF(F656="","none",IF(G656=1,"carte","multiple"))</f>
        <v/>
      </c>
    </row>
    <row r="657">
      <c r="A657" t="inlineStr">
        <is>
          <t>2022-05-05</t>
        </is>
      </c>
      <c r="B657" t="inlineStr">
        <is>
          <t>20:03</t>
        </is>
      </c>
      <c r="C657" t="n">
        <v>2953</v>
      </c>
      <c r="D657" s="6" t="n">
        <v>4</v>
      </c>
      <c r="E657" t="n">
        <v>37384</v>
      </c>
      <c r="F657" s="6" t="n">
        <v>4</v>
      </c>
      <c r="G657" t="n">
        <v>1</v>
      </c>
      <c r="H657" s="6">
        <f>ROUND(G657*F657,2)</f>
        <v/>
      </c>
      <c r="I657">
        <f>IF(ROUND(H657-D657,2)=0,1,0)</f>
        <v/>
      </c>
      <c r="J657">
        <f>IF(F657="","none",IF(G657=1,"carte","multiple"))</f>
        <v/>
      </c>
    </row>
    <row r="658">
      <c r="A658" t="inlineStr">
        <is>
          <t>2022-05-05</t>
        </is>
      </c>
      <c r="B658" t="inlineStr">
        <is>
          <t>20:04</t>
        </is>
      </c>
      <c r="C658" t="n">
        <v>2953</v>
      </c>
      <c r="D658" s="6" t="n">
        <v>5.8</v>
      </c>
      <c r="E658" t="n">
        <v>37385</v>
      </c>
      <c r="F658" s="6" t="n">
        <v>5.8</v>
      </c>
      <c r="G658" t="n">
        <v>1</v>
      </c>
      <c r="H658" s="6">
        <f>ROUND(G658*F658,2)</f>
        <v/>
      </c>
      <c r="I658">
        <f>IF(ROUND(H658-D658,2)=0,1,0)</f>
        <v/>
      </c>
      <c r="J658">
        <f>IF(F658="","none",IF(G658=1,"carte","multiple"))</f>
        <v/>
      </c>
    </row>
    <row r="659">
      <c r="A659" t="inlineStr">
        <is>
          <t>2022-05-05</t>
        </is>
      </c>
      <c r="B659" t="inlineStr">
        <is>
          <t>20:04</t>
        </is>
      </c>
      <c r="C659" t="n">
        <v>2953</v>
      </c>
      <c r="D659" s="6" t="n">
        <v>46</v>
      </c>
      <c r="E659" t="n">
        <v>37386</v>
      </c>
      <c r="F659" s="6" t="n">
        <v>0.4</v>
      </c>
      <c r="G659" t="n">
        <v>115</v>
      </c>
      <c r="H659" s="6">
        <f>ROUND(G659*F659,2)</f>
        <v/>
      </c>
      <c r="I659">
        <f>IF(ROUND(H659-D659,2)=0,1,0)</f>
        <v/>
      </c>
      <c r="J659">
        <f>IF(F659="","none",IF(G659=1,"carte","multiple"))</f>
        <v/>
      </c>
    </row>
    <row r="660">
      <c r="A660" t="inlineStr">
        <is>
          <t>2022-05-06</t>
        </is>
      </c>
      <c r="B660" t="inlineStr">
        <is>
          <t>11:51</t>
        </is>
      </c>
      <c r="C660" t="n">
        <v>2954</v>
      </c>
      <c r="D660" s="6" t="n">
        <v>2.2</v>
      </c>
      <c r="E660" t="n">
        <v>37389</v>
      </c>
      <c r="F660" s="6" t="n">
        <v>2.2</v>
      </c>
      <c r="G660" t="n">
        <v>1</v>
      </c>
      <c r="H660" s="6">
        <f>ROUND(G660*F660,2)</f>
        <v/>
      </c>
      <c r="I660">
        <f>IF(ROUND(H660-D660,2)=0,1,0)</f>
        <v/>
      </c>
      <c r="J660">
        <f>IF(F660="","none",IF(G660=1,"carte","multiple"))</f>
        <v/>
      </c>
    </row>
    <row r="661">
      <c r="A661" t="inlineStr">
        <is>
          <t>2022-05-06</t>
        </is>
      </c>
      <c r="B661" t="inlineStr">
        <is>
          <t>11:51</t>
        </is>
      </c>
      <c r="C661" t="n">
        <v>2954</v>
      </c>
      <c r="D661" s="6" t="n">
        <v>7.8</v>
      </c>
      <c r="E661" t="n">
        <v>37390</v>
      </c>
      <c r="F661" s="6" t="n">
        <v>7.8</v>
      </c>
      <c r="G661" t="n">
        <v>1</v>
      </c>
      <c r="H661" s="6">
        <f>ROUND(G661*F661,2)</f>
        <v/>
      </c>
      <c r="I661">
        <f>IF(ROUND(H661-D661,2)=0,1,0)</f>
        <v/>
      </c>
      <c r="J661">
        <f>IF(F661="","none",IF(G661=1,"carte","multiple"))</f>
        <v/>
      </c>
    </row>
    <row r="662">
      <c r="A662" t="inlineStr">
        <is>
          <t>2022-05-06</t>
        </is>
      </c>
      <c r="B662" t="inlineStr">
        <is>
          <t>11:51</t>
        </is>
      </c>
      <c r="C662" t="n">
        <v>2954</v>
      </c>
      <c r="D662" s="6" t="n">
        <v>7.8</v>
      </c>
      <c r="E662" t="n">
        <v>37391</v>
      </c>
      <c r="F662" s="6" t="n">
        <v>7.8</v>
      </c>
      <c r="G662" t="n">
        <v>1</v>
      </c>
      <c r="H662" s="6">
        <f>ROUND(G662*F662,2)</f>
        <v/>
      </c>
      <c r="I662">
        <f>IF(ROUND(H662-D662,2)=0,1,0)</f>
        <v/>
      </c>
      <c r="J662">
        <f>IF(F662="","none",IF(G662=1,"carte","multiple"))</f>
        <v/>
      </c>
    </row>
    <row r="663">
      <c r="A663" t="inlineStr">
        <is>
          <t>2022-05-06</t>
        </is>
      </c>
      <c r="B663" t="inlineStr">
        <is>
          <t>11:51</t>
        </is>
      </c>
      <c r="C663" t="n">
        <v>2954</v>
      </c>
      <c r="D663" s="6" t="n">
        <v>17.6</v>
      </c>
      <c r="E663" t="n">
        <v>37392</v>
      </c>
      <c r="F663" s="6" t="n">
        <v>17.6</v>
      </c>
      <c r="G663" t="n">
        <v>1</v>
      </c>
      <c r="H663" s="6">
        <f>ROUND(G663*F663,2)</f>
        <v/>
      </c>
      <c r="I663">
        <f>IF(ROUND(H663-D663,2)=0,1,0)</f>
        <v/>
      </c>
      <c r="J663">
        <f>IF(F663="","none",IF(G663=1,"carte","multiple"))</f>
        <v/>
      </c>
    </row>
    <row r="664">
      <c r="A664" t="inlineStr">
        <is>
          <t>2022-05-06</t>
        </is>
      </c>
      <c r="B664" t="inlineStr">
        <is>
          <t>11:51</t>
        </is>
      </c>
      <c r="C664" t="n">
        <v>2954</v>
      </c>
      <c r="D664" s="6" t="n">
        <v>19</v>
      </c>
      <c r="E664" t="n">
        <v>37393</v>
      </c>
      <c r="F664" s="6" t="n">
        <v>19</v>
      </c>
      <c r="G664" t="n">
        <v>1</v>
      </c>
      <c r="H664" s="6">
        <f>ROUND(G664*F664,2)</f>
        <v/>
      </c>
      <c r="I664">
        <f>IF(ROUND(H664-D664,2)=0,1,0)</f>
        <v/>
      </c>
      <c r="J664">
        <f>IF(F664="","none",IF(G664=1,"carte","multiple"))</f>
        <v/>
      </c>
    </row>
    <row r="665">
      <c r="A665" t="inlineStr">
        <is>
          <t>2022-05-06</t>
        </is>
      </c>
      <c r="B665" t="inlineStr">
        <is>
          <t>11:56</t>
        </is>
      </c>
      <c r="C665" t="n">
        <v>2954</v>
      </c>
      <c r="D665" s="6" t="n">
        <v>15</v>
      </c>
      <c r="E665" t="n">
        <v>37394</v>
      </c>
      <c r="F665" s="6" t="n">
        <v>15</v>
      </c>
      <c r="G665" t="n">
        <v>1</v>
      </c>
      <c r="H665" s="6">
        <f>ROUND(G665*F665,2)</f>
        <v/>
      </c>
      <c r="I665">
        <f>IF(ROUND(H665-D665,2)=0,1,0)</f>
        <v/>
      </c>
      <c r="J665">
        <f>IF(F665="","none",IF(G665=1,"carte","multiple"))</f>
        <v/>
      </c>
    </row>
    <row r="666">
      <c r="A666" t="inlineStr">
        <is>
          <t>2022-05-06</t>
        </is>
      </c>
      <c r="B666" t="inlineStr">
        <is>
          <t>12:43</t>
        </is>
      </c>
      <c r="C666" t="n">
        <v>2954</v>
      </c>
      <c r="D666" s="6" t="n">
        <v>3.9</v>
      </c>
      <c r="E666" t="n">
        <v>37395</v>
      </c>
      <c r="F666" s="6" t="n">
        <v>3.9</v>
      </c>
      <c r="G666" t="n">
        <v>1</v>
      </c>
      <c r="H666" s="6">
        <f>ROUND(G666*F666,2)</f>
        <v/>
      </c>
      <c r="I666">
        <f>IF(ROUND(H666-D666,2)=0,1,0)</f>
        <v/>
      </c>
      <c r="J666">
        <f>IF(F666="","none",IF(G666=1,"carte","multiple"))</f>
        <v/>
      </c>
    </row>
    <row r="667">
      <c r="A667" t="inlineStr">
        <is>
          <t>2022-05-06</t>
        </is>
      </c>
      <c r="B667" t="inlineStr">
        <is>
          <t>12:43</t>
        </is>
      </c>
      <c r="C667" t="n">
        <v>2954</v>
      </c>
      <c r="D667" s="6" t="n">
        <v>57</v>
      </c>
      <c r="E667" t="n">
        <v>37396</v>
      </c>
      <c r="F667" s="6" t="n">
        <v>0.5</v>
      </c>
      <c r="G667" t="n">
        <v>114</v>
      </c>
      <c r="H667" s="6">
        <f>ROUND(G667*F667,2)</f>
        <v/>
      </c>
      <c r="I667">
        <f>IF(ROUND(H667-D667,2)=0,1,0)</f>
        <v/>
      </c>
      <c r="J667">
        <f>IF(F667="","none",IF(G667=1,"carte","multiple"))</f>
        <v/>
      </c>
    </row>
    <row r="668">
      <c r="A668" t="inlineStr">
        <is>
          <t>2022-05-06</t>
        </is>
      </c>
      <c r="B668" t="inlineStr">
        <is>
          <t>18:43</t>
        </is>
      </c>
      <c r="C668" t="n">
        <v>2954</v>
      </c>
      <c r="D668" s="6" t="n">
        <v>28</v>
      </c>
      <c r="E668" t="n">
        <v>37398</v>
      </c>
      <c r="F668" s="6" t="n">
        <v>28</v>
      </c>
      <c r="G668" t="n">
        <v>1</v>
      </c>
      <c r="H668" s="6">
        <f>ROUND(G668*F668,2)</f>
        <v/>
      </c>
      <c r="I668">
        <f>IF(ROUND(H668-D668,2)=0,1,0)</f>
        <v/>
      </c>
      <c r="J668">
        <f>IF(F668="","none",IF(G668=1,"carte","multiple"))</f>
        <v/>
      </c>
    </row>
    <row r="669">
      <c r="A669" t="inlineStr">
        <is>
          <t>2022-05-06</t>
        </is>
      </c>
      <c r="B669" t="inlineStr">
        <is>
          <t>18:43</t>
        </is>
      </c>
      <c r="C669" t="n">
        <v>2954</v>
      </c>
      <c r="D669" s="6" t="n">
        <v>3.9</v>
      </c>
      <c r="E669" t="n">
        <v>37399</v>
      </c>
      <c r="F669" s="6" t="n">
        <v>3.9</v>
      </c>
      <c r="G669" t="n">
        <v>1</v>
      </c>
      <c r="H669" s="6">
        <f>ROUND(G669*F669,2)</f>
        <v/>
      </c>
      <c r="I669">
        <f>IF(ROUND(H669-D669,2)=0,1,0)</f>
        <v/>
      </c>
      <c r="J669">
        <f>IF(F669="","none",IF(G669=1,"carte","multiple"))</f>
        <v/>
      </c>
    </row>
    <row r="670">
      <c r="A670" t="inlineStr">
        <is>
          <t>2022-05-06</t>
        </is>
      </c>
      <c r="B670" t="inlineStr">
        <is>
          <t>18:43</t>
        </is>
      </c>
      <c r="C670" t="n">
        <v>2954</v>
      </c>
      <c r="D670" s="6" t="n">
        <v>17.6</v>
      </c>
      <c r="E670" t="n">
        <v>37400</v>
      </c>
      <c r="F670" s="6" t="n">
        <v>17.6</v>
      </c>
      <c r="G670" t="n">
        <v>1</v>
      </c>
      <c r="H670" s="6">
        <f>ROUND(G670*F670,2)</f>
        <v/>
      </c>
      <c r="I670">
        <f>IF(ROUND(H670-D670,2)=0,1,0)</f>
        <v/>
      </c>
      <c r="J670">
        <f>IF(F670="","none",IF(G670=1,"carte","multiple"))</f>
        <v/>
      </c>
    </row>
    <row r="671">
      <c r="A671" t="inlineStr">
        <is>
          <t>2022-05-06</t>
        </is>
      </c>
      <c r="B671" t="inlineStr">
        <is>
          <t>18:43</t>
        </is>
      </c>
      <c r="C671" t="n">
        <v>2954</v>
      </c>
      <c r="D671" s="6" t="n">
        <v>9.6</v>
      </c>
      <c r="E671" t="n">
        <v>37401</v>
      </c>
      <c r="F671" s="6" t="n">
        <v>9.6</v>
      </c>
      <c r="G671" t="n">
        <v>1</v>
      </c>
      <c r="H671" s="6">
        <f>ROUND(G671*F671,2)</f>
        <v/>
      </c>
      <c r="I671">
        <f>IF(ROUND(H671-D671,2)=0,1,0)</f>
        <v/>
      </c>
      <c r="J671">
        <f>IF(F671="","none",IF(G671=1,"carte","multiple"))</f>
        <v/>
      </c>
    </row>
    <row r="672">
      <c r="A672" t="inlineStr">
        <is>
          <t>2022-05-06</t>
        </is>
      </c>
      <c r="B672" t="inlineStr">
        <is>
          <t>18:52</t>
        </is>
      </c>
      <c r="C672" t="n">
        <v>2954</v>
      </c>
      <c r="D672" s="6" t="n">
        <v>17.6</v>
      </c>
      <c r="E672" t="n">
        <v>37402</v>
      </c>
      <c r="F672" s="6" t="n">
        <v>17.6</v>
      </c>
      <c r="G672" t="n">
        <v>1</v>
      </c>
      <c r="H672" s="6">
        <f>ROUND(G672*F672,2)</f>
        <v/>
      </c>
      <c r="I672">
        <f>IF(ROUND(H672-D672,2)=0,1,0)</f>
        <v/>
      </c>
      <c r="J672">
        <f>IF(F672="","none",IF(G672=1,"carte","multiple"))</f>
        <v/>
      </c>
    </row>
    <row r="673">
      <c r="A673" t="inlineStr">
        <is>
          <t>2022-05-06</t>
        </is>
      </c>
      <c r="B673" t="inlineStr">
        <is>
          <t>18:52</t>
        </is>
      </c>
      <c r="C673" t="n">
        <v>2954</v>
      </c>
      <c r="D673" s="6" t="n">
        <v>17.6</v>
      </c>
      <c r="E673" t="n">
        <v>37403</v>
      </c>
      <c r="F673" s="6" t="n">
        <v>17.6</v>
      </c>
      <c r="G673" t="n">
        <v>1</v>
      </c>
      <c r="H673" s="6">
        <f>ROUND(G673*F673,2)</f>
        <v/>
      </c>
      <c r="I673">
        <f>IF(ROUND(H673-D673,2)=0,1,0)</f>
        <v/>
      </c>
      <c r="J673">
        <f>IF(F673="","none",IF(G673=1,"carte","multiple"))</f>
        <v/>
      </c>
    </row>
    <row r="674">
      <c r="A674" t="inlineStr">
        <is>
          <t>2022-05-06</t>
        </is>
      </c>
      <c r="B674" t="inlineStr">
        <is>
          <t>18:52</t>
        </is>
      </c>
      <c r="C674" t="n">
        <v>2954</v>
      </c>
      <c r="D674" s="6" t="n">
        <v>8.9</v>
      </c>
      <c r="E674" t="n">
        <v>37404</v>
      </c>
      <c r="F674" s="6" t="n">
        <v>8.9</v>
      </c>
      <c r="G674" t="n">
        <v>1</v>
      </c>
      <c r="H674" s="6">
        <f>ROUND(G674*F674,2)</f>
        <v/>
      </c>
      <c r="I674">
        <f>IF(ROUND(H674-D674,2)=0,1,0)</f>
        <v/>
      </c>
      <c r="J674">
        <f>IF(F674="","none",IF(G674=1,"carte","multiple"))</f>
        <v/>
      </c>
    </row>
    <row r="675">
      <c r="A675" t="inlineStr">
        <is>
          <t>2022-05-06</t>
        </is>
      </c>
      <c r="B675" t="inlineStr">
        <is>
          <t>18:52</t>
        </is>
      </c>
      <c r="C675" t="n">
        <v>2954</v>
      </c>
      <c r="D675" s="6" t="n">
        <v>9.6</v>
      </c>
      <c r="E675" t="n">
        <v>37405</v>
      </c>
      <c r="F675" s="6" t="n">
        <v>9.6</v>
      </c>
      <c r="G675" t="n">
        <v>1</v>
      </c>
      <c r="H675" s="6">
        <f>ROUND(G675*F675,2)</f>
        <v/>
      </c>
      <c r="I675">
        <f>IF(ROUND(H675-D675,2)=0,1,0)</f>
        <v/>
      </c>
      <c r="J675">
        <f>IF(F675="","none",IF(G675=1,"carte","multiple"))</f>
        <v/>
      </c>
    </row>
    <row r="676">
      <c r="A676" t="inlineStr">
        <is>
          <t>2022-05-06</t>
        </is>
      </c>
      <c r="B676" t="inlineStr">
        <is>
          <t>18:52</t>
        </is>
      </c>
      <c r="C676" t="n">
        <v>2954</v>
      </c>
      <c r="D676" s="6" t="n">
        <v>9.800000000000001</v>
      </c>
      <c r="E676" t="n">
        <v>37406</v>
      </c>
      <c r="F676" s="6" t="n">
        <v>9.800000000000001</v>
      </c>
      <c r="G676" t="n">
        <v>1</v>
      </c>
      <c r="H676" s="6">
        <f>ROUND(G676*F676,2)</f>
        <v/>
      </c>
      <c r="I676">
        <f>IF(ROUND(H676-D676,2)=0,1,0)</f>
        <v/>
      </c>
      <c r="J676">
        <f>IF(F676="","none",IF(G676=1,"carte","multiple"))</f>
        <v/>
      </c>
    </row>
    <row r="677">
      <c r="A677" t="inlineStr">
        <is>
          <t>2022-05-06</t>
        </is>
      </c>
      <c r="B677" t="inlineStr">
        <is>
          <t>20:07</t>
        </is>
      </c>
      <c r="C677" t="n">
        <v>2954</v>
      </c>
      <c r="D677" s="6" t="n">
        <v>2.2</v>
      </c>
      <c r="E677" t="n">
        <v>37407</v>
      </c>
      <c r="F677" s="6" t="n">
        <v>2.2</v>
      </c>
      <c r="G677" t="n">
        <v>1</v>
      </c>
      <c r="H677" s="6">
        <f>ROUND(G677*F677,2)</f>
        <v/>
      </c>
      <c r="I677">
        <f>IF(ROUND(H677-D677,2)=0,1,0)</f>
        <v/>
      </c>
      <c r="J677">
        <f>IF(F677="","none",IF(G677=1,"carte","multiple"))</f>
        <v/>
      </c>
    </row>
    <row r="678">
      <c r="A678" t="inlineStr">
        <is>
          <t>2022-05-06</t>
        </is>
      </c>
      <c r="B678" t="inlineStr">
        <is>
          <t>20:07</t>
        </is>
      </c>
      <c r="C678" t="n">
        <v>2954</v>
      </c>
      <c r="D678" s="6" t="n">
        <v>6.9</v>
      </c>
      <c r="E678" t="n">
        <v>37408</v>
      </c>
      <c r="F678" s="6" t="n">
        <v>6.9</v>
      </c>
      <c r="G678" t="n">
        <v>1</v>
      </c>
      <c r="H678" s="6">
        <f>ROUND(G678*F678,2)</f>
        <v/>
      </c>
      <c r="I678">
        <f>IF(ROUND(H678-D678,2)=0,1,0)</f>
        <v/>
      </c>
      <c r="J678">
        <f>IF(F678="","none",IF(G678=1,"carte","multiple"))</f>
        <v/>
      </c>
    </row>
    <row r="679">
      <c r="A679" t="inlineStr">
        <is>
          <t>2022-05-06</t>
        </is>
      </c>
      <c r="B679" t="inlineStr">
        <is>
          <t>20:07</t>
        </is>
      </c>
      <c r="C679" t="n">
        <v>2954</v>
      </c>
      <c r="D679" s="6" t="n">
        <v>3.9</v>
      </c>
      <c r="E679" t="n">
        <v>37409</v>
      </c>
      <c r="F679" s="6" t="n">
        <v>3.9</v>
      </c>
      <c r="G679" t="n">
        <v>1</v>
      </c>
      <c r="H679" s="6">
        <f>ROUND(G679*F679,2)</f>
        <v/>
      </c>
      <c r="I679">
        <f>IF(ROUND(H679-D679,2)=0,1,0)</f>
        <v/>
      </c>
      <c r="J679">
        <f>IF(F679="","none",IF(G679=1,"carte","multiple"))</f>
        <v/>
      </c>
    </row>
    <row r="680">
      <c r="A680" t="inlineStr">
        <is>
          <t>2022-05-06</t>
        </is>
      </c>
      <c r="B680" t="inlineStr">
        <is>
          <t>20:08</t>
        </is>
      </c>
      <c r="C680" t="n">
        <v>2954</v>
      </c>
      <c r="D680" s="6" t="n">
        <v>8.1</v>
      </c>
      <c r="E680" t="n">
        <v>37410</v>
      </c>
      <c r="F680" s="6" t="n">
        <v>8.1</v>
      </c>
      <c r="G680" t="n">
        <v>1</v>
      </c>
      <c r="H680" s="6">
        <f>ROUND(G680*F680,2)</f>
        <v/>
      </c>
      <c r="I680">
        <f>IF(ROUND(H680-D680,2)=0,1,0)</f>
        <v/>
      </c>
      <c r="J680">
        <f>IF(F680="","none",IF(G680=1,"carte","multiple"))</f>
        <v/>
      </c>
    </row>
    <row r="681">
      <c r="A681" t="inlineStr">
        <is>
          <t>2022-05-06</t>
        </is>
      </c>
      <c r="B681" t="inlineStr">
        <is>
          <t>20:08</t>
        </is>
      </c>
      <c r="C681" t="n">
        <v>2954</v>
      </c>
      <c r="D681" s="6" t="n">
        <v>36</v>
      </c>
      <c r="E681" t="n">
        <v>37411</v>
      </c>
      <c r="F681" s="6" t="n">
        <v>36</v>
      </c>
      <c r="G681" t="n">
        <v>1</v>
      </c>
      <c r="H681" s="6">
        <f>ROUND(G681*F681,2)</f>
        <v/>
      </c>
      <c r="I681">
        <f>IF(ROUND(H681-D681,2)=0,1,0)</f>
        <v/>
      </c>
      <c r="J681">
        <f>IF(F681="","none",IF(G681=1,"carte","multiple"))</f>
        <v/>
      </c>
    </row>
    <row r="682">
      <c r="A682" t="inlineStr">
        <is>
          <t>2022-05-06</t>
        </is>
      </c>
      <c r="B682" t="inlineStr">
        <is>
          <t>20:08</t>
        </is>
      </c>
      <c r="C682" t="n">
        <v>2954</v>
      </c>
      <c r="D682" s="6" t="n">
        <v>17.6</v>
      </c>
      <c r="E682" t="n">
        <v>37412</v>
      </c>
      <c r="F682" s="6" t="n">
        <v>17.6</v>
      </c>
      <c r="G682" t="n">
        <v>1</v>
      </c>
      <c r="H682" s="6">
        <f>ROUND(G682*F682,2)</f>
        <v/>
      </c>
      <c r="I682">
        <f>IF(ROUND(H682-D682,2)=0,1,0)</f>
        <v/>
      </c>
      <c r="J682">
        <f>IF(F682="","none",IF(G682=1,"carte","multiple"))</f>
        <v/>
      </c>
    </row>
    <row r="683">
      <c r="A683" t="inlineStr">
        <is>
          <t>2022-05-06</t>
        </is>
      </c>
      <c r="B683" t="inlineStr">
        <is>
          <t>20:08</t>
        </is>
      </c>
      <c r="C683" t="n">
        <v>2954</v>
      </c>
      <c r="D683" s="6" t="n">
        <v>76</v>
      </c>
      <c r="E683" t="n">
        <v>37413</v>
      </c>
      <c r="F683" s="6" t="n">
        <v>0.4</v>
      </c>
      <c r="G683" t="n">
        <v>190</v>
      </c>
      <c r="H683" s="6">
        <f>ROUND(G683*F683,2)</f>
        <v/>
      </c>
      <c r="I683">
        <f>IF(ROUND(H683-D683,2)=0,1,0)</f>
        <v/>
      </c>
      <c r="J683">
        <f>IF(F683="","none",IF(G683=1,"carte","multiple"))</f>
        <v/>
      </c>
    </row>
    <row r="684">
      <c r="A684" t="inlineStr">
        <is>
          <t>2022-05-06</t>
        </is>
      </c>
      <c r="B684" t="inlineStr">
        <is>
          <t>20:08</t>
        </is>
      </c>
      <c r="C684" t="n">
        <v>2954</v>
      </c>
      <c r="D684" s="6" t="n">
        <v>17.8</v>
      </c>
      <c r="E684" t="n">
        <v>37414</v>
      </c>
      <c r="F684" s="6" t="n">
        <v>8.9</v>
      </c>
      <c r="G684" t="n">
        <v>2</v>
      </c>
      <c r="H684" s="6">
        <f>ROUND(G684*F684,2)</f>
        <v/>
      </c>
      <c r="I684">
        <f>IF(ROUND(H684-D684,2)=0,1,0)</f>
        <v/>
      </c>
      <c r="J684">
        <f>IF(F684="","none",IF(G684=1,"carte","multiple"))</f>
        <v/>
      </c>
    </row>
    <row r="685">
      <c r="A685" t="inlineStr">
        <is>
          <t>2022-05-06</t>
        </is>
      </c>
      <c r="B685" t="inlineStr">
        <is>
          <t>20:08</t>
        </is>
      </c>
      <c r="C685" t="n">
        <v>2954</v>
      </c>
      <c r="D685" s="6" t="n">
        <v>9.9</v>
      </c>
      <c r="E685" t="n">
        <v>37415</v>
      </c>
      <c r="F685" s="6" t="n">
        <v>9.9</v>
      </c>
      <c r="G685" t="n">
        <v>1</v>
      </c>
      <c r="H685" s="6">
        <f>ROUND(G685*F685,2)</f>
        <v/>
      </c>
      <c r="I685">
        <f>IF(ROUND(H685-D685,2)=0,1,0)</f>
        <v/>
      </c>
      <c r="J685">
        <f>IF(F685="","none",IF(G685=1,"carte","multiple"))</f>
        <v/>
      </c>
    </row>
    <row r="686">
      <c r="A686" t="inlineStr">
        <is>
          <t>2022-05-06</t>
        </is>
      </c>
      <c r="B686" t="inlineStr">
        <is>
          <t>20:08</t>
        </is>
      </c>
      <c r="C686" t="n">
        <v>2954</v>
      </c>
      <c r="D686" s="6" t="n">
        <v>3.9</v>
      </c>
      <c r="E686" t="n">
        <v>37416</v>
      </c>
      <c r="F686" s="6" t="n">
        <v>3.9</v>
      </c>
      <c r="G686" t="n">
        <v>1</v>
      </c>
      <c r="H686" s="6">
        <f>ROUND(G686*F686,2)</f>
        <v/>
      </c>
      <c r="I686">
        <f>IF(ROUND(H686-D686,2)=0,1,0)</f>
        <v/>
      </c>
      <c r="J686">
        <f>IF(F686="","none",IF(G686=1,"carte","multiple"))</f>
        <v/>
      </c>
    </row>
    <row r="687">
      <c r="A687" t="inlineStr">
        <is>
          <t>2022-05-06</t>
        </is>
      </c>
      <c r="B687" t="inlineStr">
        <is>
          <t>20:08</t>
        </is>
      </c>
      <c r="C687" t="n">
        <v>2954</v>
      </c>
      <c r="D687" s="6" t="n">
        <v>4.4</v>
      </c>
      <c r="E687" t="n">
        <v>37417</v>
      </c>
      <c r="F687" s="6" t="n">
        <v>0.4</v>
      </c>
      <c r="G687" t="n">
        <v>11</v>
      </c>
      <c r="H687" s="6">
        <f>ROUND(G687*F687,2)</f>
        <v/>
      </c>
      <c r="I687">
        <f>IF(ROUND(H687-D687,2)=0,1,0)</f>
        <v/>
      </c>
      <c r="J687">
        <f>IF(F687="","none",IF(G687=1,"carte","multiple"))</f>
        <v/>
      </c>
    </row>
    <row r="688">
      <c r="A688" t="inlineStr">
        <is>
          <t>2022-05-06</t>
        </is>
      </c>
      <c r="B688" t="inlineStr">
        <is>
          <t>20:08</t>
        </is>
      </c>
      <c r="C688" t="n">
        <v>2954</v>
      </c>
      <c r="D688" s="6" t="n">
        <v>3.9</v>
      </c>
      <c r="E688" t="n">
        <v>37418</v>
      </c>
      <c r="F688" s="6" t="n">
        <v>3.9</v>
      </c>
      <c r="G688" t="n">
        <v>1</v>
      </c>
      <c r="H688" s="6">
        <f>ROUND(G688*F688,2)</f>
        <v/>
      </c>
      <c r="I688">
        <f>IF(ROUND(H688-D688,2)=0,1,0)</f>
        <v/>
      </c>
      <c r="J688">
        <f>IF(F688="","none",IF(G688=1,"carte","multiple"))</f>
        <v/>
      </c>
    </row>
    <row r="689">
      <c r="A689" t="inlineStr">
        <is>
          <t>2022-05-06</t>
        </is>
      </c>
      <c r="B689" t="inlineStr">
        <is>
          <t>20:08</t>
        </is>
      </c>
      <c r="C689" t="n">
        <v>2954</v>
      </c>
      <c r="D689" s="6" t="n">
        <v>3.8</v>
      </c>
      <c r="E689" t="n">
        <v>37419</v>
      </c>
      <c r="F689" s="6" t="n">
        <v>3.8</v>
      </c>
      <c r="G689" t="n">
        <v>1</v>
      </c>
      <c r="H689" s="6">
        <f>ROUND(G689*F689,2)</f>
        <v/>
      </c>
      <c r="I689">
        <f>IF(ROUND(H689-D689,2)=0,1,0)</f>
        <v/>
      </c>
      <c r="J689">
        <f>IF(F689="","none",IF(G689=1,"carte","multiple"))</f>
        <v/>
      </c>
    </row>
    <row r="690">
      <c r="A690" t="inlineStr">
        <is>
          <t>2022-05-06</t>
        </is>
      </c>
      <c r="B690" t="inlineStr">
        <is>
          <t>20:08</t>
        </is>
      </c>
      <c r="C690" t="n">
        <v>2954</v>
      </c>
      <c r="D690" s="6" t="n">
        <v>8.4</v>
      </c>
      <c r="E690" t="n">
        <v>37420</v>
      </c>
      <c r="F690" s="6" t="n">
        <v>8.4</v>
      </c>
      <c r="G690" t="n">
        <v>1</v>
      </c>
      <c r="H690" s="6">
        <f>ROUND(G690*F690,2)</f>
        <v/>
      </c>
      <c r="I690">
        <f>IF(ROUND(H690-D690,2)=0,1,0)</f>
        <v/>
      </c>
      <c r="J690">
        <f>IF(F690="","none",IF(G690=1,"carte","multiple"))</f>
        <v/>
      </c>
    </row>
    <row r="691">
      <c r="A691" t="inlineStr">
        <is>
          <t>2022-05-06</t>
        </is>
      </c>
      <c r="B691" t="inlineStr">
        <is>
          <t>20:17</t>
        </is>
      </c>
      <c r="C691" t="n">
        <v>2954</v>
      </c>
      <c r="D691" s="6" t="n">
        <v>0</v>
      </c>
      <c r="E691" t="n">
        <v>37422</v>
      </c>
      <c r="H691" t="inlineStr"/>
      <c r="I691" t="inlineStr"/>
      <c r="J691">
        <f>IF(F691="","none",IF(G691=1,"carte","multiple"))</f>
        <v/>
      </c>
    </row>
    <row r="692">
      <c r="A692" t="inlineStr">
        <is>
          <t>2022-05-06</t>
        </is>
      </c>
      <c r="B692" t="inlineStr">
        <is>
          <t>20:17</t>
        </is>
      </c>
      <c r="C692" t="n">
        <v>2954</v>
      </c>
      <c r="D692" s="6" t="n">
        <v>17.6</v>
      </c>
      <c r="E692" t="n">
        <v>37423</v>
      </c>
      <c r="F692" s="6" t="n">
        <v>17.6</v>
      </c>
      <c r="G692" t="n">
        <v>1</v>
      </c>
      <c r="H692" s="6">
        <f>ROUND(G692*F692,2)</f>
        <v/>
      </c>
      <c r="I692">
        <f>IF(ROUND(H692-D692,2)=0,1,0)</f>
        <v/>
      </c>
      <c r="J692">
        <f>IF(F692="","none",IF(G692=1,"carte","multiple"))</f>
        <v/>
      </c>
    </row>
    <row r="693">
      <c r="A693" t="inlineStr">
        <is>
          <t>2022-05-06</t>
        </is>
      </c>
      <c r="B693" t="inlineStr">
        <is>
          <t>20:17</t>
        </is>
      </c>
      <c r="C693" t="n">
        <v>2954</v>
      </c>
      <c r="D693" s="6" t="n">
        <v>17.6</v>
      </c>
      <c r="E693" t="n">
        <v>37424</v>
      </c>
      <c r="F693" s="6" t="n">
        <v>17.6</v>
      </c>
      <c r="G693" t="n">
        <v>1</v>
      </c>
      <c r="H693" s="6">
        <f>ROUND(G693*F693,2)</f>
        <v/>
      </c>
      <c r="I693">
        <f>IF(ROUND(H693-D693,2)=0,1,0)</f>
        <v/>
      </c>
      <c r="J693">
        <f>IF(F693="","none",IF(G693=1,"carte","multiple"))</f>
        <v/>
      </c>
    </row>
    <row r="694">
      <c r="A694" t="inlineStr">
        <is>
          <t>2022-05-06</t>
        </is>
      </c>
      <c r="B694" t="inlineStr">
        <is>
          <t>20:17</t>
        </is>
      </c>
      <c r="C694" t="n">
        <v>2954</v>
      </c>
      <c r="D694" s="6" t="n">
        <v>0</v>
      </c>
      <c r="E694" t="n">
        <v>37425</v>
      </c>
      <c r="H694" t="inlineStr"/>
      <c r="I694" t="inlineStr"/>
      <c r="J694">
        <f>IF(F694="","none",IF(G694=1,"carte","multiple"))</f>
        <v/>
      </c>
    </row>
    <row r="695">
      <c r="A695" t="inlineStr">
        <is>
          <t>2022-05-06</t>
        </is>
      </c>
      <c r="B695" t="inlineStr">
        <is>
          <t>20:30</t>
        </is>
      </c>
      <c r="C695" t="n">
        <v>2954</v>
      </c>
      <c r="D695" s="6" t="n">
        <v>3.9</v>
      </c>
      <c r="E695" t="n">
        <v>37426</v>
      </c>
      <c r="F695" s="6" t="n">
        <v>3.9</v>
      </c>
      <c r="G695" t="n">
        <v>1</v>
      </c>
      <c r="H695" s="6">
        <f>ROUND(G695*F695,2)</f>
        <v/>
      </c>
      <c r="I695">
        <f>IF(ROUND(H695-D695,2)=0,1,0)</f>
        <v/>
      </c>
      <c r="J695">
        <f>IF(F695="","none",IF(G695=1,"carte","multiple"))</f>
        <v/>
      </c>
    </row>
    <row r="696">
      <c r="A696" t="inlineStr">
        <is>
          <t>2022-05-06</t>
        </is>
      </c>
      <c r="B696" t="inlineStr">
        <is>
          <t>20:30</t>
        </is>
      </c>
      <c r="C696" t="n">
        <v>2954</v>
      </c>
      <c r="D696" s="6" t="n">
        <v>6.5</v>
      </c>
      <c r="E696" t="n">
        <v>37427</v>
      </c>
      <c r="F696" s="6" t="n">
        <v>6.5</v>
      </c>
      <c r="G696" t="n">
        <v>1</v>
      </c>
      <c r="H696" s="6">
        <f>ROUND(G696*F696,2)</f>
        <v/>
      </c>
      <c r="I696">
        <f>IF(ROUND(H696-D696,2)=0,1,0)</f>
        <v/>
      </c>
      <c r="J696">
        <f>IF(F696="","none",IF(G696=1,"carte","multiple"))</f>
        <v/>
      </c>
    </row>
    <row r="697">
      <c r="A697" t="inlineStr">
        <is>
          <t>2022-05-06</t>
        </is>
      </c>
      <c r="B697" t="inlineStr">
        <is>
          <t>20:37</t>
        </is>
      </c>
      <c r="C697" t="n">
        <v>2954</v>
      </c>
      <c r="D697" s="6" t="n">
        <v>7.9</v>
      </c>
      <c r="E697" t="n">
        <v>37428</v>
      </c>
      <c r="F697" s="6" t="n">
        <v>7.9</v>
      </c>
      <c r="G697" t="n">
        <v>1</v>
      </c>
      <c r="H697" s="6">
        <f>ROUND(G697*F697,2)</f>
        <v/>
      </c>
      <c r="I697">
        <f>IF(ROUND(H697-D697,2)=0,1,0)</f>
        <v/>
      </c>
      <c r="J697">
        <f>IF(F697="","none",IF(G697=1,"carte","multiple"))</f>
        <v/>
      </c>
    </row>
    <row r="698">
      <c r="A698" t="inlineStr">
        <is>
          <t>2022-05-06</t>
        </is>
      </c>
      <c r="B698" t="inlineStr">
        <is>
          <t>20:37</t>
        </is>
      </c>
      <c r="C698" t="n">
        <v>2954</v>
      </c>
      <c r="D698" s="6" t="n">
        <v>39.5</v>
      </c>
      <c r="E698" t="n">
        <v>37429</v>
      </c>
      <c r="F698" s="6" t="n">
        <v>39.5</v>
      </c>
      <c r="G698" t="n">
        <v>1</v>
      </c>
      <c r="H698" s="6">
        <f>ROUND(G698*F698,2)</f>
        <v/>
      </c>
      <c r="I698">
        <f>IF(ROUND(H698-D698,2)=0,1,0)</f>
        <v/>
      </c>
      <c r="J698">
        <f>IF(F698="","none",IF(G698=1,"carte","multiple"))</f>
        <v/>
      </c>
    </row>
    <row r="699">
      <c r="A699" t="inlineStr">
        <is>
          <t>2022-05-07</t>
        </is>
      </c>
      <c r="B699" t="inlineStr">
        <is>
          <t>10:38</t>
        </is>
      </c>
      <c r="C699" t="n">
        <v>2955</v>
      </c>
      <c r="D699" s="6" t="n">
        <v>5.9</v>
      </c>
      <c r="E699" t="n">
        <v>37432</v>
      </c>
      <c r="F699" s="6" t="n">
        <v>5.9</v>
      </c>
      <c r="G699" t="n">
        <v>1</v>
      </c>
      <c r="H699" s="6">
        <f>ROUND(G699*F699,2)</f>
        <v/>
      </c>
      <c r="I699">
        <f>IF(ROUND(H699-D699,2)=0,1,0)</f>
        <v/>
      </c>
      <c r="J699">
        <f>IF(F699="","none",IF(G699=1,"carte","multiple"))</f>
        <v/>
      </c>
    </row>
    <row r="700">
      <c r="A700" t="inlineStr">
        <is>
          <t>2022-05-07</t>
        </is>
      </c>
      <c r="B700" t="inlineStr">
        <is>
          <t>11:17</t>
        </is>
      </c>
      <c r="C700" t="n">
        <v>2955</v>
      </c>
      <c r="D700" s="6" t="n">
        <v>15</v>
      </c>
      <c r="E700" t="n">
        <v>37433</v>
      </c>
      <c r="F700" s="6" t="n">
        <v>15</v>
      </c>
      <c r="G700" t="n">
        <v>1</v>
      </c>
      <c r="H700" s="6">
        <f>ROUND(G700*F700,2)</f>
        <v/>
      </c>
      <c r="I700">
        <f>IF(ROUND(H700-D700,2)=0,1,0)</f>
        <v/>
      </c>
      <c r="J700">
        <f>IF(F700="","none",IF(G700=1,"carte","multiple"))</f>
        <v/>
      </c>
    </row>
    <row r="701">
      <c r="A701" t="inlineStr">
        <is>
          <t>2022-05-07</t>
        </is>
      </c>
      <c r="B701" t="inlineStr">
        <is>
          <t>11:17</t>
        </is>
      </c>
      <c r="C701" t="n">
        <v>2955</v>
      </c>
      <c r="D701" s="6" t="n">
        <v>19.9</v>
      </c>
      <c r="E701" t="n">
        <v>37434</v>
      </c>
      <c r="F701" s="6" t="n">
        <v>19.9</v>
      </c>
      <c r="G701" t="n">
        <v>1</v>
      </c>
      <c r="H701" s="6">
        <f>ROUND(G701*F701,2)</f>
        <v/>
      </c>
      <c r="I701">
        <f>IF(ROUND(H701-D701,2)=0,1,0)</f>
        <v/>
      </c>
      <c r="J701">
        <f>IF(F701="","none",IF(G701=1,"carte","multiple"))</f>
        <v/>
      </c>
    </row>
    <row r="702">
      <c r="A702" t="inlineStr">
        <is>
          <t>2022-05-07</t>
        </is>
      </c>
      <c r="B702" t="inlineStr">
        <is>
          <t>11:17</t>
        </is>
      </c>
      <c r="C702" t="n">
        <v>2955</v>
      </c>
      <c r="D702" s="6" t="n">
        <v>19.9</v>
      </c>
      <c r="E702" t="n">
        <v>37435</v>
      </c>
      <c r="F702" s="6" t="n">
        <v>19.9</v>
      </c>
      <c r="G702" t="n">
        <v>1</v>
      </c>
      <c r="H702" s="6">
        <f>ROUND(G702*F702,2)</f>
        <v/>
      </c>
      <c r="I702">
        <f>IF(ROUND(H702-D702,2)=0,1,0)</f>
        <v/>
      </c>
      <c r="J702">
        <f>IF(F702="","none",IF(G702=1,"carte","multiple"))</f>
        <v/>
      </c>
    </row>
    <row r="703">
      <c r="A703" t="inlineStr">
        <is>
          <t>2022-05-07</t>
        </is>
      </c>
      <c r="B703" t="inlineStr">
        <is>
          <t>11:32</t>
        </is>
      </c>
      <c r="C703" t="n">
        <v>2955</v>
      </c>
      <c r="D703" s="6" t="n">
        <v>2.2</v>
      </c>
      <c r="E703" t="n">
        <v>37436</v>
      </c>
      <c r="F703" s="6" t="n">
        <v>2.2</v>
      </c>
      <c r="G703" t="n">
        <v>1</v>
      </c>
      <c r="H703" s="6">
        <f>ROUND(G703*F703,2)</f>
        <v/>
      </c>
      <c r="I703">
        <f>IF(ROUND(H703-D703,2)=0,1,0)</f>
        <v/>
      </c>
      <c r="J703">
        <f>IF(F703="","none",IF(G703=1,"carte","multiple"))</f>
        <v/>
      </c>
    </row>
    <row r="704">
      <c r="A704" t="inlineStr">
        <is>
          <t>2022-05-07</t>
        </is>
      </c>
      <c r="B704" t="inlineStr">
        <is>
          <t>11:32</t>
        </is>
      </c>
      <c r="C704" t="n">
        <v>2955</v>
      </c>
      <c r="D704" s="6" t="n">
        <v>7.5</v>
      </c>
      <c r="E704" t="n">
        <v>37437</v>
      </c>
      <c r="F704" s="6" t="n">
        <v>7.5</v>
      </c>
      <c r="G704" t="n">
        <v>1</v>
      </c>
      <c r="H704" s="6">
        <f>ROUND(G704*F704,2)</f>
        <v/>
      </c>
      <c r="I704">
        <f>IF(ROUND(H704-D704,2)=0,1,0)</f>
        <v/>
      </c>
      <c r="J704">
        <f>IF(F704="","none",IF(G704=1,"carte","multiple"))</f>
        <v/>
      </c>
    </row>
    <row r="705">
      <c r="A705" t="inlineStr">
        <is>
          <t>2022-05-07</t>
        </is>
      </c>
      <c r="B705" t="inlineStr">
        <is>
          <t>11:32</t>
        </is>
      </c>
      <c r="C705" t="n">
        <v>2955</v>
      </c>
      <c r="D705" s="6" t="n">
        <v>7.2</v>
      </c>
      <c r="E705" t="n">
        <v>37438</v>
      </c>
      <c r="F705" s="6" t="n">
        <v>7.2</v>
      </c>
      <c r="G705" t="n">
        <v>1</v>
      </c>
      <c r="H705" s="6">
        <f>ROUND(G705*F705,2)</f>
        <v/>
      </c>
      <c r="I705">
        <f>IF(ROUND(H705-D705,2)=0,1,0)</f>
        <v/>
      </c>
      <c r="J705">
        <f>IF(F705="","none",IF(G705=1,"carte","multiple"))</f>
        <v/>
      </c>
    </row>
    <row r="706">
      <c r="A706" t="inlineStr">
        <is>
          <t>2022-05-07</t>
        </is>
      </c>
      <c r="B706" t="inlineStr">
        <is>
          <t>11:32</t>
        </is>
      </c>
      <c r="C706" t="n">
        <v>2955</v>
      </c>
      <c r="D706" s="6" t="n">
        <v>17.6</v>
      </c>
      <c r="E706" t="n">
        <v>37439</v>
      </c>
      <c r="F706" s="6" t="n">
        <v>17.6</v>
      </c>
      <c r="G706" t="n">
        <v>1</v>
      </c>
      <c r="H706" s="6">
        <f>ROUND(G706*F706,2)</f>
        <v/>
      </c>
      <c r="I706">
        <f>IF(ROUND(H706-D706,2)=0,1,0)</f>
        <v/>
      </c>
      <c r="J706">
        <f>IF(F706="","none",IF(G706=1,"carte","multiple"))</f>
        <v/>
      </c>
    </row>
    <row r="707">
      <c r="A707" t="inlineStr">
        <is>
          <t>2022-05-07</t>
        </is>
      </c>
      <c r="B707" t="inlineStr">
        <is>
          <t>11:32</t>
        </is>
      </c>
      <c r="C707" t="n">
        <v>2955</v>
      </c>
      <c r="D707" s="6" t="n">
        <v>7.2</v>
      </c>
      <c r="E707" t="n">
        <v>37440</v>
      </c>
      <c r="F707" s="6" t="n">
        <v>7.2</v>
      </c>
      <c r="G707" t="n">
        <v>1</v>
      </c>
      <c r="H707" s="6">
        <f>ROUND(G707*F707,2)</f>
        <v/>
      </c>
      <c r="I707">
        <f>IF(ROUND(H707-D707,2)=0,1,0)</f>
        <v/>
      </c>
      <c r="J707">
        <f>IF(F707="","none",IF(G707=1,"carte","multiple"))</f>
        <v/>
      </c>
    </row>
    <row r="708">
      <c r="A708" t="inlineStr">
        <is>
          <t>2022-05-07</t>
        </is>
      </c>
      <c r="B708" t="inlineStr">
        <is>
          <t>12:33</t>
        </is>
      </c>
      <c r="C708" t="n">
        <v>2955</v>
      </c>
      <c r="D708" s="6" t="n">
        <v>2.4</v>
      </c>
      <c r="E708" t="n">
        <v>37441</v>
      </c>
      <c r="F708" s="6" t="n">
        <v>2.4</v>
      </c>
      <c r="G708" t="n">
        <v>1</v>
      </c>
      <c r="H708" s="6">
        <f>ROUND(G708*F708,2)</f>
        <v/>
      </c>
      <c r="I708">
        <f>IF(ROUND(H708-D708,2)=0,1,0)</f>
        <v/>
      </c>
      <c r="J708">
        <f>IF(F708="","none",IF(G708=1,"carte","multiple"))</f>
        <v/>
      </c>
    </row>
    <row r="709">
      <c r="A709" t="inlineStr">
        <is>
          <t>2022-05-07</t>
        </is>
      </c>
      <c r="B709" t="inlineStr">
        <is>
          <t>12:33</t>
        </is>
      </c>
      <c r="C709" t="n">
        <v>2955</v>
      </c>
      <c r="D709" s="6" t="n">
        <v>2.2</v>
      </c>
      <c r="E709" t="n">
        <v>37442</v>
      </c>
      <c r="F709" s="6" t="n">
        <v>2.2</v>
      </c>
      <c r="G709" t="n">
        <v>1</v>
      </c>
      <c r="H709" s="6">
        <f>ROUND(G709*F709,2)</f>
        <v/>
      </c>
      <c r="I709">
        <f>IF(ROUND(H709-D709,2)=0,1,0)</f>
        <v/>
      </c>
      <c r="J709">
        <f>IF(F709="","none",IF(G709=1,"carte","multiple"))</f>
        <v/>
      </c>
    </row>
    <row r="710">
      <c r="A710" t="inlineStr">
        <is>
          <t>2022-05-07</t>
        </is>
      </c>
      <c r="B710" t="inlineStr">
        <is>
          <t>12:33</t>
        </is>
      </c>
      <c r="C710" t="n">
        <v>2955</v>
      </c>
      <c r="D710" s="6" t="n">
        <v>8.699999999999999</v>
      </c>
      <c r="E710" t="n">
        <v>37443</v>
      </c>
      <c r="F710" s="6" t="n">
        <v>8.699999999999999</v>
      </c>
      <c r="G710" t="n">
        <v>1</v>
      </c>
      <c r="H710" s="6">
        <f>ROUND(G710*F710,2)</f>
        <v/>
      </c>
      <c r="I710">
        <f>IF(ROUND(H710-D710,2)=0,1,0)</f>
        <v/>
      </c>
      <c r="J710">
        <f>IF(F710="","none",IF(G710=1,"carte","multiple"))</f>
        <v/>
      </c>
    </row>
    <row r="711">
      <c r="A711" t="inlineStr">
        <is>
          <t>2022-05-07</t>
        </is>
      </c>
      <c r="B711" t="inlineStr">
        <is>
          <t>12:33</t>
        </is>
      </c>
      <c r="C711" t="n">
        <v>2955</v>
      </c>
      <c r="D711" s="6" t="n">
        <v>9</v>
      </c>
      <c r="E711" t="n">
        <v>37444</v>
      </c>
      <c r="F711" s="6" t="n">
        <v>9</v>
      </c>
      <c r="G711" t="n">
        <v>1</v>
      </c>
      <c r="H711" s="6">
        <f>ROUND(G711*F711,2)</f>
        <v/>
      </c>
      <c r="I711">
        <f>IF(ROUND(H711-D711,2)=0,1,0)</f>
        <v/>
      </c>
      <c r="J711">
        <f>IF(F711="","none",IF(G711=1,"carte","multiple"))</f>
        <v/>
      </c>
    </row>
    <row r="712">
      <c r="A712" t="inlineStr">
        <is>
          <t>2022-05-07</t>
        </is>
      </c>
      <c r="B712" t="inlineStr">
        <is>
          <t>12:33</t>
        </is>
      </c>
      <c r="C712" t="n">
        <v>2955</v>
      </c>
      <c r="D712" s="6" t="n">
        <v>19.9</v>
      </c>
      <c r="E712" t="n">
        <v>37445</v>
      </c>
      <c r="F712" s="6" t="n">
        <v>19.9</v>
      </c>
      <c r="G712" t="n">
        <v>1</v>
      </c>
      <c r="H712" s="6">
        <f>ROUND(G712*F712,2)</f>
        <v/>
      </c>
      <c r="I712">
        <f>IF(ROUND(H712-D712,2)=0,1,0)</f>
        <v/>
      </c>
      <c r="J712">
        <f>IF(F712="","none",IF(G712=1,"carte","multiple"))</f>
        <v/>
      </c>
    </row>
    <row r="713">
      <c r="A713" t="inlineStr">
        <is>
          <t>2022-05-07</t>
        </is>
      </c>
      <c r="B713" t="inlineStr">
        <is>
          <t>12:33</t>
        </is>
      </c>
      <c r="C713" t="n">
        <v>2955</v>
      </c>
      <c r="D713" s="6" t="n">
        <v>15.9</v>
      </c>
      <c r="E713" t="n">
        <v>37446</v>
      </c>
      <c r="F713" s="6" t="n">
        <v>15.9</v>
      </c>
      <c r="G713" t="n">
        <v>1</v>
      </c>
      <c r="H713" s="6">
        <f>ROUND(G713*F713,2)</f>
        <v/>
      </c>
      <c r="I713">
        <f>IF(ROUND(H713-D713,2)=0,1,0)</f>
        <v/>
      </c>
      <c r="J713">
        <f>IF(F713="","none",IF(G713=1,"carte","multiple"))</f>
        <v/>
      </c>
    </row>
    <row r="714">
      <c r="A714" t="inlineStr">
        <is>
          <t>2022-05-07</t>
        </is>
      </c>
      <c r="B714" t="inlineStr">
        <is>
          <t>12:33</t>
        </is>
      </c>
      <c r="C714" t="n">
        <v>2955</v>
      </c>
      <c r="D714" s="6" t="n">
        <v>10.4</v>
      </c>
      <c r="E714" t="n">
        <v>37447</v>
      </c>
      <c r="F714" s="6" t="n">
        <v>0.4</v>
      </c>
      <c r="G714" t="n">
        <v>26</v>
      </c>
      <c r="H714" s="6">
        <f>ROUND(G714*F714,2)</f>
        <v/>
      </c>
      <c r="I714">
        <f>IF(ROUND(H714-D714,2)=0,1,0)</f>
        <v/>
      </c>
      <c r="J714">
        <f>IF(F714="","none",IF(G714=1,"carte","multiple"))</f>
        <v/>
      </c>
    </row>
    <row r="715">
      <c r="A715" t="inlineStr">
        <is>
          <t>2022-05-07</t>
        </is>
      </c>
      <c r="B715" t="inlineStr">
        <is>
          <t>17:33</t>
        </is>
      </c>
      <c r="C715" t="n">
        <v>2955</v>
      </c>
      <c r="D715" s="6" t="n">
        <v>27.8</v>
      </c>
      <c r="E715" t="n">
        <v>37449</v>
      </c>
      <c r="F715" s="6" t="n">
        <v>27.8</v>
      </c>
      <c r="G715" t="n">
        <v>1</v>
      </c>
      <c r="H715" s="6">
        <f>ROUND(G715*F715,2)</f>
        <v/>
      </c>
      <c r="I715">
        <f>IF(ROUND(H715-D715,2)=0,1,0)</f>
        <v/>
      </c>
      <c r="J715">
        <f>IF(F715="","none",IF(G715=1,"carte","multiple"))</f>
        <v/>
      </c>
    </row>
    <row r="716">
      <c r="A716" t="inlineStr">
        <is>
          <t>2022-05-07</t>
        </is>
      </c>
      <c r="B716" t="inlineStr">
        <is>
          <t>17:33</t>
        </is>
      </c>
      <c r="C716" t="n">
        <v>2955</v>
      </c>
      <c r="D716" s="6" t="n">
        <v>17.6</v>
      </c>
      <c r="E716" t="n">
        <v>37450</v>
      </c>
      <c r="F716" s="6" t="n">
        <v>17.6</v>
      </c>
      <c r="G716" t="n">
        <v>1</v>
      </c>
      <c r="H716" s="6">
        <f>ROUND(G716*F716,2)</f>
        <v/>
      </c>
      <c r="I716">
        <f>IF(ROUND(H716-D716,2)=0,1,0)</f>
        <v/>
      </c>
      <c r="J716">
        <f>IF(F716="","none",IF(G716=1,"carte","multiple"))</f>
        <v/>
      </c>
    </row>
    <row r="717">
      <c r="A717" t="inlineStr">
        <is>
          <t>2022-05-07</t>
        </is>
      </c>
      <c r="B717" t="inlineStr">
        <is>
          <t>17:33</t>
        </is>
      </c>
      <c r="C717" t="n">
        <v>2955</v>
      </c>
      <c r="D717" s="6" t="n">
        <v>4</v>
      </c>
      <c r="E717" t="n">
        <v>37451</v>
      </c>
      <c r="F717" s="6" t="n">
        <v>4</v>
      </c>
      <c r="G717" t="n">
        <v>1</v>
      </c>
      <c r="H717" s="6">
        <f>ROUND(G717*F717,2)</f>
        <v/>
      </c>
      <c r="I717">
        <f>IF(ROUND(H717-D717,2)=0,1,0)</f>
        <v/>
      </c>
      <c r="J717">
        <f>IF(F717="","none",IF(G717=1,"carte","multiple"))</f>
        <v/>
      </c>
    </row>
    <row r="718">
      <c r="A718" t="inlineStr">
        <is>
          <t>2022-05-07</t>
        </is>
      </c>
      <c r="B718" t="inlineStr">
        <is>
          <t>17:33</t>
        </is>
      </c>
      <c r="C718" t="n">
        <v>2955</v>
      </c>
      <c r="D718" s="6" t="n">
        <v>5.2</v>
      </c>
      <c r="E718" t="n">
        <v>37452</v>
      </c>
      <c r="F718" s="6" t="n">
        <v>5.2</v>
      </c>
      <c r="G718" t="n">
        <v>1</v>
      </c>
      <c r="H718" s="6">
        <f>ROUND(G718*F718,2)</f>
        <v/>
      </c>
      <c r="I718">
        <f>IF(ROUND(H718-D718,2)=0,1,0)</f>
        <v/>
      </c>
      <c r="J718">
        <f>IF(F718="","none",IF(G718=1,"carte","multiple"))</f>
        <v/>
      </c>
    </row>
    <row r="719">
      <c r="A719" t="inlineStr">
        <is>
          <t>2022-05-07</t>
        </is>
      </c>
      <c r="B719" t="inlineStr">
        <is>
          <t>18:33</t>
        </is>
      </c>
      <c r="C719" t="n">
        <v>2955</v>
      </c>
      <c r="D719" s="6" t="n">
        <v>0</v>
      </c>
      <c r="E719" t="n">
        <v>37454</v>
      </c>
      <c r="H719" t="inlineStr"/>
      <c r="I719" t="inlineStr"/>
      <c r="J719">
        <f>IF(F719="","none",IF(G719=1,"carte","multiple"))</f>
        <v/>
      </c>
    </row>
    <row r="720">
      <c r="A720" t="inlineStr">
        <is>
          <t>2022-05-07</t>
        </is>
      </c>
      <c r="B720" t="inlineStr">
        <is>
          <t>18:33</t>
        </is>
      </c>
      <c r="C720" t="n">
        <v>2955</v>
      </c>
      <c r="D720" s="6" t="n">
        <v>0</v>
      </c>
      <c r="E720" t="n">
        <v>37455</v>
      </c>
      <c r="H720" t="inlineStr"/>
      <c r="I720" t="inlineStr"/>
      <c r="J720">
        <f>IF(F720="","none",IF(G720=1,"carte","multiple"))</f>
        <v/>
      </c>
    </row>
    <row r="721">
      <c r="A721" t="inlineStr">
        <is>
          <t>2022-05-07</t>
        </is>
      </c>
      <c r="B721" t="inlineStr">
        <is>
          <t>18:33</t>
        </is>
      </c>
      <c r="C721" t="n">
        <v>2955</v>
      </c>
      <c r="D721" s="6" t="n">
        <v>17.6</v>
      </c>
      <c r="E721" t="n">
        <v>37456</v>
      </c>
      <c r="F721" s="6" t="n">
        <v>17.6</v>
      </c>
      <c r="G721" t="n">
        <v>1</v>
      </c>
      <c r="H721" s="6">
        <f>ROUND(G721*F721,2)</f>
        <v/>
      </c>
      <c r="I721">
        <f>IF(ROUND(H721-D721,2)=0,1,0)</f>
        <v/>
      </c>
      <c r="J721">
        <f>IF(F721="","none",IF(G721=1,"carte","multiple"))</f>
        <v/>
      </c>
    </row>
    <row r="722">
      <c r="A722" t="inlineStr">
        <is>
          <t>2022-05-07</t>
        </is>
      </c>
      <c r="B722" t="inlineStr">
        <is>
          <t>18:33</t>
        </is>
      </c>
      <c r="C722" t="n">
        <v>2955</v>
      </c>
      <c r="D722" s="6" t="n">
        <v>27.8</v>
      </c>
      <c r="E722" t="n">
        <v>37457</v>
      </c>
      <c r="F722" s="6" t="n">
        <v>27.8</v>
      </c>
      <c r="G722" t="n">
        <v>1</v>
      </c>
      <c r="H722" s="6">
        <f>ROUND(G722*F722,2)</f>
        <v/>
      </c>
      <c r="I722">
        <f>IF(ROUND(H722-D722,2)=0,1,0)</f>
        <v/>
      </c>
      <c r="J722">
        <f>IF(F722="","none",IF(G722=1,"carte","multiple"))</f>
        <v/>
      </c>
    </row>
    <row r="723">
      <c r="A723" t="inlineStr">
        <is>
          <t>2022-05-07</t>
        </is>
      </c>
      <c r="B723" t="inlineStr">
        <is>
          <t>19:44</t>
        </is>
      </c>
      <c r="C723" t="n">
        <v>2955</v>
      </c>
      <c r="D723" s="6" t="n">
        <v>10.4</v>
      </c>
      <c r="E723" t="n">
        <v>37458</v>
      </c>
      <c r="F723" s="6" t="n">
        <v>0.4</v>
      </c>
      <c r="G723" t="n">
        <v>26</v>
      </c>
      <c r="H723" s="6">
        <f>ROUND(G723*F723,2)</f>
        <v/>
      </c>
      <c r="I723">
        <f>IF(ROUND(H723-D723,2)=0,1,0)</f>
        <v/>
      </c>
      <c r="J723">
        <f>IF(F723="","none",IF(G723=1,"carte","multiple"))</f>
        <v/>
      </c>
    </row>
    <row r="724">
      <c r="A724" t="inlineStr">
        <is>
          <t>2022-05-07</t>
        </is>
      </c>
      <c r="B724" t="inlineStr">
        <is>
          <t>19:44</t>
        </is>
      </c>
      <c r="C724" t="n">
        <v>2955</v>
      </c>
      <c r="D724" s="6" t="n">
        <v>3.9</v>
      </c>
      <c r="E724" t="n">
        <v>37459</v>
      </c>
      <c r="F724" s="6" t="n">
        <v>3.9</v>
      </c>
      <c r="G724" t="n">
        <v>1</v>
      </c>
      <c r="H724" s="6">
        <f>ROUND(G724*F724,2)</f>
        <v/>
      </c>
      <c r="I724">
        <f>IF(ROUND(H724-D724,2)=0,1,0)</f>
        <v/>
      </c>
      <c r="J724">
        <f>IF(F724="","none",IF(G724=1,"carte","multiple"))</f>
        <v/>
      </c>
    </row>
    <row r="725">
      <c r="A725" t="inlineStr">
        <is>
          <t>2022-05-07</t>
        </is>
      </c>
      <c r="B725" t="inlineStr">
        <is>
          <t>19:44</t>
        </is>
      </c>
      <c r="C725" t="n">
        <v>2955</v>
      </c>
      <c r="D725" s="6" t="n">
        <v>29.9</v>
      </c>
      <c r="E725" t="n">
        <v>37460</v>
      </c>
      <c r="F725" s="6" t="n">
        <v>29.9</v>
      </c>
      <c r="G725" t="n">
        <v>1</v>
      </c>
      <c r="H725" s="6">
        <f>ROUND(G725*F725,2)</f>
        <v/>
      </c>
      <c r="I725">
        <f>IF(ROUND(H725-D725,2)=0,1,0)</f>
        <v/>
      </c>
      <c r="J725">
        <f>IF(F725="","none",IF(G725=1,"carte","multiple"))</f>
        <v/>
      </c>
    </row>
    <row r="726">
      <c r="A726" t="inlineStr">
        <is>
          <t>2022-05-07</t>
        </is>
      </c>
      <c r="B726" t="inlineStr">
        <is>
          <t>19:44</t>
        </is>
      </c>
      <c r="C726" t="n">
        <v>2955</v>
      </c>
      <c r="D726" s="6" t="n">
        <v>19</v>
      </c>
      <c r="E726" t="n">
        <v>37461</v>
      </c>
      <c r="F726" s="6" t="n">
        <v>19</v>
      </c>
      <c r="G726" t="n">
        <v>1</v>
      </c>
      <c r="H726" s="6">
        <f>ROUND(G726*F726,2)</f>
        <v/>
      </c>
      <c r="I726">
        <f>IF(ROUND(H726-D726,2)=0,1,0)</f>
        <v/>
      </c>
      <c r="J726">
        <f>IF(F726="","none",IF(G726=1,"carte","multiple"))</f>
        <v/>
      </c>
    </row>
    <row r="727">
      <c r="A727" t="inlineStr">
        <is>
          <t>2022-05-07</t>
        </is>
      </c>
      <c r="B727" t="inlineStr">
        <is>
          <t>19:44</t>
        </is>
      </c>
      <c r="C727" t="n">
        <v>2955</v>
      </c>
      <c r="D727" s="6" t="n">
        <v>59.8</v>
      </c>
      <c r="E727" t="n">
        <v>37462</v>
      </c>
      <c r="F727" s="6" t="n">
        <v>4.6</v>
      </c>
      <c r="G727" t="n">
        <v>13</v>
      </c>
      <c r="H727" s="6">
        <f>ROUND(G727*F727,2)</f>
        <v/>
      </c>
      <c r="I727">
        <f>IF(ROUND(H727-D727,2)=0,1,0)</f>
        <v/>
      </c>
      <c r="J727">
        <f>IF(F727="","none",IF(G727=1,"carte","multiple"))</f>
        <v/>
      </c>
    </row>
    <row r="728">
      <c r="A728" t="inlineStr">
        <is>
          <t>2022-05-07</t>
        </is>
      </c>
      <c r="B728" t="inlineStr">
        <is>
          <t>19:44</t>
        </is>
      </c>
      <c r="C728" t="n">
        <v>2955</v>
      </c>
      <c r="D728" s="6" t="n">
        <v>32</v>
      </c>
      <c r="E728" t="n">
        <v>37463</v>
      </c>
      <c r="F728" s="6" t="n">
        <v>32</v>
      </c>
      <c r="G728" t="n">
        <v>1</v>
      </c>
      <c r="H728" s="6">
        <f>ROUND(G728*F728,2)</f>
        <v/>
      </c>
      <c r="I728">
        <f>IF(ROUND(H728-D728,2)=0,1,0)</f>
        <v/>
      </c>
      <c r="J728">
        <f>IF(F728="","none",IF(G728=1,"carte","multiple"))</f>
        <v/>
      </c>
    </row>
    <row r="729">
      <c r="A729" t="inlineStr">
        <is>
          <t>2022-05-07</t>
        </is>
      </c>
      <c r="B729" t="inlineStr">
        <is>
          <t>19:49</t>
        </is>
      </c>
      <c r="C729" t="n">
        <v>2955</v>
      </c>
      <c r="D729" s="6" t="n">
        <v>2</v>
      </c>
      <c r="E729" t="n">
        <v>37464</v>
      </c>
      <c r="F729" s="6" t="n">
        <v>2</v>
      </c>
      <c r="G729" t="n">
        <v>1</v>
      </c>
      <c r="H729" s="6">
        <f>ROUND(G729*F729,2)</f>
        <v/>
      </c>
      <c r="I729">
        <f>IF(ROUND(H729-D729,2)=0,1,0)</f>
        <v/>
      </c>
      <c r="J729">
        <f>IF(F729="","none",IF(G729=1,"carte","multiple"))</f>
        <v/>
      </c>
    </row>
    <row r="730">
      <c r="A730" t="inlineStr">
        <is>
          <t>2022-05-07</t>
        </is>
      </c>
      <c r="B730" t="inlineStr">
        <is>
          <t>19:49</t>
        </is>
      </c>
      <c r="C730" t="n">
        <v>2955</v>
      </c>
      <c r="D730" s="6" t="n">
        <v>11.7</v>
      </c>
      <c r="E730" t="n">
        <v>37465</v>
      </c>
      <c r="F730" s="6" t="n">
        <v>0.9</v>
      </c>
      <c r="G730" t="n">
        <v>13</v>
      </c>
      <c r="H730" s="6">
        <f>ROUND(G730*F730,2)</f>
        <v/>
      </c>
      <c r="I730">
        <f>IF(ROUND(H730-D730,2)=0,1,0)</f>
        <v/>
      </c>
      <c r="J730">
        <f>IF(F730="","none",IF(G730=1,"carte","multiple"))</f>
        <v/>
      </c>
    </row>
    <row r="731">
      <c r="A731" t="inlineStr">
        <is>
          <t>2022-05-07</t>
        </is>
      </c>
      <c r="B731" t="inlineStr">
        <is>
          <t>19:49</t>
        </is>
      </c>
      <c r="C731" t="n">
        <v>2955</v>
      </c>
      <c r="D731" s="6" t="n">
        <v>3.9</v>
      </c>
      <c r="E731" t="n">
        <v>37466</v>
      </c>
      <c r="F731" s="6" t="n">
        <v>3.9</v>
      </c>
      <c r="G731" t="n">
        <v>1</v>
      </c>
      <c r="H731" s="6">
        <f>ROUND(G731*F731,2)</f>
        <v/>
      </c>
      <c r="I731">
        <f>IF(ROUND(H731-D731,2)=0,1,0)</f>
        <v/>
      </c>
      <c r="J731">
        <f>IF(F731="","none",IF(G731=1,"carte","multiple"))</f>
        <v/>
      </c>
    </row>
    <row r="732">
      <c r="A732" t="inlineStr">
        <is>
          <t>2022-05-07</t>
        </is>
      </c>
      <c r="B732" t="inlineStr">
        <is>
          <t>19:49</t>
        </is>
      </c>
      <c r="C732" t="n">
        <v>2955</v>
      </c>
      <c r="D732" s="6" t="n">
        <v>3.9</v>
      </c>
      <c r="E732" t="n">
        <v>37467</v>
      </c>
      <c r="F732" s="6" t="n">
        <v>3.9</v>
      </c>
      <c r="G732" t="n">
        <v>1</v>
      </c>
      <c r="H732" s="6">
        <f>ROUND(G732*F732,2)</f>
        <v/>
      </c>
      <c r="I732">
        <f>IF(ROUND(H732-D732,2)=0,1,0)</f>
        <v/>
      </c>
      <c r="J732">
        <f>IF(F732="","none",IF(G732=1,"carte","multiple"))</f>
        <v/>
      </c>
    </row>
    <row r="733">
      <c r="A733" t="inlineStr">
        <is>
          <t>2022-05-07</t>
        </is>
      </c>
      <c r="B733" t="inlineStr">
        <is>
          <t>19:49</t>
        </is>
      </c>
      <c r="C733" t="n">
        <v>2955</v>
      </c>
      <c r="D733" s="6" t="n">
        <v>4.2</v>
      </c>
      <c r="E733" t="n">
        <v>37468</v>
      </c>
      <c r="F733" s="6" t="n">
        <v>4.2</v>
      </c>
      <c r="G733" t="n">
        <v>1</v>
      </c>
      <c r="H733" s="6">
        <f>ROUND(G733*F733,2)</f>
        <v/>
      </c>
      <c r="I733">
        <f>IF(ROUND(H733-D733,2)=0,1,0)</f>
        <v/>
      </c>
      <c r="J733">
        <f>IF(F733="","none",IF(G733=1,"carte","multiple"))</f>
        <v/>
      </c>
    </row>
    <row r="734">
      <c r="A734" t="inlineStr">
        <is>
          <t>2022-05-07</t>
        </is>
      </c>
      <c r="B734" t="inlineStr">
        <is>
          <t>19:49</t>
        </is>
      </c>
      <c r="C734" t="n">
        <v>2955</v>
      </c>
      <c r="D734" s="6" t="n">
        <v>21</v>
      </c>
      <c r="E734" t="n">
        <v>37469</v>
      </c>
      <c r="F734" s="6" t="n">
        <v>21</v>
      </c>
      <c r="G734" t="n">
        <v>1</v>
      </c>
      <c r="H734" s="6">
        <f>ROUND(G734*F734,2)</f>
        <v/>
      </c>
      <c r="I734">
        <f>IF(ROUND(H734-D734,2)=0,1,0)</f>
        <v/>
      </c>
      <c r="J734">
        <f>IF(F734="","none",IF(G734=1,"carte","multiple"))</f>
        <v/>
      </c>
    </row>
    <row r="735">
      <c r="A735" t="inlineStr">
        <is>
          <t>2022-05-07</t>
        </is>
      </c>
      <c r="B735" t="inlineStr">
        <is>
          <t>19:49</t>
        </is>
      </c>
      <c r="C735" t="n">
        <v>2955</v>
      </c>
      <c r="D735" s="6" t="n">
        <v>19.9</v>
      </c>
      <c r="E735" t="n">
        <v>37470</v>
      </c>
      <c r="F735" s="6" t="n">
        <v>19.9</v>
      </c>
      <c r="G735" t="n">
        <v>1</v>
      </c>
      <c r="H735" s="6">
        <f>ROUND(G735*F735,2)</f>
        <v/>
      </c>
      <c r="I735">
        <f>IF(ROUND(H735-D735,2)=0,1,0)</f>
        <v/>
      </c>
      <c r="J735">
        <f>IF(F735="","none",IF(G735=1,"carte","multiple"))</f>
        <v/>
      </c>
    </row>
    <row r="736">
      <c r="A736" t="inlineStr">
        <is>
          <t>2022-05-07</t>
        </is>
      </c>
      <c r="B736" t="inlineStr">
        <is>
          <t>19:49</t>
        </is>
      </c>
      <c r="C736" t="n">
        <v>2955</v>
      </c>
      <c r="D736" s="6" t="n">
        <v>55.6</v>
      </c>
      <c r="E736" t="n">
        <v>37471</v>
      </c>
      <c r="F736" s="6" t="n">
        <v>0.4</v>
      </c>
      <c r="G736" t="n">
        <v>139</v>
      </c>
      <c r="H736" s="6">
        <f>ROUND(G736*F736,2)</f>
        <v/>
      </c>
      <c r="I736">
        <f>IF(ROUND(H736-D736,2)=0,1,0)</f>
        <v/>
      </c>
      <c r="J736">
        <f>IF(F736="","none",IF(G736=1,"carte","multiple"))</f>
        <v/>
      </c>
    </row>
    <row r="737">
      <c r="A737" t="inlineStr">
        <is>
          <t>2022-05-07</t>
        </is>
      </c>
      <c r="B737" t="inlineStr">
        <is>
          <t>19:49</t>
        </is>
      </c>
      <c r="C737" t="n">
        <v>2955</v>
      </c>
      <c r="D737" s="6" t="n">
        <v>17.6</v>
      </c>
      <c r="E737" t="n">
        <v>37472</v>
      </c>
      <c r="F737" s="6" t="n">
        <v>17.6</v>
      </c>
      <c r="G737" t="n">
        <v>1</v>
      </c>
      <c r="H737" s="6">
        <f>ROUND(G737*F737,2)</f>
        <v/>
      </c>
      <c r="I737">
        <f>IF(ROUND(H737-D737,2)=0,1,0)</f>
        <v/>
      </c>
      <c r="J737">
        <f>IF(F737="","none",IF(G737=1,"carte","multiple"))</f>
        <v/>
      </c>
    </row>
    <row r="738">
      <c r="A738" t="inlineStr">
        <is>
          <t>2022-05-07</t>
        </is>
      </c>
      <c r="B738" t="inlineStr">
        <is>
          <t>19:49</t>
        </is>
      </c>
      <c r="C738" t="n">
        <v>2955</v>
      </c>
      <c r="D738" s="6" t="n">
        <v>5.9</v>
      </c>
      <c r="E738" t="n">
        <v>37473</v>
      </c>
      <c r="F738" s="6" t="n">
        <v>5.9</v>
      </c>
      <c r="G738" t="n">
        <v>1</v>
      </c>
      <c r="H738" s="6">
        <f>ROUND(G738*F738,2)</f>
        <v/>
      </c>
      <c r="I738">
        <f>IF(ROUND(H738-D738,2)=0,1,0)</f>
        <v/>
      </c>
      <c r="J738">
        <f>IF(F738="","none",IF(G738=1,"carte","multiple"))</f>
        <v/>
      </c>
    </row>
    <row r="739">
      <c r="A739" t="inlineStr">
        <is>
          <t>2022-05-07</t>
        </is>
      </c>
      <c r="B739" t="inlineStr">
        <is>
          <t>19:51</t>
        </is>
      </c>
      <c r="C739" t="n">
        <v>2955</v>
      </c>
      <c r="D739" s="6" t="n">
        <v>3.6</v>
      </c>
      <c r="E739" t="n">
        <v>37474</v>
      </c>
      <c r="F739" s="6" t="n">
        <v>3.6</v>
      </c>
      <c r="G739" t="n">
        <v>1</v>
      </c>
      <c r="H739" s="6">
        <f>ROUND(G739*F739,2)</f>
        <v/>
      </c>
      <c r="I739">
        <f>IF(ROUND(H739-D739,2)=0,1,0)</f>
        <v/>
      </c>
      <c r="J739">
        <f>IF(F739="","none",IF(G739=1,"carte","multiple"))</f>
        <v/>
      </c>
    </row>
    <row r="740">
      <c r="A740" t="inlineStr">
        <is>
          <t>2022-05-07</t>
        </is>
      </c>
      <c r="B740" t="inlineStr">
        <is>
          <t>19:51</t>
        </is>
      </c>
      <c r="C740" t="n">
        <v>2955</v>
      </c>
      <c r="D740" s="6" t="n">
        <v>5.8</v>
      </c>
      <c r="E740" t="n">
        <v>37475</v>
      </c>
      <c r="F740" s="6" t="n">
        <v>5.8</v>
      </c>
      <c r="G740" t="n">
        <v>1</v>
      </c>
      <c r="H740" s="6">
        <f>ROUND(G740*F740,2)</f>
        <v/>
      </c>
      <c r="I740">
        <f>IF(ROUND(H740-D740,2)=0,1,0)</f>
        <v/>
      </c>
      <c r="J740">
        <f>IF(F740="","none",IF(G740=1,"carte","multiple"))</f>
        <v/>
      </c>
    </row>
    <row r="741">
      <c r="A741" t="inlineStr">
        <is>
          <t>2022-05-07</t>
        </is>
      </c>
      <c r="B741" t="inlineStr">
        <is>
          <t>19:51</t>
        </is>
      </c>
      <c r="C741" t="n">
        <v>2955</v>
      </c>
      <c r="D741" s="6" t="n">
        <v>2.9</v>
      </c>
      <c r="E741" t="n">
        <v>37476</v>
      </c>
      <c r="F741" s="6" t="n">
        <v>2.9</v>
      </c>
      <c r="G741" t="n">
        <v>1</v>
      </c>
      <c r="H741" s="6">
        <f>ROUND(G741*F741,2)</f>
        <v/>
      </c>
      <c r="I741">
        <f>IF(ROUND(H741-D741,2)=0,1,0)</f>
        <v/>
      </c>
      <c r="J741">
        <f>IF(F741="","none",IF(G741=1,"carte","multiple"))</f>
        <v/>
      </c>
    </row>
    <row r="742">
      <c r="A742" t="inlineStr">
        <is>
          <t>2022-05-07</t>
        </is>
      </c>
      <c r="B742" t="inlineStr">
        <is>
          <t>19:51</t>
        </is>
      </c>
      <c r="C742" t="n">
        <v>2955</v>
      </c>
      <c r="D742" s="6" t="n">
        <v>18.6</v>
      </c>
      <c r="E742" t="n">
        <v>37477</v>
      </c>
      <c r="F742" s="6" t="n">
        <v>18.6</v>
      </c>
      <c r="G742" t="n">
        <v>1</v>
      </c>
      <c r="H742" s="6">
        <f>ROUND(G742*F742,2)</f>
        <v/>
      </c>
      <c r="I742">
        <f>IF(ROUND(H742-D742,2)=0,1,0)</f>
        <v/>
      </c>
      <c r="J742">
        <f>IF(F742="","none",IF(G742=1,"carte","multiple"))</f>
        <v/>
      </c>
    </row>
    <row r="743">
      <c r="A743" t="inlineStr">
        <is>
          <t>2022-05-07</t>
        </is>
      </c>
      <c r="B743" t="inlineStr">
        <is>
          <t>19:51</t>
        </is>
      </c>
      <c r="C743" t="n">
        <v>2955</v>
      </c>
      <c r="D743" s="6" t="n">
        <v>39.8</v>
      </c>
      <c r="E743" t="n">
        <v>37478</v>
      </c>
      <c r="F743" s="6" t="n">
        <v>39.8</v>
      </c>
      <c r="G743" t="n">
        <v>1</v>
      </c>
      <c r="H743" s="6">
        <f>ROUND(G743*F743,2)</f>
        <v/>
      </c>
      <c r="I743">
        <f>IF(ROUND(H743-D743,2)=0,1,0)</f>
        <v/>
      </c>
      <c r="J743">
        <f>IF(F743="","none",IF(G743=1,"carte","multiple"))</f>
        <v/>
      </c>
    </row>
    <row r="744">
      <c r="A744" t="inlineStr">
        <is>
          <t>2022-05-07</t>
        </is>
      </c>
      <c r="B744" t="inlineStr">
        <is>
          <t>19:51</t>
        </is>
      </c>
      <c r="C744" t="n">
        <v>2955</v>
      </c>
      <c r="D744" s="6" t="n">
        <v>8</v>
      </c>
      <c r="E744" t="n">
        <v>37479</v>
      </c>
      <c r="F744" s="6" t="n">
        <v>8</v>
      </c>
      <c r="G744" t="n">
        <v>1</v>
      </c>
      <c r="H744" s="6">
        <f>ROUND(G744*F744,2)</f>
        <v/>
      </c>
      <c r="I744">
        <f>IF(ROUND(H744-D744,2)=0,1,0)</f>
        <v/>
      </c>
      <c r="J744">
        <f>IF(F744="","none",IF(G744=1,"carte","multiple"))</f>
        <v/>
      </c>
    </row>
    <row r="745">
      <c r="A745" t="inlineStr">
        <is>
          <t>2022-05-07</t>
        </is>
      </c>
      <c r="B745" t="inlineStr">
        <is>
          <t>19:51</t>
        </is>
      </c>
      <c r="C745" t="n">
        <v>2955</v>
      </c>
      <c r="D745" s="6" t="n">
        <v>9.9</v>
      </c>
      <c r="E745" t="n">
        <v>37480</v>
      </c>
      <c r="F745" s="6" t="n">
        <v>9.9</v>
      </c>
      <c r="G745" t="n">
        <v>1</v>
      </c>
      <c r="H745" s="6">
        <f>ROUND(G745*F745,2)</f>
        <v/>
      </c>
      <c r="I745">
        <f>IF(ROUND(H745-D745,2)=0,1,0)</f>
        <v/>
      </c>
      <c r="J745">
        <f>IF(F745="","none",IF(G745=1,"carte","multiple"))</f>
        <v/>
      </c>
    </row>
    <row r="746">
      <c r="A746" t="inlineStr">
        <is>
          <t>2022-05-07</t>
        </is>
      </c>
      <c r="B746" t="inlineStr">
        <is>
          <t>19:51</t>
        </is>
      </c>
      <c r="C746" t="n">
        <v>2955</v>
      </c>
      <c r="D746" s="6" t="n">
        <v>7.8</v>
      </c>
      <c r="E746" t="n">
        <v>37481</v>
      </c>
      <c r="F746" s="6" t="n">
        <v>7.8</v>
      </c>
      <c r="G746" t="n">
        <v>1</v>
      </c>
      <c r="H746" s="6">
        <f>ROUND(G746*F746,2)</f>
        <v/>
      </c>
      <c r="I746">
        <f>IF(ROUND(H746-D746,2)=0,1,0)</f>
        <v/>
      </c>
      <c r="J746">
        <f>IF(F746="","none",IF(G746=1,"carte","multiple"))</f>
        <v/>
      </c>
    </row>
    <row r="747">
      <c r="A747" t="inlineStr">
        <is>
          <t>2022-05-07</t>
        </is>
      </c>
      <c r="B747" t="inlineStr">
        <is>
          <t>19:51</t>
        </is>
      </c>
      <c r="C747" t="n">
        <v>2955</v>
      </c>
      <c r="D747" s="6" t="n">
        <v>7.8</v>
      </c>
      <c r="E747" t="n">
        <v>37482</v>
      </c>
      <c r="F747" s="6" t="n">
        <v>7.8</v>
      </c>
      <c r="G747" t="n">
        <v>1</v>
      </c>
      <c r="H747" s="6">
        <f>ROUND(G747*F747,2)</f>
        <v/>
      </c>
      <c r="I747">
        <f>IF(ROUND(H747-D747,2)=0,1,0)</f>
        <v/>
      </c>
      <c r="J747">
        <f>IF(F747="","none",IF(G747=1,"carte","multiple"))</f>
        <v/>
      </c>
    </row>
    <row r="748">
      <c r="A748" t="inlineStr">
        <is>
          <t>2022-05-07</t>
        </is>
      </c>
      <c r="B748" t="inlineStr">
        <is>
          <t>19:53</t>
        </is>
      </c>
      <c r="C748" t="n">
        <v>2955</v>
      </c>
      <c r="D748" s="6" t="n">
        <v>4.4</v>
      </c>
      <c r="E748" t="n">
        <v>37483</v>
      </c>
      <c r="F748" s="6" t="n">
        <v>0.4</v>
      </c>
      <c r="G748" t="n">
        <v>11</v>
      </c>
      <c r="H748" s="6">
        <f>ROUND(G748*F748,2)</f>
        <v/>
      </c>
      <c r="I748">
        <f>IF(ROUND(H748-D748,2)=0,1,0)</f>
        <v/>
      </c>
      <c r="J748">
        <f>IF(F748="","none",IF(G748=1,"carte","multiple"))</f>
        <v/>
      </c>
    </row>
    <row r="749">
      <c r="A749" t="inlineStr">
        <is>
          <t>2022-05-07</t>
        </is>
      </c>
      <c r="B749" t="inlineStr">
        <is>
          <t>19:53</t>
        </is>
      </c>
      <c r="C749" t="n">
        <v>2955</v>
      </c>
      <c r="D749" s="6" t="n">
        <v>7.8</v>
      </c>
      <c r="E749" t="n">
        <v>37484</v>
      </c>
      <c r="F749" s="6" t="n">
        <v>7.8</v>
      </c>
      <c r="G749" t="n">
        <v>1</v>
      </c>
      <c r="H749" s="6">
        <f>ROUND(G749*F749,2)</f>
        <v/>
      </c>
      <c r="I749">
        <f>IF(ROUND(H749-D749,2)=0,1,0)</f>
        <v/>
      </c>
      <c r="J749">
        <f>IF(F749="","none",IF(G749=1,"carte","multiple"))</f>
        <v/>
      </c>
    </row>
    <row r="750">
      <c r="A750" t="inlineStr">
        <is>
          <t>2022-05-07</t>
        </is>
      </c>
      <c r="B750" t="inlineStr">
        <is>
          <t>19:53</t>
        </is>
      </c>
      <c r="C750" t="n">
        <v>2955</v>
      </c>
      <c r="D750" s="6" t="n">
        <v>7.9</v>
      </c>
      <c r="E750" t="n">
        <v>37485</v>
      </c>
      <c r="F750" s="6" t="n">
        <v>7.9</v>
      </c>
      <c r="G750" t="n">
        <v>1</v>
      </c>
      <c r="H750" s="6">
        <f>ROUND(G750*F750,2)</f>
        <v/>
      </c>
      <c r="I750">
        <f>IF(ROUND(H750-D750,2)=0,1,0)</f>
        <v/>
      </c>
      <c r="J750">
        <f>IF(F750="","none",IF(G750=1,"carte","multiple"))</f>
        <v/>
      </c>
    </row>
    <row r="751">
      <c r="A751" t="inlineStr">
        <is>
          <t>2022-05-07</t>
        </is>
      </c>
      <c r="B751" t="inlineStr">
        <is>
          <t>19:53</t>
        </is>
      </c>
      <c r="C751" t="n">
        <v>2955</v>
      </c>
      <c r="D751" s="6" t="n">
        <v>39.8</v>
      </c>
      <c r="E751" t="n">
        <v>37486</v>
      </c>
      <c r="F751" s="6" t="n">
        <v>39.8</v>
      </c>
      <c r="G751" t="n">
        <v>1</v>
      </c>
      <c r="H751" s="6">
        <f>ROUND(G751*F751,2)</f>
        <v/>
      </c>
      <c r="I751">
        <f>IF(ROUND(H751-D751,2)=0,1,0)</f>
        <v/>
      </c>
      <c r="J751">
        <f>IF(F751="","none",IF(G751=1,"carte","multiple"))</f>
        <v/>
      </c>
    </row>
    <row r="752">
      <c r="A752" t="inlineStr">
        <is>
          <t>2022-05-07</t>
        </is>
      </c>
      <c r="B752" t="inlineStr">
        <is>
          <t>19:53</t>
        </is>
      </c>
      <c r="C752" t="n">
        <v>2955</v>
      </c>
      <c r="D752" s="6" t="n">
        <v>10.9</v>
      </c>
      <c r="E752" t="n">
        <v>37487</v>
      </c>
      <c r="F752" s="6" t="n">
        <v>10.9</v>
      </c>
      <c r="G752" t="n">
        <v>1</v>
      </c>
      <c r="H752" s="6">
        <f>ROUND(G752*F752,2)</f>
        <v/>
      </c>
      <c r="I752">
        <f>IF(ROUND(H752-D752,2)=0,1,0)</f>
        <v/>
      </c>
      <c r="J752">
        <f>IF(F752="","none",IF(G752=1,"carte","multiple"))</f>
        <v/>
      </c>
    </row>
    <row r="753">
      <c r="A753" t="inlineStr">
        <is>
          <t>2022-05-07</t>
        </is>
      </c>
      <c r="B753" t="inlineStr">
        <is>
          <t>19:53</t>
        </is>
      </c>
      <c r="C753" t="n">
        <v>2955</v>
      </c>
      <c r="D753" s="6" t="n">
        <v>8</v>
      </c>
      <c r="E753" t="n">
        <v>37488</v>
      </c>
      <c r="F753" s="6" t="n">
        <v>8</v>
      </c>
      <c r="G753" t="n">
        <v>1</v>
      </c>
      <c r="H753" s="6">
        <f>ROUND(G753*F753,2)</f>
        <v/>
      </c>
      <c r="I753">
        <f>IF(ROUND(H753-D753,2)=0,1,0)</f>
        <v/>
      </c>
      <c r="J753">
        <f>IF(F753="","none",IF(G753=1,"carte","multiple"))</f>
        <v/>
      </c>
    </row>
    <row r="754">
      <c r="A754" t="inlineStr">
        <is>
          <t>2022-05-07</t>
        </is>
      </c>
      <c r="B754" t="inlineStr">
        <is>
          <t>19:55</t>
        </is>
      </c>
      <c r="C754" t="n">
        <v>2955</v>
      </c>
      <c r="D754" s="6" t="n">
        <v>39.8</v>
      </c>
      <c r="E754" t="n">
        <v>37489</v>
      </c>
      <c r="F754" s="6" t="n">
        <v>39.8</v>
      </c>
      <c r="G754" t="n">
        <v>1</v>
      </c>
      <c r="H754" s="6">
        <f>ROUND(G754*F754,2)</f>
        <v/>
      </c>
      <c r="I754">
        <f>IF(ROUND(H754-D754,2)=0,1,0)</f>
        <v/>
      </c>
      <c r="J754">
        <f>IF(F754="","none",IF(G754=1,"carte","multiple"))</f>
        <v/>
      </c>
    </row>
    <row r="755">
      <c r="A755" t="inlineStr">
        <is>
          <t>2022-05-07</t>
        </is>
      </c>
      <c r="B755" t="inlineStr">
        <is>
          <t>19:55</t>
        </is>
      </c>
      <c r="C755" t="n">
        <v>2955</v>
      </c>
      <c r="D755" s="6" t="n">
        <v>8.9</v>
      </c>
      <c r="E755" t="n">
        <v>37490</v>
      </c>
      <c r="F755" s="6" t="n">
        <v>8.9</v>
      </c>
      <c r="G755" t="n">
        <v>1</v>
      </c>
      <c r="H755" s="6">
        <f>ROUND(G755*F755,2)</f>
        <v/>
      </c>
      <c r="I755">
        <f>IF(ROUND(H755-D755,2)=0,1,0)</f>
        <v/>
      </c>
      <c r="J755">
        <f>IF(F755="","none",IF(G755=1,"carte","multiple"))</f>
        <v/>
      </c>
    </row>
    <row r="756">
      <c r="A756" t="inlineStr">
        <is>
          <t>2022-05-07</t>
        </is>
      </c>
      <c r="B756" t="inlineStr">
        <is>
          <t>19:55</t>
        </is>
      </c>
      <c r="C756" t="n">
        <v>2955</v>
      </c>
      <c r="D756" s="6" t="n">
        <v>8.9</v>
      </c>
      <c r="E756" t="n">
        <v>37491</v>
      </c>
      <c r="F756" s="6" t="n">
        <v>8.9</v>
      </c>
      <c r="G756" t="n">
        <v>1</v>
      </c>
      <c r="H756" s="6">
        <f>ROUND(G756*F756,2)</f>
        <v/>
      </c>
      <c r="I756">
        <f>IF(ROUND(H756-D756,2)=0,1,0)</f>
        <v/>
      </c>
      <c r="J756">
        <f>IF(F756="","none",IF(G756=1,"carte","multiple"))</f>
        <v/>
      </c>
    </row>
    <row r="757">
      <c r="A757" t="inlineStr">
        <is>
          <t>2022-05-07</t>
        </is>
      </c>
      <c r="B757" t="inlineStr">
        <is>
          <t>19:55</t>
        </is>
      </c>
      <c r="C757" t="n">
        <v>2955</v>
      </c>
      <c r="D757" s="6" t="n">
        <v>3.9</v>
      </c>
      <c r="E757" t="n">
        <v>37492</v>
      </c>
      <c r="F757" s="6" t="n">
        <v>3.9</v>
      </c>
      <c r="G757" t="n">
        <v>1</v>
      </c>
      <c r="H757" s="6">
        <f>ROUND(G757*F757,2)</f>
        <v/>
      </c>
      <c r="I757">
        <f>IF(ROUND(H757-D757,2)=0,1,0)</f>
        <v/>
      </c>
      <c r="J757">
        <f>IF(F757="","none",IF(G757=1,"carte","multiple"))</f>
        <v/>
      </c>
    </row>
    <row r="758">
      <c r="A758" t="inlineStr">
        <is>
          <t>2022-05-07</t>
        </is>
      </c>
      <c r="B758" t="inlineStr">
        <is>
          <t>19:55</t>
        </is>
      </c>
      <c r="C758" t="n">
        <v>2955</v>
      </c>
      <c r="D758" s="6" t="n">
        <v>3.9</v>
      </c>
      <c r="E758" t="n">
        <v>37493</v>
      </c>
      <c r="F758" s="6" t="n">
        <v>3.9</v>
      </c>
      <c r="G758" t="n">
        <v>1</v>
      </c>
      <c r="H758" s="6">
        <f>ROUND(G758*F758,2)</f>
        <v/>
      </c>
      <c r="I758">
        <f>IF(ROUND(H758-D758,2)=0,1,0)</f>
        <v/>
      </c>
      <c r="J758">
        <f>IF(F758="","none",IF(G758=1,"carte","multiple"))</f>
        <v/>
      </c>
    </row>
    <row r="759">
      <c r="A759" t="inlineStr">
        <is>
          <t>2022-05-07</t>
        </is>
      </c>
      <c r="B759" t="inlineStr">
        <is>
          <t>20:13</t>
        </is>
      </c>
      <c r="C759" t="n">
        <v>2955</v>
      </c>
      <c r="D759" s="6" t="n">
        <v>10.9</v>
      </c>
      <c r="E759" t="n">
        <v>37494</v>
      </c>
      <c r="F759" s="6" t="n">
        <v>10.9</v>
      </c>
      <c r="G759" t="n">
        <v>1</v>
      </c>
      <c r="H759" s="6">
        <f>ROUND(G759*F759,2)</f>
        <v/>
      </c>
      <c r="I759">
        <f>IF(ROUND(H759-D759,2)=0,1,0)</f>
        <v/>
      </c>
      <c r="J759">
        <f>IF(F759="","none",IF(G759=1,"carte","multiple"))</f>
        <v/>
      </c>
    </row>
    <row r="760">
      <c r="A760" t="inlineStr">
        <is>
          <t>2022-05-07</t>
        </is>
      </c>
      <c r="B760" t="inlineStr">
        <is>
          <t>20:13</t>
        </is>
      </c>
      <c r="C760" t="n">
        <v>2955</v>
      </c>
      <c r="D760" s="6" t="n">
        <v>6.9</v>
      </c>
      <c r="E760" t="n">
        <v>37495</v>
      </c>
      <c r="F760" s="6" t="n">
        <v>6.9</v>
      </c>
      <c r="G760" t="n">
        <v>1</v>
      </c>
      <c r="H760" s="6">
        <f>ROUND(G760*F760,2)</f>
        <v/>
      </c>
      <c r="I760">
        <f>IF(ROUND(H760-D760,2)=0,1,0)</f>
        <v/>
      </c>
      <c r="J760">
        <f>IF(F760="","none",IF(G760=1,"carte","multiple"))</f>
        <v/>
      </c>
    </row>
    <row r="761">
      <c r="A761" t="inlineStr">
        <is>
          <t>2022-05-07</t>
        </is>
      </c>
      <c r="B761" t="inlineStr">
        <is>
          <t>20:13</t>
        </is>
      </c>
      <c r="C761" t="n">
        <v>2955</v>
      </c>
      <c r="D761" s="6" t="n">
        <v>3.9</v>
      </c>
      <c r="E761" t="n">
        <v>37496</v>
      </c>
      <c r="F761" s="6" t="n">
        <v>3.9</v>
      </c>
      <c r="G761" t="n">
        <v>1</v>
      </c>
      <c r="H761" s="6">
        <f>ROUND(G761*F761,2)</f>
        <v/>
      </c>
      <c r="I761">
        <f>IF(ROUND(H761-D761,2)=0,1,0)</f>
        <v/>
      </c>
      <c r="J761">
        <f>IF(F761="","none",IF(G761=1,"carte","multiple"))</f>
        <v/>
      </c>
    </row>
    <row r="762">
      <c r="A762" t="inlineStr">
        <is>
          <t>2022-05-07</t>
        </is>
      </c>
      <c r="B762" t="inlineStr">
        <is>
          <t>20:13</t>
        </is>
      </c>
      <c r="C762" t="n">
        <v>2955</v>
      </c>
      <c r="D762" s="6" t="n">
        <v>19</v>
      </c>
      <c r="E762" t="n">
        <v>37497</v>
      </c>
      <c r="F762" s="6" t="n">
        <v>19</v>
      </c>
      <c r="G762" t="n">
        <v>1</v>
      </c>
      <c r="H762" s="6">
        <f>ROUND(G762*F762,2)</f>
        <v/>
      </c>
      <c r="I762">
        <f>IF(ROUND(H762-D762,2)=0,1,0)</f>
        <v/>
      </c>
      <c r="J762">
        <f>IF(F762="","none",IF(G762=1,"carte","multiple"))</f>
        <v/>
      </c>
    </row>
    <row r="763">
      <c r="A763" t="inlineStr">
        <is>
          <t>2022-05-07</t>
        </is>
      </c>
      <c r="B763" t="inlineStr">
        <is>
          <t>20:13</t>
        </is>
      </c>
      <c r="C763" t="n">
        <v>2955</v>
      </c>
      <c r="D763" s="6" t="n">
        <v>28.6</v>
      </c>
      <c r="E763" t="n">
        <v>37498</v>
      </c>
      <c r="F763" s="6" t="n">
        <v>28.6</v>
      </c>
      <c r="G763" t="n">
        <v>1</v>
      </c>
      <c r="H763" s="6">
        <f>ROUND(G763*F763,2)</f>
        <v/>
      </c>
      <c r="I763">
        <f>IF(ROUND(H763-D763,2)=0,1,0)</f>
        <v/>
      </c>
      <c r="J763">
        <f>IF(F763="","none",IF(G763=1,"carte","multiple"))</f>
        <v/>
      </c>
    </row>
    <row r="764">
      <c r="A764" t="inlineStr">
        <is>
          <t>2022-05-07</t>
        </is>
      </c>
      <c r="B764" t="inlineStr">
        <is>
          <t>20:13</t>
        </is>
      </c>
      <c r="C764" t="n">
        <v>2955</v>
      </c>
      <c r="D764" s="6" t="n">
        <v>35.2</v>
      </c>
      <c r="E764" t="n">
        <v>37499</v>
      </c>
      <c r="F764" s="6" t="n">
        <v>0.4</v>
      </c>
      <c r="G764" t="n">
        <v>88</v>
      </c>
      <c r="H764" s="6">
        <f>ROUND(G764*F764,2)</f>
        <v/>
      </c>
      <c r="I764">
        <f>IF(ROUND(H764-D764,2)=0,1,0)</f>
        <v/>
      </c>
      <c r="J764">
        <f>IF(F764="","none",IF(G764=1,"carte","multiple"))</f>
        <v/>
      </c>
    </row>
    <row r="765">
      <c r="A765" t="inlineStr">
        <is>
          <t>2022-05-07</t>
        </is>
      </c>
      <c r="B765" t="inlineStr">
        <is>
          <t>20:13</t>
        </is>
      </c>
      <c r="C765" t="n">
        <v>2955</v>
      </c>
      <c r="D765" s="6" t="n">
        <v>5.2</v>
      </c>
      <c r="E765" t="n">
        <v>37500</v>
      </c>
      <c r="F765" s="6" t="n">
        <v>5.2</v>
      </c>
      <c r="G765" t="n">
        <v>1</v>
      </c>
      <c r="H765" s="6">
        <f>ROUND(G765*F765,2)</f>
        <v/>
      </c>
      <c r="I765">
        <f>IF(ROUND(H765-D765,2)=0,1,0)</f>
        <v/>
      </c>
      <c r="J765">
        <f>IF(F765="","none",IF(G765=1,"carte","multiple"))</f>
        <v/>
      </c>
    </row>
    <row r="766">
      <c r="A766" t="inlineStr">
        <is>
          <t>2022-05-07</t>
        </is>
      </c>
      <c r="B766" t="inlineStr">
        <is>
          <t>20:13</t>
        </is>
      </c>
      <c r="C766" t="n">
        <v>2955</v>
      </c>
      <c r="D766" s="6" t="n">
        <v>9.800000000000001</v>
      </c>
      <c r="E766" t="n">
        <v>37501</v>
      </c>
      <c r="F766" s="6" t="n">
        <v>9.800000000000001</v>
      </c>
      <c r="G766" t="n">
        <v>1</v>
      </c>
      <c r="H766" s="6">
        <f>ROUND(G766*F766,2)</f>
        <v/>
      </c>
      <c r="I766">
        <f>IF(ROUND(H766-D766,2)=0,1,0)</f>
        <v/>
      </c>
      <c r="J766">
        <f>IF(F766="","none",IF(G766=1,"carte","multiple"))</f>
        <v/>
      </c>
    </row>
    <row r="767">
      <c r="A767" t="inlineStr">
        <is>
          <t>2022-05-07</t>
        </is>
      </c>
      <c r="B767" t="inlineStr">
        <is>
          <t>20:18</t>
        </is>
      </c>
      <c r="C767" t="n">
        <v>2955</v>
      </c>
      <c r="D767" s="6" t="n">
        <v>15.9</v>
      </c>
      <c r="E767" t="n">
        <v>37502</v>
      </c>
      <c r="F767" s="6" t="n">
        <v>15.9</v>
      </c>
      <c r="G767" t="n">
        <v>1</v>
      </c>
      <c r="H767" s="6">
        <f>ROUND(G767*F767,2)</f>
        <v/>
      </c>
      <c r="I767">
        <f>IF(ROUND(H767-D767,2)=0,1,0)</f>
        <v/>
      </c>
      <c r="J767">
        <f>IF(F767="","none",IF(G767=1,"carte","multiple"))</f>
        <v/>
      </c>
    </row>
    <row r="768">
      <c r="A768" t="inlineStr">
        <is>
          <t>2022-05-07</t>
        </is>
      </c>
      <c r="B768" t="inlineStr">
        <is>
          <t>20:18</t>
        </is>
      </c>
      <c r="C768" t="n">
        <v>2955</v>
      </c>
      <c r="D768" s="6" t="n">
        <v>32</v>
      </c>
      <c r="E768" t="n">
        <v>37503</v>
      </c>
      <c r="F768" s="6" t="n">
        <v>32</v>
      </c>
      <c r="G768" t="n">
        <v>1</v>
      </c>
      <c r="H768" s="6">
        <f>ROUND(G768*F768,2)</f>
        <v/>
      </c>
      <c r="I768">
        <f>IF(ROUND(H768-D768,2)=0,1,0)</f>
        <v/>
      </c>
      <c r="J768">
        <f>IF(F768="","none",IF(G768=1,"carte","multiple"))</f>
        <v/>
      </c>
    </row>
    <row r="769">
      <c r="A769" t="inlineStr">
        <is>
          <t>2022-05-07</t>
        </is>
      </c>
      <c r="B769" t="inlineStr">
        <is>
          <t>20:18</t>
        </is>
      </c>
      <c r="C769" t="n">
        <v>2955</v>
      </c>
      <c r="D769" s="6" t="n">
        <v>31.8</v>
      </c>
      <c r="E769" t="n">
        <v>37504</v>
      </c>
      <c r="F769" s="6" t="n">
        <v>31.8</v>
      </c>
      <c r="G769" t="n">
        <v>1</v>
      </c>
      <c r="H769" s="6">
        <f>ROUND(G769*F769,2)</f>
        <v/>
      </c>
      <c r="I769">
        <f>IF(ROUND(H769-D769,2)=0,1,0)</f>
        <v/>
      </c>
      <c r="J769">
        <f>IF(F769="","none",IF(G769=1,"carte","multiple"))</f>
        <v/>
      </c>
    </row>
    <row r="770">
      <c r="A770" t="inlineStr">
        <is>
          <t>2022-05-07</t>
        </is>
      </c>
      <c r="B770" t="inlineStr">
        <is>
          <t>20:18</t>
        </is>
      </c>
      <c r="C770" t="n">
        <v>2955</v>
      </c>
      <c r="D770" s="6" t="n">
        <v>28</v>
      </c>
      <c r="E770" t="n">
        <v>37505</v>
      </c>
      <c r="F770" s="6" t="n">
        <v>28</v>
      </c>
      <c r="G770" t="n">
        <v>1</v>
      </c>
      <c r="H770" s="6">
        <f>ROUND(G770*F770,2)</f>
        <v/>
      </c>
      <c r="I770">
        <f>IF(ROUND(H770-D770,2)=0,1,0)</f>
        <v/>
      </c>
      <c r="J770">
        <f>IF(F770="","none",IF(G770=1,"carte","multiple"))</f>
        <v/>
      </c>
    </row>
    <row r="771">
      <c r="A771" t="inlineStr">
        <is>
          <t>2022-05-07</t>
        </is>
      </c>
      <c r="B771" t="inlineStr">
        <is>
          <t>20:24</t>
        </is>
      </c>
      <c r="C771" t="n">
        <v>2955</v>
      </c>
      <c r="D771" s="6" t="n">
        <v>3.9</v>
      </c>
      <c r="E771" t="n">
        <v>37506</v>
      </c>
      <c r="F771" s="6" t="n">
        <v>3.9</v>
      </c>
      <c r="G771" t="n">
        <v>1</v>
      </c>
      <c r="H771" s="6">
        <f>ROUND(G771*F771,2)</f>
        <v/>
      </c>
      <c r="I771">
        <f>IF(ROUND(H771-D771,2)=0,1,0)</f>
        <v/>
      </c>
      <c r="J771">
        <f>IF(F771="","none",IF(G771=1,"carte","multiple"))</f>
        <v/>
      </c>
    </row>
    <row r="772">
      <c r="A772" t="inlineStr">
        <is>
          <t>2022-05-07</t>
        </is>
      </c>
      <c r="B772" t="inlineStr">
        <is>
          <t>20:24</t>
        </is>
      </c>
      <c r="C772" t="n">
        <v>2955</v>
      </c>
      <c r="D772" s="6" t="n">
        <v>7.2</v>
      </c>
      <c r="E772" t="n">
        <v>37507</v>
      </c>
      <c r="F772" s="6" t="n">
        <v>7.2</v>
      </c>
      <c r="G772" t="n">
        <v>1</v>
      </c>
      <c r="H772" s="6">
        <f>ROUND(G772*F772,2)</f>
        <v/>
      </c>
      <c r="I772">
        <f>IF(ROUND(H772-D772,2)=0,1,0)</f>
        <v/>
      </c>
      <c r="J772">
        <f>IF(F772="","none",IF(G772=1,"carte","multiple"))</f>
        <v/>
      </c>
    </row>
    <row r="773">
      <c r="A773" t="inlineStr">
        <is>
          <t>2022-05-07</t>
        </is>
      </c>
      <c r="B773" t="inlineStr">
        <is>
          <t>20:24</t>
        </is>
      </c>
      <c r="C773" t="n">
        <v>2955</v>
      </c>
      <c r="D773" s="6" t="n">
        <v>5.9</v>
      </c>
      <c r="E773" t="n">
        <v>37508</v>
      </c>
      <c r="F773" s="6" t="n">
        <v>5.9</v>
      </c>
      <c r="G773" t="n">
        <v>1</v>
      </c>
      <c r="H773" s="6">
        <f>ROUND(G773*F773,2)</f>
        <v/>
      </c>
      <c r="I773">
        <f>IF(ROUND(H773-D773,2)=0,1,0)</f>
        <v/>
      </c>
      <c r="J773">
        <f>IF(F773="","none",IF(G773=1,"carte","multiple"))</f>
        <v/>
      </c>
    </row>
    <row r="774">
      <c r="A774" t="inlineStr">
        <is>
          <t>2022-05-07</t>
        </is>
      </c>
      <c r="B774" t="inlineStr">
        <is>
          <t>20:24</t>
        </is>
      </c>
      <c r="C774" t="n">
        <v>2955</v>
      </c>
      <c r="D774" s="6" t="n">
        <v>4.9</v>
      </c>
      <c r="E774" t="n">
        <v>37509</v>
      </c>
      <c r="F774" s="6" t="n">
        <v>4.9</v>
      </c>
      <c r="G774" t="n">
        <v>1</v>
      </c>
      <c r="H774" s="6">
        <f>ROUND(G774*F774,2)</f>
        <v/>
      </c>
      <c r="I774">
        <f>IF(ROUND(H774-D774,2)=0,1,0)</f>
        <v/>
      </c>
      <c r="J774">
        <f>IF(F774="","none",IF(G774=1,"carte","multiple"))</f>
        <v/>
      </c>
    </row>
    <row r="775">
      <c r="A775" t="inlineStr">
        <is>
          <t>2022-05-07</t>
        </is>
      </c>
      <c r="B775" t="inlineStr">
        <is>
          <t>20:24</t>
        </is>
      </c>
      <c r="C775" t="n">
        <v>2955</v>
      </c>
      <c r="D775" s="6" t="n">
        <v>5.2</v>
      </c>
      <c r="E775" t="n">
        <v>37510</v>
      </c>
      <c r="F775" s="6" t="n">
        <v>5.2</v>
      </c>
      <c r="G775" t="n">
        <v>1</v>
      </c>
      <c r="H775" s="6">
        <f>ROUND(G775*F775,2)</f>
        <v/>
      </c>
      <c r="I775">
        <f>IF(ROUND(H775-D775,2)=0,1,0)</f>
        <v/>
      </c>
      <c r="J775">
        <f>IF(F775="","none",IF(G775=1,"carte","multiple"))</f>
        <v/>
      </c>
    </row>
    <row r="776">
      <c r="A776" t="inlineStr">
        <is>
          <t>2022-05-07</t>
        </is>
      </c>
      <c r="B776" t="inlineStr">
        <is>
          <t>20:24</t>
        </is>
      </c>
      <c r="C776" t="n">
        <v>2955</v>
      </c>
      <c r="D776" s="6" t="n">
        <v>17.6</v>
      </c>
      <c r="E776" t="n">
        <v>37511</v>
      </c>
      <c r="F776" s="6" t="n">
        <v>17.6</v>
      </c>
      <c r="G776" t="n">
        <v>1</v>
      </c>
      <c r="H776" s="6">
        <f>ROUND(G776*F776,2)</f>
        <v/>
      </c>
      <c r="I776">
        <f>IF(ROUND(H776-D776,2)=0,1,0)</f>
        <v/>
      </c>
      <c r="J776">
        <f>IF(F776="","none",IF(G776=1,"carte","multiple"))</f>
        <v/>
      </c>
    </row>
    <row r="777">
      <c r="A777" t="inlineStr">
        <is>
          <t>2022-05-07</t>
        </is>
      </c>
      <c r="B777" t="inlineStr">
        <is>
          <t>20:24</t>
        </is>
      </c>
      <c r="C777" t="n">
        <v>2955</v>
      </c>
      <c r="D777" s="6" t="n">
        <v>19</v>
      </c>
      <c r="E777" t="n">
        <v>37512</v>
      </c>
      <c r="F777" s="6" t="n">
        <v>19</v>
      </c>
      <c r="G777" t="n">
        <v>1</v>
      </c>
      <c r="H777" s="6">
        <f>ROUND(G777*F777,2)</f>
        <v/>
      </c>
      <c r="I777">
        <f>IF(ROUND(H777-D777,2)=0,1,0)</f>
        <v/>
      </c>
      <c r="J777">
        <f>IF(F777="","none",IF(G777=1,"carte","multiple"))</f>
        <v/>
      </c>
    </row>
    <row r="778">
      <c r="A778" t="inlineStr">
        <is>
          <t>2022-05-07</t>
        </is>
      </c>
      <c r="B778" t="inlineStr">
        <is>
          <t>20:24</t>
        </is>
      </c>
      <c r="C778" t="n">
        <v>2955</v>
      </c>
      <c r="D778" s="6" t="n">
        <v>7.2</v>
      </c>
      <c r="E778" t="n">
        <v>37513</v>
      </c>
      <c r="F778" s="6" t="n">
        <v>7.2</v>
      </c>
      <c r="G778" t="n">
        <v>1</v>
      </c>
      <c r="H778" s="6">
        <f>ROUND(G778*F778,2)</f>
        <v/>
      </c>
      <c r="I778">
        <f>IF(ROUND(H778-D778,2)=0,1,0)</f>
        <v/>
      </c>
      <c r="J778">
        <f>IF(F778="","none",IF(G778=1,"carte","multiple"))</f>
        <v/>
      </c>
    </row>
    <row r="779">
      <c r="A779" t="inlineStr">
        <is>
          <t>2022-05-07</t>
        </is>
      </c>
      <c r="B779" t="inlineStr">
        <is>
          <t>20:24</t>
        </is>
      </c>
      <c r="C779" t="n">
        <v>2955</v>
      </c>
      <c r="D779" s="6" t="n">
        <v>10.9</v>
      </c>
      <c r="E779" t="n">
        <v>37514</v>
      </c>
      <c r="F779" s="6" t="n">
        <v>10.9</v>
      </c>
      <c r="G779" t="n">
        <v>1</v>
      </c>
      <c r="H779" s="6">
        <f>ROUND(G779*F779,2)</f>
        <v/>
      </c>
      <c r="I779">
        <f>IF(ROUND(H779-D779,2)=0,1,0)</f>
        <v/>
      </c>
      <c r="J779">
        <f>IF(F779="","none",IF(G779=1,"carte","multiple"))</f>
        <v/>
      </c>
    </row>
    <row r="780">
      <c r="A780" t="inlineStr">
        <is>
          <t>2022-05-07</t>
        </is>
      </c>
      <c r="B780" t="inlineStr">
        <is>
          <t>20:24</t>
        </is>
      </c>
      <c r="C780" t="n">
        <v>2955</v>
      </c>
      <c r="D780" s="6" t="n">
        <v>15.9</v>
      </c>
      <c r="E780" t="n">
        <v>37515</v>
      </c>
      <c r="F780" s="6" t="n">
        <v>15.9</v>
      </c>
      <c r="G780" t="n">
        <v>1</v>
      </c>
      <c r="H780" s="6">
        <f>ROUND(G780*F780,2)</f>
        <v/>
      </c>
      <c r="I780">
        <f>IF(ROUND(H780-D780,2)=0,1,0)</f>
        <v/>
      </c>
      <c r="J780">
        <f>IF(F780="","none",IF(G780=1,"carte","multiple"))</f>
        <v/>
      </c>
    </row>
    <row r="781">
      <c r="A781" t="inlineStr">
        <is>
          <t>2022-05-07</t>
        </is>
      </c>
      <c r="B781" t="inlineStr">
        <is>
          <t>20:45</t>
        </is>
      </c>
      <c r="C781" t="n">
        <v>2955</v>
      </c>
      <c r="D781" s="6" t="n">
        <v>10.9</v>
      </c>
      <c r="E781" t="n">
        <v>37516</v>
      </c>
      <c r="F781" s="6" t="n">
        <v>10.9</v>
      </c>
      <c r="G781" t="n">
        <v>1</v>
      </c>
      <c r="H781" s="6">
        <f>ROUND(G781*F781,2)</f>
        <v/>
      </c>
      <c r="I781">
        <f>IF(ROUND(H781-D781,2)=0,1,0)</f>
        <v/>
      </c>
      <c r="J781">
        <f>IF(F781="","none",IF(G781=1,"carte","multiple"))</f>
        <v/>
      </c>
    </row>
    <row r="782">
      <c r="A782" t="inlineStr">
        <is>
          <t>2022-05-07</t>
        </is>
      </c>
      <c r="B782" t="inlineStr">
        <is>
          <t>20:45</t>
        </is>
      </c>
      <c r="C782" t="n">
        <v>2955</v>
      </c>
      <c r="D782" s="6" t="n">
        <v>10.5</v>
      </c>
      <c r="E782" t="n">
        <v>37517</v>
      </c>
      <c r="F782" s="6" t="n">
        <v>10.5</v>
      </c>
      <c r="G782" t="n">
        <v>1</v>
      </c>
      <c r="H782" s="6">
        <f>ROUND(G782*F782,2)</f>
        <v/>
      </c>
      <c r="I782">
        <f>IF(ROUND(H782-D782,2)=0,1,0)</f>
        <v/>
      </c>
      <c r="J782">
        <f>IF(F782="","none",IF(G782=1,"carte","multiple"))</f>
        <v/>
      </c>
    </row>
    <row r="783">
      <c r="A783" t="inlineStr">
        <is>
          <t>2022-05-07</t>
        </is>
      </c>
      <c r="B783" t="inlineStr">
        <is>
          <t>20:45</t>
        </is>
      </c>
      <c r="C783" t="n">
        <v>2955</v>
      </c>
      <c r="D783" s="6" t="n">
        <v>15.8</v>
      </c>
      <c r="E783" t="n">
        <v>37518</v>
      </c>
      <c r="F783" s="6" t="n">
        <v>7.9</v>
      </c>
      <c r="G783" t="n">
        <v>2</v>
      </c>
      <c r="H783" s="6">
        <f>ROUND(G783*F783,2)</f>
        <v/>
      </c>
      <c r="I783">
        <f>IF(ROUND(H783-D783,2)=0,1,0)</f>
        <v/>
      </c>
      <c r="J783">
        <f>IF(F783="","none",IF(G783=1,"carte","multiple"))</f>
        <v/>
      </c>
    </row>
    <row r="784">
      <c r="A784" t="inlineStr">
        <is>
          <t>2022-05-07</t>
        </is>
      </c>
      <c r="B784" t="inlineStr">
        <is>
          <t>20:45</t>
        </is>
      </c>
      <c r="C784" t="n">
        <v>2955</v>
      </c>
      <c r="D784" s="6" t="n">
        <v>38</v>
      </c>
      <c r="E784" t="n">
        <v>37519</v>
      </c>
      <c r="F784" s="6" t="n">
        <v>0.4</v>
      </c>
      <c r="G784" t="n">
        <v>95</v>
      </c>
      <c r="H784" s="6">
        <f>ROUND(G784*F784,2)</f>
        <v/>
      </c>
      <c r="I784">
        <f>IF(ROUND(H784-D784,2)=0,1,0)</f>
        <v/>
      </c>
      <c r="J784">
        <f>IF(F784="","none",IF(G784=1,"carte","multiple"))</f>
        <v/>
      </c>
    </row>
    <row r="785">
      <c r="A785" t="inlineStr">
        <is>
          <t>2022-05-07</t>
        </is>
      </c>
      <c r="B785" t="inlineStr">
        <is>
          <t>20:45</t>
        </is>
      </c>
      <c r="C785" t="n">
        <v>2955</v>
      </c>
      <c r="D785" s="6" t="n">
        <v>10.9</v>
      </c>
      <c r="E785" t="n">
        <v>37520</v>
      </c>
      <c r="F785" s="6" t="n">
        <v>10.9</v>
      </c>
      <c r="G785" t="n">
        <v>1</v>
      </c>
      <c r="H785" s="6">
        <f>ROUND(G785*F785,2)</f>
        <v/>
      </c>
      <c r="I785">
        <f>IF(ROUND(H785-D785,2)=0,1,0)</f>
        <v/>
      </c>
      <c r="J785">
        <f>IF(F785="","none",IF(G785=1,"carte","multiple"))</f>
        <v/>
      </c>
    </row>
    <row r="786">
      <c r="A786" t="inlineStr">
        <is>
          <t>2022-05-07</t>
        </is>
      </c>
      <c r="B786" t="inlineStr">
        <is>
          <t>20:45</t>
        </is>
      </c>
      <c r="C786" t="n">
        <v>2955</v>
      </c>
      <c r="D786" s="6" t="n">
        <v>8.9</v>
      </c>
      <c r="E786" t="n">
        <v>37521</v>
      </c>
      <c r="F786" s="6" t="n">
        <v>8.9</v>
      </c>
      <c r="G786" t="n">
        <v>1</v>
      </c>
      <c r="H786" s="6">
        <f>ROUND(G786*F786,2)</f>
        <v/>
      </c>
      <c r="I786">
        <f>IF(ROUND(H786-D786,2)=0,1,0)</f>
        <v/>
      </c>
      <c r="J786">
        <f>IF(F786="","none",IF(G786=1,"carte","multiple"))</f>
        <v/>
      </c>
    </row>
    <row r="787">
      <c r="A787" t="inlineStr">
        <is>
          <t>2022-05-07</t>
        </is>
      </c>
      <c r="B787" t="inlineStr">
        <is>
          <t>20:45</t>
        </is>
      </c>
      <c r="C787" t="n">
        <v>2955</v>
      </c>
      <c r="D787" s="6" t="n">
        <v>9.800000000000001</v>
      </c>
      <c r="E787" t="n">
        <v>37522</v>
      </c>
      <c r="F787" s="6" t="n">
        <v>9.800000000000001</v>
      </c>
      <c r="G787" t="n">
        <v>1</v>
      </c>
      <c r="H787" s="6">
        <f>ROUND(G787*F787,2)</f>
        <v/>
      </c>
      <c r="I787">
        <f>IF(ROUND(H787-D787,2)=0,1,0)</f>
        <v/>
      </c>
      <c r="J787">
        <f>IF(F787="","none",IF(G787=1,"carte","multiple"))</f>
        <v/>
      </c>
    </row>
    <row r="788">
      <c r="A788" t="inlineStr">
        <is>
          <t>2022-05-07</t>
        </is>
      </c>
      <c r="B788" t="inlineStr">
        <is>
          <t>21:29</t>
        </is>
      </c>
      <c r="C788" t="n">
        <v>2955</v>
      </c>
      <c r="D788" s="6" t="n">
        <v>6.5</v>
      </c>
      <c r="E788" t="n">
        <v>37523</v>
      </c>
      <c r="F788" s="6" t="n">
        <v>6.5</v>
      </c>
      <c r="G788" t="n">
        <v>1</v>
      </c>
      <c r="H788" s="6">
        <f>ROUND(G788*F788,2)</f>
        <v/>
      </c>
      <c r="I788">
        <f>IF(ROUND(H788-D788,2)=0,1,0)</f>
        <v/>
      </c>
      <c r="J788">
        <f>IF(F788="","none",IF(G788=1,"carte","multiple"))</f>
        <v/>
      </c>
    </row>
    <row r="789">
      <c r="A789" t="inlineStr">
        <is>
          <t>2022-05-07</t>
        </is>
      </c>
      <c r="B789" t="inlineStr">
        <is>
          <t>21:29</t>
        </is>
      </c>
      <c r="C789" t="n">
        <v>2955</v>
      </c>
      <c r="D789" s="6" t="n">
        <v>6.9</v>
      </c>
      <c r="E789" t="n">
        <v>37524</v>
      </c>
      <c r="F789" s="6" t="n">
        <v>6.9</v>
      </c>
      <c r="G789" t="n">
        <v>1</v>
      </c>
      <c r="H789" s="6">
        <f>ROUND(G789*F789,2)</f>
        <v/>
      </c>
      <c r="I789">
        <f>IF(ROUND(H789-D789,2)=0,1,0)</f>
        <v/>
      </c>
      <c r="J789">
        <f>IF(F789="","none",IF(G789=1,"carte","multiple"))</f>
        <v/>
      </c>
    </row>
    <row r="790">
      <c r="A790" t="inlineStr">
        <is>
          <t>2022-05-07</t>
        </is>
      </c>
      <c r="B790" t="inlineStr">
        <is>
          <t>21:29</t>
        </is>
      </c>
      <c r="C790" t="n">
        <v>2955</v>
      </c>
      <c r="D790" s="6" t="n">
        <v>19</v>
      </c>
      <c r="E790" t="n">
        <v>37525</v>
      </c>
      <c r="F790" s="6" t="n">
        <v>19</v>
      </c>
      <c r="G790" t="n">
        <v>1</v>
      </c>
      <c r="H790" s="6">
        <f>ROUND(G790*F790,2)</f>
        <v/>
      </c>
      <c r="I790">
        <f>IF(ROUND(H790-D790,2)=0,1,0)</f>
        <v/>
      </c>
      <c r="J790">
        <f>IF(F790="","none",IF(G790=1,"carte","multiple"))</f>
        <v/>
      </c>
    </row>
    <row r="791">
      <c r="A791" t="inlineStr">
        <is>
          <t>2022-05-07</t>
        </is>
      </c>
      <c r="B791" t="inlineStr">
        <is>
          <t>21:29</t>
        </is>
      </c>
      <c r="C791" t="n">
        <v>2955</v>
      </c>
      <c r="D791" s="6" t="n">
        <v>6.5</v>
      </c>
      <c r="E791" t="n">
        <v>37526</v>
      </c>
      <c r="F791" s="6" t="n">
        <v>6.5</v>
      </c>
      <c r="G791" t="n">
        <v>1</v>
      </c>
      <c r="H791" s="6">
        <f>ROUND(G791*F791,2)</f>
        <v/>
      </c>
      <c r="I791">
        <f>IF(ROUND(H791-D791,2)=0,1,0)</f>
        <v/>
      </c>
      <c r="J791">
        <f>IF(F791="","none",IF(G791=1,"carte","multiple"))</f>
        <v/>
      </c>
    </row>
    <row r="792">
      <c r="A792" t="inlineStr">
        <is>
          <t>2022-05-07</t>
        </is>
      </c>
      <c r="B792" t="inlineStr">
        <is>
          <t>21:29</t>
        </is>
      </c>
      <c r="C792" t="n">
        <v>2955</v>
      </c>
      <c r="D792" s="6" t="n">
        <v>5.2</v>
      </c>
      <c r="E792" t="n">
        <v>37527</v>
      </c>
      <c r="F792" s="6" t="n">
        <v>5.2</v>
      </c>
      <c r="G792" t="n">
        <v>1</v>
      </c>
      <c r="H792" s="6">
        <f>ROUND(G792*F792,2)</f>
        <v/>
      </c>
      <c r="I792">
        <f>IF(ROUND(H792-D792,2)=0,1,0)</f>
        <v/>
      </c>
      <c r="J792">
        <f>IF(F792="","none",IF(G792=1,"carte","multiple"))</f>
        <v/>
      </c>
    </row>
    <row r="793">
      <c r="A793" t="inlineStr">
        <is>
          <t>2022-05-07</t>
        </is>
      </c>
      <c r="B793" t="inlineStr">
        <is>
          <t>21:29</t>
        </is>
      </c>
      <c r="C793" t="n">
        <v>2955</v>
      </c>
      <c r="D793" s="6" t="n">
        <v>17.6</v>
      </c>
      <c r="E793" t="n">
        <v>37528</v>
      </c>
      <c r="F793" s="6" t="n">
        <v>17.6</v>
      </c>
      <c r="G793" t="n">
        <v>1</v>
      </c>
      <c r="H793" s="6">
        <f>ROUND(G793*F793,2)</f>
        <v/>
      </c>
      <c r="I793">
        <f>IF(ROUND(H793-D793,2)=0,1,0)</f>
        <v/>
      </c>
      <c r="J793">
        <f>IF(F793="","none",IF(G793=1,"carte","multiple"))</f>
        <v/>
      </c>
    </row>
    <row r="794">
      <c r="A794" t="inlineStr">
        <is>
          <t>2022-05-07</t>
        </is>
      </c>
      <c r="B794" t="inlineStr">
        <is>
          <t>21:29</t>
        </is>
      </c>
      <c r="C794" t="n">
        <v>2955</v>
      </c>
      <c r="D794" s="6" t="n">
        <v>6.9</v>
      </c>
      <c r="E794" t="n">
        <v>37529</v>
      </c>
      <c r="F794" s="6" t="n">
        <v>6.9</v>
      </c>
      <c r="G794" t="n">
        <v>1</v>
      </c>
      <c r="H794" s="6">
        <f>ROUND(G794*F794,2)</f>
        <v/>
      </c>
      <c r="I794">
        <f>IF(ROUND(H794-D794,2)=0,1,0)</f>
        <v/>
      </c>
      <c r="J794">
        <f>IF(F794="","none",IF(G794=1,"carte","multiple"))</f>
        <v/>
      </c>
    </row>
    <row r="795">
      <c r="A795" t="inlineStr">
        <is>
          <t>2022-05-07</t>
        </is>
      </c>
      <c r="B795" t="inlineStr">
        <is>
          <t>21:29</t>
        </is>
      </c>
      <c r="C795" t="n">
        <v>2955</v>
      </c>
      <c r="D795" s="6" t="n">
        <v>6.5</v>
      </c>
      <c r="E795" t="n">
        <v>37530</v>
      </c>
      <c r="F795" s="6" t="n">
        <v>6.5</v>
      </c>
      <c r="G795" t="n">
        <v>1</v>
      </c>
      <c r="H795" s="6">
        <f>ROUND(G795*F795,2)</f>
        <v/>
      </c>
      <c r="I795">
        <f>IF(ROUND(H795-D795,2)=0,1,0)</f>
        <v/>
      </c>
      <c r="J795">
        <f>IF(F795="","none",IF(G795=1,"carte","multiple"))</f>
        <v/>
      </c>
    </row>
    <row r="796">
      <c r="A796" t="inlineStr">
        <is>
          <t>2022-05-08</t>
        </is>
      </c>
      <c r="B796" t="inlineStr">
        <is>
          <t>11:55</t>
        </is>
      </c>
      <c r="C796" t="n">
        <v>2956</v>
      </c>
      <c r="D796" s="6" t="n">
        <v>2.2</v>
      </c>
      <c r="E796" t="n">
        <v>37532</v>
      </c>
      <c r="F796" s="6" t="n">
        <v>2.2</v>
      </c>
      <c r="G796" t="n">
        <v>1</v>
      </c>
      <c r="H796" s="6">
        <f>ROUND(G796*F796,2)</f>
        <v/>
      </c>
      <c r="I796">
        <f>IF(ROUND(H796-D796,2)=0,1,0)</f>
        <v/>
      </c>
      <c r="J796">
        <f>IF(F796="","none",IF(G796=1,"carte","multiple"))</f>
        <v/>
      </c>
    </row>
    <row r="797">
      <c r="A797" t="inlineStr">
        <is>
          <t>2022-05-08</t>
        </is>
      </c>
      <c r="B797" t="inlineStr">
        <is>
          <t>11:55</t>
        </is>
      </c>
      <c r="C797" t="n">
        <v>2956</v>
      </c>
      <c r="D797" s="6" t="n">
        <v>7.2</v>
      </c>
      <c r="E797" t="n">
        <v>37533</v>
      </c>
      <c r="F797" s="6" t="n">
        <v>7.2</v>
      </c>
      <c r="G797" t="n">
        <v>1</v>
      </c>
      <c r="H797" s="6">
        <f>ROUND(G797*F797,2)</f>
        <v/>
      </c>
      <c r="I797">
        <f>IF(ROUND(H797-D797,2)=0,1,0)</f>
        <v/>
      </c>
      <c r="J797">
        <f>IF(F797="","none",IF(G797=1,"carte","multiple"))</f>
        <v/>
      </c>
    </row>
    <row r="798">
      <c r="A798" t="inlineStr">
        <is>
          <t>2022-05-08</t>
        </is>
      </c>
      <c r="B798" t="inlineStr">
        <is>
          <t>11:55</t>
        </is>
      </c>
      <c r="C798" t="n">
        <v>2956</v>
      </c>
      <c r="D798" s="6" t="n">
        <v>17.6</v>
      </c>
      <c r="E798" t="n">
        <v>37534</v>
      </c>
      <c r="F798" s="6" t="n">
        <v>17.6</v>
      </c>
      <c r="G798" t="n">
        <v>1</v>
      </c>
      <c r="H798" s="6">
        <f>ROUND(G798*F798,2)</f>
        <v/>
      </c>
      <c r="I798">
        <f>IF(ROUND(H798-D798,2)=0,1,0)</f>
        <v/>
      </c>
      <c r="J798">
        <f>IF(F798="","none",IF(G798=1,"carte","multiple"))</f>
        <v/>
      </c>
    </row>
    <row r="799">
      <c r="A799" t="inlineStr">
        <is>
          <t>2022-05-08</t>
        </is>
      </c>
      <c r="B799" t="inlineStr">
        <is>
          <t>11:55</t>
        </is>
      </c>
      <c r="C799" t="n">
        <v>2956</v>
      </c>
      <c r="D799" s="6" t="n">
        <v>4.9</v>
      </c>
      <c r="E799" t="n">
        <v>37535</v>
      </c>
      <c r="F799" s="6" t="n">
        <v>4.9</v>
      </c>
      <c r="G799" t="n">
        <v>1</v>
      </c>
      <c r="H799" s="6">
        <f>ROUND(G799*F799,2)</f>
        <v/>
      </c>
      <c r="I799">
        <f>IF(ROUND(H799-D799,2)=0,1,0)</f>
        <v/>
      </c>
      <c r="J799">
        <f>IF(F799="","none",IF(G799=1,"carte","multiple"))</f>
        <v/>
      </c>
    </row>
    <row r="800">
      <c r="A800" t="inlineStr">
        <is>
          <t>2022-05-08</t>
        </is>
      </c>
      <c r="B800" t="inlineStr">
        <is>
          <t>12:41</t>
        </is>
      </c>
      <c r="C800" t="n">
        <v>2956</v>
      </c>
      <c r="D800" s="6" t="n">
        <v>4.4</v>
      </c>
      <c r="E800" t="n">
        <v>37536</v>
      </c>
      <c r="F800" s="6" t="n">
        <v>0.4</v>
      </c>
      <c r="G800" t="n">
        <v>11</v>
      </c>
      <c r="H800" s="6">
        <f>ROUND(G800*F800,2)</f>
        <v/>
      </c>
      <c r="I800">
        <f>IF(ROUND(H800-D800,2)=0,1,0)</f>
        <v/>
      </c>
      <c r="J800">
        <f>IF(F800="","none",IF(G800=1,"carte","multiple"))</f>
        <v/>
      </c>
    </row>
    <row r="801">
      <c r="A801" t="inlineStr">
        <is>
          <t>2022-05-08</t>
        </is>
      </c>
      <c r="B801" t="inlineStr">
        <is>
          <t>12:41</t>
        </is>
      </c>
      <c r="C801" t="n">
        <v>2956</v>
      </c>
      <c r="D801" s="6" t="n">
        <v>4.7</v>
      </c>
      <c r="E801" t="n">
        <v>37537</v>
      </c>
      <c r="F801" s="6" t="n">
        <v>4.7</v>
      </c>
      <c r="G801" t="n">
        <v>1</v>
      </c>
      <c r="H801" s="6">
        <f>ROUND(G801*F801,2)</f>
        <v/>
      </c>
      <c r="I801">
        <f>IF(ROUND(H801-D801,2)=0,1,0)</f>
        <v/>
      </c>
      <c r="J801">
        <f>IF(F801="","none",IF(G801=1,"carte","multiple"))</f>
        <v/>
      </c>
    </row>
    <row r="802">
      <c r="A802" t="inlineStr">
        <is>
          <t>2022-05-08</t>
        </is>
      </c>
      <c r="B802" t="inlineStr">
        <is>
          <t>12:41</t>
        </is>
      </c>
      <c r="C802" t="n">
        <v>2956</v>
      </c>
      <c r="D802" s="6" t="n">
        <v>1.2</v>
      </c>
      <c r="E802" t="n">
        <v>37538</v>
      </c>
      <c r="F802" s="6" t="n">
        <v>1.2</v>
      </c>
      <c r="G802" t="n">
        <v>1</v>
      </c>
      <c r="H802" s="6">
        <f>ROUND(G802*F802,2)</f>
        <v/>
      </c>
      <c r="I802">
        <f>IF(ROUND(H802-D802,2)=0,1,0)</f>
        <v/>
      </c>
      <c r="J802">
        <f>IF(F802="","none",IF(G802=1,"carte","multiple"))</f>
        <v/>
      </c>
    </row>
    <row r="803">
      <c r="A803" t="inlineStr">
        <is>
          <t>2022-05-08</t>
        </is>
      </c>
      <c r="B803" t="inlineStr">
        <is>
          <t>12:41</t>
        </is>
      </c>
      <c r="C803" t="n">
        <v>2956</v>
      </c>
      <c r="D803" s="6" t="n">
        <v>2.9</v>
      </c>
      <c r="E803" t="n">
        <v>37539</v>
      </c>
      <c r="F803" s="6" t="n">
        <v>2.9</v>
      </c>
      <c r="G803" t="n">
        <v>1</v>
      </c>
      <c r="H803" s="6">
        <f>ROUND(G803*F803,2)</f>
        <v/>
      </c>
      <c r="I803">
        <f>IF(ROUND(H803-D803,2)=0,1,0)</f>
        <v/>
      </c>
      <c r="J803">
        <f>IF(F803="","none",IF(G803=1,"carte","multiple"))</f>
        <v/>
      </c>
    </row>
    <row r="804">
      <c r="A804" t="inlineStr">
        <is>
          <t>2022-05-08</t>
        </is>
      </c>
      <c r="B804" t="inlineStr">
        <is>
          <t>12:41</t>
        </is>
      </c>
      <c r="C804" t="n">
        <v>2956</v>
      </c>
      <c r="D804" s="6" t="n">
        <v>10.4</v>
      </c>
      <c r="E804" t="n">
        <v>37540</v>
      </c>
      <c r="F804" s="6" t="n">
        <v>0.4</v>
      </c>
      <c r="G804" t="n">
        <v>26</v>
      </c>
      <c r="H804" s="6">
        <f>ROUND(G804*F804,2)</f>
        <v/>
      </c>
      <c r="I804">
        <f>IF(ROUND(H804-D804,2)=0,1,0)</f>
        <v/>
      </c>
      <c r="J804">
        <f>IF(F804="","none",IF(G804=1,"carte","multiple"))</f>
        <v/>
      </c>
    </row>
    <row r="805">
      <c r="A805" t="inlineStr">
        <is>
          <t>2022-05-08</t>
        </is>
      </c>
      <c r="B805" t="inlineStr">
        <is>
          <t>12:41</t>
        </is>
      </c>
      <c r="C805" t="n">
        <v>2956</v>
      </c>
      <c r="D805" s="6" t="n">
        <v>7.2</v>
      </c>
      <c r="E805" t="n">
        <v>37541</v>
      </c>
      <c r="F805" s="6" t="n">
        <v>7.2</v>
      </c>
      <c r="G805" t="n">
        <v>1</v>
      </c>
      <c r="H805" s="6">
        <f>ROUND(G805*F805,2)</f>
        <v/>
      </c>
      <c r="I805">
        <f>IF(ROUND(H805-D805,2)=0,1,0)</f>
        <v/>
      </c>
      <c r="J805">
        <f>IF(F805="","none",IF(G805=1,"carte","multiple"))</f>
        <v/>
      </c>
    </row>
    <row r="806">
      <c r="A806" t="inlineStr">
        <is>
          <t>2022-05-08</t>
        </is>
      </c>
      <c r="B806" t="inlineStr">
        <is>
          <t>12:41</t>
        </is>
      </c>
      <c r="C806" t="n">
        <v>2956</v>
      </c>
      <c r="D806" s="6" t="n">
        <v>7.2</v>
      </c>
      <c r="E806" t="n">
        <v>37542</v>
      </c>
      <c r="F806" s="6" t="n">
        <v>7.2</v>
      </c>
      <c r="G806" t="n">
        <v>1</v>
      </c>
      <c r="H806" s="6">
        <f>ROUND(G806*F806,2)</f>
        <v/>
      </c>
      <c r="I806">
        <f>IF(ROUND(H806-D806,2)=0,1,0)</f>
        <v/>
      </c>
      <c r="J806">
        <f>IF(F806="","none",IF(G806=1,"carte","multiple"))</f>
        <v/>
      </c>
    </row>
    <row r="807">
      <c r="A807" t="inlineStr">
        <is>
          <t>2022-05-08</t>
        </is>
      </c>
      <c r="B807" t="inlineStr">
        <is>
          <t>12:41</t>
        </is>
      </c>
      <c r="C807" t="n">
        <v>2956</v>
      </c>
      <c r="D807" s="6" t="n">
        <v>35.2</v>
      </c>
      <c r="E807" t="n">
        <v>37543</v>
      </c>
      <c r="F807" s="6" t="n">
        <v>0.4</v>
      </c>
      <c r="G807" t="n">
        <v>88</v>
      </c>
      <c r="H807" s="6">
        <f>ROUND(G807*F807,2)</f>
        <v/>
      </c>
      <c r="I807">
        <f>IF(ROUND(H807-D807,2)=0,1,0)</f>
        <v/>
      </c>
      <c r="J807">
        <f>IF(F807="","none",IF(G807=1,"carte","multiple"))</f>
        <v/>
      </c>
    </row>
    <row r="808">
      <c r="A808" t="inlineStr">
        <is>
          <t>2022-05-08</t>
        </is>
      </c>
      <c r="B808" t="inlineStr">
        <is>
          <t>13:11</t>
        </is>
      </c>
      <c r="C808" t="n">
        <v>2956</v>
      </c>
      <c r="D808" s="6" t="n">
        <v>10.4</v>
      </c>
      <c r="E808" t="n">
        <v>37544</v>
      </c>
      <c r="F808" s="6" t="n">
        <v>0.4</v>
      </c>
      <c r="G808" t="n">
        <v>26</v>
      </c>
      <c r="H808" s="6">
        <f>ROUND(G808*F808,2)</f>
        <v/>
      </c>
      <c r="I808">
        <f>IF(ROUND(H808-D808,2)=0,1,0)</f>
        <v/>
      </c>
      <c r="J808">
        <f>IF(F808="","none",IF(G808=1,"carte","multiple"))</f>
        <v/>
      </c>
    </row>
    <row r="809">
      <c r="A809" t="inlineStr">
        <is>
          <t>2022-05-08</t>
        </is>
      </c>
      <c r="B809" t="inlineStr">
        <is>
          <t>13:11</t>
        </is>
      </c>
      <c r="C809" t="n">
        <v>2956</v>
      </c>
      <c r="D809" s="6" t="n">
        <v>24</v>
      </c>
      <c r="E809" t="n">
        <v>37545</v>
      </c>
      <c r="F809" s="6" t="n">
        <v>24</v>
      </c>
      <c r="G809" t="n">
        <v>1</v>
      </c>
      <c r="H809" s="6">
        <f>ROUND(G809*F809,2)</f>
        <v/>
      </c>
      <c r="I809">
        <f>IF(ROUND(H809-D809,2)=0,1,0)</f>
        <v/>
      </c>
      <c r="J809">
        <f>IF(F809="","none",IF(G809=1,"carte","multiple"))</f>
        <v/>
      </c>
    </row>
    <row r="810">
      <c r="A810" t="inlineStr">
        <is>
          <t>2022-05-08</t>
        </is>
      </c>
      <c r="B810" t="inlineStr">
        <is>
          <t>13:11</t>
        </is>
      </c>
      <c r="C810" t="n">
        <v>2956</v>
      </c>
      <c r="D810" s="6" t="n">
        <v>5.2</v>
      </c>
      <c r="E810" t="n">
        <v>37546</v>
      </c>
      <c r="F810" s="6" t="n">
        <v>5.2</v>
      </c>
      <c r="G810" t="n">
        <v>1</v>
      </c>
      <c r="H810" s="6">
        <f>ROUND(G810*F810,2)</f>
        <v/>
      </c>
      <c r="I810">
        <f>IF(ROUND(H810-D810,2)=0,1,0)</f>
        <v/>
      </c>
      <c r="J810">
        <f>IF(F810="","none",IF(G810=1,"carte","multiple"))</f>
        <v/>
      </c>
    </row>
    <row r="811">
      <c r="A811" t="inlineStr">
        <is>
          <t>2022-05-08</t>
        </is>
      </c>
      <c r="B811" t="inlineStr">
        <is>
          <t>13:11</t>
        </is>
      </c>
      <c r="C811" t="n">
        <v>2956</v>
      </c>
      <c r="D811" s="6" t="n">
        <v>4.9</v>
      </c>
      <c r="E811" t="n">
        <v>37547</v>
      </c>
      <c r="F811" s="6" t="n">
        <v>4.9</v>
      </c>
      <c r="G811" t="n">
        <v>1</v>
      </c>
      <c r="H811" s="6">
        <f>ROUND(G811*F811,2)</f>
        <v/>
      </c>
      <c r="I811">
        <f>IF(ROUND(H811-D811,2)=0,1,0)</f>
        <v/>
      </c>
      <c r="J811">
        <f>IF(F811="","none",IF(G811=1,"carte","multiple"))</f>
        <v/>
      </c>
    </row>
    <row r="812">
      <c r="A812" t="inlineStr">
        <is>
          <t>2022-05-08</t>
        </is>
      </c>
      <c r="B812" t="inlineStr">
        <is>
          <t>13:11</t>
        </is>
      </c>
      <c r="C812" t="n">
        <v>2956</v>
      </c>
      <c r="D812" s="6" t="n">
        <v>38</v>
      </c>
      <c r="E812" t="n">
        <v>37548</v>
      </c>
      <c r="F812" s="6" t="n">
        <v>0.4</v>
      </c>
      <c r="G812" t="n">
        <v>95</v>
      </c>
      <c r="H812" s="6">
        <f>ROUND(G812*F812,2)</f>
        <v/>
      </c>
      <c r="I812">
        <f>IF(ROUND(H812-D812,2)=0,1,0)</f>
        <v/>
      </c>
      <c r="J812">
        <f>IF(F812="","none",IF(G812=1,"carte","multiple"))</f>
        <v/>
      </c>
    </row>
    <row r="813">
      <c r="A813" t="inlineStr">
        <is>
          <t>2022-05-08</t>
        </is>
      </c>
      <c r="B813" t="inlineStr">
        <is>
          <t>13:11</t>
        </is>
      </c>
      <c r="C813" t="n">
        <v>2956</v>
      </c>
      <c r="D813" s="6" t="n">
        <v>17.6</v>
      </c>
      <c r="E813" t="n">
        <v>37549</v>
      </c>
      <c r="F813" s="6" t="n">
        <v>17.6</v>
      </c>
      <c r="G813" t="n">
        <v>1</v>
      </c>
      <c r="H813" s="6">
        <f>ROUND(G813*F813,2)</f>
        <v/>
      </c>
      <c r="I813">
        <f>IF(ROUND(H813-D813,2)=0,1,0)</f>
        <v/>
      </c>
      <c r="J813">
        <f>IF(F813="","none",IF(G813=1,"carte","multiple"))</f>
        <v/>
      </c>
    </row>
    <row r="814">
      <c r="A814" t="inlineStr">
        <is>
          <t>2022-05-08</t>
        </is>
      </c>
      <c r="B814" t="inlineStr">
        <is>
          <t>13:11</t>
        </is>
      </c>
      <c r="C814" t="n">
        <v>2956</v>
      </c>
      <c r="D814" s="6" t="n">
        <v>15.9</v>
      </c>
      <c r="E814" t="n">
        <v>37550</v>
      </c>
      <c r="F814" s="6" t="n">
        <v>15.9</v>
      </c>
      <c r="G814" t="n">
        <v>1</v>
      </c>
      <c r="H814" s="6">
        <f>ROUND(G814*F814,2)</f>
        <v/>
      </c>
      <c r="I814">
        <f>IF(ROUND(H814-D814,2)=0,1,0)</f>
        <v/>
      </c>
      <c r="J814">
        <f>IF(F814="","none",IF(G814=1,"carte","multiple"))</f>
        <v/>
      </c>
    </row>
    <row r="815">
      <c r="A815" t="inlineStr">
        <is>
          <t>2022-05-08</t>
        </is>
      </c>
      <c r="B815" t="inlineStr">
        <is>
          <t>13:11</t>
        </is>
      </c>
      <c r="C815" t="n">
        <v>2956</v>
      </c>
      <c r="D815" s="6" t="n">
        <v>3.9</v>
      </c>
      <c r="E815" t="n">
        <v>37551</v>
      </c>
      <c r="F815" s="6" t="n">
        <v>3.9</v>
      </c>
      <c r="G815" t="n">
        <v>1</v>
      </c>
      <c r="H815" s="6">
        <f>ROUND(G815*F815,2)</f>
        <v/>
      </c>
      <c r="I815">
        <f>IF(ROUND(H815-D815,2)=0,1,0)</f>
        <v/>
      </c>
      <c r="J815">
        <f>IF(F815="","none",IF(G815=1,"carte","multiple"))</f>
        <v/>
      </c>
    </row>
    <row r="816">
      <c r="A816" t="inlineStr">
        <is>
          <t>2022-05-08</t>
        </is>
      </c>
      <c r="B816" t="inlineStr">
        <is>
          <t>13:11</t>
        </is>
      </c>
      <c r="C816" t="n">
        <v>2956</v>
      </c>
      <c r="D816" s="6" t="n">
        <v>6.9</v>
      </c>
      <c r="E816" t="n">
        <v>37552</v>
      </c>
      <c r="F816" s="6" t="n">
        <v>6.9</v>
      </c>
      <c r="G816" t="n">
        <v>1</v>
      </c>
      <c r="H816" s="6">
        <f>ROUND(G816*F816,2)</f>
        <v/>
      </c>
      <c r="I816">
        <f>IF(ROUND(H816-D816,2)=0,1,0)</f>
        <v/>
      </c>
      <c r="J816">
        <f>IF(F816="","none",IF(G816=1,"carte","multiple"))</f>
        <v/>
      </c>
    </row>
    <row r="817">
      <c r="A817" t="inlineStr">
        <is>
          <t>2022-05-08</t>
        </is>
      </c>
      <c r="B817" t="inlineStr">
        <is>
          <t>13:11</t>
        </is>
      </c>
      <c r="C817" t="n">
        <v>2956</v>
      </c>
      <c r="D817" s="6" t="n">
        <v>4.7</v>
      </c>
      <c r="E817" t="n">
        <v>37553</v>
      </c>
      <c r="F817" s="6" t="n">
        <v>4.7</v>
      </c>
      <c r="G817" t="n">
        <v>1</v>
      </c>
      <c r="H817" s="6">
        <f>ROUND(G817*F817,2)</f>
        <v/>
      </c>
      <c r="I817">
        <f>IF(ROUND(H817-D817,2)=0,1,0)</f>
        <v/>
      </c>
      <c r="J817">
        <f>IF(F817="","none",IF(G817=1,"carte","multiple"))</f>
        <v/>
      </c>
    </row>
    <row r="818">
      <c r="A818" t="inlineStr">
        <is>
          <t>2022-05-08</t>
        </is>
      </c>
      <c r="B818" t="inlineStr">
        <is>
          <t>13:11</t>
        </is>
      </c>
      <c r="C818" t="n">
        <v>2956</v>
      </c>
      <c r="D818" s="6" t="n">
        <v>4.4</v>
      </c>
      <c r="E818" t="n">
        <v>37554</v>
      </c>
      <c r="F818" s="6" t="n">
        <v>0.4</v>
      </c>
      <c r="G818" t="n">
        <v>11</v>
      </c>
      <c r="H818" s="6">
        <f>ROUND(G818*F818,2)</f>
        <v/>
      </c>
      <c r="I818">
        <f>IF(ROUND(H818-D818,2)=0,1,0)</f>
        <v/>
      </c>
      <c r="J818">
        <f>IF(F818="","none",IF(G818=1,"carte","multiple"))</f>
        <v/>
      </c>
    </row>
    <row r="819">
      <c r="A819" t="inlineStr">
        <is>
          <t>2022-05-08</t>
        </is>
      </c>
      <c r="B819" t="inlineStr">
        <is>
          <t>18:21</t>
        </is>
      </c>
      <c r="C819" t="n">
        <v>2956</v>
      </c>
      <c r="D819" s="6" t="n">
        <v>36</v>
      </c>
      <c r="E819" t="n">
        <v>37556</v>
      </c>
      <c r="F819" s="6" t="n">
        <v>36</v>
      </c>
      <c r="G819" t="n">
        <v>1</v>
      </c>
      <c r="H819" s="6">
        <f>ROUND(G819*F819,2)</f>
        <v/>
      </c>
      <c r="I819">
        <f>IF(ROUND(H819-D819,2)=0,1,0)</f>
        <v/>
      </c>
      <c r="J819">
        <f>IF(F819="","none",IF(G819=1,"carte","multiple"))</f>
        <v/>
      </c>
    </row>
    <row r="820">
      <c r="A820" t="inlineStr">
        <is>
          <t>2022-05-08</t>
        </is>
      </c>
      <c r="B820" t="inlineStr">
        <is>
          <t>18:26</t>
        </is>
      </c>
      <c r="C820" t="n">
        <v>2956</v>
      </c>
      <c r="D820" s="6" t="n">
        <v>4.4</v>
      </c>
      <c r="E820" t="n">
        <v>37557</v>
      </c>
      <c r="F820" s="6" t="n">
        <v>0.4</v>
      </c>
      <c r="G820" t="n">
        <v>11</v>
      </c>
      <c r="H820" s="6">
        <f>ROUND(G820*F820,2)</f>
        <v/>
      </c>
      <c r="I820">
        <f>IF(ROUND(H820-D820,2)=0,1,0)</f>
        <v/>
      </c>
      <c r="J820">
        <f>IF(F820="","none",IF(G820=1,"carte","multiple"))</f>
        <v/>
      </c>
    </row>
    <row r="821">
      <c r="A821" t="inlineStr">
        <is>
          <t>2022-05-08</t>
        </is>
      </c>
      <c r="B821" t="inlineStr">
        <is>
          <t>18:26</t>
        </is>
      </c>
      <c r="C821" t="n">
        <v>2956</v>
      </c>
      <c r="D821" s="6" t="n">
        <v>7.9</v>
      </c>
      <c r="E821" t="n">
        <v>37558</v>
      </c>
      <c r="F821" s="6" t="n">
        <v>7.9</v>
      </c>
      <c r="G821" t="n">
        <v>1</v>
      </c>
      <c r="H821" s="6">
        <f>ROUND(G821*F821,2)</f>
        <v/>
      </c>
      <c r="I821">
        <f>IF(ROUND(H821-D821,2)=0,1,0)</f>
        <v/>
      </c>
      <c r="J821">
        <f>IF(F821="","none",IF(G821=1,"carte","multiple"))</f>
        <v/>
      </c>
    </row>
    <row r="822">
      <c r="A822" t="inlineStr">
        <is>
          <t>2022-05-08</t>
        </is>
      </c>
      <c r="B822" t="inlineStr">
        <is>
          <t>18:26</t>
        </is>
      </c>
      <c r="C822" t="n">
        <v>2956</v>
      </c>
      <c r="D822" s="6" t="n">
        <v>39.8</v>
      </c>
      <c r="E822" t="n">
        <v>37559</v>
      </c>
      <c r="F822" s="6" t="n">
        <v>39.8</v>
      </c>
      <c r="G822" t="n">
        <v>1</v>
      </c>
      <c r="H822" s="6">
        <f>ROUND(G822*F822,2)</f>
        <v/>
      </c>
      <c r="I822">
        <f>IF(ROUND(H822-D822,2)=0,1,0)</f>
        <v/>
      </c>
      <c r="J822">
        <f>IF(F822="","none",IF(G822=1,"carte","multiple"))</f>
        <v/>
      </c>
    </row>
    <row r="823">
      <c r="A823" t="inlineStr">
        <is>
          <t>2022-05-08</t>
        </is>
      </c>
      <c r="B823" t="inlineStr">
        <is>
          <t>19:25</t>
        </is>
      </c>
      <c r="C823" t="n">
        <v>2956</v>
      </c>
      <c r="D823" s="6" t="n">
        <v>4.7</v>
      </c>
      <c r="E823" t="n">
        <v>37560</v>
      </c>
      <c r="F823" s="6" t="n">
        <v>4.7</v>
      </c>
      <c r="G823" t="n">
        <v>1</v>
      </c>
      <c r="H823" s="6">
        <f>ROUND(G823*F823,2)</f>
        <v/>
      </c>
      <c r="I823">
        <f>IF(ROUND(H823-D823,2)=0,1,0)</f>
        <v/>
      </c>
      <c r="J823">
        <f>IF(F823="","none",IF(G823=1,"carte","multiple"))</f>
        <v/>
      </c>
    </row>
    <row r="824">
      <c r="A824" t="inlineStr">
        <is>
          <t>2022-05-11</t>
        </is>
      </c>
      <c r="B824" t="inlineStr">
        <is>
          <t>11:49</t>
        </is>
      </c>
      <c r="C824" t="n">
        <v>2957</v>
      </c>
      <c r="D824" s="6" t="n">
        <v>6.9</v>
      </c>
      <c r="E824" t="n">
        <v>37564</v>
      </c>
      <c r="F824" s="6" t="n">
        <v>6.9</v>
      </c>
      <c r="G824" t="n">
        <v>1</v>
      </c>
      <c r="H824" s="6">
        <f>ROUND(G824*F824,2)</f>
        <v/>
      </c>
      <c r="I824">
        <f>IF(ROUND(H824-D824,2)=0,1,0)</f>
        <v/>
      </c>
      <c r="J824">
        <f>IF(F824="","none",IF(G824=1,"carte","multiple"))</f>
        <v/>
      </c>
    </row>
    <row r="825">
      <c r="A825" t="inlineStr">
        <is>
          <t>2022-05-11</t>
        </is>
      </c>
      <c r="B825" t="inlineStr">
        <is>
          <t>12:08</t>
        </is>
      </c>
      <c r="C825" t="n">
        <v>2957</v>
      </c>
      <c r="D825" s="6" t="n">
        <v>2</v>
      </c>
      <c r="E825" t="n">
        <v>37565</v>
      </c>
      <c r="F825" s="6" t="n">
        <v>2</v>
      </c>
      <c r="G825" t="n">
        <v>1</v>
      </c>
      <c r="H825" s="6">
        <f>ROUND(G825*F825,2)</f>
        <v/>
      </c>
      <c r="I825">
        <f>IF(ROUND(H825-D825,2)=0,1,0)</f>
        <v/>
      </c>
      <c r="J825">
        <f>IF(F825="","none",IF(G825=1,"carte","multiple"))</f>
        <v/>
      </c>
    </row>
    <row r="826">
      <c r="A826" t="inlineStr">
        <is>
          <t>2022-05-11</t>
        </is>
      </c>
      <c r="B826" t="inlineStr">
        <is>
          <t>12:30</t>
        </is>
      </c>
      <c r="C826" t="n">
        <v>2957</v>
      </c>
      <c r="D826" s="6" t="n">
        <v>3.6</v>
      </c>
      <c r="E826" t="n">
        <v>37566</v>
      </c>
      <c r="F826" s="6" t="n">
        <v>3.6</v>
      </c>
      <c r="G826" t="n">
        <v>1</v>
      </c>
      <c r="H826" s="6">
        <f>ROUND(G826*F826,2)</f>
        <v/>
      </c>
      <c r="I826">
        <f>IF(ROUND(H826-D826,2)=0,1,0)</f>
        <v/>
      </c>
      <c r="J826">
        <f>IF(F826="","none",IF(G826=1,"carte","multiple"))</f>
        <v/>
      </c>
    </row>
    <row r="827">
      <c r="A827" t="inlineStr">
        <is>
          <t>2022-05-11</t>
        </is>
      </c>
      <c r="B827" t="inlineStr">
        <is>
          <t>12:30</t>
        </is>
      </c>
      <c r="C827" t="n">
        <v>2957</v>
      </c>
      <c r="D827" s="6" t="n">
        <v>15.6</v>
      </c>
      <c r="E827" t="n">
        <v>37567</v>
      </c>
      <c r="F827" s="6" t="n">
        <v>15.6</v>
      </c>
      <c r="G827" t="n">
        <v>1</v>
      </c>
      <c r="H827" s="6">
        <f>ROUND(G827*F827,2)</f>
        <v/>
      </c>
      <c r="I827">
        <f>IF(ROUND(H827-D827,2)=0,1,0)</f>
        <v/>
      </c>
      <c r="J827">
        <f>IF(F827="","none",IF(G827=1,"carte","multiple"))</f>
        <v/>
      </c>
    </row>
    <row r="828">
      <c r="A828" t="inlineStr">
        <is>
          <t>2022-05-11</t>
        </is>
      </c>
      <c r="B828" t="inlineStr">
        <is>
          <t>12:30</t>
        </is>
      </c>
      <c r="C828" t="n">
        <v>2957</v>
      </c>
      <c r="D828" s="6" t="n">
        <v>14.5</v>
      </c>
      <c r="E828" t="n">
        <v>37568</v>
      </c>
      <c r="F828" s="6" t="n">
        <v>14.5</v>
      </c>
      <c r="G828" t="n">
        <v>1</v>
      </c>
      <c r="H828" s="6">
        <f>ROUND(G828*F828,2)</f>
        <v/>
      </c>
      <c r="I828">
        <f>IF(ROUND(H828-D828,2)=0,1,0)</f>
        <v/>
      </c>
      <c r="J828">
        <f>IF(F828="","none",IF(G828=1,"carte","multiple"))</f>
        <v/>
      </c>
    </row>
    <row r="829">
      <c r="A829" t="inlineStr">
        <is>
          <t>2022-05-11</t>
        </is>
      </c>
      <c r="B829" t="inlineStr">
        <is>
          <t>12:59</t>
        </is>
      </c>
      <c r="C829" t="n">
        <v>2957</v>
      </c>
      <c r="D829" s="6" t="n">
        <v>2.2</v>
      </c>
      <c r="E829" t="n">
        <v>37569</v>
      </c>
      <c r="F829" s="6" t="n">
        <v>2.2</v>
      </c>
      <c r="G829" t="n">
        <v>1</v>
      </c>
      <c r="H829" s="6">
        <f>ROUND(G829*F829,2)</f>
        <v/>
      </c>
      <c r="I829">
        <f>IF(ROUND(H829-D829,2)=0,1,0)</f>
        <v/>
      </c>
      <c r="J829">
        <f>IF(F829="","none",IF(G829=1,"carte","multiple"))</f>
        <v/>
      </c>
    </row>
    <row r="830">
      <c r="A830" t="inlineStr">
        <is>
          <t>2022-05-11</t>
        </is>
      </c>
      <c r="B830" t="inlineStr">
        <is>
          <t>12:59</t>
        </is>
      </c>
      <c r="C830" t="n">
        <v>2957</v>
      </c>
      <c r="D830" s="6" t="n">
        <v>3.9</v>
      </c>
      <c r="E830" t="n">
        <v>37570</v>
      </c>
      <c r="F830" s="6" t="n">
        <v>3.9</v>
      </c>
      <c r="G830" t="n">
        <v>1</v>
      </c>
      <c r="H830" s="6">
        <f>ROUND(G830*F830,2)</f>
        <v/>
      </c>
      <c r="I830">
        <f>IF(ROUND(H830-D830,2)=0,1,0)</f>
        <v/>
      </c>
      <c r="J830">
        <f>IF(F830="","none",IF(G830=1,"carte","multiple"))</f>
        <v/>
      </c>
    </row>
    <row r="831">
      <c r="A831" t="inlineStr">
        <is>
          <t>2022-05-11</t>
        </is>
      </c>
      <c r="B831" t="inlineStr">
        <is>
          <t>12:59</t>
        </is>
      </c>
      <c r="C831" t="n">
        <v>2957</v>
      </c>
      <c r="D831" s="6" t="n">
        <v>5.9</v>
      </c>
      <c r="E831" t="n">
        <v>37571</v>
      </c>
      <c r="F831" s="6" t="n">
        <v>5.9</v>
      </c>
      <c r="G831" t="n">
        <v>1</v>
      </c>
      <c r="H831" s="6">
        <f>ROUND(G831*F831,2)</f>
        <v/>
      </c>
      <c r="I831">
        <f>IF(ROUND(H831-D831,2)=0,1,0)</f>
        <v/>
      </c>
      <c r="J831">
        <f>IF(F831="","none",IF(G831=1,"carte","multiple"))</f>
        <v/>
      </c>
    </row>
    <row r="832">
      <c r="A832" t="inlineStr">
        <is>
          <t>2022-05-11</t>
        </is>
      </c>
      <c r="B832" t="inlineStr">
        <is>
          <t>12:59</t>
        </is>
      </c>
      <c r="C832" t="n">
        <v>2957</v>
      </c>
      <c r="D832" s="6" t="n">
        <v>3.9</v>
      </c>
      <c r="E832" t="n">
        <v>37572</v>
      </c>
      <c r="F832" s="6" t="n">
        <v>3.9</v>
      </c>
      <c r="G832" t="n">
        <v>1</v>
      </c>
      <c r="H832" s="6">
        <f>ROUND(G832*F832,2)</f>
        <v/>
      </c>
      <c r="I832">
        <f>IF(ROUND(H832-D832,2)=0,1,0)</f>
        <v/>
      </c>
      <c r="J832">
        <f>IF(F832="","none",IF(G832=1,"carte","multiple"))</f>
        <v/>
      </c>
    </row>
    <row r="833">
      <c r="A833" t="inlineStr">
        <is>
          <t>2022-05-11</t>
        </is>
      </c>
      <c r="B833" t="inlineStr">
        <is>
          <t>12:59</t>
        </is>
      </c>
      <c r="C833" t="n">
        <v>2957</v>
      </c>
      <c r="D833" s="6" t="n">
        <v>39.8</v>
      </c>
      <c r="E833" t="n">
        <v>37573</v>
      </c>
      <c r="F833" s="6" t="n">
        <v>39.8</v>
      </c>
      <c r="G833" t="n">
        <v>1</v>
      </c>
      <c r="H833" s="6">
        <f>ROUND(G833*F833,2)</f>
        <v/>
      </c>
      <c r="I833">
        <f>IF(ROUND(H833-D833,2)=0,1,0)</f>
        <v/>
      </c>
      <c r="J833">
        <f>IF(F833="","none",IF(G833=1,"carte","multiple"))</f>
        <v/>
      </c>
    </row>
    <row r="834">
      <c r="A834" t="inlineStr">
        <is>
          <t>2022-05-11</t>
        </is>
      </c>
      <c r="B834" t="inlineStr">
        <is>
          <t>17:44</t>
        </is>
      </c>
      <c r="C834" t="n">
        <v>2957</v>
      </c>
      <c r="D834" s="6" t="n">
        <v>19</v>
      </c>
      <c r="E834" t="n">
        <v>37576</v>
      </c>
      <c r="F834" s="6" t="n">
        <v>19</v>
      </c>
      <c r="G834" t="n">
        <v>1</v>
      </c>
      <c r="H834" s="6">
        <f>ROUND(G834*F834,2)</f>
        <v/>
      </c>
      <c r="I834">
        <f>IF(ROUND(H834-D834,2)=0,1,0)</f>
        <v/>
      </c>
      <c r="J834">
        <f>IF(F834="","none",IF(G834=1,"carte","multiple"))</f>
        <v/>
      </c>
    </row>
    <row r="835">
      <c r="A835" t="inlineStr">
        <is>
          <t>2022-05-11</t>
        </is>
      </c>
      <c r="B835" t="inlineStr">
        <is>
          <t>18:31</t>
        </is>
      </c>
      <c r="C835" t="n">
        <v>2957</v>
      </c>
      <c r="D835" s="6" t="n">
        <v>4.7</v>
      </c>
      <c r="E835" t="n">
        <v>37577</v>
      </c>
      <c r="F835" s="6" t="n">
        <v>4.7</v>
      </c>
      <c r="G835" t="n">
        <v>1</v>
      </c>
      <c r="H835" s="6">
        <f>ROUND(G835*F835,2)</f>
        <v/>
      </c>
      <c r="I835">
        <f>IF(ROUND(H835-D835,2)=0,1,0)</f>
        <v/>
      </c>
      <c r="J835">
        <f>IF(F835="","none",IF(G835=1,"carte","multiple"))</f>
        <v/>
      </c>
    </row>
    <row r="836">
      <c r="A836" t="inlineStr">
        <is>
          <t>2022-05-11</t>
        </is>
      </c>
      <c r="B836" t="inlineStr">
        <is>
          <t>18:31</t>
        </is>
      </c>
      <c r="C836" t="n">
        <v>2957</v>
      </c>
      <c r="D836" s="6" t="n">
        <v>3.9</v>
      </c>
      <c r="E836" t="n">
        <v>37578</v>
      </c>
      <c r="F836" s="6" t="n">
        <v>3.9</v>
      </c>
      <c r="G836" t="n">
        <v>1</v>
      </c>
      <c r="H836" s="6">
        <f>ROUND(G836*F836,2)</f>
        <v/>
      </c>
      <c r="I836">
        <f>IF(ROUND(H836-D836,2)=0,1,0)</f>
        <v/>
      </c>
      <c r="J836">
        <f>IF(F836="","none",IF(G836=1,"carte","multiple"))</f>
        <v/>
      </c>
    </row>
    <row r="837">
      <c r="A837" t="inlineStr">
        <is>
          <t>2022-05-11</t>
        </is>
      </c>
      <c r="B837" t="inlineStr">
        <is>
          <t>18:31</t>
        </is>
      </c>
      <c r="C837" t="n">
        <v>2957</v>
      </c>
      <c r="D837" s="6" t="n">
        <v>2.9</v>
      </c>
      <c r="E837" t="n">
        <v>37579</v>
      </c>
      <c r="F837" s="6" t="n">
        <v>2.9</v>
      </c>
      <c r="G837" t="n">
        <v>1</v>
      </c>
      <c r="H837" s="6">
        <f>ROUND(G837*F837,2)</f>
        <v/>
      </c>
      <c r="I837">
        <f>IF(ROUND(H837-D837,2)=0,1,0)</f>
        <v/>
      </c>
      <c r="J837">
        <f>IF(F837="","none",IF(G837=1,"carte","multiple"))</f>
        <v/>
      </c>
    </row>
    <row r="838">
      <c r="A838" t="inlineStr">
        <is>
          <t>2022-05-11</t>
        </is>
      </c>
      <c r="B838" t="inlineStr">
        <is>
          <t>18:31</t>
        </is>
      </c>
      <c r="C838" t="n">
        <v>2957</v>
      </c>
      <c r="D838" s="6" t="n">
        <v>13</v>
      </c>
      <c r="E838" t="n">
        <v>37580</v>
      </c>
      <c r="F838" s="6" t="n">
        <v>13</v>
      </c>
      <c r="G838" t="n">
        <v>1</v>
      </c>
      <c r="H838" s="6">
        <f>ROUND(G838*F838,2)</f>
        <v/>
      </c>
      <c r="I838">
        <f>IF(ROUND(H838-D838,2)=0,1,0)</f>
        <v/>
      </c>
      <c r="J838">
        <f>IF(F838="","none",IF(G838=1,"carte","multiple"))</f>
        <v/>
      </c>
    </row>
    <row r="839">
      <c r="A839" t="inlineStr">
        <is>
          <t>2022-05-11</t>
        </is>
      </c>
      <c r="B839" t="inlineStr">
        <is>
          <t>19:12</t>
        </is>
      </c>
      <c r="C839" t="n">
        <v>2957</v>
      </c>
      <c r="D839" s="6" t="n">
        <v>17.6</v>
      </c>
      <c r="E839" t="n">
        <v>37581</v>
      </c>
      <c r="F839" s="6" t="n">
        <v>17.6</v>
      </c>
      <c r="G839" t="n">
        <v>1</v>
      </c>
      <c r="H839" s="6">
        <f>ROUND(G839*F839,2)</f>
        <v/>
      </c>
      <c r="I839">
        <f>IF(ROUND(H839-D839,2)=0,1,0)</f>
        <v/>
      </c>
      <c r="J839">
        <f>IF(F839="","none",IF(G839=1,"carte","multiple"))</f>
        <v/>
      </c>
    </row>
    <row r="840">
      <c r="A840" t="inlineStr">
        <is>
          <t>2022-05-11</t>
        </is>
      </c>
      <c r="B840" t="inlineStr">
        <is>
          <t>19:12</t>
        </is>
      </c>
      <c r="C840" t="n">
        <v>2957</v>
      </c>
      <c r="D840" s="6" t="n">
        <v>17.6</v>
      </c>
      <c r="E840" t="n">
        <v>37582</v>
      </c>
      <c r="F840" s="6" t="n">
        <v>17.6</v>
      </c>
      <c r="G840" t="n">
        <v>1</v>
      </c>
      <c r="H840" s="6">
        <f>ROUND(G840*F840,2)</f>
        <v/>
      </c>
      <c r="I840">
        <f>IF(ROUND(H840-D840,2)=0,1,0)</f>
        <v/>
      </c>
      <c r="J840">
        <f>IF(F840="","none",IF(G840=1,"carte","multiple"))</f>
        <v/>
      </c>
    </row>
    <row r="841">
      <c r="A841" t="inlineStr">
        <is>
          <t>2022-05-11</t>
        </is>
      </c>
      <c r="B841" t="inlineStr">
        <is>
          <t>19:12</t>
        </is>
      </c>
      <c r="C841" t="n">
        <v>2957</v>
      </c>
      <c r="D841" s="6" t="n">
        <v>5.9</v>
      </c>
      <c r="E841" t="n">
        <v>37583</v>
      </c>
      <c r="F841" s="6" t="n">
        <v>5.9</v>
      </c>
      <c r="G841" t="n">
        <v>1</v>
      </c>
      <c r="H841" s="6">
        <f>ROUND(G841*F841,2)</f>
        <v/>
      </c>
      <c r="I841">
        <f>IF(ROUND(H841-D841,2)=0,1,0)</f>
        <v/>
      </c>
      <c r="J841">
        <f>IF(F841="","none",IF(G841=1,"carte","multiple"))</f>
        <v/>
      </c>
    </row>
    <row r="842">
      <c r="A842" t="inlineStr">
        <is>
          <t>2022-05-11</t>
        </is>
      </c>
      <c r="B842" t="inlineStr">
        <is>
          <t>19:48</t>
        </is>
      </c>
      <c r="C842" t="n">
        <v>2957</v>
      </c>
      <c r="D842" s="6" t="n">
        <v>2.2</v>
      </c>
      <c r="E842" t="n">
        <v>37584</v>
      </c>
      <c r="F842" s="6" t="n">
        <v>2.2</v>
      </c>
      <c r="G842" t="n">
        <v>1</v>
      </c>
      <c r="H842" s="6">
        <f>ROUND(G842*F842,2)</f>
        <v/>
      </c>
      <c r="I842">
        <f>IF(ROUND(H842-D842,2)=0,1,0)</f>
        <v/>
      </c>
      <c r="J842">
        <f>IF(F842="","none",IF(G842=1,"carte","multiple"))</f>
        <v/>
      </c>
    </row>
    <row r="843">
      <c r="A843" t="inlineStr">
        <is>
          <t>2022-05-11</t>
        </is>
      </c>
      <c r="B843" t="inlineStr">
        <is>
          <t>19:48</t>
        </is>
      </c>
      <c r="C843" t="n">
        <v>2957</v>
      </c>
      <c r="D843" s="6" t="n">
        <v>14.4</v>
      </c>
      <c r="E843" t="n">
        <v>37585</v>
      </c>
      <c r="F843" s="6" t="n">
        <v>0.4</v>
      </c>
      <c r="G843" t="n">
        <v>36</v>
      </c>
      <c r="H843" s="6">
        <f>ROUND(G843*F843,2)</f>
        <v/>
      </c>
      <c r="I843">
        <f>IF(ROUND(H843-D843,2)=0,1,0)</f>
        <v/>
      </c>
      <c r="J843">
        <f>IF(F843="","none",IF(G843=1,"carte","multiple"))</f>
        <v/>
      </c>
    </row>
    <row r="844">
      <c r="A844" t="inlineStr">
        <is>
          <t>2022-05-11</t>
        </is>
      </c>
      <c r="B844" t="inlineStr">
        <is>
          <t>19:48</t>
        </is>
      </c>
      <c r="C844" t="n">
        <v>2957</v>
      </c>
      <c r="D844" s="6" t="n">
        <v>64</v>
      </c>
      <c r="E844" t="n">
        <v>37586</v>
      </c>
      <c r="F844" s="6" t="n">
        <v>64</v>
      </c>
      <c r="G844" t="n">
        <v>1</v>
      </c>
      <c r="H844" s="6">
        <f>ROUND(G844*F844,2)</f>
        <v/>
      </c>
      <c r="I844">
        <f>IF(ROUND(H844-D844,2)=0,1,0)</f>
        <v/>
      </c>
      <c r="J844">
        <f>IF(F844="","none",IF(G844=1,"carte","multiple"))</f>
        <v/>
      </c>
    </row>
    <row r="845">
      <c r="A845" t="inlineStr">
        <is>
          <t>2022-05-11</t>
        </is>
      </c>
      <c r="B845" t="inlineStr">
        <is>
          <t>19:48</t>
        </is>
      </c>
      <c r="C845" t="n">
        <v>2957</v>
      </c>
      <c r="D845" s="6" t="n">
        <v>8.4</v>
      </c>
      <c r="E845" t="n">
        <v>37587</v>
      </c>
      <c r="F845" s="6" t="n">
        <v>8.4</v>
      </c>
      <c r="G845" t="n">
        <v>1</v>
      </c>
      <c r="H845" s="6">
        <f>ROUND(G845*F845,2)</f>
        <v/>
      </c>
      <c r="I845">
        <f>IF(ROUND(H845-D845,2)=0,1,0)</f>
        <v/>
      </c>
      <c r="J845">
        <f>IF(F845="","none",IF(G845=1,"carte","multiple"))</f>
        <v/>
      </c>
    </row>
    <row r="846">
      <c r="A846" t="inlineStr">
        <is>
          <t>2022-05-11</t>
        </is>
      </c>
      <c r="B846" t="inlineStr">
        <is>
          <t>19:50</t>
        </is>
      </c>
      <c r="C846" t="n">
        <v>2957</v>
      </c>
      <c r="D846" s="6" t="n">
        <v>11</v>
      </c>
      <c r="E846" t="n">
        <v>37588</v>
      </c>
      <c r="F846" s="6" t="n">
        <v>11</v>
      </c>
      <c r="G846" t="n">
        <v>1</v>
      </c>
      <c r="H846" s="6">
        <f>ROUND(G846*F846,2)</f>
        <v/>
      </c>
      <c r="I846">
        <f>IF(ROUND(H846-D846,2)=0,1,0)</f>
        <v/>
      </c>
      <c r="J846">
        <f>IF(F846="","none",IF(G846=1,"carte","multiple"))</f>
        <v/>
      </c>
    </row>
    <row r="847">
      <c r="A847" t="inlineStr">
        <is>
          <t>2022-05-11</t>
        </is>
      </c>
      <c r="B847" t="inlineStr">
        <is>
          <t>20:31</t>
        </is>
      </c>
      <c r="C847" t="n">
        <v>2957</v>
      </c>
      <c r="D847" s="6" t="n">
        <v>15.9</v>
      </c>
      <c r="E847" t="n">
        <v>37589</v>
      </c>
      <c r="F847" s="6" t="n">
        <v>15.9</v>
      </c>
      <c r="G847" t="n">
        <v>1</v>
      </c>
      <c r="H847" s="6">
        <f>ROUND(G847*F847,2)</f>
        <v/>
      </c>
      <c r="I847">
        <f>IF(ROUND(H847-D847,2)=0,1,0)</f>
        <v/>
      </c>
      <c r="J847">
        <f>IF(F847="","none",IF(G847=1,"carte","multiple"))</f>
        <v/>
      </c>
    </row>
    <row r="848">
      <c r="A848" t="inlineStr">
        <is>
          <t>2022-05-11</t>
        </is>
      </c>
      <c r="B848" t="inlineStr">
        <is>
          <t>20:31</t>
        </is>
      </c>
      <c r="C848" t="n">
        <v>2957</v>
      </c>
      <c r="D848" s="6" t="n">
        <v>15.9</v>
      </c>
      <c r="E848" t="n">
        <v>37590</v>
      </c>
      <c r="F848" s="6" t="n">
        <v>15.9</v>
      </c>
      <c r="G848" t="n">
        <v>1</v>
      </c>
      <c r="H848" s="6">
        <f>ROUND(G848*F848,2)</f>
        <v/>
      </c>
      <c r="I848">
        <f>IF(ROUND(H848-D848,2)=0,1,0)</f>
        <v/>
      </c>
      <c r="J848">
        <f>IF(F848="","none",IF(G848=1,"carte","multiple"))</f>
        <v/>
      </c>
    </row>
    <row r="849">
      <c r="A849" t="inlineStr">
        <is>
          <t>2022-05-11</t>
        </is>
      </c>
      <c r="B849" t="inlineStr">
        <is>
          <t>20:31</t>
        </is>
      </c>
      <c r="C849" t="n">
        <v>2957</v>
      </c>
      <c r="D849" s="6" t="n">
        <v>9.800000000000001</v>
      </c>
      <c r="E849" t="n">
        <v>37591</v>
      </c>
      <c r="F849" s="6" t="n">
        <v>9.800000000000001</v>
      </c>
      <c r="G849" t="n">
        <v>1</v>
      </c>
      <c r="H849" s="6">
        <f>ROUND(G849*F849,2)</f>
        <v/>
      </c>
      <c r="I849">
        <f>IF(ROUND(H849-D849,2)=0,1,0)</f>
        <v/>
      </c>
      <c r="J849">
        <f>IF(F849="","none",IF(G849=1,"carte","multiple"))</f>
        <v/>
      </c>
    </row>
    <row r="850">
      <c r="A850" t="inlineStr">
        <is>
          <t>2022-05-11</t>
        </is>
      </c>
      <c r="B850" t="inlineStr">
        <is>
          <t>20:31</t>
        </is>
      </c>
      <c r="C850" t="n">
        <v>2957</v>
      </c>
      <c r="D850" s="6" t="n">
        <v>5.8</v>
      </c>
      <c r="E850" t="n">
        <v>37592</v>
      </c>
      <c r="F850" s="6" t="n">
        <v>5.8</v>
      </c>
      <c r="G850" t="n">
        <v>1</v>
      </c>
      <c r="H850" s="6">
        <f>ROUND(G850*F850,2)</f>
        <v/>
      </c>
      <c r="I850">
        <f>IF(ROUND(H850-D850,2)=0,1,0)</f>
        <v/>
      </c>
      <c r="J850">
        <f>IF(F850="","none",IF(G850=1,"carte","multiple"))</f>
        <v/>
      </c>
    </row>
    <row r="851">
      <c r="A851" t="inlineStr">
        <is>
          <t>2022-05-12</t>
        </is>
      </c>
      <c r="B851" t="inlineStr">
        <is>
          <t>11:30</t>
        </is>
      </c>
      <c r="C851" t="n">
        <v>2958</v>
      </c>
      <c r="D851" s="6" t="n">
        <v>6.9</v>
      </c>
      <c r="E851" t="n">
        <v>37595</v>
      </c>
      <c r="F851" s="6" t="n">
        <v>6.9</v>
      </c>
      <c r="G851" t="n">
        <v>1</v>
      </c>
      <c r="H851" s="6">
        <f>ROUND(G851*F851,2)</f>
        <v/>
      </c>
      <c r="I851">
        <f>IF(ROUND(H851-D851,2)=0,1,0)</f>
        <v/>
      </c>
      <c r="J851">
        <f>IF(F851="","none",IF(G851=1,"carte","multiple"))</f>
        <v/>
      </c>
    </row>
    <row r="852">
      <c r="A852" t="inlineStr">
        <is>
          <t>2022-05-12</t>
        </is>
      </c>
      <c r="B852" t="inlineStr">
        <is>
          <t>11:30</t>
        </is>
      </c>
      <c r="C852" t="n">
        <v>2958</v>
      </c>
      <c r="D852" s="6" t="n">
        <v>6.9</v>
      </c>
      <c r="E852" t="n">
        <v>37596</v>
      </c>
      <c r="F852" s="6" t="n">
        <v>6.9</v>
      </c>
      <c r="G852" t="n">
        <v>1</v>
      </c>
      <c r="H852" s="6">
        <f>ROUND(G852*F852,2)</f>
        <v/>
      </c>
      <c r="I852">
        <f>IF(ROUND(H852-D852,2)=0,1,0)</f>
        <v/>
      </c>
      <c r="J852">
        <f>IF(F852="","none",IF(G852=1,"carte","multiple"))</f>
        <v/>
      </c>
    </row>
    <row r="853">
      <c r="A853" t="inlineStr">
        <is>
          <t>2022-05-12</t>
        </is>
      </c>
      <c r="B853" t="inlineStr">
        <is>
          <t>11:30</t>
        </is>
      </c>
      <c r="C853" t="n">
        <v>2958</v>
      </c>
      <c r="D853" s="6" t="n">
        <v>17.6</v>
      </c>
      <c r="E853" t="n">
        <v>37597</v>
      </c>
      <c r="F853" s="6" t="n">
        <v>17.6</v>
      </c>
      <c r="G853" t="n">
        <v>1</v>
      </c>
      <c r="H853" s="6">
        <f>ROUND(G853*F853,2)</f>
        <v/>
      </c>
      <c r="I853">
        <f>IF(ROUND(H853-D853,2)=0,1,0)</f>
        <v/>
      </c>
      <c r="J853">
        <f>IF(F853="","none",IF(G853=1,"carte","multiple"))</f>
        <v/>
      </c>
    </row>
    <row r="854">
      <c r="A854" t="inlineStr">
        <is>
          <t>2022-05-12</t>
        </is>
      </c>
      <c r="B854" t="inlineStr">
        <is>
          <t>11:30</t>
        </is>
      </c>
      <c r="C854" t="n">
        <v>2958</v>
      </c>
      <c r="D854" s="6" t="n">
        <v>17.6</v>
      </c>
      <c r="E854" t="n">
        <v>37598</v>
      </c>
      <c r="F854" s="6" t="n">
        <v>17.6</v>
      </c>
      <c r="G854" t="n">
        <v>1</v>
      </c>
      <c r="H854" s="6">
        <f>ROUND(G854*F854,2)</f>
        <v/>
      </c>
      <c r="I854">
        <f>IF(ROUND(H854-D854,2)=0,1,0)</f>
        <v/>
      </c>
      <c r="J854">
        <f>IF(F854="","none",IF(G854=1,"carte","multiple"))</f>
        <v/>
      </c>
    </row>
    <row r="855">
      <c r="A855" t="inlineStr">
        <is>
          <t>2022-05-12</t>
        </is>
      </c>
      <c r="B855" t="inlineStr">
        <is>
          <t>11:30</t>
        </is>
      </c>
      <c r="C855" t="n">
        <v>2958</v>
      </c>
      <c r="D855" s="6" t="n">
        <v>8.4</v>
      </c>
      <c r="E855" t="n">
        <v>37599</v>
      </c>
      <c r="F855" s="6" t="n">
        <v>8.4</v>
      </c>
      <c r="G855" t="n">
        <v>1</v>
      </c>
      <c r="H855" s="6">
        <f>ROUND(G855*F855,2)</f>
        <v/>
      </c>
      <c r="I855">
        <f>IF(ROUND(H855-D855,2)=0,1,0)</f>
        <v/>
      </c>
      <c r="J855">
        <f>IF(F855="","none",IF(G855=1,"carte","multiple"))</f>
        <v/>
      </c>
    </row>
    <row r="856">
      <c r="A856" t="inlineStr">
        <is>
          <t>2022-05-12</t>
        </is>
      </c>
      <c r="B856" t="inlineStr">
        <is>
          <t>11:41</t>
        </is>
      </c>
      <c r="C856" t="n">
        <v>2958</v>
      </c>
      <c r="D856" s="6" t="n">
        <v>4.4</v>
      </c>
      <c r="E856" t="n">
        <v>37600</v>
      </c>
      <c r="F856" s="6" t="n">
        <v>0.4</v>
      </c>
      <c r="G856" t="n">
        <v>11</v>
      </c>
      <c r="H856" s="6">
        <f>ROUND(G856*F856,2)</f>
        <v/>
      </c>
      <c r="I856">
        <f>IF(ROUND(H856-D856,2)=0,1,0)</f>
        <v/>
      </c>
      <c r="J856">
        <f>IF(F856="","none",IF(G856=1,"carte","multiple"))</f>
        <v/>
      </c>
    </row>
    <row r="857">
      <c r="A857" t="inlineStr">
        <is>
          <t>2022-05-12</t>
        </is>
      </c>
      <c r="B857" t="inlineStr">
        <is>
          <t>11:41</t>
        </is>
      </c>
      <c r="C857" t="n">
        <v>2958</v>
      </c>
      <c r="D857" s="6" t="n">
        <v>27.8</v>
      </c>
      <c r="E857" t="n">
        <v>37601</v>
      </c>
      <c r="F857" s="6" t="n">
        <v>27.8</v>
      </c>
      <c r="G857" t="n">
        <v>1</v>
      </c>
      <c r="H857" s="6">
        <f>ROUND(G857*F857,2)</f>
        <v/>
      </c>
      <c r="I857">
        <f>IF(ROUND(H857-D857,2)=0,1,0)</f>
        <v/>
      </c>
      <c r="J857">
        <f>IF(F857="","none",IF(G857=1,"carte","multiple"))</f>
        <v/>
      </c>
    </row>
    <row r="858">
      <c r="A858" t="inlineStr">
        <is>
          <t>2022-05-12</t>
        </is>
      </c>
      <c r="B858" t="inlineStr">
        <is>
          <t>11:41</t>
        </is>
      </c>
      <c r="C858" t="n">
        <v>2958</v>
      </c>
      <c r="D858" s="6" t="n">
        <v>19</v>
      </c>
      <c r="E858" t="n">
        <v>37602</v>
      </c>
      <c r="F858" s="6" t="n">
        <v>19</v>
      </c>
      <c r="G858" t="n">
        <v>1</v>
      </c>
      <c r="H858" s="6">
        <f>ROUND(G858*F858,2)</f>
        <v/>
      </c>
      <c r="I858">
        <f>IF(ROUND(H858-D858,2)=0,1,0)</f>
        <v/>
      </c>
      <c r="J858">
        <f>IF(F858="","none",IF(G858=1,"carte","multiple"))</f>
        <v/>
      </c>
    </row>
    <row r="859">
      <c r="A859" t="inlineStr">
        <is>
          <t>2022-05-12</t>
        </is>
      </c>
      <c r="B859" t="inlineStr">
        <is>
          <t>11:41</t>
        </is>
      </c>
      <c r="C859" t="n">
        <v>2958</v>
      </c>
      <c r="D859" s="6" t="n">
        <v>9.800000000000001</v>
      </c>
      <c r="E859" t="n">
        <v>37603</v>
      </c>
      <c r="F859" s="6" t="n">
        <v>9.800000000000001</v>
      </c>
      <c r="G859" t="n">
        <v>1</v>
      </c>
      <c r="H859" s="6">
        <f>ROUND(G859*F859,2)</f>
        <v/>
      </c>
      <c r="I859">
        <f>IF(ROUND(H859-D859,2)=0,1,0)</f>
        <v/>
      </c>
      <c r="J859">
        <f>IF(F859="","none",IF(G859=1,"carte","multiple"))</f>
        <v/>
      </c>
    </row>
    <row r="860">
      <c r="A860" t="inlineStr">
        <is>
          <t>2022-05-12</t>
        </is>
      </c>
      <c r="B860" t="inlineStr">
        <is>
          <t>12:00</t>
        </is>
      </c>
      <c r="C860" t="n">
        <v>2958</v>
      </c>
      <c r="D860" s="6" t="n">
        <v>1</v>
      </c>
      <c r="E860" t="n">
        <v>37604</v>
      </c>
      <c r="F860" s="6" t="n">
        <v>0.5</v>
      </c>
      <c r="G860" t="n">
        <v>2</v>
      </c>
      <c r="H860" s="6">
        <f>ROUND(G860*F860,2)</f>
        <v/>
      </c>
      <c r="I860">
        <f>IF(ROUND(H860-D860,2)=0,1,0)</f>
        <v/>
      </c>
      <c r="J860">
        <f>IF(F860="","none",IF(G860=1,"carte","multiple"))</f>
        <v/>
      </c>
    </row>
    <row r="861">
      <c r="A861" t="inlineStr">
        <is>
          <t>2022-05-12</t>
        </is>
      </c>
      <c r="B861" t="inlineStr">
        <is>
          <t>12:00</t>
        </is>
      </c>
      <c r="C861" t="n">
        <v>2958</v>
      </c>
      <c r="D861" s="6" t="n">
        <v>6.9</v>
      </c>
      <c r="E861" t="n">
        <v>37605</v>
      </c>
      <c r="F861" s="6" t="n">
        <v>6.9</v>
      </c>
      <c r="G861" t="n">
        <v>1</v>
      </c>
      <c r="H861" s="6">
        <f>ROUND(G861*F861,2)</f>
        <v/>
      </c>
      <c r="I861">
        <f>IF(ROUND(H861-D861,2)=0,1,0)</f>
        <v/>
      </c>
      <c r="J861">
        <f>IF(F861="","none",IF(G861=1,"carte","multiple"))</f>
        <v/>
      </c>
    </row>
    <row r="862">
      <c r="A862" t="inlineStr">
        <is>
          <t>2022-05-12</t>
        </is>
      </c>
      <c r="B862" t="inlineStr">
        <is>
          <t>12:15</t>
        </is>
      </c>
      <c r="C862" t="n">
        <v>2958</v>
      </c>
      <c r="D862" s="6" t="n">
        <v>17.6</v>
      </c>
      <c r="E862" t="n">
        <v>37606</v>
      </c>
      <c r="F862" s="6" t="n">
        <v>17.6</v>
      </c>
      <c r="G862" t="n">
        <v>1</v>
      </c>
      <c r="H862" s="6">
        <f>ROUND(G862*F862,2)</f>
        <v/>
      </c>
      <c r="I862">
        <f>IF(ROUND(H862-D862,2)=0,1,0)</f>
        <v/>
      </c>
      <c r="J862">
        <f>IF(F862="","none",IF(G862=1,"carte","multiple"))</f>
        <v/>
      </c>
    </row>
    <row r="863">
      <c r="A863" t="inlineStr">
        <is>
          <t>2022-05-12</t>
        </is>
      </c>
      <c r="B863" t="inlineStr">
        <is>
          <t>12:29</t>
        </is>
      </c>
      <c r="C863" t="n">
        <v>2958</v>
      </c>
      <c r="D863" s="6" t="n">
        <v>4.4</v>
      </c>
      <c r="E863" t="n">
        <v>37607</v>
      </c>
      <c r="F863" s="6" t="n">
        <v>0.4</v>
      </c>
      <c r="G863" t="n">
        <v>11</v>
      </c>
      <c r="H863" s="6">
        <f>ROUND(G863*F863,2)</f>
        <v/>
      </c>
      <c r="I863">
        <f>IF(ROUND(H863-D863,2)=0,1,0)</f>
        <v/>
      </c>
      <c r="J863">
        <f>IF(F863="","none",IF(G863=1,"carte","multiple"))</f>
        <v/>
      </c>
    </row>
    <row r="864">
      <c r="A864" t="inlineStr">
        <is>
          <t>2022-05-12</t>
        </is>
      </c>
      <c r="B864" t="inlineStr">
        <is>
          <t>12:29</t>
        </is>
      </c>
      <c r="C864" t="n">
        <v>2958</v>
      </c>
      <c r="D864" s="6" t="n">
        <v>6.9</v>
      </c>
      <c r="E864" t="n">
        <v>37608</v>
      </c>
      <c r="F864" s="6" t="n">
        <v>6.9</v>
      </c>
      <c r="G864" t="n">
        <v>1</v>
      </c>
      <c r="H864" s="6">
        <f>ROUND(G864*F864,2)</f>
        <v/>
      </c>
      <c r="I864">
        <f>IF(ROUND(H864-D864,2)=0,1,0)</f>
        <v/>
      </c>
      <c r="J864">
        <f>IF(F864="","none",IF(G864=1,"carte","multiple"))</f>
        <v/>
      </c>
    </row>
    <row r="865">
      <c r="A865" t="inlineStr">
        <is>
          <t>2022-05-12</t>
        </is>
      </c>
      <c r="B865" t="inlineStr">
        <is>
          <t>12:29</t>
        </is>
      </c>
      <c r="C865" t="n">
        <v>2958</v>
      </c>
      <c r="D865" s="6" t="n">
        <v>3.9</v>
      </c>
      <c r="E865" t="n">
        <v>37609</v>
      </c>
      <c r="F865" s="6" t="n">
        <v>3.9</v>
      </c>
      <c r="G865" t="n">
        <v>1</v>
      </c>
      <c r="H865" s="6">
        <f>ROUND(G865*F865,2)</f>
        <v/>
      </c>
      <c r="I865">
        <f>IF(ROUND(H865-D865,2)=0,1,0)</f>
        <v/>
      </c>
      <c r="J865">
        <f>IF(F865="","none",IF(G865=1,"carte","multiple"))</f>
        <v/>
      </c>
    </row>
    <row r="866">
      <c r="A866" t="inlineStr">
        <is>
          <t>2022-05-12</t>
        </is>
      </c>
      <c r="B866" t="inlineStr">
        <is>
          <t>12:29</t>
        </is>
      </c>
      <c r="C866" t="n">
        <v>2958</v>
      </c>
      <c r="D866" s="6" t="n">
        <v>9.800000000000001</v>
      </c>
      <c r="E866" t="n">
        <v>37610</v>
      </c>
      <c r="F866" s="6" t="n">
        <v>9.800000000000001</v>
      </c>
      <c r="G866" t="n">
        <v>1</v>
      </c>
      <c r="H866" s="6">
        <f>ROUND(G866*F866,2)</f>
        <v/>
      </c>
      <c r="I866">
        <f>IF(ROUND(H866-D866,2)=0,1,0)</f>
        <v/>
      </c>
      <c r="J866">
        <f>IF(F866="","none",IF(G866=1,"carte","multiple"))</f>
        <v/>
      </c>
    </row>
    <row r="867">
      <c r="A867" t="inlineStr">
        <is>
          <t>2022-05-12</t>
        </is>
      </c>
      <c r="B867" t="inlineStr">
        <is>
          <t>12:29</t>
        </is>
      </c>
      <c r="C867" t="n">
        <v>2958</v>
      </c>
      <c r="D867" s="6" t="n">
        <v>35.2</v>
      </c>
      <c r="E867" t="n">
        <v>37611</v>
      </c>
      <c r="F867" s="6" t="n">
        <v>0.4</v>
      </c>
      <c r="G867" t="n">
        <v>88</v>
      </c>
      <c r="H867" s="6">
        <f>ROUND(G867*F867,2)</f>
        <v/>
      </c>
      <c r="I867">
        <f>IF(ROUND(H867-D867,2)=0,1,0)</f>
        <v/>
      </c>
      <c r="J867">
        <f>IF(F867="","none",IF(G867=1,"carte","multiple"))</f>
        <v/>
      </c>
    </row>
    <row r="868">
      <c r="A868" t="inlineStr">
        <is>
          <t>2022-05-12</t>
        </is>
      </c>
      <c r="B868" t="inlineStr">
        <is>
          <t>12:29</t>
        </is>
      </c>
      <c r="C868" t="n">
        <v>2958</v>
      </c>
      <c r="D868" s="6" t="n">
        <v>7.2</v>
      </c>
      <c r="E868" t="n">
        <v>37612</v>
      </c>
      <c r="F868" s="6" t="n">
        <v>7.2</v>
      </c>
      <c r="G868" t="n">
        <v>1</v>
      </c>
      <c r="H868" s="6">
        <f>ROUND(G868*F868,2)</f>
        <v/>
      </c>
      <c r="I868">
        <f>IF(ROUND(H868-D868,2)=0,1,0)</f>
        <v/>
      </c>
      <c r="J868">
        <f>IF(F868="","none",IF(G868=1,"carte","multiple"))</f>
        <v/>
      </c>
    </row>
    <row r="869">
      <c r="A869" t="inlineStr">
        <is>
          <t>2022-05-12</t>
        </is>
      </c>
      <c r="B869" t="inlineStr">
        <is>
          <t>12:29</t>
        </is>
      </c>
      <c r="C869" t="n">
        <v>2958</v>
      </c>
      <c r="D869" s="6" t="n">
        <v>5.9</v>
      </c>
      <c r="E869" t="n">
        <v>37613</v>
      </c>
      <c r="F869" s="6" t="n">
        <v>5.9</v>
      </c>
      <c r="G869" t="n">
        <v>1</v>
      </c>
      <c r="H869" s="6">
        <f>ROUND(G869*F869,2)</f>
        <v/>
      </c>
      <c r="I869">
        <f>IF(ROUND(H869-D869,2)=0,1,0)</f>
        <v/>
      </c>
      <c r="J869">
        <f>IF(F869="","none",IF(G869=1,"carte","multiple"))</f>
        <v/>
      </c>
    </row>
    <row r="870">
      <c r="A870" t="inlineStr">
        <is>
          <t>2022-05-12</t>
        </is>
      </c>
      <c r="B870" t="inlineStr">
        <is>
          <t>12:42</t>
        </is>
      </c>
      <c r="C870" t="n">
        <v>2958</v>
      </c>
      <c r="D870" s="6" t="n">
        <v>2.2</v>
      </c>
      <c r="E870" t="n">
        <v>37615</v>
      </c>
      <c r="F870" s="6" t="n">
        <v>2.2</v>
      </c>
      <c r="G870" t="n">
        <v>1</v>
      </c>
      <c r="H870" s="6">
        <f>ROUND(G870*F870,2)</f>
        <v/>
      </c>
      <c r="I870">
        <f>IF(ROUND(H870-D870,2)=0,1,0)</f>
        <v/>
      </c>
      <c r="J870">
        <f>IF(F870="","none",IF(G870=1,"carte","multiple"))</f>
        <v/>
      </c>
    </row>
    <row r="871">
      <c r="A871" t="inlineStr">
        <is>
          <t>2022-05-12</t>
        </is>
      </c>
      <c r="B871" t="inlineStr">
        <is>
          <t>12:42</t>
        </is>
      </c>
      <c r="C871" t="n">
        <v>2958</v>
      </c>
      <c r="D871" s="6" t="n">
        <v>3.4</v>
      </c>
      <c r="E871" t="n">
        <v>37616</v>
      </c>
      <c r="F871" s="6" t="n">
        <v>3.4</v>
      </c>
      <c r="G871" t="n">
        <v>1</v>
      </c>
      <c r="H871" s="6">
        <f>ROUND(G871*F871,2)</f>
        <v/>
      </c>
      <c r="I871">
        <f>IF(ROUND(H871-D871,2)=0,1,0)</f>
        <v/>
      </c>
      <c r="J871">
        <f>IF(F871="","none",IF(G871=1,"carte","multiple"))</f>
        <v/>
      </c>
    </row>
    <row r="872">
      <c r="A872" t="inlineStr">
        <is>
          <t>2022-05-12</t>
        </is>
      </c>
      <c r="B872" t="inlineStr">
        <is>
          <t>12:42</t>
        </is>
      </c>
      <c r="C872" t="n">
        <v>2958</v>
      </c>
      <c r="D872" s="6" t="n">
        <v>4.6</v>
      </c>
      <c r="E872" t="n">
        <v>37617</v>
      </c>
      <c r="F872" s="6" t="n">
        <v>4.6</v>
      </c>
      <c r="G872" t="n">
        <v>1</v>
      </c>
      <c r="H872" s="6">
        <f>ROUND(G872*F872,2)</f>
        <v/>
      </c>
      <c r="I872">
        <f>IF(ROUND(H872-D872,2)=0,1,0)</f>
        <v/>
      </c>
      <c r="J872">
        <f>IF(F872="","none",IF(G872=1,"carte","multiple"))</f>
        <v/>
      </c>
    </row>
    <row r="873">
      <c r="A873" t="inlineStr">
        <is>
          <t>2022-05-12</t>
        </is>
      </c>
      <c r="B873" t="inlineStr">
        <is>
          <t>12:42</t>
        </is>
      </c>
      <c r="C873" t="n">
        <v>2958</v>
      </c>
      <c r="D873" s="6" t="n">
        <v>9.9</v>
      </c>
      <c r="E873" t="n">
        <v>37618</v>
      </c>
      <c r="F873" s="6" t="n">
        <v>9.9</v>
      </c>
      <c r="G873" t="n">
        <v>1</v>
      </c>
      <c r="H873" s="6">
        <f>ROUND(G873*F873,2)</f>
        <v/>
      </c>
      <c r="I873">
        <f>IF(ROUND(H873-D873,2)=0,1,0)</f>
        <v/>
      </c>
      <c r="J873">
        <f>IF(F873="","none",IF(G873=1,"carte","multiple"))</f>
        <v/>
      </c>
    </row>
    <row r="874">
      <c r="A874" t="inlineStr">
        <is>
          <t>2022-05-12</t>
        </is>
      </c>
      <c r="B874" t="inlineStr">
        <is>
          <t>12:42</t>
        </is>
      </c>
      <c r="C874" t="n">
        <v>2958</v>
      </c>
      <c r="D874" s="6" t="n">
        <v>4</v>
      </c>
      <c r="E874" t="n">
        <v>37619</v>
      </c>
      <c r="F874" s="6" t="n">
        <v>4</v>
      </c>
      <c r="G874" t="n">
        <v>1</v>
      </c>
      <c r="H874" s="6">
        <f>ROUND(G874*F874,2)</f>
        <v/>
      </c>
      <c r="I874">
        <f>IF(ROUND(H874-D874,2)=0,1,0)</f>
        <v/>
      </c>
      <c r="J874">
        <f>IF(F874="","none",IF(G874=1,"carte","multiple"))</f>
        <v/>
      </c>
    </row>
    <row r="875">
      <c r="A875" t="inlineStr">
        <is>
          <t>2022-05-12</t>
        </is>
      </c>
      <c r="B875" t="inlineStr">
        <is>
          <t>12:42</t>
        </is>
      </c>
      <c r="C875" t="n">
        <v>2958</v>
      </c>
      <c r="D875" s="6" t="n">
        <v>17.6</v>
      </c>
      <c r="E875" t="n">
        <v>37620</v>
      </c>
      <c r="F875" s="6" t="n">
        <v>17.6</v>
      </c>
      <c r="G875" t="n">
        <v>1</v>
      </c>
      <c r="H875" s="6">
        <f>ROUND(G875*F875,2)</f>
        <v/>
      </c>
      <c r="I875">
        <f>IF(ROUND(H875-D875,2)=0,1,0)</f>
        <v/>
      </c>
      <c r="J875">
        <f>IF(F875="","none",IF(G875=1,"carte","multiple"))</f>
        <v/>
      </c>
    </row>
    <row r="876">
      <c r="A876" t="inlineStr">
        <is>
          <t>2022-05-12</t>
        </is>
      </c>
      <c r="B876" t="inlineStr">
        <is>
          <t>12:42</t>
        </is>
      </c>
      <c r="C876" t="n">
        <v>2958</v>
      </c>
      <c r="D876" s="6" t="n">
        <v>17.6</v>
      </c>
      <c r="E876" t="n">
        <v>37621</v>
      </c>
      <c r="F876" s="6" t="n">
        <v>17.6</v>
      </c>
      <c r="G876" t="n">
        <v>1</v>
      </c>
      <c r="H876" s="6">
        <f>ROUND(G876*F876,2)</f>
        <v/>
      </c>
      <c r="I876">
        <f>IF(ROUND(H876-D876,2)=0,1,0)</f>
        <v/>
      </c>
      <c r="J876">
        <f>IF(F876="","none",IF(G876=1,"carte","multiple"))</f>
        <v/>
      </c>
    </row>
    <row r="877">
      <c r="A877" t="inlineStr">
        <is>
          <t>2022-05-12</t>
        </is>
      </c>
      <c r="B877" t="inlineStr">
        <is>
          <t>19:06</t>
        </is>
      </c>
      <c r="C877" t="n">
        <v>2958</v>
      </c>
      <c r="D877" s="6" t="n">
        <v>39.8</v>
      </c>
      <c r="E877" t="n">
        <v>37623</v>
      </c>
      <c r="F877" s="6" t="n">
        <v>39.8</v>
      </c>
      <c r="G877" t="n">
        <v>1</v>
      </c>
      <c r="H877" s="6">
        <f>ROUND(G877*F877,2)</f>
        <v/>
      </c>
      <c r="I877">
        <f>IF(ROUND(H877-D877,2)=0,1,0)</f>
        <v/>
      </c>
      <c r="J877">
        <f>IF(F877="","none",IF(G877=1,"carte","multiple"))</f>
        <v/>
      </c>
    </row>
    <row r="878">
      <c r="A878" t="inlineStr">
        <is>
          <t>2022-05-12</t>
        </is>
      </c>
      <c r="B878" t="inlineStr">
        <is>
          <t>19:30</t>
        </is>
      </c>
      <c r="C878" t="n">
        <v>2958</v>
      </c>
      <c r="D878" s="6" t="n">
        <v>4.9</v>
      </c>
      <c r="E878" t="n">
        <v>37624</v>
      </c>
      <c r="F878" s="6" t="n">
        <v>4.9</v>
      </c>
      <c r="G878" t="n">
        <v>1</v>
      </c>
      <c r="H878" s="6">
        <f>ROUND(G878*F878,2)</f>
        <v/>
      </c>
      <c r="I878">
        <f>IF(ROUND(H878-D878,2)=0,1,0)</f>
        <v/>
      </c>
      <c r="J878">
        <f>IF(F878="","none",IF(G878=1,"carte","multiple"))</f>
        <v/>
      </c>
    </row>
    <row r="879">
      <c r="A879" t="inlineStr">
        <is>
          <t>2022-05-12</t>
        </is>
      </c>
      <c r="B879" t="inlineStr">
        <is>
          <t>19:32</t>
        </is>
      </c>
      <c r="C879" t="n">
        <v>2958</v>
      </c>
      <c r="D879" s="6" t="n">
        <v>46</v>
      </c>
      <c r="E879" t="n">
        <v>37625</v>
      </c>
      <c r="F879" s="6" t="n">
        <v>0.4</v>
      </c>
      <c r="G879" t="n">
        <v>115</v>
      </c>
      <c r="H879" s="6">
        <f>ROUND(G879*F879,2)</f>
        <v/>
      </c>
      <c r="I879">
        <f>IF(ROUND(H879-D879,2)=0,1,0)</f>
        <v/>
      </c>
      <c r="J879">
        <f>IF(F879="","none",IF(G879=1,"carte","multiple"))</f>
        <v/>
      </c>
    </row>
    <row r="880">
      <c r="A880" t="inlineStr">
        <is>
          <t>2022-05-12</t>
        </is>
      </c>
      <c r="B880" t="inlineStr">
        <is>
          <t>19:32</t>
        </is>
      </c>
      <c r="C880" t="n">
        <v>2958</v>
      </c>
      <c r="D880" s="6" t="n">
        <v>9.800000000000001</v>
      </c>
      <c r="E880" t="n">
        <v>37626</v>
      </c>
      <c r="F880" s="6" t="n">
        <v>9.800000000000001</v>
      </c>
      <c r="G880" t="n">
        <v>1</v>
      </c>
      <c r="H880" s="6">
        <f>ROUND(G880*F880,2)</f>
        <v/>
      </c>
      <c r="I880">
        <f>IF(ROUND(H880-D880,2)=0,1,0)</f>
        <v/>
      </c>
      <c r="J880">
        <f>IF(F880="","none",IF(G880=1,"carte","multiple"))</f>
        <v/>
      </c>
    </row>
    <row r="881">
      <c r="A881" t="inlineStr">
        <is>
          <t>2022-05-12</t>
        </is>
      </c>
      <c r="B881" t="inlineStr">
        <is>
          <t>19:32</t>
        </is>
      </c>
      <c r="C881" t="n">
        <v>2958</v>
      </c>
      <c r="D881" s="6" t="n">
        <v>2.4</v>
      </c>
      <c r="E881" t="n">
        <v>37627</v>
      </c>
      <c r="F881" s="6" t="n">
        <v>2.4</v>
      </c>
      <c r="G881" t="n">
        <v>1</v>
      </c>
      <c r="H881" s="6">
        <f>ROUND(G881*F881,2)</f>
        <v/>
      </c>
      <c r="I881">
        <f>IF(ROUND(H881-D881,2)=0,1,0)</f>
        <v/>
      </c>
      <c r="J881">
        <f>IF(F881="","none",IF(G881=1,"carte","multiple"))</f>
        <v/>
      </c>
    </row>
    <row r="882">
      <c r="A882" t="inlineStr">
        <is>
          <t>2022-05-12</t>
        </is>
      </c>
      <c r="B882" t="inlineStr">
        <is>
          <t>19:32</t>
        </is>
      </c>
      <c r="C882" t="n">
        <v>2958</v>
      </c>
      <c r="D882" s="6" t="n">
        <v>2.2</v>
      </c>
      <c r="E882" t="n">
        <v>37628</v>
      </c>
      <c r="F882" s="6" t="n">
        <v>2.2</v>
      </c>
      <c r="G882" t="n">
        <v>1</v>
      </c>
      <c r="H882" s="6">
        <f>ROUND(G882*F882,2)</f>
        <v/>
      </c>
      <c r="I882">
        <f>IF(ROUND(H882-D882,2)=0,1,0)</f>
        <v/>
      </c>
      <c r="J882">
        <f>IF(F882="","none",IF(G882=1,"carte","multiple"))</f>
        <v/>
      </c>
    </row>
    <row r="883">
      <c r="A883" t="inlineStr">
        <is>
          <t>2022-05-12</t>
        </is>
      </c>
      <c r="B883" t="inlineStr">
        <is>
          <t>19:32</t>
        </is>
      </c>
      <c r="C883" t="n">
        <v>2958</v>
      </c>
      <c r="D883" s="6" t="n">
        <v>32</v>
      </c>
      <c r="E883" t="n">
        <v>37629</v>
      </c>
      <c r="F883" s="6" t="n">
        <v>32</v>
      </c>
      <c r="G883" t="n">
        <v>1</v>
      </c>
      <c r="H883" s="6">
        <f>ROUND(G883*F883,2)</f>
        <v/>
      </c>
      <c r="I883">
        <f>IF(ROUND(H883-D883,2)=0,1,0)</f>
        <v/>
      </c>
      <c r="J883">
        <f>IF(F883="","none",IF(G883=1,"carte","multiple"))</f>
        <v/>
      </c>
    </row>
    <row r="884">
      <c r="A884" t="inlineStr">
        <is>
          <t>2022-05-12</t>
        </is>
      </c>
      <c r="B884" t="inlineStr">
        <is>
          <t>19:32</t>
        </is>
      </c>
      <c r="C884" t="n">
        <v>2958</v>
      </c>
      <c r="D884" s="6" t="n">
        <v>11.6</v>
      </c>
      <c r="E884" t="n">
        <v>37630</v>
      </c>
      <c r="F884" s="6" t="n">
        <v>11.6</v>
      </c>
      <c r="G884" t="n">
        <v>1</v>
      </c>
      <c r="H884" s="6">
        <f>ROUND(G884*F884,2)</f>
        <v/>
      </c>
      <c r="I884">
        <f>IF(ROUND(H884-D884,2)=0,1,0)</f>
        <v/>
      </c>
      <c r="J884">
        <f>IF(F884="","none",IF(G884=1,"carte","multiple"))</f>
        <v/>
      </c>
    </row>
    <row r="885">
      <c r="A885" t="inlineStr">
        <is>
          <t>2022-05-12</t>
        </is>
      </c>
      <c r="B885" t="inlineStr">
        <is>
          <t>19:32</t>
        </is>
      </c>
      <c r="C885" t="n">
        <v>2958</v>
      </c>
      <c r="D885" s="6" t="n">
        <v>8</v>
      </c>
      <c r="E885" t="n">
        <v>37631</v>
      </c>
      <c r="F885" s="6" t="n">
        <v>8</v>
      </c>
      <c r="G885" t="n">
        <v>1</v>
      </c>
      <c r="H885" s="6">
        <f>ROUND(G885*F885,2)</f>
        <v/>
      </c>
      <c r="I885">
        <f>IF(ROUND(H885-D885,2)=0,1,0)</f>
        <v/>
      </c>
      <c r="J885">
        <f>IF(F885="","none",IF(G885=1,"carte","multiple"))</f>
        <v/>
      </c>
    </row>
    <row r="886">
      <c r="A886" t="inlineStr">
        <is>
          <t>2022-05-12</t>
        </is>
      </c>
      <c r="B886" t="inlineStr">
        <is>
          <t>19:32</t>
        </is>
      </c>
      <c r="C886" t="n">
        <v>2958</v>
      </c>
      <c r="D886" s="6" t="n">
        <v>15.9</v>
      </c>
      <c r="E886" t="n">
        <v>37632</v>
      </c>
      <c r="F886" s="6" t="n">
        <v>15.9</v>
      </c>
      <c r="G886" t="n">
        <v>1</v>
      </c>
      <c r="H886" s="6">
        <f>ROUND(G886*F886,2)</f>
        <v/>
      </c>
      <c r="I886">
        <f>IF(ROUND(H886-D886,2)=0,1,0)</f>
        <v/>
      </c>
      <c r="J886">
        <f>IF(F886="","none",IF(G886=1,"carte","multiple"))</f>
        <v/>
      </c>
    </row>
    <row r="887">
      <c r="A887" t="inlineStr">
        <is>
          <t>2022-05-12</t>
        </is>
      </c>
      <c r="B887" t="inlineStr">
        <is>
          <t>19:32</t>
        </is>
      </c>
      <c r="C887" t="n">
        <v>2958</v>
      </c>
      <c r="D887" s="6" t="n">
        <v>8.4</v>
      </c>
      <c r="E887" t="n">
        <v>37633</v>
      </c>
      <c r="F887" s="6" t="n">
        <v>8.4</v>
      </c>
      <c r="G887" t="n">
        <v>1</v>
      </c>
      <c r="H887" s="6">
        <f>ROUND(G887*F887,2)</f>
        <v/>
      </c>
      <c r="I887">
        <f>IF(ROUND(H887-D887,2)=0,1,0)</f>
        <v/>
      </c>
      <c r="J887">
        <f>IF(F887="","none",IF(G887=1,"carte","multiple"))</f>
        <v/>
      </c>
    </row>
    <row r="888">
      <c r="A888" t="inlineStr">
        <is>
          <t>2022-05-12</t>
        </is>
      </c>
      <c r="B888" t="inlineStr">
        <is>
          <t>19:34</t>
        </is>
      </c>
      <c r="C888" t="n">
        <v>2958</v>
      </c>
      <c r="D888" s="6" t="n">
        <v>6.9</v>
      </c>
      <c r="E888" t="n">
        <v>37634</v>
      </c>
      <c r="F888" s="6" t="n">
        <v>6.9</v>
      </c>
      <c r="G888" t="n">
        <v>1</v>
      </c>
      <c r="H888" s="6">
        <f>ROUND(G888*F888,2)</f>
        <v/>
      </c>
      <c r="I888">
        <f>IF(ROUND(H888-D888,2)=0,1,0)</f>
        <v/>
      </c>
      <c r="J888">
        <f>IF(F888="","none",IF(G888=1,"carte","multiple"))</f>
        <v/>
      </c>
    </row>
    <row r="889">
      <c r="A889" t="inlineStr">
        <is>
          <t>2022-05-12</t>
        </is>
      </c>
      <c r="B889" t="inlineStr">
        <is>
          <t>19:34</t>
        </is>
      </c>
      <c r="C889" t="n">
        <v>2958</v>
      </c>
      <c r="D889" s="6" t="n">
        <v>17.6</v>
      </c>
      <c r="E889" t="n">
        <v>37635</v>
      </c>
      <c r="F889" s="6" t="n">
        <v>17.6</v>
      </c>
      <c r="G889" t="n">
        <v>1</v>
      </c>
      <c r="H889" s="6">
        <f>ROUND(G889*F889,2)</f>
        <v/>
      </c>
      <c r="I889">
        <f>IF(ROUND(H889-D889,2)=0,1,0)</f>
        <v/>
      </c>
      <c r="J889">
        <f>IF(F889="","none",IF(G889=1,"carte","multiple"))</f>
        <v/>
      </c>
    </row>
    <row r="890">
      <c r="A890" t="inlineStr">
        <is>
          <t>2022-05-12</t>
        </is>
      </c>
      <c r="B890" t="inlineStr">
        <is>
          <t>19:34</t>
        </is>
      </c>
      <c r="C890" t="n">
        <v>2958</v>
      </c>
      <c r="D890" s="6" t="n">
        <v>17.6</v>
      </c>
      <c r="E890" t="n">
        <v>37636</v>
      </c>
      <c r="F890" s="6" t="n">
        <v>17.6</v>
      </c>
      <c r="G890" t="n">
        <v>1</v>
      </c>
      <c r="H890" s="6">
        <f>ROUND(G890*F890,2)</f>
        <v/>
      </c>
      <c r="I890">
        <f>IF(ROUND(H890-D890,2)=0,1,0)</f>
        <v/>
      </c>
      <c r="J890">
        <f>IF(F890="","none",IF(G890=1,"carte","multiple"))</f>
        <v/>
      </c>
    </row>
    <row r="891">
      <c r="A891" t="inlineStr">
        <is>
          <t>2022-05-12</t>
        </is>
      </c>
      <c r="B891" t="inlineStr">
        <is>
          <t>19:34</t>
        </is>
      </c>
      <c r="C891" t="n">
        <v>2958</v>
      </c>
      <c r="D891" s="6" t="n">
        <v>7.2</v>
      </c>
      <c r="E891" t="n">
        <v>37637</v>
      </c>
      <c r="F891" s="6" t="n">
        <v>7.2</v>
      </c>
      <c r="G891" t="n">
        <v>1</v>
      </c>
      <c r="H891" s="6">
        <f>ROUND(G891*F891,2)</f>
        <v/>
      </c>
      <c r="I891">
        <f>IF(ROUND(H891-D891,2)=0,1,0)</f>
        <v/>
      </c>
      <c r="J891">
        <f>IF(F891="","none",IF(G891=1,"carte","multiple"))</f>
        <v/>
      </c>
    </row>
    <row r="892">
      <c r="A892" t="inlineStr">
        <is>
          <t>2022-05-12</t>
        </is>
      </c>
      <c r="B892" t="inlineStr">
        <is>
          <t>19:34</t>
        </is>
      </c>
      <c r="C892" t="n">
        <v>2958</v>
      </c>
      <c r="D892" s="6" t="n">
        <v>6.4</v>
      </c>
      <c r="E892" t="n">
        <v>37638</v>
      </c>
      <c r="F892" s="6" t="n">
        <v>6.4</v>
      </c>
      <c r="G892" t="n">
        <v>1</v>
      </c>
      <c r="H892" s="6">
        <f>ROUND(G892*F892,2)</f>
        <v/>
      </c>
      <c r="I892">
        <f>IF(ROUND(H892-D892,2)=0,1,0)</f>
        <v/>
      </c>
      <c r="J892">
        <f>IF(F892="","none",IF(G892=1,"carte","multiple"))</f>
        <v/>
      </c>
    </row>
    <row r="893">
      <c r="A893" t="inlineStr">
        <is>
          <t>2022-05-12</t>
        </is>
      </c>
      <c r="B893" t="inlineStr">
        <is>
          <t>19:34</t>
        </is>
      </c>
      <c r="C893" t="n">
        <v>2958</v>
      </c>
      <c r="D893" s="6" t="n">
        <v>4.9</v>
      </c>
      <c r="E893" t="n">
        <v>37639</v>
      </c>
      <c r="F893" s="6" t="n">
        <v>4.9</v>
      </c>
      <c r="G893" t="n">
        <v>1</v>
      </c>
      <c r="H893" s="6">
        <f>ROUND(G893*F893,2)</f>
        <v/>
      </c>
      <c r="I893">
        <f>IF(ROUND(H893-D893,2)=0,1,0)</f>
        <v/>
      </c>
      <c r="J893">
        <f>IF(F893="","none",IF(G893=1,"carte","multiple"))</f>
        <v/>
      </c>
    </row>
    <row r="894">
      <c r="A894" t="inlineStr">
        <is>
          <t>2022-05-12</t>
        </is>
      </c>
      <c r="B894" t="inlineStr">
        <is>
          <t>19:34</t>
        </is>
      </c>
      <c r="C894" t="n">
        <v>2958</v>
      </c>
      <c r="D894" s="6" t="n">
        <v>6</v>
      </c>
      <c r="E894" t="n">
        <v>37640</v>
      </c>
      <c r="F894" s="6" t="n">
        <v>6</v>
      </c>
      <c r="G894" t="n">
        <v>1</v>
      </c>
      <c r="H894" s="6">
        <f>ROUND(G894*F894,2)</f>
        <v/>
      </c>
      <c r="I894">
        <f>IF(ROUND(H894-D894,2)=0,1,0)</f>
        <v/>
      </c>
      <c r="J894">
        <f>IF(F894="","none",IF(G894=1,"carte","multiple"))</f>
        <v/>
      </c>
    </row>
    <row r="895">
      <c r="A895" t="inlineStr">
        <is>
          <t>2022-05-12</t>
        </is>
      </c>
      <c r="B895" t="inlineStr">
        <is>
          <t>20:34</t>
        </is>
      </c>
      <c r="C895" t="n">
        <v>2958</v>
      </c>
      <c r="D895" s="6" t="n">
        <v>6.9</v>
      </c>
      <c r="E895" t="n">
        <v>37641</v>
      </c>
      <c r="F895" s="6" t="n">
        <v>6.9</v>
      </c>
      <c r="G895" t="n">
        <v>1</v>
      </c>
      <c r="H895" s="6">
        <f>ROUND(G895*F895,2)</f>
        <v/>
      </c>
      <c r="I895">
        <f>IF(ROUND(H895-D895,2)=0,1,0)</f>
        <v/>
      </c>
      <c r="J895">
        <f>IF(F895="","none",IF(G895=1,"carte","multiple"))</f>
        <v/>
      </c>
    </row>
    <row r="896">
      <c r="A896" t="inlineStr">
        <is>
          <t>2022-05-12</t>
        </is>
      </c>
      <c r="B896" t="inlineStr">
        <is>
          <t>20:34</t>
        </is>
      </c>
      <c r="C896" t="n">
        <v>2958</v>
      </c>
      <c r="D896" s="6" t="n">
        <v>8.699999999999999</v>
      </c>
      <c r="E896" t="n">
        <v>37642</v>
      </c>
      <c r="F896" s="6" t="n">
        <v>8.699999999999999</v>
      </c>
      <c r="G896" t="n">
        <v>1</v>
      </c>
      <c r="H896" s="6">
        <f>ROUND(G896*F896,2)</f>
        <v/>
      </c>
      <c r="I896">
        <f>IF(ROUND(H896-D896,2)=0,1,0)</f>
        <v/>
      </c>
      <c r="J896">
        <f>IF(F896="","none",IF(G896=1,"carte","multiple"))</f>
        <v/>
      </c>
    </row>
    <row r="897">
      <c r="A897" t="inlineStr">
        <is>
          <t>2022-05-12</t>
        </is>
      </c>
      <c r="B897" t="inlineStr">
        <is>
          <t>20:34</t>
        </is>
      </c>
      <c r="C897" t="n">
        <v>2958</v>
      </c>
      <c r="D897" s="6" t="n">
        <v>4.4</v>
      </c>
      <c r="E897" t="n">
        <v>37643</v>
      </c>
      <c r="F897" s="6" t="n">
        <v>0.4</v>
      </c>
      <c r="G897" t="n">
        <v>11</v>
      </c>
      <c r="H897" s="6">
        <f>ROUND(G897*F897,2)</f>
        <v/>
      </c>
      <c r="I897">
        <f>IF(ROUND(H897-D897,2)=0,1,0)</f>
        <v/>
      </c>
      <c r="J897">
        <f>IF(F897="","none",IF(G897=1,"carte","multiple"))</f>
        <v/>
      </c>
    </row>
    <row r="898">
      <c r="A898" t="inlineStr">
        <is>
          <t>2022-05-12</t>
        </is>
      </c>
      <c r="B898" t="inlineStr">
        <is>
          <t>20:34</t>
        </is>
      </c>
      <c r="C898" t="n">
        <v>2958</v>
      </c>
      <c r="D898" s="6" t="n">
        <v>48</v>
      </c>
      <c r="E898" t="n">
        <v>37644</v>
      </c>
      <c r="F898" s="6" t="n">
        <v>0.4</v>
      </c>
      <c r="G898" t="n">
        <v>120</v>
      </c>
      <c r="H898" s="6">
        <f>ROUND(G898*F898,2)</f>
        <v/>
      </c>
      <c r="I898">
        <f>IF(ROUND(H898-D898,2)=0,1,0)</f>
        <v/>
      </c>
      <c r="J898">
        <f>IF(F898="","none",IF(G898=1,"carte","multiple"))</f>
        <v/>
      </c>
    </row>
    <row r="899">
      <c r="A899" t="inlineStr">
        <is>
          <t>2022-05-12</t>
        </is>
      </c>
      <c r="B899" t="inlineStr">
        <is>
          <t>20:34</t>
        </is>
      </c>
      <c r="C899" t="n">
        <v>2958</v>
      </c>
      <c r="D899" s="6" t="n">
        <v>35.2</v>
      </c>
      <c r="E899" t="n">
        <v>37645</v>
      </c>
      <c r="F899" s="6" t="n">
        <v>0.4</v>
      </c>
      <c r="G899" t="n">
        <v>88</v>
      </c>
      <c r="H899" s="6">
        <f>ROUND(G899*F899,2)</f>
        <v/>
      </c>
      <c r="I899">
        <f>IF(ROUND(H899-D899,2)=0,1,0)</f>
        <v/>
      </c>
      <c r="J899">
        <f>IF(F899="","none",IF(G899=1,"carte","multiple"))</f>
        <v/>
      </c>
    </row>
    <row r="900">
      <c r="A900" t="inlineStr">
        <is>
          <t>2022-05-12</t>
        </is>
      </c>
      <c r="B900" t="inlineStr">
        <is>
          <t>20:34</t>
        </is>
      </c>
      <c r="C900" t="n">
        <v>2958</v>
      </c>
      <c r="D900" s="6" t="n">
        <v>5.9</v>
      </c>
      <c r="E900" t="n">
        <v>37646</v>
      </c>
      <c r="F900" s="6" t="n">
        <v>5.9</v>
      </c>
      <c r="G900" t="n">
        <v>1</v>
      </c>
      <c r="H900" s="6">
        <f>ROUND(G900*F900,2)</f>
        <v/>
      </c>
      <c r="I900">
        <f>IF(ROUND(H900-D900,2)=0,1,0)</f>
        <v/>
      </c>
      <c r="J900">
        <f>IF(F900="","none",IF(G900=1,"carte","multiple"))</f>
        <v/>
      </c>
    </row>
    <row r="901">
      <c r="A901" t="inlineStr">
        <is>
          <t>2022-05-12</t>
        </is>
      </c>
      <c r="B901" t="inlineStr">
        <is>
          <t>20:34</t>
        </is>
      </c>
      <c r="C901" t="n">
        <v>2958</v>
      </c>
      <c r="D901" s="6" t="n">
        <v>16.9</v>
      </c>
      <c r="E901" t="n">
        <v>37647</v>
      </c>
      <c r="F901" s="6" t="n">
        <v>16.9</v>
      </c>
      <c r="G901" t="n">
        <v>1</v>
      </c>
      <c r="H901" s="6">
        <f>ROUND(G901*F901,2)</f>
        <v/>
      </c>
      <c r="I901">
        <f>IF(ROUND(H901-D901,2)=0,1,0)</f>
        <v/>
      </c>
      <c r="J901">
        <f>IF(F901="","none",IF(G901=1,"carte","multiple"))</f>
        <v/>
      </c>
    </row>
    <row r="902">
      <c r="A902" t="inlineStr">
        <is>
          <t>2022-05-12</t>
        </is>
      </c>
      <c r="B902" t="inlineStr">
        <is>
          <t>20:34</t>
        </is>
      </c>
      <c r="C902" t="n">
        <v>2958</v>
      </c>
      <c r="D902" s="6" t="n">
        <v>3.9</v>
      </c>
      <c r="E902" t="n">
        <v>37648</v>
      </c>
      <c r="F902" s="6" t="n">
        <v>3.9</v>
      </c>
      <c r="G902" t="n">
        <v>1</v>
      </c>
      <c r="H902" s="6">
        <f>ROUND(G902*F902,2)</f>
        <v/>
      </c>
      <c r="I902">
        <f>IF(ROUND(H902-D902,2)=0,1,0)</f>
        <v/>
      </c>
      <c r="J902">
        <f>IF(F902="","none",IF(G902=1,"carte","multiple"))</f>
        <v/>
      </c>
    </row>
    <row r="903">
      <c r="A903" t="inlineStr">
        <is>
          <t>2022-05-12</t>
        </is>
      </c>
      <c r="B903" t="inlineStr">
        <is>
          <t>20:34</t>
        </is>
      </c>
      <c r="C903" t="n">
        <v>2958</v>
      </c>
      <c r="D903" s="6" t="n">
        <v>36</v>
      </c>
      <c r="E903" t="n">
        <v>37649</v>
      </c>
      <c r="F903" s="6" t="n">
        <v>36</v>
      </c>
      <c r="G903" t="n">
        <v>1</v>
      </c>
      <c r="H903" s="6">
        <f>ROUND(G903*F903,2)</f>
        <v/>
      </c>
      <c r="I903">
        <f>IF(ROUND(H903-D903,2)=0,1,0)</f>
        <v/>
      </c>
      <c r="J903">
        <f>IF(F903="","none",IF(G903=1,"carte","multiple"))</f>
        <v/>
      </c>
    </row>
    <row r="904">
      <c r="A904" t="inlineStr">
        <is>
          <t>2022-05-13</t>
        </is>
      </c>
      <c r="B904" t="inlineStr">
        <is>
          <t>11:06</t>
        </is>
      </c>
      <c r="C904" t="n">
        <v>2959</v>
      </c>
      <c r="D904" s="6" t="n">
        <v>2.2</v>
      </c>
      <c r="E904" t="n">
        <v>37652</v>
      </c>
      <c r="F904" s="6" t="n">
        <v>2.2</v>
      </c>
      <c r="G904" t="n">
        <v>1</v>
      </c>
      <c r="H904" s="6">
        <f>ROUND(G904*F904,2)</f>
        <v/>
      </c>
      <c r="I904">
        <f>IF(ROUND(H904-D904,2)=0,1,0)</f>
        <v/>
      </c>
      <c r="J904">
        <f>IF(F904="","none",IF(G904=1,"carte","multiple"))</f>
        <v/>
      </c>
    </row>
    <row r="905">
      <c r="A905" t="inlineStr">
        <is>
          <t>2022-05-13</t>
        </is>
      </c>
      <c r="B905" t="inlineStr">
        <is>
          <t>11:06</t>
        </is>
      </c>
      <c r="C905" t="n">
        <v>2959</v>
      </c>
      <c r="D905" s="6" t="n">
        <v>3.9</v>
      </c>
      <c r="E905" t="n">
        <v>37653</v>
      </c>
      <c r="F905" s="6" t="n">
        <v>3.9</v>
      </c>
      <c r="G905" t="n">
        <v>1</v>
      </c>
      <c r="H905" s="6">
        <f>ROUND(G905*F905,2)</f>
        <v/>
      </c>
      <c r="I905">
        <f>IF(ROUND(H905-D905,2)=0,1,0)</f>
        <v/>
      </c>
      <c r="J905">
        <f>IF(F905="","none",IF(G905=1,"carte","multiple"))</f>
        <v/>
      </c>
    </row>
    <row r="906">
      <c r="A906" t="inlineStr">
        <is>
          <t>2022-05-13</t>
        </is>
      </c>
      <c r="B906" t="inlineStr">
        <is>
          <t>11:06</t>
        </is>
      </c>
      <c r="C906" t="n">
        <v>2959</v>
      </c>
      <c r="D906" s="6" t="n">
        <v>4</v>
      </c>
      <c r="E906" t="n">
        <v>37654</v>
      </c>
      <c r="F906" s="6" t="n">
        <v>4</v>
      </c>
      <c r="G906" t="n">
        <v>1</v>
      </c>
      <c r="H906" s="6">
        <f>ROUND(G906*F906,2)</f>
        <v/>
      </c>
      <c r="I906">
        <f>IF(ROUND(H906-D906,2)=0,1,0)</f>
        <v/>
      </c>
      <c r="J906">
        <f>IF(F906="","none",IF(G906=1,"carte","multiple"))</f>
        <v/>
      </c>
    </row>
    <row r="907">
      <c r="A907" t="inlineStr">
        <is>
          <t>2022-05-13</t>
        </is>
      </c>
      <c r="B907" t="inlineStr">
        <is>
          <t>11:06</t>
        </is>
      </c>
      <c r="C907" t="n">
        <v>2959</v>
      </c>
      <c r="D907" s="6" t="n">
        <v>5.9</v>
      </c>
      <c r="E907" t="n">
        <v>37655</v>
      </c>
      <c r="F907" s="6" t="n">
        <v>5.9</v>
      </c>
      <c r="G907" t="n">
        <v>1</v>
      </c>
      <c r="H907" s="6">
        <f>ROUND(G907*F907,2)</f>
        <v/>
      </c>
      <c r="I907">
        <f>IF(ROUND(H907-D907,2)=0,1,0)</f>
        <v/>
      </c>
      <c r="J907">
        <f>IF(F907="","none",IF(G907=1,"carte","multiple"))</f>
        <v/>
      </c>
    </row>
    <row r="908">
      <c r="A908" t="inlineStr">
        <is>
          <t>2022-05-13</t>
        </is>
      </c>
      <c r="B908" t="inlineStr">
        <is>
          <t>11:06</t>
        </is>
      </c>
      <c r="C908" t="n">
        <v>2959</v>
      </c>
      <c r="D908" s="6" t="n">
        <v>17.6</v>
      </c>
      <c r="E908" t="n">
        <v>37656</v>
      </c>
      <c r="F908" s="6" t="n">
        <v>17.6</v>
      </c>
      <c r="G908" t="n">
        <v>1</v>
      </c>
      <c r="H908" s="6">
        <f>ROUND(G908*F908,2)</f>
        <v/>
      </c>
      <c r="I908">
        <f>IF(ROUND(H908-D908,2)=0,1,0)</f>
        <v/>
      </c>
      <c r="J908">
        <f>IF(F908="","none",IF(G908=1,"carte","multiple"))</f>
        <v/>
      </c>
    </row>
    <row r="909">
      <c r="A909" t="inlineStr">
        <is>
          <t>2022-05-13</t>
        </is>
      </c>
      <c r="B909" t="inlineStr">
        <is>
          <t>11:52</t>
        </is>
      </c>
      <c r="C909" t="n">
        <v>2959</v>
      </c>
      <c r="D909" s="6" t="n">
        <v>35.2</v>
      </c>
      <c r="E909" t="n">
        <v>37657</v>
      </c>
      <c r="F909" s="6" t="n">
        <v>0.4</v>
      </c>
      <c r="G909" t="n">
        <v>88</v>
      </c>
      <c r="H909" s="6">
        <f>ROUND(G909*F909,2)</f>
        <v/>
      </c>
      <c r="I909">
        <f>IF(ROUND(H909-D909,2)=0,1,0)</f>
        <v/>
      </c>
      <c r="J909">
        <f>IF(F909="","none",IF(G909=1,"carte","multiple"))</f>
        <v/>
      </c>
    </row>
    <row r="910">
      <c r="A910" t="inlineStr">
        <is>
          <t>2022-05-13</t>
        </is>
      </c>
      <c r="B910" t="inlineStr">
        <is>
          <t>11:52</t>
        </is>
      </c>
      <c r="C910" t="n">
        <v>2959</v>
      </c>
      <c r="D910" s="6" t="n">
        <v>4.4</v>
      </c>
      <c r="E910" t="n">
        <v>37658</v>
      </c>
      <c r="F910" s="6" t="n">
        <v>0.4</v>
      </c>
      <c r="G910" t="n">
        <v>11</v>
      </c>
      <c r="H910" s="6">
        <f>ROUND(G910*F910,2)</f>
        <v/>
      </c>
      <c r="I910">
        <f>IF(ROUND(H910-D910,2)=0,1,0)</f>
        <v/>
      </c>
      <c r="J910">
        <f>IF(F910="","none",IF(G910=1,"carte","multiple"))</f>
        <v/>
      </c>
    </row>
    <row r="911">
      <c r="A911" t="inlineStr">
        <is>
          <t>2022-05-13</t>
        </is>
      </c>
      <c r="B911" t="inlineStr">
        <is>
          <t>11:52</t>
        </is>
      </c>
      <c r="C911" t="n">
        <v>2959</v>
      </c>
      <c r="D911" s="6" t="n">
        <v>3.9</v>
      </c>
      <c r="E911" t="n">
        <v>37659</v>
      </c>
      <c r="F911" s="6" t="n">
        <v>3.9</v>
      </c>
      <c r="G911" t="n">
        <v>1</v>
      </c>
      <c r="H911" s="6">
        <f>ROUND(G911*F911,2)</f>
        <v/>
      </c>
      <c r="I911">
        <f>IF(ROUND(H911-D911,2)=0,1,0)</f>
        <v/>
      </c>
      <c r="J911">
        <f>IF(F911="","none",IF(G911=1,"carte","multiple"))</f>
        <v/>
      </c>
    </row>
    <row r="912">
      <c r="A912" t="inlineStr">
        <is>
          <t>2022-05-13</t>
        </is>
      </c>
      <c r="B912" t="inlineStr">
        <is>
          <t>11:52</t>
        </is>
      </c>
      <c r="C912" t="n">
        <v>2959</v>
      </c>
      <c r="D912" s="6" t="n">
        <v>5.9</v>
      </c>
      <c r="E912" t="n">
        <v>37660</v>
      </c>
      <c r="F912" s="6" t="n">
        <v>5.9</v>
      </c>
      <c r="G912" t="n">
        <v>1</v>
      </c>
      <c r="H912" s="6">
        <f>ROUND(G912*F912,2)</f>
        <v/>
      </c>
      <c r="I912">
        <f>IF(ROUND(H912-D912,2)=0,1,0)</f>
        <v/>
      </c>
      <c r="J912">
        <f>IF(F912="","none",IF(G912=1,"carte","multiple"))</f>
        <v/>
      </c>
    </row>
    <row r="913">
      <c r="A913" t="inlineStr">
        <is>
          <t>2022-05-13</t>
        </is>
      </c>
      <c r="B913" t="inlineStr">
        <is>
          <t>12:44</t>
        </is>
      </c>
      <c r="C913" t="n">
        <v>2959</v>
      </c>
      <c r="D913" s="6" t="n">
        <v>3.9</v>
      </c>
      <c r="E913" t="n">
        <v>37661</v>
      </c>
      <c r="F913" s="6" t="n">
        <v>3.9</v>
      </c>
      <c r="G913" t="n">
        <v>1</v>
      </c>
      <c r="H913" s="6">
        <f>ROUND(G913*F913,2)</f>
        <v/>
      </c>
      <c r="I913">
        <f>IF(ROUND(H913-D913,2)=0,1,0)</f>
        <v/>
      </c>
      <c r="J913">
        <f>IF(F913="","none",IF(G913=1,"carte","multiple"))</f>
        <v/>
      </c>
    </row>
    <row r="914">
      <c r="A914" t="inlineStr">
        <is>
          <t>2022-05-13</t>
        </is>
      </c>
      <c r="B914" t="inlineStr">
        <is>
          <t>12:47</t>
        </is>
      </c>
      <c r="C914" t="n">
        <v>2959</v>
      </c>
      <c r="D914" s="6" t="n">
        <v>3.3</v>
      </c>
      <c r="E914" t="n">
        <v>37662</v>
      </c>
      <c r="F914" s="6" t="n">
        <v>3.3</v>
      </c>
      <c r="G914" t="n">
        <v>1</v>
      </c>
      <c r="H914" s="6">
        <f>ROUND(G914*F914,2)</f>
        <v/>
      </c>
      <c r="I914">
        <f>IF(ROUND(H914-D914,2)=0,1,0)</f>
        <v/>
      </c>
      <c r="J914">
        <f>IF(F914="","none",IF(G914=1,"carte","multiple"))</f>
        <v/>
      </c>
    </row>
    <row r="915">
      <c r="A915" t="inlineStr">
        <is>
          <t>2022-05-13</t>
        </is>
      </c>
      <c r="B915" t="inlineStr">
        <is>
          <t>12:48</t>
        </is>
      </c>
      <c r="C915" t="n">
        <v>2959</v>
      </c>
      <c r="D915" s="6" t="n">
        <v>5.2</v>
      </c>
      <c r="E915" t="n">
        <v>37663</v>
      </c>
      <c r="F915" s="6" t="n">
        <v>5.2</v>
      </c>
      <c r="G915" t="n">
        <v>1</v>
      </c>
      <c r="H915" s="6">
        <f>ROUND(G915*F915,2)</f>
        <v/>
      </c>
      <c r="I915">
        <f>IF(ROUND(H915-D915,2)=0,1,0)</f>
        <v/>
      </c>
      <c r="J915">
        <f>IF(F915="","none",IF(G915=1,"carte","multiple"))</f>
        <v/>
      </c>
    </row>
    <row r="916">
      <c r="A916" t="inlineStr">
        <is>
          <t>2022-05-13</t>
        </is>
      </c>
      <c r="B916" t="inlineStr">
        <is>
          <t>19:07</t>
        </is>
      </c>
      <c r="C916" t="n">
        <v>2959</v>
      </c>
      <c r="D916" s="6" t="n">
        <v>4.5</v>
      </c>
      <c r="E916" t="n">
        <v>37665</v>
      </c>
      <c r="F916" s="6" t="n">
        <v>4.5</v>
      </c>
      <c r="G916" t="n">
        <v>1</v>
      </c>
      <c r="H916" s="6">
        <f>ROUND(G916*F916,2)</f>
        <v/>
      </c>
      <c r="I916">
        <f>IF(ROUND(H916-D916,2)=0,1,0)</f>
        <v/>
      </c>
      <c r="J916">
        <f>IF(F916="","none",IF(G916=1,"carte","multiple"))</f>
        <v/>
      </c>
    </row>
    <row r="917">
      <c r="A917" t="inlineStr">
        <is>
          <t>2022-05-13</t>
        </is>
      </c>
      <c r="B917" t="inlineStr">
        <is>
          <t>19:10</t>
        </is>
      </c>
      <c r="C917" t="n">
        <v>2959</v>
      </c>
      <c r="D917" s="6" t="n">
        <v>2.2</v>
      </c>
      <c r="E917" t="n">
        <v>37666</v>
      </c>
      <c r="F917" s="6" t="n">
        <v>2.2</v>
      </c>
      <c r="G917" t="n">
        <v>1</v>
      </c>
      <c r="H917" s="6">
        <f>ROUND(G917*F917,2)</f>
        <v/>
      </c>
      <c r="I917">
        <f>IF(ROUND(H917-D917,2)=0,1,0)</f>
        <v/>
      </c>
      <c r="J917">
        <f>IF(F917="","none",IF(G917=1,"carte","multiple"))</f>
        <v/>
      </c>
    </row>
    <row r="918">
      <c r="A918" t="inlineStr">
        <is>
          <t>2022-05-13</t>
        </is>
      </c>
      <c r="B918" t="inlineStr">
        <is>
          <t>19:51</t>
        </is>
      </c>
      <c r="C918" t="n">
        <v>2959</v>
      </c>
      <c r="D918" s="6" t="n">
        <v>18</v>
      </c>
      <c r="E918" t="n">
        <v>37667</v>
      </c>
      <c r="F918" s="6" t="n">
        <v>18</v>
      </c>
      <c r="G918" t="n">
        <v>1</v>
      </c>
      <c r="H918" s="6">
        <f>ROUND(G918*F918,2)</f>
        <v/>
      </c>
      <c r="I918">
        <f>IF(ROUND(H918-D918,2)=0,1,0)</f>
        <v/>
      </c>
      <c r="J918">
        <f>IF(F918="","none",IF(G918=1,"carte","multiple"))</f>
        <v/>
      </c>
    </row>
    <row r="919">
      <c r="A919" t="inlineStr">
        <is>
          <t>2022-05-13</t>
        </is>
      </c>
      <c r="B919" t="inlineStr">
        <is>
          <t>19:51</t>
        </is>
      </c>
      <c r="C919" t="n">
        <v>2959</v>
      </c>
      <c r="D919" s="6" t="n">
        <v>6.6</v>
      </c>
      <c r="E919" t="n">
        <v>37668</v>
      </c>
      <c r="F919" s="6" t="n">
        <v>6.6</v>
      </c>
      <c r="G919" t="n">
        <v>1</v>
      </c>
      <c r="H919" s="6">
        <f>ROUND(G919*F919,2)</f>
        <v/>
      </c>
      <c r="I919">
        <f>IF(ROUND(H919-D919,2)=0,1,0)</f>
        <v/>
      </c>
      <c r="J919">
        <f>IF(F919="","none",IF(G919=1,"carte","multiple"))</f>
        <v/>
      </c>
    </row>
    <row r="920">
      <c r="A920" t="inlineStr">
        <is>
          <t>2022-05-13</t>
        </is>
      </c>
      <c r="B920" t="inlineStr">
        <is>
          <t>19:51</t>
        </is>
      </c>
      <c r="C920" t="n">
        <v>2959</v>
      </c>
      <c r="D920" s="6" t="n">
        <v>16.8</v>
      </c>
      <c r="E920" t="n">
        <v>37669</v>
      </c>
      <c r="F920" s="6" t="n">
        <v>16.8</v>
      </c>
      <c r="G920" t="n">
        <v>1</v>
      </c>
      <c r="H920" s="6">
        <f>ROUND(G920*F920,2)</f>
        <v/>
      </c>
      <c r="I920">
        <f>IF(ROUND(H920-D920,2)=0,1,0)</f>
        <v/>
      </c>
      <c r="J920">
        <f>IF(F920="","none",IF(G920=1,"carte","multiple"))</f>
        <v/>
      </c>
    </row>
    <row r="921">
      <c r="A921" t="inlineStr">
        <is>
          <t>2022-05-13</t>
        </is>
      </c>
      <c r="B921" t="inlineStr">
        <is>
          <t>19:51</t>
        </is>
      </c>
      <c r="C921" t="n">
        <v>2959</v>
      </c>
      <c r="D921" s="6" t="n">
        <v>39.5</v>
      </c>
      <c r="E921" t="n">
        <v>37670</v>
      </c>
      <c r="F921" s="6" t="n">
        <v>39.5</v>
      </c>
      <c r="G921" t="n">
        <v>1</v>
      </c>
      <c r="H921" s="6">
        <f>ROUND(G921*F921,2)</f>
        <v/>
      </c>
      <c r="I921">
        <f>IF(ROUND(H921-D921,2)=0,1,0)</f>
        <v/>
      </c>
      <c r="J921">
        <f>IF(F921="","none",IF(G921=1,"carte","multiple"))</f>
        <v/>
      </c>
    </row>
    <row r="922">
      <c r="A922" t="inlineStr">
        <is>
          <t>2022-05-13</t>
        </is>
      </c>
      <c r="B922" t="inlineStr">
        <is>
          <t>19:51</t>
        </is>
      </c>
      <c r="C922" t="n">
        <v>2959</v>
      </c>
      <c r="D922" s="6" t="n">
        <v>62.7</v>
      </c>
      <c r="E922" t="n">
        <v>37671</v>
      </c>
      <c r="F922" s="6" t="n">
        <v>1.1</v>
      </c>
      <c r="G922" t="n">
        <v>57</v>
      </c>
      <c r="H922" s="6">
        <f>ROUND(G922*F922,2)</f>
        <v/>
      </c>
      <c r="I922">
        <f>IF(ROUND(H922-D922,2)=0,1,0)</f>
        <v/>
      </c>
      <c r="J922">
        <f>IF(F922="","none",IF(G922=1,"carte","multiple"))</f>
        <v/>
      </c>
    </row>
    <row r="923">
      <c r="A923" t="inlineStr">
        <is>
          <t>2022-05-13</t>
        </is>
      </c>
      <c r="B923" t="inlineStr">
        <is>
          <t>19:51</t>
        </is>
      </c>
      <c r="C923" t="n">
        <v>2959</v>
      </c>
      <c r="D923" s="6" t="n">
        <v>8</v>
      </c>
      <c r="E923" t="n">
        <v>37672</v>
      </c>
      <c r="F923" s="6" t="n">
        <v>8</v>
      </c>
      <c r="G923" t="n">
        <v>1</v>
      </c>
      <c r="H923" s="6">
        <f>ROUND(G923*F923,2)</f>
        <v/>
      </c>
      <c r="I923">
        <f>IF(ROUND(H923-D923,2)=0,1,0)</f>
        <v/>
      </c>
      <c r="J923">
        <f>IF(F923="","none",IF(G923=1,"carte","multiple"))</f>
        <v/>
      </c>
    </row>
    <row r="924">
      <c r="A924" t="inlineStr">
        <is>
          <t>2022-05-13</t>
        </is>
      </c>
      <c r="B924" t="inlineStr">
        <is>
          <t>19:51</t>
        </is>
      </c>
      <c r="C924" t="n">
        <v>2959</v>
      </c>
      <c r="D924" s="6" t="n">
        <v>17.8</v>
      </c>
      <c r="E924" t="n">
        <v>37673</v>
      </c>
      <c r="F924" s="6" t="n">
        <v>8.9</v>
      </c>
      <c r="G924" t="n">
        <v>2</v>
      </c>
      <c r="H924" s="6">
        <f>ROUND(G924*F924,2)</f>
        <v/>
      </c>
      <c r="I924">
        <f>IF(ROUND(H924-D924,2)=0,1,0)</f>
        <v/>
      </c>
      <c r="J924">
        <f>IF(F924="","none",IF(G924=1,"carte","multiple"))</f>
        <v/>
      </c>
    </row>
    <row r="925">
      <c r="A925" t="inlineStr">
        <is>
          <t>2022-05-13</t>
        </is>
      </c>
      <c r="B925" t="inlineStr">
        <is>
          <t>19:51</t>
        </is>
      </c>
      <c r="C925" t="n">
        <v>2959</v>
      </c>
      <c r="D925" s="6" t="n">
        <v>15.9</v>
      </c>
      <c r="E925" t="n">
        <v>37674</v>
      </c>
      <c r="F925" s="6" t="n">
        <v>15.9</v>
      </c>
      <c r="G925" t="n">
        <v>1</v>
      </c>
      <c r="H925" s="6">
        <f>ROUND(G925*F925,2)</f>
        <v/>
      </c>
      <c r="I925">
        <f>IF(ROUND(H925-D925,2)=0,1,0)</f>
        <v/>
      </c>
      <c r="J925">
        <f>IF(F925="","none",IF(G925=1,"carte","multiple"))</f>
        <v/>
      </c>
    </row>
    <row r="926">
      <c r="A926" t="inlineStr">
        <is>
          <t>2022-05-13</t>
        </is>
      </c>
      <c r="B926" t="inlineStr">
        <is>
          <t>19:57</t>
        </is>
      </c>
      <c r="C926" t="n">
        <v>2959</v>
      </c>
      <c r="D926" s="6" t="n">
        <v>16.8</v>
      </c>
      <c r="E926" t="n">
        <v>37675</v>
      </c>
      <c r="F926" s="6" t="n">
        <v>16.8</v>
      </c>
      <c r="G926" t="n">
        <v>1</v>
      </c>
      <c r="H926" s="6">
        <f>ROUND(G926*F926,2)</f>
        <v/>
      </c>
      <c r="I926">
        <f>IF(ROUND(H926-D926,2)=0,1,0)</f>
        <v/>
      </c>
      <c r="J926">
        <f>IF(F926="","none",IF(G926=1,"carte","multiple"))</f>
        <v/>
      </c>
    </row>
    <row r="927">
      <c r="A927" t="inlineStr">
        <is>
          <t>2022-05-13</t>
        </is>
      </c>
      <c r="B927" t="inlineStr">
        <is>
          <t>19:57</t>
        </is>
      </c>
      <c r="C927" t="n">
        <v>2959</v>
      </c>
      <c r="D927" s="6" t="n">
        <v>18</v>
      </c>
      <c r="E927" t="n">
        <v>37676</v>
      </c>
      <c r="F927" s="6" t="n">
        <v>18</v>
      </c>
      <c r="G927" t="n">
        <v>1</v>
      </c>
      <c r="H927" s="6">
        <f>ROUND(G927*F927,2)</f>
        <v/>
      </c>
      <c r="I927">
        <f>IF(ROUND(H927-D927,2)=0,1,0)</f>
        <v/>
      </c>
      <c r="J927">
        <f>IF(F927="","none",IF(G927=1,"carte","multiple"))</f>
        <v/>
      </c>
    </row>
    <row r="928">
      <c r="A928" t="inlineStr">
        <is>
          <t>2022-05-13</t>
        </is>
      </c>
      <c r="B928" t="inlineStr">
        <is>
          <t>19:57</t>
        </is>
      </c>
      <c r="C928" t="n">
        <v>2959</v>
      </c>
      <c r="D928" s="6" t="n">
        <v>6.6</v>
      </c>
      <c r="E928" t="n">
        <v>37677</v>
      </c>
      <c r="F928" s="6" t="n">
        <v>6.6</v>
      </c>
      <c r="G928" t="n">
        <v>1</v>
      </c>
      <c r="H928" s="6">
        <f>ROUND(G928*F928,2)</f>
        <v/>
      </c>
      <c r="I928">
        <f>IF(ROUND(H928-D928,2)=0,1,0)</f>
        <v/>
      </c>
      <c r="J928">
        <f>IF(F928="","none",IF(G928=1,"carte","multiple"))</f>
        <v/>
      </c>
    </row>
    <row r="929">
      <c r="A929" t="inlineStr">
        <is>
          <t>2022-05-13</t>
        </is>
      </c>
      <c r="B929" t="inlineStr">
        <is>
          <t>19:57</t>
        </is>
      </c>
      <c r="C929" t="n">
        <v>2959</v>
      </c>
      <c r="D929" s="6" t="n">
        <v>39.5</v>
      </c>
      <c r="E929" t="n">
        <v>37678</v>
      </c>
      <c r="F929" s="6" t="n">
        <v>39.5</v>
      </c>
      <c r="G929" t="n">
        <v>1</v>
      </c>
      <c r="H929" s="6">
        <f>ROUND(G929*F929,2)</f>
        <v/>
      </c>
      <c r="I929">
        <f>IF(ROUND(H929-D929,2)=0,1,0)</f>
        <v/>
      </c>
      <c r="J929">
        <f>IF(F929="","none",IF(G929=1,"carte","multiple"))</f>
        <v/>
      </c>
    </row>
    <row r="930">
      <c r="A930" t="inlineStr">
        <is>
          <t>2022-05-13</t>
        </is>
      </c>
      <c r="B930" t="inlineStr">
        <is>
          <t>19:57</t>
        </is>
      </c>
      <c r="C930" t="n">
        <v>2959</v>
      </c>
      <c r="D930" s="6" t="n">
        <v>62.7</v>
      </c>
      <c r="E930" t="n">
        <v>37679</v>
      </c>
      <c r="F930" s="6" t="n">
        <v>1.1</v>
      </c>
      <c r="G930" t="n">
        <v>57</v>
      </c>
      <c r="H930" s="6">
        <f>ROUND(G930*F930,2)</f>
        <v/>
      </c>
      <c r="I930">
        <f>IF(ROUND(H930-D930,2)=0,1,0)</f>
        <v/>
      </c>
      <c r="J930">
        <f>IF(F930="","none",IF(G930=1,"carte","multiple"))</f>
        <v/>
      </c>
    </row>
    <row r="931">
      <c r="A931" t="inlineStr">
        <is>
          <t>2022-05-13</t>
        </is>
      </c>
      <c r="B931" t="inlineStr">
        <is>
          <t>19:57</t>
        </is>
      </c>
      <c r="C931" t="n">
        <v>2959</v>
      </c>
      <c r="D931" s="6" t="n">
        <v>8</v>
      </c>
      <c r="E931" t="n">
        <v>37680</v>
      </c>
      <c r="F931" s="6" t="n">
        <v>8</v>
      </c>
      <c r="G931" t="n">
        <v>1</v>
      </c>
      <c r="H931" s="6">
        <f>ROUND(G931*F931,2)</f>
        <v/>
      </c>
      <c r="I931">
        <f>IF(ROUND(H931-D931,2)=0,1,0)</f>
        <v/>
      </c>
      <c r="J931">
        <f>IF(F931="","none",IF(G931=1,"carte","multiple"))</f>
        <v/>
      </c>
    </row>
    <row r="932">
      <c r="A932" t="inlineStr">
        <is>
          <t>2022-05-13</t>
        </is>
      </c>
      <c r="B932" t="inlineStr">
        <is>
          <t>19:57</t>
        </is>
      </c>
      <c r="C932" t="n">
        <v>2959</v>
      </c>
      <c r="D932" s="6" t="n">
        <v>17.8</v>
      </c>
      <c r="E932" t="n">
        <v>37681</v>
      </c>
      <c r="F932" s="6" t="n">
        <v>8.9</v>
      </c>
      <c r="G932" t="n">
        <v>2</v>
      </c>
      <c r="H932" s="6">
        <f>ROUND(G932*F932,2)</f>
        <v/>
      </c>
      <c r="I932">
        <f>IF(ROUND(H932-D932,2)=0,1,0)</f>
        <v/>
      </c>
      <c r="J932">
        <f>IF(F932="","none",IF(G932=1,"carte","multiple"))</f>
        <v/>
      </c>
    </row>
    <row r="933">
      <c r="A933" t="inlineStr">
        <is>
          <t>2022-05-13</t>
        </is>
      </c>
      <c r="B933" t="inlineStr">
        <is>
          <t>19:57</t>
        </is>
      </c>
      <c r="C933" t="n">
        <v>2959</v>
      </c>
      <c r="D933" s="6" t="n">
        <v>15.9</v>
      </c>
      <c r="E933" t="n">
        <v>37682</v>
      </c>
      <c r="F933" s="6" t="n">
        <v>15.9</v>
      </c>
      <c r="G933" t="n">
        <v>1</v>
      </c>
      <c r="H933" s="6">
        <f>ROUND(G933*F933,2)</f>
        <v/>
      </c>
      <c r="I933">
        <f>IF(ROUND(H933-D933,2)=0,1,0)</f>
        <v/>
      </c>
      <c r="J933">
        <f>IF(F933="","none",IF(G933=1,"carte","multiple"))</f>
        <v/>
      </c>
    </row>
    <row r="934">
      <c r="A934" t="inlineStr">
        <is>
          <t>2022-05-13</t>
        </is>
      </c>
      <c r="B934" t="inlineStr">
        <is>
          <t>19:58</t>
        </is>
      </c>
      <c r="C934" t="n">
        <v>2959</v>
      </c>
      <c r="D934" s="6" t="n">
        <v>4</v>
      </c>
      <c r="E934" t="n">
        <v>37683</v>
      </c>
      <c r="F934" s="6" t="n">
        <v>4</v>
      </c>
      <c r="G934" t="n">
        <v>1</v>
      </c>
      <c r="H934" s="6">
        <f>ROUND(G934*F934,2)</f>
        <v/>
      </c>
      <c r="I934">
        <f>IF(ROUND(H934-D934,2)=0,1,0)</f>
        <v/>
      </c>
      <c r="J934">
        <f>IF(F934="","none",IF(G934=1,"carte","multiple"))</f>
        <v/>
      </c>
    </row>
    <row r="935">
      <c r="A935" t="inlineStr">
        <is>
          <t>2022-05-13</t>
        </is>
      </c>
      <c r="B935" t="inlineStr">
        <is>
          <t>19:58</t>
        </is>
      </c>
      <c r="C935" t="n">
        <v>2959</v>
      </c>
      <c r="D935" s="6" t="n">
        <v>7.8</v>
      </c>
      <c r="E935" t="n">
        <v>37684</v>
      </c>
      <c r="F935" s="6" t="n">
        <v>7.8</v>
      </c>
      <c r="G935" t="n">
        <v>1</v>
      </c>
      <c r="H935" s="6">
        <f>ROUND(G935*F935,2)</f>
        <v/>
      </c>
      <c r="I935">
        <f>IF(ROUND(H935-D935,2)=0,1,0)</f>
        <v/>
      </c>
      <c r="J935">
        <f>IF(F935="","none",IF(G935=1,"carte","multiple"))</f>
        <v/>
      </c>
    </row>
    <row r="936">
      <c r="A936" t="inlineStr">
        <is>
          <t>2022-05-13</t>
        </is>
      </c>
      <c r="B936" t="inlineStr">
        <is>
          <t>19:58</t>
        </is>
      </c>
      <c r="C936" t="n">
        <v>2959</v>
      </c>
      <c r="D936" s="6" t="n">
        <v>38</v>
      </c>
      <c r="E936" t="n">
        <v>37685</v>
      </c>
      <c r="F936" s="6" t="n">
        <v>0.4</v>
      </c>
      <c r="G936" t="n">
        <v>95</v>
      </c>
      <c r="H936" s="6">
        <f>ROUND(G936*F936,2)</f>
        <v/>
      </c>
      <c r="I936">
        <f>IF(ROUND(H936-D936,2)=0,1,0)</f>
        <v/>
      </c>
      <c r="J936">
        <f>IF(F936="","none",IF(G936=1,"carte","multiple"))</f>
        <v/>
      </c>
    </row>
    <row r="937">
      <c r="A937" t="inlineStr">
        <is>
          <t>2022-05-13</t>
        </is>
      </c>
      <c r="B937" t="inlineStr">
        <is>
          <t>20:10</t>
        </is>
      </c>
      <c r="C937" t="n">
        <v>2959</v>
      </c>
      <c r="D937" s="6" t="n">
        <v>2.2</v>
      </c>
      <c r="E937" t="n">
        <v>37686</v>
      </c>
      <c r="F937" s="6" t="n">
        <v>2.2</v>
      </c>
      <c r="G937" t="n">
        <v>1</v>
      </c>
      <c r="H937" s="6">
        <f>ROUND(G937*F937,2)</f>
        <v/>
      </c>
      <c r="I937">
        <f>IF(ROUND(H937-D937,2)=0,1,0)</f>
        <v/>
      </c>
      <c r="J937">
        <f>IF(F937="","none",IF(G937=1,"carte","multiple"))</f>
        <v/>
      </c>
    </row>
    <row r="938">
      <c r="A938" t="inlineStr">
        <is>
          <t>2022-05-13</t>
        </is>
      </c>
      <c r="B938" t="inlineStr">
        <is>
          <t>20:10</t>
        </is>
      </c>
      <c r="C938" t="n">
        <v>2959</v>
      </c>
      <c r="D938" s="6" t="n">
        <v>8.5</v>
      </c>
      <c r="E938" t="n">
        <v>37687</v>
      </c>
      <c r="F938" s="6" t="n">
        <v>8.5</v>
      </c>
      <c r="G938" t="n">
        <v>1</v>
      </c>
      <c r="H938" s="6">
        <f>ROUND(G938*F938,2)</f>
        <v/>
      </c>
      <c r="I938">
        <f>IF(ROUND(H938-D938,2)=0,1,0)</f>
        <v/>
      </c>
      <c r="J938">
        <f>IF(F938="","none",IF(G938=1,"carte","multiple"))</f>
        <v/>
      </c>
    </row>
    <row r="939">
      <c r="A939" t="inlineStr">
        <is>
          <t>2022-05-13</t>
        </is>
      </c>
      <c r="B939" t="inlineStr">
        <is>
          <t>20:10</t>
        </is>
      </c>
      <c r="C939" t="n">
        <v>2959</v>
      </c>
      <c r="D939" s="6" t="n">
        <v>8.699999999999999</v>
      </c>
      <c r="E939" t="n">
        <v>37688</v>
      </c>
      <c r="F939" s="6" t="n">
        <v>8.699999999999999</v>
      </c>
      <c r="G939" t="n">
        <v>1</v>
      </c>
      <c r="H939" s="6">
        <f>ROUND(G939*F939,2)</f>
        <v/>
      </c>
      <c r="I939">
        <f>IF(ROUND(H939-D939,2)=0,1,0)</f>
        <v/>
      </c>
      <c r="J939">
        <f>IF(F939="","none",IF(G939=1,"carte","multiple"))</f>
        <v/>
      </c>
    </row>
    <row r="940">
      <c r="A940" t="inlineStr">
        <is>
          <t>2022-05-13</t>
        </is>
      </c>
      <c r="B940" t="inlineStr">
        <is>
          <t>20:10</t>
        </is>
      </c>
      <c r="C940" t="n">
        <v>2959</v>
      </c>
      <c r="D940" s="6" t="n">
        <v>6.9</v>
      </c>
      <c r="E940" t="n">
        <v>37689</v>
      </c>
      <c r="F940" s="6" t="n">
        <v>6.9</v>
      </c>
      <c r="G940" t="n">
        <v>1</v>
      </c>
      <c r="H940" s="6">
        <f>ROUND(G940*F940,2)</f>
        <v/>
      </c>
      <c r="I940">
        <f>IF(ROUND(H940-D940,2)=0,1,0)</f>
        <v/>
      </c>
      <c r="J940">
        <f>IF(F940="","none",IF(G940=1,"carte","multiple"))</f>
        <v/>
      </c>
    </row>
    <row r="941">
      <c r="A941" t="inlineStr">
        <is>
          <t>2022-05-13</t>
        </is>
      </c>
      <c r="B941" t="inlineStr">
        <is>
          <t>20:10</t>
        </is>
      </c>
      <c r="C941" t="n">
        <v>2959</v>
      </c>
      <c r="D941" s="6" t="n">
        <v>5.9</v>
      </c>
      <c r="E941" t="n">
        <v>37690</v>
      </c>
      <c r="F941" s="6" t="n">
        <v>5.9</v>
      </c>
      <c r="G941" t="n">
        <v>1</v>
      </c>
      <c r="H941" s="6">
        <f>ROUND(G941*F941,2)</f>
        <v/>
      </c>
      <c r="I941">
        <f>IF(ROUND(H941-D941,2)=0,1,0)</f>
        <v/>
      </c>
      <c r="J941">
        <f>IF(F941="","none",IF(G941=1,"carte","multiple"))</f>
        <v/>
      </c>
    </row>
    <row r="942">
      <c r="A942" t="inlineStr">
        <is>
          <t>2022-05-13</t>
        </is>
      </c>
      <c r="B942" t="inlineStr">
        <is>
          <t>20:10</t>
        </is>
      </c>
      <c r="C942" t="n">
        <v>2959</v>
      </c>
      <c r="D942" s="6" t="n">
        <v>3.9</v>
      </c>
      <c r="E942" t="n">
        <v>37691</v>
      </c>
      <c r="F942" s="6" t="n">
        <v>3.9</v>
      </c>
      <c r="G942" t="n">
        <v>1</v>
      </c>
      <c r="H942" s="6">
        <f>ROUND(G942*F942,2)</f>
        <v/>
      </c>
      <c r="I942">
        <f>IF(ROUND(H942-D942,2)=0,1,0)</f>
        <v/>
      </c>
      <c r="J942">
        <f>IF(F942="","none",IF(G942=1,"carte","multiple"))</f>
        <v/>
      </c>
    </row>
    <row r="943">
      <c r="A943" t="inlineStr">
        <is>
          <t>2022-05-13</t>
        </is>
      </c>
      <c r="B943" t="inlineStr">
        <is>
          <t>20:10</t>
        </is>
      </c>
      <c r="C943" t="n">
        <v>2959</v>
      </c>
      <c r="D943" s="6" t="n">
        <v>8.800000000000001</v>
      </c>
      <c r="E943" t="n">
        <v>37692</v>
      </c>
      <c r="F943" s="6" t="n">
        <v>8.800000000000001</v>
      </c>
      <c r="G943" t="n">
        <v>1</v>
      </c>
      <c r="H943" s="6">
        <f>ROUND(G943*F943,2)</f>
        <v/>
      </c>
      <c r="I943">
        <f>IF(ROUND(H943-D943,2)=0,1,0)</f>
        <v/>
      </c>
      <c r="J943">
        <f>IF(F943="","none",IF(G943=1,"carte","multiple"))</f>
        <v/>
      </c>
    </row>
    <row r="944">
      <c r="A944" t="inlineStr">
        <is>
          <t>2022-05-13</t>
        </is>
      </c>
      <c r="B944" t="inlineStr">
        <is>
          <t>20:10</t>
        </is>
      </c>
      <c r="C944" t="n">
        <v>2959</v>
      </c>
      <c r="D944" s="6" t="n">
        <v>39.8</v>
      </c>
      <c r="E944" t="n">
        <v>37693</v>
      </c>
      <c r="F944" s="6" t="n">
        <v>39.8</v>
      </c>
      <c r="G944" t="n">
        <v>1</v>
      </c>
      <c r="H944" s="6">
        <f>ROUND(G944*F944,2)</f>
        <v/>
      </c>
      <c r="I944">
        <f>IF(ROUND(H944-D944,2)=0,1,0)</f>
        <v/>
      </c>
      <c r="J944">
        <f>IF(F944="","none",IF(G944=1,"carte","multiple"))</f>
        <v/>
      </c>
    </row>
    <row r="945">
      <c r="A945" t="inlineStr">
        <is>
          <t>2022-05-13</t>
        </is>
      </c>
      <c r="B945" t="inlineStr">
        <is>
          <t>20:10</t>
        </is>
      </c>
      <c r="C945" t="n">
        <v>2959</v>
      </c>
      <c r="D945" s="6" t="n">
        <v>19</v>
      </c>
      <c r="E945" t="n">
        <v>37694</v>
      </c>
      <c r="F945" s="6" t="n">
        <v>19</v>
      </c>
      <c r="G945" t="n">
        <v>1</v>
      </c>
      <c r="H945" s="6">
        <f>ROUND(G945*F945,2)</f>
        <v/>
      </c>
      <c r="I945">
        <f>IF(ROUND(H945-D945,2)=0,1,0)</f>
        <v/>
      </c>
      <c r="J945">
        <f>IF(F945="","none",IF(G945=1,"carte","multiple"))</f>
        <v/>
      </c>
    </row>
    <row r="946">
      <c r="A946" t="inlineStr">
        <is>
          <t>2022-05-13</t>
        </is>
      </c>
      <c r="B946" t="inlineStr">
        <is>
          <t>20:10</t>
        </is>
      </c>
      <c r="C946" t="n">
        <v>2959</v>
      </c>
      <c r="D946" s="6" t="n">
        <v>9.9</v>
      </c>
      <c r="E946" t="n">
        <v>37695</v>
      </c>
      <c r="F946" s="6" t="n">
        <v>9.9</v>
      </c>
      <c r="G946" t="n">
        <v>1</v>
      </c>
      <c r="H946" s="6">
        <f>ROUND(G946*F946,2)</f>
        <v/>
      </c>
      <c r="I946">
        <f>IF(ROUND(H946-D946,2)=0,1,0)</f>
        <v/>
      </c>
      <c r="J946">
        <f>IF(F946="","none",IF(G946=1,"carte","multiple"))</f>
        <v/>
      </c>
    </row>
    <row r="947">
      <c r="A947" t="inlineStr">
        <is>
          <t>2022-05-13</t>
        </is>
      </c>
      <c r="B947" t="inlineStr">
        <is>
          <t>20:10</t>
        </is>
      </c>
      <c r="C947" t="n">
        <v>2959</v>
      </c>
      <c r="D947" s="6" t="n">
        <v>3.9</v>
      </c>
      <c r="E947" t="n">
        <v>37696</v>
      </c>
      <c r="F947" s="6" t="n">
        <v>3.9</v>
      </c>
      <c r="G947" t="n">
        <v>1</v>
      </c>
      <c r="H947" s="6">
        <f>ROUND(G947*F947,2)</f>
        <v/>
      </c>
      <c r="I947">
        <f>IF(ROUND(H947-D947,2)=0,1,0)</f>
        <v/>
      </c>
      <c r="J947">
        <f>IF(F947="","none",IF(G947=1,"carte","multiple"))</f>
        <v/>
      </c>
    </row>
    <row r="948">
      <c r="A948" t="inlineStr">
        <is>
          <t>2022-05-13</t>
        </is>
      </c>
      <c r="B948" t="inlineStr">
        <is>
          <t>20:10</t>
        </is>
      </c>
      <c r="C948" t="n">
        <v>2959</v>
      </c>
      <c r="D948" s="6" t="n">
        <v>5.2</v>
      </c>
      <c r="E948" t="n">
        <v>37697</v>
      </c>
      <c r="F948" s="6" t="n">
        <v>5.2</v>
      </c>
      <c r="G948" t="n">
        <v>1</v>
      </c>
      <c r="H948" s="6">
        <f>ROUND(G948*F948,2)</f>
        <v/>
      </c>
      <c r="I948">
        <f>IF(ROUND(H948-D948,2)=0,1,0)</f>
        <v/>
      </c>
      <c r="J948">
        <f>IF(F948="","none",IF(G948=1,"carte","multiple"))</f>
        <v/>
      </c>
    </row>
    <row r="949">
      <c r="A949" t="inlineStr">
        <is>
          <t>2022-05-13</t>
        </is>
      </c>
      <c r="B949" t="inlineStr">
        <is>
          <t>20:10</t>
        </is>
      </c>
      <c r="C949" t="n">
        <v>2959</v>
      </c>
      <c r="D949" s="6" t="n">
        <v>7.5</v>
      </c>
      <c r="E949" t="n">
        <v>37698</v>
      </c>
      <c r="F949" s="6" t="n">
        <v>7.5</v>
      </c>
      <c r="G949" t="n">
        <v>1</v>
      </c>
      <c r="H949" s="6">
        <f>ROUND(G949*F949,2)</f>
        <v/>
      </c>
      <c r="I949">
        <f>IF(ROUND(H949-D949,2)=0,1,0)</f>
        <v/>
      </c>
      <c r="J949">
        <f>IF(F949="","none",IF(G949=1,"carte","multiple"))</f>
        <v/>
      </c>
    </row>
    <row r="950">
      <c r="A950" t="inlineStr">
        <is>
          <t>2022-05-13</t>
        </is>
      </c>
      <c r="B950" t="inlineStr">
        <is>
          <t>20:10</t>
        </is>
      </c>
      <c r="C950" t="n">
        <v>2959</v>
      </c>
      <c r="D950" s="6" t="n">
        <v>30</v>
      </c>
      <c r="E950" t="n">
        <v>37699</v>
      </c>
      <c r="F950" s="6" t="n">
        <v>30</v>
      </c>
      <c r="G950" t="n">
        <v>1</v>
      </c>
      <c r="H950" s="6">
        <f>ROUND(G950*F950,2)</f>
        <v/>
      </c>
      <c r="I950">
        <f>IF(ROUND(H950-D950,2)=0,1,0)</f>
        <v/>
      </c>
      <c r="J950">
        <f>IF(F950="","none",IF(G950=1,"carte","multiple"))</f>
        <v/>
      </c>
    </row>
    <row r="951">
      <c r="A951" t="inlineStr">
        <is>
          <t>2022-05-14</t>
        </is>
      </c>
      <c r="B951" t="inlineStr">
        <is>
          <t>10:41</t>
        </is>
      </c>
      <c r="C951" t="n">
        <v>2960</v>
      </c>
      <c r="D951" s="6" t="n">
        <v>9.6</v>
      </c>
      <c r="E951" t="n">
        <v>37704</v>
      </c>
      <c r="F951" s="6" t="n">
        <v>9.6</v>
      </c>
      <c r="G951" t="n">
        <v>1</v>
      </c>
      <c r="H951" s="6">
        <f>ROUND(G951*F951,2)</f>
        <v/>
      </c>
      <c r="I951">
        <f>IF(ROUND(H951-D951,2)=0,1,0)</f>
        <v/>
      </c>
      <c r="J951">
        <f>IF(F951="","none",IF(G951=1,"carte","multiple"))</f>
        <v/>
      </c>
    </row>
    <row r="952">
      <c r="A952" t="inlineStr">
        <is>
          <t>2022-05-14</t>
        </is>
      </c>
      <c r="B952" t="inlineStr">
        <is>
          <t>10:45</t>
        </is>
      </c>
      <c r="C952" t="n">
        <v>2960</v>
      </c>
      <c r="D952" s="6" t="n">
        <v>19.9</v>
      </c>
      <c r="E952" t="n">
        <v>37705</v>
      </c>
      <c r="F952" s="6" t="n">
        <v>19.9</v>
      </c>
      <c r="G952" t="n">
        <v>1</v>
      </c>
      <c r="H952" s="6">
        <f>ROUND(G952*F952,2)</f>
        <v/>
      </c>
      <c r="I952">
        <f>IF(ROUND(H952-D952,2)=0,1,0)</f>
        <v/>
      </c>
      <c r="J952">
        <f>IF(F952="","none",IF(G952=1,"carte","multiple"))</f>
        <v/>
      </c>
    </row>
    <row r="953">
      <c r="A953" t="inlineStr">
        <is>
          <t>2022-05-14</t>
        </is>
      </c>
      <c r="B953" t="inlineStr">
        <is>
          <t>12:01</t>
        </is>
      </c>
      <c r="C953" t="n">
        <v>2960</v>
      </c>
      <c r="D953" s="6" t="n">
        <v>4.4</v>
      </c>
      <c r="E953" t="n">
        <v>37706</v>
      </c>
      <c r="F953" s="6" t="n">
        <v>0.4</v>
      </c>
      <c r="G953" t="n">
        <v>11</v>
      </c>
      <c r="H953" s="6">
        <f>ROUND(G953*F953,2)</f>
        <v/>
      </c>
      <c r="I953">
        <f>IF(ROUND(H953-D953,2)=0,1,0)</f>
        <v/>
      </c>
      <c r="J953">
        <f>IF(F953="","none",IF(G953=1,"carte","multiple"))</f>
        <v/>
      </c>
    </row>
    <row r="954">
      <c r="A954" t="inlineStr">
        <is>
          <t>2022-05-14</t>
        </is>
      </c>
      <c r="B954" t="inlineStr">
        <is>
          <t>12:01</t>
        </is>
      </c>
      <c r="C954" t="n">
        <v>2960</v>
      </c>
      <c r="D954" s="6" t="n">
        <v>64</v>
      </c>
      <c r="E954" t="n">
        <v>37707</v>
      </c>
      <c r="F954" s="6" t="n">
        <v>64</v>
      </c>
      <c r="G954" t="n">
        <v>1</v>
      </c>
      <c r="H954" s="6">
        <f>ROUND(G954*F954,2)</f>
        <v/>
      </c>
      <c r="I954">
        <f>IF(ROUND(H954-D954,2)=0,1,0)</f>
        <v/>
      </c>
      <c r="J954">
        <f>IF(F954="","none",IF(G954=1,"carte","multiple"))</f>
        <v/>
      </c>
    </row>
    <row r="955">
      <c r="A955" t="inlineStr">
        <is>
          <t>2022-05-14</t>
        </is>
      </c>
      <c r="B955" t="inlineStr">
        <is>
          <t>12:01</t>
        </is>
      </c>
      <c r="C955" t="n">
        <v>2960</v>
      </c>
      <c r="D955" s="6" t="n">
        <v>18</v>
      </c>
      <c r="E955" t="n">
        <v>37708</v>
      </c>
      <c r="F955" s="6" t="n">
        <v>18</v>
      </c>
      <c r="G955" t="n">
        <v>1</v>
      </c>
      <c r="H955" s="6">
        <f>ROUND(G955*F955,2)</f>
        <v/>
      </c>
      <c r="I955">
        <f>IF(ROUND(H955-D955,2)=0,1,0)</f>
        <v/>
      </c>
      <c r="J955">
        <f>IF(F955="","none",IF(G955=1,"carte","multiple"))</f>
        <v/>
      </c>
    </row>
    <row r="956">
      <c r="A956" t="inlineStr">
        <is>
          <t>2022-05-14</t>
        </is>
      </c>
      <c r="B956" t="inlineStr">
        <is>
          <t>12:09</t>
        </is>
      </c>
      <c r="C956" t="n">
        <v>2960</v>
      </c>
      <c r="D956" s="6" t="n">
        <v>14.4</v>
      </c>
      <c r="E956" t="n">
        <v>37709</v>
      </c>
      <c r="F956" s="6" t="n">
        <v>0.4</v>
      </c>
      <c r="G956" t="n">
        <v>36</v>
      </c>
      <c r="H956" s="6">
        <f>ROUND(G956*F956,2)</f>
        <v/>
      </c>
      <c r="I956">
        <f>IF(ROUND(H956-D956,2)=0,1,0)</f>
        <v/>
      </c>
      <c r="J956">
        <f>IF(F956="","none",IF(G956=1,"carte","multiple"))</f>
        <v/>
      </c>
    </row>
    <row r="957">
      <c r="A957" t="inlineStr">
        <is>
          <t>2022-05-14</t>
        </is>
      </c>
      <c r="B957" t="inlineStr">
        <is>
          <t>12:09</t>
        </is>
      </c>
      <c r="C957" t="n">
        <v>2960</v>
      </c>
      <c r="D957" s="6" t="n">
        <v>33.8</v>
      </c>
      <c r="E957" t="n">
        <v>37710</v>
      </c>
      <c r="F957" s="6" t="n">
        <v>16.9</v>
      </c>
      <c r="G957" t="n">
        <v>2</v>
      </c>
      <c r="H957" s="6">
        <f>ROUND(G957*F957,2)</f>
        <v/>
      </c>
      <c r="I957">
        <f>IF(ROUND(H957-D957,2)=0,1,0)</f>
        <v/>
      </c>
      <c r="J957">
        <f>IF(F957="","none",IF(G957=1,"carte","multiple"))</f>
        <v/>
      </c>
    </row>
    <row r="958">
      <c r="A958" t="inlineStr">
        <is>
          <t>2022-05-14</t>
        </is>
      </c>
      <c r="B958" t="inlineStr">
        <is>
          <t>12:09</t>
        </is>
      </c>
      <c r="C958" t="n">
        <v>2960</v>
      </c>
      <c r="D958" s="6" t="n">
        <v>17.6</v>
      </c>
      <c r="E958" t="n">
        <v>37711</v>
      </c>
      <c r="F958" s="6" t="n">
        <v>17.6</v>
      </c>
      <c r="G958" t="n">
        <v>1</v>
      </c>
      <c r="H958" s="6">
        <f>ROUND(G958*F958,2)</f>
        <v/>
      </c>
      <c r="I958">
        <f>IF(ROUND(H958-D958,2)=0,1,0)</f>
        <v/>
      </c>
      <c r="J958">
        <f>IF(F958="","none",IF(G958=1,"carte","multiple"))</f>
        <v/>
      </c>
    </row>
    <row r="959">
      <c r="A959" t="inlineStr">
        <is>
          <t>2022-05-14</t>
        </is>
      </c>
      <c r="B959" t="inlineStr">
        <is>
          <t>12:09</t>
        </is>
      </c>
      <c r="C959" t="n">
        <v>2960</v>
      </c>
      <c r="D959" s="6" t="n">
        <v>17.6</v>
      </c>
      <c r="E959" t="n">
        <v>37712</v>
      </c>
      <c r="F959" s="6" t="n">
        <v>17.6</v>
      </c>
      <c r="G959" t="n">
        <v>1</v>
      </c>
      <c r="H959" s="6">
        <f>ROUND(G959*F959,2)</f>
        <v/>
      </c>
      <c r="I959">
        <f>IF(ROUND(H959-D959,2)=0,1,0)</f>
        <v/>
      </c>
      <c r="J959">
        <f>IF(F959="","none",IF(G959=1,"carte","multiple"))</f>
        <v/>
      </c>
    </row>
    <row r="960">
      <c r="A960" t="inlineStr">
        <is>
          <t>2022-05-14</t>
        </is>
      </c>
      <c r="B960" t="inlineStr">
        <is>
          <t>12:10</t>
        </is>
      </c>
      <c r="C960" t="n">
        <v>2960</v>
      </c>
      <c r="D960" s="6" t="n">
        <v>17.6</v>
      </c>
      <c r="E960" t="n">
        <v>37713</v>
      </c>
      <c r="F960" s="6" t="n">
        <v>17.6</v>
      </c>
      <c r="G960" t="n">
        <v>1</v>
      </c>
      <c r="H960" s="6">
        <f>ROUND(G960*F960,2)</f>
        <v/>
      </c>
      <c r="I960">
        <f>IF(ROUND(H960-D960,2)=0,1,0)</f>
        <v/>
      </c>
      <c r="J960">
        <f>IF(F960="","none",IF(G960=1,"carte","multiple"))</f>
        <v/>
      </c>
    </row>
    <row r="961">
      <c r="A961" t="inlineStr">
        <is>
          <t>2022-05-14</t>
        </is>
      </c>
      <c r="B961" t="inlineStr">
        <is>
          <t>12:10</t>
        </is>
      </c>
      <c r="C961" t="n">
        <v>2960</v>
      </c>
      <c r="D961" s="6" t="n">
        <v>17.6</v>
      </c>
      <c r="E961" t="n">
        <v>37714</v>
      </c>
      <c r="F961" s="6" t="n">
        <v>17.6</v>
      </c>
      <c r="G961" t="n">
        <v>1</v>
      </c>
      <c r="H961" s="6">
        <f>ROUND(G961*F961,2)</f>
        <v/>
      </c>
      <c r="I961">
        <f>IF(ROUND(H961-D961,2)=0,1,0)</f>
        <v/>
      </c>
      <c r="J961">
        <f>IF(F961="","none",IF(G961=1,"carte","multiple"))</f>
        <v/>
      </c>
    </row>
    <row r="962">
      <c r="A962" t="inlineStr">
        <is>
          <t>2022-05-14</t>
        </is>
      </c>
      <c r="B962" t="inlineStr">
        <is>
          <t>12:10</t>
        </is>
      </c>
      <c r="C962" t="n">
        <v>2960</v>
      </c>
      <c r="D962" s="6" t="n">
        <v>33.8</v>
      </c>
      <c r="E962" t="n">
        <v>37715</v>
      </c>
      <c r="F962" s="6" t="n">
        <v>16.9</v>
      </c>
      <c r="G962" t="n">
        <v>2</v>
      </c>
      <c r="H962" s="6">
        <f>ROUND(G962*F962,2)</f>
        <v/>
      </c>
      <c r="I962">
        <f>IF(ROUND(H962-D962,2)=0,1,0)</f>
        <v/>
      </c>
      <c r="J962">
        <f>IF(F962="","none",IF(G962=1,"carte","multiple"))</f>
        <v/>
      </c>
    </row>
    <row r="963">
      <c r="A963" t="inlineStr">
        <is>
          <t>2022-05-14</t>
        </is>
      </c>
      <c r="B963" t="inlineStr">
        <is>
          <t>12:10</t>
        </is>
      </c>
      <c r="C963" t="n">
        <v>2960</v>
      </c>
      <c r="D963" s="6" t="n">
        <v>14.4</v>
      </c>
      <c r="E963" t="n">
        <v>37716</v>
      </c>
      <c r="F963" s="6" t="n">
        <v>0.4</v>
      </c>
      <c r="G963" t="n">
        <v>36</v>
      </c>
      <c r="H963" s="6">
        <f>ROUND(G963*F963,2)</f>
        <v/>
      </c>
      <c r="I963">
        <f>IF(ROUND(H963-D963,2)=0,1,0)</f>
        <v/>
      </c>
      <c r="J963">
        <f>IF(F963="","none",IF(G963=1,"carte","multiple"))</f>
        <v/>
      </c>
    </row>
    <row r="964">
      <c r="A964" t="inlineStr">
        <is>
          <t>2022-05-14</t>
        </is>
      </c>
      <c r="B964" t="inlineStr">
        <is>
          <t>12:30</t>
        </is>
      </c>
      <c r="C964" t="n">
        <v>2960</v>
      </c>
      <c r="D964" s="6" t="n">
        <v>2.2</v>
      </c>
      <c r="E964" t="n">
        <v>37717</v>
      </c>
      <c r="F964" s="6" t="n">
        <v>2.2</v>
      </c>
      <c r="G964" t="n">
        <v>1</v>
      </c>
      <c r="H964" s="6">
        <f>ROUND(G964*F964,2)</f>
        <v/>
      </c>
      <c r="I964">
        <f>IF(ROUND(H964-D964,2)=0,1,0)</f>
        <v/>
      </c>
      <c r="J964">
        <f>IF(F964="","none",IF(G964=1,"carte","multiple"))</f>
        <v/>
      </c>
    </row>
    <row r="965">
      <c r="A965" t="inlineStr">
        <is>
          <t>2022-05-14</t>
        </is>
      </c>
      <c r="B965" t="inlineStr">
        <is>
          <t>12:30</t>
        </is>
      </c>
      <c r="C965" t="n">
        <v>2960</v>
      </c>
      <c r="D965" s="6" t="n">
        <v>8.5</v>
      </c>
      <c r="E965" t="n">
        <v>37718</v>
      </c>
      <c r="F965" s="6" t="n">
        <v>8.5</v>
      </c>
      <c r="G965" t="n">
        <v>1</v>
      </c>
      <c r="H965" s="6">
        <f>ROUND(G965*F965,2)</f>
        <v/>
      </c>
      <c r="I965">
        <f>IF(ROUND(H965-D965,2)=0,1,0)</f>
        <v/>
      </c>
      <c r="J965">
        <f>IF(F965="","none",IF(G965=1,"carte","multiple"))</f>
        <v/>
      </c>
    </row>
    <row r="966">
      <c r="A966" t="inlineStr">
        <is>
          <t>2022-05-14</t>
        </is>
      </c>
      <c r="B966" t="inlineStr">
        <is>
          <t>12:30</t>
        </is>
      </c>
      <c r="C966" t="n">
        <v>2960</v>
      </c>
      <c r="D966" s="6" t="n">
        <v>17.6</v>
      </c>
      <c r="E966" t="n">
        <v>37719</v>
      </c>
      <c r="F966" s="6" t="n">
        <v>17.6</v>
      </c>
      <c r="G966" t="n">
        <v>1</v>
      </c>
      <c r="H966" s="6">
        <f>ROUND(G966*F966,2)</f>
        <v/>
      </c>
      <c r="I966">
        <f>IF(ROUND(H966-D966,2)=0,1,0)</f>
        <v/>
      </c>
      <c r="J966">
        <f>IF(F966="","none",IF(G966=1,"carte","multiple"))</f>
        <v/>
      </c>
    </row>
    <row r="967">
      <c r="A967" t="inlineStr">
        <is>
          <t>2022-05-14</t>
        </is>
      </c>
      <c r="B967" t="inlineStr">
        <is>
          <t>12:30</t>
        </is>
      </c>
      <c r="C967" t="n">
        <v>2960</v>
      </c>
      <c r="D967" s="6" t="n">
        <v>8</v>
      </c>
      <c r="E967" t="n">
        <v>37720</v>
      </c>
      <c r="F967" s="6" t="n">
        <v>8</v>
      </c>
      <c r="G967" t="n">
        <v>1</v>
      </c>
      <c r="H967" s="6">
        <f>ROUND(G967*F967,2)</f>
        <v/>
      </c>
      <c r="I967">
        <f>IF(ROUND(H967-D967,2)=0,1,0)</f>
        <v/>
      </c>
      <c r="J967">
        <f>IF(F967="","none",IF(G967=1,"carte","multiple"))</f>
        <v/>
      </c>
    </row>
    <row r="968">
      <c r="A968" t="inlineStr">
        <is>
          <t>2022-05-14</t>
        </is>
      </c>
      <c r="B968" t="inlineStr">
        <is>
          <t>12:30</t>
        </is>
      </c>
      <c r="C968" t="n">
        <v>2960</v>
      </c>
      <c r="D968" s="6" t="n">
        <v>32</v>
      </c>
      <c r="E968" t="n">
        <v>37721</v>
      </c>
      <c r="F968" s="6" t="n">
        <v>32</v>
      </c>
      <c r="G968" t="n">
        <v>1</v>
      </c>
      <c r="H968" s="6">
        <f>ROUND(G968*F968,2)</f>
        <v/>
      </c>
      <c r="I968">
        <f>IF(ROUND(H968-D968,2)=0,1,0)</f>
        <v/>
      </c>
      <c r="J968">
        <f>IF(F968="","none",IF(G968=1,"carte","multiple"))</f>
        <v/>
      </c>
    </row>
    <row r="969">
      <c r="A969" t="inlineStr">
        <is>
          <t>2022-05-14</t>
        </is>
      </c>
      <c r="B969" t="inlineStr">
        <is>
          <t>12:30</t>
        </is>
      </c>
      <c r="C969" t="n">
        <v>2960</v>
      </c>
      <c r="D969" s="6" t="n">
        <v>9.800000000000001</v>
      </c>
      <c r="E969" t="n">
        <v>37722</v>
      </c>
      <c r="F969" s="6" t="n">
        <v>9.800000000000001</v>
      </c>
      <c r="G969" t="n">
        <v>1</v>
      </c>
      <c r="H969" s="6">
        <f>ROUND(G969*F969,2)</f>
        <v/>
      </c>
      <c r="I969">
        <f>IF(ROUND(H969-D969,2)=0,1,0)</f>
        <v/>
      </c>
      <c r="J969">
        <f>IF(F969="","none",IF(G969=1,"carte","multiple"))</f>
        <v/>
      </c>
    </row>
    <row r="970">
      <c r="A970" t="inlineStr">
        <is>
          <t>2022-05-14</t>
        </is>
      </c>
      <c r="B970" t="inlineStr">
        <is>
          <t>12:30</t>
        </is>
      </c>
      <c r="C970" t="n">
        <v>2960</v>
      </c>
      <c r="D970" s="6" t="n">
        <v>7.2</v>
      </c>
      <c r="E970" t="n">
        <v>37723</v>
      </c>
      <c r="F970" s="6" t="n">
        <v>7.2</v>
      </c>
      <c r="G970" t="n">
        <v>1</v>
      </c>
      <c r="H970" s="6">
        <f>ROUND(G970*F970,2)</f>
        <v/>
      </c>
      <c r="I970">
        <f>IF(ROUND(H970-D970,2)=0,1,0)</f>
        <v/>
      </c>
      <c r="J970">
        <f>IF(F970="","none",IF(G970=1,"carte","multiple"))</f>
        <v/>
      </c>
    </row>
    <row r="971">
      <c r="A971" t="inlineStr">
        <is>
          <t>2022-05-14</t>
        </is>
      </c>
      <c r="B971" t="inlineStr">
        <is>
          <t>12:30</t>
        </is>
      </c>
      <c r="C971" t="n">
        <v>2960</v>
      </c>
      <c r="D971" s="6" t="n">
        <v>4.2</v>
      </c>
      <c r="E971" t="n">
        <v>37724</v>
      </c>
      <c r="F971" s="6" t="n">
        <v>4.2</v>
      </c>
      <c r="G971" t="n">
        <v>1</v>
      </c>
      <c r="H971" s="6">
        <f>ROUND(G971*F971,2)</f>
        <v/>
      </c>
      <c r="I971">
        <f>IF(ROUND(H971-D971,2)=0,1,0)</f>
        <v/>
      </c>
      <c r="J971">
        <f>IF(F971="","none",IF(G971=1,"carte","multiple"))</f>
        <v/>
      </c>
    </row>
    <row r="972">
      <c r="A972" t="inlineStr">
        <is>
          <t>2022-05-14</t>
        </is>
      </c>
      <c r="B972" t="inlineStr">
        <is>
          <t>12:41</t>
        </is>
      </c>
      <c r="C972" t="n">
        <v>2960</v>
      </c>
      <c r="D972" s="6" t="n">
        <v>4.2</v>
      </c>
      <c r="E972" t="n">
        <v>37725</v>
      </c>
      <c r="F972" s="6" t="n">
        <v>4.2</v>
      </c>
      <c r="G972" t="n">
        <v>1</v>
      </c>
      <c r="H972" s="6">
        <f>ROUND(G972*F972,2)</f>
        <v/>
      </c>
      <c r="I972">
        <f>IF(ROUND(H972-D972,2)=0,1,0)</f>
        <v/>
      </c>
      <c r="J972">
        <f>IF(F972="","none",IF(G972=1,"carte","multiple"))</f>
        <v/>
      </c>
    </row>
    <row r="973">
      <c r="A973" t="inlineStr">
        <is>
          <t>2022-05-14</t>
        </is>
      </c>
      <c r="B973" t="inlineStr">
        <is>
          <t>12:46</t>
        </is>
      </c>
      <c r="C973" t="n">
        <v>2960</v>
      </c>
      <c r="D973" s="6" t="n">
        <v>6.9</v>
      </c>
      <c r="E973" t="n">
        <v>37726</v>
      </c>
      <c r="F973" s="6" t="n">
        <v>6.9</v>
      </c>
      <c r="G973" t="n">
        <v>1</v>
      </c>
      <c r="H973" s="6">
        <f>ROUND(G973*F973,2)</f>
        <v/>
      </c>
      <c r="I973">
        <f>IF(ROUND(H973-D973,2)=0,1,0)</f>
        <v/>
      </c>
      <c r="J973">
        <f>IF(F973="","none",IF(G973=1,"carte","multiple"))</f>
        <v/>
      </c>
    </row>
    <row r="974">
      <c r="A974" t="inlineStr">
        <is>
          <t>2022-05-14</t>
        </is>
      </c>
      <c r="B974" t="inlineStr">
        <is>
          <t>12:46</t>
        </is>
      </c>
      <c r="C974" t="n">
        <v>2960</v>
      </c>
      <c r="D974" s="6" t="n">
        <v>8.699999999999999</v>
      </c>
      <c r="E974" t="n">
        <v>37727</v>
      </c>
      <c r="F974" s="6" t="n">
        <v>8.699999999999999</v>
      </c>
      <c r="G974" t="n">
        <v>1</v>
      </c>
      <c r="H974" s="6">
        <f>ROUND(G974*F974,2)</f>
        <v/>
      </c>
      <c r="I974">
        <f>IF(ROUND(H974-D974,2)=0,1,0)</f>
        <v/>
      </c>
      <c r="J974">
        <f>IF(F974="","none",IF(G974=1,"carte","multiple"))</f>
        <v/>
      </c>
    </row>
    <row r="975">
      <c r="A975" t="inlineStr">
        <is>
          <t>2022-05-14</t>
        </is>
      </c>
      <c r="B975" t="inlineStr">
        <is>
          <t>12:55</t>
        </is>
      </c>
      <c r="C975" t="n">
        <v>2960</v>
      </c>
      <c r="D975" s="6" t="n">
        <v>10.4</v>
      </c>
      <c r="E975" t="n">
        <v>37728</v>
      </c>
      <c r="F975" s="6" t="n">
        <v>0.4</v>
      </c>
      <c r="G975" t="n">
        <v>26</v>
      </c>
      <c r="H975" s="6">
        <f>ROUND(G975*F975,2)</f>
        <v/>
      </c>
      <c r="I975">
        <f>IF(ROUND(H975-D975,2)=0,1,0)</f>
        <v/>
      </c>
      <c r="J975">
        <f>IF(F975="","none",IF(G975=1,"carte","multiple"))</f>
        <v/>
      </c>
    </row>
    <row r="976">
      <c r="A976" t="inlineStr">
        <is>
          <t>2022-05-14</t>
        </is>
      </c>
      <c r="B976" t="inlineStr">
        <is>
          <t>12:55</t>
        </is>
      </c>
      <c r="C976" t="n">
        <v>2960</v>
      </c>
      <c r="D976" s="6" t="n">
        <v>17.8</v>
      </c>
      <c r="E976" t="n">
        <v>37729</v>
      </c>
      <c r="F976" s="6" t="n">
        <v>8.9</v>
      </c>
      <c r="G976" t="n">
        <v>2</v>
      </c>
      <c r="H976" s="6">
        <f>ROUND(G976*F976,2)</f>
        <v/>
      </c>
      <c r="I976">
        <f>IF(ROUND(H976-D976,2)=0,1,0)</f>
        <v/>
      </c>
      <c r="J976">
        <f>IF(F976="","none",IF(G976=1,"carte","multiple"))</f>
        <v/>
      </c>
    </row>
    <row r="977">
      <c r="A977" t="inlineStr">
        <is>
          <t>2022-05-14</t>
        </is>
      </c>
      <c r="B977" t="inlineStr">
        <is>
          <t>12:58</t>
        </is>
      </c>
      <c r="C977" t="n">
        <v>2960</v>
      </c>
      <c r="D977" s="6" t="n">
        <v>3.9</v>
      </c>
      <c r="E977" t="n">
        <v>37730</v>
      </c>
      <c r="F977" s="6" t="n">
        <v>3.9</v>
      </c>
      <c r="G977" t="n">
        <v>1</v>
      </c>
      <c r="H977" s="6">
        <f>ROUND(G977*F977,2)</f>
        <v/>
      </c>
      <c r="I977">
        <f>IF(ROUND(H977-D977,2)=0,1,0)</f>
        <v/>
      </c>
      <c r="J977">
        <f>IF(F977="","none",IF(G977=1,"carte","multiple"))</f>
        <v/>
      </c>
    </row>
    <row r="978">
      <c r="A978" t="inlineStr">
        <is>
          <t>2022-05-14</t>
        </is>
      </c>
      <c r="B978" t="inlineStr">
        <is>
          <t>12:58</t>
        </is>
      </c>
      <c r="C978" t="n">
        <v>2960</v>
      </c>
      <c r="D978" s="6" t="n">
        <v>12</v>
      </c>
      <c r="E978" t="n">
        <v>37731</v>
      </c>
      <c r="F978" s="6" t="n">
        <v>12</v>
      </c>
      <c r="G978" t="n">
        <v>1</v>
      </c>
      <c r="H978" s="6">
        <f>ROUND(G978*F978,2)</f>
        <v/>
      </c>
      <c r="I978">
        <f>IF(ROUND(H978-D978,2)=0,1,0)</f>
        <v/>
      </c>
      <c r="J978">
        <f>IF(F978="","none",IF(G978=1,"carte","multiple"))</f>
        <v/>
      </c>
    </row>
    <row r="979">
      <c r="A979" t="inlineStr">
        <is>
          <t>2022-05-14</t>
        </is>
      </c>
      <c r="B979" t="inlineStr">
        <is>
          <t>18:10</t>
        </is>
      </c>
      <c r="C979" t="n">
        <v>2960</v>
      </c>
      <c r="D979" s="6" t="n">
        <v>14.5</v>
      </c>
      <c r="E979" t="n">
        <v>37734</v>
      </c>
      <c r="F979" s="6" t="n">
        <v>14.5</v>
      </c>
      <c r="G979" t="n">
        <v>1</v>
      </c>
      <c r="H979" s="6">
        <f>ROUND(G979*F979,2)</f>
        <v/>
      </c>
      <c r="I979">
        <f>IF(ROUND(H979-D979,2)=0,1,0)</f>
        <v/>
      </c>
      <c r="J979">
        <f>IF(F979="","none",IF(G979=1,"carte","multiple"))</f>
        <v/>
      </c>
    </row>
    <row r="980">
      <c r="A980" t="inlineStr">
        <is>
          <t>2022-05-14</t>
        </is>
      </c>
      <c r="B980" t="inlineStr">
        <is>
          <t>19:08</t>
        </is>
      </c>
      <c r="C980" t="n">
        <v>2960</v>
      </c>
      <c r="D980" s="6" t="n">
        <v>19.9</v>
      </c>
      <c r="E980" t="n">
        <v>37735</v>
      </c>
      <c r="F980" s="6" t="n">
        <v>19.9</v>
      </c>
      <c r="G980" t="n">
        <v>1</v>
      </c>
      <c r="H980" s="6">
        <f>ROUND(G980*F980,2)</f>
        <v/>
      </c>
      <c r="I980">
        <f>IF(ROUND(H980-D980,2)=0,1,0)</f>
        <v/>
      </c>
      <c r="J980">
        <f>IF(F980="","none",IF(G980=1,"carte","multiple"))</f>
        <v/>
      </c>
    </row>
    <row r="981">
      <c r="A981" t="inlineStr">
        <is>
          <t>2022-05-14</t>
        </is>
      </c>
      <c r="B981" t="inlineStr">
        <is>
          <t>19:08</t>
        </is>
      </c>
      <c r="C981" t="n">
        <v>2960</v>
      </c>
      <c r="D981" s="6" t="n">
        <v>16.4</v>
      </c>
      <c r="E981" t="n">
        <v>37736</v>
      </c>
      <c r="F981" s="6" t="n">
        <v>16.4</v>
      </c>
      <c r="G981" t="n">
        <v>1</v>
      </c>
      <c r="H981" s="6">
        <f>ROUND(G981*F981,2)</f>
        <v/>
      </c>
      <c r="I981">
        <f>IF(ROUND(H981-D981,2)=0,1,0)</f>
        <v/>
      </c>
      <c r="J981">
        <f>IF(F981="","none",IF(G981=1,"carte","multiple"))</f>
        <v/>
      </c>
    </row>
    <row r="982">
      <c r="A982" t="inlineStr">
        <is>
          <t>2022-05-14</t>
        </is>
      </c>
      <c r="B982" t="inlineStr">
        <is>
          <t>19:15</t>
        </is>
      </c>
      <c r="C982" t="n">
        <v>2960</v>
      </c>
      <c r="D982" s="6" t="n">
        <v>7.2</v>
      </c>
      <c r="E982" t="n">
        <v>37737</v>
      </c>
      <c r="F982" s="6" t="n">
        <v>7.2</v>
      </c>
      <c r="G982" t="n">
        <v>1</v>
      </c>
      <c r="H982" s="6">
        <f>ROUND(G982*F982,2)</f>
        <v/>
      </c>
      <c r="I982">
        <f>IF(ROUND(H982-D982,2)=0,1,0)</f>
        <v/>
      </c>
      <c r="J982">
        <f>IF(F982="","none",IF(G982=1,"carte","multiple"))</f>
        <v/>
      </c>
    </row>
    <row r="983">
      <c r="A983" t="inlineStr">
        <is>
          <t>2022-05-14</t>
        </is>
      </c>
      <c r="B983" t="inlineStr">
        <is>
          <t>19:15</t>
        </is>
      </c>
      <c r="C983" t="n">
        <v>2960</v>
      </c>
      <c r="D983" s="6" t="n">
        <v>46</v>
      </c>
      <c r="E983" t="n">
        <v>37738</v>
      </c>
      <c r="F983" s="6" t="n">
        <v>0.4</v>
      </c>
      <c r="G983" t="n">
        <v>115</v>
      </c>
      <c r="H983" s="6">
        <f>ROUND(G983*F983,2)</f>
        <v/>
      </c>
      <c r="I983">
        <f>IF(ROUND(H983-D983,2)=0,1,0)</f>
        <v/>
      </c>
      <c r="J983">
        <f>IF(F983="","none",IF(G983=1,"carte","multiple"))</f>
        <v/>
      </c>
    </row>
    <row r="984">
      <c r="A984" t="inlineStr">
        <is>
          <t>2022-05-14</t>
        </is>
      </c>
      <c r="B984" t="inlineStr">
        <is>
          <t>19:15</t>
        </is>
      </c>
      <c r="C984" t="n">
        <v>2960</v>
      </c>
      <c r="D984" s="6" t="n">
        <v>8.4</v>
      </c>
      <c r="E984" t="n">
        <v>37739</v>
      </c>
      <c r="F984" s="6" t="n">
        <v>8.4</v>
      </c>
      <c r="G984" t="n">
        <v>1</v>
      </c>
      <c r="H984" s="6">
        <f>ROUND(G984*F984,2)</f>
        <v/>
      </c>
      <c r="I984">
        <f>IF(ROUND(H984-D984,2)=0,1,0)</f>
        <v/>
      </c>
      <c r="J984">
        <f>IF(F984="","none",IF(G984=1,"carte","multiple"))</f>
        <v/>
      </c>
    </row>
    <row r="985">
      <c r="A985" t="inlineStr">
        <is>
          <t>2022-05-14</t>
        </is>
      </c>
      <c r="B985" t="inlineStr">
        <is>
          <t>19:47</t>
        </is>
      </c>
      <c r="C985" t="n">
        <v>2960</v>
      </c>
      <c r="D985" s="6" t="n">
        <v>4.7</v>
      </c>
      <c r="E985" t="n">
        <v>37740</v>
      </c>
      <c r="F985" s="6" t="n">
        <v>4.7</v>
      </c>
      <c r="G985" t="n">
        <v>1</v>
      </c>
      <c r="H985" s="6">
        <f>ROUND(G985*F985,2)</f>
        <v/>
      </c>
      <c r="I985">
        <f>IF(ROUND(H985-D985,2)=0,1,0)</f>
        <v/>
      </c>
      <c r="J985">
        <f>IF(F985="","none",IF(G985=1,"carte","multiple"))</f>
        <v/>
      </c>
    </row>
    <row r="986">
      <c r="A986" t="inlineStr">
        <is>
          <t>2022-05-14</t>
        </is>
      </c>
      <c r="B986" t="inlineStr">
        <is>
          <t>19:47</t>
        </is>
      </c>
      <c r="C986" t="n">
        <v>2960</v>
      </c>
      <c r="D986" s="6" t="n">
        <v>8.300000000000001</v>
      </c>
      <c r="E986" t="n">
        <v>37741</v>
      </c>
      <c r="F986" s="6" t="n">
        <v>8.300000000000001</v>
      </c>
      <c r="G986" t="n">
        <v>1</v>
      </c>
      <c r="H986" s="6">
        <f>ROUND(G986*F986,2)</f>
        <v/>
      </c>
      <c r="I986">
        <f>IF(ROUND(H986-D986,2)=0,1,0)</f>
        <v/>
      </c>
      <c r="J986">
        <f>IF(F986="","none",IF(G986=1,"carte","multiple"))</f>
        <v/>
      </c>
    </row>
    <row r="987">
      <c r="A987" t="inlineStr">
        <is>
          <t>2022-05-14</t>
        </is>
      </c>
      <c r="B987" t="inlineStr">
        <is>
          <t>19:47</t>
        </is>
      </c>
      <c r="C987" t="n">
        <v>2960</v>
      </c>
      <c r="D987" s="6" t="n">
        <v>4.7</v>
      </c>
      <c r="E987" t="n">
        <v>37742</v>
      </c>
      <c r="F987" s="6" t="n">
        <v>4.7</v>
      </c>
      <c r="G987" t="n">
        <v>1</v>
      </c>
      <c r="H987" s="6">
        <f>ROUND(G987*F987,2)</f>
        <v/>
      </c>
      <c r="I987">
        <f>IF(ROUND(H987-D987,2)=0,1,0)</f>
        <v/>
      </c>
      <c r="J987">
        <f>IF(F987="","none",IF(G987=1,"carte","multiple"))</f>
        <v/>
      </c>
    </row>
    <row r="988">
      <c r="A988" t="inlineStr">
        <is>
          <t>2022-05-14</t>
        </is>
      </c>
      <c r="B988" t="inlineStr">
        <is>
          <t>19:47</t>
        </is>
      </c>
      <c r="C988" t="n">
        <v>2960</v>
      </c>
      <c r="D988" s="6" t="n">
        <v>5.6</v>
      </c>
      <c r="E988" t="n">
        <v>37743</v>
      </c>
      <c r="F988" s="6" t="n">
        <v>5.6</v>
      </c>
      <c r="G988" t="n">
        <v>1</v>
      </c>
      <c r="H988" s="6">
        <f>ROUND(G988*F988,2)</f>
        <v/>
      </c>
      <c r="I988">
        <f>IF(ROUND(H988-D988,2)=0,1,0)</f>
        <v/>
      </c>
      <c r="J988">
        <f>IF(F988="","none",IF(G988=1,"carte","multiple"))</f>
        <v/>
      </c>
    </row>
    <row r="989">
      <c r="A989" t="inlineStr">
        <is>
          <t>2022-05-14</t>
        </is>
      </c>
      <c r="B989" t="inlineStr">
        <is>
          <t>19:47</t>
        </is>
      </c>
      <c r="C989" t="n">
        <v>2960</v>
      </c>
      <c r="D989" s="6" t="n">
        <v>3.8</v>
      </c>
      <c r="E989" t="n">
        <v>37744</v>
      </c>
      <c r="F989" s="6" t="n">
        <v>3.8</v>
      </c>
      <c r="G989" t="n">
        <v>1</v>
      </c>
      <c r="H989" s="6">
        <f>ROUND(G989*F989,2)</f>
        <v/>
      </c>
      <c r="I989">
        <f>IF(ROUND(H989-D989,2)=0,1,0)</f>
        <v/>
      </c>
      <c r="J989">
        <f>IF(F989="","none",IF(G989=1,"carte","multiple"))</f>
        <v/>
      </c>
    </row>
    <row r="990">
      <c r="A990" t="inlineStr">
        <is>
          <t>2022-05-14</t>
        </is>
      </c>
      <c r="B990" t="inlineStr">
        <is>
          <t>19:47</t>
        </is>
      </c>
      <c r="C990" t="n">
        <v>2960</v>
      </c>
      <c r="D990" s="6" t="n">
        <v>9.800000000000001</v>
      </c>
      <c r="E990" t="n">
        <v>37745</v>
      </c>
      <c r="F990" s="6" t="n">
        <v>9.800000000000001</v>
      </c>
      <c r="G990" t="n">
        <v>1</v>
      </c>
      <c r="H990" s="6">
        <f>ROUND(G990*F990,2)</f>
        <v/>
      </c>
      <c r="I990">
        <f>IF(ROUND(H990-D990,2)=0,1,0)</f>
        <v/>
      </c>
      <c r="J990">
        <f>IF(F990="","none",IF(G990=1,"carte","multiple"))</f>
        <v/>
      </c>
    </row>
    <row r="991">
      <c r="A991" t="inlineStr">
        <is>
          <t>2022-05-14</t>
        </is>
      </c>
      <c r="B991" t="inlineStr">
        <is>
          <t>19:47</t>
        </is>
      </c>
      <c r="C991" t="n">
        <v>2960</v>
      </c>
      <c r="D991" s="6" t="n">
        <v>9</v>
      </c>
      <c r="E991" t="n">
        <v>37746</v>
      </c>
      <c r="F991" s="6" t="n">
        <v>9</v>
      </c>
      <c r="G991" t="n">
        <v>1</v>
      </c>
      <c r="H991" s="6">
        <f>ROUND(G991*F991,2)</f>
        <v/>
      </c>
      <c r="I991">
        <f>IF(ROUND(H991-D991,2)=0,1,0)</f>
        <v/>
      </c>
      <c r="J991">
        <f>IF(F991="","none",IF(G991=1,"carte","multiple"))</f>
        <v/>
      </c>
    </row>
    <row r="992">
      <c r="A992" t="inlineStr">
        <is>
          <t>2022-05-14</t>
        </is>
      </c>
      <c r="B992" t="inlineStr">
        <is>
          <t>19:47</t>
        </is>
      </c>
      <c r="C992" t="n">
        <v>2960</v>
      </c>
      <c r="D992" s="6" t="n">
        <v>39.5</v>
      </c>
      <c r="E992" t="n">
        <v>37747</v>
      </c>
      <c r="F992" s="6" t="n">
        <v>39.5</v>
      </c>
      <c r="G992" t="n">
        <v>1</v>
      </c>
      <c r="H992" s="6">
        <f>ROUND(G992*F992,2)</f>
        <v/>
      </c>
      <c r="I992">
        <f>IF(ROUND(H992-D992,2)=0,1,0)</f>
        <v/>
      </c>
      <c r="J992">
        <f>IF(F992="","none",IF(G992=1,"carte","multiple"))</f>
        <v/>
      </c>
    </row>
    <row r="993">
      <c r="A993" t="inlineStr">
        <is>
          <t>2022-05-14</t>
        </is>
      </c>
      <c r="B993" t="inlineStr">
        <is>
          <t>19:47</t>
        </is>
      </c>
      <c r="C993" t="n">
        <v>2960</v>
      </c>
      <c r="D993" s="6" t="n">
        <v>16.9</v>
      </c>
      <c r="E993" t="n">
        <v>37748</v>
      </c>
      <c r="F993" s="6" t="n">
        <v>16.9</v>
      </c>
      <c r="G993" t="n">
        <v>1</v>
      </c>
      <c r="H993" s="6">
        <f>ROUND(G993*F993,2)</f>
        <v/>
      </c>
      <c r="I993">
        <f>IF(ROUND(H993-D993,2)=0,1,0)</f>
        <v/>
      </c>
      <c r="J993">
        <f>IF(F993="","none",IF(G993=1,"carte","multiple"))</f>
        <v/>
      </c>
    </row>
    <row r="994">
      <c r="A994" t="inlineStr">
        <is>
          <t>2022-05-14</t>
        </is>
      </c>
      <c r="B994" t="inlineStr">
        <is>
          <t>19:47</t>
        </is>
      </c>
      <c r="C994" t="n">
        <v>2960</v>
      </c>
      <c r="D994" s="6" t="n">
        <v>16.8</v>
      </c>
      <c r="E994" t="n">
        <v>37749</v>
      </c>
      <c r="F994" s="6" t="n">
        <v>16.8</v>
      </c>
      <c r="G994" t="n">
        <v>1</v>
      </c>
      <c r="H994" s="6">
        <f>ROUND(G994*F994,2)</f>
        <v/>
      </c>
      <c r="I994">
        <f>IF(ROUND(H994-D994,2)=0,1,0)</f>
        <v/>
      </c>
      <c r="J994">
        <f>IF(F994="","none",IF(G994=1,"carte","multiple"))</f>
        <v/>
      </c>
    </row>
    <row r="995">
      <c r="A995" t="inlineStr">
        <is>
          <t>2022-05-14</t>
        </is>
      </c>
      <c r="B995" t="inlineStr">
        <is>
          <t>19:47</t>
        </is>
      </c>
      <c r="C995" t="n">
        <v>2960</v>
      </c>
      <c r="D995" s="6" t="n">
        <v>28.6</v>
      </c>
      <c r="E995" t="n">
        <v>37750</v>
      </c>
      <c r="F995" s="6" t="n">
        <v>28.6</v>
      </c>
      <c r="G995" t="n">
        <v>1</v>
      </c>
      <c r="H995" s="6">
        <f>ROUND(G995*F995,2)</f>
        <v/>
      </c>
      <c r="I995">
        <f>IF(ROUND(H995-D995,2)=0,1,0)</f>
        <v/>
      </c>
      <c r="J995">
        <f>IF(F995="","none",IF(G995=1,"carte","multiple"))</f>
        <v/>
      </c>
    </row>
    <row r="996">
      <c r="A996" t="inlineStr">
        <is>
          <t>2022-05-14</t>
        </is>
      </c>
      <c r="B996" t="inlineStr">
        <is>
          <t>19:47</t>
        </is>
      </c>
      <c r="C996" t="n">
        <v>2960</v>
      </c>
      <c r="D996" s="6" t="n">
        <v>17.6</v>
      </c>
      <c r="E996" t="n">
        <v>37751</v>
      </c>
      <c r="F996" s="6" t="n">
        <v>17.6</v>
      </c>
      <c r="G996" t="n">
        <v>1</v>
      </c>
      <c r="H996" s="6">
        <f>ROUND(G996*F996,2)</f>
        <v/>
      </c>
      <c r="I996">
        <f>IF(ROUND(H996-D996,2)=0,1,0)</f>
        <v/>
      </c>
      <c r="J996">
        <f>IF(F996="","none",IF(G996=1,"carte","multiple"))</f>
        <v/>
      </c>
    </row>
    <row r="997">
      <c r="A997" t="inlineStr">
        <is>
          <t>2022-05-14</t>
        </is>
      </c>
      <c r="B997" t="inlineStr">
        <is>
          <t>20:03</t>
        </is>
      </c>
      <c r="C997" t="n">
        <v>2960</v>
      </c>
      <c r="D997" s="6" t="n">
        <v>10.4</v>
      </c>
      <c r="E997" t="n">
        <v>37752</v>
      </c>
      <c r="F997" s="6" t="n">
        <v>0.4</v>
      </c>
      <c r="G997" t="n">
        <v>26</v>
      </c>
      <c r="H997" s="6">
        <f>ROUND(G997*F997,2)</f>
        <v/>
      </c>
      <c r="I997">
        <f>IF(ROUND(H997-D997,2)=0,1,0)</f>
        <v/>
      </c>
      <c r="J997">
        <f>IF(F997="","none",IF(G997=1,"carte","multiple"))</f>
        <v/>
      </c>
    </row>
    <row r="998">
      <c r="A998" t="inlineStr">
        <is>
          <t>2022-05-14</t>
        </is>
      </c>
      <c r="B998" t="inlineStr">
        <is>
          <t>20:03</t>
        </is>
      </c>
      <c r="C998" t="n">
        <v>2960</v>
      </c>
      <c r="D998" s="6" t="n">
        <v>64</v>
      </c>
      <c r="E998" t="n">
        <v>37753</v>
      </c>
      <c r="F998" s="6" t="n">
        <v>64</v>
      </c>
      <c r="G998" t="n">
        <v>1</v>
      </c>
      <c r="H998" s="6">
        <f>ROUND(G998*F998,2)</f>
        <v/>
      </c>
      <c r="I998">
        <f>IF(ROUND(H998-D998,2)=0,1,0)</f>
        <v/>
      </c>
      <c r="J998">
        <f>IF(F998="","none",IF(G998=1,"carte","multiple"))</f>
        <v/>
      </c>
    </row>
    <row r="999">
      <c r="A999" t="inlineStr">
        <is>
          <t>2022-05-14</t>
        </is>
      </c>
      <c r="B999" t="inlineStr">
        <is>
          <t>20:03</t>
        </is>
      </c>
      <c r="C999" t="n">
        <v>2960</v>
      </c>
      <c r="D999" s="6" t="n">
        <v>39.5</v>
      </c>
      <c r="E999" t="n">
        <v>37754</v>
      </c>
      <c r="F999" s="6" t="n">
        <v>39.5</v>
      </c>
      <c r="G999" t="n">
        <v>1</v>
      </c>
      <c r="H999" s="6">
        <f>ROUND(G999*F999,2)</f>
        <v/>
      </c>
      <c r="I999">
        <f>IF(ROUND(H999-D999,2)=0,1,0)</f>
        <v/>
      </c>
      <c r="J999">
        <f>IF(F999="","none",IF(G999=1,"carte","multiple"))</f>
        <v/>
      </c>
    </row>
    <row r="1000">
      <c r="A1000" t="inlineStr">
        <is>
          <t>2022-05-14</t>
        </is>
      </c>
      <c r="B1000" t="inlineStr">
        <is>
          <t>21:06</t>
        </is>
      </c>
      <c r="C1000" t="n">
        <v>2960</v>
      </c>
      <c r="D1000" s="6" t="n">
        <v>19.9</v>
      </c>
      <c r="E1000" t="n">
        <v>37755</v>
      </c>
      <c r="F1000" s="6" t="n">
        <v>19.9</v>
      </c>
      <c r="G1000" t="n">
        <v>1</v>
      </c>
      <c r="H1000" s="6">
        <f>ROUND(G1000*F1000,2)</f>
        <v/>
      </c>
      <c r="I1000">
        <f>IF(ROUND(H1000-D1000,2)=0,1,0)</f>
        <v/>
      </c>
      <c r="J1000">
        <f>IF(F1000="","none",IF(G1000=1,"carte","multiple"))</f>
        <v/>
      </c>
    </row>
    <row r="1001">
      <c r="A1001" t="inlineStr">
        <is>
          <t>2022-05-14</t>
        </is>
      </c>
      <c r="B1001" t="inlineStr">
        <is>
          <t>21:06</t>
        </is>
      </c>
      <c r="C1001" t="n">
        <v>2960</v>
      </c>
      <c r="D1001" s="6" t="n">
        <v>19</v>
      </c>
      <c r="E1001" t="n">
        <v>37756</v>
      </c>
      <c r="F1001" s="6" t="n">
        <v>19</v>
      </c>
      <c r="G1001" t="n">
        <v>1</v>
      </c>
      <c r="H1001" s="6">
        <f>ROUND(G1001*F1001,2)</f>
        <v/>
      </c>
      <c r="I1001">
        <f>IF(ROUND(H1001-D1001,2)=0,1,0)</f>
        <v/>
      </c>
      <c r="J1001">
        <f>IF(F1001="","none",IF(G1001=1,"carte","multiple"))</f>
        <v/>
      </c>
    </row>
    <row r="1002">
      <c r="A1002" t="inlineStr">
        <is>
          <t>2022-05-14</t>
        </is>
      </c>
      <c r="B1002" t="inlineStr">
        <is>
          <t>21:06</t>
        </is>
      </c>
      <c r="C1002" t="n">
        <v>2960</v>
      </c>
      <c r="D1002" s="6" t="n">
        <v>2.2</v>
      </c>
      <c r="E1002" t="n">
        <v>37757</v>
      </c>
      <c r="F1002" s="6" t="n">
        <v>2.2</v>
      </c>
      <c r="G1002" t="n">
        <v>1</v>
      </c>
      <c r="H1002" s="6">
        <f>ROUND(G1002*F1002,2)</f>
        <v/>
      </c>
      <c r="I1002">
        <f>IF(ROUND(H1002-D1002,2)=0,1,0)</f>
        <v/>
      </c>
      <c r="J1002">
        <f>IF(F1002="","none",IF(G1002=1,"carte","multiple"))</f>
        <v/>
      </c>
    </row>
    <row r="1003">
      <c r="A1003" t="inlineStr">
        <is>
          <t>2022-05-15</t>
        </is>
      </c>
      <c r="B1003" t="inlineStr">
        <is>
          <t>11:07</t>
        </is>
      </c>
      <c r="C1003" t="n">
        <v>2961</v>
      </c>
      <c r="D1003" s="6" t="n">
        <v>8</v>
      </c>
      <c r="E1003" t="n">
        <v>37762</v>
      </c>
      <c r="F1003" s="6" t="n">
        <v>8</v>
      </c>
      <c r="G1003" t="n">
        <v>1</v>
      </c>
      <c r="H1003" s="6">
        <f>ROUND(G1003*F1003,2)</f>
        <v/>
      </c>
      <c r="I1003">
        <f>IF(ROUND(H1003-D1003,2)=0,1,0)</f>
        <v/>
      </c>
      <c r="J1003">
        <f>IF(F1003="","none",IF(G1003=1,"carte","multiple"))</f>
        <v/>
      </c>
    </row>
    <row r="1004">
      <c r="A1004" t="inlineStr">
        <is>
          <t>2022-05-15</t>
        </is>
      </c>
      <c r="B1004" t="inlineStr">
        <is>
          <t>11:07</t>
        </is>
      </c>
      <c r="C1004" t="n">
        <v>2961</v>
      </c>
      <c r="D1004" s="6" t="n">
        <v>10.9</v>
      </c>
      <c r="E1004" t="n">
        <v>37763</v>
      </c>
      <c r="F1004" s="6" t="n">
        <v>10.9</v>
      </c>
      <c r="G1004" t="n">
        <v>1</v>
      </c>
      <c r="H1004" s="6">
        <f>ROUND(G1004*F1004,2)</f>
        <v/>
      </c>
      <c r="I1004">
        <f>IF(ROUND(H1004-D1004,2)=0,1,0)</f>
        <v/>
      </c>
      <c r="J1004">
        <f>IF(F1004="","none",IF(G1004=1,"carte","multiple"))</f>
        <v/>
      </c>
    </row>
    <row r="1005">
      <c r="A1005" t="inlineStr">
        <is>
          <t>2022-05-15</t>
        </is>
      </c>
      <c r="B1005" t="inlineStr">
        <is>
          <t>11:15</t>
        </is>
      </c>
      <c r="C1005" t="n">
        <v>2961</v>
      </c>
      <c r="D1005" s="6" t="n">
        <v>39.5</v>
      </c>
      <c r="E1005" t="n">
        <v>37764</v>
      </c>
      <c r="F1005" s="6" t="n">
        <v>39.5</v>
      </c>
      <c r="G1005" t="n">
        <v>1</v>
      </c>
      <c r="H1005" s="6">
        <f>ROUND(G1005*F1005,2)</f>
        <v/>
      </c>
      <c r="I1005">
        <f>IF(ROUND(H1005-D1005,2)=0,1,0)</f>
        <v/>
      </c>
      <c r="J1005">
        <f>IF(F1005="","none",IF(G1005=1,"carte","multiple"))</f>
        <v/>
      </c>
    </row>
    <row r="1006">
      <c r="A1006" t="inlineStr">
        <is>
          <t>2022-05-15</t>
        </is>
      </c>
      <c r="B1006" t="inlineStr">
        <is>
          <t>12:05</t>
        </is>
      </c>
      <c r="C1006" t="n">
        <v>2961</v>
      </c>
      <c r="D1006" s="6" t="n">
        <v>28.6</v>
      </c>
      <c r="E1006" t="n">
        <v>37765</v>
      </c>
      <c r="F1006" s="6" t="n">
        <v>28.6</v>
      </c>
      <c r="G1006" t="n">
        <v>1</v>
      </c>
      <c r="H1006" s="6">
        <f>ROUND(G1006*F1006,2)</f>
        <v/>
      </c>
      <c r="I1006">
        <f>IF(ROUND(H1006-D1006,2)=0,1,0)</f>
        <v/>
      </c>
      <c r="J1006">
        <f>IF(F1006="","none",IF(G1006=1,"carte","multiple"))</f>
        <v/>
      </c>
    </row>
    <row r="1007">
      <c r="A1007" t="inlineStr">
        <is>
          <t>2022-05-15</t>
        </is>
      </c>
      <c r="B1007" t="inlineStr">
        <is>
          <t>12:05</t>
        </is>
      </c>
      <c r="C1007" t="n">
        <v>2961</v>
      </c>
      <c r="D1007" s="6" t="n">
        <v>17.6</v>
      </c>
      <c r="E1007" t="n">
        <v>37766</v>
      </c>
      <c r="F1007" s="6" t="n">
        <v>17.6</v>
      </c>
      <c r="G1007" t="n">
        <v>1</v>
      </c>
      <c r="H1007" s="6">
        <f>ROUND(G1007*F1007,2)</f>
        <v/>
      </c>
      <c r="I1007">
        <f>IF(ROUND(H1007-D1007,2)=0,1,0)</f>
        <v/>
      </c>
      <c r="J1007">
        <f>IF(F1007="","none",IF(G1007=1,"carte","multiple"))</f>
        <v/>
      </c>
    </row>
    <row r="1008">
      <c r="A1008" t="inlineStr">
        <is>
          <t>2022-05-15</t>
        </is>
      </c>
      <c r="B1008" t="inlineStr">
        <is>
          <t>12:05</t>
        </is>
      </c>
      <c r="C1008" t="n">
        <v>2961</v>
      </c>
      <c r="D1008" s="6" t="n">
        <v>8</v>
      </c>
      <c r="E1008" t="n">
        <v>37767</v>
      </c>
      <c r="F1008" s="6" t="n">
        <v>8</v>
      </c>
      <c r="G1008" t="n">
        <v>1</v>
      </c>
      <c r="H1008" s="6">
        <f>ROUND(G1008*F1008,2)</f>
        <v/>
      </c>
      <c r="I1008">
        <f>IF(ROUND(H1008-D1008,2)=0,1,0)</f>
        <v/>
      </c>
      <c r="J1008">
        <f>IF(F1008="","none",IF(G1008=1,"carte","multiple"))</f>
        <v/>
      </c>
    </row>
    <row r="1009">
      <c r="A1009" t="inlineStr">
        <is>
          <t>2022-05-15</t>
        </is>
      </c>
      <c r="B1009" t="inlineStr">
        <is>
          <t>12:06</t>
        </is>
      </c>
      <c r="C1009" t="n">
        <v>2961</v>
      </c>
      <c r="D1009" s="6" t="n">
        <v>17.6</v>
      </c>
      <c r="E1009" t="n">
        <v>37768</v>
      </c>
      <c r="F1009" s="6" t="n">
        <v>17.6</v>
      </c>
      <c r="G1009" t="n">
        <v>1</v>
      </c>
      <c r="H1009" s="6">
        <f>ROUND(G1009*F1009,2)</f>
        <v/>
      </c>
      <c r="I1009">
        <f>IF(ROUND(H1009-D1009,2)=0,1,0)</f>
        <v/>
      </c>
      <c r="J1009">
        <f>IF(F1009="","none",IF(G1009=1,"carte","multiple"))</f>
        <v/>
      </c>
    </row>
    <row r="1010">
      <c r="A1010" t="inlineStr">
        <is>
          <t>2022-05-15</t>
        </is>
      </c>
      <c r="B1010" t="inlineStr">
        <is>
          <t>12:15</t>
        </is>
      </c>
      <c r="C1010" t="n">
        <v>2961</v>
      </c>
      <c r="D1010" s="6" t="n">
        <v>18</v>
      </c>
      <c r="E1010" t="n">
        <v>37769</v>
      </c>
      <c r="F1010" s="6" t="n">
        <v>18</v>
      </c>
      <c r="G1010" t="n">
        <v>1</v>
      </c>
      <c r="H1010" s="6">
        <f>ROUND(G1010*F1010,2)</f>
        <v/>
      </c>
      <c r="I1010">
        <f>IF(ROUND(H1010-D1010,2)=0,1,0)</f>
        <v/>
      </c>
      <c r="J1010">
        <f>IF(F1010="","none",IF(G1010=1,"carte","multiple"))</f>
        <v/>
      </c>
    </row>
    <row r="1011">
      <c r="A1011" t="inlineStr">
        <is>
          <t>2022-05-15</t>
        </is>
      </c>
      <c r="B1011" t="inlineStr">
        <is>
          <t>12:55</t>
        </is>
      </c>
      <c r="C1011" t="n">
        <v>2961</v>
      </c>
      <c r="D1011" s="6" t="n">
        <v>3.9</v>
      </c>
      <c r="E1011" t="n">
        <v>37770</v>
      </c>
      <c r="F1011" s="6" t="n">
        <v>3.9</v>
      </c>
      <c r="G1011" t="n">
        <v>1</v>
      </c>
      <c r="H1011" s="6">
        <f>ROUND(G1011*F1011,2)</f>
        <v/>
      </c>
      <c r="I1011">
        <f>IF(ROUND(H1011-D1011,2)=0,1,0)</f>
        <v/>
      </c>
      <c r="J1011">
        <f>IF(F1011="","none",IF(G1011=1,"carte","multiple"))</f>
        <v/>
      </c>
    </row>
    <row r="1012">
      <c r="A1012" t="inlineStr">
        <is>
          <t>2022-05-15</t>
        </is>
      </c>
      <c r="B1012" t="inlineStr">
        <is>
          <t>12:55</t>
        </is>
      </c>
      <c r="C1012" t="n">
        <v>2961</v>
      </c>
      <c r="D1012" s="6" t="n">
        <v>2.2</v>
      </c>
      <c r="E1012" t="n">
        <v>37771</v>
      </c>
      <c r="F1012" s="6" t="n">
        <v>2.2</v>
      </c>
      <c r="G1012" t="n">
        <v>1</v>
      </c>
      <c r="H1012" s="6">
        <f>ROUND(G1012*F1012,2)</f>
        <v/>
      </c>
      <c r="I1012">
        <f>IF(ROUND(H1012-D1012,2)=0,1,0)</f>
        <v/>
      </c>
      <c r="J1012">
        <f>IF(F1012="","none",IF(G1012=1,"carte","multiple"))</f>
        <v/>
      </c>
    </row>
    <row r="1013">
      <c r="A1013" t="inlineStr">
        <is>
          <t>2022-05-15</t>
        </is>
      </c>
      <c r="B1013" t="inlineStr">
        <is>
          <t>12:55</t>
        </is>
      </c>
      <c r="C1013" t="n">
        <v>2961</v>
      </c>
      <c r="D1013" s="6" t="n">
        <v>31.8</v>
      </c>
      <c r="E1013" t="n">
        <v>37772</v>
      </c>
      <c r="F1013" s="6" t="n">
        <v>31.8</v>
      </c>
      <c r="G1013" t="n">
        <v>1</v>
      </c>
      <c r="H1013" s="6">
        <f>ROUND(G1013*F1013,2)</f>
        <v/>
      </c>
      <c r="I1013">
        <f>IF(ROUND(H1013-D1013,2)=0,1,0)</f>
        <v/>
      </c>
      <c r="J1013">
        <f>IF(F1013="","none",IF(G1013=1,"carte","multiple"))</f>
        <v/>
      </c>
    </row>
    <row r="1014">
      <c r="A1014" t="inlineStr">
        <is>
          <t>2022-05-15</t>
        </is>
      </c>
      <c r="B1014" t="inlineStr">
        <is>
          <t>12:55</t>
        </is>
      </c>
      <c r="C1014" t="n">
        <v>2961</v>
      </c>
      <c r="D1014" s="6" t="n">
        <v>3.8</v>
      </c>
      <c r="E1014" t="n">
        <v>37773</v>
      </c>
      <c r="F1014" s="6" t="n">
        <v>3.8</v>
      </c>
      <c r="G1014" t="n">
        <v>1</v>
      </c>
      <c r="H1014" s="6">
        <f>ROUND(G1014*F1014,2)</f>
        <v/>
      </c>
      <c r="I1014">
        <f>IF(ROUND(H1014-D1014,2)=0,1,0)</f>
        <v/>
      </c>
      <c r="J1014">
        <f>IF(F1014="","none",IF(G1014=1,"carte","multiple"))</f>
        <v/>
      </c>
    </row>
    <row r="1015">
      <c r="A1015" t="inlineStr">
        <is>
          <t>2022-05-15</t>
        </is>
      </c>
      <c r="B1015" t="inlineStr">
        <is>
          <t>12:55</t>
        </is>
      </c>
      <c r="C1015" t="n">
        <v>2961</v>
      </c>
      <c r="D1015" s="6" t="n">
        <v>4.2</v>
      </c>
      <c r="E1015" t="n">
        <v>37774</v>
      </c>
      <c r="F1015" s="6" t="n">
        <v>4.2</v>
      </c>
      <c r="G1015" t="n">
        <v>1</v>
      </c>
      <c r="H1015" s="6">
        <f>ROUND(G1015*F1015,2)</f>
        <v/>
      </c>
      <c r="I1015">
        <f>IF(ROUND(H1015-D1015,2)=0,1,0)</f>
        <v/>
      </c>
      <c r="J1015">
        <f>IF(F1015="","none",IF(G1015=1,"carte","multiple"))</f>
        <v/>
      </c>
    </row>
    <row r="1016">
      <c r="A1016" t="inlineStr">
        <is>
          <t>2022-05-15</t>
        </is>
      </c>
      <c r="B1016" t="inlineStr">
        <is>
          <t>13:03</t>
        </is>
      </c>
      <c r="C1016" t="n">
        <v>2961</v>
      </c>
      <c r="D1016" s="6" t="n">
        <v>29.9</v>
      </c>
      <c r="E1016" t="n">
        <v>37775</v>
      </c>
      <c r="F1016" s="6" t="n">
        <v>29.9</v>
      </c>
      <c r="G1016" t="n">
        <v>1</v>
      </c>
      <c r="H1016" s="6">
        <f>ROUND(G1016*F1016,2)</f>
        <v/>
      </c>
      <c r="I1016">
        <f>IF(ROUND(H1016-D1016,2)=0,1,0)</f>
        <v/>
      </c>
      <c r="J1016">
        <f>IF(F1016="","none",IF(G1016=1,"carte","multiple"))</f>
        <v/>
      </c>
    </row>
    <row r="1017">
      <c r="A1017" t="inlineStr">
        <is>
          <t>2022-05-15</t>
        </is>
      </c>
      <c r="B1017" t="inlineStr">
        <is>
          <t>13:06</t>
        </is>
      </c>
      <c r="C1017" t="n">
        <v>2961</v>
      </c>
      <c r="D1017" s="6" t="n">
        <v>24</v>
      </c>
      <c r="E1017" t="n">
        <v>37776</v>
      </c>
      <c r="F1017" s="6" t="n">
        <v>24</v>
      </c>
      <c r="G1017" t="n">
        <v>1</v>
      </c>
      <c r="H1017" s="6">
        <f>ROUND(G1017*F1017,2)</f>
        <v/>
      </c>
      <c r="I1017">
        <f>IF(ROUND(H1017-D1017,2)=0,1,0)</f>
        <v/>
      </c>
      <c r="J1017">
        <f>IF(F1017="","none",IF(G1017=1,"carte","multiple"))</f>
        <v/>
      </c>
    </row>
    <row r="1018">
      <c r="A1018" t="inlineStr">
        <is>
          <t>2022-05-15</t>
        </is>
      </c>
      <c r="B1018" t="inlineStr">
        <is>
          <t>13:06</t>
        </is>
      </c>
      <c r="C1018" t="n">
        <v>2961</v>
      </c>
      <c r="D1018" s="6" t="n">
        <v>15.9</v>
      </c>
      <c r="E1018" t="n">
        <v>37777</v>
      </c>
      <c r="F1018" s="6" t="n">
        <v>15.9</v>
      </c>
      <c r="G1018" t="n">
        <v>1</v>
      </c>
      <c r="H1018" s="6">
        <f>ROUND(G1018*F1018,2)</f>
        <v/>
      </c>
      <c r="I1018">
        <f>IF(ROUND(H1018-D1018,2)=0,1,0)</f>
        <v/>
      </c>
      <c r="J1018">
        <f>IF(F1018="","none",IF(G1018=1,"carte","multiple"))</f>
        <v/>
      </c>
    </row>
    <row r="1019">
      <c r="A1019" t="inlineStr">
        <is>
          <t>2022-05-15</t>
        </is>
      </c>
      <c r="B1019" t="inlineStr">
        <is>
          <t>13:06</t>
        </is>
      </c>
      <c r="C1019" t="n">
        <v>2961</v>
      </c>
      <c r="D1019" s="6" t="n">
        <v>19</v>
      </c>
      <c r="E1019" t="n">
        <v>37778</v>
      </c>
      <c r="F1019" s="6" t="n">
        <v>19</v>
      </c>
      <c r="G1019" t="n">
        <v>1</v>
      </c>
      <c r="H1019" s="6">
        <f>ROUND(G1019*F1019,2)</f>
        <v/>
      </c>
      <c r="I1019">
        <f>IF(ROUND(H1019-D1019,2)=0,1,0)</f>
        <v/>
      </c>
      <c r="J1019">
        <f>IF(F1019="","none",IF(G1019=1,"carte","multiple"))</f>
        <v/>
      </c>
    </row>
    <row r="1020">
      <c r="A1020" t="inlineStr">
        <is>
          <t>2022-05-15</t>
        </is>
      </c>
      <c r="B1020" t="inlineStr">
        <is>
          <t>13:06</t>
        </is>
      </c>
      <c r="C1020" t="n">
        <v>2961</v>
      </c>
      <c r="D1020" s="6" t="n">
        <v>3.9</v>
      </c>
      <c r="E1020" t="n">
        <v>37779</v>
      </c>
      <c r="F1020" s="6" t="n">
        <v>3.9</v>
      </c>
      <c r="G1020" t="n">
        <v>1</v>
      </c>
      <c r="H1020" s="6">
        <f>ROUND(G1020*F1020,2)</f>
        <v/>
      </c>
      <c r="I1020">
        <f>IF(ROUND(H1020-D1020,2)=0,1,0)</f>
        <v/>
      </c>
      <c r="J1020">
        <f>IF(F1020="","none",IF(G1020=1,"carte","multiple"))</f>
        <v/>
      </c>
    </row>
    <row r="1021">
      <c r="A1021" t="inlineStr">
        <is>
          <t>2022-05-15</t>
        </is>
      </c>
      <c r="B1021" t="inlineStr">
        <is>
          <t>13:06</t>
        </is>
      </c>
      <c r="C1021" t="n">
        <v>2961</v>
      </c>
      <c r="D1021" s="6" t="n">
        <v>8.699999999999999</v>
      </c>
      <c r="E1021" t="n">
        <v>37780</v>
      </c>
      <c r="F1021" s="6" t="n">
        <v>8.699999999999999</v>
      </c>
      <c r="G1021" t="n">
        <v>1</v>
      </c>
      <c r="H1021" s="6">
        <f>ROUND(G1021*F1021,2)</f>
        <v/>
      </c>
      <c r="I1021">
        <f>IF(ROUND(H1021-D1021,2)=0,1,0)</f>
        <v/>
      </c>
      <c r="J1021">
        <f>IF(F1021="","none",IF(G1021=1,"carte","multiple"))</f>
        <v/>
      </c>
    </row>
    <row r="1022">
      <c r="A1022" t="inlineStr">
        <is>
          <t>2022-05-15</t>
        </is>
      </c>
      <c r="B1022" t="inlineStr">
        <is>
          <t>13:06</t>
        </is>
      </c>
      <c r="C1022" t="n">
        <v>2961</v>
      </c>
      <c r="D1022" s="6" t="n">
        <v>13.4</v>
      </c>
      <c r="E1022" t="n">
        <v>37781</v>
      </c>
      <c r="F1022" s="6" t="n">
        <v>13.4</v>
      </c>
      <c r="G1022" t="n">
        <v>1</v>
      </c>
      <c r="H1022" s="6">
        <f>ROUND(G1022*F1022,2)</f>
        <v/>
      </c>
      <c r="I1022">
        <f>IF(ROUND(H1022-D1022,2)=0,1,0)</f>
        <v/>
      </c>
      <c r="J1022">
        <f>IF(F1022="","none",IF(G1022=1,"carte","multiple"))</f>
        <v/>
      </c>
    </row>
    <row r="1023">
      <c r="A1023" t="inlineStr">
        <is>
          <t>2022-05-15</t>
        </is>
      </c>
      <c r="B1023" t="inlineStr">
        <is>
          <t>13:06</t>
        </is>
      </c>
      <c r="C1023" t="n">
        <v>2961</v>
      </c>
      <c r="D1023" s="6" t="n">
        <v>31.8</v>
      </c>
      <c r="E1023" t="n">
        <v>37782</v>
      </c>
      <c r="F1023" s="6" t="n">
        <v>31.8</v>
      </c>
      <c r="G1023" t="n">
        <v>1</v>
      </c>
      <c r="H1023" s="6">
        <f>ROUND(G1023*F1023,2)</f>
        <v/>
      </c>
      <c r="I1023">
        <f>IF(ROUND(H1023-D1023,2)=0,1,0)</f>
        <v/>
      </c>
      <c r="J1023">
        <f>IF(F1023="","none",IF(G1023=1,"carte","multiple"))</f>
        <v/>
      </c>
    </row>
    <row r="1024">
      <c r="A1024" t="inlineStr">
        <is>
          <t>2022-05-15</t>
        </is>
      </c>
      <c r="B1024" t="inlineStr">
        <is>
          <t>13:11</t>
        </is>
      </c>
      <c r="C1024" t="n">
        <v>2961</v>
      </c>
      <c r="D1024" s="6" t="n">
        <v>4.2</v>
      </c>
      <c r="E1024" t="n">
        <v>37783</v>
      </c>
      <c r="F1024" s="6" t="n">
        <v>4.2</v>
      </c>
      <c r="G1024" t="n">
        <v>1</v>
      </c>
      <c r="H1024" s="6">
        <f>ROUND(G1024*F1024,2)</f>
        <v/>
      </c>
      <c r="I1024">
        <f>IF(ROUND(H1024-D1024,2)=0,1,0)</f>
        <v/>
      </c>
      <c r="J1024">
        <f>IF(F1024="","none",IF(G1024=1,"carte","multiple"))</f>
        <v/>
      </c>
    </row>
    <row r="1025">
      <c r="A1025" t="inlineStr">
        <is>
          <t>2022-05-15</t>
        </is>
      </c>
      <c r="B1025" t="inlineStr">
        <is>
          <t>13:11</t>
        </is>
      </c>
      <c r="C1025" t="n">
        <v>2961</v>
      </c>
      <c r="D1025" s="6" t="n">
        <v>4.2</v>
      </c>
      <c r="E1025" t="n">
        <v>37784</v>
      </c>
      <c r="F1025" s="6" t="n">
        <v>4.2</v>
      </c>
      <c r="G1025" t="n">
        <v>1</v>
      </c>
      <c r="H1025" s="6">
        <f>ROUND(G1025*F1025,2)</f>
        <v/>
      </c>
      <c r="I1025">
        <f>IF(ROUND(H1025-D1025,2)=0,1,0)</f>
        <v/>
      </c>
      <c r="J1025">
        <f>IF(F1025="","none",IF(G1025=1,"carte","multiple"))</f>
        <v/>
      </c>
    </row>
    <row r="1026">
      <c r="A1026" t="inlineStr">
        <is>
          <t>2022-05-15</t>
        </is>
      </c>
      <c r="B1026" t="inlineStr">
        <is>
          <t>13:11</t>
        </is>
      </c>
      <c r="C1026" t="n">
        <v>2961</v>
      </c>
      <c r="D1026" s="6" t="n">
        <v>64</v>
      </c>
      <c r="E1026" t="n">
        <v>37785</v>
      </c>
      <c r="F1026" s="6" t="n">
        <v>64</v>
      </c>
      <c r="G1026" t="n">
        <v>1</v>
      </c>
      <c r="H1026" s="6">
        <f>ROUND(G1026*F1026,2)</f>
        <v/>
      </c>
      <c r="I1026">
        <f>IF(ROUND(H1026-D1026,2)=0,1,0)</f>
        <v/>
      </c>
      <c r="J1026">
        <f>IF(F1026="","none",IF(G1026=1,"carte","multiple"))</f>
        <v/>
      </c>
    </row>
    <row r="1027">
      <c r="A1027" t="inlineStr">
        <is>
          <t>2022-05-15</t>
        </is>
      </c>
      <c r="B1027" t="inlineStr">
        <is>
          <t>13:26</t>
        </is>
      </c>
      <c r="C1027" t="n">
        <v>2961</v>
      </c>
      <c r="D1027" s="6" t="n">
        <v>5.9</v>
      </c>
      <c r="E1027" t="n">
        <v>37786</v>
      </c>
      <c r="F1027" s="6" t="n">
        <v>5.9</v>
      </c>
      <c r="G1027" t="n">
        <v>1</v>
      </c>
      <c r="H1027" s="6">
        <f>ROUND(G1027*F1027,2)</f>
        <v/>
      </c>
      <c r="I1027">
        <f>IF(ROUND(H1027-D1027,2)=0,1,0)</f>
        <v/>
      </c>
      <c r="J1027">
        <f>IF(F1027="","none",IF(G1027=1,"carte","multiple"))</f>
        <v/>
      </c>
    </row>
    <row r="1028">
      <c r="A1028" t="inlineStr">
        <is>
          <t>2022-05-15</t>
        </is>
      </c>
      <c r="B1028" t="inlineStr">
        <is>
          <t>13:26</t>
        </is>
      </c>
      <c r="C1028" t="n">
        <v>2961</v>
      </c>
      <c r="D1028" s="6" t="n">
        <v>9.6</v>
      </c>
      <c r="E1028" t="n">
        <v>37787</v>
      </c>
      <c r="F1028" s="6" t="n">
        <v>9.6</v>
      </c>
      <c r="G1028" t="n">
        <v>1</v>
      </c>
      <c r="H1028" s="6">
        <f>ROUND(G1028*F1028,2)</f>
        <v/>
      </c>
      <c r="I1028">
        <f>IF(ROUND(H1028-D1028,2)=0,1,0)</f>
        <v/>
      </c>
      <c r="J1028">
        <f>IF(F1028="","none",IF(G1028=1,"carte","multiple"))</f>
        <v/>
      </c>
    </row>
    <row r="1029">
      <c r="A1029" t="inlineStr">
        <is>
          <t>2022-05-15</t>
        </is>
      </c>
      <c r="B1029" t="inlineStr">
        <is>
          <t>13:26</t>
        </is>
      </c>
      <c r="C1029" t="n">
        <v>2961</v>
      </c>
      <c r="D1029" s="6" t="n">
        <v>8.9</v>
      </c>
      <c r="E1029" t="n">
        <v>37788</v>
      </c>
      <c r="F1029" s="6" t="n">
        <v>8.9</v>
      </c>
      <c r="G1029" t="n">
        <v>1</v>
      </c>
      <c r="H1029" s="6">
        <f>ROUND(G1029*F1029,2)</f>
        <v/>
      </c>
      <c r="I1029">
        <f>IF(ROUND(H1029-D1029,2)=0,1,0)</f>
        <v/>
      </c>
      <c r="J1029">
        <f>IF(F1029="","none",IF(G1029=1,"carte","multiple"))</f>
        <v/>
      </c>
    </row>
    <row r="1030">
      <c r="A1030" t="inlineStr">
        <is>
          <t>2022-05-15</t>
        </is>
      </c>
      <c r="B1030" t="inlineStr">
        <is>
          <t>13:26</t>
        </is>
      </c>
      <c r="C1030" t="n">
        <v>2961</v>
      </c>
      <c r="D1030" s="6" t="n">
        <v>9.9</v>
      </c>
      <c r="E1030" t="n">
        <v>37789</v>
      </c>
      <c r="F1030" s="6" t="n">
        <v>9.9</v>
      </c>
      <c r="G1030" t="n">
        <v>1</v>
      </c>
      <c r="H1030" s="6">
        <f>ROUND(G1030*F1030,2)</f>
        <v/>
      </c>
      <c r="I1030">
        <f>IF(ROUND(H1030-D1030,2)=0,1,0)</f>
        <v/>
      </c>
      <c r="J1030">
        <f>IF(F1030="","none",IF(G1030=1,"carte","multiple"))</f>
        <v/>
      </c>
    </row>
    <row r="1031">
      <c r="A1031" t="inlineStr">
        <is>
          <t>2022-05-15</t>
        </is>
      </c>
      <c r="B1031" t="inlineStr">
        <is>
          <t>13:26</t>
        </is>
      </c>
      <c r="C1031" t="n">
        <v>2961</v>
      </c>
      <c r="D1031" s="6" t="n">
        <v>10.4</v>
      </c>
      <c r="E1031" t="n">
        <v>37790</v>
      </c>
      <c r="F1031" s="6" t="n">
        <v>0.4</v>
      </c>
      <c r="G1031" t="n">
        <v>26</v>
      </c>
      <c r="H1031" s="6">
        <f>ROUND(G1031*F1031,2)</f>
        <v/>
      </c>
      <c r="I1031">
        <f>IF(ROUND(H1031-D1031,2)=0,1,0)</f>
        <v/>
      </c>
      <c r="J1031">
        <f>IF(F1031="","none",IF(G1031=1,"carte","multiple"))</f>
        <v/>
      </c>
    </row>
    <row r="1032">
      <c r="A1032" t="inlineStr">
        <is>
          <t>2022-05-15</t>
        </is>
      </c>
      <c r="B1032" t="inlineStr">
        <is>
          <t>13:26</t>
        </is>
      </c>
      <c r="C1032" t="n">
        <v>2961</v>
      </c>
      <c r="D1032" s="6" t="n">
        <v>3.9</v>
      </c>
      <c r="E1032" t="n">
        <v>37791</v>
      </c>
      <c r="F1032" s="6" t="n">
        <v>3.9</v>
      </c>
      <c r="G1032" t="n">
        <v>1</v>
      </c>
      <c r="H1032" s="6">
        <f>ROUND(G1032*F1032,2)</f>
        <v/>
      </c>
      <c r="I1032">
        <f>IF(ROUND(H1032-D1032,2)=0,1,0)</f>
        <v/>
      </c>
      <c r="J1032">
        <f>IF(F1032="","none",IF(G1032=1,"carte","multiple"))</f>
        <v/>
      </c>
    </row>
    <row r="1033">
      <c r="A1033" t="inlineStr">
        <is>
          <t>2022-05-15</t>
        </is>
      </c>
      <c r="B1033" t="inlineStr">
        <is>
          <t>13:26</t>
        </is>
      </c>
      <c r="C1033" t="n">
        <v>2961</v>
      </c>
      <c r="D1033" s="6" t="n">
        <v>3.9</v>
      </c>
      <c r="E1033" t="n">
        <v>37792</v>
      </c>
      <c r="F1033" s="6" t="n">
        <v>3.9</v>
      </c>
      <c r="G1033" t="n">
        <v>1</v>
      </c>
      <c r="H1033" s="6">
        <f>ROUND(G1033*F1033,2)</f>
        <v/>
      </c>
      <c r="I1033">
        <f>IF(ROUND(H1033-D1033,2)=0,1,0)</f>
        <v/>
      </c>
      <c r="J1033">
        <f>IF(F1033="","none",IF(G1033=1,"carte","multiple"))</f>
        <v/>
      </c>
    </row>
    <row r="1034">
      <c r="A1034" t="inlineStr">
        <is>
          <t>2022-05-15</t>
        </is>
      </c>
      <c r="B1034" t="inlineStr">
        <is>
          <t>13:26</t>
        </is>
      </c>
      <c r="C1034" t="n">
        <v>2961</v>
      </c>
      <c r="D1034" s="6" t="n">
        <v>8.9</v>
      </c>
      <c r="E1034" t="n">
        <v>37793</v>
      </c>
      <c r="F1034" s="6" t="n">
        <v>8.9</v>
      </c>
      <c r="G1034" t="n">
        <v>1</v>
      </c>
      <c r="H1034" s="6">
        <f>ROUND(G1034*F1034,2)</f>
        <v/>
      </c>
      <c r="I1034">
        <f>IF(ROUND(H1034-D1034,2)=0,1,0)</f>
        <v/>
      </c>
      <c r="J1034">
        <f>IF(F1034="","none",IF(G1034=1,"carte","multiple"))</f>
        <v/>
      </c>
    </row>
    <row r="1035">
      <c r="A1035" t="inlineStr">
        <is>
          <t>2022-05-15</t>
        </is>
      </c>
      <c r="B1035" t="inlineStr">
        <is>
          <t>13:26</t>
        </is>
      </c>
      <c r="C1035" t="n">
        <v>2961</v>
      </c>
      <c r="D1035" s="6" t="n">
        <v>9.800000000000001</v>
      </c>
      <c r="E1035" t="n">
        <v>37794</v>
      </c>
      <c r="F1035" s="6" t="n">
        <v>9.800000000000001</v>
      </c>
      <c r="G1035" t="n">
        <v>1</v>
      </c>
      <c r="H1035" s="6">
        <f>ROUND(G1035*F1035,2)</f>
        <v/>
      </c>
      <c r="I1035">
        <f>IF(ROUND(H1035-D1035,2)=0,1,0)</f>
        <v/>
      </c>
      <c r="J1035">
        <f>IF(F1035="","none",IF(G1035=1,"carte","multiple"))</f>
        <v/>
      </c>
    </row>
    <row r="1036">
      <c r="A1036" t="inlineStr">
        <is>
          <t>2022-05-15</t>
        </is>
      </c>
      <c r="B1036" t="inlineStr">
        <is>
          <t>13:26</t>
        </is>
      </c>
      <c r="C1036" t="n">
        <v>2961</v>
      </c>
      <c r="D1036" s="6" t="n">
        <v>4</v>
      </c>
      <c r="E1036" t="n">
        <v>37795</v>
      </c>
      <c r="F1036" s="6" t="n">
        <v>4</v>
      </c>
      <c r="G1036" t="n">
        <v>1</v>
      </c>
      <c r="H1036" s="6">
        <f>ROUND(G1036*F1036,2)</f>
        <v/>
      </c>
      <c r="I1036">
        <f>IF(ROUND(H1036-D1036,2)=0,1,0)</f>
        <v/>
      </c>
      <c r="J1036">
        <f>IF(F1036="","none",IF(G1036=1,"carte","multiple"))</f>
        <v/>
      </c>
    </row>
    <row r="1037">
      <c r="A1037" t="inlineStr">
        <is>
          <t>2022-05-15</t>
        </is>
      </c>
      <c r="B1037" t="inlineStr">
        <is>
          <t>13:26</t>
        </is>
      </c>
      <c r="C1037" t="n">
        <v>2961</v>
      </c>
      <c r="D1037" s="6" t="n">
        <v>11.6</v>
      </c>
      <c r="E1037" t="n">
        <v>37796</v>
      </c>
      <c r="F1037" s="6" t="n">
        <v>11.6</v>
      </c>
      <c r="G1037" t="n">
        <v>1</v>
      </c>
      <c r="H1037" s="6">
        <f>ROUND(G1037*F1037,2)</f>
        <v/>
      </c>
      <c r="I1037">
        <f>IF(ROUND(H1037-D1037,2)=0,1,0)</f>
        <v/>
      </c>
      <c r="J1037">
        <f>IF(F1037="","none",IF(G1037=1,"carte","multiple"))</f>
        <v/>
      </c>
    </row>
    <row r="1038">
      <c r="A1038" t="inlineStr">
        <is>
          <t>2022-05-15</t>
        </is>
      </c>
      <c r="B1038" t="inlineStr">
        <is>
          <t>13:26</t>
        </is>
      </c>
      <c r="C1038" t="n">
        <v>2961</v>
      </c>
      <c r="D1038" s="6" t="n">
        <v>27.8</v>
      </c>
      <c r="E1038" t="n">
        <v>37797</v>
      </c>
      <c r="F1038" s="6" t="n">
        <v>27.8</v>
      </c>
      <c r="G1038" t="n">
        <v>1</v>
      </c>
      <c r="H1038" s="6">
        <f>ROUND(G1038*F1038,2)</f>
        <v/>
      </c>
      <c r="I1038">
        <f>IF(ROUND(H1038-D1038,2)=0,1,0)</f>
        <v/>
      </c>
      <c r="J1038">
        <f>IF(F1038="","none",IF(G1038=1,"carte","multiple"))</f>
        <v/>
      </c>
    </row>
    <row r="1039">
      <c r="A1039" t="inlineStr">
        <is>
          <t>2022-05-15</t>
        </is>
      </c>
      <c r="B1039" t="inlineStr">
        <is>
          <t>18:25</t>
        </is>
      </c>
      <c r="C1039" t="n">
        <v>2961</v>
      </c>
      <c r="D1039" s="6" t="n">
        <v>5.9</v>
      </c>
      <c r="E1039" t="n">
        <v>37799</v>
      </c>
      <c r="F1039" s="6" t="n">
        <v>5.9</v>
      </c>
      <c r="G1039" t="n">
        <v>1</v>
      </c>
      <c r="H1039" s="6">
        <f>ROUND(G1039*F1039,2)</f>
        <v/>
      </c>
      <c r="I1039">
        <f>IF(ROUND(H1039-D1039,2)=0,1,0)</f>
        <v/>
      </c>
      <c r="J1039">
        <f>IF(F1039="","none",IF(G1039=1,"carte","multiple"))</f>
        <v/>
      </c>
    </row>
    <row r="1040">
      <c r="A1040" t="inlineStr">
        <is>
          <t>2022-05-15</t>
        </is>
      </c>
      <c r="B1040" t="inlineStr">
        <is>
          <t>18:25</t>
        </is>
      </c>
      <c r="C1040" t="n">
        <v>2961</v>
      </c>
      <c r="D1040" s="6" t="n">
        <v>5.9</v>
      </c>
      <c r="E1040" t="n">
        <v>37800</v>
      </c>
      <c r="F1040" s="6" t="n">
        <v>5.9</v>
      </c>
      <c r="G1040" t="n">
        <v>1</v>
      </c>
      <c r="H1040" s="6">
        <f>ROUND(G1040*F1040,2)</f>
        <v/>
      </c>
      <c r="I1040">
        <f>IF(ROUND(H1040-D1040,2)=0,1,0)</f>
        <v/>
      </c>
      <c r="J1040">
        <f>IF(F1040="","none",IF(G1040=1,"carte","multiple"))</f>
        <v/>
      </c>
    </row>
    <row r="1041">
      <c r="A1041" t="inlineStr">
        <is>
          <t>2022-05-15</t>
        </is>
      </c>
      <c r="B1041" t="inlineStr">
        <is>
          <t>18:25</t>
        </is>
      </c>
      <c r="C1041" t="n">
        <v>2961</v>
      </c>
      <c r="D1041" s="6" t="n">
        <v>17.6</v>
      </c>
      <c r="E1041" t="n">
        <v>37801</v>
      </c>
      <c r="F1041" s="6" t="n">
        <v>17.6</v>
      </c>
      <c r="G1041" t="n">
        <v>1</v>
      </c>
      <c r="H1041" s="6">
        <f>ROUND(G1041*F1041,2)</f>
        <v/>
      </c>
      <c r="I1041">
        <f>IF(ROUND(H1041-D1041,2)=0,1,0)</f>
        <v/>
      </c>
      <c r="J1041">
        <f>IF(F1041="","none",IF(G1041=1,"carte","multiple"))</f>
        <v/>
      </c>
    </row>
    <row r="1042">
      <c r="A1042" t="inlineStr">
        <is>
          <t>2022-05-15</t>
        </is>
      </c>
      <c r="B1042" t="inlineStr">
        <is>
          <t>18:25</t>
        </is>
      </c>
      <c r="C1042" t="n">
        <v>2961</v>
      </c>
      <c r="D1042" s="6" t="n">
        <v>17.6</v>
      </c>
      <c r="E1042" t="n">
        <v>37802</v>
      </c>
      <c r="F1042" s="6" t="n">
        <v>17.6</v>
      </c>
      <c r="G1042" t="n">
        <v>1</v>
      </c>
      <c r="H1042" s="6">
        <f>ROUND(G1042*F1042,2)</f>
        <v/>
      </c>
      <c r="I1042">
        <f>IF(ROUND(H1042-D1042,2)=0,1,0)</f>
        <v/>
      </c>
      <c r="J1042">
        <f>IF(F1042="","none",IF(G1042=1,"carte","multiple"))</f>
        <v/>
      </c>
    </row>
    <row r="1043">
      <c r="A1043" t="inlineStr">
        <is>
          <t>2022-05-15</t>
        </is>
      </c>
      <c r="B1043" t="inlineStr">
        <is>
          <t>18:45</t>
        </is>
      </c>
      <c r="C1043" t="n">
        <v>2961</v>
      </c>
      <c r="D1043" s="6" t="n">
        <v>64</v>
      </c>
      <c r="E1043" t="n">
        <v>37803</v>
      </c>
      <c r="F1043" s="6" t="n">
        <v>64</v>
      </c>
      <c r="G1043" t="n">
        <v>1</v>
      </c>
      <c r="H1043" s="6">
        <f>ROUND(G1043*F1043,2)</f>
        <v/>
      </c>
      <c r="I1043">
        <f>IF(ROUND(H1043-D1043,2)=0,1,0)</f>
        <v/>
      </c>
      <c r="J1043">
        <f>IF(F1043="","none",IF(G1043=1,"carte","multiple"))</f>
        <v/>
      </c>
    </row>
    <row r="1044">
      <c r="A1044" t="inlineStr">
        <is>
          <t>2022-05-15</t>
        </is>
      </c>
      <c r="B1044" t="inlineStr">
        <is>
          <t>18:45</t>
        </is>
      </c>
      <c r="C1044" t="n">
        <v>2961</v>
      </c>
      <c r="D1044" s="6" t="n">
        <v>6.4</v>
      </c>
      <c r="E1044" t="n">
        <v>37804</v>
      </c>
      <c r="F1044" s="6" t="n">
        <v>6.4</v>
      </c>
      <c r="G1044" t="n">
        <v>1</v>
      </c>
      <c r="H1044" s="6">
        <f>ROUND(G1044*F1044,2)</f>
        <v/>
      </c>
      <c r="I1044">
        <f>IF(ROUND(H1044-D1044,2)=0,1,0)</f>
        <v/>
      </c>
      <c r="J1044">
        <f>IF(F1044="","none",IF(G1044=1,"carte","multiple"))</f>
        <v/>
      </c>
    </row>
    <row r="1045">
      <c r="A1045" t="inlineStr">
        <is>
          <t>2022-05-15</t>
        </is>
      </c>
      <c r="B1045" t="inlineStr">
        <is>
          <t>19:11</t>
        </is>
      </c>
      <c r="C1045" t="n">
        <v>2961</v>
      </c>
      <c r="D1045" s="6" t="n">
        <v>5.8</v>
      </c>
      <c r="E1045" t="n">
        <v>37805</v>
      </c>
      <c r="F1045" s="6" t="n">
        <v>5.8</v>
      </c>
      <c r="G1045" t="n">
        <v>1</v>
      </c>
      <c r="H1045" s="6">
        <f>ROUND(G1045*F1045,2)</f>
        <v/>
      </c>
      <c r="I1045">
        <f>IF(ROUND(H1045-D1045,2)=0,1,0)</f>
        <v/>
      </c>
      <c r="J1045">
        <f>IF(F1045="","none",IF(G1045=1,"carte","multiple"))</f>
        <v/>
      </c>
    </row>
    <row r="1046">
      <c r="A1046" t="inlineStr">
        <is>
          <t>2022-05-15</t>
        </is>
      </c>
      <c r="B1046" t="inlineStr">
        <is>
          <t>19:11</t>
        </is>
      </c>
      <c r="C1046" t="n">
        <v>2961</v>
      </c>
      <c r="D1046" s="6" t="n">
        <v>3.9</v>
      </c>
      <c r="E1046" t="n">
        <v>37806</v>
      </c>
      <c r="F1046" s="6" t="n">
        <v>3.9</v>
      </c>
      <c r="G1046" t="n">
        <v>1</v>
      </c>
      <c r="H1046" s="6">
        <f>ROUND(G1046*F1046,2)</f>
        <v/>
      </c>
      <c r="I1046">
        <f>IF(ROUND(H1046-D1046,2)=0,1,0)</f>
        <v/>
      </c>
      <c r="J1046">
        <f>IF(F1046="","none",IF(G1046=1,"carte","multiple"))</f>
        <v/>
      </c>
    </row>
    <row r="1047">
      <c r="A1047" t="inlineStr">
        <is>
          <t>2022-05-15</t>
        </is>
      </c>
      <c r="B1047" t="inlineStr">
        <is>
          <t>19:11</t>
        </is>
      </c>
      <c r="C1047" t="n">
        <v>2961</v>
      </c>
      <c r="D1047" s="6" t="n">
        <v>3.9</v>
      </c>
      <c r="E1047" t="n">
        <v>37807</v>
      </c>
      <c r="F1047" s="6" t="n">
        <v>3.9</v>
      </c>
      <c r="G1047" t="n">
        <v>1</v>
      </c>
      <c r="H1047" s="6">
        <f>ROUND(G1047*F1047,2)</f>
        <v/>
      </c>
      <c r="I1047">
        <f>IF(ROUND(H1047-D1047,2)=0,1,0)</f>
        <v/>
      </c>
      <c r="J1047">
        <f>IF(F1047="","none",IF(G1047=1,"carte","multiple"))</f>
        <v/>
      </c>
    </row>
    <row r="1048">
      <c r="A1048" t="inlineStr">
        <is>
          <t>2022-05-15</t>
        </is>
      </c>
      <c r="B1048" t="inlineStr">
        <is>
          <t>19:11</t>
        </is>
      </c>
      <c r="C1048" t="n">
        <v>2961</v>
      </c>
      <c r="D1048" s="6" t="n">
        <v>18</v>
      </c>
      <c r="E1048" t="n">
        <v>37808</v>
      </c>
      <c r="F1048" s="6" t="n">
        <v>18</v>
      </c>
      <c r="G1048" t="n">
        <v>1</v>
      </c>
      <c r="H1048" s="6">
        <f>ROUND(G1048*F1048,2)</f>
        <v/>
      </c>
      <c r="I1048">
        <f>IF(ROUND(H1048-D1048,2)=0,1,0)</f>
        <v/>
      </c>
      <c r="J1048">
        <f>IF(F1048="","none",IF(G1048=1,"carte","multiple"))</f>
        <v/>
      </c>
    </row>
    <row r="1049">
      <c r="A1049" t="inlineStr">
        <is>
          <t>2022-05-15</t>
        </is>
      </c>
      <c r="B1049" t="inlineStr">
        <is>
          <t>19:11</t>
        </is>
      </c>
      <c r="C1049" t="n">
        <v>2961</v>
      </c>
      <c r="D1049" s="6" t="n">
        <v>35.2</v>
      </c>
      <c r="E1049" t="n">
        <v>37809</v>
      </c>
      <c r="F1049" s="6" t="n">
        <v>0.4</v>
      </c>
      <c r="G1049" t="n">
        <v>88</v>
      </c>
      <c r="H1049" s="6">
        <f>ROUND(G1049*F1049,2)</f>
        <v/>
      </c>
      <c r="I1049">
        <f>IF(ROUND(H1049-D1049,2)=0,1,0)</f>
        <v/>
      </c>
      <c r="J1049">
        <f>IF(F1049="","none",IF(G1049=1,"carte","multiple"))</f>
        <v/>
      </c>
    </row>
    <row r="1050">
      <c r="A1050" t="inlineStr">
        <is>
          <t>2022-05-15</t>
        </is>
      </c>
      <c r="B1050" t="inlineStr">
        <is>
          <t>19:11</t>
        </is>
      </c>
      <c r="C1050" t="n">
        <v>2961</v>
      </c>
      <c r="D1050" s="6" t="n">
        <v>17.8</v>
      </c>
      <c r="E1050" t="n">
        <v>37810</v>
      </c>
      <c r="F1050" s="6" t="n">
        <v>8.9</v>
      </c>
      <c r="G1050" t="n">
        <v>2</v>
      </c>
      <c r="H1050" s="6">
        <f>ROUND(G1050*F1050,2)</f>
        <v/>
      </c>
      <c r="I1050">
        <f>IF(ROUND(H1050-D1050,2)=0,1,0)</f>
        <v/>
      </c>
      <c r="J1050">
        <f>IF(F1050="","none",IF(G1050=1,"carte","multiple"))</f>
        <v/>
      </c>
    </row>
    <row r="1051">
      <c r="A1051" t="inlineStr">
        <is>
          <t>2022-05-18</t>
        </is>
      </c>
      <c r="B1051" t="inlineStr">
        <is>
          <t>11:01</t>
        </is>
      </c>
      <c r="C1051" t="n">
        <v>2962</v>
      </c>
      <c r="D1051" s="6" t="n">
        <v>39.5</v>
      </c>
      <c r="E1051" t="n">
        <v>37814</v>
      </c>
      <c r="F1051" s="6" t="n">
        <v>39.5</v>
      </c>
      <c r="G1051" t="n">
        <v>1</v>
      </c>
      <c r="H1051" s="6">
        <f>ROUND(G1051*F1051,2)</f>
        <v/>
      </c>
      <c r="I1051">
        <f>IF(ROUND(H1051-D1051,2)=0,1,0)</f>
        <v/>
      </c>
      <c r="J1051">
        <f>IF(F1051="","none",IF(G1051=1,"carte","multiple"))</f>
        <v/>
      </c>
    </row>
    <row r="1052">
      <c r="A1052" t="inlineStr">
        <is>
          <t>2022-05-18</t>
        </is>
      </c>
      <c r="B1052" t="inlineStr">
        <is>
          <t>12:25</t>
        </is>
      </c>
      <c r="C1052" t="n">
        <v>2962</v>
      </c>
      <c r="D1052" s="6" t="n">
        <v>46</v>
      </c>
      <c r="E1052" t="n">
        <v>37815</v>
      </c>
      <c r="F1052" s="6" t="n">
        <v>0.4</v>
      </c>
      <c r="G1052" t="n">
        <v>115</v>
      </c>
      <c r="H1052" s="6">
        <f>ROUND(G1052*F1052,2)</f>
        <v/>
      </c>
      <c r="I1052">
        <f>IF(ROUND(H1052-D1052,2)=0,1,0)</f>
        <v/>
      </c>
      <c r="J1052">
        <f>IF(F1052="","none",IF(G1052=1,"carte","multiple"))</f>
        <v/>
      </c>
    </row>
    <row r="1053">
      <c r="A1053" t="inlineStr">
        <is>
          <t>2022-05-18</t>
        </is>
      </c>
      <c r="B1053" t="inlineStr">
        <is>
          <t>12:25</t>
        </is>
      </c>
      <c r="C1053" t="n">
        <v>2962</v>
      </c>
      <c r="D1053" s="6" t="n">
        <v>3.9</v>
      </c>
      <c r="E1053" t="n">
        <v>37816</v>
      </c>
      <c r="F1053" s="6" t="n">
        <v>3.9</v>
      </c>
      <c r="G1053" t="n">
        <v>1</v>
      </c>
      <c r="H1053" s="6">
        <f>ROUND(G1053*F1053,2)</f>
        <v/>
      </c>
      <c r="I1053">
        <f>IF(ROUND(H1053-D1053,2)=0,1,0)</f>
        <v/>
      </c>
      <c r="J1053">
        <f>IF(F1053="","none",IF(G1053=1,"carte","multiple"))</f>
        <v/>
      </c>
    </row>
    <row r="1054">
      <c r="A1054" t="inlineStr">
        <is>
          <t>2022-05-18</t>
        </is>
      </c>
      <c r="B1054" t="inlineStr">
        <is>
          <t>12:25</t>
        </is>
      </c>
      <c r="C1054" t="n">
        <v>2962</v>
      </c>
      <c r="D1054" s="6" t="n">
        <v>9.800000000000001</v>
      </c>
      <c r="E1054" t="n">
        <v>37817</v>
      </c>
      <c r="F1054" s="6" t="n">
        <v>9.800000000000001</v>
      </c>
      <c r="G1054" t="n">
        <v>1</v>
      </c>
      <c r="H1054" s="6">
        <f>ROUND(G1054*F1054,2)</f>
        <v/>
      </c>
      <c r="I1054">
        <f>IF(ROUND(H1054-D1054,2)=0,1,0)</f>
        <v/>
      </c>
      <c r="J1054">
        <f>IF(F1054="","none",IF(G1054=1,"carte","multiple"))</f>
        <v/>
      </c>
    </row>
    <row r="1055">
      <c r="A1055" t="inlineStr">
        <is>
          <t>2022-05-18</t>
        </is>
      </c>
      <c r="B1055" t="inlineStr">
        <is>
          <t>18:21</t>
        </is>
      </c>
      <c r="C1055" t="n">
        <v>2962</v>
      </c>
      <c r="D1055" s="6" t="n">
        <v>4.4</v>
      </c>
      <c r="E1055" t="n">
        <v>37818</v>
      </c>
      <c r="F1055" s="6" t="n">
        <v>0.4</v>
      </c>
      <c r="G1055" t="n">
        <v>11</v>
      </c>
      <c r="H1055" s="6">
        <f>ROUND(G1055*F1055,2)</f>
        <v/>
      </c>
      <c r="I1055">
        <f>IF(ROUND(H1055-D1055,2)=0,1,0)</f>
        <v/>
      </c>
      <c r="J1055">
        <f>IF(F1055="","none",IF(G1055=1,"carte","multiple"))</f>
        <v/>
      </c>
    </row>
    <row r="1056">
      <c r="A1056" t="inlineStr">
        <is>
          <t>2022-05-18</t>
        </is>
      </c>
      <c r="B1056" t="inlineStr">
        <is>
          <t>18:21</t>
        </is>
      </c>
      <c r="C1056" t="n">
        <v>2962</v>
      </c>
      <c r="D1056" s="6" t="n">
        <v>17.6</v>
      </c>
      <c r="E1056" t="n">
        <v>37819</v>
      </c>
      <c r="F1056" s="6" t="n">
        <v>17.6</v>
      </c>
      <c r="G1056" t="n">
        <v>1</v>
      </c>
      <c r="H1056" s="6">
        <f>ROUND(G1056*F1056,2)</f>
        <v/>
      </c>
      <c r="I1056">
        <f>IF(ROUND(H1056-D1056,2)=0,1,0)</f>
        <v/>
      </c>
      <c r="J1056">
        <f>IF(F1056="","none",IF(G1056=1,"carte","multiple"))</f>
        <v/>
      </c>
    </row>
    <row r="1057">
      <c r="A1057" t="inlineStr">
        <is>
          <t>2022-05-18</t>
        </is>
      </c>
      <c r="B1057" t="inlineStr">
        <is>
          <t>18:21</t>
        </is>
      </c>
      <c r="C1057" t="n">
        <v>2962</v>
      </c>
      <c r="D1057" s="6" t="n">
        <v>16.9</v>
      </c>
      <c r="E1057" t="n">
        <v>37820</v>
      </c>
      <c r="F1057" s="6" t="n">
        <v>16.9</v>
      </c>
      <c r="G1057" t="n">
        <v>1</v>
      </c>
      <c r="H1057" s="6">
        <f>ROUND(G1057*F1057,2)</f>
        <v/>
      </c>
      <c r="I1057">
        <f>IF(ROUND(H1057-D1057,2)=0,1,0)</f>
        <v/>
      </c>
      <c r="J1057">
        <f>IF(F1057="","none",IF(G1057=1,"carte","multiple"))</f>
        <v/>
      </c>
    </row>
    <row r="1058">
      <c r="A1058" t="inlineStr">
        <is>
          <t>2022-05-18</t>
        </is>
      </c>
      <c r="B1058" t="inlineStr">
        <is>
          <t>18:21</t>
        </is>
      </c>
      <c r="C1058" t="n">
        <v>2962</v>
      </c>
      <c r="D1058" s="6" t="n">
        <v>3.6</v>
      </c>
      <c r="E1058" t="n">
        <v>37821</v>
      </c>
      <c r="F1058" s="6" t="n">
        <v>3.6</v>
      </c>
      <c r="G1058" t="n">
        <v>1</v>
      </c>
      <c r="H1058" s="6">
        <f>ROUND(G1058*F1058,2)</f>
        <v/>
      </c>
      <c r="I1058">
        <f>IF(ROUND(H1058-D1058,2)=0,1,0)</f>
        <v/>
      </c>
      <c r="J1058">
        <f>IF(F1058="","none",IF(G1058=1,"carte","multiple"))</f>
        <v/>
      </c>
    </row>
    <row r="1059">
      <c r="A1059" t="inlineStr">
        <is>
          <t>2022-05-18</t>
        </is>
      </c>
      <c r="B1059" t="inlineStr">
        <is>
          <t>18:21</t>
        </is>
      </c>
      <c r="C1059" t="n">
        <v>2962</v>
      </c>
      <c r="D1059" s="6" t="n">
        <v>3.9</v>
      </c>
      <c r="E1059" t="n">
        <v>37822</v>
      </c>
      <c r="F1059" s="6" t="n">
        <v>3.9</v>
      </c>
      <c r="G1059" t="n">
        <v>1</v>
      </c>
      <c r="H1059" s="6">
        <f>ROUND(G1059*F1059,2)</f>
        <v/>
      </c>
      <c r="I1059">
        <f>IF(ROUND(H1059-D1059,2)=0,1,0)</f>
        <v/>
      </c>
      <c r="J1059">
        <f>IF(F1059="","none",IF(G1059=1,"carte","multiple"))</f>
        <v/>
      </c>
    </row>
    <row r="1060">
      <c r="A1060" t="inlineStr">
        <is>
          <t>2022-05-18</t>
        </is>
      </c>
      <c r="B1060" t="inlineStr">
        <is>
          <t>19:09</t>
        </is>
      </c>
      <c r="C1060" t="n">
        <v>2962</v>
      </c>
      <c r="D1060" s="6" t="n">
        <v>39.8</v>
      </c>
      <c r="E1060" t="n">
        <v>37823</v>
      </c>
      <c r="F1060" s="6" t="n">
        <v>39.8</v>
      </c>
      <c r="G1060" t="n">
        <v>1</v>
      </c>
      <c r="H1060" s="6">
        <f>ROUND(G1060*F1060,2)</f>
        <v/>
      </c>
      <c r="I1060">
        <f>IF(ROUND(H1060-D1060,2)=0,1,0)</f>
        <v/>
      </c>
      <c r="J1060">
        <f>IF(F1060="","none",IF(G1060=1,"carte","multiple"))</f>
        <v/>
      </c>
    </row>
    <row r="1061">
      <c r="A1061" t="inlineStr">
        <is>
          <t>2022-05-18</t>
        </is>
      </c>
      <c r="B1061" t="inlineStr">
        <is>
          <t>19:09</t>
        </is>
      </c>
      <c r="C1061" t="n">
        <v>2962</v>
      </c>
      <c r="D1061" s="6" t="n">
        <v>3.9</v>
      </c>
      <c r="E1061" t="n">
        <v>37824</v>
      </c>
      <c r="F1061" s="6" t="n">
        <v>3.9</v>
      </c>
      <c r="G1061" t="n">
        <v>1</v>
      </c>
      <c r="H1061" s="6">
        <f>ROUND(G1061*F1061,2)</f>
        <v/>
      </c>
      <c r="I1061">
        <f>IF(ROUND(H1061-D1061,2)=0,1,0)</f>
        <v/>
      </c>
      <c r="J1061">
        <f>IF(F1061="","none",IF(G1061=1,"carte","multiple"))</f>
        <v/>
      </c>
    </row>
    <row r="1062">
      <c r="A1062" t="inlineStr">
        <is>
          <t>2022-05-18</t>
        </is>
      </c>
      <c r="B1062" t="inlineStr">
        <is>
          <t>19:09</t>
        </is>
      </c>
      <c r="C1062" t="n">
        <v>2962</v>
      </c>
      <c r="D1062" s="6" t="n">
        <v>33.8</v>
      </c>
      <c r="E1062" t="n">
        <v>37825</v>
      </c>
      <c r="F1062" s="6" t="n">
        <v>16.9</v>
      </c>
      <c r="G1062" t="n">
        <v>2</v>
      </c>
      <c r="H1062" s="6">
        <f>ROUND(G1062*F1062,2)</f>
        <v/>
      </c>
      <c r="I1062">
        <f>IF(ROUND(H1062-D1062,2)=0,1,0)</f>
        <v/>
      </c>
      <c r="J1062">
        <f>IF(F1062="","none",IF(G1062=1,"carte","multiple"))</f>
        <v/>
      </c>
    </row>
    <row r="1063">
      <c r="A1063" t="inlineStr">
        <is>
          <t>2022-05-18</t>
        </is>
      </c>
      <c r="B1063" t="inlineStr">
        <is>
          <t>19:09</t>
        </is>
      </c>
      <c r="C1063" t="n">
        <v>2962</v>
      </c>
      <c r="D1063" s="6" t="n">
        <v>5.9</v>
      </c>
      <c r="E1063" t="n">
        <v>37826</v>
      </c>
      <c r="F1063" s="6" t="n">
        <v>5.9</v>
      </c>
      <c r="G1063" t="n">
        <v>1</v>
      </c>
      <c r="H1063" s="6">
        <f>ROUND(G1063*F1063,2)</f>
        <v/>
      </c>
      <c r="I1063">
        <f>IF(ROUND(H1063-D1063,2)=0,1,0)</f>
        <v/>
      </c>
      <c r="J1063">
        <f>IF(F1063="","none",IF(G1063=1,"carte","multiple"))</f>
        <v/>
      </c>
    </row>
    <row r="1064">
      <c r="A1064" t="inlineStr">
        <is>
          <t>2022-05-18</t>
        </is>
      </c>
      <c r="B1064" t="inlineStr">
        <is>
          <t>19:09</t>
        </is>
      </c>
      <c r="C1064" t="n">
        <v>2962</v>
      </c>
      <c r="D1064" s="6" t="n">
        <v>8.800000000000001</v>
      </c>
      <c r="E1064" t="n">
        <v>37827</v>
      </c>
      <c r="F1064" s="6" t="n">
        <v>8.800000000000001</v>
      </c>
      <c r="G1064" t="n">
        <v>1</v>
      </c>
      <c r="H1064" s="6">
        <f>ROUND(G1064*F1064,2)</f>
        <v/>
      </c>
      <c r="I1064">
        <f>IF(ROUND(H1064-D1064,2)=0,1,0)</f>
        <v/>
      </c>
      <c r="J1064">
        <f>IF(F1064="","none",IF(G1064=1,"carte","multiple"))</f>
        <v/>
      </c>
    </row>
    <row r="1065">
      <c r="A1065" t="inlineStr">
        <is>
          <t>2022-05-18</t>
        </is>
      </c>
      <c r="B1065" t="inlineStr">
        <is>
          <t>19:09</t>
        </is>
      </c>
      <c r="C1065" t="n">
        <v>2962</v>
      </c>
      <c r="D1065" s="6" t="n">
        <v>29.8</v>
      </c>
      <c r="E1065" t="n">
        <v>37828</v>
      </c>
      <c r="F1065" s="6" t="n">
        <v>14.9</v>
      </c>
      <c r="G1065" t="n">
        <v>2</v>
      </c>
      <c r="H1065" s="6">
        <f>ROUND(G1065*F1065,2)</f>
        <v/>
      </c>
      <c r="I1065">
        <f>IF(ROUND(H1065-D1065,2)=0,1,0)</f>
        <v/>
      </c>
      <c r="J1065">
        <f>IF(F1065="","none",IF(G1065=1,"carte","multiple"))</f>
        <v/>
      </c>
    </row>
    <row r="1066">
      <c r="A1066" t="inlineStr">
        <is>
          <t>2022-05-18</t>
        </is>
      </c>
      <c r="B1066" t="inlineStr">
        <is>
          <t>19:09</t>
        </is>
      </c>
      <c r="C1066" t="n">
        <v>2962</v>
      </c>
      <c r="D1066" s="6" t="n">
        <v>36</v>
      </c>
      <c r="E1066" t="n">
        <v>37829</v>
      </c>
      <c r="F1066" s="6" t="n">
        <v>36</v>
      </c>
      <c r="G1066" t="n">
        <v>1</v>
      </c>
      <c r="H1066" s="6">
        <f>ROUND(G1066*F1066,2)</f>
        <v/>
      </c>
      <c r="I1066">
        <f>IF(ROUND(H1066-D1066,2)=0,1,0)</f>
        <v/>
      </c>
      <c r="J1066">
        <f>IF(F1066="","none",IF(G1066=1,"carte","multiple"))</f>
        <v/>
      </c>
    </row>
    <row r="1067">
      <c r="A1067" t="inlineStr">
        <is>
          <t>2022-05-18</t>
        </is>
      </c>
      <c r="B1067" t="inlineStr">
        <is>
          <t>19:09</t>
        </is>
      </c>
      <c r="C1067" t="n">
        <v>2962</v>
      </c>
      <c r="D1067" s="6" t="n">
        <v>17.6</v>
      </c>
      <c r="E1067" t="n">
        <v>37830</v>
      </c>
      <c r="F1067" s="6" t="n">
        <v>17.6</v>
      </c>
      <c r="G1067" t="n">
        <v>1</v>
      </c>
      <c r="H1067" s="6">
        <f>ROUND(G1067*F1067,2)</f>
        <v/>
      </c>
      <c r="I1067">
        <f>IF(ROUND(H1067-D1067,2)=0,1,0)</f>
        <v/>
      </c>
      <c r="J1067">
        <f>IF(F1067="","none",IF(G1067=1,"carte","multiple"))</f>
        <v/>
      </c>
    </row>
    <row r="1068">
      <c r="A1068" t="inlineStr">
        <is>
          <t>2022-05-18</t>
        </is>
      </c>
      <c r="B1068" t="inlineStr">
        <is>
          <t>19:09</t>
        </is>
      </c>
      <c r="C1068" t="n">
        <v>2962</v>
      </c>
      <c r="D1068" s="6" t="n">
        <v>5.6</v>
      </c>
      <c r="E1068" t="n">
        <v>37831</v>
      </c>
      <c r="F1068" s="6" t="n">
        <v>5.6</v>
      </c>
      <c r="G1068" t="n">
        <v>1</v>
      </c>
      <c r="H1068" s="6">
        <f>ROUND(G1068*F1068,2)</f>
        <v/>
      </c>
      <c r="I1068">
        <f>IF(ROUND(H1068-D1068,2)=0,1,0)</f>
        <v/>
      </c>
      <c r="J1068">
        <f>IF(F1068="","none",IF(G1068=1,"carte","multiple"))</f>
        <v/>
      </c>
    </row>
    <row r="1069">
      <c r="A1069" t="inlineStr">
        <is>
          <t>2022-05-18</t>
        </is>
      </c>
      <c r="B1069" t="inlineStr">
        <is>
          <t>19:09</t>
        </is>
      </c>
      <c r="C1069" t="n">
        <v>2962</v>
      </c>
      <c r="D1069" s="6" t="n">
        <v>8.1</v>
      </c>
      <c r="E1069" t="n">
        <v>37832</v>
      </c>
      <c r="F1069" s="6" t="n">
        <v>8.1</v>
      </c>
      <c r="G1069" t="n">
        <v>1</v>
      </c>
      <c r="H1069" s="6">
        <f>ROUND(G1069*F1069,2)</f>
        <v/>
      </c>
      <c r="I1069">
        <f>IF(ROUND(H1069-D1069,2)=0,1,0)</f>
        <v/>
      </c>
      <c r="J1069">
        <f>IF(F1069="","none",IF(G1069=1,"carte","multiple"))</f>
        <v/>
      </c>
    </row>
    <row r="1070">
      <c r="A1070" t="inlineStr">
        <is>
          <t>2022-05-18</t>
        </is>
      </c>
      <c r="B1070" t="inlineStr">
        <is>
          <t>19:09</t>
        </is>
      </c>
      <c r="C1070" t="n">
        <v>2962</v>
      </c>
      <c r="D1070" s="6" t="n">
        <v>6.9</v>
      </c>
      <c r="E1070" t="n">
        <v>37833</v>
      </c>
      <c r="F1070" s="6" t="n">
        <v>6.9</v>
      </c>
      <c r="G1070" t="n">
        <v>1</v>
      </c>
      <c r="H1070" s="6">
        <f>ROUND(G1070*F1070,2)</f>
        <v/>
      </c>
      <c r="I1070">
        <f>IF(ROUND(H1070-D1070,2)=0,1,0)</f>
        <v/>
      </c>
      <c r="J1070">
        <f>IF(F1070="","none",IF(G1070=1,"carte","multiple"))</f>
        <v/>
      </c>
    </row>
    <row r="1071">
      <c r="A1071" t="inlineStr">
        <is>
          <t>2022-05-18</t>
        </is>
      </c>
      <c r="B1071" t="inlineStr">
        <is>
          <t>19:09</t>
        </is>
      </c>
      <c r="C1071" t="n">
        <v>2962</v>
      </c>
      <c r="D1071" s="6" t="n">
        <v>4.7</v>
      </c>
      <c r="E1071" t="n">
        <v>37834</v>
      </c>
      <c r="F1071" s="6" t="n">
        <v>4.7</v>
      </c>
      <c r="G1071" t="n">
        <v>1</v>
      </c>
      <c r="H1071" s="6">
        <f>ROUND(G1071*F1071,2)</f>
        <v/>
      </c>
      <c r="I1071">
        <f>IF(ROUND(H1071-D1071,2)=0,1,0)</f>
        <v/>
      </c>
      <c r="J1071">
        <f>IF(F1071="","none",IF(G1071=1,"carte","multiple"))</f>
        <v/>
      </c>
    </row>
    <row r="1072">
      <c r="A1072" t="inlineStr">
        <is>
          <t>2022-05-18</t>
        </is>
      </c>
      <c r="B1072" t="inlineStr">
        <is>
          <t>19:09</t>
        </is>
      </c>
      <c r="C1072" t="n">
        <v>2962</v>
      </c>
      <c r="D1072" s="6" t="n">
        <v>3.9</v>
      </c>
      <c r="E1072" t="n">
        <v>37835</v>
      </c>
      <c r="F1072" s="6" t="n">
        <v>3.9</v>
      </c>
      <c r="G1072" t="n">
        <v>1</v>
      </c>
      <c r="H1072" s="6">
        <f>ROUND(G1072*F1072,2)</f>
        <v/>
      </c>
      <c r="I1072">
        <f>IF(ROUND(H1072-D1072,2)=0,1,0)</f>
        <v/>
      </c>
      <c r="J1072">
        <f>IF(F1072="","none",IF(G1072=1,"carte","multiple"))</f>
        <v/>
      </c>
    </row>
    <row r="1073">
      <c r="A1073" t="inlineStr">
        <is>
          <t>2022-05-18</t>
        </is>
      </c>
      <c r="B1073" t="inlineStr">
        <is>
          <t>19:10</t>
        </is>
      </c>
      <c r="C1073" t="n">
        <v>2962</v>
      </c>
      <c r="D1073" s="6" t="n">
        <v>56</v>
      </c>
      <c r="E1073" t="n">
        <v>37836</v>
      </c>
      <c r="F1073" s="6" t="n">
        <v>0.4</v>
      </c>
      <c r="G1073" t="n">
        <v>140</v>
      </c>
      <c r="H1073" s="6">
        <f>ROUND(G1073*F1073,2)</f>
        <v/>
      </c>
      <c r="I1073">
        <f>IF(ROUND(H1073-D1073,2)=0,1,0)</f>
        <v/>
      </c>
      <c r="J1073">
        <f>IF(F1073="","none",IF(G1073=1,"carte","multiple"))</f>
        <v/>
      </c>
    </row>
    <row r="1074">
      <c r="A1074" t="inlineStr">
        <is>
          <t>2022-05-18</t>
        </is>
      </c>
      <c r="B1074" t="inlineStr">
        <is>
          <t>19:51</t>
        </is>
      </c>
      <c r="C1074" t="n">
        <v>2962</v>
      </c>
      <c r="D1074" s="6" t="n">
        <v>56</v>
      </c>
      <c r="E1074" t="n">
        <v>37837</v>
      </c>
      <c r="F1074" s="6" t="n">
        <v>0.4</v>
      </c>
      <c r="G1074" t="n">
        <v>140</v>
      </c>
      <c r="H1074" s="6">
        <f>ROUND(G1074*F1074,2)</f>
        <v/>
      </c>
      <c r="I1074">
        <f>IF(ROUND(H1074-D1074,2)=0,1,0)</f>
        <v/>
      </c>
      <c r="J1074">
        <f>IF(F1074="","none",IF(G1074=1,"carte","multiple"))</f>
        <v/>
      </c>
    </row>
    <row r="1075">
      <c r="A1075" t="inlineStr">
        <is>
          <t>2022-05-18</t>
        </is>
      </c>
      <c r="B1075" t="inlineStr">
        <is>
          <t>20:13</t>
        </is>
      </c>
      <c r="C1075" t="n">
        <v>2962</v>
      </c>
      <c r="D1075" s="6" t="n">
        <v>4.2</v>
      </c>
      <c r="E1075" t="n">
        <v>37838</v>
      </c>
      <c r="F1075" s="6" t="n">
        <v>4.2</v>
      </c>
      <c r="G1075" t="n">
        <v>1</v>
      </c>
      <c r="H1075" s="6">
        <f>ROUND(G1075*F1075,2)</f>
        <v/>
      </c>
      <c r="I1075">
        <f>IF(ROUND(H1075-D1075,2)=0,1,0)</f>
        <v/>
      </c>
      <c r="J1075">
        <f>IF(F1075="","none",IF(G1075=1,"carte","multiple"))</f>
        <v/>
      </c>
    </row>
    <row r="1076">
      <c r="A1076" t="inlineStr">
        <is>
          <t>2022-05-18</t>
        </is>
      </c>
      <c r="B1076" t="inlineStr">
        <is>
          <t>20:13</t>
        </is>
      </c>
      <c r="C1076" t="n">
        <v>2962</v>
      </c>
      <c r="D1076" s="6" t="n">
        <v>3.9</v>
      </c>
      <c r="E1076" t="n">
        <v>37839</v>
      </c>
      <c r="F1076" s="6" t="n">
        <v>3.9</v>
      </c>
      <c r="G1076" t="n">
        <v>1</v>
      </c>
      <c r="H1076" s="6">
        <f>ROUND(G1076*F1076,2)</f>
        <v/>
      </c>
      <c r="I1076">
        <f>IF(ROUND(H1076-D1076,2)=0,1,0)</f>
        <v/>
      </c>
      <c r="J1076">
        <f>IF(F1076="","none",IF(G1076=1,"carte","multiple"))</f>
        <v/>
      </c>
    </row>
    <row r="1077">
      <c r="A1077" t="inlineStr">
        <is>
          <t>2022-05-18</t>
        </is>
      </c>
      <c r="B1077" t="inlineStr">
        <is>
          <t>20:13</t>
        </is>
      </c>
      <c r="C1077" t="n">
        <v>2962</v>
      </c>
      <c r="D1077" s="6" t="n">
        <v>14.4</v>
      </c>
      <c r="E1077" t="n">
        <v>37840</v>
      </c>
      <c r="F1077" s="6" t="n">
        <v>0.4</v>
      </c>
      <c r="G1077" t="n">
        <v>36</v>
      </c>
      <c r="H1077" s="6">
        <f>ROUND(G1077*F1077,2)</f>
        <v/>
      </c>
      <c r="I1077">
        <f>IF(ROUND(H1077-D1077,2)=0,1,0)</f>
        <v/>
      </c>
      <c r="J1077">
        <f>IF(F1077="","none",IF(G1077=1,"carte","multiple"))</f>
        <v/>
      </c>
    </row>
    <row r="1078">
      <c r="A1078" t="inlineStr">
        <is>
          <t>2022-05-18</t>
        </is>
      </c>
      <c r="B1078" t="inlineStr">
        <is>
          <t>20:13</t>
        </is>
      </c>
      <c r="C1078" t="n">
        <v>2962</v>
      </c>
      <c r="D1078" s="6" t="n">
        <v>16.9</v>
      </c>
      <c r="E1078" t="n">
        <v>37841</v>
      </c>
      <c r="F1078" s="6" t="n">
        <v>16.9</v>
      </c>
      <c r="G1078" t="n">
        <v>1</v>
      </c>
      <c r="H1078" s="6">
        <f>ROUND(G1078*F1078,2)</f>
        <v/>
      </c>
      <c r="I1078">
        <f>IF(ROUND(H1078-D1078,2)=0,1,0)</f>
        <v/>
      </c>
      <c r="J1078">
        <f>IF(F1078="","none",IF(G1078=1,"carte","multiple"))</f>
        <v/>
      </c>
    </row>
    <row r="1079">
      <c r="A1079" t="inlineStr">
        <is>
          <t>2022-05-18</t>
        </is>
      </c>
      <c r="B1079" t="inlineStr">
        <is>
          <t>20:13</t>
        </is>
      </c>
      <c r="C1079" t="n">
        <v>2962</v>
      </c>
      <c r="D1079" s="6" t="n">
        <v>8</v>
      </c>
      <c r="E1079" t="n">
        <v>37842</v>
      </c>
      <c r="F1079" s="6" t="n">
        <v>8</v>
      </c>
      <c r="G1079" t="n">
        <v>1</v>
      </c>
      <c r="H1079" s="6">
        <f>ROUND(G1079*F1079,2)</f>
        <v/>
      </c>
      <c r="I1079">
        <f>IF(ROUND(H1079-D1079,2)=0,1,0)</f>
        <v/>
      </c>
      <c r="J1079">
        <f>IF(F1079="","none",IF(G1079=1,"carte","multiple"))</f>
        <v/>
      </c>
    </row>
    <row r="1080">
      <c r="A1080" t="inlineStr">
        <is>
          <t>2022-05-18</t>
        </is>
      </c>
      <c r="B1080" t="inlineStr">
        <is>
          <t>20:13</t>
        </is>
      </c>
      <c r="C1080" t="n">
        <v>2962</v>
      </c>
      <c r="D1080" s="6" t="n">
        <v>32</v>
      </c>
      <c r="E1080" t="n">
        <v>37843</v>
      </c>
      <c r="F1080" s="6" t="n">
        <v>32</v>
      </c>
      <c r="G1080" t="n">
        <v>1</v>
      </c>
      <c r="H1080" s="6">
        <f>ROUND(G1080*F1080,2)</f>
        <v/>
      </c>
      <c r="I1080">
        <f>IF(ROUND(H1080-D1080,2)=0,1,0)</f>
        <v/>
      </c>
      <c r="J1080">
        <f>IF(F1080="","none",IF(G1080=1,"carte","multiple"))</f>
        <v/>
      </c>
    </row>
    <row r="1081">
      <c r="A1081" t="inlineStr">
        <is>
          <t>2022-05-18</t>
        </is>
      </c>
      <c r="B1081" t="inlineStr">
        <is>
          <t>20:15</t>
        </is>
      </c>
      <c r="C1081" t="n">
        <v>2962</v>
      </c>
      <c r="D1081" s="6" t="n">
        <v>30</v>
      </c>
      <c r="E1081" t="n">
        <v>37844</v>
      </c>
      <c r="F1081" s="6" t="n">
        <v>30</v>
      </c>
      <c r="G1081" t="n">
        <v>1</v>
      </c>
      <c r="H1081" s="6">
        <f>ROUND(G1081*F1081,2)</f>
        <v/>
      </c>
      <c r="I1081">
        <f>IF(ROUND(H1081-D1081,2)=0,1,0)</f>
        <v/>
      </c>
      <c r="J1081">
        <f>IF(F1081="","none",IF(G1081=1,"carte","multiple"))</f>
        <v/>
      </c>
    </row>
    <row r="1082">
      <c r="A1082" t="inlineStr">
        <is>
          <t>2022-05-18</t>
        </is>
      </c>
      <c r="B1082" t="inlineStr">
        <is>
          <t>20:15</t>
        </is>
      </c>
      <c r="C1082" t="n">
        <v>2962</v>
      </c>
      <c r="D1082" s="6" t="n">
        <v>19.9</v>
      </c>
      <c r="E1082" t="n">
        <v>37845</v>
      </c>
      <c r="F1082" s="6" t="n">
        <v>19.9</v>
      </c>
      <c r="G1082" t="n">
        <v>1</v>
      </c>
      <c r="H1082" s="6">
        <f>ROUND(G1082*F1082,2)</f>
        <v/>
      </c>
      <c r="I1082">
        <f>IF(ROUND(H1082-D1082,2)=0,1,0)</f>
        <v/>
      </c>
      <c r="J1082">
        <f>IF(F1082="","none",IF(G1082=1,"carte","multiple"))</f>
        <v/>
      </c>
    </row>
    <row r="1083">
      <c r="A1083" t="inlineStr">
        <is>
          <t>2022-05-18</t>
        </is>
      </c>
      <c r="B1083" t="inlineStr">
        <is>
          <t>20:15</t>
        </is>
      </c>
      <c r="C1083" t="n">
        <v>2962</v>
      </c>
      <c r="D1083" s="6" t="n">
        <v>17.6</v>
      </c>
      <c r="E1083" t="n">
        <v>37846</v>
      </c>
      <c r="F1083" s="6" t="n">
        <v>17.6</v>
      </c>
      <c r="G1083" t="n">
        <v>1</v>
      </c>
      <c r="H1083" s="6">
        <f>ROUND(G1083*F1083,2)</f>
        <v/>
      </c>
      <c r="I1083">
        <f>IF(ROUND(H1083-D1083,2)=0,1,0)</f>
        <v/>
      </c>
      <c r="J1083">
        <f>IF(F1083="","none",IF(G1083=1,"carte","multiple"))</f>
        <v/>
      </c>
    </row>
    <row r="1084">
      <c r="A1084" t="inlineStr">
        <is>
          <t>2022-05-18</t>
        </is>
      </c>
      <c r="B1084" t="inlineStr">
        <is>
          <t>20:20</t>
        </is>
      </c>
      <c r="C1084" t="n">
        <v>2962</v>
      </c>
      <c r="D1084" s="6" t="n">
        <v>2.2</v>
      </c>
      <c r="E1084" t="n">
        <v>37847</v>
      </c>
      <c r="F1084" s="6" t="n">
        <v>2.2</v>
      </c>
      <c r="G1084" t="n">
        <v>1</v>
      </c>
      <c r="H1084" s="6">
        <f>ROUND(G1084*F1084,2)</f>
        <v/>
      </c>
      <c r="I1084">
        <f>IF(ROUND(H1084-D1084,2)=0,1,0)</f>
        <v/>
      </c>
      <c r="J1084">
        <f>IF(F1084="","none",IF(G1084=1,"carte","multiple"))</f>
        <v/>
      </c>
    </row>
    <row r="1085">
      <c r="A1085" t="inlineStr">
        <is>
          <t>2022-05-18</t>
        </is>
      </c>
      <c r="B1085" t="inlineStr">
        <is>
          <t>20:20</t>
        </is>
      </c>
      <c r="C1085" t="n">
        <v>2962</v>
      </c>
      <c r="D1085" s="6" t="n">
        <v>7.2</v>
      </c>
      <c r="E1085" t="n">
        <v>37848</v>
      </c>
      <c r="F1085" s="6" t="n">
        <v>7.2</v>
      </c>
      <c r="G1085" t="n">
        <v>1</v>
      </c>
      <c r="H1085" s="6">
        <f>ROUND(G1085*F1085,2)</f>
        <v/>
      </c>
      <c r="I1085">
        <f>IF(ROUND(H1085-D1085,2)=0,1,0)</f>
        <v/>
      </c>
      <c r="J1085">
        <f>IF(F1085="","none",IF(G1085=1,"carte","multiple"))</f>
        <v/>
      </c>
    </row>
    <row r="1086">
      <c r="A1086" t="inlineStr">
        <is>
          <t>2022-05-18</t>
        </is>
      </c>
      <c r="B1086" t="inlineStr">
        <is>
          <t>20:20</t>
        </is>
      </c>
      <c r="C1086" t="n">
        <v>2962</v>
      </c>
      <c r="D1086" s="6" t="n">
        <v>7.8</v>
      </c>
      <c r="E1086" t="n">
        <v>37849</v>
      </c>
      <c r="F1086" s="6" t="n">
        <v>7.8</v>
      </c>
      <c r="G1086" t="n">
        <v>1</v>
      </c>
      <c r="H1086" s="6">
        <f>ROUND(G1086*F1086,2)</f>
        <v/>
      </c>
      <c r="I1086">
        <f>IF(ROUND(H1086-D1086,2)=0,1,0)</f>
        <v/>
      </c>
      <c r="J1086">
        <f>IF(F1086="","none",IF(G1086=1,"carte","multiple"))</f>
        <v/>
      </c>
    </row>
    <row r="1087">
      <c r="A1087" t="inlineStr">
        <is>
          <t>2022-05-18</t>
        </is>
      </c>
      <c r="B1087" t="inlineStr">
        <is>
          <t>20:20</t>
        </is>
      </c>
      <c r="C1087" t="n">
        <v>2962</v>
      </c>
      <c r="D1087" s="6" t="n">
        <v>15.9</v>
      </c>
      <c r="E1087" t="n">
        <v>37850</v>
      </c>
      <c r="F1087" s="6" t="n">
        <v>15.9</v>
      </c>
      <c r="G1087" t="n">
        <v>1</v>
      </c>
      <c r="H1087" s="6">
        <f>ROUND(G1087*F1087,2)</f>
        <v/>
      </c>
      <c r="I1087">
        <f>IF(ROUND(H1087-D1087,2)=0,1,0)</f>
        <v/>
      </c>
      <c r="J1087">
        <f>IF(F1087="","none",IF(G1087=1,"carte","multiple"))</f>
        <v/>
      </c>
    </row>
    <row r="1088">
      <c r="A1088" t="inlineStr">
        <is>
          <t>2022-05-18</t>
        </is>
      </c>
      <c r="B1088" t="inlineStr">
        <is>
          <t>20:20</t>
        </is>
      </c>
      <c r="C1088" t="n">
        <v>2962</v>
      </c>
      <c r="D1088" s="6" t="n">
        <v>8</v>
      </c>
      <c r="E1088" t="n">
        <v>37851</v>
      </c>
      <c r="F1088" s="6" t="n">
        <v>8</v>
      </c>
      <c r="G1088" t="n">
        <v>1</v>
      </c>
      <c r="H1088" s="6">
        <f>ROUND(G1088*F1088,2)</f>
        <v/>
      </c>
      <c r="I1088">
        <f>IF(ROUND(H1088-D1088,2)=0,1,0)</f>
        <v/>
      </c>
      <c r="J1088">
        <f>IF(F1088="","none",IF(G1088=1,"carte","multiple"))</f>
        <v/>
      </c>
    </row>
    <row r="1089">
      <c r="A1089" t="inlineStr">
        <is>
          <t>2022-05-18</t>
        </is>
      </c>
      <c r="B1089" t="inlineStr">
        <is>
          <t>20:20</t>
        </is>
      </c>
      <c r="C1089" t="n">
        <v>2962</v>
      </c>
      <c r="D1089" s="6" t="n">
        <v>32</v>
      </c>
      <c r="E1089" t="n">
        <v>37852</v>
      </c>
      <c r="F1089" s="6" t="n">
        <v>32</v>
      </c>
      <c r="G1089" t="n">
        <v>1</v>
      </c>
      <c r="H1089" s="6">
        <f>ROUND(G1089*F1089,2)</f>
        <v/>
      </c>
      <c r="I1089">
        <f>IF(ROUND(H1089-D1089,2)=0,1,0)</f>
        <v/>
      </c>
      <c r="J1089">
        <f>IF(F1089="","none",IF(G1089=1,"carte","multiple"))</f>
        <v/>
      </c>
    </row>
    <row r="1090">
      <c r="A1090" t="inlineStr">
        <is>
          <t>2022-05-19</t>
        </is>
      </c>
      <c r="B1090" t="inlineStr">
        <is>
          <t>10:54</t>
        </is>
      </c>
      <c r="C1090" t="n">
        <v>2963</v>
      </c>
      <c r="D1090" s="6" t="n">
        <v>9.800000000000001</v>
      </c>
      <c r="E1090" t="n">
        <v>37855</v>
      </c>
      <c r="F1090" s="6" t="n">
        <v>9.800000000000001</v>
      </c>
      <c r="G1090" t="n">
        <v>1</v>
      </c>
      <c r="H1090" s="6">
        <f>ROUND(G1090*F1090,2)</f>
        <v/>
      </c>
      <c r="I1090">
        <f>IF(ROUND(H1090-D1090,2)=0,1,0)</f>
        <v/>
      </c>
      <c r="J1090">
        <f>IF(F1090="","none",IF(G1090=1,"carte","multiple"))</f>
        <v/>
      </c>
    </row>
    <row r="1091">
      <c r="A1091" t="inlineStr">
        <is>
          <t>2022-05-19</t>
        </is>
      </c>
      <c r="B1091" t="inlineStr">
        <is>
          <t>12:02</t>
        </is>
      </c>
      <c r="C1091" t="n">
        <v>2963</v>
      </c>
      <c r="D1091" s="6" t="n">
        <v>44</v>
      </c>
      <c r="E1091" t="n">
        <v>37856</v>
      </c>
      <c r="F1091" s="6" t="n">
        <v>0.4</v>
      </c>
      <c r="G1091" t="n">
        <v>110</v>
      </c>
      <c r="H1091" s="6">
        <f>ROUND(G1091*F1091,2)</f>
        <v/>
      </c>
      <c r="I1091">
        <f>IF(ROUND(H1091-D1091,2)=0,1,0)</f>
        <v/>
      </c>
      <c r="J1091">
        <f>IF(F1091="","none",IF(G1091=1,"carte","multiple"))</f>
        <v/>
      </c>
    </row>
    <row r="1092">
      <c r="A1092" t="inlineStr">
        <is>
          <t>2022-05-19</t>
        </is>
      </c>
      <c r="B1092" t="inlineStr">
        <is>
          <t>12:19</t>
        </is>
      </c>
      <c r="C1092" t="n">
        <v>2963</v>
      </c>
      <c r="D1092" s="6" t="n">
        <v>4.4</v>
      </c>
      <c r="E1092" t="n">
        <v>37857</v>
      </c>
      <c r="F1092" s="6" t="n">
        <v>0.4</v>
      </c>
      <c r="G1092" t="n">
        <v>11</v>
      </c>
      <c r="H1092" s="6">
        <f>ROUND(G1092*F1092,2)</f>
        <v/>
      </c>
      <c r="I1092">
        <f>IF(ROUND(H1092-D1092,2)=0,1,0)</f>
        <v/>
      </c>
      <c r="J1092">
        <f>IF(F1092="","none",IF(G1092=1,"carte","multiple"))</f>
        <v/>
      </c>
    </row>
    <row r="1093">
      <c r="A1093" t="inlineStr">
        <is>
          <t>2022-05-19</t>
        </is>
      </c>
      <c r="B1093" t="inlineStr">
        <is>
          <t>12:19</t>
        </is>
      </c>
      <c r="C1093" t="n">
        <v>2963</v>
      </c>
      <c r="D1093" s="6" t="n">
        <v>10.5</v>
      </c>
      <c r="E1093" t="n">
        <v>37858</v>
      </c>
      <c r="F1093" s="6" t="n">
        <v>10.5</v>
      </c>
      <c r="G1093" t="n">
        <v>1</v>
      </c>
      <c r="H1093" s="6">
        <f>ROUND(G1093*F1093,2)</f>
        <v/>
      </c>
      <c r="I1093">
        <f>IF(ROUND(H1093-D1093,2)=0,1,0)</f>
        <v/>
      </c>
      <c r="J1093">
        <f>IF(F1093="","none",IF(G1093=1,"carte","multiple"))</f>
        <v/>
      </c>
    </row>
    <row r="1094">
      <c r="A1094" t="inlineStr">
        <is>
          <t>2022-05-19</t>
        </is>
      </c>
      <c r="B1094" t="inlineStr">
        <is>
          <t>12:19</t>
        </is>
      </c>
      <c r="C1094" t="n">
        <v>2963</v>
      </c>
      <c r="D1094" s="6" t="n">
        <v>8.5</v>
      </c>
      <c r="E1094" t="n">
        <v>37859</v>
      </c>
      <c r="F1094" s="6" t="n">
        <v>8.5</v>
      </c>
      <c r="G1094" t="n">
        <v>1</v>
      </c>
      <c r="H1094" s="6">
        <f>ROUND(G1094*F1094,2)</f>
        <v/>
      </c>
      <c r="I1094">
        <f>IF(ROUND(H1094-D1094,2)=0,1,0)</f>
        <v/>
      </c>
      <c r="J1094">
        <f>IF(F1094="","none",IF(G1094=1,"carte","multiple"))</f>
        <v/>
      </c>
    </row>
    <row r="1095">
      <c r="A1095" t="inlineStr">
        <is>
          <t>2022-05-19</t>
        </is>
      </c>
      <c r="B1095" t="inlineStr">
        <is>
          <t>12:19</t>
        </is>
      </c>
      <c r="C1095" t="n">
        <v>2963</v>
      </c>
      <c r="D1095" s="6" t="n">
        <v>24</v>
      </c>
      <c r="E1095" t="n">
        <v>37860</v>
      </c>
      <c r="F1095" s="6" t="n">
        <v>24</v>
      </c>
      <c r="G1095" t="n">
        <v>1</v>
      </c>
      <c r="H1095" s="6">
        <f>ROUND(G1095*F1095,2)</f>
        <v/>
      </c>
      <c r="I1095">
        <f>IF(ROUND(H1095-D1095,2)=0,1,0)</f>
        <v/>
      </c>
      <c r="J1095">
        <f>IF(F1095="","none",IF(G1095=1,"carte","multiple"))</f>
        <v/>
      </c>
    </row>
    <row r="1096">
      <c r="A1096" t="inlineStr">
        <is>
          <t>2022-05-19</t>
        </is>
      </c>
      <c r="B1096" t="inlineStr">
        <is>
          <t>12:19</t>
        </is>
      </c>
      <c r="C1096" t="n">
        <v>2963</v>
      </c>
      <c r="D1096" s="6" t="n">
        <v>35.2</v>
      </c>
      <c r="E1096" t="n">
        <v>37861</v>
      </c>
      <c r="F1096" s="6" t="n">
        <v>0.4</v>
      </c>
      <c r="G1096" t="n">
        <v>88</v>
      </c>
      <c r="H1096" s="6">
        <f>ROUND(G1096*F1096,2)</f>
        <v/>
      </c>
      <c r="I1096">
        <f>IF(ROUND(H1096-D1096,2)=0,1,0)</f>
        <v/>
      </c>
      <c r="J1096">
        <f>IF(F1096="","none",IF(G1096=1,"carte","multiple"))</f>
        <v/>
      </c>
    </row>
    <row r="1097">
      <c r="A1097" t="inlineStr">
        <is>
          <t>2022-05-19</t>
        </is>
      </c>
      <c r="B1097" t="inlineStr">
        <is>
          <t>12:19</t>
        </is>
      </c>
      <c r="C1097" t="n">
        <v>2963</v>
      </c>
      <c r="D1097" s="6" t="n">
        <v>8</v>
      </c>
      <c r="E1097" t="n">
        <v>37862</v>
      </c>
      <c r="F1097" s="6" t="n">
        <v>8</v>
      </c>
      <c r="G1097" t="n">
        <v>1</v>
      </c>
      <c r="H1097" s="6">
        <f>ROUND(G1097*F1097,2)</f>
        <v/>
      </c>
      <c r="I1097">
        <f>IF(ROUND(H1097-D1097,2)=0,1,0)</f>
        <v/>
      </c>
      <c r="J1097">
        <f>IF(F1097="","none",IF(G1097=1,"carte","multiple"))</f>
        <v/>
      </c>
    </row>
    <row r="1098">
      <c r="A1098" t="inlineStr">
        <is>
          <t>2022-05-19</t>
        </is>
      </c>
      <c r="B1098" t="inlineStr">
        <is>
          <t>12:19</t>
        </is>
      </c>
      <c r="C1098" t="n">
        <v>2963</v>
      </c>
      <c r="D1098" s="6" t="n">
        <v>16.9</v>
      </c>
      <c r="E1098" t="n">
        <v>37863</v>
      </c>
      <c r="F1098" s="6" t="n">
        <v>16.9</v>
      </c>
      <c r="G1098" t="n">
        <v>1</v>
      </c>
      <c r="H1098" s="6">
        <f>ROUND(G1098*F1098,2)</f>
        <v/>
      </c>
      <c r="I1098">
        <f>IF(ROUND(H1098-D1098,2)=0,1,0)</f>
        <v/>
      </c>
      <c r="J1098">
        <f>IF(F1098="","none",IF(G1098=1,"carte","multiple"))</f>
        <v/>
      </c>
    </row>
    <row r="1099">
      <c r="A1099" t="inlineStr">
        <is>
          <t>2022-05-19</t>
        </is>
      </c>
      <c r="B1099" t="inlineStr">
        <is>
          <t>12:19</t>
        </is>
      </c>
      <c r="C1099" t="n">
        <v>2963</v>
      </c>
      <c r="D1099" s="6" t="n">
        <v>9.800000000000001</v>
      </c>
      <c r="E1099" t="n">
        <v>37864</v>
      </c>
      <c r="F1099" s="6" t="n">
        <v>9.800000000000001</v>
      </c>
      <c r="G1099" t="n">
        <v>1</v>
      </c>
      <c r="H1099" s="6">
        <f>ROUND(G1099*F1099,2)</f>
        <v/>
      </c>
      <c r="I1099">
        <f>IF(ROUND(H1099-D1099,2)=0,1,0)</f>
        <v/>
      </c>
      <c r="J1099">
        <f>IF(F1099="","none",IF(G1099=1,"carte","multiple"))</f>
        <v/>
      </c>
    </row>
    <row r="1100">
      <c r="A1100" t="inlineStr">
        <is>
          <t>2022-05-19</t>
        </is>
      </c>
      <c r="B1100" t="inlineStr">
        <is>
          <t>12:24</t>
        </is>
      </c>
      <c r="C1100" t="n">
        <v>2963</v>
      </c>
      <c r="D1100" s="6" t="n">
        <v>19.9</v>
      </c>
      <c r="E1100" t="n">
        <v>37865</v>
      </c>
      <c r="F1100" s="6" t="n">
        <v>19.9</v>
      </c>
      <c r="G1100" t="n">
        <v>1</v>
      </c>
      <c r="H1100" s="6">
        <f>ROUND(G1100*F1100,2)</f>
        <v/>
      </c>
      <c r="I1100">
        <f>IF(ROUND(H1100-D1100,2)=0,1,0)</f>
        <v/>
      </c>
      <c r="J1100">
        <f>IF(F1100="","none",IF(G1100=1,"carte","multiple"))</f>
        <v/>
      </c>
    </row>
    <row r="1101">
      <c r="A1101" t="inlineStr">
        <is>
          <t>2022-05-19</t>
        </is>
      </c>
      <c r="B1101" t="inlineStr">
        <is>
          <t>12:25</t>
        </is>
      </c>
      <c r="C1101" t="n">
        <v>2963</v>
      </c>
      <c r="D1101" s="6" t="n">
        <v>2.2</v>
      </c>
      <c r="E1101" t="n">
        <v>37866</v>
      </c>
      <c r="F1101" s="6" t="n">
        <v>2.2</v>
      </c>
      <c r="G1101" t="n">
        <v>1</v>
      </c>
      <c r="H1101" s="6">
        <f>ROUND(G1101*F1101,2)</f>
        <v/>
      </c>
      <c r="I1101">
        <f>IF(ROUND(H1101-D1101,2)=0,1,0)</f>
        <v/>
      </c>
      <c r="J1101">
        <f>IF(F1101="","none",IF(G1101=1,"carte","multiple"))</f>
        <v/>
      </c>
    </row>
    <row r="1102">
      <c r="A1102" t="inlineStr">
        <is>
          <t>2022-05-19</t>
        </is>
      </c>
      <c r="B1102" t="inlineStr">
        <is>
          <t>12:25</t>
        </is>
      </c>
      <c r="C1102" t="n">
        <v>2963</v>
      </c>
      <c r="D1102" s="6" t="n">
        <v>6.9</v>
      </c>
      <c r="E1102" t="n">
        <v>37867</v>
      </c>
      <c r="F1102" s="6" t="n">
        <v>6.9</v>
      </c>
      <c r="G1102" t="n">
        <v>1</v>
      </c>
      <c r="H1102" s="6">
        <f>ROUND(G1102*F1102,2)</f>
        <v/>
      </c>
      <c r="I1102">
        <f>IF(ROUND(H1102-D1102,2)=0,1,0)</f>
        <v/>
      </c>
      <c r="J1102">
        <f>IF(F1102="","none",IF(G1102=1,"carte","multiple"))</f>
        <v/>
      </c>
    </row>
    <row r="1103">
      <c r="A1103" t="inlineStr">
        <is>
          <t>2022-05-19</t>
        </is>
      </c>
      <c r="B1103" t="inlineStr">
        <is>
          <t>12:41</t>
        </is>
      </c>
      <c r="C1103" t="n">
        <v>2963</v>
      </c>
      <c r="D1103" s="6" t="n">
        <v>18</v>
      </c>
      <c r="E1103" t="n">
        <v>37868</v>
      </c>
      <c r="F1103" s="6" t="n">
        <v>18</v>
      </c>
      <c r="G1103" t="n">
        <v>1</v>
      </c>
      <c r="H1103" s="6">
        <f>ROUND(G1103*F1103,2)</f>
        <v/>
      </c>
      <c r="I1103">
        <f>IF(ROUND(H1103-D1103,2)=0,1,0)</f>
        <v/>
      </c>
      <c r="J1103">
        <f>IF(F1103="","none",IF(G1103=1,"carte","multiple"))</f>
        <v/>
      </c>
    </row>
    <row r="1104">
      <c r="A1104" t="inlineStr">
        <is>
          <t>2022-05-19</t>
        </is>
      </c>
      <c r="B1104" t="inlineStr">
        <is>
          <t>12:41</t>
        </is>
      </c>
      <c r="C1104" t="n">
        <v>2963</v>
      </c>
      <c r="D1104" s="6" t="n">
        <v>7.9</v>
      </c>
      <c r="E1104" t="n">
        <v>37869</v>
      </c>
      <c r="F1104" s="6" t="n">
        <v>7.9</v>
      </c>
      <c r="G1104" t="n">
        <v>1</v>
      </c>
      <c r="H1104" s="6">
        <f>ROUND(G1104*F1104,2)</f>
        <v/>
      </c>
      <c r="I1104">
        <f>IF(ROUND(H1104-D1104,2)=0,1,0)</f>
        <v/>
      </c>
      <c r="J1104">
        <f>IF(F1104="","none",IF(G1104=1,"carte","multiple"))</f>
        <v/>
      </c>
    </row>
    <row r="1105">
      <c r="A1105" t="inlineStr">
        <is>
          <t>2022-05-19</t>
        </is>
      </c>
      <c r="B1105" t="inlineStr">
        <is>
          <t>12:43</t>
        </is>
      </c>
      <c r="C1105" t="n">
        <v>2963</v>
      </c>
      <c r="D1105" s="6" t="n">
        <v>13.8</v>
      </c>
      <c r="E1105" t="n">
        <v>37870</v>
      </c>
      <c r="F1105" s="6" t="n">
        <v>4.6</v>
      </c>
      <c r="G1105" t="n">
        <v>3</v>
      </c>
      <c r="H1105" s="6">
        <f>ROUND(G1105*F1105,2)</f>
        <v/>
      </c>
      <c r="I1105">
        <f>IF(ROUND(H1105-D1105,2)=0,1,0)</f>
        <v/>
      </c>
      <c r="J1105">
        <f>IF(F1105="","none",IF(G1105=1,"carte","multiple"))</f>
        <v/>
      </c>
    </row>
    <row r="1106">
      <c r="A1106" t="inlineStr">
        <is>
          <t>2022-05-19</t>
        </is>
      </c>
      <c r="B1106" t="inlineStr">
        <is>
          <t>12:43</t>
        </is>
      </c>
      <c r="C1106" t="n">
        <v>2963</v>
      </c>
      <c r="D1106" s="6" t="n">
        <v>9.800000000000001</v>
      </c>
      <c r="E1106" t="n">
        <v>37871</v>
      </c>
      <c r="F1106" s="6" t="n">
        <v>9.800000000000001</v>
      </c>
      <c r="G1106" t="n">
        <v>1</v>
      </c>
      <c r="H1106" s="6">
        <f>ROUND(G1106*F1106,2)</f>
        <v/>
      </c>
      <c r="I1106">
        <f>IF(ROUND(H1106-D1106,2)=0,1,0)</f>
        <v/>
      </c>
      <c r="J1106">
        <f>IF(F1106="","none",IF(G1106=1,"carte","multiple"))</f>
        <v/>
      </c>
    </row>
    <row r="1107">
      <c r="A1107" t="inlineStr">
        <is>
          <t>2022-05-19</t>
        </is>
      </c>
      <c r="B1107" t="inlineStr">
        <is>
          <t>12:43</t>
        </is>
      </c>
      <c r="C1107" t="n">
        <v>2963</v>
      </c>
      <c r="D1107" s="6" t="n">
        <v>12.8</v>
      </c>
      <c r="E1107" t="n">
        <v>37872</v>
      </c>
      <c r="F1107" s="6" t="n">
        <v>0.4</v>
      </c>
      <c r="G1107" t="n">
        <v>32</v>
      </c>
      <c r="H1107" s="6">
        <f>ROUND(G1107*F1107,2)</f>
        <v/>
      </c>
      <c r="I1107">
        <f>IF(ROUND(H1107-D1107,2)=0,1,0)</f>
        <v/>
      </c>
      <c r="J1107">
        <f>IF(F1107="","none",IF(G1107=1,"carte","multiple"))</f>
        <v/>
      </c>
    </row>
    <row r="1108">
      <c r="A1108" t="inlineStr">
        <is>
          <t>2022-05-19</t>
        </is>
      </c>
      <c r="B1108" t="inlineStr">
        <is>
          <t>12:43</t>
        </is>
      </c>
      <c r="C1108" t="n">
        <v>2963</v>
      </c>
      <c r="D1108" s="6" t="n">
        <v>38</v>
      </c>
      <c r="E1108" t="n">
        <v>37873</v>
      </c>
      <c r="F1108" s="6" t="n">
        <v>0.4</v>
      </c>
      <c r="G1108" t="n">
        <v>95</v>
      </c>
      <c r="H1108" s="6">
        <f>ROUND(G1108*F1108,2)</f>
        <v/>
      </c>
      <c r="I1108">
        <f>IF(ROUND(H1108-D1108,2)=0,1,0)</f>
        <v/>
      </c>
      <c r="J1108">
        <f>IF(F1108="","none",IF(G1108=1,"carte","multiple"))</f>
        <v/>
      </c>
    </row>
    <row r="1109">
      <c r="A1109" t="inlineStr">
        <is>
          <t>2022-05-19</t>
        </is>
      </c>
      <c r="B1109" t="inlineStr">
        <is>
          <t>17:23</t>
        </is>
      </c>
      <c r="C1109" t="n">
        <v>2963</v>
      </c>
      <c r="D1109" s="6" t="n">
        <v>5.9</v>
      </c>
      <c r="E1109" t="n">
        <v>37875</v>
      </c>
      <c r="F1109" s="6" t="n">
        <v>5.9</v>
      </c>
      <c r="G1109" t="n">
        <v>1</v>
      </c>
      <c r="H1109" s="6">
        <f>ROUND(G1109*F1109,2)</f>
        <v/>
      </c>
      <c r="I1109">
        <f>IF(ROUND(H1109-D1109,2)=0,1,0)</f>
        <v/>
      </c>
      <c r="J1109">
        <f>IF(F1109="","none",IF(G1109=1,"carte","multiple"))</f>
        <v/>
      </c>
    </row>
    <row r="1110">
      <c r="A1110" t="inlineStr">
        <is>
          <t>2022-05-19</t>
        </is>
      </c>
      <c r="B1110" t="inlineStr">
        <is>
          <t>17:37</t>
        </is>
      </c>
      <c r="C1110" t="n">
        <v>2963</v>
      </c>
      <c r="D1110" s="6" t="n">
        <v>39.5</v>
      </c>
      <c r="E1110" t="n">
        <v>37876</v>
      </c>
      <c r="F1110" s="6" t="n">
        <v>39.5</v>
      </c>
      <c r="G1110" t="n">
        <v>1</v>
      </c>
      <c r="H1110" s="6">
        <f>ROUND(G1110*F1110,2)</f>
        <v/>
      </c>
      <c r="I1110">
        <f>IF(ROUND(H1110-D1110,2)=0,1,0)</f>
        <v/>
      </c>
      <c r="J1110">
        <f>IF(F1110="","none",IF(G1110=1,"carte","multiple"))</f>
        <v/>
      </c>
    </row>
    <row r="1111">
      <c r="A1111" t="inlineStr">
        <is>
          <t>2022-05-19</t>
        </is>
      </c>
      <c r="B1111" t="inlineStr">
        <is>
          <t>18:35</t>
        </is>
      </c>
      <c r="C1111" t="n">
        <v>2963</v>
      </c>
      <c r="D1111" s="6" t="n">
        <v>38</v>
      </c>
      <c r="E1111" t="n">
        <v>37877</v>
      </c>
      <c r="F1111" s="6" t="n">
        <v>0.4</v>
      </c>
      <c r="G1111" t="n">
        <v>95</v>
      </c>
      <c r="H1111" s="6">
        <f>ROUND(G1111*F1111,2)</f>
        <v/>
      </c>
      <c r="I1111">
        <f>IF(ROUND(H1111-D1111,2)=0,1,0)</f>
        <v/>
      </c>
      <c r="J1111">
        <f>IF(F1111="","none",IF(G1111=1,"carte","multiple"))</f>
        <v/>
      </c>
    </row>
    <row r="1112">
      <c r="A1112" t="inlineStr">
        <is>
          <t>2022-05-19</t>
        </is>
      </c>
      <c r="B1112" t="inlineStr">
        <is>
          <t>18:35</t>
        </is>
      </c>
      <c r="C1112" t="n">
        <v>2963</v>
      </c>
      <c r="D1112" s="6" t="n">
        <v>11.7</v>
      </c>
      <c r="E1112" t="n">
        <v>37878</v>
      </c>
      <c r="F1112" s="6" t="n">
        <v>0.9</v>
      </c>
      <c r="G1112" t="n">
        <v>13</v>
      </c>
      <c r="H1112" s="6">
        <f>ROUND(G1112*F1112,2)</f>
        <v/>
      </c>
      <c r="I1112">
        <f>IF(ROUND(H1112-D1112,2)=0,1,0)</f>
        <v/>
      </c>
      <c r="J1112">
        <f>IF(F1112="","none",IF(G1112=1,"carte","multiple"))</f>
        <v/>
      </c>
    </row>
    <row r="1113">
      <c r="A1113" t="inlineStr">
        <is>
          <t>2022-05-19</t>
        </is>
      </c>
      <c r="B1113" t="inlineStr">
        <is>
          <t>18:35</t>
        </is>
      </c>
      <c r="C1113" t="n">
        <v>2963</v>
      </c>
      <c r="D1113" s="6" t="n">
        <v>7.8</v>
      </c>
      <c r="E1113" t="n">
        <v>37879</v>
      </c>
      <c r="F1113" s="6" t="n">
        <v>7.8</v>
      </c>
      <c r="G1113" t="n">
        <v>1</v>
      </c>
      <c r="H1113" s="6">
        <f>ROUND(G1113*F1113,2)</f>
        <v/>
      </c>
      <c r="I1113">
        <f>IF(ROUND(H1113-D1113,2)=0,1,0)</f>
        <v/>
      </c>
      <c r="J1113">
        <f>IF(F1113="","none",IF(G1113=1,"carte","multiple"))</f>
        <v/>
      </c>
    </row>
    <row r="1114">
      <c r="A1114" t="inlineStr">
        <is>
          <t>2022-05-19</t>
        </is>
      </c>
      <c r="B1114" t="inlineStr">
        <is>
          <t>19:24</t>
        </is>
      </c>
      <c r="C1114" t="n">
        <v>2963</v>
      </c>
      <c r="D1114" s="6" t="n">
        <v>23</v>
      </c>
      <c r="E1114" t="n">
        <v>37880</v>
      </c>
      <c r="F1114" s="6" t="n">
        <v>23</v>
      </c>
      <c r="G1114" t="n">
        <v>1</v>
      </c>
      <c r="H1114" s="6">
        <f>ROUND(G1114*F1114,2)</f>
        <v/>
      </c>
      <c r="I1114">
        <f>IF(ROUND(H1114-D1114,2)=0,1,0)</f>
        <v/>
      </c>
      <c r="J1114">
        <f>IF(F1114="","none",IF(G1114=1,"carte","multiple"))</f>
        <v/>
      </c>
    </row>
    <row r="1115">
      <c r="A1115" t="inlineStr">
        <is>
          <t>2022-05-19</t>
        </is>
      </c>
      <c r="B1115" t="inlineStr">
        <is>
          <t>19:46</t>
        </is>
      </c>
      <c r="C1115" t="n">
        <v>2963</v>
      </c>
      <c r="D1115" s="6" t="n">
        <v>3.9</v>
      </c>
      <c r="E1115" t="n">
        <v>37881</v>
      </c>
      <c r="F1115" s="6" t="n">
        <v>3.9</v>
      </c>
      <c r="G1115" t="n">
        <v>1</v>
      </c>
      <c r="H1115" s="6">
        <f>ROUND(G1115*F1115,2)</f>
        <v/>
      </c>
      <c r="I1115">
        <f>IF(ROUND(H1115-D1115,2)=0,1,0)</f>
        <v/>
      </c>
      <c r="J1115">
        <f>IF(F1115="","none",IF(G1115=1,"carte","multiple"))</f>
        <v/>
      </c>
    </row>
    <row r="1116">
      <c r="A1116" t="inlineStr">
        <is>
          <t>2022-05-19</t>
        </is>
      </c>
      <c r="B1116" t="inlineStr">
        <is>
          <t>19:56</t>
        </is>
      </c>
      <c r="C1116" t="n">
        <v>2963</v>
      </c>
      <c r="D1116" s="6" t="n">
        <v>20.9</v>
      </c>
      <c r="E1116" t="n">
        <v>37882</v>
      </c>
      <c r="F1116" s="6" t="n">
        <v>20.9</v>
      </c>
      <c r="G1116" t="n">
        <v>1</v>
      </c>
      <c r="H1116" s="6">
        <f>ROUND(G1116*F1116,2)</f>
        <v/>
      </c>
      <c r="I1116">
        <f>IF(ROUND(H1116-D1116,2)=0,1,0)</f>
        <v/>
      </c>
      <c r="J1116">
        <f>IF(F1116="","none",IF(G1116=1,"carte","multiple"))</f>
        <v/>
      </c>
    </row>
    <row r="1117">
      <c r="A1117" t="inlineStr">
        <is>
          <t>2022-05-19</t>
        </is>
      </c>
      <c r="B1117" t="inlineStr">
        <is>
          <t>20:00</t>
        </is>
      </c>
      <c r="C1117" t="n">
        <v>2963</v>
      </c>
      <c r="D1117" s="6" t="n">
        <v>2.2</v>
      </c>
      <c r="E1117" t="n">
        <v>37883</v>
      </c>
      <c r="F1117" s="6" t="n">
        <v>2.2</v>
      </c>
      <c r="G1117" t="n">
        <v>1</v>
      </c>
      <c r="H1117" s="6">
        <f>ROUND(G1117*F1117,2)</f>
        <v/>
      </c>
      <c r="I1117">
        <f>IF(ROUND(H1117-D1117,2)=0,1,0)</f>
        <v/>
      </c>
      <c r="J1117">
        <f>IF(F1117="","none",IF(G1117=1,"carte","multiple"))</f>
        <v/>
      </c>
    </row>
    <row r="1118">
      <c r="A1118" t="inlineStr">
        <is>
          <t>2022-05-19</t>
        </is>
      </c>
      <c r="B1118" t="inlineStr">
        <is>
          <t>20:01</t>
        </is>
      </c>
      <c r="C1118" t="n">
        <v>2963</v>
      </c>
      <c r="D1118" s="6" t="n">
        <v>1.8</v>
      </c>
      <c r="E1118" t="n">
        <v>37884</v>
      </c>
      <c r="F1118" s="6" t="n">
        <v>1.8</v>
      </c>
      <c r="G1118" t="n">
        <v>1</v>
      </c>
      <c r="H1118" s="6">
        <f>ROUND(G1118*F1118,2)</f>
        <v/>
      </c>
      <c r="I1118">
        <f>IF(ROUND(H1118-D1118,2)=0,1,0)</f>
        <v/>
      </c>
      <c r="J1118">
        <f>IF(F1118="","none",IF(G1118=1,"carte","multiple"))</f>
        <v/>
      </c>
    </row>
    <row r="1119">
      <c r="A1119" t="inlineStr">
        <is>
          <t>2022-05-19</t>
        </is>
      </c>
      <c r="B1119" t="inlineStr">
        <is>
          <t>20:01</t>
        </is>
      </c>
      <c r="C1119" t="n">
        <v>2963</v>
      </c>
      <c r="D1119" s="6" t="n">
        <v>7.8</v>
      </c>
      <c r="E1119" t="n">
        <v>37885</v>
      </c>
      <c r="F1119" s="6" t="n">
        <v>7.8</v>
      </c>
      <c r="G1119" t="n">
        <v>1</v>
      </c>
      <c r="H1119" s="6">
        <f>ROUND(G1119*F1119,2)</f>
        <v/>
      </c>
      <c r="I1119">
        <f>IF(ROUND(H1119-D1119,2)=0,1,0)</f>
        <v/>
      </c>
      <c r="J1119">
        <f>IF(F1119="","none",IF(G1119=1,"carte","multiple"))</f>
        <v/>
      </c>
    </row>
    <row r="1120">
      <c r="A1120" t="inlineStr">
        <is>
          <t>2022-05-19</t>
        </is>
      </c>
      <c r="B1120" t="inlineStr">
        <is>
          <t>20:01</t>
        </is>
      </c>
      <c r="C1120" t="n">
        <v>2963</v>
      </c>
      <c r="D1120" s="6" t="n">
        <v>4.2</v>
      </c>
      <c r="E1120" t="n">
        <v>37886</v>
      </c>
      <c r="F1120" s="6" t="n">
        <v>4.2</v>
      </c>
      <c r="G1120" t="n">
        <v>1</v>
      </c>
      <c r="H1120" s="6">
        <f>ROUND(G1120*F1120,2)</f>
        <v/>
      </c>
      <c r="I1120">
        <f>IF(ROUND(H1120-D1120,2)=0,1,0)</f>
        <v/>
      </c>
      <c r="J1120">
        <f>IF(F1120="","none",IF(G1120=1,"carte","multiple"))</f>
        <v/>
      </c>
    </row>
    <row r="1121">
      <c r="A1121" t="inlineStr">
        <is>
          <t>2022-05-19</t>
        </is>
      </c>
      <c r="B1121" t="inlineStr">
        <is>
          <t>20:01</t>
        </is>
      </c>
      <c r="C1121" t="n">
        <v>2963</v>
      </c>
      <c r="D1121" s="6" t="n">
        <v>4.9</v>
      </c>
      <c r="E1121" t="n">
        <v>37887</v>
      </c>
      <c r="F1121" s="6" t="n">
        <v>4.9</v>
      </c>
      <c r="G1121" t="n">
        <v>1</v>
      </c>
      <c r="H1121" s="6">
        <f>ROUND(G1121*F1121,2)</f>
        <v/>
      </c>
      <c r="I1121">
        <f>IF(ROUND(H1121-D1121,2)=0,1,0)</f>
        <v/>
      </c>
      <c r="J1121">
        <f>IF(F1121="","none",IF(G1121=1,"carte","multiple"))</f>
        <v/>
      </c>
    </row>
    <row r="1122">
      <c r="A1122" t="inlineStr">
        <is>
          <t>2022-05-19</t>
        </is>
      </c>
      <c r="B1122" t="inlineStr">
        <is>
          <t>20:01</t>
        </is>
      </c>
      <c r="C1122" t="n">
        <v>2963</v>
      </c>
      <c r="D1122" s="6" t="n">
        <v>28</v>
      </c>
      <c r="E1122" t="n">
        <v>37888</v>
      </c>
      <c r="F1122" s="6" t="n">
        <v>28</v>
      </c>
      <c r="G1122" t="n">
        <v>1</v>
      </c>
      <c r="H1122" s="6">
        <f>ROUND(G1122*F1122,2)</f>
        <v/>
      </c>
      <c r="I1122">
        <f>IF(ROUND(H1122-D1122,2)=0,1,0)</f>
        <v/>
      </c>
      <c r="J1122">
        <f>IF(F1122="","none",IF(G1122=1,"carte","multiple"))</f>
        <v/>
      </c>
    </row>
    <row r="1123">
      <c r="A1123" t="inlineStr">
        <is>
          <t>2022-05-19</t>
        </is>
      </c>
      <c r="B1123" t="inlineStr">
        <is>
          <t>20:01</t>
        </is>
      </c>
      <c r="C1123" t="n">
        <v>2963</v>
      </c>
      <c r="D1123" s="6" t="n">
        <v>17.6</v>
      </c>
      <c r="E1123" t="n">
        <v>37889</v>
      </c>
      <c r="F1123" s="6" t="n">
        <v>17.6</v>
      </c>
      <c r="G1123" t="n">
        <v>1</v>
      </c>
      <c r="H1123" s="6">
        <f>ROUND(G1123*F1123,2)</f>
        <v/>
      </c>
      <c r="I1123">
        <f>IF(ROUND(H1123-D1123,2)=0,1,0)</f>
        <v/>
      </c>
      <c r="J1123">
        <f>IF(F1123="","none",IF(G1123=1,"carte","multiple"))</f>
        <v/>
      </c>
    </row>
    <row r="1124">
      <c r="A1124" t="inlineStr">
        <is>
          <t>2022-05-19</t>
        </is>
      </c>
      <c r="B1124" t="inlineStr">
        <is>
          <t>20:01</t>
        </is>
      </c>
      <c r="C1124" t="n">
        <v>2963</v>
      </c>
      <c r="D1124" s="6" t="n">
        <v>19.9</v>
      </c>
      <c r="E1124" t="n">
        <v>37890</v>
      </c>
      <c r="F1124" s="6" t="n">
        <v>19.9</v>
      </c>
      <c r="G1124" t="n">
        <v>1</v>
      </c>
      <c r="H1124" s="6">
        <f>ROUND(G1124*F1124,2)</f>
        <v/>
      </c>
      <c r="I1124">
        <f>IF(ROUND(H1124-D1124,2)=0,1,0)</f>
        <v/>
      </c>
      <c r="J1124">
        <f>IF(F1124="","none",IF(G1124=1,"carte","multiple"))</f>
        <v/>
      </c>
    </row>
    <row r="1125">
      <c r="A1125" t="inlineStr">
        <is>
          <t>2022-05-19</t>
        </is>
      </c>
      <c r="B1125" t="inlineStr">
        <is>
          <t>20:02</t>
        </is>
      </c>
      <c r="C1125" t="n">
        <v>2963</v>
      </c>
      <c r="D1125" s="6" t="n">
        <v>4.4</v>
      </c>
      <c r="E1125" t="n">
        <v>37891</v>
      </c>
      <c r="F1125" s="6" t="n">
        <v>0.4</v>
      </c>
      <c r="G1125" t="n">
        <v>11</v>
      </c>
      <c r="H1125" s="6">
        <f>ROUND(G1125*F1125,2)</f>
        <v/>
      </c>
      <c r="I1125">
        <f>IF(ROUND(H1125-D1125,2)=0,1,0)</f>
        <v/>
      </c>
      <c r="J1125">
        <f>IF(F1125="","none",IF(G1125=1,"carte","multiple"))</f>
        <v/>
      </c>
    </row>
    <row r="1126">
      <c r="A1126" t="inlineStr">
        <is>
          <t>2022-05-19</t>
        </is>
      </c>
      <c r="B1126" t="inlineStr">
        <is>
          <t>20:02</t>
        </is>
      </c>
      <c r="C1126" t="n">
        <v>2963</v>
      </c>
      <c r="D1126" s="6" t="n">
        <v>4.9</v>
      </c>
      <c r="E1126" t="n">
        <v>37892</v>
      </c>
      <c r="F1126" s="6" t="n">
        <v>4.9</v>
      </c>
      <c r="G1126" t="n">
        <v>1</v>
      </c>
      <c r="H1126" s="6">
        <f>ROUND(G1126*F1126,2)</f>
        <v/>
      </c>
      <c r="I1126">
        <f>IF(ROUND(H1126-D1126,2)=0,1,0)</f>
        <v/>
      </c>
      <c r="J1126">
        <f>IF(F1126="","none",IF(G1126=1,"carte","multiple"))</f>
        <v/>
      </c>
    </row>
    <row r="1127">
      <c r="A1127" t="inlineStr">
        <is>
          <t>2022-05-19</t>
        </is>
      </c>
      <c r="B1127" t="inlineStr">
        <is>
          <t>20:02</t>
        </is>
      </c>
      <c r="C1127" t="n">
        <v>2963</v>
      </c>
      <c r="D1127" s="6" t="n">
        <v>5.2</v>
      </c>
      <c r="E1127" t="n">
        <v>37893</v>
      </c>
      <c r="F1127" s="6" t="n">
        <v>5.2</v>
      </c>
      <c r="G1127" t="n">
        <v>1</v>
      </c>
      <c r="H1127" s="6">
        <f>ROUND(G1127*F1127,2)</f>
        <v/>
      </c>
      <c r="I1127">
        <f>IF(ROUND(H1127-D1127,2)=0,1,0)</f>
        <v/>
      </c>
      <c r="J1127">
        <f>IF(F1127="","none",IF(G1127=1,"carte","multiple"))</f>
        <v/>
      </c>
    </row>
    <row r="1128">
      <c r="A1128" t="inlineStr">
        <is>
          <t>2022-05-19</t>
        </is>
      </c>
      <c r="B1128" t="inlineStr">
        <is>
          <t>20:02</t>
        </is>
      </c>
      <c r="C1128" t="n">
        <v>2963</v>
      </c>
      <c r="D1128" s="6" t="n">
        <v>35.2</v>
      </c>
      <c r="E1128" t="n">
        <v>37894</v>
      </c>
      <c r="F1128" s="6" t="n">
        <v>0.4</v>
      </c>
      <c r="G1128" t="n">
        <v>88</v>
      </c>
      <c r="H1128" s="6">
        <f>ROUND(G1128*F1128,2)</f>
        <v/>
      </c>
      <c r="I1128">
        <f>IF(ROUND(H1128-D1128,2)=0,1,0)</f>
        <v/>
      </c>
      <c r="J1128">
        <f>IF(F1128="","none",IF(G1128=1,"carte","multiple"))</f>
        <v/>
      </c>
    </row>
    <row r="1129">
      <c r="A1129" t="inlineStr">
        <is>
          <t>2022-05-20</t>
        </is>
      </c>
      <c r="B1129" t="inlineStr">
        <is>
          <t>12:00</t>
        </is>
      </c>
      <c r="C1129" t="n">
        <v>2964</v>
      </c>
      <c r="D1129" s="6" t="n">
        <v>6.6</v>
      </c>
      <c r="E1129" t="n">
        <v>37897</v>
      </c>
      <c r="F1129" s="6" t="n">
        <v>6.6</v>
      </c>
      <c r="G1129" t="n">
        <v>1</v>
      </c>
      <c r="H1129" s="6">
        <f>ROUND(G1129*F1129,2)</f>
        <v/>
      </c>
      <c r="I1129">
        <f>IF(ROUND(H1129-D1129,2)=0,1,0)</f>
        <v/>
      </c>
      <c r="J1129">
        <f>IF(F1129="","none",IF(G1129=1,"carte","multiple"))</f>
        <v/>
      </c>
    </row>
    <row r="1130">
      <c r="A1130" t="inlineStr">
        <is>
          <t>2022-05-20</t>
        </is>
      </c>
      <c r="B1130" t="inlineStr">
        <is>
          <t>12:00</t>
        </is>
      </c>
      <c r="C1130" t="n">
        <v>2964</v>
      </c>
      <c r="D1130" s="6" t="n">
        <v>9.800000000000001</v>
      </c>
      <c r="E1130" t="n">
        <v>37898</v>
      </c>
      <c r="F1130" s="6" t="n">
        <v>9.800000000000001</v>
      </c>
      <c r="G1130" t="n">
        <v>1</v>
      </c>
      <c r="H1130" s="6">
        <f>ROUND(G1130*F1130,2)</f>
        <v/>
      </c>
      <c r="I1130">
        <f>IF(ROUND(H1130-D1130,2)=0,1,0)</f>
        <v/>
      </c>
      <c r="J1130">
        <f>IF(F1130="","none",IF(G1130=1,"carte","multiple"))</f>
        <v/>
      </c>
    </row>
    <row r="1131">
      <c r="A1131" t="inlineStr">
        <is>
          <t>2022-05-20</t>
        </is>
      </c>
      <c r="B1131" t="inlineStr">
        <is>
          <t>12:00</t>
        </is>
      </c>
      <c r="C1131" t="n">
        <v>2964</v>
      </c>
      <c r="D1131" s="6" t="n">
        <v>15.9</v>
      </c>
      <c r="E1131" t="n">
        <v>37899</v>
      </c>
      <c r="F1131" s="6" t="n">
        <v>15.9</v>
      </c>
      <c r="G1131" t="n">
        <v>1</v>
      </c>
      <c r="H1131" s="6">
        <f>ROUND(G1131*F1131,2)</f>
        <v/>
      </c>
      <c r="I1131">
        <f>IF(ROUND(H1131-D1131,2)=0,1,0)</f>
        <v/>
      </c>
      <c r="J1131">
        <f>IF(F1131="","none",IF(G1131=1,"carte","multiple"))</f>
        <v/>
      </c>
    </row>
    <row r="1132">
      <c r="A1132" t="inlineStr">
        <is>
          <t>2022-05-20</t>
        </is>
      </c>
      <c r="B1132" t="inlineStr">
        <is>
          <t>12:00</t>
        </is>
      </c>
      <c r="C1132" t="n">
        <v>2964</v>
      </c>
      <c r="D1132" s="6" t="n">
        <v>30</v>
      </c>
      <c r="E1132" t="n">
        <v>37900</v>
      </c>
      <c r="F1132" s="6" t="n">
        <v>30</v>
      </c>
      <c r="G1132" t="n">
        <v>1</v>
      </c>
      <c r="H1132" s="6">
        <f>ROUND(G1132*F1132,2)</f>
        <v/>
      </c>
      <c r="I1132">
        <f>IF(ROUND(H1132-D1132,2)=0,1,0)</f>
        <v/>
      </c>
      <c r="J1132">
        <f>IF(F1132="","none",IF(G1132=1,"carte","multiple"))</f>
        <v/>
      </c>
    </row>
    <row r="1133">
      <c r="A1133" t="inlineStr">
        <is>
          <t>2022-05-20</t>
        </is>
      </c>
      <c r="B1133" t="inlineStr">
        <is>
          <t>17:57</t>
        </is>
      </c>
      <c r="C1133" t="n">
        <v>2964</v>
      </c>
      <c r="D1133" s="6" t="n">
        <v>8.9</v>
      </c>
      <c r="E1133" t="n">
        <v>37902</v>
      </c>
      <c r="F1133" s="6" t="n">
        <v>8.9</v>
      </c>
      <c r="G1133" t="n">
        <v>1</v>
      </c>
      <c r="H1133" s="6">
        <f>ROUND(G1133*F1133,2)</f>
        <v/>
      </c>
      <c r="I1133">
        <f>IF(ROUND(H1133-D1133,2)=0,1,0)</f>
        <v/>
      </c>
      <c r="J1133">
        <f>IF(F1133="","none",IF(G1133=1,"carte","multiple"))</f>
        <v/>
      </c>
    </row>
    <row r="1134">
      <c r="A1134" t="inlineStr">
        <is>
          <t>2022-05-20</t>
        </is>
      </c>
      <c r="B1134" t="inlineStr">
        <is>
          <t>18:35</t>
        </is>
      </c>
      <c r="C1134" t="n">
        <v>2964</v>
      </c>
      <c r="D1134" s="6" t="n">
        <v>7.8</v>
      </c>
      <c r="E1134" t="n">
        <v>37903</v>
      </c>
      <c r="F1134" s="6" t="n">
        <v>7.8</v>
      </c>
      <c r="G1134" t="n">
        <v>1</v>
      </c>
      <c r="H1134" s="6">
        <f>ROUND(G1134*F1134,2)</f>
        <v/>
      </c>
      <c r="I1134">
        <f>IF(ROUND(H1134-D1134,2)=0,1,0)</f>
        <v/>
      </c>
      <c r="J1134">
        <f>IF(F1134="","none",IF(G1134=1,"carte","multiple"))</f>
        <v/>
      </c>
    </row>
    <row r="1135">
      <c r="A1135" t="inlineStr">
        <is>
          <t>2022-05-20</t>
        </is>
      </c>
      <c r="B1135" t="inlineStr">
        <is>
          <t>18:49</t>
        </is>
      </c>
      <c r="C1135" t="n">
        <v>2964</v>
      </c>
      <c r="D1135" s="6" t="n">
        <v>2.2</v>
      </c>
      <c r="E1135" t="n">
        <v>37904</v>
      </c>
      <c r="F1135" s="6" t="n">
        <v>2.2</v>
      </c>
      <c r="G1135" t="n">
        <v>1</v>
      </c>
      <c r="H1135" s="6">
        <f>ROUND(G1135*F1135,2)</f>
        <v/>
      </c>
      <c r="I1135">
        <f>IF(ROUND(H1135-D1135,2)=0,1,0)</f>
        <v/>
      </c>
      <c r="J1135">
        <f>IF(F1135="","none",IF(G1135=1,"carte","multiple"))</f>
        <v/>
      </c>
    </row>
    <row r="1136">
      <c r="A1136" t="inlineStr">
        <is>
          <t>2022-05-20</t>
        </is>
      </c>
      <c r="B1136" t="inlineStr">
        <is>
          <t>19:30</t>
        </is>
      </c>
      <c r="C1136" t="n">
        <v>2964</v>
      </c>
      <c r="D1136" s="6" t="n">
        <v>2.2</v>
      </c>
      <c r="E1136" t="n">
        <v>37905</v>
      </c>
      <c r="F1136" s="6" t="n">
        <v>2.2</v>
      </c>
      <c r="G1136" t="n">
        <v>1</v>
      </c>
      <c r="H1136" s="6">
        <f>ROUND(G1136*F1136,2)</f>
        <v/>
      </c>
      <c r="I1136">
        <f>IF(ROUND(H1136-D1136,2)=0,1,0)</f>
        <v/>
      </c>
      <c r="J1136">
        <f>IF(F1136="","none",IF(G1136=1,"carte","multiple"))</f>
        <v/>
      </c>
    </row>
    <row r="1137">
      <c r="A1137" t="inlineStr">
        <is>
          <t>2022-05-20</t>
        </is>
      </c>
      <c r="B1137" t="inlineStr">
        <is>
          <t>19:30</t>
        </is>
      </c>
      <c r="C1137" t="n">
        <v>2964</v>
      </c>
      <c r="D1137" s="6" t="n">
        <v>5.6</v>
      </c>
      <c r="E1137" t="n">
        <v>37906</v>
      </c>
      <c r="F1137" s="6" t="n">
        <v>5.6</v>
      </c>
      <c r="G1137" t="n">
        <v>1</v>
      </c>
      <c r="H1137" s="6">
        <f>ROUND(G1137*F1137,2)</f>
        <v/>
      </c>
      <c r="I1137">
        <f>IF(ROUND(H1137-D1137,2)=0,1,0)</f>
        <v/>
      </c>
      <c r="J1137">
        <f>IF(F1137="","none",IF(G1137=1,"carte","multiple"))</f>
        <v/>
      </c>
    </row>
    <row r="1138">
      <c r="A1138" t="inlineStr">
        <is>
          <t>2022-05-20</t>
        </is>
      </c>
      <c r="B1138" t="inlineStr">
        <is>
          <t>19:30</t>
        </is>
      </c>
      <c r="C1138" t="n">
        <v>2964</v>
      </c>
      <c r="D1138" s="6" t="n">
        <v>6.6</v>
      </c>
      <c r="E1138" t="n">
        <v>37907</v>
      </c>
      <c r="F1138" s="6" t="n">
        <v>6.6</v>
      </c>
      <c r="G1138" t="n">
        <v>1</v>
      </c>
      <c r="H1138" s="6">
        <f>ROUND(G1138*F1138,2)</f>
        <v/>
      </c>
      <c r="I1138">
        <f>IF(ROUND(H1138-D1138,2)=0,1,0)</f>
        <v/>
      </c>
      <c r="J1138">
        <f>IF(F1138="","none",IF(G1138=1,"carte","multiple"))</f>
        <v/>
      </c>
    </row>
    <row r="1139">
      <c r="A1139" t="inlineStr">
        <is>
          <t>2022-05-20</t>
        </is>
      </c>
      <c r="B1139" t="inlineStr">
        <is>
          <t>19:30</t>
        </is>
      </c>
      <c r="C1139" t="n">
        <v>2964</v>
      </c>
      <c r="D1139" s="6" t="n">
        <v>7.8</v>
      </c>
      <c r="E1139" t="n">
        <v>37908</v>
      </c>
      <c r="F1139" s="6" t="n">
        <v>7.8</v>
      </c>
      <c r="G1139" t="n">
        <v>1</v>
      </c>
      <c r="H1139" s="6">
        <f>ROUND(G1139*F1139,2)</f>
        <v/>
      </c>
      <c r="I1139">
        <f>IF(ROUND(H1139-D1139,2)=0,1,0)</f>
        <v/>
      </c>
      <c r="J1139">
        <f>IF(F1139="","none",IF(G1139=1,"carte","multiple"))</f>
        <v/>
      </c>
    </row>
    <row r="1140">
      <c r="A1140" t="inlineStr">
        <is>
          <t>2022-05-20</t>
        </is>
      </c>
      <c r="B1140" t="inlineStr">
        <is>
          <t>19:30</t>
        </is>
      </c>
      <c r="C1140" t="n">
        <v>2964</v>
      </c>
      <c r="D1140" s="6" t="n">
        <v>39.8</v>
      </c>
      <c r="E1140" t="n">
        <v>37909</v>
      </c>
      <c r="F1140" s="6" t="n">
        <v>39.8</v>
      </c>
      <c r="G1140" t="n">
        <v>1</v>
      </c>
      <c r="H1140" s="6">
        <f>ROUND(G1140*F1140,2)</f>
        <v/>
      </c>
      <c r="I1140">
        <f>IF(ROUND(H1140-D1140,2)=0,1,0)</f>
        <v/>
      </c>
      <c r="J1140">
        <f>IF(F1140="","none",IF(G1140=1,"carte","multiple"))</f>
        <v/>
      </c>
    </row>
    <row r="1141">
      <c r="A1141" t="inlineStr">
        <is>
          <t>2022-05-20</t>
        </is>
      </c>
      <c r="B1141" t="inlineStr">
        <is>
          <t>19:30</t>
        </is>
      </c>
      <c r="C1141" t="n">
        <v>2964</v>
      </c>
      <c r="D1141" s="6" t="n">
        <v>17.6</v>
      </c>
      <c r="E1141" t="n">
        <v>37910</v>
      </c>
      <c r="F1141" s="6" t="n">
        <v>17.6</v>
      </c>
      <c r="G1141" t="n">
        <v>1</v>
      </c>
      <c r="H1141" s="6">
        <f>ROUND(G1141*F1141,2)</f>
        <v/>
      </c>
      <c r="I1141">
        <f>IF(ROUND(H1141-D1141,2)=0,1,0)</f>
        <v/>
      </c>
      <c r="J1141">
        <f>IF(F1141="","none",IF(G1141=1,"carte","multiple"))</f>
        <v/>
      </c>
    </row>
    <row r="1142">
      <c r="A1142" t="inlineStr">
        <is>
          <t>2022-05-20</t>
        </is>
      </c>
      <c r="B1142" t="inlineStr">
        <is>
          <t>19:30</t>
        </is>
      </c>
      <c r="C1142" t="n">
        <v>2964</v>
      </c>
      <c r="D1142" s="6" t="n">
        <v>14.4</v>
      </c>
      <c r="E1142" t="n">
        <v>37911</v>
      </c>
      <c r="F1142" s="6" t="n">
        <v>0.4</v>
      </c>
      <c r="G1142" t="n">
        <v>36</v>
      </c>
      <c r="H1142" s="6">
        <f>ROUND(G1142*F1142,2)</f>
        <v/>
      </c>
      <c r="I1142">
        <f>IF(ROUND(H1142-D1142,2)=0,1,0)</f>
        <v/>
      </c>
      <c r="J1142">
        <f>IF(F1142="","none",IF(G1142=1,"carte","multiple"))</f>
        <v/>
      </c>
    </row>
    <row r="1143">
      <c r="A1143" t="inlineStr">
        <is>
          <t>2022-05-20</t>
        </is>
      </c>
      <c r="B1143" t="inlineStr">
        <is>
          <t>19:30</t>
        </is>
      </c>
      <c r="C1143" t="n">
        <v>2964</v>
      </c>
      <c r="D1143" s="6" t="n">
        <v>4.4</v>
      </c>
      <c r="E1143" t="n">
        <v>37912</v>
      </c>
      <c r="F1143" s="6" t="n">
        <v>0.4</v>
      </c>
      <c r="G1143" t="n">
        <v>11</v>
      </c>
      <c r="H1143" s="6">
        <f>ROUND(G1143*F1143,2)</f>
        <v/>
      </c>
      <c r="I1143">
        <f>IF(ROUND(H1143-D1143,2)=0,1,0)</f>
        <v/>
      </c>
      <c r="J1143">
        <f>IF(F1143="","none",IF(G1143=1,"carte","multiple"))</f>
        <v/>
      </c>
    </row>
    <row r="1144">
      <c r="A1144" t="inlineStr">
        <is>
          <t>2022-05-20</t>
        </is>
      </c>
      <c r="B1144" t="inlineStr">
        <is>
          <t>19:30</t>
        </is>
      </c>
      <c r="C1144" t="n">
        <v>2964</v>
      </c>
      <c r="D1144" s="6" t="n">
        <v>5.6</v>
      </c>
      <c r="E1144" t="n">
        <v>37913</v>
      </c>
      <c r="F1144" s="6" t="n">
        <v>5.6</v>
      </c>
      <c r="G1144" t="n">
        <v>1</v>
      </c>
      <c r="H1144" s="6">
        <f>ROUND(G1144*F1144,2)</f>
        <v/>
      </c>
      <c r="I1144">
        <f>IF(ROUND(H1144-D1144,2)=0,1,0)</f>
        <v/>
      </c>
      <c r="J1144">
        <f>IF(F1144="","none",IF(G1144=1,"carte","multiple"))</f>
        <v/>
      </c>
    </row>
    <row r="1145">
      <c r="A1145" t="inlineStr">
        <is>
          <t>2022-05-20</t>
        </is>
      </c>
      <c r="B1145" t="inlineStr">
        <is>
          <t>19:30</t>
        </is>
      </c>
      <c r="C1145" t="n">
        <v>2964</v>
      </c>
      <c r="D1145" s="6" t="n">
        <v>2.4</v>
      </c>
      <c r="E1145" t="n">
        <v>37914</v>
      </c>
      <c r="F1145" s="6" t="n">
        <v>2.4</v>
      </c>
      <c r="G1145" t="n">
        <v>1</v>
      </c>
      <c r="H1145" s="6">
        <f>ROUND(G1145*F1145,2)</f>
        <v/>
      </c>
      <c r="I1145">
        <f>IF(ROUND(H1145-D1145,2)=0,1,0)</f>
        <v/>
      </c>
      <c r="J1145">
        <f>IF(F1145="","none",IF(G1145=1,"carte","multiple"))</f>
        <v/>
      </c>
    </row>
    <row r="1146">
      <c r="A1146" t="inlineStr">
        <is>
          <t>2022-05-20</t>
        </is>
      </c>
      <c r="B1146" t="inlineStr">
        <is>
          <t>19:30</t>
        </is>
      </c>
      <c r="C1146" t="n">
        <v>2964</v>
      </c>
      <c r="D1146" s="6" t="n">
        <v>2.9</v>
      </c>
      <c r="E1146" t="n">
        <v>37915</v>
      </c>
      <c r="F1146" s="6" t="n">
        <v>2.9</v>
      </c>
      <c r="G1146" t="n">
        <v>1</v>
      </c>
      <c r="H1146" s="6">
        <f>ROUND(G1146*F1146,2)</f>
        <v/>
      </c>
      <c r="I1146">
        <f>IF(ROUND(H1146-D1146,2)=0,1,0)</f>
        <v/>
      </c>
      <c r="J1146">
        <f>IF(F1146="","none",IF(G1146=1,"carte","multiple"))</f>
        <v/>
      </c>
    </row>
    <row r="1147">
      <c r="A1147" t="inlineStr">
        <is>
          <t>2022-05-20</t>
        </is>
      </c>
      <c r="B1147" t="inlineStr">
        <is>
          <t>19:30</t>
        </is>
      </c>
      <c r="C1147" t="n">
        <v>2964</v>
      </c>
      <c r="D1147" s="6" t="n">
        <v>2.9</v>
      </c>
      <c r="E1147" t="n">
        <v>37916</v>
      </c>
      <c r="F1147" s="6" t="n">
        <v>2.9</v>
      </c>
      <c r="G1147" t="n">
        <v>1</v>
      </c>
      <c r="H1147" s="6">
        <f>ROUND(G1147*F1147,2)</f>
        <v/>
      </c>
      <c r="I1147">
        <f>IF(ROUND(H1147-D1147,2)=0,1,0)</f>
        <v/>
      </c>
      <c r="J1147">
        <f>IF(F1147="","none",IF(G1147=1,"carte","multiple"))</f>
        <v/>
      </c>
    </row>
    <row r="1148">
      <c r="A1148" t="inlineStr">
        <is>
          <t>2022-05-20</t>
        </is>
      </c>
      <c r="B1148" t="inlineStr">
        <is>
          <t>19:30</t>
        </is>
      </c>
      <c r="C1148" t="n">
        <v>2964</v>
      </c>
      <c r="D1148" s="6" t="n">
        <v>19</v>
      </c>
      <c r="E1148" t="n">
        <v>37917</v>
      </c>
      <c r="F1148" s="6" t="n">
        <v>19</v>
      </c>
      <c r="G1148" t="n">
        <v>1</v>
      </c>
      <c r="H1148" s="6">
        <f>ROUND(G1148*F1148,2)</f>
        <v/>
      </c>
      <c r="I1148">
        <f>IF(ROUND(H1148-D1148,2)=0,1,0)</f>
        <v/>
      </c>
      <c r="J1148">
        <f>IF(F1148="","none",IF(G1148=1,"carte","multiple"))</f>
        <v/>
      </c>
    </row>
    <row r="1149">
      <c r="A1149" t="inlineStr">
        <is>
          <t>2022-05-20</t>
        </is>
      </c>
      <c r="B1149" t="inlineStr">
        <is>
          <t>19:30</t>
        </is>
      </c>
      <c r="C1149" t="n">
        <v>2964</v>
      </c>
      <c r="D1149" s="6" t="n">
        <v>19.9</v>
      </c>
      <c r="E1149" t="n">
        <v>37918</v>
      </c>
      <c r="F1149" s="6" t="n">
        <v>19.9</v>
      </c>
      <c r="G1149" t="n">
        <v>1</v>
      </c>
      <c r="H1149" s="6">
        <f>ROUND(G1149*F1149,2)</f>
        <v/>
      </c>
      <c r="I1149">
        <f>IF(ROUND(H1149-D1149,2)=0,1,0)</f>
        <v/>
      </c>
      <c r="J1149">
        <f>IF(F1149="","none",IF(G1149=1,"carte","multiple"))</f>
        <v/>
      </c>
    </row>
    <row r="1150">
      <c r="A1150" t="inlineStr">
        <is>
          <t>2022-05-20</t>
        </is>
      </c>
      <c r="B1150" t="inlineStr">
        <is>
          <t>19:30</t>
        </is>
      </c>
      <c r="C1150" t="n">
        <v>2964</v>
      </c>
      <c r="D1150" s="6" t="n">
        <v>35.2</v>
      </c>
      <c r="E1150" t="n">
        <v>37919</v>
      </c>
      <c r="F1150" s="6" t="n">
        <v>0.4</v>
      </c>
      <c r="G1150" t="n">
        <v>88</v>
      </c>
      <c r="H1150" s="6">
        <f>ROUND(G1150*F1150,2)</f>
        <v/>
      </c>
      <c r="I1150">
        <f>IF(ROUND(H1150-D1150,2)=0,1,0)</f>
        <v/>
      </c>
      <c r="J1150">
        <f>IF(F1150="","none",IF(G1150=1,"carte","multiple"))</f>
        <v/>
      </c>
    </row>
    <row r="1151">
      <c r="A1151" t="inlineStr">
        <is>
          <t>2022-05-20</t>
        </is>
      </c>
      <c r="B1151" t="inlineStr">
        <is>
          <t>19:30</t>
        </is>
      </c>
      <c r="C1151" t="n">
        <v>2964</v>
      </c>
      <c r="D1151" s="6" t="n">
        <v>9.6</v>
      </c>
      <c r="E1151" t="n">
        <v>37920</v>
      </c>
      <c r="F1151" s="6" t="n">
        <v>9.6</v>
      </c>
      <c r="G1151" t="n">
        <v>1</v>
      </c>
      <c r="H1151" s="6">
        <f>ROUND(G1151*F1151,2)</f>
        <v/>
      </c>
      <c r="I1151">
        <f>IF(ROUND(H1151-D1151,2)=0,1,0)</f>
        <v/>
      </c>
      <c r="J1151">
        <f>IF(F1151="","none",IF(G1151=1,"carte","multiple"))</f>
        <v/>
      </c>
    </row>
    <row r="1152">
      <c r="A1152" t="inlineStr">
        <is>
          <t>2022-05-20</t>
        </is>
      </c>
      <c r="B1152" t="inlineStr">
        <is>
          <t>19:30</t>
        </is>
      </c>
      <c r="C1152" t="n">
        <v>2964</v>
      </c>
      <c r="D1152" s="6" t="n">
        <v>28.8</v>
      </c>
      <c r="E1152" t="n">
        <v>37921</v>
      </c>
      <c r="F1152" s="6" t="n">
        <v>0.4</v>
      </c>
      <c r="G1152" t="n">
        <v>72</v>
      </c>
      <c r="H1152" s="6">
        <f>ROUND(G1152*F1152,2)</f>
        <v/>
      </c>
      <c r="I1152">
        <f>IF(ROUND(H1152-D1152,2)=0,1,0)</f>
        <v/>
      </c>
      <c r="J1152">
        <f>IF(F1152="","none",IF(G1152=1,"carte","multiple"))</f>
        <v/>
      </c>
    </row>
    <row r="1153">
      <c r="A1153" t="inlineStr">
        <is>
          <t>2022-05-20</t>
        </is>
      </c>
      <c r="B1153" t="inlineStr">
        <is>
          <t>19:30</t>
        </is>
      </c>
      <c r="C1153" t="n">
        <v>2964</v>
      </c>
      <c r="D1153" s="6" t="n">
        <v>4.4</v>
      </c>
      <c r="E1153" t="n">
        <v>37922</v>
      </c>
      <c r="F1153" s="6" t="n">
        <v>0.4</v>
      </c>
      <c r="G1153" t="n">
        <v>11</v>
      </c>
      <c r="H1153" s="6">
        <f>ROUND(G1153*F1153,2)</f>
        <v/>
      </c>
      <c r="I1153">
        <f>IF(ROUND(H1153-D1153,2)=0,1,0)</f>
        <v/>
      </c>
      <c r="J1153">
        <f>IF(F1153="","none",IF(G1153=1,"carte","multiple"))</f>
        <v/>
      </c>
    </row>
    <row r="1154">
      <c r="A1154" t="inlineStr">
        <is>
          <t>2022-05-20</t>
        </is>
      </c>
      <c r="B1154" t="inlineStr">
        <is>
          <t>19:30</t>
        </is>
      </c>
      <c r="C1154" t="n">
        <v>2964</v>
      </c>
      <c r="D1154" s="6" t="n">
        <v>5.8</v>
      </c>
      <c r="E1154" t="n">
        <v>37923</v>
      </c>
      <c r="F1154" s="6" t="n">
        <v>5.8</v>
      </c>
      <c r="G1154" t="n">
        <v>1</v>
      </c>
      <c r="H1154" s="6">
        <f>ROUND(G1154*F1154,2)</f>
        <v/>
      </c>
      <c r="I1154">
        <f>IF(ROUND(H1154-D1154,2)=0,1,0)</f>
        <v/>
      </c>
      <c r="J1154">
        <f>IF(F1154="","none",IF(G1154=1,"carte","multiple"))</f>
        <v/>
      </c>
    </row>
    <row r="1155">
      <c r="A1155" t="inlineStr">
        <is>
          <t>2022-05-20</t>
        </is>
      </c>
      <c r="B1155" t="inlineStr">
        <is>
          <t>19:30</t>
        </is>
      </c>
      <c r="C1155" t="n">
        <v>2964</v>
      </c>
      <c r="D1155" s="6" t="n">
        <v>7.4</v>
      </c>
      <c r="E1155" t="n">
        <v>37924</v>
      </c>
      <c r="F1155" s="6" t="n">
        <v>3.7</v>
      </c>
      <c r="G1155" t="n">
        <v>2</v>
      </c>
      <c r="H1155" s="6">
        <f>ROUND(G1155*F1155,2)</f>
        <v/>
      </c>
      <c r="I1155">
        <f>IF(ROUND(H1155-D1155,2)=0,1,0)</f>
        <v/>
      </c>
      <c r="J1155">
        <f>IF(F1155="","none",IF(G1155=1,"carte","multiple"))</f>
        <v/>
      </c>
    </row>
    <row r="1156">
      <c r="A1156" t="inlineStr">
        <is>
          <t>2022-05-20</t>
        </is>
      </c>
      <c r="B1156" t="inlineStr">
        <is>
          <t>19:30</t>
        </is>
      </c>
      <c r="C1156" t="n">
        <v>2964</v>
      </c>
      <c r="D1156" s="6" t="n">
        <v>11.2</v>
      </c>
      <c r="E1156" t="n">
        <v>37925</v>
      </c>
      <c r="F1156" s="6" t="n">
        <v>11.2</v>
      </c>
      <c r="G1156" t="n">
        <v>1</v>
      </c>
      <c r="H1156" s="6">
        <f>ROUND(G1156*F1156,2)</f>
        <v/>
      </c>
      <c r="I1156">
        <f>IF(ROUND(H1156-D1156,2)=0,1,0)</f>
        <v/>
      </c>
      <c r="J1156">
        <f>IF(F1156="","none",IF(G1156=1,"carte","multiple"))</f>
        <v/>
      </c>
    </row>
    <row r="1157">
      <c r="A1157" t="inlineStr">
        <is>
          <t>2022-05-20</t>
        </is>
      </c>
      <c r="B1157" t="inlineStr">
        <is>
          <t>19:31</t>
        </is>
      </c>
      <c r="C1157" t="n">
        <v>2964</v>
      </c>
      <c r="D1157" s="6" t="n">
        <v>35.2</v>
      </c>
      <c r="E1157" t="n">
        <v>37926</v>
      </c>
      <c r="F1157" s="6" t="n">
        <v>0.4</v>
      </c>
      <c r="G1157" t="n">
        <v>88</v>
      </c>
      <c r="H1157" s="6">
        <f>ROUND(G1157*F1157,2)</f>
        <v/>
      </c>
      <c r="I1157">
        <f>IF(ROUND(H1157-D1157,2)=0,1,0)</f>
        <v/>
      </c>
      <c r="J1157">
        <f>IF(F1157="","none",IF(G1157=1,"carte","multiple"))</f>
        <v/>
      </c>
    </row>
    <row r="1158">
      <c r="A1158" t="inlineStr">
        <is>
          <t>2022-05-20</t>
        </is>
      </c>
      <c r="B1158" t="inlineStr">
        <is>
          <t>19:31</t>
        </is>
      </c>
      <c r="C1158" t="n">
        <v>2964</v>
      </c>
      <c r="D1158" s="6" t="n">
        <v>16.8</v>
      </c>
      <c r="E1158" t="n">
        <v>37927</v>
      </c>
      <c r="F1158" s="6" t="n">
        <v>16.8</v>
      </c>
      <c r="G1158" t="n">
        <v>1</v>
      </c>
      <c r="H1158" s="6">
        <f>ROUND(G1158*F1158,2)</f>
        <v/>
      </c>
      <c r="I1158">
        <f>IF(ROUND(H1158-D1158,2)=0,1,0)</f>
        <v/>
      </c>
      <c r="J1158">
        <f>IF(F1158="","none",IF(G1158=1,"carte","multiple"))</f>
        <v/>
      </c>
    </row>
    <row r="1159">
      <c r="A1159" t="inlineStr">
        <is>
          <t>2022-05-20</t>
        </is>
      </c>
      <c r="B1159" t="inlineStr">
        <is>
          <t>19:31</t>
        </is>
      </c>
      <c r="C1159" t="n">
        <v>2964</v>
      </c>
      <c r="D1159" s="6" t="n">
        <v>16.9</v>
      </c>
      <c r="E1159" t="n">
        <v>37928</v>
      </c>
      <c r="F1159" s="6" t="n">
        <v>16.9</v>
      </c>
      <c r="G1159" t="n">
        <v>1</v>
      </c>
      <c r="H1159" s="6">
        <f>ROUND(G1159*F1159,2)</f>
        <v/>
      </c>
      <c r="I1159">
        <f>IF(ROUND(H1159-D1159,2)=0,1,0)</f>
        <v/>
      </c>
      <c r="J1159">
        <f>IF(F1159="","none",IF(G1159=1,"carte","multiple"))</f>
        <v/>
      </c>
    </row>
    <row r="1160">
      <c r="A1160" t="inlineStr">
        <is>
          <t>2022-05-20</t>
        </is>
      </c>
      <c r="B1160" t="inlineStr">
        <is>
          <t>19:31</t>
        </is>
      </c>
      <c r="C1160" t="n">
        <v>2964</v>
      </c>
      <c r="D1160" s="6" t="n">
        <v>14.4</v>
      </c>
      <c r="E1160" t="n">
        <v>37929</v>
      </c>
      <c r="F1160" s="6" t="n">
        <v>0.4</v>
      </c>
      <c r="G1160" t="n">
        <v>36</v>
      </c>
      <c r="H1160" s="6">
        <f>ROUND(G1160*F1160,2)</f>
        <v/>
      </c>
      <c r="I1160">
        <f>IF(ROUND(H1160-D1160,2)=0,1,0)</f>
        <v/>
      </c>
      <c r="J1160">
        <f>IF(F1160="","none",IF(G1160=1,"carte","multiple"))</f>
        <v/>
      </c>
    </row>
    <row r="1161">
      <c r="A1161" t="inlineStr">
        <is>
          <t>2022-05-20</t>
        </is>
      </c>
      <c r="B1161" t="inlineStr">
        <is>
          <t>19:31</t>
        </is>
      </c>
      <c r="C1161" t="n">
        <v>2964</v>
      </c>
      <c r="D1161" s="6" t="n">
        <v>5.9</v>
      </c>
      <c r="E1161" t="n">
        <v>37930</v>
      </c>
      <c r="F1161" s="6" t="n">
        <v>5.9</v>
      </c>
      <c r="G1161" t="n">
        <v>1</v>
      </c>
      <c r="H1161" s="6">
        <f>ROUND(G1161*F1161,2)</f>
        <v/>
      </c>
      <c r="I1161">
        <f>IF(ROUND(H1161-D1161,2)=0,1,0)</f>
        <v/>
      </c>
      <c r="J1161">
        <f>IF(F1161="","none",IF(G1161=1,"carte","multiple"))</f>
        <v/>
      </c>
    </row>
    <row r="1162">
      <c r="A1162" t="inlineStr">
        <is>
          <t>2022-05-20</t>
        </is>
      </c>
      <c r="B1162" t="inlineStr">
        <is>
          <t>19:33</t>
        </is>
      </c>
      <c r="C1162" t="n">
        <v>2964</v>
      </c>
      <c r="D1162" s="6" t="n">
        <v>4</v>
      </c>
      <c r="E1162" t="n">
        <v>37931</v>
      </c>
      <c r="F1162" s="6" t="n">
        <v>4</v>
      </c>
      <c r="G1162" t="n">
        <v>1</v>
      </c>
      <c r="H1162" s="6">
        <f>ROUND(G1162*F1162,2)</f>
        <v/>
      </c>
      <c r="I1162">
        <f>IF(ROUND(H1162-D1162,2)=0,1,0)</f>
        <v/>
      </c>
      <c r="J1162">
        <f>IF(F1162="","none",IF(G1162=1,"carte","multiple"))</f>
        <v/>
      </c>
    </row>
    <row r="1163">
      <c r="A1163" t="inlineStr">
        <is>
          <t>2022-05-21</t>
        </is>
      </c>
      <c r="B1163" t="inlineStr">
        <is>
          <t>10:32</t>
        </is>
      </c>
      <c r="C1163" t="n">
        <v>2965</v>
      </c>
      <c r="D1163" s="6" t="n">
        <v>3.9</v>
      </c>
      <c r="E1163" t="n">
        <v>37934</v>
      </c>
      <c r="F1163" s="6" t="n">
        <v>3.9</v>
      </c>
      <c r="G1163" t="n">
        <v>1</v>
      </c>
      <c r="H1163" s="6">
        <f>ROUND(G1163*F1163,2)</f>
        <v/>
      </c>
      <c r="I1163">
        <f>IF(ROUND(H1163-D1163,2)=0,1,0)</f>
        <v/>
      </c>
      <c r="J1163">
        <f>IF(F1163="","none",IF(G1163=1,"carte","multiple"))</f>
        <v/>
      </c>
    </row>
    <row r="1164">
      <c r="A1164" t="inlineStr">
        <is>
          <t>2022-05-21</t>
        </is>
      </c>
      <c r="B1164" t="inlineStr">
        <is>
          <t>17:43</t>
        </is>
      </c>
      <c r="C1164" t="n">
        <v>2965</v>
      </c>
      <c r="D1164" s="6" t="n">
        <v>29</v>
      </c>
      <c r="E1164" t="n">
        <v>37936</v>
      </c>
      <c r="F1164" s="6" t="n">
        <v>29</v>
      </c>
      <c r="G1164" t="n">
        <v>1</v>
      </c>
      <c r="H1164" s="6">
        <f>ROUND(G1164*F1164,2)</f>
        <v/>
      </c>
      <c r="I1164">
        <f>IF(ROUND(H1164-D1164,2)=0,1,0)</f>
        <v/>
      </c>
      <c r="J1164">
        <f>IF(F1164="","none",IF(G1164=1,"carte","multiple"))</f>
        <v/>
      </c>
    </row>
    <row r="1165">
      <c r="A1165" t="inlineStr">
        <is>
          <t>2022-05-21</t>
        </is>
      </c>
      <c r="B1165" t="inlineStr">
        <is>
          <t>17:51</t>
        </is>
      </c>
      <c r="C1165" t="n">
        <v>2965</v>
      </c>
      <c r="D1165" s="6" t="n">
        <v>29.9</v>
      </c>
      <c r="E1165" t="n">
        <v>37937</v>
      </c>
      <c r="F1165" s="6" t="n">
        <v>29.9</v>
      </c>
      <c r="G1165" t="n">
        <v>1</v>
      </c>
      <c r="H1165" s="6">
        <f>ROUND(G1165*F1165,2)</f>
        <v/>
      </c>
      <c r="I1165">
        <f>IF(ROUND(H1165-D1165,2)=0,1,0)</f>
        <v/>
      </c>
      <c r="J1165">
        <f>IF(F1165="","none",IF(G1165=1,"carte","multiple"))</f>
        <v/>
      </c>
    </row>
    <row r="1166">
      <c r="A1166" t="inlineStr">
        <is>
          <t>2022-05-21</t>
        </is>
      </c>
      <c r="B1166" t="inlineStr">
        <is>
          <t>18:32</t>
        </is>
      </c>
      <c r="C1166" t="n">
        <v>2965</v>
      </c>
      <c r="D1166" s="6" t="n">
        <v>7.8</v>
      </c>
      <c r="E1166" t="n">
        <v>37938</v>
      </c>
      <c r="F1166" s="6" t="n">
        <v>7.8</v>
      </c>
      <c r="G1166" t="n">
        <v>1</v>
      </c>
      <c r="H1166" s="6">
        <f>ROUND(G1166*F1166,2)</f>
        <v/>
      </c>
      <c r="I1166">
        <f>IF(ROUND(H1166-D1166,2)=0,1,0)</f>
        <v/>
      </c>
      <c r="J1166">
        <f>IF(F1166="","none",IF(G1166=1,"carte","multiple"))</f>
        <v/>
      </c>
    </row>
    <row r="1167">
      <c r="A1167" t="inlineStr">
        <is>
          <t>2022-05-21</t>
        </is>
      </c>
      <c r="B1167" t="inlineStr">
        <is>
          <t>19:08</t>
        </is>
      </c>
      <c r="C1167" t="n">
        <v>2965</v>
      </c>
      <c r="D1167" s="6" t="n">
        <v>3.4</v>
      </c>
      <c r="E1167" t="n">
        <v>37939</v>
      </c>
      <c r="F1167" s="6" t="n">
        <v>3.4</v>
      </c>
      <c r="G1167" t="n">
        <v>1</v>
      </c>
      <c r="H1167" s="6">
        <f>ROUND(G1167*F1167,2)</f>
        <v/>
      </c>
      <c r="I1167">
        <f>IF(ROUND(H1167-D1167,2)=0,1,0)</f>
        <v/>
      </c>
      <c r="J1167">
        <f>IF(F1167="","none",IF(G1167=1,"carte","multiple"))</f>
        <v/>
      </c>
    </row>
    <row r="1168">
      <c r="A1168" t="inlineStr">
        <is>
          <t>2022-05-21</t>
        </is>
      </c>
      <c r="B1168" t="inlineStr">
        <is>
          <t>19:11</t>
        </is>
      </c>
      <c r="C1168" t="n">
        <v>2965</v>
      </c>
      <c r="D1168" s="6" t="n">
        <v>2.4</v>
      </c>
      <c r="E1168" t="n">
        <v>37940</v>
      </c>
      <c r="F1168" s="6" t="n">
        <v>2.4</v>
      </c>
      <c r="G1168" t="n">
        <v>1</v>
      </c>
      <c r="H1168" s="6">
        <f>ROUND(G1168*F1168,2)</f>
        <v/>
      </c>
      <c r="I1168">
        <f>IF(ROUND(H1168-D1168,2)=0,1,0)</f>
        <v/>
      </c>
      <c r="J1168">
        <f>IF(F1168="","none",IF(G1168=1,"carte","multiple"))</f>
        <v/>
      </c>
    </row>
    <row r="1169">
      <c r="A1169" t="inlineStr">
        <is>
          <t>2022-05-21</t>
        </is>
      </c>
      <c r="B1169" t="inlineStr">
        <is>
          <t>19:12</t>
        </is>
      </c>
      <c r="C1169" t="n">
        <v>2965</v>
      </c>
      <c r="D1169" s="6" t="n">
        <v>4.2</v>
      </c>
      <c r="E1169" t="n">
        <v>37941</v>
      </c>
      <c r="F1169" s="6" t="n">
        <v>4.2</v>
      </c>
      <c r="G1169" t="n">
        <v>1</v>
      </c>
      <c r="H1169" s="6">
        <f>ROUND(G1169*F1169,2)</f>
        <v/>
      </c>
      <c r="I1169">
        <f>IF(ROUND(H1169-D1169,2)=0,1,0)</f>
        <v/>
      </c>
      <c r="J1169">
        <f>IF(F1169="","none",IF(G1169=1,"carte","multiple"))</f>
        <v/>
      </c>
    </row>
    <row r="1170">
      <c r="A1170" t="inlineStr">
        <is>
          <t>2022-05-21</t>
        </is>
      </c>
      <c r="B1170" t="inlineStr">
        <is>
          <t>19:25</t>
        </is>
      </c>
      <c r="C1170" t="n">
        <v>2965</v>
      </c>
      <c r="D1170" s="6" t="n">
        <v>2.2</v>
      </c>
      <c r="E1170" t="n">
        <v>37942</v>
      </c>
      <c r="F1170" s="6" t="n">
        <v>2.2</v>
      </c>
      <c r="G1170" t="n">
        <v>1</v>
      </c>
      <c r="H1170" s="6">
        <f>ROUND(G1170*F1170,2)</f>
        <v/>
      </c>
      <c r="I1170">
        <f>IF(ROUND(H1170-D1170,2)=0,1,0)</f>
        <v/>
      </c>
      <c r="J1170">
        <f>IF(F1170="","none",IF(G1170=1,"carte","multiple"))</f>
        <v/>
      </c>
    </row>
    <row r="1171">
      <c r="A1171" t="inlineStr">
        <is>
          <t>2022-05-21</t>
        </is>
      </c>
      <c r="B1171" t="inlineStr">
        <is>
          <t>19:41</t>
        </is>
      </c>
      <c r="C1171" t="n">
        <v>2965</v>
      </c>
      <c r="D1171" s="6" t="n">
        <v>3.9</v>
      </c>
      <c r="E1171" t="n">
        <v>37943</v>
      </c>
      <c r="F1171" s="6" t="n">
        <v>3.9</v>
      </c>
      <c r="G1171" t="n">
        <v>1</v>
      </c>
      <c r="H1171" s="6">
        <f>ROUND(G1171*F1171,2)</f>
        <v/>
      </c>
      <c r="I1171">
        <f>IF(ROUND(H1171-D1171,2)=0,1,0)</f>
        <v/>
      </c>
      <c r="J1171">
        <f>IF(F1171="","none",IF(G1171=1,"carte","multiple"))</f>
        <v/>
      </c>
    </row>
    <row r="1172">
      <c r="A1172" t="inlineStr">
        <is>
          <t>2022-05-21</t>
        </is>
      </c>
      <c r="B1172" t="inlineStr">
        <is>
          <t>19:42</t>
        </is>
      </c>
      <c r="C1172" t="n">
        <v>2965</v>
      </c>
      <c r="D1172" s="6" t="n">
        <v>3.9</v>
      </c>
      <c r="E1172" t="n">
        <v>37944</v>
      </c>
      <c r="F1172" s="6" t="n">
        <v>3.9</v>
      </c>
      <c r="G1172" t="n">
        <v>1</v>
      </c>
      <c r="H1172" s="6">
        <f>ROUND(G1172*F1172,2)</f>
        <v/>
      </c>
      <c r="I1172">
        <f>IF(ROUND(H1172-D1172,2)=0,1,0)</f>
        <v/>
      </c>
      <c r="J1172">
        <f>IF(F1172="","none",IF(G1172=1,"carte","multiple"))</f>
        <v/>
      </c>
    </row>
    <row r="1173">
      <c r="A1173" t="inlineStr">
        <is>
          <t>2022-05-21</t>
        </is>
      </c>
      <c r="B1173" t="inlineStr">
        <is>
          <t>19:50</t>
        </is>
      </c>
      <c r="C1173" t="n">
        <v>2965</v>
      </c>
      <c r="D1173" s="6" t="n">
        <v>7.8</v>
      </c>
      <c r="E1173" t="n">
        <v>37945</v>
      </c>
      <c r="F1173" s="6" t="n">
        <v>7.8</v>
      </c>
      <c r="G1173" t="n">
        <v>1</v>
      </c>
      <c r="H1173" s="6">
        <f>ROUND(G1173*F1173,2)</f>
        <v/>
      </c>
      <c r="I1173">
        <f>IF(ROUND(H1173-D1173,2)=0,1,0)</f>
        <v/>
      </c>
      <c r="J1173">
        <f>IF(F1173="","none",IF(G1173=1,"carte","multiple"))</f>
        <v/>
      </c>
    </row>
    <row r="1174">
      <c r="A1174" t="inlineStr">
        <is>
          <t>2022-05-21</t>
        </is>
      </c>
      <c r="B1174" t="inlineStr">
        <is>
          <t>19:50</t>
        </is>
      </c>
      <c r="C1174" t="n">
        <v>2965</v>
      </c>
      <c r="D1174" s="6" t="n">
        <v>12</v>
      </c>
      <c r="E1174" t="n">
        <v>37946</v>
      </c>
      <c r="F1174" s="6" t="n">
        <v>12</v>
      </c>
      <c r="G1174" t="n">
        <v>1</v>
      </c>
      <c r="H1174" s="6">
        <f>ROUND(G1174*F1174,2)</f>
        <v/>
      </c>
      <c r="I1174">
        <f>IF(ROUND(H1174-D1174,2)=0,1,0)</f>
        <v/>
      </c>
      <c r="J1174">
        <f>IF(F1174="","none",IF(G1174=1,"carte","multiple"))</f>
        <v/>
      </c>
    </row>
    <row r="1175">
      <c r="A1175" t="inlineStr">
        <is>
          <t>2022-05-21</t>
        </is>
      </c>
      <c r="B1175" t="inlineStr">
        <is>
          <t>19:50</t>
        </is>
      </c>
      <c r="C1175" t="n">
        <v>2965</v>
      </c>
      <c r="D1175" s="6" t="n">
        <v>23</v>
      </c>
      <c r="E1175" t="n">
        <v>37947</v>
      </c>
      <c r="F1175" s="6" t="n">
        <v>23</v>
      </c>
      <c r="G1175" t="n">
        <v>1</v>
      </c>
      <c r="H1175" s="6">
        <f>ROUND(G1175*F1175,2)</f>
        <v/>
      </c>
      <c r="I1175">
        <f>IF(ROUND(H1175-D1175,2)=0,1,0)</f>
        <v/>
      </c>
      <c r="J1175">
        <f>IF(F1175="","none",IF(G1175=1,"carte","multiple"))</f>
        <v/>
      </c>
    </row>
    <row r="1176">
      <c r="A1176" t="inlineStr">
        <is>
          <t>2022-05-21</t>
        </is>
      </c>
      <c r="B1176" t="inlineStr">
        <is>
          <t>19:50</t>
        </is>
      </c>
      <c r="C1176" t="n">
        <v>2965</v>
      </c>
      <c r="D1176" s="6" t="n">
        <v>32</v>
      </c>
      <c r="E1176" t="n">
        <v>37948</v>
      </c>
      <c r="F1176" s="6" t="n">
        <v>32</v>
      </c>
      <c r="G1176" t="n">
        <v>1</v>
      </c>
      <c r="H1176" s="6">
        <f>ROUND(G1176*F1176,2)</f>
        <v/>
      </c>
      <c r="I1176">
        <f>IF(ROUND(H1176-D1176,2)=0,1,0)</f>
        <v/>
      </c>
      <c r="J1176">
        <f>IF(F1176="","none",IF(G1176=1,"carte","multiple"))</f>
        <v/>
      </c>
    </row>
    <row r="1177">
      <c r="A1177" t="inlineStr">
        <is>
          <t>2022-05-21</t>
        </is>
      </c>
      <c r="B1177" t="inlineStr">
        <is>
          <t>19:50</t>
        </is>
      </c>
      <c r="C1177" t="n">
        <v>2965</v>
      </c>
      <c r="D1177" s="6" t="n">
        <v>13</v>
      </c>
      <c r="E1177" t="n">
        <v>37949</v>
      </c>
      <c r="F1177" s="6" t="n">
        <v>13</v>
      </c>
      <c r="G1177" t="n">
        <v>1</v>
      </c>
      <c r="H1177" s="6">
        <f>ROUND(G1177*F1177,2)</f>
        <v/>
      </c>
      <c r="I1177">
        <f>IF(ROUND(H1177-D1177,2)=0,1,0)</f>
        <v/>
      </c>
      <c r="J1177">
        <f>IF(F1177="","none",IF(G1177=1,"carte","multiple"))</f>
        <v/>
      </c>
    </row>
    <row r="1178">
      <c r="A1178" t="inlineStr">
        <is>
          <t>2022-05-21</t>
        </is>
      </c>
      <c r="B1178" t="inlineStr">
        <is>
          <t>19:50</t>
        </is>
      </c>
      <c r="C1178" t="n">
        <v>2965</v>
      </c>
      <c r="D1178" s="6" t="n">
        <v>15.6</v>
      </c>
      <c r="E1178" t="n">
        <v>37950</v>
      </c>
      <c r="F1178" s="6" t="n">
        <v>15.6</v>
      </c>
      <c r="G1178" t="n">
        <v>1</v>
      </c>
      <c r="H1178" s="6">
        <f>ROUND(G1178*F1178,2)</f>
        <v/>
      </c>
      <c r="I1178">
        <f>IF(ROUND(H1178-D1178,2)=0,1,0)</f>
        <v/>
      </c>
      <c r="J1178">
        <f>IF(F1178="","none",IF(G1178=1,"carte","multiple"))</f>
        <v/>
      </c>
    </row>
    <row r="1179">
      <c r="A1179" t="inlineStr">
        <is>
          <t>2022-05-22</t>
        </is>
      </c>
      <c r="B1179" t="inlineStr">
        <is>
          <t>11:47</t>
        </is>
      </c>
      <c r="C1179" t="n">
        <v>2966</v>
      </c>
      <c r="D1179" s="6" t="n">
        <v>6.6</v>
      </c>
      <c r="E1179" t="n">
        <v>37953</v>
      </c>
      <c r="F1179" s="6" t="n">
        <v>6.6</v>
      </c>
      <c r="G1179" t="n">
        <v>1</v>
      </c>
      <c r="H1179" s="6">
        <f>ROUND(G1179*F1179,2)</f>
        <v/>
      </c>
      <c r="I1179">
        <f>IF(ROUND(H1179-D1179,2)=0,1,0)</f>
        <v/>
      </c>
      <c r="J1179">
        <f>IF(F1179="","none",IF(G1179=1,"carte","multiple"))</f>
        <v/>
      </c>
    </row>
    <row r="1180">
      <c r="A1180" t="inlineStr">
        <is>
          <t>2022-05-22</t>
        </is>
      </c>
      <c r="B1180" t="inlineStr">
        <is>
          <t>11:47</t>
        </is>
      </c>
      <c r="C1180" t="n">
        <v>2966</v>
      </c>
      <c r="D1180" s="6" t="n">
        <v>5.8</v>
      </c>
      <c r="E1180" t="n">
        <v>37954</v>
      </c>
      <c r="F1180" s="6" t="n">
        <v>5.8</v>
      </c>
      <c r="G1180" t="n">
        <v>1</v>
      </c>
      <c r="H1180" s="6">
        <f>ROUND(G1180*F1180,2)</f>
        <v/>
      </c>
      <c r="I1180">
        <f>IF(ROUND(H1180-D1180,2)=0,1,0)</f>
        <v/>
      </c>
      <c r="J1180">
        <f>IF(F1180="","none",IF(G1180=1,"carte","multiple"))</f>
        <v/>
      </c>
    </row>
    <row r="1181">
      <c r="A1181" t="inlineStr">
        <is>
          <t>2022-05-22</t>
        </is>
      </c>
      <c r="B1181" t="inlineStr">
        <is>
          <t>11:47</t>
        </is>
      </c>
      <c r="C1181" t="n">
        <v>2966</v>
      </c>
      <c r="D1181" s="6" t="n">
        <v>8.5</v>
      </c>
      <c r="E1181" t="n">
        <v>37955</v>
      </c>
      <c r="F1181" s="6" t="n">
        <v>8.5</v>
      </c>
      <c r="G1181" t="n">
        <v>1</v>
      </c>
      <c r="H1181" s="6">
        <f>ROUND(G1181*F1181,2)</f>
        <v/>
      </c>
      <c r="I1181">
        <f>IF(ROUND(H1181-D1181,2)=0,1,0)</f>
        <v/>
      </c>
      <c r="J1181">
        <f>IF(F1181="","none",IF(G1181=1,"carte","multiple"))</f>
        <v/>
      </c>
    </row>
    <row r="1182">
      <c r="A1182" t="inlineStr">
        <is>
          <t>2022-05-22</t>
        </is>
      </c>
      <c r="B1182" t="inlineStr">
        <is>
          <t>11:47</t>
        </is>
      </c>
      <c r="C1182" t="n">
        <v>2966</v>
      </c>
      <c r="D1182" s="6" t="n">
        <v>8.699999999999999</v>
      </c>
      <c r="E1182" t="n">
        <v>37956</v>
      </c>
      <c r="F1182" s="6" t="n">
        <v>8.699999999999999</v>
      </c>
      <c r="G1182" t="n">
        <v>1</v>
      </c>
      <c r="H1182" s="6">
        <f>ROUND(G1182*F1182,2)</f>
        <v/>
      </c>
      <c r="I1182">
        <f>IF(ROUND(H1182-D1182,2)=0,1,0)</f>
        <v/>
      </c>
      <c r="J1182">
        <f>IF(F1182="","none",IF(G1182=1,"carte","multiple"))</f>
        <v/>
      </c>
    </row>
    <row r="1183">
      <c r="A1183" t="inlineStr">
        <is>
          <t>2022-05-22</t>
        </is>
      </c>
      <c r="B1183" t="inlineStr">
        <is>
          <t>11:47</t>
        </is>
      </c>
      <c r="C1183" t="n">
        <v>2966</v>
      </c>
      <c r="D1183" s="6" t="n">
        <v>17.6</v>
      </c>
      <c r="E1183" t="n">
        <v>37957</v>
      </c>
      <c r="F1183" s="6" t="n">
        <v>17.6</v>
      </c>
      <c r="G1183" t="n">
        <v>1</v>
      </c>
      <c r="H1183" s="6">
        <f>ROUND(G1183*F1183,2)</f>
        <v/>
      </c>
      <c r="I1183">
        <f>IF(ROUND(H1183-D1183,2)=0,1,0)</f>
        <v/>
      </c>
      <c r="J1183">
        <f>IF(F1183="","none",IF(G1183=1,"carte","multiple"))</f>
        <v/>
      </c>
    </row>
    <row r="1184">
      <c r="A1184" t="inlineStr">
        <is>
          <t>2022-05-22</t>
        </is>
      </c>
      <c r="B1184" t="inlineStr">
        <is>
          <t>11:47</t>
        </is>
      </c>
      <c r="C1184" t="n">
        <v>2966</v>
      </c>
      <c r="D1184" s="6" t="n">
        <v>35.2</v>
      </c>
      <c r="E1184" t="n">
        <v>37958</v>
      </c>
      <c r="F1184" s="6" t="n">
        <v>0.4</v>
      </c>
      <c r="G1184" t="n">
        <v>88</v>
      </c>
      <c r="H1184" s="6">
        <f>ROUND(G1184*F1184,2)</f>
        <v/>
      </c>
      <c r="I1184">
        <f>IF(ROUND(H1184-D1184,2)=0,1,0)</f>
        <v/>
      </c>
      <c r="J1184">
        <f>IF(F1184="","none",IF(G1184=1,"carte","multiple"))</f>
        <v/>
      </c>
    </row>
    <row r="1185">
      <c r="A1185" t="inlineStr">
        <is>
          <t>2022-05-22</t>
        </is>
      </c>
      <c r="B1185" t="inlineStr">
        <is>
          <t>11:47</t>
        </is>
      </c>
      <c r="C1185" t="n">
        <v>2966</v>
      </c>
      <c r="D1185" s="6" t="n">
        <v>9.800000000000001</v>
      </c>
      <c r="E1185" t="n">
        <v>37959</v>
      </c>
      <c r="F1185" s="6" t="n">
        <v>9.800000000000001</v>
      </c>
      <c r="G1185" t="n">
        <v>1</v>
      </c>
      <c r="H1185" s="6">
        <f>ROUND(G1185*F1185,2)</f>
        <v/>
      </c>
      <c r="I1185">
        <f>IF(ROUND(H1185-D1185,2)=0,1,0)</f>
        <v/>
      </c>
      <c r="J1185">
        <f>IF(F1185="","none",IF(G1185=1,"carte","multiple"))</f>
        <v/>
      </c>
    </row>
    <row r="1186">
      <c r="A1186" t="inlineStr">
        <is>
          <t>2022-05-22</t>
        </is>
      </c>
      <c r="B1186" t="inlineStr">
        <is>
          <t>12:24</t>
        </is>
      </c>
      <c r="C1186" t="n">
        <v>2966</v>
      </c>
      <c r="D1186" s="6" t="n">
        <v>3.9</v>
      </c>
      <c r="E1186" t="n">
        <v>37960</v>
      </c>
      <c r="F1186" s="6" t="n">
        <v>3.9</v>
      </c>
      <c r="G1186" t="n">
        <v>1</v>
      </c>
      <c r="H1186" s="6">
        <f>ROUND(G1186*F1186,2)</f>
        <v/>
      </c>
      <c r="I1186">
        <f>IF(ROUND(H1186-D1186,2)=0,1,0)</f>
        <v/>
      </c>
      <c r="J1186">
        <f>IF(F1186="","none",IF(G1186=1,"carte","multiple"))</f>
        <v/>
      </c>
    </row>
    <row r="1187">
      <c r="A1187" t="inlineStr">
        <is>
          <t>2022-05-22</t>
        </is>
      </c>
      <c r="B1187" t="inlineStr">
        <is>
          <t>12:24</t>
        </is>
      </c>
      <c r="C1187" t="n">
        <v>2966</v>
      </c>
      <c r="D1187" s="6" t="n">
        <v>3.9</v>
      </c>
      <c r="E1187" t="n">
        <v>37961</v>
      </c>
      <c r="F1187" s="6" t="n">
        <v>3.9</v>
      </c>
      <c r="G1187" t="n">
        <v>1</v>
      </c>
      <c r="H1187" s="6">
        <f>ROUND(G1187*F1187,2)</f>
        <v/>
      </c>
      <c r="I1187">
        <f>IF(ROUND(H1187-D1187,2)=0,1,0)</f>
        <v/>
      </c>
      <c r="J1187">
        <f>IF(F1187="","none",IF(G1187=1,"carte","multiple"))</f>
        <v/>
      </c>
    </row>
    <row r="1188">
      <c r="A1188" t="inlineStr">
        <is>
          <t>2022-05-22</t>
        </is>
      </c>
      <c r="B1188" t="inlineStr">
        <is>
          <t>12:45</t>
        </is>
      </c>
      <c r="C1188" t="n">
        <v>2966</v>
      </c>
      <c r="D1188" s="6" t="n">
        <v>2.2</v>
      </c>
      <c r="E1188" t="n">
        <v>37962</v>
      </c>
      <c r="F1188" s="6" t="n">
        <v>2.2</v>
      </c>
      <c r="G1188" t="n">
        <v>1</v>
      </c>
      <c r="H1188" s="6">
        <f>ROUND(G1188*F1188,2)</f>
        <v/>
      </c>
      <c r="I1188">
        <f>IF(ROUND(H1188-D1188,2)=0,1,0)</f>
        <v/>
      </c>
      <c r="J1188">
        <f>IF(F1188="","none",IF(G1188=1,"carte","multiple"))</f>
        <v/>
      </c>
    </row>
    <row r="1189">
      <c r="A1189" t="inlineStr">
        <is>
          <t>2022-05-22</t>
        </is>
      </c>
      <c r="B1189" t="inlineStr">
        <is>
          <t>12:45</t>
        </is>
      </c>
      <c r="C1189" t="n">
        <v>2966</v>
      </c>
      <c r="D1189" s="6" t="n">
        <v>8.300000000000001</v>
      </c>
      <c r="E1189" t="n">
        <v>37963</v>
      </c>
      <c r="F1189" s="6" t="n">
        <v>8.300000000000001</v>
      </c>
      <c r="G1189" t="n">
        <v>1</v>
      </c>
      <c r="H1189" s="6">
        <f>ROUND(G1189*F1189,2)</f>
        <v/>
      </c>
      <c r="I1189">
        <f>IF(ROUND(H1189-D1189,2)=0,1,0)</f>
        <v/>
      </c>
      <c r="J1189">
        <f>IF(F1189="","none",IF(G1189=1,"carte","multiple"))</f>
        <v/>
      </c>
    </row>
    <row r="1190">
      <c r="A1190" t="inlineStr">
        <is>
          <t>2022-05-22</t>
        </is>
      </c>
      <c r="B1190" t="inlineStr">
        <is>
          <t>12:45</t>
        </is>
      </c>
      <c r="C1190" t="n">
        <v>2966</v>
      </c>
      <c r="D1190" s="6" t="n">
        <v>2</v>
      </c>
      <c r="E1190" t="n">
        <v>37964</v>
      </c>
      <c r="F1190" s="6" t="n">
        <v>2</v>
      </c>
      <c r="G1190" t="n">
        <v>1</v>
      </c>
      <c r="H1190" s="6">
        <f>ROUND(G1190*F1190,2)</f>
        <v/>
      </c>
      <c r="I1190">
        <f>IF(ROUND(H1190-D1190,2)=0,1,0)</f>
        <v/>
      </c>
      <c r="J1190">
        <f>IF(F1190="","none",IF(G1190=1,"carte","multiple"))</f>
        <v/>
      </c>
    </row>
    <row r="1191">
      <c r="A1191" t="inlineStr">
        <is>
          <t>2022-05-22</t>
        </is>
      </c>
      <c r="B1191" t="inlineStr">
        <is>
          <t>12:45</t>
        </is>
      </c>
      <c r="C1191" t="n">
        <v>2966</v>
      </c>
      <c r="D1191" s="6" t="n">
        <v>2.9</v>
      </c>
      <c r="E1191" t="n">
        <v>37965</v>
      </c>
      <c r="F1191" s="6" t="n">
        <v>2.9</v>
      </c>
      <c r="G1191" t="n">
        <v>1</v>
      </c>
      <c r="H1191" s="6">
        <f>ROUND(G1191*F1191,2)</f>
        <v/>
      </c>
      <c r="I1191">
        <f>IF(ROUND(H1191-D1191,2)=0,1,0)</f>
        <v/>
      </c>
      <c r="J1191">
        <f>IF(F1191="","none",IF(G1191=1,"carte","multiple"))</f>
        <v/>
      </c>
    </row>
    <row r="1192">
      <c r="A1192" t="inlineStr">
        <is>
          <t>2022-05-22</t>
        </is>
      </c>
      <c r="B1192" t="inlineStr">
        <is>
          <t>12:45</t>
        </is>
      </c>
      <c r="C1192" t="n">
        <v>2966</v>
      </c>
      <c r="D1192" s="6" t="n">
        <v>9.800000000000001</v>
      </c>
      <c r="E1192" t="n">
        <v>37966</v>
      </c>
      <c r="F1192" s="6" t="n">
        <v>9.800000000000001</v>
      </c>
      <c r="G1192" t="n">
        <v>1</v>
      </c>
      <c r="H1192" s="6">
        <f>ROUND(G1192*F1192,2)</f>
        <v/>
      </c>
      <c r="I1192">
        <f>IF(ROUND(H1192-D1192,2)=0,1,0)</f>
        <v/>
      </c>
      <c r="J1192">
        <f>IF(F1192="","none",IF(G1192=1,"carte","multiple"))</f>
        <v/>
      </c>
    </row>
    <row r="1193">
      <c r="A1193" t="inlineStr">
        <is>
          <t>2022-05-22</t>
        </is>
      </c>
      <c r="B1193" t="inlineStr">
        <is>
          <t>12:45</t>
        </is>
      </c>
      <c r="C1193" t="n">
        <v>2966</v>
      </c>
      <c r="D1193" s="6" t="n">
        <v>13</v>
      </c>
      <c r="E1193" t="n">
        <v>37967</v>
      </c>
      <c r="F1193" s="6" t="n">
        <v>13</v>
      </c>
      <c r="G1193" t="n">
        <v>1</v>
      </c>
      <c r="H1193" s="6">
        <f>ROUND(G1193*F1193,2)</f>
        <v/>
      </c>
      <c r="I1193">
        <f>IF(ROUND(H1193-D1193,2)=0,1,0)</f>
        <v/>
      </c>
      <c r="J1193">
        <f>IF(F1193="","none",IF(G1193=1,"carte","multiple"))</f>
        <v/>
      </c>
    </row>
    <row r="1194">
      <c r="A1194" t="inlineStr">
        <is>
          <t>2022-05-22</t>
        </is>
      </c>
      <c r="B1194" t="inlineStr">
        <is>
          <t>12:45</t>
        </is>
      </c>
      <c r="C1194" t="n">
        <v>2966</v>
      </c>
      <c r="D1194" s="6" t="n">
        <v>28.6</v>
      </c>
      <c r="E1194" t="n">
        <v>37968</v>
      </c>
      <c r="F1194" s="6" t="n">
        <v>28.6</v>
      </c>
      <c r="G1194" t="n">
        <v>1</v>
      </c>
      <c r="H1194" s="6">
        <f>ROUND(G1194*F1194,2)</f>
        <v/>
      </c>
      <c r="I1194">
        <f>IF(ROUND(H1194-D1194,2)=0,1,0)</f>
        <v/>
      </c>
      <c r="J1194">
        <f>IF(F1194="","none",IF(G1194=1,"carte","multiple"))</f>
        <v/>
      </c>
    </row>
    <row r="1195">
      <c r="A1195" t="inlineStr">
        <is>
          <t>2022-05-22</t>
        </is>
      </c>
      <c r="B1195" t="inlineStr">
        <is>
          <t>12:45</t>
        </is>
      </c>
      <c r="C1195" t="n">
        <v>2966</v>
      </c>
      <c r="D1195" s="6" t="n">
        <v>16.9</v>
      </c>
      <c r="E1195" t="n">
        <v>37969</v>
      </c>
      <c r="F1195" s="6" t="n">
        <v>16.9</v>
      </c>
      <c r="G1195" t="n">
        <v>1</v>
      </c>
      <c r="H1195" s="6">
        <f>ROUND(G1195*F1195,2)</f>
        <v/>
      </c>
      <c r="I1195">
        <f>IF(ROUND(H1195-D1195,2)=0,1,0)</f>
        <v/>
      </c>
      <c r="J1195">
        <f>IF(F1195="","none",IF(G1195=1,"carte","multiple"))</f>
        <v/>
      </c>
    </row>
    <row r="1196">
      <c r="A1196" t="inlineStr">
        <is>
          <t>2022-05-22</t>
        </is>
      </c>
      <c r="B1196" t="inlineStr">
        <is>
          <t>12:45</t>
        </is>
      </c>
      <c r="C1196" t="n">
        <v>2966</v>
      </c>
      <c r="D1196" s="6" t="n">
        <v>16</v>
      </c>
      <c r="E1196" t="n">
        <v>37970</v>
      </c>
      <c r="F1196" s="6" t="n">
        <v>16</v>
      </c>
      <c r="G1196" t="n">
        <v>1</v>
      </c>
      <c r="H1196" s="6">
        <f>ROUND(G1196*F1196,2)</f>
        <v/>
      </c>
      <c r="I1196">
        <f>IF(ROUND(H1196-D1196,2)=0,1,0)</f>
        <v/>
      </c>
      <c r="J1196">
        <f>IF(F1196="","none",IF(G1196=1,"carte","multiple"))</f>
        <v/>
      </c>
    </row>
    <row r="1197">
      <c r="A1197" t="inlineStr">
        <is>
          <t>2022-05-22</t>
        </is>
      </c>
      <c r="B1197" t="inlineStr">
        <is>
          <t>12:45</t>
        </is>
      </c>
      <c r="C1197" t="n">
        <v>2966</v>
      </c>
      <c r="D1197" s="6" t="n">
        <v>32</v>
      </c>
      <c r="E1197" t="n">
        <v>37971</v>
      </c>
      <c r="F1197" s="6" t="n">
        <v>32</v>
      </c>
      <c r="G1197" t="n">
        <v>1</v>
      </c>
      <c r="H1197" s="6">
        <f>ROUND(G1197*F1197,2)</f>
        <v/>
      </c>
      <c r="I1197">
        <f>IF(ROUND(H1197-D1197,2)=0,1,0)</f>
        <v/>
      </c>
      <c r="J1197">
        <f>IF(F1197="","none",IF(G1197=1,"carte","multiple"))</f>
        <v/>
      </c>
    </row>
    <row r="1198">
      <c r="A1198" t="inlineStr">
        <is>
          <t>2022-05-22</t>
        </is>
      </c>
      <c r="B1198" t="inlineStr">
        <is>
          <t>12:45</t>
        </is>
      </c>
      <c r="C1198" t="n">
        <v>2966</v>
      </c>
      <c r="D1198" s="6" t="n">
        <v>32</v>
      </c>
      <c r="E1198" t="n">
        <v>37972</v>
      </c>
      <c r="F1198" s="6" t="n">
        <v>32</v>
      </c>
      <c r="G1198" t="n">
        <v>1</v>
      </c>
      <c r="H1198" s="6">
        <f>ROUND(G1198*F1198,2)</f>
        <v/>
      </c>
      <c r="I1198">
        <f>IF(ROUND(H1198-D1198,2)=0,1,0)</f>
        <v/>
      </c>
      <c r="J1198">
        <f>IF(F1198="","none",IF(G1198=1,"carte","multiple"))</f>
        <v/>
      </c>
    </row>
    <row r="1199">
      <c r="A1199" t="inlineStr">
        <is>
          <t>2022-05-22</t>
        </is>
      </c>
      <c r="B1199" t="inlineStr">
        <is>
          <t>12:46</t>
        </is>
      </c>
      <c r="C1199" t="n">
        <v>2966</v>
      </c>
      <c r="D1199" s="6" t="n">
        <v>3.9</v>
      </c>
      <c r="E1199" t="n">
        <v>37973</v>
      </c>
      <c r="F1199" s="6" t="n">
        <v>3.9</v>
      </c>
      <c r="G1199" t="n">
        <v>1</v>
      </c>
      <c r="H1199" s="6">
        <f>ROUND(G1199*F1199,2)</f>
        <v/>
      </c>
      <c r="I1199">
        <f>IF(ROUND(H1199-D1199,2)=0,1,0)</f>
        <v/>
      </c>
      <c r="J1199">
        <f>IF(F1199="","none",IF(G1199=1,"carte","multiple"))</f>
        <v/>
      </c>
    </row>
    <row r="1200">
      <c r="A1200" t="inlineStr">
        <is>
          <t>2022-05-22</t>
        </is>
      </c>
      <c r="B1200" t="inlineStr">
        <is>
          <t>12:46</t>
        </is>
      </c>
      <c r="C1200" t="n">
        <v>2966</v>
      </c>
      <c r="D1200" s="6" t="n">
        <v>4.2</v>
      </c>
      <c r="E1200" t="n">
        <v>37974</v>
      </c>
      <c r="F1200" s="6" t="n">
        <v>4.2</v>
      </c>
      <c r="G1200" t="n">
        <v>1</v>
      </c>
      <c r="H1200" s="6">
        <f>ROUND(G1200*F1200,2)</f>
        <v/>
      </c>
      <c r="I1200">
        <f>IF(ROUND(H1200-D1200,2)=0,1,0)</f>
        <v/>
      </c>
      <c r="J1200">
        <f>IF(F1200="","none",IF(G1200=1,"carte","multiple"))</f>
        <v/>
      </c>
    </row>
    <row r="1201">
      <c r="A1201" t="inlineStr">
        <is>
          <t>2022-05-22</t>
        </is>
      </c>
      <c r="B1201" t="inlineStr">
        <is>
          <t>12:46</t>
        </is>
      </c>
      <c r="C1201" t="n">
        <v>2966</v>
      </c>
      <c r="D1201" s="6" t="n">
        <v>3.9</v>
      </c>
      <c r="E1201" t="n">
        <v>37975</v>
      </c>
      <c r="F1201" s="6" t="n">
        <v>3.9</v>
      </c>
      <c r="G1201" t="n">
        <v>1</v>
      </c>
      <c r="H1201" s="6">
        <f>ROUND(G1201*F1201,2)</f>
        <v/>
      </c>
      <c r="I1201">
        <f>IF(ROUND(H1201-D1201,2)=0,1,0)</f>
        <v/>
      </c>
      <c r="J1201">
        <f>IF(F1201="","none",IF(G1201=1,"carte","multiple"))</f>
        <v/>
      </c>
    </row>
    <row r="1202">
      <c r="A1202" t="inlineStr">
        <is>
          <t>2022-05-22</t>
        </is>
      </c>
      <c r="B1202" t="inlineStr">
        <is>
          <t>12:46</t>
        </is>
      </c>
      <c r="C1202" t="n">
        <v>2966</v>
      </c>
      <c r="D1202" s="6" t="n">
        <v>7.8</v>
      </c>
      <c r="E1202" t="n">
        <v>37976</v>
      </c>
      <c r="F1202" s="6" t="n">
        <v>7.8</v>
      </c>
      <c r="G1202" t="n">
        <v>1</v>
      </c>
      <c r="H1202" s="6">
        <f>ROUND(G1202*F1202,2)</f>
        <v/>
      </c>
      <c r="I1202">
        <f>IF(ROUND(H1202-D1202,2)=0,1,0)</f>
        <v/>
      </c>
      <c r="J1202">
        <f>IF(F1202="","none",IF(G1202=1,"carte","multiple"))</f>
        <v/>
      </c>
    </row>
    <row r="1203">
      <c r="A1203" t="inlineStr">
        <is>
          <t>2022-05-22</t>
        </is>
      </c>
      <c r="B1203" t="inlineStr">
        <is>
          <t>13:01</t>
        </is>
      </c>
      <c r="C1203" t="n">
        <v>2966</v>
      </c>
      <c r="D1203" s="6" t="n">
        <v>7.8</v>
      </c>
      <c r="E1203" t="n">
        <v>37977</v>
      </c>
      <c r="F1203" s="6" t="n">
        <v>7.8</v>
      </c>
      <c r="G1203" t="n">
        <v>1</v>
      </c>
      <c r="H1203" s="6">
        <f>ROUND(G1203*F1203,2)</f>
        <v/>
      </c>
      <c r="I1203">
        <f>IF(ROUND(H1203-D1203,2)=0,1,0)</f>
        <v/>
      </c>
      <c r="J1203">
        <f>IF(F1203="","none",IF(G1203=1,"carte","multiple"))</f>
        <v/>
      </c>
    </row>
    <row r="1204">
      <c r="A1204" t="inlineStr">
        <is>
          <t>2022-05-22</t>
        </is>
      </c>
      <c r="B1204" t="inlineStr">
        <is>
          <t>13:01</t>
        </is>
      </c>
      <c r="C1204" t="n">
        <v>2966</v>
      </c>
      <c r="D1204" s="6" t="n">
        <v>32</v>
      </c>
      <c r="E1204" t="n">
        <v>37978</v>
      </c>
      <c r="F1204" s="6" t="n">
        <v>32</v>
      </c>
      <c r="G1204" t="n">
        <v>1</v>
      </c>
      <c r="H1204" s="6">
        <f>ROUND(G1204*F1204,2)</f>
        <v/>
      </c>
      <c r="I1204">
        <f>IF(ROUND(H1204-D1204,2)=0,1,0)</f>
        <v/>
      </c>
      <c r="J1204">
        <f>IF(F1204="","none",IF(G1204=1,"carte","multiple"))</f>
        <v/>
      </c>
    </row>
    <row r="1205">
      <c r="A1205" t="inlineStr">
        <is>
          <t>2022-05-22</t>
        </is>
      </c>
      <c r="B1205" t="inlineStr">
        <is>
          <t>13:01</t>
        </is>
      </c>
      <c r="C1205" t="n">
        <v>2966</v>
      </c>
      <c r="D1205" s="6" t="n">
        <v>32</v>
      </c>
      <c r="E1205" t="n">
        <v>37979</v>
      </c>
      <c r="F1205" s="6" t="n">
        <v>32</v>
      </c>
      <c r="G1205" t="n">
        <v>1</v>
      </c>
      <c r="H1205" s="6">
        <f>ROUND(G1205*F1205,2)</f>
        <v/>
      </c>
      <c r="I1205">
        <f>IF(ROUND(H1205-D1205,2)=0,1,0)</f>
        <v/>
      </c>
      <c r="J1205">
        <f>IF(F1205="","none",IF(G1205=1,"carte","multiple"))</f>
        <v/>
      </c>
    </row>
    <row r="1206">
      <c r="A1206" t="inlineStr">
        <is>
          <t>2022-05-22</t>
        </is>
      </c>
      <c r="B1206" t="inlineStr">
        <is>
          <t>13:01</t>
        </is>
      </c>
      <c r="C1206" t="n">
        <v>2966</v>
      </c>
      <c r="D1206" s="6" t="n">
        <v>4.5</v>
      </c>
      <c r="E1206" t="n">
        <v>37980</v>
      </c>
      <c r="F1206" s="6" t="n">
        <v>4.5</v>
      </c>
      <c r="G1206" t="n">
        <v>1</v>
      </c>
      <c r="H1206" s="6">
        <f>ROUND(G1206*F1206,2)</f>
        <v/>
      </c>
      <c r="I1206">
        <f>IF(ROUND(H1206-D1206,2)=0,1,0)</f>
        <v/>
      </c>
      <c r="J1206">
        <f>IF(F1206="","none",IF(G1206=1,"carte","multiple"))</f>
        <v/>
      </c>
    </row>
    <row r="1207">
      <c r="A1207" t="inlineStr">
        <is>
          <t>2022-05-22</t>
        </is>
      </c>
      <c r="B1207" t="inlineStr">
        <is>
          <t>13:01</t>
        </is>
      </c>
      <c r="C1207" t="n">
        <v>2966</v>
      </c>
      <c r="D1207" s="6" t="n">
        <v>6.5</v>
      </c>
      <c r="E1207" t="n">
        <v>37981</v>
      </c>
      <c r="F1207" s="6" t="n">
        <v>6.5</v>
      </c>
      <c r="G1207" t="n">
        <v>1</v>
      </c>
      <c r="H1207" s="6">
        <f>ROUND(G1207*F1207,2)</f>
        <v/>
      </c>
      <c r="I1207">
        <f>IF(ROUND(H1207-D1207,2)=0,1,0)</f>
        <v/>
      </c>
      <c r="J1207">
        <f>IF(F1207="","none",IF(G1207=1,"carte","multiple"))</f>
        <v/>
      </c>
    </row>
    <row r="1208">
      <c r="A1208" t="inlineStr">
        <is>
          <t>2022-05-22</t>
        </is>
      </c>
      <c r="B1208" t="inlineStr">
        <is>
          <t>13:22</t>
        </is>
      </c>
      <c r="C1208" t="n">
        <v>2966</v>
      </c>
      <c r="D1208" s="6" t="n">
        <v>2</v>
      </c>
      <c r="E1208" t="n">
        <v>37982</v>
      </c>
      <c r="F1208" s="6" t="n">
        <v>2</v>
      </c>
      <c r="G1208" t="n">
        <v>1</v>
      </c>
      <c r="H1208" s="6">
        <f>ROUND(G1208*F1208,2)</f>
        <v/>
      </c>
      <c r="I1208">
        <f>IF(ROUND(H1208-D1208,2)=0,1,0)</f>
        <v/>
      </c>
      <c r="J1208">
        <f>IF(F1208="","none",IF(G1208=1,"carte","multiple"))</f>
        <v/>
      </c>
    </row>
    <row r="1209">
      <c r="A1209" t="inlineStr">
        <is>
          <t>2022-05-22</t>
        </is>
      </c>
      <c r="B1209" t="inlineStr">
        <is>
          <t>18:24</t>
        </is>
      </c>
      <c r="C1209" t="n">
        <v>2966</v>
      </c>
      <c r="D1209" s="6" t="n">
        <v>5.9</v>
      </c>
      <c r="E1209" t="n">
        <v>37984</v>
      </c>
      <c r="F1209" s="6" t="n">
        <v>5.9</v>
      </c>
      <c r="G1209" t="n">
        <v>1</v>
      </c>
      <c r="H1209" s="6">
        <f>ROUND(G1209*F1209,2)</f>
        <v/>
      </c>
      <c r="I1209">
        <f>IF(ROUND(H1209-D1209,2)=0,1,0)</f>
        <v/>
      </c>
      <c r="J1209">
        <f>IF(F1209="","none",IF(G1209=1,"carte","multiple"))</f>
        <v/>
      </c>
    </row>
    <row r="1210">
      <c r="A1210" t="inlineStr">
        <is>
          <t>2022-05-22</t>
        </is>
      </c>
      <c r="B1210" t="inlineStr">
        <is>
          <t>18:25</t>
        </is>
      </c>
      <c r="C1210" t="n">
        <v>2966</v>
      </c>
      <c r="D1210" s="6" t="n">
        <v>8.9</v>
      </c>
      <c r="E1210" t="n">
        <v>37985</v>
      </c>
      <c r="F1210" s="6" t="n">
        <v>8.9</v>
      </c>
      <c r="G1210" t="n">
        <v>1</v>
      </c>
      <c r="H1210" s="6">
        <f>ROUND(G1210*F1210,2)</f>
        <v/>
      </c>
      <c r="I1210">
        <f>IF(ROUND(H1210-D1210,2)=0,1,0)</f>
        <v/>
      </c>
      <c r="J1210">
        <f>IF(F1210="","none",IF(G1210=1,"carte","multiple"))</f>
        <v/>
      </c>
    </row>
    <row r="1211">
      <c r="A1211" t="inlineStr">
        <is>
          <t>2022-05-22</t>
        </is>
      </c>
      <c r="B1211" t="inlineStr">
        <is>
          <t>18:42</t>
        </is>
      </c>
      <c r="C1211" t="n">
        <v>2966</v>
      </c>
      <c r="D1211" s="6" t="n">
        <v>5.9</v>
      </c>
      <c r="E1211" t="n">
        <v>37986</v>
      </c>
      <c r="F1211" s="6" t="n">
        <v>5.9</v>
      </c>
      <c r="G1211" t="n">
        <v>1</v>
      </c>
      <c r="H1211" s="6">
        <f>ROUND(G1211*F1211,2)</f>
        <v/>
      </c>
      <c r="I1211">
        <f>IF(ROUND(H1211-D1211,2)=0,1,0)</f>
        <v/>
      </c>
      <c r="J1211">
        <f>IF(F1211="","none",IF(G1211=1,"carte","multiple"))</f>
        <v/>
      </c>
    </row>
    <row r="1212">
      <c r="A1212" t="inlineStr">
        <is>
          <t>2022-05-22</t>
        </is>
      </c>
      <c r="B1212" t="inlineStr">
        <is>
          <t>18:42</t>
        </is>
      </c>
      <c r="C1212" t="n">
        <v>2966</v>
      </c>
      <c r="D1212" s="6" t="n">
        <v>3.9</v>
      </c>
      <c r="E1212" t="n">
        <v>37987</v>
      </c>
      <c r="F1212" s="6" t="n">
        <v>3.9</v>
      </c>
      <c r="G1212" t="n">
        <v>1</v>
      </c>
      <c r="H1212" s="6">
        <f>ROUND(G1212*F1212,2)</f>
        <v/>
      </c>
      <c r="I1212">
        <f>IF(ROUND(H1212-D1212,2)=0,1,0)</f>
        <v/>
      </c>
      <c r="J1212">
        <f>IF(F1212="","none",IF(G1212=1,"carte","multiple"))</f>
        <v/>
      </c>
    </row>
    <row r="1213">
      <c r="A1213" t="inlineStr">
        <is>
          <t>2022-05-22</t>
        </is>
      </c>
      <c r="B1213" t="inlineStr">
        <is>
          <t>18:42</t>
        </is>
      </c>
      <c r="C1213" t="n">
        <v>2966</v>
      </c>
      <c r="D1213" s="6" t="n">
        <v>3.9</v>
      </c>
      <c r="E1213" t="n">
        <v>37988</v>
      </c>
      <c r="F1213" s="6" t="n">
        <v>3.9</v>
      </c>
      <c r="G1213" t="n">
        <v>1</v>
      </c>
      <c r="H1213" s="6">
        <f>ROUND(G1213*F1213,2)</f>
        <v/>
      </c>
      <c r="I1213">
        <f>IF(ROUND(H1213-D1213,2)=0,1,0)</f>
        <v/>
      </c>
      <c r="J1213">
        <f>IF(F1213="","none",IF(G1213=1,"carte","multiple"))</f>
        <v/>
      </c>
    </row>
    <row r="1214">
      <c r="A1214" t="inlineStr">
        <is>
          <t>2022-05-22</t>
        </is>
      </c>
      <c r="B1214" t="inlineStr">
        <is>
          <t>18:42</t>
        </is>
      </c>
      <c r="C1214" t="n">
        <v>2966</v>
      </c>
      <c r="D1214" s="6" t="n">
        <v>3.8</v>
      </c>
      <c r="E1214" t="n">
        <v>37989</v>
      </c>
      <c r="F1214" s="6" t="n">
        <v>3.8</v>
      </c>
      <c r="G1214" t="n">
        <v>1</v>
      </c>
      <c r="H1214" s="6">
        <f>ROUND(G1214*F1214,2)</f>
        <v/>
      </c>
      <c r="I1214">
        <f>IF(ROUND(H1214-D1214,2)=0,1,0)</f>
        <v/>
      </c>
      <c r="J1214">
        <f>IF(F1214="","none",IF(G1214=1,"carte","multiple"))</f>
        <v/>
      </c>
    </row>
    <row r="1215">
      <c r="A1215" t="inlineStr">
        <is>
          <t>2022-05-22</t>
        </is>
      </c>
      <c r="B1215" t="inlineStr">
        <is>
          <t>18:42</t>
        </is>
      </c>
      <c r="C1215" t="n">
        <v>2966</v>
      </c>
      <c r="D1215" s="6" t="n">
        <v>7.9</v>
      </c>
      <c r="E1215" t="n">
        <v>37990</v>
      </c>
      <c r="F1215" s="6" t="n">
        <v>7.9</v>
      </c>
      <c r="G1215" t="n">
        <v>1</v>
      </c>
      <c r="H1215" s="6">
        <f>ROUND(G1215*F1215,2)</f>
        <v/>
      </c>
      <c r="I1215">
        <f>IF(ROUND(H1215-D1215,2)=0,1,0)</f>
        <v/>
      </c>
      <c r="J1215">
        <f>IF(F1215="","none",IF(G1215=1,"carte","multiple"))</f>
        <v/>
      </c>
    </row>
    <row r="1216">
      <c r="A1216" t="inlineStr">
        <is>
          <t>2022-05-22</t>
        </is>
      </c>
      <c r="B1216" t="inlineStr">
        <is>
          <t>18:42</t>
        </is>
      </c>
      <c r="C1216" t="n">
        <v>2966</v>
      </c>
      <c r="D1216" s="6" t="n">
        <v>17.6</v>
      </c>
      <c r="E1216" t="n">
        <v>37991</v>
      </c>
      <c r="F1216" s="6" t="n">
        <v>17.6</v>
      </c>
      <c r="G1216" t="n">
        <v>1</v>
      </c>
      <c r="H1216" s="6">
        <f>ROUND(G1216*F1216,2)</f>
        <v/>
      </c>
      <c r="I1216">
        <f>IF(ROUND(H1216-D1216,2)=0,1,0)</f>
        <v/>
      </c>
      <c r="J1216">
        <f>IF(F1216="","none",IF(G1216=1,"carte","multiple"))</f>
        <v/>
      </c>
    </row>
    <row r="1217">
      <c r="A1217" t="inlineStr">
        <is>
          <t>2022-05-22</t>
        </is>
      </c>
      <c r="B1217" t="inlineStr">
        <is>
          <t>18:42</t>
        </is>
      </c>
      <c r="C1217" t="n">
        <v>2966</v>
      </c>
      <c r="D1217" s="6" t="n">
        <v>19</v>
      </c>
      <c r="E1217" t="n">
        <v>37992</v>
      </c>
      <c r="F1217" s="6" t="n">
        <v>19</v>
      </c>
      <c r="G1217" t="n">
        <v>1</v>
      </c>
      <c r="H1217" s="6">
        <f>ROUND(G1217*F1217,2)</f>
        <v/>
      </c>
      <c r="I1217">
        <f>IF(ROUND(H1217-D1217,2)=0,1,0)</f>
        <v/>
      </c>
      <c r="J1217">
        <f>IF(F1217="","none",IF(G1217=1,"carte","multiple"))</f>
        <v/>
      </c>
    </row>
    <row r="1218">
      <c r="A1218" t="inlineStr">
        <is>
          <t>2022-05-22</t>
        </is>
      </c>
      <c r="B1218" t="inlineStr">
        <is>
          <t>18:51</t>
        </is>
      </c>
      <c r="C1218" t="n">
        <v>2966</v>
      </c>
      <c r="D1218" s="6" t="n">
        <v>9.6</v>
      </c>
      <c r="E1218" t="n">
        <v>37993</v>
      </c>
      <c r="F1218" s="6" t="n">
        <v>9.6</v>
      </c>
      <c r="G1218" t="n">
        <v>1</v>
      </c>
      <c r="H1218" s="6">
        <f>ROUND(G1218*F1218,2)</f>
        <v/>
      </c>
      <c r="I1218">
        <f>IF(ROUND(H1218-D1218,2)=0,1,0)</f>
        <v/>
      </c>
      <c r="J1218">
        <f>IF(F1218="","none",IF(G1218=1,"carte","multiple"))</f>
        <v/>
      </c>
    </row>
    <row r="1219">
      <c r="A1219" t="inlineStr">
        <is>
          <t>2022-05-22</t>
        </is>
      </c>
      <c r="B1219" t="inlineStr">
        <is>
          <t>18:51</t>
        </is>
      </c>
      <c r="C1219" t="n">
        <v>2966</v>
      </c>
      <c r="D1219" s="6" t="n">
        <v>15</v>
      </c>
      <c r="E1219" t="n">
        <v>37994</v>
      </c>
      <c r="F1219" s="6" t="n">
        <v>15</v>
      </c>
      <c r="G1219" t="n">
        <v>1</v>
      </c>
      <c r="H1219" s="6">
        <f>ROUND(G1219*F1219,2)</f>
        <v/>
      </c>
      <c r="I1219">
        <f>IF(ROUND(H1219-D1219,2)=0,1,0)</f>
        <v/>
      </c>
      <c r="J1219">
        <f>IF(F1219="","none",IF(G1219=1,"carte","multiple"))</f>
        <v/>
      </c>
    </row>
    <row r="1220">
      <c r="A1220" t="inlineStr">
        <is>
          <t>2022-05-22</t>
        </is>
      </c>
      <c r="B1220" t="inlineStr">
        <is>
          <t>18:51</t>
        </is>
      </c>
      <c r="C1220" t="n">
        <v>2966</v>
      </c>
      <c r="D1220" s="6" t="n">
        <v>15.6</v>
      </c>
      <c r="E1220" t="n">
        <v>37995</v>
      </c>
      <c r="F1220" s="6" t="n">
        <v>15.6</v>
      </c>
      <c r="G1220" t="n">
        <v>1</v>
      </c>
      <c r="H1220" s="6">
        <f>ROUND(G1220*F1220,2)</f>
        <v/>
      </c>
      <c r="I1220">
        <f>IF(ROUND(H1220-D1220,2)=0,1,0)</f>
        <v/>
      </c>
      <c r="J1220">
        <f>IF(F1220="","none",IF(G1220=1,"carte","multiple"))</f>
        <v/>
      </c>
    </row>
    <row r="1221">
      <c r="A1221" t="inlineStr">
        <is>
          <t>2022-05-22</t>
        </is>
      </c>
      <c r="B1221" t="inlineStr">
        <is>
          <t>20:10</t>
        </is>
      </c>
      <c r="C1221" t="n">
        <v>2966</v>
      </c>
      <c r="D1221" s="6" t="n">
        <v>38</v>
      </c>
      <c r="E1221" t="n">
        <v>37996</v>
      </c>
      <c r="F1221" s="6" t="n">
        <v>0.4</v>
      </c>
      <c r="G1221" t="n">
        <v>95</v>
      </c>
      <c r="H1221" s="6">
        <f>ROUND(G1221*F1221,2)</f>
        <v/>
      </c>
      <c r="I1221">
        <f>IF(ROUND(H1221-D1221,2)=0,1,0)</f>
        <v/>
      </c>
      <c r="J1221">
        <f>IF(F1221="","none",IF(G1221=1,"carte","multiple"))</f>
        <v/>
      </c>
    </row>
    <row r="1222">
      <c r="A1222" t="inlineStr">
        <is>
          <t>2022-05-25</t>
        </is>
      </c>
      <c r="B1222" t="inlineStr">
        <is>
          <t>12:26</t>
        </is>
      </c>
      <c r="C1222" t="n">
        <v>2967</v>
      </c>
      <c r="D1222" s="6" t="n">
        <v>2.9</v>
      </c>
      <c r="E1222" t="n">
        <v>37999</v>
      </c>
      <c r="F1222" s="6" t="n">
        <v>2.9</v>
      </c>
      <c r="G1222" t="n">
        <v>1</v>
      </c>
      <c r="H1222" s="6">
        <f>ROUND(G1222*F1222,2)</f>
        <v/>
      </c>
      <c r="I1222">
        <f>IF(ROUND(H1222-D1222,2)=0,1,0)</f>
        <v/>
      </c>
      <c r="J1222">
        <f>IF(F1222="","none",IF(G1222=1,"carte","multiple"))</f>
        <v/>
      </c>
    </row>
    <row r="1223">
      <c r="A1223" t="inlineStr">
        <is>
          <t>2022-05-25</t>
        </is>
      </c>
      <c r="B1223" t="inlineStr">
        <is>
          <t>12:27</t>
        </is>
      </c>
      <c r="C1223" t="n">
        <v>2967</v>
      </c>
      <c r="D1223" s="6" t="n">
        <v>6.9</v>
      </c>
      <c r="E1223" t="n">
        <v>38000</v>
      </c>
      <c r="F1223" s="6" t="n">
        <v>6.9</v>
      </c>
      <c r="G1223" t="n">
        <v>1</v>
      </c>
      <c r="H1223" s="6">
        <f>ROUND(G1223*F1223,2)</f>
        <v/>
      </c>
      <c r="I1223">
        <f>IF(ROUND(H1223-D1223,2)=0,1,0)</f>
        <v/>
      </c>
      <c r="J1223">
        <f>IF(F1223="","none",IF(G1223=1,"carte","multiple"))</f>
        <v/>
      </c>
    </row>
    <row r="1224">
      <c r="A1224" t="inlineStr">
        <is>
          <t>2022-05-25</t>
        </is>
      </c>
      <c r="B1224" t="inlineStr">
        <is>
          <t>12:56</t>
        </is>
      </c>
      <c r="C1224" t="n">
        <v>2967</v>
      </c>
      <c r="D1224" s="6" t="n">
        <v>13.8</v>
      </c>
      <c r="E1224" t="n">
        <v>38002</v>
      </c>
      <c r="F1224" s="6" t="n">
        <v>4.6</v>
      </c>
      <c r="G1224" t="n">
        <v>3</v>
      </c>
      <c r="H1224" s="6">
        <f>ROUND(G1224*F1224,2)</f>
        <v/>
      </c>
      <c r="I1224">
        <f>IF(ROUND(H1224-D1224,2)=0,1,0)</f>
        <v/>
      </c>
      <c r="J1224">
        <f>IF(F1224="","none",IF(G1224=1,"carte","multiple"))</f>
        <v/>
      </c>
    </row>
    <row r="1225">
      <c r="A1225" t="inlineStr">
        <is>
          <t>2022-05-25</t>
        </is>
      </c>
      <c r="B1225" t="inlineStr">
        <is>
          <t>12:56</t>
        </is>
      </c>
      <c r="C1225" t="n">
        <v>2967</v>
      </c>
      <c r="D1225" s="6" t="n">
        <v>7.2</v>
      </c>
      <c r="E1225" t="n">
        <v>38003</v>
      </c>
      <c r="F1225" s="6" t="n">
        <v>7.2</v>
      </c>
      <c r="G1225" t="n">
        <v>1</v>
      </c>
      <c r="H1225" s="6">
        <f>ROUND(G1225*F1225,2)</f>
        <v/>
      </c>
      <c r="I1225">
        <f>IF(ROUND(H1225-D1225,2)=0,1,0)</f>
        <v/>
      </c>
      <c r="J1225">
        <f>IF(F1225="","none",IF(G1225=1,"carte","multiple"))</f>
        <v/>
      </c>
    </row>
    <row r="1226">
      <c r="A1226" t="inlineStr">
        <is>
          <t>2022-05-25</t>
        </is>
      </c>
      <c r="B1226" t="inlineStr">
        <is>
          <t>12:56</t>
        </is>
      </c>
      <c r="C1226" t="n">
        <v>2967</v>
      </c>
      <c r="D1226" s="6" t="n">
        <v>4</v>
      </c>
      <c r="E1226" t="n">
        <v>38004</v>
      </c>
      <c r="F1226" s="6" t="n">
        <v>4</v>
      </c>
      <c r="G1226" t="n">
        <v>1</v>
      </c>
      <c r="H1226" s="6">
        <f>ROUND(G1226*F1226,2)</f>
        <v/>
      </c>
      <c r="I1226">
        <f>IF(ROUND(H1226-D1226,2)=0,1,0)</f>
        <v/>
      </c>
      <c r="J1226">
        <f>IF(F1226="","none",IF(G1226=1,"carte","multiple"))</f>
        <v/>
      </c>
    </row>
    <row r="1227">
      <c r="A1227" t="inlineStr">
        <is>
          <t>2022-05-25</t>
        </is>
      </c>
      <c r="B1227" t="inlineStr">
        <is>
          <t>12:56</t>
        </is>
      </c>
      <c r="C1227" t="n">
        <v>2967</v>
      </c>
      <c r="D1227" s="6" t="n">
        <v>28.6</v>
      </c>
      <c r="E1227" t="n">
        <v>38005</v>
      </c>
      <c r="F1227" s="6" t="n">
        <v>28.6</v>
      </c>
      <c r="G1227" t="n">
        <v>1</v>
      </c>
      <c r="H1227" s="6">
        <f>ROUND(G1227*F1227,2)</f>
        <v/>
      </c>
      <c r="I1227">
        <f>IF(ROUND(H1227-D1227,2)=0,1,0)</f>
        <v/>
      </c>
      <c r="J1227">
        <f>IF(F1227="","none",IF(G1227=1,"carte","multiple"))</f>
        <v/>
      </c>
    </row>
    <row r="1228">
      <c r="A1228" t="inlineStr">
        <is>
          <t>2022-05-25</t>
        </is>
      </c>
      <c r="B1228" t="inlineStr">
        <is>
          <t>12:56</t>
        </is>
      </c>
      <c r="C1228" t="n">
        <v>2967</v>
      </c>
      <c r="D1228" s="6" t="n">
        <v>19</v>
      </c>
      <c r="E1228" t="n">
        <v>38006</v>
      </c>
      <c r="F1228" s="6" t="n">
        <v>19</v>
      </c>
      <c r="G1228" t="n">
        <v>1</v>
      </c>
      <c r="H1228" s="6">
        <f>ROUND(G1228*F1228,2)</f>
        <v/>
      </c>
      <c r="I1228">
        <f>IF(ROUND(H1228-D1228,2)=0,1,0)</f>
        <v/>
      </c>
      <c r="J1228">
        <f>IF(F1228="","none",IF(G1228=1,"carte","multiple"))</f>
        <v/>
      </c>
    </row>
    <row r="1229">
      <c r="A1229" t="inlineStr">
        <is>
          <t>2022-05-25</t>
        </is>
      </c>
      <c r="B1229" t="inlineStr">
        <is>
          <t>18:09</t>
        </is>
      </c>
      <c r="C1229" t="n">
        <v>2967</v>
      </c>
      <c r="D1229" s="6" t="n">
        <v>3.9</v>
      </c>
      <c r="E1229" t="n">
        <v>38008</v>
      </c>
      <c r="F1229" s="6" t="n">
        <v>3.9</v>
      </c>
      <c r="G1229" t="n">
        <v>1</v>
      </c>
      <c r="H1229" s="6">
        <f>ROUND(G1229*F1229,2)</f>
        <v/>
      </c>
      <c r="I1229">
        <f>IF(ROUND(H1229-D1229,2)=0,1,0)</f>
        <v/>
      </c>
      <c r="J1229">
        <f>IF(F1229="","none",IF(G1229=1,"carte","multiple"))</f>
        <v/>
      </c>
    </row>
    <row r="1230">
      <c r="A1230" t="inlineStr">
        <is>
          <t>2022-05-25</t>
        </is>
      </c>
      <c r="B1230" t="inlineStr">
        <is>
          <t>19:29</t>
        </is>
      </c>
      <c r="C1230" t="n">
        <v>2967</v>
      </c>
      <c r="D1230" s="6" t="n">
        <v>6</v>
      </c>
      <c r="E1230" t="n">
        <v>38009</v>
      </c>
      <c r="F1230" s="6" t="n">
        <v>6</v>
      </c>
      <c r="G1230" t="n">
        <v>1</v>
      </c>
      <c r="H1230" s="6">
        <f>ROUND(G1230*F1230,2)</f>
        <v/>
      </c>
      <c r="I1230">
        <f>IF(ROUND(H1230-D1230,2)=0,1,0)</f>
        <v/>
      </c>
      <c r="J1230">
        <f>IF(F1230="","none",IF(G1230=1,"carte","multiple"))</f>
        <v/>
      </c>
    </row>
    <row r="1231">
      <c r="A1231" t="inlineStr">
        <is>
          <t>2022-05-25</t>
        </is>
      </c>
      <c r="B1231" t="inlineStr">
        <is>
          <t>19:29</t>
        </is>
      </c>
      <c r="C1231" t="n">
        <v>2967</v>
      </c>
      <c r="D1231" s="6" t="n">
        <v>19.6</v>
      </c>
      <c r="E1231" t="n">
        <v>38010</v>
      </c>
      <c r="F1231" s="6" t="n">
        <v>0.4</v>
      </c>
      <c r="G1231" t="n">
        <v>49</v>
      </c>
      <c r="H1231" s="6">
        <f>ROUND(G1231*F1231,2)</f>
        <v/>
      </c>
      <c r="I1231">
        <f>IF(ROUND(H1231-D1231,2)=0,1,0)</f>
        <v/>
      </c>
      <c r="J1231">
        <f>IF(F1231="","none",IF(G1231=1,"carte","multiple"))</f>
        <v/>
      </c>
    </row>
    <row r="1232">
      <c r="A1232" t="inlineStr">
        <is>
          <t>2022-05-25</t>
        </is>
      </c>
      <c r="B1232" t="inlineStr">
        <is>
          <t>19:29</t>
        </is>
      </c>
      <c r="C1232" t="n">
        <v>2967</v>
      </c>
      <c r="D1232" s="6" t="n">
        <v>5.9</v>
      </c>
      <c r="E1232" t="n">
        <v>38011</v>
      </c>
      <c r="F1232" s="6" t="n">
        <v>5.9</v>
      </c>
      <c r="G1232" t="n">
        <v>1</v>
      </c>
      <c r="H1232" s="6">
        <f>ROUND(G1232*F1232,2)</f>
        <v/>
      </c>
      <c r="I1232">
        <f>IF(ROUND(H1232-D1232,2)=0,1,0)</f>
        <v/>
      </c>
      <c r="J1232">
        <f>IF(F1232="","none",IF(G1232=1,"carte","multiple"))</f>
        <v/>
      </c>
    </row>
    <row r="1233">
      <c r="A1233" t="inlineStr">
        <is>
          <t>2022-05-25</t>
        </is>
      </c>
      <c r="B1233" t="inlineStr">
        <is>
          <t>19:29</t>
        </is>
      </c>
      <c r="C1233" t="n">
        <v>2967</v>
      </c>
      <c r="D1233" s="6" t="n">
        <v>32</v>
      </c>
      <c r="E1233" t="n">
        <v>38012</v>
      </c>
      <c r="F1233" s="6" t="n">
        <v>32</v>
      </c>
      <c r="G1233" t="n">
        <v>1</v>
      </c>
      <c r="H1233" s="6">
        <f>ROUND(G1233*F1233,2)</f>
        <v/>
      </c>
      <c r="I1233">
        <f>IF(ROUND(H1233-D1233,2)=0,1,0)</f>
        <v/>
      </c>
      <c r="J1233">
        <f>IF(F1233="","none",IF(G1233=1,"carte","multiple"))</f>
        <v/>
      </c>
    </row>
    <row r="1234">
      <c r="A1234" t="inlineStr">
        <is>
          <t>2022-05-25</t>
        </is>
      </c>
      <c r="B1234" t="inlineStr">
        <is>
          <t>19:29</t>
        </is>
      </c>
      <c r="C1234" t="n">
        <v>2967</v>
      </c>
      <c r="D1234" s="6" t="n">
        <v>9.9</v>
      </c>
      <c r="E1234" t="n">
        <v>38013</v>
      </c>
      <c r="F1234" s="6" t="n">
        <v>9.9</v>
      </c>
      <c r="G1234" t="n">
        <v>1</v>
      </c>
      <c r="H1234" s="6">
        <f>ROUND(G1234*F1234,2)</f>
        <v/>
      </c>
      <c r="I1234">
        <f>IF(ROUND(H1234-D1234,2)=0,1,0)</f>
        <v/>
      </c>
      <c r="J1234">
        <f>IF(F1234="","none",IF(G1234=1,"carte","multiple"))</f>
        <v/>
      </c>
    </row>
    <row r="1235">
      <c r="A1235" t="inlineStr">
        <is>
          <t>2022-05-25</t>
        </is>
      </c>
      <c r="B1235" t="inlineStr">
        <is>
          <t>19:29</t>
        </is>
      </c>
      <c r="C1235" t="n">
        <v>2967</v>
      </c>
      <c r="D1235" s="6" t="n">
        <v>23</v>
      </c>
      <c r="E1235" t="n">
        <v>38014</v>
      </c>
      <c r="F1235" s="6" t="n">
        <v>23</v>
      </c>
      <c r="G1235" t="n">
        <v>1</v>
      </c>
      <c r="H1235" s="6">
        <f>ROUND(G1235*F1235,2)</f>
        <v/>
      </c>
      <c r="I1235">
        <f>IF(ROUND(H1235-D1235,2)=0,1,0)</f>
        <v/>
      </c>
      <c r="J1235">
        <f>IF(F1235="","none",IF(G1235=1,"carte","multiple"))</f>
        <v/>
      </c>
    </row>
    <row r="1236">
      <c r="A1236" t="inlineStr">
        <is>
          <t>2022-05-25</t>
        </is>
      </c>
      <c r="B1236" t="inlineStr">
        <is>
          <t>19:29</t>
        </is>
      </c>
      <c r="C1236" t="n">
        <v>2967</v>
      </c>
      <c r="D1236" s="6" t="n">
        <v>9.6</v>
      </c>
      <c r="E1236" t="n">
        <v>38015</v>
      </c>
      <c r="F1236" s="6" t="n">
        <v>9.6</v>
      </c>
      <c r="G1236" t="n">
        <v>1</v>
      </c>
      <c r="H1236" s="6">
        <f>ROUND(G1236*F1236,2)</f>
        <v/>
      </c>
      <c r="I1236">
        <f>IF(ROUND(H1236-D1236,2)=0,1,0)</f>
        <v/>
      </c>
      <c r="J1236">
        <f>IF(F1236="","none",IF(G1236=1,"carte","multiple"))</f>
        <v/>
      </c>
    </row>
    <row r="1237">
      <c r="A1237" t="inlineStr">
        <is>
          <t>2022-05-25</t>
        </is>
      </c>
      <c r="B1237" t="inlineStr">
        <is>
          <t>19:29</t>
        </is>
      </c>
      <c r="C1237" t="n">
        <v>2967</v>
      </c>
      <c r="D1237" s="6" t="n">
        <v>8</v>
      </c>
      <c r="E1237" t="n">
        <v>38016</v>
      </c>
      <c r="F1237" s="6" t="n">
        <v>8</v>
      </c>
      <c r="G1237" t="n">
        <v>1</v>
      </c>
      <c r="H1237" s="6">
        <f>ROUND(G1237*F1237,2)</f>
        <v/>
      </c>
      <c r="I1237">
        <f>IF(ROUND(H1237-D1237,2)=0,1,0)</f>
        <v/>
      </c>
      <c r="J1237">
        <f>IF(F1237="","none",IF(G1237=1,"carte","multiple"))</f>
        <v/>
      </c>
    </row>
    <row r="1238">
      <c r="A1238" t="inlineStr">
        <is>
          <t>2022-05-25</t>
        </is>
      </c>
      <c r="B1238" t="inlineStr">
        <is>
          <t>19:29</t>
        </is>
      </c>
      <c r="C1238" t="n">
        <v>2967</v>
      </c>
      <c r="D1238" s="6" t="n">
        <v>15.9</v>
      </c>
      <c r="E1238" t="n">
        <v>38017</v>
      </c>
      <c r="F1238" s="6" t="n">
        <v>15.9</v>
      </c>
      <c r="G1238" t="n">
        <v>1</v>
      </c>
      <c r="H1238" s="6">
        <f>ROUND(G1238*F1238,2)</f>
        <v/>
      </c>
      <c r="I1238">
        <f>IF(ROUND(H1238-D1238,2)=0,1,0)</f>
        <v/>
      </c>
      <c r="J1238">
        <f>IF(F1238="","none",IF(G1238=1,"carte","multiple"))</f>
        <v/>
      </c>
    </row>
    <row r="1239">
      <c r="A1239" t="inlineStr">
        <is>
          <t>2022-05-25</t>
        </is>
      </c>
      <c r="B1239" t="inlineStr">
        <is>
          <t>19:29</t>
        </is>
      </c>
      <c r="C1239" t="n">
        <v>2967</v>
      </c>
      <c r="D1239" s="6" t="n">
        <v>18.6</v>
      </c>
      <c r="E1239" t="n">
        <v>38018</v>
      </c>
      <c r="F1239" s="6" t="n">
        <v>18.6</v>
      </c>
      <c r="G1239" t="n">
        <v>1</v>
      </c>
      <c r="H1239" s="6">
        <f>ROUND(G1239*F1239,2)</f>
        <v/>
      </c>
      <c r="I1239">
        <f>IF(ROUND(H1239-D1239,2)=0,1,0)</f>
        <v/>
      </c>
      <c r="J1239">
        <f>IF(F1239="","none",IF(G1239=1,"carte","multiple"))</f>
        <v/>
      </c>
    </row>
    <row r="1240">
      <c r="A1240" t="inlineStr">
        <is>
          <t>2022-05-25</t>
        </is>
      </c>
      <c r="B1240" t="inlineStr">
        <is>
          <t>19:59</t>
        </is>
      </c>
      <c r="C1240" t="n">
        <v>2967</v>
      </c>
      <c r="D1240" s="6" t="n">
        <v>6.4</v>
      </c>
      <c r="E1240" t="n">
        <v>38019</v>
      </c>
      <c r="F1240" s="6" t="n">
        <v>6.4</v>
      </c>
      <c r="G1240" t="n">
        <v>1</v>
      </c>
      <c r="H1240" s="6">
        <f>ROUND(G1240*F1240,2)</f>
        <v/>
      </c>
      <c r="I1240">
        <f>IF(ROUND(H1240-D1240,2)=0,1,0)</f>
        <v/>
      </c>
      <c r="J1240">
        <f>IF(F1240="","none",IF(G1240=1,"carte","multiple"))</f>
        <v/>
      </c>
    </row>
    <row r="1241">
      <c r="A1241" t="inlineStr">
        <is>
          <t>2022-05-25</t>
        </is>
      </c>
      <c r="B1241" t="inlineStr">
        <is>
          <t>19:59</t>
        </is>
      </c>
      <c r="C1241" t="n">
        <v>2967</v>
      </c>
      <c r="D1241" s="6" t="n">
        <v>29.9</v>
      </c>
      <c r="E1241" t="n">
        <v>38020</v>
      </c>
      <c r="F1241" s="6" t="n">
        <v>29.9</v>
      </c>
      <c r="G1241" t="n">
        <v>1</v>
      </c>
      <c r="H1241" s="6">
        <f>ROUND(G1241*F1241,2)</f>
        <v/>
      </c>
      <c r="I1241">
        <f>IF(ROUND(H1241-D1241,2)=0,1,0)</f>
        <v/>
      </c>
      <c r="J1241">
        <f>IF(F1241="","none",IF(G1241=1,"carte","multiple"))</f>
        <v/>
      </c>
    </row>
    <row r="1242">
      <c r="A1242" t="inlineStr">
        <is>
          <t>2022-05-25</t>
        </is>
      </c>
      <c r="B1242" t="inlineStr">
        <is>
          <t>20:20</t>
        </is>
      </c>
      <c r="C1242" t="n">
        <v>2967</v>
      </c>
      <c r="D1242" s="6" t="n">
        <v>5.45</v>
      </c>
      <c r="E1242" t="n">
        <v>38021</v>
      </c>
      <c r="H1242" t="inlineStr"/>
      <c r="I1242" t="inlineStr"/>
      <c r="J1242">
        <f>IF(F1242="","none",IF(G1242=1,"carte","multiple"))</f>
        <v/>
      </c>
    </row>
    <row r="1243">
      <c r="A1243" t="inlineStr">
        <is>
          <t>2022-05-25</t>
        </is>
      </c>
      <c r="B1243" t="inlineStr">
        <is>
          <t>20:20</t>
        </is>
      </c>
      <c r="C1243" t="n">
        <v>2967</v>
      </c>
      <c r="D1243" s="6" t="n">
        <v>4</v>
      </c>
      <c r="E1243" t="n">
        <v>38022</v>
      </c>
      <c r="F1243" s="6" t="n">
        <v>4</v>
      </c>
      <c r="G1243" t="n">
        <v>1</v>
      </c>
      <c r="H1243" s="6">
        <f>ROUND(G1243*F1243,2)</f>
        <v/>
      </c>
      <c r="I1243">
        <f>IF(ROUND(H1243-D1243,2)=0,1,0)</f>
        <v/>
      </c>
      <c r="J1243">
        <f>IF(F1243="","none",IF(G1243=1,"carte","multiple"))</f>
        <v/>
      </c>
    </row>
    <row r="1244">
      <c r="A1244" t="inlineStr">
        <is>
          <t>2022-05-25</t>
        </is>
      </c>
      <c r="B1244" t="inlineStr">
        <is>
          <t>20:20</t>
        </is>
      </c>
      <c r="C1244" t="n">
        <v>2967</v>
      </c>
      <c r="D1244" s="6" t="n">
        <v>59.8</v>
      </c>
      <c r="E1244" t="n">
        <v>38023</v>
      </c>
      <c r="F1244" s="6" t="n">
        <v>4.6</v>
      </c>
      <c r="G1244" t="n">
        <v>13</v>
      </c>
      <c r="H1244" s="6">
        <f>ROUND(G1244*F1244,2)</f>
        <v/>
      </c>
      <c r="I1244">
        <f>IF(ROUND(H1244-D1244,2)=0,1,0)</f>
        <v/>
      </c>
      <c r="J1244">
        <f>IF(F1244="","none",IF(G1244=1,"carte","multiple"))</f>
        <v/>
      </c>
    </row>
    <row r="1245">
      <c r="A1245" t="inlineStr">
        <is>
          <t>2022-05-25</t>
        </is>
      </c>
      <c r="B1245" t="inlineStr">
        <is>
          <t>20:20</t>
        </is>
      </c>
      <c r="C1245" t="n">
        <v>2967</v>
      </c>
      <c r="D1245" s="6" t="n">
        <v>13.4</v>
      </c>
      <c r="E1245" t="n">
        <v>38024</v>
      </c>
      <c r="F1245" s="6" t="n">
        <v>13.4</v>
      </c>
      <c r="G1245" t="n">
        <v>1</v>
      </c>
      <c r="H1245" s="6">
        <f>ROUND(G1245*F1245,2)</f>
        <v/>
      </c>
      <c r="I1245">
        <f>IF(ROUND(H1245-D1245,2)=0,1,0)</f>
        <v/>
      </c>
      <c r="J1245">
        <f>IF(F1245="","none",IF(G1245=1,"carte","multiple"))</f>
        <v/>
      </c>
    </row>
    <row r="1246">
      <c r="A1246" t="inlineStr">
        <is>
          <t>2022-05-25</t>
        </is>
      </c>
      <c r="B1246" t="inlineStr">
        <is>
          <t>20:20</t>
        </is>
      </c>
      <c r="C1246" t="n">
        <v>2967</v>
      </c>
      <c r="D1246" s="6" t="n">
        <v>3.8</v>
      </c>
      <c r="E1246" t="n">
        <v>38025</v>
      </c>
      <c r="F1246" s="6" t="n">
        <v>3.8</v>
      </c>
      <c r="G1246" t="n">
        <v>1</v>
      </c>
      <c r="H1246" s="6">
        <f>ROUND(G1246*F1246,2)</f>
        <v/>
      </c>
      <c r="I1246">
        <f>IF(ROUND(H1246-D1246,2)=0,1,0)</f>
        <v/>
      </c>
      <c r="J1246">
        <f>IF(F1246="","none",IF(G1246=1,"carte","multiple"))</f>
        <v/>
      </c>
    </row>
    <row r="1247">
      <c r="A1247" t="inlineStr">
        <is>
          <t>2022-05-25</t>
        </is>
      </c>
      <c r="B1247" t="inlineStr">
        <is>
          <t>20:25</t>
        </is>
      </c>
      <c r="C1247" t="n">
        <v>2967</v>
      </c>
      <c r="D1247" s="6" t="n">
        <v>19</v>
      </c>
      <c r="E1247" t="n">
        <v>38026</v>
      </c>
      <c r="F1247" s="6" t="n">
        <v>19</v>
      </c>
      <c r="G1247" t="n">
        <v>1</v>
      </c>
      <c r="H1247" s="6">
        <f>ROUND(G1247*F1247,2)</f>
        <v/>
      </c>
      <c r="I1247">
        <f>IF(ROUND(H1247-D1247,2)=0,1,0)</f>
        <v/>
      </c>
      <c r="J1247">
        <f>IF(F1247="","none",IF(G1247=1,"carte","multiple"))</f>
        <v/>
      </c>
    </row>
    <row r="1248">
      <c r="A1248" t="inlineStr">
        <is>
          <t>2022-05-25</t>
        </is>
      </c>
      <c r="B1248" t="inlineStr">
        <is>
          <t>20:25</t>
        </is>
      </c>
      <c r="C1248" t="n">
        <v>2967</v>
      </c>
      <c r="D1248" s="6" t="n">
        <v>4.9</v>
      </c>
      <c r="E1248" t="n">
        <v>38027</v>
      </c>
      <c r="F1248" s="6" t="n">
        <v>4.9</v>
      </c>
      <c r="G1248" t="n">
        <v>1</v>
      </c>
      <c r="H1248" s="6">
        <f>ROUND(G1248*F1248,2)</f>
        <v/>
      </c>
      <c r="I1248">
        <f>IF(ROUND(H1248-D1248,2)=0,1,0)</f>
        <v/>
      </c>
      <c r="J1248">
        <f>IF(F1248="","none",IF(G1248=1,"carte","multiple"))</f>
        <v/>
      </c>
    </row>
    <row r="1249">
      <c r="A1249" t="inlineStr">
        <is>
          <t>2022-05-25</t>
        </is>
      </c>
      <c r="B1249" t="inlineStr">
        <is>
          <t>20:25</t>
        </is>
      </c>
      <c r="C1249" t="n">
        <v>2967</v>
      </c>
      <c r="D1249" s="6" t="n">
        <v>2.2</v>
      </c>
      <c r="E1249" t="n">
        <v>38028</v>
      </c>
      <c r="F1249" s="6" t="n">
        <v>2.2</v>
      </c>
      <c r="G1249" t="n">
        <v>1</v>
      </c>
      <c r="H1249" s="6">
        <f>ROUND(G1249*F1249,2)</f>
        <v/>
      </c>
      <c r="I1249">
        <f>IF(ROUND(H1249-D1249,2)=0,1,0)</f>
        <v/>
      </c>
      <c r="J1249">
        <f>IF(F1249="","none",IF(G1249=1,"carte","multiple"))</f>
        <v/>
      </c>
    </row>
    <row r="1250">
      <c r="A1250" t="inlineStr">
        <is>
          <t>2022-05-25</t>
        </is>
      </c>
      <c r="B1250" t="inlineStr">
        <is>
          <t>20:37</t>
        </is>
      </c>
      <c r="C1250" t="n">
        <v>2967</v>
      </c>
      <c r="D1250" s="6" t="n">
        <v>4.2</v>
      </c>
      <c r="E1250" t="n">
        <v>38029</v>
      </c>
      <c r="F1250" s="6" t="n">
        <v>4.2</v>
      </c>
      <c r="G1250" t="n">
        <v>1</v>
      </c>
      <c r="H1250" s="6">
        <f>ROUND(G1250*F1250,2)</f>
        <v/>
      </c>
      <c r="I1250">
        <f>IF(ROUND(H1250-D1250,2)=0,1,0)</f>
        <v/>
      </c>
      <c r="J1250">
        <f>IF(F1250="","none",IF(G1250=1,"carte","multiple"))</f>
        <v/>
      </c>
    </row>
    <row r="1251">
      <c r="A1251" t="inlineStr">
        <is>
          <t>2022-05-25</t>
        </is>
      </c>
      <c r="B1251" t="inlineStr">
        <is>
          <t>20:37</t>
        </is>
      </c>
      <c r="C1251" t="n">
        <v>2967</v>
      </c>
      <c r="D1251" s="6" t="n">
        <v>7.5</v>
      </c>
      <c r="E1251" t="n">
        <v>38030</v>
      </c>
      <c r="F1251" s="6" t="n">
        <v>7.5</v>
      </c>
      <c r="G1251" t="n">
        <v>1</v>
      </c>
      <c r="H1251" s="6">
        <f>ROUND(G1251*F1251,2)</f>
        <v/>
      </c>
      <c r="I1251">
        <f>IF(ROUND(H1251-D1251,2)=0,1,0)</f>
        <v/>
      </c>
      <c r="J1251">
        <f>IF(F1251="","none",IF(G1251=1,"carte","multiple"))</f>
        <v/>
      </c>
    </row>
    <row r="1252">
      <c r="A1252" t="inlineStr">
        <is>
          <t>2022-05-25</t>
        </is>
      </c>
      <c r="B1252" t="inlineStr">
        <is>
          <t>20:37</t>
        </is>
      </c>
      <c r="C1252" t="n">
        <v>2967</v>
      </c>
      <c r="D1252" s="6" t="n">
        <v>28</v>
      </c>
      <c r="E1252" t="n">
        <v>38031</v>
      </c>
      <c r="F1252" s="6" t="n">
        <v>28</v>
      </c>
      <c r="G1252" t="n">
        <v>1</v>
      </c>
      <c r="H1252" s="6">
        <f>ROUND(G1252*F1252,2)</f>
        <v/>
      </c>
      <c r="I1252">
        <f>IF(ROUND(H1252-D1252,2)=0,1,0)</f>
        <v/>
      </c>
      <c r="J1252">
        <f>IF(F1252="","none",IF(G1252=1,"carte","multiple"))</f>
        <v/>
      </c>
    </row>
    <row r="1253">
      <c r="A1253" t="inlineStr">
        <is>
          <t>2022-05-25</t>
        </is>
      </c>
      <c r="B1253" t="inlineStr">
        <is>
          <t>20:37</t>
        </is>
      </c>
      <c r="C1253" t="n">
        <v>2967</v>
      </c>
      <c r="D1253" s="6" t="n">
        <v>17.6</v>
      </c>
      <c r="E1253" t="n">
        <v>38032</v>
      </c>
      <c r="F1253" s="6" t="n">
        <v>17.6</v>
      </c>
      <c r="G1253" t="n">
        <v>1</v>
      </c>
      <c r="H1253" s="6">
        <f>ROUND(G1253*F1253,2)</f>
        <v/>
      </c>
      <c r="I1253">
        <f>IF(ROUND(H1253-D1253,2)=0,1,0)</f>
        <v/>
      </c>
      <c r="J1253">
        <f>IF(F1253="","none",IF(G1253=1,"carte","multiple"))</f>
        <v/>
      </c>
    </row>
    <row r="1254">
      <c r="A1254" t="inlineStr">
        <is>
          <t>2022-05-25</t>
        </is>
      </c>
      <c r="B1254" t="inlineStr">
        <is>
          <t>20:37</t>
        </is>
      </c>
      <c r="C1254" t="n">
        <v>2967</v>
      </c>
      <c r="D1254" s="6" t="n">
        <v>17.6</v>
      </c>
      <c r="E1254" t="n">
        <v>38033</v>
      </c>
      <c r="F1254" s="6" t="n">
        <v>17.6</v>
      </c>
      <c r="G1254" t="n">
        <v>1</v>
      </c>
      <c r="H1254" s="6">
        <f>ROUND(G1254*F1254,2)</f>
        <v/>
      </c>
      <c r="I1254">
        <f>IF(ROUND(H1254-D1254,2)=0,1,0)</f>
        <v/>
      </c>
      <c r="J1254">
        <f>IF(F1254="","none",IF(G1254=1,"carte","multiple"))</f>
        <v/>
      </c>
    </row>
    <row r="1255">
      <c r="A1255" t="inlineStr">
        <is>
          <t>2022-05-25</t>
        </is>
      </c>
      <c r="B1255" t="inlineStr">
        <is>
          <t>20:37</t>
        </is>
      </c>
      <c r="C1255" t="n">
        <v>2967</v>
      </c>
      <c r="D1255" s="6" t="n">
        <v>8.699999999999999</v>
      </c>
      <c r="E1255" t="n">
        <v>38034</v>
      </c>
      <c r="F1255" s="6" t="n">
        <v>8.699999999999999</v>
      </c>
      <c r="G1255" t="n">
        <v>1</v>
      </c>
      <c r="H1255" s="6">
        <f>ROUND(G1255*F1255,2)</f>
        <v/>
      </c>
      <c r="I1255">
        <f>IF(ROUND(H1255-D1255,2)=0,1,0)</f>
        <v/>
      </c>
      <c r="J1255">
        <f>IF(F1255="","none",IF(G1255=1,"carte","multiple"))</f>
        <v/>
      </c>
    </row>
    <row r="1256">
      <c r="A1256" t="inlineStr">
        <is>
          <t>2022-05-25</t>
        </is>
      </c>
      <c r="B1256" t="inlineStr">
        <is>
          <t>20:37</t>
        </is>
      </c>
      <c r="C1256" t="n">
        <v>2967</v>
      </c>
      <c r="D1256" s="6" t="n">
        <v>2.9</v>
      </c>
      <c r="E1256" t="n">
        <v>38035</v>
      </c>
      <c r="F1256" s="6" t="n">
        <v>2.9</v>
      </c>
      <c r="G1256" t="n">
        <v>1</v>
      </c>
      <c r="H1256" s="6">
        <f>ROUND(G1256*F1256,2)</f>
        <v/>
      </c>
      <c r="I1256">
        <f>IF(ROUND(H1256-D1256,2)=0,1,0)</f>
        <v/>
      </c>
      <c r="J1256">
        <f>IF(F1256="","none",IF(G1256=1,"carte","multiple"))</f>
        <v/>
      </c>
    </row>
    <row r="1257">
      <c r="A1257" t="inlineStr">
        <is>
          <t>2022-05-25</t>
        </is>
      </c>
      <c r="B1257" t="inlineStr">
        <is>
          <t>20:37</t>
        </is>
      </c>
      <c r="C1257" t="n">
        <v>2967</v>
      </c>
      <c r="D1257" s="6" t="n">
        <v>1.8</v>
      </c>
      <c r="E1257" t="n">
        <v>38036</v>
      </c>
      <c r="F1257" s="6" t="n">
        <v>1.8</v>
      </c>
      <c r="G1257" t="n">
        <v>1</v>
      </c>
      <c r="H1257" s="6">
        <f>ROUND(G1257*F1257,2)</f>
        <v/>
      </c>
      <c r="I1257">
        <f>IF(ROUND(H1257-D1257,2)=0,1,0)</f>
        <v/>
      </c>
      <c r="J1257">
        <f>IF(F1257="","none",IF(G1257=1,"carte","multiple"))</f>
        <v/>
      </c>
    </row>
    <row r="1258">
      <c r="A1258" t="inlineStr">
        <is>
          <t>2022-05-26</t>
        </is>
      </c>
      <c r="B1258" t="inlineStr">
        <is>
          <t>11:07</t>
        </is>
      </c>
      <c r="C1258" t="n">
        <v>2968</v>
      </c>
      <c r="D1258" s="6" t="n">
        <v>19.9</v>
      </c>
      <c r="E1258" t="n">
        <v>38039</v>
      </c>
      <c r="F1258" s="6" t="n">
        <v>19.9</v>
      </c>
      <c r="G1258" t="n">
        <v>1</v>
      </c>
      <c r="H1258" s="6">
        <f>ROUND(G1258*F1258,2)</f>
        <v/>
      </c>
      <c r="I1258">
        <f>IF(ROUND(H1258-D1258,2)=0,1,0)</f>
        <v/>
      </c>
      <c r="J1258">
        <f>IF(F1258="","none",IF(G1258=1,"carte","multiple"))</f>
        <v/>
      </c>
    </row>
    <row r="1259">
      <c r="A1259" t="inlineStr">
        <is>
          <t>2022-05-26</t>
        </is>
      </c>
      <c r="B1259" t="inlineStr">
        <is>
          <t>11:37</t>
        </is>
      </c>
      <c r="C1259" t="n">
        <v>2968</v>
      </c>
      <c r="D1259" s="6" t="n">
        <v>3.9</v>
      </c>
      <c r="E1259" t="n">
        <v>38040</v>
      </c>
      <c r="F1259" s="6" t="n">
        <v>3.9</v>
      </c>
      <c r="G1259" t="n">
        <v>1</v>
      </c>
      <c r="H1259" s="6">
        <f>ROUND(G1259*F1259,2)</f>
        <v/>
      </c>
      <c r="I1259">
        <f>IF(ROUND(H1259-D1259,2)=0,1,0)</f>
        <v/>
      </c>
      <c r="J1259">
        <f>IF(F1259="","none",IF(G1259=1,"carte","multiple"))</f>
        <v/>
      </c>
    </row>
    <row r="1260">
      <c r="A1260" t="inlineStr">
        <is>
          <t>2022-05-26</t>
        </is>
      </c>
      <c r="B1260" t="inlineStr">
        <is>
          <t>11:37</t>
        </is>
      </c>
      <c r="C1260" t="n">
        <v>2968</v>
      </c>
      <c r="D1260" s="6" t="n">
        <v>19.9</v>
      </c>
      <c r="E1260" t="n">
        <v>38041</v>
      </c>
      <c r="F1260" s="6" t="n">
        <v>19.9</v>
      </c>
      <c r="G1260" t="n">
        <v>1</v>
      </c>
      <c r="H1260" s="6">
        <f>ROUND(G1260*F1260,2)</f>
        <v/>
      </c>
      <c r="I1260">
        <f>IF(ROUND(H1260-D1260,2)=0,1,0)</f>
        <v/>
      </c>
      <c r="J1260">
        <f>IF(F1260="","none",IF(G1260=1,"carte","multiple"))</f>
        <v/>
      </c>
    </row>
    <row r="1261">
      <c r="A1261" t="inlineStr">
        <is>
          <t>2022-05-26</t>
        </is>
      </c>
      <c r="B1261" t="inlineStr">
        <is>
          <t>11:37</t>
        </is>
      </c>
      <c r="C1261" t="n">
        <v>2968</v>
      </c>
      <c r="D1261" s="6" t="n">
        <v>3.6</v>
      </c>
      <c r="E1261" t="n">
        <v>38042</v>
      </c>
      <c r="F1261" s="6" t="n">
        <v>3.6</v>
      </c>
      <c r="G1261" t="n">
        <v>1</v>
      </c>
      <c r="H1261" s="6">
        <f>ROUND(G1261*F1261,2)</f>
        <v/>
      </c>
      <c r="I1261">
        <f>IF(ROUND(H1261-D1261,2)=0,1,0)</f>
        <v/>
      </c>
      <c r="J1261">
        <f>IF(F1261="","none",IF(G1261=1,"carte","multiple"))</f>
        <v/>
      </c>
    </row>
    <row r="1262">
      <c r="A1262" t="inlineStr">
        <is>
          <t>2022-05-26</t>
        </is>
      </c>
      <c r="B1262" t="inlineStr">
        <is>
          <t>11:37</t>
        </is>
      </c>
      <c r="C1262" t="n">
        <v>2968</v>
      </c>
      <c r="D1262" s="6" t="n">
        <v>4.9</v>
      </c>
      <c r="E1262" t="n">
        <v>38043</v>
      </c>
      <c r="F1262" s="6" t="n">
        <v>4.9</v>
      </c>
      <c r="G1262" t="n">
        <v>1</v>
      </c>
      <c r="H1262" s="6">
        <f>ROUND(G1262*F1262,2)</f>
        <v/>
      </c>
      <c r="I1262">
        <f>IF(ROUND(H1262-D1262,2)=0,1,0)</f>
        <v/>
      </c>
      <c r="J1262">
        <f>IF(F1262="","none",IF(G1262=1,"carte","multiple"))</f>
        <v/>
      </c>
    </row>
    <row r="1263">
      <c r="A1263" t="inlineStr">
        <is>
          <t>2022-05-26</t>
        </is>
      </c>
      <c r="B1263" t="inlineStr">
        <is>
          <t>11:45</t>
        </is>
      </c>
      <c r="C1263" t="n">
        <v>2968</v>
      </c>
      <c r="D1263" s="6" t="n">
        <v>24</v>
      </c>
      <c r="E1263" t="n">
        <v>38044</v>
      </c>
      <c r="F1263" s="6" t="n">
        <v>24</v>
      </c>
      <c r="G1263" t="n">
        <v>1</v>
      </c>
      <c r="H1263" s="6">
        <f>ROUND(G1263*F1263,2)</f>
        <v/>
      </c>
      <c r="I1263">
        <f>IF(ROUND(H1263-D1263,2)=0,1,0)</f>
        <v/>
      </c>
      <c r="J1263">
        <f>IF(F1263="","none",IF(G1263=1,"carte","multiple"))</f>
        <v/>
      </c>
    </row>
    <row r="1264">
      <c r="A1264" t="inlineStr">
        <is>
          <t>2022-05-26</t>
        </is>
      </c>
      <c r="B1264" t="inlineStr">
        <is>
          <t>11:45</t>
        </is>
      </c>
      <c r="C1264" t="n">
        <v>2968</v>
      </c>
      <c r="D1264" s="6" t="n">
        <v>29.9</v>
      </c>
      <c r="E1264" t="n">
        <v>38045</v>
      </c>
      <c r="F1264" s="6" t="n">
        <v>29.9</v>
      </c>
      <c r="G1264" t="n">
        <v>1</v>
      </c>
      <c r="H1264" s="6">
        <f>ROUND(G1264*F1264,2)</f>
        <v/>
      </c>
      <c r="I1264">
        <f>IF(ROUND(H1264-D1264,2)=0,1,0)</f>
        <v/>
      </c>
      <c r="J1264">
        <f>IF(F1264="","none",IF(G1264=1,"carte","multiple"))</f>
        <v/>
      </c>
    </row>
    <row r="1265">
      <c r="A1265" t="inlineStr">
        <is>
          <t>2022-05-26</t>
        </is>
      </c>
      <c r="B1265" t="inlineStr">
        <is>
          <t>11:51</t>
        </is>
      </c>
      <c r="C1265" t="n">
        <v>2968</v>
      </c>
      <c r="D1265" s="6" t="n">
        <v>6.9</v>
      </c>
      <c r="E1265" t="n">
        <v>38046</v>
      </c>
      <c r="F1265" s="6" t="n">
        <v>6.9</v>
      </c>
      <c r="G1265" t="n">
        <v>1</v>
      </c>
      <c r="H1265" s="6">
        <f>ROUND(G1265*F1265,2)</f>
        <v/>
      </c>
      <c r="I1265">
        <f>IF(ROUND(H1265-D1265,2)=0,1,0)</f>
        <v/>
      </c>
      <c r="J1265">
        <f>IF(F1265="","none",IF(G1265=1,"carte","multiple"))</f>
        <v/>
      </c>
    </row>
    <row r="1266">
      <c r="A1266" t="inlineStr">
        <is>
          <t>2022-05-26</t>
        </is>
      </c>
      <c r="B1266" t="inlineStr">
        <is>
          <t>11:51</t>
        </is>
      </c>
      <c r="C1266" t="n">
        <v>2968</v>
      </c>
      <c r="D1266" s="6" t="n">
        <v>3.9</v>
      </c>
      <c r="E1266" t="n">
        <v>38047</v>
      </c>
      <c r="F1266" s="6" t="n">
        <v>3.9</v>
      </c>
      <c r="G1266" t="n">
        <v>1</v>
      </c>
      <c r="H1266" s="6">
        <f>ROUND(G1266*F1266,2)</f>
        <v/>
      </c>
      <c r="I1266">
        <f>IF(ROUND(H1266-D1266,2)=0,1,0)</f>
        <v/>
      </c>
      <c r="J1266">
        <f>IF(F1266="","none",IF(G1266=1,"carte","multiple"))</f>
        <v/>
      </c>
    </row>
    <row r="1267">
      <c r="A1267" t="inlineStr">
        <is>
          <t>2022-05-26</t>
        </is>
      </c>
      <c r="B1267" t="inlineStr">
        <is>
          <t>11:51</t>
        </is>
      </c>
      <c r="C1267" t="n">
        <v>2968</v>
      </c>
      <c r="D1267" s="6" t="n">
        <v>6.9</v>
      </c>
      <c r="E1267" t="n">
        <v>38048</v>
      </c>
      <c r="F1267" s="6" t="n">
        <v>6.9</v>
      </c>
      <c r="G1267" t="n">
        <v>1</v>
      </c>
      <c r="H1267" s="6">
        <f>ROUND(G1267*F1267,2)</f>
        <v/>
      </c>
      <c r="I1267">
        <f>IF(ROUND(H1267-D1267,2)=0,1,0)</f>
        <v/>
      </c>
      <c r="J1267">
        <f>IF(F1267="","none",IF(G1267=1,"carte","multiple"))</f>
        <v/>
      </c>
    </row>
    <row r="1268">
      <c r="A1268" t="inlineStr">
        <is>
          <t>2022-05-26</t>
        </is>
      </c>
      <c r="B1268" t="inlineStr">
        <is>
          <t>11:51</t>
        </is>
      </c>
      <c r="C1268" t="n">
        <v>2968</v>
      </c>
      <c r="D1268" s="6" t="n">
        <v>17.6</v>
      </c>
      <c r="E1268" t="n">
        <v>38049</v>
      </c>
      <c r="F1268" s="6" t="n">
        <v>17.6</v>
      </c>
      <c r="G1268" t="n">
        <v>1</v>
      </c>
      <c r="H1268" s="6">
        <f>ROUND(G1268*F1268,2)</f>
        <v/>
      </c>
      <c r="I1268">
        <f>IF(ROUND(H1268-D1268,2)=0,1,0)</f>
        <v/>
      </c>
      <c r="J1268">
        <f>IF(F1268="","none",IF(G1268=1,"carte","multiple"))</f>
        <v/>
      </c>
    </row>
    <row r="1269">
      <c r="A1269" t="inlineStr">
        <is>
          <t>2022-05-26</t>
        </is>
      </c>
      <c r="B1269" t="inlineStr">
        <is>
          <t>11:51</t>
        </is>
      </c>
      <c r="C1269" t="n">
        <v>2968</v>
      </c>
      <c r="D1269" s="6" t="n">
        <v>35.2</v>
      </c>
      <c r="E1269" t="n">
        <v>38050</v>
      </c>
      <c r="F1269" s="6" t="n">
        <v>0.4</v>
      </c>
      <c r="G1269" t="n">
        <v>88</v>
      </c>
      <c r="H1269" s="6">
        <f>ROUND(G1269*F1269,2)</f>
        <v/>
      </c>
      <c r="I1269">
        <f>IF(ROUND(H1269-D1269,2)=0,1,0)</f>
        <v/>
      </c>
      <c r="J1269">
        <f>IF(F1269="","none",IF(G1269=1,"carte","multiple"))</f>
        <v/>
      </c>
    </row>
    <row r="1270">
      <c r="A1270" t="inlineStr">
        <is>
          <t>2022-05-26</t>
        </is>
      </c>
      <c r="B1270" t="inlineStr">
        <is>
          <t>11:51</t>
        </is>
      </c>
      <c r="C1270" t="n">
        <v>2968</v>
      </c>
      <c r="D1270" s="6" t="n">
        <v>12.6</v>
      </c>
      <c r="E1270" t="n">
        <v>38051</v>
      </c>
      <c r="F1270" s="6" t="n">
        <v>0.9</v>
      </c>
      <c r="G1270" t="n">
        <v>14</v>
      </c>
      <c r="H1270" s="6">
        <f>ROUND(G1270*F1270,2)</f>
        <v/>
      </c>
      <c r="I1270">
        <f>IF(ROUND(H1270-D1270,2)=0,1,0)</f>
        <v/>
      </c>
      <c r="J1270">
        <f>IF(F1270="","none",IF(G1270=1,"carte","multiple"))</f>
        <v/>
      </c>
    </row>
    <row r="1271">
      <c r="A1271" t="inlineStr">
        <is>
          <t>2022-05-26</t>
        </is>
      </c>
      <c r="B1271" t="inlineStr">
        <is>
          <t>17:53</t>
        </is>
      </c>
      <c r="C1271" t="n">
        <v>2968</v>
      </c>
      <c r="D1271" s="6" t="n">
        <v>3.4</v>
      </c>
      <c r="E1271" t="n">
        <v>38053</v>
      </c>
      <c r="F1271" s="6" t="n">
        <v>3.4</v>
      </c>
      <c r="G1271" t="n">
        <v>1</v>
      </c>
      <c r="H1271" s="6">
        <f>ROUND(G1271*F1271,2)</f>
        <v/>
      </c>
      <c r="I1271">
        <f>IF(ROUND(H1271-D1271,2)=0,1,0)</f>
        <v/>
      </c>
      <c r="J1271">
        <f>IF(F1271="","none",IF(G1271=1,"carte","multiple"))</f>
        <v/>
      </c>
    </row>
    <row r="1272">
      <c r="A1272" t="inlineStr">
        <is>
          <t>2022-05-26</t>
        </is>
      </c>
      <c r="B1272" t="inlineStr">
        <is>
          <t>17:55</t>
        </is>
      </c>
      <c r="C1272" t="n">
        <v>2968</v>
      </c>
      <c r="D1272" s="6" t="n">
        <v>29.9</v>
      </c>
      <c r="E1272" t="n">
        <v>38054</v>
      </c>
      <c r="F1272" s="6" t="n">
        <v>29.9</v>
      </c>
      <c r="G1272" t="n">
        <v>1</v>
      </c>
      <c r="H1272" s="6">
        <f>ROUND(G1272*F1272,2)</f>
        <v/>
      </c>
      <c r="I1272">
        <f>IF(ROUND(H1272-D1272,2)=0,1,0)</f>
        <v/>
      </c>
      <c r="J1272">
        <f>IF(F1272="","none",IF(G1272=1,"carte","multiple"))</f>
        <v/>
      </c>
    </row>
    <row r="1273">
      <c r="A1273" t="inlineStr">
        <is>
          <t>2022-05-26</t>
        </is>
      </c>
      <c r="B1273" t="inlineStr">
        <is>
          <t>18:04</t>
        </is>
      </c>
      <c r="C1273" t="n">
        <v>2968</v>
      </c>
      <c r="D1273" s="6" t="n">
        <v>3.9</v>
      </c>
      <c r="E1273" t="n">
        <v>38055</v>
      </c>
      <c r="F1273" s="6" t="n">
        <v>3.9</v>
      </c>
      <c r="G1273" t="n">
        <v>1</v>
      </c>
      <c r="H1273" s="6">
        <f>ROUND(G1273*F1273,2)</f>
        <v/>
      </c>
      <c r="I1273">
        <f>IF(ROUND(H1273-D1273,2)=0,1,0)</f>
        <v/>
      </c>
      <c r="J1273">
        <f>IF(F1273="","none",IF(G1273=1,"carte","multiple"))</f>
        <v/>
      </c>
    </row>
    <row r="1274">
      <c r="A1274" t="inlineStr">
        <is>
          <t>2022-05-26</t>
        </is>
      </c>
      <c r="B1274" t="inlineStr">
        <is>
          <t>18:09</t>
        </is>
      </c>
      <c r="C1274" t="n">
        <v>2968</v>
      </c>
      <c r="D1274" s="6" t="n">
        <v>19</v>
      </c>
      <c r="E1274" t="n">
        <v>38056</v>
      </c>
      <c r="F1274" s="6" t="n">
        <v>19</v>
      </c>
      <c r="G1274" t="n">
        <v>1</v>
      </c>
      <c r="H1274" s="6">
        <f>ROUND(G1274*F1274,2)</f>
        <v/>
      </c>
      <c r="I1274">
        <f>IF(ROUND(H1274-D1274,2)=0,1,0)</f>
        <v/>
      </c>
      <c r="J1274">
        <f>IF(F1274="","none",IF(G1274=1,"carte","multiple"))</f>
        <v/>
      </c>
    </row>
    <row r="1275">
      <c r="A1275" t="inlineStr">
        <is>
          <t>2022-05-26</t>
        </is>
      </c>
      <c r="B1275" t="inlineStr">
        <is>
          <t>18:36</t>
        </is>
      </c>
      <c r="C1275" t="n">
        <v>2968</v>
      </c>
      <c r="D1275" s="6" t="n">
        <v>29.9</v>
      </c>
      <c r="E1275" t="n">
        <v>38057</v>
      </c>
      <c r="F1275" s="6" t="n">
        <v>29.9</v>
      </c>
      <c r="G1275" t="n">
        <v>1</v>
      </c>
      <c r="H1275" s="6">
        <f>ROUND(G1275*F1275,2)</f>
        <v/>
      </c>
      <c r="I1275">
        <f>IF(ROUND(H1275-D1275,2)=0,1,0)</f>
        <v/>
      </c>
      <c r="J1275">
        <f>IF(F1275="","none",IF(G1275=1,"carte","multiple"))</f>
        <v/>
      </c>
    </row>
    <row r="1276">
      <c r="A1276" t="inlineStr">
        <is>
          <t>2022-05-26</t>
        </is>
      </c>
      <c r="B1276" t="inlineStr">
        <is>
          <t>18:38</t>
        </is>
      </c>
      <c r="C1276" t="n">
        <v>2968</v>
      </c>
      <c r="D1276" s="6" t="n">
        <v>5.4</v>
      </c>
      <c r="E1276" t="n">
        <v>38058</v>
      </c>
      <c r="F1276" s="6" t="n">
        <v>5.4</v>
      </c>
      <c r="G1276" t="n">
        <v>1</v>
      </c>
      <c r="H1276" s="6">
        <f>ROUND(G1276*F1276,2)</f>
        <v/>
      </c>
      <c r="I1276">
        <f>IF(ROUND(H1276-D1276,2)=0,1,0)</f>
        <v/>
      </c>
      <c r="J1276">
        <f>IF(F1276="","none",IF(G1276=1,"carte","multiple"))</f>
        <v/>
      </c>
    </row>
    <row r="1277">
      <c r="A1277" t="inlineStr">
        <is>
          <t>2022-05-26</t>
        </is>
      </c>
      <c r="B1277" t="inlineStr">
        <is>
          <t>18:50</t>
        </is>
      </c>
      <c r="C1277" t="n">
        <v>2968</v>
      </c>
      <c r="D1277" s="6" t="n">
        <v>10.9</v>
      </c>
      <c r="E1277" t="n">
        <v>38059</v>
      </c>
      <c r="F1277" s="6" t="n">
        <v>10.9</v>
      </c>
      <c r="G1277" t="n">
        <v>1</v>
      </c>
      <c r="H1277" s="6">
        <f>ROUND(G1277*F1277,2)</f>
        <v/>
      </c>
      <c r="I1277">
        <f>IF(ROUND(H1277-D1277,2)=0,1,0)</f>
        <v/>
      </c>
      <c r="J1277">
        <f>IF(F1277="","none",IF(G1277=1,"carte","multiple"))</f>
        <v/>
      </c>
    </row>
    <row r="1278">
      <c r="A1278" t="inlineStr">
        <is>
          <t>2022-05-26</t>
        </is>
      </c>
      <c r="B1278" t="inlineStr">
        <is>
          <t>19:09</t>
        </is>
      </c>
      <c r="C1278" t="n">
        <v>2968</v>
      </c>
      <c r="D1278" s="6" t="n">
        <v>6</v>
      </c>
      <c r="E1278" t="n">
        <v>38060</v>
      </c>
      <c r="F1278" s="6" t="n">
        <v>6</v>
      </c>
      <c r="G1278" t="n">
        <v>1</v>
      </c>
      <c r="H1278" s="6">
        <f>ROUND(G1278*F1278,2)</f>
        <v/>
      </c>
      <c r="I1278">
        <f>IF(ROUND(H1278-D1278,2)=0,1,0)</f>
        <v/>
      </c>
      <c r="J1278">
        <f>IF(F1278="","none",IF(G1278=1,"carte","multiple"))</f>
        <v/>
      </c>
    </row>
    <row r="1279">
      <c r="A1279" t="inlineStr">
        <is>
          <t>2022-05-26</t>
        </is>
      </c>
      <c r="B1279" t="inlineStr">
        <is>
          <t>19:25</t>
        </is>
      </c>
      <c r="C1279" t="n">
        <v>2968</v>
      </c>
      <c r="D1279" s="6" t="n">
        <v>2.2</v>
      </c>
      <c r="E1279" t="n">
        <v>38061</v>
      </c>
      <c r="F1279" s="6" t="n">
        <v>2.2</v>
      </c>
      <c r="G1279" t="n">
        <v>1</v>
      </c>
      <c r="H1279" s="6">
        <f>ROUND(G1279*F1279,2)</f>
        <v/>
      </c>
      <c r="I1279">
        <f>IF(ROUND(H1279-D1279,2)=0,1,0)</f>
        <v/>
      </c>
      <c r="J1279">
        <f>IF(F1279="","none",IF(G1279=1,"carte","multiple"))</f>
        <v/>
      </c>
    </row>
    <row r="1280">
      <c r="A1280" t="inlineStr">
        <is>
          <t>2022-05-26</t>
        </is>
      </c>
      <c r="B1280" t="inlineStr">
        <is>
          <t>19:25</t>
        </is>
      </c>
      <c r="C1280" t="n">
        <v>2968</v>
      </c>
      <c r="D1280" s="6" t="n">
        <v>9.800000000000001</v>
      </c>
      <c r="E1280" t="n">
        <v>38062</v>
      </c>
      <c r="F1280" s="6" t="n">
        <v>9.800000000000001</v>
      </c>
      <c r="G1280" t="n">
        <v>1</v>
      </c>
      <c r="H1280" s="6">
        <f>ROUND(G1280*F1280,2)</f>
        <v/>
      </c>
      <c r="I1280">
        <f>IF(ROUND(H1280-D1280,2)=0,1,0)</f>
        <v/>
      </c>
      <c r="J1280">
        <f>IF(F1280="","none",IF(G1280=1,"carte","multiple"))</f>
        <v/>
      </c>
    </row>
    <row r="1281">
      <c r="A1281" t="inlineStr">
        <is>
          <t>2022-05-26</t>
        </is>
      </c>
      <c r="B1281" t="inlineStr">
        <is>
          <t>19:25</t>
        </is>
      </c>
      <c r="C1281" t="n">
        <v>2968</v>
      </c>
      <c r="D1281" s="6" t="n">
        <v>3.9</v>
      </c>
      <c r="E1281" t="n">
        <v>38063</v>
      </c>
      <c r="F1281" s="6" t="n">
        <v>3.9</v>
      </c>
      <c r="G1281" t="n">
        <v>1</v>
      </c>
      <c r="H1281" s="6">
        <f>ROUND(G1281*F1281,2)</f>
        <v/>
      </c>
      <c r="I1281">
        <f>IF(ROUND(H1281-D1281,2)=0,1,0)</f>
        <v/>
      </c>
      <c r="J1281">
        <f>IF(F1281="","none",IF(G1281=1,"carte","multiple"))</f>
        <v/>
      </c>
    </row>
    <row r="1282">
      <c r="A1282" t="inlineStr">
        <is>
          <t>2022-05-26</t>
        </is>
      </c>
      <c r="B1282" t="inlineStr">
        <is>
          <t>19:25</t>
        </is>
      </c>
      <c r="C1282" t="n">
        <v>2968</v>
      </c>
      <c r="D1282" s="6" t="n">
        <v>8</v>
      </c>
      <c r="E1282" t="n">
        <v>38064</v>
      </c>
      <c r="F1282" s="6" t="n">
        <v>8</v>
      </c>
      <c r="G1282" t="n">
        <v>1</v>
      </c>
      <c r="H1282" s="6">
        <f>ROUND(G1282*F1282,2)</f>
        <v/>
      </c>
      <c r="I1282">
        <f>IF(ROUND(H1282-D1282,2)=0,1,0)</f>
        <v/>
      </c>
      <c r="J1282">
        <f>IF(F1282="","none",IF(G1282=1,"carte","multiple"))</f>
        <v/>
      </c>
    </row>
    <row r="1283">
      <c r="A1283" t="inlineStr">
        <is>
          <t>2022-05-26</t>
        </is>
      </c>
      <c r="B1283" t="inlineStr">
        <is>
          <t>19:25</t>
        </is>
      </c>
      <c r="C1283" t="n">
        <v>2968</v>
      </c>
      <c r="D1283" s="6" t="n">
        <v>23</v>
      </c>
      <c r="E1283" t="n">
        <v>38065</v>
      </c>
      <c r="F1283" s="6" t="n">
        <v>23</v>
      </c>
      <c r="G1283" t="n">
        <v>1</v>
      </c>
      <c r="H1283" s="6">
        <f>ROUND(G1283*F1283,2)</f>
        <v/>
      </c>
      <c r="I1283">
        <f>IF(ROUND(H1283-D1283,2)=0,1,0)</f>
        <v/>
      </c>
      <c r="J1283">
        <f>IF(F1283="","none",IF(G1283=1,"carte","multiple"))</f>
        <v/>
      </c>
    </row>
    <row r="1284">
      <c r="A1284" t="inlineStr">
        <is>
          <t>2022-05-26</t>
        </is>
      </c>
      <c r="B1284" t="inlineStr">
        <is>
          <t>19:25</t>
        </is>
      </c>
      <c r="C1284" t="n">
        <v>2968</v>
      </c>
      <c r="D1284" s="6" t="n">
        <v>4.2</v>
      </c>
      <c r="E1284" t="n">
        <v>38066</v>
      </c>
      <c r="F1284" s="6" t="n">
        <v>4.2</v>
      </c>
      <c r="G1284" t="n">
        <v>1</v>
      </c>
      <c r="H1284" s="6">
        <f>ROUND(G1284*F1284,2)</f>
        <v/>
      </c>
      <c r="I1284">
        <f>IF(ROUND(H1284-D1284,2)=0,1,0)</f>
        <v/>
      </c>
      <c r="J1284">
        <f>IF(F1284="","none",IF(G1284=1,"carte","multiple"))</f>
        <v/>
      </c>
    </row>
    <row r="1285">
      <c r="A1285" t="inlineStr">
        <is>
          <t>2022-05-26</t>
        </is>
      </c>
      <c r="B1285" t="inlineStr">
        <is>
          <t>19:25</t>
        </is>
      </c>
      <c r="C1285" t="n">
        <v>2968</v>
      </c>
      <c r="D1285" s="6" t="n">
        <v>3.8</v>
      </c>
      <c r="E1285" t="n">
        <v>38067</v>
      </c>
      <c r="F1285" s="6" t="n">
        <v>3.8</v>
      </c>
      <c r="G1285" t="n">
        <v>1</v>
      </c>
      <c r="H1285" s="6">
        <f>ROUND(G1285*F1285,2)</f>
        <v/>
      </c>
      <c r="I1285">
        <f>IF(ROUND(H1285-D1285,2)=0,1,0)</f>
        <v/>
      </c>
      <c r="J1285">
        <f>IF(F1285="","none",IF(G1285=1,"carte","multiple"))</f>
        <v/>
      </c>
    </row>
    <row r="1286">
      <c r="A1286" t="inlineStr">
        <is>
          <t>2022-05-26</t>
        </is>
      </c>
      <c r="B1286" t="inlineStr">
        <is>
          <t>19:45</t>
        </is>
      </c>
      <c r="C1286" t="n">
        <v>2968</v>
      </c>
      <c r="D1286" s="6" t="n">
        <v>4.6</v>
      </c>
      <c r="E1286" t="n">
        <v>38068</v>
      </c>
      <c r="F1286" s="6" t="n">
        <v>4.6</v>
      </c>
      <c r="G1286" t="n">
        <v>1</v>
      </c>
      <c r="H1286" s="6">
        <f>ROUND(G1286*F1286,2)</f>
        <v/>
      </c>
      <c r="I1286">
        <f>IF(ROUND(H1286-D1286,2)=0,1,0)</f>
        <v/>
      </c>
      <c r="J1286">
        <f>IF(F1286="","none",IF(G1286=1,"carte","multiple"))</f>
        <v/>
      </c>
    </row>
    <row r="1287">
      <c r="A1287" t="inlineStr">
        <is>
          <t>2022-05-26</t>
        </is>
      </c>
      <c r="B1287" t="inlineStr">
        <is>
          <t>19:45</t>
        </is>
      </c>
      <c r="C1287" t="n">
        <v>2968</v>
      </c>
      <c r="D1287" s="6" t="n">
        <v>4.7</v>
      </c>
      <c r="E1287" t="n">
        <v>38069</v>
      </c>
      <c r="F1287" s="6" t="n">
        <v>4.7</v>
      </c>
      <c r="G1287" t="n">
        <v>1</v>
      </c>
      <c r="H1287" s="6">
        <f>ROUND(G1287*F1287,2)</f>
        <v/>
      </c>
      <c r="I1287">
        <f>IF(ROUND(H1287-D1287,2)=0,1,0)</f>
        <v/>
      </c>
      <c r="J1287">
        <f>IF(F1287="","none",IF(G1287=1,"carte","multiple"))</f>
        <v/>
      </c>
    </row>
    <row r="1288">
      <c r="A1288" t="inlineStr">
        <is>
          <t>2022-05-26</t>
        </is>
      </c>
      <c r="B1288" t="inlineStr">
        <is>
          <t>19:45</t>
        </is>
      </c>
      <c r="C1288" t="n">
        <v>2968</v>
      </c>
      <c r="D1288" s="6" t="n">
        <v>18</v>
      </c>
      <c r="E1288" t="n">
        <v>38070</v>
      </c>
      <c r="F1288" s="6" t="n">
        <v>18</v>
      </c>
      <c r="G1288" t="n">
        <v>1</v>
      </c>
      <c r="H1288" s="6">
        <f>ROUND(G1288*F1288,2)</f>
        <v/>
      </c>
      <c r="I1288">
        <f>IF(ROUND(H1288-D1288,2)=0,1,0)</f>
        <v/>
      </c>
      <c r="J1288">
        <f>IF(F1288="","none",IF(G1288=1,"carte","multiple"))</f>
        <v/>
      </c>
    </row>
    <row r="1289">
      <c r="A1289" t="inlineStr">
        <is>
          <t>2022-05-26</t>
        </is>
      </c>
      <c r="B1289" t="inlineStr">
        <is>
          <t>19:45</t>
        </is>
      </c>
      <c r="C1289" t="n">
        <v>2968</v>
      </c>
      <c r="D1289" s="6" t="n">
        <v>3.2</v>
      </c>
      <c r="E1289" t="n">
        <v>38071</v>
      </c>
      <c r="F1289" s="6" t="n">
        <v>3.2</v>
      </c>
      <c r="G1289" t="n">
        <v>1</v>
      </c>
      <c r="H1289" s="6">
        <f>ROUND(G1289*F1289,2)</f>
        <v/>
      </c>
      <c r="I1289">
        <f>IF(ROUND(H1289-D1289,2)=0,1,0)</f>
        <v/>
      </c>
      <c r="J1289">
        <f>IF(F1289="","none",IF(G1289=1,"carte","multiple"))</f>
        <v/>
      </c>
    </row>
    <row r="1290">
      <c r="A1290" t="inlineStr">
        <is>
          <t>2022-05-26</t>
        </is>
      </c>
      <c r="B1290" t="inlineStr">
        <is>
          <t>19:45</t>
        </is>
      </c>
      <c r="C1290" t="n">
        <v>2968</v>
      </c>
      <c r="D1290" s="6" t="n">
        <v>3.2</v>
      </c>
      <c r="E1290" t="n">
        <v>38072</v>
      </c>
      <c r="F1290" s="6" t="n">
        <v>3.2</v>
      </c>
      <c r="G1290" t="n">
        <v>1</v>
      </c>
      <c r="H1290" s="6">
        <f>ROUND(G1290*F1290,2)</f>
        <v/>
      </c>
      <c r="I1290">
        <f>IF(ROUND(H1290-D1290,2)=0,1,0)</f>
        <v/>
      </c>
      <c r="J1290">
        <f>IF(F1290="","none",IF(G1290=1,"carte","multiple"))</f>
        <v/>
      </c>
    </row>
    <row r="1291">
      <c r="A1291" t="inlineStr">
        <is>
          <t>2022-05-26</t>
        </is>
      </c>
      <c r="B1291" t="inlineStr">
        <is>
          <t>19:45</t>
        </is>
      </c>
      <c r="C1291" t="n">
        <v>2968</v>
      </c>
      <c r="D1291" s="6" t="n">
        <v>4</v>
      </c>
      <c r="E1291" t="n">
        <v>38073</v>
      </c>
      <c r="F1291" s="6" t="n">
        <v>4</v>
      </c>
      <c r="G1291" t="n">
        <v>1</v>
      </c>
      <c r="H1291" s="6">
        <f>ROUND(G1291*F1291,2)</f>
        <v/>
      </c>
      <c r="I1291">
        <f>IF(ROUND(H1291-D1291,2)=0,1,0)</f>
        <v/>
      </c>
      <c r="J1291">
        <f>IF(F1291="","none",IF(G1291=1,"carte","multiple"))</f>
        <v/>
      </c>
    </row>
    <row r="1292">
      <c r="A1292" t="inlineStr">
        <is>
          <t>2022-05-26</t>
        </is>
      </c>
      <c r="B1292" t="inlineStr">
        <is>
          <t>19:45</t>
        </is>
      </c>
      <c r="C1292" t="n">
        <v>2968</v>
      </c>
      <c r="D1292" s="6" t="n">
        <v>3.8</v>
      </c>
      <c r="E1292" t="n">
        <v>38074</v>
      </c>
      <c r="F1292" s="6" t="n">
        <v>3.8</v>
      </c>
      <c r="G1292" t="n">
        <v>1</v>
      </c>
      <c r="H1292" s="6">
        <f>ROUND(G1292*F1292,2)</f>
        <v/>
      </c>
      <c r="I1292">
        <f>IF(ROUND(H1292-D1292,2)=0,1,0)</f>
        <v/>
      </c>
      <c r="J1292">
        <f>IF(F1292="","none",IF(G1292=1,"carte","multiple"))</f>
        <v/>
      </c>
    </row>
    <row r="1293">
      <c r="A1293" t="inlineStr">
        <is>
          <t>2022-05-26</t>
        </is>
      </c>
      <c r="B1293" t="inlineStr">
        <is>
          <t>19:45</t>
        </is>
      </c>
      <c r="C1293" t="n">
        <v>2968</v>
      </c>
      <c r="D1293" s="6" t="n">
        <v>2.9</v>
      </c>
      <c r="E1293" t="n">
        <v>38075</v>
      </c>
      <c r="F1293" s="6" t="n">
        <v>2.9</v>
      </c>
      <c r="G1293" t="n">
        <v>1</v>
      </c>
      <c r="H1293" s="6">
        <f>ROUND(G1293*F1293,2)</f>
        <v/>
      </c>
      <c r="I1293">
        <f>IF(ROUND(H1293-D1293,2)=0,1,0)</f>
        <v/>
      </c>
      <c r="J1293">
        <f>IF(F1293="","none",IF(G1293=1,"carte","multiple"))</f>
        <v/>
      </c>
    </row>
    <row r="1294">
      <c r="A1294" t="inlineStr">
        <is>
          <t>2022-05-26</t>
        </is>
      </c>
      <c r="B1294" t="inlineStr">
        <is>
          <t>19:45</t>
        </is>
      </c>
      <c r="C1294" t="n">
        <v>2968</v>
      </c>
      <c r="D1294" s="6" t="n">
        <v>19.9</v>
      </c>
      <c r="E1294" t="n">
        <v>38076</v>
      </c>
      <c r="F1294" s="6" t="n">
        <v>19.9</v>
      </c>
      <c r="G1294" t="n">
        <v>1</v>
      </c>
      <c r="H1294" s="6">
        <f>ROUND(G1294*F1294,2)</f>
        <v/>
      </c>
      <c r="I1294">
        <f>IF(ROUND(H1294-D1294,2)=0,1,0)</f>
        <v/>
      </c>
      <c r="J1294">
        <f>IF(F1294="","none",IF(G1294=1,"carte","multiple"))</f>
        <v/>
      </c>
    </row>
    <row r="1295">
      <c r="A1295" t="inlineStr">
        <is>
          <t>2022-05-26</t>
        </is>
      </c>
      <c r="B1295" t="inlineStr">
        <is>
          <t>19:45</t>
        </is>
      </c>
      <c r="C1295" t="n">
        <v>2968</v>
      </c>
      <c r="D1295" s="6" t="n">
        <v>0</v>
      </c>
      <c r="E1295" t="n">
        <v>38077</v>
      </c>
      <c r="H1295" t="inlineStr"/>
      <c r="I1295" t="inlineStr"/>
      <c r="J1295">
        <f>IF(F1295="","none",IF(G1295=1,"carte","multiple"))</f>
        <v/>
      </c>
    </row>
    <row r="1296">
      <c r="A1296" t="inlineStr">
        <is>
          <t>2022-05-26</t>
        </is>
      </c>
      <c r="B1296" t="inlineStr">
        <is>
          <t>19:45</t>
        </is>
      </c>
      <c r="C1296" t="n">
        <v>2968</v>
      </c>
      <c r="D1296" s="6" t="n">
        <v>0</v>
      </c>
      <c r="E1296" t="n">
        <v>38078</v>
      </c>
      <c r="H1296" t="inlineStr"/>
      <c r="I1296" t="inlineStr"/>
      <c r="J1296">
        <f>IF(F1296="","none",IF(G1296=1,"carte","multiple"))</f>
        <v/>
      </c>
    </row>
    <row r="1297">
      <c r="A1297" t="inlineStr">
        <is>
          <t>2022-05-26</t>
        </is>
      </c>
      <c r="B1297" t="inlineStr">
        <is>
          <t>20:13</t>
        </is>
      </c>
      <c r="C1297" t="n">
        <v>2968</v>
      </c>
      <c r="D1297" s="6" t="n">
        <v>5.8</v>
      </c>
      <c r="E1297" t="n">
        <v>38079</v>
      </c>
      <c r="F1297" s="6" t="n">
        <v>5.8</v>
      </c>
      <c r="G1297" t="n">
        <v>1</v>
      </c>
      <c r="H1297" s="6">
        <f>ROUND(G1297*F1297,2)</f>
        <v/>
      </c>
      <c r="I1297">
        <f>IF(ROUND(H1297-D1297,2)=0,1,0)</f>
        <v/>
      </c>
      <c r="J1297">
        <f>IF(F1297="","none",IF(G1297=1,"carte","multiple"))</f>
        <v/>
      </c>
    </row>
    <row r="1298">
      <c r="A1298" t="inlineStr">
        <is>
          <t>2022-05-27</t>
        </is>
      </c>
      <c r="B1298" t="inlineStr">
        <is>
          <t>11:10</t>
        </is>
      </c>
      <c r="C1298" t="n">
        <v>2969</v>
      </c>
      <c r="D1298" s="6" t="n">
        <v>6.5</v>
      </c>
      <c r="E1298" t="n">
        <v>38082</v>
      </c>
      <c r="F1298" s="6" t="n">
        <v>6.5</v>
      </c>
      <c r="G1298" t="n">
        <v>1</v>
      </c>
      <c r="H1298" s="6">
        <f>ROUND(G1298*F1298,2)</f>
        <v/>
      </c>
      <c r="I1298">
        <f>IF(ROUND(H1298-D1298,2)=0,1,0)</f>
        <v/>
      </c>
      <c r="J1298">
        <f>IF(F1298="","none",IF(G1298=1,"carte","multiple"))</f>
        <v/>
      </c>
    </row>
    <row r="1299">
      <c r="A1299" t="inlineStr">
        <is>
          <t>2022-05-27</t>
        </is>
      </c>
      <c r="B1299" t="inlineStr">
        <is>
          <t>11:10</t>
        </is>
      </c>
      <c r="C1299" t="n">
        <v>2969</v>
      </c>
      <c r="D1299" s="6" t="n">
        <v>7.2</v>
      </c>
      <c r="E1299" t="n">
        <v>38083</v>
      </c>
      <c r="F1299" s="6" t="n">
        <v>7.2</v>
      </c>
      <c r="G1299" t="n">
        <v>1</v>
      </c>
      <c r="H1299" s="6">
        <f>ROUND(G1299*F1299,2)</f>
        <v/>
      </c>
      <c r="I1299">
        <f>IF(ROUND(H1299-D1299,2)=0,1,0)</f>
        <v/>
      </c>
      <c r="J1299">
        <f>IF(F1299="","none",IF(G1299=1,"carte","multiple"))</f>
        <v/>
      </c>
    </row>
    <row r="1300">
      <c r="A1300" t="inlineStr">
        <is>
          <t>2022-05-27</t>
        </is>
      </c>
      <c r="B1300" t="inlineStr">
        <is>
          <t>11:30</t>
        </is>
      </c>
      <c r="C1300" t="n">
        <v>2969</v>
      </c>
      <c r="D1300" s="6" t="n">
        <v>14.4</v>
      </c>
      <c r="E1300" t="n">
        <v>38084</v>
      </c>
      <c r="F1300" s="6" t="n">
        <v>0.4</v>
      </c>
      <c r="G1300" t="n">
        <v>36</v>
      </c>
      <c r="H1300" s="6">
        <f>ROUND(G1300*F1300,2)</f>
        <v/>
      </c>
      <c r="I1300">
        <f>IF(ROUND(H1300-D1300,2)=0,1,0)</f>
        <v/>
      </c>
      <c r="J1300">
        <f>IF(F1300="","none",IF(G1300=1,"carte","multiple"))</f>
        <v/>
      </c>
    </row>
    <row r="1301">
      <c r="A1301" t="inlineStr">
        <is>
          <t>2022-05-27</t>
        </is>
      </c>
      <c r="B1301" t="inlineStr">
        <is>
          <t>11:30</t>
        </is>
      </c>
      <c r="C1301" t="n">
        <v>2969</v>
      </c>
      <c r="D1301" s="6" t="n">
        <v>33.6</v>
      </c>
      <c r="E1301" t="n">
        <v>38085</v>
      </c>
      <c r="F1301" s="6" t="n">
        <v>33.6</v>
      </c>
      <c r="G1301" t="n">
        <v>1</v>
      </c>
      <c r="H1301" s="6">
        <f>ROUND(G1301*F1301,2)</f>
        <v/>
      </c>
      <c r="I1301">
        <f>IF(ROUND(H1301-D1301,2)=0,1,0)</f>
        <v/>
      </c>
      <c r="J1301">
        <f>IF(F1301="","none",IF(G1301=1,"carte","multiple"))</f>
        <v/>
      </c>
    </row>
    <row r="1302">
      <c r="A1302" t="inlineStr">
        <is>
          <t>2022-05-27</t>
        </is>
      </c>
      <c r="B1302" t="inlineStr">
        <is>
          <t>11:30</t>
        </is>
      </c>
      <c r="C1302" t="n">
        <v>2969</v>
      </c>
      <c r="D1302" s="6" t="n">
        <v>13</v>
      </c>
      <c r="E1302" t="n">
        <v>38086</v>
      </c>
      <c r="F1302" s="6" t="n">
        <v>13</v>
      </c>
      <c r="G1302" t="n">
        <v>1</v>
      </c>
      <c r="H1302" s="6">
        <f>ROUND(G1302*F1302,2)</f>
        <v/>
      </c>
      <c r="I1302">
        <f>IF(ROUND(H1302-D1302,2)=0,1,0)</f>
        <v/>
      </c>
      <c r="J1302">
        <f>IF(F1302="","none",IF(G1302=1,"carte","multiple"))</f>
        <v/>
      </c>
    </row>
    <row r="1303">
      <c r="A1303" t="inlineStr">
        <is>
          <t>2022-05-27</t>
        </is>
      </c>
      <c r="B1303" t="inlineStr">
        <is>
          <t>11:30</t>
        </is>
      </c>
      <c r="C1303" t="n">
        <v>2969</v>
      </c>
      <c r="D1303" s="6" t="n">
        <v>3.9</v>
      </c>
      <c r="E1303" t="n">
        <v>38087</v>
      </c>
      <c r="F1303" s="6" t="n">
        <v>3.9</v>
      </c>
      <c r="G1303" t="n">
        <v>1</v>
      </c>
      <c r="H1303" s="6">
        <f>ROUND(G1303*F1303,2)</f>
        <v/>
      </c>
      <c r="I1303">
        <f>IF(ROUND(H1303-D1303,2)=0,1,0)</f>
        <v/>
      </c>
      <c r="J1303">
        <f>IF(F1303="","none",IF(G1303=1,"carte","multiple"))</f>
        <v/>
      </c>
    </row>
    <row r="1304">
      <c r="A1304" t="inlineStr">
        <is>
          <t>2022-05-27</t>
        </is>
      </c>
      <c r="B1304" t="inlineStr">
        <is>
          <t>11:30</t>
        </is>
      </c>
      <c r="C1304" t="n">
        <v>2969</v>
      </c>
      <c r="D1304" s="6" t="n">
        <v>1.8</v>
      </c>
      <c r="E1304" t="n">
        <v>38088</v>
      </c>
      <c r="F1304" s="6" t="n">
        <v>1.8</v>
      </c>
      <c r="G1304" t="n">
        <v>1</v>
      </c>
      <c r="H1304" s="6">
        <f>ROUND(G1304*F1304,2)</f>
        <v/>
      </c>
      <c r="I1304">
        <f>IF(ROUND(H1304-D1304,2)=0,1,0)</f>
        <v/>
      </c>
      <c r="J1304">
        <f>IF(F1304="","none",IF(G1304=1,"carte","multiple"))</f>
        <v/>
      </c>
    </row>
    <row r="1305">
      <c r="A1305" t="inlineStr">
        <is>
          <t>2022-05-27</t>
        </is>
      </c>
      <c r="B1305" t="inlineStr">
        <is>
          <t>11:30</t>
        </is>
      </c>
      <c r="C1305" t="n">
        <v>2969</v>
      </c>
      <c r="D1305" s="6" t="n">
        <v>10.5</v>
      </c>
      <c r="E1305" t="n">
        <v>38089</v>
      </c>
      <c r="F1305" s="6" t="n">
        <v>10.5</v>
      </c>
      <c r="G1305" t="n">
        <v>1</v>
      </c>
      <c r="H1305" s="6">
        <f>ROUND(G1305*F1305,2)</f>
        <v/>
      </c>
      <c r="I1305">
        <f>IF(ROUND(H1305-D1305,2)=0,1,0)</f>
        <v/>
      </c>
      <c r="J1305">
        <f>IF(F1305="","none",IF(G1305=1,"carte","multiple"))</f>
        <v/>
      </c>
    </row>
    <row r="1306">
      <c r="A1306" t="inlineStr">
        <is>
          <t>2022-05-27</t>
        </is>
      </c>
      <c r="B1306" t="inlineStr">
        <is>
          <t>11:50</t>
        </is>
      </c>
      <c r="C1306" t="n">
        <v>2969</v>
      </c>
      <c r="D1306" s="6" t="n">
        <v>3.9</v>
      </c>
      <c r="E1306" t="n">
        <v>38090</v>
      </c>
      <c r="F1306" s="6" t="n">
        <v>3.9</v>
      </c>
      <c r="G1306" t="n">
        <v>1</v>
      </c>
      <c r="H1306" s="6">
        <f>ROUND(G1306*F1306,2)</f>
        <v/>
      </c>
      <c r="I1306">
        <f>IF(ROUND(H1306-D1306,2)=0,1,0)</f>
        <v/>
      </c>
      <c r="J1306">
        <f>IF(F1306="","none",IF(G1306=1,"carte","multiple"))</f>
        <v/>
      </c>
    </row>
    <row r="1307">
      <c r="A1307" t="inlineStr">
        <is>
          <t>2022-05-27</t>
        </is>
      </c>
      <c r="B1307" t="inlineStr">
        <is>
          <t>12:23</t>
        </is>
      </c>
      <c r="C1307" t="n">
        <v>2969</v>
      </c>
      <c r="D1307" s="6" t="n">
        <v>6.4</v>
      </c>
      <c r="E1307" t="n">
        <v>38091</v>
      </c>
      <c r="F1307" s="6" t="n">
        <v>6.4</v>
      </c>
      <c r="G1307" t="n">
        <v>1</v>
      </c>
      <c r="H1307" s="6">
        <f>ROUND(G1307*F1307,2)</f>
        <v/>
      </c>
      <c r="I1307">
        <f>IF(ROUND(H1307-D1307,2)=0,1,0)</f>
        <v/>
      </c>
      <c r="J1307">
        <f>IF(F1307="","none",IF(G1307=1,"carte","multiple"))</f>
        <v/>
      </c>
    </row>
    <row r="1308">
      <c r="A1308" t="inlineStr">
        <is>
          <t>2022-05-27</t>
        </is>
      </c>
      <c r="B1308" t="inlineStr">
        <is>
          <t>12:23</t>
        </is>
      </c>
      <c r="C1308" t="n">
        <v>2969</v>
      </c>
      <c r="D1308" s="6" t="n">
        <v>2.2</v>
      </c>
      <c r="E1308" t="n">
        <v>38092</v>
      </c>
      <c r="F1308" s="6" t="n">
        <v>2.2</v>
      </c>
      <c r="G1308" t="n">
        <v>1</v>
      </c>
      <c r="H1308" s="6">
        <f>ROUND(G1308*F1308,2)</f>
        <v/>
      </c>
      <c r="I1308">
        <f>IF(ROUND(H1308-D1308,2)=0,1,0)</f>
        <v/>
      </c>
      <c r="J1308">
        <f>IF(F1308="","none",IF(G1308=1,"carte","multiple"))</f>
        <v/>
      </c>
    </row>
    <row r="1309">
      <c r="A1309" t="inlineStr">
        <is>
          <t>2022-05-27</t>
        </is>
      </c>
      <c r="B1309" t="inlineStr">
        <is>
          <t>12:23</t>
        </is>
      </c>
      <c r="C1309" t="n">
        <v>2969</v>
      </c>
      <c r="D1309" s="6" t="n">
        <v>7.8</v>
      </c>
      <c r="E1309" t="n">
        <v>38093</v>
      </c>
      <c r="F1309" s="6" t="n">
        <v>7.8</v>
      </c>
      <c r="G1309" t="n">
        <v>1</v>
      </c>
      <c r="H1309" s="6">
        <f>ROUND(G1309*F1309,2)</f>
        <v/>
      </c>
      <c r="I1309">
        <f>IF(ROUND(H1309-D1309,2)=0,1,0)</f>
        <v/>
      </c>
      <c r="J1309">
        <f>IF(F1309="","none",IF(G1309=1,"carte","multiple"))</f>
        <v/>
      </c>
    </row>
    <row r="1310">
      <c r="A1310" t="inlineStr">
        <is>
          <t>2022-05-27</t>
        </is>
      </c>
      <c r="B1310" t="inlineStr">
        <is>
          <t>12:23</t>
        </is>
      </c>
      <c r="C1310" t="n">
        <v>2969</v>
      </c>
      <c r="D1310" s="6" t="n">
        <v>19.9</v>
      </c>
      <c r="E1310" t="n">
        <v>38094</v>
      </c>
      <c r="F1310" s="6" t="n">
        <v>19.9</v>
      </c>
      <c r="G1310" t="n">
        <v>1</v>
      </c>
      <c r="H1310" s="6">
        <f>ROUND(G1310*F1310,2)</f>
        <v/>
      </c>
      <c r="I1310">
        <f>IF(ROUND(H1310-D1310,2)=0,1,0)</f>
        <v/>
      </c>
      <c r="J1310">
        <f>IF(F1310="","none",IF(G1310=1,"carte","multiple"))</f>
        <v/>
      </c>
    </row>
    <row r="1311">
      <c r="A1311" t="inlineStr">
        <is>
          <t>2022-05-27</t>
        </is>
      </c>
      <c r="B1311" t="inlineStr">
        <is>
          <t>12:23</t>
        </is>
      </c>
      <c r="C1311" t="n">
        <v>2969</v>
      </c>
      <c r="D1311" s="6" t="n">
        <v>16.4</v>
      </c>
      <c r="E1311" t="n">
        <v>38095</v>
      </c>
      <c r="F1311" s="6" t="n">
        <v>16.4</v>
      </c>
      <c r="G1311" t="n">
        <v>1</v>
      </c>
      <c r="H1311" s="6">
        <f>ROUND(G1311*F1311,2)</f>
        <v/>
      </c>
      <c r="I1311">
        <f>IF(ROUND(H1311-D1311,2)=0,1,0)</f>
        <v/>
      </c>
      <c r="J1311">
        <f>IF(F1311="","none",IF(G1311=1,"carte","multiple"))</f>
        <v/>
      </c>
    </row>
    <row r="1312">
      <c r="A1312" t="inlineStr">
        <is>
          <t>2022-05-27</t>
        </is>
      </c>
      <c r="B1312" t="inlineStr">
        <is>
          <t>12:23</t>
        </is>
      </c>
      <c r="C1312" t="n">
        <v>2969</v>
      </c>
      <c r="D1312" s="6" t="n">
        <v>17.6</v>
      </c>
      <c r="E1312" t="n">
        <v>38096</v>
      </c>
      <c r="F1312" s="6" t="n">
        <v>17.6</v>
      </c>
      <c r="G1312" t="n">
        <v>1</v>
      </c>
      <c r="H1312" s="6">
        <f>ROUND(G1312*F1312,2)</f>
        <v/>
      </c>
      <c r="I1312">
        <f>IF(ROUND(H1312-D1312,2)=0,1,0)</f>
        <v/>
      </c>
      <c r="J1312">
        <f>IF(F1312="","none",IF(G1312=1,"carte","multiple"))</f>
        <v/>
      </c>
    </row>
    <row r="1313">
      <c r="A1313" t="inlineStr">
        <is>
          <t>2022-05-27</t>
        </is>
      </c>
      <c r="B1313" t="inlineStr">
        <is>
          <t>12:23</t>
        </is>
      </c>
      <c r="C1313" t="n">
        <v>2969</v>
      </c>
      <c r="D1313" s="6" t="n">
        <v>15.6</v>
      </c>
      <c r="E1313" t="n">
        <v>38097</v>
      </c>
      <c r="F1313" s="6" t="n">
        <v>15.6</v>
      </c>
      <c r="G1313" t="n">
        <v>1</v>
      </c>
      <c r="H1313" s="6">
        <f>ROUND(G1313*F1313,2)</f>
        <v/>
      </c>
      <c r="I1313">
        <f>IF(ROUND(H1313-D1313,2)=0,1,0)</f>
        <v/>
      </c>
      <c r="J1313">
        <f>IF(F1313="","none",IF(G1313=1,"carte","multiple"))</f>
        <v/>
      </c>
    </row>
    <row r="1314">
      <c r="A1314" t="inlineStr">
        <is>
          <t>2022-05-27</t>
        </is>
      </c>
      <c r="B1314" t="inlineStr">
        <is>
          <t>12:25</t>
        </is>
      </c>
      <c r="C1314" t="n">
        <v>2969</v>
      </c>
      <c r="D1314" s="6" t="n">
        <v>4</v>
      </c>
      <c r="E1314" t="n">
        <v>38098</v>
      </c>
      <c r="F1314" s="6" t="n">
        <v>4</v>
      </c>
      <c r="G1314" t="n">
        <v>1</v>
      </c>
      <c r="H1314" s="6">
        <f>ROUND(G1314*F1314,2)</f>
        <v/>
      </c>
      <c r="I1314">
        <f>IF(ROUND(H1314-D1314,2)=0,1,0)</f>
        <v/>
      </c>
      <c r="J1314">
        <f>IF(F1314="","none",IF(G1314=1,"carte","multiple"))</f>
        <v/>
      </c>
    </row>
    <row r="1315">
      <c r="A1315" t="inlineStr">
        <is>
          <t>2022-05-27</t>
        </is>
      </c>
      <c r="B1315" t="inlineStr">
        <is>
          <t>17:39</t>
        </is>
      </c>
      <c r="C1315" t="n">
        <v>2969</v>
      </c>
      <c r="D1315" s="6" t="n">
        <v>30</v>
      </c>
      <c r="E1315" t="n">
        <v>38100</v>
      </c>
      <c r="F1315" s="6" t="n">
        <v>30</v>
      </c>
      <c r="G1315" t="n">
        <v>1</v>
      </c>
      <c r="H1315" s="6">
        <f>ROUND(G1315*F1315,2)</f>
        <v/>
      </c>
      <c r="I1315">
        <f>IF(ROUND(H1315-D1315,2)=0,1,0)</f>
        <v/>
      </c>
      <c r="J1315">
        <f>IF(F1315="","none",IF(G1315=1,"carte","multiple"))</f>
        <v/>
      </c>
    </row>
    <row r="1316">
      <c r="A1316" t="inlineStr">
        <is>
          <t>2022-05-27</t>
        </is>
      </c>
      <c r="B1316" t="inlineStr">
        <is>
          <t>17:57</t>
        </is>
      </c>
      <c r="C1316" t="n">
        <v>2969</v>
      </c>
      <c r="D1316" s="6" t="n">
        <v>9.800000000000001</v>
      </c>
      <c r="E1316" t="n">
        <v>38101</v>
      </c>
      <c r="F1316" s="6" t="n">
        <v>9.800000000000001</v>
      </c>
      <c r="G1316" t="n">
        <v>1</v>
      </c>
      <c r="H1316" s="6">
        <f>ROUND(G1316*F1316,2)</f>
        <v/>
      </c>
      <c r="I1316">
        <f>IF(ROUND(H1316-D1316,2)=0,1,0)</f>
        <v/>
      </c>
      <c r="J1316">
        <f>IF(F1316="","none",IF(G1316=1,"carte","multiple"))</f>
        <v/>
      </c>
    </row>
    <row r="1317">
      <c r="A1317" t="inlineStr">
        <is>
          <t>2022-05-27</t>
        </is>
      </c>
      <c r="B1317" t="inlineStr">
        <is>
          <t>18:00</t>
        </is>
      </c>
      <c r="C1317" t="n">
        <v>2969</v>
      </c>
      <c r="D1317" s="6" t="n">
        <v>12</v>
      </c>
      <c r="E1317" t="n">
        <v>38102</v>
      </c>
      <c r="F1317" s="6" t="n">
        <v>12</v>
      </c>
      <c r="G1317" t="n">
        <v>1</v>
      </c>
      <c r="H1317" s="6">
        <f>ROUND(G1317*F1317,2)</f>
        <v/>
      </c>
      <c r="I1317">
        <f>IF(ROUND(H1317-D1317,2)=0,1,0)</f>
        <v/>
      </c>
      <c r="J1317">
        <f>IF(F1317="","none",IF(G1317=1,"carte","multiple"))</f>
        <v/>
      </c>
    </row>
    <row r="1318">
      <c r="A1318" t="inlineStr">
        <is>
          <t>2022-05-27</t>
        </is>
      </c>
      <c r="B1318" t="inlineStr">
        <is>
          <t>18:08</t>
        </is>
      </c>
      <c r="C1318" t="n">
        <v>2969</v>
      </c>
      <c r="D1318" s="6" t="n">
        <v>4</v>
      </c>
      <c r="E1318" t="n">
        <v>38103</v>
      </c>
      <c r="F1318" s="6" t="n">
        <v>4</v>
      </c>
      <c r="G1318" t="n">
        <v>1</v>
      </c>
      <c r="H1318" s="6">
        <f>ROUND(G1318*F1318,2)</f>
        <v/>
      </c>
      <c r="I1318">
        <f>IF(ROUND(H1318-D1318,2)=0,1,0)</f>
        <v/>
      </c>
      <c r="J1318">
        <f>IF(F1318="","none",IF(G1318=1,"carte","multiple"))</f>
        <v/>
      </c>
    </row>
    <row r="1319">
      <c r="A1319" t="inlineStr">
        <is>
          <t>2022-05-27</t>
        </is>
      </c>
      <c r="B1319" t="inlineStr">
        <is>
          <t>18:30</t>
        </is>
      </c>
      <c r="C1319" t="n">
        <v>2969</v>
      </c>
      <c r="D1319" s="6" t="n">
        <v>3.4</v>
      </c>
      <c r="E1319" t="n">
        <v>38104</v>
      </c>
      <c r="F1319" s="6" t="n">
        <v>3.4</v>
      </c>
      <c r="G1319" t="n">
        <v>1</v>
      </c>
      <c r="H1319" s="6">
        <f>ROUND(G1319*F1319,2)</f>
        <v/>
      </c>
      <c r="I1319">
        <f>IF(ROUND(H1319-D1319,2)=0,1,0)</f>
        <v/>
      </c>
      <c r="J1319">
        <f>IF(F1319="","none",IF(G1319=1,"carte","multiple"))</f>
        <v/>
      </c>
    </row>
    <row r="1320">
      <c r="A1320" t="inlineStr">
        <is>
          <t>2022-05-27</t>
        </is>
      </c>
      <c r="B1320" t="inlineStr">
        <is>
          <t>18:43</t>
        </is>
      </c>
      <c r="C1320" t="n">
        <v>2969</v>
      </c>
      <c r="D1320" s="6" t="n">
        <v>29.9</v>
      </c>
      <c r="E1320" t="n">
        <v>38105</v>
      </c>
      <c r="F1320" s="6" t="n">
        <v>29.9</v>
      </c>
      <c r="G1320" t="n">
        <v>1</v>
      </c>
      <c r="H1320" s="6">
        <f>ROUND(G1320*F1320,2)</f>
        <v/>
      </c>
      <c r="I1320">
        <f>IF(ROUND(H1320-D1320,2)=0,1,0)</f>
        <v/>
      </c>
      <c r="J1320">
        <f>IF(F1320="","none",IF(G1320=1,"carte","multiple"))</f>
        <v/>
      </c>
    </row>
    <row r="1321">
      <c r="A1321" t="inlineStr">
        <is>
          <t>2022-05-27</t>
        </is>
      </c>
      <c r="B1321" t="inlineStr">
        <is>
          <t>18:50</t>
        </is>
      </c>
      <c r="C1321" t="n">
        <v>2969</v>
      </c>
      <c r="D1321" s="6" t="n">
        <v>2.4</v>
      </c>
      <c r="E1321" t="n">
        <v>38106</v>
      </c>
      <c r="F1321" s="6" t="n">
        <v>2.4</v>
      </c>
      <c r="G1321" t="n">
        <v>1</v>
      </c>
      <c r="H1321" s="6">
        <f>ROUND(G1321*F1321,2)</f>
        <v/>
      </c>
      <c r="I1321">
        <f>IF(ROUND(H1321-D1321,2)=0,1,0)</f>
        <v/>
      </c>
      <c r="J1321">
        <f>IF(F1321="","none",IF(G1321=1,"carte","multiple"))</f>
        <v/>
      </c>
    </row>
    <row r="1322">
      <c r="A1322" t="inlineStr">
        <is>
          <t>2022-05-27</t>
        </is>
      </c>
      <c r="B1322" t="inlineStr">
        <is>
          <t>18:50</t>
        </is>
      </c>
      <c r="C1322" t="n">
        <v>2969</v>
      </c>
      <c r="D1322" s="6" t="n">
        <v>6.6</v>
      </c>
      <c r="E1322" t="n">
        <v>38107</v>
      </c>
      <c r="F1322" s="6" t="n">
        <v>6.6</v>
      </c>
      <c r="G1322" t="n">
        <v>1</v>
      </c>
      <c r="H1322" s="6">
        <f>ROUND(G1322*F1322,2)</f>
        <v/>
      </c>
      <c r="I1322">
        <f>IF(ROUND(H1322-D1322,2)=0,1,0)</f>
        <v/>
      </c>
      <c r="J1322">
        <f>IF(F1322="","none",IF(G1322=1,"carte","multiple"))</f>
        <v/>
      </c>
    </row>
    <row r="1323">
      <c r="A1323" t="inlineStr">
        <is>
          <t>2022-05-27</t>
        </is>
      </c>
      <c r="B1323" t="inlineStr">
        <is>
          <t>18:50</t>
        </is>
      </c>
      <c r="C1323" t="n">
        <v>2969</v>
      </c>
      <c r="D1323" s="6" t="n">
        <v>18</v>
      </c>
      <c r="E1323" t="n">
        <v>38108</v>
      </c>
      <c r="F1323" s="6" t="n">
        <v>18</v>
      </c>
      <c r="G1323" t="n">
        <v>1</v>
      </c>
      <c r="H1323" s="6">
        <f>ROUND(G1323*F1323,2)</f>
        <v/>
      </c>
      <c r="I1323">
        <f>IF(ROUND(H1323-D1323,2)=0,1,0)</f>
        <v/>
      </c>
      <c r="J1323">
        <f>IF(F1323="","none",IF(G1323=1,"carte","multiple"))</f>
        <v/>
      </c>
    </row>
    <row r="1324">
      <c r="A1324" t="inlineStr">
        <is>
          <t>2022-05-27</t>
        </is>
      </c>
      <c r="B1324" t="inlineStr">
        <is>
          <t>18:50</t>
        </is>
      </c>
      <c r="C1324" t="n">
        <v>2969</v>
      </c>
      <c r="D1324" s="6" t="n">
        <v>76</v>
      </c>
      <c r="E1324" t="n">
        <v>38109</v>
      </c>
      <c r="F1324" s="6" t="n">
        <v>0.4</v>
      </c>
      <c r="G1324" t="n">
        <v>190</v>
      </c>
      <c r="H1324" s="6">
        <f>ROUND(G1324*F1324,2)</f>
        <v/>
      </c>
      <c r="I1324">
        <f>IF(ROUND(H1324-D1324,2)=0,1,0)</f>
        <v/>
      </c>
      <c r="J1324">
        <f>IF(F1324="","none",IF(G1324=1,"carte","multiple"))</f>
        <v/>
      </c>
    </row>
    <row r="1325">
      <c r="A1325" t="inlineStr">
        <is>
          <t>2022-05-27</t>
        </is>
      </c>
      <c r="B1325" t="inlineStr">
        <is>
          <t>18:50</t>
        </is>
      </c>
      <c r="C1325" t="n">
        <v>2969</v>
      </c>
      <c r="D1325" s="6" t="n">
        <v>7.8</v>
      </c>
      <c r="E1325" t="n">
        <v>38110</v>
      </c>
      <c r="F1325" s="6" t="n">
        <v>7.8</v>
      </c>
      <c r="G1325" t="n">
        <v>1</v>
      </c>
      <c r="H1325" s="6">
        <f>ROUND(G1325*F1325,2)</f>
        <v/>
      </c>
      <c r="I1325">
        <f>IF(ROUND(H1325-D1325,2)=0,1,0)</f>
        <v/>
      </c>
      <c r="J1325">
        <f>IF(F1325="","none",IF(G1325=1,"carte","multiple"))</f>
        <v/>
      </c>
    </row>
    <row r="1326">
      <c r="A1326" t="inlineStr">
        <is>
          <t>2022-05-27</t>
        </is>
      </c>
      <c r="B1326" t="inlineStr">
        <is>
          <t>19:13</t>
        </is>
      </c>
      <c r="C1326" t="n">
        <v>2969</v>
      </c>
      <c r="D1326" s="6" t="n">
        <v>5</v>
      </c>
      <c r="E1326" t="n">
        <v>38111</v>
      </c>
      <c r="F1326" s="6" t="n">
        <v>5</v>
      </c>
      <c r="G1326" t="n">
        <v>1</v>
      </c>
      <c r="H1326" s="6">
        <f>ROUND(G1326*F1326,2)</f>
        <v/>
      </c>
      <c r="I1326">
        <f>IF(ROUND(H1326-D1326,2)=0,1,0)</f>
        <v/>
      </c>
      <c r="J1326">
        <f>IF(F1326="","none",IF(G1326=1,"carte","multiple"))</f>
        <v/>
      </c>
    </row>
    <row r="1327">
      <c r="A1327" t="inlineStr">
        <is>
          <t>2022-05-27</t>
        </is>
      </c>
      <c r="B1327" t="inlineStr">
        <is>
          <t>19:21</t>
        </is>
      </c>
      <c r="C1327" t="n">
        <v>2969</v>
      </c>
      <c r="D1327" s="6" t="n">
        <v>32</v>
      </c>
      <c r="E1327" t="n">
        <v>38112</v>
      </c>
      <c r="F1327" s="6" t="n">
        <v>32</v>
      </c>
      <c r="G1327" t="n">
        <v>1</v>
      </c>
      <c r="H1327" s="6">
        <f>ROUND(G1327*F1327,2)</f>
        <v/>
      </c>
      <c r="I1327">
        <f>IF(ROUND(H1327-D1327,2)=0,1,0)</f>
        <v/>
      </c>
      <c r="J1327">
        <f>IF(F1327="","none",IF(G1327=1,"carte","multiple"))</f>
        <v/>
      </c>
    </row>
    <row r="1328">
      <c r="A1328" t="inlineStr">
        <is>
          <t>2022-05-27</t>
        </is>
      </c>
      <c r="B1328" t="inlineStr">
        <is>
          <t>19:21</t>
        </is>
      </c>
      <c r="C1328" t="n">
        <v>2969</v>
      </c>
      <c r="D1328" s="6" t="n">
        <v>32</v>
      </c>
      <c r="E1328" t="n">
        <v>38113</v>
      </c>
      <c r="F1328" s="6" t="n">
        <v>32</v>
      </c>
      <c r="G1328" t="n">
        <v>1</v>
      </c>
      <c r="H1328" s="6">
        <f>ROUND(G1328*F1328,2)</f>
        <v/>
      </c>
      <c r="I1328">
        <f>IF(ROUND(H1328-D1328,2)=0,1,0)</f>
        <v/>
      </c>
      <c r="J1328">
        <f>IF(F1328="","none",IF(G1328=1,"carte","multiple"))</f>
        <v/>
      </c>
    </row>
    <row r="1329">
      <c r="A1329" t="inlineStr">
        <is>
          <t>2022-05-27</t>
        </is>
      </c>
      <c r="B1329" t="inlineStr">
        <is>
          <t>19:21</t>
        </is>
      </c>
      <c r="C1329" t="n">
        <v>2969</v>
      </c>
      <c r="D1329" s="6" t="n">
        <v>30</v>
      </c>
      <c r="E1329" t="n">
        <v>38114</v>
      </c>
      <c r="F1329" s="6" t="n">
        <v>30</v>
      </c>
      <c r="G1329" t="n">
        <v>1</v>
      </c>
      <c r="H1329" s="6">
        <f>ROUND(G1329*F1329,2)</f>
        <v/>
      </c>
      <c r="I1329">
        <f>IF(ROUND(H1329-D1329,2)=0,1,0)</f>
        <v/>
      </c>
      <c r="J1329">
        <f>IF(F1329="","none",IF(G1329=1,"carte","multiple"))</f>
        <v/>
      </c>
    </row>
    <row r="1330">
      <c r="A1330" t="inlineStr">
        <is>
          <t>2022-05-27</t>
        </is>
      </c>
      <c r="B1330" t="inlineStr">
        <is>
          <t>19:21</t>
        </is>
      </c>
      <c r="C1330" t="n">
        <v>2969</v>
      </c>
      <c r="D1330" s="6" t="n">
        <v>5.2</v>
      </c>
      <c r="E1330" t="n">
        <v>38115</v>
      </c>
      <c r="F1330" s="6" t="n">
        <v>5.2</v>
      </c>
      <c r="G1330" t="n">
        <v>1</v>
      </c>
      <c r="H1330" s="6">
        <f>ROUND(G1330*F1330,2)</f>
        <v/>
      </c>
      <c r="I1330">
        <f>IF(ROUND(H1330-D1330,2)=0,1,0)</f>
        <v/>
      </c>
      <c r="J1330">
        <f>IF(F1330="","none",IF(G1330=1,"carte","multiple"))</f>
        <v/>
      </c>
    </row>
    <row r="1331">
      <c r="A1331" t="inlineStr">
        <is>
          <t>2022-05-27</t>
        </is>
      </c>
      <c r="B1331" t="inlineStr">
        <is>
          <t>19:21</t>
        </is>
      </c>
      <c r="C1331" t="n">
        <v>2969</v>
      </c>
      <c r="D1331" s="6" t="n">
        <v>4.2</v>
      </c>
      <c r="E1331" t="n">
        <v>38116</v>
      </c>
      <c r="F1331" s="6" t="n">
        <v>4.2</v>
      </c>
      <c r="G1331" t="n">
        <v>1</v>
      </c>
      <c r="H1331" s="6">
        <f>ROUND(G1331*F1331,2)</f>
        <v/>
      </c>
      <c r="I1331">
        <f>IF(ROUND(H1331-D1331,2)=0,1,0)</f>
        <v/>
      </c>
      <c r="J1331">
        <f>IF(F1331="","none",IF(G1331=1,"carte","multiple"))</f>
        <v/>
      </c>
    </row>
    <row r="1332">
      <c r="A1332" t="inlineStr">
        <is>
          <t>2022-05-27</t>
        </is>
      </c>
      <c r="B1332" t="inlineStr">
        <is>
          <t>20:50</t>
        </is>
      </c>
      <c r="C1332" t="n">
        <v>2969</v>
      </c>
      <c r="D1332" s="6" t="n">
        <v>10.9</v>
      </c>
      <c r="E1332" t="n">
        <v>38117</v>
      </c>
      <c r="F1332" s="6" t="n">
        <v>10.9</v>
      </c>
      <c r="G1332" t="n">
        <v>1</v>
      </c>
      <c r="H1332" s="6">
        <f>ROUND(G1332*F1332,2)</f>
        <v/>
      </c>
      <c r="I1332">
        <f>IF(ROUND(H1332-D1332,2)=0,1,0)</f>
        <v/>
      </c>
      <c r="J1332">
        <f>IF(F1332="","none",IF(G1332=1,"carte","multiple"))</f>
        <v/>
      </c>
    </row>
    <row r="1333">
      <c r="A1333" t="inlineStr">
        <is>
          <t>2022-05-28</t>
        </is>
      </c>
      <c r="B1333" t="inlineStr">
        <is>
          <t>09:59</t>
        </is>
      </c>
      <c r="C1333" t="n">
        <v>2970</v>
      </c>
      <c r="D1333" s="6" t="n">
        <v>8.9</v>
      </c>
      <c r="E1333" t="n">
        <v>38120</v>
      </c>
      <c r="F1333" s="6" t="n">
        <v>8.9</v>
      </c>
      <c r="G1333" t="n">
        <v>1</v>
      </c>
      <c r="H1333" s="6">
        <f>ROUND(G1333*F1333,2)</f>
        <v/>
      </c>
      <c r="I1333">
        <f>IF(ROUND(H1333-D1333,2)=0,1,0)</f>
        <v/>
      </c>
      <c r="J1333">
        <f>IF(F1333="","none",IF(G1333=1,"carte","multiple"))</f>
        <v/>
      </c>
    </row>
    <row r="1334">
      <c r="A1334" t="inlineStr">
        <is>
          <t>2022-05-28</t>
        </is>
      </c>
      <c r="B1334" t="inlineStr">
        <is>
          <t>10:01</t>
        </is>
      </c>
      <c r="C1334" t="n">
        <v>2970</v>
      </c>
      <c r="D1334" s="6" t="n">
        <v>5</v>
      </c>
      <c r="E1334" t="n">
        <v>38121</v>
      </c>
      <c r="F1334" s="6" t="n">
        <v>5</v>
      </c>
      <c r="G1334" t="n">
        <v>1</v>
      </c>
      <c r="H1334" s="6">
        <f>ROUND(G1334*F1334,2)</f>
        <v/>
      </c>
      <c r="I1334">
        <f>IF(ROUND(H1334-D1334,2)=0,1,0)</f>
        <v/>
      </c>
      <c r="J1334">
        <f>IF(F1334="","none",IF(G1334=1,"carte","multiple"))</f>
        <v/>
      </c>
    </row>
    <row r="1335">
      <c r="A1335" t="inlineStr">
        <is>
          <t>2022-05-28</t>
        </is>
      </c>
      <c r="B1335" t="inlineStr">
        <is>
          <t>10:01</t>
        </is>
      </c>
      <c r="C1335" t="n">
        <v>2970</v>
      </c>
      <c r="D1335" s="6" t="n">
        <v>8.9</v>
      </c>
      <c r="E1335" t="n">
        <v>38122</v>
      </c>
      <c r="F1335" s="6" t="n">
        <v>8.9</v>
      </c>
      <c r="G1335" t="n">
        <v>1</v>
      </c>
      <c r="H1335" s="6">
        <f>ROUND(G1335*F1335,2)</f>
        <v/>
      </c>
      <c r="I1335">
        <f>IF(ROUND(H1335-D1335,2)=0,1,0)</f>
        <v/>
      </c>
      <c r="J1335">
        <f>IF(F1335="","none",IF(G1335=1,"carte","multiple"))</f>
        <v/>
      </c>
    </row>
    <row r="1336">
      <c r="A1336" t="inlineStr">
        <is>
          <t>2022-05-28</t>
        </is>
      </c>
      <c r="B1336" t="inlineStr">
        <is>
          <t>10:01</t>
        </is>
      </c>
      <c r="C1336" t="n">
        <v>2970</v>
      </c>
      <c r="D1336" s="6" t="n">
        <v>15.9</v>
      </c>
      <c r="E1336" t="n">
        <v>38123</v>
      </c>
      <c r="F1336" s="6" t="n">
        <v>15.9</v>
      </c>
      <c r="G1336" t="n">
        <v>1</v>
      </c>
      <c r="H1336" s="6">
        <f>ROUND(G1336*F1336,2)</f>
        <v/>
      </c>
      <c r="I1336">
        <f>IF(ROUND(H1336-D1336,2)=0,1,0)</f>
        <v/>
      </c>
      <c r="J1336">
        <f>IF(F1336="","none",IF(G1336=1,"carte","multiple"))</f>
        <v/>
      </c>
    </row>
    <row r="1337">
      <c r="A1337" t="inlineStr">
        <is>
          <t>2022-05-28</t>
        </is>
      </c>
      <c r="B1337" t="inlineStr">
        <is>
          <t>10:28</t>
        </is>
      </c>
      <c r="C1337" t="n">
        <v>2970</v>
      </c>
      <c r="D1337" s="6" t="n">
        <v>24</v>
      </c>
      <c r="E1337" t="n">
        <v>38124</v>
      </c>
      <c r="F1337" s="6" t="n">
        <v>24</v>
      </c>
      <c r="G1337" t="n">
        <v>1</v>
      </c>
      <c r="H1337" s="6">
        <f>ROUND(G1337*F1337,2)</f>
        <v/>
      </c>
      <c r="I1337">
        <f>IF(ROUND(H1337-D1337,2)=0,1,0)</f>
        <v/>
      </c>
      <c r="J1337">
        <f>IF(F1337="","none",IF(G1337=1,"carte","multiple"))</f>
        <v/>
      </c>
    </row>
    <row r="1338">
      <c r="A1338" t="inlineStr">
        <is>
          <t>2022-05-28</t>
        </is>
      </c>
      <c r="B1338" t="inlineStr">
        <is>
          <t>10:43</t>
        </is>
      </c>
      <c r="C1338" t="n">
        <v>2970</v>
      </c>
      <c r="D1338" s="6" t="n">
        <v>3.9</v>
      </c>
      <c r="E1338" t="n">
        <v>38125</v>
      </c>
      <c r="F1338" s="6" t="n">
        <v>3.9</v>
      </c>
      <c r="G1338" t="n">
        <v>1</v>
      </c>
      <c r="H1338" s="6">
        <f>ROUND(G1338*F1338,2)</f>
        <v/>
      </c>
      <c r="I1338">
        <f>IF(ROUND(H1338-D1338,2)=0,1,0)</f>
        <v/>
      </c>
      <c r="J1338">
        <f>IF(F1338="","none",IF(G1338=1,"carte","multiple"))</f>
        <v/>
      </c>
    </row>
    <row r="1339">
      <c r="A1339" t="inlineStr">
        <is>
          <t>2022-05-28</t>
        </is>
      </c>
      <c r="B1339" t="inlineStr">
        <is>
          <t>10:57</t>
        </is>
      </c>
      <c r="C1339" t="n">
        <v>2970</v>
      </c>
      <c r="D1339" s="6" t="n">
        <v>26</v>
      </c>
      <c r="E1339" t="n">
        <v>38126</v>
      </c>
      <c r="F1339" s="6" t="n">
        <v>26</v>
      </c>
      <c r="G1339" t="n">
        <v>1</v>
      </c>
      <c r="H1339" s="6">
        <f>ROUND(G1339*F1339,2)</f>
        <v/>
      </c>
      <c r="I1339">
        <f>IF(ROUND(H1339-D1339,2)=0,1,0)</f>
        <v/>
      </c>
      <c r="J1339">
        <f>IF(F1339="","none",IF(G1339=1,"carte","multiple"))</f>
        <v/>
      </c>
    </row>
    <row r="1340">
      <c r="A1340" t="inlineStr">
        <is>
          <t>2022-05-28</t>
        </is>
      </c>
      <c r="B1340" t="inlineStr">
        <is>
          <t>11:24</t>
        </is>
      </c>
      <c r="C1340" t="n">
        <v>2970</v>
      </c>
      <c r="D1340" s="6" t="n">
        <v>4.4</v>
      </c>
      <c r="E1340" t="n">
        <v>38127</v>
      </c>
      <c r="F1340" s="6" t="n">
        <v>0.4</v>
      </c>
      <c r="G1340" t="n">
        <v>11</v>
      </c>
      <c r="H1340" s="6">
        <f>ROUND(G1340*F1340,2)</f>
        <v/>
      </c>
      <c r="I1340">
        <f>IF(ROUND(H1340-D1340,2)=0,1,0)</f>
        <v/>
      </c>
      <c r="J1340">
        <f>IF(F1340="","none",IF(G1340=1,"carte","multiple"))</f>
        <v/>
      </c>
    </row>
    <row r="1341">
      <c r="A1341" t="inlineStr">
        <is>
          <t>2022-05-28</t>
        </is>
      </c>
      <c r="B1341" t="inlineStr">
        <is>
          <t>11:24</t>
        </is>
      </c>
      <c r="C1341" t="n">
        <v>2970</v>
      </c>
      <c r="D1341" s="6" t="n">
        <v>17.6</v>
      </c>
      <c r="E1341" t="n">
        <v>38128</v>
      </c>
      <c r="F1341" s="6" t="n">
        <v>17.6</v>
      </c>
      <c r="G1341" t="n">
        <v>1</v>
      </c>
      <c r="H1341" s="6">
        <f>ROUND(G1341*F1341,2)</f>
        <v/>
      </c>
      <c r="I1341">
        <f>IF(ROUND(H1341-D1341,2)=0,1,0)</f>
        <v/>
      </c>
      <c r="J1341">
        <f>IF(F1341="","none",IF(G1341=1,"carte","multiple"))</f>
        <v/>
      </c>
    </row>
    <row r="1342">
      <c r="A1342" t="inlineStr">
        <is>
          <t>2022-05-28</t>
        </is>
      </c>
      <c r="B1342" t="inlineStr">
        <is>
          <t>11:24</t>
        </is>
      </c>
      <c r="C1342" t="n">
        <v>2970</v>
      </c>
      <c r="D1342" s="6" t="n">
        <v>17.6</v>
      </c>
      <c r="E1342" t="n">
        <v>38129</v>
      </c>
      <c r="F1342" s="6" t="n">
        <v>17.6</v>
      </c>
      <c r="G1342" t="n">
        <v>1</v>
      </c>
      <c r="H1342" s="6">
        <f>ROUND(G1342*F1342,2)</f>
        <v/>
      </c>
      <c r="I1342">
        <f>IF(ROUND(H1342-D1342,2)=0,1,0)</f>
        <v/>
      </c>
      <c r="J1342">
        <f>IF(F1342="","none",IF(G1342=1,"carte","multiple"))</f>
        <v/>
      </c>
    </row>
    <row r="1343">
      <c r="A1343" t="inlineStr">
        <is>
          <t>2022-05-28</t>
        </is>
      </c>
      <c r="B1343" t="inlineStr">
        <is>
          <t>11:24</t>
        </is>
      </c>
      <c r="C1343" t="n">
        <v>2970</v>
      </c>
      <c r="D1343" s="6" t="n">
        <v>9.800000000000001</v>
      </c>
      <c r="E1343" t="n">
        <v>38130</v>
      </c>
      <c r="F1343" s="6" t="n">
        <v>9.800000000000001</v>
      </c>
      <c r="G1343" t="n">
        <v>1</v>
      </c>
      <c r="H1343" s="6">
        <f>ROUND(G1343*F1343,2)</f>
        <v/>
      </c>
      <c r="I1343">
        <f>IF(ROUND(H1343-D1343,2)=0,1,0)</f>
        <v/>
      </c>
      <c r="J1343">
        <f>IF(F1343="","none",IF(G1343=1,"carte","multiple"))</f>
        <v/>
      </c>
    </row>
    <row r="1344">
      <c r="A1344" t="inlineStr">
        <is>
          <t>2022-05-28</t>
        </is>
      </c>
      <c r="B1344" t="inlineStr">
        <is>
          <t>11:48</t>
        </is>
      </c>
      <c r="C1344" t="n">
        <v>2970</v>
      </c>
      <c r="D1344" s="6" t="n">
        <v>7.5</v>
      </c>
      <c r="E1344" t="n">
        <v>38131</v>
      </c>
      <c r="F1344" s="6" t="n">
        <v>7.5</v>
      </c>
      <c r="G1344" t="n">
        <v>1</v>
      </c>
      <c r="H1344" s="6">
        <f>ROUND(G1344*F1344,2)</f>
        <v/>
      </c>
      <c r="I1344">
        <f>IF(ROUND(H1344-D1344,2)=0,1,0)</f>
        <v/>
      </c>
      <c r="J1344">
        <f>IF(F1344="","none",IF(G1344=1,"carte","multiple"))</f>
        <v/>
      </c>
    </row>
    <row r="1345">
      <c r="A1345" t="inlineStr">
        <is>
          <t>2022-05-28</t>
        </is>
      </c>
      <c r="B1345" t="inlineStr">
        <is>
          <t>11:48</t>
        </is>
      </c>
      <c r="C1345" t="n">
        <v>2970</v>
      </c>
      <c r="D1345" s="6" t="n">
        <v>7.8</v>
      </c>
      <c r="E1345" t="n">
        <v>38132</v>
      </c>
      <c r="F1345" s="6" t="n">
        <v>7.8</v>
      </c>
      <c r="G1345" t="n">
        <v>1</v>
      </c>
      <c r="H1345" s="6">
        <f>ROUND(G1345*F1345,2)</f>
        <v/>
      </c>
      <c r="I1345">
        <f>IF(ROUND(H1345-D1345,2)=0,1,0)</f>
        <v/>
      </c>
      <c r="J1345">
        <f>IF(F1345="","none",IF(G1345=1,"carte","multiple"))</f>
        <v/>
      </c>
    </row>
    <row r="1346">
      <c r="A1346" t="inlineStr">
        <is>
          <t>2022-05-28</t>
        </is>
      </c>
      <c r="B1346" t="inlineStr">
        <is>
          <t>11:48</t>
        </is>
      </c>
      <c r="C1346" t="n">
        <v>2970</v>
      </c>
      <c r="D1346" s="6" t="n">
        <v>4.4</v>
      </c>
      <c r="E1346" t="n">
        <v>38133</v>
      </c>
      <c r="F1346" s="6" t="n">
        <v>0.4</v>
      </c>
      <c r="G1346" t="n">
        <v>11</v>
      </c>
      <c r="H1346" s="6">
        <f>ROUND(G1346*F1346,2)</f>
        <v/>
      </c>
      <c r="I1346">
        <f>IF(ROUND(H1346-D1346,2)=0,1,0)</f>
        <v/>
      </c>
      <c r="J1346">
        <f>IF(F1346="","none",IF(G1346=1,"carte","multiple"))</f>
        <v/>
      </c>
    </row>
    <row r="1347">
      <c r="A1347" t="inlineStr">
        <is>
          <t>2022-05-28</t>
        </is>
      </c>
      <c r="B1347" t="inlineStr">
        <is>
          <t>11:48</t>
        </is>
      </c>
      <c r="C1347" t="n">
        <v>2970</v>
      </c>
      <c r="D1347" s="6" t="n">
        <v>39.8</v>
      </c>
      <c r="E1347" t="n">
        <v>38134</v>
      </c>
      <c r="F1347" s="6" t="n">
        <v>39.8</v>
      </c>
      <c r="G1347" t="n">
        <v>1</v>
      </c>
      <c r="H1347" s="6">
        <f>ROUND(G1347*F1347,2)</f>
        <v/>
      </c>
      <c r="I1347">
        <f>IF(ROUND(H1347-D1347,2)=0,1,0)</f>
        <v/>
      </c>
      <c r="J1347">
        <f>IF(F1347="","none",IF(G1347=1,"carte","multiple"))</f>
        <v/>
      </c>
    </row>
    <row r="1348">
      <c r="A1348" t="inlineStr">
        <is>
          <t>2022-05-28</t>
        </is>
      </c>
      <c r="B1348" t="inlineStr">
        <is>
          <t>11:48</t>
        </is>
      </c>
      <c r="C1348" t="n">
        <v>2970</v>
      </c>
      <c r="D1348" s="6" t="n">
        <v>17.6</v>
      </c>
      <c r="E1348" t="n">
        <v>38135</v>
      </c>
      <c r="F1348" s="6" t="n">
        <v>17.6</v>
      </c>
      <c r="G1348" t="n">
        <v>1</v>
      </c>
      <c r="H1348" s="6">
        <f>ROUND(G1348*F1348,2)</f>
        <v/>
      </c>
      <c r="I1348">
        <f>IF(ROUND(H1348-D1348,2)=0,1,0)</f>
        <v/>
      </c>
      <c r="J1348">
        <f>IF(F1348="","none",IF(G1348=1,"carte","multiple"))</f>
        <v/>
      </c>
    </row>
    <row r="1349">
      <c r="A1349" t="inlineStr">
        <is>
          <t>2022-05-28</t>
        </is>
      </c>
      <c r="B1349" t="inlineStr">
        <is>
          <t>11:48</t>
        </is>
      </c>
      <c r="C1349" t="n">
        <v>2970</v>
      </c>
      <c r="D1349" s="6" t="n">
        <v>10.9</v>
      </c>
      <c r="E1349" t="n">
        <v>38136</v>
      </c>
      <c r="F1349" s="6" t="n">
        <v>10.9</v>
      </c>
      <c r="G1349" t="n">
        <v>1</v>
      </c>
      <c r="H1349" s="6">
        <f>ROUND(G1349*F1349,2)</f>
        <v/>
      </c>
      <c r="I1349">
        <f>IF(ROUND(H1349-D1349,2)=0,1,0)</f>
        <v/>
      </c>
      <c r="J1349">
        <f>IF(F1349="","none",IF(G1349=1,"carte","multiple"))</f>
        <v/>
      </c>
    </row>
    <row r="1350">
      <c r="A1350" t="inlineStr">
        <is>
          <t>2022-05-28</t>
        </is>
      </c>
      <c r="B1350" t="inlineStr">
        <is>
          <t>11:48</t>
        </is>
      </c>
      <c r="C1350" t="n">
        <v>2970</v>
      </c>
      <c r="D1350" s="6" t="n">
        <v>8.9</v>
      </c>
      <c r="E1350" t="n">
        <v>38137</v>
      </c>
      <c r="F1350" s="6" t="n">
        <v>8.9</v>
      </c>
      <c r="G1350" t="n">
        <v>1</v>
      </c>
      <c r="H1350" s="6">
        <f>ROUND(G1350*F1350,2)</f>
        <v/>
      </c>
      <c r="I1350">
        <f>IF(ROUND(H1350-D1350,2)=0,1,0)</f>
        <v/>
      </c>
      <c r="J1350">
        <f>IF(F1350="","none",IF(G1350=1,"carte","multiple"))</f>
        <v/>
      </c>
    </row>
    <row r="1351">
      <c r="A1351" t="inlineStr">
        <is>
          <t>2022-05-28</t>
        </is>
      </c>
      <c r="B1351" t="inlineStr">
        <is>
          <t>11:48</t>
        </is>
      </c>
      <c r="C1351" t="n">
        <v>2970</v>
      </c>
      <c r="D1351" s="6" t="n">
        <v>9.800000000000001</v>
      </c>
      <c r="E1351" t="n">
        <v>38138</v>
      </c>
      <c r="F1351" s="6" t="n">
        <v>9.800000000000001</v>
      </c>
      <c r="G1351" t="n">
        <v>1</v>
      </c>
      <c r="H1351" s="6">
        <f>ROUND(G1351*F1351,2)</f>
        <v/>
      </c>
      <c r="I1351">
        <f>IF(ROUND(H1351-D1351,2)=0,1,0)</f>
        <v/>
      </c>
      <c r="J1351">
        <f>IF(F1351="","none",IF(G1351=1,"carte","multiple"))</f>
        <v/>
      </c>
    </row>
    <row r="1352">
      <c r="A1352" t="inlineStr">
        <is>
          <t>2022-05-28</t>
        </is>
      </c>
      <c r="B1352" t="inlineStr">
        <is>
          <t>11:50</t>
        </is>
      </c>
      <c r="C1352" t="n">
        <v>2970</v>
      </c>
      <c r="D1352" s="6" t="n">
        <v>4.4</v>
      </c>
      <c r="E1352" t="n">
        <v>38139</v>
      </c>
      <c r="F1352" s="6" t="n">
        <v>0.4</v>
      </c>
      <c r="G1352" t="n">
        <v>11</v>
      </c>
      <c r="H1352" s="6">
        <f>ROUND(G1352*F1352,2)</f>
        <v/>
      </c>
      <c r="I1352">
        <f>IF(ROUND(H1352-D1352,2)=0,1,0)</f>
        <v/>
      </c>
      <c r="J1352">
        <f>IF(F1352="","none",IF(G1352=1,"carte","multiple"))</f>
        <v/>
      </c>
    </row>
    <row r="1353">
      <c r="A1353" t="inlineStr">
        <is>
          <t>2022-05-28</t>
        </is>
      </c>
      <c r="B1353" t="inlineStr">
        <is>
          <t>11:50</t>
        </is>
      </c>
      <c r="C1353" t="n">
        <v>2970</v>
      </c>
      <c r="D1353" s="6" t="n">
        <v>35.2</v>
      </c>
      <c r="E1353" t="n">
        <v>38140</v>
      </c>
      <c r="F1353" s="6" t="n">
        <v>0.4</v>
      </c>
      <c r="G1353" t="n">
        <v>88</v>
      </c>
      <c r="H1353" s="6">
        <f>ROUND(G1353*F1353,2)</f>
        <v/>
      </c>
      <c r="I1353">
        <f>IF(ROUND(H1353-D1353,2)=0,1,0)</f>
        <v/>
      </c>
      <c r="J1353">
        <f>IF(F1353="","none",IF(G1353=1,"carte","multiple"))</f>
        <v/>
      </c>
    </row>
    <row r="1354">
      <c r="A1354" t="inlineStr">
        <is>
          <t>2022-05-28</t>
        </is>
      </c>
      <c r="B1354" t="inlineStr">
        <is>
          <t>11:50</t>
        </is>
      </c>
      <c r="C1354" t="n">
        <v>2970</v>
      </c>
      <c r="D1354" s="6" t="n">
        <v>9.800000000000001</v>
      </c>
      <c r="E1354" t="n">
        <v>38141</v>
      </c>
      <c r="F1354" s="6" t="n">
        <v>9.800000000000001</v>
      </c>
      <c r="G1354" t="n">
        <v>1</v>
      </c>
      <c r="H1354" s="6">
        <f>ROUND(G1354*F1354,2)</f>
        <v/>
      </c>
      <c r="I1354">
        <f>IF(ROUND(H1354-D1354,2)=0,1,0)</f>
        <v/>
      </c>
      <c r="J1354">
        <f>IF(F1354="","none",IF(G1354=1,"carte","multiple"))</f>
        <v/>
      </c>
    </row>
    <row r="1355">
      <c r="A1355" t="inlineStr">
        <is>
          <t>2022-05-28</t>
        </is>
      </c>
      <c r="B1355" t="inlineStr">
        <is>
          <t>11:50</t>
        </is>
      </c>
      <c r="C1355" t="n">
        <v>2970</v>
      </c>
      <c r="D1355" s="6" t="n">
        <v>4.9</v>
      </c>
      <c r="E1355" t="n">
        <v>38142</v>
      </c>
      <c r="F1355" s="6" t="n">
        <v>4.9</v>
      </c>
      <c r="G1355" t="n">
        <v>1</v>
      </c>
      <c r="H1355" s="6">
        <f>ROUND(G1355*F1355,2)</f>
        <v/>
      </c>
      <c r="I1355">
        <f>IF(ROUND(H1355-D1355,2)=0,1,0)</f>
        <v/>
      </c>
      <c r="J1355">
        <f>IF(F1355="","none",IF(G1355=1,"carte","multiple"))</f>
        <v/>
      </c>
    </row>
    <row r="1356">
      <c r="A1356" t="inlineStr">
        <is>
          <t>2022-05-28</t>
        </is>
      </c>
      <c r="B1356" t="inlineStr">
        <is>
          <t>11:50</t>
        </is>
      </c>
      <c r="C1356" t="n">
        <v>2970</v>
      </c>
      <c r="D1356" s="6" t="n">
        <v>3.8</v>
      </c>
      <c r="E1356" t="n">
        <v>38143</v>
      </c>
      <c r="F1356" s="6" t="n">
        <v>3.8</v>
      </c>
      <c r="G1356" t="n">
        <v>1</v>
      </c>
      <c r="H1356" s="6">
        <f>ROUND(G1356*F1356,2)</f>
        <v/>
      </c>
      <c r="I1356">
        <f>IF(ROUND(H1356-D1356,2)=0,1,0)</f>
        <v/>
      </c>
      <c r="J1356">
        <f>IF(F1356="","none",IF(G1356=1,"carte","multiple"))</f>
        <v/>
      </c>
    </row>
    <row r="1357">
      <c r="A1357" t="inlineStr">
        <is>
          <t>2022-05-28</t>
        </is>
      </c>
      <c r="B1357" t="inlineStr">
        <is>
          <t>12:07</t>
        </is>
      </c>
      <c r="C1357" t="n">
        <v>2970</v>
      </c>
      <c r="D1357" s="6" t="n">
        <v>29</v>
      </c>
      <c r="E1357" t="n">
        <v>38144</v>
      </c>
      <c r="F1357" s="6" t="n">
        <v>29</v>
      </c>
      <c r="G1357" t="n">
        <v>1</v>
      </c>
      <c r="H1357" s="6">
        <f>ROUND(G1357*F1357,2)</f>
        <v/>
      </c>
      <c r="I1357">
        <f>IF(ROUND(H1357-D1357,2)=0,1,0)</f>
        <v/>
      </c>
      <c r="J1357">
        <f>IF(F1357="","none",IF(G1357=1,"carte","multiple"))</f>
        <v/>
      </c>
    </row>
    <row r="1358">
      <c r="A1358" t="inlineStr">
        <is>
          <t>2022-05-28</t>
        </is>
      </c>
      <c r="B1358" t="inlineStr">
        <is>
          <t>12:17</t>
        </is>
      </c>
      <c r="C1358" t="n">
        <v>2970</v>
      </c>
      <c r="D1358" s="6" t="n">
        <v>17.6</v>
      </c>
      <c r="E1358" t="n">
        <v>38145</v>
      </c>
      <c r="F1358" s="6" t="n">
        <v>17.6</v>
      </c>
      <c r="G1358" t="n">
        <v>1</v>
      </c>
      <c r="H1358" s="6">
        <f>ROUND(G1358*F1358,2)</f>
        <v/>
      </c>
      <c r="I1358">
        <f>IF(ROUND(H1358-D1358,2)=0,1,0)</f>
        <v/>
      </c>
      <c r="J1358">
        <f>IF(F1358="","none",IF(G1358=1,"carte","multiple"))</f>
        <v/>
      </c>
    </row>
    <row r="1359">
      <c r="A1359" t="inlineStr">
        <is>
          <t>2022-05-28</t>
        </is>
      </c>
      <c r="B1359" t="inlineStr">
        <is>
          <t>12:56</t>
        </is>
      </c>
      <c r="C1359" t="n">
        <v>2970</v>
      </c>
      <c r="D1359" s="6" t="n">
        <v>4</v>
      </c>
      <c r="E1359" t="n">
        <v>38146</v>
      </c>
      <c r="F1359" s="6" t="n">
        <v>4</v>
      </c>
      <c r="G1359" t="n">
        <v>1</v>
      </c>
      <c r="H1359" s="6">
        <f>ROUND(G1359*F1359,2)</f>
        <v/>
      </c>
      <c r="I1359">
        <f>IF(ROUND(H1359-D1359,2)=0,1,0)</f>
        <v/>
      </c>
      <c r="J1359">
        <f>IF(F1359="","none",IF(G1359=1,"carte","multiple"))</f>
        <v/>
      </c>
    </row>
    <row r="1360">
      <c r="A1360" t="inlineStr">
        <is>
          <t>2022-05-28</t>
        </is>
      </c>
      <c r="B1360" t="inlineStr">
        <is>
          <t>13:15</t>
        </is>
      </c>
      <c r="C1360" t="n">
        <v>2970</v>
      </c>
      <c r="D1360" s="6" t="n">
        <v>13</v>
      </c>
      <c r="E1360" t="n">
        <v>38147</v>
      </c>
      <c r="F1360" s="6" t="n">
        <v>13</v>
      </c>
      <c r="G1360" t="n">
        <v>1</v>
      </c>
      <c r="H1360" s="6">
        <f>ROUND(G1360*F1360,2)</f>
        <v/>
      </c>
      <c r="I1360">
        <f>IF(ROUND(H1360-D1360,2)=0,1,0)</f>
        <v/>
      </c>
      <c r="J1360">
        <f>IF(F1360="","none",IF(G1360=1,"carte","multiple"))</f>
        <v/>
      </c>
    </row>
    <row r="1361">
      <c r="A1361" t="inlineStr">
        <is>
          <t>2022-05-28</t>
        </is>
      </c>
      <c r="B1361" t="inlineStr">
        <is>
          <t>20:01</t>
        </is>
      </c>
      <c r="C1361" t="n">
        <v>2970</v>
      </c>
      <c r="D1361" s="6" t="n">
        <v>2</v>
      </c>
      <c r="E1361" t="n">
        <v>38149</v>
      </c>
      <c r="F1361" s="6" t="n">
        <v>2</v>
      </c>
      <c r="G1361" t="n">
        <v>1</v>
      </c>
      <c r="H1361" s="6">
        <f>ROUND(G1361*F1361,2)</f>
        <v/>
      </c>
      <c r="I1361">
        <f>IF(ROUND(H1361-D1361,2)=0,1,0)</f>
        <v/>
      </c>
      <c r="J1361">
        <f>IF(F1361="","none",IF(G1361=1,"carte","multiple"))</f>
        <v/>
      </c>
    </row>
    <row r="1362">
      <c r="A1362" t="inlineStr">
        <is>
          <t>2022-05-28</t>
        </is>
      </c>
      <c r="B1362" t="inlineStr">
        <is>
          <t>20:02</t>
        </is>
      </c>
      <c r="C1362" t="n">
        <v>2970</v>
      </c>
      <c r="D1362" s="6" t="n">
        <v>6.9</v>
      </c>
      <c r="E1362" t="n">
        <v>38150</v>
      </c>
      <c r="F1362" s="6" t="n">
        <v>6.9</v>
      </c>
      <c r="G1362" t="n">
        <v>1</v>
      </c>
      <c r="H1362" s="6">
        <f>ROUND(G1362*F1362,2)</f>
        <v/>
      </c>
      <c r="I1362">
        <f>IF(ROUND(H1362-D1362,2)=0,1,0)</f>
        <v/>
      </c>
      <c r="J1362">
        <f>IF(F1362="","none",IF(G1362=1,"carte","multiple"))</f>
        <v/>
      </c>
    </row>
    <row r="1363">
      <c r="A1363" t="inlineStr">
        <is>
          <t>2022-05-28</t>
        </is>
      </c>
      <c r="B1363" t="inlineStr">
        <is>
          <t>20:29</t>
        </is>
      </c>
      <c r="C1363" t="n">
        <v>2970</v>
      </c>
      <c r="D1363" s="6" t="n">
        <v>39.8</v>
      </c>
      <c r="E1363" t="n">
        <v>38151</v>
      </c>
      <c r="F1363" s="6" t="n">
        <v>39.8</v>
      </c>
      <c r="G1363" t="n">
        <v>1</v>
      </c>
      <c r="H1363" s="6">
        <f>ROUND(G1363*F1363,2)</f>
        <v/>
      </c>
      <c r="I1363">
        <f>IF(ROUND(H1363-D1363,2)=0,1,0)</f>
        <v/>
      </c>
      <c r="J1363">
        <f>IF(F1363="","none",IF(G1363=1,"carte","multiple"))</f>
        <v/>
      </c>
    </row>
    <row r="1364">
      <c r="A1364" t="inlineStr">
        <is>
          <t>2022-05-28</t>
        </is>
      </c>
      <c r="B1364" t="inlineStr">
        <is>
          <t>20:29</t>
        </is>
      </c>
      <c r="C1364" t="n">
        <v>2970</v>
      </c>
      <c r="D1364" s="6" t="n">
        <v>33.8</v>
      </c>
      <c r="E1364" t="n">
        <v>38152</v>
      </c>
      <c r="F1364" s="6" t="n">
        <v>16.9</v>
      </c>
      <c r="G1364" t="n">
        <v>2</v>
      </c>
      <c r="H1364" s="6">
        <f>ROUND(G1364*F1364,2)</f>
        <v/>
      </c>
      <c r="I1364">
        <f>IF(ROUND(H1364-D1364,2)=0,1,0)</f>
        <v/>
      </c>
      <c r="J1364">
        <f>IF(F1364="","none",IF(G1364=1,"carte","multiple"))</f>
        <v/>
      </c>
    </row>
    <row r="1365">
      <c r="A1365" t="inlineStr">
        <is>
          <t>2022-05-28</t>
        </is>
      </c>
      <c r="B1365" t="inlineStr">
        <is>
          <t>20:29</t>
        </is>
      </c>
      <c r="C1365" t="n">
        <v>2970</v>
      </c>
      <c r="D1365" s="6" t="n">
        <v>6.4</v>
      </c>
      <c r="E1365" t="n">
        <v>38153</v>
      </c>
      <c r="F1365" s="6" t="n">
        <v>6.4</v>
      </c>
      <c r="G1365" t="n">
        <v>1</v>
      </c>
      <c r="H1365" s="6">
        <f>ROUND(G1365*F1365,2)</f>
        <v/>
      </c>
      <c r="I1365">
        <f>IF(ROUND(H1365-D1365,2)=0,1,0)</f>
        <v/>
      </c>
      <c r="J1365">
        <f>IF(F1365="","none",IF(G1365=1,"carte","multiple"))</f>
        <v/>
      </c>
    </row>
    <row r="1366">
      <c r="A1366" t="inlineStr">
        <is>
          <t>2022-05-28</t>
        </is>
      </c>
      <c r="B1366" t="inlineStr">
        <is>
          <t>20:29</t>
        </is>
      </c>
      <c r="C1366" t="n">
        <v>2970</v>
      </c>
      <c r="D1366" s="6" t="n">
        <v>7.9</v>
      </c>
      <c r="E1366" t="n">
        <v>38154</v>
      </c>
      <c r="F1366" s="6" t="n">
        <v>7.9</v>
      </c>
      <c r="G1366" t="n">
        <v>1</v>
      </c>
      <c r="H1366" s="6">
        <f>ROUND(G1366*F1366,2)</f>
        <v/>
      </c>
      <c r="I1366">
        <f>IF(ROUND(H1366-D1366,2)=0,1,0)</f>
        <v/>
      </c>
      <c r="J1366">
        <f>IF(F1366="","none",IF(G1366=1,"carte","multiple"))</f>
        <v/>
      </c>
    </row>
    <row r="1367">
      <c r="A1367" t="inlineStr">
        <is>
          <t>2022-05-28</t>
        </is>
      </c>
      <c r="B1367" t="inlineStr">
        <is>
          <t>20:29</t>
        </is>
      </c>
      <c r="C1367" t="n">
        <v>2970</v>
      </c>
      <c r="D1367" s="6" t="n">
        <v>19.8</v>
      </c>
      <c r="E1367" t="n">
        <v>38155</v>
      </c>
      <c r="F1367" s="6" t="n">
        <v>19.8</v>
      </c>
      <c r="G1367" t="n">
        <v>1</v>
      </c>
      <c r="H1367" s="6">
        <f>ROUND(G1367*F1367,2)</f>
        <v/>
      </c>
      <c r="I1367">
        <f>IF(ROUND(H1367-D1367,2)=0,1,0)</f>
        <v/>
      </c>
      <c r="J1367">
        <f>IF(F1367="","none",IF(G1367=1,"carte","multiple"))</f>
        <v/>
      </c>
    </row>
    <row r="1368">
      <c r="A1368" t="inlineStr">
        <is>
          <t>2022-05-28</t>
        </is>
      </c>
      <c r="B1368" t="inlineStr">
        <is>
          <t>20:29</t>
        </is>
      </c>
      <c r="C1368" t="n">
        <v>2970</v>
      </c>
      <c r="D1368" s="6" t="n">
        <v>15.2</v>
      </c>
      <c r="E1368" t="n">
        <v>38156</v>
      </c>
      <c r="F1368" s="6" t="n">
        <v>15.2</v>
      </c>
      <c r="G1368" t="n">
        <v>1</v>
      </c>
      <c r="H1368" s="6">
        <f>ROUND(G1368*F1368,2)</f>
        <v/>
      </c>
      <c r="I1368">
        <f>IF(ROUND(H1368-D1368,2)=0,1,0)</f>
        <v/>
      </c>
      <c r="J1368">
        <f>IF(F1368="","none",IF(G1368=1,"carte","multiple"))</f>
        <v/>
      </c>
    </row>
    <row r="1369">
      <c r="A1369" t="inlineStr">
        <is>
          <t>2022-05-28</t>
        </is>
      </c>
      <c r="B1369" t="inlineStr">
        <is>
          <t>20:29</t>
        </is>
      </c>
      <c r="C1369" t="n">
        <v>2970</v>
      </c>
      <c r="D1369" s="6" t="n">
        <v>46</v>
      </c>
      <c r="E1369" t="n">
        <v>38157</v>
      </c>
      <c r="F1369" s="6" t="n">
        <v>0.4</v>
      </c>
      <c r="G1369" t="n">
        <v>115</v>
      </c>
      <c r="H1369" s="6">
        <f>ROUND(G1369*F1369,2)</f>
        <v/>
      </c>
      <c r="I1369">
        <f>IF(ROUND(H1369-D1369,2)=0,1,0)</f>
        <v/>
      </c>
      <c r="J1369">
        <f>IF(F1369="","none",IF(G1369=1,"carte","multiple"))</f>
        <v/>
      </c>
    </row>
    <row r="1370">
      <c r="A1370" t="inlineStr">
        <is>
          <t>2022-05-29</t>
        </is>
      </c>
      <c r="B1370" t="inlineStr">
        <is>
          <t>11:10</t>
        </is>
      </c>
      <c r="C1370" t="n">
        <v>2971</v>
      </c>
      <c r="D1370" s="6" t="n">
        <v>3.9</v>
      </c>
      <c r="E1370" t="n">
        <v>38160</v>
      </c>
      <c r="F1370" s="6" t="n">
        <v>3.9</v>
      </c>
      <c r="G1370" t="n">
        <v>1</v>
      </c>
      <c r="H1370" s="6">
        <f>ROUND(G1370*F1370,2)</f>
        <v/>
      </c>
      <c r="I1370">
        <f>IF(ROUND(H1370-D1370,2)=0,1,0)</f>
        <v/>
      </c>
      <c r="J1370">
        <f>IF(F1370="","none",IF(G1370=1,"carte","multiple"))</f>
        <v/>
      </c>
    </row>
    <row r="1371">
      <c r="A1371" t="inlineStr">
        <is>
          <t>2022-05-29</t>
        </is>
      </c>
      <c r="B1371" t="inlineStr">
        <is>
          <t>11:13</t>
        </is>
      </c>
      <c r="C1371" t="n">
        <v>2971</v>
      </c>
      <c r="D1371" s="6" t="n">
        <v>8.1</v>
      </c>
      <c r="E1371" t="n">
        <v>38161</v>
      </c>
      <c r="F1371" s="6" t="n">
        <v>8.1</v>
      </c>
      <c r="G1371" t="n">
        <v>1</v>
      </c>
      <c r="H1371" s="6">
        <f>ROUND(G1371*F1371,2)</f>
        <v/>
      </c>
      <c r="I1371">
        <f>IF(ROUND(H1371-D1371,2)=0,1,0)</f>
        <v/>
      </c>
      <c r="J1371">
        <f>IF(F1371="","none",IF(G1371=1,"carte","multiple"))</f>
        <v/>
      </c>
    </row>
    <row r="1372">
      <c r="A1372" t="inlineStr">
        <is>
          <t>2022-05-29</t>
        </is>
      </c>
      <c r="B1372" t="inlineStr">
        <is>
          <t>12:33</t>
        </is>
      </c>
      <c r="C1372" t="n">
        <v>2971</v>
      </c>
      <c r="D1372" s="6" t="n">
        <v>3.9</v>
      </c>
      <c r="E1372" t="n">
        <v>38162</v>
      </c>
      <c r="F1372" s="6" t="n">
        <v>3.9</v>
      </c>
      <c r="G1372" t="n">
        <v>1</v>
      </c>
      <c r="H1372" s="6">
        <f>ROUND(G1372*F1372,2)</f>
        <v/>
      </c>
      <c r="I1372">
        <f>IF(ROUND(H1372-D1372,2)=0,1,0)</f>
        <v/>
      </c>
      <c r="J1372">
        <f>IF(F1372="","none",IF(G1372=1,"carte","multiple"))</f>
        <v/>
      </c>
    </row>
    <row r="1373">
      <c r="A1373" t="inlineStr">
        <is>
          <t>2022-05-29</t>
        </is>
      </c>
      <c r="B1373" t="inlineStr">
        <is>
          <t>12:33</t>
        </is>
      </c>
      <c r="C1373" t="n">
        <v>2971</v>
      </c>
      <c r="D1373" s="6" t="n">
        <v>2.2</v>
      </c>
      <c r="E1373" t="n">
        <v>38163</v>
      </c>
      <c r="F1373" s="6" t="n">
        <v>2.2</v>
      </c>
      <c r="G1373" t="n">
        <v>1</v>
      </c>
      <c r="H1373" s="6">
        <f>ROUND(G1373*F1373,2)</f>
        <v/>
      </c>
      <c r="I1373">
        <f>IF(ROUND(H1373-D1373,2)=0,1,0)</f>
        <v/>
      </c>
      <c r="J1373">
        <f>IF(F1373="","none",IF(G1373=1,"carte","multiple"))</f>
        <v/>
      </c>
    </row>
    <row r="1374">
      <c r="A1374" t="inlineStr">
        <is>
          <t>2022-05-29</t>
        </is>
      </c>
      <c r="B1374" t="inlineStr">
        <is>
          <t>12:33</t>
        </is>
      </c>
      <c r="C1374" t="n">
        <v>2971</v>
      </c>
      <c r="D1374" s="6" t="n">
        <v>27.8</v>
      </c>
      <c r="E1374" t="n">
        <v>38164</v>
      </c>
      <c r="F1374" s="6" t="n">
        <v>27.8</v>
      </c>
      <c r="G1374" t="n">
        <v>1</v>
      </c>
      <c r="H1374" s="6">
        <f>ROUND(G1374*F1374,2)</f>
        <v/>
      </c>
      <c r="I1374">
        <f>IF(ROUND(H1374-D1374,2)=0,1,0)</f>
        <v/>
      </c>
      <c r="J1374">
        <f>IF(F1374="","none",IF(G1374=1,"carte","multiple"))</f>
        <v/>
      </c>
    </row>
    <row r="1375">
      <c r="A1375" t="inlineStr">
        <is>
          <t>2022-05-29</t>
        </is>
      </c>
      <c r="B1375" t="inlineStr">
        <is>
          <t>12:33</t>
        </is>
      </c>
      <c r="C1375" t="n">
        <v>2971</v>
      </c>
      <c r="D1375" s="6" t="n">
        <v>19.9</v>
      </c>
      <c r="E1375" t="n">
        <v>38165</v>
      </c>
      <c r="F1375" s="6" t="n">
        <v>19.9</v>
      </c>
      <c r="G1375" t="n">
        <v>1</v>
      </c>
      <c r="H1375" s="6">
        <f>ROUND(G1375*F1375,2)</f>
        <v/>
      </c>
      <c r="I1375">
        <f>IF(ROUND(H1375-D1375,2)=0,1,0)</f>
        <v/>
      </c>
      <c r="J1375">
        <f>IF(F1375="","none",IF(G1375=1,"carte","multiple"))</f>
        <v/>
      </c>
    </row>
    <row r="1376">
      <c r="A1376" t="inlineStr">
        <is>
          <t>2022-05-29</t>
        </is>
      </c>
      <c r="B1376" t="inlineStr">
        <is>
          <t>12:33</t>
        </is>
      </c>
      <c r="C1376" t="n">
        <v>2971</v>
      </c>
      <c r="D1376" s="6" t="n">
        <v>5.9</v>
      </c>
      <c r="E1376" t="n">
        <v>38166</v>
      </c>
      <c r="F1376" s="6" t="n">
        <v>5.9</v>
      </c>
      <c r="G1376" t="n">
        <v>1</v>
      </c>
      <c r="H1376" s="6">
        <f>ROUND(G1376*F1376,2)</f>
        <v/>
      </c>
      <c r="I1376">
        <f>IF(ROUND(H1376-D1376,2)=0,1,0)</f>
        <v/>
      </c>
      <c r="J1376">
        <f>IF(F1376="","none",IF(G1376=1,"carte","multiple"))</f>
        <v/>
      </c>
    </row>
    <row r="1377">
      <c r="A1377" t="inlineStr">
        <is>
          <t>2022-05-29</t>
        </is>
      </c>
      <c r="B1377" t="inlineStr">
        <is>
          <t>12:33</t>
        </is>
      </c>
      <c r="C1377" t="n">
        <v>2971</v>
      </c>
      <c r="D1377" s="6" t="n">
        <v>9.6</v>
      </c>
      <c r="E1377" t="n">
        <v>38167</v>
      </c>
      <c r="F1377" s="6" t="n">
        <v>9.6</v>
      </c>
      <c r="G1377" t="n">
        <v>1</v>
      </c>
      <c r="H1377" s="6">
        <f>ROUND(G1377*F1377,2)</f>
        <v/>
      </c>
      <c r="I1377">
        <f>IF(ROUND(H1377-D1377,2)=0,1,0)</f>
        <v/>
      </c>
      <c r="J1377">
        <f>IF(F1377="","none",IF(G1377=1,"carte","multiple"))</f>
        <v/>
      </c>
    </row>
    <row r="1378">
      <c r="A1378" t="inlineStr">
        <is>
          <t>2022-05-29</t>
        </is>
      </c>
      <c r="B1378" t="inlineStr">
        <is>
          <t>12:33</t>
        </is>
      </c>
      <c r="C1378" t="n">
        <v>2971</v>
      </c>
      <c r="D1378" s="6" t="n">
        <v>7.2</v>
      </c>
      <c r="E1378" t="n">
        <v>38168</v>
      </c>
      <c r="F1378" s="6" t="n">
        <v>7.2</v>
      </c>
      <c r="G1378" t="n">
        <v>1</v>
      </c>
      <c r="H1378" s="6">
        <f>ROUND(G1378*F1378,2)</f>
        <v/>
      </c>
      <c r="I1378">
        <f>IF(ROUND(H1378-D1378,2)=0,1,0)</f>
        <v/>
      </c>
      <c r="J1378">
        <f>IF(F1378="","none",IF(G1378=1,"carte","multiple"))</f>
        <v/>
      </c>
    </row>
    <row r="1379">
      <c r="A1379" t="inlineStr">
        <is>
          <t>2022-05-29</t>
        </is>
      </c>
      <c r="B1379" t="inlineStr">
        <is>
          <t>12:33</t>
        </is>
      </c>
      <c r="C1379" t="n">
        <v>2971</v>
      </c>
      <c r="D1379" s="6" t="n">
        <v>4.2</v>
      </c>
      <c r="E1379" t="n">
        <v>38169</v>
      </c>
      <c r="F1379" s="6" t="n">
        <v>4.2</v>
      </c>
      <c r="G1379" t="n">
        <v>1</v>
      </c>
      <c r="H1379" s="6">
        <f>ROUND(G1379*F1379,2)</f>
        <v/>
      </c>
      <c r="I1379">
        <f>IF(ROUND(H1379-D1379,2)=0,1,0)</f>
        <v/>
      </c>
      <c r="J1379">
        <f>IF(F1379="","none",IF(G1379=1,"carte","multiple"))</f>
        <v/>
      </c>
    </row>
    <row r="1380">
      <c r="A1380" t="inlineStr">
        <is>
          <t>2022-05-29</t>
        </is>
      </c>
      <c r="B1380" t="inlineStr">
        <is>
          <t>12:33</t>
        </is>
      </c>
      <c r="C1380" t="n">
        <v>2971</v>
      </c>
      <c r="D1380" s="6" t="n">
        <v>3.9</v>
      </c>
      <c r="E1380" t="n">
        <v>38170</v>
      </c>
      <c r="F1380" s="6" t="n">
        <v>3.9</v>
      </c>
      <c r="G1380" t="n">
        <v>1</v>
      </c>
      <c r="H1380" s="6">
        <f>ROUND(G1380*F1380,2)</f>
        <v/>
      </c>
      <c r="I1380">
        <f>IF(ROUND(H1380-D1380,2)=0,1,0)</f>
        <v/>
      </c>
      <c r="J1380">
        <f>IF(F1380="","none",IF(G1380=1,"carte","multiple"))</f>
        <v/>
      </c>
    </row>
    <row r="1381">
      <c r="A1381" t="inlineStr">
        <is>
          <t>2022-05-29</t>
        </is>
      </c>
      <c r="B1381" t="inlineStr">
        <is>
          <t>12:44</t>
        </is>
      </c>
      <c r="C1381" t="n">
        <v>2971</v>
      </c>
      <c r="D1381" s="6" t="n">
        <v>7.8</v>
      </c>
      <c r="E1381" t="n">
        <v>38171</v>
      </c>
      <c r="F1381" s="6" t="n">
        <v>7.8</v>
      </c>
      <c r="G1381" t="n">
        <v>1</v>
      </c>
      <c r="H1381" s="6">
        <f>ROUND(G1381*F1381,2)</f>
        <v/>
      </c>
      <c r="I1381">
        <f>IF(ROUND(H1381-D1381,2)=0,1,0)</f>
        <v/>
      </c>
      <c r="J1381">
        <f>IF(F1381="","none",IF(G1381=1,"carte","multiple"))</f>
        <v/>
      </c>
    </row>
    <row r="1382">
      <c r="A1382" t="inlineStr">
        <is>
          <t>2022-05-29</t>
        </is>
      </c>
      <c r="B1382" t="inlineStr">
        <is>
          <t>12:50</t>
        </is>
      </c>
      <c r="C1382" t="n">
        <v>2971</v>
      </c>
      <c r="D1382" s="6" t="n">
        <v>7.8</v>
      </c>
      <c r="E1382" t="n">
        <v>38172</v>
      </c>
      <c r="F1382" s="6" t="n">
        <v>7.8</v>
      </c>
      <c r="G1382" t="n">
        <v>1</v>
      </c>
      <c r="H1382" s="6">
        <f>ROUND(G1382*F1382,2)</f>
        <v/>
      </c>
      <c r="I1382">
        <f>IF(ROUND(H1382-D1382,2)=0,1,0)</f>
        <v/>
      </c>
      <c r="J1382">
        <f>IF(F1382="","none",IF(G1382=1,"carte","multiple"))</f>
        <v/>
      </c>
    </row>
    <row r="1383">
      <c r="A1383" t="inlineStr">
        <is>
          <t>2022-05-29</t>
        </is>
      </c>
      <c r="B1383" t="inlineStr">
        <is>
          <t>12:50</t>
        </is>
      </c>
      <c r="C1383" t="n">
        <v>2971</v>
      </c>
      <c r="D1383" s="6" t="n">
        <v>6.4</v>
      </c>
      <c r="E1383" t="n">
        <v>38173</v>
      </c>
      <c r="F1383" s="6" t="n">
        <v>6.4</v>
      </c>
      <c r="G1383" t="n">
        <v>1</v>
      </c>
      <c r="H1383" s="6">
        <f>ROUND(G1383*F1383,2)</f>
        <v/>
      </c>
      <c r="I1383">
        <f>IF(ROUND(H1383-D1383,2)=0,1,0)</f>
        <v/>
      </c>
      <c r="J1383">
        <f>IF(F1383="","none",IF(G1383=1,"carte","multiple"))</f>
        <v/>
      </c>
    </row>
    <row r="1384">
      <c r="A1384" t="inlineStr">
        <is>
          <t>2022-05-29</t>
        </is>
      </c>
      <c r="B1384" t="inlineStr">
        <is>
          <t>12:50</t>
        </is>
      </c>
      <c r="C1384" t="n">
        <v>2971</v>
      </c>
      <c r="D1384" s="6" t="n">
        <v>17.6</v>
      </c>
      <c r="E1384" t="n">
        <v>38174</v>
      </c>
      <c r="F1384" s="6" t="n">
        <v>17.6</v>
      </c>
      <c r="G1384" t="n">
        <v>1</v>
      </c>
      <c r="H1384" s="6">
        <f>ROUND(G1384*F1384,2)</f>
        <v/>
      </c>
      <c r="I1384">
        <f>IF(ROUND(H1384-D1384,2)=0,1,0)</f>
        <v/>
      </c>
      <c r="J1384">
        <f>IF(F1384="","none",IF(G1384=1,"carte","multiple"))</f>
        <v/>
      </c>
    </row>
    <row r="1385">
      <c r="A1385" t="inlineStr">
        <is>
          <t>2022-05-29</t>
        </is>
      </c>
      <c r="B1385" t="inlineStr">
        <is>
          <t>12:50</t>
        </is>
      </c>
      <c r="C1385" t="n">
        <v>2971</v>
      </c>
      <c r="D1385" s="6" t="n">
        <v>17.6</v>
      </c>
      <c r="E1385" t="n">
        <v>38175</v>
      </c>
      <c r="F1385" s="6" t="n">
        <v>17.6</v>
      </c>
      <c r="G1385" t="n">
        <v>1</v>
      </c>
      <c r="H1385" s="6">
        <f>ROUND(G1385*F1385,2)</f>
        <v/>
      </c>
      <c r="I1385">
        <f>IF(ROUND(H1385-D1385,2)=0,1,0)</f>
        <v/>
      </c>
      <c r="J1385">
        <f>IF(F1385="","none",IF(G1385=1,"carte","multiple"))</f>
        <v/>
      </c>
    </row>
    <row r="1386">
      <c r="A1386" t="inlineStr">
        <is>
          <t>2022-05-29</t>
        </is>
      </c>
      <c r="B1386" t="inlineStr">
        <is>
          <t>12:50</t>
        </is>
      </c>
      <c r="C1386" t="n">
        <v>2971</v>
      </c>
      <c r="D1386" s="6" t="n">
        <v>14</v>
      </c>
      <c r="E1386" t="n">
        <v>38176</v>
      </c>
      <c r="F1386" s="6" t="n">
        <v>14</v>
      </c>
      <c r="G1386" t="n">
        <v>1</v>
      </c>
      <c r="H1386" s="6">
        <f>ROUND(G1386*F1386,2)</f>
        <v/>
      </c>
      <c r="I1386">
        <f>IF(ROUND(H1386-D1386,2)=0,1,0)</f>
        <v/>
      </c>
      <c r="J1386">
        <f>IF(F1386="","none",IF(G1386=1,"carte","multiple"))</f>
        <v/>
      </c>
    </row>
    <row r="1387">
      <c r="A1387" t="inlineStr">
        <is>
          <t>2022-05-29</t>
        </is>
      </c>
      <c r="B1387" t="inlineStr">
        <is>
          <t>12:51</t>
        </is>
      </c>
      <c r="C1387" t="n">
        <v>2971</v>
      </c>
      <c r="D1387" s="6" t="n">
        <v>34.8</v>
      </c>
      <c r="E1387" t="n">
        <v>38177</v>
      </c>
      <c r="F1387" s="6" t="n">
        <v>34.8</v>
      </c>
      <c r="G1387" t="n">
        <v>1</v>
      </c>
      <c r="H1387" s="6">
        <f>ROUND(G1387*F1387,2)</f>
        <v/>
      </c>
      <c r="I1387">
        <f>IF(ROUND(H1387-D1387,2)=0,1,0)</f>
        <v/>
      </c>
      <c r="J1387">
        <f>IF(F1387="","none",IF(G1387=1,"carte","multiple"))</f>
        <v/>
      </c>
    </row>
    <row r="1388">
      <c r="A1388" t="inlineStr">
        <is>
          <t>2022-05-29</t>
        </is>
      </c>
      <c r="B1388" t="inlineStr">
        <is>
          <t>12:59</t>
        </is>
      </c>
      <c r="C1388" t="n">
        <v>2971</v>
      </c>
      <c r="D1388" s="6" t="n">
        <v>8.800000000000001</v>
      </c>
      <c r="E1388" t="n">
        <v>38178</v>
      </c>
      <c r="F1388" s="6" t="n">
        <v>8.800000000000001</v>
      </c>
      <c r="G1388" t="n">
        <v>1</v>
      </c>
      <c r="H1388" s="6">
        <f>ROUND(G1388*F1388,2)</f>
        <v/>
      </c>
      <c r="I1388">
        <f>IF(ROUND(H1388-D1388,2)=0,1,0)</f>
        <v/>
      </c>
      <c r="J1388">
        <f>IF(F1388="","none",IF(G1388=1,"carte","multiple"))</f>
        <v/>
      </c>
    </row>
    <row r="1389">
      <c r="A1389" t="inlineStr">
        <is>
          <t>2022-05-29</t>
        </is>
      </c>
      <c r="B1389" t="inlineStr">
        <is>
          <t>12:59</t>
        </is>
      </c>
      <c r="C1389" t="n">
        <v>2971</v>
      </c>
      <c r="D1389" s="6" t="n">
        <v>3.9</v>
      </c>
      <c r="E1389" t="n">
        <v>38179</v>
      </c>
      <c r="F1389" s="6" t="n">
        <v>3.9</v>
      </c>
      <c r="G1389" t="n">
        <v>1</v>
      </c>
      <c r="H1389" s="6">
        <f>ROUND(G1389*F1389,2)</f>
        <v/>
      </c>
      <c r="I1389">
        <f>IF(ROUND(H1389-D1389,2)=0,1,0)</f>
        <v/>
      </c>
      <c r="J1389">
        <f>IF(F1389="","none",IF(G1389=1,"carte","multiple"))</f>
        <v/>
      </c>
    </row>
    <row r="1390">
      <c r="A1390" t="inlineStr">
        <is>
          <t>2022-05-29</t>
        </is>
      </c>
      <c r="B1390" t="inlineStr">
        <is>
          <t>12:59</t>
        </is>
      </c>
      <c r="C1390" t="n">
        <v>2971</v>
      </c>
      <c r="D1390" s="6" t="n">
        <v>1.8</v>
      </c>
      <c r="E1390" t="n">
        <v>38180</v>
      </c>
      <c r="F1390" s="6" t="n">
        <v>1.8</v>
      </c>
      <c r="G1390" t="n">
        <v>1</v>
      </c>
      <c r="H1390" s="6">
        <f>ROUND(G1390*F1390,2)</f>
        <v/>
      </c>
      <c r="I1390">
        <f>IF(ROUND(H1390-D1390,2)=0,1,0)</f>
        <v/>
      </c>
      <c r="J1390">
        <f>IF(F1390="","none",IF(G1390=1,"carte","multiple"))</f>
        <v/>
      </c>
    </row>
    <row r="1391">
      <c r="A1391" t="inlineStr">
        <is>
          <t>2022-05-29</t>
        </is>
      </c>
      <c r="B1391" t="inlineStr">
        <is>
          <t>12:59</t>
        </is>
      </c>
      <c r="C1391" t="n">
        <v>2971</v>
      </c>
      <c r="D1391" s="6" t="n">
        <v>5.8</v>
      </c>
      <c r="E1391" t="n">
        <v>38181</v>
      </c>
      <c r="F1391" s="6" t="n">
        <v>5.8</v>
      </c>
      <c r="G1391" t="n">
        <v>1</v>
      </c>
      <c r="H1391" s="6">
        <f>ROUND(G1391*F1391,2)</f>
        <v/>
      </c>
      <c r="I1391">
        <f>IF(ROUND(H1391-D1391,2)=0,1,0)</f>
        <v/>
      </c>
      <c r="J1391">
        <f>IF(F1391="","none",IF(G1391=1,"carte","multiple"))</f>
        <v/>
      </c>
    </row>
    <row r="1392">
      <c r="A1392" t="inlineStr">
        <is>
          <t>2022-05-29</t>
        </is>
      </c>
      <c r="B1392" t="inlineStr">
        <is>
          <t>12:59</t>
        </is>
      </c>
      <c r="C1392" t="n">
        <v>2971</v>
      </c>
      <c r="D1392" s="6" t="n">
        <v>8.699999999999999</v>
      </c>
      <c r="E1392" t="n">
        <v>38182</v>
      </c>
      <c r="F1392" s="6" t="n">
        <v>8.699999999999999</v>
      </c>
      <c r="G1392" t="n">
        <v>1</v>
      </c>
      <c r="H1392" s="6">
        <f>ROUND(G1392*F1392,2)</f>
        <v/>
      </c>
      <c r="I1392">
        <f>IF(ROUND(H1392-D1392,2)=0,1,0)</f>
        <v/>
      </c>
      <c r="J1392">
        <f>IF(F1392="","none",IF(G1392=1,"carte","multiple"))</f>
        <v/>
      </c>
    </row>
    <row r="1393">
      <c r="A1393" t="inlineStr">
        <is>
          <t>2022-05-29</t>
        </is>
      </c>
      <c r="B1393" t="inlineStr">
        <is>
          <t>12:59</t>
        </is>
      </c>
      <c r="C1393" t="n">
        <v>2971</v>
      </c>
      <c r="D1393" s="6" t="n">
        <v>6.9</v>
      </c>
      <c r="E1393" t="n">
        <v>38183</v>
      </c>
      <c r="F1393" s="6" t="n">
        <v>6.9</v>
      </c>
      <c r="G1393" t="n">
        <v>1</v>
      </c>
      <c r="H1393" s="6">
        <f>ROUND(G1393*F1393,2)</f>
        <v/>
      </c>
      <c r="I1393">
        <f>IF(ROUND(H1393-D1393,2)=0,1,0)</f>
        <v/>
      </c>
      <c r="J1393">
        <f>IF(F1393="","none",IF(G1393=1,"carte","multiple"))</f>
        <v/>
      </c>
    </row>
    <row r="1394">
      <c r="A1394" t="inlineStr">
        <is>
          <t>2022-05-29</t>
        </is>
      </c>
      <c r="B1394" t="inlineStr">
        <is>
          <t>12:59</t>
        </is>
      </c>
      <c r="C1394" t="n">
        <v>2971</v>
      </c>
      <c r="D1394" s="6" t="n">
        <v>24</v>
      </c>
      <c r="E1394" t="n">
        <v>38184</v>
      </c>
      <c r="F1394" s="6" t="n">
        <v>24</v>
      </c>
      <c r="G1394" t="n">
        <v>1</v>
      </c>
      <c r="H1394" s="6">
        <f>ROUND(G1394*F1394,2)</f>
        <v/>
      </c>
      <c r="I1394">
        <f>IF(ROUND(H1394-D1394,2)=0,1,0)</f>
        <v/>
      </c>
      <c r="J1394">
        <f>IF(F1394="","none",IF(G1394=1,"carte","multiple"))</f>
        <v/>
      </c>
    </row>
    <row r="1395">
      <c r="A1395" t="inlineStr">
        <is>
          <t>2022-05-29</t>
        </is>
      </c>
      <c r="B1395" t="inlineStr">
        <is>
          <t>12:59</t>
        </is>
      </c>
      <c r="C1395" t="n">
        <v>2971</v>
      </c>
      <c r="D1395" s="6" t="n">
        <v>35.2</v>
      </c>
      <c r="E1395" t="n">
        <v>38185</v>
      </c>
      <c r="F1395" s="6" t="n">
        <v>0.4</v>
      </c>
      <c r="G1395" t="n">
        <v>88</v>
      </c>
      <c r="H1395" s="6">
        <f>ROUND(G1395*F1395,2)</f>
        <v/>
      </c>
      <c r="I1395">
        <f>IF(ROUND(H1395-D1395,2)=0,1,0)</f>
        <v/>
      </c>
      <c r="J1395">
        <f>IF(F1395="","none",IF(G1395=1,"carte","multiple"))</f>
        <v/>
      </c>
    </row>
    <row r="1396">
      <c r="A1396" t="inlineStr">
        <is>
          <t>2022-05-29</t>
        </is>
      </c>
      <c r="B1396" t="inlineStr">
        <is>
          <t>12:59</t>
        </is>
      </c>
      <c r="C1396" t="n">
        <v>2971</v>
      </c>
      <c r="D1396" s="6" t="n">
        <v>19</v>
      </c>
      <c r="E1396" t="n">
        <v>38186</v>
      </c>
      <c r="F1396" s="6" t="n">
        <v>19</v>
      </c>
      <c r="G1396" t="n">
        <v>1</v>
      </c>
      <c r="H1396" s="6">
        <f>ROUND(G1396*F1396,2)</f>
        <v/>
      </c>
      <c r="I1396">
        <f>IF(ROUND(H1396-D1396,2)=0,1,0)</f>
        <v/>
      </c>
      <c r="J1396">
        <f>IF(F1396="","none",IF(G1396=1,"carte","multiple"))</f>
        <v/>
      </c>
    </row>
    <row r="1397">
      <c r="A1397" t="inlineStr">
        <is>
          <t>2022-05-29</t>
        </is>
      </c>
      <c r="B1397" t="inlineStr">
        <is>
          <t>12:59</t>
        </is>
      </c>
      <c r="C1397" t="n">
        <v>2971</v>
      </c>
      <c r="D1397" s="6" t="n">
        <v>19.9</v>
      </c>
      <c r="E1397" t="n">
        <v>38187</v>
      </c>
      <c r="F1397" s="6" t="n">
        <v>19.9</v>
      </c>
      <c r="G1397" t="n">
        <v>1</v>
      </c>
      <c r="H1397" s="6">
        <f>ROUND(G1397*F1397,2)</f>
        <v/>
      </c>
      <c r="I1397">
        <f>IF(ROUND(H1397-D1397,2)=0,1,0)</f>
        <v/>
      </c>
      <c r="J1397">
        <f>IF(F1397="","none",IF(G1397=1,"carte","multiple"))</f>
        <v/>
      </c>
    </row>
    <row r="1398">
      <c r="A1398" t="inlineStr">
        <is>
          <t>2022-05-29</t>
        </is>
      </c>
      <c r="B1398" t="inlineStr">
        <is>
          <t>12:59</t>
        </is>
      </c>
      <c r="C1398" t="n">
        <v>2971</v>
      </c>
      <c r="D1398" s="6" t="n">
        <v>3.9</v>
      </c>
      <c r="E1398" t="n">
        <v>38188</v>
      </c>
      <c r="F1398" s="6" t="n">
        <v>3.9</v>
      </c>
      <c r="G1398" t="n">
        <v>1</v>
      </c>
      <c r="H1398" s="6">
        <f>ROUND(G1398*F1398,2)</f>
        <v/>
      </c>
      <c r="I1398">
        <f>IF(ROUND(H1398-D1398,2)=0,1,0)</f>
        <v/>
      </c>
      <c r="J1398">
        <f>IF(F1398="","none",IF(G1398=1,"carte","multiple"))</f>
        <v/>
      </c>
    </row>
    <row r="1399">
      <c r="A1399" t="inlineStr">
        <is>
          <t>2022-05-29</t>
        </is>
      </c>
      <c r="B1399" t="inlineStr">
        <is>
          <t>12:59</t>
        </is>
      </c>
      <c r="C1399" t="n">
        <v>2971</v>
      </c>
      <c r="D1399" s="6" t="n">
        <v>5.2</v>
      </c>
      <c r="E1399" t="n">
        <v>38189</v>
      </c>
      <c r="F1399" s="6" t="n">
        <v>5.2</v>
      </c>
      <c r="G1399" t="n">
        <v>1</v>
      </c>
      <c r="H1399" s="6">
        <f>ROUND(G1399*F1399,2)</f>
        <v/>
      </c>
      <c r="I1399">
        <f>IF(ROUND(H1399-D1399,2)=0,1,0)</f>
        <v/>
      </c>
      <c r="J1399">
        <f>IF(F1399="","none",IF(G1399=1,"carte","multiple"))</f>
        <v/>
      </c>
    </row>
    <row r="1400">
      <c r="A1400" t="inlineStr">
        <is>
          <t>2022-05-29</t>
        </is>
      </c>
      <c r="B1400" t="inlineStr">
        <is>
          <t>12:59</t>
        </is>
      </c>
      <c r="C1400" t="n">
        <v>2971</v>
      </c>
      <c r="D1400" s="6" t="n">
        <v>5.2</v>
      </c>
      <c r="E1400" t="n">
        <v>38190</v>
      </c>
      <c r="F1400" s="6" t="n">
        <v>5.2</v>
      </c>
      <c r="G1400" t="n">
        <v>1</v>
      </c>
      <c r="H1400" s="6">
        <f>ROUND(G1400*F1400,2)</f>
        <v/>
      </c>
      <c r="I1400">
        <f>IF(ROUND(H1400-D1400,2)=0,1,0)</f>
        <v/>
      </c>
      <c r="J1400">
        <f>IF(F1400="","none",IF(G1400=1,"carte","multiple"))</f>
        <v/>
      </c>
    </row>
    <row r="1401">
      <c r="A1401" t="inlineStr">
        <is>
          <t>2022-05-29</t>
        </is>
      </c>
      <c r="B1401" t="inlineStr">
        <is>
          <t>12:59</t>
        </is>
      </c>
      <c r="C1401" t="n">
        <v>2971</v>
      </c>
      <c r="D1401" s="6" t="n">
        <v>4.2</v>
      </c>
      <c r="E1401" t="n">
        <v>38191</v>
      </c>
      <c r="F1401" s="6" t="n">
        <v>4.2</v>
      </c>
      <c r="G1401" t="n">
        <v>1</v>
      </c>
      <c r="H1401" s="6">
        <f>ROUND(G1401*F1401,2)</f>
        <v/>
      </c>
      <c r="I1401">
        <f>IF(ROUND(H1401-D1401,2)=0,1,0)</f>
        <v/>
      </c>
      <c r="J1401">
        <f>IF(F1401="","none",IF(G1401=1,"carte","multiple"))</f>
        <v/>
      </c>
    </row>
    <row r="1402">
      <c r="A1402" t="inlineStr">
        <is>
          <t>2022-05-29</t>
        </is>
      </c>
      <c r="B1402" t="inlineStr">
        <is>
          <t>13:04</t>
        </is>
      </c>
      <c r="C1402" t="n">
        <v>2971</v>
      </c>
      <c r="D1402" s="6" t="n">
        <v>2.2</v>
      </c>
      <c r="E1402" t="n">
        <v>38192</v>
      </c>
      <c r="F1402" s="6" t="n">
        <v>2.2</v>
      </c>
      <c r="G1402" t="n">
        <v>1</v>
      </c>
      <c r="H1402" s="6">
        <f>ROUND(G1402*F1402,2)</f>
        <v/>
      </c>
      <c r="I1402">
        <f>IF(ROUND(H1402-D1402,2)=0,1,0)</f>
        <v/>
      </c>
      <c r="J1402">
        <f>IF(F1402="","none",IF(G1402=1,"carte","multiple"))</f>
        <v/>
      </c>
    </row>
    <row r="1403">
      <c r="A1403" t="inlineStr">
        <is>
          <t>2022-05-29</t>
        </is>
      </c>
      <c r="B1403" t="inlineStr">
        <is>
          <t>13:04</t>
        </is>
      </c>
      <c r="C1403" t="n">
        <v>2971</v>
      </c>
      <c r="D1403" s="6" t="n">
        <v>2</v>
      </c>
      <c r="E1403" t="n">
        <v>38193</v>
      </c>
      <c r="F1403" s="6" t="n">
        <v>2</v>
      </c>
      <c r="G1403" t="n">
        <v>1</v>
      </c>
      <c r="H1403" s="6">
        <f>ROUND(G1403*F1403,2)</f>
        <v/>
      </c>
      <c r="I1403">
        <f>IF(ROUND(H1403-D1403,2)=0,1,0)</f>
        <v/>
      </c>
      <c r="J1403">
        <f>IF(F1403="","none",IF(G1403=1,"carte","multiple"))</f>
        <v/>
      </c>
    </row>
    <row r="1404">
      <c r="A1404" t="inlineStr">
        <is>
          <t>2022-05-29</t>
        </is>
      </c>
      <c r="B1404" t="inlineStr">
        <is>
          <t>13:04</t>
        </is>
      </c>
      <c r="C1404" t="n">
        <v>2971</v>
      </c>
      <c r="D1404" s="6" t="n">
        <v>6.6</v>
      </c>
      <c r="E1404" t="n">
        <v>38194</v>
      </c>
      <c r="F1404" s="6" t="n">
        <v>6.6</v>
      </c>
      <c r="G1404" t="n">
        <v>1</v>
      </c>
      <c r="H1404" s="6">
        <f>ROUND(G1404*F1404,2)</f>
        <v/>
      </c>
      <c r="I1404">
        <f>IF(ROUND(H1404-D1404,2)=0,1,0)</f>
        <v/>
      </c>
      <c r="J1404">
        <f>IF(F1404="","none",IF(G1404=1,"carte","multiple"))</f>
        <v/>
      </c>
    </row>
    <row r="1405">
      <c r="A1405" t="inlineStr">
        <is>
          <t>2022-05-29</t>
        </is>
      </c>
      <c r="B1405" t="inlineStr">
        <is>
          <t>13:04</t>
        </is>
      </c>
      <c r="C1405" t="n">
        <v>2971</v>
      </c>
      <c r="D1405" s="6" t="n">
        <v>7.8</v>
      </c>
      <c r="E1405" t="n">
        <v>38195</v>
      </c>
      <c r="F1405" s="6" t="n">
        <v>7.8</v>
      </c>
      <c r="G1405" t="n">
        <v>1</v>
      </c>
      <c r="H1405" s="6">
        <f>ROUND(G1405*F1405,2)</f>
        <v/>
      </c>
      <c r="I1405">
        <f>IF(ROUND(H1405-D1405,2)=0,1,0)</f>
        <v/>
      </c>
      <c r="J1405">
        <f>IF(F1405="","none",IF(G1405=1,"carte","multiple"))</f>
        <v/>
      </c>
    </row>
    <row r="1406">
      <c r="A1406" t="inlineStr">
        <is>
          <t>2022-05-29</t>
        </is>
      </c>
      <c r="B1406" t="inlineStr">
        <is>
          <t>13:04</t>
        </is>
      </c>
      <c r="C1406" t="n">
        <v>2971</v>
      </c>
      <c r="D1406" s="6" t="n">
        <v>5.9</v>
      </c>
      <c r="E1406" t="n">
        <v>38196</v>
      </c>
      <c r="F1406" s="6" t="n">
        <v>5.9</v>
      </c>
      <c r="G1406" t="n">
        <v>1</v>
      </c>
      <c r="H1406" s="6">
        <f>ROUND(G1406*F1406,2)</f>
        <v/>
      </c>
      <c r="I1406">
        <f>IF(ROUND(H1406-D1406,2)=0,1,0)</f>
        <v/>
      </c>
      <c r="J1406">
        <f>IF(F1406="","none",IF(G1406=1,"carte","multiple"))</f>
        <v/>
      </c>
    </row>
    <row r="1407">
      <c r="A1407" t="inlineStr">
        <is>
          <t>2022-05-29</t>
        </is>
      </c>
      <c r="B1407" t="inlineStr">
        <is>
          <t>13:04</t>
        </is>
      </c>
      <c r="C1407" t="n">
        <v>2971</v>
      </c>
      <c r="D1407" s="6" t="n">
        <v>39.8</v>
      </c>
      <c r="E1407" t="n">
        <v>38197</v>
      </c>
      <c r="F1407" s="6" t="n">
        <v>39.8</v>
      </c>
      <c r="G1407" t="n">
        <v>1</v>
      </c>
      <c r="H1407" s="6">
        <f>ROUND(G1407*F1407,2)</f>
        <v/>
      </c>
      <c r="I1407">
        <f>IF(ROUND(H1407-D1407,2)=0,1,0)</f>
        <v/>
      </c>
      <c r="J1407">
        <f>IF(F1407="","none",IF(G1407=1,"carte","multiple"))</f>
        <v/>
      </c>
    </row>
    <row r="1408">
      <c r="A1408" t="inlineStr">
        <is>
          <t>2022-05-29</t>
        </is>
      </c>
      <c r="B1408" t="inlineStr">
        <is>
          <t>17:56</t>
        </is>
      </c>
      <c r="C1408" t="n">
        <v>2971</v>
      </c>
      <c r="D1408" s="6" t="n">
        <v>24</v>
      </c>
      <c r="E1408" t="n">
        <v>38199</v>
      </c>
      <c r="F1408" s="6" t="n">
        <v>24</v>
      </c>
      <c r="G1408" t="n">
        <v>1</v>
      </c>
      <c r="H1408" s="6">
        <f>ROUND(G1408*F1408,2)</f>
        <v/>
      </c>
      <c r="I1408">
        <f>IF(ROUND(H1408-D1408,2)=0,1,0)</f>
        <v/>
      </c>
      <c r="J1408">
        <f>IF(F1408="","none",IF(G1408=1,"carte","multiple"))</f>
        <v/>
      </c>
    </row>
    <row r="1409">
      <c r="A1409" t="inlineStr">
        <is>
          <t>2022-05-29</t>
        </is>
      </c>
      <c r="B1409" t="inlineStr">
        <is>
          <t>18:29</t>
        </is>
      </c>
      <c r="C1409" t="n">
        <v>2971</v>
      </c>
      <c r="D1409" s="6" t="n">
        <v>17.6</v>
      </c>
      <c r="E1409" t="n">
        <v>38200</v>
      </c>
      <c r="F1409" s="6" t="n">
        <v>17.6</v>
      </c>
      <c r="G1409" t="n">
        <v>1</v>
      </c>
      <c r="H1409" s="6">
        <f>ROUND(G1409*F1409,2)</f>
        <v/>
      </c>
      <c r="I1409">
        <f>IF(ROUND(H1409-D1409,2)=0,1,0)</f>
        <v/>
      </c>
      <c r="J1409">
        <f>IF(F1409="","none",IF(G1409=1,"carte","multiple"))</f>
        <v/>
      </c>
    </row>
    <row r="1410">
      <c r="A1410" t="inlineStr">
        <is>
          <t>2022-05-29</t>
        </is>
      </c>
      <c r="B1410" t="inlineStr">
        <is>
          <t>19:29</t>
        </is>
      </c>
      <c r="C1410" t="n">
        <v>2971</v>
      </c>
      <c r="D1410" s="6" t="n">
        <v>8.800000000000001</v>
      </c>
      <c r="E1410" t="n">
        <v>38201</v>
      </c>
      <c r="F1410" s="6" t="n">
        <v>8.800000000000001</v>
      </c>
      <c r="G1410" t="n">
        <v>1</v>
      </c>
      <c r="H1410" s="6">
        <f>ROUND(G1410*F1410,2)</f>
        <v/>
      </c>
      <c r="I1410">
        <f>IF(ROUND(H1410-D1410,2)=0,1,0)</f>
        <v/>
      </c>
      <c r="J1410">
        <f>IF(F1410="","none",IF(G1410=1,"carte","multiple"))</f>
        <v/>
      </c>
    </row>
    <row r="1411">
      <c r="A1411" t="inlineStr">
        <is>
          <t>2022-05-29</t>
        </is>
      </c>
      <c r="B1411" t="inlineStr">
        <is>
          <t>19:29</t>
        </is>
      </c>
      <c r="C1411" t="n">
        <v>2971</v>
      </c>
      <c r="D1411" s="6" t="n">
        <v>8.800000000000001</v>
      </c>
      <c r="E1411" t="n">
        <v>38202</v>
      </c>
      <c r="F1411" s="6" t="n">
        <v>8.800000000000001</v>
      </c>
      <c r="G1411" t="n">
        <v>1</v>
      </c>
      <c r="H1411" s="6">
        <f>ROUND(G1411*F1411,2)</f>
        <v/>
      </c>
      <c r="I1411">
        <f>IF(ROUND(H1411-D1411,2)=0,1,0)</f>
        <v/>
      </c>
      <c r="J1411">
        <f>IF(F1411="","none",IF(G1411=1,"carte","multiple"))</f>
        <v/>
      </c>
    </row>
    <row r="1412">
      <c r="A1412" t="inlineStr">
        <is>
          <t>2022-05-29</t>
        </is>
      </c>
      <c r="B1412" t="inlineStr">
        <is>
          <t>19:29</t>
        </is>
      </c>
      <c r="C1412" t="n">
        <v>2971</v>
      </c>
      <c r="D1412" s="6" t="n">
        <v>29.8</v>
      </c>
      <c r="E1412" t="n">
        <v>38203</v>
      </c>
      <c r="F1412" s="6" t="n">
        <v>14.9</v>
      </c>
      <c r="G1412" t="n">
        <v>2</v>
      </c>
      <c r="H1412" s="6">
        <f>ROUND(G1412*F1412,2)</f>
        <v/>
      </c>
      <c r="I1412">
        <f>IF(ROUND(H1412-D1412,2)=0,1,0)</f>
        <v/>
      </c>
      <c r="J1412">
        <f>IF(F1412="","none",IF(G1412=1,"carte","multiple"))</f>
        <v/>
      </c>
    </row>
    <row r="1413">
      <c r="A1413" t="inlineStr">
        <is>
          <t>2022-05-29</t>
        </is>
      </c>
      <c r="B1413" t="inlineStr">
        <is>
          <t>19:29</t>
        </is>
      </c>
      <c r="C1413" t="n">
        <v>2971</v>
      </c>
      <c r="D1413" s="6" t="n">
        <v>16</v>
      </c>
      <c r="E1413" t="n">
        <v>38204</v>
      </c>
      <c r="F1413" s="6" t="n">
        <v>16</v>
      </c>
      <c r="G1413" t="n">
        <v>1</v>
      </c>
      <c r="H1413" s="6">
        <f>ROUND(G1413*F1413,2)</f>
        <v/>
      </c>
      <c r="I1413">
        <f>IF(ROUND(H1413-D1413,2)=0,1,0)</f>
        <v/>
      </c>
      <c r="J1413">
        <f>IF(F1413="","none",IF(G1413=1,"carte","multiple"))</f>
        <v/>
      </c>
    </row>
    <row r="1414">
      <c r="A1414" t="inlineStr">
        <is>
          <t>2022-05-29</t>
        </is>
      </c>
      <c r="B1414" t="inlineStr">
        <is>
          <t>19:29</t>
        </is>
      </c>
      <c r="C1414" t="n">
        <v>2971</v>
      </c>
      <c r="D1414" s="6" t="n">
        <v>29.9</v>
      </c>
      <c r="E1414" t="n">
        <v>38205</v>
      </c>
      <c r="F1414" s="6" t="n">
        <v>29.9</v>
      </c>
      <c r="G1414" t="n">
        <v>1</v>
      </c>
      <c r="H1414" s="6">
        <f>ROUND(G1414*F1414,2)</f>
        <v/>
      </c>
      <c r="I1414">
        <f>IF(ROUND(H1414-D1414,2)=0,1,0)</f>
        <v/>
      </c>
      <c r="J1414">
        <f>IF(F1414="","none",IF(G1414=1,"carte","multiple"))</f>
        <v/>
      </c>
    </row>
    <row r="1415">
      <c r="A1415" t="inlineStr">
        <is>
          <t>2022-05-29</t>
        </is>
      </c>
      <c r="B1415" t="inlineStr">
        <is>
          <t>19:29</t>
        </is>
      </c>
      <c r="C1415" t="n">
        <v>2971</v>
      </c>
      <c r="D1415" s="6" t="n">
        <v>3.8</v>
      </c>
      <c r="E1415" t="n">
        <v>38206</v>
      </c>
      <c r="F1415" s="6" t="n">
        <v>3.8</v>
      </c>
      <c r="G1415" t="n">
        <v>1</v>
      </c>
      <c r="H1415" s="6">
        <f>ROUND(G1415*F1415,2)</f>
        <v/>
      </c>
      <c r="I1415">
        <f>IF(ROUND(H1415-D1415,2)=0,1,0)</f>
        <v/>
      </c>
      <c r="J1415">
        <f>IF(F1415="","none",IF(G1415=1,"carte","multiple"))</f>
        <v/>
      </c>
    </row>
    <row r="1416">
      <c r="A1416" t="inlineStr">
        <is>
          <t>2022-05-29</t>
        </is>
      </c>
      <c r="B1416" t="inlineStr">
        <is>
          <t>20:06</t>
        </is>
      </c>
      <c r="C1416" t="n">
        <v>2971</v>
      </c>
      <c r="D1416" s="6" t="n">
        <v>4.4</v>
      </c>
      <c r="E1416" t="n">
        <v>38207</v>
      </c>
      <c r="F1416" s="6" t="n">
        <v>0.4</v>
      </c>
      <c r="G1416" t="n">
        <v>11</v>
      </c>
      <c r="H1416" s="6">
        <f>ROUND(G1416*F1416,2)</f>
        <v/>
      </c>
      <c r="I1416">
        <f>IF(ROUND(H1416-D1416,2)=0,1,0)</f>
        <v/>
      </c>
      <c r="J1416">
        <f>IF(F1416="","none",IF(G1416=1,"carte","multiple"))</f>
        <v/>
      </c>
    </row>
    <row r="1417">
      <c r="A1417" t="inlineStr">
        <is>
          <t>2022-05-29</t>
        </is>
      </c>
      <c r="B1417" t="inlineStr">
        <is>
          <t>20:06</t>
        </is>
      </c>
      <c r="C1417" t="n">
        <v>2971</v>
      </c>
      <c r="D1417" s="6" t="n">
        <v>17.6</v>
      </c>
      <c r="E1417" t="n">
        <v>38208</v>
      </c>
      <c r="F1417" s="6" t="n">
        <v>17.6</v>
      </c>
      <c r="G1417" t="n">
        <v>1</v>
      </c>
      <c r="H1417" s="6">
        <f>ROUND(G1417*F1417,2)</f>
        <v/>
      </c>
      <c r="I1417">
        <f>IF(ROUND(H1417-D1417,2)=0,1,0)</f>
        <v/>
      </c>
      <c r="J1417">
        <f>IF(F1417="","none",IF(G1417=1,"carte","multiple"))</f>
        <v/>
      </c>
    </row>
    <row r="1418">
      <c r="A1418" t="inlineStr">
        <is>
          <t>2022-05-29</t>
        </is>
      </c>
      <c r="B1418" t="inlineStr">
        <is>
          <t>20:06</t>
        </is>
      </c>
      <c r="C1418" t="n">
        <v>2971</v>
      </c>
      <c r="D1418" s="6" t="n">
        <v>19.9</v>
      </c>
      <c r="E1418" t="n">
        <v>38209</v>
      </c>
      <c r="F1418" s="6" t="n">
        <v>19.9</v>
      </c>
      <c r="G1418" t="n">
        <v>1</v>
      </c>
      <c r="H1418" s="6">
        <f>ROUND(G1418*F1418,2)</f>
        <v/>
      </c>
      <c r="I1418">
        <f>IF(ROUND(H1418-D1418,2)=0,1,0)</f>
        <v/>
      </c>
      <c r="J1418">
        <f>IF(F1418="","none",IF(G1418=1,"carte","multiple"))</f>
        <v/>
      </c>
    </row>
    <row r="1419">
      <c r="A1419" t="inlineStr">
        <is>
          <t>2022-05-29</t>
        </is>
      </c>
      <c r="B1419" t="inlineStr">
        <is>
          <t>20:07</t>
        </is>
      </c>
      <c r="C1419" t="n">
        <v>2971</v>
      </c>
      <c r="D1419" s="6" t="n">
        <v>18</v>
      </c>
      <c r="E1419" t="n">
        <v>38210</v>
      </c>
      <c r="F1419" s="6" t="n">
        <v>18</v>
      </c>
      <c r="G1419" t="n">
        <v>1</v>
      </c>
      <c r="H1419" s="6">
        <f>ROUND(G1419*F1419,2)</f>
        <v/>
      </c>
      <c r="I1419">
        <f>IF(ROUND(H1419-D1419,2)=0,1,0)</f>
        <v/>
      </c>
      <c r="J1419">
        <f>IF(F1419="","none",IF(G1419=1,"carte","multiple"))</f>
        <v/>
      </c>
    </row>
    <row r="1420">
      <c r="A1420" t="inlineStr">
        <is>
          <t>2022-05-29</t>
        </is>
      </c>
      <c r="B1420" t="inlineStr">
        <is>
          <t>20:07</t>
        </is>
      </c>
      <c r="C1420" t="n">
        <v>2971</v>
      </c>
      <c r="D1420" s="6" t="n">
        <v>4.5</v>
      </c>
      <c r="E1420" t="n">
        <v>38211</v>
      </c>
      <c r="F1420" s="6" t="n">
        <v>4.5</v>
      </c>
      <c r="G1420" t="n">
        <v>1</v>
      </c>
      <c r="H1420" s="6">
        <f>ROUND(G1420*F1420,2)</f>
        <v/>
      </c>
      <c r="I1420">
        <f>IF(ROUND(H1420-D1420,2)=0,1,0)</f>
        <v/>
      </c>
      <c r="J1420">
        <f>IF(F1420="","none",IF(G1420=1,"carte","multiple"))</f>
        <v/>
      </c>
    </row>
    <row r="1421">
      <c r="A1421" t="inlineStr">
        <is>
          <t>2022-05-29</t>
        </is>
      </c>
      <c r="B1421" t="inlineStr">
        <is>
          <t>20:07</t>
        </is>
      </c>
      <c r="C1421" t="n">
        <v>2971</v>
      </c>
      <c r="D1421" s="6" t="n">
        <v>4.9</v>
      </c>
      <c r="E1421" t="n">
        <v>38212</v>
      </c>
      <c r="F1421" s="6" t="n">
        <v>4.9</v>
      </c>
      <c r="G1421" t="n">
        <v>1</v>
      </c>
      <c r="H1421" s="6">
        <f>ROUND(G1421*F1421,2)</f>
        <v/>
      </c>
      <c r="I1421">
        <f>IF(ROUND(H1421-D1421,2)=0,1,0)</f>
        <v/>
      </c>
      <c r="J1421">
        <f>IF(F1421="","none",IF(G1421=1,"carte","multiple"))</f>
        <v/>
      </c>
    </row>
    <row r="1422">
      <c r="A1422" t="inlineStr">
        <is>
          <t>2022-05-29</t>
        </is>
      </c>
      <c r="B1422" t="inlineStr">
        <is>
          <t>20:07</t>
        </is>
      </c>
      <c r="C1422" t="n">
        <v>2971</v>
      </c>
      <c r="D1422" s="6" t="n">
        <v>26.8</v>
      </c>
      <c r="E1422" t="n">
        <v>38213</v>
      </c>
      <c r="F1422" s="6" t="n">
        <v>26.8</v>
      </c>
      <c r="G1422" t="n">
        <v>1</v>
      </c>
      <c r="H1422" s="6">
        <f>ROUND(G1422*F1422,2)</f>
        <v/>
      </c>
      <c r="I1422">
        <f>IF(ROUND(H1422-D1422,2)=0,1,0)</f>
        <v/>
      </c>
      <c r="J1422">
        <f>IF(F1422="","none",IF(G1422=1,"carte","multiple"))</f>
        <v/>
      </c>
    </row>
    <row r="1423">
      <c r="A1423" t="inlineStr">
        <is>
          <t>2022-05-29</t>
        </is>
      </c>
      <c r="B1423" t="inlineStr">
        <is>
          <t>20:07</t>
        </is>
      </c>
      <c r="C1423" t="n">
        <v>2971</v>
      </c>
      <c r="D1423" s="6" t="n">
        <v>17.6</v>
      </c>
      <c r="E1423" t="n">
        <v>38214</v>
      </c>
      <c r="F1423" s="6" t="n">
        <v>17.6</v>
      </c>
      <c r="G1423" t="n">
        <v>1</v>
      </c>
      <c r="H1423" s="6">
        <f>ROUND(G1423*F1423,2)</f>
        <v/>
      </c>
      <c r="I1423">
        <f>IF(ROUND(H1423-D1423,2)=0,1,0)</f>
        <v/>
      </c>
      <c r="J1423">
        <f>IF(F1423="","none",IF(G1423=1,"carte","multiple"))</f>
        <v/>
      </c>
    </row>
    <row r="1424">
      <c r="A1424" t="inlineStr">
        <is>
          <t>2022-05-29</t>
        </is>
      </c>
      <c r="B1424" t="inlineStr">
        <is>
          <t>20:07</t>
        </is>
      </c>
      <c r="C1424" t="n">
        <v>2971</v>
      </c>
      <c r="D1424" s="6" t="n">
        <v>59.8</v>
      </c>
      <c r="E1424" t="n">
        <v>38215</v>
      </c>
      <c r="F1424" s="6" t="n">
        <v>4.6</v>
      </c>
      <c r="G1424" t="n">
        <v>13</v>
      </c>
      <c r="H1424" s="6">
        <f>ROUND(G1424*F1424,2)</f>
        <v/>
      </c>
      <c r="I1424">
        <f>IF(ROUND(H1424-D1424,2)=0,1,0)</f>
        <v/>
      </c>
      <c r="J1424">
        <f>IF(F1424="","none",IF(G1424=1,"carte","multiple"))</f>
        <v/>
      </c>
    </row>
    <row r="1425">
      <c r="A1425" t="inlineStr">
        <is>
          <t>2022-05-29</t>
        </is>
      </c>
      <c r="B1425" t="inlineStr">
        <is>
          <t>20:07</t>
        </is>
      </c>
      <c r="C1425" t="n">
        <v>2971</v>
      </c>
      <c r="D1425" s="6" t="n">
        <v>90</v>
      </c>
      <c r="E1425" t="n">
        <v>38216</v>
      </c>
      <c r="F1425" s="6" t="n">
        <v>0.4</v>
      </c>
      <c r="G1425" t="n">
        <v>225</v>
      </c>
      <c r="H1425" s="6">
        <f>ROUND(G1425*F1425,2)</f>
        <v/>
      </c>
      <c r="I1425">
        <f>IF(ROUND(H1425-D1425,2)=0,1,0)</f>
        <v/>
      </c>
      <c r="J1425">
        <f>IF(F1425="","none",IF(G1425=1,"carte","multiple"))</f>
        <v/>
      </c>
    </row>
    <row r="1426">
      <c r="A1426" t="inlineStr">
        <is>
          <t>2022-05-29</t>
        </is>
      </c>
      <c r="B1426" t="inlineStr">
        <is>
          <t>20:07</t>
        </is>
      </c>
      <c r="C1426" t="n">
        <v>2971</v>
      </c>
      <c r="D1426" s="6" t="n">
        <v>32</v>
      </c>
      <c r="E1426" t="n">
        <v>38217</v>
      </c>
      <c r="F1426" s="6" t="n">
        <v>32</v>
      </c>
      <c r="G1426" t="n">
        <v>1</v>
      </c>
      <c r="H1426" s="6">
        <f>ROUND(G1426*F1426,2)</f>
        <v/>
      </c>
      <c r="I1426">
        <f>IF(ROUND(H1426-D1426,2)=0,1,0)</f>
        <v/>
      </c>
      <c r="J1426">
        <f>IF(F1426="","none",IF(G1426=1,"carte","multiple"))</f>
        <v/>
      </c>
    </row>
    <row r="1427">
      <c r="A1427" t="inlineStr">
        <is>
          <t>2022-05-29</t>
        </is>
      </c>
      <c r="B1427" t="inlineStr">
        <is>
          <t>20:07</t>
        </is>
      </c>
      <c r="C1427" t="n">
        <v>2971</v>
      </c>
      <c r="D1427" s="6" t="n">
        <v>4.2</v>
      </c>
      <c r="E1427" t="n">
        <v>38218</v>
      </c>
      <c r="F1427" s="6" t="n">
        <v>4.2</v>
      </c>
      <c r="G1427" t="n">
        <v>1</v>
      </c>
      <c r="H1427" s="6">
        <f>ROUND(G1427*F1427,2)</f>
        <v/>
      </c>
      <c r="I1427">
        <f>IF(ROUND(H1427-D1427,2)=0,1,0)</f>
        <v/>
      </c>
      <c r="J1427">
        <f>IF(F1427="","none",IF(G1427=1,"carte","multiple"))</f>
        <v/>
      </c>
    </row>
    <row r="1428">
      <c r="A1428" t="inlineStr">
        <is>
          <t>2022-05-29</t>
        </is>
      </c>
      <c r="B1428" t="inlineStr">
        <is>
          <t>20:07</t>
        </is>
      </c>
      <c r="C1428" t="n">
        <v>2971</v>
      </c>
      <c r="D1428" s="6" t="n">
        <v>4.2</v>
      </c>
      <c r="E1428" t="n">
        <v>38219</v>
      </c>
      <c r="F1428" s="6" t="n">
        <v>4.2</v>
      </c>
      <c r="G1428" t="n">
        <v>1</v>
      </c>
      <c r="H1428" s="6">
        <f>ROUND(G1428*F1428,2)</f>
        <v/>
      </c>
      <c r="I1428">
        <f>IF(ROUND(H1428-D1428,2)=0,1,0)</f>
        <v/>
      </c>
      <c r="J1428">
        <f>IF(F1428="","none",IF(G1428=1,"carte","multiple"))</f>
        <v/>
      </c>
    </row>
    <row r="1429">
      <c r="A1429" t="inlineStr">
        <is>
          <t>2022-05-29</t>
        </is>
      </c>
      <c r="B1429" t="inlineStr">
        <is>
          <t>20:07</t>
        </is>
      </c>
      <c r="C1429" t="n">
        <v>2971</v>
      </c>
      <c r="D1429" s="6" t="n">
        <v>11.4</v>
      </c>
      <c r="E1429" t="n">
        <v>38220</v>
      </c>
      <c r="F1429" s="6" t="n">
        <v>11.4</v>
      </c>
      <c r="G1429" t="n">
        <v>1</v>
      </c>
      <c r="H1429" s="6">
        <f>ROUND(G1429*F1429,2)</f>
        <v/>
      </c>
      <c r="I1429">
        <f>IF(ROUND(H1429-D1429,2)=0,1,0)</f>
        <v/>
      </c>
      <c r="J1429">
        <f>IF(F1429="","none",IF(G1429=1,"carte","multiple"))</f>
        <v/>
      </c>
    </row>
    <row r="1430">
      <c r="A1430" t="inlineStr">
        <is>
          <t>2022-05-29</t>
        </is>
      </c>
      <c r="B1430" t="inlineStr">
        <is>
          <t>20:09</t>
        </is>
      </c>
      <c r="C1430" t="n">
        <v>2971</v>
      </c>
      <c r="D1430" s="6" t="n">
        <v>2.2</v>
      </c>
      <c r="E1430" t="n">
        <v>38221</v>
      </c>
      <c r="F1430" s="6" t="n">
        <v>2.2</v>
      </c>
      <c r="G1430" t="n">
        <v>1</v>
      </c>
      <c r="H1430" s="6">
        <f>ROUND(G1430*F1430,2)</f>
        <v/>
      </c>
      <c r="I1430">
        <f>IF(ROUND(H1430-D1430,2)=0,1,0)</f>
        <v/>
      </c>
      <c r="J1430">
        <f>IF(F1430="","none",IF(G1430=1,"carte","multiple"))</f>
        <v/>
      </c>
    </row>
    <row r="1431">
      <c r="A1431" t="inlineStr">
        <is>
          <t>2022-05-29</t>
        </is>
      </c>
      <c r="B1431" t="inlineStr">
        <is>
          <t>20:09</t>
        </is>
      </c>
      <c r="C1431" t="n">
        <v>2971</v>
      </c>
      <c r="D1431" s="6" t="n">
        <v>19</v>
      </c>
      <c r="E1431" t="n">
        <v>38222</v>
      </c>
      <c r="F1431" s="6" t="n">
        <v>19</v>
      </c>
      <c r="G1431" t="n">
        <v>1</v>
      </c>
      <c r="H1431" s="6">
        <f>ROUND(G1431*F1431,2)</f>
        <v/>
      </c>
      <c r="I1431">
        <f>IF(ROUND(H1431-D1431,2)=0,1,0)</f>
        <v/>
      </c>
      <c r="J1431">
        <f>IF(F1431="","none",IF(G1431=1,"carte","multiple"))</f>
        <v/>
      </c>
    </row>
    <row r="1432">
      <c r="A1432" t="inlineStr">
        <is>
          <t>2022-05-29</t>
        </is>
      </c>
      <c r="B1432" t="inlineStr">
        <is>
          <t>20:09</t>
        </is>
      </c>
      <c r="C1432" t="n">
        <v>2971</v>
      </c>
      <c r="D1432" s="6" t="n">
        <v>19.5</v>
      </c>
      <c r="E1432" t="n">
        <v>38223</v>
      </c>
      <c r="F1432" s="6" t="n">
        <v>0.5</v>
      </c>
      <c r="G1432" t="n">
        <v>39</v>
      </c>
      <c r="H1432" s="6">
        <f>ROUND(G1432*F1432,2)</f>
        <v/>
      </c>
      <c r="I1432">
        <f>IF(ROUND(H1432-D1432,2)=0,1,0)</f>
        <v/>
      </c>
      <c r="J1432">
        <f>IF(F1432="","none",IF(G1432=1,"carte","multiple"))</f>
        <v/>
      </c>
    </row>
    <row r="1433">
      <c r="A1433" t="inlineStr">
        <is>
          <t>2022-06-01</t>
        </is>
      </c>
      <c r="B1433" t="inlineStr">
        <is>
          <t>10:57</t>
        </is>
      </c>
      <c r="C1433" t="n">
        <v>2972</v>
      </c>
      <c r="D1433" s="6" t="n">
        <v>3.9</v>
      </c>
      <c r="E1433" t="n">
        <v>38226</v>
      </c>
      <c r="F1433" s="6" t="n">
        <v>3.9</v>
      </c>
      <c r="G1433" t="n">
        <v>1</v>
      </c>
      <c r="H1433" s="6">
        <f>ROUND(G1433*F1433,2)</f>
        <v/>
      </c>
      <c r="I1433">
        <f>IF(ROUND(H1433-D1433,2)=0,1,0)</f>
        <v/>
      </c>
      <c r="J1433">
        <f>IF(F1433="","none",IF(G1433=1,"carte","multiple"))</f>
        <v/>
      </c>
    </row>
    <row r="1434">
      <c r="A1434" t="inlineStr">
        <is>
          <t>2022-06-01</t>
        </is>
      </c>
      <c r="B1434" t="inlineStr">
        <is>
          <t>11:56</t>
        </is>
      </c>
      <c r="C1434" t="n">
        <v>2972</v>
      </c>
      <c r="D1434" s="6" t="n">
        <v>38</v>
      </c>
      <c r="E1434" t="n">
        <v>38227</v>
      </c>
      <c r="F1434" s="6" t="n">
        <v>0.4</v>
      </c>
      <c r="G1434" t="n">
        <v>95</v>
      </c>
      <c r="H1434" s="6">
        <f>ROUND(G1434*F1434,2)</f>
        <v/>
      </c>
      <c r="I1434">
        <f>IF(ROUND(H1434-D1434,2)=0,1,0)</f>
        <v/>
      </c>
      <c r="J1434">
        <f>IF(F1434="","none",IF(G1434=1,"carte","multiple"))</f>
        <v/>
      </c>
    </row>
    <row r="1435">
      <c r="A1435" t="inlineStr">
        <is>
          <t>2022-06-01</t>
        </is>
      </c>
      <c r="B1435" t="inlineStr">
        <is>
          <t>11:56</t>
        </is>
      </c>
      <c r="C1435" t="n">
        <v>2972</v>
      </c>
      <c r="D1435" s="6" t="n">
        <v>4</v>
      </c>
      <c r="E1435" t="n">
        <v>38228</v>
      </c>
      <c r="F1435" s="6" t="n">
        <v>4</v>
      </c>
      <c r="G1435" t="n">
        <v>1</v>
      </c>
      <c r="H1435" s="6">
        <f>ROUND(G1435*F1435,2)</f>
        <v/>
      </c>
      <c r="I1435">
        <f>IF(ROUND(H1435-D1435,2)=0,1,0)</f>
        <v/>
      </c>
      <c r="J1435">
        <f>IF(F1435="","none",IF(G1435=1,"carte","multiple"))</f>
        <v/>
      </c>
    </row>
    <row r="1436">
      <c r="A1436" t="inlineStr">
        <is>
          <t>2022-06-01</t>
        </is>
      </c>
      <c r="B1436" t="inlineStr">
        <is>
          <t>11:56</t>
        </is>
      </c>
      <c r="C1436" t="n">
        <v>2972</v>
      </c>
      <c r="D1436" s="6" t="n">
        <v>29.8</v>
      </c>
      <c r="E1436" t="n">
        <v>38229</v>
      </c>
      <c r="F1436" s="6" t="n">
        <v>14.9</v>
      </c>
      <c r="G1436" t="n">
        <v>2</v>
      </c>
      <c r="H1436" s="6">
        <f>ROUND(G1436*F1436,2)</f>
        <v/>
      </c>
      <c r="I1436">
        <f>IF(ROUND(H1436-D1436,2)=0,1,0)</f>
        <v/>
      </c>
      <c r="J1436">
        <f>IF(F1436="","none",IF(G1436=1,"carte","multiple"))</f>
        <v/>
      </c>
    </row>
    <row r="1437">
      <c r="A1437" t="inlineStr">
        <is>
          <t>2022-06-01</t>
        </is>
      </c>
      <c r="B1437" t="inlineStr">
        <is>
          <t>11:56</t>
        </is>
      </c>
      <c r="C1437" t="n">
        <v>2972</v>
      </c>
      <c r="D1437" s="6" t="n">
        <v>17.6</v>
      </c>
      <c r="E1437" t="n">
        <v>38230</v>
      </c>
      <c r="F1437" s="6" t="n">
        <v>17.6</v>
      </c>
      <c r="G1437" t="n">
        <v>1</v>
      </c>
      <c r="H1437" s="6">
        <f>ROUND(G1437*F1437,2)</f>
        <v/>
      </c>
      <c r="I1437">
        <f>IF(ROUND(H1437-D1437,2)=0,1,0)</f>
        <v/>
      </c>
      <c r="J1437">
        <f>IF(F1437="","none",IF(G1437=1,"carte","multiple"))</f>
        <v/>
      </c>
    </row>
    <row r="1438">
      <c r="A1438" t="inlineStr">
        <is>
          <t>2022-06-01</t>
        </is>
      </c>
      <c r="B1438" t="inlineStr">
        <is>
          <t>12:25</t>
        </is>
      </c>
      <c r="C1438" t="n">
        <v>2972</v>
      </c>
      <c r="D1438" s="6" t="n">
        <v>3.3</v>
      </c>
      <c r="E1438" t="n">
        <v>38231</v>
      </c>
      <c r="F1438" s="6" t="n">
        <v>3.3</v>
      </c>
      <c r="G1438" t="n">
        <v>1</v>
      </c>
      <c r="H1438" s="6">
        <f>ROUND(G1438*F1438,2)</f>
        <v/>
      </c>
      <c r="I1438">
        <f>IF(ROUND(H1438-D1438,2)=0,1,0)</f>
        <v/>
      </c>
      <c r="J1438">
        <f>IF(F1438="","none",IF(G1438=1,"carte","multiple"))</f>
        <v/>
      </c>
    </row>
    <row r="1439">
      <c r="A1439" t="inlineStr">
        <is>
          <t>2022-06-01</t>
        </is>
      </c>
      <c r="B1439" t="inlineStr">
        <is>
          <t>12:25</t>
        </is>
      </c>
      <c r="C1439" t="n">
        <v>2972</v>
      </c>
      <c r="D1439" s="6" t="n">
        <v>8.800000000000001</v>
      </c>
      <c r="E1439" t="n">
        <v>38232</v>
      </c>
      <c r="F1439" s="6" t="n">
        <v>8.800000000000001</v>
      </c>
      <c r="G1439" t="n">
        <v>1</v>
      </c>
      <c r="H1439" s="6">
        <f>ROUND(G1439*F1439,2)</f>
        <v/>
      </c>
      <c r="I1439">
        <f>IF(ROUND(H1439-D1439,2)=0,1,0)</f>
        <v/>
      </c>
      <c r="J1439">
        <f>IF(F1439="","none",IF(G1439=1,"carte","multiple"))</f>
        <v/>
      </c>
    </row>
    <row r="1440">
      <c r="A1440" t="inlineStr">
        <is>
          <t>2022-06-01</t>
        </is>
      </c>
      <c r="B1440" t="inlineStr">
        <is>
          <t>12:25</t>
        </is>
      </c>
      <c r="C1440" t="n">
        <v>2972</v>
      </c>
      <c r="D1440" s="6" t="n">
        <v>8.800000000000001</v>
      </c>
      <c r="E1440" t="n">
        <v>38233</v>
      </c>
      <c r="F1440" s="6" t="n">
        <v>8.800000000000001</v>
      </c>
      <c r="G1440" t="n">
        <v>1</v>
      </c>
      <c r="H1440" s="6">
        <f>ROUND(G1440*F1440,2)</f>
        <v/>
      </c>
      <c r="I1440">
        <f>IF(ROUND(H1440-D1440,2)=0,1,0)</f>
        <v/>
      </c>
      <c r="J1440">
        <f>IF(F1440="","none",IF(G1440=1,"carte","multiple"))</f>
        <v/>
      </c>
    </row>
    <row r="1441">
      <c r="A1441" t="inlineStr">
        <is>
          <t>2022-06-01</t>
        </is>
      </c>
      <c r="B1441" t="inlineStr">
        <is>
          <t>12:25</t>
        </is>
      </c>
      <c r="C1441" t="n">
        <v>2972</v>
      </c>
      <c r="D1441" s="6" t="n">
        <v>8.800000000000001</v>
      </c>
      <c r="E1441" t="n">
        <v>38234</v>
      </c>
      <c r="F1441" s="6" t="n">
        <v>8.800000000000001</v>
      </c>
      <c r="G1441" t="n">
        <v>1</v>
      </c>
      <c r="H1441" s="6">
        <f>ROUND(G1441*F1441,2)</f>
        <v/>
      </c>
      <c r="I1441">
        <f>IF(ROUND(H1441-D1441,2)=0,1,0)</f>
        <v/>
      </c>
      <c r="J1441">
        <f>IF(F1441="","none",IF(G1441=1,"carte","multiple"))</f>
        <v/>
      </c>
    </row>
    <row r="1442">
      <c r="A1442" t="inlineStr">
        <is>
          <t>2022-06-01</t>
        </is>
      </c>
      <c r="B1442" t="inlineStr">
        <is>
          <t>12:25</t>
        </is>
      </c>
      <c r="C1442" t="n">
        <v>2972</v>
      </c>
      <c r="D1442" s="6" t="n">
        <v>8.800000000000001</v>
      </c>
      <c r="E1442" t="n">
        <v>38235</v>
      </c>
      <c r="F1442" s="6" t="n">
        <v>8.800000000000001</v>
      </c>
      <c r="G1442" t="n">
        <v>1</v>
      </c>
      <c r="H1442" s="6">
        <f>ROUND(G1442*F1442,2)</f>
        <v/>
      </c>
      <c r="I1442">
        <f>IF(ROUND(H1442-D1442,2)=0,1,0)</f>
        <v/>
      </c>
      <c r="J1442">
        <f>IF(F1442="","none",IF(G1442=1,"carte","multiple"))</f>
        <v/>
      </c>
    </row>
    <row r="1443">
      <c r="A1443" t="inlineStr">
        <is>
          <t>2022-06-01</t>
        </is>
      </c>
      <c r="B1443" t="inlineStr">
        <is>
          <t>12:25</t>
        </is>
      </c>
      <c r="C1443" t="n">
        <v>2972</v>
      </c>
      <c r="D1443" s="6" t="n">
        <v>2.6</v>
      </c>
      <c r="E1443" t="n">
        <v>38236</v>
      </c>
      <c r="H1443" t="inlineStr"/>
      <c r="I1443" t="inlineStr"/>
      <c r="J1443">
        <f>IF(F1443="","none",IF(G1443=1,"carte","multiple"))</f>
        <v/>
      </c>
    </row>
    <row r="1444">
      <c r="A1444" t="inlineStr">
        <is>
          <t>2022-06-01</t>
        </is>
      </c>
      <c r="B1444" t="inlineStr">
        <is>
          <t>12:25</t>
        </is>
      </c>
      <c r="C1444" t="n">
        <v>2972</v>
      </c>
      <c r="D1444" s="6" t="n">
        <v>1.8</v>
      </c>
      <c r="E1444" t="n">
        <v>38237</v>
      </c>
      <c r="F1444" s="6" t="n">
        <v>1.8</v>
      </c>
      <c r="G1444" t="n">
        <v>1</v>
      </c>
      <c r="H1444" s="6">
        <f>ROUND(G1444*F1444,2)</f>
        <v/>
      </c>
      <c r="I1444">
        <f>IF(ROUND(H1444-D1444,2)=0,1,0)</f>
        <v/>
      </c>
      <c r="J1444">
        <f>IF(F1444="","none",IF(G1444=1,"carte","multiple"))</f>
        <v/>
      </c>
    </row>
    <row r="1445">
      <c r="A1445" t="inlineStr">
        <is>
          <t>2022-06-01</t>
        </is>
      </c>
      <c r="B1445" t="inlineStr">
        <is>
          <t>12:25</t>
        </is>
      </c>
      <c r="C1445" t="n">
        <v>2972</v>
      </c>
      <c r="D1445" s="6" t="n">
        <v>4.2</v>
      </c>
      <c r="E1445" t="n">
        <v>38238</v>
      </c>
      <c r="F1445" s="6" t="n">
        <v>4.2</v>
      </c>
      <c r="G1445" t="n">
        <v>1</v>
      </c>
      <c r="H1445" s="6">
        <f>ROUND(G1445*F1445,2)</f>
        <v/>
      </c>
      <c r="I1445">
        <f>IF(ROUND(H1445-D1445,2)=0,1,0)</f>
        <v/>
      </c>
      <c r="J1445">
        <f>IF(F1445="","none",IF(G1445=1,"carte","multiple"))</f>
        <v/>
      </c>
    </row>
    <row r="1446">
      <c r="A1446" t="inlineStr">
        <is>
          <t>2022-06-01</t>
        </is>
      </c>
      <c r="B1446" t="inlineStr">
        <is>
          <t>12:45</t>
        </is>
      </c>
      <c r="C1446" t="n">
        <v>2972</v>
      </c>
      <c r="D1446" s="6" t="n">
        <v>4</v>
      </c>
      <c r="E1446" t="n">
        <v>38239</v>
      </c>
      <c r="F1446" s="6" t="n">
        <v>4</v>
      </c>
      <c r="G1446" t="n">
        <v>1</v>
      </c>
      <c r="H1446" s="6">
        <f>ROUND(G1446*F1446,2)</f>
        <v/>
      </c>
      <c r="I1446">
        <f>IF(ROUND(H1446-D1446,2)=0,1,0)</f>
        <v/>
      </c>
      <c r="J1446">
        <f>IF(F1446="","none",IF(G1446=1,"carte","multiple"))</f>
        <v/>
      </c>
    </row>
    <row r="1447">
      <c r="A1447" t="inlineStr">
        <is>
          <t>2022-06-01</t>
        </is>
      </c>
      <c r="B1447" t="inlineStr">
        <is>
          <t>12:45</t>
        </is>
      </c>
      <c r="C1447" t="n">
        <v>2972</v>
      </c>
      <c r="D1447" s="6" t="n">
        <v>2</v>
      </c>
      <c r="E1447" t="n">
        <v>38240</v>
      </c>
      <c r="F1447" s="6" t="n">
        <v>2</v>
      </c>
      <c r="G1447" t="n">
        <v>1</v>
      </c>
      <c r="H1447" s="6">
        <f>ROUND(G1447*F1447,2)</f>
        <v/>
      </c>
      <c r="I1447">
        <f>IF(ROUND(H1447-D1447,2)=0,1,0)</f>
        <v/>
      </c>
      <c r="J1447">
        <f>IF(F1447="","none",IF(G1447=1,"carte","multiple"))</f>
        <v/>
      </c>
    </row>
    <row r="1448">
      <c r="A1448" t="inlineStr">
        <is>
          <t>2022-06-01</t>
        </is>
      </c>
      <c r="B1448" t="inlineStr">
        <is>
          <t>12:45</t>
        </is>
      </c>
      <c r="C1448" t="n">
        <v>2972</v>
      </c>
      <c r="D1448" s="6" t="n">
        <v>27.8</v>
      </c>
      <c r="E1448" t="n">
        <v>38241</v>
      </c>
      <c r="F1448" s="6" t="n">
        <v>27.8</v>
      </c>
      <c r="G1448" t="n">
        <v>1</v>
      </c>
      <c r="H1448" s="6">
        <f>ROUND(G1448*F1448,2)</f>
        <v/>
      </c>
      <c r="I1448">
        <f>IF(ROUND(H1448-D1448,2)=0,1,0)</f>
        <v/>
      </c>
      <c r="J1448">
        <f>IF(F1448="","none",IF(G1448=1,"carte","multiple"))</f>
        <v/>
      </c>
    </row>
    <row r="1449">
      <c r="A1449" t="inlineStr">
        <is>
          <t>2022-06-01</t>
        </is>
      </c>
      <c r="B1449" t="inlineStr">
        <is>
          <t>12:45</t>
        </is>
      </c>
      <c r="C1449" t="n">
        <v>2972</v>
      </c>
      <c r="D1449" s="6" t="n">
        <v>46</v>
      </c>
      <c r="E1449" t="n">
        <v>38242</v>
      </c>
      <c r="F1449" s="6" t="n">
        <v>0.4</v>
      </c>
      <c r="G1449" t="n">
        <v>115</v>
      </c>
      <c r="H1449" s="6">
        <f>ROUND(G1449*F1449,2)</f>
        <v/>
      </c>
      <c r="I1449">
        <f>IF(ROUND(H1449-D1449,2)=0,1,0)</f>
        <v/>
      </c>
      <c r="J1449">
        <f>IF(F1449="","none",IF(G1449=1,"carte","multiple"))</f>
        <v/>
      </c>
    </row>
    <row r="1450">
      <c r="A1450" t="inlineStr">
        <is>
          <t>2022-06-01</t>
        </is>
      </c>
      <c r="B1450" t="inlineStr">
        <is>
          <t>12:45</t>
        </is>
      </c>
      <c r="C1450" t="n">
        <v>2972</v>
      </c>
      <c r="D1450" s="6" t="n">
        <v>3.9</v>
      </c>
      <c r="E1450" t="n">
        <v>38243</v>
      </c>
      <c r="F1450" s="6" t="n">
        <v>3.9</v>
      </c>
      <c r="G1450" t="n">
        <v>1</v>
      </c>
      <c r="H1450" s="6">
        <f>ROUND(G1450*F1450,2)</f>
        <v/>
      </c>
      <c r="I1450">
        <f>IF(ROUND(H1450-D1450,2)=0,1,0)</f>
        <v/>
      </c>
      <c r="J1450">
        <f>IF(F1450="","none",IF(G1450=1,"carte","multiple"))</f>
        <v/>
      </c>
    </row>
    <row r="1451">
      <c r="A1451" t="inlineStr">
        <is>
          <t>2022-06-01</t>
        </is>
      </c>
      <c r="B1451" t="inlineStr">
        <is>
          <t>18:50</t>
        </is>
      </c>
      <c r="C1451" t="n">
        <v>2972</v>
      </c>
      <c r="D1451" s="6" t="n">
        <v>2.9</v>
      </c>
      <c r="E1451" t="n">
        <v>38245</v>
      </c>
      <c r="F1451" s="6" t="n">
        <v>2.9</v>
      </c>
      <c r="G1451" t="n">
        <v>1</v>
      </c>
      <c r="H1451" s="6">
        <f>ROUND(G1451*F1451,2)</f>
        <v/>
      </c>
      <c r="I1451">
        <f>IF(ROUND(H1451-D1451,2)=0,1,0)</f>
        <v/>
      </c>
      <c r="J1451">
        <f>IF(F1451="","none",IF(G1451=1,"carte","multiple"))</f>
        <v/>
      </c>
    </row>
    <row r="1452">
      <c r="A1452" t="inlineStr">
        <is>
          <t>2022-06-01</t>
        </is>
      </c>
      <c r="B1452" t="inlineStr">
        <is>
          <t>18:50</t>
        </is>
      </c>
      <c r="C1452" t="n">
        <v>2972</v>
      </c>
      <c r="D1452" s="6" t="n">
        <v>14</v>
      </c>
      <c r="E1452" t="n">
        <v>38246</v>
      </c>
      <c r="F1452" s="6" t="n">
        <v>14</v>
      </c>
      <c r="G1452" t="n">
        <v>1</v>
      </c>
      <c r="H1452" s="6">
        <f>ROUND(G1452*F1452,2)</f>
        <v/>
      </c>
      <c r="I1452">
        <f>IF(ROUND(H1452-D1452,2)=0,1,0)</f>
        <v/>
      </c>
      <c r="J1452">
        <f>IF(F1452="","none",IF(G1452=1,"carte","multiple"))</f>
        <v/>
      </c>
    </row>
    <row r="1453">
      <c r="A1453" t="inlineStr">
        <is>
          <t>2022-06-01</t>
        </is>
      </c>
      <c r="B1453" t="inlineStr">
        <is>
          <t>18:50</t>
        </is>
      </c>
      <c r="C1453" t="n">
        <v>2972</v>
      </c>
      <c r="D1453" s="6" t="n">
        <v>13.9</v>
      </c>
      <c r="E1453" t="n">
        <v>38247</v>
      </c>
      <c r="F1453" s="6" t="n">
        <v>13.9</v>
      </c>
      <c r="G1453" t="n">
        <v>1</v>
      </c>
      <c r="H1453" s="6">
        <f>ROUND(G1453*F1453,2)</f>
        <v/>
      </c>
      <c r="I1453">
        <f>IF(ROUND(H1453-D1453,2)=0,1,0)</f>
        <v/>
      </c>
      <c r="J1453">
        <f>IF(F1453="","none",IF(G1453=1,"carte","multiple"))</f>
        <v/>
      </c>
    </row>
    <row r="1454">
      <c r="A1454" t="inlineStr">
        <is>
          <t>2022-06-01</t>
        </is>
      </c>
      <c r="B1454" t="inlineStr">
        <is>
          <t>18:50</t>
        </is>
      </c>
      <c r="C1454" t="n">
        <v>2972</v>
      </c>
      <c r="D1454" s="6" t="n">
        <v>15.9</v>
      </c>
      <c r="E1454" t="n">
        <v>38248</v>
      </c>
      <c r="F1454" s="6" t="n">
        <v>15.9</v>
      </c>
      <c r="G1454" t="n">
        <v>1</v>
      </c>
      <c r="H1454" s="6">
        <f>ROUND(G1454*F1454,2)</f>
        <v/>
      </c>
      <c r="I1454">
        <f>IF(ROUND(H1454-D1454,2)=0,1,0)</f>
        <v/>
      </c>
      <c r="J1454">
        <f>IF(F1454="","none",IF(G1454=1,"carte","multiple"))</f>
        <v/>
      </c>
    </row>
    <row r="1455">
      <c r="A1455" t="inlineStr">
        <is>
          <t>2022-06-01</t>
        </is>
      </c>
      <c r="B1455" t="inlineStr">
        <is>
          <t>19:30</t>
        </is>
      </c>
      <c r="C1455" t="n">
        <v>2972</v>
      </c>
      <c r="D1455" s="6" t="n">
        <v>23</v>
      </c>
      <c r="E1455" t="n">
        <v>38249</v>
      </c>
      <c r="F1455" s="6" t="n">
        <v>23</v>
      </c>
      <c r="G1455" t="n">
        <v>1</v>
      </c>
      <c r="H1455" s="6">
        <f>ROUND(G1455*F1455,2)</f>
        <v/>
      </c>
      <c r="I1455">
        <f>IF(ROUND(H1455-D1455,2)=0,1,0)</f>
        <v/>
      </c>
      <c r="J1455">
        <f>IF(F1455="","none",IF(G1455=1,"carte","multiple"))</f>
        <v/>
      </c>
    </row>
    <row r="1456">
      <c r="A1456" t="inlineStr">
        <is>
          <t>2022-06-01</t>
        </is>
      </c>
      <c r="B1456" t="inlineStr">
        <is>
          <t>19:30</t>
        </is>
      </c>
      <c r="C1456" t="n">
        <v>2972</v>
      </c>
      <c r="D1456" s="6" t="n">
        <v>15.9</v>
      </c>
      <c r="E1456" t="n">
        <v>38250</v>
      </c>
      <c r="F1456" s="6" t="n">
        <v>15.9</v>
      </c>
      <c r="G1456" t="n">
        <v>1</v>
      </c>
      <c r="H1456" s="6">
        <f>ROUND(G1456*F1456,2)</f>
        <v/>
      </c>
      <c r="I1456">
        <f>IF(ROUND(H1456-D1456,2)=0,1,0)</f>
        <v/>
      </c>
      <c r="J1456">
        <f>IF(F1456="","none",IF(G1456=1,"carte","multiple"))</f>
        <v/>
      </c>
    </row>
    <row r="1457">
      <c r="A1457" t="inlineStr">
        <is>
          <t>2022-06-01</t>
        </is>
      </c>
      <c r="B1457" t="inlineStr">
        <is>
          <t>19:30</t>
        </is>
      </c>
      <c r="C1457" t="n">
        <v>2972</v>
      </c>
      <c r="D1457" s="6" t="n">
        <v>13.6</v>
      </c>
      <c r="E1457" t="n">
        <v>38251</v>
      </c>
      <c r="F1457" s="6" t="n">
        <v>0.4</v>
      </c>
      <c r="G1457" t="n">
        <v>34</v>
      </c>
      <c r="H1457" s="6">
        <f>ROUND(G1457*F1457,2)</f>
        <v/>
      </c>
      <c r="I1457">
        <f>IF(ROUND(H1457-D1457,2)=0,1,0)</f>
        <v/>
      </c>
      <c r="J1457">
        <f>IF(F1457="","none",IF(G1457=1,"carte","multiple"))</f>
        <v/>
      </c>
    </row>
    <row r="1458">
      <c r="A1458" t="inlineStr">
        <is>
          <t>2022-06-01</t>
        </is>
      </c>
      <c r="B1458" t="inlineStr">
        <is>
          <t>19:30</t>
        </is>
      </c>
      <c r="C1458" t="n">
        <v>2972</v>
      </c>
      <c r="D1458" s="6" t="n">
        <v>9.800000000000001</v>
      </c>
      <c r="E1458" t="n">
        <v>38252</v>
      </c>
      <c r="F1458" s="6" t="n">
        <v>9.800000000000001</v>
      </c>
      <c r="G1458" t="n">
        <v>1</v>
      </c>
      <c r="H1458" s="6">
        <f>ROUND(G1458*F1458,2)</f>
        <v/>
      </c>
      <c r="I1458">
        <f>IF(ROUND(H1458-D1458,2)=0,1,0)</f>
        <v/>
      </c>
      <c r="J1458">
        <f>IF(F1458="","none",IF(G1458=1,"carte","multiple"))</f>
        <v/>
      </c>
    </row>
    <row r="1459">
      <c r="A1459" t="inlineStr">
        <is>
          <t>2022-06-01</t>
        </is>
      </c>
      <c r="B1459" t="inlineStr">
        <is>
          <t>20:16</t>
        </is>
      </c>
      <c r="C1459" t="n">
        <v>2972</v>
      </c>
      <c r="D1459" s="6" t="n">
        <v>13.4</v>
      </c>
      <c r="E1459" t="n">
        <v>38253</v>
      </c>
      <c r="F1459" s="6" t="n">
        <v>13.4</v>
      </c>
      <c r="G1459" t="n">
        <v>1</v>
      </c>
      <c r="H1459" s="6">
        <f>ROUND(G1459*F1459,2)</f>
        <v/>
      </c>
      <c r="I1459">
        <f>IF(ROUND(H1459-D1459,2)=0,1,0)</f>
        <v/>
      </c>
      <c r="J1459">
        <f>IF(F1459="","none",IF(G1459=1,"carte","multiple"))</f>
        <v/>
      </c>
    </row>
    <row r="1460">
      <c r="A1460" t="inlineStr">
        <is>
          <t>2022-06-01</t>
        </is>
      </c>
      <c r="B1460" t="inlineStr">
        <is>
          <t>20:16</t>
        </is>
      </c>
      <c r="C1460" t="n">
        <v>2972</v>
      </c>
      <c r="D1460" s="6" t="n">
        <v>15.9</v>
      </c>
      <c r="E1460" t="n">
        <v>38254</v>
      </c>
      <c r="F1460" s="6" t="n">
        <v>15.9</v>
      </c>
      <c r="G1460" t="n">
        <v>1</v>
      </c>
      <c r="H1460" s="6">
        <f>ROUND(G1460*F1460,2)</f>
        <v/>
      </c>
      <c r="I1460">
        <f>IF(ROUND(H1460-D1460,2)=0,1,0)</f>
        <v/>
      </c>
      <c r="J1460">
        <f>IF(F1460="","none",IF(G1460=1,"carte","multiple"))</f>
        <v/>
      </c>
    </row>
    <row r="1461">
      <c r="A1461" t="inlineStr">
        <is>
          <t>2022-06-01</t>
        </is>
      </c>
      <c r="B1461" t="inlineStr">
        <is>
          <t>20:16</t>
        </is>
      </c>
      <c r="C1461" t="n">
        <v>2972</v>
      </c>
      <c r="D1461" s="6" t="n">
        <v>16.9</v>
      </c>
      <c r="E1461" t="n">
        <v>38255</v>
      </c>
      <c r="F1461" s="6" t="n">
        <v>16.9</v>
      </c>
      <c r="G1461" t="n">
        <v>1</v>
      </c>
      <c r="H1461" s="6">
        <f>ROUND(G1461*F1461,2)</f>
        <v/>
      </c>
      <c r="I1461">
        <f>IF(ROUND(H1461-D1461,2)=0,1,0)</f>
        <v/>
      </c>
      <c r="J1461">
        <f>IF(F1461="","none",IF(G1461=1,"carte","multiple"))</f>
        <v/>
      </c>
    </row>
    <row r="1462">
      <c r="A1462" t="inlineStr">
        <is>
          <t>2022-06-01</t>
        </is>
      </c>
      <c r="B1462" t="inlineStr">
        <is>
          <t>20:16</t>
        </is>
      </c>
      <c r="C1462" t="n">
        <v>2972</v>
      </c>
      <c r="D1462" s="6" t="n">
        <v>9.800000000000001</v>
      </c>
      <c r="E1462" t="n">
        <v>38256</v>
      </c>
      <c r="F1462" s="6" t="n">
        <v>9.800000000000001</v>
      </c>
      <c r="G1462" t="n">
        <v>1</v>
      </c>
      <c r="H1462" s="6">
        <f>ROUND(G1462*F1462,2)</f>
        <v/>
      </c>
      <c r="I1462">
        <f>IF(ROUND(H1462-D1462,2)=0,1,0)</f>
        <v/>
      </c>
      <c r="J1462">
        <f>IF(F1462="","none",IF(G1462=1,"carte","multiple"))</f>
        <v/>
      </c>
    </row>
    <row r="1463">
      <c r="A1463" t="inlineStr">
        <is>
          <t>2022-06-01</t>
        </is>
      </c>
      <c r="B1463" t="inlineStr">
        <is>
          <t>20:41</t>
        </is>
      </c>
      <c r="C1463" t="n">
        <v>2972</v>
      </c>
      <c r="D1463" s="6" t="n">
        <v>3.4</v>
      </c>
      <c r="E1463" t="n">
        <v>38257</v>
      </c>
      <c r="F1463" s="6" t="n">
        <v>3.4</v>
      </c>
      <c r="G1463" t="n">
        <v>1</v>
      </c>
      <c r="H1463" s="6">
        <f>ROUND(G1463*F1463,2)</f>
        <v/>
      </c>
      <c r="I1463">
        <f>IF(ROUND(H1463-D1463,2)=0,1,0)</f>
        <v/>
      </c>
      <c r="J1463">
        <f>IF(F1463="","none",IF(G1463=1,"carte","multiple"))</f>
        <v/>
      </c>
    </row>
    <row r="1464">
      <c r="A1464" t="inlineStr">
        <is>
          <t>2022-06-01</t>
        </is>
      </c>
      <c r="B1464" t="inlineStr">
        <is>
          <t>20:48</t>
        </is>
      </c>
      <c r="C1464" t="n">
        <v>2972</v>
      </c>
      <c r="D1464" s="6" t="n">
        <v>4.4</v>
      </c>
      <c r="E1464" t="n">
        <v>38258</v>
      </c>
      <c r="F1464" s="6" t="n">
        <v>0.4</v>
      </c>
      <c r="G1464" t="n">
        <v>11</v>
      </c>
      <c r="H1464" s="6">
        <f>ROUND(G1464*F1464,2)</f>
        <v/>
      </c>
      <c r="I1464">
        <f>IF(ROUND(H1464-D1464,2)=0,1,0)</f>
        <v/>
      </c>
      <c r="J1464">
        <f>IF(F1464="","none",IF(G1464=1,"carte","multiple"))</f>
        <v/>
      </c>
    </row>
    <row r="1465">
      <c r="A1465" t="inlineStr">
        <is>
          <t>2022-06-01</t>
        </is>
      </c>
      <c r="B1465" t="inlineStr">
        <is>
          <t>20:48</t>
        </is>
      </c>
      <c r="C1465" t="n">
        <v>2972</v>
      </c>
      <c r="D1465" s="6" t="n">
        <v>8.4</v>
      </c>
      <c r="E1465" t="n">
        <v>38259</v>
      </c>
      <c r="F1465" s="6" t="n">
        <v>8.4</v>
      </c>
      <c r="G1465" t="n">
        <v>1</v>
      </c>
      <c r="H1465" s="6">
        <f>ROUND(G1465*F1465,2)</f>
        <v/>
      </c>
      <c r="I1465">
        <f>IF(ROUND(H1465-D1465,2)=0,1,0)</f>
        <v/>
      </c>
      <c r="J1465">
        <f>IF(F1465="","none",IF(G1465=1,"carte","multiple"))</f>
        <v/>
      </c>
    </row>
    <row r="1466">
      <c r="A1466" t="inlineStr">
        <is>
          <t>2022-06-01</t>
        </is>
      </c>
      <c r="B1466" t="inlineStr">
        <is>
          <t>20:48</t>
        </is>
      </c>
      <c r="C1466" t="n">
        <v>2972</v>
      </c>
      <c r="D1466" s="6" t="n">
        <v>21</v>
      </c>
      <c r="E1466" t="n">
        <v>38260</v>
      </c>
      <c r="F1466" s="6" t="n">
        <v>21</v>
      </c>
      <c r="G1466" t="n">
        <v>1</v>
      </c>
      <c r="H1466" s="6">
        <f>ROUND(G1466*F1466,2)</f>
        <v/>
      </c>
      <c r="I1466">
        <f>IF(ROUND(H1466-D1466,2)=0,1,0)</f>
        <v/>
      </c>
      <c r="J1466">
        <f>IF(F1466="","none",IF(G1466=1,"carte","multiple"))</f>
        <v/>
      </c>
    </row>
    <row r="1467">
      <c r="A1467" t="inlineStr">
        <is>
          <t>2022-06-01</t>
        </is>
      </c>
      <c r="B1467" t="inlineStr">
        <is>
          <t>20:48</t>
        </is>
      </c>
      <c r="C1467" t="n">
        <v>2972</v>
      </c>
      <c r="D1467" s="6" t="n">
        <v>27.8</v>
      </c>
      <c r="E1467" t="n">
        <v>38261</v>
      </c>
      <c r="F1467" s="6" t="n">
        <v>27.8</v>
      </c>
      <c r="G1467" t="n">
        <v>1</v>
      </c>
      <c r="H1467" s="6">
        <f>ROUND(G1467*F1467,2)</f>
        <v/>
      </c>
      <c r="I1467">
        <f>IF(ROUND(H1467-D1467,2)=0,1,0)</f>
        <v/>
      </c>
      <c r="J1467">
        <f>IF(F1467="","none",IF(G1467=1,"carte","multiple"))</f>
        <v/>
      </c>
    </row>
    <row r="1468">
      <c r="A1468" t="inlineStr">
        <is>
          <t>2022-06-01</t>
        </is>
      </c>
      <c r="B1468" t="inlineStr">
        <is>
          <t>20:48</t>
        </is>
      </c>
      <c r="C1468" t="n">
        <v>2972</v>
      </c>
      <c r="D1468" s="6" t="n">
        <v>19</v>
      </c>
      <c r="E1468" t="n">
        <v>38262</v>
      </c>
      <c r="F1468" s="6" t="n">
        <v>19</v>
      </c>
      <c r="G1468" t="n">
        <v>1</v>
      </c>
      <c r="H1468" s="6">
        <f>ROUND(G1468*F1468,2)</f>
        <v/>
      </c>
      <c r="I1468">
        <f>IF(ROUND(H1468-D1468,2)=0,1,0)</f>
        <v/>
      </c>
      <c r="J1468">
        <f>IF(F1468="","none",IF(G1468=1,"carte","multiple"))</f>
        <v/>
      </c>
    </row>
    <row r="1469">
      <c r="A1469" t="inlineStr">
        <is>
          <t>2022-06-01</t>
        </is>
      </c>
      <c r="B1469" t="inlineStr">
        <is>
          <t>21:05</t>
        </is>
      </c>
      <c r="C1469" t="n">
        <v>2972</v>
      </c>
      <c r="D1469" s="6" t="n">
        <v>3.6</v>
      </c>
      <c r="E1469" t="n">
        <v>38263</v>
      </c>
      <c r="F1469" s="6" t="n">
        <v>3.6</v>
      </c>
      <c r="G1469" t="n">
        <v>1</v>
      </c>
      <c r="H1469" s="6">
        <f>ROUND(G1469*F1469,2)</f>
        <v/>
      </c>
      <c r="I1469">
        <f>IF(ROUND(H1469-D1469,2)=0,1,0)</f>
        <v/>
      </c>
      <c r="J1469">
        <f>IF(F1469="","none",IF(G1469=1,"carte","multiple"))</f>
        <v/>
      </c>
    </row>
    <row r="1470">
      <c r="A1470" t="inlineStr">
        <is>
          <t>2022-06-01</t>
        </is>
      </c>
      <c r="B1470" t="inlineStr">
        <is>
          <t>21:05</t>
        </is>
      </c>
      <c r="C1470" t="n">
        <v>2972</v>
      </c>
      <c r="D1470" s="6" t="n">
        <v>3.4</v>
      </c>
      <c r="E1470" t="n">
        <v>38264</v>
      </c>
      <c r="F1470" s="6" t="n">
        <v>3.4</v>
      </c>
      <c r="G1470" t="n">
        <v>1</v>
      </c>
      <c r="H1470" s="6">
        <f>ROUND(G1470*F1470,2)</f>
        <v/>
      </c>
      <c r="I1470">
        <f>IF(ROUND(H1470-D1470,2)=0,1,0)</f>
        <v/>
      </c>
      <c r="J1470">
        <f>IF(F1470="","none",IF(G1470=1,"carte","multiple"))</f>
        <v/>
      </c>
    </row>
    <row r="1471">
      <c r="A1471" t="inlineStr">
        <is>
          <t>2022-06-01</t>
        </is>
      </c>
      <c r="B1471" t="inlineStr">
        <is>
          <t>21:05</t>
        </is>
      </c>
      <c r="C1471" t="n">
        <v>2972</v>
      </c>
      <c r="D1471" s="6" t="n">
        <v>2.2</v>
      </c>
      <c r="E1471" t="n">
        <v>38265</v>
      </c>
      <c r="F1471" s="6" t="n">
        <v>2.2</v>
      </c>
      <c r="G1471" t="n">
        <v>1</v>
      </c>
      <c r="H1471" s="6">
        <f>ROUND(G1471*F1471,2)</f>
        <v/>
      </c>
      <c r="I1471">
        <f>IF(ROUND(H1471-D1471,2)=0,1,0)</f>
        <v/>
      </c>
      <c r="J1471">
        <f>IF(F1471="","none",IF(G1471=1,"carte","multiple"))</f>
        <v/>
      </c>
    </row>
    <row r="1472">
      <c r="A1472" t="inlineStr">
        <is>
          <t>2022-06-01</t>
        </is>
      </c>
      <c r="B1472" t="inlineStr">
        <is>
          <t>21:05</t>
        </is>
      </c>
      <c r="C1472" t="n">
        <v>2972</v>
      </c>
      <c r="D1472" s="6" t="n">
        <v>12.6</v>
      </c>
      <c r="E1472" t="n">
        <v>38266</v>
      </c>
      <c r="F1472" s="6" t="n">
        <v>0.9</v>
      </c>
      <c r="G1472" t="n">
        <v>14</v>
      </c>
      <c r="H1472" s="6">
        <f>ROUND(G1472*F1472,2)</f>
        <v/>
      </c>
      <c r="I1472">
        <f>IF(ROUND(H1472-D1472,2)=0,1,0)</f>
        <v/>
      </c>
      <c r="J1472">
        <f>IF(F1472="","none",IF(G1472=1,"carte","multiple"))</f>
        <v/>
      </c>
    </row>
    <row r="1473">
      <c r="A1473" t="inlineStr">
        <is>
          <t>2022-06-01</t>
        </is>
      </c>
      <c r="B1473" t="inlineStr">
        <is>
          <t>21:05</t>
        </is>
      </c>
      <c r="C1473" t="n">
        <v>2972</v>
      </c>
      <c r="D1473" s="6" t="n">
        <v>6.9</v>
      </c>
      <c r="E1473" t="n">
        <v>38267</v>
      </c>
      <c r="F1473" s="6" t="n">
        <v>6.9</v>
      </c>
      <c r="G1473" t="n">
        <v>1</v>
      </c>
      <c r="H1473" s="6">
        <f>ROUND(G1473*F1473,2)</f>
        <v/>
      </c>
      <c r="I1473">
        <f>IF(ROUND(H1473-D1473,2)=0,1,0)</f>
        <v/>
      </c>
      <c r="J1473">
        <f>IF(F1473="","none",IF(G1473=1,"carte","multiple"))</f>
        <v/>
      </c>
    </row>
    <row r="1474">
      <c r="A1474" t="inlineStr">
        <is>
          <t>2022-06-01</t>
        </is>
      </c>
      <c r="B1474" t="inlineStr">
        <is>
          <t>21:05</t>
        </is>
      </c>
      <c r="C1474" t="n">
        <v>2972</v>
      </c>
      <c r="D1474" s="6" t="n">
        <v>8.699999999999999</v>
      </c>
      <c r="E1474" t="n">
        <v>38268</v>
      </c>
      <c r="F1474" s="6" t="n">
        <v>8.699999999999999</v>
      </c>
      <c r="G1474" t="n">
        <v>1</v>
      </c>
      <c r="H1474" s="6">
        <f>ROUND(G1474*F1474,2)</f>
        <v/>
      </c>
      <c r="I1474">
        <f>IF(ROUND(H1474-D1474,2)=0,1,0)</f>
        <v/>
      </c>
      <c r="J1474">
        <f>IF(F1474="","none",IF(G1474=1,"carte","multiple"))</f>
        <v/>
      </c>
    </row>
    <row r="1475">
      <c r="A1475" t="inlineStr">
        <is>
          <t>2022-06-01</t>
        </is>
      </c>
      <c r="B1475" t="inlineStr">
        <is>
          <t>21:05</t>
        </is>
      </c>
      <c r="C1475" t="n">
        <v>2972</v>
      </c>
      <c r="D1475" s="6" t="n">
        <v>3.9</v>
      </c>
      <c r="E1475" t="n">
        <v>38269</v>
      </c>
      <c r="F1475" s="6" t="n">
        <v>3.9</v>
      </c>
      <c r="G1475" t="n">
        <v>1</v>
      </c>
      <c r="H1475" s="6">
        <f>ROUND(G1475*F1475,2)</f>
        <v/>
      </c>
      <c r="I1475">
        <f>IF(ROUND(H1475-D1475,2)=0,1,0)</f>
        <v/>
      </c>
      <c r="J1475">
        <f>IF(F1475="","none",IF(G1475=1,"carte","multiple"))</f>
        <v/>
      </c>
    </row>
    <row r="1476">
      <c r="A1476" t="inlineStr">
        <is>
          <t>2022-06-01</t>
        </is>
      </c>
      <c r="B1476" t="inlineStr">
        <is>
          <t>21:05</t>
        </is>
      </c>
      <c r="C1476" t="n">
        <v>2972</v>
      </c>
      <c r="D1476" s="6" t="n">
        <v>7.9</v>
      </c>
      <c r="E1476" t="n">
        <v>38270</v>
      </c>
      <c r="F1476" s="6" t="n">
        <v>7.9</v>
      </c>
      <c r="G1476" t="n">
        <v>1</v>
      </c>
      <c r="H1476" s="6">
        <f>ROUND(G1476*F1476,2)</f>
        <v/>
      </c>
      <c r="I1476">
        <f>IF(ROUND(H1476-D1476,2)=0,1,0)</f>
        <v/>
      </c>
      <c r="J1476">
        <f>IF(F1476="","none",IF(G1476=1,"carte","multiple"))</f>
        <v/>
      </c>
    </row>
    <row r="1477">
      <c r="A1477" t="inlineStr">
        <is>
          <t>2022-06-01</t>
        </is>
      </c>
      <c r="B1477" t="inlineStr">
        <is>
          <t>21:05</t>
        </is>
      </c>
      <c r="C1477" t="n">
        <v>2972</v>
      </c>
      <c r="D1477" s="6" t="n">
        <v>27.8</v>
      </c>
      <c r="E1477" t="n">
        <v>38271</v>
      </c>
      <c r="F1477" s="6" t="n">
        <v>27.8</v>
      </c>
      <c r="G1477" t="n">
        <v>1</v>
      </c>
      <c r="H1477" s="6">
        <f>ROUND(G1477*F1477,2)</f>
        <v/>
      </c>
      <c r="I1477">
        <f>IF(ROUND(H1477-D1477,2)=0,1,0)</f>
        <v/>
      </c>
      <c r="J1477">
        <f>IF(F1477="","none",IF(G1477=1,"carte","multiple"))</f>
        <v/>
      </c>
    </row>
    <row r="1478">
      <c r="A1478" t="inlineStr">
        <is>
          <t>2022-06-01</t>
        </is>
      </c>
      <c r="B1478" t="inlineStr">
        <is>
          <t>21:05</t>
        </is>
      </c>
      <c r="C1478" t="n">
        <v>2972</v>
      </c>
      <c r="D1478" s="6" t="n">
        <v>28.6</v>
      </c>
      <c r="E1478" t="n">
        <v>38272</v>
      </c>
      <c r="F1478" s="6" t="n">
        <v>28.6</v>
      </c>
      <c r="G1478" t="n">
        <v>1</v>
      </c>
      <c r="H1478" s="6">
        <f>ROUND(G1478*F1478,2)</f>
        <v/>
      </c>
      <c r="I1478">
        <f>IF(ROUND(H1478-D1478,2)=0,1,0)</f>
        <v/>
      </c>
      <c r="J1478">
        <f>IF(F1478="","none",IF(G1478=1,"carte","multiple"))</f>
        <v/>
      </c>
    </row>
    <row r="1479">
      <c r="A1479" t="inlineStr">
        <is>
          <t>2022-06-01</t>
        </is>
      </c>
      <c r="B1479" t="inlineStr">
        <is>
          <t>21:05</t>
        </is>
      </c>
      <c r="C1479" t="n">
        <v>2972</v>
      </c>
      <c r="D1479" s="6" t="n">
        <v>3.8</v>
      </c>
      <c r="E1479" t="n">
        <v>38273</v>
      </c>
      <c r="F1479" s="6" t="n">
        <v>3.8</v>
      </c>
      <c r="G1479" t="n">
        <v>1</v>
      </c>
      <c r="H1479" s="6">
        <f>ROUND(G1479*F1479,2)</f>
        <v/>
      </c>
      <c r="I1479">
        <f>IF(ROUND(H1479-D1479,2)=0,1,0)</f>
        <v/>
      </c>
      <c r="J1479">
        <f>IF(F1479="","none",IF(G1479=1,"carte","multiple"))</f>
        <v/>
      </c>
    </row>
    <row r="1480">
      <c r="A1480" t="inlineStr">
        <is>
          <t>2022-06-01</t>
        </is>
      </c>
      <c r="B1480" t="inlineStr">
        <is>
          <t>21:05</t>
        </is>
      </c>
      <c r="C1480" t="n">
        <v>2972</v>
      </c>
      <c r="D1480" s="6" t="n">
        <v>5.2</v>
      </c>
      <c r="E1480" t="n">
        <v>38274</v>
      </c>
      <c r="F1480" s="6" t="n">
        <v>5.2</v>
      </c>
      <c r="G1480" t="n">
        <v>1</v>
      </c>
      <c r="H1480" s="6">
        <f>ROUND(G1480*F1480,2)</f>
        <v/>
      </c>
      <c r="I1480">
        <f>IF(ROUND(H1480-D1480,2)=0,1,0)</f>
        <v/>
      </c>
      <c r="J1480">
        <f>IF(F1480="","none",IF(G1480=1,"carte","multiple"))</f>
        <v/>
      </c>
    </row>
    <row r="1481">
      <c r="A1481" t="inlineStr">
        <is>
          <t>2022-06-02</t>
        </is>
      </c>
      <c r="B1481" t="inlineStr">
        <is>
          <t>12:10</t>
        </is>
      </c>
      <c r="C1481" t="n">
        <v>2973</v>
      </c>
      <c r="D1481" s="6" t="n">
        <v>7.8</v>
      </c>
      <c r="E1481" t="n">
        <v>38277</v>
      </c>
      <c r="F1481" s="6" t="n">
        <v>7.8</v>
      </c>
      <c r="G1481" t="n">
        <v>1</v>
      </c>
      <c r="H1481" s="6">
        <f>ROUND(G1481*F1481,2)</f>
        <v/>
      </c>
      <c r="I1481">
        <f>IF(ROUND(H1481-D1481,2)=0,1,0)</f>
        <v/>
      </c>
      <c r="J1481">
        <f>IF(F1481="","none",IF(G1481=1,"carte","multiple"))</f>
        <v/>
      </c>
    </row>
    <row r="1482">
      <c r="A1482" t="inlineStr">
        <is>
          <t>2022-06-02</t>
        </is>
      </c>
      <c r="B1482" t="inlineStr">
        <is>
          <t>12:10</t>
        </is>
      </c>
      <c r="C1482" t="n">
        <v>2973</v>
      </c>
      <c r="D1482" s="6" t="n">
        <v>35.2</v>
      </c>
      <c r="E1482" t="n">
        <v>38278</v>
      </c>
      <c r="F1482" s="6" t="n">
        <v>0.4</v>
      </c>
      <c r="G1482" t="n">
        <v>88</v>
      </c>
      <c r="H1482" s="6">
        <f>ROUND(G1482*F1482,2)</f>
        <v/>
      </c>
      <c r="I1482">
        <f>IF(ROUND(H1482-D1482,2)=0,1,0)</f>
        <v/>
      </c>
      <c r="J1482">
        <f>IF(F1482="","none",IF(G1482=1,"carte","multiple"))</f>
        <v/>
      </c>
    </row>
    <row r="1483">
      <c r="A1483" t="inlineStr">
        <is>
          <t>2022-06-02</t>
        </is>
      </c>
      <c r="B1483" t="inlineStr">
        <is>
          <t>12:10</t>
        </is>
      </c>
      <c r="C1483" t="n">
        <v>2973</v>
      </c>
      <c r="D1483" s="6" t="n">
        <v>3.9</v>
      </c>
      <c r="E1483" t="n">
        <v>38279</v>
      </c>
      <c r="F1483" s="6" t="n">
        <v>3.9</v>
      </c>
      <c r="G1483" t="n">
        <v>1</v>
      </c>
      <c r="H1483" s="6">
        <f>ROUND(G1483*F1483,2)</f>
        <v/>
      </c>
      <c r="I1483">
        <f>IF(ROUND(H1483-D1483,2)=0,1,0)</f>
        <v/>
      </c>
      <c r="J1483">
        <f>IF(F1483="","none",IF(G1483=1,"carte","multiple"))</f>
        <v/>
      </c>
    </row>
    <row r="1484">
      <c r="A1484" t="inlineStr">
        <is>
          <t>2022-06-02</t>
        </is>
      </c>
      <c r="B1484" t="inlineStr">
        <is>
          <t>12:10</t>
        </is>
      </c>
      <c r="C1484" t="n">
        <v>2973</v>
      </c>
      <c r="D1484" s="6" t="n">
        <v>3.9</v>
      </c>
      <c r="E1484" t="n">
        <v>38280</v>
      </c>
      <c r="F1484" s="6" t="n">
        <v>3.9</v>
      </c>
      <c r="G1484" t="n">
        <v>1</v>
      </c>
      <c r="H1484" s="6">
        <f>ROUND(G1484*F1484,2)</f>
        <v/>
      </c>
      <c r="I1484">
        <f>IF(ROUND(H1484-D1484,2)=0,1,0)</f>
        <v/>
      </c>
      <c r="J1484">
        <f>IF(F1484="","none",IF(G1484=1,"carte","multiple"))</f>
        <v/>
      </c>
    </row>
    <row r="1485">
      <c r="A1485" t="inlineStr">
        <is>
          <t>2022-06-02</t>
        </is>
      </c>
      <c r="B1485" t="inlineStr">
        <is>
          <t>12:26</t>
        </is>
      </c>
      <c r="C1485" t="n">
        <v>2973</v>
      </c>
      <c r="D1485" s="6" t="n">
        <v>3.8</v>
      </c>
      <c r="E1485" t="n">
        <v>38281</v>
      </c>
      <c r="F1485" s="6" t="n">
        <v>3.8</v>
      </c>
      <c r="G1485" t="n">
        <v>1</v>
      </c>
      <c r="H1485" s="6">
        <f>ROUND(G1485*F1485,2)</f>
        <v/>
      </c>
      <c r="I1485">
        <f>IF(ROUND(H1485-D1485,2)=0,1,0)</f>
        <v/>
      </c>
      <c r="J1485">
        <f>IF(F1485="","none",IF(G1485=1,"carte","multiple"))</f>
        <v/>
      </c>
    </row>
    <row r="1486">
      <c r="A1486" t="inlineStr">
        <is>
          <t>2022-06-02</t>
        </is>
      </c>
      <c r="B1486" t="inlineStr">
        <is>
          <t>12:26</t>
        </is>
      </c>
      <c r="C1486" t="n">
        <v>2973</v>
      </c>
      <c r="D1486" s="6" t="n">
        <v>3.9</v>
      </c>
      <c r="E1486" t="n">
        <v>38282</v>
      </c>
      <c r="F1486" s="6" t="n">
        <v>3.9</v>
      </c>
      <c r="G1486" t="n">
        <v>1</v>
      </c>
      <c r="H1486" s="6">
        <f>ROUND(G1486*F1486,2)</f>
        <v/>
      </c>
      <c r="I1486">
        <f>IF(ROUND(H1486-D1486,2)=0,1,0)</f>
        <v/>
      </c>
      <c r="J1486">
        <f>IF(F1486="","none",IF(G1486=1,"carte","multiple"))</f>
        <v/>
      </c>
    </row>
    <row r="1487">
      <c r="A1487" t="inlineStr">
        <is>
          <t>2022-06-02</t>
        </is>
      </c>
      <c r="B1487" t="inlineStr">
        <is>
          <t>12:26</t>
        </is>
      </c>
      <c r="C1487" t="n">
        <v>2973</v>
      </c>
      <c r="D1487" s="6" t="n">
        <v>16.9</v>
      </c>
      <c r="E1487" t="n">
        <v>38283</v>
      </c>
      <c r="F1487" s="6" t="n">
        <v>16.9</v>
      </c>
      <c r="G1487" t="n">
        <v>1</v>
      </c>
      <c r="H1487" s="6">
        <f>ROUND(G1487*F1487,2)</f>
        <v/>
      </c>
      <c r="I1487">
        <f>IF(ROUND(H1487-D1487,2)=0,1,0)</f>
        <v/>
      </c>
      <c r="J1487">
        <f>IF(F1487="","none",IF(G1487=1,"carte","multiple"))</f>
        <v/>
      </c>
    </row>
    <row r="1488">
      <c r="A1488" t="inlineStr">
        <is>
          <t>2022-06-02</t>
        </is>
      </c>
      <c r="B1488" t="inlineStr">
        <is>
          <t>12:26</t>
        </is>
      </c>
      <c r="C1488" t="n">
        <v>2973</v>
      </c>
      <c r="D1488" s="6" t="n">
        <v>13</v>
      </c>
      <c r="E1488" t="n">
        <v>38284</v>
      </c>
      <c r="F1488" s="6" t="n">
        <v>13</v>
      </c>
      <c r="G1488" t="n">
        <v>1</v>
      </c>
      <c r="H1488" s="6">
        <f>ROUND(G1488*F1488,2)</f>
        <v/>
      </c>
      <c r="I1488">
        <f>IF(ROUND(H1488-D1488,2)=0,1,0)</f>
        <v/>
      </c>
      <c r="J1488">
        <f>IF(F1488="","none",IF(G1488=1,"carte","multiple"))</f>
        <v/>
      </c>
    </row>
    <row r="1489">
      <c r="A1489" t="inlineStr">
        <is>
          <t>2022-06-02</t>
        </is>
      </c>
      <c r="B1489" t="inlineStr">
        <is>
          <t>12:26</t>
        </is>
      </c>
      <c r="C1489" t="n">
        <v>2973</v>
      </c>
      <c r="D1489" s="6" t="n">
        <v>5.9</v>
      </c>
      <c r="E1489" t="n">
        <v>38285</v>
      </c>
      <c r="F1489" s="6" t="n">
        <v>5.9</v>
      </c>
      <c r="G1489" t="n">
        <v>1</v>
      </c>
      <c r="H1489" s="6">
        <f>ROUND(G1489*F1489,2)</f>
        <v/>
      </c>
      <c r="I1489">
        <f>IF(ROUND(H1489-D1489,2)=0,1,0)</f>
        <v/>
      </c>
      <c r="J1489">
        <f>IF(F1489="","none",IF(G1489=1,"carte","multiple"))</f>
        <v/>
      </c>
    </row>
    <row r="1490">
      <c r="A1490" t="inlineStr">
        <is>
          <t>2022-06-02</t>
        </is>
      </c>
      <c r="B1490" t="inlineStr">
        <is>
          <t>12:26</t>
        </is>
      </c>
      <c r="C1490" t="n">
        <v>2973</v>
      </c>
      <c r="D1490" s="6" t="n">
        <v>9.6</v>
      </c>
      <c r="E1490" t="n">
        <v>38286</v>
      </c>
      <c r="F1490" s="6" t="n">
        <v>9.6</v>
      </c>
      <c r="G1490" t="n">
        <v>1</v>
      </c>
      <c r="H1490" s="6">
        <f>ROUND(G1490*F1490,2)</f>
        <v/>
      </c>
      <c r="I1490">
        <f>IF(ROUND(H1490-D1490,2)=0,1,0)</f>
        <v/>
      </c>
      <c r="J1490">
        <f>IF(F1490="","none",IF(G1490=1,"carte","multiple"))</f>
        <v/>
      </c>
    </row>
    <row r="1491">
      <c r="A1491" t="inlineStr">
        <is>
          <t>2022-06-02</t>
        </is>
      </c>
      <c r="B1491" t="inlineStr">
        <is>
          <t>12:26</t>
        </is>
      </c>
      <c r="C1491" t="n">
        <v>2973</v>
      </c>
      <c r="D1491" s="6" t="n">
        <v>11.7</v>
      </c>
      <c r="E1491" t="n">
        <v>38287</v>
      </c>
      <c r="F1491" s="6" t="n">
        <v>0.9</v>
      </c>
      <c r="G1491" t="n">
        <v>13</v>
      </c>
      <c r="H1491" s="6">
        <f>ROUND(G1491*F1491,2)</f>
        <v/>
      </c>
      <c r="I1491">
        <f>IF(ROUND(H1491-D1491,2)=0,1,0)</f>
        <v/>
      </c>
      <c r="J1491">
        <f>IF(F1491="","none",IF(G1491=1,"carte","multiple"))</f>
        <v/>
      </c>
    </row>
    <row r="1492">
      <c r="A1492" t="inlineStr">
        <is>
          <t>2022-06-02</t>
        </is>
      </c>
      <c r="B1492" t="inlineStr">
        <is>
          <t>12:26</t>
        </is>
      </c>
      <c r="C1492" t="n">
        <v>2973</v>
      </c>
      <c r="D1492" s="6" t="n">
        <v>4</v>
      </c>
      <c r="E1492" t="n">
        <v>38288</v>
      </c>
      <c r="F1492" s="6" t="n">
        <v>4</v>
      </c>
      <c r="G1492" t="n">
        <v>1</v>
      </c>
      <c r="H1492" s="6">
        <f>ROUND(G1492*F1492,2)</f>
        <v/>
      </c>
      <c r="I1492">
        <f>IF(ROUND(H1492-D1492,2)=0,1,0)</f>
        <v/>
      </c>
      <c r="J1492">
        <f>IF(F1492="","none",IF(G1492=1,"carte","multiple"))</f>
        <v/>
      </c>
    </row>
    <row r="1493">
      <c r="A1493" t="inlineStr">
        <is>
          <t>2022-06-02</t>
        </is>
      </c>
      <c r="B1493" t="inlineStr">
        <is>
          <t>17:53</t>
        </is>
      </c>
      <c r="C1493" t="n">
        <v>2973</v>
      </c>
      <c r="D1493" s="6" t="n">
        <v>29.9</v>
      </c>
      <c r="E1493" t="n">
        <v>38289</v>
      </c>
      <c r="F1493" s="6" t="n">
        <v>29.9</v>
      </c>
      <c r="G1493" t="n">
        <v>1</v>
      </c>
      <c r="H1493" s="6">
        <f>ROUND(G1493*F1493,2)</f>
        <v/>
      </c>
      <c r="I1493">
        <f>IF(ROUND(H1493-D1493,2)=0,1,0)</f>
        <v/>
      </c>
      <c r="J1493">
        <f>IF(F1493="","none",IF(G1493=1,"carte","multiple"))</f>
        <v/>
      </c>
    </row>
    <row r="1494">
      <c r="A1494" t="inlineStr">
        <is>
          <t>2022-06-02</t>
        </is>
      </c>
      <c r="B1494" t="inlineStr">
        <is>
          <t>17:53</t>
        </is>
      </c>
      <c r="C1494" t="n">
        <v>2973</v>
      </c>
      <c r="D1494" s="6" t="n">
        <v>10.4</v>
      </c>
      <c r="E1494" t="n">
        <v>38290</v>
      </c>
      <c r="F1494" s="6" t="n">
        <v>0.4</v>
      </c>
      <c r="G1494" t="n">
        <v>26</v>
      </c>
      <c r="H1494" s="6">
        <f>ROUND(G1494*F1494,2)</f>
        <v/>
      </c>
      <c r="I1494">
        <f>IF(ROUND(H1494-D1494,2)=0,1,0)</f>
        <v/>
      </c>
      <c r="J1494">
        <f>IF(F1494="","none",IF(G1494=1,"carte","multiple"))</f>
        <v/>
      </c>
    </row>
    <row r="1495">
      <c r="A1495" t="inlineStr">
        <is>
          <t>2022-06-02</t>
        </is>
      </c>
      <c r="B1495" t="inlineStr">
        <is>
          <t>18:32</t>
        </is>
      </c>
      <c r="C1495" t="n">
        <v>2973</v>
      </c>
      <c r="D1495" s="6" t="n">
        <v>3.2</v>
      </c>
      <c r="E1495" t="n">
        <v>38291</v>
      </c>
      <c r="F1495" s="6" t="n">
        <v>3.2</v>
      </c>
      <c r="G1495" t="n">
        <v>1</v>
      </c>
      <c r="H1495" s="6">
        <f>ROUND(G1495*F1495,2)</f>
        <v/>
      </c>
      <c r="I1495">
        <f>IF(ROUND(H1495-D1495,2)=0,1,0)</f>
        <v/>
      </c>
      <c r="J1495">
        <f>IF(F1495="","none",IF(G1495=1,"carte","multiple"))</f>
        <v/>
      </c>
    </row>
    <row r="1496">
      <c r="A1496" t="inlineStr">
        <is>
          <t>2022-06-02</t>
        </is>
      </c>
      <c r="B1496" t="inlineStr">
        <is>
          <t>18:32</t>
        </is>
      </c>
      <c r="C1496" t="n">
        <v>2973</v>
      </c>
      <c r="D1496" s="6" t="n">
        <v>17.6</v>
      </c>
      <c r="E1496" t="n">
        <v>38292</v>
      </c>
      <c r="F1496" s="6" t="n">
        <v>17.6</v>
      </c>
      <c r="G1496" t="n">
        <v>1</v>
      </c>
      <c r="H1496" s="6">
        <f>ROUND(G1496*F1496,2)</f>
        <v/>
      </c>
      <c r="I1496">
        <f>IF(ROUND(H1496-D1496,2)=0,1,0)</f>
        <v/>
      </c>
      <c r="J1496">
        <f>IF(F1496="","none",IF(G1496=1,"carte","multiple"))</f>
        <v/>
      </c>
    </row>
    <row r="1497">
      <c r="A1497" t="inlineStr">
        <is>
          <t>2022-06-02</t>
        </is>
      </c>
      <c r="B1497" t="inlineStr">
        <is>
          <t>18:32</t>
        </is>
      </c>
      <c r="C1497" t="n">
        <v>2973</v>
      </c>
      <c r="D1497" s="6" t="n">
        <v>39.8</v>
      </c>
      <c r="E1497" t="n">
        <v>38293</v>
      </c>
      <c r="F1497" s="6" t="n">
        <v>39.8</v>
      </c>
      <c r="G1497" t="n">
        <v>1</v>
      </c>
      <c r="H1497" s="6">
        <f>ROUND(G1497*F1497,2)</f>
        <v/>
      </c>
      <c r="I1497">
        <f>IF(ROUND(H1497-D1497,2)=0,1,0)</f>
        <v/>
      </c>
      <c r="J1497">
        <f>IF(F1497="","none",IF(G1497=1,"carte","multiple"))</f>
        <v/>
      </c>
    </row>
    <row r="1498">
      <c r="A1498" t="inlineStr">
        <is>
          <t>2022-06-02</t>
        </is>
      </c>
      <c r="B1498" t="inlineStr">
        <is>
          <t>18:32</t>
        </is>
      </c>
      <c r="C1498" t="n">
        <v>2973</v>
      </c>
      <c r="D1498" s="6" t="n">
        <v>16.4</v>
      </c>
      <c r="E1498" t="n">
        <v>38294</v>
      </c>
      <c r="F1498" s="6" t="n">
        <v>16.4</v>
      </c>
      <c r="G1498" t="n">
        <v>1</v>
      </c>
      <c r="H1498" s="6">
        <f>ROUND(G1498*F1498,2)</f>
        <v/>
      </c>
      <c r="I1498">
        <f>IF(ROUND(H1498-D1498,2)=0,1,0)</f>
        <v/>
      </c>
      <c r="J1498">
        <f>IF(F1498="","none",IF(G1498=1,"carte","multiple"))</f>
        <v/>
      </c>
    </row>
    <row r="1499">
      <c r="A1499" t="inlineStr">
        <is>
          <t>2022-06-02</t>
        </is>
      </c>
      <c r="B1499" t="inlineStr">
        <is>
          <t>18:32</t>
        </is>
      </c>
      <c r="C1499" t="n">
        <v>2973</v>
      </c>
      <c r="D1499" s="6" t="n">
        <v>17.6</v>
      </c>
      <c r="E1499" t="n">
        <v>38295</v>
      </c>
      <c r="F1499" s="6" t="n">
        <v>17.6</v>
      </c>
      <c r="G1499" t="n">
        <v>1</v>
      </c>
      <c r="H1499" s="6">
        <f>ROUND(G1499*F1499,2)</f>
        <v/>
      </c>
      <c r="I1499">
        <f>IF(ROUND(H1499-D1499,2)=0,1,0)</f>
        <v/>
      </c>
      <c r="J1499">
        <f>IF(F1499="","none",IF(G1499=1,"carte","multiple"))</f>
        <v/>
      </c>
    </row>
    <row r="1500">
      <c r="A1500" t="inlineStr">
        <is>
          <t>2022-06-02</t>
        </is>
      </c>
      <c r="B1500" t="inlineStr">
        <is>
          <t>18:32</t>
        </is>
      </c>
      <c r="C1500" t="n">
        <v>2973</v>
      </c>
      <c r="D1500" s="6" t="n">
        <v>17.6</v>
      </c>
      <c r="E1500" t="n">
        <v>38296</v>
      </c>
      <c r="F1500" s="6" t="n">
        <v>17.6</v>
      </c>
      <c r="G1500" t="n">
        <v>1</v>
      </c>
      <c r="H1500" s="6">
        <f>ROUND(G1500*F1500,2)</f>
        <v/>
      </c>
      <c r="I1500">
        <f>IF(ROUND(H1500-D1500,2)=0,1,0)</f>
        <v/>
      </c>
      <c r="J1500">
        <f>IF(F1500="","none",IF(G1500=1,"carte","multiple"))</f>
        <v/>
      </c>
    </row>
    <row r="1501">
      <c r="A1501" t="inlineStr">
        <is>
          <t>2022-06-02</t>
        </is>
      </c>
      <c r="B1501" t="inlineStr">
        <is>
          <t>18:32</t>
        </is>
      </c>
      <c r="C1501" t="n">
        <v>2973</v>
      </c>
      <c r="D1501" s="6" t="n">
        <v>6.4</v>
      </c>
      <c r="E1501" t="n">
        <v>38297</v>
      </c>
      <c r="F1501" s="6" t="n">
        <v>6.4</v>
      </c>
      <c r="G1501" t="n">
        <v>1</v>
      </c>
      <c r="H1501" s="6">
        <f>ROUND(G1501*F1501,2)</f>
        <v/>
      </c>
      <c r="I1501">
        <f>IF(ROUND(H1501-D1501,2)=0,1,0)</f>
        <v/>
      </c>
      <c r="J1501">
        <f>IF(F1501="","none",IF(G1501=1,"carte","multiple"))</f>
        <v/>
      </c>
    </row>
    <row r="1502">
      <c r="A1502" t="inlineStr">
        <is>
          <t>2022-06-02</t>
        </is>
      </c>
      <c r="B1502" t="inlineStr">
        <is>
          <t>18:32</t>
        </is>
      </c>
      <c r="C1502" t="n">
        <v>2973</v>
      </c>
      <c r="D1502" s="6" t="n">
        <v>14.4</v>
      </c>
      <c r="E1502" t="n">
        <v>38298</v>
      </c>
      <c r="F1502" s="6" t="n">
        <v>0.4</v>
      </c>
      <c r="G1502" t="n">
        <v>36</v>
      </c>
      <c r="H1502" s="6">
        <f>ROUND(G1502*F1502,2)</f>
        <v/>
      </c>
      <c r="I1502">
        <f>IF(ROUND(H1502-D1502,2)=0,1,0)</f>
        <v/>
      </c>
      <c r="J1502">
        <f>IF(F1502="","none",IF(G1502=1,"carte","multiple"))</f>
        <v/>
      </c>
    </row>
    <row r="1503">
      <c r="A1503" t="inlineStr">
        <is>
          <t>2022-06-02</t>
        </is>
      </c>
      <c r="B1503" t="inlineStr">
        <is>
          <t>18:36</t>
        </is>
      </c>
      <c r="C1503" t="n">
        <v>2973</v>
      </c>
      <c r="D1503" s="6" t="n">
        <v>9.6</v>
      </c>
      <c r="E1503" t="n">
        <v>38299</v>
      </c>
      <c r="F1503" s="6" t="n">
        <v>9.6</v>
      </c>
      <c r="G1503" t="n">
        <v>1</v>
      </c>
      <c r="H1503" s="6">
        <f>ROUND(G1503*F1503,2)</f>
        <v/>
      </c>
      <c r="I1503">
        <f>IF(ROUND(H1503-D1503,2)=0,1,0)</f>
        <v/>
      </c>
      <c r="J1503">
        <f>IF(F1503="","none",IF(G1503=1,"carte","multiple"))</f>
        <v/>
      </c>
    </row>
    <row r="1504">
      <c r="A1504" t="inlineStr">
        <is>
          <t>2022-06-02</t>
        </is>
      </c>
      <c r="B1504" t="inlineStr">
        <is>
          <t>18:36</t>
        </is>
      </c>
      <c r="C1504" t="n">
        <v>2973</v>
      </c>
      <c r="D1504" s="6" t="n">
        <v>19.9</v>
      </c>
      <c r="E1504" t="n">
        <v>38300</v>
      </c>
      <c r="F1504" s="6" t="n">
        <v>19.9</v>
      </c>
      <c r="G1504" t="n">
        <v>1</v>
      </c>
      <c r="H1504" s="6">
        <f>ROUND(G1504*F1504,2)</f>
        <v/>
      </c>
      <c r="I1504">
        <f>IF(ROUND(H1504-D1504,2)=0,1,0)</f>
        <v/>
      </c>
      <c r="J1504">
        <f>IF(F1504="","none",IF(G1504=1,"carte","multiple"))</f>
        <v/>
      </c>
    </row>
    <row r="1505">
      <c r="A1505" t="inlineStr">
        <is>
          <t>2022-06-02</t>
        </is>
      </c>
      <c r="B1505" t="inlineStr">
        <is>
          <t>18:40</t>
        </is>
      </c>
      <c r="C1505" t="n">
        <v>2973</v>
      </c>
      <c r="D1505" s="6" t="n">
        <v>8.9</v>
      </c>
      <c r="E1505" t="n">
        <v>38301</v>
      </c>
      <c r="F1505" s="6" t="n">
        <v>8.9</v>
      </c>
      <c r="G1505" t="n">
        <v>1</v>
      </c>
      <c r="H1505" s="6">
        <f>ROUND(G1505*F1505,2)</f>
        <v/>
      </c>
      <c r="I1505">
        <f>IF(ROUND(H1505-D1505,2)=0,1,0)</f>
        <v/>
      </c>
      <c r="J1505">
        <f>IF(F1505="","none",IF(G1505=1,"carte","multiple"))</f>
        <v/>
      </c>
    </row>
    <row r="1506">
      <c r="A1506" t="inlineStr">
        <is>
          <t>2022-06-02</t>
        </is>
      </c>
      <c r="B1506" t="inlineStr">
        <is>
          <t>18:40</t>
        </is>
      </c>
      <c r="C1506" t="n">
        <v>2973</v>
      </c>
      <c r="D1506" s="6" t="n">
        <v>28</v>
      </c>
      <c r="E1506" t="n">
        <v>38302</v>
      </c>
      <c r="F1506" s="6" t="n">
        <v>28</v>
      </c>
      <c r="G1506" t="n">
        <v>1</v>
      </c>
      <c r="H1506" s="6">
        <f>ROUND(G1506*F1506,2)</f>
        <v/>
      </c>
      <c r="I1506">
        <f>IF(ROUND(H1506-D1506,2)=0,1,0)</f>
        <v/>
      </c>
      <c r="J1506">
        <f>IF(F1506="","none",IF(G1506=1,"carte","multiple"))</f>
        <v/>
      </c>
    </row>
    <row r="1507">
      <c r="A1507" t="inlineStr">
        <is>
          <t>2022-06-02</t>
        </is>
      </c>
      <c r="B1507" t="inlineStr">
        <is>
          <t>18:40</t>
        </is>
      </c>
      <c r="C1507" t="n">
        <v>2973</v>
      </c>
      <c r="D1507" s="6" t="n">
        <v>10.9</v>
      </c>
      <c r="E1507" t="n">
        <v>38303</v>
      </c>
      <c r="F1507" s="6" t="n">
        <v>10.9</v>
      </c>
      <c r="G1507" t="n">
        <v>1</v>
      </c>
      <c r="H1507" s="6">
        <f>ROUND(G1507*F1507,2)</f>
        <v/>
      </c>
      <c r="I1507">
        <f>IF(ROUND(H1507-D1507,2)=0,1,0)</f>
        <v/>
      </c>
      <c r="J1507">
        <f>IF(F1507="","none",IF(G1507=1,"carte","multiple"))</f>
        <v/>
      </c>
    </row>
    <row r="1508">
      <c r="A1508" t="inlineStr">
        <is>
          <t>2022-06-02</t>
        </is>
      </c>
      <c r="B1508" t="inlineStr">
        <is>
          <t>18:40</t>
        </is>
      </c>
      <c r="C1508" t="n">
        <v>2973</v>
      </c>
      <c r="D1508" s="6" t="n">
        <v>17.6</v>
      </c>
      <c r="E1508" t="n">
        <v>38304</v>
      </c>
      <c r="F1508" s="6" t="n">
        <v>17.6</v>
      </c>
      <c r="G1508" t="n">
        <v>1</v>
      </c>
      <c r="H1508" s="6">
        <f>ROUND(G1508*F1508,2)</f>
        <v/>
      </c>
      <c r="I1508">
        <f>IF(ROUND(H1508-D1508,2)=0,1,0)</f>
        <v/>
      </c>
      <c r="J1508">
        <f>IF(F1508="","none",IF(G1508=1,"carte","multiple"))</f>
        <v/>
      </c>
    </row>
    <row r="1509">
      <c r="A1509" t="inlineStr">
        <is>
          <t>2022-06-02</t>
        </is>
      </c>
      <c r="B1509" t="inlineStr">
        <is>
          <t>18:40</t>
        </is>
      </c>
      <c r="C1509" t="n">
        <v>2973</v>
      </c>
      <c r="D1509" s="6" t="n">
        <v>19.9</v>
      </c>
      <c r="E1509" t="n">
        <v>38305</v>
      </c>
      <c r="F1509" s="6" t="n">
        <v>19.9</v>
      </c>
      <c r="G1509" t="n">
        <v>1</v>
      </c>
      <c r="H1509" s="6">
        <f>ROUND(G1509*F1509,2)</f>
        <v/>
      </c>
      <c r="I1509">
        <f>IF(ROUND(H1509-D1509,2)=0,1,0)</f>
        <v/>
      </c>
      <c r="J1509">
        <f>IF(F1509="","none",IF(G1509=1,"carte","multiple"))</f>
        <v/>
      </c>
    </row>
    <row r="1510">
      <c r="A1510" t="inlineStr">
        <is>
          <t>2022-06-02</t>
        </is>
      </c>
      <c r="B1510" t="inlineStr">
        <is>
          <t>19:22</t>
        </is>
      </c>
      <c r="C1510" t="n">
        <v>2973</v>
      </c>
      <c r="D1510" s="6" t="n">
        <v>3.4</v>
      </c>
      <c r="E1510" t="n">
        <v>38306</v>
      </c>
      <c r="F1510" s="6" t="n">
        <v>3.4</v>
      </c>
      <c r="G1510" t="n">
        <v>1</v>
      </c>
      <c r="H1510" s="6">
        <f>ROUND(G1510*F1510,2)</f>
        <v/>
      </c>
      <c r="I1510">
        <f>IF(ROUND(H1510-D1510,2)=0,1,0)</f>
        <v/>
      </c>
      <c r="J1510">
        <f>IF(F1510="","none",IF(G1510=1,"carte","multiple"))</f>
        <v/>
      </c>
    </row>
    <row r="1511">
      <c r="A1511" t="inlineStr">
        <is>
          <t>2022-06-02</t>
        </is>
      </c>
      <c r="B1511" t="inlineStr">
        <is>
          <t>19:25</t>
        </is>
      </c>
      <c r="C1511" t="n">
        <v>2973</v>
      </c>
      <c r="D1511" s="6" t="n">
        <v>4.4</v>
      </c>
      <c r="E1511" t="n">
        <v>38307</v>
      </c>
      <c r="F1511" s="6" t="n">
        <v>0.4</v>
      </c>
      <c r="G1511" t="n">
        <v>11</v>
      </c>
      <c r="H1511" s="6">
        <f>ROUND(G1511*F1511,2)</f>
        <v/>
      </c>
      <c r="I1511">
        <f>IF(ROUND(H1511-D1511,2)=0,1,0)</f>
        <v/>
      </c>
      <c r="J1511">
        <f>IF(F1511="","none",IF(G1511=1,"carte","multiple"))</f>
        <v/>
      </c>
    </row>
    <row r="1512">
      <c r="A1512" t="inlineStr">
        <is>
          <t>2022-06-02</t>
        </is>
      </c>
      <c r="B1512" t="inlineStr">
        <is>
          <t>19:25</t>
        </is>
      </c>
      <c r="C1512" t="n">
        <v>2973</v>
      </c>
      <c r="D1512" s="6" t="n">
        <v>35.2</v>
      </c>
      <c r="E1512" t="n">
        <v>38308</v>
      </c>
      <c r="F1512" s="6" t="n">
        <v>0.4</v>
      </c>
      <c r="G1512" t="n">
        <v>88</v>
      </c>
      <c r="H1512" s="6">
        <f>ROUND(G1512*F1512,2)</f>
        <v/>
      </c>
      <c r="I1512">
        <f>IF(ROUND(H1512-D1512,2)=0,1,0)</f>
        <v/>
      </c>
      <c r="J1512">
        <f>IF(F1512="","none",IF(G1512=1,"carte","multiple"))</f>
        <v/>
      </c>
    </row>
    <row r="1513">
      <c r="A1513" t="inlineStr">
        <is>
          <t>2022-06-02</t>
        </is>
      </c>
      <c r="B1513" t="inlineStr">
        <is>
          <t>19:25</t>
        </is>
      </c>
      <c r="C1513" t="n">
        <v>2973</v>
      </c>
      <c r="D1513" s="6" t="n">
        <v>11.8</v>
      </c>
      <c r="E1513" t="n">
        <v>38309</v>
      </c>
      <c r="F1513" s="6" t="n">
        <v>5.9</v>
      </c>
      <c r="G1513" t="n">
        <v>2</v>
      </c>
      <c r="H1513" s="6">
        <f>ROUND(G1513*F1513,2)</f>
        <v/>
      </c>
      <c r="I1513">
        <f>IF(ROUND(H1513-D1513,2)=0,1,0)</f>
        <v/>
      </c>
      <c r="J1513">
        <f>IF(F1513="","none",IF(G1513=1,"carte","multiple"))</f>
        <v/>
      </c>
    </row>
    <row r="1514">
      <c r="A1514" t="inlineStr">
        <is>
          <t>2022-06-02</t>
        </is>
      </c>
      <c r="B1514" t="inlineStr">
        <is>
          <t>19:25</t>
        </is>
      </c>
      <c r="C1514" t="n">
        <v>2973</v>
      </c>
      <c r="D1514" s="6" t="n">
        <v>18</v>
      </c>
      <c r="E1514" t="n">
        <v>38310</v>
      </c>
      <c r="F1514" s="6" t="n">
        <v>18</v>
      </c>
      <c r="G1514" t="n">
        <v>1</v>
      </c>
      <c r="H1514" s="6">
        <f>ROUND(G1514*F1514,2)</f>
        <v/>
      </c>
      <c r="I1514">
        <f>IF(ROUND(H1514-D1514,2)=0,1,0)</f>
        <v/>
      </c>
      <c r="J1514">
        <f>IF(F1514="","none",IF(G1514=1,"carte","multiple"))</f>
        <v/>
      </c>
    </row>
    <row r="1515">
      <c r="A1515" t="inlineStr">
        <is>
          <t>2022-06-02</t>
        </is>
      </c>
      <c r="B1515" t="inlineStr">
        <is>
          <t>19:25</t>
        </is>
      </c>
      <c r="C1515" t="n">
        <v>2973</v>
      </c>
      <c r="D1515" s="6" t="n">
        <v>9.6</v>
      </c>
      <c r="E1515" t="n">
        <v>38311</v>
      </c>
      <c r="F1515" s="6" t="n">
        <v>9.6</v>
      </c>
      <c r="G1515" t="n">
        <v>1</v>
      </c>
      <c r="H1515" s="6">
        <f>ROUND(G1515*F1515,2)</f>
        <v/>
      </c>
      <c r="I1515">
        <f>IF(ROUND(H1515-D1515,2)=0,1,0)</f>
        <v/>
      </c>
      <c r="J1515">
        <f>IF(F1515="","none",IF(G1515=1,"carte","multiple"))</f>
        <v/>
      </c>
    </row>
    <row r="1516">
      <c r="A1516" t="inlineStr">
        <is>
          <t>2022-06-02</t>
        </is>
      </c>
      <c r="B1516" t="inlineStr">
        <is>
          <t>19:25</t>
        </is>
      </c>
      <c r="C1516" t="n">
        <v>2973</v>
      </c>
      <c r="D1516" s="6" t="n">
        <v>19</v>
      </c>
      <c r="E1516" t="n">
        <v>38312</v>
      </c>
      <c r="F1516" s="6" t="n">
        <v>19</v>
      </c>
      <c r="G1516" t="n">
        <v>1</v>
      </c>
      <c r="H1516" s="6">
        <f>ROUND(G1516*F1516,2)</f>
        <v/>
      </c>
      <c r="I1516">
        <f>IF(ROUND(H1516-D1516,2)=0,1,0)</f>
        <v/>
      </c>
      <c r="J1516">
        <f>IF(F1516="","none",IF(G1516=1,"carte","multiple"))</f>
        <v/>
      </c>
    </row>
    <row r="1517">
      <c r="A1517" t="inlineStr">
        <is>
          <t>2022-06-02</t>
        </is>
      </c>
      <c r="B1517" t="inlineStr">
        <is>
          <t>19:25</t>
        </is>
      </c>
      <c r="C1517" t="n">
        <v>2973</v>
      </c>
      <c r="D1517" s="6" t="n">
        <v>7.9</v>
      </c>
      <c r="E1517" t="n">
        <v>38313</v>
      </c>
      <c r="F1517" s="6" t="n">
        <v>7.9</v>
      </c>
      <c r="G1517" t="n">
        <v>1</v>
      </c>
      <c r="H1517" s="6">
        <f>ROUND(G1517*F1517,2)</f>
        <v/>
      </c>
      <c r="I1517">
        <f>IF(ROUND(H1517-D1517,2)=0,1,0)</f>
        <v/>
      </c>
      <c r="J1517">
        <f>IF(F1517="","none",IF(G1517=1,"carte","multiple"))</f>
        <v/>
      </c>
    </row>
    <row r="1518">
      <c r="A1518" t="inlineStr">
        <is>
          <t>2022-06-02</t>
        </is>
      </c>
      <c r="B1518" t="inlineStr">
        <is>
          <t>19:25</t>
        </is>
      </c>
      <c r="C1518" t="n">
        <v>2973</v>
      </c>
      <c r="D1518" s="6" t="n">
        <v>7.9</v>
      </c>
      <c r="E1518" t="n">
        <v>38314</v>
      </c>
      <c r="F1518" s="6" t="n">
        <v>7.9</v>
      </c>
      <c r="G1518" t="n">
        <v>1</v>
      </c>
      <c r="H1518" s="6">
        <f>ROUND(G1518*F1518,2)</f>
        <v/>
      </c>
      <c r="I1518">
        <f>IF(ROUND(H1518-D1518,2)=0,1,0)</f>
        <v/>
      </c>
      <c r="J1518">
        <f>IF(F1518="","none",IF(G1518=1,"carte","multiple"))</f>
        <v/>
      </c>
    </row>
    <row r="1519">
      <c r="A1519" t="inlineStr">
        <is>
          <t>2022-06-02</t>
        </is>
      </c>
      <c r="B1519" t="inlineStr">
        <is>
          <t>20:03</t>
        </is>
      </c>
      <c r="C1519" t="n">
        <v>2973</v>
      </c>
      <c r="D1519" s="6" t="n">
        <v>3.4</v>
      </c>
      <c r="E1519" t="n">
        <v>38315</v>
      </c>
      <c r="F1519" s="6" t="n">
        <v>3.4</v>
      </c>
      <c r="G1519" t="n">
        <v>1</v>
      </c>
      <c r="H1519" s="6">
        <f>ROUND(G1519*F1519,2)</f>
        <v/>
      </c>
      <c r="I1519">
        <f>IF(ROUND(H1519-D1519,2)=0,1,0)</f>
        <v/>
      </c>
      <c r="J1519">
        <f>IF(F1519="","none",IF(G1519=1,"carte","multiple"))</f>
        <v/>
      </c>
    </row>
    <row r="1520">
      <c r="A1520" t="inlineStr">
        <is>
          <t>2022-06-02</t>
        </is>
      </c>
      <c r="B1520" t="inlineStr">
        <is>
          <t>20:03</t>
        </is>
      </c>
      <c r="C1520" t="n">
        <v>2973</v>
      </c>
      <c r="D1520" s="6" t="n">
        <v>1.8</v>
      </c>
      <c r="E1520" t="n">
        <v>38316</v>
      </c>
      <c r="F1520" s="6" t="n">
        <v>1.8</v>
      </c>
      <c r="G1520" t="n">
        <v>1</v>
      </c>
      <c r="H1520" s="6">
        <f>ROUND(G1520*F1520,2)</f>
        <v/>
      </c>
      <c r="I1520">
        <f>IF(ROUND(H1520-D1520,2)=0,1,0)</f>
        <v/>
      </c>
      <c r="J1520">
        <f>IF(F1520="","none",IF(G1520=1,"carte","multiple"))</f>
        <v/>
      </c>
    </row>
    <row r="1521">
      <c r="A1521" t="inlineStr">
        <is>
          <t>2022-06-02</t>
        </is>
      </c>
      <c r="B1521" t="inlineStr">
        <is>
          <t>20:03</t>
        </is>
      </c>
      <c r="C1521" t="n">
        <v>2973</v>
      </c>
      <c r="D1521" s="6" t="n">
        <v>2.9</v>
      </c>
      <c r="E1521" t="n">
        <v>38317</v>
      </c>
      <c r="F1521" s="6" t="n">
        <v>2.9</v>
      </c>
      <c r="G1521" t="n">
        <v>1</v>
      </c>
      <c r="H1521" s="6">
        <f>ROUND(G1521*F1521,2)</f>
        <v/>
      </c>
      <c r="I1521">
        <f>IF(ROUND(H1521-D1521,2)=0,1,0)</f>
        <v/>
      </c>
      <c r="J1521">
        <f>IF(F1521="","none",IF(G1521=1,"carte","multiple"))</f>
        <v/>
      </c>
    </row>
    <row r="1522">
      <c r="A1522" t="inlineStr">
        <is>
          <t>2022-06-02</t>
        </is>
      </c>
      <c r="B1522" t="inlineStr">
        <is>
          <t>20:03</t>
        </is>
      </c>
      <c r="C1522" t="n">
        <v>2973</v>
      </c>
      <c r="D1522" s="6" t="n">
        <v>15.9</v>
      </c>
      <c r="E1522" t="n">
        <v>38318</v>
      </c>
      <c r="F1522" s="6" t="n">
        <v>15.9</v>
      </c>
      <c r="G1522" t="n">
        <v>1</v>
      </c>
      <c r="H1522" s="6">
        <f>ROUND(G1522*F1522,2)</f>
        <v/>
      </c>
      <c r="I1522">
        <f>IF(ROUND(H1522-D1522,2)=0,1,0)</f>
        <v/>
      </c>
      <c r="J1522">
        <f>IF(F1522="","none",IF(G1522=1,"carte","multiple"))</f>
        <v/>
      </c>
    </row>
    <row r="1523">
      <c r="A1523" t="inlineStr">
        <is>
          <t>2022-06-02</t>
        </is>
      </c>
      <c r="B1523" t="inlineStr">
        <is>
          <t>20:03</t>
        </is>
      </c>
      <c r="C1523" t="n">
        <v>2973</v>
      </c>
      <c r="D1523" s="6" t="n">
        <v>11</v>
      </c>
      <c r="E1523" t="n">
        <v>38319</v>
      </c>
      <c r="F1523" s="6" t="n">
        <v>11</v>
      </c>
      <c r="G1523" t="n">
        <v>1</v>
      </c>
      <c r="H1523" s="6">
        <f>ROUND(G1523*F1523,2)</f>
        <v/>
      </c>
      <c r="I1523">
        <f>IF(ROUND(H1523-D1523,2)=0,1,0)</f>
        <v/>
      </c>
      <c r="J1523">
        <f>IF(F1523="","none",IF(G1523=1,"carte","multiple"))</f>
        <v/>
      </c>
    </row>
    <row r="1524">
      <c r="A1524" t="inlineStr">
        <is>
          <t>2022-06-02</t>
        </is>
      </c>
      <c r="B1524" t="inlineStr">
        <is>
          <t>20:03</t>
        </is>
      </c>
      <c r="C1524" t="n">
        <v>2973</v>
      </c>
      <c r="D1524" s="6" t="n">
        <v>14.4</v>
      </c>
      <c r="E1524" t="n">
        <v>38320</v>
      </c>
      <c r="F1524" s="6" t="n">
        <v>0.4</v>
      </c>
      <c r="G1524" t="n">
        <v>36</v>
      </c>
      <c r="H1524" s="6">
        <f>ROUND(G1524*F1524,2)</f>
        <v/>
      </c>
      <c r="I1524">
        <f>IF(ROUND(H1524-D1524,2)=0,1,0)</f>
        <v/>
      </c>
      <c r="J1524">
        <f>IF(F1524="","none",IF(G1524=1,"carte","multiple"))</f>
        <v/>
      </c>
    </row>
    <row r="1525">
      <c r="A1525" t="inlineStr">
        <is>
          <t>2022-06-03</t>
        </is>
      </c>
      <c r="B1525" t="inlineStr">
        <is>
          <t>11:18</t>
        </is>
      </c>
      <c r="C1525" t="n">
        <v>2974</v>
      </c>
      <c r="D1525" s="6" t="n">
        <v>4</v>
      </c>
      <c r="E1525" t="n">
        <v>38323</v>
      </c>
      <c r="F1525" s="6" t="n">
        <v>4</v>
      </c>
      <c r="G1525" t="n">
        <v>1</v>
      </c>
      <c r="H1525" s="6">
        <f>ROUND(G1525*F1525,2)</f>
        <v/>
      </c>
      <c r="I1525">
        <f>IF(ROUND(H1525-D1525,2)=0,1,0)</f>
        <v/>
      </c>
      <c r="J1525">
        <f>IF(F1525="","none",IF(G1525=1,"carte","multiple"))</f>
        <v/>
      </c>
    </row>
    <row r="1526">
      <c r="A1526" t="inlineStr">
        <is>
          <t>2022-06-03</t>
        </is>
      </c>
      <c r="B1526" t="inlineStr">
        <is>
          <t>11:55</t>
        </is>
      </c>
      <c r="C1526" t="n">
        <v>2974</v>
      </c>
      <c r="D1526" s="6" t="n">
        <v>2.4</v>
      </c>
      <c r="E1526" t="n">
        <v>38324</v>
      </c>
      <c r="F1526" s="6" t="n">
        <v>2.4</v>
      </c>
      <c r="G1526" t="n">
        <v>1</v>
      </c>
      <c r="H1526" s="6">
        <f>ROUND(G1526*F1526,2)</f>
        <v/>
      </c>
      <c r="I1526">
        <f>IF(ROUND(H1526-D1526,2)=0,1,0)</f>
        <v/>
      </c>
      <c r="J1526">
        <f>IF(F1526="","none",IF(G1526=1,"carte","multiple"))</f>
        <v/>
      </c>
    </row>
    <row r="1527">
      <c r="A1527" t="inlineStr">
        <is>
          <t>2022-06-03</t>
        </is>
      </c>
      <c r="B1527" t="inlineStr">
        <is>
          <t>11:55</t>
        </is>
      </c>
      <c r="C1527" t="n">
        <v>2974</v>
      </c>
      <c r="D1527" s="6" t="n">
        <v>7.8</v>
      </c>
      <c r="E1527" t="n">
        <v>38325</v>
      </c>
      <c r="F1527" s="6" t="n">
        <v>7.8</v>
      </c>
      <c r="G1527" t="n">
        <v>1</v>
      </c>
      <c r="H1527" s="6">
        <f>ROUND(G1527*F1527,2)</f>
        <v/>
      </c>
      <c r="I1527">
        <f>IF(ROUND(H1527-D1527,2)=0,1,0)</f>
        <v/>
      </c>
      <c r="J1527">
        <f>IF(F1527="","none",IF(G1527=1,"carte","multiple"))</f>
        <v/>
      </c>
    </row>
    <row r="1528">
      <c r="A1528" t="inlineStr">
        <is>
          <t>2022-06-03</t>
        </is>
      </c>
      <c r="B1528" t="inlineStr">
        <is>
          <t>11:55</t>
        </is>
      </c>
      <c r="C1528" t="n">
        <v>2974</v>
      </c>
      <c r="D1528" s="6" t="n">
        <v>17.6</v>
      </c>
      <c r="E1528" t="n">
        <v>38326</v>
      </c>
      <c r="F1528" s="6" t="n">
        <v>17.6</v>
      </c>
      <c r="G1528" t="n">
        <v>1</v>
      </c>
      <c r="H1528" s="6">
        <f>ROUND(G1528*F1528,2)</f>
        <v/>
      </c>
      <c r="I1528">
        <f>IF(ROUND(H1528-D1528,2)=0,1,0)</f>
        <v/>
      </c>
      <c r="J1528">
        <f>IF(F1528="","none",IF(G1528=1,"carte","multiple"))</f>
        <v/>
      </c>
    </row>
    <row r="1529">
      <c r="A1529" t="inlineStr">
        <is>
          <t>2022-06-03</t>
        </is>
      </c>
      <c r="B1529" t="inlineStr">
        <is>
          <t>11:55</t>
        </is>
      </c>
      <c r="C1529" t="n">
        <v>2974</v>
      </c>
      <c r="D1529" s="6" t="n">
        <v>17.6</v>
      </c>
      <c r="E1529" t="n">
        <v>38327</v>
      </c>
      <c r="F1529" s="6" t="n">
        <v>17.6</v>
      </c>
      <c r="G1529" t="n">
        <v>1</v>
      </c>
      <c r="H1529" s="6">
        <f>ROUND(G1529*F1529,2)</f>
        <v/>
      </c>
      <c r="I1529">
        <f>IF(ROUND(H1529-D1529,2)=0,1,0)</f>
        <v/>
      </c>
      <c r="J1529">
        <f>IF(F1529="","none",IF(G1529=1,"carte","multiple"))</f>
        <v/>
      </c>
    </row>
    <row r="1530">
      <c r="A1530" t="inlineStr">
        <is>
          <t>2022-06-03</t>
        </is>
      </c>
      <c r="B1530" t="inlineStr">
        <is>
          <t>11:55</t>
        </is>
      </c>
      <c r="C1530" t="n">
        <v>2974</v>
      </c>
      <c r="D1530" s="6" t="n">
        <v>3.6</v>
      </c>
      <c r="E1530" t="n">
        <v>38328</v>
      </c>
      <c r="F1530" s="6" t="n">
        <v>3.6</v>
      </c>
      <c r="G1530" t="n">
        <v>1</v>
      </c>
      <c r="H1530" s="6">
        <f>ROUND(G1530*F1530,2)</f>
        <v/>
      </c>
      <c r="I1530">
        <f>IF(ROUND(H1530-D1530,2)=0,1,0)</f>
        <v/>
      </c>
      <c r="J1530">
        <f>IF(F1530="","none",IF(G1530=1,"carte","multiple"))</f>
        <v/>
      </c>
    </row>
    <row r="1531">
      <c r="A1531" t="inlineStr">
        <is>
          <t>2022-06-03</t>
        </is>
      </c>
      <c r="B1531" t="inlineStr">
        <is>
          <t>11:55</t>
        </is>
      </c>
      <c r="C1531" t="n">
        <v>2974</v>
      </c>
      <c r="D1531" s="6" t="n">
        <v>4</v>
      </c>
      <c r="E1531" t="n">
        <v>38329</v>
      </c>
      <c r="F1531" s="6" t="n">
        <v>4</v>
      </c>
      <c r="G1531" t="n">
        <v>1</v>
      </c>
      <c r="H1531" s="6">
        <f>ROUND(G1531*F1531,2)</f>
        <v/>
      </c>
      <c r="I1531">
        <f>IF(ROUND(H1531-D1531,2)=0,1,0)</f>
        <v/>
      </c>
      <c r="J1531">
        <f>IF(F1531="","none",IF(G1531=1,"carte","multiple"))</f>
        <v/>
      </c>
    </row>
    <row r="1532">
      <c r="A1532" t="inlineStr">
        <is>
          <t>2022-06-03</t>
        </is>
      </c>
      <c r="B1532" t="inlineStr">
        <is>
          <t>11:56</t>
        </is>
      </c>
      <c r="C1532" t="n">
        <v>2974</v>
      </c>
      <c r="D1532" s="6" t="n">
        <v>8</v>
      </c>
      <c r="E1532" t="n">
        <v>38330</v>
      </c>
      <c r="F1532" s="6" t="n">
        <v>8</v>
      </c>
      <c r="G1532" t="n">
        <v>1</v>
      </c>
      <c r="H1532" s="6">
        <f>ROUND(G1532*F1532,2)</f>
        <v/>
      </c>
      <c r="I1532">
        <f>IF(ROUND(H1532-D1532,2)=0,1,0)</f>
        <v/>
      </c>
      <c r="J1532">
        <f>IF(F1532="","none",IF(G1532=1,"carte","multiple"))</f>
        <v/>
      </c>
    </row>
    <row r="1533">
      <c r="A1533" t="inlineStr">
        <is>
          <t>2022-06-03</t>
        </is>
      </c>
      <c r="B1533" t="inlineStr">
        <is>
          <t>12:45</t>
        </is>
      </c>
      <c r="C1533" t="n">
        <v>2974</v>
      </c>
      <c r="D1533" s="6" t="n">
        <v>8</v>
      </c>
      <c r="E1533" t="n">
        <v>38331</v>
      </c>
      <c r="F1533" s="6" t="n">
        <v>8</v>
      </c>
      <c r="G1533" t="n">
        <v>1</v>
      </c>
      <c r="H1533" s="6">
        <f>ROUND(G1533*F1533,2)</f>
        <v/>
      </c>
      <c r="I1533">
        <f>IF(ROUND(H1533-D1533,2)=0,1,0)</f>
        <v/>
      </c>
      <c r="J1533">
        <f>IF(F1533="","none",IF(G1533=1,"carte","multiple"))</f>
        <v/>
      </c>
    </row>
    <row r="1534">
      <c r="A1534" t="inlineStr">
        <is>
          <t>2022-06-03</t>
        </is>
      </c>
      <c r="B1534" t="inlineStr">
        <is>
          <t>12:45</t>
        </is>
      </c>
      <c r="C1534" t="n">
        <v>2974</v>
      </c>
      <c r="D1534" s="6" t="n">
        <v>22</v>
      </c>
      <c r="E1534" t="n">
        <v>38332</v>
      </c>
      <c r="F1534" s="6" t="n">
        <v>0.4</v>
      </c>
      <c r="G1534" t="n">
        <v>55</v>
      </c>
      <c r="H1534" s="6">
        <f>ROUND(G1534*F1534,2)</f>
        <v/>
      </c>
      <c r="I1534">
        <f>IF(ROUND(H1534-D1534,2)=0,1,0)</f>
        <v/>
      </c>
      <c r="J1534">
        <f>IF(F1534="","none",IF(G1534=1,"carte","multiple"))</f>
        <v/>
      </c>
    </row>
    <row r="1535">
      <c r="A1535" t="inlineStr">
        <is>
          <t>2022-06-03</t>
        </is>
      </c>
      <c r="B1535" t="inlineStr">
        <is>
          <t>12:45</t>
        </is>
      </c>
      <c r="C1535" t="n">
        <v>2974</v>
      </c>
      <c r="D1535" s="6" t="n">
        <v>5.9</v>
      </c>
      <c r="E1535" t="n">
        <v>38333</v>
      </c>
      <c r="F1535" s="6" t="n">
        <v>5.9</v>
      </c>
      <c r="G1535" t="n">
        <v>1</v>
      </c>
      <c r="H1535" s="6">
        <f>ROUND(G1535*F1535,2)</f>
        <v/>
      </c>
      <c r="I1535">
        <f>IF(ROUND(H1535-D1535,2)=0,1,0)</f>
        <v/>
      </c>
      <c r="J1535">
        <f>IF(F1535="","none",IF(G1535=1,"carte","multiple"))</f>
        <v/>
      </c>
    </row>
    <row r="1536">
      <c r="A1536" t="inlineStr">
        <is>
          <t>2022-06-03</t>
        </is>
      </c>
      <c r="B1536" t="inlineStr">
        <is>
          <t>17:11</t>
        </is>
      </c>
      <c r="C1536" t="n">
        <v>2974</v>
      </c>
      <c r="D1536" s="6" t="n">
        <v>4</v>
      </c>
      <c r="E1536" t="n">
        <v>38334</v>
      </c>
      <c r="F1536" s="6" t="n">
        <v>4</v>
      </c>
      <c r="G1536" t="n">
        <v>1</v>
      </c>
      <c r="H1536" s="6">
        <f>ROUND(G1536*F1536,2)</f>
        <v/>
      </c>
      <c r="I1536">
        <f>IF(ROUND(H1536-D1536,2)=0,1,0)</f>
        <v/>
      </c>
      <c r="J1536">
        <f>IF(F1536="","none",IF(G1536=1,"carte","multiple"))</f>
        <v/>
      </c>
    </row>
    <row r="1537">
      <c r="A1537" t="inlineStr">
        <is>
          <t>2022-06-03</t>
        </is>
      </c>
      <c r="B1537" t="inlineStr">
        <is>
          <t>17:11</t>
        </is>
      </c>
      <c r="C1537" t="n">
        <v>2974</v>
      </c>
      <c r="D1537" s="6" t="n">
        <v>31.8</v>
      </c>
      <c r="E1537" t="n">
        <v>38335</v>
      </c>
      <c r="F1537" s="6" t="n">
        <v>31.8</v>
      </c>
      <c r="G1537" t="n">
        <v>1</v>
      </c>
      <c r="H1537" s="6">
        <f>ROUND(G1537*F1537,2)</f>
        <v/>
      </c>
      <c r="I1537">
        <f>IF(ROUND(H1537-D1537,2)=0,1,0)</f>
        <v/>
      </c>
      <c r="J1537">
        <f>IF(F1537="","none",IF(G1537=1,"carte","multiple"))</f>
        <v/>
      </c>
    </row>
    <row r="1538">
      <c r="A1538" t="inlineStr">
        <is>
          <t>2022-06-03</t>
        </is>
      </c>
      <c r="B1538" t="inlineStr">
        <is>
          <t>17:11</t>
        </is>
      </c>
      <c r="C1538" t="n">
        <v>2974</v>
      </c>
      <c r="D1538" s="6" t="n">
        <v>7.8</v>
      </c>
      <c r="E1538" t="n">
        <v>38336</v>
      </c>
      <c r="F1538" s="6" t="n">
        <v>7.8</v>
      </c>
      <c r="G1538" t="n">
        <v>1</v>
      </c>
      <c r="H1538" s="6">
        <f>ROUND(G1538*F1538,2)</f>
        <v/>
      </c>
      <c r="I1538">
        <f>IF(ROUND(H1538-D1538,2)=0,1,0)</f>
        <v/>
      </c>
      <c r="J1538">
        <f>IF(F1538="","none",IF(G1538=1,"carte","multiple"))</f>
        <v/>
      </c>
    </row>
    <row r="1539">
      <c r="A1539" t="inlineStr">
        <is>
          <t>2022-06-03</t>
        </is>
      </c>
      <c r="B1539" t="inlineStr">
        <is>
          <t>17:42</t>
        </is>
      </c>
      <c r="C1539" t="n">
        <v>2974</v>
      </c>
      <c r="D1539" s="6" t="n">
        <v>7.8</v>
      </c>
      <c r="E1539" t="n">
        <v>38337</v>
      </c>
      <c r="F1539" s="6" t="n">
        <v>7.8</v>
      </c>
      <c r="G1539" t="n">
        <v>1</v>
      </c>
      <c r="H1539" s="6">
        <f>ROUND(G1539*F1539,2)</f>
        <v/>
      </c>
      <c r="I1539">
        <f>IF(ROUND(H1539-D1539,2)=0,1,0)</f>
        <v/>
      </c>
      <c r="J1539">
        <f>IF(F1539="","none",IF(G1539=1,"carte","multiple"))</f>
        <v/>
      </c>
    </row>
    <row r="1540">
      <c r="A1540" t="inlineStr">
        <is>
          <t>2022-06-03</t>
        </is>
      </c>
      <c r="B1540" t="inlineStr">
        <is>
          <t>18:57</t>
        </is>
      </c>
      <c r="C1540" t="n">
        <v>2974</v>
      </c>
      <c r="D1540" s="6" t="n">
        <v>4.4</v>
      </c>
      <c r="E1540" t="n">
        <v>38338</v>
      </c>
      <c r="F1540" s="6" t="n">
        <v>0.4</v>
      </c>
      <c r="G1540" t="n">
        <v>11</v>
      </c>
      <c r="H1540" s="6">
        <f>ROUND(G1540*F1540,2)</f>
        <v/>
      </c>
      <c r="I1540">
        <f>IF(ROUND(H1540-D1540,2)=0,1,0)</f>
        <v/>
      </c>
      <c r="J1540">
        <f>IF(F1540="","none",IF(G1540=1,"carte","multiple"))</f>
        <v/>
      </c>
    </row>
    <row r="1541">
      <c r="A1541" t="inlineStr">
        <is>
          <t>2022-06-03</t>
        </is>
      </c>
      <c r="B1541" t="inlineStr">
        <is>
          <t>18:57</t>
        </is>
      </c>
      <c r="C1541" t="n">
        <v>2974</v>
      </c>
      <c r="D1541" s="6" t="n">
        <v>55.6</v>
      </c>
      <c r="E1541" t="n">
        <v>38339</v>
      </c>
      <c r="F1541" s="6" t="n">
        <v>0.4</v>
      </c>
      <c r="G1541" t="n">
        <v>139</v>
      </c>
      <c r="H1541" s="6">
        <f>ROUND(G1541*F1541,2)</f>
        <v/>
      </c>
      <c r="I1541">
        <f>IF(ROUND(H1541-D1541,2)=0,1,0)</f>
        <v/>
      </c>
      <c r="J1541">
        <f>IF(F1541="","none",IF(G1541=1,"carte","multiple"))</f>
        <v/>
      </c>
    </row>
    <row r="1542">
      <c r="A1542" t="inlineStr">
        <is>
          <t>2022-06-03</t>
        </is>
      </c>
      <c r="B1542" t="inlineStr">
        <is>
          <t>18:57</t>
        </is>
      </c>
      <c r="C1542" t="n">
        <v>2974</v>
      </c>
      <c r="D1542" s="6" t="n">
        <v>9.800000000000001</v>
      </c>
      <c r="E1542" t="n">
        <v>38340</v>
      </c>
      <c r="F1542" s="6" t="n">
        <v>9.800000000000001</v>
      </c>
      <c r="G1542" t="n">
        <v>1</v>
      </c>
      <c r="H1542" s="6">
        <f>ROUND(G1542*F1542,2)</f>
        <v/>
      </c>
      <c r="I1542">
        <f>IF(ROUND(H1542-D1542,2)=0,1,0)</f>
        <v/>
      </c>
      <c r="J1542">
        <f>IF(F1542="","none",IF(G1542=1,"carte","multiple"))</f>
        <v/>
      </c>
    </row>
    <row r="1543">
      <c r="A1543" t="inlineStr">
        <is>
          <t>2022-06-03</t>
        </is>
      </c>
      <c r="B1543" t="inlineStr">
        <is>
          <t>19:38</t>
        </is>
      </c>
      <c r="C1543" t="n">
        <v>2974</v>
      </c>
      <c r="D1543" s="6" t="n">
        <v>4</v>
      </c>
      <c r="E1543" t="n">
        <v>38341</v>
      </c>
      <c r="F1543" s="6" t="n">
        <v>4</v>
      </c>
      <c r="G1543" t="n">
        <v>1</v>
      </c>
      <c r="H1543" s="6">
        <f>ROUND(G1543*F1543,2)</f>
        <v/>
      </c>
      <c r="I1543">
        <f>IF(ROUND(H1543-D1543,2)=0,1,0)</f>
        <v/>
      </c>
      <c r="J1543">
        <f>IF(F1543="","none",IF(G1543=1,"carte","multiple"))</f>
        <v/>
      </c>
    </row>
    <row r="1544">
      <c r="A1544" t="inlineStr">
        <is>
          <t>2022-06-03</t>
        </is>
      </c>
      <c r="B1544" t="inlineStr">
        <is>
          <t>20:34</t>
        </is>
      </c>
      <c r="C1544" t="n">
        <v>2974</v>
      </c>
      <c r="D1544" s="6" t="n">
        <v>8.1</v>
      </c>
      <c r="E1544" t="n">
        <v>38342</v>
      </c>
      <c r="F1544" s="6" t="n">
        <v>8.1</v>
      </c>
      <c r="G1544" t="n">
        <v>1</v>
      </c>
      <c r="H1544" s="6">
        <f>ROUND(G1544*F1544,2)</f>
        <v/>
      </c>
      <c r="I1544">
        <f>IF(ROUND(H1544-D1544,2)=0,1,0)</f>
        <v/>
      </c>
      <c r="J1544">
        <f>IF(F1544="","none",IF(G1544=1,"carte","multiple"))</f>
        <v/>
      </c>
    </row>
    <row r="1545">
      <c r="A1545" t="inlineStr">
        <is>
          <t>2022-06-03</t>
        </is>
      </c>
      <c r="B1545" t="inlineStr">
        <is>
          <t>20:34</t>
        </is>
      </c>
      <c r="C1545" t="n">
        <v>2974</v>
      </c>
      <c r="D1545" s="6" t="n">
        <v>3.9</v>
      </c>
      <c r="E1545" t="n">
        <v>38343</v>
      </c>
      <c r="F1545" s="6" t="n">
        <v>3.9</v>
      </c>
      <c r="G1545" t="n">
        <v>1</v>
      </c>
      <c r="H1545" s="6">
        <f>ROUND(G1545*F1545,2)</f>
        <v/>
      </c>
      <c r="I1545">
        <f>IF(ROUND(H1545-D1545,2)=0,1,0)</f>
        <v/>
      </c>
      <c r="J1545">
        <f>IF(F1545="","none",IF(G1545=1,"carte","multiple"))</f>
        <v/>
      </c>
    </row>
    <row r="1546">
      <c r="A1546" t="inlineStr">
        <is>
          <t>2022-06-03</t>
        </is>
      </c>
      <c r="B1546" t="inlineStr">
        <is>
          <t>20:34</t>
        </is>
      </c>
      <c r="C1546" t="n">
        <v>2974</v>
      </c>
      <c r="D1546" s="6" t="n">
        <v>5.9</v>
      </c>
      <c r="E1546" t="n">
        <v>38344</v>
      </c>
      <c r="F1546" s="6" t="n">
        <v>5.9</v>
      </c>
      <c r="G1546" t="n">
        <v>1</v>
      </c>
      <c r="H1546" s="6">
        <f>ROUND(G1546*F1546,2)</f>
        <v/>
      </c>
      <c r="I1546">
        <f>IF(ROUND(H1546-D1546,2)=0,1,0)</f>
        <v/>
      </c>
      <c r="J1546">
        <f>IF(F1546="","none",IF(G1546=1,"carte","multiple"))</f>
        <v/>
      </c>
    </row>
    <row r="1547">
      <c r="A1547" t="inlineStr">
        <is>
          <t>2022-06-03</t>
        </is>
      </c>
      <c r="B1547" t="inlineStr">
        <is>
          <t>20:34</t>
        </is>
      </c>
      <c r="C1547" t="n">
        <v>2974</v>
      </c>
      <c r="D1547" s="6" t="n">
        <v>29.8</v>
      </c>
      <c r="E1547" t="n">
        <v>38345</v>
      </c>
      <c r="F1547" s="6" t="n">
        <v>14.9</v>
      </c>
      <c r="G1547" t="n">
        <v>2</v>
      </c>
      <c r="H1547" s="6">
        <f>ROUND(G1547*F1547,2)</f>
        <v/>
      </c>
      <c r="I1547">
        <f>IF(ROUND(H1547-D1547,2)=0,1,0)</f>
        <v/>
      </c>
      <c r="J1547">
        <f>IF(F1547="","none",IF(G1547=1,"carte","multiple"))</f>
        <v/>
      </c>
    </row>
    <row r="1548">
      <c r="A1548" t="inlineStr">
        <is>
          <t>2022-06-03</t>
        </is>
      </c>
      <c r="B1548" t="inlineStr">
        <is>
          <t>20:34</t>
        </is>
      </c>
      <c r="C1548" t="n">
        <v>2974</v>
      </c>
      <c r="D1548" s="6" t="n">
        <v>9.800000000000001</v>
      </c>
      <c r="E1548" t="n">
        <v>38346</v>
      </c>
      <c r="F1548" s="6" t="n">
        <v>9.800000000000001</v>
      </c>
      <c r="G1548" t="n">
        <v>1</v>
      </c>
      <c r="H1548" s="6">
        <f>ROUND(G1548*F1548,2)</f>
        <v/>
      </c>
      <c r="I1548">
        <f>IF(ROUND(H1548-D1548,2)=0,1,0)</f>
        <v/>
      </c>
      <c r="J1548">
        <f>IF(F1548="","none",IF(G1548=1,"carte","multiple"))</f>
        <v/>
      </c>
    </row>
    <row r="1549">
      <c r="A1549" t="inlineStr">
        <is>
          <t>2022-06-04</t>
        </is>
      </c>
      <c r="B1549" t="inlineStr">
        <is>
          <t>11:29</t>
        </is>
      </c>
      <c r="C1549" t="n">
        <v>2975</v>
      </c>
      <c r="D1549" s="6" t="n">
        <v>4</v>
      </c>
      <c r="E1549" t="n">
        <v>38349</v>
      </c>
      <c r="F1549" s="6" t="n">
        <v>4</v>
      </c>
      <c r="G1549" t="n">
        <v>1</v>
      </c>
      <c r="H1549" s="6">
        <f>ROUND(G1549*F1549,2)</f>
        <v/>
      </c>
      <c r="I1549">
        <f>IF(ROUND(H1549-D1549,2)=0,1,0)</f>
        <v/>
      </c>
      <c r="J1549">
        <f>IF(F1549="","none",IF(G1549=1,"carte","multiple"))</f>
        <v/>
      </c>
    </row>
    <row r="1550">
      <c r="A1550" t="inlineStr">
        <is>
          <t>2022-06-04</t>
        </is>
      </c>
      <c r="B1550" t="inlineStr">
        <is>
          <t>11:29</t>
        </is>
      </c>
      <c r="C1550" t="n">
        <v>2975</v>
      </c>
      <c r="D1550" s="6" t="n">
        <v>4.4</v>
      </c>
      <c r="E1550" t="n">
        <v>38350</v>
      </c>
      <c r="F1550" s="6" t="n">
        <v>0.4</v>
      </c>
      <c r="G1550" t="n">
        <v>11</v>
      </c>
      <c r="H1550" s="6">
        <f>ROUND(G1550*F1550,2)</f>
        <v/>
      </c>
      <c r="I1550">
        <f>IF(ROUND(H1550-D1550,2)=0,1,0)</f>
        <v/>
      </c>
      <c r="J1550">
        <f>IF(F1550="","none",IF(G1550=1,"carte","multiple"))</f>
        <v/>
      </c>
    </row>
    <row r="1551">
      <c r="A1551" t="inlineStr">
        <is>
          <t>2022-06-04</t>
        </is>
      </c>
      <c r="B1551" t="inlineStr">
        <is>
          <t>11:29</t>
        </is>
      </c>
      <c r="C1551" t="n">
        <v>2975</v>
      </c>
      <c r="D1551" s="6" t="n">
        <v>35.2</v>
      </c>
      <c r="E1551" t="n">
        <v>38351</v>
      </c>
      <c r="F1551" s="6" t="n">
        <v>0.4</v>
      </c>
      <c r="G1551" t="n">
        <v>88</v>
      </c>
      <c r="H1551" s="6">
        <f>ROUND(G1551*F1551,2)</f>
        <v/>
      </c>
      <c r="I1551">
        <f>IF(ROUND(H1551-D1551,2)=0,1,0)</f>
        <v/>
      </c>
      <c r="J1551">
        <f>IF(F1551="","none",IF(G1551=1,"carte","multiple"))</f>
        <v/>
      </c>
    </row>
    <row r="1552">
      <c r="A1552" t="inlineStr">
        <is>
          <t>2022-06-04</t>
        </is>
      </c>
      <c r="B1552" t="inlineStr">
        <is>
          <t>11:29</t>
        </is>
      </c>
      <c r="C1552" t="n">
        <v>2975</v>
      </c>
      <c r="D1552" s="6" t="n">
        <v>5.9</v>
      </c>
      <c r="E1552" t="n">
        <v>38352</v>
      </c>
      <c r="F1552" s="6" t="n">
        <v>5.9</v>
      </c>
      <c r="G1552" t="n">
        <v>1</v>
      </c>
      <c r="H1552" s="6">
        <f>ROUND(G1552*F1552,2)</f>
        <v/>
      </c>
      <c r="I1552">
        <f>IF(ROUND(H1552-D1552,2)=0,1,0)</f>
        <v/>
      </c>
      <c r="J1552">
        <f>IF(F1552="","none",IF(G1552=1,"carte","multiple"))</f>
        <v/>
      </c>
    </row>
    <row r="1553">
      <c r="A1553" t="inlineStr">
        <is>
          <t>2022-06-04</t>
        </is>
      </c>
      <c r="B1553" t="inlineStr">
        <is>
          <t>11:29</t>
        </is>
      </c>
      <c r="C1553" t="n">
        <v>2975</v>
      </c>
      <c r="D1553" s="6" t="n">
        <v>3.9</v>
      </c>
      <c r="E1553" t="n">
        <v>38353</v>
      </c>
      <c r="F1553" s="6" t="n">
        <v>3.9</v>
      </c>
      <c r="G1553" t="n">
        <v>1</v>
      </c>
      <c r="H1553" s="6">
        <f>ROUND(G1553*F1553,2)</f>
        <v/>
      </c>
      <c r="I1553">
        <f>IF(ROUND(H1553-D1553,2)=0,1,0)</f>
        <v/>
      </c>
      <c r="J1553">
        <f>IF(F1553="","none",IF(G1553=1,"carte","multiple"))</f>
        <v/>
      </c>
    </row>
    <row r="1554">
      <c r="A1554" t="inlineStr">
        <is>
          <t>2022-06-04</t>
        </is>
      </c>
      <c r="B1554" t="inlineStr">
        <is>
          <t>11:29</t>
        </is>
      </c>
      <c r="C1554" t="n">
        <v>2975</v>
      </c>
      <c r="D1554" s="6" t="n">
        <v>12</v>
      </c>
      <c r="E1554" t="n">
        <v>38354</v>
      </c>
      <c r="F1554" s="6" t="n">
        <v>12</v>
      </c>
      <c r="G1554" t="n">
        <v>1</v>
      </c>
      <c r="H1554" s="6">
        <f>ROUND(G1554*F1554,2)</f>
        <v/>
      </c>
      <c r="I1554">
        <f>IF(ROUND(H1554-D1554,2)=0,1,0)</f>
        <v/>
      </c>
      <c r="J1554">
        <f>IF(F1554="","none",IF(G1554=1,"carte","multiple"))</f>
        <v/>
      </c>
    </row>
    <row r="1555">
      <c r="A1555" t="inlineStr">
        <is>
          <t>2022-06-04</t>
        </is>
      </c>
      <c r="B1555" t="inlineStr">
        <is>
          <t>11:42</t>
        </is>
      </c>
      <c r="C1555" t="n">
        <v>2975</v>
      </c>
      <c r="D1555" s="6" t="n">
        <v>4.4</v>
      </c>
      <c r="E1555" t="n">
        <v>38355</v>
      </c>
      <c r="F1555" s="6" t="n">
        <v>0.4</v>
      </c>
      <c r="G1555" t="n">
        <v>11</v>
      </c>
      <c r="H1555" s="6">
        <f>ROUND(G1555*F1555,2)</f>
        <v/>
      </c>
      <c r="I1555">
        <f>IF(ROUND(H1555-D1555,2)=0,1,0)</f>
        <v/>
      </c>
      <c r="J1555">
        <f>IF(F1555="","none",IF(G1555=1,"carte","multiple"))</f>
        <v/>
      </c>
    </row>
    <row r="1556">
      <c r="A1556" t="inlineStr">
        <is>
          <t>2022-06-04</t>
        </is>
      </c>
      <c r="B1556" t="inlineStr">
        <is>
          <t>11:42</t>
        </is>
      </c>
      <c r="C1556" t="n">
        <v>2975</v>
      </c>
      <c r="D1556" s="6" t="n">
        <v>6.9</v>
      </c>
      <c r="E1556" t="n">
        <v>38356</v>
      </c>
      <c r="F1556" s="6" t="n">
        <v>6.9</v>
      </c>
      <c r="G1556" t="n">
        <v>1</v>
      </c>
      <c r="H1556" s="6">
        <f>ROUND(G1556*F1556,2)</f>
        <v/>
      </c>
      <c r="I1556">
        <f>IF(ROUND(H1556-D1556,2)=0,1,0)</f>
        <v/>
      </c>
      <c r="J1556">
        <f>IF(F1556="","none",IF(G1556=1,"carte","multiple"))</f>
        <v/>
      </c>
    </row>
    <row r="1557">
      <c r="A1557" t="inlineStr">
        <is>
          <t>2022-06-04</t>
        </is>
      </c>
      <c r="B1557" t="inlineStr">
        <is>
          <t>11:42</t>
        </is>
      </c>
      <c r="C1557" t="n">
        <v>2975</v>
      </c>
      <c r="D1557" s="6" t="n">
        <v>6.9</v>
      </c>
      <c r="E1557" t="n">
        <v>38357</v>
      </c>
      <c r="F1557" s="6" t="n">
        <v>6.9</v>
      </c>
      <c r="G1557" t="n">
        <v>1</v>
      </c>
      <c r="H1557" s="6">
        <f>ROUND(G1557*F1557,2)</f>
        <v/>
      </c>
      <c r="I1557">
        <f>IF(ROUND(H1557-D1557,2)=0,1,0)</f>
        <v/>
      </c>
      <c r="J1557">
        <f>IF(F1557="","none",IF(G1557=1,"carte","multiple"))</f>
        <v/>
      </c>
    </row>
    <row r="1558">
      <c r="A1558" t="inlineStr">
        <is>
          <t>2022-06-04</t>
        </is>
      </c>
      <c r="B1558" t="inlineStr">
        <is>
          <t>11:42</t>
        </is>
      </c>
      <c r="C1558" t="n">
        <v>2975</v>
      </c>
      <c r="D1558" s="6" t="n">
        <v>9.800000000000001</v>
      </c>
      <c r="E1558" t="n">
        <v>38358</v>
      </c>
      <c r="F1558" s="6" t="n">
        <v>9.800000000000001</v>
      </c>
      <c r="G1558" t="n">
        <v>1</v>
      </c>
      <c r="H1558" s="6">
        <f>ROUND(G1558*F1558,2)</f>
        <v/>
      </c>
      <c r="I1558">
        <f>IF(ROUND(H1558-D1558,2)=0,1,0)</f>
        <v/>
      </c>
      <c r="J1558">
        <f>IF(F1558="","none",IF(G1558=1,"carte","multiple"))</f>
        <v/>
      </c>
    </row>
    <row r="1559">
      <c r="A1559" t="inlineStr">
        <is>
          <t>2022-06-04</t>
        </is>
      </c>
      <c r="B1559" t="inlineStr">
        <is>
          <t>11:42</t>
        </is>
      </c>
      <c r="C1559" t="n">
        <v>2975</v>
      </c>
      <c r="D1559" s="6" t="n">
        <v>35.2</v>
      </c>
      <c r="E1559" t="n">
        <v>38359</v>
      </c>
      <c r="F1559" s="6" t="n">
        <v>0.4</v>
      </c>
      <c r="G1559" t="n">
        <v>88</v>
      </c>
      <c r="H1559" s="6">
        <f>ROUND(G1559*F1559,2)</f>
        <v/>
      </c>
      <c r="I1559">
        <f>IF(ROUND(H1559-D1559,2)=0,1,0)</f>
        <v/>
      </c>
      <c r="J1559">
        <f>IF(F1559="","none",IF(G1559=1,"carte","multiple"))</f>
        <v/>
      </c>
    </row>
    <row r="1560">
      <c r="A1560" t="inlineStr">
        <is>
          <t>2022-06-04</t>
        </is>
      </c>
      <c r="B1560" t="inlineStr">
        <is>
          <t>11:42</t>
        </is>
      </c>
      <c r="C1560" t="n">
        <v>2975</v>
      </c>
      <c r="D1560" s="6" t="n">
        <v>3.9</v>
      </c>
      <c r="E1560" t="n">
        <v>38360</v>
      </c>
      <c r="F1560" s="6" t="n">
        <v>3.9</v>
      </c>
      <c r="G1560" t="n">
        <v>1</v>
      </c>
      <c r="H1560" s="6">
        <f>ROUND(G1560*F1560,2)</f>
        <v/>
      </c>
      <c r="I1560">
        <f>IF(ROUND(H1560-D1560,2)=0,1,0)</f>
        <v/>
      </c>
      <c r="J1560">
        <f>IF(F1560="","none",IF(G1560=1,"carte","multiple"))</f>
        <v/>
      </c>
    </row>
    <row r="1561">
      <c r="A1561" t="inlineStr">
        <is>
          <t>2022-06-04</t>
        </is>
      </c>
      <c r="B1561" t="inlineStr">
        <is>
          <t>11:42</t>
        </is>
      </c>
      <c r="C1561" t="n">
        <v>2975</v>
      </c>
      <c r="D1561" s="6" t="n">
        <v>4.9</v>
      </c>
      <c r="E1561" t="n">
        <v>38361</v>
      </c>
      <c r="F1561" s="6" t="n">
        <v>4.9</v>
      </c>
      <c r="G1561" t="n">
        <v>1</v>
      </c>
      <c r="H1561" s="6">
        <f>ROUND(G1561*F1561,2)</f>
        <v/>
      </c>
      <c r="I1561">
        <f>IF(ROUND(H1561-D1561,2)=0,1,0)</f>
        <v/>
      </c>
      <c r="J1561">
        <f>IF(F1561="","none",IF(G1561=1,"carte","multiple"))</f>
        <v/>
      </c>
    </row>
    <row r="1562">
      <c r="A1562" t="inlineStr">
        <is>
          <t>2022-06-04</t>
        </is>
      </c>
      <c r="B1562" t="inlineStr">
        <is>
          <t>12:07</t>
        </is>
      </c>
      <c r="C1562" t="n">
        <v>2975</v>
      </c>
      <c r="D1562" s="6" t="n">
        <v>2</v>
      </c>
      <c r="E1562" t="n">
        <v>38362</v>
      </c>
      <c r="F1562" s="6" t="n">
        <v>2</v>
      </c>
      <c r="G1562" t="n">
        <v>1</v>
      </c>
      <c r="H1562" s="6">
        <f>ROUND(G1562*F1562,2)</f>
        <v/>
      </c>
      <c r="I1562">
        <f>IF(ROUND(H1562-D1562,2)=0,1,0)</f>
        <v/>
      </c>
      <c r="J1562">
        <f>IF(F1562="","none",IF(G1562=1,"carte","multiple"))</f>
        <v/>
      </c>
    </row>
    <row r="1563">
      <c r="A1563" t="inlineStr">
        <is>
          <t>2022-06-04</t>
        </is>
      </c>
      <c r="B1563" t="inlineStr">
        <is>
          <t>12:09</t>
        </is>
      </c>
      <c r="C1563" t="n">
        <v>2975</v>
      </c>
      <c r="D1563" s="6" t="n">
        <v>17.6</v>
      </c>
      <c r="E1563" t="n">
        <v>38363</v>
      </c>
      <c r="F1563" s="6" t="n">
        <v>17.6</v>
      </c>
      <c r="G1563" t="n">
        <v>1</v>
      </c>
      <c r="H1563" s="6">
        <f>ROUND(G1563*F1563,2)</f>
        <v/>
      </c>
      <c r="I1563">
        <f>IF(ROUND(H1563-D1563,2)=0,1,0)</f>
        <v/>
      </c>
      <c r="J1563">
        <f>IF(F1563="","none",IF(G1563=1,"carte","multiple"))</f>
        <v/>
      </c>
    </row>
    <row r="1564">
      <c r="A1564" t="inlineStr">
        <is>
          <t>2022-06-04</t>
        </is>
      </c>
      <c r="B1564" t="inlineStr">
        <is>
          <t>12:09</t>
        </is>
      </c>
      <c r="C1564" t="n">
        <v>2975</v>
      </c>
      <c r="D1564" s="6" t="n">
        <v>5.9</v>
      </c>
      <c r="E1564" t="n">
        <v>38364</v>
      </c>
      <c r="F1564" s="6" t="n">
        <v>5.9</v>
      </c>
      <c r="G1564" t="n">
        <v>1</v>
      </c>
      <c r="H1564" s="6">
        <f>ROUND(G1564*F1564,2)</f>
        <v/>
      </c>
      <c r="I1564">
        <f>IF(ROUND(H1564-D1564,2)=0,1,0)</f>
        <v/>
      </c>
      <c r="J1564">
        <f>IF(F1564="","none",IF(G1564=1,"carte","multiple"))</f>
        <v/>
      </c>
    </row>
    <row r="1565">
      <c r="A1565" t="inlineStr">
        <is>
          <t>2022-06-04</t>
        </is>
      </c>
      <c r="B1565" t="inlineStr">
        <is>
          <t>12:09</t>
        </is>
      </c>
      <c r="C1565" t="n">
        <v>2975</v>
      </c>
      <c r="D1565" s="6" t="n">
        <v>8</v>
      </c>
      <c r="E1565" t="n">
        <v>38365</v>
      </c>
      <c r="F1565" s="6" t="n">
        <v>8</v>
      </c>
      <c r="G1565" t="n">
        <v>1</v>
      </c>
      <c r="H1565" s="6">
        <f>ROUND(G1565*F1565,2)</f>
        <v/>
      </c>
      <c r="I1565">
        <f>IF(ROUND(H1565-D1565,2)=0,1,0)</f>
        <v/>
      </c>
      <c r="J1565">
        <f>IF(F1565="","none",IF(G1565=1,"carte","multiple"))</f>
        <v/>
      </c>
    </row>
    <row r="1566">
      <c r="A1566" t="inlineStr">
        <is>
          <t>2022-06-04</t>
        </is>
      </c>
      <c r="B1566" t="inlineStr">
        <is>
          <t>12:11</t>
        </is>
      </c>
      <c r="C1566" t="n">
        <v>2975</v>
      </c>
      <c r="D1566" s="6" t="n">
        <v>15.9</v>
      </c>
      <c r="E1566" t="n">
        <v>38366</v>
      </c>
      <c r="F1566" s="6" t="n">
        <v>15.9</v>
      </c>
      <c r="G1566" t="n">
        <v>1</v>
      </c>
      <c r="H1566" s="6">
        <f>ROUND(G1566*F1566,2)</f>
        <v/>
      </c>
      <c r="I1566">
        <f>IF(ROUND(H1566-D1566,2)=0,1,0)</f>
        <v/>
      </c>
      <c r="J1566">
        <f>IF(F1566="","none",IF(G1566=1,"carte","multiple"))</f>
        <v/>
      </c>
    </row>
    <row r="1567">
      <c r="A1567" t="inlineStr">
        <is>
          <t>2022-06-04</t>
        </is>
      </c>
      <c r="B1567" t="inlineStr">
        <is>
          <t>12:11</t>
        </is>
      </c>
      <c r="C1567" t="n">
        <v>2975</v>
      </c>
      <c r="D1567" s="6" t="n">
        <v>4.9</v>
      </c>
      <c r="E1567" t="n">
        <v>38367</v>
      </c>
      <c r="F1567" s="6" t="n">
        <v>4.9</v>
      </c>
      <c r="G1567" t="n">
        <v>1</v>
      </c>
      <c r="H1567" s="6">
        <f>ROUND(G1567*F1567,2)</f>
        <v/>
      </c>
      <c r="I1567">
        <f>IF(ROUND(H1567-D1567,2)=0,1,0)</f>
        <v/>
      </c>
      <c r="J1567">
        <f>IF(F1567="","none",IF(G1567=1,"carte","multiple"))</f>
        <v/>
      </c>
    </row>
    <row r="1568">
      <c r="A1568" t="inlineStr">
        <is>
          <t>2022-06-04</t>
        </is>
      </c>
      <c r="B1568" t="inlineStr">
        <is>
          <t>12:18</t>
        </is>
      </c>
      <c r="C1568" t="n">
        <v>2975</v>
      </c>
      <c r="D1568" s="6" t="n">
        <v>6.9</v>
      </c>
      <c r="E1568" t="n">
        <v>38368</v>
      </c>
      <c r="F1568" s="6" t="n">
        <v>6.9</v>
      </c>
      <c r="G1568" t="n">
        <v>1</v>
      </c>
      <c r="H1568" s="6">
        <f>ROUND(G1568*F1568,2)</f>
        <v/>
      </c>
      <c r="I1568">
        <f>IF(ROUND(H1568-D1568,2)=0,1,0)</f>
        <v/>
      </c>
      <c r="J1568">
        <f>IF(F1568="","none",IF(G1568=1,"carte","multiple"))</f>
        <v/>
      </c>
    </row>
    <row r="1569">
      <c r="A1569" t="inlineStr">
        <is>
          <t>2022-06-04</t>
        </is>
      </c>
      <c r="B1569" t="inlineStr">
        <is>
          <t>12:18</t>
        </is>
      </c>
      <c r="C1569" t="n">
        <v>2975</v>
      </c>
      <c r="D1569" s="6" t="n">
        <v>2.4</v>
      </c>
      <c r="E1569" t="n">
        <v>38369</v>
      </c>
      <c r="F1569" s="6" t="n">
        <v>2.4</v>
      </c>
      <c r="G1569" t="n">
        <v>1</v>
      </c>
      <c r="H1569" s="6">
        <f>ROUND(G1569*F1569,2)</f>
        <v/>
      </c>
      <c r="I1569">
        <f>IF(ROUND(H1569-D1569,2)=0,1,0)</f>
        <v/>
      </c>
      <c r="J1569">
        <f>IF(F1569="","none",IF(G1569=1,"carte","multiple"))</f>
        <v/>
      </c>
    </row>
    <row r="1570">
      <c r="A1570" t="inlineStr">
        <is>
          <t>2022-06-04</t>
        </is>
      </c>
      <c r="B1570" t="inlineStr">
        <is>
          <t>12:18</t>
        </is>
      </c>
      <c r="C1570" t="n">
        <v>2975</v>
      </c>
      <c r="D1570" s="6" t="n">
        <v>5.8</v>
      </c>
      <c r="E1570" t="n">
        <v>38370</v>
      </c>
      <c r="F1570" s="6" t="n">
        <v>5.8</v>
      </c>
      <c r="G1570" t="n">
        <v>1</v>
      </c>
      <c r="H1570" s="6">
        <f>ROUND(G1570*F1570,2)</f>
        <v/>
      </c>
      <c r="I1570">
        <f>IF(ROUND(H1570-D1570,2)=0,1,0)</f>
        <v/>
      </c>
      <c r="J1570">
        <f>IF(F1570="","none",IF(G1570=1,"carte","multiple"))</f>
        <v/>
      </c>
    </row>
    <row r="1571">
      <c r="A1571" t="inlineStr">
        <is>
          <t>2022-06-04</t>
        </is>
      </c>
      <c r="B1571" t="inlineStr">
        <is>
          <t>12:18</t>
        </is>
      </c>
      <c r="C1571" t="n">
        <v>2975</v>
      </c>
      <c r="D1571" s="6" t="n">
        <v>15.9</v>
      </c>
      <c r="E1571" t="n">
        <v>38371</v>
      </c>
      <c r="F1571" s="6" t="n">
        <v>15.9</v>
      </c>
      <c r="G1571" t="n">
        <v>1</v>
      </c>
      <c r="H1571" s="6">
        <f>ROUND(G1571*F1571,2)</f>
        <v/>
      </c>
      <c r="I1571">
        <f>IF(ROUND(H1571-D1571,2)=0,1,0)</f>
        <v/>
      </c>
      <c r="J1571">
        <f>IF(F1571="","none",IF(G1571=1,"carte","multiple"))</f>
        <v/>
      </c>
    </row>
    <row r="1572">
      <c r="A1572" t="inlineStr">
        <is>
          <t>2022-06-04</t>
        </is>
      </c>
      <c r="B1572" t="inlineStr">
        <is>
          <t>12:18</t>
        </is>
      </c>
      <c r="C1572" t="n">
        <v>2975</v>
      </c>
      <c r="D1572" s="6" t="n">
        <v>19</v>
      </c>
      <c r="E1572" t="n">
        <v>38372</v>
      </c>
      <c r="F1572" s="6" t="n">
        <v>19</v>
      </c>
      <c r="G1572" t="n">
        <v>1</v>
      </c>
      <c r="H1572" s="6">
        <f>ROUND(G1572*F1572,2)</f>
        <v/>
      </c>
      <c r="I1572">
        <f>IF(ROUND(H1572-D1572,2)=0,1,0)</f>
        <v/>
      </c>
      <c r="J1572">
        <f>IF(F1572="","none",IF(G1572=1,"carte","multiple"))</f>
        <v/>
      </c>
    </row>
    <row r="1573">
      <c r="A1573" t="inlineStr">
        <is>
          <t>2022-06-04</t>
        </is>
      </c>
      <c r="B1573" t="inlineStr">
        <is>
          <t>12:18</t>
        </is>
      </c>
      <c r="C1573" t="n">
        <v>2975</v>
      </c>
      <c r="D1573" s="6" t="n">
        <v>3.6</v>
      </c>
      <c r="E1573" t="n">
        <v>38373</v>
      </c>
      <c r="F1573" s="6" t="n">
        <v>3.6</v>
      </c>
      <c r="G1573" t="n">
        <v>1</v>
      </c>
      <c r="H1573" s="6">
        <f>ROUND(G1573*F1573,2)</f>
        <v/>
      </c>
      <c r="I1573">
        <f>IF(ROUND(H1573-D1573,2)=0,1,0)</f>
        <v/>
      </c>
      <c r="J1573">
        <f>IF(F1573="","none",IF(G1573=1,"carte","multiple"))</f>
        <v/>
      </c>
    </row>
    <row r="1574">
      <c r="A1574" t="inlineStr">
        <is>
          <t>2022-06-04</t>
        </is>
      </c>
      <c r="B1574" t="inlineStr">
        <is>
          <t>12:18</t>
        </is>
      </c>
      <c r="C1574" t="n">
        <v>2975</v>
      </c>
      <c r="D1574" s="6" t="n">
        <v>3.9</v>
      </c>
      <c r="E1574" t="n">
        <v>38374</v>
      </c>
      <c r="F1574" s="6" t="n">
        <v>3.9</v>
      </c>
      <c r="G1574" t="n">
        <v>1</v>
      </c>
      <c r="H1574" s="6">
        <f>ROUND(G1574*F1574,2)</f>
        <v/>
      </c>
      <c r="I1574">
        <f>IF(ROUND(H1574-D1574,2)=0,1,0)</f>
        <v/>
      </c>
      <c r="J1574">
        <f>IF(F1574="","none",IF(G1574=1,"carte","multiple"))</f>
        <v/>
      </c>
    </row>
    <row r="1575">
      <c r="A1575" t="inlineStr">
        <is>
          <t>2022-06-04</t>
        </is>
      </c>
      <c r="B1575" t="inlineStr">
        <is>
          <t>12:18</t>
        </is>
      </c>
      <c r="C1575" t="n">
        <v>2975</v>
      </c>
      <c r="D1575" s="6" t="n">
        <v>4.9</v>
      </c>
      <c r="E1575" t="n">
        <v>38375</v>
      </c>
      <c r="F1575" s="6" t="n">
        <v>4.9</v>
      </c>
      <c r="G1575" t="n">
        <v>1</v>
      </c>
      <c r="H1575" s="6">
        <f>ROUND(G1575*F1575,2)</f>
        <v/>
      </c>
      <c r="I1575">
        <f>IF(ROUND(H1575-D1575,2)=0,1,0)</f>
        <v/>
      </c>
      <c r="J1575">
        <f>IF(F1575="","none",IF(G1575=1,"carte","multiple"))</f>
        <v/>
      </c>
    </row>
    <row r="1576">
      <c r="A1576" t="inlineStr">
        <is>
          <t>2022-06-04</t>
        </is>
      </c>
      <c r="B1576" t="inlineStr">
        <is>
          <t>12:20</t>
        </is>
      </c>
      <c r="C1576" t="n">
        <v>2975</v>
      </c>
      <c r="D1576" s="6" t="n">
        <v>2.2</v>
      </c>
      <c r="E1576" t="n">
        <v>38376</v>
      </c>
      <c r="F1576" s="6" t="n">
        <v>2.2</v>
      </c>
      <c r="G1576" t="n">
        <v>1</v>
      </c>
      <c r="H1576" s="6">
        <f>ROUND(G1576*F1576,2)</f>
        <v/>
      </c>
      <c r="I1576">
        <f>IF(ROUND(H1576-D1576,2)=0,1,0)</f>
        <v/>
      </c>
      <c r="J1576">
        <f>IF(F1576="","none",IF(G1576=1,"carte","multiple"))</f>
        <v/>
      </c>
    </row>
    <row r="1577">
      <c r="A1577" t="inlineStr">
        <is>
          <t>2022-06-04</t>
        </is>
      </c>
      <c r="B1577" t="inlineStr">
        <is>
          <t>12:20</t>
        </is>
      </c>
      <c r="C1577" t="n">
        <v>2975</v>
      </c>
      <c r="D1577" s="6" t="n">
        <v>1.95</v>
      </c>
      <c r="E1577" t="n">
        <v>38377</v>
      </c>
      <c r="H1577" t="inlineStr"/>
      <c r="I1577" t="inlineStr"/>
      <c r="J1577">
        <f>IF(F1577="","none",IF(G1577=1,"carte","multiple"))</f>
        <v/>
      </c>
    </row>
    <row r="1578">
      <c r="A1578" t="inlineStr">
        <is>
          <t>2022-06-04</t>
        </is>
      </c>
      <c r="B1578" t="inlineStr">
        <is>
          <t>12:20</t>
        </is>
      </c>
      <c r="C1578" t="n">
        <v>2975</v>
      </c>
      <c r="D1578" s="6" t="n">
        <v>4.35</v>
      </c>
      <c r="E1578" t="n">
        <v>38378</v>
      </c>
      <c r="H1578" t="inlineStr"/>
      <c r="I1578" t="inlineStr"/>
      <c r="J1578">
        <f>IF(F1578="","none",IF(G1578=1,"carte","multiple"))</f>
        <v/>
      </c>
    </row>
    <row r="1579">
      <c r="A1579" t="inlineStr">
        <is>
          <t>2022-06-04</t>
        </is>
      </c>
      <c r="B1579" t="inlineStr">
        <is>
          <t>12:20</t>
        </is>
      </c>
      <c r="C1579" t="n">
        <v>2975</v>
      </c>
      <c r="D1579" s="6" t="n">
        <v>19.9</v>
      </c>
      <c r="E1579" t="n">
        <v>38379</v>
      </c>
      <c r="F1579" s="6" t="n">
        <v>19.9</v>
      </c>
      <c r="G1579" t="n">
        <v>1</v>
      </c>
      <c r="H1579" s="6">
        <f>ROUND(G1579*F1579,2)</f>
        <v/>
      </c>
      <c r="I1579">
        <f>IF(ROUND(H1579-D1579,2)=0,1,0)</f>
        <v/>
      </c>
      <c r="J1579">
        <f>IF(F1579="","none",IF(G1579=1,"carte","multiple"))</f>
        <v/>
      </c>
    </row>
    <row r="1580">
      <c r="A1580" t="inlineStr">
        <is>
          <t>2022-06-04</t>
        </is>
      </c>
      <c r="B1580" t="inlineStr">
        <is>
          <t>12:20</t>
        </is>
      </c>
      <c r="C1580" t="n">
        <v>2975</v>
      </c>
      <c r="D1580" s="6" t="n">
        <v>32</v>
      </c>
      <c r="E1580" t="n">
        <v>38380</v>
      </c>
      <c r="F1580" s="6" t="n">
        <v>32</v>
      </c>
      <c r="G1580" t="n">
        <v>1</v>
      </c>
      <c r="H1580" s="6">
        <f>ROUND(G1580*F1580,2)</f>
        <v/>
      </c>
      <c r="I1580">
        <f>IF(ROUND(H1580-D1580,2)=0,1,0)</f>
        <v/>
      </c>
      <c r="J1580">
        <f>IF(F1580="","none",IF(G1580=1,"carte","multiple"))</f>
        <v/>
      </c>
    </row>
    <row r="1581">
      <c r="A1581" t="inlineStr">
        <is>
          <t>2022-06-04</t>
        </is>
      </c>
      <c r="B1581" t="inlineStr">
        <is>
          <t>12:20</t>
        </is>
      </c>
      <c r="C1581" t="n">
        <v>2975</v>
      </c>
      <c r="D1581" s="6" t="n">
        <v>14</v>
      </c>
      <c r="E1581" t="n">
        <v>38381</v>
      </c>
      <c r="F1581" s="6" t="n">
        <v>14</v>
      </c>
      <c r="G1581" t="n">
        <v>1</v>
      </c>
      <c r="H1581" s="6">
        <f>ROUND(G1581*F1581,2)</f>
        <v/>
      </c>
      <c r="I1581">
        <f>IF(ROUND(H1581-D1581,2)=0,1,0)</f>
        <v/>
      </c>
      <c r="J1581">
        <f>IF(F1581="","none",IF(G1581=1,"carte","multiple"))</f>
        <v/>
      </c>
    </row>
    <row r="1582">
      <c r="A1582" t="inlineStr">
        <is>
          <t>2022-06-04</t>
        </is>
      </c>
      <c r="B1582" t="inlineStr">
        <is>
          <t>12:20</t>
        </is>
      </c>
      <c r="C1582" t="n">
        <v>2975</v>
      </c>
      <c r="D1582" s="6" t="n">
        <v>16</v>
      </c>
      <c r="E1582" t="n">
        <v>38382</v>
      </c>
      <c r="F1582" s="6" t="n">
        <v>16</v>
      </c>
      <c r="G1582" t="n">
        <v>1</v>
      </c>
      <c r="H1582" s="6">
        <f>ROUND(G1582*F1582,2)</f>
        <v/>
      </c>
      <c r="I1582">
        <f>IF(ROUND(H1582-D1582,2)=0,1,0)</f>
        <v/>
      </c>
      <c r="J1582">
        <f>IF(F1582="","none",IF(G1582=1,"carte","multiple"))</f>
        <v/>
      </c>
    </row>
    <row r="1583">
      <c r="A1583" t="inlineStr">
        <is>
          <t>2022-06-04</t>
        </is>
      </c>
      <c r="B1583" t="inlineStr">
        <is>
          <t>12:20</t>
        </is>
      </c>
      <c r="C1583" t="n">
        <v>2975</v>
      </c>
      <c r="D1583" s="6" t="n">
        <v>2.6</v>
      </c>
      <c r="E1583" t="n">
        <v>38383</v>
      </c>
      <c r="H1583" t="inlineStr"/>
      <c r="I1583" t="inlineStr"/>
      <c r="J1583">
        <f>IF(F1583="","none",IF(G1583=1,"carte","multiple"))</f>
        <v/>
      </c>
    </row>
    <row r="1584">
      <c r="A1584" t="inlineStr">
        <is>
          <t>2022-06-04</t>
        </is>
      </c>
      <c r="B1584" t="inlineStr">
        <is>
          <t>12:20</t>
        </is>
      </c>
      <c r="C1584" t="n">
        <v>2975</v>
      </c>
      <c r="D1584" s="6" t="n">
        <v>1.95</v>
      </c>
      <c r="E1584" t="n">
        <v>38384</v>
      </c>
      <c r="H1584" t="inlineStr"/>
      <c r="I1584" t="inlineStr"/>
      <c r="J1584">
        <f>IF(F1584="","none",IF(G1584=1,"carte","multiple"))</f>
        <v/>
      </c>
    </row>
    <row r="1585">
      <c r="A1585" t="inlineStr">
        <is>
          <t>2022-06-04</t>
        </is>
      </c>
      <c r="B1585" t="inlineStr">
        <is>
          <t>12:20</t>
        </is>
      </c>
      <c r="C1585" t="n">
        <v>2975</v>
      </c>
      <c r="D1585" s="6" t="n">
        <v>7.8</v>
      </c>
      <c r="E1585" t="n">
        <v>38385</v>
      </c>
      <c r="F1585" s="6" t="n">
        <v>7.8</v>
      </c>
      <c r="G1585" t="n">
        <v>1</v>
      </c>
      <c r="H1585" s="6">
        <f>ROUND(G1585*F1585,2)</f>
        <v/>
      </c>
      <c r="I1585">
        <f>IF(ROUND(H1585-D1585,2)=0,1,0)</f>
        <v/>
      </c>
      <c r="J1585">
        <f>IF(F1585="","none",IF(G1585=1,"carte","multiple"))</f>
        <v/>
      </c>
    </row>
    <row r="1586">
      <c r="A1586" t="inlineStr">
        <is>
          <t>2022-06-04</t>
        </is>
      </c>
      <c r="B1586" t="inlineStr">
        <is>
          <t>13:16</t>
        </is>
      </c>
      <c r="C1586" t="n">
        <v>2975</v>
      </c>
      <c r="D1586" s="6" t="n">
        <v>6.6</v>
      </c>
      <c r="E1586" t="n">
        <v>38386</v>
      </c>
      <c r="F1586" s="6" t="n">
        <v>6.6</v>
      </c>
      <c r="G1586" t="n">
        <v>1</v>
      </c>
      <c r="H1586" s="6">
        <f>ROUND(G1586*F1586,2)</f>
        <v/>
      </c>
      <c r="I1586">
        <f>IF(ROUND(H1586-D1586,2)=0,1,0)</f>
        <v/>
      </c>
      <c r="J1586">
        <f>IF(F1586="","none",IF(G1586=1,"carte","multiple"))</f>
        <v/>
      </c>
    </row>
    <row r="1587">
      <c r="A1587" t="inlineStr">
        <is>
          <t>2022-06-04</t>
        </is>
      </c>
      <c r="B1587" t="inlineStr">
        <is>
          <t>13:16</t>
        </is>
      </c>
      <c r="C1587" t="n">
        <v>2975</v>
      </c>
      <c r="D1587" s="6" t="n">
        <v>3.4</v>
      </c>
      <c r="E1587" t="n">
        <v>38387</v>
      </c>
      <c r="F1587" s="6" t="n">
        <v>3.4</v>
      </c>
      <c r="G1587" t="n">
        <v>1</v>
      </c>
      <c r="H1587" s="6">
        <f>ROUND(G1587*F1587,2)</f>
        <v/>
      </c>
      <c r="I1587">
        <f>IF(ROUND(H1587-D1587,2)=0,1,0)</f>
        <v/>
      </c>
      <c r="J1587">
        <f>IF(F1587="","none",IF(G1587=1,"carte","multiple"))</f>
        <v/>
      </c>
    </row>
    <row r="1588">
      <c r="A1588" t="inlineStr">
        <is>
          <t>2022-06-04</t>
        </is>
      </c>
      <c r="B1588" t="inlineStr">
        <is>
          <t>13:16</t>
        </is>
      </c>
      <c r="C1588" t="n">
        <v>2975</v>
      </c>
      <c r="D1588" s="6" t="n">
        <v>5.4</v>
      </c>
      <c r="E1588" t="n">
        <v>38388</v>
      </c>
      <c r="F1588" s="6" t="n">
        <v>5.4</v>
      </c>
      <c r="G1588" t="n">
        <v>1</v>
      </c>
      <c r="H1588" s="6">
        <f>ROUND(G1588*F1588,2)</f>
        <v/>
      </c>
      <c r="I1588">
        <f>IF(ROUND(H1588-D1588,2)=0,1,0)</f>
        <v/>
      </c>
      <c r="J1588">
        <f>IF(F1588="","none",IF(G1588=1,"carte","multiple"))</f>
        <v/>
      </c>
    </row>
    <row r="1589">
      <c r="A1589" t="inlineStr">
        <is>
          <t>2022-06-04</t>
        </is>
      </c>
      <c r="B1589" t="inlineStr">
        <is>
          <t>13:17</t>
        </is>
      </c>
      <c r="C1589" t="n">
        <v>2975</v>
      </c>
      <c r="D1589" s="6" t="n">
        <v>11.6</v>
      </c>
      <c r="E1589" t="n">
        <v>38389</v>
      </c>
      <c r="F1589" s="6" t="n">
        <v>11.6</v>
      </c>
      <c r="G1589" t="n">
        <v>1</v>
      </c>
      <c r="H1589" s="6">
        <f>ROUND(G1589*F1589,2)</f>
        <v/>
      </c>
      <c r="I1589">
        <f>IF(ROUND(H1589-D1589,2)=0,1,0)</f>
        <v/>
      </c>
      <c r="J1589">
        <f>IF(F1589="","none",IF(G1589=1,"carte","multiple"))</f>
        <v/>
      </c>
    </row>
    <row r="1590">
      <c r="A1590" t="inlineStr">
        <is>
          <t>2022-06-04</t>
        </is>
      </c>
      <c r="B1590" t="inlineStr">
        <is>
          <t>13:17</t>
        </is>
      </c>
      <c r="C1590" t="n">
        <v>2975</v>
      </c>
      <c r="D1590" s="6" t="n">
        <v>3.9</v>
      </c>
      <c r="E1590" t="n">
        <v>38390</v>
      </c>
      <c r="F1590" s="6" t="n">
        <v>3.9</v>
      </c>
      <c r="G1590" t="n">
        <v>1</v>
      </c>
      <c r="H1590" s="6">
        <f>ROUND(G1590*F1590,2)</f>
        <v/>
      </c>
      <c r="I1590">
        <f>IF(ROUND(H1590-D1590,2)=0,1,0)</f>
        <v/>
      </c>
      <c r="J1590">
        <f>IF(F1590="","none",IF(G1590=1,"carte","multiple"))</f>
        <v/>
      </c>
    </row>
    <row r="1591">
      <c r="A1591" t="inlineStr">
        <is>
          <t>2022-06-04</t>
        </is>
      </c>
      <c r="B1591" t="inlineStr">
        <is>
          <t>13:17</t>
        </is>
      </c>
      <c r="C1591" t="n">
        <v>2975</v>
      </c>
      <c r="D1591" s="6" t="n">
        <v>2.9</v>
      </c>
      <c r="E1591" t="n">
        <v>38391</v>
      </c>
      <c r="F1591" s="6" t="n">
        <v>2.9</v>
      </c>
      <c r="G1591" t="n">
        <v>1</v>
      </c>
      <c r="H1591" s="6">
        <f>ROUND(G1591*F1591,2)</f>
        <v/>
      </c>
      <c r="I1591">
        <f>IF(ROUND(H1591-D1591,2)=0,1,0)</f>
        <v/>
      </c>
      <c r="J1591">
        <f>IF(F1591="","none",IF(G1591=1,"carte","multiple"))</f>
        <v/>
      </c>
    </row>
    <row r="1592">
      <c r="A1592" t="inlineStr">
        <is>
          <t>2022-06-04</t>
        </is>
      </c>
      <c r="B1592" t="inlineStr">
        <is>
          <t>13:17</t>
        </is>
      </c>
      <c r="C1592" t="n">
        <v>2975</v>
      </c>
      <c r="D1592" s="6" t="n">
        <v>6.9</v>
      </c>
      <c r="E1592" t="n">
        <v>38392</v>
      </c>
      <c r="F1592" s="6" t="n">
        <v>6.9</v>
      </c>
      <c r="G1592" t="n">
        <v>1</v>
      </c>
      <c r="H1592" s="6">
        <f>ROUND(G1592*F1592,2)</f>
        <v/>
      </c>
      <c r="I1592">
        <f>IF(ROUND(H1592-D1592,2)=0,1,0)</f>
        <v/>
      </c>
      <c r="J1592">
        <f>IF(F1592="","none",IF(G1592=1,"carte","multiple"))</f>
        <v/>
      </c>
    </row>
    <row r="1593">
      <c r="A1593" t="inlineStr">
        <is>
          <t>2022-06-04</t>
        </is>
      </c>
      <c r="B1593" t="inlineStr">
        <is>
          <t>13:17</t>
        </is>
      </c>
      <c r="C1593" t="n">
        <v>2975</v>
      </c>
      <c r="D1593" s="6" t="n">
        <v>8.699999999999999</v>
      </c>
      <c r="E1593" t="n">
        <v>38393</v>
      </c>
      <c r="F1593" s="6" t="n">
        <v>8.699999999999999</v>
      </c>
      <c r="G1593" t="n">
        <v>1</v>
      </c>
      <c r="H1593" s="6">
        <f>ROUND(G1593*F1593,2)</f>
        <v/>
      </c>
      <c r="I1593">
        <f>IF(ROUND(H1593-D1593,2)=0,1,0)</f>
        <v/>
      </c>
      <c r="J1593">
        <f>IF(F1593="","none",IF(G1593=1,"carte","multiple"))</f>
        <v/>
      </c>
    </row>
    <row r="1594">
      <c r="A1594" t="inlineStr">
        <is>
          <t>2022-06-04</t>
        </is>
      </c>
      <c r="B1594" t="inlineStr">
        <is>
          <t>13:17</t>
        </is>
      </c>
      <c r="C1594" t="n">
        <v>2975</v>
      </c>
      <c r="D1594" s="6" t="n">
        <v>17.6</v>
      </c>
      <c r="E1594" t="n">
        <v>38394</v>
      </c>
      <c r="F1594" s="6" t="n">
        <v>17.6</v>
      </c>
      <c r="G1594" t="n">
        <v>1</v>
      </c>
      <c r="H1594" s="6">
        <f>ROUND(G1594*F1594,2)</f>
        <v/>
      </c>
      <c r="I1594">
        <f>IF(ROUND(H1594-D1594,2)=0,1,0)</f>
        <v/>
      </c>
      <c r="J1594">
        <f>IF(F1594="","none",IF(G1594=1,"carte","multiple"))</f>
        <v/>
      </c>
    </row>
    <row r="1595">
      <c r="A1595" t="inlineStr">
        <is>
          <t>2022-06-04</t>
        </is>
      </c>
      <c r="B1595" t="inlineStr">
        <is>
          <t>13:17</t>
        </is>
      </c>
      <c r="C1595" t="n">
        <v>2975</v>
      </c>
      <c r="D1595" s="6" t="n">
        <v>19.9</v>
      </c>
      <c r="E1595" t="n">
        <v>38395</v>
      </c>
      <c r="F1595" s="6" t="n">
        <v>19.9</v>
      </c>
      <c r="G1595" t="n">
        <v>1</v>
      </c>
      <c r="H1595" s="6">
        <f>ROUND(G1595*F1595,2)</f>
        <v/>
      </c>
      <c r="I1595">
        <f>IF(ROUND(H1595-D1595,2)=0,1,0)</f>
        <v/>
      </c>
      <c r="J1595">
        <f>IF(F1595="","none",IF(G1595=1,"carte","multiple"))</f>
        <v/>
      </c>
    </row>
    <row r="1596">
      <c r="A1596" t="inlineStr">
        <is>
          <t>2022-06-04</t>
        </is>
      </c>
      <c r="B1596" t="inlineStr">
        <is>
          <t>13:17</t>
        </is>
      </c>
      <c r="C1596" t="n">
        <v>2975</v>
      </c>
      <c r="D1596" s="6" t="n">
        <v>5.9</v>
      </c>
      <c r="E1596" t="n">
        <v>38396</v>
      </c>
      <c r="F1596" s="6" t="n">
        <v>5.9</v>
      </c>
      <c r="G1596" t="n">
        <v>1</v>
      </c>
      <c r="H1596" s="6">
        <f>ROUND(G1596*F1596,2)</f>
        <v/>
      </c>
      <c r="I1596">
        <f>IF(ROUND(H1596-D1596,2)=0,1,0)</f>
        <v/>
      </c>
      <c r="J1596">
        <f>IF(F1596="","none",IF(G1596=1,"carte","multiple"))</f>
        <v/>
      </c>
    </row>
    <row r="1597">
      <c r="A1597" t="inlineStr">
        <is>
          <t>2022-06-04</t>
        </is>
      </c>
      <c r="B1597" t="inlineStr">
        <is>
          <t>18:21</t>
        </is>
      </c>
      <c r="C1597" t="n">
        <v>2975</v>
      </c>
      <c r="D1597" s="6" t="n">
        <v>15.9</v>
      </c>
      <c r="E1597" t="n">
        <v>38398</v>
      </c>
      <c r="F1597" s="6" t="n">
        <v>15.9</v>
      </c>
      <c r="G1597" t="n">
        <v>1</v>
      </c>
      <c r="H1597" s="6">
        <f>ROUND(G1597*F1597,2)</f>
        <v/>
      </c>
      <c r="I1597">
        <f>IF(ROUND(H1597-D1597,2)=0,1,0)</f>
        <v/>
      </c>
      <c r="J1597">
        <f>IF(F1597="","none",IF(G1597=1,"carte","multiple"))</f>
        <v/>
      </c>
    </row>
    <row r="1598">
      <c r="A1598" t="inlineStr">
        <is>
          <t>2022-06-04</t>
        </is>
      </c>
      <c r="B1598" t="inlineStr">
        <is>
          <t>18:21</t>
        </is>
      </c>
      <c r="C1598" t="n">
        <v>2975</v>
      </c>
      <c r="D1598" s="6" t="n">
        <v>17.6</v>
      </c>
      <c r="E1598" t="n">
        <v>38399</v>
      </c>
      <c r="F1598" s="6" t="n">
        <v>17.6</v>
      </c>
      <c r="G1598" t="n">
        <v>1</v>
      </c>
      <c r="H1598" s="6">
        <f>ROUND(G1598*F1598,2)</f>
        <v/>
      </c>
      <c r="I1598">
        <f>IF(ROUND(H1598-D1598,2)=0,1,0)</f>
        <v/>
      </c>
      <c r="J1598">
        <f>IF(F1598="","none",IF(G1598=1,"carte","multiple"))</f>
        <v/>
      </c>
    </row>
    <row r="1599">
      <c r="A1599" t="inlineStr">
        <is>
          <t>2022-06-04</t>
        </is>
      </c>
      <c r="B1599" t="inlineStr">
        <is>
          <t>18:21</t>
        </is>
      </c>
      <c r="C1599" t="n">
        <v>2975</v>
      </c>
      <c r="D1599" s="6" t="n">
        <v>15.9</v>
      </c>
      <c r="E1599" t="n">
        <v>38400</v>
      </c>
      <c r="F1599" s="6" t="n">
        <v>15.9</v>
      </c>
      <c r="G1599" t="n">
        <v>1</v>
      </c>
      <c r="H1599" s="6">
        <f>ROUND(G1599*F1599,2)</f>
        <v/>
      </c>
      <c r="I1599">
        <f>IF(ROUND(H1599-D1599,2)=0,1,0)</f>
        <v/>
      </c>
      <c r="J1599">
        <f>IF(F1599="","none",IF(G1599=1,"carte","multiple"))</f>
        <v/>
      </c>
    </row>
    <row r="1600">
      <c r="A1600" t="inlineStr">
        <is>
          <t>2022-06-04</t>
        </is>
      </c>
      <c r="B1600" t="inlineStr">
        <is>
          <t>18:21</t>
        </is>
      </c>
      <c r="C1600" t="n">
        <v>2975</v>
      </c>
      <c r="D1600" s="6" t="n">
        <v>4.2</v>
      </c>
      <c r="E1600" t="n">
        <v>38401</v>
      </c>
      <c r="F1600" s="6" t="n">
        <v>4.2</v>
      </c>
      <c r="G1600" t="n">
        <v>1</v>
      </c>
      <c r="H1600" s="6">
        <f>ROUND(G1600*F1600,2)</f>
        <v/>
      </c>
      <c r="I1600">
        <f>IF(ROUND(H1600-D1600,2)=0,1,0)</f>
        <v/>
      </c>
      <c r="J1600">
        <f>IF(F1600="","none",IF(G1600=1,"carte","multiple"))</f>
        <v/>
      </c>
    </row>
    <row r="1601">
      <c r="A1601" t="inlineStr">
        <is>
          <t>2022-06-04</t>
        </is>
      </c>
      <c r="B1601" t="inlineStr">
        <is>
          <t>18:21</t>
        </is>
      </c>
      <c r="C1601" t="n">
        <v>2975</v>
      </c>
      <c r="D1601" s="6" t="n">
        <v>15.8</v>
      </c>
      <c r="E1601" t="n">
        <v>38402</v>
      </c>
      <c r="F1601" s="6" t="n">
        <v>7.9</v>
      </c>
      <c r="G1601" t="n">
        <v>2</v>
      </c>
      <c r="H1601" s="6">
        <f>ROUND(G1601*F1601,2)</f>
        <v/>
      </c>
      <c r="I1601">
        <f>IF(ROUND(H1601-D1601,2)=0,1,0)</f>
        <v/>
      </c>
      <c r="J1601">
        <f>IF(F1601="","none",IF(G1601=1,"carte","multiple"))</f>
        <v/>
      </c>
    </row>
    <row r="1602">
      <c r="A1602" t="inlineStr">
        <is>
          <t>2022-06-04</t>
        </is>
      </c>
      <c r="B1602" t="inlineStr">
        <is>
          <t>18:49</t>
        </is>
      </c>
      <c r="C1602" t="n">
        <v>2975</v>
      </c>
      <c r="D1602" s="6" t="n">
        <v>7.5</v>
      </c>
      <c r="E1602" t="n">
        <v>38403</v>
      </c>
      <c r="F1602" s="6" t="n">
        <v>7.5</v>
      </c>
      <c r="G1602" t="n">
        <v>1</v>
      </c>
      <c r="H1602" s="6">
        <f>ROUND(G1602*F1602,2)</f>
        <v/>
      </c>
      <c r="I1602">
        <f>IF(ROUND(H1602-D1602,2)=0,1,0)</f>
        <v/>
      </c>
      <c r="J1602">
        <f>IF(F1602="","none",IF(G1602=1,"carte","multiple"))</f>
        <v/>
      </c>
    </row>
    <row r="1603">
      <c r="A1603" t="inlineStr">
        <is>
          <t>2022-06-04</t>
        </is>
      </c>
      <c r="B1603" t="inlineStr">
        <is>
          <t>19:19</t>
        </is>
      </c>
      <c r="C1603" t="n">
        <v>2975</v>
      </c>
      <c r="D1603" s="6" t="n">
        <v>59.6</v>
      </c>
      <c r="E1603" t="n">
        <v>38404</v>
      </c>
      <c r="F1603" s="6" t="n">
        <v>0.4</v>
      </c>
      <c r="G1603" t="n">
        <v>149</v>
      </c>
      <c r="H1603" s="6">
        <f>ROUND(G1603*F1603,2)</f>
        <v/>
      </c>
      <c r="I1603">
        <f>IF(ROUND(H1603-D1603,2)=0,1,0)</f>
        <v/>
      </c>
      <c r="J1603">
        <f>IF(F1603="","none",IF(G1603=1,"carte","multiple"))</f>
        <v/>
      </c>
    </row>
    <row r="1604">
      <c r="A1604" t="inlineStr">
        <is>
          <t>2022-06-04</t>
        </is>
      </c>
      <c r="B1604" t="inlineStr">
        <is>
          <t>19:21</t>
        </is>
      </c>
      <c r="C1604" t="n">
        <v>2975</v>
      </c>
      <c r="D1604" s="6" t="n">
        <v>7.2</v>
      </c>
      <c r="E1604" t="n">
        <v>38405</v>
      </c>
      <c r="F1604" s="6" t="n">
        <v>7.2</v>
      </c>
      <c r="G1604" t="n">
        <v>1</v>
      </c>
      <c r="H1604" s="6">
        <f>ROUND(G1604*F1604,2)</f>
        <v/>
      </c>
      <c r="I1604">
        <f>IF(ROUND(H1604-D1604,2)=0,1,0)</f>
        <v/>
      </c>
      <c r="J1604">
        <f>IF(F1604="","none",IF(G1604=1,"carte","multiple"))</f>
        <v/>
      </c>
    </row>
    <row r="1605">
      <c r="A1605" t="inlineStr">
        <is>
          <t>2022-06-04</t>
        </is>
      </c>
      <c r="B1605" t="inlineStr">
        <is>
          <t>19:35</t>
        </is>
      </c>
      <c r="C1605" t="n">
        <v>2975</v>
      </c>
      <c r="D1605" s="6" t="n">
        <v>59.8</v>
      </c>
      <c r="E1605" t="n">
        <v>38406</v>
      </c>
      <c r="F1605" s="6" t="n">
        <v>4.6</v>
      </c>
      <c r="G1605" t="n">
        <v>13</v>
      </c>
      <c r="H1605" s="6">
        <f>ROUND(G1605*F1605,2)</f>
        <v/>
      </c>
      <c r="I1605">
        <f>IF(ROUND(H1605-D1605,2)=0,1,0)</f>
        <v/>
      </c>
      <c r="J1605">
        <f>IF(F1605="","none",IF(G1605=1,"carte","multiple"))</f>
        <v/>
      </c>
    </row>
    <row r="1606">
      <c r="A1606" t="inlineStr">
        <is>
          <t>2022-06-04</t>
        </is>
      </c>
      <c r="B1606" t="inlineStr">
        <is>
          <t>20:17</t>
        </is>
      </c>
      <c r="C1606" t="n">
        <v>2975</v>
      </c>
      <c r="D1606" s="6" t="n">
        <v>2.2</v>
      </c>
      <c r="E1606" t="n">
        <v>38408</v>
      </c>
      <c r="F1606" s="6" t="n">
        <v>2.2</v>
      </c>
      <c r="G1606" t="n">
        <v>1</v>
      </c>
      <c r="H1606" s="6">
        <f>ROUND(G1606*F1606,2)</f>
        <v/>
      </c>
      <c r="I1606">
        <f>IF(ROUND(H1606-D1606,2)=0,1,0)</f>
        <v/>
      </c>
      <c r="J1606">
        <f>IF(F1606="","none",IF(G1606=1,"carte","multiple"))</f>
        <v/>
      </c>
    </row>
    <row r="1607">
      <c r="A1607" t="inlineStr">
        <is>
          <t>2022-06-04</t>
        </is>
      </c>
      <c r="B1607" t="inlineStr">
        <is>
          <t>20:17</t>
        </is>
      </c>
      <c r="C1607" t="n">
        <v>2975</v>
      </c>
      <c r="D1607" s="6" t="n">
        <v>119.6</v>
      </c>
      <c r="E1607" t="n">
        <v>38409</v>
      </c>
      <c r="F1607" s="6" t="n">
        <v>0.4</v>
      </c>
      <c r="G1607" t="n">
        <v>299</v>
      </c>
      <c r="H1607" s="6">
        <f>ROUND(G1607*F1607,2)</f>
        <v/>
      </c>
      <c r="I1607">
        <f>IF(ROUND(H1607-D1607,2)=0,1,0)</f>
        <v/>
      </c>
      <c r="J1607">
        <f>IF(F1607="","none",IF(G1607=1,"carte","multiple"))</f>
        <v/>
      </c>
    </row>
    <row r="1608">
      <c r="A1608" t="inlineStr">
        <is>
          <t>2022-06-04</t>
        </is>
      </c>
      <c r="B1608" t="inlineStr">
        <is>
          <t>20:17</t>
        </is>
      </c>
      <c r="C1608" t="n">
        <v>2975</v>
      </c>
      <c r="D1608" s="6" t="n">
        <v>5.9</v>
      </c>
      <c r="E1608" t="n">
        <v>38410</v>
      </c>
      <c r="F1608" s="6" t="n">
        <v>5.9</v>
      </c>
      <c r="G1608" t="n">
        <v>1</v>
      </c>
      <c r="H1608" s="6">
        <f>ROUND(G1608*F1608,2)</f>
        <v/>
      </c>
      <c r="I1608">
        <f>IF(ROUND(H1608-D1608,2)=0,1,0)</f>
        <v/>
      </c>
      <c r="J1608">
        <f>IF(F1608="","none",IF(G1608=1,"carte","multiple"))</f>
        <v/>
      </c>
    </row>
    <row r="1609">
      <c r="A1609" t="inlineStr">
        <is>
          <t>2022-06-04</t>
        </is>
      </c>
      <c r="B1609" t="inlineStr">
        <is>
          <t>20:17</t>
        </is>
      </c>
      <c r="C1609" t="n">
        <v>2975</v>
      </c>
      <c r="D1609" s="6" t="n">
        <v>39.5</v>
      </c>
      <c r="E1609" t="n">
        <v>38411</v>
      </c>
      <c r="F1609" s="6" t="n">
        <v>39.5</v>
      </c>
      <c r="G1609" t="n">
        <v>1</v>
      </c>
      <c r="H1609" s="6">
        <f>ROUND(G1609*F1609,2)</f>
        <v/>
      </c>
      <c r="I1609">
        <f>IF(ROUND(H1609-D1609,2)=0,1,0)</f>
        <v/>
      </c>
      <c r="J1609">
        <f>IF(F1609="","none",IF(G1609=1,"carte","multiple"))</f>
        <v/>
      </c>
    </row>
    <row r="1610">
      <c r="A1610" t="inlineStr">
        <is>
          <t>2022-06-04</t>
        </is>
      </c>
      <c r="B1610" t="inlineStr">
        <is>
          <t>20:21</t>
        </is>
      </c>
      <c r="C1610" t="n">
        <v>2975</v>
      </c>
      <c r="D1610" s="6" t="n">
        <v>38</v>
      </c>
      <c r="E1610" t="n">
        <v>38412</v>
      </c>
      <c r="F1610" s="6" t="n">
        <v>0.4</v>
      </c>
      <c r="G1610" t="n">
        <v>95</v>
      </c>
      <c r="H1610" s="6">
        <f>ROUND(G1610*F1610,2)</f>
        <v/>
      </c>
      <c r="I1610">
        <f>IF(ROUND(H1610-D1610,2)=0,1,0)</f>
        <v/>
      </c>
      <c r="J1610">
        <f>IF(F1610="","none",IF(G1610=1,"carte","multiple"))</f>
        <v/>
      </c>
    </row>
    <row r="1611">
      <c r="A1611" t="inlineStr">
        <is>
          <t>2022-06-04</t>
        </is>
      </c>
      <c r="B1611" t="inlineStr">
        <is>
          <t>20:21</t>
        </is>
      </c>
      <c r="C1611" t="n">
        <v>2975</v>
      </c>
      <c r="D1611" s="6" t="n">
        <v>19.8</v>
      </c>
      <c r="E1611" t="n">
        <v>38413</v>
      </c>
      <c r="F1611" s="6" t="n">
        <v>19.8</v>
      </c>
      <c r="G1611" t="n">
        <v>1</v>
      </c>
      <c r="H1611" s="6">
        <f>ROUND(G1611*F1611,2)</f>
        <v/>
      </c>
      <c r="I1611">
        <f>IF(ROUND(H1611-D1611,2)=0,1,0)</f>
        <v/>
      </c>
      <c r="J1611">
        <f>IF(F1611="","none",IF(G1611=1,"carte","multiple"))</f>
        <v/>
      </c>
    </row>
    <row r="1612">
      <c r="A1612" t="inlineStr">
        <is>
          <t>2022-06-04</t>
        </is>
      </c>
      <c r="B1612" t="inlineStr">
        <is>
          <t>20:47</t>
        </is>
      </c>
      <c r="C1612" t="n">
        <v>2975</v>
      </c>
      <c r="D1612" s="6" t="n">
        <v>4.4</v>
      </c>
      <c r="E1612" t="n">
        <v>38414</v>
      </c>
      <c r="F1612" s="6" t="n">
        <v>0.4</v>
      </c>
      <c r="G1612" t="n">
        <v>11</v>
      </c>
      <c r="H1612" s="6">
        <f>ROUND(G1612*F1612,2)</f>
        <v/>
      </c>
      <c r="I1612">
        <f>IF(ROUND(H1612-D1612,2)=0,1,0)</f>
        <v/>
      </c>
      <c r="J1612">
        <f>IF(F1612="","none",IF(G1612=1,"carte","multiple"))</f>
        <v/>
      </c>
    </row>
    <row r="1613">
      <c r="A1613" t="inlineStr">
        <is>
          <t>2022-06-04</t>
        </is>
      </c>
      <c r="B1613" t="inlineStr">
        <is>
          <t>20:47</t>
        </is>
      </c>
      <c r="C1613" t="n">
        <v>2975</v>
      </c>
      <c r="D1613" s="6" t="n">
        <v>13.8</v>
      </c>
      <c r="E1613" t="n">
        <v>38415</v>
      </c>
      <c r="F1613" s="6" t="n">
        <v>4.6</v>
      </c>
      <c r="G1613" t="n">
        <v>3</v>
      </c>
      <c r="H1613" s="6">
        <f>ROUND(G1613*F1613,2)</f>
        <v/>
      </c>
      <c r="I1613">
        <f>IF(ROUND(H1613-D1613,2)=0,1,0)</f>
        <v/>
      </c>
      <c r="J1613">
        <f>IF(F1613="","none",IF(G1613=1,"carte","multiple"))</f>
        <v/>
      </c>
    </row>
    <row r="1614">
      <c r="A1614" t="inlineStr">
        <is>
          <t>2022-06-04</t>
        </is>
      </c>
      <c r="B1614" t="inlineStr">
        <is>
          <t>20:47</t>
        </is>
      </c>
      <c r="C1614" t="n">
        <v>2975</v>
      </c>
      <c r="D1614" s="6" t="n">
        <v>17.6</v>
      </c>
      <c r="E1614" t="n">
        <v>38416</v>
      </c>
      <c r="F1614" s="6" t="n">
        <v>17.6</v>
      </c>
      <c r="G1614" t="n">
        <v>1</v>
      </c>
      <c r="H1614" s="6">
        <f>ROUND(G1614*F1614,2)</f>
        <v/>
      </c>
      <c r="I1614">
        <f>IF(ROUND(H1614-D1614,2)=0,1,0)</f>
        <v/>
      </c>
      <c r="J1614">
        <f>IF(F1614="","none",IF(G1614=1,"carte","multiple"))</f>
        <v/>
      </c>
    </row>
    <row r="1615">
      <c r="A1615" t="inlineStr">
        <is>
          <t>2022-06-04</t>
        </is>
      </c>
      <c r="B1615" t="inlineStr">
        <is>
          <t>20:47</t>
        </is>
      </c>
      <c r="C1615" t="n">
        <v>2975</v>
      </c>
      <c r="D1615" s="6" t="n">
        <v>16.8</v>
      </c>
      <c r="E1615" t="n">
        <v>38417</v>
      </c>
      <c r="F1615" s="6" t="n">
        <v>16.8</v>
      </c>
      <c r="G1615" t="n">
        <v>1</v>
      </c>
      <c r="H1615" s="6">
        <f>ROUND(G1615*F1615,2)</f>
        <v/>
      </c>
      <c r="I1615">
        <f>IF(ROUND(H1615-D1615,2)=0,1,0)</f>
        <v/>
      </c>
      <c r="J1615">
        <f>IF(F1615="","none",IF(G1615=1,"carte","multiple"))</f>
        <v/>
      </c>
    </row>
    <row r="1616">
      <c r="A1616" t="inlineStr">
        <is>
          <t>2022-06-04</t>
        </is>
      </c>
      <c r="B1616" t="inlineStr">
        <is>
          <t>20:47</t>
        </is>
      </c>
      <c r="C1616" t="n">
        <v>2975</v>
      </c>
      <c r="D1616" s="6" t="n">
        <v>4</v>
      </c>
      <c r="E1616" t="n">
        <v>38418</v>
      </c>
      <c r="F1616" s="6" t="n">
        <v>4</v>
      </c>
      <c r="G1616" t="n">
        <v>1</v>
      </c>
      <c r="H1616" s="6">
        <f>ROUND(G1616*F1616,2)</f>
        <v/>
      </c>
      <c r="I1616">
        <f>IF(ROUND(H1616-D1616,2)=0,1,0)</f>
        <v/>
      </c>
      <c r="J1616">
        <f>IF(F1616="","none",IF(G1616=1,"carte","multiple"))</f>
        <v/>
      </c>
    </row>
    <row r="1617">
      <c r="A1617" t="inlineStr">
        <is>
          <t>2022-06-04</t>
        </is>
      </c>
      <c r="B1617" t="inlineStr">
        <is>
          <t>20:47</t>
        </is>
      </c>
      <c r="C1617" t="n">
        <v>2975</v>
      </c>
      <c r="D1617" s="6" t="n">
        <v>4.9</v>
      </c>
      <c r="E1617" t="n">
        <v>38419</v>
      </c>
      <c r="F1617" s="6" t="n">
        <v>4.9</v>
      </c>
      <c r="G1617" t="n">
        <v>1</v>
      </c>
      <c r="H1617" s="6">
        <f>ROUND(G1617*F1617,2)</f>
        <v/>
      </c>
      <c r="I1617">
        <f>IF(ROUND(H1617-D1617,2)=0,1,0)</f>
        <v/>
      </c>
      <c r="J1617">
        <f>IF(F1617="","none",IF(G1617=1,"carte","multiple"))</f>
        <v/>
      </c>
    </row>
    <row r="1618">
      <c r="A1618" t="inlineStr">
        <is>
          <t>2022-06-04</t>
        </is>
      </c>
      <c r="B1618" t="inlineStr">
        <is>
          <t>20:47</t>
        </is>
      </c>
      <c r="C1618" t="n">
        <v>2975</v>
      </c>
      <c r="D1618" s="6" t="n">
        <v>5.2</v>
      </c>
      <c r="E1618" t="n">
        <v>38420</v>
      </c>
      <c r="F1618" s="6" t="n">
        <v>5.2</v>
      </c>
      <c r="G1618" t="n">
        <v>1</v>
      </c>
      <c r="H1618" s="6">
        <f>ROUND(G1618*F1618,2)</f>
        <v/>
      </c>
      <c r="I1618">
        <f>IF(ROUND(H1618-D1618,2)=0,1,0)</f>
        <v/>
      </c>
      <c r="J1618">
        <f>IF(F1618="","none",IF(G1618=1,"carte","multiple"))</f>
        <v/>
      </c>
    </row>
    <row r="1619">
      <c r="A1619" t="inlineStr">
        <is>
          <t>2022-06-04</t>
        </is>
      </c>
      <c r="B1619" t="inlineStr">
        <is>
          <t>20:47</t>
        </is>
      </c>
      <c r="C1619" t="n">
        <v>2975</v>
      </c>
      <c r="D1619" s="6" t="n">
        <v>14</v>
      </c>
      <c r="E1619" t="n">
        <v>38421</v>
      </c>
      <c r="F1619" s="6" t="n">
        <v>14</v>
      </c>
      <c r="G1619" t="n">
        <v>1</v>
      </c>
      <c r="H1619" s="6">
        <f>ROUND(G1619*F1619,2)</f>
        <v/>
      </c>
      <c r="I1619">
        <f>IF(ROUND(H1619-D1619,2)=0,1,0)</f>
        <v/>
      </c>
      <c r="J1619">
        <f>IF(F1619="","none",IF(G1619=1,"carte","multiple"))</f>
        <v/>
      </c>
    </row>
    <row r="1620">
      <c r="A1620" t="inlineStr">
        <is>
          <t>2022-06-05</t>
        </is>
      </c>
      <c r="B1620" t="inlineStr">
        <is>
          <t>11:23</t>
        </is>
      </c>
      <c r="C1620" t="n">
        <v>2976</v>
      </c>
      <c r="D1620" s="6" t="n">
        <v>5.2</v>
      </c>
      <c r="E1620" t="n">
        <v>38424</v>
      </c>
      <c r="F1620" s="6" t="n">
        <v>5.2</v>
      </c>
      <c r="G1620" t="n">
        <v>1</v>
      </c>
      <c r="H1620" s="6">
        <f>ROUND(G1620*F1620,2)</f>
        <v/>
      </c>
      <c r="I1620">
        <f>IF(ROUND(H1620-D1620,2)=0,1,0)</f>
        <v/>
      </c>
      <c r="J1620">
        <f>IF(F1620="","none",IF(G1620=1,"carte","multiple"))</f>
        <v/>
      </c>
    </row>
    <row r="1621">
      <c r="A1621" t="inlineStr">
        <is>
          <t>2022-06-05</t>
        </is>
      </c>
      <c r="B1621" t="inlineStr">
        <is>
          <t>11:38</t>
        </is>
      </c>
      <c r="C1621" t="n">
        <v>2976</v>
      </c>
      <c r="D1621" s="6" t="n">
        <v>31.8</v>
      </c>
      <c r="E1621" t="n">
        <v>38425</v>
      </c>
      <c r="F1621" s="6" t="n">
        <v>31.8</v>
      </c>
      <c r="G1621" t="n">
        <v>1</v>
      </c>
      <c r="H1621" s="6">
        <f>ROUND(G1621*F1621,2)</f>
        <v/>
      </c>
      <c r="I1621">
        <f>IF(ROUND(H1621-D1621,2)=0,1,0)</f>
        <v/>
      </c>
      <c r="J1621">
        <f>IF(F1621="","none",IF(G1621=1,"carte","multiple"))</f>
        <v/>
      </c>
    </row>
    <row r="1622">
      <c r="A1622" t="inlineStr">
        <is>
          <t>2022-06-05</t>
        </is>
      </c>
      <c r="B1622" t="inlineStr">
        <is>
          <t>11:39</t>
        </is>
      </c>
      <c r="C1622" t="n">
        <v>2976</v>
      </c>
      <c r="D1622" s="6" t="n">
        <v>24</v>
      </c>
      <c r="E1622" t="n">
        <v>38426</v>
      </c>
      <c r="F1622" s="6" t="n">
        <v>24</v>
      </c>
      <c r="G1622" t="n">
        <v>1</v>
      </c>
      <c r="H1622" s="6">
        <f>ROUND(G1622*F1622,2)</f>
        <v/>
      </c>
      <c r="I1622">
        <f>IF(ROUND(H1622-D1622,2)=0,1,0)</f>
        <v/>
      </c>
      <c r="J1622">
        <f>IF(F1622="","none",IF(G1622=1,"carte","multiple"))</f>
        <v/>
      </c>
    </row>
    <row r="1623">
      <c r="A1623" t="inlineStr">
        <is>
          <t>2022-06-05</t>
        </is>
      </c>
      <c r="B1623" t="inlineStr">
        <is>
          <t>11:42</t>
        </is>
      </c>
      <c r="C1623" t="n">
        <v>2976</v>
      </c>
      <c r="D1623" s="6" t="n">
        <v>3.9</v>
      </c>
      <c r="E1623" t="n">
        <v>38427</v>
      </c>
      <c r="F1623" s="6" t="n">
        <v>3.9</v>
      </c>
      <c r="G1623" t="n">
        <v>1</v>
      </c>
      <c r="H1623" s="6">
        <f>ROUND(G1623*F1623,2)</f>
        <v/>
      </c>
      <c r="I1623">
        <f>IF(ROUND(H1623-D1623,2)=0,1,0)</f>
        <v/>
      </c>
      <c r="J1623">
        <f>IF(F1623="","none",IF(G1623=1,"carte","multiple"))</f>
        <v/>
      </c>
    </row>
    <row r="1624">
      <c r="A1624" t="inlineStr">
        <is>
          <t>2022-06-05</t>
        </is>
      </c>
      <c r="B1624" t="inlineStr">
        <is>
          <t>11:50</t>
        </is>
      </c>
      <c r="C1624" t="n">
        <v>2976</v>
      </c>
      <c r="D1624" s="6" t="n">
        <v>7.8</v>
      </c>
      <c r="E1624" t="n">
        <v>38428</v>
      </c>
      <c r="F1624" s="6" t="n">
        <v>7.8</v>
      </c>
      <c r="G1624" t="n">
        <v>1</v>
      </c>
      <c r="H1624" s="6">
        <f>ROUND(G1624*F1624,2)</f>
        <v/>
      </c>
      <c r="I1624">
        <f>IF(ROUND(H1624-D1624,2)=0,1,0)</f>
        <v/>
      </c>
      <c r="J1624">
        <f>IF(F1624="","none",IF(G1624=1,"carte","multiple"))</f>
        <v/>
      </c>
    </row>
    <row r="1625">
      <c r="A1625" t="inlineStr">
        <is>
          <t>2022-06-05</t>
        </is>
      </c>
      <c r="B1625" t="inlineStr">
        <is>
          <t>11:50</t>
        </is>
      </c>
      <c r="C1625" t="n">
        <v>2976</v>
      </c>
      <c r="D1625" s="6" t="n">
        <v>3.9</v>
      </c>
      <c r="E1625" t="n">
        <v>38429</v>
      </c>
      <c r="F1625" s="6" t="n">
        <v>3.9</v>
      </c>
      <c r="G1625" t="n">
        <v>1</v>
      </c>
      <c r="H1625" s="6">
        <f>ROUND(G1625*F1625,2)</f>
        <v/>
      </c>
      <c r="I1625">
        <f>IF(ROUND(H1625-D1625,2)=0,1,0)</f>
        <v/>
      </c>
      <c r="J1625">
        <f>IF(F1625="","none",IF(G1625=1,"carte","multiple"))</f>
        <v/>
      </c>
    </row>
    <row r="1626">
      <c r="A1626" t="inlineStr">
        <is>
          <t>2022-06-05</t>
        </is>
      </c>
      <c r="B1626" t="inlineStr">
        <is>
          <t>12:39</t>
        </is>
      </c>
      <c r="C1626" t="n">
        <v>2976</v>
      </c>
      <c r="D1626" s="6" t="n">
        <v>17.6</v>
      </c>
      <c r="E1626" t="n">
        <v>38430</v>
      </c>
      <c r="F1626" s="6" t="n">
        <v>17.6</v>
      </c>
      <c r="G1626" t="n">
        <v>1</v>
      </c>
      <c r="H1626" s="6">
        <f>ROUND(G1626*F1626,2)</f>
        <v/>
      </c>
      <c r="I1626">
        <f>IF(ROUND(H1626-D1626,2)=0,1,0)</f>
        <v/>
      </c>
      <c r="J1626">
        <f>IF(F1626="","none",IF(G1626=1,"carte","multiple"))</f>
        <v/>
      </c>
    </row>
    <row r="1627">
      <c r="A1627" t="inlineStr">
        <is>
          <t>2022-06-05</t>
        </is>
      </c>
      <c r="B1627" t="inlineStr">
        <is>
          <t>12:41</t>
        </is>
      </c>
      <c r="C1627" t="n">
        <v>2976</v>
      </c>
      <c r="D1627" s="6" t="n">
        <v>8</v>
      </c>
      <c r="E1627" t="n">
        <v>38431</v>
      </c>
      <c r="F1627" s="6" t="n">
        <v>8</v>
      </c>
      <c r="G1627" t="n">
        <v>1</v>
      </c>
      <c r="H1627" s="6">
        <f>ROUND(G1627*F1627,2)</f>
        <v/>
      </c>
      <c r="I1627">
        <f>IF(ROUND(H1627-D1627,2)=0,1,0)</f>
        <v/>
      </c>
      <c r="J1627">
        <f>IF(F1627="","none",IF(G1627=1,"carte","multiple"))</f>
        <v/>
      </c>
    </row>
    <row r="1628">
      <c r="A1628" t="inlineStr">
        <is>
          <t>2022-06-05</t>
        </is>
      </c>
      <c r="B1628" t="inlineStr">
        <is>
          <t>12:41</t>
        </is>
      </c>
      <c r="C1628" t="n">
        <v>2976</v>
      </c>
      <c r="D1628" s="6" t="n">
        <v>9.6</v>
      </c>
      <c r="E1628" t="n">
        <v>38432</v>
      </c>
      <c r="F1628" s="6" t="n">
        <v>9.6</v>
      </c>
      <c r="G1628" t="n">
        <v>1</v>
      </c>
      <c r="H1628" s="6">
        <f>ROUND(G1628*F1628,2)</f>
        <v/>
      </c>
      <c r="I1628">
        <f>IF(ROUND(H1628-D1628,2)=0,1,0)</f>
        <v/>
      </c>
      <c r="J1628">
        <f>IF(F1628="","none",IF(G1628=1,"carte","multiple"))</f>
        <v/>
      </c>
    </row>
    <row r="1629">
      <c r="A1629" t="inlineStr">
        <is>
          <t>2022-06-05</t>
        </is>
      </c>
      <c r="B1629" t="inlineStr">
        <is>
          <t>12:41</t>
        </is>
      </c>
      <c r="C1629" t="n">
        <v>2976</v>
      </c>
      <c r="D1629" s="6" t="n">
        <v>19.9</v>
      </c>
      <c r="E1629" t="n">
        <v>38433</v>
      </c>
      <c r="F1629" s="6" t="n">
        <v>19.9</v>
      </c>
      <c r="G1629" t="n">
        <v>1</v>
      </c>
      <c r="H1629" s="6">
        <f>ROUND(G1629*F1629,2)</f>
        <v/>
      </c>
      <c r="I1629">
        <f>IF(ROUND(H1629-D1629,2)=0,1,0)</f>
        <v/>
      </c>
      <c r="J1629">
        <f>IF(F1629="","none",IF(G1629=1,"carte","multiple"))</f>
        <v/>
      </c>
    </row>
    <row r="1630">
      <c r="A1630" t="inlineStr">
        <is>
          <t>2022-06-05</t>
        </is>
      </c>
      <c r="B1630" t="inlineStr">
        <is>
          <t>12:41</t>
        </is>
      </c>
      <c r="C1630" t="n">
        <v>2976</v>
      </c>
      <c r="D1630" s="6" t="n">
        <v>15.9</v>
      </c>
      <c r="E1630" t="n">
        <v>38434</v>
      </c>
      <c r="F1630" s="6" t="n">
        <v>15.9</v>
      </c>
      <c r="G1630" t="n">
        <v>1</v>
      </c>
      <c r="H1630" s="6">
        <f>ROUND(G1630*F1630,2)</f>
        <v/>
      </c>
      <c r="I1630">
        <f>IF(ROUND(H1630-D1630,2)=0,1,0)</f>
        <v/>
      </c>
      <c r="J1630">
        <f>IF(F1630="","none",IF(G1630=1,"carte","multiple"))</f>
        <v/>
      </c>
    </row>
    <row r="1631">
      <c r="A1631" t="inlineStr">
        <is>
          <t>2022-06-05</t>
        </is>
      </c>
      <c r="B1631" t="inlineStr">
        <is>
          <t>18:07</t>
        </is>
      </c>
      <c r="C1631" t="n">
        <v>2976</v>
      </c>
      <c r="D1631" s="6" t="n">
        <v>29.9</v>
      </c>
      <c r="E1631" t="n">
        <v>38436</v>
      </c>
      <c r="F1631" s="6" t="n">
        <v>29.9</v>
      </c>
      <c r="G1631" t="n">
        <v>1</v>
      </c>
      <c r="H1631" s="6">
        <f>ROUND(G1631*F1631,2)</f>
        <v/>
      </c>
      <c r="I1631">
        <f>IF(ROUND(H1631-D1631,2)=0,1,0)</f>
        <v/>
      </c>
      <c r="J1631">
        <f>IF(F1631="","none",IF(G1631=1,"carte","multiple"))</f>
        <v/>
      </c>
    </row>
    <row r="1632">
      <c r="A1632" t="inlineStr">
        <is>
          <t>2022-06-05</t>
        </is>
      </c>
      <c r="B1632" t="inlineStr">
        <is>
          <t>19:34</t>
        </is>
      </c>
      <c r="C1632" t="n">
        <v>2976</v>
      </c>
      <c r="D1632" s="6" t="n">
        <v>2.2</v>
      </c>
      <c r="E1632" t="n">
        <v>38437</v>
      </c>
      <c r="F1632" s="6" t="n">
        <v>2.2</v>
      </c>
      <c r="G1632" t="n">
        <v>1</v>
      </c>
      <c r="H1632" s="6">
        <f>ROUND(G1632*F1632,2)</f>
        <v/>
      </c>
      <c r="I1632">
        <f>IF(ROUND(H1632-D1632,2)=0,1,0)</f>
        <v/>
      </c>
      <c r="J1632">
        <f>IF(F1632="","none",IF(G1632=1,"carte","multiple"))</f>
        <v/>
      </c>
    </row>
    <row r="1633">
      <c r="A1633" t="inlineStr">
        <is>
          <t>2022-06-05</t>
        </is>
      </c>
      <c r="B1633" t="inlineStr">
        <is>
          <t>19:34</t>
        </is>
      </c>
      <c r="C1633" t="n">
        <v>2976</v>
      </c>
      <c r="D1633" s="6" t="n">
        <v>1.8</v>
      </c>
      <c r="E1633" t="n">
        <v>38438</v>
      </c>
      <c r="F1633" s="6" t="n">
        <v>1.8</v>
      </c>
      <c r="G1633" t="n">
        <v>1</v>
      </c>
      <c r="H1633" s="6">
        <f>ROUND(G1633*F1633,2)</f>
        <v/>
      </c>
      <c r="I1633">
        <f>IF(ROUND(H1633-D1633,2)=0,1,0)</f>
        <v/>
      </c>
      <c r="J1633">
        <f>IF(F1633="","none",IF(G1633=1,"carte","multiple"))</f>
        <v/>
      </c>
    </row>
    <row r="1634">
      <c r="A1634" t="inlineStr">
        <is>
          <t>2022-06-05</t>
        </is>
      </c>
      <c r="B1634" t="inlineStr">
        <is>
          <t>19:34</t>
        </is>
      </c>
      <c r="C1634" t="n">
        <v>2976</v>
      </c>
      <c r="D1634" s="6" t="n">
        <v>5.8</v>
      </c>
      <c r="E1634" t="n">
        <v>38439</v>
      </c>
      <c r="F1634" s="6" t="n">
        <v>5.8</v>
      </c>
      <c r="G1634" t="n">
        <v>1</v>
      </c>
      <c r="H1634" s="6">
        <f>ROUND(G1634*F1634,2)</f>
        <v/>
      </c>
      <c r="I1634">
        <f>IF(ROUND(H1634-D1634,2)=0,1,0)</f>
        <v/>
      </c>
      <c r="J1634">
        <f>IF(F1634="","none",IF(G1634=1,"carte","multiple"))</f>
        <v/>
      </c>
    </row>
    <row r="1635">
      <c r="A1635" t="inlineStr">
        <is>
          <t>2022-06-05</t>
        </is>
      </c>
      <c r="B1635" t="inlineStr">
        <is>
          <t>19:34</t>
        </is>
      </c>
      <c r="C1635" t="n">
        <v>2976</v>
      </c>
      <c r="D1635" s="6" t="n">
        <v>7.2</v>
      </c>
      <c r="E1635" t="n">
        <v>38440</v>
      </c>
      <c r="F1635" s="6" t="n">
        <v>7.2</v>
      </c>
      <c r="G1635" t="n">
        <v>1</v>
      </c>
      <c r="H1635" s="6">
        <f>ROUND(G1635*F1635,2)</f>
        <v/>
      </c>
      <c r="I1635">
        <f>IF(ROUND(H1635-D1635,2)=0,1,0)</f>
        <v/>
      </c>
      <c r="J1635">
        <f>IF(F1635="","none",IF(G1635=1,"carte","multiple"))</f>
        <v/>
      </c>
    </row>
    <row r="1636">
      <c r="A1636" t="inlineStr">
        <is>
          <t>2022-06-05</t>
        </is>
      </c>
      <c r="B1636" t="inlineStr">
        <is>
          <t>19:34</t>
        </is>
      </c>
      <c r="C1636" t="n">
        <v>2976</v>
      </c>
      <c r="D1636" s="6" t="n">
        <v>19.9</v>
      </c>
      <c r="E1636" t="n">
        <v>38441</v>
      </c>
      <c r="F1636" s="6" t="n">
        <v>19.9</v>
      </c>
      <c r="G1636" t="n">
        <v>1</v>
      </c>
      <c r="H1636" s="6">
        <f>ROUND(G1636*F1636,2)</f>
        <v/>
      </c>
      <c r="I1636">
        <f>IF(ROUND(H1636-D1636,2)=0,1,0)</f>
        <v/>
      </c>
      <c r="J1636">
        <f>IF(F1636="","none",IF(G1636=1,"carte","multiple"))</f>
        <v/>
      </c>
    </row>
    <row r="1637">
      <c r="A1637" t="inlineStr">
        <is>
          <t>2022-06-05</t>
        </is>
      </c>
      <c r="B1637" t="inlineStr">
        <is>
          <t>19:34</t>
        </is>
      </c>
      <c r="C1637" t="n">
        <v>2976</v>
      </c>
      <c r="D1637" s="6" t="n">
        <v>15.9</v>
      </c>
      <c r="E1637" t="n">
        <v>38442</v>
      </c>
      <c r="F1637" s="6" t="n">
        <v>15.9</v>
      </c>
      <c r="G1637" t="n">
        <v>1</v>
      </c>
      <c r="H1637" s="6">
        <f>ROUND(G1637*F1637,2)</f>
        <v/>
      </c>
      <c r="I1637">
        <f>IF(ROUND(H1637-D1637,2)=0,1,0)</f>
        <v/>
      </c>
      <c r="J1637">
        <f>IF(F1637="","none",IF(G1637=1,"carte","multiple"))</f>
        <v/>
      </c>
    </row>
    <row r="1638">
      <c r="A1638" t="inlineStr">
        <is>
          <t>2022-06-05</t>
        </is>
      </c>
      <c r="B1638" t="inlineStr">
        <is>
          <t>19:34</t>
        </is>
      </c>
      <c r="C1638" t="n">
        <v>2976</v>
      </c>
      <c r="D1638" s="6" t="n">
        <v>3.9</v>
      </c>
      <c r="E1638" t="n">
        <v>38443</v>
      </c>
      <c r="F1638" s="6" t="n">
        <v>3.9</v>
      </c>
      <c r="G1638" t="n">
        <v>1</v>
      </c>
      <c r="H1638" s="6">
        <f>ROUND(G1638*F1638,2)</f>
        <v/>
      </c>
      <c r="I1638">
        <f>IF(ROUND(H1638-D1638,2)=0,1,0)</f>
        <v/>
      </c>
      <c r="J1638">
        <f>IF(F1638="","none",IF(G1638=1,"carte","multiple"))</f>
        <v/>
      </c>
    </row>
    <row r="1639">
      <c r="A1639" t="inlineStr">
        <is>
          <t>2022-06-05</t>
        </is>
      </c>
      <c r="B1639" t="inlineStr">
        <is>
          <t>19:34</t>
        </is>
      </c>
      <c r="C1639" t="n">
        <v>2976</v>
      </c>
      <c r="D1639" s="6" t="n">
        <v>15</v>
      </c>
      <c r="E1639" t="n">
        <v>38444</v>
      </c>
      <c r="F1639" s="6" t="n">
        <v>15</v>
      </c>
      <c r="G1639" t="n">
        <v>1</v>
      </c>
      <c r="H1639" s="6">
        <f>ROUND(G1639*F1639,2)</f>
        <v/>
      </c>
      <c r="I1639">
        <f>IF(ROUND(H1639-D1639,2)=0,1,0)</f>
        <v/>
      </c>
      <c r="J1639">
        <f>IF(F1639="","none",IF(G1639=1,"carte","multiple"))</f>
        <v/>
      </c>
    </row>
    <row r="1640">
      <c r="A1640" t="inlineStr">
        <is>
          <t>2022-06-05</t>
        </is>
      </c>
      <c r="B1640" t="inlineStr">
        <is>
          <t>20:06</t>
        </is>
      </c>
      <c r="C1640" t="n">
        <v>2976</v>
      </c>
      <c r="D1640" s="6" t="n">
        <v>3.9</v>
      </c>
      <c r="E1640" t="n">
        <v>38445</v>
      </c>
      <c r="F1640" s="6" t="n">
        <v>3.9</v>
      </c>
      <c r="G1640" t="n">
        <v>1</v>
      </c>
      <c r="H1640" s="6">
        <f>ROUND(G1640*F1640,2)</f>
        <v/>
      </c>
      <c r="I1640">
        <f>IF(ROUND(H1640-D1640,2)=0,1,0)</f>
        <v/>
      </c>
      <c r="J1640">
        <f>IF(F1640="","none",IF(G1640=1,"carte","multiple"))</f>
        <v/>
      </c>
    </row>
    <row r="1641">
      <c r="A1641" t="inlineStr">
        <is>
          <t>2022-06-05</t>
        </is>
      </c>
      <c r="B1641" t="inlineStr">
        <is>
          <t>20:51</t>
        </is>
      </c>
      <c r="C1641" t="n">
        <v>2976</v>
      </c>
      <c r="D1641" s="6" t="n">
        <v>32</v>
      </c>
      <c r="E1641" t="n">
        <v>38446</v>
      </c>
      <c r="F1641" s="6" t="n">
        <v>32</v>
      </c>
      <c r="G1641" t="n">
        <v>1</v>
      </c>
      <c r="H1641" s="6">
        <f>ROUND(G1641*F1641,2)</f>
        <v/>
      </c>
      <c r="I1641">
        <f>IF(ROUND(H1641-D1641,2)=0,1,0)</f>
        <v/>
      </c>
      <c r="J1641">
        <f>IF(F1641="","none",IF(G1641=1,"carte","multiple"))</f>
        <v/>
      </c>
    </row>
    <row r="1642">
      <c r="A1642" t="inlineStr">
        <is>
          <t>2022-06-05</t>
        </is>
      </c>
      <c r="B1642" t="inlineStr">
        <is>
          <t>20:52</t>
        </is>
      </c>
      <c r="C1642" t="n">
        <v>2976</v>
      </c>
      <c r="D1642" s="6" t="n">
        <v>32</v>
      </c>
      <c r="E1642" t="n">
        <v>38447</v>
      </c>
      <c r="F1642" s="6" t="n">
        <v>32</v>
      </c>
      <c r="G1642" t="n">
        <v>1</v>
      </c>
      <c r="H1642" s="6">
        <f>ROUND(G1642*F1642,2)</f>
        <v/>
      </c>
      <c r="I1642">
        <f>IF(ROUND(H1642-D1642,2)=0,1,0)</f>
        <v/>
      </c>
      <c r="J1642">
        <f>IF(F1642="","none",IF(G1642=1,"carte","multiple"))</f>
        <v/>
      </c>
    </row>
    <row r="1643">
      <c r="A1643" t="inlineStr">
        <is>
          <t>2022-06-05</t>
        </is>
      </c>
      <c r="B1643" t="inlineStr">
        <is>
          <t>21:28</t>
        </is>
      </c>
      <c r="C1643" t="n">
        <v>2976</v>
      </c>
      <c r="D1643" s="6" t="n">
        <v>2.2</v>
      </c>
      <c r="E1643" t="n">
        <v>38448</v>
      </c>
      <c r="F1643" s="6" t="n">
        <v>2.2</v>
      </c>
      <c r="G1643" t="n">
        <v>1</v>
      </c>
      <c r="H1643" s="6">
        <f>ROUND(G1643*F1643,2)</f>
        <v/>
      </c>
      <c r="I1643">
        <f>IF(ROUND(H1643-D1643,2)=0,1,0)</f>
        <v/>
      </c>
      <c r="J1643">
        <f>IF(F1643="","none",IF(G1643=1,"carte","multiple"))</f>
        <v/>
      </c>
    </row>
    <row r="1644">
      <c r="A1644" t="inlineStr">
        <is>
          <t>2022-06-05</t>
        </is>
      </c>
      <c r="B1644" t="inlineStr">
        <is>
          <t>21:28</t>
        </is>
      </c>
      <c r="C1644" t="n">
        <v>2976</v>
      </c>
      <c r="D1644" s="6" t="n">
        <v>3.4</v>
      </c>
      <c r="E1644" t="n">
        <v>38449</v>
      </c>
      <c r="F1644" s="6" t="n">
        <v>3.4</v>
      </c>
      <c r="G1644" t="n">
        <v>1</v>
      </c>
      <c r="H1644" s="6">
        <f>ROUND(G1644*F1644,2)</f>
        <v/>
      </c>
      <c r="I1644">
        <f>IF(ROUND(H1644-D1644,2)=0,1,0)</f>
        <v/>
      </c>
      <c r="J1644">
        <f>IF(F1644="","none",IF(G1644=1,"carte","multiple"))</f>
        <v/>
      </c>
    </row>
    <row r="1645">
      <c r="A1645" t="inlineStr">
        <is>
          <t>2022-06-05</t>
        </is>
      </c>
      <c r="B1645" t="inlineStr">
        <is>
          <t>21:28</t>
        </is>
      </c>
      <c r="C1645" t="n">
        <v>2976</v>
      </c>
      <c r="D1645" s="6" t="n">
        <v>17.6</v>
      </c>
      <c r="E1645" t="n">
        <v>38450</v>
      </c>
      <c r="F1645" s="6" t="n">
        <v>17.6</v>
      </c>
      <c r="G1645" t="n">
        <v>1</v>
      </c>
      <c r="H1645" s="6">
        <f>ROUND(G1645*F1645,2)</f>
        <v/>
      </c>
      <c r="I1645">
        <f>IF(ROUND(H1645-D1645,2)=0,1,0)</f>
        <v/>
      </c>
      <c r="J1645">
        <f>IF(F1645="","none",IF(G1645=1,"carte","multiple"))</f>
        <v/>
      </c>
    </row>
    <row r="1646">
      <c r="A1646" t="inlineStr">
        <is>
          <t>2022-06-05</t>
        </is>
      </c>
      <c r="B1646" t="inlineStr">
        <is>
          <t>21:28</t>
        </is>
      </c>
      <c r="C1646" t="n">
        <v>2976</v>
      </c>
      <c r="D1646" s="6" t="n">
        <v>17.6</v>
      </c>
      <c r="E1646" t="n">
        <v>38451</v>
      </c>
      <c r="F1646" s="6" t="n">
        <v>17.6</v>
      </c>
      <c r="G1646" t="n">
        <v>1</v>
      </c>
      <c r="H1646" s="6">
        <f>ROUND(G1646*F1646,2)</f>
        <v/>
      </c>
      <c r="I1646">
        <f>IF(ROUND(H1646-D1646,2)=0,1,0)</f>
        <v/>
      </c>
      <c r="J1646">
        <f>IF(F1646="","none",IF(G1646=1,"carte","multiple"))</f>
        <v/>
      </c>
    </row>
    <row r="1647">
      <c r="A1647" t="inlineStr">
        <is>
          <t>2022-06-05</t>
        </is>
      </c>
      <c r="B1647" t="inlineStr">
        <is>
          <t>21:28</t>
        </is>
      </c>
      <c r="C1647" t="n">
        <v>2976</v>
      </c>
      <c r="D1647" s="6" t="n">
        <v>10.9</v>
      </c>
      <c r="E1647" t="n">
        <v>38452</v>
      </c>
      <c r="F1647" s="6" t="n">
        <v>10.9</v>
      </c>
      <c r="G1647" t="n">
        <v>1</v>
      </c>
      <c r="H1647" s="6">
        <f>ROUND(G1647*F1647,2)</f>
        <v/>
      </c>
      <c r="I1647">
        <f>IF(ROUND(H1647-D1647,2)=0,1,0)</f>
        <v/>
      </c>
      <c r="J1647">
        <f>IF(F1647="","none",IF(G1647=1,"carte","multiple"))</f>
        <v/>
      </c>
    </row>
    <row r="1648">
      <c r="A1648" t="inlineStr">
        <is>
          <t>2022-06-05</t>
        </is>
      </c>
      <c r="B1648" t="inlineStr">
        <is>
          <t>21:28</t>
        </is>
      </c>
      <c r="C1648" t="n">
        <v>2976</v>
      </c>
      <c r="D1648" s="6" t="n">
        <v>16.9</v>
      </c>
      <c r="E1648" t="n">
        <v>38453</v>
      </c>
      <c r="F1648" s="6" t="n">
        <v>16.9</v>
      </c>
      <c r="G1648" t="n">
        <v>1</v>
      </c>
      <c r="H1648" s="6">
        <f>ROUND(G1648*F1648,2)</f>
        <v/>
      </c>
      <c r="I1648">
        <f>IF(ROUND(H1648-D1648,2)=0,1,0)</f>
        <v/>
      </c>
      <c r="J1648">
        <f>IF(F1648="","none",IF(G1648=1,"carte","multiple"))</f>
        <v/>
      </c>
    </row>
    <row r="1649">
      <c r="A1649" t="inlineStr">
        <is>
          <t>2022-06-05</t>
        </is>
      </c>
      <c r="B1649" t="inlineStr">
        <is>
          <t>21:28</t>
        </is>
      </c>
      <c r="C1649" t="n">
        <v>2976</v>
      </c>
      <c r="D1649" s="6" t="n">
        <v>32</v>
      </c>
      <c r="E1649" t="n">
        <v>38454</v>
      </c>
      <c r="F1649" s="6" t="n">
        <v>32</v>
      </c>
      <c r="G1649" t="n">
        <v>1</v>
      </c>
      <c r="H1649" s="6">
        <f>ROUND(G1649*F1649,2)</f>
        <v/>
      </c>
      <c r="I1649">
        <f>IF(ROUND(H1649-D1649,2)=0,1,0)</f>
        <v/>
      </c>
      <c r="J1649">
        <f>IF(F1649="","none",IF(G1649=1,"carte","multiple"))</f>
        <v/>
      </c>
    </row>
    <row r="1650">
      <c r="A1650" t="inlineStr">
        <is>
          <t>2022-06-05</t>
        </is>
      </c>
      <c r="B1650" t="inlineStr">
        <is>
          <t>21:28</t>
        </is>
      </c>
      <c r="C1650" t="n">
        <v>2976</v>
      </c>
      <c r="D1650" s="6" t="n">
        <v>5.2</v>
      </c>
      <c r="E1650" t="n">
        <v>38455</v>
      </c>
      <c r="F1650" s="6" t="n">
        <v>5.2</v>
      </c>
      <c r="G1650" t="n">
        <v>1</v>
      </c>
      <c r="H1650" s="6">
        <f>ROUND(G1650*F1650,2)</f>
        <v/>
      </c>
      <c r="I1650">
        <f>IF(ROUND(H1650-D1650,2)=0,1,0)</f>
        <v/>
      </c>
      <c r="J1650">
        <f>IF(F1650="","none",IF(G1650=1,"carte","multiple"))</f>
        <v/>
      </c>
    </row>
    <row r="1651">
      <c r="A1651" t="inlineStr">
        <is>
          <t>2022-06-05</t>
        </is>
      </c>
      <c r="B1651" t="inlineStr">
        <is>
          <t>21:28</t>
        </is>
      </c>
      <c r="C1651" t="n">
        <v>2976</v>
      </c>
      <c r="D1651" s="6" t="n">
        <v>5.2</v>
      </c>
      <c r="E1651" t="n">
        <v>38456</v>
      </c>
      <c r="F1651" s="6" t="n">
        <v>5.2</v>
      </c>
      <c r="G1651" t="n">
        <v>1</v>
      </c>
      <c r="H1651" s="6">
        <f>ROUND(G1651*F1651,2)</f>
        <v/>
      </c>
      <c r="I1651">
        <f>IF(ROUND(H1651-D1651,2)=0,1,0)</f>
        <v/>
      </c>
      <c r="J1651">
        <f>IF(F1651="","none",IF(G1651=1,"carte","multiple"))</f>
        <v/>
      </c>
    </row>
    <row r="1652">
      <c r="A1652" t="inlineStr">
        <is>
          <t>2022-06-06</t>
        </is>
      </c>
      <c r="B1652" t="inlineStr">
        <is>
          <t>10:50</t>
        </is>
      </c>
      <c r="C1652" t="n">
        <v>2977</v>
      </c>
      <c r="D1652" s="6" t="n">
        <v>6.9</v>
      </c>
      <c r="E1652" t="n">
        <v>38459</v>
      </c>
      <c r="F1652" s="6" t="n">
        <v>6.9</v>
      </c>
      <c r="G1652" t="n">
        <v>1</v>
      </c>
      <c r="H1652" s="6">
        <f>ROUND(G1652*F1652,2)</f>
        <v/>
      </c>
      <c r="I1652">
        <f>IF(ROUND(H1652-D1652,2)=0,1,0)</f>
        <v/>
      </c>
      <c r="J1652">
        <f>IF(F1652="","none",IF(G1652=1,"carte","multiple"))</f>
        <v/>
      </c>
    </row>
    <row r="1653">
      <c r="A1653" t="inlineStr">
        <is>
          <t>2022-06-06</t>
        </is>
      </c>
      <c r="B1653" t="inlineStr">
        <is>
          <t>10:51</t>
        </is>
      </c>
      <c r="C1653" t="n">
        <v>2977</v>
      </c>
      <c r="D1653" s="6" t="n">
        <v>29.9</v>
      </c>
      <c r="E1653" t="n">
        <v>38460</v>
      </c>
      <c r="F1653" s="6" t="n">
        <v>29.9</v>
      </c>
      <c r="G1653" t="n">
        <v>1</v>
      </c>
      <c r="H1653" s="6">
        <f>ROUND(G1653*F1653,2)</f>
        <v/>
      </c>
      <c r="I1653">
        <f>IF(ROUND(H1653-D1653,2)=0,1,0)</f>
        <v/>
      </c>
      <c r="J1653">
        <f>IF(F1653="","none",IF(G1653=1,"carte","multiple"))</f>
        <v/>
      </c>
    </row>
    <row r="1654">
      <c r="A1654" t="inlineStr">
        <is>
          <t>2022-06-06</t>
        </is>
      </c>
      <c r="B1654" t="inlineStr">
        <is>
          <t>11:54</t>
        </is>
      </c>
      <c r="C1654" t="n">
        <v>2977</v>
      </c>
      <c r="D1654" s="6" t="n">
        <v>4.4</v>
      </c>
      <c r="E1654" t="n">
        <v>38461</v>
      </c>
      <c r="F1654" s="6" t="n">
        <v>0.4</v>
      </c>
      <c r="G1654" t="n">
        <v>11</v>
      </c>
      <c r="H1654" s="6">
        <f>ROUND(G1654*F1654,2)</f>
        <v/>
      </c>
      <c r="I1654">
        <f>IF(ROUND(H1654-D1654,2)=0,1,0)</f>
        <v/>
      </c>
      <c r="J1654">
        <f>IF(F1654="","none",IF(G1654=1,"carte","multiple"))</f>
        <v/>
      </c>
    </row>
    <row r="1655">
      <c r="A1655" t="inlineStr">
        <is>
          <t>2022-06-06</t>
        </is>
      </c>
      <c r="B1655" t="inlineStr">
        <is>
          <t>11:54</t>
        </is>
      </c>
      <c r="C1655" t="n">
        <v>2977</v>
      </c>
      <c r="D1655" s="6" t="n">
        <v>13.8</v>
      </c>
      <c r="E1655" t="n">
        <v>38462</v>
      </c>
      <c r="F1655" s="6" t="n">
        <v>4.6</v>
      </c>
      <c r="G1655" t="n">
        <v>3</v>
      </c>
      <c r="H1655" s="6">
        <f>ROUND(G1655*F1655,2)</f>
        <v/>
      </c>
      <c r="I1655">
        <f>IF(ROUND(H1655-D1655,2)=0,1,0)</f>
        <v/>
      </c>
      <c r="J1655">
        <f>IF(F1655="","none",IF(G1655=1,"carte","multiple"))</f>
        <v/>
      </c>
    </row>
    <row r="1656">
      <c r="A1656" t="inlineStr">
        <is>
          <t>2022-06-06</t>
        </is>
      </c>
      <c r="B1656" t="inlineStr">
        <is>
          <t>11:54</t>
        </is>
      </c>
      <c r="C1656" t="n">
        <v>2977</v>
      </c>
      <c r="D1656" s="6" t="n">
        <v>17.6</v>
      </c>
      <c r="E1656" t="n">
        <v>38463</v>
      </c>
      <c r="F1656" s="6" t="n">
        <v>17.6</v>
      </c>
      <c r="G1656" t="n">
        <v>1</v>
      </c>
      <c r="H1656" s="6">
        <f>ROUND(G1656*F1656,2)</f>
        <v/>
      </c>
      <c r="I1656">
        <f>IF(ROUND(H1656-D1656,2)=0,1,0)</f>
        <v/>
      </c>
      <c r="J1656">
        <f>IF(F1656="","none",IF(G1656=1,"carte","multiple"))</f>
        <v/>
      </c>
    </row>
    <row r="1657">
      <c r="A1657" t="inlineStr">
        <is>
          <t>2022-06-06</t>
        </is>
      </c>
      <c r="B1657" t="inlineStr">
        <is>
          <t>11:54</t>
        </is>
      </c>
      <c r="C1657" t="n">
        <v>2977</v>
      </c>
      <c r="D1657" s="6" t="n">
        <v>17.6</v>
      </c>
      <c r="E1657" t="n">
        <v>38464</v>
      </c>
      <c r="F1657" s="6" t="n">
        <v>17.6</v>
      </c>
      <c r="G1657" t="n">
        <v>1</v>
      </c>
      <c r="H1657" s="6">
        <f>ROUND(G1657*F1657,2)</f>
        <v/>
      </c>
      <c r="I1657">
        <f>IF(ROUND(H1657-D1657,2)=0,1,0)</f>
        <v/>
      </c>
      <c r="J1657">
        <f>IF(F1657="","none",IF(G1657=1,"carte","multiple"))</f>
        <v/>
      </c>
    </row>
    <row r="1658">
      <c r="A1658" t="inlineStr">
        <is>
          <t>2022-06-06</t>
        </is>
      </c>
      <c r="B1658" t="inlineStr">
        <is>
          <t>11:54</t>
        </is>
      </c>
      <c r="C1658" t="n">
        <v>2977</v>
      </c>
      <c r="D1658" s="6" t="n">
        <v>28</v>
      </c>
      <c r="E1658" t="n">
        <v>38465</v>
      </c>
      <c r="F1658" s="6" t="n">
        <v>28</v>
      </c>
      <c r="G1658" t="n">
        <v>1</v>
      </c>
      <c r="H1658" s="6">
        <f>ROUND(G1658*F1658,2)</f>
        <v/>
      </c>
      <c r="I1658">
        <f>IF(ROUND(H1658-D1658,2)=0,1,0)</f>
        <v/>
      </c>
      <c r="J1658">
        <f>IF(F1658="","none",IF(G1658=1,"carte","multiple"))</f>
        <v/>
      </c>
    </row>
    <row r="1659">
      <c r="A1659" t="inlineStr">
        <is>
          <t>2022-06-06</t>
        </is>
      </c>
      <c r="B1659" t="inlineStr">
        <is>
          <t>12:04</t>
        </is>
      </c>
      <c r="C1659" t="n">
        <v>2977</v>
      </c>
      <c r="D1659" s="6" t="n">
        <v>3.4</v>
      </c>
      <c r="E1659" t="n">
        <v>38466</v>
      </c>
      <c r="F1659" s="6" t="n">
        <v>3.4</v>
      </c>
      <c r="G1659" t="n">
        <v>1</v>
      </c>
      <c r="H1659" s="6">
        <f>ROUND(G1659*F1659,2)</f>
        <v/>
      </c>
      <c r="I1659">
        <f>IF(ROUND(H1659-D1659,2)=0,1,0)</f>
        <v/>
      </c>
      <c r="J1659">
        <f>IF(F1659="","none",IF(G1659=1,"carte","multiple"))</f>
        <v/>
      </c>
    </row>
    <row r="1660">
      <c r="A1660" t="inlineStr">
        <is>
          <t>2022-06-06</t>
        </is>
      </c>
      <c r="B1660" t="inlineStr">
        <is>
          <t>12:14</t>
        </is>
      </c>
      <c r="C1660" t="n">
        <v>2977</v>
      </c>
      <c r="D1660" s="6" t="n">
        <v>2.9</v>
      </c>
      <c r="E1660" t="n">
        <v>38467</v>
      </c>
      <c r="F1660" s="6" t="n">
        <v>2.9</v>
      </c>
      <c r="G1660" t="n">
        <v>1</v>
      </c>
      <c r="H1660" s="6">
        <f>ROUND(G1660*F1660,2)</f>
        <v/>
      </c>
      <c r="I1660">
        <f>IF(ROUND(H1660-D1660,2)=0,1,0)</f>
        <v/>
      </c>
      <c r="J1660">
        <f>IF(F1660="","none",IF(G1660=1,"carte","multiple"))</f>
        <v/>
      </c>
    </row>
    <row r="1661">
      <c r="A1661" t="inlineStr">
        <is>
          <t>2022-06-06</t>
        </is>
      </c>
      <c r="B1661" t="inlineStr">
        <is>
          <t>12:24</t>
        </is>
      </c>
      <c r="C1661" t="n">
        <v>2977</v>
      </c>
      <c r="D1661" s="6" t="n">
        <v>7.8</v>
      </c>
      <c r="E1661" t="n">
        <v>38468</v>
      </c>
      <c r="F1661" s="6" t="n">
        <v>7.8</v>
      </c>
      <c r="G1661" t="n">
        <v>1</v>
      </c>
      <c r="H1661" s="6">
        <f>ROUND(G1661*F1661,2)</f>
        <v/>
      </c>
      <c r="I1661">
        <f>IF(ROUND(H1661-D1661,2)=0,1,0)</f>
        <v/>
      </c>
      <c r="J1661">
        <f>IF(F1661="","none",IF(G1661=1,"carte","multiple"))</f>
        <v/>
      </c>
    </row>
    <row r="1662">
      <c r="A1662" t="inlineStr">
        <is>
          <t>2022-06-06</t>
        </is>
      </c>
      <c r="B1662" t="inlineStr">
        <is>
          <t>12:24</t>
        </is>
      </c>
      <c r="C1662" t="n">
        <v>2977</v>
      </c>
      <c r="D1662" s="6" t="n">
        <v>7.2</v>
      </c>
      <c r="E1662" t="n">
        <v>38469</v>
      </c>
      <c r="F1662" s="6" t="n">
        <v>7.2</v>
      </c>
      <c r="G1662" t="n">
        <v>1</v>
      </c>
      <c r="H1662" s="6">
        <f>ROUND(G1662*F1662,2)</f>
        <v/>
      </c>
      <c r="I1662">
        <f>IF(ROUND(H1662-D1662,2)=0,1,0)</f>
        <v/>
      </c>
      <c r="J1662">
        <f>IF(F1662="","none",IF(G1662=1,"carte","multiple"))</f>
        <v/>
      </c>
    </row>
    <row r="1663">
      <c r="A1663" t="inlineStr">
        <is>
          <t>2022-06-06</t>
        </is>
      </c>
      <c r="B1663" t="inlineStr">
        <is>
          <t>12:24</t>
        </is>
      </c>
      <c r="C1663" t="n">
        <v>2977</v>
      </c>
      <c r="D1663" s="6" t="n">
        <v>27.8</v>
      </c>
      <c r="E1663" t="n">
        <v>38470</v>
      </c>
      <c r="F1663" s="6" t="n">
        <v>27.8</v>
      </c>
      <c r="G1663" t="n">
        <v>1</v>
      </c>
      <c r="H1663" s="6">
        <f>ROUND(G1663*F1663,2)</f>
        <v/>
      </c>
      <c r="I1663">
        <f>IF(ROUND(H1663-D1663,2)=0,1,0)</f>
        <v/>
      </c>
      <c r="J1663">
        <f>IF(F1663="","none",IF(G1663=1,"carte","multiple"))</f>
        <v/>
      </c>
    </row>
    <row r="1664">
      <c r="A1664" t="inlineStr">
        <is>
          <t>2022-06-06</t>
        </is>
      </c>
      <c r="B1664" t="inlineStr">
        <is>
          <t>12:24</t>
        </is>
      </c>
      <c r="C1664" t="n">
        <v>2977</v>
      </c>
      <c r="D1664" s="6" t="n">
        <v>17.6</v>
      </c>
      <c r="E1664" t="n">
        <v>38471</v>
      </c>
      <c r="F1664" s="6" t="n">
        <v>17.6</v>
      </c>
      <c r="G1664" t="n">
        <v>1</v>
      </c>
      <c r="H1664" s="6">
        <f>ROUND(G1664*F1664,2)</f>
        <v/>
      </c>
      <c r="I1664">
        <f>IF(ROUND(H1664-D1664,2)=0,1,0)</f>
        <v/>
      </c>
      <c r="J1664">
        <f>IF(F1664="","none",IF(G1664=1,"carte","multiple"))</f>
        <v/>
      </c>
    </row>
    <row r="1665">
      <c r="A1665" t="inlineStr">
        <is>
          <t>2022-06-08</t>
        </is>
      </c>
      <c r="B1665" t="inlineStr">
        <is>
          <t>10:24</t>
        </is>
      </c>
      <c r="C1665" t="n">
        <v>2978</v>
      </c>
      <c r="D1665" s="6" t="n">
        <v>29.9</v>
      </c>
      <c r="E1665" t="n">
        <v>38474</v>
      </c>
      <c r="F1665" s="6" t="n">
        <v>29.9</v>
      </c>
      <c r="G1665" t="n">
        <v>1</v>
      </c>
      <c r="H1665" s="6">
        <f>ROUND(G1665*F1665,2)</f>
        <v/>
      </c>
      <c r="I1665">
        <f>IF(ROUND(H1665-D1665,2)=0,1,0)</f>
        <v/>
      </c>
      <c r="J1665">
        <f>IF(F1665="","none",IF(G1665=1,"carte","multiple"))</f>
        <v/>
      </c>
    </row>
    <row r="1666">
      <c r="A1666" t="inlineStr">
        <is>
          <t>2022-06-08</t>
        </is>
      </c>
      <c r="B1666" t="inlineStr">
        <is>
          <t>11:04</t>
        </is>
      </c>
      <c r="C1666" t="n">
        <v>2978</v>
      </c>
      <c r="D1666" s="6" t="n">
        <v>3.9</v>
      </c>
      <c r="E1666" t="n">
        <v>38475</v>
      </c>
      <c r="F1666" s="6" t="n">
        <v>3.9</v>
      </c>
      <c r="G1666" t="n">
        <v>1</v>
      </c>
      <c r="H1666" s="6">
        <f>ROUND(G1666*F1666,2)</f>
        <v/>
      </c>
      <c r="I1666">
        <f>IF(ROUND(H1666-D1666,2)=0,1,0)</f>
        <v/>
      </c>
      <c r="J1666">
        <f>IF(F1666="","none",IF(G1666=1,"carte","multiple"))</f>
        <v/>
      </c>
    </row>
    <row r="1667">
      <c r="A1667" t="inlineStr">
        <is>
          <t>2022-06-08</t>
        </is>
      </c>
      <c r="B1667" t="inlineStr">
        <is>
          <t>11:21</t>
        </is>
      </c>
      <c r="C1667" t="n">
        <v>2978</v>
      </c>
      <c r="D1667" s="6" t="n">
        <v>33</v>
      </c>
      <c r="E1667" t="n">
        <v>38476</v>
      </c>
      <c r="F1667" s="6" t="n">
        <v>33</v>
      </c>
      <c r="G1667" t="n">
        <v>1</v>
      </c>
      <c r="H1667" s="6">
        <f>ROUND(G1667*F1667,2)</f>
        <v/>
      </c>
      <c r="I1667">
        <f>IF(ROUND(H1667-D1667,2)=0,1,0)</f>
        <v/>
      </c>
      <c r="J1667">
        <f>IF(F1667="","none",IF(G1667=1,"carte","multiple"))</f>
        <v/>
      </c>
    </row>
    <row r="1668">
      <c r="A1668" t="inlineStr">
        <is>
          <t>2022-06-08</t>
        </is>
      </c>
      <c r="B1668" t="inlineStr">
        <is>
          <t>18:14</t>
        </is>
      </c>
      <c r="C1668" t="n">
        <v>2978</v>
      </c>
      <c r="D1668" s="6" t="n">
        <v>18</v>
      </c>
      <c r="E1668" t="n">
        <v>38478</v>
      </c>
      <c r="F1668" s="6" t="n">
        <v>18</v>
      </c>
      <c r="G1668" t="n">
        <v>1</v>
      </c>
      <c r="H1668" s="6">
        <f>ROUND(G1668*F1668,2)</f>
        <v/>
      </c>
      <c r="I1668">
        <f>IF(ROUND(H1668-D1668,2)=0,1,0)</f>
        <v/>
      </c>
      <c r="J1668">
        <f>IF(F1668="","none",IF(G1668=1,"carte","multiple"))</f>
        <v/>
      </c>
    </row>
    <row r="1669">
      <c r="A1669" t="inlineStr">
        <is>
          <t>2022-06-08</t>
        </is>
      </c>
      <c r="B1669" t="inlineStr">
        <is>
          <t>18:14</t>
        </is>
      </c>
      <c r="C1669" t="n">
        <v>2978</v>
      </c>
      <c r="D1669" s="6" t="n">
        <v>26</v>
      </c>
      <c r="E1669" t="n">
        <v>38479</v>
      </c>
      <c r="F1669" s="6" t="n">
        <v>26</v>
      </c>
      <c r="G1669" t="n">
        <v>1</v>
      </c>
      <c r="H1669" s="6">
        <f>ROUND(G1669*F1669,2)</f>
        <v/>
      </c>
      <c r="I1669">
        <f>IF(ROUND(H1669-D1669,2)=0,1,0)</f>
        <v/>
      </c>
      <c r="J1669">
        <f>IF(F1669="","none",IF(G1669=1,"carte","multiple"))</f>
        <v/>
      </c>
    </row>
    <row r="1670">
      <c r="A1670" t="inlineStr">
        <is>
          <t>2022-06-08</t>
        </is>
      </c>
      <c r="B1670" t="inlineStr">
        <is>
          <t>18:51</t>
        </is>
      </c>
      <c r="C1670" t="n">
        <v>2978</v>
      </c>
      <c r="D1670" s="6" t="n">
        <v>0</v>
      </c>
      <c r="E1670" t="n">
        <v>38480</v>
      </c>
      <c r="H1670" t="inlineStr"/>
      <c r="I1670" t="inlineStr"/>
      <c r="J1670">
        <f>IF(F1670="","none",IF(G1670=1,"carte","multiple"))</f>
        <v/>
      </c>
    </row>
    <row r="1671">
      <c r="A1671" t="inlineStr">
        <is>
          <t>2022-06-08</t>
        </is>
      </c>
      <c r="B1671" t="inlineStr">
        <is>
          <t>19:12</t>
        </is>
      </c>
      <c r="C1671" t="n">
        <v>2978</v>
      </c>
      <c r="D1671" s="6" t="n">
        <v>2.4</v>
      </c>
      <c r="E1671" t="n">
        <v>38481</v>
      </c>
      <c r="F1671" s="6" t="n">
        <v>2.4</v>
      </c>
      <c r="G1671" t="n">
        <v>1</v>
      </c>
      <c r="H1671" s="6">
        <f>ROUND(G1671*F1671,2)</f>
        <v/>
      </c>
      <c r="I1671">
        <f>IF(ROUND(H1671-D1671,2)=0,1,0)</f>
        <v/>
      </c>
      <c r="J1671">
        <f>IF(F1671="","none",IF(G1671=1,"carte","multiple"))</f>
        <v/>
      </c>
    </row>
    <row r="1672">
      <c r="A1672" t="inlineStr">
        <is>
          <t>2022-06-08</t>
        </is>
      </c>
      <c r="B1672" t="inlineStr">
        <is>
          <t>19:12</t>
        </is>
      </c>
      <c r="C1672" t="n">
        <v>2978</v>
      </c>
      <c r="D1672" s="6" t="n">
        <v>2.9</v>
      </c>
      <c r="E1672" t="n">
        <v>38482</v>
      </c>
      <c r="F1672" s="6" t="n">
        <v>2.9</v>
      </c>
      <c r="G1672" t="n">
        <v>1</v>
      </c>
      <c r="H1672" s="6">
        <f>ROUND(G1672*F1672,2)</f>
        <v/>
      </c>
      <c r="I1672">
        <f>IF(ROUND(H1672-D1672,2)=0,1,0)</f>
        <v/>
      </c>
      <c r="J1672">
        <f>IF(F1672="","none",IF(G1672=1,"carte","multiple"))</f>
        <v/>
      </c>
    </row>
    <row r="1673">
      <c r="A1673" t="inlineStr">
        <is>
          <t>2022-06-08</t>
        </is>
      </c>
      <c r="B1673" t="inlineStr">
        <is>
          <t>19:12</t>
        </is>
      </c>
      <c r="C1673" t="n">
        <v>2978</v>
      </c>
      <c r="D1673" s="6" t="n">
        <v>4.4</v>
      </c>
      <c r="E1673" t="n">
        <v>38483</v>
      </c>
      <c r="F1673" s="6" t="n">
        <v>0.4</v>
      </c>
      <c r="G1673" t="n">
        <v>11</v>
      </c>
      <c r="H1673" s="6">
        <f>ROUND(G1673*F1673,2)</f>
        <v/>
      </c>
      <c r="I1673">
        <f>IF(ROUND(H1673-D1673,2)=0,1,0)</f>
        <v/>
      </c>
      <c r="J1673">
        <f>IF(F1673="","none",IF(G1673=1,"carte","multiple"))</f>
        <v/>
      </c>
    </row>
    <row r="1674">
      <c r="A1674" t="inlineStr">
        <is>
          <t>2022-06-08</t>
        </is>
      </c>
      <c r="B1674" t="inlineStr">
        <is>
          <t>19:12</t>
        </is>
      </c>
      <c r="C1674" t="n">
        <v>2978</v>
      </c>
      <c r="D1674" s="6" t="n">
        <v>31.8</v>
      </c>
      <c r="E1674" t="n">
        <v>38484</v>
      </c>
      <c r="F1674" s="6" t="n">
        <v>31.8</v>
      </c>
      <c r="G1674" t="n">
        <v>1</v>
      </c>
      <c r="H1674" s="6">
        <f>ROUND(G1674*F1674,2)</f>
        <v/>
      </c>
      <c r="I1674">
        <f>IF(ROUND(H1674-D1674,2)=0,1,0)</f>
        <v/>
      </c>
      <c r="J1674">
        <f>IF(F1674="","none",IF(G1674=1,"carte","multiple"))</f>
        <v/>
      </c>
    </row>
    <row r="1675">
      <c r="A1675" t="inlineStr">
        <is>
          <t>2022-06-08</t>
        </is>
      </c>
      <c r="B1675" t="inlineStr">
        <is>
          <t>19:12</t>
        </is>
      </c>
      <c r="C1675" t="n">
        <v>2978</v>
      </c>
      <c r="D1675" s="6" t="n">
        <v>6</v>
      </c>
      <c r="E1675" t="n">
        <v>38485</v>
      </c>
      <c r="F1675" s="6" t="n">
        <v>6</v>
      </c>
      <c r="G1675" t="n">
        <v>1</v>
      </c>
      <c r="H1675" s="6">
        <f>ROUND(G1675*F1675,2)</f>
        <v/>
      </c>
      <c r="I1675">
        <f>IF(ROUND(H1675-D1675,2)=0,1,0)</f>
        <v/>
      </c>
      <c r="J1675">
        <f>IF(F1675="","none",IF(G1675=1,"carte","multiple"))</f>
        <v/>
      </c>
    </row>
    <row r="1676">
      <c r="A1676" t="inlineStr">
        <is>
          <t>2022-06-08</t>
        </is>
      </c>
      <c r="B1676" t="inlineStr">
        <is>
          <t>19:12</t>
        </is>
      </c>
      <c r="C1676" t="n">
        <v>2978</v>
      </c>
      <c r="D1676" s="6" t="n">
        <v>3.9</v>
      </c>
      <c r="E1676" t="n">
        <v>38486</v>
      </c>
      <c r="F1676" s="6" t="n">
        <v>3.9</v>
      </c>
      <c r="G1676" t="n">
        <v>1</v>
      </c>
      <c r="H1676" s="6">
        <f>ROUND(G1676*F1676,2)</f>
        <v/>
      </c>
      <c r="I1676">
        <f>IF(ROUND(H1676-D1676,2)=0,1,0)</f>
        <v/>
      </c>
      <c r="J1676">
        <f>IF(F1676="","none",IF(G1676=1,"carte","multiple"))</f>
        <v/>
      </c>
    </row>
    <row r="1677">
      <c r="A1677" t="inlineStr">
        <is>
          <t>2022-06-08</t>
        </is>
      </c>
      <c r="B1677" t="inlineStr">
        <is>
          <t>20:35</t>
        </is>
      </c>
      <c r="C1677" t="n">
        <v>2978</v>
      </c>
      <c r="D1677" s="6" t="n">
        <v>30</v>
      </c>
      <c r="E1677" t="n">
        <v>38487</v>
      </c>
      <c r="F1677" s="6" t="n">
        <v>30</v>
      </c>
      <c r="G1677" t="n">
        <v>1</v>
      </c>
      <c r="H1677" s="6">
        <f>ROUND(G1677*F1677,2)</f>
        <v/>
      </c>
      <c r="I1677">
        <f>IF(ROUND(H1677-D1677,2)=0,1,0)</f>
        <v/>
      </c>
      <c r="J1677">
        <f>IF(F1677="","none",IF(G1677=1,"carte","multiple"))</f>
        <v/>
      </c>
    </row>
    <row r="1678">
      <c r="A1678" t="inlineStr">
        <is>
          <t>2022-06-08</t>
        </is>
      </c>
      <c r="B1678" t="inlineStr">
        <is>
          <t>20:35</t>
        </is>
      </c>
      <c r="C1678" t="n">
        <v>2978</v>
      </c>
      <c r="D1678" s="6" t="n">
        <v>11.8</v>
      </c>
      <c r="E1678" t="n">
        <v>38488</v>
      </c>
      <c r="F1678" s="6" t="n">
        <v>5.9</v>
      </c>
      <c r="G1678" t="n">
        <v>2</v>
      </c>
      <c r="H1678" s="6">
        <f>ROUND(G1678*F1678,2)</f>
        <v/>
      </c>
      <c r="I1678">
        <f>IF(ROUND(H1678-D1678,2)=0,1,0)</f>
        <v/>
      </c>
      <c r="J1678">
        <f>IF(F1678="","none",IF(G1678=1,"carte","multiple"))</f>
        <v/>
      </c>
    </row>
    <row r="1679">
      <c r="A1679" t="inlineStr">
        <is>
          <t>2022-06-08</t>
        </is>
      </c>
      <c r="B1679" t="inlineStr">
        <is>
          <t>20:35</t>
        </is>
      </c>
      <c r="C1679" t="n">
        <v>2978</v>
      </c>
      <c r="D1679" s="6" t="n">
        <v>29.8</v>
      </c>
      <c r="E1679" t="n">
        <v>38489</v>
      </c>
      <c r="F1679" s="6" t="n">
        <v>14.9</v>
      </c>
      <c r="G1679" t="n">
        <v>2</v>
      </c>
      <c r="H1679" s="6">
        <f>ROUND(G1679*F1679,2)</f>
        <v/>
      </c>
      <c r="I1679">
        <f>IF(ROUND(H1679-D1679,2)=0,1,0)</f>
        <v/>
      </c>
      <c r="J1679">
        <f>IF(F1679="","none",IF(G1679=1,"carte","multiple"))</f>
        <v/>
      </c>
    </row>
    <row r="1680">
      <c r="A1680" t="inlineStr">
        <is>
          <t>2022-06-09</t>
        </is>
      </c>
      <c r="B1680" t="inlineStr">
        <is>
          <t>11:09</t>
        </is>
      </c>
      <c r="C1680" t="n">
        <v>2979</v>
      </c>
      <c r="D1680" s="6" t="n">
        <v>4.4</v>
      </c>
      <c r="E1680" t="n">
        <v>38492</v>
      </c>
      <c r="F1680" s="6" t="n">
        <v>0.4</v>
      </c>
      <c r="G1680" t="n">
        <v>11</v>
      </c>
      <c r="H1680" s="6">
        <f>ROUND(G1680*F1680,2)</f>
        <v/>
      </c>
      <c r="I1680">
        <f>IF(ROUND(H1680-D1680,2)=0,1,0)</f>
        <v/>
      </c>
      <c r="J1680">
        <f>IF(F1680="","none",IF(G1680=1,"carte","multiple"))</f>
        <v/>
      </c>
    </row>
    <row r="1681">
      <c r="A1681" t="inlineStr">
        <is>
          <t>2022-06-09</t>
        </is>
      </c>
      <c r="B1681" t="inlineStr">
        <is>
          <t>11:09</t>
        </is>
      </c>
      <c r="C1681" t="n">
        <v>2979</v>
      </c>
      <c r="D1681" s="6" t="n">
        <v>19.9</v>
      </c>
      <c r="E1681" t="n">
        <v>38493</v>
      </c>
      <c r="F1681" s="6" t="n">
        <v>19.9</v>
      </c>
      <c r="G1681" t="n">
        <v>1</v>
      </c>
      <c r="H1681" s="6">
        <f>ROUND(G1681*F1681,2)</f>
        <v/>
      </c>
      <c r="I1681">
        <f>IF(ROUND(H1681-D1681,2)=0,1,0)</f>
        <v/>
      </c>
      <c r="J1681">
        <f>IF(F1681="","none",IF(G1681=1,"carte","multiple"))</f>
        <v/>
      </c>
    </row>
    <row r="1682">
      <c r="A1682" t="inlineStr">
        <is>
          <t>2022-06-09</t>
        </is>
      </c>
      <c r="B1682" t="inlineStr">
        <is>
          <t>11:09</t>
        </is>
      </c>
      <c r="C1682" t="n">
        <v>2979</v>
      </c>
      <c r="D1682" s="6" t="n">
        <v>17.6</v>
      </c>
      <c r="E1682" t="n">
        <v>38494</v>
      </c>
      <c r="F1682" s="6" t="n">
        <v>17.6</v>
      </c>
      <c r="G1682" t="n">
        <v>1</v>
      </c>
      <c r="H1682" s="6">
        <f>ROUND(G1682*F1682,2)</f>
        <v/>
      </c>
      <c r="I1682">
        <f>IF(ROUND(H1682-D1682,2)=0,1,0)</f>
        <v/>
      </c>
      <c r="J1682">
        <f>IF(F1682="","none",IF(G1682=1,"carte","multiple"))</f>
        <v/>
      </c>
    </row>
    <row r="1683">
      <c r="A1683" t="inlineStr">
        <is>
          <t>2022-06-09</t>
        </is>
      </c>
      <c r="B1683" t="inlineStr">
        <is>
          <t>11:09</t>
        </is>
      </c>
      <c r="C1683" t="n">
        <v>2979</v>
      </c>
      <c r="D1683" s="6" t="n">
        <v>2.2</v>
      </c>
      <c r="E1683" t="n">
        <v>38495</v>
      </c>
      <c r="F1683" s="6" t="n">
        <v>2.2</v>
      </c>
      <c r="G1683" t="n">
        <v>1</v>
      </c>
      <c r="H1683" s="6">
        <f>ROUND(G1683*F1683,2)</f>
        <v/>
      </c>
      <c r="I1683">
        <f>IF(ROUND(H1683-D1683,2)=0,1,0)</f>
        <v/>
      </c>
      <c r="J1683">
        <f>IF(F1683="","none",IF(G1683=1,"carte","multiple"))</f>
        <v/>
      </c>
    </row>
    <row r="1684">
      <c r="A1684" t="inlineStr">
        <is>
          <t>2022-06-09</t>
        </is>
      </c>
      <c r="B1684" t="inlineStr">
        <is>
          <t>11:09</t>
        </is>
      </c>
      <c r="C1684" t="n">
        <v>2979</v>
      </c>
      <c r="D1684" s="6" t="n">
        <v>3.6</v>
      </c>
      <c r="E1684" t="n">
        <v>38496</v>
      </c>
      <c r="F1684" s="6" t="n">
        <v>3.6</v>
      </c>
      <c r="G1684" t="n">
        <v>1</v>
      </c>
      <c r="H1684" s="6">
        <f>ROUND(G1684*F1684,2)</f>
        <v/>
      </c>
      <c r="I1684">
        <f>IF(ROUND(H1684-D1684,2)=0,1,0)</f>
        <v/>
      </c>
      <c r="J1684">
        <f>IF(F1684="","none",IF(G1684=1,"carte","multiple"))</f>
        <v/>
      </c>
    </row>
    <row r="1685">
      <c r="A1685" t="inlineStr">
        <is>
          <t>2022-06-09</t>
        </is>
      </c>
      <c r="B1685" t="inlineStr">
        <is>
          <t>12:01</t>
        </is>
      </c>
      <c r="C1685" t="n">
        <v>2979</v>
      </c>
      <c r="D1685" s="6" t="n">
        <v>19</v>
      </c>
      <c r="E1685" t="n">
        <v>38497</v>
      </c>
      <c r="F1685" s="6" t="n">
        <v>19</v>
      </c>
      <c r="G1685" t="n">
        <v>1</v>
      </c>
      <c r="H1685" s="6">
        <f>ROUND(G1685*F1685,2)</f>
        <v/>
      </c>
      <c r="I1685">
        <f>IF(ROUND(H1685-D1685,2)=0,1,0)</f>
        <v/>
      </c>
      <c r="J1685">
        <f>IF(F1685="","none",IF(G1685=1,"carte","multiple"))</f>
        <v/>
      </c>
    </row>
    <row r="1686">
      <c r="A1686" t="inlineStr">
        <is>
          <t>2022-06-09</t>
        </is>
      </c>
      <c r="B1686" t="inlineStr">
        <is>
          <t>12:01</t>
        </is>
      </c>
      <c r="C1686" t="n">
        <v>2979</v>
      </c>
      <c r="D1686" s="6" t="n">
        <v>4.7</v>
      </c>
      <c r="E1686" t="n">
        <v>38498</v>
      </c>
      <c r="F1686" s="6" t="n">
        <v>4.7</v>
      </c>
      <c r="G1686" t="n">
        <v>1</v>
      </c>
      <c r="H1686" s="6">
        <f>ROUND(G1686*F1686,2)</f>
        <v/>
      </c>
      <c r="I1686">
        <f>IF(ROUND(H1686-D1686,2)=0,1,0)</f>
        <v/>
      </c>
      <c r="J1686">
        <f>IF(F1686="","none",IF(G1686=1,"carte","multiple"))</f>
        <v/>
      </c>
    </row>
    <row r="1687">
      <c r="A1687" t="inlineStr">
        <is>
          <t>2022-06-09</t>
        </is>
      </c>
      <c r="B1687" t="inlineStr">
        <is>
          <t>12:01</t>
        </is>
      </c>
      <c r="C1687" t="n">
        <v>2979</v>
      </c>
      <c r="D1687" s="6" t="n">
        <v>2.2</v>
      </c>
      <c r="E1687" t="n">
        <v>38499</v>
      </c>
      <c r="F1687" s="6" t="n">
        <v>2.2</v>
      </c>
      <c r="G1687" t="n">
        <v>1</v>
      </c>
      <c r="H1687" s="6">
        <f>ROUND(G1687*F1687,2)</f>
        <v/>
      </c>
      <c r="I1687">
        <f>IF(ROUND(H1687-D1687,2)=0,1,0)</f>
        <v/>
      </c>
      <c r="J1687">
        <f>IF(F1687="","none",IF(G1687=1,"carte","multiple"))</f>
        <v/>
      </c>
    </row>
    <row r="1688">
      <c r="A1688" t="inlineStr">
        <is>
          <t>2022-06-09</t>
        </is>
      </c>
      <c r="B1688" t="inlineStr">
        <is>
          <t>12:01</t>
        </is>
      </c>
      <c r="C1688" t="n">
        <v>2979</v>
      </c>
      <c r="D1688" s="6" t="n">
        <v>15</v>
      </c>
      <c r="E1688" t="n">
        <v>38500</v>
      </c>
      <c r="F1688" s="6" t="n">
        <v>15</v>
      </c>
      <c r="G1688" t="n">
        <v>1</v>
      </c>
      <c r="H1688" s="6">
        <f>ROUND(G1688*F1688,2)</f>
        <v/>
      </c>
      <c r="I1688">
        <f>IF(ROUND(H1688-D1688,2)=0,1,0)</f>
        <v/>
      </c>
      <c r="J1688">
        <f>IF(F1688="","none",IF(G1688=1,"carte","multiple"))</f>
        <v/>
      </c>
    </row>
    <row r="1689">
      <c r="A1689" t="inlineStr">
        <is>
          <t>2022-06-09</t>
        </is>
      </c>
      <c r="B1689" t="inlineStr">
        <is>
          <t>12:01</t>
        </is>
      </c>
      <c r="C1689" t="n">
        <v>2979</v>
      </c>
      <c r="D1689" s="6" t="n">
        <v>11</v>
      </c>
      <c r="E1689" t="n">
        <v>38501</v>
      </c>
      <c r="F1689" s="6" t="n">
        <v>11</v>
      </c>
      <c r="G1689" t="n">
        <v>1</v>
      </c>
      <c r="H1689" s="6">
        <f>ROUND(G1689*F1689,2)</f>
        <v/>
      </c>
      <c r="I1689">
        <f>IF(ROUND(H1689-D1689,2)=0,1,0)</f>
        <v/>
      </c>
      <c r="J1689">
        <f>IF(F1689="","none",IF(G1689=1,"carte","multiple"))</f>
        <v/>
      </c>
    </row>
    <row r="1690">
      <c r="A1690" t="inlineStr">
        <is>
          <t>2022-06-09</t>
        </is>
      </c>
      <c r="B1690" t="inlineStr">
        <is>
          <t>12:01</t>
        </is>
      </c>
      <c r="C1690" t="n">
        <v>2979</v>
      </c>
      <c r="D1690" s="6" t="n">
        <v>3.9</v>
      </c>
      <c r="E1690" t="n">
        <v>38502</v>
      </c>
      <c r="F1690" s="6" t="n">
        <v>3.9</v>
      </c>
      <c r="G1690" t="n">
        <v>1</v>
      </c>
      <c r="H1690" s="6">
        <f>ROUND(G1690*F1690,2)</f>
        <v/>
      </c>
      <c r="I1690">
        <f>IF(ROUND(H1690-D1690,2)=0,1,0)</f>
        <v/>
      </c>
      <c r="J1690">
        <f>IF(F1690="","none",IF(G1690=1,"carte","multiple"))</f>
        <v/>
      </c>
    </row>
    <row r="1691">
      <c r="A1691" t="inlineStr">
        <is>
          <t>2022-06-09</t>
        </is>
      </c>
      <c r="B1691" t="inlineStr">
        <is>
          <t>12:01</t>
        </is>
      </c>
      <c r="C1691" t="n">
        <v>2979</v>
      </c>
      <c r="D1691" s="6" t="n">
        <v>3.9</v>
      </c>
      <c r="E1691" t="n">
        <v>38503</v>
      </c>
      <c r="F1691" s="6" t="n">
        <v>3.9</v>
      </c>
      <c r="G1691" t="n">
        <v>1</v>
      </c>
      <c r="H1691" s="6">
        <f>ROUND(G1691*F1691,2)</f>
        <v/>
      </c>
      <c r="I1691">
        <f>IF(ROUND(H1691-D1691,2)=0,1,0)</f>
        <v/>
      </c>
      <c r="J1691">
        <f>IF(F1691="","none",IF(G1691=1,"carte","multiple"))</f>
        <v/>
      </c>
    </row>
    <row r="1692">
      <c r="A1692" t="inlineStr">
        <is>
          <t>2022-06-09</t>
        </is>
      </c>
      <c r="B1692" t="inlineStr">
        <is>
          <t>12:18</t>
        </is>
      </c>
      <c r="C1692" t="n">
        <v>2979</v>
      </c>
      <c r="D1692" s="6" t="n">
        <v>3.9</v>
      </c>
      <c r="E1692" t="n">
        <v>38504</v>
      </c>
      <c r="F1692" s="6" t="n">
        <v>3.9</v>
      </c>
      <c r="G1692" t="n">
        <v>1</v>
      </c>
      <c r="H1692" s="6">
        <f>ROUND(G1692*F1692,2)</f>
        <v/>
      </c>
      <c r="I1692">
        <f>IF(ROUND(H1692-D1692,2)=0,1,0)</f>
        <v/>
      </c>
      <c r="J1692">
        <f>IF(F1692="","none",IF(G1692=1,"carte","multiple"))</f>
        <v/>
      </c>
    </row>
    <row r="1693">
      <c r="A1693" t="inlineStr">
        <is>
          <t>2022-06-09</t>
        </is>
      </c>
      <c r="B1693" t="inlineStr">
        <is>
          <t>12:18</t>
        </is>
      </c>
      <c r="C1693" t="n">
        <v>2979</v>
      </c>
      <c r="D1693" s="6" t="n">
        <v>15</v>
      </c>
      <c r="E1693" t="n">
        <v>38505</v>
      </c>
      <c r="F1693" s="6" t="n">
        <v>15</v>
      </c>
      <c r="G1693" t="n">
        <v>1</v>
      </c>
      <c r="H1693" s="6">
        <f>ROUND(G1693*F1693,2)</f>
        <v/>
      </c>
      <c r="I1693">
        <f>IF(ROUND(H1693-D1693,2)=0,1,0)</f>
        <v/>
      </c>
      <c r="J1693">
        <f>IF(F1693="","none",IF(G1693=1,"carte","multiple"))</f>
        <v/>
      </c>
    </row>
    <row r="1694">
      <c r="A1694" t="inlineStr">
        <is>
          <t>2022-06-09</t>
        </is>
      </c>
      <c r="B1694" t="inlineStr">
        <is>
          <t>12:18</t>
        </is>
      </c>
      <c r="C1694" t="n">
        <v>2979</v>
      </c>
      <c r="D1694" s="6" t="n">
        <v>15.9</v>
      </c>
      <c r="E1694" t="n">
        <v>38506</v>
      </c>
      <c r="F1694" s="6" t="n">
        <v>15.9</v>
      </c>
      <c r="G1694" t="n">
        <v>1</v>
      </c>
      <c r="H1694" s="6">
        <f>ROUND(G1694*F1694,2)</f>
        <v/>
      </c>
      <c r="I1694">
        <f>IF(ROUND(H1694-D1694,2)=0,1,0)</f>
        <v/>
      </c>
      <c r="J1694">
        <f>IF(F1694="","none",IF(G1694=1,"carte","multiple"))</f>
        <v/>
      </c>
    </row>
    <row r="1695">
      <c r="A1695" t="inlineStr">
        <is>
          <t>2022-06-09</t>
        </is>
      </c>
      <c r="B1695" t="inlineStr">
        <is>
          <t>12:18</t>
        </is>
      </c>
      <c r="C1695" t="n">
        <v>2979</v>
      </c>
      <c r="D1695" s="6" t="n">
        <v>3.9</v>
      </c>
      <c r="E1695" t="n">
        <v>38507</v>
      </c>
      <c r="F1695" s="6" t="n">
        <v>3.9</v>
      </c>
      <c r="G1695" t="n">
        <v>1</v>
      </c>
      <c r="H1695" s="6">
        <f>ROUND(G1695*F1695,2)</f>
        <v/>
      </c>
      <c r="I1695">
        <f>IF(ROUND(H1695-D1695,2)=0,1,0)</f>
        <v/>
      </c>
      <c r="J1695">
        <f>IF(F1695="","none",IF(G1695=1,"carte","multiple"))</f>
        <v/>
      </c>
    </row>
    <row r="1696">
      <c r="A1696" t="inlineStr">
        <is>
          <t>2022-06-09</t>
        </is>
      </c>
      <c r="B1696" t="inlineStr">
        <is>
          <t>12:40</t>
        </is>
      </c>
      <c r="C1696" t="n">
        <v>2979</v>
      </c>
      <c r="D1696" s="6" t="n">
        <v>2.2</v>
      </c>
      <c r="E1696" t="n">
        <v>38508</v>
      </c>
      <c r="F1696" s="6" t="n">
        <v>2.2</v>
      </c>
      <c r="G1696" t="n">
        <v>1</v>
      </c>
      <c r="H1696" s="6">
        <f>ROUND(G1696*F1696,2)</f>
        <v/>
      </c>
      <c r="I1696">
        <f>IF(ROUND(H1696-D1696,2)=0,1,0)</f>
        <v/>
      </c>
      <c r="J1696">
        <f>IF(F1696="","none",IF(G1696=1,"carte","multiple"))</f>
        <v/>
      </c>
    </row>
    <row r="1697">
      <c r="A1697" t="inlineStr">
        <is>
          <t>2022-06-09</t>
        </is>
      </c>
      <c r="B1697" t="inlineStr">
        <is>
          <t>12:40</t>
        </is>
      </c>
      <c r="C1697" t="n">
        <v>2979</v>
      </c>
      <c r="D1697" s="6" t="n">
        <v>4.2</v>
      </c>
      <c r="E1697" t="n">
        <v>38509</v>
      </c>
      <c r="F1697" s="6" t="n">
        <v>4.2</v>
      </c>
      <c r="G1697" t="n">
        <v>1</v>
      </c>
      <c r="H1697" s="6">
        <f>ROUND(G1697*F1697,2)</f>
        <v/>
      </c>
      <c r="I1697">
        <f>IF(ROUND(H1697-D1697,2)=0,1,0)</f>
        <v/>
      </c>
      <c r="J1697">
        <f>IF(F1697="","none",IF(G1697=1,"carte","multiple"))</f>
        <v/>
      </c>
    </row>
    <row r="1698">
      <c r="A1698" t="inlineStr">
        <is>
          <t>2022-06-09</t>
        </is>
      </c>
      <c r="B1698" t="inlineStr">
        <is>
          <t>12:40</t>
        </is>
      </c>
      <c r="C1698" t="n">
        <v>2979</v>
      </c>
      <c r="D1698" s="6" t="n">
        <v>57</v>
      </c>
      <c r="E1698" t="n">
        <v>38510</v>
      </c>
      <c r="F1698" s="6" t="n">
        <v>0.5</v>
      </c>
      <c r="G1698" t="n">
        <v>114</v>
      </c>
      <c r="H1698" s="6">
        <f>ROUND(G1698*F1698,2)</f>
        <v/>
      </c>
      <c r="I1698">
        <f>IF(ROUND(H1698-D1698,2)=0,1,0)</f>
        <v/>
      </c>
      <c r="J1698">
        <f>IF(F1698="","none",IF(G1698=1,"carte","multiple"))</f>
        <v/>
      </c>
    </row>
    <row r="1699">
      <c r="A1699" t="inlineStr">
        <is>
          <t>2022-06-09</t>
        </is>
      </c>
      <c r="B1699" t="inlineStr">
        <is>
          <t>12:40</t>
        </is>
      </c>
      <c r="C1699" t="n">
        <v>2979</v>
      </c>
      <c r="D1699" s="6" t="n">
        <v>17.6</v>
      </c>
      <c r="E1699" t="n">
        <v>38511</v>
      </c>
      <c r="F1699" s="6" t="n">
        <v>17.6</v>
      </c>
      <c r="G1699" t="n">
        <v>1</v>
      </c>
      <c r="H1699" s="6">
        <f>ROUND(G1699*F1699,2)</f>
        <v/>
      </c>
      <c r="I1699">
        <f>IF(ROUND(H1699-D1699,2)=0,1,0)</f>
        <v/>
      </c>
      <c r="J1699">
        <f>IF(F1699="","none",IF(G1699=1,"carte","multiple"))</f>
        <v/>
      </c>
    </row>
    <row r="1700">
      <c r="A1700" t="inlineStr">
        <is>
          <t>2022-06-09</t>
        </is>
      </c>
      <c r="B1700" t="inlineStr">
        <is>
          <t>12:40</t>
        </is>
      </c>
      <c r="C1700" t="n">
        <v>2979</v>
      </c>
      <c r="D1700" s="6" t="n">
        <v>17.6</v>
      </c>
      <c r="E1700" t="n">
        <v>38512</v>
      </c>
      <c r="F1700" s="6" t="n">
        <v>17.6</v>
      </c>
      <c r="G1700" t="n">
        <v>1</v>
      </c>
      <c r="H1700" s="6">
        <f>ROUND(G1700*F1700,2)</f>
        <v/>
      </c>
      <c r="I1700">
        <f>IF(ROUND(H1700-D1700,2)=0,1,0)</f>
        <v/>
      </c>
      <c r="J1700">
        <f>IF(F1700="","none",IF(G1700=1,"carte","multiple"))</f>
        <v/>
      </c>
    </row>
    <row r="1701">
      <c r="A1701" t="inlineStr">
        <is>
          <t>2022-06-09</t>
        </is>
      </c>
      <c r="B1701" t="inlineStr">
        <is>
          <t>12:40</t>
        </is>
      </c>
      <c r="C1701" t="n">
        <v>2979</v>
      </c>
      <c r="D1701" s="6" t="n">
        <v>9.9</v>
      </c>
      <c r="E1701" t="n">
        <v>38513</v>
      </c>
      <c r="F1701" s="6" t="n">
        <v>9.9</v>
      </c>
      <c r="G1701" t="n">
        <v>1</v>
      </c>
      <c r="H1701" s="6">
        <f>ROUND(G1701*F1701,2)</f>
        <v/>
      </c>
      <c r="I1701">
        <f>IF(ROUND(H1701-D1701,2)=0,1,0)</f>
        <v/>
      </c>
      <c r="J1701">
        <f>IF(F1701="","none",IF(G1701=1,"carte","multiple"))</f>
        <v/>
      </c>
    </row>
    <row r="1702">
      <c r="A1702" t="inlineStr">
        <is>
          <t>2022-06-09</t>
        </is>
      </c>
      <c r="B1702" t="inlineStr">
        <is>
          <t>12:40</t>
        </is>
      </c>
      <c r="C1702" t="n">
        <v>2979</v>
      </c>
      <c r="D1702" s="6" t="n">
        <v>7.8</v>
      </c>
      <c r="E1702" t="n">
        <v>38514</v>
      </c>
      <c r="F1702" s="6" t="n">
        <v>7.8</v>
      </c>
      <c r="G1702" t="n">
        <v>1</v>
      </c>
      <c r="H1702" s="6">
        <f>ROUND(G1702*F1702,2)</f>
        <v/>
      </c>
      <c r="I1702">
        <f>IF(ROUND(H1702-D1702,2)=0,1,0)</f>
        <v/>
      </c>
      <c r="J1702">
        <f>IF(F1702="","none",IF(G1702=1,"carte","multiple"))</f>
        <v/>
      </c>
    </row>
    <row r="1703">
      <c r="A1703" t="inlineStr">
        <is>
          <t>2022-06-09</t>
        </is>
      </c>
      <c r="B1703" t="inlineStr">
        <is>
          <t>18:51</t>
        </is>
      </c>
      <c r="C1703" t="n">
        <v>2979</v>
      </c>
      <c r="D1703" s="6" t="n">
        <v>7.8</v>
      </c>
      <c r="E1703" t="n">
        <v>38515</v>
      </c>
      <c r="F1703" s="6" t="n">
        <v>7.8</v>
      </c>
      <c r="G1703" t="n">
        <v>1</v>
      </c>
      <c r="H1703" s="6">
        <f>ROUND(G1703*F1703,2)</f>
        <v/>
      </c>
      <c r="I1703">
        <f>IF(ROUND(H1703-D1703,2)=0,1,0)</f>
        <v/>
      </c>
      <c r="J1703">
        <f>IF(F1703="","none",IF(G1703=1,"carte","multiple"))</f>
        <v/>
      </c>
    </row>
    <row r="1704">
      <c r="A1704" t="inlineStr">
        <is>
          <t>2022-06-09</t>
        </is>
      </c>
      <c r="B1704" t="inlineStr">
        <is>
          <t>18:51</t>
        </is>
      </c>
      <c r="C1704" t="n">
        <v>2979</v>
      </c>
      <c r="D1704" s="6" t="n">
        <v>16.9</v>
      </c>
      <c r="E1704" t="n">
        <v>38516</v>
      </c>
      <c r="F1704" s="6" t="n">
        <v>16.9</v>
      </c>
      <c r="G1704" t="n">
        <v>1</v>
      </c>
      <c r="H1704" s="6">
        <f>ROUND(G1704*F1704,2)</f>
        <v/>
      </c>
      <c r="I1704">
        <f>IF(ROUND(H1704-D1704,2)=0,1,0)</f>
        <v/>
      </c>
      <c r="J1704">
        <f>IF(F1704="","none",IF(G1704=1,"carte","multiple"))</f>
        <v/>
      </c>
    </row>
    <row r="1705">
      <c r="A1705" t="inlineStr">
        <is>
          <t>2022-06-09</t>
        </is>
      </c>
      <c r="B1705" t="inlineStr">
        <is>
          <t>18:51</t>
        </is>
      </c>
      <c r="C1705" t="n">
        <v>2979</v>
      </c>
      <c r="D1705" s="6" t="n">
        <v>15.9</v>
      </c>
      <c r="E1705" t="n">
        <v>38517</v>
      </c>
      <c r="F1705" s="6" t="n">
        <v>15.9</v>
      </c>
      <c r="G1705" t="n">
        <v>1</v>
      </c>
      <c r="H1705" s="6">
        <f>ROUND(G1705*F1705,2)</f>
        <v/>
      </c>
      <c r="I1705">
        <f>IF(ROUND(H1705-D1705,2)=0,1,0)</f>
        <v/>
      </c>
      <c r="J1705">
        <f>IF(F1705="","none",IF(G1705=1,"carte","multiple"))</f>
        <v/>
      </c>
    </row>
    <row r="1706">
      <c r="A1706" t="inlineStr">
        <is>
          <t>2022-06-09</t>
        </is>
      </c>
      <c r="B1706" t="inlineStr">
        <is>
          <t>18:51</t>
        </is>
      </c>
      <c r="C1706" t="n">
        <v>2979</v>
      </c>
      <c r="D1706" s="6" t="n">
        <v>8.699999999999999</v>
      </c>
      <c r="E1706" t="n">
        <v>38518</v>
      </c>
      <c r="F1706" s="6" t="n">
        <v>8.699999999999999</v>
      </c>
      <c r="G1706" t="n">
        <v>1</v>
      </c>
      <c r="H1706" s="6">
        <f>ROUND(G1706*F1706,2)</f>
        <v/>
      </c>
      <c r="I1706">
        <f>IF(ROUND(H1706-D1706,2)=0,1,0)</f>
        <v/>
      </c>
      <c r="J1706">
        <f>IF(F1706="","none",IF(G1706=1,"carte","multiple"))</f>
        <v/>
      </c>
    </row>
    <row r="1707">
      <c r="A1707" t="inlineStr">
        <is>
          <t>2022-06-09</t>
        </is>
      </c>
      <c r="B1707" t="inlineStr">
        <is>
          <t>18:51</t>
        </is>
      </c>
      <c r="C1707" t="n">
        <v>2979</v>
      </c>
      <c r="D1707" s="6" t="n">
        <v>2.2</v>
      </c>
      <c r="E1707" t="n">
        <v>38519</v>
      </c>
      <c r="F1707" s="6" t="n">
        <v>2.2</v>
      </c>
      <c r="G1707" t="n">
        <v>1</v>
      </c>
      <c r="H1707" s="6">
        <f>ROUND(G1707*F1707,2)</f>
        <v/>
      </c>
      <c r="I1707">
        <f>IF(ROUND(H1707-D1707,2)=0,1,0)</f>
        <v/>
      </c>
      <c r="J1707">
        <f>IF(F1707="","none",IF(G1707=1,"carte","multiple"))</f>
        <v/>
      </c>
    </row>
    <row r="1708">
      <c r="A1708" t="inlineStr">
        <is>
          <t>2022-06-09</t>
        </is>
      </c>
      <c r="B1708" t="inlineStr">
        <is>
          <t>19:19</t>
        </is>
      </c>
      <c r="C1708" t="n">
        <v>2979</v>
      </c>
      <c r="D1708" s="6" t="n">
        <v>11</v>
      </c>
      <c r="E1708" t="n">
        <v>38520</v>
      </c>
      <c r="F1708" s="6" t="n">
        <v>11</v>
      </c>
      <c r="G1708" t="n">
        <v>1</v>
      </c>
      <c r="H1708" s="6">
        <f>ROUND(G1708*F1708,2)</f>
        <v/>
      </c>
      <c r="I1708">
        <f>IF(ROUND(H1708-D1708,2)=0,1,0)</f>
        <v/>
      </c>
      <c r="J1708">
        <f>IF(F1708="","none",IF(G1708=1,"carte","multiple"))</f>
        <v/>
      </c>
    </row>
    <row r="1709">
      <c r="A1709" t="inlineStr">
        <is>
          <t>2022-06-09</t>
        </is>
      </c>
      <c r="B1709" t="inlineStr">
        <is>
          <t>19:19</t>
        </is>
      </c>
      <c r="C1709" t="n">
        <v>2979</v>
      </c>
      <c r="D1709" s="6" t="n">
        <v>23</v>
      </c>
      <c r="E1709" t="n">
        <v>38521</v>
      </c>
      <c r="F1709" s="6" t="n">
        <v>23</v>
      </c>
      <c r="G1709" t="n">
        <v>1</v>
      </c>
      <c r="H1709" s="6">
        <f>ROUND(G1709*F1709,2)</f>
        <v/>
      </c>
      <c r="I1709">
        <f>IF(ROUND(H1709-D1709,2)=0,1,0)</f>
        <v/>
      </c>
      <c r="J1709">
        <f>IF(F1709="","none",IF(G1709=1,"carte","multiple"))</f>
        <v/>
      </c>
    </row>
    <row r="1710">
      <c r="A1710" t="inlineStr">
        <is>
          <t>2022-06-09</t>
        </is>
      </c>
      <c r="B1710" t="inlineStr">
        <is>
          <t>19:19</t>
        </is>
      </c>
      <c r="C1710" t="n">
        <v>2979</v>
      </c>
      <c r="D1710" s="6" t="n">
        <v>13.4</v>
      </c>
      <c r="E1710" t="n">
        <v>38522</v>
      </c>
      <c r="F1710" s="6" t="n">
        <v>13.4</v>
      </c>
      <c r="G1710" t="n">
        <v>1</v>
      </c>
      <c r="H1710" s="6">
        <f>ROUND(G1710*F1710,2)</f>
        <v/>
      </c>
      <c r="I1710">
        <f>IF(ROUND(H1710-D1710,2)=0,1,0)</f>
        <v/>
      </c>
      <c r="J1710">
        <f>IF(F1710="","none",IF(G1710=1,"carte","multiple"))</f>
        <v/>
      </c>
    </row>
    <row r="1711">
      <c r="A1711" t="inlineStr">
        <is>
          <t>2022-06-09</t>
        </is>
      </c>
      <c r="B1711" t="inlineStr">
        <is>
          <t>19:30</t>
        </is>
      </c>
      <c r="C1711" t="n">
        <v>2979</v>
      </c>
      <c r="D1711" s="6" t="n">
        <v>70.40000000000001</v>
      </c>
      <c r="E1711" t="n">
        <v>38523</v>
      </c>
      <c r="F1711" s="6" t="n">
        <v>0.4</v>
      </c>
      <c r="G1711" t="n">
        <v>176</v>
      </c>
      <c r="H1711" s="6">
        <f>ROUND(G1711*F1711,2)</f>
        <v/>
      </c>
      <c r="I1711">
        <f>IF(ROUND(H1711-D1711,2)=0,1,0)</f>
        <v/>
      </c>
      <c r="J1711">
        <f>IF(F1711="","none",IF(G1711=1,"carte","multiple"))</f>
        <v/>
      </c>
    </row>
    <row r="1712">
      <c r="A1712" t="inlineStr">
        <is>
          <t>2022-06-09</t>
        </is>
      </c>
      <c r="B1712" t="inlineStr">
        <is>
          <t>19:30</t>
        </is>
      </c>
      <c r="C1712" t="n">
        <v>2979</v>
      </c>
      <c r="D1712" s="6" t="n">
        <v>29</v>
      </c>
      <c r="E1712" t="n">
        <v>38524</v>
      </c>
      <c r="F1712" s="6" t="n">
        <v>29</v>
      </c>
      <c r="G1712" t="n">
        <v>1</v>
      </c>
      <c r="H1712" s="6">
        <f>ROUND(G1712*F1712,2)</f>
        <v/>
      </c>
      <c r="I1712">
        <f>IF(ROUND(H1712-D1712,2)=0,1,0)</f>
        <v/>
      </c>
      <c r="J1712">
        <f>IF(F1712="","none",IF(G1712=1,"carte","multiple"))</f>
        <v/>
      </c>
    </row>
    <row r="1713">
      <c r="A1713" t="inlineStr">
        <is>
          <t>2022-06-09</t>
        </is>
      </c>
      <c r="B1713" t="inlineStr">
        <is>
          <t>19:36</t>
        </is>
      </c>
      <c r="C1713" t="n">
        <v>2979</v>
      </c>
      <c r="D1713" s="6" t="n">
        <v>1.8</v>
      </c>
      <c r="E1713" t="n">
        <v>38525</v>
      </c>
      <c r="F1713" s="6" t="n">
        <v>1.8</v>
      </c>
      <c r="G1713" t="n">
        <v>1</v>
      </c>
      <c r="H1713" s="6">
        <f>ROUND(G1713*F1713,2)</f>
        <v/>
      </c>
      <c r="I1713">
        <f>IF(ROUND(H1713-D1713,2)=0,1,0)</f>
        <v/>
      </c>
      <c r="J1713">
        <f>IF(F1713="","none",IF(G1713=1,"carte","multiple"))</f>
        <v/>
      </c>
    </row>
    <row r="1714">
      <c r="A1714" t="inlineStr">
        <is>
          <t>2022-06-09</t>
        </is>
      </c>
      <c r="B1714" t="inlineStr">
        <is>
          <t>19:36</t>
        </is>
      </c>
      <c r="C1714" t="n">
        <v>2979</v>
      </c>
      <c r="D1714" s="6" t="n">
        <v>3.9</v>
      </c>
      <c r="E1714" t="n">
        <v>38526</v>
      </c>
      <c r="F1714" s="6" t="n">
        <v>3.9</v>
      </c>
      <c r="G1714" t="n">
        <v>1</v>
      </c>
      <c r="H1714" s="6">
        <f>ROUND(G1714*F1714,2)</f>
        <v/>
      </c>
      <c r="I1714">
        <f>IF(ROUND(H1714-D1714,2)=0,1,0)</f>
        <v/>
      </c>
      <c r="J1714">
        <f>IF(F1714="","none",IF(G1714=1,"carte","multiple"))</f>
        <v/>
      </c>
    </row>
    <row r="1715">
      <c r="A1715" t="inlineStr">
        <is>
          <t>2022-06-09</t>
        </is>
      </c>
      <c r="B1715" t="inlineStr">
        <is>
          <t>19:36</t>
        </is>
      </c>
      <c r="C1715" t="n">
        <v>2979</v>
      </c>
      <c r="D1715" s="6" t="n">
        <v>17.6</v>
      </c>
      <c r="E1715" t="n">
        <v>38527</v>
      </c>
      <c r="F1715" s="6" t="n">
        <v>17.6</v>
      </c>
      <c r="G1715" t="n">
        <v>1</v>
      </c>
      <c r="H1715" s="6">
        <f>ROUND(G1715*F1715,2)</f>
        <v/>
      </c>
      <c r="I1715">
        <f>IF(ROUND(H1715-D1715,2)=0,1,0)</f>
        <v/>
      </c>
      <c r="J1715">
        <f>IF(F1715="","none",IF(G1715=1,"carte","multiple"))</f>
        <v/>
      </c>
    </row>
    <row r="1716">
      <c r="A1716" t="inlineStr">
        <is>
          <t>2022-06-09</t>
        </is>
      </c>
      <c r="B1716" t="inlineStr">
        <is>
          <t>19:36</t>
        </is>
      </c>
      <c r="C1716" t="n">
        <v>2979</v>
      </c>
      <c r="D1716" s="6" t="n">
        <v>15.9</v>
      </c>
      <c r="E1716" t="n">
        <v>38528</v>
      </c>
      <c r="F1716" s="6" t="n">
        <v>15.9</v>
      </c>
      <c r="G1716" t="n">
        <v>1</v>
      </c>
      <c r="H1716" s="6">
        <f>ROUND(G1716*F1716,2)</f>
        <v/>
      </c>
      <c r="I1716">
        <f>IF(ROUND(H1716-D1716,2)=0,1,0)</f>
        <v/>
      </c>
      <c r="J1716">
        <f>IF(F1716="","none",IF(G1716=1,"carte","multiple"))</f>
        <v/>
      </c>
    </row>
    <row r="1717">
      <c r="A1717" t="inlineStr">
        <is>
          <t>2022-06-09</t>
        </is>
      </c>
      <c r="B1717" t="inlineStr">
        <is>
          <t>19:36</t>
        </is>
      </c>
      <c r="C1717" t="n">
        <v>2979</v>
      </c>
      <c r="D1717" s="6" t="n">
        <v>9.800000000000001</v>
      </c>
      <c r="E1717" t="n">
        <v>38529</v>
      </c>
      <c r="F1717" s="6" t="n">
        <v>9.800000000000001</v>
      </c>
      <c r="G1717" t="n">
        <v>1</v>
      </c>
      <c r="H1717" s="6">
        <f>ROUND(G1717*F1717,2)</f>
        <v/>
      </c>
      <c r="I1717">
        <f>IF(ROUND(H1717-D1717,2)=0,1,0)</f>
        <v/>
      </c>
      <c r="J1717">
        <f>IF(F1717="","none",IF(G1717=1,"carte","multiple"))</f>
        <v/>
      </c>
    </row>
    <row r="1718">
      <c r="A1718" t="inlineStr">
        <is>
          <t>2022-06-09</t>
        </is>
      </c>
      <c r="B1718" t="inlineStr">
        <is>
          <t>19:47</t>
        </is>
      </c>
      <c r="C1718" t="n">
        <v>2979</v>
      </c>
      <c r="D1718" s="6" t="n">
        <v>32</v>
      </c>
      <c r="E1718" t="n">
        <v>38530</v>
      </c>
      <c r="F1718" s="6" t="n">
        <v>32</v>
      </c>
      <c r="G1718" t="n">
        <v>1</v>
      </c>
      <c r="H1718" s="6">
        <f>ROUND(G1718*F1718,2)</f>
        <v/>
      </c>
      <c r="I1718">
        <f>IF(ROUND(H1718-D1718,2)=0,1,0)</f>
        <v/>
      </c>
      <c r="J1718">
        <f>IF(F1718="","none",IF(G1718=1,"carte","multiple"))</f>
        <v/>
      </c>
    </row>
    <row r="1719">
      <c r="A1719" t="inlineStr">
        <is>
          <t>2022-06-09</t>
        </is>
      </c>
      <c r="B1719" t="inlineStr">
        <is>
          <t>19:47</t>
        </is>
      </c>
      <c r="C1719" t="n">
        <v>2979</v>
      </c>
      <c r="D1719" s="6" t="n">
        <v>36</v>
      </c>
      <c r="E1719" t="n">
        <v>38531</v>
      </c>
      <c r="F1719" s="6" t="n">
        <v>36</v>
      </c>
      <c r="G1719" t="n">
        <v>1</v>
      </c>
      <c r="H1719" s="6">
        <f>ROUND(G1719*F1719,2)</f>
        <v/>
      </c>
      <c r="I1719">
        <f>IF(ROUND(H1719-D1719,2)=0,1,0)</f>
        <v/>
      </c>
      <c r="J1719">
        <f>IF(F1719="","none",IF(G1719=1,"carte","multiple"))</f>
        <v/>
      </c>
    </row>
    <row r="1720">
      <c r="A1720" t="inlineStr">
        <is>
          <t>2022-06-09</t>
        </is>
      </c>
      <c r="B1720" t="inlineStr">
        <is>
          <t>20:12</t>
        </is>
      </c>
      <c r="C1720" t="n">
        <v>2979</v>
      </c>
      <c r="D1720" s="6" t="n">
        <v>17.6</v>
      </c>
      <c r="E1720" t="n">
        <v>38532</v>
      </c>
      <c r="F1720" s="6" t="n">
        <v>17.6</v>
      </c>
      <c r="G1720" t="n">
        <v>1</v>
      </c>
      <c r="H1720" s="6">
        <f>ROUND(G1720*F1720,2)</f>
        <v/>
      </c>
      <c r="I1720">
        <f>IF(ROUND(H1720-D1720,2)=0,1,0)</f>
        <v/>
      </c>
      <c r="J1720">
        <f>IF(F1720="","none",IF(G1720=1,"carte","multiple"))</f>
        <v/>
      </c>
    </row>
    <row r="1721">
      <c r="A1721" t="inlineStr">
        <is>
          <t>2022-06-10</t>
        </is>
      </c>
      <c r="B1721" t="inlineStr">
        <is>
          <t>10:41</t>
        </is>
      </c>
      <c r="C1721" t="n">
        <v>2980</v>
      </c>
      <c r="D1721" s="6" t="n">
        <v>4.2</v>
      </c>
      <c r="E1721" t="n">
        <v>38536</v>
      </c>
      <c r="F1721" s="6" t="n">
        <v>4.2</v>
      </c>
      <c r="G1721" t="n">
        <v>1</v>
      </c>
      <c r="H1721" s="6">
        <f>ROUND(G1721*F1721,2)</f>
        <v/>
      </c>
      <c r="I1721">
        <f>IF(ROUND(H1721-D1721,2)=0,1,0)</f>
        <v/>
      </c>
      <c r="J1721">
        <f>IF(F1721="","none",IF(G1721=1,"carte","multiple"))</f>
        <v/>
      </c>
    </row>
    <row r="1722">
      <c r="A1722" t="inlineStr">
        <is>
          <t>2022-06-10</t>
        </is>
      </c>
      <c r="B1722" t="inlineStr">
        <is>
          <t>11:38</t>
        </is>
      </c>
      <c r="C1722" t="n">
        <v>2980</v>
      </c>
      <c r="D1722" s="6" t="n">
        <v>5.8</v>
      </c>
      <c r="E1722" t="n">
        <v>38537</v>
      </c>
      <c r="F1722" s="6" t="n">
        <v>5.8</v>
      </c>
      <c r="G1722" t="n">
        <v>1</v>
      </c>
      <c r="H1722" s="6">
        <f>ROUND(G1722*F1722,2)</f>
        <v/>
      </c>
      <c r="I1722">
        <f>IF(ROUND(H1722-D1722,2)=0,1,0)</f>
        <v/>
      </c>
      <c r="J1722">
        <f>IF(F1722="","none",IF(G1722=1,"carte","multiple"))</f>
        <v/>
      </c>
    </row>
    <row r="1723">
      <c r="A1723" t="inlineStr">
        <is>
          <t>2022-06-10</t>
        </is>
      </c>
      <c r="B1723" t="inlineStr">
        <is>
          <t>11:38</t>
        </is>
      </c>
      <c r="C1723" t="n">
        <v>2980</v>
      </c>
      <c r="D1723" s="6" t="n">
        <v>6.9</v>
      </c>
      <c r="E1723" t="n">
        <v>38538</v>
      </c>
      <c r="F1723" s="6" t="n">
        <v>6.9</v>
      </c>
      <c r="G1723" t="n">
        <v>1</v>
      </c>
      <c r="H1723" s="6">
        <f>ROUND(G1723*F1723,2)</f>
        <v/>
      </c>
      <c r="I1723">
        <f>IF(ROUND(H1723-D1723,2)=0,1,0)</f>
        <v/>
      </c>
      <c r="J1723">
        <f>IF(F1723="","none",IF(G1723=1,"carte","multiple"))</f>
        <v/>
      </c>
    </row>
    <row r="1724">
      <c r="A1724" t="inlineStr">
        <is>
          <t>2022-06-10</t>
        </is>
      </c>
      <c r="B1724" t="inlineStr">
        <is>
          <t>11:38</t>
        </is>
      </c>
      <c r="C1724" t="n">
        <v>2980</v>
      </c>
      <c r="D1724" s="6" t="n">
        <v>19.9</v>
      </c>
      <c r="E1724" t="n">
        <v>38539</v>
      </c>
      <c r="F1724" s="6" t="n">
        <v>19.9</v>
      </c>
      <c r="G1724" t="n">
        <v>1</v>
      </c>
      <c r="H1724" s="6">
        <f>ROUND(G1724*F1724,2)</f>
        <v/>
      </c>
      <c r="I1724">
        <f>IF(ROUND(H1724-D1724,2)=0,1,0)</f>
        <v/>
      </c>
      <c r="J1724">
        <f>IF(F1724="","none",IF(G1724=1,"carte","multiple"))</f>
        <v/>
      </c>
    </row>
    <row r="1725">
      <c r="A1725" t="inlineStr">
        <is>
          <t>2022-06-10</t>
        </is>
      </c>
      <c r="B1725" t="inlineStr">
        <is>
          <t>11:38</t>
        </is>
      </c>
      <c r="C1725" t="n">
        <v>2980</v>
      </c>
      <c r="D1725" s="6" t="n">
        <v>17.6</v>
      </c>
      <c r="E1725" t="n">
        <v>38540</v>
      </c>
      <c r="F1725" s="6" t="n">
        <v>17.6</v>
      </c>
      <c r="G1725" t="n">
        <v>1</v>
      </c>
      <c r="H1725" s="6">
        <f>ROUND(G1725*F1725,2)</f>
        <v/>
      </c>
      <c r="I1725">
        <f>IF(ROUND(H1725-D1725,2)=0,1,0)</f>
        <v/>
      </c>
      <c r="J1725">
        <f>IF(F1725="","none",IF(G1725=1,"carte","multiple"))</f>
        <v/>
      </c>
    </row>
    <row r="1726">
      <c r="A1726" t="inlineStr">
        <is>
          <t>2022-06-10</t>
        </is>
      </c>
      <c r="B1726" t="inlineStr">
        <is>
          <t>11:38</t>
        </is>
      </c>
      <c r="C1726" t="n">
        <v>2980</v>
      </c>
      <c r="D1726" s="6" t="n">
        <v>14.4</v>
      </c>
      <c r="E1726" t="n">
        <v>38541</v>
      </c>
      <c r="F1726" s="6" t="n">
        <v>0.4</v>
      </c>
      <c r="G1726" t="n">
        <v>36</v>
      </c>
      <c r="H1726" s="6">
        <f>ROUND(G1726*F1726,2)</f>
        <v/>
      </c>
      <c r="I1726">
        <f>IF(ROUND(H1726-D1726,2)=0,1,0)</f>
        <v/>
      </c>
      <c r="J1726">
        <f>IF(F1726="","none",IF(G1726=1,"carte","multiple"))</f>
        <v/>
      </c>
    </row>
    <row r="1727">
      <c r="A1727" t="inlineStr">
        <is>
          <t>2022-06-10</t>
        </is>
      </c>
      <c r="B1727" t="inlineStr">
        <is>
          <t>11:38</t>
        </is>
      </c>
      <c r="C1727" t="n">
        <v>2980</v>
      </c>
      <c r="D1727" s="6" t="n">
        <v>7.8</v>
      </c>
      <c r="E1727" t="n">
        <v>38542</v>
      </c>
      <c r="F1727" s="6" t="n">
        <v>7.8</v>
      </c>
      <c r="G1727" t="n">
        <v>1</v>
      </c>
      <c r="H1727" s="6">
        <f>ROUND(G1727*F1727,2)</f>
        <v/>
      </c>
      <c r="I1727">
        <f>IF(ROUND(H1727-D1727,2)=0,1,0)</f>
        <v/>
      </c>
      <c r="J1727">
        <f>IF(F1727="","none",IF(G1727=1,"carte","multiple"))</f>
        <v/>
      </c>
    </row>
    <row r="1728">
      <c r="A1728" t="inlineStr">
        <is>
          <t>2022-06-10</t>
        </is>
      </c>
      <c r="B1728" t="inlineStr">
        <is>
          <t>11:55</t>
        </is>
      </c>
      <c r="C1728" t="n">
        <v>2980</v>
      </c>
      <c r="D1728" s="6" t="n">
        <v>2.2</v>
      </c>
      <c r="E1728" t="n">
        <v>38543</v>
      </c>
      <c r="F1728" s="6" t="n">
        <v>2.2</v>
      </c>
      <c r="G1728" t="n">
        <v>1</v>
      </c>
      <c r="H1728" s="6">
        <f>ROUND(G1728*F1728,2)</f>
        <v/>
      </c>
      <c r="I1728">
        <f>IF(ROUND(H1728-D1728,2)=0,1,0)</f>
        <v/>
      </c>
      <c r="J1728">
        <f>IF(F1728="","none",IF(G1728=1,"carte","multiple"))</f>
        <v/>
      </c>
    </row>
    <row r="1729">
      <c r="A1729" t="inlineStr">
        <is>
          <t>2022-06-10</t>
        </is>
      </c>
      <c r="B1729" t="inlineStr">
        <is>
          <t>11:55</t>
        </is>
      </c>
      <c r="C1729" t="n">
        <v>2980</v>
      </c>
      <c r="D1729" s="6" t="n">
        <v>6.9</v>
      </c>
      <c r="E1729" t="n">
        <v>38544</v>
      </c>
      <c r="F1729" s="6" t="n">
        <v>6.9</v>
      </c>
      <c r="G1729" t="n">
        <v>1</v>
      </c>
      <c r="H1729" s="6">
        <f>ROUND(G1729*F1729,2)</f>
        <v/>
      </c>
      <c r="I1729">
        <f>IF(ROUND(H1729-D1729,2)=0,1,0)</f>
        <v/>
      </c>
      <c r="J1729">
        <f>IF(F1729="","none",IF(G1729=1,"carte","multiple"))</f>
        <v/>
      </c>
    </row>
    <row r="1730">
      <c r="A1730" t="inlineStr">
        <is>
          <t>2022-06-10</t>
        </is>
      </c>
      <c r="B1730" t="inlineStr">
        <is>
          <t>11:55</t>
        </is>
      </c>
      <c r="C1730" t="n">
        <v>2980</v>
      </c>
      <c r="D1730" s="6" t="n">
        <v>6.9</v>
      </c>
      <c r="E1730" t="n">
        <v>38545</v>
      </c>
      <c r="F1730" s="6" t="n">
        <v>6.9</v>
      </c>
      <c r="G1730" t="n">
        <v>1</v>
      </c>
      <c r="H1730" s="6">
        <f>ROUND(G1730*F1730,2)</f>
        <v/>
      </c>
      <c r="I1730">
        <f>IF(ROUND(H1730-D1730,2)=0,1,0)</f>
        <v/>
      </c>
      <c r="J1730">
        <f>IF(F1730="","none",IF(G1730=1,"carte","multiple"))</f>
        <v/>
      </c>
    </row>
    <row r="1731">
      <c r="A1731" t="inlineStr">
        <is>
          <t>2022-06-10</t>
        </is>
      </c>
      <c r="B1731" t="inlineStr">
        <is>
          <t>11:55</t>
        </is>
      </c>
      <c r="C1731" t="n">
        <v>2980</v>
      </c>
      <c r="D1731" s="6" t="n">
        <v>17.6</v>
      </c>
      <c r="E1731" t="n">
        <v>38546</v>
      </c>
      <c r="F1731" s="6" t="n">
        <v>17.6</v>
      </c>
      <c r="G1731" t="n">
        <v>1</v>
      </c>
      <c r="H1731" s="6">
        <f>ROUND(G1731*F1731,2)</f>
        <v/>
      </c>
      <c r="I1731">
        <f>IF(ROUND(H1731-D1731,2)=0,1,0)</f>
        <v/>
      </c>
      <c r="J1731">
        <f>IF(F1731="","none",IF(G1731=1,"carte","multiple"))</f>
        <v/>
      </c>
    </row>
    <row r="1732">
      <c r="A1732" t="inlineStr">
        <is>
          <t>2022-06-10</t>
        </is>
      </c>
      <c r="B1732" t="inlineStr">
        <is>
          <t>11:55</t>
        </is>
      </c>
      <c r="C1732" t="n">
        <v>2980</v>
      </c>
      <c r="D1732" s="6" t="n">
        <v>17.6</v>
      </c>
      <c r="E1732" t="n">
        <v>38547</v>
      </c>
      <c r="F1732" s="6" t="n">
        <v>17.6</v>
      </c>
      <c r="G1732" t="n">
        <v>1</v>
      </c>
      <c r="H1732" s="6">
        <f>ROUND(G1732*F1732,2)</f>
        <v/>
      </c>
      <c r="I1732">
        <f>IF(ROUND(H1732-D1732,2)=0,1,0)</f>
        <v/>
      </c>
      <c r="J1732">
        <f>IF(F1732="","none",IF(G1732=1,"carte","multiple"))</f>
        <v/>
      </c>
    </row>
    <row r="1733">
      <c r="A1733" t="inlineStr">
        <is>
          <t>2022-06-10</t>
        </is>
      </c>
      <c r="B1733" t="inlineStr">
        <is>
          <t>11:55</t>
        </is>
      </c>
      <c r="C1733" t="n">
        <v>2980</v>
      </c>
      <c r="D1733" s="6" t="n">
        <v>9.800000000000001</v>
      </c>
      <c r="E1733" t="n">
        <v>38548</v>
      </c>
      <c r="F1733" s="6" t="n">
        <v>9.800000000000001</v>
      </c>
      <c r="G1733" t="n">
        <v>1</v>
      </c>
      <c r="H1733" s="6">
        <f>ROUND(G1733*F1733,2)</f>
        <v/>
      </c>
      <c r="I1733">
        <f>IF(ROUND(H1733-D1733,2)=0,1,0)</f>
        <v/>
      </c>
      <c r="J1733">
        <f>IF(F1733="","none",IF(G1733=1,"carte","multiple"))</f>
        <v/>
      </c>
    </row>
    <row r="1734">
      <c r="A1734" t="inlineStr">
        <is>
          <t>2022-06-10</t>
        </is>
      </c>
      <c r="B1734" t="inlineStr">
        <is>
          <t>11:59</t>
        </is>
      </c>
      <c r="C1734" t="n">
        <v>2980</v>
      </c>
      <c r="D1734" s="6" t="n">
        <v>4.4</v>
      </c>
      <c r="E1734" t="n">
        <v>38549</v>
      </c>
      <c r="F1734" s="6" t="n">
        <v>0.4</v>
      </c>
      <c r="G1734" t="n">
        <v>11</v>
      </c>
      <c r="H1734" s="6">
        <f>ROUND(G1734*F1734,2)</f>
        <v/>
      </c>
      <c r="I1734">
        <f>IF(ROUND(H1734-D1734,2)=0,1,0)</f>
        <v/>
      </c>
      <c r="J1734">
        <f>IF(F1734="","none",IF(G1734=1,"carte","multiple"))</f>
        <v/>
      </c>
    </row>
    <row r="1735">
      <c r="A1735" t="inlineStr">
        <is>
          <t>2022-06-10</t>
        </is>
      </c>
      <c r="B1735" t="inlineStr">
        <is>
          <t>11:59</t>
        </is>
      </c>
      <c r="C1735" t="n">
        <v>2980</v>
      </c>
      <c r="D1735" s="6" t="n">
        <v>9.4</v>
      </c>
      <c r="E1735" t="n">
        <v>38550</v>
      </c>
      <c r="F1735" s="6" t="n">
        <v>9.4</v>
      </c>
      <c r="G1735" t="n">
        <v>1</v>
      </c>
      <c r="H1735" s="6">
        <f>ROUND(G1735*F1735,2)</f>
        <v/>
      </c>
      <c r="I1735">
        <f>IF(ROUND(H1735-D1735,2)=0,1,0)</f>
        <v/>
      </c>
      <c r="J1735">
        <f>IF(F1735="","none",IF(G1735=1,"carte","multiple"))</f>
        <v/>
      </c>
    </row>
    <row r="1736">
      <c r="A1736" t="inlineStr">
        <is>
          <t>2022-06-10</t>
        </is>
      </c>
      <c r="B1736" t="inlineStr">
        <is>
          <t>11:59</t>
        </is>
      </c>
      <c r="C1736" t="n">
        <v>2980</v>
      </c>
      <c r="D1736" s="6" t="n">
        <v>4.7</v>
      </c>
      <c r="E1736" t="n">
        <v>38551</v>
      </c>
      <c r="F1736" s="6" t="n">
        <v>4.7</v>
      </c>
      <c r="G1736" t="n">
        <v>1</v>
      </c>
      <c r="H1736" s="6">
        <f>ROUND(G1736*F1736,2)</f>
        <v/>
      </c>
      <c r="I1736">
        <f>IF(ROUND(H1736-D1736,2)=0,1,0)</f>
        <v/>
      </c>
      <c r="J1736">
        <f>IF(F1736="","none",IF(G1736=1,"carte","multiple"))</f>
        <v/>
      </c>
    </row>
    <row r="1737">
      <c r="A1737" t="inlineStr">
        <is>
          <t>2022-06-10</t>
        </is>
      </c>
      <c r="B1737" t="inlineStr">
        <is>
          <t>11:59</t>
        </is>
      </c>
      <c r="C1737" t="n">
        <v>2980</v>
      </c>
      <c r="D1737" s="6" t="n">
        <v>17.6</v>
      </c>
      <c r="E1737" t="n">
        <v>38552</v>
      </c>
      <c r="F1737" s="6" t="n">
        <v>17.6</v>
      </c>
      <c r="G1737" t="n">
        <v>1</v>
      </c>
      <c r="H1737" s="6">
        <f>ROUND(G1737*F1737,2)</f>
        <v/>
      </c>
      <c r="I1737">
        <f>IF(ROUND(H1737-D1737,2)=0,1,0)</f>
        <v/>
      </c>
      <c r="J1737">
        <f>IF(F1737="","none",IF(G1737=1,"carte","multiple"))</f>
        <v/>
      </c>
    </row>
    <row r="1738">
      <c r="A1738" t="inlineStr">
        <is>
          <t>2022-06-10</t>
        </is>
      </c>
      <c r="B1738" t="inlineStr">
        <is>
          <t>11:59</t>
        </is>
      </c>
      <c r="C1738" t="n">
        <v>2980</v>
      </c>
      <c r="D1738" s="6" t="n">
        <v>15.9</v>
      </c>
      <c r="E1738" t="n">
        <v>38553</v>
      </c>
      <c r="F1738" s="6" t="n">
        <v>15.9</v>
      </c>
      <c r="G1738" t="n">
        <v>1</v>
      </c>
      <c r="H1738" s="6">
        <f>ROUND(G1738*F1738,2)</f>
        <v/>
      </c>
      <c r="I1738">
        <f>IF(ROUND(H1738-D1738,2)=0,1,0)</f>
        <v/>
      </c>
      <c r="J1738">
        <f>IF(F1738="","none",IF(G1738=1,"carte","multiple"))</f>
        <v/>
      </c>
    </row>
    <row r="1739">
      <c r="A1739" t="inlineStr">
        <is>
          <t>2022-06-10</t>
        </is>
      </c>
      <c r="B1739" t="inlineStr">
        <is>
          <t>11:59</t>
        </is>
      </c>
      <c r="C1739" t="n">
        <v>2980</v>
      </c>
      <c r="D1739" s="6" t="n">
        <v>19</v>
      </c>
      <c r="E1739" t="n">
        <v>38554</v>
      </c>
      <c r="F1739" s="6" t="n">
        <v>19</v>
      </c>
      <c r="G1739" t="n">
        <v>1</v>
      </c>
      <c r="H1739" s="6">
        <f>ROUND(G1739*F1739,2)</f>
        <v/>
      </c>
      <c r="I1739">
        <f>IF(ROUND(H1739-D1739,2)=0,1,0)</f>
        <v/>
      </c>
      <c r="J1739">
        <f>IF(F1739="","none",IF(G1739=1,"carte","multiple"))</f>
        <v/>
      </c>
    </row>
    <row r="1740">
      <c r="A1740" t="inlineStr">
        <is>
          <t>2022-06-10</t>
        </is>
      </c>
      <c r="B1740" t="inlineStr">
        <is>
          <t>11:59</t>
        </is>
      </c>
      <c r="C1740" t="n">
        <v>2980</v>
      </c>
      <c r="D1740" s="6" t="n">
        <v>5.9</v>
      </c>
      <c r="E1740" t="n">
        <v>38555</v>
      </c>
      <c r="F1740" s="6" t="n">
        <v>5.9</v>
      </c>
      <c r="G1740" t="n">
        <v>1</v>
      </c>
      <c r="H1740" s="6">
        <f>ROUND(G1740*F1740,2)</f>
        <v/>
      </c>
      <c r="I1740">
        <f>IF(ROUND(H1740-D1740,2)=0,1,0)</f>
        <v/>
      </c>
      <c r="J1740">
        <f>IF(F1740="","none",IF(G1740=1,"carte","multiple"))</f>
        <v/>
      </c>
    </row>
    <row r="1741">
      <c r="A1741" t="inlineStr">
        <is>
          <t>2022-06-10</t>
        </is>
      </c>
      <c r="B1741" t="inlineStr">
        <is>
          <t>12:27</t>
        </is>
      </c>
      <c r="C1741" t="n">
        <v>2980</v>
      </c>
      <c r="D1741" s="6" t="n">
        <v>3.9</v>
      </c>
      <c r="E1741" t="n">
        <v>38556</v>
      </c>
      <c r="F1741" s="6" t="n">
        <v>3.9</v>
      </c>
      <c r="G1741" t="n">
        <v>1</v>
      </c>
      <c r="H1741" s="6">
        <f>ROUND(G1741*F1741,2)</f>
        <v/>
      </c>
      <c r="I1741">
        <f>IF(ROUND(H1741-D1741,2)=0,1,0)</f>
        <v/>
      </c>
      <c r="J1741">
        <f>IF(F1741="","none",IF(G1741=1,"carte","multiple"))</f>
        <v/>
      </c>
    </row>
    <row r="1742">
      <c r="A1742" t="inlineStr">
        <is>
          <t>2022-06-10</t>
        </is>
      </c>
      <c r="B1742" t="inlineStr">
        <is>
          <t>12:27</t>
        </is>
      </c>
      <c r="C1742" t="n">
        <v>2980</v>
      </c>
      <c r="D1742" s="6" t="n">
        <v>2</v>
      </c>
      <c r="E1742" t="n">
        <v>38557</v>
      </c>
      <c r="F1742" s="6" t="n">
        <v>2</v>
      </c>
      <c r="G1742" t="n">
        <v>1</v>
      </c>
      <c r="H1742" s="6">
        <f>ROUND(G1742*F1742,2)</f>
        <v/>
      </c>
      <c r="I1742">
        <f>IF(ROUND(H1742-D1742,2)=0,1,0)</f>
        <v/>
      </c>
      <c r="J1742">
        <f>IF(F1742="","none",IF(G1742=1,"carte","multiple"))</f>
        <v/>
      </c>
    </row>
    <row r="1743">
      <c r="A1743" t="inlineStr">
        <is>
          <t>2022-06-10</t>
        </is>
      </c>
      <c r="B1743" t="inlineStr">
        <is>
          <t>12:27</t>
        </is>
      </c>
      <c r="C1743" t="n">
        <v>2980</v>
      </c>
      <c r="D1743" s="6" t="n">
        <v>8.300000000000001</v>
      </c>
      <c r="E1743" t="n">
        <v>38558</v>
      </c>
      <c r="F1743" s="6" t="n">
        <v>8.300000000000001</v>
      </c>
      <c r="G1743" t="n">
        <v>1</v>
      </c>
      <c r="H1743" s="6">
        <f>ROUND(G1743*F1743,2)</f>
        <v/>
      </c>
      <c r="I1743">
        <f>IF(ROUND(H1743-D1743,2)=0,1,0)</f>
        <v/>
      </c>
      <c r="J1743">
        <f>IF(F1743="","none",IF(G1743=1,"carte","multiple"))</f>
        <v/>
      </c>
    </row>
    <row r="1744">
      <c r="A1744" t="inlineStr">
        <is>
          <t>2022-06-10</t>
        </is>
      </c>
      <c r="B1744" t="inlineStr">
        <is>
          <t>12:27</t>
        </is>
      </c>
      <c r="C1744" t="n">
        <v>2980</v>
      </c>
      <c r="D1744" s="6" t="n">
        <v>3.8</v>
      </c>
      <c r="E1744" t="n">
        <v>38559</v>
      </c>
      <c r="F1744" s="6" t="n">
        <v>3.8</v>
      </c>
      <c r="G1744" t="n">
        <v>1</v>
      </c>
      <c r="H1744" s="6">
        <f>ROUND(G1744*F1744,2)</f>
        <v/>
      </c>
      <c r="I1744">
        <f>IF(ROUND(H1744-D1744,2)=0,1,0)</f>
        <v/>
      </c>
      <c r="J1744">
        <f>IF(F1744="","none",IF(G1744=1,"carte","multiple"))</f>
        <v/>
      </c>
    </row>
    <row r="1745">
      <c r="A1745" t="inlineStr">
        <is>
          <t>2022-06-10</t>
        </is>
      </c>
      <c r="B1745" t="inlineStr">
        <is>
          <t>12:27</t>
        </is>
      </c>
      <c r="C1745" t="n">
        <v>2980</v>
      </c>
      <c r="D1745" s="6" t="n">
        <v>3.6</v>
      </c>
      <c r="E1745" t="n">
        <v>38560</v>
      </c>
      <c r="F1745" s="6" t="n">
        <v>3.6</v>
      </c>
      <c r="G1745" t="n">
        <v>1</v>
      </c>
      <c r="H1745" s="6">
        <f>ROUND(G1745*F1745,2)</f>
        <v/>
      </c>
      <c r="I1745">
        <f>IF(ROUND(H1745-D1745,2)=0,1,0)</f>
        <v/>
      </c>
      <c r="J1745">
        <f>IF(F1745="","none",IF(G1745=1,"carte","multiple"))</f>
        <v/>
      </c>
    </row>
    <row r="1746">
      <c r="A1746" t="inlineStr">
        <is>
          <t>2022-06-10</t>
        </is>
      </c>
      <c r="B1746" t="inlineStr">
        <is>
          <t>12:27</t>
        </is>
      </c>
      <c r="C1746" t="n">
        <v>2980</v>
      </c>
      <c r="D1746" s="6" t="n">
        <v>33.8</v>
      </c>
      <c r="E1746" t="n">
        <v>38561</v>
      </c>
      <c r="F1746" s="6" t="n">
        <v>16.9</v>
      </c>
      <c r="G1746" t="n">
        <v>2</v>
      </c>
      <c r="H1746" s="6">
        <f>ROUND(G1746*F1746,2)</f>
        <v/>
      </c>
      <c r="I1746">
        <f>IF(ROUND(H1746-D1746,2)=0,1,0)</f>
        <v/>
      </c>
      <c r="J1746">
        <f>IF(F1746="","none",IF(G1746=1,"carte","multiple"))</f>
        <v/>
      </c>
    </row>
    <row r="1747">
      <c r="A1747" t="inlineStr">
        <is>
          <t>2022-06-10</t>
        </is>
      </c>
      <c r="B1747" t="inlineStr">
        <is>
          <t>12:27</t>
        </is>
      </c>
      <c r="C1747" t="n">
        <v>2980</v>
      </c>
      <c r="D1747" s="6" t="n">
        <v>4</v>
      </c>
      <c r="E1747" t="n">
        <v>38562</v>
      </c>
      <c r="F1747" s="6" t="n">
        <v>4</v>
      </c>
      <c r="G1747" t="n">
        <v>1</v>
      </c>
      <c r="H1747" s="6">
        <f>ROUND(G1747*F1747,2)</f>
        <v/>
      </c>
      <c r="I1747">
        <f>IF(ROUND(H1747-D1747,2)=0,1,0)</f>
        <v/>
      </c>
      <c r="J1747">
        <f>IF(F1747="","none",IF(G1747=1,"carte","multiple"))</f>
        <v/>
      </c>
    </row>
    <row r="1748">
      <c r="A1748" t="inlineStr">
        <is>
          <t>2022-06-10</t>
        </is>
      </c>
      <c r="B1748" t="inlineStr">
        <is>
          <t>12:27</t>
        </is>
      </c>
      <c r="C1748" t="n">
        <v>2980</v>
      </c>
      <c r="D1748" s="6" t="n">
        <v>4.2</v>
      </c>
      <c r="E1748" t="n">
        <v>38563</v>
      </c>
      <c r="F1748" s="6" t="n">
        <v>4.2</v>
      </c>
      <c r="G1748" t="n">
        <v>1</v>
      </c>
      <c r="H1748" s="6">
        <f>ROUND(G1748*F1748,2)</f>
        <v/>
      </c>
      <c r="I1748">
        <f>IF(ROUND(H1748-D1748,2)=0,1,0)</f>
        <v/>
      </c>
      <c r="J1748">
        <f>IF(F1748="","none",IF(G1748=1,"carte","multiple"))</f>
        <v/>
      </c>
    </row>
    <row r="1749">
      <c r="A1749" t="inlineStr">
        <is>
          <t>2022-06-10</t>
        </is>
      </c>
      <c r="B1749" t="inlineStr">
        <is>
          <t>18:02</t>
        </is>
      </c>
      <c r="C1749" t="n">
        <v>2980</v>
      </c>
      <c r="D1749" s="6" t="n">
        <v>2.9</v>
      </c>
      <c r="E1749" t="n">
        <v>38565</v>
      </c>
      <c r="F1749" s="6" t="n">
        <v>2.9</v>
      </c>
      <c r="G1749" t="n">
        <v>1</v>
      </c>
      <c r="H1749" s="6">
        <f>ROUND(G1749*F1749,2)</f>
        <v/>
      </c>
      <c r="I1749">
        <f>IF(ROUND(H1749-D1749,2)=0,1,0)</f>
        <v/>
      </c>
      <c r="J1749">
        <f>IF(F1749="","none",IF(G1749=1,"carte","multiple"))</f>
        <v/>
      </c>
    </row>
    <row r="1750">
      <c r="A1750" t="inlineStr">
        <is>
          <t>2022-06-10</t>
        </is>
      </c>
      <c r="B1750" t="inlineStr">
        <is>
          <t>18:54</t>
        </is>
      </c>
      <c r="C1750" t="n">
        <v>2980</v>
      </c>
      <c r="D1750" s="6" t="n">
        <v>3.9</v>
      </c>
      <c r="E1750" t="n">
        <v>38566</v>
      </c>
      <c r="F1750" s="6" t="n">
        <v>3.9</v>
      </c>
      <c r="G1750" t="n">
        <v>1</v>
      </c>
      <c r="H1750" s="6">
        <f>ROUND(G1750*F1750,2)</f>
        <v/>
      </c>
      <c r="I1750">
        <f>IF(ROUND(H1750-D1750,2)=0,1,0)</f>
        <v/>
      </c>
      <c r="J1750">
        <f>IF(F1750="","none",IF(G1750=1,"carte","multiple"))</f>
        <v/>
      </c>
    </row>
    <row r="1751">
      <c r="A1751" t="inlineStr">
        <is>
          <t>2022-06-10</t>
        </is>
      </c>
      <c r="B1751" t="inlineStr">
        <is>
          <t>19:04</t>
        </is>
      </c>
      <c r="C1751" t="n">
        <v>2980</v>
      </c>
      <c r="D1751" s="6" t="n">
        <v>19</v>
      </c>
      <c r="E1751" t="n">
        <v>38567</v>
      </c>
      <c r="F1751" s="6" t="n">
        <v>19</v>
      </c>
      <c r="G1751" t="n">
        <v>1</v>
      </c>
      <c r="H1751" s="6">
        <f>ROUND(G1751*F1751,2)</f>
        <v/>
      </c>
      <c r="I1751">
        <f>IF(ROUND(H1751-D1751,2)=0,1,0)</f>
        <v/>
      </c>
      <c r="J1751">
        <f>IF(F1751="","none",IF(G1751=1,"carte","multiple"))</f>
        <v/>
      </c>
    </row>
    <row r="1752">
      <c r="A1752" t="inlineStr">
        <is>
          <t>2022-06-10</t>
        </is>
      </c>
      <c r="B1752" t="inlineStr">
        <is>
          <t>19:04</t>
        </is>
      </c>
      <c r="C1752" t="n">
        <v>2980</v>
      </c>
      <c r="D1752" s="6" t="n">
        <v>17.6</v>
      </c>
      <c r="E1752" t="n">
        <v>38568</v>
      </c>
      <c r="F1752" s="6" t="n">
        <v>17.6</v>
      </c>
      <c r="G1752" t="n">
        <v>1</v>
      </c>
      <c r="H1752" s="6">
        <f>ROUND(G1752*F1752,2)</f>
        <v/>
      </c>
      <c r="I1752">
        <f>IF(ROUND(H1752-D1752,2)=0,1,0)</f>
        <v/>
      </c>
      <c r="J1752">
        <f>IF(F1752="","none",IF(G1752=1,"carte","multiple"))</f>
        <v/>
      </c>
    </row>
    <row r="1753">
      <c r="A1753" t="inlineStr">
        <is>
          <t>2022-06-10</t>
        </is>
      </c>
      <c r="B1753" t="inlineStr">
        <is>
          <t>19:04</t>
        </is>
      </c>
      <c r="C1753" t="n">
        <v>2980</v>
      </c>
      <c r="D1753" s="6" t="n">
        <v>19.2</v>
      </c>
      <c r="E1753" t="n">
        <v>38569</v>
      </c>
      <c r="F1753" s="6" t="n">
        <v>0.4</v>
      </c>
      <c r="G1753" t="n">
        <v>48</v>
      </c>
      <c r="H1753" s="6">
        <f>ROUND(G1753*F1753,2)</f>
        <v/>
      </c>
      <c r="I1753">
        <f>IF(ROUND(H1753-D1753,2)=0,1,0)</f>
        <v/>
      </c>
      <c r="J1753">
        <f>IF(F1753="","none",IF(G1753=1,"carte","multiple"))</f>
        <v/>
      </c>
    </row>
    <row r="1754">
      <c r="A1754" t="inlineStr">
        <is>
          <t>2022-06-10</t>
        </is>
      </c>
      <c r="B1754" t="inlineStr">
        <is>
          <t>19:04</t>
        </is>
      </c>
      <c r="C1754" t="n">
        <v>2980</v>
      </c>
      <c r="D1754" s="6" t="n">
        <v>39.5</v>
      </c>
      <c r="E1754" t="n">
        <v>38570</v>
      </c>
      <c r="F1754" s="6" t="n">
        <v>39.5</v>
      </c>
      <c r="G1754" t="n">
        <v>1</v>
      </c>
      <c r="H1754" s="6">
        <f>ROUND(G1754*F1754,2)</f>
        <v/>
      </c>
      <c r="I1754">
        <f>IF(ROUND(H1754-D1754,2)=0,1,0)</f>
        <v/>
      </c>
      <c r="J1754">
        <f>IF(F1754="","none",IF(G1754=1,"carte","multiple"))</f>
        <v/>
      </c>
    </row>
    <row r="1755">
      <c r="A1755" t="inlineStr">
        <is>
          <t>2022-06-10</t>
        </is>
      </c>
      <c r="B1755" t="inlineStr">
        <is>
          <t>19:04</t>
        </is>
      </c>
      <c r="C1755" t="n">
        <v>2980</v>
      </c>
      <c r="D1755" s="6" t="n">
        <v>4</v>
      </c>
      <c r="E1755" t="n">
        <v>38571</v>
      </c>
      <c r="F1755" s="6" t="n">
        <v>4</v>
      </c>
      <c r="G1755" t="n">
        <v>1</v>
      </c>
      <c r="H1755" s="6">
        <f>ROUND(G1755*F1755,2)</f>
        <v/>
      </c>
      <c r="I1755">
        <f>IF(ROUND(H1755-D1755,2)=0,1,0)</f>
        <v/>
      </c>
      <c r="J1755">
        <f>IF(F1755="","none",IF(G1755=1,"carte","multiple"))</f>
        <v/>
      </c>
    </row>
    <row r="1756">
      <c r="A1756" t="inlineStr">
        <is>
          <t>2022-06-10</t>
        </is>
      </c>
      <c r="B1756" t="inlineStr">
        <is>
          <t>19:04</t>
        </is>
      </c>
      <c r="C1756" t="n">
        <v>2980</v>
      </c>
      <c r="D1756" s="6" t="n">
        <v>3.8</v>
      </c>
      <c r="E1756" t="n">
        <v>38572</v>
      </c>
      <c r="F1756" s="6" t="n">
        <v>3.8</v>
      </c>
      <c r="G1756" t="n">
        <v>1</v>
      </c>
      <c r="H1756" s="6">
        <f>ROUND(G1756*F1756,2)</f>
        <v/>
      </c>
      <c r="I1756">
        <f>IF(ROUND(H1756-D1756,2)=0,1,0)</f>
        <v/>
      </c>
      <c r="J1756">
        <f>IF(F1756="","none",IF(G1756=1,"carte","multiple"))</f>
        <v/>
      </c>
    </row>
    <row r="1757">
      <c r="A1757" t="inlineStr">
        <is>
          <t>2022-06-10</t>
        </is>
      </c>
      <c r="B1757" t="inlineStr">
        <is>
          <t>19:14</t>
        </is>
      </c>
      <c r="C1757" t="n">
        <v>2980</v>
      </c>
      <c r="D1757" s="6" t="n">
        <v>1.8</v>
      </c>
      <c r="E1757" t="n">
        <v>38573</v>
      </c>
      <c r="F1757" s="6" t="n">
        <v>1.8</v>
      </c>
      <c r="G1757" t="n">
        <v>1</v>
      </c>
      <c r="H1757" s="6">
        <f>ROUND(G1757*F1757,2)</f>
        <v/>
      </c>
      <c r="I1757">
        <f>IF(ROUND(H1757-D1757,2)=0,1,0)</f>
        <v/>
      </c>
      <c r="J1757">
        <f>IF(F1757="","none",IF(G1757=1,"carte","multiple"))</f>
        <v/>
      </c>
    </row>
    <row r="1758">
      <c r="A1758" t="inlineStr">
        <is>
          <t>2022-06-10</t>
        </is>
      </c>
      <c r="B1758" t="inlineStr">
        <is>
          <t>19:14</t>
        </is>
      </c>
      <c r="C1758" t="n">
        <v>2980</v>
      </c>
      <c r="D1758" s="6" t="n">
        <v>3.9</v>
      </c>
      <c r="E1758" t="n">
        <v>38574</v>
      </c>
      <c r="F1758" s="6" t="n">
        <v>3.9</v>
      </c>
      <c r="G1758" t="n">
        <v>1</v>
      </c>
      <c r="H1758" s="6">
        <f>ROUND(G1758*F1758,2)</f>
        <v/>
      </c>
      <c r="I1758">
        <f>IF(ROUND(H1758-D1758,2)=0,1,0)</f>
        <v/>
      </c>
      <c r="J1758">
        <f>IF(F1758="","none",IF(G1758=1,"carte","multiple"))</f>
        <v/>
      </c>
    </row>
    <row r="1759">
      <c r="A1759" t="inlineStr">
        <is>
          <t>2022-06-10</t>
        </is>
      </c>
      <c r="B1759" t="inlineStr">
        <is>
          <t>19:14</t>
        </is>
      </c>
      <c r="C1759" t="n">
        <v>2980</v>
      </c>
      <c r="D1759" s="6" t="n">
        <v>2.2</v>
      </c>
      <c r="E1759" t="n">
        <v>38575</v>
      </c>
      <c r="F1759" s="6" t="n">
        <v>2.2</v>
      </c>
      <c r="G1759" t="n">
        <v>1</v>
      </c>
      <c r="H1759" s="6">
        <f>ROUND(G1759*F1759,2)</f>
        <v/>
      </c>
      <c r="I1759">
        <f>IF(ROUND(H1759-D1759,2)=0,1,0)</f>
        <v/>
      </c>
      <c r="J1759">
        <f>IF(F1759="","none",IF(G1759=1,"carte","multiple"))</f>
        <v/>
      </c>
    </row>
    <row r="1760">
      <c r="A1760" t="inlineStr">
        <is>
          <t>2022-06-10</t>
        </is>
      </c>
      <c r="B1760" t="inlineStr">
        <is>
          <t>19:14</t>
        </is>
      </c>
      <c r="C1760" t="n">
        <v>2980</v>
      </c>
      <c r="D1760" s="6" t="n">
        <v>28.6</v>
      </c>
      <c r="E1760" t="n">
        <v>38576</v>
      </c>
      <c r="F1760" s="6" t="n">
        <v>28.6</v>
      </c>
      <c r="G1760" t="n">
        <v>1</v>
      </c>
      <c r="H1760" s="6">
        <f>ROUND(G1760*F1760,2)</f>
        <v/>
      </c>
      <c r="I1760">
        <f>IF(ROUND(H1760-D1760,2)=0,1,0)</f>
        <v/>
      </c>
      <c r="J1760">
        <f>IF(F1760="","none",IF(G1760=1,"carte","multiple"))</f>
        <v/>
      </c>
    </row>
    <row r="1761">
      <c r="A1761" t="inlineStr">
        <is>
          <t>2022-06-10</t>
        </is>
      </c>
      <c r="B1761" t="inlineStr">
        <is>
          <t>19:14</t>
        </is>
      </c>
      <c r="C1761" t="n">
        <v>2980</v>
      </c>
      <c r="D1761" s="6" t="n">
        <v>17.6</v>
      </c>
      <c r="E1761" t="n">
        <v>38577</v>
      </c>
      <c r="F1761" s="6" t="n">
        <v>17.6</v>
      </c>
      <c r="G1761" t="n">
        <v>1</v>
      </c>
      <c r="H1761" s="6">
        <f>ROUND(G1761*F1761,2)</f>
        <v/>
      </c>
      <c r="I1761">
        <f>IF(ROUND(H1761-D1761,2)=0,1,0)</f>
        <v/>
      </c>
      <c r="J1761">
        <f>IF(F1761="","none",IF(G1761=1,"carte","multiple"))</f>
        <v/>
      </c>
    </row>
    <row r="1762">
      <c r="A1762" t="inlineStr">
        <is>
          <t>2022-06-10</t>
        </is>
      </c>
      <c r="B1762" t="inlineStr">
        <is>
          <t>19:14</t>
        </is>
      </c>
      <c r="C1762" t="n">
        <v>2980</v>
      </c>
      <c r="D1762" s="6" t="n">
        <v>8.9</v>
      </c>
      <c r="E1762" t="n">
        <v>38578</v>
      </c>
      <c r="F1762" s="6" t="n">
        <v>8.9</v>
      </c>
      <c r="G1762" t="n">
        <v>1</v>
      </c>
      <c r="H1762" s="6">
        <f>ROUND(G1762*F1762,2)</f>
        <v/>
      </c>
      <c r="I1762">
        <f>IF(ROUND(H1762-D1762,2)=0,1,0)</f>
        <v/>
      </c>
      <c r="J1762">
        <f>IF(F1762="","none",IF(G1762=1,"carte","multiple"))</f>
        <v/>
      </c>
    </row>
    <row r="1763">
      <c r="A1763" t="inlineStr">
        <is>
          <t>2022-06-10</t>
        </is>
      </c>
      <c r="B1763" t="inlineStr">
        <is>
          <t>19:14</t>
        </is>
      </c>
      <c r="C1763" t="n">
        <v>2980</v>
      </c>
      <c r="D1763" s="6" t="n">
        <v>9.6</v>
      </c>
      <c r="E1763" t="n">
        <v>38579</v>
      </c>
      <c r="F1763" s="6" t="n">
        <v>9.6</v>
      </c>
      <c r="G1763" t="n">
        <v>1</v>
      </c>
      <c r="H1763" s="6">
        <f>ROUND(G1763*F1763,2)</f>
        <v/>
      </c>
      <c r="I1763">
        <f>IF(ROUND(H1763-D1763,2)=0,1,0)</f>
        <v/>
      </c>
      <c r="J1763">
        <f>IF(F1763="","none",IF(G1763=1,"carte","multiple"))</f>
        <v/>
      </c>
    </row>
    <row r="1764">
      <c r="A1764" t="inlineStr">
        <is>
          <t>2022-06-10</t>
        </is>
      </c>
      <c r="B1764" t="inlineStr">
        <is>
          <t>19:14</t>
        </is>
      </c>
      <c r="C1764" t="n">
        <v>2980</v>
      </c>
      <c r="D1764" s="6" t="n">
        <v>39.5</v>
      </c>
      <c r="E1764" t="n">
        <v>38580</v>
      </c>
      <c r="F1764" s="6" t="n">
        <v>39.5</v>
      </c>
      <c r="G1764" t="n">
        <v>1</v>
      </c>
      <c r="H1764" s="6">
        <f>ROUND(G1764*F1764,2)</f>
        <v/>
      </c>
      <c r="I1764">
        <f>IF(ROUND(H1764-D1764,2)=0,1,0)</f>
        <v/>
      </c>
      <c r="J1764">
        <f>IF(F1764="","none",IF(G1764=1,"carte","multiple"))</f>
        <v/>
      </c>
    </row>
    <row r="1765">
      <c r="A1765" t="inlineStr">
        <is>
          <t>2022-06-10</t>
        </is>
      </c>
      <c r="B1765" t="inlineStr">
        <is>
          <t>19:14</t>
        </is>
      </c>
      <c r="C1765" t="n">
        <v>2980</v>
      </c>
      <c r="D1765" s="6" t="n">
        <v>9.800000000000001</v>
      </c>
      <c r="E1765" t="n">
        <v>38581</v>
      </c>
      <c r="F1765" s="6" t="n">
        <v>9.800000000000001</v>
      </c>
      <c r="G1765" t="n">
        <v>1</v>
      </c>
      <c r="H1765" s="6">
        <f>ROUND(G1765*F1765,2)</f>
        <v/>
      </c>
      <c r="I1765">
        <f>IF(ROUND(H1765-D1765,2)=0,1,0)</f>
        <v/>
      </c>
      <c r="J1765">
        <f>IF(F1765="","none",IF(G1765=1,"carte","multiple"))</f>
        <v/>
      </c>
    </row>
    <row r="1766">
      <c r="A1766" t="inlineStr">
        <is>
          <t>2022-06-10</t>
        </is>
      </c>
      <c r="B1766" t="inlineStr">
        <is>
          <t>19:15</t>
        </is>
      </c>
      <c r="C1766" t="n">
        <v>2980</v>
      </c>
      <c r="D1766" s="6" t="n">
        <v>3.9</v>
      </c>
      <c r="E1766" t="n">
        <v>38582</v>
      </c>
      <c r="F1766" s="6" t="n">
        <v>3.9</v>
      </c>
      <c r="G1766" t="n">
        <v>1</v>
      </c>
      <c r="H1766" s="6">
        <f>ROUND(G1766*F1766,2)</f>
        <v/>
      </c>
      <c r="I1766">
        <f>IF(ROUND(H1766-D1766,2)=0,1,0)</f>
        <v/>
      </c>
      <c r="J1766">
        <f>IF(F1766="","none",IF(G1766=1,"carte","multiple"))</f>
        <v/>
      </c>
    </row>
    <row r="1767">
      <c r="A1767" t="inlineStr">
        <is>
          <t>2022-06-10</t>
        </is>
      </c>
      <c r="B1767" t="inlineStr">
        <is>
          <t>19:20</t>
        </is>
      </c>
      <c r="C1767" t="n">
        <v>2980</v>
      </c>
      <c r="D1767" s="6" t="n">
        <v>2.2</v>
      </c>
      <c r="E1767" t="n">
        <v>38583</v>
      </c>
      <c r="F1767" s="6" t="n">
        <v>2.2</v>
      </c>
      <c r="G1767" t="n">
        <v>1</v>
      </c>
      <c r="H1767" s="6">
        <f>ROUND(G1767*F1767,2)</f>
        <v/>
      </c>
      <c r="I1767">
        <f>IF(ROUND(H1767-D1767,2)=0,1,0)</f>
        <v/>
      </c>
      <c r="J1767">
        <f>IF(F1767="","none",IF(G1767=1,"carte","multiple"))</f>
        <v/>
      </c>
    </row>
    <row r="1768">
      <c r="A1768" t="inlineStr">
        <is>
          <t>2022-06-10</t>
        </is>
      </c>
      <c r="B1768" t="inlineStr">
        <is>
          <t>19:38</t>
        </is>
      </c>
      <c r="C1768" t="n">
        <v>2980</v>
      </c>
      <c r="D1768" s="6" t="n">
        <v>17.6</v>
      </c>
      <c r="E1768" t="n">
        <v>38584</v>
      </c>
      <c r="F1768" s="6" t="n">
        <v>17.6</v>
      </c>
      <c r="G1768" t="n">
        <v>1</v>
      </c>
      <c r="H1768" s="6">
        <f>ROUND(G1768*F1768,2)</f>
        <v/>
      </c>
      <c r="I1768">
        <f>IF(ROUND(H1768-D1768,2)=0,1,0)</f>
        <v/>
      </c>
      <c r="J1768">
        <f>IF(F1768="","none",IF(G1768=1,"carte","multiple"))</f>
        <v/>
      </c>
    </row>
    <row r="1769">
      <c r="A1769" t="inlineStr">
        <is>
          <t>2022-06-10</t>
        </is>
      </c>
      <c r="B1769" t="inlineStr">
        <is>
          <t>19:38</t>
        </is>
      </c>
      <c r="C1769" t="n">
        <v>2980</v>
      </c>
      <c r="D1769" s="6" t="n">
        <v>19.9</v>
      </c>
      <c r="E1769" t="n">
        <v>38585</v>
      </c>
      <c r="F1769" s="6" t="n">
        <v>19.9</v>
      </c>
      <c r="G1769" t="n">
        <v>1</v>
      </c>
      <c r="H1769" s="6">
        <f>ROUND(G1769*F1769,2)</f>
        <v/>
      </c>
      <c r="I1769">
        <f>IF(ROUND(H1769-D1769,2)=0,1,0)</f>
        <v/>
      </c>
      <c r="J1769">
        <f>IF(F1769="","none",IF(G1769=1,"carte","multiple"))</f>
        <v/>
      </c>
    </row>
    <row r="1770">
      <c r="A1770" t="inlineStr">
        <is>
          <t>2022-06-10</t>
        </is>
      </c>
      <c r="B1770" t="inlineStr">
        <is>
          <t>19:38</t>
        </is>
      </c>
      <c r="C1770" t="n">
        <v>2980</v>
      </c>
      <c r="D1770" s="6" t="n">
        <v>8.9</v>
      </c>
      <c r="E1770" t="n">
        <v>38586</v>
      </c>
      <c r="F1770" s="6" t="n">
        <v>8.9</v>
      </c>
      <c r="G1770" t="n">
        <v>1</v>
      </c>
      <c r="H1770" s="6">
        <f>ROUND(G1770*F1770,2)</f>
        <v/>
      </c>
      <c r="I1770">
        <f>IF(ROUND(H1770-D1770,2)=0,1,0)</f>
        <v/>
      </c>
      <c r="J1770">
        <f>IF(F1770="","none",IF(G1770=1,"carte","multiple"))</f>
        <v/>
      </c>
    </row>
    <row r="1771">
      <c r="A1771" t="inlineStr">
        <is>
          <t>2022-06-10</t>
        </is>
      </c>
      <c r="B1771" t="inlineStr">
        <is>
          <t>19:38</t>
        </is>
      </c>
      <c r="C1771" t="n">
        <v>2980</v>
      </c>
      <c r="D1771" s="6" t="n">
        <v>9.6</v>
      </c>
      <c r="E1771" t="n">
        <v>38587</v>
      </c>
      <c r="F1771" s="6" t="n">
        <v>9.6</v>
      </c>
      <c r="G1771" t="n">
        <v>1</v>
      </c>
      <c r="H1771" s="6">
        <f>ROUND(G1771*F1771,2)</f>
        <v/>
      </c>
      <c r="I1771">
        <f>IF(ROUND(H1771-D1771,2)=0,1,0)</f>
        <v/>
      </c>
      <c r="J1771">
        <f>IF(F1771="","none",IF(G1771=1,"carte","multiple"))</f>
        <v/>
      </c>
    </row>
    <row r="1772">
      <c r="A1772" t="inlineStr">
        <is>
          <t>2022-06-10</t>
        </is>
      </c>
      <c r="B1772" t="inlineStr">
        <is>
          <t>19:38</t>
        </is>
      </c>
      <c r="C1772" t="n">
        <v>2980</v>
      </c>
      <c r="D1772" s="6" t="n">
        <v>9.800000000000001</v>
      </c>
      <c r="E1772" t="n">
        <v>38588</v>
      </c>
      <c r="F1772" s="6" t="n">
        <v>9.800000000000001</v>
      </c>
      <c r="G1772" t="n">
        <v>1</v>
      </c>
      <c r="H1772" s="6">
        <f>ROUND(G1772*F1772,2)</f>
        <v/>
      </c>
      <c r="I1772">
        <f>IF(ROUND(H1772-D1772,2)=0,1,0)</f>
        <v/>
      </c>
      <c r="J1772">
        <f>IF(F1772="","none",IF(G1772=1,"carte","multiple"))</f>
        <v/>
      </c>
    </row>
    <row r="1773">
      <c r="A1773" t="inlineStr">
        <is>
          <t>2022-06-10</t>
        </is>
      </c>
      <c r="B1773" t="inlineStr">
        <is>
          <t>19:48</t>
        </is>
      </c>
      <c r="C1773" t="n">
        <v>2980</v>
      </c>
      <c r="D1773" s="6" t="n">
        <v>90</v>
      </c>
      <c r="E1773" t="n">
        <v>38589</v>
      </c>
      <c r="F1773" s="6" t="n">
        <v>0.4</v>
      </c>
      <c r="G1773" t="n">
        <v>225</v>
      </c>
      <c r="H1773" s="6">
        <f>ROUND(G1773*F1773,2)</f>
        <v/>
      </c>
      <c r="I1773">
        <f>IF(ROUND(H1773-D1773,2)=0,1,0)</f>
        <v/>
      </c>
      <c r="J1773">
        <f>IF(F1773="","none",IF(G1773=1,"carte","multiple"))</f>
        <v/>
      </c>
    </row>
    <row r="1774">
      <c r="A1774" t="inlineStr">
        <is>
          <t>2022-06-10</t>
        </is>
      </c>
      <c r="B1774" t="inlineStr">
        <is>
          <t>20:13</t>
        </is>
      </c>
      <c r="C1774" t="n">
        <v>2980</v>
      </c>
      <c r="D1774" s="6" t="n">
        <v>7.8</v>
      </c>
      <c r="E1774" t="n">
        <v>38590</v>
      </c>
      <c r="F1774" s="6" t="n">
        <v>7.8</v>
      </c>
      <c r="G1774" t="n">
        <v>1</v>
      </c>
      <c r="H1774" s="6">
        <f>ROUND(G1774*F1774,2)</f>
        <v/>
      </c>
      <c r="I1774">
        <f>IF(ROUND(H1774-D1774,2)=0,1,0)</f>
        <v/>
      </c>
      <c r="J1774">
        <f>IF(F1774="","none",IF(G1774=1,"carte","multiple"))</f>
        <v/>
      </c>
    </row>
    <row r="1775">
      <c r="A1775" t="inlineStr">
        <is>
          <t>2022-06-10</t>
        </is>
      </c>
      <c r="B1775" t="inlineStr">
        <is>
          <t>20:13</t>
        </is>
      </c>
      <c r="C1775" t="n">
        <v>2980</v>
      </c>
      <c r="D1775" s="6" t="n">
        <v>19</v>
      </c>
      <c r="E1775" t="n">
        <v>38591</v>
      </c>
      <c r="F1775" s="6" t="n">
        <v>19</v>
      </c>
      <c r="G1775" t="n">
        <v>1</v>
      </c>
      <c r="H1775" s="6">
        <f>ROUND(G1775*F1775,2)</f>
        <v/>
      </c>
      <c r="I1775">
        <f>IF(ROUND(H1775-D1775,2)=0,1,0)</f>
        <v/>
      </c>
      <c r="J1775">
        <f>IF(F1775="","none",IF(G1775=1,"carte","multiple"))</f>
        <v/>
      </c>
    </row>
    <row r="1776">
      <c r="A1776" t="inlineStr">
        <is>
          <t>2022-06-10</t>
        </is>
      </c>
      <c r="B1776" t="inlineStr">
        <is>
          <t>20:13</t>
        </is>
      </c>
      <c r="C1776" t="n">
        <v>2980</v>
      </c>
      <c r="D1776" s="6" t="n">
        <v>27.8</v>
      </c>
      <c r="E1776" t="n">
        <v>38592</v>
      </c>
      <c r="F1776" s="6" t="n">
        <v>27.8</v>
      </c>
      <c r="G1776" t="n">
        <v>1</v>
      </c>
      <c r="H1776" s="6">
        <f>ROUND(G1776*F1776,2)</f>
        <v/>
      </c>
      <c r="I1776">
        <f>IF(ROUND(H1776-D1776,2)=0,1,0)</f>
        <v/>
      </c>
      <c r="J1776">
        <f>IF(F1776="","none",IF(G1776=1,"carte","multiple"))</f>
        <v/>
      </c>
    </row>
    <row r="1777">
      <c r="A1777" t="inlineStr">
        <is>
          <t>2022-06-10</t>
        </is>
      </c>
      <c r="B1777" t="inlineStr">
        <is>
          <t>20:13</t>
        </is>
      </c>
      <c r="C1777" t="n">
        <v>2980</v>
      </c>
      <c r="D1777" s="6" t="n">
        <v>39.8</v>
      </c>
      <c r="E1777" t="n">
        <v>38593</v>
      </c>
      <c r="F1777" s="6" t="n">
        <v>39.8</v>
      </c>
      <c r="G1777" t="n">
        <v>1</v>
      </c>
      <c r="H1777" s="6">
        <f>ROUND(G1777*F1777,2)</f>
        <v/>
      </c>
      <c r="I1777">
        <f>IF(ROUND(H1777-D1777,2)=0,1,0)</f>
        <v/>
      </c>
      <c r="J1777">
        <f>IF(F1777="","none",IF(G1777=1,"carte","multiple"))</f>
        <v/>
      </c>
    </row>
    <row r="1778">
      <c r="A1778" t="inlineStr">
        <is>
          <t>2022-06-10</t>
        </is>
      </c>
      <c r="B1778" t="inlineStr">
        <is>
          <t>20:13</t>
        </is>
      </c>
      <c r="C1778" t="n">
        <v>2980</v>
      </c>
      <c r="D1778" s="6" t="n">
        <v>8.9</v>
      </c>
      <c r="E1778" t="n">
        <v>38594</v>
      </c>
      <c r="F1778" s="6" t="n">
        <v>8.9</v>
      </c>
      <c r="G1778" t="n">
        <v>1</v>
      </c>
      <c r="H1778" s="6">
        <f>ROUND(G1778*F1778,2)</f>
        <v/>
      </c>
      <c r="I1778">
        <f>IF(ROUND(H1778-D1778,2)=0,1,0)</f>
        <v/>
      </c>
      <c r="J1778">
        <f>IF(F1778="","none",IF(G1778=1,"carte","multiple"))</f>
        <v/>
      </c>
    </row>
    <row r="1779">
      <c r="A1779" t="inlineStr">
        <is>
          <t>2022-06-10</t>
        </is>
      </c>
      <c r="B1779" t="inlineStr">
        <is>
          <t>20:13</t>
        </is>
      </c>
      <c r="C1779" t="n">
        <v>2980</v>
      </c>
      <c r="D1779" s="6" t="n">
        <v>9.6</v>
      </c>
      <c r="E1779" t="n">
        <v>38595</v>
      </c>
      <c r="F1779" s="6" t="n">
        <v>9.6</v>
      </c>
      <c r="G1779" t="n">
        <v>1</v>
      </c>
      <c r="H1779" s="6">
        <f>ROUND(G1779*F1779,2)</f>
        <v/>
      </c>
      <c r="I1779">
        <f>IF(ROUND(H1779-D1779,2)=0,1,0)</f>
        <v/>
      </c>
      <c r="J1779">
        <f>IF(F1779="","none",IF(G1779=1,"carte","multiple"))</f>
        <v/>
      </c>
    </row>
    <row r="1780">
      <c r="A1780" t="inlineStr">
        <is>
          <t>2022-06-10</t>
        </is>
      </c>
      <c r="B1780" t="inlineStr">
        <is>
          <t>20:13</t>
        </is>
      </c>
      <c r="C1780" t="n">
        <v>2980</v>
      </c>
      <c r="D1780" s="6" t="n">
        <v>5.8</v>
      </c>
      <c r="E1780" t="n">
        <v>38596</v>
      </c>
      <c r="F1780" s="6" t="n">
        <v>5.8</v>
      </c>
      <c r="G1780" t="n">
        <v>1</v>
      </c>
      <c r="H1780" s="6">
        <f>ROUND(G1780*F1780,2)</f>
        <v/>
      </c>
      <c r="I1780">
        <f>IF(ROUND(H1780-D1780,2)=0,1,0)</f>
        <v/>
      </c>
      <c r="J1780">
        <f>IF(F1780="","none",IF(G1780=1,"carte","multiple"))</f>
        <v/>
      </c>
    </row>
    <row r="1781">
      <c r="A1781" t="inlineStr">
        <is>
          <t>2022-06-10</t>
        </is>
      </c>
      <c r="B1781" t="inlineStr">
        <is>
          <t>20:13</t>
        </is>
      </c>
      <c r="C1781" t="n">
        <v>2980</v>
      </c>
      <c r="D1781" s="6" t="n">
        <v>15.6</v>
      </c>
      <c r="E1781" t="n">
        <v>38597</v>
      </c>
      <c r="F1781" s="6" t="n">
        <v>15.6</v>
      </c>
      <c r="G1781" t="n">
        <v>1</v>
      </c>
      <c r="H1781" s="6">
        <f>ROUND(G1781*F1781,2)</f>
        <v/>
      </c>
      <c r="I1781">
        <f>IF(ROUND(H1781-D1781,2)=0,1,0)</f>
        <v/>
      </c>
      <c r="J1781">
        <f>IF(F1781="","none",IF(G1781=1,"carte","multiple"))</f>
        <v/>
      </c>
    </row>
    <row r="1782">
      <c r="A1782" t="inlineStr">
        <is>
          <t>2022-06-10</t>
        </is>
      </c>
      <c r="B1782" t="inlineStr">
        <is>
          <t>20:13</t>
        </is>
      </c>
      <c r="C1782" t="n">
        <v>2980</v>
      </c>
      <c r="D1782" s="6" t="n">
        <v>3.9</v>
      </c>
      <c r="E1782" t="n">
        <v>38598</v>
      </c>
      <c r="F1782" s="6" t="n">
        <v>3.9</v>
      </c>
      <c r="G1782" t="n">
        <v>1</v>
      </c>
      <c r="H1782" s="6">
        <f>ROUND(G1782*F1782,2)</f>
        <v/>
      </c>
      <c r="I1782">
        <f>IF(ROUND(H1782-D1782,2)=0,1,0)</f>
        <v/>
      </c>
      <c r="J1782">
        <f>IF(F1782="","none",IF(G1782=1,"carte","multiple"))</f>
        <v/>
      </c>
    </row>
    <row r="1783">
      <c r="A1783" t="inlineStr">
        <is>
          <t>2022-06-11</t>
        </is>
      </c>
      <c r="B1783" t="inlineStr">
        <is>
          <t>11:56</t>
        </is>
      </c>
      <c r="C1783" t="n">
        <v>2981</v>
      </c>
      <c r="D1783" s="6" t="n">
        <v>14.4</v>
      </c>
      <c r="E1783" t="n">
        <v>38601</v>
      </c>
      <c r="F1783" s="6" t="n">
        <v>0.4</v>
      </c>
      <c r="G1783" t="n">
        <v>36</v>
      </c>
      <c r="H1783" s="6">
        <f>ROUND(G1783*F1783,2)</f>
        <v/>
      </c>
      <c r="I1783">
        <f>IF(ROUND(H1783-D1783,2)=0,1,0)</f>
        <v/>
      </c>
      <c r="J1783">
        <f>IF(F1783="","none",IF(G1783=1,"carte","multiple"))</f>
        <v/>
      </c>
    </row>
    <row r="1784">
      <c r="A1784" t="inlineStr">
        <is>
          <t>2022-06-11</t>
        </is>
      </c>
      <c r="B1784" t="inlineStr">
        <is>
          <t>11:56</t>
        </is>
      </c>
      <c r="C1784" t="n">
        <v>2981</v>
      </c>
      <c r="D1784" s="6" t="n">
        <v>15</v>
      </c>
      <c r="E1784" t="n">
        <v>38602</v>
      </c>
      <c r="F1784" s="6" t="n">
        <v>15</v>
      </c>
      <c r="G1784" t="n">
        <v>1</v>
      </c>
      <c r="H1784" s="6">
        <f>ROUND(G1784*F1784,2)</f>
        <v/>
      </c>
      <c r="I1784">
        <f>IF(ROUND(H1784-D1784,2)=0,1,0)</f>
        <v/>
      </c>
      <c r="J1784">
        <f>IF(F1784="","none",IF(G1784=1,"carte","multiple"))</f>
        <v/>
      </c>
    </row>
    <row r="1785">
      <c r="A1785" t="inlineStr">
        <is>
          <t>2022-06-11</t>
        </is>
      </c>
      <c r="B1785" t="inlineStr">
        <is>
          <t>11:56</t>
        </is>
      </c>
      <c r="C1785" t="n">
        <v>2981</v>
      </c>
      <c r="D1785" s="6" t="n">
        <v>23</v>
      </c>
      <c r="E1785" t="n">
        <v>38603</v>
      </c>
      <c r="F1785" s="6" t="n">
        <v>23</v>
      </c>
      <c r="G1785" t="n">
        <v>1</v>
      </c>
      <c r="H1785" s="6">
        <f>ROUND(G1785*F1785,2)</f>
        <v/>
      </c>
      <c r="I1785">
        <f>IF(ROUND(H1785-D1785,2)=0,1,0)</f>
        <v/>
      </c>
      <c r="J1785">
        <f>IF(F1785="","none",IF(G1785=1,"carte","multiple"))</f>
        <v/>
      </c>
    </row>
    <row r="1786">
      <c r="A1786" t="inlineStr">
        <is>
          <t>2022-06-11</t>
        </is>
      </c>
      <c r="B1786" t="inlineStr">
        <is>
          <t>11:56</t>
        </is>
      </c>
      <c r="C1786" t="n">
        <v>2981</v>
      </c>
      <c r="D1786" s="6" t="n">
        <v>4.4</v>
      </c>
      <c r="E1786" t="n">
        <v>38604</v>
      </c>
      <c r="F1786" s="6" t="n">
        <v>0.4</v>
      </c>
      <c r="G1786" t="n">
        <v>11</v>
      </c>
      <c r="H1786" s="6">
        <f>ROUND(G1786*F1786,2)</f>
        <v/>
      </c>
      <c r="I1786">
        <f>IF(ROUND(H1786-D1786,2)=0,1,0)</f>
        <v/>
      </c>
      <c r="J1786">
        <f>IF(F1786="","none",IF(G1786=1,"carte","multiple"))</f>
        <v/>
      </c>
    </row>
    <row r="1787">
      <c r="A1787" t="inlineStr">
        <is>
          <t>2022-06-11</t>
        </is>
      </c>
      <c r="B1787" t="inlineStr">
        <is>
          <t>11:58</t>
        </is>
      </c>
      <c r="C1787" t="n">
        <v>2981</v>
      </c>
      <c r="D1787" s="6" t="n">
        <v>19</v>
      </c>
      <c r="E1787" t="n">
        <v>38605</v>
      </c>
      <c r="F1787" s="6" t="n">
        <v>19</v>
      </c>
      <c r="G1787" t="n">
        <v>1</v>
      </c>
      <c r="H1787" s="6">
        <f>ROUND(G1787*F1787,2)</f>
        <v/>
      </c>
      <c r="I1787">
        <f>IF(ROUND(H1787-D1787,2)=0,1,0)</f>
        <v/>
      </c>
      <c r="J1787">
        <f>IF(F1787="","none",IF(G1787=1,"carte","multiple"))</f>
        <v/>
      </c>
    </row>
    <row r="1788">
      <c r="A1788" t="inlineStr">
        <is>
          <t>2022-06-11</t>
        </is>
      </c>
      <c r="B1788" t="inlineStr">
        <is>
          <t>11:58</t>
        </is>
      </c>
      <c r="C1788" t="n">
        <v>2981</v>
      </c>
      <c r="D1788" s="6" t="n">
        <v>19</v>
      </c>
      <c r="E1788" t="n">
        <v>38606</v>
      </c>
      <c r="F1788" s="6" t="n">
        <v>19</v>
      </c>
      <c r="G1788" t="n">
        <v>1</v>
      </c>
      <c r="H1788" s="6">
        <f>ROUND(G1788*F1788,2)</f>
        <v/>
      </c>
      <c r="I1788">
        <f>IF(ROUND(H1788-D1788,2)=0,1,0)</f>
        <v/>
      </c>
      <c r="J1788">
        <f>IF(F1788="","none",IF(G1788=1,"carte","multiple"))</f>
        <v/>
      </c>
    </row>
    <row r="1789">
      <c r="A1789" t="inlineStr">
        <is>
          <t>2022-06-11</t>
        </is>
      </c>
      <c r="B1789" t="inlineStr">
        <is>
          <t>11:58</t>
        </is>
      </c>
      <c r="C1789" t="n">
        <v>2981</v>
      </c>
      <c r="D1789" s="6" t="n">
        <v>3.9</v>
      </c>
      <c r="E1789" t="n">
        <v>38607</v>
      </c>
      <c r="F1789" s="6" t="n">
        <v>3.9</v>
      </c>
      <c r="G1789" t="n">
        <v>1</v>
      </c>
      <c r="H1789" s="6">
        <f>ROUND(G1789*F1789,2)</f>
        <v/>
      </c>
      <c r="I1789">
        <f>IF(ROUND(H1789-D1789,2)=0,1,0)</f>
        <v/>
      </c>
      <c r="J1789">
        <f>IF(F1789="","none",IF(G1789=1,"carte","multiple"))</f>
        <v/>
      </c>
    </row>
    <row r="1790">
      <c r="A1790" t="inlineStr">
        <is>
          <t>2022-06-11</t>
        </is>
      </c>
      <c r="B1790" t="inlineStr">
        <is>
          <t>11:58</t>
        </is>
      </c>
      <c r="C1790" t="n">
        <v>2981</v>
      </c>
      <c r="D1790" s="6" t="n">
        <v>4.2</v>
      </c>
      <c r="E1790" t="n">
        <v>38608</v>
      </c>
      <c r="F1790" s="6" t="n">
        <v>4.2</v>
      </c>
      <c r="G1790" t="n">
        <v>1</v>
      </c>
      <c r="H1790" s="6">
        <f>ROUND(G1790*F1790,2)</f>
        <v/>
      </c>
      <c r="I1790">
        <f>IF(ROUND(H1790-D1790,2)=0,1,0)</f>
        <v/>
      </c>
      <c r="J1790">
        <f>IF(F1790="","none",IF(G1790=1,"carte","multiple"))</f>
        <v/>
      </c>
    </row>
    <row r="1791">
      <c r="A1791" t="inlineStr">
        <is>
          <t>2022-06-11</t>
        </is>
      </c>
      <c r="B1791" t="inlineStr">
        <is>
          <t>12:01</t>
        </is>
      </c>
      <c r="C1791" t="n">
        <v>2981</v>
      </c>
      <c r="D1791" s="6" t="n">
        <v>31.8</v>
      </c>
      <c r="E1791" t="n">
        <v>38609</v>
      </c>
      <c r="F1791" s="6" t="n">
        <v>31.8</v>
      </c>
      <c r="G1791" t="n">
        <v>1</v>
      </c>
      <c r="H1791" s="6">
        <f>ROUND(G1791*F1791,2)</f>
        <v/>
      </c>
      <c r="I1791">
        <f>IF(ROUND(H1791-D1791,2)=0,1,0)</f>
        <v/>
      </c>
      <c r="J1791">
        <f>IF(F1791="","none",IF(G1791=1,"carte","multiple"))</f>
        <v/>
      </c>
    </row>
    <row r="1792">
      <c r="A1792" t="inlineStr">
        <is>
          <t>2022-06-11</t>
        </is>
      </c>
      <c r="B1792" t="inlineStr">
        <is>
          <t>12:01</t>
        </is>
      </c>
      <c r="C1792" t="n">
        <v>2981</v>
      </c>
      <c r="D1792" s="6" t="n">
        <v>3.9</v>
      </c>
      <c r="E1792" t="n">
        <v>38610</v>
      </c>
      <c r="F1792" s="6" t="n">
        <v>3.9</v>
      </c>
      <c r="G1792" t="n">
        <v>1</v>
      </c>
      <c r="H1792" s="6">
        <f>ROUND(G1792*F1792,2)</f>
        <v/>
      </c>
      <c r="I1792">
        <f>IF(ROUND(H1792-D1792,2)=0,1,0)</f>
        <v/>
      </c>
      <c r="J1792">
        <f>IF(F1792="","none",IF(G1792=1,"carte","multiple"))</f>
        <v/>
      </c>
    </row>
    <row r="1793">
      <c r="A1793" t="inlineStr">
        <is>
          <t>2022-06-11</t>
        </is>
      </c>
      <c r="B1793" t="inlineStr">
        <is>
          <t>12:01</t>
        </is>
      </c>
      <c r="C1793" t="n">
        <v>2981</v>
      </c>
      <c r="D1793" s="6" t="n">
        <v>7</v>
      </c>
      <c r="E1793" t="n">
        <v>38611</v>
      </c>
      <c r="F1793" s="6" t="n">
        <v>7</v>
      </c>
      <c r="G1793" t="n">
        <v>1</v>
      </c>
      <c r="H1793" s="6">
        <f>ROUND(G1793*F1793,2)</f>
        <v/>
      </c>
      <c r="I1793">
        <f>IF(ROUND(H1793-D1793,2)=0,1,0)</f>
        <v/>
      </c>
      <c r="J1793">
        <f>IF(F1793="","none",IF(G1793=1,"carte","multiple"))</f>
        <v/>
      </c>
    </row>
    <row r="1794">
      <c r="A1794" t="inlineStr">
        <is>
          <t>2022-06-11</t>
        </is>
      </c>
      <c r="B1794" t="inlineStr">
        <is>
          <t>12:16</t>
        </is>
      </c>
      <c r="C1794" t="n">
        <v>2981</v>
      </c>
      <c r="D1794" s="6" t="n">
        <v>9.800000000000001</v>
      </c>
      <c r="E1794" t="n">
        <v>38612</v>
      </c>
      <c r="F1794" s="6" t="n">
        <v>9.800000000000001</v>
      </c>
      <c r="G1794" t="n">
        <v>1</v>
      </c>
      <c r="H1794" s="6">
        <f>ROUND(G1794*F1794,2)</f>
        <v/>
      </c>
      <c r="I1794">
        <f>IF(ROUND(H1794-D1794,2)=0,1,0)</f>
        <v/>
      </c>
      <c r="J1794">
        <f>IF(F1794="","none",IF(G1794=1,"carte","multiple"))</f>
        <v/>
      </c>
    </row>
    <row r="1795">
      <c r="A1795" t="inlineStr">
        <is>
          <t>2022-06-11</t>
        </is>
      </c>
      <c r="B1795" t="inlineStr">
        <is>
          <t>12:16</t>
        </is>
      </c>
      <c r="C1795" t="n">
        <v>2981</v>
      </c>
      <c r="D1795" s="6" t="n">
        <v>3.9</v>
      </c>
      <c r="E1795" t="n">
        <v>38613</v>
      </c>
      <c r="F1795" s="6" t="n">
        <v>3.9</v>
      </c>
      <c r="G1795" t="n">
        <v>1</v>
      </c>
      <c r="H1795" s="6">
        <f>ROUND(G1795*F1795,2)</f>
        <v/>
      </c>
      <c r="I1795">
        <f>IF(ROUND(H1795-D1795,2)=0,1,0)</f>
        <v/>
      </c>
      <c r="J1795">
        <f>IF(F1795="","none",IF(G1795=1,"carte","multiple"))</f>
        <v/>
      </c>
    </row>
    <row r="1796">
      <c r="A1796" t="inlineStr">
        <is>
          <t>2022-06-11</t>
        </is>
      </c>
      <c r="B1796" t="inlineStr">
        <is>
          <t>12:16</t>
        </is>
      </c>
      <c r="C1796" t="n">
        <v>2981</v>
      </c>
      <c r="D1796" s="6" t="n">
        <v>29.8</v>
      </c>
      <c r="E1796" t="n">
        <v>38614</v>
      </c>
      <c r="F1796" s="6" t="n">
        <v>14.9</v>
      </c>
      <c r="G1796" t="n">
        <v>2</v>
      </c>
      <c r="H1796" s="6">
        <f>ROUND(G1796*F1796,2)</f>
        <v/>
      </c>
      <c r="I1796">
        <f>IF(ROUND(H1796-D1796,2)=0,1,0)</f>
        <v/>
      </c>
      <c r="J1796">
        <f>IF(F1796="","none",IF(G1796=1,"carte","multiple"))</f>
        <v/>
      </c>
    </row>
    <row r="1797">
      <c r="A1797" t="inlineStr">
        <is>
          <t>2022-06-11</t>
        </is>
      </c>
      <c r="B1797" t="inlineStr">
        <is>
          <t>12:16</t>
        </is>
      </c>
      <c r="C1797" t="n">
        <v>2981</v>
      </c>
      <c r="D1797" s="6" t="n">
        <v>3.9</v>
      </c>
      <c r="E1797" t="n">
        <v>38615</v>
      </c>
      <c r="F1797" s="6" t="n">
        <v>3.9</v>
      </c>
      <c r="G1797" t="n">
        <v>1</v>
      </c>
      <c r="H1797" s="6">
        <f>ROUND(G1797*F1797,2)</f>
        <v/>
      </c>
      <c r="I1797">
        <f>IF(ROUND(H1797-D1797,2)=0,1,0)</f>
        <v/>
      </c>
      <c r="J1797">
        <f>IF(F1797="","none",IF(G1797=1,"carte","multiple"))</f>
        <v/>
      </c>
    </row>
    <row r="1798">
      <c r="A1798" t="inlineStr">
        <is>
          <t>2022-06-11</t>
        </is>
      </c>
      <c r="B1798" t="inlineStr">
        <is>
          <t>12:16</t>
        </is>
      </c>
      <c r="C1798" t="n">
        <v>2981</v>
      </c>
      <c r="D1798" s="6" t="n">
        <v>5.9</v>
      </c>
      <c r="E1798" t="n">
        <v>38616</v>
      </c>
      <c r="F1798" s="6" t="n">
        <v>5.9</v>
      </c>
      <c r="G1798" t="n">
        <v>1</v>
      </c>
      <c r="H1798" s="6">
        <f>ROUND(G1798*F1798,2)</f>
        <v/>
      </c>
      <c r="I1798">
        <f>IF(ROUND(H1798-D1798,2)=0,1,0)</f>
        <v/>
      </c>
      <c r="J1798">
        <f>IF(F1798="","none",IF(G1798=1,"carte","multiple"))</f>
        <v/>
      </c>
    </row>
    <row r="1799">
      <c r="A1799" t="inlineStr">
        <is>
          <t>2022-06-11</t>
        </is>
      </c>
      <c r="B1799" t="inlineStr">
        <is>
          <t>12:16</t>
        </is>
      </c>
      <c r="C1799" t="n">
        <v>2981</v>
      </c>
      <c r="D1799" s="6" t="n">
        <v>3.9</v>
      </c>
      <c r="E1799" t="n">
        <v>38617</v>
      </c>
      <c r="F1799" s="6" t="n">
        <v>3.9</v>
      </c>
      <c r="G1799" t="n">
        <v>1</v>
      </c>
      <c r="H1799" s="6">
        <f>ROUND(G1799*F1799,2)</f>
        <v/>
      </c>
      <c r="I1799">
        <f>IF(ROUND(H1799-D1799,2)=0,1,0)</f>
        <v/>
      </c>
      <c r="J1799">
        <f>IF(F1799="","none",IF(G1799=1,"carte","multiple"))</f>
        <v/>
      </c>
    </row>
    <row r="1800">
      <c r="A1800" t="inlineStr">
        <is>
          <t>2022-06-11</t>
        </is>
      </c>
      <c r="B1800" t="inlineStr">
        <is>
          <t>12:16</t>
        </is>
      </c>
      <c r="C1800" t="n">
        <v>2981</v>
      </c>
      <c r="D1800" s="6" t="n">
        <v>2.2</v>
      </c>
      <c r="E1800" t="n">
        <v>38618</v>
      </c>
      <c r="F1800" s="6" t="n">
        <v>2.2</v>
      </c>
      <c r="G1800" t="n">
        <v>1</v>
      </c>
      <c r="H1800" s="6">
        <f>ROUND(G1800*F1800,2)</f>
        <v/>
      </c>
      <c r="I1800">
        <f>IF(ROUND(H1800-D1800,2)=0,1,0)</f>
        <v/>
      </c>
      <c r="J1800">
        <f>IF(F1800="","none",IF(G1800=1,"carte","multiple"))</f>
        <v/>
      </c>
    </row>
    <row r="1801">
      <c r="A1801" t="inlineStr">
        <is>
          <t>2022-06-11</t>
        </is>
      </c>
      <c r="B1801" t="inlineStr">
        <is>
          <t>17:54</t>
        </is>
      </c>
      <c r="C1801" t="n">
        <v>2981</v>
      </c>
      <c r="D1801" s="6" t="n">
        <v>3.9</v>
      </c>
      <c r="E1801" t="n">
        <v>38619</v>
      </c>
      <c r="F1801" s="6" t="n">
        <v>3.9</v>
      </c>
      <c r="G1801" t="n">
        <v>1</v>
      </c>
      <c r="H1801" s="6">
        <f>ROUND(G1801*F1801,2)</f>
        <v/>
      </c>
      <c r="I1801">
        <f>IF(ROUND(H1801-D1801,2)=0,1,0)</f>
        <v/>
      </c>
      <c r="J1801">
        <f>IF(F1801="","none",IF(G1801=1,"carte","multiple"))</f>
        <v/>
      </c>
    </row>
    <row r="1802">
      <c r="A1802" t="inlineStr">
        <is>
          <t>2022-06-11</t>
        </is>
      </c>
      <c r="B1802" t="inlineStr">
        <is>
          <t>18:00</t>
        </is>
      </c>
      <c r="C1802" t="n">
        <v>2981</v>
      </c>
      <c r="D1802" s="6" t="n">
        <v>39.8</v>
      </c>
      <c r="E1802" t="n">
        <v>38620</v>
      </c>
      <c r="F1802" s="6" t="n">
        <v>39.8</v>
      </c>
      <c r="G1802" t="n">
        <v>1</v>
      </c>
      <c r="H1802" s="6">
        <f>ROUND(G1802*F1802,2)</f>
        <v/>
      </c>
      <c r="I1802">
        <f>IF(ROUND(H1802-D1802,2)=0,1,0)</f>
        <v/>
      </c>
      <c r="J1802">
        <f>IF(F1802="","none",IF(G1802=1,"carte","multiple"))</f>
        <v/>
      </c>
    </row>
    <row r="1803">
      <c r="A1803" t="inlineStr">
        <is>
          <t>2022-06-11</t>
        </is>
      </c>
      <c r="B1803" t="inlineStr">
        <is>
          <t>18:15</t>
        </is>
      </c>
      <c r="C1803" t="n">
        <v>2981</v>
      </c>
      <c r="D1803" s="6" t="n">
        <v>3.9</v>
      </c>
      <c r="E1803" t="n">
        <v>38621</v>
      </c>
      <c r="F1803" s="6" t="n">
        <v>3.9</v>
      </c>
      <c r="G1803" t="n">
        <v>1</v>
      </c>
      <c r="H1803" s="6">
        <f>ROUND(G1803*F1803,2)</f>
        <v/>
      </c>
      <c r="I1803">
        <f>IF(ROUND(H1803-D1803,2)=0,1,0)</f>
        <v/>
      </c>
      <c r="J1803">
        <f>IF(F1803="","none",IF(G1803=1,"carte","multiple"))</f>
        <v/>
      </c>
    </row>
    <row r="1804">
      <c r="A1804" t="inlineStr">
        <is>
          <t>2022-06-11</t>
        </is>
      </c>
      <c r="B1804" t="inlineStr">
        <is>
          <t>18:54</t>
        </is>
      </c>
      <c r="C1804" t="n">
        <v>2981</v>
      </c>
      <c r="D1804" s="6" t="n">
        <v>6.9</v>
      </c>
      <c r="E1804" t="n">
        <v>38622</v>
      </c>
      <c r="F1804" s="6" t="n">
        <v>6.9</v>
      </c>
      <c r="G1804" t="n">
        <v>1</v>
      </c>
      <c r="H1804" s="6">
        <f>ROUND(G1804*F1804,2)</f>
        <v/>
      </c>
      <c r="I1804">
        <f>IF(ROUND(H1804-D1804,2)=0,1,0)</f>
        <v/>
      </c>
      <c r="J1804">
        <f>IF(F1804="","none",IF(G1804=1,"carte","multiple"))</f>
        <v/>
      </c>
    </row>
    <row r="1805">
      <c r="A1805" t="inlineStr">
        <is>
          <t>2022-06-11</t>
        </is>
      </c>
      <c r="B1805" t="inlineStr">
        <is>
          <t>20:45</t>
        </is>
      </c>
      <c r="C1805" t="n">
        <v>2981</v>
      </c>
      <c r="D1805" s="6" t="n">
        <v>1.1</v>
      </c>
      <c r="E1805" t="n">
        <v>38623</v>
      </c>
      <c r="F1805" s="6" t="n">
        <v>1.1</v>
      </c>
      <c r="G1805" t="n">
        <v>1</v>
      </c>
      <c r="H1805" s="6">
        <f>ROUND(G1805*F1805,2)</f>
        <v/>
      </c>
      <c r="I1805">
        <f>IF(ROUND(H1805-D1805,2)=0,1,0)</f>
        <v/>
      </c>
      <c r="J1805">
        <f>IF(F1805="","none",IF(G1805=1,"carte","multiple"))</f>
        <v/>
      </c>
    </row>
    <row r="1806">
      <c r="A1806" t="inlineStr">
        <is>
          <t>2022-06-11</t>
        </is>
      </c>
      <c r="B1806" t="inlineStr">
        <is>
          <t>20:45</t>
        </is>
      </c>
      <c r="C1806" t="n">
        <v>2981</v>
      </c>
      <c r="D1806" s="6" t="n">
        <v>4.25</v>
      </c>
      <c r="E1806" t="n">
        <v>38624</v>
      </c>
      <c r="F1806" s="6" t="n">
        <v>4.25</v>
      </c>
      <c r="G1806" t="n">
        <v>1</v>
      </c>
      <c r="H1806" s="6">
        <f>ROUND(G1806*F1806,2)</f>
        <v/>
      </c>
      <c r="I1806">
        <f>IF(ROUND(H1806-D1806,2)=0,1,0)</f>
        <v/>
      </c>
      <c r="J1806">
        <f>IF(F1806="","none",IF(G1806=1,"carte","multiple"))</f>
        <v/>
      </c>
    </row>
    <row r="1807">
      <c r="A1807" t="inlineStr">
        <is>
          <t>2022-06-11</t>
        </is>
      </c>
      <c r="B1807" t="inlineStr">
        <is>
          <t>20:45</t>
        </is>
      </c>
      <c r="C1807" t="n">
        <v>2981</v>
      </c>
      <c r="D1807" s="6" t="n">
        <v>2.9</v>
      </c>
      <c r="E1807" t="n">
        <v>38625</v>
      </c>
      <c r="F1807" s="6" t="n">
        <v>2.9</v>
      </c>
      <c r="G1807" t="n">
        <v>1</v>
      </c>
      <c r="H1807" s="6">
        <f>ROUND(G1807*F1807,2)</f>
        <v/>
      </c>
      <c r="I1807">
        <f>IF(ROUND(H1807-D1807,2)=0,1,0)</f>
        <v/>
      </c>
      <c r="J1807">
        <f>IF(F1807="","none",IF(G1807=1,"carte","multiple"))</f>
        <v/>
      </c>
    </row>
    <row r="1808">
      <c r="A1808" t="inlineStr">
        <is>
          <t>2022-06-11</t>
        </is>
      </c>
      <c r="B1808" t="inlineStr">
        <is>
          <t>20:45</t>
        </is>
      </c>
      <c r="C1808" t="n">
        <v>2981</v>
      </c>
      <c r="D1808" s="6" t="n">
        <v>4.35</v>
      </c>
      <c r="E1808" t="n">
        <v>38626</v>
      </c>
      <c r="H1808" t="inlineStr"/>
      <c r="I1808" t="inlineStr"/>
      <c r="J1808">
        <f>IF(F1808="","none",IF(G1808=1,"carte","multiple"))</f>
        <v/>
      </c>
    </row>
    <row r="1809">
      <c r="A1809" t="inlineStr">
        <is>
          <t>2022-06-11</t>
        </is>
      </c>
      <c r="B1809" t="inlineStr">
        <is>
          <t>20:45</t>
        </is>
      </c>
      <c r="C1809" t="n">
        <v>2981</v>
      </c>
      <c r="D1809" s="6" t="n">
        <v>3.75</v>
      </c>
      <c r="E1809" t="n">
        <v>38627</v>
      </c>
      <c r="H1809" t="inlineStr"/>
      <c r="I1809" t="inlineStr"/>
      <c r="J1809">
        <f>IF(F1809="","none",IF(G1809=1,"carte","multiple"))</f>
        <v/>
      </c>
    </row>
    <row r="1810">
      <c r="A1810" t="inlineStr">
        <is>
          <t>2022-06-11</t>
        </is>
      </c>
      <c r="B1810" t="inlineStr">
        <is>
          <t>20:45</t>
        </is>
      </c>
      <c r="C1810" t="n">
        <v>2981</v>
      </c>
      <c r="D1810" s="6" t="n">
        <v>6.7</v>
      </c>
      <c r="E1810" t="n">
        <v>38628</v>
      </c>
      <c r="H1810" t="inlineStr"/>
      <c r="I1810" t="inlineStr"/>
      <c r="J1810">
        <f>IF(F1810="","none",IF(G1810=1,"carte","multiple"))</f>
        <v/>
      </c>
    </row>
    <row r="1811">
      <c r="A1811" t="inlineStr">
        <is>
          <t>2022-06-11</t>
        </is>
      </c>
      <c r="B1811" t="inlineStr">
        <is>
          <t>20:45</t>
        </is>
      </c>
      <c r="C1811" t="n">
        <v>2981</v>
      </c>
      <c r="D1811" s="6" t="n">
        <v>8.800000000000001</v>
      </c>
      <c r="E1811" t="n">
        <v>38629</v>
      </c>
      <c r="F1811" s="6" t="n">
        <v>8.800000000000001</v>
      </c>
      <c r="G1811" t="n">
        <v>1</v>
      </c>
      <c r="H1811" s="6">
        <f>ROUND(G1811*F1811,2)</f>
        <v/>
      </c>
      <c r="I1811">
        <f>IF(ROUND(H1811-D1811,2)=0,1,0)</f>
        <v/>
      </c>
      <c r="J1811">
        <f>IF(F1811="","none",IF(G1811=1,"carte","multiple"))</f>
        <v/>
      </c>
    </row>
    <row r="1812">
      <c r="A1812" t="inlineStr">
        <is>
          <t>2022-06-11</t>
        </is>
      </c>
      <c r="B1812" t="inlineStr">
        <is>
          <t>20:45</t>
        </is>
      </c>
      <c r="C1812" t="n">
        <v>2981</v>
      </c>
      <c r="D1812" s="6" t="n">
        <v>17.6</v>
      </c>
      <c r="E1812" t="n">
        <v>38630</v>
      </c>
      <c r="F1812" s="6" t="n">
        <v>17.6</v>
      </c>
      <c r="G1812" t="n">
        <v>1</v>
      </c>
      <c r="H1812" s="6">
        <f>ROUND(G1812*F1812,2)</f>
        <v/>
      </c>
      <c r="I1812">
        <f>IF(ROUND(H1812-D1812,2)=0,1,0)</f>
        <v/>
      </c>
      <c r="J1812">
        <f>IF(F1812="","none",IF(G1812=1,"carte","multiple"))</f>
        <v/>
      </c>
    </row>
    <row r="1813">
      <c r="A1813" t="inlineStr">
        <is>
          <t>2022-06-11</t>
        </is>
      </c>
      <c r="B1813" t="inlineStr">
        <is>
          <t>20:45</t>
        </is>
      </c>
      <c r="C1813" t="n">
        <v>2981</v>
      </c>
      <c r="D1813" s="6" t="n">
        <v>4.4</v>
      </c>
      <c r="E1813" t="n">
        <v>38631</v>
      </c>
      <c r="F1813" s="6" t="n">
        <v>0.4</v>
      </c>
      <c r="G1813" t="n">
        <v>11</v>
      </c>
      <c r="H1813" s="6">
        <f>ROUND(G1813*F1813,2)</f>
        <v/>
      </c>
      <c r="I1813">
        <f>IF(ROUND(H1813-D1813,2)=0,1,0)</f>
        <v/>
      </c>
      <c r="J1813">
        <f>IF(F1813="","none",IF(G1813=1,"carte","multiple"))</f>
        <v/>
      </c>
    </row>
    <row r="1814">
      <c r="A1814" t="inlineStr">
        <is>
          <t>2022-06-11</t>
        </is>
      </c>
      <c r="B1814" t="inlineStr">
        <is>
          <t>20:45</t>
        </is>
      </c>
      <c r="C1814" t="n">
        <v>2981</v>
      </c>
      <c r="D1814" s="6" t="n">
        <v>29.6</v>
      </c>
      <c r="E1814" t="n">
        <v>38632</v>
      </c>
      <c r="F1814" s="6" t="n">
        <v>29.6</v>
      </c>
      <c r="G1814" t="n">
        <v>1</v>
      </c>
      <c r="H1814" s="6">
        <f>ROUND(G1814*F1814,2)</f>
        <v/>
      </c>
      <c r="I1814">
        <f>IF(ROUND(H1814-D1814,2)=0,1,0)</f>
        <v/>
      </c>
      <c r="J1814">
        <f>IF(F1814="","none",IF(G1814=1,"carte","multiple"))</f>
        <v/>
      </c>
    </row>
    <row r="1815">
      <c r="A1815" t="inlineStr">
        <is>
          <t>2022-06-11</t>
        </is>
      </c>
      <c r="B1815" t="inlineStr">
        <is>
          <t>20:45</t>
        </is>
      </c>
      <c r="C1815" t="n">
        <v>2981</v>
      </c>
      <c r="D1815" s="6" t="n">
        <v>16.9</v>
      </c>
      <c r="E1815" t="n">
        <v>38633</v>
      </c>
      <c r="F1815" s="6" t="n">
        <v>16.9</v>
      </c>
      <c r="G1815" t="n">
        <v>1</v>
      </c>
      <c r="H1815" s="6">
        <f>ROUND(G1815*F1815,2)</f>
        <v/>
      </c>
      <c r="I1815">
        <f>IF(ROUND(H1815-D1815,2)=0,1,0)</f>
        <v/>
      </c>
      <c r="J1815">
        <f>IF(F1815="","none",IF(G1815=1,"carte","multiple"))</f>
        <v/>
      </c>
    </row>
    <row r="1816">
      <c r="A1816" t="inlineStr">
        <is>
          <t>2022-06-11</t>
        </is>
      </c>
      <c r="B1816" t="inlineStr">
        <is>
          <t>20:45</t>
        </is>
      </c>
      <c r="C1816" t="n">
        <v>2981</v>
      </c>
      <c r="D1816" s="6" t="n">
        <v>9.9</v>
      </c>
      <c r="E1816" t="n">
        <v>38634</v>
      </c>
      <c r="F1816" s="6" t="n">
        <v>9.9</v>
      </c>
      <c r="G1816" t="n">
        <v>1</v>
      </c>
      <c r="H1816" s="6">
        <f>ROUND(G1816*F1816,2)</f>
        <v/>
      </c>
      <c r="I1816">
        <f>IF(ROUND(H1816-D1816,2)=0,1,0)</f>
        <v/>
      </c>
      <c r="J1816">
        <f>IF(F1816="","none",IF(G1816=1,"carte","multiple"))</f>
        <v/>
      </c>
    </row>
    <row r="1817">
      <c r="A1817" t="inlineStr">
        <is>
          <t>2022-06-11</t>
        </is>
      </c>
      <c r="B1817" t="inlineStr">
        <is>
          <t>20:45</t>
        </is>
      </c>
      <c r="C1817" t="n">
        <v>2981</v>
      </c>
      <c r="D1817" s="6" t="n">
        <v>3.45</v>
      </c>
      <c r="E1817" t="n">
        <v>38635</v>
      </c>
      <c r="H1817" t="inlineStr"/>
      <c r="I1817" t="inlineStr"/>
      <c r="J1817">
        <f>IF(F1817="","none",IF(G1817=1,"carte","multiple"))</f>
        <v/>
      </c>
    </row>
    <row r="1818">
      <c r="A1818" t="inlineStr">
        <is>
          <t>2022-06-11</t>
        </is>
      </c>
      <c r="B1818" t="inlineStr">
        <is>
          <t>20:45</t>
        </is>
      </c>
      <c r="C1818" t="n">
        <v>2981</v>
      </c>
      <c r="D1818" s="6" t="n">
        <v>1.8</v>
      </c>
      <c r="E1818" t="n">
        <v>38636</v>
      </c>
      <c r="F1818" s="6" t="n">
        <v>1.8</v>
      </c>
      <c r="G1818" t="n">
        <v>1</v>
      </c>
      <c r="H1818" s="6">
        <f>ROUND(G1818*F1818,2)</f>
        <v/>
      </c>
      <c r="I1818">
        <f>IF(ROUND(H1818-D1818,2)=0,1,0)</f>
        <v/>
      </c>
      <c r="J1818">
        <f>IF(F1818="","none",IF(G1818=1,"carte","multiple"))</f>
        <v/>
      </c>
    </row>
    <row r="1819">
      <c r="A1819" t="inlineStr">
        <is>
          <t>2022-06-11</t>
        </is>
      </c>
      <c r="B1819" t="inlineStr">
        <is>
          <t>20:45</t>
        </is>
      </c>
      <c r="C1819" t="n">
        <v>2981</v>
      </c>
      <c r="D1819" s="6" t="n">
        <v>3.9</v>
      </c>
      <c r="E1819" t="n">
        <v>38637</v>
      </c>
      <c r="F1819" s="6" t="n">
        <v>3.9</v>
      </c>
      <c r="G1819" t="n">
        <v>1</v>
      </c>
      <c r="H1819" s="6">
        <f>ROUND(G1819*F1819,2)</f>
        <v/>
      </c>
      <c r="I1819">
        <f>IF(ROUND(H1819-D1819,2)=0,1,0)</f>
        <v/>
      </c>
      <c r="J1819">
        <f>IF(F1819="","none",IF(G1819=1,"carte","multiple"))</f>
        <v/>
      </c>
    </row>
    <row r="1820">
      <c r="A1820" t="inlineStr">
        <is>
          <t>2022-06-11</t>
        </is>
      </c>
      <c r="B1820" t="inlineStr">
        <is>
          <t>20:45</t>
        </is>
      </c>
      <c r="C1820" t="n">
        <v>2981</v>
      </c>
      <c r="D1820" s="6" t="n">
        <v>1.95</v>
      </c>
      <c r="E1820" t="n">
        <v>38638</v>
      </c>
      <c r="H1820" t="inlineStr"/>
      <c r="I1820" t="inlineStr"/>
      <c r="J1820">
        <f>IF(F1820="","none",IF(G1820=1,"carte","multiple"))</f>
        <v/>
      </c>
    </row>
    <row r="1821">
      <c r="A1821" t="inlineStr">
        <is>
          <t>2022-06-11</t>
        </is>
      </c>
      <c r="B1821" t="inlineStr">
        <is>
          <t>20:45</t>
        </is>
      </c>
      <c r="C1821" t="n">
        <v>2981</v>
      </c>
      <c r="D1821" s="6" t="n">
        <v>3.25</v>
      </c>
      <c r="E1821" t="n">
        <v>38639</v>
      </c>
      <c r="H1821" t="inlineStr"/>
      <c r="I1821" t="inlineStr"/>
      <c r="J1821">
        <f>IF(F1821="","none",IF(G1821=1,"carte","multiple"))</f>
        <v/>
      </c>
    </row>
    <row r="1822">
      <c r="A1822" t="inlineStr">
        <is>
          <t>2022-06-11</t>
        </is>
      </c>
      <c r="B1822" t="inlineStr">
        <is>
          <t>20:45</t>
        </is>
      </c>
      <c r="C1822" t="n">
        <v>2981</v>
      </c>
      <c r="D1822" s="6" t="n">
        <v>1.95</v>
      </c>
      <c r="E1822" t="n">
        <v>38640</v>
      </c>
      <c r="H1822" t="inlineStr"/>
      <c r="I1822" t="inlineStr"/>
      <c r="J1822">
        <f>IF(F1822="","none",IF(G1822=1,"carte","multiple"))</f>
        <v/>
      </c>
    </row>
    <row r="1823">
      <c r="A1823" t="inlineStr">
        <is>
          <t>2022-06-11</t>
        </is>
      </c>
      <c r="B1823" t="inlineStr">
        <is>
          <t>20:45</t>
        </is>
      </c>
      <c r="C1823" t="n">
        <v>2981</v>
      </c>
      <c r="D1823" s="6" t="n">
        <v>1.1</v>
      </c>
      <c r="E1823" t="n">
        <v>38641</v>
      </c>
      <c r="F1823" s="6" t="n">
        <v>1.1</v>
      </c>
      <c r="G1823" t="n">
        <v>1</v>
      </c>
      <c r="H1823" s="6">
        <f>ROUND(G1823*F1823,2)</f>
        <v/>
      </c>
      <c r="I1823">
        <f>IF(ROUND(H1823-D1823,2)=0,1,0)</f>
        <v/>
      </c>
      <c r="J1823">
        <f>IF(F1823="","none",IF(G1823=1,"carte","multiple"))</f>
        <v/>
      </c>
    </row>
    <row r="1824">
      <c r="A1824" t="inlineStr">
        <is>
          <t>2022-06-12</t>
        </is>
      </c>
      <c r="B1824" t="inlineStr">
        <is>
          <t>10:33</t>
        </is>
      </c>
      <c r="C1824" t="n">
        <v>2982</v>
      </c>
      <c r="D1824" s="6" t="n">
        <v>3.9</v>
      </c>
      <c r="E1824" t="n">
        <v>38644</v>
      </c>
      <c r="F1824" s="6" t="n">
        <v>3.9</v>
      </c>
      <c r="G1824" t="n">
        <v>1</v>
      </c>
      <c r="H1824" s="6">
        <f>ROUND(G1824*F1824,2)</f>
        <v/>
      </c>
      <c r="I1824">
        <f>IF(ROUND(H1824-D1824,2)=0,1,0)</f>
        <v/>
      </c>
      <c r="J1824">
        <f>IF(F1824="","none",IF(G1824=1,"carte","multiple"))</f>
        <v/>
      </c>
    </row>
    <row r="1825">
      <c r="A1825" t="inlineStr">
        <is>
          <t>2022-06-12</t>
        </is>
      </c>
      <c r="B1825" t="inlineStr">
        <is>
          <t>10:33</t>
        </is>
      </c>
      <c r="C1825" t="n">
        <v>2982</v>
      </c>
      <c r="D1825" s="6" t="n">
        <v>3.8</v>
      </c>
      <c r="E1825" t="n">
        <v>38645</v>
      </c>
      <c r="F1825" s="6" t="n">
        <v>3.8</v>
      </c>
      <c r="G1825" t="n">
        <v>1</v>
      </c>
      <c r="H1825" s="6">
        <f>ROUND(G1825*F1825,2)</f>
        <v/>
      </c>
      <c r="I1825">
        <f>IF(ROUND(H1825-D1825,2)=0,1,0)</f>
        <v/>
      </c>
      <c r="J1825">
        <f>IF(F1825="","none",IF(G1825=1,"carte","multiple"))</f>
        <v/>
      </c>
    </row>
    <row r="1826">
      <c r="A1826" t="inlineStr">
        <is>
          <t>2022-06-12</t>
        </is>
      </c>
      <c r="B1826" t="inlineStr">
        <is>
          <t>10:33</t>
        </is>
      </c>
      <c r="C1826" t="n">
        <v>2982</v>
      </c>
      <c r="D1826" s="6" t="n">
        <v>5.2</v>
      </c>
      <c r="E1826" t="n">
        <v>38646</v>
      </c>
      <c r="F1826" s="6" t="n">
        <v>5.2</v>
      </c>
      <c r="G1826" t="n">
        <v>1</v>
      </c>
      <c r="H1826" s="6">
        <f>ROUND(G1826*F1826,2)</f>
        <v/>
      </c>
      <c r="I1826">
        <f>IF(ROUND(H1826-D1826,2)=0,1,0)</f>
        <v/>
      </c>
      <c r="J1826">
        <f>IF(F1826="","none",IF(G1826=1,"carte","multiple"))</f>
        <v/>
      </c>
    </row>
    <row r="1827">
      <c r="A1827" t="inlineStr">
        <is>
          <t>2022-06-12</t>
        </is>
      </c>
      <c r="B1827" t="inlineStr">
        <is>
          <t>10:33</t>
        </is>
      </c>
      <c r="C1827" t="n">
        <v>2982</v>
      </c>
      <c r="D1827" s="6" t="n">
        <v>5.2</v>
      </c>
      <c r="E1827" t="n">
        <v>38647</v>
      </c>
      <c r="F1827" s="6" t="n">
        <v>5.2</v>
      </c>
      <c r="G1827" t="n">
        <v>1</v>
      </c>
      <c r="H1827" s="6">
        <f>ROUND(G1827*F1827,2)</f>
        <v/>
      </c>
      <c r="I1827">
        <f>IF(ROUND(H1827-D1827,2)=0,1,0)</f>
        <v/>
      </c>
      <c r="J1827">
        <f>IF(F1827="","none",IF(G1827=1,"carte","multiple"))</f>
        <v/>
      </c>
    </row>
    <row r="1828">
      <c r="A1828" t="inlineStr">
        <is>
          <t>2022-06-12</t>
        </is>
      </c>
      <c r="B1828" t="inlineStr">
        <is>
          <t>11:57</t>
        </is>
      </c>
      <c r="C1828" t="n">
        <v>2982</v>
      </c>
      <c r="D1828" s="6" t="n">
        <v>2.2</v>
      </c>
      <c r="E1828" t="n">
        <v>38648</v>
      </c>
      <c r="F1828" s="6" t="n">
        <v>2.2</v>
      </c>
      <c r="G1828" t="n">
        <v>1</v>
      </c>
      <c r="H1828" s="6">
        <f>ROUND(G1828*F1828,2)</f>
        <v/>
      </c>
      <c r="I1828">
        <f>IF(ROUND(H1828-D1828,2)=0,1,0)</f>
        <v/>
      </c>
      <c r="J1828">
        <f>IF(F1828="","none",IF(G1828=1,"carte","multiple"))</f>
        <v/>
      </c>
    </row>
    <row r="1829">
      <c r="A1829" t="inlineStr">
        <is>
          <t>2022-06-12</t>
        </is>
      </c>
      <c r="B1829" t="inlineStr">
        <is>
          <t>11:57</t>
        </is>
      </c>
      <c r="C1829" t="n">
        <v>2982</v>
      </c>
      <c r="D1829" s="6" t="n">
        <v>2.2</v>
      </c>
      <c r="E1829" t="n">
        <v>38649</v>
      </c>
      <c r="F1829" s="6" t="n">
        <v>2.2</v>
      </c>
      <c r="G1829" t="n">
        <v>1</v>
      </c>
      <c r="H1829" s="6">
        <f>ROUND(G1829*F1829,2)</f>
        <v/>
      </c>
      <c r="I1829">
        <f>IF(ROUND(H1829-D1829,2)=0,1,0)</f>
        <v/>
      </c>
      <c r="J1829">
        <f>IF(F1829="","none",IF(G1829=1,"carte","multiple"))</f>
        <v/>
      </c>
    </row>
    <row r="1830">
      <c r="A1830" t="inlineStr">
        <is>
          <t>2022-06-12</t>
        </is>
      </c>
      <c r="B1830" t="inlineStr">
        <is>
          <t>11:57</t>
        </is>
      </c>
      <c r="C1830" t="n">
        <v>2982</v>
      </c>
      <c r="D1830" s="6" t="n">
        <v>5.8</v>
      </c>
      <c r="E1830" t="n">
        <v>38650</v>
      </c>
      <c r="F1830" s="6" t="n">
        <v>5.8</v>
      </c>
      <c r="G1830" t="n">
        <v>1</v>
      </c>
      <c r="H1830" s="6">
        <f>ROUND(G1830*F1830,2)</f>
        <v/>
      </c>
      <c r="I1830">
        <f>IF(ROUND(H1830-D1830,2)=0,1,0)</f>
        <v/>
      </c>
      <c r="J1830">
        <f>IF(F1830="","none",IF(G1830=1,"carte","multiple"))</f>
        <v/>
      </c>
    </row>
    <row r="1831">
      <c r="A1831" t="inlineStr">
        <is>
          <t>2022-06-12</t>
        </is>
      </c>
      <c r="B1831" t="inlineStr">
        <is>
          <t>11:57</t>
        </is>
      </c>
      <c r="C1831" t="n">
        <v>2982</v>
      </c>
      <c r="D1831" s="6" t="n">
        <v>7.8</v>
      </c>
      <c r="E1831" t="n">
        <v>38651</v>
      </c>
      <c r="F1831" s="6" t="n">
        <v>7.8</v>
      </c>
      <c r="G1831" t="n">
        <v>1</v>
      </c>
      <c r="H1831" s="6">
        <f>ROUND(G1831*F1831,2)</f>
        <v/>
      </c>
      <c r="I1831">
        <f>IF(ROUND(H1831-D1831,2)=0,1,0)</f>
        <v/>
      </c>
      <c r="J1831">
        <f>IF(F1831="","none",IF(G1831=1,"carte","multiple"))</f>
        <v/>
      </c>
    </row>
    <row r="1832">
      <c r="A1832" t="inlineStr">
        <is>
          <t>2022-06-12</t>
        </is>
      </c>
      <c r="B1832" t="inlineStr">
        <is>
          <t>11:57</t>
        </is>
      </c>
      <c r="C1832" t="n">
        <v>2982</v>
      </c>
      <c r="D1832" s="6" t="n">
        <v>8.699999999999999</v>
      </c>
      <c r="E1832" t="n">
        <v>38652</v>
      </c>
      <c r="F1832" s="6" t="n">
        <v>8.699999999999999</v>
      </c>
      <c r="G1832" t="n">
        <v>1</v>
      </c>
      <c r="H1832" s="6">
        <f>ROUND(G1832*F1832,2)</f>
        <v/>
      </c>
      <c r="I1832">
        <f>IF(ROUND(H1832-D1832,2)=0,1,0)</f>
        <v/>
      </c>
      <c r="J1832">
        <f>IF(F1832="","none",IF(G1832=1,"carte","multiple"))</f>
        <v/>
      </c>
    </row>
    <row r="1833">
      <c r="A1833" t="inlineStr">
        <is>
          <t>2022-06-12</t>
        </is>
      </c>
      <c r="B1833" t="inlineStr">
        <is>
          <t>11:57</t>
        </is>
      </c>
      <c r="C1833" t="n">
        <v>2982</v>
      </c>
      <c r="D1833" s="6" t="n">
        <v>17.6</v>
      </c>
      <c r="E1833" t="n">
        <v>38653</v>
      </c>
      <c r="F1833" s="6" t="n">
        <v>17.6</v>
      </c>
      <c r="G1833" t="n">
        <v>1</v>
      </c>
      <c r="H1833" s="6">
        <f>ROUND(G1833*F1833,2)</f>
        <v/>
      </c>
      <c r="I1833">
        <f>IF(ROUND(H1833-D1833,2)=0,1,0)</f>
        <v/>
      </c>
      <c r="J1833">
        <f>IF(F1833="","none",IF(G1833=1,"carte","multiple"))</f>
        <v/>
      </c>
    </row>
    <row r="1834">
      <c r="A1834" t="inlineStr">
        <is>
          <t>2022-06-12</t>
        </is>
      </c>
      <c r="B1834" t="inlineStr">
        <is>
          <t>11:57</t>
        </is>
      </c>
      <c r="C1834" t="n">
        <v>2982</v>
      </c>
      <c r="D1834" s="6" t="n">
        <v>69.59999999999999</v>
      </c>
      <c r="E1834" t="n">
        <v>38654</v>
      </c>
      <c r="F1834" s="6" t="n">
        <v>0.4</v>
      </c>
      <c r="G1834" t="n">
        <v>174</v>
      </c>
      <c r="H1834" s="6">
        <f>ROUND(G1834*F1834,2)</f>
        <v/>
      </c>
      <c r="I1834">
        <f>IF(ROUND(H1834-D1834,2)=0,1,0)</f>
        <v/>
      </c>
      <c r="J1834">
        <f>IF(F1834="","none",IF(G1834=1,"carte","multiple"))</f>
        <v/>
      </c>
    </row>
    <row r="1835">
      <c r="A1835" t="inlineStr">
        <is>
          <t>2022-06-12</t>
        </is>
      </c>
      <c r="B1835" t="inlineStr">
        <is>
          <t>11:57</t>
        </is>
      </c>
      <c r="C1835" t="n">
        <v>2982</v>
      </c>
      <c r="D1835" s="6" t="n">
        <v>19</v>
      </c>
      <c r="E1835" t="n">
        <v>38655</v>
      </c>
      <c r="F1835" s="6" t="n">
        <v>19</v>
      </c>
      <c r="G1835" t="n">
        <v>1</v>
      </c>
      <c r="H1835" s="6">
        <f>ROUND(G1835*F1835,2)</f>
        <v/>
      </c>
      <c r="I1835">
        <f>IF(ROUND(H1835-D1835,2)=0,1,0)</f>
        <v/>
      </c>
      <c r="J1835">
        <f>IF(F1835="","none",IF(G1835=1,"carte","multiple"))</f>
        <v/>
      </c>
    </row>
    <row r="1836">
      <c r="A1836" t="inlineStr">
        <is>
          <t>2022-06-12</t>
        </is>
      </c>
      <c r="B1836" t="inlineStr">
        <is>
          <t>11:57</t>
        </is>
      </c>
      <c r="C1836" t="n">
        <v>2982</v>
      </c>
      <c r="D1836" s="6" t="n">
        <v>3.9</v>
      </c>
      <c r="E1836" t="n">
        <v>38656</v>
      </c>
      <c r="F1836" s="6" t="n">
        <v>3.9</v>
      </c>
      <c r="G1836" t="n">
        <v>1</v>
      </c>
      <c r="H1836" s="6">
        <f>ROUND(G1836*F1836,2)</f>
        <v/>
      </c>
      <c r="I1836">
        <f>IF(ROUND(H1836-D1836,2)=0,1,0)</f>
        <v/>
      </c>
      <c r="J1836">
        <f>IF(F1836="","none",IF(G1836=1,"carte","multiple"))</f>
        <v/>
      </c>
    </row>
    <row r="1837">
      <c r="A1837" t="inlineStr">
        <is>
          <t>2022-06-12</t>
        </is>
      </c>
      <c r="B1837" t="inlineStr">
        <is>
          <t>11:57</t>
        </is>
      </c>
      <c r="C1837" t="n">
        <v>2982</v>
      </c>
      <c r="D1837" s="6" t="n">
        <v>5.2</v>
      </c>
      <c r="E1837" t="n">
        <v>38657</v>
      </c>
      <c r="F1837" s="6" t="n">
        <v>5.2</v>
      </c>
      <c r="G1837" t="n">
        <v>1</v>
      </c>
      <c r="H1837" s="6">
        <f>ROUND(G1837*F1837,2)</f>
        <v/>
      </c>
      <c r="I1837">
        <f>IF(ROUND(H1837-D1837,2)=0,1,0)</f>
        <v/>
      </c>
      <c r="J1837">
        <f>IF(F1837="","none",IF(G1837=1,"carte","multiple"))</f>
        <v/>
      </c>
    </row>
    <row r="1838">
      <c r="A1838" t="inlineStr">
        <is>
          <t>2022-06-12</t>
        </is>
      </c>
      <c r="B1838" t="inlineStr">
        <is>
          <t>12:44</t>
        </is>
      </c>
      <c r="C1838" t="n">
        <v>2982</v>
      </c>
      <c r="D1838" s="6" t="n">
        <v>15.9</v>
      </c>
      <c r="E1838" t="n">
        <v>38658</v>
      </c>
      <c r="F1838" s="6" t="n">
        <v>15.9</v>
      </c>
      <c r="G1838" t="n">
        <v>1</v>
      </c>
      <c r="H1838" s="6">
        <f>ROUND(G1838*F1838,2)</f>
        <v/>
      </c>
      <c r="I1838">
        <f>IF(ROUND(H1838-D1838,2)=0,1,0)</f>
        <v/>
      </c>
      <c r="J1838">
        <f>IF(F1838="","none",IF(G1838=1,"carte","multiple"))</f>
        <v/>
      </c>
    </row>
    <row r="1839">
      <c r="A1839" t="inlineStr">
        <is>
          <t>2022-06-12</t>
        </is>
      </c>
      <c r="B1839" t="inlineStr">
        <is>
          <t>12:49</t>
        </is>
      </c>
      <c r="C1839" t="n">
        <v>2982</v>
      </c>
      <c r="D1839" s="6" t="n">
        <v>4.4</v>
      </c>
      <c r="E1839" t="n">
        <v>38659</v>
      </c>
      <c r="F1839" s="6" t="n">
        <v>0.4</v>
      </c>
      <c r="G1839" t="n">
        <v>11</v>
      </c>
      <c r="H1839" s="6">
        <f>ROUND(G1839*F1839,2)</f>
        <v/>
      </c>
      <c r="I1839">
        <f>IF(ROUND(H1839-D1839,2)=0,1,0)</f>
        <v/>
      </c>
      <c r="J1839">
        <f>IF(F1839="","none",IF(G1839=1,"carte","multiple"))</f>
        <v/>
      </c>
    </row>
    <row r="1840">
      <c r="A1840" t="inlineStr">
        <is>
          <t>2022-06-12</t>
        </is>
      </c>
      <c r="B1840" t="inlineStr">
        <is>
          <t>12:49</t>
        </is>
      </c>
      <c r="C1840" t="n">
        <v>2982</v>
      </c>
      <c r="D1840" s="6" t="n">
        <v>19.8</v>
      </c>
      <c r="E1840" t="n">
        <v>38660</v>
      </c>
      <c r="F1840" s="6" t="n">
        <v>19.8</v>
      </c>
      <c r="G1840" t="n">
        <v>1</v>
      </c>
      <c r="H1840" s="6">
        <f>ROUND(G1840*F1840,2)</f>
        <v/>
      </c>
      <c r="I1840">
        <f>IF(ROUND(H1840-D1840,2)=0,1,0)</f>
        <v/>
      </c>
      <c r="J1840">
        <f>IF(F1840="","none",IF(G1840=1,"carte","multiple"))</f>
        <v/>
      </c>
    </row>
    <row r="1841">
      <c r="A1841" t="inlineStr">
        <is>
          <t>2022-06-12</t>
        </is>
      </c>
      <c r="B1841" t="inlineStr">
        <is>
          <t>12:49</t>
        </is>
      </c>
      <c r="C1841" t="n">
        <v>2982</v>
      </c>
      <c r="D1841" s="6" t="n">
        <v>64</v>
      </c>
      <c r="E1841" t="n">
        <v>38661</v>
      </c>
      <c r="F1841" s="6" t="n">
        <v>64</v>
      </c>
      <c r="G1841" t="n">
        <v>1</v>
      </c>
      <c r="H1841" s="6">
        <f>ROUND(G1841*F1841,2)</f>
        <v/>
      </c>
      <c r="I1841">
        <f>IF(ROUND(H1841-D1841,2)=0,1,0)</f>
        <v/>
      </c>
      <c r="J1841">
        <f>IF(F1841="","none",IF(G1841=1,"carte","multiple"))</f>
        <v/>
      </c>
    </row>
    <row r="1842">
      <c r="A1842" t="inlineStr">
        <is>
          <t>2022-06-12</t>
        </is>
      </c>
      <c r="B1842" t="inlineStr">
        <is>
          <t>12:49</t>
        </is>
      </c>
      <c r="C1842" t="n">
        <v>2982</v>
      </c>
      <c r="D1842" s="6" t="n">
        <v>11.8</v>
      </c>
      <c r="E1842" t="n">
        <v>38662</v>
      </c>
      <c r="F1842" s="6" t="n">
        <v>5.9</v>
      </c>
      <c r="G1842" t="n">
        <v>2</v>
      </c>
      <c r="H1842" s="6">
        <f>ROUND(G1842*F1842,2)</f>
        <v/>
      </c>
      <c r="I1842">
        <f>IF(ROUND(H1842-D1842,2)=0,1,0)</f>
        <v/>
      </c>
      <c r="J1842">
        <f>IF(F1842="","none",IF(G1842=1,"carte","multiple"))</f>
        <v/>
      </c>
    </row>
    <row r="1843">
      <c r="A1843" t="inlineStr">
        <is>
          <t>2022-06-12</t>
        </is>
      </c>
      <c r="B1843" t="inlineStr">
        <is>
          <t>12:49</t>
        </is>
      </c>
      <c r="C1843" t="n">
        <v>2982</v>
      </c>
      <c r="D1843" s="6" t="n">
        <v>3.9</v>
      </c>
      <c r="E1843" t="n">
        <v>38663</v>
      </c>
      <c r="F1843" s="6" t="n">
        <v>3.9</v>
      </c>
      <c r="G1843" t="n">
        <v>1</v>
      </c>
      <c r="H1843" s="6">
        <f>ROUND(G1843*F1843,2)</f>
        <v/>
      </c>
      <c r="I1843">
        <f>IF(ROUND(H1843-D1843,2)=0,1,0)</f>
        <v/>
      </c>
      <c r="J1843">
        <f>IF(F1843="","none",IF(G1843=1,"carte","multiple"))</f>
        <v/>
      </c>
    </row>
    <row r="1844">
      <c r="A1844" t="inlineStr">
        <is>
          <t>2022-06-12</t>
        </is>
      </c>
      <c r="B1844" t="inlineStr">
        <is>
          <t>12:49</t>
        </is>
      </c>
      <c r="C1844" t="n">
        <v>2982</v>
      </c>
      <c r="D1844" s="6" t="n">
        <v>3.9</v>
      </c>
      <c r="E1844" t="n">
        <v>38664</v>
      </c>
      <c r="F1844" s="6" t="n">
        <v>3.9</v>
      </c>
      <c r="G1844" t="n">
        <v>1</v>
      </c>
      <c r="H1844" s="6">
        <f>ROUND(G1844*F1844,2)</f>
        <v/>
      </c>
      <c r="I1844">
        <f>IF(ROUND(H1844-D1844,2)=0,1,0)</f>
        <v/>
      </c>
      <c r="J1844">
        <f>IF(F1844="","none",IF(G1844=1,"carte","multiple"))</f>
        <v/>
      </c>
    </row>
    <row r="1845">
      <c r="A1845" t="inlineStr">
        <is>
          <t>2022-06-12</t>
        </is>
      </c>
      <c r="B1845" t="inlineStr">
        <is>
          <t>17:43</t>
        </is>
      </c>
      <c r="C1845" t="n">
        <v>2982</v>
      </c>
      <c r="D1845" s="6" t="n">
        <v>24.9</v>
      </c>
      <c r="E1845" t="n">
        <v>38665</v>
      </c>
      <c r="F1845" s="6" t="n">
        <v>24.9</v>
      </c>
      <c r="G1845" t="n">
        <v>1</v>
      </c>
      <c r="H1845" s="6">
        <f>ROUND(G1845*F1845,2)</f>
        <v/>
      </c>
      <c r="I1845">
        <f>IF(ROUND(H1845-D1845,2)=0,1,0)</f>
        <v/>
      </c>
      <c r="J1845">
        <f>IF(F1845="","none",IF(G1845=1,"carte","multiple"))</f>
        <v/>
      </c>
    </row>
    <row r="1846">
      <c r="A1846" t="inlineStr">
        <is>
          <t>2022-06-12</t>
        </is>
      </c>
      <c r="B1846" t="inlineStr">
        <is>
          <t>18:06</t>
        </is>
      </c>
      <c r="C1846" t="n">
        <v>2982</v>
      </c>
      <c r="D1846" s="6" t="n">
        <v>2.2</v>
      </c>
      <c r="E1846" t="n">
        <v>38666</v>
      </c>
      <c r="F1846" s="6" t="n">
        <v>2.2</v>
      </c>
      <c r="G1846" t="n">
        <v>1</v>
      </c>
      <c r="H1846" s="6">
        <f>ROUND(G1846*F1846,2)</f>
        <v/>
      </c>
      <c r="I1846">
        <f>IF(ROUND(H1846-D1846,2)=0,1,0)</f>
        <v/>
      </c>
      <c r="J1846">
        <f>IF(F1846="","none",IF(G1846=1,"carte","multiple"))</f>
        <v/>
      </c>
    </row>
    <row r="1847">
      <c r="A1847" t="inlineStr">
        <is>
          <t>2022-06-12</t>
        </is>
      </c>
      <c r="B1847" t="inlineStr">
        <is>
          <t>18:06</t>
        </is>
      </c>
      <c r="C1847" t="n">
        <v>2982</v>
      </c>
      <c r="D1847" s="6" t="n">
        <v>3.9</v>
      </c>
      <c r="E1847" t="n">
        <v>38667</v>
      </c>
      <c r="F1847" s="6" t="n">
        <v>3.9</v>
      </c>
      <c r="G1847" t="n">
        <v>1</v>
      </c>
      <c r="H1847" s="6">
        <f>ROUND(G1847*F1847,2)</f>
        <v/>
      </c>
      <c r="I1847">
        <f>IF(ROUND(H1847-D1847,2)=0,1,0)</f>
        <v/>
      </c>
      <c r="J1847">
        <f>IF(F1847="","none",IF(G1847=1,"carte","multiple"))</f>
        <v/>
      </c>
    </row>
    <row r="1848">
      <c r="A1848" t="inlineStr">
        <is>
          <t>2022-06-12</t>
        </is>
      </c>
      <c r="B1848" t="inlineStr">
        <is>
          <t>18:06</t>
        </is>
      </c>
      <c r="C1848" t="n">
        <v>2982</v>
      </c>
      <c r="D1848" s="6" t="n">
        <v>6.5</v>
      </c>
      <c r="E1848" t="n">
        <v>38668</v>
      </c>
      <c r="F1848" s="6" t="n">
        <v>6.5</v>
      </c>
      <c r="G1848" t="n">
        <v>1</v>
      </c>
      <c r="H1848" s="6">
        <f>ROUND(G1848*F1848,2)</f>
        <v/>
      </c>
      <c r="I1848">
        <f>IF(ROUND(H1848-D1848,2)=0,1,0)</f>
        <v/>
      </c>
      <c r="J1848">
        <f>IF(F1848="","none",IF(G1848=1,"carte","multiple"))</f>
        <v/>
      </c>
    </row>
    <row r="1849">
      <c r="A1849" t="inlineStr">
        <is>
          <t>2022-06-12</t>
        </is>
      </c>
      <c r="B1849" t="inlineStr">
        <is>
          <t>18:06</t>
        </is>
      </c>
      <c r="C1849" t="n">
        <v>2982</v>
      </c>
      <c r="D1849" s="6" t="n">
        <v>13.9</v>
      </c>
      <c r="E1849" t="n">
        <v>38669</v>
      </c>
      <c r="F1849" s="6" t="n">
        <v>13.9</v>
      </c>
      <c r="G1849" t="n">
        <v>1</v>
      </c>
      <c r="H1849" s="6">
        <f>ROUND(G1849*F1849,2)</f>
        <v/>
      </c>
      <c r="I1849">
        <f>IF(ROUND(H1849-D1849,2)=0,1,0)</f>
        <v/>
      </c>
      <c r="J1849">
        <f>IF(F1849="","none",IF(G1849=1,"carte","multiple"))</f>
        <v/>
      </c>
    </row>
    <row r="1850">
      <c r="A1850" t="inlineStr">
        <is>
          <t>2022-06-12</t>
        </is>
      </c>
      <c r="B1850" t="inlineStr">
        <is>
          <t>18:06</t>
        </is>
      </c>
      <c r="C1850" t="n">
        <v>2982</v>
      </c>
      <c r="D1850" s="6" t="n">
        <v>16.4</v>
      </c>
      <c r="E1850" t="n">
        <v>38670</v>
      </c>
      <c r="F1850" s="6" t="n">
        <v>16.4</v>
      </c>
      <c r="G1850" t="n">
        <v>1</v>
      </c>
      <c r="H1850" s="6">
        <f>ROUND(G1850*F1850,2)</f>
        <v/>
      </c>
      <c r="I1850">
        <f>IF(ROUND(H1850-D1850,2)=0,1,0)</f>
        <v/>
      </c>
      <c r="J1850">
        <f>IF(F1850="","none",IF(G1850=1,"carte","multiple"))</f>
        <v/>
      </c>
    </row>
    <row r="1851">
      <c r="A1851" t="inlineStr">
        <is>
          <t>2022-06-12</t>
        </is>
      </c>
      <c r="B1851" t="inlineStr">
        <is>
          <t>18:06</t>
        </is>
      </c>
      <c r="C1851" t="n">
        <v>2982</v>
      </c>
      <c r="D1851" s="6" t="n">
        <v>3.9</v>
      </c>
      <c r="E1851" t="n">
        <v>38671</v>
      </c>
      <c r="F1851" s="6" t="n">
        <v>3.9</v>
      </c>
      <c r="G1851" t="n">
        <v>1</v>
      </c>
      <c r="H1851" s="6">
        <f>ROUND(G1851*F1851,2)</f>
        <v/>
      </c>
      <c r="I1851">
        <f>IF(ROUND(H1851-D1851,2)=0,1,0)</f>
        <v/>
      </c>
      <c r="J1851">
        <f>IF(F1851="","none",IF(G1851=1,"carte","multiple"))</f>
        <v/>
      </c>
    </row>
    <row r="1852">
      <c r="A1852" t="inlineStr">
        <is>
          <t>2022-06-12</t>
        </is>
      </c>
      <c r="B1852" t="inlineStr">
        <is>
          <t>18:10</t>
        </is>
      </c>
      <c r="C1852" t="n">
        <v>2982</v>
      </c>
      <c r="D1852" s="6" t="n">
        <v>16</v>
      </c>
      <c r="E1852" t="n">
        <v>38672</v>
      </c>
      <c r="F1852" s="6" t="n">
        <v>16</v>
      </c>
      <c r="G1852" t="n">
        <v>1</v>
      </c>
      <c r="H1852" s="6">
        <f>ROUND(G1852*F1852,2)</f>
        <v/>
      </c>
      <c r="I1852">
        <f>IF(ROUND(H1852-D1852,2)=0,1,0)</f>
        <v/>
      </c>
      <c r="J1852">
        <f>IF(F1852="","none",IF(G1852=1,"carte","multiple"))</f>
        <v/>
      </c>
    </row>
    <row r="1853">
      <c r="A1853" t="inlineStr">
        <is>
          <t>2022-06-12</t>
        </is>
      </c>
      <c r="B1853" t="inlineStr">
        <is>
          <t>18:35</t>
        </is>
      </c>
      <c r="C1853" t="n">
        <v>2982</v>
      </c>
      <c r="D1853" s="6" t="n">
        <v>9.4</v>
      </c>
      <c r="E1853" t="n">
        <v>38673</v>
      </c>
      <c r="F1853" s="6" t="n">
        <v>9.4</v>
      </c>
      <c r="G1853" t="n">
        <v>1</v>
      </c>
      <c r="H1853" s="6">
        <f>ROUND(G1853*F1853,2)</f>
        <v/>
      </c>
      <c r="I1853">
        <f>IF(ROUND(H1853-D1853,2)=0,1,0)</f>
        <v/>
      </c>
      <c r="J1853">
        <f>IF(F1853="","none",IF(G1853=1,"carte","multiple"))</f>
        <v/>
      </c>
    </row>
    <row r="1854">
      <c r="A1854" t="inlineStr">
        <is>
          <t>2022-06-12</t>
        </is>
      </c>
      <c r="B1854" t="inlineStr">
        <is>
          <t>18:35</t>
        </is>
      </c>
      <c r="C1854" t="n">
        <v>2982</v>
      </c>
      <c r="D1854" s="6" t="n">
        <v>7</v>
      </c>
      <c r="E1854" t="n">
        <v>38674</v>
      </c>
      <c r="F1854" s="6" t="n">
        <v>7</v>
      </c>
      <c r="G1854" t="n">
        <v>1</v>
      </c>
      <c r="H1854" s="6">
        <f>ROUND(G1854*F1854,2)</f>
        <v/>
      </c>
      <c r="I1854">
        <f>IF(ROUND(H1854-D1854,2)=0,1,0)</f>
        <v/>
      </c>
      <c r="J1854">
        <f>IF(F1854="","none",IF(G1854=1,"carte","multiple"))</f>
        <v/>
      </c>
    </row>
    <row r="1855">
      <c r="A1855" t="inlineStr">
        <is>
          <t>2022-06-12</t>
        </is>
      </c>
      <c r="B1855" t="inlineStr">
        <is>
          <t>18:35</t>
        </is>
      </c>
      <c r="C1855" t="n">
        <v>2982</v>
      </c>
      <c r="D1855" s="6" t="n">
        <v>7</v>
      </c>
      <c r="E1855" t="n">
        <v>38675</v>
      </c>
      <c r="F1855" s="6" t="n">
        <v>7</v>
      </c>
      <c r="G1855" t="n">
        <v>1</v>
      </c>
      <c r="H1855" s="6">
        <f>ROUND(G1855*F1855,2)</f>
        <v/>
      </c>
      <c r="I1855">
        <f>IF(ROUND(H1855-D1855,2)=0,1,0)</f>
        <v/>
      </c>
      <c r="J1855">
        <f>IF(F1855="","none",IF(G1855=1,"carte","multiple"))</f>
        <v/>
      </c>
    </row>
    <row r="1856">
      <c r="A1856" t="inlineStr">
        <is>
          <t>2022-06-12</t>
        </is>
      </c>
      <c r="B1856" t="inlineStr">
        <is>
          <t>18:35</t>
        </is>
      </c>
      <c r="C1856" t="n">
        <v>2982</v>
      </c>
      <c r="D1856" s="6" t="n">
        <v>3.9</v>
      </c>
      <c r="E1856" t="n">
        <v>38676</v>
      </c>
      <c r="F1856" s="6" t="n">
        <v>3.9</v>
      </c>
      <c r="G1856" t="n">
        <v>1</v>
      </c>
      <c r="H1856" s="6">
        <f>ROUND(G1856*F1856,2)</f>
        <v/>
      </c>
      <c r="I1856">
        <f>IF(ROUND(H1856-D1856,2)=0,1,0)</f>
        <v/>
      </c>
      <c r="J1856">
        <f>IF(F1856="","none",IF(G1856=1,"carte","multiple"))</f>
        <v/>
      </c>
    </row>
    <row r="1857">
      <c r="A1857" t="inlineStr">
        <is>
          <t>2022-06-12</t>
        </is>
      </c>
      <c r="B1857" t="inlineStr">
        <is>
          <t>18:35</t>
        </is>
      </c>
      <c r="C1857" t="n">
        <v>2982</v>
      </c>
      <c r="D1857" s="6" t="n">
        <v>3.9</v>
      </c>
      <c r="E1857" t="n">
        <v>38677</v>
      </c>
      <c r="F1857" s="6" t="n">
        <v>3.9</v>
      </c>
      <c r="G1857" t="n">
        <v>1</v>
      </c>
      <c r="H1857" s="6">
        <f>ROUND(G1857*F1857,2)</f>
        <v/>
      </c>
      <c r="I1857">
        <f>IF(ROUND(H1857-D1857,2)=0,1,0)</f>
        <v/>
      </c>
      <c r="J1857">
        <f>IF(F1857="","none",IF(G1857=1,"carte","multiple"))</f>
        <v/>
      </c>
    </row>
    <row r="1858">
      <c r="A1858" t="inlineStr">
        <is>
          <t>2022-06-12</t>
        </is>
      </c>
      <c r="B1858" t="inlineStr">
        <is>
          <t>18:35</t>
        </is>
      </c>
      <c r="C1858" t="n">
        <v>2982</v>
      </c>
      <c r="D1858" s="6" t="n">
        <v>19.9</v>
      </c>
      <c r="E1858" t="n">
        <v>38678</v>
      </c>
      <c r="F1858" s="6" t="n">
        <v>19.9</v>
      </c>
      <c r="G1858" t="n">
        <v>1</v>
      </c>
      <c r="H1858" s="6">
        <f>ROUND(G1858*F1858,2)</f>
        <v/>
      </c>
      <c r="I1858">
        <f>IF(ROUND(H1858-D1858,2)=0,1,0)</f>
        <v/>
      </c>
      <c r="J1858">
        <f>IF(F1858="","none",IF(G1858=1,"carte","multiple"))</f>
        <v/>
      </c>
    </row>
    <row r="1859">
      <c r="A1859" t="inlineStr">
        <is>
          <t>2022-06-12</t>
        </is>
      </c>
      <c r="B1859" t="inlineStr">
        <is>
          <t>18:35</t>
        </is>
      </c>
      <c r="C1859" t="n">
        <v>2982</v>
      </c>
      <c r="D1859" s="6" t="n">
        <v>19</v>
      </c>
      <c r="E1859" t="n">
        <v>38679</v>
      </c>
      <c r="F1859" s="6" t="n">
        <v>19</v>
      </c>
      <c r="G1859" t="n">
        <v>1</v>
      </c>
      <c r="H1859" s="6">
        <f>ROUND(G1859*F1859,2)</f>
        <v/>
      </c>
      <c r="I1859">
        <f>IF(ROUND(H1859-D1859,2)=0,1,0)</f>
        <v/>
      </c>
      <c r="J1859">
        <f>IF(F1859="","none",IF(G1859=1,"carte","multiple"))</f>
        <v/>
      </c>
    </row>
    <row r="1860">
      <c r="A1860" t="inlineStr">
        <is>
          <t>2022-06-12</t>
        </is>
      </c>
      <c r="B1860" t="inlineStr">
        <is>
          <t>18:35</t>
        </is>
      </c>
      <c r="C1860" t="n">
        <v>2982</v>
      </c>
      <c r="D1860" s="6" t="n">
        <v>17.6</v>
      </c>
      <c r="E1860" t="n">
        <v>38680</v>
      </c>
      <c r="F1860" s="6" t="n">
        <v>17.6</v>
      </c>
      <c r="G1860" t="n">
        <v>1</v>
      </c>
      <c r="H1860" s="6">
        <f>ROUND(G1860*F1860,2)</f>
        <v/>
      </c>
      <c r="I1860">
        <f>IF(ROUND(H1860-D1860,2)=0,1,0)</f>
        <v/>
      </c>
      <c r="J1860">
        <f>IF(F1860="","none",IF(G1860=1,"carte","multiple"))</f>
        <v/>
      </c>
    </row>
    <row r="1861">
      <c r="A1861" t="inlineStr">
        <is>
          <t>2022-06-12</t>
        </is>
      </c>
      <c r="B1861" t="inlineStr">
        <is>
          <t>18:40</t>
        </is>
      </c>
      <c r="C1861" t="n">
        <v>2982</v>
      </c>
      <c r="D1861" s="6" t="n">
        <v>14.5</v>
      </c>
      <c r="E1861" t="n">
        <v>38681</v>
      </c>
      <c r="F1861" s="6" t="n">
        <v>14.5</v>
      </c>
      <c r="G1861" t="n">
        <v>1</v>
      </c>
      <c r="H1861" s="6">
        <f>ROUND(G1861*F1861,2)</f>
        <v/>
      </c>
      <c r="I1861">
        <f>IF(ROUND(H1861-D1861,2)=0,1,0)</f>
        <v/>
      </c>
      <c r="J1861">
        <f>IF(F1861="","none",IF(G1861=1,"carte","multiple"))</f>
        <v/>
      </c>
    </row>
    <row r="1862">
      <c r="A1862" t="inlineStr">
        <is>
          <t>2022-06-12</t>
        </is>
      </c>
      <c r="B1862" t="inlineStr">
        <is>
          <t>18:40</t>
        </is>
      </c>
      <c r="C1862" t="n">
        <v>2982</v>
      </c>
      <c r="D1862" s="6" t="n">
        <v>15.6</v>
      </c>
      <c r="E1862" t="n">
        <v>38682</v>
      </c>
      <c r="F1862" s="6" t="n">
        <v>15.6</v>
      </c>
      <c r="G1862" t="n">
        <v>1</v>
      </c>
      <c r="H1862" s="6">
        <f>ROUND(G1862*F1862,2)</f>
        <v/>
      </c>
      <c r="I1862">
        <f>IF(ROUND(H1862-D1862,2)=0,1,0)</f>
        <v/>
      </c>
      <c r="J1862">
        <f>IF(F1862="","none",IF(G1862=1,"carte","multiple"))</f>
        <v/>
      </c>
    </row>
    <row r="1863">
      <c r="A1863" t="inlineStr">
        <is>
          <t>2022-06-12</t>
        </is>
      </c>
      <c r="B1863" t="inlineStr">
        <is>
          <t>18:51</t>
        </is>
      </c>
      <c r="C1863" t="n">
        <v>2982</v>
      </c>
      <c r="D1863" s="6" t="n">
        <v>2</v>
      </c>
      <c r="E1863" t="n">
        <v>38683</v>
      </c>
      <c r="F1863" s="6" t="n">
        <v>2</v>
      </c>
      <c r="G1863" t="n">
        <v>1</v>
      </c>
      <c r="H1863" s="6">
        <f>ROUND(G1863*F1863,2)</f>
        <v/>
      </c>
      <c r="I1863">
        <f>IF(ROUND(H1863-D1863,2)=0,1,0)</f>
        <v/>
      </c>
      <c r="J1863">
        <f>IF(F1863="","none",IF(G1863=1,"carte","multiple"))</f>
        <v/>
      </c>
    </row>
    <row r="1864">
      <c r="A1864" t="inlineStr">
        <is>
          <t>2022-06-12</t>
        </is>
      </c>
      <c r="B1864" t="inlineStr">
        <is>
          <t>18:51</t>
        </is>
      </c>
      <c r="C1864" t="n">
        <v>2982</v>
      </c>
      <c r="D1864" s="6" t="n">
        <v>3.9</v>
      </c>
      <c r="E1864" t="n">
        <v>38684</v>
      </c>
      <c r="F1864" s="6" t="n">
        <v>3.9</v>
      </c>
      <c r="G1864" t="n">
        <v>1</v>
      </c>
      <c r="H1864" s="6">
        <f>ROUND(G1864*F1864,2)</f>
        <v/>
      </c>
      <c r="I1864">
        <f>IF(ROUND(H1864-D1864,2)=0,1,0)</f>
        <v/>
      </c>
      <c r="J1864">
        <f>IF(F1864="","none",IF(G1864=1,"carte","multiple"))</f>
        <v/>
      </c>
    </row>
    <row r="1865">
      <c r="A1865" t="inlineStr">
        <is>
          <t>2022-06-12</t>
        </is>
      </c>
      <c r="B1865" t="inlineStr">
        <is>
          <t>18:51</t>
        </is>
      </c>
      <c r="C1865" t="n">
        <v>2982</v>
      </c>
      <c r="D1865" s="6" t="n">
        <v>8.800000000000001</v>
      </c>
      <c r="E1865" t="n">
        <v>38685</v>
      </c>
      <c r="F1865" s="6" t="n">
        <v>8.800000000000001</v>
      </c>
      <c r="G1865" t="n">
        <v>1</v>
      </c>
      <c r="H1865" s="6">
        <f>ROUND(G1865*F1865,2)</f>
        <v/>
      </c>
      <c r="I1865">
        <f>IF(ROUND(H1865-D1865,2)=0,1,0)</f>
        <v/>
      </c>
      <c r="J1865">
        <f>IF(F1865="","none",IF(G1865=1,"carte","multiple"))</f>
        <v/>
      </c>
    </row>
    <row r="1866">
      <c r="A1866" t="inlineStr">
        <is>
          <t>2022-06-12</t>
        </is>
      </c>
      <c r="B1866" t="inlineStr">
        <is>
          <t>18:51</t>
        </is>
      </c>
      <c r="C1866" t="n">
        <v>2982</v>
      </c>
      <c r="D1866" s="6" t="n">
        <v>3.9</v>
      </c>
      <c r="E1866" t="n">
        <v>38686</v>
      </c>
      <c r="F1866" s="6" t="n">
        <v>3.9</v>
      </c>
      <c r="G1866" t="n">
        <v>1</v>
      </c>
      <c r="H1866" s="6">
        <f>ROUND(G1866*F1866,2)</f>
        <v/>
      </c>
      <c r="I1866">
        <f>IF(ROUND(H1866-D1866,2)=0,1,0)</f>
        <v/>
      </c>
      <c r="J1866">
        <f>IF(F1866="","none",IF(G1866=1,"carte","multiple"))</f>
        <v/>
      </c>
    </row>
    <row r="1867">
      <c r="A1867" t="inlineStr">
        <is>
          <t>2022-06-12</t>
        </is>
      </c>
      <c r="B1867" t="inlineStr">
        <is>
          <t>18:51</t>
        </is>
      </c>
      <c r="C1867" t="n">
        <v>2982</v>
      </c>
      <c r="D1867" s="6" t="n">
        <v>29.8</v>
      </c>
      <c r="E1867" t="n">
        <v>38687</v>
      </c>
      <c r="F1867" s="6" t="n">
        <v>14.9</v>
      </c>
      <c r="G1867" t="n">
        <v>2</v>
      </c>
      <c r="H1867" s="6">
        <f>ROUND(G1867*F1867,2)</f>
        <v/>
      </c>
      <c r="I1867">
        <f>IF(ROUND(H1867-D1867,2)=0,1,0)</f>
        <v/>
      </c>
      <c r="J1867">
        <f>IF(F1867="","none",IF(G1867=1,"carte","multiple"))</f>
        <v/>
      </c>
    </row>
    <row r="1868">
      <c r="A1868" t="inlineStr">
        <is>
          <t>2022-06-12</t>
        </is>
      </c>
      <c r="B1868" t="inlineStr">
        <is>
          <t>18:51</t>
        </is>
      </c>
      <c r="C1868" t="n">
        <v>2982</v>
      </c>
      <c r="D1868" s="6" t="n">
        <v>3.9</v>
      </c>
      <c r="E1868" t="n">
        <v>38688</v>
      </c>
      <c r="F1868" s="6" t="n">
        <v>3.9</v>
      </c>
      <c r="G1868" t="n">
        <v>1</v>
      </c>
      <c r="H1868" s="6">
        <f>ROUND(G1868*F1868,2)</f>
        <v/>
      </c>
      <c r="I1868">
        <f>IF(ROUND(H1868-D1868,2)=0,1,0)</f>
        <v/>
      </c>
      <c r="J1868">
        <f>IF(F1868="","none",IF(G1868=1,"carte","multiple"))</f>
        <v/>
      </c>
    </row>
    <row r="1869">
      <c r="A1869" t="inlineStr">
        <is>
          <t>2022-06-12</t>
        </is>
      </c>
      <c r="B1869" t="inlineStr">
        <is>
          <t>18:52</t>
        </is>
      </c>
      <c r="C1869" t="n">
        <v>2982</v>
      </c>
      <c r="D1869" s="6" t="n">
        <v>13</v>
      </c>
      <c r="E1869" t="n">
        <v>38689</v>
      </c>
      <c r="F1869" s="6" t="n">
        <v>13</v>
      </c>
      <c r="G1869" t="n">
        <v>1</v>
      </c>
      <c r="H1869" s="6">
        <f>ROUND(G1869*F1869,2)</f>
        <v/>
      </c>
      <c r="I1869">
        <f>IF(ROUND(H1869-D1869,2)=0,1,0)</f>
        <v/>
      </c>
      <c r="J1869">
        <f>IF(F1869="","none",IF(G1869=1,"carte","multiple"))</f>
        <v/>
      </c>
    </row>
    <row r="1870">
      <c r="A1870" t="inlineStr">
        <is>
          <t>2022-06-12</t>
        </is>
      </c>
      <c r="B1870" t="inlineStr">
        <is>
          <t>19:23</t>
        </is>
      </c>
      <c r="C1870" t="n">
        <v>2982</v>
      </c>
      <c r="D1870" s="6" t="n">
        <v>15.9</v>
      </c>
      <c r="E1870" t="n">
        <v>38690</v>
      </c>
      <c r="F1870" s="6" t="n">
        <v>15.9</v>
      </c>
      <c r="G1870" t="n">
        <v>1</v>
      </c>
      <c r="H1870" s="6">
        <f>ROUND(G1870*F1870,2)</f>
        <v/>
      </c>
      <c r="I1870">
        <f>IF(ROUND(H1870-D1870,2)=0,1,0)</f>
        <v/>
      </c>
      <c r="J1870">
        <f>IF(F1870="","none",IF(G1870=1,"carte","multiple"))</f>
        <v/>
      </c>
    </row>
    <row r="1871">
      <c r="A1871" t="inlineStr">
        <is>
          <t>2022-06-15</t>
        </is>
      </c>
      <c r="B1871" t="inlineStr">
        <is>
          <t>12:28</t>
        </is>
      </c>
      <c r="C1871" t="n">
        <v>2983</v>
      </c>
      <c r="D1871" s="6" t="n">
        <v>17.6</v>
      </c>
      <c r="E1871" t="n">
        <v>38693</v>
      </c>
      <c r="F1871" s="6" t="n">
        <v>17.6</v>
      </c>
      <c r="G1871" t="n">
        <v>1</v>
      </c>
      <c r="H1871" s="6">
        <f>ROUND(G1871*F1871,2)</f>
        <v/>
      </c>
      <c r="I1871">
        <f>IF(ROUND(H1871-D1871,2)=0,1,0)</f>
        <v/>
      </c>
      <c r="J1871">
        <f>IF(F1871="","none",IF(G1871=1,"carte","multiple"))</f>
        <v/>
      </c>
    </row>
    <row r="1872">
      <c r="A1872" t="inlineStr">
        <is>
          <t>2022-06-15</t>
        </is>
      </c>
      <c r="B1872" t="inlineStr">
        <is>
          <t>12:28</t>
        </is>
      </c>
      <c r="C1872" t="n">
        <v>2983</v>
      </c>
      <c r="D1872" s="6" t="n">
        <v>11.6</v>
      </c>
      <c r="E1872" t="n">
        <v>38694</v>
      </c>
      <c r="F1872" s="6" t="n">
        <v>11.6</v>
      </c>
      <c r="G1872" t="n">
        <v>1</v>
      </c>
      <c r="H1872" s="6">
        <f>ROUND(G1872*F1872,2)</f>
        <v/>
      </c>
      <c r="I1872">
        <f>IF(ROUND(H1872-D1872,2)=0,1,0)</f>
        <v/>
      </c>
      <c r="J1872">
        <f>IF(F1872="","none",IF(G1872=1,"carte","multiple"))</f>
        <v/>
      </c>
    </row>
    <row r="1873">
      <c r="A1873" t="inlineStr">
        <is>
          <t>2022-06-15</t>
        </is>
      </c>
      <c r="B1873" t="inlineStr">
        <is>
          <t>12:28</t>
        </is>
      </c>
      <c r="C1873" t="n">
        <v>2983</v>
      </c>
      <c r="D1873" s="6" t="n">
        <v>10.9</v>
      </c>
      <c r="E1873" t="n">
        <v>38695</v>
      </c>
      <c r="F1873" s="6" t="n">
        <v>10.9</v>
      </c>
      <c r="G1873" t="n">
        <v>1</v>
      </c>
      <c r="H1873" s="6">
        <f>ROUND(G1873*F1873,2)</f>
        <v/>
      </c>
      <c r="I1873">
        <f>IF(ROUND(H1873-D1873,2)=0,1,0)</f>
        <v/>
      </c>
      <c r="J1873">
        <f>IF(F1873="","none",IF(G1873=1,"carte","multiple"))</f>
        <v/>
      </c>
    </row>
    <row r="1874">
      <c r="A1874" t="inlineStr">
        <is>
          <t>2022-06-15</t>
        </is>
      </c>
      <c r="B1874" t="inlineStr">
        <is>
          <t>12:28</t>
        </is>
      </c>
      <c r="C1874" t="n">
        <v>2983</v>
      </c>
      <c r="D1874" s="6" t="n">
        <v>7.8</v>
      </c>
      <c r="E1874" t="n">
        <v>38696</v>
      </c>
      <c r="F1874" s="6" t="n">
        <v>7.8</v>
      </c>
      <c r="G1874" t="n">
        <v>1</v>
      </c>
      <c r="H1874" s="6">
        <f>ROUND(G1874*F1874,2)</f>
        <v/>
      </c>
      <c r="I1874">
        <f>IF(ROUND(H1874-D1874,2)=0,1,0)</f>
        <v/>
      </c>
      <c r="J1874">
        <f>IF(F1874="","none",IF(G1874=1,"carte","multiple"))</f>
        <v/>
      </c>
    </row>
    <row r="1875">
      <c r="A1875" t="inlineStr">
        <is>
          <t>2022-06-15</t>
        </is>
      </c>
      <c r="B1875" t="inlineStr">
        <is>
          <t>12:28</t>
        </is>
      </c>
      <c r="C1875" t="n">
        <v>2983</v>
      </c>
      <c r="D1875" s="6" t="n">
        <v>6.9</v>
      </c>
      <c r="E1875" t="n">
        <v>38697</v>
      </c>
      <c r="F1875" s="6" t="n">
        <v>6.9</v>
      </c>
      <c r="G1875" t="n">
        <v>1</v>
      </c>
      <c r="H1875" s="6">
        <f>ROUND(G1875*F1875,2)</f>
        <v/>
      </c>
      <c r="I1875">
        <f>IF(ROUND(H1875-D1875,2)=0,1,0)</f>
        <v/>
      </c>
      <c r="J1875">
        <f>IF(F1875="","none",IF(G1875=1,"carte","multiple"))</f>
        <v/>
      </c>
    </row>
    <row r="1876">
      <c r="A1876" t="inlineStr">
        <is>
          <t>2022-06-15</t>
        </is>
      </c>
      <c r="B1876" t="inlineStr">
        <is>
          <t>18:18</t>
        </is>
      </c>
      <c r="C1876" t="n">
        <v>2983</v>
      </c>
      <c r="D1876" s="6" t="n">
        <v>15</v>
      </c>
      <c r="E1876" t="n">
        <v>38699</v>
      </c>
      <c r="F1876" s="6" t="n">
        <v>15</v>
      </c>
      <c r="G1876" t="n">
        <v>1</v>
      </c>
      <c r="H1876" s="6">
        <f>ROUND(G1876*F1876,2)</f>
        <v/>
      </c>
      <c r="I1876">
        <f>IF(ROUND(H1876-D1876,2)=0,1,0)</f>
        <v/>
      </c>
      <c r="J1876">
        <f>IF(F1876="","none",IF(G1876=1,"carte","multiple"))</f>
        <v/>
      </c>
    </row>
    <row r="1877">
      <c r="A1877" t="inlineStr">
        <is>
          <t>2022-06-15</t>
        </is>
      </c>
      <c r="B1877" t="inlineStr">
        <is>
          <t>19:20</t>
        </is>
      </c>
      <c r="C1877" t="n">
        <v>2983</v>
      </c>
      <c r="D1877" s="6" t="n">
        <v>5.9</v>
      </c>
      <c r="E1877" t="n">
        <v>38700</v>
      </c>
      <c r="F1877" s="6" t="n">
        <v>5.9</v>
      </c>
      <c r="G1877" t="n">
        <v>1</v>
      </c>
      <c r="H1877" s="6">
        <f>ROUND(G1877*F1877,2)</f>
        <v/>
      </c>
      <c r="I1877">
        <f>IF(ROUND(H1877-D1877,2)=0,1,0)</f>
        <v/>
      </c>
      <c r="J1877">
        <f>IF(F1877="","none",IF(G1877=1,"carte","multiple"))</f>
        <v/>
      </c>
    </row>
    <row r="1878">
      <c r="A1878" t="inlineStr">
        <is>
          <t>2022-06-15</t>
        </is>
      </c>
      <c r="B1878" t="inlineStr">
        <is>
          <t>19:20</t>
        </is>
      </c>
      <c r="C1878" t="n">
        <v>2983</v>
      </c>
      <c r="D1878" s="6" t="n">
        <v>45</v>
      </c>
      <c r="E1878" t="n">
        <v>38701</v>
      </c>
      <c r="F1878" s="6" t="n">
        <v>45</v>
      </c>
      <c r="G1878" t="n">
        <v>1</v>
      </c>
      <c r="H1878" s="6">
        <f>ROUND(G1878*F1878,2)</f>
        <v/>
      </c>
      <c r="I1878">
        <f>IF(ROUND(H1878-D1878,2)=0,1,0)</f>
        <v/>
      </c>
      <c r="J1878">
        <f>IF(F1878="","none",IF(G1878=1,"carte","multiple"))</f>
        <v/>
      </c>
    </row>
    <row r="1879">
      <c r="A1879" t="inlineStr">
        <is>
          <t>2022-06-15</t>
        </is>
      </c>
      <c r="B1879" t="inlineStr">
        <is>
          <t>19:20</t>
        </is>
      </c>
      <c r="C1879" t="n">
        <v>2983</v>
      </c>
      <c r="D1879" s="6" t="n">
        <v>32</v>
      </c>
      <c r="E1879" t="n">
        <v>38702</v>
      </c>
      <c r="F1879" s="6" t="n">
        <v>32</v>
      </c>
      <c r="G1879" t="n">
        <v>1</v>
      </c>
      <c r="H1879" s="6">
        <f>ROUND(G1879*F1879,2)</f>
        <v/>
      </c>
      <c r="I1879">
        <f>IF(ROUND(H1879-D1879,2)=0,1,0)</f>
        <v/>
      </c>
      <c r="J1879">
        <f>IF(F1879="","none",IF(G1879=1,"carte","multiple"))</f>
        <v/>
      </c>
    </row>
    <row r="1880">
      <c r="A1880" t="inlineStr">
        <is>
          <t>2022-06-15</t>
        </is>
      </c>
      <c r="B1880" t="inlineStr">
        <is>
          <t>19:20</t>
        </is>
      </c>
      <c r="C1880" t="n">
        <v>2983</v>
      </c>
      <c r="D1880" s="6" t="n">
        <v>9.9</v>
      </c>
      <c r="E1880" t="n">
        <v>38703</v>
      </c>
      <c r="F1880" s="6" t="n">
        <v>9.9</v>
      </c>
      <c r="G1880" t="n">
        <v>1</v>
      </c>
      <c r="H1880" s="6">
        <f>ROUND(G1880*F1880,2)</f>
        <v/>
      </c>
      <c r="I1880">
        <f>IF(ROUND(H1880-D1880,2)=0,1,0)</f>
        <v/>
      </c>
      <c r="J1880">
        <f>IF(F1880="","none",IF(G1880=1,"carte","multiple"))</f>
        <v/>
      </c>
    </row>
    <row r="1881">
      <c r="A1881" t="inlineStr">
        <is>
          <t>2022-06-15</t>
        </is>
      </c>
      <c r="B1881" t="inlineStr">
        <is>
          <t>19:20</t>
        </is>
      </c>
      <c r="C1881" t="n">
        <v>2983</v>
      </c>
      <c r="D1881" s="6" t="n">
        <v>3.9</v>
      </c>
      <c r="E1881" t="n">
        <v>38704</v>
      </c>
      <c r="F1881" s="6" t="n">
        <v>3.9</v>
      </c>
      <c r="G1881" t="n">
        <v>1</v>
      </c>
      <c r="H1881" s="6">
        <f>ROUND(G1881*F1881,2)</f>
        <v/>
      </c>
      <c r="I1881">
        <f>IF(ROUND(H1881-D1881,2)=0,1,0)</f>
        <v/>
      </c>
      <c r="J1881">
        <f>IF(F1881="","none",IF(G1881=1,"carte","multiple"))</f>
        <v/>
      </c>
    </row>
    <row r="1882">
      <c r="A1882" t="inlineStr">
        <is>
          <t>2022-06-15</t>
        </is>
      </c>
      <c r="B1882" t="inlineStr">
        <is>
          <t>19:20</t>
        </is>
      </c>
      <c r="C1882" t="n">
        <v>2983</v>
      </c>
      <c r="D1882" s="6" t="n">
        <v>7.8</v>
      </c>
      <c r="E1882" t="n">
        <v>38705</v>
      </c>
      <c r="F1882" s="6" t="n">
        <v>7.8</v>
      </c>
      <c r="G1882" t="n">
        <v>1</v>
      </c>
      <c r="H1882" s="6">
        <f>ROUND(G1882*F1882,2)</f>
        <v/>
      </c>
      <c r="I1882">
        <f>IF(ROUND(H1882-D1882,2)=0,1,0)</f>
        <v/>
      </c>
      <c r="J1882">
        <f>IF(F1882="","none",IF(G1882=1,"carte","multiple"))</f>
        <v/>
      </c>
    </row>
    <row r="1883">
      <c r="A1883" t="inlineStr">
        <is>
          <t>2022-06-15</t>
        </is>
      </c>
      <c r="B1883" t="inlineStr">
        <is>
          <t>19:23</t>
        </is>
      </c>
      <c r="C1883" t="n">
        <v>2983</v>
      </c>
      <c r="D1883" s="6" t="n">
        <v>64</v>
      </c>
      <c r="E1883" t="n">
        <v>38706</v>
      </c>
      <c r="F1883" s="6" t="n">
        <v>64</v>
      </c>
      <c r="G1883" t="n">
        <v>1</v>
      </c>
      <c r="H1883" s="6">
        <f>ROUND(G1883*F1883,2)</f>
        <v/>
      </c>
      <c r="I1883">
        <f>IF(ROUND(H1883-D1883,2)=0,1,0)</f>
        <v/>
      </c>
      <c r="J1883">
        <f>IF(F1883="","none",IF(G1883=1,"carte","multiple"))</f>
        <v/>
      </c>
    </row>
    <row r="1884">
      <c r="A1884" t="inlineStr">
        <is>
          <t>2022-06-15</t>
        </is>
      </c>
      <c r="B1884" t="inlineStr">
        <is>
          <t>19:23</t>
        </is>
      </c>
      <c r="C1884" t="n">
        <v>2983</v>
      </c>
      <c r="D1884" s="6" t="n">
        <v>29</v>
      </c>
      <c r="E1884" t="n">
        <v>38707</v>
      </c>
      <c r="F1884" s="6" t="n">
        <v>29</v>
      </c>
      <c r="G1884" t="n">
        <v>1</v>
      </c>
      <c r="H1884" s="6">
        <f>ROUND(G1884*F1884,2)</f>
        <v/>
      </c>
      <c r="I1884">
        <f>IF(ROUND(H1884-D1884,2)=0,1,0)</f>
        <v/>
      </c>
      <c r="J1884">
        <f>IF(F1884="","none",IF(G1884=1,"carte","multiple"))</f>
        <v/>
      </c>
    </row>
    <row r="1885">
      <c r="A1885" t="inlineStr">
        <is>
          <t>2022-06-16</t>
        </is>
      </c>
      <c r="B1885" t="inlineStr">
        <is>
          <t>11:36</t>
        </is>
      </c>
      <c r="C1885" t="n">
        <v>2984</v>
      </c>
      <c r="D1885" s="6" t="n">
        <v>6.9</v>
      </c>
      <c r="E1885" t="n">
        <v>38710</v>
      </c>
      <c r="F1885" s="6" t="n">
        <v>6.9</v>
      </c>
      <c r="G1885" t="n">
        <v>1</v>
      </c>
      <c r="H1885" s="6">
        <f>ROUND(G1885*F1885,2)</f>
        <v/>
      </c>
      <c r="I1885">
        <f>IF(ROUND(H1885-D1885,2)=0,1,0)</f>
        <v/>
      </c>
      <c r="J1885">
        <f>IF(F1885="","none",IF(G1885=1,"carte","multiple"))</f>
        <v/>
      </c>
    </row>
    <row r="1886">
      <c r="A1886" t="inlineStr">
        <is>
          <t>2022-06-16</t>
        </is>
      </c>
      <c r="B1886" t="inlineStr">
        <is>
          <t>11:46</t>
        </is>
      </c>
      <c r="C1886" t="n">
        <v>2984</v>
      </c>
      <c r="D1886" s="6" t="n">
        <v>3.4</v>
      </c>
      <c r="E1886" t="n">
        <v>38711</v>
      </c>
      <c r="F1886" s="6" t="n">
        <v>3.4</v>
      </c>
      <c r="G1886" t="n">
        <v>1</v>
      </c>
      <c r="H1886" s="6">
        <f>ROUND(G1886*F1886,2)</f>
        <v/>
      </c>
      <c r="I1886">
        <f>IF(ROUND(H1886-D1886,2)=0,1,0)</f>
        <v/>
      </c>
      <c r="J1886">
        <f>IF(F1886="","none",IF(G1886=1,"carte","multiple"))</f>
        <v/>
      </c>
    </row>
    <row r="1887">
      <c r="A1887" t="inlineStr">
        <is>
          <t>2022-06-16</t>
        </is>
      </c>
      <c r="B1887" t="inlineStr">
        <is>
          <t>12:11</t>
        </is>
      </c>
      <c r="C1887" t="n">
        <v>2984</v>
      </c>
      <c r="D1887" s="6" t="n">
        <v>4.4</v>
      </c>
      <c r="E1887" t="n">
        <v>38712</v>
      </c>
      <c r="F1887" s="6" t="n">
        <v>0.4</v>
      </c>
      <c r="G1887" t="n">
        <v>11</v>
      </c>
      <c r="H1887" s="6">
        <f>ROUND(G1887*F1887,2)</f>
        <v/>
      </c>
      <c r="I1887">
        <f>IF(ROUND(H1887-D1887,2)=0,1,0)</f>
        <v/>
      </c>
      <c r="J1887">
        <f>IF(F1887="","none",IF(G1887=1,"carte","multiple"))</f>
        <v/>
      </c>
    </row>
    <row r="1888">
      <c r="A1888" t="inlineStr">
        <is>
          <t>2022-06-16</t>
        </is>
      </c>
      <c r="B1888" t="inlineStr">
        <is>
          <t>12:11</t>
        </is>
      </c>
      <c r="C1888" t="n">
        <v>2984</v>
      </c>
      <c r="D1888" s="6" t="n">
        <v>2.9</v>
      </c>
      <c r="E1888" t="n">
        <v>38713</v>
      </c>
      <c r="F1888" s="6" t="n">
        <v>2.9</v>
      </c>
      <c r="G1888" t="n">
        <v>1</v>
      </c>
      <c r="H1888" s="6">
        <f>ROUND(G1888*F1888,2)</f>
        <v/>
      </c>
      <c r="I1888">
        <f>IF(ROUND(H1888-D1888,2)=0,1,0)</f>
        <v/>
      </c>
      <c r="J1888">
        <f>IF(F1888="","none",IF(G1888=1,"carte","multiple"))</f>
        <v/>
      </c>
    </row>
    <row r="1889">
      <c r="A1889" t="inlineStr">
        <is>
          <t>2022-06-16</t>
        </is>
      </c>
      <c r="B1889" t="inlineStr">
        <is>
          <t>12:11</t>
        </is>
      </c>
      <c r="C1889" t="n">
        <v>2984</v>
      </c>
      <c r="D1889" s="6" t="n">
        <v>9.6</v>
      </c>
      <c r="E1889" t="n">
        <v>38714</v>
      </c>
      <c r="F1889" s="6" t="n">
        <v>9.6</v>
      </c>
      <c r="G1889" t="n">
        <v>1</v>
      </c>
      <c r="H1889" s="6">
        <f>ROUND(G1889*F1889,2)</f>
        <v/>
      </c>
      <c r="I1889">
        <f>IF(ROUND(H1889-D1889,2)=0,1,0)</f>
        <v/>
      </c>
      <c r="J1889">
        <f>IF(F1889="","none",IF(G1889=1,"carte","multiple"))</f>
        <v/>
      </c>
    </row>
    <row r="1890">
      <c r="A1890" t="inlineStr">
        <is>
          <t>2022-06-16</t>
        </is>
      </c>
      <c r="B1890" t="inlineStr">
        <is>
          <t>12:11</t>
        </is>
      </c>
      <c r="C1890" t="n">
        <v>2984</v>
      </c>
      <c r="D1890" s="6" t="n">
        <v>16.9</v>
      </c>
      <c r="E1890" t="n">
        <v>38715</v>
      </c>
      <c r="F1890" s="6" t="n">
        <v>16.9</v>
      </c>
      <c r="G1890" t="n">
        <v>1</v>
      </c>
      <c r="H1890" s="6">
        <f>ROUND(G1890*F1890,2)</f>
        <v/>
      </c>
      <c r="I1890">
        <f>IF(ROUND(H1890-D1890,2)=0,1,0)</f>
        <v/>
      </c>
      <c r="J1890">
        <f>IF(F1890="","none",IF(G1890=1,"carte","multiple"))</f>
        <v/>
      </c>
    </row>
    <row r="1891">
      <c r="A1891" t="inlineStr">
        <is>
          <t>2022-06-16</t>
        </is>
      </c>
      <c r="B1891" t="inlineStr">
        <is>
          <t>12:11</t>
        </is>
      </c>
      <c r="C1891" t="n">
        <v>2984</v>
      </c>
      <c r="D1891" s="6" t="n">
        <v>4</v>
      </c>
      <c r="E1891" t="n">
        <v>38716</v>
      </c>
      <c r="F1891" s="6" t="n">
        <v>4</v>
      </c>
      <c r="G1891" t="n">
        <v>1</v>
      </c>
      <c r="H1891" s="6">
        <f>ROUND(G1891*F1891,2)</f>
        <v/>
      </c>
      <c r="I1891">
        <f>IF(ROUND(H1891-D1891,2)=0,1,0)</f>
        <v/>
      </c>
      <c r="J1891">
        <f>IF(F1891="","none",IF(G1891=1,"carte","multiple"))</f>
        <v/>
      </c>
    </row>
    <row r="1892">
      <c r="A1892" t="inlineStr">
        <is>
          <t>2022-06-16</t>
        </is>
      </c>
      <c r="B1892" t="inlineStr">
        <is>
          <t>12:11</t>
        </is>
      </c>
      <c r="C1892" t="n">
        <v>2984</v>
      </c>
      <c r="D1892" s="6" t="n">
        <v>3.9</v>
      </c>
      <c r="E1892" t="n">
        <v>38717</v>
      </c>
      <c r="F1892" s="6" t="n">
        <v>3.9</v>
      </c>
      <c r="G1892" t="n">
        <v>1</v>
      </c>
      <c r="H1892" s="6">
        <f>ROUND(G1892*F1892,2)</f>
        <v/>
      </c>
      <c r="I1892">
        <f>IF(ROUND(H1892-D1892,2)=0,1,0)</f>
        <v/>
      </c>
      <c r="J1892">
        <f>IF(F1892="","none",IF(G1892=1,"carte","multiple"))</f>
        <v/>
      </c>
    </row>
    <row r="1893">
      <c r="A1893" t="inlineStr">
        <is>
          <t>2022-06-16</t>
        </is>
      </c>
      <c r="B1893" t="inlineStr">
        <is>
          <t>12:29</t>
        </is>
      </c>
      <c r="C1893" t="n">
        <v>2984</v>
      </c>
      <c r="D1893" s="6" t="n">
        <v>11</v>
      </c>
      <c r="E1893" t="n">
        <v>38718</v>
      </c>
      <c r="F1893" s="6" t="n">
        <v>11</v>
      </c>
      <c r="G1893" t="n">
        <v>1</v>
      </c>
      <c r="H1893" s="6">
        <f>ROUND(G1893*F1893,2)</f>
        <v/>
      </c>
      <c r="I1893">
        <f>IF(ROUND(H1893-D1893,2)=0,1,0)</f>
        <v/>
      </c>
      <c r="J1893">
        <f>IF(F1893="","none",IF(G1893=1,"carte","multiple"))</f>
        <v/>
      </c>
    </row>
    <row r="1894">
      <c r="A1894" t="inlineStr">
        <is>
          <t>2022-06-16</t>
        </is>
      </c>
      <c r="B1894" t="inlineStr">
        <is>
          <t>18:34</t>
        </is>
      </c>
      <c r="C1894" t="n">
        <v>2984</v>
      </c>
      <c r="D1894" s="6" t="n">
        <v>8.699999999999999</v>
      </c>
      <c r="E1894" t="n">
        <v>38720</v>
      </c>
      <c r="F1894" s="6" t="n">
        <v>8.699999999999999</v>
      </c>
      <c r="G1894" t="n">
        <v>1</v>
      </c>
      <c r="H1894" s="6">
        <f>ROUND(G1894*F1894,2)</f>
        <v/>
      </c>
      <c r="I1894">
        <f>IF(ROUND(H1894-D1894,2)=0,1,0)</f>
        <v/>
      </c>
      <c r="J1894">
        <f>IF(F1894="","none",IF(G1894=1,"carte","multiple"))</f>
        <v/>
      </c>
    </row>
    <row r="1895">
      <c r="A1895" t="inlineStr">
        <is>
          <t>2022-06-16</t>
        </is>
      </c>
      <c r="B1895" t="inlineStr">
        <is>
          <t>19:22</t>
        </is>
      </c>
      <c r="C1895" t="n">
        <v>2984</v>
      </c>
      <c r="D1895" s="6" t="n">
        <v>8.800000000000001</v>
      </c>
      <c r="E1895" t="n">
        <v>38721</v>
      </c>
      <c r="F1895" s="6" t="n">
        <v>8.800000000000001</v>
      </c>
      <c r="G1895" t="n">
        <v>1</v>
      </c>
      <c r="H1895" s="6">
        <f>ROUND(G1895*F1895,2)</f>
        <v/>
      </c>
      <c r="I1895">
        <f>IF(ROUND(H1895-D1895,2)=0,1,0)</f>
        <v/>
      </c>
      <c r="J1895">
        <f>IF(F1895="","none",IF(G1895=1,"carte","multiple"))</f>
        <v/>
      </c>
    </row>
    <row r="1896">
      <c r="A1896" t="inlineStr">
        <is>
          <t>2022-06-16</t>
        </is>
      </c>
      <c r="B1896" t="inlineStr">
        <is>
          <t>19:22</t>
        </is>
      </c>
      <c r="C1896" t="n">
        <v>2984</v>
      </c>
      <c r="D1896" s="6" t="n">
        <v>29.8</v>
      </c>
      <c r="E1896" t="n">
        <v>38722</v>
      </c>
      <c r="F1896" s="6" t="n">
        <v>14.9</v>
      </c>
      <c r="G1896" t="n">
        <v>2</v>
      </c>
      <c r="H1896" s="6">
        <f>ROUND(G1896*F1896,2)</f>
        <v/>
      </c>
      <c r="I1896">
        <f>IF(ROUND(H1896-D1896,2)=0,1,0)</f>
        <v/>
      </c>
      <c r="J1896">
        <f>IF(F1896="","none",IF(G1896=1,"carte","multiple"))</f>
        <v/>
      </c>
    </row>
    <row r="1897">
      <c r="A1897" t="inlineStr">
        <is>
          <t>2022-06-16</t>
        </is>
      </c>
      <c r="B1897" t="inlineStr">
        <is>
          <t>19:22</t>
        </is>
      </c>
      <c r="C1897" t="n">
        <v>2984</v>
      </c>
      <c r="D1897" s="6" t="n">
        <v>3.9</v>
      </c>
      <c r="E1897" t="n">
        <v>38723</v>
      </c>
      <c r="F1897" s="6" t="n">
        <v>3.9</v>
      </c>
      <c r="G1897" t="n">
        <v>1</v>
      </c>
      <c r="H1897" s="6">
        <f>ROUND(G1897*F1897,2)</f>
        <v/>
      </c>
      <c r="I1897">
        <f>IF(ROUND(H1897-D1897,2)=0,1,0)</f>
        <v/>
      </c>
      <c r="J1897">
        <f>IF(F1897="","none",IF(G1897=1,"carte","multiple"))</f>
        <v/>
      </c>
    </row>
    <row r="1898">
      <c r="A1898" t="inlineStr">
        <is>
          <t>2022-06-16</t>
        </is>
      </c>
      <c r="B1898" t="inlineStr">
        <is>
          <t>19:22</t>
        </is>
      </c>
      <c r="C1898" t="n">
        <v>2984</v>
      </c>
      <c r="D1898" s="6" t="n">
        <v>3.9</v>
      </c>
      <c r="E1898" t="n">
        <v>38724</v>
      </c>
      <c r="F1898" s="6" t="n">
        <v>3.9</v>
      </c>
      <c r="G1898" t="n">
        <v>1</v>
      </c>
      <c r="H1898" s="6">
        <f>ROUND(G1898*F1898,2)</f>
        <v/>
      </c>
      <c r="I1898">
        <f>IF(ROUND(H1898-D1898,2)=0,1,0)</f>
        <v/>
      </c>
      <c r="J1898">
        <f>IF(F1898="","none",IF(G1898=1,"carte","multiple"))</f>
        <v/>
      </c>
    </row>
    <row r="1899">
      <c r="A1899" t="inlineStr">
        <is>
          <t>2022-06-16</t>
        </is>
      </c>
      <c r="B1899" t="inlineStr">
        <is>
          <t>19:44</t>
        </is>
      </c>
      <c r="C1899" t="n">
        <v>2984</v>
      </c>
      <c r="D1899" s="6" t="n">
        <v>19</v>
      </c>
      <c r="E1899" t="n">
        <v>38725</v>
      </c>
      <c r="F1899" s="6" t="n">
        <v>19</v>
      </c>
      <c r="G1899" t="n">
        <v>1</v>
      </c>
      <c r="H1899" s="6">
        <f>ROUND(G1899*F1899,2)</f>
        <v/>
      </c>
      <c r="I1899">
        <f>IF(ROUND(H1899-D1899,2)=0,1,0)</f>
        <v/>
      </c>
      <c r="J1899">
        <f>IF(F1899="","none",IF(G1899=1,"carte","multiple"))</f>
        <v/>
      </c>
    </row>
    <row r="1900">
      <c r="A1900" t="inlineStr">
        <is>
          <t>2022-06-16</t>
        </is>
      </c>
      <c r="B1900" t="inlineStr">
        <is>
          <t>19:44</t>
        </is>
      </c>
      <c r="C1900" t="n">
        <v>2984</v>
      </c>
      <c r="D1900" s="6" t="n">
        <v>17.6</v>
      </c>
      <c r="E1900" t="n">
        <v>38726</v>
      </c>
      <c r="F1900" s="6" t="n">
        <v>17.6</v>
      </c>
      <c r="G1900" t="n">
        <v>1</v>
      </c>
      <c r="H1900" s="6">
        <f>ROUND(G1900*F1900,2)</f>
        <v/>
      </c>
      <c r="I1900">
        <f>IF(ROUND(H1900-D1900,2)=0,1,0)</f>
        <v/>
      </c>
      <c r="J1900">
        <f>IF(F1900="","none",IF(G1900=1,"carte","multiple"))</f>
        <v/>
      </c>
    </row>
    <row r="1901">
      <c r="A1901" t="inlineStr">
        <is>
          <t>2022-06-16</t>
        </is>
      </c>
      <c r="B1901" t="inlineStr">
        <is>
          <t>19:44</t>
        </is>
      </c>
      <c r="C1901" t="n">
        <v>2984</v>
      </c>
      <c r="D1901" s="6" t="n">
        <v>8.9</v>
      </c>
      <c r="E1901" t="n">
        <v>38727</v>
      </c>
      <c r="F1901" s="6" t="n">
        <v>8.9</v>
      </c>
      <c r="G1901" t="n">
        <v>1</v>
      </c>
      <c r="H1901" s="6">
        <f>ROUND(G1901*F1901,2)</f>
        <v/>
      </c>
      <c r="I1901">
        <f>IF(ROUND(H1901-D1901,2)=0,1,0)</f>
        <v/>
      </c>
      <c r="J1901">
        <f>IF(F1901="","none",IF(G1901=1,"carte","multiple"))</f>
        <v/>
      </c>
    </row>
    <row r="1902">
      <c r="A1902" t="inlineStr">
        <is>
          <t>2022-06-16</t>
        </is>
      </c>
      <c r="B1902" t="inlineStr">
        <is>
          <t>19:44</t>
        </is>
      </c>
      <c r="C1902" t="n">
        <v>2984</v>
      </c>
      <c r="D1902" s="6" t="n">
        <v>3.9</v>
      </c>
      <c r="E1902" t="n">
        <v>38728</v>
      </c>
      <c r="F1902" s="6" t="n">
        <v>3.9</v>
      </c>
      <c r="G1902" t="n">
        <v>1</v>
      </c>
      <c r="H1902" s="6">
        <f>ROUND(G1902*F1902,2)</f>
        <v/>
      </c>
      <c r="I1902">
        <f>IF(ROUND(H1902-D1902,2)=0,1,0)</f>
        <v/>
      </c>
      <c r="J1902">
        <f>IF(F1902="","none",IF(G1902=1,"carte","multiple"))</f>
        <v/>
      </c>
    </row>
    <row r="1903">
      <c r="A1903" t="inlineStr">
        <is>
          <t>2022-06-16</t>
        </is>
      </c>
      <c r="B1903" t="inlineStr">
        <is>
          <t>19:44</t>
        </is>
      </c>
      <c r="C1903" t="n">
        <v>2984</v>
      </c>
      <c r="D1903" s="6" t="n">
        <v>7.8</v>
      </c>
      <c r="E1903" t="n">
        <v>38729</v>
      </c>
      <c r="F1903" s="6" t="n">
        <v>7.8</v>
      </c>
      <c r="G1903" t="n">
        <v>1</v>
      </c>
      <c r="H1903" s="6">
        <f>ROUND(G1903*F1903,2)</f>
        <v/>
      </c>
      <c r="I1903">
        <f>IF(ROUND(H1903-D1903,2)=0,1,0)</f>
        <v/>
      </c>
      <c r="J1903">
        <f>IF(F1903="","none",IF(G1903=1,"carte","multiple"))</f>
        <v/>
      </c>
    </row>
    <row r="1904">
      <c r="A1904" t="inlineStr">
        <is>
          <t>2022-06-16</t>
        </is>
      </c>
      <c r="B1904" t="inlineStr">
        <is>
          <t>19:55</t>
        </is>
      </c>
      <c r="C1904" t="n">
        <v>2984</v>
      </c>
      <c r="D1904" s="6" t="n">
        <v>8</v>
      </c>
      <c r="E1904" t="n">
        <v>38730</v>
      </c>
      <c r="F1904" s="6" t="n">
        <v>8</v>
      </c>
      <c r="G1904" t="n">
        <v>1</v>
      </c>
      <c r="H1904" s="6">
        <f>ROUND(G1904*F1904,2)</f>
        <v/>
      </c>
      <c r="I1904">
        <f>IF(ROUND(H1904-D1904,2)=0,1,0)</f>
        <v/>
      </c>
      <c r="J1904">
        <f>IF(F1904="","none",IF(G1904=1,"carte","multiple"))</f>
        <v/>
      </c>
    </row>
    <row r="1905">
      <c r="A1905" t="inlineStr">
        <is>
          <t>2022-06-16</t>
        </is>
      </c>
      <c r="B1905" t="inlineStr">
        <is>
          <t>19:55</t>
        </is>
      </c>
      <c r="C1905" t="n">
        <v>2984</v>
      </c>
      <c r="D1905" s="6" t="n">
        <v>17.6</v>
      </c>
      <c r="E1905" t="n">
        <v>38731</v>
      </c>
      <c r="F1905" s="6" t="n">
        <v>17.6</v>
      </c>
      <c r="G1905" t="n">
        <v>1</v>
      </c>
      <c r="H1905" s="6">
        <f>ROUND(G1905*F1905,2)</f>
        <v/>
      </c>
      <c r="I1905">
        <f>IF(ROUND(H1905-D1905,2)=0,1,0)</f>
        <v/>
      </c>
      <c r="J1905">
        <f>IF(F1905="","none",IF(G1905=1,"carte","multiple"))</f>
        <v/>
      </c>
    </row>
    <row r="1906">
      <c r="A1906" t="inlineStr">
        <is>
          <t>2022-06-16</t>
        </is>
      </c>
      <c r="B1906" t="inlineStr">
        <is>
          <t>19:55</t>
        </is>
      </c>
      <c r="C1906" t="n">
        <v>2984</v>
      </c>
      <c r="D1906" s="6" t="n">
        <v>19.9</v>
      </c>
      <c r="E1906" t="n">
        <v>38732</v>
      </c>
      <c r="F1906" s="6" t="n">
        <v>19.9</v>
      </c>
      <c r="G1906" t="n">
        <v>1</v>
      </c>
      <c r="H1906" s="6">
        <f>ROUND(G1906*F1906,2)</f>
        <v/>
      </c>
      <c r="I1906">
        <f>IF(ROUND(H1906-D1906,2)=0,1,0)</f>
        <v/>
      </c>
      <c r="J1906">
        <f>IF(F1906="","none",IF(G1906=1,"carte","multiple"))</f>
        <v/>
      </c>
    </row>
    <row r="1907">
      <c r="A1907" t="inlineStr">
        <is>
          <t>2022-06-16</t>
        </is>
      </c>
      <c r="B1907" t="inlineStr">
        <is>
          <t>19:55</t>
        </is>
      </c>
      <c r="C1907" t="n">
        <v>2984</v>
      </c>
      <c r="D1907" s="6" t="n">
        <v>8.9</v>
      </c>
      <c r="E1907" t="n">
        <v>38733</v>
      </c>
      <c r="F1907" s="6" t="n">
        <v>8.9</v>
      </c>
      <c r="G1907" t="n">
        <v>1</v>
      </c>
      <c r="H1907" s="6">
        <f>ROUND(G1907*F1907,2)</f>
        <v/>
      </c>
      <c r="I1907">
        <f>IF(ROUND(H1907-D1907,2)=0,1,0)</f>
        <v/>
      </c>
      <c r="J1907">
        <f>IF(F1907="","none",IF(G1907=1,"carte","multiple"))</f>
        <v/>
      </c>
    </row>
    <row r="1908">
      <c r="A1908" t="inlineStr">
        <is>
          <t>2022-06-17</t>
        </is>
      </c>
      <c r="B1908" t="inlineStr">
        <is>
          <t>10:49</t>
        </is>
      </c>
      <c r="C1908" t="n">
        <v>2985</v>
      </c>
      <c r="D1908" s="6" t="n">
        <v>19.9</v>
      </c>
      <c r="E1908" t="n">
        <v>38736</v>
      </c>
      <c r="F1908" s="6" t="n">
        <v>19.9</v>
      </c>
      <c r="G1908" t="n">
        <v>1</v>
      </c>
      <c r="H1908" s="6">
        <f>ROUND(G1908*F1908,2)</f>
        <v/>
      </c>
      <c r="I1908">
        <f>IF(ROUND(H1908-D1908,2)=0,1,0)</f>
        <v/>
      </c>
      <c r="J1908">
        <f>IF(F1908="","none",IF(G1908=1,"carte","multiple"))</f>
        <v/>
      </c>
    </row>
    <row r="1909">
      <c r="A1909" t="inlineStr">
        <is>
          <t>2022-06-17</t>
        </is>
      </c>
      <c r="B1909" t="inlineStr">
        <is>
          <t>11:04</t>
        </is>
      </c>
      <c r="C1909" t="n">
        <v>2985</v>
      </c>
      <c r="D1909" s="6" t="n">
        <v>19</v>
      </c>
      <c r="E1909" t="n">
        <v>38737</v>
      </c>
      <c r="F1909" s="6" t="n">
        <v>19</v>
      </c>
      <c r="G1909" t="n">
        <v>1</v>
      </c>
      <c r="H1909" s="6">
        <f>ROUND(G1909*F1909,2)</f>
        <v/>
      </c>
      <c r="I1909">
        <f>IF(ROUND(H1909-D1909,2)=0,1,0)</f>
        <v/>
      </c>
      <c r="J1909">
        <f>IF(F1909="","none",IF(G1909=1,"carte","multiple"))</f>
        <v/>
      </c>
    </row>
    <row r="1910">
      <c r="A1910" t="inlineStr">
        <is>
          <t>2022-06-17</t>
        </is>
      </c>
      <c r="B1910" t="inlineStr">
        <is>
          <t>12:06</t>
        </is>
      </c>
      <c r="C1910" t="n">
        <v>2985</v>
      </c>
      <c r="D1910" s="6" t="n">
        <v>8.4</v>
      </c>
      <c r="E1910" t="n">
        <v>38738</v>
      </c>
      <c r="F1910" s="6" t="n">
        <v>8.4</v>
      </c>
      <c r="G1910" t="n">
        <v>1</v>
      </c>
      <c r="H1910" s="6">
        <f>ROUND(G1910*F1910,2)</f>
        <v/>
      </c>
      <c r="I1910">
        <f>IF(ROUND(H1910-D1910,2)=0,1,0)</f>
        <v/>
      </c>
      <c r="J1910">
        <f>IF(F1910="","none",IF(G1910=1,"carte","multiple"))</f>
        <v/>
      </c>
    </row>
    <row r="1911">
      <c r="A1911" t="inlineStr">
        <is>
          <t>2022-06-17</t>
        </is>
      </c>
      <c r="B1911" t="inlineStr">
        <is>
          <t>12:06</t>
        </is>
      </c>
      <c r="C1911" t="n">
        <v>2985</v>
      </c>
      <c r="D1911" s="6" t="n">
        <v>17.6</v>
      </c>
      <c r="E1911" t="n">
        <v>38739</v>
      </c>
      <c r="F1911" s="6" t="n">
        <v>17.6</v>
      </c>
      <c r="G1911" t="n">
        <v>1</v>
      </c>
      <c r="H1911" s="6">
        <f>ROUND(G1911*F1911,2)</f>
        <v/>
      </c>
      <c r="I1911">
        <f>IF(ROUND(H1911-D1911,2)=0,1,0)</f>
        <v/>
      </c>
      <c r="J1911">
        <f>IF(F1911="","none",IF(G1911=1,"carte","multiple"))</f>
        <v/>
      </c>
    </row>
    <row r="1912">
      <c r="A1912" t="inlineStr">
        <is>
          <t>2022-06-17</t>
        </is>
      </c>
      <c r="B1912" t="inlineStr">
        <is>
          <t>12:06</t>
        </is>
      </c>
      <c r="C1912" t="n">
        <v>2985</v>
      </c>
      <c r="D1912" s="6" t="n">
        <v>15</v>
      </c>
      <c r="E1912" t="n">
        <v>38740</v>
      </c>
      <c r="F1912" s="6" t="n">
        <v>15</v>
      </c>
      <c r="G1912" t="n">
        <v>1</v>
      </c>
      <c r="H1912" s="6">
        <f>ROUND(G1912*F1912,2)</f>
        <v/>
      </c>
      <c r="I1912">
        <f>IF(ROUND(H1912-D1912,2)=0,1,0)</f>
        <v/>
      </c>
      <c r="J1912">
        <f>IF(F1912="","none",IF(G1912=1,"carte","multiple"))</f>
        <v/>
      </c>
    </row>
    <row r="1913">
      <c r="A1913" t="inlineStr">
        <is>
          <t>2022-06-17</t>
        </is>
      </c>
      <c r="B1913" t="inlineStr">
        <is>
          <t>12:06</t>
        </is>
      </c>
      <c r="C1913" t="n">
        <v>2985</v>
      </c>
      <c r="D1913" s="6" t="n">
        <v>3.9</v>
      </c>
      <c r="E1913" t="n">
        <v>38741</v>
      </c>
      <c r="F1913" s="6" t="n">
        <v>3.9</v>
      </c>
      <c r="G1913" t="n">
        <v>1</v>
      </c>
      <c r="H1913" s="6">
        <f>ROUND(G1913*F1913,2)</f>
        <v/>
      </c>
      <c r="I1913">
        <f>IF(ROUND(H1913-D1913,2)=0,1,0)</f>
        <v/>
      </c>
      <c r="J1913">
        <f>IF(F1913="","none",IF(G1913=1,"carte","multiple"))</f>
        <v/>
      </c>
    </row>
    <row r="1914">
      <c r="A1914" t="inlineStr">
        <is>
          <t>2022-06-17</t>
        </is>
      </c>
      <c r="B1914" t="inlineStr">
        <is>
          <t>12:06</t>
        </is>
      </c>
      <c r="C1914" t="n">
        <v>2985</v>
      </c>
      <c r="D1914" s="6" t="n">
        <v>3.9</v>
      </c>
      <c r="E1914" t="n">
        <v>38742</v>
      </c>
      <c r="F1914" s="6" t="n">
        <v>3.9</v>
      </c>
      <c r="G1914" t="n">
        <v>1</v>
      </c>
      <c r="H1914" s="6">
        <f>ROUND(G1914*F1914,2)</f>
        <v/>
      </c>
      <c r="I1914">
        <f>IF(ROUND(H1914-D1914,2)=0,1,0)</f>
        <v/>
      </c>
      <c r="J1914">
        <f>IF(F1914="","none",IF(G1914=1,"carte","multiple"))</f>
        <v/>
      </c>
    </row>
    <row r="1915">
      <c r="A1915" t="inlineStr">
        <is>
          <t>2022-06-17</t>
        </is>
      </c>
      <c r="B1915" t="inlineStr">
        <is>
          <t>13:12</t>
        </is>
      </c>
      <c r="C1915" t="n">
        <v>2985</v>
      </c>
      <c r="D1915" s="6" t="n">
        <v>2.2</v>
      </c>
      <c r="E1915" t="n">
        <v>38743</v>
      </c>
      <c r="F1915" s="6" t="n">
        <v>2.2</v>
      </c>
      <c r="G1915" t="n">
        <v>1</v>
      </c>
      <c r="H1915" s="6">
        <f>ROUND(G1915*F1915,2)</f>
        <v/>
      </c>
      <c r="I1915">
        <f>IF(ROUND(H1915-D1915,2)=0,1,0)</f>
        <v/>
      </c>
      <c r="J1915">
        <f>IF(F1915="","none",IF(G1915=1,"carte","multiple"))</f>
        <v/>
      </c>
    </row>
    <row r="1916">
      <c r="A1916" t="inlineStr">
        <is>
          <t>2022-06-17</t>
        </is>
      </c>
      <c r="B1916" t="inlineStr">
        <is>
          <t>13:12</t>
        </is>
      </c>
      <c r="C1916" t="n">
        <v>2985</v>
      </c>
      <c r="D1916" s="6" t="n">
        <v>4</v>
      </c>
      <c r="E1916" t="n">
        <v>38744</v>
      </c>
      <c r="F1916" s="6" t="n">
        <v>4</v>
      </c>
      <c r="G1916" t="n">
        <v>1</v>
      </c>
      <c r="H1916" s="6">
        <f>ROUND(G1916*F1916,2)</f>
        <v/>
      </c>
      <c r="I1916">
        <f>IF(ROUND(H1916-D1916,2)=0,1,0)</f>
        <v/>
      </c>
      <c r="J1916">
        <f>IF(F1916="","none",IF(G1916=1,"carte","multiple"))</f>
        <v/>
      </c>
    </row>
    <row r="1917">
      <c r="A1917" t="inlineStr">
        <is>
          <t>2022-06-17</t>
        </is>
      </c>
      <c r="B1917" t="inlineStr">
        <is>
          <t>13:12</t>
        </is>
      </c>
      <c r="C1917" t="n">
        <v>2985</v>
      </c>
      <c r="D1917" s="6" t="n">
        <v>19.9</v>
      </c>
      <c r="E1917" t="n">
        <v>38745</v>
      </c>
      <c r="F1917" s="6" t="n">
        <v>19.9</v>
      </c>
      <c r="G1917" t="n">
        <v>1</v>
      </c>
      <c r="H1917" s="6">
        <f>ROUND(G1917*F1917,2)</f>
        <v/>
      </c>
      <c r="I1917">
        <f>IF(ROUND(H1917-D1917,2)=0,1,0)</f>
        <v/>
      </c>
      <c r="J1917">
        <f>IF(F1917="","none",IF(G1917=1,"carte","multiple"))</f>
        <v/>
      </c>
    </row>
    <row r="1918">
      <c r="A1918" t="inlineStr">
        <is>
          <t>2022-06-17</t>
        </is>
      </c>
      <c r="B1918" t="inlineStr">
        <is>
          <t>13:12</t>
        </is>
      </c>
      <c r="C1918" t="n">
        <v>2985</v>
      </c>
      <c r="D1918" s="6" t="n">
        <v>9.6</v>
      </c>
      <c r="E1918" t="n">
        <v>38746</v>
      </c>
      <c r="F1918" s="6" t="n">
        <v>9.6</v>
      </c>
      <c r="G1918" t="n">
        <v>1</v>
      </c>
      <c r="H1918" s="6">
        <f>ROUND(G1918*F1918,2)</f>
        <v/>
      </c>
      <c r="I1918">
        <f>IF(ROUND(H1918-D1918,2)=0,1,0)</f>
        <v/>
      </c>
      <c r="J1918">
        <f>IF(F1918="","none",IF(G1918=1,"carte","multiple"))</f>
        <v/>
      </c>
    </row>
    <row r="1919">
      <c r="A1919" t="inlineStr">
        <is>
          <t>2022-06-17</t>
        </is>
      </c>
      <c r="B1919" t="inlineStr">
        <is>
          <t>17:23</t>
        </is>
      </c>
      <c r="C1919" t="n">
        <v>2985</v>
      </c>
      <c r="D1919" s="6" t="n">
        <v>2.2</v>
      </c>
      <c r="E1919" t="n">
        <v>38747</v>
      </c>
      <c r="F1919" s="6" t="n">
        <v>2.2</v>
      </c>
      <c r="G1919" t="n">
        <v>1</v>
      </c>
      <c r="H1919" s="6">
        <f>ROUND(G1919*F1919,2)</f>
        <v/>
      </c>
      <c r="I1919">
        <f>IF(ROUND(H1919-D1919,2)=0,1,0)</f>
        <v/>
      </c>
      <c r="J1919">
        <f>IF(F1919="","none",IF(G1919=1,"carte","multiple"))</f>
        <v/>
      </c>
    </row>
    <row r="1920">
      <c r="A1920" t="inlineStr">
        <is>
          <t>2022-06-17</t>
        </is>
      </c>
      <c r="B1920" t="inlineStr">
        <is>
          <t>17:42</t>
        </is>
      </c>
      <c r="C1920" t="n">
        <v>2985</v>
      </c>
      <c r="D1920" s="6" t="n">
        <v>5.2</v>
      </c>
      <c r="E1920" t="n">
        <v>38748</v>
      </c>
      <c r="F1920" s="6" t="n">
        <v>5.2</v>
      </c>
      <c r="G1920" t="n">
        <v>1</v>
      </c>
      <c r="H1920" s="6">
        <f>ROUND(G1920*F1920,2)</f>
        <v/>
      </c>
      <c r="I1920">
        <f>IF(ROUND(H1920-D1920,2)=0,1,0)</f>
        <v/>
      </c>
      <c r="J1920">
        <f>IF(F1920="","none",IF(G1920=1,"carte","multiple"))</f>
        <v/>
      </c>
    </row>
    <row r="1921">
      <c r="A1921" t="inlineStr">
        <is>
          <t>2022-06-17</t>
        </is>
      </c>
      <c r="B1921" t="inlineStr">
        <is>
          <t>18:16</t>
        </is>
      </c>
      <c r="C1921" t="n">
        <v>2985</v>
      </c>
      <c r="D1921" s="6" t="n">
        <v>29.9</v>
      </c>
      <c r="E1921" t="n">
        <v>38749</v>
      </c>
      <c r="F1921" s="6" t="n">
        <v>29.9</v>
      </c>
      <c r="G1921" t="n">
        <v>1</v>
      </c>
      <c r="H1921" s="6">
        <f>ROUND(G1921*F1921,2)</f>
        <v/>
      </c>
      <c r="I1921">
        <f>IF(ROUND(H1921-D1921,2)=0,1,0)</f>
        <v/>
      </c>
      <c r="J1921">
        <f>IF(F1921="","none",IF(G1921=1,"carte","multiple"))</f>
        <v/>
      </c>
    </row>
    <row r="1922">
      <c r="A1922" t="inlineStr">
        <is>
          <t>2022-06-17</t>
        </is>
      </c>
      <c r="B1922" t="inlineStr">
        <is>
          <t>18:25</t>
        </is>
      </c>
      <c r="C1922" t="n">
        <v>2985</v>
      </c>
      <c r="D1922" s="6" t="n">
        <v>8</v>
      </c>
      <c r="E1922" t="n">
        <v>38750</v>
      </c>
      <c r="F1922" s="6" t="n">
        <v>8</v>
      </c>
      <c r="G1922" t="n">
        <v>1</v>
      </c>
      <c r="H1922" s="6">
        <f>ROUND(G1922*F1922,2)</f>
        <v/>
      </c>
      <c r="I1922">
        <f>IF(ROUND(H1922-D1922,2)=0,1,0)</f>
        <v/>
      </c>
      <c r="J1922">
        <f>IF(F1922="","none",IF(G1922=1,"carte","multiple"))</f>
        <v/>
      </c>
    </row>
    <row r="1923">
      <c r="A1923" t="inlineStr">
        <is>
          <t>2022-06-17</t>
        </is>
      </c>
      <c r="B1923" t="inlineStr">
        <is>
          <t>18:25</t>
        </is>
      </c>
      <c r="C1923" t="n">
        <v>2985</v>
      </c>
      <c r="D1923" s="6" t="n">
        <v>8.9</v>
      </c>
      <c r="E1923" t="n">
        <v>38751</v>
      </c>
      <c r="F1923" s="6" t="n">
        <v>8.9</v>
      </c>
      <c r="G1923" t="n">
        <v>1</v>
      </c>
      <c r="H1923" s="6">
        <f>ROUND(G1923*F1923,2)</f>
        <v/>
      </c>
      <c r="I1923">
        <f>IF(ROUND(H1923-D1923,2)=0,1,0)</f>
        <v/>
      </c>
      <c r="J1923">
        <f>IF(F1923="","none",IF(G1923=1,"carte","multiple"))</f>
        <v/>
      </c>
    </row>
    <row r="1924">
      <c r="A1924" t="inlineStr">
        <is>
          <t>2022-06-17</t>
        </is>
      </c>
      <c r="B1924" t="inlineStr">
        <is>
          <t>18:25</t>
        </is>
      </c>
      <c r="C1924" t="n">
        <v>2985</v>
      </c>
      <c r="D1924" s="6" t="n">
        <v>19.9</v>
      </c>
      <c r="E1924" t="n">
        <v>38752</v>
      </c>
      <c r="F1924" s="6" t="n">
        <v>19.9</v>
      </c>
      <c r="G1924" t="n">
        <v>1</v>
      </c>
      <c r="H1924" s="6">
        <f>ROUND(G1924*F1924,2)</f>
        <v/>
      </c>
      <c r="I1924">
        <f>IF(ROUND(H1924-D1924,2)=0,1,0)</f>
        <v/>
      </c>
      <c r="J1924">
        <f>IF(F1924="","none",IF(G1924=1,"carte","multiple"))</f>
        <v/>
      </c>
    </row>
    <row r="1925">
      <c r="A1925" t="inlineStr">
        <is>
          <t>2022-06-17</t>
        </is>
      </c>
      <c r="B1925" t="inlineStr">
        <is>
          <t>18:25</t>
        </is>
      </c>
      <c r="C1925" t="n">
        <v>2985</v>
      </c>
      <c r="D1925" s="6" t="n">
        <v>17.6</v>
      </c>
      <c r="E1925" t="n">
        <v>38753</v>
      </c>
      <c r="F1925" s="6" t="n">
        <v>17.6</v>
      </c>
      <c r="G1925" t="n">
        <v>1</v>
      </c>
      <c r="H1925" s="6">
        <f>ROUND(G1925*F1925,2)</f>
        <v/>
      </c>
      <c r="I1925">
        <f>IF(ROUND(H1925-D1925,2)=0,1,0)</f>
        <v/>
      </c>
      <c r="J1925">
        <f>IF(F1925="","none",IF(G1925=1,"carte","multiple"))</f>
        <v/>
      </c>
    </row>
    <row r="1926">
      <c r="A1926" t="inlineStr">
        <is>
          <t>2022-06-17</t>
        </is>
      </c>
      <c r="B1926" t="inlineStr">
        <is>
          <t>18:25</t>
        </is>
      </c>
      <c r="C1926" t="n">
        <v>2985</v>
      </c>
      <c r="D1926" s="6" t="n">
        <v>6.9</v>
      </c>
      <c r="E1926" t="n">
        <v>38754</v>
      </c>
      <c r="F1926" s="6" t="n">
        <v>6.9</v>
      </c>
      <c r="G1926" t="n">
        <v>1</v>
      </c>
      <c r="H1926" s="6">
        <f>ROUND(G1926*F1926,2)</f>
        <v/>
      </c>
      <c r="I1926">
        <f>IF(ROUND(H1926-D1926,2)=0,1,0)</f>
        <v/>
      </c>
      <c r="J1926">
        <f>IF(F1926="","none",IF(G1926=1,"carte","multiple"))</f>
        <v/>
      </c>
    </row>
    <row r="1927">
      <c r="A1927" t="inlineStr">
        <is>
          <t>2022-06-17</t>
        </is>
      </c>
      <c r="B1927" t="inlineStr">
        <is>
          <t>18:50</t>
        </is>
      </c>
      <c r="C1927" t="n">
        <v>2985</v>
      </c>
      <c r="D1927" s="6" t="n">
        <v>4.4</v>
      </c>
      <c r="E1927" t="n">
        <v>38755</v>
      </c>
      <c r="F1927" s="6" t="n">
        <v>0.4</v>
      </c>
      <c r="G1927" t="n">
        <v>11</v>
      </c>
      <c r="H1927" s="6">
        <f>ROUND(G1927*F1927,2)</f>
        <v/>
      </c>
      <c r="I1927">
        <f>IF(ROUND(H1927-D1927,2)=0,1,0)</f>
        <v/>
      </c>
      <c r="J1927">
        <f>IF(F1927="","none",IF(G1927=1,"carte","multiple"))</f>
        <v/>
      </c>
    </row>
    <row r="1928">
      <c r="A1928" t="inlineStr">
        <is>
          <t>2022-06-17</t>
        </is>
      </c>
      <c r="B1928" t="inlineStr">
        <is>
          <t>18:50</t>
        </is>
      </c>
      <c r="C1928" t="n">
        <v>2985</v>
      </c>
      <c r="D1928" s="6" t="n">
        <v>17.6</v>
      </c>
      <c r="E1928" t="n">
        <v>38756</v>
      </c>
      <c r="F1928" s="6" t="n">
        <v>17.6</v>
      </c>
      <c r="G1928" t="n">
        <v>1</v>
      </c>
      <c r="H1928" s="6">
        <f>ROUND(G1928*F1928,2)</f>
        <v/>
      </c>
      <c r="I1928">
        <f>IF(ROUND(H1928-D1928,2)=0,1,0)</f>
        <v/>
      </c>
      <c r="J1928">
        <f>IF(F1928="","none",IF(G1928=1,"carte","multiple"))</f>
        <v/>
      </c>
    </row>
    <row r="1929">
      <c r="A1929" t="inlineStr">
        <is>
          <t>2022-06-17</t>
        </is>
      </c>
      <c r="B1929" t="inlineStr">
        <is>
          <t>18:50</t>
        </is>
      </c>
      <c r="C1929" t="n">
        <v>2985</v>
      </c>
      <c r="D1929" s="6" t="n">
        <v>19.9</v>
      </c>
      <c r="E1929" t="n">
        <v>38757</v>
      </c>
      <c r="F1929" s="6" t="n">
        <v>19.9</v>
      </c>
      <c r="G1929" t="n">
        <v>1</v>
      </c>
      <c r="H1929" s="6">
        <f>ROUND(G1929*F1929,2)</f>
        <v/>
      </c>
      <c r="I1929">
        <f>IF(ROUND(H1929-D1929,2)=0,1,0)</f>
        <v/>
      </c>
      <c r="J1929">
        <f>IF(F1929="","none",IF(G1929=1,"carte","multiple"))</f>
        <v/>
      </c>
    </row>
    <row r="1930">
      <c r="A1930" t="inlineStr">
        <is>
          <t>2022-06-17</t>
        </is>
      </c>
      <c r="B1930" t="inlineStr">
        <is>
          <t>18:50</t>
        </is>
      </c>
      <c r="C1930" t="n">
        <v>2985</v>
      </c>
      <c r="D1930" s="6" t="n">
        <v>3.6</v>
      </c>
      <c r="E1930" t="n">
        <v>38758</v>
      </c>
      <c r="F1930" s="6" t="n">
        <v>3.6</v>
      </c>
      <c r="G1930" t="n">
        <v>1</v>
      </c>
      <c r="H1930" s="6">
        <f>ROUND(G1930*F1930,2)</f>
        <v/>
      </c>
      <c r="I1930">
        <f>IF(ROUND(H1930-D1930,2)=0,1,0)</f>
        <v/>
      </c>
      <c r="J1930">
        <f>IF(F1930="","none",IF(G1930=1,"carte","multiple"))</f>
        <v/>
      </c>
    </row>
    <row r="1931">
      <c r="A1931" t="inlineStr">
        <is>
          <t>2022-06-17</t>
        </is>
      </c>
      <c r="B1931" t="inlineStr">
        <is>
          <t>18:50</t>
        </is>
      </c>
      <c r="C1931" t="n">
        <v>2985</v>
      </c>
      <c r="D1931" s="6" t="n">
        <v>4.2</v>
      </c>
      <c r="E1931" t="n">
        <v>38759</v>
      </c>
      <c r="F1931" s="6" t="n">
        <v>4.2</v>
      </c>
      <c r="G1931" t="n">
        <v>1</v>
      </c>
      <c r="H1931" s="6">
        <f>ROUND(G1931*F1931,2)</f>
        <v/>
      </c>
      <c r="I1931">
        <f>IF(ROUND(H1931-D1931,2)=0,1,0)</f>
        <v/>
      </c>
      <c r="J1931">
        <f>IF(F1931="","none",IF(G1931=1,"carte","multiple"))</f>
        <v/>
      </c>
    </row>
    <row r="1932">
      <c r="A1932" t="inlineStr">
        <is>
          <t>2022-06-17</t>
        </is>
      </c>
      <c r="B1932" t="inlineStr">
        <is>
          <t>19:04</t>
        </is>
      </c>
      <c r="C1932" t="n">
        <v>2985</v>
      </c>
      <c r="D1932" s="6" t="n">
        <v>3.9</v>
      </c>
      <c r="E1932" t="n">
        <v>38760</v>
      </c>
      <c r="F1932" s="6" t="n">
        <v>3.9</v>
      </c>
      <c r="G1932" t="n">
        <v>1</v>
      </c>
      <c r="H1932" s="6">
        <f>ROUND(G1932*F1932,2)</f>
        <v/>
      </c>
      <c r="I1932">
        <f>IF(ROUND(H1932-D1932,2)=0,1,0)</f>
        <v/>
      </c>
      <c r="J1932">
        <f>IF(F1932="","none",IF(G1932=1,"carte","multiple"))</f>
        <v/>
      </c>
    </row>
    <row r="1933">
      <c r="A1933" t="inlineStr">
        <is>
          <t>2022-06-17</t>
        </is>
      </c>
      <c r="B1933" t="inlineStr">
        <is>
          <t>19:41</t>
        </is>
      </c>
      <c r="C1933" t="n">
        <v>2985</v>
      </c>
      <c r="D1933" s="6" t="n">
        <v>4.9</v>
      </c>
      <c r="E1933" t="n">
        <v>38761</v>
      </c>
      <c r="F1933" s="6" t="n">
        <v>4.9</v>
      </c>
      <c r="G1933" t="n">
        <v>1</v>
      </c>
      <c r="H1933" s="6">
        <f>ROUND(G1933*F1933,2)</f>
        <v/>
      </c>
      <c r="I1933">
        <f>IF(ROUND(H1933-D1933,2)=0,1,0)</f>
        <v/>
      </c>
      <c r="J1933">
        <f>IF(F1933="","none",IF(G1933=1,"carte","multiple"))</f>
        <v/>
      </c>
    </row>
    <row r="1934">
      <c r="A1934" t="inlineStr">
        <is>
          <t>2022-06-17</t>
        </is>
      </c>
      <c r="B1934" t="inlineStr">
        <is>
          <t>19:41</t>
        </is>
      </c>
      <c r="C1934" t="n">
        <v>2985</v>
      </c>
      <c r="D1934" s="6" t="n">
        <v>5.2</v>
      </c>
      <c r="E1934" t="n">
        <v>38762</v>
      </c>
      <c r="F1934" s="6" t="n">
        <v>5.2</v>
      </c>
      <c r="G1934" t="n">
        <v>1</v>
      </c>
      <c r="H1934" s="6">
        <f>ROUND(G1934*F1934,2)</f>
        <v/>
      </c>
      <c r="I1934">
        <f>IF(ROUND(H1934-D1934,2)=0,1,0)</f>
        <v/>
      </c>
      <c r="J1934">
        <f>IF(F1934="","none",IF(G1934=1,"carte","multiple"))</f>
        <v/>
      </c>
    </row>
    <row r="1935">
      <c r="A1935" t="inlineStr">
        <is>
          <t>2022-06-17</t>
        </is>
      </c>
      <c r="B1935" t="inlineStr">
        <is>
          <t>19:41</t>
        </is>
      </c>
      <c r="C1935" t="n">
        <v>2985</v>
      </c>
      <c r="D1935" s="6" t="n">
        <v>32</v>
      </c>
      <c r="E1935" t="n">
        <v>38763</v>
      </c>
      <c r="F1935" s="6" t="n">
        <v>32</v>
      </c>
      <c r="G1935" t="n">
        <v>1</v>
      </c>
      <c r="H1935" s="6">
        <f>ROUND(G1935*F1935,2)</f>
        <v/>
      </c>
      <c r="I1935">
        <f>IF(ROUND(H1935-D1935,2)=0,1,0)</f>
        <v/>
      </c>
      <c r="J1935">
        <f>IF(F1935="","none",IF(G1935=1,"carte","multiple"))</f>
        <v/>
      </c>
    </row>
    <row r="1936">
      <c r="A1936" t="inlineStr">
        <is>
          <t>2022-06-17</t>
        </is>
      </c>
      <c r="B1936" t="inlineStr">
        <is>
          <t>19:41</t>
        </is>
      </c>
      <c r="C1936" t="n">
        <v>2985</v>
      </c>
      <c r="D1936" s="6" t="n">
        <v>32</v>
      </c>
      <c r="E1936" t="n">
        <v>38764</v>
      </c>
      <c r="F1936" s="6" t="n">
        <v>32</v>
      </c>
      <c r="G1936" t="n">
        <v>1</v>
      </c>
      <c r="H1936" s="6">
        <f>ROUND(G1936*F1936,2)</f>
        <v/>
      </c>
      <c r="I1936">
        <f>IF(ROUND(H1936-D1936,2)=0,1,0)</f>
        <v/>
      </c>
      <c r="J1936">
        <f>IF(F1936="","none",IF(G1936=1,"carte","multiple"))</f>
        <v/>
      </c>
    </row>
    <row r="1937">
      <c r="A1937" t="inlineStr">
        <is>
          <t>2022-06-17</t>
        </is>
      </c>
      <c r="B1937" t="inlineStr">
        <is>
          <t>19:41</t>
        </is>
      </c>
      <c r="C1937" t="n">
        <v>2985</v>
      </c>
      <c r="D1937" s="6" t="n">
        <v>12</v>
      </c>
      <c r="E1937" t="n">
        <v>38765</v>
      </c>
      <c r="F1937" s="6" t="n">
        <v>12</v>
      </c>
      <c r="G1937" t="n">
        <v>1</v>
      </c>
      <c r="H1937" s="6">
        <f>ROUND(G1937*F1937,2)</f>
        <v/>
      </c>
      <c r="I1937">
        <f>IF(ROUND(H1937-D1937,2)=0,1,0)</f>
        <v/>
      </c>
      <c r="J1937">
        <f>IF(F1937="","none",IF(G1937=1,"carte","multiple"))</f>
        <v/>
      </c>
    </row>
    <row r="1938">
      <c r="A1938" t="inlineStr">
        <is>
          <t>2022-06-17</t>
        </is>
      </c>
      <c r="B1938" t="inlineStr">
        <is>
          <t>19:41</t>
        </is>
      </c>
      <c r="C1938" t="n">
        <v>2985</v>
      </c>
      <c r="D1938" s="6" t="n">
        <v>13.4</v>
      </c>
      <c r="E1938" t="n">
        <v>38766</v>
      </c>
      <c r="F1938" s="6" t="n">
        <v>13.4</v>
      </c>
      <c r="G1938" t="n">
        <v>1</v>
      </c>
      <c r="H1938" s="6">
        <f>ROUND(G1938*F1938,2)</f>
        <v/>
      </c>
      <c r="I1938">
        <f>IF(ROUND(H1938-D1938,2)=0,1,0)</f>
        <v/>
      </c>
      <c r="J1938">
        <f>IF(F1938="","none",IF(G1938=1,"carte","multiple"))</f>
        <v/>
      </c>
    </row>
    <row r="1939">
      <c r="A1939" t="inlineStr">
        <is>
          <t>2022-06-17</t>
        </is>
      </c>
      <c r="B1939" t="inlineStr">
        <is>
          <t>19:41</t>
        </is>
      </c>
      <c r="C1939" t="n">
        <v>2985</v>
      </c>
      <c r="D1939" s="6" t="n">
        <v>9.800000000000001</v>
      </c>
      <c r="E1939" t="n">
        <v>38767</v>
      </c>
      <c r="F1939" s="6" t="n">
        <v>9.800000000000001</v>
      </c>
      <c r="G1939" t="n">
        <v>1</v>
      </c>
      <c r="H1939" s="6">
        <f>ROUND(G1939*F1939,2)</f>
        <v/>
      </c>
      <c r="I1939">
        <f>IF(ROUND(H1939-D1939,2)=0,1,0)</f>
        <v/>
      </c>
      <c r="J1939">
        <f>IF(F1939="","none",IF(G1939=1,"carte","multiple"))</f>
        <v/>
      </c>
    </row>
    <row r="1940">
      <c r="A1940" t="inlineStr">
        <is>
          <t>2022-06-17</t>
        </is>
      </c>
      <c r="B1940" t="inlineStr">
        <is>
          <t>20:00</t>
        </is>
      </c>
      <c r="C1940" t="n">
        <v>2985</v>
      </c>
      <c r="D1940" s="6" t="n">
        <v>3.9</v>
      </c>
      <c r="E1940" t="n">
        <v>38768</v>
      </c>
      <c r="F1940" s="6" t="n">
        <v>3.9</v>
      </c>
      <c r="G1940" t="n">
        <v>1</v>
      </c>
      <c r="H1940" s="6">
        <f>ROUND(G1940*F1940,2)</f>
        <v/>
      </c>
      <c r="I1940">
        <f>IF(ROUND(H1940-D1940,2)=0,1,0)</f>
        <v/>
      </c>
      <c r="J1940">
        <f>IF(F1940="","none",IF(G1940=1,"carte","multiple"))</f>
        <v/>
      </c>
    </row>
    <row r="1941">
      <c r="A1941" t="inlineStr">
        <is>
          <t>2022-06-17</t>
        </is>
      </c>
      <c r="B1941" t="inlineStr">
        <is>
          <t>20:00</t>
        </is>
      </c>
      <c r="C1941" t="n">
        <v>2985</v>
      </c>
      <c r="D1941" s="6" t="n">
        <v>9.800000000000001</v>
      </c>
      <c r="E1941" t="n">
        <v>38769</v>
      </c>
      <c r="F1941" s="6" t="n">
        <v>9.800000000000001</v>
      </c>
      <c r="G1941" t="n">
        <v>1</v>
      </c>
      <c r="H1941" s="6">
        <f>ROUND(G1941*F1941,2)</f>
        <v/>
      </c>
      <c r="I1941">
        <f>IF(ROUND(H1941-D1941,2)=0,1,0)</f>
        <v/>
      </c>
      <c r="J1941">
        <f>IF(F1941="","none",IF(G1941=1,"carte","multiple"))</f>
        <v/>
      </c>
    </row>
    <row r="1942">
      <c r="A1942" t="inlineStr">
        <is>
          <t>2022-06-17</t>
        </is>
      </c>
      <c r="B1942" t="inlineStr">
        <is>
          <t>20:00</t>
        </is>
      </c>
      <c r="C1942" t="n">
        <v>2985</v>
      </c>
      <c r="D1942" s="6" t="n">
        <v>32</v>
      </c>
      <c r="E1942" t="n">
        <v>38770</v>
      </c>
      <c r="F1942" s="6" t="n">
        <v>32</v>
      </c>
      <c r="G1942" t="n">
        <v>1</v>
      </c>
      <c r="H1942" s="6">
        <f>ROUND(G1942*F1942,2)</f>
        <v/>
      </c>
      <c r="I1942">
        <f>IF(ROUND(H1942-D1942,2)=0,1,0)</f>
        <v/>
      </c>
      <c r="J1942">
        <f>IF(F1942="","none",IF(G1942=1,"carte","multiple"))</f>
        <v/>
      </c>
    </row>
    <row r="1943">
      <c r="A1943" t="inlineStr">
        <is>
          <t>2022-06-17</t>
        </is>
      </c>
      <c r="B1943" t="inlineStr">
        <is>
          <t>20:00</t>
        </is>
      </c>
      <c r="C1943" t="n">
        <v>2985</v>
      </c>
      <c r="D1943" s="6" t="n">
        <v>32</v>
      </c>
      <c r="E1943" t="n">
        <v>38771</v>
      </c>
      <c r="F1943" s="6" t="n">
        <v>32</v>
      </c>
      <c r="G1943" t="n">
        <v>1</v>
      </c>
      <c r="H1943" s="6">
        <f>ROUND(G1943*F1943,2)</f>
        <v/>
      </c>
      <c r="I1943">
        <f>IF(ROUND(H1943-D1943,2)=0,1,0)</f>
        <v/>
      </c>
      <c r="J1943">
        <f>IF(F1943="","none",IF(G1943=1,"carte","multiple"))</f>
        <v/>
      </c>
    </row>
    <row r="1944">
      <c r="A1944" t="inlineStr">
        <is>
          <t>2022-06-17</t>
        </is>
      </c>
      <c r="B1944" t="inlineStr">
        <is>
          <t>20:00</t>
        </is>
      </c>
      <c r="C1944" t="n">
        <v>2985</v>
      </c>
      <c r="D1944" s="6" t="n">
        <v>10.4</v>
      </c>
      <c r="E1944" t="n">
        <v>38772</v>
      </c>
      <c r="F1944" s="6" t="n">
        <v>0.4</v>
      </c>
      <c r="G1944" t="n">
        <v>26</v>
      </c>
      <c r="H1944" s="6">
        <f>ROUND(G1944*F1944,2)</f>
        <v/>
      </c>
      <c r="I1944">
        <f>IF(ROUND(H1944-D1944,2)=0,1,0)</f>
        <v/>
      </c>
      <c r="J1944">
        <f>IF(F1944="","none",IF(G1944=1,"carte","multiple"))</f>
        <v/>
      </c>
    </row>
    <row r="1945">
      <c r="A1945" t="inlineStr">
        <is>
          <t>2022-06-17</t>
        </is>
      </c>
      <c r="B1945" t="inlineStr">
        <is>
          <t>20:01</t>
        </is>
      </c>
      <c r="C1945" t="n">
        <v>2985</v>
      </c>
      <c r="D1945" s="6" t="n">
        <v>32</v>
      </c>
      <c r="E1945" t="n">
        <v>38773</v>
      </c>
      <c r="F1945" s="6" t="n">
        <v>32</v>
      </c>
      <c r="G1945" t="n">
        <v>1</v>
      </c>
      <c r="H1945" s="6">
        <f>ROUND(G1945*F1945,2)</f>
        <v/>
      </c>
      <c r="I1945">
        <f>IF(ROUND(H1945-D1945,2)=0,1,0)</f>
        <v/>
      </c>
      <c r="J1945">
        <f>IF(F1945="","none",IF(G1945=1,"carte","multiple"))</f>
        <v/>
      </c>
    </row>
    <row r="1946">
      <c r="A1946" t="inlineStr">
        <is>
          <t>2022-06-17</t>
        </is>
      </c>
      <c r="B1946" t="inlineStr">
        <is>
          <t>20:01</t>
        </is>
      </c>
      <c r="C1946" t="n">
        <v>2985</v>
      </c>
      <c r="D1946" s="6" t="n">
        <v>32</v>
      </c>
      <c r="E1946" t="n">
        <v>38774</v>
      </c>
      <c r="F1946" s="6" t="n">
        <v>32</v>
      </c>
      <c r="G1946" t="n">
        <v>1</v>
      </c>
      <c r="H1946" s="6">
        <f>ROUND(G1946*F1946,2)</f>
        <v/>
      </c>
      <c r="I1946">
        <f>IF(ROUND(H1946-D1946,2)=0,1,0)</f>
        <v/>
      </c>
      <c r="J1946">
        <f>IF(F1946="","none",IF(G1946=1,"carte","multiple"))</f>
        <v/>
      </c>
    </row>
    <row r="1947">
      <c r="A1947" t="inlineStr">
        <is>
          <t>2022-06-17</t>
        </is>
      </c>
      <c r="B1947" t="inlineStr">
        <is>
          <t>20:01</t>
        </is>
      </c>
      <c r="C1947" t="n">
        <v>2985</v>
      </c>
      <c r="D1947" s="6" t="n">
        <v>4.9</v>
      </c>
      <c r="E1947" t="n">
        <v>38775</v>
      </c>
      <c r="F1947" s="6" t="n">
        <v>4.9</v>
      </c>
      <c r="G1947" t="n">
        <v>1</v>
      </c>
      <c r="H1947" s="6">
        <f>ROUND(G1947*F1947,2)</f>
        <v/>
      </c>
      <c r="I1947">
        <f>IF(ROUND(H1947-D1947,2)=0,1,0)</f>
        <v/>
      </c>
      <c r="J1947">
        <f>IF(F1947="","none",IF(G1947=1,"carte","multiple"))</f>
        <v/>
      </c>
    </row>
    <row r="1948">
      <c r="A1948" t="inlineStr">
        <is>
          <t>2022-06-17</t>
        </is>
      </c>
      <c r="B1948" t="inlineStr">
        <is>
          <t>20:01</t>
        </is>
      </c>
      <c r="C1948" t="n">
        <v>2985</v>
      </c>
      <c r="D1948" s="6" t="n">
        <v>3.8</v>
      </c>
      <c r="E1948" t="n">
        <v>38776</v>
      </c>
      <c r="F1948" s="6" t="n">
        <v>3.8</v>
      </c>
      <c r="G1948" t="n">
        <v>1</v>
      </c>
      <c r="H1948" s="6">
        <f>ROUND(G1948*F1948,2)</f>
        <v/>
      </c>
      <c r="I1948">
        <f>IF(ROUND(H1948-D1948,2)=0,1,0)</f>
        <v/>
      </c>
      <c r="J1948">
        <f>IF(F1948="","none",IF(G1948=1,"carte","multiple"))</f>
        <v/>
      </c>
    </row>
    <row r="1949">
      <c r="A1949" t="inlineStr">
        <is>
          <t>2022-06-17</t>
        </is>
      </c>
      <c r="B1949" t="inlineStr">
        <is>
          <t>20:01</t>
        </is>
      </c>
      <c r="C1949" t="n">
        <v>2985</v>
      </c>
      <c r="D1949" s="6" t="n">
        <v>24.9</v>
      </c>
      <c r="E1949" t="n">
        <v>38777</v>
      </c>
      <c r="F1949" s="6" t="n">
        <v>24.9</v>
      </c>
      <c r="G1949" t="n">
        <v>1</v>
      </c>
      <c r="H1949" s="6">
        <f>ROUND(G1949*F1949,2)</f>
        <v/>
      </c>
      <c r="I1949">
        <f>IF(ROUND(H1949-D1949,2)=0,1,0)</f>
        <v/>
      </c>
      <c r="J1949">
        <f>IF(F1949="","none",IF(G1949=1,"carte","multiple"))</f>
        <v/>
      </c>
    </row>
    <row r="1950">
      <c r="A1950" t="inlineStr">
        <is>
          <t>2022-06-17</t>
        </is>
      </c>
      <c r="B1950" t="inlineStr">
        <is>
          <t>20:12</t>
        </is>
      </c>
      <c r="C1950" t="n">
        <v>2985</v>
      </c>
      <c r="D1950" s="6" t="n">
        <v>5.2</v>
      </c>
      <c r="E1950" t="n">
        <v>38778</v>
      </c>
      <c r="F1950" s="6" t="n">
        <v>5.2</v>
      </c>
      <c r="G1950" t="n">
        <v>1</v>
      </c>
      <c r="H1950" s="6">
        <f>ROUND(G1950*F1950,2)</f>
        <v/>
      </c>
      <c r="I1950">
        <f>IF(ROUND(H1950-D1950,2)=0,1,0)</f>
        <v/>
      </c>
      <c r="J1950">
        <f>IF(F1950="","none",IF(G1950=1,"carte","multiple"))</f>
        <v/>
      </c>
    </row>
    <row r="1951">
      <c r="A1951" t="inlineStr">
        <is>
          <t>2022-06-17</t>
        </is>
      </c>
      <c r="B1951" t="inlineStr">
        <is>
          <t>20:12</t>
        </is>
      </c>
      <c r="C1951" t="n">
        <v>2985</v>
      </c>
      <c r="D1951" s="6" t="n">
        <v>4</v>
      </c>
      <c r="E1951" t="n">
        <v>38779</v>
      </c>
      <c r="F1951" s="6" t="n">
        <v>4</v>
      </c>
      <c r="G1951" t="n">
        <v>1</v>
      </c>
      <c r="H1951" s="6">
        <f>ROUND(G1951*F1951,2)</f>
        <v/>
      </c>
      <c r="I1951">
        <f>IF(ROUND(H1951-D1951,2)=0,1,0)</f>
        <v/>
      </c>
      <c r="J1951">
        <f>IF(F1951="","none",IF(G1951=1,"carte","multiple"))</f>
        <v/>
      </c>
    </row>
    <row r="1952">
      <c r="A1952" t="inlineStr">
        <is>
          <t>2022-06-17</t>
        </is>
      </c>
      <c r="B1952" t="inlineStr">
        <is>
          <t>20:12</t>
        </is>
      </c>
      <c r="C1952" t="n">
        <v>2985</v>
      </c>
      <c r="D1952" s="6" t="n">
        <v>17.6</v>
      </c>
      <c r="E1952" t="n">
        <v>38780</v>
      </c>
      <c r="F1952" s="6" t="n">
        <v>17.6</v>
      </c>
      <c r="G1952" t="n">
        <v>1</v>
      </c>
      <c r="H1952" s="6">
        <f>ROUND(G1952*F1952,2)</f>
        <v/>
      </c>
      <c r="I1952">
        <f>IF(ROUND(H1952-D1952,2)=0,1,0)</f>
        <v/>
      </c>
      <c r="J1952">
        <f>IF(F1952="","none",IF(G1952=1,"carte","multiple"))</f>
        <v/>
      </c>
    </row>
    <row r="1953">
      <c r="A1953" t="inlineStr">
        <is>
          <t>2022-06-17</t>
        </is>
      </c>
      <c r="B1953" t="inlineStr">
        <is>
          <t>20:12</t>
        </is>
      </c>
      <c r="C1953" t="n">
        <v>2985</v>
      </c>
      <c r="D1953" s="6" t="n">
        <v>52.8</v>
      </c>
      <c r="E1953" t="n">
        <v>38781</v>
      </c>
      <c r="F1953" s="6" t="n">
        <v>0.4</v>
      </c>
      <c r="G1953" t="n">
        <v>132</v>
      </c>
      <c r="H1953" s="6">
        <f>ROUND(G1953*F1953,2)</f>
        <v/>
      </c>
      <c r="I1953">
        <f>IF(ROUND(H1953-D1953,2)=0,1,0)</f>
        <v/>
      </c>
      <c r="J1953">
        <f>IF(F1953="","none",IF(G1953=1,"carte","multiple"))</f>
        <v/>
      </c>
    </row>
    <row r="1954">
      <c r="A1954" t="inlineStr">
        <is>
          <t>2022-06-17</t>
        </is>
      </c>
      <c r="B1954" t="inlineStr">
        <is>
          <t>20:12</t>
        </is>
      </c>
      <c r="C1954" t="n">
        <v>2985</v>
      </c>
      <c r="D1954" s="6" t="n">
        <v>16.9</v>
      </c>
      <c r="E1954" t="n">
        <v>38782</v>
      </c>
      <c r="F1954" s="6" t="n">
        <v>16.9</v>
      </c>
      <c r="G1954" t="n">
        <v>1</v>
      </c>
      <c r="H1954" s="6">
        <f>ROUND(G1954*F1954,2)</f>
        <v/>
      </c>
      <c r="I1954">
        <f>IF(ROUND(H1954-D1954,2)=0,1,0)</f>
        <v/>
      </c>
      <c r="J1954">
        <f>IF(F1954="","none",IF(G1954=1,"carte","multiple"))</f>
        <v/>
      </c>
    </row>
    <row r="1955">
      <c r="A1955" t="inlineStr">
        <is>
          <t>2022-06-17</t>
        </is>
      </c>
      <c r="B1955" t="inlineStr">
        <is>
          <t>20:12</t>
        </is>
      </c>
      <c r="C1955" t="n">
        <v>2985</v>
      </c>
      <c r="D1955" s="6" t="n">
        <v>7.2</v>
      </c>
      <c r="E1955" t="n">
        <v>38783</v>
      </c>
      <c r="F1955" s="6" t="n">
        <v>7.2</v>
      </c>
      <c r="G1955" t="n">
        <v>1</v>
      </c>
      <c r="H1955" s="6">
        <f>ROUND(G1955*F1955,2)</f>
        <v/>
      </c>
      <c r="I1955">
        <f>IF(ROUND(H1955-D1955,2)=0,1,0)</f>
        <v/>
      </c>
      <c r="J1955">
        <f>IF(F1955="","none",IF(G1955=1,"carte","multiple"))</f>
        <v/>
      </c>
    </row>
    <row r="1956">
      <c r="A1956" t="inlineStr">
        <is>
          <t>2022-06-17</t>
        </is>
      </c>
      <c r="B1956" t="inlineStr">
        <is>
          <t>20:12</t>
        </is>
      </c>
      <c r="C1956" t="n">
        <v>2985</v>
      </c>
      <c r="D1956" s="6" t="n">
        <v>16</v>
      </c>
      <c r="E1956" t="n">
        <v>38784</v>
      </c>
      <c r="F1956" s="6" t="n">
        <v>16</v>
      </c>
      <c r="G1956" t="n">
        <v>1</v>
      </c>
      <c r="H1956" s="6">
        <f>ROUND(G1956*F1956,2)</f>
        <v/>
      </c>
      <c r="I1956">
        <f>IF(ROUND(H1956-D1956,2)=0,1,0)</f>
        <v/>
      </c>
      <c r="J1956">
        <f>IF(F1956="","none",IF(G1956=1,"carte","multiple"))</f>
        <v/>
      </c>
    </row>
    <row r="1957">
      <c r="A1957" t="inlineStr">
        <is>
          <t>2022-06-17</t>
        </is>
      </c>
      <c r="B1957" t="inlineStr">
        <is>
          <t>20:12</t>
        </is>
      </c>
      <c r="C1957" t="n">
        <v>2985</v>
      </c>
      <c r="D1957" s="6" t="n">
        <v>58</v>
      </c>
      <c r="E1957" t="n">
        <v>38785</v>
      </c>
      <c r="F1957" s="6" t="n">
        <v>0.4</v>
      </c>
      <c r="G1957" t="n">
        <v>145</v>
      </c>
      <c r="H1957" s="6">
        <f>ROUND(G1957*F1957,2)</f>
        <v/>
      </c>
      <c r="I1957">
        <f>IF(ROUND(H1957-D1957,2)=0,1,0)</f>
        <v/>
      </c>
      <c r="J1957">
        <f>IF(F1957="","none",IF(G1957=1,"carte","multiple"))</f>
        <v/>
      </c>
    </row>
    <row r="1958">
      <c r="A1958" t="inlineStr">
        <is>
          <t>2022-06-17</t>
        </is>
      </c>
      <c r="B1958" t="inlineStr">
        <is>
          <t>20:12</t>
        </is>
      </c>
      <c r="C1958" t="n">
        <v>2985</v>
      </c>
      <c r="D1958" s="6" t="n">
        <v>3.8</v>
      </c>
      <c r="E1958" t="n">
        <v>38786</v>
      </c>
      <c r="F1958" s="6" t="n">
        <v>3.8</v>
      </c>
      <c r="G1958" t="n">
        <v>1</v>
      </c>
      <c r="H1958" s="6">
        <f>ROUND(G1958*F1958,2)</f>
        <v/>
      </c>
      <c r="I1958">
        <f>IF(ROUND(H1958-D1958,2)=0,1,0)</f>
        <v/>
      </c>
      <c r="J1958">
        <f>IF(F1958="","none",IF(G1958=1,"carte","multiple"))</f>
        <v/>
      </c>
    </row>
    <row r="1959">
      <c r="A1959" t="inlineStr">
        <is>
          <t>2022-06-17</t>
        </is>
      </c>
      <c r="B1959" t="inlineStr">
        <is>
          <t>20:12</t>
        </is>
      </c>
      <c r="C1959" t="n">
        <v>2985</v>
      </c>
      <c r="D1959" s="6" t="n">
        <v>3.9</v>
      </c>
      <c r="E1959" t="n">
        <v>38787</v>
      </c>
      <c r="F1959" s="6" t="n">
        <v>3.9</v>
      </c>
      <c r="G1959" t="n">
        <v>1</v>
      </c>
      <c r="H1959" s="6">
        <f>ROUND(G1959*F1959,2)</f>
        <v/>
      </c>
      <c r="I1959">
        <f>IF(ROUND(H1959-D1959,2)=0,1,0)</f>
        <v/>
      </c>
      <c r="J1959">
        <f>IF(F1959="","none",IF(G1959=1,"carte","multiple"))</f>
        <v/>
      </c>
    </row>
    <row r="1960">
      <c r="A1960" t="inlineStr">
        <is>
          <t>2022-06-17</t>
        </is>
      </c>
      <c r="B1960" t="inlineStr">
        <is>
          <t>20:12</t>
        </is>
      </c>
      <c r="C1960" t="n">
        <v>2985</v>
      </c>
      <c r="D1960" s="6" t="n">
        <v>24</v>
      </c>
      <c r="E1960" t="n">
        <v>38788</v>
      </c>
      <c r="F1960" s="6" t="n">
        <v>24</v>
      </c>
      <c r="G1960" t="n">
        <v>1</v>
      </c>
      <c r="H1960" s="6">
        <f>ROUND(G1960*F1960,2)</f>
        <v/>
      </c>
      <c r="I1960">
        <f>IF(ROUND(H1960-D1960,2)=0,1,0)</f>
        <v/>
      </c>
      <c r="J1960">
        <f>IF(F1960="","none",IF(G1960=1,"carte","multiple"))</f>
        <v/>
      </c>
    </row>
    <row r="1961">
      <c r="A1961" t="inlineStr">
        <is>
          <t>2022-06-17</t>
        </is>
      </c>
      <c r="B1961" t="inlineStr">
        <is>
          <t>20:16</t>
        </is>
      </c>
      <c r="C1961" t="n">
        <v>2985</v>
      </c>
      <c r="D1961" s="6" t="n">
        <v>8.699999999999999</v>
      </c>
      <c r="E1961" t="n">
        <v>38789</v>
      </c>
      <c r="F1961" s="6" t="n">
        <v>8.699999999999999</v>
      </c>
      <c r="G1961" t="n">
        <v>1</v>
      </c>
      <c r="H1961" s="6">
        <f>ROUND(G1961*F1961,2)</f>
        <v/>
      </c>
      <c r="I1961">
        <f>IF(ROUND(H1961-D1961,2)=0,1,0)</f>
        <v/>
      </c>
      <c r="J1961">
        <f>IF(F1961="","none",IF(G1961=1,"carte","multiple"))</f>
        <v/>
      </c>
    </row>
    <row r="1962">
      <c r="A1962" t="inlineStr">
        <is>
          <t>2022-06-17</t>
        </is>
      </c>
      <c r="B1962" t="inlineStr">
        <is>
          <t>20:16</t>
        </is>
      </c>
      <c r="C1962" t="n">
        <v>2985</v>
      </c>
      <c r="D1962" s="6" t="n">
        <v>19</v>
      </c>
      <c r="E1962" t="n">
        <v>38790</v>
      </c>
      <c r="F1962" s="6" t="n">
        <v>19</v>
      </c>
      <c r="G1962" t="n">
        <v>1</v>
      </c>
      <c r="H1962" s="6">
        <f>ROUND(G1962*F1962,2)</f>
        <v/>
      </c>
      <c r="I1962">
        <f>IF(ROUND(H1962-D1962,2)=0,1,0)</f>
        <v/>
      </c>
      <c r="J1962">
        <f>IF(F1962="","none",IF(G1962=1,"carte","multiple"))</f>
        <v/>
      </c>
    </row>
    <row r="1963">
      <c r="A1963" t="inlineStr">
        <is>
          <t>2022-06-17</t>
        </is>
      </c>
      <c r="B1963" t="inlineStr">
        <is>
          <t>20:16</t>
        </is>
      </c>
      <c r="C1963" t="n">
        <v>2985</v>
      </c>
      <c r="D1963" s="6" t="n">
        <v>15</v>
      </c>
      <c r="E1963" t="n">
        <v>38791</v>
      </c>
      <c r="F1963" s="6" t="n">
        <v>15</v>
      </c>
      <c r="G1963" t="n">
        <v>1</v>
      </c>
      <c r="H1963" s="6">
        <f>ROUND(G1963*F1963,2)</f>
        <v/>
      </c>
      <c r="I1963">
        <f>IF(ROUND(H1963-D1963,2)=0,1,0)</f>
        <v/>
      </c>
      <c r="J1963">
        <f>IF(F1963="","none",IF(G1963=1,"carte","multiple"))</f>
        <v/>
      </c>
    </row>
    <row r="1964">
      <c r="A1964" t="inlineStr">
        <is>
          <t>2022-06-17</t>
        </is>
      </c>
      <c r="B1964" t="inlineStr">
        <is>
          <t>20:16</t>
        </is>
      </c>
      <c r="C1964" t="n">
        <v>2985</v>
      </c>
      <c r="D1964" s="6" t="n">
        <v>7.8</v>
      </c>
      <c r="E1964" t="n">
        <v>38792</v>
      </c>
      <c r="F1964" s="6" t="n">
        <v>7.8</v>
      </c>
      <c r="G1964" t="n">
        <v>1</v>
      </c>
      <c r="H1964" s="6">
        <f>ROUND(G1964*F1964,2)</f>
        <v/>
      </c>
      <c r="I1964">
        <f>IF(ROUND(H1964-D1964,2)=0,1,0)</f>
        <v/>
      </c>
      <c r="J1964">
        <f>IF(F1964="","none",IF(G1964=1,"carte","multiple"))</f>
        <v/>
      </c>
    </row>
    <row r="1965">
      <c r="A1965" t="inlineStr">
        <is>
          <t>2022-06-17</t>
        </is>
      </c>
      <c r="B1965" t="inlineStr">
        <is>
          <t>20:16</t>
        </is>
      </c>
      <c r="C1965" t="n">
        <v>2985</v>
      </c>
      <c r="D1965" s="6" t="n">
        <v>7.5</v>
      </c>
      <c r="E1965" t="n">
        <v>38793</v>
      </c>
      <c r="F1965" s="6" t="n">
        <v>7.5</v>
      </c>
      <c r="G1965" t="n">
        <v>1</v>
      </c>
      <c r="H1965" s="6">
        <f>ROUND(G1965*F1965,2)</f>
        <v/>
      </c>
      <c r="I1965">
        <f>IF(ROUND(H1965-D1965,2)=0,1,0)</f>
        <v/>
      </c>
      <c r="J1965">
        <f>IF(F1965="","none",IF(G1965=1,"carte","multiple"))</f>
        <v/>
      </c>
    </row>
    <row r="1966">
      <c r="A1966" t="inlineStr">
        <is>
          <t>2022-06-17</t>
        </is>
      </c>
      <c r="B1966" t="inlineStr">
        <is>
          <t>20:18</t>
        </is>
      </c>
      <c r="C1966" t="n">
        <v>2985</v>
      </c>
      <c r="D1966" s="6" t="n">
        <v>5.9</v>
      </c>
      <c r="E1966" t="n">
        <v>38794</v>
      </c>
      <c r="F1966" s="6" t="n">
        <v>5.9</v>
      </c>
      <c r="G1966" t="n">
        <v>1</v>
      </c>
      <c r="H1966" s="6">
        <f>ROUND(G1966*F1966,2)</f>
        <v/>
      </c>
      <c r="I1966">
        <f>IF(ROUND(H1966-D1966,2)=0,1,0)</f>
        <v/>
      </c>
      <c r="J1966">
        <f>IF(F1966="","none",IF(G1966=1,"carte","multiple"))</f>
        <v/>
      </c>
    </row>
    <row r="1967">
      <c r="A1967" t="inlineStr">
        <is>
          <t>2022-06-17</t>
        </is>
      </c>
      <c r="B1967" t="inlineStr">
        <is>
          <t>20:18</t>
        </is>
      </c>
      <c r="C1967" t="n">
        <v>2985</v>
      </c>
      <c r="D1967" s="6" t="n">
        <v>3.9</v>
      </c>
      <c r="E1967" t="n">
        <v>38795</v>
      </c>
      <c r="F1967" s="6" t="n">
        <v>3.9</v>
      </c>
      <c r="G1967" t="n">
        <v>1</v>
      </c>
      <c r="H1967" s="6">
        <f>ROUND(G1967*F1967,2)</f>
        <v/>
      </c>
      <c r="I1967">
        <f>IF(ROUND(H1967-D1967,2)=0,1,0)</f>
        <v/>
      </c>
      <c r="J1967">
        <f>IF(F1967="","none",IF(G1967=1,"carte","multiple"))</f>
        <v/>
      </c>
    </row>
    <row r="1968">
      <c r="A1968" t="inlineStr">
        <is>
          <t>2022-06-17</t>
        </is>
      </c>
      <c r="B1968" t="inlineStr">
        <is>
          <t>20:18</t>
        </is>
      </c>
      <c r="C1968" t="n">
        <v>2985</v>
      </c>
      <c r="D1968" s="6" t="n">
        <v>8.800000000000001</v>
      </c>
      <c r="E1968" t="n">
        <v>38796</v>
      </c>
      <c r="F1968" s="6" t="n">
        <v>8.800000000000001</v>
      </c>
      <c r="G1968" t="n">
        <v>1</v>
      </c>
      <c r="H1968" s="6">
        <f>ROUND(G1968*F1968,2)</f>
        <v/>
      </c>
      <c r="I1968">
        <f>IF(ROUND(H1968-D1968,2)=0,1,0)</f>
        <v/>
      </c>
      <c r="J1968">
        <f>IF(F1968="","none",IF(G1968=1,"carte","multiple"))</f>
        <v/>
      </c>
    </row>
    <row r="1969">
      <c r="A1969" t="inlineStr">
        <is>
          <t>2022-06-17</t>
        </is>
      </c>
      <c r="B1969" t="inlineStr">
        <is>
          <t>20:18</t>
        </is>
      </c>
      <c r="C1969" t="n">
        <v>2985</v>
      </c>
      <c r="D1969" s="6" t="n">
        <v>59.7</v>
      </c>
      <c r="E1969" t="n">
        <v>38797</v>
      </c>
      <c r="F1969" s="6" t="n">
        <v>19.9</v>
      </c>
      <c r="G1969" t="n">
        <v>3</v>
      </c>
      <c r="H1969" s="6">
        <f>ROUND(G1969*F1969,2)</f>
        <v/>
      </c>
      <c r="I1969">
        <f>IF(ROUND(H1969-D1969,2)=0,1,0)</f>
        <v/>
      </c>
      <c r="J1969">
        <f>IF(F1969="","none",IF(G1969=1,"carte","multiple"))</f>
        <v/>
      </c>
    </row>
    <row r="1970">
      <c r="A1970" t="inlineStr">
        <is>
          <t>2022-06-17</t>
        </is>
      </c>
      <c r="B1970" t="inlineStr">
        <is>
          <t>20:18</t>
        </is>
      </c>
      <c r="C1970" t="n">
        <v>2985</v>
      </c>
      <c r="D1970" s="6" t="n">
        <v>3.9</v>
      </c>
      <c r="E1970" t="n">
        <v>38798</v>
      </c>
      <c r="F1970" s="6" t="n">
        <v>3.9</v>
      </c>
      <c r="G1970" t="n">
        <v>1</v>
      </c>
      <c r="H1970" s="6">
        <f>ROUND(G1970*F1970,2)</f>
        <v/>
      </c>
      <c r="I1970">
        <f>IF(ROUND(H1970-D1970,2)=0,1,0)</f>
        <v/>
      </c>
      <c r="J1970">
        <f>IF(F1970="","none",IF(G1970=1,"carte","multiple"))</f>
        <v/>
      </c>
    </row>
    <row r="1971">
      <c r="A1971" t="inlineStr">
        <is>
          <t>2022-06-17</t>
        </is>
      </c>
      <c r="B1971" t="inlineStr">
        <is>
          <t>20:18</t>
        </is>
      </c>
      <c r="C1971" t="n">
        <v>2985</v>
      </c>
      <c r="D1971" s="6" t="n">
        <v>3.9</v>
      </c>
      <c r="E1971" t="n">
        <v>38799</v>
      </c>
      <c r="F1971" s="6" t="n">
        <v>3.9</v>
      </c>
      <c r="G1971" t="n">
        <v>1</v>
      </c>
      <c r="H1971" s="6">
        <f>ROUND(G1971*F1971,2)</f>
        <v/>
      </c>
      <c r="I1971">
        <f>IF(ROUND(H1971-D1971,2)=0,1,0)</f>
        <v/>
      </c>
      <c r="J1971">
        <f>IF(F1971="","none",IF(G1971=1,"carte","multiple"))</f>
        <v/>
      </c>
    </row>
    <row r="1972">
      <c r="A1972" t="inlineStr">
        <is>
          <t>2022-06-17</t>
        </is>
      </c>
      <c r="B1972" t="inlineStr">
        <is>
          <t>20:18</t>
        </is>
      </c>
      <c r="C1972" t="n">
        <v>2985</v>
      </c>
      <c r="D1972" s="6" t="n">
        <v>14.9</v>
      </c>
      <c r="E1972" t="n">
        <v>38800</v>
      </c>
      <c r="F1972" s="6" t="n">
        <v>14.9</v>
      </c>
      <c r="G1972" t="n">
        <v>1</v>
      </c>
      <c r="H1972" s="6">
        <f>ROUND(G1972*F1972,2)</f>
        <v/>
      </c>
      <c r="I1972">
        <f>IF(ROUND(H1972-D1972,2)=0,1,0)</f>
        <v/>
      </c>
      <c r="J1972">
        <f>IF(F1972="","none",IF(G1972=1,"carte","multiple"))</f>
        <v/>
      </c>
    </row>
    <row r="1973">
      <c r="A1973" t="inlineStr">
        <is>
          <t>2022-06-17</t>
        </is>
      </c>
      <c r="B1973" t="inlineStr">
        <is>
          <t>20:33</t>
        </is>
      </c>
      <c r="C1973" t="n">
        <v>2985</v>
      </c>
      <c r="D1973" s="6" t="n">
        <v>4.9</v>
      </c>
      <c r="E1973" t="n">
        <v>38801</v>
      </c>
      <c r="F1973" s="6" t="n">
        <v>4.9</v>
      </c>
      <c r="G1973" t="n">
        <v>1</v>
      </c>
      <c r="H1973" s="6">
        <f>ROUND(G1973*F1973,2)</f>
        <v/>
      </c>
      <c r="I1973">
        <f>IF(ROUND(H1973-D1973,2)=0,1,0)</f>
        <v/>
      </c>
      <c r="J1973">
        <f>IF(F1973="","none",IF(G1973=1,"carte","multiple"))</f>
        <v/>
      </c>
    </row>
    <row r="1974">
      <c r="A1974" t="inlineStr">
        <is>
          <t>2022-06-17</t>
        </is>
      </c>
      <c r="B1974" t="inlineStr">
        <is>
          <t>20:33</t>
        </is>
      </c>
      <c r="C1974" t="n">
        <v>2985</v>
      </c>
      <c r="D1974" s="6" t="n">
        <v>5.2</v>
      </c>
      <c r="E1974" t="n">
        <v>38802</v>
      </c>
      <c r="F1974" s="6" t="n">
        <v>5.2</v>
      </c>
      <c r="G1974" t="n">
        <v>1</v>
      </c>
      <c r="H1974" s="6">
        <f>ROUND(G1974*F1974,2)</f>
        <v/>
      </c>
      <c r="I1974">
        <f>IF(ROUND(H1974-D1974,2)=0,1,0)</f>
        <v/>
      </c>
      <c r="J1974">
        <f>IF(F1974="","none",IF(G1974=1,"carte","multiple"))</f>
        <v/>
      </c>
    </row>
    <row r="1975">
      <c r="A1975" t="inlineStr">
        <is>
          <t>2022-06-17</t>
        </is>
      </c>
      <c r="B1975" t="inlineStr">
        <is>
          <t>20:33</t>
        </is>
      </c>
      <c r="C1975" t="n">
        <v>2985</v>
      </c>
      <c r="D1975" s="6" t="n">
        <v>12</v>
      </c>
      <c r="E1975" t="n">
        <v>38803</v>
      </c>
      <c r="F1975" s="6" t="n">
        <v>12</v>
      </c>
      <c r="G1975" t="n">
        <v>1</v>
      </c>
      <c r="H1975" s="6">
        <f>ROUND(G1975*F1975,2)</f>
        <v/>
      </c>
      <c r="I1975">
        <f>IF(ROUND(H1975-D1975,2)=0,1,0)</f>
        <v/>
      </c>
      <c r="J1975">
        <f>IF(F1975="","none",IF(G1975=1,"carte","multiple"))</f>
        <v/>
      </c>
    </row>
    <row r="1976">
      <c r="A1976" t="inlineStr">
        <is>
          <t>2022-06-17</t>
        </is>
      </c>
      <c r="B1976" t="inlineStr">
        <is>
          <t>20:33</t>
        </is>
      </c>
      <c r="C1976" t="n">
        <v>2985</v>
      </c>
      <c r="D1976" s="6" t="n">
        <v>13.4</v>
      </c>
      <c r="E1976" t="n">
        <v>38804</v>
      </c>
      <c r="F1976" s="6" t="n">
        <v>13.4</v>
      </c>
      <c r="G1976" t="n">
        <v>1</v>
      </c>
      <c r="H1976" s="6">
        <f>ROUND(G1976*F1976,2)</f>
        <v/>
      </c>
      <c r="I1976">
        <f>IF(ROUND(H1976-D1976,2)=0,1,0)</f>
        <v/>
      </c>
      <c r="J1976">
        <f>IF(F1976="","none",IF(G1976=1,"carte","multiple"))</f>
        <v/>
      </c>
    </row>
    <row r="1977">
      <c r="A1977" t="inlineStr">
        <is>
          <t>2022-06-17</t>
        </is>
      </c>
      <c r="B1977" t="inlineStr">
        <is>
          <t>20:33</t>
        </is>
      </c>
      <c r="C1977" t="n">
        <v>2985</v>
      </c>
      <c r="D1977" s="6" t="n">
        <v>9.800000000000001</v>
      </c>
      <c r="E1977" t="n">
        <v>38805</v>
      </c>
      <c r="F1977" s="6" t="n">
        <v>9.800000000000001</v>
      </c>
      <c r="G1977" t="n">
        <v>1</v>
      </c>
      <c r="H1977" s="6">
        <f>ROUND(G1977*F1977,2)</f>
        <v/>
      </c>
      <c r="I1977">
        <f>IF(ROUND(H1977-D1977,2)=0,1,0)</f>
        <v/>
      </c>
      <c r="J1977">
        <f>IF(F1977="","none",IF(G1977=1,"carte","multiple"))</f>
        <v/>
      </c>
    </row>
    <row r="1978">
      <c r="A1978" t="inlineStr">
        <is>
          <t>2022-06-17</t>
        </is>
      </c>
      <c r="B1978" t="inlineStr">
        <is>
          <t>20:33</t>
        </is>
      </c>
      <c r="C1978" t="n">
        <v>2985</v>
      </c>
      <c r="D1978" s="6" t="n">
        <v>32</v>
      </c>
      <c r="E1978" t="n">
        <v>38806</v>
      </c>
      <c r="F1978" s="6" t="n">
        <v>32</v>
      </c>
      <c r="G1978" t="n">
        <v>1</v>
      </c>
      <c r="H1978" s="6">
        <f>ROUND(G1978*F1978,2)</f>
        <v/>
      </c>
      <c r="I1978">
        <f>IF(ROUND(H1978-D1978,2)=0,1,0)</f>
        <v/>
      </c>
      <c r="J1978">
        <f>IF(F1978="","none",IF(G1978=1,"carte","multiple"))</f>
        <v/>
      </c>
    </row>
    <row r="1979">
      <c r="A1979" t="inlineStr">
        <is>
          <t>2022-06-17</t>
        </is>
      </c>
      <c r="B1979" t="inlineStr">
        <is>
          <t>20:33</t>
        </is>
      </c>
      <c r="C1979" t="n">
        <v>2985</v>
      </c>
      <c r="D1979" s="6" t="n">
        <v>32</v>
      </c>
      <c r="E1979" t="n">
        <v>38807</v>
      </c>
      <c r="F1979" s="6" t="n">
        <v>32</v>
      </c>
      <c r="G1979" t="n">
        <v>1</v>
      </c>
      <c r="H1979" s="6">
        <f>ROUND(G1979*F1979,2)</f>
        <v/>
      </c>
      <c r="I1979">
        <f>IF(ROUND(H1979-D1979,2)=0,1,0)</f>
        <v/>
      </c>
      <c r="J1979">
        <f>IF(F1979="","none",IF(G1979=1,"carte","multiple"))</f>
        <v/>
      </c>
    </row>
    <row r="1980">
      <c r="A1980" t="inlineStr">
        <is>
          <t>2022-06-17</t>
        </is>
      </c>
      <c r="B1980" t="inlineStr">
        <is>
          <t>20:48</t>
        </is>
      </c>
      <c r="C1980" t="n">
        <v>2985</v>
      </c>
      <c r="D1980" s="6" t="n">
        <v>39.8</v>
      </c>
      <c r="E1980" t="n">
        <v>38808</v>
      </c>
      <c r="F1980" s="6" t="n">
        <v>39.8</v>
      </c>
      <c r="G1980" t="n">
        <v>1</v>
      </c>
      <c r="H1980" s="6">
        <f>ROUND(G1980*F1980,2)</f>
        <v/>
      </c>
      <c r="I1980">
        <f>IF(ROUND(H1980-D1980,2)=0,1,0)</f>
        <v/>
      </c>
      <c r="J1980">
        <f>IF(F1980="","none",IF(G1980=1,"carte","multiple"))</f>
        <v/>
      </c>
    </row>
    <row r="1981">
      <c r="A1981" t="inlineStr">
        <is>
          <t>2022-06-17</t>
        </is>
      </c>
      <c r="B1981" t="inlineStr">
        <is>
          <t>20:48</t>
        </is>
      </c>
      <c r="C1981" t="n">
        <v>2985</v>
      </c>
      <c r="D1981" s="6" t="n">
        <v>16.9</v>
      </c>
      <c r="E1981" t="n">
        <v>38809</v>
      </c>
      <c r="F1981" s="6" t="n">
        <v>16.9</v>
      </c>
      <c r="G1981" t="n">
        <v>1</v>
      </c>
      <c r="H1981" s="6">
        <f>ROUND(G1981*F1981,2)</f>
        <v/>
      </c>
      <c r="I1981">
        <f>IF(ROUND(H1981-D1981,2)=0,1,0)</f>
        <v/>
      </c>
      <c r="J1981">
        <f>IF(F1981="","none",IF(G1981=1,"carte","multiple"))</f>
        <v/>
      </c>
    </row>
    <row r="1982">
      <c r="A1982" t="inlineStr">
        <is>
          <t>2022-06-17</t>
        </is>
      </c>
      <c r="B1982" t="inlineStr">
        <is>
          <t>20:48</t>
        </is>
      </c>
      <c r="C1982" t="n">
        <v>2985</v>
      </c>
      <c r="D1982" s="6" t="n">
        <v>7.9</v>
      </c>
      <c r="E1982" t="n">
        <v>38810</v>
      </c>
      <c r="F1982" s="6" t="n">
        <v>7.9</v>
      </c>
      <c r="G1982" t="n">
        <v>1</v>
      </c>
      <c r="H1982" s="6">
        <f>ROUND(G1982*F1982,2)</f>
        <v/>
      </c>
      <c r="I1982">
        <f>IF(ROUND(H1982-D1982,2)=0,1,0)</f>
        <v/>
      </c>
      <c r="J1982">
        <f>IF(F1982="","none",IF(G1982=1,"carte","multiple"))</f>
        <v/>
      </c>
    </row>
    <row r="1983">
      <c r="A1983" t="inlineStr">
        <is>
          <t>2022-06-17</t>
        </is>
      </c>
      <c r="B1983" t="inlineStr">
        <is>
          <t>20:52</t>
        </is>
      </c>
      <c r="C1983" t="n">
        <v>2985</v>
      </c>
      <c r="D1983" s="6" t="n">
        <v>4.4</v>
      </c>
      <c r="E1983" t="n">
        <v>38811</v>
      </c>
      <c r="F1983" s="6" t="n">
        <v>0.4</v>
      </c>
      <c r="G1983" t="n">
        <v>11</v>
      </c>
      <c r="H1983" s="6">
        <f>ROUND(G1983*F1983,2)</f>
        <v/>
      </c>
      <c r="I1983">
        <f>IF(ROUND(H1983-D1983,2)=0,1,0)</f>
        <v/>
      </c>
      <c r="J1983">
        <f>IF(F1983="","none",IF(G1983=1,"carte","multiple"))</f>
        <v/>
      </c>
    </row>
    <row r="1984">
      <c r="A1984" t="inlineStr">
        <is>
          <t>2022-06-17</t>
        </is>
      </c>
      <c r="B1984" t="inlineStr">
        <is>
          <t>20:52</t>
        </is>
      </c>
      <c r="C1984" t="n">
        <v>2985</v>
      </c>
      <c r="D1984" s="6" t="n">
        <v>17.6</v>
      </c>
      <c r="E1984" t="n">
        <v>38812</v>
      </c>
      <c r="F1984" s="6" t="n">
        <v>17.6</v>
      </c>
      <c r="G1984" t="n">
        <v>1</v>
      </c>
      <c r="H1984" s="6">
        <f>ROUND(G1984*F1984,2)</f>
        <v/>
      </c>
      <c r="I1984">
        <f>IF(ROUND(H1984-D1984,2)=0,1,0)</f>
        <v/>
      </c>
      <c r="J1984">
        <f>IF(F1984="","none",IF(G1984=1,"carte","multiple"))</f>
        <v/>
      </c>
    </row>
    <row r="1985">
      <c r="A1985" t="inlineStr">
        <is>
          <t>2022-06-17</t>
        </is>
      </c>
      <c r="B1985" t="inlineStr">
        <is>
          <t>20:52</t>
        </is>
      </c>
      <c r="C1985" t="n">
        <v>2985</v>
      </c>
      <c r="D1985" s="6" t="n">
        <v>19.9</v>
      </c>
      <c r="E1985" t="n">
        <v>38813</v>
      </c>
      <c r="F1985" s="6" t="n">
        <v>19.9</v>
      </c>
      <c r="G1985" t="n">
        <v>1</v>
      </c>
      <c r="H1985" s="6">
        <f>ROUND(G1985*F1985,2)</f>
        <v/>
      </c>
      <c r="I1985">
        <f>IF(ROUND(H1985-D1985,2)=0,1,0)</f>
        <v/>
      </c>
      <c r="J1985">
        <f>IF(F1985="","none",IF(G1985=1,"carte","multiple"))</f>
        <v/>
      </c>
    </row>
    <row r="1986">
      <c r="A1986" t="inlineStr">
        <is>
          <t>2022-06-17</t>
        </is>
      </c>
      <c r="B1986" t="inlineStr">
        <is>
          <t>20:52</t>
        </is>
      </c>
      <c r="C1986" t="n">
        <v>2985</v>
      </c>
      <c r="D1986" s="6" t="n">
        <v>15.6</v>
      </c>
      <c r="E1986" t="n">
        <v>38814</v>
      </c>
      <c r="F1986" s="6" t="n">
        <v>15.6</v>
      </c>
      <c r="G1986" t="n">
        <v>1</v>
      </c>
      <c r="H1986" s="6">
        <f>ROUND(G1986*F1986,2)</f>
        <v/>
      </c>
      <c r="I1986">
        <f>IF(ROUND(H1986-D1986,2)=0,1,0)</f>
        <v/>
      </c>
      <c r="J1986">
        <f>IF(F1986="","none",IF(G1986=1,"carte","multiple"))</f>
        <v/>
      </c>
    </row>
    <row r="1987">
      <c r="A1987" t="inlineStr">
        <is>
          <t>2022-06-18</t>
        </is>
      </c>
      <c r="B1987" t="inlineStr">
        <is>
          <t>12:19</t>
        </is>
      </c>
      <c r="C1987" t="n">
        <v>2986</v>
      </c>
      <c r="D1987" s="6" t="n">
        <v>6.8</v>
      </c>
      <c r="E1987" t="n">
        <v>38817</v>
      </c>
      <c r="F1987" s="6" t="n">
        <v>0.4</v>
      </c>
      <c r="G1987" t="n">
        <v>17</v>
      </c>
      <c r="H1987" s="6">
        <f>ROUND(G1987*F1987,2)</f>
        <v/>
      </c>
      <c r="I1987">
        <f>IF(ROUND(H1987-D1987,2)=0,1,0)</f>
        <v/>
      </c>
      <c r="J1987">
        <f>IF(F1987="","none",IF(G1987=1,"carte","multiple"))</f>
        <v/>
      </c>
    </row>
    <row r="1988">
      <c r="A1988" t="inlineStr">
        <is>
          <t>2022-06-18</t>
        </is>
      </c>
      <c r="B1988" t="inlineStr">
        <is>
          <t>12:19</t>
        </is>
      </c>
      <c r="C1988" t="n">
        <v>2986</v>
      </c>
      <c r="D1988" s="6" t="n">
        <v>3.9</v>
      </c>
      <c r="E1988" t="n">
        <v>38818</v>
      </c>
      <c r="F1988" s="6" t="n">
        <v>3.9</v>
      </c>
      <c r="G1988" t="n">
        <v>1</v>
      </c>
      <c r="H1988" s="6">
        <f>ROUND(G1988*F1988,2)</f>
        <v/>
      </c>
      <c r="I1988">
        <f>IF(ROUND(H1988-D1988,2)=0,1,0)</f>
        <v/>
      </c>
      <c r="J1988">
        <f>IF(F1988="","none",IF(G1988=1,"carte","multiple"))</f>
        <v/>
      </c>
    </row>
    <row r="1989">
      <c r="A1989" t="inlineStr">
        <is>
          <t>2022-06-18</t>
        </is>
      </c>
      <c r="B1989" t="inlineStr">
        <is>
          <t>12:19</t>
        </is>
      </c>
      <c r="C1989" t="n">
        <v>2986</v>
      </c>
      <c r="D1989" s="6" t="n">
        <v>5.9</v>
      </c>
      <c r="E1989" t="n">
        <v>38819</v>
      </c>
      <c r="F1989" s="6" t="n">
        <v>5.9</v>
      </c>
      <c r="G1989" t="n">
        <v>1</v>
      </c>
      <c r="H1989" s="6">
        <f>ROUND(G1989*F1989,2)</f>
        <v/>
      </c>
      <c r="I1989">
        <f>IF(ROUND(H1989-D1989,2)=0,1,0)</f>
        <v/>
      </c>
      <c r="J1989">
        <f>IF(F1989="","none",IF(G1989=1,"carte","multiple"))</f>
        <v/>
      </c>
    </row>
    <row r="1990">
      <c r="A1990" t="inlineStr">
        <is>
          <t>2022-06-18</t>
        </is>
      </c>
      <c r="B1990" t="inlineStr">
        <is>
          <t>12:19</t>
        </is>
      </c>
      <c r="C1990" t="n">
        <v>2986</v>
      </c>
      <c r="D1990" s="6" t="n">
        <v>17.6</v>
      </c>
      <c r="E1990" t="n">
        <v>38820</v>
      </c>
      <c r="F1990" s="6" t="n">
        <v>17.6</v>
      </c>
      <c r="G1990" t="n">
        <v>1</v>
      </c>
      <c r="H1990" s="6">
        <f>ROUND(G1990*F1990,2)</f>
        <v/>
      </c>
      <c r="I1990">
        <f>IF(ROUND(H1990-D1990,2)=0,1,0)</f>
        <v/>
      </c>
      <c r="J1990">
        <f>IF(F1990="","none",IF(G1990=1,"carte","multiple"))</f>
        <v/>
      </c>
    </row>
    <row r="1991">
      <c r="A1991" t="inlineStr">
        <is>
          <t>2022-06-18</t>
        </is>
      </c>
      <c r="B1991" t="inlineStr">
        <is>
          <t>12:19</t>
        </is>
      </c>
      <c r="C1991" t="n">
        <v>2986</v>
      </c>
      <c r="D1991" s="6" t="n">
        <v>15.6</v>
      </c>
      <c r="E1991" t="n">
        <v>38821</v>
      </c>
      <c r="F1991" s="6" t="n">
        <v>15.6</v>
      </c>
      <c r="G1991" t="n">
        <v>1</v>
      </c>
      <c r="H1991" s="6">
        <f>ROUND(G1991*F1991,2)</f>
        <v/>
      </c>
      <c r="I1991">
        <f>IF(ROUND(H1991-D1991,2)=0,1,0)</f>
        <v/>
      </c>
      <c r="J1991">
        <f>IF(F1991="","none",IF(G1991=1,"carte","multiple"))</f>
        <v/>
      </c>
    </row>
    <row r="1992">
      <c r="A1992" t="inlineStr">
        <is>
          <t>2022-06-18</t>
        </is>
      </c>
      <c r="B1992" t="inlineStr">
        <is>
          <t>12:19</t>
        </is>
      </c>
      <c r="C1992" t="n">
        <v>2986</v>
      </c>
      <c r="D1992" s="6" t="n">
        <v>7.9</v>
      </c>
      <c r="E1992" t="n">
        <v>38822</v>
      </c>
      <c r="F1992" s="6" t="n">
        <v>7.9</v>
      </c>
      <c r="G1992" t="n">
        <v>1</v>
      </c>
      <c r="H1992" s="6">
        <f>ROUND(G1992*F1992,2)</f>
        <v/>
      </c>
      <c r="I1992">
        <f>IF(ROUND(H1992-D1992,2)=0,1,0)</f>
        <v/>
      </c>
      <c r="J1992">
        <f>IF(F1992="","none",IF(G1992=1,"carte","multiple"))</f>
        <v/>
      </c>
    </row>
    <row r="1993">
      <c r="A1993" t="inlineStr">
        <is>
          <t>2022-06-18</t>
        </is>
      </c>
      <c r="B1993" t="inlineStr">
        <is>
          <t>12:19</t>
        </is>
      </c>
      <c r="C1993" t="n">
        <v>2986</v>
      </c>
      <c r="D1993" s="6" t="n">
        <v>7.9</v>
      </c>
      <c r="E1993" t="n">
        <v>38823</v>
      </c>
      <c r="F1993" s="6" t="n">
        <v>7.9</v>
      </c>
      <c r="G1993" t="n">
        <v>1</v>
      </c>
      <c r="H1993" s="6">
        <f>ROUND(G1993*F1993,2)</f>
        <v/>
      </c>
      <c r="I1993">
        <f>IF(ROUND(H1993-D1993,2)=0,1,0)</f>
        <v/>
      </c>
      <c r="J1993">
        <f>IF(F1993="","none",IF(G1993=1,"carte","multiple"))</f>
        <v/>
      </c>
    </row>
    <row r="1994">
      <c r="A1994" t="inlineStr">
        <is>
          <t>2022-06-18</t>
        </is>
      </c>
      <c r="B1994" t="inlineStr">
        <is>
          <t>12:19</t>
        </is>
      </c>
      <c r="C1994" t="n">
        <v>2986</v>
      </c>
      <c r="D1994" s="6" t="n">
        <v>3.8</v>
      </c>
      <c r="E1994" t="n">
        <v>38824</v>
      </c>
      <c r="F1994" s="6" t="n">
        <v>3.8</v>
      </c>
      <c r="G1994" t="n">
        <v>1</v>
      </c>
      <c r="H1994" s="6">
        <f>ROUND(G1994*F1994,2)</f>
        <v/>
      </c>
      <c r="I1994">
        <f>IF(ROUND(H1994-D1994,2)=0,1,0)</f>
        <v/>
      </c>
      <c r="J1994">
        <f>IF(F1994="","none",IF(G1994=1,"carte","multiple"))</f>
        <v/>
      </c>
    </row>
    <row r="1995">
      <c r="A1995" t="inlineStr">
        <is>
          <t>2022-06-18</t>
        </is>
      </c>
      <c r="B1995" t="inlineStr">
        <is>
          <t>12:19</t>
        </is>
      </c>
      <c r="C1995" t="n">
        <v>2986</v>
      </c>
      <c r="D1995" s="6" t="n">
        <v>3.9</v>
      </c>
      <c r="E1995" t="n">
        <v>38825</v>
      </c>
      <c r="F1995" s="6" t="n">
        <v>3.9</v>
      </c>
      <c r="G1995" t="n">
        <v>1</v>
      </c>
      <c r="H1995" s="6">
        <f>ROUND(G1995*F1995,2)</f>
        <v/>
      </c>
      <c r="I1995">
        <f>IF(ROUND(H1995-D1995,2)=0,1,0)</f>
        <v/>
      </c>
      <c r="J1995">
        <f>IF(F1995="","none",IF(G1995=1,"carte","multiple"))</f>
        <v/>
      </c>
    </row>
    <row r="1996">
      <c r="A1996" t="inlineStr">
        <is>
          <t>2022-06-18</t>
        </is>
      </c>
      <c r="B1996" t="inlineStr">
        <is>
          <t>12:26</t>
        </is>
      </c>
      <c r="C1996" t="n">
        <v>2986</v>
      </c>
      <c r="D1996" s="6" t="n">
        <v>2.2</v>
      </c>
      <c r="E1996" t="n">
        <v>38826</v>
      </c>
      <c r="F1996" s="6" t="n">
        <v>2.2</v>
      </c>
      <c r="G1996" t="n">
        <v>1</v>
      </c>
      <c r="H1996" s="6">
        <f>ROUND(G1996*F1996,2)</f>
        <v/>
      </c>
      <c r="I1996">
        <f>IF(ROUND(H1996-D1996,2)=0,1,0)</f>
        <v/>
      </c>
      <c r="J1996">
        <f>IF(F1996="","none",IF(G1996=1,"carte","multiple"))</f>
        <v/>
      </c>
    </row>
    <row r="1997">
      <c r="A1997" t="inlineStr">
        <is>
          <t>2022-06-18</t>
        </is>
      </c>
      <c r="B1997" t="inlineStr">
        <is>
          <t>12:26</t>
        </is>
      </c>
      <c r="C1997" t="n">
        <v>2986</v>
      </c>
      <c r="D1997" s="6" t="n">
        <v>3.6</v>
      </c>
      <c r="E1997" t="n">
        <v>38827</v>
      </c>
      <c r="F1997" s="6" t="n">
        <v>3.6</v>
      </c>
      <c r="G1997" t="n">
        <v>1</v>
      </c>
      <c r="H1997" s="6">
        <f>ROUND(G1997*F1997,2)</f>
        <v/>
      </c>
      <c r="I1997">
        <f>IF(ROUND(H1997-D1997,2)=0,1,0)</f>
        <v/>
      </c>
      <c r="J1997">
        <f>IF(F1997="","none",IF(G1997=1,"carte","multiple"))</f>
        <v/>
      </c>
    </row>
    <row r="1998">
      <c r="A1998" t="inlineStr">
        <is>
          <t>2022-06-18</t>
        </is>
      </c>
      <c r="B1998" t="inlineStr">
        <is>
          <t>12:26</t>
        </is>
      </c>
      <c r="C1998" t="n">
        <v>2986</v>
      </c>
      <c r="D1998" s="6" t="n">
        <v>1.2</v>
      </c>
      <c r="E1998" t="n">
        <v>38828</v>
      </c>
      <c r="F1998" s="6" t="n">
        <v>1.2</v>
      </c>
      <c r="G1998" t="n">
        <v>1</v>
      </c>
      <c r="H1998" s="6">
        <f>ROUND(G1998*F1998,2)</f>
        <v/>
      </c>
      <c r="I1998">
        <f>IF(ROUND(H1998-D1998,2)=0,1,0)</f>
        <v/>
      </c>
      <c r="J1998">
        <f>IF(F1998="","none",IF(G1998=1,"carte","multiple"))</f>
        <v/>
      </c>
    </row>
    <row r="1999">
      <c r="A1999" t="inlineStr">
        <is>
          <t>2022-06-18</t>
        </is>
      </c>
      <c r="B1999" t="inlineStr">
        <is>
          <t>12:26</t>
        </is>
      </c>
      <c r="C1999" t="n">
        <v>2986</v>
      </c>
      <c r="D1999" s="6" t="n">
        <v>2.9</v>
      </c>
      <c r="E1999" t="n">
        <v>38829</v>
      </c>
      <c r="F1999" s="6" t="n">
        <v>2.9</v>
      </c>
      <c r="G1999" t="n">
        <v>1</v>
      </c>
      <c r="H1999" s="6">
        <f>ROUND(G1999*F1999,2)</f>
        <v/>
      </c>
      <c r="I1999">
        <f>IF(ROUND(H1999-D1999,2)=0,1,0)</f>
        <v/>
      </c>
      <c r="J1999">
        <f>IF(F1999="","none",IF(G1999=1,"carte","multiple"))</f>
        <v/>
      </c>
    </row>
    <row r="2000">
      <c r="A2000" t="inlineStr">
        <is>
          <t>2022-06-18</t>
        </is>
      </c>
      <c r="B2000" t="inlineStr">
        <is>
          <t>12:26</t>
        </is>
      </c>
      <c r="C2000" t="n">
        <v>2986</v>
      </c>
      <c r="D2000" s="6" t="n">
        <v>5.6</v>
      </c>
      <c r="E2000" t="n">
        <v>38830</v>
      </c>
      <c r="F2000" s="6" t="n">
        <v>5.6</v>
      </c>
      <c r="G2000" t="n">
        <v>1</v>
      </c>
      <c r="H2000" s="6">
        <f>ROUND(G2000*F2000,2)</f>
        <v/>
      </c>
      <c r="I2000">
        <f>IF(ROUND(H2000-D2000,2)=0,1,0)</f>
        <v/>
      </c>
      <c r="J2000">
        <f>IF(F2000="","none",IF(G2000=1,"carte","multiple"))</f>
        <v/>
      </c>
    </row>
    <row r="2001">
      <c r="A2001" t="inlineStr">
        <is>
          <t>2022-06-18</t>
        </is>
      </c>
      <c r="B2001" t="inlineStr">
        <is>
          <t>12:26</t>
        </is>
      </c>
      <c r="C2001" t="n">
        <v>2986</v>
      </c>
      <c r="D2001" s="6" t="n">
        <v>15.6</v>
      </c>
      <c r="E2001" t="n">
        <v>38831</v>
      </c>
      <c r="F2001" s="6" t="n">
        <v>15.6</v>
      </c>
      <c r="G2001" t="n">
        <v>1</v>
      </c>
      <c r="H2001" s="6">
        <f>ROUND(G2001*F2001,2)</f>
        <v/>
      </c>
      <c r="I2001">
        <f>IF(ROUND(H2001-D2001,2)=0,1,0)</f>
        <v/>
      </c>
      <c r="J2001">
        <f>IF(F2001="","none",IF(G2001=1,"carte","multiple"))</f>
        <v/>
      </c>
    </row>
    <row r="2002">
      <c r="A2002" t="inlineStr">
        <is>
          <t>2022-06-18</t>
        </is>
      </c>
      <c r="B2002" t="inlineStr">
        <is>
          <t>12:26</t>
        </is>
      </c>
      <c r="C2002" t="n">
        <v>2986</v>
      </c>
      <c r="D2002" s="6" t="n">
        <v>17.6</v>
      </c>
      <c r="E2002" t="n">
        <v>38832</v>
      </c>
      <c r="F2002" s="6" t="n">
        <v>17.6</v>
      </c>
      <c r="G2002" t="n">
        <v>1</v>
      </c>
      <c r="H2002" s="6">
        <f>ROUND(G2002*F2002,2)</f>
        <v/>
      </c>
      <c r="I2002">
        <f>IF(ROUND(H2002-D2002,2)=0,1,0)</f>
        <v/>
      </c>
      <c r="J2002">
        <f>IF(F2002="","none",IF(G2002=1,"carte","multiple"))</f>
        <v/>
      </c>
    </row>
    <row r="2003">
      <c r="A2003" t="inlineStr">
        <is>
          <t>2022-06-18</t>
        </is>
      </c>
      <c r="B2003" t="inlineStr">
        <is>
          <t>12:26</t>
        </is>
      </c>
      <c r="C2003" t="n">
        <v>2986</v>
      </c>
      <c r="D2003" s="6" t="n">
        <v>7.8</v>
      </c>
      <c r="E2003" t="n">
        <v>38833</v>
      </c>
      <c r="F2003" s="6" t="n">
        <v>7.8</v>
      </c>
      <c r="G2003" t="n">
        <v>1</v>
      </c>
      <c r="H2003" s="6">
        <f>ROUND(G2003*F2003,2)</f>
        <v/>
      </c>
      <c r="I2003">
        <f>IF(ROUND(H2003-D2003,2)=0,1,0)</f>
        <v/>
      </c>
      <c r="J2003">
        <f>IF(F2003="","none",IF(G2003=1,"carte","multiple"))</f>
        <v/>
      </c>
    </row>
    <row r="2004">
      <c r="A2004" t="inlineStr">
        <is>
          <t>2022-06-18</t>
        </is>
      </c>
      <c r="B2004" t="inlineStr">
        <is>
          <t>12:56</t>
        </is>
      </c>
      <c r="C2004" t="n">
        <v>2986</v>
      </c>
      <c r="D2004" s="6" t="n">
        <v>8.800000000000001</v>
      </c>
      <c r="E2004" t="n">
        <v>38834</v>
      </c>
      <c r="F2004" s="6" t="n">
        <v>8.800000000000001</v>
      </c>
      <c r="G2004" t="n">
        <v>1</v>
      </c>
      <c r="H2004" s="6">
        <f>ROUND(G2004*F2004,2)</f>
        <v/>
      </c>
      <c r="I2004">
        <f>IF(ROUND(H2004-D2004,2)=0,1,0)</f>
        <v/>
      </c>
      <c r="J2004">
        <f>IF(F2004="","none",IF(G2004=1,"carte","multiple"))</f>
        <v/>
      </c>
    </row>
    <row r="2005">
      <c r="A2005" t="inlineStr">
        <is>
          <t>2022-06-18</t>
        </is>
      </c>
      <c r="B2005" t="inlineStr">
        <is>
          <t>12:56</t>
        </is>
      </c>
      <c r="C2005" t="n">
        <v>2986</v>
      </c>
      <c r="D2005" s="6" t="n">
        <v>39.8</v>
      </c>
      <c r="E2005" t="n">
        <v>38835</v>
      </c>
      <c r="F2005" s="6" t="n">
        <v>39.8</v>
      </c>
      <c r="G2005" t="n">
        <v>1</v>
      </c>
      <c r="H2005" s="6">
        <f>ROUND(G2005*F2005,2)</f>
        <v/>
      </c>
      <c r="I2005">
        <f>IF(ROUND(H2005-D2005,2)=0,1,0)</f>
        <v/>
      </c>
      <c r="J2005">
        <f>IF(F2005="","none",IF(G2005=1,"carte","multiple"))</f>
        <v/>
      </c>
    </row>
    <row r="2006">
      <c r="A2006" t="inlineStr">
        <is>
          <t>2022-06-18</t>
        </is>
      </c>
      <c r="B2006" t="inlineStr">
        <is>
          <t>12:56</t>
        </is>
      </c>
      <c r="C2006" t="n">
        <v>2986</v>
      </c>
      <c r="D2006" s="6" t="n">
        <v>4</v>
      </c>
      <c r="E2006" t="n">
        <v>38836</v>
      </c>
      <c r="F2006" s="6" t="n">
        <v>4</v>
      </c>
      <c r="G2006" t="n">
        <v>1</v>
      </c>
      <c r="H2006" s="6">
        <f>ROUND(G2006*F2006,2)</f>
        <v/>
      </c>
      <c r="I2006">
        <f>IF(ROUND(H2006-D2006,2)=0,1,0)</f>
        <v/>
      </c>
      <c r="J2006">
        <f>IF(F2006="","none",IF(G2006=1,"carte","multiple"))</f>
        <v/>
      </c>
    </row>
    <row r="2007">
      <c r="A2007" t="inlineStr">
        <is>
          <t>2022-06-18</t>
        </is>
      </c>
      <c r="B2007" t="inlineStr">
        <is>
          <t>12:56</t>
        </is>
      </c>
      <c r="C2007" t="n">
        <v>2986</v>
      </c>
      <c r="D2007" s="6" t="n">
        <v>2.2</v>
      </c>
      <c r="E2007" t="n">
        <v>38837</v>
      </c>
      <c r="F2007" s="6" t="n">
        <v>2.2</v>
      </c>
      <c r="G2007" t="n">
        <v>1</v>
      </c>
      <c r="H2007" s="6">
        <f>ROUND(G2007*F2007,2)</f>
        <v/>
      </c>
      <c r="I2007">
        <f>IF(ROUND(H2007-D2007,2)=0,1,0)</f>
        <v/>
      </c>
      <c r="J2007">
        <f>IF(F2007="","none",IF(G2007=1,"carte","multiple"))</f>
        <v/>
      </c>
    </row>
    <row r="2008">
      <c r="A2008" t="inlineStr">
        <is>
          <t>2022-06-18</t>
        </is>
      </c>
      <c r="B2008" t="inlineStr">
        <is>
          <t>17:50</t>
        </is>
      </c>
      <c r="C2008" t="n">
        <v>2986</v>
      </c>
      <c r="D2008" s="6" t="n">
        <v>17.6</v>
      </c>
      <c r="E2008" t="n">
        <v>38839</v>
      </c>
      <c r="F2008" s="6" t="n">
        <v>17.6</v>
      </c>
      <c r="G2008" t="n">
        <v>1</v>
      </c>
      <c r="H2008" s="6">
        <f>ROUND(G2008*F2008,2)</f>
        <v/>
      </c>
      <c r="I2008">
        <f>IF(ROUND(H2008-D2008,2)=0,1,0)</f>
        <v/>
      </c>
      <c r="J2008">
        <f>IF(F2008="","none",IF(G2008=1,"carte","multiple"))</f>
        <v/>
      </c>
    </row>
    <row r="2009">
      <c r="A2009" t="inlineStr">
        <is>
          <t>2022-06-18</t>
        </is>
      </c>
      <c r="B2009" t="inlineStr">
        <is>
          <t>17:53</t>
        </is>
      </c>
      <c r="C2009" t="n">
        <v>2986</v>
      </c>
      <c r="D2009" s="6" t="n">
        <v>5.2</v>
      </c>
      <c r="E2009" t="n">
        <v>38840</v>
      </c>
      <c r="F2009" s="6" t="n">
        <v>5.2</v>
      </c>
      <c r="G2009" t="n">
        <v>1</v>
      </c>
      <c r="H2009" s="6">
        <f>ROUND(G2009*F2009,2)</f>
        <v/>
      </c>
      <c r="I2009">
        <f>IF(ROUND(H2009-D2009,2)=0,1,0)</f>
        <v/>
      </c>
      <c r="J2009">
        <f>IF(F2009="","none",IF(G2009=1,"carte","multiple"))</f>
        <v/>
      </c>
    </row>
    <row r="2010">
      <c r="A2010" t="inlineStr">
        <is>
          <t>2022-06-18</t>
        </is>
      </c>
      <c r="B2010" t="inlineStr">
        <is>
          <t>18:36</t>
        </is>
      </c>
      <c r="C2010" t="n">
        <v>2986</v>
      </c>
      <c r="D2010" s="6" t="n">
        <v>17.6</v>
      </c>
      <c r="E2010" t="n">
        <v>38841</v>
      </c>
      <c r="F2010" s="6" t="n">
        <v>17.6</v>
      </c>
      <c r="G2010" t="n">
        <v>1</v>
      </c>
      <c r="H2010" s="6">
        <f>ROUND(G2010*F2010,2)</f>
        <v/>
      </c>
      <c r="I2010">
        <f>IF(ROUND(H2010-D2010,2)=0,1,0)</f>
        <v/>
      </c>
      <c r="J2010">
        <f>IF(F2010="","none",IF(G2010=1,"carte","multiple"))</f>
        <v/>
      </c>
    </row>
    <row r="2011">
      <c r="A2011" t="inlineStr">
        <is>
          <t>2022-06-18</t>
        </is>
      </c>
      <c r="B2011" t="inlineStr">
        <is>
          <t>18:36</t>
        </is>
      </c>
      <c r="C2011" t="n">
        <v>2986</v>
      </c>
      <c r="D2011" s="6" t="n">
        <v>19</v>
      </c>
      <c r="E2011" t="n">
        <v>38842</v>
      </c>
      <c r="F2011" s="6" t="n">
        <v>19</v>
      </c>
      <c r="G2011" t="n">
        <v>1</v>
      </c>
      <c r="H2011" s="6">
        <f>ROUND(G2011*F2011,2)</f>
        <v/>
      </c>
      <c r="I2011">
        <f>IF(ROUND(H2011-D2011,2)=0,1,0)</f>
        <v/>
      </c>
      <c r="J2011">
        <f>IF(F2011="","none",IF(G2011=1,"carte","multiple"))</f>
        <v/>
      </c>
    </row>
    <row r="2012">
      <c r="A2012" t="inlineStr">
        <is>
          <t>2022-06-18</t>
        </is>
      </c>
      <c r="B2012" t="inlineStr">
        <is>
          <t>18:36</t>
        </is>
      </c>
      <c r="C2012" t="n">
        <v>2986</v>
      </c>
      <c r="D2012" s="6" t="n">
        <v>17.6</v>
      </c>
      <c r="E2012" t="n">
        <v>38843</v>
      </c>
      <c r="F2012" s="6" t="n">
        <v>17.6</v>
      </c>
      <c r="G2012" t="n">
        <v>1</v>
      </c>
      <c r="H2012" s="6">
        <f>ROUND(G2012*F2012,2)</f>
        <v/>
      </c>
      <c r="I2012">
        <f>IF(ROUND(H2012-D2012,2)=0,1,0)</f>
        <v/>
      </c>
      <c r="J2012">
        <f>IF(F2012="","none",IF(G2012=1,"carte","multiple"))</f>
        <v/>
      </c>
    </row>
    <row r="2013">
      <c r="A2013" t="inlineStr">
        <is>
          <t>2022-06-18</t>
        </is>
      </c>
      <c r="B2013" t="inlineStr">
        <is>
          <t>19:03</t>
        </is>
      </c>
      <c r="C2013" t="n">
        <v>2986</v>
      </c>
      <c r="D2013" s="6" t="n">
        <v>3.9</v>
      </c>
      <c r="E2013" t="n">
        <v>38844</v>
      </c>
      <c r="F2013" s="6" t="n">
        <v>3.9</v>
      </c>
      <c r="G2013" t="n">
        <v>1</v>
      </c>
      <c r="H2013" s="6">
        <f>ROUND(G2013*F2013,2)</f>
        <v/>
      </c>
      <c r="I2013">
        <f>IF(ROUND(H2013-D2013,2)=0,1,0)</f>
        <v/>
      </c>
      <c r="J2013">
        <f>IF(F2013="","none",IF(G2013=1,"carte","multiple"))</f>
        <v/>
      </c>
    </row>
    <row r="2014">
      <c r="A2014" t="inlineStr">
        <is>
          <t>2022-06-18</t>
        </is>
      </c>
      <c r="B2014" t="inlineStr">
        <is>
          <t>19:26</t>
        </is>
      </c>
      <c r="C2014" t="n">
        <v>2986</v>
      </c>
      <c r="D2014" s="6" t="n">
        <v>2.2</v>
      </c>
      <c r="E2014" t="n">
        <v>38845</v>
      </c>
      <c r="F2014" s="6" t="n">
        <v>2.2</v>
      </c>
      <c r="G2014" t="n">
        <v>1</v>
      </c>
      <c r="H2014" s="6">
        <f>ROUND(G2014*F2014,2)</f>
        <v/>
      </c>
      <c r="I2014">
        <f>IF(ROUND(H2014-D2014,2)=0,1,0)</f>
        <v/>
      </c>
      <c r="J2014">
        <f>IF(F2014="","none",IF(G2014=1,"carte","multiple"))</f>
        <v/>
      </c>
    </row>
    <row r="2015">
      <c r="A2015" t="inlineStr">
        <is>
          <t>2022-06-18</t>
        </is>
      </c>
      <c r="B2015" t="inlineStr">
        <is>
          <t>19:26</t>
        </is>
      </c>
      <c r="C2015" t="n">
        <v>2986</v>
      </c>
      <c r="D2015" s="6" t="n">
        <v>6.9</v>
      </c>
      <c r="E2015" t="n">
        <v>38846</v>
      </c>
      <c r="F2015" s="6" t="n">
        <v>6.9</v>
      </c>
      <c r="G2015" t="n">
        <v>1</v>
      </c>
      <c r="H2015" s="6">
        <f>ROUND(G2015*F2015,2)</f>
        <v/>
      </c>
      <c r="I2015">
        <f>IF(ROUND(H2015-D2015,2)=0,1,0)</f>
        <v/>
      </c>
      <c r="J2015">
        <f>IF(F2015="","none",IF(G2015=1,"carte","multiple"))</f>
        <v/>
      </c>
    </row>
    <row r="2016">
      <c r="A2016" t="inlineStr">
        <is>
          <t>2022-06-18</t>
        </is>
      </c>
      <c r="B2016" t="inlineStr">
        <is>
          <t>19:26</t>
        </is>
      </c>
      <c r="C2016" t="n">
        <v>2986</v>
      </c>
      <c r="D2016" s="6" t="n">
        <v>8.5</v>
      </c>
      <c r="E2016" t="n">
        <v>38847</v>
      </c>
      <c r="F2016" s="6" t="n">
        <v>8.5</v>
      </c>
      <c r="G2016" t="n">
        <v>1</v>
      </c>
      <c r="H2016" s="6">
        <f>ROUND(G2016*F2016,2)</f>
        <v/>
      </c>
      <c r="I2016">
        <f>IF(ROUND(H2016-D2016,2)=0,1,0)</f>
        <v/>
      </c>
      <c r="J2016">
        <f>IF(F2016="","none",IF(G2016=1,"carte","multiple"))</f>
        <v/>
      </c>
    </row>
    <row r="2017">
      <c r="A2017" t="inlineStr">
        <is>
          <t>2022-06-18</t>
        </is>
      </c>
      <c r="B2017" t="inlineStr">
        <is>
          <t>19:26</t>
        </is>
      </c>
      <c r="C2017" t="n">
        <v>2986</v>
      </c>
      <c r="D2017" s="6" t="n">
        <v>27.8</v>
      </c>
      <c r="E2017" t="n">
        <v>38848</v>
      </c>
      <c r="F2017" s="6" t="n">
        <v>27.8</v>
      </c>
      <c r="G2017" t="n">
        <v>1</v>
      </c>
      <c r="H2017" s="6">
        <f>ROUND(G2017*F2017,2)</f>
        <v/>
      </c>
      <c r="I2017">
        <f>IF(ROUND(H2017-D2017,2)=0,1,0)</f>
        <v/>
      </c>
      <c r="J2017">
        <f>IF(F2017="","none",IF(G2017=1,"carte","multiple"))</f>
        <v/>
      </c>
    </row>
    <row r="2018">
      <c r="A2018" t="inlineStr">
        <is>
          <t>2022-06-18</t>
        </is>
      </c>
      <c r="B2018" t="inlineStr">
        <is>
          <t>19:26</t>
        </is>
      </c>
      <c r="C2018" t="n">
        <v>2986</v>
      </c>
      <c r="D2018" s="6" t="n">
        <v>28.6</v>
      </c>
      <c r="E2018" t="n">
        <v>38849</v>
      </c>
      <c r="F2018" s="6" t="n">
        <v>28.6</v>
      </c>
      <c r="G2018" t="n">
        <v>1</v>
      </c>
      <c r="H2018" s="6">
        <f>ROUND(G2018*F2018,2)</f>
        <v/>
      </c>
      <c r="I2018">
        <f>IF(ROUND(H2018-D2018,2)=0,1,0)</f>
        <v/>
      </c>
      <c r="J2018">
        <f>IF(F2018="","none",IF(G2018=1,"carte","multiple"))</f>
        <v/>
      </c>
    </row>
    <row r="2019">
      <c r="A2019" t="inlineStr">
        <is>
          <t>2022-06-18</t>
        </is>
      </c>
      <c r="B2019" t="inlineStr">
        <is>
          <t>19:26</t>
        </is>
      </c>
      <c r="C2019" t="n">
        <v>2986</v>
      </c>
      <c r="D2019" s="6" t="n">
        <v>9.800000000000001</v>
      </c>
      <c r="E2019" t="n">
        <v>38850</v>
      </c>
      <c r="F2019" s="6" t="n">
        <v>9.800000000000001</v>
      </c>
      <c r="G2019" t="n">
        <v>1</v>
      </c>
      <c r="H2019" s="6">
        <f>ROUND(G2019*F2019,2)</f>
        <v/>
      </c>
      <c r="I2019">
        <f>IF(ROUND(H2019-D2019,2)=0,1,0)</f>
        <v/>
      </c>
      <c r="J2019">
        <f>IF(F2019="","none",IF(G2019=1,"carte","multiple"))</f>
        <v/>
      </c>
    </row>
    <row r="2020">
      <c r="A2020" t="inlineStr">
        <is>
          <t>2022-06-18</t>
        </is>
      </c>
      <c r="B2020" t="inlineStr">
        <is>
          <t>19:26</t>
        </is>
      </c>
      <c r="C2020" t="n">
        <v>2986</v>
      </c>
      <c r="D2020" s="6" t="n">
        <v>9</v>
      </c>
      <c r="E2020" t="n">
        <v>38851</v>
      </c>
      <c r="F2020" s="6" t="n">
        <v>9</v>
      </c>
      <c r="G2020" t="n">
        <v>1</v>
      </c>
      <c r="H2020" s="6">
        <f>ROUND(G2020*F2020,2)</f>
        <v/>
      </c>
      <c r="I2020">
        <f>IF(ROUND(H2020-D2020,2)=0,1,0)</f>
        <v/>
      </c>
      <c r="J2020">
        <f>IF(F2020="","none",IF(G2020=1,"carte","multiple"))</f>
        <v/>
      </c>
    </row>
    <row r="2021">
      <c r="A2021" t="inlineStr">
        <is>
          <t>2022-06-18</t>
        </is>
      </c>
      <c r="B2021" t="inlineStr">
        <is>
          <t>19:26</t>
        </is>
      </c>
      <c r="C2021" t="n">
        <v>2986</v>
      </c>
      <c r="D2021" s="6" t="n">
        <v>9</v>
      </c>
      <c r="E2021" t="n">
        <v>38852</v>
      </c>
      <c r="F2021" s="6" t="n">
        <v>9</v>
      </c>
      <c r="G2021" t="n">
        <v>1</v>
      </c>
      <c r="H2021" s="6">
        <f>ROUND(G2021*F2021,2)</f>
        <v/>
      </c>
      <c r="I2021">
        <f>IF(ROUND(H2021-D2021,2)=0,1,0)</f>
        <v/>
      </c>
      <c r="J2021">
        <f>IF(F2021="","none",IF(G2021=1,"carte","multiple"))</f>
        <v/>
      </c>
    </row>
    <row r="2022">
      <c r="A2022" t="inlineStr">
        <is>
          <t>2022-06-18</t>
        </is>
      </c>
      <c r="B2022" t="inlineStr">
        <is>
          <t>19:27</t>
        </is>
      </c>
      <c r="C2022" t="n">
        <v>2986</v>
      </c>
      <c r="D2022" s="6" t="n">
        <v>1.8</v>
      </c>
      <c r="E2022" t="n">
        <v>38853</v>
      </c>
      <c r="F2022" s="6" t="n">
        <v>1.8</v>
      </c>
      <c r="G2022" t="n">
        <v>1</v>
      </c>
      <c r="H2022" s="6">
        <f>ROUND(G2022*F2022,2)</f>
        <v/>
      </c>
      <c r="I2022">
        <f>IF(ROUND(H2022-D2022,2)=0,1,0)</f>
        <v/>
      </c>
      <c r="J2022">
        <f>IF(F2022="","none",IF(G2022=1,"carte","multiple"))</f>
        <v/>
      </c>
    </row>
    <row r="2023">
      <c r="A2023" t="inlineStr">
        <is>
          <t>2022-06-18</t>
        </is>
      </c>
      <c r="B2023" t="inlineStr">
        <is>
          <t>19:39</t>
        </is>
      </c>
      <c r="C2023" t="n">
        <v>2986</v>
      </c>
      <c r="D2023" s="6" t="n">
        <v>7.9</v>
      </c>
      <c r="E2023" t="n">
        <v>38854</v>
      </c>
      <c r="F2023" s="6" t="n">
        <v>7.9</v>
      </c>
      <c r="G2023" t="n">
        <v>1</v>
      </c>
      <c r="H2023" s="6">
        <f>ROUND(G2023*F2023,2)</f>
        <v/>
      </c>
      <c r="I2023">
        <f>IF(ROUND(H2023-D2023,2)=0,1,0)</f>
        <v/>
      </c>
      <c r="J2023">
        <f>IF(F2023="","none",IF(G2023=1,"carte","multiple"))</f>
        <v/>
      </c>
    </row>
    <row r="2024">
      <c r="A2024" t="inlineStr">
        <is>
          <t>2022-06-18</t>
        </is>
      </c>
      <c r="B2024" t="inlineStr">
        <is>
          <t>19:39</t>
        </is>
      </c>
      <c r="C2024" t="n">
        <v>2986</v>
      </c>
      <c r="D2024" s="6" t="n">
        <v>1.8</v>
      </c>
      <c r="E2024" t="n">
        <v>38855</v>
      </c>
      <c r="F2024" s="6" t="n">
        <v>1.8</v>
      </c>
      <c r="G2024" t="n">
        <v>1</v>
      </c>
      <c r="H2024" s="6">
        <f>ROUND(G2024*F2024,2)</f>
        <v/>
      </c>
      <c r="I2024">
        <f>IF(ROUND(H2024-D2024,2)=0,1,0)</f>
        <v/>
      </c>
      <c r="J2024">
        <f>IF(F2024="","none",IF(G2024=1,"carte","multiple"))</f>
        <v/>
      </c>
    </row>
    <row r="2025">
      <c r="A2025" t="inlineStr">
        <is>
          <t>2022-06-18</t>
        </is>
      </c>
      <c r="B2025" t="inlineStr">
        <is>
          <t>19:39</t>
        </is>
      </c>
      <c r="C2025" t="n">
        <v>2986</v>
      </c>
      <c r="D2025" s="6" t="n">
        <v>5.4</v>
      </c>
      <c r="E2025" t="n">
        <v>38856</v>
      </c>
      <c r="F2025" s="6" t="n">
        <v>5.4</v>
      </c>
      <c r="G2025" t="n">
        <v>1</v>
      </c>
      <c r="H2025" s="6">
        <f>ROUND(G2025*F2025,2)</f>
        <v/>
      </c>
      <c r="I2025">
        <f>IF(ROUND(H2025-D2025,2)=0,1,0)</f>
        <v/>
      </c>
      <c r="J2025">
        <f>IF(F2025="","none",IF(G2025=1,"carte","multiple"))</f>
        <v/>
      </c>
    </row>
    <row r="2026">
      <c r="A2026" t="inlineStr">
        <is>
          <t>2022-06-18</t>
        </is>
      </c>
      <c r="B2026" t="inlineStr">
        <is>
          <t>19:39</t>
        </is>
      </c>
      <c r="C2026" t="n">
        <v>2986</v>
      </c>
      <c r="D2026" s="6" t="n">
        <v>5.8</v>
      </c>
      <c r="E2026" t="n">
        <v>38857</v>
      </c>
      <c r="F2026" s="6" t="n">
        <v>5.8</v>
      </c>
      <c r="G2026" t="n">
        <v>1</v>
      </c>
      <c r="H2026" s="6">
        <f>ROUND(G2026*F2026,2)</f>
        <v/>
      </c>
      <c r="I2026">
        <f>IF(ROUND(H2026-D2026,2)=0,1,0)</f>
        <v/>
      </c>
      <c r="J2026">
        <f>IF(F2026="","none",IF(G2026=1,"carte","multiple"))</f>
        <v/>
      </c>
    </row>
    <row r="2027">
      <c r="A2027" t="inlineStr">
        <is>
          <t>2022-06-18</t>
        </is>
      </c>
      <c r="B2027" t="inlineStr">
        <is>
          <t>19:39</t>
        </is>
      </c>
      <c r="C2027" t="n">
        <v>2986</v>
      </c>
      <c r="D2027" s="6" t="n">
        <v>8.800000000000001</v>
      </c>
      <c r="E2027" t="n">
        <v>38858</v>
      </c>
      <c r="F2027" s="6" t="n">
        <v>8.800000000000001</v>
      </c>
      <c r="G2027" t="n">
        <v>1</v>
      </c>
      <c r="H2027" s="6">
        <f>ROUND(G2027*F2027,2)</f>
        <v/>
      </c>
      <c r="I2027">
        <f>IF(ROUND(H2027-D2027,2)=0,1,0)</f>
        <v/>
      </c>
      <c r="J2027">
        <f>IF(F2027="","none",IF(G2027=1,"carte","multiple"))</f>
        <v/>
      </c>
    </row>
    <row r="2028">
      <c r="A2028" t="inlineStr">
        <is>
          <t>2022-06-18</t>
        </is>
      </c>
      <c r="B2028" t="inlineStr">
        <is>
          <t>19:39</t>
        </is>
      </c>
      <c r="C2028" t="n">
        <v>2986</v>
      </c>
      <c r="D2028" s="6" t="n">
        <v>7.8</v>
      </c>
      <c r="E2028" t="n">
        <v>38859</v>
      </c>
      <c r="F2028" s="6" t="n">
        <v>7.8</v>
      </c>
      <c r="G2028" t="n">
        <v>1</v>
      </c>
      <c r="H2028" s="6">
        <f>ROUND(G2028*F2028,2)</f>
        <v/>
      </c>
      <c r="I2028">
        <f>IF(ROUND(H2028-D2028,2)=0,1,0)</f>
        <v/>
      </c>
      <c r="J2028">
        <f>IF(F2028="","none",IF(G2028=1,"carte","multiple"))</f>
        <v/>
      </c>
    </row>
    <row r="2029">
      <c r="A2029" t="inlineStr">
        <is>
          <t>2022-06-18</t>
        </is>
      </c>
      <c r="B2029" t="inlineStr">
        <is>
          <t>19:39</t>
        </is>
      </c>
      <c r="C2029" t="n">
        <v>2986</v>
      </c>
      <c r="D2029" s="6" t="n">
        <v>29.8</v>
      </c>
      <c r="E2029" t="n">
        <v>38860</v>
      </c>
      <c r="F2029" s="6" t="n">
        <v>14.9</v>
      </c>
      <c r="G2029" t="n">
        <v>2</v>
      </c>
      <c r="H2029" s="6">
        <f>ROUND(G2029*F2029,2)</f>
        <v/>
      </c>
      <c r="I2029">
        <f>IF(ROUND(H2029-D2029,2)=0,1,0)</f>
        <v/>
      </c>
      <c r="J2029">
        <f>IF(F2029="","none",IF(G2029=1,"carte","multiple"))</f>
        <v/>
      </c>
    </row>
    <row r="2030">
      <c r="A2030" t="inlineStr">
        <is>
          <t>2022-06-18</t>
        </is>
      </c>
      <c r="B2030" t="inlineStr">
        <is>
          <t>19:39</t>
        </is>
      </c>
      <c r="C2030" t="n">
        <v>2986</v>
      </c>
      <c r="D2030" s="6" t="n">
        <v>15.9</v>
      </c>
      <c r="E2030" t="n">
        <v>38861</v>
      </c>
      <c r="F2030" s="6" t="n">
        <v>15.9</v>
      </c>
      <c r="G2030" t="n">
        <v>1</v>
      </c>
      <c r="H2030" s="6">
        <f>ROUND(G2030*F2030,2)</f>
        <v/>
      </c>
      <c r="I2030">
        <f>IF(ROUND(H2030-D2030,2)=0,1,0)</f>
        <v/>
      </c>
      <c r="J2030">
        <f>IF(F2030="","none",IF(G2030=1,"carte","multiple"))</f>
        <v/>
      </c>
    </row>
    <row r="2031">
      <c r="A2031" t="inlineStr">
        <is>
          <t>2022-06-18</t>
        </is>
      </c>
      <c r="B2031" t="inlineStr">
        <is>
          <t>19:39</t>
        </is>
      </c>
      <c r="C2031" t="n">
        <v>2986</v>
      </c>
      <c r="D2031" s="6" t="n">
        <v>17.6</v>
      </c>
      <c r="E2031" t="n">
        <v>38862</v>
      </c>
      <c r="F2031" s="6" t="n">
        <v>17.6</v>
      </c>
      <c r="G2031" t="n">
        <v>1</v>
      </c>
      <c r="H2031" s="6">
        <f>ROUND(G2031*F2031,2)</f>
        <v/>
      </c>
      <c r="I2031">
        <f>IF(ROUND(H2031-D2031,2)=0,1,0)</f>
        <v/>
      </c>
      <c r="J2031">
        <f>IF(F2031="","none",IF(G2031=1,"carte","multiple"))</f>
        <v/>
      </c>
    </row>
    <row r="2032">
      <c r="A2032" t="inlineStr">
        <is>
          <t>2022-06-18</t>
        </is>
      </c>
      <c r="B2032" t="inlineStr">
        <is>
          <t>19:39</t>
        </is>
      </c>
      <c r="C2032" t="n">
        <v>2986</v>
      </c>
      <c r="D2032" s="6" t="n">
        <v>19</v>
      </c>
      <c r="E2032" t="n">
        <v>38863</v>
      </c>
      <c r="F2032" s="6" t="n">
        <v>19</v>
      </c>
      <c r="G2032" t="n">
        <v>1</v>
      </c>
      <c r="H2032" s="6">
        <f>ROUND(G2032*F2032,2)</f>
        <v/>
      </c>
      <c r="I2032">
        <f>IF(ROUND(H2032-D2032,2)=0,1,0)</f>
        <v/>
      </c>
      <c r="J2032">
        <f>IF(F2032="","none",IF(G2032=1,"carte","multiple"))</f>
        <v/>
      </c>
    </row>
    <row r="2033">
      <c r="A2033" t="inlineStr">
        <is>
          <t>2022-06-18</t>
        </is>
      </c>
      <c r="B2033" t="inlineStr">
        <is>
          <t>19:39</t>
        </is>
      </c>
      <c r="C2033" t="n">
        <v>2986</v>
      </c>
      <c r="D2033" s="6" t="n">
        <v>5.9</v>
      </c>
      <c r="E2033" t="n">
        <v>38864</v>
      </c>
      <c r="F2033" s="6" t="n">
        <v>5.9</v>
      </c>
      <c r="G2033" t="n">
        <v>1</v>
      </c>
      <c r="H2033" s="6">
        <f>ROUND(G2033*F2033,2)</f>
        <v/>
      </c>
      <c r="I2033">
        <f>IF(ROUND(H2033-D2033,2)=0,1,0)</f>
        <v/>
      </c>
      <c r="J2033">
        <f>IF(F2033="","none",IF(G2033=1,"carte","multiple"))</f>
        <v/>
      </c>
    </row>
    <row r="2034">
      <c r="A2034" t="inlineStr">
        <is>
          <t>2022-06-18</t>
        </is>
      </c>
      <c r="B2034" t="inlineStr">
        <is>
          <t>19:39</t>
        </is>
      </c>
      <c r="C2034" t="n">
        <v>2986</v>
      </c>
      <c r="D2034" s="6" t="n">
        <v>6.5</v>
      </c>
      <c r="E2034" t="n">
        <v>38865</v>
      </c>
      <c r="F2034" s="6" t="n">
        <v>6.5</v>
      </c>
      <c r="G2034" t="n">
        <v>1</v>
      </c>
      <c r="H2034" s="6">
        <f>ROUND(G2034*F2034,2)</f>
        <v/>
      </c>
      <c r="I2034">
        <f>IF(ROUND(H2034-D2034,2)=0,1,0)</f>
        <v/>
      </c>
      <c r="J2034">
        <f>IF(F2034="","none",IF(G2034=1,"carte","multiple"))</f>
        <v/>
      </c>
    </row>
    <row r="2035">
      <c r="A2035" t="inlineStr">
        <is>
          <t>2022-06-18</t>
        </is>
      </c>
      <c r="B2035" t="inlineStr">
        <is>
          <t>19:39</t>
        </is>
      </c>
      <c r="C2035" t="n">
        <v>2986</v>
      </c>
      <c r="D2035" s="6" t="n">
        <v>6</v>
      </c>
      <c r="E2035" t="n">
        <v>38866</v>
      </c>
      <c r="F2035" s="6" t="n">
        <v>6</v>
      </c>
      <c r="G2035" t="n">
        <v>1</v>
      </c>
      <c r="H2035" s="6">
        <f>ROUND(G2035*F2035,2)</f>
        <v/>
      </c>
      <c r="I2035">
        <f>IF(ROUND(H2035-D2035,2)=0,1,0)</f>
        <v/>
      </c>
      <c r="J2035">
        <f>IF(F2035="","none",IF(G2035=1,"carte","multiple"))</f>
        <v/>
      </c>
    </row>
    <row r="2036">
      <c r="A2036" t="inlineStr">
        <is>
          <t>2022-06-18</t>
        </is>
      </c>
      <c r="B2036" t="inlineStr">
        <is>
          <t>19:39</t>
        </is>
      </c>
      <c r="C2036" t="n">
        <v>2986</v>
      </c>
      <c r="D2036" s="6" t="n">
        <v>4.2</v>
      </c>
      <c r="E2036" t="n">
        <v>38867</v>
      </c>
      <c r="F2036" s="6" t="n">
        <v>4.2</v>
      </c>
      <c r="G2036" t="n">
        <v>1</v>
      </c>
      <c r="H2036" s="6">
        <f>ROUND(G2036*F2036,2)</f>
        <v/>
      </c>
      <c r="I2036">
        <f>IF(ROUND(H2036-D2036,2)=0,1,0)</f>
        <v/>
      </c>
      <c r="J2036">
        <f>IF(F2036="","none",IF(G2036=1,"carte","multiple"))</f>
        <v/>
      </c>
    </row>
    <row r="2037">
      <c r="A2037" t="inlineStr">
        <is>
          <t>2022-06-18</t>
        </is>
      </c>
      <c r="B2037" t="inlineStr">
        <is>
          <t>19:39</t>
        </is>
      </c>
      <c r="C2037" t="n">
        <v>2986</v>
      </c>
      <c r="D2037" s="6" t="n">
        <v>2.2</v>
      </c>
      <c r="E2037" t="n">
        <v>38868</v>
      </c>
      <c r="F2037" s="6" t="n">
        <v>2.2</v>
      </c>
      <c r="G2037" t="n">
        <v>1</v>
      </c>
      <c r="H2037" s="6">
        <f>ROUND(G2037*F2037,2)</f>
        <v/>
      </c>
      <c r="I2037">
        <f>IF(ROUND(H2037-D2037,2)=0,1,0)</f>
        <v/>
      </c>
      <c r="J2037">
        <f>IF(F2037="","none",IF(G2037=1,"carte","multiple"))</f>
        <v/>
      </c>
    </row>
    <row r="2038">
      <c r="A2038" t="inlineStr">
        <is>
          <t>2022-06-18</t>
        </is>
      </c>
      <c r="B2038" t="inlineStr">
        <is>
          <t>19:39</t>
        </is>
      </c>
      <c r="C2038" t="n">
        <v>2986</v>
      </c>
      <c r="D2038" s="6" t="n">
        <v>9</v>
      </c>
      <c r="E2038" t="n">
        <v>38869</v>
      </c>
      <c r="F2038" s="6" t="n">
        <v>9</v>
      </c>
      <c r="G2038" t="n">
        <v>1</v>
      </c>
      <c r="H2038" s="6">
        <f>ROUND(G2038*F2038,2)</f>
        <v/>
      </c>
      <c r="I2038">
        <f>IF(ROUND(H2038-D2038,2)=0,1,0)</f>
        <v/>
      </c>
      <c r="J2038">
        <f>IF(F2038="","none",IF(G2038=1,"carte","multiple"))</f>
        <v/>
      </c>
    </row>
    <row r="2039">
      <c r="A2039" t="inlineStr">
        <is>
          <t>2022-06-18</t>
        </is>
      </c>
      <c r="B2039" t="inlineStr">
        <is>
          <t>19:39</t>
        </is>
      </c>
      <c r="C2039" t="n">
        <v>2986</v>
      </c>
      <c r="D2039" s="6" t="n">
        <v>10.7</v>
      </c>
      <c r="E2039" t="n">
        <v>38870</v>
      </c>
      <c r="F2039" s="6" t="n">
        <v>10.7</v>
      </c>
      <c r="G2039" t="n">
        <v>1</v>
      </c>
      <c r="H2039" s="6">
        <f>ROUND(G2039*F2039,2)</f>
        <v/>
      </c>
      <c r="I2039">
        <f>IF(ROUND(H2039-D2039,2)=0,1,0)</f>
        <v/>
      </c>
      <c r="J2039">
        <f>IF(F2039="","none",IF(G2039=1,"carte","multiple"))</f>
        <v/>
      </c>
    </row>
    <row r="2040">
      <c r="A2040" t="inlineStr">
        <is>
          <t>2022-06-18</t>
        </is>
      </c>
      <c r="B2040" t="inlineStr">
        <is>
          <t>19:39</t>
        </is>
      </c>
      <c r="C2040" t="n">
        <v>2986</v>
      </c>
      <c r="D2040" s="6" t="n">
        <v>7.8</v>
      </c>
      <c r="E2040" t="n">
        <v>38871</v>
      </c>
      <c r="F2040" s="6" t="n">
        <v>7.8</v>
      </c>
      <c r="G2040" t="n">
        <v>1</v>
      </c>
      <c r="H2040" s="6">
        <f>ROUND(G2040*F2040,2)</f>
        <v/>
      </c>
      <c r="I2040">
        <f>IF(ROUND(H2040-D2040,2)=0,1,0)</f>
        <v/>
      </c>
      <c r="J2040">
        <f>IF(F2040="","none",IF(G2040=1,"carte","multiple"))</f>
        <v/>
      </c>
    </row>
    <row r="2041">
      <c r="A2041" t="inlineStr">
        <is>
          <t>2022-06-18</t>
        </is>
      </c>
      <c r="B2041" t="inlineStr">
        <is>
          <t>19:39</t>
        </is>
      </c>
      <c r="C2041" t="n">
        <v>2986</v>
      </c>
      <c r="D2041" s="6" t="n">
        <v>4.8</v>
      </c>
      <c r="E2041" t="n">
        <v>38872</v>
      </c>
      <c r="F2041" s="6" t="n">
        <v>0.4</v>
      </c>
      <c r="G2041" t="n">
        <v>12</v>
      </c>
      <c r="H2041" s="6">
        <f>ROUND(G2041*F2041,2)</f>
        <v/>
      </c>
      <c r="I2041">
        <f>IF(ROUND(H2041-D2041,2)=0,1,0)</f>
        <v/>
      </c>
      <c r="J2041">
        <f>IF(F2041="","none",IF(G2041=1,"carte","multiple"))</f>
        <v/>
      </c>
    </row>
    <row r="2042">
      <c r="A2042" t="inlineStr">
        <is>
          <t>2022-06-18</t>
        </is>
      </c>
      <c r="B2042" t="inlineStr">
        <is>
          <t>19:43</t>
        </is>
      </c>
      <c r="C2042" t="n">
        <v>2986</v>
      </c>
      <c r="D2042" s="6" t="n">
        <v>1.8</v>
      </c>
      <c r="E2042" t="n">
        <v>38873</v>
      </c>
      <c r="F2042" s="6" t="n">
        <v>1.8</v>
      </c>
      <c r="G2042" t="n">
        <v>1</v>
      </c>
      <c r="H2042" s="6">
        <f>ROUND(G2042*F2042,2)</f>
        <v/>
      </c>
      <c r="I2042">
        <f>IF(ROUND(H2042-D2042,2)=0,1,0)</f>
        <v/>
      </c>
      <c r="J2042">
        <f>IF(F2042="","none",IF(G2042=1,"carte","multiple"))</f>
        <v/>
      </c>
    </row>
    <row r="2043">
      <c r="A2043" t="inlineStr">
        <is>
          <t>2022-06-18</t>
        </is>
      </c>
      <c r="B2043" t="inlineStr">
        <is>
          <t>19:43</t>
        </is>
      </c>
      <c r="C2043" t="n">
        <v>2986</v>
      </c>
      <c r="D2043" s="6" t="n">
        <v>6.9</v>
      </c>
      <c r="E2043" t="n">
        <v>38874</v>
      </c>
      <c r="F2043" s="6" t="n">
        <v>6.9</v>
      </c>
      <c r="G2043" t="n">
        <v>1</v>
      </c>
      <c r="H2043" s="6">
        <f>ROUND(G2043*F2043,2)</f>
        <v/>
      </c>
      <c r="I2043">
        <f>IF(ROUND(H2043-D2043,2)=0,1,0)</f>
        <v/>
      </c>
      <c r="J2043">
        <f>IF(F2043="","none",IF(G2043=1,"carte","multiple"))</f>
        <v/>
      </c>
    </row>
    <row r="2044">
      <c r="A2044" t="inlineStr">
        <is>
          <t>2022-06-18</t>
        </is>
      </c>
      <c r="B2044" t="inlineStr">
        <is>
          <t>21:09</t>
        </is>
      </c>
      <c r="C2044" t="n">
        <v>2986</v>
      </c>
      <c r="D2044" s="6" t="n">
        <v>4.4</v>
      </c>
      <c r="E2044" t="n">
        <v>38875</v>
      </c>
      <c r="F2044" s="6" t="n">
        <v>0.4</v>
      </c>
      <c r="G2044" t="n">
        <v>11</v>
      </c>
      <c r="H2044" s="6">
        <f>ROUND(G2044*F2044,2)</f>
        <v/>
      </c>
      <c r="I2044">
        <f>IF(ROUND(H2044-D2044,2)=0,1,0)</f>
        <v/>
      </c>
      <c r="J2044">
        <f>IF(F2044="","none",IF(G2044=1,"carte","multiple"))</f>
        <v/>
      </c>
    </row>
    <row r="2045">
      <c r="A2045" t="inlineStr">
        <is>
          <t>2022-06-19</t>
        </is>
      </c>
      <c r="B2045" t="inlineStr">
        <is>
          <t>11:27</t>
        </is>
      </c>
      <c r="C2045" t="n">
        <v>2987</v>
      </c>
      <c r="D2045" s="6" t="n">
        <v>2.2</v>
      </c>
      <c r="E2045" t="n">
        <v>38878</v>
      </c>
      <c r="F2045" s="6" t="n">
        <v>2.2</v>
      </c>
      <c r="G2045" t="n">
        <v>1</v>
      </c>
      <c r="H2045" s="6">
        <f>ROUND(G2045*F2045,2)</f>
        <v/>
      </c>
      <c r="I2045">
        <f>IF(ROUND(H2045-D2045,2)=0,1,0)</f>
        <v/>
      </c>
      <c r="J2045">
        <f>IF(F2045="","none",IF(G2045=1,"carte","multiple"))</f>
        <v/>
      </c>
    </row>
    <row r="2046">
      <c r="A2046" t="inlineStr">
        <is>
          <t>2022-06-19</t>
        </is>
      </c>
      <c r="B2046" t="inlineStr">
        <is>
          <t>11:27</t>
        </is>
      </c>
      <c r="C2046" t="n">
        <v>2987</v>
      </c>
      <c r="D2046" s="6" t="n">
        <v>3.9</v>
      </c>
      <c r="E2046" t="n">
        <v>38879</v>
      </c>
      <c r="F2046" s="6" t="n">
        <v>3.9</v>
      </c>
      <c r="G2046" t="n">
        <v>1</v>
      </c>
      <c r="H2046" s="6">
        <f>ROUND(G2046*F2046,2)</f>
        <v/>
      </c>
      <c r="I2046">
        <f>IF(ROUND(H2046-D2046,2)=0,1,0)</f>
        <v/>
      </c>
      <c r="J2046">
        <f>IF(F2046="","none",IF(G2046=1,"carte","multiple"))</f>
        <v/>
      </c>
    </row>
    <row r="2047">
      <c r="A2047" t="inlineStr">
        <is>
          <t>2022-06-19</t>
        </is>
      </c>
      <c r="B2047" t="inlineStr">
        <is>
          <t>11:27</t>
        </is>
      </c>
      <c r="C2047" t="n">
        <v>2987</v>
      </c>
      <c r="D2047" s="6" t="n">
        <v>6</v>
      </c>
      <c r="E2047" t="n">
        <v>38880</v>
      </c>
      <c r="F2047" s="6" t="n">
        <v>6</v>
      </c>
      <c r="G2047" t="n">
        <v>1</v>
      </c>
      <c r="H2047" s="6">
        <f>ROUND(G2047*F2047,2)</f>
        <v/>
      </c>
      <c r="I2047">
        <f>IF(ROUND(H2047-D2047,2)=0,1,0)</f>
        <v/>
      </c>
      <c r="J2047">
        <f>IF(F2047="","none",IF(G2047=1,"carte","multiple"))</f>
        <v/>
      </c>
    </row>
    <row r="2048">
      <c r="A2048" t="inlineStr">
        <is>
          <t>2022-06-19</t>
        </is>
      </c>
      <c r="B2048" t="inlineStr">
        <is>
          <t>11:27</t>
        </is>
      </c>
      <c r="C2048" t="n">
        <v>2987</v>
      </c>
      <c r="D2048" s="6" t="n">
        <v>6.5</v>
      </c>
      <c r="E2048" t="n">
        <v>38881</v>
      </c>
      <c r="F2048" s="6" t="n">
        <v>6.5</v>
      </c>
      <c r="G2048" t="n">
        <v>1</v>
      </c>
      <c r="H2048" s="6">
        <f>ROUND(G2048*F2048,2)</f>
        <v/>
      </c>
      <c r="I2048">
        <f>IF(ROUND(H2048-D2048,2)=0,1,0)</f>
        <v/>
      </c>
      <c r="J2048">
        <f>IF(F2048="","none",IF(G2048=1,"carte","multiple"))</f>
        <v/>
      </c>
    </row>
    <row r="2049">
      <c r="A2049" t="inlineStr">
        <is>
          <t>2022-06-19</t>
        </is>
      </c>
      <c r="B2049" t="inlineStr">
        <is>
          <t>11:27</t>
        </is>
      </c>
      <c r="C2049" t="n">
        <v>2987</v>
      </c>
      <c r="D2049" s="6" t="n">
        <v>31.2</v>
      </c>
      <c r="E2049" t="n">
        <v>38882</v>
      </c>
      <c r="F2049" s="6" t="n">
        <v>0.4</v>
      </c>
      <c r="G2049" t="n">
        <v>78</v>
      </c>
      <c r="H2049" s="6">
        <f>ROUND(G2049*F2049,2)</f>
        <v/>
      </c>
      <c r="I2049">
        <f>IF(ROUND(H2049-D2049,2)=0,1,0)</f>
        <v/>
      </c>
      <c r="J2049">
        <f>IF(F2049="","none",IF(G2049=1,"carte","multiple"))</f>
        <v/>
      </c>
    </row>
    <row r="2050">
      <c r="A2050" t="inlineStr">
        <is>
          <t>2022-06-19</t>
        </is>
      </c>
      <c r="B2050" t="inlineStr">
        <is>
          <t>12:05</t>
        </is>
      </c>
      <c r="C2050" t="n">
        <v>2987</v>
      </c>
      <c r="D2050" s="6" t="n">
        <v>2.4</v>
      </c>
      <c r="E2050" t="n">
        <v>38883</v>
      </c>
      <c r="F2050" s="6" t="n">
        <v>2.4</v>
      </c>
      <c r="G2050" t="n">
        <v>1</v>
      </c>
      <c r="H2050" s="6">
        <f>ROUND(G2050*F2050,2)</f>
        <v/>
      </c>
      <c r="I2050">
        <f>IF(ROUND(H2050-D2050,2)=0,1,0)</f>
        <v/>
      </c>
      <c r="J2050">
        <f>IF(F2050="","none",IF(G2050=1,"carte","multiple"))</f>
        <v/>
      </c>
    </row>
    <row r="2051">
      <c r="A2051" t="inlineStr">
        <is>
          <t>2022-06-19</t>
        </is>
      </c>
      <c r="B2051" t="inlineStr">
        <is>
          <t>12:05</t>
        </is>
      </c>
      <c r="C2051" t="n">
        <v>2987</v>
      </c>
      <c r="D2051" s="6" t="n">
        <v>3.9</v>
      </c>
      <c r="E2051" t="n">
        <v>38884</v>
      </c>
      <c r="F2051" s="6" t="n">
        <v>3.9</v>
      </c>
      <c r="G2051" t="n">
        <v>1</v>
      </c>
      <c r="H2051" s="6">
        <f>ROUND(G2051*F2051,2)</f>
        <v/>
      </c>
      <c r="I2051">
        <f>IF(ROUND(H2051-D2051,2)=0,1,0)</f>
        <v/>
      </c>
      <c r="J2051">
        <f>IF(F2051="","none",IF(G2051=1,"carte","multiple"))</f>
        <v/>
      </c>
    </row>
    <row r="2052">
      <c r="A2052" t="inlineStr">
        <is>
          <t>2022-06-19</t>
        </is>
      </c>
      <c r="B2052" t="inlineStr">
        <is>
          <t>12:05</t>
        </is>
      </c>
      <c r="C2052" t="n">
        <v>2987</v>
      </c>
      <c r="D2052" s="6" t="n">
        <v>5.9</v>
      </c>
      <c r="E2052" t="n">
        <v>38885</v>
      </c>
      <c r="F2052" s="6" t="n">
        <v>5.9</v>
      </c>
      <c r="G2052" t="n">
        <v>1</v>
      </c>
      <c r="H2052" s="6">
        <f>ROUND(G2052*F2052,2)</f>
        <v/>
      </c>
      <c r="I2052">
        <f>IF(ROUND(H2052-D2052,2)=0,1,0)</f>
        <v/>
      </c>
      <c r="J2052">
        <f>IF(F2052="","none",IF(G2052=1,"carte","multiple"))</f>
        <v/>
      </c>
    </row>
    <row r="2053">
      <c r="A2053" t="inlineStr">
        <is>
          <t>2022-06-19</t>
        </is>
      </c>
      <c r="B2053" t="inlineStr">
        <is>
          <t>12:05</t>
        </is>
      </c>
      <c r="C2053" t="n">
        <v>2987</v>
      </c>
      <c r="D2053" s="6" t="n">
        <v>14.4</v>
      </c>
      <c r="E2053" t="n">
        <v>38886</v>
      </c>
      <c r="F2053" s="6" t="n">
        <v>0.4</v>
      </c>
      <c r="G2053" t="n">
        <v>36</v>
      </c>
      <c r="H2053" s="6">
        <f>ROUND(G2053*F2053,2)</f>
        <v/>
      </c>
      <c r="I2053">
        <f>IF(ROUND(H2053-D2053,2)=0,1,0)</f>
        <v/>
      </c>
      <c r="J2053">
        <f>IF(F2053="","none",IF(G2053=1,"carte","multiple"))</f>
        <v/>
      </c>
    </row>
    <row r="2054">
      <c r="A2054" t="inlineStr">
        <is>
          <t>2022-06-19</t>
        </is>
      </c>
      <c r="B2054" t="inlineStr">
        <is>
          <t>12:05</t>
        </is>
      </c>
      <c r="C2054" t="n">
        <v>2987</v>
      </c>
      <c r="D2054" s="6" t="n">
        <v>17.6</v>
      </c>
      <c r="E2054" t="n">
        <v>38887</v>
      </c>
      <c r="F2054" s="6" t="n">
        <v>17.6</v>
      </c>
      <c r="G2054" t="n">
        <v>1</v>
      </c>
      <c r="H2054" s="6">
        <f>ROUND(G2054*F2054,2)</f>
        <v/>
      </c>
      <c r="I2054">
        <f>IF(ROUND(H2054-D2054,2)=0,1,0)</f>
        <v/>
      </c>
      <c r="J2054">
        <f>IF(F2054="","none",IF(G2054=1,"carte","multiple"))</f>
        <v/>
      </c>
    </row>
    <row r="2055">
      <c r="A2055" t="inlineStr">
        <is>
          <t>2022-06-19</t>
        </is>
      </c>
      <c r="B2055" t="inlineStr">
        <is>
          <t>12:05</t>
        </is>
      </c>
      <c r="C2055" t="n">
        <v>2987</v>
      </c>
      <c r="D2055" s="6" t="n">
        <v>5.9</v>
      </c>
      <c r="E2055" t="n">
        <v>38888</v>
      </c>
      <c r="F2055" s="6" t="n">
        <v>5.9</v>
      </c>
      <c r="G2055" t="n">
        <v>1</v>
      </c>
      <c r="H2055" s="6">
        <f>ROUND(G2055*F2055,2)</f>
        <v/>
      </c>
      <c r="I2055">
        <f>IF(ROUND(H2055-D2055,2)=0,1,0)</f>
        <v/>
      </c>
      <c r="J2055">
        <f>IF(F2055="","none",IF(G2055=1,"carte","multiple"))</f>
        <v/>
      </c>
    </row>
    <row r="2056">
      <c r="A2056" t="inlineStr">
        <is>
          <t>2022-06-19</t>
        </is>
      </c>
      <c r="B2056" t="inlineStr">
        <is>
          <t>12:05</t>
        </is>
      </c>
      <c r="C2056" t="n">
        <v>2987</v>
      </c>
      <c r="D2056" s="6" t="n">
        <v>17.6</v>
      </c>
      <c r="E2056" t="n">
        <v>38889</v>
      </c>
      <c r="F2056" s="6" t="n">
        <v>17.6</v>
      </c>
      <c r="G2056" t="n">
        <v>1</v>
      </c>
      <c r="H2056" s="6">
        <f>ROUND(G2056*F2056,2)</f>
        <v/>
      </c>
      <c r="I2056">
        <f>IF(ROUND(H2056-D2056,2)=0,1,0)</f>
        <v/>
      </c>
      <c r="J2056">
        <f>IF(F2056="","none",IF(G2056=1,"carte","multiple"))</f>
        <v/>
      </c>
    </row>
    <row r="2057">
      <c r="A2057" t="inlineStr">
        <is>
          <t>2022-06-19</t>
        </is>
      </c>
      <c r="B2057" t="inlineStr">
        <is>
          <t>12:05</t>
        </is>
      </c>
      <c r="C2057" t="n">
        <v>2987</v>
      </c>
      <c r="D2057" s="6" t="n">
        <v>16</v>
      </c>
      <c r="E2057" t="n">
        <v>38890</v>
      </c>
      <c r="F2057" s="6" t="n">
        <v>16</v>
      </c>
      <c r="G2057" t="n">
        <v>1</v>
      </c>
      <c r="H2057" s="6">
        <f>ROUND(G2057*F2057,2)</f>
        <v/>
      </c>
      <c r="I2057">
        <f>IF(ROUND(H2057-D2057,2)=0,1,0)</f>
        <v/>
      </c>
      <c r="J2057">
        <f>IF(F2057="","none",IF(G2057=1,"carte","multiple"))</f>
        <v/>
      </c>
    </row>
    <row r="2058">
      <c r="A2058" t="inlineStr">
        <is>
          <t>2022-06-19</t>
        </is>
      </c>
      <c r="B2058" t="inlineStr">
        <is>
          <t>12:12</t>
        </is>
      </c>
      <c r="C2058" t="n">
        <v>2987</v>
      </c>
      <c r="D2058" s="6" t="n">
        <v>3.8</v>
      </c>
      <c r="E2058" t="n">
        <v>38891</v>
      </c>
      <c r="F2058" s="6" t="n">
        <v>3.8</v>
      </c>
      <c r="G2058" t="n">
        <v>1</v>
      </c>
      <c r="H2058" s="6">
        <f>ROUND(G2058*F2058,2)</f>
        <v/>
      </c>
      <c r="I2058">
        <f>IF(ROUND(H2058-D2058,2)=0,1,0)</f>
        <v/>
      </c>
      <c r="J2058">
        <f>IF(F2058="","none",IF(G2058=1,"carte","multiple"))</f>
        <v/>
      </c>
    </row>
    <row r="2059">
      <c r="A2059" t="inlineStr">
        <is>
          <t>2022-06-19</t>
        </is>
      </c>
      <c r="B2059" t="inlineStr">
        <is>
          <t>12:52</t>
        </is>
      </c>
      <c r="C2059" t="n">
        <v>2987</v>
      </c>
      <c r="D2059" s="6" t="n">
        <v>47.7</v>
      </c>
      <c r="E2059" t="n">
        <v>38892</v>
      </c>
      <c r="F2059" s="6" t="n">
        <v>0.9</v>
      </c>
      <c r="G2059" t="n">
        <v>53</v>
      </c>
      <c r="H2059" s="6">
        <f>ROUND(G2059*F2059,2)</f>
        <v/>
      </c>
      <c r="I2059">
        <f>IF(ROUND(H2059-D2059,2)=0,1,0)</f>
        <v/>
      </c>
      <c r="J2059">
        <f>IF(F2059="","none",IF(G2059=1,"carte","multiple"))</f>
        <v/>
      </c>
    </row>
    <row r="2060">
      <c r="A2060" t="inlineStr">
        <is>
          <t>2022-06-19</t>
        </is>
      </c>
      <c r="B2060" t="inlineStr">
        <is>
          <t>12:52</t>
        </is>
      </c>
      <c r="C2060" t="n">
        <v>2987</v>
      </c>
      <c r="D2060" s="6" t="n">
        <v>23</v>
      </c>
      <c r="E2060" t="n">
        <v>38893</v>
      </c>
      <c r="F2060" s="6" t="n">
        <v>23</v>
      </c>
      <c r="G2060" t="n">
        <v>1</v>
      </c>
      <c r="H2060" s="6">
        <f>ROUND(G2060*F2060,2)</f>
        <v/>
      </c>
      <c r="I2060">
        <f>IF(ROUND(H2060-D2060,2)=0,1,0)</f>
        <v/>
      </c>
      <c r="J2060">
        <f>IF(F2060="","none",IF(G2060=1,"carte","multiple"))</f>
        <v/>
      </c>
    </row>
    <row r="2061">
      <c r="A2061" t="inlineStr">
        <is>
          <t>2022-06-19</t>
        </is>
      </c>
      <c r="B2061" t="inlineStr">
        <is>
          <t>12:52</t>
        </is>
      </c>
      <c r="C2061" t="n">
        <v>2987</v>
      </c>
      <c r="D2061" s="6" t="n">
        <v>5.9</v>
      </c>
      <c r="E2061" t="n">
        <v>38894</v>
      </c>
      <c r="F2061" s="6" t="n">
        <v>5.9</v>
      </c>
      <c r="G2061" t="n">
        <v>1</v>
      </c>
      <c r="H2061" s="6">
        <f>ROUND(G2061*F2061,2)</f>
        <v/>
      </c>
      <c r="I2061">
        <f>IF(ROUND(H2061-D2061,2)=0,1,0)</f>
        <v/>
      </c>
      <c r="J2061">
        <f>IF(F2061="","none",IF(G2061=1,"carte","multiple"))</f>
        <v/>
      </c>
    </row>
    <row r="2062">
      <c r="A2062" t="inlineStr">
        <is>
          <t>2022-06-19</t>
        </is>
      </c>
      <c r="B2062" t="inlineStr">
        <is>
          <t>12:52</t>
        </is>
      </c>
      <c r="C2062" t="n">
        <v>2987</v>
      </c>
      <c r="D2062" s="6" t="n">
        <v>3.9</v>
      </c>
      <c r="E2062" t="n">
        <v>38895</v>
      </c>
      <c r="F2062" s="6" t="n">
        <v>3.9</v>
      </c>
      <c r="G2062" t="n">
        <v>1</v>
      </c>
      <c r="H2062" s="6">
        <f>ROUND(G2062*F2062,2)</f>
        <v/>
      </c>
      <c r="I2062">
        <f>IF(ROUND(H2062-D2062,2)=0,1,0)</f>
        <v/>
      </c>
      <c r="J2062">
        <f>IF(F2062="","none",IF(G2062=1,"carte","multiple"))</f>
        <v/>
      </c>
    </row>
    <row r="2063">
      <c r="A2063" t="inlineStr">
        <is>
          <t>2022-06-19</t>
        </is>
      </c>
      <c r="B2063" t="inlineStr">
        <is>
          <t>12:52</t>
        </is>
      </c>
      <c r="C2063" t="n">
        <v>2987</v>
      </c>
      <c r="D2063" s="6" t="n">
        <v>2.2</v>
      </c>
      <c r="E2063" t="n">
        <v>38896</v>
      </c>
      <c r="F2063" s="6" t="n">
        <v>2.2</v>
      </c>
      <c r="G2063" t="n">
        <v>1</v>
      </c>
      <c r="H2063" s="6">
        <f>ROUND(G2063*F2063,2)</f>
        <v/>
      </c>
      <c r="I2063">
        <f>IF(ROUND(H2063-D2063,2)=0,1,0)</f>
        <v/>
      </c>
      <c r="J2063">
        <f>IF(F2063="","none",IF(G2063=1,"carte","multiple"))</f>
        <v/>
      </c>
    </row>
    <row r="2064">
      <c r="A2064" t="inlineStr">
        <is>
          <t>2022-06-19</t>
        </is>
      </c>
      <c r="B2064" t="inlineStr">
        <is>
          <t>12:52</t>
        </is>
      </c>
      <c r="C2064" t="n">
        <v>2987</v>
      </c>
      <c r="D2064" s="6" t="n">
        <v>7.8</v>
      </c>
      <c r="E2064" t="n">
        <v>38897</v>
      </c>
      <c r="F2064" s="6" t="n">
        <v>7.8</v>
      </c>
      <c r="G2064" t="n">
        <v>1</v>
      </c>
      <c r="H2064" s="6">
        <f>ROUND(G2064*F2064,2)</f>
        <v/>
      </c>
      <c r="I2064">
        <f>IF(ROUND(H2064-D2064,2)=0,1,0)</f>
        <v/>
      </c>
      <c r="J2064">
        <f>IF(F2064="","none",IF(G2064=1,"carte","multiple"))</f>
        <v/>
      </c>
    </row>
    <row r="2065">
      <c r="A2065" t="inlineStr">
        <is>
          <t>2022-06-19</t>
        </is>
      </c>
      <c r="B2065" t="inlineStr">
        <is>
          <t>12:52</t>
        </is>
      </c>
      <c r="C2065" t="n">
        <v>2987</v>
      </c>
      <c r="D2065" s="6" t="n">
        <v>5.2</v>
      </c>
      <c r="E2065" t="n">
        <v>38898</v>
      </c>
      <c r="F2065" s="6" t="n">
        <v>5.2</v>
      </c>
      <c r="G2065" t="n">
        <v>1</v>
      </c>
      <c r="H2065" s="6">
        <f>ROUND(G2065*F2065,2)</f>
        <v/>
      </c>
      <c r="I2065">
        <f>IF(ROUND(H2065-D2065,2)=0,1,0)</f>
        <v/>
      </c>
      <c r="J2065">
        <f>IF(F2065="","none",IF(G2065=1,"carte","multiple"))</f>
        <v/>
      </c>
    </row>
    <row r="2066">
      <c r="A2066" t="inlineStr">
        <is>
          <t>2022-06-19</t>
        </is>
      </c>
      <c r="B2066" t="inlineStr">
        <is>
          <t>18:03</t>
        </is>
      </c>
      <c r="C2066" t="n">
        <v>2987</v>
      </c>
      <c r="D2066" s="6" t="n">
        <v>5.2</v>
      </c>
      <c r="E2066" t="n">
        <v>38900</v>
      </c>
      <c r="F2066" s="6" t="n">
        <v>5.2</v>
      </c>
      <c r="G2066" t="n">
        <v>1</v>
      </c>
      <c r="H2066" s="6">
        <f>ROUND(G2066*F2066,2)</f>
        <v/>
      </c>
      <c r="I2066">
        <f>IF(ROUND(H2066-D2066,2)=0,1,0)</f>
        <v/>
      </c>
      <c r="J2066">
        <f>IF(F2066="","none",IF(G2066=1,"carte","multiple"))</f>
        <v/>
      </c>
    </row>
    <row r="2067">
      <c r="A2067" t="inlineStr">
        <is>
          <t>2022-06-19</t>
        </is>
      </c>
      <c r="B2067" t="inlineStr">
        <is>
          <t>20:08</t>
        </is>
      </c>
      <c r="C2067" t="n">
        <v>2987</v>
      </c>
      <c r="D2067" s="6" t="n">
        <v>8.699999999999999</v>
      </c>
      <c r="E2067" t="n">
        <v>38901</v>
      </c>
      <c r="F2067" s="6" t="n">
        <v>8.699999999999999</v>
      </c>
      <c r="G2067" t="n">
        <v>1</v>
      </c>
      <c r="H2067" s="6">
        <f>ROUND(G2067*F2067,2)</f>
        <v/>
      </c>
      <c r="I2067">
        <f>IF(ROUND(H2067-D2067,2)=0,1,0)</f>
        <v/>
      </c>
      <c r="J2067">
        <f>IF(F2067="","none",IF(G2067=1,"carte","multiple"))</f>
        <v/>
      </c>
    </row>
    <row r="2068">
      <c r="A2068" t="inlineStr">
        <is>
          <t>2022-06-19</t>
        </is>
      </c>
      <c r="B2068" t="inlineStr">
        <is>
          <t>20:08</t>
        </is>
      </c>
      <c r="C2068" t="n">
        <v>2987</v>
      </c>
      <c r="D2068" s="6" t="n">
        <v>19.9</v>
      </c>
      <c r="E2068" t="n">
        <v>38902</v>
      </c>
      <c r="F2068" s="6" t="n">
        <v>19.9</v>
      </c>
      <c r="G2068" t="n">
        <v>1</v>
      </c>
      <c r="H2068" s="6">
        <f>ROUND(G2068*F2068,2)</f>
        <v/>
      </c>
      <c r="I2068">
        <f>IF(ROUND(H2068-D2068,2)=0,1,0)</f>
        <v/>
      </c>
      <c r="J2068">
        <f>IF(F2068="","none",IF(G2068=1,"carte","multiple"))</f>
        <v/>
      </c>
    </row>
    <row r="2069">
      <c r="A2069" t="inlineStr">
        <is>
          <t>2022-06-19</t>
        </is>
      </c>
      <c r="B2069" t="inlineStr">
        <is>
          <t>20:08</t>
        </is>
      </c>
      <c r="C2069" t="n">
        <v>2987</v>
      </c>
      <c r="D2069" s="6" t="n">
        <v>16.9</v>
      </c>
      <c r="E2069" t="n">
        <v>38903</v>
      </c>
      <c r="F2069" s="6" t="n">
        <v>16.9</v>
      </c>
      <c r="G2069" t="n">
        <v>1</v>
      </c>
      <c r="H2069" s="6">
        <f>ROUND(G2069*F2069,2)</f>
        <v/>
      </c>
      <c r="I2069">
        <f>IF(ROUND(H2069-D2069,2)=0,1,0)</f>
        <v/>
      </c>
      <c r="J2069">
        <f>IF(F2069="","none",IF(G2069=1,"carte","multiple"))</f>
        <v/>
      </c>
    </row>
    <row r="2070">
      <c r="A2070" t="inlineStr">
        <is>
          <t>2022-06-19</t>
        </is>
      </c>
      <c r="B2070" t="inlineStr">
        <is>
          <t>20:08</t>
        </is>
      </c>
      <c r="C2070" t="n">
        <v>2987</v>
      </c>
      <c r="D2070" s="6" t="n">
        <v>5.2</v>
      </c>
      <c r="E2070" t="n">
        <v>38904</v>
      </c>
      <c r="F2070" s="6" t="n">
        <v>5.2</v>
      </c>
      <c r="G2070" t="n">
        <v>1</v>
      </c>
      <c r="H2070" s="6">
        <f>ROUND(G2070*F2070,2)</f>
        <v/>
      </c>
      <c r="I2070">
        <f>IF(ROUND(H2070-D2070,2)=0,1,0)</f>
        <v/>
      </c>
      <c r="J2070">
        <f>IF(F2070="","none",IF(G2070=1,"carte","multiple"))</f>
        <v/>
      </c>
    </row>
    <row r="2071">
      <c r="A2071" t="inlineStr">
        <is>
          <t>2022-06-19</t>
        </is>
      </c>
      <c r="B2071" t="inlineStr">
        <is>
          <t>20:08</t>
        </is>
      </c>
      <c r="C2071" t="n">
        <v>2987</v>
      </c>
      <c r="D2071" s="6" t="n">
        <v>4.2</v>
      </c>
      <c r="E2071" t="n">
        <v>38905</v>
      </c>
      <c r="F2071" s="6" t="n">
        <v>4.2</v>
      </c>
      <c r="G2071" t="n">
        <v>1</v>
      </c>
      <c r="H2071" s="6">
        <f>ROUND(G2071*F2071,2)</f>
        <v/>
      </c>
      <c r="I2071">
        <f>IF(ROUND(H2071-D2071,2)=0,1,0)</f>
        <v/>
      </c>
      <c r="J2071">
        <f>IF(F2071="","none",IF(G2071=1,"carte","multiple"))</f>
        <v/>
      </c>
    </row>
    <row r="2072">
      <c r="A2072" t="inlineStr">
        <is>
          <t>2022-06-19</t>
        </is>
      </c>
      <c r="B2072" t="inlineStr">
        <is>
          <t>20:43</t>
        </is>
      </c>
      <c r="C2072" t="n">
        <v>2987</v>
      </c>
      <c r="D2072" s="6" t="n">
        <v>13</v>
      </c>
      <c r="E2072" t="n">
        <v>38906</v>
      </c>
      <c r="F2072" s="6" t="n">
        <v>13</v>
      </c>
      <c r="G2072" t="n">
        <v>1</v>
      </c>
      <c r="H2072" s="6">
        <f>ROUND(G2072*F2072,2)</f>
        <v/>
      </c>
      <c r="I2072">
        <f>IF(ROUND(H2072-D2072,2)=0,1,0)</f>
        <v/>
      </c>
      <c r="J2072">
        <f>IF(F2072="","none",IF(G2072=1,"carte","multiple"))</f>
        <v/>
      </c>
    </row>
    <row r="2073">
      <c r="A2073" t="inlineStr">
        <is>
          <t>2022-06-19</t>
        </is>
      </c>
      <c r="B2073" t="inlineStr">
        <is>
          <t>20:43</t>
        </is>
      </c>
      <c r="C2073" t="n">
        <v>2987</v>
      </c>
      <c r="D2073" s="6" t="n">
        <v>15</v>
      </c>
      <c r="E2073" t="n">
        <v>38907</v>
      </c>
      <c r="F2073" s="6" t="n">
        <v>15</v>
      </c>
      <c r="G2073" t="n">
        <v>1</v>
      </c>
      <c r="H2073" s="6">
        <f>ROUND(G2073*F2073,2)</f>
        <v/>
      </c>
      <c r="I2073">
        <f>IF(ROUND(H2073-D2073,2)=0,1,0)</f>
        <v/>
      </c>
      <c r="J2073">
        <f>IF(F2073="","none",IF(G2073=1,"carte","multiple"))</f>
        <v/>
      </c>
    </row>
    <row r="2074">
      <c r="A2074" t="inlineStr">
        <is>
          <t>2022-06-19</t>
        </is>
      </c>
      <c r="B2074" t="inlineStr">
        <is>
          <t>20:43</t>
        </is>
      </c>
      <c r="C2074" t="n">
        <v>2987</v>
      </c>
      <c r="D2074" s="6" t="n">
        <v>23</v>
      </c>
      <c r="E2074" t="n">
        <v>38908</v>
      </c>
      <c r="F2074" s="6" t="n">
        <v>23</v>
      </c>
      <c r="G2074" t="n">
        <v>1</v>
      </c>
      <c r="H2074" s="6">
        <f>ROUND(G2074*F2074,2)</f>
        <v/>
      </c>
      <c r="I2074">
        <f>IF(ROUND(H2074-D2074,2)=0,1,0)</f>
        <v/>
      </c>
      <c r="J2074">
        <f>IF(F2074="","none",IF(G2074=1,"carte","multiple"))</f>
        <v/>
      </c>
    </row>
    <row r="2075">
      <c r="A2075" t="inlineStr">
        <is>
          <t>2022-06-19</t>
        </is>
      </c>
      <c r="B2075" t="inlineStr">
        <is>
          <t>20:43</t>
        </is>
      </c>
      <c r="C2075" t="n">
        <v>2987</v>
      </c>
      <c r="D2075" s="6" t="n">
        <v>13.4</v>
      </c>
      <c r="E2075" t="n">
        <v>38909</v>
      </c>
      <c r="F2075" s="6" t="n">
        <v>13.4</v>
      </c>
      <c r="G2075" t="n">
        <v>1</v>
      </c>
      <c r="H2075" s="6">
        <f>ROUND(G2075*F2075,2)</f>
        <v/>
      </c>
      <c r="I2075">
        <f>IF(ROUND(H2075-D2075,2)=0,1,0)</f>
        <v/>
      </c>
      <c r="J2075">
        <f>IF(F2075="","none",IF(G2075=1,"carte","multiple"))</f>
        <v/>
      </c>
    </row>
    <row r="2076">
      <c r="A2076" t="inlineStr">
        <is>
          <t>2022-06-22</t>
        </is>
      </c>
      <c r="B2076" t="inlineStr">
        <is>
          <t>11:18</t>
        </is>
      </c>
      <c r="C2076" t="n">
        <v>2988</v>
      </c>
      <c r="D2076" s="6" t="n">
        <v>3.9</v>
      </c>
      <c r="E2076" t="n">
        <v>38912</v>
      </c>
      <c r="F2076" s="6" t="n">
        <v>3.9</v>
      </c>
      <c r="G2076" t="n">
        <v>1</v>
      </c>
      <c r="H2076" s="6">
        <f>ROUND(G2076*F2076,2)</f>
        <v/>
      </c>
      <c r="I2076">
        <f>IF(ROUND(H2076-D2076,2)=0,1,0)</f>
        <v/>
      </c>
      <c r="J2076">
        <f>IF(F2076="","none",IF(G2076=1,"carte","multiple"))</f>
        <v/>
      </c>
    </row>
    <row r="2077">
      <c r="A2077" t="inlineStr">
        <is>
          <t>2022-06-22</t>
        </is>
      </c>
      <c r="B2077" t="inlineStr">
        <is>
          <t>11:40</t>
        </is>
      </c>
      <c r="C2077" t="n">
        <v>2988</v>
      </c>
      <c r="D2077" s="6" t="n">
        <v>3.9</v>
      </c>
      <c r="E2077" t="n">
        <v>38913</v>
      </c>
      <c r="F2077" s="6" t="n">
        <v>3.9</v>
      </c>
      <c r="G2077" t="n">
        <v>1</v>
      </c>
      <c r="H2077" s="6">
        <f>ROUND(G2077*F2077,2)</f>
        <v/>
      </c>
      <c r="I2077">
        <f>IF(ROUND(H2077-D2077,2)=0,1,0)</f>
        <v/>
      </c>
      <c r="J2077">
        <f>IF(F2077="","none",IF(G2077=1,"carte","multiple"))</f>
        <v/>
      </c>
    </row>
    <row r="2078">
      <c r="A2078" t="inlineStr">
        <is>
          <t>2022-06-22</t>
        </is>
      </c>
      <c r="B2078" t="inlineStr">
        <is>
          <t>11:57</t>
        </is>
      </c>
      <c r="C2078" t="n">
        <v>2988</v>
      </c>
      <c r="D2078" s="6" t="n">
        <v>22</v>
      </c>
      <c r="E2078" t="n">
        <v>38914</v>
      </c>
      <c r="F2078" s="6" t="n">
        <v>0.4</v>
      </c>
      <c r="G2078" t="n">
        <v>55</v>
      </c>
      <c r="H2078" s="6">
        <f>ROUND(G2078*F2078,2)</f>
        <v/>
      </c>
      <c r="I2078">
        <f>IF(ROUND(H2078-D2078,2)=0,1,0)</f>
        <v/>
      </c>
      <c r="J2078">
        <f>IF(F2078="","none",IF(G2078=1,"carte","multiple"))</f>
        <v/>
      </c>
    </row>
    <row r="2079">
      <c r="A2079" t="inlineStr">
        <is>
          <t>2022-06-22</t>
        </is>
      </c>
      <c r="B2079" t="inlineStr">
        <is>
          <t>11:57</t>
        </is>
      </c>
      <c r="C2079" t="n">
        <v>2988</v>
      </c>
      <c r="D2079" s="6" t="n">
        <v>7.8</v>
      </c>
      <c r="E2079" t="n">
        <v>38915</v>
      </c>
      <c r="F2079" s="6" t="n">
        <v>7.8</v>
      </c>
      <c r="G2079" t="n">
        <v>1</v>
      </c>
      <c r="H2079" s="6">
        <f>ROUND(G2079*F2079,2)</f>
        <v/>
      </c>
      <c r="I2079">
        <f>IF(ROUND(H2079-D2079,2)=0,1,0)</f>
        <v/>
      </c>
      <c r="J2079">
        <f>IF(F2079="","none",IF(G2079=1,"carte","multiple"))</f>
        <v/>
      </c>
    </row>
    <row r="2080">
      <c r="A2080" t="inlineStr">
        <is>
          <t>2022-06-22</t>
        </is>
      </c>
      <c r="B2080" t="inlineStr">
        <is>
          <t>12:28</t>
        </is>
      </c>
      <c r="C2080" t="n">
        <v>2988</v>
      </c>
      <c r="D2080" s="6" t="n">
        <v>7.8</v>
      </c>
      <c r="E2080" t="n">
        <v>38916</v>
      </c>
      <c r="F2080" s="6" t="n">
        <v>7.8</v>
      </c>
      <c r="G2080" t="n">
        <v>1</v>
      </c>
      <c r="H2080" s="6">
        <f>ROUND(G2080*F2080,2)</f>
        <v/>
      </c>
      <c r="I2080">
        <f>IF(ROUND(H2080-D2080,2)=0,1,0)</f>
        <v/>
      </c>
      <c r="J2080">
        <f>IF(F2080="","none",IF(G2080=1,"carte","multiple"))</f>
        <v/>
      </c>
    </row>
    <row r="2081">
      <c r="A2081" t="inlineStr">
        <is>
          <t>2022-06-22</t>
        </is>
      </c>
      <c r="B2081" t="inlineStr">
        <is>
          <t>12:30</t>
        </is>
      </c>
      <c r="C2081" t="n">
        <v>2988</v>
      </c>
      <c r="D2081" s="6" t="n">
        <v>2.4</v>
      </c>
      <c r="E2081" t="n">
        <v>38917</v>
      </c>
      <c r="F2081" s="6" t="n">
        <v>2.4</v>
      </c>
      <c r="G2081" t="n">
        <v>1</v>
      </c>
      <c r="H2081" s="6">
        <f>ROUND(G2081*F2081,2)</f>
        <v/>
      </c>
      <c r="I2081">
        <f>IF(ROUND(H2081-D2081,2)=0,1,0)</f>
        <v/>
      </c>
      <c r="J2081">
        <f>IF(F2081="","none",IF(G2081=1,"carte","multiple"))</f>
        <v/>
      </c>
    </row>
    <row r="2082">
      <c r="A2082" t="inlineStr">
        <is>
          <t>2022-06-22</t>
        </is>
      </c>
      <c r="B2082" t="inlineStr">
        <is>
          <t>12:30</t>
        </is>
      </c>
      <c r="C2082" t="n">
        <v>2988</v>
      </c>
      <c r="D2082" s="6" t="n">
        <v>2.2</v>
      </c>
      <c r="E2082" t="n">
        <v>38918</v>
      </c>
      <c r="F2082" s="6" t="n">
        <v>2.2</v>
      </c>
      <c r="G2082" t="n">
        <v>1</v>
      </c>
      <c r="H2082" s="6">
        <f>ROUND(G2082*F2082,2)</f>
        <v/>
      </c>
      <c r="I2082">
        <f>IF(ROUND(H2082-D2082,2)=0,1,0)</f>
        <v/>
      </c>
      <c r="J2082">
        <f>IF(F2082="","none",IF(G2082=1,"carte","multiple"))</f>
        <v/>
      </c>
    </row>
    <row r="2083">
      <c r="A2083" t="inlineStr">
        <is>
          <t>2022-06-22</t>
        </is>
      </c>
      <c r="B2083" t="inlineStr">
        <is>
          <t>12:30</t>
        </is>
      </c>
      <c r="C2083" t="n">
        <v>2988</v>
      </c>
      <c r="D2083" s="6" t="n">
        <v>3.9</v>
      </c>
      <c r="E2083" t="n">
        <v>38919</v>
      </c>
      <c r="F2083" s="6" t="n">
        <v>3.9</v>
      </c>
      <c r="G2083" t="n">
        <v>1</v>
      </c>
      <c r="H2083" s="6">
        <f>ROUND(G2083*F2083,2)</f>
        <v/>
      </c>
      <c r="I2083">
        <f>IF(ROUND(H2083-D2083,2)=0,1,0)</f>
        <v/>
      </c>
      <c r="J2083">
        <f>IF(F2083="","none",IF(G2083=1,"carte","multiple"))</f>
        <v/>
      </c>
    </row>
    <row r="2084">
      <c r="A2084" t="inlineStr">
        <is>
          <t>2022-06-22</t>
        </is>
      </c>
      <c r="B2084" t="inlineStr">
        <is>
          <t>12:30</t>
        </is>
      </c>
      <c r="C2084" t="n">
        <v>2988</v>
      </c>
      <c r="D2084" s="6" t="n">
        <v>17.6</v>
      </c>
      <c r="E2084" t="n">
        <v>38920</v>
      </c>
      <c r="F2084" s="6" t="n">
        <v>17.6</v>
      </c>
      <c r="G2084" t="n">
        <v>1</v>
      </c>
      <c r="H2084" s="6">
        <f>ROUND(G2084*F2084,2)</f>
        <v/>
      </c>
      <c r="I2084">
        <f>IF(ROUND(H2084-D2084,2)=0,1,0)</f>
        <v/>
      </c>
      <c r="J2084">
        <f>IF(F2084="","none",IF(G2084=1,"carte","multiple"))</f>
        <v/>
      </c>
    </row>
    <row r="2085">
      <c r="A2085" t="inlineStr">
        <is>
          <t>2022-06-22</t>
        </is>
      </c>
      <c r="B2085" t="inlineStr">
        <is>
          <t>12:30</t>
        </is>
      </c>
      <c r="C2085" t="n">
        <v>2988</v>
      </c>
      <c r="D2085" s="6" t="n">
        <v>17.6</v>
      </c>
      <c r="E2085" t="n">
        <v>38921</v>
      </c>
      <c r="F2085" s="6" t="n">
        <v>17.6</v>
      </c>
      <c r="G2085" t="n">
        <v>1</v>
      </c>
      <c r="H2085" s="6">
        <f>ROUND(G2085*F2085,2)</f>
        <v/>
      </c>
      <c r="I2085">
        <f>IF(ROUND(H2085-D2085,2)=0,1,0)</f>
        <v/>
      </c>
      <c r="J2085">
        <f>IF(F2085="","none",IF(G2085=1,"carte","multiple"))</f>
        <v/>
      </c>
    </row>
    <row r="2086">
      <c r="A2086" t="inlineStr">
        <is>
          <t>2022-06-22</t>
        </is>
      </c>
      <c r="B2086" t="inlineStr">
        <is>
          <t>12:30</t>
        </is>
      </c>
      <c r="C2086" t="n">
        <v>2988</v>
      </c>
      <c r="D2086" s="6" t="n">
        <v>7.2</v>
      </c>
      <c r="E2086" t="n">
        <v>38922</v>
      </c>
      <c r="F2086" s="6" t="n">
        <v>7.2</v>
      </c>
      <c r="G2086" t="n">
        <v>1</v>
      </c>
      <c r="H2086" s="6">
        <f>ROUND(G2086*F2086,2)</f>
        <v/>
      </c>
      <c r="I2086">
        <f>IF(ROUND(H2086-D2086,2)=0,1,0)</f>
        <v/>
      </c>
      <c r="J2086">
        <f>IF(F2086="","none",IF(G2086=1,"carte","multiple"))</f>
        <v/>
      </c>
    </row>
    <row r="2087">
      <c r="A2087" t="inlineStr">
        <is>
          <t>2022-06-22</t>
        </is>
      </c>
      <c r="B2087" t="inlineStr">
        <is>
          <t>12:33</t>
        </is>
      </c>
      <c r="C2087" t="n">
        <v>2988</v>
      </c>
      <c r="D2087" s="6" t="n">
        <v>3.4</v>
      </c>
      <c r="E2087" t="n">
        <v>38923</v>
      </c>
      <c r="F2087" s="6" t="n">
        <v>3.4</v>
      </c>
      <c r="G2087" t="n">
        <v>1</v>
      </c>
      <c r="H2087" s="6">
        <f>ROUND(G2087*F2087,2)</f>
        <v/>
      </c>
      <c r="I2087">
        <f>IF(ROUND(H2087-D2087,2)=0,1,0)</f>
        <v/>
      </c>
      <c r="J2087">
        <f>IF(F2087="","none",IF(G2087=1,"carte","multiple"))</f>
        <v/>
      </c>
    </row>
    <row r="2088">
      <c r="A2088" t="inlineStr">
        <is>
          <t>2022-06-22</t>
        </is>
      </c>
      <c r="B2088" t="inlineStr">
        <is>
          <t>12:33</t>
        </is>
      </c>
      <c r="C2088" t="n">
        <v>2988</v>
      </c>
      <c r="D2088" s="6" t="n">
        <v>4.4</v>
      </c>
      <c r="E2088" t="n">
        <v>38924</v>
      </c>
      <c r="F2088" s="6" t="n">
        <v>0.4</v>
      </c>
      <c r="G2088" t="n">
        <v>11</v>
      </c>
      <c r="H2088" s="6">
        <f>ROUND(G2088*F2088,2)</f>
        <v/>
      </c>
      <c r="I2088">
        <f>IF(ROUND(H2088-D2088,2)=0,1,0)</f>
        <v/>
      </c>
      <c r="J2088">
        <f>IF(F2088="","none",IF(G2088=1,"carte","multiple"))</f>
        <v/>
      </c>
    </row>
    <row r="2089">
      <c r="A2089" t="inlineStr">
        <is>
          <t>2022-06-22</t>
        </is>
      </c>
      <c r="B2089" t="inlineStr">
        <is>
          <t>12:33</t>
        </is>
      </c>
      <c r="C2089" t="n">
        <v>2988</v>
      </c>
      <c r="D2089" s="6" t="n">
        <v>8.699999999999999</v>
      </c>
      <c r="E2089" t="n">
        <v>38925</v>
      </c>
      <c r="F2089" s="6" t="n">
        <v>8.699999999999999</v>
      </c>
      <c r="G2089" t="n">
        <v>1</v>
      </c>
      <c r="H2089" s="6">
        <f>ROUND(G2089*F2089,2)</f>
        <v/>
      </c>
      <c r="I2089">
        <f>IF(ROUND(H2089-D2089,2)=0,1,0)</f>
        <v/>
      </c>
      <c r="J2089">
        <f>IF(F2089="","none",IF(G2089=1,"carte","multiple"))</f>
        <v/>
      </c>
    </row>
    <row r="2090">
      <c r="A2090" t="inlineStr">
        <is>
          <t>2022-06-22</t>
        </is>
      </c>
      <c r="B2090" t="inlineStr">
        <is>
          <t>12:33</t>
        </is>
      </c>
      <c r="C2090" t="n">
        <v>2988</v>
      </c>
      <c r="D2090" s="6" t="n">
        <v>7.8</v>
      </c>
      <c r="E2090" t="n">
        <v>38926</v>
      </c>
      <c r="F2090" s="6" t="n">
        <v>7.8</v>
      </c>
      <c r="G2090" t="n">
        <v>1</v>
      </c>
      <c r="H2090" s="6">
        <f>ROUND(G2090*F2090,2)</f>
        <v/>
      </c>
      <c r="I2090">
        <f>IF(ROUND(H2090-D2090,2)=0,1,0)</f>
        <v/>
      </c>
      <c r="J2090">
        <f>IF(F2090="","none",IF(G2090=1,"carte","multiple"))</f>
        <v/>
      </c>
    </row>
    <row r="2091">
      <c r="A2091" t="inlineStr">
        <is>
          <t>2022-06-22</t>
        </is>
      </c>
      <c r="B2091" t="inlineStr">
        <is>
          <t>12:33</t>
        </is>
      </c>
      <c r="C2091" t="n">
        <v>2988</v>
      </c>
      <c r="D2091" s="6" t="n">
        <v>4</v>
      </c>
      <c r="E2091" t="n">
        <v>38927</v>
      </c>
      <c r="F2091" s="6" t="n">
        <v>4</v>
      </c>
      <c r="G2091" t="n">
        <v>1</v>
      </c>
      <c r="H2091" s="6">
        <f>ROUND(G2091*F2091,2)</f>
        <v/>
      </c>
      <c r="I2091">
        <f>IF(ROUND(H2091-D2091,2)=0,1,0)</f>
        <v/>
      </c>
      <c r="J2091">
        <f>IF(F2091="","none",IF(G2091=1,"carte","multiple"))</f>
        <v/>
      </c>
    </row>
    <row r="2092">
      <c r="A2092" t="inlineStr">
        <is>
          <t>2022-06-22</t>
        </is>
      </c>
      <c r="B2092" t="inlineStr">
        <is>
          <t>12:33</t>
        </is>
      </c>
      <c r="C2092" t="n">
        <v>2988</v>
      </c>
      <c r="D2092" s="6" t="n">
        <v>16.4</v>
      </c>
      <c r="E2092" t="n">
        <v>38928</v>
      </c>
      <c r="F2092" s="6" t="n">
        <v>16.4</v>
      </c>
      <c r="G2092" t="n">
        <v>1</v>
      </c>
      <c r="H2092" s="6">
        <f>ROUND(G2092*F2092,2)</f>
        <v/>
      </c>
      <c r="I2092">
        <f>IF(ROUND(H2092-D2092,2)=0,1,0)</f>
        <v/>
      </c>
      <c r="J2092">
        <f>IF(F2092="","none",IF(G2092=1,"carte","multiple"))</f>
        <v/>
      </c>
    </row>
    <row r="2093">
      <c r="A2093" t="inlineStr">
        <is>
          <t>2022-06-22</t>
        </is>
      </c>
      <c r="B2093" t="inlineStr">
        <is>
          <t>12:33</t>
        </is>
      </c>
      <c r="C2093" t="n">
        <v>2988</v>
      </c>
      <c r="D2093" s="6" t="n">
        <v>35.2</v>
      </c>
      <c r="E2093" t="n">
        <v>38929</v>
      </c>
      <c r="F2093" s="6" t="n">
        <v>0.4</v>
      </c>
      <c r="G2093" t="n">
        <v>88</v>
      </c>
      <c r="H2093" s="6">
        <f>ROUND(G2093*F2093,2)</f>
        <v/>
      </c>
      <c r="I2093">
        <f>IF(ROUND(H2093-D2093,2)=0,1,0)</f>
        <v/>
      </c>
      <c r="J2093">
        <f>IF(F2093="","none",IF(G2093=1,"carte","multiple"))</f>
        <v/>
      </c>
    </row>
    <row r="2094">
      <c r="A2094" t="inlineStr">
        <is>
          <t>2022-06-22</t>
        </is>
      </c>
      <c r="B2094" t="inlineStr">
        <is>
          <t>12:33</t>
        </is>
      </c>
      <c r="C2094" t="n">
        <v>2988</v>
      </c>
      <c r="D2094" s="6" t="n">
        <v>17.6</v>
      </c>
      <c r="E2094" t="n">
        <v>38930</v>
      </c>
      <c r="F2094" s="6" t="n">
        <v>17.6</v>
      </c>
      <c r="G2094" t="n">
        <v>1</v>
      </c>
      <c r="H2094" s="6">
        <f>ROUND(G2094*F2094,2)</f>
        <v/>
      </c>
      <c r="I2094">
        <f>IF(ROUND(H2094-D2094,2)=0,1,0)</f>
        <v/>
      </c>
      <c r="J2094">
        <f>IF(F2094="","none",IF(G2094=1,"carte","multiple"))</f>
        <v/>
      </c>
    </row>
    <row r="2095">
      <c r="A2095" t="inlineStr">
        <is>
          <t>2022-06-22</t>
        </is>
      </c>
      <c r="B2095" t="inlineStr">
        <is>
          <t>12:33</t>
        </is>
      </c>
      <c r="C2095" t="n">
        <v>2988</v>
      </c>
      <c r="D2095" s="6" t="n">
        <v>6.9</v>
      </c>
      <c r="E2095" t="n">
        <v>38931</v>
      </c>
      <c r="F2095" s="6" t="n">
        <v>6.9</v>
      </c>
      <c r="G2095" t="n">
        <v>1</v>
      </c>
      <c r="H2095" s="6">
        <f>ROUND(G2095*F2095,2)</f>
        <v/>
      </c>
      <c r="I2095">
        <f>IF(ROUND(H2095-D2095,2)=0,1,0)</f>
        <v/>
      </c>
      <c r="J2095">
        <f>IF(F2095="","none",IF(G2095=1,"carte","multiple"))</f>
        <v/>
      </c>
    </row>
    <row r="2096">
      <c r="A2096" t="inlineStr">
        <is>
          <t>2022-06-22</t>
        </is>
      </c>
      <c r="B2096" t="inlineStr">
        <is>
          <t>12:33</t>
        </is>
      </c>
      <c r="C2096" t="n">
        <v>2988</v>
      </c>
      <c r="D2096" s="6" t="n">
        <v>24</v>
      </c>
      <c r="E2096" t="n">
        <v>38932</v>
      </c>
      <c r="F2096" s="6" t="n">
        <v>24</v>
      </c>
      <c r="G2096" t="n">
        <v>1</v>
      </c>
      <c r="H2096" s="6">
        <f>ROUND(G2096*F2096,2)</f>
        <v/>
      </c>
      <c r="I2096">
        <f>IF(ROUND(H2096-D2096,2)=0,1,0)</f>
        <v/>
      </c>
      <c r="J2096">
        <f>IF(F2096="","none",IF(G2096=1,"carte","multiple"))</f>
        <v/>
      </c>
    </row>
    <row r="2097">
      <c r="A2097" t="inlineStr">
        <is>
          <t>2022-06-22</t>
        </is>
      </c>
      <c r="B2097" t="inlineStr">
        <is>
          <t>12:50</t>
        </is>
      </c>
      <c r="C2097" t="n">
        <v>2988</v>
      </c>
      <c r="D2097" s="6" t="n">
        <v>4.4</v>
      </c>
      <c r="E2097" t="n">
        <v>38933</v>
      </c>
      <c r="F2097" s="6" t="n">
        <v>0.4</v>
      </c>
      <c r="G2097" t="n">
        <v>11</v>
      </c>
      <c r="H2097" s="6">
        <f>ROUND(G2097*F2097,2)</f>
        <v/>
      </c>
      <c r="I2097">
        <f>IF(ROUND(H2097-D2097,2)=0,1,0)</f>
        <v/>
      </c>
      <c r="J2097">
        <f>IF(F2097="","none",IF(G2097=1,"carte","multiple"))</f>
        <v/>
      </c>
    </row>
    <row r="2098">
      <c r="A2098" t="inlineStr">
        <is>
          <t>2022-06-22</t>
        </is>
      </c>
      <c r="B2098" t="inlineStr">
        <is>
          <t>12:50</t>
        </is>
      </c>
      <c r="C2098" t="n">
        <v>2988</v>
      </c>
      <c r="D2098" s="6" t="n">
        <v>9.800000000000001</v>
      </c>
      <c r="E2098" t="n">
        <v>38934</v>
      </c>
      <c r="F2098" s="6" t="n">
        <v>9.800000000000001</v>
      </c>
      <c r="G2098" t="n">
        <v>1</v>
      </c>
      <c r="H2098" s="6">
        <f>ROUND(G2098*F2098,2)</f>
        <v/>
      </c>
      <c r="I2098">
        <f>IF(ROUND(H2098-D2098,2)=0,1,0)</f>
        <v/>
      </c>
      <c r="J2098">
        <f>IF(F2098="","none",IF(G2098=1,"carte","multiple"))</f>
        <v/>
      </c>
    </row>
    <row r="2099">
      <c r="A2099" t="inlineStr">
        <is>
          <t>2022-06-22</t>
        </is>
      </c>
      <c r="B2099" t="inlineStr">
        <is>
          <t>12:50</t>
        </is>
      </c>
      <c r="C2099" t="n">
        <v>2988</v>
      </c>
      <c r="D2099" s="6" t="n">
        <v>14.5</v>
      </c>
      <c r="E2099" t="n">
        <v>38935</v>
      </c>
      <c r="F2099" s="6" t="n">
        <v>14.5</v>
      </c>
      <c r="G2099" t="n">
        <v>1</v>
      </c>
      <c r="H2099" s="6">
        <f>ROUND(G2099*F2099,2)</f>
        <v/>
      </c>
      <c r="I2099">
        <f>IF(ROUND(H2099-D2099,2)=0,1,0)</f>
        <v/>
      </c>
      <c r="J2099">
        <f>IF(F2099="","none",IF(G2099=1,"carte","multiple"))</f>
        <v/>
      </c>
    </row>
    <row r="2100">
      <c r="A2100" t="inlineStr">
        <is>
          <t>2022-06-22</t>
        </is>
      </c>
      <c r="B2100" t="inlineStr">
        <is>
          <t>12:50</t>
        </is>
      </c>
      <c r="C2100" t="n">
        <v>2988</v>
      </c>
      <c r="D2100" s="6" t="n">
        <v>19.9</v>
      </c>
      <c r="E2100" t="n">
        <v>38936</v>
      </c>
      <c r="F2100" s="6" t="n">
        <v>19.9</v>
      </c>
      <c r="G2100" t="n">
        <v>1</v>
      </c>
      <c r="H2100" s="6">
        <f>ROUND(G2100*F2100,2)</f>
        <v/>
      </c>
      <c r="I2100">
        <f>IF(ROUND(H2100-D2100,2)=0,1,0)</f>
        <v/>
      </c>
      <c r="J2100">
        <f>IF(F2100="","none",IF(G2100=1,"carte","multiple"))</f>
        <v/>
      </c>
    </row>
    <row r="2101">
      <c r="A2101" t="inlineStr">
        <is>
          <t>2022-06-22</t>
        </is>
      </c>
      <c r="B2101" t="inlineStr">
        <is>
          <t>12:50</t>
        </is>
      </c>
      <c r="C2101" t="n">
        <v>2988</v>
      </c>
      <c r="D2101" s="6" t="n">
        <v>26</v>
      </c>
      <c r="E2101" t="n">
        <v>38937</v>
      </c>
      <c r="F2101" s="6" t="n">
        <v>26</v>
      </c>
      <c r="G2101" t="n">
        <v>1</v>
      </c>
      <c r="H2101" s="6">
        <f>ROUND(G2101*F2101,2)</f>
        <v/>
      </c>
      <c r="I2101">
        <f>IF(ROUND(H2101-D2101,2)=0,1,0)</f>
        <v/>
      </c>
      <c r="J2101">
        <f>IF(F2101="","none",IF(G2101=1,"carte","multiple"))</f>
        <v/>
      </c>
    </row>
    <row r="2102">
      <c r="A2102" t="inlineStr">
        <is>
          <t>2022-06-22</t>
        </is>
      </c>
      <c r="B2102" t="inlineStr">
        <is>
          <t>12:50</t>
        </is>
      </c>
      <c r="C2102" t="n">
        <v>2988</v>
      </c>
      <c r="D2102" s="6" t="n">
        <v>14.4</v>
      </c>
      <c r="E2102" t="n">
        <v>38938</v>
      </c>
      <c r="F2102" s="6" t="n">
        <v>0.4</v>
      </c>
      <c r="G2102" t="n">
        <v>36</v>
      </c>
      <c r="H2102" s="6">
        <f>ROUND(G2102*F2102,2)</f>
        <v/>
      </c>
      <c r="I2102">
        <f>IF(ROUND(H2102-D2102,2)=0,1,0)</f>
        <v/>
      </c>
      <c r="J2102">
        <f>IF(F2102="","none",IF(G2102=1,"carte","multiple"))</f>
        <v/>
      </c>
    </row>
    <row r="2103">
      <c r="A2103" t="inlineStr">
        <is>
          <t>2022-06-22</t>
        </is>
      </c>
      <c r="B2103" t="inlineStr">
        <is>
          <t>12:50</t>
        </is>
      </c>
      <c r="C2103" t="n">
        <v>2988</v>
      </c>
      <c r="D2103" s="6" t="n">
        <v>24</v>
      </c>
      <c r="E2103" t="n">
        <v>38939</v>
      </c>
      <c r="F2103" s="6" t="n">
        <v>24</v>
      </c>
      <c r="G2103" t="n">
        <v>1</v>
      </c>
      <c r="H2103" s="6">
        <f>ROUND(G2103*F2103,2)</f>
        <v/>
      </c>
      <c r="I2103">
        <f>IF(ROUND(H2103-D2103,2)=0,1,0)</f>
        <v/>
      </c>
      <c r="J2103">
        <f>IF(F2103="","none",IF(G2103=1,"carte","multiple"))</f>
        <v/>
      </c>
    </row>
    <row r="2104">
      <c r="A2104" t="inlineStr">
        <is>
          <t>2022-06-22</t>
        </is>
      </c>
      <c r="B2104" t="inlineStr">
        <is>
          <t>17:37</t>
        </is>
      </c>
      <c r="C2104" t="n">
        <v>2988</v>
      </c>
      <c r="D2104" s="6" t="n">
        <v>3.8</v>
      </c>
      <c r="E2104" t="n">
        <v>38940</v>
      </c>
      <c r="F2104" s="6" t="n">
        <v>3.8</v>
      </c>
      <c r="G2104" t="n">
        <v>1</v>
      </c>
      <c r="H2104" s="6">
        <f>ROUND(G2104*F2104,2)</f>
        <v/>
      </c>
      <c r="I2104">
        <f>IF(ROUND(H2104-D2104,2)=0,1,0)</f>
        <v/>
      </c>
      <c r="J2104">
        <f>IF(F2104="","none",IF(G2104=1,"carte","multiple"))</f>
        <v/>
      </c>
    </row>
    <row r="2105">
      <c r="A2105" t="inlineStr">
        <is>
          <t>2022-06-22</t>
        </is>
      </c>
      <c r="B2105" t="inlineStr">
        <is>
          <t>18:39</t>
        </is>
      </c>
      <c r="C2105" t="n">
        <v>2988</v>
      </c>
      <c r="D2105" s="6" t="n">
        <v>17.6</v>
      </c>
      <c r="E2105" t="n">
        <v>38941</v>
      </c>
      <c r="F2105" s="6" t="n">
        <v>17.6</v>
      </c>
      <c r="G2105" t="n">
        <v>1</v>
      </c>
      <c r="H2105" s="6">
        <f>ROUND(G2105*F2105,2)</f>
        <v/>
      </c>
      <c r="I2105">
        <f>IF(ROUND(H2105-D2105,2)=0,1,0)</f>
        <v/>
      </c>
      <c r="J2105">
        <f>IF(F2105="","none",IF(G2105=1,"carte","multiple"))</f>
        <v/>
      </c>
    </row>
    <row r="2106">
      <c r="A2106" t="inlineStr">
        <is>
          <t>2022-06-22</t>
        </is>
      </c>
      <c r="B2106" t="inlineStr">
        <is>
          <t>18:39</t>
        </is>
      </c>
      <c r="C2106" t="n">
        <v>2988</v>
      </c>
      <c r="D2106" s="6" t="n">
        <v>28.6</v>
      </c>
      <c r="E2106" t="n">
        <v>38942</v>
      </c>
      <c r="F2106" s="6" t="n">
        <v>28.6</v>
      </c>
      <c r="G2106" t="n">
        <v>1</v>
      </c>
      <c r="H2106" s="6">
        <f>ROUND(G2106*F2106,2)</f>
        <v/>
      </c>
      <c r="I2106">
        <f>IF(ROUND(H2106-D2106,2)=0,1,0)</f>
        <v/>
      </c>
      <c r="J2106">
        <f>IF(F2106="","none",IF(G2106=1,"carte","multiple"))</f>
        <v/>
      </c>
    </row>
    <row r="2107">
      <c r="A2107" t="inlineStr">
        <is>
          <t>2022-06-22</t>
        </is>
      </c>
      <c r="B2107" t="inlineStr">
        <is>
          <t>18:39</t>
        </is>
      </c>
      <c r="C2107" t="n">
        <v>2988</v>
      </c>
      <c r="D2107" s="6" t="n">
        <v>19</v>
      </c>
      <c r="E2107" t="n">
        <v>38943</v>
      </c>
      <c r="F2107" s="6" t="n">
        <v>19</v>
      </c>
      <c r="G2107" t="n">
        <v>1</v>
      </c>
      <c r="H2107" s="6">
        <f>ROUND(G2107*F2107,2)</f>
        <v/>
      </c>
      <c r="I2107">
        <f>IF(ROUND(H2107-D2107,2)=0,1,0)</f>
        <v/>
      </c>
      <c r="J2107">
        <f>IF(F2107="","none",IF(G2107=1,"carte","multiple"))</f>
        <v/>
      </c>
    </row>
    <row r="2108">
      <c r="A2108" t="inlineStr">
        <is>
          <t>2022-06-22</t>
        </is>
      </c>
      <c r="B2108" t="inlineStr">
        <is>
          <t>19:03</t>
        </is>
      </c>
      <c r="C2108" t="n">
        <v>2988</v>
      </c>
      <c r="D2108" s="6" t="n">
        <v>59.8</v>
      </c>
      <c r="E2108" t="n">
        <v>38944</v>
      </c>
      <c r="F2108" s="6" t="n">
        <v>4.6</v>
      </c>
      <c r="G2108" t="n">
        <v>13</v>
      </c>
      <c r="H2108" s="6">
        <f>ROUND(G2108*F2108,2)</f>
        <v/>
      </c>
      <c r="I2108">
        <f>IF(ROUND(H2108-D2108,2)=0,1,0)</f>
        <v/>
      </c>
      <c r="J2108">
        <f>IF(F2108="","none",IF(G2108=1,"carte","multiple"))</f>
        <v/>
      </c>
    </row>
    <row r="2109">
      <c r="A2109" t="inlineStr">
        <is>
          <t>2022-06-22</t>
        </is>
      </c>
      <c r="B2109" t="inlineStr">
        <is>
          <t>19:03</t>
        </is>
      </c>
      <c r="C2109" t="n">
        <v>2988</v>
      </c>
      <c r="D2109" s="6" t="n">
        <v>29.9</v>
      </c>
      <c r="E2109" t="n">
        <v>38945</v>
      </c>
      <c r="F2109" s="6" t="n">
        <v>29.9</v>
      </c>
      <c r="G2109" t="n">
        <v>1</v>
      </c>
      <c r="H2109" s="6">
        <f>ROUND(G2109*F2109,2)</f>
        <v/>
      </c>
      <c r="I2109">
        <f>IF(ROUND(H2109-D2109,2)=0,1,0)</f>
        <v/>
      </c>
      <c r="J2109">
        <f>IF(F2109="","none",IF(G2109=1,"carte","multiple"))</f>
        <v/>
      </c>
    </row>
    <row r="2110">
      <c r="A2110" t="inlineStr">
        <is>
          <t>2022-06-22</t>
        </is>
      </c>
      <c r="B2110" t="inlineStr">
        <is>
          <t>19:46</t>
        </is>
      </c>
      <c r="C2110" t="n">
        <v>2988</v>
      </c>
      <c r="D2110" s="6" t="n">
        <v>17.6</v>
      </c>
      <c r="E2110" t="n">
        <v>38946</v>
      </c>
      <c r="F2110" s="6" t="n">
        <v>17.6</v>
      </c>
      <c r="G2110" t="n">
        <v>1</v>
      </c>
      <c r="H2110" s="6">
        <f>ROUND(G2110*F2110,2)</f>
        <v/>
      </c>
      <c r="I2110">
        <f>IF(ROUND(H2110-D2110,2)=0,1,0)</f>
        <v/>
      </c>
      <c r="J2110">
        <f>IF(F2110="","none",IF(G2110=1,"carte","multiple"))</f>
        <v/>
      </c>
    </row>
    <row r="2111">
      <c r="A2111" t="inlineStr">
        <is>
          <t>2022-06-22</t>
        </is>
      </c>
      <c r="B2111" t="inlineStr">
        <is>
          <t>19:46</t>
        </is>
      </c>
      <c r="C2111" t="n">
        <v>2988</v>
      </c>
      <c r="D2111" s="6" t="n">
        <v>3.6</v>
      </c>
      <c r="E2111" t="n">
        <v>38947</v>
      </c>
      <c r="F2111" s="6" t="n">
        <v>3.6</v>
      </c>
      <c r="G2111" t="n">
        <v>1</v>
      </c>
      <c r="H2111" s="6">
        <f>ROUND(G2111*F2111,2)</f>
        <v/>
      </c>
      <c r="I2111">
        <f>IF(ROUND(H2111-D2111,2)=0,1,0)</f>
        <v/>
      </c>
      <c r="J2111">
        <f>IF(F2111="","none",IF(G2111=1,"carte","multiple"))</f>
        <v/>
      </c>
    </row>
    <row r="2112">
      <c r="A2112" t="inlineStr">
        <is>
          <t>2022-06-22</t>
        </is>
      </c>
      <c r="B2112" t="inlineStr">
        <is>
          <t>19:46</t>
        </is>
      </c>
      <c r="C2112" t="n">
        <v>2988</v>
      </c>
      <c r="D2112" s="6" t="n">
        <v>4.2</v>
      </c>
      <c r="E2112" t="n">
        <v>38948</v>
      </c>
      <c r="F2112" s="6" t="n">
        <v>4.2</v>
      </c>
      <c r="G2112" t="n">
        <v>1</v>
      </c>
      <c r="H2112" s="6">
        <f>ROUND(G2112*F2112,2)</f>
        <v/>
      </c>
      <c r="I2112">
        <f>IF(ROUND(H2112-D2112,2)=0,1,0)</f>
        <v/>
      </c>
      <c r="J2112">
        <f>IF(F2112="","none",IF(G2112=1,"carte","multiple"))</f>
        <v/>
      </c>
    </row>
    <row r="2113">
      <c r="A2113" t="inlineStr">
        <is>
          <t>2022-06-22</t>
        </is>
      </c>
      <c r="B2113" t="inlineStr">
        <is>
          <t>19:50</t>
        </is>
      </c>
      <c r="C2113" t="n">
        <v>2988</v>
      </c>
      <c r="D2113" s="6" t="n">
        <v>59.8</v>
      </c>
      <c r="E2113" t="n">
        <v>38949</v>
      </c>
      <c r="F2113" s="6" t="n">
        <v>4.6</v>
      </c>
      <c r="G2113" t="n">
        <v>13</v>
      </c>
      <c r="H2113" s="6">
        <f>ROUND(G2113*F2113,2)</f>
        <v/>
      </c>
      <c r="I2113">
        <f>IF(ROUND(H2113-D2113,2)=0,1,0)</f>
        <v/>
      </c>
      <c r="J2113">
        <f>IF(F2113="","none",IF(G2113=1,"carte","multiple"))</f>
        <v/>
      </c>
    </row>
    <row r="2114">
      <c r="A2114" t="inlineStr">
        <is>
          <t>2022-06-22</t>
        </is>
      </c>
      <c r="B2114" t="inlineStr">
        <is>
          <t>19:50</t>
        </is>
      </c>
      <c r="C2114" t="n">
        <v>2988</v>
      </c>
      <c r="D2114" s="6" t="n">
        <v>9.800000000000001</v>
      </c>
      <c r="E2114" t="n">
        <v>38950</v>
      </c>
      <c r="F2114" s="6" t="n">
        <v>9.800000000000001</v>
      </c>
      <c r="G2114" t="n">
        <v>1</v>
      </c>
      <c r="H2114" s="6">
        <f>ROUND(G2114*F2114,2)</f>
        <v/>
      </c>
      <c r="I2114">
        <f>IF(ROUND(H2114-D2114,2)=0,1,0)</f>
        <v/>
      </c>
      <c r="J2114">
        <f>IF(F2114="","none",IF(G2114=1,"carte","multiple"))</f>
        <v/>
      </c>
    </row>
    <row r="2115">
      <c r="A2115" t="inlineStr">
        <is>
          <t>2022-06-22</t>
        </is>
      </c>
      <c r="B2115" t="inlineStr">
        <is>
          <t>19:55</t>
        </is>
      </c>
      <c r="C2115" t="n">
        <v>2988</v>
      </c>
      <c r="D2115" s="6" t="n">
        <v>4.7</v>
      </c>
      <c r="E2115" t="n">
        <v>38951</v>
      </c>
      <c r="F2115" s="6" t="n">
        <v>4.7</v>
      </c>
      <c r="G2115" t="n">
        <v>1</v>
      </c>
      <c r="H2115" s="6">
        <f>ROUND(G2115*F2115,2)</f>
        <v/>
      </c>
      <c r="I2115">
        <f>IF(ROUND(H2115-D2115,2)=0,1,0)</f>
        <v/>
      </c>
      <c r="J2115">
        <f>IF(F2115="","none",IF(G2115=1,"carte","multiple"))</f>
        <v/>
      </c>
    </row>
    <row r="2116">
      <c r="A2116" t="inlineStr">
        <is>
          <t>2022-06-22</t>
        </is>
      </c>
      <c r="B2116" t="inlineStr">
        <is>
          <t>19:55</t>
        </is>
      </c>
      <c r="C2116" t="n">
        <v>2988</v>
      </c>
      <c r="D2116" s="6" t="n">
        <v>15.9</v>
      </c>
      <c r="E2116" t="n">
        <v>38952</v>
      </c>
      <c r="F2116" s="6" t="n">
        <v>15.9</v>
      </c>
      <c r="G2116" t="n">
        <v>1</v>
      </c>
      <c r="H2116" s="6">
        <f>ROUND(G2116*F2116,2)</f>
        <v/>
      </c>
      <c r="I2116">
        <f>IF(ROUND(H2116-D2116,2)=0,1,0)</f>
        <v/>
      </c>
      <c r="J2116">
        <f>IF(F2116="","none",IF(G2116=1,"carte","multiple"))</f>
        <v/>
      </c>
    </row>
    <row r="2117">
      <c r="A2117" t="inlineStr">
        <is>
          <t>2022-06-22</t>
        </is>
      </c>
      <c r="B2117" t="inlineStr">
        <is>
          <t>19:55</t>
        </is>
      </c>
      <c r="C2117" t="n">
        <v>2988</v>
      </c>
      <c r="D2117" s="6" t="n">
        <v>35.2</v>
      </c>
      <c r="E2117" t="n">
        <v>38953</v>
      </c>
      <c r="F2117" s="6" t="n">
        <v>0.4</v>
      </c>
      <c r="G2117" t="n">
        <v>88</v>
      </c>
      <c r="H2117" s="6">
        <f>ROUND(G2117*F2117,2)</f>
        <v/>
      </c>
      <c r="I2117">
        <f>IF(ROUND(H2117-D2117,2)=0,1,0)</f>
        <v/>
      </c>
      <c r="J2117">
        <f>IF(F2117="","none",IF(G2117=1,"carte","multiple"))</f>
        <v/>
      </c>
    </row>
    <row r="2118">
      <c r="A2118" t="inlineStr">
        <is>
          <t>2022-06-22</t>
        </is>
      </c>
      <c r="B2118" t="inlineStr">
        <is>
          <t>19:55</t>
        </is>
      </c>
      <c r="C2118" t="n">
        <v>2988</v>
      </c>
      <c r="D2118" s="6" t="n">
        <v>3.9</v>
      </c>
      <c r="E2118" t="n">
        <v>38954</v>
      </c>
      <c r="F2118" s="6" t="n">
        <v>3.9</v>
      </c>
      <c r="G2118" t="n">
        <v>1</v>
      </c>
      <c r="H2118" s="6">
        <f>ROUND(G2118*F2118,2)</f>
        <v/>
      </c>
      <c r="I2118">
        <f>IF(ROUND(H2118-D2118,2)=0,1,0)</f>
        <v/>
      </c>
      <c r="J2118">
        <f>IF(F2118="","none",IF(G2118=1,"carte","multiple"))</f>
        <v/>
      </c>
    </row>
    <row r="2119">
      <c r="A2119" t="inlineStr">
        <is>
          <t>2022-06-22</t>
        </is>
      </c>
      <c r="B2119" t="inlineStr">
        <is>
          <t>19:59</t>
        </is>
      </c>
      <c r="C2119" t="n">
        <v>2988</v>
      </c>
      <c r="D2119" s="6" t="n">
        <v>4.4</v>
      </c>
      <c r="E2119" t="n">
        <v>38955</v>
      </c>
      <c r="F2119" s="6" t="n">
        <v>0.4</v>
      </c>
      <c r="G2119" t="n">
        <v>11</v>
      </c>
      <c r="H2119" s="6">
        <f>ROUND(G2119*F2119,2)</f>
        <v/>
      </c>
      <c r="I2119">
        <f>IF(ROUND(H2119-D2119,2)=0,1,0)</f>
        <v/>
      </c>
      <c r="J2119">
        <f>IF(F2119="","none",IF(G2119=1,"carte","multiple"))</f>
        <v/>
      </c>
    </row>
    <row r="2120">
      <c r="A2120" t="inlineStr">
        <is>
          <t>2022-06-22</t>
        </is>
      </c>
      <c r="B2120" t="inlineStr">
        <is>
          <t>19:59</t>
        </is>
      </c>
      <c r="C2120" t="n">
        <v>2988</v>
      </c>
      <c r="D2120" s="6" t="n">
        <v>19.6</v>
      </c>
      <c r="E2120" t="n">
        <v>38956</v>
      </c>
      <c r="F2120" s="6" t="n">
        <v>0.4</v>
      </c>
      <c r="G2120" t="n">
        <v>49</v>
      </c>
      <c r="H2120" s="6">
        <f>ROUND(G2120*F2120,2)</f>
        <v/>
      </c>
      <c r="I2120">
        <f>IF(ROUND(H2120-D2120,2)=0,1,0)</f>
        <v/>
      </c>
      <c r="J2120">
        <f>IF(F2120="","none",IF(G2120=1,"carte","multiple"))</f>
        <v/>
      </c>
    </row>
    <row r="2121">
      <c r="A2121" t="inlineStr">
        <is>
          <t>2022-06-22</t>
        </is>
      </c>
      <c r="B2121" t="inlineStr">
        <is>
          <t>19:59</t>
        </is>
      </c>
      <c r="C2121" t="n">
        <v>2988</v>
      </c>
      <c r="D2121" s="6" t="n">
        <v>90</v>
      </c>
      <c r="E2121" t="n">
        <v>38957</v>
      </c>
      <c r="F2121" s="6" t="n">
        <v>0.4</v>
      </c>
      <c r="G2121" t="n">
        <v>225</v>
      </c>
      <c r="H2121" s="6">
        <f>ROUND(G2121*F2121,2)</f>
        <v/>
      </c>
      <c r="I2121">
        <f>IF(ROUND(H2121-D2121,2)=0,1,0)</f>
        <v/>
      </c>
      <c r="J2121">
        <f>IF(F2121="","none",IF(G2121=1,"carte","multiple"))</f>
        <v/>
      </c>
    </row>
    <row r="2122">
      <c r="A2122" t="inlineStr">
        <is>
          <t>2022-06-22</t>
        </is>
      </c>
      <c r="B2122" t="inlineStr">
        <is>
          <t>19:59</t>
        </is>
      </c>
      <c r="C2122" t="n">
        <v>2988</v>
      </c>
      <c r="D2122" s="6" t="n">
        <v>7.8</v>
      </c>
      <c r="E2122" t="n">
        <v>38958</v>
      </c>
      <c r="F2122" s="6" t="n">
        <v>7.8</v>
      </c>
      <c r="G2122" t="n">
        <v>1</v>
      </c>
      <c r="H2122" s="6">
        <f>ROUND(G2122*F2122,2)</f>
        <v/>
      </c>
      <c r="I2122">
        <f>IF(ROUND(H2122-D2122,2)=0,1,0)</f>
        <v/>
      </c>
      <c r="J2122">
        <f>IF(F2122="","none",IF(G2122=1,"carte","multiple"))</f>
        <v/>
      </c>
    </row>
    <row r="2123">
      <c r="A2123" t="inlineStr">
        <is>
          <t>2022-06-23</t>
        </is>
      </c>
      <c r="B2123" t="inlineStr">
        <is>
          <t>11:50</t>
        </is>
      </c>
      <c r="C2123" t="n">
        <v>2989</v>
      </c>
      <c r="D2123" s="6" t="n">
        <v>17.6</v>
      </c>
      <c r="E2123" t="n">
        <v>38961</v>
      </c>
      <c r="F2123" s="6" t="n">
        <v>17.6</v>
      </c>
      <c r="G2123" t="n">
        <v>1</v>
      </c>
      <c r="H2123" s="6">
        <f>ROUND(G2123*F2123,2)</f>
        <v/>
      </c>
      <c r="I2123">
        <f>IF(ROUND(H2123-D2123,2)=0,1,0)</f>
        <v/>
      </c>
      <c r="J2123">
        <f>IF(F2123="","none",IF(G2123=1,"carte","multiple"))</f>
        <v/>
      </c>
    </row>
    <row r="2124">
      <c r="A2124" t="inlineStr">
        <is>
          <t>2022-06-23</t>
        </is>
      </c>
      <c r="B2124" t="inlineStr">
        <is>
          <t>11:50</t>
        </is>
      </c>
      <c r="C2124" t="n">
        <v>2989</v>
      </c>
      <c r="D2124" s="6" t="n">
        <v>19</v>
      </c>
      <c r="E2124" t="n">
        <v>38962</v>
      </c>
      <c r="F2124" s="6" t="n">
        <v>19</v>
      </c>
      <c r="G2124" t="n">
        <v>1</v>
      </c>
      <c r="H2124" s="6">
        <f>ROUND(G2124*F2124,2)</f>
        <v/>
      </c>
      <c r="I2124">
        <f>IF(ROUND(H2124-D2124,2)=0,1,0)</f>
        <v/>
      </c>
      <c r="J2124">
        <f>IF(F2124="","none",IF(G2124=1,"carte","multiple"))</f>
        <v/>
      </c>
    </row>
    <row r="2125">
      <c r="A2125" t="inlineStr">
        <is>
          <t>2022-06-23</t>
        </is>
      </c>
      <c r="B2125" t="inlineStr">
        <is>
          <t>11:50</t>
        </is>
      </c>
      <c r="C2125" t="n">
        <v>2989</v>
      </c>
      <c r="D2125" s="6" t="n">
        <v>3.9</v>
      </c>
      <c r="E2125" t="n">
        <v>38963</v>
      </c>
      <c r="F2125" s="6" t="n">
        <v>3.9</v>
      </c>
      <c r="G2125" t="n">
        <v>1</v>
      </c>
      <c r="H2125" s="6">
        <f>ROUND(G2125*F2125,2)</f>
        <v/>
      </c>
      <c r="I2125">
        <f>IF(ROUND(H2125-D2125,2)=0,1,0)</f>
        <v/>
      </c>
      <c r="J2125">
        <f>IF(F2125="","none",IF(G2125=1,"carte","multiple"))</f>
        <v/>
      </c>
    </row>
    <row r="2126">
      <c r="A2126" t="inlineStr">
        <is>
          <t>2022-06-23</t>
        </is>
      </c>
      <c r="B2126" t="inlineStr">
        <is>
          <t>11:50</t>
        </is>
      </c>
      <c r="C2126" t="n">
        <v>2989</v>
      </c>
      <c r="D2126" s="6" t="n">
        <v>3.9</v>
      </c>
      <c r="E2126" t="n">
        <v>38964</v>
      </c>
      <c r="F2126" s="6" t="n">
        <v>3.9</v>
      </c>
      <c r="G2126" t="n">
        <v>1</v>
      </c>
      <c r="H2126" s="6">
        <f>ROUND(G2126*F2126,2)</f>
        <v/>
      </c>
      <c r="I2126">
        <f>IF(ROUND(H2126-D2126,2)=0,1,0)</f>
        <v/>
      </c>
      <c r="J2126">
        <f>IF(F2126="","none",IF(G2126=1,"carte","multiple"))</f>
        <v/>
      </c>
    </row>
    <row r="2127">
      <c r="A2127" t="inlineStr">
        <is>
          <t>2022-06-23</t>
        </is>
      </c>
      <c r="B2127" t="inlineStr">
        <is>
          <t>12:14</t>
        </is>
      </c>
      <c r="C2127" t="n">
        <v>2989</v>
      </c>
      <c r="D2127" s="6" t="n">
        <v>4.4</v>
      </c>
      <c r="E2127" t="n">
        <v>38965</v>
      </c>
      <c r="F2127" s="6" t="n">
        <v>0.4</v>
      </c>
      <c r="G2127" t="n">
        <v>11</v>
      </c>
      <c r="H2127" s="6">
        <f>ROUND(G2127*F2127,2)</f>
        <v/>
      </c>
      <c r="I2127">
        <f>IF(ROUND(H2127-D2127,2)=0,1,0)</f>
        <v/>
      </c>
      <c r="J2127">
        <f>IF(F2127="","none",IF(G2127=1,"carte","multiple"))</f>
        <v/>
      </c>
    </row>
    <row r="2128">
      <c r="A2128" t="inlineStr">
        <is>
          <t>2022-06-23</t>
        </is>
      </c>
      <c r="B2128" t="inlineStr">
        <is>
          <t>12:14</t>
        </is>
      </c>
      <c r="C2128" t="n">
        <v>2989</v>
      </c>
      <c r="D2128" s="6" t="n">
        <v>17.6</v>
      </c>
      <c r="E2128" t="n">
        <v>38966</v>
      </c>
      <c r="F2128" s="6" t="n">
        <v>17.6</v>
      </c>
      <c r="G2128" t="n">
        <v>1</v>
      </c>
      <c r="H2128" s="6">
        <f>ROUND(G2128*F2128,2)</f>
        <v/>
      </c>
      <c r="I2128">
        <f>IF(ROUND(H2128-D2128,2)=0,1,0)</f>
        <v/>
      </c>
      <c r="J2128">
        <f>IF(F2128="","none",IF(G2128=1,"carte","multiple"))</f>
        <v/>
      </c>
    </row>
    <row r="2129">
      <c r="A2129" t="inlineStr">
        <is>
          <t>2022-06-23</t>
        </is>
      </c>
      <c r="B2129" t="inlineStr">
        <is>
          <t>12:14</t>
        </is>
      </c>
      <c r="C2129" t="n">
        <v>2989</v>
      </c>
      <c r="D2129" s="6" t="n">
        <v>17.6</v>
      </c>
      <c r="E2129" t="n">
        <v>38967</v>
      </c>
      <c r="F2129" s="6" t="n">
        <v>17.6</v>
      </c>
      <c r="G2129" t="n">
        <v>1</v>
      </c>
      <c r="H2129" s="6">
        <f>ROUND(G2129*F2129,2)</f>
        <v/>
      </c>
      <c r="I2129">
        <f>IF(ROUND(H2129-D2129,2)=0,1,0)</f>
        <v/>
      </c>
      <c r="J2129">
        <f>IF(F2129="","none",IF(G2129=1,"carte","multiple"))</f>
        <v/>
      </c>
    </row>
    <row r="2130">
      <c r="A2130" t="inlineStr">
        <is>
          <t>2022-06-23</t>
        </is>
      </c>
      <c r="B2130" t="inlineStr">
        <is>
          <t>12:50</t>
        </is>
      </c>
      <c r="C2130" t="n">
        <v>2989</v>
      </c>
      <c r="D2130" s="6" t="n">
        <v>2</v>
      </c>
      <c r="E2130" t="n">
        <v>38968</v>
      </c>
      <c r="F2130" s="6" t="n">
        <v>2</v>
      </c>
      <c r="G2130" t="n">
        <v>1</v>
      </c>
      <c r="H2130" s="6">
        <f>ROUND(G2130*F2130,2)</f>
        <v/>
      </c>
      <c r="I2130">
        <f>IF(ROUND(H2130-D2130,2)=0,1,0)</f>
        <v/>
      </c>
      <c r="J2130">
        <f>IF(F2130="","none",IF(G2130=1,"carte","multiple"))</f>
        <v/>
      </c>
    </row>
    <row r="2131">
      <c r="A2131" t="inlineStr">
        <is>
          <t>2022-06-23</t>
        </is>
      </c>
      <c r="B2131" t="inlineStr">
        <is>
          <t>12:50</t>
        </is>
      </c>
      <c r="C2131" t="n">
        <v>2989</v>
      </c>
      <c r="D2131" s="6" t="n">
        <v>2.9</v>
      </c>
      <c r="E2131" t="n">
        <v>38969</v>
      </c>
      <c r="F2131" s="6" t="n">
        <v>2.9</v>
      </c>
      <c r="G2131" t="n">
        <v>1</v>
      </c>
      <c r="H2131" s="6">
        <f>ROUND(G2131*F2131,2)</f>
        <v/>
      </c>
      <c r="I2131">
        <f>IF(ROUND(H2131-D2131,2)=0,1,0)</f>
        <v/>
      </c>
      <c r="J2131">
        <f>IF(F2131="","none",IF(G2131=1,"carte","multiple"))</f>
        <v/>
      </c>
    </row>
    <row r="2132">
      <c r="A2132" t="inlineStr">
        <is>
          <t>2022-06-23</t>
        </is>
      </c>
      <c r="B2132" t="inlineStr">
        <is>
          <t>12:50</t>
        </is>
      </c>
      <c r="C2132" t="n">
        <v>2989</v>
      </c>
      <c r="D2132" s="6" t="n">
        <v>59.7</v>
      </c>
      <c r="E2132" t="n">
        <v>38970</v>
      </c>
      <c r="F2132" s="6" t="n">
        <v>19.9</v>
      </c>
      <c r="G2132" t="n">
        <v>3</v>
      </c>
      <c r="H2132" s="6">
        <f>ROUND(G2132*F2132,2)</f>
        <v/>
      </c>
      <c r="I2132">
        <f>IF(ROUND(H2132-D2132,2)=0,1,0)</f>
        <v/>
      </c>
      <c r="J2132">
        <f>IF(F2132="","none",IF(G2132=1,"carte","multiple"))</f>
        <v/>
      </c>
    </row>
    <row r="2133">
      <c r="A2133" t="inlineStr">
        <is>
          <t>2022-06-23</t>
        </is>
      </c>
      <c r="B2133" t="inlineStr">
        <is>
          <t>12:50</t>
        </is>
      </c>
      <c r="C2133" t="n">
        <v>2989</v>
      </c>
      <c r="D2133" s="6" t="n">
        <v>19.6</v>
      </c>
      <c r="E2133" t="n">
        <v>38971</v>
      </c>
      <c r="F2133" s="6" t="n">
        <v>0.4</v>
      </c>
      <c r="G2133" t="n">
        <v>49</v>
      </c>
      <c r="H2133" s="6">
        <f>ROUND(G2133*F2133,2)</f>
        <v/>
      </c>
      <c r="I2133">
        <f>IF(ROUND(H2133-D2133,2)=0,1,0)</f>
        <v/>
      </c>
      <c r="J2133">
        <f>IF(F2133="","none",IF(G2133=1,"carte","multiple"))</f>
        <v/>
      </c>
    </row>
    <row r="2134">
      <c r="A2134" t="inlineStr">
        <is>
          <t>2022-06-23</t>
        </is>
      </c>
      <c r="B2134" t="inlineStr">
        <is>
          <t>17:50</t>
        </is>
      </c>
      <c r="C2134" t="n">
        <v>2989</v>
      </c>
      <c r="D2134" s="6" t="n">
        <v>7.8</v>
      </c>
      <c r="E2134" t="n">
        <v>38973</v>
      </c>
      <c r="F2134" s="6" t="n">
        <v>7.8</v>
      </c>
      <c r="G2134" t="n">
        <v>1</v>
      </c>
      <c r="H2134" s="6">
        <f>ROUND(G2134*F2134,2)</f>
        <v/>
      </c>
      <c r="I2134">
        <f>IF(ROUND(H2134-D2134,2)=0,1,0)</f>
        <v/>
      </c>
      <c r="J2134">
        <f>IF(F2134="","none",IF(G2134=1,"carte","multiple"))</f>
        <v/>
      </c>
    </row>
    <row r="2135">
      <c r="A2135" t="inlineStr">
        <is>
          <t>2022-06-23</t>
        </is>
      </c>
      <c r="B2135" t="inlineStr">
        <is>
          <t>18:21</t>
        </is>
      </c>
      <c r="C2135" t="n">
        <v>2989</v>
      </c>
      <c r="D2135" s="6" t="n">
        <v>8.800000000000001</v>
      </c>
      <c r="E2135" t="n">
        <v>38974</v>
      </c>
      <c r="F2135" s="6" t="n">
        <v>8.800000000000001</v>
      </c>
      <c r="G2135" t="n">
        <v>1</v>
      </c>
      <c r="H2135" s="6">
        <f>ROUND(G2135*F2135,2)</f>
        <v/>
      </c>
      <c r="I2135">
        <f>IF(ROUND(H2135-D2135,2)=0,1,0)</f>
        <v/>
      </c>
      <c r="J2135">
        <f>IF(F2135="","none",IF(G2135=1,"carte","multiple"))</f>
        <v/>
      </c>
    </row>
    <row r="2136">
      <c r="A2136" t="inlineStr">
        <is>
          <t>2022-06-23</t>
        </is>
      </c>
      <c r="B2136" t="inlineStr">
        <is>
          <t>18:26</t>
        </is>
      </c>
      <c r="C2136" t="n">
        <v>2989</v>
      </c>
      <c r="D2136" s="6" t="n">
        <v>32</v>
      </c>
      <c r="E2136" t="n">
        <v>38975</v>
      </c>
      <c r="F2136" s="6" t="n">
        <v>32</v>
      </c>
      <c r="G2136" t="n">
        <v>1</v>
      </c>
      <c r="H2136" s="6">
        <f>ROUND(G2136*F2136,2)</f>
        <v/>
      </c>
      <c r="I2136">
        <f>IF(ROUND(H2136-D2136,2)=0,1,0)</f>
        <v/>
      </c>
      <c r="J2136">
        <f>IF(F2136="","none",IF(G2136=1,"carte","multiple"))</f>
        <v/>
      </c>
    </row>
    <row r="2137">
      <c r="A2137" t="inlineStr">
        <is>
          <t>2022-06-23</t>
        </is>
      </c>
      <c r="B2137" t="inlineStr">
        <is>
          <t>18:26</t>
        </is>
      </c>
      <c r="C2137" t="n">
        <v>2989</v>
      </c>
      <c r="D2137" s="6" t="n">
        <v>17.6</v>
      </c>
      <c r="E2137" t="n">
        <v>38976</v>
      </c>
      <c r="F2137" s="6" t="n">
        <v>17.6</v>
      </c>
      <c r="G2137" t="n">
        <v>1</v>
      </c>
      <c r="H2137" s="6">
        <f>ROUND(G2137*F2137,2)</f>
        <v/>
      </c>
      <c r="I2137">
        <f>IF(ROUND(H2137-D2137,2)=0,1,0)</f>
        <v/>
      </c>
      <c r="J2137">
        <f>IF(F2137="","none",IF(G2137=1,"carte","multiple"))</f>
        <v/>
      </c>
    </row>
    <row r="2138">
      <c r="A2138" t="inlineStr">
        <is>
          <t>2022-06-23</t>
        </is>
      </c>
      <c r="B2138" t="inlineStr">
        <is>
          <t>18:28</t>
        </is>
      </c>
      <c r="C2138" t="n">
        <v>2989</v>
      </c>
      <c r="D2138" s="6" t="n">
        <v>17.6</v>
      </c>
      <c r="E2138" t="n">
        <v>38977</v>
      </c>
      <c r="F2138" s="6" t="n">
        <v>17.6</v>
      </c>
      <c r="G2138" t="n">
        <v>1</v>
      </c>
      <c r="H2138" s="6">
        <f>ROUND(G2138*F2138,2)</f>
        <v/>
      </c>
      <c r="I2138">
        <f>IF(ROUND(H2138-D2138,2)=0,1,0)</f>
        <v/>
      </c>
      <c r="J2138">
        <f>IF(F2138="","none",IF(G2138=1,"carte","multiple"))</f>
        <v/>
      </c>
    </row>
    <row r="2139">
      <c r="A2139" t="inlineStr">
        <is>
          <t>2022-06-23</t>
        </is>
      </c>
      <c r="B2139" t="inlineStr">
        <is>
          <t>18:28</t>
        </is>
      </c>
      <c r="C2139" t="n">
        <v>2989</v>
      </c>
      <c r="D2139" s="6" t="n">
        <v>8.9</v>
      </c>
      <c r="E2139" t="n">
        <v>38978</v>
      </c>
      <c r="F2139" s="6" t="n">
        <v>8.9</v>
      </c>
      <c r="G2139" t="n">
        <v>1</v>
      </c>
      <c r="H2139" s="6">
        <f>ROUND(G2139*F2139,2)</f>
        <v/>
      </c>
      <c r="I2139">
        <f>IF(ROUND(H2139-D2139,2)=0,1,0)</f>
        <v/>
      </c>
      <c r="J2139">
        <f>IF(F2139="","none",IF(G2139=1,"carte","multiple"))</f>
        <v/>
      </c>
    </row>
    <row r="2140">
      <c r="A2140" t="inlineStr">
        <is>
          <t>2022-06-23</t>
        </is>
      </c>
      <c r="B2140" t="inlineStr">
        <is>
          <t>18:34</t>
        </is>
      </c>
      <c r="C2140" t="n">
        <v>2989</v>
      </c>
      <c r="D2140" s="6" t="n">
        <v>39.8</v>
      </c>
      <c r="E2140" t="n">
        <v>38979</v>
      </c>
      <c r="F2140" s="6" t="n">
        <v>39.8</v>
      </c>
      <c r="G2140" t="n">
        <v>1</v>
      </c>
      <c r="H2140" s="6">
        <f>ROUND(G2140*F2140,2)</f>
        <v/>
      </c>
      <c r="I2140">
        <f>IF(ROUND(H2140-D2140,2)=0,1,0)</f>
        <v/>
      </c>
      <c r="J2140">
        <f>IF(F2140="","none",IF(G2140=1,"carte","multiple"))</f>
        <v/>
      </c>
    </row>
    <row r="2141">
      <c r="A2141" t="inlineStr">
        <is>
          <t>2022-06-23</t>
        </is>
      </c>
      <c r="B2141" t="inlineStr">
        <is>
          <t>18:34</t>
        </is>
      </c>
      <c r="C2141" t="n">
        <v>2989</v>
      </c>
      <c r="D2141" s="6" t="n">
        <v>3.6</v>
      </c>
      <c r="E2141" t="n">
        <v>38980</v>
      </c>
      <c r="F2141" s="6" t="n">
        <v>3.6</v>
      </c>
      <c r="G2141" t="n">
        <v>1</v>
      </c>
      <c r="H2141" s="6">
        <f>ROUND(G2141*F2141,2)</f>
        <v/>
      </c>
      <c r="I2141">
        <f>IF(ROUND(H2141-D2141,2)=0,1,0)</f>
        <v/>
      </c>
      <c r="J2141">
        <f>IF(F2141="","none",IF(G2141=1,"carte","multiple"))</f>
        <v/>
      </c>
    </row>
    <row r="2142">
      <c r="A2142" t="inlineStr">
        <is>
          <t>2022-06-23</t>
        </is>
      </c>
      <c r="B2142" t="inlineStr">
        <is>
          <t>18:34</t>
        </is>
      </c>
      <c r="C2142" t="n">
        <v>2989</v>
      </c>
      <c r="D2142" s="6" t="n">
        <v>3.9</v>
      </c>
      <c r="E2142" t="n">
        <v>38981</v>
      </c>
      <c r="F2142" s="6" t="n">
        <v>3.9</v>
      </c>
      <c r="G2142" t="n">
        <v>1</v>
      </c>
      <c r="H2142" s="6">
        <f>ROUND(G2142*F2142,2)</f>
        <v/>
      </c>
      <c r="I2142">
        <f>IF(ROUND(H2142-D2142,2)=0,1,0)</f>
        <v/>
      </c>
      <c r="J2142">
        <f>IF(F2142="","none",IF(G2142=1,"carte","multiple"))</f>
        <v/>
      </c>
    </row>
    <row r="2143">
      <c r="A2143" t="inlineStr">
        <is>
          <t>2022-06-23</t>
        </is>
      </c>
      <c r="B2143" t="inlineStr">
        <is>
          <t>18:46</t>
        </is>
      </c>
      <c r="C2143" t="n">
        <v>2989</v>
      </c>
      <c r="D2143" s="6" t="n">
        <v>5.9</v>
      </c>
      <c r="E2143" t="n">
        <v>38982</v>
      </c>
      <c r="F2143" s="6" t="n">
        <v>5.9</v>
      </c>
      <c r="G2143" t="n">
        <v>1</v>
      </c>
      <c r="H2143" s="6">
        <f>ROUND(G2143*F2143,2)</f>
        <v/>
      </c>
      <c r="I2143">
        <f>IF(ROUND(H2143-D2143,2)=0,1,0)</f>
        <v/>
      </c>
      <c r="J2143">
        <f>IF(F2143="","none",IF(G2143=1,"carte","multiple"))</f>
        <v/>
      </c>
    </row>
    <row r="2144">
      <c r="A2144" t="inlineStr">
        <is>
          <t>2022-06-23</t>
        </is>
      </c>
      <c r="B2144" t="inlineStr">
        <is>
          <t>18:48</t>
        </is>
      </c>
      <c r="C2144" t="n">
        <v>2989</v>
      </c>
      <c r="D2144" s="6" t="n">
        <v>4</v>
      </c>
      <c r="E2144" t="n">
        <v>38983</v>
      </c>
      <c r="F2144" s="6" t="n">
        <v>4</v>
      </c>
      <c r="G2144" t="n">
        <v>1</v>
      </c>
      <c r="H2144" s="6">
        <f>ROUND(G2144*F2144,2)</f>
        <v/>
      </c>
      <c r="I2144">
        <f>IF(ROUND(H2144-D2144,2)=0,1,0)</f>
        <v/>
      </c>
      <c r="J2144">
        <f>IF(F2144="","none",IF(G2144=1,"carte","multiple"))</f>
        <v/>
      </c>
    </row>
    <row r="2145">
      <c r="A2145" t="inlineStr">
        <is>
          <t>2022-06-23</t>
        </is>
      </c>
      <c r="B2145" t="inlineStr">
        <is>
          <t>18:48</t>
        </is>
      </c>
      <c r="C2145" t="n">
        <v>2989</v>
      </c>
      <c r="D2145" s="6" t="n">
        <v>35.2</v>
      </c>
      <c r="E2145" t="n">
        <v>38984</v>
      </c>
      <c r="F2145" s="6" t="n">
        <v>0.4</v>
      </c>
      <c r="G2145" t="n">
        <v>88</v>
      </c>
      <c r="H2145" s="6">
        <f>ROUND(G2145*F2145,2)</f>
        <v/>
      </c>
      <c r="I2145">
        <f>IF(ROUND(H2145-D2145,2)=0,1,0)</f>
        <v/>
      </c>
      <c r="J2145">
        <f>IF(F2145="","none",IF(G2145=1,"carte","multiple"))</f>
        <v/>
      </c>
    </row>
    <row r="2146">
      <c r="A2146" t="inlineStr">
        <is>
          <t>2022-06-23</t>
        </is>
      </c>
      <c r="B2146" t="inlineStr">
        <is>
          <t>18:48</t>
        </is>
      </c>
      <c r="C2146" t="n">
        <v>2989</v>
      </c>
      <c r="D2146" s="6" t="n">
        <v>17.8</v>
      </c>
      <c r="E2146" t="n">
        <v>38985</v>
      </c>
      <c r="F2146" s="6" t="n">
        <v>8.9</v>
      </c>
      <c r="G2146" t="n">
        <v>2</v>
      </c>
      <c r="H2146" s="6">
        <f>ROUND(G2146*F2146,2)</f>
        <v/>
      </c>
      <c r="I2146">
        <f>IF(ROUND(H2146-D2146,2)=0,1,0)</f>
        <v/>
      </c>
      <c r="J2146">
        <f>IF(F2146="","none",IF(G2146=1,"carte","multiple"))</f>
        <v/>
      </c>
    </row>
    <row r="2147">
      <c r="A2147" t="inlineStr">
        <is>
          <t>2022-06-23</t>
        </is>
      </c>
      <c r="B2147" t="inlineStr">
        <is>
          <t>18:48</t>
        </is>
      </c>
      <c r="C2147" t="n">
        <v>2989</v>
      </c>
      <c r="D2147" s="6" t="n">
        <v>7.8</v>
      </c>
      <c r="E2147" t="n">
        <v>38986</v>
      </c>
      <c r="F2147" s="6" t="n">
        <v>7.8</v>
      </c>
      <c r="G2147" t="n">
        <v>1</v>
      </c>
      <c r="H2147" s="6">
        <f>ROUND(G2147*F2147,2)</f>
        <v/>
      </c>
      <c r="I2147">
        <f>IF(ROUND(H2147-D2147,2)=0,1,0)</f>
        <v/>
      </c>
      <c r="J2147">
        <f>IF(F2147="","none",IF(G2147=1,"carte","multiple"))</f>
        <v/>
      </c>
    </row>
    <row r="2148">
      <c r="A2148" t="inlineStr">
        <is>
          <t>2022-06-23</t>
        </is>
      </c>
      <c r="B2148" t="inlineStr">
        <is>
          <t>18:56</t>
        </is>
      </c>
      <c r="C2148" t="n">
        <v>2989</v>
      </c>
      <c r="D2148" s="6" t="n">
        <v>32</v>
      </c>
      <c r="E2148" t="n">
        <v>38987</v>
      </c>
      <c r="F2148" s="6" t="n">
        <v>32</v>
      </c>
      <c r="G2148" t="n">
        <v>1</v>
      </c>
      <c r="H2148" s="6">
        <f>ROUND(G2148*F2148,2)</f>
        <v/>
      </c>
      <c r="I2148">
        <f>IF(ROUND(H2148-D2148,2)=0,1,0)</f>
        <v/>
      </c>
      <c r="J2148">
        <f>IF(F2148="","none",IF(G2148=1,"carte","multiple"))</f>
        <v/>
      </c>
    </row>
    <row r="2149">
      <c r="A2149" t="inlineStr">
        <is>
          <t>2022-06-23</t>
        </is>
      </c>
      <c r="B2149" t="inlineStr">
        <is>
          <t>18:56</t>
        </is>
      </c>
      <c r="C2149" t="n">
        <v>2989</v>
      </c>
      <c r="D2149" s="6" t="n">
        <v>5.9</v>
      </c>
      <c r="E2149" t="n">
        <v>38988</v>
      </c>
      <c r="F2149" s="6" t="n">
        <v>5.9</v>
      </c>
      <c r="G2149" t="n">
        <v>1</v>
      </c>
      <c r="H2149" s="6">
        <f>ROUND(G2149*F2149,2)</f>
        <v/>
      </c>
      <c r="I2149">
        <f>IF(ROUND(H2149-D2149,2)=0,1,0)</f>
        <v/>
      </c>
      <c r="J2149">
        <f>IF(F2149="","none",IF(G2149=1,"carte","multiple"))</f>
        <v/>
      </c>
    </row>
    <row r="2150">
      <c r="A2150" t="inlineStr">
        <is>
          <t>2022-06-23</t>
        </is>
      </c>
      <c r="B2150" t="inlineStr">
        <is>
          <t>19:00</t>
        </is>
      </c>
      <c r="C2150" t="n">
        <v>2989</v>
      </c>
      <c r="D2150" s="6" t="n">
        <v>15.9</v>
      </c>
      <c r="E2150" t="n">
        <v>38989</v>
      </c>
      <c r="F2150" s="6" t="n">
        <v>15.9</v>
      </c>
      <c r="G2150" t="n">
        <v>1</v>
      </c>
      <c r="H2150" s="6">
        <f>ROUND(G2150*F2150,2)</f>
        <v/>
      </c>
      <c r="I2150">
        <f>IF(ROUND(H2150-D2150,2)=0,1,0)</f>
        <v/>
      </c>
      <c r="J2150">
        <f>IF(F2150="","none",IF(G2150=1,"carte","multiple"))</f>
        <v/>
      </c>
    </row>
    <row r="2151">
      <c r="A2151" t="inlineStr">
        <is>
          <t>2022-06-24</t>
        </is>
      </c>
      <c r="B2151" t="inlineStr">
        <is>
          <t>11:34</t>
        </is>
      </c>
      <c r="C2151" t="n">
        <v>2990</v>
      </c>
      <c r="D2151" s="6" t="n">
        <v>3.4</v>
      </c>
      <c r="E2151" t="n">
        <v>38992</v>
      </c>
      <c r="F2151" s="6" t="n">
        <v>3.4</v>
      </c>
      <c r="G2151" t="n">
        <v>1</v>
      </c>
      <c r="H2151" s="6">
        <f>ROUND(G2151*F2151,2)</f>
        <v/>
      </c>
      <c r="I2151">
        <f>IF(ROUND(H2151-D2151,2)=0,1,0)</f>
        <v/>
      </c>
      <c r="J2151">
        <f>IF(F2151="","none",IF(G2151=1,"carte","multiple"))</f>
        <v/>
      </c>
    </row>
    <row r="2152">
      <c r="A2152" t="inlineStr">
        <is>
          <t>2022-06-24</t>
        </is>
      </c>
      <c r="B2152" t="inlineStr">
        <is>
          <t>11:37</t>
        </is>
      </c>
      <c r="C2152" t="n">
        <v>2990</v>
      </c>
      <c r="D2152" s="6" t="n">
        <v>6.9</v>
      </c>
      <c r="E2152" t="n">
        <v>38993</v>
      </c>
      <c r="F2152" s="6" t="n">
        <v>6.9</v>
      </c>
      <c r="G2152" t="n">
        <v>1</v>
      </c>
      <c r="H2152" s="6">
        <f>ROUND(G2152*F2152,2)</f>
        <v/>
      </c>
      <c r="I2152">
        <f>IF(ROUND(H2152-D2152,2)=0,1,0)</f>
        <v/>
      </c>
      <c r="J2152">
        <f>IF(F2152="","none",IF(G2152=1,"carte","multiple"))</f>
        <v/>
      </c>
    </row>
    <row r="2153">
      <c r="A2153" t="inlineStr">
        <is>
          <t>2022-06-24</t>
        </is>
      </c>
      <c r="B2153" t="inlineStr">
        <is>
          <t>11:37</t>
        </is>
      </c>
      <c r="C2153" t="n">
        <v>2990</v>
      </c>
      <c r="D2153" s="6" t="n">
        <v>6.9</v>
      </c>
      <c r="E2153" t="n">
        <v>38994</v>
      </c>
      <c r="F2153" s="6" t="n">
        <v>6.9</v>
      </c>
      <c r="G2153" t="n">
        <v>1</v>
      </c>
      <c r="H2153" s="6">
        <f>ROUND(G2153*F2153,2)</f>
        <v/>
      </c>
      <c r="I2153">
        <f>IF(ROUND(H2153-D2153,2)=0,1,0)</f>
        <v/>
      </c>
      <c r="J2153">
        <f>IF(F2153="","none",IF(G2153=1,"carte","multiple"))</f>
        <v/>
      </c>
    </row>
    <row r="2154">
      <c r="A2154" t="inlineStr">
        <is>
          <t>2022-06-24</t>
        </is>
      </c>
      <c r="B2154" t="inlineStr">
        <is>
          <t>11:37</t>
        </is>
      </c>
      <c r="C2154" t="n">
        <v>2990</v>
      </c>
      <c r="D2154" s="6" t="n">
        <v>3.6</v>
      </c>
      <c r="E2154" t="n">
        <v>38995</v>
      </c>
      <c r="F2154" s="6" t="n">
        <v>3.6</v>
      </c>
      <c r="G2154" t="n">
        <v>1</v>
      </c>
      <c r="H2154" s="6">
        <f>ROUND(G2154*F2154,2)</f>
        <v/>
      </c>
      <c r="I2154">
        <f>IF(ROUND(H2154-D2154,2)=0,1,0)</f>
        <v/>
      </c>
      <c r="J2154">
        <f>IF(F2154="","none",IF(G2154=1,"carte","multiple"))</f>
        <v/>
      </c>
    </row>
    <row r="2155">
      <c r="A2155" t="inlineStr">
        <is>
          <t>2022-06-24</t>
        </is>
      </c>
      <c r="B2155" t="inlineStr">
        <is>
          <t>11:37</t>
        </is>
      </c>
      <c r="C2155" t="n">
        <v>2990</v>
      </c>
      <c r="D2155" s="6" t="n">
        <v>9.800000000000001</v>
      </c>
      <c r="E2155" t="n">
        <v>38996</v>
      </c>
      <c r="F2155" s="6" t="n">
        <v>9.800000000000001</v>
      </c>
      <c r="G2155" t="n">
        <v>1</v>
      </c>
      <c r="H2155" s="6">
        <f>ROUND(G2155*F2155,2)</f>
        <v/>
      </c>
      <c r="I2155">
        <f>IF(ROUND(H2155-D2155,2)=0,1,0)</f>
        <v/>
      </c>
      <c r="J2155">
        <f>IF(F2155="","none",IF(G2155=1,"carte","multiple"))</f>
        <v/>
      </c>
    </row>
    <row r="2156">
      <c r="A2156" t="inlineStr">
        <is>
          <t>2022-06-24</t>
        </is>
      </c>
      <c r="B2156" t="inlineStr">
        <is>
          <t>11:37</t>
        </is>
      </c>
      <c r="C2156" t="n">
        <v>2990</v>
      </c>
      <c r="D2156" s="6" t="n">
        <v>17.6</v>
      </c>
      <c r="E2156" t="n">
        <v>38997</v>
      </c>
      <c r="F2156" s="6" t="n">
        <v>17.6</v>
      </c>
      <c r="G2156" t="n">
        <v>1</v>
      </c>
      <c r="H2156" s="6">
        <f>ROUND(G2156*F2156,2)</f>
        <v/>
      </c>
      <c r="I2156">
        <f>IF(ROUND(H2156-D2156,2)=0,1,0)</f>
        <v/>
      </c>
      <c r="J2156">
        <f>IF(F2156="","none",IF(G2156=1,"carte","multiple"))</f>
        <v/>
      </c>
    </row>
    <row r="2157">
      <c r="A2157" t="inlineStr">
        <is>
          <t>2022-06-24</t>
        </is>
      </c>
      <c r="B2157" t="inlineStr">
        <is>
          <t>11:37</t>
        </is>
      </c>
      <c r="C2157" t="n">
        <v>2990</v>
      </c>
      <c r="D2157" s="6" t="n">
        <v>17.6</v>
      </c>
      <c r="E2157" t="n">
        <v>38998</v>
      </c>
      <c r="F2157" s="6" t="n">
        <v>17.6</v>
      </c>
      <c r="G2157" t="n">
        <v>1</v>
      </c>
      <c r="H2157" s="6">
        <f>ROUND(G2157*F2157,2)</f>
        <v/>
      </c>
      <c r="I2157">
        <f>IF(ROUND(H2157-D2157,2)=0,1,0)</f>
        <v/>
      </c>
      <c r="J2157">
        <f>IF(F2157="","none",IF(G2157=1,"carte","multiple"))</f>
        <v/>
      </c>
    </row>
    <row r="2158">
      <c r="A2158" t="inlineStr">
        <is>
          <t>2022-06-24</t>
        </is>
      </c>
      <c r="B2158" t="inlineStr">
        <is>
          <t>11:37</t>
        </is>
      </c>
      <c r="C2158" t="n">
        <v>2990</v>
      </c>
      <c r="D2158" s="6" t="n">
        <v>4.2</v>
      </c>
      <c r="E2158" t="n">
        <v>38999</v>
      </c>
      <c r="F2158" s="6" t="n">
        <v>4.2</v>
      </c>
      <c r="G2158" t="n">
        <v>1</v>
      </c>
      <c r="H2158" s="6">
        <f>ROUND(G2158*F2158,2)</f>
        <v/>
      </c>
      <c r="I2158">
        <f>IF(ROUND(H2158-D2158,2)=0,1,0)</f>
        <v/>
      </c>
      <c r="J2158">
        <f>IF(F2158="","none",IF(G2158=1,"carte","multiple"))</f>
        <v/>
      </c>
    </row>
    <row r="2159">
      <c r="A2159" t="inlineStr">
        <is>
          <t>2022-06-24</t>
        </is>
      </c>
      <c r="B2159" t="inlineStr">
        <is>
          <t>11:37</t>
        </is>
      </c>
      <c r="C2159" t="n">
        <v>2990</v>
      </c>
      <c r="D2159" s="6" t="n">
        <v>4.9</v>
      </c>
      <c r="E2159" t="n">
        <v>39000</v>
      </c>
      <c r="F2159" s="6" t="n">
        <v>4.9</v>
      </c>
      <c r="G2159" t="n">
        <v>1</v>
      </c>
      <c r="H2159" s="6">
        <f>ROUND(G2159*F2159,2)</f>
        <v/>
      </c>
      <c r="I2159">
        <f>IF(ROUND(H2159-D2159,2)=0,1,0)</f>
        <v/>
      </c>
      <c r="J2159">
        <f>IF(F2159="","none",IF(G2159=1,"carte","multiple"))</f>
        <v/>
      </c>
    </row>
    <row r="2160">
      <c r="A2160" t="inlineStr">
        <is>
          <t>2022-06-24</t>
        </is>
      </c>
      <c r="B2160" t="inlineStr">
        <is>
          <t>11:44</t>
        </is>
      </c>
      <c r="C2160" t="n">
        <v>2990</v>
      </c>
      <c r="D2160" s="6" t="n">
        <v>2.2</v>
      </c>
      <c r="E2160" t="n">
        <v>39001</v>
      </c>
      <c r="F2160" s="6" t="n">
        <v>2.2</v>
      </c>
      <c r="G2160" t="n">
        <v>1</v>
      </c>
      <c r="H2160" s="6">
        <f>ROUND(G2160*F2160,2)</f>
        <v/>
      </c>
      <c r="I2160">
        <f>IF(ROUND(H2160-D2160,2)=0,1,0)</f>
        <v/>
      </c>
      <c r="J2160">
        <f>IF(F2160="","none",IF(G2160=1,"carte","multiple"))</f>
        <v/>
      </c>
    </row>
    <row r="2161">
      <c r="A2161" t="inlineStr">
        <is>
          <t>2022-06-24</t>
        </is>
      </c>
      <c r="B2161" t="inlineStr">
        <is>
          <t>11:44</t>
        </is>
      </c>
      <c r="C2161" t="n">
        <v>2990</v>
      </c>
      <c r="D2161" s="6" t="n">
        <v>4</v>
      </c>
      <c r="E2161" t="n">
        <v>39002</v>
      </c>
      <c r="F2161" s="6" t="n">
        <v>4</v>
      </c>
      <c r="G2161" t="n">
        <v>1</v>
      </c>
      <c r="H2161" s="6">
        <f>ROUND(G2161*F2161,2)</f>
        <v/>
      </c>
      <c r="I2161">
        <f>IF(ROUND(H2161-D2161,2)=0,1,0)</f>
        <v/>
      </c>
      <c r="J2161">
        <f>IF(F2161="","none",IF(G2161=1,"carte","multiple"))</f>
        <v/>
      </c>
    </row>
    <row r="2162">
      <c r="A2162" t="inlineStr">
        <is>
          <t>2022-06-24</t>
        </is>
      </c>
      <c r="B2162" t="inlineStr">
        <is>
          <t>11:44</t>
        </is>
      </c>
      <c r="C2162" t="n">
        <v>2990</v>
      </c>
      <c r="D2162" s="6" t="n">
        <v>17.6</v>
      </c>
      <c r="E2162" t="n">
        <v>39003</v>
      </c>
      <c r="F2162" s="6" t="n">
        <v>17.6</v>
      </c>
      <c r="G2162" t="n">
        <v>1</v>
      </c>
      <c r="H2162" s="6">
        <f>ROUND(G2162*F2162,2)</f>
        <v/>
      </c>
      <c r="I2162">
        <f>IF(ROUND(H2162-D2162,2)=0,1,0)</f>
        <v/>
      </c>
      <c r="J2162">
        <f>IF(F2162="","none",IF(G2162=1,"carte","multiple"))</f>
        <v/>
      </c>
    </row>
    <row r="2163">
      <c r="A2163" t="inlineStr">
        <is>
          <t>2022-06-24</t>
        </is>
      </c>
      <c r="B2163" t="inlineStr">
        <is>
          <t>11:44</t>
        </is>
      </c>
      <c r="C2163" t="n">
        <v>2990</v>
      </c>
      <c r="D2163" s="6" t="n">
        <v>19.9</v>
      </c>
      <c r="E2163" t="n">
        <v>39004</v>
      </c>
      <c r="F2163" s="6" t="n">
        <v>19.9</v>
      </c>
      <c r="G2163" t="n">
        <v>1</v>
      </c>
      <c r="H2163" s="6">
        <f>ROUND(G2163*F2163,2)</f>
        <v/>
      </c>
      <c r="I2163">
        <f>IF(ROUND(H2163-D2163,2)=0,1,0)</f>
        <v/>
      </c>
      <c r="J2163">
        <f>IF(F2163="","none",IF(G2163=1,"carte","multiple"))</f>
        <v/>
      </c>
    </row>
    <row r="2164">
      <c r="A2164" t="inlineStr">
        <is>
          <t>2022-06-24</t>
        </is>
      </c>
      <c r="B2164" t="inlineStr">
        <is>
          <t>11:44</t>
        </is>
      </c>
      <c r="C2164" t="n">
        <v>2990</v>
      </c>
      <c r="D2164" s="6" t="n">
        <v>3.9</v>
      </c>
      <c r="E2164" t="n">
        <v>39005</v>
      </c>
      <c r="F2164" s="6" t="n">
        <v>3.9</v>
      </c>
      <c r="G2164" t="n">
        <v>1</v>
      </c>
      <c r="H2164" s="6">
        <f>ROUND(G2164*F2164,2)</f>
        <v/>
      </c>
      <c r="I2164">
        <f>IF(ROUND(H2164-D2164,2)=0,1,0)</f>
        <v/>
      </c>
      <c r="J2164">
        <f>IF(F2164="","none",IF(G2164=1,"carte","multiple"))</f>
        <v/>
      </c>
    </row>
    <row r="2165">
      <c r="A2165" t="inlineStr">
        <is>
          <t>2022-06-24</t>
        </is>
      </c>
      <c r="B2165" t="inlineStr">
        <is>
          <t>11:44</t>
        </is>
      </c>
      <c r="C2165" t="n">
        <v>2990</v>
      </c>
      <c r="D2165" s="6" t="n">
        <v>4.5</v>
      </c>
      <c r="E2165" t="n">
        <v>39006</v>
      </c>
      <c r="F2165" s="6" t="n">
        <v>4.5</v>
      </c>
      <c r="G2165" t="n">
        <v>1</v>
      </c>
      <c r="H2165" s="6">
        <f>ROUND(G2165*F2165,2)</f>
        <v/>
      </c>
      <c r="I2165">
        <f>IF(ROUND(H2165-D2165,2)=0,1,0)</f>
        <v/>
      </c>
      <c r="J2165">
        <f>IF(F2165="","none",IF(G2165=1,"carte","multiple"))</f>
        <v/>
      </c>
    </row>
    <row r="2166">
      <c r="A2166" t="inlineStr">
        <is>
          <t>2022-06-24</t>
        </is>
      </c>
      <c r="B2166" t="inlineStr">
        <is>
          <t>12:35</t>
        </is>
      </c>
      <c r="C2166" t="n">
        <v>2990</v>
      </c>
      <c r="D2166" s="6" t="n">
        <v>19</v>
      </c>
      <c r="E2166" t="n">
        <v>39007</v>
      </c>
      <c r="F2166" s="6" t="n">
        <v>19</v>
      </c>
      <c r="G2166" t="n">
        <v>1</v>
      </c>
      <c r="H2166" s="6">
        <f>ROUND(G2166*F2166,2)</f>
        <v/>
      </c>
      <c r="I2166">
        <f>IF(ROUND(H2166-D2166,2)=0,1,0)</f>
        <v/>
      </c>
      <c r="J2166">
        <f>IF(F2166="","none",IF(G2166=1,"carte","multiple"))</f>
        <v/>
      </c>
    </row>
    <row r="2167">
      <c r="A2167" t="inlineStr">
        <is>
          <t>2022-06-24</t>
        </is>
      </c>
      <c r="B2167" t="inlineStr">
        <is>
          <t>12:35</t>
        </is>
      </c>
      <c r="C2167" t="n">
        <v>2990</v>
      </c>
      <c r="D2167" s="6" t="n">
        <v>3.9</v>
      </c>
      <c r="E2167" t="n">
        <v>39008</v>
      </c>
      <c r="F2167" s="6" t="n">
        <v>3.9</v>
      </c>
      <c r="G2167" t="n">
        <v>1</v>
      </c>
      <c r="H2167" s="6">
        <f>ROUND(G2167*F2167,2)</f>
        <v/>
      </c>
      <c r="I2167">
        <f>IF(ROUND(H2167-D2167,2)=0,1,0)</f>
        <v/>
      </c>
      <c r="J2167">
        <f>IF(F2167="","none",IF(G2167=1,"carte","multiple"))</f>
        <v/>
      </c>
    </row>
    <row r="2168">
      <c r="A2168" t="inlineStr">
        <is>
          <t>2022-06-24</t>
        </is>
      </c>
      <c r="B2168" t="inlineStr">
        <is>
          <t>12:35</t>
        </is>
      </c>
      <c r="C2168" t="n">
        <v>2990</v>
      </c>
      <c r="D2168" s="6" t="n">
        <v>8.800000000000001</v>
      </c>
      <c r="E2168" t="n">
        <v>39009</v>
      </c>
      <c r="F2168" s="6" t="n">
        <v>8.800000000000001</v>
      </c>
      <c r="G2168" t="n">
        <v>1</v>
      </c>
      <c r="H2168" s="6">
        <f>ROUND(G2168*F2168,2)</f>
        <v/>
      </c>
      <c r="I2168">
        <f>IF(ROUND(H2168-D2168,2)=0,1,0)</f>
        <v/>
      </c>
      <c r="J2168">
        <f>IF(F2168="","none",IF(G2168=1,"carte","multiple"))</f>
        <v/>
      </c>
    </row>
    <row r="2169">
      <c r="A2169" t="inlineStr">
        <is>
          <t>2022-06-24</t>
        </is>
      </c>
      <c r="B2169" t="inlineStr">
        <is>
          <t>12:35</t>
        </is>
      </c>
      <c r="C2169" t="n">
        <v>2990</v>
      </c>
      <c r="D2169" s="6" t="n">
        <v>29.8</v>
      </c>
      <c r="E2169" t="n">
        <v>39010</v>
      </c>
      <c r="F2169" s="6" t="n">
        <v>14.9</v>
      </c>
      <c r="G2169" t="n">
        <v>2</v>
      </c>
      <c r="H2169" s="6">
        <f>ROUND(G2169*F2169,2)</f>
        <v/>
      </c>
      <c r="I2169">
        <f>IF(ROUND(H2169-D2169,2)=0,1,0)</f>
        <v/>
      </c>
      <c r="J2169">
        <f>IF(F2169="","none",IF(G2169=1,"carte","multiple"))</f>
        <v/>
      </c>
    </row>
    <row r="2170">
      <c r="A2170" t="inlineStr">
        <is>
          <t>2022-06-24</t>
        </is>
      </c>
      <c r="B2170" t="inlineStr">
        <is>
          <t>12:35</t>
        </is>
      </c>
      <c r="C2170" t="n">
        <v>2990</v>
      </c>
      <c r="D2170" s="6" t="n">
        <v>19</v>
      </c>
      <c r="E2170" t="n">
        <v>39011</v>
      </c>
      <c r="F2170" s="6" t="n">
        <v>19</v>
      </c>
      <c r="G2170" t="n">
        <v>1</v>
      </c>
      <c r="H2170" s="6">
        <f>ROUND(G2170*F2170,2)</f>
        <v/>
      </c>
      <c r="I2170">
        <f>IF(ROUND(H2170-D2170,2)=0,1,0)</f>
        <v/>
      </c>
      <c r="J2170">
        <f>IF(F2170="","none",IF(G2170=1,"carte","multiple"))</f>
        <v/>
      </c>
    </row>
    <row r="2171">
      <c r="A2171" t="inlineStr">
        <is>
          <t>2022-06-24</t>
        </is>
      </c>
      <c r="B2171" t="inlineStr">
        <is>
          <t>17:51</t>
        </is>
      </c>
      <c r="C2171" t="n">
        <v>2990</v>
      </c>
      <c r="D2171" s="6" t="n">
        <v>7.5</v>
      </c>
      <c r="E2171" t="n">
        <v>39012</v>
      </c>
      <c r="F2171" s="6" t="n">
        <v>7.5</v>
      </c>
      <c r="G2171" t="n">
        <v>1</v>
      </c>
      <c r="H2171" s="6">
        <f>ROUND(G2171*F2171,2)</f>
        <v/>
      </c>
      <c r="I2171">
        <f>IF(ROUND(H2171-D2171,2)=0,1,0)</f>
        <v/>
      </c>
      <c r="J2171">
        <f>IF(F2171="","none",IF(G2171=1,"carte","multiple"))</f>
        <v/>
      </c>
    </row>
    <row r="2172">
      <c r="A2172" t="inlineStr">
        <is>
          <t>2022-06-24</t>
        </is>
      </c>
      <c r="B2172" t="inlineStr">
        <is>
          <t>19:50</t>
        </is>
      </c>
      <c r="C2172" t="n">
        <v>2990</v>
      </c>
      <c r="D2172" s="6" t="n">
        <v>32</v>
      </c>
      <c r="E2172" t="n">
        <v>39013</v>
      </c>
      <c r="F2172" s="6" t="n">
        <v>32</v>
      </c>
      <c r="G2172" t="n">
        <v>1</v>
      </c>
      <c r="H2172" s="6">
        <f>ROUND(G2172*F2172,2)</f>
        <v/>
      </c>
      <c r="I2172">
        <f>IF(ROUND(H2172-D2172,2)=0,1,0)</f>
        <v/>
      </c>
      <c r="J2172">
        <f>IF(F2172="","none",IF(G2172=1,"carte","multiple"))</f>
        <v/>
      </c>
    </row>
    <row r="2173">
      <c r="A2173" t="inlineStr">
        <is>
          <t>2022-06-24</t>
        </is>
      </c>
      <c r="B2173" t="inlineStr">
        <is>
          <t>19:50</t>
        </is>
      </c>
      <c r="C2173" t="n">
        <v>2990</v>
      </c>
      <c r="D2173" s="6" t="n">
        <v>32</v>
      </c>
      <c r="E2173" t="n">
        <v>39014</v>
      </c>
      <c r="F2173" s="6" t="n">
        <v>32</v>
      </c>
      <c r="G2173" t="n">
        <v>1</v>
      </c>
      <c r="H2173" s="6">
        <f>ROUND(G2173*F2173,2)</f>
        <v/>
      </c>
      <c r="I2173">
        <f>IF(ROUND(H2173-D2173,2)=0,1,0)</f>
        <v/>
      </c>
      <c r="J2173">
        <f>IF(F2173="","none",IF(G2173=1,"carte","multiple"))</f>
        <v/>
      </c>
    </row>
    <row r="2174">
      <c r="A2174" t="inlineStr">
        <is>
          <t>2022-06-24</t>
        </is>
      </c>
      <c r="B2174" t="inlineStr">
        <is>
          <t>19:50</t>
        </is>
      </c>
      <c r="C2174" t="n">
        <v>2990</v>
      </c>
      <c r="D2174" s="6" t="n">
        <v>29</v>
      </c>
      <c r="E2174" t="n">
        <v>39015</v>
      </c>
      <c r="F2174" s="6" t="n">
        <v>29</v>
      </c>
      <c r="G2174" t="n">
        <v>1</v>
      </c>
      <c r="H2174" s="6">
        <f>ROUND(G2174*F2174,2)</f>
        <v/>
      </c>
      <c r="I2174">
        <f>IF(ROUND(H2174-D2174,2)=0,1,0)</f>
        <v/>
      </c>
      <c r="J2174">
        <f>IF(F2174="","none",IF(G2174=1,"carte","multiple"))</f>
        <v/>
      </c>
    </row>
    <row r="2175">
      <c r="A2175" t="inlineStr">
        <is>
          <t>2022-06-24</t>
        </is>
      </c>
      <c r="B2175" t="inlineStr">
        <is>
          <t>20:05</t>
        </is>
      </c>
      <c r="C2175" t="n">
        <v>2990</v>
      </c>
      <c r="D2175" s="6" t="n">
        <v>6.9</v>
      </c>
      <c r="E2175" t="n">
        <v>39016</v>
      </c>
      <c r="F2175" s="6" t="n">
        <v>6.9</v>
      </c>
      <c r="G2175" t="n">
        <v>1</v>
      </c>
      <c r="H2175" s="6">
        <f>ROUND(G2175*F2175,2)</f>
        <v/>
      </c>
      <c r="I2175">
        <f>IF(ROUND(H2175-D2175,2)=0,1,0)</f>
        <v/>
      </c>
      <c r="J2175">
        <f>IF(F2175="","none",IF(G2175=1,"carte","multiple"))</f>
        <v/>
      </c>
    </row>
    <row r="2176">
      <c r="A2176" t="inlineStr">
        <is>
          <t>2022-06-24</t>
        </is>
      </c>
      <c r="B2176" t="inlineStr">
        <is>
          <t>20:05</t>
        </is>
      </c>
      <c r="C2176" t="n">
        <v>2990</v>
      </c>
      <c r="D2176" s="6" t="n">
        <v>8.699999999999999</v>
      </c>
      <c r="E2176" t="n">
        <v>39017</v>
      </c>
      <c r="F2176" s="6" t="n">
        <v>8.699999999999999</v>
      </c>
      <c r="G2176" t="n">
        <v>1</v>
      </c>
      <c r="H2176" s="6">
        <f>ROUND(G2176*F2176,2)</f>
        <v/>
      </c>
      <c r="I2176">
        <f>IF(ROUND(H2176-D2176,2)=0,1,0)</f>
        <v/>
      </c>
      <c r="J2176">
        <f>IF(F2176="","none",IF(G2176=1,"carte","multiple"))</f>
        <v/>
      </c>
    </row>
    <row r="2177">
      <c r="A2177" t="inlineStr">
        <is>
          <t>2022-06-24</t>
        </is>
      </c>
      <c r="B2177" t="inlineStr">
        <is>
          <t>20:05</t>
        </is>
      </c>
      <c r="C2177" t="n">
        <v>2990</v>
      </c>
      <c r="D2177" s="6" t="n">
        <v>10.9</v>
      </c>
      <c r="E2177" t="n">
        <v>39018</v>
      </c>
      <c r="F2177" s="6" t="n">
        <v>10.9</v>
      </c>
      <c r="G2177" t="n">
        <v>1</v>
      </c>
      <c r="H2177" s="6">
        <f>ROUND(G2177*F2177,2)</f>
        <v/>
      </c>
      <c r="I2177">
        <f>IF(ROUND(H2177-D2177,2)=0,1,0)</f>
        <v/>
      </c>
      <c r="J2177">
        <f>IF(F2177="","none",IF(G2177=1,"carte","multiple"))</f>
        <v/>
      </c>
    </row>
    <row r="2178">
      <c r="A2178" t="inlineStr">
        <is>
          <t>2022-06-24</t>
        </is>
      </c>
      <c r="B2178" t="inlineStr">
        <is>
          <t>20:05</t>
        </is>
      </c>
      <c r="C2178" t="n">
        <v>2990</v>
      </c>
      <c r="D2178" s="6" t="n">
        <v>17.6</v>
      </c>
      <c r="E2178" t="n">
        <v>39019</v>
      </c>
      <c r="F2178" s="6" t="n">
        <v>17.6</v>
      </c>
      <c r="G2178" t="n">
        <v>1</v>
      </c>
      <c r="H2178" s="6">
        <f>ROUND(G2178*F2178,2)</f>
        <v/>
      </c>
      <c r="I2178">
        <f>IF(ROUND(H2178-D2178,2)=0,1,0)</f>
        <v/>
      </c>
      <c r="J2178">
        <f>IF(F2178="","none",IF(G2178=1,"carte","multiple"))</f>
        <v/>
      </c>
    </row>
    <row r="2179">
      <c r="A2179" t="inlineStr">
        <is>
          <t>2022-06-24</t>
        </is>
      </c>
      <c r="B2179" t="inlineStr">
        <is>
          <t>20:05</t>
        </is>
      </c>
      <c r="C2179" t="n">
        <v>2990</v>
      </c>
      <c r="D2179" s="6" t="n">
        <v>17.6</v>
      </c>
      <c r="E2179" t="n">
        <v>39020</v>
      </c>
      <c r="F2179" s="6" t="n">
        <v>17.6</v>
      </c>
      <c r="G2179" t="n">
        <v>1</v>
      </c>
      <c r="H2179" s="6">
        <f>ROUND(G2179*F2179,2)</f>
        <v/>
      </c>
      <c r="I2179">
        <f>IF(ROUND(H2179-D2179,2)=0,1,0)</f>
        <v/>
      </c>
      <c r="J2179">
        <f>IF(F2179="","none",IF(G2179=1,"carte","multiple"))</f>
        <v/>
      </c>
    </row>
    <row r="2180">
      <c r="A2180" t="inlineStr">
        <is>
          <t>2022-06-24</t>
        </is>
      </c>
      <c r="B2180" t="inlineStr">
        <is>
          <t>20:05</t>
        </is>
      </c>
      <c r="C2180" t="n">
        <v>2990</v>
      </c>
      <c r="D2180" s="6" t="n">
        <v>4.5</v>
      </c>
      <c r="E2180" t="n">
        <v>39021</v>
      </c>
      <c r="F2180" s="6" t="n">
        <v>4.5</v>
      </c>
      <c r="G2180" t="n">
        <v>1</v>
      </c>
      <c r="H2180" s="6">
        <f>ROUND(G2180*F2180,2)</f>
        <v/>
      </c>
      <c r="I2180">
        <f>IF(ROUND(H2180-D2180,2)=0,1,0)</f>
        <v/>
      </c>
      <c r="J2180">
        <f>IF(F2180="","none",IF(G2180=1,"carte","multiple"))</f>
        <v/>
      </c>
    </row>
    <row r="2181">
      <c r="A2181" t="inlineStr">
        <is>
          <t>2022-06-24</t>
        </is>
      </c>
      <c r="B2181" t="inlineStr">
        <is>
          <t>20:05</t>
        </is>
      </c>
      <c r="C2181" t="n">
        <v>2990</v>
      </c>
      <c r="D2181" s="6" t="n">
        <v>3.9</v>
      </c>
      <c r="E2181" t="n">
        <v>39022</v>
      </c>
      <c r="F2181" s="6" t="n">
        <v>3.9</v>
      </c>
      <c r="G2181" t="n">
        <v>1</v>
      </c>
      <c r="H2181" s="6">
        <f>ROUND(G2181*F2181,2)</f>
        <v/>
      </c>
      <c r="I2181">
        <f>IF(ROUND(H2181-D2181,2)=0,1,0)</f>
        <v/>
      </c>
      <c r="J2181">
        <f>IF(F2181="","none",IF(G2181=1,"carte","multiple"))</f>
        <v/>
      </c>
    </row>
    <row r="2182">
      <c r="A2182" t="inlineStr">
        <is>
          <t>2022-06-24</t>
        </is>
      </c>
      <c r="B2182" t="inlineStr">
        <is>
          <t>21:00</t>
        </is>
      </c>
      <c r="C2182" t="n">
        <v>2990</v>
      </c>
      <c r="D2182" s="6" t="n">
        <v>6.9</v>
      </c>
      <c r="E2182" t="n">
        <v>39023</v>
      </c>
      <c r="F2182" s="6" t="n">
        <v>6.9</v>
      </c>
      <c r="G2182" t="n">
        <v>1</v>
      </c>
      <c r="H2182" s="6">
        <f>ROUND(G2182*F2182,2)</f>
        <v/>
      </c>
      <c r="I2182">
        <f>IF(ROUND(H2182-D2182,2)=0,1,0)</f>
        <v/>
      </c>
      <c r="J2182">
        <f>IF(F2182="","none",IF(G2182=1,"carte","multiple"))</f>
        <v/>
      </c>
    </row>
    <row r="2183">
      <c r="A2183" t="inlineStr">
        <is>
          <t>2022-06-24</t>
        </is>
      </c>
      <c r="B2183" t="inlineStr">
        <is>
          <t>21:00</t>
        </is>
      </c>
      <c r="C2183" t="n">
        <v>2990</v>
      </c>
      <c r="D2183" s="6" t="n">
        <v>6.9</v>
      </c>
      <c r="E2183" t="n">
        <v>39024</v>
      </c>
      <c r="F2183" s="6" t="n">
        <v>6.9</v>
      </c>
      <c r="G2183" t="n">
        <v>1</v>
      </c>
      <c r="H2183" s="6">
        <f>ROUND(G2183*F2183,2)</f>
        <v/>
      </c>
      <c r="I2183">
        <f>IF(ROUND(H2183-D2183,2)=0,1,0)</f>
        <v/>
      </c>
      <c r="J2183">
        <f>IF(F2183="","none",IF(G2183=1,"carte","multiple"))</f>
        <v/>
      </c>
    </row>
    <row r="2184">
      <c r="A2184" t="inlineStr">
        <is>
          <t>2022-06-24</t>
        </is>
      </c>
      <c r="B2184" t="inlineStr">
        <is>
          <t>21:00</t>
        </is>
      </c>
      <c r="C2184" t="n">
        <v>2990</v>
      </c>
      <c r="D2184" s="6" t="n">
        <v>17.6</v>
      </c>
      <c r="E2184" t="n">
        <v>39025</v>
      </c>
      <c r="F2184" s="6" t="n">
        <v>17.6</v>
      </c>
      <c r="G2184" t="n">
        <v>1</v>
      </c>
      <c r="H2184" s="6">
        <f>ROUND(G2184*F2184,2)</f>
        <v/>
      </c>
      <c r="I2184">
        <f>IF(ROUND(H2184-D2184,2)=0,1,0)</f>
        <v/>
      </c>
      <c r="J2184">
        <f>IF(F2184="","none",IF(G2184=1,"carte","multiple"))</f>
        <v/>
      </c>
    </row>
    <row r="2185">
      <c r="A2185" t="inlineStr">
        <is>
          <t>2022-06-24</t>
        </is>
      </c>
      <c r="B2185" t="inlineStr">
        <is>
          <t>21:00</t>
        </is>
      </c>
      <c r="C2185" t="n">
        <v>2990</v>
      </c>
      <c r="D2185" s="6" t="n">
        <v>19</v>
      </c>
      <c r="E2185" t="n">
        <v>39026</v>
      </c>
      <c r="F2185" s="6" t="n">
        <v>19</v>
      </c>
      <c r="G2185" t="n">
        <v>1</v>
      </c>
      <c r="H2185" s="6">
        <f>ROUND(G2185*F2185,2)</f>
        <v/>
      </c>
      <c r="I2185">
        <f>IF(ROUND(H2185-D2185,2)=0,1,0)</f>
        <v/>
      </c>
      <c r="J2185">
        <f>IF(F2185="","none",IF(G2185=1,"carte","multiple"))</f>
        <v/>
      </c>
    </row>
    <row r="2186">
      <c r="A2186" t="inlineStr">
        <is>
          <t>2022-06-24</t>
        </is>
      </c>
      <c r="B2186" t="inlineStr">
        <is>
          <t>21:00</t>
        </is>
      </c>
      <c r="C2186" t="n">
        <v>2990</v>
      </c>
      <c r="D2186" s="6" t="n">
        <v>17.8</v>
      </c>
      <c r="E2186" t="n">
        <v>39027</v>
      </c>
      <c r="F2186" s="6" t="n">
        <v>8.9</v>
      </c>
      <c r="G2186" t="n">
        <v>2</v>
      </c>
      <c r="H2186" s="6">
        <f>ROUND(G2186*F2186,2)</f>
        <v/>
      </c>
      <c r="I2186">
        <f>IF(ROUND(H2186-D2186,2)=0,1,0)</f>
        <v/>
      </c>
      <c r="J2186">
        <f>IF(F2186="","none",IF(G2186=1,"carte","multiple"))</f>
        <v/>
      </c>
    </row>
    <row r="2187">
      <c r="A2187" t="inlineStr">
        <is>
          <t>2022-06-24</t>
        </is>
      </c>
      <c r="B2187" t="inlineStr">
        <is>
          <t>21:00</t>
        </is>
      </c>
      <c r="C2187" t="n">
        <v>2990</v>
      </c>
      <c r="D2187" s="6" t="n">
        <v>6</v>
      </c>
      <c r="E2187" t="n">
        <v>39028</v>
      </c>
      <c r="F2187" s="6" t="n">
        <v>6</v>
      </c>
      <c r="G2187" t="n">
        <v>1</v>
      </c>
      <c r="H2187" s="6">
        <f>ROUND(G2187*F2187,2)</f>
        <v/>
      </c>
      <c r="I2187">
        <f>IF(ROUND(H2187-D2187,2)=0,1,0)</f>
        <v/>
      </c>
      <c r="J2187">
        <f>IF(F2187="","none",IF(G2187=1,"carte","multiple"))</f>
        <v/>
      </c>
    </row>
    <row r="2188">
      <c r="A2188" t="inlineStr">
        <is>
          <t>2022-06-24</t>
        </is>
      </c>
      <c r="B2188" t="inlineStr">
        <is>
          <t>21:00</t>
        </is>
      </c>
      <c r="C2188" t="n">
        <v>2990</v>
      </c>
      <c r="D2188" s="6" t="n">
        <v>5.2</v>
      </c>
      <c r="E2188" t="n">
        <v>39029</v>
      </c>
      <c r="F2188" s="6" t="n">
        <v>5.2</v>
      </c>
      <c r="G2188" t="n">
        <v>1</v>
      </c>
      <c r="H2188" s="6">
        <f>ROUND(G2188*F2188,2)</f>
        <v/>
      </c>
      <c r="I2188">
        <f>IF(ROUND(H2188-D2188,2)=0,1,0)</f>
        <v/>
      </c>
      <c r="J2188">
        <f>IF(F2188="","none",IF(G2188=1,"carte","multiple"))</f>
        <v/>
      </c>
    </row>
    <row r="2189">
      <c r="A2189" t="inlineStr">
        <is>
          <t>2022-06-24</t>
        </is>
      </c>
      <c r="B2189" t="inlineStr">
        <is>
          <t>21:00</t>
        </is>
      </c>
      <c r="C2189" t="n">
        <v>2990</v>
      </c>
      <c r="D2189" s="6" t="n">
        <v>14.4</v>
      </c>
      <c r="E2189" t="n">
        <v>39030</v>
      </c>
      <c r="F2189" s="6" t="n">
        <v>0.4</v>
      </c>
      <c r="G2189" t="n">
        <v>36</v>
      </c>
      <c r="H2189" s="6">
        <f>ROUND(G2189*F2189,2)</f>
        <v/>
      </c>
      <c r="I2189">
        <f>IF(ROUND(H2189-D2189,2)=0,1,0)</f>
        <v/>
      </c>
      <c r="J2189">
        <f>IF(F2189="","none",IF(G2189=1,"carte","multiple"))</f>
        <v/>
      </c>
    </row>
    <row r="2190">
      <c r="A2190" t="inlineStr">
        <is>
          <t>2022-06-25</t>
        </is>
      </c>
      <c r="B2190" t="inlineStr">
        <is>
          <t>11:05</t>
        </is>
      </c>
      <c r="C2190" t="n">
        <v>2991</v>
      </c>
      <c r="D2190" s="6" t="n">
        <v>7.8</v>
      </c>
      <c r="E2190" t="n">
        <v>39033</v>
      </c>
      <c r="F2190" s="6" t="n">
        <v>7.8</v>
      </c>
      <c r="G2190" t="n">
        <v>1</v>
      </c>
      <c r="H2190" s="6">
        <f>ROUND(G2190*F2190,2)</f>
        <v/>
      </c>
      <c r="I2190">
        <f>IF(ROUND(H2190-D2190,2)=0,1,0)</f>
        <v/>
      </c>
      <c r="J2190">
        <f>IF(F2190="","none",IF(G2190=1,"carte","multiple"))</f>
        <v/>
      </c>
    </row>
    <row r="2191">
      <c r="A2191" t="inlineStr">
        <is>
          <t>2022-06-25</t>
        </is>
      </c>
      <c r="B2191" t="inlineStr">
        <is>
          <t>12:38</t>
        </is>
      </c>
      <c r="C2191" t="n">
        <v>2991</v>
      </c>
      <c r="D2191" s="6" t="n">
        <v>21</v>
      </c>
      <c r="E2191" t="n">
        <v>39034</v>
      </c>
      <c r="F2191" s="6" t="n">
        <v>21</v>
      </c>
      <c r="G2191" t="n">
        <v>1</v>
      </c>
      <c r="H2191" s="6">
        <f>ROUND(G2191*F2191,2)</f>
        <v/>
      </c>
      <c r="I2191">
        <f>IF(ROUND(H2191-D2191,2)=0,1,0)</f>
        <v/>
      </c>
      <c r="J2191">
        <f>IF(F2191="","none",IF(G2191=1,"carte","multiple"))</f>
        <v/>
      </c>
    </row>
    <row r="2192">
      <c r="A2192" t="inlineStr">
        <is>
          <t>2022-06-25</t>
        </is>
      </c>
      <c r="B2192" t="inlineStr">
        <is>
          <t>12:38</t>
        </is>
      </c>
      <c r="C2192" t="n">
        <v>2991</v>
      </c>
      <c r="D2192" s="6" t="n">
        <v>15.9</v>
      </c>
      <c r="E2192" t="n">
        <v>39035</v>
      </c>
      <c r="F2192" s="6" t="n">
        <v>15.9</v>
      </c>
      <c r="G2192" t="n">
        <v>1</v>
      </c>
      <c r="H2192" s="6">
        <f>ROUND(G2192*F2192,2)</f>
        <v/>
      </c>
      <c r="I2192">
        <f>IF(ROUND(H2192-D2192,2)=0,1,0)</f>
        <v/>
      </c>
      <c r="J2192">
        <f>IF(F2192="","none",IF(G2192=1,"carte","multiple"))</f>
        <v/>
      </c>
    </row>
    <row r="2193">
      <c r="A2193" t="inlineStr">
        <is>
          <t>2022-06-25</t>
        </is>
      </c>
      <c r="B2193" t="inlineStr">
        <is>
          <t>12:38</t>
        </is>
      </c>
      <c r="C2193" t="n">
        <v>2991</v>
      </c>
      <c r="D2193" s="6" t="n">
        <v>19.9</v>
      </c>
      <c r="E2193" t="n">
        <v>39036</v>
      </c>
      <c r="F2193" s="6" t="n">
        <v>19.9</v>
      </c>
      <c r="G2193" t="n">
        <v>1</v>
      </c>
      <c r="H2193" s="6">
        <f>ROUND(G2193*F2193,2)</f>
        <v/>
      </c>
      <c r="I2193">
        <f>IF(ROUND(H2193-D2193,2)=0,1,0)</f>
        <v/>
      </c>
      <c r="J2193">
        <f>IF(F2193="","none",IF(G2193=1,"carte","multiple"))</f>
        <v/>
      </c>
    </row>
    <row r="2194">
      <c r="A2194" t="inlineStr">
        <is>
          <t>2022-06-25</t>
        </is>
      </c>
      <c r="B2194" t="inlineStr">
        <is>
          <t>12:38</t>
        </is>
      </c>
      <c r="C2194" t="n">
        <v>2991</v>
      </c>
      <c r="D2194" s="6" t="n">
        <v>31.8</v>
      </c>
      <c r="E2194" t="n">
        <v>39037</v>
      </c>
      <c r="F2194" s="6" t="n">
        <v>31.8</v>
      </c>
      <c r="G2194" t="n">
        <v>1</v>
      </c>
      <c r="H2194" s="6">
        <f>ROUND(G2194*F2194,2)</f>
        <v/>
      </c>
      <c r="I2194">
        <f>IF(ROUND(H2194-D2194,2)=0,1,0)</f>
        <v/>
      </c>
      <c r="J2194">
        <f>IF(F2194="","none",IF(G2194=1,"carte","multiple"))</f>
        <v/>
      </c>
    </row>
    <row r="2195">
      <c r="A2195" t="inlineStr">
        <is>
          <t>2022-06-25</t>
        </is>
      </c>
      <c r="B2195" t="inlineStr">
        <is>
          <t>12:38</t>
        </is>
      </c>
      <c r="C2195" t="n">
        <v>2991</v>
      </c>
      <c r="D2195" s="6" t="n">
        <v>5.9</v>
      </c>
      <c r="E2195" t="n">
        <v>39038</v>
      </c>
      <c r="F2195" s="6" t="n">
        <v>5.9</v>
      </c>
      <c r="G2195" t="n">
        <v>1</v>
      </c>
      <c r="H2195" s="6">
        <f>ROUND(G2195*F2195,2)</f>
        <v/>
      </c>
      <c r="I2195">
        <f>IF(ROUND(H2195-D2195,2)=0,1,0)</f>
        <v/>
      </c>
      <c r="J2195">
        <f>IF(F2195="","none",IF(G2195=1,"carte","multiple"))</f>
        <v/>
      </c>
    </row>
    <row r="2196">
      <c r="A2196" t="inlineStr">
        <is>
          <t>2022-06-25</t>
        </is>
      </c>
      <c r="B2196" t="inlineStr">
        <is>
          <t>12:52</t>
        </is>
      </c>
      <c r="C2196" t="n">
        <v>2991</v>
      </c>
      <c r="D2196" s="6" t="n">
        <v>4.4</v>
      </c>
      <c r="E2196" t="n">
        <v>39039</v>
      </c>
      <c r="F2196" s="6" t="n">
        <v>0.4</v>
      </c>
      <c r="G2196" t="n">
        <v>11</v>
      </c>
      <c r="H2196" s="6">
        <f>ROUND(G2196*F2196,2)</f>
        <v/>
      </c>
      <c r="I2196">
        <f>IF(ROUND(H2196-D2196,2)=0,1,0)</f>
        <v/>
      </c>
      <c r="J2196">
        <f>IF(F2196="","none",IF(G2196=1,"carte","multiple"))</f>
        <v/>
      </c>
    </row>
    <row r="2197">
      <c r="A2197" t="inlineStr">
        <is>
          <t>2022-06-25</t>
        </is>
      </c>
      <c r="B2197" t="inlineStr">
        <is>
          <t>12:56</t>
        </is>
      </c>
      <c r="C2197" t="n">
        <v>2991</v>
      </c>
      <c r="D2197" s="6" t="n">
        <v>64</v>
      </c>
      <c r="E2197" t="n">
        <v>39040</v>
      </c>
      <c r="F2197" s="6" t="n">
        <v>64</v>
      </c>
      <c r="G2197" t="n">
        <v>1</v>
      </c>
      <c r="H2197" s="6">
        <f>ROUND(G2197*F2197,2)</f>
        <v/>
      </c>
      <c r="I2197">
        <f>IF(ROUND(H2197-D2197,2)=0,1,0)</f>
        <v/>
      </c>
      <c r="J2197">
        <f>IF(F2197="","none",IF(G2197=1,"carte","multiple"))</f>
        <v/>
      </c>
    </row>
    <row r="2198">
      <c r="A2198" t="inlineStr">
        <is>
          <t>2022-06-25</t>
        </is>
      </c>
      <c r="B2198" t="inlineStr">
        <is>
          <t>12:58</t>
        </is>
      </c>
      <c r="C2198" t="n">
        <v>2991</v>
      </c>
      <c r="D2198" s="6" t="n">
        <v>8.699999999999999</v>
      </c>
      <c r="E2198" t="n">
        <v>39041</v>
      </c>
      <c r="F2198" s="6" t="n">
        <v>8.699999999999999</v>
      </c>
      <c r="G2198" t="n">
        <v>1</v>
      </c>
      <c r="H2198" s="6">
        <f>ROUND(G2198*F2198,2)</f>
        <v/>
      </c>
      <c r="I2198">
        <f>IF(ROUND(H2198-D2198,2)=0,1,0)</f>
        <v/>
      </c>
      <c r="J2198">
        <f>IF(F2198="","none",IF(G2198=1,"carte","multiple"))</f>
        <v/>
      </c>
    </row>
    <row r="2199">
      <c r="A2199" t="inlineStr">
        <is>
          <t>2022-06-25</t>
        </is>
      </c>
      <c r="B2199" t="inlineStr">
        <is>
          <t>12:58</t>
        </is>
      </c>
      <c r="C2199" t="n">
        <v>2991</v>
      </c>
      <c r="D2199" s="6" t="n">
        <v>6.9</v>
      </c>
      <c r="E2199" t="n">
        <v>39042</v>
      </c>
      <c r="F2199" s="6" t="n">
        <v>6.9</v>
      </c>
      <c r="G2199" t="n">
        <v>1</v>
      </c>
      <c r="H2199" s="6">
        <f>ROUND(G2199*F2199,2)</f>
        <v/>
      </c>
      <c r="I2199">
        <f>IF(ROUND(H2199-D2199,2)=0,1,0)</f>
        <v/>
      </c>
      <c r="J2199">
        <f>IF(F2199="","none",IF(G2199=1,"carte","multiple"))</f>
        <v/>
      </c>
    </row>
    <row r="2200">
      <c r="A2200" t="inlineStr">
        <is>
          <t>2022-06-25</t>
        </is>
      </c>
      <c r="B2200" t="inlineStr">
        <is>
          <t>12:58</t>
        </is>
      </c>
      <c r="C2200" t="n">
        <v>2991</v>
      </c>
      <c r="D2200" s="6" t="n">
        <v>19.9</v>
      </c>
      <c r="E2200" t="n">
        <v>39043</v>
      </c>
      <c r="F2200" s="6" t="n">
        <v>19.9</v>
      </c>
      <c r="G2200" t="n">
        <v>1</v>
      </c>
      <c r="H2200" s="6">
        <f>ROUND(G2200*F2200,2)</f>
        <v/>
      </c>
      <c r="I2200">
        <f>IF(ROUND(H2200-D2200,2)=0,1,0)</f>
        <v/>
      </c>
      <c r="J2200">
        <f>IF(F2200="","none",IF(G2200=1,"carte","multiple"))</f>
        <v/>
      </c>
    </row>
    <row r="2201">
      <c r="A2201" t="inlineStr">
        <is>
          <t>2022-06-25</t>
        </is>
      </c>
      <c r="B2201" t="inlineStr">
        <is>
          <t>12:58</t>
        </is>
      </c>
      <c r="C2201" t="n">
        <v>2991</v>
      </c>
      <c r="D2201" s="6" t="n">
        <v>15.9</v>
      </c>
      <c r="E2201" t="n">
        <v>39044</v>
      </c>
      <c r="F2201" s="6" t="n">
        <v>15.9</v>
      </c>
      <c r="G2201" t="n">
        <v>1</v>
      </c>
      <c r="H2201" s="6">
        <f>ROUND(G2201*F2201,2)</f>
        <v/>
      </c>
      <c r="I2201">
        <f>IF(ROUND(H2201-D2201,2)=0,1,0)</f>
        <v/>
      </c>
      <c r="J2201">
        <f>IF(F2201="","none",IF(G2201=1,"carte","multiple"))</f>
        <v/>
      </c>
    </row>
    <row r="2202">
      <c r="A2202" t="inlineStr">
        <is>
          <t>2022-06-25</t>
        </is>
      </c>
      <c r="B2202" t="inlineStr">
        <is>
          <t>12:58</t>
        </is>
      </c>
      <c r="C2202" t="n">
        <v>2991</v>
      </c>
      <c r="D2202" s="6" t="n">
        <v>5.9</v>
      </c>
      <c r="E2202" t="n">
        <v>39045</v>
      </c>
      <c r="F2202" s="6" t="n">
        <v>5.9</v>
      </c>
      <c r="G2202" t="n">
        <v>1</v>
      </c>
      <c r="H2202" s="6">
        <f>ROUND(G2202*F2202,2)</f>
        <v/>
      </c>
      <c r="I2202">
        <f>IF(ROUND(H2202-D2202,2)=0,1,0)</f>
        <v/>
      </c>
      <c r="J2202">
        <f>IF(F2202="","none",IF(G2202=1,"carte","multiple"))</f>
        <v/>
      </c>
    </row>
    <row r="2203">
      <c r="A2203" t="inlineStr">
        <is>
          <t>2022-06-25</t>
        </is>
      </c>
      <c r="B2203" t="inlineStr">
        <is>
          <t>12:58</t>
        </is>
      </c>
      <c r="C2203" t="n">
        <v>2991</v>
      </c>
      <c r="D2203" s="6" t="n">
        <v>32</v>
      </c>
      <c r="E2203" t="n">
        <v>39046</v>
      </c>
      <c r="F2203" s="6" t="n">
        <v>32</v>
      </c>
      <c r="G2203" t="n">
        <v>1</v>
      </c>
      <c r="H2203" s="6">
        <f>ROUND(G2203*F2203,2)</f>
        <v/>
      </c>
      <c r="I2203">
        <f>IF(ROUND(H2203-D2203,2)=0,1,0)</f>
        <v/>
      </c>
      <c r="J2203">
        <f>IF(F2203="","none",IF(G2203=1,"carte","multiple"))</f>
        <v/>
      </c>
    </row>
    <row r="2204">
      <c r="A2204" t="inlineStr">
        <is>
          <t>2022-06-25</t>
        </is>
      </c>
      <c r="B2204" t="inlineStr">
        <is>
          <t>12:58</t>
        </is>
      </c>
      <c r="C2204" t="n">
        <v>2991</v>
      </c>
      <c r="D2204" s="6" t="n">
        <v>3.9</v>
      </c>
      <c r="E2204" t="n">
        <v>39047</v>
      </c>
      <c r="F2204" s="6" t="n">
        <v>3.9</v>
      </c>
      <c r="G2204" t="n">
        <v>1</v>
      </c>
      <c r="H2204" s="6">
        <f>ROUND(G2204*F2204,2)</f>
        <v/>
      </c>
      <c r="I2204">
        <f>IF(ROUND(H2204-D2204,2)=0,1,0)</f>
        <v/>
      </c>
      <c r="J2204">
        <f>IF(F2204="","none",IF(G2204=1,"carte","multiple"))</f>
        <v/>
      </c>
    </row>
    <row r="2205">
      <c r="A2205" t="inlineStr">
        <is>
          <t>2022-06-25</t>
        </is>
      </c>
      <c r="B2205" t="inlineStr">
        <is>
          <t>17:43</t>
        </is>
      </c>
      <c r="C2205" t="n">
        <v>2991</v>
      </c>
      <c r="D2205" s="6" t="n">
        <v>5.2</v>
      </c>
      <c r="E2205" t="n">
        <v>39049</v>
      </c>
      <c r="F2205" s="6" t="n">
        <v>5.2</v>
      </c>
      <c r="G2205" t="n">
        <v>1</v>
      </c>
      <c r="H2205" s="6">
        <f>ROUND(G2205*F2205,2)</f>
        <v/>
      </c>
      <c r="I2205">
        <f>IF(ROUND(H2205-D2205,2)=0,1,0)</f>
        <v/>
      </c>
      <c r="J2205">
        <f>IF(F2205="","none",IF(G2205=1,"carte","multiple"))</f>
        <v/>
      </c>
    </row>
    <row r="2206">
      <c r="A2206" t="inlineStr">
        <is>
          <t>2022-06-25</t>
        </is>
      </c>
      <c r="B2206" t="inlineStr">
        <is>
          <t>18:20</t>
        </is>
      </c>
      <c r="C2206" t="n">
        <v>2991</v>
      </c>
      <c r="D2206" s="6" t="n">
        <v>3.9</v>
      </c>
      <c r="E2206" t="n">
        <v>39050</v>
      </c>
      <c r="F2206" s="6" t="n">
        <v>3.9</v>
      </c>
      <c r="G2206" t="n">
        <v>1</v>
      </c>
      <c r="H2206" s="6">
        <f>ROUND(G2206*F2206,2)</f>
        <v/>
      </c>
      <c r="I2206">
        <f>IF(ROUND(H2206-D2206,2)=0,1,0)</f>
        <v/>
      </c>
      <c r="J2206">
        <f>IF(F2206="","none",IF(G2206=1,"carte","multiple"))</f>
        <v/>
      </c>
    </row>
    <row r="2207">
      <c r="A2207" t="inlineStr">
        <is>
          <t>2022-06-25</t>
        </is>
      </c>
      <c r="B2207" t="inlineStr">
        <is>
          <t>18:20</t>
        </is>
      </c>
      <c r="C2207" t="n">
        <v>2991</v>
      </c>
      <c r="D2207" s="6" t="n">
        <v>2</v>
      </c>
      <c r="E2207" t="n">
        <v>39051</v>
      </c>
      <c r="F2207" s="6" t="n">
        <v>2</v>
      </c>
      <c r="G2207" t="n">
        <v>1</v>
      </c>
      <c r="H2207" s="6">
        <f>ROUND(G2207*F2207,2)</f>
        <v/>
      </c>
      <c r="I2207">
        <f>IF(ROUND(H2207-D2207,2)=0,1,0)</f>
        <v/>
      </c>
      <c r="J2207">
        <f>IF(F2207="","none",IF(G2207=1,"carte","multiple"))</f>
        <v/>
      </c>
    </row>
    <row r="2208">
      <c r="A2208" t="inlineStr">
        <is>
          <t>2022-06-25</t>
        </is>
      </c>
      <c r="B2208" t="inlineStr">
        <is>
          <t>18:20</t>
        </is>
      </c>
      <c r="C2208" t="n">
        <v>2991</v>
      </c>
      <c r="D2208" s="6" t="n">
        <v>38</v>
      </c>
      <c r="E2208" t="n">
        <v>39052</v>
      </c>
      <c r="F2208" s="6" t="n">
        <v>0.4</v>
      </c>
      <c r="G2208" t="n">
        <v>95</v>
      </c>
      <c r="H2208" s="6">
        <f>ROUND(G2208*F2208,2)</f>
        <v/>
      </c>
      <c r="I2208">
        <f>IF(ROUND(H2208-D2208,2)=0,1,0)</f>
        <v/>
      </c>
      <c r="J2208">
        <f>IF(F2208="","none",IF(G2208=1,"carte","multiple"))</f>
        <v/>
      </c>
    </row>
    <row r="2209">
      <c r="A2209" t="inlineStr">
        <is>
          <t>2022-06-25</t>
        </is>
      </c>
      <c r="B2209" t="inlineStr">
        <is>
          <t>18:20</t>
        </is>
      </c>
      <c r="C2209" t="n">
        <v>2991</v>
      </c>
      <c r="D2209" s="6" t="n">
        <v>24</v>
      </c>
      <c r="E2209" t="n">
        <v>39053</v>
      </c>
      <c r="F2209" s="6" t="n">
        <v>24</v>
      </c>
      <c r="G2209" t="n">
        <v>1</v>
      </c>
      <c r="H2209" s="6">
        <f>ROUND(G2209*F2209,2)</f>
        <v/>
      </c>
      <c r="I2209">
        <f>IF(ROUND(H2209-D2209,2)=0,1,0)</f>
        <v/>
      </c>
      <c r="J2209">
        <f>IF(F2209="","none",IF(G2209=1,"carte","multiple"))</f>
        <v/>
      </c>
    </row>
    <row r="2210">
      <c r="A2210" t="inlineStr">
        <is>
          <t>2022-06-25</t>
        </is>
      </c>
      <c r="B2210" t="inlineStr">
        <is>
          <t>18:32</t>
        </is>
      </c>
      <c r="C2210" t="n">
        <v>2991</v>
      </c>
      <c r="D2210" s="6" t="n">
        <v>6.4</v>
      </c>
      <c r="E2210" t="n">
        <v>39054</v>
      </c>
      <c r="F2210" s="6" t="n">
        <v>6.4</v>
      </c>
      <c r="G2210" t="n">
        <v>1</v>
      </c>
      <c r="H2210" s="6">
        <f>ROUND(G2210*F2210,2)</f>
        <v/>
      </c>
      <c r="I2210">
        <f>IF(ROUND(H2210-D2210,2)=0,1,0)</f>
        <v/>
      </c>
      <c r="J2210">
        <f>IF(F2210="","none",IF(G2210=1,"carte","multiple"))</f>
        <v/>
      </c>
    </row>
    <row r="2211">
      <c r="A2211" t="inlineStr">
        <is>
          <t>2022-06-25</t>
        </is>
      </c>
      <c r="B2211" t="inlineStr">
        <is>
          <t>18:32</t>
        </is>
      </c>
      <c r="C2211" t="n">
        <v>2991</v>
      </c>
      <c r="D2211" s="6" t="n">
        <v>45</v>
      </c>
      <c r="E2211" t="n">
        <v>39055</v>
      </c>
      <c r="F2211" s="6" t="n">
        <v>45</v>
      </c>
      <c r="G2211" t="n">
        <v>1</v>
      </c>
      <c r="H2211" s="6">
        <f>ROUND(G2211*F2211,2)</f>
        <v/>
      </c>
      <c r="I2211">
        <f>IF(ROUND(H2211-D2211,2)=0,1,0)</f>
        <v/>
      </c>
      <c r="J2211">
        <f>IF(F2211="","none",IF(G2211=1,"carte","multiple"))</f>
        <v/>
      </c>
    </row>
    <row r="2212">
      <c r="A2212" t="inlineStr">
        <is>
          <t>2022-06-25</t>
        </is>
      </c>
      <c r="B2212" t="inlineStr">
        <is>
          <t>18:32</t>
        </is>
      </c>
      <c r="C2212" t="n">
        <v>2991</v>
      </c>
      <c r="D2212" s="6" t="n">
        <v>3.8</v>
      </c>
      <c r="E2212" t="n">
        <v>39056</v>
      </c>
      <c r="F2212" s="6" t="n">
        <v>3.8</v>
      </c>
      <c r="G2212" t="n">
        <v>1</v>
      </c>
      <c r="H2212" s="6">
        <f>ROUND(G2212*F2212,2)</f>
        <v/>
      </c>
      <c r="I2212">
        <f>IF(ROUND(H2212-D2212,2)=0,1,0)</f>
        <v/>
      </c>
      <c r="J2212">
        <f>IF(F2212="","none",IF(G2212=1,"carte","multiple"))</f>
        <v/>
      </c>
    </row>
    <row r="2213">
      <c r="A2213" t="inlineStr">
        <is>
          <t>2022-06-25</t>
        </is>
      </c>
      <c r="B2213" t="inlineStr">
        <is>
          <t>18:50</t>
        </is>
      </c>
      <c r="C2213" t="n">
        <v>2991</v>
      </c>
      <c r="D2213" s="6" t="n">
        <v>3.9</v>
      </c>
      <c r="E2213" t="n">
        <v>39057</v>
      </c>
      <c r="F2213" s="6" t="n">
        <v>3.9</v>
      </c>
      <c r="G2213" t="n">
        <v>1</v>
      </c>
      <c r="H2213" s="6">
        <f>ROUND(G2213*F2213,2)</f>
        <v/>
      </c>
      <c r="I2213">
        <f>IF(ROUND(H2213-D2213,2)=0,1,0)</f>
        <v/>
      </c>
      <c r="J2213">
        <f>IF(F2213="","none",IF(G2213=1,"carte","multiple"))</f>
        <v/>
      </c>
    </row>
    <row r="2214">
      <c r="A2214" t="inlineStr">
        <is>
          <t>2022-06-25</t>
        </is>
      </c>
      <c r="B2214" t="inlineStr">
        <is>
          <t>18:55</t>
        </is>
      </c>
      <c r="C2214" t="n">
        <v>2991</v>
      </c>
      <c r="D2214" s="6" t="n">
        <v>29.9</v>
      </c>
      <c r="E2214" t="n">
        <v>39058</v>
      </c>
      <c r="F2214" s="6" t="n">
        <v>29.9</v>
      </c>
      <c r="G2214" t="n">
        <v>1</v>
      </c>
      <c r="H2214" s="6">
        <f>ROUND(G2214*F2214,2)</f>
        <v/>
      </c>
      <c r="I2214">
        <f>IF(ROUND(H2214-D2214,2)=0,1,0)</f>
        <v/>
      </c>
      <c r="J2214">
        <f>IF(F2214="","none",IF(G2214=1,"carte","multiple"))</f>
        <v/>
      </c>
    </row>
    <row r="2215">
      <c r="A2215" t="inlineStr">
        <is>
          <t>2022-06-25</t>
        </is>
      </c>
      <c r="B2215" t="inlineStr">
        <is>
          <t>19:26</t>
        </is>
      </c>
      <c r="C2215" t="n">
        <v>2991</v>
      </c>
      <c r="D2215" s="6" t="n">
        <v>8.800000000000001</v>
      </c>
      <c r="E2215" t="n">
        <v>39059</v>
      </c>
      <c r="F2215" s="6" t="n">
        <v>8.800000000000001</v>
      </c>
      <c r="G2215" t="n">
        <v>1</v>
      </c>
      <c r="H2215" s="6">
        <f>ROUND(G2215*F2215,2)</f>
        <v/>
      </c>
      <c r="I2215">
        <f>IF(ROUND(H2215-D2215,2)=0,1,0)</f>
        <v/>
      </c>
      <c r="J2215">
        <f>IF(F2215="","none",IF(G2215=1,"carte","multiple"))</f>
        <v/>
      </c>
    </row>
    <row r="2216">
      <c r="A2216" t="inlineStr">
        <is>
          <t>2022-06-25</t>
        </is>
      </c>
      <c r="B2216" t="inlineStr">
        <is>
          <t>20:01</t>
        </is>
      </c>
      <c r="C2216" t="n">
        <v>2991</v>
      </c>
      <c r="D2216" s="6" t="n">
        <v>8.5</v>
      </c>
      <c r="E2216" t="n">
        <v>39060</v>
      </c>
      <c r="F2216" s="6" t="n">
        <v>8.5</v>
      </c>
      <c r="G2216" t="n">
        <v>1</v>
      </c>
      <c r="H2216" s="6">
        <f>ROUND(G2216*F2216,2)</f>
        <v/>
      </c>
      <c r="I2216">
        <f>IF(ROUND(H2216-D2216,2)=0,1,0)</f>
        <v/>
      </c>
      <c r="J2216">
        <f>IF(F2216="","none",IF(G2216=1,"carte","multiple"))</f>
        <v/>
      </c>
    </row>
    <row r="2217">
      <c r="A2217" t="inlineStr">
        <is>
          <t>2022-06-25</t>
        </is>
      </c>
      <c r="B2217" t="inlineStr">
        <is>
          <t>20:01</t>
        </is>
      </c>
      <c r="C2217" t="n">
        <v>2991</v>
      </c>
      <c r="D2217" s="6" t="n">
        <v>8.300000000000001</v>
      </c>
      <c r="E2217" t="n">
        <v>39061</v>
      </c>
      <c r="F2217" s="6" t="n">
        <v>8.300000000000001</v>
      </c>
      <c r="G2217" t="n">
        <v>1</v>
      </c>
      <c r="H2217" s="6">
        <f>ROUND(G2217*F2217,2)</f>
        <v/>
      </c>
      <c r="I2217">
        <f>IF(ROUND(H2217-D2217,2)=0,1,0)</f>
        <v/>
      </c>
      <c r="J2217">
        <f>IF(F2217="","none",IF(G2217=1,"carte","multiple"))</f>
        <v/>
      </c>
    </row>
    <row r="2218">
      <c r="A2218" t="inlineStr">
        <is>
          <t>2022-06-25</t>
        </is>
      </c>
      <c r="B2218" t="inlineStr">
        <is>
          <t>20:01</t>
        </is>
      </c>
      <c r="C2218" t="n">
        <v>2991</v>
      </c>
      <c r="D2218" s="6" t="n">
        <v>17.6</v>
      </c>
      <c r="E2218" t="n">
        <v>39062</v>
      </c>
      <c r="F2218" s="6" t="n">
        <v>17.6</v>
      </c>
      <c r="G2218" t="n">
        <v>1</v>
      </c>
      <c r="H2218" s="6">
        <f>ROUND(G2218*F2218,2)</f>
        <v/>
      </c>
      <c r="I2218">
        <f>IF(ROUND(H2218-D2218,2)=0,1,0)</f>
        <v/>
      </c>
      <c r="J2218">
        <f>IF(F2218="","none",IF(G2218=1,"carte","multiple"))</f>
        <v/>
      </c>
    </row>
    <row r="2219">
      <c r="A2219" t="inlineStr">
        <is>
          <t>2022-06-25</t>
        </is>
      </c>
      <c r="B2219" t="inlineStr">
        <is>
          <t>20:01</t>
        </is>
      </c>
      <c r="C2219" t="n">
        <v>2991</v>
      </c>
      <c r="D2219" s="6" t="n">
        <v>19</v>
      </c>
      <c r="E2219" t="n">
        <v>39063</v>
      </c>
      <c r="F2219" s="6" t="n">
        <v>19</v>
      </c>
      <c r="G2219" t="n">
        <v>1</v>
      </c>
      <c r="H2219" s="6">
        <f>ROUND(G2219*F2219,2)</f>
        <v/>
      </c>
      <c r="I2219">
        <f>IF(ROUND(H2219-D2219,2)=0,1,0)</f>
        <v/>
      </c>
      <c r="J2219">
        <f>IF(F2219="","none",IF(G2219=1,"carte","multiple"))</f>
        <v/>
      </c>
    </row>
    <row r="2220">
      <c r="A2220" t="inlineStr">
        <is>
          <t>2022-06-25</t>
        </is>
      </c>
      <c r="B2220" t="inlineStr">
        <is>
          <t>20:01</t>
        </is>
      </c>
      <c r="C2220" t="n">
        <v>2991</v>
      </c>
      <c r="D2220" s="6" t="n">
        <v>7.9</v>
      </c>
      <c r="E2220" t="n">
        <v>39064</v>
      </c>
      <c r="F2220" s="6" t="n">
        <v>7.9</v>
      </c>
      <c r="G2220" t="n">
        <v>1</v>
      </c>
      <c r="H2220" s="6">
        <f>ROUND(G2220*F2220,2)</f>
        <v/>
      </c>
      <c r="I2220">
        <f>IF(ROUND(H2220-D2220,2)=0,1,0)</f>
        <v/>
      </c>
      <c r="J2220">
        <f>IF(F2220="","none",IF(G2220=1,"carte","multiple"))</f>
        <v/>
      </c>
    </row>
    <row r="2221">
      <c r="A2221" t="inlineStr">
        <is>
          <t>2022-06-25</t>
        </is>
      </c>
      <c r="B2221" t="inlineStr">
        <is>
          <t>20:01</t>
        </is>
      </c>
      <c r="C2221" t="n">
        <v>2991</v>
      </c>
      <c r="D2221" s="6" t="n">
        <v>3.9</v>
      </c>
      <c r="E2221" t="n">
        <v>39065</v>
      </c>
      <c r="F2221" s="6" t="n">
        <v>3.9</v>
      </c>
      <c r="G2221" t="n">
        <v>1</v>
      </c>
      <c r="H2221" s="6">
        <f>ROUND(G2221*F2221,2)</f>
        <v/>
      </c>
      <c r="I2221">
        <f>IF(ROUND(H2221-D2221,2)=0,1,0)</f>
        <v/>
      </c>
      <c r="J2221">
        <f>IF(F2221="","none",IF(G2221=1,"carte","multiple"))</f>
        <v/>
      </c>
    </row>
    <row r="2222">
      <c r="A2222" t="inlineStr">
        <is>
          <t>2022-06-25</t>
        </is>
      </c>
      <c r="B2222" t="inlineStr">
        <is>
          <t>20:01</t>
        </is>
      </c>
      <c r="C2222" t="n">
        <v>2991</v>
      </c>
      <c r="D2222" s="6" t="n">
        <v>5.2</v>
      </c>
      <c r="E2222" t="n">
        <v>39066</v>
      </c>
      <c r="F2222" s="6" t="n">
        <v>5.2</v>
      </c>
      <c r="G2222" t="n">
        <v>1</v>
      </c>
      <c r="H2222" s="6">
        <f>ROUND(G2222*F2222,2)</f>
        <v/>
      </c>
      <c r="I2222">
        <f>IF(ROUND(H2222-D2222,2)=0,1,0)</f>
        <v/>
      </c>
      <c r="J2222">
        <f>IF(F2222="","none",IF(G2222=1,"carte","multiple"))</f>
        <v/>
      </c>
    </row>
    <row r="2223">
      <c r="A2223" t="inlineStr">
        <is>
          <t>2022-06-25</t>
        </is>
      </c>
      <c r="B2223" t="inlineStr">
        <is>
          <t>20:16</t>
        </is>
      </c>
      <c r="C2223" t="n">
        <v>2991</v>
      </c>
      <c r="D2223" s="6" t="n">
        <v>3.8</v>
      </c>
      <c r="E2223" t="n">
        <v>39067</v>
      </c>
      <c r="F2223" s="6" t="n">
        <v>3.8</v>
      </c>
      <c r="G2223" t="n">
        <v>1</v>
      </c>
      <c r="H2223" s="6">
        <f>ROUND(G2223*F2223,2)</f>
        <v/>
      </c>
      <c r="I2223">
        <f>IF(ROUND(H2223-D2223,2)=0,1,0)</f>
        <v/>
      </c>
      <c r="J2223">
        <f>IF(F2223="","none",IF(G2223=1,"carte","multiple"))</f>
        <v/>
      </c>
    </row>
    <row r="2224">
      <c r="A2224" t="inlineStr">
        <is>
          <t>2022-06-25</t>
        </is>
      </c>
      <c r="B2224" t="inlineStr">
        <is>
          <t>20:16</t>
        </is>
      </c>
      <c r="C2224" t="n">
        <v>2991</v>
      </c>
      <c r="D2224" s="6" t="n">
        <v>3.9</v>
      </c>
      <c r="E2224" t="n">
        <v>39068</v>
      </c>
      <c r="F2224" s="6" t="n">
        <v>3.9</v>
      </c>
      <c r="G2224" t="n">
        <v>1</v>
      </c>
      <c r="H2224" s="6">
        <f>ROUND(G2224*F2224,2)</f>
        <v/>
      </c>
      <c r="I2224">
        <f>IF(ROUND(H2224-D2224,2)=0,1,0)</f>
        <v/>
      </c>
      <c r="J2224">
        <f>IF(F2224="","none",IF(G2224=1,"carte","multiple"))</f>
        <v/>
      </c>
    </row>
    <row r="2225">
      <c r="A2225" t="inlineStr">
        <is>
          <t>2022-06-25</t>
        </is>
      </c>
      <c r="B2225" t="inlineStr">
        <is>
          <t>20:30</t>
        </is>
      </c>
      <c r="C2225" t="n">
        <v>2991</v>
      </c>
      <c r="D2225" s="6" t="n">
        <v>3.9</v>
      </c>
      <c r="E2225" t="n">
        <v>39069</v>
      </c>
      <c r="F2225" s="6" t="n">
        <v>3.9</v>
      </c>
      <c r="G2225" t="n">
        <v>1</v>
      </c>
      <c r="H2225" s="6">
        <f>ROUND(G2225*F2225,2)</f>
        <v/>
      </c>
      <c r="I2225">
        <f>IF(ROUND(H2225-D2225,2)=0,1,0)</f>
        <v/>
      </c>
      <c r="J2225">
        <f>IF(F2225="","none",IF(G2225=1,"carte","multiple"))</f>
        <v/>
      </c>
    </row>
    <row r="2226">
      <c r="A2226" t="inlineStr">
        <is>
          <t>2022-06-25</t>
        </is>
      </c>
      <c r="B2226" t="inlineStr">
        <is>
          <t>20:54</t>
        </is>
      </c>
      <c r="C2226" t="n">
        <v>2991</v>
      </c>
      <c r="D2226" s="6" t="n">
        <v>6.5</v>
      </c>
      <c r="E2226" t="n">
        <v>39070</v>
      </c>
      <c r="F2226" s="6" t="n">
        <v>6.5</v>
      </c>
      <c r="G2226" t="n">
        <v>1</v>
      </c>
      <c r="H2226" s="6">
        <f>ROUND(G2226*F2226,2)</f>
        <v/>
      </c>
      <c r="I2226">
        <f>IF(ROUND(H2226-D2226,2)=0,1,0)</f>
        <v/>
      </c>
      <c r="J2226">
        <f>IF(F2226="","none",IF(G2226=1,"carte","multiple"))</f>
        <v/>
      </c>
    </row>
    <row r="2227">
      <c r="A2227" t="inlineStr">
        <is>
          <t>2022-06-25</t>
        </is>
      </c>
      <c r="B2227" t="inlineStr">
        <is>
          <t>20:54</t>
        </is>
      </c>
      <c r="C2227" t="n">
        <v>2991</v>
      </c>
      <c r="D2227" s="6" t="n">
        <v>2.2</v>
      </c>
      <c r="E2227" t="n">
        <v>39071</v>
      </c>
      <c r="F2227" s="6" t="n">
        <v>2.2</v>
      </c>
      <c r="G2227" t="n">
        <v>1</v>
      </c>
      <c r="H2227" s="6">
        <f>ROUND(G2227*F2227,2)</f>
        <v/>
      </c>
      <c r="I2227">
        <f>IF(ROUND(H2227-D2227,2)=0,1,0)</f>
        <v/>
      </c>
      <c r="J2227">
        <f>IF(F2227="","none",IF(G2227=1,"carte","multiple"))</f>
        <v/>
      </c>
    </row>
    <row r="2228">
      <c r="A2228" t="inlineStr">
        <is>
          <t>2022-06-25</t>
        </is>
      </c>
      <c r="B2228" t="inlineStr">
        <is>
          <t>20:54</t>
        </is>
      </c>
      <c r="C2228" t="n">
        <v>2991</v>
      </c>
      <c r="D2228" s="6" t="n">
        <v>19</v>
      </c>
      <c r="E2228" t="n">
        <v>39072</v>
      </c>
      <c r="F2228" s="6" t="n">
        <v>19</v>
      </c>
      <c r="G2228" t="n">
        <v>1</v>
      </c>
      <c r="H2228" s="6">
        <f>ROUND(G2228*F2228,2)</f>
        <v/>
      </c>
      <c r="I2228">
        <f>IF(ROUND(H2228-D2228,2)=0,1,0)</f>
        <v/>
      </c>
      <c r="J2228">
        <f>IF(F2228="","none",IF(G2228=1,"carte","multiple"))</f>
        <v/>
      </c>
    </row>
    <row r="2229">
      <c r="A2229" t="inlineStr">
        <is>
          <t>2022-06-25</t>
        </is>
      </c>
      <c r="B2229" t="inlineStr">
        <is>
          <t>20:54</t>
        </is>
      </c>
      <c r="C2229" t="n">
        <v>2991</v>
      </c>
      <c r="D2229" s="6" t="n">
        <v>19</v>
      </c>
      <c r="E2229" t="n">
        <v>39073</v>
      </c>
      <c r="F2229" s="6" t="n">
        <v>19</v>
      </c>
      <c r="G2229" t="n">
        <v>1</v>
      </c>
      <c r="H2229" s="6">
        <f>ROUND(G2229*F2229,2)</f>
        <v/>
      </c>
      <c r="I2229">
        <f>IF(ROUND(H2229-D2229,2)=0,1,0)</f>
        <v/>
      </c>
      <c r="J2229">
        <f>IF(F2229="","none",IF(G2229=1,"carte","multiple"))</f>
        <v/>
      </c>
    </row>
    <row r="2230">
      <c r="A2230" t="inlineStr">
        <is>
          <t>2022-06-25</t>
        </is>
      </c>
      <c r="B2230" t="inlineStr">
        <is>
          <t>20:54</t>
        </is>
      </c>
      <c r="C2230" t="n">
        <v>2991</v>
      </c>
      <c r="D2230" s="6" t="n">
        <v>16</v>
      </c>
      <c r="E2230" t="n">
        <v>39074</v>
      </c>
      <c r="F2230" s="6" t="n">
        <v>16</v>
      </c>
      <c r="G2230" t="n">
        <v>1</v>
      </c>
      <c r="H2230" s="6">
        <f>ROUND(G2230*F2230,2)</f>
        <v/>
      </c>
      <c r="I2230">
        <f>IF(ROUND(H2230-D2230,2)=0,1,0)</f>
        <v/>
      </c>
      <c r="J2230">
        <f>IF(F2230="","none",IF(G2230=1,"carte","multiple"))</f>
        <v/>
      </c>
    </row>
    <row r="2231">
      <c r="A2231" t="inlineStr">
        <is>
          <t>2022-06-25</t>
        </is>
      </c>
      <c r="B2231" t="inlineStr">
        <is>
          <t>20:54</t>
        </is>
      </c>
      <c r="C2231" t="n">
        <v>2991</v>
      </c>
      <c r="D2231" s="6" t="n">
        <v>9.800000000000001</v>
      </c>
      <c r="E2231" t="n">
        <v>39075</v>
      </c>
      <c r="F2231" s="6" t="n">
        <v>9.800000000000001</v>
      </c>
      <c r="G2231" t="n">
        <v>1</v>
      </c>
      <c r="H2231" s="6">
        <f>ROUND(G2231*F2231,2)</f>
        <v/>
      </c>
      <c r="I2231">
        <f>IF(ROUND(H2231-D2231,2)=0,1,0)</f>
        <v/>
      </c>
      <c r="J2231">
        <f>IF(F2231="","none",IF(G2231=1,"carte","multiple"))</f>
        <v/>
      </c>
    </row>
    <row r="2232">
      <c r="A2232" t="inlineStr">
        <is>
          <t>2022-06-26</t>
        </is>
      </c>
      <c r="B2232" t="inlineStr">
        <is>
          <t>10:47</t>
        </is>
      </c>
      <c r="C2232" t="n">
        <v>2992</v>
      </c>
      <c r="D2232" s="6" t="n">
        <v>17.6</v>
      </c>
      <c r="E2232" t="n">
        <v>39078</v>
      </c>
      <c r="F2232" s="6" t="n">
        <v>17.6</v>
      </c>
      <c r="G2232" t="n">
        <v>1</v>
      </c>
      <c r="H2232" s="6">
        <f>ROUND(G2232*F2232,2)</f>
        <v/>
      </c>
      <c r="I2232">
        <f>IF(ROUND(H2232-D2232,2)=0,1,0)</f>
        <v/>
      </c>
      <c r="J2232">
        <f>IF(F2232="","none",IF(G2232=1,"carte","multiple"))</f>
        <v/>
      </c>
    </row>
    <row r="2233">
      <c r="A2233" t="inlineStr">
        <is>
          <t>2022-06-26</t>
        </is>
      </c>
      <c r="B2233" t="inlineStr">
        <is>
          <t>11:43</t>
        </is>
      </c>
      <c r="C2233" t="n">
        <v>2992</v>
      </c>
      <c r="D2233" s="6" t="n">
        <v>9.6</v>
      </c>
      <c r="E2233" t="n">
        <v>39079</v>
      </c>
      <c r="F2233" s="6" t="n">
        <v>9.6</v>
      </c>
      <c r="G2233" t="n">
        <v>1</v>
      </c>
      <c r="H2233" s="6">
        <f>ROUND(G2233*F2233,2)</f>
        <v/>
      </c>
      <c r="I2233">
        <f>IF(ROUND(H2233-D2233,2)=0,1,0)</f>
        <v/>
      </c>
      <c r="J2233">
        <f>IF(F2233="","none",IF(G2233=1,"carte","multiple"))</f>
        <v/>
      </c>
    </row>
    <row r="2234">
      <c r="A2234" t="inlineStr">
        <is>
          <t>2022-06-26</t>
        </is>
      </c>
      <c r="B2234" t="inlineStr">
        <is>
          <t>12:23</t>
        </is>
      </c>
      <c r="C2234" t="n">
        <v>2992</v>
      </c>
      <c r="D2234" s="6" t="n">
        <v>19</v>
      </c>
      <c r="E2234" t="n">
        <v>39080</v>
      </c>
      <c r="F2234" s="6" t="n">
        <v>19</v>
      </c>
      <c r="G2234" t="n">
        <v>1</v>
      </c>
      <c r="H2234" s="6">
        <f>ROUND(G2234*F2234,2)</f>
        <v/>
      </c>
      <c r="I2234">
        <f>IF(ROUND(H2234-D2234,2)=0,1,0)</f>
        <v/>
      </c>
      <c r="J2234">
        <f>IF(F2234="","none",IF(G2234=1,"carte","multiple"))</f>
        <v/>
      </c>
    </row>
    <row r="2235">
      <c r="A2235" t="inlineStr">
        <is>
          <t>2022-06-26</t>
        </is>
      </c>
      <c r="B2235" t="inlineStr">
        <is>
          <t>12:23</t>
        </is>
      </c>
      <c r="C2235" t="n">
        <v>2992</v>
      </c>
      <c r="D2235" s="6" t="n">
        <v>17.6</v>
      </c>
      <c r="E2235" t="n">
        <v>39081</v>
      </c>
      <c r="F2235" s="6" t="n">
        <v>17.6</v>
      </c>
      <c r="G2235" t="n">
        <v>1</v>
      </c>
      <c r="H2235" s="6">
        <f>ROUND(G2235*F2235,2)</f>
        <v/>
      </c>
      <c r="I2235">
        <f>IF(ROUND(H2235-D2235,2)=0,1,0)</f>
        <v/>
      </c>
      <c r="J2235">
        <f>IF(F2235="","none",IF(G2235=1,"carte","multiple"))</f>
        <v/>
      </c>
    </row>
    <row r="2236">
      <c r="A2236" t="inlineStr">
        <is>
          <t>2022-06-26</t>
        </is>
      </c>
      <c r="B2236" t="inlineStr">
        <is>
          <t>12:27</t>
        </is>
      </c>
      <c r="C2236" t="n">
        <v>2992</v>
      </c>
      <c r="D2236" s="6" t="n">
        <v>2.2</v>
      </c>
      <c r="E2236" t="n">
        <v>39082</v>
      </c>
      <c r="F2236" s="6" t="n">
        <v>2.2</v>
      </c>
      <c r="G2236" t="n">
        <v>1</v>
      </c>
      <c r="H2236" s="6">
        <f>ROUND(G2236*F2236,2)</f>
        <v/>
      </c>
      <c r="I2236">
        <f>IF(ROUND(H2236-D2236,2)=0,1,0)</f>
        <v/>
      </c>
      <c r="J2236">
        <f>IF(F2236="","none",IF(G2236=1,"carte","multiple"))</f>
        <v/>
      </c>
    </row>
    <row r="2237">
      <c r="A2237" t="inlineStr">
        <is>
          <t>2022-06-26</t>
        </is>
      </c>
      <c r="B2237" t="inlineStr">
        <is>
          <t>12:52</t>
        </is>
      </c>
      <c r="C2237" t="n">
        <v>2992</v>
      </c>
      <c r="D2237" s="6" t="n">
        <v>64</v>
      </c>
      <c r="E2237" t="n">
        <v>39083</v>
      </c>
      <c r="F2237" s="6" t="n">
        <v>64</v>
      </c>
      <c r="G2237" t="n">
        <v>1</v>
      </c>
      <c r="H2237" s="6">
        <f>ROUND(G2237*F2237,2)</f>
        <v/>
      </c>
      <c r="I2237">
        <f>IF(ROUND(H2237-D2237,2)=0,1,0)</f>
        <v/>
      </c>
      <c r="J2237">
        <f>IF(F2237="","none",IF(G2237=1,"carte","multiple"))</f>
        <v/>
      </c>
    </row>
    <row r="2238">
      <c r="A2238" t="inlineStr">
        <is>
          <t>2022-06-26</t>
        </is>
      </c>
      <c r="B2238" t="inlineStr">
        <is>
          <t>12:52</t>
        </is>
      </c>
      <c r="C2238" t="n">
        <v>2992</v>
      </c>
      <c r="D2238" s="6" t="n">
        <v>21</v>
      </c>
      <c r="E2238" t="n">
        <v>39084</v>
      </c>
      <c r="F2238" s="6" t="n">
        <v>21</v>
      </c>
      <c r="G2238" t="n">
        <v>1</v>
      </c>
      <c r="H2238" s="6">
        <f>ROUND(G2238*F2238,2)</f>
        <v/>
      </c>
      <c r="I2238">
        <f>IF(ROUND(H2238-D2238,2)=0,1,0)</f>
        <v/>
      </c>
      <c r="J2238">
        <f>IF(F2238="","none",IF(G2238=1,"carte","multiple"))</f>
        <v/>
      </c>
    </row>
    <row r="2239">
      <c r="A2239" t="inlineStr">
        <is>
          <t>2022-06-26</t>
        </is>
      </c>
      <c r="B2239" t="inlineStr">
        <is>
          <t>12:52</t>
        </is>
      </c>
      <c r="C2239" t="n">
        <v>2992</v>
      </c>
      <c r="D2239" s="6" t="n">
        <v>4.2</v>
      </c>
      <c r="E2239" t="n">
        <v>39085</v>
      </c>
      <c r="F2239" s="6" t="n">
        <v>4.2</v>
      </c>
      <c r="G2239" t="n">
        <v>1</v>
      </c>
      <c r="H2239" s="6">
        <f>ROUND(G2239*F2239,2)</f>
        <v/>
      </c>
      <c r="I2239">
        <f>IF(ROUND(H2239-D2239,2)=0,1,0)</f>
        <v/>
      </c>
      <c r="J2239">
        <f>IF(F2239="","none",IF(G2239=1,"carte","multiple"))</f>
        <v/>
      </c>
    </row>
    <row r="2240">
      <c r="A2240" t="inlineStr">
        <is>
          <t>2022-06-26</t>
        </is>
      </c>
      <c r="B2240" t="inlineStr">
        <is>
          <t>12:52</t>
        </is>
      </c>
      <c r="C2240" t="n">
        <v>2992</v>
      </c>
      <c r="D2240" s="6" t="n">
        <v>4.9</v>
      </c>
      <c r="E2240" t="n">
        <v>39086</v>
      </c>
      <c r="F2240" s="6" t="n">
        <v>4.9</v>
      </c>
      <c r="G2240" t="n">
        <v>1</v>
      </c>
      <c r="H2240" s="6">
        <f>ROUND(G2240*F2240,2)</f>
        <v/>
      </c>
      <c r="I2240">
        <f>IF(ROUND(H2240-D2240,2)=0,1,0)</f>
        <v/>
      </c>
      <c r="J2240">
        <f>IF(F2240="","none",IF(G2240=1,"carte","multiple"))</f>
        <v/>
      </c>
    </row>
    <row r="2241">
      <c r="A2241" t="inlineStr">
        <is>
          <t>2022-06-26</t>
        </is>
      </c>
      <c r="B2241" t="inlineStr">
        <is>
          <t>18:37</t>
        </is>
      </c>
      <c r="C2241" t="n">
        <v>2992</v>
      </c>
      <c r="D2241" s="6" t="n">
        <v>2.9</v>
      </c>
      <c r="E2241" t="n">
        <v>39089</v>
      </c>
      <c r="F2241" s="6" t="n">
        <v>2.9</v>
      </c>
      <c r="G2241" t="n">
        <v>1</v>
      </c>
      <c r="H2241" s="6">
        <f>ROUND(G2241*F2241,2)</f>
        <v/>
      </c>
      <c r="I2241">
        <f>IF(ROUND(H2241-D2241,2)=0,1,0)</f>
        <v/>
      </c>
      <c r="J2241">
        <f>IF(F2241="","none",IF(G2241=1,"carte","multiple"))</f>
        <v/>
      </c>
    </row>
    <row r="2242">
      <c r="A2242" t="inlineStr">
        <is>
          <t>2022-06-26</t>
        </is>
      </c>
      <c r="B2242" t="inlineStr">
        <is>
          <t>18:59</t>
        </is>
      </c>
      <c r="C2242" t="n">
        <v>2992</v>
      </c>
      <c r="D2242" s="6" t="n">
        <v>5.8</v>
      </c>
      <c r="E2242" t="n">
        <v>39090</v>
      </c>
      <c r="F2242" s="6" t="n">
        <v>5.8</v>
      </c>
      <c r="G2242" t="n">
        <v>1</v>
      </c>
      <c r="H2242" s="6">
        <f>ROUND(G2242*F2242,2)</f>
        <v/>
      </c>
      <c r="I2242">
        <f>IF(ROUND(H2242-D2242,2)=0,1,0)</f>
        <v/>
      </c>
      <c r="J2242">
        <f>IF(F2242="","none",IF(G2242=1,"carte","multiple"))</f>
        <v/>
      </c>
    </row>
    <row r="2243">
      <c r="A2243" t="inlineStr">
        <is>
          <t>2022-06-26</t>
        </is>
      </c>
      <c r="B2243" t="inlineStr">
        <is>
          <t>19:25</t>
        </is>
      </c>
      <c r="C2243" t="n">
        <v>2992</v>
      </c>
      <c r="D2243" s="6" t="n">
        <v>4.4</v>
      </c>
      <c r="E2243" t="n">
        <v>39091</v>
      </c>
      <c r="F2243" s="6" t="n">
        <v>0.4</v>
      </c>
      <c r="G2243" t="n">
        <v>11</v>
      </c>
      <c r="H2243" s="6">
        <f>ROUND(G2243*F2243,2)</f>
        <v/>
      </c>
      <c r="I2243">
        <f>IF(ROUND(H2243-D2243,2)=0,1,0)</f>
        <v/>
      </c>
      <c r="J2243">
        <f>IF(F2243="","none",IF(G2243=1,"carte","multiple"))</f>
        <v/>
      </c>
    </row>
    <row r="2244">
      <c r="A2244" t="inlineStr">
        <is>
          <t>2022-06-26</t>
        </is>
      </c>
      <c r="B2244" t="inlineStr">
        <is>
          <t>19:25</t>
        </is>
      </c>
      <c r="C2244" t="n">
        <v>2992</v>
      </c>
      <c r="D2244" s="6" t="n">
        <v>17.6</v>
      </c>
      <c r="E2244" t="n">
        <v>39092</v>
      </c>
      <c r="F2244" s="6" t="n">
        <v>17.6</v>
      </c>
      <c r="G2244" t="n">
        <v>1</v>
      </c>
      <c r="H2244" s="6">
        <f>ROUND(G2244*F2244,2)</f>
        <v/>
      </c>
      <c r="I2244">
        <f>IF(ROUND(H2244-D2244,2)=0,1,0)</f>
        <v/>
      </c>
      <c r="J2244">
        <f>IF(F2244="","none",IF(G2244=1,"carte","multiple"))</f>
        <v/>
      </c>
    </row>
    <row r="2245">
      <c r="A2245" t="inlineStr">
        <is>
          <t>2022-06-26</t>
        </is>
      </c>
      <c r="B2245" t="inlineStr">
        <is>
          <t>19:25</t>
        </is>
      </c>
      <c r="C2245" t="n">
        <v>2992</v>
      </c>
      <c r="D2245" s="6" t="n">
        <v>19.9</v>
      </c>
      <c r="E2245" t="n">
        <v>39093</v>
      </c>
      <c r="F2245" s="6" t="n">
        <v>19.9</v>
      </c>
      <c r="G2245" t="n">
        <v>1</v>
      </c>
      <c r="H2245" s="6">
        <f>ROUND(G2245*F2245,2)</f>
        <v/>
      </c>
      <c r="I2245">
        <f>IF(ROUND(H2245-D2245,2)=0,1,0)</f>
        <v/>
      </c>
      <c r="J2245">
        <f>IF(F2245="","none",IF(G2245=1,"carte","multiple"))</f>
        <v/>
      </c>
    </row>
    <row r="2246">
      <c r="A2246" t="inlineStr">
        <is>
          <t>2022-06-26</t>
        </is>
      </c>
      <c r="B2246" t="inlineStr">
        <is>
          <t>19:35</t>
        </is>
      </c>
      <c r="C2246" t="n">
        <v>2992</v>
      </c>
      <c r="D2246" s="6" t="n">
        <v>4.4</v>
      </c>
      <c r="E2246" t="n">
        <v>39094</v>
      </c>
      <c r="F2246" s="6" t="n">
        <v>0.4</v>
      </c>
      <c r="G2246" t="n">
        <v>11</v>
      </c>
      <c r="H2246" s="6">
        <f>ROUND(G2246*F2246,2)</f>
        <v/>
      </c>
      <c r="I2246">
        <f>IF(ROUND(H2246-D2246,2)=0,1,0)</f>
        <v/>
      </c>
      <c r="J2246">
        <f>IF(F2246="","none",IF(G2246=1,"carte","multiple"))</f>
        <v/>
      </c>
    </row>
    <row r="2247">
      <c r="A2247" t="inlineStr">
        <is>
          <t>2022-06-26</t>
        </is>
      </c>
      <c r="B2247" t="inlineStr">
        <is>
          <t>19:35</t>
        </is>
      </c>
      <c r="C2247" t="n">
        <v>2992</v>
      </c>
      <c r="D2247" s="6" t="n">
        <v>15.9</v>
      </c>
      <c r="E2247" t="n">
        <v>39095</v>
      </c>
      <c r="F2247" s="6" t="n">
        <v>15.9</v>
      </c>
      <c r="G2247" t="n">
        <v>1</v>
      </c>
      <c r="H2247" s="6">
        <f>ROUND(G2247*F2247,2)</f>
        <v/>
      </c>
      <c r="I2247">
        <f>IF(ROUND(H2247-D2247,2)=0,1,0)</f>
        <v/>
      </c>
      <c r="J2247">
        <f>IF(F2247="","none",IF(G2247=1,"carte","multiple"))</f>
        <v/>
      </c>
    </row>
    <row r="2248">
      <c r="A2248" t="inlineStr">
        <is>
          <t>2022-06-26</t>
        </is>
      </c>
      <c r="B2248" t="inlineStr">
        <is>
          <t>19:35</t>
        </is>
      </c>
      <c r="C2248" t="n">
        <v>2992</v>
      </c>
      <c r="D2248" s="6" t="n">
        <v>23</v>
      </c>
      <c r="E2248" t="n">
        <v>39096</v>
      </c>
      <c r="F2248" s="6" t="n">
        <v>23</v>
      </c>
      <c r="G2248" t="n">
        <v>1</v>
      </c>
      <c r="H2248" s="6">
        <f>ROUND(G2248*F2248,2)</f>
        <v/>
      </c>
      <c r="I2248">
        <f>IF(ROUND(H2248-D2248,2)=0,1,0)</f>
        <v/>
      </c>
      <c r="J2248">
        <f>IF(F2248="","none",IF(G2248=1,"carte","multiple"))</f>
        <v/>
      </c>
    </row>
    <row r="2249">
      <c r="A2249" t="inlineStr">
        <is>
          <t>2022-06-26</t>
        </is>
      </c>
      <c r="B2249" t="inlineStr">
        <is>
          <t>19:35</t>
        </is>
      </c>
      <c r="C2249" t="n">
        <v>2992</v>
      </c>
      <c r="D2249" s="6" t="n">
        <v>28</v>
      </c>
      <c r="E2249" t="n">
        <v>39097</v>
      </c>
      <c r="F2249" s="6" t="n">
        <v>28</v>
      </c>
      <c r="G2249" t="n">
        <v>1</v>
      </c>
      <c r="H2249" s="6">
        <f>ROUND(G2249*F2249,2)</f>
        <v/>
      </c>
      <c r="I2249">
        <f>IF(ROUND(H2249-D2249,2)=0,1,0)</f>
        <v/>
      </c>
      <c r="J2249">
        <f>IF(F2249="","none",IF(G2249=1,"carte","multiple"))</f>
        <v/>
      </c>
    </row>
    <row r="2250">
      <c r="A2250" t="inlineStr">
        <is>
          <t>2022-06-26</t>
        </is>
      </c>
      <c r="B2250" t="inlineStr">
        <is>
          <t>19:48</t>
        </is>
      </c>
      <c r="C2250" t="n">
        <v>2992</v>
      </c>
      <c r="D2250" s="6" t="n">
        <v>14</v>
      </c>
      <c r="E2250" t="n">
        <v>39098</v>
      </c>
      <c r="F2250" s="6" t="n">
        <v>14</v>
      </c>
      <c r="G2250" t="n">
        <v>1</v>
      </c>
      <c r="H2250" s="6">
        <f>ROUND(G2250*F2250,2)</f>
        <v/>
      </c>
      <c r="I2250">
        <f>IF(ROUND(H2250-D2250,2)=0,1,0)</f>
        <v/>
      </c>
      <c r="J2250">
        <f>IF(F2250="","none",IF(G2250=1,"carte","multiple"))</f>
        <v/>
      </c>
    </row>
    <row r="2251">
      <c r="A2251" t="inlineStr">
        <is>
          <t>2022-06-26</t>
        </is>
      </c>
      <c r="B2251" t="inlineStr">
        <is>
          <t>19:48</t>
        </is>
      </c>
      <c r="C2251" t="n">
        <v>2992</v>
      </c>
      <c r="D2251" s="6" t="n">
        <v>19</v>
      </c>
      <c r="E2251" t="n">
        <v>39099</v>
      </c>
      <c r="F2251" s="6" t="n">
        <v>19</v>
      </c>
      <c r="G2251" t="n">
        <v>1</v>
      </c>
      <c r="H2251" s="6">
        <f>ROUND(G2251*F2251,2)</f>
        <v/>
      </c>
      <c r="I2251">
        <f>IF(ROUND(H2251-D2251,2)=0,1,0)</f>
        <v/>
      </c>
      <c r="J2251">
        <f>IF(F2251="","none",IF(G2251=1,"carte","multiple"))</f>
        <v/>
      </c>
    </row>
    <row r="2252">
      <c r="A2252" t="inlineStr">
        <is>
          <t>2022-06-26</t>
        </is>
      </c>
      <c r="B2252" t="inlineStr">
        <is>
          <t>19:48</t>
        </is>
      </c>
      <c r="C2252" t="n">
        <v>2992</v>
      </c>
      <c r="D2252" s="6" t="n">
        <v>15.6</v>
      </c>
      <c r="E2252" t="n">
        <v>39100</v>
      </c>
      <c r="F2252" s="6" t="n">
        <v>15.6</v>
      </c>
      <c r="G2252" t="n">
        <v>1</v>
      </c>
      <c r="H2252" s="6">
        <f>ROUND(G2252*F2252,2)</f>
        <v/>
      </c>
      <c r="I2252">
        <f>IF(ROUND(H2252-D2252,2)=0,1,0)</f>
        <v/>
      </c>
      <c r="J2252">
        <f>IF(F2252="","none",IF(G2252=1,"carte","multiple"))</f>
        <v/>
      </c>
    </row>
    <row r="2253">
      <c r="A2253" t="inlineStr">
        <is>
          <t>2022-06-26</t>
        </is>
      </c>
      <c r="B2253" t="inlineStr">
        <is>
          <t>19:50</t>
        </is>
      </c>
      <c r="C2253" t="n">
        <v>2992</v>
      </c>
      <c r="D2253" s="6" t="n">
        <v>7.8</v>
      </c>
      <c r="E2253" t="n">
        <v>39101</v>
      </c>
      <c r="F2253" s="6" t="n">
        <v>7.8</v>
      </c>
      <c r="G2253" t="n">
        <v>1</v>
      </c>
      <c r="H2253" s="6">
        <f>ROUND(G2253*F2253,2)</f>
        <v/>
      </c>
      <c r="I2253">
        <f>IF(ROUND(H2253-D2253,2)=0,1,0)</f>
        <v/>
      </c>
      <c r="J2253">
        <f>IF(F2253="","none",IF(G2253=1,"carte","multiple"))</f>
        <v/>
      </c>
    </row>
    <row r="2254">
      <c r="A2254" t="inlineStr">
        <is>
          <t>2022-06-26</t>
        </is>
      </c>
      <c r="B2254" t="inlineStr">
        <is>
          <t>19:50</t>
        </is>
      </c>
      <c r="C2254" t="n">
        <v>2992</v>
      </c>
      <c r="D2254" s="6" t="n">
        <v>5.9</v>
      </c>
      <c r="E2254" t="n">
        <v>39102</v>
      </c>
      <c r="F2254" s="6" t="n">
        <v>5.9</v>
      </c>
      <c r="G2254" t="n">
        <v>1</v>
      </c>
      <c r="H2254" s="6">
        <f>ROUND(G2254*F2254,2)</f>
        <v/>
      </c>
      <c r="I2254">
        <f>IF(ROUND(H2254-D2254,2)=0,1,0)</f>
        <v/>
      </c>
      <c r="J2254">
        <f>IF(F2254="","none",IF(G2254=1,"carte","multiple"))</f>
        <v/>
      </c>
    </row>
    <row r="2255">
      <c r="A2255" t="inlineStr">
        <is>
          <t>2022-06-26</t>
        </is>
      </c>
      <c r="B2255" t="inlineStr">
        <is>
          <t>19:50</t>
        </is>
      </c>
      <c r="C2255" t="n">
        <v>2992</v>
      </c>
      <c r="D2255" s="6" t="n">
        <v>14.4</v>
      </c>
      <c r="E2255" t="n">
        <v>39103</v>
      </c>
      <c r="F2255" s="6" t="n">
        <v>0.4</v>
      </c>
      <c r="G2255" t="n">
        <v>36</v>
      </c>
      <c r="H2255" s="6">
        <f>ROUND(G2255*F2255,2)</f>
        <v/>
      </c>
      <c r="I2255">
        <f>IF(ROUND(H2255-D2255,2)=0,1,0)</f>
        <v/>
      </c>
      <c r="J2255">
        <f>IF(F2255="","none",IF(G2255=1,"carte","multiple"))</f>
        <v/>
      </c>
    </row>
    <row r="2256">
      <c r="A2256" t="inlineStr">
        <is>
          <t>2022-06-26</t>
        </is>
      </c>
      <c r="B2256" t="inlineStr">
        <is>
          <t>19:50</t>
        </is>
      </c>
      <c r="C2256" t="n">
        <v>2992</v>
      </c>
      <c r="D2256" s="6" t="n">
        <v>27.8</v>
      </c>
      <c r="E2256" t="n">
        <v>39104</v>
      </c>
      <c r="F2256" s="6" t="n">
        <v>27.8</v>
      </c>
      <c r="G2256" t="n">
        <v>1</v>
      </c>
      <c r="H2256" s="6">
        <f>ROUND(G2256*F2256,2)</f>
        <v/>
      </c>
      <c r="I2256">
        <f>IF(ROUND(H2256-D2256,2)=0,1,0)</f>
        <v/>
      </c>
      <c r="J2256">
        <f>IF(F2256="","none",IF(G2256=1,"carte","multiple"))</f>
        <v/>
      </c>
    </row>
    <row r="2257">
      <c r="A2257" t="inlineStr">
        <is>
          <t>2022-06-26</t>
        </is>
      </c>
      <c r="B2257" t="inlineStr">
        <is>
          <t>19:50</t>
        </is>
      </c>
      <c r="C2257" t="n">
        <v>2992</v>
      </c>
      <c r="D2257" s="6" t="n">
        <v>17.6</v>
      </c>
      <c r="E2257" t="n">
        <v>39105</v>
      </c>
      <c r="F2257" s="6" t="n">
        <v>17.6</v>
      </c>
      <c r="G2257" t="n">
        <v>1</v>
      </c>
      <c r="H2257" s="6">
        <f>ROUND(G2257*F2257,2)</f>
        <v/>
      </c>
      <c r="I2257">
        <f>IF(ROUND(H2257-D2257,2)=0,1,0)</f>
        <v/>
      </c>
      <c r="J2257">
        <f>IF(F2257="","none",IF(G2257=1,"carte","multiple"))</f>
        <v/>
      </c>
    </row>
    <row r="2258">
      <c r="A2258" t="inlineStr">
        <is>
          <t>2022-06-26</t>
        </is>
      </c>
      <c r="B2258" t="inlineStr">
        <is>
          <t>19:50</t>
        </is>
      </c>
      <c r="C2258" t="n">
        <v>2992</v>
      </c>
      <c r="D2258" s="6" t="n">
        <v>8</v>
      </c>
      <c r="E2258" t="n">
        <v>39106</v>
      </c>
      <c r="F2258" s="6" t="n">
        <v>8</v>
      </c>
      <c r="G2258" t="n">
        <v>1</v>
      </c>
      <c r="H2258" s="6">
        <f>ROUND(G2258*F2258,2)</f>
        <v/>
      </c>
      <c r="I2258">
        <f>IF(ROUND(H2258-D2258,2)=0,1,0)</f>
        <v/>
      </c>
      <c r="J2258">
        <f>IF(F2258="","none",IF(G2258=1,"carte","multiple"))</f>
        <v/>
      </c>
    </row>
    <row r="2259">
      <c r="A2259" t="inlineStr">
        <is>
          <t>2022-06-26</t>
        </is>
      </c>
      <c r="B2259" t="inlineStr">
        <is>
          <t>19:50</t>
        </is>
      </c>
      <c r="C2259" t="n">
        <v>2992</v>
      </c>
      <c r="D2259" s="6" t="n">
        <v>9.6</v>
      </c>
      <c r="E2259" t="n">
        <v>39107</v>
      </c>
      <c r="F2259" s="6" t="n">
        <v>9.6</v>
      </c>
      <c r="G2259" t="n">
        <v>1</v>
      </c>
      <c r="H2259" s="6">
        <f>ROUND(G2259*F2259,2)</f>
        <v/>
      </c>
      <c r="I2259">
        <f>IF(ROUND(H2259-D2259,2)=0,1,0)</f>
        <v/>
      </c>
      <c r="J2259">
        <f>IF(F2259="","none",IF(G2259=1,"carte","multiple"))</f>
        <v/>
      </c>
    </row>
    <row r="2260">
      <c r="A2260" t="inlineStr">
        <is>
          <t>2022-06-26</t>
        </is>
      </c>
      <c r="B2260" t="inlineStr">
        <is>
          <t>20:05</t>
        </is>
      </c>
      <c r="C2260" t="n">
        <v>2992</v>
      </c>
      <c r="D2260" s="6" t="n">
        <v>32</v>
      </c>
      <c r="E2260" t="n">
        <v>39108</v>
      </c>
      <c r="F2260" s="6" t="n">
        <v>32</v>
      </c>
      <c r="G2260" t="n">
        <v>1</v>
      </c>
      <c r="H2260" s="6">
        <f>ROUND(G2260*F2260,2)</f>
        <v/>
      </c>
      <c r="I2260">
        <f>IF(ROUND(H2260-D2260,2)=0,1,0)</f>
        <v/>
      </c>
      <c r="J2260">
        <f>IF(F2260="","none",IF(G2260=1,"carte","multiple"))</f>
        <v/>
      </c>
    </row>
    <row r="2261">
      <c r="A2261" t="inlineStr">
        <is>
          <t>2022-06-26</t>
        </is>
      </c>
      <c r="B2261" t="inlineStr">
        <is>
          <t>20:05</t>
        </is>
      </c>
      <c r="C2261" t="n">
        <v>2992</v>
      </c>
      <c r="D2261" s="6" t="n">
        <v>47.7</v>
      </c>
      <c r="E2261" t="n">
        <v>39109</v>
      </c>
      <c r="F2261" s="6" t="n">
        <v>0.9</v>
      </c>
      <c r="G2261" t="n">
        <v>53</v>
      </c>
      <c r="H2261" s="6">
        <f>ROUND(G2261*F2261,2)</f>
        <v/>
      </c>
      <c r="I2261">
        <f>IF(ROUND(H2261-D2261,2)=0,1,0)</f>
        <v/>
      </c>
      <c r="J2261">
        <f>IF(F2261="","none",IF(G2261=1,"carte","multiple"))</f>
        <v/>
      </c>
    </row>
    <row r="2262">
      <c r="A2262" t="inlineStr">
        <is>
          <t>2022-06-26</t>
        </is>
      </c>
      <c r="B2262" t="inlineStr">
        <is>
          <t>20:05</t>
        </is>
      </c>
      <c r="C2262" t="n">
        <v>2992</v>
      </c>
      <c r="D2262" s="6" t="n">
        <v>7.8</v>
      </c>
      <c r="E2262" t="n">
        <v>39110</v>
      </c>
      <c r="F2262" s="6" t="n">
        <v>7.8</v>
      </c>
      <c r="G2262" t="n">
        <v>1</v>
      </c>
      <c r="H2262" s="6">
        <f>ROUND(G2262*F2262,2)</f>
        <v/>
      </c>
      <c r="I2262">
        <f>IF(ROUND(H2262-D2262,2)=0,1,0)</f>
        <v/>
      </c>
      <c r="J2262">
        <f>IF(F2262="","none",IF(G2262=1,"carte","multiple"))</f>
        <v/>
      </c>
    </row>
    <row r="2263">
      <c r="A2263" t="inlineStr">
        <is>
          <t>2022-06-26</t>
        </is>
      </c>
      <c r="B2263" t="inlineStr">
        <is>
          <t>20:05</t>
        </is>
      </c>
      <c r="C2263" t="n">
        <v>2992</v>
      </c>
      <c r="D2263" s="6" t="n">
        <v>3.9</v>
      </c>
      <c r="E2263" t="n">
        <v>39111</v>
      </c>
      <c r="F2263" s="6" t="n">
        <v>3.9</v>
      </c>
      <c r="G2263" t="n">
        <v>1</v>
      </c>
      <c r="H2263" s="6">
        <f>ROUND(G2263*F2263,2)</f>
        <v/>
      </c>
      <c r="I2263">
        <f>IF(ROUND(H2263-D2263,2)=0,1,0)</f>
        <v/>
      </c>
      <c r="J2263">
        <f>IF(F2263="","none",IF(G2263=1,"carte","multiple"))</f>
        <v/>
      </c>
    </row>
    <row r="2264">
      <c r="A2264" t="inlineStr">
        <is>
          <t>2022-06-26</t>
        </is>
      </c>
      <c r="B2264" t="inlineStr">
        <is>
          <t>20:05</t>
        </is>
      </c>
      <c r="C2264" t="n">
        <v>2992</v>
      </c>
      <c r="D2264" s="6" t="n">
        <v>4.2</v>
      </c>
      <c r="E2264" t="n">
        <v>39112</v>
      </c>
      <c r="F2264" s="6" t="n">
        <v>4.2</v>
      </c>
      <c r="G2264" t="n">
        <v>1</v>
      </c>
      <c r="H2264" s="6">
        <f>ROUND(G2264*F2264,2)</f>
        <v/>
      </c>
      <c r="I2264">
        <f>IF(ROUND(H2264-D2264,2)=0,1,0)</f>
        <v/>
      </c>
      <c r="J2264">
        <f>IF(F2264="","none",IF(G2264=1,"carte","multiple"))</f>
        <v/>
      </c>
    </row>
    <row r="2265">
      <c r="A2265" t="inlineStr">
        <is>
          <t>2022-06-26</t>
        </is>
      </c>
      <c r="B2265" t="inlineStr">
        <is>
          <t>20:05</t>
        </is>
      </c>
      <c r="C2265" t="n">
        <v>2992</v>
      </c>
      <c r="D2265" s="6" t="n">
        <v>11.4</v>
      </c>
      <c r="E2265" t="n">
        <v>39113</v>
      </c>
      <c r="F2265" s="6" t="n">
        <v>11.4</v>
      </c>
      <c r="G2265" t="n">
        <v>1</v>
      </c>
      <c r="H2265" s="6">
        <f>ROUND(G2265*F2265,2)</f>
        <v/>
      </c>
      <c r="I2265">
        <f>IF(ROUND(H2265-D2265,2)=0,1,0)</f>
        <v/>
      </c>
      <c r="J2265">
        <f>IF(F2265="","none",IF(G2265=1,"carte","multiple"))</f>
        <v/>
      </c>
    </row>
    <row r="2266">
      <c r="A2266" t="inlineStr">
        <is>
          <t>2022-06-29</t>
        </is>
      </c>
      <c r="B2266" t="inlineStr">
        <is>
          <t>11:06</t>
        </is>
      </c>
      <c r="C2266" t="n">
        <v>2993</v>
      </c>
      <c r="D2266" s="6" t="n">
        <v>28.6</v>
      </c>
      <c r="E2266" t="n">
        <v>39116</v>
      </c>
      <c r="F2266" s="6" t="n">
        <v>28.6</v>
      </c>
      <c r="G2266" t="n">
        <v>1</v>
      </c>
      <c r="H2266" s="6">
        <f>ROUND(G2266*F2266,2)</f>
        <v/>
      </c>
      <c r="I2266">
        <f>IF(ROUND(H2266-D2266,2)=0,1,0)</f>
        <v/>
      </c>
      <c r="J2266">
        <f>IF(F2266="","none",IF(G2266=1,"carte","multiple"))</f>
        <v/>
      </c>
    </row>
    <row r="2267">
      <c r="A2267" t="inlineStr">
        <is>
          <t>2022-06-29</t>
        </is>
      </c>
      <c r="B2267" t="inlineStr">
        <is>
          <t>11:42</t>
        </is>
      </c>
      <c r="C2267" t="n">
        <v>2993</v>
      </c>
      <c r="D2267" s="6" t="n">
        <v>32</v>
      </c>
      <c r="E2267" t="n">
        <v>39117</v>
      </c>
      <c r="F2267" s="6" t="n">
        <v>32</v>
      </c>
      <c r="G2267" t="n">
        <v>1</v>
      </c>
      <c r="H2267" s="6">
        <f>ROUND(G2267*F2267,2)</f>
        <v/>
      </c>
      <c r="I2267">
        <f>IF(ROUND(H2267-D2267,2)=0,1,0)</f>
        <v/>
      </c>
      <c r="J2267">
        <f>IF(F2267="","none",IF(G2267=1,"carte","multiple"))</f>
        <v/>
      </c>
    </row>
    <row r="2268">
      <c r="A2268" t="inlineStr">
        <is>
          <t>2022-06-29</t>
        </is>
      </c>
      <c r="B2268" t="inlineStr">
        <is>
          <t>11:42</t>
        </is>
      </c>
      <c r="C2268" t="n">
        <v>2993</v>
      </c>
      <c r="D2268" s="6" t="n">
        <v>23</v>
      </c>
      <c r="E2268" t="n">
        <v>39118</v>
      </c>
      <c r="F2268" s="6" t="n">
        <v>23</v>
      </c>
      <c r="G2268" t="n">
        <v>1</v>
      </c>
      <c r="H2268" s="6">
        <f>ROUND(G2268*F2268,2)</f>
        <v/>
      </c>
      <c r="I2268">
        <f>IF(ROUND(H2268-D2268,2)=0,1,0)</f>
        <v/>
      </c>
      <c r="J2268">
        <f>IF(F2268="","none",IF(G2268=1,"carte","multiple"))</f>
        <v/>
      </c>
    </row>
    <row r="2269">
      <c r="A2269" t="inlineStr">
        <is>
          <t>2022-06-29</t>
        </is>
      </c>
      <c r="B2269" t="inlineStr">
        <is>
          <t>11:42</t>
        </is>
      </c>
      <c r="C2269" t="n">
        <v>2993</v>
      </c>
      <c r="D2269" s="6" t="n">
        <v>4</v>
      </c>
      <c r="E2269" t="n">
        <v>39119</v>
      </c>
      <c r="F2269" s="6" t="n">
        <v>4</v>
      </c>
      <c r="G2269" t="n">
        <v>1</v>
      </c>
      <c r="H2269" s="6">
        <f>ROUND(G2269*F2269,2)</f>
        <v/>
      </c>
      <c r="I2269">
        <f>IF(ROUND(H2269-D2269,2)=0,1,0)</f>
        <v/>
      </c>
      <c r="J2269">
        <f>IF(F2269="","none",IF(G2269=1,"carte","multiple"))</f>
        <v/>
      </c>
    </row>
    <row r="2270">
      <c r="A2270" t="inlineStr">
        <is>
          <t>2022-06-29</t>
        </is>
      </c>
      <c r="B2270" t="inlineStr">
        <is>
          <t>11:42</t>
        </is>
      </c>
      <c r="C2270" t="n">
        <v>2993</v>
      </c>
      <c r="D2270" s="6" t="n">
        <v>14.4</v>
      </c>
      <c r="E2270" t="n">
        <v>39120</v>
      </c>
      <c r="F2270" s="6" t="n">
        <v>0.4</v>
      </c>
      <c r="G2270" t="n">
        <v>36</v>
      </c>
      <c r="H2270" s="6">
        <f>ROUND(G2270*F2270,2)</f>
        <v/>
      </c>
      <c r="I2270">
        <f>IF(ROUND(H2270-D2270,2)=0,1,0)</f>
        <v/>
      </c>
      <c r="J2270">
        <f>IF(F2270="","none",IF(G2270=1,"carte","multiple"))</f>
        <v/>
      </c>
    </row>
    <row r="2271">
      <c r="A2271" t="inlineStr">
        <is>
          <t>2022-06-29</t>
        </is>
      </c>
      <c r="B2271" t="inlineStr">
        <is>
          <t>11:42</t>
        </is>
      </c>
      <c r="C2271" t="n">
        <v>2993</v>
      </c>
      <c r="D2271" s="6" t="n">
        <v>3.9</v>
      </c>
      <c r="E2271" t="n">
        <v>39121</v>
      </c>
      <c r="F2271" s="6" t="n">
        <v>3.9</v>
      </c>
      <c r="G2271" t="n">
        <v>1</v>
      </c>
      <c r="H2271" s="6">
        <f>ROUND(G2271*F2271,2)</f>
        <v/>
      </c>
      <c r="I2271">
        <f>IF(ROUND(H2271-D2271,2)=0,1,0)</f>
        <v/>
      </c>
      <c r="J2271">
        <f>IF(F2271="","none",IF(G2271=1,"carte","multiple"))</f>
        <v/>
      </c>
    </row>
    <row r="2272">
      <c r="A2272" t="inlineStr">
        <is>
          <t>2022-06-29</t>
        </is>
      </c>
      <c r="B2272" t="inlineStr">
        <is>
          <t>11:56</t>
        </is>
      </c>
      <c r="C2272" t="n">
        <v>2993</v>
      </c>
      <c r="D2272" s="6" t="n">
        <v>2.2</v>
      </c>
      <c r="E2272" t="n">
        <v>39122</v>
      </c>
      <c r="F2272" s="6" t="n">
        <v>2.2</v>
      </c>
      <c r="G2272" t="n">
        <v>1</v>
      </c>
      <c r="H2272" s="6">
        <f>ROUND(G2272*F2272,2)</f>
        <v/>
      </c>
      <c r="I2272">
        <f>IF(ROUND(H2272-D2272,2)=0,1,0)</f>
        <v/>
      </c>
      <c r="J2272">
        <f>IF(F2272="","none",IF(G2272=1,"carte","multiple"))</f>
        <v/>
      </c>
    </row>
    <row r="2273">
      <c r="A2273" t="inlineStr">
        <is>
          <t>2022-06-29</t>
        </is>
      </c>
      <c r="B2273" t="inlineStr">
        <is>
          <t>11:56</t>
        </is>
      </c>
      <c r="C2273" t="n">
        <v>2993</v>
      </c>
      <c r="D2273" s="6" t="n">
        <v>3.9</v>
      </c>
      <c r="E2273" t="n">
        <v>39123</v>
      </c>
      <c r="F2273" s="6" t="n">
        <v>3.9</v>
      </c>
      <c r="G2273" t="n">
        <v>1</v>
      </c>
      <c r="H2273" s="6">
        <f>ROUND(G2273*F2273,2)</f>
        <v/>
      </c>
      <c r="I2273">
        <f>IF(ROUND(H2273-D2273,2)=0,1,0)</f>
        <v/>
      </c>
      <c r="J2273">
        <f>IF(F2273="","none",IF(G2273=1,"carte","multiple"))</f>
        <v/>
      </c>
    </row>
    <row r="2274">
      <c r="A2274" t="inlineStr">
        <is>
          <t>2022-06-29</t>
        </is>
      </c>
      <c r="B2274" t="inlineStr">
        <is>
          <t>11:56</t>
        </is>
      </c>
      <c r="C2274" t="n">
        <v>2993</v>
      </c>
      <c r="D2274" s="6" t="n">
        <v>2</v>
      </c>
      <c r="E2274" t="n">
        <v>39124</v>
      </c>
      <c r="F2274" s="6" t="n">
        <v>2</v>
      </c>
      <c r="G2274" t="n">
        <v>1</v>
      </c>
      <c r="H2274" s="6">
        <f>ROUND(G2274*F2274,2)</f>
        <v/>
      </c>
      <c r="I2274">
        <f>IF(ROUND(H2274-D2274,2)=0,1,0)</f>
        <v/>
      </c>
      <c r="J2274">
        <f>IF(F2274="","none",IF(G2274=1,"carte","multiple"))</f>
        <v/>
      </c>
    </row>
    <row r="2275">
      <c r="A2275" t="inlineStr">
        <is>
          <t>2022-06-29</t>
        </is>
      </c>
      <c r="B2275" t="inlineStr">
        <is>
          <t>11:56</t>
        </is>
      </c>
      <c r="C2275" t="n">
        <v>2993</v>
      </c>
      <c r="D2275" s="6" t="n">
        <v>2.9</v>
      </c>
      <c r="E2275" t="n">
        <v>39125</v>
      </c>
      <c r="F2275" s="6" t="n">
        <v>2.9</v>
      </c>
      <c r="G2275" t="n">
        <v>1</v>
      </c>
      <c r="H2275" s="6">
        <f>ROUND(G2275*F2275,2)</f>
        <v/>
      </c>
      <c r="I2275">
        <f>IF(ROUND(H2275-D2275,2)=0,1,0)</f>
        <v/>
      </c>
      <c r="J2275">
        <f>IF(F2275="","none",IF(G2275=1,"carte","multiple"))</f>
        <v/>
      </c>
    </row>
    <row r="2276">
      <c r="A2276" t="inlineStr">
        <is>
          <t>2022-06-29</t>
        </is>
      </c>
      <c r="B2276" t="inlineStr">
        <is>
          <t>11:56</t>
        </is>
      </c>
      <c r="C2276" t="n">
        <v>2993</v>
      </c>
      <c r="D2276" s="6" t="n">
        <v>14.4</v>
      </c>
      <c r="E2276" t="n">
        <v>39126</v>
      </c>
      <c r="F2276" s="6" t="n">
        <v>0.4</v>
      </c>
      <c r="G2276" t="n">
        <v>36</v>
      </c>
      <c r="H2276" s="6">
        <f>ROUND(G2276*F2276,2)</f>
        <v/>
      </c>
      <c r="I2276">
        <f>IF(ROUND(H2276-D2276,2)=0,1,0)</f>
        <v/>
      </c>
      <c r="J2276">
        <f>IF(F2276="","none",IF(G2276=1,"carte","multiple"))</f>
        <v/>
      </c>
    </row>
    <row r="2277">
      <c r="A2277" t="inlineStr">
        <is>
          <t>2022-06-29</t>
        </is>
      </c>
      <c r="B2277" t="inlineStr">
        <is>
          <t>11:56</t>
        </is>
      </c>
      <c r="C2277" t="n">
        <v>2993</v>
      </c>
      <c r="D2277" s="6" t="n">
        <v>17.6</v>
      </c>
      <c r="E2277" t="n">
        <v>39127</v>
      </c>
      <c r="F2277" s="6" t="n">
        <v>17.6</v>
      </c>
      <c r="G2277" t="n">
        <v>1</v>
      </c>
      <c r="H2277" s="6">
        <f>ROUND(G2277*F2277,2)</f>
        <v/>
      </c>
      <c r="I2277">
        <f>IF(ROUND(H2277-D2277,2)=0,1,0)</f>
        <v/>
      </c>
      <c r="J2277">
        <f>IF(F2277="","none",IF(G2277=1,"carte","multiple"))</f>
        <v/>
      </c>
    </row>
    <row r="2278">
      <c r="A2278" t="inlineStr">
        <is>
          <t>2022-06-29</t>
        </is>
      </c>
      <c r="B2278" t="inlineStr">
        <is>
          <t>11:56</t>
        </is>
      </c>
      <c r="C2278" t="n">
        <v>2993</v>
      </c>
      <c r="D2278" s="6" t="n">
        <v>17.6</v>
      </c>
      <c r="E2278" t="n">
        <v>39128</v>
      </c>
      <c r="F2278" s="6" t="n">
        <v>17.6</v>
      </c>
      <c r="G2278" t="n">
        <v>1</v>
      </c>
      <c r="H2278" s="6">
        <f>ROUND(G2278*F2278,2)</f>
        <v/>
      </c>
      <c r="I2278">
        <f>IF(ROUND(H2278-D2278,2)=0,1,0)</f>
        <v/>
      </c>
      <c r="J2278">
        <f>IF(F2278="","none",IF(G2278=1,"carte","multiple"))</f>
        <v/>
      </c>
    </row>
    <row r="2279">
      <c r="A2279" t="inlineStr">
        <is>
          <t>2022-06-29</t>
        </is>
      </c>
      <c r="B2279" t="inlineStr">
        <is>
          <t>11:56</t>
        </is>
      </c>
      <c r="C2279" t="n">
        <v>2993</v>
      </c>
      <c r="D2279" s="6" t="n">
        <v>3.9</v>
      </c>
      <c r="E2279" t="n">
        <v>39129</v>
      </c>
      <c r="F2279" s="6" t="n">
        <v>3.9</v>
      </c>
      <c r="G2279" t="n">
        <v>1</v>
      </c>
      <c r="H2279" s="6">
        <f>ROUND(G2279*F2279,2)</f>
        <v/>
      </c>
      <c r="I2279">
        <f>IF(ROUND(H2279-D2279,2)=0,1,0)</f>
        <v/>
      </c>
      <c r="J2279">
        <f>IF(F2279="","none",IF(G2279=1,"carte","multiple"))</f>
        <v/>
      </c>
    </row>
    <row r="2280">
      <c r="A2280" t="inlineStr">
        <is>
          <t>2022-06-29</t>
        </is>
      </c>
      <c r="B2280" t="inlineStr">
        <is>
          <t>11:56</t>
        </is>
      </c>
      <c r="C2280" t="n">
        <v>2993</v>
      </c>
      <c r="D2280" s="6" t="n">
        <v>4.2</v>
      </c>
      <c r="E2280" t="n">
        <v>39130</v>
      </c>
      <c r="F2280" s="6" t="n">
        <v>4.2</v>
      </c>
      <c r="G2280" t="n">
        <v>1</v>
      </c>
      <c r="H2280" s="6">
        <f>ROUND(G2280*F2280,2)</f>
        <v/>
      </c>
      <c r="I2280">
        <f>IF(ROUND(H2280-D2280,2)=0,1,0)</f>
        <v/>
      </c>
      <c r="J2280">
        <f>IF(F2280="","none",IF(G2280=1,"carte","multiple"))</f>
        <v/>
      </c>
    </row>
    <row r="2281">
      <c r="A2281" t="inlineStr">
        <is>
          <t>2022-06-29</t>
        </is>
      </c>
      <c r="B2281" t="inlineStr">
        <is>
          <t>12:14</t>
        </is>
      </c>
      <c r="C2281" t="n">
        <v>2993</v>
      </c>
      <c r="D2281" s="6" t="n">
        <v>4.4</v>
      </c>
      <c r="E2281" t="n">
        <v>39131</v>
      </c>
      <c r="F2281" s="6" t="n">
        <v>0.4</v>
      </c>
      <c r="G2281" t="n">
        <v>11</v>
      </c>
      <c r="H2281" s="6">
        <f>ROUND(G2281*F2281,2)</f>
        <v/>
      </c>
      <c r="I2281">
        <f>IF(ROUND(H2281-D2281,2)=0,1,0)</f>
        <v/>
      </c>
      <c r="J2281">
        <f>IF(F2281="","none",IF(G2281=1,"carte","multiple"))</f>
        <v/>
      </c>
    </row>
    <row r="2282">
      <c r="A2282" t="inlineStr">
        <is>
          <t>2022-06-29</t>
        </is>
      </c>
      <c r="B2282" t="inlineStr">
        <is>
          <t>12:14</t>
        </is>
      </c>
      <c r="C2282" t="n">
        <v>2993</v>
      </c>
      <c r="D2282" s="6" t="n">
        <v>38</v>
      </c>
      <c r="E2282" t="n">
        <v>39132</v>
      </c>
      <c r="F2282" s="6" t="n">
        <v>0.4</v>
      </c>
      <c r="G2282" t="n">
        <v>95</v>
      </c>
      <c r="H2282" s="6">
        <f>ROUND(G2282*F2282,2)</f>
        <v/>
      </c>
      <c r="I2282">
        <f>IF(ROUND(H2282-D2282,2)=0,1,0)</f>
        <v/>
      </c>
      <c r="J2282">
        <f>IF(F2282="","none",IF(G2282=1,"carte","multiple"))</f>
        <v/>
      </c>
    </row>
    <row r="2283">
      <c r="A2283" t="inlineStr">
        <is>
          <t>2022-06-29</t>
        </is>
      </c>
      <c r="B2283" t="inlineStr">
        <is>
          <t>12:14</t>
        </is>
      </c>
      <c r="C2283" t="n">
        <v>2993</v>
      </c>
      <c r="D2283" s="6" t="n">
        <v>15.9</v>
      </c>
      <c r="E2283" t="n">
        <v>39133</v>
      </c>
      <c r="F2283" s="6" t="n">
        <v>15.9</v>
      </c>
      <c r="G2283" t="n">
        <v>1</v>
      </c>
      <c r="H2283" s="6">
        <f>ROUND(G2283*F2283,2)</f>
        <v/>
      </c>
      <c r="I2283">
        <f>IF(ROUND(H2283-D2283,2)=0,1,0)</f>
        <v/>
      </c>
      <c r="J2283">
        <f>IF(F2283="","none",IF(G2283=1,"carte","multiple"))</f>
        <v/>
      </c>
    </row>
    <row r="2284">
      <c r="A2284" t="inlineStr">
        <is>
          <t>2022-06-29</t>
        </is>
      </c>
      <c r="B2284" t="inlineStr">
        <is>
          <t>12:14</t>
        </is>
      </c>
      <c r="C2284" t="n">
        <v>2993</v>
      </c>
      <c r="D2284" s="6" t="n">
        <v>9.9</v>
      </c>
      <c r="E2284" t="n">
        <v>39134</v>
      </c>
      <c r="F2284" s="6" t="n">
        <v>9.9</v>
      </c>
      <c r="G2284" t="n">
        <v>1</v>
      </c>
      <c r="H2284" s="6">
        <f>ROUND(G2284*F2284,2)</f>
        <v/>
      </c>
      <c r="I2284">
        <f>IF(ROUND(H2284-D2284,2)=0,1,0)</f>
        <v/>
      </c>
      <c r="J2284">
        <f>IF(F2284="","none",IF(G2284=1,"carte","multiple"))</f>
        <v/>
      </c>
    </row>
    <row r="2285">
      <c r="A2285" t="inlineStr">
        <is>
          <t>2022-06-29</t>
        </is>
      </c>
      <c r="B2285" t="inlineStr">
        <is>
          <t>12:14</t>
        </is>
      </c>
      <c r="C2285" t="n">
        <v>2993</v>
      </c>
      <c r="D2285" s="6" t="n">
        <v>7.8</v>
      </c>
      <c r="E2285" t="n">
        <v>39135</v>
      </c>
      <c r="F2285" s="6" t="n">
        <v>7.8</v>
      </c>
      <c r="G2285" t="n">
        <v>1</v>
      </c>
      <c r="H2285" s="6">
        <f>ROUND(G2285*F2285,2)</f>
        <v/>
      </c>
      <c r="I2285">
        <f>IF(ROUND(H2285-D2285,2)=0,1,0)</f>
        <v/>
      </c>
      <c r="J2285">
        <f>IF(F2285="","none",IF(G2285=1,"carte","multiple"))</f>
        <v/>
      </c>
    </row>
    <row r="2286">
      <c r="A2286" t="inlineStr">
        <is>
          <t>2022-06-29</t>
        </is>
      </c>
      <c r="B2286" t="inlineStr">
        <is>
          <t>12:14</t>
        </is>
      </c>
      <c r="C2286" t="n">
        <v>2993</v>
      </c>
      <c r="D2286" s="6" t="n">
        <v>7</v>
      </c>
      <c r="E2286" t="n">
        <v>39136</v>
      </c>
      <c r="F2286" s="6" t="n">
        <v>7</v>
      </c>
      <c r="G2286" t="n">
        <v>1</v>
      </c>
      <c r="H2286" s="6">
        <f>ROUND(G2286*F2286,2)</f>
        <v/>
      </c>
      <c r="I2286">
        <f>IF(ROUND(H2286-D2286,2)=0,1,0)</f>
        <v/>
      </c>
      <c r="J2286">
        <f>IF(F2286="","none",IF(G2286=1,"carte","multiple"))</f>
        <v/>
      </c>
    </row>
    <row r="2287">
      <c r="A2287" t="inlineStr">
        <is>
          <t>2022-06-29</t>
        </is>
      </c>
      <c r="B2287" t="inlineStr">
        <is>
          <t>12:14</t>
        </is>
      </c>
      <c r="C2287" t="n">
        <v>2993</v>
      </c>
      <c r="D2287" s="6" t="n">
        <v>7.9</v>
      </c>
      <c r="E2287" t="n">
        <v>39137</v>
      </c>
      <c r="F2287" s="6" t="n">
        <v>7.9</v>
      </c>
      <c r="G2287" t="n">
        <v>1</v>
      </c>
      <c r="H2287" s="6">
        <f>ROUND(G2287*F2287,2)</f>
        <v/>
      </c>
      <c r="I2287">
        <f>IF(ROUND(H2287-D2287,2)=0,1,0)</f>
        <v/>
      </c>
      <c r="J2287">
        <f>IF(F2287="","none",IF(G2287=1,"carte","multiple"))</f>
        <v/>
      </c>
    </row>
    <row r="2288">
      <c r="A2288" t="inlineStr">
        <is>
          <t>2022-06-29</t>
        </is>
      </c>
      <c r="B2288" t="inlineStr">
        <is>
          <t>12:39</t>
        </is>
      </c>
      <c r="C2288" t="n">
        <v>2993</v>
      </c>
      <c r="D2288" s="6" t="n">
        <v>3.9</v>
      </c>
      <c r="E2288" t="n">
        <v>39138</v>
      </c>
      <c r="F2288" s="6" t="n">
        <v>3.9</v>
      </c>
      <c r="G2288" t="n">
        <v>1</v>
      </c>
      <c r="H2288" s="6">
        <f>ROUND(G2288*F2288,2)</f>
        <v/>
      </c>
      <c r="I2288">
        <f>IF(ROUND(H2288-D2288,2)=0,1,0)</f>
        <v/>
      </c>
      <c r="J2288">
        <f>IF(F2288="","none",IF(G2288=1,"carte","multiple"))</f>
        <v/>
      </c>
    </row>
    <row r="2289">
      <c r="A2289" t="inlineStr">
        <is>
          <t>2022-06-29</t>
        </is>
      </c>
      <c r="B2289" t="inlineStr">
        <is>
          <t>12:39</t>
        </is>
      </c>
      <c r="C2289" t="n">
        <v>2993</v>
      </c>
      <c r="D2289" s="6" t="n">
        <v>3.9</v>
      </c>
      <c r="E2289" t="n">
        <v>39139</v>
      </c>
      <c r="F2289" s="6" t="n">
        <v>3.9</v>
      </c>
      <c r="G2289" t="n">
        <v>1</v>
      </c>
      <c r="H2289" s="6">
        <f>ROUND(G2289*F2289,2)</f>
        <v/>
      </c>
      <c r="I2289">
        <f>IF(ROUND(H2289-D2289,2)=0,1,0)</f>
        <v/>
      </c>
      <c r="J2289">
        <f>IF(F2289="","none",IF(G2289=1,"carte","multiple"))</f>
        <v/>
      </c>
    </row>
    <row r="2290">
      <c r="A2290" t="inlineStr">
        <is>
          <t>2022-06-29</t>
        </is>
      </c>
      <c r="B2290" t="inlineStr">
        <is>
          <t>12:39</t>
        </is>
      </c>
      <c r="C2290" t="n">
        <v>2993</v>
      </c>
      <c r="D2290" s="6" t="n">
        <v>4</v>
      </c>
      <c r="E2290" t="n">
        <v>39140</v>
      </c>
      <c r="F2290" s="6" t="n">
        <v>4</v>
      </c>
      <c r="G2290" t="n">
        <v>1</v>
      </c>
      <c r="H2290" s="6">
        <f>ROUND(G2290*F2290,2)</f>
        <v/>
      </c>
      <c r="I2290">
        <f>IF(ROUND(H2290-D2290,2)=0,1,0)</f>
        <v/>
      </c>
      <c r="J2290">
        <f>IF(F2290="","none",IF(G2290=1,"carte","multiple"))</f>
        <v/>
      </c>
    </row>
    <row r="2291">
      <c r="A2291" t="inlineStr">
        <is>
          <t>2022-06-29</t>
        </is>
      </c>
      <c r="B2291" t="inlineStr">
        <is>
          <t>12:39</t>
        </is>
      </c>
      <c r="C2291" t="n">
        <v>2993</v>
      </c>
      <c r="D2291" s="6" t="n">
        <v>7.8</v>
      </c>
      <c r="E2291" t="n">
        <v>39141</v>
      </c>
      <c r="F2291" s="6" t="n">
        <v>7.8</v>
      </c>
      <c r="G2291" t="n">
        <v>1</v>
      </c>
      <c r="H2291" s="6">
        <f>ROUND(G2291*F2291,2)</f>
        <v/>
      </c>
      <c r="I2291">
        <f>IF(ROUND(H2291-D2291,2)=0,1,0)</f>
        <v/>
      </c>
      <c r="J2291">
        <f>IF(F2291="","none",IF(G2291=1,"carte","multiple"))</f>
        <v/>
      </c>
    </row>
    <row r="2292">
      <c r="A2292" t="inlineStr">
        <is>
          <t>2022-06-29</t>
        </is>
      </c>
      <c r="B2292" t="inlineStr">
        <is>
          <t>12:39</t>
        </is>
      </c>
      <c r="C2292" t="n">
        <v>2993</v>
      </c>
      <c r="D2292" s="6" t="n">
        <v>57</v>
      </c>
      <c r="E2292" t="n">
        <v>39142</v>
      </c>
      <c r="F2292" s="6" t="n">
        <v>0.5</v>
      </c>
      <c r="G2292" t="n">
        <v>114</v>
      </c>
      <c r="H2292" s="6">
        <f>ROUND(G2292*F2292,2)</f>
        <v/>
      </c>
      <c r="I2292">
        <f>IF(ROUND(H2292-D2292,2)=0,1,0)</f>
        <v/>
      </c>
      <c r="J2292">
        <f>IF(F2292="","none",IF(G2292=1,"carte","multiple"))</f>
        <v/>
      </c>
    </row>
    <row r="2293">
      <c r="A2293" t="inlineStr">
        <is>
          <t>2022-06-29</t>
        </is>
      </c>
      <c r="B2293" t="inlineStr">
        <is>
          <t>12:39</t>
        </is>
      </c>
      <c r="C2293" t="n">
        <v>2993</v>
      </c>
      <c r="D2293" s="6" t="n">
        <v>17.6</v>
      </c>
      <c r="E2293" t="n">
        <v>39143</v>
      </c>
      <c r="F2293" s="6" t="n">
        <v>17.6</v>
      </c>
      <c r="G2293" t="n">
        <v>1</v>
      </c>
      <c r="H2293" s="6">
        <f>ROUND(G2293*F2293,2)</f>
        <v/>
      </c>
      <c r="I2293">
        <f>IF(ROUND(H2293-D2293,2)=0,1,0)</f>
        <v/>
      </c>
      <c r="J2293">
        <f>IF(F2293="","none",IF(G2293=1,"carte","multiple"))</f>
        <v/>
      </c>
    </row>
    <row r="2294">
      <c r="A2294" t="inlineStr">
        <is>
          <t>2022-06-29</t>
        </is>
      </c>
      <c r="B2294" t="inlineStr">
        <is>
          <t>12:39</t>
        </is>
      </c>
      <c r="C2294" t="n">
        <v>2993</v>
      </c>
      <c r="D2294" s="6" t="n">
        <v>2.2</v>
      </c>
      <c r="E2294" t="n">
        <v>39144</v>
      </c>
      <c r="F2294" s="6" t="n">
        <v>2.2</v>
      </c>
      <c r="G2294" t="n">
        <v>1</v>
      </c>
      <c r="H2294" s="6">
        <f>ROUND(G2294*F2294,2)</f>
        <v/>
      </c>
      <c r="I2294">
        <f>IF(ROUND(H2294-D2294,2)=0,1,0)</f>
        <v/>
      </c>
      <c r="J2294">
        <f>IF(F2294="","none",IF(G2294=1,"carte","multiple"))</f>
        <v/>
      </c>
    </row>
    <row r="2295">
      <c r="A2295" t="inlineStr">
        <is>
          <t>2022-06-29</t>
        </is>
      </c>
      <c r="B2295" t="inlineStr">
        <is>
          <t>12:39</t>
        </is>
      </c>
      <c r="C2295" t="n">
        <v>2993</v>
      </c>
      <c r="D2295" s="6" t="n">
        <v>10.5</v>
      </c>
      <c r="E2295" t="n">
        <v>39145</v>
      </c>
      <c r="F2295" s="6" t="n">
        <v>10.5</v>
      </c>
      <c r="G2295" t="n">
        <v>1</v>
      </c>
      <c r="H2295" s="6">
        <f>ROUND(G2295*F2295,2)</f>
        <v/>
      </c>
      <c r="I2295">
        <f>IF(ROUND(H2295-D2295,2)=0,1,0)</f>
        <v/>
      </c>
      <c r="J2295">
        <f>IF(F2295="","none",IF(G2295=1,"carte","multiple"))</f>
        <v/>
      </c>
    </row>
    <row r="2296">
      <c r="A2296" t="inlineStr">
        <is>
          <t>2022-06-29</t>
        </is>
      </c>
      <c r="B2296" t="inlineStr">
        <is>
          <t>12:39</t>
        </is>
      </c>
      <c r="C2296" t="n">
        <v>2993</v>
      </c>
      <c r="D2296" s="6" t="n">
        <v>5.8</v>
      </c>
      <c r="E2296" t="n">
        <v>39146</v>
      </c>
      <c r="F2296" s="6" t="n">
        <v>5.8</v>
      </c>
      <c r="G2296" t="n">
        <v>1</v>
      </c>
      <c r="H2296" s="6">
        <f>ROUND(G2296*F2296,2)</f>
        <v/>
      </c>
      <c r="I2296">
        <f>IF(ROUND(H2296-D2296,2)=0,1,0)</f>
        <v/>
      </c>
      <c r="J2296">
        <f>IF(F2296="","none",IF(G2296=1,"carte","multiple"))</f>
        <v/>
      </c>
    </row>
    <row r="2297">
      <c r="A2297" t="inlineStr">
        <is>
          <t>2022-06-29</t>
        </is>
      </c>
      <c r="B2297" t="inlineStr">
        <is>
          <t>12:39</t>
        </is>
      </c>
      <c r="C2297" t="n">
        <v>2993</v>
      </c>
      <c r="D2297" s="6" t="n">
        <v>2</v>
      </c>
      <c r="E2297" t="n">
        <v>39147</v>
      </c>
      <c r="F2297" s="6" t="n">
        <v>2</v>
      </c>
      <c r="G2297" t="n">
        <v>1</v>
      </c>
      <c r="H2297" s="6">
        <f>ROUND(G2297*F2297,2)</f>
        <v/>
      </c>
      <c r="I2297">
        <f>IF(ROUND(H2297-D2297,2)=0,1,0)</f>
        <v/>
      </c>
      <c r="J2297">
        <f>IF(F2297="","none",IF(G2297=1,"carte","multiple"))</f>
        <v/>
      </c>
    </row>
    <row r="2298">
      <c r="A2298" t="inlineStr">
        <is>
          <t>2022-06-29</t>
        </is>
      </c>
      <c r="B2298" t="inlineStr">
        <is>
          <t>18:12</t>
        </is>
      </c>
      <c r="C2298" t="n">
        <v>2993</v>
      </c>
      <c r="D2298" s="6" t="n">
        <v>17.6</v>
      </c>
      <c r="E2298" t="n">
        <v>39148</v>
      </c>
      <c r="F2298" s="6" t="n">
        <v>17.6</v>
      </c>
      <c r="G2298" t="n">
        <v>1</v>
      </c>
      <c r="H2298" s="6">
        <f>ROUND(G2298*F2298,2)</f>
        <v/>
      </c>
      <c r="I2298">
        <f>IF(ROUND(H2298-D2298,2)=0,1,0)</f>
        <v/>
      </c>
      <c r="J2298">
        <f>IF(F2298="","none",IF(G2298=1,"carte","multiple"))</f>
        <v/>
      </c>
    </row>
    <row r="2299">
      <c r="A2299" t="inlineStr">
        <is>
          <t>2022-06-29</t>
        </is>
      </c>
      <c r="B2299" t="inlineStr">
        <is>
          <t>18:30</t>
        </is>
      </c>
      <c r="C2299" t="n">
        <v>2993</v>
      </c>
      <c r="D2299" s="6" t="n">
        <v>59.5</v>
      </c>
      <c r="E2299" t="n">
        <v>39149</v>
      </c>
      <c r="F2299" s="6" t="n">
        <v>0.5</v>
      </c>
      <c r="G2299" t="n">
        <v>119</v>
      </c>
      <c r="H2299" s="6">
        <f>ROUND(G2299*F2299,2)</f>
        <v/>
      </c>
      <c r="I2299">
        <f>IF(ROUND(H2299-D2299,2)=0,1,0)</f>
        <v/>
      </c>
      <c r="J2299">
        <f>IF(F2299="","none",IF(G2299=1,"carte","multiple"))</f>
        <v/>
      </c>
    </row>
    <row r="2300">
      <c r="A2300" t="inlineStr">
        <is>
          <t>2022-06-29</t>
        </is>
      </c>
      <c r="B2300" t="inlineStr">
        <is>
          <t>18:33</t>
        </is>
      </c>
      <c r="C2300" t="n">
        <v>2993</v>
      </c>
      <c r="D2300" s="6" t="n">
        <v>16.9</v>
      </c>
      <c r="E2300" t="n">
        <v>39150</v>
      </c>
      <c r="F2300" s="6" t="n">
        <v>16.9</v>
      </c>
      <c r="G2300" t="n">
        <v>1</v>
      </c>
      <c r="H2300" s="6">
        <f>ROUND(G2300*F2300,2)</f>
        <v/>
      </c>
      <c r="I2300">
        <f>IF(ROUND(H2300-D2300,2)=0,1,0)</f>
        <v/>
      </c>
      <c r="J2300">
        <f>IF(F2300="","none",IF(G2300=1,"carte","multiple"))</f>
        <v/>
      </c>
    </row>
    <row r="2301">
      <c r="A2301" t="inlineStr">
        <is>
          <t>2022-06-29</t>
        </is>
      </c>
      <c r="B2301" t="inlineStr">
        <is>
          <t>18:33</t>
        </is>
      </c>
      <c r="C2301" t="n">
        <v>2993</v>
      </c>
      <c r="D2301" s="6" t="n">
        <v>17.6</v>
      </c>
      <c r="E2301" t="n">
        <v>39151</v>
      </c>
      <c r="F2301" s="6" t="n">
        <v>17.6</v>
      </c>
      <c r="G2301" t="n">
        <v>1</v>
      </c>
      <c r="H2301" s="6">
        <f>ROUND(G2301*F2301,2)</f>
        <v/>
      </c>
      <c r="I2301">
        <f>IF(ROUND(H2301-D2301,2)=0,1,0)</f>
        <v/>
      </c>
      <c r="J2301">
        <f>IF(F2301="","none",IF(G2301=1,"carte","multiple"))</f>
        <v/>
      </c>
    </row>
    <row r="2302">
      <c r="A2302" t="inlineStr">
        <is>
          <t>2022-06-29</t>
        </is>
      </c>
      <c r="B2302" t="inlineStr">
        <is>
          <t>19:10</t>
        </is>
      </c>
      <c r="C2302" t="n">
        <v>2993</v>
      </c>
      <c r="D2302" s="6" t="n">
        <v>36</v>
      </c>
      <c r="E2302" t="n">
        <v>39152</v>
      </c>
      <c r="F2302" s="6" t="n">
        <v>36</v>
      </c>
      <c r="G2302" t="n">
        <v>1</v>
      </c>
      <c r="H2302" s="6">
        <f>ROUND(G2302*F2302,2)</f>
        <v/>
      </c>
      <c r="I2302">
        <f>IF(ROUND(H2302-D2302,2)=0,1,0)</f>
        <v/>
      </c>
      <c r="J2302">
        <f>IF(F2302="","none",IF(G2302=1,"carte","multiple"))</f>
        <v/>
      </c>
    </row>
    <row r="2303">
      <c r="A2303" t="inlineStr">
        <is>
          <t>2022-06-29</t>
        </is>
      </c>
      <c r="B2303" t="inlineStr">
        <is>
          <t>19:46</t>
        </is>
      </c>
      <c r="C2303" t="n">
        <v>2993</v>
      </c>
      <c r="D2303" s="6" t="n">
        <v>9</v>
      </c>
      <c r="E2303" t="n">
        <v>39153</v>
      </c>
      <c r="F2303" s="6" t="n">
        <v>9</v>
      </c>
      <c r="G2303" t="n">
        <v>1</v>
      </c>
      <c r="H2303" s="6">
        <f>ROUND(G2303*F2303,2)</f>
        <v/>
      </c>
      <c r="I2303">
        <f>IF(ROUND(H2303-D2303,2)=0,1,0)</f>
        <v/>
      </c>
      <c r="J2303">
        <f>IF(F2303="","none",IF(G2303=1,"carte","multiple"))</f>
        <v/>
      </c>
    </row>
    <row r="2304">
      <c r="A2304" t="inlineStr">
        <is>
          <t>2022-06-29</t>
        </is>
      </c>
      <c r="B2304" t="inlineStr">
        <is>
          <t>19:50</t>
        </is>
      </c>
      <c r="C2304" t="n">
        <v>2993</v>
      </c>
      <c r="D2304" s="6" t="n">
        <v>64</v>
      </c>
      <c r="E2304" t="n">
        <v>39154</v>
      </c>
      <c r="F2304" s="6" t="n">
        <v>64</v>
      </c>
      <c r="G2304" t="n">
        <v>1</v>
      </c>
      <c r="H2304" s="6">
        <f>ROUND(G2304*F2304,2)</f>
        <v/>
      </c>
      <c r="I2304">
        <f>IF(ROUND(H2304-D2304,2)=0,1,0)</f>
        <v/>
      </c>
      <c r="J2304">
        <f>IF(F2304="","none",IF(G2304=1,"carte","multiple"))</f>
        <v/>
      </c>
    </row>
    <row r="2305">
      <c r="A2305" t="inlineStr">
        <is>
          <t>2022-06-29</t>
        </is>
      </c>
      <c r="B2305" t="inlineStr">
        <is>
          <t>19:54</t>
        </is>
      </c>
      <c r="C2305" t="n">
        <v>2993</v>
      </c>
      <c r="D2305" s="6" t="n">
        <v>4.4</v>
      </c>
      <c r="E2305" t="n">
        <v>39155</v>
      </c>
      <c r="F2305" s="6" t="n">
        <v>0.4</v>
      </c>
      <c r="G2305" t="n">
        <v>11</v>
      </c>
      <c r="H2305" s="6">
        <f>ROUND(G2305*F2305,2)</f>
        <v/>
      </c>
      <c r="I2305">
        <f>IF(ROUND(H2305-D2305,2)=0,1,0)</f>
        <v/>
      </c>
      <c r="J2305">
        <f>IF(F2305="","none",IF(G2305=1,"carte","multiple"))</f>
        <v/>
      </c>
    </row>
    <row r="2306">
      <c r="A2306" t="inlineStr">
        <is>
          <t>2022-06-29</t>
        </is>
      </c>
      <c r="B2306" t="inlineStr">
        <is>
          <t>19:54</t>
        </is>
      </c>
      <c r="C2306" t="n">
        <v>2993</v>
      </c>
      <c r="D2306" s="6" t="n">
        <v>7.2</v>
      </c>
      <c r="E2306" t="n">
        <v>39156</v>
      </c>
      <c r="F2306" s="6" t="n">
        <v>7.2</v>
      </c>
      <c r="G2306" t="n">
        <v>1</v>
      </c>
      <c r="H2306" s="6">
        <f>ROUND(G2306*F2306,2)</f>
        <v/>
      </c>
      <c r="I2306">
        <f>IF(ROUND(H2306-D2306,2)=0,1,0)</f>
        <v/>
      </c>
      <c r="J2306">
        <f>IF(F2306="","none",IF(G2306=1,"carte","multiple"))</f>
        <v/>
      </c>
    </row>
    <row r="2307">
      <c r="A2307" t="inlineStr">
        <is>
          <t>2022-06-29</t>
        </is>
      </c>
      <c r="B2307" t="inlineStr">
        <is>
          <t>19:54</t>
        </is>
      </c>
      <c r="C2307" t="n">
        <v>2993</v>
      </c>
      <c r="D2307" s="6" t="n">
        <v>29.9</v>
      </c>
      <c r="E2307" t="n">
        <v>39157</v>
      </c>
      <c r="F2307" s="6" t="n">
        <v>29.9</v>
      </c>
      <c r="G2307" t="n">
        <v>1</v>
      </c>
      <c r="H2307" s="6">
        <f>ROUND(G2307*F2307,2)</f>
        <v/>
      </c>
      <c r="I2307">
        <f>IF(ROUND(H2307-D2307,2)=0,1,0)</f>
        <v/>
      </c>
      <c r="J2307">
        <f>IF(F2307="","none",IF(G2307=1,"carte","multiple"))</f>
        <v/>
      </c>
    </row>
    <row r="2308">
      <c r="A2308" t="inlineStr">
        <is>
          <t>2022-06-29</t>
        </is>
      </c>
      <c r="B2308" t="inlineStr">
        <is>
          <t>19:54</t>
        </is>
      </c>
      <c r="C2308" t="n">
        <v>2993</v>
      </c>
      <c r="D2308" s="6" t="n">
        <v>64</v>
      </c>
      <c r="E2308" t="n">
        <v>39158</v>
      </c>
      <c r="F2308" s="6" t="n">
        <v>64</v>
      </c>
      <c r="G2308" t="n">
        <v>1</v>
      </c>
      <c r="H2308" s="6">
        <f>ROUND(G2308*F2308,2)</f>
        <v/>
      </c>
      <c r="I2308">
        <f>IF(ROUND(H2308-D2308,2)=0,1,0)</f>
        <v/>
      </c>
      <c r="J2308">
        <f>IF(F2308="","none",IF(G2308=1,"carte","multiple"))</f>
        <v/>
      </c>
    </row>
    <row r="2309">
      <c r="A2309" t="inlineStr">
        <is>
          <t>2022-06-30</t>
        </is>
      </c>
      <c r="B2309" t="inlineStr">
        <is>
          <t>11:09</t>
        </is>
      </c>
      <c r="C2309" t="n">
        <v>2994</v>
      </c>
      <c r="D2309" s="6" t="n">
        <v>9</v>
      </c>
      <c r="E2309" t="n">
        <v>39161</v>
      </c>
      <c r="F2309" s="6" t="n">
        <v>9</v>
      </c>
      <c r="G2309" t="n">
        <v>1</v>
      </c>
      <c r="H2309" s="6">
        <f>ROUND(G2309*F2309,2)</f>
        <v/>
      </c>
      <c r="I2309">
        <f>IF(ROUND(H2309-D2309,2)=0,1,0)</f>
        <v/>
      </c>
      <c r="J2309">
        <f>IF(F2309="","none",IF(G2309=1,"carte","multiple"))</f>
        <v/>
      </c>
    </row>
    <row r="2310">
      <c r="A2310" t="inlineStr">
        <is>
          <t>2022-06-30</t>
        </is>
      </c>
      <c r="B2310" t="inlineStr">
        <is>
          <t>11:09</t>
        </is>
      </c>
      <c r="C2310" t="n">
        <v>2994</v>
      </c>
      <c r="D2310" s="6" t="n">
        <v>7.2</v>
      </c>
      <c r="E2310" t="n">
        <v>39162</v>
      </c>
      <c r="F2310" s="6" t="n">
        <v>7.2</v>
      </c>
      <c r="G2310" t="n">
        <v>1</v>
      </c>
      <c r="H2310" s="6">
        <f>ROUND(G2310*F2310,2)</f>
        <v/>
      </c>
      <c r="I2310">
        <f>IF(ROUND(H2310-D2310,2)=0,1,0)</f>
        <v/>
      </c>
      <c r="J2310">
        <f>IF(F2310="","none",IF(G2310=1,"carte","multiple"))</f>
        <v/>
      </c>
    </row>
    <row r="2311">
      <c r="A2311" t="inlineStr">
        <is>
          <t>2022-06-30</t>
        </is>
      </c>
      <c r="B2311" t="inlineStr">
        <is>
          <t>11:09</t>
        </is>
      </c>
      <c r="C2311" t="n">
        <v>2994</v>
      </c>
      <c r="D2311" s="6" t="n">
        <v>17.6</v>
      </c>
      <c r="E2311" t="n">
        <v>39163</v>
      </c>
      <c r="F2311" s="6" t="n">
        <v>17.6</v>
      </c>
      <c r="G2311" t="n">
        <v>1</v>
      </c>
      <c r="H2311" s="6">
        <f>ROUND(G2311*F2311,2)</f>
        <v/>
      </c>
      <c r="I2311">
        <f>IF(ROUND(H2311-D2311,2)=0,1,0)</f>
        <v/>
      </c>
      <c r="J2311">
        <f>IF(F2311="","none",IF(G2311=1,"carte","multiple"))</f>
        <v/>
      </c>
    </row>
    <row r="2312">
      <c r="A2312" t="inlineStr">
        <is>
          <t>2022-06-30</t>
        </is>
      </c>
      <c r="B2312" t="inlineStr">
        <is>
          <t>11:09</t>
        </is>
      </c>
      <c r="C2312" t="n">
        <v>2994</v>
      </c>
      <c r="D2312" s="6" t="n">
        <v>8.9</v>
      </c>
      <c r="E2312" t="n">
        <v>39164</v>
      </c>
      <c r="F2312" s="6" t="n">
        <v>8.9</v>
      </c>
      <c r="G2312" t="n">
        <v>1</v>
      </c>
      <c r="H2312" s="6">
        <f>ROUND(G2312*F2312,2)</f>
        <v/>
      </c>
      <c r="I2312">
        <f>IF(ROUND(H2312-D2312,2)=0,1,0)</f>
        <v/>
      </c>
      <c r="J2312">
        <f>IF(F2312="","none",IF(G2312=1,"carte","multiple"))</f>
        <v/>
      </c>
    </row>
    <row r="2313">
      <c r="A2313" t="inlineStr">
        <is>
          <t>2022-06-30</t>
        </is>
      </c>
      <c r="B2313" t="inlineStr">
        <is>
          <t>12:38</t>
        </is>
      </c>
      <c r="C2313" t="n">
        <v>2994</v>
      </c>
      <c r="D2313" s="6" t="n">
        <v>64</v>
      </c>
      <c r="E2313" t="n">
        <v>39165</v>
      </c>
      <c r="F2313" s="6" t="n">
        <v>64</v>
      </c>
      <c r="G2313" t="n">
        <v>1</v>
      </c>
      <c r="H2313" s="6">
        <f>ROUND(G2313*F2313,2)</f>
        <v/>
      </c>
      <c r="I2313">
        <f>IF(ROUND(H2313-D2313,2)=0,1,0)</f>
        <v/>
      </c>
      <c r="J2313">
        <f>IF(F2313="","none",IF(G2313=1,"carte","multiple"))</f>
        <v/>
      </c>
    </row>
    <row r="2314">
      <c r="A2314" t="inlineStr">
        <is>
          <t>2022-06-30</t>
        </is>
      </c>
      <c r="B2314" t="inlineStr">
        <is>
          <t>12:38</t>
        </is>
      </c>
      <c r="C2314" t="n">
        <v>2994</v>
      </c>
      <c r="D2314" s="6" t="n">
        <v>14.4</v>
      </c>
      <c r="E2314" t="n">
        <v>39166</v>
      </c>
      <c r="F2314" s="6" t="n">
        <v>0.4</v>
      </c>
      <c r="G2314" t="n">
        <v>36</v>
      </c>
      <c r="H2314" s="6">
        <f>ROUND(G2314*F2314,2)</f>
        <v/>
      </c>
      <c r="I2314">
        <f>IF(ROUND(H2314-D2314,2)=0,1,0)</f>
        <v/>
      </c>
      <c r="J2314">
        <f>IF(F2314="","none",IF(G2314=1,"carte","multiple"))</f>
        <v/>
      </c>
    </row>
    <row r="2315">
      <c r="A2315" t="inlineStr">
        <is>
          <t>2022-06-30</t>
        </is>
      </c>
      <c r="B2315" t="inlineStr">
        <is>
          <t>18:33</t>
        </is>
      </c>
      <c r="C2315" t="n">
        <v>2994</v>
      </c>
      <c r="D2315" s="6" t="n">
        <v>29.9</v>
      </c>
      <c r="E2315" t="n">
        <v>39168</v>
      </c>
      <c r="F2315" s="6" t="n">
        <v>29.9</v>
      </c>
      <c r="G2315" t="n">
        <v>1</v>
      </c>
      <c r="H2315" s="6">
        <f>ROUND(G2315*F2315,2)</f>
        <v/>
      </c>
      <c r="I2315">
        <f>IF(ROUND(H2315-D2315,2)=0,1,0)</f>
        <v/>
      </c>
      <c r="J2315">
        <f>IF(F2315="","none",IF(G2315=1,"carte","multiple"))</f>
        <v/>
      </c>
    </row>
    <row r="2316">
      <c r="A2316" t="inlineStr">
        <is>
          <t>2022-06-30</t>
        </is>
      </c>
      <c r="B2316" t="inlineStr">
        <is>
          <t>18:42</t>
        </is>
      </c>
      <c r="C2316" t="n">
        <v>2994</v>
      </c>
      <c r="D2316" s="6" t="n">
        <v>3.9</v>
      </c>
      <c r="E2316" t="n">
        <v>39169</v>
      </c>
      <c r="F2316" s="6" t="n">
        <v>3.9</v>
      </c>
      <c r="G2316" t="n">
        <v>1</v>
      </c>
      <c r="H2316" s="6">
        <f>ROUND(G2316*F2316,2)</f>
        <v/>
      </c>
      <c r="I2316">
        <f>IF(ROUND(H2316-D2316,2)=0,1,0)</f>
        <v/>
      </c>
      <c r="J2316">
        <f>IF(F2316="","none",IF(G2316=1,"carte","multiple"))</f>
        <v/>
      </c>
    </row>
    <row r="2317">
      <c r="A2317" t="inlineStr">
        <is>
          <t>2022-06-30</t>
        </is>
      </c>
      <c r="B2317" t="inlineStr">
        <is>
          <t>18:42</t>
        </is>
      </c>
      <c r="C2317" t="n">
        <v>2994</v>
      </c>
      <c r="D2317" s="6" t="n">
        <v>4</v>
      </c>
      <c r="E2317" t="n">
        <v>39170</v>
      </c>
      <c r="F2317" s="6" t="n">
        <v>4</v>
      </c>
      <c r="G2317" t="n">
        <v>1</v>
      </c>
      <c r="H2317" s="6">
        <f>ROUND(G2317*F2317,2)</f>
        <v/>
      </c>
      <c r="I2317">
        <f>IF(ROUND(H2317-D2317,2)=0,1,0)</f>
        <v/>
      </c>
      <c r="J2317">
        <f>IF(F2317="","none",IF(G2317=1,"carte","multiple"))</f>
        <v/>
      </c>
    </row>
    <row r="2318">
      <c r="A2318" t="inlineStr">
        <is>
          <t>2022-06-30</t>
        </is>
      </c>
      <c r="B2318" t="inlineStr">
        <is>
          <t>18:42</t>
        </is>
      </c>
      <c r="C2318" t="n">
        <v>2994</v>
      </c>
      <c r="D2318" s="6" t="n">
        <v>16.8</v>
      </c>
      <c r="E2318" t="n">
        <v>39171</v>
      </c>
      <c r="F2318" s="6" t="n">
        <v>16.8</v>
      </c>
      <c r="G2318" t="n">
        <v>1</v>
      </c>
      <c r="H2318" s="6">
        <f>ROUND(G2318*F2318,2)</f>
        <v/>
      </c>
      <c r="I2318">
        <f>IF(ROUND(H2318-D2318,2)=0,1,0)</f>
        <v/>
      </c>
      <c r="J2318">
        <f>IF(F2318="","none",IF(G2318=1,"carte","multiple"))</f>
        <v/>
      </c>
    </row>
    <row r="2319">
      <c r="A2319" t="inlineStr">
        <is>
          <t>2022-06-30</t>
        </is>
      </c>
      <c r="B2319" t="inlineStr">
        <is>
          <t>18:42</t>
        </is>
      </c>
      <c r="C2319" t="n">
        <v>2994</v>
      </c>
      <c r="D2319" s="6" t="n">
        <v>17.6</v>
      </c>
      <c r="E2319" t="n">
        <v>39172</v>
      </c>
      <c r="F2319" s="6" t="n">
        <v>17.6</v>
      </c>
      <c r="G2319" t="n">
        <v>1</v>
      </c>
      <c r="H2319" s="6">
        <f>ROUND(G2319*F2319,2)</f>
        <v/>
      </c>
      <c r="I2319">
        <f>IF(ROUND(H2319-D2319,2)=0,1,0)</f>
        <v/>
      </c>
      <c r="J2319">
        <f>IF(F2319="","none",IF(G2319=1,"carte","multiple"))</f>
        <v/>
      </c>
    </row>
    <row r="2320">
      <c r="A2320" t="inlineStr">
        <is>
          <t>2022-06-30</t>
        </is>
      </c>
      <c r="B2320" t="inlineStr">
        <is>
          <t>18:42</t>
        </is>
      </c>
      <c r="C2320" t="n">
        <v>2994</v>
      </c>
      <c r="D2320" s="6" t="n">
        <v>9.9</v>
      </c>
      <c r="E2320" t="n">
        <v>39173</v>
      </c>
      <c r="F2320" s="6" t="n">
        <v>9.9</v>
      </c>
      <c r="G2320" t="n">
        <v>1</v>
      </c>
      <c r="H2320" s="6">
        <f>ROUND(G2320*F2320,2)</f>
        <v/>
      </c>
      <c r="I2320">
        <f>IF(ROUND(H2320-D2320,2)=0,1,0)</f>
        <v/>
      </c>
      <c r="J2320">
        <f>IF(F2320="","none",IF(G2320=1,"carte","multiple"))</f>
        <v/>
      </c>
    </row>
    <row r="2321">
      <c r="A2321" t="inlineStr">
        <is>
          <t>2022-06-30</t>
        </is>
      </c>
      <c r="B2321" t="inlineStr">
        <is>
          <t>18:42</t>
        </is>
      </c>
      <c r="C2321" t="n">
        <v>2994</v>
      </c>
      <c r="D2321" s="6" t="n">
        <v>3.9</v>
      </c>
      <c r="E2321" t="n">
        <v>39174</v>
      </c>
      <c r="F2321" s="6" t="n">
        <v>3.9</v>
      </c>
      <c r="G2321" t="n">
        <v>1</v>
      </c>
      <c r="H2321" s="6">
        <f>ROUND(G2321*F2321,2)</f>
        <v/>
      </c>
      <c r="I2321">
        <f>IF(ROUND(H2321-D2321,2)=0,1,0)</f>
        <v/>
      </c>
      <c r="J2321">
        <f>IF(F2321="","none",IF(G2321=1,"carte","multiple"))</f>
        <v/>
      </c>
    </row>
    <row r="2322">
      <c r="A2322" t="inlineStr">
        <is>
          <t>2022-06-30</t>
        </is>
      </c>
      <c r="B2322" t="inlineStr">
        <is>
          <t>18:42</t>
        </is>
      </c>
      <c r="C2322" t="n">
        <v>2994</v>
      </c>
      <c r="D2322" s="6" t="n">
        <v>3.9</v>
      </c>
      <c r="E2322" t="n">
        <v>39175</v>
      </c>
      <c r="F2322" s="6" t="n">
        <v>3.9</v>
      </c>
      <c r="G2322" t="n">
        <v>1</v>
      </c>
      <c r="H2322" s="6">
        <f>ROUND(G2322*F2322,2)</f>
        <v/>
      </c>
      <c r="I2322">
        <f>IF(ROUND(H2322-D2322,2)=0,1,0)</f>
        <v/>
      </c>
      <c r="J2322">
        <f>IF(F2322="","none",IF(G2322=1,"carte","multiple"))</f>
        <v/>
      </c>
    </row>
    <row r="2323">
      <c r="A2323" t="inlineStr">
        <is>
          <t>2022-06-30</t>
        </is>
      </c>
      <c r="B2323" t="inlineStr">
        <is>
          <t>18:42</t>
        </is>
      </c>
      <c r="C2323" t="n">
        <v>2994</v>
      </c>
      <c r="D2323" s="6" t="n">
        <v>5.2</v>
      </c>
      <c r="E2323" t="n">
        <v>39176</v>
      </c>
      <c r="F2323" s="6" t="n">
        <v>5.2</v>
      </c>
      <c r="G2323" t="n">
        <v>1</v>
      </c>
      <c r="H2323" s="6">
        <f>ROUND(G2323*F2323,2)</f>
        <v/>
      </c>
      <c r="I2323">
        <f>IF(ROUND(H2323-D2323,2)=0,1,0)</f>
        <v/>
      </c>
      <c r="J2323">
        <f>IF(F2323="","none",IF(G2323=1,"carte","multiple"))</f>
        <v/>
      </c>
    </row>
    <row r="2324">
      <c r="A2324" t="inlineStr">
        <is>
          <t>2022-06-30</t>
        </is>
      </c>
      <c r="B2324" t="inlineStr">
        <is>
          <t>19:34</t>
        </is>
      </c>
      <c r="C2324" t="n">
        <v>2994</v>
      </c>
      <c r="D2324" s="6" t="n">
        <v>17.6</v>
      </c>
      <c r="E2324" t="n">
        <v>39177</v>
      </c>
      <c r="F2324" s="6" t="n">
        <v>17.6</v>
      </c>
      <c r="G2324" t="n">
        <v>1</v>
      </c>
      <c r="H2324" s="6">
        <f>ROUND(G2324*F2324,2)</f>
        <v/>
      </c>
      <c r="I2324">
        <f>IF(ROUND(H2324-D2324,2)=0,1,0)</f>
        <v/>
      </c>
      <c r="J2324">
        <f>IF(F2324="","none",IF(G2324=1,"carte","multiple"))</f>
        <v/>
      </c>
    </row>
    <row r="2325">
      <c r="A2325" t="inlineStr">
        <is>
          <t>2022-06-30</t>
        </is>
      </c>
      <c r="B2325" t="inlineStr">
        <is>
          <t>19:34</t>
        </is>
      </c>
      <c r="C2325" t="n">
        <v>2994</v>
      </c>
      <c r="D2325" s="6" t="n">
        <v>19.9</v>
      </c>
      <c r="E2325" t="n">
        <v>39178</v>
      </c>
      <c r="F2325" s="6" t="n">
        <v>19.9</v>
      </c>
      <c r="G2325" t="n">
        <v>1</v>
      </c>
      <c r="H2325" s="6">
        <f>ROUND(G2325*F2325,2)</f>
        <v/>
      </c>
      <c r="I2325">
        <f>IF(ROUND(H2325-D2325,2)=0,1,0)</f>
        <v/>
      </c>
      <c r="J2325">
        <f>IF(F2325="","none",IF(G2325=1,"carte","multiple"))</f>
        <v/>
      </c>
    </row>
    <row r="2326">
      <c r="A2326" t="inlineStr">
        <is>
          <t>2022-06-30</t>
        </is>
      </c>
      <c r="B2326" t="inlineStr">
        <is>
          <t>19:34</t>
        </is>
      </c>
      <c r="C2326" t="n">
        <v>2994</v>
      </c>
      <c r="D2326" s="6" t="n">
        <v>5.9</v>
      </c>
      <c r="E2326" t="n">
        <v>39179</v>
      </c>
      <c r="F2326" s="6" t="n">
        <v>5.9</v>
      </c>
      <c r="G2326" t="n">
        <v>1</v>
      </c>
      <c r="H2326" s="6">
        <f>ROUND(G2326*F2326,2)</f>
        <v/>
      </c>
      <c r="I2326">
        <f>IF(ROUND(H2326-D2326,2)=0,1,0)</f>
        <v/>
      </c>
      <c r="J2326">
        <f>IF(F2326="","none",IF(G2326=1,"carte","multiple"))</f>
        <v/>
      </c>
    </row>
    <row r="2327">
      <c r="A2327" t="inlineStr">
        <is>
          <t>2022-06-30</t>
        </is>
      </c>
      <c r="B2327" t="inlineStr">
        <is>
          <t>19:34</t>
        </is>
      </c>
      <c r="C2327" t="n">
        <v>2994</v>
      </c>
      <c r="D2327" s="6" t="n">
        <v>9.800000000000001</v>
      </c>
      <c r="E2327" t="n">
        <v>39180</v>
      </c>
      <c r="F2327" s="6" t="n">
        <v>9.800000000000001</v>
      </c>
      <c r="G2327" t="n">
        <v>1</v>
      </c>
      <c r="H2327" s="6">
        <f>ROUND(G2327*F2327,2)</f>
        <v/>
      </c>
      <c r="I2327">
        <f>IF(ROUND(H2327-D2327,2)=0,1,0)</f>
        <v/>
      </c>
      <c r="J2327">
        <f>IF(F2327="","none",IF(G2327=1,"carte","multiple"))</f>
        <v/>
      </c>
    </row>
    <row r="2328">
      <c r="A2328" t="inlineStr">
        <is>
          <t>2022-06-30</t>
        </is>
      </c>
      <c r="B2328" t="inlineStr">
        <is>
          <t>19:34</t>
        </is>
      </c>
      <c r="C2328" t="n">
        <v>2994</v>
      </c>
      <c r="D2328" s="6" t="n">
        <v>3.8</v>
      </c>
      <c r="E2328" t="n">
        <v>39181</v>
      </c>
      <c r="F2328" s="6" t="n">
        <v>3.8</v>
      </c>
      <c r="G2328" t="n">
        <v>1</v>
      </c>
      <c r="H2328" s="6">
        <f>ROUND(G2328*F2328,2)</f>
        <v/>
      </c>
      <c r="I2328">
        <f>IF(ROUND(H2328-D2328,2)=0,1,0)</f>
        <v/>
      </c>
      <c r="J2328">
        <f>IF(F2328="","none",IF(G2328=1,"carte","multiple"))</f>
        <v/>
      </c>
    </row>
    <row r="2329">
      <c r="A2329" t="inlineStr">
        <is>
          <t>2022-06-30</t>
        </is>
      </c>
      <c r="B2329" t="inlineStr">
        <is>
          <t>19:54</t>
        </is>
      </c>
      <c r="C2329" t="n">
        <v>2994</v>
      </c>
      <c r="D2329" s="6" t="n">
        <v>5.2</v>
      </c>
      <c r="E2329" t="n">
        <v>39182</v>
      </c>
      <c r="F2329" s="6" t="n">
        <v>5.2</v>
      </c>
      <c r="G2329" t="n">
        <v>1</v>
      </c>
      <c r="H2329" s="6">
        <f>ROUND(G2329*F2329,2)</f>
        <v/>
      </c>
      <c r="I2329">
        <f>IF(ROUND(H2329-D2329,2)=0,1,0)</f>
        <v/>
      </c>
      <c r="J2329">
        <f>IF(F2329="","none",IF(G2329=1,"carte","multiple"))</f>
        <v/>
      </c>
    </row>
    <row r="2330">
      <c r="A2330" t="inlineStr">
        <is>
          <t>2022-06-30</t>
        </is>
      </c>
      <c r="B2330" t="inlineStr">
        <is>
          <t>19:54</t>
        </is>
      </c>
      <c r="C2330" t="n">
        <v>2994</v>
      </c>
      <c r="D2330" s="6" t="n">
        <v>8.4</v>
      </c>
      <c r="E2330" t="n">
        <v>39183</v>
      </c>
      <c r="F2330" s="6" t="n">
        <v>8.4</v>
      </c>
      <c r="G2330" t="n">
        <v>1</v>
      </c>
      <c r="H2330" s="6">
        <f>ROUND(G2330*F2330,2)</f>
        <v/>
      </c>
      <c r="I2330">
        <f>IF(ROUND(H2330-D2330,2)=0,1,0)</f>
        <v/>
      </c>
      <c r="J2330">
        <f>IF(F2330="","none",IF(G2330=1,"carte","multiple"))</f>
        <v/>
      </c>
    </row>
    <row r="2331">
      <c r="A2331" t="inlineStr">
        <is>
          <t>2022-06-30</t>
        </is>
      </c>
      <c r="B2331" t="inlineStr">
        <is>
          <t>20:26</t>
        </is>
      </c>
      <c r="C2331" t="n">
        <v>2994</v>
      </c>
      <c r="D2331" s="6" t="n">
        <v>31.8</v>
      </c>
      <c r="E2331" t="n">
        <v>39185</v>
      </c>
      <c r="F2331" s="6" t="n">
        <v>31.8</v>
      </c>
      <c r="G2331" t="n">
        <v>1</v>
      </c>
      <c r="H2331" s="6">
        <f>ROUND(G2331*F2331,2)</f>
        <v/>
      </c>
      <c r="I2331">
        <f>IF(ROUND(H2331-D2331,2)=0,1,0)</f>
        <v/>
      </c>
      <c r="J2331">
        <f>IF(F2331="","none",IF(G2331=1,"carte","multiple"))</f>
        <v/>
      </c>
    </row>
    <row r="2332">
      <c r="A2332" t="inlineStr">
        <is>
          <t>2022-06-30</t>
        </is>
      </c>
      <c r="B2332" t="inlineStr">
        <is>
          <t>20:26</t>
        </is>
      </c>
      <c r="C2332" t="n">
        <v>2994</v>
      </c>
      <c r="D2332" s="6" t="n">
        <v>18</v>
      </c>
      <c r="E2332" t="n">
        <v>39186</v>
      </c>
      <c r="F2332" s="6" t="n">
        <v>18</v>
      </c>
      <c r="G2332" t="n">
        <v>1</v>
      </c>
      <c r="H2332" s="6">
        <f>ROUND(G2332*F2332,2)</f>
        <v/>
      </c>
      <c r="I2332">
        <f>IF(ROUND(H2332-D2332,2)=0,1,0)</f>
        <v/>
      </c>
      <c r="J2332">
        <f>IF(F2332="","none",IF(G2332=1,"carte","multiple"))</f>
        <v/>
      </c>
    </row>
    <row r="2333">
      <c r="A2333" t="inlineStr">
        <is>
          <t>2022-07-01</t>
        </is>
      </c>
      <c r="B2333" t="inlineStr">
        <is>
          <t>11:06</t>
        </is>
      </c>
      <c r="C2333" t="n">
        <v>2995</v>
      </c>
      <c r="D2333" s="6" t="n">
        <v>29.9</v>
      </c>
      <c r="E2333" t="n">
        <v>39189</v>
      </c>
      <c r="F2333" s="6" t="n">
        <v>29.9</v>
      </c>
      <c r="G2333" t="n">
        <v>1</v>
      </c>
      <c r="H2333" s="6">
        <f>ROUND(G2333*F2333,2)</f>
        <v/>
      </c>
      <c r="I2333">
        <f>IF(ROUND(H2333-D2333,2)=0,1,0)</f>
        <v/>
      </c>
      <c r="J2333">
        <f>IF(F2333="","none",IF(G2333=1,"carte","multiple"))</f>
        <v/>
      </c>
    </row>
    <row r="2334">
      <c r="A2334" t="inlineStr">
        <is>
          <t>2022-07-01</t>
        </is>
      </c>
      <c r="B2334" t="inlineStr">
        <is>
          <t>17:45</t>
        </is>
      </c>
      <c r="C2334" t="n">
        <v>2995</v>
      </c>
      <c r="D2334" s="6" t="n">
        <v>7.8</v>
      </c>
      <c r="E2334" t="n">
        <v>39191</v>
      </c>
      <c r="F2334" s="6" t="n">
        <v>7.8</v>
      </c>
      <c r="G2334" t="n">
        <v>1</v>
      </c>
      <c r="H2334" s="6">
        <f>ROUND(G2334*F2334,2)</f>
        <v/>
      </c>
      <c r="I2334">
        <f>IF(ROUND(H2334-D2334,2)=0,1,0)</f>
        <v/>
      </c>
      <c r="J2334">
        <f>IF(F2334="","none",IF(G2334=1,"carte","multiple"))</f>
        <v/>
      </c>
    </row>
    <row r="2335">
      <c r="A2335" t="inlineStr">
        <is>
          <t>2022-07-01</t>
        </is>
      </c>
      <c r="B2335" t="inlineStr">
        <is>
          <t>17:49</t>
        </is>
      </c>
      <c r="C2335" t="n">
        <v>2995</v>
      </c>
      <c r="D2335" s="6" t="n">
        <v>4.2</v>
      </c>
      <c r="E2335" t="n">
        <v>39192</v>
      </c>
      <c r="F2335" s="6" t="n">
        <v>4.2</v>
      </c>
      <c r="G2335" t="n">
        <v>1</v>
      </c>
      <c r="H2335" s="6">
        <f>ROUND(G2335*F2335,2)</f>
        <v/>
      </c>
      <c r="I2335">
        <f>IF(ROUND(H2335-D2335,2)=0,1,0)</f>
        <v/>
      </c>
      <c r="J2335">
        <f>IF(F2335="","none",IF(G2335=1,"carte","multiple"))</f>
        <v/>
      </c>
    </row>
    <row r="2336">
      <c r="A2336" t="inlineStr">
        <is>
          <t>2022-07-01</t>
        </is>
      </c>
      <c r="B2336" t="inlineStr">
        <is>
          <t>17:49</t>
        </is>
      </c>
      <c r="C2336" t="n">
        <v>2995</v>
      </c>
      <c r="D2336" s="6" t="n">
        <v>3.9</v>
      </c>
      <c r="E2336" t="n">
        <v>39193</v>
      </c>
      <c r="F2336" s="6" t="n">
        <v>3.9</v>
      </c>
      <c r="G2336" t="n">
        <v>1</v>
      </c>
      <c r="H2336" s="6">
        <f>ROUND(G2336*F2336,2)</f>
        <v/>
      </c>
      <c r="I2336">
        <f>IF(ROUND(H2336-D2336,2)=0,1,0)</f>
        <v/>
      </c>
      <c r="J2336">
        <f>IF(F2336="","none",IF(G2336=1,"carte","multiple"))</f>
        <v/>
      </c>
    </row>
    <row r="2337">
      <c r="A2337" t="inlineStr">
        <is>
          <t>2022-07-01</t>
        </is>
      </c>
      <c r="B2337" t="inlineStr">
        <is>
          <t>17:50</t>
        </is>
      </c>
      <c r="C2337" t="n">
        <v>2995</v>
      </c>
      <c r="D2337" s="6" t="n">
        <v>7.8</v>
      </c>
      <c r="E2337" t="n">
        <v>39194</v>
      </c>
      <c r="F2337" s="6" t="n">
        <v>7.8</v>
      </c>
      <c r="G2337" t="n">
        <v>1</v>
      </c>
      <c r="H2337" s="6">
        <f>ROUND(G2337*F2337,2)</f>
        <v/>
      </c>
      <c r="I2337">
        <f>IF(ROUND(H2337-D2337,2)=0,1,0)</f>
        <v/>
      </c>
      <c r="J2337">
        <f>IF(F2337="","none",IF(G2337=1,"carte","multiple"))</f>
        <v/>
      </c>
    </row>
    <row r="2338">
      <c r="A2338" t="inlineStr">
        <is>
          <t>2022-07-01</t>
        </is>
      </c>
      <c r="B2338" t="inlineStr">
        <is>
          <t>18:26</t>
        </is>
      </c>
      <c r="C2338" t="n">
        <v>2995</v>
      </c>
      <c r="D2338" s="6" t="n">
        <v>2</v>
      </c>
      <c r="E2338" t="n">
        <v>39195</v>
      </c>
      <c r="F2338" s="6" t="n">
        <v>2</v>
      </c>
      <c r="G2338" t="n">
        <v>1</v>
      </c>
      <c r="H2338" s="6">
        <f>ROUND(G2338*F2338,2)</f>
        <v/>
      </c>
      <c r="I2338">
        <f>IF(ROUND(H2338-D2338,2)=0,1,0)</f>
        <v/>
      </c>
      <c r="J2338">
        <f>IF(F2338="","none",IF(G2338=1,"carte","multiple"))</f>
        <v/>
      </c>
    </row>
    <row r="2339">
      <c r="A2339" t="inlineStr">
        <is>
          <t>2022-07-01</t>
        </is>
      </c>
      <c r="B2339" t="inlineStr">
        <is>
          <t>18:36</t>
        </is>
      </c>
      <c r="C2339" t="n">
        <v>2995</v>
      </c>
      <c r="D2339" s="6" t="n">
        <v>6.9</v>
      </c>
      <c r="E2339" t="n">
        <v>39196</v>
      </c>
      <c r="F2339" s="6" t="n">
        <v>6.9</v>
      </c>
      <c r="G2339" t="n">
        <v>1</v>
      </c>
      <c r="H2339" s="6">
        <f>ROUND(G2339*F2339,2)</f>
        <v/>
      </c>
      <c r="I2339">
        <f>IF(ROUND(H2339-D2339,2)=0,1,0)</f>
        <v/>
      </c>
      <c r="J2339">
        <f>IF(F2339="","none",IF(G2339=1,"carte","multiple"))</f>
        <v/>
      </c>
    </row>
    <row r="2340">
      <c r="A2340" t="inlineStr">
        <is>
          <t>2022-07-01</t>
        </is>
      </c>
      <c r="B2340" t="inlineStr">
        <is>
          <t>18:36</t>
        </is>
      </c>
      <c r="C2340" t="n">
        <v>2995</v>
      </c>
      <c r="D2340" s="6" t="n">
        <v>3.9</v>
      </c>
      <c r="E2340" t="n">
        <v>39197</v>
      </c>
      <c r="F2340" s="6" t="n">
        <v>3.9</v>
      </c>
      <c r="G2340" t="n">
        <v>1</v>
      </c>
      <c r="H2340" s="6">
        <f>ROUND(G2340*F2340,2)</f>
        <v/>
      </c>
      <c r="I2340">
        <f>IF(ROUND(H2340-D2340,2)=0,1,0)</f>
        <v/>
      </c>
      <c r="J2340">
        <f>IF(F2340="","none",IF(G2340=1,"carte","multiple"))</f>
        <v/>
      </c>
    </row>
    <row r="2341">
      <c r="A2341" t="inlineStr">
        <is>
          <t>2022-07-01</t>
        </is>
      </c>
      <c r="B2341" t="inlineStr">
        <is>
          <t>18:36</t>
        </is>
      </c>
      <c r="C2341" t="n">
        <v>2995</v>
      </c>
      <c r="D2341" s="6" t="n">
        <v>5.9</v>
      </c>
      <c r="E2341" t="n">
        <v>39198</v>
      </c>
      <c r="F2341" s="6" t="n">
        <v>5.9</v>
      </c>
      <c r="G2341" t="n">
        <v>1</v>
      </c>
      <c r="H2341" s="6">
        <f>ROUND(G2341*F2341,2)</f>
        <v/>
      </c>
      <c r="I2341">
        <f>IF(ROUND(H2341-D2341,2)=0,1,0)</f>
        <v/>
      </c>
      <c r="J2341">
        <f>IF(F2341="","none",IF(G2341=1,"carte","multiple"))</f>
        <v/>
      </c>
    </row>
    <row r="2342">
      <c r="A2342" t="inlineStr">
        <is>
          <t>2022-07-01</t>
        </is>
      </c>
      <c r="B2342" t="inlineStr">
        <is>
          <t>18:36</t>
        </is>
      </c>
      <c r="C2342" t="n">
        <v>2995</v>
      </c>
      <c r="D2342" s="6" t="n">
        <v>17.6</v>
      </c>
      <c r="E2342" t="n">
        <v>39199</v>
      </c>
      <c r="F2342" s="6" t="n">
        <v>17.6</v>
      </c>
      <c r="G2342" t="n">
        <v>1</v>
      </c>
      <c r="H2342" s="6">
        <f>ROUND(G2342*F2342,2)</f>
        <v/>
      </c>
      <c r="I2342">
        <f>IF(ROUND(H2342-D2342,2)=0,1,0)</f>
        <v/>
      </c>
      <c r="J2342">
        <f>IF(F2342="","none",IF(G2342=1,"carte","multiple"))</f>
        <v/>
      </c>
    </row>
    <row r="2343">
      <c r="A2343" t="inlineStr">
        <is>
          <t>2022-07-01</t>
        </is>
      </c>
      <c r="B2343" t="inlineStr">
        <is>
          <t>18:36</t>
        </is>
      </c>
      <c r="C2343" t="n">
        <v>2995</v>
      </c>
      <c r="D2343" s="6" t="n">
        <v>16.9</v>
      </c>
      <c r="E2343" t="n">
        <v>39200</v>
      </c>
      <c r="F2343" s="6" t="n">
        <v>16.9</v>
      </c>
      <c r="G2343" t="n">
        <v>1</v>
      </c>
      <c r="H2343" s="6">
        <f>ROUND(G2343*F2343,2)</f>
        <v/>
      </c>
      <c r="I2343">
        <f>IF(ROUND(H2343-D2343,2)=0,1,0)</f>
        <v/>
      </c>
      <c r="J2343">
        <f>IF(F2343="","none",IF(G2343=1,"carte","multiple"))</f>
        <v/>
      </c>
    </row>
    <row r="2344">
      <c r="A2344" t="inlineStr">
        <is>
          <t>2022-07-01</t>
        </is>
      </c>
      <c r="B2344" t="inlineStr">
        <is>
          <t>18:36</t>
        </is>
      </c>
      <c r="C2344" t="n">
        <v>2995</v>
      </c>
      <c r="D2344" s="6" t="n">
        <v>7.2</v>
      </c>
      <c r="E2344" t="n">
        <v>39201</v>
      </c>
      <c r="F2344" s="6" t="n">
        <v>7.2</v>
      </c>
      <c r="G2344" t="n">
        <v>1</v>
      </c>
      <c r="H2344" s="6">
        <f>ROUND(G2344*F2344,2)</f>
        <v/>
      </c>
      <c r="I2344">
        <f>IF(ROUND(H2344-D2344,2)=0,1,0)</f>
        <v/>
      </c>
      <c r="J2344">
        <f>IF(F2344="","none",IF(G2344=1,"carte","multiple"))</f>
        <v/>
      </c>
    </row>
    <row r="2345">
      <c r="A2345" t="inlineStr">
        <is>
          <t>2022-07-01</t>
        </is>
      </c>
      <c r="B2345" t="inlineStr">
        <is>
          <t>18:36</t>
        </is>
      </c>
      <c r="C2345" t="n">
        <v>2995</v>
      </c>
      <c r="D2345" s="6" t="n">
        <v>4.9</v>
      </c>
      <c r="E2345" t="n">
        <v>39202</v>
      </c>
      <c r="F2345" s="6" t="n">
        <v>4.9</v>
      </c>
      <c r="G2345" t="n">
        <v>1</v>
      </c>
      <c r="H2345" s="6">
        <f>ROUND(G2345*F2345,2)</f>
        <v/>
      </c>
      <c r="I2345">
        <f>IF(ROUND(H2345-D2345,2)=0,1,0)</f>
        <v/>
      </c>
      <c r="J2345">
        <f>IF(F2345="","none",IF(G2345=1,"carte","multiple"))</f>
        <v/>
      </c>
    </row>
    <row r="2346">
      <c r="A2346" t="inlineStr">
        <is>
          <t>2022-07-01</t>
        </is>
      </c>
      <c r="B2346" t="inlineStr">
        <is>
          <t>18:36</t>
        </is>
      </c>
      <c r="C2346" t="n">
        <v>2995</v>
      </c>
      <c r="D2346" s="6" t="n">
        <v>4.2</v>
      </c>
      <c r="E2346" t="n">
        <v>39203</v>
      </c>
      <c r="F2346" s="6" t="n">
        <v>4.2</v>
      </c>
      <c r="G2346" t="n">
        <v>1</v>
      </c>
      <c r="H2346" s="6">
        <f>ROUND(G2346*F2346,2)</f>
        <v/>
      </c>
      <c r="I2346">
        <f>IF(ROUND(H2346-D2346,2)=0,1,0)</f>
        <v/>
      </c>
      <c r="J2346">
        <f>IF(F2346="","none",IF(G2346=1,"carte","multiple"))</f>
        <v/>
      </c>
    </row>
    <row r="2347">
      <c r="A2347" t="inlineStr">
        <is>
          <t>2022-07-01</t>
        </is>
      </c>
      <c r="B2347" t="inlineStr">
        <is>
          <t>18:56</t>
        </is>
      </c>
      <c r="C2347" t="n">
        <v>2995</v>
      </c>
      <c r="D2347" s="6" t="n">
        <v>17.8</v>
      </c>
      <c r="E2347" t="n">
        <v>39204</v>
      </c>
      <c r="F2347" s="6" t="n">
        <v>8.9</v>
      </c>
      <c r="G2347" t="n">
        <v>2</v>
      </c>
      <c r="H2347" s="6">
        <f>ROUND(G2347*F2347,2)</f>
        <v/>
      </c>
      <c r="I2347">
        <f>IF(ROUND(H2347-D2347,2)=0,1,0)</f>
        <v/>
      </c>
      <c r="J2347">
        <f>IF(F2347="","none",IF(G2347=1,"carte","multiple"))</f>
        <v/>
      </c>
    </row>
    <row r="2348">
      <c r="A2348" t="inlineStr">
        <is>
          <t>2022-07-01</t>
        </is>
      </c>
      <c r="B2348" t="inlineStr">
        <is>
          <t>19:32</t>
        </is>
      </c>
      <c r="C2348" t="n">
        <v>2995</v>
      </c>
      <c r="D2348" s="6" t="n">
        <v>6.9</v>
      </c>
      <c r="E2348" t="n">
        <v>39205</v>
      </c>
      <c r="F2348" s="6" t="n">
        <v>6.9</v>
      </c>
      <c r="G2348" t="n">
        <v>1</v>
      </c>
      <c r="H2348" s="6">
        <f>ROUND(G2348*F2348,2)</f>
        <v/>
      </c>
      <c r="I2348">
        <f>IF(ROUND(H2348-D2348,2)=0,1,0)</f>
        <v/>
      </c>
      <c r="J2348">
        <f>IF(F2348="","none",IF(G2348=1,"carte","multiple"))</f>
        <v/>
      </c>
    </row>
    <row r="2349">
      <c r="A2349" t="inlineStr">
        <is>
          <t>2022-07-01</t>
        </is>
      </c>
      <c r="B2349" t="inlineStr">
        <is>
          <t>19:32</t>
        </is>
      </c>
      <c r="C2349" t="n">
        <v>2995</v>
      </c>
      <c r="D2349" s="6" t="n">
        <v>19</v>
      </c>
      <c r="E2349" t="n">
        <v>39206</v>
      </c>
      <c r="F2349" s="6" t="n">
        <v>19</v>
      </c>
      <c r="G2349" t="n">
        <v>1</v>
      </c>
      <c r="H2349" s="6">
        <f>ROUND(G2349*F2349,2)</f>
        <v/>
      </c>
      <c r="I2349">
        <f>IF(ROUND(H2349-D2349,2)=0,1,0)</f>
        <v/>
      </c>
      <c r="J2349">
        <f>IF(F2349="","none",IF(G2349=1,"carte","multiple"))</f>
        <v/>
      </c>
    </row>
    <row r="2350">
      <c r="A2350" t="inlineStr">
        <is>
          <t>2022-07-01</t>
        </is>
      </c>
      <c r="B2350" t="inlineStr">
        <is>
          <t>19:32</t>
        </is>
      </c>
      <c r="C2350" t="n">
        <v>2995</v>
      </c>
      <c r="D2350" s="6" t="n">
        <v>17.6</v>
      </c>
      <c r="E2350" t="n">
        <v>39207</v>
      </c>
      <c r="F2350" s="6" t="n">
        <v>17.6</v>
      </c>
      <c r="G2350" t="n">
        <v>1</v>
      </c>
      <c r="H2350" s="6">
        <f>ROUND(G2350*F2350,2)</f>
        <v/>
      </c>
      <c r="I2350">
        <f>IF(ROUND(H2350-D2350,2)=0,1,0)</f>
        <v/>
      </c>
      <c r="J2350">
        <f>IF(F2350="","none",IF(G2350=1,"carte","multiple"))</f>
        <v/>
      </c>
    </row>
    <row r="2351">
      <c r="A2351" t="inlineStr">
        <is>
          <t>2022-07-01</t>
        </is>
      </c>
      <c r="B2351" t="inlineStr">
        <is>
          <t>19:32</t>
        </is>
      </c>
      <c r="C2351" t="n">
        <v>2995</v>
      </c>
      <c r="D2351" s="6" t="n">
        <v>6.4</v>
      </c>
      <c r="E2351" t="n">
        <v>39208</v>
      </c>
      <c r="F2351" s="6" t="n">
        <v>6.4</v>
      </c>
      <c r="G2351" t="n">
        <v>1</v>
      </c>
      <c r="H2351" s="6">
        <f>ROUND(G2351*F2351,2)</f>
        <v/>
      </c>
      <c r="I2351">
        <f>IF(ROUND(H2351-D2351,2)=0,1,0)</f>
        <v/>
      </c>
      <c r="J2351">
        <f>IF(F2351="","none",IF(G2351=1,"carte","multiple"))</f>
        <v/>
      </c>
    </row>
    <row r="2352">
      <c r="A2352" t="inlineStr">
        <is>
          <t>2022-07-01</t>
        </is>
      </c>
      <c r="B2352" t="inlineStr">
        <is>
          <t>19:32</t>
        </is>
      </c>
      <c r="C2352" t="n">
        <v>2995</v>
      </c>
      <c r="D2352" s="6" t="n">
        <v>7.2</v>
      </c>
      <c r="E2352" t="n">
        <v>39209</v>
      </c>
      <c r="F2352" s="6" t="n">
        <v>7.2</v>
      </c>
      <c r="G2352" t="n">
        <v>1</v>
      </c>
      <c r="H2352" s="6">
        <f>ROUND(G2352*F2352,2)</f>
        <v/>
      </c>
      <c r="I2352">
        <f>IF(ROUND(H2352-D2352,2)=0,1,0)</f>
        <v/>
      </c>
      <c r="J2352">
        <f>IF(F2352="","none",IF(G2352=1,"carte","multiple"))</f>
        <v/>
      </c>
    </row>
    <row r="2353">
      <c r="A2353" t="inlineStr">
        <is>
          <t>2022-07-01</t>
        </is>
      </c>
      <c r="B2353" t="inlineStr">
        <is>
          <t>21:12</t>
        </is>
      </c>
      <c r="C2353" t="n">
        <v>2995</v>
      </c>
      <c r="D2353" s="6" t="n">
        <v>2.2</v>
      </c>
      <c r="E2353" t="n">
        <v>39210</v>
      </c>
      <c r="F2353" s="6" t="n">
        <v>2.2</v>
      </c>
      <c r="G2353" t="n">
        <v>1</v>
      </c>
      <c r="H2353" s="6">
        <f>ROUND(G2353*F2353,2)</f>
        <v/>
      </c>
      <c r="I2353">
        <f>IF(ROUND(H2353-D2353,2)=0,1,0)</f>
        <v/>
      </c>
      <c r="J2353">
        <f>IF(F2353="","none",IF(G2353=1,"carte","multiple"))</f>
        <v/>
      </c>
    </row>
    <row r="2354">
      <c r="A2354" t="inlineStr">
        <is>
          <t>2022-07-01</t>
        </is>
      </c>
      <c r="B2354" t="inlineStr">
        <is>
          <t>21:13</t>
        </is>
      </c>
      <c r="C2354" t="n">
        <v>2995</v>
      </c>
      <c r="D2354" s="6" t="n">
        <v>3.9</v>
      </c>
      <c r="E2354" t="n">
        <v>39211</v>
      </c>
      <c r="F2354" s="6" t="n">
        <v>3.9</v>
      </c>
      <c r="G2354" t="n">
        <v>1</v>
      </c>
      <c r="H2354" s="6">
        <f>ROUND(G2354*F2354,2)</f>
        <v/>
      </c>
      <c r="I2354">
        <f>IF(ROUND(H2354-D2354,2)=0,1,0)</f>
        <v/>
      </c>
      <c r="J2354">
        <f>IF(F2354="","none",IF(G2354=1,"carte","multiple"))</f>
        <v/>
      </c>
    </row>
    <row r="2355">
      <c r="A2355" t="inlineStr">
        <is>
          <t>2022-07-01</t>
        </is>
      </c>
      <c r="B2355" t="inlineStr">
        <is>
          <t>21:13</t>
        </is>
      </c>
      <c r="C2355" t="n">
        <v>2995</v>
      </c>
      <c r="D2355" s="6" t="n">
        <v>32</v>
      </c>
      <c r="E2355" t="n">
        <v>39212</v>
      </c>
      <c r="F2355" s="6" t="n">
        <v>32</v>
      </c>
      <c r="G2355" t="n">
        <v>1</v>
      </c>
      <c r="H2355" s="6">
        <f>ROUND(G2355*F2355,2)</f>
        <v/>
      </c>
      <c r="I2355">
        <f>IF(ROUND(H2355-D2355,2)=0,1,0)</f>
        <v/>
      </c>
      <c r="J2355">
        <f>IF(F2355="","none",IF(G2355=1,"carte","multiple"))</f>
        <v/>
      </c>
    </row>
    <row r="2356">
      <c r="A2356" t="inlineStr">
        <is>
          <t>2022-07-01</t>
        </is>
      </c>
      <c r="B2356" t="inlineStr">
        <is>
          <t>21:13</t>
        </is>
      </c>
      <c r="C2356" t="n">
        <v>2995</v>
      </c>
      <c r="D2356" s="6" t="n">
        <v>4.9</v>
      </c>
      <c r="E2356" t="n">
        <v>39213</v>
      </c>
      <c r="F2356" s="6" t="n">
        <v>4.9</v>
      </c>
      <c r="G2356" t="n">
        <v>1</v>
      </c>
      <c r="H2356" s="6">
        <f>ROUND(G2356*F2356,2)</f>
        <v/>
      </c>
      <c r="I2356">
        <f>IF(ROUND(H2356-D2356,2)=0,1,0)</f>
        <v/>
      </c>
      <c r="J2356">
        <f>IF(F2356="","none",IF(G2356=1,"carte","multiple"))</f>
        <v/>
      </c>
    </row>
    <row r="2357">
      <c r="A2357" t="inlineStr">
        <is>
          <t>2022-07-02</t>
        </is>
      </c>
      <c r="B2357" t="inlineStr">
        <is>
          <t>10:49</t>
        </is>
      </c>
      <c r="C2357" t="n">
        <v>2996</v>
      </c>
      <c r="D2357" s="6" t="n">
        <v>7.8</v>
      </c>
      <c r="E2357" t="n">
        <v>39216</v>
      </c>
      <c r="F2357" s="6" t="n">
        <v>7.8</v>
      </c>
      <c r="G2357" t="n">
        <v>1</v>
      </c>
      <c r="H2357" s="6">
        <f>ROUND(G2357*F2357,2)</f>
        <v/>
      </c>
      <c r="I2357">
        <f>IF(ROUND(H2357-D2357,2)=0,1,0)</f>
        <v/>
      </c>
      <c r="J2357">
        <f>IF(F2357="","none",IF(G2357=1,"carte","multiple"))</f>
        <v/>
      </c>
    </row>
    <row r="2358">
      <c r="A2358" t="inlineStr">
        <is>
          <t>2022-07-02</t>
        </is>
      </c>
      <c r="B2358" t="inlineStr">
        <is>
          <t>11:00</t>
        </is>
      </c>
      <c r="C2358" t="n">
        <v>2996</v>
      </c>
      <c r="D2358" s="6" t="n">
        <v>19.9</v>
      </c>
      <c r="E2358" t="n">
        <v>39217</v>
      </c>
      <c r="F2358" s="6" t="n">
        <v>19.9</v>
      </c>
      <c r="G2358" t="n">
        <v>1</v>
      </c>
      <c r="H2358" s="6">
        <f>ROUND(G2358*F2358,2)</f>
        <v/>
      </c>
      <c r="I2358">
        <f>IF(ROUND(H2358-D2358,2)=0,1,0)</f>
        <v/>
      </c>
      <c r="J2358">
        <f>IF(F2358="","none",IF(G2358=1,"carte","multiple"))</f>
        <v/>
      </c>
    </row>
    <row r="2359">
      <c r="A2359" t="inlineStr">
        <is>
          <t>2022-07-02</t>
        </is>
      </c>
      <c r="B2359" t="inlineStr">
        <is>
          <t>11:16</t>
        </is>
      </c>
      <c r="C2359" t="n">
        <v>2996</v>
      </c>
      <c r="D2359" s="6" t="n">
        <v>19.9</v>
      </c>
      <c r="E2359" t="n">
        <v>39218</v>
      </c>
      <c r="F2359" s="6" t="n">
        <v>19.9</v>
      </c>
      <c r="G2359" t="n">
        <v>1</v>
      </c>
      <c r="H2359" s="6">
        <f>ROUND(G2359*F2359,2)</f>
        <v/>
      </c>
      <c r="I2359">
        <f>IF(ROUND(H2359-D2359,2)=0,1,0)</f>
        <v/>
      </c>
      <c r="J2359">
        <f>IF(F2359="","none",IF(G2359=1,"carte","multiple"))</f>
        <v/>
      </c>
    </row>
    <row r="2360">
      <c r="A2360" t="inlineStr">
        <is>
          <t>2022-07-02</t>
        </is>
      </c>
      <c r="B2360" t="inlineStr">
        <is>
          <t>11:31</t>
        </is>
      </c>
      <c r="C2360" t="n">
        <v>2996</v>
      </c>
      <c r="D2360" s="6" t="n">
        <v>8.5</v>
      </c>
      <c r="E2360" t="n">
        <v>39219</v>
      </c>
      <c r="F2360" s="6" t="n">
        <v>8.5</v>
      </c>
      <c r="G2360" t="n">
        <v>1</v>
      </c>
      <c r="H2360" s="6">
        <f>ROUND(G2360*F2360,2)</f>
        <v/>
      </c>
      <c r="I2360">
        <f>IF(ROUND(H2360-D2360,2)=0,1,0)</f>
        <v/>
      </c>
      <c r="J2360">
        <f>IF(F2360="","none",IF(G2360=1,"carte","multiple"))</f>
        <v/>
      </c>
    </row>
    <row r="2361">
      <c r="A2361" t="inlineStr">
        <is>
          <t>2022-07-02</t>
        </is>
      </c>
      <c r="B2361" t="inlineStr">
        <is>
          <t>11:31</t>
        </is>
      </c>
      <c r="C2361" t="n">
        <v>2996</v>
      </c>
      <c r="D2361" s="6" t="n">
        <v>2</v>
      </c>
      <c r="E2361" t="n">
        <v>39220</v>
      </c>
      <c r="F2361" s="6" t="n">
        <v>2</v>
      </c>
      <c r="G2361" t="n">
        <v>1</v>
      </c>
      <c r="H2361" s="6">
        <f>ROUND(G2361*F2361,2)</f>
        <v/>
      </c>
      <c r="I2361">
        <f>IF(ROUND(H2361-D2361,2)=0,1,0)</f>
        <v/>
      </c>
      <c r="J2361">
        <f>IF(F2361="","none",IF(G2361=1,"carte","multiple"))</f>
        <v/>
      </c>
    </row>
    <row r="2362">
      <c r="A2362" t="inlineStr">
        <is>
          <t>2022-07-02</t>
        </is>
      </c>
      <c r="B2362" t="inlineStr">
        <is>
          <t>11:31</t>
        </is>
      </c>
      <c r="C2362" t="n">
        <v>2996</v>
      </c>
      <c r="D2362" s="6" t="n">
        <v>19.9</v>
      </c>
      <c r="E2362" t="n">
        <v>39221</v>
      </c>
      <c r="F2362" s="6" t="n">
        <v>19.9</v>
      </c>
      <c r="G2362" t="n">
        <v>1</v>
      </c>
      <c r="H2362" s="6">
        <f>ROUND(G2362*F2362,2)</f>
        <v/>
      </c>
      <c r="I2362">
        <f>IF(ROUND(H2362-D2362,2)=0,1,0)</f>
        <v/>
      </c>
      <c r="J2362">
        <f>IF(F2362="","none",IF(G2362=1,"carte","multiple"))</f>
        <v/>
      </c>
    </row>
    <row r="2363">
      <c r="A2363" t="inlineStr">
        <is>
          <t>2022-07-02</t>
        </is>
      </c>
      <c r="B2363" t="inlineStr">
        <is>
          <t>11:31</t>
        </is>
      </c>
      <c r="C2363" t="n">
        <v>2996</v>
      </c>
      <c r="D2363" s="6" t="n">
        <v>17.6</v>
      </c>
      <c r="E2363" t="n">
        <v>39222</v>
      </c>
      <c r="F2363" s="6" t="n">
        <v>17.6</v>
      </c>
      <c r="G2363" t="n">
        <v>1</v>
      </c>
      <c r="H2363" s="6">
        <f>ROUND(G2363*F2363,2)</f>
        <v/>
      </c>
      <c r="I2363">
        <f>IF(ROUND(H2363-D2363,2)=0,1,0)</f>
        <v/>
      </c>
      <c r="J2363">
        <f>IF(F2363="","none",IF(G2363=1,"carte","multiple"))</f>
        <v/>
      </c>
    </row>
    <row r="2364">
      <c r="A2364" t="inlineStr">
        <is>
          <t>2022-07-02</t>
        </is>
      </c>
      <c r="B2364" t="inlineStr">
        <is>
          <t>11:31</t>
        </is>
      </c>
      <c r="C2364" t="n">
        <v>2996</v>
      </c>
      <c r="D2364" s="6" t="n">
        <v>7.8</v>
      </c>
      <c r="E2364" t="n">
        <v>39223</v>
      </c>
      <c r="F2364" s="6" t="n">
        <v>7.8</v>
      </c>
      <c r="G2364" t="n">
        <v>1</v>
      </c>
      <c r="H2364" s="6">
        <f>ROUND(G2364*F2364,2)</f>
        <v/>
      </c>
      <c r="I2364">
        <f>IF(ROUND(H2364-D2364,2)=0,1,0)</f>
        <v/>
      </c>
      <c r="J2364">
        <f>IF(F2364="","none",IF(G2364=1,"carte","multiple"))</f>
        <v/>
      </c>
    </row>
    <row r="2365">
      <c r="A2365" t="inlineStr">
        <is>
          <t>2022-07-02</t>
        </is>
      </c>
      <c r="B2365" t="inlineStr">
        <is>
          <t>11:42</t>
        </is>
      </c>
      <c r="C2365" t="n">
        <v>2996</v>
      </c>
      <c r="D2365" s="6" t="n">
        <v>4.4</v>
      </c>
      <c r="E2365" t="n">
        <v>39224</v>
      </c>
      <c r="F2365" s="6" t="n">
        <v>0.4</v>
      </c>
      <c r="G2365" t="n">
        <v>11</v>
      </c>
      <c r="H2365" s="6">
        <f>ROUND(G2365*F2365,2)</f>
        <v/>
      </c>
      <c r="I2365">
        <f>IF(ROUND(H2365-D2365,2)=0,1,0)</f>
        <v/>
      </c>
      <c r="J2365">
        <f>IF(F2365="","none",IF(G2365=1,"carte","multiple"))</f>
        <v/>
      </c>
    </row>
    <row r="2366">
      <c r="A2366" t="inlineStr">
        <is>
          <t>2022-07-02</t>
        </is>
      </c>
      <c r="B2366" t="inlineStr">
        <is>
          <t>11:42</t>
        </is>
      </c>
      <c r="C2366" t="n">
        <v>2996</v>
      </c>
      <c r="D2366" s="6" t="n">
        <v>16.9</v>
      </c>
      <c r="E2366" t="n">
        <v>39225</v>
      </c>
      <c r="F2366" s="6" t="n">
        <v>16.9</v>
      </c>
      <c r="G2366" t="n">
        <v>1</v>
      </c>
      <c r="H2366" s="6">
        <f>ROUND(G2366*F2366,2)</f>
        <v/>
      </c>
      <c r="I2366">
        <f>IF(ROUND(H2366-D2366,2)=0,1,0)</f>
        <v/>
      </c>
      <c r="J2366">
        <f>IF(F2366="","none",IF(G2366=1,"carte","multiple"))</f>
        <v/>
      </c>
    </row>
    <row r="2367">
      <c r="A2367" t="inlineStr">
        <is>
          <t>2022-07-02</t>
        </is>
      </c>
      <c r="B2367" t="inlineStr">
        <is>
          <t>11:42</t>
        </is>
      </c>
      <c r="C2367" t="n">
        <v>2996</v>
      </c>
      <c r="D2367" s="6" t="n">
        <v>30</v>
      </c>
      <c r="E2367" t="n">
        <v>39226</v>
      </c>
      <c r="F2367" s="6" t="n">
        <v>30</v>
      </c>
      <c r="G2367" t="n">
        <v>1</v>
      </c>
      <c r="H2367" s="6">
        <f>ROUND(G2367*F2367,2)</f>
        <v/>
      </c>
      <c r="I2367">
        <f>IF(ROUND(H2367-D2367,2)=0,1,0)</f>
        <v/>
      </c>
      <c r="J2367">
        <f>IF(F2367="","none",IF(G2367=1,"carte","multiple"))</f>
        <v/>
      </c>
    </row>
    <row r="2368">
      <c r="A2368" t="inlineStr">
        <is>
          <t>2022-07-02</t>
        </is>
      </c>
      <c r="B2368" t="inlineStr">
        <is>
          <t>11:42</t>
        </is>
      </c>
      <c r="C2368" t="n">
        <v>2996</v>
      </c>
      <c r="D2368" s="6" t="n">
        <v>3.9</v>
      </c>
      <c r="E2368" t="n">
        <v>39227</v>
      </c>
      <c r="F2368" s="6" t="n">
        <v>3.9</v>
      </c>
      <c r="G2368" t="n">
        <v>1</v>
      </c>
      <c r="H2368" s="6">
        <f>ROUND(G2368*F2368,2)</f>
        <v/>
      </c>
      <c r="I2368">
        <f>IF(ROUND(H2368-D2368,2)=0,1,0)</f>
        <v/>
      </c>
      <c r="J2368">
        <f>IF(F2368="","none",IF(G2368=1,"carte","multiple"))</f>
        <v/>
      </c>
    </row>
    <row r="2369">
      <c r="A2369" t="inlineStr">
        <is>
          <t>2022-07-02</t>
        </is>
      </c>
      <c r="B2369" t="inlineStr">
        <is>
          <t>11:50</t>
        </is>
      </c>
      <c r="C2369" t="n">
        <v>2996</v>
      </c>
      <c r="D2369" s="6" t="n">
        <v>2.4</v>
      </c>
      <c r="E2369" t="n">
        <v>39228</v>
      </c>
      <c r="F2369" s="6" t="n">
        <v>2.4</v>
      </c>
      <c r="G2369" t="n">
        <v>1</v>
      </c>
      <c r="H2369" s="6">
        <f>ROUND(G2369*F2369,2)</f>
        <v/>
      </c>
      <c r="I2369">
        <f>IF(ROUND(H2369-D2369,2)=0,1,0)</f>
        <v/>
      </c>
      <c r="J2369">
        <f>IF(F2369="","none",IF(G2369=1,"carte","multiple"))</f>
        <v/>
      </c>
    </row>
    <row r="2370">
      <c r="A2370" t="inlineStr">
        <is>
          <t>2022-07-02</t>
        </is>
      </c>
      <c r="B2370" t="inlineStr">
        <is>
          <t>11:50</t>
        </is>
      </c>
      <c r="C2370" t="n">
        <v>2996</v>
      </c>
      <c r="D2370" s="6" t="n">
        <v>6.9</v>
      </c>
      <c r="E2370" t="n">
        <v>39229</v>
      </c>
      <c r="F2370" s="6" t="n">
        <v>6.9</v>
      </c>
      <c r="G2370" t="n">
        <v>1</v>
      </c>
      <c r="H2370" s="6">
        <f>ROUND(G2370*F2370,2)</f>
        <v/>
      </c>
      <c r="I2370">
        <f>IF(ROUND(H2370-D2370,2)=0,1,0)</f>
        <v/>
      </c>
      <c r="J2370">
        <f>IF(F2370="","none",IF(G2370=1,"carte","multiple"))</f>
        <v/>
      </c>
    </row>
    <row r="2371">
      <c r="A2371" t="inlineStr">
        <is>
          <t>2022-07-02</t>
        </is>
      </c>
      <c r="B2371" t="inlineStr">
        <is>
          <t>11:50</t>
        </is>
      </c>
      <c r="C2371" t="n">
        <v>2996</v>
      </c>
      <c r="D2371" s="6" t="n">
        <v>17.6</v>
      </c>
      <c r="E2371" t="n">
        <v>39230</v>
      </c>
      <c r="F2371" s="6" t="n">
        <v>17.6</v>
      </c>
      <c r="G2371" t="n">
        <v>1</v>
      </c>
      <c r="H2371" s="6">
        <f>ROUND(G2371*F2371,2)</f>
        <v/>
      </c>
      <c r="I2371">
        <f>IF(ROUND(H2371-D2371,2)=0,1,0)</f>
        <v/>
      </c>
      <c r="J2371">
        <f>IF(F2371="","none",IF(G2371=1,"carte","multiple"))</f>
        <v/>
      </c>
    </row>
    <row r="2372">
      <c r="A2372" t="inlineStr">
        <is>
          <t>2022-07-02</t>
        </is>
      </c>
      <c r="B2372" t="inlineStr">
        <is>
          <t>11:50</t>
        </is>
      </c>
      <c r="C2372" t="n">
        <v>2996</v>
      </c>
      <c r="D2372" s="6" t="n">
        <v>15.9</v>
      </c>
      <c r="E2372" t="n">
        <v>39231</v>
      </c>
      <c r="F2372" s="6" t="n">
        <v>15.9</v>
      </c>
      <c r="G2372" t="n">
        <v>1</v>
      </c>
      <c r="H2372" s="6">
        <f>ROUND(G2372*F2372,2)</f>
        <v/>
      </c>
      <c r="I2372">
        <f>IF(ROUND(H2372-D2372,2)=0,1,0)</f>
        <v/>
      </c>
      <c r="J2372">
        <f>IF(F2372="","none",IF(G2372=1,"carte","multiple"))</f>
        <v/>
      </c>
    </row>
    <row r="2373">
      <c r="A2373" t="inlineStr">
        <is>
          <t>2022-07-02</t>
        </is>
      </c>
      <c r="B2373" t="inlineStr">
        <is>
          <t>11:50</t>
        </is>
      </c>
      <c r="C2373" t="n">
        <v>2996</v>
      </c>
      <c r="D2373" s="6" t="n">
        <v>2.2</v>
      </c>
      <c r="E2373" t="n">
        <v>39232</v>
      </c>
      <c r="F2373" s="6" t="n">
        <v>2.2</v>
      </c>
      <c r="G2373" t="n">
        <v>1</v>
      </c>
      <c r="H2373" s="6">
        <f>ROUND(G2373*F2373,2)</f>
        <v/>
      </c>
      <c r="I2373">
        <f>IF(ROUND(H2373-D2373,2)=0,1,0)</f>
        <v/>
      </c>
      <c r="J2373">
        <f>IF(F2373="","none",IF(G2373=1,"carte","multiple"))</f>
        <v/>
      </c>
    </row>
    <row r="2374">
      <c r="A2374" t="inlineStr">
        <is>
          <t>2022-07-02</t>
        </is>
      </c>
      <c r="B2374" t="inlineStr">
        <is>
          <t>11:53</t>
        </is>
      </c>
      <c r="C2374" t="n">
        <v>2996</v>
      </c>
      <c r="D2374" s="6" t="n">
        <v>4.4</v>
      </c>
      <c r="E2374" t="n">
        <v>39233</v>
      </c>
      <c r="F2374" s="6" t="n">
        <v>0.4</v>
      </c>
      <c r="G2374" t="n">
        <v>11</v>
      </c>
      <c r="H2374" s="6">
        <f>ROUND(G2374*F2374,2)</f>
        <v/>
      </c>
      <c r="I2374">
        <f>IF(ROUND(H2374-D2374,2)=0,1,0)</f>
        <v/>
      </c>
      <c r="J2374">
        <f>IF(F2374="","none",IF(G2374=1,"carte","multiple"))</f>
        <v/>
      </c>
    </row>
    <row r="2375">
      <c r="A2375" t="inlineStr">
        <is>
          <t>2022-07-02</t>
        </is>
      </c>
      <c r="B2375" t="inlineStr">
        <is>
          <t>11:53</t>
        </is>
      </c>
      <c r="C2375" t="n">
        <v>2996</v>
      </c>
      <c r="D2375" s="6" t="n">
        <v>19.9</v>
      </c>
      <c r="E2375" t="n">
        <v>39234</v>
      </c>
      <c r="F2375" s="6" t="n">
        <v>19.9</v>
      </c>
      <c r="G2375" t="n">
        <v>1</v>
      </c>
      <c r="H2375" s="6">
        <f>ROUND(G2375*F2375,2)</f>
        <v/>
      </c>
      <c r="I2375">
        <f>IF(ROUND(H2375-D2375,2)=0,1,0)</f>
        <v/>
      </c>
      <c r="J2375">
        <f>IF(F2375="","none",IF(G2375=1,"carte","multiple"))</f>
        <v/>
      </c>
    </row>
    <row r="2376">
      <c r="A2376" t="inlineStr">
        <is>
          <t>2022-07-02</t>
        </is>
      </c>
      <c r="B2376" t="inlineStr">
        <is>
          <t>11:53</t>
        </is>
      </c>
      <c r="C2376" t="n">
        <v>2996</v>
      </c>
      <c r="D2376" s="6" t="n">
        <v>19.9</v>
      </c>
      <c r="E2376" t="n">
        <v>39235</v>
      </c>
      <c r="F2376" s="6" t="n">
        <v>19.9</v>
      </c>
      <c r="G2376" t="n">
        <v>1</v>
      </c>
      <c r="H2376" s="6">
        <f>ROUND(G2376*F2376,2)</f>
        <v/>
      </c>
      <c r="I2376">
        <f>IF(ROUND(H2376-D2376,2)=0,1,0)</f>
        <v/>
      </c>
      <c r="J2376">
        <f>IF(F2376="","none",IF(G2376=1,"carte","multiple"))</f>
        <v/>
      </c>
    </row>
    <row r="2377">
      <c r="A2377" t="inlineStr">
        <is>
          <t>2022-07-02</t>
        </is>
      </c>
      <c r="B2377" t="inlineStr">
        <is>
          <t>11:58</t>
        </is>
      </c>
      <c r="C2377" t="n">
        <v>2996</v>
      </c>
      <c r="D2377" s="6" t="n">
        <v>6.9</v>
      </c>
      <c r="E2377" t="n">
        <v>39236</v>
      </c>
      <c r="F2377" s="6" t="n">
        <v>6.9</v>
      </c>
      <c r="G2377" t="n">
        <v>1</v>
      </c>
      <c r="H2377" s="6">
        <f>ROUND(G2377*F2377,2)</f>
        <v/>
      </c>
      <c r="I2377">
        <f>IF(ROUND(H2377-D2377,2)=0,1,0)</f>
        <v/>
      </c>
      <c r="J2377">
        <f>IF(F2377="","none",IF(G2377=1,"carte","multiple"))</f>
        <v/>
      </c>
    </row>
    <row r="2378">
      <c r="A2378" t="inlineStr">
        <is>
          <t>2022-07-02</t>
        </is>
      </c>
      <c r="B2378" t="inlineStr">
        <is>
          <t>11:58</t>
        </is>
      </c>
      <c r="C2378" t="n">
        <v>2996</v>
      </c>
      <c r="D2378" s="6" t="n">
        <v>1.8</v>
      </c>
      <c r="E2378" t="n">
        <v>39237</v>
      </c>
      <c r="F2378" s="6" t="n">
        <v>1.8</v>
      </c>
      <c r="G2378" t="n">
        <v>1</v>
      </c>
      <c r="H2378" s="6">
        <f>ROUND(G2378*F2378,2)</f>
        <v/>
      </c>
      <c r="I2378">
        <f>IF(ROUND(H2378-D2378,2)=0,1,0)</f>
        <v/>
      </c>
      <c r="J2378">
        <f>IF(F2378="","none",IF(G2378=1,"carte","multiple"))</f>
        <v/>
      </c>
    </row>
    <row r="2379">
      <c r="A2379" t="inlineStr">
        <is>
          <t>2022-07-02</t>
        </is>
      </c>
      <c r="B2379" t="inlineStr">
        <is>
          <t>11:58</t>
        </is>
      </c>
      <c r="C2379" t="n">
        <v>2996</v>
      </c>
      <c r="D2379" s="6" t="n">
        <v>3.9</v>
      </c>
      <c r="E2379" t="n">
        <v>39238</v>
      </c>
      <c r="F2379" s="6" t="n">
        <v>3.9</v>
      </c>
      <c r="G2379" t="n">
        <v>1</v>
      </c>
      <c r="H2379" s="6">
        <f>ROUND(G2379*F2379,2)</f>
        <v/>
      </c>
      <c r="I2379">
        <f>IF(ROUND(H2379-D2379,2)=0,1,0)</f>
        <v/>
      </c>
      <c r="J2379">
        <f>IF(F2379="","none",IF(G2379=1,"carte","multiple"))</f>
        <v/>
      </c>
    </row>
    <row r="2380">
      <c r="A2380" t="inlineStr">
        <is>
          <t>2022-07-02</t>
        </is>
      </c>
      <c r="B2380" t="inlineStr">
        <is>
          <t>11:58</t>
        </is>
      </c>
      <c r="C2380" t="n">
        <v>2996</v>
      </c>
      <c r="D2380" s="6" t="n">
        <v>6.4</v>
      </c>
      <c r="E2380" t="n">
        <v>39239</v>
      </c>
      <c r="F2380" s="6" t="n">
        <v>6.4</v>
      </c>
      <c r="G2380" t="n">
        <v>1</v>
      </c>
      <c r="H2380" s="6">
        <f>ROUND(G2380*F2380,2)</f>
        <v/>
      </c>
      <c r="I2380">
        <f>IF(ROUND(H2380-D2380,2)=0,1,0)</f>
        <v/>
      </c>
      <c r="J2380">
        <f>IF(F2380="","none",IF(G2380=1,"carte","multiple"))</f>
        <v/>
      </c>
    </row>
    <row r="2381">
      <c r="A2381" t="inlineStr">
        <is>
          <t>2022-07-02</t>
        </is>
      </c>
      <c r="B2381" t="inlineStr">
        <is>
          <t>11:58</t>
        </is>
      </c>
      <c r="C2381" t="n">
        <v>2996</v>
      </c>
      <c r="D2381" s="6" t="n">
        <v>20.9</v>
      </c>
      <c r="E2381" t="n">
        <v>39240</v>
      </c>
      <c r="F2381" s="6" t="n">
        <v>20.9</v>
      </c>
      <c r="G2381" t="n">
        <v>1</v>
      </c>
      <c r="H2381" s="6">
        <f>ROUND(G2381*F2381,2)</f>
        <v/>
      </c>
      <c r="I2381">
        <f>IF(ROUND(H2381-D2381,2)=0,1,0)</f>
        <v/>
      </c>
      <c r="J2381">
        <f>IF(F2381="","none",IF(G2381=1,"carte","multiple"))</f>
        <v/>
      </c>
    </row>
    <row r="2382">
      <c r="A2382" t="inlineStr">
        <is>
          <t>2022-07-02</t>
        </is>
      </c>
      <c r="B2382" t="inlineStr">
        <is>
          <t>11:58</t>
        </is>
      </c>
      <c r="C2382" t="n">
        <v>2996</v>
      </c>
      <c r="D2382" s="6" t="n">
        <v>21.6</v>
      </c>
      <c r="E2382" t="n">
        <v>39241</v>
      </c>
      <c r="F2382" s="6" t="n">
        <v>21.6</v>
      </c>
      <c r="G2382" t="n">
        <v>1</v>
      </c>
      <c r="H2382" s="6">
        <f>ROUND(G2382*F2382,2)</f>
        <v/>
      </c>
      <c r="I2382">
        <f>IF(ROUND(H2382-D2382,2)=0,1,0)</f>
        <v/>
      </c>
      <c r="J2382">
        <f>IF(F2382="","none",IF(G2382=1,"carte","multiple"))</f>
        <v/>
      </c>
    </row>
    <row r="2383">
      <c r="A2383" t="inlineStr">
        <is>
          <t>2022-07-02</t>
        </is>
      </c>
      <c r="B2383" t="inlineStr">
        <is>
          <t>11:58</t>
        </is>
      </c>
      <c r="C2383" t="n">
        <v>2996</v>
      </c>
      <c r="D2383" s="6" t="n">
        <v>9.800000000000001</v>
      </c>
      <c r="E2383" t="n">
        <v>39242</v>
      </c>
      <c r="F2383" s="6" t="n">
        <v>9.800000000000001</v>
      </c>
      <c r="G2383" t="n">
        <v>1</v>
      </c>
      <c r="H2383" s="6">
        <f>ROUND(G2383*F2383,2)</f>
        <v/>
      </c>
      <c r="I2383">
        <f>IF(ROUND(H2383-D2383,2)=0,1,0)</f>
        <v/>
      </c>
      <c r="J2383">
        <f>IF(F2383="","none",IF(G2383=1,"carte","multiple"))</f>
        <v/>
      </c>
    </row>
    <row r="2384">
      <c r="A2384" t="inlineStr">
        <is>
          <t>2022-07-02</t>
        </is>
      </c>
      <c r="B2384" t="inlineStr">
        <is>
          <t>12:05</t>
        </is>
      </c>
      <c r="C2384" t="n">
        <v>2996</v>
      </c>
      <c r="D2384" s="6" t="n">
        <v>4.4</v>
      </c>
      <c r="E2384" t="n">
        <v>39243</v>
      </c>
      <c r="F2384" s="6" t="n">
        <v>0.4</v>
      </c>
      <c r="G2384" t="n">
        <v>11</v>
      </c>
      <c r="H2384" s="6">
        <f>ROUND(G2384*F2384,2)</f>
        <v/>
      </c>
      <c r="I2384">
        <f>IF(ROUND(H2384-D2384,2)=0,1,0)</f>
        <v/>
      </c>
      <c r="J2384">
        <f>IF(F2384="","none",IF(G2384=1,"carte","multiple"))</f>
        <v/>
      </c>
    </row>
    <row r="2385">
      <c r="A2385" t="inlineStr">
        <is>
          <t>2022-07-02</t>
        </is>
      </c>
      <c r="B2385" t="inlineStr">
        <is>
          <t>12:05</t>
        </is>
      </c>
      <c r="C2385" t="n">
        <v>2996</v>
      </c>
      <c r="D2385" s="6" t="n">
        <v>64</v>
      </c>
      <c r="E2385" t="n">
        <v>39244</v>
      </c>
      <c r="F2385" s="6" t="n">
        <v>64</v>
      </c>
      <c r="G2385" t="n">
        <v>1</v>
      </c>
      <c r="H2385" s="6">
        <f>ROUND(G2385*F2385,2)</f>
        <v/>
      </c>
      <c r="I2385">
        <f>IF(ROUND(H2385-D2385,2)=0,1,0)</f>
        <v/>
      </c>
      <c r="J2385">
        <f>IF(F2385="","none",IF(G2385=1,"carte","multiple"))</f>
        <v/>
      </c>
    </row>
    <row r="2386">
      <c r="A2386" t="inlineStr">
        <is>
          <t>2022-07-02</t>
        </is>
      </c>
      <c r="B2386" t="inlineStr">
        <is>
          <t>12:05</t>
        </is>
      </c>
      <c r="C2386" t="n">
        <v>2996</v>
      </c>
      <c r="D2386" s="6" t="n">
        <v>5.2</v>
      </c>
      <c r="E2386" t="n">
        <v>39245</v>
      </c>
      <c r="F2386" s="6" t="n">
        <v>5.2</v>
      </c>
      <c r="G2386" t="n">
        <v>1</v>
      </c>
      <c r="H2386" s="6">
        <f>ROUND(G2386*F2386,2)</f>
        <v/>
      </c>
      <c r="I2386">
        <f>IF(ROUND(H2386-D2386,2)=0,1,0)</f>
        <v/>
      </c>
      <c r="J2386">
        <f>IF(F2386="","none",IF(G2386=1,"carte","multiple"))</f>
        <v/>
      </c>
    </row>
    <row r="2387">
      <c r="A2387" t="inlineStr">
        <is>
          <t>2022-07-02</t>
        </is>
      </c>
      <c r="B2387" t="inlineStr">
        <is>
          <t>12:05</t>
        </is>
      </c>
      <c r="C2387" t="n">
        <v>2996</v>
      </c>
      <c r="D2387" s="6" t="n">
        <v>3.9</v>
      </c>
      <c r="E2387" t="n">
        <v>39246</v>
      </c>
      <c r="F2387" s="6" t="n">
        <v>3.9</v>
      </c>
      <c r="G2387" t="n">
        <v>1</v>
      </c>
      <c r="H2387" s="6">
        <f>ROUND(G2387*F2387,2)</f>
        <v/>
      </c>
      <c r="I2387">
        <f>IF(ROUND(H2387-D2387,2)=0,1,0)</f>
        <v/>
      </c>
      <c r="J2387">
        <f>IF(F2387="","none",IF(G2387=1,"carte","multiple"))</f>
        <v/>
      </c>
    </row>
    <row r="2388">
      <c r="A2388" t="inlineStr">
        <is>
          <t>2022-07-02</t>
        </is>
      </c>
      <c r="B2388" t="inlineStr">
        <is>
          <t>12:30</t>
        </is>
      </c>
      <c r="C2388" t="n">
        <v>2996</v>
      </c>
      <c r="D2388" s="6" t="n">
        <v>19.9</v>
      </c>
      <c r="E2388" t="n">
        <v>39247</v>
      </c>
      <c r="F2388" s="6" t="n">
        <v>19.9</v>
      </c>
      <c r="G2388" t="n">
        <v>1</v>
      </c>
      <c r="H2388" s="6">
        <f>ROUND(G2388*F2388,2)</f>
        <v/>
      </c>
      <c r="I2388">
        <f>IF(ROUND(H2388-D2388,2)=0,1,0)</f>
        <v/>
      </c>
      <c r="J2388">
        <f>IF(F2388="","none",IF(G2388=1,"carte","multiple"))</f>
        <v/>
      </c>
    </row>
    <row r="2389">
      <c r="A2389" t="inlineStr">
        <is>
          <t>2022-07-02</t>
        </is>
      </c>
      <c r="B2389" t="inlineStr">
        <is>
          <t>12:30</t>
        </is>
      </c>
      <c r="C2389" t="n">
        <v>2996</v>
      </c>
      <c r="D2389" s="6" t="n">
        <v>16.8</v>
      </c>
      <c r="E2389" t="n">
        <v>39248</v>
      </c>
      <c r="F2389" s="6" t="n">
        <v>16.8</v>
      </c>
      <c r="G2389" t="n">
        <v>1</v>
      </c>
      <c r="H2389" s="6">
        <f>ROUND(G2389*F2389,2)</f>
        <v/>
      </c>
      <c r="I2389">
        <f>IF(ROUND(H2389-D2389,2)=0,1,0)</f>
        <v/>
      </c>
      <c r="J2389">
        <f>IF(F2389="","none",IF(G2389=1,"carte","multiple"))</f>
        <v/>
      </c>
    </row>
    <row r="2390">
      <c r="A2390" t="inlineStr">
        <is>
          <t>2022-07-02</t>
        </is>
      </c>
      <c r="B2390" t="inlineStr">
        <is>
          <t>12:30</t>
        </is>
      </c>
      <c r="C2390" t="n">
        <v>2996</v>
      </c>
      <c r="D2390" s="6" t="n">
        <v>3.9</v>
      </c>
      <c r="E2390" t="n">
        <v>39249</v>
      </c>
      <c r="F2390" s="6" t="n">
        <v>3.9</v>
      </c>
      <c r="G2390" t="n">
        <v>1</v>
      </c>
      <c r="H2390" s="6">
        <f>ROUND(G2390*F2390,2)</f>
        <v/>
      </c>
      <c r="I2390">
        <f>IF(ROUND(H2390-D2390,2)=0,1,0)</f>
        <v/>
      </c>
      <c r="J2390">
        <f>IF(F2390="","none",IF(G2390=1,"carte","multiple"))</f>
        <v/>
      </c>
    </row>
    <row r="2391">
      <c r="A2391" t="inlineStr">
        <is>
          <t>2022-07-02</t>
        </is>
      </c>
      <c r="B2391" t="inlineStr">
        <is>
          <t>12:30</t>
        </is>
      </c>
      <c r="C2391" t="n">
        <v>2996</v>
      </c>
      <c r="D2391" s="6" t="n">
        <v>3.9</v>
      </c>
      <c r="E2391" t="n">
        <v>39250</v>
      </c>
      <c r="F2391" s="6" t="n">
        <v>3.9</v>
      </c>
      <c r="G2391" t="n">
        <v>1</v>
      </c>
      <c r="H2391" s="6">
        <f>ROUND(G2391*F2391,2)</f>
        <v/>
      </c>
      <c r="I2391">
        <f>IF(ROUND(H2391-D2391,2)=0,1,0)</f>
        <v/>
      </c>
      <c r="J2391">
        <f>IF(F2391="","none",IF(G2391=1,"carte","multiple"))</f>
        <v/>
      </c>
    </row>
    <row r="2392">
      <c r="A2392" t="inlineStr">
        <is>
          <t>2022-07-02</t>
        </is>
      </c>
      <c r="B2392" t="inlineStr">
        <is>
          <t>13:18</t>
        </is>
      </c>
      <c r="C2392" t="n">
        <v>2996</v>
      </c>
      <c r="D2392" s="6" t="n">
        <v>45</v>
      </c>
      <c r="E2392" t="n">
        <v>39251</v>
      </c>
      <c r="F2392" s="6" t="n">
        <v>45</v>
      </c>
      <c r="G2392" t="n">
        <v>1</v>
      </c>
      <c r="H2392" s="6">
        <f>ROUND(G2392*F2392,2)</f>
        <v/>
      </c>
      <c r="I2392">
        <f>IF(ROUND(H2392-D2392,2)=0,1,0)</f>
        <v/>
      </c>
      <c r="J2392">
        <f>IF(F2392="","none",IF(G2392=1,"carte","multiple"))</f>
        <v/>
      </c>
    </row>
    <row r="2393">
      <c r="A2393" t="inlineStr">
        <is>
          <t>2022-07-02</t>
        </is>
      </c>
      <c r="B2393" t="inlineStr">
        <is>
          <t>17:50</t>
        </is>
      </c>
      <c r="C2393" t="n">
        <v>2996</v>
      </c>
      <c r="D2393" s="6" t="n">
        <v>9.800000000000001</v>
      </c>
      <c r="E2393" t="n">
        <v>39253</v>
      </c>
      <c r="F2393" s="6" t="n">
        <v>9.800000000000001</v>
      </c>
      <c r="G2393" t="n">
        <v>1</v>
      </c>
      <c r="H2393" s="6">
        <f>ROUND(G2393*F2393,2)</f>
        <v/>
      </c>
      <c r="I2393">
        <f>IF(ROUND(H2393-D2393,2)=0,1,0)</f>
        <v/>
      </c>
      <c r="J2393">
        <f>IF(F2393="","none",IF(G2393=1,"carte","multiple"))</f>
        <v/>
      </c>
    </row>
    <row r="2394">
      <c r="A2394" t="inlineStr">
        <is>
          <t>2022-07-02</t>
        </is>
      </c>
      <c r="B2394" t="inlineStr">
        <is>
          <t>18:14</t>
        </is>
      </c>
      <c r="C2394" t="n">
        <v>2996</v>
      </c>
      <c r="D2394" s="6" t="n">
        <v>26</v>
      </c>
      <c r="E2394" t="n">
        <v>39254</v>
      </c>
      <c r="F2394" s="6" t="n">
        <v>26</v>
      </c>
      <c r="G2394" t="n">
        <v>1</v>
      </c>
      <c r="H2394" s="6">
        <f>ROUND(G2394*F2394,2)</f>
        <v/>
      </c>
      <c r="I2394">
        <f>IF(ROUND(H2394-D2394,2)=0,1,0)</f>
        <v/>
      </c>
      <c r="J2394">
        <f>IF(F2394="","none",IF(G2394=1,"carte","multiple"))</f>
        <v/>
      </c>
    </row>
    <row r="2395">
      <c r="A2395" t="inlineStr">
        <is>
          <t>2022-07-02</t>
        </is>
      </c>
      <c r="B2395" t="inlineStr">
        <is>
          <t>18:16</t>
        </is>
      </c>
      <c r="C2395" t="n">
        <v>2996</v>
      </c>
      <c r="D2395" s="6" t="n">
        <v>30</v>
      </c>
      <c r="E2395" t="n">
        <v>39255</v>
      </c>
      <c r="F2395" s="6" t="n">
        <v>30</v>
      </c>
      <c r="G2395" t="n">
        <v>1</v>
      </c>
      <c r="H2395" s="6">
        <f>ROUND(G2395*F2395,2)</f>
        <v/>
      </c>
      <c r="I2395">
        <f>IF(ROUND(H2395-D2395,2)=0,1,0)</f>
        <v/>
      </c>
      <c r="J2395">
        <f>IF(F2395="","none",IF(G2395=1,"carte","multiple"))</f>
        <v/>
      </c>
    </row>
    <row r="2396">
      <c r="A2396" t="inlineStr">
        <is>
          <t>2022-07-02</t>
        </is>
      </c>
      <c r="B2396" t="inlineStr">
        <is>
          <t>18:19</t>
        </is>
      </c>
      <c r="C2396" t="n">
        <v>2996</v>
      </c>
      <c r="D2396" s="6" t="n">
        <v>3.9</v>
      </c>
      <c r="E2396" t="n">
        <v>39256</v>
      </c>
      <c r="F2396" s="6" t="n">
        <v>3.9</v>
      </c>
      <c r="G2396" t="n">
        <v>1</v>
      </c>
      <c r="H2396" s="6">
        <f>ROUND(G2396*F2396,2)</f>
        <v/>
      </c>
      <c r="I2396">
        <f>IF(ROUND(H2396-D2396,2)=0,1,0)</f>
        <v/>
      </c>
      <c r="J2396">
        <f>IF(F2396="","none",IF(G2396=1,"carte","multiple"))</f>
        <v/>
      </c>
    </row>
    <row r="2397">
      <c r="A2397" t="inlineStr">
        <is>
          <t>2022-07-02</t>
        </is>
      </c>
      <c r="B2397" t="inlineStr">
        <is>
          <t>19:05</t>
        </is>
      </c>
      <c r="C2397" t="n">
        <v>2996</v>
      </c>
      <c r="D2397" s="6" t="n">
        <v>5.8</v>
      </c>
      <c r="E2397" t="n">
        <v>39257</v>
      </c>
      <c r="F2397" s="6" t="n">
        <v>5.8</v>
      </c>
      <c r="G2397" t="n">
        <v>1</v>
      </c>
      <c r="H2397" s="6">
        <f>ROUND(G2397*F2397,2)</f>
        <v/>
      </c>
      <c r="I2397">
        <f>IF(ROUND(H2397-D2397,2)=0,1,0)</f>
        <v/>
      </c>
      <c r="J2397">
        <f>IF(F2397="","none",IF(G2397=1,"carte","multiple"))</f>
        <v/>
      </c>
    </row>
    <row r="2398">
      <c r="A2398" t="inlineStr">
        <is>
          <t>2022-07-02</t>
        </is>
      </c>
      <c r="B2398" t="inlineStr">
        <is>
          <t>19:05</t>
        </is>
      </c>
      <c r="C2398" t="n">
        <v>2996</v>
      </c>
      <c r="D2398" s="6" t="n">
        <v>5.8</v>
      </c>
      <c r="E2398" t="n">
        <v>39258</v>
      </c>
      <c r="F2398" s="6" t="n">
        <v>5.8</v>
      </c>
      <c r="G2398" t="n">
        <v>1</v>
      </c>
      <c r="H2398" s="6">
        <f>ROUND(G2398*F2398,2)</f>
        <v/>
      </c>
      <c r="I2398">
        <f>IF(ROUND(H2398-D2398,2)=0,1,0)</f>
        <v/>
      </c>
      <c r="J2398">
        <f>IF(F2398="","none",IF(G2398=1,"carte","multiple"))</f>
        <v/>
      </c>
    </row>
    <row r="2399">
      <c r="A2399" t="inlineStr">
        <is>
          <t>2022-07-02</t>
        </is>
      </c>
      <c r="B2399" t="inlineStr">
        <is>
          <t>19:05</t>
        </is>
      </c>
      <c r="C2399" t="n">
        <v>2996</v>
      </c>
      <c r="D2399" s="6" t="n">
        <v>3.9</v>
      </c>
      <c r="E2399" t="n">
        <v>39259</v>
      </c>
      <c r="F2399" s="6" t="n">
        <v>3.9</v>
      </c>
      <c r="G2399" t="n">
        <v>1</v>
      </c>
      <c r="H2399" s="6">
        <f>ROUND(G2399*F2399,2)</f>
        <v/>
      </c>
      <c r="I2399">
        <f>IF(ROUND(H2399-D2399,2)=0,1,0)</f>
        <v/>
      </c>
      <c r="J2399">
        <f>IF(F2399="","none",IF(G2399=1,"carte","multiple"))</f>
        <v/>
      </c>
    </row>
    <row r="2400">
      <c r="A2400" t="inlineStr">
        <is>
          <t>2022-07-02</t>
        </is>
      </c>
      <c r="B2400" t="inlineStr">
        <is>
          <t>19:24</t>
        </is>
      </c>
      <c r="C2400" t="n">
        <v>2996</v>
      </c>
      <c r="D2400" s="6" t="n">
        <v>8.800000000000001</v>
      </c>
      <c r="E2400" t="n">
        <v>39260</v>
      </c>
      <c r="F2400" s="6" t="n">
        <v>8.800000000000001</v>
      </c>
      <c r="G2400" t="n">
        <v>1</v>
      </c>
      <c r="H2400" s="6">
        <f>ROUND(G2400*F2400,2)</f>
        <v/>
      </c>
      <c r="I2400">
        <f>IF(ROUND(H2400-D2400,2)=0,1,0)</f>
        <v/>
      </c>
      <c r="J2400">
        <f>IF(F2400="","none",IF(G2400=1,"carte","multiple"))</f>
        <v/>
      </c>
    </row>
    <row r="2401">
      <c r="A2401" t="inlineStr">
        <is>
          <t>2022-07-02</t>
        </is>
      </c>
      <c r="B2401" t="inlineStr">
        <is>
          <t>19:24</t>
        </is>
      </c>
      <c r="C2401" t="n">
        <v>2996</v>
      </c>
      <c r="D2401" s="6" t="n">
        <v>32</v>
      </c>
      <c r="E2401" t="n">
        <v>39261</v>
      </c>
      <c r="F2401" s="6" t="n">
        <v>32</v>
      </c>
      <c r="G2401" t="n">
        <v>1</v>
      </c>
      <c r="H2401" s="6">
        <f>ROUND(G2401*F2401,2)</f>
        <v/>
      </c>
      <c r="I2401">
        <f>IF(ROUND(H2401-D2401,2)=0,1,0)</f>
        <v/>
      </c>
      <c r="J2401">
        <f>IF(F2401="","none",IF(G2401=1,"carte","multiple"))</f>
        <v/>
      </c>
    </row>
    <row r="2402">
      <c r="A2402" t="inlineStr">
        <is>
          <t>2022-07-02</t>
        </is>
      </c>
      <c r="B2402" t="inlineStr">
        <is>
          <t>19:24</t>
        </is>
      </c>
      <c r="C2402" t="n">
        <v>2996</v>
      </c>
      <c r="D2402" s="6" t="n">
        <v>18.6</v>
      </c>
      <c r="E2402" t="n">
        <v>39262</v>
      </c>
      <c r="F2402" s="6" t="n">
        <v>18.6</v>
      </c>
      <c r="G2402" t="n">
        <v>1</v>
      </c>
      <c r="H2402" s="6">
        <f>ROUND(G2402*F2402,2)</f>
        <v/>
      </c>
      <c r="I2402">
        <f>IF(ROUND(H2402-D2402,2)=0,1,0)</f>
        <v/>
      </c>
      <c r="J2402">
        <f>IF(F2402="","none",IF(G2402=1,"carte","multiple"))</f>
        <v/>
      </c>
    </row>
    <row r="2403">
      <c r="A2403" t="inlineStr">
        <is>
          <t>2022-07-02</t>
        </is>
      </c>
      <c r="B2403" t="inlineStr">
        <is>
          <t>19:24</t>
        </is>
      </c>
      <c r="C2403" t="n">
        <v>2996</v>
      </c>
      <c r="D2403" s="6" t="n">
        <v>16.9</v>
      </c>
      <c r="E2403" t="n">
        <v>39263</v>
      </c>
      <c r="F2403" s="6" t="n">
        <v>16.9</v>
      </c>
      <c r="G2403" t="n">
        <v>1</v>
      </c>
      <c r="H2403" s="6">
        <f>ROUND(G2403*F2403,2)</f>
        <v/>
      </c>
      <c r="I2403">
        <f>IF(ROUND(H2403-D2403,2)=0,1,0)</f>
        <v/>
      </c>
      <c r="J2403">
        <f>IF(F2403="","none",IF(G2403=1,"carte","multiple"))</f>
        <v/>
      </c>
    </row>
    <row r="2404">
      <c r="A2404" t="inlineStr">
        <is>
          <t>2022-07-02</t>
        </is>
      </c>
      <c r="B2404" t="inlineStr">
        <is>
          <t>19:24</t>
        </is>
      </c>
      <c r="C2404" t="n">
        <v>2996</v>
      </c>
      <c r="D2404" s="6" t="n">
        <v>15.6</v>
      </c>
      <c r="E2404" t="n">
        <v>39264</v>
      </c>
      <c r="F2404" s="6" t="n">
        <v>15.6</v>
      </c>
      <c r="G2404" t="n">
        <v>1</v>
      </c>
      <c r="H2404" s="6">
        <f>ROUND(G2404*F2404,2)</f>
        <v/>
      </c>
      <c r="I2404">
        <f>IF(ROUND(H2404-D2404,2)=0,1,0)</f>
        <v/>
      </c>
      <c r="J2404">
        <f>IF(F2404="","none",IF(G2404=1,"carte","multiple"))</f>
        <v/>
      </c>
    </row>
    <row r="2405">
      <c r="A2405" t="inlineStr">
        <is>
          <t>2022-07-02</t>
        </is>
      </c>
      <c r="B2405" t="inlineStr">
        <is>
          <t>19:24</t>
        </is>
      </c>
      <c r="C2405" t="n">
        <v>2996</v>
      </c>
      <c r="D2405" s="6" t="n">
        <v>3.8</v>
      </c>
      <c r="E2405" t="n">
        <v>39265</v>
      </c>
      <c r="F2405" s="6" t="n">
        <v>3.8</v>
      </c>
      <c r="G2405" t="n">
        <v>1</v>
      </c>
      <c r="H2405" s="6">
        <f>ROUND(G2405*F2405,2)</f>
        <v/>
      </c>
      <c r="I2405">
        <f>IF(ROUND(H2405-D2405,2)=0,1,0)</f>
        <v/>
      </c>
      <c r="J2405">
        <f>IF(F2405="","none",IF(G2405=1,"carte","multiple"))</f>
        <v/>
      </c>
    </row>
    <row r="2406">
      <c r="A2406" t="inlineStr">
        <is>
          <t>2022-07-02</t>
        </is>
      </c>
      <c r="B2406" t="inlineStr">
        <is>
          <t>19:24</t>
        </is>
      </c>
      <c r="C2406" t="n">
        <v>2996</v>
      </c>
      <c r="D2406" s="6" t="n">
        <v>4.2</v>
      </c>
      <c r="E2406" t="n">
        <v>39266</v>
      </c>
      <c r="F2406" s="6" t="n">
        <v>4.2</v>
      </c>
      <c r="G2406" t="n">
        <v>1</v>
      </c>
      <c r="H2406" s="6">
        <f>ROUND(G2406*F2406,2)</f>
        <v/>
      </c>
      <c r="I2406">
        <f>IF(ROUND(H2406-D2406,2)=0,1,0)</f>
        <v/>
      </c>
      <c r="J2406">
        <f>IF(F2406="","none",IF(G2406=1,"carte","multiple"))</f>
        <v/>
      </c>
    </row>
    <row r="2407">
      <c r="A2407" t="inlineStr">
        <is>
          <t>2022-07-02</t>
        </is>
      </c>
      <c r="B2407" t="inlineStr">
        <is>
          <t>19:36</t>
        </is>
      </c>
      <c r="C2407" t="n">
        <v>2996</v>
      </c>
      <c r="D2407" s="6" t="n">
        <v>4.9</v>
      </c>
      <c r="E2407" t="n">
        <v>39267</v>
      </c>
      <c r="F2407" s="6" t="n">
        <v>4.9</v>
      </c>
      <c r="G2407" t="n">
        <v>1</v>
      </c>
      <c r="H2407" s="6">
        <f>ROUND(G2407*F2407,2)</f>
        <v/>
      </c>
      <c r="I2407">
        <f>IF(ROUND(H2407-D2407,2)=0,1,0)</f>
        <v/>
      </c>
      <c r="J2407">
        <f>IF(F2407="","none",IF(G2407=1,"carte","multiple"))</f>
        <v/>
      </c>
    </row>
    <row r="2408">
      <c r="A2408" t="inlineStr">
        <is>
          <t>2022-07-02</t>
        </is>
      </c>
      <c r="B2408" t="inlineStr">
        <is>
          <t>19:40</t>
        </is>
      </c>
      <c r="C2408" t="n">
        <v>2996</v>
      </c>
      <c r="D2408" s="6" t="n">
        <v>0.5</v>
      </c>
      <c r="E2408" t="n">
        <v>39268</v>
      </c>
      <c r="F2408" s="6" t="n">
        <v>0.5</v>
      </c>
      <c r="G2408" t="n">
        <v>1</v>
      </c>
      <c r="H2408" s="6">
        <f>ROUND(G2408*F2408,2)</f>
        <v/>
      </c>
      <c r="I2408">
        <f>IF(ROUND(H2408-D2408,2)=0,1,0)</f>
        <v/>
      </c>
      <c r="J2408">
        <f>IF(F2408="","none",IF(G2408=1,"carte","multiple"))</f>
        <v/>
      </c>
    </row>
    <row r="2409">
      <c r="A2409" t="inlineStr">
        <is>
          <t>2022-07-02</t>
        </is>
      </c>
      <c r="B2409" t="inlineStr">
        <is>
          <t>19:46</t>
        </is>
      </c>
      <c r="C2409" t="n">
        <v>2996</v>
      </c>
      <c r="D2409" s="6" t="n">
        <v>32</v>
      </c>
      <c r="E2409" t="n">
        <v>39269</v>
      </c>
      <c r="F2409" s="6" t="n">
        <v>32</v>
      </c>
      <c r="G2409" t="n">
        <v>1</v>
      </c>
      <c r="H2409" s="6">
        <f>ROUND(G2409*F2409,2)</f>
        <v/>
      </c>
      <c r="I2409">
        <f>IF(ROUND(H2409-D2409,2)=0,1,0)</f>
        <v/>
      </c>
      <c r="J2409">
        <f>IF(F2409="","none",IF(G2409=1,"carte","multiple"))</f>
        <v/>
      </c>
    </row>
    <row r="2410">
      <c r="A2410" t="inlineStr">
        <is>
          <t>2022-07-02</t>
        </is>
      </c>
      <c r="B2410" t="inlineStr">
        <is>
          <t>19:46</t>
        </is>
      </c>
      <c r="C2410" t="n">
        <v>2996</v>
      </c>
      <c r="D2410" s="6" t="n">
        <v>32</v>
      </c>
      <c r="E2410" t="n">
        <v>39270</v>
      </c>
      <c r="F2410" s="6" t="n">
        <v>32</v>
      </c>
      <c r="G2410" t="n">
        <v>1</v>
      </c>
      <c r="H2410" s="6">
        <f>ROUND(G2410*F2410,2)</f>
        <v/>
      </c>
      <c r="I2410">
        <f>IF(ROUND(H2410-D2410,2)=0,1,0)</f>
        <v/>
      </c>
      <c r="J2410">
        <f>IF(F2410="","none",IF(G2410=1,"carte","multiple"))</f>
        <v/>
      </c>
    </row>
    <row r="2411">
      <c r="A2411" t="inlineStr">
        <is>
          <t>2022-07-02</t>
        </is>
      </c>
      <c r="B2411" t="inlineStr">
        <is>
          <t>19:46</t>
        </is>
      </c>
      <c r="C2411" t="n">
        <v>2996</v>
      </c>
      <c r="D2411" s="6" t="n">
        <v>26.8</v>
      </c>
      <c r="E2411" t="n">
        <v>39271</v>
      </c>
      <c r="F2411" s="6" t="n">
        <v>26.8</v>
      </c>
      <c r="G2411" t="n">
        <v>1</v>
      </c>
      <c r="H2411" s="6">
        <f>ROUND(G2411*F2411,2)</f>
        <v/>
      </c>
      <c r="I2411">
        <f>IF(ROUND(H2411-D2411,2)=0,1,0)</f>
        <v/>
      </c>
      <c r="J2411">
        <f>IF(F2411="","none",IF(G2411=1,"carte","multiple"))</f>
        <v/>
      </c>
    </row>
    <row r="2412">
      <c r="A2412" t="inlineStr">
        <is>
          <t>2022-07-02</t>
        </is>
      </c>
      <c r="B2412" t="inlineStr">
        <is>
          <t>19:46</t>
        </is>
      </c>
      <c r="C2412" t="n">
        <v>2996</v>
      </c>
      <c r="D2412" s="6" t="n">
        <v>7.6</v>
      </c>
      <c r="E2412" t="n">
        <v>39272</v>
      </c>
      <c r="F2412" s="6" t="n">
        <v>7.6</v>
      </c>
      <c r="G2412" t="n">
        <v>1</v>
      </c>
      <c r="H2412" s="6">
        <f>ROUND(G2412*F2412,2)</f>
        <v/>
      </c>
      <c r="I2412">
        <f>IF(ROUND(H2412-D2412,2)=0,1,0)</f>
        <v/>
      </c>
      <c r="J2412">
        <f>IF(F2412="","none",IF(G2412=1,"carte","multiple"))</f>
        <v/>
      </c>
    </row>
    <row r="2413">
      <c r="A2413" t="inlineStr">
        <is>
          <t>2022-07-02</t>
        </is>
      </c>
      <c r="B2413" t="inlineStr">
        <is>
          <t>19:46</t>
        </is>
      </c>
      <c r="C2413" t="n">
        <v>2996</v>
      </c>
      <c r="D2413" s="6" t="n">
        <v>4.2</v>
      </c>
      <c r="E2413" t="n">
        <v>39273</v>
      </c>
      <c r="F2413" s="6" t="n">
        <v>4.2</v>
      </c>
      <c r="G2413" t="n">
        <v>1</v>
      </c>
      <c r="H2413" s="6">
        <f>ROUND(G2413*F2413,2)</f>
        <v/>
      </c>
      <c r="I2413">
        <f>IF(ROUND(H2413-D2413,2)=0,1,0)</f>
        <v/>
      </c>
      <c r="J2413">
        <f>IF(F2413="","none",IF(G2413=1,"carte","multiple"))</f>
        <v/>
      </c>
    </row>
    <row r="2414">
      <c r="A2414" t="inlineStr">
        <is>
          <t>2022-07-02</t>
        </is>
      </c>
      <c r="B2414" t="inlineStr">
        <is>
          <t>19:56</t>
        </is>
      </c>
      <c r="C2414" t="n">
        <v>2996</v>
      </c>
      <c r="D2414" s="6" t="n">
        <v>4.4</v>
      </c>
      <c r="E2414" t="n">
        <v>39274</v>
      </c>
      <c r="F2414" s="6" t="n">
        <v>0.4</v>
      </c>
      <c r="G2414" t="n">
        <v>11</v>
      </c>
      <c r="H2414" s="6">
        <f>ROUND(G2414*F2414,2)</f>
        <v/>
      </c>
      <c r="I2414">
        <f>IF(ROUND(H2414-D2414,2)=0,1,0)</f>
        <v/>
      </c>
      <c r="J2414">
        <f>IF(F2414="","none",IF(G2414=1,"carte","multiple"))</f>
        <v/>
      </c>
    </row>
    <row r="2415">
      <c r="A2415" t="inlineStr">
        <is>
          <t>2022-07-02</t>
        </is>
      </c>
      <c r="B2415" t="inlineStr">
        <is>
          <t>19:56</t>
        </is>
      </c>
      <c r="C2415" t="n">
        <v>2996</v>
      </c>
      <c r="D2415" s="6" t="n">
        <v>17.6</v>
      </c>
      <c r="E2415" t="n">
        <v>39275</v>
      </c>
      <c r="F2415" s="6" t="n">
        <v>17.6</v>
      </c>
      <c r="G2415" t="n">
        <v>1</v>
      </c>
      <c r="H2415" s="6">
        <f>ROUND(G2415*F2415,2)</f>
        <v/>
      </c>
      <c r="I2415">
        <f>IF(ROUND(H2415-D2415,2)=0,1,0)</f>
        <v/>
      </c>
      <c r="J2415">
        <f>IF(F2415="","none",IF(G2415=1,"carte","multiple"))</f>
        <v/>
      </c>
    </row>
    <row r="2416">
      <c r="A2416" t="inlineStr">
        <is>
          <t>2022-07-02</t>
        </is>
      </c>
      <c r="B2416" t="inlineStr">
        <is>
          <t>19:56</t>
        </is>
      </c>
      <c r="C2416" t="n">
        <v>2996</v>
      </c>
      <c r="D2416" s="6" t="n">
        <v>19</v>
      </c>
      <c r="E2416" t="n">
        <v>39276</v>
      </c>
      <c r="F2416" s="6" t="n">
        <v>19</v>
      </c>
      <c r="G2416" t="n">
        <v>1</v>
      </c>
      <c r="H2416" s="6">
        <f>ROUND(G2416*F2416,2)</f>
        <v/>
      </c>
      <c r="I2416">
        <f>IF(ROUND(H2416-D2416,2)=0,1,0)</f>
        <v/>
      </c>
      <c r="J2416">
        <f>IF(F2416="","none",IF(G2416=1,"carte","multiple"))</f>
        <v/>
      </c>
    </row>
    <row r="2417">
      <c r="A2417" t="inlineStr">
        <is>
          <t>2022-07-02</t>
        </is>
      </c>
      <c r="B2417" t="inlineStr">
        <is>
          <t>19:56</t>
        </is>
      </c>
      <c r="C2417" t="n">
        <v>2996</v>
      </c>
      <c r="D2417" s="6" t="n">
        <v>9.6</v>
      </c>
      <c r="E2417" t="n">
        <v>39277</v>
      </c>
      <c r="F2417" s="6" t="n">
        <v>9.6</v>
      </c>
      <c r="G2417" t="n">
        <v>1</v>
      </c>
      <c r="H2417" s="6">
        <f>ROUND(G2417*F2417,2)</f>
        <v/>
      </c>
      <c r="I2417">
        <f>IF(ROUND(H2417-D2417,2)=0,1,0)</f>
        <v/>
      </c>
      <c r="J2417">
        <f>IF(F2417="","none",IF(G2417=1,"carte","multiple"))</f>
        <v/>
      </c>
    </row>
    <row r="2418">
      <c r="A2418" t="inlineStr">
        <is>
          <t>2022-07-02</t>
        </is>
      </c>
      <c r="B2418" t="inlineStr">
        <is>
          <t>19:56</t>
        </is>
      </c>
      <c r="C2418" t="n">
        <v>2996</v>
      </c>
      <c r="D2418" s="6" t="n">
        <v>9</v>
      </c>
      <c r="E2418" t="n">
        <v>39278</v>
      </c>
      <c r="F2418" s="6" t="n">
        <v>9</v>
      </c>
      <c r="G2418" t="n">
        <v>1</v>
      </c>
      <c r="H2418" s="6">
        <f>ROUND(G2418*F2418,2)</f>
        <v/>
      </c>
      <c r="I2418">
        <f>IF(ROUND(H2418-D2418,2)=0,1,0)</f>
        <v/>
      </c>
      <c r="J2418">
        <f>IF(F2418="","none",IF(G2418=1,"carte","multiple"))</f>
        <v/>
      </c>
    </row>
    <row r="2419">
      <c r="A2419" t="inlineStr">
        <is>
          <t>2022-07-02</t>
        </is>
      </c>
      <c r="B2419" t="inlineStr">
        <is>
          <t>19:56</t>
        </is>
      </c>
      <c r="C2419" t="n">
        <v>2996</v>
      </c>
      <c r="D2419" s="6" t="n">
        <v>3.9</v>
      </c>
      <c r="E2419" t="n">
        <v>39279</v>
      </c>
      <c r="F2419" s="6" t="n">
        <v>3.9</v>
      </c>
      <c r="G2419" t="n">
        <v>1</v>
      </c>
      <c r="H2419" s="6">
        <f>ROUND(G2419*F2419,2)</f>
        <v/>
      </c>
      <c r="I2419">
        <f>IF(ROUND(H2419-D2419,2)=0,1,0)</f>
        <v/>
      </c>
      <c r="J2419">
        <f>IF(F2419="","none",IF(G2419=1,"carte","multiple"))</f>
        <v/>
      </c>
    </row>
    <row r="2420">
      <c r="A2420" t="inlineStr">
        <is>
          <t>2022-07-02</t>
        </is>
      </c>
      <c r="B2420" t="inlineStr">
        <is>
          <t>19:57</t>
        </is>
      </c>
      <c r="C2420" t="n">
        <v>2996</v>
      </c>
      <c r="D2420" s="6" t="n">
        <v>19</v>
      </c>
      <c r="E2420" t="n">
        <v>39280</v>
      </c>
      <c r="F2420" s="6" t="n">
        <v>19</v>
      </c>
      <c r="G2420" t="n">
        <v>1</v>
      </c>
      <c r="H2420" s="6">
        <f>ROUND(G2420*F2420,2)</f>
        <v/>
      </c>
      <c r="I2420">
        <f>IF(ROUND(H2420-D2420,2)=0,1,0)</f>
        <v/>
      </c>
      <c r="J2420">
        <f>IF(F2420="","none",IF(G2420=1,"carte","multiple"))</f>
        <v/>
      </c>
    </row>
    <row r="2421">
      <c r="A2421" t="inlineStr">
        <is>
          <t>2022-07-02</t>
        </is>
      </c>
      <c r="B2421" t="inlineStr">
        <is>
          <t>19:58</t>
        </is>
      </c>
      <c r="C2421" t="n">
        <v>2996</v>
      </c>
      <c r="D2421" s="6" t="n">
        <v>9.9</v>
      </c>
      <c r="E2421" t="n">
        <v>39281</v>
      </c>
      <c r="F2421" s="6" t="n">
        <v>9.9</v>
      </c>
      <c r="G2421" t="n">
        <v>1</v>
      </c>
      <c r="H2421" s="6">
        <f>ROUND(G2421*F2421,2)</f>
        <v/>
      </c>
      <c r="I2421">
        <f>IF(ROUND(H2421-D2421,2)=0,1,0)</f>
        <v/>
      </c>
      <c r="J2421">
        <f>IF(F2421="","none",IF(G2421=1,"carte","multiple"))</f>
        <v/>
      </c>
    </row>
    <row r="2422">
      <c r="A2422" t="inlineStr">
        <is>
          <t>2022-07-02</t>
        </is>
      </c>
      <c r="B2422" t="inlineStr">
        <is>
          <t>20:05</t>
        </is>
      </c>
      <c r="C2422" t="n">
        <v>2996</v>
      </c>
      <c r="D2422" s="6" t="n">
        <v>3.9</v>
      </c>
      <c r="E2422" t="n">
        <v>39282</v>
      </c>
      <c r="F2422" s="6" t="n">
        <v>3.9</v>
      </c>
      <c r="G2422" t="n">
        <v>1</v>
      </c>
      <c r="H2422" s="6">
        <f>ROUND(G2422*F2422,2)</f>
        <v/>
      </c>
      <c r="I2422">
        <f>IF(ROUND(H2422-D2422,2)=0,1,0)</f>
        <v/>
      </c>
      <c r="J2422">
        <f>IF(F2422="","none",IF(G2422=1,"carte","multiple"))</f>
        <v/>
      </c>
    </row>
    <row r="2423">
      <c r="A2423" t="inlineStr">
        <is>
          <t>2022-07-02</t>
        </is>
      </c>
      <c r="B2423" t="inlineStr">
        <is>
          <t>20:05</t>
        </is>
      </c>
      <c r="C2423" t="n">
        <v>2996</v>
      </c>
      <c r="D2423" s="6" t="n">
        <v>13</v>
      </c>
      <c r="E2423" t="n">
        <v>39283</v>
      </c>
      <c r="F2423" s="6" t="n">
        <v>13</v>
      </c>
      <c r="G2423" t="n">
        <v>1</v>
      </c>
      <c r="H2423" s="6">
        <f>ROUND(G2423*F2423,2)</f>
        <v/>
      </c>
      <c r="I2423">
        <f>IF(ROUND(H2423-D2423,2)=0,1,0)</f>
        <v/>
      </c>
      <c r="J2423">
        <f>IF(F2423="","none",IF(G2423=1,"carte","multiple"))</f>
        <v/>
      </c>
    </row>
    <row r="2424">
      <c r="A2424" t="inlineStr">
        <is>
          <t>2022-07-02</t>
        </is>
      </c>
      <c r="B2424" t="inlineStr">
        <is>
          <t>20:05</t>
        </is>
      </c>
      <c r="C2424" t="n">
        <v>2996</v>
      </c>
      <c r="D2424" s="6" t="n">
        <v>33.8</v>
      </c>
      <c r="E2424" t="n">
        <v>39284</v>
      </c>
      <c r="F2424" s="6" t="n">
        <v>16.9</v>
      </c>
      <c r="G2424" t="n">
        <v>2</v>
      </c>
      <c r="H2424" s="6">
        <f>ROUND(G2424*F2424,2)</f>
        <v/>
      </c>
      <c r="I2424">
        <f>IF(ROUND(H2424-D2424,2)=0,1,0)</f>
        <v/>
      </c>
      <c r="J2424">
        <f>IF(F2424="","none",IF(G2424=1,"carte","multiple"))</f>
        <v/>
      </c>
    </row>
    <row r="2425">
      <c r="A2425" t="inlineStr">
        <is>
          <t>2022-07-02</t>
        </is>
      </c>
      <c r="B2425" t="inlineStr">
        <is>
          <t>20:05</t>
        </is>
      </c>
      <c r="C2425" t="n">
        <v>2996</v>
      </c>
      <c r="D2425" s="6" t="n">
        <v>10.9</v>
      </c>
      <c r="E2425" t="n">
        <v>39285</v>
      </c>
      <c r="F2425" s="6" t="n">
        <v>10.9</v>
      </c>
      <c r="G2425" t="n">
        <v>1</v>
      </c>
      <c r="H2425" s="6">
        <f>ROUND(G2425*F2425,2)</f>
        <v/>
      </c>
      <c r="I2425">
        <f>IF(ROUND(H2425-D2425,2)=0,1,0)</f>
        <v/>
      </c>
      <c r="J2425">
        <f>IF(F2425="","none",IF(G2425=1,"carte","multiple"))</f>
        <v/>
      </c>
    </row>
    <row r="2426">
      <c r="A2426" t="inlineStr">
        <is>
          <t>2022-07-02</t>
        </is>
      </c>
      <c r="B2426" t="inlineStr">
        <is>
          <t>20:05</t>
        </is>
      </c>
      <c r="C2426" t="n">
        <v>2996</v>
      </c>
      <c r="D2426" s="6" t="n">
        <v>16.9</v>
      </c>
      <c r="E2426" t="n">
        <v>39286</v>
      </c>
      <c r="F2426" s="6" t="n">
        <v>16.9</v>
      </c>
      <c r="G2426" t="n">
        <v>1</v>
      </c>
      <c r="H2426" s="6">
        <f>ROUND(G2426*F2426,2)</f>
        <v/>
      </c>
      <c r="I2426">
        <f>IF(ROUND(H2426-D2426,2)=0,1,0)</f>
        <v/>
      </c>
      <c r="J2426">
        <f>IF(F2426="","none",IF(G2426=1,"carte","multiple"))</f>
        <v/>
      </c>
    </row>
    <row r="2427">
      <c r="A2427" t="inlineStr">
        <is>
          <t>2022-07-02</t>
        </is>
      </c>
      <c r="B2427" t="inlineStr">
        <is>
          <t>20:05</t>
        </is>
      </c>
      <c r="C2427" t="n">
        <v>2996</v>
      </c>
      <c r="D2427" s="6" t="n">
        <v>23</v>
      </c>
      <c r="E2427" t="n">
        <v>39287</v>
      </c>
      <c r="F2427" s="6" t="n">
        <v>23</v>
      </c>
      <c r="G2427" t="n">
        <v>1</v>
      </c>
      <c r="H2427" s="6">
        <f>ROUND(G2427*F2427,2)</f>
        <v/>
      </c>
      <c r="I2427">
        <f>IF(ROUND(H2427-D2427,2)=0,1,0)</f>
        <v/>
      </c>
      <c r="J2427">
        <f>IF(F2427="","none",IF(G2427=1,"carte","multiple"))</f>
        <v/>
      </c>
    </row>
    <row r="2428">
      <c r="A2428" t="inlineStr">
        <is>
          <t>2022-07-02</t>
        </is>
      </c>
      <c r="B2428" t="inlineStr">
        <is>
          <t>20:16</t>
        </is>
      </c>
      <c r="C2428" t="n">
        <v>2996</v>
      </c>
      <c r="D2428" s="6" t="n">
        <v>2.2</v>
      </c>
      <c r="E2428" t="n">
        <v>39288</v>
      </c>
      <c r="F2428" s="6" t="n">
        <v>2.2</v>
      </c>
      <c r="G2428" t="n">
        <v>1</v>
      </c>
      <c r="H2428" s="6">
        <f>ROUND(G2428*F2428,2)</f>
        <v/>
      </c>
      <c r="I2428">
        <f>IF(ROUND(H2428-D2428,2)=0,1,0)</f>
        <v/>
      </c>
      <c r="J2428">
        <f>IF(F2428="","none",IF(G2428=1,"carte","multiple"))</f>
        <v/>
      </c>
    </row>
    <row r="2429">
      <c r="A2429" t="inlineStr">
        <is>
          <t>2022-07-03</t>
        </is>
      </c>
      <c r="B2429" t="inlineStr">
        <is>
          <t>12:15</t>
        </is>
      </c>
      <c r="C2429" t="n">
        <v>2997</v>
      </c>
      <c r="D2429" s="6" t="n">
        <v>5.8</v>
      </c>
      <c r="E2429" t="n">
        <v>39291</v>
      </c>
      <c r="F2429" s="6" t="n">
        <v>5.8</v>
      </c>
      <c r="G2429" t="n">
        <v>1</v>
      </c>
      <c r="H2429" s="6">
        <f>ROUND(G2429*F2429,2)</f>
        <v/>
      </c>
      <c r="I2429">
        <f>IF(ROUND(H2429-D2429,2)=0,1,0)</f>
        <v/>
      </c>
      <c r="J2429">
        <f>IF(F2429="","none",IF(G2429=1,"carte","multiple"))</f>
        <v/>
      </c>
    </row>
    <row r="2430">
      <c r="A2430" t="inlineStr">
        <is>
          <t>2022-07-03</t>
        </is>
      </c>
      <c r="B2430" t="inlineStr">
        <is>
          <t>12:23</t>
        </is>
      </c>
      <c r="C2430" t="n">
        <v>2997</v>
      </c>
      <c r="D2430" s="6" t="n">
        <v>2.2</v>
      </c>
      <c r="E2430" t="n">
        <v>39292</v>
      </c>
      <c r="F2430" s="6" t="n">
        <v>2.2</v>
      </c>
      <c r="G2430" t="n">
        <v>1</v>
      </c>
      <c r="H2430" s="6">
        <f>ROUND(G2430*F2430,2)</f>
        <v/>
      </c>
      <c r="I2430">
        <f>IF(ROUND(H2430-D2430,2)=0,1,0)</f>
        <v/>
      </c>
      <c r="J2430">
        <f>IF(F2430="","none",IF(G2430=1,"carte","multiple"))</f>
        <v/>
      </c>
    </row>
    <row r="2431">
      <c r="A2431" t="inlineStr">
        <is>
          <t>2022-07-03</t>
        </is>
      </c>
      <c r="B2431" t="inlineStr">
        <is>
          <t>12:23</t>
        </is>
      </c>
      <c r="C2431" t="n">
        <v>2997</v>
      </c>
      <c r="D2431" s="6" t="n">
        <v>3.9</v>
      </c>
      <c r="E2431" t="n">
        <v>39293</v>
      </c>
      <c r="F2431" s="6" t="n">
        <v>3.9</v>
      </c>
      <c r="G2431" t="n">
        <v>1</v>
      </c>
      <c r="H2431" s="6">
        <f>ROUND(G2431*F2431,2)</f>
        <v/>
      </c>
      <c r="I2431">
        <f>IF(ROUND(H2431-D2431,2)=0,1,0)</f>
        <v/>
      </c>
      <c r="J2431">
        <f>IF(F2431="","none",IF(G2431=1,"carte","multiple"))</f>
        <v/>
      </c>
    </row>
    <row r="2432">
      <c r="A2432" t="inlineStr">
        <is>
          <t>2022-07-03</t>
        </is>
      </c>
      <c r="B2432" t="inlineStr">
        <is>
          <t>12:23</t>
        </is>
      </c>
      <c r="C2432" t="n">
        <v>2997</v>
      </c>
      <c r="D2432" s="6" t="n">
        <v>19.9</v>
      </c>
      <c r="E2432" t="n">
        <v>39294</v>
      </c>
      <c r="F2432" s="6" t="n">
        <v>19.9</v>
      </c>
      <c r="G2432" t="n">
        <v>1</v>
      </c>
      <c r="H2432" s="6">
        <f>ROUND(G2432*F2432,2)</f>
        <v/>
      </c>
      <c r="I2432">
        <f>IF(ROUND(H2432-D2432,2)=0,1,0)</f>
        <v/>
      </c>
      <c r="J2432">
        <f>IF(F2432="","none",IF(G2432=1,"carte","multiple"))</f>
        <v/>
      </c>
    </row>
    <row r="2433">
      <c r="A2433" t="inlineStr">
        <is>
          <t>2022-07-03</t>
        </is>
      </c>
      <c r="B2433" t="inlineStr">
        <is>
          <t>12:23</t>
        </is>
      </c>
      <c r="C2433" t="n">
        <v>2997</v>
      </c>
      <c r="D2433" s="6" t="n">
        <v>15.9</v>
      </c>
      <c r="E2433" t="n">
        <v>39295</v>
      </c>
      <c r="F2433" s="6" t="n">
        <v>15.9</v>
      </c>
      <c r="G2433" t="n">
        <v>1</v>
      </c>
      <c r="H2433" s="6">
        <f>ROUND(G2433*F2433,2)</f>
        <v/>
      </c>
      <c r="I2433">
        <f>IF(ROUND(H2433-D2433,2)=0,1,0)</f>
        <v/>
      </c>
      <c r="J2433">
        <f>IF(F2433="","none",IF(G2433=1,"carte","multiple"))</f>
        <v/>
      </c>
    </row>
    <row r="2434">
      <c r="A2434" t="inlineStr">
        <is>
          <t>2022-07-03</t>
        </is>
      </c>
      <c r="B2434" t="inlineStr">
        <is>
          <t>12:23</t>
        </is>
      </c>
      <c r="C2434" t="n">
        <v>2997</v>
      </c>
      <c r="D2434" s="6" t="n">
        <v>3.6</v>
      </c>
      <c r="E2434" t="n">
        <v>39296</v>
      </c>
      <c r="F2434" s="6" t="n">
        <v>3.6</v>
      </c>
      <c r="G2434" t="n">
        <v>1</v>
      </c>
      <c r="H2434" s="6">
        <f>ROUND(G2434*F2434,2)</f>
        <v/>
      </c>
      <c r="I2434">
        <f>IF(ROUND(H2434-D2434,2)=0,1,0)</f>
        <v/>
      </c>
      <c r="J2434">
        <f>IF(F2434="","none",IF(G2434=1,"carte","multiple"))</f>
        <v/>
      </c>
    </row>
    <row r="2435">
      <c r="A2435" t="inlineStr">
        <is>
          <t>2022-07-03</t>
        </is>
      </c>
      <c r="B2435" t="inlineStr">
        <is>
          <t>12:23</t>
        </is>
      </c>
      <c r="C2435" t="n">
        <v>2997</v>
      </c>
      <c r="D2435" s="6" t="n">
        <v>4.2</v>
      </c>
      <c r="E2435" t="n">
        <v>39297</v>
      </c>
      <c r="F2435" s="6" t="n">
        <v>4.2</v>
      </c>
      <c r="G2435" t="n">
        <v>1</v>
      </c>
      <c r="H2435" s="6">
        <f>ROUND(G2435*F2435,2)</f>
        <v/>
      </c>
      <c r="I2435">
        <f>IF(ROUND(H2435-D2435,2)=0,1,0)</f>
        <v/>
      </c>
      <c r="J2435">
        <f>IF(F2435="","none",IF(G2435=1,"carte","multiple"))</f>
        <v/>
      </c>
    </row>
    <row r="2436">
      <c r="A2436" t="inlineStr">
        <is>
          <t>2022-07-03</t>
        </is>
      </c>
      <c r="B2436" t="inlineStr">
        <is>
          <t>12:23</t>
        </is>
      </c>
      <c r="C2436" t="n">
        <v>2997</v>
      </c>
      <c r="D2436" s="6" t="n">
        <v>4.2</v>
      </c>
      <c r="E2436" t="n">
        <v>39298</v>
      </c>
      <c r="F2436" s="6" t="n">
        <v>4.2</v>
      </c>
      <c r="G2436" t="n">
        <v>1</v>
      </c>
      <c r="H2436" s="6">
        <f>ROUND(G2436*F2436,2)</f>
        <v/>
      </c>
      <c r="I2436">
        <f>IF(ROUND(H2436-D2436,2)=0,1,0)</f>
        <v/>
      </c>
      <c r="J2436">
        <f>IF(F2436="","none",IF(G2436=1,"carte","multiple"))</f>
        <v/>
      </c>
    </row>
    <row r="2437">
      <c r="A2437" t="inlineStr">
        <is>
          <t>2022-07-03</t>
        </is>
      </c>
      <c r="B2437" t="inlineStr">
        <is>
          <t>12:34</t>
        </is>
      </c>
      <c r="C2437" t="n">
        <v>2997</v>
      </c>
      <c r="D2437" s="6" t="n">
        <v>6.9</v>
      </c>
      <c r="E2437" t="n">
        <v>39299</v>
      </c>
      <c r="F2437" s="6" t="n">
        <v>6.9</v>
      </c>
      <c r="G2437" t="n">
        <v>1</v>
      </c>
      <c r="H2437" s="6">
        <f>ROUND(G2437*F2437,2)</f>
        <v/>
      </c>
      <c r="I2437">
        <f>IF(ROUND(H2437-D2437,2)=0,1,0)</f>
        <v/>
      </c>
      <c r="J2437">
        <f>IF(F2437="","none",IF(G2437=1,"carte","multiple"))</f>
        <v/>
      </c>
    </row>
    <row r="2438">
      <c r="A2438" t="inlineStr">
        <is>
          <t>2022-07-03</t>
        </is>
      </c>
      <c r="B2438" t="inlineStr">
        <is>
          <t>12:35</t>
        </is>
      </c>
      <c r="C2438" t="n">
        <v>2997</v>
      </c>
      <c r="D2438" s="6" t="n">
        <v>2</v>
      </c>
      <c r="E2438" t="n">
        <v>39300</v>
      </c>
      <c r="F2438" s="6" t="n">
        <v>2</v>
      </c>
      <c r="G2438" t="n">
        <v>1</v>
      </c>
      <c r="H2438" s="6">
        <f>ROUND(G2438*F2438,2)</f>
        <v/>
      </c>
      <c r="I2438">
        <f>IF(ROUND(H2438-D2438,2)=0,1,0)</f>
        <v/>
      </c>
      <c r="J2438">
        <f>IF(F2438="","none",IF(G2438=1,"carte","multiple"))</f>
        <v/>
      </c>
    </row>
    <row r="2439">
      <c r="A2439" t="inlineStr">
        <is>
          <t>2022-07-03</t>
        </is>
      </c>
      <c r="B2439" t="inlineStr">
        <is>
          <t>12:46</t>
        </is>
      </c>
      <c r="C2439" t="n">
        <v>2997</v>
      </c>
      <c r="D2439" s="6" t="n">
        <v>6.6</v>
      </c>
      <c r="E2439" t="n">
        <v>39301</v>
      </c>
      <c r="F2439" s="6" t="n">
        <v>6.6</v>
      </c>
      <c r="G2439" t="n">
        <v>1</v>
      </c>
      <c r="H2439" s="6">
        <f>ROUND(G2439*F2439,2)</f>
        <v/>
      </c>
      <c r="I2439">
        <f>IF(ROUND(H2439-D2439,2)=0,1,0)</f>
        <v/>
      </c>
      <c r="J2439">
        <f>IF(F2439="","none",IF(G2439=1,"carte","multiple"))</f>
        <v/>
      </c>
    </row>
    <row r="2440">
      <c r="A2440" t="inlineStr">
        <is>
          <t>2022-07-03</t>
        </is>
      </c>
      <c r="B2440" t="inlineStr">
        <is>
          <t>12:46</t>
        </is>
      </c>
      <c r="C2440" t="n">
        <v>2997</v>
      </c>
      <c r="D2440" s="6" t="n">
        <v>17.6</v>
      </c>
      <c r="E2440" t="n">
        <v>39302</v>
      </c>
      <c r="F2440" s="6" t="n">
        <v>17.6</v>
      </c>
      <c r="G2440" t="n">
        <v>1</v>
      </c>
      <c r="H2440" s="6">
        <f>ROUND(G2440*F2440,2)</f>
        <v/>
      </c>
      <c r="I2440">
        <f>IF(ROUND(H2440-D2440,2)=0,1,0)</f>
        <v/>
      </c>
      <c r="J2440">
        <f>IF(F2440="","none",IF(G2440=1,"carte","multiple"))</f>
        <v/>
      </c>
    </row>
    <row r="2441">
      <c r="A2441" t="inlineStr">
        <is>
          <t>2022-07-03</t>
        </is>
      </c>
      <c r="B2441" t="inlineStr">
        <is>
          <t>12:46</t>
        </is>
      </c>
      <c r="C2441" t="n">
        <v>2997</v>
      </c>
      <c r="D2441" s="6" t="n">
        <v>59.7</v>
      </c>
      <c r="E2441" t="n">
        <v>39303</v>
      </c>
      <c r="F2441" s="6" t="n">
        <v>19.9</v>
      </c>
      <c r="G2441" t="n">
        <v>3</v>
      </c>
      <c r="H2441" s="6">
        <f>ROUND(G2441*F2441,2)</f>
        <v/>
      </c>
      <c r="I2441">
        <f>IF(ROUND(H2441-D2441,2)=0,1,0)</f>
        <v/>
      </c>
      <c r="J2441">
        <f>IF(F2441="","none",IF(G2441=1,"carte","multiple"))</f>
        <v/>
      </c>
    </row>
    <row r="2442">
      <c r="A2442" t="inlineStr">
        <is>
          <t>2022-07-03</t>
        </is>
      </c>
      <c r="B2442" t="inlineStr">
        <is>
          <t>12:46</t>
        </is>
      </c>
      <c r="C2442" t="n">
        <v>2997</v>
      </c>
      <c r="D2442" s="6" t="n">
        <v>5.9</v>
      </c>
      <c r="E2442" t="n">
        <v>39304</v>
      </c>
      <c r="F2442" s="6" t="n">
        <v>5.9</v>
      </c>
      <c r="G2442" t="n">
        <v>1</v>
      </c>
      <c r="H2442" s="6">
        <f>ROUND(G2442*F2442,2)</f>
        <v/>
      </c>
      <c r="I2442">
        <f>IF(ROUND(H2442-D2442,2)=0,1,0)</f>
        <v/>
      </c>
      <c r="J2442">
        <f>IF(F2442="","none",IF(G2442=1,"carte","multiple"))</f>
        <v/>
      </c>
    </row>
    <row r="2443">
      <c r="A2443" t="inlineStr">
        <is>
          <t>2022-07-03</t>
        </is>
      </c>
      <c r="B2443" t="inlineStr">
        <is>
          <t>12:46</t>
        </is>
      </c>
      <c r="C2443" t="n">
        <v>2997</v>
      </c>
      <c r="D2443" s="6" t="n">
        <v>24.9</v>
      </c>
      <c r="E2443" t="n">
        <v>39305</v>
      </c>
      <c r="F2443" s="6" t="n">
        <v>24.9</v>
      </c>
      <c r="G2443" t="n">
        <v>1</v>
      </c>
      <c r="H2443" s="6">
        <f>ROUND(G2443*F2443,2)</f>
        <v/>
      </c>
      <c r="I2443">
        <f>IF(ROUND(H2443-D2443,2)=0,1,0)</f>
        <v/>
      </c>
      <c r="J2443">
        <f>IF(F2443="","none",IF(G2443=1,"carte","multiple"))</f>
        <v/>
      </c>
    </row>
    <row r="2444">
      <c r="A2444" t="inlineStr">
        <is>
          <t>2022-07-03</t>
        </is>
      </c>
      <c r="B2444" t="inlineStr">
        <is>
          <t>13:18</t>
        </is>
      </c>
      <c r="C2444" t="n">
        <v>2997</v>
      </c>
      <c r="D2444" s="6" t="n">
        <v>1.8</v>
      </c>
      <c r="E2444" t="n">
        <v>39307</v>
      </c>
      <c r="F2444" s="6" t="n">
        <v>1.8</v>
      </c>
      <c r="G2444" t="n">
        <v>1</v>
      </c>
      <c r="H2444" s="6">
        <f>ROUND(G2444*F2444,2)</f>
        <v/>
      </c>
      <c r="I2444">
        <f>IF(ROUND(H2444-D2444,2)=0,1,0)</f>
        <v/>
      </c>
      <c r="J2444">
        <f>IF(F2444="","none",IF(G2444=1,"carte","multiple"))</f>
        <v/>
      </c>
    </row>
    <row r="2445">
      <c r="A2445" t="inlineStr">
        <is>
          <t>2022-07-03</t>
        </is>
      </c>
      <c r="B2445" t="inlineStr">
        <is>
          <t>13:18</t>
        </is>
      </c>
      <c r="C2445" t="n">
        <v>2997</v>
      </c>
      <c r="D2445" s="6" t="n">
        <v>1.8</v>
      </c>
      <c r="E2445" t="n">
        <v>39308</v>
      </c>
      <c r="F2445" s="6" t="n">
        <v>1.8</v>
      </c>
      <c r="G2445" t="n">
        <v>1</v>
      </c>
      <c r="H2445" s="6">
        <f>ROUND(G2445*F2445,2)</f>
        <v/>
      </c>
      <c r="I2445">
        <f>IF(ROUND(H2445-D2445,2)=0,1,0)</f>
        <v/>
      </c>
      <c r="J2445">
        <f>IF(F2445="","none",IF(G2445=1,"carte","multiple"))</f>
        <v/>
      </c>
    </row>
    <row r="2446">
      <c r="A2446" t="inlineStr">
        <is>
          <t>2022-07-03</t>
        </is>
      </c>
      <c r="B2446" t="inlineStr">
        <is>
          <t>13:18</t>
        </is>
      </c>
      <c r="C2446" t="n">
        <v>2997</v>
      </c>
      <c r="D2446" s="6" t="n">
        <v>5.8</v>
      </c>
      <c r="E2446" t="n">
        <v>39309</v>
      </c>
      <c r="F2446" s="6" t="n">
        <v>5.8</v>
      </c>
      <c r="G2446" t="n">
        <v>1</v>
      </c>
      <c r="H2446" s="6">
        <f>ROUND(G2446*F2446,2)</f>
        <v/>
      </c>
      <c r="I2446">
        <f>IF(ROUND(H2446-D2446,2)=0,1,0)</f>
        <v/>
      </c>
      <c r="J2446">
        <f>IF(F2446="","none",IF(G2446=1,"carte","multiple"))</f>
        <v/>
      </c>
    </row>
    <row r="2447">
      <c r="A2447" t="inlineStr">
        <is>
          <t>2022-07-03</t>
        </is>
      </c>
      <c r="B2447" t="inlineStr">
        <is>
          <t>13:18</t>
        </is>
      </c>
      <c r="C2447" t="n">
        <v>2997</v>
      </c>
      <c r="D2447" s="6" t="n">
        <v>3.9</v>
      </c>
      <c r="E2447" t="n">
        <v>39310</v>
      </c>
      <c r="F2447" s="6" t="n">
        <v>3.9</v>
      </c>
      <c r="G2447" t="n">
        <v>1</v>
      </c>
      <c r="H2447" s="6">
        <f>ROUND(G2447*F2447,2)</f>
        <v/>
      </c>
      <c r="I2447">
        <f>IF(ROUND(H2447-D2447,2)=0,1,0)</f>
        <v/>
      </c>
      <c r="J2447">
        <f>IF(F2447="","none",IF(G2447=1,"carte","multiple"))</f>
        <v/>
      </c>
    </row>
    <row r="2448">
      <c r="A2448" t="inlineStr">
        <is>
          <t>2022-07-03</t>
        </is>
      </c>
      <c r="B2448" t="inlineStr">
        <is>
          <t>13:18</t>
        </is>
      </c>
      <c r="C2448" t="n">
        <v>2997</v>
      </c>
      <c r="D2448" s="6" t="n">
        <v>4</v>
      </c>
      <c r="E2448" t="n">
        <v>39311</v>
      </c>
      <c r="F2448" s="6" t="n">
        <v>4</v>
      </c>
      <c r="G2448" t="n">
        <v>1</v>
      </c>
      <c r="H2448" s="6">
        <f>ROUND(G2448*F2448,2)</f>
        <v/>
      </c>
      <c r="I2448">
        <f>IF(ROUND(H2448-D2448,2)=0,1,0)</f>
        <v/>
      </c>
      <c r="J2448">
        <f>IF(F2448="","none",IF(G2448=1,"carte","multiple"))</f>
        <v/>
      </c>
    </row>
    <row r="2449">
      <c r="A2449" t="inlineStr">
        <is>
          <t>2022-07-03</t>
        </is>
      </c>
      <c r="B2449" t="inlineStr">
        <is>
          <t>13:18</t>
        </is>
      </c>
      <c r="C2449" t="n">
        <v>2997</v>
      </c>
      <c r="D2449" s="6" t="n">
        <v>3.3</v>
      </c>
      <c r="E2449" t="n">
        <v>39312</v>
      </c>
      <c r="F2449" s="6" t="n">
        <v>3.3</v>
      </c>
      <c r="G2449" t="n">
        <v>1</v>
      </c>
      <c r="H2449" s="6">
        <f>ROUND(G2449*F2449,2)</f>
        <v/>
      </c>
      <c r="I2449">
        <f>IF(ROUND(H2449-D2449,2)=0,1,0)</f>
        <v/>
      </c>
      <c r="J2449">
        <f>IF(F2449="","none",IF(G2449=1,"carte","multiple"))</f>
        <v/>
      </c>
    </row>
    <row r="2450">
      <c r="A2450" t="inlineStr">
        <is>
          <t>2022-07-03</t>
        </is>
      </c>
      <c r="B2450" t="inlineStr">
        <is>
          <t>13:18</t>
        </is>
      </c>
      <c r="C2450" t="n">
        <v>2997</v>
      </c>
      <c r="D2450" s="6" t="n">
        <v>0.9</v>
      </c>
      <c r="E2450" t="n">
        <v>39313</v>
      </c>
      <c r="F2450" s="6" t="n">
        <v>0.9</v>
      </c>
      <c r="G2450" t="n">
        <v>1</v>
      </c>
      <c r="H2450" s="6">
        <f>ROUND(G2450*F2450,2)</f>
        <v/>
      </c>
      <c r="I2450">
        <f>IF(ROUND(H2450-D2450,2)=0,1,0)</f>
        <v/>
      </c>
      <c r="J2450">
        <f>IF(F2450="","none",IF(G2450=1,"carte","multiple"))</f>
        <v/>
      </c>
    </row>
    <row r="2451">
      <c r="A2451" t="inlineStr">
        <is>
          <t>2022-07-03</t>
        </is>
      </c>
      <c r="B2451" t="inlineStr">
        <is>
          <t>13:18</t>
        </is>
      </c>
      <c r="C2451" t="n">
        <v>2997</v>
      </c>
      <c r="D2451" s="6" t="n">
        <v>6.1</v>
      </c>
      <c r="E2451" t="n">
        <v>39314</v>
      </c>
      <c r="F2451" s="6" t="n">
        <v>6.1</v>
      </c>
      <c r="G2451" t="n">
        <v>1</v>
      </c>
      <c r="H2451" s="6">
        <f>ROUND(G2451*F2451,2)</f>
        <v/>
      </c>
      <c r="I2451">
        <f>IF(ROUND(H2451-D2451,2)=0,1,0)</f>
        <v/>
      </c>
      <c r="J2451">
        <f>IF(F2451="","none",IF(G2451=1,"carte","multiple"))</f>
        <v/>
      </c>
    </row>
    <row r="2452">
      <c r="A2452" t="inlineStr">
        <is>
          <t>2022-07-03</t>
        </is>
      </c>
      <c r="B2452" t="inlineStr">
        <is>
          <t>13:18</t>
        </is>
      </c>
      <c r="C2452" t="n">
        <v>2997</v>
      </c>
      <c r="D2452" s="6" t="n">
        <v>5.4</v>
      </c>
      <c r="E2452" t="n">
        <v>39315</v>
      </c>
      <c r="F2452" s="6" t="n">
        <v>5.4</v>
      </c>
      <c r="G2452" t="n">
        <v>1</v>
      </c>
      <c r="H2452" s="6">
        <f>ROUND(G2452*F2452,2)</f>
        <v/>
      </c>
      <c r="I2452">
        <f>IF(ROUND(H2452-D2452,2)=0,1,0)</f>
        <v/>
      </c>
      <c r="J2452">
        <f>IF(F2452="","none",IF(G2452=1,"carte","multiple"))</f>
        <v/>
      </c>
    </row>
    <row r="2453">
      <c r="A2453" t="inlineStr">
        <is>
          <t>2022-07-03</t>
        </is>
      </c>
      <c r="B2453" t="inlineStr">
        <is>
          <t>13:18</t>
        </is>
      </c>
      <c r="C2453" t="n">
        <v>2997</v>
      </c>
      <c r="D2453" s="6" t="n">
        <v>5.8</v>
      </c>
      <c r="E2453" t="n">
        <v>39316</v>
      </c>
      <c r="F2453" s="6" t="n">
        <v>5.8</v>
      </c>
      <c r="G2453" t="n">
        <v>1</v>
      </c>
      <c r="H2453" s="6">
        <f>ROUND(G2453*F2453,2)</f>
        <v/>
      </c>
      <c r="I2453">
        <f>IF(ROUND(H2453-D2453,2)=0,1,0)</f>
        <v/>
      </c>
      <c r="J2453">
        <f>IF(F2453="","none",IF(G2453=1,"carte","multiple"))</f>
        <v/>
      </c>
    </row>
    <row r="2454">
      <c r="A2454" t="inlineStr">
        <is>
          <t>2022-07-03</t>
        </is>
      </c>
      <c r="B2454" t="inlineStr">
        <is>
          <t>13:18</t>
        </is>
      </c>
      <c r="C2454" t="n">
        <v>2997</v>
      </c>
      <c r="D2454" s="6" t="n">
        <v>9.800000000000001</v>
      </c>
      <c r="E2454" t="n">
        <v>39317</v>
      </c>
      <c r="F2454" s="6" t="n">
        <v>9.800000000000001</v>
      </c>
      <c r="G2454" t="n">
        <v>1</v>
      </c>
      <c r="H2454" s="6">
        <f>ROUND(G2454*F2454,2)</f>
        <v/>
      </c>
      <c r="I2454">
        <f>IF(ROUND(H2454-D2454,2)=0,1,0)</f>
        <v/>
      </c>
      <c r="J2454">
        <f>IF(F2454="","none",IF(G2454=1,"carte","multiple"))</f>
        <v/>
      </c>
    </row>
    <row r="2455">
      <c r="A2455" t="inlineStr">
        <is>
          <t>2022-07-03</t>
        </is>
      </c>
      <c r="B2455" t="inlineStr">
        <is>
          <t>13:18</t>
        </is>
      </c>
      <c r="C2455" t="n">
        <v>2997</v>
      </c>
      <c r="D2455" s="6" t="n">
        <v>6.5</v>
      </c>
      <c r="E2455" t="n">
        <v>39318</v>
      </c>
      <c r="F2455" s="6" t="n">
        <v>6.5</v>
      </c>
      <c r="G2455" t="n">
        <v>1</v>
      </c>
      <c r="H2455" s="6">
        <f>ROUND(G2455*F2455,2)</f>
        <v/>
      </c>
      <c r="I2455">
        <f>IF(ROUND(H2455-D2455,2)=0,1,0)</f>
        <v/>
      </c>
      <c r="J2455">
        <f>IF(F2455="","none",IF(G2455=1,"carte","multiple"))</f>
        <v/>
      </c>
    </row>
    <row r="2456">
      <c r="A2456" t="inlineStr">
        <is>
          <t>2022-07-03</t>
        </is>
      </c>
      <c r="B2456" t="inlineStr">
        <is>
          <t>17:43</t>
        </is>
      </c>
      <c r="C2456" t="n">
        <v>2997</v>
      </c>
      <c r="D2456" s="6" t="n">
        <v>7.9</v>
      </c>
      <c r="E2456" t="n">
        <v>39321</v>
      </c>
      <c r="F2456" s="6" t="n">
        <v>7.9</v>
      </c>
      <c r="G2456" t="n">
        <v>1</v>
      </c>
      <c r="H2456" s="6">
        <f>ROUND(G2456*F2456,2)</f>
        <v/>
      </c>
      <c r="I2456">
        <f>IF(ROUND(H2456-D2456,2)=0,1,0)</f>
        <v/>
      </c>
      <c r="J2456">
        <f>IF(F2456="","none",IF(G2456=1,"carte","multiple"))</f>
        <v/>
      </c>
    </row>
    <row r="2457">
      <c r="A2457" t="inlineStr">
        <is>
          <t>2022-07-03</t>
        </is>
      </c>
      <c r="B2457" t="inlineStr">
        <is>
          <t>18:06</t>
        </is>
      </c>
      <c r="C2457" t="n">
        <v>2997</v>
      </c>
      <c r="D2457" s="6" t="n">
        <v>2.9</v>
      </c>
      <c r="E2457" t="n">
        <v>39322</v>
      </c>
      <c r="F2457" s="6" t="n">
        <v>2.9</v>
      </c>
      <c r="G2457" t="n">
        <v>1</v>
      </c>
      <c r="H2457" s="6">
        <f>ROUND(G2457*F2457,2)</f>
        <v/>
      </c>
      <c r="I2457">
        <f>IF(ROUND(H2457-D2457,2)=0,1,0)</f>
        <v/>
      </c>
      <c r="J2457">
        <f>IF(F2457="","none",IF(G2457=1,"carte","multiple"))</f>
        <v/>
      </c>
    </row>
    <row r="2458">
      <c r="A2458" t="inlineStr">
        <is>
          <t>2022-07-03</t>
        </is>
      </c>
      <c r="B2458" t="inlineStr">
        <is>
          <t>18:17</t>
        </is>
      </c>
      <c r="C2458" t="n">
        <v>2997</v>
      </c>
      <c r="D2458" s="6" t="n">
        <v>17.6</v>
      </c>
      <c r="E2458" t="n">
        <v>39323</v>
      </c>
      <c r="F2458" s="6" t="n">
        <v>17.6</v>
      </c>
      <c r="G2458" t="n">
        <v>1</v>
      </c>
      <c r="H2458" s="6">
        <f>ROUND(G2458*F2458,2)</f>
        <v/>
      </c>
      <c r="I2458">
        <f>IF(ROUND(H2458-D2458,2)=0,1,0)</f>
        <v/>
      </c>
      <c r="J2458">
        <f>IF(F2458="","none",IF(G2458=1,"carte","multiple"))</f>
        <v/>
      </c>
    </row>
    <row r="2459">
      <c r="A2459" t="inlineStr">
        <is>
          <t>2022-07-03</t>
        </is>
      </c>
      <c r="B2459" t="inlineStr">
        <is>
          <t>18:59</t>
        </is>
      </c>
      <c r="C2459" t="n">
        <v>2997</v>
      </c>
      <c r="D2459" s="6" t="n">
        <v>31.8</v>
      </c>
      <c r="E2459" t="n">
        <v>39324</v>
      </c>
      <c r="F2459" s="6" t="n">
        <v>31.8</v>
      </c>
      <c r="G2459" t="n">
        <v>1</v>
      </c>
      <c r="H2459" s="6">
        <f>ROUND(G2459*F2459,2)</f>
        <v/>
      </c>
      <c r="I2459">
        <f>IF(ROUND(H2459-D2459,2)=0,1,0)</f>
        <v/>
      </c>
      <c r="J2459">
        <f>IF(F2459="","none",IF(G2459=1,"carte","multiple"))</f>
        <v/>
      </c>
    </row>
    <row r="2460">
      <c r="A2460" t="inlineStr">
        <is>
          <t>2022-07-03</t>
        </is>
      </c>
      <c r="B2460" t="inlineStr">
        <is>
          <t>18:59</t>
        </is>
      </c>
      <c r="C2460" t="n">
        <v>2997</v>
      </c>
      <c r="D2460" s="6" t="n">
        <v>18</v>
      </c>
      <c r="E2460" t="n">
        <v>39325</v>
      </c>
      <c r="F2460" s="6" t="n">
        <v>18</v>
      </c>
      <c r="G2460" t="n">
        <v>1</v>
      </c>
      <c r="H2460" s="6">
        <f>ROUND(G2460*F2460,2)</f>
        <v/>
      </c>
      <c r="I2460">
        <f>IF(ROUND(H2460-D2460,2)=0,1,0)</f>
        <v/>
      </c>
      <c r="J2460">
        <f>IF(F2460="","none",IF(G2460=1,"carte","multiple"))</f>
        <v/>
      </c>
    </row>
    <row r="2461">
      <c r="A2461" t="inlineStr">
        <is>
          <t>2022-07-03</t>
        </is>
      </c>
      <c r="B2461" t="inlineStr">
        <is>
          <t>19:17</t>
        </is>
      </c>
      <c r="C2461" t="n">
        <v>2997</v>
      </c>
      <c r="D2461" s="6" t="n">
        <v>28</v>
      </c>
      <c r="E2461" t="n">
        <v>39326</v>
      </c>
      <c r="F2461" s="6" t="n">
        <v>28</v>
      </c>
      <c r="G2461" t="n">
        <v>1</v>
      </c>
      <c r="H2461" s="6">
        <f>ROUND(G2461*F2461,2)</f>
        <v/>
      </c>
      <c r="I2461">
        <f>IF(ROUND(H2461-D2461,2)=0,1,0)</f>
        <v/>
      </c>
      <c r="J2461">
        <f>IF(F2461="","none",IF(G2461=1,"carte","multiple"))</f>
        <v/>
      </c>
    </row>
    <row r="2462">
      <c r="A2462" t="inlineStr">
        <is>
          <t>2022-07-03</t>
        </is>
      </c>
      <c r="B2462" t="inlineStr">
        <is>
          <t>19:55</t>
        </is>
      </c>
      <c r="C2462" t="n">
        <v>2997</v>
      </c>
      <c r="D2462" s="6" t="n">
        <v>90</v>
      </c>
      <c r="E2462" t="n">
        <v>39327</v>
      </c>
      <c r="F2462" s="6" t="n">
        <v>0.4</v>
      </c>
      <c r="G2462" t="n">
        <v>225</v>
      </c>
      <c r="H2462" s="6">
        <f>ROUND(G2462*F2462,2)</f>
        <v/>
      </c>
      <c r="I2462">
        <f>IF(ROUND(H2462-D2462,2)=0,1,0)</f>
        <v/>
      </c>
      <c r="J2462">
        <f>IF(F2462="","none",IF(G2462=1,"carte","multiple"))</f>
        <v/>
      </c>
    </row>
    <row r="2463">
      <c r="A2463" t="inlineStr">
        <is>
          <t>2022-07-03</t>
        </is>
      </c>
      <c r="B2463" t="inlineStr">
        <is>
          <t>19:55</t>
        </is>
      </c>
      <c r="C2463" t="n">
        <v>2997</v>
      </c>
      <c r="D2463" s="6" t="n">
        <v>15.8</v>
      </c>
      <c r="E2463" t="n">
        <v>39328</v>
      </c>
      <c r="F2463" s="6" t="n">
        <v>7.9</v>
      </c>
      <c r="G2463" t="n">
        <v>2</v>
      </c>
      <c r="H2463" s="6">
        <f>ROUND(G2463*F2463,2)</f>
        <v/>
      </c>
      <c r="I2463">
        <f>IF(ROUND(H2463-D2463,2)=0,1,0)</f>
        <v/>
      </c>
      <c r="J2463">
        <f>IF(F2463="","none",IF(G2463=1,"carte","multiple"))</f>
        <v/>
      </c>
    </row>
    <row r="2464">
      <c r="A2464" t="inlineStr">
        <is>
          <t>2022-07-03</t>
        </is>
      </c>
      <c r="B2464" t="inlineStr">
        <is>
          <t>19:55</t>
        </is>
      </c>
      <c r="C2464" t="n">
        <v>2997</v>
      </c>
      <c r="D2464" s="6" t="n">
        <v>7.8</v>
      </c>
      <c r="E2464" t="n">
        <v>39329</v>
      </c>
      <c r="F2464" s="6" t="n">
        <v>7.8</v>
      </c>
      <c r="G2464" t="n">
        <v>1</v>
      </c>
      <c r="H2464" s="6">
        <f>ROUND(G2464*F2464,2)</f>
        <v/>
      </c>
      <c r="I2464">
        <f>IF(ROUND(H2464-D2464,2)=0,1,0)</f>
        <v/>
      </c>
      <c r="J2464">
        <f>IF(F2464="","none",IF(G2464=1,"carte","multiple"))</f>
        <v/>
      </c>
    </row>
    <row r="2465">
      <c r="A2465" t="inlineStr">
        <is>
          <t>2022-07-03</t>
        </is>
      </c>
      <c r="B2465" t="inlineStr">
        <is>
          <t>19:56</t>
        </is>
      </c>
      <c r="C2465" t="n">
        <v>2997</v>
      </c>
      <c r="D2465" s="6" t="n">
        <v>3.6</v>
      </c>
      <c r="E2465" t="n">
        <v>39330</v>
      </c>
      <c r="F2465" s="6" t="n">
        <v>3.6</v>
      </c>
      <c r="G2465" t="n">
        <v>1</v>
      </c>
      <c r="H2465" s="6">
        <f>ROUND(G2465*F2465,2)</f>
        <v/>
      </c>
      <c r="I2465">
        <f>IF(ROUND(H2465-D2465,2)=0,1,0)</f>
        <v/>
      </c>
      <c r="J2465">
        <f>IF(F2465="","none",IF(G2465=1,"carte","multiple"))</f>
        <v/>
      </c>
    </row>
    <row r="2466">
      <c r="A2466" t="inlineStr">
        <is>
          <t>2022-07-03</t>
        </is>
      </c>
      <c r="B2466" t="inlineStr">
        <is>
          <t>19:56</t>
        </is>
      </c>
      <c r="C2466" t="n">
        <v>2997</v>
      </c>
      <c r="D2466" s="6" t="n">
        <v>8.5</v>
      </c>
      <c r="E2466" t="n">
        <v>39331</v>
      </c>
      <c r="F2466" s="6" t="n">
        <v>8.5</v>
      </c>
      <c r="G2466" t="n">
        <v>1</v>
      </c>
      <c r="H2466" s="6">
        <f>ROUND(G2466*F2466,2)</f>
        <v/>
      </c>
      <c r="I2466">
        <f>IF(ROUND(H2466-D2466,2)=0,1,0)</f>
        <v/>
      </c>
      <c r="J2466">
        <f>IF(F2466="","none",IF(G2466=1,"carte","multiple"))</f>
        <v/>
      </c>
    </row>
    <row r="2467">
      <c r="A2467" t="inlineStr">
        <is>
          <t>2022-07-03</t>
        </is>
      </c>
      <c r="B2467" t="inlineStr">
        <is>
          <t>19:56</t>
        </is>
      </c>
      <c r="C2467" t="n">
        <v>2997</v>
      </c>
      <c r="D2467" s="6" t="n">
        <v>3.7</v>
      </c>
      <c r="E2467" t="n">
        <v>39332</v>
      </c>
      <c r="F2467" s="6" t="n">
        <v>3.7</v>
      </c>
      <c r="G2467" t="n">
        <v>1</v>
      </c>
      <c r="H2467" s="6">
        <f>ROUND(G2467*F2467,2)</f>
        <v/>
      </c>
      <c r="I2467">
        <f>IF(ROUND(H2467-D2467,2)=0,1,0)</f>
        <v/>
      </c>
      <c r="J2467">
        <f>IF(F2467="","none",IF(G2467=1,"carte","multiple"))</f>
        <v/>
      </c>
    </row>
    <row r="2468">
      <c r="A2468" t="inlineStr">
        <is>
          <t>2022-07-03</t>
        </is>
      </c>
      <c r="B2468" t="inlineStr">
        <is>
          <t>19:56</t>
        </is>
      </c>
      <c r="C2468" t="n">
        <v>2997</v>
      </c>
      <c r="D2468" s="6" t="n">
        <v>9.4</v>
      </c>
      <c r="E2468" t="n">
        <v>39333</v>
      </c>
      <c r="F2468" s="6" t="n">
        <v>9.4</v>
      </c>
      <c r="G2468" t="n">
        <v>1</v>
      </c>
      <c r="H2468" s="6">
        <f>ROUND(G2468*F2468,2)</f>
        <v/>
      </c>
      <c r="I2468">
        <f>IF(ROUND(H2468-D2468,2)=0,1,0)</f>
        <v/>
      </c>
      <c r="J2468">
        <f>IF(F2468="","none",IF(G2468=1,"carte","multiple"))</f>
        <v/>
      </c>
    </row>
    <row r="2469">
      <c r="A2469" t="inlineStr">
        <is>
          <t>2022-07-03</t>
        </is>
      </c>
      <c r="B2469" t="inlineStr">
        <is>
          <t>19:56</t>
        </is>
      </c>
      <c r="C2469" t="n">
        <v>2997</v>
      </c>
      <c r="D2469" s="6" t="n">
        <v>9.699999999999999</v>
      </c>
      <c r="E2469" t="n">
        <v>39334</v>
      </c>
      <c r="F2469" s="6" t="n">
        <v>9.699999999999999</v>
      </c>
      <c r="G2469" t="n">
        <v>1</v>
      </c>
      <c r="H2469" s="6">
        <f>ROUND(G2469*F2469,2)</f>
        <v/>
      </c>
      <c r="I2469">
        <f>IF(ROUND(H2469-D2469,2)=0,1,0)</f>
        <v/>
      </c>
      <c r="J2469">
        <f>IF(F2469="","none",IF(G2469=1,"carte","multiple"))</f>
        <v/>
      </c>
    </row>
    <row r="2470">
      <c r="A2470" t="inlineStr">
        <is>
          <t>2022-07-03</t>
        </is>
      </c>
      <c r="B2470" t="inlineStr">
        <is>
          <t>19:56</t>
        </is>
      </c>
      <c r="C2470" t="n">
        <v>2997</v>
      </c>
      <c r="D2470" s="6" t="n">
        <v>2.9</v>
      </c>
      <c r="E2470" t="n">
        <v>39335</v>
      </c>
      <c r="F2470" s="6" t="n">
        <v>2.9</v>
      </c>
      <c r="G2470" t="n">
        <v>1</v>
      </c>
      <c r="H2470" s="6">
        <f>ROUND(G2470*F2470,2)</f>
        <v/>
      </c>
      <c r="I2470">
        <f>IF(ROUND(H2470-D2470,2)=0,1,0)</f>
        <v/>
      </c>
      <c r="J2470">
        <f>IF(F2470="","none",IF(G2470=1,"carte","multiple"))</f>
        <v/>
      </c>
    </row>
    <row r="2471">
      <c r="A2471" t="inlineStr">
        <is>
          <t>2022-07-03</t>
        </is>
      </c>
      <c r="B2471" t="inlineStr">
        <is>
          <t>19:56</t>
        </is>
      </c>
      <c r="C2471" t="n">
        <v>2997</v>
      </c>
      <c r="D2471" s="6" t="n">
        <v>17.6</v>
      </c>
      <c r="E2471" t="n">
        <v>39336</v>
      </c>
      <c r="F2471" s="6" t="n">
        <v>17.6</v>
      </c>
      <c r="G2471" t="n">
        <v>1</v>
      </c>
      <c r="H2471" s="6">
        <f>ROUND(G2471*F2471,2)</f>
        <v/>
      </c>
      <c r="I2471">
        <f>IF(ROUND(H2471-D2471,2)=0,1,0)</f>
        <v/>
      </c>
      <c r="J2471">
        <f>IF(F2471="","none",IF(G2471=1,"carte","multiple"))</f>
        <v/>
      </c>
    </row>
    <row r="2472">
      <c r="A2472" t="inlineStr">
        <is>
          <t>2022-07-03</t>
        </is>
      </c>
      <c r="B2472" t="inlineStr">
        <is>
          <t>19:56</t>
        </is>
      </c>
      <c r="C2472" t="n">
        <v>2997</v>
      </c>
      <c r="D2472" s="6" t="n">
        <v>35.2</v>
      </c>
      <c r="E2472" t="n">
        <v>39337</v>
      </c>
      <c r="F2472" s="6" t="n">
        <v>0.4</v>
      </c>
      <c r="G2472" t="n">
        <v>88</v>
      </c>
      <c r="H2472" s="6">
        <f>ROUND(G2472*F2472,2)</f>
        <v/>
      </c>
      <c r="I2472">
        <f>IF(ROUND(H2472-D2472,2)=0,1,0)</f>
        <v/>
      </c>
      <c r="J2472">
        <f>IF(F2472="","none",IF(G2472=1,"carte","multiple"))</f>
        <v/>
      </c>
    </row>
    <row r="2473">
      <c r="A2473" t="inlineStr">
        <is>
          <t>2022-07-03</t>
        </is>
      </c>
      <c r="B2473" t="inlineStr">
        <is>
          <t>19:56</t>
        </is>
      </c>
      <c r="C2473" t="n">
        <v>2997</v>
      </c>
      <c r="D2473" s="6" t="n">
        <v>17.6</v>
      </c>
      <c r="E2473" t="n">
        <v>39338</v>
      </c>
      <c r="F2473" s="6" t="n">
        <v>17.6</v>
      </c>
      <c r="G2473" t="n">
        <v>1</v>
      </c>
      <c r="H2473" s="6">
        <f>ROUND(G2473*F2473,2)</f>
        <v/>
      </c>
      <c r="I2473">
        <f>IF(ROUND(H2473-D2473,2)=0,1,0)</f>
        <v/>
      </c>
      <c r="J2473">
        <f>IF(F2473="","none",IF(G2473=1,"carte","multiple"))</f>
        <v/>
      </c>
    </row>
    <row r="2474">
      <c r="A2474" t="inlineStr">
        <is>
          <t>2022-07-03</t>
        </is>
      </c>
      <c r="B2474" t="inlineStr">
        <is>
          <t>19:56</t>
        </is>
      </c>
      <c r="C2474" t="n">
        <v>2997</v>
      </c>
      <c r="D2474" s="6" t="n">
        <v>35.2</v>
      </c>
      <c r="E2474" t="n">
        <v>39339</v>
      </c>
      <c r="F2474" s="6" t="n">
        <v>0.4</v>
      </c>
      <c r="G2474" t="n">
        <v>88</v>
      </c>
      <c r="H2474" s="6">
        <f>ROUND(G2474*F2474,2)</f>
        <v/>
      </c>
      <c r="I2474">
        <f>IF(ROUND(H2474-D2474,2)=0,1,0)</f>
        <v/>
      </c>
      <c r="J2474">
        <f>IF(F2474="","none",IF(G2474=1,"carte","multiple"))</f>
        <v/>
      </c>
    </row>
    <row r="2475">
      <c r="A2475" t="inlineStr">
        <is>
          <t>2022-07-03</t>
        </is>
      </c>
      <c r="B2475" t="inlineStr">
        <is>
          <t>19:56</t>
        </is>
      </c>
      <c r="C2475" t="n">
        <v>2997</v>
      </c>
      <c r="D2475" s="6" t="n">
        <v>7.8</v>
      </c>
      <c r="E2475" t="n">
        <v>39340</v>
      </c>
      <c r="F2475" s="6" t="n">
        <v>7.8</v>
      </c>
      <c r="G2475" t="n">
        <v>1</v>
      </c>
      <c r="H2475" s="6">
        <f>ROUND(G2475*F2475,2)</f>
        <v/>
      </c>
      <c r="I2475">
        <f>IF(ROUND(H2475-D2475,2)=0,1,0)</f>
        <v/>
      </c>
      <c r="J2475">
        <f>IF(F2475="","none",IF(G2475=1,"carte","multiple"))</f>
        <v/>
      </c>
    </row>
    <row r="2476">
      <c r="A2476" t="inlineStr">
        <is>
          <t>2022-07-03</t>
        </is>
      </c>
      <c r="B2476" t="inlineStr">
        <is>
          <t>19:56</t>
        </is>
      </c>
      <c r="C2476" t="n">
        <v>2997</v>
      </c>
      <c r="D2476" s="6" t="n">
        <v>11.8</v>
      </c>
      <c r="E2476" t="n">
        <v>39341</v>
      </c>
      <c r="F2476" s="6" t="n">
        <v>5.9</v>
      </c>
      <c r="G2476" t="n">
        <v>2</v>
      </c>
      <c r="H2476" s="6">
        <f>ROUND(G2476*F2476,2)</f>
        <v/>
      </c>
      <c r="I2476">
        <f>IF(ROUND(H2476-D2476,2)=0,1,0)</f>
        <v/>
      </c>
      <c r="J2476">
        <f>IF(F2476="","none",IF(G2476=1,"carte","multiple"))</f>
        <v/>
      </c>
    </row>
    <row r="2477">
      <c r="A2477" t="inlineStr">
        <is>
          <t>2022-07-03</t>
        </is>
      </c>
      <c r="B2477" t="inlineStr">
        <is>
          <t>20:04</t>
        </is>
      </c>
      <c r="C2477" t="n">
        <v>2997</v>
      </c>
      <c r="D2477" s="6" t="n">
        <v>19</v>
      </c>
      <c r="E2477" t="n">
        <v>39342</v>
      </c>
      <c r="F2477" s="6" t="n">
        <v>19</v>
      </c>
      <c r="G2477" t="n">
        <v>1</v>
      </c>
      <c r="H2477" s="6">
        <f>ROUND(G2477*F2477,2)</f>
        <v/>
      </c>
      <c r="I2477">
        <f>IF(ROUND(H2477-D2477,2)=0,1,0)</f>
        <v/>
      </c>
      <c r="J2477">
        <f>IF(F2477="","none",IF(G2477=1,"carte","multiple"))</f>
        <v/>
      </c>
    </row>
    <row r="2478">
      <c r="A2478" t="inlineStr">
        <is>
          <t>2022-07-03</t>
        </is>
      </c>
      <c r="B2478" t="inlineStr">
        <is>
          <t>20:04</t>
        </is>
      </c>
      <c r="C2478" t="n">
        <v>2997</v>
      </c>
      <c r="D2478" s="6" t="n">
        <v>15.9</v>
      </c>
      <c r="E2478" t="n">
        <v>39343</v>
      </c>
      <c r="F2478" s="6" t="n">
        <v>15.9</v>
      </c>
      <c r="G2478" t="n">
        <v>1</v>
      </c>
      <c r="H2478" s="6">
        <f>ROUND(G2478*F2478,2)</f>
        <v/>
      </c>
      <c r="I2478">
        <f>IF(ROUND(H2478-D2478,2)=0,1,0)</f>
        <v/>
      </c>
      <c r="J2478">
        <f>IF(F2478="","none",IF(G2478=1,"carte","multiple"))</f>
        <v/>
      </c>
    </row>
    <row r="2479">
      <c r="A2479" t="inlineStr">
        <is>
          <t>2022-07-03</t>
        </is>
      </c>
      <c r="B2479" t="inlineStr">
        <is>
          <t>20:04</t>
        </is>
      </c>
      <c r="C2479" t="n">
        <v>2997</v>
      </c>
      <c r="D2479" s="6" t="n">
        <v>15.8</v>
      </c>
      <c r="E2479" t="n">
        <v>39344</v>
      </c>
      <c r="F2479" s="6" t="n">
        <v>7.9</v>
      </c>
      <c r="G2479" t="n">
        <v>2</v>
      </c>
      <c r="H2479" s="6">
        <f>ROUND(G2479*F2479,2)</f>
        <v/>
      </c>
      <c r="I2479">
        <f>IF(ROUND(H2479-D2479,2)=0,1,0)</f>
        <v/>
      </c>
      <c r="J2479">
        <f>IF(F2479="","none",IF(G2479=1,"carte","multiple"))</f>
        <v/>
      </c>
    </row>
    <row r="2480">
      <c r="A2480" t="inlineStr">
        <is>
          <t>2022-07-03</t>
        </is>
      </c>
      <c r="B2480" t="inlineStr">
        <is>
          <t>20:04</t>
        </is>
      </c>
      <c r="C2480" t="n">
        <v>2997</v>
      </c>
      <c r="D2480" s="6" t="n">
        <v>5.2</v>
      </c>
      <c r="E2480" t="n">
        <v>39345</v>
      </c>
      <c r="F2480" s="6" t="n">
        <v>5.2</v>
      </c>
      <c r="G2480" t="n">
        <v>1</v>
      </c>
      <c r="H2480" s="6">
        <f>ROUND(G2480*F2480,2)</f>
        <v/>
      </c>
      <c r="I2480">
        <f>IF(ROUND(H2480-D2480,2)=0,1,0)</f>
        <v/>
      </c>
      <c r="J2480">
        <f>IF(F2480="","none",IF(G2480=1,"carte","multiple"))</f>
        <v/>
      </c>
    </row>
    <row r="2481">
      <c r="A2481" t="inlineStr">
        <is>
          <t>2022-07-03</t>
        </is>
      </c>
      <c r="B2481" t="inlineStr">
        <is>
          <t>20:04</t>
        </is>
      </c>
      <c r="C2481" t="n">
        <v>2997</v>
      </c>
      <c r="D2481" s="6" t="n">
        <v>4.9</v>
      </c>
      <c r="E2481" t="n">
        <v>39346</v>
      </c>
      <c r="F2481" s="6" t="n">
        <v>4.9</v>
      </c>
      <c r="G2481" t="n">
        <v>1</v>
      </c>
      <c r="H2481" s="6">
        <f>ROUND(G2481*F2481,2)</f>
        <v/>
      </c>
      <c r="I2481">
        <f>IF(ROUND(H2481-D2481,2)=0,1,0)</f>
        <v/>
      </c>
      <c r="J2481">
        <f>IF(F2481="","none",IF(G2481=1,"carte","multiple"))</f>
        <v/>
      </c>
    </row>
    <row r="2482">
      <c r="A2482" t="inlineStr">
        <is>
          <t>2022-07-06</t>
        </is>
      </c>
      <c r="B2482" t="inlineStr">
        <is>
          <t>11:03</t>
        </is>
      </c>
      <c r="C2482" t="n">
        <v>2998</v>
      </c>
      <c r="D2482" s="6" t="n">
        <v>16.4</v>
      </c>
      <c r="E2482" t="n">
        <v>39349</v>
      </c>
      <c r="F2482" s="6" t="n">
        <v>16.4</v>
      </c>
      <c r="G2482" t="n">
        <v>1</v>
      </c>
      <c r="H2482" s="6">
        <f>ROUND(G2482*F2482,2)</f>
        <v/>
      </c>
      <c r="I2482">
        <f>IF(ROUND(H2482-D2482,2)=0,1,0)</f>
        <v/>
      </c>
      <c r="J2482">
        <f>IF(F2482="","none",IF(G2482=1,"carte","multiple"))</f>
        <v/>
      </c>
    </row>
    <row r="2483">
      <c r="A2483" t="inlineStr">
        <is>
          <t>2022-07-06</t>
        </is>
      </c>
      <c r="B2483" t="inlineStr">
        <is>
          <t>11:14</t>
        </is>
      </c>
      <c r="C2483" t="n">
        <v>2998</v>
      </c>
      <c r="D2483" s="6" t="n">
        <v>29.9</v>
      </c>
      <c r="E2483" t="n">
        <v>39350</v>
      </c>
      <c r="F2483" s="6" t="n">
        <v>29.9</v>
      </c>
      <c r="G2483" t="n">
        <v>1</v>
      </c>
      <c r="H2483" s="6">
        <f>ROUND(G2483*F2483,2)</f>
        <v/>
      </c>
      <c r="I2483">
        <f>IF(ROUND(H2483-D2483,2)=0,1,0)</f>
        <v/>
      </c>
      <c r="J2483">
        <f>IF(F2483="","none",IF(G2483=1,"carte","multiple"))</f>
        <v/>
      </c>
    </row>
    <row r="2484">
      <c r="A2484" t="inlineStr">
        <is>
          <t>2022-07-06</t>
        </is>
      </c>
      <c r="B2484" t="inlineStr">
        <is>
          <t>11:24</t>
        </is>
      </c>
      <c r="C2484" t="n">
        <v>2998</v>
      </c>
      <c r="D2484" s="6" t="n">
        <v>19</v>
      </c>
      <c r="E2484" t="n">
        <v>39351</v>
      </c>
      <c r="F2484" s="6" t="n">
        <v>19</v>
      </c>
      <c r="G2484" t="n">
        <v>1</v>
      </c>
      <c r="H2484" s="6">
        <f>ROUND(G2484*F2484,2)</f>
        <v/>
      </c>
      <c r="I2484">
        <f>IF(ROUND(H2484-D2484,2)=0,1,0)</f>
        <v/>
      </c>
      <c r="J2484">
        <f>IF(F2484="","none",IF(G2484=1,"carte","multiple"))</f>
        <v/>
      </c>
    </row>
    <row r="2485">
      <c r="A2485" t="inlineStr">
        <is>
          <t>2022-07-06</t>
        </is>
      </c>
      <c r="B2485" t="inlineStr">
        <is>
          <t>11:59</t>
        </is>
      </c>
      <c r="C2485" t="n">
        <v>2998</v>
      </c>
      <c r="D2485" s="6" t="n">
        <v>0</v>
      </c>
      <c r="E2485" t="n">
        <v>39352</v>
      </c>
      <c r="H2485" t="inlineStr"/>
      <c r="I2485" t="inlineStr"/>
      <c r="J2485">
        <f>IF(F2485="","none",IF(G2485=1,"carte","multiple"))</f>
        <v/>
      </c>
    </row>
    <row r="2486">
      <c r="A2486" t="inlineStr">
        <is>
          <t>2022-07-06</t>
        </is>
      </c>
      <c r="B2486" t="inlineStr">
        <is>
          <t>11:59</t>
        </is>
      </c>
      <c r="C2486" t="n">
        <v>2998</v>
      </c>
      <c r="D2486" s="6" t="n">
        <v>0</v>
      </c>
      <c r="E2486" t="n">
        <v>39353</v>
      </c>
      <c r="H2486" t="inlineStr"/>
      <c r="I2486" t="inlineStr"/>
      <c r="J2486">
        <f>IF(F2486="","none",IF(G2486=1,"carte","multiple"))</f>
        <v/>
      </c>
    </row>
    <row r="2487">
      <c r="A2487" t="inlineStr">
        <is>
          <t>2022-07-06</t>
        </is>
      </c>
      <c r="B2487" t="inlineStr">
        <is>
          <t>11:59</t>
        </is>
      </c>
      <c r="C2487" t="n">
        <v>2998</v>
      </c>
      <c r="D2487" s="6" t="n">
        <v>35.2</v>
      </c>
      <c r="E2487" t="n">
        <v>39354</v>
      </c>
      <c r="F2487" s="6" t="n">
        <v>0.4</v>
      </c>
      <c r="G2487" t="n">
        <v>88</v>
      </c>
      <c r="H2487" s="6">
        <f>ROUND(G2487*F2487,2)</f>
        <v/>
      </c>
      <c r="I2487">
        <f>IF(ROUND(H2487-D2487,2)=0,1,0)</f>
        <v/>
      </c>
      <c r="J2487">
        <f>IF(F2487="","none",IF(G2487=1,"carte","multiple"))</f>
        <v/>
      </c>
    </row>
    <row r="2488">
      <c r="A2488" t="inlineStr">
        <is>
          <t>2022-07-06</t>
        </is>
      </c>
      <c r="B2488" t="inlineStr">
        <is>
          <t>11:59</t>
        </is>
      </c>
      <c r="C2488" t="n">
        <v>2998</v>
      </c>
      <c r="D2488" s="6" t="n">
        <v>19</v>
      </c>
      <c r="E2488" t="n">
        <v>39355</v>
      </c>
      <c r="F2488" s="6" t="n">
        <v>19</v>
      </c>
      <c r="G2488" t="n">
        <v>1</v>
      </c>
      <c r="H2488" s="6">
        <f>ROUND(G2488*F2488,2)</f>
        <v/>
      </c>
      <c r="I2488">
        <f>IF(ROUND(H2488-D2488,2)=0,1,0)</f>
        <v/>
      </c>
      <c r="J2488">
        <f>IF(F2488="","none",IF(G2488=1,"carte","multiple"))</f>
        <v/>
      </c>
    </row>
    <row r="2489">
      <c r="A2489" t="inlineStr">
        <is>
          <t>2022-07-06</t>
        </is>
      </c>
      <c r="B2489" t="inlineStr">
        <is>
          <t>11:59</t>
        </is>
      </c>
      <c r="C2489" t="n">
        <v>2998</v>
      </c>
      <c r="D2489" s="6" t="n">
        <v>8.699999999999999</v>
      </c>
      <c r="E2489" t="n">
        <v>39356</v>
      </c>
      <c r="F2489" s="6" t="n">
        <v>8.699999999999999</v>
      </c>
      <c r="G2489" t="n">
        <v>1</v>
      </c>
      <c r="H2489" s="6">
        <f>ROUND(G2489*F2489,2)</f>
        <v/>
      </c>
      <c r="I2489">
        <f>IF(ROUND(H2489-D2489,2)=0,1,0)</f>
        <v/>
      </c>
      <c r="J2489">
        <f>IF(F2489="","none",IF(G2489=1,"carte","multiple"))</f>
        <v/>
      </c>
    </row>
    <row r="2490">
      <c r="A2490" t="inlineStr">
        <is>
          <t>2022-07-06</t>
        </is>
      </c>
      <c r="B2490" t="inlineStr">
        <is>
          <t>11:59</t>
        </is>
      </c>
      <c r="C2490" t="n">
        <v>2998</v>
      </c>
      <c r="D2490" s="6" t="n">
        <v>9</v>
      </c>
      <c r="E2490" t="n">
        <v>39357</v>
      </c>
      <c r="F2490" s="6" t="n">
        <v>9</v>
      </c>
      <c r="G2490" t="n">
        <v>1</v>
      </c>
      <c r="H2490" s="6">
        <f>ROUND(G2490*F2490,2)</f>
        <v/>
      </c>
      <c r="I2490">
        <f>IF(ROUND(H2490-D2490,2)=0,1,0)</f>
        <v/>
      </c>
      <c r="J2490">
        <f>IF(F2490="","none",IF(G2490=1,"carte","multiple"))</f>
        <v/>
      </c>
    </row>
    <row r="2491">
      <c r="A2491" t="inlineStr">
        <is>
          <t>2022-07-06</t>
        </is>
      </c>
      <c r="B2491" t="inlineStr">
        <is>
          <t>11:59</t>
        </is>
      </c>
      <c r="C2491" t="n">
        <v>2998</v>
      </c>
      <c r="D2491" s="6" t="n">
        <v>2.9</v>
      </c>
      <c r="E2491" t="n">
        <v>39358</v>
      </c>
      <c r="F2491" s="6" t="n">
        <v>2.9</v>
      </c>
      <c r="G2491" t="n">
        <v>1</v>
      </c>
      <c r="H2491" s="6">
        <f>ROUND(G2491*F2491,2)</f>
        <v/>
      </c>
      <c r="I2491">
        <f>IF(ROUND(H2491-D2491,2)=0,1,0)</f>
        <v/>
      </c>
      <c r="J2491">
        <f>IF(F2491="","none",IF(G2491=1,"carte","multiple"))</f>
        <v/>
      </c>
    </row>
    <row r="2492">
      <c r="A2492" t="inlineStr">
        <is>
          <t>2022-07-06</t>
        </is>
      </c>
      <c r="B2492" t="inlineStr">
        <is>
          <t>11:59</t>
        </is>
      </c>
      <c r="C2492" t="n">
        <v>2998</v>
      </c>
      <c r="D2492" s="6" t="n">
        <v>1.2</v>
      </c>
      <c r="E2492" t="n">
        <v>39359</v>
      </c>
      <c r="F2492" s="6" t="n">
        <v>1.2</v>
      </c>
      <c r="G2492" t="n">
        <v>1</v>
      </c>
      <c r="H2492" s="6">
        <f>ROUND(G2492*F2492,2)</f>
        <v/>
      </c>
      <c r="I2492">
        <f>IF(ROUND(H2492-D2492,2)=0,1,0)</f>
        <v/>
      </c>
      <c r="J2492">
        <f>IF(F2492="","none",IF(G2492=1,"carte","multiple"))</f>
        <v/>
      </c>
    </row>
    <row r="2493">
      <c r="A2493" t="inlineStr">
        <is>
          <t>2022-07-06</t>
        </is>
      </c>
      <c r="B2493" t="inlineStr">
        <is>
          <t>12:12</t>
        </is>
      </c>
      <c r="C2493" t="n">
        <v>2998</v>
      </c>
      <c r="D2493" s="6" t="n">
        <v>10.5</v>
      </c>
      <c r="E2493" t="n">
        <v>39360</v>
      </c>
      <c r="F2493" s="6" t="n">
        <v>10.5</v>
      </c>
      <c r="G2493" t="n">
        <v>1</v>
      </c>
      <c r="H2493" s="6">
        <f>ROUND(G2493*F2493,2)</f>
        <v/>
      </c>
      <c r="I2493">
        <f>IF(ROUND(H2493-D2493,2)=0,1,0)</f>
        <v/>
      </c>
      <c r="J2493">
        <f>IF(F2493="","none",IF(G2493=1,"carte","multiple"))</f>
        <v/>
      </c>
    </row>
    <row r="2494">
      <c r="A2494" t="inlineStr">
        <is>
          <t>2022-07-06</t>
        </is>
      </c>
      <c r="B2494" t="inlineStr">
        <is>
          <t>12:19</t>
        </is>
      </c>
      <c r="C2494" t="n">
        <v>2998</v>
      </c>
      <c r="D2494" s="6" t="n">
        <v>17.6</v>
      </c>
      <c r="E2494" t="n">
        <v>39361</v>
      </c>
      <c r="F2494" s="6" t="n">
        <v>17.6</v>
      </c>
      <c r="G2494" t="n">
        <v>1</v>
      </c>
      <c r="H2494" s="6">
        <f>ROUND(G2494*F2494,2)</f>
        <v/>
      </c>
      <c r="I2494">
        <f>IF(ROUND(H2494-D2494,2)=0,1,0)</f>
        <v/>
      </c>
      <c r="J2494">
        <f>IF(F2494="","none",IF(G2494=1,"carte","multiple"))</f>
        <v/>
      </c>
    </row>
    <row r="2495">
      <c r="A2495" t="inlineStr">
        <is>
          <t>2022-07-06</t>
        </is>
      </c>
      <c r="B2495" t="inlineStr">
        <is>
          <t>12:19</t>
        </is>
      </c>
      <c r="C2495" t="n">
        <v>2998</v>
      </c>
      <c r="D2495" s="6" t="n">
        <v>17.6</v>
      </c>
      <c r="E2495" t="n">
        <v>39362</v>
      </c>
      <c r="F2495" s="6" t="n">
        <v>17.6</v>
      </c>
      <c r="G2495" t="n">
        <v>1</v>
      </c>
      <c r="H2495" s="6">
        <f>ROUND(G2495*F2495,2)</f>
        <v/>
      </c>
      <c r="I2495">
        <f>IF(ROUND(H2495-D2495,2)=0,1,0)</f>
        <v/>
      </c>
      <c r="J2495">
        <f>IF(F2495="","none",IF(G2495=1,"carte","multiple"))</f>
        <v/>
      </c>
    </row>
    <row r="2496">
      <c r="A2496" t="inlineStr">
        <is>
          <t>2022-07-06</t>
        </is>
      </c>
      <c r="B2496" t="inlineStr">
        <is>
          <t>12:19</t>
        </is>
      </c>
      <c r="C2496" t="n">
        <v>2998</v>
      </c>
      <c r="D2496" s="6" t="n">
        <v>64</v>
      </c>
      <c r="E2496" t="n">
        <v>39363</v>
      </c>
      <c r="F2496" s="6" t="n">
        <v>64</v>
      </c>
      <c r="G2496" t="n">
        <v>1</v>
      </c>
      <c r="H2496" s="6">
        <f>ROUND(G2496*F2496,2)</f>
        <v/>
      </c>
      <c r="I2496">
        <f>IF(ROUND(H2496-D2496,2)=0,1,0)</f>
        <v/>
      </c>
      <c r="J2496">
        <f>IF(F2496="","none",IF(G2496=1,"carte","multiple"))</f>
        <v/>
      </c>
    </row>
    <row r="2497">
      <c r="A2497" t="inlineStr">
        <is>
          <t>2022-07-06</t>
        </is>
      </c>
      <c r="B2497" t="inlineStr">
        <is>
          <t>12:19</t>
        </is>
      </c>
      <c r="C2497" t="n">
        <v>2998</v>
      </c>
      <c r="D2497" s="6" t="n">
        <v>7.2</v>
      </c>
      <c r="E2497" t="n">
        <v>39364</v>
      </c>
      <c r="F2497" s="6" t="n">
        <v>7.2</v>
      </c>
      <c r="G2497" t="n">
        <v>1</v>
      </c>
      <c r="H2497" s="6">
        <f>ROUND(G2497*F2497,2)</f>
        <v/>
      </c>
      <c r="I2497">
        <f>IF(ROUND(H2497-D2497,2)=0,1,0)</f>
        <v/>
      </c>
      <c r="J2497">
        <f>IF(F2497="","none",IF(G2497=1,"carte","multiple"))</f>
        <v/>
      </c>
    </row>
    <row r="2498">
      <c r="A2498" t="inlineStr">
        <is>
          <t>2022-07-06</t>
        </is>
      </c>
      <c r="B2498" t="inlineStr">
        <is>
          <t>12:19</t>
        </is>
      </c>
      <c r="C2498" t="n">
        <v>2998</v>
      </c>
      <c r="D2498" s="6" t="n">
        <v>3.9</v>
      </c>
      <c r="E2498" t="n">
        <v>39365</v>
      </c>
      <c r="F2498" s="6" t="n">
        <v>3.9</v>
      </c>
      <c r="G2498" t="n">
        <v>1</v>
      </c>
      <c r="H2498" s="6">
        <f>ROUND(G2498*F2498,2)</f>
        <v/>
      </c>
      <c r="I2498">
        <f>IF(ROUND(H2498-D2498,2)=0,1,0)</f>
        <v/>
      </c>
      <c r="J2498">
        <f>IF(F2498="","none",IF(G2498=1,"carte","multiple"))</f>
        <v/>
      </c>
    </row>
    <row r="2499">
      <c r="A2499" t="inlineStr">
        <is>
          <t>2022-07-06</t>
        </is>
      </c>
      <c r="B2499" t="inlineStr">
        <is>
          <t>12:19</t>
        </is>
      </c>
      <c r="C2499" t="n">
        <v>2998</v>
      </c>
      <c r="D2499" s="6" t="n">
        <v>2.2</v>
      </c>
      <c r="E2499" t="n">
        <v>39366</v>
      </c>
      <c r="F2499" s="6" t="n">
        <v>2.2</v>
      </c>
      <c r="G2499" t="n">
        <v>1</v>
      </c>
      <c r="H2499" s="6">
        <f>ROUND(G2499*F2499,2)</f>
        <v/>
      </c>
      <c r="I2499">
        <f>IF(ROUND(H2499-D2499,2)=0,1,0)</f>
        <v/>
      </c>
      <c r="J2499">
        <f>IF(F2499="","none",IF(G2499=1,"carte","multiple"))</f>
        <v/>
      </c>
    </row>
    <row r="2500">
      <c r="A2500" t="inlineStr">
        <is>
          <t>2022-07-06</t>
        </is>
      </c>
      <c r="B2500" t="inlineStr">
        <is>
          <t>12:19</t>
        </is>
      </c>
      <c r="C2500" t="n">
        <v>2998</v>
      </c>
      <c r="D2500" s="6" t="n">
        <v>10.4</v>
      </c>
      <c r="E2500" t="n">
        <v>39367</v>
      </c>
      <c r="F2500" s="6" t="n">
        <v>0.4</v>
      </c>
      <c r="G2500" t="n">
        <v>26</v>
      </c>
      <c r="H2500" s="6">
        <f>ROUND(G2500*F2500,2)</f>
        <v/>
      </c>
      <c r="I2500">
        <f>IF(ROUND(H2500-D2500,2)=0,1,0)</f>
        <v/>
      </c>
      <c r="J2500">
        <f>IF(F2500="","none",IF(G2500=1,"carte","multiple"))</f>
        <v/>
      </c>
    </row>
    <row r="2501">
      <c r="A2501" t="inlineStr">
        <is>
          <t>2022-07-06</t>
        </is>
      </c>
      <c r="B2501" t="inlineStr">
        <is>
          <t>12:26</t>
        </is>
      </c>
      <c r="C2501" t="n">
        <v>2998</v>
      </c>
      <c r="D2501" s="6" t="n">
        <v>2.2</v>
      </c>
      <c r="E2501" t="n">
        <v>39368</v>
      </c>
      <c r="F2501" s="6" t="n">
        <v>2.2</v>
      </c>
      <c r="G2501" t="n">
        <v>1</v>
      </c>
      <c r="H2501" s="6">
        <f>ROUND(G2501*F2501,2)</f>
        <v/>
      </c>
      <c r="I2501">
        <f>IF(ROUND(H2501-D2501,2)=0,1,0)</f>
        <v/>
      </c>
      <c r="J2501">
        <f>IF(F2501="","none",IF(G2501=1,"carte","multiple"))</f>
        <v/>
      </c>
    </row>
    <row r="2502">
      <c r="A2502" t="inlineStr">
        <is>
          <t>2022-07-06</t>
        </is>
      </c>
      <c r="B2502" t="inlineStr">
        <is>
          <t>12:26</t>
        </is>
      </c>
      <c r="C2502" t="n">
        <v>2998</v>
      </c>
      <c r="D2502" s="6" t="n">
        <v>31.8</v>
      </c>
      <c r="E2502" t="n">
        <v>39369</v>
      </c>
      <c r="F2502" s="6" t="n">
        <v>31.8</v>
      </c>
      <c r="G2502" t="n">
        <v>1</v>
      </c>
      <c r="H2502" s="6">
        <f>ROUND(G2502*F2502,2)</f>
        <v/>
      </c>
      <c r="I2502">
        <f>IF(ROUND(H2502-D2502,2)=0,1,0)</f>
        <v/>
      </c>
      <c r="J2502">
        <f>IF(F2502="","none",IF(G2502=1,"carte","multiple"))</f>
        <v/>
      </c>
    </row>
    <row r="2503">
      <c r="A2503" t="inlineStr">
        <is>
          <t>2022-07-06</t>
        </is>
      </c>
      <c r="B2503" t="inlineStr">
        <is>
          <t>12:26</t>
        </is>
      </c>
      <c r="C2503" t="n">
        <v>2998</v>
      </c>
      <c r="D2503" s="6" t="n">
        <v>4.9</v>
      </c>
      <c r="E2503" t="n">
        <v>39370</v>
      </c>
      <c r="F2503" s="6" t="n">
        <v>4.9</v>
      </c>
      <c r="G2503" t="n">
        <v>1</v>
      </c>
      <c r="H2503" s="6">
        <f>ROUND(G2503*F2503,2)</f>
        <v/>
      </c>
      <c r="I2503">
        <f>IF(ROUND(H2503-D2503,2)=0,1,0)</f>
        <v/>
      </c>
      <c r="J2503">
        <f>IF(F2503="","none",IF(G2503=1,"carte","multiple"))</f>
        <v/>
      </c>
    </row>
    <row r="2504">
      <c r="A2504" t="inlineStr">
        <is>
          <t>2022-07-06</t>
        </is>
      </c>
      <c r="B2504" t="inlineStr">
        <is>
          <t>12:26</t>
        </is>
      </c>
      <c r="C2504" t="n">
        <v>2998</v>
      </c>
      <c r="D2504" s="6" t="n">
        <v>3.9</v>
      </c>
      <c r="E2504" t="n">
        <v>39371</v>
      </c>
      <c r="F2504" s="6" t="n">
        <v>3.9</v>
      </c>
      <c r="G2504" t="n">
        <v>1</v>
      </c>
      <c r="H2504" s="6">
        <f>ROUND(G2504*F2504,2)</f>
        <v/>
      </c>
      <c r="I2504">
        <f>IF(ROUND(H2504-D2504,2)=0,1,0)</f>
        <v/>
      </c>
      <c r="J2504">
        <f>IF(F2504="","none",IF(G2504=1,"carte","multiple"))</f>
        <v/>
      </c>
    </row>
    <row r="2505">
      <c r="A2505" t="inlineStr">
        <is>
          <t>2022-07-06</t>
        </is>
      </c>
      <c r="B2505" t="inlineStr">
        <is>
          <t>12:39</t>
        </is>
      </c>
      <c r="C2505" t="n">
        <v>2998</v>
      </c>
      <c r="D2505" s="6" t="n">
        <v>4</v>
      </c>
      <c r="E2505" t="n">
        <v>39372</v>
      </c>
      <c r="F2505" s="6" t="n">
        <v>4</v>
      </c>
      <c r="G2505" t="n">
        <v>1</v>
      </c>
      <c r="H2505" s="6">
        <f>ROUND(G2505*F2505,2)</f>
        <v/>
      </c>
      <c r="I2505">
        <f>IF(ROUND(H2505-D2505,2)=0,1,0)</f>
        <v/>
      </c>
      <c r="J2505">
        <f>IF(F2505="","none",IF(G2505=1,"carte","multiple"))</f>
        <v/>
      </c>
    </row>
    <row r="2506">
      <c r="A2506" t="inlineStr">
        <is>
          <t>2022-07-06</t>
        </is>
      </c>
      <c r="B2506" t="inlineStr">
        <is>
          <t>12:39</t>
        </is>
      </c>
      <c r="C2506" t="n">
        <v>2998</v>
      </c>
      <c r="D2506" s="6" t="n">
        <v>2.2</v>
      </c>
      <c r="E2506" t="n">
        <v>39373</v>
      </c>
      <c r="F2506" s="6" t="n">
        <v>2.2</v>
      </c>
      <c r="G2506" t="n">
        <v>1</v>
      </c>
      <c r="H2506" s="6">
        <f>ROUND(G2506*F2506,2)</f>
        <v/>
      </c>
      <c r="I2506">
        <f>IF(ROUND(H2506-D2506,2)=0,1,0)</f>
        <v/>
      </c>
      <c r="J2506">
        <f>IF(F2506="","none",IF(G2506=1,"carte","multiple"))</f>
        <v/>
      </c>
    </row>
    <row r="2507">
      <c r="A2507" t="inlineStr">
        <is>
          <t>2022-07-06</t>
        </is>
      </c>
      <c r="B2507" t="inlineStr">
        <is>
          <t>12:39</t>
        </is>
      </c>
      <c r="C2507" t="n">
        <v>2998</v>
      </c>
      <c r="D2507" s="6" t="n">
        <v>16.8</v>
      </c>
      <c r="E2507" t="n">
        <v>39374</v>
      </c>
      <c r="F2507" s="6" t="n">
        <v>16.8</v>
      </c>
      <c r="G2507" t="n">
        <v>1</v>
      </c>
      <c r="H2507" s="6">
        <f>ROUND(G2507*F2507,2)</f>
        <v/>
      </c>
      <c r="I2507">
        <f>IF(ROUND(H2507-D2507,2)=0,1,0)</f>
        <v/>
      </c>
      <c r="J2507">
        <f>IF(F2507="","none",IF(G2507=1,"carte","multiple"))</f>
        <v/>
      </c>
    </row>
    <row r="2508">
      <c r="A2508" t="inlineStr">
        <is>
          <t>2022-07-06</t>
        </is>
      </c>
      <c r="B2508" t="inlineStr">
        <is>
          <t>12:39</t>
        </is>
      </c>
      <c r="C2508" t="n">
        <v>2998</v>
      </c>
      <c r="D2508" s="6" t="n">
        <v>15.6</v>
      </c>
      <c r="E2508" t="n">
        <v>39375</v>
      </c>
      <c r="F2508" s="6" t="n">
        <v>15.6</v>
      </c>
      <c r="G2508" t="n">
        <v>1</v>
      </c>
      <c r="H2508" s="6">
        <f>ROUND(G2508*F2508,2)</f>
        <v/>
      </c>
      <c r="I2508">
        <f>IF(ROUND(H2508-D2508,2)=0,1,0)</f>
        <v/>
      </c>
      <c r="J2508">
        <f>IF(F2508="","none",IF(G2508=1,"carte","multiple"))</f>
        <v/>
      </c>
    </row>
    <row r="2509">
      <c r="A2509" t="inlineStr">
        <is>
          <t>2022-07-06</t>
        </is>
      </c>
      <c r="B2509" t="inlineStr">
        <is>
          <t>12:39</t>
        </is>
      </c>
      <c r="C2509" t="n">
        <v>2998</v>
      </c>
      <c r="D2509" s="6" t="n">
        <v>7.8</v>
      </c>
      <c r="E2509" t="n">
        <v>39376</v>
      </c>
      <c r="F2509" s="6" t="n">
        <v>7.8</v>
      </c>
      <c r="G2509" t="n">
        <v>1</v>
      </c>
      <c r="H2509" s="6">
        <f>ROUND(G2509*F2509,2)</f>
        <v/>
      </c>
      <c r="I2509">
        <f>IF(ROUND(H2509-D2509,2)=0,1,0)</f>
        <v/>
      </c>
      <c r="J2509">
        <f>IF(F2509="","none",IF(G2509=1,"carte","multiple"))</f>
        <v/>
      </c>
    </row>
    <row r="2510">
      <c r="A2510" t="inlineStr">
        <is>
          <t>2022-07-06</t>
        </is>
      </c>
      <c r="B2510" t="inlineStr">
        <is>
          <t>12:43</t>
        </is>
      </c>
      <c r="C2510" t="n">
        <v>2998</v>
      </c>
      <c r="D2510" s="6" t="n">
        <v>4.4</v>
      </c>
      <c r="E2510" t="n">
        <v>39377</v>
      </c>
      <c r="F2510" s="6" t="n">
        <v>0.4</v>
      </c>
      <c r="G2510" t="n">
        <v>11</v>
      </c>
      <c r="H2510" s="6">
        <f>ROUND(G2510*F2510,2)</f>
        <v/>
      </c>
      <c r="I2510">
        <f>IF(ROUND(H2510-D2510,2)=0,1,0)</f>
        <v/>
      </c>
      <c r="J2510">
        <f>IF(F2510="","none",IF(G2510=1,"carte","multiple"))</f>
        <v/>
      </c>
    </row>
    <row r="2511">
      <c r="A2511" t="inlineStr">
        <is>
          <t>2022-07-06</t>
        </is>
      </c>
      <c r="B2511" t="inlineStr">
        <is>
          <t>12:43</t>
        </is>
      </c>
      <c r="C2511" t="n">
        <v>2998</v>
      </c>
      <c r="D2511" s="6" t="n">
        <v>7.5</v>
      </c>
      <c r="E2511" t="n">
        <v>39378</v>
      </c>
      <c r="F2511" s="6" t="n">
        <v>7.5</v>
      </c>
      <c r="G2511" t="n">
        <v>1</v>
      </c>
      <c r="H2511" s="6">
        <f>ROUND(G2511*F2511,2)</f>
        <v/>
      </c>
      <c r="I2511">
        <f>IF(ROUND(H2511-D2511,2)=0,1,0)</f>
        <v/>
      </c>
      <c r="J2511">
        <f>IF(F2511="","none",IF(G2511=1,"carte","multiple"))</f>
        <v/>
      </c>
    </row>
    <row r="2512">
      <c r="A2512" t="inlineStr">
        <is>
          <t>2022-07-06</t>
        </is>
      </c>
      <c r="B2512" t="inlineStr">
        <is>
          <t>12:43</t>
        </is>
      </c>
      <c r="C2512" t="n">
        <v>2998</v>
      </c>
      <c r="D2512" s="6" t="n">
        <v>9.9</v>
      </c>
      <c r="E2512" t="n">
        <v>39379</v>
      </c>
      <c r="F2512" s="6" t="n">
        <v>9.9</v>
      </c>
      <c r="G2512" t="n">
        <v>1</v>
      </c>
      <c r="H2512" s="6">
        <f>ROUND(G2512*F2512,2)</f>
        <v/>
      </c>
      <c r="I2512">
        <f>IF(ROUND(H2512-D2512,2)=0,1,0)</f>
        <v/>
      </c>
      <c r="J2512">
        <f>IF(F2512="","none",IF(G2512=1,"carte","multiple"))</f>
        <v/>
      </c>
    </row>
    <row r="2513">
      <c r="A2513" t="inlineStr">
        <is>
          <t>2022-07-06</t>
        </is>
      </c>
      <c r="B2513" t="inlineStr">
        <is>
          <t>12:43</t>
        </is>
      </c>
      <c r="C2513" t="n">
        <v>2998</v>
      </c>
      <c r="D2513" s="6" t="n">
        <v>9.800000000000001</v>
      </c>
      <c r="E2513" t="n">
        <v>39380</v>
      </c>
      <c r="F2513" s="6" t="n">
        <v>9.800000000000001</v>
      </c>
      <c r="G2513" t="n">
        <v>1</v>
      </c>
      <c r="H2513" s="6">
        <f>ROUND(G2513*F2513,2)</f>
        <v/>
      </c>
      <c r="I2513">
        <f>IF(ROUND(H2513-D2513,2)=0,1,0)</f>
        <v/>
      </c>
      <c r="J2513">
        <f>IF(F2513="","none",IF(G2513=1,"carte","multiple"))</f>
        <v/>
      </c>
    </row>
    <row r="2514">
      <c r="A2514" t="inlineStr">
        <is>
          <t>2022-07-06</t>
        </is>
      </c>
      <c r="B2514" t="inlineStr">
        <is>
          <t>12:43</t>
        </is>
      </c>
      <c r="C2514" t="n">
        <v>2998</v>
      </c>
      <c r="D2514" s="6" t="n">
        <v>19</v>
      </c>
      <c r="E2514" t="n">
        <v>39381</v>
      </c>
      <c r="F2514" s="6" t="n">
        <v>19</v>
      </c>
      <c r="G2514" t="n">
        <v>1</v>
      </c>
      <c r="H2514" s="6">
        <f>ROUND(G2514*F2514,2)</f>
        <v/>
      </c>
      <c r="I2514">
        <f>IF(ROUND(H2514-D2514,2)=0,1,0)</f>
        <v/>
      </c>
      <c r="J2514">
        <f>IF(F2514="","none",IF(G2514=1,"carte","multiple"))</f>
        <v/>
      </c>
    </row>
    <row r="2515">
      <c r="A2515" t="inlineStr">
        <is>
          <t>2022-07-06</t>
        </is>
      </c>
      <c r="B2515" t="inlineStr">
        <is>
          <t>12:43</t>
        </is>
      </c>
      <c r="C2515" t="n">
        <v>2998</v>
      </c>
      <c r="D2515" s="6" t="n">
        <v>17.6</v>
      </c>
      <c r="E2515" t="n">
        <v>39382</v>
      </c>
      <c r="F2515" s="6" t="n">
        <v>17.6</v>
      </c>
      <c r="G2515" t="n">
        <v>1</v>
      </c>
      <c r="H2515" s="6">
        <f>ROUND(G2515*F2515,2)</f>
        <v/>
      </c>
      <c r="I2515">
        <f>IF(ROUND(H2515-D2515,2)=0,1,0)</f>
        <v/>
      </c>
      <c r="J2515">
        <f>IF(F2515="","none",IF(G2515=1,"carte","multiple"))</f>
        <v/>
      </c>
    </row>
    <row r="2516">
      <c r="A2516" t="inlineStr">
        <is>
          <t>2022-07-06</t>
        </is>
      </c>
      <c r="B2516" t="inlineStr">
        <is>
          <t>12:43</t>
        </is>
      </c>
      <c r="C2516" t="n">
        <v>2998</v>
      </c>
      <c r="D2516" s="6" t="n">
        <v>7.2</v>
      </c>
      <c r="E2516" t="n">
        <v>39383</v>
      </c>
      <c r="F2516" s="6" t="n">
        <v>7.2</v>
      </c>
      <c r="G2516" t="n">
        <v>1</v>
      </c>
      <c r="H2516" s="6">
        <f>ROUND(G2516*F2516,2)</f>
        <v/>
      </c>
      <c r="I2516">
        <f>IF(ROUND(H2516-D2516,2)=0,1,0)</f>
        <v/>
      </c>
      <c r="J2516">
        <f>IF(F2516="","none",IF(G2516=1,"carte","multiple"))</f>
        <v/>
      </c>
    </row>
    <row r="2517">
      <c r="A2517" t="inlineStr">
        <is>
          <t>2022-07-06</t>
        </is>
      </c>
      <c r="B2517" t="inlineStr">
        <is>
          <t>12:43</t>
        </is>
      </c>
      <c r="C2517" t="n">
        <v>2998</v>
      </c>
      <c r="D2517" s="6" t="n">
        <v>5.9</v>
      </c>
      <c r="E2517" t="n">
        <v>39384</v>
      </c>
      <c r="F2517" s="6" t="n">
        <v>5.9</v>
      </c>
      <c r="G2517" t="n">
        <v>1</v>
      </c>
      <c r="H2517" s="6">
        <f>ROUND(G2517*F2517,2)</f>
        <v/>
      </c>
      <c r="I2517">
        <f>IF(ROUND(H2517-D2517,2)=0,1,0)</f>
        <v/>
      </c>
      <c r="J2517">
        <f>IF(F2517="","none",IF(G2517=1,"carte","multiple"))</f>
        <v/>
      </c>
    </row>
    <row r="2518">
      <c r="A2518" t="inlineStr">
        <is>
          <t>2022-07-06</t>
        </is>
      </c>
      <c r="B2518" t="inlineStr">
        <is>
          <t>12:43</t>
        </is>
      </c>
      <c r="C2518" t="n">
        <v>2998</v>
      </c>
      <c r="D2518" s="6" t="n">
        <v>4.2</v>
      </c>
      <c r="E2518" t="n">
        <v>39385</v>
      </c>
      <c r="F2518" s="6" t="n">
        <v>4.2</v>
      </c>
      <c r="G2518" t="n">
        <v>1</v>
      </c>
      <c r="H2518" s="6">
        <f>ROUND(G2518*F2518,2)</f>
        <v/>
      </c>
      <c r="I2518">
        <f>IF(ROUND(H2518-D2518,2)=0,1,0)</f>
        <v/>
      </c>
      <c r="J2518">
        <f>IF(F2518="","none",IF(G2518=1,"carte","multiple"))</f>
        <v/>
      </c>
    </row>
    <row r="2519">
      <c r="A2519" t="inlineStr">
        <is>
          <t>2022-07-06</t>
        </is>
      </c>
      <c r="B2519" t="inlineStr">
        <is>
          <t>12:43</t>
        </is>
      </c>
      <c r="C2519" t="n">
        <v>2998</v>
      </c>
      <c r="D2519" s="6" t="n">
        <v>9.800000000000001</v>
      </c>
      <c r="E2519" t="n">
        <v>39386</v>
      </c>
      <c r="F2519" s="6" t="n">
        <v>9.800000000000001</v>
      </c>
      <c r="G2519" t="n">
        <v>1</v>
      </c>
      <c r="H2519" s="6">
        <f>ROUND(G2519*F2519,2)</f>
        <v/>
      </c>
      <c r="I2519">
        <f>IF(ROUND(H2519-D2519,2)=0,1,0)</f>
        <v/>
      </c>
      <c r="J2519">
        <f>IF(F2519="","none",IF(G2519=1,"carte","multiple"))</f>
        <v/>
      </c>
    </row>
    <row r="2520">
      <c r="A2520" t="inlineStr">
        <is>
          <t>2022-07-06</t>
        </is>
      </c>
      <c r="B2520" t="inlineStr">
        <is>
          <t>18:06</t>
        </is>
      </c>
      <c r="C2520" t="n">
        <v>2998</v>
      </c>
      <c r="D2520" s="6" t="n">
        <v>29.9</v>
      </c>
      <c r="E2520" t="n">
        <v>39388</v>
      </c>
      <c r="F2520" s="6" t="n">
        <v>29.9</v>
      </c>
      <c r="G2520" t="n">
        <v>1</v>
      </c>
      <c r="H2520" s="6">
        <f>ROUND(G2520*F2520,2)</f>
        <v/>
      </c>
      <c r="I2520">
        <f>IF(ROUND(H2520-D2520,2)=0,1,0)</f>
        <v/>
      </c>
      <c r="J2520">
        <f>IF(F2520="","none",IF(G2520=1,"carte","multiple"))</f>
        <v/>
      </c>
    </row>
    <row r="2521">
      <c r="A2521" t="inlineStr">
        <is>
          <t>2022-07-06</t>
        </is>
      </c>
      <c r="B2521" t="inlineStr">
        <is>
          <t>18:10</t>
        </is>
      </c>
      <c r="C2521" t="n">
        <v>2998</v>
      </c>
      <c r="D2521" s="6" t="n">
        <v>4.5</v>
      </c>
      <c r="E2521" t="n">
        <v>39389</v>
      </c>
      <c r="F2521" s="6" t="n">
        <v>4.5</v>
      </c>
      <c r="G2521" t="n">
        <v>1</v>
      </c>
      <c r="H2521" s="6">
        <f>ROUND(G2521*F2521,2)</f>
        <v/>
      </c>
      <c r="I2521">
        <f>IF(ROUND(H2521-D2521,2)=0,1,0)</f>
        <v/>
      </c>
      <c r="J2521">
        <f>IF(F2521="","none",IF(G2521=1,"carte","multiple"))</f>
        <v/>
      </c>
    </row>
    <row r="2522">
      <c r="A2522" t="inlineStr">
        <is>
          <t>2022-07-06</t>
        </is>
      </c>
      <c r="B2522" t="inlineStr">
        <is>
          <t>18:10</t>
        </is>
      </c>
      <c r="C2522" t="n">
        <v>2998</v>
      </c>
      <c r="D2522" s="6" t="n">
        <v>2.9</v>
      </c>
      <c r="E2522" t="n">
        <v>39390</v>
      </c>
      <c r="F2522" s="6" t="n">
        <v>2.9</v>
      </c>
      <c r="G2522" t="n">
        <v>1</v>
      </c>
      <c r="H2522" s="6">
        <f>ROUND(G2522*F2522,2)</f>
        <v/>
      </c>
      <c r="I2522">
        <f>IF(ROUND(H2522-D2522,2)=0,1,0)</f>
        <v/>
      </c>
      <c r="J2522">
        <f>IF(F2522="","none",IF(G2522=1,"carte","multiple"))</f>
        <v/>
      </c>
    </row>
    <row r="2523">
      <c r="A2523" t="inlineStr">
        <is>
          <t>2022-07-06</t>
        </is>
      </c>
      <c r="B2523" t="inlineStr">
        <is>
          <t>18:10</t>
        </is>
      </c>
      <c r="C2523" t="n">
        <v>2998</v>
      </c>
      <c r="D2523" s="6" t="n">
        <v>9.5</v>
      </c>
      <c r="E2523" t="n">
        <v>39391</v>
      </c>
      <c r="F2523" s="6" t="n">
        <v>9.5</v>
      </c>
      <c r="G2523" t="n">
        <v>1</v>
      </c>
      <c r="H2523" s="6">
        <f>ROUND(G2523*F2523,2)</f>
        <v/>
      </c>
      <c r="I2523">
        <f>IF(ROUND(H2523-D2523,2)=0,1,0)</f>
        <v/>
      </c>
      <c r="J2523">
        <f>IF(F2523="","none",IF(G2523=1,"carte","multiple"))</f>
        <v/>
      </c>
    </row>
    <row r="2524">
      <c r="A2524" t="inlineStr">
        <is>
          <t>2022-07-06</t>
        </is>
      </c>
      <c r="B2524" t="inlineStr">
        <is>
          <t>18:10</t>
        </is>
      </c>
      <c r="C2524" t="n">
        <v>2998</v>
      </c>
      <c r="D2524" s="6" t="n">
        <v>9.5</v>
      </c>
      <c r="E2524" t="n">
        <v>39392</v>
      </c>
      <c r="F2524" s="6" t="n">
        <v>9.5</v>
      </c>
      <c r="G2524" t="n">
        <v>1</v>
      </c>
      <c r="H2524" s="6">
        <f>ROUND(G2524*F2524,2)</f>
        <v/>
      </c>
      <c r="I2524">
        <f>IF(ROUND(H2524-D2524,2)=0,1,0)</f>
        <v/>
      </c>
      <c r="J2524">
        <f>IF(F2524="","none",IF(G2524=1,"carte","multiple"))</f>
        <v/>
      </c>
    </row>
    <row r="2525">
      <c r="A2525" t="inlineStr">
        <is>
          <t>2022-07-06</t>
        </is>
      </c>
      <c r="B2525" t="inlineStr">
        <is>
          <t>18:10</t>
        </is>
      </c>
      <c r="C2525" t="n">
        <v>2998</v>
      </c>
      <c r="D2525" s="6" t="n">
        <v>1.95</v>
      </c>
      <c r="E2525" t="n">
        <v>39393</v>
      </c>
      <c r="H2525" t="inlineStr"/>
      <c r="I2525" t="inlineStr"/>
      <c r="J2525">
        <f>IF(F2525="","none",IF(G2525=1,"carte","multiple"))</f>
        <v/>
      </c>
    </row>
    <row r="2526">
      <c r="A2526" t="inlineStr">
        <is>
          <t>2022-07-06</t>
        </is>
      </c>
      <c r="B2526" t="inlineStr">
        <is>
          <t>18:10</t>
        </is>
      </c>
      <c r="C2526" t="n">
        <v>2998</v>
      </c>
      <c r="D2526" s="6" t="n">
        <v>3.25</v>
      </c>
      <c r="E2526" t="n">
        <v>39394</v>
      </c>
      <c r="H2526" t="inlineStr"/>
      <c r="I2526" t="inlineStr"/>
      <c r="J2526">
        <f>IF(F2526="","none",IF(G2526=1,"carte","multiple"))</f>
        <v/>
      </c>
    </row>
    <row r="2527">
      <c r="A2527" t="inlineStr">
        <is>
          <t>2022-07-06</t>
        </is>
      </c>
      <c r="B2527" t="inlineStr">
        <is>
          <t>18:38</t>
        </is>
      </c>
      <c r="C2527" t="n">
        <v>2998</v>
      </c>
      <c r="D2527" s="6" t="n">
        <v>9.6</v>
      </c>
      <c r="E2527" t="n">
        <v>39395</v>
      </c>
      <c r="F2527" s="6" t="n">
        <v>9.6</v>
      </c>
      <c r="G2527" t="n">
        <v>1</v>
      </c>
      <c r="H2527" s="6">
        <f>ROUND(G2527*F2527,2)</f>
        <v/>
      </c>
      <c r="I2527">
        <f>IF(ROUND(H2527-D2527,2)=0,1,0)</f>
        <v/>
      </c>
      <c r="J2527">
        <f>IF(F2527="","none",IF(G2527=1,"carte","multiple"))</f>
        <v/>
      </c>
    </row>
    <row r="2528">
      <c r="A2528" t="inlineStr">
        <is>
          <t>2022-07-06</t>
        </is>
      </c>
      <c r="B2528" t="inlineStr">
        <is>
          <t>18:38</t>
        </is>
      </c>
      <c r="C2528" t="n">
        <v>2998</v>
      </c>
      <c r="D2528" s="6" t="n">
        <v>15.9</v>
      </c>
      <c r="E2528" t="n">
        <v>39396</v>
      </c>
      <c r="F2528" s="6" t="n">
        <v>15.9</v>
      </c>
      <c r="G2528" t="n">
        <v>1</v>
      </c>
      <c r="H2528" s="6">
        <f>ROUND(G2528*F2528,2)</f>
        <v/>
      </c>
      <c r="I2528">
        <f>IF(ROUND(H2528-D2528,2)=0,1,0)</f>
        <v/>
      </c>
      <c r="J2528">
        <f>IF(F2528="","none",IF(G2528=1,"carte","multiple"))</f>
        <v/>
      </c>
    </row>
    <row r="2529">
      <c r="A2529" t="inlineStr">
        <is>
          <t>2022-07-06</t>
        </is>
      </c>
      <c r="B2529" t="inlineStr">
        <is>
          <t>18:38</t>
        </is>
      </c>
      <c r="C2529" t="n">
        <v>2998</v>
      </c>
      <c r="D2529" s="6" t="n">
        <v>3.6</v>
      </c>
      <c r="E2529" t="n">
        <v>39397</v>
      </c>
      <c r="F2529" s="6" t="n">
        <v>3.6</v>
      </c>
      <c r="G2529" t="n">
        <v>1</v>
      </c>
      <c r="H2529" s="6">
        <f>ROUND(G2529*F2529,2)</f>
        <v/>
      </c>
      <c r="I2529">
        <f>IF(ROUND(H2529-D2529,2)=0,1,0)</f>
        <v/>
      </c>
      <c r="J2529">
        <f>IF(F2529="","none",IF(G2529=1,"carte","multiple"))</f>
        <v/>
      </c>
    </row>
    <row r="2530">
      <c r="A2530" t="inlineStr">
        <is>
          <t>2022-07-06</t>
        </is>
      </c>
      <c r="B2530" t="inlineStr">
        <is>
          <t>18:38</t>
        </is>
      </c>
      <c r="C2530" t="n">
        <v>2998</v>
      </c>
      <c r="D2530" s="6" t="n">
        <v>4.2</v>
      </c>
      <c r="E2530" t="n">
        <v>39398</v>
      </c>
      <c r="F2530" s="6" t="n">
        <v>4.2</v>
      </c>
      <c r="G2530" t="n">
        <v>1</v>
      </c>
      <c r="H2530" s="6">
        <f>ROUND(G2530*F2530,2)</f>
        <v/>
      </c>
      <c r="I2530">
        <f>IF(ROUND(H2530-D2530,2)=0,1,0)</f>
        <v/>
      </c>
      <c r="J2530">
        <f>IF(F2530="","none",IF(G2530=1,"carte","multiple"))</f>
        <v/>
      </c>
    </row>
    <row r="2531">
      <c r="A2531" t="inlineStr">
        <is>
          <t>2022-07-06</t>
        </is>
      </c>
      <c r="B2531" t="inlineStr">
        <is>
          <t>18:39</t>
        </is>
      </c>
      <c r="C2531" t="n">
        <v>2998</v>
      </c>
      <c r="D2531" s="6" t="n">
        <v>18</v>
      </c>
      <c r="E2531" t="n">
        <v>39399</v>
      </c>
      <c r="F2531" s="6" t="n">
        <v>18</v>
      </c>
      <c r="G2531" t="n">
        <v>1</v>
      </c>
      <c r="H2531" s="6">
        <f>ROUND(G2531*F2531,2)</f>
        <v/>
      </c>
      <c r="I2531">
        <f>IF(ROUND(H2531-D2531,2)=0,1,0)</f>
        <v/>
      </c>
      <c r="J2531">
        <f>IF(F2531="","none",IF(G2531=1,"carte","multiple"))</f>
        <v/>
      </c>
    </row>
    <row r="2532">
      <c r="A2532" t="inlineStr">
        <is>
          <t>2022-07-06</t>
        </is>
      </c>
      <c r="B2532" t="inlineStr">
        <is>
          <t>18:39</t>
        </is>
      </c>
      <c r="C2532" t="n">
        <v>2998</v>
      </c>
      <c r="D2532" s="6" t="n">
        <v>8.800000000000001</v>
      </c>
      <c r="E2532" t="n">
        <v>39400</v>
      </c>
      <c r="F2532" s="6" t="n">
        <v>8.800000000000001</v>
      </c>
      <c r="G2532" t="n">
        <v>1</v>
      </c>
      <c r="H2532" s="6">
        <f>ROUND(G2532*F2532,2)</f>
        <v/>
      </c>
      <c r="I2532">
        <f>IF(ROUND(H2532-D2532,2)=0,1,0)</f>
        <v/>
      </c>
      <c r="J2532">
        <f>IF(F2532="","none",IF(G2532=1,"carte","multiple"))</f>
        <v/>
      </c>
    </row>
    <row r="2533">
      <c r="A2533" t="inlineStr">
        <is>
          <t>2022-07-06</t>
        </is>
      </c>
      <c r="B2533" t="inlineStr">
        <is>
          <t>18:39</t>
        </is>
      </c>
      <c r="C2533" t="n">
        <v>2998</v>
      </c>
      <c r="D2533" s="6" t="n">
        <v>29.8</v>
      </c>
      <c r="E2533" t="n">
        <v>39401</v>
      </c>
      <c r="F2533" s="6" t="n">
        <v>14.9</v>
      </c>
      <c r="G2533" t="n">
        <v>2</v>
      </c>
      <c r="H2533" s="6">
        <f>ROUND(G2533*F2533,2)</f>
        <v/>
      </c>
      <c r="I2533">
        <f>IF(ROUND(H2533-D2533,2)=0,1,0)</f>
        <v/>
      </c>
      <c r="J2533">
        <f>IF(F2533="","none",IF(G2533=1,"carte","multiple"))</f>
        <v/>
      </c>
    </row>
    <row r="2534">
      <c r="A2534" t="inlineStr">
        <is>
          <t>2022-07-06</t>
        </is>
      </c>
      <c r="B2534" t="inlineStr">
        <is>
          <t>18:39</t>
        </is>
      </c>
      <c r="C2534" t="n">
        <v>2998</v>
      </c>
      <c r="D2534" s="6" t="n">
        <v>16.9</v>
      </c>
      <c r="E2534" t="n">
        <v>39402</v>
      </c>
      <c r="F2534" s="6" t="n">
        <v>16.9</v>
      </c>
      <c r="G2534" t="n">
        <v>1</v>
      </c>
      <c r="H2534" s="6">
        <f>ROUND(G2534*F2534,2)</f>
        <v/>
      </c>
      <c r="I2534">
        <f>IF(ROUND(H2534-D2534,2)=0,1,0)</f>
        <v/>
      </c>
      <c r="J2534">
        <f>IF(F2534="","none",IF(G2534=1,"carte","multiple"))</f>
        <v/>
      </c>
    </row>
    <row r="2535">
      <c r="A2535" t="inlineStr">
        <is>
          <t>2022-07-06</t>
        </is>
      </c>
      <c r="B2535" t="inlineStr">
        <is>
          <t>18:39</t>
        </is>
      </c>
      <c r="C2535" t="n">
        <v>2998</v>
      </c>
      <c r="D2535" s="6" t="n">
        <v>4</v>
      </c>
      <c r="E2535" t="n">
        <v>39403</v>
      </c>
      <c r="F2535" s="6" t="n">
        <v>4</v>
      </c>
      <c r="G2535" t="n">
        <v>1</v>
      </c>
      <c r="H2535" s="6">
        <f>ROUND(G2535*F2535,2)</f>
        <v/>
      </c>
      <c r="I2535">
        <f>IF(ROUND(H2535-D2535,2)=0,1,0)</f>
        <v/>
      </c>
      <c r="J2535">
        <f>IF(F2535="","none",IF(G2535=1,"carte","multiple"))</f>
        <v/>
      </c>
    </row>
    <row r="2536">
      <c r="A2536" t="inlineStr">
        <is>
          <t>2022-07-06</t>
        </is>
      </c>
      <c r="B2536" t="inlineStr">
        <is>
          <t>18:42</t>
        </is>
      </c>
      <c r="C2536" t="n">
        <v>2998</v>
      </c>
      <c r="D2536" s="6" t="n">
        <v>3.9</v>
      </c>
      <c r="E2536" t="n">
        <v>39404</v>
      </c>
      <c r="F2536" s="6" t="n">
        <v>3.9</v>
      </c>
      <c r="G2536" t="n">
        <v>1</v>
      </c>
      <c r="H2536" s="6">
        <f>ROUND(G2536*F2536,2)</f>
        <v/>
      </c>
      <c r="I2536">
        <f>IF(ROUND(H2536-D2536,2)=0,1,0)</f>
        <v/>
      </c>
      <c r="J2536">
        <f>IF(F2536="","none",IF(G2536=1,"carte","multiple"))</f>
        <v/>
      </c>
    </row>
    <row r="2537">
      <c r="A2537" t="inlineStr">
        <is>
          <t>2022-07-06</t>
        </is>
      </c>
      <c r="B2537" t="inlineStr">
        <is>
          <t>19:16</t>
        </is>
      </c>
      <c r="C2537" t="n">
        <v>2998</v>
      </c>
      <c r="D2537" s="6" t="n">
        <v>0</v>
      </c>
      <c r="E2537" t="n">
        <v>39405</v>
      </c>
      <c r="H2537" t="inlineStr"/>
      <c r="I2537" t="inlineStr"/>
      <c r="J2537">
        <f>IF(F2537="","none",IF(G2537=1,"carte","multiple"))</f>
        <v/>
      </c>
    </row>
    <row r="2538">
      <c r="A2538" t="inlineStr">
        <is>
          <t>2022-07-06</t>
        </is>
      </c>
      <c r="B2538" t="inlineStr">
        <is>
          <t>19:16</t>
        </is>
      </c>
      <c r="C2538" t="n">
        <v>2998</v>
      </c>
      <c r="D2538" s="6" t="n">
        <v>7.2</v>
      </c>
      <c r="E2538" t="n">
        <v>39406</v>
      </c>
      <c r="F2538" s="6" t="n">
        <v>7.2</v>
      </c>
      <c r="G2538" t="n">
        <v>1</v>
      </c>
      <c r="H2538" s="6">
        <f>ROUND(G2538*F2538,2)</f>
        <v/>
      </c>
      <c r="I2538">
        <f>IF(ROUND(H2538-D2538,2)=0,1,0)</f>
        <v/>
      </c>
      <c r="J2538">
        <f>IF(F2538="","none",IF(G2538=1,"carte","multiple"))</f>
        <v/>
      </c>
    </row>
    <row r="2539">
      <c r="A2539" t="inlineStr">
        <is>
          <t>2022-07-06</t>
        </is>
      </c>
      <c r="B2539" t="inlineStr">
        <is>
          <t>19:16</t>
        </is>
      </c>
      <c r="C2539" t="n">
        <v>2998</v>
      </c>
      <c r="D2539" s="6" t="n">
        <v>17.6</v>
      </c>
      <c r="E2539" t="n">
        <v>39407</v>
      </c>
      <c r="F2539" s="6" t="n">
        <v>17.6</v>
      </c>
      <c r="G2539" t="n">
        <v>1</v>
      </c>
      <c r="H2539" s="6">
        <f>ROUND(G2539*F2539,2)</f>
        <v/>
      </c>
      <c r="I2539">
        <f>IF(ROUND(H2539-D2539,2)=0,1,0)</f>
        <v/>
      </c>
      <c r="J2539">
        <f>IF(F2539="","none",IF(G2539=1,"carte","multiple"))</f>
        <v/>
      </c>
    </row>
    <row r="2540">
      <c r="A2540" t="inlineStr">
        <is>
          <t>2022-07-06</t>
        </is>
      </c>
      <c r="B2540" t="inlineStr">
        <is>
          <t>19:16</t>
        </is>
      </c>
      <c r="C2540" t="n">
        <v>2998</v>
      </c>
      <c r="D2540" s="6" t="n">
        <v>17.6</v>
      </c>
      <c r="E2540" t="n">
        <v>39408</v>
      </c>
      <c r="F2540" s="6" t="n">
        <v>17.6</v>
      </c>
      <c r="G2540" t="n">
        <v>1</v>
      </c>
      <c r="H2540" s="6">
        <f>ROUND(G2540*F2540,2)</f>
        <v/>
      </c>
      <c r="I2540">
        <f>IF(ROUND(H2540-D2540,2)=0,1,0)</f>
        <v/>
      </c>
      <c r="J2540">
        <f>IF(F2540="","none",IF(G2540=1,"carte","multiple"))</f>
        <v/>
      </c>
    </row>
    <row r="2541">
      <c r="A2541" t="inlineStr">
        <is>
          <t>2022-07-06</t>
        </is>
      </c>
      <c r="B2541" t="inlineStr">
        <is>
          <t>19:16</t>
        </is>
      </c>
      <c r="C2541" t="n">
        <v>2998</v>
      </c>
      <c r="D2541" s="6" t="n">
        <v>17.6</v>
      </c>
      <c r="E2541" t="n">
        <v>39409</v>
      </c>
      <c r="F2541" s="6" t="n">
        <v>17.6</v>
      </c>
      <c r="G2541" t="n">
        <v>1</v>
      </c>
      <c r="H2541" s="6">
        <f>ROUND(G2541*F2541,2)</f>
        <v/>
      </c>
      <c r="I2541">
        <f>IF(ROUND(H2541-D2541,2)=0,1,0)</f>
        <v/>
      </c>
      <c r="J2541">
        <f>IF(F2541="","none",IF(G2541=1,"carte","multiple"))</f>
        <v/>
      </c>
    </row>
    <row r="2542">
      <c r="A2542" t="inlineStr">
        <is>
          <t>2022-07-06</t>
        </is>
      </c>
      <c r="B2542" t="inlineStr">
        <is>
          <t>19:16</t>
        </is>
      </c>
      <c r="C2542" t="n">
        <v>2998</v>
      </c>
      <c r="D2542" s="6" t="n">
        <v>4.7</v>
      </c>
      <c r="E2542" t="n">
        <v>39410</v>
      </c>
      <c r="F2542" s="6" t="n">
        <v>4.7</v>
      </c>
      <c r="G2542" t="n">
        <v>1</v>
      </c>
      <c r="H2542" s="6">
        <f>ROUND(G2542*F2542,2)</f>
        <v/>
      </c>
      <c r="I2542">
        <f>IF(ROUND(H2542-D2542,2)=0,1,0)</f>
        <v/>
      </c>
      <c r="J2542">
        <f>IF(F2542="","none",IF(G2542=1,"carte","multiple"))</f>
        <v/>
      </c>
    </row>
    <row r="2543">
      <c r="A2543" t="inlineStr">
        <is>
          <t>2022-07-06</t>
        </is>
      </c>
      <c r="B2543" t="inlineStr">
        <is>
          <t>19:16</t>
        </is>
      </c>
      <c r="C2543" t="n">
        <v>2998</v>
      </c>
      <c r="D2543" s="6" t="n">
        <v>10.9</v>
      </c>
      <c r="E2543" t="n">
        <v>39411</v>
      </c>
      <c r="F2543" s="6" t="n">
        <v>10.9</v>
      </c>
      <c r="G2543" t="n">
        <v>1</v>
      </c>
      <c r="H2543" s="6">
        <f>ROUND(G2543*F2543,2)</f>
        <v/>
      </c>
      <c r="I2543">
        <f>IF(ROUND(H2543-D2543,2)=0,1,0)</f>
        <v/>
      </c>
      <c r="J2543">
        <f>IF(F2543="","none",IF(G2543=1,"carte","multiple"))</f>
        <v/>
      </c>
    </row>
    <row r="2544">
      <c r="A2544" t="inlineStr">
        <is>
          <t>2022-07-06</t>
        </is>
      </c>
      <c r="B2544" t="inlineStr">
        <is>
          <t>19:16</t>
        </is>
      </c>
      <c r="C2544" t="n">
        <v>2998</v>
      </c>
      <c r="D2544" s="6" t="n">
        <v>8.699999999999999</v>
      </c>
      <c r="E2544" t="n">
        <v>39412</v>
      </c>
      <c r="F2544" s="6" t="n">
        <v>8.699999999999999</v>
      </c>
      <c r="G2544" t="n">
        <v>1</v>
      </c>
      <c r="H2544" s="6">
        <f>ROUND(G2544*F2544,2)</f>
        <v/>
      </c>
      <c r="I2544">
        <f>IF(ROUND(H2544-D2544,2)=0,1,0)</f>
        <v/>
      </c>
      <c r="J2544">
        <f>IF(F2544="","none",IF(G2544=1,"carte","multiple"))</f>
        <v/>
      </c>
    </row>
    <row r="2545">
      <c r="A2545" t="inlineStr">
        <is>
          <t>2022-07-06</t>
        </is>
      </c>
      <c r="B2545" t="inlineStr">
        <is>
          <t>19:58</t>
        </is>
      </c>
      <c r="C2545" t="n">
        <v>2998</v>
      </c>
      <c r="D2545" s="6" t="n">
        <v>4</v>
      </c>
      <c r="E2545" t="n">
        <v>39413</v>
      </c>
      <c r="F2545" s="6" t="n">
        <v>4</v>
      </c>
      <c r="G2545" t="n">
        <v>1</v>
      </c>
      <c r="H2545" s="6">
        <f>ROUND(G2545*F2545,2)</f>
        <v/>
      </c>
      <c r="I2545">
        <f>IF(ROUND(H2545-D2545,2)=0,1,0)</f>
        <v/>
      </c>
      <c r="J2545">
        <f>IF(F2545="","none",IF(G2545=1,"carte","multiple"))</f>
        <v/>
      </c>
    </row>
    <row r="2546">
      <c r="A2546" t="inlineStr">
        <is>
          <t>2022-07-06</t>
        </is>
      </c>
      <c r="B2546" t="inlineStr">
        <is>
          <t>19:58</t>
        </is>
      </c>
      <c r="C2546" t="n">
        <v>2998</v>
      </c>
      <c r="D2546" s="6" t="n">
        <v>17.6</v>
      </c>
      <c r="E2546" t="n">
        <v>39414</v>
      </c>
      <c r="F2546" s="6" t="n">
        <v>17.6</v>
      </c>
      <c r="G2546" t="n">
        <v>1</v>
      </c>
      <c r="H2546" s="6">
        <f>ROUND(G2546*F2546,2)</f>
        <v/>
      </c>
      <c r="I2546">
        <f>IF(ROUND(H2546-D2546,2)=0,1,0)</f>
        <v/>
      </c>
      <c r="J2546">
        <f>IF(F2546="","none",IF(G2546=1,"carte","multiple"))</f>
        <v/>
      </c>
    </row>
    <row r="2547">
      <c r="A2547" t="inlineStr">
        <is>
          <t>2022-07-06</t>
        </is>
      </c>
      <c r="B2547" t="inlineStr">
        <is>
          <t>19:58</t>
        </is>
      </c>
      <c r="C2547" t="n">
        <v>2998</v>
      </c>
      <c r="D2547" s="6" t="n">
        <v>19</v>
      </c>
      <c r="E2547" t="n">
        <v>39415</v>
      </c>
      <c r="F2547" s="6" t="n">
        <v>19</v>
      </c>
      <c r="G2547" t="n">
        <v>1</v>
      </c>
      <c r="H2547" s="6">
        <f>ROUND(G2547*F2547,2)</f>
        <v/>
      </c>
      <c r="I2547">
        <f>IF(ROUND(H2547-D2547,2)=0,1,0)</f>
        <v/>
      </c>
      <c r="J2547">
        <f>IF(F2547="","none",IF(G2547=1,"carte","multiple"))</f>
        <v/>
      </c>
    </row>
    <row r="2548">
      <c r="A2548" t="inlineStr">
        <is>
          <t>2022-07-06</t>
        </is>
      </c>
      <c r="B2548" t="inlineStr">
        <is>
          <t>19:58</t>
        </is>
      </c>
      <c r="C2548" t="n">
        <v>2998</v>
      </c>
      <c r="D2548" s="6" t="n">
        <v>3.9</v>
      </c>
      <c r="E2548" t="n">
        <v>39416</v>
      </c>
      <c r="F2548" s="6" t="n">
        <v>3.9</v>
      </c>
      <c r="G2548" t="n">
        <v>1</v>
      </c>
      <c r="H2548" s="6">
        <f>ROUND(G2548*F2548,2)</f>
        <v/>
      </c>
      <c r="I2548">
        <f>IF(ROUND(H2548-D2548,2)=0,1,0)</f>
        <v/>
      </c>
      <c r="J2548">
        <f>IF(F2548="","none",IF(G2548=1,"carte","multiple"))</f>
        <v/>
      </c>
    </row>
    <row r="2549">
      <c r="A2549" t="inlineStr">
        <is>
          <t>2022-07-06</t>
        </is>
      </c>
      <c r="B2549" t="inlineStr">
        <is>
          <t>19:58</t>
        </is>
      </c>
      <c r="C2549" t="n">
        <v>2998</v>
      </c>
      <c r="D2549" s="6" t="n">
        <v>3.9</v>
      </c>
      <c r="E2549" t="n">
        <v>39417</v>
      </c>
      <c r="F2549" s="6" t="n">
        <v>3.9</v>
      </c>
      <c r="G2549" t="n">
        <v>1</v>
      </c>
      <c r="H2549" s="6">
        <f>ROUND(G2549*F2549,2)</f>
        <v/>
      </c>
      <c r="I2549">
        <f>IF(ROUND(H2549-D2549,2)=0,1,0)</f>
        <v/>
      </c>
      <c r="J2549">
        <f>IF(F2549="","none",IF(G2549=1,"carte","multiple"))</f>
        <v/>
      </c>
    </row>
    <row r="2550">
      <c r="A2550" t="inlineStr">
        <is>
          <t>2022-07-06</t>
        </is>
      </c>
      <c r="B2550" t="inlineStr">
        <is>
          <t>20:03</t>
        </is>
      </c>
      <c r="C2550" t="n">
        <v>2998</v>
      </c>
      <c r="D2550" s="6" t="n">
        <v>4.4</v>
      </c>
      <c r="E2550" t="n">
        <v>39418</v>
      </c>
      <c r="F2550" s="6" t="n">
        <v>0.4</v>
      </c>
      <c r="G2550" t="n">
        <v>11</v>
      </c>
      <c r="H2550" s="6">
        <f>ROUND(G2550*F2550,2)</f>
        <v/>
      </c>
      <c r="I2550">
        <f>IF(ROUND(H2550-D2550,2)=0,1,0)</f>
        <v/>
      </c>
      <c r="J2550">
        <f>IF(F2550="","none",IF(G2550=1,"carte","multiple"))</f>
        <v/>
      </c>
    </row>
    <row r="2551">
      <c r="A2551" t="inlineStr">
        <is>
          <t>2022-07-06</t>
        </is>
      </c>
      <c r="B2551" t="inlineStr">
        <is>
          <t>20:03</t>
        </is>
      </c>
      <c r="C2551" t="n">
        <v>2998</v>
      </c>
      <c r="D2551" s="6" t="n">
        <v>27.8</v>
      </c>
      <c r="E2551" t="n">
        <v>39419</v>
      </c>
      <c r="F2551" s="6" t="n">
        <v>27.8</v>
      </c>
      <c r="G2551" t="n">
        <v>1</v>
      </c>
      <c r="H2551" s="6">
        <f>ROUND(G2551*F2551,2)</f>
        <v/>
      </c>
      <c r="I2551">
        <f>IF(ROUND(H2551-D2551,2)=0,1,0)</f>
        <v/>
      </c>
      <c r="J2551">
        <f>IF(F2551="","none",IF(G2551=1,"carte","multiple"))</f>
        <v/>
      </c>
    </row>
    <row r="2552">
      <c r="A2552" t="inlineStr">
        <is>
          <t>2022-07-06</t>
        </is>
      </c>
      <c r="B2552" t="inlineStr">
        <is>
          <t>20:03</t>
        </is>
      </c>
      <c r="C2552" t="n">
        <v>2998</v>
      </c>
      <c r="D2552" s="6" t="n">
        <v>15.9</v>
      </c>
      <c r="E2552" t="n">
        <v>39420</v>
      </c>
      <c r="F2552" s="6" t="n">
        <v>15.9</v>
      </c>
      <c r="G2552" t="n">
        <v>1</v>
      </c>
      <c r="H2552" s="6">
        <f>ROUND(G2552*F2552,2)</f>
        <v/>
      </c>
      <c r="I2552">
        <f>IF(ROUND(H2552-D2552,2)=0,1,0)</f>
        <v/>
      </c>
      <c r="J2552">
        <f>IF(F2552="","none",IF(G2552=1,"carte","multiple"))</f>
        <v/>
      </c>
    </row>
    <row r="2553">
      <c r="A2553" t="inlineStr">
        <is>
          <t>2022-07-06</t>
        </is>
      </c>
      <c r="B2553" t="inlineStr">
        <is>
          <t>20:03</t>
        </is>
      </c>
      <c r="C2553" t="n">
        <v>2998</v>
      </c>
      <c r="D2553" s="6" t="n">
        <v>4</v>
      </c>
      <c r="E2553" t="n">
        <v>39421</v>
      </c>
      <c r="F2553" s="6" t="n">
        <v>4</v>
      </c>
      <c r="G2553" t="n">
        <v>1</v>
      </c>
      <c r="H2553" s="6">
        <f>ROUND(G2553*F2553,2)</f>
        <v/>
      </c>
      <c r="I2553">
        <f>IF(ROUND(H2553-D2553,2)=0,1,0)</f>
        <v/>
      </c>
      <c r="J2553">
        <f>IF(F2553="","none",IF(G2553=1,"carte","multiple"))</f>
        <v/>
      </c>
    </row>
    <row r="2554">
      <c r="A2554" t="inlineStr">
        <is>
          <t>2022-07-06</t>
        </is>
      </c>
      <c r="B2554" t="inlineStr">
        <is>
          <t>20:03</t>
        </is>
      </c>
      <c r="C2554" t="n">
        <v>2998</v>
      </c>
      <c r="D2554" s="6" t="n">
        <v>4</v>
      </c>
      <c r="E2554" t="n">
        <v>39422</v>
      </c>
      <c r="F2554" s="6" t="n">
        <v>4</v>
      </c>
      <c r="G2554" t="n">
        <v>1</v>
      </c>
      <c r="H2554" s="6">
        <f>ROUND(G2554*F2554,2)</f>
        <v/>
      </c>
      <c r="I2554">
        <f>IF(ROUND(H2554-D2554,2)=0,1,0)</f>
        <v/>
      </c>
      <c r="J2554">
        <f>IF(F2554="","none",IF(G2554=1,"carte","multiple"))</f>
        <v/>
      </c>
    </row>
    <row r="2555">
      <c r="A2555" t="inlineStr">
        <is>
          <t>2022-07-06</t>
        </is>
      </c>
      <c r="B2555" t="inlineStr">
        <is>
          <t>20:03</t>
        </is>
      </c>
      <c r="C2555" t="n">
        <v>2998</v>
      </c>
      <c r="D2555" s="6" t="n">
        <v>28</v>
      </c>
      <c r="E2555" t="n">
        <v>39423</v>
      </c>
      <c r="F2555" s="6" t="n">
        <v>28</v>
      </c>
      <c r="G2555" t="n">
        <v>1</v>
      </c>
      <c r="H2555" s="6">
        <f>ROUND(G2555*F2555,2)</f>
        <v/>
      </c>
      <c r="I2555">
        <f>IF(ROUND(H2555-D2555,2)=0,1,0)</f>
        <v/>
      </c>
      <c r="J2555">
        <f>IF(F2555="","none",IF(G2555=1,"carte","multiple"))</f>
        <v/>
      </c>
    </row>
    <row r="2556">
      <c r="A2556" t="inlineStr">
        <is>
          <t>2022-07-06</t>
        </is>
      </c>
      <c r="B2556" t="inlineStr">
        <is>
          <t>20:03</t>
        </is>
      </c>
      <c r="C2556" t="n">
        <v>2998</v>
      </c>
      <c r="D2556" s="6" t="n">
        <v>19</v>
      </c>
      <c r="E2556" t="n">
        <v>39424</v>
      </c>
      <c r="F2556" s="6" t="n">
        <v>19</v>
      </c>
      <c r="G2556" t="n">
        <v>1</v>
      </c>
      <c r="H2556" s="6">
        <f>ROUND(G2556*F2556,2)</f>
        <v/>
      </c>
      <c r="I2556">
        <f>IF(ROUND(H2556-D2556,2)=0,1,0)</f>
        <v/>
      </c>
      <c r="J2556">
        <f>IF(F2556="","none",IF(G2556=1,"carte","multiple"))</f>
        <v/>
      </c>
    </row>
    <row r="2557">
      <c r="A2557" t="inlineStr">
        <is>
          <t>2022-07-06</t>
        </is>
      </c>
      <c r="B2557" t="inlineStr">
        <is>
          <t>20:03</t>
        </is>
      </c>
      <c r="C2557" t="n">
        <v>2998</v>
      </c>
      <c r="D2557" s="6" t="n">
        <v>7.8</v>
      </c>
      <c r="E2557" t="n">
        <v>39425</v>
      </c>
      <c r="F2557" s="6" t="n">
        <v>7.8</v>
      </c>
      <c r="G2557" t="n">
        <v>1</v>
      </c>
      <c r="H2557" s="6">
        <f>ROUND(G2557*F2557,2)</f>
        <v/>
      </c>
      <c r="I2557">
        <f>IF(ROUND(H2557-D2557,2)=0,1,0)</f>
        <v/>
      </c>
      <c r="J2557">
        <f>IF(F2557="","none",IF(G2557=1,"carte","multiple"))</f>
        <v/>
      </c>
    </row>
    <row r="2558">
      <c r="A2558" t="inlineStr">
        <is>
          <t>2022-07-06</t>
        </is>
      </c>
      <c r="B2558" t="inlineStr">
        <is>
          <t>20:04</t>
        </is>
      </c>
      <c r="C2558" t="n">
        <v>2998</v>
      </c>
      <c r="D2558" s="6" t="n">
        <v>59.2</v>
      </c>
      <c r="E2558" t="n">
        <v>39426</v>
      </c>
      <c r="F2558" s="6" t="n">
        <v>0.4</v>
      </c>
      <c r="G2558" t="n">
        <v>148</v>
      </c>
      <c r="H2558" s="6">
        <f>ROUND(G2558*F2558,2)</f>
        <v/>
      </c>
      <c r="I2558">
        <f>IF(ROUND(H2558-D2558,2)=0,1,0)</f>
        <v/>
      </c>
      <c r="J2558">
        <f>IF(F2558="","none",IF(G2558=1,"carte","multiple"))</f>
        <v/>
      </c>
    </row>
    <row r="2559">
      <c r="A2559" t="inlineStr">
        <is>
          <t>2022-07-06</t>
        </is>
      </c>
      <c r="B2559" t="inlineStr">
        <is>
          <t>20:08</t>
        </is>
      </c>
      <c r="C2559" t="n">
        <v>2998</v>
      </c>
      <c r="D2559" s="6" t="n">
        <v>32</v>
      </c>
      <c r="E2559" t="n">
        <v>39427</v>
      </c>
      <c r="F2559" s="6" t="n">
        <v>32</v>
      </c>
      <c r="G2559" t="n">
        <v>1</v>
      </c>
      <c r="H2559" s="6">
        <f>ROUND(G2559*F2559,2)</f>
        <v/>
      </c>
      <c r="I2559">
        <f>IF(ROUND(H2559-D2559,2)=0,1,0)</f>
        <v/>
      </c>
      <c r="J2559">
        <f>IF(F2559="","none",IF(G2559=1,"carte","multiple"))</f>
        <v/>
      </c>
    </row>
    <row r="2560">
      <c r="A2560" t="inlineStr">
        <is>
          <t>2022-07-06</t>
        </is>
      </c>
      <c r="B2560" t="inlineStr">
        <is>
          <t>21:24</t>
        </is>
      </c>
      <c r="C2560" t="n">
        <v>2998</v>
      </c>
      <c r="D2560" s="6" t="n">
        <v>7.8</v>
      </c>
      <c r="E2560" t="n">
        <v>39429</v>
      </c>
      <c r="F2560" s="6" t="n">
        <v>7.8</v>
      </c>
      <c r="G2560" t="n">
        <v>1</v>
      </c>
      <c r="H2560" s="6">
        <f>ROUND(G2560*F2560,2)</f>
        <v/>
      </c>
      <c r="I2560">
        <f>IF(ROUND(H2560-D2560,2)=0,1,0)</f>
        <v/>
      </c>
      <c r="J2560">
        <f>IF(F2560="","none",IF(G2560=1,"carte","multiple"))</f>
        <v/>
      </c>
    </row>
    <row r="2561">
      <c r="A2561" t="inlineStr">
        <is>
          <t>2022-07-06</t>
        </is>
      </c>
      <c r="B2561" t="inlineStr">
        <is>
          <t>21:24</t>
        </is>
      </c>
      <c r="C2561" t="n">
        <v>2998</v>
      </c>
      <c r="D2561" s="6" t="n">
        <v>2.9</v>
      </c>
      <c r="E2561" t="n">
        <v>39430</v>
      </c>
      <c r="F2561" s="6" t="n">
        <v>2.9</v>
      </c>
      <c r="G2561" t="n">
        <v>1</v>
      </c>
      <c r="H2561" s="6">
        <f>ROUND(G2561*F2561,2)</f>
        <v/>
      </c>
      <c r="I2561">
        <f>IF(ROUND(H2561-D2561,2)=0,1,0)</f>
        <v/>
      </c>
      <c r="J2561">
        <f>IF(F2561="","none",IF(G2561=1,"carte","multiple"))</f>
        <v/>
      </c>
    </row>
    <row r="2562">
      <c r="A2562" t="inlineStr">
        <is>
          <t>2022-07-06</t>
        </is>
      </c>
      <c r="B2562" t="inlineStr">
        <is>
          <t>21:24</t>
        </is>
      </c>
      <c r="C2562" t="n">
        <v>2998</v>
      </c>
      <c r="D2562" s="6" t="n">
        <v>6.9</v>
      </c>
      <c r="E2562" t="n">
        <v>39431</v>
      </c>
      <c r="F2562" s="6" t="n">
        <v>6.9</v>
      </c>
      <c r="G2562" t="n">
        <v>1</v>
      </c>
      <c r="H2562" s="6">
        <f>ROUND(G2562*F2562,2)</f>
        <v/>
      </c>
      <c r="I2562">
        <f>IF(ROUND(H2562-D2562,2)=0,1,0)</f>
        <v/>
      </c>
      <c r="J2562">
        <f>IF(F2562="","none",IF(G2562=1,"carte","multiple"))</f>
        <v/>
      </c>
    </row>
    <row r="2563">
      <c r="A2563" t="inlineStr">
        <is>
          <t>2022-07-06</t>
        </is>
      </c>
      <c r="B2563" t="inlineStr">
        <is>
          <t>21:24</t>
        </is>
      </c>
      <c r="C2563" t="n">
        <v>2998</v>
      </c>
      <c r="D2563" s="6" t="n">
        <v>2.2</v>
      </c>
      <c r="E2563" t="n">
        <v>39432</v>
      </c>
      <c r="F2563" s="6" t="n">
        <v>2.2</v>
      </c>
      <c r="G2563" t="n">
        <v>1</v>
      </c>
      <c r="H2563" s="6">
        <f>ROUND(G2563*F2563,2)</f>
        <v/>
      </c>
      <c r="I2563">
        <f>IF(ROUND(H2563-D2563,2)=0,1,0)</f>
        <v/>
      </c>
      <c r="J2563">
        <f>IF(F2563="","none",IF(G2563=1,"carte","multiple"))</f>
        <v/>
      </c>
    </row>
    <row r="2564">
      <c r="A2564" t="inlineStr">
        <is>
          <t>2022-07-06</t>
        </is>
      </c>
      <c r="B2564" t="inlineStr">
        <is>
          <t>21:24</t>
        </is>
      </c>
      <c r="C2564" t="n">
        <v>2998</v>
      </c>
      <c r="D2564" s="6" t="n">
        <v>17.6</v>
      </c>
      <c r="E2564" t="n">
        <v>39433</v>
      </c>
      <c r="F2564" s="6" t="n">
        <v>17.6</v>
      </c>
      <c r="G2564" t="n">
        <v>1</v>
      </c>
      <c r="H2564" s="6">
        <f>ROUND(G2564*F2564,2)</f>
        <v/>
      </c>
      <c r="I2564">
        <f>IF(ROUND(H2564-D2564,2)=0,1,0)</f>
        <v/>
      </c>
      <c r="J2564">
        <f>IF(F2564="","none",IF(G2564=1,"carte","multiple"))</f>
        <v/>
      </c>
    </row>
    <row r="2565">
      <c r="A2565" t="inlineStr">
        <is>
          <t>2022-07-06</t>
        </is>
      </c>
      <c r="B2565" t="inlineStr">
        <is>
          <t>21:24</t>
        </is>
      </c>
      <c r="C2565" t="n">
        <v>2998</v>
      </c>
      <c r="D2565" s="6" t="n">
        <v>52.8</v>
      </c>
      <c r="E2565" t="n">
        <v>39434</v>
      </c>
      <c r="F2565" s="6" t="n">
        <v>0.4</v>
      </c>
      <c r="G2565" t="n">
        <v>132</v>
      </c>
      <c r="H2565" s="6">
        <f>ROUND(G2565*F2565,2)</f>
        <v/>
      </c>
      <c r="I2565">
        <f>IF(ROUND(H2565-D2565,2)=0,1,0)</f>
        <v/>
      </c>
      <c r="J2565">
        <f>IF(F2565="","none",IF(G2565=1,"carte","multiple"))</f>
        <v/>
      </c>
    </row>
    <row r="2566">
      <c r="A2566" t="inlineStr">
        <is>
          <t>2022-07-06</t>
        </is>
      </c>
      <c r="B2566" t="inlineStr">
        <is>
          <t>21:24</t>
        </is>
      </c>
      <c r="C2566" t="n">
        <v>2998</v>
      </c>
      <c r="D2566" s="6" t="n">
        <v>4</v>
      </c>
      <c r="E2566" t="n">
        <v>39435</v>
      </c>
      <c r="F2566" s="6" t="n">
        <v>4</v>
      </c>
      <c r="G2566" t="n">
        <v>1</v>
      </c>
      <c r="H2566" s="6">
        <f>ROUND(G2566*F2566,2)</f>
        <v/>
      </c>
      <c r="I2566">
        <f>IF(ROUND(H2566-D2566,2)=0,1,0)</f>
        <v/>
      </c>
      <c r="J2566">
        <f>IF(F2566="","none",IF(G2566=1,"carte","multiple"))</f>
        <v/>
      </c>
    </row>
    <row r="2567">
      <c r="A2567" t="inlineStr">
        <is>
          <t>2022-07-06</t>
        </is>
      </c>
      <c r="B2567" t="inlineStr">
        <is>
          <t>21:24</t>
        </is>
      </c>
      <c r="C2567" t="n">
        <v>2998</v>
      </c>
      <c r="D2567" s="6" t="n">
        <v>7.8</v>
      </c>
      <c r="E2567" t="n">
        <v>39436</v>
      </c>
      <c r="F2567" s="6" t="n">
        <v>7.8</v>
      </c>
      <c r="G2567" t="n">
        <v>1</v>
      </c>
      <c r="H2567" s="6">
        <f>ROUND(G2567*F2567,2)</f>
        <v/>
      </c>
      <c r="I2567">
        <f>IF(ROUND(H2567-D2567,2)=0,1,0)</f>
        <v/>
      </c>
      <c r="J2567">
        <f>IF(F2567="","none",IF(G2567=1,"carte","multiple"))</f>
        <v/>
      </c>
    </row>
    <row r="2568">
      <c r="A2568" t="inlineStr">
        <is>
          <t>2022-07-06</t>
        </is>
      </c>
      <c r="B2568" t="inlineStr">
        <is>
          <t>21:24</t>
        </is>
      </c>
      <c r="C2568" t="n">
        <v>2998</v>
      </c>
      <c r="D2568" s="6" t="n">
        <v>3.9</v>
      </c>
      <c r="E2568" t="n">
        <v>39437</v>
      </c>
      <c r="F2568" s="6" t="n">
        <v>3.9</v>
      </c>
      <c r="G2568" t="n">
        <v>1</v>
      </c>
      <c r="H2568" s="6">
        <f>ROUND(G2568*F2568,2)</f>
        <v/>
      </c>
      <c r="I2568">
        <f>IF(ROUND(H2568-D2568,2)=0,1,0)</f>
        <v/>
      </c>
      <c r="J2568">
        <f>IF(F2568="","none",IF(G2568=1,"carte","multiple"))</f>
        <v/>
      </c>
    </row>
    <row r="2569">
      <c r="A2569" t="inlineStr">
        <is>
          <t>2022-07-07</t>
        </is>
      </c>
      <c r="B2569" t="inlineStr">
        <is>
          <t>10:44</t>
        </is>
      </c>
      <c r="C2569" t="n">
        <v>2999</v>
      </c>
      <c r="D2569" s="6" t="n">
        <v>15.9</v>
      </c>
      <c r="E2569" t="n">
        <v>39439</v>
      </c>
      <c r="F2569" s="6" t="n">
        <v>15.9</v>
      </c>
      <c r="G2569" t="n">
        <v>1</v>
      </c>
      <c r="H2569" s="6">
        <f>ROUND(G2569*F2569,2)</f>
        <v/>
      </c>
      <c r="I2569">
        <f>IF(ROUND(H2569-D2569,2)=0,1,0)</f>
        <v/>
      </c>
      <c r="J2569">
        <f>IF(F2569="","none",IF(G2569=1,"carte","multiple"))</f>
        <v/>
      </c>
    </row>
    <row r="2570">
      <c r="A2570" t="inlineStr">
        <is>
          <t>2022-07-07</t>
        </is>
      </c>
      <c r="B2570" t="inlineStr">
        <is>
          <t>10:56</t>
        </is>
      </c>
      <c r="C2570" t="n">
        <v>2999</v>
      </c>
      <c r="D2570" s="6" t="n">
        <v>7.8</v>
      </c>
      <c r="E2570" t="n">
        <v>39440</v>
      </c>
      <c r="F2570" s="6" t="n">
        <v>7.8</v>
      </c>
      <c r="G2570" t="n">
        <v>1</v>
      </c>
      <c r="H2570" s="6">
        <f>ROUND(G2570*F2570,2)</f>
        <v/>
      </c>
      <c r="I2570">
        <f>IF(ROUND(H2570-D2570,2)=0,1,0)</f>
        <v/>
      </c>
      <c r="J2570">
        <f>IF(F2570="","none",IF(G2570=1,"carte","multiple"))</f>
        <v/>
      </c>
    </row>
    <row r="2571">
      <c r="A2571" t="inlineStr">
        <is>
          <t>2022-07-07</t>
        </is>
      </c>
      <c r="B2571" t="inlineStr">
        <is>
          <t>11:15</t>
        </is>
      </c>
      <c r="C2571" t="n">
        <v>2999</v>
      </c>
      <c r="D2571" s="6" t="n">
        <v>2.2</v>
      </c>
      <c r="E2571" t="n">
        <v>39441</v>
      </c>
      <c r="F2571" s="6" t="n">
        <v>2.2</v>
      </c>
      <c r="G2571" t="n">
        <v>1</v>
      </c>
      <c r="H2571" s="6">
        <f>ROUND(G2571*F2571,2)</f>
        <v/>
      </c>
      <c r="I2571">
        <f>IF(ROUND(H2571-D2571,2)=0,1,0)</f>
        <v/>
      </c>
      <c r="J2571">
        <f>IF(F2571="","none",IF(G2571=1,"carte","multiple"))</f>
        <v/>
      </c>
    </row>
    <row r="2572">
      <c r="A2572" t="inlineStr">
        <is>
          <t>2022-07-07</t>
        </is>
      </c>
      <c r="B2572" t="inlineStr">
        <is>
          <t>11:15</t>
        </is>
      </c>
      <c r="C2572" t="n">
        <v>2999</v>
      </c>
      <c r="D2572" s="6" t="n">
        <v>15.9</v>
      </c>
      <c r="E2572" t="n">
        <v>39442</v>
      </c>
      <c r="F2572" s="6" t="n">
        <v>15.9</v>
      </c>
      <c r="G2572" t="n">
        <v>1</v>
      </c>
      <c r="H2572" s="6">
        <f>ROUND(G2572*F2572,2)</f>
        <v/>
      </c>
      <c r="I2572">
        <f>IF(ROUND(H2572-D2572,2)=0,1,0)</f>
        <v/>
      </c>
      <c r="J2572">
        <f>IF(F2572="","none",IF(G2572=1,"carte","multiple"))</f>
        <v/>
      </c>
    </row>
    <row r="2573">
      <c r="A2573" t="inlineStr">
        <is>
          <t>2022-07-07</t>
        </is>
      </c>
      <c r="B2573" t="inlineStr">
        <is>
          <t>11:15</t>
        </is>
      </c>
      <c r="C2573" t="n">
        <v>2999</v>
      </c>
      <c r="D2573" s="6" t="n">
        <v>19.9</v>
      </c>
      <c r="E2573" t="n">
        <v>39443</v>
      </c>
      <c r="F2573" s="6" t="n">
        <v>19.9</v>
      </c>
      <c r="G2573" t="n">
        <v>1</v>
      </c>
      <c r="H2573" s="6">
        <f>ROUND(G2573*F2573,2)</f>
        <v/>
      </c>
      <c r="I2573">
        <f>IF(ROUND(H2573-D2573,2)=0,1,0)</f>
        <v/>
      </c>
      <c r="J2573">
        <f>IF(F2573="","none",IF(G2573=1,"carte","multiple"))</f>
        <v/>
      </c>
    </row>
    <row r="2574">
      <c r="A2574" t="inlineStr">
        <is>
          <t>2022-07-07</t>
        </is>
      </c>
      <c r="B2574" t="inlineStr">
        <is>
          <t>11:15</t>
        </is>
      </c>
      <c r="C2574" t="n">
        <v>2999</v>
      </c>
      <c r="D2574" s="6" t="n">
        <v>4</v>
      </c>
      <c r="E2574" t="n">
        <v>39444</v>
      </c>
      <c r="F2574" s="6" t="n">
        <v>4</v>
      </c>
      <c r="G2574" t="n">
        <v>1</v>
      </c>
      <c r="H2574" s="6">
        <f>ROUND(G2574*F2574,2)</f>
        <v/>
      </c>
      <c r="I2574">
        <f>IF(ROUND(H2574-D2574,2)=0,1,0)</f>
        <v/>
      </c>
      <c r="J2574">
        <f>IF(F2574="","none",IF(G2574=1,"carte","multiple"))</f>
        <v/>
      </c>
    </row>
    <row r="2575">
      <c r="A2575" t="inlineStr">
        <is>
          <t>2022-07-07</t>
        </is>
      </c>
      <c r="B2575" t="inlineStr">
        <is>
          <t>11:15</t>
        </is>
      </c>
      <c r="C2575" t="n">
        <v>2999</v>
      </c>
      <c r="D2575" s="6" t="n">
        <v>3.9</v>
      </c>
      <c r="E2575" t="n">
        <v>39445</v>
      </c>
      <c r="F2575" s="6" t="n">
        <v>3.9</v>
      </c>
      <c r="G2575" t="n">
        <v>1</v>
      </c>
      <c r="H2575" s="6">
        <f>ROUND(G2575*F2575,2)</f>
        <v/>
      </c>
      <c r="I2575">
        <f>IF(ROUND(H2575-D2575,2)=0,1,0)</f>
        <v/>
      </c>
      <c r="J2575">
        <f>IF(F2575="","none",IF(G2575=1,"carte","multiple"))</f>
        <v/>
      </c>
    </row>
    <row r="2576">
      <c r="A2576" t="inlineStr">
        <is>
          <t>2022-07-07</t>
        </is>
      </c>
      <c r="B2576" t="inlineStr">
        <is>
          <t>11:15</t>
        </is>
      </c>
      <c r="C2576" t="n">
        <v>2999</v>
      </c>
      <c r="D2576" s="6" t="n">
        <v>3.9</v>
      </c>
      <c r="E2576" t="n">
        <v>39446</v>
      </c>
      <c r="F2576" s="6" t="n">
        <v>3.9</v>
      </c>
      <c r="G2576" t="n">
        <v>1</v>
      </c>
      <c r="H2576" s="6">
        <f>ROUND(G2576*F2576,2)</f>
        <v/>
      </c>
      <c r="I2576">
        <f>IF(ROUND(H2576-D2576,2)=0,1,0)</f>
        <v/>
      </c>
      <c r="J2576">
        <f>IF(F2576="","none",IF(G2576=1,"carte","multiple"))</f>
        <v/>
      </c>
    </row>
    <row r="2577">
      <c r="A2577" t="inlineStr">
        <is>
          <t>2022-07-07</t>
        </is>
      </c>
      <c r="B2577" t="inlineStr">
        <is>
          <t>11:53</t>
        </is>
      </c>
      <c r="C2577" t="n">
        <v>2999</v>
      </c>
      <c r="D2577" s="6" t="n">
        <v>1.8</v>
      </c>
      <c r="E2577" t="n">
        <v>39447</v>
      </c>
      <c r="F2577" s="6" t="n">
        <v>1.8</v>
      </c>
      <c r="G2577" t="n">
        <v>1</v>
      </c>
      <c r="H2577" s="6">
        <f>ROUND(G2577*F2577,2)</f>
        <v/>
      </c>
      <c r="I2577">
        <f>IF(ROUND(H2577-D2577,2)=0,1,0)</f>
        <v/>
      </c>
      <c r="J2577">
        <f>IF(F2577="","none",IF(G2577=1,"carte","multiple"))</f>
        <v/>
      </c>
    </row>
    <row r="2578">
      <c r="A2578" t="inlineStr">
        <is>
          <t>2022-07-07</t>
        </is>
      </c>
      <c r="B2578" t="inlineStr">
        <is>
          <t>11:53</t>
        </is>
      </c>
      <c r="C2578" t="n">
        <v>2999</v>
      </c>
      <c r="D2578" s="6" t="n">
        <v>1.8</v>
      </c>
      <c r="E2578" t="n">
        <v>39448</v>
      </c>
      <c r="F2578" s="6" t="n">
        <v>1.8</v>
      </c>
      <c r="G2578" t="n">
        <v>1</v>
      </c>
      <c r="H2578" s="6">
        <f>ROUND(G2578*F2578,2)</f>
        <v/>
      </c>
      <c r="I2578">
        <f>IF(ROUND(H2578-D2578,2)=0,1,0)</f>
        <v/>
      </c>
      <c r="J2578">
        <f>IF(F2578="","none",IF(G2578=1,"carte","multiple"))</f>
        <v/>
      </c>
    </row>
    <row r="2579">
      <c r="A2579" t="inlineStr">
        <is>
          <t>2022-07-07</t>
        </is>
      </c>
      <c r="B2579" t="inlineStr">
        <is>
          <t>11:53</t>
        </is>
      </c>
      <c r="C2579" t="n">
        <v>2999</v>
      </c>
      <c r="D2579" s="6" t="n">
        <v>5.8</v>
      </c>
      <c r="E2579" t="n">
        <v>39449</v>
      </c>
      <c r="F2579" s="6" t="n">
        <v>5.8</v>
      </c>
      <c r="G2579" t="n">
        <v>1</v>
      </c>
      <c r="H2579" s="6">
        <f>ROUND(G2579*F2579,2)</f>
        <v/>
      </c>
      <c r="I2579">
        <f>IF(ROUND(H2579-D2579,2)=0,1,0)</f>
        <v/>
      </c>
      <c r="J2579">
        <f>IF(F2579="","none",IF(G2579=1,"carte","multiple"))</f>
        <v/>
      </c>
    </row>
    <row r="2580">
      <c r="A2580" t="inlineStr">
        <is>
          <t>2022-07-07</t>
        </is>
      </c>
      <c r="B2580" t="inlineStr">
        <is>
          <t>11:53</t>
        </is>
      </c>
      <c r="C2580" t="n">
        <v>2999</v>
      </c>
      <c r="D2580" s="6" t="n">
        <v>14.4</v>
      </c>
      <c r="E2580" t="n">
        <v>39450</v>
      </c>
      <c r="F2580" s="6" t="n">
        <v>0.4</v>
      </c>
      <c r="G2580" t="n">
        <v>36</v>
      </c>
      <c r="H2580" s="6">
        <f>ROUND(G2580*F2580,2)</f>
        <v/>
      </c>
      <c r="I2580">
        <f>IF(ROUND(H2580-D2580,2)=0,1,0)</f>
        <v/>
      </c>
      <c r="J2580">
        <f>IF(F2580="","none",IF(G2580=1,"carte","multiple"))</f>
        <v/>
      </c>
    </row>
    <row r="2581">
      <c r="A2581" t="inlineStr">
        <is>
          <t>2022-07-07</t>
        </is>
      </c>
      <c r="B2581" t="inlineStr">
        <is>
          <t>11:53</t>
        </is>
      </c>
      <c r="C2581" t="n">
        <v>2999</v>
      </c>
      <c r="D2581" s="6" t="n">
        <v>17.6</v>
      </c>
      <c r="E2581" t="n">
        <v>39451</v>
      </c>
      <c r="F2581" s="6" t="n">
        <v>17.6</v>
      </c>
      <c r="G2581" t="n">
        <v>1</v>
      </c>
      <c r="H2581" s="6">
        <f>ROUND(G2581*F2581,2)</f>
        <v/>
      </c>
      <c r="I2581">
        <f>IF(ROUND(H2581-D2581,2)=0,1,0)</f>
        <v/>
      </c>
      <c r="J2581">
        <f>IF(F2581="","none",IF(G2581=1,"carte","multiple"))</f>
        <v/>
      </c>
    </row>
    <row r="2582">
      <c r="A2582" t="inlineStr">
        <is>
          <t>2022-07-07</t>
        </is>
      </c>
      <c r="B2582" t="inlineStr">
        <is>
          <t>11:53</t>
        </is>
      </c>
      <c r="C2582" t="n">
        <v>2999</v>
      </c>
      <c r="D2582" s="6" t="n">
        <v>32</v>
      </c>
      <c r="E2582" t="n">
        <v>39452</v>
      </c>
      <c r="F2582" s="6" t="n">
        <v>32</v>
      </c>
      <c r="G2582" t="n">
        <v>1</v>
      </c>
      <c r="H2582" s="6">
        <f>ROUND(G2582*F2582,2)</f>
        <v/>
      </c>
      <c r="I2582">
        <f>IF(ROUND(H2582-D2582,2)=0,1,0)</f>
        <v/>
      </c>
      <c r="J2582">
        <f>IF(F2582="","none",IF(G2582=1,"carte","multiple"))</f>
        <v/>
      </c>
    </row>
    <row r="2583">
      <c r="A2583" t="inlineStr">
        <is>
          <t>2022-07-07</t>
        </is>
      </c>
      <c r="B2583" t="inlineStr">
        <is>
          <t>11:53</t>
        </is>
      </c>
      <c r="C2583" t="n">
        <v>2999</v>
      </c>
      <c r="D2583" s="6" t="n">
        <v>3.9</v>
      </c>
      <c r="E2583" t="n">
        <v>39453</v>
      </c>
      <c r="F2583" s="6" t="n">
        <v>3.9</v>
      </c>
      <c r="G2583" t="n">
        <v>1</v>
      </c>
      <c r="H2583" s="6">
        <f>ROUND(G2583*F2583,2)</f>
        <v/>
      </c>
      <c r="I2583">
        <f>IF(ROUND(H2583-D2583,2)=0,1,0)</f>
        <v/>
      </c>
      <c r="J2583">
        <f>IF(F2583="","none",IF(G2583=1,"carte","multiple"))</f>
        <v/>
      </c>
    </row>
    <row r="2584">
      <c r="A2584" t="inlineStr">
        <is>
          <t>2022-07-07</t>
        </is>
      </c>
      <c r="B2584" t="inlineStr">
        <is>
          <t>12:02</t>
        </is>
      </c>
      <c r="C2584" t="n">
        <v>2999</v>
      </c>
      <c r="D2584" s="6" t="n">
        <v>3.9</v>
      </c>
      <c r="E2584" t="n">
        <v>39454</v>
      </c>
      <c r="F2584" s="6" t="n">
        <v>3.9</v>
      </c>
      <c r="G2584" t="n">
        <v>1</v>
      </c>
      <c r="H2584" s="6">
        <f>ROUND(G2584*F2584,2)</f>
        <v/>
      </c>
      <c r="I2584">
        <f>IF(ROUND(H2584-D2584,2)=0,1,0)</f>
        <v/>
      </c>
      <c r="J2584">
        <f>IF(F2584="","none",IF(G2584=1,"carte","multiple"))</f>
        <v/>
      </c>
    </row>
    <row r="2585">
      <c r="A2585" t="inlineStr">
        <is>
          <t>2022-07-07</t>
        </is>
      </c>
      <c r="B2585" t="inlineStr">
        <is>
          <t>12:02</t>
        </is>
      </c>
      <c r="C2585" t="n">
        <v>2999</v>
      </c>
      <c r="D2585" s="6" t="n">
        <v>2.2</v>
      </c>
      <c r="E2585" t="n">
        <v>39455</v>
      </c>
      <c r="F2585" s="6" t="n">
        <v>2.2</v>
      </c>
      <c r="G2585" t="n">
        <v>1</v>
      </c>
      <c r="H2585" s="6">
        <f>ROUND(G2585*F2585,2)</f>
        <v/>
      </c>
      <c r="I2585">
        <f>IF(ROUND(H2585-D2585,2)=0,1,0)</f>
        <v/>
      </c>
      <c r="J2585">
        <f>IF(F2585="","none",IF(G2585=1,"carte","multiple"))</f>
        <v/>
      </c>
    </row>
    <row r="2586">
      <c r="A2586" t="inlineStr">
        <is>
          <t>2022-07-07</t>
        </is>
      </c>
      <c r="B2586" t="inlineStr">
        <is>
          <t>12:02</t>
        </is>
      </c>
      <c r="C2586" t="n">
        <v>2999</v>
      </c>
      <c r="D2586" s="6" t="n">
        <v>3.9</v>
      </c>
      <c r="E2586" t="n">
        <v>39456</v>
      </c>
      <c r="F2586" s="6" t="n">
        <v>3.9</v>
      </c>
      <c r="G2586" t="n">
        <v>1</v>
      </c>
      <c r="H2586" s="6">
        <f>ROUND(G2586*F2586,2)</f>
        <v/>
      </c>
      <c r="I2586">
        <f>IF(ROUND(H2586-D2586,2)=0,1,0)</f>
        <v/>
      </c>
      <c r="J2586">
        <f>IF(F2586="","none",IF(G2586=1,"carte","multiple"))</f>
        <v/>
      </c>
    </row>
    <row r="2587">
      <c r="A2587" t="inlineStr">
        <is>
          <t>2022-07-07</t>
        </is>
      </c>
      <c r="B2587" t="inlineStr">
        <is>
          <t>12:02</t>
        </is>
      </c>
      <c r="C2587" t="n">
        <v>2999</v>
      </c>
      <c r="D2587" s="6" t="n">
        <v>8.800000000000001</v>
      </c>
      <c r="E2587" t="n">
        <v>39457</v>
      </c>
      <c r="F2587" s="6" t="n">
        <v>8.800000000000001</v>
      </c>
      <c r="G2587" t="n">
        <v>1</v>
      </c>
      <c r="H2587" s="6">
        <f>ROUND(G2587*F2587,2)</f>
        <v/>
      </c>
      <c r="I2587">
        <f>IF(ROUND(H2587-D2587,2)=0,1,0)</f>
        <v/>
      </c>
      <c r="J2587">
        <f>IF(F2587="","none",IF(G2587=1,"carte","multiple"))</f>
        <v/>
      </c>
    </row>
    <row r="2588">
      <c r="A2588" t="inlineStr">
        <is>
          <t>2022-07-07</t>
        </is>
      </c>
      <c r="B2588" t="inlineStr">
        <is>
          <t>12:02</t>
        </is>
      </c>
      <c r="C2588" t="n">
        <v>2999</v>
      </c>
      <c r="D2588" s="6" t="n">
        <v>5.9</v>
      </c>
      <c r="E2588" t="n">
        <v>39458</v>
      </c>
      <c r="F2588" s="6" t="n">
        <v>5.9</v>
      </c>
      <c r="G2588" t="n">
        <v>1</v>
      </c>
      <c r="H2588" s="6">
        <f>ROUND(G2588*F2588,2)</f>
        <v/>
      </c>
      <c r="I2588">
        <f>IF(ROUND(H2588-D2588,2)=0,1,0)</f>
        <v/>
      </c>
      <c r="J2588">
        <f>IF(F2588="","none",IF(G2588=1,"carte","multiple"))</f>
        <v/>
      </c>
    </row>
    <row r="2589">
      <c r="A2589" t="inlineStr">
        <is>
          <t>2022-07-07</t>
        </is>
      </c>
      <c r="B2589" t="inlineStr">
        <is>
          <t>12:02</t>
        </is>
      </c>
      <c r="C2589" t="n">
        <v>2999</v>
      </c>
      <c r="D2589" s="6" t="n">
        <v>46</v>
      </c>
      <c r="E2589" t="n">
        <v>39459</v>
      </c>
      <c r="F2589" s="6" t="n">
        <v>0.4</v>
      </c>
      <c r="G2589" t="n">
        <v>115</v>
      </c>
      <c r="H2589" s="6">
        <f>ROUND(G2589*F2589,2)</f>
        <v/>
      </c>
      <c r="I2589">
        <f>IF(ROUND(H2589-D2589,2)=0,1,0)</f>
        <v/>
      </c>
      <c r="J2589">
        <f>IF(F2589="","none",IF(G2589=1,"carte","multiple"))</f>
        <v/>
      </c>
    </row>
    <row r="2590">
      <c r="A2590" t="inlineStr">
        <is>
          <t>2022-07-07</t>
        </is>
      </c>
      <c r="B2590" t="inlineStr">
        <is>
          <t>12:02</t>
        </is>
      </c>
      <c r="C2590" t="n">
        <v>2999</v>
      </c>
      <c r="D2590" s="6" t="n">
        <v>7.2</v>
      </c>
      <c r="E2590" t="n">
        <v>39460</v>
      </c>
      <c r="F2590" s="6" t="n">
        <v>7.2</v>
      </c>
      <c r="G2590" t="n">
        <v>1</v>
      </c>
      <c r="H2590" s="6">
        <f>ROUND(G2590*F2590,2)</f>
        <v/>
      </c>
      <c r="I2590">
        <f>IF(ROUND(H2590-D2590,2)=0,1,0)</f>
        <v/>
      </c>
      <c r="J2590">
        <f>IF(F2590="","none",IF(G2590=1,"carte","multiple"))</f>
        <v/>
      </c>
    </row>
    <row r="2591">
      <c r="A2591" t="inlineStr">
        <is>
          <t>2022-07-07</t>
        </is>
      </c>
      <c r="B2591" t="inlineStr">
        <is>
          <t>12:51</t>
        </is>
      </c>
      <c r="C2591" t="n">
        <v>2999</v>
      </c>
      <c r="D2591" s="6" t="n">
        <v>2.2</v>
      </c>
      <c r="E2591" t="n">
        <v>39461</v>
      </c>
      <c r="F2591" s="6" t="n">
        <v>2.2</v>
      </c>
      <c r="G2591" t="n">
        <v>1</v>
      </c>
      <c r="H2591" s="6">
        <f>ROUND(G2591*F2591,2)</f>
        <v/>
      </c>
      <c r="I2591">
        <f>IF(ROUND(H2591-D2591,2)=0,1,0)</f>
        <v/>
      </c>
      <c r="J2591">
        <f>IF(F2591="","none",IF(G2591=1,"carte","multiple"))</f>
        <v/>
      </c>
    </row>
    <row r="2592">
      <c r="A2592" t="inlineStr">
        <is>
          <t>2022-07-07</t>
        </is>
      </c>
      <c r="B2592" t="inlineStr">
        <is>
          <t>12:51</t>
        </is>
      </c>
      <c r="C2592" t="n">
        <v>2999</v>
      </c>
      <c r="D2592" s="6" t="n">
        <v>17.6</v>
      </c>
      <c r="E2592" t="n">
        <v>39462</v>
      </c>
      <c r="F2592" s="6" t="n">
        <v>17.6</v>
      </c>
      <c r="G2592" t="n">
        <v>1</v>
      </c>
      <c r="H2592" s="6">
        <f>ROUND(G2592*F2592,2)</f>
        <v/>
      </c>
      <c r="I2592">
        <f>IF(ROUND(H2592-D2592,2)=0,1,0)</f>
        <v/>
      </c>
      <c r="J2592">
        <f>IF(F2592="","none",IF(G2592=1,"carte","multiple"))</f>
        <v/>
      </c>
    </row>
    <row r="2593">
      <c r="A2593" t="inlineStr">
        <is>
          <t>2022-07-07</t>
        </is>
      </c>
      <c r="B2593" t="inlineStr">
        <is>
          <t>12:51</t>
        </is>
      </c>
      <c r="C2593" t="n">
        <v>2999</v>
      </c>
      <c r="D2593" s="6" t="n">
        <v>19</v>
      </c>
      <c r="E2593" t="n">
        <v>39463</v>
      </c>
      <c r="F2593" s="6" t="n">
        <v>19</v>
      </c>
      <c r="G2593" t="n">
        <v>1</v>
      </c>
      <c r="H2593" s="6">
        <f>ROUND(G2593*F2593,2)</f>
        <v/>
      </c>
      <c r="I2593">
        <f>IF(ROUND(H2593-D2593,2)=0,1,0)</f>
        <v/>
      </c>
      <c r="J2593">
        <f>IF(F2593="","none",IF(G2593=1,"carte","multiple"))</f>
        <v/>
      </c>
    </row>
    <row r="2594">
      <c r="A2594" t="inlineStr">
        <is>
          <t>2022-07-07</t>
        </is>
      </c>
      <c r="B2594" t="inlineStr">
        <is>
          <t>12:51</t>
        </is>
      </c>
      <c r="C2594" t="n">
        <v>2999</v>
      </c>
      <c r="D2594" s="6" t="n">
        <v>7.8</v>
      </c>
      <c r="E2594" t="n">
        <v>39464</v>
      </c>
      <c r="F2594" s="6" t="n">
        <v>7.8</v>
      </c>
      <c r="G2594" t="n">
        <v>1</v>
      </c>
      <c r="H2594" s="6">
        <f>ROUND(G2594*F2594,2)</f>
        <v/>
      </c>
      <c r="I2594">
        <f>IF(ROUND(H2594-D2594,2)=0,1,0)</f>
        <v/>
      </c>
      <c r="J2594">
        <f>IF(F2594="","none",IF(G2594=1,"carte","multiple"))</f>
        <v/>
      </c>
    </row>
    <row r="2595">
      <c r="A2595" t="inlineStr">
        <is>
          <t>2022-07-07</t>
        </is>
      </c>
      <c r="B2595" t="inlineStr">
        <is>
          <t>12:54</t>
        </is>
      </c>
      <c r="C2595" t="n">
        <v>2999</v>
      </c>
      <c r="D2595" s="6" t="n">
        <v>8.800000000000001</v>
      </c>
      <c r="E2595" t="n">
        <v>39465</v>
      </c>
      <c r="F2595" s="6" t="n">
        <v>8.800000000000001</v>
      </c>
      <c r="G2595" t="n">
        <v>1</v>
      </c>
      <c r="H2595" s="6">
        <f>ROUND(G2595*F2595,2)</f>
        <v/>
      </c>
      <c r="I2595">
        <f>IF(ROUND(H2595-D2595,2)=0,1,0)</f>
        <v/>
      </c>
      <c r="J2595">
        <f>IF(F2595="","none",IF(G2595=1,"carte","multiple"))</f>
        <v/>
      </c>
    </row>
    <row r="2596">
      <c r="A2596" t="inlineStr">
        <is>
          <t>2022-07-07</t>
        </is>
      </c>
      <c r="B2596" t="inlineStr">
        <is>
          <t>12:54</t>
        </is>
      </c>
      <c r="C2596" t="n">
        <v>2999</v>
      </c>
      <c r="D2596" s="6" t="n">
        <v>11.5</v>
      </c>
      <c r="E2596" t="n">
        <v>39466</v>
      </c>
      <c r="F2596" s="6" t="n">
        <v>0.5</v>
      </c>
      <c r="G2596" t="n">
        <v>23</v>
      </c>
      <c r="H2596" s="6">
        <f>ROUND(G2596*F2596,2)</f>
        <v/>
      </c>
      <c r="I2596">
        <f>IF(ROUND(H2596-D2596,2)=0,1,0)</f>
        <v/>
      </c>
      <c r="J2596">
        <f>IF(F2596="","none",IF(G2596=1,"carte","multiple"))</f>
        <v/>
      </c>
    </row>
    <row r="2597">
      <c r="A2597" t="inlineStr">
        <is>
          <t>2022-07-07</t>
        </is>
      </c>
      <c r="B2597" t="inlineStr">
        <is>
          <t>12:54</t>
        </is>
      </c>
      <c r="C2597" t="n">
        <v>2999</v>
      </c>
      <c r="D2597" s="6" t="n">
        <v>2.9</v>
      </c>
      <c r="E2597" t="n">
        <v>39467</v>
      </c>
      <c r="F2597" s="6" t="n">
        <v>2.9</v>
      </c>
      <c r="G2597" t="n">
        <v>1</v>
      </c>
      <c r="H2597" s="6">
        <f>ROUND(G2597*F2597,2)</f>
        <v/>
      </c>
      <c r="I2597">
        <f>IF(ROUND(H2597-D2597,2)=0,1,0)</f>
        <v/>
      </c>
      <c r="J2597">
        <f>IF(F2597="","none",IF(G2597=1,"carte","multiple"))</f>
        <v/>
      </c>
    </row>
    <row r="2598">
      <c r="A2598" t="inlineStr">
        <is>
          <t>2022-07-07</t>
        </is>
      </c>
      <c r="B2598" t="inlineStr">
        <is>
          <t>12:54</t>
        </is>
      </c>
      <c r="C2598" t="n">
        <v>2999</v>
      </c>
      <c r="D2598" s="6" t="n">
        <v>1.1</v>
      </c>
      <c r="E2598" t="n">
        <v>39468</v>
      </c>
      <c r="F2598" s="6" t="n">
        <v>1.1</v>
      </c>
      <c r="G2598" t="n">
        <v>1</v>
      </c>
      <c r="H2598" s="6">
        <f>ROUND(G2598*F2598,2)</f>
        <v/>
      </c>
      <c r="I2598">
        <f>IF(ROUND(H2598-D2598,2)=0,1,0)</f>
        <v/>
      </c>
      <c r="J2598">
        <f>IF(F2598="","none",IF(G2598=1,"carte","multiple"))</f>
        <v/>
      </c>
    </row>
    <row r="2599">
      <c r="A2599" t="inlineStr">
        <is>
          <t>2022-07-07</t>
        </is>
      </c>
      <c r="B2599" t="inlineStr">
        <is>
          <t>17:38</t>
        </is>
      </c>
      <c r="C2599" t="n">
        <v>2999</v>
      </c>
      <c r="D2599" s="6" t="n">
        <v>17.6</v>
      </c>
      <c r="E2599" t="n">
        <v>39470</v>
      </c>
      <c r="F2599" s="6" t="n">
        <v>17.6</v>
      </c>
      <c r="G2599" t="n">
        <v>1</v>
      </c>
      <c r="H2599" s="6">
        <f>ROUND(G2599*F2599,2)</f>
        <v/>
      </c>
      <c r="I2599">
        <f>IF(ROUND(H2599-D2599,2)=0,1,0)</f>
        <v/>
      </c>
      <c r="J2599">
        <f>IF(F2599="","none",IF(G2599=1,"carte","multiple"))</f>
        <v/>
      </c>
    </row>
    <row r="2600">
      <c r="A2600" t="inlineStr">
        <is>
          <t>2022-07-07</t>
        </is>
      </c>
      <c r="B2600" t="inlineStr">
        <is>
          <t>18:33</t>
        </is>
      </c>
      <c r="C2600" t="n">
        <v>2999</v>
      </c>
      <c r="D2600" s="6" t="n">
        <v>7.5</v>
      </c>
      <c r="E2600" t="n">
        <v>39471</v>
      </c>
      <c r="F2600" s="6" t="n">
        <v>7.5</v>
      </c>
      <c r="G2600" t="n">
        <v>1</v>
      </c>
      <c r="H2600" s="6">
        <f>ROUND(G2600*F2600,2)</f>
        <v/>
      </c>
      <c r="I2600">
        <f>IF(ROUND(H2600-D2600,2)=0,1,0)</f>
        <v/>
      </c>
      <c r="J2600">
        <f>IF(F2600="","none",IF(G2600=1,"carte","multiple"))</f>
        <v/>
      </c>
    </row>
    <row r="2601">
      <c r="A2601" t="inlineStr">
        <is>
          <t>2022-07-07</t>
        </is>
      </c>
      <c r="B2601" t="inlineStr">
        <is>
          <t>18:41</t>
        </is>
      </c>
      <c r="C2601" t="n">
        <v>2999</v>
      </c>
      <c r="D2601" s="6" t="n">
        <v>4.2</v>
      </c>
      <c r="E2601" t="n">
        <v>39472</v>
      </c>
      <c r="F2601" s="6" t="n">
        <v>4.2</v>
      </c>
      <c r="G2601" t="n">
        <v>1</v>
      </c>
      <c r="H2601" s="6">
        <f>ROUND(G2601*F2601,2)</f>
        <v/>
      </c>
      <c r="I2601">
        <f>IF(ROUND(H2601-D2601,2)=0,1,0)</f>
        <v/>
      </c>
      <c r="J2601">
        <f>IF(F2601="","none",IF(G2601=1,"carte","multiple"))</f>
        <v/>
      </c>
    </row>
    <row r="2602">
      <c r="A2602" t="inlineStr">
        <is>
          <t>2022-07-07</t>
        </is>
      </c>
      <c r="B2602" t="inlineStr">
        <is>
          <t>18:41</t>
        </is>
      </c>
      <c r="C2602" t="n">
        <v>2999</v>
      </c>
      <c r="D2602" s="6" t="n">
        <v>3.9</v>
      </c>
      <c r="E2602" t="n">
        <v>39473</v>
      </c>
      <c r="F2602" s="6" t="n">
        <v>3.9</v>
      </c>
      <c r="G2602" t="n">
        <v>1</v>
      </c>
      <c r="H2602" s="6">
        <f>ROUND(G2602*F2602,2)</f>
        <v/>
      </c>
      <c r="I2602">
        <f>IF(ROUND(H2602-D2602,2)=0,1,0)</f>
        <v/>
      </c>
      <c r="J2602">
        <f>IF(F2602="","none",IF(G2602=1,"carte","multiple"))</f>
        <v/>
      </c>
    </row>
    <row r="2603">
      <c r="A2603" t="inlineStr">
        <is>
          <t>2022-07-07</t>
        </is>
      </c>
      <c r="B2603" t="inlineStr">
        <is>
          <t>18:57</t>
        </is>
      </c>
      <c r="C2603" t="n">
        <v>2999</v>
      </c>
      <c r="D2603" s="6" t="n">
        <v>2.2</v>
      </c>
      <c r="E2603" t="n">
        <v>39474</v>
      </c>
      <c r="F2603" s="6" t="n">
        <v>2.2</v>
      </c>
      <c r="G2603" t="n">
        <v>1</v>
      </c>
      <c r="H2603" s="6">
        <f>ROUND(G2603*F2603,2)</f>
        <v/>
      </c>
      <c r="I2603">
        <f>IF(ROUND(H2603-D2603,2)=0,1,0)</f>
        <v/>
      </c>
      <c r="J2603">
        <f>IF(F2603="","none",IF(G2603=1,"carte","multiple"))</f>
        <v/>
      </c>
    </row>
    <row r="2604">
      <c r="A2604" t="inlineStr">
        <is>
          <t>2022-07-07</t>
        </is>
      </c>
      <c r="B2604" t="inlineStr">
        <is>
          <t>18:57</t>
        </is>
      </c>
      <c r="C2604" t="n">
        <v>2999</v>
      </c>
      <c r="D2604" s="6" t="n">
        <v>15.8</v>
      </c>
      <c r="E2604" t="n">
        <v>39475</v>
      </c>
      <c r="F2604" s="6" t="n">
        <v>7.9</v>
      </c>
      <c r="G2604" t="n">
        <v>2</v>
      </c>
      <c r="H2604" s="6">
        <f>ROUND(G2604*F2604,2)</f>
        <v/>
      </c>
      <c r="I2604">
        <f>IF(ROUND(H2604-D2604,2)=0,1,0)</f>
        <v/>
      </c>
      <c r="J2604">
        <f>IF(F2604="","none",IF(G2604=1,"carte","multiple"))</f>
        <v/>
      </c>
    </row>
    <row r="2605">
      <c r="A2605" t="inlineStr">
        <is>
          <t>2022-07-07</t>
        </is>
      </c>
      <c r="B2605" t="inlineStr">
        <is>
          <t>18:57</t>
        </is>
      </c>
      <c r="C2605" t="n">
        <v>2999</v>
      </c>
      <c r="D2605" s="6" t="n">
        <v>3.9</v>
      </c>
      <c r="E2605" t="n">
        <v>39476</v>
      </c>
      <c r="F2605" s="6" t="n">
        <v>3.9</v>
      </c>
      <c r="G2605" t="n">
        <v>1</v>
      </c>
      <c r="H2605" s="6">
        <f>ROUND(G2605*F2605,2)</f>
        <v/>
      </c>
      <c r="I2605">
        <f>IF(ROUND(H2605-D2605,2)=0,1,0)</f>
        <v/>
      </c>
      <c r="J2605">
        <f>IF(F2605="","none",IF(G2605=1,"carte","multiple"))</f>
        <v/>
      </c>
    </row>
    <row r="2606">
      <c r="A2606" t="inlineStr">
        <is>
          <t>2022-07-07</t>
        </is>
      </c>
      <c r="B2606" t="inlineStr">
        <is>
          <t>18:57</t>
        </is>
      </c>
      <c r="C2606" t="n">
        <v>2999</v>
      </c>
      <c r="D2606" s="6" t="n">
        <v>9.800000000000001</v>
      </c>
      <c r="E2606" t="n">
        <v>39477</v>
      </c>
      <c r="F2606" s="6" t="n">
        <v>9.800000000000001</v>
      </c>
      <c r="G2606" t="n">
        <v>1</v>
      </c>
      <c r="H2606" s="6">
        <f>ROUND(G2606*F2606,2)</f>
        <v/>
      </c>
      <c r="I2606">
        <f>IF(ROUND(H2606-D2606,2)=0,1,0)</f>
        <v/>
      </c>
      <c r="J2606">
        <f>IF(F2606="","none",IF(G2606=1,"carte","multiple"))</f>
        <v/>
      </c>
    </row>
    <row r="2607">
      <c r="A2607" t="inlineStr">
        <is>
          <t>2022-07-07</t>
        </is>
      </c>
      <c r="B2607" t="inlineStr">
        <is>
          <t>18:57</t>
        </is>
      </c>
      <c r="C2607" t="n">
        <v>2999</v>
      </c>
      <c r="D2607" s="6" t="n">
        <v>17.6</v>
      </c>
      <c r="E2607" t="n">
        <v>39478</v>
      </c>
      <c r="F2607" s="6" t="n">
        <v>17.6</v>
      </c>
      <c r="G2607" t="n">
        <v>1</v>
      </c>
      <c r="H2607" s="6">
        <f>ROUND(G2607*F2607,2)</f>
        <v/>
      </c>
      <c r="I2607">
        <f>IF(ROUND(H2607-D2607,2)=0,1,0)</f>
        <v/>
      </c>
      <c r="J2607">
        <f>IF(F2607="","none",IF(G2607=1,"carte","multiple"))</f>
        <v/>
      </c>
    </row>
    <row r="2608">
      <c r="A2608" t="inlineStr">
        <is>
          <t>2022-07-07</t>
        </is>
      </c>
      <c r="B2608" t="inlineStr">
        <is>
          <t>18:57</t>
        </is>
      </c>
      <c r="C2608" t="n">
        <v>2999</v>
      </c>
      <c r="D2608" s="6" t="n">
        <v>17.6</v>
      </c>
      <c r="E2608" t="n">
        <v>39479</v>
      </c>
      <c r="F2608" s="6" t="n">
        <v>17.6</v>
      </c>
      <c r="G2608" t="n">
        <v>1</v>
      </c>
      <c r="H2608" s="6">
        <f>ROUND(G2608*F2608,2)</f>
        <v/>
      </c>
      <c r="I2608">
        <f>IF(ROUND(H2608-D2608,2)=0,1,0)</f>
        <v/>
      </c>
      <c r="J2608">
        <f>IF(F2608="","none",IF(G2608=1,"carte","multiple"))</f>
        <v/>
      </c>
    </row>
    <row r="2609">
      <c r="A2609" t="inlineStr">
        <is>
          <t>2022-07-07</t>
        </is>
      </c>
      <c r="B2609" t="inlineStr">
        <is>
          <t>18:57</t>
        </is>
      </c>
      <c r="C2609" t="n">
        <v>2999</v>
      </c>
      <c r="D2609" s="6" t="n">
        <v>6.9</v>
      </c>
      <c r="E2609" t="n">
        <v>39480</v>
      </c>
      <c r="F2609" s="6" t="n">
        <v>6.9</v>
      </c>
      <c r="G2609" t="n">
        <v>1</v>
      </c>
      <c r="H2609" s="6">
        <f>ROUND(G2609*F2609,2)</f>
        <v/>
      </c>
      <c r="I2609">
        <f>IF(ROUND(H2609-D2609,2)=0,1,0)</f>
        <v/>
      </c>
      <c r="J2609">
        <f>IF(F2609="","none",IF(G2609=1,"carte","multiple"))</f>
        <v/>
      </c>
    </row>
    <row r="2610">
      <c r="A2610" t="inlineStr">
        <is>
          <t>2022-07-07</t>
        </is>
      </c>
      <c r="B2610" t="inlineStr">
        <is>
          <t>18:58</t>
        </is>
      </c>
      <c r="C2610" t="n">
        <v>2999</v>
      </c>
      <c r="D2610" s="6" t="n">
        <v>1.8</v>
      </c>
      <c r="E2610" t="n">
        <v>39481</v>
      </c>
      <c r="F2610" s="6" t="n">
        <v>1.8</v>
      </c>
      <c r="G2610" t="n">
        <v>1</v>
      </c>
      <c r="H2610" s="6">
        <f>ROUND(G2610*F2610,2)</f>
        <v/>
      </c>
      <c r="I2610">
        <f>IF(ROUND(H2610-D2610,2)=0,1,0)</f>
        <v/>
      </c>
      <c r="J2610">
        <f>IF(F2610="","none",IF(G2610=1,"carte","multiple"))</f>
        <v/>
      </c>
    </row>
    <row r="2611">
      <c r="A2611" t="inlineStr">
        <is>
          <t>2022-07-07</t>
        </is>
      </c>
      <c r="B2611" t="inlineStr">
        <is>
          <t>18:58</t>
        </is>
      </c>
      <c r="C2611" t="n">
        <v>2999</v>
      </c>
      <c r="D2611" s="6" t="n">
        <v>3.9</v>
      </c>
      <c r="E2611" t="n">
        <v>39482</v>
      </c>
      <c r="F2611" s="6" t="n">
        <v>3.9</v>
      </c>
      <c r="G2611" t="n">
        <v>1</v>
      </c>
      <c r="H2611" s="6">
        <f>ROUND(G2611*F2611,2)</f>
        <v/>
      </c>
      <c r="I2611">
        <f>IF(ROUND(H2611-D2611,2)=0,1,0)</f>
        <v/>
      </c>
      <c r="J2611">
        <f>IF(F2611="","none",IF(G2611=1,"carte","multiple"))</f>
        <v/>
      </c>
    </row>
    <row r="2612">
      <c r="A2612" t="inlineStr">
        <is>
          <t>2022-07-07</t>
        </is>
      </c>
      <c r="B2612" t="inlineStr">
        <is>
          <t>18:58</t>
        </is>
      </c>
      <c r="C2612" t="n">
        <v>2999</v>
      </c>
      <c r="D2612" s="6" t="n">
        <v>7</v>
      </c>
      <c r="E2612" t="n">
        <v>39483</v>
      </c>
      <c r="F2612" s="6" t="n">
        <v>7</v>
      </c>
      <c r="G2612" t="n">
        <v>1</v>
      </c>
      <c r="H2612" s="6">
        <f>ROUND(G2612*F2612,2)</f>
        <v/>
      </c>
      <c r="I2612">
        <f>IF(ROUND(H2612-D2612,2)=0,1,0)</f>
        <v/>
      </c>
      <c r="J2612">
        <f>IF(F2612="","none",IF(G2612=1,"carte","multiple"))</f>
        <v/>
      </c>
    </row>
    <row r="2613">
      <c r="A2613" t="inlineStr">
        <is>
          <t>2022-07-07</t>
        </is>
      </c>
      <c r="B2613" t="inlineStr">
        <is>
          <t>18:58</t>
        </is>
      </c>
      <c r="C2613" t="n">
        <v>2999</v>
      </c>
      <c r="D2613" s="6" t="n">
        <v>27.8</v>
      </c>
      <c r="E2613" t="n">
        <v>39484</v>
      </c>
      <c r="F2613" s="6" t="n">
        <v>27.8</v>
      </c>
      <c r="G2613" t="n">
        <v>1</v>
      </c>
      <c r="H2613" s="6">
        <f>ROUND(G2613*F2613,2)</f>
        <v/>
      </c>
      <c r="I2613">
        <f>IF(ROUND(H2613-D2613,2)=0,1,0)</f>
        <v/>
      </c>
      <c r="J2613">
        <f>IF(F2613="","none",IF(G2613=1,"carte","multiple"))</f>
        <v/>
      </c>
    </row>
    <row r="2614">
      <c r="A2614" t="inlineStr">
        <is>
          <t>2022-07-07</t>
        </is>
      </c>
      <c r="B2614" t="inlineStr">
        <is>
          <t>18:58</t>
        </is>
      </c>
      <c r="C2614" t="n">
        <v>2999</v>
      </c>
      <c r="D2614" s="6" t="n">
        <v>28.6</v>
      </c>
      <c r="E2614" t="n">
        <v>39485</v>
      </c>
      <c r="F2614" s="6" t="n">
        <v>28.6</v>
      </c>
      <c r="G2614" t="n">
        <v>1</v>
      </c>
      <c r="H2614" s="6">
        <f>ROUND(G2614*F2614,2)</f>
        <v/>
      </c>
      <c r="I2614">
        <f>IF(ROUND(H2614-D2614,2)=0,1,0)</f>
        <v/>
      </c>
      <c r="J2614">
        <f>IF(F2614="","none",IF(G2614=1,"carte","multiple"))</f>
        <v/>
      </c>
    </row>
    <row r="2615">
      <c r="A2615" t="inlineStr">
        <is>
          <t>2022-07-07</t>
        </is>
      </c>
      <c r="B2615" t="inlineStr">
        <is>
          <t>18:58</t>
        </is>
      </c>
      <c r="C2615" t="n">
        <v>2999</v>
      </c>
      <c r="D2615" s="6" t="n">
        <v>7.2</v>
      </c>
      <c r="E2615" t="n">
        <v>39486</v>
      </c>
      <c r="F2615" s="6" t="n">
        <v>7.2</v>
      </c>
      <c r="G2615" t="n">
        <v>1</v>
      </c>
      <c r="H2615" s="6">
        <f>ROUND(G2615*F2615,2)</f>
        <v/>
      </c>
      <c r="I2615">
        <f>IF(ROUND(H2615-D2615,2)=0,1,0)</f>
        <v/>
      </c>
      <c r="J2615">
        <f>IF(F2615="","none",IF(G2615=1,"carte","multiple"))</f>
        <v/>
      </c>
    </row>
    <row r="2616">
      <c r="A2616" t="inlineStr">
        <is>
          <t>2022-07-07</t>
        </is>
      </c>
      <c r="B2616" t="inlineStr">
        <is>
          <t>18:58</t>
        </is>
      </c>
      <c r="C2616" t="n">
        <v>2999</v>
      </c>
      <c r="D2616" s="6" t="n">
        <v>7</v>
      </c>
      <c r="E2616" t="n">
        <v>39487</v>
      </c>
      <c r="F2616" s="6" t="n">
        <v>7</v>
      </c>
      <c r="G2616" t="n">
        <v>1</v>
      </c>
      <c r="H2616" s="6">
        <f>ROUND(G2616*F2616,2)</f>
        <v/>
      </c>
      <c r="I2616">
        <f>IF(ROUND(H2616-D2616,2)=0,1,0)</f>
        <v/>
      </c>
      <c r="J2616">
        <f>IF(F2616="","none",IF(G2616=1,"carte","multiple"))</f>
        <v/>
      </c>
    </row>
    <row r="2617">
      <c r="A2617" t="inlineStr">
        <is>
          <t>2022-07-07</t>
        </is>
      </c>
      <c r="B2617" t="inlineStr">
        <is>
          <t>18:58</t>
        </is>
      </c>
      <c r="C2617" t="n">
        <v>2999</v>
      </c>
      <c r="D2617" s="6" t="n">
        <v>9</v>
      </c>
      <c r="E2617" t="n">
        <v>39488</v>
      </c>
      <c r="F2617" s="6" t="n">
        <v>9</v>
      </c>
      <c r="G2617" t="n">
        <v>1</v>
      </c>
      <c r="H2617" s="6">
        <f>ROUND(G2617*F2617,2)</f>
        <v/>
      </c>
      <c r="I2617">
        <f>IF(ROUND(H2617-D2617,2)=0,1,0)</f>
        <v/>
      </c>
      <c r="J2617">
        <f>IF(F2617="","none",IF(G2617=1,"carte","multiple"))</f>
        <v/>
      </c>
    </row>
    <row r="2618">
      <c r="A2618" t="inlineStr">
        <is>
          <t>2022-07-07</t>
        </is>
      </c>
      <c r="B2618" t="inlineStr">
        <is>
          <t>18:58</t>
        </is>
      </c>
      <c r="C2618" t="n">
        <v>2999</v>
      </c>
      <c r="D2618" s="6" t="n">
        <v>7.8</v>
      </c>
      <c r="E2618" t="n">
        <v>39489</v>
      </c>
      <c r="F2618" s="6" t="n">
        <v>7.8</v>
      </c>
      <c r="G2618" t="n">
        <v>1</v>
      </c>
      <c r="H2618" s="6">
        <f>ROUND(G2618*F2618,2)</f>
        <v/>
      </c>
      <c r="I2618">
        <f>IF(ROUND(H2618-D2618,2)=0,1,0)</f>
        <v/>
      </c>
      <c r="J2618">
        <f>IF(F2618="","none",IF(G2618=1,"carte","multiple"))</f>
        <v/>
      </c>
    </row>
    <row r="2619">
      <c r="A2619" t="inlineStr">
        <is>
          <t>2022-07-07</t>
        </is>
      </c>
      <c r="B2619" t="inlineStr">
        <is>
          <t>19:12</t>
        </is>
      </c>
      <c r="C2619" t="n">
        <v>2999</v>
      </c>
      <c r="D2619" s="6" t="n">
        <v>10.5</v>
      </c>
      <c r="E2619" t="n">
        <v>39490</v>
      </c>
      <c r="F2619" s="6" t="n">
        <v>10.5</v>
      </c>
      <c r="G2619" t="n">
        <v>1</v>
      </c>
      <c r="H2619" s="6">
        <f>ROUND(G2619*F2619,2)</f>
        <v/>
      </c>
      <c r="I2619">
        <f>IF(ROUND(H2619-D2619,2)=0,1,0)</f>
        <v/>
      </c>
      <c r="J2619">
        <f>IF(F2619="","none",IF(G2619=1,"carte","multiple"))</f>
        <v/>
      </c>
    </row>
    <row r="2620">
      <c r="A2620" t="inlineStr">
        <is>
          <t>2022-07-07</t>
        </is>
      </c>
      <c r="B2620" t="inlineStr">
        <is>
          <t>19:12</t>
        </is>
      </c>
      <c r="C2620" t="n">
        <v>2999</v>
      </c>
      <c r="D2620" s="6" t="n">
        <v>19</v>
      </c>
      <c r="E2620" t="n">
        <v>39491</v>
      </c>
      <c r="F2620" s="6" t="n">
        <v>19</v>
      </c>
      <c r="G2620" t="n">
        <v>1</v>
      </c>
      <c r="H2620" s="6">
        <f>ROUND(G2620*F2620,2)</f>
        <v/>
      </c>
      <c r="I2620">
        <f>IF(ROUND(H2620-D2620,2)=0,1,0)</f>
        <v/>
      </c>
      <c r="J2620">
        <f>IF(F2620="","none",IF(G2620=1,"carte","multiple"))</f>
        <v/>
      </c>
    </row>
    <row r="2621">
      <c r="A2621" t="inlineStr">
        <is>
          <t>2022-07-07</t>
        </is>
      </c>
      <c r="B2621" t="inlineStr">
        <is>
          <t>19:12</t>
        </is>
      </c>
      <c r="C2621" t="n">
        <v>2999</v>
      </c>
      <c r="D2621" s="6" t="n">
        <v>59.8</v>
      </c>
      <c r="E2621" t="n">
        <v>39492</v>
      </c>
      <c r="F2621" s="6" t="n">
        <v>4.6</v>
      </c>
      <c r="G2621" t="n">
        <v>13</v>
      </c>
      <c r="H2621" s="6">
        <f>ROUND(G2621*F2621,2)</f>
        <v/>
      </c>
      <c r="I2621">
        <f>IF(ROUND(H2621-D2621,2)=0,1,0)</f>
        <v/>
      </c>
      <c r="J2621">
        <f>IF(F2621="","none",IF(G2621=1,"carte","multiple"))</f>
        <v/>
      </c>
    </row>
    <row r="2622">
      <c r="A2622" t="inlineStr">
        <is>
          <t>2022-07-07</t>
        </is>
      </c>
      <c r="B2622" t="inlineStr">
        <is>
          <t>19:12</t>
        </is>
      </c>
      <c r="C2622" t="n">
        <v>2999</v>
      </c>
      <c r="D2622" s="6" t="n">
        <v>6.9</v>
      </c>
      <c r="E2622" t="n">
        <v>39493</v>
      </c>
      <c r="F2622" s="6" t="n">
        <v>6.9</v>
      </c>
      <c r="G2622" t="n">
        <v>1</v>
      </c>
      <c r="H2622" s="6">
        <f>ROUND(G2622*F2622,2)</f>
        <v/>
      </c>
      <c r="I2622">
        <f>IF(ROUND(H2622-D2622,2)=0,1,0)</f>
        <v/>
      </c>
      <c r="J2622">
        <f>IF(F2622="","none",IF(G2622=1,"carte","multiple"))</f>
        <v/>
      </c>
    </row>
    <row r="2623">
      <c r="A2623" t="inlineStr">
        <is>
          <t>2022-07-07</t>
        </is>
      </c>
      <c r="B2623" t="inlineStr">
        <is>
          <t>19:12</t>
        </is>
      </c>
      <c r="C2623" t="n">
        <v>2999</v>
      </c>
      <c r="D2623" s="6" t="n">
        <v>7.2</v>
      </c>
      <c r="E2623" t="n">
        <v>39494</v>
      </c>
      <c r="F2623" s="6" t="n">
        <v>7.2</v>
      </c>
      <c r="G2623" t="n">
        <v>1</v>
      </c>
      <c r="H2623" s="6">
        <f>ROUND(G2623*F2623,2)</f>
        <v/>
      </c>
      <c r="I2623">
        <f>IF(ROUND(H2623-D2623,2)=0,1,0)</f>
        <v/>
      </c>
      <c r="J2623">
        <f>IF(F2623="","none",IF(G2623=1,"carte","multiple"))</f>
        <v/>
      </c>
    </row>
    <row r="2624">
      <c r="A2624" t="inlineStr">
        <is>
          <t>2022-07-07</t>
        </is>
      </c>
      <c r="B2624" t="inlineStr">
        <is>
          <t>19:12</t>
        </is>
      </c>
      <c r="C2624" t="n">
        <v>2999</v>
      </c>
      <c r="D2624" s="6" t="n">
        <v>2.2</v>
      </c>
      <c r="E2624" t="n">
        <v>39495</v>
      </c>
      <c r="F2624" s="6" t="n">
        <v>2.2</v>
      </c>
      <c r="G2624" t="n">
        <v>1</v>
      </c>
      <c r="H2624" s="6">
        <f>ROUND(G2624*F2624,2)</f>
        <v/>
      </c>
      <c r="I2624">
        <f>IF(ROUND(H2624-D2624,2)=0,1,0)</f>
        <v/>
      </c>
      <c r="J2624">
        <f>IF(F2624="","none",IF(G2624=1,"carte","multiple"))</f>
        <v/>
      </c>
    </row>
    <row r="2625">
      <c r="A2625" t="inlineStr">
        <is>
          <t>2022-07-07</t>
        </is>
      </c>
      <c r="B2625" t="inlineStr">
        <is>
          <t>19:12</t>
        </is>
      </c>
      <c r="C2625" t="n">
        <v>2999</v>
      </c>
      <c r="D2625" s="6" t="n">
        <v>5.2</v>
      </c>
      <c r="E2625" t="n">
        <v>39496</v>
      </c>
      <c r="F2625" s="6" t="n">
        <v>5.2</v>
      </c>
      <c r="G2625" t="n">
        <v>1</v>
      </c>
      <c r="H2625" s="6">
        <f>ROUND(G2625*F2625,2)</f>
        <v/>
      </c>
      <c r="I2625">
        <f>IF(ROUND(H2625-D2625,2)=0,1,0)</f>
        <v/>
      </c>
      <c r="J2625">
        <f>IF(F2625="","none",IF(G2625=1,"carte","multiple"))</f>
        <v/>
      </c>
    </row>
    <row r="2626">
      <c r="A2626" t="inlineStr">
        <is>
          <t>2022-07-07</t>
        </is>
      </c>
      <c r="B2626" t="inlineStr">
        <is>
          <t>19:12</t>
        </is>
      </c>
      <c r="C2626" t="n">
        <v>2999</v>
      </c>
      <c r="D2626" s="6" t="n">
        <v>5.2</v>
      </c>
      <c r="E2626" t="n">
        <v>39497</v>
      </c>
      <c r="F2626" s="6" t="n">
        <v>5.2</v>
      </c>
      <c r="G2626" t="n">
        <v>1</v>
      </c>
      <c r="H2626" s="6">
        <f>ROUND(G2626*F2626,2)</f>
        <v/>
      </c>
      <c r="I2626">
        <f>IF(ROUND(H2626-D2626,2)=0,1,0)</f>
        <v/>
      </c>
      <c r="J2626">
        <f>IF(F2626="","none",IF(G2626=1,"carte","multiple"))</f>
        <v/>
      </c>
    </row>
    <row r="2627">
      <c r="A2627" t="inlineStr">
        <is>
          <t>2022-07-07</t>
        </is>
      </c>
      <c r="B2627" t="inlineStr">
        <is>
          <t>19:12</t>
        </is>
      </c>
      <c r="C2627" t="n">
        <v>2999</v>
      </c>
      <c r="D2627" s="6" t="n">
        <v>4</v>
      </c>
      <c r="E2627" t="n">
        <v>39498</v>
      </c>
      <c r="F2627" s="6" t="n">
        <v>4</v>
      </c>
      <c r="G2627" t="n">
        <v>1</v>
      </c>
      <c r="H2627" s="6">
        <f>ROUND(G2627*F2627,2)</f>
        <v/>
      </c>
      <c r="I2627">
        <f>IF(ROUND(H2627-D2627,2)=0,1,0)</f>
        <v/>
      </c>
      <c r="J2627">
        <f>IF(F2627="","none",IF(G2627=1,"carte","multiple"))</f>
        <v/>
      </c>
    </row>
    <row r="2628">
      <c r="A2628" t="inlineStr">
        <is>
          <t>2022-07-07</t>
        </is>
      </c>
      <c r="B2628" t="inlineStr">
        <is>
          <t>19:29</t>
        </is>
      </c>
      <c r="C2628" t="n">
        <v>2999</v>
      </c>
      <c r="D2628" s="6" t="n">
        <v>19.8</v>
      </c>
      <c r="E2628" t="n">
        <v>39499</v>
      </c>
      <c r="F2628" s="6" t="n">
        <v>19.8</v>
      </c>
      <c r="G2628" t="n">
        <v>1</v>
      </c>
      <c r="H2628" s="6">
        <f>ROUND(G2628*F2628,2)</f>
        <v/>
      </c>
      <c r="I2628">
        <f>IF(ROUND(H2628-D2628,2)=0,1,0)</f>
        <v/>
      </c>
      <c r="J2628">
        <f>IF(F2628="","none",IF(G2628=1,"carte","multiple"))</f>
        <v/>
      </c>
    </row>
    <row r="2629">
      <c r="A2629" t="inlineStr">
        <is>
          <t>2022-07-07</t>
        </is>
      </c>
      <c r="B2629" t="inlineStr">
        <is>
          <t>19:34</t>
        </is>
      </c>
      <c r="C2629" t="n">
        <v>2999</v>
      </c>
      <c r="D2629" s="6" t="n">
        <v>17.6</v>
      </c>
      <c r="E2629" t="n">
        <v>39500</v>
      </c>
      <c r="F2629" s="6" t="n">
        <v>17.6</v>
      </c>
      <c r="G2629" t="n">
        <v>1</v>
      </c>
      <c r="H2629" s="6">
        <f>ROUND(G2629*F2629,2)</f>
        <v/>
      </c>
      <c r="I2629">
        <f>IF(ROUND(H2629-D2629,2)=0,1,0)</f>
        <v/>
      </c>
      <c r="J2629">
        <f>IF(F2629="","none",IF(G2629=1,"carte","multiple"))</f>
        <v/>
      </c>
    </row>
    <row r="2630">
      <c r="A2630" t="inlineStr">
        <is>
          <t>2022-07-08</t>
        </is>
      </c>
      <c r="B2630" t="inlineStr">
        <is>
          <t>10:39</t>
        </is>
      </c>
      <c r="C2630" t="n">
        <v>3000</v>
      </c>
      <c r="D2630" s="6" t="n">
        <v>3.6</v>
      </c>
      <c r="E2630" t="n">
        <v>39503</v>
      </c>
      <c r="F2630" s="6" t="n">
        <v>3.6</v>
      </c>
      <c r="G2630" t="n">
        <v>1</v>
      </c>
      <c r="H2630" s="6">
        <f>ROUND(G2630*F2630,2)</f>
        <v/>
      </c>
      <c r="I2630">
        <f>IF(ROUND(H2630-D2630,2)=0,1,0)</f>
        <v/>
      </c>
      <c r="J2630">
        <f>IF(F2630="","none",IF(G2630=1,"carte","multiple"))</f>
        <v/>
      </c>
    </row>
    <row r="2631">
      <c r="A2631" t="inlineStr">
        <is>
          <t>2022-07-08</t>
        </is>
      </c>
      <c r="B2631" t="inlineStr">
        <is>
          <t>11:09</t>
        </is>
      </c>
      <c r="C2631" t="n">
        <v>3000</v>
      </c>
      <c r="D2631" s="6" t="n">
        <v>7.2</v>
      </c>
      <c r="E2631" t="n">
        <v>39504</v>
      </c>
      <c r="F2631" s="6" t="n">
        <v>7.2</v>
      </c>
      <c r="G2631" t="n">
        <v>1</v>
      </c>
      <c r="H2631" s="6">
        <f>ROUND(G2631*F2631,2)</f>
        <v/>
      </c>
      <c r="I2631">
        <f>IF(ROUND(H2631-D2631,2)=0,1,0)</f>
        <v/>
      </c>
      <c r="J2631">
        <f>IF(F2631="","none",IF(G2631=1,"carte","multiple"))</f>
        <v/>
      </c>
    </row>
    <row r="2632">
      <c r="A2632" t="inlineStr">
        <is>
          <t>2022-07-08</t>
        </is>
      </c>
      <c r="B2632" t="inlineStr">
        <is>
          <t>11:09</t>
        </is>
      </c>
      <c r="C2632" t="n">
        <v>3000</v>
      </c>
      <c r="D2632" s="6" t="n">
        <v>8</v>
      </c>
      <c r="E2632" t="n">
        <v>39505</v>
      </c>
      <c r="F2632" s="6" t="n">
        <v>8</v>
      </c>
      <c r="G2632" t="n">
        <v>1</v>
      </c>
      <c r="H2632" s="6">
        <f>ROUND(G2632*F2632,2)</f>
        <v/>
      </c>
      <c r="I2632">
        <f>IF(ROUND(H2632-D2632,2)=0,1,0)</f>
        <v/>
      </c>
      <c r="J2632">
        <f>IF(F2632="","none",IF(G2632=1,"carte","multiple"))</f>
        <v/>
      </c>
    </row>
    <row r="2633">
      <c r="A2633" t="inlineStr">
        <is>
          <t>2022-07-08</t>
        </is>
      </c>
      <c r="B2633" t="inlineStr">
        <is>
          <t>11:48</t>
        </is>
      </c>
      <c r="C2633" t="n">
        <v>3000</v>
      </c>
      <c r="D2633" s="6" t="n">
        <v>2.2</v>
      </c>
      <c r="E2633" t="n">
        <v>39506</v>
      </c>
      <c r="F2633" s="6" t="n">
        <v>2.2</v>
      </c>
      <c r="G2633" t="n">
        <v>1</v>
      </c>
      <c r="H2633" s="6">
        <f>ROUND(G2633*F2633,2)</f>
        <v/>
      </c>
      <c r="I2633">
        <f>IF(ROUND(H2633-D2633,2)=0,1,0)</f>
        <v/>
      </c>
      <c r="J2633">
        <f>IF(F2633="","none",IF(G2633=1,"carte","multiple"))</f>
        <v/>
      </c>
    </row>
    <row r="2634">
      <c r="A2634" t="inlineStr">
        <is>
          <t>2022-07-08</t>
        </is>
      </c>
      <c r="B2634" t="inlineStr">
        <is>
          <t>11:48</t>
        </is>
      </c>
      <c r="C2634" t="n">
        <v>3000</v>
      </c>
      <c r="D2634" s="6" t="n">
        <v>15.9</v>
      </c>
      <c r="E2634" t="n">
        <v>39507</v>
      </c>
      <c r="F2634" s="6" t="n">
        <v>15.9</v>
      </c>
      <c r="G2634" t="n">
        <v>1</v>
      </c>
      <c r="H2634" s="6">
        <f>ROUND(G2634*F2634,2)</f>
        <v/>
      </c>
      <c r="I2634">
        <f>IF(ROUND(H2634-D2634,2)=0,1,0)</f>
        <v/>
      </c>
      <c r="J2634">
        <f>IF(F2634="","none",IF(G2634=1,"carte","multiple"))</f>
        <v/>
      </c>
    </row>
    <row r="2635">
      <c r="A2635" t="inlineStr">
        <is>
          <t>2022-07-08</t>
        </is>
      </c>
      <c r="B2635" t="inlineStr">
        <is>
          <t>11:48</t>
        </is>
      </c>
      <c r="C2635" t="n">
        <v>3000</v>
      </c>
      <c r="D2635" s="6" t="n">
        <v>3.9</v>
      </c>
      <c r="E2635" t="n">
        <v>39508</v>
      </c>
      <c r="F2635" s="6" t="n">
        <v>3.9</v>
      </c>
      <c r="G2635" t="n">
        <v>1</v>
      </c>
      <c r="H2635" s="6">
        <f>ROUND(G2635*F2635,2)</f>
        <v/>
      </c>
      <c r="I2635">
        <f>IF(ROUND(H2635-D2635,2)=0,1,0)</f>
        <v/>
      </c>
      <c r="J2635">
        <f>IF(F2635="","none",IF(G2635=1,"carte","multiple"))</f>
        <v/>
      </c>
    </row>
    <row r="2636">
      <c r="A2636" t="inlineStr">
        <is>
          <t>2022-07-08</t>
        </is>
      </c>
      <c r="B2636" t="inlineStr">
        <is>
          <t>12:33</t>
        </is>
      </c>
      <c r="C2636" t="n">
        <v>3000</v>
      </c>
      <c r="D2636" s="6" t="n">
        <v>3.4</v>
      </c>
      <c r="E2636" t="n">
        <v>39509</v>
      </c>
      <c r="F2636" s="6" t="n">
        <v>3.4</v>
      </c>
      <c r="G2636" t="n">
        <v>1</v>
      </c>
      <c r="H2636" s="6">
        <f>ROUND(G2636*F2636,2)</f>
        <v/>
      </c>
      <c r="I2636">
        <f>IF(ROUND(H2636-D2636,2)=0,1,0)</f>
        <v/>
      </c>
      <c r="J2636">
        <f>IF(F2636="","none",IF(G2636=1,"carte","multiple"))</f>
        <v/>
      </c>
    </row>
    <row r="2637">
      <c r="A2637" t="inlineStr">
        <is>
          <t>2022-07-08</t>
        </is>
      </c>
      <c r="B2637" t="inlineStr">
        <is>
          <t>12:33</t>
        </is>
      </c>
      <c r="C2637" t="n">
        <v>3000</v>
      </c>
      <c r="D2637" s="6" t="n">
        <v>2.2</v>
      </c>
      <c r="E2637" t="n">
        <v>39510</v>
      </c>
      <c r="F2637" s="6" t="n">
        <v>2.2</v>
      </c>
      <c r="G2637" t="n">
        <v>1</v>
      </c>
      <c r="H2637" s="6">
        <f>ROUND(G2637*F2637,2)</f>
        <v/>
      </c>
      <c r="I2637">
        <f>IF(ROUND(H2637-D2637,2)=0,1,0)</f>
        <v/>
      </c>
      <c r="J2637">
        <f>IF(F2637="","none",IF(G2637=1,"carte","multiple"))</f>
        <v/>
      </c>
    </row>
    <row r="2638">
      <c r="A2638" t="inlineStr">
        <is>
          <t>2022-07-08</t>
        </is>
      </c>
      <c r="B2638" t="inlineStr">
        <is>
          <t>12:33</t>
        </is>
      </c>
      <c r="C2638" t="n">
        <v>3000</v>
      </c>
      <c r="D2638" s="6" t="n">
        <v>17.6</v>
      </c>
      <c r="E2638" t="n">
        <v>39511</v>
      </c>
      <c r="F2638" s="6" t="n">
        <v>17.6</v>
      </c>
      <c r="G2638" t="n">
        <v>1</v>
      </c>
      <c r="H2638" s="6">
        <f>ROUND(G2638*F2638,2)</f>
        <v/>
      </c>
      <c r="I2638">
        <f>IF(ROUND(H2638-D2638,2)=0,1,0)</f>
        <v/>
      </c>
      <c r="J2638">
        <f>IF(F2638="","none",IF(G2638=1,"carte","multiple"))</f>
        <v/>
      </c>
    </row>
    <row r="2639">
      <c r="A2639" t="inlineStr">
        <is>
          <t>2022-07-08</t>
        </is>
      </c>
      <c r="B2639" t="inlineStr">
        <is>
          <t>12:33</t>
        </is>
      </c>
      <c r="C2639" t="n">
        <v>3000</v>
      </c>
      <c r="D2639" s="6" t="n">
        <v>17.6</v>
      </c>
      <c r="E2639" t="n">
        <v>39512</v>
      </c>
      <c r="F2639" s="6" t="n">
        <v>17.6</v>
      </c>
      <c r="G2639" t="n">
        <v>1</v>
      </c>
      <c r="H2639" s="6">
        <f>ROUND(G2639*F2639,2)</f>
        <v/>
      </c>
      <c r="I2639">
        <f>IF(ROUND(H2639-D2639,2)=0,1,0)</f>
        <v/>
      </c>
      <c r="J2639">
        <f>IF(F2639="","none",IF(G2639=1,"carte","multiple"))</f>
        <v/>
      </c>
    </row>
    <row r="2640">
      <c r="A2640" t="inlineStr">
        <is>
          <t>2022-07-08</t>
        </is>
      </c>
      <c r="B2640" t="inlineStr">
        <is>
          <t>12:33</t>
        </is>
      </c>
      <c r="C2640" t="n">
        <v>3000</v>
      </c>
      <c r="D2640" s="6" t="n">
        <v>16.9</v>
      </c>
      <c r="E2640" t="n">
        <v>39513</v>
      </c>
      <c r="F2640" s="6" t="n">
        <v>16.9</v>
      </c>
      <c r="G2640" t="n">
        <v>1</v>
      </c>
      <c r="H2640" s="6">
        <f>ROUND(G2640*F2640,2)</f>
        <v/>
      </c>
      <c r="I2640">
        <f>IF(ROUND(H2640-D2640,2)=0,1,0)</f>
        <v/>
      </c>
      <c r="J2640">
        <f>IF(F2640="","none",IF(G2640=1,"carte","multiple"))</f>
        <v/>
      </c>
    </row>
    <row r="2641">
      <c r="A2641" t="inlineStr">
        <is>
          <t>2022-07-08</t>
        </is>
      </c>
      <c r="B2641" t="inlineStr">
        <is>
          <t>12:33</t>
        </is>
      </c>
      <c r="C2641" t="n">
        <v>3000</v>
      </c>
      <c r="D2641" s="6" t="n">
        <v>9.6</v>
      </c>
      <c r="E2641" t="n">
        <v>39514</v>
      </c>
      <c r="F2641" s="6" t="n">
        <v>9.6</v>
      </c>
      <c r="G2641" t="n">
        <v>1</v>
      </c>
      <c r="H2641" s="6">
        <f>ROUND(G2641*F2641,2)</f>
        <v/>
      </c>
      <c r="I2641">
        <f>IF(ROUND(H2641-D2641,2)=0,1,0)</f>
        <v/>
      </c>
      <c r="J2641">
        <f>IF(F2641="","none",IF(G2641=1,"carte","multiple"))</f>
        <v/>
      </c>
    </row>
    <row r="2642">
      <c r="A2642" t="inlineStr">
        <is>
          <t>2022-07-08</t>
        </is>
      </c>
      <c r="B2642" t="inlineStr">
        <is>
          <t>12:33</t>
        </is>
      </c>
      <c r="C2642" t="n">
        <v>3000</v>
      </c>
      <c r="D2642" s="6" t="n">
        <v>36</v>
      </c>
      <c r="E2642" t="n">
        <v>39515</v>
      </c>
      <c r="F2642" s="6" t="n">
        <v>36</v>
      </c>
      <c r="G2642" t="n">
        <v>1</v>
      </c>
      <c r="H2642" s="6">
        <f>ROUND(G2642*F2642,2)</f>
        <v/>
      </c>
      <c r="I2642">
        <f>IF(ROUND(H2642-D2642,2)=0,1,0)</f>
        <v/>
      </c>
      <c r="J2642">
        <f>IF(F2642="","none",IF(G2642=1,"carte","multiple"))</f>
        <v/>
      </c>
    </row>
    <row r="2643">
      <c r="A2643" t="inlineStr">
        <is>
          <t>2022-07-08</t>
        </is>
      </c>
      <c r="B2643" t="inlineStr">
        <is>
          <t>18:15</t>
        </is>
      </c>
      <c r="C2643" t="n">
        <v>3000</v>
      </c>
      <c r="D2643" s="6" t="n">
        <v>7.9</v>
      </c>
      <c r="E2643" t="n">
        <v>39517</v>
      </c>
      <c r="F2643" s="6" t="n">
        <v>7.9</v>
      </c>
      <c r="G2643" t="n">
        <v>1</v>
      </c>
      <c r="H2643" s="6">
        <f>ROUND(G2643*F2643,2)</f>
        <v/>
      </c>
      <c r="I2643">
        <f>IF(ROUND(H2643-D2643,2)=0,1,0)</f>
        <v/>
      </c>
      <c r="J2643">
        <f>IF(F2643="","none",IF(G2643=1,"carte","multiple"))</f>
        <v/>
      </c>
    </row>
    <row r="2644">
      <c r="A2644" t="inlineStr">
        <is>
          <t>2022-07-08</t>
        </is>
      </c>
      <c r="B2644" t="inlineStr">
        <is>
          <t>18:16</t>
        </is>
      </c>
      <c r="C2644" t="n">
        <v>3000</v>
      </c>
      <c r="D2644" s="6" t="n">
        <v>17.6</v>
      </c>
      <c r="E2644" t="n">
        <v>39518</v>
      </c>
      <c r="F2644" s="6" t="n">
        <v>17.6</v>
      </c>
      <c r="G2644" t="n">
        <v>1</v>
      </c>
      <c r="H2644" s="6">
        <f>ROUND(G2644*F2644,2)</f>
        <v/>
      </c>
      <c r="I2644">
        <f>IF(ROUND(H2644-D2644,2)=0,1,0)</f>
        <v/>
      </c>
      <c r="J2644">
        <f>IF(F2644="","none",IF(G2644=1,"carte","multiple"))</f>
        <v/>
      </c>
    </row>
    <row r="2645">
      <c r="A2645" t="inlineStr">
        <is>
          <t>2022-07-08</t>
        </is>
      </c>
      <c r="B2645" t="inlineStr">
        <is>
          <t>18:32</t>
        </is>
      </c>
      <c r="C2645" t="n">
        <v>3000</v>
      </c>
      <c r="D2645" s="6" t="n">
        <v>3.9</v>
      </c>
      <c r="E2645" t="n">
        <v>39519</v>
      </c>
      <c r="F2645" s="6" t="n">
        <v>3.9</v>
      </c>
      <c r="G2645" t="n">
        <v>1</v>
      </c>
      <c r="H2645" s="6">
        <f>ROUND(G2645*F2645,2)</f>
        <v/>
      </c>
      <c r="I2645">
        <f>IF(ROUND(H2645-D2645,2)=0,1,0)</f>
        <v/>
      </c>
      <c r="J2645">
        <f>IF(F2645="","none",IF(G2645=1,"carte","multiple"))</f>
        <v/>
      </c>
    </row>
    <row r="2646">
      <c r="A2646" t="inlineStr">
        <is>
          <t>2022-07-08</t>
        </is>
      </c>
      <c r="B2646" t="inlineStr">
        <is>
          <t>18:37</t>
        </is>
      </c>
      <c r="C2646" t="n">
        <v>3000</v>
      </c>
      <c r="D2646" s="6" t="n">
        <v>5.9</v>
      </c>
      <c r="E2646" t="n">
        <v>39520</v>
      </c>
      <c r="F2646" s="6" t="n">
        <v>5.9</v>
      </c>
      <c r="G2646" t="n">
        <v>1</v>
      </c>
      <c r="H2646" s="6">
        <f>ROUND(G2646*F2646,2)</f>
        <v/>
      </c>
      <c r="I2646">
        <f>IF(ROUND(H2646-D2646,2)=0,1,0)</f>
        <v/>
      </c>
      <c r="J2646">
        <f>IF(F2646="","none",IF(G2646=1,"carte","multiple"))</f>
        <v/>
      </c>
    </row>
    <row r="2647">
      <c r="A2647" t="inlineStr">
        <is>
          <t>2022-07-08</t>
        </is>
      </c>
      <c r="B2647" t="inlineStr">
        <is>
          <t>19:22</t>
        </is>
      </c>
      <c r="C2647" t="n">
        <v>3000</v>
      </c>
      <c r="D2647" s="6" t="n">
        <v>8.699999999999999</v>
      </c>
      <c r="E2647" t="n">
        <v>39521</v>
      </c>
      <c r="F2647" s="6" t="n">
        <v>8.699999999999999</v>
      </c>
      <c r="G2647" t="n">
        <v>1</v>
      </c>
      <c r="H2647" s="6">
        <f>ROUND(G2647*F2647,2)</f>
        <v/>
      </c>
      <c r="I2647">
        <f>IF(ROUND(H2647-D2647,2)=0,1,0)</f>
        <v/>
      </c>
      <c r="J2647">
        <f>IF(F2647="","none",IF(G2647=1,"carte","multiple"))</f>
        <v/>
      </c>
    </row>
    <row r="2648">
      <c r="A2648" t="inlineStr">
        <is>
          <t>2022-07-08</t>
        </is>
      </c>
      <c r="B2648" t="inlineStr">
        <is>
          <t>19:22</t>
        </is>
      </c>
      <c r="C2648" t="n">
        <v>3000</v>
      </c>
      <c r="D2648" s="6" t="n">
        <v>15.6</v>
      </c>
      <c r="E2648" t="n">
        <v>39522</v>
      </c>
      <c r="F2648" s="6" t="n">
        <v>15.6</v>
      </c>
      <c r="G2648" t="n">
        <v>1</v>
      </c>
      <c r="H2648" s="6">
        <f>ROUND(G2648*F2648,2)</f>
        <v/>
      </c>
      <c r="I2648">
        <f>IF(ROUND(H2648-D2648,2)=0,1,0)</f>
        <v/>
      </c>
      <c r="J2648">
        <f>IF(F2648="","none",IF(G2648=1,"carte","multiple"))</f>
        <v/>
      </c>
    </row>
    <row r="2649">
      <c r="A2649" t="inlineStr">
        <is>
          <t>2022-07-08</t>
        </is>
      </c>
      <c r="B2649" t="inlineStr">
        <is>
          <t>19:22</t>
        </is>
      </c>
      <c r="C2649" t="n">
        <v>3000</v>
      </c>
      <c r="D2649" s="6" t="n">
        <v>17.6</v>
      </c>
      <c r="E2649" t="n">
        <v>39523</v>
      </c>
      <c r="F2649" s="6" t="n">
        <v>17.6</v>
      </c>
      <c r="G2649" t="n">
        <v>1</v>
      </c>
      <c r="H2649" s="6">
        <f>ROUND(G2649*F2649,2)</f>
        <v/>
      </c>
      <c r="I2649">
        <f>IF(ROUND(H2649-D2649,2)=0,1,0)</f>
        <v/>
      </c>
      <c r="J2649">
        <f>IF(F2649="","none",IF(G2649=1,"carte","multiple"))</f>
        <v/>
      </c>
    </row>
    <row r="2650">
      <c r="A2650" t="inlineStr">
        <is>
          <t>2022-07-08</t>
        </is>
      </c>
      <c r="B2650" t="inlineStr">
        <is>
          <t>19:23</t>
        </is>
      </c>
      <c r="C2650" t="n">
        <v>3000</v>
      </c>
      <c r="D2650" s="6" t="n">
        <v>27.8</v>
      </c>
      <c r="E2650" t="n">
        <v>39524</v>
      </c>
      <c r="F2650" s="6" t="n">
        <v>27.8</v>
      </c>
      <c r="G2650" t="n">
        <v>1</v>
      </c>
      <c r="H2650" s="6">
        <f>ROUND(G2650*F2650,2)</f>
        <v/>
      </c>
      <c r="I2650">
        <f>IF(ROUND(H2650-D2650,2)=0,1,0)</f>
        <v/>
      </c>
      <c r="J2650">
        <f>IF(F2650="","none",IF(G2650=1,"carte","multiple"))</f>
        <v/>
      </c>
    </row>
    <row r="2651">
      <c r="A2651" t="inlineStr">
        <is>
          <t>2022-07-08</t>
        </is>
      </c>
      <c r="B2651" t="inlineStr">
        <is>
          <t>19:23</t>
        </is>
      </c>
      <c r="C2651" t="n">
        <v>3000</v>
      </c>
      <c r="D2651" s="6" t="n">
        <v>38</v>
      </c>
      <c r="E2651" t="n">
        <v>39525</v>
      </c>
      <c r="F2651" s="6" t="n">
        <v>0.4</v>
      </c>
      <c r="G2651" t="n">
        <v>95</v>
      </c>
      <c r="H2651" s="6">
        <f>ROUND(G2651*F2651,2)</f>
        <v/>
      </c>
      <c r="I2651">
        <f>IF(ROUND(H2651-D2651,2)=0,1,0)</f>
        <v/>
      </c>
      <c r="J2651">
        <f>IF(F2651="","none",IF(G2651=1,"carte","multiple"))</f>
        <v/>
      </c>
    </row>
    <row r="2652">
      <c r="A2652" t="inlineStr">
        <is>
          <t>2022-07-08</t>
        </is>
      </c>
      <c r="B2652" t="inlineStr">
        <is>
          <t>19:23</t>
        </is>
      </c>
      <c r="C2652" t="n">
        <v>3000</v>
      </c>
      <c r="D2652" s="6" t="n">
        <v>24.9</v>
      </c>
      <c r="E2652" t="n">
        <v>39526</v>
      </c>
      <c r="F2652" s="6" t="n">
        <v>24.9</v>
      </c>
      <c r="G2652" t="n">
        <v>1</v>
      </c>
      <c r="H2652" s="6">
        <f>ROUND(G2652*F2652,2)</f>
        <v/>
      </c>
      <c r="I2652">
        <f>IF(ROUND(H2652-D2652,2)=0,1,0)</f>
        <v/>
      </c>
      <c r="J2652">
        <f>IF(F2652="","none",IF(G2652=1,"carte","multiple"))</f>
        <v/>
      </c>
    </row>
    <row r="2653">
      <c r="A2653" t="inlineStr">
        <is>
          <t>2022-07-08</t>
        </is>
      </c>
      <c r="B2653" t="inlineStr">
        <is>
          <t>19:39</t>
        </is>
      </c>
      <c r="C2653" t="n">
        <v>3000</v>
      </c>
      <c r="D2653" s="6" t="n">
        <v>0</v>
      </c>
      <c r="E2653" t="n">
        <v>39527</v>
      </c>
      <c r="H2653" t="inlineStr"/>
      <c r="I2653" t="inlineStr"/>
      <c r="J2653">
        <f>IF(F2653="","none",IF(G2653=1,"carte","multiple"))</f>
        <v/>
      </c>
    </row>
    <row r="2654">
      <c r="A2654" t="inlineStr">
        <is>
          <t>2022-07-08</t>
        </is>
      </c>
      <c r="B2654" t="inlineStr">
        <is>
          <t>19:39</t>
        </is>
      </c>
      <c r="C2654" t="n">
        <v>3000</v>
      </c>
      <c r="D2654" s="6" t="n">
        <v>0</v>
      </c>
      <c r="E2654" t="n">
        <v>39528</v>
      </c>
      <c r="H2654" t="inlineStr"/>
      <c r="I2654" t="inlineStr"/>
      <c r="J2654">
        <f>IF(F2654="","none",IF(G2654=1,"carte","multiple"))</f>
        <v/>
      </c>
    </row>
    <row r="2655">
      <c r="A2655" t="inlineStr">
        <is>
          <t>2022-07-08</t>
        </is>
      </c>
      <c r="B2655" t="inlineStr">
        <is>
          <t>19:39</t>
        </is>
      </c>
      <c r="C2655" t="n">
        <v>3000</v>
      </c>
      <c r="D2655" s="6" t="n">
        <v>17.6</v>
      </c>
      <c r="E2655" t="n">
        <v>39529</v>
      </c>
      <c r="F2655" s="6" t="n">
        <v>17.6</v>
      </c>
      <c r="G2655" t="n">
        <v>1</v>
      </c>
      <c r="H2655" s="6">
        <f>ROUND(G2655*F2655,2)</f>
        <v/>
      </c>
      <c r="I2655">
        <f>IF(ROUND(H2655-D2655,2)=0,1,0)</f>
        <v/>
      </c>
      <c r="J2655">
        <f>IF(F2655="","none",IF(G2655=1,"carte","multiple"))</f>
        <v/>
      </c>
    </row>
    <row r="2656">
      <c r="A2656" t="inlineStr">
        <is>
          <t>2022-07-08</t>
        </is>
      </c>
      <c r="B2656" t="inlineStr">
        <is>
          <t>19:39</t>
        </is>
      </c>
      <c r="C2656" t="n">
        <v>3000</v>
      </c>
      <c r="D2656" s="6" t="n">
        <v>19.9</v>
      </c>
      <c r="E2656" t="n">
        <v>39530</v>
      </c>
      <c r="F2656" s="6" t="n">
        <v>19.9</v>
      </c>
      <c r="G2656" t="n">
        <v>1</v>
      </c>
      <c r="H2656" s="6">
        <f>ROUND(G2656*F2656,2)</f>
        <v/>
      </c>
      <c r="I2656">
        <f>IF(ROUND(H2656-D2656,2)=0,1,0)</f>
        <v/>
      </c>
      <c r="J2656">
        <f>IF(F2656="","none",IF(G2656=1,"carte","multiple"))</f>
        <v/>
      </c>
    </row>
    <row r="2657">
      <c r="A2657" t="inlineStr">
        <is>
          <t>2022-07-08</t>
        </is>
      </c>
      <c r="B2657" t="inlineStr">
        <is>
          <t>19:39</t>
        </is>
      </c>
      <c r="C2657" t="n">
        <v>3000</v>
      </c>
      <c r="D2657" s="6" t="n">
        <v>16</v>
      </c>
      <c r="E2657" t="n">
        <v>39531</v>
      </c>
      <c r="F2657" s="6" t="n">
        <v>16</v>
      </c>
      <c r="G2657" t="n">
        <v>1</v>
      </c>
      <c r="H2657" s="6">
        <f>ROUND(G2657*F2657,2)</f>
        <v/>
      </c>
      <c r="I2657">
        <f>IF(ROUND(H2657-D2657,2)=0,1,0)</f>
        <v/>
      </c>
      <c r="J2657">
        <f>IF(F2657="","none",IF(G2657=1,"carte","multiple"))</f>
        <v/>
      </c>
    </row>
    <row r="2658">
      <c r="A2658" t="inlineStr">
        <is>
          <t>2022-07-08</t>
        </is>
      </c>
      <c r="B2658" t="inlineStr">
        <is>
          <t>19:39</t>
        </is>
      </c>
      <c r="C2658" t="n">
        <v>3000</v>
      </c>
      <c r="D2658" s="6" t="n">
        <v>24</v>
      </c>
      <c r="E2658" t="n">
        <v>39532</v>
      </c>
      <c r="F2658" s="6" t="n">
        <v>24</v>
      </c>
      <c r="G2658" t="n">
        <v>1</v>
      </c>
      <c r="H2658" s="6">
        <f>ROUND(G2658*F2658,2)</f>
        <v/>
      </c>
      <c r="I2658">
        <f>IF(ROUND(H2658-D2658,2)=0,1,0)</f>
        <v/>
      </c>
      <c r="J2658">
        <f>IF(F2658="","none",IF(G2658=1,"carte","multiple"))</f>
        <v/>
      </c>
    </row>
    <row r="2659">
      <c r="A2659" t="inlineStr">
        <is>
          <t>2022-07-09</t>
        </is>
      </c>
      <c r="B2659" t="inlineStr">
        <is>
          <t>10:18</t>
        </is>
      </c>
      <c r="C2659" t="n">
        <v>3001</v>
      </c>
      <c r="D2659" s="6" t="n">
        <v>4.2</v>
      </c>
      <c r="E2659" t="n">
        <v>39535</v>
      </c>
      <c r="F2659" s="6" t="n">
        <v>4.2</v>
      </c>
      <c r="G2659" t="n">
        <v>1</v>
      </c>
      <c r="H2659" s="6">
        <f>ROUND(G2659*F2659,2)</f>
        <v/>
      </c>
      <c r="I2659">
        <f>IF(ROUND(H2659-D2659,2)=0,1,0)</f>
        <v/>
      </c>
      <c r="J2659">
        <f>IF(F2659="","none",IF(G2659=1,"carte","multiple"))</f>
        <v/>
      </c>
    </row>
    <row r="2660">
      <c r="A2660" t="inlineStr">
        <is>
          <t>2022-07-09</t>
        </is>
      </c>
      <c r="B2660" t="inlineStr">
        <is>
          <t>10:33</t>
        </is>
      </c>
      <c r="C2660" t="n">
        <v>3001</v>
      </c>
      <c r="D2660" s="6" t="n">
        <v>7.8</v>
      </c>
      <c r="E2660" t="n">
        <v>39536</v>
      </c>
      <c r="F2660" s="6" t="n">
        <v>7.8</v>
      </c>
      <c r="G2660" t="n">
        <v>1</v>
      </c>
      <c r="H2660" s="6">
        <f>ROUND(G2660*F2660,2)</f>
        <v/>
      </c>
      <c r="I2660">
        <f>IF(ROUND(H2660-D2660,2)=0,1,0)</f>
        <v/>
      </c>
      <c r="J2660">
        <f>IF(F2660="","none",IF(G2660=1,"carte","multiple"))</f>
        <v/>
      </c>
    </row>
    <row r="2661">
      <c r="A2661" t="inlineStr">
        <is>
          <t>2022-07-09</t>
        </is>
      </c>
      <c r="B2661" t="inlineStr">
        <is>
          <t>11:01</t>
        </is>
      </c>
      <c r="C2661" t="n">
        <v>3001</v>
      </c>
      <c r="D2661" s="6" t="n">
        <v>7.8</v>
      </c>
      <c r="E2661" t="n">
        <v>39537</v>
      </c>
      <c r="F2661" s="6" t="n">
        <v>7.8</v>
      </c>
      <c r="G2661" t="n">
        <v>1</v>
      </c>
      <c r="H2661" s="6">
        <f>ROUND(G2661*F2661,2)</f>
        <v/>
      </c>
      <c r="I2661">
        <f>IF(ROUND(H2661-D2661,2)=0,1,0)</f>
        <v/>
      </c>
      <c r="J2661">
        <f>IF(F2661="","none",IF(G2661=1,"carte","multiple"))</f>
        <v/>
      </c>
    </row>
    <row r="2662">
      <c r="A2662" t="inlineStr">
        <is>
          <t>2022-07-09</t>
        </is>
      </c>
      <c r="B2662" t="inlineStr">
        <is>
          <t>11:01</t>
        </is>
      </c>
      <c r="C2662" t="n">
        <v>3001</v>
      </c>
      <c r="D2662" s="6" t="n">
        <v>16.8</v>
      </c>
      <c r="E2662" t="n">
        <v>39538</v>
      </c>
      <c r="F2662" s="6" t="n">
        <v>16.8</v>
      </c>
      <c r="G2662" t="n">
        <v>1</v>
      </c>
      <c r="H2662" s="6">
        <f>ROUND(G2662*F2662,2)</f>
        <v/>
      </c>
      <c r="I2662">
        <f>IF(ROUND(H2662-D2662,2)=0,1,0)</f>
        <v/>
      </c>
      <c r="J2662">
        <f>IF(F2662="","none",IF(G2662=1,"carte","multiple"))</f>
        <v/>
      </c>
    </row>
    <row r="2663">
      <c r="A2663" t="inlineStr">
        <is>
          <t>2022-07-09</t>
        </is>
      </c>
      <c r="B2663" t="inlineStr">
        <is>
          <t>11:01</t>
        </is>
      </c>
      <c r="C2663" t="n">
        <v>3001</v>
      </c>
      <c r="D2663" s="6" t="n">
        <v>3.8</v>
      </c>
      <c r="E2663" t="n">
        <v>39539</v>
      </c>
      <c r="F2663" s="6" t="n">
        <v>3.8</v>
      </c>
      <c r="G2663" t="n">
        <v>1</v>
      </c>
      <c r="H2663" s="6">
        <f>ROUND(G2663*F2663,2)</f>
        <v/>
      </c>
      <c r="I2663">
        <f>IF(ROUND(H2663-D2663,2)=0,1,0)</f>
        <v/>
      </c>
      <c r="J2663">
        <f>IF(F2663="","none",IF(G2663=1,"carte","multiple"))</f>
        <v/>
      </c>
    </row>
    <row r="2664">
      <c r="A2664" t="inlineStr">
        <is>
          <t>2022-07-09</t>
        </is>
      </c>
      <c r="B2664" t="inlineStr">
        <is>
          <t>11:01</t>
        </is>
      </c>
      <c r="C2664" t="n">
        <v>3001</v>
      </c>
      <c r="D2664" s="6" t="n">
        <v>4</v>
      </c>
      <c r="E2664" t="n">
        <v>39540</v>
      </c>
      <c r="F2664" s="6" t="n">
        <v>4</v>
      </c>
      <c r="G2664" t="n">
        <v>1</v>
      </c>
      <c r="H2664" s="6">
        <f>ROUND(G2664*F2664,2)</f>
        <v/>
      </c>
      <c r="I2664">
        <f>IF(ROUND(H2664-D2664,2)=0,1,0)</f>
        <v/>
      </c>
      <c r="J2664">
        <f>IF(F2664="","none",IF(G2664=1,"carte","multiple"))</f>
        <v/>
      </c>
    </row>
    <row r="2665">
      <c r="A2665" t="inlineStr">
        <is>
          <t>2022-07-09</t>
        </is>
      </c>
      <c r="B2665" t="inlineStr">
        <is>
          <t>11:01</t>
        </is>
      </c>
      <c r="C2665" t="n">
        <v>3001</v>
      </c>
      <c r="D2665" s="6" t="n">
        <v>2.9</v>
      </c>
      <c r="E2665" t="n">
        <v>39541</v>
      </c>
      <c r="F2665" s="6" t="n">
        <v>2.9</v>
      </c>
      <c r="G2665" t="n">
        <v>1</v>
      </c>
      <c r="H2665" s="6">
        <f>ROUND(G2665*F2665,2)</f>
        <v/>
      </c>
      <c r="I2665">
        <f>IF(ROUND(H2665-D2665,2)=0,1,0)</f>
        <v/>
      </c>
      <c r="J2665">
        <f>IF(F2665="","none",IF(G2665=1,"carte","multiple"))</f>
        <v/>
      </c>
    </row>
    <row r="2666">
      <c r="A2666" t="inlineStr">
        <is>
          <t>2022-07-09</t>
        </is>
      </c>
      <c r="B2666" t="inlineStr">
        <is>
          <t>11:01</t>
        </is>
      </c>
      <c r="C2666" t="n">
        <v>3001</v>
      </c>
      <c r="D2666" s="6" t="n">
        <v>31.8</v>
      </c>
      <c r="E2666" t="n">
        <v>39542</v>
      </c>
      <c r="F2666" s="6" t="n">
        <v>31.8</v>
      </c>
      <c r="G2666" t="n">
        <v>1</v>
      </c>
      <c r="H2666" s="6">
        <f>ROUND(G2666*F2666,2)</f>
        <v/>
      </c>
      <c r="I2666">
        <f>IF(ROUND(H2666-D2666,2)=0,1,0)</f>
        <v/>
      </c>
      <c r="J2666">
        <f>IF(F2666="","none",IF(G2666=1,"carte","multiple"))</f>
        <v/>
      </c>
    </row>
    <row r="2667">
      <c r="A2667" t="inlineStr">
        <is>
          <t>2022-07-09</t>
        </is>
      </c>
      <c r="B2667" t="inlineStr">
        <is>
          <t>11:01</t>
        </is>
      </c>
      <c r="C2667" t="n">
        <v>3001</v>
      </c>
      <c r="D2667" s="6" t="n">
        <v>6.9</v>
      </c>
      <c r="E2667" t="n">
        <v>39543</v>
      </c>
      <c r="F2667" s="6" t="n">
        <v>6.9</v>
      </c>
      <c r="G2667" t="n">
        <v>1</v>
      </c>
      <c r="H2667" s="6">
        <f>ROUND(G2667*F2667,2)</f>
        <v/>
      </c>
      <c r="I2667">
        <f>IF(ROUND(H2667-D2667,2)=0,1,0)</f>
        <v/>
      </c>
      <c r="J2667">
        <f>IF(F2667="","none",IF(G2667=1,"carte","multiple"))</f>
        <v/>
      </c>
    </row>
    <row r="2668">
      <c r="A2668" t="inlineStr">
        <is>
          <t>2022-07-09</t>
        </is>
      </c>
      <c r="B2668" t="inlineStr">
        <is>
          <t>11:36</t>
        </is>
      </c>
      <c r="C2668" t="n">
        <v>3001</v>
      </c>
      <c r="D2668" s="6" t="n">
        <v>16.4</v>
      </c>
      <c r="E2668" t="n">
        <v>39544</v>
      </c>
      <c r="F2668" s="6" t="n">
        <v>16.4</v>
      </c>
      <c r="G2668" t="n">
        <v>1</v>
      </c>
      <c r="H2668" s="6">
        <f>ROUND(G2668*F2668,2)</f>
        <v/>
      </c>
      <c r="I2668">
        <f>IF(ROUND(H2668-D2668,2)=0,1,0)</f>
        <v/>
      </c>
      <c r="J2668">
        <f>IF(F2668="","none",IF(G2668=1,"carte","multiple"))</f>
        <v/>
      </c>
    </row>
    <row r="2669">
      <c r="A2669" t="inlineStr">
        <is>
          <t>2022-07-09</t>
        </is>
      </c>
      <c r="B2669" t="inlineStr">
        <is>
          <t>11:36</t>
        </is>
      </c>
      <c r="C2669" t="n">
        <v>3001</v>
      </c>
      <c r="D2669" s="6" t="n">
        <v>16.8</v>
      </c>
      <c r="E2669" t="n">
        <v>39545</v>
      </c>
      <c r="F2669" s="6" t="n">
        <v>16.8</v>
      </c>
      <c r="G2669" t="n">
        <v>1</v>
      </c>
      <c r="H2669" s="6">
        <f>ROUND(G2669*F2669,2)</f>
        <v/>
      </c>
      <c r="I2669">
        <f>IF(ROUND(H2669-D2669,2)=0,1,0)</f>
        <v/>
      </c>
      <c r="J2669">
        <f>IF(F2669="","none",IF(G2669=1,"carte","multiple"))</f>
        <v/>
      </c>
    </row>
    <row r="2670">
      <c r="A2670" t="inlineStr">
        <is>
          <t>2022-07-09</t>
        </is>
      </c>
      <c r="B2670" t="inlineStr">
        <is>
          <t>11:36</t>
        </is>
      </c>
      <c r="C2670" t="n">
        <v>3001</v>
      </c>
      <c r="D2670" s="6" t="n">
        <v>7.8</v>
      </c>
      <c r="E2670" t="n">
        <v>39546</v>
      </c>
      <c r="F2670" s="6" t="n">
        <v>7.8</v>
      </c>
      <c r="G2670" t="n">
        <v>1</v>
      </c>
      <c r="H2670" s="6">
        <f>ROUND(G2670*F2670,2)</f>
        <v/>
      </c>
      <c r="I2670">
        <f>IF(ROUND(H2670-D2670,2)=0,1,0)</f>
        <v/>
      </c>
      <c r="J2670">
        <f>IF(F2670="","none",IF(G2670=1,"carte","multiple"))</f>
        <v/>
      </c>
    </row>
    <row r="2671">
      <c r="A2671" t="inlineStr">
        <is>
          <t>2022-07-09</t>
        </is>
      </c>
      <c r="B2671" t="inlineStr">
        <is>
          <t>12:00</t>
        </is>
      </c>
      <c r="C2671" t="n">
        <v>3001</v>
      </c>
      <c r="D2671" s="6" t="n">
        <v>3.9</v>
      </c>
      <c r="E2671" t="n">
        <v>39547</v>
      </c>
      <c r="F2671" s="6" t="n">
        <v>3.9</v>
      </c>
      <c r="G2671" t="n">
        <v>1</v>
      </c>
      <c r="H2671" s="6">
        <f>ROUND(G2671*F2671,2)</f>
        <v/>
      </c>
      <c r="I2671">
        <f>IF(ROUND(H2671-D2671,2)=0,1,0)</f>
        <v/>
      </c>
      <c r="J2671">
        <f>IF(F2671="","none",IF(G2671=1,"carte","multiple"))</f>
        <v/>
      </c>
    </row>
    <row r="2672">
      <c r="A2672" t="inlineStr">
        <is>
          <t>2022-07-09</t>
        </is>
      </c>
      <c r="B2672" t="inlineStr">
        <is>
          <t>12:00</t>
        </is>
      </c>
      <c r="C2672" t="n">
        <v>3001</v>
      </c>
      <c r="D2672" s="6" t="n">
        <v>4</v>
      </c>
      <c r="E2672" t="n">
        <v>39548</v>
      </c>
      <c r="F2672" s="6" t="n">
        <v>4</v>
      </c>
      <c r="G2672" t="n">
        <v>1</v>
      </c>
      <c r="H2672" s="6">
        <f>ROUND(G2672*F2672,2)</f>
        <v/>
      </c>
      <c r="I2672">
        <f>IF(ROUND(H2672-D2672,2)=0,1,0)</f>
        <v/>
      </c>
      <c r="J2672">
        <f>IF(F2672="","none",IF(G2672=1,"carte","multiple"))</f>
        <v/>
      </c>
    </row>
    <row r="2673">
      <c r="A2673" t="inlineStr">
        <is>
          <t>2022-07-09</t>
        </is>
      </c>
      <c r="B2673" t="inlineStr">
        <is>
          <t>12:00</t>
        </is>
      </c>
      <c r="C2673" t="n">
        <v>3001</v>
      </c>
      <c r="D2673" s="6" t="n">
        <v>16.8</v>
      </c>
      <c r="E2673" t="n">
        <v>39549</v>
      </c>
      <c r="F2673" s="6" t="n">
        <v>16.8</v>
      </c>
      <c r="G2673" t="n">
        <v>1</v>
      </c>
      <c r="H2673" s="6">
        <f>ROUND(G2673*F2673,2)</f>
        <v/>
      </c>
      <c r="I2673">
        <f>IF(ROUND(H2673-D2673,2)=0,1,0)</f>
        <v/>
      </c>
      <c r="J2673">
        <f>IF(F2673="","none",IF(G2673=1,"carte","multiple"))</f>
        <v/>
      </c>
    </row>
    <row r="2674">
      <c r="A2674" t="inlineStr">
        <is>
          <t>2022-07-09</t>
        </is>
      </c>
      <c r="B2674" t="inlineStr">
        <is>
          <t>12:00</t>
        </is>
      </c>
      <c r="C2674" t="n">
        <v>3001</v>
      </c>
      <c r="D2674" s="6" t="n">
        <v>16.4</v>
      </c>
      <c r="E2674" t="n">
        <v>39550</v>
      </c>
      <c r="F2674" s="6" t="n">
        <v>16.4</v>
      </c>
      <c r="G2674" t="n">
        <v>1</v>
      </c>
      <c r="H2674" s="6">
        <f>ROUND(G2674*F2674,2)</f>
        <v/>
      </c>
      <c r="I2674">
        <f>IF(ROUND(H2674-D2674,2)=0,1,0)</f>
        <v/>
      </c>
      <c r="J2674">
        <f>IF(F2674="","none",IF(G2674=1,"carte","multiple"))</f>
        <v/>
      </c>
    </row>
    <row r="2675">
      <c r="A2675" t="inlineStr">
        <is>
          <t>2022-07-09</t>
        </is>
      </c>
      <c r="B2675" t="inlineStr">
        <is>
          <t>12:00</t>
        </is>
      </c>
      <c r="C2675" t="n">
        <v>3001</v>
      </c>
      <c r="D2675" s="6" t="n">
        <v>3.9</v>
      </c>
      <c r="E2675" t="n">
        <v>39551</v>
      </c>
      <c r="F2675" s="6" t="n">
        <v>3.9</v>
      </c>
      <c r="G2675" t="n">
        <v>1</v>
      </c>
      <c r="H2675" s="6">
        <f>ROUND(G2675*F2675,2)</f>
        <v/>
      </c>
      <c r="I2675">
        <f>IF(ROUND(H2675-D2675,2)=0,1,0)</f>
        <v/>
      </c>
      <c r="J2675">
        <f>IF(F2675="","none",IF(G2675=1,"carte","multiple"))</f>
        <v/>
      </c>
    </row>
    <row r="2676">
      <c r="A2676" t="inlineStr">
        <is>
          <t>2022-07-09</t>
        </is>
      </c>
      <c r="B2676" t="inlineStr">
        <is>
          <t>12:00</t>
        </is>
      </c>
      <c r="C2676" t="n">
        <v>3001</v>
      </c>
      <c r="D2676" s="6" t="n">
        <v>5.2</v>
      </c>
      <c r="E2676" t="n">
        <v>39552</v>
      </c>
      <c r="F2676" s="6" t="n">
        <v>5.2</v>
      </c>
      <c r="G2676" t="n">
        <v>1</v>
      </c>
      <c r="H2676" s="6">
        <f>ROUND(G2676*F2676,2)</f>
        <v/>
      </c>
      <c r="I2676">
        <f>IF(ROUND(H2676-D2676,2)=0,1,0)</f>
        <v/>
      </c>
      <c r="J2676">
        <f>IF(F2676="","none",IF(G2676=1,"carte","multiple"))</f>
        <v/>
      </c>
    </row>
    <row r="2677">
      <c r="A2677" t="inlineStr">
        <is>
          <t>2022-07-09</t>
        </is>
      </c>
      <c r="B2677" t="inlineStr">
        <is>
          <t>12:06</t>
        </is>
      </c>
      <c r="C2677" t="n">
        <v>3001</v>
      </c>
      <c r="D2677" s="6" t="n">
        <v>3.9</v>
      </c>
      <c r="E2677" t="n">
        <v>39553</v>
      </c>
      <c r="F2677" s="6" t="n">
        <v>3.9</v>
      </c>
      <c r="G2677" t="n">
        <v>1</v>
      </c>
      <c r="H2677" s="6">
        <f>ROUND(G2677*F2677,2)</f>
        <v/>
      </c>
      <c r="I2677">
        <f>IF(ROUND(H2677-D2677,2)=0,1,0)</f>
        <v/>
      </c>
      <c r="J2677">
        <f>IF(F2677="","none",IF(G2677=1,"carte","multiple"))</f>
        <v/>
      </c>
    </row>
    <row r="2678">
      <c r="A2678" t="inlineStr">
        <is>
          <t>2022-07-09</t>
        </is>
      </c>
      <c r="B2678" t="inlineStr">
        <is>
          <t>12:06</t>
        </is>
      </c>
      <c r="C2678" t="n">
        <v>3001</v>
      </c>
      <c r="D2678" s="6" t="n">
        <v>6</v>
      </c>
      <c r="E2678" t="n">
        <v>39554</v>
      </c>
      <c r="F2678" s="6" t="n">
        <v>6</v>
      </c>
      <c r="G2678" t="n">
        <v>1</v>
      </c>
      <c r="H2678" s="6">
        <f>ROUND(G2678*F2678,2)</f>
        <v/>
      </c>
      <c r="I2678">
        <f>IF(ROUND(H2678-D2678,2)=0,1,0)</f>
        <v/>
      </c>
      <c r="J2678">
        <f>IF(F2678="","none",IF(G2678=1,"carte","multiple"))</f>
        <v/>
      </c>
    </row>
    <row r="2679">
      <c r="A2679" t="inlineStr">
        <is>
          <t>2022-07-09</t>
        </is>
      </c>
      <c r="B2679" t="inlineStr">
        <is>
          <t>12:12</t>
        </is>
      </c>
      <c r="C2679" t="n">
        <v>3001</v>
      </c>
      <c r="D2679" s="6" t="n">
        <v>13</v>
      </c>
      <c r="E2679" t="n">
        <v>39555</v>
      </c>
      <c r="F2679" s="6" t="n">
        <v>13</v>
      </c>
      <c r="G2679" t="n">
        <v>1</v>
      </c>
      <c r="H2679" s="6">
        <f>ROUND(G2679*F2679,2)</f>
        <v/>
      </c>
      <c r="I2679">
        <f>IF(ROUND(H2679-D2679,2)=0,1,0)</f>
        <v/>
      </c>
      <c r="J2679">
        <f>IF(F2679="","none",IF(G2679=1,"carte","multiple"))</f>
        <v/>
      </c>
    </row>
    <row r="2680">
      <c r="A2680" t="inlineStr">
        <is>
          <t>2022-07-09</t>
        </is>
      </c>
      <c r="B2680" t="inlineStr">
        <is>
          <t>12:15</t>
        </is>
      </c>
      <c r="C2680" t="n">
        <v>3001</v>
      </c>
      <c r="D2680" s="6" t="n">
        <v>2</v>
      </c>
      <c r="E2680" t="n">
        <v>39556</v>
      </c>
      <c r="F2680" s="6" t="n">
        <v>2</v>
      </c>
      <c r="G2680" t="n">
        <v>1</v>
      </c>
      <c r="H2680" s="6">
        <f>ROUND(G2680*F2680,2)</f>
        <v/>
      </c>
      <c r="I2680">
        <f>IF(ROUND(H2680-D2680,2)=0,1,0)</f>
        <v/>
      </c>
      <c r="J2680">
        <f>IF(F2680="","none",IF(G2680=1,"carte","multiple"))</f>
        <v/>
      </c>
    </row>
    <row r="2681">
      <c r="A2681" t="inlineStr">
        <is>
          <t>2022-07-09</t>
        </is>
      </c>
      <c r="B2681" t="inlineStr">
        <is>
          <t>12:15</t>
        </is>
      </c>
      <c r="C2681" t="n">
        <v>3001</v>
      </c>
      <c r="D2681" s="6" t="n">
        <v>5.8</v>
      </c>
      <c r="E2681" t="n">
        <v>39557</v>
      </c>
      <c r="F2681" s="6" t="n">
        <v>5.8</v>
      </c>
      <c r="G2681" t="n">
        <v>1</v>
      </c>
      <c r="H2681" s="6">
        <f>ROUND(G2681*F2681,2)</f>
        <v/>
      </c>
      <c r="I2681">
        <f>IF(ROUND(H2681-D2681,2)=0,1,0)</f>
        <v/>
      </c>
      <c r="J2681">
        <f>IF(F2681="","none",IF(G2681=1,"carte","multiple"))</f>
        <v/>
      </c>
    </row>
    <row r="2682">
      <c r="A2682" t="inlineStr">
        <is>
          <t>2022-07-09</t>
        </is>
      </c>
      <c r="B2682" t="inlineStr">
        <is>
          <t>12:15</t>
        </is>
      </c>
      <c r="C2682" t="n">
        <v>3001</v>
      </c>
      <c r="D2682" s="6" t="n">
        <v>11.7</v>
      </c>
      <c r="E2682" t="n">
        <v>39558</v>
      </c>
      <c r="F2682" s="6" t="n">
        <v>0.9</v>
      </c>
      <c r="G2682" t="n">
        <v>13</v>
      </c>
      <c r="H2682" s="6">
        <f>ROUND(G2682*F2682,2)</f>
        <v/>
      </c>
      <c r="I2682">
        <f>IF(ROUND(H2682-D2682,2)=0,1,0)</f>
        <v/>
      </c>
      <c r="J2682">
        <f>IF(F2682="","none",IF(G2682=1,"carte","multiple"))</f>
        <v/>
      </c>
    </row>
    <row r="2683">
      <c r="A2683" t="inlineStr">
        <is>
          <t>2022-07-09</t>
        </is>
      </c>
      <c r="B2683" t="inlineStr">
        <is>
          <t>12:15</t>
        </is>
      </c>
      <c r="C2683" t="n">
        <v>3001</v>
      </c>
      <c r="D2683" s="6" t="n">
        <v>4.4</v>
      </c>
      <c r="E2683" t="n">
        <v>39559</v>
      </c>
      <c r="F2683" s="6" t="n">
        <v>0.4</v>
      </c>
      <c r="G2683" t="n">
        <v>11</v>
      </c>
      <c r="H2683" s="6">
        <f>ROUND(G2683*F2683,2)</f>
        <v/>
      </c>
      <c r="I2683">
        <f>IF(ROUND(H2683-D2683,2)=0,1,0)</f>
        <v/>
      </c>
      <c r="J2683">
        <f>IF(F2683="","none",IF(G2683=1,"carte","multiple"))</f>
        <v/>
      </c>
    </row>
    <row r="2684">
      <c r="A2684" t="inlineStr">
        <is>
          <t>2022-07-09</t>
        </is>
      </c>
      <c r="B2684" t="inlineStr">
        <is>
          <t>12:15</t>
        </is>
      </c>
      <c r="C2684" t="n">
        <v>3001</v>
      </c>
      <c r="D2684" s="6" t="n">
        <v>7.8</v>
      </c>
      <c r="E2684" t="n">
        <v>39560</v>
      </c>
      <c r="F2684" s="6" t="n">
        <v>7.8</v>
      </c>
      <c r="G2684" t="n">
        <v>1</v>
      </c>
      <c r="H2684" s="6">
        <f>ROUND(G2684*F2684,2)</f>
        <v/>
      </c>
      <c r="I2684">
        <f>IF(ROUND(H2684-D2684,2)=0,1,0)</f>
        <v/>
      </c>
      <c r="J2684">
        <f>IF(F2684="","none",IF(G2684=1,"carte","multiple"))</f>
        <v/>
      </c>
    </row>
    <row r="2685">
      <c r="A2685" t="inlineStr">
        <is>
          <t>2022-07-09</t>
        </is>
      </c>
      <c r="B2685" t="inlineStr">
        <is>
          <t>12:15</t>
        </is>
      </c>
      <c r="C2685" t="n">
        <v>3001</v>
      </c>
      <c r="D2685" s="6" t="n">
        <v>16.8</v>
      </c>
      <c r="E2685" t="n">
        <v>39561</v>
      </c>
      <c r="F2685" s="6" t="n">
        <v>16.8</v>
      </c>
      <c r="G2685" t="n">
        <v>1</v>
      </c>
      <c r="H2685" s="6">
        <f>ROUND(G2685*F2685,2)</f>
        <v/>
      </c>
      <c r="I2685">
        <f>IF(ROUND(H2685-D2685,2)=0,1,0)</f>
        <v/>
      </c>
      <c r="J2685">
        <f>IF(F2685="","none",IF(G2685=1,"carte","multiple"))</f>
        <v/>
      </c>
    </row>
    <row r="2686">
      <c r="A2686" t="inlineStr">
        <is>
          <t>2022-07-09</t>
        </is>
      </c>
      <c r="B2686" t="inlineStr">
        <is>
          <t>12:15</t>
        </is>
      </c>
      <c r="C2686" t="n">
        <v>3001</v>
      </c>
      <c r="D2686" s="6" t="n">
        <v>4</v>
      </c>
      <c r="E2686" t="n">
        <v>39562</v>
      </c>
      <c r="F2686" s="6" t="n">
        <v>4</v>
      </c>
      <c r="G2686" t="n">
        <v>1</v>
      </c>
      <c r="H2686" s="6">
        <f>ROUND(G2686*F2686,2)</f>
        <v/>
      </c>
      <c r="I2686">
        <f>IF(ROUND(H2686-D2686,2)=0,1,0)</f>
        <v/>
      </c>
      <c r="J2686">
        <f>IF(F2686="","none",IF(G2686=1,"carte","multiple"))</f>
        <v/>
      </c>
    </row>
    <row r="2687">
      <c r="A2687" t="inlineStr">
        <is>
          <t>2022-07-09</t>
        </is>
      </c>
      <c r="B2687" t="inlineStr">
        <is>
          <t>12:15</t>
        </is>
      </c>
      <c r="C2687" t="n">
        <v>3001</v>
      </c>
      <c r="D2687" s="6" t="n">
        <v>3.8</v>
      </c>
      <c r="E2687" t="n">
        <v>39563</v>
      </c>
      <c r="F2687" s="6" t="n">
        <v>3.8</v>
      </c>
      <c r="G2687" t="n">
        <v>1</v>
      </c>
      <c r="H2687" s="6">
        <f>ROUND(G2687*F2687,2)</f>
        <v/>
      </c>
      <c r="I2687">
        <f>IF(ROUND(H2687-D2687,2)=0,1,0)</f>
        <v/>
      </c>
      <c r="J2687">
        <f>IF(F2687="","none",IF(G2687=1,"carte","multiple"))</f>
        <v/>
      </c>
    </row>
    <row r="2688">
      <c r="A2688" t="inlineStr">
        <is>
          <t>2022-07-09</t>
        </is>
      </c>
      <c r="B2688" t="inlineStr">
        <is>
          <t>12:15</t>
        </is>
      </c>
      <c r="C2688" t="n">
        <v>3001</v>
      </c>
      <c r="D2688" s="6" t="n">
        <v>2.9</v>
      </c>
      <c r="E2688" t="n">
        <v>39564</v>
      </c>
      <c r="F2688" s="6" t="n">
        <v>2.9</v>
      </c>
      <c r="G2688" t="n">
        <v>1</v>
      </c>
      <c r="H2688" s="6">
        <f>ROUND(G2688*F2688,2)</f>
        <v/>
      </c>
      <c r="I2688">
        <f>IF(ROUND(H2688-D2688,2)=0,1,0)</f>
        <v/>
      </c>
      <c r="J2688">
        <f>IF(F2688="","none",IF(G2688=1,"carte","multiple"))</f>
        <v/>
      </c>
    </row>
    <row r="2689">
      <c r="A2689" t="inlineStr">
        <is>
          <t>2022-07-09</t>
        </is>
      </c>
      <c r="B2689" t="inlineStr">
        <is>
          <t>12:15</t>
        </is>
      </c>
      <c r="C2689" t="n">
        <v>3001</v>
      </c>
      <c r="D2689" s="6" t="n">
        <v>31.8</v>
      </c>
      <c r="E2689" t="n">
        <v>39565</v>
      </c>
      <c r="F2689" s="6" t="n">
        <v>31.8</v>
      </c>
      <c r="G2689" t="n">
        <v>1</v>
      </c>
      <c r="H2689" s="6">
        <f>ROUND(G2689*F2689,2)</f>
        <v/>
      </c>
      <c r="I2689">
        <f>IF(ROUND(H2689-D2689,2)=0,1,0)</f>
        <v/>
      </c>
      <c r="J2689">
        <f>IF(F2689="","none",IF(G2689=1,"carte","multiple"))</f>
        <v/>
      </c>
    </row>
    <row r="2690">
      <c r="A2690" t="inlineStr">
        <is>
          <t>2022-07-09</t>
        </is>
      </c>
      <c r="B2690" t="inlineStr">
        <is>
          <t>12:15</t>
        </is>
      </c>
      <c r="C2690" t="n">
        <v>3001</v>
      </c>
      <c r="D2690" s="6" t="n">
        <v>6.9</v>
      </c>
      <c r="E2690" t="n">
        <v>39566</v>
      </c>
      <c r="F2690" s="6" t="n">
        <v>6.9</v>
      </c>
      <c r="G2690" t="n">
        <v>1</v>
      </c>
      <c r="H2690" s="6">
        <f>ROUND(G2690*F2690,2)</f>
        <v/>
      </c>
      <c r="I2690">
        <f>IF(ROUND(H2690-D2690,2)=0,1,0)</f>
        <v/>
      </c>
      <c r="J2690">
        <f>IF(F2690="","none",IF(G2690=1,"carte","multiple"))</f>
        <v/>
      </c>
    </row>
    <row r="2691">
      <c r="A2691" t="inlineStr">
        <is>
          <t>2022-07-09</t>
        </is>
      </c>
      <c r="B2691" t="inlineStr">
        <is>
          <t>12:15</t>
        </is>
      </c>
      <c r="C2691" t="n">
        <v>3001</v>
      </c>
      <c r="D2691" s="6" t="n">
        <v>45</v>
      </c>
      <c r="E2691" t="n">
        <v>39567</v>
      </c>
      <c r="F2691" s="6" t="n">
        <v>45</v>
      </c>
      <c r="G2691" t="n">
        <v>1</v>
      </c>
      <c r="H2691" s="6">
        <f>ROUND(G2691*F2691,2)</f>
        <v/>
      </c>
      <c r="I2691">
        <f>IF(ROUND(H2691-D2691,2)=0,1,0)</f>
        <v/>
      </c>
      <c r="J2691">
        <f>IF(F2691="","none",IF(G2691=1,"carte","multiple"))</f>
        <v/>
      </c>
    </row>
    <row r="2692">
      <c r="A2692" t="inlineStr">
        <is>
          <t>2022-07-09</t>
        </is>
      </c>
      <c r="B2692" t="inlineStr">
        <is>
          <t>12:15</t>
        </is>
      </c>
      <c r="C2692" t="n">
        <v>3001</v>
      </c>
      <c r="D2692" s="6" t="n">
        <v>5.9</v>
      </c>
      <c r="E2692" t="n">
        <v>39568</v>
      </c>
      <c r="F2692" s="6" t="n">
        <v>5.9</v>
      </c>
      <c r="G2692" t="n">
        <v>1</v>
      </c>
      <c r="H2692" s="6">
        <f>ROUND(G2692*F2692,2)</f>
        <v/>
      </c>
      <c r="I2692">
        <f>IF(ROUND(H2692-D2692,2)=0,1,0)</f>
        <v/>
      </c>
      <c r="J2692">
        <f>IF(F2692="","none",IF(G2692=1,"carte","multiple"))</f>
        <v/>
      </c>
    </row>
    <row r="2693">
      <c r="A2693" t="inlineStr">
        <is>
          <t>2022-07-09</t>
        </is>
      </c>
      <c r="B2693" t="inlineStr">
        <is>
          <t>12:16</t>
        </is>
      </c>
      <c r="C2693" t="n">
        <v>3001</v>
      </c>
      <c r="D2693" s="6" t="n">
        <v>13</v>
      </c>
      <c r="E2693" t="n">
        <v>39569</v>
      </c>
      <c r="F2693" s="6" t="n">
        <v>13</v>
      </c>
      <c r="G2693" t="n">
        <v>1</v>
      </c>
      <c r="H2693" s="6">
        <f>ROUND(G2693*F2693,2)</f>
        <v/>
      </c>
      <c r="I2693">
        <f>IF(ROUND(H2693-D2693,2)=0,1,0)</f>
        <v/>
      </c>
      <c r="J2693">
        <f>IF(F2693="","none",IF(G2693=1,"carte","multiple"))</f>
        <v/>
      </c>
    </row>
    <row r="2694">
      <c r="A2694" t="inlineStr">
        <is>
          <t>2022-07-09</t>
        </is>
      </c>
      <c r="B2694" t="inlineStr">
        <is>
          <t>12:18</t>
        </is>
      </c>
      <c r="C2694" t="n">
        <v>3001</v>
      </c>
      <c r="D2694" s="6" t="n">
        <v>3.9</v>
      </c>
      <c r="E2694" t="n">
        <v>39570</v>
      </c>
      <c r="F2694" s="6" t="n">
        <v>3.9</v>
      </c>
      <c r="G2694" t="n">
        <v>1</v>
      </c>
      <c r="H2694" s="6">
        <f>ROUND(G2694*F2694,2)</f>
        <v/>
      </c>
      <c r="I2694">
        <f>IF(ROUND(H2694-D2694,2)=0,1,0)</f>
        <v/>
      </c>
      <c r="J2694">
        <f>IF(F2694="","none",IF(G2694=1,"carte","multiple"))</f>
        <v/>
      </c>
    </row>
    <row r="2695">
      <c r="A2695" t="inlineStr">
        <is>
          <t>2022-07-09</t>
        </is>
      </c>
      <c r="B2695" t="inlineStr">
        <is>
          <t>12:20</t>
        </is>
      </c>
      <c r="C2695" t="n">
        <v>3001</v>
      </c>
      <c r="D2695" s="6" t="n">
        <v>3.9</v>
      </c>
      <c r="E2695" t="n">
        <v>39571</v>
      </c>
      <c r="F2695" s="6" t="n">
        <v>3.9</v>
      </c>
      <c r="G2695" t="n">
        <v>1</v>
      </c>
      <c r="H2695" s="6">
        <f>ROUND(G2695*F2695,2)</f>
        <v/>
      </c>
      <c r="I2695">
        <f>IF(ROUND(H2695-D2695,2)=0,1,0)</f>
        <v/>
      </c>
      <c r="J2695">
        <f>IF(F2695="","none",IF(G2695=1,"carte","multiple"))</f>
        <v/>
      </c>
    </row>
    <row r="2696">
      <c r="A2696" t="inlineStr">
        <is>
          <t>2022-07-09</t>
        </is>
      </c>
      <c r="B2696" t="inlineStr">
        <is>
          <t>12:21</t>
        </is>
      </c>
      <c r="C2696" t="n">
        <v>3001</v>
      </c>
      <c r="D2696" s="6" t="n">
        <v>17.6</v>
      </c>
      <c r="E2696" t="n">
        <v>39572</v>
      </c>
      <c r="F2696" s="6" t="n">
        <v>17.6</v>
      </c>
      <c r="G2696" t="n">
        <v>1</v>
      </c>
      <c r="H2696" s="6">
        <f>ROUND(G2696*F2696,2)</f>
        <v/>
      </c>
      <c r="I2696">
        <f>IF(ROUND(H2696-D2696,2)=0,1,0)</f>
        <v/>
      </c>
      <c r="J2696">
        <f>IF(F2696="","none",IF(G2696=1,"carte","multiple"))</f>
        <v/>
      </c>
    </row>
    <row r="2697">
      <c r="A2697" t="inlineStr">
        <is>
          <t>2022-07-09</t>
        </is>
      </c>
      <c r="B2697" t="inlineStr">
        <is>
          <t>12:21</t>
        </is>
      </c>
      <c r="C2697" t="n">
        <v>3001</v>
      </c>
      <c r="D2697" s="6" t="n">
        <v>16.4</v>
      </c>
      <c r="E2697" t="n">
        <v>39573</v>
      </c>
      <c r="F2697" s="6" t="n">
        <v>16.4</v>
      </c>
      <c r="G2697" t="n">
        <v>1</v>
      </c>
      <c r="H2697" s="6">
        <f>ROUND(G2697*F2697,2)</f>
        <v/>
      </c>
      <c r="I2697">
        <f>IF(ROUND(H2697-D2697,2)=0,1,0)</f>
        <v/>
      </c>
      <c r="J2697">
        <f>IF(F2697="","none",IF(G2697=1,"carte","multiple"))</f>
        <v/>
      </c>
    </row>
    <row r="2698">
      <c r="A2698" t="inlineStr">
        <is>
          <t>2022-07-09</t>
        </is>
      </c>
      <c r="B2698" t="inlineStr">
        <is>
          <t>12:41</t>
        </is>
      </c>
      <c r="C2698" t="n">
        <v>3001</v>
      </c>
      <c r="D2698" s="6" t="n">
        <v>7.8</v>
      </c>
      <c r="E2698" t="n">
        <v>39574</v>
      </c>
      <c r="F2698" s="6" t="n">
        <v>7.8</v>
      </c>
      <c r="G2698" t="n">
        <v>1</v>
      </c>
      <c r="H2698" s="6">
        <f>ROUND(G2698*F2698,2)</f>
        <v/>
      </c>
      <c r="I2698">
        <f>IF(ROUND(H2698-D2698,2)=0,1,0)</f>
        <v/>
      </c>
      <c r="J2698">
        <f>IF(F2698="","none",IF(G2698=1,"carte","multiple"))</f>
        <v/>
      </c>
    </row>
    <row r="2699">
      <c r="A2699" t="inlineStr">
        <is>
          <t>2022-07-09</t>
        </is>
      </c>
      <c r="B2699" t="inlineStr">
        <is>
          <t>12:41</t>
        </is>
      </c>
      <c r="C2699" t="n">
        <v>3001</v>
      </c>
      <c r="D2699" s="6" t="n">
        <v>6.9</v>
      </c>
      <c r="E2699" t="n">
        <v>39575</v>
      </c>
      <c r="F2699" s="6" t="n">
        <v>6.9</v>
      </c>
      <c r="G2699" t="n">
        <v>1</v>
      </c>
      <c r="H2699" s="6">
        <f>ROUND(G2699*F2699,2)</f>
        <v/>
      </c>
      <c r="I2699">
        <f>IF(ROUND(H2699-D2699,2)=0,1,0)</f>
        <v/>
      </c>
      <c r="J2699">
        <f>IF(F2699="","none",IF(G2699=1,"carte","multiple"))</f>
        <v/>
      </c>
    </row>
    <row r="2700">
      <c r="A2700" t="inlineStr">
        <is>
          <t>2022-07-09</t>
        </is>
      </c>
      <c r="B2700" t="inlineStr">
        <is>
          <t>12:47</t>
        </is>
      </c>
      <c r="C2700" t="n">
        <v>3001</v>
      </c>
      <c r="D2700" s="6" t="n">
        <v>14</v>
      </c>
      <c r="E2700" t="n">
        <v>39576</v>
      </c>
      <c r="F2700" s="6" t="n">
        <v>14</v>
      </c>
      <c r="G2700" t="n">
        <v>1</v>
      </c>
      <c r="H2700" s="6">
        <f>ROUND(G2700*F2700,2)</f>
        <v/>
      </c>
      <c r="I2700">
        <f>IF(ROUND(H2700-D2700,2)=0,1,0)</f>
        <v/>
      </c>
      <c r="J2700">
        <f>IF(F2700="","none",IF(G2700=1,"carte","multiple"))</f>
        <v/>
      </c>
    </row>
    <row r="2701">
      <c r="A2701" t="inlineStr">
        <is>
          <t>2022-07-09</t>
        </is>
      </c>
      <c r="B2701" t="inlineStr">
        <is>
          <t>13:19</t>
        </is>
      </c>
      <c r="C2701" t="n">
        <v>3001</v>
      </c>
      <c r="D2701" s="6" t="n">
        <v>8.4</v>
      </c>
      <c r="E2701" t="n">
        <v>39577</v>
      </c>
      <c r="F2701" s="6" t="n">
        <v>8.4</v>
      </c>
      <c r="G2701" t="n">
        <v>1</v>
      </c>
      <c r="H2701" s="6">
        <f>ROUND(G2701*F2701,2)</f>
        <v/>
      </c>
      <c r="I2701">
        <f>IF(ROUND(H2701-D2701,2)=0,1,0)</f>
        <v/>
      </c>
      <c r="J2701">
        <f>IF(F2701="","none",IF(G2701=1,"carte","multiple"))</f>
        <v/>
      </c>
    </row>
    <row r="2702">
      <c r="A2702" t="inlineStr">
        <is>
          <t>2022-07-09</t>
        </is>
      </c>
      <c r="B2702" t="inlineStr">
        <is>
          <t>13:19</t>
        </is>
      </c>
      <c r="C2702" t="n">
        <v>3001</v>
      </c>
      <c r="D2702" s="6" t="n">
        <v>13.8</v>
      </c>
      <c r="E2702" t="n">
        <v>39578</v>
      </c>
      <c r="F2702" s="6" t="n">
        <v>4.6</v>
      </c>
      <c r="G2702" t="n">
        <v>3</v>
      </c>
      <c r="H2702" s="6">
        <f>ROUND(G2702*F2702,2)</f>
        <v/>
      </c>
      <c r="I2702">
        <f>IF(ROUND(H2702-D2702,2)=0,1,0)</f>
        <v/>
      </c>
      <c r="J2702">
        <f>IF(F2702="","none",IF(G2702=1,"carte","multiple"))</f>
        <v/>
      </c>
    </row>
    <row r="2703">
      <c r="A2703" t="inlineStr">
        <is>
          <t>2022-07-09</t>
        </is>
      </c>
      <c r="B2703" t="inlineStr">
        <is>
          <t>13:19</t>
        </is>
      </c>
      <c r="C2703" t="n">
        <v>3001</v>
      </c>
      <c r="D2703" s="6" t="n">
        <v>17.6</v>
      </c>
      <c r="E2703" t="n">
        <v>39579</v>
      </c>
      <c r="F2703" s="6" t="n">
        <v>17.6</v>
      </c>
      <c r="G2703" t="n">
        <v>1</v>
      </c>
      <c r="H2703" s="6">
        <f>ROUND(G2703*F2703,2)</f>
        <v/>
      </c>
      <c r="I2703">
        <f>IF(ROUND(H2703-D2703,2)=0,1,0)</f>
        <v/>
      </c>
      <c r="J2703">
        <f>IF(F2703="","none",IF(G2703=1,"carte","multiple"))</f>
        <v/>
      </c>
    </row>
    <row r="2704">
      <c r="A2704" t="inlineStr">
        <is>
          <t>2022-07-09</t>
        </is>
      </c>
      <c r="B2704" t="inlineStr">
        <is>
          <t>13:19</t>
        </is>
      </c>
      <c r="C2704" t="n">
        <v>3001</v>
      </c>
      <c r="D2704" s="6" t="n">
        <v>17.6</v>
      </c>
      <c r="E2704" t="n">
        <v>39580</v>
      </c>
      <c r="F2704" s="6" t="n">
        <v>17.6</v>
      </c>
      <c r="G2704" t="n">
        <v>1</v>
      </c>
      <c r="H2704" s="6">
        <f>ROUND(G2704*F2704,2)</f>
        <v/>
      </c>
      <c r="I2704">
        <f>IF(ROUND(H2704-D2704,2)=0,1,0)</f>
        <v/>
      </c>
      <c r="J2704">
        <f>IF(F2704="","none",IF(G2704=1,"carte","multiple"))</f>
        <v/>
      </c>
    </row>
    <row r="2705">
      <c r="A2705" t="inlineStr">
        <is>
          <t>2022-07-09</t>
        </is>
      </c>
      <c r="B2705" t="inlineStr">
        <is>
          <t>13:19</t>
        </is>
      </c>
      <c r="C2705" t="n">
        <v>3001</v>
      </c>
      <c r="D2705" s="6" t="n">
        <v>7.8</v>
      </c>
      <c r="E2705" t="n">
        <v>39581</v>
      </c>
      <c r="F2705" s="6" t="n">
        <v>7.8</v>
      </c>
      <c r="G2705" t="n">
        <v>1</v>
      </c>
      <c r="H2705" s="6">
        <f>ROUND(G2705*F2705,2)</f>
        <v/>
      </c>
      <c r="I2705">
        <f>IF(ROUND(H2705-D2705,2)=0,1,0)</f>
        <v/>
      </c>
      <c r="J2705">
        <f>IF(F2705="","none",IF(G2705=1,"carte","multiple"))</f>
        <v/>
      </c>
    </row>
    <row r="2706">
      <c r="A2706" t="inlineStr">
        <is>
          <t>2022-07-09</t>
        </is>
      </c>
      <c r="B2706" t="inlineStr">
        <is>
          <t>13:23</t>
        </is>
      </c>
      <c r="C2706" t="n">
        <v>3001</v>
      </c>
      <c r="D2706" s="6" t="n">
        <v>13</v>
      </c>
      <c r="E2706" t="n">
        <v>39582</v>
      </c>
      <c r="F2706" s="6" t="n">
        <v>13</v>
      </c>
      <c r="G2706" t="n">
        <v>1</v>
      </c>
      <c r="H2706" s="6">
        <f>ROUND(G2706*F2706,2)</f>
        <v/>
      </c>
      <c r="I2706">
        <f>IF(ROUND(H2706-D2706,2)=0,1,0)</f>
        <v/>
      </c>
      <c r="J2706">
        <f>IF(F2706="","none",IF(G2706=1,"carte","multiple"))</f>
        <v/>
      </c>
    </row>
    <row r="2707">
      <c r="A2707" t="inlineStr">
        <is>
          <t>2022-07-09</t>
        </is>
      </c>
      <c r="B2707" t="inlineStr">
        <is>
          <t>15:10</t>
        </is>
      </c>
      <c r="C2707" t="n">
        <v>3001</v>
      </c>
      <c r="D2707" s="6" t="n">
        <v>2.2</v>
      </c>
      <c r="E2707" t="n">
        <v>39584</v>
      </c>
      <c r="F2707" s="6" t="n">
        <v>2.2</v>
      </c>
      <c r="G2707" t="n">
        <v>1</v>
      </c>
      <c r="H2707" s="6">
        <f>ROUND(G2707*F2707,2)</f>
        <v/>
      </c>
      <c r="I2707">
        <f>IF(ROUND(H2707-D2707,2)=0,1,0)</f>
        <v/>
      </c>
      <c r="J2707">
        <f>IF(F2707="","none",IF(G2707=1,"carte","multiple"))</f>
        <v/>
      </c>
    </row>
    <row r="2708">
      <c r="A2708" t="inlineStr">
        <is>
          <t>2022-07-09</t>
        </is>
      </c>
      <c r="B2708" t="inlineStr">
        <is>
          <t>15:10</t>
        </is>
      </c>
      <c r="C2708" t="n">
        <v>3001</v>
      </c>
      <c r="D2708" s="6" t="n">
        <v>8.699999999999999</v>
      </c>
      <c r="E2708" t="n">
        <v>39585</v>
      </c>
      <c r="F2708" s="6" t="n">
        <v>8.699999999999999</v>
      </c>
      <c r="G2708" t="n">
        <v>1</v>
      </c>
      <c r="H2708" s="6">
        <f>ROUND(G2708*F2708,2)</f>
        <v/>
      </c>
      <c r="I2708">
        <f>IF(ROUND(H2708-D2708,2)=0,1,0)</f>
        <v/>
      </c>
      <c r="J2708">
        <f>IF(F2708="","none",IF(G2708=1,"carte","multiple"))</f>
        <v/>
      </c>
    </row>
    <row r="2709">
      <c r="A2709" t="inlineStr">
        <is>
          <t>2022-07-09</t>
        </is>
      </c>
      <c r="B2709" t="inlineStr">
        <is>
          <t>15:44</t>
        </is>
      </c>
      <c r="C2709" t="n">
        <v>3001</v>
      </c>
      <c r="D2709" s="6" t="n">
        <v>11.8</v>
      </c>
      <c r="E2709" t="n">
        <v>39586</v>
      </c>
      <c r="F2709" s="6" t="n">
        <v>5.9</v>
      </c>
      <c r="G2709" t="n">
        <v>2</v>
      </c>
      <c r="H2709" s="6">
        <f>ROUND(G2709*F2709,2)</f>
        <v/>
      </c>
      <c r="I2709">
        <f>IF(ROUND(H2709-D2709,2)=0,1,0)</f>
        <v/>
      </c>
      <c r="J2709">
        <f>IF(F2709="","none",IF(G2709=1,"carte","multiple"))</f>
        <v/>
      </c>
    </row>
    <row r="2710">
      <c r="A2710" t="inlineStr">
        <is>
          <t>2022-07-09</t>
        </is>
      </c>
      <c r="B2710" t="inlineStr">
        <is>
          <t>17:32</t>
        </is>
      </c>
      <c r="C2710" t="n">
        <v>3001</v>
      </c>
      <c r="D2710" s="6" t="n">
        <v>16.9</v>
      </c>
      <c r="E2710" t="n">
        <v>39587</v>
      </c>
      <c r="F2710" s="6" t="n">
        <v>16.9</v>
      </c>
      <c r="G2710" t="n">
        <v>1</v>
      </c>
      <c r="H2710" s="6">
        <f>ROUND(G2710*F2710,2)</f>
        <v/>
      </c>
      <c r="I2710">
        <f>IF(ROUND(H2710-D2710,2)=0,1,0)</f>
        <v/>
      </c>
      <c r="J2710">
        <f>IF(F2710="","none",IF(G2710=1,"carte","multiple"))</f>
        <v/>
      </c>
    </row>
    <row r="2711">
      <c r="A2711" t="inlineStr">
        <is>
          <t>2022-07-09</t>
        </is>
      </c>
      <c r="B2711" t="inlineStr">
        <is>
          <t>17:46</t>
        </is>
      </c>
      <c r="C2711" t="n">
        <v>3001</v>
      </c>
      <c r="D2711" s="6" t="n">
        <v>2.2</v>
      </c>
      <c r="E2711" t="n">
        <v>39588</v>
      </c>
      <c r="F2711" s="6" t="n">
        <v>2.2</v>
      </c>
      <c r="G2711" t="n">
        <v>1</v>
      </c>
      <c r="H2711" s="6">
        <f>ROUND(G2711*F2711,2)</f>
        <v/>
      </c>
      <c r="I2711">
        <f>IF(ROUND(H2711-D2711,2)=0,1,0)</f>
        <v/>
      </c>
      <c r="J2711">
        <f>IF(F2711="","none",IF(G2711=1,"carte","multiple"))</f>
        <v/>
      </c>
    </row>
    <row r="2712">
      <c r="A2712" t="inlineStr">
        <is>
          <t>2022-07-09</t>
        </is>
      </c>
      <c r="B2712" t="inlineStr">
        <is>
          <t>17:46</t>
        </is>
      </c>
      <c r="C2712" t="n">
        <v>3001</v>
      </c>
      <c r="D2712" s="6" t="n">
        <v>27.8</v>
      </c>
      <c r="E2712" t="n">
        <v>39589</v>
      </c>
      <c r="F2712" s="6" t="n">
        <v>27.8</v>
      </c>
      <c r="G2712" t="n">
        <v>1</v>
      </c>
      <c r="H2712" s="6">
        <f>ROUND(G2712*F2712,2)</f>
        <v/>
      </c>
      <c r="I2712">
        <f>IF(ROUND(H2712-D2712,2)=0,1,0)</f>
        <v/>
      </c>
      <c r="J2712">
        <f>IF(F2712="","none",IF(G2712=1,"carte","multiple"))</f>
        <v/>
      </c>
    </row>
    <row r="2713">
      <c r="A2713" t="inlineStr">
        <is>
          <t>2022-07-09</t>
        </is>
      </c>
      <c r="B2713" t="inlineStr">
        <is>
          <t>17:46</t>
        </is>
      </c>
      <c r="C2713" t="n">
        <v>3001</v>
      </c>
      <c r="D2713" s="6" t="n">
        <v>17.6</v>
      </c>
      <c r="E2713" t="n">
        <v>39590</v>
      </c>
      <c r="F2713" s="6" t="n">
        <v>17.6</v>
      </c>
      <c r="G2713" t="n">
        <v>1</v>
      </c>
      <c r="H2713" s="6">
        <f>ROUND(G2713*F2713,2)</f>
        <v/>
      </c>
      <c r="I2713">
        <f>IF(ROUND(H2713-D2713,2)=0,1,0)</f>
        <v/>
      </c>
      <c r="J2713">
        <f>IF(F2713="","none",IF(G2713=1,"carte","multiple"))</f>
        <v/>
      </c>
    </row>
    <row r="2714">
      <c r="A2714" t="inlineStr">
        <is>
          <t>2022-07-09</t>
        </is>
      </c>
      <c r="B2714" t="inlineStr">
        <is>
          <t>17:46</t>
        </is>
      </c>
      <c r="C2714" t="n">
        <v>3001</v>
      </c>
      <c r="D2714" s="6" t="n">
        <v>19</v>
      </c>
      <c r="E2714" t="n">
        <v>39591</v>
      </c>
      <c r="F2714" s="6" t="n">
        <v>19</v>
      </c>
      <c r="G2714" t="n">
        <v>1</v>
      </c>
      <c r="H2714" s="6">
        <f>ROUND(G2714*F2714,2)</f>
        <v/>
      </c>
      <c r="I2714">
        <f>IF(ROUND(H2714-D2714,2)=0,1,0)</f>
        <v/>
      </c>
      <c r="J2714">
        <f>IF(F2714="","none",IF(G2714=1,"carte","multiple"))</f>
        <v/>
      </c>
    </row>
    <row r="2715">
      <c r="A2715" t="inlineStr">
        <is>
          <t>2022-07-09</t>
        </is>
      </c>
      <c r="B2715" t="inlineStr">
        <is>
          <t>17:46</t>
        </is>
      </c>
      <c r="C2715" t="n">
        <v>3001</v>
      </c>
      <c r="D2715" s="6" t="n">
        <v>11.7</v>
      </c>
      <c r="E2715" t="n">
        <v>39592</v>
      </c>
      <c r="F2715" s="6" t="n">
        <v>0.9</v>
      </c>
      <c r="G2715" t="n">
        <v>13</v>
      </c>
      <c r="H2715" s="6">
        <f>ROUND(G2715*F2715,2)</f>
        <v/>
      </c>
      <c r="I2715">
        <f>IF(ROUND(H2715-D2715,2)=0,1,0)</f>
        <v/>
      </c>
      <c r="J2715">
        <f>IF(F2715="","none",IF(G2715=1,"carte","multiple"))</f>
        <v/>
      </c>
    </row>
    <row r="2716">
      <c r="A2716" t="inlineStr">
        <is>
          <t>2022-07-09</t>
        </is>
      </c>
      <c r="B2716" t="inlineStr">
        <is>
          <t>18:45</t>
        </is>
      </c>
      <c r="C2716" t="n">
        <v>3001</v>
      </c>
      <c r="D2716" s="6" t="n">
        <v>11.7</v>
      </c>
      <c r="E2716" t="n">
        <v>39593</v>
      </c>
      <c r="F2716" s="6" t="n">
        <v>0.9</v>
      </c>
      <c r="G2716" t="n">
        <v>13</v>
      </c>
      <c r="H2716" s="6">
        <f>ROUND(G2716*F2716,2)</f>
        <v/>
      </c>
      <c r="I2716">
        <f>IF(ROUND(H2716-D2716,2)=0,1,0)</f>
        <v/>
      </c>
      <c r="J2716">
        <f>IF(F2716="","none",IF(G2716=1,"carte","multiple"))</f>
        <v/>
      </c>
    </row>
    <row r="2717">
      <c r="A2717" t="inlineStr">
        <is>
          <t>2022-07-09</t>
        </is>
      </c>
      <c r="B2717" t="inlineStr">
        <is>
          <t>18:46</t>
        </is>
      </c>
      <c r="C2717" t="n">
        <v>3001</v>
      </c>
      <c r="D2717" s="6" t="n">
        <v>2.2</v>
      </c>
      <c r="E2717" t="n">
        <v>39594</v>
      </c>
      <c r="F2717" s="6" t="n">
        <v>2.2</v>
      </c>
      <c r="G2717" t="n">
        <v>1</v>
      </c>
      <c r="H2717" s="6">
        <f>ROUND(G2717*F2717,2)</f>
        <v/>
      </c>
      <c r="I2717">
        <f>IF(ROUND(H2717-D2717,2)=0,1,0)</f>
        <v/>
      </c>
      <c r="J2717">
        <f>IF(F2717="","none",IF(G2717=1,"carte","multiple"))</f>
        <v/>
      </c>
    </row>
    <row r="2718">
      <c r="A2718" t="inlineStr">
        <is>
          <t>2022-07-09</t>
        </is>
      </c>
      <c r="B2718" t="inlineStr">
        <is>
          <t>18:46</t>
        </is>
      </c>
      <c r="C2718" t="n">
        <v>3001</v>
      </c>
      <c r="D2718" s="6" t="n">
        <v>3.9</v>
      </c>
      <c r="E2718" t="n">
        <v>39595</v>
      </c>
      <c r="F2718" s="6" t="n">
        <v>3.9</v>
      </c>
      <c r="G2718" t="n">
        <v>1</v>
      </c>
      <c r="H2718" s="6">
        <f>ROUND(G2718*F2718,2)</f>
        <v/>
      </c>
      <c r="I2718">
        <f>IF(ROUND(H2718-D2718,2)=0,1,0)</f>
        <v/>
      </c>
      <c r="J2718">
        <f>IF(F2718="","none",IF(G2718=1,"carte","multiple"))</f>
        <v/>
      </c>
    </row>
    <row r="2719">
      <c r="A2719" t="inlineStr">
        <is>
          <t>2022-07-09</t>
        </is>
      </c>
      <c r="B2719" t="inlineStr">
        <is>
          <t>18:46</t>
        </is>
      </c>
      <c r="C2719" t="n">
        <v>3001</v>
      </c>
      <c r="D2719" s="6" t="n">
        <v>19.9</v>
      </c>
      <c r="E2719" t="n">
        <v>39596</v>
      </c>
      <c r="F2719" s="6" t="n">
        <v>19.9</v>
      </c>
      <c r="G2719" t="n">
        <v>1</v>
      </c>
      <c r="H2719" s="6">
        <f>ROUND(G2719*F2719,2)</f>
        <v/>
      </c>
      <c r="I2719">
        <f>IF(ROUND(H2719-D2719,2)=0,1,0)</f>
        <v/>
      </c>
      <c r="J2719">
        <f>IF(F2719="","none",IF(G2719=1,"carte","multiple"))</f>
        <v/>
      </c>
    </row>
    <row r="2720">
      <c r="A2720" t="inlineStr">
        <is>
          <t>2022-07-09</t>
        </is>
      </c>
      <c r="B2720" t="inlineStr">
        <is>
          <t>18:46</t>
        </is>
      </c>
      <c r="C2720" t="n">
        <v>3001</v>
      </c>
      <c r="D2720" s="6" t="n">
        <v>6.9</v>
      </c>
      <c r="E2720" t="n">
        <v>39597</v>
      </c>
      <c r="F2720" s="6" t="n">
        <v>6.9</v>
      </c>
      <c r="G2720" t="n">
        <v>1</v>
      </c>
      <c r="H2720" s="6">
        <f>ROUND(G2720*F2720,2)</f>
        <v/>
      </c>
      <c r="I2720">
        <f>IF(ROUND(H2720-D2720,2)=0,1,0)</f>
        <v/>
      </c>
      <c r="J2720">
        <f>IF(F2720="","none",IF(G2720=1,"carte","multiple"))</f>
        <v/>
      </c>
    </row>
    <row r="2721">
      <c r="A2721" t="inlineStr">
        <is>
          <t>2022-07-09</t>
        </is>
      </c>
      <c r="B2721" t="inlineStr">
        <is>
          <t>18:46</t>
        </is>
      </c>
      <c r="C2721" t="n">
        <v>3001</v>
      </c>
      <c r="D2721" s="6" t="n">
        <v>19.9</v>
      </c>
      <c r="E2721" t="n">
        <v>39598</v>
      </c>
      <c r="F2721" s="6" t="n">
        <v>19.9</v>
      </c>
      <c r="G2721" t="n">
        <v>1</v>
      </c>
      <c r="H2721" s="6">
        <f>ROUND(G2721*F2721,2)</f>
        <v/>
      </c>
      <c r="I2721">
        <f>IF(ROUND(H2721-D2721,2)=0,1,0)</f>
        <v/>
      </c>
      <c r="J2721">
        <f>IF(F2721="","none",IF(G2721=1,"carte","multiple"))</f>
        <v/>
      </c>
    </row>
    <row r="2722">
      <c r="A2722" t="inlineStr">
        <is>
          <t>2022-07-09</t>
        </is>
      </c>
      <c r="B2722" t="inlineStr">
        <is>
          <t>18:46</t>
        </is>
      </c>
      <c r="C2722" t="n">
        <v>3001</v>
      </c>
      <c r="D2722" s="6" t="n">
        <v>3.9</v>
      </c>
      <c r="E2722" t="n">
        <v>39599</v>
      </c>
      <c r="F2722" s="6" t="n">
        <v>3.9</v>
      </c>
      <c r="G2722" t="n">
        <v>1</v>
      </c>
      <c r="H2722" s="6">
        <f>ROUND(G2722*F2722,2)</f>
        <v/>
      </c>
      <c r="I2722">
        <f>IF(ROUND(H2722-D2722,2)=0,1,0)</f>
        <v/>
      </c>
      <c r="J2722">
        <f>IF(F2722="","none",IF(G2722=1,"carte","multiple"))</f>
        <v/>
      </c>
    </row>
    <row r="2723">
      <c r="A2723" t="inlineStr">
        <is>
          <t>2022-07-09</t>
        </is>
      </c>
      <c r="B2723" t="inlineStr">
        <is>
          <t>18:46</t>
        </is>
      </c>
      <c r="C2723" t="n">
        <v>3001</v>
      </c>
      <c r="D2723" s="6" t="n">
        <v>5.9</v>
      </c>
      <c r="E2723" t="n">
        <v>39600</v>
      </c>
      <c r="F2723" s="6" t="n">
        <v>5.9</v>
      </c>
      <c r="G2723" t="n">
        <v>1</v>
      </c>
      <c r="H2723" s="6">
        <f>ROUND(G2723*F2723,2)</f>
        <v/>
      </c>
      <c r="I2723">
        <f>IF(ROUND(H2723-D2723,2)=0,1,0)</f>
        <v/>
      </c>
      <c r="J2723">
        <f>IF(F2723="","none",IF(G2723=1,"carte","multiple"))</f>
        <v/>
      </c>
    </row>
    <row r="2724">
      <c r="A2724" t="inlineStr">
        <is>
          <t>2022-07-09</t>
        </is>
      </c>
      <c r="B2724" t="inlineStr">
        <is>
          <t>18:46</t>
        </is>
      </c>
      <c r="C2724" t="n">
        <v>3001</v>
      </c>
      <c r="D2724" s="6" t="n">
        <v>6.5</v>
      </c>
      <c r="E2724" t="n">
        <v>39601</v>
      </c>
      <c r="F2724" s="6" t="n">
        <v>6.5</v>
      </c>
      <c r="G2724" t="n">
        <v>1</v>
      </c>
      <c r="H2724" s="6">
        <f>ROUND(G2724*F2724,2)</f>
        <v/>
      </c>
      <c r="I2724">
        <f>IF(ROUND(H2724-D2724,2)=0,1,0)</f>
        <v/>
      </c>
      <c r="J2724">
        <f>IF(F2724="","none",IF(G2724=1,"carte","multiple"))</f>
        <v/>
      </c>
    </row>
    <row r="2725">
      <c r="A2725" t="inlineStr">
        <is>
          <t>2022-07-09</t>
        </is>
      </c>
      <c r="B2725" t="inlineStr">
        <is>
          <t>19:04</t>
        </is>
      </c>
      <c r="C2725" t="n">
        <v>3001</v>
      </c>
      <c r="D2725" s="6" t="n">
        <v>3.9</v>
      </c>
      <c r="E2725" t="n">
        <v>39602</v>
      </c>
      <c r="F2725" s="6" t="n">
        <v>3.9</v>
      </c>
      <c r="G2725" t="n">
        <v>1</v>
      </c>
      <c r="H2725" s="6">
        <f>ROUND(G2725*F2725,2)</f>
        <v/>
      </c>
      <c r="I2725">
        <f>IF(ROUND(H2725-D2725,2)=0,1,0)</f>
        <v/>
      </c>
      <c r="J2725">
        <f>IF(F2725="","none",IF(G2725=1,"carte","multiple"))</f>
        <v/>
      </c>
    </row>
    <row r="2726">
      <c r="A2726" t="inlineStr">
        <is>
          <t>2022-07-09</t>
        </is>
      </c>
      <c r="B2726" t="inlineStr">
        <is>
          <t>19:04</t>
        </is>
      </c>
      <c r="C2726" t="n">
        <v>3001</v>
      </c>
      <c r="D2726" s="6" t="n">
        <v>31.8</v>
      </c>
      <c r="E2726" t="n">
        <v>39603</v>
      </c>
      <c r="F2726" s="6" t="n">
        <v>31.8</v>
      </c>
      <c r="G2726" t="n">
        <v>1</v>
      </c>
      <c r="H2726" s="6">
        <f>ROUND(G2726*F2726,2)</f>
        <v/>
      </c>
      <c r="I2726">
        <f>IF(ROUND(H2726-D2726,2)=0,1,0)</f>
        <v/>
      </c>
      <c r="J2726">
        <f>IF(F2726="","none",IF(G2726=1,"carte","multiple"))</f>
        <v/>
      </c>
    </row>
    <row r="2727">
      <c r="A2727" t="inlineStr">
        <is>
          <t>2022-07-09</t>
        </is>
      </c>
      <c r="B2727" t="inlineStr">
        <is>
          <t>19:04</t>
        </is>
      </c>
      <c r="C2727" t="n">
        <v>3001</v>
      </c>
      <c r="D2727" s="6" t="n">
        <v>4</v>
      </c>
      <c r="E2727" t="n">
        <v>39604</v>
      </c>
      <c r="F2727" s="6" t="n">
        <v>4</v>
      </c>
      <c r="G2727" t="n">
        <v>1</v>
      </c>
      <c r="H2727" s="6">
        <f>ROUND(G2727*F2727,2)</f>
        <v/>
      </c>
      <c r="I2727">
        <f>IF(ROUND(H2727-D2727,2)=0,1,0)</f>
        <v/>
      </c>
      <c r="J2727">
        <f>IF(F2727="","none",IF(G2727=1,"carte","multiple"))</f>
        <v/>
      </c>
    </row>
    <row r="2728">
      <c r="A2728" t="inlineStr">
        <is>
          <t>2022-07-09</t>
        </is>
      </c>
      <c r="B2728" t="inlineStr">
        <is>
          <t>19:33</t>
        </is>
      </c>
      <c r="C2728" t="n">
        <v>3001</v>
      </c>
      <c r="D2728" s="6" t="n">
        <v>17.6</v>
      </c>
      <c r="E2728" t="n">
        <v>39605</v>
      </c>
      <c r="F2728" s="6" t="n">
        <v>17.6</v>
      </c>
      <c r="G2728" t="n">
        <v>1</v>
      </c>
      <c r="H2728" s="6">
        <f>ROUND(G2728*F2728,2)</f>
        <v/>
      </c>
      <c r="I2728">
        <f>IF(ROUND(H2728-D2728,2)=0,1,0)</f>
        <v/>
      </c>
      <c r="J2728">
        <f>IF(F2728="","none",IF(G2728=1,"carte","multiple"))</f>
        <v/>
      </c>
    </row>
    <row r="2729">
      <c r="A2729" t="inlineStr">
        <is>
          <t>2022-07-09</t>
        </is>
      </c>
      <c r="B2729" t="inlineStr">
        <is>
          <t>19:33</t>
        </is>
      </c>
      <c r="C2729" t="n">
        <v>3001</v>
      </c>
      <c r="D2729" s="6" t="n">
        <v>19</v>
      </c>
      <c r="E2729" t="n">
        <v>39606</v>
      </c>
      <c r="F2729" s="6" t="n">
        <v>19</v>
      </c>
      <c r="G2729" t="n">
        <v>1</v>
      </c>
      <c r="H2729" s="6">
        <f>ROUND(G2729*F2729,2)</f>
        <v/>
      </c>
      <c r="I2729">
        <f>IF(ROUND(H2729-D2729,2)=0,1,0)</f>
        <v/>
      </c>
      <c r="J2729">
        <f>IF(F2729="","none",IF(G2729=1,"carte","multiple"))</f>
        <v/>
      </c>
    </row>
    <row r="2730">
      <c r="A2730" t="inlineStr">
        <is>
          <t>2022-07-09</t>
        </is>
      </c>
      <c r="B2730" t="inlineStr">
        <is>
          <t>19:33</t>
        </is>
      </c>
      <c r="C2730" t="n">
        <v>3001</v>
      </c>
      <c r="D2730" s="6" t="n">
        <v>3.9</v>
      </c>
      <c r="E2730" t="n">
        <v>39607</v>
      </c>
      <c r="F2730" s="6" t="n">
        <v>3.9</v>
      </c>
      <c r="G2730" t="n">
        <v>1</v>
      </c>
      <c r="H2730" s="6">
        <f>ROUND(G2730*F2730,2)</f>
        <v/>
      </c>
      <c r="I2730">
        <f>IF(ROUND(H2730-D2730,2)=0,1,0)</f>
        <v/>
      </c>
      <c r="J2730">
        <f>IF(F2730="","none",IF(G2730=1,"carte","multiple"))</f>
        <v/>
      </c>
    </row>
    <row r="2731">
      <c r="A2731" t="inlineStr">
        <is>
          <t>2022-07-09</t>
        </is>
      </c>
      <c r="B2731" t="inlineStr">
        <is>
          <t>19:33</t>
        </is>
      </c>
      <c r="C2731" t="n">
        <v>3001</v>
      </c>
      <c r="D2731" s="6" t="n">
        <v>4</v>
      </c>
      <c r="E2731" t="n">
        <v>39608</v>
      </c>
      <c r="F2731" s="6" t="n">
        <v>4</v>
      </c>
      <c r="G2731" t="n">
        <v>1</v>
      </c>
      <c r="H2731" s="6">
        <f>ROUND(G2731*F2731,2)</f>
        <v/>
      </c>
      <c r="I2731">
        <f>IF(ROUND(H2731-D2731,2)=0,1,0)</f>
        <v/>
      </c>
      <c r="J2731">
        <f>IF(F2731="","none",IF(G2731=1,"carte","multiple"))</f>
        <v/>
      </c>
    </row>
    <row r="2732">
      <c r="A2732" t="inlineStr">
        <is>
          <t>2022-07-09</t>
        </is>
      </c>
      <c r="B2732" t="inlineStr">
        <is>
          <t>19:34</t>
        </is>
      </c>
      <c r="C2732" t="n">
        <v>3001</v>
      </c>
      <c r="D2732" s="6" t="n">
        <v>13</v>
      </c>
      <c r="E2732" t="n">
        <v>39609</v>
      </c>
      <c r="F2732" s="6" t="n">
        <v>13</v>
      </c>
      <c r="G2732" t="n">
        <v>1</v>
      </c>
      <c r="H2732" s="6">
        <f>ROUND(G2732*F2732,2)</f>
        <v/>
      </c>
      <c r="I2732">
        <f>IF(ROUND(H2732-D2732,2)=0,1,0)</f>
        <v/>
      </c>
      <c r="J2732">
        <f>IF(F2732="","none",IF(G2732=1,"carte","multiple"))</f>
        <v/>
      </c>
    </row>
    <row r="2733">
      <c r="A2733" t="inlineStr">
        <is>
          <t>2022-07-09</t>
        </is>
      </c>
      <c r="B2733" t="inlineStr">
        <is>
          <t>19:35</t>
        </is>
      </c>
      <c r="C2733" t="n">
        <v>3001</v>
      </c>
      <c r="D2733" s="6" t="n">
        <v>3.9</v>
      </c>
      <c r="E2733" t="n">
        <v>39610</v>
      </c>
      <c r="F2733" s="6" t="n">
        <v>3.9</v>
      </c>
      <c r="G2733" t="n">
        <v>1</v>
      </c>
      <c r="H2733" s="6">
        <f>ROUND(G2733*F2733,2)</f>
        <v/>
      </c>
      <c r="I2733">
        <f>IF(ROUND(H2733-D2733,2)=0,1,0)</f>
        <v/>
      </c>
      <c r="J2733">
        <f>IF(F2733="","none",IF(G2733=1,"carte","multiple"))</f>
        <v/>
      </c>
    </row>
    <row r="2734">
      <c r="A2734" t="inlineStr">
        <is>
          <t>2022-07-09</t>
        </is>
      </c>
      <c r="B2734" t="inlineStr">
        <is>
          <t>19:44</t>
        </is>
      </c>
      <c r="C2734" t="n">
        <v>3001</v>
      </c>
      <c r="D2734" s="6" t="n">
        <v>1.8</v>
      </c>
      <c r="E2734" t="n">
        <v>39611</v>
      </c>
      <c r="F2734" s="6" t="n">
        <v>1.8</v>
      </c>
      <c r="G2734" t="n">
        <v>1</v>
      </c>
      <c r="H2734" s="6">
        <f>ROUND(G2734*F2734,2)</f>
        <v/>
      </c>
      <c r="I2734">
        <f>IF(ROUND(H2734-D2734,2)=0,1,0)</f>
        <v/>
      </c>
      <c r="J2734">
        <f>IF(F2734="","none",IF(G2734=1,"carte","multiple"))</f>
        <v/>
      </c>
    </row>
    <row r="2735">
      <c r="A2735" t="inlineStr">
        <is>
          <t>2022-07-09</t>
        </is>
      </c>
      <c r="B2735" t="inlineStr">
        <is>
          <t>19:44</t>
        </is>
      </c>
      <c r="C2735" t="n">
        <v>3001</v>
      </c>
      <c r="D2735" s="6" t="n">
        <v>2</v>
      </c>
      <c r="E2735" t="n">
        <v>39612</v>
      </c>
      <c r="F2735" s="6" t="n">
        <v>2</v>
      </c>
      <c r="G2735" t="n">
        <v>1</v>
      </c>
      <c r="H2735" s="6">
        <f>ROUND(G2735*F2735,2)</f>
        <v/>
      </c>
      <c r="I2735">
        <f>IF(ROUND(H2735-D2735,2)=0,1,0)</f>
        <v/>
      </c>
      <c r="J2735">
        <f>IF(F2735="","none",IF(G2735=1,"carte","multiple"))</f>
        <v/>
      </c>
    </row>
    <row r="2736">
      <c r="A2736" t="inlineStr">
        <is>
          <t>2022-07-09</t>
        </is>
      </c>
      <c r="B2736" t="inlineStr">
        <is>
          <t>19:44</t>
        </is>
      </c>
      <c r="C2736" t="n">
        <v>3001</v>
      </c>
      <c r="D2736" s="6" t="n">
        <v>20.9</v>
      </c>
      <c r="E2736" t="n">
        <v>39613</v>
      </c>
      <c r="F2736" s="6" t="n">
        <v>20.9</v>
      </c>
      <c r="G2736" t="n">
        <v>1</v>
      </c>
      <c r="H2736" s="6">
        <f>ROUND(G2736*F2736,2)</f>
        <v/>
      </c>
      <c r="I2736">
        <f>IF(ROUND(H2736-D2736,2)=0,1,0)</f>
        <v/>
      </c>
      <c r="J2736">
        <f>IF(F2736="","none",IF(G2736=1,"carte","multiple"))</f>
        <v/>
      </c>
    </row>
    <row r="2737">
      <c r="A2737" t="inlineStr">
        <is>
          <t>2022-07-09</t>
        </is>
      </c>
      <c r="B2737" t="inlineStr">
        <is>
          <t>19:44</t>
        </is>
      </c>
      <c r="C2737" t="n">
        <v>3001</v>
      </c>
      <c r="D2737" s="6" t="n">
        <v>16.9</v>
      </c>
      <c r="E2737" t="n">
        <v>39614</v>
      </c>
      <c r="F2737" s="6" t="n">
        <v>16.9</v>
      </c>
      <c r="G2737" t="n">
        <v>1</v>
      </c>
      <c r="H2737" s="6">
        <f>ROUND(G2737*F2737,2)</f>
        <v/>
      </c>
      <c r="I2737">
        <f>IF(ROUND(H2737-D2737,2)=0,1,0)</f>
        <v/>
      </c>
      <c r="J2737">
        <f>IF(F2737="","none",IF(G2737=1,"carte","multiple"))</f>
        <v/>
      </c>
    </row>
    <row r="2738">
      <c r="A2738" t="inlineStr">
        <is>
          <t>2022-07-09</t>
        </is>
      </c>
      <c r="B2738" t="inlineStr">
        <is>
          <t>19:44</t>
        </is>
      </c>
      <c r="C2738" t="n">
        <v>3001</v>
      </c>
      <c r="D2738" s="6" t="n">
        <v>3.6</v>
      </c>
      <c r="E2738" t="n">
        <v>39615</v>
      </c>
      <c r="F2738" s="6" t="n">
        <v>3.6</v>
      </c>
      <c r="G2738" t="n">
        <v>1</v>
      </c>
      <c r="H2738" s="6">
        <f>ROUND(G2738*F2738,2)</f>
        <v/>
      </c>
      <c r="I2738">
        <f>IF(ROUND(H2738-D2738,2)=0,1,0)</f>
        <v/>
      </c>
      <c r="J2738">
        <f>IF(F2738="","none",IF(G2738=1,"carte","multiple"))</f>
        <v/>
      </c>
    </row>
    <row r="2739">
      <c r="A2739" t="inlineStr">
        <is>
          <t>2022-07-09</t>
        </is>
      </c>
      <c r="B2739" t="inlineStr">
        <is>
          <t>19:44</t>
        </is>
      </c>
      <c r="C2739" t="n">
        <v>3001</v>
      </c>
      <c r="D2739" s="6" t="n">
        <v>5.2</v>
      </c>
      <c r="E2739" t="n">
        <v>39616</v>
      </c>
      <c r="F2739" s="6" t="n">
        <v>5.2</v>
      </c>
      <c r="G2739" t="n">
        <v>1</v>
      </c>
      <c r="H2739" s="6">
        <f>ROUND(G2739*F2739,2)</f>
        <v/>
      </c>
      <c r="I2739">
        <f>IF(ROUND(H2739-D2739,2)=0,1,0)</f>
        <v/>
      </c>
      <c r="J2739">
        <f>IF(F2739="","none",IF(G2739=1,"carte","multiple"))</f>
        <v/>
      </c>
    </row>
    <row r="2740">
      <c r="A2740" t="inlineStr">
        <is>
          <t>2022-07-09</t>
        </is>
      </c>
      <c r="B2740" t="inlineStr">
        <is>
          <t>20:22</t>
        </is>
      </c>
      <c r="C2740" t="n">
        <v>3001</v>
      </c>
      <c r="D2740" s="6" t="n">
        <v>11.6</v>
      </c>
      <c r="E2740" t="n">
        <v>39617</v>
      </c>
      <c r="F2740" s="6" t="n">
        <v>11.6</v>
      </c>
      <c r="G2740" t="n">
        <v>1</v>
      </c>
      <c r="H2740" s="6">
        <f>ROUND(G2740*F2740,2)</f>
        <v/>
      </c>
      <c r="I2740">
        <f>IF(ROUND(H2740-D2740,2)=0,1,0)</f>
        <v/>
      </c>
      <c r="J2740">
        <f>IF(F2740="","none",IF(G2740=1,"carte","multiple"))</f>
        <v/>
      </c>
    </row>
    <row r="2741">
      <c r="A2741" t="inlineStr">
        <is>
          <t>2022-07-09</t>
        </is>
      </c>
      <c r="B2741" t="inlineStr">
        <is>
          <t>20:22</t>
        </is>
      </c>
      <c r="C2741" t="n">
        <v>3001</v>
      </c>
      <c r="D2741" s="6" t="n">
        <v>16.4</v>
      </c>
      <c r="E2741" t="n">
        <v>39618</v>
      </c>
      <c r="F2741" s="6" t="n">
        <v>16.4</v>
      </c>
      <c r="G2741" t="n">
        <v>1</v>
      </c>
      <c r="H2741" s="6">
        <f>ROUND(G2741*F2741,2)</f>
        <v/>
      </c>
      <c r="I2741">
        <f>IF(ROUND(H2741-D2741,2)=0,1,0)</f>
        <v/>
      </c>
      <c r="J2741">
        <f>IF(F2741="","none",IF(G2741=1,"carte","multiple"))</f>
        <v/>
      </c>
    </row>
    <row r="2742">
      <c r="A2742" t="inlineStr">
        <is>
          <t>2022-07-09</t>
        </is>
      </c>
      <c r="B2742" t="inlineStr">
        <is>
          <t>20:22</t>
        </is>
      </c>
      <c r="C2742" t="n">
        <v>3001</v>
      </c>
      <c r="D2742" s="6" t="n">
        <v>4.9</v>
      </c>
      <c r="E2742" t="n">
        <v>39619</v>
      </c>
      <c r="F2742" s="6" t="n">
        <v>4.9</v>
      </c>
      <c r="G2742" t="n">
        <v>1</v>
      </c>
      <c r="H2742" s="6">
        <f>ROUND(G2742*F2742,2)</f>
        <v/>
      </c>
      <c r="I2742">
        <f>IF(ROUND(H2742-D2742,2)=0,1,0)</f>
        <v/>
      </c>
      <c r="J2742">
        <f>IF(F2742="","none",IF(G2742=1,"carte","multiple"))</f>
        <v/>
      </c>
    </row>
    <row r="2743">
      <c r="A2743" t="inlineStr">
        <is>
          <t>2022-07-09</t>
        </is>
      </c>
      <c r="B2743" t="inlineStr">
        <is>
          <t>20:22</t>
        </is>
      </c>
      <c r="C2743" t="n">
        <v>3001</v>
      </c>
      <c r="D2743" s="6" t="n">
        <v>4.2</v>
      </c>
      <c r="E2743" t="n">
        <v>39620</v>
      </c>
      <c r="F2743" s="6" t="n">
        <v>4.2</v>
      </c>
      <c r="G2743" t="n">
        <v>1</v>
      </c>
      <c r="H2743" s="6">
        <f>ROUND(G2743*F2743,2)</f>
        <v/>
      </c>
      <c r="I2743">
        <f>IF(ROUND(H2743-D2743,2)=0,1,0)</f>
        <v/>
      </c>
      <c r="J2743">
        <f>IF(F2743="","none",IF(G2743=1,"carte","multiple"))</f>
        <v/>
      </c>
    </row>
    <row r="2744">
      <c r="A2744" t="inlineStr">
        <is>
          <t>2022-07-09</t>
        </is>
      </c>
      <c r="B2744" t="inlineStr">
        <is>
          <t>20:36</t>
        </is>
      </c>
      <c r="C2744" t="n">
        <v>3001</v>
      </c>
      <c r="D2744" s="6" t="n">
        <v>4.4</v>
      </c>
      <c r="E2744" t="n">
        <v>39621</v>
      </c>
      <c r="F2744" s="6" t="n">
        <v>0.4</v>
      </c>
      <c r="G2744" t="n">
        <v>11</v>
      </c>
      <c r="H2744" s="6">
        <f>ROUND(G2744*F2744,2)</f>
        <v/>
      </c>
      <c r="I2744">
        <f>IF(ROUND(H2744-D2744,2)=0,1,0)</f>
        <v/>
      </c>
      <c r="J2744">
        <f>IF(F2744="","none",IF(G2744=1,"carte","multiple"))</f>
        <v/>
      </c>
    </row>
    <row r="2745">
      <c r="A2745" t="inlineStr">
        <is>
          <t>2022-07-09</t>
        </is>
      </c>
      <c r="B2745" t="inlineStr">
        <is>
          <t>20:36</t>
        </is>
      </c>
      <c r="C2745" t="n">
        <v>3001</v>
      </c>
      <c r="D2745" s="6" t="n">
        <v>19.9</v>
      </c>
      <c r="E2745" t="n">
        <v>39622</v>
      </c>
      <c r="F2745" s="6" t="n">
        <v>19.9</v>
      </c>
      <c r="G2745" t="n">
        <v>1</v>
      </c>
      <c r="H2745" s="6">
        <f>ROUND(G2745*F2745,2)</f>
        <v/>
      </c>
      <c r="I2745">
        <f>IF(ROUND(H2745-D2745,2)=0,1,0)</f>
        <v/>
      </c>
      <c r="J2745">
        <f>IF(F2745="","none",IF(G2745=1,"carte","multiple"))</f>
        <v/>
      </c>
    </row>
    <row r="2746">
      <c r="A2746" t="inlineStr">
        <is>
          <t>2022-07-09</t>
        </is>
      </c>
      <c r="B2746" t="inlineStr">
        <is>
          <t>20:36</t>
        </is>
      </c>
      <c r="C2746" t="n">
        <v>3001</v>
      </c>
      <c r="D2746" s="6" t="n">
        <v>17.6</v>
      </c>
      <c r="E2746" t="n">
        <v>39623</v>
      </c>
      <c r="F2746" s="6" t="n">
        <v>17.6</v>
      </c>
      <c r="G2746" t="n">
        <v>1</v>
      </c>
      <c r="H2746" s="6">
        <f>ROUND(G2746*F2746,2)</f>
        <v/>
      </c>
      <c r="I2746">
        <f>IF(ROUND(H2746-D2746,2)=0,1,0)</f>
        <v/>
      </c>
      <c r="J2746">
        <f>IF(F2746="","none",IF(G2746=1,"carte","multiple"))</f>
        <v/>
      </c>
    </row>
    <row r="2747">
      <c r="A2747" t="inlineStr">
        <is>
          <t>2022-07-09</t>
        </is>
      </c>
      <c r="B2747" t="inlineStr">
        <is>
          <t>20:36</t>
        </is>
      </c>
      <c r="C2747" t="n">
        <v>3001</v>
      </c>
      <c r="D2747" s="6" t="n">
        <v>30</v>
      </c>
      <c r="E2747" t="n">
        <v>39624</v>
      </c>
      <c r="F2747" s="6" t="n">
        <v>30</v>
      </c>
      <c r="G2747" t="n">
        <v>1</v>
      </c>
      <c r="H2747" s="6">
        <f>ROUND(G2747*F2747,2)</f>
        <v/>
      </c>
      <c r="I2747">
        <f>IF(ROUND(H2747-D2747,2)=0,1,0)</f>
        <v/>
      </c>
      <c r="J2747">
        <f>IF(F2747="","none",IF(G2747=1,"carte","multiple"))</f>
        <v/>
      </c>
    </row>
    <row r="2748">
      <c r="A2748" t="inlineStr">
        <is>
          <t>2022-07-10</t>
        </is>
      </c>
      <c r="B2748" t="inlineStr">
        <is>
          <t>12:12</t>
        </is>
      </c>
      <c r="C2748" t="n">
        <v>3002</v>
      </c>
      <c r="D2748" s="6" t="n">
        <v>28</v>
      </c>
      <c r="E2748" t="n">
        <v>39627</v>
      </c>
      <c r="F2748" s="6" t="n">
        <v>28</v>
      </c>
      <c r="G2748" t="n">
        <v>1</v>
      </c>
      <c r="H2748" s="6">
        <f>ROUND(G2748*F2748,2)</f>
        <v/>
      </c>
      <c r="I2748">
        <f>IF(ROUND(H2748-D2748,2)=0,1,0)</f>
        <v/>
      </c>
      <c r="J2748">
        <f>IF(F2748="","none",IF(G2748=1,"carte","multiple"))</f>
        <v/>
      </c>
    </row>
    <row r="2749">
      <c r="A2749" t="inlineStr">
        <is>
          <t>2022-07-10</t>
        </is>
      </c>
      <c r="B2749" t="inlineStr">
        <is>
          <t>12:58</t>
        </is>
      </c>
      <c r="C2749" t="n">
        <v>3002</v>
      </c>
      <c r="D2749" s="6" t="n">
        <v>29.9</v>
      </c>
      <c r="E2749" t="n">
        <v>39628</v>
      </c>
      <c r="F2749" s="6" t="n">
        <v>29.9</v>
      </c>
      <c r="G2749" t="n">
        <v>1</v>
      </c>
      <c r="H2749" s="6">
        <f>ROUND(G2749*F2749,2)</f>
        <v/>
      </c>
      <c r="I2749">
        <f>IF(ROUND(H2749-D2749,2)=0,1,0)</f>
        <v/>
      </c>
      <c r="J2749">
        <f>IF(F2749="","none",IF(G2749=1,"carte","multiple"))</f>
        <v/>
      </c>
    </row>
    <row r="2750">
      <c r="A2750" t="inlineStr">
        <is>
          <t>2022-07-10</t>
        </is>
      </c>
      <c r="B2750" t="inlineStr">
        <is>
          <t>12:58</t>
        </is>
      </c>
      <c r="C2750" t="n">
        <v>3002</v>
      </c>
      <c r="D2750" s="6" t="n">
        <v>3.9</v>
      </c>
      <c r="E2750" t="n">
        <v>39629</v>
      </c>
      <c r="F2750" s="6" t="n">
        <v>3.9</v>
      </c>
      <c r="G2750" t="n">
        <v>1</v>
      </c>
      <c r="H2750" s="6">
        <f>ROUND(G2750*F2750,2)</f>
        <v/>
      </c>
      <c r="I2750">
        <f>IF(ROUND(H2750-D2750,2)=0,1,0)</f>
        <v/>
      </c>
      <c r="J2750">
        <f>IF(F2750="","none",IF(G2750=1,"carte","multiple"))</f>
        <v/>
      </c>
    </row>
    <row r="2751">
      <c r="A2751" t="inlineStr">
        <is>
          <t>2022-07-10</t>
        </is>
      </c>
      <c r="B2751" t="inlineStr">
        <is>
          <t>12:58</t>
        </is>
      </c>
      <c r="C2751" t="n">
        <v>3002</v>
      </c>
      <c r="D2751" s="6" t="n">
        <v>17.6</v>
      </c>
      <c r="E2751" t="n">
        <v>39630</v>
      </c>
      <c r="F2751" s="6" t="n">
        <v>17.6</v>
      </c>
      <c r="G2751" t="n">
        <v>1</v>
      </c>
      <c r="H2751" s="6">
        <f>ROUND(G2751*F2751,2)</f>
        <v/>
      </c>
      <c r="I2751">
        <f>IF(ROUND(H2751-D2751,2)=0,1,0)</f>
        <v/>
      </c>
      <c r="J2751">
        <f>IF(F2751="","none",IF(G2751=1,"carte","multiple"))</f>
        <v/>
      </c>
    </row>
    <row r="2752">
      <c r="A2752" t="inlineStr">
        <is>
          <t>2022-07-10</t>
        </is>
      </c>
      <c r="B2752" t="inlineStr">
        <is>
          <t>12:58</t>
        </is>
      </c>
      <c r="C2752" t="n">
        <v>3002</v>
      </c>
      <c r="D2752" s="6" t="n">
        <v>17.6</v>
      </c>
      <c r="E2752" t="n">
        <v>39631</v>
      </c>
      <c r="F2752" s="6" t="n">
        <v>17.6</v>
      </c>
      <c r="G2752" t="n">
        <v>1</v>
      </c>
      <c r="H2752" s="6">
        <f>ROUND(G2752*F2752,2)</f>
        <v/>
      </c>
      <c r="I2752">
        <f>IF(ROUND(H2752-D2752,2)=0,1,0)</f>
        <v/>
      </c>
      <c r="J2752">
        <f>IF(F2752="","none",IF(G2752=1,"carte","multiple"))</f>
        <v/>
      </c>
    </row>
    <row r="2753">
      <c r="A2753" t="inlineStr">
        <is>
          <t>2022-07-10</t>
        </is>
      </c>
      <c r="B2753" t="inlineStr">
        <is>
          <t>12:58</t>
        </is>
      </c>
      <c r="C2753" t="n">
        <v>3002</v>
      </c>
      <c r="D2753" s="6" t="n">
        <v>6.9</v>
      </c>
      <c r="E2753" t="n">
        <v>39632</v>
      </c>
      <c r="F2753" s="6" t="n">
        <v>6.9</v>
      </c>
      <c r="G2753" t="n">
        <v>1</v>
      </c>
      <c r="H2753" s="6">
        <f>ROUND(G2753*F2753,2)</f>
        <v/>
      </c>
      <c r="I2753">
        <f>IF(ROUND(H2753-D2753,2)=0,1,0)</f>
        <v/>
      </c>
      <c r="J2753">
        <f>IF(F2753="","none",IF(G2753=1,"carte","multiple"))</f>
        <v/>
      </c>
    </row>
    <row r="2754">
      <c r="A2754" t="inlineStr">
        <is>
          <t>2022-07-10</t>
        </is>
      </c>
      <c r="B2754" t="inlineStr">
        <is>
          <t>12:58</t>
        </is>
      </c>
      <c r="C2754" t="n">
        <v>3002</v>
      </c>
      <c r="D2754" s="6" t="n">
        <v>4.4</v>
      </c>
      <c r="E2754" t="n">
        <v>39633</v>
      </c>
      <c r="F2754" s="6" t="n">
        <v>0.4</v>
      </c>
      <c r="G2754" t="n">
        <v>11</v>
      </c>
      <c r="H2754" s="6">
        <f>ROUND(G2754*F2754,2)</f>
        <v/>
      </c>
      <c r="I2754">
        <f>IF(ROUND(H2754-D2754,2)=0,1,0)</f>
        <v/>
      </c>
      <c r="J2754">
        <f>IF(F2754="","none",IF(G2754=1,"carte","multiple"))</f>
        <v/>
      </c>
    </row>
    <row r="2755">
      <c r="A2755" t="inlineStr">
        <is>
          <t>2022-07-10</t>
        </is>
      </c>
      <c r="B2755" t="inlineStr">
        <is>
          <t>13:03</t>
        </is>
      </c>
      <c r="C2755" t="n">
        <v>3002</v>
      </c>
      <c r="D2755" s="6" t="n">
        <v>2.2</v>
      </c>
      <c r="E2755" t="n">
        <v>39634</v>
      </c>
      <c r="F2755" s="6" t="n">
        <v>2.2</v>
      </c>
      <c r="G2755" t="n">
        <v>1</v>
      </c>
      <c r="H2755" s="6">
        <f>ROUND(G2755*F2755,2)</f>
        <v/>
      </c>
      <c r="I2755">
        <f>IF(ROUND(H2755-D2755,2)=0,1,0)</f>
        <v/>
      </c>
      <c r="J2755">
        <f>IF(F2755="","none",IF(G2755=1,"carte","multiple"))</f>
        <v/>
      </c>
    </row>
    <row r="2756">
      <c r="A2756" t="inlineStr">
        <is>
          <t>2022-07-10</t>
        </is>
      </c>
      <c r="B2756" t="inlineStr">
        <is>
          <t>13:03</t>
        </is>
      </c>
      <c r="C2756" t="n">
        <v>3002</v>
      </c>
      <c r="D2756" s="6" t="n">
        <v>7.5</v>
      </c>
      <c r="E2756" t="n">
        <v>39635</v>
      </c>
      <c r="F2756" s="6" t="n">
        <v>7.5</v>
      </c>
      <c r="G2756" t="n">
        <v>1</v>
      </c>
      <c r="H2756" s="6">
        <f>ROUND(G2756*F2756,2)</f>
        <v/>
      </c>
      <c r="I2756">
        <f>IF(ROUND(H2756-D2756,2)=0,1,0)</f>
        <v/>
      </c>
      <c r="J2756">
        <f>IF(F2756="","none",IF(G2756=1,"carte","multiple"))</f>
        <v/>
      </c>
    </row>
    <row r="2757">
      <c r="A2757" t="inlineStr">
        <is>
          <t>2022-07-10</t>
        </is>
      </c>
      <c r="B2757" t="inlineStr">
        <is>
          <t>13:03</t>
        </is>
      </c>
      <c r="C2757" t="n">
        <v>3002</v>
      </c>
      <c r="D2757" s="6" t="n">
        <v>6.9</v>
      </c>
      <c r="E2757" t="n">
        <v>39636</v>
      </c>
      <c r="F2757" s="6" t="n">
        <v>6.9</v>
      </c>
      <c r="G2757" t="n">
        <v>1</v>
      </c>
      <c r="H2757" s="6">
        <f>ROUND(G2757*F2757,2)</f>
        <v/>
      </c>
      <c r="I2757">
        <f>IF(ROUND(H2757-D2757,2)=0,1,0)</f>
        <v/>
      </c>
      <c r="J2757">
        <f>IF(F2757="","none",IF(G2757=1,"carte","multiple"))</f>
        <v/>
      </c>
    </row>
    <row r="2758">
      <c r="A2758" t="inlineStr">
        <is>
          <t>2022-07-10</t>
        </is>
      </c>
      <c r="B2758" t="inlineStr">
        <is>
          <t>13:03</t>
        </is>
      </c>
      <c r="C2758" t="n">
        <v>3002</v>
      </c>
      <c r="D2758" s="6" t="n">
        <v>35.2</v>
      </c>
      <c r="E2758" t="n">
        <v>39637</v>
      </c>
      <c r="F2758" s="6" t="n">
        <v>0.4</v>
      </c>
      <c r="G2758" t="n">
        <v>88</v>
      </c>
      <c r="H2758" s="6">
        <f>ROUND(G2758*F2758,2)</f>
        <v/>
      </c>
      <c r="I2758">
        <f>IF(ROUND(H2758-D2758,2)=0,1,0)</f>
        <v/>
      </c>
      <c r="J2758">
        <f>IF(F2758="","none",IF(G2758=1,"carte","multiple"))</f>
        <v/>
      </c>
    </row>
    <row r="2759">
      <c r="A2759" t="inlineStr">
        <is>
          <t>2022-07-10</t>
        </is>
      </c>
      <c r="B2759" t="inlineStr">
        <is>
          <t>13:03</t>
        </is>
      </c>
      <c r="C2759" t="n">
        <v>3002</v>
      </c>
      <c r="D2759" s="6" t="n">
        <v>3.9</v>
      </c>
      <c r="E2759" t="n">
        <v>39638</v>
      </c>
      <c r="F2759" s="6" t="n">
        <v>3.9</v>
      </c>
      <c r="G2759" t="n">
        <v>1</v>
      </c>
      <c r="H2759" s="6">
        <f>ROUND(G2759*F2759,2)</f>
        <v/>
      </c>
      <c r="I2759">
        <f>IF(ROUND(H2759-D2759,2)=0,1,0)</f>
        <v/>
      </c>
      <c r="J2759">
        <f>IF(F2759="","none",IF(G2759=1,"carte","multiple"))</f>
        <v/>
      </c>
    </row>
    <row r="2760">
      <c r="A2760" t="inlineStr">
        <is>
          <t>2022-07-10</t>
        </is>
      </c>
      <c r="B2760" t="inlineStr">
        <is>
          <t>13:03</t>
        </is>
      </c>
      <c r="C2760" t="n">
        <v>3002</v>
      </c>
      <c r="D2760" s="6" t="n">
        <v>3.9</v>
      </c>
      <c r="E2760" t="n">
        <v>39639</v>
      </c>
      <c r="F2760" s="6" t="n">
        <v>3.9</v>
      </c>
      <c r="G2760" t="n">
        <v>1</v>
      </c>
      <c r="H2760" s="6">
        <f>ROUND(G2760*F2760,2)</f>
        <v/>
      </c>
      <c r="I2760">
        <f>IF(ROUND(H2760-D2760,2)=0,1,0)</f>
        <v/>
      </c>
      <c r="J2760">
        <f>IF(F2760="","none",IF(G2760=1,"carte","multiple"))</f>
        <v/>
      </c>
    </row>
    <row r="2761">
      <c r="A2761" t="inlineStr">
        <is>
          <t>2022-07-10</t>
        </is>
      </c>
      <c r="B2761" t="inlineStr">
        <is>
          <t>13:17</t>
        </is>
      </c>
      <c r="C2761" t="n">
        <v>3002</v>
      </c>
      <c r="D2761" s="6" t="n">
        <v>17.6</v>
      </c>
      <c r="E2761" t="n">
        <v>39640</v>
      </c>
      <c r="F2761" s="6" t="n">
        <v>17.6</v>
      </c>
      <c r="G2761" t="n">
        <v>1</v>
      </c>
      <c r="H2761" s="6">
        <f>ROUND(G2761*F2761,2)</f>
        <v/>
      </c>
      <c r="I2761">
        <f>IF(ROUND(H2761-D2761,2)=0,1,0)</f>
        <v/>
      </c>
      <c r="J2761">
        <f>IF(F2761="","none",IF(G2761=1,"carte","multiple"))</f>
        <v/>
      </c>
    </row>
    <row r="2762">
      <c r="A2762" t="inlineStr">
        <is>
          <t>2022-07-10</t>
        </is>
      </c>
      <c r="B2762" t="inlineStr">
        <is>
          <t>13:17</t>
        </is>
      </c>
      <c r="C2762" t="n">
        <v>3002</v>
      </c>
      <c r="D2762" s="6" t="n">
        <v>9.800000000000001</v>
      </c>
      <c r="E2762" t="n">
        <v>39641</v>
      </c>
      <c r="F2762" s="6" t="n">
        <v>9.800000000000001</v>
      </c>
      <c r="G2762" t="n">
        <v>1</v>
      </c>
      <c r="H2762" s="6">
        <f>ROUND(G2762*F2762,2)</f>
        <v/>
      </c>
      <c r="I2762">
        <f>IF(ROUND(H2762-D2762,2)=0,1,0)</f>
        <v/>
      </c>
      <c r="J2762">
        <f>IF(F2762="","none",IF(G2762=1,"carte","multiple"))</f>
        <v/>
      </c>
    </row>
    <row r="2763">
      <c r="A2763" t="inlineStr">
        <is>
          <t>2022-07-10</t>
        </is>
      </c>
      <c r="B2763" t="inlineStr">
        <is>
          <t>18:35</t>
        </is>
      </c>
      <c r="C2763" t="n">
        <v>3002</v>
      </c>
      <c r="D2763" s="6" t="n">
        <v>32</v>
      </c>
      <c r="E2763" t="n">
        <v>39642</v>
      </c>
      <c r="F2763" s="6" t="n">
        <v>32</v>
      </c>
      <c r="G2763" t="n">
        <v>1</v>
      </c>
      <c r="H2763" s="6">
        <f>ROUND(G2763*F2763,2)</f>
        <v/>
      </c>
      <c r="I2763">
        <f>IF(ROUND(H2763-D2763,2)=0,1,0)</f>
        <v/>
      </c>
      <c r="J2763">
        <f>IF(F2763="","none",IF(G2763=1,"carte","multiple"))</f>
        <v/>
      </c>
    </row>
    <row r="2764">
      <c r="A2764" t="inlineStr">
        <is>
          <t>2022-07-10</t>
        </is>
      </c>
      <c r="B2764" t="inlineStr">
        <is>
          <t>19:10</t>
        </is>
      </c>
      <c r="C2764" t="n">
        <v>3002</v>
      </c>
      <c r="D2764" s="6" t="n">
        <v>4.8</v>
      </c>
      <c r="E2764" t="n">
        <v>39643</v>
      </c>
      <c r="F2764" s="6" t="n">
        <v>0.4</v>
      </c>
      <c r="G2764" t="n">
        <v>12</v>
      </c>
      <c r="H2764" s="6">
        <f>ROUND(G2764*F2764,2)</f>
        <v/>
      </c>
      <c r="I2764">
        <f>IF(ROUND(H2764-D2764,2)=0,1,0)</f>
        <v/>
      </c>
      <c r="J2764">
        <f>IF(F2764="","none",IF(G2764=1,"carte","multiple"))</f>
        <v/>
      </c>
    </row>
    <row r="2765">
      <c r="A2765" t="inlineStr">
        <is>
          <t>2022-07-10</t>
        </is>
      </c>
      <c r="B2765" t="inlineStr">
        <is>
          <t>19:10</t>
        </is>
      </c>
      <c r="C2765" t="n">
        <v>3002</v>
      </c>
      <c r="D2765" s="6" t="n">
        <v>31.8</v>
      </c>
      <c r="E2765" t="n">
        <v>39644</v>
      </c>
      <c r="F2765" s="6" t="n">
        <v>31.8</v>
      </c>
      <c r="G2765" t="n">
        <v>1</v>
      </c>
      <c r="H2765" s="6">
        <f>ROUND(G2765*F2765,2)</f>
        <v/>
      </c>
      <c r="I2765">
        <f>IF(ROUND(H2765-D2765,2)=0,1,0)</f>
        <v/>
      </c>
      <c r="J2765">
        <f>IF(F2765="","none",IF(G2765=1,"carte","multiple"))</f>
        <v/>
      </c>
    </row>
    <row r="2766">
      <c r="A2766" t="inlineStr">
        <is>
          <t>2022-07-10</t>
        </is>
      </c>
      <c r="B2766" t="inlineStr">
        <is>
          <t>19:10</t>
        </is>
      </c>
      <c r="C2766" t="n">
        <v>3002</v>
      </c>
      <c r="D2766" s="6" t="n">
        <v>3.9</v>
      </c>
      <c r="E2766" t="n">
        <v>39645</v>
      </c>
      <c r="F2766" s="6" t="n">
        <v>3.9</v>
      </c>
      <c r="G2766" t="n">
        <v>1</v>
      </c>
      <c r="H2766" s="6">
        <f>ROUND(G2766*F2766,2)</f>
        <v/>
      </c>
      <c r="I2766">
        <f>IF(ROUND(H2766-D2766,2)=0,1,0)</f>
        <v/>
      </c>
      <c r="J2766">
        <f>IF(F2766="","none",IF(G2766=1,"carte","multiple"))</f>
        <v/>
      </c>
    </row>
    <row r="2767">
      <c r="A2767" t="inlineStr">
        <is>
          <t>2022-07-10</t>
        </is>
      </c>
      <c r="B2767" t="inlineStr">
        <is>
          <t>19:10</t>
        </is>
      </c>
      <c r="C2767" t="n">
        <v>3002</v>
      </c>
      <c r="D2767" s="6" t="n">
        <v>2.2</v>
      </c>
      <c r="E2767" t="n">
        <v>39646</v>
      </c>
      <c r="F2767" s="6" t="n">
        <v>2.2</v>
      </c>
      <c r="G2767" t="n">
        <v>1</v>
      </c>
      <c r="H2767" s="6">
        <f>ROUND(G2767*F2767,2)</f>
        <v/>
      </c>
      <c r="I2767">
        <f>IF(ROUND(H2767-D2767,2)=0,1,0)</f>
        <v/>
      </c>
      <c r="J2767">
        <f>IF(F2767="","none",IF(G2767=1,"carte","multiple"))</f>
        <v/>
      </c>
    </row>
    <row r="2768">
      <c r="A2768" t="inlineStr">
        <is>
          <t>2022-07-10</t>
        </is>
      </c>
      <c r="B2768" t="inlineStr">
        <is>
          <t>19:25</t>
        </is>
      </c>
      <c r="C2768" t="n">
        <v>3002</v>
      </c>
      <c r="D2768" s="6" t="n">
        <v>64</v>
      </c>
      <c r="E2768" t="n">
        <v>39647</v>
      </c>
      <c r="F2768" s="6" t="n">
        <v>64</v>
      </c>
      <c r="G2768" t="n">
        <v>1</v>
      </c>
      <c r="H2768" s="6">
        <f>ROUND(G2768*F2768,2)</f>
        <v/>
      </c>
      <c r="I2768">
        <f>IF(ROUND(H2768-D2768,2)=0,1,0)</f>
        <v/>
      </c>
      <c r="J2768">
        <f>IF(F2768="","none",IF(G2768=1,"carte","multiple"))</f>
        <v/>
      </c>
    </row>
    <row r="2769">
      <c r="A2769" t="inlineStr">
        <is>
          <t>2022-07-10</t>
        </is>
      </c>
      <c r="B2769" t="inlineStr">
        <is>
          <t>19:25</t>
        </is>
      </c>
      <c r="C2769" t="n">
        <v>3002</v>
      </c>
      <c r="D2769" s="6" t="n">
        <v>3.9</v>
      </c>
      <c r="E2769" t="n">
        <v>39648</v>
      </c>
      <c r="F2769" s="6" t="n">
        <v>3.9</v>
      </c>
      <c r="G2769" t="n">
        <v>1</v>
      </c>
      <c r="H2769" s="6">
        <f>ROUND(G2769*F2769,2)</f>
        <v/>
      </c>
      <c r="I2769">
        <f>IF(ROUND(H2769-D2769,2)=0,1,0)</f>
        <v/>
      </c>
      <c r="J2769">
        <f>IF(F2769="","none",IF(G2769=1,"carte","multiple"))</f>
        <v/>
      </c>
    </row>
    <row r="2770">
      <c r="A2770" t="inlineStr">
        <is>
          <t>2022-07-10</t>
        </is>
      </c>
      <c r="B2770" t="inlineStr">
        <is>
          <t>19:25</t>
        </is>
      </c>
      <c r="C2770" t="n">
        <v>3002</v>
      </c>
      <c r="D2770" s="6" t="n">
        <v>3.9</v>
      </c>
      <c r="E2770" t="n">
        <v>39649</v>
      </c>
      <c r="F2770" s="6" t="n">
        <v>3.9</v>
      </c>
      <c r="G2770" t="n">
        <v>1</v>
      </c>
      <c r="H2770" s="6">
        <f>ROUND(G2770*F2770,2)</f>
        <v/>
      </c>
      <c r="I2770">
        <f>IF(ROUND(H2770-D2770,2)=0,1,0)</f>
        <v/>
      </c>
      <c r="J2770">
        <f>IF(F2770="","none",IF(G2770=1,"carte","multiple"))</f>
        <v/>
      </c>
    </row>
    <row r="2771">
      <c r="A2771" t="inlineStr">
        <is>
          <t>2022-07-10</t>
        </is>
      </c>
      <c r="B2771" t="inlineStr">
        <is>
          <t>19:25</t>
        </is>
      </c>
      <c r="C2771" t="n">
        <v>3002</v>
      </c>
      <c r="D2771" s="6" t="n">
        <v>19</v>
      </c>
      <c r="E2771" t="n">
        <v>39650</v>
      </c>
      <c r="F2771" s="6" t="n">
        <v>19</v>
      </c>
      <c r="G2771" t="n">
        <v>1</v>
      </c>
      <c r="H2771" s="6">
        <f>ROUND(G2771*F2771,2)</f>
        <v/>
      </c>
      <c r="I2771">
        <f>IF(ROUND(H2771-D2771,2)=0,1,0)</f>
        <v/>
      </c>
      <c r="J2771">
        <f>IF(F2771="","none",IF(G2771=1,"carte","multiple"))</f>
        <v/>
      </c>
    </row>
    <row r="2772">
      <c r="A2772" t="inlineStr">
        <is>
          <t>2022-07-10</t>
        </is>
      </c>
      <c r="B2772" t="inlineStr">
        <is>
          <t>19:25</t>
        </is>
      </c>
      <c r="C2772" t="n">
        <v>3002</v>
      </c>
      <c r="D2772" s="6" t="n">
        <v>19.9</v>
      </c>
      <c r="E2772" t="n">
        <v>39651</v>
      </c>
      <c r="F2772" s="6" t="n">
        <v>19.9</v>
      </c>
      <c r="G2772" t="n">
        <v>1</v>
      </c>
      <c r="H2772" s="6">
        <f>ROUND(G2772*F2772,2)</f>
        <v/>
      </c>
      <c r="I2772">
        <f>IF(ROUND(H2772-D2772,2)=0,1,0)</f>
        <v/>
      </c>
      <c r="J2772">
        <f>IF(F2772="","none",IF(G2772=1,"carte","multiple"))</f>
        <v/>
      </c>
    </row>
    <row r="2773">
      <c r="A2773" t="inlineStr">
        <is>
          <t>2022-07-10</t>
        </is>
      </c>
      <c r="B2773" t="inlineStr">
        <is>
          <t>19:25</t>
        </is>
      </c>
      <c r="C2773" t="n">
        <v>3002</v>
      </c>
      <c r="D2773" s="6" t="n">
        <v>12</v>
      </c>
      <c r="E2773" t="n">
        <v>39652</v>
      </c>
      <c r="F2773" s="6" t="n">
        <v>12</v>
      </c>
      <c r="G2773" t="n">
        <v>1</v>
      </c>
      <c r="H2773" s="6">
        <f>ROUND(G2773*F2773,2)</f>
        <v/>
      </c>
      <c r="I2773">
        <f>IF(ROUND(H2773-D2773,2)=0,1,0)</f>
        <v/>
      </c>
      <c r="J2773">
        <f>IF(F2773="","none",IF(G2773=1,"carte","multiple"))</f>
        <v/>
      </c>
    </row>
    <row r="2774">
      <c r="A2774" t="inlineStr">
        <is>
          <t>2022-07-10</t>
        </is>
      </c>
      <c r="B2774" t="inlineStr">
        <is>
          <t>19:44</t>
        </is>
      </c>
      <c r="C2774" t="n">
        <v>3002</v>
      </c>
      <c r="D2774" s="6" t="n">
        <v>3.8</v>
      </c>
      <c r="E2774" t="n">
        <v>39653</v>
      </c>
      <c r="F2774" s="6" t="n">
        <v>3.8</v>
      </c>
      <c r="G2774" t="n">
        <v>1</v>
      </c>
      <c r="H2774" s="6">
        <f>ROUND(G2774*F2774,2)</f>
        <v/>
      </c>
      <c r="I2774">
        <f>IF(ROUND(H2774-D2774,2)=0,1,0)</f>
        <v/>
      </c>
      <c r="J2774">
        <f>IF(F2774="","none",IF(G2774=1,"carte","multiple"))</f>
        <v/>
      </c>
    </row>
    <row r="2775">
      <c r="A2775" t="inlineStr">
        <is>
          <t>2022-07-10</t>
        </is>
      </c>
      <c r="B2775" t="inlineStr">
        <is>
          <t>19:44</t>
        </is>
      </c>
      <c r="C2775" t="n">
        <v>3002</v>
      </c>
      <c r="D2775" s="6" t="n">
        <v>2.2</v>
      </c>
      <c r="E2775" t="n">
        <v>39654</v>
      </c>
      <c r="F2775" s="6" t="n">
        <v>2.2</v>
      </c>
      <c r="G2775" t="n">
        <v>1</v>
      </c>
      <c r="H2775" s="6">
        <f>ROUND(G2775*F2775,2)</f>
        <v/>
      </c>
      <c r="I2775">
        <f>IF(ROUND(H2775-D2775,2)=0,1,0)</f>
        <v/>
      </c>
      <c r="J2775">
        <f>IF(F2775="","none",IF(G2775=1,"carte","multiple"))</f>
        <v/>
      </c>
    </row>
    <row r="2776">
      <c r="A2776" t="inlineStr">
        <is>
          <t>2022-07-10</t>
        </is>
      </c>
      <c r="B2776" t="inlineStr">
        <is>
          <t>19:44</t>
        </is>
      </c>
      <c r="C2776" t="n">
        <v>3002</v>
      </c>
      <c r="D2776" s="6" t="n">
        <v>17.6</v>
      </c>
      <c r="E2776" t="n">
        <v>39655</v>
      </c>
      <c r="F2776" s="6" t="n">
        <v>17.6</v>
      </c>
      <c r="G2776" t="n">
        <v>1</v>
      </c>
      <c r="H2776" s="6">
        <f>ROUND(G2776*F2776,2)</f>
        <v/>
      </c>
      <c r="I2776">
        <f>IF(ROUND(H2776-D2776,2)=0,1,0)</f>
        <v/>
      </c>
      <c r="J2776">
        <f>IF(F2776="","none",IF(G2776=1,"carte","multiple"))</f>
        <v/>
      </c>
    </row>
    <row r="2777">
      <c r="A2777" t="inlineStr">
        <is>
          <t>2022-07-10</t>
        </is>
      </c>
      <c r="B2777" t="inlineStr">
        <is>
          <t>19:44</t>
        </is>
      </c>
      <c r="C2777" t="n">
        <v>3002</v>
      </c>
      <c r="D2777" s="6" t="n">
        <v>19</v>
      </c>
      <c r="E2777" t="n">
        <v>39656</v>
      </c>
      <c r="F2777" s="6" t="n">
        <v>19</v>
      </c>
      <c r="G2777" t="n">
        <v>1</v>
      </c>
      <c r="H2777" s="6">
        <f>ROUND(G2777*F2777,2)</f>
        <v/>
      </c>
      <c r="I2777">
        <f>IF(ROUND(H2777-D2777,2)=0,1,0)</f>
        <v/>
      </c>
      <c r="J2777">
        <f>IF(F2777="","none",IF(G2777=1,"carte","multiple"))</f>
        <v/>
      </c>
    </row>
    <row r="2778">
      <c r="A2778" t="inlineStr">
        <is>
          <t>2022-07-10</t>
        </is>
      </c>
      <c r="B2778" t="inlineStr">
        <is>
          <t>19:44</t>
        </is>
      </c>
      <c r="C2778" t="n">
        <v>3002</v>
      </c>
      <c r="D2778" s="6" t="n">
        <v>30</v>
      </c>
      <c r="E2778" t="n">
        <v>39657</v>
      </c>
      <c r="F2778" s="6" t="n">
        <v>30</v>
      </c>
      <c r="G2778" t="n">
        <v>1</v>
      </c>
      <c r="H2778" s="6">
        <f>ROUND(G2778*F2778,2)</f>
        <v/>
      </c>
      <c r="I2778">
        <f>IF(ROUND(H2778-D2778,2)=0,1,0)</f>
        <v/>
      </c>
      <c r="J2778">
        <f>IF(F2778="","none",IF(G2778=1,"carte","multiple"))</f>
        <v/>
      </c>
    </row>
    <row r="2779">
      <c r="A2779" t="inlineStr">
        <is>
          <t>2022-07-10</t>
        </is>
      </c>
      <c r="B2779" t="inlineStr">
        <is>
          <t>19:44</t>
        </is>
      </c>
      <c r="C2779" t="n">
        <v>3002</v>
      </c>
      <c r="D2779" s="6" t="n">
        <v>4.9</v>
      </c>
      <c r="E2779" t="n">
        <v>39658</v>
      </c>
      <c r="F2779" s="6" t="n">
        <v>4.9</v>
      </c>
      <c r="G2779" t="n">
        <v>1</v>
      </c>
      <c r="H2779" s="6">
        <f>ROUND(G2779*F2779,2)</f>
        <v/>
      </c>
      <c r="I2779">
        <f>IF(ROUND(H2779-D2779,2)=0,1,0)</f>
        <v/>
      </c>
      <c r="J2779">
        <f>IF(F2779="","none",IF(G2779=1,"carte","multiple"))</f>
        <v/>
      </c>
    </row>
    <row r="2780">
      <c r="A2780" t="inlineStr">
        <is>
          <t>2022-07-10</t>
        </is>
      </c>
      <c r="B2780" t="inlineStr">
        <is>
          <t>19:44</t>
        </is>
      </c>
      <c r="C2780" t="n">
        <v>3002</v>
      </c>
      <c r="D2780" s="6" t="n">
        <v>9</v>
      </c>
      <c r="E2780" t="n">
        <v>39659</v>
      </c>
      <c r="F2780" s="6" t="n">
        <v>9</v>
      </c>
      <c r="G2780" t="n">
        <v>1</v>
      </c>
      <c r="H2780" s="6">
        <f>ROUND(G2780*F2780,2)</f>
        <v/>
      </c>
      <c r="I2780">
        <f>IF(ROUND(H2780-D2780,2)=0,1,0)</f>
        <v/>
      </c>
      <c r="J2780">
        <f>IF(F2780="","none",IF(G2780=1,"carte","multiple"))</f>
        <v/>
      </c>
    </row>
    <row r="2781">
      <c r="A2781" t="inlineStr">
        <is>
          <t>2022-07-10</t>
        </is>
      </c>
      <c r="B2781" t="inlineStr">
        <is>
          <t>20:35</t>
        </is>
      </c>
      <c r="C2781" t="n">
        <v>3002</v>
      </c>
      <c r="D2781" s="6" t="n">
        <v>3.9</v>
      </c>
      <c r="E2781" t="n">
        <v>39660</v>
      </c>
      <c r="F2781" s="6" t="n">
        <v>3.9</v>
      </c>
      <c r="G2781" t="n">
        <v>1</v>
      </c>
      <c r="H2781" s="6">
        <f>ROUND(G2781*F2781,2)</f>
        <v/>
      </c>
      <c r="I2781">
        <f>IF(ROUND(H2781-D2781,2)=0,1,0)</f>
        <v/>
      </c>
      <c r="J2781">
        <f>IF(F2781="","none",IF(G2781=1,"carte","multiple"))</f>
        <v/>
      </c>
    </row>
    <row r="2782">
      <c r="A2782" t="inlineStr">
        <is>
          <t>2022-07-10</t>
        </is>
      </c>
      <c r="B2782" t="inlineStr">
        <is>
          <t>20:35</t>
        </is>
      </c>
      <c r="C2782" t="n">
        <v>3002</v>
      </c>
      <c r="D2782" s="6" t="n">
        <v>4.4</v>
      </c>
      <c r="E2782" t="n">
        <v>39661</v>
      </c>
      <c r="F2782" s="6" t="n">
        <v>0.4</v>
      </c>
      <c r="G2782" t="n">
        <v>11</v>
      </c>
      <c r="H2782" s="6">
        <f>ROUND(G2782*F2782,2)</f>
        <v/>
      </c>
      <c r="I2782">
        <f>IF(ROUND(H2782-D2782,2)=0,1,0)</f>
        <v/>
      </c>
      <c r="J2782">
        <f>IF(F2782="","none",IF(G2782=1,"carte","multiple"))</f>
        <v/>
      </c>
    </row>
    <row r="2783">
      <c r="A2783" t="inlineStr">
        <is>
          <t>2022-07-10</t>
        </is>
      </c>
      <c r="B2783" t="inlineStr">
        <is>
          <t>20:35</t>
        </is>
      </c>
      <c r="C2783" t="n">
        <v>3002</v>
      </c>
      <c r="D2783" s="6" t="n">
        <v>35.2</v>
      </c>
      <c r="E2783" t="n">
        <v>39662</v>
      </c>
      <c r="F2783" s="6" t="n">
        <v>0.4</v>
      </c>
      <c r="G2783" t="n">
        <v>88</v>
      </c>
      <c r="H2783" s="6">
        <f>ROUND(G2783*F2783,2)</f>
        <v/>
      </c>
      <c r="I2783">
        <f>IF(ROUND(H2783-D2783,2)=0,1,0)</f>
        <v/>
      </c>
      <c r="J2783">
        <f>IF(F2783="","none",IF(G2783=1,"carte","multiple"))</f>
        <v/>
      </c>
    </row>
    <row r="2784">
      <c r="A2784" t="inlineStr">
        <is>
          <t>2022-07-10</t>
        </is>
      </c>
      <c r="B2784" t="inlineStr">
        <is>
          <t>20:35</t>
        </is>
      </c>
      <c r="C2784" t="n">
        <v>3002</v>
      </c>
      <c r="D2784" s="6" t="n">
        <v>17.6</v>
      </c>
      <c r="E2784" t="n">
        <v>39663</v>
      </c>
      <c r="F2784" s="6" t="n">
        <v>17.6</v>
      </c>
      <c r="G2784" t="n">
        <v>1</v>
      </c>
      <c r="H2784" s="6">
        <f>ROUND(G2784*F2784,2)</f>
        <v/>
      </c>
      <c r="I2784">
        <f>IF(ROUND(H2784-D2784,2)=0,1,0)</f>
        <v/>
      </c>
      <c r="J2784">
        <f>IF(F2784="","none",IF(G2784=1,"carte","multiple"))</f>
        <v/>
      </c>
    </row>
    <row r="2785">
      <c r="A2785" t="inlineStr">
        <is>
          <t>2022-07-10</t>
        </is>
      </c>
      <c r="B2785" t="inlineStr">
        <is>
          <t>20:35</t>
        </is>
      </c>
      <c r="C2785" t="n">
        <v>3002</v>
      </c>
      <c r="D2785" s="6" t="n">
        <v>19</v>
      </c>
      <c r="E2785" t="n">
        <v>39664</v>
      </c>
      <c r="F2785" s="6" t="n">
        <v>19</v>
      </c>
      <c r="G2785" t="n">
        <v>1</v>
      </c>
      <c r="H2785" s="6">
        <f>ROUND(G2785*F2785,2)</f>
        <v/>
      </c>
      <c r="I2785">
        <f>IF(ROUND(H2785-D2785,2)=0,1,0)</f>
        <v/>
      </c>
      <c r="J2785">
        <f>IF(F2785="","none",IF(G2785=1,"carte","multiple"))</f>
        <v/>
      </c>
    </row>
    <row r="2786">
      <c r="A2786" t="inlineStr">
        <is>
          <t>2022-07-10</t>
        </is>
      </c>
      <c r="B2786" t="inlineStr">
        <is>
          <t>20:35</t>
        </is>
      </c>
      <c r="C2786" t="n">
        <v>3002</v>
      </c>
      <c r="D2786" s="6" t="n">
        <v>9.800000000000001</v>
      </c>
      <c r="E2786" t="n">
        <v>39665</v>
      </c>
      <c r="F2786" s="6" t="n">
        <v>9.800000000000001</v>
      </c>
      <c r="G2786" t="n">
        <v>1</v>
      </c>
      <c r="H2786" s="6">
        <f>ROUND(G2786*F2786,2)</f>
        <v/>
      </c>
      <c r="I2786">
        <f>IF(ROUND(H2786-D2786,2)=0,1,0)</f>
        <v/>
      </c>
      <c r="J2786">
        <f>IF(F2786="","none",IF(G2786=1,"carte","multiple"))</f>
        <v/>
      </c>
    </row>
    <row r="2787">
      <c r="A2787" t="inlineStr">
        <is>
          <t>2022-07-10</t>
        </is>
      </c>
      <c r="B2787" t="inlineStr">
        <is>
          <t>20:35</t>
        </is>
      </c>
      <c r="C2787" t="n">
        <v>3002</v>
      </c>
      <c r="D2787" s="6" t="n">
        <v>3.9</v>
      </c>
      <c r="E2787" t="n">
        <v>39666</v>
      </c>
      <c r="F2787" s="6" t="n">
        <v>3.9</v>
      </c>
      <c r="G2787" t="n">
        <v>1</v>
      </c>
      <c r="H2787" s="6">
        <f>ROUND(G2787*F2787,2)</f>
        <v/>
      </c>
      <c r="I2787">
        <f>IF(ROUND(H2787-D2787,2)=0,1,0)</f>
        <v/>
      </c>
      <c r="J2787">
        <f>IF(F2787="","none",IF(G2787=1,"carte","multiple"))</f>
        <v/>
      </c>
    </row>
    <row r="2788">
      <c r="A2788" t="inlineStr">
        <is>
          <t>2022-07-12</t>
        </is>
      </c>
      <c r="B2788" t="inlineStr">
        <is>
          <t>10:55</t>
        </is>
      </c>
      <c r="C2788" t="n">
        <v>3003</v>
      </c>
      <c r="D2788" s="6" t="n">
        <v>29.9</v>
      </c>
      <c r="E2788" t="n">
        <v>39669</v>
      </c>
      <c r="F2788" s="6" t="n">
        <v>29.9</v>
      </c>
      <c r="G2788" t="n">
        <v>1</v>
      </c>
      <c r="H2788" s="6">
        <f>ROUND(G2788*F2788,2)</f>
        <v/>
      </c>
      <c r="I2788">
        <f>IF(ROUND(H2788-D2788,2)=0,1,0)</f>
        <v/>
      </c>
      <c r="J2788">
        <f>IF(F2788="","none",IF(G2788=1,"carte","multiple"))</f>
        <v/>
      </c>
    </row>
    <row r="2789">
      <c r="A2789" t="inlineStr">
        <is>
          <t>2022-07-12</t>
        </is>
      </c>
      <c r="B2789" t="inlineStr">
        <is>
          <t>11:24</t>
        </is>
      </c>
      <c r="C2789" t="n">
        <v>3003</v>
      </c>
      <c r="D2789" s="6" t="n">
        <v>11</v>
      </c>
      <c r="E2789" t="n">
        <v>39670</v>
      </c>
      <c r="F2789" s="6" t="n">
        <v>11</v>
      </c>
      <c r="G2789" t="n">
        <v>1</v>
      </c>
      <c r="H2789" s="6">
        <f>ROUND(G2789*F2789,2)</f>
        <v/>
      </c>
      <c r="I2789">
        <f>IF(ROUND(H2789-D2789,2)=0,1,0)</f>
        <v/>
      </c>
      <c r="J2789">
        <f>IF(F2789="","none",IF(G2789=1,"carte","multiple"))</f>
        <v/>
      </c>
    </row>
    <row r="2790">
      <c r="A2790" t="inlineStr">
        <is>
          <t>2022-07-12</t>
        </is>
      </c>
      <c r="B2790" t="inlineStr">
        <is>
          <t>11:24</t>
        </is>
      </c>
      <c r="C2790" t="n">
        <v>3003</v>
      </c>
      <c r="D2790" s="6" t="n">
        <v>4</v>
      </c>
      <c r="E2790" t="n">
        <v>39671</v>
      </c>
      <c r="F2790" s="6" t="n">
        <v>4</v>
      </c>
      <c r="G2790" t="n">
        <v>1</v>
      </c>
      <c r="H2790" s="6">
        <f>ROUND(G2790*F2790,2)</f>
        <v/>
      </c>
      <c r="I2790">
        <f>IF(ROUND(H2790-D2790,2)=0,1,0)</f>
        <v/>
      </c>
      <c r="J2790">
        <f>IF(F2790="","none",IF(G2790=1,"carte","multiple"))</f>
        <v/>
      </c>
    </row>
    <row r="2791">
      <c r="A2791" t="inlineStr">
        <is>
          <t>2022-07-12</t>
        </is>
      </c>
      <c r="B2791" t="inlineStr">
        <is>
          <t>11:48</t>
        </is>
      </c>
      <c r="C2791" t="n">
        <v>3003</v>
      </c>
      <c r="D2791" s="6" t="n">
        <v>4</v>
      </c>
      <c r="E2791" t="n">
        <v>39672</v>
      </c>
      <c r="F2791" s="6" t="n">
        <v>4</v>
      </c>
      <c r="G2791" t="n">
        <v>1</v>
      </c>
      <c r="H2791" s="6">
        <f>ROUND(G2791*F2791,2)</f>
        <v/>
      </c>
      <c r="I2791">
        <f>IF(ROUND(H2791-D2791,2)=0,1,0)</f>
        <v/>
      </c>
      <c r="J2791">
        <f>IF(F2791="","none",IF(G2791=1,"carte","multiple"))</f>
        <v/>
      </c>
    </row>
    <row r="2792">
      <c r="A2792" t="inlineStr">
        <is>
          <t>2022-07-12</t>
        </is>
      </c>
      <c r="B2792" t="inlineStr">
        <is>
          <t>12:01</t>
        </is>
      </c>
      <c r="C2792" t="n">
        <v>3003</v>
      </c>
      <c r="D2792" s="6" t="n">
        <v>4.4</v>
      </c>
      <c r="E2792" t="n">
        <v>39673</v>
      </c>
      <c r="F2792" s="6" t="n">
        <v>0.4</v>
      </c>
      <c r="G2792" t="n">
        <v>11</v>
      </c>
      <c r="H2792" s="6">
        <f>ROUND(G2792*F2792,2)</f>
        <v/>
      </c>
      <c r="I2792">
        <f>IF(ROUND(H2792-D2792,2)=0,1,0)</f>
        <v/>
      </c>
      <c r="J2792">
        <f>IF(F2792="","none",IF(G2792=1,"carte","multiple"))</f>
        <v/>
      </c>
    </row>
    <row r="2793">
      <c r="A2793" t="inlineStr">
        <is>
          <t>2022-07-12</t>
        </is>
      </c>
      <c r="B2793" t="inlineStr">
        <is>
          <t>12:01</t>
        </is>
      </c>
      <c r="C2793" t="n">
        <v>3003</v>
      </c>
      <c r="D2793" s="6" t="n">
        <v>9.699999999999999</v>
      </c>
      <c r="E2793" t="n">
        <v>39674</v>
      </c>
      <c r="F2793" s="6" t="n">
        <v>9.699999999999999</v>
      </c>
      <c r="G2793" t="n">
        <v>1</v>
      </c>
      <c r="H2793" s="6">
        <f>ROUND(G2793*F2793,2)</f>
        <v/>
      </c>
      <c r="I2793">
        <f>IF(ROUND(H2793-D2793,2)=0,1,0)</f>
        <v/>
      </c>
      <c r="J2793">
        <f>IF(F2793="","none",IF(G2793=1,"carte","multiple"))</f>
        <v/>
      </c>
    </row>
    <row r="2794">
      <c r="A2794" t="inlineStr">
        <is>
          <t>2022-07-12</t>
        </is>
      </c>
      <c r="B2794" t="inlineStr">
        <is>
          <t>12:01</t>
        </is>
      </c>
      <c r="C2794" t="n">
        <v>3003</v>
      </c>
      <c r="D2794" s="6" t="n">
        <v>25.5</v>
      </c>
      <c r="E2794" t="n">
        <v>39675</v>
      </c>
      <c r="F2794" s="6" t="n">
        <v>0.5</v>
      </c>
      <c r="G2794" t="n">
        <v>51</v>
      </c>
      <c r="H2794" s="6">
        <f>ROUND(G2794*F2794,2)</f>
        <v/>
      </c>
      <c r="I2794">
        <f>IF(ROUND(H2794-D2794,2)=0,1,0)</f>
        <v/>
      </c>
      <c r="J2794">
        <f>IF(F2794="","none",IF(G2794=1,"carte","multiple"))</f>
        <v/>
      </c>
    </row>
    <row r="2795">
      <c r="A2795" t="inlineStr">
        <is>
          <t>2022-07-12</t>
        </is>
      </c>
      <c r="B2795" t="inlineStr">
        <is>
          <t>12:01</t>
        </is>
      </c>
      <c r="C2795" t="n">
        <v>3003</v>
      </c>
      <c r="D2795" s="6" t="n">
        <v>1.8</v>
      </c>
      <c r="E2795" t="n">
        <v>39676</v>
      </c>
      <c r="F2795" s="6" t="n">
        <v>1.8</v>
      </c>
      <c r="G2795" t="n">
        <v>1</v>
      </c>
      <c r="H2795" s="6">
        <f>ROUND(G2795*F2795,2)</f>
        <v/>
      </c>
      <c r="I2795">
        <f>IF(ROUND(H2795-D2795,2)=0,1,0)</f>
        <v/>
      </c>
      <c r="J2795">
        <f>IF(F2795="","none",IF(G2795=1,"carte","multiple"))</f>
        <v/>
      </c>
    </row>
    <row r="2796">
      <c r="A2796" t="inlineStr">
        <is>
          <t>2022-07-12</t>
        </is>
      </c>
      <c r="B2796" t="inlineStr">
        <is>
          <t>12:01</t>
        </is>
      </c>
      <c r="C2796" t="n">
        <v>3003</v>
      </c>
      <c r="D2796" s="6" t="n">
        <v>43.2</v>
      </c>
      <c r="E2796" t="n">
        <v>39677</v>
      </c>
      <c r="F2796" s="6" t="n">
        <v>0.4</v>
      </c>
      <c r="G2796" t="n">
        <v>108</v>
      </c>
      <c r="H2796" s="6">
        <f>ROUND(G2796*F2796,2)</f>
        <v/>
      </c>
      <c r="I2796">
        <f>IF(ROUND(H2796-D2796,2)=0,1,0)</f>
        <v/>
      </c>
      <c r="J2796">
        <f>IF(F2796="","none",IF(G2796=1,"carte","multiple"))</f>
        <v/>
      </c>
    </row>
    <row r="2797">
      <c r="A2797" t="inlineStr">
        <is>
          <t>2022-07-12</t>
        </is>
      </c>
      <c r="B2797" t="inlineStr">
        <is>
          <t>12:01</t>
        </is>
      </c>
      <c r="C2797" t="n">
        <v>3003</v>
      </c>
      <c r="D2797" s="6" t="n">
        <v>19</v>
      </c>
      <c r="E2797" t="n">
        <v>39678</v>
      </c>
      <c r="F2797" s="6" t="n">
        <v>19</v>
      </c>
      <c r="G2797" t="n">
        <v>1</v>
      </c>
      <c r="H2797" s="6">
        <f>ROUND(G2797*F2797,2)</f>
        <v/>
      </c>
      <c r="I2797">
        <f>IF(ROUND(H2797-D2797,2)=0,1,0)</f>
        <v/>
      </c>
      <c r="J2797">
        <f>IF(F2797="","none",IF(G2797=1,"carte","multiple"))</f>
        <v/>
      </c>
    </row>
    <row r="2798">
      <c r="A2798" t="inlineStr">
        <is>
          <t>2022-07-12</t>
        </is>
      </c>
      <c r="B2798" t="inlineStr">
        <is>
          <t>12:01</t>
        </is>
      </c>
      <c r="C2798" t="n">
        <v>3003</v>
      </c>
      <c r="D2798" s="6" t="n">
        <v>35.2</v>
      </c>
      <c r="E2798" t="n">
        <v>39679</v>
      </c>
      <c r="F2798" s="6" t="n">
        <v>0.4</v>
      </c>
      <c r="G2798" t="n">
        <v>88</v>
      </c>
      <c r="H2798" s="6">
        <f>ROUND(G2798*F2798,2)</f>
        <v/>
      </c>
      <c r="I2798">
        <f>IF(ROUND(H2798-D2798,2)=0,1,0)</f>
        <v/>
      </c>
      <c r="J2798">
        <f>IF(F2798="","none",IF(G2798=1,"carte","multiple"))</f>
        <v/>
      </c>
    </row>
    <row r="2799">
      <c r="A2799" t="inlineStr">
        <is>
          <t>2022-07-12</t>
        </is>
      </c>
      <c r="B2799" t="inlineStr">
        <is>
          <t>12:01</t>
        </is>
      </c>
      <c r="C2799" t="n">
        <v>3003</v>
      </c>
      <c r="D2799" s="6" t="n">
        <v>15.9</v>
      </c>
      <c r="E2799" t="n">
        <v>39680</v>
      </c>
      <c r="F2799" s="6" t="n">
        <v>15.9</v>
      </c>
      <c r="G2799" t="n">
        <v>1</v>
      </c>
      <c r="H2799" s="6">
        <f>ROUND(G2799*F2799,2)</f>
        <v/>
      </c>
      <c r="I2799">
        <f>IF(ROUND(H2799-D2799,2)=0,1,0)</f>
        <v/>
      </c>
      <c r="J2799">
        <f>IF(F2799="","none",IF(G2799=1,"carte","multiple"))</f>
        <v/>
      </c>
    </row>
    <row r="2800">
      <c r="A2800" t="inlineStr">
        <is>
          <t>2022-07-12</t>
        </is>
      </c>
      <c r="B2800" t="inlineStr">
        <is>
          <t>12:01</t>
        </is>
      </c>
      <c r="C2800" t="n">
        <v>3003</v>
      </c>
      <c r="D2800" s="6" t="n">
        <v>4.9</v>
      </c>
      <c r="E2800" t="n">
        <v>39681</v>
      </c>
      <c r="F2800" s="6" t="n">
        <v>4.9</v>
      </c>
      <c r="G2800" t="n">
        <v>1</v>
      </c>
      <c r="H2800" s="6">
        <f>ROUND(G2800*F2800,2)</f>
        <v/>
      </c>
      <c r="I2800">
        <f>IF(ROUND(H2800-D2800,2)=0,1,0)</f>
        <v/>
      </c>
      <c r="J2800">
        <f>IF(F2800="","none",IF(G2800=1,"carte","multiple"))</f>
        <v/>
      </c>
    </row>
    <row r="2801">
      <c r="A2801" t="inlineStr">
        <is>
          <t>2022-07-12</t>
        </is>
      </c>
      <c r="B2801" t="inlineStr">
        <is>
          <t>12:01</t>
        </is>
      </c>
      <c r="C2801" t="n">
        <v>3003</v>
      </c>
      <c r="D2801" s="6" t="n">
        <v>3.9</v>
      </c>
      <c r="E2801" t="n">
        <v>39682</v>
      </c>
      <c r="F2801" s="6" t="n">
        <v>3.9</v>
      </c>
      <c r="G2801" t="n">
        <v>1</v>
      </c>
      <c r="H2801" s="6">
        <f>ROUND(G2801*F2801,2)</f>
        <v/>
      </c>
      <c r="I2801">
        <f>IF(ROUND(H2801-D2801,2)=0,1,0)</f>
        <v/>
      </c>
      <c r="J2801">
        <f>IF(F2801="","none",IF(G2801=1,"carte","multiple"))</f>
        <v/>
      </c>
    </row>
    <row r="2802">
      <c r="A2802" t="inlineStr">
        <is>
          <t>2022-07-12</t>
        </is>
      </c>
      <c r="B2802" t="inlineStr">
        <is>
          <t>12:01</t>
        </is>
      </c>
      <c r="C2802" t="n">
        <v>3003</v>
      </c>
      <c r="D2802" s="6" t="n">
        <v>3.9</v>
      </c>
      <c r="E2802" t="n">
        <v>39683</v>
      </c>
      <c r="F2802" s="6" t="n">
        <v>3.9</v>
      </c>
      <c r="G2802" t="n">
        <v>1</v>
      </c>
      <c r="H2802" s="6">
        <f>ROUND(G2802*F2802,2)</f>
        <v/>
      </c>
      <c r="I2802">
        <f>IF(ROUND(H2802-D2802,2)=0,1,0)</f>
        <v/>
      </c>
      <c r="J2802">
        <f>IF(F2802="","none",IF(G2802=1,"carte","multiple"))</f>
        <v/>
      </c>
    </row>
    <row r="2803">
      <c r="A2803" t="inlineStr">
        <is>
          <t>2022-07-12</t>
        </is>
      </c>
      <c r="B2803" t="inlineStr">
        <is>
          <t>12:01</t>
        </is>
      </c>
      <c r="C2803" t="n">
        <v>3003</v>
      </c>
      <c r="D2803" s="6" t="n">
        <v>15.8</v>
      </c>
      <c r="E2803" t="n">
        <v>39684</v>
      </c>
      <c r="F2803" s="6" t="n">
        <v>7.9</v>
      </c>
      <c r="G2803" t="n">
        <v>2</v>
      </c>
      <c r="H2803" s="6">
        <f>ROUND(G2803*F2803,2)</f>
        <v/>
      </c>
      <c r="I2803">
        <f>IF(ROUND(H2803-D2803,2)=0,1,0)</f>
        <v/>
      </c>
      <c r="J2803">
        <f>IF(F2803="","none",IF(G2803=1,"carte","multiple"))</f>
        <v/>
      </c>
    </row>
    <row r="2804">
      <c r="A2804" t="inlineStr">
        <is>
          <t>2022-07-12</t>
        </is>
      </c>
      <c r="B2804" t="inlineStr">
        <is>
          <t>12:01</t>
        </is>
      </c>
      <c r="C2804" t="n">
        <v>3003</v>
      </c>
      <c r="D2804" s="6" t="n">
        <v>3.9</v>
      </c>
      <c r="E2804" t="n">
        <v>39685</v>
      </c>
      <c r="F2804" s="6" t="n">
        <v>3.9</v>
      </c>
      <c r="G2804" t="n">
        <v>1</v>
      </c>
      <c r="H2804" s="6">
        <f>ROUND(G2804*F2804,2)</f>
        <v/>
      </c>
      <c r="I2804">
        <f>IF(ROUND(H2804-D2804,2)=0,1,0)</f>
        <v/>
      </c>
      <c r="J2804">
        <f>IF(F2804="","none",IF(G2804=1,"carte","multiple"))</f>
        <v/>
      </c>
    </row>
    <row r="2805">
      <c r="A2805" t="inlineStr">
        <is>
          <t>2022-07-12</t>
        </is>
      </c>
      <c r="B2805" t="inlineStr">
        <is>
          <t>12:44</t>
        </is>
      </c>
      <c r="C2805" t="n">
        <v>3003</v>
      </c>
      <c r="D2805" s="6" t="n">
        <v>1.8</v>
      </c>
      <c r="E2805" t="n">
        <v>39686</v>
      </c>
      <c r="F2805" s="6" t="n">
        <v>1.8</v>
      </c>
      <c r="G2805" t="n">
        <v>1</v>
      </c>
      <c r="H2805" s="6">
        <f>ROUND(G2805*F2805,2)</f>
        <v/>
      </c>
      <c r="I2805">
        <f>IF(ROUND(H2805-D2805,2)=0,1,0)</f>
        <v/>
      </c>
      <c r="J2805">
        <f>IF(F2805="","none",IF(G2805=1,"carte","multiple"))</f>
        <v/>
      </c>
    </row>
    <row r="2806">
      <c r="A2806" t="inlineStr">
        <is>
          <t>2022-07-12</t>
        </is>
      </c>
      <c r="B2806" t="inlineStr">
        <is>
          <t>18:26</t>
        </is>
      </c>
      <c r="C2806" t="n">
        <v>3003</v>
      </c>
      <c r="D2806" s="6" t="n">
        <v>6.9</v>
      </c>
      <c r="E2806" t="n">
        <v>39688</v>
      </c>
      <c r="F2806" s="6" t="n">
        <v>6.9</v>
      </c>
      <c r="G2806" t="n">
        <v>1</v>
      </c>
      <c r="H2806" s="6">
        <f>ROUND(G2806*F2806,2)</f>
        <v/>
      </c>
      <c r="I2806">
        <f>IF(ROUND(H2806-D2806,2)=0,1,0)</f>
        <v/>
      </c>
      <c r="J2806">
        <f>IF(F2806="","none",IF(G2806=1,"carte","multiple"))</f>
        <v/>
      </c>
    </row>
    <row r="2807">
      <c r="A2807" t="inlineStr">
        <is>
          <t>2022-07-12</t>
        </is>
      </c>
      <c r="B2807" t="inlineStr">
        <is>
          <t>18:41</t>
        </is>
      </c>
      <c r="C2807" t="n">
        <v>3003</v>
      </c>
      <c r="D2807" s="6" t="n">
        <v>36</v>
      </c>
      <c r="E2807" t="n">
        <v>39689</v>
      </c>
      <c r="F2807" s="6" t="n">
        <v>36</v>
      </c>
      <c r="G2807" t="n">
        <v>1</v>
      </c>
      <c r="H2807" s="6">
        <f>ROUND(G2807*F2807,2)</f>
        <v/>
      </c>
      <c r="I2807">
        <f>IF(ROUND(H2807-D2807,2)=0,1,0)</f>
        <v/>
      </c>
      <c r="J2807">
        <f>IF(F2807="","none",IF(G2807=1,"carte","multiple"))</f>
        <v/>
      </c>
    </row>
    <row r="2808">
      <c r="A2808" t="inlineStr">
        <is>
          <t>2022-07-12</t>
        </is>
      </c>
      <c r="B2808" t="inlineStr">
        <is>
          <t>18:49</t>
        </is>
      </c>
      <c r="C2808" t="n">
        <v>3003</v>
      </c>
      <c r="D2808" s="6" t="n">
        <v>3.9</v>
      </c>
      <c r="E2808" t="n">
        <v>39690</v>
      </c>
      <c r="F2808" s="6" t="n">
        <v>3.9</v>
      </c>
      <c r="G2808" t="n">
        <v>1</v>
      </c>
      <c r="H2808" s="6">
        <f>ROUND(G2808*F2808,2)</f>
        <v/>
      </c>
      <c r="I2808">
        <f>IF(ROUND(H2808-D2808,2)=0,1,0)</f>
        <v/>
      </c>
      <c r="J2808">
        <f>IF(F2808="","none",IF(G2808=1,"carte","multiple"))</f>
        <v/>
      </c>
    </row>
    <row r="2809">
      <c r="A2809" t="inlineStr">
        <is>
          <t>2022-07-12</t>
        </is>
      </c>
      <c r="B2809" t="inlineStr">
        <is>
          <t>18:49</t>
        </is>
      </c>
      <c r="C2809" t="n">
        <v>3003</v>
      </c>
      <c r="D2809" s="6" t="n">
        <v>2.5</v>
      </c>
      <c r="E2809" t="n">
        <v>39691</v>
      </c>
      <c r="F2809" s="6" t="n">
        <v>2.5</v>
      </c>
      <c r="G2809" t="n">
        <v>1</v>
      </c>
      <c r="H2809" s="6">
        <f>ROUND(G2809*F2809,2)</f>
        <v/>
      </c>
      <c r="I2809">
        <f>IF(ROUND(H2809-D2809,2)=0,1,0)</f>
        <v/>
      </c>
      <c r="J2809">
        <f>IF(F2809="","none",IF(G2809=1,"carte","multiple"))</f>
        <v/>
      </c>
    </row>
    <row r="2810">
      <c r="A2810" t="inlineStr">
        <is>
          <t>2022-07-12</t>
        </is>
      </c>
      <c r="B2810" t="inlineStr">
        <is>
          <t>19:01</t>
        </is>
      </c>
      <c r="C2810" t="n">
        <v>3003</v>
      </c>
      <c r="D2810" s="6" t="n">
        <v>5.8</v>
      </c>
      <c r="E2810" t="n">
        <v>39692</v>
      </c>
      <c r="F2810" s="6" t="n">
        <v>5.8</v>
      </c>
      <c r="G2810" t="n">
        <v>1</v>
      </c>
      <c r="H2810" s="6">
        <f>ROUND(G2810*F2810,2)</f>
        <v/>
      </c>
      <c r="I2810">
        <f>IF(ROUND(H2810-D2810,2)=0,1,0)</f>
        <v/>
      </c>
      <c r="J2810">
        <f>IF(F2810="","none",IF(G2810=1,"carte","multiple"))</f>
        <v/>
      </c>
    </row>
    <row r="2811">
      <c r="A2811" t="inlineStr">
        <is>
          <t>2022-07-12</t>
        </is>
      </c>
      <c r="B2811" t="inlineStr">
        <is>
          <t>19:01</t>
        </is>
      </c>
      <c r="C2811" t="n">
        <v>3003</v>
      </c>
      <c r="D2811" s="6" t="n">
        <v>3.6</v>
      </c>
      <c r="E2811" t="n">
        <v>39693</v>
      </c>
      <c r="F2811" s="6" t="n">
        <v>3.6</v>
      </c>
      <c r="G2811" t="n">
        <v>1</v>
      </c>
      <c r="H2811" s="6">
        <f>ROUND(G2811*F2811,2)</f>
        <v/>
      </c>
      <c r="I2811">
        <f>IF(ROUND(H2811-D2811,2)=0,1,0)</f>
        <v/>
      </c>
      <c r="J2811">
        <f>IF(F2811="","none",IF(G2811=1,"carte","multiple"))</f>
        <v/>
      </c>
    </row>
    <row r="2812">
      <c r="A2812" t="inlineStr">
        <is>
          <t>2022-07-12</t>
        </is>
      </c>
      <c r="B2812" t="inlineStr">
        <is>
          <t>19:01</t>
        </is>
      </c>
      <c r="C2812" t="n">
        <v>3003</v>
      </c>
      <c r="D2812" s="6" t="n">
        <v>2.7</v>
      </c>
      <c r="E2812" t="n">
        <v>39694</v>
      </c>
      <c r="F2812" s="6" t="n">
        <v>2.7</v>
      </c>
      <c r="G2812" t="n">
        <v>1</v>
      </c>
      <c r="H2812" s="6">
        <f>ROUND(G2812*F2812,2)</f>
        <v/>
      </c>
      <c r="I2812">
        <f>IF(ROUND(H2812-D2812,2)=0,1,0)</f>
        <v/>
      </c>
      <c r="J2812">
        <f>IF(F2812="","none",IF(G2812=1,"carte","multiple"))</f>
        <v/>
      </c>
    </row>
    <row r="2813">
      <c r="A2813" t="inlineStr">
        <is>
          <t>2022-07-12</t>
        </is>
      </c>
      <c r="B2813" t="inlineStr">
        <is>
          <t>19:01</t>
        </is>
      </c>
      <c r="C2813" t="n">
        <v>3003</v>
      </c>
      <c r="D2813" s="6" t="n">
        <v>1.2</v>
      </c>
      <c r="E2813" t="n">
        <v>39695</v>
      </c>
      <c r="F2813" s="6" t="n">
        <v>1.2</v>
      </c>
      <c r="G2813" t="n">
        <v>1</v>
      </c>
      <c r="H2813" s="6">
        <f>ROUND(G2813*F2813,2)</f>
        <v/>
      </c>
      <c r="I2813">
        <f>IF(ROUND(H2813-D2813,2)=0,1,0)</f>
        <v/>
      </c>
      <c r="J2813">
        <f>IF(F2813="","none",IF(G2813=1,"carte","multiple"))</f>
        <v/>
      </c>
    </row>
    <row r="2814">
      <c r="A2814" t="inlineStr">
        <is>
          <t>2022-07-12</t>
        </is>
      </c>
      <c r="B2814" t="inlineStr">
        <is>
          <t>19:01</t>
        </is>
      </c>
      <c r="C2814" t="n">
        <v>3003</v>
      </c>
      <c r="D2814" s="6" t="n">
        <v>6.6</v>
      </c>
      <c r="E2814" t="n">
        <v>39696</v>
      </c>
      <c r="F2814" s="6" t="n">
        <v>6.6</v>
      </c>
      <c r="G2814" t="n">
        <v>1</v>
      </c>
      <c r="H2814" s="6">
        <f>ROUND(G2814*F2814,2)</f>
        <v/>
      </c>
      <c r="I2814">
        <f>IF(ROUND(H2814-D2814,2)=0,1,0)</f>
        <v/>
      </c>
      <c r="J2814">
        <f>IF(F2814="","none",IF(G2814=1,"carte","multiple"))</f>
        <v/>
      </c>
    </row>
    <row r="2815">
      <c r="A2815" t="inlineStr">
        <is>
          <t>2022-07-12</t>
        </is>
      </c>
      <c r="B2815" t="inlineStr">
        <is>
          <t>19:01</t>
        </is>
      </c>
      <c r="C2815" t="n">
        <v>3003</v>
      </c>
      <c r="D2815" s="6" t="n">
        <v>17.6</v>
      </c>
      <c r="E2815" t="n">
        <v>39697</v>
      </c>
      <c r="F2815" s="6" t="n">
        <v>17.6</v>
      </c>
      <c r="G2815" t="n">
        <v>1</v>
      </c>
      <c r="H2815" s="6">
        <f>ROUND(G2815*F2815,2)</f>
        <v/>
      </c>
      <c r="I2815">
        <f>IF(ROUND(H2815-D2815,2)=0,1,0)</f>
        <v/>
      </c>
      <c r="J2815">
        <f>IF(F2815="","none",IF(G2815=1,"carte","multiple"))</f>
        <v/>
      </c>
    </row>
    <row r="2816">
      <c r="A2816" t="inlineStr">
        <is>
          <t>2022-07-12</t>
        </is>
      </c>
      <c r="B2816" t="inlineStr">
        <is>
          <t>19:01</t>
        </is>
      </c>
      <c r="C2816" t="n">
        <v>3003</v>
      </c>
      <c r="D2816" s="6" t="n">
        <v>19.9</v>
      </c>
      <c r="E2816" t="n">
        <v>39698</v>
      </c>
      <c r="F2816" s="6" t="n">
        <v>19.9</v>
      </c>
      <c r="G2816" t="n">
        <v>1</v>
      </c>
      <c r="H2816" s="6">
        <f>ROUND(G2816*F2816,2)</f>
        <v/>
      </c>
      <c r="I2816">
        <f>IF(ROUND(H2816-D2816,2)=0,1,0)</f>
        <v/>
      </c>
      <c r="J2816">
        <f>IF(F2816="","none",IF(G2816=1,"carte","multiple"))</f>
        <v/>
      </c>
    </row>
    <row r="2817">
      <c r="A2817" t="inlineStr">
        <is>
          <t>2022-07-12</t>
        </is>
      </c>
      <c r="B2817" t="inlineStr">
        <is>
          <t>19:01</t>
        </is>
      </c>
      <c r="C2817" t="n">
        <v>3003</v>
      </c>
      <c r="D2817" s="6" t="n">
        <v>3.9</v>
      </c>
      <c r="E2817" t="n">
        <v>39699</v>
      </c>
      <c r="F2817" s="6" t="n">
        <v>3.9</v>
      </c>
      <c r="G2817" t="n">
        <v>1</v>
      </c>
      <c r="H2817" s="6">
        <f>ROUND(G2817*F2817,2)</f>
        <v/>
      </c>
      <c r="I2817">
        <f>IF(ROUND(H2817-D2817,2)=0,1,0)</f>
        <v/>
      </c>
      <c r="J2817">
        <f>IF(F2817="","none",IF(G2817=1,"carte","multiple"))</f>
        <v/>
      </c>
    </row>
    <row r="2818">
      <c r="A2818" t="inlineStr">
        <is>
          <t>2022-07-12</t>
        </is>
      </c>
      <c r="B2818" t="inlineStr">
        <is>
          <t>19:01</t>
        </is>
      </c>
      <c r="C2818" t="n">
        <v>3003</v>
      </c>
      <c r="D2818" s="6" t="n">
        <v>4</v>
      </c>
      <c r="E2818" t="n">
        <v>39700</v>
      </c>
      <c r="F2818" s="6" t="n">
        <v>4</v>
      </c>
      <c r="G2818" t="n">
        <v>1</v>
      </c>
      <c r="H2818" s="6">
        <f>ROUND(G2818*F2818,2)</f>
        <v/>
      </c>
      <c r="I2818">
        <f>IF(ROUND(H2818-D2818,2)=0,1,0)</f>
        <v/>
      </c>
      <c r="J2818">
        <f>IF(F2818="","none",IF(G2818=1,"carte","multiple"))</f>
        <v/>
      </c>
    </row>
    <row r="2819">
      <c r="A2819" t="inlineStr">
        <is>
          <t>2022-07-12</t>
        </is>
      </c>
      <c r="B2819" t="inlineStr">
        <is>
          <t>19:16</t>
        </is>
      </c>
      <c r="C2819" t="n">
        <v>3003</v>
      </c>
      <c r="D2819" s="6" t="n">
        <v>5.8</v>
      </c>
      <c r="E2819" t="n">
        <v>39701</v>
      </c>
      <c r="F2819" s="6" t="n">
        <v>5.8</v>
      </c>
      <c r="G2819" t="n">
        <v>1</v>
      </c>
      <c r="H2819" s="6">
        <f>ROUND(G2819*F2819,2)</f>
        <v/>
      </c>
      <c r="I2819">
        <f>IF(ROUND(H2819-D2819,2)=0,1,0)</f>
        <v/>
      </c>
      <c r="J2819">
        <f>IF(F2819="","none",IF(G2819=1,"carte","multiple"))</f>
        <v/>
      </c>
    </row>
    <row r="2820">
      <c r="A2820" t="inlineStr">
        <is>
          <t>2022-07-12</t>
        </is>
      </c>
      <c r="B2820" t="inlineStr">
        <is>
          <t>19:30</t>
        </is>
      </c>
      <c r="C2820" t="n">
        <v>3003</v>
      </c>
      <c r="D2820" s="6" t="n">
        <v>5.4</v>
      </c>
      <c r="E2820" t="n">
        <v>39702</v>
      </c>
      <c r="F2820" s="6" t="n">
        <v>5.4</v>
      </c>
      <c r="G2820" t="n">
        <v>1</v>
      </c>
      <c r="H2820" s="6">
        <f>ROUND(G2820*F2820,2)</f>
        <v/>
      </c>
      <c r="I2820">
        <f>IF(ROUND(H2820-D2820,2)=0,1,0)</f>
        <v/>
      </c>
      <c r="J2820">
        <f>IF(F2820="","none",IF(G2820=1,"carte","multiple"))</f>
        <v/>
      </c>
    </row>
    <row r="2821">
      <c r="A2821" t="inlineStr">
        <is>
          <t>2022-07-12</t>
        </is>
      </c>
      <c r="B2821" t="inlineStr">
        <is>
          <t>19:30</t>
        </is>
      </c>
      <c r="C2821" t="n">
        <v>3003</v>
      </c>
      <c r="D2821" s="6" t="n">
        <v>6</v>
      </c>
      <c r="E2821" t="n">
        <v>39703</v>
      </c>
      <c r="F2821" s="6" t="n">
        <v>6</v>
      </c>
      <c r="G2821" t="n">
        <v>1</v>
      </c>
      <c r="H2821" s="6">
        <f>ROUND(G2821*F2821,2)</f>
        <v/>
      </c>
      <c r="I2821">
        <f>IF(ROUND(H2821-D2821,2)=0,1,0)</f>
        <v/>
      </c>
      <c r="J2821">
        <f>IF(F2821="","none",IF(G2821=1,"carte","multiple"))</f>
        <v/>
      </c>
    </row>
    <row r="2822">
      <c r="A2822" t="inlineStr">
        <is>
          <t>2022-07-12</t>
        </is>
      </c>
      <c r="B2822" t="inlineStr">
        <is>
          <t>19:30</t>
        </is>
      </c>
      <c r="C2822" t="n">
        <v>3003</v>
      </c>
      <c r="D2822" s="6" t="n">
        <v>17.6</v>
      </c>
      <c r="E2822" t="n">
        <v>39704</v>
      </c>
      <c r="F2822" s="6" t="n">
        <v>17.6</v>
      </c>
      <c r="G2822" t="n">
        <v>1</v>
      </c>
      <c r="H2822" s="6">
        <f>ROUND(G2822*F2822,2)</f>
        <v/>
      </c>
      <c r="I2822">
        <f>IF(ROUND(H2822-D2822,2)=0,1,0)</f>
        <v/>
      </c>
      <c r="J2822">
        <f>IF(F2822="","none",IF(G2822=1,"carte","multiple"))</f>
        <v/>
      </c>
    </row>
    <row r="2823">
      <c r="A2823" t="inlineStr">
        <is>
          <t>2022-07-12</t>
        </is>
      </c>
      <c r="B2823" t="inlineStr">
        <is>
          <t>19:30</t>
        </is>
      </c>
      <c r="C2823" t="n">
        <v>3003</v>
      </c>
      <c r="D2823" s="6" t="n">
        <v>19</v>
      </c>
      <c r="E2823" t="n">
        <v>39705</v>
      </c>
      <c r="F2823" s="6" t="n">
        <v>19</v>
      </c>
      <c r="G2823" t="n">
        <v>1</v>
      </c>
      <c r="H2823" s="6">
        <f>ROUND(G2823*F2823,2)</f>
        <v/>
      </c>
      <c r="I2823">
        <f>IF(ROUND(H2823-D2823,2)=0,1,0)</f>
        <v/>
      </c>
      <c r="J2823">
        <f>IF(F2823="","none",IF(G2823=1,"carte","multiple"))</f>
        <v/>
      </c>
    </row>
    <row r="2824">
      <c r="A2824" t="inlineStr">
        <is>
          <t>2022-07-12</t>
        </is>
      </c>
      <c r="B2824" t="inlineStr">
        <is>
          <t>19:30</t>
        </is>
      </c>
      <c r="C2824" t="n">
        <v>3003</v>
      </c>
      <c r="D2824" s="6" t="n">
        <v>17.6</v>
      </c>
      <c r="E2824" t="n">
        <v>39706</v>
      </c>
      <c r="F2824" s="6" t="n">
        <v>17.6</v>
      </c>
      <c r="G2824" t="n">
        <v>1</v>
      </c>
      <c r="H2824" s="6">
        <f>ROUND(G2824*F2824,2)</f>
        <v/>
      </c>
      <c r="I2824">
        <f>IF(ROUND(H2824-D2824,2)=0,1,0)</f>
        <v/>
      </c>
      <c r="J2824">
        <f>IF(F2824="","none",IF(G2824=1,"carte","multiple"))</f>
        <v/>
      </c>
    </row>
    <row r="2825">
      <c r="A2825" t="inlineStr">
        <is>
          <t>2022-07-12</t>
        </is>
      </c>
      <c r="B2825" t="inlineStr">
        <is>
          <t>19:30</t>
        </is>
      </c>
      <c r="C2825" t="n">
        <v>3003</v>
      </c>
      <c r="D2825" s="6" t="n">
        <v>5.9</v>
      </c>
      <c r="E2825" t="n">
        <v>39707</v>
      </c>
      <c r="F2825" s="6" t="n">
        <v>5.9</v>
      </c>
      <c r="G2825" t="n">
        <v>1</v>
      </c>
      <c r="H2825" s="6">
        <f>ROUND(G2825*F2825,2)</f>
        <v/>
      </c>
      <c r="I2825">
        <f>IF(ROUND(H2825-D2825,2)=0,1,0)</f>
        <v/>
      </c>
      <c r="J2825">
        <f>IF(F2825="","none",IF(G2825=1,"carte","multiple"))</f>
        <v/>
      </c>
    </row>
    <row r="2826">
      <c r="A2826" t="inlineStr">
        <is>
          <t>2022-07-12</t>
        </is>
      </c>
      <c r="B2826" t="inlineStr">
        <is>
          <t>19:30</t>
        </is>
      </c>
      <c r="C2826" t="n">
        <v>3003</v>
      </c>
      <c r="D2826" s="6" t="n">
        <v>7.8</v>
      </c>
      <c r="E2826" t="n">
        <v>39708</v>
      </c>
      <c r="F2826" s="6" t="n">
        <v>7.8</v>
      </c>
      <c r="G2826" t="n">
        <v>1</v>
      </c>
      <c r="H2826" s="6">
        <f>ROUND(G2826*F2826,2)</f>
        <v/>
      </c>
      <c r="I2826">
        <f>IF(ROUND(H2826-D2826,2)=0,1,0)</f>
        <v/>
      </c>
      <c r="J2826">
        <f>IF(F2826="","none",IF(G2826=1,"carte","multiple"))</f>
        <v/>
      </c>
    </row>
    <row r="2827">
      <c r="A2827" t="inlineStr">
        <is>
          <t>2022-07-12</t>
        </is>
      </c>
      <c r="B2827" t="inlineStr">
        <is>
          <t>19:46</t>
        </is>
      </c>
      <c r="C2827" t="n">
        <v>3003</v>
      </c>
      <c r="D2827" s="6" t="n">
        <v>8.5</v>
      </c>
      <c r="E2827" t="n">
        <v>39709</v>
      </c>
      <c r="F2827" s="6" t="n">
        <v>8.5</v>
      </c>
      <c r="G2827" t="n">
        <v>1</v>
      </c>
      <c r="H2827" s="6">
        <f>ROUND(G2827*F2827,2)</f>
        <v/>
      </c>
      <c r="I2827">
        <f>IF(ROUND(H2827-D2827,2)=0,1,0)</f>
        <v/>
      </c>
      <c r="J2827">
        <f>IF(F2827="","none",IF(G2827=1,"carte","multiple"))</f>
        <v/>
      </c>
    </row>
    <row r="2828">
      <c r="A2828" t="inlineStr">
        <is>
          <t>2022-07-12</t>
        </is>
      </c>
      <c r="B2828" t="inlineStr">
        <is>
          <t>19:46</t>
        </is>
      </c>
      <c r="C2828" t="n">
        <v>3003</v>
      </c>
      <c r="D2828" s="6" t="n">
        <v>7.8</v>
      </c>
      <c r="E2828" t="n">
        <v>39710</v>
      </c>
      <c r="F2828" s="6" t="n">
        <v>7.8</v>
      </c>
      <c r="G2828" t="n">
        <v>1</v>
      </c>
      <c r="H2828" s="6">
        <f>ROUND(G2828*F2828,2)</f>
        <v/>
      </c>
      <c r="I2828">
        <f>IF(ROUND(H2828-D2828,2)=0,1,0)</f>
        <v/>
      </c>
      <c r="J2828">
        <f>IF(F2828="","none",IF(G2828=1,"carte","multiple"))</f>
        <v/>
      </c>
    </row>
    <row r="2829">
      <c r="A2829" t="inlineStr">
        <is>
          <t>2022-07-13</t>
        </is>
      </c>
      <c r="B2829" t="inlineStr">
        <is>
          <t>10:32</t>
        </is>
      </c>
      <c r="C2829" t="n">
        <v>3004</v>
      </c>
      <c r="D2829" s="6" t="n">
        <v>15.9</v>
      </c>
      <c r="E2829" t="n">
        <v>39713</v>
      </c>
      <c r="F2829" s="6" t="n">
        <v>15.9</v>
      </c>
      <c r="G2829" t="n">
        <v>1</v>
      </c>
      <c r="H2829" s="6">
        <f>ROUND(G2829*F2829,2)</f>
        <v/>
      </c>
      <c r="I2829">
        <f>IF(ROUND(H2829-D2829,2)=0,1,0)</f>
        <v/>
      </c>
      <c r="J2829">
        <f>IF(F2829="","none",IF(G2829=1,"carte","multiple"))</f>
        <v/>
      </c>
    </row>
    <row r="2830">
      <c r="A2830" t="inlineStr">
        <is>
          <t>2022-07-13</t>
        </is>
      </c>
      <c r="B2830" t="inlineStr">
        <is>
          <t>11:18</t>
        </is>
      </c>
      <c r="C2830" t="n">
        <v>3004</v>
      </c>
      <c r="D2830" s="6" t="n">
        <v>34.8</v>
      </c>
      <c r="E2830" t="n">
        <v>39714</v>
      </c>
      <c r="F2830" s="6" t="n">
        <v>34.8</v>
      </c>
      <c r="G2830" t="n">
        <v>1</v>
      </c>
      <c r="H2830" s="6">
        <f>ROUND(G2830*F2830,2)</f>
        <v/>
      </c>
      <c r="I2830">
        <f>IF(ROUND(H2830-D2830,2)=0,1,0)</f>
        <v/>
      </c>
      <c r="J2830">
        <f>IF(F2830="","none",IF(G2830=1,"carte","multiple"))</f>
        <v/>
      </c>
    </row>
    <row r="2831">
      <c r="A2831" t="inlineStr">
        <is>
          <t>2022-07-13</t>
        </is>
      </c>
      <c r="B2831" t="inlineStr">
        <is>
          <t>11:18</t>
        </is>
      </c>
      <c r="C2831" t="n">
        <v>3004</v>
      </c>
      <c r="D2831" s="6" t="n">
        <v>4.4</v>
      </c>
      <c r="E2831" t="n">
        <v>39715</v>
      </c>
      <c r="F2831" s="6" t="n">
        <v>0.4</v>
      </c>
      <c r="G2831" t="n">
        <v>11</v>
      </c>
      <c r="H2831" s="6">
        <f>ROUND(G2831*F2831,2)</f>
        <v/>
      </c>
      <c r="I2831">
        <f>IF(ROUND(H2831-D2831,2)=0,1,0)</f>
        <v/>
      </c>
      <c r="J2831">
        <f>IF(F2831="","none",IF(G2831=1,"carte","multiple"))</f>
        <v/>
      </c>
    </row>
    <row r="2832">
      <c r="A2832" t="inlineStr">
        <is>
          <t>2022-07-13</t>
        </is>
      </c>
      <c r="B2832" t="inlineStr">
        <is>
          <t>11:18</t>
        </is>
      </c>
      <c r="C2832" t="n">
        <v>3004</v>
      </c>
      <c r="D2832" s="6" t="n">
        <v>19.9</v>
      </c>
      <c r="E2832" t="n">
        <v>39716</v>
      </c>
      <c r="F2832" s="6" t="n">
        <v>19.9</v>
      </c>
      <c r="G2832" t="n">
        <v>1</v>
      </c>
      <c r="H2832" s="6">
        <f>ROUND(G2832*F2832,2)</f>
        <v/>
      </c>
      <c r="I2832">
        <f>IF(ROUND(H2832-D2832,2)=0,1,0)</f>
        <v/>
      </c>
      <c r="J2832">
        <f>IF(F2832="","none",IF(G2832=1,"carte","multiple"))</f>
        <v/>
      </c>
    </row>
    <row r="2833">
      <c r="A2833" t="inlineStr">
        <is>
          <t>2022-07-13</t>
        </is>
      </c>
      <c r="B2833" t="inlineStr">
        <is>
          <t>11:18</t>
        </is>
      </c>
      <c r="C2833" t="n">
        <v>3004</v>
      </c>
      <c r="D2833" s="6" t="n">
        <v>17.6</v>
      </c>
      <c r="E2833" t="n">
        <v>39717</v>
      </c>
      <c r="F2833" s="6" t="n">
        <v>17.6</v>
      </c>
      <c r="G2833" t="n">
        <v>1</v>
      </c>
      <c r="H2833" s="6">
        <f>ROUND(G2833*F2833,2)</f>
        <v/>
      </c>
      <c r="I2833">
        <f>IF(ROUND(H2833-D2833,2)=0,1,0)</f>
        <v/>
      </c>
      <c r="J2833">
        <f>IF(F2833="","none",IF(G2833=1,"carte","multiple"))</f>
        <v/>
      </c>
    </row>
    <row r="2834">
      <c r="A2834" t="inlineStr">
        <is>
          <t>2022-07-13</t>
        </is>
      </c>
      <c r="B2834" t="inlineStr">
        <is>
          <t>11:18</t>
        </is>
      </c>
      <c r="C2834" t="n">
        <v>3004</v>
      </c>
      <c r="D2834" s="6" t="n">
        <v>3.9</v>
      </c>
      <c r="E2834" t="n">
        <v>39718</v>
      </c>
      <c r="F2834" s="6" t="n">
        <v>3.9</v>
      </c>
      <c r="G2834" t="n">
        <v>1</v>
      </c>
      <c r="H2834" s="6">
        <f>ROUND(G2834*F2834,2)</f>
        <v/>
      </c>
      <c r="I2834">
        <f>IF(ROUND(H2834-D2834,2)=0,1,0)</f>
        <v/>
      </c>
      <c r="J2834">
        <f>IF(F2834="","none",IF(G2834=1,"carte","multiple"))</f>
        <v/>
      </c>
    </row>
    <row r="2835">
      <c r="A2835" t="inlineStr">
        <is>
          <t>2022-07-13</t>
        </is>
      </c>
      <c r="B2835" t="inlineStr">
        <is>
          <t>11:18</t>
        </is>
      </c>
      <c r="C2835" t="n">
        <v>3004</v>
      </c>
      <c r="D2835" s="6" t="n">
        <v>27.8</v>
      </c>
      <c r="E2835" t="n">
        <v>39719</v>
      </c>
      <c r="F2835" s="6" t="n">
        <v>27.8</v>
      </c>
      <c r="G2835" t="n">
        <v>1</v>
      </c>
      <c r="H2835" s="6">
        <f>ROUND(G2835*F2835,2)</f>
        <v/>
      </c>
      <c r="I2835">
        <f>IF(ROUND(H2835-D2835,2)=0,1,0)</f>
        <v/>
      </c>
      <c r="J2835">
        <f>IF(F2835="","none",IF(G2835=1,"carte","multiple"))</f>
        <v/>
      </c>
    </row>
    <row r="2836">
      <c r="A2836" t="inlineStr">
        <is>
          <t>2022-07-13</t>
        </is>
      </c>
      <c r="B2836" t="inlineStr">
        <is>
          <t>11:18</t>
        </is>
      </c>
      <c r="C2836" t="n">
        <v>3004</v>
      </c>
      <c r="D2836" s="6" t="n">
        <v>28.6</v>
      </c>
      <c r="E2836" t="n">
        <v>39720</v>
      </c>
      <c r="F2836" s="6" t="n">
        <v>28.6</v>
      </c>
      <c r="G2836" t="n">
        <v>1</v>
      </c>
      <c r="H2836" s="6">
        <f>ROUND(G2836*F2836,2)</f>
        <v/>
      </c>
      <c r="I2836">
        <f>IF(ROUND(H2836-D2836,2)=0,1,0)</f>
        <v/>
      </c>
      <c r="J2836">
        <f>IF(F2836="","none",IF(G2836=1,"carte","multiple"))</f>
        <v/>
      </c>
    </row>
    <row r="2837">
      <c r="A2837" t="inlineStr">
        <is>
          <t>2022-07-13</t>
        </is>
      </c>
      <c r="B2837" t="inlineStr">
        <is>
          <t>11:42</t>
        </is>
      </c>
      <c r="C2837" t="n">
        <v>3004</v>
      </c>
      <c r="D2837" s="6" t="n">
        <v>17.6</v>
      </c>
      <c r="E2837" t="n">
        <v>39721</v>
      </c>
      <c r="F2837" s="6" t="n">
        <v>17.6</v>
      </c>
      <c r="G2837" t="n">
        <v>1</v>
      </c>
      <c r="H2837" s="6">
        <f>ROUND(G2837*F2837,2)</f>
        <v/>
      </c>
      <c r="I2837">
        <f>IF(ROUND(H2837-D2837,2)=0,1,0)</f>
        <v/>
      </c>
      <c r="J2837">
        <f>IF(F2837="","none",IF(G2837=1,"carte","multiple"))</f>
        <v/>
      </c>
    </row>
    <row r="2838">
      <c r="A2838" t="inlineStr">
        <is>
          <t>2022-07-13</t>
        </is>
      </c>
      <c r="B2838" t="inlineStr">
        <is>
          <t>11:47</t>
        </is>
      </c>
      <c r="C2838" t="n">
        <v>3004</v>
      </c>
      <c r="D2838" s="6" t="n">
        <v>3.9</v>
      </c>
      <c r="E2838" t="n">
        <v>39722</v>
      </c>
      <c r="F2838" s="6" t="n">
        <v>3.9</v>
      </c>
      <c r="G2838" t="n">
        <v>1</v>
      </c>
      <c r="H2838" s="6">
        <f>ROUND(G2838*F2838,2)</f>
        <v/>
      </c>
      <c r="I2838">
        <f>IF(ROUND(H2838-D2838,2)=0,1,0)</f>
        <v/>
      </c>
      <c r="J2838">
        <f>IF(F2838="","none",IF(G2838=1,"carte","multiple"))</f>
        <v/>
      </c>
    </row>
    <row r="2839">
      <c r="A2839" t="inlineStr">
        <is>
          <t>2022-07-13</t>
        </is>
      </c>
      <c r="B2839" t="inlineStr">
        <is>
          <t>11:47</t>
        </is>
      </c>
      <c r="C2839" t="n">
        <v>3004</v>
      </c>
      <c r="D2839" s="6" t="n">
        <v>3.9</v>
      </c>
      <c r="E2839" t="n">
        <v>39723</v>
      </c>
      <c r="F2839" s="6" t="n">
        <v>3.9</v>
      </c>
      <c r="G2839" t="n">
        <v>1</v>
      </c>
      <c r="H2839" s="6">
        <f>ROUND(G2839*F2839,2)</f>
        <v/>
      </c>
      <c r="I2839">
        <f>IF(ROUND(H2839-D2839,2)=0,1,0)</f>
        <v/>
      </c>
      <c r="J2839">
        <f>IF(F2839="","none",IF(G2839=1,"carte","multiple"))</f>
        <v/>
      </c>
    </row>
    <row r="2840">
      <c r="A2840" t="inlineStr">
        <is>
          <t>2022-07-13</t>
        </is>
      </c>
      <c r="B2840" t="inlineStr">
        <is>
          <t>11:47</t>
        </is>
      </c>
      <c r="C2840" t="n">
        <v>3004</v>
      </c>
      <c r="D2840" s="6" t="n">
        <v>3.9</v>
      </c>
      <c r="E2840" t="n">
        <v>39724</v>
      </c>
      <c r="F2840" s="6" t="n">
        <v>3.9</v>
      </c>
      <c r="G2840" t="n">
        <v>1</v>
      </c>
      <c r="H2840" s="6">
        <f>ROUND(G2840*F2840,2)</f>
        <v/>
      </c>
      <c r="I2840">
        <f>IF(ROUND(H2840-D2840,2)=0,1,0)</f>
        <v/>
      </c>
      <c r="J2840">
        <f>IF(F2840="","none",IF(G2840=1,"carte","multiple"))</f>
        <v/>
      </c>
    </row>
    <row r="2841">
      <c r="A2841" t="inlineStr">
        <is>
          <t>2022-07-13</t>
        </is>
      </c>
      <c r="B2841" t="inlineStr">
        <is>
          <t>11:47</t>
        </is>
      </c>
      <c r="C2841" t="n">
        <v>3004</v>
      </c>
      <c r="D2841" s="6" t="n">
        <v>47.7</v>
      </c>
      <c r="E2841" t="n">
        <v>39725</v>
      </c>
      <c r="F2841" s="6" t="n">
        <v>0.9</v>
      </c>
      <c r="G2841" t="n">
        <v>53</v>
      </c>
      <c r="H2841" s="6">
        <f>ROUND(G2841*F2841,2)</f>
        <v/>
      </c>
      <c r="I2841">
        <f>IF(ROUND(H2841-D2841,2)=0,1,0)</f>
        <v/>
      </c>
      <c r="J2841">
        <f>IF(F2841="","none",IF(G2841=1,"carte","multiple"))</f>
        <v/>
      </c>
    </row>
    <row r="2842">
      <c r="A2842" t="inlineStr">
        <is>
          <t>2022-07-13</t>
        </is>
      </c>
      <c r="B2842" t="inlineStr">
        <is>
          <t>11:47</t>
        </is>
      </c>
      <c r="C2842" t="n">
        <v>3004</v>
      </c>
      <c r="D2842" s="6" t="n">
        <v>4</v>
      </c>
      <c r="E2842" t="n">
        <v>39726</v>
      </c>
      <c r="F2842" s="6" t="n">
        <v>4</v>
      </c>
      <c r="G2842" t="n">
        <v>1</v>
      </c>
      <c r="H2842" s="6">
        <f>ROUND(G2842*F2842,2)</f>
        <v/>
      </c>
      <c r="I2842">
        <f>IF(ROUND(H2842-D2842,2)=0,1,0)</f>
        <v/>
      </c>
      <c r="J2842">
        <f>IF(F2842="","none",IF(G2842=1,"carte","multiple"))</f>
        <v/>
      </c>
    </row>
    <row r="2843">
      <c r="A2843" t="inlineStr">
        <is>
          <t>2022-07-13</t>
        </is>
      </c>
      <c r="B2843" t="inlineStr">
        <is>
          <t>11:47</t>
        </is>
      </c>
      <c r="C2843" t="n">
        <v>3004</v>
      </c>
      <c r="D2843" s="6" t="n">
        <v>4</v>
      </c>
      <c r="E2843" t="n">
        <v>39727</v>
      </c>
      <c r="F2843" s="6" t="n">
        <v>4</v>
      </c>
      <c r="G2843" t="n">
        <v>1</v>
      </c>
      <c r="H2843" s="6">
        <f>ROUND(G2843*F2843,2)</f>
        <v/>
      </c>
      <c r="I2843">
        <f>IF(ROUND(H2843-D2843,2)=0,1,0)</f>
        <v/>
      </c>
      <c r="J2843">
        <f>IF(F2843="","none",IF(G2843=1,"carte","multiple"))</f>
        <v/>
      </c>
    </row>
    <row r="2844">
      <c r="A2844" t="inlineStr">
        <is>
          <t>2022-07-13</t>
        </is>
      </c>
      <c r="B2844" t="inlineStr">
        <is>
          <t>11:56</t>
        </is>
      </c>
      <c r="C2844" t="n">
        <v>3004</v>
      </c>
      <c r="D2844" s="6" t="n">
        <v>4</v>
      </c>
      <c r="E2844" t="n">
        <v>39728</v>
      </c>
      <c r="F2844" s="6" t="n">
        <v>4</v>
      </c>
      <c r="G2844" t="n">
        <v>1</v>
      </c>
      <c r="H2844" s="6">
        <f>ROUND(G2844*F2844,2)</f>
        <v/>
      </c>
      <c r="I2844">
        <f>IF(ROUND(H2844-D2844,2)=0,1,0)</f>
        <v/>
      </c>
      <c r="J2844">
        <f>IF(F2844="","none",IF(G2844=1,"carte","multiple"))</f>
        <v/>
      </c>
    </row>
    <row r="2845">
      <c r="A2845" t="inlineStr">
        <is>
          <t>2022-07-13</t>
        </is>
      </c>
      <c r="B2845" t="inlineStr">
        <is>
          <t>11:56</t>
        </is>
      </c>
      <c r="C2845" t="n">
        <v>3004</v>
      </c>
      <c r="D2845" s="6" t="n">
        <v>16.9</v>
      </c>
      <c r="E2845" t="n">
        <v>39729</v>
      </c>
      <c r="F2845" s="6" t="n">
        <v>16.9</v>
      </c>
      <c r="G2845" t="n">
        <v>1</v>
      </c>
      <c r="H2845" s="6">
        <f>ROUND(G2845*F2845,2)</f>
        <v/>
      </c>
      <c r="I2845">
        <f>IF(ROUND(H2845-D2845,2)=0,1,0)</f>
        <v/>
      </c>
      <c r="J2845">
        <f>IF(F2845="","none",IF(G2845=1,"carte","multiple"))</f>
        <v/>
      </c>
    </row>
    <row r="2846">
      <c r="A2846" t="inlineStr">
        <is>
          <t>2022-07-13</t>
        </is>
      </c>
      <c r="B2846" t="inlineStr">
        <is>
          <t>11:56</t>
        </is>
      </c>
      <c r="C2846" t="n">
        <v>3004</v>
      </c>
      <c r="D2846" s="6" t="n">
        <v>13</v>
      </c>
      <c r="E2846" t="n">
        <v>39730</v>
      </c>
      <c r="F2846" s="6" t="n">
        <v>13</v>
      </c>
      <c r="G2846" t="n">
        <v>1</v>
      </c>
      <c r="H2846" s="6">
        <f>ROUND(G2846*F2846,2)</f>
        <v/>
      </c>
      <c r="I2846">
        <f>IF(ROUND(H2846-D2846,2)=0,1,0)</f>
        <v/>
      </c>
      <c r="J2846">
        <f>IF(F2846="","none",IF(G2846=1,"carte","multiple"))</f>
        <v/>
      </c>
    </row>
    <row r="2847">
      <c r="A2847" t="inlineStr">
        <is>
          <t>2022-07-13</t>
        </is>
      </c>
      <c r="B2847" t="inlineStr">
        <is>
          <t>11:56</t>
        </is>
      </c>
      <c r="C2847" t="n">
        <v>3004</v>
      </c>
      <c r="D2847" s="6" t="n">
        <v>8.4</v>
      </c>
      <c r="E2847" t="n">
        <v>39731</v>
      </c>
      <c r="F2847" s="6" t="n">
        <v>8.4</v>
      </c>
      <c r="G2847" t="n">
        <v>1</v>
      </c>
      <c r="H2847" s="6">
        <f>ROUND(G2847*F2847,2)</f>
        <v/>
      </c>
      <c r="I2847">
        <f>IF(ROUND(H2847-D2847,2)=0,1,0)</f>
        <v/>
      </c>
      <c r="J2847">
        <f>IF(F2847="","none",IF(G2847=1,"carte","multiple"))</f>
        <v/>
      </c>
    </row>
    <row r="2848">
      <c r="A2848" t="inlineStr">
        <is>
          <t>2022-07-13</t>
        </is>
      </c>
      <c r="B2848" t="inlineStr">
        <is>
          <t>12:35</t>
        </is>
      </c>
      <c r="C2848" t="n">
        <v>3004</v>
      </c>
      <c r="D2848" s="6" t="n">
        <v>17.6</v>
      </c>
      <c r="E2848" t="n">
        <v>39732</v>
      </c>
      <c r="F2848" s="6" t="n">
        <v>17.6</v>
      </c>
      <c r="G2848" t="n">
        <v>1</v>
      </c>
      <c r="H2848" s="6">
        <f>ROUND(G2848*F2848,2)</f>
        <v/>
      </c>
      <c r="I2848">
        <f>IF(ROUND(H2848-D2848,2)=0,1,0)</f>
        <v/>
      </c>
      <c r="J2848">
        <f>IF(F2848="","none",IF(G2848=1,"carte","multiple"))</f>
        <v/>
      </c>
    </row>
    <row r="2849">
      <c r="A2849" t="inlineStr">
        <is>
          <t>2022-07-13</t>
        </is>
      </c>
      <c r="B2849" t="inlineStr">
        <is>
          <t>12:37</t>
        </is>
      </c>
      <c r="C2849" t="n">
        <v>3004</v>
      </c>
      <c r="D2849" s="6" t="n">
        <v>5.9</v>
      </c>
      <c r="E2849" t="n">
        <v>39733</v>
      </c>
      <c r="F2849" s="6" t="n">
        <v>5.9</v>
      </c>
      <c r="G2849" t="n">
        <v>1</v>
      </c>
      <c r="H2849" s="6">
        <f>ROUND(G2849*F2849,2)</f>
        <v/>
      </c>
      <c r="I2849">
        <f>IF(ROUND(H2849-D2849,2)=0,1,0)</f>
        <v/>
      </c>
      <c r="J2849">
        <f>IF(F2849="","none",IF(G2849=1,"carte","multiple"))</f>
        <v/>
      </c>
    </row>
    <row r="2850">
      <c r="A2850" t="inlineStr">
        <is>
          <t>2022-07-13</t>
        </is>
      </c>
      <c r="B2850" t="inlineStr">
        <is>
          <t>12:37</t>
        </is>
      </c>
      <c r="C2850" t="n">
        <v>3004</v>
      </c>
      <c r="D2850" s="6" t="n">
        <v>3.9</v>
      </c>
      <c r="E2850" t="n">
        <v>39734</v>
      </c>
      <c r="F2850" s="6" t="n">
        <v>3.9</v>
      </c>
      <c r="G2850" t="n">
        <v>1</v>
      </c>
      <c r="H2850" s="6">
        <f>ROUND(G2850*F2850,2)</f>
        <v/>
      </c>
      <c r="I2850">
        <f>IF(ROUND(H2850-D2850,2)=0,1,0)</f>
        <v/>
      </c>
      <c r="J2850">
        <f>IF(F2850="","none",IF(G2850=1,"carte","multiple"))</f>
        <v/>
      </c>
    </row>
    <row r="2851">
      <c r="A2851" t="inlineStr">
        <is>
          <t>2022-07-13</t>
        </is>
      </c>
      <c r="B2851" t="inlineStr">
        <is>
          <t>12:37</t>
        </is>
      </c>
      <c r="C2851" t="n">
        <v>3004</v>
      </c>
      <c r="D2851" s="6" t="n">
        <v>19</v>
      </c>
      <c r="E2851" t="n">
        <v>39735</v>
      </c>
      <c r="F2851" s="6" t="n">
        <v>19</v>
      </c>
      <c r="G2851" t="n">
        <v>1</v>
      </c>
      <c r="H2851" s="6">
        <f>ROUND(G2851*F2851,2)</f>
        <v/>
      </c>
      <c r="I2851">
        <f>IF(ROUND(H2851-D2851,2)=0,1,0)</f>
        <v/>
      </c>
      <c r="J2851">
        <f>IF(F2851="","none",IF(G2851=1,"carte","multiple"))</f>
        <v/>
      </c>
    </row>
    <row r="2852">
      <c r="A2852" t="inlineStr">
        <is>
          <t>2022-07-13</t>
        </is>
      </c>
      <c r="B2852" t="inlineStr">
        <is>
          <t>12:37</t>
        </is>
      </c>
      <c r="C2852" t="n">
        <v>3004</v>
      </c>
      <c r="D2852" s="6" t="n">
        <v>19.9</v>
      </c>
      <c r="E2852" t="n">
        <v>39736</v>
      </c>
      <c r="F2852" s="6" t="n">
        <v>19.9</v>
      </c>
      <c r="G2852" t="n">
        <v>1</v>
      </c>
      <c r="H2852" s="6">
        <f>ROUND(G2852*F2852,2)</f>
        <v/>
      </c>
      <c r="I2852">
        <f>IF(ROUND(H2852-D2852,2)=0,1,0)</f>
        <v/>
      </c>
      <c r="J2852">
        <f>IF(F2852="","none",IF(G2852=1,"carte","multiple"))</f>
        <v/>
      </c>
    </row>
    <row r="2853">
      <c r="A2853" t="inlineStr">
        <is>
          <t>2022-07-13</t>
        </is>
      </c>
      <c r="B2853" t="inlineStr">
        <is>
          <t>17:56</t>
        </is>
      </c>
      <c r="C2853" t="n">
        <v>3004</v>
      </c>
      <c r="D2853" s="6" t="n">
        <v>30</v>
      </c>
      <c r="E2853" t="n">
        <v>39738</v>
      </c>
      <c r="F2853" s="6" t="n">
        <v>30</v>
      </c>
      <c r="G2853" t="n">
        <v>1</v>
      </c>
      <c r="H2853" s="6">
        <f>ROUND(G2853*F2853,2)</f>
        <v/>
      </c>
      <c r="I2853">
        <f>IF(ROUND(H2853-D2853,2)=0,1,0)</f>
        <v/>
      </c>
      <c r="J2853">
        <f>IF(F2853="","none",IF(G2853=1,"carte","multiple"))</f>
        <v/>
      </c>
    </row>
    <row r="2854">
      <c r="A2854" t="inlineStr">
        <is>
          <t>2022-07-13</t>
        </is>
      </c>
      <c r="B2854" t="inlineStr">
        <is>
          <t>18:06</t>
        </is>
      </c>
      <c r="C2854" t="n">
        <v>3004</v>
      </c>
      <c r="D2854" s="6" t="n">
        <v>3.8</v>
      </c>
      <c r="E2854" t="n">
        <v>39739</v>
      </c>
      <c r="F2854" s="6" t="n">
        <v>3.8</v>
      </c>
      <c r="G2854" t="n">
        <v>1</v>
      </c>
      <c r="H2854" s="6">
        <f>ROUND(G2854*F2854,2)</f>
        <v/>
      </c>
      <c r="I2854">
        <f>IF(ROUND(H2854-D2854,2)=0,1,0)</f>
        <v/>
      </c>
      <c r="J2854">
        <f>IF(F2854="","none",IF(G2854=1,"carte","multiple"))</f>
        <v/>
      </c>
    </row>
    <row r="2855">
      <c r="A2855" t="inlineStr">
        <is>
          <t>2022-07-13</t>
        </is>
      </c>
      <c r="B2855" t="inlineStr">
        <is>
          <t>19:06</t>
        </is>
      </c>
      <c r="C2855" t="n">
        <v>3004</v>
      </c>
      <c r="D2855" s="6" t="n">
        <v>8.699999999999999</v>
      </c>
      <c r="E2855" t="n">
        <v>39740</v>
      </c>
      <c r="F2855" s="6" t="n">
        <v>8.699999999999999</v>
      </c>
      <c r="G2855" t="n">
        <v>1</v>
      </c>
      <c r="H2855" s="6">
        <f>ROUND(G2855*F2855,2)</f>
        <v/>
      </c>
      <c r="I2855">
        <f>IF(ROUND(H2855-D2855,2)=0,1,0)</f>
        <v/>
      </c>
      <c r="J2855">
        <f>IF(F2855="","none",IF(G2855=1,"carte","multiple"))</f>
        <v/>
      </c>
    </row>
    <row r="2856">
      <c r="A2856" t="inlineStr">
        <is>
          <t>2022-07-13</t>
        </is>
      </c>
      <c r="B2856" t="inlineStr">
        <is>
          <t>19:12</t>
        </is>
      </c>
      <c r="C2856" t="n">
        <v>3004</v>
      </c>
      <c r="D2856" s="6" t="n">
        <v>4.7</v>
      </c>
      <c r="E2856" t="n">
        <v>39741</v>
      </c>
      <c r="F2856" s="6" t="n">
        <v>4.7</v>
      </c>
      <c r="G2856" t="n">
        <v>1</v>
      </c>
      <c r="H2856" s="6">
        <f>ROUND(G2856*F2856,2)</f>
        <v/>
      </c>
      <c r="I2856">
        <f>IF(ROUND(H2856-D2856,2)=0,1,0)</f>
        <v/>
      </c>
      <c r="J2856">
        <f>IF(F2856="","none",IF(G2856=1,"carte","multiple"))</f>
        <v/>
      </c>
    </row>
    <row r="2857">
      <c r="A2857" t="inlineStr">
        <is>
          <t>2022-07-13</t>
        </is>
      </c>
      <c r="B2857" t="inlineStr">
        <is>
          <t>19:40</t>
        </is>
      </c>
      <c r="C2857" t="n">
        <v>3004</v>
      </c>
      <c r="D2857" s="6" t="n">
        <v>17.6</v>
      </c>
      <c r="E2857" t="n">
        <v>39742</v>
      </c>
      <c r="F2857" s="6" t="n">
        <v>17.6</v>
      </c>
      <c r="G2857" t="n">
        <v>1</v>
      </c>
      <c r="H2857" s="6">
        <f>ROUND(G2857*F2857,2)</f>
        <v/>
      </c>
      <c r="I2857">
        <f>IF(ROUND(H2857-D2857,2)=0,1,0)</f>
        <v/>
      </c>
      <c r="J2857">
        <f>IF(F2857="","none",IF(G2857=1,"carte","multiple"))</f>
        <v/>
      </c>
    </row>
    <row r="2858">
      <c r="A2858" t="inlineStr">
        <is>
          <t>2022-07-13</t>
        </is>
      </c>
      <c r="B2858" t="inlineStr">
        <is>
          <t>20:23</t>
        </is>
      </c>
      <c r="C2858" t="n">
        <v>3004</v>
      </c>
      <c r="D2858" s="6" t="n">
        <v>1.8</v>
      </c>
      <c r="E2858" t="n">
        <v>39743</v>
      </c>
      <c r="F2858" s="6" t="n">
        <v>1.8</v>
      </c>
      <c r="G2858" t="n">
        <v>1</v>
      </c>
      <c r="H2858" s="6">
        <f>ROUND(G2858*F2858,2)</f>
        <v/>
      </c>
      <c r="I2858">
        <f>IF(ROUND(H2858-D2858,2)=0,1,0)</f>
        <v/>
      </c>
      <c r="J2858">
        <f>IF(F2858="","none",IF(G2858=1,"carte","multiple"))</f>
        <v/>
      </c>
    </row>
    <row r="2859">
      <c r="A2859" t="inlineStr">
        <is>
          <t>2022-07-13</t>
        </is>
      </c>
      <c r="B2859" t="inlineStr">
        <is>
          <t>20:24</t>
        </is>
      </c>
      <c r="C2859" t="n">
        <v>3004</v>
      </c>
      <c r="D2859" s="6" t="n">
        <v>1.8</v>
      </c>
      <c r="E2859" t="n">
        <v>39744</v>
      </c>
      <c r="F2859" s="6" t="n">
        <v>1.8</v>
      </c>
      <c r="G2859" t="n">
        <v>1</v>
      </c>
      <c r="H2859" s="6">
        <f>ROUND(G2859*F2859,2)</f>
        <v/>
      </c>
      <c r="I2859">
        <f>IF(ROUND(H2859-D2859,2)=0,1,0)</f>
        <v/>
      </c>
      <c r="J2859">
        <f>IF(F2859="","none",IF(G2859=1,"carte","multiple"))</f>
        <v/>
      </c>
    </row>
    <row r="2860">
      <c r="A2860" t="inlineStr">
        <is>
          <t>2022-07-13</t>
        </is>
      </c>
      <c r="B2860" t="inlineStr">
        <is>
          <t>20:24</t>
        </is>
      </c>
      <c r="C2860" t="n">
        <v>3004</v>
      </c>
      <c r="D2860" s="6" t="n">
        <v>4.7</v>
      </c>
      <c r="E2860" t="n">
        <v>39745</v>
      </c>
      <c r="F2860" s="6" t="n">
        <v>4.7</v>
      </c>
      <c r="G2860" t="n">
        <v>1</v>
      </c>
      <c r="H2860" s="6">
        <f>ROUND(G2860*F2860,2)</f>
        <v/>
      </c>
      <c r="I2860">
        <f>IF(ROUND(H2860-D2860,2)=0,1,0)</f>
        <v/>
      </c>
      <c r="J2860">
        <f>IF(F2860="","none",IF(G2860=1,"carte","multiple"))</f>
        <v/>
      </c>
    </row>
    <row r="2861">
      <c r="A2861" t="inlineStr">
        <is>
          <t>2022-07-13</t>
        </is>
      </c>
      <c r="B2861" t="inlineStr">
        <is>
          <t>20:24</t>
        </is>
      </c>
      <c r="C2861" t="n">
        <v>3004</v>
      </c>
      <c r="D2861" s="6" t="n">
        <v>7</v>
      </c>
      <c r="E2861" t="n">
        <v>39746</v>
      </c>
      <c r="F2861" s="6" t="n">
        <v>7</v>
      </c>
      <c r="G2861" t="n">
        <v>1</v>
      </c>
      <c r="H2861" s="6">
        <f>ROUND(G2861*F2861,2)</f>
        <v/>
      </c>
      <c r="I2861">
        <f>IF(ROUND(H2861-D2861,2)=0,1,0)</f>
        <v/>
      </c>
      <c r="J2861">
        <f>IF(F2861="","none",IF(G2861=1,"carte","multiple"))</f>
        <v/>
      </c>
    </row>
    <row r="2862">
      <c r="A2862" t="inlineStr">
        <is>
          <t>2022-07-13</t>
        </is>
      </c>
      <c r="B2862" t="inlineStr">
        <is>
          <t>20:24</t>
        </is>
      </c>
      <c r="C2862" t="n">
        <v>3004</v>
      </c>
      <c r="D2862" s="6" t="n">
        <v>14.4</v>
      </c>
      <c r="E2862" t="n">
        <v>39747</v>
      </c>
      <c r="F2862" s="6" t="n">
        <v>0.4</v>
      </c>
      <c r="G2862" t="n">
        <v>36</v>
      </c>
      <c r="H2862" s="6">
        <f>ROUND(G2862*F2862,2)</f>
        <v/>
      </c>
      <c r="I2862">
        <f>IF(ROUND(H2862-D2862,2)=0,1,0)</f>
        <v/>
      </c>
      <c r="J2862">
        <f>IF(F2862="","none",IF(G2862=1,"carte","multiple"))</f>
        <v/>
      </c>
    </row>
    <row r="2863">
      <c r="A2863" t="inlineStr">
        <is>
          <t>2022-07-13</t>
        </is>
      </c>
      <c r="B2863" t="inlineStr">
        <is>
          <t>20:24</t>
        </is>
      </c>
      <c r="C2863" t="n">
        <v>3004</v>
      </c>
      <c r="D2863" s="6" t="n">
        <v>17.6</v>
      </c>
      <c r="E2863" t="n">
        <v>39748</v>
      </c>
      <c r="F2863" s="6" t="n">
        <v>17.6</v>
      </c>
      <c r="G2863" t="n">
        <v>1</v>
      </c>
      <c r="H2863" s="6">
        <f>ROUND(G2863*F2863,2)</f>
        <v/>
      </c>
      <c r="I2863">
        <f>IF(ROUND(H2863-D2863,2)=0,1,0)</f>
        <v/>
      </c>
      <c r="J2863">
        <f>IF(F2863="","none",IF(G2863=1,"carte","multiple"))</f>
        <v/>
      </c>
    </row>
    <row r="2864">
      <c r="A2864" t="inlineStr">
        <is>
          <t>2022-07-13</t>
        </is>
      </c>
      <c r="B2864" t="inlineStr">
        <is>
          <t>20:52</t>
        </is>
      </c>
      <c r="C2864" t="n">
        <v>3004</v>
      </c>
      <c r="D2864" s="6" t="n">
        <v>17.6</v>
      </c>
      <c r="E2864" t="n">
        <v>39749</v>
      </c>
      <c r="F2864" s="6" t="n">
        <v>17.6</v>
      </c>
      <c r="G2864" t="n">
        <v>1</v>
      </c>
      <c r="H2864" s="6">
        <f>ROUND(G2864*F2864,2)</f>
        <v/>
      </c>
      <c r="I2864">
        <f>IF(ROUND(H2864-D2864,2)=0,1,0)</f>
        <v/>
      </c>
      <c r="J2864">
        <f>IF(F2864="","none",IF(G2864=1,"carte","multiple"))</f>
        <v/>
      </c>
    </row>
    <row r="2865">
      <c r="A2865" t="inlineStr">
        <is>
          <t>2022-07-14</t>
        </is>
      </c>
      <c r="B2865" t="inlineStr">
        <is>
          <t>10:37</t>
        </is>
      </c>
      <c r="C2865" t="n">
        <v>3005</v>
      </c>
      <c r="D2865" s="6" t="n">
        <v>17.6</v>
      </c>
      <c r="E2865" t="n">
        <v>39752</v>
      </c>
      <c r="F2865" s="6" t="n">
        <v>17.6</v>
      </c>
      <c r="G2865" t="n">
        <v>1</v>
      </c>
      <c r="H2865" s="6">
        <f>ROUND(G2865*F2865,2)</f>
        <v/>
      </c>
      <c r="I2865">
        <f>IF(ROUND(H2865-D2865,2)=0,1,0)</f>
        <v/>
      </c>
      <c r="J2865">
        <f>IF(F2865="","none",IF(G2865=1,"carte","multiple"))</f>
        <v/>
      </c>
    </row>
    <row r="2866">
      <c r="A2866" t="inlineStr">
        <is>
          <t>2022-07-14</t>
        </is>
      </c>
      <c r="B2866" t="inlineStr">
        <is>
          <t>10:51</t>
        </is>
      </c>
      <c r="C2866" t="n">
        <v>3005</v>
      </c>
      <c r="D2866" s="6" t="n">
        <v>30</v>
      </c>
      <c r="E2866" t="n">
        <v>39753</v>
      </c>
      <c r="F2866" s="6" t="n">
        <v>30</v>
      </c>
      <c r="G2866" t="n">
        <v>1</v>
      </c>
      <c r="H2866" s="6">
        <f>ROUND(G2866*F2866,2)</f>
        <v/>
      </c>
      <c r="I2866">
        <f>IF(ROUND(H2866-D2866,2)=0,1,0)</f>
        <v/>
      </c>
      <c r="J2866">
        <f>IF(F2866="","none",IF(G2866=1,"carte","multiple"))</f>
        <v/>
      </c>
    </row>
    <row r="2867">
      <c r="A2867" t="inlineStr">
        <is>
          <t>2022-07-14</t>
        </is>
      </c>
      <c r="B2867" t="inlineStr">
        <is>
          <t>10:51</t>
        </is>
      </c>
      <c r="C2867" t="n">
        <v>3005</v>
      </c>
      <c r="D2867" s="6" t="n">
        <v>8</v>
      </c>
      <c r="E2867" t="n">
        <v>39754</v>
      </c>
      <c r="F2867" s="6" t="n">
        <v>8</v>
      </c>
      <c r="G2867" t="n">
        <v>1</v>
      </c>
      <c r="H2867" s="6">
        <f>ROUND(G2867*F2867,2)</f>
        <v/>
      </c>
      <c r="I2867">
        <f>IF(ROUND(H2867-D2867,2)=0,1,0)</f>
        <v/>
      </c>
      <c r="J2867">
        <f>IF(F2867="","none",IF(G2867=1,"carte","multiple"))</f>
        <v/>
      </c>
    </row>
    <row r="2868">
      <c r="A2868" t="inlineStr">
        <is>
          <t>2022-07-14</t>
        </is>
      </c>
      <c r="B2868" t="inlineStr">
        <is>
          <t>10:58</t>
        </is>
      </c>
      <c r="C2868" t="n">
        <v>3005</v>
      </c>
      <c r="D2868" s="6" t="n">
        <v>14</v>
      </c>
      <c r="E2868" t="n">
        <v>39755</v>
      </c>
      <c r="F2868" s="6" t="n">
        <v>14</v>
      </c>
      <c r="G2868" t="n">
        <v>1</v>
      </c>
      <c r="H2868" s="6">
        <f>ROUND(G2868*F2868,2)</f>
        <v/>
      </c>
      <c r="I2868">
        <f>IF(ROUND(H2868-D2868,2)=0,1,0)</f>
        <v/>
      </c>
      <c r="J2868">
        <f>IF(F2868="","none",IF(G2868=1,"carte","multiple"))</f>
        <v/>
      </c>
    </row>
    <row r="2869">
      <c r="A2869" t="inlineStr">
        <is>
          <t>2022-07-14</t>
        </is>
      </c>
      <c r="B2869" t="inlineStr">
        <is>
          <t>11:10</t>
        </is>
      </c>
      <c r="C2869" t="n">
        <v>3005</v>
      </c>
      <c r="D2869" s="6" t="n">
        <v>19.9</v>
      </c>
      <c r="E2869" t="n">
        <v>39756</v>
      </c>
      <c r="F2869" s="6" t="n">
        <v>19.9</v>
      </c>
      <c r="G2869" t="n">
        <v>1</v>
      </c>
      <c r="H2869" s="6">
        <f>ROUND(G2869*F2869,2)</f>
        <v/>
      </c>
      <c r="I2869">
        <f>IF(ROUND(H2869-D2869,2)=0,1,0)</f>
        <v/>
      </c>
      <c r="J2869">
        <f>IF(F2869="","none",IF(G2869=1,"carte","multiple"))</f>
        <v/>
      </c>
    </row>
    <row r="2870">
      <c r="A2870" t="inlineStr">
        <is>
          <t>2022-07-14</t>
        </is>
      </c>
      <c r="B2870" t="inlineStr">
        <is>
          <t>11:55</t>
        </is>
      </c>
      <c r="C2870" t="n">
        <v>3005</v>
      </c>
      <c r="D2870" s="6" t="n">
        <v>5.8</v>
      </c>
      <c r="E2870" t="n">
        <v>39757</v>
      </c>
      <c r="F2870" s="6" t="n">
        <v>5.8</v>
      </c>
      <c r="G2870" t="n">
        <v>1</v>
      </c>
      <c r="H2870" s="6">
        <f>ROUND(G2870*F2870,2)</f>
        <v/>
      </c>
      <c r="I2870">
        <f>IF(ROUND(H2870-D2870,2)=0,1,0)</f>
        <v/>
      </c>
      <c r="J2870">
        <f>IF(F2870="","none",IF(G2870=1,"carte","multiple"))</f>
        <v/>
      </c>
    </row>
    <row r="2871">
      <c r="A2871" t="inlineStr">
        <is>
          <t>2022-07-14</t>
        </is>
      </c>
      <c r="B2871" t="inlineStr">
        <is>
          <t>11:55</t>
        </is>
      </c>
      <c r="C2871" t="n">
        <v>3005</v>
      </c>
      <c r="D2871" s="6" t="n">
        <v>3.9</v>
      </c>
      <c r="E2871" t="n">
        <v>39758</v>
      </c>
      <c r="F2871" s="6" t="n">
        <v>3.9</v>
      </c>
      <c r="G2871" t="n">
        <v>1</v>
      </c>
      <c r="H2871" s="6">
        <f>ROUND(G2871*F2871,2)</f>
        <v/>
      </c>
      <c r="I2871">
        <f>IF(ROUND(H2871-D2871,2)=0,1,0)</f>
        <v/>
      </c>
      <c r="J2871">
        <f>IF(F2871="","none",IF(G2871=1,"carte","multiple"))</f>
        <v/>
      </c>
    </row>
    <row r="2872">
      <c r="A2872" t="inlineStr">
        <is>
          <t>2022-07-14</t>
        </is>
      </c>
      <c r="B2872" t="inlineStr">
        <is>
          <t>11:55</t>
        </is>
      </c>
      <c r="C2872" t="n">
        <v>3005</v>
      </c>
      <c r="D2872" s="6" t="n">
        <v>17.6</v>
      </c>
      <c r="E2872" t="n">
        <v>39759</v>
      </c>
      <c r="F2872" s="6" t="n">
        <v>17.6</v>
      </c>
      <c r="G2872" t="n">
        <v>1</v>
      </c>
      <c r="H2872" s="6">
        <f>ROUND(G2872*F2872,2)</f>
        <v/>
      </c>
      <c r="I2872">
        <f>IF(ROUND(H2872-D2872,2)=0,1,0)</f>
        <v/>
      </c>
      <c r="J2872">
        <f>IF(F2872="","none",IF(G2872=1,"carte","multiple"))</f>
        <v/>
      </c>
    </row>
    <row r="2873">
      <c r="A2873" t="inlineStr">
        <is>
          <t>2022-07-14</t>
        </is>
      </c>
      <c r="B2873" t="inlineStr">
        <is>
          <t>11:55</t>
        </is>
      </c>
      <c r="C2873" t="n">
        <v>3005</v>
      </c>
      <c r="D2873" s="6" t="n">
        <v>19.9</v>
      </c>
      <c r="E2873" t="n">
        <v>39760</v>
      </c>
      <c r="F2873" s="6" t="n">
        <v>19.9</v>
      </c>
      <c r="G2873" t="n">
        <v>1</v>
      </c>
      <c r="H2873" s="6">
        <f>ROUND(G2873*F2873,2)</f>
        <v/>
      </c>
      <c r="I2873">
        <f>IF(ROUND(H2873-D2873,2)=0,1,0)</f>
        <v/>
      </c>
      <c r="J2873">
        <f>IF(F2873="","none",IF(G2873=1,"carte","multiple"))</f>
        <v/>
      </c>
    </row>
    <row r="2874">
      <c r="A2874" t="inlineStr">
        <is>
          <t>2022-07-14</t>
        </is>
      </c>
      <c r="B2874" t="inlineStr">
        <is>
          <t>11:55</t>
        </is>
      </c>
      <c r="C2874" t="n">
        <v>3005</v>
      </c>
      <c r="D2874" s="6" t="n">
        <v>12.8</v>
      </c>
      <c r="E2874" t="n">
        <v>39761</v>
      </c>
      <c r="F2874" s="6" t="n">
        <v>0.4</v>
      </c>
      <c r="G2874" t="n">
        <v>32</v>
      </c>
      <c r="H2874" s="6">
        <f>ROUND(G2874*F2874,2)</f>
        <v/>
      </c>
      <c r="I2874">
        <f>IF(ROUND(H2874-D2874,2)=0,1,0)</f>
        <v/>
      </c>
      <c r="J2874">
        <f>IF(F2874="","none",IF(G2874=1,"carte","multiple"))</f>
        <v/>
      </c>
    </row>
    <row r="2875">
      <c r="A2875" t="inlineStr">
        <is>
          <t>2022-07-14</t>
        </is>
      </c>
      <c r="B2875" t="inlineStr">
        <is>
          <t>11:55</t>
        </is>
      </c>
      <c r="C2875" t="n">
        <v>3005</v>
      </c>
      <c r="D2875" s="6" t="n">
        <v>13</v>
      </c>
      <c r="E2875" t="n">
        <v>39762</v>
      </c>
      <c r="F2875" s="6" t="n">
        <v>13</v>
      </c>
      <c r="G2875" t="n">
        <v>1</v>
      </c>
      <c r="H2875" s="6">
        <f>ROUND(G2875*F2875,2)</f>
        <v/>
      </c>
      <c r="I2875">
        <f>IF(ROUND(H2875-D2875,2)=0,1,0)</f>
        <v/>
      </c>
      <c r="J2875">
        <f>IF(F2875="","none",IF(G2875=1,"carte","multiple"))</f>
        <v/>
      </c>
    </row>
    <row r="2876">
      <c r="A2876" t="inlineStr">
        <is>
          <t>2022-07-14</t>
        </is>
      </c>
      <c r="B2876" t="inlineStr">
        <is>
          <t>12:09</t>
        </is>
      </c>
      <c r="C2876" t="n">
        <v>3005</v>
      </c>
      <c r="D2876" s="6" t="n">
        <v>17.6</v>
      </c>
      <c r="E2876" t="n">
        <v>39763</v>
      </c>
      <c r="F2876" s="6" t="n">
        <v>17.6</v>
      </c>
      <c r="G2876" t="n">
        <v>1</v>
      </c>
      <c r="H2876" s="6">
        <f>ROUND(G2876*F2876,2)</f>
        <v/>
      </c>
      <c r="I2876">
        <f>IF(ROUND(H2876-D2876,2)=0,1,0)</f>
        <v/>
      </c>
      <c r="J2876">
        <f>IF(F2876="","none",IF(G2876=1,"carte","multiple"))</f>
        <v/>
      </c>
    </row>
    <row r="2877">
      <c r="A2877" t="inlineStr">
        <is>
          <t>2022-07-14</t>
        </is>
      </c>
      <c r="B2877" t="inlineStr">
        <is>
          <t>12:09</t>
        </is>
      </c>
      <c r="C2877" t="n">
        <v>3005</v>
      </c>
      <c r="D2877" s="6" t="n">
        <v>5.9</v>
      </c>
      <c r="E2877" t="n">
        <v>39764</v>
      </c>
      <c r="F2877" s="6" t="n">
        <v>5.9</v>
      </c>
      <c r="G2877" t="n">
        <v>1</v>
      </c>
      <c r="H2877" s="6">
        <f>ROUND(G2877*F2877,2)</f>
        <v/>
      </c>
      <c r="I2877">
        <f>IF(ROUND(H2877-D2877,2)=0,1,0)</f>
        <v/>
      </c>
      <c r="J2877">
        <f>IF(F2877="","none",IF(G2877=1,"carte","multiple"))</f>
        <v/>
      </c>
    </row>
    <row r="2878">
      <c r="A2878" t="inlineStr">
        <is>
          <t>2022-07-14</t>
        </is>
      </c>
      <c r="B2878" t="inlineStr">
        <is>
          <t>12:09</t>
        </is>
      </c>
      <c r="C2878" t="n">
        <v>3005</v>
      </c>
      <c r="D2878" s="6" t="n">
        <v>15.9</v>
      </c>
      <c r="E2878" t="n">
        <v>39765</v>
      </c>
      <c r="F2878" s="6" t="n">
        <v>15.9</v>
      </c>
      <c r="G2878" t="n">
        <v>1</v>
      </c>
      <c r="H2878" s="6">
        <f>ROUND(G2878*F2878,2)</f>
        <v/>
      </c>
      <c r="I2878">
        <f>IF(ROUND(H2878-D2878,2)=0,1,0)</f>
        <v/>
      </c>
      <c r="J2878">
        <f>IF(F2878="","none",IF(G2878=1,"carte","multiple"))</f>
        <v/>
      </c>
    </row>
    <row r="2879">
      <c r="A2879" t="inlineStr">
        <is>
          <t>2022-07-14</t>
        </is>
      </c>
      <c r="B2879" t="inlineStr">
        <is>
          <t>12:09</t>
        </is>
      </c>
      <c r="C2879" t="n">
        <v>3005</v>
      </c>
      <c r="D2879" s="6" t="n">
        <v>7.2</v>
      </c>
      <c r="E2879" t="n">
        <v>39766</v>
      </c>
      <c r="F2879" s="6" t="n">
        <v>7.2</v>
      </c>
      <c r="G2879" t="n">
        <v>1</v>
      </c>
      <c r="H2879" s="6">
        <f>ROUND(G2879*F2879,2)</f>
        <v/>
      </c>
      <c r="I2879">
        <f>IF(ROUND(H2879-D2879,2)=0,1,0)</f>
        <v/>
      </c>
      <c r="J2879">
        <f>IF(F2879="","none",IF(G2879=1,"carte","multiple"))</f>
        <v/>
      </c>
    </row>
    <row r="2880">
      <c r="A2880" t="inlineStr">
        <is>
          <t>2022-07-14</t>
        </is>
      </c>
      <c r="B2880" t="inlineStr">
        <is>
          <t>12:09</t>
        </is>
      </c>
      <c r="C2880" t="n">
        <v>3005</v>
      </c>
      <c r="D2880" s="6" t="n">
        <v>3.6</v>
      </c>
      <c r="E2880" t="n">
        <v>39767</v>
      </c>
      <c r="F2880" s="6" t="n">
        <v>3.6</v>
      </c>
      <c r="G2880" t="n">
        <v>1</v>
      </c>
      <c r="H2880" s="6">
        <f>ROUND(G2880*F2880,2)</f>
        <v/>
      </c>
      <c r="I2880">
        <f>IF(ROUND(H2880-D2880,2)=0,1,0)</f>
        <v/>
      </c>
      <c r="J2880">
        <f>IF(F2880="","none",IF(G2880=1,"carte","multiple"))</f>
        <v/>
      </c>
    </row>
    <row r="2881">
      <c r="A2881" t="inlineStr">
        <is>
          <t>2022-07-14</t>
        </is>
      </c>
      <c r="B2881" t="inlineStr">
        <is>
          <t>18:36</t>
        </is>
      </c>
      <c r="C2881" t="n">
        <v>3005</v>
      </c>
      <c r="D2881" s="6" t="n">
        <v>2</v>
      </c>
      <c r="E2881" t="n">
        <v>39769</v>
      </c>
      <c r="F2881" s="6" t="n">
        <v>2</v>
      </c>
      <c r="G2881" t="n">
        <v>1</v>
      </c>
      <c r="H2881" s="6">
        <f>ROUND(G2881*F2881,2)</f>
        <v/>
      </c>
      <c r="I2881">
        <f>IF(ROUND(H2881-D2881,2)=0,1,0)</f>
        <v/>
      </c>
      <c r="J2881">
        <f>IF(F2881="","none",IF(G2881=1,"carte","multiple"))</f>
        <v/>
      </c>
    </row>
    <row r="2882">
      <c r="A2882" t="inlineStr">
        <is>
          <t>2022-07-14</t>
        </is>
      </c>
      <c r="B2882" t="inlineStr">
        <is>
          <t>18:37</t>
        </is>
      </c>
      <c r="C2882" t="n">
        <v>3005</v>
      </c>
      <c r="D2882" s="6" t="n">
        <v>2.9</v>
      </c>
      <c r="E2882" t="n">
        <v>39770</v>
      </c>
      <c r="F2882" s="6" t="n">
        <v>2.9</v>
      </c>
      <c r="G2882" t="n">
        <v>1</v>
      </c>
      <c r="H2882" s="6">
        <f>ROUND(G2882*F2882,2)</f>
        <v/>
      </c>
      <c r="I2882">
        <f>IF(ROUND(H2882-D2882,2)=0,1,0)</f>
        <v/>
      </c>
      <c r="J2882">
        <f>IF(F2882="","none",IF(G2882=1,"carte","multiple"))</f>
        <v/>
      </c>
    </row>
    <row r="2883">
      <c r="A2883" t="inlineStr">
        <is>
          <t>2022-07-14</t>
        </is>
      </c>
      <c r="B2883" t="inlineStr">
        <is>
          <t>18:37</t>
        </is>
      </c>
      <c r="C2883" t="n">
        <v>3005</v>
      </c>
      <c r="D2883" s="6" t="n">
        <v>7.9</v>
      </c>
      <c r="E2883" t="n">
        <v>39771</v>
      </c>
      <c r="F2883" s="6" t="n">
        <v>7.9</v>
      </c>
      <c r="G2883" t="n">
        <v>1</v>
      </c>
      <c r="H2883" s="6">
        <f>ROUND(G2883*F2883,2)</f>
        <v/>
      </c>
      <c r="I2883">
        <f>IF(ROUND(H2883-D2883,2)=0,1,0)</f>
        <v/>
      </c>
      <c r="J2883">
        <f>IF(F2883="","none",IF(G2883=1,"carte","multiple"))</f>
        <v/>
      </c>
    </row>
    <row r="2884">
      <c r="A2884" t="inlineStr">
        <is>
          <t>2022-07-14</t>
        </is>
      </c>
      <c r="B2884" t="inlineStr">
        <is>
          <t>19:38</t>
        </is>
      </c>
      <c r="C2884" t="n">
        <v>3005</v>
      </c>
      <c r="D2884" s="6" t="n">
        <v>2.2</v>
      </c>
      <c r="E2884" t="n">
        <v>39772</v>
      </c>
      <c r="F2884" s="6" t="n">
        <v>2.2</v>
      </c>
      <c r="G2884" t="n">
        <v>1</v>
      </c>
      <c r="H2884" s="6">
        <f>ROUND(G2884*F2884,2)</f>
        <v/>
      </c>
      <c r="I2884">
        <f>IF(ROUND(H2884-D2884,2)=0,1,0)</f>
        <v/>
      </c>
      <c r="J2884">
        <f>IF(F2884="","none",IF(G2884=1,"carte","multiple"))</f>
        <v/>
      </c>
    </row>
    <row r="2885">
      <c r="A2885" t="inlineStr">
        <is>
          <t>2022-07-14</t>
        </is>
      </c>
      <c r="B2885" t="inlineStr">
        <is>
          <t>19:38</t>
        </is>
      </c>
      <c r="C2885" t="n">
        <v>3005</v>
      </c>
      <c r="D2885" s="6" t="n">
        <v>4.4</v>
      </c>
      <c r="E2885" t="n">
        <v>39773</v>
      </c>
      <c r="F2885" s="6" t="n">
        <v>0.4</v>
      </c>
      <c r="G2885" t="n">
        <v>11</v>
      </c>
      <c r="H2885" s="6">
        <f>ROUND(G2885*F2885,2)</f>
        <v/>
      </c>
      <c r="I2885">
        <f>IF(ROUND(H2885-D2885,2)=0,1,0)</f>
        <v/>
      </c>
      <c r="J2885">
        <f>IF(F2885="","none",IF(G2885=1,"carte","multiple"))</f>
        <v/>
      </c>
    </row>
    <row r="2886">
      <c r="A2886" t="inlineStr">
        <is>
          <t>2022-07-14</t>
        </is>
      </c>
      <c r="B2886" t="inlineStr">
        <is>
          <t>19:38</t>
        </is>
      </c>
      <c r="C2886" t="n">
        <v>3005</v>
      </c>
      <c r="D2886" s="6" t="n">
        <v>64</v>
      </c>
      <c r="E2886" t="n">
        <v>39774</v>
      </c>
      <c r="F2886" s="6" t="n">
        <v>64</v>
      </c>
      <c r="G2886" t="n">
        <v>1</v>
      </c>
      <c r="H2886" s="6">
        <f>ROUND(G2886*F2886,2)</f>
        <v/>
      </c>
      <c r="I2886">
        <f>IF(ROUND(H2886-D2886,2)=0,1,0)</f>
        <v/>
      </c>
      <c r="J2886">
        <f>IF(F2886="","none",IF(G2886=1,"carte","multiple"))</f>
        <v/>
      </c>
    </row>
    <row r="2887">
      <c r="A2887" t="inlineStr">
        <is>
          <t>2022-07-14</t>
        </is>
      </c>
      <c r="B2887" t="inlineStr">
        <is>
          <t>19:38</t>
        </is>
      </c>
      <c r="C2887" t="n">
        <v>3005</v>
      </c>
      <c r="D2887" s="6" t="n">
        <v>13.4</v>
      </c>
      <c r="E2887" t="n">
        <v>39775</v>
      </c>
      <c r="F2887" s="6" t="n">
        <v>13.4</v>
      </c>
      <c r="G2887" t="n">
        <v>1</v>
      </c>
      <c r="H2887" s="6">
        <f>ROUND(G2887*F2887,2)</f>
        <v/>
      </c>
      <c r="I2887">
        <f>IF(ROUND(H2887-D2887,2)=0,1,0)</f>
        <v/>
      </c>
      <c r="J2887">
        <f>IF(F2887="","none",IF(G2887=1,"carte","multiple"))</f>
        <v/>
      </c>
    </row>
    <row r="2888">
      <c r="A2888" t="inlineStr">
        <is>
          <t>2022-07-14</t>
        </is>
      </c>
      <c r="B2888" t="inlineStr">
        <is>
          <t>19:38</t>
        </is>
      </c>
      <c r="C2888" t="n">
        <v>3005</v>
      </c>
      <c r="D2888" s="6" t="n">
        <v>10.4</v>
      </c>
      <c r="E2888" t="n">
        <v>39776</v>
      </c>
      <c r="F2888" s="6" t="n">
        <v>0.4</v>
      </c>
      <c r="G2888" t="n">
        <v>26</v>
      </c>
      <c r="H2888" s="6">
        <f>ROUND(G2888*F2888,2)</f>
        <v/>
      </c>
      <c r="I2888">
        <f>IF(ROUND(H2888-D2888,2)=0,1,0)</f>
        <v/>
      </c>
      <c r="J2888">
        <f>IF(F2888="","none",IF(G2888=1,"carte","multiple"))</f>
        <v/>
      </c>
    </row>
    <row r="2889">
      <c r="A2889" t="inlineStr">
        <is>
          <t>2022-07-14</t>
        </is>
      </c>
      <c r="B2889" t="inlineStr">
        <is>
          <t>19:48</t>
        </is>
      </c>
      <c r="C2889" t="n">
        <v>3005</v>
      </c>
      <c r="D2889" s="6" t="n">
        <v>4.9</v>
      </c>
      <c r="E2889" t="n">
        <v>39777</v>
      </c>
      <c r="F2889" s="6" t="n">
        <v>4.9</v>
      </c>
      <c r="G2889" t="n">
        <v>1</v>
      </c>
      <c r="H2889" s="6">
        <f>ROUND(G2889*F2889,2)</f>
        <v/>
      </c>
      <c r="I2889">
        <f>IF(ROUND(H2889-D2889,2)=0,1,0)</f>
        <v/>
      </c>
      <c r="J2889">
        <f>IF(F2889="","none",IF(G2889=1,"carte","multiple"))</f>
        <v/>
      </c>
    </row>
    <row r="2890">
      <c r="A2890" t="inlineStr">
        <is>
          <t>2022-07-14</t>
        </is>
      </c>
      <c r="B2890" t="inlineStr">
        <is>
          <t>19:48</t>
        </is>
      </c>
      <c r="C2890" t="n">
        <v>3005</v>
      </c>
      <c r="D2890" s="6" t="n">
        <v>9</v>
      </c>
      <c r="E2890" t="n">
        <v>39778</v>
      </c>
      <c r="F2890" s="6" t="n">
        <v>9</v>
      </c>
      <c r="G2890" t="n">
        <v>1</v>
      </c>
      <c r="H2890" s="6">
        <f>ROUND(G2890*F2890,2)</f>
        <v/>
      </c>
      <c r="I2890">
        <f>IF(ROUND(H2890-D2890,2)=0,1,0)</f>
        <v/>
      </c>
      <c r="J2890">
        <f>IF(F2890="","none",IF(G2890=1,"carte","multiple"))</f>
        <v/>
      </c>
    </row>
    <row r="2891">
      <c r="A2891" t="inlineStr">
        <is>
          <t>2022-07-14</t>
        </is>
      </c>
      <c r="B2891" t="inlineStr">
        <is>
          <t>19:48</t>
        </is>
      </c>
      <c r="C2891" t="n">
        <v>3005</v>
      </c>
      <c r="D2891" s="6" t="n">
        <v>9</v>
      </c>
      <c r="E2891" t="n">
        <v>39779</v>
      </c>
      <c r="F2891" s="6" t="n">
        <v>9</v>
      </c>
      <c r="G2891" t="n">
        <v>1</v>
      </c>
      <c r="H2891" s="6">
        <f>ROUND(G2891*F2891,2)</f>
        <v/>
      </c>
      <c r="I2891">
        <f>IF(ROUND(H2891-D2891,2)=0,1,0)</f>
        <v/>
      </c>
      <c r="J2891">
        <f>IF(F2891="","none",IF(G2891=1,"carte","multiple"))</f>
        <v/>
      </c>
    </row>
    <row r="2892">
      <c r="A2892" t="inlineStr">
        <is>
          <t>2022-07-14</t>
        </is>
      </c>
      <c r="B2892" t="inlineStr">
        <is>
          <t>19:48</t>
        </is>
      </c>
      <c r="C2892" t="n">
        <v>3005</v>
      </c>
      <c r="D2892" s="6" t="n">
        <v>13</v>
      </c>
      <c r="E2892" t="n">
        <v>39780</v>
      </c>
      <c r="F2892" s="6" t="n">
        <v>13</v>
      </c>
      <c r="G2892" t="n">
        <v>1</v>
      </c>
      <c r="H2892" s="6">
        <f>ROUND(G2892*F2892,2)</f>
        <v/>
      </c>
      <c r="I2892">
        <f>IF(ROUND(H2892-D2892,2)=0,1,0)</f>
        <v/>
      </c>
      <c r="J2892">
        <f>IF(F2892="","none",IF(G2892=1,"carte","multiple"))</f>
        <v/>
      </c>
    </row>
    <row r="2893">
      <c r="A2893" t="inlineStr">
        <is>
          <t>2022-07-14</t>
        </is>
      </c>
      <c r="B2893" t="inlineStr">
        <is>
          <t>19:49</t>
        </is>
      </c>
      <c r="C2893" t="n">
        <v>3005</v>
      </c>
      <c r="D2893" s="6" t="n">
        <v>10.5</v>
      </c>
      <c r="E2893" t="n">
        <v>39781</v>
      </c>
      <c r="F2893" s="6" t="n">
        <v>10.5</v>
      </c>
      <c r="G2893" t="n">
        <v>1</v>
      </c>
      <c r="H2893" s="6">
        <f>ROUND(G2893*F2893,2)</f>
        <v/>
      </c>
      <c r="I2893">
        <f>IF(ROUND(H2893-D2893,2)=0,1,0)</f>
        <v/>
      </c>
      <c r="J2893">
        <f>IF(F2893="","none",IF(G2893=1,"carte","multiple"))</f>
        <v/>
      </c>
    </row>
    <row r="2894">
      <c r="A2894" t="inlineStr">
        <is>
          <t>2022-07-15</t>
        </is>
      </c>
      <c r="B2894" t="inlineStr">
        <is>
          <t>10:41</t>
        </is>
      </c>
      <c r="C2894" t="n">
        <v>3006</v>
      </c>
      <c r="D2894" s="6" t="n">
        <v>6</v>
      </c>
      <c r="E2894" t="n">
        <v>39784</v>
      </c>
      <c r="F2894" s="6" t="n">
        <v>6</v>
      </c>
      <c r="G2894" t="n">
        <v>1</v>
      </c>
      <c r="H2894" s="6">
        <f>ROUND(G2894*F2894,2)</f>
        <v/>
      </c>
      <c r="I2894">
        <f>IF(ROUND(H2894-D2894,2)=0,1,0)</f>
        <v/>
      </c>
      <c r="J2894">
        <f>IF(F2894="","none",IF(G2894=1,"carte","multiple"))</f>
        <v/>
      </c>
    </row>
    <row r="2895">
      <c r="A2895" t="inlineStr">
        <is>
          <t>2022-07-15</t>
        </is>
      </c>
      <c r="B2895" t="inlineStr">
        <is>
          <t>11:14</t>
        </is>
      </c>
      <c r="C2895" t="n">
        <v>3006</v>
      </c>
      <c r="D2895" s="6" t="n">
        <v>0</v>
      </c>
      <c r="E2895" t="n">
        <v>39785</v>
      </c>
      <c r="H2895" t="inlineStr"/>
      <c r="I2895" t="inlineStr"/>
      <c r="J2895">
        <f>IF(F2895="","none",IF(G2895=1,"carte","multiple"))</f>
        <v/>
      </c>
    </row>
    <row r="2896">
      <c r="A2896" t="inlineStr">
        <is>
          <t>2022-07-15</t>
        </is>
      </c>
      <c r="B2896" t="inlineStr">
        <is>
          <t>11:14</t>
        </is>
      </c>
      <c r="C2896" t="n">
        <v>3006</v>
      </c>
      <c r="D2896" s="6" t="n">
        <v>0</v>
      </c>
      <c r="E2896" t="n">
        <v>39786</v>
      </c>
      <c r="H2896" t="inlineStr"/>
      <c r="I2896" t="inlineStr"/>
      <c r="J2896">
        <f>IF(F2896="","none",IF(G2896=1,"carte","multiple"))</f>
        <v/>
      </c>
    </row>
    <row r="2897">
      <c r="A2897" t="inlineStr">
        <is>
          <t>2022-07-15</t>
        </is>
      </c>
      <c r="B2897" t="inlineStr">
        <is>
          <t>11:35</t>
        </is>
      </c>
      <c r="C2897" t="n">
        <v>3006</v>
      </c>
      <c r="D2897" s="6" t="n">
        <v>6.6</v>
      </c>
      <c r="E2897" t="n">
        <v>39787</v>
      </c>
      <c r="F2897" s="6" t="n">
        <v>6.6</v>
      </c>
      <c r="G2897" t="n">
        <v>1</v>
      </c>
      <c r="H2897" s="6">
        <f>ROUND(G2897*F2897,2)</f>
        <v/>
      </c>
      <c r="I2897">
        <f>IF(ROUND(H2897-D2897,2)=0,1,0)</f>
        <v/>
      </c>
      <c r="J2897">
        <f>IF(F2897="","none",IF(G2897=1,"carte","multiple"))</f>
        <v/>
      </c>
    </row>
    <row r="2898">
      <c r="A2898" t="inlineStr">
        <is>
          <t>2022-07-15</t>
        </is>
      </c>
      <c r="B2898" t="inlineStr">
        <is>
          <t>11:35</t>
        </is>
      </c>
      <c r="C2898" t="n">
        <v>3006</v>
      </c>
      <c r="D2898" s="6" t="n">
        <v>11.7</v>
      </c>
      <c r="E2898" t="n">
        <v>39788</v>
      </c>
      <c r="F2898" s="6" t="n">
        <v>0.9</v>
      </c>
      <c r="G2898" t="n">
        <v>13</v>
      </c>
      <c r="H2898" s="6">
        <f>ROUND(G2898*F2898,2)</f>
        <v/>
      </c>
      <c r="I2898">
        <f>IF(ROUND(H2898-D2898,2)=0,1,0)</f>
        <v/>
      </c>
      <c r="J2898">
        <f>IF(F2898="","none",IF(G2898=1,"carte","multiple"))</f>
        <v/>
      </c>
    </row>
    <row r="2899">
      <c r="A2899" t="inlineStr">
        <is>
          <t>2022-07-15</t>
        </is>
      </c>
      <c r="B2899" t="inlineStr">
        <is>
          <t>11:35</t>
        </is>
      </c>
      <c r="C2899" t="n">
        <v>3006</v>
      </c>
      <c r="D2899" s="6" t="n">
        <v>9.800000000000001</v>
      </c>
      <c r="E2899" t="n">
        <v>39789</v>
      </c>
      <c r="F2899" s="6" t="n">
        <v>9.800000000000001</v>
      </c>
      <c r="G2899" t="n">
        <v>1</v>
      </c>
      <c r="H2899" s="6">
        <f>ROUND(G2899*F2899,2)</f>
        <v/>
      </c>
      <c r="I2899">
        <f>IF(ROUND(H2899-D2899,2)=0,1,0)</f>
        <v/>
      </c>
      <c r="J2899">
        <f>IF(F2899="","none",IF(G2899=1,"carte","multiple"))</f>
        <v/>
      </c>
    </row>
    <row r="2900">
      <c r="A2900" t="inlineStr">
        <is>
          <t>2022-07-15</t>
        </is>
      </c>
      <c r="B2900" t="inlineStr">
        <is>
          <t>11:35</t>
        </is>
      </c>
      <c r="C2900" t="n">
        <v>3006</v>
      </c>
      <c r="D2900" s="6" t="n">
        <v>47.7</v>
      </c>
      <c r="E2900" t="n">
        <v>39790</v>
      </c>
      <c r="F2900" s="6" t="n">
        <v>0.9</v>
      </c>
      <c r="G2900" t="n">
        <v>53</v>
      </c>
      <c r="H2900" s="6">
        <f>ROUND(G2900*F2900,2)</f>
        <v/>
      </c>
      <c r="I2900">
        <f>IF(ROUND(H2900-D2900,2)=0,1,0)</f>
        <v/>
      </c>
      <c r="J2900">
        <f>IF(F2900="","none",IF(G2900=1,"carte","multiple"))</f>
        <v/>
      </c>
    </row>
    <row r="2901">
      <c r="A2901" t="inlineStr">
        <is>
          <t>2022-07-15</t>
        </is>
      </c>
      <c r="B2901" t="inlineStr">
        <is>
          <t>11:35</t>
        </is>
      </c>
      <c r="C2901" t="n">
        <v>3006</v>
      </c>
      <c r="D2901" s="6" t="n">
        <v>4.2</v>
      </c>
      <c r="E2901" t="n">
        <v>39791</v>
      </c>
      <c r="F2901" s="6" t="n">
        <v>4.2</v>
      </c>
      <c r="G2901" t="n">
        <v>1</v>
      </c>
      <c r="H2901" s="6">
        <f>ROUND(G2901*F2901,2)</f>
        <v/>
      </c>
      <c r="I2901">
        <f>IF(ROUND(H2901-D2901,2)=0,1,0)</f>
        <v/>
      </c>
      <c r="J2901">
        <f>IF(F2901="","none",IF(G2901=1,"carte","multiple"))</f>
        <v/>
      </c>
    </row>
    <row r="2902">
      <c r="A2902" t="inlineStr">
        <is>
          <t>2022-07-15</t>
        </is>
      </c>
      <c r="B2902" t="inlineStr">
        <is>
          <t>11:35</t>
        </is>
      </c>
      <c r="C2902" t="n">
        <v>3006</v>
      </c>
      <c r="D2902" s="6" t="n">
        <v>3.9</v>
      </c>
      <c r="E2902" t="n">
        <v>39792</v>
      </c>
      <c r="F2902" s="6" t="n">
        <v>3.9</v>
      </c>
      <c r="G2902" t="n">
        <v>1</v>
      </c>
      <c r="H2902" s="6">
        <f>ROUND(G2902*F2902,2)</f>
        <v/>
      </c>
      <c r="I2902">
        <f>IF(ROUND(H2902-D2902,2)=0,1,0)</f>
        <v/>
      </c>
      <c r="J2902">
        <f>IF(F2902="","none",IF(G2902=1,"carte","multiple"))</f>
        <v/>
      </c>
    </row>
    <row r="2903">
      <c r="A2903" t="inlineStr">
        <is>
          <t>2022-07-15</t>
        </is>
      </c>
      <c r="B2903" t="inlineStr">
        <is>
          <t>11:35</t>
        </is>
      </c>
      <c r="C2903" t="n">
        <v>3006</v>
      </c>
      <c r="D2903" s="6" t="n">
        <v>3.9</v>
      </c>
      <c r="E2903" t="n">
        <v>39793</v>
      </c>
      <c r="F2903" s="6" t="n">
        <v>3.9</v>
      </c>
      <c r="G2903" t="n">
        <v>1</v>
      </c>
      <c r="H2903" s="6">
        <f>ROUND(G2903*F2903,2)</f>
        <v/>
      </c>
      <c r="I2903">
        <f>IF(ROUND(H2903-D2903,2)=0,1,0)</f>
        <v/>
      </c>
      <c r="J2903">
        <f>IF(F2903="","none",IF(G2903=1,"carte","multiple"))</f>
        <v/>
      </c>
    </row>
    <row r="2904">
      <c r="A2904" t="inlineStr">
        <is>
          <t>2022-07-15</t>
        </is>
      </c>
      <c r="B2904" t="inlineStr">
        <is>
          <t>11:46</t>
        </is>
      </c>
      <c r="C2904" t="n">
        <v>3006</v>
      </c>
      <c r="D2904" s="6" t="n">
        <v>19.9</v>
      </c>
      <c r="E2904" t="n">
        <v>39794</v>
      </c>
      <c r="F2904" s="6" t="n">
        <v>19.9</v>
      </c>
      <c r="G2904" t="n">
        <v>1</v>
      </c>
      <c r="H2904" s="6">
        <f>ROUND(G2904*F2904,2)</f>
        <v/>
      </c>
      <c r="I2904">
        <f>IF(ROUND(H2904-D2904,2)=0,1,0)</f>
        <v/>
      </c>
      <c r="J2904">
        <f>IF(F2904="","none",IF(G2904=1,"carte","multiple"))</f>
        <v/>
      </c>
    </row>
    <row r="2905">
      <c r="A2905" t="inlineStr">
        <is>
          <t>2022-07-15</t>
        </is>
      </c>
      <c r="B2905" t="inlineStr">
        <is>
          <t>12:11</t>
        </is>
      </c>
      <c r="C2905" t="n">
        <v>3006</v>
      </c>
      <c r="D2905" s="6" t="n">
        <v>2.2</v>
      </c>
      <c r="E2905" t="n">
        <v>39795</v>
      </c>
      <c r="F2905" s="6" t="n">
        <v>2.2</v>
      </c>
      <c r="G2905" t="n">
        <v>1</v>
      </c>
      <c r="H2905" s="6">
        <f>ROUND(G2905*F2905,2)</f>
        <v/>
      </c>
      <c r="I2905">
        <f>IF(ROUND(H2905-D2905,2)=0,1,0)</f>
        <v/>
      </c>
      <c r="J2905">
        <f>IF(F2905="","none",IF(G2905=1,"carte","multiple"))</f>
        <v/>
      </c>
    </row>
    <row r="2906">
      <c r="A2906" t="inlineStr">
        <is>
          <t>2022-07-15</t>
        </is>
      </c>
      <c r="B2906" t="inlineStr">
        <is>
          <t>12:15</t>
        </is>
      </c>
      <c r="C2906" t="n">
        <v>3006</v>
      </c>
      <c r="D2906" s="6" t="n">
        <v>4.4</v>
      </c>
      <c r="E2906" t="n">
        <v>39796</v>
      </c>
      <c r="F2906" s="6" t="n">
        <v>0.4</v>
      </c>
      <c r="G2906" t="n">
        <v>11</v>
      </c>
      <c r="H2906" s="6">
        <f>ROUND(G2906*F2906,2)</f>
        <v/>
      </c>
      <c r="I2906">
        <f>IF(ROUND(H2906-D2906,2)=0,1,0)</f>
        <v/>
      </c>
      <c r="J2906">
        <f>IF(F2906="","none",IF(G2906=1,"carte","multiple"))</f>
        <v/>
      </c>
    </row>
    <row r="2907">
      <c r="A2907" t="inlineStr">
        <is>
          <t>2022-07-15</t>
        </is>
      </c>
      <c r="B2907" t="inlineStr">
        <is>
          <t>12:15</t>
        </is>
      </c>
      <c r="C2907" t="n">
        <v>3006</v>
      </c>
      <c r="D2907" s="6" t="n">
        <v>3.9</v>
      </c>
      <c r="E2907" t="n">
        <v>39797</v>
      </c>
      <c r="F2907" s="6" t="n">
        <v>3.9</v>
      </c>
      <c r="G2907" t="n">
        <v>1</v>
      </c>
      <c r="H2907" s="6">
        <f>ROUND(G2907*F2907,2)</f>
        <v/>
      </c>
      <c r="I2907">
        <f>IF(ROUND(H2907-D2907,2)=0,1,0)</f>
        <v/>
      </c>
      <c r="J2907">
        <f>IF(F2907="","none",IF(G2907=1,"carte","multiple"))</f>
        <v/>
      </c>
    </row>
    <row r="2908">
      <c r="A2908" t="inlineStr">
        <is>
          <t>2022-07-15</t>
        </is>
      </c>
      <c r="B2908" t="inlineStr">
        <is>
          <t>12:15</t>
        </is>
      </c>
      <c r="C2908" t="n">
        <v>3006</v>
      </c>
      <c r="D2908" s="6" t="n">
        <v>8.699999999999999</v>
      </c>
      <c r="E2908" t="n">
        <v>39798</v>
      </c>
      <c r="F2908" s="6" t="n">
        <v>8.699999999999999</v>
      </c>
      <c r="G2908" t="n">
        <v>1</v>
      </c>
      <c r="H2908" s="6">
        <f>ROUND(G2908*F2908,2)</f>
        <v/>
      </c>
      <c r="I2908">
        <f>IF(ROUND(H2908-D2908,2)=0,1,0)</f>
        <v/>
      </c>
      <c r="J2908">
        <f>IF(F2908="","none",IF(G2908=1,"carte","multiple"))</f>
        <v/>
      </c>
    </row>
    <row r="2909">
      <c r="A2909" t="inlineStr">
        <is>
          <t>2022-07-15</t>
        </is>
      </c>
      <c r="B2909" t="inlineStr">
        <is>
          <t>12:15</t>
        </is>
      </c>
      <c r="C2909" t="n">
        <v>3006</v>
      </c>
      <c r="D2909" s="6" t="n">
        <v>32.8</v>
      </c>
      <c r="E2909" t="n">
        <v>39799</v>
      </c>
      <c r="F2909" s="6" t="n">
        <v>0.4</v>
      </c>
      <c r="G2909" t="n">
        <v>82</v>
      </c>
      <c r="H2909" s="6">
        <f>ROUND(G2909*F2909,2)</f>
        <v/>
      </c>
      <c r="I2909">
        <f>IF(ROUND(H2909-D2909,2)=0,1,0)</f>
        <v/>
      </c>
      <c r="J2909">
        <f>IF(F2909="","none",IF(G2909=1,"carte","multiple"))</f>
        <v/>
      </c>
    </row>
    <row r="2910">
      <c r="A2910" t="inlineStr">
        <is>
          <t>2022-07-15</t>
        </is>
      </c>
      <c r="B2910" t="inlineStr">
        <is>
          <t>12:15</t>
        </is>
      </c>
      <c r="C2910" t="n">
        <v>3006</v>
      </c>
      <c r="D2910" s="6" t="n">
        <v>4</v>
      </c>
      <c r="E2910" t="n">
        <v>39800</v>
      </c>
      <c r="F2910" s="6" t="n">
        <v>4</v>
      </c>
      <c r="G2910" t="n">
        <v>1</v>
      </c>
      <c r="H2910" s="6">
        <f>ROUND(G2910*F2910,2)</f>
        <v/>
      </c>
      <c r="I2910">
        <f>IF(ROUND(H2910-D2910,2)=0,1,0)</f>
        <v/>
      </c>
      <c r="J2910">
        <f>IF(F2910="","none",IF(G2910=1,"carte","multiple"))</f>
        <v/>
      </c>
    </row>
    <row r="2911">
      <c r="A2911" t="inlineStr">
        <is>
          <t>2022-07-15</t>
        </is>
      </c>
      <c r="B2911" t="inlineStr">
        <is>
          <t>12:15</t>
        </is>
      </c>
      <c r="C2911" t="n">
        <v>3006</v>
      </c>
      <c r="D2911" s="6" t="n">
        <v>3.9</v>
      </c>
      <c r="E2911" t="n">
        <v>39801</v>
      </c>
      <c r="F2911" s="6" t="n">
        <v>3.9</v>
      </c>
      <c r="G2911" t="n">
        <v>1</v>
      </c>
      <c r="H2911" s="6">
        <f>ROUND(G2911*F2911,2)</f>
        <v/>
      </c>
      <c r="I2911">
        <f>IF(ROUND(H2911-D2911,2)=0,1,0)</f>
        <v/>
      </c>
      <c r="J2911">
        <f>IF(F2911="","none",IF(G2911=1,"carte","multiple"))</f>
        <v/>
      </c>
    </row>
    <row r="2912">
      <c r="A2912" t="inlineStr">
        <is>
          <t>2022-07-15</t>
        </is>
      </c>
      <c r="B2912" t="inlineStr">
        <is>
          <t>12:15</t>
        </is>
      </c>
      <c r="C2912" t="n">
        <v>3006</v>
      </c>
      <c r="D2912" s="6" t="n">
        <v>3.9</v>
      </c>
      <c r="E2912" t="n">
        <v>39802</v>
      </c>
      <c r="F2912" s="6" t="n">
        <v>3.9</v>
      </c>
      <c r="G2912" t="n">
        <v>1</v>
      </c>
      <c r="H2912" s="6">
        <f>ROUND(G2912*F2912,2)</f>
        <v/>
      </c>
      <c r="I2912">
        <f>IF(ROUND(H2912-D2912,2)=0,1,0)</f>
        <v/>
      </c>
      <c r="J2912">
        <f>IF(F2912="","none",IF(G2912=1,"carte","multiple"))</f>
        <v/>
      </c>
    </row>
    <row r="2913">
      <c r="A2913" t="inlineStr">
        <is>
          <t>2022-07-15</t>
        </is>
      </c>
      <c r="B2913" t="inlineStr">
        <is>
          <t>12:34</t>
        </is>
      </c>
      <c r="C2913" t="n">
        <v>3006</v>
      </c>
      <c r="D2913" s="6" t="n">
        <v>3.9</v>
      </c>
      <c r="E2913" t="n">
        <v>39803</v>
      </c>
      <c r="F2913" s="6" t="n">
        <v>3.9</v>
      </c>
      <c r="G2913" t="n">
        <v>1</v>
      </c>
      <c r="H2913" s="6">
        <f>ROUND(G2913*F2913,2)</f>
        <v/>
      </c>
      <c r="I2913">
        <f>IF(ROUND(H2913-D2913,2)=0,1,0)</f>
        <v/>
      </c>
      <c r="J2913">
        <f>IF(F2913="","none",IF(G2913=1,"carte","multiple"))</f>
        <v/>
      </c>
    </row>
    <row r="2914">
      <c r="A2914" t="inlineStr">
        <is>
          <t>2022-07-15</t>
        </is>
      </c>
      <c r="B2914" t="inlineStr">
        <is>
          <t>12:34</t>
        </is>
      </c>
      <c r="C2914" t="n">
        <v>3006</v>
      </c>
      <c r="D2914" s="6" t="n">
        <v>19.9</v>
      </c>
      <c r="E2914" t="n">
        <v>39804</v>
      </c>
      <c r="F2914" s="6" t="n">
        <v>19.9</v>
      </c>
      <c r="G2914" t="n">
        <v>1</v>
      </c>
      <c r="H2914" s="6">
        <f>ROUND(G2914*F2914,2)</f>
        <v/>
      </c>
      <c r="I2914">
        <f>IF(ROUND(H2914-D2914,2)=0,1,0)</f>
        <v/>
      </c>
      <c r="J2914">
        <f>IF(F2914="","none",IF(G2914=1,"carte","multiple"))</f>
        <v/>
      </c>
    </row>
    <row r="2915">
      <c r="A2915" t="inlineStr">
        <is>
          <t>2022-07-15</t>
        </is>
      </c>
      <c r="B2915" t="inlineStr">
        <is>
          <t>12:50</t>
        </is>
      </c>
      <c r="C2915" t="n">
        <v>3006</v>
      </c>
      <c r="D2915" s="6" t="n">
        <v>2.9</v>
      </c>
      <c r="E2915" t="n">
        <v>39805</v>
      </c>
      <c r="F2915" s="6" t="n">
        <v>2.9</v>
      </c>
      <c r="G2915" t="n">
        <v>1</v>
      </c>
      <c r="H2915" s="6">
        <f>ROUND(G2915*F2915,2)</f>
        <v/>
      </c>
      <c r="I2915">
        <f>IF(ROUND(H2915-D2915,2)=0,1,0)</f>
        <v/>
      </c>
      <c r="J2915">
        <f>IF(F2915="","none",IF(G2915=1,"carte","multiple"))</f>
        <v/>
      </c>
    </row>
    <row r="2916">
      <c r="A2916" t="inlineStr">
        <is>
          <t>2022-07-15</t>
        </is>
      </c>
      <c r="B2916" t="inlineStr">
        <is>
          <t>17:21</t>
        </is>
      </c>
      <c r="C2916" t="n">
        <v>3006</v>
      </c>
      <c r="D2916" s="6" t="n">
        <v>5.2</v>
      </c>
      <c r="E2916" t="n">
        <v>39807</v>
      </c>
      <c r="F2916" s="6" t="n">
        <v>5.2</v>
      </c>
      <c r="G2916" t="n">
        <v>1</v>
      </c>
      <c r="H2916" s="6">
        <f>ROUND(G2916*F2916,2)</f>
        <v/>
      </c>
      <c r="I2916">
        <f>IF(ROUND(H2916-D2916,2)=0,1,0)</f>
        <v/>
      </c>
      <c r="J2916">
        <f>IF(F2916="","none",IF(G2916=1,"carte","multiple"))</f>
        <v/>
      </c>
    </row>
    <row r="2917">
      <c r="A2917" t="inlineStr">
        <is>
          <t>2022-07-15</t>
        </is>
      </c>
      <c r="B2917" t="inlineStr">
        <is>
          <t>18:18</t>
        </is>
      </c>
      <c r="C2917" t="n">
        <v>3006</v>
      </c>
      <c r="D2917" s="6" t="n">
        <v>9.800000000000001</v>
      </c>
      <c r="E2917" t="n">
        <v>39808</v>
      </c>
      <c r="F2917" s="6" t="n">
        <v>9.800000000000001</v>
      </c>
      <c r="G2917" t="n">
        <v>1</v>
      </c>
      <c r="H2917" s="6">
        <f>ROUND(G2917*F2917,2)</f>
        <v/>
      </c>
      <c r="I2917">
        <f>IF(ROUND(H2917-D2917,2)=0,1,0)</f>
        <v/>
      </c>
      <c r="J2917">
        <f>IF(F2917="","none",IF(G2917=1,"carte","multiple"))</f>
        <v/>
      </c>
    </row>
    <row r="2918">
      <c r="A2918" t="inlineStr">
        <is>
          <t>2022-07-15</t>
        </is>
      </c>
      <c r="B2918" t="inlineStr">
        <is>
          <t>19:13</t>
        </is>
      </c>
      <c r="C2918" t="n">
        <v>3006</v>
      </c>
      <c r="D2918" s="6" t="n">
        <v>17.6</v>
      </c>
      <c r="E2918" t="n">
        <v>39809</v>
      </c>
      <c r="F2918" s="6" t="n">
        <v>17.6</v>
      </c>
      <c r="G2918" t="n">
        <v>1</v>
      </c>
      <c r="H2918" s="6">
        <f>ROUND(G2918*F2918,2)</f>
        <v/>
      </c>
      <c r="I2918">
        <f>IF(ROUND(H2918-D2918,2)=0,1,0)</f>
        <v/>
      </c>
      <c r="J2918">
        <f>IF(F2918="","none",IF(G2918=1,"carte","multiple"))</f>
        <v/>
      </c>
    </row>
    <row r="2919">
      <c r="A2919" t="inlineStr">
        <is>
          <t>2022-07-15</t>
        </is>
      </c>
      <c r="B2919" t="inlineStr">
        <is>
          <t>19:41</t>
        </is>
      </c>
      <c r="C2919" t="n">
        <v>3006</v>
      </c>
      <c r="D2919" s="6" t="n">
        <v>17.6</v>
      </c>
      <c r="E2919" t="n">
        <v>39810</v>
      </c>
      <c r="F2919" s="6" t="n">
        <v>17.6</v>
      </c>
      <c r="G2919" t="n">
        <v>1</v>
      </c>
      <c r="H2919" s="6">
        <f>ROUND(G2919*F2919,2)</f>
        <v/>
      </c>
      <c r="I2919">
        <f>IF(ROUND(H2919-D2919,2)=0,1,0)</f>
        <v/>
      </c>
      <c r="J2919">
        <f>IF(F2919="","none",IF(G2919=1,"carte","multiple"))</f>
        <v/>
      </c>
    </row>
    <row r="2920">
      <c r="A2920" t="inlineStr">
        <is>
          <t>2022-07-15</t>
        </is>
      </c>
      <c r="B2920" t="inlineStr">
        <is>
          <t>19:42</t>
        </is>
      </c>
      <c r="C2920" t="n">
        <v>3006</v>
      </c>
      <c r="D2920" s="6" t="n">
        <v>24.9</v>
      </c>
      <c r="E2920" t="n">
        <v>39811</v>
      </c>
      <c r="F2920" s="6" t="n">
        <v>24.9</v>
      </c>
      <c r="G2920" t="n">
        <v>1</v>
      </c>
      <c r="H2920" s="6">
        <f>ROUND(G2920*F2920,2)</f>
        <v/>
      </c>
      <c r="I2920">
        <f>IF(ROUND(H2920-D2920,2)=0,1,0)</f>
        <v/>
      </c>
      <c r="J2920">
        <f>IF(F2920="","none",IF(G2920=1,"carte","multiple"))</f>
        <v/>
      </c>
    </row>
    <row r="2921">
      <c r="A2921" t="inlineStr">
        <is>
          <t>2022-07-15</t>
        </is>
      </c>
      <c r="B2921" t="inlineStr">
        <is>
          <t>19:43</t>
        </is>
      </c>
      <c r="C2921" t="n">
        <v>3006</v>
      </c>
      <c r="D2921" s="6" t="n">
        <v>15.6</v>
      </c>
      <c r="E2921" t="n">
        <v>39812</v>
      </c>
      <c r="F2921" s="6" t="n">
        <v>15.6</v>
      </c>
      <c r="G2921" t="n">
        <v>1</v>
      </c>
      <c r="H2921" s="6">
        <f>ROUND(G2921*F2921,2)</f>
        <v/>
      </c>
      <c r="I2921">
        <f>IF(ROUND(H2921-D2921,2)=0,1,0)</f>
        <v/>
      </c>
      <c r="J2921">
        <f>IF(F2921="","none",IF(G2921=1,"carte","multiple"))</f>
        <v/>
      </c>
    </row>
    <row r="2922">
      <c r="A2922" t="inlineStr">
        <is>
          <t>2022-07-15</t>
        </is>
      </c>
      <c r="B2922" t="inlineStr">
        <is>
          <t>19:43</t>
        </is>
      </c>
      <c r="C2922" t="n">
        <v>3006</v>
      </c>
      <c r="D2922" s="6" t="n">
        <v>17.6</v>
      </c>
      <c r="E2922" t="n">
        <v>39813</v>
      </c>
      <c r="F2922" s="6" t="n">
        <v>17.6</v>
      </c>
      <c r="G2922" t="n">
        <v>1</v>
      </c>
      <c r="H2922" s="6">
        <f>ROUND(G2922*F2922,2)</f>
        <v/>
      </c>
      <c r="I2922">
        <f>IF(ROUND(H2922-D2922,2)=0,1,0)</f>
        <v/>
      </c>
      <c r="J2922">
        <f>IF(F2922="","none",IF(G2922=1,"carte","multiple"))</f>
        <v/>
      </c>
    </row>
    <row r="2923">
      <c r="A2923" t="inlineStr">
        <is>
          <t>2022-07-15</t>
        </is>
      </c>
      <c r="B2923" t="inlineStr">
        <is>
          <t>19:43</t>
        </is>
      </c>
      <c r="C2923" t="n">
        <v>3006</v>
      </c>
      <c r="D2923" s="6" t="n">
        <v>17.6</v>
      </c>
      <c r="E2923" t="n">
        <v>39814</v>
      </c>
      <c r="F2923" s="6" t="n">
        <v>17.6</v>
      </c>
      <c r="G2923" t="n">
        <v>1</v>
      </c>
      <c r="H2923" s="6">
        <f>ROUND(G2923*F2923,2)</f>
        <v/>
      </c>
      <c r="I2923">
        <f>IF(ROUND(H2923-D2923,2)=0,1,0)</f>
        <v/>
      </c>
      <c r="J2923">
        <f>IF(F2923="","none",IF(G2923=1,"carte","multiple"))</f>
        <v/>
      </c>
    </row>
    <row r="2924">
      <c r="A2924" t="inlineStr">
        <is>
          <t>2022-07-15</t>
        </is>
      </c>
      <c r="B2924" t="inlineStr">
        <is>
          <t>19:43</t>
        </is>
      </c>
      <c r="C2924" t="n">
        <v>3006</v>
      </c>
      <c r="D2924" s="6" t="n">
        <v>17.6</v>
      </c>
      <c r="E2924" t="n">
        <v>39815</v>
      </c>
      <c r="F2924" s="6" t="n">
        <v>17.6</v>
      </c>
      <c r="G2924" t="n">
        <v>1</v>
      </c>
      <c r="H2924" s="6">
        <f>ROUND(G2924*F2924,2)</f>
        <v/>
      </c>
      <c r="I2924">
        <f>IF(ROUND(H2924-D2924,2)=0,1,0)</f>
        <v/>
      </c>
      <c r="J2924">
        <f>IF(F2924="","none",IF(G2924=1,"carte","multiple"))</f>
        <v/>
      </c>
    </row>
    <row r="2925">
      <c r="A2925" t="inlineStr">
        <is>
          <t>2022-07-15</t>
        </is>
      </c>
      <c r="B2925" t="inlineStr">
        <is>
          <t>19:46</t>
        </is>
      </c>
      <c r="C2925" t="n">
        <v>3006</v>
      </c>
      <c r="D2925" s="6" t="n">
        <v>3.9</v>
      </c>
      <c r="E2925" t="n">
        <v>39816</v>
      </c>
      <c r="F2925" s="6" t="n">
        <v>3.9</v>
      </c>
      <c r="G2925" t="n">
        <v>1</v>
      </c>
      <c r="H2925" s="6">
        <f>ROUND(G2925*F2925,2)</f>
        <v/>
      </c>
      <c r="I2925">
        <f>IF(ROUND(H2925-D2925,2)=0,1,0)</f>
        <v/>
      </c>
      <c r="J2925">
        <f>IF(F2925="","none",IF(G2925=1,"carte","multiple"))</f>
        <v/>
      </c>
    </row>
    <row r="2926">
      <c r="A2926" t="inlineStr">
        <is>
          <t>2022-07-15</t>
        </is>
      </c>
      <c r="B2926" t="inlineStr">
        <is>
          <t>19:46</t>
        </is>
      </c>
      <c r="C2926" t="n">
        <v>3006</v>
      </c>
      <c r="D2926" s="6" t="n">
        <v>8.5</v>
      </c>
      <c r="E2926" t="n">
        <v>39817</v>
      </c>
      <c r="F2926" s="6" t="n">
        <v>8.5</v>
      </c>
      <c r="G2926" t="n">
        <v>1</v>
      </c>
      <c r="H2926" s="6">
        <f>ROUND(G2926*F2926,2)</f>
        <v/>
      </c>
      <c r="I2926">
        <f>IF(ROUND(H2926-D2926,2)=0,1,0)</f>
        <v/>
      </c>
      <c r="J2926">
        <f>IF(F2926="","none",IF(G2926=1,"carte","multiple"))</f>
        <v/>
      </c>
    </row>
    <row r="2927">
      <c r="A2927" t="inlineStr">
        <is>
          <t>2022-07-15</t>
        </is>
      </c>
      <c r="B2927" t="inlineStr">
        <is>
          <t>19:46</t>
        </is>
      </c>
      <c r="C2927" t="n">
        <v>3006</v>
      </c>
      <c r="D2927" s="6" t="n">
        <v>6.9</v>
      </c>
      <c r="E2927" t="n">
        <v>39818</v>
      </c>
      <c r="F2927" s="6" t="n">
        <v>6.9</v>
      </c>
      <c r="G2927" t="n">
        <v>1</v>
      </c>
      <c r="H2927" s="6">
        <f>ROUND(G2927*F2927,2)</f>
        <v/>
      </c>
      <c r="I2927">
        <f>IF(ROUND(H2927-D2927,2)=0,1,0)</f>
        <v/>
      </c>
      <c r="J2927">
        <f>IF(F2927="","none",IF(G2927=1,"carte","multiple"))</f>
        <v/>
      </c>
    </row>
    <row r="2928">
      <c r="A2928" t="inlineStr">
        <is>
          <t>2022-07-15</t>
        </is>
      </c>
      <c r="B2928" t="inlineStr">
        <is>
          <t>19:46</t>
        </is>
      </c>
      <c r="C2928" t="n">
        <v>3006</v>
      </c>
      <c r="D2928" s="6" t="n">
        <v>9.800000000000001</v>
      </c>
      <c r="E2928" t="n">
        <v>39819</v>
      </c>
      <c r="F2928" s="6" t="n">
        <v>9.800000000000001</v>
      </c>
      <c r="G2928" t="n">
        <v>1</v>
      </c>
      <c r="H2928" s="6">
        <f>ROUND(G2928*F2928,2)</f>
        <v/>
      </c>
      <c r="I2928">
        <f>IF(ROUND(H2928-D2928,2)=0,1,0)</f>
        <v/>
      </c>
      <c r="J2928">
        <f>IF(F2928="","none",IF(G2928=1,"carte","multiple"))</f>
        <v/>
      </c>
    </row>
    <row r="2929">
      <c r="A2929" t="inlineStr">
        <is>
          <t>2022-07-15</t>
        </is>
      </c>
      <c r="B2929" t="inlineStr">
        <is>
          <t>19:46</t>
        </is>
      </c>
      <c r="C2929" t="n">
        <v>3006</v>
      </c>
      <c r="D2929" s="6" t="n">
        <v>17.6</v>
      </c>
      <c r="E2929" t="n">
        <v>39820</v>
      </c>
      <c r="F2929" s="6" t="n">
        <v>17.6</v>
      </c>
      <c r="G2929" t="n">
        <v>1</v>
      </c>
      <c r="H2929" s="6">
        <f>ROUND(G2929*F2929,2)</f>
        <v/>
      </c>
      <c r="I2929">
        <f>IF(ROUND(H2929-D2929,2)=0,1,0)</f>
        <v/>
      </c>
      <c r="J2929">
        <f>IF(F2929="","none",IF(G2929=1,"carte","multiple"))</f>
        <v/>
      </c>
    </row>
    <row r="2930">
      <c r="A2930" t="inlineStr">
        <is>
          <t>2022-07-15</t>
        </is>
      </c>
      <c r="B2930" t="inlineStr">
        <is>
          <t>19:46</t>
        </is>
      </c>
      <c r="C2930" t="n">
        <v>3006</v>
      </c>
      <c r="D2930" s="6" t="n">
        <v>38</v>
      </c>
      <c r="E2930" t="n">
        <v>39821</v>
      </c>
      <c r="F2930" s="6" t="n">
        <v>0.4</v>
      </c>
      <c r="G2930" t="n">
        <v>95</v>
      </c>
      <c r="H2930" s="6">
        <f>ROUND(G2930*F2930,2)</f>
        <v/>
      </c>
      <c r="I2930">
        <f>IF(ROUND(H2930-D2930,2)=0,1,0)</f>
        <v/>
      </c>
      <c r="J2930">
        <f>IF(F2930="","none",IF(G2930=1,"carte","multiple"))</f>
        <v/>
      </c>
    </row>
    <row r="2931">
      <c r="A2931" t="inlineStr">
        <is>
          <t>2022-07-15</t>
        </is>
      </c>
      <c r="B2931" t="inlineStr">
        <is>
          <t>19:46</t>
        </is>
      </c>
      <c r="C2931" t="n">
        <v>3006</v>
      </c>
      <c r="D2931" s="6" t="n">
        <v>20.9</v>
      </c>
      <c r="E2931" t="n">
        <v>39822</v>
      </c>
      <c r="F2931" s="6" t="n">
        <v>20.9</v>
      </c>
      <c r="G2931" t="n">
        <v>1</v>
      </c>
      <c r="H2931" s="6">
        <f>ROUND(G2931*F2931,2)</f>
        <v/>
      </c>
      <c r="I2931">
        <f>IF(ROUND(H2931-D2931,2)=0,1,0)</f>
        <v/>
      </c>
      <c r="J2931">
        <f>IF(F2931="","none",IF(G2931=1,"carte","multiple"))</f>
        <v/>
      </c>
    </row>
    <row r="2932">
      <c r="A2932" t="inlineStr">
        <is>
          <t>2022-07-15</t>
        </is>
      </c>
      <c r="B2932" t="inlineStr">
        <is>
          <t>19:46</t>
        </is>
      </c>
      <c r="C2932" t="n">
        <v>3006</v>
      </c>
      <c r="D2932" s="6" t="n">
        <v>4.2</v>
      </c>
      <c r="E2932" t="n">
        <v>39823</v>
      </c>
      <c r="F2932" s="6" t="n">
        <v>4.2</v>
      </c>
      <c r="G2932" t="n">
        <v>1</v>
      </c>
      <c r="H2932" s="6">
        <f>ROUND(G2932*F2932,2)</f>
        <v/>
      </c>
      <c r="I2932">
        <f>IF(ROUND(H2932-D2932,2)=0,1,0)</f>
        <v/>
      </c>
      <c r="J2932">
        <f>IF(F2932="","none",IF(G2932=1,"carte","multiple"))</f>
        <v/>
      </c>
    </row>
    <row r="2933">
      <c r="A2933" t="inlineStr">
        <is>
          <t>2022-07-15</t>
        </is>
      </c>
      <c r="B2933" t="inlineStr">
        <is>
          <t>19:46</t>
        </is>
      </c>
      <c r="C2933" t="n">
        <v>3006</v>
      </c>
      <c r="D2933" s="6" t="n">
        <v>3.9</v>
      </c>
      <c r="E2933" t="n">
        <v>39824</v>
      </c>
      <c r="F2933" s="6" t="n">
        <v>3.9</v>
      </c>
      <c r="G2933" t="n">
        <v>1</v>
      </c>
      <c r="H2933" s="6">
        <f>ROUND(G2933*F2933,2)</f>
        <v/>
      </c>
      <c r="I2933">
        <f>IF(ROUND(H2933-D2933,2)=0,1,0)</f>
        <v/>
      </c>
      <c r="J2933">
        <f>IF(F2933="","none",IF(G2933=1,"carte","multiple"))</f>
        <v/>
      </c>
    </row>
    <row r="2934">
      <c r="A2934" t="inlineStr">
        <is>
          <t>2022-07-15</t>
        </is>
      </c>
      <c r="B2934" t="inlineStr">
        <is>
          <t>19:46</t>
        </is>
      </c>
      <c r="C2934" t="n">
        <v>3006</v>
      </c>
      <c r="D2934" s="6" t="n">
        <v>5.2</v>
      </c>
      <c r="E2934" t="n">
        <v>39825</v>
      </c>
      <c r="F2934" s="6" t="n">
        <v>5.2</v>
      </c>
      <c r="G2934" t="n">
        <v>1</v>
      </c>
      <c r="H2934" s="6">
        <f>ROUND(G2934*F2934,2)</f>
        <v/>
      </c>
      <c r="I2934">
        <f>IF(ROUND(H2934-D2934,2)=0,1,0)</f>
        <v/>
      </c>
      <c r="J2934">
        <f>IF(F2934="","none",IF(G2934=1,"carte","multiple"))</f>
        <v/>
      </c>
    </row>
    <row r="2935">
      <c r="A2935" t="inlineStr">
        <is>
          <t>2022-07-15</t>
        </is>
      </c>
      <c r="B2935" t="inlineStr">
        <is>
          <t>19:50</t>
        </is>
      </c>
      <c r="C2935" t="n">
        <v>3006</v>
      </c>
      <c r="D2935" s="6" t="n">
        <v>2.9</v>
      </c>
      <c r="E2935" t="n">
        <v>39826</v>
      </c>
      <c r="F2935" s="6" t="n">
        <v>2.9</v>
      </c>
      <c r="G2935" t="n">
        <v>1</v>
      </c>
      <c r="H2935" s="6">
        <f>ROUND(G2935*F2935,2)</f>
        <v/>
      </c>
      <c r="I2935">
        <f>IF(ROUND(H2935-D2935,2)=0,1,0)</f>
        <v/>
      </c>
      <c r="J2935">
        <f>IF(F2935="","none",IF(G2935=1,"carte","multiple"))</f>
        <v/>
      </c>
    </row>
    <row r="2936">
      <c r="A2936" t="inlineStr">
        <is>
          <t>2022-07-15</t>
        </is>
      </c>
      <c r="B2936" t="inlineStr">
        <is>
          <t>19:50</t>
        </is>
      </c>
      <c r="C2936" t="n">
        <v>3006</v>
      </c>
      <c r="D2936" s="6" t="n">
        <v>1.2</v>
      </c>
      <c r="E2936" t="n">
        <v>39827</v>
      </c>
      <c r="F2936" s="6" t="n">
        <v>1.2</v>
      </c>
      <c r="G2936" t="n">
        <v>1</v>
      </c>
      <c r="H2936" s="6">
        <f>ROUND(G2936*F2936,2)</f>
        <v/>
      </c>
      <c r="I2936">
        <f>IF(ROUND(H2936-D2936,2)=0,1,0)</f>
        <v/>
      </c>
      <c r="J2936">
        <f>IF(F2936="","none",IF(G2936=1,"carte","multiple"))</f>
        <v/>
      </c>
    </row>
    <row r="2937">
      <c r="A2937" t="inlineStr">
        <is>
          <t>2022-07-15</t>
        </is>
      </c>
      <c r="B2937" t="inlineStr">
        <is>
          <t>19:57</t>
        </is>
      </c>
      <c r="C2937" t="n">
        <v>3006</v>
      </c>
      <c r="D2937" s="6" t="n">
        <v>23</v>
      </c>
      <c r="E2937" t="n">
        <v>39828</v>
      </c>
      <c r="F2937" s="6" t="n">
        <v>23</v>
      </c>
      <c r="G2937" t="n">
        <v>1</v>
      </c>
      <c r="H2937" s="6">
        <f>ROUND(G2937*F2937,2)</f>
        <v/>
      </c>
      <c r="I2937">
        <f>IF(ROUND(H2937-D2937,2)=0,1,0)</f>
        <v/>
      </c>
      <c r="J2937">
        <f>IF(F2937="","none",IF(G2937=1,"carte","multiple"))</f>
        <v/>
      </c>
    </row>
    <row r="2938">
      <c r="A2938" t="inlineStr">
        <is>
          <t>2022-07-15</t>
        </is>
      </c>
      <c r="B2938" t="inlineStr">
        <is>
          <t>20:10</t>
        </is>
      </c>
      <c r="C2938" t="n">
        <v>3006</v>
      </c>
      <c r="D2938" s="6" t="n">
        <v>13.9</v>
      </c>
      <c r="E2938" t="n">
        <v>39829</v>
      </c>
      <c r="F2938" s="6" t="n">
        <v>13.9</v>
      </c>
      <c r="G2938" t="n">
        <v>1</v>
      </c>
      <c r="H2938" s="6">
        <f>ROUND(G2938*F2938,2)</f>
        <v/>
      </c>
      <c r="I2938">
        <f>IF(ROUND(H2938-D2938,2)=0,1,0)</f>
        <v/>
      </c>
      <c r="J2938">
        <f>IF(F2938="","none",IF(G2938=1,"carte","multiple"))</f>
        <v/>
      </c>
    </row>
    <row r="2939">
      <c r="A2939" t="inlineStr">
        <is>
          <t>2022-07-15</t>
        </is>
      </c>
      <c r="B2939" t="inlineStr">
        <is>
          <t>20:10</t>
        </is>
      </c>
      <c r="C2939" t="n">
        <v>3006</v>
      </c>
      <c r="D2939" s="6" t="n">
        <v>9.9</v>
      </c>
      <c r="E2939" t="n">
        <v>39830</v>
      </c>
      <c r="F2939" s="6" t="n">
        <v>9.9</v>
      </c>
      <c r="G2939" t="n">
        <v>1</v>
      </c>
      <c r="H2939" s="6">
        <f>ROUND(G2939*F2939,2)</f>
        <v/>
      </c>
      <c r="I2939">
        <f>IF(ROUND(H2939-D2939,2)=0,1,0)</f>
        <v/>
      </c>
      <c r="J2939">
        <f>IF(F2939="","none",IF(G2939=1,"carte","multiple"))</f>
        <v/>
      </c>
    </row>
    <row r="2940">
      <c r="A2940" t="inlineStr">
        <is>
          <t>2022-07-15</t>
        </is>
      </c>
      <c r="B2940" t="inlineStr">
        <is>
          <t>20:10</t>
        </is>
      </c>
      <c r="C2940" t="n">
        <v>3006</v>
      </c>
      <c r="D2940" s="6" t="n">
        <v>3.9</v>
      </c>
      <c r="E2940" t="n">
        <v>39831</v>
      </c>
      <c r="F2940" s="6" t="n">
        <v>3.9</v>
      </c>
      <c r="G2940" t="n">
        <v>1</v>
      </c>
      <c r="H2940" s="6">
        <f>ROUND(G2940*F2940,2)</f>
        <v/>
      </c>
      <c r="I2940">
        <f>IF(ROUND(H2940-D2940,2)=0,1,0)</f>
        <v/>
      </c>
      <c r="J2940">
        <f>IF(F2940="","none",IF(G2940=1,"carte","multiple"))</f>
        <v/>
      </c>
    </row>
    <row r="2941">
      <c r="A2941" t="inlineStr">
        <is>
          <t>2022-07-15</t>
        </is>
      </c>
      <c r="B2941" t="inlineStr">
        <is>
          <t>20:10</t>
        </is>
      </c>
      <c r="C2941" t="n">
        <v>3006</v>
      </c>
      <c r="D2941" s="6" t="n">
        <v>4</v>
      </c>
      <c r="E2941" t="n">
        <v>39832</v>
      </c>
      <c r="F2941" s="6" t="n">
        <v>4</v>
      </c>
      <c r="G2941" t="n">
        <v>1</v>
      </c>
      <c r="H2941" s="6">
        <f>ROUND(G2941*F2941,2)</f>
        <v/>
      </c>
      <c r="I2941">
        <f>IF(ROUND(H2941-D2941,2)=0,1,0)</f>
        <v/>
      </c>
      <c r="J2941">
        <f>IF(F2941="","none",IF(G2941=1,"carte","multiple"))</f>
        <v/>
      </c>
    </row>
    <row r="2942">
      <c r="A2942" t="inlineStr">
        <is>
          <t>2022-07-15</t>
        </is>
      </c>
      <c r="B2942" t="inlineStr">
        <is>
          <t>20:20</t>
        </is>
      </c>
      <c r="C2942" t="n">
        <v>3006</v>
      </c>
      <c r="D2942" s="6" t="n">
        <v>3.4</v>
      </c>
      <c r="E2942" t="n">
        <v>39833</v>
      </c>
      <c r="F2942" s="6" t="n">
        <v>3.4</v>
      </c>
      <c r="G2942" t="n">
        <v>1</v>
      </c>
      <c r="H2942" s="6">
        <f>ROUND(G2942*F2942,2)</f>
        <v/>
      </c>
      <c r="I2942">
        <f>IF(ROUND(H2942-D2942,2)=0,1,0)</f>
        <v/>
      </c>
      <c r="J2942">
        <f>IF(F2942="","none",IF(G2942=1,"carte","multiple"))</f>
        <v/>
      </c>
    </row>
    <row r="2943">
      <c r="A2943" t="inlineStr">
        <is>
          <t>2022-07-15</t>
        </is>
      </c>
      <c r="B2943" t="inlineStr">
        <is>
          <t>20:38</t>
        </is>
      </c>
      <c r="C2943" t="n">
        <v>3006</v>
      </c>
      <c r="D2943" s="6" t="n">
        <v>6.4</v>
      </c>
      <c r="E2943" t="n">
        <v>39834</v>
      </c>
      <c r="F2943" s="6" t="n">
        <v>6.4</v>
      </c>
      <c r="G2943" t="n">
        <v>1</v>
      </c>
      <c r="H2943" s="6">
        <f>ROUND(G2943*F2943,2)</f>
        <v/>
      </c>
      <c r="I2943">
        <f>IF(ROUND(H2943-D2943,2)=0,1,0)</f>
        <v/>
      </c>
      <c r="J2943">
        <f>IF(F2943="","none",IF(G2943=1,"carte","multiple"))</f>
        <v/>
      </c>
    </row>
    <row r="2944">
      <c r="A2944" t="inlineStr">
        <is>
          <t>2022-07-15</t>
        </is>
      </c>
      <c r="B2944" t="inlineStr">
        <is>
          <t>20:38</t>
        </is>
      </c>
      <c r="C2944" t="n">
        <v>3006</v>
      </c>
      <c r="D2944" s="6" t="n">
        <v>16.9</v>
      </c>
      <c r="E2944" t="n">
        <v>39835</v>
      </c>
      <c r="F2944" s="6" t="n">
        <v>16.9</v>
      </c>
      <c r="G2944" t="n">
        <v>1</v>
      </c>
      <c r="H2944" s="6">
        <f>ROUND(G2944*F2944,2)</f>
        <v/>
      </c>
      <c r="I2944">
        <f>IF(ROUND(H2944-D2944,2)=0,1,0)</f>
        <v/>
      </c>
      <c r="J2944">
        <f>IF(F2944="","none",IF(G2944=1,"carte","multiple"))</f>
        <v/>
      </c>
    </row>
    <row r="2945">
      <c r="A2945" t="inlineStr">
        <is>
          <t>2022-07-15</t>
        </is>
      </c>
      <c r="B2945" t="inlineStr">
        <is>
          <t>20:38</t>
        </is>
      </c>
      <c r="C2945" t="n">
        <v>3006</v>
      </c>
      <c r="D2945" s="6" t="n">
        <v>5.9</v>
      </c>
      <c r="E2945" t="n">
        <v>39836</v>
      </c>
      <c r="F2945" s="6" t="n">
        <v>5.9</v>
      </c>
      <c r="G2945" t="n">
        <v>1</v>
      </c>
      <c r="H2945" s="6">
        <f>ROUND(G2945*F2945,2)</f>
        <v/>
      </c>
      <c r="I2945">
        <f>IF(ROUND(H2945-D2945,2)=0,1,0)</f>
        <v/>
      </c>
      <c r="J2945">
        <f>IF(F2945="","none",IF(G2945=1,"carte","multiple"))</f>
        <v/>
      </c>
    </row>
    <row r="2946">
      <c r="A2946" t="inlineStr">
        <is>
          <t>2022-07-15</t>
        </is>
      </c>
      <c r="B2946" t="inlineStr">
        <is>
          <t>20:38</t>
        </is>
      </c>
      <c r="C2946" t="n">
        <v>3006</v>
      </c>
      <c r="D2946" s="6" t="n">
        <v>17.6</v>
      </c>
      <c r="E2946" t="n">
        <v>39837</v>
      </c>
      <c r="F2946" s="6" t="n">
        <v>17.6</v>
      </c>
      <c r="G2946" t="n">
        <v>1</v>
      </c>
      <c r="H2946" s="6">
        <f>ROUND(G2946*F2946,2)</f>
        <v/>
      </c>
      <c r="I2946">
        <f>IF(ROUND(H2946-D2946,2)=0,1,0)</f>
        <v/>
      </c>
      <c r="J2946">
        <f>IF(F2946="","none",IF(G2946=1,"carte","multiple"))</f>
        <v/>
      </c>
    </row>
    <row r="2947">
      <c r="A2947" t="inlineStr">
        <is>
          <t>2022-07-15</t>
        </is>
      </c>
      <c r="B2947" t="inlineStr">
        <is>
          <t>20:38</t>
        </is>
      </c>
      <c r="C2947" t="n">
        <v>3006</v>
      </c>
      <c r="D2947" s="6" t="n">
        <v>17.6</v>
      </c>
      <c r="E2947" t="n">
        <v>39838</v>
      </c>
      <c r="F2947" s="6" t="n">
        <v>17.6</v>
      </c>
      <c r="G2947" t="n">
        <v>1</v>
      </c>
      <c r="H2947" s="6">
        <f>ROUND(G2947*F2947,2)</f>
        <v/>
      </c>
      <c r="I2947">
        <f>IF(ROUND(H2947-D2947,2)=0,1,0)</f>
        <v/>
      </c>
      <c r="J2947">
        <f>IF(F2947="","none",IF(G2947=1,"carte","multiple"))</f>
        <v/>
      </c>
    </row>
    <row r="2948">
      <c r="A2948" t="inlineStr">
        <is>
          <t>2022-07-15</t>
        </is>
      </c>
      <c r="B2948" t="inlineStr">
        <is>
          <t>20:44</t>
        </is>
      </c>
      <c r="C2948" t="n">
        <v>3006</v>
      </c>
      <c r="D2948" s="6" t="n">
        <v>1.8</v>
      </c>
      <c r="E2948" t="n">
        <v>39839</v>
      </c>
      <c r="F2948" s="6" t="n">
        <v>1.8</v>
      </c>
      <c r="G2948" t="n">
        <v>1</v>
      </c>
      <c r="H2948" s="6">
        <f>ROUND(G2948*F2948,2)</f>
        <v/>
      </c>
      <c r="I2948">
        <f>IF(ROUND(H2948-D2948,2)=0,1,0)</f>
        <v/>
      </c>
      <c r="J2948">
        <f>IF(F2948="","none",IF(G2948=1,"carte","multiple"))</f>
        <v/>
      </c>
    </row>
    <row r="2949">
      <c r="A2949" t="inlineStr">
        <is>
          <t>2022-07-15</t>
        </is>
      </c>
      <c r="B2949" t="inlineStr">
        <is>
          <t>20:44</t>
        </is>
      </c>
      <c r="C2949" t="n">
        <v>3006</v>
      </c>
      <c r="D2949" s="6" t="n">
        <v>4.7</v>
      </c>
      <c r="E2949" t="n">
        <v>39840</v>
      </c>
      <c r="F2949" s="6" t="n">
        <v>4.7</v>
      </c>
      <c r="G2949" t="n">
        <v>1</v>
      </c>
      <c r="H2949" s="6">
        <f>ROUND(G2949*F2949,2)</f>
        <v/>
      </c>
      <c r="I2949">
        <f>IF(ROUND(H2949-D2949,2)=0,1,0)</f>
        <v/>
      </c>
      <c r="J2949">
        <f>IF(F2949="","none",IF(G2949=1,"carte","multiple"))</f>
        <v/>
      </c>
    </row>
    <row r="2950">
      <c r="A2950" t="inlineStr">
        <is>
          <t>2022-07-15</t>
        </is>
      </c>
      <c r="B2950" t="inlineStr">
        <is>
          <t>21:03</t>
        </is>
      </c>
      <c r="C2950" t="n">
        <v>3006</v>
      </c>
      <c r="D2950" s="6" t="n">
        <v>2.2</v>
      </c>
      <c r="E2950" t="n">
        <v>39841</v>
      </c>
      <c r="F2950" s="6" t="n">
        <v>2.2</v>
      </c>
      <c r="G2950" t="n">
        <v>1</v>
      </c>
      <c r="H2950" s="6">
        <f>ROUND(G2950*F2950,2)</f>
        <v/>
      </c>
      <c r="I2950">
        <f>IF(ROUND(H2950-D2950,2)=0,1,0)</f>
        <v/>
      </c>
      <c r="J2950">
        <f>IF(F2950="","none",IF(G2950=1,"carte","multiple"))</f>
        <v/>
      </c>
    </row>
    <row r="2951">
      <c r="A2951" t="inlineStr">
        <is>
          <t>2022-07-15</t>
        </is>
      </c>
      <c r="B2951" t="inlineStr">
        <is>
          <t>21:03</t>
        </is>
      </c>
      <c r="C2951" t="n">
        <v>3006</v>
      </c>
      <c r="D2951" s="6" t="n">
        <v>8.699999999999999</v>
      </c>
      <c r="E2951" t="n">
        <v>39842</v>
      </c>
      <c r="F2951" s="6" t="n">
        <v>8.699999999999999</v>
      </c>
      <c r="G2951" t="n">
        <v>1</v>
      </c>
      <c r="H2951" s="6">
        <f>ROUND(G2951*F2951,2)</f>
        <v/>
      </c>
      <c r="I2951">
        <f>IF(ROUND(H2951-D2951,2)=0,1,0)</f>
        <v/>
      </c>
      <c r="J2951">
        <f>IF(F2951="","none",IF(G2951=1,"carte","multiple"))</f>
        <v/>
      </c>
    </row>
    <row r="2952">
      <c r="A2952" t="inlineStr">
        <is>
          <t>2022-07-15</t>
        </is>
      </c>
      <c r="B2952" t="inlineStr">
        <is>
          <t>21:03</t>
        </is>
      </c>
      <c r="C2952" t="n">
        <v>3006</v>
      </c>
      <c r="D2952" s="6" t="n">
        <v>2</v>
      </c>
      <c r="E2952" t="n">
        <v>39843</v>
      </c>
      <c r="F2952" s="6" t="n">
        <v>2</v>
      </c>
      <c r="G2952" t="n">
        <v>1</v>
      </c>
      <c r="H2952" s="6">
        <f>ROUND(G2952*F2952,2)</f>
        <v/>
      </c>
      <c r="I2952">
        <f>IF(ROUND(H2952-D2952,2)=0,1,0)</f>
        <v/>
      </c>
      <c r="J2952">
        <f>IF(F2952="","none",IF(G2952=1,"carte","multiple"))</f>
        <v/>
      </c>
    </row>
    <row r="2953">
      <c r="A2953" t="inlineStr">
        <is>
          <t>2022-07-15</t>
        </is>
      </c>
      <c r="B2953" t="inlineStr">
        <is>
          <t>21:03</t>
        </is>
      </c>
      <c r="C2953" t="n">
        <v>3006</v>
      </c>
      <c r="D2953" s="6" t="n">
        <v>17.6</v>
      </c>
      <c r="E2953" t="n">
        <v>39844</v>
      </c>
      <c r="F2953" s="6" t="n">
        <v>17.6</v>
      </c>
      <c r="G2953" t="n">
        <v>1</v>
      </c>
      <c r="H2953" s="6">
        <f>ROUND(G2953*F2953,2)</f>
        <v/>
      </c>
      <c r="I2953">
        <f>IF(ROUND(H2953-D2953,2)=0,1,0)</f>
        <v/>
      </c>
      <c r="J2953">
        <f>IF(F2953="","none",IF(G2953=1,"carte","multiple"))</f>
        <v/>
      </c>
    </row>
    <row r="2954">
      <c r="A2954" t="inlineStr">
        <is>
          <t>2022-07-15</t>
        </is>
      </c>
      <c r="B2954" t="inlineStr">
        <is>
          <t>21:03</t>
        </is>
      </c>
      <c r="C2954" t="n">
        <v>3006</v>
      </c>
      <c r="D2954" s="6" t="n">
        <v>14.5</v>
      </c>
      <c r="E2954" t="n">
        <v>39845</v>
      </c>
      <c r="F2954" s="6" t="n">
        <v>14.5</v>
      </c>
      <c r="G2954" t="n">
        <v>1</v>
      </c>
      <c r="H2954" s="6">
        <f>ROUND(G2954*F2954,2)</f>
        <v/>
      </c>
      <c r="I2954">
        <f>IF(ROUND(H2954-D2954,2)=0,1,0)</f>
        <v/>
      </c>
      <c r="J2954">
        <f>IF(F2954="","none",IF(G2954=1,"carte","multiple"))</f>
        <v/>
      </c>
    </row>
    <row r="2955">
      <c r="A2955" t="inlineStr">
        <is>
          <t>2022-07-15</t>
        </is>
      </c>
      <c r="B2955" t="inlineStr">
        <is>
          <t>21:03</t>
        </is>
      </c>
      <c r="C2955" t="n">
        <v>3006</v>
      </c>
      <c r="D2955" s="6" t="n">
        <v>5.9</v>
      </c>
      <c r="E2955" t="n">
        <v>39846</v>
      </c>
      <c r="F2955" s="6" t="n">
        <v>5.9</v>
      </c>
      <c r="G2955" t="n">
        <v>1</v>
      </c>
      <c r="H2955" s="6">
        <f>ROUND(G2955*F2955,2)</f>
        <v/>
      </c>
      <c r="I2955">
        <f>IF(ROUND(H2955-D2955,2)=0,1,0)</f>
        <v/>
      </c>
      <c r="J2955">
        <f>IF(F2955="","none",IF(G2955=1,"carte","multiple"))</f>
        <v/>
      </c>
    </row>
    <row r="2956">
      <c r="A2956" t="inlineStr">
        <is>
          <t>2022-07-15</t>
        </is>
      </c>
      <c r="B2956" t="inlineStr">
        <is>
          <t>21:03</t>
        </is>
      </c>
      <c r="C2956" t="n">
        <v>3006</v>
      </c>
      <c r="D2956" s="6" t="n">
        <v>4</v>
      </c>
      <c r="E2956" t="n">
        <v>39847</v>
      </c>
      <c r="F2956" s="6" t="n">
        <v>4</v>
      </c>
      <c r="G2956" t="n">
        <v>1</v>
      </c>
      <c r="H2956" s="6">
        <f>ROUND(G2956*F2956,2)</f>
        <v/>
      </c>
      <c r="I2956">
        <f>IF(ROUND(H2956-D2956,2)=0,1,0)</f>
        <v/>
      </c>
      <c r="J2956">
        <f>IF(F2956="","none",IF(G2956=1,"carte","multiple"))</f>
        <v/>
      </c>
    </row>
    <row r="2957">
      <c r="A2957" t="inlineStr">
        <is>
          <t>2022-07-15</t>
        </is>
      </c>
      <c r="B2957" t="inlineStr">
        <is>
          <t>21:03</t>
        </is>
      </c>
      <c r="C2957" t="n">
        <v>3006</v>
      </c>
      <c r="D2957" s="6" t="n">
        <v>3.9</v>
      </c>
      <c r="E2957" t="n">
        <v>39848</v>
      </c>
      <c r="F2957" s="6" t="n">
        <v>3.9</v>
      </c>
      <c r="G2957" t="n">
        <v>1</v>
      </c>
      <c r="H2957" s="6">
        <f>ROUND(G2957*F2957,2)</f>
        <v/>
      </c>
      <c r="I2957">
        <f>IF(ROUND(H2957-D2957,2)=0,1,0)</f>
        <v/>
      </c>
      <c r="J2957">
        <f>IF(F2957="","none",IF(G2957=1,"carte","multiple"))</f>
        <v/>
      </c>
    </row>
    <row r="2958">
      <c r="A2958" t="inlineStr">
        <is>
          <t>2022-07-15</t>
        </is>
      </c>
      <c r="B2958" t="inlineStr">
        <is>
          <t>21:03</t>
        </is>
      </c>
      <c r="C2958" t="n">
        <v>3006</v>
      </c>
      <c r="D2958" s="6" t="n">
        <v>5.9</v>
      </c>
      <c r="E2958" t="n">
        <v>39849</v>
      </c>
      <c r="F2958" s="6" t="n">
        <v>5.9</v>
      </c>
      <c r="G2958" t="n">
        <v>1</v>
      </c>
      <c r="H2958" s="6">
        <f>ROUND(G2958*F2958,2)</f>
        <v/>
      </c>
      <c r="I2958">
        <f>IF(ROUND(H2958-D2958,2)=0,1,0)</f>
        <v/>
      </c>
      <c r="J2958">
        <f>IF(F2958="","none",IF(G2958=1,"carte","multiple"))</f>
        <v/>
      </c>
    </row>
    <row r="2959">
      <c r="A2959" t="inlineStr">
        <is>
          <t>2022-07-15</t>
        </is>
      </c>
      <c r="B2959" t="inlineStr">
        <is>
          <t>21:03</t>
        </is>
      </c>
      <c r="C2959" t="n">
        <v>3006</v>
      </c>
      <c r="D2959" s="6" t="n">
        <v>3.8</v>
      </c>
      <c r="E2959" t="n">
        <v>39850</v>
      </c>
      <c r="F2959" s="6" t="n">
        <v>3.8</v>
      </c>
      <c r="G2959" t="n">
        <v>1</v>
      </c>
      <c r="H2959" s="6">
        <f>ROUND(G2959*F2959,2)</f>
        <v/>
      </c>
      <c r="I2959">
        <f>IF(ROUND(H2959-D2959,2)=0,1,0)</f>
        <v/>
      </c>
      <c r="J2959">
        <f>IF(F2959="","none",IF(G2959=1,"carte","multiple"))</f>
        <v/>
      </c>
    </row>
    <row r="2960">
      <c r="A2960" t="inlineStr">
        <is>
          <t>2022-07-15</t>
        </is>
      </c>
      <c r="B2960" t="inlineStr">
        <is>
          <t>21:03</t>
        </is>
      </c>
      <c r="C2960" t="n">
        <v>3006</v>
      </c>
      <c r="D2960" s="6" t="n">
        <v>6</v>
      </c>
      <c r="E2960" t="n">
        <v>39851</v>
      </c>
      <c r="F2960" s="6" t="n">
        <v>6</v>
      </c>
      <c r="G2960" t="n">
        <v>1</v>
      </c>
      <c r="H2960" s="6">
        <f>ROUND(G2960*F2960,2)</f>
        <v/>
      </c>
      <c r="I2960">
        <f>IF(ROUND(H2960-D2960,2)=0,1,0)</f>
        <v/>
      </c>
      <c r="J2960">
        <f>IF(F2960="","none",IF(G2960=1,"carte","multiple"))</f>
        <v/>
      </c>
    </row>
    <row r="2961">
      <c r="A2961" t="inlineStr">
        <is>
          <t>2022-07-16</t>
        </is>
      </c>
      <c r="B2961" t="inlineStr">
        <is>
          <t>10:16</t>
        </is>
      </c>
      <c r="C2961" t="n">
        <v>3007</v>
      </c>
      <c r="D2961" s="6" t="n">
        <v>9.800000000000001</v>
      </c>
      <c r="E2961" t="n">
        <v>39854</v>
      </c>
      <c r="F2961" s="6" t="n">
        <v>9.800000000000001</v>
      </c>
      <c r="G2961" t="n">
        <v>1</v>
      </c>
      <c r="H2961" s="6">
        <f>ROUND(G2961*F2961,2)</f>
        <v/>
      </c>
      <c r="I2961">
        <f>IF(ROUND(H2961-D2961,2)=0,1,0)</f>
        <v/>
      </c>
      <c r="J2961">
        <f>IF(F2961="","none",IF(G2961=1,"carte","multiple"))</f>
        <v/>
      </c>
    </row>
    <row r="2962">
      <c r="A2962" t="inlineStr">
        <is>
          <t>2022-07-16</t>
        </is>
      </c>
      <c r="B2962" t="inlineStr">
        <is>
          <t>10:29</t>
        </is>
      </c>
      <c r="C2962" t="n">
        <v>3007</v>
      </c>
      <c r="D2962" s="6" t="n">
        <v>9.800000000000001</v>
      </c>
      <c r="E2962" t="n">
        <v>39855</v>
      </c>
      <c r="F2962" s="6" t="n">
        <v>9.800000000000001</v>
      </c>
      <c r="G2962" t="n">
        <v>1</v>
      </c>
      <c r="H2962" s="6">
        <f>ROUND(G2962*F2962,2)</f>
        <v/>
      </c>
      <c r="I2962">
        <f>IF(ROUND(H2962-D2962,2)=0,1,0)</f>
        <v/>
      </c>
      <c r="J2962">
        <f>IF(F2962="","none",IF(G2962=1,"carte","multiple"))</f>
        <v/>
      </c>
    </row>
    <row r="2963">
      <c r="A2963" t="inlineStr">
        <is>
          <t>2022-07-16</t>
        </is>
      </c>
      <c r="B2963" t="inlineStr">
        <is>
          <t>10:29</t>
        </is>
      </c>
      <c r="C2963" t="n">
        <v>3007</v>
      </c>
      <c r="D2963" s="6" t="n">
        <v>4</v>
      </c>
      <c r="E2963" t="n">
        <v>39856</v>
      </c>
      <c r="F2963" s="6" t="n">
        <v>4</v>
      </c>
      <c r="G2963" t="n">
        <v>1</v>
      </c>
      <c r="H2963" s="6">
        <f>ROUND(G2963*F2963,2)</f>
        <v/>
      </c>
      <c r="I2963">
        <f>IF(ROUND(H2963-D2963,2)=0,1,0)</f>
        <v/>
      </c>
      <c r="J2963">
        <f>IF(F2963="","none",IF(G2963=1,"carte","multiple"))</f>
        <v/>
      </c>
    </row>
    <row r="2964">
      <c r="A2964" t="inlineStr">
        <is>
          <t>2022-07-16</t>
        </is>
      </c>
      <c r="B2964" t="inlineStr">
        <is>
          <t>11:03</t>
        </is>
      </c>
      <c r="C2964" t="n">
        <v>3007</v>
      </c>
      <c r="D2964" s="6" t="n">
        <v>4.7</v>
      </c>
      <c r="E2964" t="n">
        <v>39857</v>
      </c>
      <c r="F2964" s="6" t="n">
        <v>4.7</v>
      </c>
      <c r="G2964" t="n">
        <v>1</v>
      </c>
      <c r="H2964" s="6">
        <f>ROUND(G2964*F2964,2)</f>
        <v/>
      </c>
      <c r="I2964">
        <f>IF(ROUND(H2964-D2964,2)=0,1,0)</f>
        <v/>
      </c>
      <c r="J2964">
        <f>IF(F2964="","none",IF(G2964=1,"carte","multiple"))</f>
        <v/>
      </c>
    </row>
    <row r="2965">
      <c r="A2965" t="inlineStr">
        <is>
          <t>2022-07-16</t>
        </is>
      </c>
      <c r="B2965" t="inlineStr">
        <is>
          <t>11:05</t>
        </is>
      </c>
      <c r="C2965" t="n">
        <v>3007</v>
      </c>
      <c r="D2965" s="6" t="n">
        <v>3.9</v>
      </c>
      <c r="E2965" t="n">
        <v>39858</v>
      </c>
      <c r="F2965" s="6" t="n">
        <v>3.9</v>
      </c>
      <c r="G2965" t="n">
        <v>1</v>
      </c>
      <c r="H2965" s="6">
        <f>ROUND(G2965*F2965,2)</f>
        <v/>
      </c>
      <c r="I2965">
        <f>IF(ROUND(H2965-D2965,2)=0,1,0)</f>
        <v/>
      </c>
      <c r="J2965">
        <f>IF(F2965="","none",IF(G2965=1,"carte","multiple"))</f>
        <v/>
      </c>
    </row>
    <row r="2966">
      <c r="A2966" t="inlineStr">
        <is>
          <t>2022-07-16</t>
        </is>
      </c>
      <c r="B2966" t="inlineStr">
        <is>
          <t>12:03</t>
        </is>
      </c>
      <c r="C2966" t="n">
        <v>3007</v>
      </c>
      <c r="D2966" s="6" t="n">
        <v>4</v>
      </c>
      <c r="E2966" t="n">
        <v>39859</v>
      </c>
      <c r="F2966" s="6" t="n">
        <v>4</v>
      </c>
      <c r="G2966" t="n">
        <v>1</v>
      </c>
      <c r="H2966" s="6">
        <f>ROUND(G2966*F2966,2)</f>
        <v/>
      </c>
      <c r="I2966">
        <f>IF(ROUND(H2966-D2966,2)=0,1,0)</f>
        <v/>
      </c>
      <c r="J2966">
        <f>IF(F2966="","none",IF(G2966=1,"carte","multiple"))</f>
        <v/>
      </c>
    </row>
    <row r="2967">
      <c r="A2967" t="inlineStr">
        <is>
          <t>2022-07-16</t>
        </is>
      </c>
      <c r="B2967" t="inlineStr">
        <is>
          <t>12:03</t>
        </is>
      </c>
      <c r="C2967" t="n">
        <v>3007</v>
      </c>
      <c r="D2967" s="6" t="n">
        <v>19.9</v>
      </c>
      <c r="E2967" t="n">
        <v>39860</v>
      </c>
      <c r="F2967" s="6" t="n">
        <v>19.9</v>
      </c>
      <c r="G2967" t="n">
        <v>1</v>
      </c>
      <c r="H2967" s="6">
        <f>ROUND(G2967*F2967,2)</f>
        <v/>
      </c>
      <c r="I2967">
        <f>IF(ROUND(H2967-D2967,2)=0,1,0)</f>
        <v/>
      </c>
      <c r="J2967">
        <f>IF(F2967="","none",IF(G2967=1,"carte","multiple"))</f>
        <v/>
      </c>
    </row>
    <row r="2968">
      <c r="A2968" t="inlineStr">
        <is>
          <t>2022-07-16</t>
        </is>
      </c>
      <c r="B2968" t="inlineStr">
        <is>
          <t>12:03</t>
        </is>
      </c>
      <c r="C2968" t="n">
        <v>3007</v>
      </c>
      <c r="D2968" s="6" t="n">
        <v>17.6</v>
      </c>
      <c r="E2968" t="n">
        <v>39861</v>
      </c>
      <c r="F2968" s="6" t="n">
        <v>17.6</v>
      </c>
      <c r="G2968" t="n">
        <v>1</v>
      </c>
      <c r="H2968" s="6">
        <f>ROUND(G2968*F2968,2)</f>
        <v/>
      </c>
      <c r="I2968">
        <f>IF(ROUND(H2968-D2968,2)=0,1,0)</f>
        <v/>
      </c>
      <c r="J2968">
        <f>IF(F2968="","none",IF(G2968=1,"carte","multiple"))</f>
        <v/>
      </c>
    </row>
    <row r="2969">
      <c r="A2969" t="inlineStr">
        <is>
          <t>2022-07-16</t>
        </is>
      </c>
      <c r="B2969" t="inlineStr">
        <is>
          <t>12:03</t>
        </is>
      </c>
      <c r="C2969" t="n">
        <v>3007</v>
      </c>
      <c r="D2969" s="6" t="n">
        <v>7.8</v>
      </c>
      <c r="E2969" t="n">
        <v>39862</v>
      </c>
      <c r="F2969" s="6" t="n">
        <v>7.8</v>
      </c>
      <c r="G2969" t="n">
        <v>1</v>
      </c>
      <c r="H2969" s="6">
        <f>ROUND(G2969*F2969,2)</f>
        <v/>
      </c>
      <c r="I2969">
        <f>IF(ROUND(H2969-D2969,2)=0,1,0)</f>
        <v/>
      </c>
      <c r="J2969">
        <f>IF(F2969="","none",IF(G2969=1,"carte","multiple"))</f>
        <v/>
      </c>
    </row>
    <row r="2970">
      <c r="A2970" t="inlineStr">
        <is>
          <t>2022-07-16</t>
        </is>
      </c>
      <c r="B2970" t="inlineStr">
        <is>
          <t>12:11</t>
        </is>
      </c>
      <c r="C2970" t="n">
        <v>3007</v>
      </c>
      <c r="D2970" s="6" t="n">
        <v>3.4</v>
      </c>
      <c r="E2970" t="n">
        <v>39863</v>
      </c>
      <c r="F2970" s="6" t="n">
        <v>3.4</v>
      </c>
      <c r="G2970" t="n">
        <v>1</v>
      </c>
      <c r="H2970" s="6">
        <f>ROUND(G2970*F2970,2)</f>
        <v/>
      </c>
      <c r="I2970">
        <f>IF(ROUND(H2970-D2970,2)=0,1,0)</f>
        <v/>
      </c>
      <c r="J2970">
        <f>IF(F2970="","none",IF(G2970=1,"carte","multiple"))</f>
        <v/>
      </c>
    </row>
    <row r="2971">
      <c r="A2971" t="inlineStr">
        <is>
          <t>2022-07-16</t>
        </is>
      </c>
      <c r="B2971" t="inlineStr">
        <is>
          <t>12:30</t>
        </is>
      </c>
      <c r="C2971" t="n">
        <v>3007</v>
      </c>
      <c r="D2971" s="6" t="n">
        <v>4.4</v>
      </c>
      <c r="E2971" t="n">
        <v>39864</v>
      </c>
      <c r="F2971" s="6" t="n">
        <v>0.4</v>
      </c>
      <c r="G2971" t="n">
        <v>11</v>
      </c>
      <c r="H2971" s="6">
        <f>ROUND(G2971*F2971,2)</f>
        <v/>
      </c>
      <c r="I2971">
        <f>IF(ROUND(H2971-D2971,2)=0,1,0)</f>
        <v/>
      </c>
      <c r="J2971">
        <f>IF(F2971="","none",IF(G2971=1,"carte","multiple"))</f>
        <v/>
      </c>
    </row>
    <row r="2972">
      <c r="A2972" t="inlineStr">
        <is>
          <t>2022-07-16</t>
        </is>
      </c>
      <c r="B2972" t="inlineStr">
        <is>
          <t>12:30</t>
        </is>
      </c>
      <c r="C2972" t="n">
        <v>3007</v>
      </c>
      <c r="D2972" s="6" t="n">
        <v>17.6</v>
      </c>
      <c r="E2972" t="n">
        <v>39865</v>
      </c>
      <c r="F2972" s="6" t="n">
        <v>17.6</v>
      </c>
      <c r="G2972" t="n">
        <v>1</v>
      </c>
      <c r="H2972" s="6">
        <f>ROUND(G2972*F2972,2)</f>
        <v/>
      </c>
      <c r="I2972">
        <f>IF(ROUND(H2972-D2972,2)=0,1,0)</f>
        <v/>
      </c>
      <c r="J2972">
        <f>IF(F2972="","none",IF(G2972=1,"carte","multiple"))</f>
        <v/>
      </c>
    </row>
    <row r="2973">
      <c r="A2973" t="inlineStr">
        <is>
          <t>2022-07-16</t>
        </is>
      </c>
      <c r="B2973" t="inlineStr">
        <is>
          <t>12:30</t>
        </is>
      </c>
      <c r="C2973" t="n">
        <v>3007</v>
      </c>
      <c r="D2973" s="6" t="n">
        <v>17.6</v>
      </c>
      <c r="E2973" t="n">
        <v>39866</v>
      </c>
      <c r="F2973" s="6" t="n">
        <v>17.6</v>
      </c>
      <c r="G2973" t="n">
        <v>1</v>
      </c>
      <c r="H2973" s="6">
        <f>ROUND(G2973*F2973,2)</f>
        <v/>
      </c>
      <c r="I2973">
        <f>IF(ROUND(H2973-D2973,2)=0,1,0)</f>
        <v/>
      </c>
      <c r="J2973">
        <f>IF(F2973="","none",IF(G2973=1,"carte","multiple"))</f>
        <v/>
      </c>
    </row>
    <row r="2974">
      <c r="A2974" t="inlineStr">
        <is>
          <t>2022-07-16</t>
        </is>
      </c>
      <c r="B2974" t="inlineStr">
        <is>
          <t>13:05</t>
        </is>
      </c>
      <c r="C2974" t="n">
        <v>3007</v>
      </c>
      <c r="D2974" s="6" t="n">
        <v>2.2</v>
      </c>
      <c r="E2974" t="n">
        <v>39867</v>
      </c>
      <c r="F2974" s="6" t="n">
        <v>2.2</v>
      </c>
      <c r="G2974" t="n">
        <v>1</v>
      </c>
      <c r="H2974" s="6">
        <f>ROUND(G2974*F2974,2)</f>
        <v/>
      </c>
      <c r="I2974">
        <f>IF(ROUND(H2974-D2974,2)=0,1,0)</f>
        <v/>
      </c>
      <c r="J2974">
        <f>IF(F2974="","none",IF(G2974=1,"carte","multiple"))</f>
        <v/>
      </c>
    </row>
    <row r="2975">
      <c r="A2975" t="inlineStr">
        <is>
          <t>2022-07-16</t>
        </is>
      </c>
      <c r="B2975" t="inlineStr">
        <is>
          <t>13:05</t>
        </is>
      </c>
      <c r="C2975" t="n">
        <v>3007</v>
      </c>
      <c r="D2975" s="6" t="n">
        <v>2</v>
      </c>
      <c r="E2975" t="n">
        <v>39868</v>
      </c>
      <c r="F2975" s="6" t="n">
        <v>2</v>
      </c>
      <c r="G2975" t="n">
        <v>1</v>
      </c>
      <c r="H2975" s="6">
        <f>ROUND(G2975*F2975,2)</f>
        <v/>
      </c>
      <c r="I2975">
        <f>IF(ROUND(H2975-D2975,2)=0,1,0)</f>
        <v/>
      </c>
      <c r="J2975">
        <f>IF(F2975="","none",IF(G2975=1,"carte","multiple"))</f>
        <v/>
      </c>
    </row>
    <row r="2976">
      <c r="A2976" t="inlineStr">
        <is>
          <t>2022-07-16</t>
        </is>
      </c>
      <c r="B2976" t="inlineStr">
        <is>
          <t>13:05</t>
        </is>
      </c>
      <c r="C2976" t="n">
        <v>3007</v>
      </c>
      <c r="D2976" s="6" t="n">
        <v>5.6</v>
      </c>
      <c r="E2976" t="n">
        <v>39869</v>
      </c>
      <c r="F2976" s="6" t="n">
        <v>5.6</v>
      </c>
      <c r="G2976" t="n">
        <v>1</v>
      </c>
      <c r="H2976" s="6">
        <f>ROUND(G2976*F2976,2)</f>
        <v/>
      </c>
      <c r="I2976">
        <f>IF(ROUND(H2976-D2976,2)=0,1,0)</f>
        <v/>
      </c>
      <c r="J2976">
        <f>IF(F2976="","none",IF(G2976=1,"carte","multiple"))</f>
        <v/>
      </c>
    </row>
    <row r="2977">
      <c r="A2977" t="inlineStr">
        <is>
          <t>2022-07-16</t>
        </is>
      </c>
      <c r="B2977" t="inlineStr">
        <is>
          <t>13:05</t>
        </is>
      </c>
      <c r="C2977" t="n">
        <v>3007</v>
      </c>
      <c r="D2977" s="6" t="n">
        <v>9.9</v>
      </c>
      <c r="E2977" t="n">
        <v>39870</v>
      </c>
      <c r="F2977" s="6" t="n">
        <v>9.9</v>
      </c>
      <c r="G2977" t="n">
        <v>1</v>
      </c>
      <c r="H2977" s="6">
        <f>ROUND(G2977*F2977,2)</f>
        <v/>
      </c>
      <c r="I2977">
        <f>IF(ROUND(H2977-D2977,2)=0,1,0)</f>
        <v/>
      </c>
      <c r="J2977">
        <f>IF(F2977="","none",IF(G2977=1,"carte","multiple"))</f>
        <v/>
      </c>
    </row>
    <row r="2978">
      <c r="A2978" t="inlineStr">
        <is>
          <t>2022-07-16</t>
        </is>
      </c>
      <c r="B2978" t="inlineStr">
        <is>
          <t>13:05</t>
        </is>
      </c>
      <c r="C2978" t="n">
        <v>3007</v>
      </c>
      <c r="D2978" s="6" t="n">
        <v>19.9</v>
      </c>
      <c r="E2978" t="n">
        <v>39871</v>
      </c>
      <c r="F2978" s="6" t="n">
        <v>19.9</v>
      </c>
      <c r="G2978" t="n">
        <v>1</v>
      </c>
      <c r="H2978" s="6">
        <f>ROUND(G2978*F2978,2)</f>
        <v/>
      </c>
      <c r="I2978">
        <f>IF(ROUND(H2978-D2978,2)=0,1,0)</f>
        <v/>
      </c>
      <c r="J2978">
        <f>IF(F2978="","none",IF(G2978=1,"carte","multiple"))</f>
        <v/>
      </c>
    </row>
    <row r="2979">
      <c r="A2979" t="inlineStr">
        <is>
          <t>2022-07-16</t>
        </is>
      </c>
      <c r="B2979" t="inlineStr">
        <is>
          <t>13:05</t>
        </is>
      </c>
      <c r="C2979" t="n">
        <v>3007</v>
      </c>
      <c r="D2979" s="6" t="n">
        <v>13</v>
      </c>
      <c r="E2979" t="n">
        <v>39872</v>
      </c>
      <c r="F2979" s="6" t="n">
        <v>13</v>
      </c>
      <c r="G2979" t="n">
        <v>1</v>
      </c>
      <c r="H2979" s="6">
        <f>ROUND(G2979*F2979,2)</f>
        <v/>
      </c>
      <c r="I2979">
        <f>IF(ROUND(H2979-D2979,2)=0,1,0)</f>
        <v/>
      </c>
      <c r="J2979">
        <f>IF(F2979="","none",IF(G2979=1,"carte","multiple"))</f>
        <v/>
      </c>
    </row>
    <row r="2980">
      <c r="A2980" t="inlineStr">
        <is>
          <t>2022-07-16</t>
        </is>
      </c>
      <c r="B2980" t="inlineStr">
        <is>
          <t>13:05</t>
        </is>
      </c>
      <c r="C2980" t="n">
        <v>3007</v>
      </c>
      <c r="D2980" s="6" t="n">
        <v>3.9</v>
      </c>
      <c r="E2980" t="n">
        <v>39873</v>
      </c>
      <c r="F2980" s="6" t="n">
        <v>3.9</v>
      </c>
      <c r="G2980" t="n">
        <v>1</v>
      </c>
      <c r="H2980" s="6">
        <f>ROUND(G2980*F2980,2)</f>
        <v/>
      </c>
      <c r="I2980">
        <f>IF(ROUND(H2980-D2980,2)=0,1,0)</f>
        <v/>
      </c>
      <c r="J2980">
        <f>IF(F2980="","none",IF(G2980=1,"carte","multiple"))</f>
        <v/>
      </c>
    </row>
    <row r="2981">
      <c r="A2981" t="inlineStr">
        <is>
          <t>2022-07-16</t>
        </is>
      </c>
      <c r="B2981" t="inlineStr">
        <is>
          <t>13:05</t>
        </is>
      </c>
      <c r="C2981" t="n">
        <v>3007</v>
      </c>
      <c r="D2981" s="6" t="n">
        <v>4.2</v>
      </c>
      <c r="E2981" t="n">
        <v>39874</v>
      </c>
      <c r="F2981" s="6" t="n">
        <v>4.2</v>
      </c>
      <c r="G2981" t="n">
        <v>1</v>
      </c>
      <c r="H2981" s="6">
        <f>ROUND(G2981*F2981,2)</f>
        <v/>
      </c>
      <c r="I2981">
        <f>IF(ROUND(H2981-D2981,2)=0,1,0)</f>
        <v/>
      </c>
      <c r="J2981">
        <f>IF(F2981="","none",IF(G2981=1,"carte","multiple"))</f>
        <v/>
      </c>
    </row>
    <row r="2982">
      <c r="A2982" t="inlineStr">
        <is>
          <t>2022-07-16</t>
        </is>
      </c>
      <c r="B2982" t="inlineStr">
        <is>
          <t>18:04</t>
        </is>
      </c>
      <c r="C2982" t="n">
        <v>3007</v>
      </c>
      <c r="D2982" s="6" t="n">
        <v>19</v>
      </c>
      <c r="E2982" t="n">
        <v>39876</v>
      </c>
      <c r="F2982" s="6" t="n">
        <v>19</v>
      </c>
      <c r="G2982" t="n">
        <v>1</v>
      </c>
      <c r="H2982" s="6">
        <f>ROUND(G2982*F2982,2)</f>
        <v/>
      </c>
      <c r="I2982">
        <f>IF(ROUND(H2982-D2982,2)=0,1,0)</f>
        <v/>
      </c>
      <c r="J2982">
        <f>IF(F2982="","none",IF(G2982=1,"carte","multiple"))</f>
        <v/>
      </c>
    </row>
    <row r="2983">
      <c r="A2983" t="inlineStr">
        <is>
          <t>2022-07-16</t>
        </is>
      </c>
      <c r="B2983" t="inlineStr">
        <is>
          <t>18:11</t>
        </is>
      </c>
      <c r="C2983" t="n">
        <v>3007</v>
      </c>
      <c r="D2983" s="6" t="n">
        <v>17.6</v>
      </c>
      <c r="E2983" t="n">
        <v>39877</v>
      </c>
      <c r="F2983" s="6" t="n">
        <v>17.6</v>
      </c>
      <c r="G2983" t="n">
        <v>1</v>
      </c>
      <c r="H2983" s="6">
        <f>ROUND(G2983*F2983,2)</f>
        <v/>
      </c>
      <c r="I2983">
        <f>IF(ROUND(H2983-D2983,2)=0,1,0)</f>
        <v/>
      </c>
      <c r="J2983">
        <f>IF(F2983="","none",IF(G2983=1,"carte","multiple"))</f>
        <v/>
      </c>
    </row>
    <row r="2984">
      <c r="A2984" t="inlineStr">
        <is>
          <t>2022-07-16</t>
        </is>
      </c>
      <c r="B2984" t="inlineStr">
        <is>
          <t>19:21</t>
        </is>
      </c>
      <c r="C2984" t="n">
        <v>3007</v>
      </c>
      <c r="D2984" s="6" t="n">
        <v>7.8</v>
      </c>
      <c r="E2984" t="n">
        <v>39878</v>
      </c>
      <c r="F2984" s="6" t="n">
        <v>7.8</v>
      </c>
      <c r="G2984" t="n">
        <v>1</v>
      </c>
      <c r="H2984" s="6">
        <f>ROUND(G2984*F2984,2)</f>
        <v/>
      </c>
      <c r="I2984">
        <f>IF(ROUND(H2984-D2984,2)=0,1,0)</f>
        <v/>
      </c>
      <c r="J2984">
        <f>IF(F2984="","none",IF(G2984=1,"carte","multiple"))</f>
        <v/>
      </c>
    </row>
    <row r="2985">
      <c r="A2985" t="inlineStr">
        <is>
          <t>2022-07-16</t>
        </is>
      </c>
      <c r="B2985" t="inlineStr">
        <is>
          <t>19:23</t>
        </is>
      </c>
      <c r="C2985" t="n">
        <v>3007</v>
      </c>
      <c r="D2985" s="6" t="n">
        <v>35.2</v>
      </c>
      <c r="E2985" t="n">
        <v>39879</v>
      </c>
      <c r="F2985" s="6" t="n">
        <v>0.4</v>
      </c>
      <c r="G2985" t="n">
        <v>88</v>
      </c>
      <c r="H2985" s="6">
        <f>ROUND(G2985*F2985,2)</f>
        <v/>
      </c>
      <c r="I2985">
        <f>IF(ROUND(H2985-D2985,2)=0,1,0)</f>
        <v/>
      </c>
      <c r="J2985">
        <f>IF(F2985="","none",IF(G2985=1,"carte","multiple"))</f>
        <v/>
      </c>
    </row>
    <row r="2986">
      <c r="A2986" t="inlineStr">
        <is>
          <t>2022-07-16</t>
        </is>
      </c>
      <c r="B2986" t="inlineStr">
        <is>
          <t>19:23</t>
        </is>
      </c>
      <c r="C2986" t="n">
        <v>3007</v>
      </c>
      <c r="D2986" s="6" t="n">
        <v>8.9</v>
      </c>
      <c r="E2986" t="n">
        <v>39880</v>
      </c>
      <c r="F2986" s="6" t="n">
        <v>8.9</v>
      </c>
      <c r="G2986" t="n">
        <v>1</v>
      </c>
      <c r="H2986" s="6">
        <f>ROUND(G2986*F2986,2)</f>
        <v/>
      </c>
      <c r="I2986">
        <f>IF(ROUND(H2986-D2986,2)=0,1,0)</f>
        <v/>
      </c>
      <c r="J2986">
        <f>IF(F2986="","none",IF(G2986=1,"carte","multiple"))</f>
        <v/>
      </c>
    </row>
    <row r="2987">
      <c r="A2987" t="inlineStr">
        <is>
          <t>2022-07-16</t>
        </is>
      </c>
      <c r="B2987" t="inlineStr">
        <is>
          <t>19:23</t>
        </is>
      </c>
      <c r="C2987" t="n">
        <v>3007</v>
      </c>
      <c r="D2987" s="6" t="n">
        <v>7.8</v>
      </c>
      <c r="E2987" t="n">
        <v>39881</v>
      </c>
      <c r="F2987" s="6" t="n">
        <v>7.8</v>
      </c>
      <c r="G2987" t="n">
        <v>1</v>
      </c>
      <c r="H2987" s="6">
        <f>ROUND(G2987*F2987,2)</f>
        <v/>
      </c>
      <c r="I2987">
        <f>IF(ROUND(H2987-D2987,2)=0,1,0)</f>
        <v/>
      </c>
      <c r="J2987">
        <f>IF(F2987="","none",IF(G2987=1,"carte","multiple"))</f>
        <v/>
      </c>
    </row>
    <row r="2988">
      <c r="A2988" t="inlineStr">
        <is>
          <t>2022-07-16</t>
        </is>
      </c>
      <c r="B2988" t="inlineStr">
        <is>
          <t>19:24</t>
        </is>
      </c>
      <c r="C2988" t="n">
        <v>3007</v>
      </c>
      <c r="D2988" s="6" t="n">
        <v>12</v>
      </c>
      <c r="E2988" t="n">
        <v>39882</v>
      </c>
      <c r="F2988" s="6" t="n">
        <v>12</v>
      </c>
      <c r="G2988" t="n">
        <v>1</v>
      </c>
      <c r="H2988" s="6">
        <f>ROUND(G2988*F2988,2)</f>
        <v/>
      </c>
      <c r="I2988">
        <f>IF(ROUND(H2988-D2988,2)=0,1,0)</f>
        <v/>
      </c>
      <c r="J2988">
        <f>IF(F2988="","none",IF(G2988=1,"carte","multiple"))</f>
        <v/>
      </c>
    </row>
    <row r="2989">
      <c r="A2989" t="inlineStr">
        <is>
          <t>2022-07-16</t>
        </is>
      </c>
      <c r="B2989" t="inlineStr">
        <is>
          <t>19:25</t>
        </is>
      </c>
      <c r="C2989" t="n">
        <v>3007</v>
      </c>
      <c r="D2989" s="6" t="n">
        <v>17.6</v>
      </c>
      <c r="E2989" t="n">
        <v>39883</v>
      </c>
      <c r="F2989" s="6" t="n">
        <v>17.6</v>
      </c>
      <c r="G2989" t="n">
        <v>1</v>
      </c>
      <c r="H2989" s="6">
        <f>ROUND(G2989*F2989,2)</f>
        <v/>
      </c>
      <c r="I2989">
        <f>IF(ROUND(H2989-D2989,2)=0,1,0)</f>
        <v/>
      </c>
      <c r="J2989">
        <f>IF(F2989="","none",IF(G2989=1,"carte","multiple"))</f>
        <v/>
      </c>
    </row>
    <row r="2990">
      <c r="A2990" t="inlineStr">
        <is>
          <t>2022-07-16</t>
        </is>
      </c>
      <c r="B2990" t="inlineStr">
        <is>
          <t>19:43</t>
        </is>
      </c>
      <c r="C2990" t="n">
        <v>3007</v>
      </c>
      <c r="D2990" s="6" t="n">
        <v>1.8</v>
      </c>
      <c r="E2990" t="n">
        <v>39884</v>
      </c>
      <c r="F2990" s="6" t="n">
        <v>1.8</v>
      </c>
      <c r="G2990" t="n">
        <v>1</v>
      </c>
      <c r="H2990" s="6">
        <f>ROUND(G2990*F2990,2)</f>
        <v/>
      </c>
      <c r="I2990">
        <f>IF(ROUND(H2990-D2990,2)=0,1,0)</f>
        <v/>
      </c>
      <c r="J2990">
        <f>IF(F2990="","none",IF(G2990=1,"carte","multiple"))</f>
        <v/>
      </c>
    </row>
    <row r="2991">
      <c r="A2991" t="inlineStr">
        <is>
          <t>2022-07-16</t>
        </is>
      </c>
      <c r="B2991" t="inlineStr">
        <is>
          <t>19:43</t>
        </is>
      </c>
      <c r="C2991" t="n">
        <v>3007</v>
      </c>
      <c r="D2991" s="6" t="n">
        <v>1.8</v>
      </c>
      <c r="E2991" t="n">
        <v>39885</v>
      </c>
      <c r="F2991" s="6" t="n">
        <v>1.8</v>
      </c>
      <c r="G2991" t="n">
        <v>1</v>
      </c>
      <c r="H2991" s="6">
        <f>ROUND(G2991*F2991,2)</f>
        <v/>
      </c>
      <c r="I2991">
        <f>IF(ROUND(H2991-D2991,2)=0,1,0)</f>
        <v/>
      </c>
      <c r="J2991">
        <f>IF(F2991="","none",IF(G2991=1,"carte","multiple"))</f>
        <v/>
      </c>
    </row>
    <row r="2992">
      <c r="A2992" t="inlineStr">
        <is>
          <t>2022-07-16</t>
        </is>
      </c>
      <c r="B2992" t="inlineStr">
        <is>
          <t>19:43</t>
        </is>
      </c>
      <c r="C2992" t="n">
        <v>3007</v>
      </c>
      <c r="D2992" s="6" t="n">
        <v>11.6</v>
      </c>
      <c r="E2992" t="n">
        <v>39886</v>
      </c>
      <c r="F2992" s="6" t="n">
        <v>11.6</v>
      </c>
      <c r="G2992" t="n">
        <v>1</v>
      </c>
      <c r="H2992" s="6">
        <f>ROUND(G2992*F2992,2)</f>
        <v/>
      </c>
      <c r="I2992">
        <f>IF(ROUND(H2992-D2992,2)=0,1,0)</f>
        <v/>
      </c>
      <c r="J2992">
        <f>IF(F2992="","none",IF(G2992=1,"carte","multiple"))</f>
        <v/>
      </c>
    </row>
    <row r="2993">
      <c r="A2993" t="inlineStr">
        <is>
          <t>2022-07-16</t>
        </is>
      </c>
      <c r="B2993" t="inlineStr">
        <is>
          <t>19:43</t>
        </is>
      </c>
      <c r="C2993" t="n">
        <v>3007</v>
      </c>
      <c r="D2993" s="6" t="n">
        <v>3.9</v>
      </c>
      <c r="E2993" t="n">
        <v>39887</v>
      </c>
      <c r="F2993" s="6" t="n">
        <v>3.9</v>
      </c>
      <c r="G2993" t="n">
        <v>1</v>
      </c>
      <c r="H2993" s="6">
        <f>ROUND(G2993*F2993,2)</f>
        <v/>
      </c>
      <c r="I2993">
        <f>IF(ROUND(H2993-D2993,2)=0,1,0)</f>
        <v/>
      </c>
      <c r="J2993">
        <f>IF(F2993="","none",IF(G2993=1,"carte","multiple"))</f>
        <v/>
      </c>
    </row>
    <row r="2994">
      <c r="A2994" t="inlineStr">
        <is>
          <t>2022-07-16</t>
        </is>
      </c>
      <c r="B2994" t="inlineStr">
        <is>
          <t>19:43</t>
        </is>
      </c>
      <c r="C2994" t="n">
        <v>3007</v>
      </c>
      <c r="D2994" s="6" t="n">
        <v>16.6</v>
      </c>
      <c r="E2994" t="n">
        <v>39888</v>
      </c>
      <c r="F2994" s="6" t="n">
        <v>8.300000000000001</v>
      </c>
      <c r="G2994" t="n">
        <v>2</v>
      </c>
      <c r="H2994" s="6">
        <f>ROUND(G2994*F2994,2)</f>
        <v/>
      </c>
      <c r="I2994">
        <f>IF(ROUND(H2994-D2994,2)=0,1,0)</f>
        <v/>
      </c>
      <c r="J2994">
        <f>IF(F2994="","none",IF(G2994=1,"carte","multiple"))</f>
        <v/>
      </c>
    </row>
    <row r="2995">
      <c r="A2995" t="inlineStr">
        <is>
          <t>2022-07-16</t>
        </is>
      </c>
      <c r="B2995" t="inlineStr">
        <is>
          <t>19:43</t>
        </is>
      </c>
      <c r="C2995" t="n">
        <v>3007</v>
      </c>
      <c r="D2995" s="6" t="n">
        <v>19</v>
      </c>
      <c r="E2995" t="n">
        <v>39889</v>
      </c>
      <c r="F2995" s="6" t="n">
        <v>19</v>
      </c>
      <c r="G2995" t="n">
        <v>1</v>
      </c>
      <c r="H2995" s="6">
        <f>ROUND(G2995*F2995,2)</f>
        <v/>
      </c>
      <c r="I2995">
        <f>IF(ROUND(H2995-D2995,2)=0,1,0)</f>
        <v/>
      </c>
      <c r="J2995">
        <f>IF(F2995="","none",IF(G2995=1,"carte","multiple"))</f>
        <v/>
      </c>
    </row>
    <row r="2996">
      <c r="A2996" t="inlineStr">
        <is>
          <t>2022-07-16</t>
        </is>
      </c>
      <c r="B2996" t="inlineStr">
        <is>
          <t>19:43</t>
        </is>
      </c>
      <c r="C2996" t="n">
        <v>3007</v>
      </c>
      <c r="D2996" s="6" t="n">
        <v>52.8</v>
      </c>
      <c r="E2996" t="n">
        <v>39890</v>
      </c>
      <c r="F2996" s="6" t="n">
        <v>0.4</v>
      </c>
      <c r="G2996" t="n">
        <v>132</v>
      </c>
      <c r="H2996" s="6">
        <f>ROUND(G2996*F2996,2)</f>
        <v/>
      </c>
      <c r="I2996">
        <f>IF(ROUND(H2996-D2996,2)=0,1,0)</f>
        <v/>
      </c>
      <c r="J2996">
        <f>IF(F2996="","none",IF(G2996=1,"carte","multiple"))</f>
        <v/>
      </c>
    </row>
    <row r="2997">
      <c r="A2997" t="inlineStr">
        <is>
          <t>2022-07-16</t>
        </is>
      </c>
      <c r="B2997" t="inlineStr">
        <is>
          <t>19:43</t>
        </is>
      </c>
      <c r="C2997" t="n">
        <v>3007</v>
      </c>
      <c r="D2997" s="6" t="n">
        <v>16.9</v>
      </c>
      <c r="E2997" t="n">
        <v>39891</v>
      </c>
      <c r="F2997" s="6" t="n">
        <v>16.9</v>
      </c>
      <c r="G2997" t="n">
        <v>1</v>
      </c>
      <c r="H2997" s="6">
        <f>ROUND(G2997*F2997,2)</f>
        <v/>
      </c>
      <c r="I2997">
        <f>IF(ROUND(H2997-D2997,2)=0,1,0)</f>
        <v/>
      </c>
      <c r="J2997">
        <f>IF(F2997="","none",IF(G2997=1,"carte","multiple"))</f>
        <v/>
      </c>
    </row>
    <row r="2998">
      <c r="A2998" t="inlineStr">
        <is>
          <t>2022-07-16</t>
        </is>
      </c>
      <c r="B2998" t="inlineStr">
        <is>
          <t>19:43</t>
        </is>
      </c>
      <c r="C2998" t="n">
        <v>3007</v>
      </c>
      <c r="D2998" s="6" t="n">
        <v>9.800000000000001</v>
      </c>
      <c r="E2998" t="n">
        <v>39892</v>
      </c>
      <c r="F2998" s="6" t="n">
        <v>9.800000000000001</v>
      </c>
      <c r="G2998" t="n">
        <v>1</v>
      </c>
      <c r="H2998" s="6">
        <f>ROUND(G2998*F2998,2)</f>
        <v/>
      </c>
      <c r="I2998">
        <f>IF(ROUND(H2998-D2998,2)=0,1,0)</f>
        <v/>
      </c>
      <c r="J2998">
        <f>IF(F2998="","none",IF(G2998=1,"carte","multiple"))</f>
        <v/>
      </c>
    </row>
    <row r="2999">
      <c r="A2999" t="inlineStr">
        <is>
          <t>2022-07-16</t>
        </is>
      </c>
      <c r="B2999" t="inlineStr">
        <is>
          <t>19:43</t>
        </is>
      </c>
      <c r="C2999" t="n">
        <v>3007</v>
      </c>
      <c r="D2999" s="6" t="n">
        <v>5.9</v>
      </c>
      <c r="E2999" t="n">
        <v>39893</v>
      </c>
      <c r="F2999" s="6" t="n">
        <v>5.9</v>
      </c>
      <c r="G2999" t="n">
        <v>1</v>
      </c>
      <c r="H2999" s="6">
        <f>ROUND(G2999*F2999,2)</f>
        <v/>
      </c>
      <c r="I2999">
        <f>IF(ROUND(H2999-D2999,2)=0,1,0)</f>
        <v/>
      </c>
      <c r="J2999">
        <f>IF(F2999="","none",IF(G2999=1,"carte","multiple"))</f>
        <v/>
      </c>
    </row>
    <row r="3000">
      <c r="A3000" t="inlineStr">
        <is>
          <t>2022-07-16</t>
        </is>
      </c>
      <c r="B3000" t="inlineStr">
        <is>
          <t>19:43</t>
        </is>
      </c>
      <c r="C3000" t="n">
        <v>3007</v>
      </c>
      <c r="D3000" s="6" t="n">
        <v>4.2</v>
      </c>
      <c r="E3000" t="n">
        <v>39894</v>
      </c>
      <c r="F3000" s="6" t="n">
        <v>4.2</v>
      </c>
      <c r="G3000" t="n">
        <v>1</v>
      </c>
      <c r="H3000" s="6">
        <f>ROUND(G3000*F3000,2)</f>
        <v/>
      </c>
      <c r="I3000">
        <f>IF(ROUND(H3000-D3000,2)=0,1,0)</f>
        <v/>
      </c>
      <c r="J3000">
        <f>IF(F3000="","none",IF(G3000=1,"carte","multiple"))</f>
        <v/>
      </c>
    </row>
    <row r="3001">
      <c r="A3001" t="inlineStr">
        <is>
          <t>2022-07-16</t>
        </is>
      </c>
      <c r="B3001" t="inlineStr">
        <is>
          <t>19:43</t>
        </is>
      </c>
      <c r="C3001" t="n">
        <v>3007</v>
      </c>
      <c r="D3001" s="6" t="n">
        <v>12</v>
      </c>
      <c r="E3001" t="n">
        <v>39895</v>
      </c>
      <c r="F3001" s="6" t="n">
        <v>12</v>
      </c>
      <c r="G3001" t="n">
        <v>1</v>
      </c>
      <c r="H3001" s="6">
        <f>ROUND(G3001*F3001,2)</f>
        <v/>
      </c>
      <c r="I3001">
        <f>IF(ROUND(H3001-D3001,2)=0,1,0)</f>
        <v/>
      </c>
      <c r="J3001">
        <f>IF(F3001="","none",IF(G3001=1,"carte","multiple"))</f>
        <v/>
      </c>
    </row>
    <row r="3002">
      <c r="A3002" t="inlineStr">
        <is>
          <t>2022-07-16</t>
        </is>
      </c>
      <c r="B3002" t="inlineStr">
        <is>
          <t>19:43</t>
        </is>
      </c>
      <c r="C3002" t="n">
        <v>3007</v>
      </c>
      <c r="D3002" s="6" t="n">
        <v>5.9</v>
      </c>
      <c r="E3002" t="n">
        <v>39896</v>
      </c>
      <c r="F3002" s="6" t="n">
        <v>5.9</v>
      </c>
      <c r="G3002" t="n">
        <v>1</v>
      </c>
      <c r="H3002" s="6">
        <f>ROUND(G3002*F3002,2)</f>
        <v/>
      </c>
      <c r="I3002">
        <f>IF(ROUND(H3002-D3002,2)=0,1,0)</f>
        <v/>
      </c>
      <c r="J3002">
        <f>IF(F3002="","none",IF(G3002=1,"carte","multiple"))</f>
        <v/>
      </c>
    </row>
    <row r="3003">
      <c r="A3003" t="inlineStr">
        <is>
          <t>2022-07-16</t>
        </is>
      </c>
      <c r="B3003" t="inlineStr">
        <is>
          <t>19:47</t>
        </is>
      </c>
      <c r="C3003" t="n">
        <v>3007</v>
      </c>
      <c r="D3003" s="6" t="n">
        <v>4.9</v>
      </c>
      <c r="E3003" t="n">
        <v>39897</v>
      </c>
      <c r="F3003" s="6" t="n">
        <v>4.9</v>
      </c>
      <c r="G3003" t="n">
        <v>1</v>
      </c>
      <c r="H3003" s="6">
        <f>ROUND(G3003*F3003,2)</f>
        <v/>
      </c>
      <c r="I3003">
        <f>IF(ROUND(H3003-D3003,2)=0,1,0)</f>
        <v/>
      </c>
      <c r="J3003">
        <f>IF(F3003="","none",IF(G3003=1,"carte","multiple"))</f>
        <v/>
      </c>
    </row>
    <row r="3004">
      <c r="A3004" t="inlineStr">
        <is>
          <t>2022-07-16</t>
        </is>
      </c>
      <c r="B3004" t="inlineStr">
        <is>
          <t>20:27</t>
        </is>
      </c>
      <c r="C3004" t="n">
        <v>3007</v>
      </c>
      <c r="D3004" s="6" t="n">
        <v>2.9</v>
      </c>
      <c r="E3004" t="n">
        <v>39898</v>
      </c>
      <c r="F3004" s="6" t="n">
        <v>2.9</v>
      </c>
      <c r="G3004" t="n">
        <v>1</v>
      </c>
      <c r="H3004" s="6">
        <f>ROUND(G3004*F3004,2)</f>
        <v/>
      </c>
      <c r="I3004">
        <f>IF(ROUND(H3004-D3004,2)=0,1,0)</f>
        <v/>
      </c>
      <c r="J3004">
        <f>IF(F3004="","none",IF(G3004=1,"carte","multiple"))</f>
        <v/>
      </c>
    </row>
    <row r="3005">
      <c r="A3005" t="inlineStr">
        <is>
          <t>2022-07-16</t>
        </is>
      </c>
      <c r="B3005" t="inlineStr">
        <is>
          <t>20:29</t>
        </is>
      </c>
      <c r="C3005" t="n">
        <v>3007</v>
      </c>
      <c r="D3005" s="6" t="n">
        <v>8.4</v>
      </c>
      <c r="E3005" t="n">
        <v>39899</v>
      </c>
      <c r="F3005" s="6" t="n">
        <v>8.4</v>
      </c>
      <c r="G3005" t="n">
        <v>1</v>
      </c>
      <c r="H3005" s="6">
        <f>ROUND(G3005*F3005,2)</f>
        <v/>
      </c>
      <c r="I3005">
        <f>IF(ROUND(H3005-D3005,2)=0,1,0)</f>
        <v/>
      </c>
      <c r="J3005">
        <f>IF(F3005="","none",IF(G3005=1,"carte","multiple"))</f>
        <v/>
      </c>
    </row>
    <row r="3006">
      <c r="A3006" t="inlineStr">
        <is>
          <t>2022-07-16</t>
        </is>
      </c>
      <c r="B3006" t="inlineStr">
        <is>
          <t>20:29</t>
        </is>
      </c>
      <c r="C3006" t="n">
        <v>3007</v>
      </c>
      <c r="D3006" s="6" t="n">
        <v>8.699999999999999</v>
      </c>
      <c r="E3006" t="n">
        <v>39900</v>
      </c>
      <c r="F3006" s="6" t="n">
        <v>8.699999999999999</v>
      </c>
      <c r="G3006" t="n">
        <v>1</v>
      </c>
      <c r="H3006" s="6">
        <f>ROUND(G3006*F3006,2)</f>
        <v/>
      </c>
      <c r="I3006">
        <f>IF(ROUND(H3006-D3006,2)=0,1,0)</f>
        <v/>
      </c>
      <c r="J3006">
        <f>IF(F3006="","none",IF(G3006=1,"carte","multiple"))</f>
        <v/>
      </c>
    </row>
    <row r="3007">
      <c r="A3007" t="inlineStr">
        <is>
          <t>2022-07-16</t>
        </is>
      </c>
      <c r="B3007" t="inlineStr">
        <is>
          <t>20:29</t>
        </is>
      </c>
      <c r="C3007" t="n">
        <v>3007</v>
      </c>
      <c r="D3007" s="6" t="n">
        <v>19.9</v>
      </c>
      <c r="E3007" t="n">
        <v>39901</v>
      </c>
      <c r="F3007" s="6" t="n">
        <v>19.9</v>
      </c>
      <c r="G3007" t="n">
        <v>1</v>
      </c>
      <c r="H3007" s="6">
        <f>ROUND(G3007*F3007,2)</f>
        <v/>
      </c>
      <c r="I3007">
        <f>IF(ROUND(H3007-D3007,2)=0,1,0)</f>
        <v/>
      </c>
      <c r="J3007">
        <f>IF(F3007="","none",IF(G3007=1,"carte","multiple"))</f>
        <v/>
      </c>
    </row>
    <row r="3008">
      <c r="A3008" t="inlineStr">
        <is>
          <t>2022-07-16</t>
        </is>
      </c>
      <c r="B3008" t="inlineStr">
        <is>
          <t>20:29</t>
        </is>
      </c>
      <c r="C3008" t="n">
        <v>3007</v>
      </c>
      <c r="D3008" s="6" t="n">
        <v>28.6</v>
      </c>
      <c r="E3008" t="n">
        <v>39902</v>
      </c>
      <c r="F3008" s="6" t="n">
        <v>28.6</v>
      </c>
      <c r="G3008" t="n">
        <v>1</v>
      </c>
      <c r="H3008" s="6">
        <f>ROUND(G3008*F3008,2)</f>
        <v/>
      </c>
      <c r="I3008">
        <f>IF(ROUND(H3008-D3008,2)=0,1,0)</f>
        <v/>
      </c>
      <c r="J3008">
        <f>IF(F3008="","none",IF(G3008=1,"carte","multiple"))</f>
        <v/>
      </c>
    </row>
    <row r="3009">
      <c r="A3009" t="inlineStr">
        <is>
          <t>2022-07-16</t>
        </is>
      </c>
      <c r="B3009" t="inlineStr">
        <is>
          <t>20:29</t>
        </is>
      </c>
      <c r="C3009" t="n">
        <v>3007</v>
      </c>
      <c r="D3009" s="6" t="n">
        <v>5.9</v>
      </c>
      <c r="E3009" t="n">
        <v>39903</v>
      </c>
      <c r="F3009" s="6" t="n">
        <v>5.9</v>
      </c>
      <c r="G3009" t="n">
        <v>1</v>
      </c>
      <c r="H3009" s="6">
        <f>ROUND(G3009*F3009,2)</f>
        <v/>
      </c>
      <c r="I3009">
        <f>IF(ROUND(H3009-D3009,2)=0,1,0)</f>
        <v/>
      </c>
      <c r="J3009">
        <f>IF(F3009="","none",IF(G3009=1,"carte","multiple"))</f>
        <v/>
      </c>
    </row>
    <row r="3010">
      <c r="A3010" t="inlineStr">
        <is>
          <t>2022-07-16</t>
        </is>
      </c>
      <c r="B3010" t="inlineStr">
        <is>
          <t>20:29</t>
        </is>
      </c>
      <c r="C3010" t="n">
        <v>3007</v>
      </c>
      <c r="D3010" s="6" t="n">
        <v>3.9</v>
      </c>
      <c r="E3010" t="n">
        <v>39904</v>
      </c>
      <c r="F3010" s="6" t="n">
        <v>3.9</v>
      </c>
      <c r="G3010" t="n">
        <v>1</v>
      </c>
      <c r="H3010" s="6">
        <f>ROUND(G3010*F3010,2)</f>
        <v/>
      </c>
      <c r="I3010">
        <f>IF(ROUND(H3010-D3010,2)=0,1,0)</f>
        <v/>
      </c>
      <c r="J3010">
        <f>IF(F3010="","none",IF(G3010=1,"carte","multiple"))</f>
        <v/>
      </c>
    </row>
    <row r="3011">
      <c r="A3011" t="inlineStr">
        <is>
          <t>2022-07-16</t>
        </is>
      </c>
      <c r="B3011" t="inlineStr">
        <is>
          <t>20:37</t>
        </is>
      </c>
      <c r="C3011" t="n">
        <v>3007</v>
      </c>
      <c r="D3011" s="6" t="n">
        <v>10.4</v>
      </c>
      <c r="E3011" t="n">
        <v>39905</v>
      </c>
      <c r="F3011" s="6" t="n">
        <v>0.4</v>
      </c>
      <c r="G3011" t="n">
        <v>26</v>
      </c>
      <c r="H3011" s="6">
        <f>ROUND(G3011*F3011,2)</f>
        <v/>
      </c>
      <c r="I3011">
        <f>IF(ROUND(H3011-D3011,2)=0,1,0)</f>
        <v/>
      </c>
      <c r="J3011">
        <f>IF(F3011="","none",IF(G3011=1,"carte","multiple"))</f>
        <v/>
      </c>
    </row>
    <row r="3012">
      <c r="A3012" t="inlineStr">
        <is>
          <t>2022-07-16</t>
        </is>
      </c>
      <c r="B3012" t="inlineStr">
        <is>
          <t>20:37</t>
        </is>
      </c>
      <c r="C3012" t="n">
        <v>3007</v>
      </c>
      <c r="D3012" s="6" t="n">
        <v>4.4</v>
      </c>
      <c r="E3012" t="n">
        <v>39906</v>
      </c>
      <c r="F3012" s="6" t="n">
        <v>0.4</v>
      </c>
      <c r="G3012" t="n">
        <v>11</v>
      </c>
      <c r="H3012" s="6">
        <f>ROUND(G3012*F3012,2)</f>
        <v/>
      </c>
      <c r="I3012">
        <f>IF(ROUND(H3012-D3012,2)=0,1,0)</f>
        <v/>
      </c>
      <c r="J3012">
        <f>IF(F3012="","none",IF(G3012=1,"carte","multiple"))</f>
        <v/>
      </c>
    </row>
    <row r="3013">
      <c r="A3013" t="inlineStr">
        <is>
          <t>2022-07-16</t>
        </is>
      </c>
      <c r="B3013" t="inlineStr">
        <is>
          <t>20:37</t>
        </is>
      </c>
      <c r="C3013" t="n">
        <v>3007</v>
      </c>
      <c r="D3013" s="6" t="n">
        <v>4.4</v>
      </c>
      <c r="E3013" t="n">
        <v>39907</v>
      </c>
      <c r="F3013" s="6" t="n">
        <v>0.4</v>
      </c>
      <c r="G3013" t="n">
        <v>11</v>
      </c>
      <c r="H3013" s="6">
        <f>ROUND(G3013*F3013,2)</f>
        <v/>
      </c>
      <c r="I3013">
        <f>IF(ROUND(H3013-D3013,2)=0,1,0)</f>
        <v/>
      </c>
      <c r="J3013">
        <f>IF(F3013="","none",IF(G3013=1,"carte","multiple"))</f>
        <v/>
      </c>
    </row>
    <row r="3014">
      <c r="A3014" t="inlineStr">
        <is>
          <t>2022-07-16</t>
        </is>
      </c>
      <c r="B3014" t="inlineStr">
        <is>
          <t>20:37</t>
        </is>
      </c>
      <c r="C3014" t="n">
        <v>3007</v>
      </c>
      <c r="D3014" s="6" t="n">
        <v>9.800000000000001</v>
      </c>
      <c r="E3014" t="n">
        <v>39908</v>
      </c>
      <c r="F3014" s="6" t="n">
        <v>9.800000000000001</v>
      </c>
      <c r="G3014" t="n">
        <v>1</v>
      </c>
      <c r="H3014" s="6">
        <f>ROUND(G3014*F3014,2)</f>
        <v/>
      </c>
      <c r="I3014">
        <f>IF(ROUND(H3014-D3014,2)=0,1,0)</f>
        <v/>
      </c>
      <c r="J3014">
        <f>IF(F3014="","none",IF(G3014=1,"carte","multiple"))</f>
        <v/>
      </c>
    </row>
    <row r="3015">
      <c r="A3015" t="inlineStr">
        <is>
          <t>2022-07-16</t>
        </is>
      </c>
      <c r="B3015" t="inlineStr">
        <is>
          <t>20:37</t>
        </is>
      </c>
      <c r="C3015" t="n">
        <v>3007</v>
      </c>
      <c r="D3015" s="6" t="n">
        <v>17.6</v>
      </c>
      <c r="E3015" t="n">
        <v>39909</v>
      </c>
      <c r="F3015" s="6" t="n">
        <v>17.6</v>
      </c>
      <c r="G3015" t="n">
        <v>1</v>
      </c>
      <c r="H3015" s="6">
        <f>ROUND(G3015*F3015,2)</f>
        <v/>
      </c>
      <c r="I3015">
        <f>IF(ROUND(H3015-D3015,2)=0,1,0)</f>
        <v/>
      </c>
      <c r="J3015">
        <f>IF(F3015="","none",IF(G3015=1,"carte","multiple"))</f>
        <v/>
      </c>
    </row>
    <row r="3016">
      <c r="A3016" t="inlineStr">
        <is>
          <t>2022-07-16</t>
        </is>
      </c>
      <c r="B3016" t="inlineStr">
        <is>
          <t>20:37</t>
        </is>
      </c>
      <c r="C3016" t="n">
        <v>3007</v>
      </c>
      <c r="D3016" s="6" t="n">
        <v>2.9</v>
      </c>
      <c r="E3016" t="n">
        <v>39910</v>
      </c>
      <c r="F3016" s="6" t="n">
        <v>2.9</v>
      </c>
      <c r="G3016" t="n">
        <v>1</v>
      </c>
      <c r="H3016" s="6">
        <f>ROUND(G3016*F3016,2)</f>
        <v/>
      </c>
      <c r="I3016">
        <f>IF(ROUND(H3016-D3016,2)=0,1,0)</f>
        <v/>
      </c>
      <c r="J3016">
        <f>IF(F3016="","none",IF(G3016=1,"carte","multiple"))</f>
        <v/>
      </c>
    </row>
    <row r="3017">
      <c r="A3017" t="inlineStr">
        <is>
          <t>2022-07-16</t>
        </is>
      </c>
      <c r="B3017" t="inlineStr">
        <is>
          <t>20:37</t>
        </is>
      </c>
      <c r="C3017" t="n">
        <v>3007</v>
      </c>
      <c r="D3017" s="6" t="n">
        <v>3.9</v>
      </c>
      <c r="E3017" t="n">
        <v>39911</v>
      </c>
      <c r="F3017" s="6" t="n">
        <v>3.9</v>
      </c>
      <c r="G3017" t="n">
        <v>1</v>
      </c>
      <c r="H3017" s="6">
        <f>ROUND(G3017*F3017,2)</f>
        <v/>
      </c>
      <c r="I3017">
        <f>IF(ROUND(H3017-D3017,2)=0,1,0)</f>
        <v/>
      </c>
      <c r="J3017">
        <f>IF(F3017="","none",IF(G3017=1,"carte","multiple"))</f>
        <v/>
      </c>
    </row>
    <row r="3018">
      <c r="A3018" t="inlineStr">
        <is>
          <t>2022-07-16</t>
        </is>
      </c>
      <c r="B3018" t="inlineStr">
        <is>
          <t>20:37</t>
        </is>
      </c>
      <c r="C3018" t="n">
        <v>3007</v>
      </c>
      <c r="D3018" s="6" t="n">
        <v>5.4</v>
      </c>
      <c r="E3018" t="n">
        <v>39912</v>
      </c>
      <c r="F3018" s="6" t="n">
        <v>5.4</v>
      </c>
      <c r="G3018" t="n">
        <v>1</v>
      </c>
      <c r="H3018" s="6">
        <f>ROUND(G3018*F3018,2)</f>
        <v/>
      </c>
      <c r="I3018">
        <f>IF(ROUND(H3018-D3018,2)=0,1,0)</f>
        <v/>
      </c>
      <c r="J3018">
        <f>IF(F3018="","none",IF(G3018=1,"carte","multiple"))</f>
        <v/>
      </c>
    </row>
    <row r="3019">
      <c r="A3019" t="inlineStr">
        <is>
          <t>2022-07-16</t>
        </is>
      </c>
      <c r="B3019" t="inlineStr">
        <is>
          <t>20:37</t>
        </is>
      </c>
      <c r="C3019" t="n">
        <v>3007</v>
      </c>
      <c r="D3019" s="6" t="n">
        <v>2.9</v>
      </c>
      <c r="E3019" t="n">
        <v>39913</v>
      </c>
      <c r="F3019" s="6" t="n">
        <v>2.9</v>
      </c>
      <c r="G3019" t="n">
        <v>1</v>
      </c>
      <c r="H3019" s="6">
        <f>ROUND(G3019*F3019,2)</f>
        <v/>
      </c>
      <c r="I3019">
        <f>IF(ROUND(H3019-D3019,2)=0,1,0)</f>
        <v/>
      </c>
      <c r="J3019">
        <f>IF(F3019="","none",IF(G3019=1,"carte","multiple"))</f>
        <v/>
      </c>
    </row>
    <row r="3020">
      <c r="A3020" t="inlineStr">
        <is>
          <t>2022-07-16</t>
        </is>
      </c>
      <c r="B3020" t="inlineStr">
        <is>
          <t>20:37</t>
        </is>
      </c>
      <c r="C3020" t="n">
        <v>3007</v>
      </c>
      <c r="D3020" s="6" t="n">
        <v>4.2</v>
      </c>
      <c r="E3020" t="n">
        <v>39914</v>
      </c>
      <c r="F3020" s="6" t="n">
        <v>4.2</v>
      </c>
      <c r="G3020" t="n">
        <v>1</v>
      </c>
      <c r="H3020" s="6">
        <f>ROUND(G3020*F3020,2)</f>
        <v/>
      </c>
      <c r="I3020">
        <f>IF(ROUND(H3020-D3020,2)=0,1,0)</f>
        <v/>
      </c>
      <c r="J3020">
        <f>IF(F3020="","none",IF(G3020=1,"carte","multiple"))</f>
        <v/>
      </c>
    </row>
    <row r="3021">
      <c r="A3021" t="inlineStr">
        <is>
          <t>2022-07-16</t>
        </is>
      </c>
      <c r="B3021" t="inlineStr">
        <is>
          <t>20:37</t>
        </is>
      </c>
      <c r="C3021" t="n">
        <v>3007</v>
      </c>
      <c r="D3021" s="6" t="n">
        <v>3.8</v>
      </c>
      <c r="E3021" t="n">
        <v>39915</v>
      </c>
      <c r="F3021" s="6" t="n">
        <v>3.8</v>
      </c>
      <c r="G3021" t="n">
        <v>1</v>
      </c>
      <c r="H3021" s="6">
        <f>ROUND(G3021*F3021,2)</f>
        <v/>
      </c>
      <c r="I3021">
        <f>IF(ROUND(H3021-D3021,2)=0,1,0)</f>
        <v/>
      </c>
      <c r="J3021">
        <f>IF(F3021="","none",IF(G3021=1,"carte","multiple"))</f>
        <v/>
      </c>
    </row>
    <row r="3022">
      <c r="A3022" t="inlineStr">
        <is>
          <t>2022-07-17</t>
        </is>
      </c>
      <c r="B3022" t="inlineStr">
        <is>
          <t>11:50</t>
        </is>
      </c>
      <c r="C3022" t="n">
        <v>3008</v>
      </c>
      <c r="D3022" s="6" t="n">
        <v>19</v>
      </c>
      <c r="E3022" t="n">
        <v>39918</v>
      </c>
      <c r="F3022" s="6" t="n">
        <v>19</v>
      </c>
      <c r="G3022" t="n">
        <v>1</v>
      </c>
      <c r="H3022" s="6">
        <f>ROUND(G3022*F3022,2)</f>
        <v/>
      </c>
      <c r="I3022">
        <f>IF(ROUND(H3022-D3022,2)=0,1,0)</f>
        <v/>
      </c>
      <c r="J3022">
        <f>IF(F3022="","none",IF(G3022=1,"carte","multiple"))</f>
        <v/>
      </c>
    </row>
    <row r="3023">
      <c r="A3023" t="inlineStr">
        <is>
          <t>2022-07-17</t>
        </is>
      </c>
      <c r="B3023" t="inlineStr">
        <is>
          <t>12:23</t>
        </is>
      </c>
      <c r="C3023" t="n">
        <v>3008</v>
      </c>
      <c r="D3023" s="6" t="n">
        <v>5.8</v>
      </c>
      <c r="E3023" t="n">
        <v>39919</v>
      </c>
      <c r="F3023" s="6" t="n">
        <v>5.8</v>
      </c>
      <c r="G3023" t="n">
        <v>1</v>
      </c>
      <c r="H3023" s="6">
        <f>ROUND(G3023*F3023,2)</f>
        <v/>
      </c>
      <c r="I3023">
        <f>IF(ROUND(H3023-D3023,2)=0,1,0)</f>
        <v/>
      </c>
      <c r="J3023">
        <f>IF(F3023="","none",IF(G3023=1,"carte","multiple"))</f>
        <v/>
      </c>
    </row>
    <row r="3024">
      <c r="A3024" t="inlineStr">
        <is>
          <t>2022-07-17</t>
        </is>
      </c>
      <c r="B3024" t="inlineStr">
        <is>
          <t>12:23</t>
        </is>
      </c>
      <c r="C3024" t="n">
        <v>3008</v>
      </c>
      <c r="D3024" s="6" t="n">
        <v>19.8</v>
      </c>
      <c r="E3024" t="n">
        <v>39920</v>
      </c>
      <c r="F3024" s="6" t="n">
        <v>19.8</v>
      </c>
      <c r="G3024" t="n">
        <v>1</v>
      </c>
      <c r="H3024" s="6">
        <f>ROUND(G3024*F3024,2)</f>
        <v/>
      </c>
      <c r="I3024">
        <f>IF(ROUND(H3024-D3024,2)=0,1,0)</f>
        <v/>
      </c>
      <c r="J3024">
        <f>IF(F3024="","none",IF(G3024=1,"carte","multiple"))</f>
        <v/>
      </c>
    </row>
    <row r="3025">
      <c r="A3025" t="inlineStr">
        <is>
          <t>2022-07-17</t>
        </is>
      </c>
      <c r="B3025" t="inlineStr">
        <is>
          <t>12:23</t>
        </is>
      </c>
      <c r="C3025" t="n">
        <v>3008</v>
      </c>
      <c r="D3025" s="6" t="n">
        <v>35.2</v>
      </c>
      <c r="E3025" t="n">
        <v>39921</v>
      </c>
      <c r="F3025" s="6" t="n">
        <v>0.4</v>
      </c>
      <c r="G3025" t="n">
        <v>88</v>
      </c>
      <c r="H3025" s="6">
        <f>ROUND(G3025*F3025,2)</f>
        <v/>
      </c>
      <c r="I3025">
        <f>IF(ROUND(H3025-D3025,2)=0,1,0)</f>
        <v/>
      </c>
      <c r="J3025">
        <f>IF(F3025="","none",IF(G3025=1,"carte","multiple"))</f>
        <v/>
      </c>
    </row>
    <row r="3026">
      <c r="A3026" t="inlineStr">
        <is>
          <t>2022-07-17</t>
        </is>
      </c>
      <c r="B3026" t="inlineStr">
        <is>
          <t>12:23</t>
        </is>
      </c>
      <c r="C3026" t="n">
        <v>3008</v>
      </c>
      <c r="D3026" s="6" t="n">
        <v>23</v>
      </c>
      <c r="E3026" t="n">
        <v>39922</v>
      </c>
      <c r="F3026" s="6" t="n">
        <v>23</v>
      </c>
      <c r="G3026" t="n">
        <v>1</v>
      </c>
      <c r="H3026" s="6">
        <f>ROUND(G3026*F3026,2)</f>
        <v/>
      </c>
      <c r="I3026">
        <f>IF(ROUND(H3026-D3026,2)=0,1,0)</f>
        <v/>
      </c>
      <c r="J3026">
        <f>IF(F3026="","none",IF(G3026=1,"carte","multiple"))</f>
        <v/>
      </c>
    </row>
    <row r="3027">
      <c r="A3027" t="inlineStr">
        <is>
          <t>2022-07-17</t>
        </is>
      </c>
      <c r="B3027" t="inlineStr">
        <is>
          <t>12:23</t>
        </is>
      </c>
      <c r="C3027" t="n">
        <v>3008</v>
      </c>
      <c r="D3027" s="6" t="n">
        <v>9.9</v>
      </c>
      <c r="E3027" t="n">
        <v>39923</v>
      </c>
      <c r="F3027" s="6" t="n">
        <v>9.9</v>
      </c>
      <c r="G3027" t="n">
        <v>1</v>
      </c>
      <c r="H3027" s="6">
        <f>ROUND(G3027*F3027,2)</f>
        <v/>
      </c>
      <c r="I3027">
        <f>IF(ROUND(H3027-D3027,2)=0,1,0)</f>
        <v/>
      </c>
      <c r="J3027">
        <f>IF(F3027="","none",IF(G3027=1,"carte","multiple"))</f>
        <v/>
      </c>
    </row>
    <row r="3028">
      <c r="A3028" t="inlineStr">
        <is>
          <t>2022-07-17</t>
        </is>
      </c>
      <c r="B3028" t="inlineStr">
        <is>
          <t>12:23</t>
        </is>
      </c>
      <c r="C3028" t="n">
        <v>3008</v>
      </c>
      <c r="D3028" s="6" t="n">
        <v>4</v>
      </c>
      <c r="E3028" t="n">
        <v>39924</v>
      </c>
      <c r="F3028" s="6" t="n">
        <v>4</v>
      </c>
      <c r="G3028" t="n">
        <v>1</v>
      </c>
      <c r="H3028" s="6">
        <f>ROUND(G3028*F3028,2)</f>
        <v/>
      </c>
      <c r="I3028">
        <f>IF(ROUND(H3028-D3028,2)=0,1,0)</f>
        <v/>
      </c>
      <c r="J3028">
        <f>IF(F3028="","none",IF(G3028=1,"carte","multiple"))</f>
        <v/>
      </c>
    </row>
    <row r="3029">
      <c r="A3029" t="inlineStr">
        <is>
          <t>2022-07-17</t>
        </is>
      </c>
      <c r="B3029" t="inlineStr">
        <is>
          <t>12:23</t>
        </is>
      </c>
      <c r="C3029" t="n">
        <v>3008</v>
      </c>
      <c r="D3029" s="6" t="n">
        <v>3.9</v>
      </c>
      <c r="E3029" t="n">
        <v>39925</v>
      </c>
      <c r="F3029" s="6" t="n">
        <v>3.9</v>
      </c>
      <c r="G3029" t="n">
        <v>1</v>
      </c>
      <c r="H3029" s="6">
        <f>ROUND(G3029*F3029,2)</f>
        <v/>
      </c>
      <c r="I3029">
        <f>IF(ROUND(H3029-D3029,2)=0,1,0)</f>
        <v/>
      </c>
      <c r="J3029">
        <f>IF(F3029="","none",IF(G3029=1,"carte","multiple"))</f>
        <v/>
      </c>
    </row>
    <row r="3030">
      <c r="A3030" t="inlineStr">
        <is>
          <t>2022-07-17</t>
        </is>
      </c>
      <c r="B3030" t="inlineStr">
        <is>
          <t>12:23</t>
        </is>
      </c>
      <c r="C3030" t="n">
        <v>3008</v>
      </c>
      <c r="D3030" s="6" t="n">
        <v>11.8</v>
      </c>
      <c r="E3030" t="n">
        <v>39926</v>
      </c>
      <c r="F3030" s="6" t="n">
        <v>5.9</v>
      </c>
      <c r="G3030" t="n">
        <v>2</v>
      </c>
      <c r="H3030" s="6">
        <f>ROUND(G3030*F3030,2)</f>
        <v/>
      </c>
      <c r="I3030">
        <f>IF(ROUND(H3030-D3030,2)=0,1,0)</f>
        <v/>
      </c>
      <c r="J3030">
        <f>IF(F3030="","none",IF(G3030=1,"carte","multiple"))</f>
        <v/>
      </c>
    </row>
    <row r="3031">
      <c r="A3031" t="inlineStr">
        <is>
          <t>2022-07-17</t>
        </is>
      </c>
      <c r="B3031" t="inlineStr">
        <is>
          <t>17:46</t>
        </is>
      </c>
      <c r="C3031" t="n">
        <v>3008</v>
      </c>
      <c r="D3031" s="6" t="n">
        <v>5.2</v>
      </c>
      <c r="E3031" t="n">
        <v>39929</v>
      </c>
      <c r="F3031" s="6" t="n">
        <v>5.2</v>
      </c>
      <c r="G3031" t="n">
        <v>1</v>
      </c>
      <c r="H3031" s="6">
        <f>ROUND(G3031*F3031,2)</f>
        <v/>
      </c>
      <c r="I3031">
        <f>IF(ROUND(H3031-D3031,2)=0,1,0)</f>
        <v/>
      </c>
      <c r="J3031">
        <f>IF(F3031="","none",IF(G3031=1,"carte","multiple"))</f>
        <v/>
      </c>
    </row>
    <row r="3032">
      <c r="A3032" t="inlineStr">
        <is>
          <t>2022-07-17</t>
        </is>
      </c>
      <c r="B3032" t="inlineStr">
        <is>
          <t>18:51</t>
        </is>
      </c>
      <c r="C3032" t="n">
        <v>3008</v>
      </c>
      <c r="D3032" s="6" t="n">
        <v>3.9</v>
      </c>
      <c r="E3032" t="n">
        <v>39930</v>
      </c>
      <c r="F3032" s="6" t="n">
        <v>3.9</v>
      </c>
      <c r="G3032" t="n">
        <v>1</v>
      </c>
      <c r="H3032" s="6">
        <f>ROUND(G3032*F3032,2)</f>
        <v/>
      </c>
      <c r="I3032">
        <f>IF(ROUND(H3032-D3032,2)=0,1,0)</f>
        <v/>
      </c>
      <c r="J3032">
        <f>IF(F3032="","none",IF(G3032=1,"carte","multiple"))</f>
        <v/>
      </c>
    </row>
    <row r="3033">
      <c r="A3033" t="inlineStr">
        <is>
          <t>2022-07-17</t>
        </is>
      </c>
      <c r="B3033" t="inlineStr">
        <is>
          <t>18:51</t>
        </is>
      </c>
      <c r="C3033" t="n">
        <v>3008</v>
      </c>
      <c r="D3033" s="6" t="n">
        <v>1.8</v>
      </c>
      <c r="E3033" t="n">
        <v>39931</v>
      </c>
      <c r="F3033" s="6" t="n">
        <v>1.8</v>
      </c>
      <c r="G3033" t="n">
        <v>1</v>
      </c>
      <c r="H3033" s="6">
        <f>ROUND(G3033*F3033,2)</f>
        <v/>
      </c>
      <c r="I3033">
        <f>IF(ROUND(H3033-D3033,2)=0,1,0)</f>
        <v/>
      </c>
      <c r="J3033">
        <f>IF(F3033="","none",IF(G3033=1,"carte","multiple"))</f>
        <v/>
      </c>
    </row>
    <row r="3034">
      <c r="A3034" t="inlineStr">
        <is>
          <t>2022-07-17</t>
        </is>
      </c>
      <c r="B3034" t="inlineStr">
        <is>
          <t>19:07</t>
        </is>
      </c>
      <c r="C3034" t="n">
        <v>3008</v>
      </c>
      <c r="D3034" s="6" t="n">
        <v>19.9</v>
      </c>
      <c r="E3034" t="n">
        <v>39932</v>
      </c>
      <c r="F3034" s="6" t="n">
        <v>19.9</v>
      </c>
      <c r="G3034" t="n">
        <v>1</v>
      </c>
      <c r="H3034" s="6">
        <f>ROUND(G3034*F3034,2)</f>
        <v/>
      </c>
      <c r="I3034">
        <f>IF(ROUND(H3034-D3034,2)=0,1,0)</f>
        <v/>
      </c>
      <c r="J3034">
        <f>IF(F3034="","none",IF(G3034=1,"carte","multiple"))</f>
        <v/>
      </c>
    </row>
    <row r="3035">
      <c r="A3035" t="inlineStr">
        <is>
          <t>2022-07-17</t>
        </is>
      </c>
      <c r="B3035" t="inlineStr">
        <is>
          <t>19:11</t>
        </is>
      </c>
      <c r="C3035" t="n">
        <v>3008</v>
      </c>
      <c r="D3035" s="6" t="n">
        <v>2.2</v>
      </c>
      <c r="E3035" t="n">
        <v>39933</v>
      </c>
      <c r="F3035" s="6" t="n">
        <v>2.2</v>
      </c>
      <c r="G3035" t="n">
        <v>1</v>
      </c>
      <c r="H3035" s="6">
        <f>ROUND(G3035*F3035,2)</f>
        <v/>
      </c>
      <c r="I3035">
        <f>IF(ROUND(H3035-D3035,2)=0,1,0)</f>
        <v/>
      </c>
      <c r="J3035">
        <f>IF(F3035="","none",IF(G3035=1,"carte","multiple"))</f>
        <v/>
      </c>
    </row>
    <row r="3036">
      <c r="A3036" t="inlineStr">
        <is>
          <t>2022-07-17</t>
        </is>
      </c>
      <c r="B3036" t="inlineStr">
        <is>
          <t>19:20</t>
        </is>
      </c>
      <c r="C3036" t="n">
        <v>3008</v>
      </c>
      <c r="D3036" s="6" t="n">
        <v>18.6</v>
      </c>
      <c r="E3036" t="n">
        <v>39934</v>
      </c>
      <c r="F3036" s="6" t="n">
        <v>18.6</v>
      </c>
      <c r="G3036" t="n">
        <v>1</v>
      </c>
      <c r="H3036" s="6">
        <f>ROUND(G3036*F3036,2)</f>
        <v/>
      </c>
      <c r="I3036">
        <f>IF(ROUND(H3036-D3036,2)=0,1,0)</f>
        <v/>
      </c>
      <c r="J3036">
        <f>IF(F3036="","none",IF(G3036=1,"carte","multiple"))</f>
        <v/>
      </c>
    </row>
    <row r="3037">
      <c r="A3037" t="inlineStr">
        <is>
          <t>2022-07-17</t>
        </is>
      </c>
      <c r="B3037" t="inlineStr">
        <is>
          <t>19:20</t>
        </is>
      </c>
      <c r="C3037" t="n">
        <v>3008</v>
      </c>
      <c r="D3037" s="6" t="n">
        <v>21.6</v>
      </c>
      <c r="E3037" t="n">
        <v>39935</v>
      </c>
      <c r="F3037" s="6" t="n">
        <v>21.6</v>
      </c>
      <c r="G3037" t="n">
        <v>1</v>
      </c>
      <c r="H3037" s="6">
        <f>ROUND(G3037*F3037,2)</f>
        <v/>
      </c>
      <c r="I3037">
        <f>IF(ROUND(H3037-D3037,2)=0,1,0)</f>
        <v/>
      </c>
      <c r="J3037">
        <f>IF(F3037="","none",IF(G3037=1,"carte","multiple"))</f>
        <v/>
      </c>
    </row>
    <row r="3038">
      <c r="A3038" t="inlineStr">
        <is>
          <t>2022-07-17</t>
        </is>
      </c>
      <c r="B3038" t="inlineStr">
        <is>
          <t>19:20</t>
        </is>
      </c>
      <c r="C3038" t="n">
        <v>3008</v>
      </c>
      <c r="D3038" s="6" t="n">
        <v>8.9</v>
      </c>
      <c r="E3038" t="n">
        <v>39936</v>
      </c>
      <c r="F3038" s="6" t="n">
        <v>8.9</v>
      </c>
      <c r="G3038" t="n">
        <v>1</v>
      </c>
      <c r="H3038" s="6">
        <f>ROUND(G3038*F3038,2)</f>
        <v/>
      </c>
      <c r="I3038">
        <f>IF(ROUND(H3038-D3038,2)=0,1,0)</f>
        <v/>
      </c>
      <c r="J3038">
        <f>IF(F3038="","none",IF(G3038=1,"carte","multiple"))</f>
        <v/>
      </c>
    </row>
    <row r="3039">
      <c r="A3039" t="inlineStr">
        <is>
          <t>2022-07-17</t>
        </is>
      </c>
      <c r="B3039" t="inlineStr">
        <is>
          <t>19:20</t>
        </is>
      </c>
      <c r="C3039" t="n">
        <v>3008</v>
      </c>
      <c r="D3039" s="6" t="n">
        <v>16.9</v>
      </c>
      <c r="E3039" t="n">
        <v>39937</v>
      </c>
      <c r="F3039" s="6" t="n">
        <v>16.9</v>
      </c>
      <c r="G3039" t="n">
        <v>1</v>
      </c>
      <c r="H3039" s="6">
        <f>ROUND(G3039*F3039,2)</f>
        <v/>
      </c>
      <c r="I3039">
        <f>IF(ROUND(H3039-D3039,2)=0,1,0)</f>
        <v/>
      </c>
      <c r="J3039">
        <f>IF(F3039="","none",IF(G3039=1,"carte","multiple"))</f>
        <v/>
      </c>
    </row>
    <row r="3040">
      <c r="A3040" t="inlineStr">
        <is>
          <t>2022-07-17</t>
        </is>
      </c>
      <c r="B3040" t="inlineStr">
        <is>
          <t>19:20</t>
        </is>
      </c>
      <c r="C3040" t="n">
        <v>3008</v>
      </c>
      <c r="D3040" s="6" t="n">
        <v>5.9</v>
      </c>
      <c r="E3040" t="n">
        <v>39938</v>
      </c>
      <c r="F3040" s="6" t="n">
        <v>5.9</v>
      </c>
      <c r="G3040" t="n">
        <v>1</v>
      </c>
      <c r="H3040" s="6">
        <f>ROUND(G3040*F3040,2)</f>
        <v/>
      </c>
      <c r="I3040">
        <f>IF(ROUND(H3040-D3040,2)=0,1,0)</f>
        <v/>
      </c>
      <c r="J3040">
        <f>IF(F3040="","none",IF(G3040=1,"carte","multiple"))</f>
        <v/>
      </c>
    </row>
    <row r="3041">
      <c r="A3041" t="inlineStr">
        <is>
          <t>2022-07-17</t>
        </is>
      </c>
      <c r="B3041" t="inlineStr">
        <is>
          <t>19:20</t>
        </is>
      </c>
      <c r="C3041" t="n">
        <v>3008</v>
      </c>
      <c r="D3041" s="6" t="n">
        <v>10.4</v>
      </c>
      <c r="E3041" t="n">
        <v>39939</v>
      </c>
      <c r="F3041" s="6" t="n">
        <v>0.4</v>
      </c>
      <c r="G3041" t="n">
        <v>26</v>
      </c>
      <c r="H3041" s="6">
        <f>ROUND(G3041*F3041,2)</f>
        <v/>
      </c>
      <c r="I3041">
        <f>IF(ROUND(H3041-D3041,2)=0,1,0)</f>
        <v/>
      </c>
      <c r="J3041">
        <f>IF(F3041="","none",IF(G3041=1,"carte","multiple"))</f>
        <v/>
      </c>
    </row>
    <row r="3042">
      <c r="A3042" t="inlineStr">
        <is>
          <t>2022-07-17</t>
        </is>
      </c>
      <c r="B3042" t="inlineStr">
        <is>
          <t>19:52</t>
        </is>
      </c>
      <c r="C3042" t="n">
        <v>3008</v>
      </c>
      <c r="D3042" s="6" t="n">
        <v>3.9</v>
      </c>
      <c r="E3042" t="n">
        <v>39940</v>
      </c>
      <c r="F3042" s="6" t="n">
        <v>3.9</v>
      </c>
      <c r="G3042" t="n">
        <v>1</v>
      </c>
      <c r="H3042" s="6">
        <f>ROUND(G3042*F3042,2)</f>
        <v/>
      </c>
      <c r="I3042">
        <f>IF(ROUND(H3042-D3042,2)=0,1,0)</f>
        <v/>
      </c>
      <c r="J3042">
        <f>IF(F3042="","none",IF(G3042=1,"carte","multiple"))</f>
        <v/>
      </c>
    </row>
    <row r="3043">
      <c r="A3043" t="inlineStr">
        <is>
          <t>2022-07-17</t>
        </is>
      </c>
      <c r="B3043" t="inlineStr">
        <is>
          <t>19:52</t>
        </is>
      </c>
      <c r="C3043" t="n">
        <v>3008</v>
      </c>
      <c r="D3043" s="6" t="n">
        <v>3.9</v>
      </c>
      <c r="E3043" t="n">
        <v>39941</v>
      </c>
      <c r="F3043" s="6" t="n">
        <v>3.9</v>
      </c>
      <c r="G3043" t="n">
        <v>1</v>
      </c>
      <c r="H3043" s="6">
        <f>ROUND(G3043*F3043,2)</f>
        <v/>
      </c>
      <c r="I3043">
        <f>IF(ROUND(H3043-D3043,2)=0,1,0)</f>
        <v/>
      </c>
      <c r="J3043">
        <f>IF(F3043="","none",IF(G3043=1,"carte","multiple"))</f>
        <v/>
      </c>
    </row>
    <row r="3044">
      <c r="A3044" t="inlineStr">
        <is>
          <t>2022-07-17</t>
        </is>
      </c>
      <c r="B3044" t="inlineStr">
        <is>
          <t>19:52</t>
        </is>
      </c>
      <c r="C3044" t="n">
        <v>3008</v>
      </c>
      <c r="D3044" s="6" t="n">
        <v>17.6</v>
      </c>
      <c r="E3044" t="n">
        <v>39942</v>
      </c>
      <c r="F3044" s="6" t="n">
        <v>17.6</v>
      </c>
      <c r="G3044" t="n">
        <v>1</v>
      </c>
      <c r="H3044" s="6">
        <f>ROUND(G3044*F3044,2)</f>
        <v/>
      </c>
      <c r="I3044">
        <f>IF(ROUND(H3044-D3044,2)=0,1,0)</f>
        <v/>
      </c>
      <c r="J3044">
        <f>IF(F3044="","none",IF(G3044=1,"carte","multiple"))</f>
        <v/>
      </c>
    </row>
    <row r="3045">
      <c r="A3045" t="inlineStr">
        <is>
          <t>2022-07-17</t>
        </is>
      </c>
      <c r="B3045" t="inlineStr">
        <is>
          <t>19:52</t>
        </is>
      </c>
      <c r="C3045" t="n">
        <v>3008</v>
      </c>
      <c r="D3045" s="6" t="n">
        <v>9.6</v>
      </c>
      <c r="E3045" t="n">
        <v>39943</v>
      </c>
      <c r="F3045" s="6" t="n">
        <v>9.6</v>
      </c>
      <c r="G3045" t="n">
        <v>1</v>
      </c>
      <c r="H3045" s="6">
        <f>ROUND(G3045*F3045,2)</f>
        <v/>
      </c>
      <c r="I3045">
        <f>IF(ROUND(H3045-D3045,2)=0,1,0)</f>
        <v/>
      </c>
      <c r="J3045">
        <f>IF(F3045="","none",IF(G3045=1,"carte","multiple"))</f>
        <v/>
      </c>
    </row>
    <row r="3046">
      <c r="A3046" t="inlineStr">
        <is>
          <t>2022-07-17</t>
        </is>
      </c>
      <c r="B3046" t="inlineStr">
        <is>
          <t>20:05</t>
        </is>
      </c>
      <c r="C3046" t="n">
        <v>3008</v>
      </c>
      <c r="D3046" s="6" t="n">
        <v>2.9</v>
      </c>
      <c r="E3046" t="n">
        <v>39944</v>
      </c>
      <c r="F3046" s="6" t="n">
        <v>2.9</v>
      </c>
      <c r="G3046" t="n">
        <v>1</v>
      </c>
      <c r="H3046" s="6">
        <f>ROUND(G3046*F3046,2)</f>
        <v/>
      </c>
      <c r="I3046">
        <f>IF(ROUND(H3046-D3046,2)=0,1,0)</f>
        <v/>
      </c>
      <c r="J3046">
        <f>IF(F3046="","none",IF(G3046=1,"carte","multiple"))</f>
        <v/>
      </c>
    </row>
    <row r="3047">
      <c r="A3047" t="inlineStr">
        <is>
          <t>2022-07-17</t>
        </is>
      </c>
      <c r="B3047" t="inlineStr">
        <is>
          <t>20:05</t>
        </is>
      </c>
      <c r="C3047" t="n">
        <v>3008</v>
      </c>
      <c r="D3047" s="6" t="n">
        <v>1.2</v>
      </c>
      <c r="E3047" t="n">
        <v>39945</v>
      </c>
      <c r="F3047" s="6" t="n">
        <v>1.2</v>
      </c>
      <c r="G3047" t="n">
        <v>1</v>
      </c>
      <c r="H3047" s="6">
        <f>ROUND(G3047*F3047,2)</f>
        <v/>
      </c>
      <c r="I3047">
        <f>IF(ROUND(H3047-D3047,2)=0,1,0)</f>
        <v/>
      </c>
      <c r="J3047">
        <f>IF(F3047="","none",IF(G3047=1,"carte","multiple"))</f>
        <v/>
      </c>
    </row>
    <row r="3048">
      <c r="A3048" t="inlineStr">
        <is>
          <t>2022-07-17</t>
        </is>
      </c>
      <c r="B3048" t="inlineStr">
        <is>
          <t>20:18</t>
        </is>
      </c>
      <c r="C3048" t="n">
        <v>3008</v>
      </c>
      <c r="D3048" s="6" t="n">
        <v>3.9</v>
      </c>
      <c r="E3048" t="n">
        <v>39946</v>
      </c>
      <c r="F3048" s="6" t="n">
        <v>3.9</v>
      </c>
      <c r="G3048" t="n">
        <v>1</v>
      </c>
      <c r="H3048" s="6">
        <f>ROUND(G3048*F3048,2)</f>
        <v/>
      </c>
      <c r="I3048">
        <f>IF(ROUND(H3048-D3048,2)=0,1,0)</f>
        <v/>
      </c>
      <c r="J3048">
        <f>IF(F3048="","none",IF(G3048=1,"carte","multiple"))</f>
        <v/>
      </c>
    </row>
    <row r="3049">
      <c r="A3049" t="inlineStr">
        <is>
          <t>2022-07-17</t>
        </is>
      </c>
      <c r="B3049" t="inlineStr">
        <is>
          <t>20:18</t>
        </is>
      </c>
      <c r="C3049" t="n">
        <v>3008</v>
      </c>
      <c r="D3049" s="6" t="n">
        <v>7.9</v>
      </c>
      <c r="E3049" t="n">
        <v>39947</v>
      </c>
      <c r="F3049" s="6" t="n">
        <v>7.9</v>
      </c>
      <c r="G3049" t="n">
        <v>1</v>
      </c>
      <c r="H3049" s="6">
        <f>ROUND(G3049*F3049,2)</f>
        <v/>
      </c>
      <c r="I3049">
        <f>IF(ROUND(H3049-D3049,2)=0,1,0)</f>
        <v/>
      </c>
      <c r="J3049">
        <f>IF(F3049="","none",IF(G3049=1,"carte","multiple"))</f>
        <v/>
      </c>
    </row>
    <row r="3050">
      <c r="A3050" t="inlineStr">
        <is>
          <t>2022-07-17</t>
        </is>
      </c>
      <c r="B3050" t="inlineStr">
        <is>
          <t>20:18</t>
        </is>
      </c>
      <c r="C3050" t="n">
        <v>3008</v>
      </c>
      <c r="D3050" s="6" t="n">
        <v>32</v>
      </c>
      <c r="E3050" t="n">
        <v>39948</v>
      </c>
      <c r="F3050" s="6" t="n">
        <v>32</v>
      </c>
      <c r="G3050" t="n">
        <v>1</v>
      </c>
      <c r="H3050" s="6">
        <f>ROUND(G3050*F3050,2)</f>
        <v/>
      </c>
      <c r="I3050">
        <f>IF(ROUND(H3050-D3050,2)=0,1,0)</f>
        <v/>
      </c>
      <c r="J3050">
        <f>IF(F3050="","none",IF(G3050=1,"carte","multiple"))</f>
        <v/>
      </c>
    </row>
    <row r="3051">
      <c r="A3051" t="inlineStr">
        <is>
          <t>2022-07-17</t>
        </is>
      </c>
      <c r="B3051" t="inlineStr">
        <is>
          <t>20:18</t>
        </is>
      </c>
      <c r="C3051" t="n">
        <v>3008</v>
      </c>
      <c r="D3051" s="6" t="n">
        <v>19</v>
      </c>
      <c r="E3051" t="n">
        <v>39949</v>
      </c>
      <c r="F3051" s="6" t="n">
        <v>19</v>
      </c>
      <c r="G3051" t="n">
        <v>1</v>
      </c>
      <c r="H3051" s="6">
        <f>ROUND(G3051*F3051,2)</f>
        <v/>
      </c>
      <c r="I3051">
        <f>IF(ROUND(H3051-D3051,2)=0,1,0)</f>
        <v/>
      </c>
      <c r="J3051">
        <f>IF(F3051="","none",IF(G3051=1,"carte","multiple"))</f>
        <v/>
      </c>
    </row>
    <row r="3052">
      <c r="A3052" t="inlineStr">
        <is>
          <t>2022-07-17</t>
        </is>
      </c>
      <c r="B3052" t="inlineStr">
        <is>
          <t>20:18</t>
        </is>
      </c>
      <c r="C3052" t="n">
        <v>3008</v>
      </c>
      <c r="D3052" s="6" t="n">
        <v>19.9</v>
      </c>
      <c r="E3052" t="n">
        <v>39950</v>
      </c>
      <c r="F3052" s="6" t="n">
        <v>19.9</v>
      </c>
      <c r="G3052" t="n">
        <v>1</v>
      </c>
      <c r="H3052" s="6">
        <f>ROUND(G3052*F3052,2)</f>
        <v/>
      </c>
      <c r="I3052">
        <f>IF(ROUND(H3052-D3052,2)=0,1,0)</f>
        <v/>
      </c>
      <c r="J3052">
        <f>IF(F3052="","none",IF(G3052=1,"carte","multiple"))</f>
        <v/>
      </c>
    </row>
    <row r="3053">
      <c r="A3053" t="inlineStr">
        <is>
          <t>2022-07-17</t>
        </is>
      </c>
      <c r="B3053" t="inlineStr">
        <is>
          <t>20:18</t>
        </is>
      </c>
      <c r="C3053" t="n">
        <v>3008</v>
      </c>
      <c r="D3053" s="6" t="n">
        <v>2</v>
      </c>
      <c r="E3053" t="n">
        <v>39951</v>
      </c>
      <c r="F3053" s="6" t="n">
        <v>2</v>
      </c>
      <c r="G3053" t="n">
        <v>1</v>
      </c>
      <c r="H3053" s="6">
        <f>ROUND(G3053*F3053,2)</f>
        <v/>
      </c>
      <c r="I3053">
        <f>IF(ROUND(H3053-D3053,2)=0,1,0)</f>
        <v/>
      </c>
      <c r="J3053">
        <f>IF(F3053="","none",IF(G3053=1,"carte","multiple"))</f>
        <v/>
      </c>
    </row>
    <row r="3054">
      <c r="A3054" t="inlineStr">
        <is>
          <t>2022-07-17</t>
        </is>
      </c>
      <c r="B3054" t="inlineStr">
        <is>
          <t>20:18</t>
        </is>
      </c>
      <c r="C3054" t="n">
        <v>3008</v>
      </c>
      <c r="D3054" s="6" t="n">
        <v>2.9</v>
      </c>
      <c r="E3054" t="n">
        <v>39952</v>
      </c>
      <c r="F3054" s="6" t="n">
        <v>2.9</v>
      </c>
      <c r="G3054" t="n">
        <v>1</v>
      </c>
      <c r="H3054" s="6">
        <f>ROUND(G3054*F3054,2)</f>
        <v/>
      </c>
      <c r="I3054">
        <f>IF(ROUND(H3054-D3054,2)=0,1,0)</f>
        <v/>
      </c>
      <c r="J3054">
        <f>IF(F3054="","none",IF(G3054=1,"carte","multiple"))</f>
        <v/>
      </c>
    </row>
    <row r="3055">
      <c r="A3055" t="inlineStr">
        <is>
          <t>2022-07-17</t>
        </is>
      </c>
      <c r="B3055" t="inlineStr">
        <is>
          <t>20:18</t>
        </is>
      </c>
      <c r="C3055" t="n">
        <v>3008</v>
      </c>
      <c r="D3055" s="6" t="n">
        <v>4</v>
      </c>
      <c r="E3055" t="n">
        <v>39953</v>
      </c>
      <c r="F3055" s="6" t="n">
        <v>4</v>
      </c>
      <c r="G3055" t="n">
        <v>1</v>
      </c>
      <c r="H3055" s="6">
        <f>ROUND(G3055*F3055,2)</f>
        <v/>
      </c>
      <c r="I3055">
        <f>IF(ROUND(H3055-D3055,2)=0,1,0)</f>
        <v/>
      </c>
      <c r="J3055">
        <f>IF(F3055="","none",IF(G3055=1,"carte","multiple"))</f>
        <v/>
      </c>
    </row>
    <row r="3056">
      <c r="A3056" t="inlineStr">
        <is>
          <t>2022-07-17</t>
        </is>
      </c>
      <c r="B3056" t="inlineStr">
        <is>
          <t>20:18</t>
        </is>
      </c>
      <c r="C3056" t="n">
        <v>3008</v>
      </c>
      <c r="D3056" s="6" t="n">
        <v>1.8</v>
      </c>
      <c r="E3056" t="n">
        <v>39954</v>
      </c>
      <c r="F3056" s="6" t="n">
        <v>1.8</v>
      </c>
      <c r="G3056" t="n">
        <v>1</v>
      </c>
      <c r="H3056" s="6">
        <f>ROUND(G3056*F3056,2)</f>
        <v/>
      </c>
      <c r="I3056">
        <f>IF(ROUND(H3056-D3056,2)=0,1,0)</f>
        <v/>
      </c>
      <c r="J3056">
        <f>IF(F3056="","none",IF(G3056=1,"carte","multiple"))</f>
        <v/>
      </c>
    </row>
    <row r="3057">
      <c r="A3057" t="inlineStr">
        <is>
          <t>2022-07-17</t>
        </is>
      </c>
      <c r="B3057" t="inlineStr">
        <is>
          <t>20:18</t>
        </is>
      </c>
      <c r="C3057" t="n">
        <v>3008</v>
      </c>
      <c r="D3057" s="6" t="n">
        <v>1.8</v>
      </c>
      <c r="E3057" t="n">
        <v>39955</v>
      </c>
      <c r="F3057" s="6" t="n">
        <v>1.8</v>
      </c>
      <c r="G3057" t="n">
        <v>1</v>
      </c>
      <c r="H3057" s="6">
        <f>ROUND(G3057*F3057,2)</f>
        <v/>
      </c>
      <c r="I3057">
        <f>IF(ROUND(H3057-D3057,2)=0,1,0)</f>
        <v/>
      </c>
      <c r="J3057">
        <f>IF(F3057="","none",IF(G3057=1,"carte","multiple"))</f>
        <v/>
      </c>
    </row>
    <row r="3058">
      <c r="A3058" t="inlineStr">
        <is>
          <t>2022-07-19</t>
        </is>
      </c>
      <c r="B3058" t="inlineStr">
        <is>
          <t>11:30</t>
        </is>
      </c>
      <c r="C3058" t="n">
        <v>3009</v>
      </c>
      <c r="D3058" s="6" t="n">
        <v>4.4</v>
      </c>
      <c r="E3058" t="n">
        <v>39958</v>
      </c>
      <c r="F3058" s="6" t="n">
        <v>0.4</v>
      </c>
      <c r="G3058" t="n">
        <v>11</v>
      </c>
      <c r="H3058" s="6">
        <f>ROUND(G3058*F3058,2)</f>
        <v/>
      </c>
      <c r="I3058">
        <f>IF(ROUND(H3058-D3058,2)=0,1,0)</f>
        <v/>
      </c>
      <c r="J3058">
        <f>IF(F3058="","none",IF(G3058=1,"carte","multiple"))</f>
        <v/>
      </c>
    </row>
    <row r="3059">
      <c r="A3059" t="inlineStr">
        <is>
          <t>2022-07-19</t>
        </is>
      </c>
      <c r="B3059" t="inlineStr">
        <is>
          <t>11:30</t>
        </is>
      </c>
      <c r="C3059" t="n">
        <v>3009</v>
      </c>
      <c r="D3059" s="6" t="n">
        <v>19.9</v>
      </c>
      <c r="E3059" t="n">
        <v>39959</v>
      </c>
      <c r="F3059" s="6" t="n">
        <v>19.9</v>
      </c>
      <c r="G3059" t="n">
        <v>1</v>
      </c>
      <c r="H3059" s="6">
        <f>ROUND(G3059*F3059,2)</f>
        <v/>
      </c>
      <c r="I3059">
        <f>IF(ROUND(H3059-D3059,2)=0,1,0)</f>
        <v/>
      </c>
      <c r="J3059">
        <f>IF(F3059="","none",IF(G3059=1,"carte","multiple"))</f>
        <v/>
      </c>
    </row>
    <row r="3060">
      <c r="A3060" t="inlineStr">
        <is>
          <t>2022-07-19</t>
        </is>
      </c>
      <c r="B3060" t="inlineStr">
        <is>
          <t>11:30</t>
        </is>
      </c>
      <c r="C3060" t="n">
        <v>3009</v>
      </c>
      <c r="D3060" s="6" t="n">
        <v>19.9</v>
      </c>
      <c r="E3060" t="n">
        <v>39960</v>
      </c>
      <c r="F3060" s="6" t="n">
        <v>19.9</v>
      </c>
      <c r="G3060" t="n">
        <v>1</v>
      </c>
      <c r="H3060" s="6">
        <f>ROUND(G3060*F3060,2)</f>
        <v/>
      </c>
      <c r="I3060">
        <f>IF(ROUND(H3060-D3060,2)=0,1,0)</f>
        <v/>
      </c>
      <c r="J3060">
        <f>IF(F3060="","none",IF(G3060=1,"carte","multiple"))</f>
        <v/>
      </c>
    </row>
    <row r="3061">
      <c r="A3061" t="inlineStr">
        <is>
          <t>2022-07-19</t>
        </is>
      </c>
      <c r="B3061" t="inlineStr">
        <is>
          <t>11:30</t>
        </is>
      </c>
      <c r="C3061" t="n">
        <v>3009</v>
      </c>
      <c r="D3061" s="6" t="n">
        <v>4</v>
      </c>
      <c r="E3061" t="n">
        <v>39961</v>
      </c>
      <c r="F3061" s="6" t="n">
        <v>4</v>
      </c>
      <c r="G3061" t="n">
        <v>1</v>
      </c>
      <c r="H3061" s="6">
        <f>ROUND(G3061*F3061,2)</f>
        <v/>
      </c>
      <c r="I3061">
        <f>IF(ROUND(H3061-D3061,2)=0,1,0)</f>
        <v/>
      </c>
      <c r="J3061">
        <f>IF(F3061="","none",IF(G3061=1,"carte","multiple"))</f>
        <v/>
      </c>
    </row>
    <row r="3062">
      <c r="A3062" t="inlineStr">
        <is>
          <t>2022-07-19</t>
        </is>
      </c>
      <c r="B3062" t="inlineStr">
        <is>
          <t>11:30</t>
        </is>
      </c>
      <c r="C3062" t="n">
        <v>3009</v>
      </c>
      <c r="D3062" s="6" t="n">
        <v>3.9</v>
      </c>
      <c r="E3062" t="n">
        <v>39962</v>
      </c>
      <c r="F3062" s="6" t="n">
        <v>3.9</v>
      </c>
      <c r="G3062" t="n">
        <v>1</v>
      </c>
      <c r="H3062" s="6">
        <f>ROUND(G3062*F3062,2)</f>
        <v/>
      </c>
      <c r="I3062">
        <f>IF(ROUND(H3062-D3062,2)=0,1,0)</f>
        <v/>
      </c>
      <c r="J3062">
        <f>IF(F3062="","none",IF(G3062=1,"carte","multiple"))</f>
        <v/>
      </c>
    </row>
    <row r="3063">
      <c r="A3063" t="inlineStr">
        <is>
          <t>2022-07-19</t>
        </is>
      </c>
      <c r="B3063" t="inlineStr">
        <is>
          <t>11:38</t>
        </is>
      </c>
      <c r="C3063" t="n">
        <v>3009</v>
      </c>
      <c r="D3063" s="6" t="n">
        <v>9.800000000000001</v>
      </c>
      <c r="E3063" t="n">
        <v>39963</v>
      </c>
      <c r="F3063" s="6" t="n">
        <v>9.800000000000001</v>
      </c>
      <c r="G3063" t="n">
        <v>1</v>
      </c>
      <c r="H3063" s="6">
        <f>ROUND(G3063*F3063,2)</f>
        <v/>
      </c>
      <c r="I3063">
        <f>IF(ROUND(H3063-D3063,2)=0,1,0)</f>
        <v/>
      </c>
      <c r="J3063">
        <f>IF(F3063="","none",IF(G3063=1,"carte","multiple"))</f>
        <v/>
      </c>
    </row>
    <row r="3064">
      <c r="A3064" t="inlineStr">
        <is>
          <t>2022-07-19</t>
        </is>
      </c>
      <c r="B3064" t="inlineStr">
        <is>
          <t>11:50</t>
        </is>
      </c>
      <c r="C3064" t="n">
        <v>3009</v>
      </c>
      <c r="D3064" s="6" t="n">
        <v>2.2</v>
      </c>
      <c r="E3064" t="n">
        <v>39964</v>
      </c>
      <c r="F3064" s="6" t="n">
        <v>2.2</v>
      </c>
      <c r="G3064" t="n">
        <v>1</v>
      </c>
      <c r="H3064" s="6">
        <f>ROUND(G3064*F3064,2)</f>
        <v/>
      </c>
      <c r="I3064">
        <f>IF(ROUND(H3064-D3064,2)=0,1,0)</f>
        <v/>
      </c>
      <c r="J3064">
        <f>IF(F3064="","none",IF(G3064=1,"carte","multiple"))</f>
        <v/>
      </c>
    </row>
    <row r="3065">
      <c r="A3065" t="inlineStr">
        <is>
          <t>2022-07-19</t>
        </is>
      </c>
      <c r="B3065" t="inlineStr">
        <is>
          <t>11:50</t>
        </is>
      </c>
      <c r="C3065" t="n">
        <v>3009</v>
      </c>
      <c r="D3065" s="6" t="n">
        <v>17.6</v>
      </c>
      <c r="E3065" t="n">
        <v>39965</v>
      </c>
      <c r="F3065" s="6" t="n">
        <v>17.6</v>
      </c>
      <c r="G3065" t="n">
        <v>1</v>
      </c>
      <c r="H3065" s="6">
        <f>ROUND(G3065*F3065,2)</f>
        <v/>
      </c>
      <c r="I3065">
        <f>IF(ROUND(H3065-D3065,2)=0,1,0)</f>
        <v/>
      </c>
      <c r="J3065">
        <f>IF(F3065="","none",IF(G3065=1,"carte","multiple"))</f>
        <v/>
      </c>
    </row>
    <row r="3066">
      <c r="A3066" t="inlineStr">
        <is>
          <t>2022-07-19</t>
        </is>
      </c>
      <c r="B3066" t="inlineStr">
        <is>
          <t>11:50</t>
        </is>
      </c>
      <c r="C3066" t="n">
        <v>3009</v>
      </c>
      <c r="D3066" s="6" t="n">
        <v>19.9</v>
      </c>
      <c r="E3066" t="n">
        <v>39966</v>
      </c>
      <c r="F3066" s="6" t="n">
        <v>19.9</v>
      </c>
      <c r="G3066" t="n">
        <v>1</v>
      </c>
      <c r="H3066" s="6">
        <f>ROUND(G3066*F3066,2)</f>
        <v/>
      </c>
      <c r="I3066">
        <f>IF(ROUND(H3066-D3066,2)=0,1,0)</f>
        <v/>
      </c>
      <c r="J3066">
        <f>IF(F3066="","none",IF(G3066=1,"carte","multiple"))</f>
        <v/>
      </c>
    </row>
    <row r="3067">
      <c r="A3067" t="inlineStr">
        <is>
          <t>2022-07-19</t>
        </is>
      </c>
      <c r="B3067" t="inlineStr">
        <is>
          <t>11:50</t>
        </is>
      </c>
      <c r="C3067" t="n">
        <v>3009</v>
      </c>
      <c r="D3067" s="6" t="n">
        <v>9.800000000000001</v>
      </c>
      <c r="E3067" t="n">
        <v>39967</v>
      </c>
      <c r="F3067" s="6" t="n">
        <v>9.800000000000001</v>
      </c>
      <c r="G3067" t="n">
        <v>1</v>
      </c>
      <c r="H3067" s="6">
        <f>ROUND(G3067*F3067,2)</f>
        <v/>
      </c>
      <c r="I3067">
        <f>IF(ROUND(H3067-D3067,2)=0,1,0)</f>
        <v/>
      </c>
      <c r="J3067">
        <f>IF(F3067="","none",IF(G3067=1,"carte","multiple"))</f>
        <v/>
      </c>
    </row>
    <row r="3068">
      <c r="A3068" t="inlineStr">
        <is>
          <t>2022-07-19</t>
        </is>
      </c>
      <c r="B3068" t="inlineStr">
        <is>
          <t>11:51</t>
        </is>
      </c>
      <c r="C3068" t="n">
        <v>3009</v>
      </c>
      <c r="D3068" s="6" t="n">
        <v>4</v>
      </c>
      <c r="E3068" t="n">
        <v>39968</v>
      </c>
      <c r="F3068" s="6" t="n">
        <v>4</v>
      </c>
      <c r="G3068" t="n">
        <v>1</v>
      </c>
      <c r="H3068" s="6">
        <f>ROUND(G3068*F3068,2)</f>
        <v/>
      </c>
      <c r="I3068">
        <f>IF(ROUND(H3068-D3068,2)=0,1,0)</f>
        <v/>
      </c>
      <c r="J3068">
        <f>IF(F3068="","none",IF(G3068=1,"carte","multiple"))</f>
        <v/>
      </c>
    </row>
    <row r="3069">
      <c r="A3069" t="inlineStr">
        <is>
          <t>2022-07-19</t>
        </is>
      </c>
      <c r="B3069" t="inlineStr">
        <is>
          <t>11:52</t>
        </is>
      </c>
      <c r="C3069" t="n">
        <v>3009</v>
      </c>
      <c r="D3069" s="6" t="n">
        <v>6.6</v>
      </c>
      <c r="E3069" t="n">
        <v>39969</v>
      </c>
      <c r="F3069" s="6" t="n">
        <v>6.6</v>
      </c>
      <c r="G3069" t="n">
        <v>1</v>
      </c>
      <c r="H3069" s="6">
        <f>ROUND(G3069*F3069,2)</f>
        <v/>
      </c>
      <c r="I3069">
        <f>IF(ROUND(H3069-D3069,2)=0,1,0)</f>
        <v/>
      </c>
      <c r="J3069">
        <f>IF(F3069="","none",IF(G3069=1,"carte","multiple"))</f>
        <v/>
      </c>
    </row>
    <row r="3070">
      <c r="A3070" t="inlineStr">
        <is>
          <t>2022-07-19</t>
        </is>
      </c>
      <c r="B3070" t="inlineStr">
        <is>
          <t>17:19</t>
        </is>
      </c>
      <c r="C3070" t="n">
        <v>3009</v>
      </c>
      <c r="D3070" s="6" t="n">
        <v>9.800000000000001</v>
      </c>
      <c r="E3070" t="n">
        <v>39971</v>
      </c>
      <c r="F3070" s="6" t="n">
        <v>9.800000000000001</v>
      </c>
      <c r="G3070" t="n">
        <v>1</v>
      </c>
      <c r="H3070" s="6">
        <f>ROUND(G3070*F3070,2)</f>
        <v/>
      </c>
      <c r="I3070">
        <f>IF(ROUND(H3070-D3070,2)=0,1,0)</f>
        <v/>
      </c>
      <c r="J3070">
        <f>IF(F3070="","none",IF(G3070=1,"carte","multiple"))</f>
        <v/>
      </c>
    </row>
    <row r="3071">
      <c r="A3071" t="inlineStr">
        <is>
          <t>2022-07-19</t>
        </is>
      </c>
      <c r="B3071" t="inlineStr">
        <is>
          <t>18:56</t>
        </is>
      </c>
      <c r="C3071" t="n">
        <v>3009</v>
      </c>
      <c r="D3071" s="6" t="n">
        <v>10.9</v>
      </c>
      <c r="E3071" t="n">
        <v>39972</v>
      </c>
      <c r="F3071" s="6" t="n">
        <v>10.9</v>
      </c>
      <c r="G3071" t="n">
        <v>1</v>
      </c>
      <c r="H3071" s="6">
        <f>ROUND(G3071*F3071,2)</f>
        <v/>
      </c>
      <c r="I3071">
        <f>IF(ROUND(H3071-D3071,2)=0,1,0)</f>
        <v/>
      </c>
      <c r="J3071">
        <f>IF(F3071="","none",IF(G3071=1,"carte","multiple"))</f>
        <v/>
      </c>
    </row>
    <row r="3072">
      <c r="A3072" t="inlineStr">
        <is>
          <t>2022-07-19</t>
        </is>
      </c>
      <c r="B3072" t="inlineStr">
        <is>
          <t>18:56</t>
        </is>
      </c>
      <c r="C3072" t="n">
        <v>3009</v>
      </c>
      <c r="D3072" s="6" t="n">
        <v>7.2</v>
      </c>
      <c r="E3072" t="n">
        <v>39973</v>
      </c>
      <c r="F3072" s="6" t="n">
        <v>7.2</v>
      </c>
      <c r="G3072" t="n">
        <v>1</v>
      </c>
      <c r="H3072" s="6">
        <f>ROUND(G3072*F3072,2)</f>
        <v/>
      </c>
      <c r="I3072">
        <f>IF(ROUND(H3072-D3072,2)=0,1,0)</f>
        <v/>
      </c>
      <c r="J3072">
        <f>IF(F3072="","none",IF(G3072=1,"carte","multiple"))</f>
        <v/>
      </c>
    </row>
    <row r="3073">
      <c r="A3073" t="inlineStr">
        <is>
          <t>2022-07-19</t>
        </is>
      </c>
      <c r="B3073" t="inlineStr">
        <is>
          <t>18:56</t>
        </is>
      </c>
      <c r="C3073" t="n">
        <v>3009</v>
      </c>
      <c r="D3073" s="6" t="n">
        <v>36</v>
      </c>
      <c r="E3073" t="n">
        <v>39974</v>
      </c>
      <c r="F3073" s="6" t="n">
        <v>36</v>
      </c>
      <c r="G3073" t="n">
        <v>1</v>
      </c>
      <c r="H3073" s="6">
        <f>ROUND(G3073*F3073,2)</f>
        <v/>
      </c>
      <c r="I3073">
        <f>IF(ROUND(H3073-D3073,2)=0,1,0)</f>
        <v/>
      </c>
      <c r="J3073">
        <f>IF(F3073="","none",IF(G3073=1,"carte","multiple"))</f>
        <v/>
      </c>
    </row>
    <row r="3074">
      <c r="A3074" t="inlineStr">
        <is>
          <t>2022-07-19</t>
        </is>
      </c>
      <c r="B3074" t="inlineStr">
        <is>
          <t>18:56</t>
        </is>
      </c>
      <c r="C3074" t="n">
        <v>3009</v>
      </c>
      <c r="D3074" s="6" t="n">
        <v>3.8</v>
      </c>
      <c r="E3074" t="n">
        <v>39975</v>
      </c>
      <c r="F3074" s="6" t="n">
        <v>3.8</v>
      </c>
      <c r="G3074" t="n">
        <v>1</v>
      </c>
      <c r="H3074" s="6">
        <f>ROUND(G3074*F3074,2)</f>
        <v/>
      </c>
      <c r="I3074">
        <f>IF(ROUND(H3074-D3074,2)=0,1,0)</f>
        <v/>
      </c>
      <c r="J3074">
        <f>IF(F3074="","none",IF(G3074=1,"carte","multiple"))</f>
        <v/>
      </c>
    </row>
    <row r="3075">
      <c r="A3075" t="inlineStr">
        <is>
          <t>2022-07-19</t>
        </is>
      </c>
      <c r="B3075" t="inlineStr">
        <is>
          <t>18:56</t>
        </is>
      </c>
      <c r="C3075" t="n">
        <v>3009</v>
      </c>
      <c r="D3075" s="6" t="n">
        <v>5.2</v>
      </c>
      <c r="E3075" t="n">
        <v>39976</v>
      </c>
      <c r="F3075" s="6" t="n">
        <v>5.2</v>
      </c>
      <c r="G3075" t="n">
        <v>1</v>
      </c>
      <c r="H3075" s="6">
        <f>ROUND(G3075*F3075,2)</f>
        <v/>
      </c>
      <c r="I3075">
        <f>IF(ROUND(H3075-D3075,2)=0,1,0)</f>
        <v/>
      </c>
      <c r="J3075">
        <f>IF(F3075="","none",IF(G3075=1,"carte","multiple"))</f>
        <v/>
      </c>
    </row>
    <row r="3076">
      <c r="A3076" t="inlineStr">
        <is>
          <t>2022-07-19</t>
        </is>
      </c>
      <c r="B3076" t="inlineStr">
        <is>
          <t>18:56</t>
        </is>
      </c>
      <c r="C3076" t="n">
        <v>3009</v>
      </c>
      <c r="D3076" s="6" t="n">
        <v>19.9</v>
      </c>
      <c r="E3076" t="n">
        <v>39977</v>
      </c>
      <c r="F3076" s="6" t="n">
        <v>19.9</v>
      </c>
      <c r="G3076" t="n">
        <v>1</v>
      </c>
      <c r="H3076" s="6">
        <f>ROUND(G3076*F3076,2)</f>
        <v/>
      </c>
      <c r="I3076">
        <f>IF(ROUND(H3076-D3076,2)=0,1,0)</f>
        <v/>
      </c>
      <c r="J3076">
        <f>IF(F3076="","none",IF(G3076=1,"carte","multiple"))</f>
        <v/>
      </c>
    </row>
    <row r="3077">
      <c r="A3077" t="inlineStr">
        <is>
          <t>2022-07-19</t>
        </is>
      </c>
      <c r="B3077" t="inlineStr">
        <is>
          <t>18:56</t>
        </is>
      </c>
      <c r="C3077" t="n">
        <v>3009</v>
      </c>
      <c r="D3077" s="6" t="n">
        <v>17.6</v>
      </c>
      <c r="E3077" t="n">
        <v>39978</v>
      </c>
      <c r="F3077" s="6" t="n">
        <v>17.6</v>
      </c>
      <c r="G3077" t="n">
        <v>1</v>
      </c>
      <c r="H3077" s="6">
        <f>ROUND(G3077*F3077,2)</f>
        <v/>
      </c>
      <c r="I3077">
        <f>IF(ROUND(H3077-D3077,2)=0,1,0)</f>
        <v/>
      </c>
      <c r="J3077">
        <f>IF(F3077="","none",IF(G3077=1,"carte","multiple"))</f>
        <v/>
      </c>
    </row>
    <row r="3078">
      <c r="A3078" t="inlineStr">
        <is>
          <t>2022-07-19</t>
        </is>
      </c>
      <c r="B3078" t="inlineStr">
        <is>
          <t>19:02</t>
        </is>
      </c>
      <c r="C3078" t="n">
        <v>3009</v>
      </c>
      <c r="D3078" s="6" t="n">
        <v>4</v>
      </c>
      <c r="E3078" t="n">
        <v>39979</v>
      </c>
      <c r="F3078" s="6" t="n">
        <v>4</v>
      </c>
      <c r="G3078" t="n">
        <v>1</v>
      </c>
      <c r="H3078" s="6">
        <f>ROUND(G3078*F3078,2)</f>
        <v/>
      </c>
      <c r="I3078">
        <f>IF(ROUND(H3078-D3078,2)=0,1,0)</f>
        <v/>
      </c>
      <c r="J3078">
        <f>IF(F3078="","none",IF(G3078=1,"carte","multiple"))</f>
        <v/>
      </c>
    </row>
    <row r="3079">
      <c r="A3079" t="inlineStr">
        <is>
          <t>2022-07-19</t>
        </is>
      </c>
      <c r="B3079" t="inlineStr">
        <is>
          <t>19:02</t>
        </is>
      </c>
      <c r="C3079" t="n">
        <v>3009</v>
      </c>
      <c r="D3079" s="6" t="n">
        <v>8.699999999999999</v>
      </c>
      <c r="E3079" t="n">
        <v>39980</v>
      </c>
      <c r="F3079" s="6" t="n">
        <v>8.699999999999999</v>
      </c>
      <c r="G3079" t="n">
        <v>1</v>
      </c>
      <c r="H3079" s="6">
        <f>ROUND(G3079*F3079,2)</f>
        <v/>
      </c>
      <c r="I3079">
        <f>IF(ROUND(H3079-D3079,2)=0,1,0)</f>
        <v/>
      </c>
      <c r="J3079">
        <f>IF(F3079="","none",IF(G3079=1,"carte","multiple"))</f>
        <v/>
      </c>
    </row>
    <row r="3080">
      <c r="A3080" t="inlineStr">
        <is>
          <t>2022-07-19</t>
        </is>
      </c>
      <c r="B3080" t="inlineStr">
        <is>
          <t>19:02</t>
        </is>
      </c>
      <c r="C3080" t="n">
        <v>3009</v>
      </c>
      <c r="D3080" s="6" t="n">
        <v>2</v>
      </c>
      <c r="E3080" t="n">
        <v>39981</v>
      </c>
      <c r="F3080" s="6" t="n">
        <v>2</v>
      </c>
      <c r="G3080" t="n">
        <v>1</v>
      </c>
      <c r="H3080" s="6">
        <f>ROUND(G3080*F3080,2)</f>
        <v/>
      </c>
      <c r="I3080">
        <f>IF(ROUND(H3080-D3080,2)=0,1,0)</f>
        <v/>
      </c>
      <c r="J3080">
        <f>IF(F3080="","none",IF(G3080=1,"carte","multiple"))</f>
        <v/>
      </c>
    </row>
    <row r="3081">
      <c r="A3081" t="inlineStr">
        <is>
          <t>2022-07-19</t>
        </is>
      </c>
      <c r="B3081" t="inlineStr">
        <is>
          <t>19:02</t>
        </is>
      </c>
      <c r="C3081" t="n">
        <v>3009</v>
      </c>
      <c r="D3081" s="6" t="n">
        <v>27.8</v>
      </c>
      <c r="E3081" t="n">
        <v>39982</v>
      </c>
      <c r="F3081" s="6" t="n">
        <v>27.8</v>
      </c>
      <c r="G3081" t="n">
        <v>1</v>
      </c>
      <c r="H3081" s="6">
        <f>ROUND(G3081*F3081,2)</f>
        <v/>
      </c>
      <c r="I3081">
        <f>IF(ROUND(H3081-D3081,2)=0,1,0)</f>
        <v/>
      </c>
      <c r="J3081">
        <f>IF(F3081="","none",IF(G3081=1,"carte","multiple"))</f>
        <v/>
      </c>
    </row>
    <row r="3082">
      <c r="A3082" t="inlineStr">
        <is>
          <t>2022-07-19</t>
        </is>
      </c>
      <c r="B3082" t="inlineStr">
        <is>
          <t>19:02</t>
        </is>
      </c>
      <c r="C3082" t="n">
        <v>3009</v>
      </c>
      <c r="D3082" s="6" t="n">
        <v>15.9</v>
      </c>
      <c r="E3082" t="n">
        <v>39983</v>
      </c>
      <c r="F3082" s="6" t="n">
        <v>15.9</v>
      </c>
      <c r="G3082" t="n">
        <v>1</v>
      </c>
      <c r="H3082" s="6">
        <f>ROUND(G3082*F3082,2)</f>
        <v/>
      </c>
      <c r="I3082">
        <f>IF(ROUND(H3082-D3082,2)=0,1,0)</f>
        <v/>
      </c>
      <c r="J3082">
        <f>IF(F3082="","none",IF(G3082=1,"carte","multiple"))</f>
        <v/>
      </c>
    </row>
    <row r="3083">
      <c r="A3083" t="inlineStr">
        <is>
          <t>2022-07-19</t>
        </is>
      </c>
      <c r="B3083" t="inlineStr">
        <is>
          <t>19:02</t>
        </is>
      </c>
      <c r="C3083" t="n">
        <v>3009</v>
      </c>
      <c r="D3083" s="6" t="n">
        <v>17.6</v>
      </c>
      <c r="E3083" t="n">
        <v>39984</v>
      </c>
      <c r="F3083" s="6" t="n">
        <v>17.6</v>
      </c>
      <c r="G3083" t="n">
        <v>1</v>
      </c>
      <c r="H3083" s="6">
        <f>ROUND(G3083*F3083,2)</f>
        <v/>
      </c>
      <c r="I3083">
        <f>IF(ROUND(H3083-D3083,2)=0,1,0)</f>
        <v/>
      </c>
      <c r="J3083">
        <f>IF(F3083="","none",IF(G3083=1,"carte","multiple"))</f>
        <v/>
      </c>
    </row>
    <row r="3084">
      <c r="A3084" t="inlineStr">
        <is>
          <t>2022-07-19</t>
        </is>
      </c>
      <c r="B3084" t="inlineStr">
        <is>
          <t>19:02</t>
        </is>
      </c>
      <c r="C3084" t="n">
        <v>3009</v>
      </c>
      <c r="D3084" s="6" t="n">
        <v>17.7</v>
      </c>
      <c r="E3084" t="n">
        <v>39985</v>
      </c>
      <c r="F3084" s="6" t="n">
        <v>17.7</v>
      </c>
      <c r="G3084" t="n">
        <v>1</v>
      </c>
      <c r="H3084" s="6">
        <f>ROUND(G3084*F3084,2)</f>
        <v/>
      </c>
      <c r="I3084">
        <f>IF(ROUND(H3084-D3084,2)=0,1,0)</f>
        <v/>
      </c>
      <c r="J3084">
        <f>IF(F3084="","none",IF(G3084=1,"carte","multiple"))</f>
        <v/>
      </c>
    </row>
    <row r="3085">
      <c r="A3085" t="inlineStr">
        <is>
          <t>2022-07-19</t>
        </is>
      </c>
      <c r="B3085" t="inlineStr">
        <is>
          <t>19:03</t>
        </is>
      </c>
      <c r="C3085" t="n">
        <v>3009</v>
      </c>
      <c r="D3085" s="6" t="n">
        <v>3.9</v>
      </c>
      <c r="E3085" t="n">
        <v>39986</v>
      </c>
      <c r="F3085" s="6" t="n">
        <v>3.9</v>
      </c>
      <c r="G3085" t="n">
        <v>1</v>
      </c>
      <c r="H3085" s="6">
        <f>ROUND(G3085*F3085,2)</f>
        <v/>
      </c>
      <c r="I3085">
        <f>IF(ROUND(H3085-D3085,2)=0,1,0)</f>
        <v/>
      </c>
      <c r="J3085">
        <f>IF(F3085="","none",IF(G3085=1,"carte","multiple"))</f>
        <v/>
      </c>
    </row>
    <row r="3086">
      <c r="A3086" t="inlineStr">
        <is>
          <t>2022-07-19</t>
        </is>
      </c>
      <c r="B3086" t="inlineStr">
        <is>
          <t>19:25</t>
        </is>
      </c>
      <c r="C3086" t="n">
        <v>3009</v>
      </c>
      <c r="D3086" s="6" t="n">
        <v>11.6</v>
      </c>
      <c r="E3086" t="n">
        <v>39987</v>
      </c>
      <c r="F3086" s="6" t="n">
        <v>11.6</v>
      </c>
      <c r="G3086" t="n">
        <v>1</v>
      </c>
      <c r="H3086" s="6">
        <f>ROUND(G3086*F3086,2)</f>
        <v/>
      </c>
      <c r="I3086">
        <f>IF(ROUND(H3086-D3086,2)=0,1,0)</f>
        <v/>
      </c>
      <c r="J3086">
        <f>IF(F3086="","none",IF(G3086=1,"carte","multiple"))</f>
        <v/>
      </c>
    </row>
    <row r="3087">
      <c r="A3087" t="inlineStr">
        <is>
          <t>2022-07-19</t>
        </is>
      </c>
      <c r="B3087" t="inlineStr">
        <is>
          <t>19:25</t>
        </is>
      </c>
      <c r="C3087" t="n">
        <v>3009</v>
      </c>
      <c r="D3087" s="6" t="n">
        <v>1.8</v>
      </c>
      <c r="E3087" t="n">
        <v>39988</v>
      </c>
      <c r="F3087" s="6" t="n">
        <v>1.8</v>
      </c>
      <c r="G3087" t="n">
        <v>1</v>
      </c>
      <c r="H3087" s="6">
        <f>ROUND(G3087*F3087,2)</f>
        <v/>
      </c>
      <c r="I3087">
        <f>IF(ROUND(H3087-D3087,2)=0,1,0)</f>
        <v/>
      </c>
      <c r="J3087">
        <f>IF(F3087="","none",IF(G3087=1,"carte","multiple"))</f>
        <v/>
      </c>
    </row>
    <row r="3088">
      <c r="A3088" t="inlineStr">
        <is>
          <t>2022-07-19</t>
        </is>
      </c>
      <c r="B3088" t="inlineStr">
        <is>
          <t>19:25</t>
        </is>
      </c>
      <c r="C3088" t="n">
        <v>3009</v>
      </c>
      <c r="D3088" s="6" t="n">
        <v>1.8</v>
      </c>
      <c r="E3088" t="n">
        <v>39989</v>
      </c>
      <c r="F3088" s="6" t="n">
        <v>1.8</v>
      </c>
      <c r="G3088" t="n">
        <v>1</v>
      </c>
      <c r="H3088" s="6">
        <f>ROUND(G3088*F3088,2)</f>
        <v/>
      </c>
      <c r="I3088">
        <f>IF(ROUND(H3088-D3088,2)=0,1,0)</f>
        <v/>
      </c>
      <c r="J3088">
        <f>IF(F3088="","none",IF(G3088=1,"carte","multiple"))</f>
        <v/>
      </c>
    </row>
    <row r="3089">
      <c r="A3089" t="inlineStr">
        <is>
          <t>2022-07-19</t>
        </is>
      </c>
      <c r="B3089" t="inlineStr">
        <is>
          <t>19:25</t>
        </is>
      </c>
      <c r="C3089" t="n">
        <v>3009</v>
      </c>
      <c r="D3089" s="6" t="n">
        <v>19</v>
      </c>
      <c r="E3089" t="n">
        <v>39990</v>
      </c>
      <c r="F3089" s="6" t="n">
        <v>19</v>
      </c>
      <c r="G3089" t="n">
        <v>1</v>
      </c>
      <c r="H3089" s="6">
        <f>ROUND(G3089*F3089,2)</f>
        <v/>
      </c>
      <c r="I3089">
        <f>IF(ROUND(H3089-D3089,2)=0,1,0)</f>
        <v/>
      </c>
      <c r="J3089">
        <f>IF(F3089="","none",IF(G3089=1,"carte","multiple"))</f>
        <v/>
      </c>
    </row>
    <row r="3090">
      <c r="A3090" t="inlineStr">
        <is>
          <t>2022-07-19</t>
        </is>
      </c>
      <c r="B3090" t="inlineStr">
        <is>
          <t>19:25</t>
        </is>
      </c>
      <c r="C3090" t="n">
        <v>3009</v>
      </c>
      <c r="D3090" s="6" t="n">
        <v>19.9</v>
      </c>
      <c r="E3090" t="n">
        <v>39991</v>
      </c>
      <c r="F3090" s="6" t="n">
        <v>19.9</v>
      </c>
      <c r="G3090" t="n">
        <v>1</v>
      </c>
      <c r="H3090" s="6">
        <f>ROUND(G3090*F3090,2)</f>
        <v/>
      </c>
      <c r="I3090">
        <f>IF(ROUND(H3090-D3090,2)=0,1,0)</f>
        <v/>
      </c>
      <c r="J3090">
        <f>IF(F3090="","none",IF(G3090=1,"carte","multiple"))</f>
        <v/>
      </c>
    </row>
    <row r="3091">
      <c r="A3091" t="inlineStr">
        <is>
          <t>2022-07-19</t>
        </is>
      </c>
      <c r="B3091" t="inlineStr">
        <is>
          <t>19:25</t>
        </is>
      </c>
      <c r="C3091" t="n">
        <v>3009</v>
      </c>
      <c r="D3091" s="6" t="n">
        <v>9</v>
      </c>
      <c r="E3091" t="n">
        <v>39992</v>
      </c>
      <c r="F3091" s="6" t="n">
        <v>9</v>
      </c>
      <c r="G3091" t="n">
        <v>1</v>
      </c>
      <c r="H3091" s="6">
        <f>ROUND(G3091*F3091,2)</f>
        <v/>
      </c>
      <c r="I3091">
        <f>IF(ROUND(H3091-D3091,2)=0,1,0)</f>
        <v/>
      </c>
      <c r="J3091">
        <f>IF(F3091="","none",IF(G3091=1,"carte","multiple"))</f>
        <v/>
      </c>
    </row>
    <row r="3092">
      <c r="A3092" t="inlineStr">
        <is>
          <t>2022-07-19</t>
        </is>
      </c>
      <c r="B3092" t="inlineStr">
        <is>
          <t>19:25</t>
        </is>
      </c>
      <c r="C3092" t="n">
        <v>3009</v>
      </c>
      <c r="D3092" s="6" t="n">
        <v>9</v>
      </c>
      <c r="E3092" t="n">
        <v>39993</v>
      </c>
      <c r="F3092" s="6" t="n">
        <v>9</v>
      </c>
      <c r="G3092" t="n">
        <v>1</v>
      </c>
      <c r="H3092" s="6">
        <f>ROUND(G3092*F3092,2)</f>
        <v/>
      </c>
      <c r="I3092">
        <f>IF(ROUND(H3092-D3092,2)=0,1,0)</f>
        <v/>
      </c>
      <c r="J3092">
        <f>IF(F3092="","none",IF(G3092=1,"carte","multiple"))</f>
        <v/>
      </c>
    </row>
    <row r="3093">
      <c r="A3093" t="inlineStr">
        <is>
          <t>2022-07-19</t>
        </is>
      </c>
      <c r="B3093" t="inlineStr">
        <is>
          <t>19:45</t>
        </is>
      </c>
      <c r="C3093" t="n">
        <v>3009</v>
      </c>
      <c r="D3093" s="6" t="n">
        <v>3.6</v>
      </c>
      <c r="E3093" t="n">
        <v>39994</v>
      </c>
      <c r="F3093" s="6" t="n">
        <v>3.6</v>
      </c>
      <c r="G3093" t="n">
        <v>1</v>
      </c>
      <c r="H3093" s="6">
        <f>ROUND(G3093*F3093,2)</f>
        <v/>
      </c>
      <c r="I3093">
        <f>IF(ROUND(H3093-D3093,2)=0,1,0)</f>
        <v/>
      </c>
      <c r="J3093">
        <f>IF(F3093="","none",IF(G3093=1,"carte","multiple"))</f>
        <v/>
      </c>
    </row>
    <row r="3094">
      <c r="A3094" t="inlineStr">
        <is>
          <t>2022-07-19</t>
        </is>
      </c>
      <c r="B3094" t="inlineStr">
        <is>
          <t>19:45</t>
        </is>
      </c>
      <c r="C3094" t="n">
        <v>3009</v>
      </c>
      <c r="D3094" s="6" t="n">
        <v>7.8</v>
      </c>
      <c r="E3094" t="n">
        <v>39995</v>
      </c>
      <c r="F3094" s="6" t="n">
        <v>7.8</v>
      </c>
      <c r="G3094" t="n">
        <v>1</v>
      </c>
      <c r="H3094" s="6">
        <f>ROUND(G3094*F3094,2)</f>
        <v/>
      </c>
      <c r="I3094">
        <f>IF(ROUND(H3094-D3094,2)=0,1,0)</f>
        <v/>
      </c>
      <c r="J3094">
        <f>IF(F3094="","none",IF(G3094=1,"carte","multiple"))</f>
        <v/>
      </c>
    </row>
    <row r="3095">
      <c r="A3095" t="inlineStr">
        <is>
          <t>2022-07-19</t>
        </is>
      </c>
      <c r="B3095" t="inlineStr">
        <is>
          <t>19:45</t>
        </is>
      </c>
      <c r="C3095" t="n">
        <v>3009</v>
      </c>
      <c r="D3095" s="6" t="n">
        <v>17.6</v>
      </c>
      <c r="E3095" t="n">
        <v>39996</v>
      </c>
      <c r="F3095" s="6" t="n">
        <v>17.6</v>
      </c>
      <c r="G3095" t="n">
        <v>1</v>
      </c>
      <c r="H3095" s="6">
        <f>ROUND(G3095*F3095,2)</f>
        <v/>
      </c>
      <c r="I3095">
        <f>IF(ROUND(H3095-D3095,2)=0,1,0)</f>
        <v/>
      </c>
      <c r="J3095">
        <f>IF(F3095="","none",IF(G3095=1,"carte","multiple"))</f>
        <v/>
      </c>
    </row>
    <row r="3096">
      <c r="A3096" t="inlineStr">
        <is>
          <t>2022-07-19</t>
        </is>
      </c>
      <c r="B3096" t="inlineStr">
        <is>
          <t>19:45</t>
        </is>
      </c>
      <c r="C3096" t="n">
        <v>3009</v>
      </c>
      <c r="D3096" s="6" t="n">
        <v>17.6</v>
      </c>
      <c r="E3096" t="n">
        <v>39997</v>
      </c>
      <c r="F3096" s="6" t="n">
        <v>17.6</v>
      </c>
      <c r="G3096" t="n">
        <v>1</v>
      </c>
      <c r="H3096" s="6">
        <f>ROUND(G3096*F3096,2)</f>
        <v/>
      </c>
      <c r="I3096">
        <f>IF(ROUND(H3096-D3096,2)=0,1,0)</f>
        <v/>
      </c>
      <c r="J3096">
        <f>IF(F3096="","none",IF(G3096=1,"carte","multiple"))</f>
        <v/>
      </c>
    </row>
    <row r="3097">
      <c r="A3097" t="inlineStr">
        <is>
          <t>2022-07-19</t>
        </is>
      </c>
      <c r="B3097" t="inlineStr">
        <is>
          <t>19:45</t>
        </is>
      </c>
      <c r="C3097" t="n">
        <v>3009</v>
      </c>
      <c r="D3097" s="6" t="n">
        <v>7.8</v>
      </c>
      <c r="E3097" t="n">
        <v>39998</v>
      </c>
      <c r="F3097" s="6" t="n">
        <v>7.8</v>
      </c>
      <c r="G3097" t="n">
        <v>1</v>
      </c>
      <c r="H3097" s="6">
        <f>ROUND(G3097*F3097,2)</f>
        <v/>
      </c>
      <c r="I3097">
        <f>IF(ROUND(H3097-D3097,2)=0,1,0)</f>
        <v/>
      </c>
      <c r="J3097">
        <f>IF(F3097="","none",IF(G3097=1,"carte","multiple"))</f>
        <v/>
      </c>
    </row>
    <row r="3098">
      <c r="A3098" t="inlineStr">
        <is>
          <t>2022-07-19</t>
        </is>
      </c>
      <c r="B3098" t="inlineStr">
        <is>
          <t>20:21</t>
        </is>
      </c>
      <c r="C3098" t="n">
        <v>3009</v>
      </c>
      <c r="D3098" s="6" t="n">
        <v>2.2</v>
      </c>
      <c r="E3098" t="n">
        <v>39999</v>
      </c>
      <c r="F3098" s="6" t="n">
        <v>2.2</v>
      </c>
      <c r="G3098" t="n">
        <v>1</v>
      </c>
      <c r="H3098" s="6">
        <f>ROUND(G3098*F3098,2)</f>
        <v/>
      </c>
      <c r="I3098">
        <f>IF(ROUND(H3098-D3098,2)=0,1,0)</f>
        <v/>
      </c>
      <c r="J3098">
        <f>IF(F3098="","none",IF(G3098=1,"carte","multiple"))</f>
        <v/>
      </c>
    </row>
    <row r="3099">
      <c r="A3099" t="inlineStr">
        <is>
          <t>2022-07-19</t>
        </is>
      </c>
      <c r="B3099" t="inlineStr">
        <is>
          <t>20:21</t>
        </is>
      </c>
      <c r="C3099" t="n">
        <v>3009</v>
      </c>
      <c r="D3099" s="6" t="n">
        <v>4</v>
      </c>
      <c r="E3099" t="n">
        <v>40000</v>
      </c>
      <c r="F3099" s="6" t="n">
        <v>4</v>
      </c>
      <c r="G3099" t="n">
        <v>1</v>
      </c>
      <c r="H3099" s="6">
        <f>ROUND(G3099*F3099,2)</f>
        <v/>
      </c>
      <c r="I3099">
        <f>IF(ROUND(H3099-D3099,2)=0,1,0)</f>
        <v/>
      </c>
      <c r="J3099">
        <f>IF(F3099="","none",IF(G3099=1,"carte","multiple"))</f>
        <v/>
      </c>
    </row>
    <row r="3100">
      <c r="A3100" t="inlineStr">
        <is>
          <t>2022-07-19</t>
        </is>
      </c>
      <c r="B3100" t="inlineStr">
        <is>
          <t>20:21</t>
        </is>
      </c>
      <c r="C3100" t="n">
        <v>3009</v>
      </c>
      <c r="D3100" s="6" t="n">
        <v>7.8</v>
      </c>
      <c r="E3100" t="n">
        <v>40001</v>
      </c>
      <c r="F3100" s="6" t="n">
        <v>7.8</v>
      </c>
      <c r="G3100" t="n">
        <v>1</v>
      </c>
      <c r="H3100" s="6">
        <f>ROUND(G3100*F3100,2)</f>
        <v/>
      </c>
      <c r="I3100">
        <f>IF(ROUND(H3100-D3100,2)=0,1,0)</f>
        <v/>
      </c>
      <c r="J3100">
        <f>IF(F3100="","none",IF(G3100=1,"carte","multiple"))</f>
        <v/>
      </c>
    </row>
    <row r="3101">
      <c r="A3101" t="inlineStr">
        <is>
          <t>2022-07-19</t>
        </is>
      </c>
      <c r="B3101" t="inlineStr">
        <is>
          <t>20:21</t>
        </is>
      </c>
      <c r="C3101" t="n">
        <v>3009</v>
      </c>
      <c r="D3101" s="6" t="n">
        <v>15.9</v>
      </c>
      <c r="E3101" t="n">
        <v>40002</v>
      </c>
      <c r="F3101" s="6" t="n">
        <v>15.9</v>
      </c>
      <c r="G3101" t="n">
        <v>1</v>
      </c>
      <c r="H3101" s="6">
        <f>ROUND(G3101*F3101,2)</f>
        <v/>
      </c>
      <c r="I3101">
        <f>IF(ROUND(H3101-D3101,2)=0,1,0)</f>
        <v/>
      </c>
      <c r="J3101">
        <f>IF(F3101="","none",IF(G3101=1,"carte","multiple"))</f>
        <v/>
      </c>
    </row>
    <row r="3102">
      <c r="A3102" t="inlineStr">
        <is>
          <t>2022-07-19</t>
        </is>
      </c>
      <c r="B3102" t="inlineStr">
        <is>
          <t>20:21</t>
        </is>
      </c>
      <c r="C3102" t="n">
        <v>3009</v>
      </c>
      <c r="D3102" s="6" t="n">
        <v>19</v>
      </c>
      <c r="E3102" t="n">
        <v>40003</v>
      </c>
      <c r="F3102" s="6" t="n">
        <v>19</v>
      </c>
      <c r="G3102" t="n">
        <v>1</v>
      </c>
      <c r="H3102" s="6">
        <f>ROUND(G3102*F3102,2)</f>
        <v/>
      </c>
      <c r="I3102">
        <f>IF(ROUND(H3102-D3102,2)=0,1,0)</f>
        <v/>
      </c>
      <c r="J3102">
        <f>IF(F3102="","none",IF(G3102=1,"carte","multiple"))</f>
        <v/>
      </c>
    </row>
    <row r="3103">
      <c r="A3103" t="inlineStr">
        <is>
          <t>2022-07-19</t>
        </is>
      </c>
      <c r="B3103" t="inlineStr">
        <is>
          <t>20:21</t>
        </is>
      </c>
      <c r="C3103" t="n">
        <v>3009</v>
      </c>
      <c r="D3103" s="6" t="n">
        <v>9.800000000000001</v>
      </c>
      <c r="E3103" t="n">
        <v>40004</v>
      </c>
      <c r="F3103" s="6" t="n">
        <v>9.800000000000001</v>
      </c>
      <c r="G3103" t="n">
        <v>1</v>
      </c>
      <c r="H3103" s="6">
        <f>ROUND(G3103*F3103,2)</f>
        <v/>
      </c>
      <c r="I3103">
        <f>IF(ROUND(H3103-D3103,2)=0,1,0)</f>
        <v/>
      </c>
      <c r="J3103">
        <f>IF(F3103="","none",IF(G3103=1,"carte","multiple"))</f>
        <v/>
      </c>
    </row>
    <row r="3104">
      <c r="A3104" t="inlineStr">
        <is>
          <t>2022-07-20</t>
        </is>
      </c>
      <c r="B3104" t="inlineStr">
        <is>
          <t>11:12</t>
        </is>
      </c>
      <c r="C3104" t="n">
        <v>3010</v>
      </c>
      <c r="D3104" s="6" t="n">
        <v>3.9</v>
      </c>
      <c r="E3104" t="n">
        <v>40006</v>
      </c>
      <c r="F3104" s="6" t="n">
        <v>3.9</v>
      </c>
      <c r="G3104" t="n">
        <v>1</v>
      </c>
      <c r="H3104" s="6">
        <f>ROUND(G3104*F3104,2)</f>
        <v/>
      </c>
      <c r="I3104">
        <f>IF(ROUND(H3104-D3104,2)=0,1,0)</f>
        <v/>
      </c>
      <c r="J3104">
        <f>IF(F3104="","none",IF(G3104=1,"carte","multiple"))</f>
        <v/>
      </c>
    </row>
    <row r="3105">
      <c r="A3105" t="inlineStr">
        <is>
          <t>2022-07-20</t>
        </is>
      </c>
      <c r="B3105" t="inlineStr">
        <is>
          <t>11:30</t>
        </is>
      </c>
      <c r="C3105" t="n">
        <v>3010</v>
      </c>
      <c r="D3105" s="6" t="n">
        <v>5.8</v>
      </c>
      <c r="E3105" t="n">
        <v>40007</v>
      </c>
      <c r="F3105" s="6" t="n">
        <v>5.8</v>
      </c>
      <c r="G3105" t="n">
        <v>1</v>
      </c>
      <c r="H3105" s="6">
        <f>ROUND(G3105*F3105,2)</f>
        <v/>
      </c>
      <c r="I3105">
        <f>IF(ROUND(H3105-D3105,2)=0,1,0)</f>
        <v/>
      </c>
      <c r="J3105">
        <f>IF(F3105="","none",IF(G3105=1,"carte","multiple"))</f>
        <v/>
      </c>
    </row>
    <row r="3106">
      <c r="A3106" t="inlineStr">
        <is>
          <t>2022-07-20</t>
        </is>
      </c>
      <c r="B3106" t="inlineStr">
        <is>
          <t>11:30</t>
        </is>
      </c>
      <c r="C3106" t="n">
        <v>3010</v>
      </c>
      <c r="D3106" s="6" t="n">
        <v>3.9</v>
      </c>
      <c r="E3106" t="n">
        <v>40008</v>
      </c>
      <c r="F3106" s="6" t="n">
        <v>3.9</v>
      </c>
      <c r="G3106" t="n">
        <v>1</v>
      </c>
      <c r="H3106" s="6">
        <f>ROUND(G3106*F3106,2)</f>
        <v/>
      </c>
      <c r="I3106">
        <f>IF(ROUND(H3106-D3106,2)=0,1,0)</f>
        <v/>
      </c>
      <c r="J3106">
        <f>IF(F3106="","none",IF(G3106=1,"carte","multiple"))</f>
        <v/>
      </c>
    </row>
    <row r="3107">
      <c r="A3107" t="inlineStr">
        <is>
          <t>2022-07-20</t>
        </is>
      </c>
      <c r="B3107" t="inlineStr">
        <is>
          <t>11:30</t>
        </is>
      </c>
      <c r="C3107" t="n">
        <v>3010</v>
      </c>
      <c r="D3107" s="6" t="n">
        <v>17.6</v>
      </c>
      <c r="E3107" t="n">
        <v>40009</v>
      </c>
      <c r="F3107" s="6" t="n">
        <v>17.6</v>
      </c>
      <c r="G3107" t="n">
        <v>1</v>
      </c>
      <c r="H3107" s="6">
        <f>ROUND(G3107*F3107,2)</f>
        <v/>
      </c>
      <c r="I3107">
        <f>IF(ROUND(H3107-D3107,2)=0,1,0)</f>
        <v/>
      </c>
      <c r="J3107">
        <f>IF(F3107="","none",IF(G3107=1,"carte","multiple"))</f>
        <v/>
      </c>
    </row>
    <row r="3108">
      <c r="A3108" t="inlineStr">
        <is>
          <t>2022-07-20</t>
        </is>
      </c>
      <c r="B3108" t="inlineStr">
        <is>
          <t>11:30</t>
        </is>
      </c>
      <c r="C3108" t="n">
        <v>3010</v>
      </c>
      <c r="D3108" s="6" t="n">
        <v>17.6</v>
      </c>
      <c r="E3108" t="n">
        <v>40010</v>
      </c>
      <c r="F3108" s="6" t="n">
        <v>17.6</v>
      </c>
      <c r="G3108" t="n">
        <v>1</v>
      </c>
      <c r="H3108" s="6">
        <f>ROUND(G3108*F3108,2)</f>
        <v/>
      </c>
      <c r="I3108">
        <f>IF(ROUND(H3108-D3108,2)=0,1,0)</f>
        <v/>
      </c>
      <c r="J3108">
        <f>IF(F3108="","none",IF(G3108=1,"carte","multiple"))</f>
        <v/>
      </c>
    </row>
    <row r="3109">
      <c r="A3109" t="inlineStr">
        <is>
          <t>2022-07-20</t>
        </is>
      </c>
      <c r="B3109" t="inlineStr">
        <is>
          <t>11:30</t>
        </is>
      </c>
      <c r="C3109" t="n">
        <v>3010</v>
      </c>
      <c r="D3109" s="6" t="n">
        <v>3.9</v>
      </c>
      <c r="E3109" t="n">
        <v>40011</v>
      </c>
      <c r="F3109" s="6" t="n">
        <v>3.9</v>
      </c>
      <c r="G3109" t="n">
        <v>1</v>
      </c>
      <c r="H3109" s="6">
        <f>ROUND(G3109*F3109,2)</f>
        <v/>
      </c>
      <c r="I3109">
        <f>IF(ROUND(H3109-D3109,2)=0,1,0)</f>
        <v/>
      </c>
      <c r="J3109">
        <f>IF(F3109="","none",IF(G3109=1,"carte","multiple"))</f>
        <v/>
      </c>
    </row>
    <row r="3110">
      <c r="A3110" t="inlineStr">
        <is>
          <t>2022-07-20</t>
        </is>
      </c>
      <c r="B3110" t="inlineStr">
        <is>
          <t>12:13</t>
        </is>
      </c>
      <c r="C3110" t="n">
        <v>3010</v>
      </c>
      <c r="D3110" s="6" t="n">
        <v>23</v>
      </c>
      <c r="E3110" t="n">
        <v>40012</v>
      </c>
      <c r="F3110" s="6" t="n">
        <v>23</v>
      </c>
      <c r="G3110" t="n">
        <v>1</v>
      </c>
      <c r="H3110" s="6">
        <f>ROUND(G3110*F3110,2)</f>
        <v/>
      </c>
      <c r="I3110">
        <f>IF(ROUND(H3110-D3110,2)=0,1,0)</f>
        <v/>
      </c>
      <c r="J3110">
        <f>IF(F3110="","none",IF(G3110=1,"carte","multiple"))</f>
        <v/>
      </c>
    </row>
    <row r="3111">
      <c r="A3111" t="inlineStr">
        <is>
          <t>2022-07-20</t>
        </is>
      </c>
      <c r="B3111" t="inlineStr">
        <is>
          <t>12:13</t>
        </is>
      </c>
      <c r="C3111" t="n">
        <v>3010</v>
      </c>
      <c r="D3111" s="6" t="n">
        <v>15.9</v>
      </c>
      <c r="E3111" t="n">
        <v>40013</v>
      </c>
      <c r="F3111" s="6" t="n">
        <v>15.9</v>
      </c>
      <c r="G3111" t="n">
        <v>1</v>
      </c>
      <c r="H3111" s="6">
        <f>ROUND(G3111*F3111,2)</f>
        <v/>
      </c>
      <c r="I3111">
        <f>IF(ROUND(H3111-D3111,2)=0,1,0)</f>
        <v/>
      </c>
      <c r="J3111">
        <f>IF(F3111="","none",IF(G3111=1,"carte","multiple"))</f>
        <v/>
      </c>
    </row>
    <row r="3112">
      <c r="A3112" t="inlineStr">
        <is>
          <t>2022-07-20</t>
        </is>
      </c>
      <c r="B3112" t="inlineStr">
        <is>
          <t>12:13</t>
        </is>
      </c>
      <c r="C3112" t="n">
        <v>3010</v>
      </c>
      <c r="D3112" s="6" t="n">
        <v>7.8</v>
      </c>
      <c r="E3112" t="n">
        <v>40014</v>
      </c>
      <c r="F3112" s="6" t="n">
        <v>7.8</v>
      </c>
      <c r="G3112" t="n">
        <v>1</v>
      </c>
      <c r="H3112" s="6">
        <f>ROUND(G3112*F3112,2)</f>
        <v/>
      </c>
      <c r="I3112">
        <f>IF(ROUND(H3112-D3112,2)=0,1,0)</f>
        <v/>
      </c>
      <c r="J3112">
        <f>IF(F3112="","none",IF(G3112=1,"carte","multiple"))</f>
        <v/>
      </c>
    </row>
    <row r="3113">
      <c r="A3113" t="inlineStr">
        <is>
          <t>2022-07-20</t>
        </is>
      </c>
      <c r="B3113" t="inlineStr">
        <is>
          <t>12:13</t>
        </is>
      </c>
      <c r="C3113" t="n">
        <v>3010</v>
      </c>
      <c r="D3113" s="6" t="n">
        <v>5.2</v>
      </c>
      <c r="E3113" t="n">
        <v>40015</v>
      </c>
      <c r="F3113" s="6" t="n">
        <v>5.2</v>
      </c>
      <c r="G3113" t="n">
        <v>1</v>
      </c>
      <c r="H3113" s="6">
        <f>ROUND(G3113*F3113,2)</f>
        <v/>
      </c>
      <c r="I3113">
        <f>IF(ROUND(H3113-D3113,2)=0,1,0)</f>
        <v/>
      </c>
      <c r="J3113">
        <f>IF(F3113="","none",IF(G3113=1,"carte","multiple"))</f>
        <v/>
      </c>
    </row>
    <row r="3114">
      <c r="A3114" t="inlineStr">
        <is>
          <t>2022-07-20</t>
        </is>
      </c>
      <c r="B3114" t="inlineStr">
        <is>
          <t>12:13</t>
        </is>
      </c>
      <c r="C3114" t="n">
        <v>3010</v>
      </c>
      <c r="D3114" s="6" t="n">
        <v>4.9</v>
      </c>
      <c r="E3114" t="n">
        <v>40016</v>
      </c>
      <c r="F3114" s="6" t="n">
        <v>4.9</v>
      </c>
      <c r="G3114" t="n">
        <v>1</v>
      </c>
      <c r="H3114" s="6">
        <f>ROUND(G3114*F3114,2)</f>
        <v/>
      </c>
      <c r="I3114">
        <f>IF(ROUND(H3114-D3114,2)=0,1,0)</f>
        <v/>
      </c>
      <c r="J3114">
        <f>IF(F3114="","none",IF(G3114=1,"carte","multiple"))</f>
        <v/>
      </c>
    </row>
    <row r="3115">
      <c r="A3115" t="inlineStr">
        <is>
          <t>2022-07-20</t>
        </is>
      </c>
      <c r="B3115" t="inlineStr">
        <is>
          <t>12:26</t>
        </is>
      </c>
      <c r="C3115" t="n">
        <v>3010</v>
      </c>
      <c r="D3115" s="6" t="n">
        <v>16.9</v>
      </c>
      <c r="E3115" t="n">
        <v>40017</v>
      </c>
      <c r="F3115" s="6" t="n">
        <v>16.9</v>
      </c>
      <c r="G3115" t="n">
        <v>1</v>
      </c>
      <c r="H3115" s="6">
        <f>ROUND(G3115*F3115,2)</f>
        <v/>
      </c>
      <c r="I3115">
        <f>IF(ROUND(H3115-D3115,2)=0,1,0)</f>
        <v/>
      </c>
      <c r="J3115">
        <f>IF(F3115="","none",IF(G3115=1,"carte","multiple"))</f>
        <v/>
      </c>
    </row>
    <row r="3116">
      <c r="A3116" t="inlineStr">
        <is>
          <t>2022-07-20</t>
        </is>
      </c>
      <c r="B3116" t="inlineStr">
        <is>
          <t>12:26</t>
        </is>
      </c>
      <c r="C3116" t="n">
        <v>3010</v>
      </c>
      <c r="D3116" s="6" t="n">
        <v>4</v>
      </c>
      <c r="E3116" t="n">
        <v>40018</v>
      </c>
      <c r="F3116" s="6" t="n">
        <v>4</v>
      </c>
      <c r="G3116" t="n">
        <v>1</v>
      </c>
      <c r="H3116" s="6">
        <f>ROUND(G3116*F3116,2)</f>
        <v/>
      </c>
      <c r="I3116">
        <f>IF(ROUND(H3116-D3116,2)=0,1,0)</f>
        <v/>
      </c>
      <c r="J3116">
        <f>IF(F3116="","none",IF(G3116=1,"carte","multiple"))</f>
        <v/>
      </c>
    </row>
    <row r="3117">
      <c r="A3117" t="inlineStr">
        <is>
          <t>2022-07-20</t>
        </is>
      </c>
      <c r="B3117" t="inlineStr">
        <is>
          <t>12:26</t>
        </is>
      </c>
      <c r="C3117" t="n">
        <v>3010</v>
      </c>
      <c r="D3117" s="6" t="n">
        <v>0.9</v>
      </c>
      <c r="E3117" t="n">
        <v>40019</v>
      </c>
      <c r="F3117" s="6" t="n">
        <v>0.9</v>
      </c>
      <c r="G3117" t="n">
        <v>1</v>
      </c>
      <c r="H3117" s="6">
        <f>ROUND(G3117*F3117,2)</f>
        <v/>
      </c>
      <c r="I3117">
        <f>IF(ROUND(H3117-D3117,2)=0,1,0)</f>
        <v/>
      </c>
      <c r="J3117">
        <f>IF(F3117="","none",IF(G3117=1,"carte","multiple"))</f>
        <v/>
      </c>
    </row>
    <row r="3118">
      <c r="A3118" t="inlineStr">
        <is>
          <t>2022-07-20</t>
        </is>
      </c>
      <c r="B3118" t="inlineStr">
        <is>
          <t>12:26</t>
        </is>
      </c>
      <c r="C3118" t="n">
        <v>3010</v>
      </c>
      <c r="D3118" s="6" t="n">
        <v>2.9</v>
      </c>
      <c r="E3118" t="n">
        <v>40020</v>
      </c>
      <c r="F3118" s="6" t="n">
        <v>2.9</v>
      </c>
      <c r="G3118" t="n">
        <v>1</v>
      </c>
      <c r="H3118" s="6">
        <f>ROUND(G3118*F3118,2)</f>
        <v/>
      </c>
      <c r="I3118">
        <f>IF(ROUND(H3118-D3118,2)=0,1,0)</f>
        <v/>
      </c>
      <c r="J3118">
        <f>IF(F3118="","none",IF(G3118=1,"carte","multiple"))</f>
        <v/>
      </c>
    </row>
    <row r="3119">
      <c r="A3119" t="inlineStr">
        <is>
          <t>2022-07-20</t>
        </is>
      </c>
      <c r="B3119" t="inlineStr">
        <is>
          <t>12:33</t>
        </is>
      </c>
      <c r="C3119" t="n">
        <v>3010</v>
      </c>
      <c r="D3119" s="6" t="n">
        <v>2.2</v>
      </c>
      <c r="E3119" t="n">
        <v>40021</v>
      </c>
      <c r="F3119" s="6" t="n">
        <v>2.2</v>
      </c>
      <c r="G3119" t="n">
        <v>1</v>
      </c>
      <c r="H3119" s="6">
        <f>ROUND(G3119*F3119,2)</f>
        <v/>
      </c>
      <c r="I3119">
        <f>IF(ROUND(H3119-D3119,2)=0,1,0)</f>
        <v/>
      </c>
      <c r="J3119">
        <f>IF(F3119="","none",IF(G3119=1,"carte","multiple"))</f>
        <v/>
      </c>
    </row>
    <row r="3120">
      <c r="A3120" t="inlineStr">
        <is>
          <t>2022-07-20</t>
        </is>
      </c>
      <c r="B3120" t="inlineStr">
        <is>
          <t>12:33</t>
        </is>
      </c>
      <c r="C3120" t="n">
        <v>3010</v>
      </c>
      <c r="D3120" s="6" t="n">
        <v>19.9</v>
      </c>
      <c r="E3120" t="n">
        <v>40022</v>
      </c>
      <c r="F3120" s="6" t="n">
        <v>19.9</v>
      </c>
      <c r="G3120" t="n">
        <v>1</v>
      </c>
      <c r="H3120" s="6">
        <f>ROUND(G3120*F3120,2)</f>
        <v/>
      </c>
      <c r="I3120">
        <f>IF(ROUND(H3120-D3120,2)=0,1,0)</f>
        <v/>
      </c>
      <c r="J3120">
        <f>IF(F3120="","none",IF(G3120=1,"carte","multiple"))</f>
        <v/>
      </c>
    </row>
    <row r="3121">
      <c r="A3121" t="inlineStr">
        <is>
          <t>2022-07-20</t>
        </is>
      </c>
      <c r="B3121" t="inlineStr">
        <is>
          <t>12:33</t>
        </is>
      </c>
      <c r="C3121" t="n">
        <v>3010</v>
      </c>
      <c r="D3121" s="6" t="n">
        <v>4</v>
      </c>
      <c r="E3121" t="n">
        <v>40023</v>
      </c>
      <c r="F3121" s="6" t="n">
        <v>4</v>
      </c>
      <c r="G3121" t="n">
        <v>1</v>
      </c>
      <c r="H3121" s="6">
        <f>ROUND(G3121*F3121,2)</f>
        <v/>
      </c>
      <c r="I3121">
        <f>IF(ROUND(H3121-D3121,2)=0,1,0)</f>
        <v/>
      </c>
      <c r="J3121">
        <f>IF(F3121="","none",IF(G3121=1,"carte","multiple"))</f>
        <v/>
      </c>
    </row>
    <row r="3122">
      <c r="A3122" t="inlineStr">
        <is>
          <t>2022-07-20</t>
        </is>
      </c>
      <c r="B3122" t="inlineStr">
        <is>
          <t>12:33</t>
        </is>
      </c>
      <c r="C3122" t="n">
        <v>3010</v>
      </c>
      <c r="D3122" s="6" t="n">
        <v>2.2</v>
      </c>
      <c r="E3122" t="n">
        <v>40024</v>
      </c>
      <c r="F3122" s="6" t="n">
        <v>2.2</v>
      </c>
      <c r="G3122" t="n">
        <v>1</v>
      </c>
      <c r="H3122" s="6">
        <f>ROUND(G3122*F3122,2)</f>
        <v/>
      </c>
      <c r="I3122">
        <f>IF(ROUND(H3122-D3122,2)=0,1,0)</f>
        <v/>
      </c>
      <c r="J3122">
        <f>IF(F3122="","none",IF(G3122=1,"carte","multiple"))</f>
        <v/>
      </c>
    </row>
    <row r="3123">
      <c r="A3123" t="inlineStr">
        <is>
          <t>2022-07-20</t>
        </is>
      </c>
      <c r="B3123" t="inlineStr">
        <is>
          <t>12:33</t>
        </is>
      </c>
      <c r="C3123" t="n">
        <v>3010</v>
      </c>
      <c r="D3123" s="6" t="n">
        <v>4</v>
      </c>
      <c r="E3123" t="n">
        <v>40025</v>
      </c>
      <c r="F3123" s="6" t="n">
        <v>4</v>
      </c>
      <c r="G3123" t="n">
        <v>1</v>
      </c>
      <c r="H3123" s="6">
        <f>ROUND(G3123*F3123,2)</f>
        <v/>
      </c>
      <c r="I3123">
        <f>IF(ROUND(H3123-D3123,2)=0,1,0)</f>
        <v/>
      </c>
      <c r="J3123">
        <f>IF(F3123="","none",IF(G3123=1,"carte","multiple"))</f>
        <v/>
      </c>
    </row>
    <row r="3124">
      <c r="A3124" t="inlineStr">
        <is>
          <t>2022-07-20</t>
        </is>
      </c>
      <c r="B3124" t="inlineStr">
        <is>
          <t>12:37</t>
        </is>
      </c>
      <c r="C3124" t="n">
        <v>3010</v>
      </c>
      <c r="D3124" s="6" t="n">
        <v>5.9</v>
      </c>
      <c r="E3124" t="n">
        <v>40026</v>
      </c>
      <c r="F3124" s="6" t="n">
        <v>5.9</v>
      </c>
      <c r="G3124" t="n">
        <v>1</v>
      </c>
      <c r="H3124" s="6">
        <f>ROUND(G3124*F3124,2)</f>
        <v/>
      </c>
      <c r="I3124">
        <f>IF(ROUND(H3124-D3124,2)=0,1,0)</f>
        <v/>
      </c>
      <c r="J3124">
        <f>IF(F3124="","none",IF(G3124=1,"carte","multiple"))</f>
        <v/>
      </c>
    </row>
    <row r="3125">
      <c r="A3125" t="inlineStr">
        <is>
          <t>2022-07-20</t>
        </is>
      </c>
      <c r="B3125" t="inlineStr">
        <is>
          <t>12:37</t>
        </is>
      </c>
      <c r="C3125" t="n">
        <v>3010</v>
      </c>
      <c r="D3125" s="6" t="n">
        <v>7.8</v>
      </c>
      <c r="E3125" t="n">
        <v>40027</v>
      </c>
      <c r="F3125" s="6" t="n">
        <v>7.8</v>
      </c>
      <c r="G3125" t="n">
        <v>1</v>
      </c>
      <c r="H3125" s="6">
        <f>ROUND(G3125*F3125,2)</f>
        <v/>
      </c>
      <c r="I3125">
        <f>IF(ROUND(H3125-D3125,2)=0,1,0)</f>
        <v/>
      </c>
      <c r="J3125">
        <f>IF(F3125="","none",IF(G3125=1,"carte","multiple"))</f>
        <v/>
      </c>
    </row>
    <row r="3126">
      <c r="A3126" t="inlineStr">
        <is>
          <t>2022-07-20</t>
        </is>
      </c>
      <c r="B3126" t="inlineStr">
        <is>
          <t>12:38</t>
        </is>
      </c>
      <c r="C3126" t="n">
        <v>3010</v>
      </c>
      <c r="D3126" s="6" t="n">
        <v>7.8</v>
      </c>
      <c r="E3126" t="n">
        <v>40028</v>
      </c>
      <c r="F3126" s="6" t="n">
        <v>7.8</v>
      </c>
      <c r="G3126" t="n">
        <v>1</v>
      </c>
      <c r="H3126" s="6">
        <f>ROUND(G3126*F3126,2)</f>
        <v/>
      </c>
      <c r="I3126">
        <f>IF(ROUND(H3126-D3126,2)=0,1,0)</f>
        <v/>
      </c>
      <c r="J3126">
        <f>IF(F3126="","none",IF(G3126=1,"carte","multiple"))</f>
        <v/>
      </c>
    </row>
    <row r="3127">
      <c r="A3127" t="inlineStr">
        <is>
          <t>2022-07-20</t>
        </is>
      </c>
      <c r="B3127" t="inlineStr">
        <is>
          <t>12:38</t>
        </is>
      </c>
      <c r="C3127" t="n">
        <v>3010</v>
      </c>
      <c r="D3127" s="6" t="n">
        <v>5.9</v>
      </c>
      <c r="E3127" t="n">
        <v>40029</v>
      </c>
      <c r="F3127" s="6" t="n">
        <v>5.9</v>
      </c>
      <c r="G3127" t="n">
        <v>1</v>
      </c>
      <c r="H3127" s="6">
        <f>ROUND(G3127*F3127,2)</f>
        <v/>
      </c>
      <c r="I3127">
        <f>IF(ROUND(H3127-D3127,2)=0,1,0)</f>
        <v/>
      </c>
      <c r="J3127">
        <f>IF(F3127="","none",IF(G3127=1,"carte","multiple"))</f>
        <v/>
      </c>
    </row>
    <row r="3128">
      <c r="A3128" t="inlineStr">
        <is>
          <t>2022-07-20</t>
        </is>
      </c>
      <c r="B3128" t="inlineStr">
        <is>
          <t>12:38</t>
        </is>
      </c>
      <c r="C3128" t="n">
        <v>3010</v>
      </c>
      <c r="D3128" s="6" t="n">
        <v>2.2</v>
      </c>
      <c r="E3128" t="n">
        <v>40030</v>
      </c>
      <c r="F3128" s="6" t="n">
        <v>2.2</v>
      </c>
      <c r="G3128" t="n">
        <v>1</v>
      </c>
      <c r="H3128" s="6">
        <f>ROUND(G3128*F3128,2)</f>
        <v/>
      </c>
      <c r="I3128">
        <f>IF(ROUND(H3128-D3128,2)=0,1,0)</f>
        <v/>
      </c>
      <c r="J3128">
        <f>IF(F3128="","none",IF(G3128=1,"carte","multiple"))</f>
        <v/>
      </c>
    </row>
    <row r="3129">
      <c r="A3129" t="inlineStr">
        <is>
          <t>2022-07-20</t>
        </is>
      </c>
      <c r="B3129" t="inlineStr">
        <is>
          <t>12:38</t>
        </is>
      </c>
      <c r="C3129" t="n">
        <v>3010</v>
      </c>
      <c r="D3129" s="6" t="n">
        <v>19.9</v>
      </c>
      <c r="E3129" t="n">
        <v>40031</v>
      </c>
      <c r="F3129" s="6" t="n">
        <v>19.9</v>
      </c>
      <c r="G3129" t="n">
        <v>1</v>
      </c>
      <c r="H3129" s="6">
        <f>ROUND(G3129*F3129,2)</f>
        <v/>
      </c>
      <c r="I3129">
        <f>IF(ROUND(H3129-D3129,2)=0,1,0)</f>
        <v/>
      </c>
      <c r="J3129">
        <f>IF(F3129="","none",IF(G3129=1,"carte","multiple"))</f>
        <v/>
      </c>
    </row>
    <row r="3130">
      <c r="A3130" t="inlineStr">
        <is>
          <t>2022-07-20</t>
        </is>
      </c>
      <c r="B3130" t="inlineStr">
        <is>
          <t>12:38</t>
        </is>
      </c>
      <c r="C3130" t="n">
        <v>3010</v>
      </c>
      <c r="D3130" s="6" t="n">
        <v>4</v>
      </c>
      <c r="E3130" t="n">
        <v>40032</v>
      </c>
      <c r="F3130" s="6" t="n">
        <v>4</v>
      </c>
      <c r="G3130" t="n">
        <v>1</v>
      </c>
      <c r="H3130" s="6">
        <f>ROUND(G3130*F3130,2)</f>
        <v/>
      </c>
      <c r="I3130">
        <f>IF(ROUND(H3130-D3130,2)=0,1,0)</f>
        <v/>
      </c>
      <c r="J3130">
        <f>IF(F3130="","none",IF(G3130=1,"carte","multiple"))</f>
        <v/>
      </c>
    </row>
    <row r="3131">
      <c r="A3131" t="inlineStr">
        <is>
          <t>2022-07-20</t>
        </is>
      </c>
      <c r="B3131" t="inlineStr">
        <is>
          <t>12:43</t>
        </is>
      </c>
      <c r="C3131" t="n">
        <v>3010</v>
      </c>
      <c r="D3131" s="6" t="n">
        <v>2.2</v>
      </c>
      <c r="E3131" t="n">
        <v>40033</v>
      </c>
      <c r="F3131" s="6" t="n">
        <v>2.2</v>
      </c>
      <c r="G3131" t="n">
        <v>1</v>
      </c>
      <c r="H3131" s="6">
        <f>ROUND(G3131*F3131,2)</f>
        <v/>
      </c>
      <c r="I3131">
        <f>IF(ROUND(H3131-D3131,2)=0,1,0)</f>
        <v/>
      </c>
      <c r="J3131">
        <f>IF(F3131="","none",IF(G3131=1,"carte","multiple"))</f>
        <v/>
      </c>
    </row>
    <row r="3132">
      <c r="A3132" t="inlineStr">
        <is>
          <t>2022-07-20</t>
        </is>
      </c>
      <c r="B3132" t="inlineStr">
        <is>
          <t>12:43</t>
        </is>
      </c>
      <c r="C3132" t="n">
        <v>3010</v>
      </c>
      <c r="D3132" s="6" t="n">
        <v>2</v>
      </c>
      <c r="E3132" t="n">
        <v>40034</v>
      </c>
      <c r="F3132" s="6" t="n">
        <v>2</v>
      </c>
      <c r="G3132" t="n">
        <v>1</v>
      </c>
      <c r="H3132" s="6">
        <f>ROUND(G3132*F3132,2)</f>
        <v/>
      </c>
      <c r="I3132">
        <f>IF(ROUND(H3132-D3132,2)=0,1,0)</f>
        <v/>
      </c>
      <c r="J3132">
        <f>IF(F3132="","none",IF(G3132=1,"carte","multiple"))</f>
        <v/>
      </c>
    </row>
    <row r="3133">
      <c r="A3133" t="inlineStr">
        <is>
          <t>2022-07-20</t>
        </is>
      </c>
      <c r="B3133" t="inlineStr">
        <is>
          <t>12:43</t>
        </is>
      </c>
      <c r="C3133" t="n">
        <v>3010</v>
      </c>
      <c r="D3133" s="6" t="n">
        <v>5.8</v>
      </c>
      <c r="E3133" t="n">
        <v>40035</v>
      </c>
      <c r="F3133" s="6" t="n">
        <v>5.8</v>
      </c>
      <c r="G3133" t="n">
        <v>1</v>
      </c>
      <c r="H3133" s="6">
        <f>ROUND(G3133*F3133,2)</f>
        <v/>
      </c>
      <c r="I3133">
        <f>IF(ROUND(H3133-D3133,2)=0,1,0)</f>
        <v/>
      </c>
      <c r="J3133">
        <f>IF(F3133="","none",IF(G3133=1,"carte","multiple"))</f>
        <v/>
      </c>
    </row>
    <row r="3134">
      <c r="A3134" t="inlineStr">
        <is>
          <t>2022-07-20</t>
        </is>
      </c>
      <c r="B3134" t="inlineStr">
        <is>
          <t>12:43</t>
        </is>
      </c>
      <c r="C3134" t="n">
        <v>3010</v>
      </c>
      <c r="D3134" s="6" t="n">
        <v>19.9</v>
      </c>
      <c r="E3134" t="n">
        <v>40036</v>
      </c>
      <c r="F3134" s="6" t="n">
        <v>19.9</v>
      </c>
      <c r="G3134" t="n">
        <v>1</v>
      </c>
      <c r="H3134" s="6">
        <f>ROUND(G3134*F3134,2)</f>
        <v/>
      </c>
      <c r="I3134">
        <f>IF(ROUND(H3134-D3134,2)=0,1,0)</f>
        <v/>
      </c>
      <c r="J3134">
        <f>IF(F3134="","none",IF(G3134=1,"carte","multiple"))</f>
        <v/>
      </c>
    </row>
    <row r="3135">
      <c r="A3135" t="inlineStr">
        <is>
          <t>2022-07-20</t>
        </is>
      </c>
      <c r="B3135" t="inlineStr">
        <is>
          <t>12:43</t>
        </is>
      </c>
      <c r="C3135" t="n">
        <v>3010</v>
      </c>
      <c r="D3135" s="6" t="n">
        <v>9.6</v>
      </c>
      <c r="E3135" t="n">
        <v>40037</v>
      </c>
      <c r="F3135" s="6" t="n">
        <v>9.6</v>
      </c>
      <c r="G3135" t="n">
        <v>1</v>
      </c>
      <c r="H3135" s="6">
        <f>ROUND(G3135*F3135,2)</f>
        <v/>
      </c>
      <c r="I3135">
        <f>IF(ROUND(H3135-D3135,2)=0,1,0)</f>
        <v/>
      </c>
      <c r="J3135">
        <f>IF(F3135="","none",IF(G3135=1,"carte","multiple"))</f>
        <v/>
      </c>
    </row>
    <row r="3136">
      <c r="A3136" t="inlineStr">
        <is>
          <t>2022-07-20</t>
        </is>
      </c>
      <c r="B3136" t="inlineStr">
        <is>
          <t>12:43</t>
        </is>
      </c>
      <c r="C3136" t="n">
        <v>3010</v>
      </c>
      <c r="D3136" s="6" t="n">
        <v>15.9</v>
      </c>
      <c r="E3136" t="n">
        <v>40038</v>
      </c>
      <c r="F3136" s="6" t="n">
        <v>15.9</v>
      </c>
      <c r="G3136" t="n">
        <v>1</v>
      </c>
      <c r="H3136" s="6">
        <f>ROUND(G3136*F3136,2)</f>
        <v/>
      </c>
      <c r="I3136">
        <f>IF(ROUND(H3136-D3136,2)=0,1,0)</f>
        <v/>
      </c>
      <c r="J3136">
        <f>IF(F3136="","none",IF(G3136=1,"carte","multiple"))</f>
        <v/>
      </c>
    </row>
    <row r="3137">
      <c r="A3137" t="inlineStr">
        <is>
          <t>2022-07-20</t>
        </is>
      </c>
      <c r="B3137" t="inlineStr">
        <is>
          <t>12:43</t>
        </is>
      </c>
      <c r="C3137" t="n">
        <v>3010</v>
      </c>
      <c r="D3137" s="6" t="n">
        <v>9.800000000000001</v>
      </c>
      <c r="E3137" t="n">
        <v>40039</v>
      </c>
      <c r="F3137" s="6" t="n">
        <v>9.800000000000001</v>
      </c>
      <c r="G3137" t="n">
        <v>1</v>
      </c>
      <c r="H3137" s="6">
        <f>ROUND(G3137*F3137,2)</f>
        <v/>
      </c>
      <c r="I3137">
        <f>IF(ROUND(H3137-D3137,2)=0,1,0)</f>
        <v/>
      </c>
      <c r="J3137">
        <f>IF(F3137="","none",IF(G3137=1,"carte","multiple"))</f>
        <v/>
      </c>
    </row>
    <row r="3138">
      <c r="A3138" t="inlineStr">
        <is>
          <t>2022-07-20</t>
        </is>
      </c>
      <c r="B3138" t="inlineStr">
        <is>
          <t>12:43</t>
        </is>
      </c>
      <c r="C3138" t="n">
        <v>3010</v>
      </c>
      <c r="D3138" s="6" t="n">
        <v>7.8</v>
      </c>
      <c r="E3138" t="n">
        <v>40040</v>
      </c>
      <c r="F3138" s="6" t="n">
        <v>7.8</v>
      </c>
      <c r="G3138" t="n">
        <v>1</v>
      </c>
      <c r="H3138" s="6">
        <f>ROUND(G3138*F3138,2)</f>
        <v/>
      </c>
      <c r="I3138">
        <f>IF(ROUND(H3138-D3138,2)=0,1,0)</f>
        <v/>
      </c>
      <c r="J3138">
        <f>IF(F3138="","none",IF(G3138=1,"carte","multiple"))</f>
        <v/>
      </c>
    </row>
    <row r="3139">
      <c r="A3139" t="inlineStr">
        <is>
          <t>2022-07-20</t>
        </is>
      </c>
      <c r="B3139" t="inlineStr">
        <is>
          <t>12:43</t>
        </is>
      </c>
      <c r="C3139" t="n">
        <v>3010</v>
      </c>
      <c r="D3139" s="6" t="n">
        <v>5.9</v>
      </c>
      <c r="E3139" t="n">
        <v>40041</v>
      </c>
      <c r="F3139" s="6" t="n">
        <v>5.9</v>
      </c>
      <c r="G3139" t="n">
        <v>1</v>
      </c>
      <c r="H3139" s="6">
        <f>ROUND(G3139*F3139,2)</f>
        <v/>
      </c>
      <c r="I3139">
        <f>IF(ROUND(H3139-D3139,2)=0,1,0)</f>
        <v/>
      </c>
      <c r="J3139">
        <f>IF(F3139="","none",IF(G3139=1,"carte","multiple"))</f>
        <v/>
      </c>
    </row>
    <row r="3140">
      <c r="A3140" t="inlineStr">
        <is>
          <t>2022-07-21</t>
        </is>
      </c>
      <c r="B3140" t="inlineStr">
        <is>
          <t>10:12</t>
        </is>
      </c>
      <c r="C3140" t="n">
        <v>3011</v>
      </c>
      <c r="D3140" s="6" t="n">
        <v>30</v>
      </c>
      <c r="E3140" t="n">
        <v>40045</v>
      </c>
      <c r="F3140" s="6" t="n">
        <v>30</v>
      </c>
      <c r="G3140" t="n">
        <v>1</v>
      </c>
      <c r="H3140" s="6">
        <f>ROUND(G3140*F3140,2)</f>
        <v/>
      </c>
      <c r="I3140">
        <f>IF(ROUND(H3140-D3140,2)=0,1,0)</f>
        <v/>
      </c>
      <c r="J3140">
        <f>IF(F3140="","none",IF(G3140=1,"carte","multiple"))</f>
        <v/>
      </c>
    </row>
    <row r="3141">
      <c r="A3141" t="inlineStr">
        <is>
          <t>2022-07-21</t>
        </is>
      </c>
      <c r="B3141" t="inlineStr">
        <is>
          <t>10:47</t>
        </is>
      </c>
      <c r="C3141" t="n">
        <v>3011</v>
      </c>
      <c r="D3141" s="6" t="n">
        <v>5.9</v>
      </c>
      <c r="E3141" t="n">
        <v>40046</v>
      </c>
      <c r="F3141" s="6" t="n">
        <v>5.9</v>
      </c>
      <c r="G3141" t="n">
        <v>1</v>
      </c>
      <c r="H3141" s="6">
        <f>ROUND(G3141*F3141,2)</f>
        <v/>
      </c>
      <c r="I3141">
        <f>IF(ROUND(H3141-D3141,2)=0,1,0)</f>
        <v/>
      </c>
      <c r="J3141">
        <f>IF(F3141="","none",IF(G3141=1,"carte","multiple"))</f>
        <v/>
      </c>
    </row>
    <row r="3142">
      <c r="A3142" t="inlineStr">
        <is>
          <t>2022-07-21</t>
        </is>
      </c>
      <c r="B3142" t="inlineStr">
        <is>
          <t>11:14</t>
        </is>
      </c>
      <c r="C3142" t="n">
        <v>3011</v>
      </c>
      <c r="D3142" s="6" t="n">
        <v>3.6</v>
      </c>
      <c r="E3142" t="n">
        <v>40047</v>
      </c>
      <c r="F3142" s="6" t="n">
        <v>3.6</v>
      </c>
      <c r="G3142" t="n">
        <v>1</v>
      </c>
      <c r="H3142" s="6">
        <f>ROUND(G3142*F3142,2)</f>
        <v/>
      </c>
      <c r="I3142">
        <f>IF(ROUND(H3142-D3142,2)=0,1,0)</f>
        <v/>
      </c>
      <c r="J3142">
        <f>IF(F3142="","none",IF(G3142=1,"carte","multiple"))</f>
        <v/>
      </c>
    </row>
    <row r="3143">
      <c r="A3143" t="inlineStr">
        <is>
          <t>2022-07-21</t>
        </is>
      </c>
      <c r="B3143" t="inlineStr">
        <is>
          <t>11:45</t>
        </is>
      </c>
      <c r="C3143" t="n">
        <v>3011</v>
      </c>
      <c r="D3143" s="6" t="n">
        <v>17.6</v>
      </c>
      <c r="E3143" t="n">
        <v>40048</v>
      </c>
      <c r="F3143" s="6" t="n">
        <v>17.6</v>
      </c>
      <c r="G3143" t="n">
        <v>1</v>
      </c>
      <c r="H3143" s="6">
        <f>ROUND(G3143*F3143,2)</f>
        <v/>
      </c>
      <c r="I3143">
        <f>IF(ROUND(H3143-D3143,2)=0,1,0)</f>
        <v/>
      </c>
      <c r="J3143">
        <f>IF(F3143="","none",IF(G3143=1,"carte","multiple"))</f>
        <v/>
      </c>
    </row>
    <row r="3144">
      <c r="A3144" t="inlineStr">
        <is>
          <t>2022-07-21</t>
        </is>
      </c>
      <c r="B3144" t="inlineStr">
        <is>
          <t>12:03</t>
        </is>
      </c>
      <c r="C3144" t="n">
        <v>3011</v>
      </c>
      <c r="D3144" s="6" t="n">
        <v>8.5</v>
      </c>
      <c r="E3144" t="n">
        <v>40049</v>
      </c>
      <c r="F3144" s="6" t="n">
        <v>8.5</v>
      </c>
      <c r="G3144" t="n">
        <v>1</v>
      </c>
      <c r="H3144" s="6">
        <f>ROUND(G3144*F3144,2)</f>
        <v/>
      </c>
      <c r="I3144">
        <f>IF(ROUND(H3144-D3144,2)=0,1,0)</f>
        <v/>
      </c>
      <c r="J3144">
        <f>IF(F3144="","none",IF(G3144=1,"carte","multiple"))</f>
        <v/>
      </c>
    </row>
    <row r="3145">
      <c r="A3145" t="inlineStr">
        <is>
          <t>2022-07-21</t>
        </is>
      </c>
      <c r="B3145" t="inlineStr">
        <is>
          <t>12:03</t>
        </is>
      </c>
      <c r="C3145" t="n">
        <v>3011</v>
      </c>
      <c r="D3145" s="6" t="n">
        <v>8.1</v>
      </c>
      <c r="E3145" t="n">
        <v>40050</v>
      </c>
      <c r="F3145" s="6" t="n">
        <v>8.1</v>
      </c>
      <c r="G3145" t="n">
        <v>1</v>
      </c>
      <c r="H3145" s="6">
        <f>ROUND(G3145*F3145,2)</f>
        <v/>
      </c>
      <c r="I3145">
        <f>IF(ROUND(H3145-D3145,2)=0,1,0)</f>
        <v/>
      </c>
      <c r="J3145">
        <f>IF(F3145="","none",IF(G3145=1,"carte","multiple"))</f>
        <v/>
      </c>
    </row>
    <row r="3146">
      <c r="A3146" t="inlineStr">
        <is>
          <t>2022-07-21</t>
        </is>
      </c>
      <c r="B3146" t="inlineStr">
        <is>
          <t>12:03</t>
        </is>
      </c>
      <c r="C3146" t="n">
        <v>3011</v>
      </c>
      <c r="D3146" s="6" t="n">
        <v>14.5</v>
      </c>
      <c r="E3146" t="n">
        <v>40051</v>
      </c>
      <c r="F3146" s="6" t="n">
        <v>14.5</v>
      </c>
      <c r="G3146" t="n">
        <v>1</v>
      </c>
      <c r="H3146" s="6">
        <f>ROUND(G3146*F3146,2)</f>
        <v/>
      </c>
      <c r="I3146">
        <f>IF(ROUND(H3146-D3146,2)=0,1,0)</f>
        <v/>
      </c>
      <c r="J3146">
        <f>IF(F3146="","none",IF(G3146=1,"carte","multiple"))</f>
        <v/>
      </c>
    </row>
    <row r="3147">
      <c r="A3147" t="inlineStr">
        <is>
          <t>2022-07-21</t>
        </is>
      </c>
      <c r="B3147" t="inlineStr">
        <is>
          <t>12:03</t>
        </is>
      </c>
      <c r="C3147" t="n">
        <v>3011</v>
      </c>
      <c r="D3147" s="6" t="n">
        <v>19.9</v>
      </c>
      <c r="E3147" t="n">
        <v>40052</v>
      </c>
      <c r="F3147" s="6" t="n">
        <v>19.9</v>
      </c>
      <c r="G3147" t="n">
        <v>1</v>
      </c>
      <c r="H3147" s="6">
        <f>ROUND(G3147*F3147,2)</f>
        <v/>
      </c>
      <c r="I3147">
        <f>IF(ROUND(H3147-D3147,2)=0,1,0)</f>
        <v/>
      </c>
      <c r="J3147">
        <f>IF(F3147="","none",IF(G3147=1,"carte","multiple"))</f>
        <v/>
      </c>
    </row>
    <row r="3148">
      <c r="A3148" t="inlineStr">
        <is>
          <t>2022-07-21</t>
        </is>
      </c>
      <c r="B3148" t="inlineStr">
        <is>
          <t>12:03</t>
        </is>
      </c>
      <c r="C3148" t="n">
        <v>3011</v>
      </c>
      <c r="D3148" s="6" t="n">
        <v>9.9</v>
      </c>
      <c r="E3148" t="n">
        <v>40053</v>
      </c>
      <c r="F3148" s="6" t="n">
        <v>9.9</v>
      </c>
      <c r="G3148" t="n">
        <v>1</v>
      </c>
      <c r="H3148" s="6">
        <f>ROUND(G3148*F3148,2)</f>
        <v/>
      </c>
      <c r="I3148">
        <f>IF(ROUND(H3148-D3148,2)=0,1,0)</f>
        <v/>
      </c>
      <c r="J3148">
        <f>IF(F3148="","none",IF(G3148=1,"carte","multiple"))</f>
        <v/>
      </c>
    </row>
    <row r="3149">
      <c r="A3149" t="inlineStr">
        <is>
          <t>2022-07-21</t>
        </is>
      </c>
      <c r="B3149" t="inlineStr">
        <is>
          <t>12:03</t>
        </is>
      </c>
      <c r="C3149" t="n">
        <v>3011</v>
      </c>
      <c r="D3149" s="6" t="n">
        <v>7.9</v>
      </c>
      <c r="E3149" t="n">
        <v>40054</v>
      </c>
      <c r="F3149" s="6" t="n">
        <v>7.9</v>
      </c>
      <c r="G3149" t="n">
        <v>1</v>
      </c>
      <c r="H3149" s="6">
        <f>ROUND(G3149*F3149,2)</f>
        <v/>
      </c>
      <c r="I3149">
        <f>IF(ROUND(H3149-D3149,2)=0,1,0)</f>
        <v/>
      </c>
      <c r="J3149">
        <f>IF(F3149="","none",IF(G3149=1,"carte","multiple"))</f>
        <v/>
      </c>
    </row>
    <row r="3150">
      <c r="A3150" t="inlineStr">
        <is>
          <t>2022-07-21</t>
        </is>
      </c>
      <c r="B3150" t="inlineStr">
        <is>
          <t>12:03</t>
        </is>
      </c>
      <c r="C3150" t="n">
        <v>3011</v>
      </c>
      <c r="D3150" s="6" t="n">
        <v>7.8</v>
      </c>
      <c r="E3150" t="n">
        <v>40055</v>
      </c>
      <c r="F3150" s="6" t="n">
        <v>7.8</v>
      </c>
      <c r="G3150" t="n">
        <v>1</v>
      </c>
      <c r="H3150" s="6">
        <f>ROUND(G3150*F3150,2)</f>
        <v/>
      </c>
      <c r="I3150">
        <f>IF(ROUND(H3150-D3150,2)=0,1,0)</f>
        <v/>
      </c>
      <c r="J3150">
        <f>IF(F3150="","none",IF(G3150=1,"carte","multiple"))</f>
        <v/>
      </c>
    </row>
    <row r="3151">
      <c r="A3151" t="inlineStr">
        <is>
          <t>2022-07-21</t>
        </is>
      </c>
      <c r="B3151" t="inlineStr">
        <is>
          <t>12:41</t>
        </is>
      </c>
      <c r="C3151" t="n">
        <v>3011</v>
      </c>
      <c r="D3151" s="6" t="n">
        <v>8.5</v>
      </c>
      <c r="E3151" t="n">
        <v>40056</v>
      </c>
      <c r="F3151" s="6" t="n">
        <v>8.5</v>
      </c>
      <c r="G3151" t="n">
        <v>1</v>
      </c>
      <c r="H3151" s="6">
        <f>ROUND(G3151*F3151,2)</f>
        <v/>
      </c>
      <c r="I3151">
        <f>IF(ROUND(H3151-D3151,2)=0,1,0)</f>
        <v/>
      </c>
      <c r="J3151">
        <f>IF(F3151="","none",IF(G3151=1,"carte","multiple"))</f>
        <v/>
      </c>
    </row>
    <row r="3152">
      <c r="A3152" t="inlineStr">
        <is>
          <t>2022-07-21</t>
        </is>
      </c>
      <c r="B3152" t="inlineStr">
        <is>
          <t>12:41</t>
        </is>
      </c>
      <c r="C3152" t="n">
        <v>3011</v>
      </c>
      <c r="D3152" s="6" t="n">
        <v>3.9</v>
      </c>
      <c r="E3152" t="n">
        <v>40057</v>
      </c>
      <c r="F3152" s="6" t="n">
        <v>3.9</v>
      </c>
      <c r="G3152" t="n">
        <v>1</v>
      </c>
      <c r="H3152" s="6">
        <f>ROUND(G3152*F3152,2)</f>
        <v/>
      </c>
      <c r="I3152">
        <f>IF(ROUND(H3152-D3152,2)=0,1,0)</f>
        <v/>
      </c>
      <c r="J3152">
        <f>IF(F3152="","none",IF(G3152=1,"carte","multiple"))</f>
        <v/>
      </c>
    </row>
    <row r="3153">
      <c r="A3153" t="inlineStr">
        <is>
          <t>2022-07-21</t>
        </is>
      </c>
      <c r="B3153" t="inlineStr">
        <is>
          <t>12:41</t>
        </is>
      </c>
      <c r="C3153" t="n">
        <v>3011</v>
      </c>
      <c r="D3153" s="6" t="n">
        <v>2.2</v>
      </c>
      <c r="E3153" t="n">
        <v>40058</v>
      </c>
      <c r="F3153" s="6" t="n">
        <v>2.2</v>
      </c>
      <c r="G3153" t="n">
        <v>1</v>
      </c>
      <c r="H3153" s="6">
        <f>ROUND(G3153*F3153,2)</f>
        <v/>
      </c>
      <c r="I3153">
        <f>IF(ROUND(H3153-D3153,2)=0,1,0)</f>
        <v/>
      </c>
      <c r="J3153">
        <f>IF(F3153="","none",IF(G3153=1,"carte","multiple"))</f>
        <v/>
      </c>
    </row>
    <row r="3154">
      <c r="A3154" t="inlineStr">
        <is>
          <t>2022-07-21</t>
        </is>
      </c>
      <c r="B3154" t="inlineStr">
        <is>
          <t>12:41</t>
        </is>
      </c>
      <c r="C3154" t="n">
        <v>3011</v>
      </c>
      <c r="D3154" s="6" t="n">
        <v>17.6</v>
      </c>
      <c r="E3154" t="n">
        <v>40059</v>
      </c>
      <c r="F3154" s="6" t="n">
        <v>17.6</v>
      </c>
      <c r="G3154" t="n">
        <v>1</v>
      </c>
      <c r="H3154" s="6">
        <f>ROUND(G3154*F3154,2)</f>
        <v/>
      </c>
      <c r="I3154">
        <f>IF(ROUND(H3154-D3154,2)=0,1,0)</f>
        <v/>
      </c>
      <c r="J3154">
        <f>IF(F3154="","none",IF(G3154=1,"carte","multiple"))</f>
        <v/>
      </c>
    </row>
    <row r="3155">
      <c r="A3155" t="inlineStr">
        <is>
          <t>2022-07-21</t>
        </is>
      </c>
      <c r="B3155" t="inlineStr">
        <is>
          <t>12:41</t>
        </is>
      </c>
      <c r="C3155" t="n">
        <v>3011</v>
      </c>
      <c r="D3155" s="6" t="n">
        <v>13</v>
      </c>
      <c r="E3155" t="n">
        <v>40060</v>
      </c>
      <c r="F3155" s="6" t="n">
        <v>13</v>
      </c>
      <c r="G3155" t="n">
        <v>1</v>
      </c>
      <c r="H3155" s="6">
        <f>ROUND(G3155*F3155,2)</f>
        <v/>
      </c>
      <c r="I3155">
        <f>IF(ROUND(H3155-D3155,2)=0,1,0)</f>
        <v/>
      </c>
      <c r="J3155">
        <f>IF(F3155="","none",IF(G3155=1,"carte","multiple"))</f>
        <v/>
      </c>
    </row>
    <row r="3156">
      <c r="A3156" t="inlineStr">
        <is>
          <t>2022-07-21</t>
        </is>
      </c>
      <c r="B3156" t="inlineStr">
        <is>
          <t>12:41</t>
        </is>
      </c>
      <c r="C3156" t="n">
        <v>3011</v>
      </c>
      <c r="D3156" s="6" t="n">
        <v>10.9</v>
      </c>
      <c r="E3156" t="n">
        <v>40061</v>
      </c>
      <c r="F3156" s="6" t="n">
        <v>10.9</v>
      </c>
      <c r="G3156" t="n">
        <v>1</v>
      </c>
      <c r="H3156" s="6">
        <f>ROUND(G3156*F3156,2)</f>
        <v/>
      </c>
      <c r="I3156">
        <f>IF(ROUND(H3156-D3156,2)=0,1,0)</f>
        <v/>
      </c>
      <c r="J3156">
        <f>IF(F3156="","none",IF(G3156=1,"carte","multiple"))</f>
        <v/>
      </c>
    </row>
    <row r="3157">
      <c r="A3157" t="inlineStr">
        <is>
          <t>2022-07-21</t>
        </is>
      </c>
      <c r="B3157" t="inlineStr">
        <is>
          <t>12:41</t>
        </is>
      </c>
      <c r="C3157" t="n">
        <v>3011</v>
      </c>
      <c r="D3157" s="6" t="n">
        <v>5.9</v>
      </c>
      <c r="E3157" t="n">
        <v>40062</v>
      </c>
      <c r="F3157" s="6" t="n">
        <v>5.9</v>
      </c>
      <c r="G3157" t="n">
        <v>1</v>
      </c>
      <c r="H3157" s="6">
        <f>ROUND(G3157*F3157,2)</f>
        <v/>
      </c>
      <c r="I3157">
        <f>IF(ROUND(H3157-D3157,2)=0,1,0)</f>
        <v/>
      </c>
      <c r="J3157">
        <f>IF(F3157="","none",IF(G3157=1,"carte","multiple"))</f>
        <v/>
      </c>
    </row>
    <row r="3158">
      <c r="A3158" t="inlineStr">
        <is>
          <t>2022-07-21</t>
        </is>
      </c>
      <c r="B3158" t="inlineStr">
        <is>
          <t>13:06</t>
        </is>
      </c>
      <c r="C3158" t="n">
        <v>3011</v>
      </c>
      <c r="D3158" s="6" t="n">
        <v>4.4</v>
      </c>
      <c r="E3158" t="n">
        <v>40063</v>
      </c>
      <c r="F3158" s="6" t="n">
        <v>0.4</v>
      </c>
      <c r="G3158" t="n">
        <v>11</v>
      </c>
      <c r="H3158" s="6">
        <f>ROUND(G3158*F3158,2)</f>
        <v/>
      </c>
      <c r="I3158">
        <f>IF(ROUND(H3158-D3158,2)=0,1,0)</f>
        <v/>
      </c>
      <c r="J3158">
        <f>IF(F3158="","none",IF(G3158=1,"carte","multiple"))</f>
        <v/>
      </c>
    </row>
    <row r="3159">
      <c r="A3159" t="inlineStr">
        <is>
          <t>2022-07-21</t>
        </is>
      </c>
      <c r="B3159" t="inlineStr">
        <is>
          <t>13:06</t>
        </is>
      </c>
      <c r="C3159" t="n">
        <v>3011</v>
      </c>
      <c r="D3159" s="6" t="n">
        <v>19</v>
      </c>
      <c r="E3159" t="n">
        <v>40064</v>
      </c>
      <c r="F3159" s="6" t="n">
        <v>19</v>
      </c>
      <c r="G3159" t="n">
        <v>1</v>
      </c>
      <c r="H3159" s="6">
        <f>ROUND(G3159*F3159,2)</f>
        <v/>
      </c>
      <c r="I3159">
        <f>IF(ROUND(H3159-D3159,2)=0,1,0)</f>
        <v/>
      </c>
      <c r="J3159">
        <f>IF(F3159="","none",IF(G3159=1,"carte","multiple"))</f>
        <v/>
      </c>
    </row>
    <row r="3160">
      <c r="A3160" t="inlineStr">
        <is>
          <t>2022-07-21</t>
        </is>
      </c>
      <c r="B3160" t="inlineStr">
        <is>
          <t>13:06</t>
        </is>
      </c>
      <c r="C3160" t="n">
        <v>3011</v>
      </c>
      <c r="D3160" s="6" t="n">
        <v>19</v>
      </c>
      <c r="E3160" t="n">
        <v>40065</v>
      </c>
      <c r="F3160" s="6" t="n">
        <v>19</v>
      </c>
      <c r="G3160" t="n">
        <v>1</v>
      </c>
      <c r="H3160" s="6">
        <f>ROUND(G3160*F3160,2)</f>
        <v/>
      </c>
      <c r="I3160">
        <f>IF(ROUND(H3160-D3160,2)=0,1,0)</f>
        <v/>
      </c>
      <c r="J3160">
        <f>IF(F3160="","none",IF(G3160=1,"carte","multiple"))</f>
        <v/>
      </c>
    </row>
    <row r="3161">
      <c r="A3161" t="inlineStr">
        <is>
          <t>2022-07-21</t>
        </is>
      </c>
      <c r="B3161" t="inlineStr">
        <is>
          <t>13:06</t>
        </is>
      </c>
      <c r="C3161" t="n">
        <v>3011</v>
      </c>
      <c r="D3161" s="6" t="n">
        <v>17.6</v>
      </c>
      <c r="E3161" t="n">
        <v>40066</v>
      </c>
      <c r="F3161" s="6" t="n">
        <v>17.6</v>
      </c>
      <c r="G3161" t="n">
        <v>1</v>
      </c>
      <c r="H3161" s="6">
        <f>ROUND(G3161*F3161,2)</f>
        <v/>
      </c>
      <c r="I3161">
        <f>IF(ROUND(H3161-D3161,2)=0,1,0)</f>
        <v/>
      </c>
      <c r="J3161">
        <f>IF(F3161="","none",IF(G3161=1,"carte","multiple"))</f>
        <v/>
      </c>
    </row>
    <row r="3162">
      <c r="A3162" t="inlineStr">
        <is>
          <t>2022-07-21</t>
        </is>
      </c>
      <c r="B3162" t="inlineStr">
        <is>
          <t>13:06</t>
        </is>
      </c>
      <c r="C3162" t="n">
        <v>3011</v>
      </c>
      <c r="D3162" s="6" t="n">
        <v>15.9</v>
      </c>
      <c r="E3162" t="n">
        <v>40067</v>
      </c>
      <c r="F3162" s="6" t="n">
        <v>15.9</v>
      </c>
      <c r="G3162" t="n">
        <v>1</v>
      </c>
      <c r="H3162" s="6">
        <f>ROUND(G3162*F3162,2)</f>
        <v/>
      </c>
      <c r="I3162">
        <f>IF(ROUND(H3162-D3162,2)=0,1,0)</f>
        <v/>
      </c>
      <c r="J3162">
        <f>IF(F3162="","none",IF(G3162=1,"carte","multiple"))</f>
        <v/>
      </c>
    </row>
    <row r="3163">
      <c r="A3163" t="inlineStr">
        <is>
          <t>2022-07-21</t>
        </is>
      </c>
      <c r="B3163" t="inlineStr">
        <is>
          <t>13:06</t>
        </is>
      </c>
      <c r="C3163" t="n">
        <v>3011</v>
      </c>
      <c r="D3163" s="6" t="n">
        <v>7.2</v>
      </c>
      <c r="E3163" t="n">
        <v>40068</v>
      </c>
      <c r="F3163" s="6" t="n">
        <v>7.2</v>
      </c>
      <c r="G3163" t="n">
        <v>1</v>
      </c>
      <c r="H3163" s="6">
        <f>ROUND(G3163*F3163,2)</f>
        <v/>
      </c>
      <c r="I3163">
        <f>IF(ROUND(H3163-D3163,2)=0,1,0)</f>
        <v/>
      </c>
      <c r="J3163">
        <f>IF(F3163="","none",IF(G3163=1,"carte","multiple"))</f>
        <v/>
      </c>
    </row>
    <row r="3164">
      <c r="A3164" t="inlineStr">
        <is>
          <t>2022-07-21</t>
        </is>
      </c>
      <c r="B3164" t="inlineStr">
        <is>
          <t>13:06</t>
        </is>
      </c>
      <c r="C3164" t="n">
        <v>3011</v>
      </c>
      <c r="D3164" s="6" t="n">
        <v>8</v>
      </c>
      <c r="E3164" t="n">
        <v>40069</v>
      </c>
      <c r="F3164" s="6" t="n">
        <v>8</v>
      </c>
      <c r="G3164" t="n">
        <v>1</v>
      </c>
      <c r="H3164" s="6">
        <f>ROUND(G3164*F3164,2)</f>
        <v/>
      </c>
      <c r="I3164">
        <f>IF(ROUND(H3164-D3164,2)=0,1,0)</f>
        <v/>
      </c>
      <c r="J3164">
        <f>IF(F3164="","none",IF(G3164=1,"carte","multiple"))</f>
        <v/>
      </c>
    </row>
    <row r="3165">
      <c r="A3165" t="inlineStr">
        <is>
          <t>2022-07-21</t>
        </is>
      </c>
      <c r="B3165" t="inlineStr">
        <is>
          <t>13:06</t>
        </is>
      </c>
      <c r="C3165" t="n">
        <v>3011</v>
      </c>
      <c r="D3165" s="6" t="n">
        <v>9.6</v>
      </c>
      <c r="E3165" t="n">
        <v>40070</v>
      </c>
      <c r="F3165" s="6" t="n">
        <v>9.6</v>
      </c>
      <c r="G3165" t="n">
        <v>1</v>
      </c>
      <c r="H3165" s="6">
        <f>ROUND(G3165*F3165,2)</f>
        <v/>
      </c>
      <c r="I3165">
        <f>IF(ROUND(H3165-D3165,2)=0,1,0)</f>
        <v/>
      </c>
      <c r="J3165">
        <f>IF(F3165="","none",IF(G3165=1,"carte","multiple"))</f>
        <v/>
      </c>
    </row>
    <row r="3166">
      <c r="A3166" t="inlineStr">
        <is>
          <t>2022-07-21</t>
        </is>
      </c>
      <c r="B3166" t="inlineStr">
        <is>
          <t>13:06</t>
        </is>
      </c>
      <c r="C3166" t="n">
        <v>3011</v>
      </c>
      <c r="D3166" s="6" t="n">
        <v>8.9</v>
      </c>
      <c r="E3166" t="n">
        <v>40071</v>
      </c>
      <c r="F3166" s="6" t="n">
        <v>8.9</v>
      </c>
      <c r="G3166" t="n">
        <v>1</v>
      </c>
      <c r="H3166" s="6">
        <f>ROUND(G3166*F3166,2)</f>
        <v/>
      </c>
      <c r="I3166">
        <f>IF(ROUND(H3166-D3166,2)=0,1,0)</f>
        <v/>
      </c>
      <c r="J3166">
        <f>IF(F3166="","none",IF(G3166=1,"carte","multiple"))</f>
        <v/>
      </c>
    </row>
    <row r="3167">
      <c r="A3167" t="inlineStr">
        <is>
          <t>2022-07-21</t>
        </is>
      </c>
      <c r="B3167" t="inlineStr">
        <is>
          <t>13:06</t>
        </is>
      </c>
      <c r="C3167" t="n">
        <v>3011</v>
      </c>
      <c r="D3167" s="6" t="n">
        <v>5.9</v>
      </c>
      <c r="E3167" t="n">
        <v>40072</v>
      </c>
      <c r="F3167" s="6" t="n">
        <v>5.9</v>
      </c>
      <c r="G3167" t="n">
        <v>1</v>
      </c>
      <c r="H3167" s="6">
        <f>ROUND(G3167*F3167,2)</f>
        <v/>
      </c>
      <c r="I3167">
        <f>IF(ROUND(H3167-D3167,2)=0,1,0)</f>
        <v/>
      </c>
      <c r="J3167">
        <f>IF(F3167="","none",IF(G3167=1,"carte","multiple"))</f>
        <v/>
      </c>
    </row>
    <row r="3168">
      <c r="A3168" t="inlineStr">
        <is>
          <t>2022-07-21</t>
        </is>
      </c>
      <c r="B3168" t="inlineStr">
        <is>
          <t>13:06</t>
        </is>
      </c>
      <c r="C3168" t="n">
        <v>3011</v>
      </c>
      <c r="D3168" s="6" t="n">
        <v>3.9</v>
      </c>
      <c r="E3168" t="n">
        <v>40073</v>
      </c>
      <c r="F3168" s="6" t="n">
        <v>3.9</v>
      </c>
      <c r="G3168" t="n">
        <v>1</v>
      </c>
      <c r="H3168" s="6">
        <f>ROUND(G3168*F3168,2)</f>
        <v/>
      </c>
      <c r="I3168">
        <f>IF(ROUND(H3168-D3168,2)=0,1,0)</f>
        <v/>
      </c>
      <c r="J3168">
        <f>IF(F3168="","none",IF(G3168=1,"carte","multiple"))</f>
        <v/>
      </c>
    </row>
    <row r="3169">
      <c r="A3169" t="inlineStr">
        <is>
          <t>2022-07-21</t>
        </is>
      </c>
      <c r="B3169" t="inlineStr">
        <is>
          <t>13:06</t>
        </is>
      </c>
      <c r="C3169" t="n">
        <v>3011</v>
      </c>
      <c r="D3169" s="6" t="n">
        <v>7.8</v>
      </c>
      <c r="E3169" t="n">
        <v>40074</v>
      </c>
      <c r="F3169" s="6" t="n">
        <v>7.8</v>
      </c>
      <c r="G3169" t="n">
        <v>1</v>
      </c>
      <c r="H3169" s="6">
        <f>ROUND(G3169*F3169,2)</f>
        <v/>
      </c>
      <c r="I3169">
        <f>IF(ROUND(H3169-D3169,2)=0,1,0)</f>
        <v/>
      </c>
      <c r="J3169">
        <f>IF(F3169="","none",IF(G3169=1,"carte","multiple"))</f>
        <v/>
      </c>
    </row>
    <row r="3170">
      <c r="A3170" t="inlineStr">
        <is>
          <t>2022-07-21</t>
        </is>
      </c>
      <c r="B3170" t="inlineStr">
        <is>
          <t>13:06</t>
        </is>
      </c>
      <c r="C3170" t="n">
        <v>3011</v>
      </c>
      <c r="D3170" s="6" t="n">
        <v>4.2</v>
      </c>
      <c r="E3170" t="n">
        <v>40075</v>
      </c>
      <c r="F3170" s="6" t="n">
        <v>4.2</v>
      </c>
      <c r="G3170" t="n">
        <v>1</v>
      </c>
      <c r="H3170" s="6">
        <f>ROUND(G3170*F3170,2)</f>
        <v/>
      </c>
      <c r="I3170">
        <f>IF(ROUND(H3170-D3170,2)=0,1,0)</f>
        <v/>
      </c>
      <c r="J3170">
        <f>IF(F3170="","none",IF(G3170=1,"carte","multiple"))</f>
        <v/>
      </c>
    </row>
    <row r="3171">
      <c r="A3171" t="inlineStr">
        <is>
          <t>2022-07-21</t>
        </is>
      </c>
      <c r="B3171" t="inlineStr">
        <is>
          <t>13:08</t>
        </is>
      </c>
      <c r="C3171" t="n">
        <v>3011</v>
      </c>
      <c r="D3171" s="6" t="n">
        <v>19.9</v>
      </c>
      <c r="E3171" t="n">
        <v>40076</v>
      </c>
      <c r="F3171" s="6" t="n">
        <v>19.9</v>
      </c>
      <c r="G3171" t="n">
        <v>1</v>
      </c>
      <c r="H3171" s="6">
        <f>ROUND(G3171*F3171,2)</f>
        <v/>
      </c>
      <c r="I3171">
        <f>IF(ROUND(H3171-D3171,2)=0,1,0)</f>
        <v/>
      </c>
      <c r="J3171">
        <f>IF(F3171="","none",IF(G3171=1,"carte","multiple"))</f>
        <v/>
      </c>
    </row>
    <row r="3172">
      <c r="A3172" t="inlineStr">
        <is>
          <t>2022-07-21</t>
        </is>
      </c>
      <c r="B3172" t="inlineStr">
        <is>
          <t>13:08</t>
        </is>
      </c>
      <c r="C3172" t="n">
        <v>3011</v>
      </c>
      <c r="D3172" s="6" t="n">
        <v>32</v>
      </c>
      <c r="E3172" t="n">
        <v>40077</v>
      </c>
      <c r="F3172" s="6" t="n">
        <v>32</v>
      </c>
      <c r="G3172" t="n">
        <v>1</v>
      </c>
      <c r="H3172" s="6">
        <f>ROUND(G3172*F3172,2)</f>
        <v/>
      </c>
      <c r="I3172">
        <f>IF(ROUND(H3172-D3172,2)=0,1,0)</f>
        <v/>
      </c>
      <c r="J3172">
        <f>IF(F3172="","none",IF(G3172=1,"carte","multiple"))</f>
        <v/>
      </c>
    </row>
    <row r="3173">
      <c r="A3173" t="inlineStr">
        <is>
          <t>2022-07-21</t>
        </is>
      </c>
      <c r="B3173" t="inlineStr">
        <is>
          <t>13:08</t>
        </is>
      </c>
      <c r="C3173" t="n">
        <v>3011</v>
      </c>
      <c r="D3173" s="6" t="n">
        <v>28</v>
      </c>
      <c r="E3173" t="n">
        <v>40078</v>
      </c>
      <c r="F3173" s="6" t="n">
        <v>28</v>
      </c>
      <c r="G3173" t="n">
        <v>1</v>
      </c>
      <c r="H3173" s="6">
        <f>ROUND(G3173*F3173,2)</f>
        <v/>
      </c>
      <c r="I3173">
        <f>IF(ROUND(H3173-D3173,2)=0,1,0)</f>
        <v/>
      </c>
      <c r="J3173">
        <f>IF(F3173="","none",IF(G3173=1,"carte","multiple"))</f>
        <v/>
      </c>
    </row>
    <row r="3174">
      <c r="A3174" t="inlineStr">
        <is>
          <t>2022-07-21</t>
        </is>
      </c>
      <c r="B3174" t="inlineStr">
        <is>
          <t>13:08</t>
        </is>
      </c>
      <c r="C3174" t="n">
        <v>3011</v>
      </c>
      <c r="D3174" s="6" t="n">
        <v>5.2</v>
      </c>
      <c r="E3174" t="n">
        <v>40079</v>
      </c>
      <c r="F3174" s="6" t="n">
        <v>5.2</v>
      </c>
      <c r="G3174" t="n">
        <v>1</v>
      </c>
      <c r="H3174" s="6">
        <f>ROUND(G3174*F3174,2)</f>
        <v/>
      </c>
      <c r="I3174">
        <f>IF(ROUND(H3174-D3174,2)=0,1,0)</f>
        <v/>
      </c>
      <c r="J3174">
        <f>IF(F3174="","none",IF(G3174=1,"carte","multiple"))</f>
        <v/>
      </c>
    </row>
    <row r="3175">
      <c r="A3175" t="inlineStr">
        <is>
          <t>2022-07-21</t>
        </is>
      </c>
      <c r="B3175" t="inlineStr">
        <is>
          <t>13:08</t>
        </is>
      </c>
      <c r="C3175" t="n">
        <v>3011</v>
      </c>
      <c r="D3175" s="6" t="n">
        <v>3.9</v>
      </c>
      <c r="E3175" t="n">
        <v>40080</v>
      </c>
      <c r="F3175" s="6" t="n">
        <v>3.9</v>
      </c>
      <c r="G3175" t="n">
        <v>1</v>
      </c>
      <c r="H3175" s="6">
        <f>ROUND(G3175*F3175,2)</f>
        <v/>
      </c>
      <c r="I3175">
        <f>IF(ROUND(H3175-D3175,2)=0,1,0)</f>
        <v/>
      </c>
      <c r="J3175">
        <f>IF(F3175="","none",IF(G3175=1,"carte","multiple"))</f>
        <v/>
      </c>
    </row>
    <row r="3176">
      <c r="A3176" t="inlineStr">
        <is>
          <t>2022-07-21</t>
        </is>
      </c>
      <c r="B3176" t="inlineStr">
        <is>
          <t>13:08</t>
        </is>
      </c>
      <c r="C3176" t="n">
        <v>3011</v>
      </c>
      <c r="D3176" s="6" t="n">
        <v>7.5</v>
      </c>
      <c r="E3176" t="n">
        <v>40081</v>
      </c>
      <c r="F3176" s="6" t="n">
        <v>7.5</v>
      </c>
      <c r="G3176" t="n">
        <v>1</v>
      </c>
      <c r="H3176" s="6">
        <f>ROUND(G3176*F3176,2)</f>
        <v/>
      </c>
      <c r="I3176">
        <f>IF(ROUND(H3176-D3176,2)=0,1,0)</f>
        <v/>
      </c>
      <c r="J3176">
        <f>IF(F3176="","none",IF(G3176=1,"carte","multiple"))</f>
        <v/>
      </c>
    </row>
    <row r="3177">
      <c r="A3177" t="inlineStr">
        <is>
          <t>2022-07-21</t>
        </is>
      </c>
      <c r="B3177" t="inlineStr">
        <is>
          <t>13:08</t>
        </is>
      </c>
      <c r="C3177" t="n">
        <v>3011</v>
      </c>
      <c r="D3177" s="6" t="n">
        <v>2.2</v>
      </c>
      <c r="E3177" t="n">
        <v>40082</v>
      </c>
      <c r="F3177" s="6" t="n">
        <v>2.2</v>
      </c>
      <c r="G3177" t="n">
        <v>1</v>
      </c>
      <c r="H3177" s="6">
        <f>ROUND(G3177*F3177,2)</f>
        <v/>
      </c>
      <c r="I3177">
        <f>IF(ROUND(H3177-D3177,2)=0,1,0)</f>
        <v/>
      </c>
      <c r="J3177">
        <f>IF(F3177="","none",IF(G3177=1,"carte","multiple"))</f>
        <v/>
      </c>
    </row>
    <row r="3178">
      <c r="A3178" t="inlineStr">
        <is>
          <t>2022-07-21</t>
        </is>
      </c>
      <c r="B3178" t="inlineStr">
        <is>
          <t>13:15</t>
        </is>
      </c>
      <c r="C3178" t="n">
        <v>3011</v>
      </c>
      <c r="D3178" s="6" t="n">
        <v>4</v>
      </c>
      <c r="E3178" t="n">
        <v>40083</v>
      </c>
      <c r="F3178" s="6" t="n">
        <v>4</v>
      </c>
      <c r="G3178" t="n">
        <v>1</v>
      </c>
      <c r="H3178" s="6">
        <f>ROUND(G3178*F3178,2)</f>
        <v/>
      </c>
      <c r="I3178">
        <f>IF(ROUND(H3178-D3178,2)=0,1,0)</f>
        <v/>
      </c>
      <c r="J3178">
        <f>IF(F3178="","none",IF(G3178=1,"carte","multiple"))</f>
        <v/>
      </c>
    </row>
    <row r="3179">
      <c r="A3179" t="inlineStr">
        <is>
          <t>2022-07-21</t>
        </is>
      </c>
      <c r="B3179" t="inlineStr">
        <is>
          <t>13:15</t>
        </is>
      </c>
      <c r="C3179" t="n">
        <v>3011</v>
      </c>
      <c r="D3179" s="6" t="n">
        <v>8.800000000000001</v>
      </c>
      <c r="E3179" t="n">
        <v>40084</v>
      </c>
      <c r="F3179" s="6" t="n">
        <v>8.800000000000001</v>
      </c>
      <c r="G3179" t="n">
        <v>1</v>
      </c>
      <c r="H3179" s="6">
        <f>ROUND(G3179*F3179,2)</f>
        <v/>
      </c>
      <c r="I3179">
        <f>IF(ROUND(H3179-D3179,2)=0,1,0)</f>
        <v/>
      </c>
      <c r="J3179">
        <f>IF(F3179="","none",IF(G3179=1,"carte","multiple"))</f>
        <v/>
      </c>
    </row>
    <row r="3180">
      <c r="A3180" t="inlineStr">
        <is>
          <t>2022-07-21</t>
        </is>
      </c>
      <c r="B3180" t="inlineStr">
        <is>
          <t>13:15</t>
        </is>
      </c>
      <c r="C3180" t="n">
        <v>3011</v>
      </c>
      <c r="D3180" s="6" t="n">
        <v>38</v>
      </c>
      <c r="E3180" t="n">
        <v>40085</v>
      </c>
      <c r="F3180" s="6" t="n">
        <v>0.4</v>
      </c>
      <c r="G3180" t="n">
        <v>95</v>
      </c>
      <c r="H3180" s="6">
        <f>ROUND(G3180*F3180,2)</f>
        <v/>
      </c>
      <c r="I3180">
        <f>IF(ROUND(H3180-D3180,2)=0,1,0)</f>
        <v/>
      </c>
      <c r="J3180">
        <f>IF(F3180="","none",IF(G3180=1,"carte","multiple"))</f>
        <v/>
      </c>
    </row>
    <row r="3181">
      <c r="A3181" t="inlineStr">
        <is>
          <t>2022-07-21</t>
        </is>
      </c>
      <c r="B3181" t="inlineStr">
        <is>
          <t>13:15</t>
        </is>
      </c>
      <c r="C3181" t="n">
        <v>3011</v>
      </c>
      <c r="D3181" s="6" t="n">
        <v>4</v>
      </c>
      <c r="E3181" t="n">
        <v>40086</v>
      </c>
      <c r="F3181" s="6" t="n">
        <v>4</v>
      </c>
      <c r="G3181" t="n">
        <v>1</v>
      </c>
      <c r="H3181" s="6">
        <f>ROUND(G3181*F3181,2)</f>
        <v/>
      </c>
      <c r="I3181">
        <f>IF(ROUND(H3181-D3181,2)=0,1,0)</f>
        <v/>
      </c>
      <c r="J3181">
        <f>IF(F3181="","none",IF(G3181=1,"carte","multiple"))</f>
        <v/>
      </c>
    </row>
    <row r="3182">
      <c r="A3182" t="inlineStr">
        <is>
          <t>2022-07-21</t>
        </is>
      </c>
      <c r="B3182" t="inlineStr">
        <is>
          <t>13:15</t>
        </is>
      </c>
      <c r="C3182" t="n">
        <v>3011</v>
      </c>
      <c r="D3182" s="6" t="n">
        <v>3.9</v>
      </c>
      <c r="E3182" t="n">
        <v>40087</v>
      </c>
      <c r="F3182" s="6" t="n">
        <v>3.9</v>
      </c>
      <c r="G3182" t="n">
        <v>1</v>
      </c>
      <c r="H3182" s="6">
        <f>ROUND(G3182*F3182,2)</f>
        <v/>
      </c>
      <c r="I3182">
        <f>IF(ROUND(H3182-D3182,2)=0,1,0)</f>
        <v/>
      </c>
      <c r="J3182">
        <f>IF(F3182="","none",IF(G3182=1,"carte","multiple"))</f>
        <v/>
      </c>
    </row>
    <row r="3183">
      <c r="A3183" t="inlineStr">
        <is>
          <t>2022-07-21</t>
        </is>
      </c>
      <c r="B3183" t="inlineStr">
        <is>
          <t>18:39</t>
        </is>
      </c>
      <c r="C3183" t="n">
        <v>3011</v>
      </c>
      <c r="D3183" s="6" t="n">
        <v>3.9</v>
      </c>
      <c r="E3183" t="n">
        <v>40090</v>
      </c>
      <c r="F3183" s="6" t="n">
        <v>3.9</v>
      </c>
      <c r="G3183" t="n">
        <v>1</v>
      </c>
      <c r="H3183" s="6">
        <f>ROUND(G3183*F3183,2)</f>
        <v/>
      </c>
      <c r="I3183">
        <f>IF(ROUND(H3183-D3183,2)=0,1,0)</f>
        <v/>
      </c>
      <c r="J3183">
        <f>IF(F3183="","none",IF(G3183=1,"carte","multiple"))</f>
        <v/>
      </c>
    </row>
    <row r="3184">
      <c r="A3184" t="inlineStr">
        <is>
          <t>2022-07-21</t>
        </is>
      </c>
      <c r="B3184" t="inlineStr">
        <is>
          <t>18:42</t>
        </is>
      </c>
      <c r="C3184" t="n">
        <v>3011</v>
      </c>
      <c r="D3184" s="6" t="n">
        <v>6.4</v>
      </c>
      <c r="E3184" t="n">
        <v>40091</v>
      </c>
      <c r="F3184" s="6" t="n">
        <v>6.4</v>
      </c>
      <c r="G3184" t="n">
        <v>1</v>
      </c>
      <c r="H3184" s="6">
        <f>ROUND(G3184*F3184,2)</f>
        <v/>
      </c>
      <c r="I3184">
        <f>IF(ROUND(H3184-D3184,2)=0,1,0)</f>
        <v/>
      </c>
      <c r="J3184">
        <f>IF(F3184="","none",IF(G3184=1,"carte","multiple"))</f>
        <v/>
      </c>
    </row>
    <row r="3185">
      <c r="A3185" t="inlineStr">
        <is>
          <t>2022-07-21</t>
        </is>
      </c>
      <c r="B3185" t="inlineStr">
        <is>
          <t>18:59</t>
        </is>
      </c>
      <c r="C3185" t="n">
        <v>3011</v>
      </c>
      <c r="D3185" s="6" t="n">
        <v>8.699999999999999</v>
      </c>
      <c r="E3185" t="n">
        <v>40092</v>
      </c>
      <c r="F3185" s="6" t="n">
        <v>8.699999999999999</v>
      </c>
      <c r="G3185" t="n">
        <v>1</v>
      </c>
      <c r="H3185" s="6">
        <f>ROUND(G3185*F3185,2)</f>
        <v/>
      </c>
      <c r="I3185">
        <f>IF(ROUND(H3185-D3185,2)=0,1,0)</f>
        <v/>
      </c>
      <c r="J3185">
        <f>IF(F3185="","none",IF(G3185=1,"carte","multiple"))</f>
        <v/>
      </c>
    </row>
    <row r="3186">
      <c r="A3186" t="inlineStr">
        <is>
          <t>2022-07-21</t>
        </is>
      </c>
      <c r="B3186" t="inlineStr">
        <is>
          <t>19:04</t>
        </is>
      </c>
      <c r="C3186" t="n">
        <v>3011</v>
      </c>
      <c r="D3186" s="6" t="n">
        <v>32</v>
      </c>
      <c r="E3186" t="n">
        <v>40093</v>
      </c>
      <c r="F3186" s="6" t="n">
        <v>32</v>
      </c>
      <c r="G3186" t="n">
        <v>1</v>
      </c>
      <c r="H3186" s="6">
        <f>ROUND(G3186*F3186,2)</f>
        <v/>
      </c>
      <c r="I3186">
        <f>IF(ROUND(H3186-D3186,2)=0,1,0)</f>
        <v/>
      </c>
      <c r="J3186">
        <f>IF(F3186="","none",IF(G3186=1,"carte","multiple"))</f>
        <v/>
      </c>
    </row>
    <row r="3187">
      <c r="A3187" t="inlineStr">
        <is>
          <t>2022-07-21</t>
        </is>
      </c>
      <c r="B3187" t="inlineStr">
        <is>
          <t>19:04</t>
        </is>
      </c>
      <c r="C3187" t="n">
        <v>3011</v>
      </c>
      <c r="D3187" s="6" t="n">
        <v>32</v>
      </c>
      <c r="E3187" t="n">
        <v>40094</v>
      </c>
      <c r="F3187" s="6" t="n">
        <v>32</v>
      </c>
      <c r="G3187" t="n">
        <v>1</v>
      </c>
      <c r="H3187" s="6">
        <f>ROUND(G3187*F3187,2)</f>
        <v/>
      </c>
      <c r="I3187">
        <f>IF(ROUND(H3187-D3187,2)=0,1,0)</f>
        <v/>
      </c>
      <c r="J3187">
        <f>IF(F3187="","none",IF(G3187=1,"carte","multiple"))</f>
        <v/>
      </c>
    </row>
    <row r="3188">
      <c r="A3188" t="inlineStr">
        <is>
          <t>2022-07-21</t>
        </is>
      </c>
      <c r="B3188" t="inlineStr">
        <is>
          <t>19:04</t>
        </is>
      </c>
      <c r="C3188" t="n">
        <v>3011</v>
      </c>
      <c r="D3188" s="6" t="n">
        <v>6.4</v>
      </c>
      <c r="E3188" t="n">
        <v>40095</v>
      </c>
      <c r="F3188" s="6" t="n">
        <v>6.4</v>
      </c>
      <c r="G3188" t="n">
        <v>1</v>
      </c>
      <c r="H3188" s="6">
        <f>ROUND(G3188*F3188,2)</f>
        <v/>
      </c>
      <c r="I3188">
        <f>IF(ROUND(H3188-D3188,2)=0,1,0)</f>
        <v/>
      </c>
      <c r="J3188">
        <f>IF(F3188="","none",IF(G3188=1,"carte","multiple"))</f>
        <v/>
      </c>
    </row>
    <row r="3189">
      <c r="A3189" t="inlineStr">
        <is>
          <t>2022-07-21</t>
        </is>
      </c>
      <c r="B3189" t="inlineStr">
        <is>
          <t>19:04</t>
        </is>
      </c>
      <c r="C3189" t="n">
        <v>3011</v>
      </c>
      <c r="D3189" s="6" t="n">
        <v>7</v>
      </c>
      <c r="E3189" t="n">
        <v>40096</v>
      </c>
      <c r="F3189" s="6" t="n">
        <v>7</v>
      </c>
      <c r="G3189" t="n">
        <v>1</v>
      </c>
      <c r="H3189" s="6">
        <f>ROUND(G3189*F3189,2)</f>
        <v/>
      </c>
      <c r="I3189">
        <f>IF(ROUND(H3189-D3189,2)=0,1,0)</f>
        <v/>
      </c>
      <c r="J3189">
        <f>IF(F3189="","none",IF(G3189=1,"carte","multiple"))</f>
        <v/>
      </c>
    </row>
    <row r="3190">
      <c r="A3190" t="inlineStr">
        <is>
          <t>2022-07-21</t>
        </is>
      </c>
      <c r="B3190" t="inlineStr">
        <is>
          <t>19:06</t>
        </is>
      </c>
      <c r="C3190" t="n">
        <v>3011</v>
      </c>
      <c r="D3190" s="6" t="n">
        <v>8.699999999999999</v>
      </c>
      <c r="E3190" t="n">
        <v>40097</v>
      </c>
      <c r="F3190" s="6" t="n">
        <v>8.699999999999999</v>
      </c>
      <c r="G3190" t="n">
        <v>1</v>
      </c>
      <c r="H3190" s="6">
        <f>ROUND(G3190*F3190,2)</f>
        <v/>
      </c>
      <c r="I3190">
        <f>IF(ROUND(H3190-D3190,2)=0,1,0)</f>
        <v/>
      </c>
      <c r="J3190">
        <f>IF(F3190="","none",IF(G3190=1,"carte","multiple"))</f>
        <v/>
      </c>
    </row>
    <row r="3191">
      <c r="A3191" t="inlineStr">
        <is>
          <t>2022-07-21</t>
        </is>
      </c>
      <c r="B3191" t="inlineStr">
        <is>
          <t>19:06</t>
        </is>
      </c>
      <c r="C3191" t="n">
        <v>3011</v>
      </c>
      <c r="D3191" s="6" t="n">
        <v>6.9</v>
      </c>
      <c r="E3191" t="n">
        <v>40098</v>
      </c>
      <c r="F3191" s="6" t="n">
        <v>6.9</v>
      </c>
      <c r="G3191" t="n">
        <v>1</v>
      </c>
      <c r="H3191" s="6">
        <f>ROUND(G3191*F3191,2)</f>
        <v/>
      </c>
      <c r="I3191">
        <f>IF(ROUND(H3191-D3191,2)=0,1,0)</f>
        <v/>
      </c>
      <c r="J3191">
        <f>IF(F3191="","none",IF(G3191=1,"carte","multiple"))</f>
        <v/>
      </c>
    </row>
    <row r="3192">
      <c r="A3192" t="inlineStr">
        <is>
          <t>2022-07-21</t>
        </is>
      </c>
      <c r="B3192" t="inlineStr">
        <is>
          <t>19:06</t>
        </is>
      </c>
      <c r="C3192" t="n">
        <v>3011</v>
      </c>
      <c r="D3192" s="6" t="n">
        <v>35.2</v>
      </c>
      <c r="E3192" t="n">
        <v>40099</v>
      </c>
      <c r="F3192" s="6" t="n">
        <v>0.4</v>
      </c>
      <c r="G3192" t="n">
        <v>88</v>
      </c>
      <c r="H3192" s="6">
        <f>ROUND(G3192*F3192,2)</f>
        <v/>
      </c>
      <c r="I3192">
        <f>IF(ROUND(H3192-D3192,2)=0,1,0)</f>
        <v/>
      </c>
      <c r="J3192">
        <f>IF(F3192="","none",IF(G3192=1,"carte","multiple"))</f>
        <v/>
      </c>
    </row>
    <row r="3193">
      <c r="A3193" t="inlineStr">
        <is>
          <t>2022-07-21</t>
        </is>
      </c>
      <c r="B3193" t="inlineStr">
        <is>
          <t>19:06</t>
        </is>
      </c>
      <c r="C3193" t="n">
        <v>3011</v>
      </c>
      <c r="D3193" s="6" t="n">
        <v>3.6</v>
      </c>
      <c r="E3193" t="n">
        <v>40100</v>
      </c>
      <c r="F3193" s="6" t="n">
        <v>3.6</v>
      </c>
      <c r="G3193" t="n">
        <v>1</v>
      </c>
      <c r="H3193" s="6">
        <f>ROUND(G3193*F3193,2)</f>
        <v/>
      </c>
      <c r="I3193">
        <f>IF(ROUND(H3193-D3193,2)=0,1,0)</f>
        <v/>
      </c>
      <c r="J3193">
        <f>IF(F3193="","none",IF(G3193=1,"carte","multiple"))</f>
        <v/>
      </c>
    </row>
    <row r="3194">
      <c r="A3194" t="inlineStr">
        <is>
          <t>2022-07-21</t>
        </is>
      </c>
      <c r="B3194" t="inlineStr">
        <is>
          <t>19:06</t>
        </is>
      </c>
      <c r="C3194" t="n">
        <v>3011</v>
      </c>
      <c r="D3194" s="6" t="n">
        <v>4.4</v>
      </c>
      <c r="E3194" t="n">
        <v>40101</v>
      </c>
      <c r="F3194" s="6" t="n">
        <v>0.4</v>
      </c>
      <c r="G3194" t="n">
        <v>11</v>
      </c>
      <c r="H3194" s="6">
        <f>ROUND(G3194*F3194,2)</f>
        <v/>
      </c>
      <c r="I3194">
        <f>IF(ROUND(H3194-D3194,2)=0,1,0)</f>
        <v/>
      </c>
      <c r="J3194">
        <f>IF(F3194="","none",IF(G3194=1,"carte","multiple"))</f>
        <v/>
      </c>
    </row>
    <row r="3195">
      <c r="A3195" t="inlineStr">
        <is>
          <t>2022-07-21</t>
        </is>
      </c>
      <c r="B3195" t="inlineStr">
        <is>
          <t>19:24</t>
        </is>
      </c>
      <c r="C3195" t="n">
        <v>3011</v>
      </c>
      <c r="D3195" s="6" t="n">
        <v>6.9</v>
      </c>
      <c r="E3195" t="n">
        <v>40102</v>
      </c>
      <c r="F3195" s="6" t="n">
        <v>6.9</v>
      </c>
      <c r="G3195" t="n">
        <v>1</v>
      </c>
      <c r="H3195" s="6">
        <f>ROUND(G3195*F3195,2)</f>
        <v/>
      </c>
      <c r="I3195">
        <f>IF(ROUND(H3195-D3195,2)=0,1,0)</f>
        <v/>
      </c>
      <c r="J3195">
        <f>IF(F3195="","none",IF(G3195=1,"carte","multiple"))</f>
        <v/>
      </c>
    </row>
    <row r="3196">
      <c r="A3196" t="inlineStr">
        <is>
          <t>2022-07-21</t>
        </is>
      </c>
      <c r="B3196" t="inlineStr">
        <is>
          <t>19:24</t>
        </is>
      </c>
      <c r="C3196" t="n">
        <v>3011</v>
      </c>
      <c r="D3196" s="6" t="n">
        <v>8.699999999999999</v>
      </c>
      <c r="E3196" t="n">
        <v>40103</v>
      </c>
      <c r="F3196" s="6" t="n">
        <v>8.699999999999999</v>
      </c>
      <c r="G3196" t="n">
        <v>1</v>
      </c>
      <c r="H3196" s="6">
        <f>ROUND(G3196*F3196,2)</f>
        <v/>
      </c>
      <c r="I3196">
        <f>IF(ROUND(H3196-D3196,2)=0,1,0)</f>
        <v/>
      </c>
      <c r="J3196">
        <f>IF(F3196="","none",IF(G3196=1,"carte","multiple"))</f>
        <v/>
      </c>
    </row>
    <row r="3197">
      <c r="A3197" t="inlineStr">
        <is>
          <t>2022-07-21</t>
        </is>
      </c>
      <c r="B3197" t="inlineStr">
        <is>
          <t>19:24</t>
        </is>
      </c>
      <c r="C3197" t="n">
        <v>3011</v>
      </c>
      <c r="D3197" s="6" t="n">
        <v>5.9</v>
      </c>
      <c r="E3197" t="n">
        <v>40104</v>
      </c>
      <c r="F3197" s="6" t="n">
        <v>5.9</v>
      </c>
      <c r="G3197" t="n">
        <v>1</v>
      </c>
      <c r="H3197" s="6">
        <f>ROUND(G3197*F3197,2)</f>
        <v/>
      </c>
      <c r="I3197">
        <f>IF(ROUND(H3197-D3197,2)=0,1,0)</f>
        <v/>
      </c>
      <c r="J3197">
        <f>IF(F3197="","none",IF(G3197=1,"carte","multiple"))</f>
        <v/>
      </c>
    </row>
    <row r="3198">
      <c r="A3198" t="inlineStr">
        <is>
          <t>2022-07-21</t>
        </is>
      </c>
      <c r="B3198" t="inlineStr">
        <is>
          <t>19:24</t>
        </is>
      </c>
      <c r="C3198" t="n">
        <v>3011</v>
      </c>
      <c r="D3198" s="6" t="n">
        <v>39.8</v>
      </c>
      <c r="E3198" t="n">
        <v>40105</v>
      </c>
      <c r="F3198" s="6" t="n">
        <v>39.8</v>
      </c>
      <c r="G3198" t="n">
        <v>1</v>
      </c>
      <c r="H3198" s="6">
        <f>ROUND(G3198*F3198,2)</f>
        <v/>
      </c>
      <c r="I3198">
        <f>IF(ROUND(H3198-D3198,2)=0,1,0)</f>
        <v/>
      </c>
      <c r="J3198">
        <f>IF(F3198="","none",IF(G3198=1,"carte","multiple"))</f>
        <v/>
      </c>
    </row>
    <row r="3199">
      <c r="A3199" t="inlineStr">
        <is>
          <t>2022-07-21</t>
        </is>
      </c>
      <c r="B3199" t="inlineStr">
        <is>
          <t>19:24</t>
        </is>
      </c>
      <c r="C3199" t="n">
        <v>3011</v>
      </c>
      <c r="D3199" s="6" t="n">
        <v>7.9</v>
      </c>
      <c r="E3199" t="n">
        <v>40106</v>
      </c>
      <c r="F3199" s="6" t="n">
        <v>7.9</v>
      </c>
      <c r="G3199" t="n">
        <v>1</v>
      </c>
      <c r="H3199" s="6">
        <f>ROUND(G3199*F3199,2)</f>
        <v/>
      </c>
      <c r="I3199">
        <f>IF(ROUND(H3199-D3199,2)=0,1,0)</f>
        <v/>
      </c>
      <c r="J3199">
        <f>IF(F3199="","none",IF(G3199=1,"carte","multiple"))</f>
        <v/>
      </c>
    </row>
    <row r="3200">
      <c r="A3200" t="inlineStr">
        <is>
          <t>2022-07-21</t>
        </is>
      </c>
      <c r="B3200" t="inlineStr">
        <is>
          <t>19:24</t>
        </is>
      </c>
      <c r="C3200" t="n">
        <v>3011</v>
      </c>
      <c r="D3200" s="6" t="n">
        <v>3.9</v>
      </c>
      <c r="E3200" t="n">
        <v>40107</v>
      </c>
      <c r="F3200" s="6" t="n">
        <v>3.9</v>
      </c>
      <c r="G3200" t="n">
        <v>1</v>
      </c>
      <c r="H3200" s="6">
        <f>ROUND(G3200*F3200,2)</f>
        <v/>
      </c>
      <c r="I3200">
        <f>IF(ROUND(H3200-D3200,2)=0,1,0)</f>
        <v/>
      </c>
      <c r="J3200">
        <f>IF(F3200="","none",IF(G3200=1,"carte","multiple"))</f>
        <v/>
      </c>
    </row>
    <row r="3201">
      <c r="A3201" t="inlineStr">
        <is>
          <t>2022-07-21</t>
        </is>
      </c>
      <c r="B3201" t="inlineStr">
        <is>
          <t>19:58</t>
        </is>
      </c>
      <c r="C3201" t="n">
        <v>3011</v>
      </c>
      <c r="D3201" s="6" t="n">
        <v>64</v>
      </c>
      <c r="E3201" t="n">
        <v>40108</v>
      </c>
      <c r="F3201" s="6" t="n">
        <v>64</v>
      </c>
      <c r="G3201" t="n">
        <v>1</v>
      </c>
      <c r="H3201" s="6">
        <f>ROUND(G3201*F3201,2)</f>
        <v/>
      </c>
      <c r="I3201">
        <f>IF(ROUND(H3201-D3201,2)=0,1,0)</f>
        <v/>
      </c>
      <c r="J3201">
        <f>IF(F3201="","none",IF(G3201=1,"carte","multiple"))</f>
        <v/>
      </c>
    </row>
    <row r="3202">
      <c r="A3202" t="inlineStr">
        <is>
          <t>2022-07-21</t>
        </is>
      </c>
      <c r="B3202" t="inlineStr">
        <is>
          <t>19:58</t>
        </is>
      </c>
      <c r="C3202" t="n">
        <v>3011</v>
      </c>
      <c r="D3202" s="6" t="n">
        <v>24.9</v>
      </c>
      <c r="E3202" t="n">
        <v>40109</v>
      </c>
      <c r="F3202" s="6" t="n">
        <v>24.9</v>
      </c>
      <c r="G3202" t="n">
        <v>1</v>
      </c>
      <c r="H3202" s="6">
        <f>ROUND(G3202*F3202,2)</f>
        <v/>
      </c>
      <c r="I3202">
        <f>IF(ROUND(H3202-D3202,2)=0,1,0)</f>
        <v/>
      </c>
      <c r="J3202">
        <f>IF(F3202="","none",IF(G3202=1,"carte","multiple"))</f>
        <v/>
      </c>
    </row>
    <row r="3203">
      <c r="A3203" t="inlineStr">
        <is>
          <t>2022-07-21</t>
        </is>
      </c>
      <c r="B3203" t="inlineStr">
        <is>
          <t>20:57</t>
        </is>
      </c>
      <c r="C3203" t="n">
        <v>3011</v>
      </c>
      <c r="D3203" s="6" t="n">
        <v>4.4</v>
      </c>
      <c r="E3203" t="n">
        <v>40110</v>
      </c>
      <c r="F3203" s="6" t="n">
        <v>0.4</v>
      </c>
      <c r="G3203" t="n">
        <v>11</v>
      </c>
      <c r="H3203" s="6">
        <f>ROUND(G3203*F3203,2)</f>
        <v/>
      </c>
      <c r="I3203">
        <f>IF(ROUND(H3203-D3203,2)=0,1,0)</f>
        <v/>
      </c>
      <c r="J3203">
        <f>IF(F3203="","none",IF(G3203=1,"carte","multiple"))</f>
        <v/>
      </c>
    </row>
    <row r="3204">
      <c r="A3204" t="inlineStr">
        <is>
          <t>2022-07-21</t>
        </is>
      </c>
      <c r="B3204" t="inlineStr">
        <is>
          <t>20:57</t>
        </is>
      </c>
      <c r="C3204" t="n">
        <v>3011</v>
      </c>
      <c r="D3204" s="6" t="n">
        <v>29.4</v>
      </c>
      <c r="E3204" t="n">
        <v>40111</v>
      </c>
      <c r="F3204" s="6" t="n">
        <v>1.4</v>
      </c>
      <c r="G3204" t="n">
        <v>21</v>
      </c>
      <c r="H3204" s="6">
        <f>ROUND(G3204*F3204,2)</f>
        <v/>
      </c>
      <c r="I3204">
        <f>IF(ROUND(H3204-D3204,2)=0,1,0)</f>
        <v/>
      </c>
      <c r="J3204">
        <f>IF(F3204="","none",IF(G3204=1,"carte","multiple"))</f>
        <v/>
      </c>
    </row>
    <row r="3205">
      <c r="A3205" t="inlineStr">
        <is>
          <t>2022-07-21</t>
        </is>
      </c>
      <c r="B3205" t="inlineStr">
        <is>
          <t>20:57</t>
        </is>
      </c>
      <c r="C3205" t="n">
        <v>3011</v>
      </c>
      <c r="D3205" s="6" t="n">
        <v>64</v>
      </c>
      <c r="E3205" t="n">
        <v>40112</v>
      </c>
      <c r="F3205" s="6" t="n">
        <v>64</v>
      </c>
      <c r="G3205" t="n">
        <v>1</v>
      </c>
      <c r="H3205" s="6">
        <f>ROUND(G3205*F3205,2)</f>
        <v/>
      </c>
      <c r="I3205">
        <f>IF(ROUND(H3205-D3205,2)=0,1,0)</f>
        <v/>
      </c>
      <c r="J3205">
        <f>IF(F3205="","none",IF(G3205=1,"carte","multiple"))</f>
        <v/>
      </c>
    </row>
    <row r="3206">
      <c r="A3206" t="inlineStr">
        <is>
          <t>2022-07-21</t>
        </is>
      </c>
      <c r="B3206" t="inlineStr">
        <is>
          <t>20:57</t>
        </is>
      </c>
      <c r="C3206" t="n">
        <v>3011</v>
      </c>
      <c r="D3206" s="6" t="n">
        <v>17.8</v>
      </c>
      <c r="E3206" t="n">
        <v>40113</v>
      </c>
      <c r="F3206" s="6" t="n">
        <v>8.9</v>
      </c>
      <c r="G3206" t="n">
        <v>2</v>
      </c>
      <c r="H3206" s="6">
        <f>ROUND(G3206*F3206,2)</f>
        <v/>
      </c>
      <c r="I3206">
        <f>IF(ROUND(H3206-D3206,2)=0,1,0)</f>
        <v/>
      </c>
      <c r="J3206">
        <f>IF(F3206="","none",IF(G3206=1,"carte","multiple"))</f>
        <v/>
      </c>
    </row>
    <row r="3207">
      <c r="A3207" t="inlineStr">
        <is>
          <t>2022-07-21</t>
        </is>
      </c>
      <c r="B3207" t="inlineStr">
        <is>
          <t>21:09</t>
        </is>
      </c>
      <c r="C3207" t="n">
        <v>3011</v>
      </c>
      <c r="D3207" s="6" t="n">
        <v>10.4</v>
      </c>
      <c r="E3207" t="n">
        <v>40114</v>
      </c>
      <c r="F3207" s="6" t="n">
        <v>0.4</v>
      </c>
      <c r="G3207" t="n">
        <v>26</v>
      </c>
      <c r="H3207" s="6">
        <f>ROUND(G3207*F3207,2)</f>
        <v/>
      </c>
      <c r="I3207">
        <f>IF(ROUND(H3207-D3207,2)=0,1,0)</f>
        <v/>
      </c>
      <c r="J3207">
        <f>IF(F3207="","none",IF(G3207=1,"carte","multiple"))</f>
        <v/>
      </c>
    </row>
    <row r="3208">
      <c r="A3208" t="inlineStr">
        <is>
          <t>2022-07-22</t>
        </is>
      </c>
      <c r="B3208" t="inlineStr">
        <is>
          <t>11:39</t>
        </is>
      </c>
      <c r="C3208" t="n">
        <v>3012</v>
      </c>
      <c r="D3208" s="6" t="n">
        <v>3.4</v>
      </c>
      <c r="E3208" t="n">
        <v>40117</v>
      </c>
      <c r="F3208" s="6" t="n">
        <v>3.4</v>
      </c>
      <c r="G3208" t="n">
        <v>1</v>
      </c>
      <c r="H3208" s="6">
        <f>ROUND(G3208*F3208,2)</f>
        <v/>
      </c>
      <c r="I3208">
        <f>IF(ROUND(H3208-D3208,2)=0,1,0)</f>
        <v/>
      </c>
      <c r="J3208">
        <f>IF(F3208="","none",IF(G3208=1,"carte","multiple"))</f>
        <v/>
      </c>
    </row>
    <row r="3209">
      <c r="A3209" t="inlineStr">
        <is>
          <t>2022-07-22</t>
        </is>
      </c>
      <c r="B3209" t="inlineStr">
        <is>
          <t>11:57</t>
        </is>
      </c>
      <c r="C3209" t="n">
        <v>3012</v>
      </c>
      <c r="D3209" s="6" t="n">
        <v>17.6</v>
      </c>
      <c r="E3209" t="n">
        <v>40118</v>
      </c>
      <c r="F3209" s="6" t="n">
        <v>17.6</v>
      </c>
      <c r="G3209" t="n">
        <v>1</v>
      </c>
      <c r="H3209" s="6">
        <f>ROUND(G3209*F3209,2)</f>
        <v/>
      </c>
      <c r="I3209">
        <f>IF(ROUND(H3209-D3209,2)=0,1,0)</f>
        <v/>
      </c>
      <c r="J3209">
        <f>IF(F3209="","none",IF(G3209=1,"carte","multiple"))</f>
        <v/>
      </c>
    </row>
    <row r="3210">
      <c r="A3210" t="inlineStr">
        <is>
          <t>2022-07-22</t>
        </is>
      </c>
      <c r="B3210" t="inlineStr">
        <is>
          <t>12:08</t>
        </is>
      </c>
      <c r="C3210" t="n">
        <v>3012</v>
      </c>
      <c r="D3210" s="6" t="n">
        <v>3.4</v>
      </c>
      <c r="E3210" t="n">
        <v>40119</v>
      </c>
      <c r="F3210" s="6" t="n">
        <v>3.4</v>
      </c>
      <c r="G3210" t="n">
        <v>1</v>
      </c>
      <c r="H3210" s="6">
        <f>ROUND(G3210*F3210,2)</f>
        <v/>
      </c>
      <c r="I3210">
        <f>IF(ROUND(H3210-D3210,2)=0,1,0)</f>
        <v/>
      </c>
      <c r="J3210">
        <f>IF(F3210="","none",IF(G3210=1,"carte","multiple"))</f>
        <v/>
      </c>
    </row>
    <row r="3211">
      <c r="A3211" t="inlineStr">
        <is>
          <t>2022-07-22</t>
        </is>
      </c>
      <c r="B3211" t="inlineStr">
        <is>
          <t>12:19</t>
        </is>
      </c>
      <c r="C3211" t="n">
        <v>3012</v>
      </c>
      <c r="D3211" s="6" t="n">
        <v>11.7</v>
      </c>
      <c r="E3211" t="n">
        <v>40120</v>
      </c>
      <c r="F3211" s="6" t="n">
        <v>0.9</v>
      </c>
      <c r="G3211" t="n">
        <v>13</v>
      </c>
      <c r="H3211" s="6">
        <f>ROUND(G3211*F3211,2)</f>
        <v/>
      </c>
      <c r="I3211">
        <f>IF(ROUND(H3211-D3211,2)=0,1,0)</f>
        <v/>
      </c>
      <c r="J3211">
        <f>IF(F3211="","none",IF(G3211=1,"carte","multiple"))</f>
        <v/>
      </c>
    </row>
    <row r="3212">
      <c r="A3212" t="inlineStr">
        <is>
          <t>2022-07-22</t>
        </is>
      </c>
      <c r="B3212" t="inlineStr">
        <is>
          <t>12:19</t>
        </is>
      </c>
      <c r="C3212" t="n">
        <v>3012</v>
      </c>
      <c r="D3212" s="6" t="n">
        <v>8.5</v>
      </c>
      <c r="E3212" t="n">
        <v>40121</v>
      </c>
      <c r="F3212" s="6" t="n">
        <v>8.5</v>
      </c>
      <c r="G3212" t="n">
        <v>1</v>
      </c>
      <c r="H3212" s="6">
        <f>ROUND(G3212*F3212,2)</f>
        <v/>
      </c>
      <c r="I3212">
        <f>IF(ROUND(H3212-D3212,2)=0,1,0)</f>
        <v/>
      </c>
      <c r="J3212">
        <f>IF(F3212="","none",IF(G3212=1,"carte","multiple"))</f>
        <v/>
      </c>
    </row>
    <row r="3213">
      <c r="A3213" t="inlineStr">
        <is>
          <t>2022-07-22</t>
        </is>
      </c>
      <c r="B3213" t="inlineStr">
        <is>
          <t>12:19</t>
        </is>
      </c>
      <c r="C3213" t="n">
        <v>3012</v>
      </c>
      <c r="D3213" s="6" t="n">
        <v>4.6</v>
      </c>
      <c r="E3213" t="n">
        <v>40122</v>
      </c>
      <c r="F3213" s="6" t="n">
        <v>4.6</v>
      </c>
      <c r="G3213" t="n">
        <v>1</v>
      </c>
      <c r="H3213" s="6">
        <f>ROUND(G3213*F3213,2)</f>
        <v/>
      </c>
      <c r="I3213">
        <f>IF(ROUND(H3213-D3213,2)=0,1,0)</f>
        <v/>
      </c>
      <c r="J3213">
        <f>IF(F3213="","none",IF(G3213=1,"carte","multiple"))</f>
        <v/>
      </c>
    </row>
    <row r="3214">
      <c r="A3214" t="inlineStr">
        <is>
          <t>2022-07-22</t>
        </is>
      </c>
      <c r="B3214" t="inlineStr">
        <is>
          <t>18:09</t>
        </is>
      </c>
      <c r="C3214" t="n">
        <v>3012</v>
      </c>
      <c r="D3214" s="6" t="n">
        <v>5.2</v>
      </c>
      <c r="E3214" t="n">
        <v>40124</v>
      </c>
      <c r="F3214" s="6" t="n">
        <v>5.2</v>
      </c>
      <c r="G3214" t="n">
        <v>1</v>
      </c>
      <c r="H3214" s="6">
        <f>ROUND(G3214*F3214,2)</f>
        <v/>
      </c>
      <c r="I3214">
        <f>IF(ROUND(H3214-D3214,2)=0,1,0)</f>
        <v/>
      </c>
      <c r="J3214">
        <f>IF(F3214="","none",IF(G3214=1,"carte","multiple"))</f>
        <v/>
      </c>
    </row>
    <row r="3215">
      <c r="A3215" t="inlineStr">
        <is>
          <t>2022-07-22</t>
        </is>
      </c>
      <c r="B3215" t="inlineStr">
        <is>
          <t>18:16</t>
        </is>
      </c>
      <c r="C3215" t="n">
        <v>3012</v>
      </c>
      <c r="D3215" s="6" t="n">
        <v>19.9</v>
      </c>
      <c r="E3215" t="n">
        <v>40125</v>
      </c>
      <c r="F3215" s="6" t="n">
        <v>19.9</v>
      </c>
      <c r="G3215" t="n">
        <v>1</v>
      </c>
      <c r="H3215" s="6">
        <f>ROUND(G3215*F3215,2)</f>
        <v/>
      </c>
      <c r="I3215">
        <f>IF(ROUND(H3215-D3215,2)=0,1,0)</f>
        <v/>
      </c>
      <c r="J3215">
        <f>IF(F3215="","none",IF(G3215=1,"carte","multiple"))</f>
        <v/>
      </c>
    </row>
    <row r="3216">
      <c r="A3216" t="inlineStr">
        <is>
          <t>2022-07-22</t>
        </is>
      </c>
      <c r="B3216" t="inlineStr">
        <is>
          <t>19:15</t>
        </is>
      </c>
      <c r="C3216" t="n">
        <v>3012</v>
      </c>
      <c r="D3216" s="6" t="n">
        <v>3.9</v>
      </c>
      <c r="E3216" t="n">
        <v>40126</v>
      </c>
      <c r="F3216" s="6" t="n">
        <v>3.9</v>
      </c>
      <c r="G3216" t="n">
        <v>1</v>
      </c>
      <c r="H3216" s="6">
        <f>ROUND(G3216*F3216,2)</f>
        <v/>
      </c>
      <c r="I3216">
        <f>IF(ROUND(H3216-D3216,2)=0,1,0)</f>
        <v/>
      </c>
      <c r="J3216">
        <f>IF(F3216="","none",IF(G3216=1,"carte","multiple"))</f>
        <v/>
      </c>
    </row>
    <row r="3217">
      <c r="A3217" t="inlineStr">
        <is>
          <t>2022-07-22</t>
        </is>
      </c>
      <c r="B3217" t="inlineStr">
        <is>
          <t>19:27</t>
        </is>
      </c>
      <c r="C3217" t="n">
        <v>3012</v>
      </c>
      <c r="D3217" s="6" t="n">
        <v>24.9</v>
      </c>
      <c r="E3217" t="n">
        <v>40127</v>
      </c>
      <c r="F3217" s="6" t="n">
        <v>24.9</v>
      </c>
      <c r="G3217" t="n">
        <v>1</v>
      </c>
      <c r="H3217" s="6">
        <f>ROUND(G3217*F3217,2)</f>
        <v/>
      </c>
      <c r="I3217">
        <f>IF(ROUND(H3217-D3217,2)=0,1,0)</f>
        <v/>
      </c>
      <c r="J3217">
        <f>IF(F3217="","none",IF(G3217=1,"carte","multiple"))</f>
        <v/>
      </c>
    </row>
    <row r="3218">
      <c r="A3218" t="inlineStr">
        <is>
          <t>2022-07-22</t>
        </is>
      </c>
      <c r="B3218" t="inlineStr">
        <is>
          <t>19:27</t>
        </is>
      </c>
      <c r="C3218" t="n">
        <v>3012</v>
      </c>
      <c r="D3218" s="6" t="n">
        <v>4.4</v>
      </c>
      <c r="E3218" t="n">
        <v>40128</v>
      </c>
      <c r="F3218" s="6" t="n">
        <v>0.4</v>
      </c>
      <c r="G3218" t="n">
        <v>11</v>
      </c>
      <c r="H3218" s="6">
        <f>ROUND(G3218*F3218,2)</f>
        <v/>
      </c>
      <c r="I3218">
        <f>IF(ROUND(H3218-D3218,2)=0,1,0)</f>
        <v/>
      </c>
      <c r="J3218">
        <f>IF(F3218="","none",IF(G3218=1,"carte","multiple"))</f>
        <v/>
      </c>
    </row>
    <row r="3219">
      <c r="A3219" t="inlineStr">
        <is>
          <t>2022-07-22</t>
        </is>
      </c>
      <c r="B3219" t="inlineStr">
        <is>
          <t>19:27</t>
        </is>
      </c>
      <c r="C3219" t="n">
        <v>3012</v>
      </c>
      <c r="D3219" s="6" t="n">
        <v>8.1</v>
      </c>
      <c r="E3219" t="n">
        <v>40129</v>
      </c>
      <c r="F3219" s="6" t="n">
        <v>8.1</v>
      </c>
      <c r="G3219" t="n">
        <v>1</v>
      </c>
      <c r="H3219" s="6">
        <f>ROUND(G3219*F3219,2)</f>
        <v/>
      </c>
      <c r="I3219">
        <f>IF(ROUND(H3219-D3219,2)=0,1,0)</f>
        <v/>
      </c>
      <c r="J3219">
        <f>IF(F3219="","none",IF(G3219=1,"carte","multiple"))</f>
        <v/>
      </c>
    </row>
    <row r="3220">
      <c r="A3220" t="inlineStr">
        <is>
          <t>2022-07-22</t>
        </is>
      </c>
      <c r="B3220" t="inlineStr">
        <is>
          <t>19:27</t>
        </is>
      </c>
      <c r="C3220" t="n">
        <v>3012</v>
      </c>
      <c r="D3220" s="6" t="n">
        <v>6.9</v>
      </c>
      <c r="E3220" t="n">
        <v>40130</v>
      </c>
      <c r="F3220" s="6" t="n">
        <v>6.9</v>
      </c>
      <c r="G3220" t="n">
        <v>1</v>
      </c>
      <c r="H3220" s="6">
        <f>ROUND(G3220*F3220,2)</f>
        <v/>
      </c>
      <c r="I3220">
        <f>IF(ROUND(H3220-D3220,2)=0,1,0)</f>
        <v/>
      </c>
      <c r="J3220">
        <f>IF(F3220="","none",IF(G3220=1,"carte","multiple"))</f>
        <v/>
      </c>
    </row>
    <row r="3221">
      <c r="A3221" t="inlineStr">
        <is>
          <t>2022-07-22</t>
        </is>
      </c>
      <c r="B3221" t="inlineStr">
        <is>
          <t>19:27</t>
        </is>
      </c>
      <c r="C3221" t="n">
        <v>3012</v>
      </c>
      <c r="D3221" s="6" t="n">
        <v>2</v>
      </c>
      <c r="E3221" t="n">
        <v>40131</v>
      </c>
      <c r="F3221" s="6" t="n">
        <v>2</v>
      </c>
      <c r="G3221" t="n">
        <v>1</v>
      </c>
      <c r="H3221" s="6">
        <f>ROUND(G3221*F3221,2)</f>
        <v/>
      </c>
      <c r="I3221">
        <f>IF(ROUND(H3221-D3221,2)=0,1,0)</f>
        <v/>
      </c>
      <c r="J3221">
        <f>IF(F3221="","none",IF(G3221=1,"carte","multiple"))</f>
        <v/>
      </c>
    </row>
    <row r="3222">
      <c r="A3222" t="inlineStr">
        <is>
          <t>2022-07-22</t>
        </is>
      </c>
      <c r="B3222" t="inlineStr">
        <is>
          <t>19:27</t>
        </is>
      </c>
      <c r="C3222" t="n">
        <v>3012</v>
      </c>
      <c r="D3222" s="6" t="n">
        <v>3.9</v>
      </c>
      <c r="E3222" t="n">
        <v>40132</v>
      </c>
      <c r="F3222" s="6" t="n">
        <v>3.9</v>
      </c>
      <c r="G3222" t="n">
        <v>1</v>
      </c>
      <c r="H3222" s="6">
        <f>ROUND(G3222*F3222,2)</f>
        <v/>
      </c>
      <c r="I3222">
        <f>IF(ROUND(H3222-D3222,2)=0,1,0)</f>
        <v/>
      </c>
      <c r="J3222">
        <f>IF(F3222="","none",IF(G3222=1,"carte","multiple"))</f>
        <v/>
      </c>
    </row>
    <row r="3223">
      <c r="A3223" t="inlineStr">
        <is>
          <t>2022-07-22</t>
        </is>
      </c>
      <c r="B3223" t="inlineStr">
        <is>
          <t>19:27</t>
        </is>
      </c>
      <c r="C3223" t="n">
        <v>3012</v>
      </c>
      <c r="D3223" s="6" t="n">
        <v>17.6</v>
      </c>
      <c r="E3223" t="n">
        <v>40133</v>
      </c>
      <c r="F3223" s="6" t="n">
        <v>17.6</v>
      </c>
      <c r="G3223" t="n">
        <v>1</v>
      </c>
      <c r="H3223" s="6">
        <f>ROUND(G3223*F3223,2)</f>
        <v/>
      </c>
      <c r="I3223">
        <f>IF(ROUND(H3223-D3223,2)=0,1,0)</f>
        <v/>
      </c>
      <c r="J3223">
        <f>IF(F3223="","none",IF(G3223=1,"carte","multiple"))</f>
        <v/>
      </c>
    </row>
    <row r="3224">
      <c r="A3224" t="inlineStr">
        <is>
          <t>2022-07-22</t>
        </is>
      </c>
      <c r="B3224" t="inlineStr">
        <is>
          <t>19:27</t>
        </is>
      </c>
      <c r="C3224" t="n">
        <v>3012</v>
      </c>
      <c r="D3224" s="6" t="n">
        <v>19</v>
      </c>
      <c r="E3224" t="n">
        <v>40134</v>
      </c>
      <c r="F3224" s="6" t="n">
        <v>19</v>
      </c>
      <c r="G3224" t="n">
        <v>1</v>
      </c>
      <c r="H3224" s="6">
        <f>ROUND(G3224*F3224,2)</f>
        <v/>
      </c>
      <c r="I3224">
        <f>IF(ROUND(H3224-D3224,2)=0,1,0)</f>
        <v/>
      </c>
      <c r="J3224">
        <f>IF(F3224="","none",IF(G3224=1,"carte","multiple"))</f>
        <v/>
      </c>
    </row>
    <row r="3225">
      <c r="A3225" t="inlineStr">
        <is>
          <t>2022-07-22</t>
        </is>
      </c>
      <c r="B3225" t="inlineStr">
        <is>
          <t>19:27</t>
        </is>
      </c>
      <c r="C3225" t="n">
        <v>3012</v>
      </c>
      <c r="D3225" s="6" t="n">
        <v>29.8</v>
      </c>
      <c r="E3225" t="n">
        <v>40135</v>
      </c>
      <c r="F3225" s="6" t="n">
        <v>14.9</v>
      </c>
      <c r="G3225" t="n">
        <v>2</v>
      </c>
      <c r="H3225" s="6">
        <f>ROUND(G3225*F3225,2)</f>
        <v/>
      </c>
      <c r="I3225">
        <f>IF(ROUND(H3225-D3225,2)=0,1,0)</f>
        <v/>
      </c>
      <c r="J3225">
        <f>IF(F3225="","none",IF(G3225=1,"carte","multiple"))</f>
        <v/>
      </c>
    </row>
    <row r="3226">
      <c r="A3226" t="inlineStr">
        <is>
          <t>2022-07-22</t>
        </is>
      </c>
      <c r="B3226" t="inlineStr">
        <is>
          <t>19:27</t>
        </is>
      </c>
      <c r="C3226" t="n">
        <v>3012</v>
      </c>
      <c r="D3226" s="6" t="n">
        <v>8.9</v>
      </c>
      <c r="E3226" t="n">
        <v>40136</v>
      </c>
      <c r="F3226" s="6" t="n">
        <v>8.9</v>
      </c>
      <c r="G3226" t="n">
        <v>1</v>
      </c>
      <c r="H3226" s="6">
        <f>ROUND(G3226*F3226,2)</f>
        <v/>
      </c>
      <c r="I3226">
        <f>IF(ROUND(H3226-D3226,2)=0,1,0)</f>
        <v/>
      </c>
      <c r="J3226">
        <f>IF(F3226="","none",IF(G3226=1,"carte","multiple"))</f>
        <v/>
      </c>
    </row>
    <row r="3227">
      <c r="A3227" t="inlineStr">
        <is>
          <t>2022-07-22</t>
        </is>
      </c>
      <c r="B3227" t="inlineStr">
        <is>
          <t>19:27</t>
        </is>
      </c>
      <c r="C3227" t="n">
        <v>3012</v>
      </c>
      <c r="D3227" s="6" t="n">
        <v>8.800000000000001</v>
      </c>
      <c r="E3227" t="n">
        <v>40137</v>
      </c>
      <c r="F3227" s="6" t="n">
        <v>8.800000000000001</v>
      </c>
      <c r="G3227" t="n">
        <v>1</v>
      </c>
      <c r="H3227" s="6">
        <f>ROUND(G3227*F3227,2)</f>
        <v/>
      </c>
      <c r="I3227">
        <f>IF(ROUND(H3227-D3227,2)=0,1,0)</f>
        <v/>
      </c>
      <c r="J3227">
        <f>IF(F3227="","none",IF(G3227=1,"carte","multiple"))</f>
        <v/>
      </c>
    </row>
    <row r="3228">
      <c r="A3228" t="inlineStr">
        <is>
          <t>2022-07-22</t>
        </is>
      </c>
      <c r="B3228" t="inlineStr">
        <is>
          <t>19:27</t>
        </is>
      </c>
      <c r="C3228" t="n">
        <v>3012</v>
      </c>
      <c r="D3228" s="6" t="n">
        <v>8.800000000000001</v>
      </c>
      <c r="E3228" t="n">
        <v>40138</v>
      </c>
      <c r="F3228" s="6" t="n">
        <v>8.800000000000001</v>
      </c>
      <c r="G3228" t="n">
        <v>1</v>
      </c>
      <c r="H3228" s="6">
        <f>ROUND(G3228*F3228,2)</f>
        <v/>
      </c>
      <c r="I3228">
        <f>IF(ROUND(H3228-D3228,2)=0,1,0)</f>
        <v/>
      </c>
      <c r="J3228">
        <f>IF(F3228="","none",IF(G3228=1,"carte","multiple"))</f>
        <v/>
      </c>
    </row>
    <row r="3229">
      <c r="A3229" t="inlineStr">
        <is>
          <t>2022-07-22</t>
        </is>
      </c>
      <c r="B3229" t="inlineStr">
        <is>
          <t>19:27</t>
        </is>
      </c>
      <c r="C3229" t="n">
        <v>3012</v>
      </c>
      <c r="D3229" s="6" t="n">
        <v>3.9</v>
      </c>
      <c r="E3229" t="n">
        <v>40139</v>
      </c>
      <c r="F3229" s="6" t="n">
        <v>3.9</v>
      </c>
      <c r="G3229" t="n">
        <v>1</v>
      </c>
      <c r="H3229" s="6">
        <f>ROUND(G3229*F3229,2)</f>
        <v/>
      </c>
      <c r="I3229">
        <f>IF(ROUND(H3229-D3229,2)=0,1,0)</f>
        <v/>
      </c>
      <c r="J3229">
        <f>IF(F3229="","none",IF(G3229=1,"carte","multiple"))</f>
        <v/>
      </c>
    </row>
    <row r="3230">
      <c r="A3230" t="inlineStr">
        <is>
          <t>2022-07-22</t>
        </is>
      </c>
      <c r="B3230" t="inlineStr">
        <is>
          <t>19:27</t>
        </is>
      </c>
      <c r="C3230" t="n">
        <v>3012</v>
      </c>
      <c r="D3230" s="6" t="n">
        <v>4.9</v>
      </c>
      <c r="E3230" t="n">
        <v>40140</v>
      </c>
      <c r="F3230" s="6" t="n">
        <v>4.9</v>
      </c>
      <c r="G3230" t="n">
        <v>1</v>
      </c>
      <c r="H3230" s="6">
        <f>ROUND(G3230*F3230,2)</f>
        <v/>
      </c>
      <c r="I3230">
        <f>IF(ROUND(H3230-D3230,2)=0,1,0)</f>
        <v/>
      </c>
      <c r="J3230">
        <f>IF(F3230="","none",IF(G3230=1,"carte","multiple"))</f>
        <v/>
      </c>
    </row>
    <row r="3231">
      <c r="A3231" t="inlineStr">
        <is>
          <t>2022-07-22</t>
        </is>
      </c>
      <c r="B3231" t="inlineStr">
        <is>
          <t>19:27</t>
        </is>
      </c>
      <c r="C3231" t="n">
        <v>3012</v>
      </c>
      <c r="D3231" s="6" t="n">
        <v>5.9</v>
      </c>
      <c r="E3231" t="n">
        <v>40141</v>
      </c>
      <c r="F3231" s="6" t="n">
        <v>5.9</v>
      </c>
      <c r="G3231" t="n">
        <v>1</v>
      </c>
      <c r="H3231" s="6">
        <f>ROUND(G3231*F3231,2)</f>
        <v/>
      </c>
      <c r="I3231">
        <f>IF(ROUND(H3231-D3231,2)=0,1,0)</f>
        <v/>
      </c>
      <c r="J3231">
        <f>IF(F3231="","none",IF(G3231=1,"carte","multiple"))</f>
        <v/>
      </c>
    </row>
    <row r="3232">
      <c r="A3232" t="inlineStr">
        <is>
          <t>2022-07-22</t>
        </is>
      </c>
      <c r="B3232" t="inlineStr">
        <is>
          <t>19:27</t>
        </is>
      </c>
      <c r="C3232" t="n">
        <v>3012</v>
      </c>
      <c r="D3232" s="6" t="n">
        <v>3.9</v>
      </c>
      <c r="E3232" t="n">
        <v>40142</v>
      </c>
      <c r="F3232" s="6" t="n">
        <v>3.9</v>
      </c>
      <c r="G3232" t="n">
        <v>1</v>
      </c>
      <c r="H3232" s="6">
        <f>ROUND(G3232*F3232,2)</f>
        <v/>
      </c>
      <c r="I3232">
        <f>IF(ROUND(H3232-D3232,2)=0,1,0)</f>
        <v/>
      </c>
      <c r="J3232">
        <f>IF(F3232="","none",IF(G3232=1,"carte","multiple"))</f>
        <v/>
      </c>
    </row>
    <row r="3233">
      <c r="A3233" t="inlineStr">
        <is>
          <t>2022-07-22</t>
        </is>
      </c>
      <c r="B3233" t="inlineStr">
        <is>
          <t>19:44</t>
        </is>
      </c>
      <c r="C3233" t="n">
        <v>3012</v>
      </c>
      <c r="D3233" s="6" t="n">
        <v>4.4</v>
      </c>
      <c r="E3233" t="n">
        <v>40143</v>
      </c>
      <c r="F3233" s="6" t="n">
        <v>0.4</v>
      </c>
      <c r="G3233" t="n">
        <v>11</v>
      </c>
      <c r="H3233" s="6">
        <f>ROUND(G3233*F3233,2)</f>
        <v/>
      </c>
      <c r="I3233">
        <f>IF(ROUND(H3233-D3233,2)=0,1,0)</f>
        <v/>
      </c>
      <c r="J3233">
        <f>IF(F3233="","none",IF(G3233=1,"carte","multiple"))</f>
        <v/>
      </c>
    </row>
    <row r="3234">
      <c r="A3234" t="inlineStr">
        <is>
          <t>2022-07-22</t>
        </is>
      </c>
      <c r="B3234" t="inlineStr">
        <is>
          <t>19:45</t>
        </is>
      </c>
      <c r="C3234" t="n">
        <v>3012</v>
      </c>
      <c r="D3234" s="6" t="n">
        <v>3.9</v>
      </c>
      <c r="E3234" t="n">
        <v>40144</v>
      </c>
      <c r="F3234" s="6" t="n">
        <v>3.9</v>
      </c>
      <c r="G3234" t="n">
        <v>1</v>
      </c>
      <c r="H3234" s="6">
        <f>ROUND(G3234*F3234,2)</f>
        <v/>
      </c>
      <c r="I3234">
        <f>IF(ROUND(H3234-D3234,2)=0,1,0)</f>
        <v/>
      </c>
      <c r="J3234">
        <f>IF(F3234="","none",IF(G3234=1,"carte","multiple"))</f>
        <v/>
      </c>
    </row>
    <row r="3235">
      <c r="A3235" t="inlineStr">
        <is>
          <t>2022-07-22</t>
        </is>
      </c>
      <c r="B3235" t="inlineStr">
        <is>
          <t>19:45</t>
        </is>
      </c>
      <c r="C3235" t="n">
        <v>3012</v>
      </c>
      <c r="D3235" s="6" t="n">
        <v>15.6</v>
      </c>
      <c r="E3235" t="n">
        <v>40145</v>
      </c>
      <c r="F3235" s="6" t="n">
        <v>15.6</v>
      </c>
      <c r="G3235" t="n">
        <v>1</v>
      </c>
      <c r="H3235" s="6">
        <f>ROUND(G3235*F3235,2)</f>
        <v/>
      </c>
      <c r="I3235">
        <f>IF(ROUND(H3235-D3235,2)=0,1,0)</f>
        <v/>
      </c>
      <c r="J3235">
        <f>IF(F3235="","none",IF(G3235=1,"carte","multiple"))</f>
        <v/>
      </c>
    </row>
    <row r="3236">
      <c r="A3236" t="inlineStr">
        <is>
          <t>2022-07-22</t>
        </is>
      </c>
      <c r="B3236" t="inlineStr">
        <is>
          <t>19:45</t>
        </is>
      </c>
      <c r="C3236" t="n">
        <v>3012</v>
      </c>
      <c r="D3236" s="6" t="n">
        <v>7.2</v>
      </c>
      <c r="E3236" t="n">
        <v>40146</v>
      </c>
      <c r="F3236" s="6" t="n">
        <v>7.2</v>
      </c>
      <c r="G3236" t="n">
        <v>1</v>
      </c>
      <c r="H3236" s="6">
        <f>ROUND(G3236*F3236,2)</f>
        <v/>
      </c>
      <c r="I3236">
        <f>IF(ROUND(H3236-D3236,2)=0,1,0)</f>
        <v/>
      </c>
      <c r="J3236">
        <f>IF(F3236="","none",IF(G3236=1,"carte","multiple"))</f>
        <v/>
      </c>
    </row>
    <row r="3237">
      <c r="A3237" t="inlineStr">
        <is>
          <t>2022-07-23</t>
        </is>
      </c>
      <c r="B3237" t="inlineStr">
        <is>
          <t>10:36</t>
        </is>
      </c>
      <c r="C3237" t="n">
        <v>3013</v>
      </c>
      <c r="D3237" s="6" t="n">
        <v>3.6</v>
      </c>
      <c r="E3237" t="n">
        <v>40149</v>
      </c>
      <c r="F3237" s="6" t="n">
        <v>3.6</v>
      </c>
      <c r="G3237" t="n">
        <v>1</v>
      </c>
      <c r="H3237" s="6">
        <f>ROUND(G3237*F3237,2)</f>
        <v/>
      </c>
      <c r="I3237">
        <f>IF(ROUND(H3237-D3237,2)=0,1,0)</f>
        <v/>
      </c>
      <c r="J3237">
        <f>IF(F3237="","none",IF(G3237=1,"carte","multiple"))</f>
        <v/>
      </c>
    </row>
    <row r="3238">
      <c r="A3238" t="inlineStr">
        <is>
          <t>2022-07-23</t>
        </is>
      </c>
      <c r="B3238" t="inlineStr">
        <is>
          <t>10:45</t>
        </is>
      </c>
      <c r="C3238" t="n">
        <v>3013</v>
      </c>
      <c r="D3238" s="6" t="n">
        <v>9</v>
      </c>
      <c r="E3238" t="n">
        <v>40150</v>
      </c>
      <c r="F3238" s="6" t="n">
        <v>9</v>
      </c>
      <c r="G3238" t="n">
        <v>1</v>
      </c>
      <c r="H3238" s="6">
        <f>ROUND(G3238*F3238,2)</f>
        <v/>
      </c>
      <c r="I3238">
        <f>IF(ROUND(H3238-D3238,2)=0,1,0)</f>
        <v/>
      </c>
      <c r="J3238">
        <f>IF(F3238="","none",IF(G3238=1,"carte","multiple"))</f>
        <v/>
      </c>
    </row>
    <row r="3239">
      <c r="A3239" t="inlineStr">
        <is>
          <t>2022-07-23</t>
        </is>
      </c>
      <c r="B3239" t="inlineStr">
        <is>
          <t>11:08</t>
        </is>
      </c>
      <c r="C3239" t="n">
        <v>3013</v>
      </c>
      <c r="D3239" s="6" t="n">
        <v>4.4</v>
      </c>
      <c r="E3239" t="n">
        <v>40151</v>
      </c>
      <c r="F3239" s="6" t="n">
        <v>0.4</v>
      </c>
      <c r="G3239" t="n">
        <v>11</v>
      </c>
      <c r="H3239" s="6">
        <f>ROUND(G3239*F3239,2)</f>
        <v/>
      </c>
      <c r="I3239">
        <f>IF(ROUND(H3239-D3239,2)=0,1,0)</f>
        <v/>
      </c>
      <c r="J3239">
        <f>IF(F3239="","none",IF(G3239=1,"carte","multiple"))</f>
        <v/>
      </c>
    </row>
    <row r="3240">
      <c r="A3240" t="inlineStr">
        <is>
          <t>2022-07-23</t>
        </is>
      </c>
      <c r="B3240" t="inlineStr">
        <is>
          <t>11:08</t>
        </is>
      </c>
      <c r="C3240" t="n">
        <v>3013</v>
      </c>
      <c r="D3240" s="6" t="n">
        <v>35.2</v>
      </c>
      <c r="E3240" t="n">
        <v>40152</v>
      </c>
      <c r="F3240" s="6" t="n">
        <v>0.4</v>
      </c>
      <c r="G3240" t="n">
        <v>88</v>
      </c>
      <c r="H3240" s="6">
        <f>ROUND(G3240*F3240,2)</f>
        <v/>
      </c>
      <c r="I3240">
        <f>IF(ROUND(H3240-D3240,2)=0,1,0)</f>
        <v/>
      </c>
      <c r="J3240">
        <f>IF(F3240="","none",IF(G3240=1,"carte","multiple"))</f>
        <v/>
      </c>
    </row>
    <row r="3241">
      <c r="A3241" t="inlineStr">
        <is>
          <t>2022-07-23</t>
        </is>
      </c>
      <c r="B3241" t="inlineStr">
        <is>
          <t>11:08</t>
        </is>
      </c>
      <c r="C3241" t="n">
        <v>3013</v>
      </c>
      <c r="D3241" s="6" t="n">
        <v>7.8</v>
      </c>
      <c r="E3241" t="n">
        <v>40153</v>
      </c>
      <c r="F3241" s="6" t="n">
        <v>7.8</v>
      </c>
      <c r="G3241" t="n">
        <v>1</v>
      </c>
      <c r="H3241" s="6">
        <f>ROUND(G3241*F3241,2)</f>
        <v/>
      </c>
      <c r="I3241">
        <f>IF(ROUND(H3241-D3241,2)=0,1,0)</f>
        <v/>
      </c>
      <c r="J3241">
        <f>IF(F3241="","none",IF(G3241=1,"carte","multiple"))</f>
        <v/>
      </c>
    </row>
    <row r="3242">
      <c r="A3242" t="inlineStr">
        <is>
          <t>2022-07-23</t>
        </is>
      </c>
      <c r="B3242" t="inlineStr">
        <is>
          <t>11:21</t>
        </is>
      </c>
      <c r="C3242" t="n">
        <v>3013</v>
      </c>
      <c r="D3242" s="6" t="n">
        <v>9.800000000000001</v>
      </c>
      <c r="E3242" t="n">
        <v>40154</v>
      </c>
      <c r="F3242" s="6" t="n">
        <v>9.800000000000001</v>
      </c>
      <c r="G3242" t="n">
        <v>1</v>
      </c>
      <c r="H3242" s="6">
        <f>ROUND(G3242*F3242,2)</f>
        <v/>
      </c>
      <c r="I3242">
        <f>IF(ROUND(H3242-D3242,2)=0,1,0)</f>
        <v/>
      </c>
      <c r="J3242">
        <f>IF(F3242="","none",IF(G3242=1,"carte","multiple"))</f>
        <v/>
      </c>
    </row>
    <row r="3243">
      <c r="A3243" t="inlineStr">
        <is>
          <t>2022-07-23</t>
        </is>
      </c>
      <c r="B3243" t="inlineStr">
        <is>
          <t>11:38</t>
        </is>
      </c>
      <c r="C3243" t="n">
        <v>3013</v>
      </c>
      <c r="D3243" s="6" t="n">
        <v>4</v>
      </c>
      <c r="E3243" t="n">
        <v>40155</v>
      </c>
      <c r="F3243" s="6" t="n">
        <v>4</v>
      </c>
      <c r="G3243" t="n">
        <v>1</v>
      </c>
      <c r="H3243" s="6">
        <f>ROUND(G3243*F3243,2)</f>
        <v/>
      </c>
      <c r="I3243">
        <f>IF(ROUND(H3243-D3243,2)=0,1,0)</f>
        <v/>
      </c>
      <c r="J3243">
        <f>IF(F3243="","none",IF(G3243=1,"carte","multiple"))</f>
        <v/>
      </c>
    </row>
    <row r="3244">
      <c r="A3244" t="inlineStr">
        <is>
          <t>2022-07-23</t>
        </is>
      </c>
      <c r="B3244" t="inlineStr">
        <is>
          <t>12:00</t>
        </is>
      </c>
      <c r="C3244" t="n">
        <v>3013</v>
      </c>
      <c r="D3244" s="6" t="n">
        <v>4.9</v>
      </c>
      <c r="E3244" t="n">
        <v>40156</v>
      </c>
      <c r="F3244" s="6" t="n">
        <v>4.9</v>
      </c>
      <c r="G3244" t="n">
        <v>1</v>
      </c>
      <c r="H3244" s="6">
        <f>ROUND(G3244*F3244,2)</f>
        <v/>
      </c>
      <c r="I3244">
        <f>IF(ROUND(H3244-D3244,2)=0,1,0)</f>
        <v/>
      </c>
      <c r="J3244">
        <f>IF(F3244="","none",IF(G3244=1,"carte","multiple"))</f>
        <v/>
      </c>
    </row>
    <row r="3245">
      <c r="A3245" t="inlineStr">
        <is>
          <t>2022-07-23</t>
        </is>
      </c>
      <c r="B3245" t="inlineStr">
        <is>
          <t>12:00</t>
        </is>
      </c>
      <c r="C3245" t="n">
        <v>3013</v>
      </c>
      <c r="D3245" s="6" t="n">
        <v>4.2</v>
      </c>
      <c r="E3245" t="n">
        <v>40157</v>
      </c>
      <c r="F3245" s="6" t="n">
        <v>4.2</v>
      </c>
      <c r="G3245" t="n">
        <v>1</v>
      </c>
      <c r="H3245" s="6">
        <f>ROUND(G3245*F3245,2)</f>
        <v/>
      </c>
      <c r="I3245">
        <f>IF(ROUND(H3245-D3245,2)=0,1,0)</f>
        <v/>
      </c>
      <c r="J3245">
        <f>IF(F3245="","none",IF(G3245=1,"carte","multiple"))</f>
        <v/>
      </c>
    </row>
    <row r="3246">
      <c r="A3246" t="inlineStr">
        <is>
          <t>2022-07-23</t>
        </is>
      </c>
      <c r="B3246" t="inlineStr">
        <is>
          <t>12:00</t>
        </is>
      </c>
      <c r="C3246" t="n">
        <v>3013</v>
      </c>
      <c r="D3246" s="6" t="n">
        <v>3.9</v>
      </c>
      <c r="E3246" t="n">
        <v>40158</v>
      </c>
      <c r="F3246" s="6" t="n">
        <v>3.9</v>
      </c>
      <c r="G3246" t="n">
        <v>1</v>
      </c>
      <c r="H3246" s="6">
        <f>ROUND(G3246*F3246,2)</f>
        <v/>
      </c>
      <c r="I3246">
        <f>IF(ROUND(H3246-D3246,2)=0,1,0)</f>
        <v/>
      </c>
      <c r="J3246">
        <f>IF(F3246="","none",IF(G3246=1,"carte","multiple"))</f>
        <v/>
      </c>
    </row>
    <row r="3247">
      <c r="A3247" t="inlineStr">
        <is>
          <t>2022-07-23</t>
        </is>
      </c>
      <c r="B3247" t="inlineStr">
        <is>
          <t>12:41</t>
        </is>
      </c>
      <c r="C3247" t="n">
        <v>3013</v>
      </c>
      <c r="D3247" s="6" t="n">
        <v>2.4</v>
      </c>
      <c r="E3247" t="n">
        <v>40159</v>
      </c>
      <c r="F3247" s="6" t="n">
        <v>2.4</v>
      </c>
      <c r="G3247" t="n">
        <v>1</v>
      </c>
      <c r="H3247" s="6">
        <f>ROUND(G3247*F3247,2)</f>
        <v/>
      </c>
      <c r="I3247">
        <f>IF(ROUND(H3247-D3247,2)=0,1,0)</f>
        <v/>
      </c>
      <c r="J3247">
        <f>IF(F3247="","none",IF(G3247=1,"carte","multiple"))</f>
        <v/>
      </c>
    </row>
    <row r="3248">
      <c r="A3248" t="inlineStr">
        <is>
          <t>2022-07-23</t>
        </is>
      </c>
      <c r="B3248" t="inlineStr">
        <is>
          <t>12:41</t>
        </is>
      </c>
      <c r="C3248" t="n">
        <v>3013</v>
      </c>
      <c r="D3248" s="6" t="n">
        <v>8.5</v>
      </c>
      <c r="E3248" t="n">
        <v>40160</v>
      </c>
      <c r="F3248" s="6" t="n">
        <v>8.5</v>
      </c>
      <c r="G3248" t="n">
        <v>1</v>
      </c>
      <c r="H3248" s="6">
        <f>ROUND(G3248*F3248,2)</f>
        <v/>
      </c>
      <c r="I3248">
        <f>IF(ROUND(H3248-D3248,2)=0,1,0)</f>
        <v/>
      </c>
      <c r="J3248">
        <f>IF(F3248="","none",IF(G3248=1,"carte","multiple"))</f>
        <v/>
      </c>
    </row>
    <row r="3249">
      <c r="A3249" t="inlineStr">
        <is>
          <t>2022-07-23</t>
        </is>
      </c>
      <c r="B3249" t="inlineStr">
        <is>
          <t>12:41</t>
        </is>
      </c>
      <c r="C3249" t="n">
        <v>3013</v>
      </c>
      <c r="D3249" s="6" t="n">
        <v>17.6</v>
      </c>
      <c r="E3249" t="n">
        <v>40161</v>
      </c>
      <c r="F3249" s="6" t="n">
        <v>17.6</v>
      </c>
      <c r="G3249" t="n">
        <v>1</v>
      </c>
      <c r="H3249" s="6">
        <f>ROUND(G3249*F3249,2)</f>
        <v/>
      </c>
      <c r="I3249">
        <f>IF(ROUND(H3249-D3249,2)=0,1,0)</f>
        <v/>
      </c>
      <c r="J3249">
        <f>IF(F3249="","none",IF(G3249=1,"carte","multiple"))</f>
        <v/>
      </c>
    </row>
    <row r="3250">
      <c r="A3250" t="inlineStr">
        <is>
          <t>2022-07-23</t>
        </is>
      </c>
      <c r="B3250" t="inlineStr">
        <is>
          <t>12:41</t>
        </is>
      </c>
      <c r="C3250" t="n">
        <v>3013</v>
      </c>
      <c r="D3250" s="6" t="n">
        <v>17.6</v>
      </c>
      <c r="E3250" t="n">
        <v>40162</v>
      </c>
      <c r="F3250" s="6" t="n">
        <v>17.6</v>
      </c>
      <c r="G3250" t="n">
        <v>1</v>
      </c>
      <c r="H3250" s="6">
        <f>ROUND(G3250*F3250,2)</f>
        <v/>
      </c>
      <c r="I3250">
        <f>IF(ROUND(H3250-D3250,2)=0,1,0)</f>
        <v/>
      </c>
      <c r="J3250">
        <f>IF(F3250="","none",IF(G3250=1,"carte","multiple"))</f>
        <v/>
      </c>
    </row>
    <row r="3251">
      <c r="A3251" t="inlineStr">
        <is>
          <t>2022-07-23</t>
        </is>
      </c>
      <c r="B3251" t="inlineStr">
        <is>
          <t>12:41</t>
        </is>
      </c>
      <c r="C3251" t="n">
        <v>3013</v>
      </c>
      <c r="D3251" s="6" t="n">
        <v>7.2</v>
      </c>
      <c r="E3251" t="n">
        <v>40163</v>
      </c>
      <c r="F3251" s="6" t="n">
        <v>7.2</v>
      </c>
      <c r="G3251" t="n">
        <v>1</v>
      </c>
      <c r="H3251" s="6">
        <f>ROUND(G3251*F3251,2)</f>
        <v/>
      </c>
      <c r="I3251">
        <f>IF(ROUND(H3251-D3251,2)=0,1,0)</f>
        <v/>
      </c>
      <c r="J3251">
        <f>IF(F3251="","none",IF(G3251=1,"carte","multiple"))</f>
        <v/>
      </c>
    </row>
    <row r="3252">
      <c r="A3252" t="inlineStr">
        <is>
          <t>2022-07-23</t>
        </is>
      </c>
      <c r="B3252" t="inlineStr">
        <is>
          <t>12:41</t>
        </is>
      </c>
      <c r="C3252" t="n">
        <v>3013</v>
      </c>
      <c r="D3252" s="6" t="n">
        <v>7.8</v>
      </c>
      <c r="E3252" t="n">
        <v>40164</v>
      </c>
      <c r="F3252" s="6" t="n">
        <v>7.8</v>
      </c>
      <c r="G3252" t="n">
        <v>1</v>
      </c>
      <c r="H3252" s="6">
        <f>ROUND(G3252*F3252,2)</f>
        <v/>
      </c>
      <c r="I3252">
        <f>IF(ROUND(H3252-D3252,2)=0,1,0)</f>
        <v/>
      </c>
      <c r="J3252">
        <f>IF(F3252="","none",IF(G3252=1,"carte","multiple"))</f>
        <v/>
      </c>
    </row>
    <row r="3253">
      <c r="A3253" t="inlineStr">
        <is>
          <t>2022-07-23</t>
        </is>
      </c>
      <c r="B3253" t="inlineStr">
        <is>
          <t>12:41</t>
        </is>
      </c>
      <c r="C3253" t="n">
        <v>3013</v>
      </c>
      <c r="D3253" s="6" t="n">
        <v>3.9</v>
      </c>
      <c r="E3253" t="n">
        <v>40165</v>
      </c>
      <c r="F3253" s="6" t="n">
        <v>3.9</v>
      </c>
      <c r="G3253" t="n">
        <v>1</v>
      </c>
      <c r="H3253" s="6">
        <f>ROUND(G3253*F3253,2)</f>
        <v/>
      </c>
      <c r="I3253">
        <f>IF(ROUND(H3253-D3253,2)=0,1,0)</f>
        <v/>
      </c>
      <c r="J3253">
        <f>IF(F3253="","none",IF(G3253=1,"carte","multiple"))</f>
        <v/>
      </c>
    </row>
    <row r="3254">
      <c r="A3254" t="inlineStr">
        <is>
          <t>2022-07-23</t>
        </is>
      </c>
      <c r="B3254" t="inlineStr">
        <is>
          <t>12:41</t>
        </is>
      </c>
      <c r="C3254" t="n">
        <v>3013</v>
      </c>
      <c r="D3254" s="6" t="n">
        <v>3.9</v>
      </c>
      <c r="E3254" t="n">
        <v>40166</v>
      </c>
      <c r="F3254" s="6" t="n">
        <v>3.9</v>
      </c>
      <c r="G3254" t="n">
        <v>1</v>
      </c>
      <c r="H3254" s="6">
        <f>ROUND(G3254*F3254,2)</f>
        <v/>
      </c>
      <c r="I3254">
        <f>IF(ROUND(H3254-D3254,2)=0,1,0)</f>
        <v/>
      </c>
      <c r="J3254">
        <f>IF(F3254="","none",IF(G3254=1,"carte","multiple"))</f>
        <v/>
      </c>
    </row>
    <row r="3255">
      <c r="A3255" t="inlineStr">
        <is>
          <t>2022-07-23</t>
        </is>
      </c>
      <c r="B3255" t="inlineStr">
        <is>
          <t>12:55</t>
        </is>
      </c>
      <c r="C3255" t="n">
        <v>3013</v>
      </c>
      <c r="D3255" s="6" t="n">
        <v>2.2</v>
      </c>
      <c r="E3255" t="n">
        <v>40167</v>
      </c>
      <c r="F3255" s="6" t="n">
        <v>2.2</v>
      </c>
      <c r="G3255" t="n">
        <v>1</v>
      </c>
      <c r="H3255" s="6">
        <f>ROUND(G3255*F3255,2)</f>
        <v/>
      </c>
      <c r="I3255">
        <f>IF(ROUND(H3255-D3255,2)=0,1,0)</f>
        <v/>
      </c>
      <c r="J3255">
        <f>IF(F3255="","none",IF(G3255=1,"carte","multiple"))</f>
        <v/>
      </c>
    </row>
    <row r="3256">
      <c r="A3256" t="inlineStr">
        <is>
          <t>2022-07-23</t>
        </is>
      </c>
      <c r="B3256" t="inlineStr">
        <is>
          <t>12:55</t>
        </is>
      </c>
      <c r="C3256" t="n">
        <v>3013</v>
      </c>
      <c r="D3256" s="6" t="n">
        <v>15.9</v>
      </c>
      <c r="E3256" t="n">
        <v>40168</v>
      </c>
      <c r="F3256" s="6" t="n">
        <v>15.9</v>
      </c>
      <c r="G3256" t="n">
        <v>1</v>
      </c>
      <c r="H3256" s="6">
        <f>ROUND(G3256*F3256,2)</f>
        <v/>
      </c>
      <c r="I3256">
        <f>IF(ROUND(H3256-D3256,2)=0,1,0)</f>
        <v/>
      </c>
      <c r="J3256">
        <f>IF(F3256="","none",IF(G3256=1,"carte","multiple"))</f>
        <v/>
      </c>
    </row>
    <row r="3257">
      <c r="A3257" t="inlineStr">
        <is>
          <t>2022-07-23</t>
        </is>
      </c>
      <c r="B3257" t="inlineStr">
        <is>
          <t>12:55</t>
        </is>
      </c>
      <c r="C3257" t="n">
        <v>3013</v>
      </c>
      <c r="D3257" s="6" t="n">
        <v>15.8</v>
      </c>
      <c r="E3257" t="n">
        <v>40169</v>
      </c>
      <c r="F3257" s="6" t="n">
        <v>7.9</v>
      </c>
      <c r="G3257" t="n">
        <v>2</v>
      </c>
      <c r="H3257" s="6">
        <f>ROUND(G3257*F3257,2)</f>
        <v/>
      </c>
      <c r="I3257">
        <f>IF(ROUND(H3257-D3257,2)=0,1,0)</f>
        <v/>
      </c>
      <c r="J3257">
        <f>IF(F3257="","none",IF(G3257=1,"carte","multiple"))</f>
        <v/>
      </c>
    </row>
    <row r="3258">
      <c r="A3258" t="inlineStr">
        <is>
          <t>2022-07-23</t>
        </is>
      </c>
      <c r="B3258" t="inlineStr">
        <is>
          <t>17:52</t>
        </is>
      </c>
      <c r="C3258" t="n">
        <v>3013</v>
      </c>
      <c r="D3258" s="6" t="n">
        <v>3.3</v>
      </c>
      <c r="E3258" t="n">
        <v>40170</v>
      </c>
      <c r="F3258" s="6" t="n">
        <v>3.3</v>
      </c>
      <c r="G3258" t="n">
        <v>1</v>
      </c>
      <c r="H3258" s="6">
        <f>ROUND(G3258*F3258,2)</f>
        <v/>
      </c>
      <c r="I3258">
        <f>IF(ROUND(H3258-D3258,2)=0,1,0)</f>
        <v/>
      </c>
      <c r="J3258">
        <f>IF(F3258="","none",IF(G3258=1,"carte","multiple"))</f>
        <v/>
      </c>
    </row>
    <row r="3259">
      <c r="A3259" t="inlineStr">
        <is>
          <t>2022-07-23</t>
        </is>
      </c>
      <c r="B3259" t="inlineStr">
        <is>
          <t>18:10</t>
        </is>
      </c>
      <c r="C3259" t="n">
        <v>3013</v>
      </c>
      <c r="D3259" s="6" t="n">
        <v>19.8</v>
      </c>
      <c r="E3259" t="n">
        <v>40171</v>
      </c>
      <c r="F3259" s="6" t="n">
        <v>19.8</v>
      </c>
      <c r="G3259" t="n">
        <v>1</v>
      </c>
      <c r="H3259" s="6">
        <f>ROUND(G3259*F3259,2)</f>
        <v/>
      </c>
      <c r="I3259">
        <f>IF(ROUND(H3259-D3259,2)=0,1,0)</f>
        <v/>
      </c>
      <c r="J3259">
        <f>IF(F3259="","none",IF(G3259=1,"carte","multiple"))</f>
        <v/>
      </c>
    </row>
    <row r="3260">
      <c r="A3260" t="inlineStr">
        <is>
          <t>2022-07-23</t>
        </is>
      </c>
      <c r="B3260" t="inlineStr">
        <is>
          <t>18:10</t>
        </is>
      </c>
      <c r="C3260" t="n">
        <v>3013</v>
      </c>
      <c r="D3260" s="6" t="n">
        <v>17.8</v>
      </c>
      <c r="E3260" t="n">
        <v>40172</v>
      </c>
      <c r="F3260" s="6" t="n">
        <v>8.9</v>
      </c>
      <c r="G3260" t="n">
        <v>2</v>
      </c>
      <c r="H3260" s="6">
        <f>ROUND(G3260*F3260,2)</f>
        <v/>
      </c>
      <c r="I3260">
        <f>IF(ROUND(H3260-D3260,2)=0,1,0)</f>
        <v/>
      </c>
      <c r="J3260">
        <f>IF(F3260="","none",IF(G3260=1,"carte","multiple"))</f>
        <v/>
      </c>
    </row>
    <row r="3261">
      <c r="A3261" t="inlineStr">
        <is>
          <t>2022-07-23</t>
        </is>
      </c>
      <c r="B3261" t="inlineStr">
        <is>
          <t>19:08</t>
        </is>
      </c>
      <c r="C3261" t="n">
        <v>3013</v>
      </c>
      <c r="D3261" s="6" t="n">
        <v>15.6</v>
      </c>
      <c r="E3261" t="n">
        <v>40173</v>
      </c>
      <c r="F3261" s="6" t="n">
        <v>15.6</v>
      </c>
      <c r="G3261" t="n">
        <v>1</v>
      </c>
      <c r="H3261" s="6">
        <f>ROUND(G3261*F3261,2)</f>
        <v/>
      </c>
      <c r="I3261">
        <f>IF(ROUND(H3261-D3261,2)=0,1,0)</f>
        <v/>
      </c>
      <c r="J3261">
        <f>IF(F3261="","none",IF(G3261=1,"carte","multiple"))</f>
        <v/>
      </c>
    </row>
    <row r="3262">
      <c r="A3262" t="inlineStr">
        <is>
          <t>2022-07-23</t>
        </is>
      </c>
      <c r="B3262" t="inlineStr">
        <is>
          <t>19:08</t>
        </is>
      </c>
      <c r="C3262" t="n">
        <v>3013</v>
      </c>
      <c r="D3262" s="6" t="n">
        <v>64</v>
      </c>
      <c r="E3262" t="n">
        <v>40174</v>
      </c>
      <c r="F3262" s="6" t="n">
        <v>64</v>
      </c>
      <c r="G3262" t="n">
        <v>1</v>
      </c>
      <c r="H3262" s="6">
        <f>ROUND(G3262*F3262,2)</f>
        <v/>
      </c>
      <c r="I3262">
        <f>IF(ROUND(H3262-D3262,2)=0,1,0)</f>
        <v/>
      </c>
      <c r="J3262">
        <f>IF(F3262="","none",IF(G3262=1,"carte","multiple"))</f>
        <v/>
      </c>
    </row>
    <row r="3263">
      <c r="A3263" t="inlineStr">
        <is>
          <t>2022-07-23</t>
        </is>
      </c>
      <c r="B3263" t="inlineStr">
        <is>
          <t>19:08</t>
        </is>
      </c>
      <c r="C3263" t="n">
        <v>3013</v>
      </c>
      <c r="D3263" s="6" t="n">
        <v>14.9</v>
      </c>
      <c r="E3263" t="n">
        <v>40175</v>
      </c>
      <c r="F3263" s="6" t="n">
        <v>14.9</v>
      </c>
      <c r="G3263" t="n">
        <v>1</v>
      </c>
      <c r="H3263" s="6">
        <f>ROUND(G3263*F3263,2)</f>
        <v/>
      </c>
      <c r="I3263">
        <f>IF(ROUND(H3263-D3263,2)=0,1,0)</f>
        <v/>
      </c>
      <c r="J3263">
        <f>IF(F3263="","none",IF(G3263=1,"carte","multiple"))</f>
        <v/>
      </c>
    </row>
    <row r="3264">
      <c r="A3264" t="inlineStr">
        <is>
          <t>2022-07-23</t>
        </is>
      </c>
      <c r="B3264" t="inlineStr">
        <is>
          <t>19:08</t>
        </is>
      </c>
      <c r="C3264" t="n">
        <v>3013</v>
      </c>
      <c r="D3264" s="6" t="n">
        <v>9.800000000000001</v>
      </c>
      <c r="E3264" t="n">
        <v>40176</v>
      </c>
      <c r="F3264" s="6" t="n">
        <v>9.800000000000001</v>
      </c>
      <c r="G3264" t="n">
        <v>1</v>
      </c>
      <c r="H3264" s="6">
        <f>ROUND(G3264*F3264,2)</f>
        <v/>
      </c>
      <c r="I3264">
        <f>IF(ROUND(H3264-D3264,2)=0,1,0)</f>
        <v/>
      </c>
      <c r="J3264">
        <f>IF(F3264="","none",IF(G3264=1,"carte","multiple"))</f>
        <v/>
      </c>
    </row>
    <row r="3265">
      <c r="A3265" t="inlineStr">
        <is>
          <t>2022-07-23</t>
        </is>
      </c>
      <c r="B3265" t="inlineStr">
        <is>
          <t>19:12</t>
        </is>
      </c>
      <c r="C3265" t="n">
        <v>3013</v>
      </c>
      <c r="D3265" s="6" t="n">
        <v>16.9</v>
      </c>
      <c r="E3265" t="n">
        <v>40177</v>
      </c>
      <c r="F3265" s="6" t="n">
        <v>16.9</v>
      </c>
      <c r="G3265" t="n">
        <v>1</v>
      </c>
      <c r="H3265" s="6">
        <f>ROUND(G3265*F3265,2)</f>
        <v/>
      </c>
      <c r="I3265">
        <f>IF(ROUND(H3265-D3265,2)=0,1,0)</f>
        <v/>
      </c>
      <c r="J3265">
        <f>IF(F3265="","none",IF(G3265=1,"carte","multiple"))</f>
        <v/>
      </c>
    </row>
    <row r="3266">
      <c r="A3266" t="inlineStr">
        <is>
          <t>2022-07-23</t>
        </is>
      </c>
      <c r="B3266" t="inlineStr">
        <is>
          <t>19:14</t>
        </is>
      </c>
      <c r="C3266" t="n">
        <v>3013</v>
      </c>
      <c r="D3266" s="6" t="n">
        <v>19</v>
      </c>
      <c r="E3266" t="n">
        <v>40178</v>
      </c>
      <c r="F3266" s="6" t="n">
        <v>19</v>
      </c>
      <c r="G3266" t="n">
        <v>1</v>
      </c>
      <c r="H3266" s="6">
        <f>ROUND(G3266*F3266,2)</f>
        <v/>
      </c>
      <c r="I3266">
        <f>IF(ROUND(H3266-D3266,2)=0,1,0)</f>
        <v/>
      </c>
      <c r="J3266">
        <f>IF(F3266="","none",IF(G3266=1,"carte","multiple"))</f>
        <v/>
      </c>
    </row>
    <row r="3267">
      <c r="A3267" t="inlineStr">
        <is>
          <t>2022-07-23</t>
        </is>
      </c>
      <c r="B3267" t="inlineStr">
        <is>
          <t>19:25</t>
        </is>
      </c>
      <c r="C3267" t="n">
        <v>3013</v>
      </c>
      <c r="D3267" s="6" t="n">
        <v>4.4</v>
      </c>
      <c r="E3267" t="n">
        <v>40179</v>
      </c>
      <c r="F3267" s="6" t="n">
        <v>0.4</v>
      </c>
      <c r="G3267" t="n">
        <v>11</v>
      </c>
      <c r="H3267" s="6">
        <f>ROUND(G3267*F3267,2)</f>
        <v/>
      </c>
      <c r="I3267">
        <f>IF(ROUND(H3267-D3267,2)=0,1,0)</f>
        <v/>
      </c>
      <c r="J3267">
        <f>IF(F3267="","none",IF(G3267=1,"carte","multiple"))</f>
        <v/>
      </c>
    </row>
    <row r="3268">
      <c r="A3268" t="inlineStr">
        <is>
          <t>2022-07-23</t>
        </is>
      </c>
      <c r="B3268" t="inlineStr">
        <is>
          <t>19:25</t>
        </is>
      </c>
      <c r="C3268" t="n">
        <v>3013</v>
      </c>
      <c r="D3268" s="6" t="n">
        <v>15.8</v>
      </c>
      <c r="E3268" t="n">
        <v>40180</v>
      </c>
      <c r="F3268" s="6" t="n">
        <v>7.9</v>
      </c>
      <c r="G3268" t="n">
        <v>2</v>
      </c>
      <c r="H3268" s="6">
        <f>ROUND(G3268*F3268,2)</f>
        <v/>
      </c>
      <c r="I3268">
        <f>IF(ROUND(H3268-D3268,2)=0,1,0)</f>
        <v/>
      </c>
      <c r="J3268">
        <f>IF(F3268="","none",IF(G3268=1,"carte","multiple"))</f>
        <v/>
      </c>
    </row>
    <row r="3269">
      <c r="A3269" t="inlineStr">
        <is>
          <t>2022-07-23</t>
        </is>
      </c>
      <c r="B3269" t="inlineStr">
        <is>
          <t>19:25</t>
        </is>
      </c>
      <c r="C3269" t="n">
        <v>3013</v>
      </c>
      <c r="D3269" s="6" t="n">
        <v>9.800000000000001</v>
      </c>
      <c r="E3269" t="n">
        <v>40181</v>
      </c>
      <c r="F3269" s="6" t="n">
        <v>9.800000000000001</v>
      </c>
      <c r="G3269" t="n">
        <v>1</v>
      </c>
      <c r="H3269" s="6">
        <f>ROUND(G3269*F3269,2)</f>
        <v/>
      </c>
      <c r="I3269">
        <f>IF(ROUND(H3269-D3269,2)=0,1,0)</f>
        <v/>
      </c>
      <c r="J3269">
        <f>IF(F3269="","none",IF(G3269=1,"carte","multiple"))</f>
        <v/>
      </c>
    </row>
    <row r="3270">
      <c r="A3270" t="inlineStr">
        <is>
          <t>2022-07-23</t>
        </is>
      </c>
      <c r="B3270" t="inlineStr">
        <is>
          <t>19:25</t>
        </is>
      </c>
      <c r="C3270" t="n">
        <v>3013</v>
      </c>
      <c r="D3270" s="6" t="n">
        <v>17.6</v>
      </c>
      <c r="E3270" t="n">
        <v>40182</v>
      </c>
      <c r="F3270" s="6" t="n">
        <v>17.6</v>
      </c>
      <c r="G3270" t="n">
        <v>1</v>
      </c>
      <c r="H3270" s="6">
        <f>ROUND(G3270*F3270,2)</f>
        <v/>
      </c>
      <c r="I3270">
        <f>IF(ROUND(H3270-D3270,2)=0,1,0)</f>
        <v/>
      </c>
      <c r="J3270">
        <f>IF(F3270="","none",IF(G3270=1,"carte","multiple"))</f>
        <v/>
      </c>
    </row>
    <row r="3271">
      <c r="A3271" t="inlineStr">
        <is>
          <t>2022-07-23</t>
        </is>
      </c>
      <c r="B3271" t="inlineStr">
        <is>
          <t>19:25</t>
        </is>
      </c>
      <c r="C3271" t="n">
        <v>3013</v>
      </c>
      <c r="D3271" s="6" t="n">
        <v>2.9</v>
      </c>
      <c r="E3271" t="n">
        <v>40183</v>
      </c>
      <c r="F3271" s="6" t="n">
        <v>2.9</v>
      </c>
      <c r="G3271" t="n">
        <v>1</v>
      </c>
      <c r="H3271" s="6">
        <f>ROUND(G3271*F3271,2)</f>
        <v/>
      </c>
      <c r="I3271">
        <f>IF(ROUND(H3271-D3271,2)=0,1,0)</f>
        <v/>
      </c>
      <c r="J3271">
        <f>IF(F3271="","none",IF(G3271=1,"carte","multiple"))</f>
        <v/>
      </c>
    </row>
    <row r="3272">
      <c r="A3272" t="inlineStr">
        <is>
          <t>2022-07-23</t>
        </is>
      </c>
      <c r="B3272" t="inlineStr">
        <is>
          <t>19:25</t>
        </is>
      </c>
      <c r="C3272" t="n">
        <v>3013</v>
      </c>
      <c r="D3272" s="6" t="n">
        <v>3.9</v>
      </c>
      <c r="E3272" t="n">
        <v>40184</v>
      </c>
      <c r="F3272" s="6" t="n">
        <v>3.9</v>
      </c>
      <c r="G3272" t="n">
        <v>1</v>
      </c>
      <c r="H3272" s="6">
        <f>ROUND(G3272*F3272,2)</f>
        <v/>
      </c>
      <c r="I3272">
        <f>IF(ROUND(H3272-D3272,2)=0,1,0)</f>
        <v/>
      </c>
      <c r="J3272">
        <f>IF(F3272="","none",IF(G3272=1,"carte","multiple"))</f>
        <v/>
      </c>
    </row>
    <row r="3273">
      <c r="A3273" t="inlineStr">
        <is>
          <t>2022-07-23</t>
        </is>
      </c>
      <c r="B3273" t="inlineStr">
        <is>
          <t>19:25</t>
        </is>
      </c>
      <c r="C3273" t="n">
        <v>3013</v>
      </c>
      <c r="D3273" s="6" t="n">
        <v>2.9</v>
      </c>
      <c r="E3273" t="n">
        <v>40185</v>
      </c>
      <c r="F3273" s="6" t="n">
        <v>2.9</v>
      </c>
      <c r="G3273" t="n">
        <v>1</v>
      </c>
      <c r="H3273" s="6">
        <f>ROUND(G3273*F3273,2)</f>
        <v/>
      </c>
      <c r="I3273">
        <f>IF(ROUND(H3273-D3273,2)=0,1,0)</f>
        <v/>
      </c>
      <c r="J3273">
        <f>IF(F3273="","none",IF(G3273=1,"carte","multiple"))</f>
        <v/>
      </c>
    </row>
    <row r="3274">
      <c r="A3274" t="inlineStr">
        <is>
          <t>2022-07-23</t>
        </is>
      </c>
      <c r="B3274" t="inlineStr">
        <is>
          <t>19:25</t>
        </is>
      </c>
      <c r="C3274" t="n">
        <v>3013</v>
      </c>
      <c r="D3274" s="6" t="n">
        <v>4.9</v>
      </c>
      <c r="E3274" t="n">
        <v>40186</v>
      </c>
      <c r="F3274" s="6" t="n">
        <v>4.9</v>
      </c>
      <c r="G3274" t="n">
        <v>1</v>
      </c>
      <c r="H3274" s="6">
        <f>ROUND(G3274*F3274,2)</f>
        <v/>
      </c>
      <c r="I3274">
        <f>IF(ROUND(H3274-D3274,2)=0,1,0)</f>
        <v/>
      </c>
      <c r="J3274">
        <f>IF(F3274="","none",IF(G3274=1,"carte","multiple"))</f>
        <v/>
      </c>
    </row>
    <row r="3275">
      <c r="A3275" t="inlineStr">
        <is>
          <t>2022-07-23</t>
        </is>
      </c>
      <c r="B3275" t="inlineStr">
        <is>
          <t>19:25</t>
        </is>
      </c>
      <c r="C3275" t="n">
        <v>3013</v>
      </c>
      <c r="D3275" s="6" t="n">
        <v>3.9</v>
      </c>
      <c r="E3275" t="n">
        <v>40187</v>
      </c>
      <c r="F3275" s="6" t="n">
        <v>3.9</v>
      </c>
      <c r="G3275" t="n">
        <v>1</v>
      </c>
      <c r="H3275" s="6">
        <f>ROUND(G3275*F3275,2)</f>
        <v/>
      </c>
      <c r="I3275">
        <f>IF(ROUND(H3275-D3275,2)=0,1,0)</f>
        <v/>
      </c>
      <c r="J3275">
        <f>IF(F3275="","none",IF(G3275=1,"carte","multiple"))</f>
        <v/>
      </c>
    </row>
    <row r="3276">
      <c r="A3276" t="inlineStr">
        <is>
          <t>2022-07-24</t>
        </is>
      </c>
      <c r="B3276" t="inlineStr">
        <is>
          <t>12:51</t>
        </is>
      </c>
      <c r="C3276" t="n">
        <v>3014</v>
      </c>
      <c r="D3276" s="6" t="n">
        <v>4.4</v>
      </c>
      <c r="E3276" t="n">
        <v>40190</v>
      </c>
      <c r="F3276" s="6" t="n">
        <v>0.4</v>
      </c>
      <c r="G3276" t="n">
        <v>11</v>
      </c>
      <c r="H3276" s="6">
        <f>ROUND(G3276*F3276,2)</f>
        <v/>
      </c>
      <c r="I3276">
        <f>IF(ROUND(H3276-D3276,2)=0,1,0)</f>
        <v/>
      </c>
      <c r="J3276">
        <f>IF(F3276="","none",IF(G3276=1,"carte","multiple"))</f>
        <v/>
      </c>
    </row>
    <row r="3277">
      <c r="A3277" t="inlineStr">
        <is>
          <t>2022-07-24</t>
        </is>
      </c>
      <c r="B3277" t="inlineStr">
        <is>
          <t>12:51</t>
        </is>
      </c>
      <c r="C3277" t="n">
        <v>3014</v>
      </c>
      <c r="D3277" s="6" t="n">
        <v>47.7</v>
      </c>
      <c r="E3277" t="n">
        <v>40191</v>
      </c>
      <c r="F3277" s="6" t="n">
        <v>0.9</v>
      </c>
      <c r="G3277" t="n">
        <v>53</v>
      </c>
      <c r="H3277" s="6">
        <f>ROUND(G3277*F3277,2)</f>
        <v/>
      </c>
      <c r="I3277">
        <f>IF(ROUND(H3277-D3277,2)=0,1,0)</f>
        <v/>
      </c>
      <c r="J3277">
        <f>IF(F3277="","none",IF(G3277=1,"carte","multiple"))</f>
        <v/>
      </c>
    </row>
    <row r="3278">
      <c r="A3278" t="inlineStr">
        <is>
          <t>2022-07-24</t>
        </is>
      </c>
      <c r="B3278" t="inlineStr">
        <is>
          <t>12:51</t>
        </is>
      </c>
      <c r="C3278" t="n">
        <v>3014</v>
      </c>
      <c r="D3278" s="6" t="n">
        <v>6.9</v>
      </c>
      <c r="E3278" t="n">
        <v>40192</v>
      </c>
      <c r="F3278" s="6" t="n">
        <v>6.9</v>
      </c>
      <c r="G3278" t="n">
        <v>1</v>
      </c>
      <c r="H3278" s="6">
        <f>ROUND(G3278*F3278,2)</f>
        <v/>
      </c>
      <c r="I3278">
        <f>IF(ROUND(H3278-D3278,2)=0,1,0)</f>
        <v/>
      </c>
      <c r="J3278">
        <f>IF(F3278="","none",IF(G3278=1,"carte","multiple"))</f>
        <v/>
      </c>
    </row>
    <row r="3279">
      <c r="A3279" t="inlineStr">
        <is>
          <t>2022-07-24</t>
        </is>
      </c>
      <c r="B3279" t="inlineStr">
        <is>
          <t>12:51</t>
        </is>
      </c>
      <c r="C3279" t="n">
        <v>3014</v>
      </c>
      <c r="D3279" s="6" t="n">
        <v>2.2</v>
      </c>
      <c r="E3279" t="n">
        <v>40193</v>
      </c>
      <c r="F3279" s="6" t="n">
        <v>2.2</v>
      </c>
      <c r="G3279" t="n">
        <v>1</v>
      </c>
      <c r="H3279" s="6">
        <f>ROUND(G3279*F3279,2)</f>
        <v/>
      </c>
      <c r="I3279">
        <f>IF(ROUND(H3279-D3279,2)=0,1,0)</f>
        <v/>
      </c>
      <c r="J3279">
        <f>IF(F3279="","none",IF(G3279=1,"carte","multiple"))</f>
        <v/>
      </c>
    </row>
    <row r="3280">
      <c r="A3280" t="inlineStr">
        <is>
          <t>2022-07-24</t>
        </is>
      </c>
      <c r="B3280" t="inlineStr">
        <is>
          <t>17:30</t>
        </is>
      </c>
      <c r="C3280" t="n">
        <v>3014</v>
      </c>
      <c r="D3280" s="6" t="n">
        <v>3.9</v>
      </c>
      <c r="E3280" t="n">
        <v>40196</v>
      </c>
      <c r="F3280" s="6" t="n">
        <v>3.9</v>
      </c>
      <c r="G3280" t="n">
        <v>1</v>
      </c>
      <c r="H3280" s="6">
        <f>ROUND(G3280*F3280,2)</f>
        <v/>
      </c>
      <c r="I3280">
        <f>IF(ROUND(H3280-D3280,2)=0,1,0)</f>
        <v/>
      </c>
      <c r="J3280">
        <f>IF(F3280="","none",IF(G3280=1,"carte","multiple"))</f>
        <v/>
      </c>
    </row>
    <row r="3281">
      <c r="A3281" t="inlineStr">
        <is>
          <t>2022-07-24</t>
        </is>
      </c>
      <c r="B3281" t="inlineStr">
        <is>
          <t>18:14</t>
        </is>
      </c>
      <c r="C3281" t="n">
        <v>3014</v>
      </c>
      <c r="D3281" s="6" t="n">
        <v>19.9</v>
      </c>
      <c r="E3281" t="n">
        <v>40197</v>
      </c>
      <c r="F3281" s="6" t="n">
        <v>19.9</v>
      </c>
      <c r="G3281" t="n">
        <v>1</v>
      </c>
      <c r="H3281" s="6">
        <f>ROUND(G3281*F3281,2)</f>
        <v/>
      </c>
      <c r="I3281">
        <f>IF(ROUND(H3281-D3281,2)=0,1,0)</f>
        <v/>
      </c>
      <c r="J3281">
        <f>IF(F3281="","none",IF(G3281=1,"carte","multiple"))</f>
        <v/>
      </c>
    </row>
    <row r="3282">
      <c r="A3282" t="inlineStr">
        <is>
          <t>2022-07-24</t>
        </is>
      </c>
      <c r="B3282" t="inlineStr">
        <is>
          <t>18:15</t>
        </is>
      </c>
      <c r="C3282" t="n">
        <v>3014</v>
      </c>
      <c r="D3282" s="6" t="n">
        <v>31.2</v>
      </c>
      <c r="E3282" t="n">
        <v>40198</v>
      </c>
      <c r="F3282" s="6" t="n">
        <v>0.4</v>
      </c>
      <c r="G3282" t="n">
        <v>78</v>
      </c>
      <c r="H3282" s="6">
        <f>ROUND(G3282*F3282,2)</f>
        <v/>
      </c>
      <c r="I3282">
        <f>IF(ROUND(H3282-D3282,2)=0,1,0)</f>
        <v/>
      </c>
      <c r="J3282">
        <f>IF(F3282="","none",IF(G3282=1,"carte","multiple"))</f>
        <v/>
      </c>
    </row>
    <row r="3283">
      <c r="A3283" t="inlineStr">
        <is>
          <t>2022-07-24</t>
        </is>
      </c>
      <c r="B3283" t="inlineStr">
        <is>
          <t>18:40</t>
        </is>
      </c>
      <c r="C3283" t="n">
        <v>3014</v>
      </c>
      <c r="D3283" s="6" t="n">
        <v>2.2</v>
      </c>
      <c r="E3283" t="n">
        <v>40199</v>
      </c>
      <c r="F3283" s="6" t="n">
        <v>2.2</v>
      </c>
      <c r="G3283" t="n">
        <v>1</v>
      </c>
      <c r="H3283" s="6">
        <f>ROUND(G3283*F3283,2)</f>
        <v/>
      </c>
      <c r="I3283">
        <f>IF(ROUND(H3283-D3283,2)=0,1,0)</f>
        <v/>
      </c>
      <c r="J3283">
        <f>IF(F3283="","none",IF(G3283=1,"carte","multiple"))</f>
        <v/>
      </c>
    </row>
    <row r="3284">
      <c r="A3284" t="inlineStr">
        <is>
          <t>2022-07-24</t>
        </is>
      </c>
      <c r="B3284" t="inlineStr">
        <is>
          <t>18:40</t>
        </is>
      </c>
      <c r="C3284" t="n">
        <v>3014</v>
      </c>
      <c r="D3284" s="6" t="n">
        <v>13.8</v>
      </c>
      <c r="E3284" t="n">
        <v>40200</v>
      </c>
      <c r="F3284" s="6" t="n">
        <v>4.6</v>
      </c>
      <c r="G3284" t="n">
        <v>3</v>
      </c>
      <c r="H3284" s="6">
        <f>ROUND(G3284*F3284,2)</f>
        <v/>
      </c>
      <c r="I3284">
        <f>IF(ROUND(H3284-D3284,2)=0,1,0)</f>
        <v/>
      </c>
      <c r="J3284">
        <f>IF(F3284="","none",IF(G3284=1,"carte","multiple"))</f>
        <v/>
      </c>
    </row>
    <row r="3285">
      <c r="A3285" t="inlineStr">
        <is>
          <t>2022-07-24</t>
        </is>
      </c>
      <c r="B3285" t="inlineStr">
        <is>
          <t>18:40</t>
        </is>
      </c>
      <c r="C3285" t="n">
        <v>3014</v>
      </c>
      <c r="D3285" s="6" t="n">
        <v>19.9</v>
      </c>
      <c r="E3285" t="n">
        <v>40201</v>
      </c>
      <c r="F3285" s="6" t="n">
        <v>19.9</v>
      </c>
      <c r="G3285" t="n">
        <v>1</v>
      </c>
      <c r="H3285" s="6">
        <f>ROUND(G3285*F3285,2)</f>
        <v/>
      </c>
      <c r="I3285">
        <f>IF(ROUND(H3285-D3285,2)=0,1,0)</f>
        <v/>
      </c>
      <c r="J3285">
        <f>IF(F3285="","none",IF(G3285=1,"carte","multiple"))</f>
        <v/>
      </c>
    </row>
    <row r="3286">
      <c r="A3286" t="inlineStr">
        <is>
          <t>2022-07-24</t>
        </is>
      </c>
      <c r="B3286" t="inlineStr">
        <is>
          <t>18:40</t>
        </is>
      </c>
      <c r="C3286" t="n">
        <v>3014</v>
      </c>
      <c r="D3286" s="6" t="n">
        <v>19.9</v>
      </c>
      <c r="E3286" t="n">
        <v>40202</v>
      </c>
      <c r="F3286" s="6" t="n">
        <v>19.9</v>
      </c>
      <c r="G3286" t="n">
        <v>1</v>
      </c>
      <c r="H3286" s="6">
        <f>ROUND(G3286*F3286,2)</f>
        <v/>
      </c>
      <c r="I3286">
        <f>IF(ROUND(H3286-D3286,2)=0,1,0)</f>
        <v/>
      </c>
      <c r="J3286">
        <f>IF(F3286="","none",IF(G3286=1,"carte","multiple"))</f>
        <v/>
      </c>
    </row>
    <row r="3287">
      <c r="A3287" t="inlineStr">
        <is>
          <t>2022-07-24</t>
        </is>
      </c>
      <c r="B3287" t="inlineStr">
        <is>
          <t>18:40</t>
        </is>
      </c>
      <c r="C3287" t="n">
        <v>3014</v>
      </c>
      <c r="D3287" s="6" t="n">
        <v>5.9</v>
      </c>
      <c r="E3287" t="n">
        <v>40203</v>
      </c>
      <c r="F3287" s="6" t="n">
        <v>5.9</v>
      </c>
      <c r="G3287" t="n">
        <v>1</v>
      </c>
      <c r="H3287" s="6">
        <f>ROUND(G3287*F3287,2)</f>
        <v/>
      </c>
      <c r="I3287">
        <f>IF(ROUND(H3287-D3287,2)=0,1,0)</f>
        <v/>
      </c>
      <c r="J3287">
        <f>IF(F3287="","none",IF(G3287=1,"carte","multiple"))</f>
        <v/>
      </c>
    </row>
    <row r="3288">
      <c r="A3288" t="inlineStr">
        <is>
          <t>2022-07-24</t>
        </is>
      </c>
      <c r="B3288" t="inlineStr">
        <is>
          <t>18:40</t>
        </is>
      </c>
      <c r="C3288" t="n">
        <v>3014</v>
      </c>
      <c r="D3288" s="6" t="n">
        <v>15.8</v>
      </c>
      <c r="E3288" t="n">
        <v>40204</v>
      </c>
      <c r="F3288" s="6" t="n">
        <v>7.9</v>
      </c>
      <c r="G3288" t="n">
        <v>2</v>
      </c>
      <c r="H3288" s="6">
        <f>ROUND(G3288*F3288,2)</f>
        <v/>
      </c>
      <c r="I3288">
        <f>IF(ROUND(H3288-D3288,2)=0,1,0)</f>
        <v/>
      </c>
      <c r="J3288">
        <f>IF(F3288="","none",IF(G3288=1,"carte","multiple"))</f>
        <v/>
      </c>
    </row>
    <row r="3289">
      <c r="A3289" t="inlineStr">
        <is>
          <t>2022-07-24</t>
        </is>
      </c>
      <c r="B3289" t="inlineStr">
        <is>
          <t>18:58</t>
        </is>
      </c>
      <c r="C3289" t="n">
        <v>3014</v>
      </c>
      <c r="D3289" s="6" t="n">
        <v>7.8</v>
      </c>
      <c r="E3289" t="n">
        <v>40205</v>
      </c>
      <c r="F3289" s="6" t="n">
        <v>7.8</v>
      </c>
      <c r="G3289" t="n">
        <v>1</v>
      </c>
      <c r="H3289" s="6">
        <f>ROUND(G3289*F3289,2)</f>
        <v/>
      </c>
      <c r="I3289">
        <f>IF(ROUND(H3289-D3289,2)=0,1,0)</f>
        <v/>
      </c>
      <c r="J3289">
        <f>IF(F3289="","none",IF(G3289=1,"carte","multiple"))</f>
        <v/>
      </c>
    </row>
    <row r="3290">
      <c r="A3290" t="inlineStr">
        <is>
          <t>2022-07-24</t>
        </is>
      </c>
      <c r="B3290" t="inlineStr">
        <is>
          <t>19:22</t>
        </is>
      </c>
      <c r="C3290" t="n">
        <v>3014</v>
      </c>
      <c r="D3290" s="6" t="n">
        <v>2.2</v>
      </c>
      <c r="E3290" t="n">
        <v>40206</v>
      </c>
      <c r="F3290" s="6" t="n">
        <v>2.2</v>
      </c>
      <c r="G3290" t="n">
        <v>1</v>
      </c>
      <c r="H3290" s="6">
        <f>ROUND(G3290*F3290,2)</f>
        <v/>
      </c>
      <c r="I3290">
        <f>IF(ROUND(H3290-D3290,2)=0,1,0)</f>
        <v/>
      </c>
      <c r="J3290">
        <f>IF(F3290="","none",IF(G3290=1,"carte","multiple"))</f>
        <v/>
      </c>
    </row>
    <row r="3291">
      <c r="A3291" t="inlineStr">
        <is>
          <t>2022-07-24</t>
        </is>
      </c>
      <c r="B3291" t="inlineStr">
        <is>
          <t>19:22</t>
        </is>
      </c>
      <c r="C3291" t="n">
        <v>3014</v>
      </c>
      <c r="D3291" s="6" t="n">
        <v>3.9</v>
      </c>
      <c r="E3291" t="n">
        <v>40207</v>
      </c>
      <c r="F3291" s="6" t="n">
        <v>3.9</v>
      </c>
      <c r="G3291" t="n">
        <v>1</v>
      </c>
      <c r="H3291" s="6">
        <f>ROUND(G3291*F3291,2)</f>
        <v/>
      </c>
      <c r="I3291">
        <f>IF(ROUND(H3291-D3291,2)=0,1,0)</f>
        <v/>
      </c>
      <c r="J3291">
        <f>IF(F3291="","none",IF(G3291=1,"carte","multiple"))</f>
        <v/>
      </c>
    </row>
    <row r="3292">
      <c r="A3292" t="inlineStr">
        <is>
          <t>2022-07-24</t>
        </is>
      </c>
      <c r="B3292" t="inlineStr">
        <is>
          <t>19:22</t>
        </is>
      </c>
      <c r="C3292" t="n">
        <v>3014</v>
      </c>
      <c r="D3292" s="6" t="n">
        <v>10.5</v>
      </c>
      <c r="E3292" t="n">
        <v>40208</v>
      </c>
      <c r="F3292" s="6" t="n">
        <v>10.5</v>
      </c>
      <c r="G3292" t="n">
        <v>1</v>
      </c>
      <c r="H3292" s="6">
        <f>ROUND(G3292*F3292,2)</f>
        <v/>
      </c>
      <c r="I3292">
        <f>IF(ROUND(H3292-D3292,2)=0,1,0)</f>
        <v/>
      </c>
      <c r="J3292">
        <f>IF(F3292="","none",IF(G3292=1,"carte","multiple"))</f>
        <v/>
      </c>
    </row>
    <row r="3293">
      <c r="A3293" t="inlineStr">
        <is>
          <t>2022-07-24</t>
        </is>
      </c>
      <c r="B3293" t="inlineStr">
        <is>
          <t>19:22</t>
        </is>
      </c>
      <c r="C3293" t="n">
        <v>3014</v>
      </c>
      <c r="D3293" s="6" t="n">
        <v>14.5</v>
      </c>
      <c r="E3293" t="n">
        <v>40209</v>
      </c>
      <c r="F3293" s="6" t="n">
        <v>14.5</v>
      </c>
      <c r="G3293" t="n">
        <v>1</v>
      </c>
      <c r="H3293" s="6">
        <f>ROUND(G3293*F3293,2)</f>
        <v/>
      </c>
      <c r="I3293">
        <f>IF(ROUND(H3293-D3293,2)=0,1,0)</f>
        <v/>
      </c>
      <c r="J3293">
        <f>IF(F3293="","none",IF(G3293=1,"carte","multiple"))</f>
        <v/>
      </c>
    </row>
    <row r="3294">
      <c r="A3294" t="inlineStr">
        <is>
          <t>2022-07-24</t>
        </is>
      </c>
      <c r="B3294" t="inlineStr">
        <is>
          <t>19:22</t>
        </is>
      </c>
      <c r="C3294" t="n">
        <v>3014</v>
      </c>
      <c r="D3294" s="6" t="n">
        <v>16.9</v>
      </c>
      <c r="E3294" t="n">
        <v>40210</v>
      </c>
      <c r="F3294" s="6" t="n">
        <v>16.9</v>
      </c>
      <c r="G3294" t="n">
        <v>1</v>
      </c>
      <c r="H3294" s="6">
        <f>ROUND(G3294*F3294,2)</f>
        <v/>
      </c>
      <c r="I3294">
        <f>IF(ROUND(H3294-D3294,2)=0,1,0)</f>
        <v/>
      </c>
      <c r="J3294">
        <f>IF(F3294="","none",IF(G3294=1,"carte","multiple"))</f>
        <v/>
      </c>
    </row>
    <row r="3295">
      <c r="A3295" t="inlineStr">
        <is>
          <t>2022-07-24</t>
        </is>
      </c>
      <c r="B3295" t="inlineStr">
        <is>
          <t>19:22</t>
        </is>
      </c>
      <c r="C3295" t="n">
        <v>3014</v>
      </c>
      <c r="D3295" s="6" t="n">
        <v>32.8</v>
      </c>
      <c r="E3295" t="n">
        <v>40211</v>
      </c>
      <c r="F3295" s="6" t="n">
        <v>0.4</v>
      </c>
      <c r="G3295" t="n">
        <v>82</v>
      </c>
      <c r="H3295" s="6">
        <f>ROUND(G3295*F3295,2)</f>
        <v/>
      </c>
      <c r="I3295">
        <f>IF(ROUND(H3295-D3295,2)=0,1,0)</f>
        <v/>
      </c>
      <c r="J3295">
        <f>IF(F3295="","none",IF(G3295=1,"carte","multiple"))</f>
        <v/>
      </c>
    </row>
    <row r="3296">
      <c r="A3296" t="inlineStr">
        <is>
          <t>2022-07-24</t>
        </is>
      </c>
      <c r="B3296" t="inlineStr">
        <is>
          <t>19:22</t>
        </is>
      </c>
      <c r="C3296" t="n">
        <v>3014</v>
      </c>
      <c r="D3296" s="6" t="n">
        <v>3.6</v>
      </c>
      <c r="E3296" t="n">
        <v>40212</v>
      </c>
      <c r="F3296" s="6" t="n">
        <v>3.6</v>
      </c>
      <c r="G3296" t="n">
        <v>1</v>
      </c>
      <c r="H3296" s="6">
        <f>ROUND(G3296*F3296,2)</f>
        <v/>
      </c>
      <c r="I3296">
        <f>IF(ROUND(H3296-D3296,2)=0,1,0)</f>
        <v/>
      </c>
      <c r="J3296">
        <f>IF(F3296="","none",IF(G3296=1,"carte","multiple"))</f>
        <v/>
      </c>
    </row>
    <row r="3297">
      <c r="A3297" t="inlineStr">
        <is>
          <t>2022-07-24</t>
        </is>
      </c>
      <c r="B3297" t="inlineStr">
        <is>
          <t>19:22</t>
        </is>
      </c>
      <c r="C3297" t="n">
        <v>3014</v>
      </c>
      <c r="D3297" s="6" t="n">
        <v>8</v>
      </c>
      <c r="E3297" t="n">
        <v>40213</v>
      </c>
      <c r="F3297" s="6" t="n">
        <v>8</v>
      </c>
      <c r="G3297" t="n">
        <v>1</v>
      </c>
      <c r="H3297" s="6">
        <f>ROUND(G3297*F3297,2)</f>
        <v/>
      </c>
      <c r="I3297">
        <f>IF(ROUND(H3297-D3297,2)=0,1,0)</f>
        <v/>
      </c>
      <c r="J3297">
        <f>IF(F3297="","none",IF(G3297=1,"carte","multiple"))</f>
        <v/>
      </c>
    </row>
    <row r="3298">
      <c r="A3298" t="inlineStr">
        <is>
          <t>2022-07-24</t>
        </is>
      </c>
      <c r="B3298" t="inlineStr">
        <is>
          <t>19:22</t>
        </is>
      </c>
      <c r="C3298" t="n">
        <v>3014</v>
      </c>
      <c r="D3298" s="6" t="n">
        <v>3.9</v>
      </c>
      <c r="E3298" t="n">
        <v>40214</v>
      </c>
      <c r="F3298" s="6" t="n">
        <v>3.9</v>
      </c>
      <c r="G3298" t="n">
        <v>1</v>
      </c>
      <c r="H3298" s="6">
        <f>ROUND(G3298*F3298,2)</f>
        <v/>
      </c>
      <c r="I3298">
        <f>IF(ROUND(H3298-D3298,2)=0,1,0)</f>
        <v/>
      </c>
      <c r="J3298">
        <f>IF(F3298="","none",IF(G3298=1,"carte","multiple"))</f>
        <v/>
      </c>
    </row>
    <row r="3299">
      <c r="A3299" t="inlineStr">
        <is>
          <t>2022-07-24</t>
        </is>
      </c>
      <c r="B3299" t="inlineStr">
        <is>
          <t>19:23</t>
        </is>
      </c>
      <c r="C3299" t="n">
        <v>3014</v>
      </c>
      <c r="D3299" s="6" t="n">
        <v>7.2</v>
      </c>
      <c r="E3299" t="n">
        <v>40215</v>
      </c>
      <c r="F3299" s="6" t="n">
        <v>7.2</v>
      </c>
      <c r="G3299" t="n">
        <v>1</v>
      </c>
      <c r="H3299" s="6">
        <f>ROUND(G3299*F3299,2)</f>
        <v/>
      </c>
      <c r="I3299">
        <f>IF(ROUND(H3299-D3299,2)=0,1,0)</f>
        <v/>
      </c>
      <c r="J3299">
        <f>IF(F3299="","none",IF(G3299=1,"carte","multiple"))</f>
        <v/>
      </c>
    </row>
    <row r="3300">
      <c r="A3300" t="inlineStr">
        <is>
          <t>2022-07-24</t>
        </is>
      </c>
      <c r="B3300" t="inlineStr">
        <is>
          <t>19:31</t>
        </is>
      </c>
      <c r="C3300" t="n">
        <v>3014</v>
      </c>
      <c r="D3300" s="6" t="n">
        <v>1.8</v>
      </c>
      <c r="E3300" t="n">
        <v>40216</v>
      </c>
      <c r="F3300" s="6" t="n">
        <v>1.8</v>
      </c>
      <c r="G3300" t="n">
        <v>1</v>
      </c>
      <c r="H3300" s="6">
        <f>ROUND(G3300*F3300,2)</f>
        <v/>
      </c>
      <c r="I3300">
        <f>IF(ROUND(H3300-D3300,2)=0,1,0)</f>
        <v/>
      </c>
      <c r="J3300">
        <f>IF(F3300="","none",IF(G3300=1,"carte","multiple"))</f>
        <v/>
      </c>
    </row>
    <row r="3301">
      <c r="A3301" t="inlineStr">
        <is>
          <t>2022-07-24</t>
        </is>
      </c>
      <c r="B3301" t="inlineStr">
        <is>
          <t>19:43</t>
        </is>
      </c>
      <c r="C3301" t="n">
        <v>3014</v>
      </c>
      <c r="D3301" s="6" t="n">
        <v>13.8</v>
      </c>
      <c r="E3301" t="n">
        <v>40217</v>
      </c>
      <c r="F3301" s="6" t="n">
        <v>4.6</v>
      </c>
      <c r="G3301" t="n">
        <v>3</v>
      </c>
      <c r="H3301" s="6">
        <f>ROUND(G3301*F3301,2)</f>
        <v/>
      </c>
      <c r="I3301">
        <f>IF(ROUND(H3301-D3301,2)=0,1,0)</f>
        <v/>
      </c>
      <c r="J3301">
        <f>IF(F3301="","none",IF(G3301=1,"carte","multiple"))</f>
        <v/>
      </c>
    </row>
    <row r="3302">
      <c r="A3302" t="inlineStr">
        <is>
          <t>2022-07-24</t>
        </is>
      </c>
      <c r="B3302" t="inlineStr">
        <is>
          <t>19:43</t>
        </is>
      </c>
      <c r="C3302" t="n">
        <v>3014</v>
      </c>
      <c r="D3302" s="6" t="n">
        <v>10.7</v>
      </c>
      <c r="E3302" t="n">
        <v>40218</v>
      </c>
      <c r="F3302" s="6" t="n">
        <v>10.7</v>
      </c>
      <c r="G3302" t="n">
        <v>1</v>
      </c>
      <c r="H3302" s="6">
        <f>ROUND(G3302*F3302,2)</f>
        <v/>
      </c>
      <c r="I3302">
        <f>IF(ROUND(H3302-D3302,2)=0,1,0)</f>
        <v/>
      </c>
      <c r="J3302">
        <f>IF(F3302="","none",IF(G3302=1,"carte","multiple"))</f>
        <v/>
      </c>
    </row>
    <row r="3303">
      <c r="A3303" t="inlineStr">
        <is>
          <t>2022-07-24</t>
        </is>
      </c>
      <c r="B3303" t="inlineStr">
        <is>
          <t>19:43</t>
        </is>
      </c>
      <c r="C3303" t="n">
        <v>3014</v>
      </c>
      <c r="D3303" s="6" t="n">
        <v>7.5</v>
      </c>
      <c r="E3303" t="n">
        <v>40219</v>
      </c>
      <c r="F3303" s="6" t="n">
        <v>7.5</v>
      </c>
      <c r="G3303" t="n">
        <v>1</v>
      </c>
      <c r="H3303" s="6">
        <f>ROUND(G3303*F3303,2)</f>
        <v/>
      </c>
      <c r="I3303">
        <f>IF(ROUND(H3303-D3303,2)=0,1,0)</f>
        <v/>
      </c>
      <c r="J3303">
        <f>IF(F3303="","none",IF(G3303=1,"carte","multiple"))</f>
        <v/>
      </c>
    </row>
    <row r="3304">
      <c r="A3304" t="inlineStr">
        <is>
          <t>2022-07-24</t>
        </is>
      </c>
      <c r="B3304" t="inlineStr">
        <is>
          <t>19:43</t>
        </is>
      </c>
      <c r="C3304" t="n">
        <v>3014</v>
      </c>
      <c r="D3304" s="6" t="n">
        <v>19</v>
      </c>
      <c r="E3304" t="n">
        <v>40220</v>
      </c>
      <c r="F3304" s="6" t="n">
        <v>19</v>
      </c>
      <c r="G3304" t="n">
        <v>1</v>
      </c>
      <c r="H3304" s="6">
        <f>ROUND(G3304*F3304,2)</f>
        <v/>
      </c>
      <c r="I3304">
        <f>IF(ROUND(H3304-D3304,2)=0,1,0)</f>
        <v/>
      </c>
      <c r="J3304">
        <f>IF(F3304="","none",IF(G3304=1,"carte","multiple"))</f>
        <v/>
      </c>
    </row>
    <row r="3305">
      <c r="A3305" t="inlineStr">
        <is>
          <t>2022-07-24</t>
        </is>
      </c>
      <c r="B3305" t="inlineStr">
        <is>
          <t>19:43</t>
        </is>
      </c>
      <c r="C3305" t="n">
        <v>3014</v>
      </c>
      <c r="D3305" s="6" t="n">
        <v>17.6</v>
      </c>
      <c r="E3305" t="n">
        <v>40221</v>
      </c>
      <c r="F3305" s="6" t="n">
        <v>17.6</v>
      </c>
      <c r="G3305" t="n">
        <v>1</v>
      </c>
      <c r="H3305" s="6">
        <f>ROUND(G3305*F3305,2)</f>
        <v/>
      </c>
      <c r="I3305">
        <f>IF(ROUND(H3305-D3305,2)=0,1,0)</f>
        <v/>
      </c>
      <c r="J3305">
        <f>IF(F3305="","none",IF(G3305=1,"carte","multiple"))</f>
        <v/>
      </c>
    </row>
    <row r="3306">
      <c r="A3306" t="inlineStr">
        <is>
          <t>2022-07-24</t>
        </is>
      </c>
      <c r="B3306" t="inlineStr">
        <is>
          <t>19:43</t>
        </is>
      </c>
      <c r="C3306" t="n">
        <v>3014</v>
      </c>
      <c r="D3306" s="6" t="n">
        <v>17.6</v>
      </c>
      <c r="E3306" t="n">
        <v>40222</v>
      </c>
      <c r="F3306" s="6" t="n">
        <v>17.6</v>
      </c>
      <c r="G3306" t="n">
        <v>1</v>
      </c>
      <c r="H3306" s="6">
        <f>ROUND(G3306*F3306,2)</f>
        <v/>
      </c>
      <c r="I3306">
        <f>IF(ROUND(H3306-D3306,2)=0,1,0)</f>
        <v/>
      </c>
      <c r="J3306">
        <f>IF(F3306="","none",IF(G3306=1,"carte","multiple"))</f>
        <v/>
      </c>
    </row>
    <row r="3307">
      <c r="A3307" t="inlineStr">
        <is>
          <t>2022-07-24</t>
        </is>
      </c>
      <c r="B3307" t="inlineStr">
        <is>
          <t>19:43</t>
        </is>
      </c>
      <c r="C3307" t="n">
        <v>3014</v>
      </c>
      <c r="D3307" s="6" t="n">
        <v>17.6</v>
      </c>
      <c r="E3307" t="n">
        <v>40223</v>
      </c>
      <c r="F3307" s="6" t="n">
        <v>17.6</v>
      </c>
      <c r="G3307" t="n">
        <v>1</v>
      </c>
      <c r="H3307" s="6">
        <f>ROUND(G3307*F3307,2)</f>
        <v/>
      </c>
      <c r="I3307">
        <f>IF(ROUND(H3307-D3307,2)=0,1,0)</f>
        <v/>
      </c>
      <c r="J3307">
        <f>IF(F3307="","none",IF(G3307=1,"carte","multiple"))</f>
        <v/>
      </c>
    </row>
    <row r="3308">
      <c r="A3308" t="inlineStr">
        <is>
          <t>2022-07-24</t>
        </is>
      </c>
      <c r="B3308" t="inlineStr">
        <is>
          <t>19:43</t>
        </is>
      </c>
      <c r="C3308" t="n">
        <v>3014</v>
      </c>
      <c r="D3308" s="6" t="n">
        <v>9.9</v>
      </c>
      <c r="E3308" t="n">
        <v>40224</v>
      </c>
      <c r="F3308" s="6" t="n">
        <v>9.9</v>
      </c>
      <c r="G3308" t="n">
        <v>1</v>
      </c>
      <c r="H3308" s="6">
        <f>ROUND(G3308*F3308,2)</f>
        <v/>
      </c>
      <c r="I3308">
        <f>IF(ROUND(H3308-D3308,2)=0,1,0)</f>
        <v/>
      </c>
      <c r="J3308">
        <f>IF(F3308="","none",IF(G3308=1,"carte","multiple"))</f>
        <v/>
      </c>
    </row>
    <row r="3309">
      <c r="A3309" t="inlineStr">
        <is>
          <t>2022-07-24</t>
        </is>
      </c>
      <c r="B3309" t="inlineStr">
        <is>
          <t>19:43</t>
        </is>
      </c>
      <c r="C3309" t="n">
        <v>3014</v>
      </c>
      <c r="D3309" s="6" t="n">
        <v>3.9</v>
      </c>
      <c r="E3309" t="n">
        <v>40225</v>
      </c>
      <c r="F3309" s="6" t="n">
        <v>3.9</v>
      </c>
      <c r="G3309" t="n">
        <v>1</v>
      </c>
      <c r="H3309" s="6">
        <f>ROUND(G3309*F3309,2)</f>
        <v/>
      </c>
      <c r="I3309">
        <f>IF(ROUND(H3309-D3309,2)=0,1,0)</f>
        <v/>
      </c>
      <c r="J3309">
        <f>IF(F3309="","none",IF(G3309=1,"carte","multiple"))</f>
        <v/>
      </c>
    </row>
    <row r="3310">
      <c r="A3310" t="inlineStr">
        <is>
          <t>2022-07-24</t>
        </is>
      </c>
      <c r="B3310" t="inlineStr">
        <is>
          <t>19:43</t>
        </is>
      </c>
      <c r="C3310" t="n">
        <v>3014</v>
      </c>
      <c r="D3310" s="6" t="n">
        <v>7.8</v>
      </c>
      <c r="E3310" t="n">
        <v>40226</v>
      </c>
      <c r="F3310" s="6" t="n">
        <v>7.8</v>
      </c>
      <c r="G3310" t="n">
        <v>1</v>
      </c>
      <c r="H3310" s="6">
        <f>ROUND(G3310*F3310,2)</f>
        <v/>
      </c>
      <c r="I3310">
        <f>IF(ROUND(H3310-D3310,2)=0,1,0)</f>
        <v/>
      </c>
      <c r="J3310">
        <f>IF(F3310="","none",IF(G3310=1,"carte","multiple"))</f>
        <v/>
      </c>
    </row>
    <row r="3311">
      <c r="A3311" t="inlineStr">
        <is>
          <t>2022-07-24</t>
        </is>
      </c>
      <c r="B3311" t="inlineStr">
        <is>
          <t>20:11</t>
        </is>
      </c>
      <c r="C3311" t="n">
        <v>3014</v>
      </c>
      <c r="D3311" s="6" t="n">
        <v>2</v>
      </c>
      <c r="E3311" t="n">
        <v>40227</v>
      </c>
      <c r="F3311" s="6" t="n">
        <v>2</v>
      </c>
      <c r="G3311" t="n">
        <v>1</v>
      </c>
      <c r="H3311" s="6">
        <f>ROUND(G3311*F3311,2)</f>
        <v/>
      </c>
      <c r="I3311">
        <f>IF(ROUND(H3311-D3311,2)=0,1,0)</f>
        <v/>
      </c>
      <c r="J3311">
        <f>IF(F3311="","none",IF(G3311=1,"carte","multiple"))</f>
        <v/>
      </c>
    </row>
    <row r="3312">
      <c r="A3312" t="inlineStr">
        <is>
          <t>2022-07-24</t>
        </is>
      </c>
      <c r="B3312" t="inlineStr">
        <is>
          <t>20:11</t>
        </is>
      </c>
      <c r="C3312" t="n">
        <v>3014</v>
      </c>
      <c r="D3312" s="6" t="n">
        <v>5.9</v>
      </c>
      <c r="E3312" t="n">
        <v>40228</v>
      </c>
      <c r="F3312" s="6" t="n">
        <v>5.9</v>
      </c>
      <c r="G3312" t="n">
        <v>1</v>
      </c>
      <c r="H3312" s="6">
        <f>ROUND(G3312*F3312,2)</f>
        <v/>
      </c>
      <c r="I3312">
        <f>IF(ROUND(H3312-D3312,2)=0,1,0)</f>
        <v/>
      </c>
      <c r="J3312">
        <f>IF(F3312="","none",IF(G3312=1,"carte","multiple"))</f>
        <v/>
      </c>
    </row>
    <row r="3313">
      <c r="A3313" t="inlineStr">
        <is>
          <t>2022-07-24</t>
        </is>
      </c>
      <c r="B3313" t="inlineStr">
        <is>
          <t>20:11</t>
        </is>
      </c>
      <c r="C3313" t="n">
        <v>3014</v>
      </c>
      <c r="D3313" s="6" t="n">
        <v>17.6</v>
      </c>
      <c r="E3313" t="n">
        <v>40229</v>
      </c>
      <c r="F3313" s="6" t="n">
        <v>17.6</v>
      </c>
      <c r="G3313" t="n">
        <v>1</v>
      </c>
      <c r="H3313" s="6">
        <f>ROUND(G3313*F3313,2)</f>
        <v/>
      </c>
      <c r="I3313">
        <f>IF(ROUND(H3313-D3313,2)=0,1,0)</f>
        <v/>
      </c>
      <c r="J3313">
        <f>IF(F3313="","none",IF(G3313=1,"carte","multiple"))</f>
        <v/>
      </c>
    </row>
    <row r="3314">
      <c r="A3314" t="inlineStr">
        <is>
          <t>2022-07-24</t>
        </is>
      </c>
      <c r="B3314" t="inlineStr">
        <is>
          <t>20:11</t>
        </is>
      </c>
      <c r="C3314" t="n">
        <v>3014</v>
      </c>
      <c r="D3314" s="6" t="n">
        <v>19</v>
      </c>
      <c r="E3314" t="n">
        <v>40230</v>
      </c>
      <c r="F3314" s="6" t="n">
        <v>19</v>
      </c>
      <c r="G3314" t="n">
        <v>1</v>
      </c>
      <c r="H3314" s="6">
        <f>ROUND(G3314*F3314,2)</f>
        <v/>
      </c>
      <c r="I3314">
        <f>IF(ROUND(H3314-D3314,2)=0,1,0)</f>
        <v/>
      </c>
      <c r="J3314">
        <f>IF(F3314="","none",IF(G3314=1,"carte","multiple"))</f>
        <v/>
      </c>
    </row>
    <row r="3315">
      <c r="A3315" t="inlineStr">
        <is>
          <t>2022-07-24</t>
        </is>
      </c>
      <c r="B3315" t="inlineStr">
        <is>
          <t>20:11</t>
        </is>
      </c>
      <c r="C3315" t="n">
        <v>3014</v>
      </c>
      <c r="D3315" s="6" t="n">
        <v>4</v>
      </c>
      <c r="E3315" t="n">
        <v>40231</v>
      </c>
      <c r="F3315" s="6" t="n">
        <v>4</v>
      </c>
      <c r="G3315" t="n">
        <v>1</v>
      </c>
      <c r="H3315" s="6">
        <f>ROUND(G3315*F3315,2)</f>
        <v/>
      </c>
      <c r="I3315">
        <f>IF(ROUND(H3315-D3315,2)=0,1,0)</f>
        <v/>
      </c>
      <c r="J3315">
        <f>IF(F3315="","none",IF(G3315=1,"carte","multiple"))</f>
        <v/>
      </c>
    </row>
    <row r="3316">
      <c r="A3316" t="inlineStr">
        <is>
          <t>2022-07-24</t>
        </is>
      </c>
      <c r="B3316" t="inlineStr">
        <is>
          <t>20:11</t>
        </is>
      </c>
      <c r="C3316" t="n">
        <v>3014</v>
      </c>
      <c r="D3316" s="6" t="n">
        <v>9.800000000000001</v>
      </c>
      <c r="E3316" t="n">
        <v>40232</v>
      </c>
      <c r="F3316" s="6" t="n">
        <v>9.800000000000001</v>
      </c>
      <c r="G3316" t="n">
        <v>1</v>
      </c>
      <c r="H3316" s="6">
        <f>ROUND(G3316*F3316,2)</f>
        <v/>
      </c>
      <c r="I3316">
        <f>IF(ROUND(H3316-D3316,2)=0,1,0)</f>
        <v/>
      </c>
      <c r="J3316">
        <f>IF(F3316="","none",IF(G3316=1,"carte","multiple"))</f>
        <v/>
      </c>
    </row>
    <row r="3317">
      <c r="A3317" t="inlineStr">
        <is>
          <t>2022-07-26</t>
        </is>
      </c>
      <c r="B3317" t="inlineStr">
        <is>
          <t>11:05</t>
        </is>
      </c>
      <c r="C3317" t="n">
        <v>3015</v>
      </c>
      <c r="D3317" s="6" t="n">
        <v>17.6</v>
      </c>
      <c r="E3317" t="n">
        <v>40235</v>
      </c>
      <c r="F3317" s="6" t="n">
        <v>17.6</v>
      </c>
      <c r="G3317" t="n">
        <v>1</v>
      </c>
      <c r="H3317" s="6">
        <f>ROUND(G3317*F3317,2)</f>
        <v/>
      </c>
      <c r="I3317">
        <f>IF(ROUND(H3317-D3317,2)=0,1,0)</f>
        <v/>
      </c>
      <c r="J3317">
        <f>IF(F3317="","none",IF(G3317=1,"carte","multiple"))</f>
        <v/>
      </c>
    </row>
    <row r="3318">
      <c r="A3318" t="inlineStr">
        <is>
          <t>2022-07-26</t>
        </is>
      </c>
      <c r="B3318" t="inlineStr">
        <is>
          <t>11:26</t>
        </is>
      </c>
      <c r="C3318" t="n">
        <v>3015</v>
      </c>
      <c r="D3318" s="6" t="n">
        <v>2.2</v>
      </c>
      <c r="E3318" t="n">
        <v>40236</v>
      </c>
      <c r="F3318" s="6" t="n">
        <v>2.2</v>
      </c>
      <c r="G3318" t="n">
        <v>1</v>
      </c>
      <c r="H3318" s="6">
        <f>ROUND(G3318*F3318,2)</f>
        <v/>
      </c>
      <c r="I3318">
        <f>IF(ROUND(H3318-D3318,2)=0,1,0)</f>
        <v/>
      </c>
      <c r="J3318">
        <f>IF(F3318="","none",IF(G3318=1,"carte","multiple"))</f>
        <v/>
      </c>
    </row>
    <row r="3319">
      <c r="A3319" t="inlineStr">
        <is>
          <t>2022-07-26</t>
        </is>
      </c>
      <c r="B3319" t="inlineStr">
        <is>
          <t>11:26</t>
        </is>
      </c>
      <c r="C3319" t="n">
        <v>3015</v>
      </c>
      <c r="D3319" s="6" t="n">
        <v>30</v>
      </c>
      <c r="E3319" t="n">
        <v>40237</v>
      </c>
      <c r="F3319" s="6" t="n">
        <v>30</v>
      </c>
      <c r="G3319" t="n">
        <v>1</v>
      </c>
      <c r="H3319" s="6">
        <f>ROUND(G3319*F3319,2)</f>
        <v/>
      </c>
      <c r="I3319">
        <f>IF(ROUND(H3319-D3319,2)=0,1,0)</f>
        <v/>
      </c>
      <c r="J3319">
        <f>IF(F3319="","none",IF(G3319=1,"carte","multiple"))</f>
        <v/>
      </c>
    </row>
    <row r="3320">
      <c r="A3320" t="inlineStr">
        <is>
          <t>2022-07-26</t>
        </is>
      </c>
      <c r="B3320" t="inlineStr">
        <is>
          <t>11:26</t>
        </is>
      </c>
      <c r="C3320" t="n">
        <v>3015</v>
      </c>
      <c r="D3320" s="6" t="n">
        <v>9.800000000000001</v>
      </c>
      <c r="E3320" t="n">
        <v>40238</v>
      </c>
      <c r="F3320" s="6" t="n">
        <v>9.800000000000001</v>
      </c>
      <c r="G3320" t="n">
        <v>1</v>
      </c>
      <c r="H3320" s="6">
        <f>ROUND(G3320*F3320,2)</f>
        <v/>
      </c>
      <c r="I3320">
        <f>IF(ROUND(H3320-D3320,2)=0,1,0)</f>
        <v/>
      </c>
      <c r="J3320">
        <f>IF(F3320="","none",IF(G3320=1,"carte","multiple"))</f>
        <v/>
      </c>
    </row>
    <row r="3321">
      <c r="A3321" t="inlineStr">
        <is>
          <t>2022-07-26</t>
        </is>
      </c>
      <c r="B3321" t="inlineStr">
        <is>
          <t>11:28</t>
        </is>
      </c>
      <c r="C3321" t="n">
        <v>3015</v>
      </c>
      <c r="D3321" s="6" t="n">
        <v>6.9</v>
      </c>
      <c r="E3321" t="n">
        <v>40239</v>
      </c>
      <c r="F3321" s="6" t="n">
        <v>6.9</v>
      </c>
      <c r="G3321" t="n">
        <v>1</v>
      </c>
      <c r="H3321" s="6">
        <f>ROUND(G3321*F3321,2)</f>
        <v/>
      </c>
      <c r="I3321">
        <f>IF(ROUND(H3321-D3321,2)=0,1,0)</f>
        <v/>
      </c>
      <c r="J3321">
        <f>IF(F3321="","none",IF(G3321=1,"carte","multiple"))</f>
        <v/>
      </c>
    </row>
    <row r="3322">
      <c r="A3322" t="inlineStr">
        <is>
          <t>2022-07-26</t>
        </is>
      </c>
      <c r="B3322" t="inlineStr">
        <is>
          <t>11:28</t>
        </is>
      </c>
      <c r="C3322" t="n">
        <v>3015</v>
      </c>
      <c r="D3322" s="6" t="n">
        <v>3.9</v>
      </c>
      <c r="E3322" t="n">
        <v>40240</v>
      </c>
      <c r="F3322" s="6" t="n">
        <v>3.9</v>
      </c>
      <c r="G3322" t="n">
        <v>1</v>
      </c>
      <c r="H3322" s="6">
        <f>ROUND(G3322*F3322,2)</f>
        <v/>
      </c>
      <c r="I3322">
        <f>IF(ROUND(H3322-D3322,2)=0,1,0)</f>
        <v/>
      </c>
      <c r="J3322">
        <f>IF(F3322="","none",IF(G3322=1,"carte","multiple"))</f>
        <v/>
      </c>
    </row>
    <row r="3323">
      <c r="A3323" t="inlineStr">
        <is>
          <t>2022-07-26</t>
        </is>
      </c>
      <c r="B3323" t="inlineStr">
        <is>
          <t>11:28</t>
        </is>
      </c>
      <c r="C3323" t="n">
        <v>3015</v>
      </c>
      <c r="D3323" s="6" t="n">
        <v>17.6</v>
      </c>
      <c r="E3323" t="n">
        <v>40241</v>
      </c>
      <c r="F3323" s="6" t="n">
        <v>17.6</v>
      </c>
      <c r="G3323" t="n">
        <v>1</v>
      </c>
      <c r="H3323" s="6">
        <f>ROUND(G3323*F3323,2)</f>
        <v/>
      </c>
      <c r="I3323">
        <f>IF(ROUND(H3323-D3323,2)=0,1,0)</f>
        <v/>
      </c>
      <c r="J3323">
        <f>IF(F3323="","none",IF(G3323=1,"carte","multiple"))</f>
        <v/>
      </c>
    </row>
    <row r="3324">
      <c r="A3324" t="inlineStr">
        <is>
          <t>2022-07-26</t>
        </is>
      </c>
      <c r="B3324" t="inlineStr">
        <is>
          <t>11:28</t>
        </is>
      </c>
      <c r="C3324" t="n">
        <v>3015</v>
      </c>
      <c r="D3324" s="6" t="n">
        <v>17.6</v>
      </c>
      <c r="E3324" t="n">
        <v>40242</v>
      </c>
      <c r="F3324" s="6" t="n">
        <v>17.6</v>
      </c>
      <c r="G3324" t="n">
        <v>1</v>
      </c>
      <c r="H3324" s="6">
        <f>ROUND(G3324*F3324,2)</f>
        <v/>
      </c>
      <c r="I3324">
        <f>IF(ROUND(H3324-D3324,2)=0,1,0)</f>
        <v/>
      </c>
      <c r="J3324">
        <f>IF(F3324="","none",IF(G3324=1,"carte","multiple"))</f>
        <v/>
      </c>
    </row>
    <row r="3325">
      <c r="A3325" t="inlineStr">
        <is>
          <t>2022-07-26</t>
        </is>
      </c>
      <c r="B3325" t="inlineStr">
        <is>
          <t>11:28</t>
        </is>
      </c>
      <c r="C3325" t="n">
        <v>3015</v>
      </c>
      <c r="D3325" s="6" t="n">
        <v>19.9</v>
      </c>
      <c r="E3325" t="n">
        <v>40243</v>
      </c>
      <c r="F3325" s="6" t="n">
        <v>19.9</v>
      </c>
      <c r="G3325" t="n">
        <v>1</v>
      </c>
      <c r="H3325" s="6">
        <f>ROUND(G3325*F3325,2)</f>
        <v/>
      </c>
      <c r="I3325">
        <f>IF(ROUND(H3325-D3325,2)=0,1,0)</f>
        <v/>
      </c>
      <c r="J3325">
        <f>IF(F3325="","none",IF(G3325=1,"carte","multiple"))</f>
        <v/>
      </c>
    </row>
    <row r="3326">
      <c r="A3326" t="inlineStr">
        <is>
          <t>2022-07-26</t>
        </is>
      </c>
      <c r="B3326" t="inlineStr">
        <is>
          <t>11:28</t>
        </is>
      </c>
      <c r="C3326" t="n">
        <v>3015</v>
      </c>
      <c r="D3326" s="6" t="n">
        <v>12.6</v>
      </c>
      <c r="E3326" t="n">
        <v>40244</v>
      </c>
      <c r="F3326" s="6" t="n">
        <v>0.9</v>
      </c>
      <c r="G3326" t="n">
        <v>14</v>
      </c>
      <c r="H3326" s="6">
        <f>ROUND(G3326*F3326,2)</f>
        <v/>
      </c>
      <c r="I3326">
        <f>IF(ROUND(H3326-D3326,2)=0,1,0)</f>
        <v/>
      </c>
      <c r="J3326">
        <f>IF(F3326="","none",IF(G3326=1,"carte","multiple"))</f>
        <v/>
      </c>
    </row>
    <row r="3327">
      <c r="A3327" t="inlineStr">
        <is>
          <t>2022-07-26</t>
        </is>
      </c>
      <c r="B3327" t="inlineStr">
        <is>
          <t>11:34</t>
        </is>
      </c>
      <c r="C3327" t="n">
        <v>3015</v>
      </c>
      <c r="D3327" s="6" t="n">
        <v>9.9</v>
      </c>
      <c r="E3327" t="n">
        <v>40245</v>
      </c>
      <c r="F3327" s="6" t="n">
        <v>9.9</v>
      </c>
      <c r="G3327" t="n">
        <v>1</v>
      </c>
      <c r="H3327" s="6">
        <f>ROUND(G3327*F3327,2)</f>
        <v/>
      </c>
      <c r="I3327">
        <f>IF(ROUND(H3327-D3327,2)=0,1,0)</f>
        <v/>
      </c>
      <c r="J3327">
        <f>IF(F3327="","none",IF(G3327=1,"carte","multiple"))</f>
        <v/>
      </c>
    </row>
    <row r="3328">
      <c r="A3328" t="inlineStr">
        <is>
          <t>2022-07-26</t>
        </is>
      </c>
      <c r="B3328" t="inlineStr">
        <is>
          <t>11:38</t>
        </is>
      </c>
      <c r="C3328" t="n">
        <v>3015</v>
      </c>
      <c r="D3328" s="6" t="n">
        <v>5.2</v>
      </c>
      <c r="E3328" t="n">
        <v>40246</v>
      </c>
      <c r="F3328" s="6" t="n">
        <v>5.2</v>
      </c>
      <c r="G3328" t="n">
        <v>1</v>
      </c>
      <c r="H3328" s="6">
        <f>ROUND(G3328*F3328,2)</f>
        <v/>
      </c>
      <c r="I3328">
        <f>IF(ROUND(H3328-D3328,2)=0,1,0)</f>
        <v/>
      </c>
      <c r="J3328">
        <f>IF(F3328="","none",IF(G3328=1,"carte","multiple"))</f>
        <v/>
      </c>
    </row>
    <row r="3329">
      <c r="A3329" t="inlineStr">
        <is>
          <t>2022-07-26</t>
        </is>
      </c>
      <c r="B3329" t="inlineStr">
        <is>
          <t>11:46</t>
        </is>
      </c>
      <c r="C3329" t="n">
        <v>3015</v>
      </c>
      <c r="D3329" s="6" t="n">
        <v>64</v>
      </c>
      <c r="E3329" t="n">
        <v>40247</v>
      </c>
      <c r="F3329" s="6" t="n">
        <v>64</v>
      </c>
      <c r="G3329" t="n">
        <v>1</v>
      </c>
      <c r="H3329" s="6">
        <f>ROUND(G3329*F3329,2)</f>
        <v/>
      </c>
      <c r="I3329">
        <f>IF(ROUND(H3329-D3329,2)=0,1,0)</f>
        <v/>
      </c>
      <c r="J3329">
        <f>IF(F3329="","none",IF(G3329=1,"carte","multiple"))</f>
        <v/>
      </c>
    </row>
    <row r="3330">
      <c r="A3330" t="inlineStr">
        <is>
          <t>2022-07-26</t>
        </is>
      </c>
      <c r="B3330" t="inlineStr">
        <is>
          <t>11:47</t>
        </is>
      </c>
      <c r="C3330" t="n">
        <v>3015</v>
      </c>
      <c r="D3330" s="6" t="n">
        <v>14.4</v>
      </c>
      <c r="E3330" t="n">
        <v>40248</v>
      </c>
      <c r="F3330" s="6" t="n">
        <v>0.4</v>
      </c>
      <c r="G3330" t="n">
        <v>36</v>
      </c>
      <c r="H3330" s="6">
        <f>ROUND(G3330*F3330,2)</f>
        <v/>
      </c>
      <c r="I3330">
        <f>IF(ROUND(H3330-D3330,2)=0,1,0)</f>
        <v/>
      </c>
      <c r="J3330">
        <f>IF(F3330="","none",IF(G3330=1,"carte","multiple"))</f>
        <v/>
      </c>
    </row>
    <row r="3331">
      <c r="A3331" t="inlineStr">
        <is>
          <t>2022-07-26</t>
        </is>
      </c>
      <c r="B3331" t="inlineStr">
        <is>
          <t>12:10</t>
        </is>
      </c>
      <c r="C3331" t="n">
        <v>3015</v>
      </c>
      <c r="D3331" s="6" t="n">
        <v>2.2</v>
      </c>
      <c r="E3331" t="n">
        <v>40249</v>
      </c>
      <c r="F3331" s="6" t="n">
        <v>2.2</v>
      </c>
      <c r="G3331" t="n">
        <v>1</v>
      </c>
      <c r="H3331" s="6">
        <f>ROUND(G3331*F3331,2)</f>
        <v/>
      </c>
      <c r="I3331">
        <f>IF(ROUND(H3331-D3331,2)=0,1,0)</f>
        <v/>
      </c>
      <c r="J3331">
        <f>IF(F3331="","none",IF(G3331=1,"carte","multiple"))</f>
        <v/>
      </c>
    </row>
    <row r="3332">
      <c r="A3332" t="inlineStr">
        <is>
          <t>2022-07-26</t>
        </is>
      </c>
      <c r="B3332" t="inlineStr">
        <is>
          <t>12:10</t>
        </is>
      </c>
      <c r="C3332" t="n">
        <v>3015</v>
      </c>
      <c r="D3332" s="6" t="n">
        <v>22</v>
      </c>
      <c r="E3332" t="n">
        <v>40250</v>
      </c>
      <c r="F3332" s="6" t="n">
        <v>0.4</v>
      </c>
      <c r="G3332" t="n">
        <v>55</v>
      </c>
      <c r="H3332" s="6">
        <f>ROUND(G3332*F3332,2)</f>
        <v/>
      </c>
      <c r="I3332">
        <f>IF(ROUND(H3332-D3332,2)=0,1,0)</f>
        <v/>
      </c>
      <c r="J3332">
        <f>IF(F3332="","none",IF(G3332=1,"carte","multiple"))</f>
        <v/>
      </c>
    </row>
    <row r="3333">
      <c r="A3333" t="inlineStr">
        <is>
          <t>2022-07-26</t>
        </is>
      </c>
      <c r="B3333" t="inlineStr">
        <is>
          <t>12:10</t>
        </is>
      </c>
      <c r="C3333" t="n">
        <v>3015</v>
      </c>
      <c r="D3333" s="6" t="n">
        <v>4</v>
      </c>
      <c r="E3333" t="n">
        <v>40251</v>
      </c>
      <c r="F3333" s="6" t="n">
        <v>4</v>
      </c>
      <c r="G3333" t="n">
        <v>1</v>
      </c>
      <c r="H3333" s="6">
        <f>ROUND(G3333*F3333,2)</f>
        <v/>
      </c>
      <c r="I3333">
        <f>IF(ROUND(H3333-D3333,2)=0,1,0)</f>
        <v/>
      </c>
      <c r="J3333">
        <f>IF(F3333="","none",IF(G3333=1,"carte","multiple"))</f>
        <v/>
      </c>
    </row>
    <row r="3334">
      <c r="A3334" t="inlineStr">
        <is>
          <t>2022-07-26</t>
        </is>
      </c>
      <c r="B3334" t="inlineStr">
        <is>
          <t>18:43</t>
        </is>
      </c>
      <c r="C3334" t="n">
        <v>3015</v>
      </c>
      <c r="D3334" s="6" t="n">
        <v>85.8</v>
      </c>
      <c r="E3334" t="n">
        <v>40253</v>
      </c>
      <c r="F3334" s="6" t="n">
        <v>1.1</v>
      </c>
      <c r="G3334" t="n">
        <v>78</v>
      </c>
      <c r="H3334" s="6">
        <f>ROUND(G3334*F3334,2)</f>
        <v/>
      </c>
      <c r="I3334">
        <f>IF(ROUND(H3334-D3334,2)=0,1,0)</f>
        <v/>
      </c>
      <c r="J3334">
        <f>IF(F3334="","none",IF(G3334=1,"carte","multiple"))</f>
        <v/>
      </c>
    </row>
    <row r="3335">
      <c r="A3335" t="inlineStr">
        <is>
          <t>2022-07-26</t>
        </is>
      </c>
      <c r="B3335" t="inlineStr">
        <is>
          <t>18:43</t>
        </is>
      </c>
      <c r="C3335" t="n">
        <v>3015</v>
      </c>
      <c r="D3335" s="6" t="n">
        <v>19</v>
      </c>
      <c r="E3335" t="n">
        <v>40254</v>
      </c>
      <c r="F3335" s="6" t="n">
        <v>19</v>
      </c>
      <c r="G3335" t="n">
        <v>1</v>
      </c>
      <c r="H3335" s="6">
        <f>ROUND(G3335*F3335,2)</f>
        <v/>
      </c>
      <c r="I3335">
        <f>IF(ROUND(H3335-D3335,2)=0,1,0)</f>
        <v/>
      </c>
      <c r="J3335">
        <f>IF(F3335="","none",IF(G3335=1,"carte","multiple"))</f>
        <v/>
      </c>
    </row>
    <row r="3336">
      <c r="A3336" t="inlineStr">
        <is>
          <t>2022-07-26</t>
        </is>
      </c>
      <c r="B3336" t="inlineStr">
        <is>
          <t>18:43</t>
        </is>
      </c>
      <c r="C3336" t="n">
        <v>3015</v>
      </c>
      <c r="D3336" s="6" t="n">
        <v>9</v>
      </c>
      <c r="E3336" t="n">
        <v>40255</v>
      </c>
      <c r="F3336" s="6" t="n">
        <v>9</v>
      </c>
      <c r="G3336" t="n">
        <v>1</v>
      </c>
      <c r="H3336" s="6">
        <f>ROUND(G3336*F3336,2)</f>
        <v/>
      </c>
      <c r="I3336">
        <f>IF(ROUND(H3336-D3336,2)=0,1,0)</f>
        <v/>
      </c>
      <c r="J3336">
        <f>IF(F3336="","none",IF(G3336=1,"carte","multiple"))</f>
        <v/>
      </c>
    </row>
    <row r="3337">
      <c r="A3337" t="inlineStr">
        <is>
          <t>2022-07-26</t>
        </is>
      </c>
      <c r="B3337" t="inlineStr">
        <is>
          <t>18:43</t>
        </is>
      </c>
      <c r="C3337" t="n">
        <v>3015</v>
      </c>
      <c r="D3337" s="6" t="n">
        <v>6</v>
      </c>
      <c r="E3337" t="n">
        <v>40256</v>
      </c>
      <c r="F3337" s="6" t="n">
        <v>6</v>
      </c>
      <c r="G3337" t="n">
        <v>1</v>
      </c>
      <c r="H3337" s="6">
        <f>ROUND(G3337*F3337,2)</f>
        <v/>
      </c>
      <c r="I3337">
        <f>IF(ROUND(H3337-D3337,2)=0,1,0)</f>
        <v/>
      </c>
      <c r="J3337">
        <f>IF(F3337="","none",IF(G3337=1,"carte","multiple"))</f>
        <v/>
      </c>
    </row>
    <row r="3338">
      <c r="A3338" t="inlineStr">
        <is>
          <t>2022-07-26</t>
        </is>
      </c>
      <c r="B3338" t="inlineStr">
        <is>
          <t>18:43</t>
        </is>
      </c>
      <c r="C3338" t="n">
        <v>3015</v>
      </c>
      <c r="D3338" s="6" t="n">
        <v>3.9</v>
      </c>
      <c r="E3338" t="n">
        <v>40257</v>
      </c>
      <c r="F3338" s="6" t="n">
        <v>3.9</v>
      </c>
      <c r="G3338" t="n">
        <v>1</v>
      </c>
      <c r="H3338" s="6">
        <f>ROUND(G3338*F3338,2)</f>
        <v/>
      </c>
      <c r="I3338">
        <f>IF(ROUND(H3338-D3338,2)=0,1,0)</f>
        <v/>
      </c>
      <c r="J3338">
        <f>IF(F3338="","none",IF(G3338=1,"carte","multiple"))</f>
        <v/>
      </c>
    </row>
    <row r="3339">
      <c r="A3339" t="inlineStr">
        <is>
          <t>2022-07-26</t>
        </is>
      </c>
      <c r="B3339" t="inlineStr">
        <is>
          <t>18:43</t>
        </is>
      </c>
      <c r="C3339" t="n">
        <v>3015</v>
      </c>
      <c r="D3339" s="6" t="n">
        <v>3.9</v>
      </c>
      <c r="E3339" t="n">
        <v>40258</v>
      </c>
      <c r="F3339" s="6" t="n">
        <v>3.9</v>
      </c>
      <c r="G3339" t="n">
        <v>1</v>
      </c>
      <c r="H3339" s="6">
        <f>ROUND(G3339*F3339,2)</f>
        <v/>
      </c>
      <c r="I3339">
        <f>IF(ROUND(H3339-D3339,2)=0,1,0)</f>
        <v/>
      </c>
      <c r="J3339">
        <f>IF(F3339="","none",IF(G3339=1,"carte","multiple"))</f>
        <v/>
      </c>
    </row>
    <row r="3340">
      <c r="A3340" t="inlineStr">
        <is>
          <t>2022-07-26</t>
        </is>
      </c>
      <c r="B3340" t="inlineStr">
        <is>
          <t>18:51</t>
        </is>
      </c>
      <c r="C3340" t="n">
        <v>3015</v>
      </c>
      <c r="D3340" s="6" t="n">
        <v>68993.10000000001</v>
      </c>
      <c r="E3340" t="n">
        <v>40259</v>
      </c>
      <c r="F3340" s="6" t="n">
        <v>0.9</v>
      </c>
      <c r="G3340" t="n">
        <v>76659</v>
      </c>
      <c r="H3340" s="6">
        <f>ROUND(G3340*F3340,2)</f>
        <v/>
      </c>
      <c r="I3340">
        <f>IF(ROUND(H3340-D3340,2)=0,1,0)</f>
        <v/>
      </c>
      <c r="J3340">
        <f>IF(F3340="","none",IF(G3340=1,"carte","multiple"))</f>
        <v/>
      </c>
    </row>
    <row r="3341">
      <c r="A3341" t="inlineStr">
        <is>
          <t>2022-07-26</t>
        </is>
      </c>
      <c r="B3341" t="inlineStr">
        <is>
          <t>19:26</t>
        </is>
      </c>
      <c r="C3341" t="n">
        <v>3015</v>
      </c>
      <c r="D3341" s="6" t="n">
        <v>29.9</v>
      </c>
      <c r="E3341" t="n">
        <v>40260</v>
      </c>
      <c r="F3341" s="6" t="n">
        <v>29.9</v>
      </c>
      <c r="G3341" t="n">
        <v>1</v>
      </c>
      <c r="H3341" s="6">
        <f>ROUND(G3341*F3341,2)</f>
        <v/>
      </c>
      <c r="I3341">
        <f>IF(ROUND(H3341-D3341,2)=0,1,0)</f>
        <v/>
      </c>
      <c r="J3341">
        <f>IF(F3341="","none",IF(G3341=1,"carte","multiple"))</f>
        <v/>
      </c>
    </row>
    <row r="3342">
      <c r="A3342" t="inlineStr">
        <is>
          <t>2022-07-26</t>
        </is>
      </c>
      <c r="B3342" t="inlineStr">
        <is>
          <t>19:26</t>
        </is>
      </c>
      <c r="C3342" t="n">
        <v>3015</v>
      </c>
      <c r="D3342" s="6" t="n">
        <v>17.6</v>
      </c>
      <c r="E3342" t="n">
        <v>40261</v>
      </c>
      <c r="F3342" s="6" t="n">
        <v>17.6</v>
      </c>
      <c r="G3342" t="n">
        <v>1</v>
      </c>
      <c r="H3342" s="6">
        <f>ROUND(G3342*F3342,2)</f>
        <v/>
      </c>
      <c r="I3342">
        <f>IF(ROUND(H3342-D3342,2)=0,1,0)</f>
        <v/>
      </c>
      <c r="J3342">
        <f>IF(F3342="","none",IF(G3342=1,"carte","multiple"))</f>
        <v/>
      </c>
    </row>
    <row r="3343">
      <c r="A3343" t="inlineStr">
        <is>
          <t>2022-07-26</t>
        </is>
      </c>
      <c r="B3343" t="inlineStr">
        <is>
          <t>19:36</t>
        </is>
      </c>
      <c r="C3343" t="n">
        <v>3015</v>
      </c>
      <c r="D3343" s="6" t="n">
        <v>23</v>
      </c>
      <c r="E3343" t="n">
        <v>40262</v>
      </c>
      <c r="F3343" s="6" t="n">
        <v>23</v>
      </c>
      <c r="G3343" t="n">
        <v>1</v>
      </c>
      <c r="H3343" s="6">
        <f>ROUND(G3343*F3343,2)</f>
        <v/>
      </c>
      <c r="I3343">
        <f>IF(ROUND(H3343-D3343,2)=0,1,0)</f>
        <v/>
      </c>
      <c r="J3343">
        <f>IF(F3343="","none",IF(G3343=1,"carte","multiple"))</f>
        <v/>
      </c>
    </row>
    <row r="3344">
      <c r="A3344" t="inlineStr">
        <is>
          <t>2022-07-26</t>
        </is>
      </c>
      <c r="B3344" t="inlineStr">
        <is>
          <t>20:40</t>
        </is>
      </c>
      <c r="C3344" t="n">
        <v>3015</v>
      </c>
      <c r="D3344" s="6" t="n">
        <v>3.9</v>
      </c>
      <c r="E3344" t="n">
        <v>40263</v>
      </c>
      <c r="F3344" s="6" t="n">
        <v>3.9</v>
      </c>
      <c r="G3344" t="n">
        <v>1</v>
      </c>
      <c r="H3344" s="6">
        <f>ROUND(G3344*F3344,2)</f>
        <v/>
      </c>
      <c r="I3344">
        <f>IF(ROUND(H3344-D3344,2)=0,1,0)</f>
        <v/>
      </c>
      <c r="J3344">
        <f>IF(F3344="","none",IF(G3344=1,"carte","multiple"))</f>
        <v/>
      </c>
    </row>
    <row r="3345">
      <c r="A3345" t="inlineStr">
        <is>
          <t>2022-07-26</t>
        </is>
      </c>
      <c r="B3345" t="inlineStr">
        <is>
          <t>20:40</t>
        </is>
      </c>
      <c r="C3345" t="n">
        <v>3015</v>
      </c>
      <c r="D3345" s="6" t="n">
        <v>6.9</v>
      </c>
      <c r="E3345" t="n">
        <v>40264</v>
      </c>
      <c r="F3345" s="6" t="n">
        <v>6.9</v>
      </c>
      <c r="G3345" t="n">
        <v>1</v>
      </c>
      <c r="H3345" s="6">
        <f>ROUND(G3345*F3345,2)</f>
        <v/>
      </c>
      <c r="I3345">
        <f>IF(ROUND(H3345-D3345,2)=0,1,0)</f>
        <v/>
      </c>
      <c r="J3345">
        <f>IF(F3345="","none",IF(G3345=1,"carte","multiple"))</f>
        <v/>
      </c>
    </row>
    <row r="3346">
      <c r="A3346" t="inlineStr">
        <is>
          <t>2022-07-26</t>
        </is>
      </c>
      <c r="B3346" t="inlineStr">
        <is>
          <t>20:40</t>
        </is>
      </c>
      <c r="C3346" t="n">
        <v>3015</v>
      </c>
      <c r="D3346" s="6" t="n">
        <v>19</v>
      </c>
      <c r="E3346" t="n">
        <v>40265</v>
      </c>
      <c r="F3346" s="6" t="n">
        <v>19</v>
      </c>
      <c r="G3346" t="n">
        <v>1</v>
      </c>
      <c r="H3346" s="6">
        <f>ROUND(G3346*F3346,2)</f>
        <v/>
      </c>
      <c r="I3346">
        <f>IF(ROUND(H3346-D3346,2)=0,1,0)</f>
        <v/>
      </c>
      <c r="J3346">
        <f>IF(F3346="","none",IF(G3346=1,"carte","multiple"))</f>
        <v/>
      </c>
    </row>
    <row r="3347">
      <c r="A3347" t="inlineStr">
        <is>
          <t>2022-07-26</t>
        </is>
      </c>
      <c r="B3347" t="inlineStr">
        <is>
          <t>20:40</t>
        </is>
      </c>
      <c r="C3347" t="n">
        <v>3015</v>
      </c>
      <c r="D3347" s="6" t="n">
        <v>16.4</v>
      </c>
      <c r="E3347" t="n">
        <v>40266</v>
      </c>
      <c r="F3347" s="6" t="n">
        <v>16.4</v>
      </c>
      <c r="G3347" t="n">
        <v>1</v>
      </c>
      <c r="H3347" s="6">
        <f>ROUND(G3347*F3347,2)</f>
        <v/>
      </c>
      <c r="I3347">
        <f>IF(ROUND(H3347-D3347,2)=0,1,0)</f>
        <v/>
      </c>
      <c r="J3347">
        <f>IF(F3347="","none",IF(G3347=1,"carte","multiple"))</f>
        <v/>
      </c>
    </row>
    <row r="3348">
      <c r="A3348" t="inlineStr">
        <is>
          <t>2022-07-26</t>
        </is>
      </c>
      <c r="B3348" t="inlineStr">
        <is>
          <t>20:40</t>
        </is>
      </c>
      <c r="C3348" t="n">
        <v>3015</v>
      </c>
      <c r="D3348" s="6" t="n">
        <v>17.6</v>
      </c>
      <c r="E3348" t="n">
        <v>40267</v>
      </c>
      <c r="F3348" s="6" t="n">
        <v>17.6</v>
      </c>
      <c r="G3348" t="n">
        <v>1</v>
      </c>
      <c r="H3348" s="6">
        <f>ROUND(G3348*F3348,2)</f>
        <v/>
      </c>
      <c r="I3348">
        <f>IF(ROUND(H3348-D3348,2)=0,1,0)</f>
        <v/>
      </c>
      <c r="J3348">
        <f>IF(F3348="","none",IF(G3348=1,"carte","multiple"))</f>
        <v/>
      </c>
    </row>
    <row r="3349">
      <c r="A3349" t="inlineStr">
        <is>
          <t>2022-07-26</t>
        </is>
      </c>
      <c r="B3349" t="inlineStr">
        <is>
          <t>20:40</t>
        </is>
      </c>
      <c r="C3349" t="n">
        <v>3015</v>
      </c>
      <c r="D3349" s="6" t="n">
        <v>8.9</v>
      </c>
      <c r="E3349" t="n">
        <v>40268</v>
      </c>
      <c r="F3349" s="6" t="n">
        <v>8.9</v>
      </c>
      <c r="G3349" t="n">
        <v>1</v>
      </c>
      <c r="H3349" s="6">
        <f>ROUND(G3349*F3349,2)</f>
        <v/>
      </c>
      <c r="I3349">
        <f>IF(ROUND(H3349-D3349,2)=0,1,0)</f>
        <v/>
      </c>
      <c r="J3349">
        <f>IF(F3349="","none",IF(G3349=1,"carte","multiple"))</f>
        <v/>
      </c>
    </row>
    <row r="3350">
      <c r="A3350" t="inlineStr">
        <is>
          <t>2022-07-26</t>
        </is>
      </c>
      <c r="B3350" t="inlineStr">
        <is>
          <t>20:40</t>
        </is>
      </c>
      <c r="C3350" t="n">
        <v>3015</v>
      </c>
      <c r="D3350" s="6" t="n">
        <v>16.9</v>
      </c>
      <c r="E3350" t="n">
        <v>40269</v>
      </c>
      <c r="F3350" s="6" t="n">
        <v>16.9</v>
      </c>
      <c r="G3350" t="n">
        <v>1</v>
      </c>
      <c r="H3350" s="6">
        <f>ROUND(G3350*F3350,2)</f>
        <v/>
      </c>
      <c r="I3350">
        <f>IF(ROUND(H3350-D3350,2)=0,1,0)</f>
        <v/>
      </c>
      <c r="J3350">
        <f>IF(F3350="","none",IF(G3350=1,"carte","multiple"))</f>
        <v/>
      </c>
    </row>
    <row r="3351">
      <c r="A3351" t="inlineStr">
        <is>
          <t>2022-07-26</t>
        </is>
      </c>
      <c r="B3351" t="inlineStr">
        <is>
          <t>20:40</t>
        </is>
      </c>
      <c r="C3351" t="n">
        <v>3015</v>
      </c>
      <c r="D3351" s="6" t="n">
        <v>5.9</v>
      </c>
      <c r="E3351" t="n">
        <v>40270</v>
      </c>
      <c r="F3351" s="6" t="n">
        <v>5.9</v>
      </c>
      <c r="G3351" t="n">
        <v>1</v>
      </c>
      <c r="H3351" s="6">
        <f>ROUND(G3351*F3351,2)</f>
        <v/>
      </c>
      <c r="I3351">
        <f>IF(ROUND(H3351-D3351,2)=0,1,0)</f>
        <v/>
      </c>
      <c r="J3351">
        <f>IF(F3351="","none",IF(G3351=1,"carte","multiple"))</f>
        <v/>
      </c>
    </row>
    <row r="3352">
      <c r="A3352" t="inlineStr">
        <is>
          <t>2022-07-26</t>
        </is>
      </c>
      <c r="B3352" t="inlineStr">
        <is>
          <t>20:40</t>
        </is>
      </c>
      <c r="C3352" t="n">
        <v>3015</v>
      </c>
      <c r="D3352" s="6" t="n">
        <v>5.2</v>
      </c>
      <c r="E3352" t="n">
        <v>40271</v>
      </c>
      <c r="F3352" s="6" t="n">
        <v>5.2</v>
      </c>
      <c r="G3352" t="n">
        <v>1</v>
      </c>
      <c r="H3352" s="6">
        <f>ROUND(G3352*F3352,2)</f>
        <v/>
      </c>
      <c r="I3352">
        <f>IF(ROUND(H3352-D3352,2)=0,1,0)</f>
        <v/>
      </c>
      <c r="J3352">
        <f>IF(F3352="","none",IF(G3352=1,"carte","multiple"))</f>
        <v/>
      </c>
    </row>
    <row r="3353">
      <c r="A3353" t="inlineStr">
        <is>
          <t>2022-07-26</t>
        </is>
      </c>
      <c r="B3353" t="inlineStr">
        <is>
          <t>20:40</t>
        </is>
      </c>
      <c r="C3353" t="n">
        <v>3015</v>
      </c>
      <c r="D3353" s="6" t="n">
        <v>4.9</v>
      </c>
      <c r="E3353" t="n">
        <v>40272</v>
      </c>
      <c r="F3353" s="6" t="n">
        <v>4.9</v>
      </c>
      <c r="G3353" t="n">
        <v>1</v>
      </c>
      <c r="H3353" s="6">
        <f>ROUND(G3353*F3353,2)</f>
        <v/>
      </c>
      <c r="I3353">
        <f>IF(ROUND(H3353-D3353,2)=0,1,0)</f>
        <v/>
      </c>
      <c r="J3353">
        <f>IF(F3353="","none",IF(G3353=1,"carte","multiple"))</f>
        <v/>
      </c>
    </row>
    <row r="3354">
      <c r="A3354" t="inlineStr">
        <is>
          <t>2022-07-27</t>
        </is>
      </c>
      <c r="B3354" t="inlineStr">
        <is>
          <t>10:34</t>
        </is>
      </c>
      <c r="C3354" t="n">
        <v>3016</v>
      </c>
      <c r="D3354" s="6" t="n">
        <v>21</v>
      </c>
      <c r="E3354" t="n">
        <v>40275</v>
      </c>
      <c r="F3354" s="6" t="n">
        <v>21</v>
      </c>
      <c r="G3354" t="n">
        <v>1</v>
      </c>
      <c r="H3354" s="6">
        <f>ROUND(G3354*F3354,2)</f>
        <v/>
      </c>
      <c r="I3354">
        <f>IF(ROUND(H3354-D3354,2)=0,1,0)</f>
        <v/>
      </c>
      <c r="J3354">
        <f>IF(F3354="","none",IF(G3354=1,"carte","multiple"))</f>
        <v/>
      </c>
    </row>
    <row r="3355">
      <c r="A3355" t="inlineStr">
        <is>
          <t>2022-07-27</t>
        </is>
      </c>
      <c r="B3355" t="inlineStr">
        <is>
          <t>10:34</t>
        </is>
      </c>
      <c r="C3355" t="n">
        <v>3016</v>
      </c>
      <c r="D3355" s="6" t="n">
        <v>8.4</v>
      </c>
      <c r="E3355" t="n">
        <v>40276</v>
      </c>
      <c r="F3355" s="6" t="n">
        <v>8.4</v>
      </c>
      <c r="G3355" t="n">
        <v>1</v>
      </c>
      <c r="H3355" s="6">
        <f>ROUND(G3355*F3355,2)</f>
        <v/>
      </c>
      <c r="I3355">
        <f>IF(ROUND(H3355-D3355,2)=0,1,0)</f>
        <v/>
      </c>
      <c r="J3355">
        <f>IF(F3355="","none",IF(G3355=1,"carte","multiple"))</f>
        <v/>
      </c>
    </row>
    <row r="3356">
      <c r="A3356" t="inlineStr">
        <is>
          <t>2022-07-27</t>
        </is>
      </c>
      <c r="B3356" t="inlineStr">
        <is>
          <t>10:34</t>
        </is>
      </c>
      <c r="C3356" t="n">
        <v>3016</v>
      </c>
      <c r="D3356" s="6" t="n">
        <v>3.6</v>
      </c>
      <c r="E3356" t="n">
        <v>40277</v>
      </c>
      <c r="F3356" s="6" t="n">
        <v>3.6</v>
      </c>
      <c r="G3356" t="n">
        <v>1</v>
      </c>
      <c r="H3356" s="6">
        <f>ROUND(G3356*F3356,2)</f>
        <v/>
      </c>
      <c r="I3356">
        <f>IF(ROUND(H3356-D3356,2)=0,1,0)</f>
        <v/>
      </c>
      <c r="J3356">
        <f>IF(F3356="","none",IF(G3356=1,"carte","multiple"))</f>
        <v/>
      </c>
    </row>
    <row r="3357">
      <c r="A3357" t="inlineStr">
        <is>
          <t>2022-07-27</t>
        </is>
      </c>
      <c r="B3357" t="inlineStr">
        <is>
          <t>10:45</t>
        </is>
      </c>
      <c r="C3357" t="n">
        <v>3016</v>
      </c>
      <c r="D3357" s="6" t="n">
        <v>19.9</v>
      </c>
      <c r="E3357" t="n">
        <v>40278</v>
      </c>
      <c r="F3357" s="6" t="n">
        <v>19.9</v>
      </c>
      <c r="G3357" t="n">
        <v>1</v>
      </c>
      <c r="H3357" s="6">
        <f>ROUND(G3357*F3357,2)</f>
        <v/>
      </c>
      <c r="I3357">
        <f>IF(ROUND(H3357-D3357,2)=0,1,0)</f>
        <v/>
      </c>
      <c r="J3357">
        <f>IF(F3357="","none",IF(G3357=1,"carte","multiple"))</f>
        <v/>
      </c>
    </row>
    <row r="3358">
      <c r="A3358" t="inlineStr">
        <is>
          <t>2022-07-27</t>
        </is>
      </c>
      <c r="B3358" t="inlineStr">
        <is>
          <t>11:04</t>
        </is>
      </c>
      <c r="C3358" t="n">
        <v>3016</v>
      </c>
      <c r="D3358" s="6" t="n">
        <v>0</v>
      </c>
      <c r="E3358" t="n">
        <v>40279</v>
      </c>
      <c r="H3358" t="inlineStr"/>
      <c r="I3358" t="inlineStr"/>
      <c r="J3358">
        <f>IF(F3358="","none",IF(G3358=1,"carte","multiple"))</f>
        <v/>
      </c>
    </row>
    <row r="3359">
      <c r="A3359" t="inlineStr">
        <is>
          <t>2022-07-27</t>
        </is>
      </c>
      <c r="B3359" t="inlineStr">
        <is>
          <t>11:08</t>
        </is>
      </c>
      <c r="C3359" t="n">
        <v>3016</v>
      </c>
      <c r="D3359" s="6" t="n">
        <v>0.9</v>
      </c>
      <c r="E3359" t="n">
        <v>40280</v>
      </c>
      <c r="F3359" s="6" t="n">
        <v>0.9</v>
      </c>
      <c r="G3359" t="n">
        <v>1</v>
      </c>
      <c r="H3359" s="6">
        <f>ROUND(G3359*F3359,2)</f>
        <v/>
      </c>
      <c r="I3359">
        <f>IF(ROUND(H3359-D3359,2)=0,1,0)</f>
        <v/>
      </c>
      <c r="J3359">
        <f>IF(F3359="","none",IF(G3359=1,"carte","multiple"))</f>
        <v/>
      </c>
    </row>
    <row r="3360">
      <c r="A3360" t="inlineStr">
        <is>
          <t>2022-07-27</t>
        </is>
      </c>
      <c r="B3360" t="inlineStr">
        <is>
          <t>11:24</t>
        </is>
      </c>
      <c r="C3360" t="n">
        <v>3016</v>
      </c>
      <c r="D3360" s="6" t="n">
        <v>14.9</v>
      </c>
      <c r="E3360" t="n">
        <v>40281</v>
      </c>
      <c r="F3360" s="6" t="n">
        <v>14.9</v>
      </c>
      <c r="G3360" t="n">
        <v>1</v>
      </c>
      <c r="H3360" s="6">
        <f>ROUND(G3360*F3360,2)</f>
        <v/>
      </c>
      <c r="I3360">
        <f>IF(ROUND(H3360-D3360,2)=0,1,0)</f>
        <v/>
      </c>
      <c r="J3360">
        <f>IF(F3360="","none",IF(G3360=1,"carte","multiple"))</f>
        <v/>
      </c>
    </row>
    <row r="3361">
      <c r="A3361" t="inlineStr">
        <is>
          <t>2022-07-27</t>
        </is>
      </c>
      <c r="B3361" t="inlineStr">
        <is>
          <t>11:27</t>
        </is>
      </c>
      <c r="C3361" t="n">
        <v>3016</v>
      </c>
      <c r="D3361" s="6" t="n">
        <v>4.5</v>
      </c>
      <c r="E3361" t="n">
        <v>40282</v>
      </c>
      <c r="F3361" s="6" t="n">
        <v>4.5</v>
      </c>
      <c r="G3361" t="n">
        <v>1</v>
      </c>
      <c r="H3361" s="6">
        <f>ROUND(G3361*F3361,2)</f>
        <v/>
      </c>
      <c r="I3361">
        <f>IF(ROUND(H3361-D3361,2)=0,1,0)</f>
        <v/>
      </c>
      <c r="J3361">
        <f>IF(F3361="","none",IF(G3361=1,"carte","multiple"))</f>
        <v/>
      </c>
    </row>
    <row r="3362">
      <c r="A3362" t="inlineStr">
        <is>
          <t>2022-07-27</t>
        </is>
      </c>
      <c r="B3362" t="inlineStr">
        <is>
          <t>11:27</t>
        </is>
      </c>
      <c r="C3362" t="n">
        <v>3016</v>
      </c>
      <c r="D3362" s="6" t="n">
        <v>8</v>
      </c>
      <c r="E3362" t="n">
        <v>40283</v>
      </c>
      <c r="F3362" s="6" t="n">
        <v>8</v>
      </c>
      <c r="G3362" t="n">
        <v>1</v>
      </c>
      <c r="H3362" s="6">
        <f>ROUND(G3362*F3362,2)</f>
        <v/>
      </c>
      <c r="I3362">
        <f>IF(ROUND(H3362-D3362,2)=0,1,0)</f>
        <v/>
      </c>
      <c r="J3362">
        <f>IF(F3362="","none",IF(G3362=1,"carte","multiple"))</f>
        <v/>
      </c>
    </row>
    <row r="3363">
      <c r="A3363" t="inlineStr">
        <is>
          <t>2022-07-27</t>
        </is>
      </c>
      <c r="B3363" t="inlineStr">
        <is>
          <t>11:27</t>
        </is>
      </c>
      <c r="C3363" t="n">
        <v>3016</v>
      </c>
      <c r="D3363" s="6" t="n">
        <v>8.4</v>
      </c>
      <c r="E3363" t="n">
        <v>40284</v>
      </c>
      <c r="F3363" s="6" t="n">
        <v>8.4</v>
      </c>
      <c r="G3363" t="n">
        <v>1</v>
      </c>
      <c r="H3363" s="6">
        <f>ROUND(G3363*F3363,2)</f>
        <v/>
      </c>
      <c r="I3363">
        <f>IF(ROUND(H3363-D3363,2)=0,1,0)</f>
        <v/>
      </c>
      <c r="J3363">
        <f>IF(F3363="","none",IF(G3363=1,"carte","multiple"))</f>
        <v/>
      </c>
    </row>
    <row r="3364">
      <c r="A3364" t="inlineStr">
        <is>
          <t>2022-07-27</t>
        </is>
      </c>
      <c r="B3364" t="inlineStr">
        <is>
          <t>11:33</t>
        </is>
      </c>
      <c r="C3364" t="n">
        <v>3016</v>
      </c>
      <c r="D3364" s="6" t="n">
        <v>39.8</v>
      </c>
      <c r="E3364" t="n">
        <v>40285</v>
      </c>
      <c r="F3364" s="6" t="n">
        <v>39.8</v>
      </c>
      <c r="G3364" t="n">
        <v>1</v>
      </c>
      <c r="H3364" s="6">
        <f>ROUND(G3364*F3364,2)</f>
        <v/>
      </c>
      <c r="I3364">
        <f>IF(ROUND(H3364-D3364,2)=0,1,0)</f>
        <v/>
      </c>
      <c r="J3364">
        <f>IF(F3364="","none",IF(G3364=1,"carte","multiple"))</f>
        <v/>
      </c>
    </row>
    <row r="3365">
      <c r="A3365" t="inlineStr">
        <is>
          <t>2022-07-27</t>
        </is>
      </c>
      <c r="B3365" t="inlineStr">
        <is>
          <t>12:27</t>
        </is>
      </c>
      <c r="C3365" t="n">
        <v>3016</v>
      </c>
      <c r="D3365" s="6" t="n">
        <v>12</v>
      </c>
      <c r="E3365" t="n">
        <v>40286</v>
      </c>
      <c r="F3365" s="6" t="n">
        <v>12</v>
      </c>
      <c r="G3365" t="n">
        <v>1</v>
      </c>
      <c r="H3365" s="6">
        <f>ROUND(G3365*F3365,2)</f>
        <v/>
      </c>
      <c r="I3365">
        <f>IF(ROUND(H3365-D3365,2)=0,1,0)</f>
        <v/>
      </c>
      <c r="J3365">
        <f>IF(F3365="","none",IF(G3365=1,"carte","multiple"))</f>
        <v/>
      </c>
    </row>
    <row r="3366">
      <c r="A3366" t="inlineStr">
        <is>
          <t>2022-07-27</t>
        </is>
      </c>
      <c r="B3366" t="inlineStr">
        <is>
          <t>12:37</t>
        </is>
      </c>
      <c r="C3366" t="n">
        <v>3016</v>
      </c>
      <c r="D3366" s="6" t="n">
        <v>8.699999999999999</v>
      </c>
      <c r="E3366" t="n">
        <v>40287</v>
      </c>
      <c r="F3366" s="6" t="n">
        <v>8.699999999999999</v>
      </c>
      <c r="G3366" t="n">
        <v>1</v>
      </c>
      <c r="H3366" s="6">
        <f>ROUND(G3366*F3366,2)</f>
        <v/>
      </c>
      <c r="I3366">
        <f>IF(ROUND(H3366-D3366,2)=0,1,0)</f>
        <v/>
      </c>
      <c r="J3366">
        <f>IF(F3366="","none",IF(G3366=1,"carte","multiple"))</f>
        <v/>
      </c>
    </row>
    <row r="3367">
      <c r="A3367" t="inlineStr">
        <is>
          <t>2022-07-27</t>
        </is>
      </c>
      <c r="B3367" t="inlineStr">
        <is>
          <t>12:37</t>
        </is>
      </c>
      <c r="C3367" t="n">
        <v>3016</v>
      </c>
      <c r="D3367" s="6" t="n">
        <v>1.8</v>
      </c>
      <c r="E3367" t="n">
        <v>40288</v>
      </c>
      <c r="F3367" s="6" t="n">
        <v>1.8</v>
      </c>
      <c r="G3367" t="n">
        <v>1</v>
      </c>
      <c r="H3367" s="6">
        <f>ROUND(G3367*F3367,2)</f>
        <v/>
      </c>
      <c r="I3367">
        <f>IF(ROUND(H3367-D3367,2)=0,1,0)</f>
        <v/>
      </c>
      <c r="J3367">
        <f>IF(F3367="","none",IF(G3367=1,"carte","multiple"))</f>
        <v/>
      </c>
    </row>
    <row r="3368">
      <c r="A3368" t="inlineStr">
        <is>
          <t>2022-07-27</t>
        </is>
      </c>
      <c r="B3368" t="inlineStr">
        <is>
          <t>17:48</t>
        </is>
      </c>
      <c r="C3368" t="n">
        <v>3016</v>
      </c>
      <c r="D3368" s="6" t="n">
        <v>9</v>
      </c>
      <c r="E3368" t="n">
        <v>40291</v>
      </c>
      <c r="F3368" s="6" t="n">
        <v>9</v>
      </c>
      <c r="G3368" t="n">
        <v>1</v>
      </c>
      <c r="H3368" s="6">
        <f>ROUND(G3368*F3368,2)</f>
        <v/>
      </c>
      <c r="I3368">
        <f>IF(ROUND(H3368-D3368,2)=0,1,0)</f>
        <v/>
      </c>
      <c r="J3368">
        <f>IF(F3368="","none",IF(G3368=1,"carte","multiple"))</f>
        <v/>
      </c>
    </row>
    <row r="3369">
      <c r="A3369" t="inlineStr">
        <is>
          <t>2022-07-27</t>
        </is>
      </c>
      <c r="B3369" t="inlineStr">
        <is>
          <t>17:58</t>
        </is>
      </c>
      <c r="C3369" t="n">
        <v>3016</v>
      </c>
      <c r="D3369" s="6" t="n">
        <v>17.6</v>
      </c>
      <c r="E3369" t="n">
        <v>40292</v>
      </c>
      <c r="F3369" s="6" t="n">
        <v>17.6</v>
      </c>
      <c r="G3369" t="n">
        <v>1</v>
      </c>
      <c r="H3369" s="6">
        <f>ROUND(G3369*F3369,2)</f>
        <v/>
      </c>
      <c r="I3369">
        <f>IF(ROUND(H3369-D3369,2)=0,1,0)</f>
        <v/>
      </c>
      <c r="J3369">
        <f>IF(F3369="","none",IF(G3369=1,"carte","multiple"))</f>
        <v/>
      </c>
    </row>
    <row r="3370">
      <c r="A3370" t="inlineStr">
        <is>
          <t>2022-07-27</t>
        </is>
      </c>
      <c r="B3370" t="inlineStr">
        <is>
          <t>18:07</t>
        </is>
      </c>
      <c r="C3370" t="n">
        <v>3016</v>
      </c>
      <c r="D3370" s="6" t="n">
        <v>5.9</v>
      </c>
      <c r="E3370" t="n">
        <v>40293</v>
      </c>
      <c r="F3370" s="6" t="n">
        <v>5.9</v>
      </c>
      <c r="G3370" t="n">
        <v>1</v>
      </c>
      <c r="H3370" s="6">
        <f>ROUND(G3370*F3370,2)</f>
        <v/>
      </c>
      <c r="I3370">
        <f>IF(ROUND(H3370-D3370,2)=0,1,0)</f>
        <v/>
      </c>
      <c r="J3370">
        <f>IF(F3370="","none",IF(G3370=1,"carte","multiple"))</f>
        <v/>
      </c>
    </row>
    <row r="3371">
      <c r="A3371" t="inlineStr">
        <is>
          <t>2022-07-27</t>
        </is>
      </c>
      <c r="B3371" t="inlineStr">
        <is>
          <t>18:24</t>
        </is>
      </c>
      <c r="C3371" t="n">
        <v>3016</v>
      </c>
      <c r="D3371" s="6" t="n">
        <v>8.300000000000001</v>
      </c>
      <c r="E3371" t="n">
        <v>40294</v>
      </c>
      <c r="F3371" s="6" t="n">
        <v>8.300000000000001</v>
      </c>
      <c r="G3371" t="n">
        <v>1</v>
      </c>
      <c r="H3371" s="6">
        <f>ROUND(G3371*F3371,2)</f>
        <v/>
      </c>
      <c r="I3371">
        <f>IF(ROUND(H3371-D3371,2)=0,1,0)</f>
        <v/>
      </c>
      <c r="J3371">
        <f>IF(F3371="","none",IF(G3371=1,"carte","multiple"))</f>
        <v/>
      </c>
    </row>
    <row r="3372">
      <c r="A3372" t="inlineStr">
        <is>
          <t>2022-07-27</t>
        </is>
      </c>
      <c r="B3372" t="inlineStr">
        <is>
          <t>18:40</t>
        </is>
      </c>
      <c r="C3372" t="n">
        <v>3016</v>
      </c>
      <c r="D3372" s="6" t="n">
        <v>6.9</v>
      </c>
      <c r="E3372" t="n">
        <v>40295</v>
      </c>
      <c r="F3372" s="6" t="n">
        <v>6.9</v>
      </c>
      <c r="G3372" t="n">
        <v>1</v>
      </c>
      <c r="H3372" s="6">
        <f>ROUND(G3372*F3372,2)</f>
        <v/>
      </c>
      <c r="I3372">
        <f>IF(ROUND(H3372-D3372,2)=0,1,0)</f>
        <v/>
      </c>
      <c r="J3372">
        <f>IF(F3372="","none",IF(G3372=1,"carte","multiple"))</f>
        <v/>
      </c>
    </row>
    <row r="3373">
      <c r="A3373" t="inlineStr">
        <is>
          <t>2022-07-27</t>
        </is>
      </c>
      <c r="B3373" t="inlineStr">
        <is>
          <t>19:23</t>
        </is>
      </c>
      <c r="C3373" t="n">
        <v>3016</v>
      </c>
      <c r="D3373" s="6" t="n">
        <v>2.2</v>
      </c>
      <c r="E3373" t="n">
        <v>40296</v>
      </c>
      <c r="F3373" s="6" t="n">
        <v>2.2</v>
      </c>
      <c r="G3373" t="n">
        <v>1</v>
      </c>
      <c r="H3373" s="6">
        <f>ROUND(G3373*F3373,2)</f>
        <v/>
      </c>
      <c r="I3373">
        <f>IF(ROUND(H3373-D3373,2)=0,1,0)</f>
        <v/>
      </c>
      <c r="J3373">
        <f>IF(F3373="","none",IF(G3373=1,"carte","multiple"))</f>
        <v/>
      </c>
    </row>
    <row r="3374">
      <c r="A3374" t="inlineStr">
        <is>
          <t>2022-07-27</t>
        </is>
      </c>
      <c r="B3374" t="inlineStr">
        <is>
          <t>19:37</t>
        </is>
      </c>
      <c r="C3374" t="n">
        <v>3016</v>
      </c>
      <c r="D3374" s="6" t="n">
        <v>2.2</v>
      </c>
      <c r="E3374" t="n">
        <v>40297</v>
      </c>
      <c r="F3374" s="6" t="n">
        <v>2.2</v>
      </c>
      <c r="G3374" t="n">
        <v>1</v>
      </c>
      <c r="H3374" s="6">
        <f>ROUND(G3374*F3374,2)</f>
        <v/>
      </c>
      <c r="I3374">
        <f>IF(ROUND(H3374-D3374,2)=0,1,0)</f>
        <v/>
      </c>
      <c r="J3374">
        <f>IF(F3374="","none",IF(G3374=1,"carte","multiple"))</f>
        <v/>
      </c>
    </row>
    <row r="3375">
      <c r="A3375" t="inlineStr">
        <is>
          <t>2022-07-27</t>
        </is>
      </c>
      <c r="B3375" t="inlineStr">
        <is>
          <t>19:37</t>
        </is>
      </c>
      <c r="C3375" t="n">
        <v>3016</v>
      </c>
      <c r="D3375" s="6" t="n">
        <v>2.2</v>
      </c>
      <c r="E3375" t="n">
        <v>40298</v>
      </c>
      <c r="F3375" s="6" t="n">
        <v>2.2</v>
      </c>
      <c r="G3375" t="n">
        <v>1</v>
      </c>
      <c r="H3375" s="6">
        <f>ROUND(G3375*F3375,2)</f>
        <v/>
      </c>
      <c r="I3375">
        <f>IF(ROUND(H3375-D3375,2)=0,1,0)</f>
        <v/>
      </c>
      <c r="J3375">
        <f>IF(F3375="","none",IF(G3375=1,"carte","multiple"))</f>
        <v/>
      </c>
    </row>
    <row r="3376">
      <c r="A3376" t="inlineStr">
        <is>
          <t>2022-07-27</t>
        </is>
      </c>
      <c r="B3376" t="inlineStr">
        <is>
          <t>19:37</t>
        </is>
      </c>
      <c r="C3376" t="n">
        <v>3016</v>
      </c>
      <c r="D3376" s="6" t="n">
        <v>17.4</v>
      </c>
      <c r="E3376" t="n">
        <v>40299</v>
      </c>
      <c r="F3376" s="6" t="n">
        <v>2.9</v>
      </c>
      <c r="G3376" t="n">
        <v>6</v>
      </c>
      <c r="H3376" s="6">
        <f>ROUND(G3376*F3376,2)</f>
        <v/>
      </c>
      <c r="I3376">
        <f>IF(ROUND(H3376-D3376,2)=0,1,0)</f>
        <v/>
      </c>
      <c r="J3376">
        <f>IF(F3376="","none",IF(G3376=1,"carte","multiple"))</f>
        <v/>
      </c>
    </row>
    <row r="3377">
      <c r="A3377" t="inlineStr">
        <is>
          <t>2022-07-27</t>
        </is>
      </c>
      <c r="B3377" t="inlineStr">
        <is>
          <t>19:37</t>
        </is>
      </c>
      <c r="C3377" t="n">
        <v>3016</v>
      </c>
      <c r="D3377" s="6" t="n">
        <v>28.6</v>
      </c>
      <c r="E3377" t="n">
        <v>40300</v>
      </c>
      <c r="F3377" s="6" t="n">
        <v>28.6</v>
      </c>
      <c r="G3377" t="n">
        <v>1</v>
      </c>
      <c r="H3377" s="6">
        <f>ROUND(G3377*F3377,2)</f>
        <v/>
      </c>
      <c r="I3377">
        <f>IF(ROUND(H3377-D3377,2)=0,1,0)</f>
        <v/>
      </c>
      <c r="J3377">
        <f>IF(F3377="","none",IF(G3377=1,"carte","multiple"))</f>
        <v/>
      </c>
    </row>
    <row r="3378">
      <c r="A3378" t="inlineStr">
        <is>
          <t>2022-07-27</t>
        </is>
      </c>
      <c r="B3378" t="inlineStr">
        <is>
          <t>19:37</t>
        </is>
      </c>
      <c r="C3378" t="n">
        <v>3016</v>
      </c>
      <c r="D3378" s="6" t="n">
        <v>17.6</v>
      </c>
      <c r="E3378" t="n">
        <v>40301</v>
      </c>
      <c r="F3378" s="6" t="n">
        <v>17.6</v>
      </c>
      <c r="G3378" t="n">
        <v>1</v>
      </c>
      <c r="H3378" s="6">
        <f>ROUND(G3378*F3378,2)</f>
        <v/>
      </c>
      <c r="I3378">
        <f>IF(ROUND(H3378-D3378,2)=0,1,0)</f>
        <v/>
      </c>
      <c r="J3378">
        <f>IF(F3378="","none",IF(G3378=1,"carte","multiple"))</f>
        <v/>
      </c>
    </row>
    <row r="3379">
      <c r="A3379" t="inlineStr">
        <is>
          <t>2022-07-27</t>
        </is>
      </c>
      <c r="B3379" t="inlineStr">
        <is>
          <t>19:37</t>
        </is>
      </c>
      <c r="C3379" t="n">
        <v>3016</v>
      </c>
      <c r="D3379" s="6" t="n">
        <v>8</v>
      </c>
      <c r="E3379" t="n">
        <v>40302</v>
      </c>
      <c r="F3379" s="6" t="n">
        <v>8</v>
      </c>
      <c r="G3379" t="n">
        <v>1</v>
      </c>
      <c r="H3379" s="6">
        <f>ROUND(G3379*F3379,2)</f>
        <v/>
      </c>
      <c r="I3379">
        <f>IF(ROUND(H3379-D3379,2)=0,1,0)</f>
        <v/>
      </c>
      <c r="J3379">
        <f>IF(F3379="","none",IF(G3379=1,"carte","multiple"))</f>
        <v/>
      </c>
    </row>
    <row r="3380">
      <c r="A3380" t="inlineStr">
        <is>
          <t>2022-07-27</t>
        </is>
      </c>
      <c r="B3380" t="inlineStr">
        <is>
          <t>19:37</t>
        </is>
      </c>
      <c r="C3380" t="n">
        <v>3016</v>
      </c>
      <c r="D3380" s="6" t="n">
        <v>9.6</v>
      </c>
      <c r="E3380" t="n">
        <v>40303</v>
      </c>
      <c r="F3380" s="6" t="n">
        <v>9.6</v>
      </c>
      <c r="G3380" t="n">
        <v>1</v>
      </c>
      <c r="H3380" s="6">
        <f>ROUND(G3380*F3380,2)</f>
        <v/>
      </c>
      <c r="I3380">
        <f>IF(ROUND(H3380-D3380,2)=0,1,0)</f>
        <v/>
      </c>
      <c r="J3380">
        <f>IF(F3380="","none",IF(G3380=1,"carte","multiple"))</f>
        <v/>
      </c>
    </row>
    <row r="3381">
      <c r="A3381" t="inlineStr">
        <is>
          <t>2022-07-27</t>
        </is>
      </c>
      <c r="B3381" t="inlineStr">
        <is>
          <t>19:37</t>
        </is>
      </c>
      <c r="C3381" t="n">
        <v>3016</v>
      </c>
      <c r="D3381" s="6" t="n">
        <v>9.9</v>
      </c>
      <c r="E3381" t="n">
        <v>40304</v>
      </c>
      <c r="F3381" s="6" t="n">
        <v>9.9</v>
      </c>
      <c r="G3381" t="n">
        <v>1</v>
      </c>
      <c r="H3381" s="6">
        <f>ROUND(G3381*F3381,2)</f>
        <v/>
      </c>
      <c r="I3381">
        <f>IF(ROUND(H3381-D3381,2)=0,1,0)</f>
        <v/>
      </c>
      <c r="J3381">
        <f>IF(F3381="","none",IF(G3381=1,"carte","multiple"))</f>
        <v/>
      </c>
    </row>
    <row r="3382">
      <c r="A3382" t="inlineStr">
        <is>
          <t>2022-07-27</t>
        </is>
      </c>
      <c r="B3382" t="inlineStr">
        <is>
          <t>19:37</t>
        </is>
      </c>
      <c r="C3382" t="n">
        <v>3016</v>
      </c>
      <c r="D3382" s="6" t="n">
        <v>24.9</v>
      </c>
      <c r="E3382" t="n">
        <v>40305</v>
      </c>
      <c r="F3382" s="6" t="n">
        <v>24.9</v>
      </c>
      <c r="G3382" t="n">
        <v>1</v>
      </c>
      <c r="H3382" s="6">
        <f>ROUND(G3382*F3382,2)</f>
        <v/>
      </c>
      <c r="I3382">
        <f>IF(ROUND(H3382-D3382,2)=0,1,0)</f>
        <v/>
      </c>
      <c r="J3382">
        <f>IF(F3382="","none",IF(G3382=1,"carte","multiple"))</f>
        <v/>
      </c>
    </row>
    <row r="3383">
      <c r="A3383" t="inlineStr">
        <is>
          <t>2022-07-27</t>
        </is>
      </c>
      <c r="B3383" t="inlineStr">
        <is>
          <t>19:37</t>
        </is>
      </c>
      <c r="C3383" t="n">
        <v>3016</v>
      </c>
      <c r="D3383" s="6" t="n">
        <v>5.2</v>
      </c>
      <c r="E3383" t="n">
        <v>40306</v>
      </c>
      <c r="F3383" s="6" t="n">
        <v>5.2</v>
      </c>
      <c r="G3383" t="n">
        <v>1</v>
      </c>
      <c r="H3383" s="6">
        <f>ROUND(G3383*F3383,2)</f>
        <v/>
      </c>
      <c r="I3383">
        <f>IF(ROUND(H3383-D3383,2)=0,1,0)</f>
        <v/>
      </c>
      <c r="J3383">
        <f>IF(F3383="","none",IF(G3383=1,"carte","multiple"))</f>
        <v/>
      </c>
    </row>
    <row r="3384">
      <c r="A3384" t="inlineStr">
        <is>
          <t>2022-07-27</t>
        </is>
      </c>
      <c r="B3384" t="inlineStr">
        <is>
          <t>19:37</t>
        </is>
      </c>
      <c r="C3384" t="n">
        <v>3016</v>
      </c>
      <c r="D3384" s="6" t="n">
        <v>3.8</v>
      </c>
      <c r="E3384" t="n">
        <v>40307</v>
      </c>
      <c r="F3384" s="6" t="n">
        <v>3.8</v>
      </c>
      <c r="G3384" t="n">
        <v>1</v>
      </c>
      <c r="H3384" s="6">
        <f>ROUND(G3384*F3384,2)</f>
        <v/>
      </c>
      <c r="I3384">
        <f>IF(ROUND(H3384-D3384,2)=0,1,0)</f>
        <v/>
      </c>
      <c r="J3384">
        <f>IF(F3384="","none",IF(G3384=1,"carte","multiple"))</f>
        <v/>
      </c>
    </row>
    <row r="3385">
      <c r="A3385" t="inlineStr">
        <is>
          <t>2022-07-27</t>
        </is>
      </c>
      <c r="B3385" t="inlineStr">
        <is>
          <t>19:37</t>
        </is>
      </c>
      <c r="C3385" t="n">
        <v>3016</v>
      </c>
      <c r="D3385" s="6" t="n">
        <v>3.9</v>
      </c>
      <c r="E3385" t="n">
        <v>40308</v>
      </c>
      <c r="F3385" s="6" t="n">
        <v>3.9</v>
      </c>
      <c r="G3385" t="n">
        <v>1</v>
      </c>
      <c r="H3385" s="6">
        <f>ROUND(G3385*F3385,2)</f>
        <v/>
      </c>
      <c r="I3385">
        <f>IF(ROUND(H3385-D3385,2)=0,1,0)</f>
        <v/>
      </c>
      <c r="J3385">
        <f>IF(F3385="","none",IF(G3385=1,"carte","multiple"))</f>
        <v/>
      </c>
    </row>
    <row r="3386">
      <c r="A3386" t="inlineStr">
        <is>
          <t>2022-07-27</t>
        </is>
      </c>
      <c r="B3386" t="inlineStr">
        <is>
          <t>20:11</t>
        </is>
      </c>
      <c r="C3386" t="n">
        <v>3016</v>
      </c>
      <c r="D3386" s="6" t="n">
        <v>6.9</v>
      </c>
      <c r="E3386" t="n">
        <v>40309</v>
      </c>
      <c r="F3386" s="6" t="n">
        <v>6.9</v>
      </c>
      <c r="G3386" t="n">
        <v>1</v>
      </c>
      <c r="H3386" s="6">
        <f>ROUND(G3386*F3386,2)</f>
        <v/>
      </c>
      <c r="I3386">
        <f>IF(ROUND(H3386-D3386,2)=0,1,0)</f>
        <v/>
      </c>
      <c r="J3386">
        <f>IF(F3386="","none",IF(G3386=1,"carte","multiple"))</f>
        <v/>
      </c>
    </row>
    <row r="3387">
      <c r="A3387" t="inlineStr">
        <is>
          <t>2022-07-27</t>
        </is>
      </c>
      <c r="B3387" t="inlineStr">
        <is>
          <t>20:11</t>
        </is>
      </c>
      <c r="C3387" t="n">
        <v>3016</v>
      </c>
      <c r="D3387" s="6" t="n">
        <v>2</v>
      </c>
      <c r="E3387" t="n">
        <v>40310</v>
      </c>
      <c r="F3387" s="6" t="n">
        <v>2</v>
      </c>
      <c r="G3387" t="n">
        <v>1</v>
      </c>
      <c r="H3387" s="6">
        <f>ROUND(G3387*F3387,2)</f>
        <v/>
      </c>
      <c r="I3387">
        <f>IF(ROUND(H3387-D3387,2)=0,1,0)</f>
        <v/>
      </c>
      <c r="J3387">
        <f>IF(F3387="","none",IF(G3387=1,"carte","multiple"))</f>
        <v/>
      </c>
    </row>
    <row r="3388">
      <c r="A3388" t="inlineStr">
        <is>
          <t>2022-07-27</t>
        </is>
      </c>
      <c r="B3388" t="inlineStr">
        <is>
          <t>20:11</t>
        </is>
      </c>
      <c r="C3388" t="n">
        <v>3016</v>
      </c>
      <c r="D3388" s="6" t="n">
        <v>19.9</v>
      </c>
      <c r="E3388" t="n">
        <v>40311</v>
      </c>
      <c r="F3388" s="6" t="n">
        <v>19.9</v>
      </c>
      <c r="G3388" t="n">
        <v>1</v>
      </c>
      <c r="H3388" s="6">
        <f>ROUND(G3388*F3388,2)</f>
        <v/>
      </c>
      <c r="I3388">
        <f>IF(ROUND(H3388-D3388,2)=0,1,0)</f>
        <v/>
      </c>
      <c r="J3388">
        <f>IF(F3388="","none",IF(G3388=1,"carte","multiple"))</f>
        <v/>
      </c>
    </row>
    <row r="3389">
      <c r="A3389" t="inlineStr">
        <is>
          <t>2022-07-27</t>
        </is>
      </c>
      <c r="B3389" t="inlineStr">
        <is>
          <t>20:11</t>
        </is>
      </c>
      <c r="C3389" t="n">
        <v>3016</v>
      </c>
      <c r="D3389" s="6" t="n">
        <v>17.6</v>
      </c>
      <c r="E3389" t="n">
        <v>40312</v>
      </c>
      <c r="F3389" s="6" t="n">
        <v>17.6</v>
      </c>
      <c r="G3389" t="n">
        <v>1</v>
      </c>
      <c r="H3389" s="6">
        <f>ROUND(G3389*F3389,2)</f>
        <v/>
      </c>
      <c r="I3389">
        <f>IF(ROUND(H3389-D3389,2)=0,1,0)</f>
        <v/>
      </c>
      <c r="J3389">
        <f>IF(F3389="","none",IF(G3389=1,"carte","multiple"))</f>
        <v/>
      </c>
    </row>
    <row r="3390">
      <c r="A3390" t="inlineStr">
        <is>
          <t>2022-07-27</t>
        </is>
      </c>
      <c r="B3390" t="inlineStr">
        <is>
          <t>20:11</t>
        </is>
      </c>
      <c r="C3390" t="n">
        <v>3016</v>
      </c>
      <c r="D3390" s="6" t="n">
        <v>9.800000000000001</v>
      </c>
      <c r="E3390" t="n">
        <v>40313</v>
      </c>
      <c r="F3390" s="6" t="n">
        <v>9.800000000000001</v>
      </c>
      <c r="G3390" t="n">
        <v>1</v>
      </c>
      <c r="H3390" s="6">
        <f>ROUND(G3390*F3390,2)</f>
        <v/>
      </c>
      <c r="I3390">
        <f>IF(ROUND(H3390-D3390,2)=0,1,0)</f>
        <v/>
      </c>
      <c r="J3390">
        <f>IF(F3390="","none",IF(G3390=1,"carte","multiple"))</f>
        <v/>
      </c>
    </row>
    <row r="3391">
      <c r="A3391" t="inlineStr">
        <is>
          <t>2022-07-27</t>
        </is>
      </c>
      <c r="B3391" t="inlineStr">
        <is>
          <t>20:11</t>
        </is>
      </c>
      <c r="C3391" t="n">
        <v>3016</v>
      </c>
      <c r="D3391" s="6" t="n">
        <v>4.9</v>
      </c>
      <c r="E3391" t="n">
        <v>40314</v>
      </c>
      <c r="F3391" s="6" t="n">
        <v>4.9</v>
      </c>
      <c r="G3391" t="n">
        <v>1</v>
      </c>
      <c r="H3391" s="6">
        <f>ROUND(G3391*F3391,2)</f>
        <v/>
      </c>
      <c r="I3391">
        <f>IF(ROUND(H3391-D3391,2)=0,1,0)</f>
        <v/>
      </c>
      <c r="J3391">
        <f>IF(F3391="","none",IF(G3391=1,"carte","multiple"))</f>
        <v/>
      </c>
    </row>
    <row r="3392">
      <c r="A3392" t="inlineStr">
        <is>
          <t>2022-07-27</t>
        </is>
      </c>
      <c r="B3392" t="inlineStr">
        <is>
          <t>20:25</t>
        </is>
      </c>
      <c r="C3392" t="n">
        <v>3016</v>
      </c>
      <c r="D3392" s="6" t="n">
        <v>2.9</v>
      </c>
      <c r="E3392" t="n">
        <v>40315</v>
      </c>
      <c r="F3392" s="6" t="n">
        <v>2.9</v>
      </c>
      <c r="G3392" t="n">
        <v>1</v>
      </c>
      <c r="H3392" s="6">
        <f>ROUND(G3392*F3392,2)</f>
        <v/>
      </c>
      <c r="I3392">
        <f>IF(ROUND(H3392-D3392,2)=0,1,0)</f>
        <v/>
      </c>
      <c r="J3392">
        <f>IF(F3392="","none",IF(G3392=1,"carte","multiple"))</f>
        <v/>
      </c>
    </row>
    <row r="3393">
      <c r="A3393" t="inlineStr">
        <is>
          <t>2022-07-28</t>
        </is>
      </c>
      <c r="B3393" t="inlineStr">
        <is>
          <t>10:12</t>
        </is>
      </c>
      <c r="C3393" t="n">
        <v>3017</v>
      </c>
      <c r="D3393" s="6" t="n">
        <v>5.2</v>
      </c>
      <c r="E3393" t="n">
        <v>40318</v>
      </c>
      <c r="F3393" s="6" t="n">
        <v>5.2</v>
      </c>
      <c r="G3393" t="n">
        <v>1</v>
      </c>
      <c r="H3393" s="6">
        <f>ROUND(G3393*F3393,2)</f>
        <v/>
      </c>
      <c r="I3393">
        <f>IF(ROUND(H3393-D3393,2)=0,1,0)</f>
        <v/>
      </c>
      <c r="J3393">
        <f>IF(F3393="","none",IF(G3393=1,"carte","multiple"))</f>
        <v/>
      </c>
    </row>
    <row r="3394">
      <c r="A3394" t="inlineStr">
        <is>
          <t>2022-07-28</t>
        </is>
      </c>
      <c r="B3394" t="inlineStr">
        <is>
          <t>11:07</t>
        </is>
      </c>
      <c r="C3394" t="n">
        <v>3017</v>
      </c>
      <c r="D3394" s="6" t="n">
        <v>27.8</v>
      </c>
      <c r="E3394" t="n">
        <v>40319</v>
      </c>
      <c r="F3394" s="6" t="n">
        <v>27.8</v>
      </c>
      <c r="G3394" t="n">
        <v>1</v>
      </c>
      <c r="H3394" s="6">
        <f>ROUND(G3394*F3394,2)</f>
        <v/>
      </c>
      <c r="I3394">
        <f>IF(ROUND(H3394-D3394,2)=0,1,0)</f>
        <v/>
      </c>
      <c r="J3394">
        <f>IF(F3394="","none",IF(G3394=1,"carte","multiple"))</f>
        <v/>
      </c>
    </row>
    <row r="3395">
      <c r="A3395" t="inlineStr">
        <is>
          <t>2022-07-28</t>
        </is>
      </c>
      <c r="B3395" t="inlineStr">
        <is>
          <t>11:07</t>
        </is>
      </c>
      <c r="C3395" t="n">
        <v>3017</v>
      </c>
      <c r="D3395" s="6" t="n">
        <v>23</v>
      </c>
      <c r="E3395" t="n">
        <v>40320</v>
      </c>
      <c r="F3395" s="6" t="n">
        <v>23</v>
      </c>
      <c r="G3395" t="n">
        <v>1</v>
      </c>
      <c r="H3395" s="6">
        <f>ROUND(G3395*F3395,2)</f>
        <v/>
      </c>
      <c r="I3395">
        <f>IF(ROUND(H3395-D3395,2)=0,1,0)</f>
        <v/>
      </c>
      <c r="J3395">
        <f>IF(F3395="","none",IF(G3395=1,"carte","multiple"))</f>
        <v/>
      </c>
    </row>
    <row r="3396">
      <c r="A3396" t="inlineStr">
        <is>
          <t>2022-07-28</t>
        </is>
      </c>
      <c r="B3396" t="inlineStr">
        <is>
          <t>11:07</t>
        </is>
      </c>
      <c r="C3396" t="n">
        <v>3017</v>
      </c>
      <c r="D3396" s="6" t="n">
        <v>6.4</v>
      </c>
      <c r="E3396" t="n">
        <v>40321</v>
      </c>
      <c r="F3396" s="6" t="n">
        <v>6.4</v>
      </c>
      <c r="G3396" t="n">
        <v>1</v>
      </c>
      <c r="H3396" s="6">
        <f>ROUND(G3396*F3396,2)</f>
        <v/>
      </c>
      <c r="I3396">
        <f>IF(ROUND(H3396-D3396,2)=0,1,0)</f>
        <v/>
      </c>
      <c r="J3396">
        <f>IF(F3396="","none",IF(G3396=1,"carte","multiple"))</f>
        <v/>
      </c>
    </row>
    <row r="3397">
      <c r="A3397" t="inlineStr">
        <is>
          <t>2022-07-28</t>
        </is>
      </c>
      <c r="B3397" t="inlineStr">
        <is>
          <t>11:07</t>
        </is>
      </c>
      <c r="C3397" t="n">
        <v>3017</v>
      </c>
      <c r="D3397" s="6" t="n">
        <v>4</v>
      </c>
      <c r="E3397" t="n">
        <v>40322</v>
      </c>
      <c r="F3397" s="6" t="n">
        <v>4</v>
      </c>
      <c r="G3397" t="n">
        <v>1</v>
      </c>
      <c r="H3397" s="6">
        <f>ROUND(G3397*F3397,2)</f>
        <v/>
      </c>
      <c r="I3397">
        <f>IF(ROUND(H3397-D3397,2)=0,1,0)</f>
        <v/>
      </c>
      <c r="J3397">
        <f>IF(F3397="","none",IF(G3397=1,"carte","multiple"))</f>
        <v/>
      </c>
    </row>
    <row r="3398">
      <c r="A3398" t="inlineStr">
        <is>
          <t>2022-07-28</t>
        </is>
      </c>
      <c r="B3398" t="inlineStr">
        <is>
          <t>11:07</t>
        </is>
      </c>
      <c r="C3398" t="n">
        <v>3017</v>
      </c>
      <c r="D3398" s="6" t="n">
        <v>7.6</v>
      </c>
      <c r="E3398" t="n">
        <v>40323</v>
      </c>
      <c r="F3398" s="6" t="n">
        <v>7.6</v>
      </c>
      <c r="G3398" t="n">
        <v>1</v>
      </c>
      <c r="H3398" s="6">
        <f>ROUND(G3398*F3398,2)</f>
        <v/>
      </c>
      <c r="I3398">
        <f>IF(ROUND(H3398-D3398,2)=0,1,0)</f>
        <v/>
      </c>
      <c r="J3398">
        <f>IF(F3398="","none",IF(G3398=1,"carte","multiple"))</f>
        <v/>
      </c>
    </row>
    <row r="3399">
      <c r="A3399" t="inlineStr">
        <is>
          <t>2022-07-28</t>
        </is>
      </c>
      <c r="B3399" t="inlineStr">
        <is>
          <t>11:18</t>
        </is>
      </c>
      <c r="C3399" t="n">
        <v>3017</v>
      </c>
      <c r="D3399" s="6" t="n">
        <v>7.8</v>
      </c>
      <c r="E3399" t="n">
        <v>40324</v>
      </c>
      <c r="F3399" s="6" t="n">
        <v>7.8</v>
      </c>
      <c r="G3399" t="n">
        <v>1</v>
      </c>
      <c r="H3399" s="6">
        <f>ROUND(G3399*F3399,2)</f>
        <v/>
      </c>
      <c r="I3399">
        <f>IF(ROUND(H3399-D3399,2)=0,1,0)</f>
        <v/>
      </c>
      <c r="J3399">
        <f>IF(F3399="","none",IF(G3399=1,"carte","multiple"))</f>
        <v/>
      </c>
    </row>
    <row r="3400">
      <c r="A3400" t="inlineStr">
        <is>
          <t>2022-07-28</t>
        </is>
      </c>
      <c r="B3400" t="inlineStr">
        <is>
          <t>11:26</t>
        </is>
      </c>
      <c r="C3400" t="n">
        <v>3017</v>
      </c>
      <c r="D3400" s="6" t="n">
        <v>4.7</v>
      </c>
      <c r="E3400" t="n">
        <v>40325</v>
      </c>
      <c r="F3400" s="6" t="n">
        <v>4.7</v>
      </c>
      <c r="G3400" t="n">
        <v>1</v>
      </c>
      <c r="H3400" s="6">
        <f>ROUND(G3400*F3400,2)</f>
        <v/>
      </c>
      <c r="I3400">
        <f>IF(ROUND(H3400-D3400,2)=0,1,0)</f>
        <v/>
      </c>
      <c r="J3400">
        <f>IF(F3400="","none",IF(G3400=1,"carte","multiple"))</f>
        <v/>
      </c>
    </row>
    <row r="3401">
      <c r="A3401" t="inlineStr">
        <is>
          <t>2022-07-28</t>
        </is>
      </c>
      <c r="B3401" t="inlineStr">
        <is>
          <t>11:55</t>
        </is>
      </c>
      <c r="C3401" t="n">
        <v>3017</v>
      </c>
      <c r="D3401" s="6" t="n">
        <v>19.9</v>
      </c>
      <c r="E3401" t="n">
        <v>40326</v>
      </c>
      <c r="F3401" s="6" t="n">
        <v>19.9</v>
      </c>
      <c r="G3401" t="n">
        <v>1</v>
      </c>
      <c r="H3401" s="6">
        <f>ROUND(G3401*F3401,2)</f>
        <v/>
      </c>
      <c r="I3401">
        <f>IF(ROUND(H3401-D3401,2)=0,1,0)</f>
        <v/>
      </c>
      <c r="J3401">
        <f>IF(F3401="","none",IF(G3401=1,"carte","multiple"))</f>
        <v/>
      </c>
    </row>
    <row r="3402">
      <c r="A3402" t="inlineStr">
        <is>
          <t>2022-07-28</t>
        </is>
      </c>
      <c r="B3402" t="inlineStr">
        <is>
          <t>11:55</t>
        </is>
      </c>
      <c r="C3402" t="n">
        <v>3017</v>
      </c>
      <c r="D3402" s="6" t="n">
        <v>17.6</v>
      </c>
      <c r="E3402" t="n">
        <v>40327</v>
      </c>
      <c r="F3402" s="6" t="n">
        <v>17.6</v>
      </c>
      <c r="G3402" t="n">
        <v>1</v>
      </c>
      <c r="H3402" s="6">
        <f>ROUND(G3402*F3402,2)</f>
        <v/>
      </c>
      <c r="I3402">
        <f>IF(ROUND(H3402-D3402,2)=0,1,0)</f>
        <v/>
      </c>
      <c r="J3402">
        <f>IF(F3402="","none",IF(G3402=1,"carte","multiple"))</f>
        <v/>
      </c>
    </row>
    <row r="3403">
      <c r="A3403" t="inlineStr">
        <is>
          <t>2022-07-28</t>
        </is>
      </c>
      <c r="B3403" t="inlineStr">
        <is>
          <t>11:55</t>
        </is>
      </c>
      <c r="C3403" t="n">
        <v>3017</v>
      </c>
      <c r="D3403" s="6" t="n">
        <v>17.6</v>
      </c>
      <c r="E3403" t="n">
        <v>40328</v>
      </c>
      <c r="F3403" s="6" t="n">
        <v>17.6</v>
      </c>
      <c r="G3403" t="n">
        <v>1</v>
      </c>
      <c r="H3403" s="6">
        <f>ROUND(G3403*F3403,2)</f>
        <v/>
      </c>
      <c r="I3403">
        <f>IF(ROUND(H3403-D3403,2)=0,1,0)</f>
        <v/>
      </c>
      <c r="J3403">
        <f>IF(F3403="","none",IF(G3403=1,"carte","multiple"))</f>
        <v/>
      </c>
    </row>
    <row r="3404">
      <c r="A3404" t="inlineStr">
        <is>
          <t>2022-07-28</t>
        </is>
      </c>
      <c r="B3404" t="inlineStr">
        <is>
          <t>11:55</t>
        </is>
      </c>
      <c r="C3404" t="n">
        <v>3017</v>
      </c>
      <c r="D3404" s="6" t="n">
        <v>17.6</v>
      </c>
      <c r="E3404" t="n">
        <v>40329</v>
      </c>
      <c r="F3404" s="6" t="n">
        <v>17.6</v>
      </c>
      <c r="G3404" t="n">
        <v>1</v>
      </c>
      <c r="H3404" s="6">
        <f>ROUND(G3404*F3404,2)</f>
        <v/>
      </c>
      <c r="I3404">
        <f>IF(ROUND(H3404-D3404,2)=0,1,0)</f>
        <v/>
      </c>
      <c r="J3404">
        <f>IF(F3404="","none",IF(G3404=1,"carte","multiple"))</f>
        <v/>
      </c>
    </row>
    <row r="3405">
      <c r="A3405" t="inlineStr">
        <is>
          <t>2022-07-28</t>
        </is>
      </c>
      <c r="B3405" t="inlineStr">
        <is>
          <t>11:55</t>
        </is>
      </c>
      <c r="C3405" t="n">
        <v>3017</v>
      </c>
      <c r="D3405" s="6" t="n">
        <v>23</v>
      </c>
      <c r="E3405" t="n">
        <v>40330</v>
      </c>
      <c r="F3405" s="6" t="n">
        <v>23</v>
      </c>
      <c r="G3405" t="n">
        <v>1</v>
      </c>
      <c r="H3405" s="6">
        <f>ROUND(G3405*F3405,2)</f>
        <v/>
      </c>
      <c r="I3405">
        <f>IF(ROUND(H3405-D3405,2)=0,1,0)</f>
        <v/>
      </c>
      <c r="J3405">
        <f>IF(F3405="","none",IF(G3405=1,"carte","multiple"))</f>
        <v/>
      </c>
    </row>
    <row r="3406">
      <c r="A3406" t="inlineStr">
        <is>
          <t>2022-07-28</t>
        </is>
      </c>
      <c r="B3406" t="inlineStr">
        <is>
          <t>11:56</t>
        </is>
      </c>
      <c r="C3406" t="n">
        <v>3017</v>
      </c>
      <c r="D3406" s="6" t="n">
        <v>3.9</v>
      </c>
      <c r="E3406" t="n">
        <v>40331</v>
      </c>
      <c r="F3406" s="6" t="n">
        <v>3.9</v>
      </c>
      <c r="G3406" t="n">
        <v>1</v>
      </c>
      <c r="H3406" s="6">
        <f>ROUND(G3406*F3406,2)</f>
        <v/>
      </c>
      <c r="I3406">
        <f>IF(ROUND(H3406-D3406,2)=0,1,0)</f>
        <v/>
      </c>
      <c r="J3406">
        <f>IF(F3406="","none",IF(G3406=1,"carte","multiple"))</f>
        <v/>
      </c>
    </row>
    <row r="3407">
      <c r="A3407" t="inlineStr">
        <is>
          <t>2022-07-28</t>
        </is>
      </c>
      <c r="B3407" t="inlineStr">
        <is>
          <t>12:00</t>
        </is>
      </c>
      <c r="C3407" t="n">
        <v>3017</v>
      </c>
      <c r="D3407" s="6" t="n">
        <v>31.8</v>
      </c>
      <c r="E3407" t="n">
        <v>40332</v>
      </c>
      <c r="F3407" s="6" t="n">
        <v>31.8</v>
      </c>
      <c r="G3407" t="n">
        <v>1</v>
      </c>
      <c r="H3407" s="6">
        <f>ROUND(G3407*F3407,2)</f>
        <v/>
      </c>
      <c r="I3407">
        <f>IF(ROUND(H3407-D3407,2)=0,1,0)</f>
        <v/>
      </c>
      <c r="J3407">
        <f>IF(F3407="","none",IF(G3407=1,"carte","multiple"))</f>
        <v/>
      </c>
    </row>
    <row r="3408">
      <c r="A3408" t="inlineStr">
        <is>
          <t>2022-07-28</t>
        </is>
      </c>
      <c r="B3408" t="inlineStr">
        <is>
          <t>12:00</t>
        </is>
      </c>
      <c r="C3408" t="n">
        <v>3017</v>
      </c>
      <c r="D3408" s="6" t="n">
        <v>9.800000000000001</v>
      </c>
      <c r="E3408" t="n">
        <v>40333</v>
      </c>
      <c r="F3408" s="6" t="n">
        <v>9.800000000000001</v>
      </c>
      <c r="G3408" t="n">
        <v>1</v>
      </c>
      <c r="H3408" s="6">
        <f>ROUND(G3408*F3408,2)</f>
        <v/>
      </c>
      <c r="I3408">
        <f>IF(ROUND(H3408-D3408,2)=0,1,0)</f>
        <v/>
      </c>
      <c r="J3408">
        <f>IF(F3408="","none",IF(G3408=1,"carte","multiple"))</f>
        <v/>
      </c>
    </row>
    <row r="3409">
      <c r="A3409" t="inlineStr">
        <is>
          <t>2022-07-28</t>
        </is>
      </c>
      <c r="B3409" t="inlineStr">
        <is>
          <t>12:17</t>
        </is>
      </c>
      <c r="C3409" t="n">
        <v>3017</v>
      </c>
      <c r="D3409" s="6" t="n">
        <v>7.8</v>
      </c>
      <c r="E3409" t="n">
        <v>40334</v>
      </c>
      <c r="F3409" s="6" t="n">
        <v>7.8</v>
      </c>
      <c r="G3409" t="n">
        <v>1</v>
      </c>
      <c r="H3409" s="6">
        <f>ROUND(G3409*F3409,2)</f>
        <v/>
      </c>
      <c r="I3409">
        <f>IF(ROUND(H3409-D3409,2)=0,1,0)</f>
        <v/>
      </c>
      <c r="J3409">
        <f>IF(F3409="","none",IF(G3409=1,"carte","multiple"))</f>
        <v/>
      </c>
    </row>
    <row r="3410">
      <c r="A3410" t="inlineStr">
        <is>
          <t>2022-07-28</t>
        </is>
      </c>
      <c r="B3410" t="inlineStr">
        <is>
          <t>12:17</t>
        </is>
      </c>
      <c r="C3410" t="n">
        <v>3017</v>
      </c>
      <c r="D3410" s="6" t="n">
        <v>2.2</v>
      </c>
      <c r="E3410" t="n">
        <v>40335</v>
      </c>
      <c r="F3410" s="6" t="n">
        <v>2.2</v>
      </c>
      <c r="G3410" t="n">
        <v>1</v>
      </c>
      <c r="H3410" s="6">
        <f>ROUND(G3410*F3410,2)</f>
        <v/>
      </c>
      <c r="I3410">
        <f>IF(ROUND(H3410-D3410,2)=0,1,0)</f>
        <v/>
      </c>
      <c r="J3410">
        <f>IF(F3410="","none",IF(G3410=1,"carte","multiple"))</f>
        <v/>
      </c>
    </row>
    <row r="3411">
      <c r="A3411" t="inlineStr">
        <is>
          <t>2022-07-28</t>
        </is>
      </c>
      <c r="B3411" t="inlineStr">
        <is>
          <t>12:17</t>
        </is>
      </c>
      <c r="C3411" t="n">
        <v>3017</v>
      </c>
      <c r="D3411" s="6" t="n">
        <v>17.6</v>
      </c>
      <c r="E3411" t="n">
        <v>40336</v>
      </c>
      <c r="F3411" s="6" t="n">
        <v>17.6</v>
      </c>
      <c r="G3411" t="n">
        <v>1</v>
      </c>
      <c r="H3411" s="6">
        <f>ROUND(G3411*F3411,2)</f>
        <v/>
      </c>
      <c r="I3411">
        <f>IF(ROUND(H3411-D3411,2)=0,1,0)</f>
        <v/>
      </c>
      <c r="J3411">
        <f>IF(F3411="","none",IF(G3411=1,"carte","multiple"))</f>
        <v/>
      </c>
    </row>
    <row r="3412">
      <c r="A3412" t="inlineStr">
        <is>
          <t>2022-07-28</t>
        </is>
      </c>
      <c r="B3412" t="inlineStr">
        <is>
          <t>12:17</t>
        </is>
      </c>
      <c r="C3412" t="n">
        <v>3017</v>
      </c>
      <c r="D3412" s="6" t="n">
        <v>19</v>
      </c>
      <c r="E3412" t="n">
        <v>40337</v>
      </c>
      <c r="F3412" s="6" t="n">
        <v>19</v>
      </c>
      <c r="G3412" t="n">
        <v>1</v>
      </c>
      <c r="H3412" s="6">
        <f>ROUND(G3412*F3412,2)</f>
        <v/>
      </c>
      <c r="I3412">
        <f>IF(ROUND(H3412-D3412,2)=0,1,0)</f>
        <v/>
      </c>
      <c r="J3412">
        <f>IF(F3412="","none",IF(G3412=1,"carte","multiple"))</f>
        <v/>
      </c>
    </row>
    <row r="3413">
      <c r="A3413" t="inlineStr">
        <is>
          <t>2022-07-28</t>
        </is>
      </c>
      <c r="B3413" t="inlineStr">
        <is>
          <t>12:17</t>
        </is>
      </c>
      <c r="C3413" t="n">
        <v>3017</v>
      </c>
      <c r="D3413" s="6" t="n">
        <v>4</v>
      </c>
      <c r="E3413" t="n">
        <v>40338</v>
      </c>
      <c r="F3413" s="6" t="n">
        <v>4</v>
      </c>
      <c r="G3413" t="n">
        <v>1</v>
      </c>
      <c r="H3413" s="6">
        <f>ROUND(G3413*F3413,2)</f>
        <v/>
      </c>
      <c r="I3413">
        <f>IF(ROUND(H3413-D3413,2)=0,1,0)</f>
        <v/>
      </c>
      <c r="J3413">
        <f>IF(F3413="","none",IF(G3413=1,"carte","multiple"))</f>
        <v/>
      </c>
    </row>
    <row r="3414">
      <c r="A3414" t="inlineStr">
        <is>
          <t>2022-07-28</t>
        </is>
      </c>
      <c r="B3414" t="inlineStr">
        <is>
          <t>12:17</t>
        </is>
      </c>
      <c r="C3414" t="n">
        <v>3017</v>
      </c>
      <c r="D3414" s="6" t="n">
        <v>4.9</v>
      </c>
      <c r="E3414" t="n">
        <v>40339</v>
      </c>
      <c r="F3414" s="6" t="n">
        <v>4.9</v>
      </c>
      <c r="G3414" t="n">
        <v>1</v>
      </c>
      <c r="H3414" s="6">
        <f>ROUND(G3414*F3414,2)</f>
        <v/>
      </c>
      <c r="I3414">
        <f>IF(ROUND(H3414-D3414,2)=0,1,0)</f>
        <v/>
      </c>
      <c r="J3414">
        <f>IF(F3414="","none",IF(G3414=1,"carte","multiple"))</f>
        <v/>
      </c>
    </row>
    <row r="3415">
      <c r="A3415" t="inlineStr">
        <is>
          <t>2022-07-28</t>
        </is>
      </c>
      <c r="B3415" t="inlineStr">
        <is>
          <t>12:17</t>
        </is>
      </c>
      <c r="C3415" t="n">
        <v>3017</v>
      </c>
      <c r="D3415" s="6" t="n">
        <v>8.9</v>
      </c>
      <c r="E3415" t="n">
        <v>40340</v>
      </c>
      <c r="F3415" s="6" t="n">
        <v>8.9</v>
      </c>
      <c r="G3415" t="n">
        <v>1</v>
      </c>
      <c r="H3415" s="6">
        <f>ROUND(G3415*F3415,2)</f>
        <v/>
      </c>
      <c r="I3415">
        <f>IF(ROUND(H3415-D3415,2)=0,1,0)</f>
        <v/>
      </c>
      <c r="J3415">
        <f>IF(F3415="","none",IF(G3415=1,"carte","multiple"))</f>
        <v/>
      </c>
    </row>
    <row r="3416">
      <c r="A3416" t="inlineStr">
        <is>
          <t>2022-07-28</t>
        </is>
      </c>
      <c r="B3416" t="inlineStr">
        <is>
          <t>12:40</t>
        </is>
      </c>
      <c r="C3416" t="n">
        <v>3017</v>
      </c>
      <c r="D3416" s="6" t="n">
        <v>2</v>
      </c>
      <c r="E3416" t="n">
        <v>40341</v>
      </c>
      <c r="F3416" s="6" t="n">
        <v>2</v>
      </c>
      <c r="G3416" t="n">
        <v>1</v>
      </c>
      <c r="H3416" s="6">
        <f>ROUND(G3416*F3416,2)</f>
        <v/>
      </c>
      <c r="I3416">
        <f>IF(ROUND(H3416-D3416,2)=0,1,0)</f>
        <v/>
      </c>
      <c r="J3416">
        <f>IF(F3416="","none",IF(G3416=1,"carte","multiple"))</f>
        <v/>
      </c>
    </row>
    <row r="3417">
      <c r="A3417" t="inlineStr">
        <is>
          <t>2022-07-28</t>
        </is>
      </c>
      <c r="B3417" t="inlineStr">
        <is>
          <t>12:42</t>
        </is>
      </c>
      <c r="C3417" t="n">
        <v>3017</v>
      </c>
      <c r="D3417" s="6" t="n">
        <v>17.6</v>
      </c>
      <c r="E3417" t="n">
        <v>40342</v>
      </c>
      <c r="F3417" s="6" t="n">
        <v>17.6</v>
      </c>
      <c r="G3417" t="n">
        <v>1</v>
      </c>
      <c r="H3417" s="6">
        <f>ROUND(G3417*F3417,2)</f>
        <v/>
      </c>
      <c r="I3417">
        <f>IF(ROUND(H3417-D3417,2)=0,1,0)</f>
        <v/>
      </c>
      <c r="J3417">
        <f>IF(F3417="","none",IF(G3417=1,"carte","multiple"))</f>
        <v/>
      </c>
    </row>
    <row r="3418">
      <c r="A3418" t="inlineStr">
        <is>
          <t>2022-07-28</t>
        </is>
      </c>
      <c r="B3418" t="inlineStr">
        <is>
          <t>12:42</t>
        </is>
      </c>
      <c r="C3418" t="n">
        <v>3017</v>
      </c>
      <c r="D3418" s="6" t="n">
        <v>16</v>
      </c>
      <c r="E3418" t="n">
        <v>40343</v>
      </c>
      <c r="F3418" s="6" t="n">
        <v>16</v>
      </c>
      <c r="G3418" t="n">
        <v>1</v>
      </c>
      <c r="H3418" s="6">
        <f>ROUND(G3418*F3418,2)</f>
        <v/>
      </c>
      <c r="I3418">
        <f>IF(ROUND(H3418-D3418,2)=0,1,0)</f>
        <v/>
      </c>
      <c r="J3418">
        <f>IF(F3418="","none",IF(G3418=1,"carte","multiple"))</f>
        <v/>
      </c>
    </row>
    <row r="3419">
      <c r="A3419" t="inlineStr">
        <is>
          <t>2022-07-28</t>
        </is>
      </c>
      <c r="B3419" t="inlineStr">
        <is>
          <t>12:42</t>
        </is>
      </c>
      <c r="C3419" t="n">
        <v>3017</v>
      </c>
      <c r="D3419" s="6" t="n">
        <v>17.8</v>
      </c>
      <c r="E3419" t="n">
        <v>40344</v>
      </c>
      <c r="F3419" s="6" t="n">
        <v>8.9</v>
      </c>
      <c r="G3419" t="n">
        <v>2</v>
      </c>
      <c r="H3419" s="6">
        <f>ROUND(G3419*F3419,2)</f>
        <v/>
      </c>
      <c r="I3419">
        <f>IF(ROUND(H3419-D3419,2)=0,1,0)</f>
        <v/>
      </c>
      <c r="J3419">
        <f>IF(F3419="","none",IF(G3419=1,"carte","multiple"))</f>
        <v/>
      </c>
    </row>
    <row r="3420">
      <c r="A3420" t="inlineStr">
        <is>
          <t>2022-07-28</t>
        </is>
      </c>
      <c r="B3420" t="inlineStr">
        <is>
          <t>12:42</t>
        </is>
      </c>
      <c r="C3420" t="n">
        <v>3017</v>
      </c>
      <c r="D3420" s="6" t="n">
        <v>3.9</v>
      </c>
      <c r="E3420" t="n">
        <v>40345</v>
      </c>
      <c r="F3420" s="6" t="n">
        <v>3.9</v>
      </c>
      <c r="G3420" t="n">
        <v>1</v>
      </c>
      <c r="H3420" s="6">
        <f>ROUND(G3420*F3420,2)</f>
        <v/>
      </c>
      <c r="I3420">
        <f>IF(ROUND(H3420-D3420,2)=0,1,0)</f>
        <v/>
      </c>
      <c r="J3420">
        <f>IF(F3420="","none",IF(G3420=1,"carte","multiple"))</f>
        <v/>
      </c>
    </row>
    <row r="3421">
      <c r="A3421" t="inlineStr">
        <is>
          <t>2022-07-28</t>
        </is>
      </c>
      <c r="B3421" t="inlineStr">
        <is>
          <t>12:42</t>
        </is>
      </c>
      <c r="C3421" t="n">
        <v>3017</v>
      </c>
      <c r="D3421" s="6" t="n">
        <v>7.8</v>
      </c>
      <c r="E3421" t="n">
        <v>40346</v>
      </c>
      <c r="F3421" s="6" t="n">
        <v>7.8</v>
      </c>
      <c r="G3421" t="n">
        <v>1</v>
      </c>
      <c r="H3421" s="6">
        <f>ROUND(G3421*F3421,2)</f>
        <v/>
      </c>
      <c r="I3421">
        <f>IF(ROUND(H3421-D3421,2)=0,1,0)</f>
        <v/>
      </c>
      <c r="J3421">
        <f>IF(F3421="","none",IF(G3421=1,"carte","multiple"))</f>
        <v/>
      </c>
    </row>
    <row r="3422">
      <c r="A3422" t="inlineStr">
        <is>
          <t>2022-07-28</t>
        </is>
      </c>
      <c r="B3422" t="inlineStr">
        <is>
          <t>12:47</t>
        </is>
      </c>
      <c r="C3422" t="n">
        <v>3017</v>
      </c>
      <c r="D3422" s="6" t="n">
        <v>11</v>
      </c>
      <c r="E3422" t="n">
        <v>40347</v>
      </c>
      <c r="F3422" s="6" t="n">
        <v>11</v>
      </c>
      <c r="G3422" t="n">
        <v>1</v>
      </c>
      <c r="H3422" s="6">
        <f>ROUND(G3422*F3422,2)</f>
        <v/>
      </c>
      <c r="I3422">
        <f>IF(ROUND(H3422-D3422,2)=0,1,0)</f>
        <v/>
      </c>
      <c r="J3422">
        <f>IF(F3422="","none",IF(G3422=1,"carte","multiple"))</f>
        <v/>
      </c>
    </row>
    <row r="3423">
      <c r="A3423" t="inlineStr">
        <is>
          <t>2022-07-28</t>
        </is>
      </c>
      <c r="B3423" t="inlineStr">
        <is>
          <t>13:01</t>
        </is>
      </c>
      <c r="C3423" t="n">
        <v>3017</v>
      </c>
      <c r="D3423" s="6" t="n">
        <v>11.6</v>
      </c>
      <c r="E3423" t="n">
        <v>40348</v>
      </c>
      <c r="F3423" s="6" t="n">
        <v>11.6</v>
      </c>
      <c r="G3423" t="n">
        <v>1</v>
      </c>
      <c r="H3423" s="6">
        <f>ROUND(G3423*F3423,2)</f>
        <v/>
      </c>
      <c r="I3423">
        <f>IF(ROUND(H3423-D3423,2)=0,1,0)</f>
        <v/>
      </c>
      <c r="J3423">
        <f>IF(F3423="","none",IF(G3423=1,"carte","multiple"))</f>
        <v/>
      </c>
    </row>
    <row r="3424">
      <c r="A3424" t="inlineStr">
        <is>
          <t>2022-07-28</t>
        </is>
      </c>
      <c r="B3424" t="inlineStr">
        <is>
          <t>13:01</t>
        </is>
      </c>
      <c r="C3424" t="n">
        <v>3017</v>
      </c>
      <c r="D3424" s="6" t="n">
        <v>1.8</v>
      </c>
      <c r="E3424" t="n">
        <v>40349</v>
      </c>
      <c r="F3424" s="6" t="n">
        <v>1.8</v>
      </c>
      <c r="G3424" t="n">
        <v>1</v>
      </c>
      <c r="H3424" s="6">
        <f>ROUND(G3424*F3424,2)</f>
        <v/>
      </c>
      <c r="I3424">
        <f>IF(ROUND(H3424-D3424,2)=0,1,0)</f>
        <v/>
      </c>
      <c r="J3424">
        <f>IF(F3424="","none",IF(G3424=1,"carte","multiple"))</f>
        <v/>
      </c>
    </row>
    <row r="3425">
      <c r="A3425" t="inlineStr">
        <is>
          <t>2022-07-28</t>
        </is>
      </c>
      <c r="B3425" t="inlineStr">
        <is>
          <t>13:01</t>
        </is>
      </c>
      <c r="C3425" t="n">
        <v>3017</v>
      </c>
      <c r="D3425" s="6" t="n">
        <v>3.9</v>
      </c>
      <c r="E3425" t="n">
        <v>40350</v>
      </c>
      <c r="F3425" s="6" t="n">
        <v>3.9</v>
      </c>
      <c r="G3425" t="n">
        <v>1</v>
      </c>
      <c r="H3425" s="6">
        <f>ROUND(G3425*F3425,2)</f>
        <v/>
      </c>
      <c r="I3425">
        <f>IF(ROUND(H3425-D3425,2)=0,1,0)</f>
        <v/>
      </c>
      <c r="J3425">
        <f>IF(F3425="","none",IF(G3425=1,"carte","multiple"))</f>
        <v/>
      </c>
    </row>
    <row r="3426">
      <c r="A3426" t="inlineStr">
        <is>
          <t>2022-07-28</t>
        </is>
      </c>
      <c r="B3426" t="inlineStr">
        <is>
          <t>13:01</t>
        </is>
      </c>
      <c r="C3426" t="n">
        <v>3017</v>
      </c>
      <c r="D3426" s="6" t="n">
        <v>8.699999999999999</v>
      </c>
      <c r="E3426" t="n">
        <v>40351</v>
      </c>
      <c r="F3426" s="6" t="n">
        <v>8.699999999999999</v>
      </c>
      <c r="G3426" t="n">
        <v>1</v>
      </c>
      <c r="H3426" s="6">
        <f>ROUND(G3426*F3426,2)</f>
        <v/>
      </c>
      <c r="I3426">
        <f>IF(ROUND(H3426-D3426,2)=0,1,0)</f>
        <v/>
      </c>
      <c r="J3426">
        <f>IF(F3426="","none",IF(G3426=1,"carte","multiple"))</f>
        <v/>
      </c>
    </row>
    <row r="3427">
      <c r="A3427" t="inlineStr">
        <is>
          <t>2022-07-28</t>
        </is>
      </c>
      <c r="B3427" t="inlineStr">
        <is>
          <t>13:01</t>
        </is>
      </c>
      <c r="C3427" t="n">
        <v>3017</v>
      </c>
      <c r="D3427" s="6" t="n">
        <v>2.2</v>
      </c>
      <c r="E3427" t="n">
        <v>40352</v>
      </c>
      <c r="F3427" s="6" t="n">
        <v>2.2</v>
      </c>
      <c r="G3427" t="n">
        <v>1</v>
      </c>
      <c r="H3427" s="6">
        <f>ROUND(G3427*F3427,2)</f>
        <v/>
      </c>
      <c r="I3427">
        <f>IF(ROUND(H3427-D3427,2)=0,1,0)</f>
        <v/>
      </c>
      <c r="J3427">
        <f>IF(F3427="","none",IF(G3427=1,"carte","multiple"))</f>
        <v/>
      </c>
    </row>
    <row r="3428">
      <c r="A3428" t="inlineStr">
        <is>
          <t>2022-07-28</t>
        </is>
      </c>
      <c r="B3428" t="inlineStr">
        <is>
          <t>13:01</t>
        </is>
      </c>
      <c r="C3428" t="n">
        <v>3017</v>
      </c>
      <c r="D3428" s="6" t="n">
        <v>7.8</v>
      </c>
      <c r="E3428" t="n">
        <v>40353</v>
      </c>
      <c r="F3428" s="6" t="n">
        <v>7.8</v>
      </c>
      <c r="G3428" t="n">
        <v>1</v>
      </c>
      <c r="H3428" s="6">
        <f>ROUND(G3428*F3428,2)</f>
        <v/>
      </c>
      <c r="I3428">
        <f>IF(ROUND(H3428-D3428,2)=0,1,0)</f>
        <v/>
      </c>
      <c r="J3428">
        <f>IF(F3428="","none",IF(G3428=1,"carte","multiple"))</f>
        <v/>
      </c>
    </row>
    <row r="3429">
      <c r="A3429" t="inlineStr">
        <is>
          <t>2022-07-28</t>
        </is>
      </c>
      <c r="B3429" t="inlineStr">
        <is>
          <t>13:01</t>
        </is>
      </c>
      <c r="C3429" t="n">
        <v>3017</v>
      </c>
      <c r="D3429" s="6" t="n">
        <v>39.8</v>
      </c>
      <c r="E3429" t="n">
        <v>40354</v>
      </c>
      <c r="F3429" s="6" t="n">
        <v>39.8</v>
      </c>
      <c r="G3429" t="n">
        <v>1</v>
      </c>
      <c r="H3429" s="6">
        <f>ROUND(G3429*F3429,2)</f>
        <v/>
      </c>
      <c r="I3429">
        <f>IF(ROUND(H3429-D3429,2)=0,1,0)</f>
        <v/>
      </c>
      <c r="J3429">
        <f>IF(F3429="","none",IF(G3429=1,"carte","multiple"))</f>
        <v/>
      </c>
    </row>
    <row r="3430">
      <c r="A3430" t="inlineStr">
        <is>
          <t>2022-07-28</t>
        </is>
      </c>
      <c r="B3430" t="inlineStr">
        <is>
          <t>13:01</t>
        </is>
      </c>
      <c r="C3430" t="n">
        <v>3017</v>
      </c>
      <c r="D3430" s="6" t="n">
        <v>19</v>
      </c>
      <c r="E3430" t="n">
        <v>40355</v>
      </c>
      <c r="F3430" s="6" t="n">
        <v>19</v>
      </c>
      <c r="G3430" t="n">
        <v>1</v>
      </c>
      <c r="H3430" s="6">
        <f>ROUND(G3430*F3430,2)</f>
        <v/>
      </c>
      <c r="I3430">
        <f>IF(ROUND(H3430-D3430,2)=0,1,0)</f>
        <v/>
      </c>
      <c r="J3430">
        <f>IF(F3430="","none",IF(G3430=1,"carte","multiple"))</f>
        <v/>
      </c>
    </row>
    <row r="3431">
      <c r="A3431" t="inlineStr">
        <is>
          <t>2022-07-28</t>
        </is>
      </c>
      <c r="B3431" t="inlineStr">
        <is>
          <t>13:01</t>
        </is>
      </c>
      <c r="C3431" t="n">
        <v>3017</v>
      </c>
      <c r="D3431" s="6" t="n">
        <v>38</v>
      </c>
      <c r="E3431" t="n">
        <v>40356</v>
      </c>
      <c r="F3431" s="6" t="n">
        <v>0.4</v>
      </c>
      <c r="G3431" t="n">
        <v>95</v>
      </c>
      <c r="H3431" s="6">
        <f>ROUND(G3431*F3431,2)</f>
        <v/>
      </c>
      <c r="I3431">
        <f>IF(ROUND(H3431-D3431,2)=0,1,0)</f>
        <v/>
      </c>
      <c r="J3431">
        <f>IF(F3431="","none",IF(G3431=1,"carte","multiple"))</f>
        <v/>
      </c>
    </row>
    <row r="3432">
      <c r="A3432" t="inlineStr">
        <is>
          <t>2022-07-28</t>
        </is>
      </c>
      <c r="B3432" t="inlineStr">
        <is>
          <t>13:01</t>
        </is>
      </c>
      <c r="C3432" t="n">
        <v>3017</v>
      </c>
      <c r="D3432" s="6" t="n">
        <v>15.6</v>
      </c>
      <c r="E3432" t="n">
        <v>40357</v>
      </c>
      <c r="F3432" s="6" t="n">
        <v>15.6</v>
      </c>
      <c r="G3432" t="n">
        <v>1</v>
      </c>
      <c r="H3432" s="6">
        <f>ROUND(G3432*F3432,2)</f>
        <v/>
      </c>
      <c r="I3432">
        <f>IF(ROUND(H3432-D3432,2)=0,1,0)</f>
        <v/>
      </c>
      <c r="J3432">
        <f>IF(F3432="","none",IF(G3432=1,"carte","multiple"))</f>
        <v/>
      </c>
    </row>
    <row r="3433">
      <c r="A3433" t="inlineStr">
        <is>
          <t>2022-07-28</t>
        </is>
      </c>
      <c r="B3433" t="inlineStr">
        <is>
          <t>13:01</t>
        </is>
      </c>
      <c r="C3433" t="n">
        <v>3017</v>
      </c>
      <c r="D3433" s="6" t="n">
        <v>2.2</v>
      </c>
      <c r="E3433" t="n">
        <v>40358</v>
      </c>
      <c r="F3433" s="6" t="n">
        <v>2.2</v>
      </c>
      <c r="G3433" t="n">
        <v>1</v>
      </c>
      <c r="H3433" s="6">
        <f>ROUND(G3433*F3433,2)</f>
        <v/>
      </c>
      <c r="I3433">
        <f>IF(ROUND(H3433-D3433,2)=0,1,0)</f>
        <v/>
      </c>
      <c r="J3433">
        <f>IF(F3433="","none",IF(G3433=1,"carte","multiple"))</f>
        <v/>
      </c>
    </row>
    <row r="3434">
      <c r="A3434" t="inlineStr">
        <is>
          <t>2022-07-28</t>
        </is>
      </c>
      <c r="B3434" t="inlineStr">
        <is>
          <t>18:42</t>
        </is>
      </c>
      <c r="C3434" t="n">
        <v>3017</v>
      </c>
      <c r="D3434" s="6" t="n">
        <v>6.9</v>
      </c>
      <c r="E3434" t="n">
        <v>40360</v>
      </c>
      <c r="F3434" s="6" t="n">
        <v>6.9</v>
      </c>
      <c r="G3434" t="n">
        <v>1</v>
      </c>
      <c r="H3434" s="6">
        <f>ROUND(G3434*F3434,2)</f>
        <v/>
      </c>
      <c r="I3434">
        <f>IF(ROUND(H3434-D3434,2)=0,1,0)</f>
        <v/>
      </c>
      <c r="J3434">
        <f>IF(F3434="","none",IF(G3434=1,"carte","multiple"))</f>
        <v/>
      </c>
    </row>
    <row r="3435">
      <c r="A3435" t="inlineStr">
        <is>
          <t>2022-07-28</t>
        </is>
      </c>
      <c r="B3435" t="inlineStr">
        <is>
          <t>18:42</t>
        </is>
      </c>
      <c r="C3435" t="n">
        <v>3017</v>
      </c>
      <c r="D3435" s="6" t="n">
        <v>19.9</v>
      </c>
      <c r="E3435" t="n">
        <v>40361</v>
      </c>
      <c r="F3435" s="6" t="n">
        <v>19.9</v>
      </c>
      <c r="G3435" t="n">
        <v>1</v>
      </c>
      <c r="H3435" s="6">
        <f>ROUND(G3435*F3435,2)</f>
        <v/>
      </c>
      <c r="I3435">
        <f>IF(ROUND(H3435-D3435,2)=0,1,0)</f>
        <v/>
      </c>
      <c r="J3435">
        <f>IF(F3435="","none",IF(G3435=1,"carte","multiple"))</f>
        <v/>
      </c>
    </row>
    <row r="3436">
      <c r="A3436" t="inlineStr">
        <is>
          <t>2022-07-28</t>
        </is>
      </c>
      <c r="B3436" t="inlineStr">
        <is>
          <t>18:42</t>
        </is>
      </c>
      <c r="C3436" t="n">
        <v>3017</v>
      </c>
      <c r="D3436" s="6" t="n">
        <v>23</v>
      </c>
      <c r="E3436" t="n">
        <v>40362</v>
      </c>
      <c r="F3436" s="6" t="n">
        <v>23</v>
      </c>
      <c r="G3436" t="n">
        <v>1</v>
      </c>
      <c r="H3436" s="6">
        <f>ROUND(G3436*F3436,2)</f>
        <v/>
      </c>
      <c r="I3436">
        <f>IF(ROUND(H3436-D3436,2)=0,1,0)</f>
        <v/>
      </c>
      <c r="J3436">
        <f>IF(F3436="","none",IF(G3436=1,"carte","multiple"))</f>
        <v/>
      </c>
    </row>
    <row r="3437">
      <c r="A3437" t="inlineStr">
        <is>
          <t>2022-07-28</t>
        </is>
      </c>
      <c r="B3437" t="inlineStr">
        <is>
          <t>18:42</t>
        </is>
      </c>
      <c r="C3437" t="n">
        <v>3017</v>
      </c>
      <c r="D3437" s="6" t="n">
        <v>5.9</v>
      </c>
      <c r="E3437" t="n">
        <v>40363</v>
      </c>
      <c r="F3437" s="6" t="n">
        <v>5.9</v>
      </c>
      <c r="G3437" t="n">
        <v>1</v>
      </c>
      <c r="H3437" s="6">
        <f>ROUND(G3437*F3437,2)</f>
        <v/>
      </c>
      <c r="I3437">
        <f>IF(ROUND(H3437-D3437,2)=0,1,0)</f>
        <v/>
      </c>
      <c r="J3437">
        <f>IF(F3437="","none",IF(G3437=1,"carte","multiple"))</f>
        <v/>
      </c>
    </row>
    <row r="3438">
      <c r="A3438" t="inlineStr">
        <is>
          <t>2022-07-28</t>
        </is>
      </c>
      <c r="B3438" t="inlineStr">
        <is>
          <t>18:42</t>
        </is>
      </c>
      <c r="C3438" t="n">
        <v>3017</v>
      </c>
      <c r="D3438" s="6" t="n">
        <v>3.9</v>
      </c>
      <c r="E3438" t="n">
        <v>40364</v>
      </c>
      <c r="F3438" s="6" t="n">
        <v>3.9</v>
      </c>
      <c r="G3438" t="n">
        <v>1</v>
      </c>
      <c r="H3438" s="6">
        <f>ROUND(G3438*F3438,2)</f>
        <v/>
      </c>
      <c r="I3438">
        <f>IF(ROUND(H3438-D3438,2)=0,1,0)</f>
        <v/>
      </c>
      <c r="J3438">
        <f>IF(F3438="","none",IF(G3438=1,"carte","multiple"))</f>
        <v/>
      </c>
    </row>
    <row r="3439">
      <c r="A3439" t="inlineStr">
        <is>
          <t>2022-07-28</t>
        </is>
      </c>
      <c r="B3439" t="inlineStr">
        <is>
          <t>19:42</t>
        </is>
      </c>
      <c r="C3439" t="n">
        <v>3017</v>
      </c>
      <c r="D3439" s="6" t="n">
        <v>4.9</v>
      </c>
      <c r="E3439" t="n">
        <v>40365</v>
      </c>
      <c r="F3439" s="6" t="n">
        <v>4.9</v>
      </c>
      <c r="G3439" t="n">
        <v>1</v>
      </c>
      <c r="H3439" s="6">
        <f>ROUND(G3439*F3439,2)</f>
        <v/>
      </c>
      <c r="I3439">
        <f>IF(ROUND(H3439-D3439,2)=0,1,0)</f>
        <v/>
      </c>
      <c r="J3439">
        <f>IF(F3439="","none",IF(G3439=1,"carte","multiple"))</f>
        <v/>
      </c>
    </row>
    <row r="3440">
      <c r="A3440" t="inlineStr">
        <is>
          <t>2022-07-28</t>
        </is>
      </c>
      <c r="B3440" t="inlineStr">
        <is>
          <t>19:54</t>
        </is>
      </c>
      <c r="C3440" t="n">
        <v>3017</v>
      </c>
      <c r="D3440" s="6" t="n">
        <v>3.9</v>
      </c>
      <c r="E3440" t="n">
        <v>40366</v>
      </c>
      <c r="F3440" s="6" t="n">
        <v>3.9</v>
      </c>
      <c r="G3440" t="n">
        <v>1</v>
      </c>
      <c r="H3440" s="6">
        <f>ROUND(G3440*F3440,2)</f>
        <v/>
      </c>
      <c r="I3440">
        <f>IF(ROUND(H3440-D3440,2)=0,1,0)</f>
        <v/>
      </c>
      <c r="J3440">
        <f>IF(F3440="","none",IF(G3440=1,"carte","multiple"))</f>
        <v/>
      </c>
    </row>
    <row r="3441">
      <c r="A3441" t="inlineStr">
        <is>
          <t>2022-07-28</t>
        </is>
      </c>
      <c r="B3441" t="inlineStr">
        <is>
          <t>19:54</t>
        </is>
      </c>
      <c r="C3441" t="n">
        <v>3017</v>
      </c>
      <c r="D3441" s="6" t="n">
        <v>8.800000000000001</v>
      </c>
      <c r="E3441" t="n">
        <v>40367</v>
      </c>
      <c r="F3441" s="6" t="n">
        <v>8.800000000000001</v>
      </c>
      <c r="G3441" t="n">
        <v>1</v>
      </c>
      <c r="H3441" s="6">
        <f>ROUND(G3441*F3441,2)</f>
        <v/>
      </c>
      <c r="I3441">
        <f>IF(ROUND(H3441-D3441,2)=0,1,0)</f>
        <v/>
      </c>
      <c r="J3441">
        <f>IF(F3441="","none",IF(G3441=1,"carte","multiple"))</f>
        <v/>
      </c>
    </row>
    <row r="3442">
      <c r="A3442" t="inlineStr">
        <is>
          <t>2022-07-28</t>
        </is>
      </c>
      <c r="B3442" t="inlineStr">
        <is>
          <t>19:54</t>
        </is>
      </c>
      <c r="C3442" t="n">
        <v>3017</v>
      </c>
      <c r="D3442" s="6" t="n">
        <v>3.9</v>
      </c>
      <c r="E3442" t="n">
        <v>40368</v>
      </c>
      <c r="F3442" s="6" t="n">
        <v>3.9</v>
      </c>
      <c r="G3442" t="n">
        <v>1</v>
      </c>
      <c r="H3442" s="6">
        <f>ROUND(G3442*F3442,2)</f>
        <v/>
      </c>
      <c r="I3442">
        <f>IF(ROUND(H3442-D3442,2)=0,1,0)</f>
        <v/>
      </c>
      <c r="J3442">
        <f>IF(F3442="","none",IF(G3442=1,"carte","multiple"))</f>
        <v/>
      </c>
    </row>
    <row r="3443">
      <c r="A3443" t="inlineStr">
        <is>
          <t>2022-07-28</t>
        </is>
      </c>
      <c r="B3443" t="inlineStr">
        <is>
          <t>19:54</t>
        </is>
      </c>
      <c r="C3443" t="n">
        <v>3017</v>
      </c>
      <c r="D3443" s="6" t="n">
        <v>8.5</v>
      </c>
      <c r="E3443" t="n">
        <v>40369</v>
      </c>
      <c r="F3443" s="6" t="n">
        <v>8.5</v>
      </c>
      <c r="G3443" t="n">
        <v>1</v>
      </c>
      <c r="H3443" s="6">
        <f>ROUND(G3443*F3443,2)</f>
        <v/>
      </c>
      <c r="I3443">
        <f>IF(ROUND(H3443-D3443,2)=0,1,0)</f>
        <v/>
      </c>
      <c r="J3443">
        <f>IF(F3443="","none",IF(G3443=1,"carte","multiple"))</f>
        <v/>
      </c>
    </row>
    <row r="3444">
      <c r="A3444" t="inlineStr">
        <is>
          <t>2022-07-28</t>
        </is>
      </c>
      <c r="B3444" t="inlineStr">
        <is>
          <t>19:54</t>
        </is>
      </c>
      <c r="C3444" t="n">
        <v>3017</v>
      </c>
      <c r="D3444" s="6" t="n">
        <v>7.2</v>
      </c>
      <c r="E3444" t="n">
        <v>40370</v>
      </c>
      <c r="F3444" s="6" t="n">
        <v>7.2</v>
      </c>
      <c r="G3444" t="n">
        <v>1</v>
      </c>
      <c r="H3444" s="6">
        <f>ROUND(G3444*F3444,2)</f>
        <v/>
      </c>
      <c r="I3444">
        <f>IF(ROUND(H3444-D3444,2)=0,1,0)</f>
        <v/>
      </c>
      <c r="J3444">
        <f>IF(F3444="","none",IF(G3444=1,"carte","multiple"))</f>
        <v/>
      </c>
    </row>
    <row r="3445">
      <c r="A3445" t="inlineStr">
        <is>
          <t>2022-07-28</t>
        </is>
      </c>
      <c r="B3445" t="inlineStr">
        <is>
          <t>19:54</t>
        </is>
      </c>
      <c r="C3445" t="n">
        <v>3017</v>
      </c>
      <c r="D3445" s="6" t="n">
        <v>35.2</v>
      </c>
      <c r="E3445" t="n">
        <v>40371</v>
      </c>
      <c r="F3445" s="6" t="n">
        <v>0.4</v>
      </c>
      <c r="G3445" t="n">
        <v>88</v>
      </c>
      <c r="H3445" s="6">
        <f>ROUND(G3445*F3445,2)</f>
        <v/>
      </c>
      <c r="I3445">
        <f>IF(ROUND(H3445-D3445,2)=0,1,0)</f>
        <v/>
      </c>
      <c r="J3445">
        <f>IF(F3445="","none",IF(G3445=1,"carte","multiple"))</f>
        <v/>
      </c>
    </row>
    <row r="3446">
      <c r="A3446" t="inlineStr">
        <is>
          <t>2022-07-28</t>
        </is>
      </c>
      <c r="B3446" t="inlineStr">
        <is>
          <t>19:54</t>
        </is>
      </c>
      <c r="C3446" t="n">
        <v>3017</v>
      </c>
      <c r="D3446" s="6" t="n">
        <v>17.6</v>
      </c>
      <c r="E3446" t="n">
        <v>40372</v>
      </c>
      <c r="F3446" s="6" t="n">
        <v>17.6</v>
      </c>
      <c r="G3446" t="n">
        <v>1</v>
      </c>
      <c r="H3446" s="6">
        <f>ROUND(G3446*F3446,2)</f>
        <v/>
      </c>
      <c r="I3446">
        <f>IF(ROUND(H3446-D3446,2)=0,1,0)</f>
        <v/>
      </c>
      <c r="J3446">
        <f>IF(F3446="","none",IF(G3446=1,"carte","multiple"))</f>
        <v/>
      </c>
    </row>
    <row r="3447">
      <c r="A3447" t="inlineStr">
        <is>
          <t>2022-07-28</t>
        </is>
      </c>
      <c r="B3447" t="inlineStr">
        <is>
          <t>19:54</t>
        </is>
      </c>
      <c r="C3447" t="n">
        <v>3017</v>
      </c>
      <c r="D3447" s="6" t="n">
        <v>0</v>
      </c>
      <c r="E3447" t="n">
        <v>40373</v>
      </c>
      <c r="H3447" t="inlineStr"/>
      <c r="I3447" t="inlineStr"/>
      <c r="J3447">
        <f>IF(F3447="","none",IF(G3447=1,"carte","multiple"))</f>
        <v/>
      </c>
    </row>
    <row r="3448">
      <c r="A3448" t="inlineStr">
        <is>
          <t>2022-07-28</t>
        </is>
      </c>
      <c r="B3448" t="inlineStr">
        <is>
          <t>19:54</t>
        </is>
      </c>
      <c r="C3448" t="n">
        <v>3017</v>
      </c>
      <c r="D3448" s="6" t="n">
        <v>0</v>
      </c>
      <c r="E3448" t="n">
        <v>40374</v>
      </c>
      <c r="H3448" t="inlineStr"/>
      <c r="I3448" t="inlineStr"/>
      <c r="J3448">
        <f>IF(F3448="","none",IF(G3448=1,"carte","multiple"))</f>
        <v/>
      </c>
    </row>
    <row r="3449">
      <c r="A3449" t="inlineStr">
        <is>
          <t>2022-07-28</t>
        </is>
      </c>
      <c r="B3449" t="inlineStr">
        <is>
          <t>20:37</t>
        </is>
      </c>
      <c r="C3449" t="n">
        <v>3017</v>
      </c>
      <c r="D3449" s="6" t="n">
        <v>17.6</v>
      </c>
      <c r="E3449" t="n">
        <v>40375</v>
      </c>
      <c r="F3449" s="6" t="n">
        <v>17.6</v>
      </c>
      <c r="G3449" t="n">
        <v>1</v>
      </c>
      <c r="H3449" s="6">
        <f>ROUND(G3449*F3449,2)</f>
        <v/>
      </c>
      <c r="I3449">
        <f>IF(ROUND(H3449-D3449,2)=0,1,0)</f>
        <v/>
      </c>
      <c r="J3449">
        <f>IF(F3449="","none",IF(G3449=1,"carte","multiple"))</f>
        <v/>
      </c>
    </row>
    <row r="3450">
      <c r="A3450" t="inlineStr">
        <is>
          <t>2022-07-28</t>
        </is>
      </c>
      <c r="B3450" t="inlineStr">
        <is>
          <t>20:37</t>
        </is>
      </c>
      <c r="C3450" t="n">
        <v>3017</v>
      </c>
      <c r="D3450" s="6" t="n">
        <v>17.6</v>
      </c>
      <c r="E3450" t="n">
        <v>40376</v>
      </c>
      <c r="F3450" s="6" t="n">
        <v>17.6</v>
      </c>
      <c r="G3450" t="n">
        <v>1</v>
      </c>
      <c r="H3450" s="6">
        <f>ROUND(G3450*F3450,2)</f>
        <v/>
      </c>
      <c r="I3450">
        <f>IF(ROUND(H3450-D3450,2)=0,1,0)</f>
        <v/>
      </c>
      <c r="J3450">
        <f>IF(F3450="","none",IF(G3450=1,"carte","multiple"))</f>
        <v/>
      </c>
    </row>
    <row r="3451">
      <c r="A3451" t="inlineStr">
        <is>
          <t>2022-07-28</t>
        </is>
      </c>
      <c r="B3451" t="inlineStr">
        <is>
          <t>20:37</t>
        </is>
      </c>
      <c r="C3451" t="n">
        <v>3017</v>
      </c>
      <c r="D3451" s="6" t="n">
        <v>8.9</v>
      </c>
      <c r="E3451" t="n">
        <v>40377</v>
      </c>
      <c r="F3451" s="6" t="n">
        <v>8.9</v>
      </c>
      <c r="G3451" t="n">
        <v>1</v>
      </c>
      <c r="H3451" s="6">
        <f>ROUND(G3451*F3451,2)</f>
        <v/>
      </c>
      <c r="I3451">
        <f>IF(ROUND(H3451-D3451,2)=0,1,0)</f>
        <v/>
      </c>
      <c r="J3451">
        <f>IF(F3451="","none",IF(G3451=1,"carte","multiple"))</f>
        <v/>
      </c>
    </row>
    <row r="3452">
      <c r="A3452" t="inlineStr">
        <is>
          <t>2022-07-28</t>
        </is>
      </c>
      <c r="B3452" t="inlineStr">
        <is>
          <t>20:37</t>
        </is>
      </c>
      <c r="C3452" t="n">
        <v>3017</v>
      </c>
      <c r="D3452" s="6" t="n">
        <v>7.9</v>
      </c>
      <c r="E3452" t="n">
        <v>40378</v>
      </c>
      <c r="F3452" s="6" t="n">
        <v>7.9</v>
      </c>
      <c r="G3452" t="n">
        <v>1</v>
      </c>
      <c r="H3452" s="6">
        <f>ROUND(G3452*F3452,2)</f>
        <v/>
      </c>
      <c r="I3452">
        <f>IF(ROUND(H3452-D3452,2)=0,1,0)</f>
        <v/>
      </c>
      <c r="J3452">
        <f>IF(F3452="","none",IF(G3452=1,"carte","multiple"))</f>
        <v/>
      </c>
    </row>
    <row r="3453">
      <c r="A3453" t="inlineStr">
        <is>
          <t>2022-07-28</t>
        </is>
      </c>
      <c r="B3453" t="inlineStr">
        <is>
          <t>20:37</t>
        </is>
      </c>
      <c r="C3453" t="n">
        <v>3017</v>
      </c>
      <c r="D3453" s="6" t="n">
        <v>8.4</v>
      </c>
      <c r="E3453" t="n">
        <v>40379</v>
      </c>
      <c r="F3453" s="6" t="n">
        <v>8.4</v>
      </c>
      <c r="G3453" t="n">
        <v>1</v>
      </c>
      <c r="H3453" s="6">
        <f>ROUND(G3453*F3453,2)</f>
        <v/>
      </c>
      <c r="I3453">
        <f>IF(ROUND(H3453-D3453,2)=0,1,0)</f>
        <v/>
      </c>
      <c r="J3453">
        <f>IF(F3453="","none",IF(G3453=1,"carte","multiple"))</f>
        <v/>
      </c>
    </row>
    <row r="3454">
      <c r="A3454" t="inlineStr">
        <is>
          <t>2022-07-29</t>
        </is>
      </c>
      <c r="B3454" t="inlineStr">
        <is>
          <t>10:58</t>
        </is>
      </c>
      <c r="C3454" t="n">
        <v>3018</v>
      </c>
      <c r="D3454" s="6" t="n">
        <v>16.9</v>
      </c>
      <c r="E3454" t="n">
        <v>40382</v>
      </c>
      <c r="F3454" s="6" t="n">
        <v>16.9</v>
      </c>
      <c r="G3454" t="n">
        <v>1</v>
      </c>
      <c r="H3454" s="6">
        <f>ROUND(G3454*F3454,2)</f>
        <v/>
      </c>
      <c r="I3454">
        <f>IF(ROUND(H3454-D3454,2)=0,1,0)</f>
        <v/>
      </c>
      <c r="J3454">
        <f>IF(F3454="","none",IF(G3454=1,"carte","multiple"))</f>
        <v/>
      </c>
    </row>
    <row r="3455">
      <c r="A3455" t="inlineStr">
        <is>
          <t>2022-07-29</t>
        </is>
      </c>
      <c r="B3455" t="inlineStr">
        <is>
          <t>11:13</t>
        </is>
      </c>
      <c r="C3455" t="n">
        <v>3018</v>
      </c>
      <c r="D3455" s="6" t="n">
        <v>2.2</v>
      </c>
      <c r="E3455" t="n">
        <v>40383</v>
      </c>
      <c r="F3455" s="6" t="n">
        <v>2.2</v>
      </c>
      <c r="G3455" t="n">
        <v>1</v>
      </c>
      <c r="H3455" s="6">
        <f>ROUND(G3455*F3455,2)</f>
        <v/>
      </c>
      <c r="I3455">
        <f>IF(ROUND(H3455-D3455,2)=0,1,0)</f>
        <v/>
      </c>
      <c r="J3455">
        <f>IF(F3455="","none",IF(G3455=1,"carte","multiple"))</f>
        <v/>
      </c>
    </row>
    <row r="3456">
      <c r="A3456" t="inlineStr">
        <is>
          <t>2022-07-29</t>
        </is>
      </c>
      <c r="B3456" t="inlineStr">
        <is>
          <t>11:35</t>
        </is>
      </c>
      <c r="C3456" t="n">
        <v>3018</v>
      </c>
      <c r="D3456" s="6" t="n">
        <v>15.6</v>
      </c>
      <c r="E3456" t="n">
        <v>40384</v>
      </c>
      <c r="F3456" s="6" t="n">
        <v>15.6</v>
      </c>
      <c r="G3456" t="n">
        <v>1</v>
      </c>
      <c r="H3456" s="6">
        <f>ROUND(G3456*F3456,2)</f>
        <v/>
      </c>
      <c r="I3456">
        <f>IF(ROUND(H3456-D3456,2)=0,1,0)</f>
        <v/>
      </c>
      <c r="J3456">
        <f>IF(F3456="","none",IF(G3456=1,"carte","multiple"))</f>
        <v/>
      </c>
    </row>
    <row r="3457">
      <c r="A3457" t="inlineStr">
        <is>
          <t>2022-07-29</t>
        </is>
      </c>
      <c r="B3457" t="inlineStr">
        <is>
          <t>11:35</t>
        </is>
      </c>
      <c r="C3457" t="n">
        <v>3018</v>
      </c>
      <c r="D3457" s="6" t="n">
        <v>15</v>
      </c>
      <c r="E3457" t="n">
        <v>40385</v>
      </c>
      <c r="F3457" s="6" t="n">
        <v>15</v>
      </c>
      <c r="G3457" t="n">
        <v>1</v>
      </c>
      <c r="H3457" s="6">
        <f>ROUND(G3457*F3457,2)</f>
        <v/>
      </c>
      <c r="I3457">
        <f>IF(ROUND(H3457-D3457,2)=0,1,0)</f>
        <v/>
      </c>
      <c r="J3457">
        <f>IF(F3457="","none",IF(G3457=1,"carte","multiple"))</f>
        <v/>
      </c>
    </row>
    <row r="3458">
      <c r="A3458" t="inlineStr">
        <is>
          <t>2022-07-29</t>
        </is>
      </c>
      <c r="B3458" t="inlineStr">
        <is>
          <t>12:09</t>
        </is>
      </c>
      <c r="C3458" t="n">
        <v>3018</v>
      </c>
      <c r="D3458" s="6" t="n">
        <v>1.8</v>
      </c>
      <c r="E3458" t="n">
        <v>40386</v>
      </c>
      <c r="F3458" s="6" t="n">
        <v>1.8</v>
      </c>
      <c r="G3458" t="n">
        <v>1</v>
      </c>
      <c r="H3458" s="6">
        <f>ROUND(G3458*F3458,2)</f>
        <v/>
      </c>
      <c r="I3458">
        <f>IF(ROUND(H3458-D3458,2)=0,1,0)</f>
        <v/>
      </c>
      <c r="J3458">
        <f>IF(F3458="","none",IF(G3458=1,"carte","multiple"))</f>
        <v/>
      </c>
    </row>
    <row r="3459">
      <c r="A3459" t="inlineStr">
        <is>
          <t>2022-07-29</t>
        </is>
      </c>
      <c r="B3459" t="inlineStr">
        <is>
          <t>12:09</t>
        </is>
      </c>
      <c r="C3459" t="n">
        <v>3018</v>
      </c>
      <c r="D3459" s="6" t="n">
        <v>1.8</v>
      </c>
      <c r="E3459" t="n">
        <v>40387</v>
      </c>
      <c r="F3459" s="6" t="n">
        <v>1.8</v>
      </c>
      <c r="G3459" t="n">
        <v>1</v>
      </c>
      <c r="H3459" s="6">
        <f>ROUND(G3459*F3459,2)</f>
        <v/>
      </c>
      <c r="I3459">
        <f>IF(ROUND(H3459-D3459,2)=0,1,0)</f>
        <v/>
      </c>
      <c r="J3459">
        <f>IF(F3459="","none",IF(G3459=1,"carte","multiple"))</f>
        <v/>
      </c>
    </row>
    <row r="3460">
      <c r="A3460" t="inlineStr">
        <is>
          <t>2022-07-29</t>
        </is>
      </c>
      <c r="B3460" t="inlineStr">
        <is>
          <t>13:02</t>
        </is>
      </c>
      <c r="C3460" t="n">
        <v>3018</v>
      </c>
      <c r="D3460" s="6" t="n">
        <v>2.2</v>
      </c>
      <c r="E3460" t="n">
        <v>40388</v>
      </c>
      <c r="F3460" s="6" t="n">
        <v>2.2</v>
      </c>
      <c r="G3460" t="n">
        <v>1</v>
      </c>
      <c r="H3460" s="6">
        <f>ROUND(G3460*F3460,2)</f>
        <v/>
      </c>
      <c r="I3460">
        <f>IF(ROUND(H3460-D3460,2)=0,1,0)</f>
        <v/>
      </c>
      <c r="J3460">
        <f>IF(F3460="","none",IF(G3460=1,"carte","multiple"))</f>
        <v/>
      </c>
    </row>
    <row r="3461">
      <c r="A3461" t="inlineStr">
        <is>
          <t>2022-07-29</t>
        </is>
      </c>
      <c r="B3461" t="inlineStr">
        <is>
          <t>13:02</t>
        </is>
      </c>
      <c r="C3461" t="n">
        <v>3018</v>
      </c>
      <c r="D3461" s="6" t="n">
        <v>6.9</v>
      </c>
      <c r="E3461" t="n">
        <v>40389</v>
      </c>
      <c r="F3461" s="6" t="n">
        <v>6.9</v>
      </c>
      <c r="G3461" t="n">
        <v>1</v>
      </c>
      <c r="H3461" s="6">
        <f>ROUND(G3461*F3461,2)</f>
        <v/>
      </c>
      <c r="I3461">
        <f>IF(ROUND(H3461-D3461,2)=0,1,0)</f>
        <v/>
      </c>
      <c r="J3461">
        <f>IF(F3461="","none",IF(G3461=1,"carte","multiple"))</f>
        <v/>
      </c>
    </row>
    <row r="3462">
      <c r="A3462" t="inlineStr">
        <is>
          <t>2022-07-29</t>
        </is>
      </c>
      <c r="B3462" t="inlineStr">
        <is>
          <t>13:02</t>
        </is>
      </c>
      <c r="C3462" t="n">
        <v>3018</v>
      </c>
      <c r="D3462" s="6" t="n">
        <v>30</v>
      </c>
      <c r="E3462" t="n">
        <v>40390</v>
      </c>
      <c r="F3462" s="6" t="n">
        <v>30</v>
      </c>
      <c r="G3462" t="n">
        <v>1</v>
      </c>
      <c r="H3462" s="6">
        <f>ROUND(G3462*F3462,2)</f>
        <v/>
      </c>
      <c r="I3462">
        <f>IF(ROUND(H3462-D3462,2)=0,1,0)</f>
        <v/>
      </c>
      <c r="J3462">
        <f>IF(F3462="","none",IF(G3462=1,"carte","multiple"))</f>
        <v/>
      </c>
    </row>
    <row r="3463">
      <c r="A3463" t="inlineStr">
        <is>
          <t>2022-07-29</t>
        </is>
      </c>
      <c r="B3463" t="inlineStr">
        <is>
          <t>13:02</t>
        </is>
      </c>
      <c r="C3463" t="n">
        <v>3018</v>
      </c>
      <c r="D3463" s="6" t="n">
        <v>28.6</v>
      </c>
      <c r="E3463" t="n">
        <v>40391</v>
      </c>
      <c r="F3463" s="6" t="n">
        <v>28.6</v>
      </c>
      <c r="G3463" t="n">
        <v>1</v>
      </c>
      <c r="H3463" s="6">
        <f>ROUND(G3463*F3463,2)</f>
        <v/>
      </c>
      <c r="I3463">
        <f>IF(ROUND(H3463-D3463,2)=0,1,0)</f>
        <v/>
      </c>
      <c r="J3463">
        <f>IF(F3463="","none",IF(G3463=1,"carte","multiple"))</f>
        <v/>
      </c>
    </row>
    <row r="3464">
      <c r="A3464" t="inlineStr">
        <is>
          <t>2022-07-29</t>
        </is>
      </c>
      <c r="B3464" t="inlineStr">
        <is>
          <t>13:02</t>
        </is>
      </c>
      <c r="C3464" t="n">
        <v>3018</v>
      </c>
      <c r="D3464" s="6" t="n">
        <v>27.8</v>
      </c>
      <c r="E3464" t="n">
        <v>40392</v>
      </c>
      <c r="F3464" s="6" t="n">
        <v>27.8</v>
      </c>
      <c r="G3464" t="n">
        <v>1</v>
      </c>
      <c r="H3464" s="6">
        <f>ROUND(G3464*F3464,2)</f>
        <v/>
      </c>
      <c r="I3464">
        <f>IF(ROUND(H3464-D3464,2)=0,1,0)</f>
        <v/>
      </c>
      <c r="J3464">
        <f>IF(F3464="","none",IF(G3464=1,"carte","multiple"))</f>
        <v/>
      </c>
    </row>
    <row r="3465">
      <c r="A3465" t="inlineStr">
        <is>
          <t>2022-07-29</t>
        </is>
      </c>
      <c r="B3465" t="inlineStr">
        <is>
          <t>13:02</t>
        </is>
      </c>
      <c r="C3465" t="n">
        <v>3018</v>
      </c>
      <c r="D3465" s="6" t="n">
        <v>5.2</v>
      </c>
      <c r="E3465" t="n">
        <v>40393</v>
      </c>
      <c r="F3465" s="6" t="n">
        <v>5.2</v>
      </c>
      <c r="G3465" t="n">
        <v>1</v>
      </c>
      <c r="H3465" s="6">
        <f>ROUND(G3465*F3465,2)</f>
        <v/>
      </c>
      <c r="I3465">
        <f>IF(ROUND(H3465-D3465,2)=0,1,0)</f>
        <v/>
      </c>
      <c r="J3465">
        <f>IF(F3465="","none",IF(G3465=1,"carte","multiple"))</f>
        <v/>
      </c>
    </row>
    <row r="3466">
      <c r="A3466" t="inlineStr">
        <is>
          <t>2022-07-29</t>
        </is>
      </c>
      <c r="B3466" t="inlineStr">
        <is>
          <t>13:02</t>
        </is>
      </c>
      <c r="C3466" t="n">
        <v>3018</v>
      </c>
      <c r="D3466" s="6" t="n">
        <v>7.5</v>
      </c>
      <c r="E3466" t="n">
        <v>40394</v>
      </c>
      <c r="F3466" s="6" t="n">
        <v>7.5</v>
      </c>
      <c r="G3466" t="n">
        <v>1</v>
      </c>
      <c r="H3466" s="6">
        <f>ROUND(G3466*F3466,2)</f>
        <v/>
      </c>
      <c r="I3466">
        <f>IF(ROUND(H3466-D3466,2)=0,1,0)</f>
        <v/>
      </c>
      <c r="J3466">
        <f>IF(F3466="","none",IF(G3466=1,"carte","multiple"))</f>
        <v/>
      </c>
    </row>
    <row r="3467">
      <c r="A3467" t="inlineStr">
        <is>
          <t>2022-07-29</t>
        </is>
      </c>
      <c r="B3467" t="inlineStr">
        <is>
          <t>17:42</t>
        </is>
      </c>
      <c r="C3467" t="n">
        <v>3018</v>
      </c>
      <c r="D3467" s="6" t="n">
        <v>3.9</v>
      </c>
      <c r="E3467" t="n">
        <v>40397</v>
      </c>
      <c r="F3467" s="6" t="n">
        <v>3.9</v>
      </c>
      <c r="G3467" t="n">
        <v>1</v>
      </c>
      <c r="H3467" s="6">
        <f>ROUND(G3467*F3467,2)</f>
        <v/>
      </c>
      <c r="I3467">
        <f>IF(ROUND(H3467-D3467,2)=0,1,0)</f>
        <v/>
      </c>
      <c r="J3467">
        <f>IF(F3467="","none",IF(G3467=1,"carte","multiple"))</f>
        <v/>
      </c>
    </row>
    <row r="3468">
      <c r="A3468" t="inlineStr">
        <is>
          <t>2022-07-29</t>
        </is>
      </c>
      <c r="B3468" t="inlineStr">
        <is>
          <t>17:42</t>
        </is>
      </c>
      <c r="C3468" t="n">
        <v>3018</v>
      </c>
      <c r="D3468" s="6" t="n">
        <v>2.2</v>
      </c>
      <c r="E3468" t="n">
        <v>40398</v>
      </c>
      <c r="F3468" s="6" t="n">
        <v>2.2</v>
      </c>
      <c r="G3468" t="n">
        <v>1</v>
      </c>
      <c r="H3468" s="6">
        <f>ROUND(G3468*F3468,2)</f>
        <v/>
      </c>
      <c r="I3468">
        <f>IF(ROUND(H3468-D3468,2)=0,1,0)</f>
        <v/>
      </c>
      <c r="J3468">
        <f>IF(F3468="","none",IF(G3468=1,"carte","multiple"))</f>
        <v/>
      </c>
    </row>
    <row r="3469">
      <c r="A3469" t="inlineStr">
        <is>
          <t>2022-07-29</t>
        </is>
      </c>
      <c r="B3469" t="inlineStr">
        <is>
          <t>17:42</t>
        </is>
      </c>
      <c r="C3469" t="n">
        <v>3018</v>
      </c>
      <c r="D3469" s="6" t="n">
        <v>7.8</v>
      </c>
      <c r="E3469" t="n">
        <v>40399</v>
      </c>
      <c r="F3469" s="6" t="n">
        <v>7.8</v>
      </c>
      <c r="G3469" t="n">
        <v>1</v>
      </c>
      <c r="H3469" s="6">
        <f>ROUND(G3469*F3469,2)</f>
        <v/>
      </c>
      <c r="I3469">
        <f>IF(ROUND(H3469-D3469,2)=0,1,0)</f>
        <v/>
      </c>
      <c r="J3469">
        <f>IF(F3469="","none",IF(G3469=1,"carte","multiple"))</f>
        <v/>
      </c>
    </row>
    <row r="3470">
      <c r="A3470" t="inlineStr">
        <is>
          <t>2022-07-29</t>
        </is>
      </c>
      <c r="B3470" t="inlineStr">
        <is>
          <t>17:42</t>
        </is>
      </c>
      <c r="C3470" t="n">
        <v>3018</v>
      </c>
      <c r="D3470" s="6" t="n">
        <v>7.8</v>
      </c>
      <c r="E3470" t="n">
        <v>40400</v>
      </c>
      <c r="F3470" s="6" t="n">
        <v>7.8</v>
      </c>
      <c r="G3470" t="n">
        <v>1</v>
      </c>
      <c r="H3470" s="6">
        <f>ROUND(G3470*F3470,2)</f>
        <v/>
      </c>
      <c r="I3470">
        <f>IF(ROUND(H3470-D3470,2)=0,1,0)</f>
        <v/>
      </c>
      <c r="J3470">
        <f>IF(F3470="","none",IF(G3470=1,"carte","multiple"))</f>
        <v/>
      </c>
    </row>
    <row r="3471">
      <c r="A3471" t="inlineStr">
        <is>
          <t>2022-07-29</t>
        </is>
      </c>
      <c r="B3471" t="inlineStr">
        <is>
          <t>17:42</t>
        </is>
      </c>
      <c r="C3471" t="n">
        <v>3018</v>
      </c>
      <c r="D3471" s="6" t="n">
        <v>3.9</v>
      </c>
      <c r="E3471" t="n">
        <v>40401</v>
      </c>
      <c r="F3471" s="6" t="n">
        <v>3.9</v>
      </c>
      <c r="G3471" t="n">
        <v>1</v>
      </c>
      <c r="H3471" s="6">
        <f>ROUND(G3471*F3471,2)</f>
        <v/>
      </c>
      <c r="I3471">
        <f>IF(ROUND(H3471-D3471,2)=0,1,0)</f>
        <v/>
      </c>
      <c r="J3471">
        <f>IF(F3471="","none",IF(G3471=1,"carte","multiple"))</f>
        <v/>
      </c>
    </row>
    <row r="3472">
      <c r="A3472" t="inlineStr">
        <is>
          <t>2022-07-29</t>
        </is>
      </c>
      <c r="B3472" t="inlineStr">
        <is>
          <t>18:09</t>
        </is>
      </c>
      <c r="C3472" t="n">
        <v>3018</v>
      </c>
      <c r="D3472" s="6" t="n">
        <v>7.9</v>
      </c>
      <c r="E3472" t="n">
        <v>40402</v>
      </c>
      <c r="F3472" s="6" t="n">
        <v>7.9</v>
      </c>
      <c r="G3472" t="n">
        <v>1</v>
      </c>
      <c r="H3472" s="6">
        <f>ROUND(G3472*F3472,2)</f>
        <v/>
      </c>
      <c r="I3472">
        <f>IF(ROUND(H3472-D3472,2)=0,1,0)</f>
        <v/>
      </c>
      <c r="J3472">
        <f>IF(F3472="","none",IF(G3472=1,"carte","multiple"))</f>
        <v/>
      </c>
    </row>
    <row r="3473">
      <c r="A3473" t="inlineStr">
        <is>
          <t>2022-07-29</t>
        </is>
      </c>
      <c r="B3473" t="inlineStr">
        <is>
          <t>18:43</t>
        </is>
      </c>
      <c r="C3473" t="n">
        <v>3018</v>
      </c>
      <c r="D3473" s="6" t="n">
        <v>3.4</v>
      </c>
      <c r="E3473" t="n">
        <v>40403</v>
      </c>
      <c r="F3473" s="6" t="n">
        <v>3.4</v>
      </c>
      <c r="G3473" t="n">
        <v>1</v>
      </c>
      <c r="H3473" s="6">
        <f>ROUND(G3473*F3473,2)</f>
        <v/>
      </c>
      <c r="I3473">
        <f>IF(ROUND(H3473-D3473,2)=0,1,0)</f>
        <v/>
      </c>
      <c r="J3473">
        <f>IF(F3473="","none",IF(G3473=1,"carte","multiple"))</f>
        <v/>
      </c>
    </row>
    <row r="3474">
      <c r="A3474" t="inlineStr">
        <is>
          <t>2022-07-29</t>
        </is>
      </c>
      <c r="B3474" t="inlineStr">
        <is>
          <t>18:44</t>
        </is>
      </c>
      <c r="C3474" t="n">
        <v>3018</v>
      </c>
      <c r="D3474" s="6" t="n">
        <v>11.6</v>
      </c>
      <c r="E3474" t="n">
        <v>40404</v>
      </c>
      <c r="F3474" s="6" t="n">
        <v>11.6</v>
      </c>
      <c r="G3474" t="n">
        <v>1</v>
      </c>
      <c r="H3474" s="6">
        <f>ROUND(G3474*F3474,2)</f>
        <v/>
      </c>
      <c r="I3474">
        <f>IF(ROUND(H3474-D3474,2)=0,1,0)</f>
        <v/>
      </c>
      <c r="J3474">
        <f>IF(F3474="","none",IF(G3474=1,"carte","multiple"))</f>
        <v/>
      </c>
    </row>
    <row r="3475">
      <c r="A3475" t="inlineStr">
        <is>
          <t>2022-07-29</t>
        </is>
      </c>
      <c r="B3475" t="inlineStr">
        <is>
          <t>19:08</t>
        </is>
      </c>
      <c r="C3475" t="n">
        <v>3018</v>
      </c>
      <c r="D3475" s="6" t="n">
        <v>3.9</v>
      </c>
      <c r="E3475" t="n">
        <v>40405</v>
      </c>
      <c r="F3475" s="6" t="n">
        <v>3.9</v>
      </c>
      <c r="G3475" t="n">
        <v>1</v>
      </c>
      <c r="H3475" s="6">
        <f>ROUND(G3475*F3475,2)</f>
        <v/>
      </c>
      <c r="I3475">
        <f>IF(ROUND(H3475-D3475,2)=0,1,0)</f>
        <v/>
      </c>
      <c r="J3475">
        <f>IF(F3475="","none",IF(G3475=1,"carte","multiple"))</f>
        <v/>
      </c>
    </row>
    <row r="3476">
      <c r="A3476" t="inlineStr">
        <is>
          <t>2022-07-29</t>
        </is>
      </c>
      <c r="B3476" t="inlineStr">
        <is>
          <t>19:41</t>
        </is>
      </c>
      <c r="C3476" t="n">
        <v>3018</v>
      </c>
      <c r="D3476" s="6" t="n">
        <v>0</v>
      </c>
      <c r="E3476" t="n">
        <v>40406</v>
      </c>
      <c r="H3476" t="inlineStr"/>
      <c r="I3476" t="inlineStr"/>
      <c r="J3476">
        <f>IF(F3476="","none",IF(G3476=1,"carte","multiple"))</f>
        <v/>
      </c>
    </row>
    <row r="3477">
      <c r="A3477" t="inlineStr">
        <is>
          <t>2022-07-29</t>
        </is>
      </c>
      <c r="B3477" t="inlineStr">
        <is>
          <t>20:58</t>
        </is>
      </c>
      <c r="C3477" t="n">
        <v>3018</v>
      </c>
      <c r="D3477" s="6" t="n">
        <v>19.9</v>
      </c>
      <c r="E3477" t="n">
        <v>40408</v>
      </c>
      <c r="F3477" s="6" t="n">
        <v>19.9</v>
      </c>
      <c r="G3477" t="n">
        <v>1</v>
      </c>
      <c r="H3477" s="6">
        <f>ROUND(G3477*F3477,2)</f>
        <v/>
      </c>
      <c r="I3477">
        <f>IF(ROUND(H3477-D3477,2)=0,1,0)</f>
        <v/>
      </c>
      <c r="J3477">
        <f>IF(F3477="","none",IF(G3477=1,"carte","multiple"))</f>
        <v/>
      </c>
    </row>
    <row r="3478">
      <c r="A3478" t="inlineStr">
        <is>
          <t>2022-07-29</t>
        </is>
      </c>
      <c r="B3478" t="inlineStr">
        <is>
          <t>20:58</t>
        </is>
      </c>
      <c r="C3478" t="n">
        <v>3018</v>
      </c>
      <c r="D3478" s="6" t="n">
        <v>16.4</v>
      </c>
      <c r="E3478" t="n">
        <v>40409</v>
      </c>
      <c r="F3478" s="6" t="n">
        <v>16.4</v>
      </c>
      <c r="G3478" t="n">
        <v>1</v>
      </c>
      <c r="H3478" s="6">
        <f>ROUND(G3478*F3478,2)</f>
        <v/>
      </c>
      <c r="I3478">
        <f>IF(ROUND(H3478-D3478,2)=0,1,0)</f>
        <v/>
      </c>
      <c r="J3478">
        <f>IF(F3478="","none",IF(G3478=1,"carte","multiple"))</f>
        <v/>
      </c>
    </row>
    <row r="3479">
      <c r="A3479" t="inlineStr">
        <is>
          <t>2022-07-29</t>
        </is>
      </c>
      <c r="B3479" t="inlineStr">
        <is>
          <t>20:58</t>
        </is>
      </c>
      <c r="C3479" t="n">
        <v>3018</v>
      </c>
      <c r="D3479" s="6" t="n">
        <v>8.9</v>
      </c>
      <c r="E3479" t="n">
        <v>40410</v>
      </c>
      <c r="F3479" s="6" t="n">
        <v>8.9</v>
      </c>
      <c r="G3479" t="n">
        <v>1</v>
      </c>
      <c r="H3479" s="6">
        <f>ROUND(G3479*F3479,2)</f>
        <v/>
      </c>
      <c r="I3479">
        <f>IF(ROUND(H3479-D3479,2)=0,1,0)</f>
        <v/>
      </c>
      <c r="J3479">
        <f>IF(F3479="","none",IF(G3479=1,"carte","multiple"))</f>
        <v/>
      </c>
    </row>
    <row r="3480">
      <c r="A3480" t="inlineStr">
        <is>
          <t>2022-07-29</t>
        </is>
      </c>
      <c r="B3480" t="inlineStr">
        <is>
          <t>20:58</t>
        </is>
      </c>
      <c r="C3480" t="n">
        <v>3018</v>
      </c>
      <c r="D3480" s="6" t="n">
        <v>8.4</v>
      </c>
      <c r="E3480" t="n">
        <v>40411</v>
      </c>
      <c r="F3480" s="6" t="n">
        <v>8.4</v>
      </c>
      <c r="G3480" t="n">
        <v>1</v>
      </c>
      <c r="H3480" s="6">
        <f>ROUND(G3480*F3480,2)</f>
        <v/>
      </c>
      <c r="I3480">
        <f>IF(ROUND(H3480-D3480,2)=0,1,0)</f>
        <v/>
      </c>
      <c r="J3480">
        <f>IF(F3480="","none",IF(G3480=1,"carte","multiple"))</f>
        <v/>
      </c>
    </row>
    <row r="3481">
      <c r="A3481" t="inlineStr">
        <is>
          <t>2022-07-30</t>
        </is>
      </c>
      <c r="B3481" t="inlineStr">
        <is>
          <t>10:54</t>
        </is>
      </c>
      <c r="C3481" t="n">
        <v>3019</v>
      </c>
      <c r="D3481" s="6" t="n">
        <v>5.9</v>
      </c>
      <c r="E3481" t="n">
        <v>40414</v>
      </c>
      <c r="F3481" s="6" t="n">
        <v>5.9</v>
      </c>
      <c r="G3481" t="n">
        <v>1</v>
      </c>
      <c r="H3481" s="6">
        <f>ROUND(G3481*F3481,2)</f>
        <v/>
      </c>
      <c r="I3481">
        <f>IF(ROUND(H3481-D3481,2)=0,1,0)</f>
        <v/>
      </c>
      <c r="J3481">
        <f>IF(F3481="","none",IF(G3481=1,"carte","multiple"))</f>
        <v/>
      </c>
    </row>
    <row r="3482">
      <c r="A3482" t="inlineStr">
        <is>
          <t>2022-07-30</t>
        </is>
      </c>
      <c r="B3482" t="inlineStr">
        <is>
          <t>11:24</t>
        </is>
      </c>
      <c r="C3482" t="n">
        <v>3019</v>
      </c>
      <c r="D3482" s="6" t="n">
        <v>2.2</v>
      </c>
      <c r="E3482" t="n">
        <v>40415</v>
      </c>
      <c r="F3482" s="6" t="n">
        <v>2.2</v>
      </c>
      <c r="G3482" t="n">
        <v>1</v>
      </c>
      <c r="H3482" s="6">
        <f>ROUND(G3482*F3482,2)</f>
        <v/>
      </c>
      <c r="I3482">
        <f>IF(ROUND(H3482-D3482,2)=0,1,0)</f>
        <v/>
      </c>
      <c r="J3482">
        <f>IF(F3482="","none",IF(G3482=1,"carte","multiple"))</f>
        <v/>
      </c>
    </row>
    <row r="3483">
      <c r="A3483" t="inlineStr">
        <is>
          <t>2022-07-30</t>
        </is>
      </c>
      <c r="B3483" t="inlineStr">
        <is>
          <t>11:24</t>
        </is>
      </c>
      <c r="C3483" t="n">
        <v>3019</v>
      </c>
      <c r="D3483" s="6" t="n">
        <v>15.9</v>
      </c>
      <c r="E3483" t="n">
        <v>40416</v>
      </c>
      <c r="F3483" s="6" t="n">
        <v>15.9</v>
      </c>
      <c r="G3483" t="n">
        <v>1</v>
      </c>
      <c r="H3483" s="6">
        <f>ROUND(G3483*F3483,2)</f>
        <v/>
      </c>
      <c r="I3483">
        <f>IF(ROUND(H3483-D3483,2)=0,1,0)</f>
        <v/>
      </c>
      <c r="J3483">
        <f>IF(F3483="","none",IF(G3483=1,"carte","multiple"))</f>
        <v/>
      </c>
    </row>
    <row r="3484">
      <c r="A3484" t="inlineStr">
        <is>
          <t>2022-07-30</t>
        </is>
      </c>
      <c r="B3484" t="inlineStr">
        <is>
          <t>11:24</t>
        </is>
      </c>
      <c r="C3484" t="n">
        <v>3019</v>
      </c>
      <c r="D3484" s="6" t="n">
        <v>19</v>
      </c>
      <c r="E3484" t="n">
        <v>40417</v>
      </c>
      <c r="F3484" s="6" t="n">
        <v>19</v>
      </c>
      <c r="G3484" t="n">
        <v>1</v>
      </c>
      <c r="H3484" s="6">
        <f>ROUND(G3484*F3484,2)</f>
        <v/>
      </c>
      <c r="I3484">
        <f>IF(ROUND(H3484-D3484,2)=0,1,0)</f>
        <v/>
      </c>
      <c r="J3484">
        <f>IF(F3484="","none",IF(G3484=1,"carte","multiple"))</f>
        <v/>
      </c>
    </row>
    <row r="3485">
      <c r="A3485" t="inlineStr">
        <is>
          <t>2022-07-30</t>
        </is>
      </c>
      <c r="B3485" t="inlineStr">
        <is>
          <t>11:24</t>
        </is>
      </c>
      <c r="C3485" t="n">
        <v>3019</v>
      </c>
      <c r="D3485" s="6" t="n">
        <v>7.8</v>
      </c>
      <c r="E3485" t="n">
        <v>40418</v>
      </c>
      <c r="F3485" s="6" t="n">
        <v>7.8</v>
      </c>
      <c r="G3485" t="n">
        <v>1</v>
      </c>
      <c r="H3485" s="6">
        <f>ROUND(G3485*F3485,2)</f>
        <v/>
      </c>
      <c r="I3485">
        <f>IF(ROUND(H3485-D3485,2)=0,1,0)</f>
        <v/>
      </c>
      <c r="J3485">
        <f>IF(F3485="","none",IF(G3485=1,"carte","multiple"))</f>
        <v/>
      </c>
    </row>
    <row r="3486">
      <c r="A3486" t="inlineStr">
        <is>
          <t>2022-07-30</t>
        </is>
      </c>
      <c r="B3486" t="inlineStr">
        <is>
          <t>11:44</t>
        </is>
      </c>
      <c r="C3486" t="n">
        <v>3019</v>
      </c>
      <c r="D3486" s="6" t="n">
        <v>17.6</v>
      </c>
      <c r="E3486" t="n">
        <v>40419</v>
      </c>
      <c r="F3486" s="6" t="n">
        <v>17.6</v>
      </c>
      <c r="G3486" t="n">
        <v>1</v>
      </c>
      <c r="H3486" s="6">
        <f>ROUND(G3486*F3486,2)</f>
        <v/>
      </c>
      <c r="I3486">
        <f>IF(ROUND(H3486-D3486,2)=0,1,0)</f>
        <v/>
      </c>
      <c r="J3486">
        <f>IF(F3486="","none",IF(G3486=1,"carte","multiple"))</f>
        <v/>
      </c>
    </row>
    <row r="3487">
      <c r="A3487" t="inlineStr">
        <is>
          <t>2022-07-30</t>
        </is>
      </c>
      <c r="B3487" t="inlineStr">
        <is>
          <t>11:54</t>
        </is>
      </c>
      <c r="C3487" t="n">
        <v>3019</v>
      </c>
      <c r="D3487" s="6" t="n">
        <v>9.9</v>
      </c>
      <c r="E3487" t="n">
        <v>40420</v>
      </c>
      <c r="F3487" s="6" t="n">
        <v>9.9</v>
      </c>
      <c r="G3487" t="n">
        <v>1</v>
      </c>
      <c r="H3487" s="6">
        <f>ROUND(G3487*F3487,2)</f>
        <v/>
      </c>
      <c r="I3487">
        <f>IF(ROUND(H3487-D3487,2)=0,1,0)</f>
        <v/>
      </c>
      <c r="J3487">
        <f>IF(F3487="","none",IF(G3487=1,"carte","multiple"))</f>
        <v/>
      </c>
    </row>
    <row r="3488">
      <c r="A3488" t="inlineStr">
        <is>
          <t>2022-07-30</t>
        </is>
      </c>
      <c r="B3488" t="inlineStr">
        <is>
          <t>12:12</t>
        </is>
      </c>
      <c r="C3488" t="n">
        <v>3019</v>
      </c>
      <c r="D3488" s="6" t="n">
        <v>6.9</v>
      </c>
      <c r="E3488" t="n">
        <v>40421</v>
      </c>
      <c r="F3488" s="6" t="n">
        <v>6.9</v>
      </c>
      <c r="G3488" t="n">
        <v>1</v>
      </c>
      <c r="H3488" s="6">
        <f>ROUND(G3488*F3488,2)</f>
        <v/>
      </c>
      <c r="I3488">
        <f>IF(ROUND(H3488-D3488,2)=0,1,0)</f>
        <v/>
      </c>
      <c r="J3488">
        <f>IF(F3488="","none",IF(G3488=1,"carte","multiple"))</f>
        <v/>
      </c>
    </row>
    <row r="3489">
      <c r="A3489" t="inlineStr">
        <is>
          <t>2022-07-30</t>
        </is>
      </c>
      <c r="B3489" t="inlineStr">
        <is>
          <t>12:12</t>
        </is>
      </c>
      <c r="C3489" t="n">
        <v>3019</v>
      </c>
      <c r="D3489" s="6" t="n">
        <v>5.8</v>
      </c>
      <c r="E3489" t="n">
        <v>40422</v>
      </c>
      <c r="F3489" s="6" t="n">
        <v>5.8</v>
      </c>
      <c r="G3489" t="n">
        <v>1</v>
      </c>
      <c r="H3489" s="6">
        <f>ROUND(G3489*F3489,2)</f>
        <v/>
      </c>
      <c r="I3489">
        <f>IF(ROUND(H3489-D3489,2)=0,1,0)</f>
        <v/>
      </c>
      <c r="J3489">
        <f>IF(F3489="","none",IF(G3489=1,"carte","multiple"))</f>
        <v/>
      </c>
    </row>
    <row r="3490">
      <c r="A3490" t="inlineStr">
        <is>
          <t>2022-07-30</t>
        </is>
      </c>
      <c r="B3490" t="inlineStr">
        <is>
          <t>12:12</t>
        </is>
      </c>
      <c r="C3490" t="n">
        <v>3019</v>
      </c>
      <c r="D3490" s="6" t="n">
        <v>7.5</v>
      </c>
      <c r="E3490" t="n">
        <v>40423</v>
      </c>
      <c r="F3490" s="6" t="n">
        <v>7.5</v>
      </c>
      <c r="G3490" t="n">
        <v>1</v>
      </c>
      <c r="H3490" s="6">
        <f>ROUND(G3490*F3490,2)</f>
        <v/>
      </c>
      <c r="I3490">
        <f>IF(ROUND(H3490-D3490,2)=0,1,0)</f>
        <v/>
      </c>
      <c r="J3490">
        <f>IF(F3490="","none",IF(G3490=1,"carte","multiple"))</f>
        <v/>
      </c>
    </row>
    <row r="3491">
      <c r="A3491" t="inlineStr">
        <is>
          <t>2022-07-30</t>
        </is>
      </c>
      <c r="B3491" t="inlineStr">
        <is>
          <t>12:12</t>
        </is>
      </c>
      <c r="C3491" t="n">
        <v>3019</v>
      </c>
      <c r="D3491" s="6" t="n">
        <v>8.699999999999999</v>
      </c>
      <c r="E3491" t="n">
        <v>40424</v>
      </c>
      <c r="F3491" s="6" t="n">
        <v>8.699999999999999</v>
      </c>
      <c r="G3491" t="n">
        <v>1</v>
      </c>
      <c r="H3491" s="6">
        <f>ROUND(G3491*F3491,2)</f>
        <v/>
      </c>
      <c r="I3491">
        <f>IF(ROUND(H3491-D3491,2)=0,1,0)</f>
        <v/>
      </c>
      <c r="J3491">
        <f>IF(F3491="","none",IF(G3491=1,"carte","multiple"))</f>
        <v/>
      </c>
    </row>
    <row r="3492">
      <c r="A3492" t="inlineStr">
        <is>
          <t>2022-07-30</t>
        </is>
      </c>
      <c r="B3492" t="inlineStr">
        <is>
          <t>12:12</t>
        </is>
      </c>
      <c r="C3492" t="n">
        <v>3019</v>
      </c>
      <c r="D3492" s="6" t="n">
        <v>19</v>
      </c>
      <c r="E3492" t="n">
        <v>40425</v>
      </c>
      <c r="F3492" s="6" t="n">
        <v>19</v>
      </c>
      <c r="G3492" t="n">
        <v>1</v>
      </c>
      <c r="H3492" s="6">
        <f>ROUND(G3492*F3492,2)</f>
        <v/>
      </c>
      <c r="I3492">
        <f>IF(ROUND(H3492-D3492,2)=0,1,0)</f>
        <v/>
      </c>
      <c r="J3492">
        <f>IF(F3492="","none",IF(G3492=1,"carte","multiple"))</f>
        <v/>
      </c>
    </row>
    <row r="3493">
      <c r="A3493" t="inlineStr">
        <is>
          <t>2022-07-30</t>
        </is>
      </c>
      <c r="B3493" t="inlineStr">
        <is>
          <t>12:12</t>
        </is>
      </c>
      <c r="C3493" t="n">
        <v>3019</v>
      </c>
      <c r="D3493" s="6" t="n">
        <v>18.6</v>
      </c>
      <c r="E3493" t="n">
        <v>40426</v>
      </c>
      <c r="F3493" s="6" t="n">
        <v>18.6</v>
      </c>
      <c r="G3493" t="n">
        <v>1</v>
      </c>
      <c r="H3493" s="6">
        <f>ROUND(G3493*F3493,2)</f>
        <v/>
      </c>
      <c r="I3493">
        <f>IF(ROUND(H3493-D3493,2)=0,1,0)</f>
        <v/>
      </c>
      <c r="J3493">
        <f>IF(F3493="","none",IF(G3493=1,"carte","multiple"))</f>
        <v/>
      </c>
    </row>
    <row r="3494">
      <c r="A3494" t="inlineStr">
        <is>
          <t>2022-07-30</t>
        </is>
      </c>
      <c r="B3494" t="inlineStr">
        <is>
          <t>12:12</t>
        </is>
      </c>
      <c r="C3494" t="n">
        <v>3019</v>
      </c>
      <c r="D3494" s="6" t="n">
        <v>21.6</v>
      </c>
      <c r="E3494" t="n">
        <v>40427</v>
      </c>
      <c r="F3494" s="6" t="n">
        <v>21.6</v>
      </c>
      <c r="G3494" t="n">
        <v>1</v>
      </c>
      <c r="H3494" s="6">
        <f>ROUND(G3494*F3494,2)</f>
        <v/>
      </c>
      <c r="I3494">
        <f>IF(ROUND(H3494-D3494,2)=0,1,0)</f>
        <v/>
      </c>
      <c r="J3494">
        <f>IF(F3494="","none",IF(G3494=1,"carte","multiple"))</f>
        <v/>
      </c>
    </row>
    <row r="3495">
      <c r="A3495" t="inlineStr">
        <is>
          <t>2022-07-30</t>
        </is>
      </c>
      <c r="B3495" t="inlineStr">
        <is>
          <t>12:12</t>
        </is>
      </c>
      <c r="C3495" t="n">
        <v>3019</v>
      </c>
      <c r="D3495" s="6" t="n">
        <v>27.8</v>
      </c>
      <c r="E3495" t="n">
        <v>40428</v>
      </c>
      <c r="F3495" s="6" t="n">
        <v>27.8</v>
      </c>
      <c r="G3495" t="n">
        <v>1</v>
      </c>
      <c r="H3495" s="6">
        <f>ROUND(G3495*F3495,2)</f>
        <v/>
      </c>
      <c r="I3495">
        <f>IF(ROUND(H3495-D3495,2)=0,1,0)</f>
        <v/>
      </c>
      <c r="J3495">
        <f>IF(F3495="","none",IF(G3495=1,"carte","multiple"))</f>
        <v/>
      </c>
    </row>
    <row r="3496">
      <c r="A3496" t="inlineStr">
        <is>
          <t>2022-07-30</t>
        </is>
      </c>
      <c r="B3496" t="inlineStr">
        <is>
          <t>12:12</t>
        </is>
      </c>
      <c r="C3496" t="n">
        <v>3019</v>
      </c>
      <c r="D3496" s="6" t="n">
        <v>0</v>
      </c>
      <c r="E3496" t="n">
        <v>40429</v>
      </c>
      <c r="H3496" t="inlineStr"/>
      <c r="I3496" t="inlineStr"/>
      <c r="J3496">
        <f>IF(F3496="","none",IF(G3496=1,"carte","multiple"))</f>
        <v/>
      </c>
    </row>
    <row r="3497">
      <c r="A3497" t="inlineStr">
        <is>
          <t>2022-07-30</t>
        </is>
      </c>
      <c r="B3497" t="inlineStr">
        <is>
          <t>12:12</t>
        </is>
      </c>
      <c r="C3497" t="n">
        <v>3019</v>
      </c>
      <c r="D3497" s="6" t="n">
        <v>0</v>
      </c>
      <c r="E3497" t="n">
        <v>40430</v>
      </c>
      <c r="H3497" t="inlineStr"/>
      <c r="I3497" t="inlineStr"/>
      <c r="J3497">
        <f>IF(F3497="","none",IF(G3497=1,"carte","multiple"))</f>
        <v/>
      </c>
    </row>
    <row r="3498">
      <c r="A3498" t="inlineStr">
        <is>
          <t>2022-07-30</t>
        </is>
      </c>
      <c r="B3498" t="inlineStr">
        <is>
          <t>12:12</t>
        </is>
      </c>
      <c r="C3498" t="n">
        <v>3019</v>
      </c>
      <c r="D3498" s="6" t="n">
        <v>0</v>
      </c>
      <c r="E3498" t="n">
        <v>40431</v>
      </c>
      <c r="H3498" t="inlineStr"/>
      <c r="I3498" t="inlineStr"/>
      <c r="J3498">
        <f>IF(F3498="","none",IF(G3498=1,"carte","multiple"))</f>
        <v/>
      </c>
    </row>
    <row r="3499">
      <c r="A3499" t="inlineStr">
        <is>
          <t>2022-07-30</t>
        </is>
      </c>
      <c r="B3499" t="inlineStr">
        <is>
          <t>12:12</t>
        </is>
      </c>
      <c r="C3499" t="n">
        <v>3019</v>
      </c>
      <c r="D3499" s="6" t="n">
        <v>0</v>
      </c>
      <c r="E3499" t="n">
        <v>40432</v>
      </c>
      <c r="H3499" t="inlineStr"/>
      <c r="I3499" t="inlineStr"/>
      <c r="J3499">
        <f>IF(F3499="","none",IF(G3499=1,"carte","multiple"))</f>
        <v/>
      </c>
    </row>
    <row r="3500">
      <c r="A3500" t="inlineStr">
        <is>
          <t>2022-07-30</t>
        </is>
      </c>
      <c r="B3500" t="inlineStr">
        <is>
          <t>12:29</t>
        </is>
      </c>
      <c r="C3500" t="n">
        <v>3019</v>
      </c>
      <c r="D3500" s="6" t="n">
        <v>2</v>
      </c>
      <c r="E3500" t="n">
        <v>40433</v>
      </c>
      <c r="F3500" s="6" t="n">
        <v>2</v>
      </c>
      <c r="G3500" t="n">
        <v>1</v>
      </c>
      <c r="H3500" s="6">
        <f>ROUND(G3500*F3500,2)</f>
        <v/>
      </c>
      <c r="I3500">
        <f>IF(ROUND(H3500-D3500,2)=0,1,0)</f>
        <v/>
      </c>
      <c r="J3500">
        <f>IF(F3500="","none",IF(G3500=1,"carte","multiple"))</f>
        <v/>
      </c>
    </row>
    <row r="3501">
      <c r="A3501" t="inlineStr">
        <is>
          <t>2022-07-30</t>
        </is>
      </c>
      <c r="B3501" t="inlineStr">
        <is>
          <t>12:29</t>
        </is>
      </c>
      <c r="C3501" t="n">
        <v>3019</v>
      </c>
      <c r="D3501" s="6" t="n">
        <v>8.699999999999999</v>
      </c>
      <c r="E3501" t="n">
        <v>40434</v>
      </c>
      <c r="F3501" s="6" t="n">
        <v>8.699999999999999</v>
      </c>
      <c r="G3501" t="n">
        <v>1</v>
      </c>
      <c r="H3501" s="6">
        <f>ROUND(G3501*F3501,2)</f>
        <v/>
      </c>
      <c r="I3501">
        <f>IF(ROUND(H3501-D3501,2)=0,1,0)</f>
        <v/>
      </c>
      <c r="J3501">
        <f>IF(F3501="","none",IF(G3501=1,"carte","multiple"))</f>
        <v/>
      </c>
    </row>
    <row r="3502">
      <c r="A3502" t="inlineStr">
        <is>
          <t>2022-07-30</t>
        </is>
      </c>
      <c r="B3502" t="inlineStr">
        <is>
          <t>12:29</t>
        </is>
      </c>
      <c r="C3502" t="n">
        <v>3019</v>
      </c>
      <c r="D3502" s="6" t="n">
        <v>27.8</v>
      </c>
      <c r="E3502" t="n">
        <v>40435</v>
      </c>
      <c r="F3502" s="6" t="n">
        <v>27.8</v>
      </c>
      <c r="G3502" t="n">
        <v>1</v>
      </c>
      <c r="H3502" s="6">
        <f>ROUND(G3502*F3502,2)</f>
        <v/>
      </c>
      <c r="I3502">
        <f>IF(ROUND(H3502-D3502,2)=0,1,0)</f>
        <v/>
      </c>
      <c r="J3502">
        <f>IF(F3502="","none",IF(G3502=1,"carte","multiple"))</f>
        <v/>
      </c>
    </row>
    <row r="3503">
      <c r="A3503" t="inlineStr">
        <is>
          <t>2022-07-30</t>
        </is>
      </c>
      <c r="B3503" t="inlineStr">
        <is>
          <t>12:29</t>
        </is>
      </c>
      <c r="C3503" t="n">
        <v>3019</v>
      </c>
      <c r="D3503" s="6" t="n">
        <v>19.9</v>
      </c>
      <c r="E3503" t="n">
        <v>40436</v>
      </c>
      <c r="F3503" s="6" t="n">
        <v>19.9</v>
      </c>
      <c r="G3503" t="n">
        <v>1</v>
      </c>
      <c r="H3503" s="6">
        <f>ROUND(G3503*F3503,2)</f>
        <v/>
      </c>
      <c r="I3503">
        <f>IF(ROUND(H3503-D3503,2)=0,1,0)</f>
        <v/>
      </c>
      <c r="J3503">
        <f>IF(F3503="","none",IF(G3503=1,"carte","multiple"))</f>
        <v/>
      </c>
    </row>
    <row r="3504">
      <c r="A3504" t="inlineStr">
        <is>
          <t>2022-07-30</t>
        </is>
      </c>
      <c r="B3504" t="inlineStr">
        <is>
          <t>12:29</t>
        </is>
      </c>
      <c r="C3504" t="n">
        <v>3019</v>
      </c>
      <c r="D3504" s="6" t="n">
        <v>19.8</v>
      </c>
      <c r="E3504" t="n">
        <v>40437</v>
      </c>
      <c r="F3504" s="6" t="n">
        <v>19.8</v>
      </c>
      <c r="G3504" t="n">
        <v>1</v>
      </c>
      <c r="H3504" s="6">
        <f>ROUND(G3504*F3504,2)</f>
        <v/>
      </c>
      <c r="I3504">
        <f>IF(ROUND(H3504-D3504,2)=0,1,0)</f>
        <v/>
      </c>
      <c r="J3504">
        <f>IF(F3504="","none",IF(G3504=1,"carte","multiple"))</f>
        <v/>
      </c>
    </row>
    <row r="3505">
      <c r="A3505" t="inlineStr">
        <is>
          <t>2022-07-30</t>
        </is>
      </c>
      <c r="B3505" t="inlineStr">
        <is>
          <t>12:29</t>
        </is>
      </c>
      <c r="C3505" t="n">
        <v>3019</v>
      </c>
      <c r="D3505" s="6" t="n">
        <v>5.9</v>
      </c>
      <c r="E3505" t="n">
        <v>40438</v>
      </c>
      <c r="F3505" s="6" t="n">
        <v>5.9</v>
      </c>
      <c r="G3505" t="n">
        <v>1</v>
      </c>
      <c r="H3505" s="6">
        <f>ROUND(G3505*F3505,2)</f>
        <v/>
      </c>
      <c r="I3505">
        <f>IF(ROUND(H3505-D3505,2)=0,1,0)</f>
        <v/>
      </c>
      <c r="J3505">
        <f>IF(F3505="","none",IF(G3505=1,"carte","multiple"))</f>
        <v/>
      </c>
    </row>
    <row r="3506">
      <c r="A3506" t="inlineStr">
        <is>
          <t>2022-07-30</t>
        </is>
      </c>
      <c r="B3506" t="inlineStr">
        <is>
          <t>12:29</t>
        </is>
      </c>
      <c r="C3506" t="n">
        <v>3019</v>
      </c>
      <c r="D3506" s="6" t="n">
        <v>3.9</v>
      </c>
      <c r="E3506" t="n">
        <v>40439</v>
      </c>
      <c r="F3506" s="6" t="n">
        <v>3.9</v>
      </c>
      <c r="G3506" t="n">
        <v>1</v>
      </c>
      <c r="H3506" s="6">
        <f>ROUND(G3506*F3506,2)</f>
        <v/>
      </c>
      <c r="I3506">
        <f>IF(ROUND(H3506-D3506,2)=0,1,0)</f>
        <v/>
      </c>
      <c r="J3506">
        <f>IF(F3506="","none",IF(G3506=1,"carte","multiple"))</f>
        <v/>
      </c>
    </row>
    <row r="3507">
      <c r="A3507" t="inlineStr">
        <is>
          <t>2022-07-30</t>
        </is>
      </c>
      <c r="B3507" t="inlineStr">
        <is>
          <t>12:29</t>
        </is>
      </c>
      <c r="C3507" t="n">
        <v>3019</v>
      </c>
      <c r="D3507" s="6" t="n">
        <v>3.9</v>
      </c>
      <c r="E3507" t="n">
        <v>40440</v>
      </c>
      <c r="F3507" s="6" t="n">
        <v>3.9</v>
      </c>
      <c r="G3507" t="n">
        <v>1</v>
      </c>
      <c r="H3507" s="6">
        <f>ROUND(G3507*F3507,2)</f>
        <v/>
      </c>
      <c r="I3507">
        <f>IF(ROUND(H3507-D3507,2)=0,1,0)</f>
        <v/>
      </c>
      <c r="J3507">
        <f>IF(F3507="","none",IF(G3507=1,"carte","multiple"))</f>
        <v/>
      </c>
    </row>
    <row r="3508">
      <c r="A3508" t="inlineStr">
        <is>
          <t>2022-07-30</t>
        </is>
      </c>
      <c r="B3508" t="inlineStr">
        <is>
          <t>12:29</t>
        </is>
      </c>
      <c r="C3508" t="n">
        <v>3019</v>
      </c>
      <c r="D3508" s="6" t="n">
        <v>3.9</v>
      </c>
      <c r="E3508" t="n">
        <v>40441</v>
      </c>
      <c r="F3508" s="6" t="n">
        <v>3.9</v>
      </c>
      <c r="G3508" t="n">
        <v>1</v>
      </c>
      <c r="H3508" s="6">
        <f>ROUND(G3508*F3508,2)</f>
        <v/>
      </c>
      <c r="I3508">
        <f>IF(ROUND(H3508-D3508,2)=0,1,0)</f>
        <v/>
      </c>
      <c r="J3508">
        <f>IF(F3508="","none",IF(G3508=1,"carte","multiple"))</f>
        <v/>
      </c>
    </row>
    <row r="3509">
      <c r="A3509" t="inlineStr">
        <is>
          <t>2022-07-30</t>
        </is>
      </c>
      <c r="B3509" t="inlineStr">
        <is>
          <t>12:53</t>
        </is>
      </c>
      <c r="C3509" t="n">
        <v>3019</v>
      </c>
      <c r="D3509" s="6" t="n">
        <v>4.4</v>
      </c>
      <c r="E3509" t="n">
        <v>40442</v>
      </c>
      <c r="F3509" s="6" t="n">
        <v>0.4</v>
      </c>
      <c r="G3509" t="n">
        <v>11</v>
      </c>
      <c r="H3509" s="6">
        <f>ROUND(G3509*F3509,2)</f>
        <v/>
      </c>
      <c r="I3509">
        <f>IF(ROUND(H3509-D3509,2)=0,1,0)</f>
        <v/>
      </c>
      <c r="J3509">
        <f>IF(F3509="","none",IF(G3509=1,"carte","multiple"))</f>
        <v/>
      </c>
    </row>
    <row r="3510">
      <c r="A3510" t="inlineStr">
        <is>
          <t>2022-07-30</t>
        </is>
      </c>
      <c r="B3510" t="inlineStr">
        <is>
          <t>12:53</t>
        </is>
      </c>
      <c r="C3510" t="n">
        <v>3019</v>
      </c>
      <c r="D3510" s="6" t="n">
        <v>35.2</v>
      </c>
      <c r="E3510" t="n">
        <v>40443</v>
      </c>
      <c r="F3510" s="6" t="n">
        <v>0.4</v>
      </c>
      <c r="G3510" t="n">
        <v>88</v>
      </c>
      <c r="H3510" s="6">
        <f>ROUND(G3510*F3510,2)</f>
        <v/>
      </c>
      <c r="I3510">
        <f>IF(ROUND(H3510-D3510,2)=0,1,0)</f>
        <v/>
      </c>
      <c r="J3510">
        <f>IF(F3510="","none",IF(G3510=1,"carte","multiple"))</f>
        <v/>
      </c>
    </row>
    <row r="3511">
      <c r="A3511" t="inlineStr">
        <is>
          <t>2022-07-30</t>
        </is>
      </c>
      <c r="B3511" t="inlineStr">
        <is>
          <t>12:53</t>
        </is>
      </c>
      <c r="C3511" t="n">
        <v>3019</v>
      </c>
      <c r="D3511" s="6" t="n">
        <v>4</v>
      </c>
      <c r="E3511" t="n">
        <v>40444</v>
      </c>
      <c r="F3511" s="6" t="n">
        <v>4</v>
      </c>
      <c r="G3511" t="n">
        <v>1</v>
      </c>
      <c r="H3511" s="6">
        <f>ROUND(G3511*F3511,2)</f>
        <v/>
      </c>
      <c r="I3511">
        <f>IF(ROUND(H3511-D3511,2)=0,1,0)</f>
        <v/>
      </c>
      <c r="J3511">
        <f>IF(F3511="","none",IF(G3511=1,"carte","multiple"))</f>
        <v/>
      </c>
    </row>
    <row r="3512">
      <c r="A3512" t="inlineStr">
        <is>
          <t>2022-07-30</t>
        </is>
      </c>
      <c r="B3512" t="inlineStr">
        <is>
          <t>12:53</t>
        </is>
      </c>
      <c r="C3512" t="n">
        <v>3019</v>
      </c>
      <c r="D3512" s="6" t="n">
        <v>2.2</v>
      </c>
      <c r="E3512" t="n">
        <v>40445</v>
      </c>
      <c r="F3512" s="6" t="n">
        <v>2.2</v>
      </c>
      <c r="G3512" t="n">
        <v>1</v>
      </c>
      <c r="H3512" s="6">
        <f>ROUND(G3512*F3512,2)</f>
        <v/>
      </c>
      <c r="I3512">
        <f>IF(ROUND(H3512-D3512,2)=0,1,0)</f>
        <v/>
      </c>
      <c r="J3512">
        <f>IF(F3512="","none",IF(G3512=1,"carte","multiple"))</f>
        <v/>
      </c>
    </row>
    <row r="3513">
      <c r="A3513" t="inlineStr">
        <is>
          <t>2022-07-30</t>
        </is>
      </c>
      <c r="B3513" t="inlineStr">
        <is>
          <t>12:55</t>
        </is>
      </c>
      <c r="C3513" t="n">
        <v>3019</v>
      </c>
      <c r="D3513" s="6" t="n">
        <v>4.4</v>
      </c>
      <c r="E3513" t="n">
        <v>40446</v>
      </c>
      <c r="F3513" s="6" t="n">
        <v>0.4</v>
      </c>
      <c r="G3513" t="n">
        <v>11</v>
      </c>
      <c r="H3513" s="6">
        <f>ROUND(G3513*F3513,2)</f>
        <v/>
      </c>
      <c r="I3513">
        <f>IF(ROUND(H3513-D3513,2)=0,1,0)</f>
        <v/>
      </c>
      <c r="J3513">
        <f>IF(F3513="","none",IF(G3513=1,"carte","multiple"))</f>
        <v/>
      </c>
    </row>
    <row r="3514">
      <c r="A3514" t="inlineStr">
        <is>
          <t>2022-07-30</t>
        </is>
      </c>
      <c r="B3514" t="inlineStr">
        <is>
          <t>12:55</t>
        </is>
      </c>
      <c r="C3514" t="n">
        <v>3019</v>
      </c>
      <c r="D3514" s="6" t="n">
        <v>2</v>
      </c>
      <c r="E3514" t="n">
        <v>40447</v>
      </c>
      <c r="F3514" s="6" t="n">
        <v>2</v>
      </c>
      <c r="G3514" t="n">
        <v>1</v>
      </c>
      <c r="H3514" s="6">
        <f>ROUND(G3514*F3514,2)</f>
        <v/>
      </c>
      <c r="I3514">
        <f>IF(ROUND(H3514-D3514,2)=0,1,0)</f>
        <v/>
      </c>
      <c r="J3514">
        <f>IF(F3514="","none",IF(G3514=1,"carte","multiple"))</f>
        <v/>
      </c>
    </row>
    <row r="3515">
      <c r="A3515" t="inlineStr">
        <is>
          <t>2022-07-30</t>
        </is>
      </c>
      <c r="B3515" t="inlineStr">
        <is>
          <t>12:55</t>
        </is>
      </c>
      <c r="C3515" t="n">
        <v>3019</v>
      </c>
      <c r="D3515" s="6" t="n">
        <v>6.9</v>
      </c>
      <c r="E3515" t="n">
        <v>40448</v>
      </c>
      <c r="F3515" s="6" t="n">
        <v>6.9</v>
      </c>
      <c r="G3515" t="n">
        <v>1</v>
      </c>
      <c r="H3515" s="6">
        <f>ROUND(G3515*F3515,2)</f>
        <v/>
      </c>
      <c r="I3515">
        <f>IF(ROUND(H3515-D3515,2)=0,1,0)</f>
        <v/>
      </c>
      <c r="J3515">
        <f>IF(F3515="","none",IF(G3515=1,"carte","multiple"))</f>
        <v/>
      </c>
    </row>
    <row r="3516">
      <c r="A3516" t="inlineStr">
        <is>
          <t>2022-07-30</t>
        </is>
      </c>
      <c r="B3516" t="inlineStr">
        <is>
          <t>12:55</t>
        </is>
      </c>
      <c r="C3516" t="n">
        <v>3019</v>
      </c>
      <c r="D3516" s="6" t="n">
        <v>7.8</v>
      </c>
      <c r="E3516" t="n">
        <v>40449</v>
      </c>
      <c r="F3516" s="6" t="n">
        <v>7.8</v>
      </c>
      <c r="G3516" t="n">
        <v>1</v>
      </c>
      <c r="H3516" s="6">
        <f>ROUND(G3516*F3516,2)</f>
        <v/>
      </c>
      <c r="I3516">
        <f>IF(ROUND(H3516-D3516,2)=0,1,0)</f>
        <v/>
      </c>
      <c r="J3516">
        <f>IF(F3516="","none",IF(G3516=1,"carte","multiple"))</f>
        <v/>
      </c>
    </row>
    <row r="3517">
      <c r="A3517" t="inlineStr">
        <is>
          <t>2022-07-30</t>
        </is>
      </c>
      <c r="B3517" t="inlineStr">
        <is>
          <t>12:55</t>
        </is>
      </c>
      <c r="C3517" t="n">
        <v>3019</v>
      </c>
      <c r="D3517" s="6" t="n">
        <v>28</v>
      </c>
      <c r="E3517" t="n">
        <v>40450</v>
      </c>
      <c r="F3517" s="6" t="n">
        <v>28</v>
      </c>
      <c r="G3517" t="n">
        <v>1</v>
      </c>
      <c r="H3517" s="6">
        <f>ROUND(G3517*F3517,2)</f>
        <v/>
      </c>
      <c r="I3517">
        <f>IF(ROUND(H3517-D3517,2)=0,1,0)</f>
        <v/>
      </c>
      <c r="J3517">
        <f>IF(F3517="","none",IF(G3517=1,"carte","multiple"))</f>
        <v/>
      </c>
    </row>
    <row r="3518">
      <c r="A3518" t="inlineStr">
        <is>
          <t>2022-07-30</t>
        </is>
      </c>
      <c r="B3518" t="inlineStr">
        <is>
          <t>12:55</t>
        </is>
      </c>
      <c r="C3518" t="n">
        <v>3019</v>
      </c>
      <c r="D3518" s="6" t="n">
        <v>17.6</v>
      </c>
      <c r="E3518" t="n">
        <v>40451</v>
      </c>
      <c r="F3518" s="6" t="n">
        <v>17.6</v>
      </c>
      <c r="G3518" t="n">
        <v>1</v>
      </c>
      <c r="H3518" s="6">
        <f>ROUND(G3518*F3518,2)</f>
        <v/>
      </c>
      <c r="I3518">
        <f>IF(ROUND(H3518-D3518,2)=0,1,0)</f>
        <v/>
      </c>
      <c r="J3518">
        <f>IF(F3518="","none",IF(G3518=1,"carte","multiple"))</f>
        <v/>
      </c>
    </row>
    <row r="3519">
      <c r="A3519" t="inlineStr">
        <is>
          <t>2022-07-30</t>
        </is>
      </c>
      <c r="B3519" t="inlineStr">
        <is>
          <t>12:55</t>
        </is>
      </c>
      <c r="C3519" t="n">
        <v>3019</v>
      </c>
      <c r="D3519" s="6" t="n">
        <v>19</v>
      </c>
      <c r="E3519" t="n">
        <v>40452</v>
      </c>
      <c r="F3519" s="6" t="n">
        <v>19</v>
      </c>
      <c r="G3519" t="n">
        <v>1</v>
      </c>
      <c r="H3519" s="6">
        <f>ROUND(G3519*F3519,2)</f>
        <v/>
      </c>
      <c r="I3519">
        <f>IF(ROUND(H3519-D3519,2)=0,1,0)</f>
        <v/>
      </c>
      <c r="J3519">
        <f>IF(F3519="","none",IF(G3519=1,"carte","multiple"))</f>
        <v/>
      </c>
    </row>
    <row r="3520">
      <c r="A3520" t="inlineStr">
        <is>
          <t>2022-07-30</t>
        </is>
      </c>
      <c r="B3520" t="inlineStr">
        <is>
          <t>12:55</t>
        </is>
      </c>
      <c r="C3520" t="n">
        <v>3019</v>
      </c>
      <c r="D3520" s="6" t="n">
        <v>2.2</v>
      </c>
      <c r="E3520" t="n">
        <v>40453</v>
      </c>
      <c r="F3520" s="6" t="n">
        <v>2.2</v>
      </c>
      <c r="G3520" t="n">
        <v>1</v>
      </c>
      <c r="H3520" s="6">
        <f>ROUND(G3520*F3520,2)</f>
        <v/>
      </c>
      <c r="I3520">
        <f>IF(ROUND(H3520-D3520,2)=0,1,0)</f>
        <v/>
      </c>
      <c r="J3520">
        <f>IF(F3520="","none",IF(G3520=1,"carte","multiple"))</f>
        <v/>
      </c>
    </row>
    <row r="3521">
      <c r="A3521" t="inlineStr">
        <is>
          <t>2022-07-30</t>
        </is>
      </c>
      <c r="B3521" t="inlineStr">
        <is>
          <t>12:55</t>
        </is>
      </c>
      <c r="C3521" t="n">
        <v>3019</v>
      </c>
      <c r="D3521" s="6" t="n">
        <v>38</v>
      </c>
      <c r="E3521" t="n">
        <v>40454</v>
      </c>
      <c r="F3521" s="6" t="n">
        <v>0.4</v>
      </c>
      <c r="G3521" t="n">
        <v>95</v>
      </c>
      <c r="H3521" s="6">
        <f>ROUND(G3521*F3521,2)</f>
        <v/>
      </c>
      <c r="I3521">
        <f>IF(ROUND(H3521-D3521,2)=0,1,0)</f>
        <v/>
      </c>
      <c r="J3521">
        <f>IF(F3521="","none",IF(G3521=1,"carte","multiple"))</f>
        <v/>
      </c>
    </row>
    <row r="3522">
      <c r="A3522" t="inlineStr">
        <is>
          <t>2022-07-30</t>
        </is>
      </c>
      <c r="B3522" t="inlineStr">
        <is>
          <t>18:10</t>
        </is>
      </c>
      <c r="C3522" t="n">
        <v>3019</v>
      </c>
      <c r="D3522" s="6" t="n">
        <v>17.6</v>
      </c>
      <c r="E3522" t="n">
        <v>40455</v>
      </c>
      <c r="F3522" s="6" t="n">
        <v>17.6</v>
      </c>
      <c r="G3522" t="n">
        <v>1</v>
      </c>
      <c r="H3522" s="6">
        <f>ROUND(G3522*F3522,2)</f>
        <v/>
      </c>
      <c r="I3522">
        <f>IF(ROUND(H3522-D3522,2)=0,1,0)</f>
        <v/>
      </c>
      <c r="J3522">
        <f>IF(F3522="","none",IF(G3522=1,"carte","multiple"))</f>
        <v/>
      </c>
    </row>
    <row r="3523">
      <c r="A3523" t="inlineStr">
        <is>
          <t>2022-07-30</t>
        </is>
      </c>
      <c r="B3523" t="inlineStr">
        <is>
          <t>18:10</t>
        </is>
      </c>
      <c r="C3523" t="n">
        <v>3019</v>
      </c>
      <c r="D3523" s="6" t="n">
        <v>38</v>
      </c>
      <c r="E3523" t="n">
        <v>40456</v>
      </c>
      <c r="F3523" s="6" t="n">
        <v>0.4</v>
      </c>
      <c r="G3523" t="n">
        <v>95</v>
      </c>
      <c r="H3523" s="6">
        <f>ROUND(G3523*F3523,2)</f>
        <v/>
      </c>
      <c r="I3523">
        <f>IF(ROUND(H3523-D3523,2)=0,1,0)</f>
        <v/>
      </c>
      <c r="J3523">
        <f>IF(F3523="","none",IF(G3523=1,"carte","multiple"))</f>
        <v/>
      </c>
    </row>
    <row r="3524">
      <c r="A3524" t="inlineStr">
        <is>
          <t>2022-07-30</t>
        </is>
      </c>
      <c r="B3524" t="inlineStr">
        <is>
          <t>18:10</t>
        </is>
      </c>
      <c r="C3524" t="n">
        <v>3019</v>
      </c>
      <c r="D3524" s="6" t="n">
        <v>17.6</v>
      </c>
      <c r="E3524" t="n">
        <v>40457</v>
      </c>
      <c r="F3524" s="6" t="n">
        <v>17.6</v>
      </c>
      <c r="G3524" t="n">
        <v>1</v>
      </c>
      <c r="H3524" s="6">
        <f>ROUND(G3524*F3524,2)</f>
        <v/>
      </c>
      <c r="I3524">
        <f>IF(ROUND(H3524-D3524,2)=0,1,0)</f>
        <v/>
      </c>
      <c r="J3524">
        <f>IF(F3524="","none",IF(G3524=1,"carte","multiple"))</f>
        <v/>
      </c>
    </row>
    <row r="3525">
      <c r="A3525" t="inlineStr">
        <is>
          <t>2022-07-30</t>
        </is>
      </c>
      <c r="B3525" t="inlineStr">
        <is>
          <t>18:10</t>
        </is>
      </c>
      <c r="C3525" t="n">
        <v>3019</v>
      </c>
      <c r="D3525" s="6" t="n">
        <v>35.2</v>
      </c>
      <c r="E3525" t="n">
        <v>40458</v>
      </c>
      <c r="F3525" s="6" t="n">
        <v>0.4</v>
      </c>
      <c r="G3525" t="n">
        <v>88</v>
      </c>
      <c r="H3525" s="6">
        <f>ROUND(G3525*F3525,2)</f>
        <v/>
      </c>
      <c r="I3525">
        <f>IF(ROUND(H3525-D3525,2)=0,1,0)</f>
        <v/>
      </c>
      <c r="J3525">
        <f>IF(F3525="","none",IF(G3525=1,"carte","multiple"))</f>
        <v/>
      </c>
    </row>
    <row r="3526">
      <c r="A3526" t="inlineStr">
        <is>
          <t>2022-07-30</t>
        </is>
      </c>
      <c r="B3526" t="inlineStr">
        <is>
          <t>18:10</t>
        </is>
      </c>
      <c r="C3526" t="n">
        <v>3019</v>
      </c>
      <c r="D3526" s="6" t="n">
        <v>17.6</v>
      </c>
      <c r="E3526" t="n">
        <v>40459</v>
      </c>
      <c r="F3526" s="6" t="n">
        <v>17.6</v>
      </c>
      <c r="G3526" t="n">
        <v>1</v>
      </c>
      <c r="H3526" s="6">
        <f>ROUND(G3526*F3526,2)</f>
        <v/>
      </c>
      <c r="I3526">
        <f>IF(ROUND(H3526-D3526,2)=0,1,0)</f>
        <v/>
      </c>
      <c r="J3526">
        <f>IF(F3526="","none",IF(G3526=1,"carte","multiple"))</f>
        <v/>
      </c>
    </row>
    <row r="3527">
      <c r="A3527" t="inlineStr">
        <is>
          <t>2022-07-30</t>
        </is>
      </c>
      <c r="B3527" t="inlineStr">
        <is>
          <t>18:10</t>
        </is>
      </c>
      <c r="C3527" t="n">
        <v>3019</v>
      </c>
      <c r="D3527" s="6" t="n">
        <v>13.4</v>
      </c>
      <c r="E3527" t="n">
        <v>40460</v>
      </c>
      <c r="F3527" s="6" t="n">
        <v>13.4</v>
      </c>
      <c r="G3527" t="n">
        <v>1</v>
      </c>
      <c r="H3527" s="6">
        <f>ROUND(G3527*F3527,2)</f>
        <v/>
      </c>
      <c r="I3527">
        <f>IF(ROUND(H3527-D3527,2)=0,1,0)</f>
        <v/>
      </c>
      <c r="J3527">
        <f>IF(F3527="","none",IF(G3527=1,"carte","multiple"))</f>
        <v/>
      </c>
    </row>
    <row r="3528">
      <c r="A3528" t="inlineStr">
        <is>
          <t>2022-07-30</t>
        </is>
      </c>
      <c r="B3528" t="inlineStr">
        <is>
          <t>18:25</t>
        </is>
      </c>
      <c r="C3528" t="n">
        <v>3019</v>
      </c>
      <c r="D3528" s="6" t="n">
        <v>4</v>
      </c>
      <c r="E3528" t="n">
        <v>40461</v>
      </c>
      <c r="F3528" s="6" t="n">
        <v>4</v>
      </c>
      <c r="G3528" t="n">
        <v>1</v>
      </c>
      <c r="H3528" s="6">
        <f>ROUND(G3528*F3528,2)</f>
        <v/>
      </c>
      <c r="I3528">
        <f>IF(ROUND(H3528-D3528,2)=0,1,0)</f>
        <v/>
      </c>
      <c r="J3528">
        <f>IF(F3528="","none",IF(G3528=1,"carte","multiple"))</f>
        <v/>
      </c>
    </row>
    <row r="3529">
      <c r="A3529" t="inlineStr">
        <is>
          <t>2022-07-30</t>
        </is>
      </c>
      <c r="B3529" t="inlineStr">
        <is>
          <t>18:39</t>
        </is>
      </c>
      <c r="C3529" t="n">
        <v>3019</v>
      </c>
      <c r="D3529" s="6" t="n">
        <v>29.9</v>
      </c>
      <c r="E3529" t="n">
        <v>40462</v>
      </c>
      <c r="F3529" s="6" t="n">
        <v>29.9</v>
      </c>
      <c r="G3529" t="n">
        <v>1</v>
      </c>
      <c r="H3529" s="6">
        <f>ROUND(G3529*F3529,2)</f>
        <v/>
      </c>
      <c r="I3529">
        <f>IF(ROUND(H3529-D3529,2)=0,1,0)</f>
        <v/>
      </c>
      <c r="J3529">
        <f>IF(F3529="","none",IF(G3529=1,"carte","multiple"))</f>
        <v/>
      </c>
    </row>
    <row r="3530">
      <c r="A3530" t="inlineStr">
        <is>
          <t>2022-07-30</t>
        </is>
      </c>
      <c r="B3530" t="inlineStr">
        <is>
          <t>19:12</t>
        </is>
      </c>
      <c r="C3530" t="n">
        <v>3019</v>
      </c>
      <c r="D3530" s="6" t="n">
        <v>17.6</v>
      </c>
      <c r="E3530" t="n">
        <v>40463</v>
      </c>
      <c r="F3530" s="6" t="n">
        <v>17.6</v>
      </c>
      <c r="G3530" t="n">
        <v>1</v>
      </c>
      <c r="H3530" s="6">
        <f>ROUND(G3530*F3530,2)</f>
        <v/>
      </c>
      <c r="I3530">
        <f>IF(ROUND(H3530-D3530,2)=0,1,0)</f>
        <v/>
      </c>
      <c r="J3530">
        <f>IF(F3530="","none",IF(G3530=1,"carte","multiple"))</f>
        <v/>
      </c>
    </row>
    <row r="3531">
      <c r="A3531" t="inlineStr">
        <is>
          <t>2022-07-30</t>
        </is>
      </c>
      <c r="B3531" t="inlineStr">
        <is>
          <t>19:24</t>
        </is>
      </c>
      <c r="C3531" t="n">
        <v>3019</v>
      </c>
      <c r="D3531" s="6" t="n">
        <v>2.2</v>
      </c>
      <c r="E3531" t="n">
        <v>40464</v>
      </c>
      <c r="F3531" s="6" t="n">
        <v>2.2</v>
      </c>
      <c r="G3531" t="n">
        <v>1</v>
      </c>
      <c r="H3531" s="6">
        <f>ROUND(G3531*F3531,2)</f>
        <v/>
      </c>
      <c r="I3531">
        <f>IF(ROUND(H3531-D3531,2)=0,1,0)</f>
        <v/>
      </c>
      <c r="J3531">
        <f>IF(F3531="","none",IF(G3531=1,"carte","multiple"))</f>
        <v/>
      </c>
    </row>
    <row r="3532">
      <c r="A3532" t="inlineStr">
        <is>
          <t>2022-07-30</t>
        </is>
      </c>
      <c r="B3532" t="inlineStr">
        <is>
          <t>19:24</t>
        </is>
      </c>
      <c r="C3532" t="n">
        <v>3019</v>
      </c>
      <c r="D3532" s="6" t="n">
        <v>2.9</v>
      </c>
      <c r="E3532" t="n">
        <v>40465</v>
      </c>
      <c r="F3532" s="6" t="n">
        <v>2.9</v>
      </c>
      <c r="G3532" t="n">
        <v>1</v>
      </c>
      <c r="H3532" s="6">
        <f>ROUND(G3532*F3532,2)</f>
        <v/>
      </c>
      <c r="I3532">
        <f>IF(ROUND(H3532-D3532,2)=0,1,0)</f>
        <v/>
      </c>
      <c r="J3532">
        <f>IF(F3532="","none",IF(G3532=1,"carte","multiple"))</f>
        <v/>
      </c>
    </row>
    <row r="3533">
      <c r="A3533" t="inlineStr">
        <is>
          <t>2022-07-30</t>
        </is>
      </c>
      <c r="B3533" t="inlineStr">
        <is>
          <t>19:24</t>
        </is>
      </c>
      <c r="C3533" t="n">
        <v>3019</v>
      </c>
      <c r="D3533" s="6" t="n">
        <v>6.9</v>
      </c>
      <c r="E3533" t="n">
        <v>40466</v>
      </c>
      <c r="F3533" s="6" t="n">
        <v>6.9</v>
      </c>
      <c r="G3533" t="n">
        <v>1</v>
      </c>
      <c r="H3533" s="6">
        <f>ROUND(G3533*F3533,2)</f>
        <v/>
      </c>
      <c r="I3533">
        <f>IF(ROUND(H3533-D3533,2)=0,1,0)</f>
        <v/>
      </c>
      <c r="J3533">
        <f>IF(F3533="","none",IF(G3533=1,"carte","multiple"))</f>
        <v/>
      </c>
    </row>
    <row r="3534">
      <c r="A3534" t="inlineStr">
        <is>
          <t>2022-07-30</t>
        </is>
      </c>
      <c r="B3534" t="inlineStr">
        <is>
          <t>19:24</t>
        </is>
      </c>
      <c r="C3534" t="n">
        <v>3019</v>
      </c>
      <c r="D3534" s="6" t="n">
        <v>15.9</v>
      </c>
      <c r="E3534" t="n">
        <v>40467</v>
      </c>
      <c r="F3534" s="6" t="n">
        <v>15.9</v>
      </c>
      <c r="G3534" t="n">
        <v>1</v>
      </c>
      <c r="H3534" s="6">
        <f>ROUND(G3534*F3534,2)</f>
        <v/>
      </c>
      <c r="I3534">
        <f>IF(ROUND(H3534-D3534,2)=0,1,0)</f>
        <v/>
      </c>
      <c r="J3534">
        <f>IF(F3534="","none",IF(G3534=1,"carte","multiple"))</f>
        <v/>
      </c>
    </row>
    <row r="3535">
      <c r="A3535" t="inlineStr">
        <is>
          <t>2022-07-30</t>
        </is>
      </c>
      <c r="B3535" t="inlineStr">
        <is>
          <t>19:24</t>
        </is>
      </c>
      <c r="C3535" t="n">
        <v>3019</v>
      </c>
      <c r="D3535" s="6" t="n">
        <v>9.6</v>
      </c>
      <c r="E3535" t="n">
        <v>40468</v>
      </c>
      <c r="F3535" s="6" t="n">
        <v>9.6</v>
      </c>
      <c r="G3535" t="n">
        <v>1</v>
      </c>
      <c r="H3535" s="6">
        <f>ROUND(G3535*F3535,2)</f>
        <v/>
      </c>
      <c r="I3535">
        <f>IF(ROUND(H3535-D3535,2)=0,1,0)</f>
        <v/>
      </c>
      <c r="J3535">
        <f>IF(F3535="","none",IF(G3535=1,"carte","multiple"))</f>
        <v/>
      </c>
    </row>
    <row r="3536">
      <c r="A3536" t="inlineStr">
        <is>
          <t>2022-07-30</t>
        </is>
      </c>
      <c r="B3536" t="inlineStr">
        <is>
          <t>19:24</t>
        </is>
      </c>
      <c r="C3536" t="n">
        <v>3019</v>
      </c>
      <c r="D3536" s="6" t="n">
        <v>15.8</v>
      </c>
      <c r="E3536" t="n">
        <v>40469</v>
      </c>
      <c r="F3536" s="6" t="n">
        <v>7.9</v>
      </c>
      <c r="G3536" t="n">
        <v>2</v>
      </c>
      <c r="H3536" s="6">
        <f>ROUND(G3536*F3536,2)</f>
        <v/>
      </c>
      <c r="I3536">
        <f>IF(ROUND(H3536-D3536,2)=0,1,0)</f>
        <v/>
      </c>
      <c r="J3536">
        <f>IF(F3536="","none",IF(G3536=1,"carte","multiple"))</f>
        <v/>
      </c>
    </row>
    <row r="3537">
      <c r="A3537" t="inlineStr">
        <is>
          <t>2022-07-30</t>
        </is>
      </c>
      <c r="B3537" t="inlineStr">
        <is>
          <t>19:34</t>
        </is>
      </c>
      <c r="C3537" t="n">
        <v>3019</v>
      </c>
      <c r="D3537" s="6" t="n">
        <v>8.800000000000001</v>
      </c>
      <c r="E3537" t="n">
        <v>40470</v>
      </c>
      <c r="F3537" s="6" t="n">
        <v>8.800000000000001</v>
      </c>
      <c r="G3537" t="n">
        <v>1</v>
      </c>
      <c r="H3537" s="6">
        <f>ROUND(G3537*F3537,2)</f>
        <v/>
      </c>
      <c r="I3537">
        <f>IF(ROUND(H3537-D3537,2)=0,1,0)</f>
        <v/>
      </c>
      <c r="J3537">
        <f>IF(F3537="","none",IF(G3537=1,"carte","multiple"))</f>
        <v/>
      </c>
    </row>
    <row r="3538">
      <c r="A3538" t="inlineStr">
        <is>
          <t>2022-07-30</t>
        </is>
      </c>
      <c r="B3538" t="inlineStr">
        <is>
          <t>19:34</t>
        </is>
      </c>
      <c r="C3538" t="n">
        <v>3019</v>
      </c>
      <c r="D3538" s="6" t="n">
        <v>4.4</v>
      </c>
      <c r="E3538" t="n">
        <v>40471</v>
      </c>
      <c r="F3538" s="6" t="n">
        <v>0.4</v>
      </c>
      <c r="G3538" t="n">
        <v>11</v>
      </c>
      <c r="H3538" s="6">
        <f>ROUND(G3538*F3538,2)</f>
        <v/>
      </c>
      <c r="I3538">
        <f>IF(ROUND(H3538-D3538,2)=0,1,0)</f>
        <v/>
      </c>
      <c r="J3538">
        <f>IF(F3538="","none",IF(G3538=1,"carte","multiple"))</f>
        <v/>
      </c>
    </row>
    <row r="3539">
      <c r="A3539" t="inlineStr">
        <is>
          <t>2022-07-30</t>
        </is>
      </c>
      <c r="B3539" t="inlineStr">
        <is>
          <t>19:34</t>
        </is>
      </c>
      <c r="C3539" t="n">
        <v>3019</v>
      </c>
      <c r="D3539" s="6" t="n">
        <v>14.3</v>
      </c>
      <c r="E3539" t="n">
        <v>40472</v>
      </c>
      <c r="F3539" s="6" t="n">
        <v>14.3</v>
      </c>
      <c r="G3539" t="n">
        <v>1</v>
      </c>
      <c r="H3539" s="6">
        <f>ROUND(G3539*F3539,2)</f>
        <v/>
      </c>
      <c r="I3539">
        <f>IF(ROUND(H3539-D3539,2)=0,1,0)</f>
        <v/>
      </c>
      <c r="J3539">
        <f>IF(F3539="","none",IF(G3539=1,"carte","multiple"))</f>
        <v/>
      </c>
    </row>
    <row r="3540">
      <c r="A3540" t="inlineStr">
        <is>
          <t>2022-07-30</t>
        </is>
      </c>
      <c r="B3540" t="inlineStr">
        <is>
          <t>19:34</t>
        </is>
      </c>
      <c r="C3540" t="n">
        <v>3019</v>
      </c>
      <c r="D3540" s="6" t="n">
        <v>7.9</v>
      </c>
      <c r="E3540" t="n">
        <v>40473</v>
      </c>
      <c r="F3540" s="6" t="n">
        <v>7.9</v>
      </c>
      <c r="G3540" t="n">
        <v>1</v>
      </c>
      <c r="H3540" s="6">
        <f>ROUND(G3540*F3540,2)</f>
        <v/>
      </c>
      <c r="I3540">
        <f>IF(ROUND(H3540-D3540,2)=0,1,0)</f>
        <v/>
      </c>
      <c r="J3540">
        <f>IF(F3540="","none",IF(G3540=1,"carte","multiple"))</f>
        <v/>
      </c>
    </row>
    <row r="3541">
      <c r="A3541" t="inlineStr">
        <is>
          <t>2022-07-30</t>
        </is>
      </c>
      <c r="B3541" t="inlineStr">
        <is>
          <t>19:34</t>
        </is>
      </c>
      <c r="C3541" t="n">
        <v>3019</v>
      </c>
      <c r="D3541" s="6" t="n">
        <v>17.6</v>
      </c>
      <c r="E3541" t="n">
        <v>40474</v>
      </c>
      <c r="F3541" s="6" t="n">
        <v>17.6</v>
      </c>
      <c r="G3541" t="n">
        <v>1</v>
      </c>
      <c r="H3541" s="6">
        <f>ROUND(G3541*F3541,2)</f>
        <v/>
      </c>
      <c r="I3541">
        <f>IF(ROUND(H3541-D3541,2)=0,1,0)</f>
        <v/>
      </c>
      <c r="J3541">
        <f>IF(F3541="","none",IF(G3541=1,"carte","multiple"))</f>
        <v/>
      </c>
    </row>
    <row r="3542">
      <c r="A3542" t="inlineStr">
        <is>
          <t>2022-07-30</t>
        </is>
      </c>
      <c r="B3542" t="inlineStr">
        <is>
          <t>19:34</t>
        </is>
      </c>
      <c r="C3542" t="n">
        <v>3019</v>
      </c>
      <c r="D3542" s="6" t="n">
        <v>2.9</v>
      </c>
      <c r="E3542" t="n">
        <v>40475</v>
      </c>
      <c r="F3542" s="6" t="n">
        <v>2.9</v>
      </c>
      <c r="G3542" t="n">
        <v>1</v>
      </c>
      <c r="H3542" s="6">
        <f>ROUND(G3542*F3542,2)</f>
        <v/>
      </c>
      <c r="I3542">
        <f>IF(ROUND(H3542-D3542,2)=0,1,0)</f>
        <v/>
      </c>
      <c r="J3542">
        <f>IF(F3542="","none",IF(G3542=1,"carte","multiple"))</f>
        <v/>
      </c>
    </row>
    <row r="3543">
      <c r="A3543" t="inlineStr">
        <is>
          <t>2022-07-30</t>
        </is>
      </c>
      <c r="B3543" t="inlineStr">
        <is>
          <t>19:34</t>
        </is>
      </c>
      <c r="C3543" t="n">
        <v>3019</v>
      </c>
      <c r="D3543" s="6" t="n">
        <v>3.2</v>
      </c>
      <c r="E3543" t="n">
        <v>40476</v>
      </c>
      <c r="F3543" s="6" t="n">
        <v>3.2</v>
      </c>
      <c r="G3543" t="n">
        <v>1</v>
      </c>
      <c r="H3543" s="6">
        <f>ROUND(G3543*F3543,2)</f>
        <v/>
      </c>
      <c r="I3543">
        <f>IF(ROUND(H3543-D3543,2)=0,1,0)</f>
        <v/>
      </c>
      <c r="J3543">
        <f>IF(F3543="","none",IF(G3543=1,"carte","multiple"))</f>
        <v/>
      </c>
    </row>
    <row r="3544">
      <c r="A3544" t="inlineStr">
        <is>
          <t>2022-07-30</t>
        </is>
      </c>
      <c r="B3544" t="inlineStr">
        <is>
          <t>19:34</t>
        </is>
      </c>
      <c r="C3544" t="n">
        <v>3019</v>
      </c>
      <c r="D3544" s="6" t="n">
        <v>2.9</v>
      </c>
      <c r="E3544" t="n">
        <v>40477</v>
      </c>
      <c r="F3544" s="6" t="n">
        <v>2.9</v>
      </c>
      <c r="G3544" t="n">
        <v>1</v>
      </c>
      <c r="H3544" s="6">
        <f>ROUND(G3544*F3544,2)</f>
        <v/>
      </c>
      <c r="I3544">
        <f>IF(ROUND(H3544-D3544,2)=0,1,0)</f>
        <v/>
      </c>
      <c r="J3544">
        <f>IF(F3544="","none",IF(G3544=1,"carte","multiple"))</f>
        <v/>
      </c>
    </row>
    <row r="3545">
      <c r="A3545" t="inlineStr">
        <is>
          <t>2022-07-30</t>
        </is>
      </c>
      <c r="B3545" t="inlineStr">
        <is>
          <t>19:34</t>
        </is>
      </c>
      <c r="C3545" t="n">
        <v>3019</v>
      </c>
      <c r="D3545" s="6" t="n">
        <v>9.800000000000001</v>
      </c>
      <c r="E3545" t="n">
        <v>40478</v>
      </c>
      <c r="F3545" s="6" t="n">
        <v>9.800000000000001</v>
      </c>
      <c r="G3545" t="n">
        <v>1</v>
      </c>
      <c r="H3545" s="6">
        <f>ROUND(G3545*F3545,2)</f>
        <v/>
      </c>
      <c r="I3545">
        <f>IF(ROUND(H3545-D3545,2)=0,1,0)</f>
        <v/>
      </c>
      <c r="J3545">
        <f>IF(F3545="","none",IF(G3545=1,"carte","multiple"))</f>
        <v/>
      </c>
    </row>
    <row r="3546">
      <c r="A3546" t="inlineStr">
        <is>
          <t>2022-07-30</t>
        </is>
      </c>
      <c r="B3546" t="inlineStr">
        <is>
          <t>19:34</t>
        </is>
      </c>
      <c r="C3546" t="n">
        <v>3019</v>
      </c>
      <c r="D3546" s="6" t="n">
        <v>4.9</v>
      </c>
      <c r="E3546" t="n">
        <v>40479</v>
      </c>
      <c r="F3546" s="6" t="n">
        <v>4.9</v>
      </c>
      <c r="G3546" t="n">
        <v>1</v>
      </c>
      <c r="H3546" s="6">
        <f>ROUND(G3546*F3546,2)</f>
        <v/>
      </c>
      <c r="I3546">
        <f>IF(ROUND(H3546-D3546,2)=0,1,0)</f>
        <v/>
      </c>
      <c r="J3546">
        <f>IF(F3546="","none",IF(G3546=1,"carte","multiple"))</f>
        <v/>
      </c>
    </row>
    <row r="3547">
      <c r="A3547" t="inlineStr">
        <is>
          <t>2022-07-30</t>
        </is>
      </c>
      <c r="B3547" t="inlineStr">
        <is>
          <t>19:34</t>
        </is>
      </c>
      <c r="C3547" t="n">
        <v>3019</v>
      </c>
      <c r="D3547" s="6" t="n">
        <v>4</v>
      </c>
      <c r="E3547" t="n">
        <v>40480</v>
      </c>
      <c r="F3547" s="6" t="n">
        <v>4</v>
      </c>
      <c r="G3547" t="n">
        <v>1</v>
      </c>
      <c r="H3547" s="6">
        <f>ROUND(G3547*F3547,2)</f>
        <v/>
      </c>
      <c r="I3547">
        <f>IF(ROUND(H3547-D3547,2)=0,1,0)</f>
        <v/>
      </c>
      <c r="J3547">
        <f>IF(F3547="","none",IF(G3547=1,"carte","multiple"))</f>
        <v/>
      </c>
    </row>
    <row r="3548">
      <c r="A3548" t="inlineStr">
        <is>
          <t>2022-07-30</t>
        </is>
      </c>
      <c r="B3548" t="inlineStr">
        <is>
          <t>19:49</t>
        </is>
      </c>
      <c r="C3548" t="n">
        <v>3019</v>
      </c>
      <c r="D3548" s="6" t="n">
        <v>4</v>
      </c>
      <c r="E3548" t="n">
        <v>40481</v>
      </c>
      <c r="F3548" s="6" t="n">
        <v>4</v>
      </c>
      <c r="G3548" t="n">
        <v>1</v>
      </c>
      <c r="H3548" s="6">
        <f>ROUND(G3548*F3548,2)</f>
        <v/>
      </c>
      <c r="I3548">
        <f>IF(ROUND(H3548-D3548,2)=0,1,0)</f>
        <v/>
      </c>
      <c r="J3548">
        <f>IF(F3548="","none",IF(G3548=1,"carte","multiple"))</f>
        <v/>
      </c>
    </row>
    <row r="3549">
      <c r="A3549" t="inlineStr">
        <is>
          <t>2022-07-30</t>
        </is>
      </c>
      <c r="B3549" t="inlineStr">
        <is>
          <t>19:52</t>
        </is>
      </c>
      <c r="C3549" t="n">
        <v>3019</v>
      </c>
      <c r="D3549" s="6" t="n">
        <v>14.3</v>
      </c>
      <c r="E3549" t="n">
        <v>40482</v>
      </c>
      <c r="F3549" s="6" t="n">
        <v>14.3</v>
      </c>
      <c r="G3549" t="n">
        <v>1</v>
      </c>
      <c r="H3549" s="6">
        <f>ROUND(G3549*F3549,2)</f>
        <v/>
      </c>
      <c r="I3549">
        <f>IF(ROUND(H3549-D3549,2)=0,1,0)</f>
        <v/>
      </c>
      <c r="J3549">
        <f>IF(F3549="","none",IF(G3549=1,"carte","multiple"))</f>
        <v/>
      </c>
    </row>
    <row r="3550">
      <c r="A3550" t="inlineStr">
        <is>
          <t>2022-07-30</t>
        </is>
      </c>
      <c r="B3550" t="inlineStr">
        <is>
          <t>19:52</t>
        </is>
      </c>
      <c r="C3550" t="n">
        <v>3019</v>
      </c>
      <c r="D3550" s="6" t="n">
        <v>7.9</v>
      </c>
      <c r="E3550" t="n">
        <v>40483</v>
      </c>
      <c r="F3550" s="6" t="n">
        <v>7.9</v>
      </c>
      <c r="G3550" t="n">
        <v>1</v>
      </c>
      <c r="H3550" s="6">
        <f>ROUND(G3550*F3550,2)</f>
        <v/>
      </c>
      <c r="I3550">
        <f>IF(ROUND(H3550-D3550,2)=0,1,0)</f>
        <v/>
      </c>
      <c r="J3550">
        <f>IF(F3550="","none",IF(G3550=1,"carte","multiple"))</f>
        <v/>
      </c>
    </row>
    <row r="3551">
      <c r="A3551" t="inlineStr">
        <is>
          <t>2022-07-30</t>
        </is>
      </c>
      <c r="B3551" t="inlineStr">
        <is>
          <t>19:52</t>
        </is>
      </c>
      <c r="C3551" t="n">
        <v>3019</v>
      </c>
      <c r="D3551" s="6" t="n">
        <v>2.9</v>
      </c>
      <c r="E3551" t="n">
        <v>40484</v>
      </c>
      <c r="F3551" s="6" t="n">
        <v>2.9</v>
      </c>
      <c r="G3551" t="n">
        <v>1</v>
      </c>
      <c r="H3551" s="6">
        <f>ROUND(G3551*F3551,2)</f>
        <v/>
      </c>
      <c r="I3551">
        <f>IF(ROUND(H3551-D3551,2)=0,1,0)</f>
        <v/>
      </c>
      <c r="J3551">
        <f>IF(F3551="","none",IF(G3551=1,"carte","multiple"))</f>
        <v/>
      </c>
    </row>
    <row r="3552">
      <c r="A3552" t="inlineStr">
        <is>
          <t>2022-07-30</t>
        </is>
      </c>
      <c r="B3552" t="inlineStr">
        <is>
          <t>19:52</t>
        </is>
      </c>
      <c r="C3552" t="n">
        <v>3019</v>
      </c>
      <c r="D3552" s="6" t="n">
        <v>3.9</v>
      </c>
      <c r="E3552" t="n">
        <v>40485</v>
      </c>
      <c r="F3552" s="6" t="n">
        <v>3.9</v>
      </c>
      <c r="G3552" t="n">
        <v>1</v>
      </c>
      <c r="H3552" s="6">
        <f>ROUND(G3552*F3552,2)</f>
        <v/>
      </c>
      <c r="I3552">
        <f>IF(ROUND(H3552-D3552,2)=0,1,0)</f>
        <v/>
      </c>
      <c r="J3552">
        <f>IF(F3552="","none",IF(G3552=1,"carte","multiple"))</f>
        <v/>
      </c>
    </row>
    <row r="3553">
      <c r="A3553" t="inlineStr">
        <is>
          <t>2022-07-30</t>
        </is>
      </c>
      <c r="B3553" t="inlineStr">
        <is>
          <t>19:52</t>
        </is>
      </c>
      <c r="C3553" t="n">
        <v>3019</v>
      </c>
      <c r="D3553" s="6" t="n">
        <v>2.9</v>
      </c>
      <c r="E3553" t="n">
        <v>40486</v>
      </c>
      <c r="F3553" s="6" t="n">
        <v>2.9</v>
      </c>
      <c r="G3553" t="n">
        <v>1</v>
      </c>
      <c r="H3553" s="6">
        <f>ROUND(G3553*F3553,2)</f>
        <v/>
      </c>
      <c r="I3553">
        <f>IF(ROUND(H3553-D3553,2)=0,1,0)</f>
        <v/>
      </c>
      <c r="J3553">
        <f>IF(F3553="","none",IF(G3553=1,"carte","multiple"))</f>
        <v/>
      </c>
    </row>
    <row r="3554">
      <c r="A3554" t="inlineStr">
        <is>
          <t>2022-07-30</t>
        </is>
      </c>
      <c r="B3554" t="inlineStr">
        <is>
          <t>19:52</t>
        </is>
      </c>
      <c r="C3554" t="n">
        <v>3019</v>
      </c>
      <c r="D3554" s="6" t="n">
        <v>17.6</v>
      </c>
      <c r="E3554" t="n">
        <v>40487</v>
      </c>
      <c r="F3554" s="6" t="n">
        <v>17.6</v>
      </c>
      <c r="G3554" t="n">
        <v>1</v>
      </c>
      <c r="H3554" s="6">
        <f>ROUND(G3554*F3554,2)</f>
        <v/>
      </c>
      <c r="I3554">
        <f>IF(ROUND(H3554-D3554,2)=0,1,0)</f>
        <v/>
      </c>
      <c r="J3554">
        <f>IF(F3554="","none",IF(G3554=1,"carte","multiple"))</f>
        <v/>
      </c>
    </row>
    <row r="3555">
      <c r="A3555" t="inlineStr">
        <is>
          <t>2022-07-30</t>
        </is>
      </c>
      <c r="B3555" t="inlineStr">
        <is>
          <t>19:52</t>
        </is>
      </c>
      <c r="C3555" t="n">
        <v>3019</v>
      </c>
      <c r="D3555" s="6" t="n">
        <v>9.800000000000001</v>
      </c>
      <c r="E3555" t="n">
        <v>40488</v>
      </c>
      <c r="F3555" s="6" t="n">
        <v>9.800000000000001</v>
      </c>
      <c r="G3555" t="n">
        <v>1</v>
      </c>
      <c r="H3555" s="6">
        <f>ROUND(G3555*F3555,2)</f>
        <v/>
      </c>
      <c r="I3555">
        <f>IF(ROUND(H3555-D3555,2)=0,1,0)</f>
        <v/>
      </c>
      <c r="J3555">
        <f>IF(F3555="","none",IF(G3555=1,"carte","multiple"))</f>
        <v/>
      </c>
    </row>
    <row r="3556">
      <c r="A3556" t="inlineStr">
        <is>
          <t>2022-07-30</t>
        </is>
      </c>
      <c r="B3556" t="inlineStr">
        <is>
          <t>19:52</t>
        </is>
      </c>
      <c r="C3556" t="n">
        <v>3019</v>
      </c>
      <c r="D3556" s="6" t="n">
        <v>4.9</v>
      </c>
      <c r="E3556" t="n">
        <v>40489</v>
      </c>
      <c r="F3556" s="6" t="n">
        <v>4.9</v>
      </c>
      <c r="G3556" t="n">
        <v>1</v>
      </c>
      <c r="H3556" s="6">
        <f>ROUND(G3556*F3556,2)</f>
        <v/>
      </c>
      <c r="I3556">
        <f>IF(ROUND(H3556-D3556,2)=0,1,0)</f>
        <v/>
      </c>
      <c r="J3556">
        <f>IF(F3556="","none",IF(G3556=1,"carte","multiple"))</f>
        <v/>
      </c>
    </row>
    <row r="3557">
      <c r="A3557" t="inlineStr">
        <is>
          <t>2022-07-30</t>
        </is>
      </c>
      <c r="B3557" t="inlineStr">
        <is>
          <t>19:52</t>
        </is>
      </c>
      <c r="C3557" t="n">
        <v>3019</v>
      </c>
      <c r="D3557" s="6" t="n">
        <v>4</v>
      </c>
      <c r="E3557" t="n">
        <v>40490</v>
      </c>
      <c r="F3557" s="6" t="n">
        <v>4</v>
      </c>
      <c r="G3557" t="n">
        <v>1</v>
      </c>
      <c r="H3557" s="6">
        <f>ROUND(G3557*F3557,2)</f>
        <v/>
      </c>
      <c r="I3557">
        <f>IF(ROUND(H3557-D3557,2)=0,1,0)</f>
        <v/>
      </c>
      <c r="J3557">
        <f>IF(F3557="","none",IF(G3557=1,"carte","multiple"))</f>
        <v/>
      </c>
    </row>
    <row r="3558">
      <c r="A3558" t="inlineStr">
        <is>
          <t>2022-07-30</t>
        </is>
      </c>
      <c r="B3558" t="inlineStr">
        <is>
          <t>19:55</t>
        </is>
      </c>
      <c r="C3558" t="n">
        <v>3019</v>
      </c>
      <c r="D3558" s="6" t="n">
        <v>17.6</v>
      </c>
      <c r="E3558" t="n">
        <v>40491</v>
      </c>
      <c r="F3558" s="6" t="n">
        <v>17.6</v>
      </c>
      <c r="G3558" t="n">
        <v>1</v>
      </c>
      <c r="H3558" s="6">
        <f>ROUND(G3558*F3558,2)</f>
        <v/>
      </c>
      <c r="I3558">
        <f>IF(ROUND(H3558-D3558,2)=0,1,0)</f>
        <v/>
      </c>
      <c r="J3558">
        <f>IF(F3558="","none",IF(G3558=1,"carte","multiple"))</f>
        <v/>
      </c>
    </row>
    <row r="3559">
      <c r="A3559" t="inlineStr">
        <is>
          <t>2022-07-30</t>
        </is>
      </c>
      <c r="B3559" t="inlineStr">
        <is>
          <t>19:55</t>
        </is>
      </c>
      <c r="C3559" t="n">
        <v>3019</v>
      </c>
      <c r="D3559" s="6" t="n">
        <v>12</v>
      </c>
      <c r="E3559" t="n">
        <v>40492</v>
      </c>
      <c r="F3559" s="6" t="n">
        <v>12</v>
      </c>
      <c r="G3559" t="n">
        <v>1</v>
      </c>
      <c r="H3559" s="6">
        <f>ROUND(G3559*F3559,2)</f>
        <v/>
      </c>
      <c r="I3559">
        <f>IF(ROUND(H3559-D3559,2)=0,1,0)</f>
        <v/>
      </c>
      <c r="J3559">
        <f>IF(F3559="","none",IF(G3559=1,"carte","multiple"))</f>
        <v/>
      </c>
    </row>
    <row r="3560">
      <c r="A3560" t="inlineStr">
        <is>
          <t>2022-07-30</t>
        </is>
      </c>
      <c r="B3560" t="inlineStr">
        <is>
          <t>19:55</t>
        </is>
      </c>
      <c r="C3560" t="n">
        <v>3019</v>
      </c>
      <c r="D3560" s="6" t="n">
        <v>10.5</v>
      </c>
      <c r="E3560" t="n">
        <v>40493</v>
      </c>
      <c r="F3560" s="6" t="n">
        <v>10.5</v>
      </c>
      <c r="G3560" t="n">
        <v>1</v>
      </c>
      <c r="H3560" s="6">
        <f>ROUND(G3560*F3560,2)</f>
        <v/>
      </c>
      <c r="I3560">
        <f>IF(ROUND(H3560-D3560,2)=0,1,0)</f>
        <v/>
      </c>
      <c r="J3560">
        <f>IF(F3560="","none",IF(G3560=1,"carte","multiple"))</f>
        <v/>
      </c>
    </row>
    <row r="3561">
      <c r="A3561" t="inlineStr">
        <is>
          <t>2022-07-30</t>
        </is>
      </c>
      <c r="B3561" t="inlineStr">
        <is>
          <t>20:32</t>
        </is>
      </c>
      <c r="C3561" t="n">
        <v>3019</v>
      </c>
      <c r="D3561" s="6" t="n">
        <v>2.2</v>
      </c>
      <c r="E3561" t="n">
        <v>40495</v>
      </c>
      <c r="F3561" s="6" t="n">
        <v>2.2</v>
      </c>
      <c r="G3561" t="n">
        <v>1</v>
      </c>
      <c r="H3561" s="6">
        <f>ROUND(G3561*F3561,2)</f>
        <v/>
      </c>
      <c r="I3561">
        <f>IF(ROUND(H3561-D3561,2)=0,1,0)</f>
        <v/>
      </c>
      <c r="J3561">
        <f>IF(F3561="","none",IF(G3561=1,"carte","multiple"))</f>
        <v/>
      </c>
    </row>
    <row r="3562">
      <c r="A3562" t="inlineStr">
        <is>
          <t>2022-07-30</t>
        </is>
      </c>
      <c r="B3562" t="inlineStr">
        <is>
          <t>20:32</t>
        </is>
      </c>
      <c r="C3562" t="n">
        <v>3019</v>
      </c>
      <c r="D3562" s="6" t="n">
        <v>17.6</v>
      </c>
      <c r="E3562" t="n">
        <v>40496</v>
      </c>
      <c r="F3562" s="6" t="n">
        <v>17.6</v>
      </c>
      <c r="G3562" t="n">
        <v>1</v>
      </c>
      <c r="H3562" s="6">
        <f>ROUND(G3562*F3562,2)</f>
        <v/>
      </c>
      <c r="I3562">
        <f>IF(ROUND(H3562-D3562,2)=0,1,0)</f>
        <v/>
      </c>
      <c r="J3562">
        <f>IF(F3562="","none",IF(G3562=1,"carte","multiple"))</f>
        <v/>
      </c>
    </row>
    <row r="3563">
      <c r="A3563" t="inlineStr">
        <is>
          <t>2022-07-30</t>
        </is>
      </c>
      <c r="B3563" t="inlineStr">
        <is>
          <t>20:32</t>
        </is>
      </c>
      <c r="C3563" t="n">
        <v>3019</v>
      </c>
      <c r="D3563" s="6" t="n">
        <v>19.9</v>
      </c>
      <c r="E3563" t="n">
        <v>40497</v>
      </c>
      <c r="F3563" s="6" t="n">
        <v>19.9</v>
      </c>
      <c r="G3563" t="n">
        <v>1</v>
      </c>
      <c r="H3563" s="6">
        <f>ROUND(G3563*F3563,2)</f>
        <v/>
      </c>
      <c r="I3563">
        <f>IF(ROUND(H3563-D3563,2)=0,1,0)</f>
        <v/>
      </c>
      <c r="J3563">
        <f>IF(F3563="","none",IF(G3563=1,"carte","multiple"))</f>
        <v/>
      </c>
    </row>
    <row r="3564">
      <c r="A3564" t="inlineStr">
        <is>
          <t>2022-07-30</t>
        </is>
      </c>
      <c r="B3564" t="inlineStr">
        <is>
          <t>20:32</t>
        </is>
      </c>
      <c r="C3564" t="n">
        <v>3019</v>
      </c>
      <c r="D3564" s="6" t="n">
        <v>16.9</v>
      </c>
      <c r="E3564" t="n">
        <v>40498</v>
      </c>
      <c r="F3564" s="6" t="n">
        <v>16.9</v>
      </c>
      <c r="G3564" t="n">
        <v>1</v>
      </c>
      <c r="H3564" s="6">
        <f>ROUND(G3564*F3564,2)</f>
        <v/>
      </c>
      <c r="I3564">
        <f>IF(ROUND(H3564-D3564,2)=0,1,0)</f>
        <v/>
      </c>
      <c r="J3564">
        <f>IF(F3564="","none",IF(G3564=1,"carte","multiple"))</f>
        <v/>
      </c>
    </row>
    <row r="3565">
      <c r="A3565" t="inlineStr">
        <is>
          <t>2022-07-30</t>
        </is>
      </c>
      <c r="B3565" t="inlineStr">
        <is>
          <t>20:32</t>
        </is>
      </c>
      <c r="C3565" t="n">
        <v>3019</v>
      </c>
      <c r="D3565" s="6" t="n">
        <v>30</v>
      </c>
      <c r="E3565" t="n">
        <v>40499</v>
      </c>
      <c r="F3565" s="6" t="n">
        <v>30</v>
      </c>
      <c r="G3565" t="n">
        <v>1</v>
      </c>
      <c r="H3565" s="6">
        <f>ROUND(G3565*F3565,2)</f>
        <v/>
      </c>
      <c r="I3565">
        <f>IF(ROUND(H3565-D3565,2)=0,1,0)</f>
        <v/>
      </c>
      <c r="J3565">
        <f>IF(F3565="","none",IF(G3565=1,"carte","multiple"))</f>
        <v/>
      </c>
    </row>
    <row r="3566">
      <c r="A3566" t="inlineStr">
        <is>
          <t>2022-07-31</t>
        </is>
      </c>
      <c r="B3566" t="inlineStr">
        <is>
          <t>10:39</t>
        </is>
      </c>
      <c r="C3566" t="n">
        <v>3020</v>
      </c>
      <c r="D3566" s="6" t="n">
        <v>5.9</v>
      </c>
      <c r="E3566" t="n">
        <v>40501</v>
      </c>
      <c r="F3566" s="6" t="n">
        <v>5.9</v>
      </c>
      <c r="G3566" t="n">
        <v>1</v>
      </c>
      <c r="H3566" s="6">
        <f>ROUND(G3566*F3566,2)</f>
        <v/>
      </c>
      <c r="I3566">
        <f>IF(ROUND(H3566-D3566,2)=0,1,0)</f>
        <v/>
      </c>
      <c r="J3566">
        <f>IF(F3566="","none",IF(G3566=1,"carte","multiple"))</f>
        <v/>
      </c>
    </row>
    <row r="3567">
      <c r="A3567" t="inlineStr">
        <is>
          <t>2022-07-31</t>
        </is>
      </c>
      <c r="B3567" t="inlineStr">
        <is>
          <t>10:40</t>
        </is>
      </c>
      <c r="C3567" t="n">
        <v>3020</v>
      </c>
      <c r="D3567" s="6" t="n">
        <v>3.9</v>
      </c>
      <c r="E3567" t="n">
        <v>40502</v>
      </c>
      <c r="F3567" s="6" t="n">
        <v>3.9</v>
      </c>
      <c r="G3567" t="n">
        <v>1</v>
      </c>
      <c r="H3567" s="6">
        <f>ROUND(G3567*F3567,2)</f>
        <v/>
      </c>
      <c r="I3567">
        <f>IF(ROUND(H3567-D3567,2)=0,1,0)</f>
        <v/>
      </c>
      <c r="J3567">
        <f>IF(F3567="","none",IF(G3567=1,"carte","multiple"))</f>
        <v/>
      </c>
    </row>
    <row r="3568">
      <c r="A3568" t="inlineStr">
        <is>
          <t>2022-07-31</t>
        </is>
      </c>
      <c r="B3568" t="inlineStr">
        <is>
          <t>10:40</t>
        </is>
      </c>
      <c r="C3568" t="n">
        <v>3020</v>
      </c>
      <c r="D3568" s="6" t="n">
        <v>19</v>
      </c>
      <c r="E3568" t="n">
        <v>40503</v>
      </c>
      <c r="F3568" s="6" t="n">
        <v>19</v>
      </c>
      <c r="G3568" t="n">
        <v>1</v>
      </c>
      <c r="H3568" s="6">
        <f>ROUND(G3568*F3568,2)</f>
        <v/>
      </c>
      <c r="I3568">
        <f>IF(ROUND(H3568-D3568,2)=0,1,0)</f>
        <v/>
      </c>
      <c r="J3568">
        <f>IF(F3568="","none",IF(G3568=1,"carte","multiple"))</f>
        <v/>
      </c>
    </row>
    <row r="3569">
      <c r="A3569" t="inlineStr">
        <is>
          <t>2022-07-31</t>
        </is>
      </c>
      <c r="B3569" t="inlineStr">
        <is>
          <t>11:10</t>
        </is>
      </c>
      <c r="C3569" t="n">
        <v>3020</v>
      </c>
      <c r="D3569" s="6" t="n">
        <v>5.2</v>
      </c>
      <c r="E3569" t="n">
        <v>40504</v>
      </c>
      <c r="F3569" s="6" t="n">
        <v>5.2</v>
      </c>
      <c r="G3569" t="n">
        <v>1</v>
      </c>
      <c r="H3569" s="6">
        <f>ROUND(G3569*F3569,2)</f>
        <v/>
      </c>
      <c r="I3569">
        <f>IF(ROUND(H3569-D3569,2)=0,1,0)</f>
        <v/>
      </c>
      <c r="J3569">
        <f>IF(F3569="","none",IF(G3569=1,"carte","multiple"))</f>
        <v/>
      </c>
    </row>
    <row r="3570">
      <c r="A3570" t="inlineStr">
        <is>
          <t>2022-07-31</t>
        </is>
      </c>
      <c r="B3570" t="inlineStr">
        <is>
          <t>11:42</t>
        </is>
      </c>
      <c r="C3570" t="n">
        <v>3020</v>
      </c>
      <c r="D3570" s="6" t="n">
        <v>19</v>
      </c>
      <c r="E3570" t="n">
        <v>40505</v>
      </c>
      <c r="F3570" s="6" t="n">
        <v>19</v>
      </c>
      <c r="G3570" t="n">
        <v>1</v>
      </c>
      <c r="H3570" s="6">
        <f>ROUND(G3570*F3570,2)</f>
        <v/>
      </c>
      <c r="I3570">
        <f>IF(ROUND(H3570-D3570,2)=0,1,0)</f>
        <v/>
      </c>
      <c r="J3570">
        <f>IF(F3570="","none",IF(G3570=1,"carte","multiple"))</f>
        <v/>
      </c>
    </row>
    <row r="3571">
      <c r="A3571" t="inlineStr">
        <is>
          <t>2022-07-31</t>
        </is>
      </c>
      <c r="B3571" t="inlineStr">
        <is>
          <t>11:44</t>
        </is>
      </c>
      <c r="C3571" t="n">
        <v>3020</v>
      </c>
      <c r="D3571" s="6" t="n">
        <v>3.9</v>
      </c>
      <c r="E3571" t="n">
        <v>40507</v>
      </c>
      <c r="F3571" s="6" t="n">
        <v>3.9</v>
      </c>
      <c r="G3571" t="n">
        <v>1</v>
      </c>
      <c r="H3571" s="6">
        <f>ROUND(G3571*F3571,2)</f>
        <v/>
      </c>
      <c r="I3571">
        <f>IF(ROUND(H3571-D3571,2)=0,1,0)</f>
        <v/>
      </c>
      <c r="J3571">
        <f>IF(F3571="","none",IF(G3571=1,"carte","multiple"))</f>
        <v/>
      </c>
    </row>
    <row r="3572">
      <c r="A3572" t="inlineStr">
        <is>
          <t>2022-07-31</t>
        </is>
      </c>
      <c r="B3572" t="inlineStr">
        <is>
          <t>12:01</t>
        </is>
      </c>
      <c r="C3572" t="n">
        <v>3020</v>
      </c>
      <c r="D3572" s="6" t="n">
        <v>4</v>
      </c>
      <c r="E3572" t="n">
        <v>40508</v>
      </c>
      <c r="F3572" s="6" t="n">
        <v>4</v>
      </c>
      <c r="G3572" t="n">
        <v>1</v>
      </c>
      <c r="H3572" s="6">
        <f>ROUND(G3572*F3572,2)</f>
        <v/>
      </c>
      <c r="I3572">
        <f>IF(ROUND(H3572-D3572,2)=0,1,0)</f>
        <v/>
      </c>
      <c r="J3572">
        <f>IF(F3572="","none",IF(G3572=1,"carte","multiple"))</f>
        <v/>
      </c>
    </row>
    <row r="3573">
      <c r="A3573" t="inlineStr">
        <is>
          <t>2022-07-31</t>
        </is>
      </c>
      <c r="B3573" t="inlineStr">
        <is>
          <t>12:35</t>
        </is>
      </c>
      <c r="C3573" t="n">
        <v>3020</v>
      </c>
      <c r="D3573" s="6" t="n">
        <v>15.6</v>
      </c>
      <c r="E3573" t="n">
        <v>40509</v>
      </c>
      <c r="F3573" s="6" t="n">
        <v>15.6</v>
      </c>
      <c r="G3573" t="n">
        <v>1</v>
      </c>
      <c r="H3573" s="6">
        <f>ROUND(G3573*F3573,2)</f>
        <v/>
      </c>
      <c r="I3573">
        <f>IF(ROUND(H3573-D3573,2)=0,1,0)</f>
        <v/>
      </c>
      <c r="J3573">
        <f>IF(F3573="","none",IF(G3573=1,"carte","multiple"))</f>
        <v/>
      </c>
    </row>
    <row r="3574">
      <c r="A3574" t="inlineStr">
        <is>
          <t>2022-07-31</t>
        </is>
      </c>
      <c r="B3574" t="inlineStr">
        <is>
          <t>12:38</t>
        </is>
      </c>
      <c r="C3574" t="n">
        <v>3020</v>
      </c>
      <c r="D3574" s="6" t="n">
        <v>31.2</v>
      </c>
      <c r="E3574" t="n">
        <v>40510</v>
      </c>
      <c r="F3574" s="6" t="n">
        <v>0.4</v>
      </c>
      <c r="G3574" t="n">
        <v>78</v>
      </c>
      <c r="H3574" s="6">
        <f>ROUND(G3574*F3574,2)</f>
        <v/>
      </c>
      <c r="I3574">
        <f>IF(ROUND(H3574-D3574,2)=0,1,0)</f>
        <v/>
      </c>
      <c r="J3574">
        <f>IF(F3574="","none",IF(G3574=1,"carte","multiple"))</f>
        <v/>
      </c>
    </row>
    <row r="3575">
      <c r="A3575" t="inlineStr">
        <is>
          <t>2022-07-31</t>
        </is>
      </c>
      <c r="B3575" t="inlineStr">
        <is>
          <t>12:38</t>
        </is>
      </c>
      <c r="C3575" t="n">
        <v>3020</v>
      </c>
      <c r="D3575" s="6" t="n">
        <v>2</v>
      </c>
      <c r="E3575" t="n">
        <v>40511</v>
      </c>
      <c r="F3575" s="6" t="n">
        <v>2</v>
      </c>
      <c r="G3575" t="n">
        <v>1</v>
      </c>
      <c r="H3575" s="6">
        <f>ROUND(G3575*F3575,2)</f>
        <v/>
      </c>
      <c r="I3575">
        <f>IF(ROUND(H3575-D3575,2)=0,1,0)</f>
        <v/>
      </c>
      <c r="J3575">
        <f>IF(F3575="","none",IF(G3575=1,"carte","multiple"))</f>
        <v/>
      </c>
    </row>
    <row r="3576">
      <c r="A3576" t="inlineStr">
        <is>
          <t>2022-07-31</t>
        </is>
      </c>
      <c r="B3576" t="inlineStr">
        <is>
          <t>12:38</t>
        </is>
      </c>
      <c r="C3576" t="n">
        <v>3020</v>
      </c>
      <c r="D3576" s="6" t="n">
        <v>2</v>
      </c>
      <c r="E3576" t="n">
        <v>40512</v>
      </c>
      <c r="F3576" s="6" t="n">
        <v>2</v>
      </c>
      <c r="G3576" t="n">
        <v>1</v>
      </c>
      <c r="H3576" s="6">
        <f>ROUND(G3576*F3576,2)</f>
        <v/>
      </c>
      <c r="I3576">
        <f>IF(ROUND(H3576-D3576,2)=0,1,0)</f>
        <v/>
      </c>
      <c r="J3576">
        <f>IF(F3576="","none",IF(G3576=1,"carte","multiple"))</f>
        <v/>
      </c>
    </row>
    <row r="3577">
      <c r="A3577" t="inlineStr">
        <is>
          <t>2022-07-31</t>
        </is>
      </c>
      <c r="B3577" t="inlineStr">
        <is>
          <t>12:38</t>
        </is>
      </c>
      <c r="C3577" t="n">
        <v>3020</v>
      </c>
      <c r="D3577" s="6" t="n">
        <v>2.9</v>
      </c>
      <c r="E3577" t="n">
        <v>40513</v>
      </c>
      <c r="F3577" s="6" t="n">
        <v>2.9</v>
      </c>
      <c r="G3577" t="n">
        <v>1</v>
      </c>
      <c r="H3577" s="6">
        <f>ROUND(G3577*F3577,2)</f>
        <v/>
      </c>
      <c r="I3577">
        <f>IF(ROUND(H3577-D3577,2)=0,1,0)</f>
        <v/>
      </c>
      <c r="J3577">
        <f>IF(F3577="","none",IF(G3577=1,"carte","multiple"))</f>
        <v/>
      </c>
    </row>
    <row r="3578">
      <c r="A3578" t="inlineStr">
        <is>
          <t>2022-07-31</t>
        </is>
      </c>
      <c r="B3578" t="inlineStr">
        <is>
          <t>12:38</t>
        </is>
      </c>
      <c r="C3578" t="n">
        <v>3020</v>
      </c>
      <c r="D3578" s="6" t="n">
        <v>10.5</v>
      </c>
      <c r="E3578" t="n">
        <v>40514</v>
      </c>
      <c r="F3578" s="6" t="n">
        <v>10.5</v>
      </c>
      <c r="G3578" t="n">
        <v>1</v>
      </c>
      <c r="H3578" s="6">
        <f>ROUND(G3578*F3578,2)</f>
        <v/>
      </c>
      <c r="I3578">
        <f>IF(ROUND(H3578-D3578,2)=0,1,0)</f>
        <v/>
      </c>
      <c r="J3578">
        <f>IF(F3578="","none",IF(G3578=1,"carte","multiple"))</f>
        <v/>
      </c>
    </row>
    <row r="3579">
      <c r="A3579" t="inlineStr">
        <is>
          <t>2022-07-31</t>
        </is>
      </c>
      <c r="B3579" t="inlineStr">
        <is>
          <t>12:38</t>
        </is>
      </c>
      <c r="C3579" t="n">
        <v>3020</v>
      </c>
      <c r="D3579" s="6" t="n">
        <v>5.6</v>
      </c>
      <c r="E3579" t="n">
        <v>40515</v>
      </c>
      <c r="F3579" s="6" t="n">
        <v>5.6</v>
      </c>
      <c r="G3579" t="n">
        <v>1</v>
      </c>
      <c r="H3579" s="6">
        <f>ROUND(G3579*F3579,2)</f>
        <v/>
      </c>
      <c r="I3579">
        <f>IF(ROUND(H3579-D3579,2)=0,1,0)</f>
        <v/>
      </c>
      <c r="J3579">
        <f>IF(F3579="","none",IF(G3579=1,"carte","multiple"))</f>
        <v/>
      </c>
    </row>
    <row r="3580">
      <c r="A3580" t="inlineStr">
        <is>
          <t>2022-07-31</t>
        </is>
      </c>
      <c r="B3580" t="inlineStr">
        <is>
          <t>12:38</t>
        </is>
      </c>
      <c r="C3580" t="n">
        <v>3020</v>
      </c>
      <c r="D3580" s="6" t="n">
        <v>17.6</v>
      </c>
      <c r="E3580" t="n">
        <v>40516</v>
      </c>
      <c r="F3580" s="6" t="n">
        <v>17.6</v>
      </c>
      <c r="G3580" t="n">
        <v>1</v>
      </c>
      <c r="H3580" s="6">
        <f>ROUND(G3580*F3580,2)</f>
        <v/>
      </c>
      <c r="I3580">
        <f>IF(ROUND(H3580-D3580,2)=0,1,0)</f>
        <v/>
      </c>
      <c r="J3580">
        <f>IF(F3580="","none",IF(G3580=1,"carte","multiple"))</f>
        <v/>
      </c>
    </row>
    <row r="3581">
      <c r="A3581" t="inlineStr">
        <is>
          <t>2022-07-31</t>
        </is>
      </c>
      <c r="B3581" t="inlineStr">
        <is>
          <t>12:38</t>
        </is>
      </c>
      <c r="C3581" t="n">
        <v>3020</v>
      </c>
      <c r="D3581" s="6" t="n">
        <v>17.6</v>
      </c>
      <c r="E3581" t="n">
        <v>40517</v>
      </c>
      <c r="F3581" s="6" t="n">
        <v>17.6</v>
      </c>
      <c r="G3581" t="n">
        <v>1</v>
      </c>
      <c r="H3581" s="6">
        <f>ROUND(G3581*F3581,2)</f>
        <v/>
      </c>
      <c r="I3581">
        <f>IF(ROUND(H3581-D3581,2)=0,1,0)</f>
        <v/>
      </c>
      <c r="J3581">
        <f>IF(F3581="","none",IF(G3581=1,"carte","multiple"))</f>
        <v/>
      </c>
    </row>
    <row r="3582">
      <c r="A3582" t="inlineStr">
        <is>
          <t>2022-07-31</t>
        </is>
      </c>
      <c r="B3582" t="inlineStr">
        <is>
          <t>12:38</t>
        </is>
      </c>
      <c r="C3582" t="n">
        <v>3020</v>
      </c>
      <c r="D3582" s="6" t="n">
        <v>15.9</v>
      </c>
      <c r="E3582" t="n">
        <v>40518</v>
      </c>
      <c r="F3582" s="6" t="n">
        <v>15.9</v>
      </c>
      <c r="G3582" t="n">
        <v>1</v>
      </c>
      <c r="H3582" s="6">
        <f>ROUND(G3582*F3582,2)</f>
        <v/>
      </c>
      <c r="I3582">
        <f>IF(ROUND(H3582-D3582,2)=0,1,0)</f>
        <v/>
      </c>
      <c r="J3582">
        <f>IF(F3582="","none",IF(G3582=1,"carte","multiple"))</f>
        <v/>
      </c>
    </row>
    <row r="3583">
      <c r="A3583" t="inlineStr">
        <is>
          <t>2022-07-31</t>
        </is>
      </c>
      <c r="B3583" t="inlineStr">
        <is>
          <t>12:38</t>
        </is>
      </c>
      <c r="C3583" t="n">
        <v>3020</v>
      </c>
      <c r="D3583" s="6" t="n">
        <v>19</v>
      </c>
      <c r="E3583" t="n">
        <v>40519</v>
      </c>
      <c r="F3583" s="6" t="n">
        <v>19</v>
      </c>
      <c r="G3583" t="n">
        <v>1</v>
      </c>
      <c r="H3583" s="6">
        <f>ROUND(G3583*F3583,2)</f>
        <v/>
      </c>
      <c r="I3583">
        <f>IF(ROUND(H3583-D3583,2)=0,1,0)</f>
        <v/>
      </c>
      <c r="J3583">
        <f>IF(F3583="","none",IF(G3583=1,"carte","multiple"))</f>
        <v/>
      </c>
    </row>
    <row r="3584">
      <c r="A3584" t="inlineStr">
        <is>
          <t>2022-07-31</t>
        </is>
      </c>
      <c r="B3584" t="inlineStr">
        <is>
          <t>13:04</t>
        </is>
      </c>
      <c r="C3584" t="n">
        <v>3020</v>
      </c>
      <c r="D3584" s="6" t="n">
        <v>5.8</v>
      </c>
      <c r="E3584" t="n">
        <v>40520</v>
      </c>
      <c r="F3584" s="6" t="n">
        <v>5.8</v>
      </c>
      <c r="G3584" t="n">
        <v>1</v>
      </c>
      <c r="H3584" s="6">
        <f>ROUND(G3584*F3584,2)</f>
        <v/>
      </c>
      <c r="I3584">
        <f>IF(ROUND(H3584-D3584,2)=0,1,0)</f>
        <v/>
      </c>
      <c r="J3584">
        <f>IF(F3584="","none",IF(G3584=1,"carte","multiple"))</f>
        <v/>
      </c>
    </row>
    <row r="3585">
      <c r="A3585" t="inlineStr">
        <is>
          <t>2022-07-31</t>
        </is>
      </c>
      <c r="B3585" t="inlineStr">
        <is>
          <t>13:04</t>
        </is>
      </c>
      <c r="C3585" t="n">
        <v>3020</v>
      </c>
      <c r="D3585" s="6" t="n">
        <v>19.9</v>
      </c>
      <c r="E3585" t="n">
        <v>40521</v>
      </c>
      <c r="F3585" s="6" t="n">
        <v>19.9</v>
      </c>
      <c r="G3585" t="n">
        <v>1</v>
      </c>
      <c r="H3585" s="6">
        <f>ROUND(G3585*F3585,2)</f>
        <v/>
      </c>
      <c r="I3585">
        <f>IF(ROUND(H3585-D3585,2)=0,1,0)</f>
        <v/>
      </c>
      <c r="J3585">
        <f>IF(F3585="","none",IF(G3585=1,"carte","multiple"))</f>
        <v/>
      </c>
    </row>
    <row r="3586">
      <c r="A3586" t="inlineStr">
        <is>
          <t>2022-07-31</t>
        </is>
      </c>
      <c r="B3586" t="inlineStr">
        <is>
          <t>17:49</t>
        </is>
      </c>
      <c r="C3586" t="n">
        <v>3020</v>
      </c>
      <c r="D3586" s="6" t="n">
        <v>29.9</v>
      </c>
      <c r="E3586" t="n">
        <v>40523</v>
      </c>
      <c r="F3586" s="6" t="n">
        <v>29.9</v>
      </c>
      <c r="G3586" t="n">
        <v>1</v>
      </c>
      <c r="H3586" s="6">
        <f>ROUND(G3586*F3586,2)</f>
        <v/>
      </c>
      <c r="I3586">
        <f>IF(ROUND(H3586-D3586,2)=0,1,0)</f>
        <v/>
      </c>
      <c r="J3586">
        <f>IF(F3586="","none",IF(G3586=1,"carte","multiple"))</f>
        <v/>
      </c>
    </row>
    <row r="3587">
      <c r="A3587" t="inlineStr">
        <is>
          <t>2022-07-31</t>
        </is>
      </c>
      <c r="B3587" t="inlineStr">
        <is>
          <t>18:11</t>
        </is>
      </c>
      <c r="C3587" t="n">
        <v>3020</v>
      </c>
      <c r="D3587" s="6" t="n">
        <v>9</v>
      </c>
      <c r="E3587" t="n">
        <v>40524</v>
      </c>
      <c r="F3587" s="6" t="n">
        <v>9</v>
      </c>
      <c r="G3587" t="n">
        <v>1</v>
      </c>
      <c r="H3587" s="6">
        <f>ROUND(G3587*F3587,2)</f>
        <v/>
      </c>
      <c r="I3587">
        <f>IF(ROUND(H3587-D3587,2)=0,1,0)</f>
        <v/>
      </c>
      <c r="J3587">
        <f>IF(F3587="","none",IF(G3587=1,"carte","multiple"))</f>
        <v/>
      </c>
    </row>
    <row r="3588">
      <c r="A3588" t="inlineStr">
        <is>
          <t>2022-07-31</t>
        </is>
      </c>
      <c r="B3588" t="inlineStr">
        <is>
          <t>18:12</t>
        </is>
      </c>
      <c r="C3588" t="n">
        <v>3020</v>
      </c>
      <c r="D3588" s="6" t="n">
        <v>17.6</v>
      </c>
      <c r="E3588" t="n">
        <v>40525</v>
      </c>
      <c r="F3588" s="6" t="n">
        <v>17.6</v>
      </c>
      <c r="G3588" t="n">
        <v>1</v>
      </c>
      <c r="H3588" s="6">
        <f>ROUND(G3588*F3588,2)</f>
        <v/>
      </c>
      <c r="I3588">
        <f>IF(ROUND(H3588-D3588,2)=0,1,0)</f>
        <v/>
      </c>
      <c r="J3588">
        <f>IF(F3588="","none",IF(G3588=1,"carte","multiple"))</f>
        <v/>
      </c>
    </row>
    <row r="3589">
      <c r="A3589" t="inlineStr">
        <is>
          <t>2022-07-31</t>
        </is>
      </c>
      <c r="B3589" t="inlineStr">
        <is>
          <t>18:31</t>
        </is>
      </c>
      <c r="C3589" t="n">
        <v>3020</v>
      </c>
      <c r="D3589" s="6" t="n">
        <v>3.6</v>
      </c>
      <c r="E3589" t="n">
        <v>40526</v>
      </c>
      <c r="F3589" s="6" t="n">
        <v>3.6</v>
      </c>
      <c r="G3589" t="n">
        <v>1</v>
      </c>
      <c r="H3589" s="6">
        <f>ROUND(G3589*F3589,2)</f>
        <v/>
      </c>
      <c r="I3589">
        <f>IF(ROUND(H3589-D3589,2)=0,1,0)</f>
        <v/>
      </c>
      <c r="J3589">
        <f>IF(F3589="","none",IF(G3589=1,"carte","multiple"))</f>
        <v/>
      </c>
    </row>
    <row r="3590">
      <c r="A3590" t="inlineStr">
        <is>
          <t>2022-07-31</t>
        </is>
      </c>
      <c r="B3590" t="inlineStr">
        <is>
          <t>18:32</t>
        </is>
      </c>
      <c r="C3590" t="n">
        <v>3020</v>
      </c>
      <c r="D3590" s="6" t="n">
        <v>29.9</v>
      </c>
      <c r="E3590" t="n">
        <v>40527</v>
      </c>
      <c r="F3590" s="6" t="n">
        <v>29.9</v>
      </c>
      <c r="G3590" t="n">
        <v>1</v>
      </c>
      <c r="H3590" s="6">
        <f>ROUND(G3590*F3590,2)</f>
        <v/>
      </c>
      <c r="I3590">
        <f>IF(ROUND(H3590-D3590,2)=0,1,0)</f>
        <v/>
      </c>
      <c r="J3590">
        <f>IF(F3590="","none",IF(G3590=1,"carte","multiple"))</f>
        <v/>
      </c>
    </row>
    <row r="3591">
      <c r="A3591" t="inlineStr">
        <is>
          <t>2022-07-31</t>
        </is>
      </c>
      <c r="B3591" t="inlineStr">
        <is>
          <t>19:08</t>
        </is>
      </c>
      <c r="C3591" t="n">
        <v>3020</v>
      </c>
      <c r="D3591" s="6" t="n">
        <v>29</v>
      </c>
      <c r="E3591" t="n">
        <v>40529</v>
      </c>
      <c r="F3591" s="6" t="n">
        <v>29</v>
      </c>
      <c r="G3591" t="n">
        <v>1</v>
      </c>
      <c r="H3591" s="6">
        <f>ROUND(G3591*F3591,2)</f>
        <v/>
      </c>
      <c r="I3591">
        <f>IF(ROUND(H3591-D3591,2)=0,1,0)</f>
        <v/>
      </c>
      <c r="J3591">
        <f>IF(F3591="","none",IF(G3591=1,"carte","multiple"))</f>
        <v/>
      </c>
    </row>
    <row r="3592">
      <c r="A3592" t="inlineStr">
        <is>
          <t>2022-07-31</t>
        </is>
      </c>
      <c r="B3592" t="inlineStr">
        <is>
          <t>19:08</t>
        </is>
      </c>
      <c r="C3592" t="n">
        <v>3020</v>
      </c>
      <c r="D3592" s="6" t="n">
        <v>3.9</v>
      </c>
      <c r="E3592" t="n">
        <v>40530</v>
      </c>
      <c r="F3592" s="6" t="n">
        <v>3.9</v>
      </c>
      <c r="G3592" t="n">
        <v>1</v>
      </c>
      <c r="H3592" s="6">
        <f>ROUND(G3592*F3592,2)</f>
        <v/>
      </c>
      <c r="I3592">
        <f>IF(ROUND(H3592-D3592,2)=0,1,0)</f>
        <v/>
      </c>
      <c r="J3592">
        <f>IF(F3592="","none",IF(G3592=1,"carte","multiple"))</f>
        <v/>
      </c>
    </row>
    <row r="3593">
      <c r="A3593" t="inlineStr">
        <is>
          <t>2022-07-31</t>
        </is>
      </c>
      <c r="B3593" t="inlineStr">
        <is>
          <t>19:08</t>
        </is>
      </c>
      <c r="C3593" t="n">
        <v>3020</v>
      </c>
      <c r="D3593" s="6" t="n">
        <v>19.9</v>
      </c>
      <c r="E3593" t="n">
        <v>40531</v>
      </c>
      <c r="F3593" s="6" t="n">
        <v>19.9</v>
      </c>
      <c r="G3593" t="n">
        <v>1</v>
      </c>
      <c r="H3593" s="6">
        <f>ROUND(G3593*F3593,2)</f>
        <v/>
      </c>
      <c r="I3593">
        <f>IF(ROUND(H3593-D3593,2)=0,1,0)</f>
        <v/>
      </c>
      <c r="J3593">
        <f>IF(F3593="","none",IF(G3593=1,"carte","multiple"))</f>
        <v/>
      </c>
    </row>
    <row r="3594">
      <c r="A3594" t="inlineStr">
        <is>
          <t>2022-07-31</t>
        </is>
      </c>
      <c r="B3594" t="inlineStr">
        <is>
          <t>19:08</t>
        </is>
      </c>
      <c r="C3594" t="n">
        <v>3020</v>
      </c>
      <c r="D3594" s="6" t="n">
        <v>17.6</v>
      </c>
      <c r="E3594" t="n">
        <v>40532</v>
      </c>
      <c r="F3594" s="6" t="n">
        <v>17.6</v>
      </c>
      <c r="G3594" t="n">
        <v>1</v>
      </c>
      <c r="H3594" s="6">
        <f>ROUND(G3594*F3594,2)</f>
        <v/>
      </c>
      <c r="I3594">
        <f>IF(ROUND(H3594-D3594,2)=0,1,0)</f>
        <v/>
      </c>
      <c r="J3594">
        <f>IF(F3594="","none",IF(G3594=1,"carte","multiple"))</f>
        <v/>
      </c>
    </row>
    <row r="3595">
      <c r="A3595" t="inlineStr">
        <is>
          <t>2022-07-31</t>
        </is>
      </c>
      <c r="B3595" t="inlineStr">
        <is>
          <t>19:08</t>
        </is>
      </c>
      <c r="C3595" t="n">
        <v>3020</v>
      </c>
      <c r="D3595" s="6" t="n">
        <v>23</v>
      </c>
      <c r="E3595" t="n">
        <v>40533</v>
      </c>
      <c r="F3595" s="6" t="n">
        <v>23</v>
      </c>
      <c r="G3595" t="n">
        <v>1</v>
      </c>
      <c r="H3595" s="6">
        <f>ROUND(G3595*F3595,2)</f>
        <v/>
      </c>
      <c r="I3595">
        <f>IF(ROUND(H3595-D3595,2)=0,1,0)</f>
        <v/>
      </c>
      <c r="J3595">
        <f>IF(F3595="","none",IF(G3595=1,"carte","multiple"))</f>
        <v/>
      </c>
    </row>
    <row r="3596">
      <c r="A3596" t="inlineStr">
        <is>
          <t>2022-07-31</t>
        </is>
      </c>
      <c r="B3596" t="inlineStr">
        <is>
          <t>19:08</t>
        </is>
      </c>
      <c r="C3596" t="n">
        <v>3020</v>
      </c>
      <c r="D3596" s="6" t="n">
        <v>6.5</v>
      </c>
      <c r="E3596" t="n">
        <v>40534</v>
      </c>
      <c r="F3596" s="6" t="n">
        <v>6.5</v>
      </c>
      <c r="G3596" t="n">
        <v>1</v>
      </c>
      <c r="H3596" s="6">
        <f>ROUND(G3596*F3596,2)</f>
        <v/>
      </c>
      <c r="I3596">
        <f>IF(ROUND(H3596-D3596,2)=0,1,0)</f>
        <v/>
      </c>
      <c r="J3596">
        <f>IF(F3596="","none",IF(G3596=1,"carte","multiple"))</f>
        <v/>
      </c>
    </row>
    <row r="3597">
      <c r="A3597" t="inlineStr">
        <is>
          <t>2022-07-31</t>
        </is>
      </c>
      <c r="B3597" t="inlineStr">
        <is>
          <t>19:08</t>
        </is>
      </c>
      <c r="C3597" t="n">
        <v>3020</v>
      </c>
      <c r="D3597" s="6" t="n">
        <v>7.8</v>
      </c>
      <c r="E3597" t="n">
        <v>40535</v>
      </c>
      <c r="F3597" s="6" t="n">
        <v>7.8</v>
      </c>
      <c r="G3597" t="n">
        <v>1</v>
      </c>
      <c r="H3597" s="6">
        <f>ROUND(G3597*F3597,2)</f>
        <v/>
      </c>
      <c r="I3597">
        <f>IF(ROUND(H3597-D3597,2)=0,1,0)</f>
        <v/>
      </c>
      <c r="J3597">
        <f>IF(F3597="","none",IF(G3597=1,"carte","multiple"))</f>
        <v/>
      </c>
    </row>
    <row r="3598">
      <c r="A3598" t="inlineStr">
        <is>
          <t>2022-07-31</t>
        </is>
      </c>
      <c r="B3598" t="inlineStr">
        <is>
          <t>19:08</t>
        </is>
      </c>
      <c r="C3598" t="n">
        <v>3020</v>
      </c>
      <c r="D3598" s="6" t="n">
        <v>9</v>
      </c>
      <c r="E3598" t="n">
        <v>40536</v>
      </c>
      <c r="F3598" s="6" t="n">
        <v>9</v>
      </c>
      <c r="G3598" t="n">
        <v>1</v>
      </c>
      <c r="H3598" s="6">
        <f>ROUND(G3598*F3598,2)</f>
        <v/>
      </c>
      <c r="I3598">
        <f>IF(ROUND(H3598-D3598,2)=0,1,0)</f>
        <v/>
      </c>
      <c r="J3598">
        <f>IF(F3598="","none",IF(G3598=1,"carte","multiple"))</f>
        <v/>
      </c>
    </row>
    <row r="3599">
      <c r="A3599" t="inlineStr">
        <is>
          <t>2022-07-31</t>
        </is>
      </c>
      <c r="B3599" t="inlineStr">
        <is>
          <t>19:21</t>
        </is>
      </c>
      <c r="C3599" t="n">
        <v>3020</v>
      </c>
      <c r="D3599" s="6" t="n">
        <v>2.2</v>
      </c>
      <c r="E3599" t="n">
        <v>40537</v>
      </c>
      <c r="F3599" s="6" t="n">
        <v>2.2</v>
      </c>
      <c r="G3599" t="n">
        <v>1</v>
      </c>
      <c r="H3599" s="6">
        <f>ROUND(G3599*F3599,2)</f>
        <v/>
      </c>
      <c r="I3599">
        <f>IF(ROUND(H3599-D3599,2)=0,1,0)</f>
        <v/>
      </c>
      <c r="J3599">
        <f>IF(F3599="","none",IF(G3599=1,"carte","multiple"))</f>
        <v/>
      </c>
    </row>
    <row r="3600">
      <c r="A3600" t="inlineStr">
        <is>
          <t>2022-07-31</t>
        </is>
      </c>
      <c r="B3600" t="inlineStr">
        <is>
          <t>19:21</t>
        </is>
      </c>
      <c r="C3600" t="n">
        <v>3020</v>
      </c>
      <c r="D3600" s="6" t="n">
        <v>3.9</v>
      </c>
      <c r="E3600" t="n">
        <v>40538</v>
      </c>
      <c r="F3600" s="6" t="n">
        <v>3.9</v>
      </c>
      <c r="G3600" t="n">
        <v>1</v>
      </c>
      <c r="H3600" s="6">
        <f>ROUND(G3600*F3600,2)</f>
        <v/>
      </c>
      <c r="I3600">
        <f>IF(ROUND(H3600-D3600,2)=0,1,0)</f>
        <v/>
      </c>
      <c r="J3600">
        <f>IF(F3600="","none",IF(G3600=1,"carte","multiple"))</f>
        <v/>
      </c>
    </row>
    <row r="3601">
      <c r="A3601" t="inlineStr">
        <is>
          <t>2022-07-31</t>
        </is>
      </c>
      <c r="B3601" t="inlineStr">
        <is>
          <t>19:21</t>
        </is>
      </c>
      <c r="C3601" t="n">
        <v>3020</v>
      </c>
      <c r="D3601" s="6" t="n">
        <v>13.9</v>
      </c>
      <c r="E3601" t="n">
        <v>40539</v>
      </c>
      <c r="F3601" s="6" t="n">
        <v>13.9</v>
      </c>
      <c r="G3601" t="n">
        <v>1</v>
      </c>
      <c r="H3601" s="6">
        <f>ROUND(G3601*F3601,2)</f>
        <v/>
      </c>
      <c r="I3601">
        <f>IF(ROUND(H3601-D3601,2)=0,1,0)</f>
        <v/>
      </c>
      <c r="J3601">
        <f>IF(F3601="","none",IF(G3601=1,"carte","multiple"))</f>
        <v/>
      </c>
    </row>
    <row r="3602">
      <c r="A3602" t="inlineStr">
        <is>
          <t>2022-07-31</t>
        </is>
      </c>
      <c r="B3602" t="inlineStr">
        <is>
          <t>19:21</t>
        </is>
      </c>
      <c r="C3602" t="n">
        <v>3020</v>
      </c>
      <c r="D3602" s="6" t="n">
        <v>16.4</v>
      </c>
      <c r="E3602" t="n">
        <v>40540</v>
      </c>
      <c r="F3602" s="6" t="n">
        <v>16.4</v>
      </c>
      <c r="G3602" t="n">
        <v>1</v>
      </c>
      <c r="H3602" s="6">
        <f>ROUND(G3602*F3602,2)</f>
        <v/>
      </c>
      <c r="I3602">
        <f>IF(ROUND(H3602-D3602,2)=0,1,0)</f>
        <v/>
      </c>
      <c r="J3602">
        <f>IF(F3602="","none",IF(G3602=1,"carte","multiple"))</f>
        <v/>
      </c>
    </row>
    <row r="3603">
      <c r="A3603" t="inlineStr">
        <is>
          <t>2022-07-31</t>
        </is>
      </c>
      <c r="B3603" t="inlineStr">
        <is>
          <t>19:21</t>
        </is>
      </c>
      <c r="C3603" t="n">
        <v>3020</v>
      </c>
      <c r="D3603" s="6" t="n">
        <v>14</v>
      </c>
      <c r="E3603" t="n">
        <v>40541</v>
      </c>
      <c r="F3603" s="6" t="n">
        <v>14</v>
      </c>
      <c r="G3603" t="n">
        <v>1</v>
      </c>
      <c r="H3603" s="6">
        <f>ROUND(G3603*F3603,2)</f>
        <v/>
      </c>
      <c r="I3603">
        <f>IF(ROUND(H3603-D3603,2)=0,1,0)</f>
        <v/>
      </c>
      <c r="J3603">
        <f>IF(F3603="","none",IF(G3603=1,"carte","multiple"))</f>
        <v/>
      </c>
    </row>
    <row r="3604">
      <c r="A3604" t="inlineStr">
        <is>
          <t>2022-07-31</t>
        </is>
      </c>
      <c r="B3604" t="inlineStr">
        <is>
          <t>19:22</t>
        </is>
      </c>
      <c r="C3604" t="n">
        <v>3020</v>
      </c>
      <c r="D3604" s="6" t="n">
        <v>2.2</v>
      </c>
      <c r="E3604" t="n">
        <v>40542</v>
      </c>
      <c r="F3604" s="6" t="n">
        <v>2.2</v>
      </c>
      <c r="G3604" t="n">
        <v>1</v>
      </c>
      <c r="H3604" s="6">
        <f>ROUND(G3604*F3604,2)</f>
        <v/>
      </c>
      <c r="I3604">
        <f>IF(ROUND(H3604-D3604,2)=0,1,0)</f>
        <v/>
      </c>
      <c r="J3604">
        <f>IF(F3604="","none",IF(G3604=1,"carte","multiple"))</f>
        <v/>
      </c>
    </row>
    <row r="3605">
      <c r="A3605" t="inlineStr">
        <is>
          <t>2022-07-31</t>
        </is>
      </c>
      <c r="B3605" t="inlineStr">
        <is>
          <t>19:22</t>
        </is>
      </c>
      <c r="C3605" t="n">
        <v>3020</v>
      </c>
      <c r="D3605" s="6" t="n">
        <v>5.9</v>
      </c>
      <c r="E3605" t="n">
        <v>40543</v>
      </c>
      <c r="F3605" s="6" t="n">
        <v>5.9</v>
      </c>
      <c r="G3605" t="n">
        <v>1</v>
      </c>
      <c r="H3605" s="6">
        <f>ROUND(G3605*F3605,2)</f>
        <v/>
      </c>
      <c r="I3605">
        <f>IF(ROUND(H3605-D3605,2)=0,1,0)</f>
        <v/>
      </c>
      <c r="J3605">
        <f>IF(F3605="","none",IF(G3605=1,"carte","multiple"))</f>
        <v/>
      </c>
    </row>
    <row r="3606">
      <c r="A3606" t="inlineStr">
        <is>
          <t>2022-07-31</t>
        </is>
      </c>
      <c r="B3606" t="inlineStr">
        <is>
          <t>19:22</t>
        </is>
      </c>
      <c r="C3606" t="n">
        <v>3020</v>
      </c>
      <c r="D3606" s="6" t="n">
        <v>3.9</v>
      </c>
      <c r="E3606" t="n">
        <v>40544</v>
      </c>
      <c r="F3606" s="6" t="n">
        <v>3.9</v>
      </c>
      <c r="G3606" t="n">
        <v>1</v>
      </c>
      <c r="H3606" s="6">
        <f>ROUND(G3606*F3606,2)</f>
        <v/>
      </c>
      <c r="I3606">
        <f>IF(ROUND(H3606-D3606,2)=0,1,0)</f>
        <v/>
      </c>
      <c r="J3606">
        <f>IF(F3606="","none",IF(G3606=1,"carte","multiple"))</f>
        <v/>
      </c>
    </row>
    <row r="3607">
      <c r="A3607" t="inlineStr">
        <is>
          <t>2022-07-31</t>
        </is>
      </c>
      <c r="B3607" t="inlineStr">
        <is>
          <t>19:22</t>
        </is>
      </c>
      <c r="C3607" t="n">
        <v>3020</v>
      </c>
      <c r="D3607" s="6" t="n">
        <v>48</v>
      </c>
      <c r="E3607" t="n">
        <v>40545</v>
      </c>
      <c r="F3607" s="6" t="n">
        <v>0.4</v>
      </c>
      <c r="G3607" t="n">
        <v>120</v>
      </c>
      <c r="H3607" s="6">
        <f>ROUND(G3607*F3607,2)</f>
        <v/>
      </c>
      <c r="I3607">
        <f>IF(ROUND(H3607-D3607,2)=0,1,0)</f>
        <v/>
      </c>
      <c r="J3607">
        <f>IF(F3607="","none",IF(G3607=1,"carte","multiple"))</f>
        <v/>
      </c>
    </row>
    <row r="3608">
      <c r="A3608" t="inlineStr">
        <is>
          <t>2022-07-31</t>
        </is>
      </c>
      <c r="B3608" t="inlineStr">
        <is>
          <t>19:22</t>
        </is>
      </c>
      <c r="C3608" t="n">
        <v>3020</v>
      </c>
      <c r="D3608" s="6" t="n">
        <v>9.800000000000001</v>
      </c>
      <c r="E3608" t="n">
        <v>40546</v>
      </c>
      <c r="F3608" s="6" t="n">
        <v>9.800000000000001</v>
      </c>
      <c r="G3608" t="n">
        <v>1</v>
      </c>
      <c r="H3608" s="6">
        <f>ROUND(G3608*F3608,2)</f>
        <v/>
      </c>
      <c r="I3608">
        <f>IF(ROUND(H3608-D3608,2)=0,1,0)</f>
        <v/>
      </c>
      <c r="J3608">
        <f>IF(F3608="","none",IF(G3608=1,"carte","multiple"))</f>
        <v/>
      </c>
    </row>
    <row r="3609">
      <c r="A3609" t="inlineStr">
        <is>
          <t>2022-07-31</t>
        </is>
      </c>
      <c r="B3609" t="inlineStr">
        <is>
          <t>19:22</t>
        </is>
      </c>
      <c r="C3609" t="n">
        <v>3020</v>
      </c>
      <c r="D3609" s="6" t="n">
        <v>3.8</v>
      </c>
      <c r="E3609" t="n">
        <v>40547</v>
      </c>
      <c r="F3609" s="6" t="n">
        <v>3.8</v>
      </c>
      <c r="G3609" t="n">
        <v>1</v>
      </c>
      <c r="H3609" s="6">
        <f>ROUND(G3609*F3609,2)</f>
        <v/>
      </c>
      <c r="I3609">
        <f>IF(ROUND(H3609-D3609,2)=0,1,0)</f>
        <v/>
      </c>
      <c r="J3609">
        <f>IF(F3609="","none",IF(G3609=1,"carte","multiple"))</f>
        <v/>
      </c>
    </row>
    <row r="3610">
      <c r="A3610" t="inlineStr">
        <is>
          <t>2022-07-31</t>
        </is>
      </c>
      <c r="B3610" t="inlineStr">
        <is>
          <t>19:22</t>
        </is>
      </c>
      <c r="C3610" t="n">
        <v>3020</v>
      </c>
      <c r="D3610" s="6" t="n">
        <v>5.2</v>
      </c>
      <c r="E3610" t="n">
        <v>40548</v>
      </c>
      <c r="F3610" s="6" t="n">
        <v>5.2</v>
      </c>
      <c r="G3610" t="n">
        <v>1</v>
      </c>
      <c r="H3610" s="6">
        <f>ROUND(G3610*F3610,2)</f>
        <v/>
      </c>
      <c r="I3610">
        <f>IF(ROUND(H3610-D3610,2)=0,1,0)</f>
        <v/>
      </c>
      <c r="J3610">
        <f>IF(F3610="","none",IF(G3610=1,"carte","multiple"))</f>
        <v/>
      </c>
    </row>
    <row r="3611">
      <c r="A3611" t="inlineStr">
        <is>
          <t>2022-07-31</t>
        </is>
      </c>
      <c r="B3611" t="inlineStr">
        <is>
          <t>19:32</t>
        </is>
      </c>
      <c r="C3611" t="n">
        <v>3020</v>
      </c>
      <c r="D3611" s="6" t="n">
        <v>19.8</v>
      </c>
      <c r="E3611" t="n">
        <v>40549</v>
      </c>
      <c r="F3611" s="6" t="n">
        <v>19.8</v>
      </c>
      <c r="G3611" t="n">
        <v>1</v>
      </c>
      <c r="H3611" s="6">
        <f>ROUND(G3611*F3611,2)</f>
        <v/>
      </c>
      <c r="I3611">
        <f>IF(ROUND(H3611-D3611,2)=0,1,0)</f>
        <v/>
      </c>
      <c r="J3611">
        <f>IF(F3611="","none",IF(G3611=1,"carte","multiple"))</f>
        <v/>
      </c>
    </row>
    <row r="3612">
      <c r="A3612" t="inlineStr">
        <is>
          <t>2022-07-31</t>
        </is>
      </c>
      <c r="B3612" t="inlineStr">
        <is>
          <t>19:32</t>
        </is>
      </c>
      <c r="C3612" t="n">
        <v>3020</v>
      </c>
      <c r="D3612" s="6" t="n">
        <v>18</v>
      </c>
      <c r="E3612" t="n">
        <v>40550</v>
      </c>
      <c r="F3612" s="6" t="n">
        <v>18</v>
      </c>
      <c r="G3612" t="n">
        <v>1</v>
      </c>
      <c r="H3612" s="6">
        <f>ROUND(G3612*F3612,2)</f>
        <v/>
      </c>
      <c r="I3612">
        <f>IF(ROUND(H3612-D3612,2)=0,1,0)</f>
        <v/>
      </c>
      <c r="J3612">
        <f>IF(F3612="","none",IF(G3612=1,"carte","multiple"))</f>
        <v/>
      </c>
    </row>
    <row r="3613">
      <c r="A3613" t="inlineStr">
        <is>
          <t>2022-07-31</t>
        </is>
      </c>
      <c r="B3613" t="inlineStr">
        <is>
          <t>19:45</t>
        </is>
      </c>
      <c r="C3613" t="n">
        <v>3020</v>
      </c>
      <c r="D3613" s="6" t="n">
        <v>17.6</v>
      </c>
      <c r="E3613" t="n">
        <v>40551</v>
      </c>
      <c r="F3613" s="6" t="n">
        <v>17.6</v>
      </c>
      <c r="G3613" t="n">
        <v>1</v>
      </c>
      <c r="H3613" s="6">
        <f>ROUND(G3613*F3613,2)</f>
        <v/>
      </c>
      <c r="I3613">
        <f>IF(ROUND(H3613-D3613,2)=0,1,0)</f>
        <v/>
      </c>
      <c r="J3613">
        <f>IF(F3613="","none",IF(G3613=1,"carte","multiple"))</f>
        <v/>
      </c>
    </row>
    <row r="3614">
      <c r="A3614" t="inlineStr">
        <is>
          <t>2022-07-31</t>
        </is>
      </c>
      <c r="B3614" t="inlineStr">
        <is>
          <t>19:46</t>
        </is>
      </c>
      <c r="C3614" t="n">
        <v>3020</v>
      </c>
      <c r="D3614" s="6" t="n">
        <v>1.8</v>
      </c>
      <c r="E3614" t="n">
        <v>40552</v>
      </c>
      <c r="F3614" s="6" t="n">
        <v>1.8</v>
      </c>
      <c r="G3614" t="n">
        <v>1</v>
      </c>
      <c r="H3614" s="6">
        <f>ROUND(G3614*F3614,2)</f>
        <v/>
      </c>
      <c r="I3614">
        <f>IF(ROUND(H3614-D3614,2)=0,1,0)</f>
        <v/>
      </c>
      <c r="J3614">
        <f>IF(F3614="","none",IF(G3614=1,"carte","multiple"))</f>
        <v/>
      </c>
    </row>
    <row r="3615">
      <c r="A3615" t="inlineStr">
        <is>
          <t>2022-07-31</t>
        </is>
      </c>
      <c r="B3615" t="inlineStr">
        <is>
          <t>19:46</t>
        </is>
      </c>
      <c r="C3615" t="n">
        <v>3020</v>
      </c>
      <c r="D3615" s="6" t="n">
        <v>2</v>
      </c>
      <c r="E3615" t="n">
        <v>40553</v>
      </c>
      <c r="F3615" s="6" t="n">
        <v>2</v>
      </c>
      <c r="G3615" t="n">
        <v>1</v>
      </c>
      <c r="H3615" s="6">
        <f>ROUND(G3615*F3615,2)</f>
        <v/>
      </c>
      <c r="I3615">
        <f>IF(ROUND(H3615-D3615,2)=0,1,0)</f>
        <v/>
      </c>
      <c r="J3615">
        <f>IF(F3615="","none",IF(G3615=1,"carte","multiple"))</f>
        <v/>
      </c>
    </row>
    <row r="3616">
      <c r="A3616" t="inlineStr">
        <is>
          <t>2022-07-31</t>
        </is>
      </c>
      <c r="B3616" t="inlineStr">
        <is>
          <t>19:46</t>
        </is>
      </c>
      <c r="C3616" t="n">
        <v>3020</v>
      </c>
      <c r="D3616" s="6" t="n">
        <v>5.8</v>
      </c>
      <c r="E3616" t="n">
        <v>40554</v>
      </c>
      <c r="F3616" s="6" t="n">
        <v>5.8</v>
      </c>
      <c r="G3616" t="n">
        <v>1</v>
      </c>
      <c r="H3616" s="6">
        <f>ROUND(G3616*F3616,2)</f>
        <v/>
      </c>
      <c r="I3616">
        <f>IF(ROUND(H3616-D3616,2)=0,1,0)</f>
        <v/>
      </c>
      <c r="J3616">
        <f>IF(F3616="","none",IF(G3616=1,"carte","multiple"))</f>
        <v/>
      </c>
    </row>
    <row r="3617">
      <c r="A3617" t="inlineStr">
        <is>
          <t>2022-07-31</t>
        </is>
      </c>
      <c r="B3617" t="inlineStr">
        <is>
          <t>20:11</t>
        </is>
      </c>
      <c r="C3617" t="n">
        <v>3020</v>
      </c>
      <c r="D3617" s="6" t="n">
        <v>8</v>
      </c>
      <c r="E3617" t="n">
        <v>40555</v>
      </c>
      <c r="F3617" s="6" t="n">
        <v>8</v>
      </c>
      <c r="G3617" t="n">
        <v>1</v>
      </c>
      <c r="H3617" s="6">
        <f>ROUND(G3617*F3617,2)</f>
        <v/>
      </c>
      <c r="I3617">
        <f>IF(ROUND(H3617-D3617,2)=0,1,0)</f>
        <v/>
      </c>
      <c r="J3617">
        <f>IF(F3617="","none",IF(G3617=1,"carte","multiple"))</f>
        <v/>
      </c>
    </row>
    <row r="3618">
      <c r="A3618" t="inlineStr">
        <is>
          <t>2022-07-31</t>
        </is>
      </c>
      <c r="B3618" t="inlineStr">
        <is>
          <t>20:11</t>
        </is>
      </c>
      <c r="C3618" t="n">
        <v>3020</v>
      </c>
      <c r="D3618" s="6" t="n">
        <v>7.8</v>
      </c>
      <c r="E3618" t="n">
        <v>40556</v>
      </c>
      <c r="F3618" s="6" t="n">
        <v>7.8</v>
      </c>
      <c r="G3618" t="n">
        <v>1</v>
      </c>
      <c r="H3618" s="6">
        <f>ROUND(G3618*F3618,2)</f>
        <v/>
      </c>
      <c r="I3618">
        <f>IF(ROUND(H3618-D3618,2)=0,1,0)</f>
        <v/>
      </c>
      <c r="J3618">
        <f>IF(F3618="","none",IF(G3618=1,"carte","multiple"))</f>
        <v/>
      </c>
    </row>
    <row r="3619">
      <c r="A3619" t="inlineStr">
        <is>
          <t>2022-07-31</t>
        </is>
      </c>
      <c r="B3619" t="inlineStr">
        <is>
          <t>20:11</t>
        </is>
      </c>
      <c r="C3619" t="n">
        <v>3020</v>
      </c>
      <c r="D3619" s="6" t="n">
        <v>19.9</v>
      </c>
      <c r="E3619" t="n">
        <v>40557</v>
      </c>
      <c r="F3619" s="6" t="n">
        <v>19.9</v>
      </c>
      <c r="G3619" t="n">
        <v>1</v>
      </c>
      <c r="H3619" s="6">
        <f>ROUND(G3619*F3619,2)</f>
        <v/>
      </c>
      <c r="I3619">
        <f>IF(ROUND(H3619-D3619,2)=0,1,0)</f>
        <v/>
      </c>
      <c r="J3619">
        <f>IF(F3619="","none",IF(G3619=1,"carte","multiple"))</f>
        <v/>
      </c>
    </row>
    <row r="3620">
      <c r="A3620" t="inlineStr">
        <is>
          <t>2022-07-31</t>
        </is>
      </c>
      <c r="B3620" t="inlineStr">
        <is>
          <t>20:11</t>
        </is>
      </c>
      <c r="C3620" t="n">
        <v>3020</v>
      </c>
      <c r="D3620" s="6" t="n">
        <v>19</v>
      </c>
      <c r="E3620" t="n">
        <v>40558</v>
      </c>
      <c r="F3620" s="6" t="n">
        <v>19</v>
      </c>
      <c r="G3620" t="n">
        <v>1</v>
      </c>
      <c r="H3620" s="6">
        <f>ROUND(G3620*F3620,2)</f>
        <v/>
      </c>
      <c r="I3620">
        <f>IF(ROUND(H3620-D3620,2)=0,1,0)</f>
        <v/>
      </c>
      <c r="J3620">
        <f>IF(F3620="","none",IF(G3620=1,"carte","multiple"))</f>
        <v/>
      </c>
    </row>
    <row r="3621">
      <c r="A3621" t="inlineStr">
        <is>
          <t>2022-07-31</t>
        </is>
      </c>
      <c r="B3621" t="inlineStr">
        <is>
          <t>20:11</t>
        </is>
      </c>
      <c r="C3621" t="n">
        <v>3020</v>
      </c>
      <c r="D3621" s="6" t="n">
        <v>17.6</v>
      </c>
      <c r="E3621" t="n">
        <v>40559</v>
      </c>
      <c r="F3621" s="6" t="n">
        <v>17.6</v>
      </c>
      <c r="G3621" t="n">
        <v>1</v>
      </c>
      <c r="H3621" s="6">
        <f>ROUND(G3621*F3621,2)</f>
        <v/>
      </c>
      <c r="I3621">
        <f>IF(ROUND(H3621-D3621,2)=0,1,0)</f>
        <v/>
      </c>
      <c r="J3621">
        <f>IF(F3621="","none",IF(G3621=1,"carte","multiple"))</f>
        <v/>
      </c>
    </row>
    <row r="3622">
      <c r="A3622" t="inlineStr">
        <is>
          <t>2022-07-31</t>
        </is>
      </c>
      <c r="B3622" t="inlineStr">
        <is>
          <t>20:11</t>
        </is>
      </c>
      <c r="C3622" t="n">
        <v>3020</v>
      </c>
      <c r="D3622" s="6" t="n">
        <v>19</v>
      </c>
      <c r="E3622" t="n">
        <v>40560</v>
      </c>
      <c r="F3622" s="6" t="n">
        <v>19</v>
      </c>
      <c r="G3622" t="n">
        <v>1</v>
      </c>
      <c r="H3622" s="6">
        <f>ROUND(G3622*F3622,2)</f>
        <v/>
      </c>
      <c r="I3622">
        <f>IF(ROUND(H3622-D3622,2)=0,1,0)</f>
        <v/>
      </c>
      <c r="J3622">
        <f>IF(F3622="","none",IF(G3622=1,"carte","multiple"))</f>
        <v/>
      </c>
    </row>
    <row r="3623">
      <c r="A3623" t="inlineStr">
        <is>
          <t>2022-07-31</t>
        </is>
      </c>
      <c r="B3623" t="inlineStr">
        <is>
          <t>20:11</t>
        </is>
      </c>
      <c r="C3623" t="n">
        <v>3020</v>
      </c>
      <c r="D3623" s="6" t="n">
        <v>9.800000000000001</v>
      </c>
      <c r="E3623" t="n">
        <v>40561</v>
      </c>
      <c r="F3623" s="6" t="n">
        <v>9.800000000000001</v>
      </c>
      <c r="G3623" t="n">
        <v>1</v>
      </c>
      <c r="H3623" s="6">
        <f>ROUND(G3623*F3623,2)</f>
        <v/>
      </c>
      <c r="I3623">
        <f>IF(ROUND(H3623-D3623,2)=0,1,0)</f>
        <v/>
      </c>
      <c r="J3623">
        <f>IF(F3623="","none",IF(G3623=1,"carte","multiple"))</f>
        <v/>
      </c>
    </row>
    <row r="3624">
      <c r="A3624" t="inlineStr">
        <is>
          <t>2022-07-31</t>
        </is>
      </c>
      <c r="B3624" t="inlineStr">
        <is>
          <t>20:31</t>
        </is>
      </c>
      <c r="C3624" t="n">
        <v>3020</v>
      </c>
      <c r="D3624" s="6" t="n">
        <v>17.6</v>
      </c>
      <c r="E3624" t="n">
        <v>40562</v>
      </c>
      <c r="F3624" s="6" t="n">
        <v>17.6</v>
      </c>
      <c r="G3624" t="n">
        <v>1</v>
      </c>
      <c r="H3624" s="6">
        <f>ROUND(G3624*F3624,2)</f>
        <v/>
      </c>
      <c r="I3624">
        <f>IF(ROUND(H3624-D3624,2)=0,1,0)</f>
        <v/>
      </c>
      <c r="J3624">
        <f>IF(F3624="","none",IF(G3624=1,"carte","multiple"))</f>
        <v/>
      </c>
    </row>
    <row r="3625">
      <c r="A3625" t="inlineStr">
        <is>
          <t>2022-07-31</t>
        </is>
      </c>
      <c r="B3625" t="inlineStr">
        <is>
          <t>20:31</t>
        </is>
      </c>
      <c r="C3625" t="n">
        <v>3020</v>
      </c>
      <c r="D3625" s="6" t="n">
        <v>17.6</v>
      </c>
      <c r="E3625" t="n">
        <v>40563</v>
      </c>
      <c r="F3625" s="6" t="n">
        <v>17.6</v>
      </c>
      <c r="G3625" t="n">
        <v>1</v>
      </c>
      <c r="H3625" s="6">
        <f>ROUND(G3625*F3625,2)</f>
        <v/>
      </c>
      <c r="I3625">
        <f>IF(ROUND(H3625-D3625,2)=0,1,0)</f>
        <v/>
      </c>
      <c r="J3625">
        <f>IF(F3625="","none",IF(G3625=1,"carte","multiple"))</f>
        <v/>
      </c>
    </row>
    <row r="3626">
      <c r="A3626" t="inlineStr">
        <is>
          <t>2022-07-31</t>
        </is>
      </c>
      <c r="B3626" t="inlineStr">
        <is>
          <t>20:31</t>
        </is>
      </c>
      <c r="C3626" t="n">
        <v>3020</v>
      </c>
      <c r="D3626" s="6" t="n">
        <v>7.8</v>
      </c>
      <c r="E3626" t="n">
        <v>40564</v>
      </c>
      <c r="F3626" s="6" t="n">
        <v>7.8</v>
      </c>
      <c r="G3626" t="n">
        <v>1</v>
      </c>
      <c r="H3626" s="6">
        <f>ROUND(G3626*F3626,2)</f>
        <v/>
      </c>
      <c r="I3626">
        <f>IF(ROUND(H3626-D3626,2)=0,1,0)</f>
        <v/>
      </c>
      <c r="J3626">
        <f>IF(F3626="","none",IF(G3626=1,"carte","multiple"))</f>
        <v/>
      </c>
    </row>
    <row r="3627">
      <c r="A3627" t="inlineStr">
        <is>
          <t>2022-07-31</t>
        </is>
      </c>
      <c r="B3627" t="inlineStr">
        <is>
          <t>20:31</t>
        </is>
      </c>
      <c r="C3627" t="n">
        <v>3020</v>
      </c>
      <c r="D3627" s="6" t="n">
        <v>5.8</v>
      </c>
      <c r="E3627" t="n">
        <v>40565</v>
      </c>
      <c r="F3627" s="6" t="n">
        <v>5.8</v>
      </c>
      <c r="G3627" t="n">
        <v>1</v>
      </c>
      <c r="H3627" s="6">
        <f>ROUND(G3627*F3627,2)</f>
        <v/>
      </c>
      <c r="I3627">
        <f>IF(ROUND(H3627-D3627,2)=0,1,0)</f>
        <v/>
      </c>
      <c r="J3627">
        <f>IF(F3627="","none",IF(G3627=1,"carte","multiple"))</f>
        <v/>
      </c>
    </row>
    <row r="3628">
      <c r="A3628" t="inlineStr">
        <is>
          <t>2022-07-31</t>
        </is>
      </c>
      <c r="B3628" t="inlineStr">
        <is>
          <t>20:33</t>
        </is>
      </c>
      <c r="C3628" t="n">
        <v>3020</v>
      </c>
      <c r="D3628" s="6" t="n">
        <v>3.9</v>
      </c>
      <c r="E3628" t="n">
        <v>40566</v>
      </c>
      <c r="F3628" s="6" t="n">
        <v>3.9</v>
      </c>
      <c r="G3628" t="n">
        <v>1</v>
      </c>
      <c r="H3628" s="6">
        <f>ROUND(G3628*F3628,2)</f>
        <v/>
      </c>
      <c r="I3628">
        <f>IF(ROUND(H3628-D3628,2)=0,1,0)</f>
        <v/>
      </c>
      <c r="J3628">
        <f>IF(F3628="","none",IF(G3628=1,"carte","multiple"))</f>
        <v/>
      </c>
    </row>
    <row r="3629">
      <c r="A3629" t="inlineStr">
        <is>
          <t>2022-07-31</t>
        </is>
      </c>
      <c r="B3629" t="inlineStr">
        <is>
          <t>20:33</t>
        </is>
      </c>
      <c r="C3629" t="n">
        <v>3020</v>
      </c>
      <c r="D3629" s="6" t="n">
        <v>3.9</v>
      </c>
      <c r="E3629" t="n">
        <v>40567</v>
      </c>
      <c r="F3629" s="6" t="n">
        <v>3.9</v>
      </c>
      <c r="G3629" t="n">
        <v>1</v>
      </c>
      <c r="H3629" s="6">
        <f>ROUND(G3629*F3629,2)</f>
        <v/>
      </c>
      <c r="I3629">
        <f>IF(ROUND(H3629-D3629,2)=0,1,0)</f>
        <v/>
      </c>
      <c r="J3629">
        <f>IF(F3629="","none",IF(G3629=1,"carte","multiple"))</f>
        <v/>
      </c>
    </row>
    <row r="3630">
      <c r="A3630" t="inlineStr">
        <is>
          <t>2022-07-31</t>
        </is>
      </c>
      <c r="B3630" t="inlineStr">
        <is>
          <t>20:33</t>
        </is>
      </c>
      <c r="C3630" t="n">
        <v>3020</v>
      </c>
      <c r="D3630" s="6" t="n">
        <v>17.6</v>
      </c>
      <c r="E3630" t="n">
        <v>40568</v>
      </c>
      <c r="F3630" s="6" t="n">
        <v>17.6</v>
      </c>
      <c r="G3630" t="n">
        <v>1</v>
      </c>
      <c r="H3630" s="6">
        <f>ROUND(G3630*F3630,2)</f>
        <v/>
      </c>
      <c r="I3630">
        <f>IF(ROUND(H3630-D3630,2)=0,1,0)</f>
        <v/>
      </c>
      <c r="J3630">
        <f>IF(F3630="","none",IF(G3630=1,"carte","multiple"))</f>
        <v/>
      </c>
    </row>
    <row r="3631">
      <c r="A3631" t="inlineStr">
        <is>
          <t>2022-07-31</t>
        </is>
      </c>
      <c r="B3631" t="inlineStr">
        <is>
          <t>20:33</t>
        </is>
      </c>
      <c r="C3631" t="n">
        <v>3020</v>
      </c>
      <c r="D3631" s="6" t="n">
        <v>15.9</v>
      </c>
      <c r="E3631" t="n">
        <v>40569</v>
      </c>
      <c r="F3631" s="6" t="n">
        <v>15.9</v>
      </c>
      <c r="G3631" t="n">
        <v>1</v>
      </c>
      <c r="H3631" s="6">
        <f>ROUND(G3631*F3631,2)</f>
        <v/>
      </c>
      <c r="I3631">
        <f>IF(ROUND(H3631-D3631,2)=0,1,0)</f>
        <v/>
      </c>
      <c r="J3631">
        <f>IF(F3631="","none",IF(G3631=1,"carte","multiple"))</f>
        <v/>
      </c>
    </row>
    <row r="3632">
      <c r="A3632" t="inlineStr">
        <is>
          <t>2022-07-31</t>
        </is>
      </c>
      <c r="B3632" t="inlineStr">
        <is>
          <t>20:33</t>
        </is>
      </c>
      <c r="C3632" t="n">
        <v>3020</v>
      </c>
      <c r="D3632" s="6" t="n">
        <v>5.9</v>
      </c>
      <c r="E3632" t="n">
        <v>40570</v>
      </c>
      <c r="F3632" s="6" t="n">
        <v>5.9</v>
      </c>
      <c r="G3632" t="n">
        <v>1</v>
      </c>
      <c r="H3632" s="6">
        <f>ROUND(G3632*F3632,2)</f>
        <v/>
      </c>
      <c r="I3632">
        <f>IF(ROUND(H3632-D3632,2)=0,1,0)</f>
        <v/>
      </c>
      <c r="J3632">
        <f>IF(F3632="","none",IF(G3632=1,"carte","multiple"))</f>
        <v/>
      </c>
    </row>
    <row r="3633">
      <c r="A3633" t="inlineStr">
        <is>
          <t>2022-07-31</t>
        </is>
      </c>
      <c r="B3633" t="inlineStr">
        <is>
          <t>20:38</t>
        </is>
      </c>
      <c r="C3633" t="n">
        <v>3020</v>
      </c>
      <c r="D3633" s="6" t="n">
        <v>4.7</v>
      </c>
      <c r="E3633" t="n">
        <v>40571</v>
      </c>
      <c r="F3633" s="6" t="n">
        <v>4.7</v>
      </c>
      <c r="G3633" t="n">
        <v>1</v>
      </c>
      <c r="H3633" s="6">
        <f>ROUND(G3633*F3633,2)</f>
        <v/>
      </c>
      <c r="I3633">
        <f>IF(ROUND(H3633-D3633,2)=0,1,0)</f>
        <v/>
      </c>
      <c r="J3633">
        <f>IF(F3633="","none",IF(G3633=1,"carte","multiple"))</f>
        <v/>
      </c>
    </row>
    <row r="3634">
      <c r="A3634" t="inlineStr">
        <is>
          <t>2022-07-31</t>
        </is>
      </c>
      <c r="B3634" t="inlineStr">
        <is>
          <t>20:38</t>
        </is>
      </c>
      <c r="C3634" t="n">
        <v>3020</v>
      </c>
      <c r="D3634" s="6" t="n">
        <v>3.9</v>
      </c>
      <c r="E3634" t="n">
        <v>40572</v>
      </c>
      <c r="F3634" s="6" t="n">
        <v>3.9</v>
      </c>
      <c r="G3634" t="n">
        <v>1</v>
      </c>
      <c r="H3634" s="6">
        <f>ROUND(G3634*F3634,2)</f>
        <v/>
      </c>
      <c r="I3634">
        <f>IF(ROUND(H3634-D3634,2)=0,1,0)</f>
        <v/>
      </c>
      <c r="J3634">
        <f>IF(F3634="","none",IF(G3634=1,"carte","multiple"))</f>
        <v/>
      </c>
    </row>
    <row r="3635">
      <c r="A3635" t="inlineStr">
        <is>
          <t>2022-07-31</t>
        </is>
      </c>
      <c r="B3635" t="inlineStr">
        <is>
          <t>20:38</t>
        </is>
      </c>
      <c r="C3635" t="n">
        <v>3020</v>
      </c>
      <c r="D3635" s="6" t="n">
        <v>16.4</v>
      </c>
      <c r="E3635" t="n">
        <v>40573</v>
      </c>
      <c r="F3635" s="6" t="n">
        <v>16.4</v>
      </c>
      <c r="G3635" t="n">
        <v>1</v>
      </c>
      <c r="H3635" s="6">
        <f>ROUND(G3635*F3635,2)</f>
        <v/>
      </c>
      <c r="I3635">
        <f>IF(ROUND(H3635-D3635,2)=0,1,0)</f>
        <v/>
      </c>
      <c r="J3635">
        <f>IF(F3635="","none",IF(G3635=1,"carte","multiple"))</f>
        <v/>
      </c>
    </row>
    <row r="3636">
      <c r="A3636" t="inlineStr">
        <is>
          <t>2022-07-31</t>
        </is>
      </c>
      <c r="B3636" t="inlineStr">
        <is>
          <t>20:38</t>
        </is>
      </c>
      <c r="C3636" t="n">
        <v>3020</v>
      </c>
      <c r="D3636" s="6" t="n">
        <v>17.6</v>
      </c>
      <c r="E3636" t="n">
        <v>40574</v>
      </c>
      <c r="F3636" s="6" t="n">
        <v>17.6</v>
      </c>
      <c r="G3636" t="n">
        <v>1</v>
      </c>
      <c r="H3636" s="6">
        <f>ROUND(G3636*F3636,2)</f>
        <v/>
      </c>
      <c r="I3636">
        <f>IF(ROUND(H3636-D3636,2)=0,1,0)</f>
        <v/>
      </c>
      <c r="J3636">
        <f>IF(F3636="","none",IF(G3636=1,"carte","multiple"))</f>
        <v/>
      </c>
    </row>
    <row r="3637">
      <c r="A3637" t="inlineStr">
        <is>
          <t>2022-07-31</t>
        </is>
      </c>
      <c r="B3637" t="inlineStr">
        <is>
          <t>20:38</t>
        </is>
      </c>
      <c r="C3637" t="n">
        <v>3020</v>
      </c>
      <c r="D3637" s="6" t="n">
        <v>30.4</v>
      </c>
      <c r="E3637" t="n">
        <v>40575</v>
      </c>
      <c r="F3637" s="6" t="n">
        <v>0.4</v>
      </c>
      <c r="G3637" t="n">
        <v>76</v>
      </c>
      <c r="H3637" s="6">
        <f>ROUND(G3637*F3637,2)</f>
        <v/>
      </c>
      <c r="I3637">
        <f>IF(ROUND(H3637-D3637,2)=0,1,0)</f>
        <v/>
      </c>
      <c r="J3637">
        <f>IF(F3637="","none",IF(G3637=1,"carte","multiple"))</f>
        <v/>
      </c>
    </row>
    <row r="3638">
      <c r="A3638" t="inlineStr">
        <is>
          <t>2022-08-02</t>
        </is>
      </c>
      <c r="B3638" t="inlineStr">
        <is>
          <t>10:22</t>
        </is>
      </c>
      <c r="C3638" t="n">
        <v>3021</v>
      </c>
      <c r="D3638" s="6" t="n">
        <v>4</v>
      </c>
      <c r="E3638" t="n">
        <v>40578</v>
      </c>
      <c r="F3638" s="6" t="n">
        <v>4</v>
      </c>
      <c r="G3638" t="n">
        <v>1</v>
      </c>
      <c r="H3638" s="6">
        <f>ROUND(G3638*F3638,2)</f>
        <v/>
      </c>
      <c r="I3638">
        <f>IF(ROUND(H3638-D3638,2)=0,1,0)</f>
        <v/>
      </c>
      <c r="J3638">
        <f>IF(F3638="","none",IF(G3638=1,"carte","multiple"))</f>
        <v/>
      </c>
    </row>
    <row r="3639">
      <c r="A3639" t="inlineStr">
        <is>
          <t>2022-08-02</t>
        </is>
      </c>
      <c r="B3639" t="inlineStr">
        <is>
          <t>10:22</t>
        </is>
      </c>
      <c r="C3639" t="n">
        <v>3021</v>
      </c>
      <c r="D3639" s="6" t="n">
        <v>3.8</v>
      </c>
      <c r="E3639" t="n">
        <v>40579</v>
      </c>
      <c r="F3639" s="6" t="n">
        <v>3.8</v>
      </c>
      <c r="G3639" t="n">
        <v>1</v>
      </c>
      <c r="H3639" s="6">
        <f>ROUND(G3639*F3639,2)</f>
        <v/>
      </c>
      <c r="I3639">
        <f>IF(ROUND(H3639-D3639,2)=0,1,0)</f>
        <v/>
      </c>
      <c r="J3639">
        <f>IF(F3639="","none",IF(G3639=1,"carte","multiple"))</f>
        <v/>
      </c>
    </row>
    <row r="3640">
      <c r="A3640" t="inlineStr">
        <is>
          <t>2022-08-02</t>
        </is>
      </c>
      <c r="B3640" t="inlineStr">
        <is>
          <t>10:22</t>
        </is>
      </c>
      <c r="C3640" t="n">
        <v>3021</v>
      </c>
      <c r="D3640" s="6" t="n">
        <v>2.9</v>
      </c>
      <c r="E3640" t="n">
        <v>40580</v>
      </c>
      <c r="F3640" s="6" t="n">
        <v>2.9</v>
      </c>
      <c r="G3640" t="n">
        <v>1</v>
      </c>
      <c r="H3640" s="6">
        <f>ROUND(G3640*F3640,2)</f>
        <v/>
      </c>
      <c r="I3640">
        <f>IF(ROUND(H3640-D3640,2)=0,1,0)</f>
        <v/>
      </c>
      <c r="J3640">
        <f>IF(F3640="","none",IF(G3640=1,"carte","multiple"))</f>
        <v/>
      </c>
    </row>
    <row r="3641">
      <c r="A3641" t="inlineStr">
        <is>
          <t>2022-08-02</t>
        </is>
      </c>
      <c r="B3641" t="inlineStr">
        <is>
          <t>10:46</t>
        </is>
      </c>
      <c r="C3641" t="n">
        <v>3021</v>
      </c>
      <c r="D3641" s="6" t="n">
        <v>19.9</v>
      </c>
      <c r="E3641" t="n">
        <v>40581</v>
      </c>
      <c r="F3641" s="6" t="n">
        <v>19.9</v>
      </c>
      <c r="G3641" t="n">
        <v>1</v>
      </c>
      <c r="H3641" s="6">
        <f>ROUND(G3641*F3641,2)</f>
        <v/>
      </c>
      <c r="I3641">
        <f>IF(ROUND(H3641-D3641,2)=0,1,0)</f>
        <v/>
      </c>
      <c r="J3641">
        <f>IF(F3641="","none",IF(G3641=1,"carte","multiple"))</f>
        <v/>
      </c>
    </row>
    <row r="3642">
      <c r="A3642" t="inlineStr">
        <is>
          <t>2022-08-02</t>
        </is>
      </c>
      <c r="B3642" t="inlineStr">
        <is>
          <t>10:49</t>
        </is>
      </c>
      <c r="C3642" t="n">
        <v>3021</v>
      </c>
      <c r="D3642" s="6" t="n">
        <v>23</v>
      </c>
      <c r="E3642" t="n">
        <v>40582</v>
      </c>
      <c r="F3642" s="6" t="n">
        <v>23</v>
      </c>
      <c r="G3642" t="n">
        <v>1</v>
      </c>
      <c r="H3642" s="6">
        <f>ROUND(G3642*F3642,2)</f>
        <v/>
      </c>
      <c r="I3642">
        <f>IF(ROUND(H3642-D3642,2)=0,1,0)</f>
        <v/>
      </c>
      <c r="J3642">
        <f>IF(F3642="","none",IF(G3642=1,"carte","multiple"))</f>
        <v/>
      </c>
    </row>
    <row r="3643">
      <c r="A3643" t="inlineStr">
        <is>
          <t>2022-08-02</t>
        </is>
      </c>
      <c r="B3643" t="inlineStr">
        <is>
          <t>11:37</t>
        </is>
      </c>
      <c r="C3643" t="n">
        <v>3021</v>
      </c>
      <c r="D3643" s="6" t="n">
        <v>7.9</v>
      </c>
      <c r="E3643" t="n">
        <v>40583</v>
      </c>
      <c r="F3643" s="6" t="n">
        <v>7.9</v>
      </c>
      <c r="G3643" t="n">
        <v>1</v>
      </c>
      <c r="H3643" s="6">
        <f>ROUND(G3643*F3643,2)</f>
        <v/>
      </c>
      <c r="I3643">
        <f>IF(ROUND(H3643-D3643,2)=0,1,0)</f>
        <v/>
      </c>
      <c r="J3643">
        <f>IF(F3643="","none",IF(G3643=1,"carte","multiple"))</f>
        <v/>
      </c>
    </row>
    <row r="3644">
      <c r="A3644" t="inlineStr">
        <is>
          <t>2022-08-02</t>
        </is>
      </c>
      <c r="B3644" t="inlineStr">
        <is>
          <t>11:42</t>
        </is>
      </c>
      <c r="C3644" t="n">
        <v>3021</v>
      </c>
      <c r="D3644" s="6" t="n">
        <v>23</v>
      </c>
      <c r="E3644" t="n">
        <v>40584</v>
      </c>
      <c r="F3644" s="6" t="n">
        <v>23</v>
      </c>
      <c r="G3644" t="n">
        <v>1</v>
      </c>
      <c r="H3644" s="6">
        <f>ROUND(G3644*F3644,2)</f>
        <v/>
      </c>
      <c r="I3644">
        <f>IF(ROUND(H3644-D3644,2)=0,1,0)</f>
        <v/>
      </c>
      <c r="J3644">
        <f>IF(F3644="","none",IF(G3644=1,"carte","multiple"))</f>
        <v/>
      </c>
    </row>
    <row r="3645">
      <c r="A3645" t="inlineStr">
        <is>
          <t>2022-08-02</t>
        </is>
      </c>
      <c r="B3645" t="inlineStr">
        <is>
          <t>11:57</t>
        </is>
      </c>
      <c r="C3645" t="n">
        <v>3021</v>
      </c>
      <c r="D3645" s="6" t="n">
        <v>3.9</v>
      </c>
      <c r="E3645" t="n">
        <v>40585</v>
      </c>
      <c r="F3645" s="6" t="n">
        <v>3.9</v>
      </c>
      <c r="G3645" t="n">
        <v>1</v>
      </c>
      <c r="H3645" s="6">
        <f>ROUND(G3645*F3645,2)</f>
        <v/>
      </c>
      <c r="I3645">
        <f>IF(ROUND(H3645-D3645,2)=0,1,0)</f>
        <v/>
      </c>
      <c r="J3645">
        <f>IF(F3645="","none",IF(G3645=1,"carte","multiple"))</f>
        <v/>
      </c>
    </row>
    <row r="3646">
      <c r="A3646" t="inlineStr">
        <is>
          <t>2022-08-02</t>
        </is>
      </c>
      <c r="B3646" t="inlineStr">
        <is>
          <t>11:57</t>
        </is>
      </c>
      <c r="C3646" t="n">
        <v>3021</v>
      </c>
      <c r="D3646" s="6" t="n">
        <v>4.2</v>
      </c>
      <c r="E3646" t="n">
        <v>40586</v>
      </c>
      <c r="F3646" s="6" t="n">
        <v>4.2</v>
      </c>
      <c r="G3646" t="n">
        <v>1</v>
      </c>
      <c r="H3646" s="6">
        <f>ROUND(G3646*F3646,2)</f>
        <v/>
      </c>
      <c r="I3646">
        <f>IF(ROUND(H3646-D3646,2)=0,1,0)</f>
        <v/>
      </c>
      <c r="J3646">
        <f>IF(F3646="","none",IF(G3646=1,"carte","multiple"))</f>
        <v/>
      </c>
    </row>
    <row r="3647">
      <c r="A3647" t="inlineStr">
        <is>
          <t>2022-08-02</t>
        </is>
      </c>
      <c r="B3647" t="inlineStr">
        <is>
          <t>11:57</t>
        </is>
      </c>
      <c r="C3647" t="n">
        <v>3021</v>
      </c>
      <c r="D3647" s="6" t="n">
        <v>6.5</v>
      </c>
      <c r="E3647" t="n">
        <v>40587</v>
      </c>
      <c r="F3647" s="6" t="n">
        <v>6.5</v>
      </c>
      <c r="G3647" t="n">
        <v>1</v>
      </c>
      <c r="H3647" s="6">
        <f>ROUND(G3647*F3647,2)</f>
        <v/>
      </c>
      <c r="I3647">
        <f>IF(ROUND(H3647-D3647,2)=0,1,0)</f>
        <v/>
      </c>
      <c r="J3647">
        <f>IF(F3647="","none",IF(G3647=1,"carte","multiple"))</f>
        <v/>
      </c>
    </row>
    <row r="3648">
      <c r="A3648" t="inlineStr">
        <is>
          <t>2022-08-02</t>
        </is>
      </c>
      <c r="B3648" t="inlineStr">
        <is>
          <t>11:59</t>
        </is>
      </c>
      <c r="C3648" t="n">
        <v>3021</v>
      </c>
      <c r="D3648" s="6" t="n">
        <v>13.8</v>
      </c>
      <c r="E3648" t="n">
        <v>40588</v>
      </c>
      <c r="F3648" s="6" t="n">
        <v>4.6</v>
      </c>
      <c r="G3648" t="n">
        <v>3</v>
      </c>
      <c r="H3648" s="6">
        <f>ROUND(G3648*F3648,2)</f>
        <v/>
      </c>
      <c r="I3648">
        <f>IF(ROUND(H3648-D3648,2)=0,1,0)</f>
        <v/>
      </c>
      <c r="J3648">
        <f>IF(F3648="","none",IF(G3648=1,"carte","multiple"))</f>
        <v/>
      </c>
    </row>
    <row r="3649">
      <c r="A3649" t="inlineStr">
        <is>
          <t>2022-08-02</t>
        </is>
      </c>
      <c r="B3649" t="inlineStr">
        <is>
          <t>11:59</t>
        </is>
      </c>
      <c r="C3649" t="n">
        <v>3021</v>
      </c>
      <c r="D3649" s="6" t="n">
        <v>31.8</v>
      </c>
      <c r="E3649" t="n">
        <v>40589</v>
      </c>
      <c r="F3649" s="6" t="n">
        <v>31.8</v>
      </c>
      <c r="G3649" t="n">
        <v>1</v>
      </c>
      <c r="H3649" s="6">
        <f>ROUND(G3649*F3649,2)</f>
        <v/>
      </c>
      <c r="I3649">
        <f>IF(ROUND(H3649-D3649,2)=0,1,0)</f>
        <v/>
      </c>
      <c r="J3649">
        <f>IF(F3649="","none",IF(G3649=1,"carte","multiple"))</f>
        <v/>
      </c>
    </row>
    <row r="3650">
      <c r="A3650" t="inlineStr">
        <is>
          <t>2022-08-02</t>
        </is>
      </c>
      <c r="B3650" t="inlineStr">
        <is>
          <t>11:59</t>
        </is>
      </c>
      <c r="C3650" t="n">
        <v>3021</v>
      </c>
      <c r="D3650" s="6" t="n">
        <v>3.9</v>
      </c>
      <c r="E3650" t="n">
        <v>40590</v>
      </c>
      <c r="F3650" s="6" t="n">
        <v>3.9</v>
      </c>
      <c r="G3650" t="n">
        <v>1</v>
      </c>
      <c r="H3650" s="6">
        <f>ROUND(G3650*F3650,2)</f>
        <v/>
      </c>
      <c r="I3650">
        <f>IF(ROUND(H3650-D3650,2)=0,1,0)</f>
        <v/>
      </c>
      <c r="J3650">
        <f>IF(F3650="","none",IF(G3650=1,"carte","multiple"))</f>
        <v/>
      </c>
    </row>
    <row r="3651">
      <c r="A3651" t="inlineStr">
        <is>
          <t>2022-08-02</t>
        </is>
      </c>
      <c r="B3651" t="inlineStr">
        <is>
          <t>11:59</t>
        </is>
      </c>
      <c r="C3651" t="n">
        <v>3021</v>
      </c>
      <c r="D3651" s="6" t="n">
        <v>4</v>
      </c>
      <c r="E3651" t="n">
        <v>40591</v>
      </c>
      <c r="F3651" s="6" t="n">
        <v>4</v>
      </c>
      <c r="G3651" t="n">
        <v>1</v>
      </c>
      <c r="H3651" s="6">
        <f>ROUND(G3651*F3651,2)</f>
        <v/>
      </c>
      <c r="I3651">
        <f>IF(ROUND(H3651-D3651,2)=0,1,0)</f>
        <v/>
      </c>
      <c r="J3651">
        <f>IF(F3651="","none",IF(G3651=1,"carte","multiple"))</f>
        <v/>
      </c>
    </row>
    <row r="3652">
      <c r="A3652" t="inlineStr">
        <is>
          <t>2022-08-02</t>
        </is>
      </c>
      <c r="B3652" t="inlineStr">
        <is>
          <t>12:04</t>
        </is>
      </c>
      <c r="C3652" t="n">
        <v>3021</v>
      </c>
      <c r="D3652" s="6" t="n">
        <v>36</v>
      </c>
      <c r="E3652" t="n">
        <v>40592</v>
      </c>
      <c r="F3652" s="6" t="n">
        <v>36</v>
      </c>
      <c r="G3652" t="n">
        <v>1</v>
      </c>
      <c r="H3652" s="6">
        <f>ROUND(G3652*F3652,2)</f>
        <v/>
      </c>
      <c r="I3652">
        <f>IF(ROUND(H3652-D3652,2)=0,1,0)</f>
        <v/>
      </c>
      <c r="J3652">
        <f>IF(F3652="","none",IF(G3652=1,"carte","multiple"))</f>
        <v/>
      </c>
    </row>
    <row r="3653">
      <c r="A3653" t="inlineStr">
        <is>
          <t>2022-08-02</t>
        </is>
      </c>
      <c r="B3653" t="inlineStr">
        <is>
          <t>12:27</t>
        </is>
      </c>
      <c r="C3653" t="n">
        <v>3021</v>
      </c>
      <c r="D3653" s="6" t="n">
        <v>22</v>
      </c>
      <c r="E3653" t="n">
        <v>40593</v>
      </c>
      <c r="F3653" s="6" t="n">
        <v>0.4</v>
      </c>
      <c r="G3653" t="n">
        <v>55</v>
      </c>
      <c r="H3653" s="6">
        <f>ROUND(G3653*F3653,2)</f>
        <v/>
      </c>
      <c r="I3653">
        <f>IF(ROUND(H3653-D3653,2)=0,1,0)</f>
        <v/>
      </c>
      <c r="J3653">
        <f>IF(F3653="","none",IF(G3653=1,"carte","multiple"))</f>
        <v/>
      </c>
    </row>
    <row r="3654">
      <c r="A3654" t="inlineStr">
        <is>
          <t>2022-08-02</t>
        </is>
      </c>
      <c r="B3654" t="inlineStr">
        <is>
          <t>12:27</t>
        </is>
      </c>
      <c r="C3654" t="n">
        <v>3021</v>
      </c>
      <c r="D3654" s="6" t="n">
        <v>3.9</v>
      </c>
      <c r="E3654" t="n">
        <v>40594</v>
      </c>
      <c r="F3654" s="6" t="n">
        <v>3.9</v>
      </c>
      <c r="G3654" t="n">
        <v>1</v>
      </c>
      <c r="H3654" s="6">
        <f>ROUND(G3654*F3654,2)</f>
        <v/>
      </c>
      <c r="I3654">
        <f>IF(ROUND(H3654-D3654,2)=0,1,0)</f>
        <v/>
      </c>
      <c r="J3654">
        <f>IF(F3654="","none",IF(G3654=1,"carte","multiple"))</f>
        <v/>
      </c>
    </row>
    <row r="3655">
      <c r="A3655" t="inlineStr">
        <is>
          <t>2022-08-02</t>
        </is>
      </c>
      <c r="B3655" t="inlineStr">
        <is>
          <t>12:27</t>
        </is>
      </c>
      <c r="C3655" t="n">
        <v>3021</v>
      </c>
      <c r="D3655" s="6" t="n">
        <v>3.9</v>
      </c>
      <c r="E3655" t="n">
        <v>40595</v>
      </c>
      <c r="F3655" s="6" t="n">
        <v>3.9</v>
      </c>
      <c r="G3655" t="n">
        <v>1</v>
      </c>
      <c r="H3655" s="6">
        <f>ROUND(G3655*F3655,2)</f>
        <v/>
      </c>
      <c r="I3655">
        <f>IF(ROUND(H3655-D3655,2)=0,1,0)</f>
        <v/>
      </c>
      <c r="J3655">
        <f>IF(F3655="","none",IF(G3655=1,"carte","multiple"))</f>
        <v/>
      </c>
    </row>
    <row r="3656">
      <c r="A3656" t="inlineStr">
        <is>
          <t>2022-08-02</t>
        </is>
      </c>
      <c r="B3656" t="inlineStr">
        <is>
          <t>12:41</t>
        </is>
      </c>
      <c r="C3656" t="n">
        <v>3021</v>
      </c>
      <c r="D3656" s="6" t="n">
        <v>4.2</v>
      </c>
      <c r="E3656" t="n">
        <v>40596</v>
      </c>
      <c r="F3656" s="6" t="n">
        <v>4.2</v>
      </c>
      <c r="G3656" t="n">
        <v>1</v>
      </c>
      <c r="H3656" s="6">
        <f>ROUND(G3656*F3656,2)</f>
        <v/>
      </c>
      <c r="I3656">
        <f>IF(ROUND(H3656-D3656,2)=0,1,0)</f>
        <v/>
      </c>
      <c r="J3656">
        <f>IF(F3656="","none",IF(G3656=1,"carte","multiple"))</f>
        <v/>
      </c>
    </row>
    <row r="3657">
      <c r="A3657" t="inlineStr">
        <is>
          <t>2022-08-02</t>
        </is>
      </c>
      <c r="B3657" t="inlineStr">
        <is>
          <t>12:41</t>
        </is>
      </c>
      <c r="C3657" t="n">
        <v>3021</v>
      </c>
      <c r="D3657" s="6" t="n">
        <v>2.2</v>
      </c>
      <c r="E3657" t="n">
        <v>40597</v>
      </c>
      <c r="F3657" s="6" t="n">
        <v>2.2</v>
      </c>
      <c r="G3657" t="n">
        <v>1</v>
      </c>
      <c r="H3657" s="6">
        <f>ROUND(G3657*F3657,2)</f>
        <v/>
      </c>
      <c r="I3657">
        <f>IF(ROUND(H3657-D3657,2)=0,1,0)</f>
        <v/>
      </c>
      <c r="J3657">
        <f>IF(F3657="","none",IF(G3657=1,"carte","multiple"))</f>
        <v/>
      </c>
    </row>
    <row r="3658">
      <c r="A3658" t="inlineStr">
        <is>
          <t>2022-08-02</t>
        </is>
      </c>
      <c r="B3658" t="inlineStr">
        <is>
          <t>17:59</t>
        </is>
      </c>
      <c r="C3658" t="n">
        <v>3021</v>
      </c>
      <c r="D3658" s="6" t="n">
        <v>5.8</v>
      </c>
      <c r="E3658" t="n">
        <v>40598</v>
      </c>
      <c r="F3658" s="6" t="n">
        <v>5.8</v>
      </c>
      <c r="G3658" t="n">
        <v>1</v>
      </c>
      <c r="H3658" s="6">
        <f>ROUND(G3658*F3658,2)</f>
        <v/>
      </c>
      <c r="I3658">
        <f>IF(ROUND(H3658-D3658,2)=0,1,0)</f>
        <v/>
      </c>
      <c r="J3658">
        <f>IF(F3658="","none",IF(G3658=1,"carte","multiple"))</f>
        <v/>
      </c>
    </row>
    <row r="3659">
      <c r="A3659" t="inlineStr">
        <is>
          <t>2022-08-02</t>
        </is>
      </c>
      <c r="B3659" t="inlineStr">
        <is>
          <t>17:59</t>
        </is>
      </c>
      <c r="C3659" t="n">
        <v>3021</v>
      </c>
      <c r="D3659" s="6" t="n">
        <v>5.2</v>
      </c>
      <c r="E3659" t="n">
        <v>40599</v>
      </c>
      <c r="F3659" s="6" t="n">
        <v>5.2</v>
      </c>
      <c r="G3659" t="n">
        <v>1</v>
      </c>
      <c r="H3659" s="6">
        <f>ROUND(G3659*F3659,2)</f>
        <v/>
      </c>
      <c r="I3659">
        <f>IF(ROUND(H3659-D3659,2)=0,1,0)</f>
        <v/>
      </c>
      <c r="J3659">
        <f>IF(F3659="","none",IF(G3659=1,"carte","multiple"))</f>
        <v/>
      </c>
    </row>
    <row r="3660">
      <c r="A3660" t="inlineStr">
        <is>
          <t>2022-08-02</t>
        </is>
      </c>
      <c r="B3660" t="inlineStr">
        <is>
          <t>18:01</t>
        </is>
      </c>
      <c r="C3660" t="n">
        <v>3021</v>
      </c>
      <c r="D3660" s="6" t="n">
        <v>3.4</v>
      </c>
      <c r="E3660" t="n">
        <v>40600</v>
      </c>
      <c r="F3660" s="6" t="n">
        <v>3.4</v>
      </c>
      <c r="G3660" t="n">
        <v>1</v>
      </c>
      <c r="H3660" s="6">
        <f>ROUND(G3660*F3660,2)</f>
        <v/>
      </c>
      <c r="I3660">
        <f>IF(ROUND(H3660-D3660,2)=0,1,0)</f>
        <v/>
      </c>
      <c r="J3660">
        <f>IF(F3660="","none",IF(G3660=1,"carte","multiple"))</f>
        <v/>
      </c>
    </row>
    <row r="3661">
      <c r="A3661" t="inlineStr">
        <is>
          <t>2022-08-02</t>
        </is>
      </c>
      <c r="B3661" t="inlineStr">
        <is>
          <t>18:38</t>
        </is>
      </c>
      <c r="C3661" t="n">
        <v>3021</v>
      </c>
      <c r="D3661" s="6" t="n">
        <v>4</v>
      </c>
      <c r="E3661" t="n">
        <v>40601</v>
      </c>
      <c r="F3661" s="6" t="n">
        <v>4</v>
      </c>
      <c r="G3661" t="n">
        <v>1</v>
      </c>
      <c r="H3661" s="6">
        <f>ROUND(G3661*F3661,2)</f>
        <v/>
      </c>
      <c r="I3661">
        <f>IF(ROUND(H3661-D3661,2)=0,1,0)</f>
        <v/>
      </c>
      <c r="J3661">
        <f>IF(F3661="","none",IF(G3661=1,"carte","multiple"))</f>
        <v/>
      </c>
    </row>
    <row r="3662">
      <c r="A3662" t="inlineStr">
        <is>
          <t>2022-08-02</t>
        </is>
      </c>
      <c r="B3662" t="inlineStr">
        <is>
          <t>19:08</t>
        </is>
      </c>
      <c r="C3662" t="n">
        <v>3021</v>
      </c>
      <c r="D3662" s="6" t="n">
        <v>7.2</v>
      </c>
      <c r="E3662" t="n">
        <v>40602</v>
      </c>
      <c r="F3662" s="6" t="n">
        <v>7.2</v>
      </c>
      <c r="G3662" t="n">
        <v>1</v>
      </c>
      <c r="H3662" s="6">
        <f>ROUND(G3662*F3662,2)</f>
        <v/>
      </c>
      <c r="I3662">
        <f>IF(ROUND(H3662-D3662,2)=0,1,0)</f>
        <v/>
      </c>
      <c r="J3662">
        <f>IF(F3662="","none",IF(G3662=1,"carte","multiple"))</f>
        <v/>
      </c>
    </row>
    <row r="3663">
      <c r="A3663" t="inlineStr">
        <is>
          <t>2022-08-02</t>
        </is>
      </c>
      <c r="B3663" t="inlineStr">
        <is>
          <t>19:30</t>
        </is>
      </c>
      <c r="C3663" t="n">
        <v>3021</v>
      </c>
      <c r="D3663" s="6" t="n">
        <v>45</v>
      </c>
      <c r="E3663" t="n">
        <v>40603</v>
      </c>
      <c r="F3663" s="6" t="n">
        <v>45</v>
      </c>
      <c r="G3663" t="n">
        <v>1</v>
      </c>
      <c r="H3663" s="6">
        <f>ROUND(G3663*F3663,2)</f>
        <v/>
      </c>
      <c r="I3663">
        <f>IF(ROUND(H3663-D3663,2)=0,1,0)</f>
        <v/>
      </c>
      <c r="J3663">
        <f>IF(F3663="","none",IF(G3663=1,"carte","multiple"))</f>
        <v/>
      </c>
    </row>
    <row r="3664">
      <c r="A3664" t="inlineStr">
        <is>
          <t>2022-08-02</t>
        </is>
      </c>
      <c r="B3664" t="inlineStr">
        <is>
          <t>19:49</t>
        </is>
      </c>
      <c r="C3664" t="n">
        <v>3021</v>
      </c>
      <c r="D3664" s="6" t="n">
        <v>2.2</v>
      </c>
      <c r="E3664" t="n">
        <v>40604</v>
      </c>
      <c r="F3664" s="6" t="n">
        <v>2.2</v>
      </c>
      <c r="G3664" t="n">
        <v>1</v>
      </c>
      <c r="H3664" s="6">
        <f>ROUND(G3664*F3664,2)</f>
        <v/>
      </c>
      <c r="I3664">
        <f>IF(ROUND(H3664-D3664,2)=0,1,0)</f>
        <v/>
      </c>
      <c r="J3664">
        <f>IF(F3664="","none",IF(G3664=1,"carte","multiple"))</f>
        <v/>
      </c>
    </row>
    <row r="3665">
      <c r="A3665" t="inlineStr">
        <is>
          <t>2022-08-02</t>
        </is>
      </c>
      <c r="B3665" t="inlineStr">
        <is>
          <t>19:49</t>
        </is>
      </c>
      <c r="C3665" t="n">
        <v>3021</v>
      </c>
      <c r="D3665" s="6" t="n">
        <v>29.9</v>
      </c>
      <c r="E3665" t="n">
        <v>40605</v>
      </c>
      <c r="F3665" s="6" t="n">
        <v>29.9</v>
      </c>
      <c r="G3665" t="n">
        <v>1</v>
      </c>
      <c r="H3665" s="6">
        <f>ROUND(G3665*F3665,2)</f>
        <v/>
      </c>
      <c r="I3665">
        <f>IF(ROUND(H3665-D3665,2)=0,1,0)</f>
        <v/>
      </c>
      <c r="J3665">
        <f>IF(F3665="","none",IF(G3665=1,"carte","multiple"))</f>
        <v/>
      </c>
    </row>
    <row r="3666">
      <c r="A3666" t="inlineStr">
        <is>
          <t>2022-08-02</t>
        </is>
      </c>
      <c r="B3666" t="inlineStr">
        <is>
          <t>19:49</t>
        </is>
      </c>
      <c r="C3666" t="n">
        <v>3021</v>
      </c>
      <c r="D3666" s="6" t="n">
        <v>64</v>
      </c>
      <c r="E3666" t="n">
        <v>40606</v>
      </c>
      <c r="F3666" s="6" t="n">
        <v>64</v>
      </c>
      <c r="G3666" t="n">
        <v>1</v>
      </c>
      <c r="H3666" s="6">
        <f>ROUND(G3666*F3666,2)</f>
        <v/>
      </c>
      <c r="I3666">
        <f>IF(ROUND(H3666-D3666,2)=0,1,0)</f>
        <v/>
      </c>
      <c r="J3666">
        <f>IF(F3666="","none",IF(G3666=1,"carte","multiple"))</f>
        <v/>
      </c>
    </row>
    <row r="3667">
      <c r="A3667" t="inlineStr">
        <is>
          <t>2022-08-02</t>
        </is>
      </c>
      <c r="B3667" t="inlineStr">
        <is>
          <t>19:49</t>
        </is>
      </c>
      <c r="C3667" t="n">
        <v>3021</v>
      </c>
      <c r="D3667" s="6" t="n">
        <v>4.9</v>
      </c>
      <c r="E3667" t="n">
        <v>40607</v>
      </c>
      <c r="F3667" s="6" t="n">
        <v>4.9</v>
      </c>
      <c r="G3667" t="n">
        <v>1</v>
      </c>
      <c r="H3667" s="6">
        <f>ROUND(G3667*F3667,2)</f>
        <v/>
      </c>
      <c r="I3667">
        <f>IF(ROUND(H3667-D3667,2)=0,1,0)</f>
        <v/>
      </c>
      <c r="J3667">
        <f>IF(F3667="","none",IF(G3667=1,"carte","multiple"))</f>
        <v/>
      </c>
    </row>
    <row r="3668">
      <c r="A3668" t="inlineStr">
        <is>
          <t>2022-08-02</t>
        </is>
      </c>
      <c r="B3668" t="inlineStr">
        <is>
          <t>19:49</t>
        </is>
      </c>
      <c r="C3668" t="n">
        <v>3021</v>
      </c>
      <c r="D3668" s="6" t="n">
        <v>5.2</v>
      </c>
      <c r="E3668" t="n">
        <v>40608</v>
      </c>
      <c r="F3668" s="6" t="n">
        <v>5.2</v>
      </c>
      <c r="G3668" t="n">
        <v>1</v>
      </c>
      <c r="H3668" s="6">
        <f>ROUND(G3668*F3668,2)</f>
        <v/>
      </c>
      <c r="I3668">
        <f>IF(ROUND(H3668-D3668,2)=0,1,0)</f>
        <v/>
      </c>
      <c r="J3668">
        <f>IF(F3668="","none",IF(G3668=1,"carte","multiple"))</f>
        <v/>
      </c>
    </row>
    <row r="3669">
      <c r="A3669" t="inlineStr">
        <is>
          <t>2022-08-02</t>
        </is>
      </c>
      <c r="B3669" t="inlineStr">
        <is>
          <t>20:26</t>
        </is>
      </c>
      <c r="C3669" t="n">
        <v>3021</v>
      </c>
      <c r="D3669" s="6" t="n">
        <v>17.6</v>
      </c>
      <c r="E3669" t="n">
        <v>40609</v>
      </c>
      <c r="F3669" s="6" t="n">
        <v>17.6</v>
      </c>
      <c r="G3669" t="n">
        <v>1</v>
      </c>
      <c r="H3669" s="6">
        <f>ROUND(G3669*F3669,2)</f>
        <v/>
      </c>
      <c r="I3669">
        <f>IF(ROUND(H3669-D3669,2)=0,1,0)</f>
        <v/>
      </c>
      <c r="J3669">
        <f>IF(F3669="","none",IF(G3669=1,"carte","multiple"))</f>
        <v/>
      </c>
    </row>
    <row r="3670">
      <c r="A3670" t="inlineStr">
        <is>
          <t>2022-08-02</t>
        </is>
      </c>
      <c r="B3670" t="inlineStr">
        <is>
          <t>20:26</t>
        </is>
      </c>
      <c r="C3670" t="n">
        <v>3021</v>
      </c>
      <c r="D3670" s="6" t="n">
        <v>11</v>
      </c>
      <c r="E3670" t="n">
        <v>40610</v>
      </c>
      <c r="F3670" s="6" t="n">
        <v>11</v>
      </c>
      <c r="G3670" t="n">
        <v>1</v>
      </c>
      <c r="H3670" s="6">
        <f>ROUND(G3670*F3670,2)</f>
        <v/>
      </c>
      <c r="I3670">
        <f>IF(ROUND(H3670-D3670,2)=0,1,0)</f>
        <v/>
      </c>
      <c r="J3670">
        <f>IF(F3670="","none",IF(G3670=1,"carte","multiple"))</f>
        <v/>
      </c>
    </row>
    <row r="3671">
      <c r="A3671" t="inlineStr">
        <is>
          <t>2022-08-02</t>
        </is>
      </c>
      <c r="B3671" t="inlineStr">
        <is>
          <t>20:26</t>
        </is>
      </c>
      <c r="C3671" t="n">
        <v>3021</v>
      </c>
      <c r="D3671" s="6" t="n">
        <v>13.4</v>
      </c>
      <c r="E3671" t="n">
        <v>40611</v>
      </c>
      <c r="F3671" s="6" t="n">
        <v>13.4</v>
      </c>
      <c r="G3671" t="n">
        <v>1</v>
      </c>
      <c r="H3671" s="6">
        <f>ROUND(G3671*F3671,2)</f>
        <v/>
      </c>
      <c r="I3671">
        <f>IF(ROUND(H3671-D3671,2)=0,1,0)</f>
        <v/>
      </c>
      <c r="J3671">
        <f>IF(F3671="","none",IF(G3671=1,"carte","multiple"))</f>
        <v/>
      </c>
    </row>
    <row r="3672">
      <c r="A3672" t="inlineStr">
        <is>
          <t>2022-08-03</t>
        </is>
      </c>
      <c r="B3672" t="inlineStr">
        <is>
          <t>10:54</t>
        </is>
      </c>
      <c r="C3672" t="n">
        <v>3022</v>
      </c>
      <c r="D3672" s="6" t="n">
        <v>17.6</v>
      </c>
      <c r="E3672" t="n">
        <v>40614</v>
      </c>
      <c r="F3672" s="6" t="n">
        <v>17.6</v>
      </c>
      <c r="G3672" t="n">
        <v>1</v>
      </c>
      <c r="H3672" s="6">
        <f>ROUND(G3672*F3672,2)</f>
        <v/>
      </c>
      <c r="I3672">
        <f>IF(ROUND(H3672-D3672,2)=0,1,0)</f>
        <v/>
      </c>
      <c r="J3672">
        <f>IF(F3672="","none",IF(G3672=1,"carte","multiple"))</f>
        <v/>
      </c>
    </row>
    <row r="3673">
      <c r="A3673" t="inlineStr">
        <is>
          <t>2022-08-03</t>
        </is>
      </c>
      <c r="B3673" t="inlineStr">
        <is>
          <t>11:02</t>
        </is>
      </c>
      <c r="C3673" t="n">
        <v>3022</v>
      </c>
      <c r="D3673" s="6" t="n">
        <v>15.9</v>
      </c>
      <c r="E3673" t="n">
        <v>40615</v>
      </c>
      <c r="F3673" s="6" t="n">
        <v>15.9</v>
      </c>
      <c r="G3673" t="n">
        <v>1</v>
      </c>
      <c r="H3673" s="6">
        <f>ROUND(G3673*F3673,2)</f>
        <v/>
      </c>
      <c r="I3673">
        <f>IF(ROUND(H3673-D3673,2)=0,1,0)</f>
        <v/>
      </c>
      <c r="J3673">
        <f>IF(F3673="","none",IF(G3673=1,"carte","multiple"))</f>
        <v/>
      </c>
    </row>
    <row r="3674">
      <c r="A3674" t="inlineStr">
        <is>
          <t>2022-08-03</t>
        </is>
      </c>
      <c r="B3674" t="inlineStr">
        <is>
          <t>11:21</t>
        </is>
      </c>
      <c r="C3674" t="n">
        <v>3022</v>
      </c>
      <c r="D3674" s="6" t="n">
        <v>17.6</v>
      </c>
      <c r="E3674" t="n">
        <v>40616</v>
      </c>
      <c r="F3674" s="6" t="n">
        <v>17.6</v>
      </c>
      <c r="G3674" t="n">
        <v>1</v>
      </c>
      <c r="H3674" s="6">
        <f>ROUND(G3674*F3674,2)</f>
        <v/>
      </c>
      <c r="I3674">
        <f>IF(ROUND(H3674-D3674,2)=0,1,0)</f>
        <v/>
      </c>
      <c r="J3674">
        <f>IF(F3674="","none",IF(G3674=1,"carte","multiple"))</f>
        <v/>
      </c>
    </row>
    <row r="3675">
      <c r="A3675" t="inlineStr">
        <is>
          <t>2022-08-03</t>
        </is>
      </c>
      <c r="B3675" t="inlineStr">
        <is>
          <t>11:45</t>
        </is>
      </c>
      <c r="C3675" t="n">
        <v>3022</v>
      </c>
      <c r="D3675" s="6" t="n">
        <v>15</v>
      </c>
      <c r="E3675" t="n">
        <v>40617</v>
      </c>
      <c r="F3675" s="6" t="n">
        <v>15</v>
      </c>
      <c r="G3675" t="n">
        <v>1</v>
      </c>
      <c r="H3675" s="6">
        <f>ROUND(G3675*F3675,2)</f>
        <v/>
      </c>
      <c r="I3675">
        <f>IF(ROUND(H3675-D3675,2)=0,1,0)</f>
        <v/>
      </c>
      <c r="J3675">
        <f>IF(F3675="","none",IF(G3675=1,"carte","multiple"))</f>
        <v/>
      </c>
    </row>
    <row r="3676">
      <c r="A3676" t="inlineStr">
        <is>
          <t>2022-08-03</t>
        </is>
      </c>
      <c r="B3676" t="inlineStr">
        <is>
          <t>12:11</t>
        </is>
      </c>
      <c r="C3676" t="n">
        <v>3022</v>
      </c>
      <c r="D3676" s="6" t="n">
        <v>15</v>
      </c>
      <c r="E3676" t="n">
        <v>40618</v>
      </c>
      <c r="F3676" s="6" t="n">
        <v>15</v>
      </c>
      <c r="G3676" t="n">
        <v>1</v>
      </c>
      <c r="H3676" s="6">
        <f>ROUND(G3676*F3676,2)</f>
        <v/>
      </c>
      <c r="I3676">
        <f>IF(ROUND(H3676-D3676,2)=0,1,0)</f>
        <v/>
      </c>
      <c r="J3676">
        <f>IF(F3676="","none",IF(G3676=1,"carte","multiple"))</f>
        <v/>
      </c>
    </row>
    <row r="3677">
      <c r="A3677" t="inlineStr">
        <is>
          <t>2022-08-03</t>
        </is>
      </c>
      <c r="B3677" t="inlineStr">
        <is>
          <t>12:28</t>
        </is>
      </c>
      <c r="C3677" t="n">
        <v>3022</v>
      </c>
      <c r="D3677" s="6" t="n">
        <v>4.4</v>
      </c>
      <c r="E3677" t="n">
        <v>40619</v>
      </c>
      <c r="F3677" s="6" t="n">
        <v>0.4</v>
      </c>
      <c r="G3677" t="n">
        <v>11</v>
      </c>
      <c r="H3677" s="6">
        <f>ROUND(G3677*F3677,2)</f>
        <v/>
      </c>
      <c r="I3677">
        <f>IF(ROUND(H3677-D3677,2)=0,1,0)</f>
        <v/>
      </c>
      <c r="J3677">
        <f>IF(F3677="","none",IF(G3677=1,"carte","multiple"))</f>
        <v/>
      </c>
    </row>
    <row r="3678">
      <c r="A3678" t="inlineStr">
        <is>
          <t>2022-08-03</t>
        </is>
      </c>
      <c r="B3678" t="inlineStr">
        <is>
          <t>12:28</t>
        </is>
      </c>
      <c r="C3678" t="n">
        <v>3022</v>
      </c>
      <c r="D3678" s="6" t="n">
        <v>30</v>
      </c>
      <c r="E3678" t="n">
        <v>40620</v>
      </c>
      <c r="F3678" s="6" t="n">
        <v>30</v>
      </c>
      <c r="G3678" t="n">
        <v>1</v>
      </c>
      <c r="H3678" s="6">
        <f>ROUND(G3678*F3678,2)</f>
        <v/>
      </c>
      <c r="I3678">
        <f>IF(ROUND(H3678-D3678,2)=0,1,0)</f>
        <v/>
      </c>
      <c r="J3678">
        <f>IF(F3678="","none",IF(G3678=1,"carte","multiple"))</f>
        <v/>
      </c>
    </row>
    <row r="3679">
      <c r="A3679" t="inlineStr">
        <is>
          <t>2022-08-03</t>
        </is>
      </c>
      <c r="B3679" t="inlineStr">
        <is>
          <t>17:48</t>
        </is>
      </c>
      <c r="C3679" t="n">
        <v>3022</v>
      </c>
      <c r="D3679" s="6" t="n">
        <v>3.9</v>
      </c>
      <c r="E3679" t="n">
        <v>40622</v>
      </c>
      <c r="F3679" s="6" t="n">
        <v>3.9</v>
      </c>
      <c r="G3679" t="n">
        <v>1</v>
      </c>
      <c r="H3679" s="6">
        <f>ROUND(G3679*F3679,2)</f>
        <v/>
      </c>
      <c r="I3679">
        <f>IF(ROUND(H3679-D3679,2)=0,1,0)</f>
        <v/>
      </c>
      <c r="J3679">
        <f>IF(F3679="","none",IF(G3679=1,"carte","multiple"))</f>
        <v/>
      </c>
    </row>
    <row r="3680">
      <c r="A3680" t="inlineStr">
        <is>
          <t>2022-08-03</t>
        </is>
      </c>
      <c r="B3680" t="inlineStr">
        <is>
          <t>17:48</t>
        </is>
      </c>
      <c r="C3680" t="n">
        <v>3022</v>
      </c>
      <c r="D3680" s="6" t="n">
        <v>7.2</v>
      </c>
      <c r="E3680" t="n">
        <v>40623</v>
      </c>
      <c r="F3680" s="6" t="n">
        <v>7.2</v>
      </c>
      <c r="G3680" t="n">
        <v>1</v>
      </c>
      <c r="H3680" s="6">
        <f>ROUND(G3680*F3680,2)</f>
        <v/>
      </c>
      <c r="I3680">
        <f>IF(ROUND(H3680-D3680,2)=0,1,0)</f>
        <v/>
      </c>
      <c r="J3680">
        <f>IF(F3680="","none",IF(G3680=1,"carte","multiple"))</f>
        <v/>
      </c>
    </row>
    <row r="3681">
      <c r="A3681" t="inlineStr">
        <is>
          <t>2022-08-03</t>
        </is>
      </c>
      <c r="B3681" t="inlineStr">
        <is>
          <t>17:48</t>
        </is>
      </c>
      <c r="C3681" t="n">
        <v>3022</v>
      </c>
      <c r="D3681" s="6" t="n">
        <v>7.9</v>
      </c>
      <c r="E3681" t="n">
        <v>40624</v>
      </c>
      <c r="F3681" s="6" t="n">
        <v>7.9</v>
      </c>
      <c r="G3681" t="n">
        <v>1</v>
      </c>
      <c r="H3681" s="6">
        <f>ROUND(G3681*F3681,2)</f>
        <v/>
      </c>
      <c r="I3681">
        <f>IF(ROUND(H3681-D3681,2)=0,1,0)</f>
        <v/>
      </c>
      <c r="J3681">
        <f>IF(F3681="","none",IF(G3681=1,"carte","multiple"))</f>
        <v/>
      </c>
    </row>
    <row r="3682">
      <c r="A3682" t="inlineStr">
        <is>
          <t>2022-08-03</t>
        </is>
      </c>
      <c r="B3682" t="inlineStr">
        <is>
          <t>17:49</t>
        </is>
      </c>
      <c r="C3682" t="n">
        <v>3022</v>
      </c>
      <c r="D3682" s="6" t="n">
        <v>17.6</v>
      </c>
      <c r="E3682" t="n">
        <v>40625</v>
      </c>
      <c r="F3682" s="6" t="n">
        <v>17.6</v>
      </c>
      <c r="G3682" t="n">
        <v>1</v>
      </c>
      <c r="H3682" s="6">
        <f>ROUND(G3682*F3682,2)</f>
        <v/>
      </c>
      <c r="I3682">
        <f>IF(ROUND(H3682-D3682,2)=0,1,0)</f>
        <v/>
      </c>
      <c r="J3682">
        <f>IF(F3682="","none",IF(G3682=1,"carte","multiple"))</f>
        <v/>
      </c>
    </row>
    <row r="3683">
      <c r="A3683" t="inlineStr">
        <is>
          <t>2022-08-03</t>
        </is>
      </c>
      <c r="B3683" t="inlineStr">
        <is>
          <t>18:11</t>
        </is>
      </c>
      <c r="C3683" t="n">
        <v>3022</v>
      </c>
      <c r="D3683" s="6" t="n">
        <v>16.9</v>
      </c>
      <c r="E3683" t="n">
        <v>40626</v>
      </c>
      <c r="F3683" s="6" t="n">
        <v>16.9</v>
      </c>
      <c r="G3683" t="n">
        <v>1</v>
      </c>
      <c r="H3683" s="6">
        <f>ROUND(G3683*F3683,2)</f>
        <v/>
      </c>
      <c r="I3683">
        <f>IF(ROUND(H3683-D3683,2)=0,1,0)</f>
        <v/>
      </c>
      <c r="J3683">
        <f>IF(F3683="","none",IF(G3683=1,"carte","multiple"))</f>
        <v/>
      </c>
    </row>
    <row r="3684">
      <c r="A3684" t="inlineStr">
        <is>
          <t>2022-08-03</t>
        </is>
      </c>
      <c r="B3684" t="inlineStr">
        <is>
          <t>18:11</t>
        </is>
      </c>
      <c r="C3684" t="n">
        <v>3022</v>
      </c>
      <c r="D3684" s="6" t="n">
        <v>9.9</v>
      </c>
      <c r="E3684" t="n">
        <v>40627</v>
      </c>
      <c r="F3684" s="6" t="n">
        <v>9.9</v>
      </c>
      <c r="G3684" t="n">
        <v>1</v>
      </c>
      <c r="H3684" s="6">
        <f>ROUND(G3684*F3684,2)</f>
        <v/>
      </c>
      <c r="I3684">
        <f>IF(ROUND(H3684-D3684,2)=0,1,0)</f>
        <v/>
      </c>
      <c r="J3684">
        <f>IF(F3684="","none",IF(G3684=1,"carte","multiple"))</f>
        <v/>
      </c>
    </row>
    <row r="3685">
      <c r="A3685" t="inlineStr">
        <is>
          <t>2022-08-03</t>
        </is>
      </c>
      <c r="B3685" t="inlineStr">
        <is>
          <t>18:11</t>
        </is>
      </c>
      <c r="C3685" t="n">
        <v>3022</v>
      </c>
      <c r="D3685" s="6" t="n">
        <v>7.2</v>
      </c>
      <c r="E3685" t="n">
        <v>40628</v>
      </c>
      <c r="F3685" s="6" t="n">
        <v>7.2</v>
      </c>
      <c r="G3685" t="n">
        <v>1</v>
      </c>
      <c r="H3685" s="6">
        <f>ROUND(G3685*F3685,2)</f>
        <v/>
      </c>
      <c r="I3685">
        <f>IF(ROUND(H3685-D3685,2)=0,1,0)</f>
        <v/>
      </c>
      <c r="J3685">
        <f>IF(F3685="","none",IF(G3685=1,"carte","multiple"))</f>
        <v/>
      </c>
    </row>
    <row r="3686">
      <c r="A3686" t="inlineStr">
        <is>
          <t>2022-08-03</t>
        </is>
      </c>
      <c r="B3686" t="inlineStr">
        <is>
          <t>18:11</t>
        </is>
      </c>
      <c r="C3686" t="n">
        <v>3022</v>
      </c>
      <c r="D3686" s="6" t="n">
        <v>3.9</v>
      </c>
      <c r="E3686" t="n">
        <v>40629</v>
      </c>
      <c r="F3686" s="6" t="n">
        <v>3.9</v>
      </c>
      <c r="G3686" t="n">
        <v>1</v>
      </c>
      <c r="H3686" s="6">
        <f>ROUND(G3686*F3686,2)</f>
        <v/>
      </c>
      <c r="I3686">
        <f>IF(ROUND(H3686-D3686,2)=0,1,0)</f>
        <v/>
      </c>
      <c r="J3686">
        <f>IF(F3686="","none",IF(G3686=1,"carte","multiple"))</f>
        <v/>
      </c>
    </row>
    <row r="3687">
      <c r="A3687" t="inlineStr">
        <is>
          <t>2022-08-03</t>
        </is>
      </c>
      <c r="B3687" t="inlineStr">
        <is>
          <t>19:12</t>
        </is>
      </c>
      <c r="C3687" t="n">
        <v>3022</v>
      </c>
      <c r="D3687" s="6" t="n">
        <v>7.5</v>
      </c>
      <c r="E3687" t="n">
        <v>40630</v>
      </c>
      <c r="F3687" s="6" t="n">
        <v>7.5</v>
      </c>
      <c r="G3687" t="n">
        <v>1</v>
      </c>
      <c r="H3687" s="6">
        <f>ROUND(G3687*F3687,2)</f>
        <v/>
      </c>
      <c r="I3687">
        <f>IF(ROUND(H3687-D3687,2)=0,1,0)</f>
        <v/>
      </c>
      <c r="J3687">
        <f>IF(F3687="","none",IF(G3687=1,"carte","multiple"))</f>
        <v/>
      </c>
    </row>
    <row r="3688">
      <c r="A3688" t="inlineStr">
        <is>
          <t>2022-08-03</t>
        </is>
      </c>
      <c r="B3688" t="inlineStr">
        <is>
          <t>19:12</t>
        </is>
      </c>
      <c r="C3688" t="n">
        <v>3022</v>
      </c>
      <c r="D3688" s="6" t="n">
        <v>8.699999999999999</v>
      </c>
      <c r="E3688" t="n">
        <v>40631</v>
      </c>
      <c r="F3688" s="6" t="n">
        <v>8.699999999999999</v>
      </c>
      <c r="G3688" t="n">
        <v>1</v>
      </c>
      <c r="H3688" s="6">
        <f>ROUND(G3688*F3688,2)</f>
        <v/>
      </c>
      <c r="I3688">
        <f>IF(ROUND(H3688-D3688,2)=0,1,0)</f>
        <v/>
      </c>
      <c r="J3688">
        <f>IF(F3688="","none",IF(G3688=1,"carte","multiple"))</f>
        <v/>
      </c>
    </row>
    <row r="3689">
      <c r="A3689" t="inlineStr">
        <is>
          <t>2022-08-03</t>
        </is>
      </c>
      <c r="B3689" t="inlineStr">
        <is>
          <t>19:12</t>
        </is>
      </c>
      <c r="C3689" t="n">
        <v>3022</v>
      </c>
      <c r="D3689" s="6" t="n">
        <v>19.9</v>
      </c>
      <c r="E3689" t="n">
        <v>40632</v>
      </c>
      <c r="F3689" s="6" t="n">
        <v>19.9</v>
      </c>
      <c r="G3689" t="n">
        <v>1</v>
      </c>
      <c r="H3689" s="6">
        <f>ROUND(G3689*F3689,2)</f>
        <v/>
      </c>
      <c r="I3689">
        <f>IF(ROUND(H3689-D3689,2)=0,1,0)</f>
        <v/>
      </c>
      <c r="J3689">
        <f>IF(F3689="","none",IF(G3689=1,"carte","multiple"))</f>
        <v/>
      </c>
    </row>
    <row r="3690">
      <c r="A3690" t="inlineStr">
        <is>
          <t>2022-08-03</t>
        </is>
      </c>
      <c r="B3690" t="inlineStr">
        <is>
          <t>19:12</t>
        </is>
      </c>
      <c r="C3690" t="n">
        <v>3022</v>
      </c>
      <c r="D3690" s="6" t="n">
        <v>17.6</v>
      </c>
      <c r="E3690" t="n">
        <v>40633</v>
      </c>
      <c r="F3690" s="6" t="n">
        <v>17.6</v>
      </c>
      <c r="G3690" t="n">
        <v>1</v>
      </c>
      <c r="H3690" s="6">
        <f>ROUND(G3690*F3690,2)</f>
        <v/>
      </c>
      <c r="I3690">
        <f>IF(ROUND(H3690-D3690,2)=0,1,0)</f>
        <v/>
      </c>
      <c r="J3690">
        <f>IF(F3690="","none",IF(G3690=1,"carte","multiple"))</f>
        <v/>
      </c>
    </row>
    <row r="3691">
      <c r="A3691" t="inlineStr">
        <is>
          <t>2022-08-03</t>
        </is>
      </c>
      <c r="B3691" t="inlineStr">
        <is>
          <t>19:12</t>
        </is>
      </c>
      <c r="C3691" t="n">
        <v>3022</v>
      </c>
      <c r="D3691" s="6" t="n">
        <v>5.9</v>
      </c>
      <c r="E3691" t="n">
        <v>40634</v>
      </c>
      <c r="F3691" s="6" t="n">
        <v>5.9</v>
      </c>
      <c r="G3691" t="n">
        <v>1</v>
      </c>
      <c r="H3691" s="6">
        <f>ROUND(G3691*F3691,2)</f>
        <v/>
      </c>
      <c r="I3691">
        <f>IF(ROUND(H3691-D3691,2)=0,1,0)</f>
        <v/>
      </c>
      <c r="J3691">
        <f>IF(F3691="","none",IF(G3691=1,"carte","multiple"))</f>
        <v/>
      </c>
    </row>
    <row r="3692">
      <c r="A3692" t="inlineStr">
        <is>
          <t>2022-08-03</t>
        </is>
      </c>
      <c r="B3692" t="inlineStr">
        <is>
          <t>19:12</t>
        </is>
      </c>
      <c r="C3692" t="n">
        <v>3022</v>
      </c>
      <c r="D3692" s="6" t="n">
        <v>3.9</v>
      </c>
      <c r="E3692" t="n">
        <v>40635</v>
      </c>
      <c r="F3692" s="6" t="n">
        <v>3.9</v>
      </c>
      <c r="G3692" t="n">
        <v>1</v>
      </c>
      <c r="H3692" s="6">
        <f>ROUND(G3692*F3692,2)</f>
        <v/>
      </c>
      <c r="I3692">
        <f>IF(ROUND(H3692-D3692,2)=0,1,0)</f>
        <v/>
      </c>
      <c r="J3692">
        <f>IF(F3692="","none",IF(G3692=1,"carte","multiple"))</f>
        <v/>
      </c>
    </row>
    <row r="3693">
      <c r="A3693" t="inlineStr">
        <is>
          <t>2022-08-03</t>
        </is>
      </c>
      <c r="B3693" t="inlineStr">
        <is>
          <t>19:18</t>
        </is>
      </c>
      <c r="C3693" t="n">
        <v>3022</v>
      </c>
      <c r="D3693" s="6" t="n">
        <v>8.9</v>
      </c>
      <c r="E3693" t="n">
        <v>40636</v>
      </c>
      <c r="F3693" s="6" t="n">
        <v>8.9</v>
      </c>
      <c r="G3693" t="n">
        <v>1</v>
      </c>
      <c r="H3693" s="6">
        <f>ROUND(G3693*F3693,2)</f>
        <v/>
      </c>
      <c r="I3693">
        <f>IF(ROUND(H3693-D3693,2)=0,1,0)</f>
        <v/>
      </c>
      <c r="J3693">
        <f>IF(F3693="","none",IF(G3693=1,"carte","multiple"))</f>
        <v/>
      </c>
    </row>
    <row r="3694">
      <c r="A3694" t="inlineStr">
        <is>
          <t>2022-08-03</t>
        </is>
      </c>
      <c r="B3694" t="inlineStr">
        <is>
          <t>19:18</t>
        </is>
      </c>
      <c r="C3694" t="n">
        <v>3022</v>
      </c>
      <c r="D3694" s="6" t="n">
        <v>3.9</v>
      </c>
      <c r="E3694" t="n">
        <v>40637</v>
      </c>
      <c r="F3694" s="6" t="n">
        <v>3.9</v>
      </c>
      <c r="G3694" t="n">
        <v>1</v>
      </c>
      <c r="H3694" s="6">
        <f>ROUND(G3694*F3694,2)</f>
        <v/>
      </c>
      <c r="I3694">
        <f>IF(ROUND(H3694-D3694,2)=0,1,0)</f>
        <v/>
      </c>
      <c r="J3694">
        <f>IF(F3694="","none",IF(G3694=1,"carte","multiple"))</f>
        <v/>
      </c>
    </row>
    <row r="3695">
      <c r="A3695" t="inlineStr">
        <is>
          <t>2022-08-03</t>
        </is>
      </c>
      <c r="B3695" t="inlineStr">
        <is>
          <t>19:24</t>
        </is>
      </c>
      <c r="C3695" t="n">
        <v>3022</v>
      </c>
      <c r="D3695" s="6" t="n">
        <v>8.9</v>
      </c>
      <c r="E3695" t="n">
        <v>40638</v>
      </c>
      <c r="F3695" s="6" t="n">
        <v>8.9</v>
      </c>
      <c r="G3695" t="n">
        <v>1</v>
      </c>
      <c r="H3695" s="6">
        <f>ROUND(G3695*F3695,2)</f>
        <v/>
      </c>
      <c r="I3695">
        <f>IF(ROUND(H3695-D3695,2)=0,1,0)</f>
        <v/>
      </c>
      <c r="J3695">
        <f>IF(F3695="","none",IF(G3695=1,"carte","multiple"))</f>
        <v/>
      </c>
    </row>
    <row r="3696">
      <c r="A3696" t="inlineStr">
        <is>
          <t>2022-08-03</t>
        </is>
      </c>
      <c r="B3696" t="inlineStr">
        <is>
          <t>19:51</t>
        </is>
      </c>
      <c r="C3696" t="n">
        <v>3022</v>
      </c>
      <c r="D3696" s="6" t="n">
        <v>2.2</v>
      </c>
      <c r="E3696" t="n">
        <v>40639</v>
      </c>
      <c r="F3696" s="6" t="n">
        <v>2.2</v>
      </c>
      <c r="G3696" t="n">
        <v>1</v>
      </c>
      <c r="H3696" s="6">
        <f>ROUND(G3696*F3696,2)</f>
        <v/>
      </c>
      <c r="I3696">
        <f>IF(ROUND(H3696-D3696,2)=0,1,0)</f>
        <v/>
      </c>
      <c r="J3696">
        <f>IF(F3696="","none",IF(G3696=1,"carte","multiple"))</f>
        <v/>
      </c>
    </row>
    <row r="3697">
      <c r="A3697" t="inlineStr">
        <is>
          <t>2022-08-03</t>
        </is>
      </c>
      <c r="B3697" t="inlineStr">
        <is>
          <t>19:51</t>
        </is>
      </c>
      <c r="C3697" t="n">
        <v>3022</v>
      </c>
      <c r="D3697" s="6" t="n">
        <v>15.6</v>
      </c>
      <c r="E3697" t="n">
        <v>40640</v>
      </c>
      <c r="F3697" s="6" t="n">
        <v>15.6</v>
      </c>
      <c r="G3697" t="n">
        <v>1</v>
      </c>
      <c r="H3697" s="6">
        <f>ROUND(G3697*F3697,2)</f>
        <v/>
      </c>
      <c r="I3697">
        <f>IF(ROUND(H3697-D3697,2)=0,1,0)</f>
        <v/>
      </c>
      <c r="J3697">
        <f>IF(F3697="","none",IF(G3697=1,"carte","multiple"))</f>
        <v/>
      </c>
    </row>
    <row r="3698">
      <c r="A3698" t="inlineStr">
        <is>
          <t>2022-08-03</t>
        </is>
      </c>
      <c r="B3698" t="inlineStr">
        <is>
          <t>19:51</t>
        </is>
      </c>
      <c r="C3698" t="n">
        <v>3022</v>
      </c>
      <c r="D3698" s="6" t="n">
        <v>17.6</v>
      </c>
      <c r="E3698" t="n">
        <v>40641</v>
      </c>
      <c r="F3698" s="6" t="n">
        <v>17.6</v>
      </c>
      <c r="G3698" t="n">
        <v>1</v>
      </c>
      <c r="H3698" s="6">
        <f>ROUND(G3698*F3698,2)</f>
        <v/>
      </c>
      <c r="I3698">
        <f>IF(ROUND(H3698-D3698,2)=0,1,0)</f>
        <v/>
      </c>
      <c r="J3698">
        <f>IF(F3698="","none",IF(G3698=1,"carte","multiple"))</f>
        <v/>
      </c>
    </row>
    <row r="3699">
      <c r="A3699" t="inlineStr">
        <is>
          <t>2022-08-03</t>
        </is>
      </c>
      <c r="B3699" t="inlineStr">
        <is>
          <t>20:18</t>
        </is>
      </c>
      <c r="C3699" t="n">
        <v>3022</v>
      </c>
      <c r="D3699" s="6" t="n">
        <v>4</v>
      </c>
      <c r="E3699" t="n">
        <v>40642</v>
      </c>
      <c r="F3699" s="6" t="n">
        <v>4</v>
      </c>
      <c r="G3699" t="n">
        <v>1</v>
      </c>
      <c r="H3699" s="6">
        <f>ROUND(G3699*F3699,2)</f>
        <v/>
      </c>
      <c r="I3699">
        <f>IF(ROUND(H3699-D3699,2)=0,1,0)</f>
        <v/>
      </c>
      <c r="J3699">
        <f>IF(F3699="","none",IF(G3699=1,"carte","multiple"))</f>
        <v/>
      </c>
    </row>
    <row r="3700">
      <c r="A3700" t="inlineStr">
        <is>
          <t>2022-08-03</t>
        </is>
      </c>
      <c r="B3700" t="inlineStr">
        <is>
          <t>20:18</t>
        </is>
      </c>
      <c r="C3700" t="n">
        <v>3022</v>
      </c>
      <c r="D3700" s="6" t="n">
        <v>4.8</v>
      </c>
      <c r="E3700" t="n">
        <v>40643</v>
      </c>
      <c r="F3700" s="6" t="n">
        <v>0.4</v>
      </c>
      <c r="G3700" t="n">
        <v>12</v>
      </c>
      <c r="H3700" s="6">
        <f>ROUND(G3700*F3700,2)</f>
        <v/>
      </c>
      <c r="I3700">
        <f>IF(ROUND(H3700-D3700,2)=0,1,0)</f>
        <v/>
      </c>
      <c r="J3700">
        <f>IF(F3700="","none",IF(G3700=1,"carte","multiple"))</f>
        <v/>
      </c>
    </row>
    <row r="3701">
      <c r="A3701" t="inlineStr">
        <is>
          <t>2022-08-03</t>
        </is>
      </c>
      <c r="B3701" t="inlineStr">
        <is>
          <t>20:35</t>
        </is>
      </c>
      <c r="C3701" t="n">
        <v>3022</v>
      </c>
      <c r="D3701" s="6" t="n">
        <v>7.2</v>
      </c>
      <c r="E3701" t="n">
        <v>40644</v>
      </c>
      <c r="F3701" s="6" t="n">
        <v>7.2</v>
      </c>
      <c r="G3701" t="n">
        <v>1</v>
      </c>
      <c r="H3701" s="6">
        <f>ROUND(G3701*F3701,2)</f>
        <v/>
      </c>
      <c r="I3701">
        <f>IF(ROUND(H3701-D3701,2)=0,1,0)</f>
        <v/>
      </c>
      <c r="J3701">
        <f>IF(F3701="","none",IF(G3701=1,"carte","multiple"))</f>
        <v/>
      </c>
    </row>
    <row r="3702">
      <c r="A3702" t="inlineStr">
        <is>
          <t>2022-08-04</t>
        </is>
      </c>
      <c r="B3702" t="inlineStr">
        <is>
          <t>10:47</t>
        </is>
      </c>
      <c r="C3702" t="n">
        <v>3023</v>
      </c>
      <c r="D3702" s="6" t="n">
        <v>3.9</v>
      </c>
      <c r="E3702" t="n">
        <v>40647</v>
      </c>
      <c r="F3702" s="6" t="n">
        <v>3.9</v>
      </c>
      <c r="G3702" t="n">
        <v>1</v>
      </c>
      <c r="H3702" s="6">
        <f>ROUND(G3702*F3702,2)</f>
        <v/>
      </c>
      <c r="I3702">
        <f>IF(ROUND(H3702-D3702,2)=0,1,0)</f>
        <v/>
      </c>
      <c r="J3702">
        <f>IF(F3702="","none",IF(G3702=1,"carte","multiple"))</f>
        <v/>
      </c>
    </row>
    <row r="3703">
      <c r="A3703" t="inlineStr">
        <is>
          <t>2022-08-04</t>
        </is>
      </c>
      <c r="B3703" t="inlineStr">
        <is>
          <t>10:51</t>
        </is>
      </c>
      <c r="C3703" t="n">
        <v>3023</v>
      </c>
      <c r="D3703" s="6" t="n">
        <v>15</v>
      </c>
      <c r="E3703" t="n">
        <v>40648</v>
      </c>
      <c r="F3703" s="6" t="n">
        <v>15</v>
      </c>
      <c r="G3703" t="n">
        <v>1</v>
      </c>
      <c r="H3703" s="6">
        <f>ROUND(G3703*F3703,2)</f>
        <v/>
      </c>
      <c r="I3703">
        <f>IF(ROUND(H3703-D3703,2)=0,1,0)</f>
        <v/>
      </c>
      <c r="J3703">
        <f>IF(F3703="","none",IF(G3703=1,"carte","multiple"))</f>
        <v/>
      </c>
    </row>
    <row r="3704">
      <c r="A3704" t="inlineStr">
        <is>
          <t>2022-08-04</t>
        </is>
      </c>
      <c r="B3704" t="inlineStr">
        <is>
          <t>11:10</t>
        </is>
      </c>
      <c r="C3704" t="n">
        <v>3023</v>
      </c>
      <c r="D3704" s="6" t="n">
        <v>2.2</v>
      </c>
      <c r="E3704" t="n">
        <v>40649</v>
      </c>
      <c r="F3704" s="6" t="n">
        <v>2.2</v>
      </c>
      <c r="G3704" t="n">
        <v>1</v>
      </c>
      <c r="H3704" s="6">
        <f>ROUND(G3704*F3704,2)</f>
        <v/>
      </c>
      <c r="I3704">
        <f>IF(ROUND(H3704-D3704,2)=0,1,0)</f>
        <v/>
      </c>
      <c r="J3704">
        <f>IF(F3704="","none",IF(G3704=1,"carte","multiple"))</f>
        <v/>
      </c>
    </row>
    <row r="3705">
      <c r="A3705" t="inlineStr">
        <is>
          <t>2022-08-04</t>
        </is>
      </c>
      <c r="B3705" t="inlineStr">
        <is>
          <t>11:10</t>
        </is>
      </c>
      <c r="C3705" t="n">
        <v>3023</v>
      </c>
      <c r="D3705" s="6" t="n">
        <v>19.9</v>
      </c>
      <c r="E3705" t="n">
        <v>40650</v>
      </c>
      <c r="F3705" s="6" t="n">
        <v>19.9</v>
      </c>
      <c r="G3705" t="n">
        <v>1</v>
      </c>
      <c r="H3705" s="6">
        <f>ROUND(G3705*F3705,2)</f>
        <v/>
      </c>
      <c r="I3705">
        <f>IF(ROUND(H3705-D3705,2)=0,1,0)</f>
        <v/>
      </c>
      <c r="J3705">
        <f>IF(F3705="","none",IF(G3705=1,"carte","multiple"))</f>
        <v/>
      </c>
    </row>
    <row r="3706">
      <c r="A3706" t="inlineStr">
        <is>
          <t>2022-08-04</t>
        </is>
      </c>
      <c r="B3706" t="inlineStr">
        <is>
          <t>11:10</t>
        </is>
      </c>
      <c r="C3706" t="n">
        <v>3023</v>
      </c>
      <c r="D3706" s="6" t="n">
        <v>15.9</v>
      </c>
      <c r="E3706" t="n">
        <v>40651</v>
      </c>
      <c r="F3706" s="6" t="n">
        <v>15.9</v>
      </c>
      <c r="G3706" t="n">
        <v>1</v>
      </c>
      <c r="H3706" s="6">
        <f>ROUND(G3706*F3706,2)</f>
        <v/>
      </c>
      <c r="I3706">
        <f>IF(ROUND(H3706-D3706,2)=0,1,0)</f>
        <v/>
      </c>
      <c r="J3706">
        <f>IF(F3706="","none",IF(G3706=1,"carte","multiple"))</f>
        <v/>
      </c>
    </row>
    <row r="3707">
      <c r="A3707" t="inlineStr">
        <is>
          <t>2022-08-04</t>
        </is>
      </c>
      <c r="B3707" t="inlineStr">
        <is>
          <t>11:10</t>
        </is>
      </c>
      <c r="C3707" t="n">
        <v>3023</v>
      </c>
      <c r="D3707" s="6" t="n">
        <v>5.9</v>
      </c>
      <c r="E3707" t="n">
        <v>40652</v>
      </c>
      <c r="F3707" s="6" t="n">
        <v>5.9</v>
      </c>
      <c r="G3707" t="n">
        <v>1</v>
      </c>
      <c r="H3707" s="6">
        <f>ROUND(G3707*F3707,2)</f>
        <v/>
      </c>
      <c r="I3707">
        <f>IF(ROUND(H3707-D3707,2)=0,1,0)</f>
        <v/>
      </c>
      <c r="J3707">
        <f>IF(F3707="","none",IF(G3707=1,"carte","multiple"))</f>
        <v/>
      </c>
    </row>
    <row r="3708">
      <c r="A3708" t="inlineStr">
        <is>
          <t>2022-08-04</t>
        </is>
      </c>
      <c r="B3708" t="inlineStr">
        <is>
          <t>11:28</t>
        </is>
      </c>
      <c r="C3708" t="n">
        <v>3023</v>
      </c>
      <c r="D3708" s="6" t="n">
        <v>2.2</v>
      </c>
      <c r="E3708" t="n">
        <v>40653</v>
      </c>
      <c r="F3708" s="6" t="n">
        <v>2.2</v>
      </c>
      <c r="G3708" t="n">
        <v>1</v>
      </c>
      <c r="H3708" s="6">
        <f>ROUND(G3708*F3708,2)</f>
        <v/>
      </c>
      <c r="I3708">
        <f>IF(ROUND(H3708-D3708,2)=0,1,0)</f>
        <v/>
      </c>
      <c r="J3708">
        <f>IF(F3708="","none",IF(G3708=1,"carte","multiple"))</f>
        <v/>
      </c>
    </row>
    <row r="3709">
      <c r="A3709" t="inlineStr">
        <is>
          <t>2022-08-04</t>
        </is>
      </c>
      <c r="B3709" t="inlineStr">
        <is>
          <t>12:20</t>
        </is>
      </c>
      <c r="C3709" t="n">
        <v>3023</v>
      </c>
      <c r="D3709" s="6" t="n">
        <v>9.9</v>
      </c>
      <c r="E3709" t="n">
        <v>40654</v>
      </c>
      <c r="F3709" s="6" t="n">
        <v>9.9</v>
      </c>
      <c r="G3709" t="n">
        <v>1</v>
      </c>
      <c r="H3709" s="6">
        <f>ROUND(G3709*F3709,2)</f>
        <v/>
      </c>
      <c r="I3709">
        <f>IF(ROUND(H3709-D3709,2)=0,1,0)</f>
        <v/>
      </c>
      <c r="J3709">
        <f>IF(F3709="","none",IF(G3709=1,"carte","multiple"))</f>
        <v/>
      </c>
    </row>
    <row r="3710">
      <c r="A3710" t="inlineStr">
        <is>
          <t>2022-08-04</t>
        </is>
      </c>
      <c r="B3710" t="inlineStr">
        <is>
          <t>12:20</t>
        </is>
      </c>
      <c r="C3710" t="n">
        <v>3023</v>
      </c>
      <c r="D3710" s="6" t="n">
        <v>7.2</v>
      </c>
      <c r="E3710" t="n">
        <v>40655</v>
      </c>
      <c r="F3710" s="6" t="n">
        <v>7.2</v>
      </c>
      <c r="G3710" t="n">
        <v>1</v>
      </c>
      <c r="H3710" s="6">
        <f>ROUND(G3710*F3710,2)</f>
        <v/>
      </c>
      <c r="I3710">
        <f>IF(ROUND(H3710-D3710,2)=0,1,0)</f>
        <v/>
      </c>
      <c r="J3710">
        <f>IF(F3710="","none",IF(G3710=1,"carte","multiple"))</f>
        <v/>
      </c>
    </row>
    <row r="3711">
      <c r="A3711" t="inlineStr">
        <is>
          <t>2022-08-04</t>
        </is>
      </c>
      <c r="B3711" t="inlineStr">
        <is>
          <t>12:20</t>
        </is>
      </c>
      <c r="C3711" t="n">
        <v>3023</v>
      </c>
      <c r="D3711" s="6" t="n">
        <v>17.6</v>
      </c>
      <c r="E3711" t="n">
        <v>40656</v>
      </c>
      <c r="F3711" s="6" t="n">
        <v>17.6</v>
      </c>
      <c r="G3711" t="n">
        <v>1</v>
      </c>
      <c r="H3711" s="6">
        <f>ROUND(G3711*F3711,2)</f>
        <v/>
      </c>
      <c r="I3711">
        <f>IF(ROUND(H3711-D3711,2)=0,1,0)</f>
        <v/>
      </c>
      <c r="J3711">
        <f>IF(F3711="","none",IF(G3711=1,"carte","multiple"))</f>
        <v/>
      </c>
    </row>
    <row r="3712">
      <c r="A3712" t="inlineStr">
        <is>
          <t>2022-08-04</t>
        </is>
      </c>
      <c r="B3712" t="inlineStr">
        <is>
          <t>12:20</t>
        </is>
      </c>
      <c r="C3712" t="n">
        <v>3023</v>
      </c>
      <c r="D3712" s="6" t="n">
        <v>32</v>
      </c>
      <c r="E3712" t="n">
        <v>40657</v>
      </c>
      <c r="F3712" s="6" t="n">
        <v>32</v>
      </c>
      <c r="G3712" t="n">
        <v>1</v>
      </c>
      <c r="H3712" s="6">
        <f>ROUND(G3712*F3712,2)</f>
        <v/>
      </c>
      <c r="I3712">
        <f>IF(ROUND(H3712-D3712,2)=0,1,0)</f>
        <v/>
      </c>
      <c r="J3712">
        <f>IF(F3712="","none",IF(G3712=1,"carte","multiple"))</f>
        <v/>
      </c>
    </row>
    <row r="3713">
      <c r="A3713" t="inlineStr">
        <is>
          <t>2022-08-04</t>
        </is>
      </c>
      <c r="B3713" t="inlineStr">
        <is>
          <t>12:20</t>
        </is>
      </c>
      <c r="C3713" t="n">
        <v>3023</v>
      </c>
      <c r="D3713" s="6" t="n">
        <v>5.2</v>
      </c>
      <c r="E3713" t="n">
        <v>40658</v>
      </c>
      <c r="F3713" s="6" t="n">
        <v>5.2</v>
      </c>
      <c r="G3713" t="n">
        <v>1</v>
      </c>
      <c r="H3713" s="6">
        <f>ROUND(G3713*F3713,2)</f>
        <v/>
      </c>
      <c r="I3713">
        <f>IF(ROUND(H3713-D3713,2)=0,1,0)</f>
        <v/>
      </c>
      <c r="J3713">
        <f>IF(F3713="","none",IF(G3713=1,"carte","multiple"))</f>
        <v/>
      </c>
    </row>
    <row r="3714">
      <c r="A3714" t="inlineStr">
        <is>
          <t>2022-08-04</t>
        </is>
      </c>
      <c r="B3714" t="inlineStr">
        <is>
          <t>12:20</t>
        </is>
      </c>
      <c r="C3714" t="n">
        <v>3023</v>
      </c>
      <c r="D3714" s="6" t="n">
        <v>5.2</v>
      </c>
      <c r="E3714" t="n">
        <v>40659</v>
      </c>
      <c r="F3714" s="6" t="n">
        <v>5.2</v>
      </c>
      <c r="G3714" t="n">
        <v>1</v>
      </c>
      <c r="H3714" s="6">
        <f>ROUND(G3714*F3714,2)</f>
        <v/>
      </c>
      <c r="I3714">
        <f>IF(ROUND(H3714-D3714,2)=0,1,0)</f>
        <v/>
      </c>
      <c r="J3714">
        <f>IF(F3714="","none",IF(G3714=1,"carte","multiple"))</f>
        <v/>
      </c>
    </row>
    <row r="3715">
      <c r="A3715" t="inlineStr">
        <is>
          <t>2022-08-04</t>
        </is>
      </c>
      <c r="B3715" t="inlineStr">
        <is>
          <t>17:54</t>
        </is>
      </c>
      <c r="C3715" t="n">
        <v>3023</v>
      </c>
      <c r="D3715" s="6" t="n">
        <v>5.2</v>
      </c>
      <c r="E3715" t="n">
        <v>40662</v>
      </c>
      <c r="F3715" s="6" t="n">
        <v>5.2</v>
      </c>
      <c r="G3715" t="n">
        <v>1</v>
      </c>
      <c r="H3715" s="6">
        <f>ROUND(G3715*F3715,2)</f>
        <v/>
      </c>
      <c r="I3715">
        <f>IF(ROUND(H3715-D3715,2)=0,1,0)</f>
        <v/>
      </c>
      <c r="J3715">
        <f>IF(F3715="","none",IF(G3715=1,"carte","multiple"))</f>
        <v/>
      </c>
    </row>
    <row r="3716">
      <c r="A3716" t="inlineStr">
        <is>
          <t>2022-08-04</t>
        </is>
      </c>
      <c r="B3716" t="inlineStr">
        <is>
          <t>18:01</t>
        </is>
      </c>
      <c r="C3716" t="n">
        <v>3023</v>
      </c>
      <c r="D3716" s="6" t="n">
        <v>15</v>
      </c>
      <c r="E3716" t="n">
        <v>40663</v>
      </c>
      <c r="F3716" s="6" t="n">
        <v>15</v>
      </c>
      <c r="G3716" t="n">
        <v>1</v>
      </c>
      <c r="H3716" s="6">
        <f>ROUND(G3716*F3716,2)</f>
        <v/>
      </c>
      <c r="I3716">
        <f>IF(ROUND(H3716-D3716,2)=0,1,0)</f>
        <v/>
      </c>
      <c r="J3716">
        <f>IF(F3716="","none",IF(G3716=1,"carte","multiple"))</f>
        <v/>
      </c>
    </row>
    <row r="3717">
      <c r="A3717" t="inlineStr">
        <is>
          <t>2022-08-04</t>
        </is>
      </c>
      <c r="B3717" t="inlineStr">
        <is>
          <t>18:29</t>
        </is>
      </c>
      <c r="C3717" t="n">
        <v>3023</v>
      </c>
      <c r="D3717" s="6" t="n">
        <v>3.9</v>
      </c>
      <c r="E3717" t="n">
        <v>40664</v>
      </c>
      <c r="F3717" s="6" t="n">
        <v>3.9</v>
      </c>
      <c r="G3717" t="n">
        <v>1</v>
      </c>
      <c r="H3717" s="6">
        <f>ROUND(G3717*F3717,2)</f>
        <v/>
      </c>
      <c r="I3717">
        <f>IF(ROUND(H3717-D3717,2)=0,1,0)</f>
        <v/>
      </c>
      <c r="J3717">
        <f>IF(F3717="","none",IF(G3717=1,"carte","multiple"))</f>
        <v/>
      </c>
    </row>
    <row r="3718">
      <c r="A3718" t="inlineStr">
        <is>
          <t>2022-08-04</t>
        </is>
      </c>
      <c r="B3718" t="inlineStr">
        <is>
          <t>18:31</t>
        </is>
      </c>
      <c r="C3718" t="n">
        <v>3023</v>
      </c>
      <c r="D3718" s="6" t="n">
        <v>3.9</v>
      </c>
      <c r="E3718" t="n">
        <v>40665</v>
      </c>
      <c r="F3718" s="6" t="n">
        <v>3.9</v>
      </c>
      <c r="G3718" t="n">
        <v>1</v>
      </c>
      <c r="H3718" s="6">
        <f>ROUND(G3718*F3718,2)</f>
        <v/>
      </c>
      <c r="I3718">
        <f>IF(ROUND(H3718-D3718,2)=0,1,0)</f>
        <v/>
      </c>
      <c r="J3718">
        <f>IF(F3718="","none",IF(G3718=1,"carte","multiple"))</f>
        <v/>
      </c>
    </row>
    <row r="3719">
      <c r="A3719" t="inlineStr">
        <is>
          <t>2022-08-04</t>
        </is>
      </c>
      <c r="B3719" t="inlineStr">
        <is>
          <t>18:36</t>
        </is>
      </c>
      <c r="C3719" t="n">
        <v>3023</v>
      </c>
      <c r="D3719" s="6" t="n">
        <v>11.6</v>
      </c>
      <c r="E3719" t="n">
        <v>40666</v>
      </c>
      <c r="F3719" s="6" t="n">
        <v>11.6</v>
      </c>
      <c r="G3719" t="n">
        <v>1</v>
      </c>
      <c r="H3719" s="6">
        <f>ROUND(G3719*F3719,2)</f>
        <v/>
      </c>
      <c r="I3719">
        <f>IF(ROUND(H3719-D3719,2)=0,1,0)</f>
        <v/>
      </c>
      <c r="J3719">
        <f>IF(F3719="","none",IF(G3719=1,"carte","multiple"))</f>
        <v/>
      </c>
    </row>
    <row r="3720">
      <c r="A3720" t="inlineStr">
        <is>
          <t>2022-08-04</t>
        </is>
      </c>
      <c r="B3720" t="inlineStr">
        <is>
          <t>18:56</t>
        </is>
      </c>
      <c r="C3720" t="n">
        <v>3023</v>
      </c>
      <c r="D3720" s="6" t="n">
        <v>1.8</v>
      </c>
      <c r="E3720" t="n">
        <v>40667</v>
      </c>
      <c r="F3720" s="6" t="n">
        <v>1.8</v>
      </c>
      <c r="G3720" t="n">
        <v>1</v>
      </c>
      <c r="H3720" s="6">
        <f>ROUND(G3720*F3720,2)</f>
        <v/>
      </c>
      <c r="I3720">
        <f>IF(ROUND(H3720-D3720,2)=0,1,0)</f>
        <v/>
      </c>
      <c r="J3720">
        <f>IF(F3720="","none",IF(G3720=1,"carte","multiple"))</f>
        <v/>
      </c>
    </row>
    <row r="3721">
      <c r="A3721" t="inlineStr">
        <is>
          <t>2022-08-04</t>
        </is>
      </c>
      <c r="B3721" t="inlineStr">
        <is>
          <t>19:49</t>
        </is>
      </c>
      <c r="C3721" t="n">
        <v>3023</v>
      </c>
      <c r="D3721" s="6" t="n">
        <v>3.4</v>
      </c>
      <c r="E3721" t="n">
        <v>40668</v>
      </c>
      <c r="F3721" s="6" t="n">
        <v>3.4</v>
      </c>
      <c r="G3721" t="n">
        <v>1</v>
      </c>
      <c r="H3721" s="6">
        <f>ROUND(G3721*F3721,2)</f>
        <v/>
      </c>
      <c r="I3721">
        <f>IF(ROUND(H3721-D3721,2)=0,1,0)</f>
        <v/>
      </c>
      <c r="J3721">
        <f>IF(F3721="","none",IF(G3721=1,"carte","multiple"))</f>
        <v/>
      </c>
    </row>
    <row r="3722">
      <c r="A3722" t="inlineStr">
        <is>
          <t>2022-08-05</t>
        </is>
      </c>
      <c r="B3722" t="inlineStr">
        <is>
          <t>11:01</t>
        </is>
      </c>
      <c r="C3722" t="n">
        <v>3024</v>
      </c>
      <c r="D3722" s="6" t="n">
        <v>1.8</v>
      </c>
      <c r="E3722" t="n">
        <v>40672</v>
      </c>
      <c r="F3722" s="6" t="n">
        <v>1.8</v>
      </c>
      <c r="G3722" t="n">
        <v>1</v>
      </c>
      <c r="H3722" s="6">
        <f>ROUND(G3722*F3722,2)</f>
        <v/>
      </c>
      <c r="I3722">
        <f>IF(ROUND(H3722-D3722,2)=0,1,0)</f>
        <v/>
      </c>
      <c r="J3722">
        <f>IF(F3722="","none",IF(G3722=1,"carte","multiple"))</f>
        <v/>
      </c>
    </row>
    <row r="3723">
      <c r="A3723" t="inlineStr">
        <is>
          <t>2022-08-05</t>
        </is>
      </c>
      <c r="B3723" t="inlineStr">
        <is>
          <t>11:01</t>
        </is>
      </c>
      <c r="C3723" t="n">
        <v>3024</v>
      </c>
      <c r="D3723" s="6" t="n">
        <v>9.800000000000001</v>
      </c>
      <c r="E3723" t="n">
        <v>40673</v>
      </c>
      <c r="F3723" s="6" t="n">
        <v>9.800000000000001</v>
      </c>
      <c r="G3723" t="n">
        <v>1</v>
      </c>
      <c r="H3723" s="6">
        <f>ROUND(G3723*F3723,2)</f>
        <v/>
      </c>
      <c r="I3723">
        <f>IF(ROUND(H3723-D3723,2)=0,1,0)</f>
        <v/>
      </c>
      <c r="J3723">
        <f>IF(F3723="","none",IF(G3723=1,"carte","multiple"))</f>
        <v/>
      </c>
    </row>
    <row r="3724">
      <c r="A3724" t="inlineStr">
        <is>
          <t>2022-08-05</t>
        </is>
      </c>
      <c r="B3724" t="inlineStr">
        <is>
          <t>11:22</t>
        </is>
      </c>
      <c r="C3724" t="n">
        <v>3024</v>
      </c>
      <c r="D3724" s="6" t="n">
        <v>6.9</v>
      </c>
      <c r="E3724" t="n">
        <v>40674</v>
      </c>
      <c r="F3724" s="6" t="n">
        <v>6.9</v>
      </c>
      <c r="G3724" t="n">
        <v>1</v>
      </c>
      <c r="H3724" s="6">
        <f>ROUND(G3724*F3724,2)</f>
        <v/>
      </c>
      <c r="I3724">
        <f>IF(ROUND(H3724-D3724,2)=0,1,0)</f>
        <v/>
      </c>
      <c r="J3724">
        <f>IF(F3724="","none",IF(G3724=1,"carte","multiple"))</f>
        <v/>
      </c>
    </row>
    <row r="3725">
      <c r="A3725" t="inlineStr">
        <is>
          <t>2022-08-05</t>
        </is>
      </c>
      <c r="B3725" t="inlineStr">
        <is>
          <t>11:22</t>
        </is>
      </c>
      <c r="C3725" t="n">
        <v>3024</v>
      </c>
      <c r="D3725" s="6" t="n">
        <v>3.9</v>
      </c>
      <c r="E3725" t="n">
        <v>40675</v>
      </c>
      <c r="F3725" s="6" t="n">
        <v>3.9</v>
      </c>
      <c r="G3725" t="n">
        <v>1</v>
      </c>
      <c r="H3725" s="6">
        <f>ROUND(G3725*F3725,2)</f>
        <v/>
      </c>
      <c r="I3725">
        <f>IF(ROUND(H3725-D3725,2)=0,1,0)</f>
        <v/>
      </c>
      <c r="J3725">
        <f>IF(F3725="","none",IF(G3725=1,"carte","multiple"))</f>
        <v/>
      </c>
    </row>
    <row r="3726">
      <c r="A3726" t="inlineStr">
        <is>
          <t>2022-08-05</t>
        </is>
      </c>
      <c r="B3726" t="inlineStr">
        <is>
          <t>11:22</t>
        </is>
      </c>
      <c r="C3726" t="n">
        <v>3024</v>
      </c>
      <c r="D3726" s="6" t="n">
        <v>15.9</v>
      </c>
      <c r="E3726" t="n">
        <v>40676</v>
      </c>
      <c r="F3726" s="6" t="n">
        <v>15.9</v>
      </c>
      <c r="G3726" t="n">
        <v>1</v>
      </c>
      <c r="H3726" s="6">
        <f>ROUND(G3726*F3726,2)</f>
        <v/>
      </c>
      <c r="I3726">
        <f>IF(ROUND(H3726-D3726,2)=0,1,0)</f>
        <v/>
      </c>
      <c r="J3726">
        <f>IF(F3726="","none",IF(G3726=1,"carte","multiple"))</f>
        <v/>
      </c>
    </row>
    <row r="3727">
      <c r="A3727" t="inlineStr">
        <is>
          <t>2022-08-05</t>
        </is>
      </c>
      <c r="B3727" t="inlineStr">
        <is>
          <t>11:22</t>
        </is>
      </c>
      <c r="C3727" t="n">
        <v>3024</v>
      </c>
      <c r="D3727" s="6" t="n">
        <v>35.2</v>
      </c>
      <c r="E3727" t="n">
        <v>40677</v>
      </c>
      <c r="F3727" s="6" t="n">
        <v>0.4</v>
      </c>
      <c r="G3727" t="n">
        <v>88</v>
      </c>
      <c r="H3727" s="6">
        <f>ROUND(G3727*F3727,2)</f>
        <v/>
      </c>
      <c r="I3727">
        <f>IF(ROUND(H3727-D3727,2)=0,1,0)</f>
        <v/>
      </c>
      <c r="J3727">
        <f>IF(F3727="","none",IF(G3727=1,"carte","multiple"))</f>
        <v/>
      </c>
    </row>
    <row r="3728">
      <c r="A3728" t="inlineStr">
        <is>
          <t>2022-08-05</t>
        </is>
      </c>
      <c r="B3728" t="inlineStr">
        <is>
          <t>11:22</t>
        </is>
      </c>
      <c r="C3728" t="n">
        <v>3024</v>
      </c>
      <c r="D3728" s="6" t="n">
        <v>12.6</v>
      </c>
      <c r="E3728" t="n">
        <v>40678</v>
      </c>
      <c r="F3728" s="6" t="n">
        <v>0.9</v>
      </c>
      <c r="G3728" t="n">
        <v>14</v>
      </c>
      <c r="H3728" s="6">
        <f>ROUND(G3728*F3728,2)</f>
        <v/>
      </c>
      <c r="I3728">
        <f>IF(ROUND(H3728-D3728,2)=0,1,0)</f>
        <v/>
      </c>
      <c r="J3728">
        <f>IF(F3728="","none",IF(G3728=1,"carte","multiple"))</f>
        <v/>
      </c>
    </row>
    <row r="3729">
      <c r="A3729" t="inlineStr">
        <is>
          <t>2022-08-05</t>
        </is>
      </c>
      <c r="B3729" t="inlineStr">
        <is>
          <t>12:07</t>
        </is>
      </c>
      <c r="C3729" t="n">
        <v>3024</v>
      </c>
      <c r="D3729" s="6" t="n">
        <v>32</v>
      </c>
      <c r="E3729" t="n">
        <v>40679</v>
      </c>
      <c r="F3729" s="6" t="n">
        <v>32</v>
      </c>
      <c r="G3729" t="n">
        <v>1</v>
      </c>
      <c r="H3729" s="6">
        <f>ROUND(G3729*F3729,2)</f>
        <v/>
      </c>
      <c r="I3729">
        <f>IF(ROUND(H3729-D3729,2)=0,1,0)</f>
        <v/>
      </c>
      <c r="J3729">
        <f>IF(F3729="","none",IF(G3729=1,"carte","multiple"))</f>
        <v/>
      </c>
    </row>
    <row r="3730">
      <c r="A3730" t="inlineStr">
        <is>
          <t>2022-08-05</t>
        </is>
      </c>
      <c r="B3730" t="inlineStr">
        <is>
          <t>18:08</t>
        </is>
      </c>
      <c r="C3730" t="n">
        <v>3024</v>
      </c>
      <c r="D3730" s="6" t="n">
        <v>17.6</v>
      </c>
      <c r="E3730" t="n">
        <v>40681</v>
      </c>
      <c r="F3730" s="6" t="n">
        <v>17.6</v>
      </c>
      <c r="G3730" t="n">
        <v>1</v>
      </c>
      <c r="H3730" s="6">
        <f>ROUND(G3730*F3730,2)</f>
        <v/>
      </c>
      <c r="I3730">
        <f>IF(ROUND(H3730-D3730,2)=0,1,0)</f>
        <v/>
      </c>
      <c r="J3730">
        <f>IF(F3730="","none",IF(G3730=1,"carte","multiple"))</f>
        <v/>
      </c>
    </row>
    <row r="3731">
      <c r="A3731" t="inlineStr">
        <is>
          <t>2022-08-05</t>
        </is>
      </c>
      <c r="B3731" t="inlineStr">
        <is>
          <t>18:08</t>
        </is>
      </c>
      <c r="C3731" t="n">
        <v>3024</v>
      </c>
      <c r="D3731" s="6" t="n">
        <v>17.6</v>
      </c>
      <c r="E3731" t="n">
        <v>40682</v>
      </c>
      <c r="F3731" s="6" t="n">
        <v>17.6</v>
      </c>
      <c r="G3731" t="n">
        <v>1</v>
      </c>
      <c r="H3731" s="6">
        <f>ROUND(G3731*F3731,2)</f>
        <v/>
      </c>
      <c r="I3731">
        <f>IF(ROUND(H3731-D3731,2)=0,1,0)</f>
        <v/>
      </c>
      <c r="J3731">
        <f>IF(F3731="","none",IF(G3731=1,"carte","multiple"))</f>
        <v/>
      </c>
    </row>
    <row r="3732">
      <c r="A3732" t="inlineStr">
        <is>
          <t>2022-08-05</t>
        </is>
      </c>
      <c r="B3732" t="inlineStr">
        <is>
          <t>18:08</t>
        </is>
      </c>
      <c r="C3732" t="n">
        <v>3024</v>
      </c>
      <c r="D3732" s="6" t="n">
        <v>19.8</v>
      </c>
      <c r="E3732" t="n">
        <v>40683</v>
      </c>
      <c r="F3732" s="6" t="n">
        <v>19.8</v>
      </c>
      <c r="G3732" t="n">
        <v>1</v>
      </c>
      <c r="H3732" s="6">
        <f>ROUND(G3732*F3732,2)</f>
        <v/>
      </c>
      <c r="I3732">
        <f>IF(ROUND(H3732-D3732,2)=0,1,0)</f>
        <v/>
      </c>
      <c r="J3732">
        <f>IF(F3732="","none",IF(G3732=1,"carte","multiple"))</f>
        <v/>
      </c>
    </row>
    <row r="3733">
      <c r="A3733" t="inlineStr">
        <is>
          <t>2022-08-05</t>
        </is>
      </c>
      <c r="B3733" t="inlineStr">
        <is>
          <t>18:19</t>
        </is>
      </c>
      <c r="C3733" t="n">
        <v>3024</v>
      </c>
      <c r="D3733" s="6" t="n">
        <v>19.8</v>
      </c>
      <c r="E3733" t="n">
        <v>40684</v>
      </c>
      <c r="F3733" s="6" t="n">
        <v>19.8</v>
      </c>
      <c r="G3733" t="n">
        <v>1</v>
      </c>
      <c r="H3733" s="6">
        <f>ROUND(G3733*F3733,2)</f>
        <v/>
      </c>
      <c r="I3733">
        <f>IF(ROUND(H3733-D3733,2)=0,1,0)</f>
        <v/>
      </c>
      <c r="J3733">
        <f>IF(F3733="","none",IF(G3733=1,"carte","multiple"))</f>
        <v/>
      </c>
    </row>
    <row r="3734">
      <c r="A3734" t="inlineStr">
        <is>
          <t>2022-08-05</t>
        </is>
      </c>
      <c r="B3734" t="inlineStr">
        <is>
          <t>18:33</t>
        </is>
      </c>
      <c r="C3734" t="n">
        <v>3024</v>
      </c>
      <c r="D3734" s="6" t="n">
        <v>9.800000000000001</v>
      </c>
      <c r="E3734" t="n">
        <v>40685</v>
      </c>
      <c r="F3734" s="6" t="n">
        <v>9.800000000000001</v>
      </c>
      <c r="G3734" t="n">
        <v>1</v>
      </c>
      <c r="H3734" s="6">
        <f>ROUND(G3734*F3734,2)</f>
        <v/>
      </c>
      <c r="I3734">
        <f>IF(ROUND(H3734-D3734,2)=0,1,0)</f>
        <v/>
      </c>
      <c r="J3734">
        <f>IF(F3734="","none",IF(G3734=1,"carte","multiple"))</f>
        <v/>
      </c>
    </row>
    <row r="3735">
      <c r="A3735" t="inlineStr">
        <is>
          <t>2022-08-05</t>
        </is>
      </c>
      <c r="B3735" t="inlineStr">
        <is>
          <t>19:09</t>
        </is>
      </c>
      <c r="C3735" t="n">
        <v>3024</v>
      </c>
      <c r="D3735" s="6" t="n">
        <v>5.8</v>
      </c>
      <c r="E3735" t="n">
        <v>40686</v>
      </c>
      <c r="F3735" s="6" t="n">
        <v>5.8</v>
      </c>
      <c r="G3735" t="n">
        <v>1</v>
      </c>
      <c r="H3735" s="6">
        <f>ROUND(G3735*F3735,2)</f>
        <v/>
      </c>
      <c r="I3735">
        <f>IF(ROUND(H3735-D3735,2)=0,1,0)</f>
        <v/>
      </c>
      <c r="J3735">
        <f>IF(F3735="","none",IF(G3735=1,"carte","multiple"))</f>
        <v/>
      </c>
    </row>
    <row r="3736">
      <c r="A3736" t="inlineStr">
        <is>
          <t>2022-08-05</t>
        </is>
      </c>
      <c r="B3736" t="inlineStr">
        <is>
          <t>19:09</t>
        </is>
      </c>
      <c r="C3736" t="n">
        <v>3024</v>
      </c>
      <c r="D3736" s="6" t="n">
        <v>2.9</v>
      </c>
      <c r="E3736" t="n">
        <v>40687</v>
      </c>
      <c r="F3736" s="6" t="n">
        <v>2.9</v>
      </c>
      <c r="G3736" t="n">
        <v>1</v>
      </c>
      <c r="H3736" s="6">
        <f>ROUND(G3736*F3736,2)</f>
        <v/>
      </c>
      <c r="I3736">
        <f>IF(ROUND(H3736-D3736,2)=0,1,0)</f>
        <v/>
      </c>
      <c r="J3736">
        <f>IF(F3736="","none",IF(G3736=1,"carte","multiple"))</f>
        <v/>
      </c>
    </row>
    <row r="3737">
      <c r="A3737" t="inlineStr">
        <is>
          <t>2022-08-05</t>
        </is>
      </c>
      <c r="B3737" t="inlineStr">
        <is>
          <t>19:09</t>
        </is>
      </c>
      <c r="C3737" t="n">
        <v>3024</v>
      </c>
      <c r="D3737" s="6" t="n">
        <v>39.8</v>
      </c>
      <c r="E3737" t="n">
        <v>40688</v>
      </c>
      <c r="F3737" s="6" t="n">
        <v>39.8</v>
      </c>
      <c r="G3737" t="n">
        <v>1</v>
      </c>
      <c r="H3737" s="6">
        <f>ROUND(G3737*F3737,2)</f>
        <v/>
      </c>
      <c r="I3737">
        <f>IF(ROUND(H3737-D3737,2)=0,1,0)</f>
        <v/>
      </c>
      <c r="J3737">
        <f>IF(F3737="","none",IF(G3737=1,"carte","multiple"))</f>
        <v/>
      </c>
    </row>
    <row r="3738">
      <c r="A3738" t="inlineStr">
        <is>
          <t>2022-08-05</t>
        </is>
      </c>
      <c r="B3738" t="inlineStr">
        <is>
          <t>19:09</t>
        </is>
      </c>
      <c r="C3738" t="n">
        <v>3024</v>
      </c>
      <c r="D3738" s="6" t="n">
        <v>1.4</v>
      </c>
      <c r="E3738" t="n">
        <v>40689</v>
      </c>
      <c r="F3738" s="6" t="n">
        <v>1.4</v>
      </c>
      <c r="G3738" t="n">
        <v>1</v>
      </c>
      <c r="H3738" s="6">
        <f>ROUND(G3738*F3738,2)</f>
        <v/>
      </c>
      <c r="I3738">
        <f>IF(ROUND(H3738-D3738,2)=0,1,0)</f>
        <v/>
      </c>
      <c r="J3738">
        <f>IF(F3738="","none",IF(G3738=1,"carte","multiple"))</f>
        <v/>
      </c>
    </row>
    <row r="3739">
      <c r="A3739" t="inlineStr">
        <is>
          <t>2022-08-05</t>
        </is>
      </c>
      <c r="B3739" t="inlineStr">
        <is>
          <t>19:09</t>
        </is>
      </c>
      <c r="C3739" t="n">
        <v>3024</v>
      </c>
      <c r="D3739" s="6" t="n">
        <v>3.9</v>
      </c>
      <c r="E3739" t="n">
        <v>40690</v>
      </c>
      <c r="F3739" s="6" t="n">
        <v>3.9</v>
      </c>
      <c r="G3739" t="n">
        <v>1</v>
      </c>
      <c r="H3739" s="6">
        <f>ROUND(G3739*F3739,2)</f>
        <v/>
      </c>
      <c r="I3739">
        <f>IF(ROUND(H3739-D3739,2)=0,1,0)</f>
        <v/>
      </c>
      <c r="J3739">
        <f>IF(F3739="","none",IF(G3739=1,"carte","multiple"))</f>
        <v/>
      </c>
    </row>
    <row r="3740">
      <c r="A3740" t="inlineStr">
        <is>
          <t>2022-08-05</t>
        </is>
      </c>
      <c r="B3740" t="inlineStr">
        <is>
          <t>19:09</t>
        </is>
      </c>
      <c r="C3740" t="n">
        <v>3024</v>
      </c>
      <c r="D3740" s="6" t="n">
        <v>2.9</v>
      </c>
      <c r="E3740" t="n">
        <v>40691</v>
      </c>
      <c r="F3740" s="6" t="n">
        <v>2.9</v>
      </c>
      <c r="G3740" t="n">
        <v>1</v>
      </c>
      <c r="H3740" s="6">
        <f>ROUND(G3740*F3740,2)</f>
        <v/>
      </c>
      <c r="I3740">
        <f>IF(ROUND(H3740-D3740,2)=0,1,0)</f>
        <v/>
      </c>
      <c r="J3740">
        <f>IF(F3740="","none",IF(G3740=1,"carte","multiple"))</f>
        <v/>
      </c>
    </row>
    <row r="3741">
      <c r="A3741" t="inlineStr">
        <is>
          <t>2022-08-05</t>
        </is>
      </c>
      <c r="B3741" t="inlineStr">
        <is>
          <t>19:09</t>
        </is>
      </c>
      <c r="C3741" t="n">
        <v>3024</v>
      </c>
      <c r="D3741" s="6" t="n">
        <v>3.9</v>
      </c>
      <c r="E3741" t="n">
        <v>40692</v>
      </c>
      <c r="F3741" s="6" t="n">
        <v>3.9</v>
      </c>
      <c r="G3741" t="n">
        <v>1</v>
      </c>
      <c r="H3741" s="6">
        <f>ROUND(G3741*F3741,2)</f>
        <v/>
      </c>
      <c r="I3741">
        <f>IF(ROUND(H3741-D3741,2)=0,1,0)</f>
        <v/>
      </c>
      <c r="J3741">
        <f>IF(F3741="","none",IF(G3741=1,"carte","multiple"))</f>
        <v/>
      </c>
    </row>
    <row r="3742">
      <c r="A3742" t="inlineStr">
        <is>
          <t>2022-08-05</t>
        </is>
      </c>
      <c r="B3742" t="inlineStr">
        <is>
          <t>19:09</t>
        </is>
      </c>
      <c r="C3742" t="n">
        <v>3024</v>
      </c>
      <c r="D3742" s="6" t="n">
        <v>6.5</v>
      </c>
      <c r="E3742" t="n">
        <v>40693</v>
      </c>
      <c r="F3742" s="6" t="n">
        <v>6.5</v>
      </c>
      <c r="G3742" t="n">
        <v>1</v>
      </c>
      <c r="H3742" s="6">
        <f>ROUND(G3742*F3742,2)</f>
        <v/>
      </c>
      <c r="I3742">
        <f>IF(ROUND(H3742-D3742,2)=0,1,0)</f>
        <v/>
      </c>
      <c r="J3742">
        <f>IF(F3742="","none",IF(G3742=1,"carte","multiple"))</f>
        <v/>
      </c>
    </row>
    <row r="3743">
      <c r="A3743" t="inlineStr">
        <is>
          <t>2022-08-05</t>
        </is>
      </c>
      <c r="B3743" t="inlineStr">
        <is>
          <t>19:12</t>
        </is>
      </c>
      <c r="C3743" t="n">
        <v>3024</v>
      </c>
      <c r="D3743" s="6" t="n">
        <v>9</v>
      </c>
      <c r="E3743" t="n">
        <v>40694</v>
      </c>
      <c r="F3743" s="6" t="n">
        <v>9</v>
      </c>
      <c r="G3743" t="n">
        <v>1</v>
      </c>
      <c r="H3743" s="6">
        <f>ROUND(G3743*F3743,2)</f>
        <v/>
      </c>
      <c r="I3743">
        <f>IF(ROUND(H3743-D3743,2)=0,1,0)</f>
        <v/>
      </c>
      <c r="J3743">
        <f>IF(F3743="","none",IF(G3743=1,"carte","multiple"))</f>
        <v/>
      </c>
    </row>
    <row r="3744">
      <c r="A3744" t="inlineStr">
        <is>
          <t>2022-08-05</t>
        </is>
      </c>
      <c r="B3744" t="inlineStr">
        <is>
          <t>20:30</t>
        </is>
      </c>
      <c r="C3744" t="n">
        <v>3024</v>
      </c>
      <c r="D3744" s="6" t="n">
        <v>4</v>
      </c>
      <c r="E3744" t="n">
        <v>40695</v>
      </c>
      <c r="F3744" s="6" t="n">
        <v>4</v>
      </c>
      <c r="G3744" t="n">
        <v>1</v>
      </c>
      <c r="H3744" s="6">
        <f>ROUND(G3744*F3744,2)</f>
        <v/>
      </c>
      <c r="I3744">
        <f>IF(ROUND(H3744-D3744,2)=0,1,0)</f>
        <v/>
      </c>
      <c r="J3744">
        <f>IF(F3744="","none",IF(G3744=1,"carte","multiple"))</f>
        <v/>
      </c>
    </row>
    <row r="3745">
      <c r="A3745" t="inlineStr">
        <is>
          <t>2022-08-05</t>
        </is>
      </c>
      <c r="B3745" t="inlineStr">
        <is>
          <t>20:35</t>
        </is>
      </c>
      <c r="C3745" t="n">
        <v>3024</v>
      </c>
      <c r="D3745" s="6" t="n">
        <v>4.4</v>
      </c>
      <c r="E3745" t="n">
        <v>40696</v>
      </c>
      <c r="F3745" s="6" t="n">
        <v>0.4</v>
      </c>
      <c r="G3745" t="n">
        <v>11</v>
      </c>
      <c r="H3745" s="6">
        <f>ROUND(G3745*F3745,2)</f>
        <v/>
      </c>
      <c r="I3745">
        <f>IF(ROUND(H3745-D3745,2)=0,1,0)</f>
        <v/>
      </c>
      <c r="J3745">
        <f>IF(F3745="","none",IF(G3745=1,"carte","multiple"))</f>
        <v/>
      </c>
    </row>
    <row r="3746">
      <c r="A3746" t="inlineStr">
        <is>
          <t>2022-08-05</t>
        </is>
      </c>
      <c r="B3746" t="inlineStr">
        <is>
          <t>20:35</t>
        </is>
      </c>
      <c r="C3746" t="n">
        <v>3024</v>
      </c>
      <c r="D3746" s="6" t="n">
        <v>8</v>
      </c>
      <c r="E3746" t="n">
        <v>40697</v>
      </c>
      <c r="F3746" s="6" t="n">
        <v>8</v>
      </c>
      <c r="G3746" t="n">
        <v>1</v>
      </c>
      <c r="H3746" s="6">
        <f>ROUND(G3746*F3746,2)</f>
        <v/>
      </c>
      <c r="I3746">
        <f>IF(ROUND(H3746-D3746,2)=0,1,0)</f>
        <v/>
      </c>
      <c r="J3746">
        <f>IF(F3746="","none",IF(G3746=1,"carte","multiple"))</f>
        <v/>
      </c>
    </row>
    <row r="3747">
      <c r="A3747" t="inlineStr">
        <is>
          <t>2022-08-05</t>
        </is>
      </c>
      <c r="B3747" t="inlineStr">
        <is>
          <t>20:35</t>
        </is>
      </c>
      <c r="C3747" t="n">
        <v>3024</v>
      </c>
      <c r="D3747" s="6" t="n">
        <v>15.9</v>
      </c>
      <c r="E3747" t="n">
        <v>40698</v>
      </c>
      <c r="F3747" s="6" t="n">
        <v>15.9</v>
      </c>
      <c r="G3747" t="n">
        <v>1</v>
      </c>
      <c r="H3747" s="6">
        <f>ROUND(G3747*F3747,2)</f>
        <v/>
      </c>
      <c r="I3747">
        <f>IF(ROUND(H3747-D3747,2)=0,1,0)</f>
        <v/>
      </c>
      <c r="J3747">
        <f>IF(F3747="","none",IF(G3747=1,"carte","multiple"))</f>
        <v/>
      </c>
    </row>
    <row r="3748">
      <c r="A3748" t="inlineStr">
        <is>
          <t>2022-08-05</t>
        </is>
      </c>
      <c r="B3748" t="inlineStr">
        <is>
          <t>20:35</t>
        </is>
      </c>
      <c r="C3748" t="n">
        <v>3024</v>
      </c>
      <c r="D3748" s="6" t="n">
        <v>32</v>
      </c>
      <c r="E3748" t="n">
        <v>40699</v>
      </c>
      <c r="F3748" s="6" t="n">
        <v>32</v>
      </c>
      <c r="G3748" t="n">
        <v>1</v>
      </c>
      <c r="H3748" s="6">
        <f>ROUND(G3748*F3748,2)</f>
        <v/>
      </c>
      <c r="I3748">
        <f>IF(ROUND(H3748-D3748,2)=0,1,0)</f>
        <v/>
      </c>
      <c r="J3748">
        <f>IF(F3748="","none",IF(G3748=1,"carte","multiple"))</f>
        <v/>
      </c>
    </row>
    <row r="3749">
      <c r="A3749" t="inlineStr">
        <is>
          <t>2022-08-05</t>
        </is>
      </c>
      <c r="B3749" t="inlineStr">
        <is>
          <t>20:35</t>
        </is>
      </c>
      <c r="C3749" t="n">
        <v>3024</v>
      </c>
      <c r="D3749" s="6" t="n">
        <v>30</v>
      </c>
      <c r="E3749" t="n">
        <v>40700</v>
      </c>
      <c r="F3749" s="6" t="n">
        <v>30</v>
      </c>
      <c r="G3749" t="n">
        <v>1</v>
      </c>
      <c r="H3749" s="6">
        <f>ROUND(G3749*F3749,2)</f>
        <v/>
      </c>
      <c r="I3749">
        <f>IF(ROUND(H3749-D3749,2)=0,1,0)</f>
        <v/>
      </c>
      <c r="J3749">
        <f>IF(F3749="","none",IF(G3749=1,"carte","multiple"))</f>
        <v/>
      </c>
    </row>
    <row r="3750">
      <c r="A3750" t="inlineStr">
        <is>
          <t>2022-08-05</t>
        </is>
      </c>
      <c r="B3750" t="inlineStr">
        <is>
          <t>20:35</t>
        </is>
      </c>
      <c r="C3750" t="n">
        <v>3024</v>
      </c>
      <c r="D3750" s="6" t="n">
        <v>3.8</v>
      </c>
      <c r="E3750" t="n">
        <v>40701</v>
      </c>
      <c r="F3750" s="6" t="n">
        <v>3.8</v>
      </c>
      <c r="G3750" t="n">
        <v>1</v>
      </c>
      <c r="H3750" s="6">
        <f>ROUND(G3750*F3750,2)</f>
        <v/>
      </c>
      <c r="I3750">
        <f>IF(ROUND(H3750-D3750,2)=0,1,0)</f>
        <v/>
      </c>
      <c r="J3750">
        <f>IF(F3750="","none",IF(G3750=1,"carte","multiple"))</f>
        <v/>
      </c>
    </row>
    <row r="3751">
      <c r="A3751" t="inlineStr">
        <is>
          <t>2022-08-05</t>
        </is>
      </c>
      <c r="B3751" t="inlineStr">
        <is>
          <t>20:35</t>
        </is>
      </c>
      <c r="C3751" t="n">
        <v>3024</v>
      </c>
      <c r="D3751" s="6" t="n">
        <v>5.2</v>
      </c>
      <c r="E3751" t="n">
        <v>40702</v>
      </c>
      <c r="F3751" s="6" t="n">
        <v>5.2</v>
      </c>
      <c r="G3751" t="n">
        <v>1</v>
      </c>
      <c r="H3751" s="6">
        <f>ROUND(G3751*F3751,2)</f>
        <v/>
      </c>
      <c r="I3751">
        <f>IF(ROUND(H3751-D3751,2)=0,1,0)</f>
        <v/>
      </c>
      <c r="J3751">
        <f>IF(F3751="","none",IF(G3751=1,"carte","multiple"))</f>
        <v/>
      </c>
    </row>
    <row r="3752">
      <c r="A3752" t="inlineStr">
        <is>
          <t>2022-08-05</t>
        </is>
      </c>
      <c r="B3752" t="inlineStr">
        <is>
          <t>21:22</t>
        </is>
      </c>
      <c r="C3752" t="n">
        <v>3024</v>
      </c>
      <c r="D3752" s="6" t="n">
        <v>3.9</v>
      </c>
      <c r="E3752" t="n">
        <v>40703</v>
      </c>
      <c r="F3752" s="6" t="n">
        <v>3.9</v>
      </c>
      <c r="G3752" t="n">
        <v>1</v>
      </c>
      <c r="H3752" s="6">
        <f>ROUND(G3752*F3752,2)</f>
        <v/>
      </c>
      <c r="I3752">
        <f>IF(ROUND(H3752-D3752,2)=0,1,0)</f>
        <v/>
      </c>
      <c r="J3752">
        <f>IF(F3752="","none",IF(G3752=1,"carte","multiple"))</f>
        <v/>
      </c>
    </row>
    <row r="3753">
      <c r="A3753" t="inlineStr">
        <is>
          <t>2022-08-05</t>
        </is>
      </c>
      <c r="B3753" t="inlineStr">
        <is>
          <t>21:22</t>
        </is>
      </c>
      <c r="C3753" t="n">
        <v>3024</v>
      </c>
      <c r="D3753" s="6" t="n">
        <v>2</v>
      </c>
      <c r="E3753" t="n">
        <v>40704</v>
      </c>
      <c r="F3753" s="6" t="n">
        <v>2</v>
      </c>
      <c r="G3753" t="n">
        <v>1</v>
      </c>
      <c r="H3753" s="6">
        <f>ROUND(G3753*F3753,2)</f>
        <v/>
      </c>
      <c r="I3753">
        <f>IF(ROUND(H3753-D3753,2)=0,1,0)</f>
        <v/>
      </c>
      <c r="J3753">
        <f>IF(F3753="","none",IF(G3753=1,"carte","multiple"))</f>
        <v/>
      </c>
    </row>
    <row r="3754">
      <c r="A3754" t="inlineStr">
        <is>
          <t>2022-08-05</t>
        </is>
      </c>
      <c r="B3754" t="inlineStr">
        <is>
          <t>21:22</t>
        </is>
      </c>
      <c r="C3754" t="n">
        <v>3024</v>
      </c>
      <c r="D3754" s="6" t="n">
        <v>15.9</v>
      </c>
      <c r="E3754" t="n">
        <v>40705</v>
      </c>
      <c r="F3754" s="6" t="n">
        <v>15.9</v>
      </c>
      <c r="G3754" t="n">
        <v>1</v>
      </c>
      <c r="H3754" s="6">
        <f>ROUND(G3754*F3754,2)</f>
        <v/>
      </c>
      <c r="I3754">
        <f>IF(ROUND(H3754-D3754,2)=0,1,0)</f>
        <v/>
      </c>
      <c r="J3754">
        <f>IF(F3754="","none",IF(G3754=1,"carte","multiple"))</f>
        <v/>
      </c>
    </row>
    <row r="3755">
      <c r="A3755" t="inlineStr">
        <is>
          <t>2022-08-05</t>
        </is>
      </c>
      <c r="B3755" t="inlineStr">
        <is>
          <t>21:22</t>
        </is>
      </c>
      <c r="C3755" t="n">
        <v>3024</v>
      </c>
      <c r="D3755" s="6" t="n">
        <v>19.9</v>
      </c>
      <c r="E3755" t="n">
        <v>40706</v>
      </c>
      <c r="F3755" s="6" t="n">
        <v>19.9</v>
      </c>
      <c r="G3755" t="n">
        <v>1</v>
      </c>
      <c r="H3755" s="6">
        <f>ROUND(G3755*F3755,2)</f>
        <v/>
      </c>
      <c r="I3755">
        <f>IF(ROUND(H3755-D3755,2)=0,1,0)</f>
        <v/>
      </c>
      <c r="J3755">
        <f>IF(F3755="","none",IF(G3755=1,"carte","multiple"))</f>
        <v/>
      </c>
    </row>
    <row r="3756">
      <c r="A3756" t="inlineStr">
        <is>
          <t>2022-08-05</t>
        </is>
      </c>
      <c r="B3756" t="inlineStr">
        <is>
          <t>21:22</t>
        </is>
      </c>
      <c r="C3756" t="n">
        <v>3024</v>
      </c>
      <c r="D3756" s="6" t="n">
        <v>8.4</v>
      </c>
      <c r="E3756" t="n">
        <v>40707</v>
      </c>
      <c r="F3756" s="6" t="n">
        <v>8.4</v>
      </c>
      <c r="G3756" t="n">
        <v>1</v>
      </c>
      <c r="H3756" s="6">
        <f>ROUND(G3756*F3756,2)</f>
        <v/>
      </c>
      <c r="I3756">
        <f>IF(ROUND(H3756-D3756,2)=0,1,0)</f>
        <v/>
      </c>
      <c r="J3756">
        <f>IF(F3756="","none",IF(G3756=1,"carte","multiple"))</f>
        <v/>
      </c>
    </row>
    <row r="3757">
      <c r="A3757" t="inlineStr">
        <is>
          <t>2022-08-06</t>
        </is>
      </c>
      <c r="B3757" t="inlineStr">
        <is>
          <t>10:31</t>
        </is>
      </c>
      <c r="C3757" t="n">
        <v>3025</v>
      </c>
      <c r="D3757" s="6" t="n">
        <v>19.9</v>
      </c>
      <c r="E3757" t="n">
        <v>40710</v>
      </c>
      <c r="F3757" s="6" t="n">
        <v>19.9</v>
      </c>
      <c r="G3757" t="n">
        <v>1</v>
      </c>
      <c r="H3757" s="6">
        <f>ROUND(G3757*F3757,2)</f>
        <v/>
      </c>
      <c r="I3757">
        <f>IF(ROUND(H3757-D3757,2)=0,1,0)</f>
        <v/>
      </c>
      <c r="J3757">
        <f>IF(F3757="","none",IF(G3757=1,"carte","multiple"))</f>
        <v/>
      </c>
    </row>
    <row r="3758">
      <c r="A3758" t="inlineStr">
        <is>
          <t>2022-08-06</t>
        </is>
      </c>
      <c r="B3758" t="inlineStr">
        <is>
          <t>10:45</t>
        </is>
      </c>
      <c r="C3758" t="n">
        <v>3025</v>
      </c>
      <c r="D3758" s="6" t="n">
        <v>9.9</v>
      </c>
      <c r="E3758" t="n">
        <v>40711</v>
      </c>
      <c r="F3758" s="6" t="n">
        <v>9.9</v>
      </c>
      <c r="G3758" t="n">
        <v>1</v>
      </c>
      <c r="H3758" s="6">
        <f>ROUND(G3758*F3758,2)</f>
        <v/>
      </c>
      <c r="I3758">
        <f>IF(ROUND(H3758-D3758,2)=0,1,0)</f>
        <v/>
      </c>
      <c r="J3758">
        <f>IF(F3758="","none",IF(G3758=1,"carte","multiple"))</f>
        <v/>
      </c>
    </row>
    <row r="3759">
      <c r="A3759" t="inlineStr">
        <is>
          <t>2022-08-06</t>
        </is>
      </c>
      <c r="B3759" t="inlineStr">
        <is>
          <t>11:39</t>
        </is>
      </c>
      <c r="C3759" t="n">
        <v>3025</v>
      </c>
      <c r="D3759" s="6" t="n">
        <v>2</v>
      </c>
      <c r="E3759" t="n">
        <v>40712</v>
      </c>
      <c r="F3759" s="6" t="n">
        <v>2</v>
      </c>
      <c r="G3759" t="n">
        <v>1</v>
      </c>
      <c r="H3759" s="6">
        <f>ROUND(G3759*F3759,2)</f>
        <v/>
      </c>
      <c r="I3759">
        <f>IF(ROUND(H3759-D3759,2)=0,1,0)</f>
        <v/>
      </c>
      <c r="J3759">
        <f>IF(F3759="","none",IF(G3759=1,"carte","multiple"))</f>
        <v/>
      </c>
    </row>
    <row r="3760">
      <c r="A3760" t="inlineStr">
        <is>
          <t>2022-08-06</t>
        </is>
      </c>
      <c r="B3760" t="inlineStr">
        <is>
          <t>11:54</t>
        </is>
      </c>
      <c r="C3760" t="n">
        <v>3025</v>
      </c>
      <c r="D3760" s="6" t="n">
        <v>5.9</v>
      </c>
      <c r="E3760" t="n">
        <v>40713</v>
      </c>
      <c r="F3760" s="6" t="n">
        <v>5.9</v>
      </c>
      <c r="G3760" t="n">
        <v>1</v>
      </c>
      <c r="H3760" s="6">
        <f>ROUND(G3760*F3760,2)</f>
        <v/>
      </c>
      <c r="I3760">
        <f>IF(ROUND(H3760-D3760,2)=0,1,0)</f>
        <v/>
      </c>
      <c r="J3760">
        <f>IF(F3760="","none",IF(G3760=1,"carte","multiple"))</f>
        <v/>
      </c>
    </row>
    <row r="3761">
      <c r="A3761" t="inlineStr">
        <is>
          <t>2022-08-06</t>
        </is>
      </c>
      <c r="B3761" t="inlineStr">
        <is>
          <t>11:55</t>
        </is>
      </c>
      <c r="C3761" t="n">
        <v>3025</v>
      </c>
      <c r="D3761" s="6" t="n">
        <v>23</v>
      </c>
      <c r="E3761" t="n">
        <v>40714</v>
      </c>
      <c r="F3761" s="6" t="n">
        <v>23</v>
      </c>
      <c r="G3761" t="n">
        <v>1</v>
      </c>
      <c r="H3761" s="6">
        <f>ROUND(G3761*F3761,2)</f>
        <v/>
      </c>
      <c r="I3761">
        <f>IF(ROUND(H3761-D3761,2)=0,1,0)</f>
        <v/>
      </c>
      <c r="J3761">
        <f>IF(F3761="","none",IF(G3761=1,"carte","multiple"))</f>
        <v/>
      </c>
    </row>
    <row r="3762">
      <c r="A3762" t="inlineStr">
        <is>
          <t>2022-08-06</t>
        </is>
      </c>
      <c r="B3762" t="inlineStr">
        <is>
          <t>11:55</t>
        </is>
      </c>
      <c r="C3762" t="n">
        <v>3025</v>
      </c>
      <c r="D3762" s="6" t="n">
        <v>17.6</v>
      </c>
      <c r="E3762" t="n">
        <v>40715</v>
      </c>
      <c r="F3762" s="6" t="n">
        <v>17.6</v>
      </c>
      <c r="G3762" t="n">
        <v>1</v>
      </c>
      <c r="H3762" s="6">
        <f>ROUND(G3762*F3762,2)</f>
        <v/>
      </c>
      <c r="I3762">
        <f>IF(ROUND(H3762-D3762,2)=0,1,0)</f>
        <v/>
      </c>
      <c r="J3762">
        <f>IF(F3762="","none",IF(G3762=1,"carte","multiple"))</f>
        <v/>
      </c>
    </row>
    <row r="3763">
      <c r="A3763" t="inlineStr">
        <is>
          <t>2022-08-06</t>
        </is>
      </c>
      <c r="B3763" t="inlineStr">
        <is>
          <t>11:55</t>
        </is>
      </c>
      <c r="C3763" t="n">
        <v>3025</v>
      </c>
      <c r="D3763" s="6" t="n">
        <v>19</v>
      </c>
      <c r="E3763" t="n">
        <v>40716</v>
      </c>
      <c r="F3763" s="6" t="n">
        <v>19</v>
      </c>
      <c r="G3763" t="n">
        <v>1</v>
      </c>
      <c r="H3763" s="6">
        <f>ROUND(G3763*F3763,2)</f>
        <v/>
      </c>
      <c r="I3763">
        <f>IF(ROUND(H3763-D3763,2)=0,1,0)</f>
        <v/>
      </c>
      <c r="J3763">
        <f>IF(F3763="","none",IF(G3763=1,"carte","multiple"))</f>
        <v/>
      </c>
    </row>
    <row r="3764">
      <c r="A3764" t="inlineStr">
        <is>
          <t>2022-08-06</t>
        </is>
      </c>
      <c r="B3764" t="inlineStr">
        <is>
          <t>11:55</t>
        </is>
      </c>
      <c r="C3764" t="n">
        <v>3025</v>
      </c>
      <c r="D3764" s="6" t="n">
        <v>3.9</v>
      </c>
      <c r="E3764" t="n">
        <v>40717</v>
      </c>
      <c r="F3764" s="6" t="n">
        <v>3.9</v>
      </c>
      <c r="G3764" t="n">
        <v>1</v>
      </c>
      <c r="H3764" s="6">
        <f>ROUND(G3764*F3764,2)</f>
        <v/>
      </c>
      <c r="I3764">
        <f>IF(ROUND(H3764-D3764,2)=0,1,0)</f>
        <v/>
      </c>
      <c r="J3764">
        <f>IF(F3764="","none",IF(G3764=1,"carte","multiple"))</f>
        <v/>
      </c>
    </row>
    <row r="3765">
      <c r="A3765" t="inlineStr">
        <is>
          <t>2022-08-06</t>
        </is>
      </c>
      <c r="B3765" t="inlineStr">
        <is>
          <t>11:55</t>
        </is>
      </c>
      <c r="C3765" t="n">
        <v>3025</v>
      </c>
      <c r="D3765" s="6" t="n">
        <v>10.9</v>
      </c>
      <c r="E3765" t="n">
        <v>40718</v>
      </c>
      <c r="F3765" s="6" t="n">
        <v>10.9</v>
      </c>
      <c r="G3765" t="n">
        <v>1</v>
      </c>
      <c r="H3765" s="6">
        <f>ROUND(G3765*F3765,2)</f>
        <v/>
      </c>
      <c r="I3765">
        <f>IF(ROUND(H3765-D3765,2)=0,1,0)</f>
        <v/>
      </c>
      <c r="J3765">
        <f>IF(F3765="","none",IF(G3765=1,"carte","multiple"))</f>
        <v/>
      </c>
    </row>
    <row r="3766">
      <c r="A3766" t="inlineStr">
        <is>
          <t>2022-08-06</t>
        </is>
      </c>
      <c r="B3766" t="inlineStr">
        <is>
          <t>12:41</t>
        </is>
      </c>
      <c r="C3766" t="n">
        <v>3025</v>
      </c>
      <c r="D3766" s="6" t="n">
        <v>17.4</v>
      </c>
      <c r="E3766" t="n">
        <v>40719</v>
      </c>
      <c r="F3766" s="6" t="n">
        <v>2.9</v>
      </c>
      <c r="G3766" t="n">
        <v>6</v>
      </c>
      <c r="H3766" s="6">
        <f>ROUND(G3766*F3766,2)</f>
        <v/>
      </c>
      <c r="I3766">
        <f>IF(ROUND(H3766-D3766,2)=0,1,0)</f>
        <v/>
      </c>
      <c r="J3766">
        <f>IF(F3766="","none",IF(G3766=1,"carte","multiple"))</f>
        <v/>
      </c>
    </row>
    <row r="3767">
      <c r="A3767" t="inlineStr">
        <is>
          <t>2022-08-06</t>
        </is>
      </c>
      <c r="B3767" t="inlineStr">
        <is>
          <t>12:41</t>
        </is>
      </c>
      <c r="C3767" t="n">
        <v>3025</v>
      </c>
      <c r="D3767" s="6" t="n">
        <v>1.8</v>
      </c>
      <c r="E3767" t="n">
        <v>40720</v>
      </c>
      <c r="F3767" s="6" t="n">
        <v>1.8</v>
      </c>
      <c r="G3767" t="n">
        <v>1</v>
      </c>
      <c r="H3767" s="6">
        <f>ROUND(G3767*F3767,2)</f>
        <v/>
      </c>
      <c r="I3767">
        <f>IF(ROUND(H3767-D3767,2)=0,1,0)</f>
        <v/>
      </c>
      <c r="J3767">
        <f>IF(F3767="","none",IF(G3767=1,"carte","multiple"))</f>
        <v/>
      </c>
    </row>
    <row r="3768">
      <c r="A3768" t="inlineStr">
        <is>
          <t>2022-08-06</t>
        </is>
      </c>
      <c r="B3768" t="inlineStr">
        <is>
          <t>12:41</t>
        </is>
      </c>
      <c r="C3768" t="n">
        <v>3025</v>
      </c>
      <c r="D3768" s="6" t="n">
        <v>5.8</v>
      </c>
      <c r="E3768" t="n">
        <v>40721</v>
      </c>
      <c r="F3768" s="6" t="n">
        <v>5.8</v>
      </c>
      <c r="G3768" t="n">
        <v>1</v>
      </c>
      <c r="H3768" s="6">
        <f>ROUND(G3768*F3768,2)</f>
        <v/>
      </c>
      <c r="I3768">
        <f>IF(ROUND(H3768-D3768,2)=0,1,0)</f>
        <v/>
      </c>
      <c r="J3768">
        <f>IF(F3768="","none",IF(G3768=1,"carte","multiple"))</f>
        <v/>
      </c>
    </row>
    <row r="3769">
      <c r="A3769" t="inlineStr">
        <is>
          <t>2022-08-06</t>
        </is>
      </c>
      <c r="B3769" t="inlineStr">
        <is>
          <t>12:41</t>
        </is>
      </c>
      <c r="C3769" t="n">
        <v>3025</v>
      </c>
      <c r="D3769" s="6" t="n">
        <v>3.9</v>
      </c>
      <c r="E3769" t="n">
        <v>40722</v>
      </c>
      <c r="F3769" s="6" t="n">
        <v>3.9</v>
      </c>
      <c r="G3769" t="n">
        <v>1</v>
      </c>
      <c r="H3769" s="6">
        <f>ROUND(G3769*F3769,2)</f>
        <v/>
      </c>
      <c r="I3769">
        <f>IF(ROUND(H3769-D3769,2)=0,1,0)</f>
        <v/>
      </c>
      <c r="J3769">
        <f>IF(F3769="","none",IF(G3769=1,"carte","multiple"))</f>
        <v/>
      </c>
    </row>
    <row r="3770">
      <c r="A3770" t="inlineStr">
        <is>
          <t>2022-08-06</t>
        </is>
      </c>
      <c r="B3770" t="inlineStr">
        <is>
          <t>12:41</t>
        </is>
      </c>
      <c r="C3770" t="n">
        <v>3025</v>
      </c>
      <c r="D3770" s="6" t="n">
        <v>15.9</v>
      </c>
      <c r="E3770" t="n">
        <v>40723</v>
      </c>
      <c r="F3770" s="6" t="n">
        <v>15.9</v>
      </c>
      <c r="G3770" t="n">
        <v>1</v>
      </c>
      <c r="H3770" s="6">
        <f>ROUND(G3770*F3770,2)</f>
        <v/>
      </c>
      <c r="I3770">
        <f>IF(ROUND(H3770-D3770,2)=0,1,0)</f>
        <v/>
      </c>
      <c r="J3770">
        <f>IF(F3770="","none",IF(G3770=1,"carte","multiple"))</f>
        <v/>
      </c>
    </row>
    <row r="3771">
      <c r="A3771" t="inlineStr">
        <is>
          <t>2022-08-06</t>
        </is>
      </c>
      <c r="B3771" t="inlineStr">
        <is>
          <t>12:41</t>
        </is>
      </c>
      <c r="C3771" t="n">
        <v>3025</v>
      </c>
      <c r="D3771" s="6" t="n">
        <v>17.6</v>
      </c>
      <c r="E3771" t="n">
        <v>40724</v>
      </c>
      <c r="F3771" s="6" t="n">
        <v>17.6</v>
      </c>
      <c r="G3771" t="n">
        <v>1</v>
      </c>
      <c r="H3771" s="6">
        <f>ROUND(G3771*F3771,2)</f>
        <v/>
      </c>
      <c r="I3771">
        <f>IF(ROUND(H3771-D3771,2)=0,1,0)</f>
        <v/>
      </c>
      <c r="J3771">
        <f>IF(F3771="","none",IF(G3771=1,"carte","multiple"))</f>
        <v/>
      </c>
    </row>
    <row r="3772">
      <c r="A3772" t="inlineStr">
        <is>
          <t>2022-08-06</t>
        </is>
      </c>
      <c r="B3772" t="inlineStr">
        <is>
          <t>12:41</t>
        </is>
      </c>
      <c r="C3772" t="n">
        <v>3025</v>
      </c>
      <c r="D3772" s="6" t="n">
        <v>27.8</v>
      </c>
      <c r="E3772" t="n">
        <v>40725</v>
      </c>
      <c r="F3772" s="6" t="n">
        <v>27.8</v>
      </c>
      <c r="G3772" t="n">
        <v>1</v>
      </c>
      <c r="H3772" s="6">
        <f>ROUND(G3772*F3772,2)</f>
        <v/>
      </c>
      <c r="I3772">
        <f>IF(ROUND(H3772-D3772,2)=0,1,0)</f>
        <v/>
      </c>
      <c r="J3772">
        <f>IF(F3772="","none",IF(G3772=1,"carte","multiple"))</f>
        <v/>
      </c>
    </row>
    <row r="3773">
      <c r="A3773" t="inlineStr">
        <is>
          <t>2022-08-06</t>
        </is>
      </c>
      <c r="B3773" t="inlineStr">
        <is>
          <t>12:41</t>
        </is>
      </c>
      <c r="C3773" t="n">
        <v>3025</v>
      </c>
      <c r="D3773" s="6" t="n">
        <v>17.6</v>
      </c>
      <c r="E3773" t="n">
        <v>40726</v>
      </c>
      <c r="F3773" s="6" t="n">
        <v>17.6</v>
      </c>
      <c r="G3773" t="n">
        <v>1</v>
      </c>
      <c r="H3773" s="6">
        <f>ROUND(G3773*F3773,2)</f>
        <v/>
      </c>
      <c r="I3773">
        <f>IF(ROUND(H3773-D3773,2)=0,1,0)</f>
        <v/>
      </c>
      <c r="J3773">
        <f>IF(F3773="","none",IF(G3773=1,"carte","multiple"))</f>
        <v/>
      </c>
    </row>
    <row r="3774">
      <c r="A3774" t="inlineStr">
        <is>
          <t>2022-08-06</t>
        </is>
      </c>
      <c r="B3774" t="inlineStr">
        <is>
          <t>12:41</t>
        </is>
      </c>
      <c r="C3774" t="n">
        <v>3025</v>
      </c>
      <c r="D3774" s="6" t="n">
        <v>3.9</v>
      </c>
      <c r="E3774" t="n">
        <v>40727</v>
      </c>
      <c r="F3774" s="6" t="n">
        <v>3.9</v>
      </c>
      <c r="G3774" t="n">
        <v>1</v>
      </c>
      <c r="H3774" s="6">
        <f>ROUND(G3774*F3774,2)</f>
        <v/>
      </c>
      <c r="I3774">
        <f>IF(ROUND(H3774-D3774,2)=0,1,0)</f>
        <v/>
      </c>
      <c r="J3774">
        <f>IF(F3774="","none",IF(G3774=1,"carte","multiple"))</f>
        <v/>
      </c>
    </row>
    <row r="3775">
      <c r="A3775" t="inlineStr">
        <is>
          <t>2022-08-06</t>
        </is>
      </c>
      <c r="B3775" t="inlineStr">
        <is>
          <t>12:41</t>
        </is>
      </c>
      <c r="C3775" t="n">
        <v>3025</v>
      </c>
      <c r="D3775" s="6" t="n">
        <v>9.800000000000001</v>
      </c>
      <c r="E3775" t="n">
        <v>40728</v>
      </c>
      <c r="F3775" s="6" t="n">
        <v>9.800000000000001</v>
      </c>
      <c r="G3775" t="n">
        <v>1</v>
      </c>
      <c r="H3775" s="6">
        <f>ROUND(G3775*F3775,2)</f>
        <v/>
      </c>
      <c r="I3775">
        <f>IF(ROUND(H3775-D3775,2)=0,1,0)</f>
        <v/>
      </c>
      <c r="J3775">
        <f>IF(F3775="","none",IF(G3775=1,"carte","multiple"))</f>
        <v/>
      </c>
    </row>
    <row r="3776">
      <c r="A3776" t="inlineStr">
        <is>
          <t>2022-08-06</t>
        </is>
      </c>
      <c r="B3776" t="inlineStr">
        <is>
          <t>12:41</t>
        </is>
      </c>
      <c r="C3776" t="n">
        <v>3025</v>
      </c>
      <c r="D3776" s="6" t="n">
        <v>3.9</v>
      </c>
      <c r="E3776" t="n">
        <v>40729</v>
      </c>
      <c r="F3776" s="6" t="n">
        <v>3.9</v>
      </c>
      <c r="G3776" t="n">
        <v>1</v>
      </c>
      <c r="H3776" s="6">
        <f>ROUND(G3776*F3776,2)</f>
        <v/>
      </c>
      <c r="I3776">
        <f>IF(ROUND(H3776-D3776,2)=0,1,0)</f>
        <v/>
      </c>
      <c r="J3776">
        <f>IF(F3776="","none",IF(G3776=1,"carte","multiple"))</f>
        <v/>
      </c>
    </row>
    <row r="3777">
      <c r="A3777" t="inlineStr">
        <is>
          <t>2022-08-06</t>
        </is>
      </c>
      <c r="B3777" t="inlineStr">
        <is>
          <t>18:03</t>
        </is>
      </c>
      <c r="C3777" t="n">
        <v>3025</v>
      </c>
      <c r="D3777" s="6" t="n">
        <v>19</v>
      </c>
      <c r="E3777" t="n">
        <v>40730</v>
      </c>
      <c r="F3777" s="6" t="n">
        <v>19</v>
      </c>
      <c r="G3777" t="n">
        <v>1</v>
      </c>
      <c r="H3777" s="6">
        <f>ROUND(G3777*F3777,2)</f>
        <v/>
      </c>
      <c r="I3777">
        <f>IF(ROUND(H3777-D3777,2)=0,1,0)</f>
        <v/>
      </c>
      <c r="J3777">
        <f>IF(F3777="","none",IF(G3777=1,"carte","multiple"))</f>
        <v/>
      </c>
    </row>
    <row r="3778">
      <c r="A3778" t="inlineStr">
        <is>
          <t>2022-08-06</t>
        </is>
      </c>
      <c r="B3778" t="inlineStr">
        <is>
          <t>18:15</t>
        </is>
      </c>
      <c r="C3778" t="n">
        <v>3025</v>
      </c>
      <c r="D3778" s="6" t="n">
        <v>3.9</v>
      </c>
      <c r="E3778" t="n">
        <v>40731</v>
      </c>
      <c r="F3778" s="6" t="n">
        <v>3.9</v>
      </c>
      <c r="G3778" t="n">
        <v>1</v>
      </c>
      <c r="H3778" s="6">
        <f>ROUND(G3778*F3778,2)</f>
        <v/>
      </c>
      <c r="I3778">
        <f>IF(ROUND(H3778-D3778,2)=0,1,0)</f>
        <v/>
      </c>
      <c r="J3778">
        <f>IF(F3778="","none",IF(G3778=1,"carte","multiple"))</f>
        <v/>
      </c>
    </row>
    <row r="3779">
      <c r="A3779" t="inlineStr">
        <is>
          <t>2022-08-06</t>
        </is>
      </c>
      <c r="B3779" t="inlineStr">
        <is>
          <t>18:15</t>
        </is>
      </c>
      <c r="C3779" t="n">
        <v>3025</v>
      </c>
      <c r="D3779" s="6" t="n">
        <v>19</v>
      </c>
      <c r="E3779" t="n">
        <v>40732</v>
      </c>
      <c r="F3779" s="6" t="n">
        <v>19</v>
      </c>
      <c r="G3779" t="n">
        <v>1</v>
      </c>
      <c r="H3779" s="6">
        <f>ROUND(G3779*F3779,2)</f>
        <v/>
      </c>
      <c r="I3779">
        <f>IF(ROUND(H3779-D3779,2)=0,1,0)</f>
        <v/>
      </c>
      <c r="J3779">
        <f>IF(F3779="","none",IF(G3779=1,"carte","multiple"))</f>
        <v/>
      </c>
    </row>
    <row r="3780">
      <c r="A3780" t="inlineStr">
        <is>
          <t>2022-08-06</t>
        </is>
      </c>
      <c r="B3780" t="inlineStr">
        <is>
          <t>19:26</t>
        </is>
      </c>
      <c r="C3780" t="n">
        <v>3025</v>
      </c>
      <c r="D3780" s="6" t="n">
        <v>0</v>
      </c>
      <c r="E3780" t="n">
        <v>40733</v>
      </c>
      <c r="H3780" t="inlineStr"/>
      <c r="I3780" t="inlineStr"/>
      <c r="J3780">
        <f>IF(F3780="","none",IF(G3780=1,"carte","multiple"))</f>
        <v/>
      </c>
    </row>
    <row r="3781">
      <c r="A3781" t="inlineStr">
        <is>
          <t>2022-08-06</t>
        </is>
      </c>
      <c r="B3781" t="inlineStr">
        <is>
          <t>19:26</t>
        </is>
      </c>
      <c r="C3781" t="n">
        <v>3025</v>
      </c>
      <c r="D3781" s="6" t="n">
        <v>0</v>
      </c>
      <c r="E3781" t="n">
        <v>40734</v>
      </c>
      <c r="H3781" t="inlineStr"/>
      <c r="I3781" t="inlineStr"/>
      <c r="J3781">
        <f>IF(F3781="","none",IF(G3781=1,"carte","multiple"))</f>
        <v/>
      </c>
    </row>
    <row r="3782">
      <c r="A3782" t="inlineStr">
        <is>
          <t>2022-08-06</t>
        </is>
      </c>
      <c r="B3782" t="inlineStr">
        <is>
          <t>19:29</t>
        </is>
      </c>
      <c r="C3782" t="n">
        <v>3025</v>
      </c>
      <c r="D3782" s="6" t="n">
        <v>17.6</v>
      </c>
      <c r="E3782" t="n">
        <v>40735</v>
      </c>
      <c r="F3782" s="6" t="n">
        <v>17.6</v>
      </c>
      <c r="G3782" t="n">
        <v>1</v>
      </c>
      <c r="H3782" s="6">
        <f>ROUND(G3782*F3782,2)</f>
        <v/>
      </c>
      <c r="I3782">
        <f>IF(ROUND(H3782-D3782,2)=0,1,0)</f>
        <v/>
      </c>
      <c r="J3782">
        <f>IF(F3782="","none",IF(G3782=1,"carte","multiple"))</f>
        <v/>
      </c>
    </row>
    <row r="3783">
      <c r="A3783" t="inlineStr">
        <is>
          <t>2022-08-06</t>
        </is>
      </c>
      <c r="B3783" t="inlineStr">
        <is>
          <t>19:29</t>
        </is>
      </c>
      <c r="C3783" t="n">
        <v>3025</v>
      </c>
      <c r="D3783" s="6" t="n">
        <v>57.2</v>
      </c>
      <c r="E3783" t="n">
        <v>40736</v>
      </c>
      <c r="F3783" s="6" t="n">
        <v>0.4</v>
      </c>
      <c r="G3783" t="n">
        <v>143</v>
      </c>
      <c r="H3783" s="6">
        <f>ROUND(G3783*F3783,2)</f>
        <v/>
      </c>
      <c r="I3783">
        <f>IF(ROUND(H3783-D3783,2)=0,1,0)</f>
        <v/>
      </c>
      <c r="J3783">
        <f>IF(F3783="","none",IF(G3783=1,"carte","multiple"))</f>
        <v/>
      </c>
    </row>
    <row r="3784">
      <c r="A3784" t="inlineStr">
        <is>
          <t>2022-08-06</t>
        </is>
      </c>
      <c r="B3784" t="inlineStr">
        <is>
          <t>19:29</t>
        </is>
      </c>
      <c r="C3784" t="n">
        <v>3025</v>
      </c>
      <c r="D3784" s="6" t="n">
        <v>7.2</v>
      </c>
      <c r="E3784" t="n">
        <v>40737</v>
      </c>
      <c r="F3784" s="6" t="n">
        <v>7.2</v>
      </c>
      <c r="G3784" t="n">
        <v>1</v>
      </c>
      <c r="H3784" s="6">
        <f>ROUND(G3784*F3784,2)</f>
        <v/>
      </c>
      <c r="I3784">
        <f>IF(ROUND(H3784-D3784,2)=0,1,0)</f>
        <v/>
      </c>
      <c r="J3784">
        <f>IF(F3784="","none",IF(G3784=1,"carte","multiple"))</f>
        <v/>
      </c>
    </row>
    <row r="3785">
      <c r="A3785" t="inlineStr">
        <is>
          <t>2022-08-06</t>
        </is>
      </c>
      <c r="B3785" t="inlineStr">
        <is>
          <t>19:29</t>
        </is>
      </c>
      <c r="C3785" t="n">
        <v>3025</v>
      </c>
      <c r="D3785" s="6" t="n">
        <v>5.8</v>
      </c>
      <c r="E3785" t="n">
        <v>40738</v>
      </c>
      <c r="F3785" s="6" t="n">
        <v>5.8</v>
      </c>
      <c r="G3785" t="n">
        <v>1</v>
      </c>
      <c r="H3785" s="6">
        <f>ROUND(G3785*F3785,2)</f>
        <v/>
      </c>
      <c r="I3785">
        <f>IF(ROUND(H3785-D3785,2)=0,1,0)</f>
        <v/>
      </c>
      <c r="J3785">
        <f>IF(F3785="","none",IF(G3785=1,"carte","multiple"))</f>
        <v/>
      </c>
    </row>
    <row r="3786">
      <c r="A3786" t="inlineStr">
        <is>
          <t>2022-08-06</t>
        </is>
      </c>
      <c r="B3786" t="inlineStr">
        <is>
          <t>19:29</t>
        </is>
      </c>
      <c r="C3786" t="n">
        <v>3025</v>
      </c>
      <c r="D3786" s="6" t="n">
        <v>3.9</v>
      </c>
      <c r="E3786" t="n">
        <v>40739</v>
      </c>
      <c r="F3786" s="6" t="n">
        <v>3.9</v>
      </c>
      <c r="G3786" t="n">
        <v>1</v>
      </c>
      <c r="H3786" s="6">
        <f>ROUND(G3786*F3786,2)</f>
        <v/>
      </c>
      <c r="I3786">
        <f>IF(ROUND(H3786-D3786,2)=0,1,0)</f>
        <v/>
      </c>
      <c r="J3786">
        <f>IF(F3786="","none",IF(G3786=1,"carte","multiple"))</f>
        <v/>
      </c>
    </row>
    <row r="3787">
      <c r="A3787" t="inlineStr">
        <is>
          <t>2022-08-06</t>
        </is>
      </c>
      <c r="B3787" t="inlineStr">
        <is>
          <t>19:29</t>
        </is>
      </c>
      <c r="C3787" t="n">
        <v>3025</v>
      </c>
      <c r="D3787" s="6" t="n">
        <v>3.6</v>
      </c>
      <c r="E3787" t="n">
        <v>40740</v>
      </c>
      <c r="F3787" s="6" t="n">
        <v>3.6</v>
      </c>
      <c r="G3787" t="n">
        <v>1</v>
      </c>
      <c r="H3787" s="6">
        <f>ROUND(G3787*F3787,2)</f>
        <v/>
      </c>
      <c r="I3787">
        <f>IF(ROUND(H3787-D3787,2)=0,1,0)</f>
        <v/>
      </c>
      <c r="J3787">
        <f>IF(F3787="","none",IF(G3787=1,"carte","multiple"))</f>
        <v/>
      </c>
    </row>
    <row r="3788">
      <c r="A3788" t="inlineStr">
        <is>
          <t>2022-08-06</t>
        </is>
      </c>
      <c r="B3788" t="inlineStr">
        <is>
          <t>19:29</t>
        </is>
      </c>
      <c r="C3788" t="n">
        <v>3025</v>
      </c>
      <c r="D3788" s="6" t="n">
        <v>7.8</v>
      </c>
      <c r="E3788" t="n">
        <v>40741</v>
      </c>
      <c r="F3788" s="6" t="n">
        <v>7.8</v>
      </c>
      <c r="G3788" t="n">
        <v>1</v>
      </c>
      <c r="H3788" s="6">
        <f>ROUND(G3788*F3788,2)</f>
        <v/>
      </c>
      <c r="I3788">
        <f>IF(ROUND(H3788-D3788,2)=0,1,0)</f>
        <v/>
      </c>
      <c r="J3788">
        <f>IF(F3788="","none",IF(G3788=1,"carte","multiple"))</f>
        <v/>
      </c>
    </row>
    <row r="3789">
      <c r="A3789" t="inlineStr">
        <is>
          <t>2022-08-06</t>
        </is>
      </c>
      <c r="B3789" t="inlineStr">
        <is>
          <t>19:29</t>
        </is>
      </c>
      <c r="C3789" t="n">
        <v>3025</v>
      </c>
      <c r="D3789" s="6" t="n">
        <v>3.9</v>
      </c>
      <c r="E3789" t="n">
        <v>40742</v>
      </c>
      <c r="F3789" s="6" t="n">
        <v>3.9</v>
      </c>
      <c r="G3789" t="n">
        <v>1</v>
      </c>
      <c r="H3789" s="6">
        <f>ROUND(G3789*F3789,2)</f>
        <v/>
      </c>
      <c r="I3789">
        <f>IF(ROUND(H3789-D3789,2)=0,1,0)</f>
        <v/>
      </c>
      <c r="J3789">
        <f>IF(F3789="","none",IF(G3789=1,"carte","multiple"))</f>
        <v/>
      </c>
    </row>
    <row r="3790">
      <c r="A3790" t="inlineStr">
        <is>
          <t>2022-08-06</t>
        </is>
      </c>
      <c r="B3790" t="inlineStr">
        <is>
          <t>20:10</t>
        </is>
      </c>
      <c r="C3790" t="n">
        <v>3025</v>
      </c>
      <c r="D3790" s="6" t="n">
        <v>1.8</v>
      </c>
      <c r="E3790" t="n">
        <v>40743</v>
      </c>
      <c r="F3790" s="6" t="n">
        <v>1.8</v>
      </c>
      <c r="G3790" t="n">
        <v>1</v>
      </c>
      <c r="H3790" s="6">
        <f>ROUND(G3790*F3790,2)</f>
        <v/>
      </c>
      <c r="I3790">
        <f>IF(ROUND(H3790-D3790,2)=0,1,0)</f>
        <v/>
      </c>
      <c r="J3790">
        <f>IF(F3790="","none",IF(G3790=1,"carte","multiple"))</f>
        <v/>
      </c>
    </row>
    <row r="3791">
      <c r="A3791" t="inlineStr">
        <is>
          <t>2022-08-06</t>
        </is>
      </c>
      <c r="B3791" t="inlineStr">
        <is>
          <t>20:10</t>
        </is>
      </c>
      <c r="C3791" t="n">
        <v>3025</v>
      </c>
      <c r="D3791" s="6" t="n">
        <v>1.2</v>
      </c>
      <c r="E3791" t="n">
        <v>40744</v>
      </c>
      <c r="F3791" s="6" t="n">
        <v>1.2</v>
      </c>
      <c r="G3791" t="n">
        <v>1</v>
      </c>
      <c r="H3791" s="6">
        <f>ROUND(G3791*F3791,2)</f>
        <v/>
      </c>
      <c r="I3791">
        <f>IF(ROUND(H3791-D3791,2)=0,1,0)</f>
        <v/>
      </c>
      <c r="J3791">
        <f>IF(F3791="","none",IF(G3791=1,"carte","multiple"))</f>
        <v/>
      </c>
    </row>
    <row r="3792">
      <c r="A3792" t="inlineStr">
        <is>
          <t>2022-08-06</t>
        </is>
      </c>
      <c r="B3792" t="inlineStr">
        <is>
          <t>20:10</t>
        </is>
      </c>
      <c r="C3792" t="n">
        <v>3025</v>
      </c>
      <c r="D3792" s="6" t="n">
        <v>2.9</v>
      </c>
      <c r="E3792" t="n">
        <v>40745</v>
      </c>
      <c r="F3792" s="6" t="n">
        <v>2.9</v>
      </c>
      <c r="G3792" t="n">
        <v>1</v>
      </c>
      <c r="H3792" s="6">
        <f>ROUND(G3792*F3792,2)</f>
        <v/>
      </c>
      <c r="I3792">
        <f>IF(ROUND(H3792-D3792,2)=0,1,0)</f>
        <v/>
      </c>
      <c r="J3792">
        <f>IF(F3792="","none",IF(G3792=1,"carte","multiple"))</f>
        <v/>
      </c>
    </row>
    <row r="3793">
      <c r="A3793" t="inlineStr">
        <is>
          <t>2022-08-06</t>
        </is>
      </c>
      <c r="B3793" t="inlineStr">
        <is>
          <t>20:10</t>
        </is>
      </c>
      <c r="C3793" t="n">
        <v>3025</v>
      </c>
      <c r="D3793" s="6" t="n">
        <v>2</v>
      </c>
      <c r="E3793" t="n">
        <v>40746</v>
      </c>
      <c r="F3793" s="6" t="n">
        <v>2</v>
      </c>
      <c r="G3793" t="n">
        <v>1</v>
      </c>
      <c r="H3793" s="6">
        <f>ROUND(G3793*F3793,2)</f>
        <v/>
      </c>
      <c r="I3793">
        <f>IF(ROUND(H3793-D3793,2)=0,1,0)</f>
        <v/>
      </c>
      <c r="J3793">
        <f>IF(F3793="","none",IF(G3793=1,"carte","multiple"))</f>
        <v/>
      </c>
    </row>
    <row r="3794">
      <c r="A3794" t="inlineStr">
        <is>
          <t>2022-08-06</t>
        </is>
      </c>
      <c r="B3794" t="inlineStr">
        <is>
          <t>20:10</t>
        </is>
      </c>
      <c r="C3794" t="n">
        <v>3025</v>
      </c>
      <c r="D3794" s="6" t="n">
        <v>15.6</v>
      </c>
      <c r="E3794" t="n">
        <v>40747</v>
      </c>
      <c r="F3794" s="6" t="n">
        <v>15.6</v>
      </c>
      <c r="G3794" t="n">
        <v>1</v>
      </c>
      <c r="H3794" s="6">
        <f>ROUND(G3794*F3794,2)</f>
        <v/>
      </c>
      <c r="I3794">
        <f>IF(ROUND(H3794-D3794,2)=0,1,0)</f>
        <v/>
      </c>
      <c r="J3794">
        <f>IF(F3794="","none",IF(G3794=1,"carte","multiple"))</f>
        <v/>
      </c>
    </row>
    <row r="3795">
      <c r="A3795" t="inlineStr">
        <is>
          <t>2022-08-06</t>
        </is>
      </c>
      <c r="B3795" t="inlineStr">
        <is>
          <t>20:10</t>
        </is>
      </c>
      <c r="C3795" t="n">
        <v>3025</v>
      </c>
      <c r="D3795" s="6" t="n">
        <v>19.9</v>
      </c>
      <c r="E3795" t="n">
        <v>40748</v>
      </c>
      <c r="F3795" s="6" t="n">
        <v>19.9</v>
      </c>
      <c r="G3795" t="n">
        <v>1</v>
      </c>
      <c r="H3795" s="6">
        <f>ROUND(G3795*F3795,2)</f>
        <v/>
      </c>
      <c r="I3795">
        <f>IF(ROUND(H3795-D3795,2)=0,1,0)</f>
        <v/>
      </c>
      <c r="J3795">
        <f>IF(F3795="","none",IF(G3795=1,"carte","multiple"))</f>
        <v/>
      </c>
    </row>
    <row r="3796">
      <c r="A3796" t="inlineStr">
        <is>
          <t>2022-08-06</t>
        </is>
      </c>
      <c r="B3796" t="inlineStr">
        <is>
          <t>20:10</t>
        </is>
      </c>
      <c r="C3796" t="n">
        <v>3025</v>
      </c>
      <c r="D3796" s="6" t="n">
        <v>3.9</v>
      </c>
      <c r="E3796" t="n">
        <v>40749</v>
      </c>
      <c r="F3796" s="6" t="n">
        <v>3.9</v>
      </c>
      <c r="G3796" t="n">
        <v>1</v>
      </c>
      <c r="H3796" s="6">
        <f>ROUND(G3796*F3796,2)</f>
        <v/>
      </c>
      <c r="I3796">
        <f>IF(ROUND(H3796-D3796,2)=0,1,0)</f>
        <v/>
      </c>
      <c r="J3796">
        <f>IF(F3796="","none",IF(G3796=1,"carte","multiple"))</f>
        <v/>
      </c>
    </row>
    <row r="3797">
      <c r="A3797" t="inlineStr">
        <is>
          <t>2022-08-06</t>
        </is>
      </c>
      <c r="B3797" t="inlineStr">
        <is>
          <t>20:10</t>
        </is>
      </c>
      <c r="C3797" t="n">
        <v>3025</v>
      </c>
      <c r="D3797" s="6" t="n">
        <v>3.9</v>
      </c>
      <c r="E3797" t="n">
        <v>40750</v>
      </c>
      <c r="F3797" s="6" t="n">
        <v>3.9</v>
      </c>
      <c r="G3797" t="n">
        <v>1</v>
      </c>
      <c r="H3797" s="6">
        <f>ROUND(G3797*F3797,2)</f>
        <v/>
      </c>
      <c r="I3797">
        <f>IF(ROUND(H3797-D3797,2)=0,1,0)</f>
        <v/>
      </c>
      <c r="J3797">
        <f>IF(F3797="","none",IF(G3797=1,"carte","multiple"))</f>
        <v/>
      </c>
    </row>
    <row r="3798">
      <c r="A3798" t="inlineStr">
        <is>
          <t>2022-08-06</t>
        </is>
      </c>
      <c r="B3798" t="inlineStr">
        <is>
          <t>20:54</t>
        </is>
      </c>
      <c r="C3798" t="n">
        <v>3025</v>
      </c>
      <c r="D3798" s="6" t="n">
        <v>4</v>
      </c>
      <c r="E3798" t="n">
        <v>40751</v>
      </c>
      <c r="F3798" s="6" t="n">
        <v>4</v>
      </c>
      <c r="G3798" t="n">
        <v>1</v>
      </c>
      <c r="H3798" s="6">
        <f>ROUND(G3798*F3798,2)</f>
        <v/>
      </c>
      <c r="I3798">
        <f>IF(ROUND(H3798-D3798,2)=0,1,0)</f>
        <v/>
      </c>
      <c r="J3798">
        <f>IF(F3798="","none",IF(G3798=1,"carte","multiple"))</f>
        <v/>
      </c>
    </row>
    <row r="3799">
      <c r="A3799" t="inlineStr">
        <is>
          <t>2022-08-07</t>
        </is>
      </c>
      <c r="B3799" t="inlineStr">
        <is>
          <t>11:35</t>
        </is>
      </c>
      <c r="C3799" t="n">
        <v>3026</v>
      </c>
      <c r="D3799" s="6" t="n">
        <v>8.9</v>
      </c>
      <c r="E3799" t="n">
        <v>40754</v>
      </c>
      <c r="F3799" s="6" t="n">
        <v>8.9</v>
      </c>
      <c r="G3799" t="n">
        <v>1</v>
      </c>
      <c r="H3799" s="6">
        <f>ROUND(G3799*F3799,2)</f>
        <v/>
      </c>
      <c r="I3799">
        <f>IF(ROUND(H3799-D3799,2)=0,1,0)</f>
        <v/>
      </c>
      <c r="J3799">
        <f>IF(F3799="","none",IF(G3799=1,"carte","multiple"))</f>
        <v/>
      </c>
    </row>
    <row r="3800">
      <c r="A3800" t="inlineStr">
        <is>
          <t>2022-08-07</t>
        </is>
      </c>
      <c r="B3800" t="inlineStr">
        <is>
          <t>11:59</t>
        </is>
      </c>
      <c r="C3800" t="n">
        <v>3026</v>
      </c>
      <c r="D3800" s="6" t="n">
        <v>17.4</v>
      </c>
      <c r="E3800" t="n">
        <v>40755</v>
      </c>
      <c r="F3800" s="6" t="n">
        <v>2.9</v>
      </c>
      <c r="G3800" t="n">
        <v>6</v>
      </c>
      <c r="H3800" s="6">
        <f>ROUND(G3800*F3800,2)</f>
        <v/>
      </c>
      <c r="I3800">
        <f>IF(ROUND(H3800-D3800,2)=0,1,0)</f>
        <v/>
      </c>
      <c r="J3800">
        <f>IF(F3800="","none",IF(G3800=1,"carte","multiple"))</f>
        <v/>
      </c>
    </row>
    <row r="3801">
      <c r="A3801" t="inlineStr">
        <is>
          <t>2022-08-07</t>
        </is>
      </c>
      <c r="B3801" t="inlineStr">
        <is>
          <t>11:59</t>
        </is>
      </c>
      <c r="C3801" t="n">
        <v>3026</v>
      </c>
      <c r="D3801" s="6" t="n">
        <v>38</v>
      </c>
      <c r="E3801" t="n">
        <v>40756</v>
      </c>
      <c r="F3801" s="6" t="n">
        <v>0.4</v>
      </c>
      <c r="G3801" t="n">
        <v>95</v>
      </c>
      <c r="H3801" s="6">
        <f>ROUND(G3801*F3801,2)</f>
        <v/>
      </c>
      <c r="I3801">
        <f>IF(ROUND(H3801-D3801,2)=0,1,0)</f>
        <v/>
      </c>
      <c r="J3801">
        <f>IF(F3801="","none",IF(G3801=1,"carte","multiple"))</f>
        <v/>
      </c>
    </row>
    <row r="3802">
      <c r="A3802" t="inlineStr">
        <is>
          <t>2022-08-07</t>
        </is>
      </c>
      <c r="B3802" t="inlineStr">
        <is>
          <t>11:59</t>
        </is>
      </c>
      <c r="C3802" t="n">
        <v>3026</v>
      </c>
      <c r="D3802" s="6" t="n">
        <v>3.9</v>
      </c>
      <c r="E3802" t="n">
        <v>40757</v>
      </c>
      <c r="F3802" s="6" t="n">
        <v>3.9</v>
      </c>
      <c r="G3802" t="n">
        <v>1</v>
      </c>
      <c r="H3802" s="6">
        <f>ROUND(G3802*F3802,2)</f>
        <v/>
      </c>
      <c r="I3802">
        <f>IF(ROUND(H3802-D3802,2)=0,1,0)</f>
        <v/>
      </c>
      <c r="J3802">
        <f>IF(F3802="","none",IF(G3802=1,"carte","multiple"))</f>
        <v/>
      </c>
    </row>
    <row r="3803">
      <c r="A3803" t="inlineStr">
        <is>
          <t>2022-08-07</t>
        </is>
      </c>
      <c r="B3803" t="inlineStr">
        <is>
          <t>11:59</t>
        </is>
      </c>
      <c r="C3803" t="n">
        <v>3026</v>
      </c>
      <c r="D3803" s="6" t="n">
        <v>4.2</v>
      </c>
      <c r="E3803" t="n">
        <v>40758</v>
      </c>
      <c r="F3803" s="6" t="n">
        <v>4.2</v>
      </c>
      <c r="G3803" t="n">
        <v>1</v>
      </c>
      <c r="H3803" s="6">
        <f>ROUND(G3803*F3803,2)</f>
        <v/>
      </c>
      <c r="I3803">
        <f>IF(ROUND(H3803-D3803,2)=0,1,0)</f>
        <v/>
      </c>
      <c r="J3803">
        <f>IF(F3803="","none",IF(G3803=1,"carte","multiple"))</f>
        <v/>
      </c>
    </row>
    <row r="3804">
      <c r="A3804" t="inlineStr">
        <is>
          <t>2022-08-07</t>
        </is>
      </c>
      <c r="B3804" t="inlineStr">
        <is>
          <t>12:03</t>
        </is>
      </c>
      <c r="C3804" t="n">
        <v>3026</v>
      </c>
      <c r="D3804" s="6" t="n">
        <v>7</v>
      </c>
      <c r="E3804" t="n">
        <v>40759</v>
      </c>
      <c r="F3804" s="6" t="n">
        <v>7</v>
      </c>
      <c r="G3804" t="n">
        <v>1</v>
      </c>
      <c r="H3804" s="6">
        <f>ROUND(G3804*F3804,2)</f>
        <v/>
      </c>
      <c r="I3804">
        <f>IF(ROUND(H3804-D3804,2)=0,1,0)</f>
        <v/>
      </c>
      <c r="J3804">
        <f>IF(F3804="","none",IF(G3804=1,"carte","multiple"))</f>
        <v/>
      </c>
    </row>
    <row r="3805">
      <c r="A3805" t="inlineStr">
        <is>
          <t>2022-08-07</t>
        </is>
      </c>
      <c r="B3805" t="inlineStr">
        <is>
          <t>12:03</t>
        </is>
      </c>
      <c r="C3805" t="n">
        <v>3026</v>
      </c>
      <c r="D3805" s="6" t="n">
        <v>6.9</v>
      </c>
      <c r="E3805" t="n">
        <v>40760</v>
      </c>
      <c r="F3805" s="6" t="n">
        <v>6.9</v>
      </c>
      <c r="G3805" t="n">
        <v>1</v>
      </c>
      <c r="H3805" s="6">
        <f>ROUND(G3805*F3805,2)</f>
        <v/>
      </c>
      <c r="I3805">
        <f>IF(ROUND(H3805-D3805,2)=0,1,0)</f>
        <v/>
      </c>
      <c r="J3805">
        <f>IF(F3805="","none",IF(G3805=1,"carte","multiple"))</f>
        <v/>
      </c>
    </row>
    <row r="3806">
      <c r="A3806" t="inlineStr">
        <is>
          <t>2022-08-07</t>
        </is>
      </c>
      <c r="B3806" t="inlineStr">
        <is>
          <t>12:24</t>
        </is>
      </c>
      <c r="C3806" t="n">
        <v>3026</v>
      </c>
      <c r="D3806" s="6" t="n">
        <v>8.800000000000001</v>
      </c>
      <c r="E3806" t="n">
        <v>40761</v>
      </c>
      <c r="F3806" s="6" t="n">
        <v>8.800000000000001</v>
      </c>
      <c r="G3806" t="n">
        <v>1</v>
      </c>
      <c r="H3806" s="6">
        <f>ROUND(G3806*F3806,2)</f>
        <v/>
      </c>
      <c r="I3806">
        <f>IF(ROUND(H3806-D3806,2)=0,1,0)</f>
        <v/>
      </c>
      <c r="J3806">
        <f>IF(F3806="","none",IF(G3806=1,"carte","multiple"))</f>
        <v/>
      </c>
    </row>
    <row r="3807">
      <c r="A3807" t="inlineStr">
        <is>
          <t>2022-08-07</t>
        </is>
      </c>
      <c r="B3807" t="inlineStr">
        <is>
          <t>12:24</t>
        </is>
      </c>
      <c r="C3807" t="n">
        <v>3026</v>
      </c>
      <c r="D3807" s="6" t="n">
        <v>15.6</v>
      </c>
      <c r="E3807" t="n">
        <v>40762</v>
      </c>
      <c r="F3807" s="6" t="n">
        <v>15.6</v>
      </c>
      <c r="G3807" t="n">
        <v>1</v>
      </c>
      <c r="H3807" s="6">
        <f>ROUND(G3807*F3807,2)</f>
        <v/>
      </c>
      <c r="I3807">
        <f>IF(ROUND(H3807-D3807,2)=0,1,0)</f>
        <v/>
      </c>
      <c r="J3807">
        <f>IF(F3807="","none",IF(G3807=1,"carte","multiple"))</f>
        <v/>
      </c>
    </row>
    <row r="3808">
      <c r="A3808" t="inlineStr">
        <is>
          <t>2022-08-07</t>
        </is>
      </c>
      <c r="B3808" t="inlineStr">
        <is>
          <t>12:24</t>
        </is>
      </c>
      <c r="C3808" t="n">
        <v>3026</v>
      </c>
      <c r="D3808" s="6" t="n">
        <v>17.6</v>
      </c>
      <c r="E3808" t="n">
        <v>40763</v>
      </c>
      <c r="F3808" s="6" t="n">
        <v>17.6</v>
      </c>
      <c r="G3808" t="n">
        <v>1</v>
      </c>
      <c r="H3808" s="6">
        <f>ROUND(G3808*F3808,2)</f>
        <v/>
      </c>
      <c r="I3808">
        <f>IF(ROUND(H3808-D3808,2)=0,1,0)</f>
        <v/>
      </c>
      <c r="J3808">
        <f>IF(F3808="","none",IF(G3808=1,"carte","multiple"))</f>
        <v/>
      </c>
    </row>
    <row r="3809">
      <c r="A3809" t="inlineStr">
        <is>
          <t>2022-08-07</t>
        </is>
      </c>
      <c r="B3809" t="inlineStr">
        <is>
          <t>18:29</t>
        </is>
      </c>
      <c r="C3809" t="n">
        <v>3026</v>
      </c>
      <c r="D3809" s="6" t="n">
        <v>19600</v>
      </c>
      <c r="E3809" t="n">
        <v>40765</v>
      </c>
      <c r="F3809" s="6" t="n">
        <v>0.4</v>
      </c>
      <c r="G3809" t="n">
        <v>49000</v>
      </c>
      <c r="H3809" s="6">
        <f>ROUND(G3809*F3809,2)</f>
        <v/>
      </c>
      <c r="I3809">
        <f>IF(ROUND(H3809-D3809,2)=0,1,0)</f>
        <v/>
      </c>
      <c r="J3809">
        <f>IF(F3809="","none",IF(G3809=1,"carte","multiple"))</f>
        <v/>
      </c>
    </row>
    <row r="3810">
      <c r="A3810" t="inlineStr">
        <is>
          <t>2022-08-07</t>
        </is>
      </c>
      <c r="B3810" t="inlineStr">
        <is>
          <t>18:37</t>
        </is>
      </c>
      <c r="C3810" t="n">
        <v>3026</v>
      </c>
      <c r="D3810" s="6" t="n">
        <v>19.6</v>
      </c>
      <c r="E3810" t="n">
        <v>40766</v>
      </c>
      <c r="F3810" s="6" t="n">
        <v>0.4</v>
      </c>
      <c r="G3810" t="n">
        <v>49</v>
      </c>
      <c r="H3810" s="6">
        <f>ROUND(G3810*F3810,2)</f>
        <v/>
      </c>
      <c r="I3810">
        <f>IF(ROUND(H3810-D3810,2)=0,1,0)</f>
        <v/>
      </c>
      <c r="J3810">
        <f>IF(F3810="","none",IF(G3810=1,"carte","multiple"))</f>
        <v/>
      </c>
    </row>
    <row r="3811">
      <c r="A3811" t="inlineStr">
        <is>
          <t>2022-08-07</t>
        </is>
      </c>
      <c r="B3811" t="inlineStr">
        <is>
          <t>18:37</t>
        </is>
      </c>
      <c r="C3811" t="n">
        <v>3026</v>
      </c>
      <c r="D3811" s="6" t="n">
        <v>2.2</v>
      </c>
      <c r="E3811" t="n">
        <v>40767</v>
      </c>
      <c r="F3811" s="6" t="n">
        <v>2.2</v>
      </c>
      <c r="G3811" t="n">
        <v>1</v>
      </c>
      <c r="H3811" s="6">
        <f>ROUND(G3811*F3811,2)</f>
        <v/>
      </c>
      <c r="I3811">
        <f>IF(ROUND(H3811-D3811,2)=0,1,0)</f>
        <v/>
      </c>
      <c r="J3811">
        <f>IF(F3811="","none",IF(G3811=1,"carte","multiple"))</f>
        <v/>
      </c>
    </row>
    <row r="3812">
      <c r="A3812" t="inlineStr">
        <is>
          <t>2022-08-07</t>
        </is>
      </c>
      <c r="B3812" t="inlineStr">
        <is>
          <t>18:55</t>
        </is>
      </c>
      <c r="C3812" t="n">
        <v>3026</v>
      </c>
      <c r="D3812" s="6" t="n">
        <v>2.2</v>
      </c>
      <c r="E3812" t="n">
        <v>40768</v>
      </c>
      <c r="F3812" s="6" t="n">
        <v>2.2</v>
      </c>
      <c r="G3812" t="n">
        <v>1</v>
      </c>
      <c r="H3812" s="6">
        <f>ROUND(G3812*F3812,2)</f>
        <v/>
      </c>
      <c r="I3812">
        <f>IF(ROUND(H3812-D3812,2)=0,1,0)</f>
        <v/>
      </c>
      <c r="J3812">
        <f>IF(F3812="","none",IF(G3812=1,"carte","multiple"))</f>
        <v/>
      </c>
    </row>
    <row r="3813">
      <c r="A3813" t="inlineStr">
        <is>
          <t>2022-08-07</t>
        </is>
      </c>
      <c r="B3813" t="inlineStr">
        <is>
          <t>18:55</t>
        </is>
      </c>
      <c r="C3813" t="n">
        <v>3026</v>
      </c>
      <c r="D3813" s="6" t="n">
        <v>8.1</v>
      </c>
      <c r="E3813" t="n">
        <v>40769</v>
      </c>
      <c r="F3813" s="6" t="n">
        <v>8.1</v>
      </c>
      <c r="G3813" t="n">
        <v>1</v>
      </c>
      <c r="H3813" s="6">
        <f>ROUND(G3813*F3813,2)</f>
        <v/>
      </c>
      <c r="I3813">
        <f>IF(ROUND(H3813-D3813,2)=0,1,0)</f>
        <v/>
      </c>
      <c r="J3813">
        <f>IF(F3813="","none",IF(G3813=1,"carte","multiple"))</f>
        <v/>
      </c>
    </row>
    <row r="3814">
      <c r="A3814" t="inlineStr">
        <is>
          <t>2022-08-07</t>
        </is>
      </c>
      <c r="B3814" t="inlineStr">
        <is>
          <t>18:55</t>
        </is>
      </c>
      <c r="C3814" t="n">
        <v>3026</v>
      </c>
      <c r="D3814" s="6" t="n">
        <v>1.8</v>
      </c>
      <c r="E3814" t="n">
        <v>40770</v>
      </c>
      <c r="F3814" s="6" t="n">
        <v>1.8</v>
      </c>
      <c r="G3814" t="n">
        <v>1</v>
      </c>
      <c r="H3814" s="6">
        <f>ROUND(G3814*F3814,2)</f>
        <v/>
      </c>
      <c r="I3814">
        <f>IF(ROUND(H3814-D3814,2)=0,1,0)</f>
        <v/>
      </c>
      <c r="J3814">
        <f>IF(F3814="","none",IF(G3814=1,"carte","multiple"))</f>
        <v/>
      </c>
    </row>
    <row r="3815">
      <c r="A3815" t="inlineStr">
        <is>
          <t>2022-08-07</t>
        </is>
      </c>
      <c r="B3815" t="inlineStr">
        <is>
          <t>18:55</t>
        </is>
      </c>
      <c r="C3815" t="n">
        <v>3026</v>
      </c>
      <c r="D3815" s="6" t="n">
        <v>3.9</v>
      </c>
      <c r="E3815" t="n">
        <v>40771</v>
      </c>
      <c r="F3815" s="6" t="n">
        <v>3.9</v>
      </c>
      <c r="G3815" t="n">
        <v>1</v>
      </c>
      <c r="H3815" s="6">
        <f>ROUND(G3815*F3815,2)</f>
        <v/>
      </c>
      <c r="I3815">
        <f>IF(ROUND(H3815-D3815,2)=0,1,0)</f>
        <v/>
      </c>
      <c r="J3815">
        <f>IF(F3815="","none",IF(G3815=1,"carte","multiple"))</f>
        <v/>
      </c>
    </row>
    <row r="3816">
      <c r="A3816" t="inlineStr">
        <is>
          <t>2022-08-07</t>
        </is>
      </c>
      <c r="B3816" t="inlineStr">
        <is>
          <t>18:55</t>
        </is>
      </c>
      <c r="C3816" t="n">
        <v>3026</v>
      </c>
      <c r="D3816" s="6" t="n">
        <v>17.6</v>
      </c>
      <c r="E3816" t="n">
        <v>40772</v>
      </c>
      <c r="F3816" s="6" t="n">
        <v>17.6</v>
      </c>
      <c r="G3816" t="n">
        <v>1</v>
      </c>
      <c r="H3816" s="6">
        <f>ROUND(G3816*F3816,2)</f>
        <v/>
      </c>
      <c r="I3816">
        <f>IF(ROUND(H3816-D3816,2)=0,1,0)</f>
        <v/>
      </c>
      <c r="J3816">
        <f>IF(F3816="","none",IF(G3816=1,"carte","multiple"))</f>
        <v/>
      </c>
    </row>
    <row r="3817">
      <c r="A3817" t="inlineStr">
        <is>
          <t>2022-08-07</t>
        </is>
      </c>
      <c r="B3817" t="inlineStr">
        <is>
          <t>18:55</t>
        </is>
      </c>
      <c r="C3817" t="n">
        <v>3026</v>
      </c>
      <c r="D3817" s="6" t="n">
        <v>19</v>
      </c>
      <c r="E3817" t="n">
        <v>40773</v>
      </c>
      <c r="F3817" s="6" t="n">
        <v>19</v>
      </c>
      <c r="G3817" t="n">
        <v>1</v>
      </c>
      <c r="H3817" s="6">
        <f>ROUND(G3817*F3817,2)</f>
        <v/>
      </c>
      <c r="I3817">
        <f>IF(ROUND(H3817-D3817,2)=0,1,0)</f>
        <v/>
      </c>
      <c r="J3817">
        <f>IF(F3817="","none",IF(G3817=1,"carte","multiple"))</f>
        <v/>
      </c>
    </row>
    <row r="3818">
      <c r="A3818" t="inlineStr">
        <is>
          <t>2022-08-07</t>
        </is>
      </c>
      <c r="B3818" t="inlineStr">
        <is>
          <t>18:55</t>
        </is>
      </c>
      <c r="C3818" t="n">
        <v>3026</v>
      </c>
      <c r="D3818" s="6" t="n">
        <v>9.800000000000001</v>
      </c>
      <c r="E3818" t="n">
        <v>40774</v>
      </c>
      <c r="F3818" s="6" t="n">
        <v>9.800000000000001</v>
      </c>
      <c r="G3818" t="n">
        <v>1</v>
      </c>
      <c r="H3818" s="6">
        <f>ROUND(G3818*F3818,2)</f>
        <v/>
      </c>
      <c r="I3818">
        <f>IF(ROUND(H3818-D3818,2)=0,1,0)</f>
        <v/>
      </c>
      <c r="J3818">
        <f>IF(F3818="","none",IF(G3818=1,"carte","multiple"))</f>
        <v/>
      </c>
    </row>
    <row r="3819">
      <c r="A3819" t="inlineStr">
        <is>
          <t>2022-08-07</t>
        </is>
      </c>
      <c r="B3819" t="inlineStr">
        <is>
          <t>19:38</t>
        </is>
      </c>
      <c r="C3819" t="n">
        <v>3026</v>
      </c>
      <c r="D3819" s="6" t="n">
        <v>3.9</v>
      </c>
      <c r="E3819" t="n">
        <v>40775</v>
      </c>
      <c r="F3819" s="6" t="n">
        <v>3.9</v>
      </c>
      <c r="G3819" t="n">
        <v>1</v>
      </c>
      <c r="H3819" s="6">
        <f>ROUND(G3819*F3819,2)</f>
        <v/>
      </c>
      <c r="I3819">
        <f>IF(ROUND(H3819-D3819,2)=0,1,0)</f>
        <v/>
      </c>
      <c r="J3819">
        <f>IF(F3819="","none",IF(G3819=1,"carte","multiple"))</f>
        <v/>
      </c>
    </row>
    <row r="3820">
      <c r="A3820" t="inlineStr">
        <is>
          <t>2022-08-07</t>
        </is>
      </c>
      <c r="B3820" t="inlineStr">
        <is>
          <t>19:50</t>
        </is>
      </c>
      <c r="C3820" t="n">
        <v>3026</v>
      </c>
      <c r="D3820" s="6" t="n">
        <v>3.6</v>
      </c>
      <c r="E3820" t="n">
        <v>40776</v>
      </c>
      <c r="F3820" s="6" t="n">
        <v>3.6</v>
      </c>
      <c r="G3820" t="n">
        <v>1</v>
      </c>
      <c r="H3820" s="6">
        <f>ROUND(G3820*F3820,2)</f>
        <v/>
      </c>
      <c r="I3820">
        <f>IF(ROUND(H3820-D3820,2)=0,1,0)</f>
        <v/>
      </c>
      <c r="J3820">
        <f>IF(F3820="","none",IF(G3820=1,"carte","multiple"))</f>
        <v/>
      </c>
    </row>
    <row r="3821">
      <c r="A3821" t="inlineStr">
        <is>
          <t>2022-08-07</t>
        </is>
      </c>
      <c r="B3821" t="inlineStr">
        <is>
          <t>19:58</t>
        </is>
      </c>
      <c r="C3821" t="n">
        <v>3026</v>
      </c>
      <c r="D3821" s="6" t="n">
        <v>23.2</v>
      </c>
      <c r="E3821" t="n">
        <v>40777</v>
      </c>
      <c r="F3821" s="6" t="n">
        <v>0.4</v>
      </c>
      <c r="G3821" t="n">
        <v>58</v>
      </c>
      <c r="H3821" s="6">
        <f>ROUND(G3821*F3821,2)</f>
        <v/>
      </c>
      <c r="I3821">
        <f>IF(ROUND(H3821-D3821,2)=0,1,0)</f>
        <v/>
      </c>
      <c r="J3821">
        <f>IF(F3821="","none",IF(G3821=1,"carte","multiple"))</f>
        <v/>
      </c>
    </row>
    <row r="3822">
      <c r="A3822" t="inlineStr">
        <is>
          <t>2022-08-07</t>
        </is>
      </c>
      <c r="B3822" t="inlineStr">
        <is>
          <t>19:58</t>
        </is>
      </c>
      <c r="C3822" t="n">
        <v>3026</v>
      </c>
      <c r="D3822" s="6" t="n">
        <v>8.800000000000001</v>
      </c>
      <c r="E3822" t="n">
        <v>40778</v>
      </c>
      <c r="F3822" s="6" t="n">
        <v>8.800000000000001</v>
      </c>
      <c r="G3822" t="n">
        <v>1</v>
      </c>
      <c r="H3822" s="6">
        <f>ROUND(G3822*F3822,2)</f>
        <v/>
      </c>
      <c r="I3822">
        <f>IF(ROUND(H3822-D3822,2)=0,1,0)</f>
        <v/>
      </c>
      <c r="J3822">
        <f>IF(F3822="","none",IF(G3822=1,"carte","multiple"))</f>
        <v/>
      </c>
    </row>
    <row r="3823">
      <c r="A3823" t="inlineStr">
        <is>
          <t>2022-08-07</t>
        </is>
      </c>
      <c r="B3823" t="inlineStr">
        <is>
          <t>19:58</t>
        </is>
      </c>
      <c r="C3823" t="n">
        <v>3026</v>
      </c>
      <c r="D3823" s="6" t="n">
        <v>29.8</v>
      </c>
      <c r="E3823" t="n">
        <v>40779</v>
      </c>
      <c r="F3823" s="6" t="n">
        <v>14.9</v>
      </c>
      <c r="G3823" t="n">
        <v>2</v>
      </c>
      <c r="H3823" s="6">
        <f>ROUND(G3823*F3823,2)</f>
        <v/>
      </c>
      <c r="I3823">
        <f>IF(ROUND(H3823-D3823,2)=0,1,0)</f>
        <v/>
      </c>
      <c r="J3823">
        <f>IF(F3823="","none",IF(G3823=1,"carte","multiple"))</f>
        <v/>
      </c>
    </row>
    <row r="3824">
      <c r="A3824" t="inlineStr">
        <is>
          <t>2022-08-07</t>
        </is>
      </c>
      <c r="B3824" t="inlineStr">
        <is>
          <t>20:25</t>
        </is>
      </c>
      <c r="C3824" t="n">
        <v>3026</v>
      </c>
      <c r="D3824" s="6" t="n">
        <v>4.7</v>
      </c>
      <c r="E3824" t="n">
        <v>40780</v>
      </c>
      <c r="F3824" s="6" t="n">
        <v>4.7</v>
      </c>
      <c r="G3824" t="n">
        <v>1</v>
      </c>
      <c r="H3824" s="6">
        <f>ROUND(G3824*F3824,2)</f>
        <v/>
      </c>
      <c r="I3824">
        <f>IF(ROUND(H3824-D3824,2)=0,1,0)</f>
        <v/>
      </c>
      <c r="J3824">
        <f>IF(F3824="","none",IF(G3824=1,"carte","multiple"))</f>
        <v/>
      </c>
    </row>
    <row r="3825">
      <c r="A3825" t="inlineStr">
        <is>
          <t>2022-08-07</t>
        </is>
      </c>
      <c r="B3825" t="inlineStr">
        <is>
          <t>20:25</t>
        </is>
      </c>
      <c r="C3825" t="n">
        <v>3026</v>
      </c>
      <c r="D3825" s="6" t="n">
        <v>7.5</v>
      </c>
      <c r="E3825" t="n">
        <v>40781</v>
      </c>
      <c r="F3825" s="6" t="n">
        <v>7.5</v>
      </c>
      <c r="G3825" t="n">
        <v>1</v>
      </c>
      <c r="H3825" s="6">
        <f>ROUND(G3825*F3825,2)</f>
        <v/>
      </c>
      <c r="I3825">
        <f>IF(ROUND(H3825-D3825,2)=0,1,0)</f>
        <v/>
      </c>
      <c r="J3825">
        <f>IF(F3825="","none",IF(G3825=1,"carte","multiple"))</f>
        <v/>
      </c>
    </row>
    <row r="3826">
      <c r="A3826" t="inlineStr">
        <is>
          <t>2022-08-07</t>
        </is>
      </c>
      <c r="B3826" t="inlineStr">
        <is>
          <t>20:25</t>
        </is>
      </c>
      <c r="C3826" t="n">
        <v>3026</v>
      </c>
      <c r="D3826" s="6" t="n">
        <v>17.6</v>
      </c>
      <c r="E3826" t="n">
        <v>40782</v>
      </c>
      <c r="F3826" s="6" t="n">
        <v>17.6</v>
      </c>
      <c r="G3826" t="n">
        <v>1</v>
      </c>
      <c r="H3826" s="6">
        <f>ROUND(G3826*F3826,2)</f>
        <v/>
      </c>
      <c r="I3826">
        <f>IF(ROUND(H3826-D3826,2)=0,1,0)</f>
        <v/>
      </c>
      <c r="J3826">
        <f>IF(F3826="","none",IF(G3826=1,"carte","multiple"))</f>
        <v/>
      </c>
    </row>
    <row r="3827">
      <c r="A3827" t="inlineStr">
        <is>
          <t>2022-08-07</t>
        </is>
      </c>
      <c r="B3827" t="inlineStr">
        <is>
          <t>20:25</t>
        </is>
      </c>
      <c r="C3827" t="n">
        <v>3026</v>
      </c>
      <c r="D3827" s="6" t="n">
        <v>19.9</v>
      </c>
      <c r="E3827" t="n">
        <v>40783</v>
      </c>
      <c r="F3827" s="6" t="n">
        <v>19.9</v>
      </c>
      <c r="G3827" t="n">
        <v>1</v>
      </c>
      <c r="H3827" s="6">
        <f>ROUND(G3827*F3827,2)</f>
        <v/>
      </c>
      <c r="I3827">
        <f>IF(ROUND(H3827-D3827,2)=0,1,0)</f>
        <v/>
      </c>
      <c r="J3827">
        <f>IF(F3827="","none",IF(G3827=1,"carte","multiple"))</f>
        <v/>
      </c>
    </row>
    <row r="3828">
      <c r="A3828" t="inlineStr">
        <is>
          <t>2022-08-07</t>
        </is>
      </c>
      <c r="B3828" t="inlineStr">
        <is>
          <t>20:25</t>
        </is>
      </c>
      <c r="C3828" t="n">
        <v>3026</v>
      </c>
      <c r="D3828" s="6" t="n">
        <v>29.7</v>
      </c>
      <c r="E3828" t="n">
        <v>40784</v>
      </c>
      <c r="F3828" s="6" t="n">
        <v>0.9</v>
      </c>
      <c r="G3828" t="n">
        <v>33</v>
      </c>
      <c r="H3828" s="6">
        <f>ROUND(G3828*F3828,2)</f>
        <v/>
      </c>
      <c r="I3828">
        <f>IF(ROUND(H3828-D3828,2)=0,1,0)</f>
        <v/>
      </c>
      <c r="J3828">
        <f>IF(F3828="","none",IF(G3828=1,"carte","multiple"))</f>
        <v/>
      </c>
    </row>
    <row r="3829">
      <c r="A3829" t="inlineStr">
        <is>
          <t>2022-08-07</t>
        </is>
      </c>
      <c r="B3829" t="inlineStr">
        <is>
          <t>20:34</t>
        </is>
      </c>
      <c r="C3829" t="n">
        <v>3026</v>
      </c>
      <c r="D3829" s="6" t="n">
        <v>8.699999999999999</v>
      </c>
      <c r="E3829" t="n">
        <v>40785</v>
      </c>
      <c r="F3829" s="6" t="n">
        <v>8.699999999999999</v>
      </c>
      <c r="G3829" t="n">
        <v>1</v>
      </c>
      <c r="H3829" s="6">
        <f>ROUND(G3829*F3829,2)</f>
        <v/>
      </c>
      <c r="I3829">
        <f>IF(ROUND(H3829-D3829,2)=0,1,0)</f>
        <v/>
      </c>
      <c r="J3829">
        <f>IF(F3829="","none",IF(G3829=1,"carte","multiple"))</f>
        <v/>
      </c>
    </row>
    <row r="3830">
      <c r="A3830" t="inlineStr">
        <is>
          <t>2022-08-07</t>
        </is>
      </c>
      <c r="B3830" t="inlineStr">
        <is>
          <t>20:34</t>
        </is>
      </c>
      <c r="C3830" t="n">
        <v>3026</v>
      </c>
      <c r="D3830" s="6" t="n">
        <v>7.9</v>
      </c>
      <c r="E3830" t="n">
        <v>40786</v>
      </c>
      <c r="F3830" s="6" t="n">
        <v>7.9</v>
      </c>
      <c r="G3830" t="n">
        <v>1</v>
      </c>
      <c r="H3830" s="6">
        <f>ROUND(G3830*F3830,2)</f>
        <v/>
      </c>
      <c r="I3830">
        <f>IF(ROUND(H3830-D3830,2)=0,1,0)</f>
        <v/>
      </c>
      <c r="J3830">
        <f>IF(F3830="","none",IF(G3830=1,"carte","multiple"))</f>
        <v/>
      </c>
    </row>
    <row r="3831">
      <c r="A3831" t="inlineStr">
        <is>
          <t>2022-08-07</t>
        </is>
      </c>
      <c r="B3831" t="inlineStr">
        <is>
          <t>20:34</t>
        </is>
      </c>
      <c r="C3831" t="n">
        <v>3026</v>
      </c>
      <c r="D3831" s="6" t="n">
        <v>17.6</v>
      </c>
      <c r="E3831" t="n">
        <v>40787</v>
      </c>
      <c r="F3831" s="6" t="n">
        <v>17.6</v>
      </c>
      <c r="G3831" t="n">
        <v>1</v>
      </c>
      <c r="H3831" s="6">
        <f>ROUND(G3831*F3831,2)</f>
        <v/>
      </c>
      <c r="I3831">
        <f>IF(ROUND(H3831-D3831,2)=0,1,0)</f>
        <v/>
      </c>
      <c r="J3831">
        <f>IF(F3831="","none",IF(G3831=1,"carte","multiple"))</f>
        <v/>
      </c>
    </row>
    <row r="3832">
      <c r="A3832" t="inlineStr">
        <is>
          <t>2022-08-07</t>
        </is>
      </c>
      <c r="B3832" t="inlineStr">
        <is>
          <t>20:34</t>
        </is>
      </c>
      <c r="C3832" t="n">
        <v>3026</v>
      </c>
      <c r="D3832" s="6" t="n">
        <v>17.6</v>
      </c>
      <c r="E3832" t="n">
        <v>40788</v>
      </c>
      <c r="F3832" s="6" t="n">
        <v>17.6</v>
      </c>
      <c r="G3832" t="n">
        <v>1</v>
      </c>
      <c r="H3832" s="6">
        <f>ROUND(G3832*F3832,2)</f>
        <v/>
      </c>
      <c r="I3832">
        <f>IF(ROUND(H3832-D3832,2)=0,1,0)</f>
        <v/>
      </c>
      <c r="J3832">
        <f>IF(F3832="","none",IF(G3832=1,"carte","multiple"))</f>
        <v/>
      </c>
    </row>
    <row r="3833">
      <c r="A3833" t="inlineStr">
        <is>
          <t>2022-08-07</t>
        </is>
      </c>
      <c r="B3833" t="inlineStr">
        <is>
          <t>20:34</t>
        </is>
      </c>
      <c r="C3833" t="n">
        <v>3026</v>
      </c>
      <c r="D3833" s="6" t="n">
        <v>8.9</v>
      </c>
      <c r="E3833" t="n">
        <v>40789</v>
      </c>
      <c r="F3833" s="6" t="n">
        <v>8.9</v>
      </c>
      <c r="G3833" t="n">
        <v>1</v>
      </c>
      <c r="H3833" s="6">
        <f>ROUND(G3833*F3833,2)</f>
        <v/>
      </c>
      <c r="I3833">
        <f>IF(ROUND(H3833-D3833,2)=0,1,0)</f>
        <v/>
      </c>
      <c r="J3833">
        <f>IF(F3833="","none",IF(G3833=1,"carte","multiple"))</f>
        <v/>
      </c>
    </row>
    <row r="3834">
      <c r="A3834" t="inlineStr">
        <is>
          <t>2022-08-07</t>
        </is>
      </c>
      <c r="B3834" t="inlineStr">
        <is>
          <t>20:34</t>
        </is>
      </c>
      <c r="C3834" t="n">
        <v>3026</v>
      </c>
      <c r="D3834" s="6" t="n">
        <v>5.2</v>
      </c>
      <c r="E3834" t="n">
        <v>40790</v>
      </c>
      <c r="F3834" s="6" t="n">
        <v>5.2</v>
      </c>
      <c r="G3834" t="n">
        <v>1</v>
      </c>
      <c r="H3834" s="6">
        <f>ROUND(G3834*F3834,2)</f>
        <v/>
      </c>
      <c r="I3834">
        <f>IF(ROUND(H3834-D3834,2)=0,1,0)</f>
        <v/>
      </c>
      <c r="J3834">
        <f>IF(F3834="","none",IF(G3834=1,"carte","multiple"))</f>
        <v/>
      </c>
    </row>
    <row r="3835">
      <c r="A3835" t="inlineStr">
        <is>
          <t>2022-08-07</t>
        </is>
      </c>
      <c r="B3835" t="inlineStr">
        <is>
          <t>20:37</t>
        </is>
      </c>
      <c r="C3835" t="n">
        <v>3026</v>
      </c>
      <c r="D3835" s="6" t="n">
        <v>17.6</v>
      </c>
      <c r="E3835" t="n">
        <v>40791</v>
      </c>
      <c r="F3835" s="6" t="n">
        <v>17.6</v>
      </c>
      <c r="G3835" t="n">
        <v>1</v>
      </c>
      <c r="H3835" s="6">
        <f>ROUND(G3835*F3835,2)</f>
        <v/>
      </c>
      <c r="I3835">
        <f>IF(ROUND(H3835-D3835,2)=0,1,0)</f>
        <v/>
      </c>
      <c r="J3835">
        <f>IF(F3835="","none",IF(G3835=1,"carte","multiple"))</f>
        <v/>
      </c>
    </row>
    <row r="3836">
      <c r="A3836" t="inlineStr">
        <is>
          <t>2022-08-07</t>
        </is>
      </c>
      <c r="B3836" t="inlineStr">
        <is>
          <t>20:37</t>
        </is>
      </c>
      <c r="C3836" t="n">
        <v>3026</v>
      </c>
      <c r="D3836" s="6" t="n">
        <v>17.6</v>
      </c>
      <c r="E3836" t="n">
        <v>40792</v>
      </c>
      <c r="F3836" s="6" t="n">
        <v>17.6</v>
      </c>
      <c r="G3836" t="n">
        <v>1</v>
      </c>
      <c r="H3836" s="6">
        <f>ROUND(G3836*F3836,2)</f>
        <v/>
      </c>
      <c r="I3836">
        <f>IF(ROUND(H3836-D3836,2)=0,1,0)</f>
        <v/>
      </c>
      <c r="J3836">
        <f>IF(F3836="","none",IF(G3836=1,"carte","multiple"))</f>
        <v/>
      </c>
    </row>
    <row r="3837">
      <c r="A3837" t="inlineStr">
        <is>
          <t>2022-08-07</t>
        </is>
      </c>
      <c r="B3837" t="inlineStr">
        <is>
          <t>20:37</t>
        </is>
      </c>
      <c r="C3837" t="n">
        <v>3026</v>
      </c>
      <c r="D3837" s="6" t="n">
        <v>14.4</v>
      </c>
      <c r="E3837" t="n">
        <v>40793</v>
      </c>
      <c r="F3837" s="6" t="n">
        <v>0.4</v>
      </c>
      <c r="G3837" t="n">
        <v>36</v>
      </c>
      <c r="H3837" s="6">
        <f>ROUND(G3837*F3837,2)</f>
        <v/>
      </c>
      <c r="I3837">
        <f>IF(ROUND(H3837-D3837,2)=0,1,0)</f>
        <v/>
      </c>
      <c r="J3837">
        <f>IF(F3837="","none",IF(G3837=1,"carte","multiple"))</f>
        <v/>
      </c>
    </row>
    <row r="3838">
      <c r="A3838" t="inlineStr">
        <is>
          <t>2022-08-07</t>
        </is>
      </c>
      <c r="B3838" t="inlineStr">
        <is>
          <t>20:37</t>
        </is>
      </c>
      <c r="C3838" t="n">
        <v>3026</v>
      </c>
      <c r="D3838" s="6" t="n">
        <v>6</v>
      </c>
      <c r="E3838" t="n">
        <v>40794</v>
      </c>
      <c r="F3838" s="6" t="n">
        <v>6</v>
      </c>
      <c r="G3838" t="n">
        <v>1</v>
      </c>
      <c r="H3838" s="6">
        <f>ROUND(G3838*F3838,2)</f>
        <v/>
      </c>
      <c r="I3838">
        <f>IF(ROUND(H3838-D3838,2)=0,1,0)</f>
        <v/>
      </c>
      <c r="J3838">
        <f>IF(F3838="","none",IF(G3838=1,"carte","multiple"))</f>
        <v/>
      </c>
    </row>
    <row r="3839">
      <c r="A3839" t="inlineStr">
        <is>
          <t>2022-08-07</t>
        </is>
      </c>
      <c r="B3839" t="inlineStr">
        <is>
          <t>20:37</t>
        </is>
      </c>
      <c r="C3839" t="n">
        <v>3026</v>
      </c>
      <c r="D3839" s="6" t="n">
        <v>5.2</v>
      </c>
      <c r="E3839" t="n">
        <v>40795</v>
      </c>
      <c r="F3839" s="6" t="n">
        <v>5.2</v>
      </c>
      <c r="G3839" t="n">
        <v>1</v>
      </c>
      <c r="H3839" s="6">
        <f>ROUND(G3839*F3839,2)</f>
        <v/>
      </c>
      <c r="I3839">
        <f>IF(ROUND(H3839-D3839,2)=0,1,0)</f>
        <v/>
      </c>
      <c r="J3839">
        <f>IF(F3839="","none",IF(G3839=1,"carte","multiple"))</f>
        <v/>
      </c>
    </row>
    <row r="3840">
      <c r="A3840" t="inlineStr">
        <is>
          <t>2022-08-09</t>
        </is>
      </c>
      <c r="B3840" t="inlineStr">
        <is>
          <t>11:02</t>
        </is>
      </c>
      <c r="C3840" t="n">
        <v>3027</v>
      </c>
      <c r="D3840" s="6" t="n">
        <v>17.6</v>
      </c>
      <c r="E3840" t="n">
        <v>40798</v>
      </c>
      <c r="F3840" s="6" t="n">
        <v>17.6</v>
      </c>
      <c r="G3840" t="n">
        <v>1</v>
      </c>
      <c r="H3840" s="6">
        <f>ROUND(G3840*F3840,2)</f>
        <v/>
      </c>
      <c r="I3840">
        <f>IF(ROUND(H3840-D3840,2)=0,1,0)</f>
        <v/>
      </c>
      <c r="J3840">
        <f>IF(F3840="","none",IF(G3840=1,"carte","multiple"))</f>
        <v/>
      </c>
    </row>
    <row r="3841">
      <c r="A3841" t="inlineStr">
        <is>
          <t>2022-08-09</t>
        </is>
      </c>
      <c r="B3841" t="inlineStr">
        <is>
          <t>11:13</t>
        </is>
      </c>
      <c r="C3841" t="n">
        <v>3027</v>
      </c>
      <c r="D3841" s="6" t="n">
        <v>18.6</v>
      </c>
      <c r="E3841" t="n">
        <v>40799</v>
      </c>
      <c r="F3841" s="6" t="n">
        <v>18.6</v>
      </c>
      <c r="G3841" t="n">
        <v>1</v>
      </c>
      <c r="H3841" s="6">
        <f>ROUND(G3841*F3841,2)</f>
        <v/>
      </c>
      <c r="I3841">
        <f>IF(ROUND(H3841-D3841,2)=0,1,0)</f>
        <v/>
      </c>
      <c r="J3841">
        <f>IF(F3841="","none",IF(G3841=1,"carte","multiple"))</f>
        <v/>
      </c>
    </row>
    <row r="3842">
      <c r="A3842" t="inlineStr">
        <is>
          <t>2022-08-09</t>
        </is>
      </c>
      <c r="B3842" t="inlineStr">
        <is>
          <t>11:13</t>
        </is>
      </c>
      <c r="C3842" t="n">
        <v>3027</v>
      </c>
      <c r="D3842" s="6" t="n">
        <v>16.8</v>
      </c>
      <c r="E3842" t="n">
        <v>40800</v>
      </c>
      <c r="F3842" s="6" t="n">
        <v>16.8</v>
      </c>
      <c r="G3842" t="n">
        <v>1</v>
      </c>
      <c r="H3842" s="6">
        <f>ROUND(G3842*F3842,2)</f>
        <v/>
      </c>
      <c r="I3842">
        <f>IF(ROUND(H3842-D3842,2)=0,1,0)</f>
        <v/>
      </c>
      <c r="J3842">
        <f>IF(F3842="","none",IF(G3842=1,"carte","multiple"))</f>
        <v/>
      </c>
    </row>
    <row r="3843">
      <c r="A3843" t="inlineStr">
        <is>
          <t>2022-08-09</t>
        </is>
      </c>
      <c r="B3843" t="inlineStr">
        <is>
          <t>11:13</t>
        </is>
      </c>
      <c r="C3843" t="n">
        <v>3027</v>
      </c>
      <c r="D3843" s="6" t="n">
        <v>7.9</v>
      </c>
      <c r="E3843" t="n">
        <v>40801</v>
      </c>
      <c r="F3843" s="6" t="n">
        <v>7.9</v>
      </c>
      <c r="G3843" t="n">
        <v>1</v>
      </c>
      <c r="H3843" s="6">
        <f>ROUND(G3843*F3843,2)</f>
        <v/>
      </c>
      <c r="I3843">
        <f>IF(ROUND(H3843-D3843,2)=0,1,0)</f>
        <v/>
      </c>
      <c r="J3843">
        <f>IF(F3843="","none",IF(G3843=1,"carte","multiple"))</f>
        <v/>
      </c>
    </row>
    <row r="3844">
      <c r="A3844" t="inlineStr">
        <is>
          <t>2022-08-09</t>
        </is>
      </c>
      <c r="B3844" t="inlineStr">
        <is>
          <t>11:13</t>
        </is>
      </c>
      <c r="C3844" t="n">
        <v>3027</v>
      </c>
      <c r="D3844" s="6" t="n">
        <v>3.9</v>
      </c>
      <c r="E3844" t="n">
        <v>40802</v>
      </c>
      <c r="F3844" s="6" t="n">
        <v>3.9</v>
      </c>
      <c r="G3844" t="n">
        <v>1</v>
      </c>
      <c r="H3844" s="6">
        <f>ROUND(G3844*F3844,2)</f>
        <v/>
      </c>
      <c r="I3844">
        <f>IF(ROUND(H3844-D3844,2)=0,1,0)</f>
        <v/>
      </c>
      <c r="J3844">
        <f>IF(F3844="","none",IF(G3844=1,"carte","multiple"))</f>
        <v/>
      </c>
    </row>
    <row r="3845">
      <c r="A3845" t="inlineStr">
        <is>
          <t>2022-08-09</t>
        </is>
      </c>
      <c r="B3845" t="inlineStr">
        <is>
          <t>11:24</t>
        </is>
      </c>
      <c r="C3845" t="n">
        <v>3027</v>
      </c>
      <c r="D3845" s="6" t="n">
        <v>3.9</v>
      </c>
      <c r="E3845" t="n">
        <v>40803</v>
      </c>
      <c r="F3845" s="6" t="n">
        <v>3.9</v>
      </c>
      <c r="G3845" t="n">
        <v>1</v>
      </c>
      <c r="H3845" s="6">
        <f>ROUND(G3845*F3845,2)</f>
        <v/>
      </c>
      <c r="I3845">
        <f>IF(ROUND(H3845-D3845,2)=0,1,0)</f>
        <v/>
      </c>
      <c r="J3845">
        <f>IF(F3845="","none",IF(G3845=1,"carte","multiple"))</f>
        <v/>
      </c>
    </row>
    <row r="3846">
      <c r="A3846" t="inlineStr">
        <is>
          <t>2022-08-09</t>
        </is>
      </c>
      <c r="B3846" t="inlineStr">
        <is>
          <t>11:24</t>
        </is>
      </c>
      <c r="C3846" t="n">
        <v>3027</v>
      </c>
      <c r="D3846" s="6" t="n">
        <v>4</v>
      </c>
      <c r="E3846" t="n">
        <v>40804</v>
      </c>
      <c r="F3846" s="6" t="n">
        <v>4</v>
      </c>
      <c r="G3846" t="n">
        <v>1</v>
      </c>
      <c r="H3846" s="6">
        <f>ROUND(G3846*F3846,2)</f>
        <v/>
      </c>
      <c r="I3846">
        <f>IF(ROUND(H3846-D3846,2)=0,1,0)</f>
        <v/>
      </c>
      <c r="J3846">
        <f>IF(F3846="","none",IF(G3846=1,"carte","multiple"))</f>
        <v/>
      </c>
    </row>
    <row r="3847">
      <c r="A3847" t="inlineStr">
        <is>
          <t>2022-08-09</t>
        </is>
      </c>
      <c r="B3847" t="inlineStr">
        <is>
          <t>11:25</t>
        </is>
      </c>
      <c r="C3847" t="n">
        <v>3027</v>
      </c>
      <c r="D3847" s="6" t="n">
        <v>19.9</v>
      </c>
      <c r="E3847" t="n">
        <v>40805</v>
      </c>
      <c r="F3847" s="6" t="n">
        <v>19.9</v>
      </c>
      <c r="G3847" t="n">
        <v>1</v>
      </c>
      <c r="H3847" s="6">
        <f>ROUND(G3847*F3847,2)</f>
        <v/>
      </c>
      <c r="I3847">
        <f>IF(ROUND(H3847-D3847,2)=0,1,0)</f>
        <v/>
      </c>
      <c r="J3847">
        <f>IF(F3847="","none",IF(G3847=1,"carte","multiple"))</f>
        <v/>
      </c>
    </row>
    <row r="3848">
      <c r="A3848" t="inlineStr">
        <is>
          <t>2022-08-09</t>
        </is>
      </c>
      <c r="B3848" t="inlineStr">
        <is>
          <t>11:39</t>
        </is>
      </c>
      <c r="C3848" t="n">
        <v>3027</v>
      </c>
      <c r="D3848" s="6" t="n">
        <v>3.9</v>
      </c>
      <c r="E3848" t="n">
        <v>40806</v>
      </c>
      <c r="F3848" s="6" t="n">
        <v>3.9</v>
      </c>
      <c r="G3848" t="n">
        <v>1</v>
      </c>
      <c r="H3848" s="6">
        <f>ROUND(G3848*F3848,2)</f>
        <v/>
      </c>
      <c r="I3848">
        <f>IF(ROUND(H3848-D3848,2)=0,1,0)</f>
        <v/>
      </c>
      <c r="J3848">
        <f>IF(F3848="","none",IF(G3848=1,"carte","multiple"))</f>
        <v/>
      </c>
    </row>
    <row r="3849">
      <c r="A3849" t="inlineStr">
        <is>
          <t>2022-08-09</t>
        </is>
      </c>
      <c r="B3849" t="inlineStr">
        <is>
          <t>11:42</t>
        </is>
      </c>
      <c r="C3849" t="n">
        <v>3027</v>
      </c>
      <c r="D3849" s="6" t="n">
        <v>7.5</v>
      </c>
      <c r="E3849" t="n">
        <v>40807</v>
      </c>
      <c r="F3849" s="6" t="n">
        <v>7.5</v>
      </c>
      <c r="G3849" t="n">
        <v>1</v>
      </c>
      <c r="H3849" s="6">
        <f>ROUND(G3849*F3849,2)</f>
        <v/>
      </c>
      <c r="I3849">
        <f>IF(ROUND(H3849-D3849,2)=0,1,0)</f>
        <v/>
      </c>
      <c r="J3849">
        <f>IF(F3849="","none",IF(G3849=1,"carte","multiple"))</f>
        <v/>
      </c>
    </row>
    <row r="3850">
      <c r="A3850" t="inlineStr">
        <is>
          <t>2022-08-09</t>
        </is>
      </c>
      <c r="B3850" t="inlineStr">
        <is>
          <t>11:42</t>
        </is>
      </c>
      <c r="C3850" t="n">
        <v>3027</v>
      </c>
      <c r="D3850" s="6" t="n">
        <v>8.1</v>
      </c>
      <c r="E3850" t="n">
        <v>40808</v>
      </c>
      <c r="F3850" s="6" t="n">
        <v>8.1</v>
      </c>
      <c r="G3850" t="n">
        <v>1</v>
      </c>
      <c r="H3850" s="6">
        <f>ROUND(G3850*F3850,2)</f>
        <v/>
      </c>
      <c r="I3850">
        <f>IF(ROUND(H3850-D3850,2)=0,1,0)</f>
        <v/>
      </c>
      <c r="J3850">
        <f>IF(F3850="","none",IF(G3850=1,"carte","multiple"))</f>
        <v/>
      </c>
    </row>
    <row r="3851">
      <c r="A3851" t="inlineStr">
        <is>
          <t>2022-08-09</t>
        </is>
      </c>
      <c r="B3851" t="inlineStr">
        <is>
          <t>11:42</t>
        </is>
      </c>
      <c r="C3851" t="n">
        <v>3027</v>
      </c>
      <c r="D3851" s="6" t="n">
        <v>17.6</v>
      </c>
      <c r="E3851" t="n">
        <v>40809</v>
      </c>
      <c r="F3851" s="6" t="n">
        <v>17.6</v>
      </c>
      <c r="G3851" t="n">
        <v>1</v>
      </c>
      <c r="H3851" s="6">
        <f>ROUND(G3851*F3851,2)</f>
        <v/>
      </c>
      <c r="I3851">
        <f>IF(ROUND(H3851-D3851,2)=0,1,0)</f>
        <v/>
      </c>
      <c r="J3851">
        <f>IF(F3851="","none",IF(G3851=1,"carte","multiple"))</f>
        <v/>
      </c>
    </row>
    <row r="3852">
      <c r="A3852" t="inlineStr">
        <is>
          <t>2022-08-09</t>
        </is>
      </c>
      <c r="B3852" t="inlineStr">
        <is>
          <t>11:42</t>
        </is>
      </c>
      <c r="C3852" t="n">
        <v>3027</v>
      </c>
      <c r="D3852" s="6" t="n">
        <v>17.6</v>
      </c>
      <c r="E3852" t="n">
        <v>40810</v>
      </c>
      <c r="F3852" s="6" t="n">
        <v>17.6</v>
      </c>
      <c r="G3852" t="n">
        <v>1</v>
      </c>
      <c r="H3852" s="6">
        <f>ROUND(G3852*F3852,2)</f>
        <v/>
      </c>
      <c r="I3852">
        <f>IF(ROUND(H3852-D3852,2)=0,1,0)</f>
        <v/>
      </c>
      <c r="J3852">
        <f>IF(F3852="","none",IF(G3852=1,"carte","multiple"))</f>
        <v/>
      </c>
    </row>
    <row r="3853">
      <c r="A3853" t="inlineStr">
        <is>
          <t>2022-08-09</t>
        </is>
      </c>
      <c r="B3853" t="inlineStr">
        <is>
          <t>11:42</t>
        </is>
      </c>
      <c r="C3853" t="n">
        <v>3027</v>
      </c>
      <c r="D3853" s="6" t="n">
        <v>3.9</v>
      </c>
      <c r="E3853" t="n">
        <v>40811</v>
      </c>
      <c r="F3853" s="6" t="n">
        <v>3.9</v>
      </c>
      <c r="G3853" t="n">
        <v>1</v>
      </c>
      <c r="H3853" s="6">
        <f>ROUND(G3853*F3853,2)</f>
        <v/>
      </c>
      <c r="I3853">
        <f>IF(ROUND(H3853-D3853,2)=0,1,0)</f>
        <v/>
      </c>
      <c r="J3853">
        <f>IF(F3853="","none",IF(G3853=1,"carte","multiple"))</f>
        <v/>
      </c>
    </row>
    <row r="3854">
      <c r="A3854" t="inlineStr">
        <is>
          <t>2022-08-09</t>
        </is>
      </c>
      <c r="B3854" t="inlineStr">
        <is>
          <t>11:42</t>
        </is>
      </c>
      <c r="C3854" t="n">
        <v>3027</v>
      </c>
      <c r="D3854" s="6" t="n">
        <v>3.9</v>
      </c>
      <c r="E3854" t="n">
        <v>40812</v>
      </c>
      <c r="F3854" s="6" t="n">
        <v>3.9</v>
      </c>
      <c r="G3854" t="n">
        <v>1</v>
      </c>
      <c r="H3854" s="6">
        <f>ROUND(G3854*F3854,2)</f>
        <v/>
      </c>
      <c r="I3854">
        <f>IF(ROUND(H3854-D3854,2)=0,1,0)</f>
        <v/>
      </c>
      <c r="J3854">
        <f>IF(F3854="","none",IF(G3854=1,"carte","multiple"))</f>
        <v/>
      </c>
    </row>
    <row r="3855">
      <c r="A3855" t="inlineStr">
        <is>
          <t>2022-08-09</t>
        </is>
      </c>
      <c r="B3855" t="inlineStr">
        <is>
          <t>11:45</t>
        </is>
      </c>
      <c r="C3855" t="n">
        <v>3027</v>
      </c>
      <c r="D3855" s="6" t="n">
        <v>4.4</v>
      </c>
      <c r="E3855" t="n">
        <v>40813</v>
      </c>
      <c r="F3855" s="6" t="n">
        <v>0.4</v>
      </c>
      <c r="G3855" t="n">
        <v>11</v>
      </c>
      <c r="H3855" s="6">
        <f>ROUND(G3855*F3855,2)</f>
        <v/>
      </c>
      <c r="I3855">
        <f>IF(ROUND(H3855-D3855,2)=0,1,0)</f>
        <v/>
      </c>
      <c r="J3855">
        <f>IF(F3855="","none",IF(G3855=1,"carte","multiple"))</f>
        <v/>
      </c>
    </row>
    <row r="3856">
      <c r="A3856" t="inlineStr">
        <is>
          <t>2022-08-09</t>
        </is>
      </c>
      <c r="B3856" t="inlineStr">
        <is>
          <t>11:45</t>
        </is>
      </c>
      <c r="C3856" t="n">
        <v>3027</v>
      </c>
      <c r="D3856" s="6" t="n">
        <v>1.8</v>
      </c>
      <c r="E3856" t="n">
        <v>40814</v>
      </c>
      <c r="F3856" s="6" t="n">
        <v>1.8</v>
      </c>
      <c r="G3856" t="n">
        <v>1</v>
      </c>
      <c r="H3856" s="6">
        <f>ROUND(G3856*F3856,2)</f>
        <v/>
      </c>
      <c r="I3856">
        <f>IF(ROUND(H3856-D3856,2)=0,1,0)</f>
        <v/>
      </c>
      <c r="J3856">
        <f>IF(F3856="","none",IF(G3856=1,"carte","multiple"))</f>
        <v/>
      </c>
    </row>
    <row r="3857">
      <c r="A3857" t="inlineStr">
        <is>
          <t>2022-08-09</t>
        </is>
      </c>
      <c r="B3857" t="inlineStr">
        <is>
          <t>11:45</t>
        </is>
      </c>
      <c r="C3857" t="n">
        <v>3027</v>
      </c>
      <c r="D3857" s="6" t="n">
        <v>11.6</v>
      </c>
      <c r="E3857" t="n">
        <v>40815</v>
      </c>
      <c r="F3857" s="6" t="n">
        <v>11.6</v>
      </c>
      <c r="G3857" t="n">
        <v>1</v>
      </c>
      <c r="H3857" s="6">
        <f>ROUND(G3857*F3857,2)</f>
        <v/>
      </c>
      <c r="I3857">
        <f>IF(ROUND(H3857-D3857,2)=0,1,0)</f>
        <v/>
      </c>
      <c r="J3857">
        <f>IF(F3857="","none",IF(G3857=1,"carte","multiple"))</f>
        <v/>
      </c>
    </row>
    <row r="3858">
      <c r="A3858" t="inlineStr">
        <is>
          <t>2022-08-09</t>
        </is>
      </c>
      <c r="B3858" t="inlineStr">
        <is>
          <t>11:45</t>
        </is>
      </c>
      <c r="C3858" t="n">
        <v>3027</v>
      </c>
      <c r="D3858" s="6" t="n">
        <v>38</v>
      </c>
      <c r="E3858" t="n">
        <v>40816</v>
      </c>
      <c r="F3858" s="6" t="n">
        <v>0.4</v>
      </c>
      <c r="G3858" t="n">
        <v>95</v>
      </c>
      <c r="H3858" s="6">
        <f>ROUND(G3858*F3858,2)</f>
        <v/>
      </c>
      <c r="I3858">
        <f>IF(ROUND(H3858-D3858,2)=0,1,0)</f>
        <v/>
      </c>
      <c r="J3858">
        <f>IF(F3858="","none",IF(G3858=1,"carte","multiple"))</f>
        <v/>
      </c>
    </row>
    <row r="3859">
      <c r="A3859" t="inlineStr">
        <is>
          <t>2022-08-09</t>
        </is>
      </c>
      <c r="B3859" t="inlineStr">
        <is>
          <t>11:45</t>
        </is>
      </c>
      <c r="C3859" t="n">
        <v>3027</v>
      </c>
      <c r="D3859" s="6" t="n">
        <v>7</v>
      </c>
      <c r="E3859" t="n">
        <v>40817</v>
      </c>
      <c r="F3859" s="6" t="n">
        <v>7</v>
      </c>
      <c r="G3859" t="n">
        <v>1</v>
      </c>
      <c r="H3859" s="6">
        <f>ROUND(G3859*F3859,2)</f>
        <v/>
      </c>
      <c r="I3859">
        <f>IF(ROUND(H3859-D3859,2)=0,1,0)</f>
        <v/>
      </c>
      <c r="J3859">
        <f>IF(F3859="","none",IF(G3859=1,"carte","multiple"))</f>
        <v/>
      </c>
    </row>
    <row r="3860">
      <c r="A3860" t="inlineStr">
        <is>
          <t>2022-08-09</t>
        </is>
      </c>
      <c r="B3860" t="inlineStr">
        <is>
          <t>11:45</t>
        </is>
      </c>
      <c r="C3860" t="n">
        <v>3027</v>
      </c>
      <c r="D3860" s="6" t="n">
        <v>7.9</v>
      </c>
      <c r="E3860" t="n">
        <v>40818</v>
      </c>
      <c r="F3860" s="6" t="n">
        <v>7.9</v>
      </c>
      <c r="G3860" t="n">
        <v>1</v>
      </c>
      <c r="H3860" s="6">
        <f>ROUND(G3860*F3860,2)</f>
        <v/>
      </c>
      <c r="I3860">
        <f>IF(ROUND(H3860-D3860,2)=0,1,0)</f>
        <v/>
      </c>
      <c r="J3860">
        <f>IF(F3860="","none",IF(G3860=1,"carte","multiple"))</f>
        <v/>
      </c>
    </row>
    <row r="3861">
      <c r="A3861" t="inlineStr">
        <is>
          <t>2022-08-09</t>
        </is>
      </c>
      <c r="B3861" t="inlineStr">
        <is>
          <t>11:45</t>
        </is>
      </c>
      <c r="C3861" t="n">
        <v>3027</v>
      </c>
      <c r="D3861" s="6" t="n">
        <v>5.2</v>
      </c>
      <c r="E3861" t="n">
        <v>40819</v>
      </c>
      <c r="F3861" s="6" t="n">
        <v>5.2</v>
      </c>
      <c r="G3861" t="n">
        <v>1</v>
      </c>
      <c r="H3861" s="6">
        <f>ROUND(G3861*F3861,2)</f>
        <v/>
      </c>
      <c r="I3861">
        <f>IF(ROUND(H3861-D3861,2)=0,1,0)</f>
        <v/>
      </c>
      <c r="J3861">
        <f>IF(F3861="","none",IF(G3861=1,"carte","multiple"))</f>
        <v/>
      </c>
    </row>
    <row r="3862">
      <c r="A3862" t="inlineStr">
        <is>
          <t>2022-08-09</t>
        </is>
      </c>
      <c r="B3862" t="inlineStr">
        <is>
          <t>11:45</t>
        </is>
      </c>
      <c r="C3862" t="n">
        <v>3027</v>
      </c>
      <c r="D3862" s="6" t="n">
        <v>4.2</v>
      </c>
      <c r="E3862" t="n">
        <v>40820</v>
      </c>
      <c r="F3862" s="6" t="n">
        <v>4.2</v>
      </c>
      <c r="G3862" t="n">
        <v>1</v>
      </c>
      <c r="H3862" s="6">
        <f>ROUND(G3862*F3862,2)</f>
        <v/>
      </c>
      <c r="I3862">
        <f>IF(ROUND(H3862-D3862,2)=0,1,0)</f>
        <v/>
      </c>
      <c r="J3862">
        <f>IF(F3862="","none",IF(G3862=1,"carte","multiple"))</f>
        <v/>
      </c>
    </row>
    <row r="3863">
      <c r="A3863" t="inlineStr">
        <is>
          <t>2022-08-09</t>
        </is>
      </c>
      <c r="B3863" t="inlineStr">
        <is>
          <t>12:13</t>
        </is>
      </c>
      <c r="C3863" t="n">
        <v>3027</v>
      </c>
      <c r="D3863" s="6" t="n">
        <v>17.6</v>
      </c>
      <c r="E3863" t="n">
        <v>40821</v>
      </c>
      <c r="F3863" s="6" t="n">
        <v>17.6</v>
      </c>
      <c r="G3863" t="n">
        <v>1</v>
      </c>
      <c r="H3863" s="6">
        <f>ROUND(G3863*F3863,2)</f>
        <v/>
      </c>
      <c r="I3863">
        <f>IF(ROUND(H3863-D3863,2)=0,1,0)</f>
        <v/>
      </c>
      <c r="J3863">
        <f>IF(F3863="","none",IF(G3863=1,"carte","multiple"))</f>
        <v/>
      </c>
    </row>
    <row r="3864">
      <c r="A3864" t="inlineStr">
        <is>
          <t>2022-08-09</t>
        </is>
      </c>
      <c r="B3864" t="inlineStr">
        <is>
          <t>12:13</t>
        </is>
      </c>
      <c r="C3864" t="n">
        <v>3027</v>
      </c>
      <c r="D3864" s="6" t="n">
        <v>17.6</v>
      </c>
      <c r="E3864" t="n">
        <v>40822</v>
      </c>
      <c r="F3864" s="6" t="n">
        <v>17.6</v>
      </c>
      <c r="G3864" t="n">
        <v>1</v>
      </c>
      <c r="H3864" s="6">
        <f>ROUND(G3864*F3864,2)</f>
        <v/>
      </c>
      <c r="I3864">
        <f>IF(ROUND(H3864-D3864,2)=0,1,0)</f>
        <v/>
      </c>
      <c r="J3864">
        <f>IF(F3864="","none",IF(G3864=1,"carte","multiple"))</f>
        <v/>
      </c>
    </row>
    <row r="3865">
      <c r="A3865" t="inlineStr">
        <is>
          <t>2022-08-09</t>
        </is>
      </c>
      <c r="B3865" t="inlineStr">
        <is>
          <t>12:13</t>
        </is>
      </c>
      <c r="C3865" t="n">
        <v>3027</v>
      </c>
      <c r="D3865" s="6" t="n">
        <v>6.5</v>
      </c>
      <c r="E3865" t="n">
        <v>40823</v>
      </c>
      <c r="F3865" s="6" t="n">
        <v>6.5</v>
      </c>
      <c r="G3865" t="n">
        <v>1</v>
      </c>
      <c r="H3865" s="6">
        <f>ROUND(G3865*F3865,2)</f>
        <v/>
      </c>
      <c r="I3865">
        <f>IF(ROUND(H3865-D3865,2)=0,1,0)</f>
        <v/>
      </c>
      <c r="J3865">
        <f>IF(F3865="","none",IF(G3865=1,"carte","multiple"))</f>
        <v/>
      </c>
    </row>
    <row r="3866">
      <c r="A3866" t="inlineStr">
        <is>
          <t>2022-08-09</t>
        </is>
      </c>
      <c r="B3866" t="inlineStr">
        <is>
          <t>12:13</t>
        </is>
      </c>
      <c r="C3866" t="n">
        <v>3027</v>
      </c>
      <c r="D3866" s="6" t="n">
        <v>3.9</v>
      </c>
      <c r="E3866" t="n">
        <v>40824</v>
      </c>
      <c r="F3866" s="6" t="n">
        <v>3.9</v>
      </c>
      <c r="G3866" t="n">
        <v>1</v>
      </c>
      <c r="H3866" s="6">
        <f>ROUND(G3866*F3866,2)</f>
        <v/>
      </c>
      <c r="I3866">
        <f>IF(ROUND(H3866-D3866,2)=0,1,0)</f>
        <v/>
      </c>
      <c r="J3866">
        <f>IF(F3866="","none",IF(G3866=1,"carte","multiple"))</f>
        <v/>
      </c>
    </row>
    <row r="3867">
      <c r="A3867" t="inlineStr">
        <is>
          <t>2022-08-09</t>
        </is>
      </c>
      <c r="B3867" t="inlineStr">
        <is>
          <t>12:37</t>
        </is>
      </c>
      <c r="C3867" t="n">
        <v>3027</v>
      </c>
      <c r="D3867" s="6" t="n">
        <v>8.699999999999999</v>
      </c>
      <c r="E3867" t="n">
        <v>40825</v>
      </c>
      <c r="F3867" s="6" t="n">
        <v>8.699999999999999</v>
      </c>
      <c r="G3867" t="n">
        <v>1</v>
      </c>
      <c r="H3867" s="6">
        <f>ROUND(G3867*F3867,2)</f>
        <v/>
      </c>
      <c r="I3867">
        <f>IF(ROUND(H3867-D3867,2)=0,1,0)</f>
        <v/>
      </c>
      <c r="J3867">
        <f>IF(F3867="","none",IF(G3867=1,"carte","multiple"))</f>
        <v/>
      </c>
    </row>
    <row r="3868">
      <c r="A3868" t="inlineStr">
        <is>
          <t>2022-08-09</t>
        </is>
      </c>
      <c r="B3868" t="inlineStr">
        <is>
          <t>12:37</t>
        </is>
      </c>
      <c r="C3868" t="n">
        <v>3027</v>
      </c>
      <c r="D3868" s="6" t="n">
        <v>17.6</v>
      </c>
      <c r="E3868" t="n">
        <v>40826</v>
      </c>
      <c r="F3868" s="6" t="n">
        <v>17.6</v>
      </c>
      <c r="G3868" t="n">
        <v>1</v>
      </c>
      <c r="H3868" s="6">
        <f>ROUND(G3868*F3868,2)</f>
        <v/>
      </c>
      <c r="I3868">
        <f>IF(ROUND(H3868-D3868,2)=0,1,0)</f>
        <v/>
      </c>
      <c r="J3868">
        <f>IF(F3868="","none",IF(G3868=1,"carte","multiple"))</f>
        <v/>
      </c>
    </row>
    <row r="3869">
      <c r="A3869" t="inlineStr">
        <is>
          <t>2022-08-09</t>
        </is>
      </c>
      <c r="B3869" t="inlineStr">
        <is>
          <t>12:37</t>
        </is>
      </c>
      <c r="C3869" t="n">
        <v>3027</v>
      </c>
      <c r="D3869" s="6" t="n">
        <v>17.6</v>
      </c>
      <c r="E3869" t="n">
        <v>40827</v>
      </c>
      <c r="F3869" s="6" t="n">
        <v>17.6</v>
      </c>
      <c r="G3869" t="n">
        <v>1</v>
      </c>
      <c r="H3869" s="6">
        <f>ROUND(G3869*F3869,2)</f>
        <v/>
      </c>
      <c r="I3869">
        <f>IF(ROUND(H3869-D3869,2)=0,1,0)</f>
        <v/>
      </c>
      <c r="J3869">
        <f>IF(F3869="","none",IF(G3869=1,"carte","multiple"))</f>
        <v/>
      </c>
    </row>
    <row r="3870">
      <c r="A3870" t="inlineStr">
        <is>
          <t>2022-08-09</t>
        </is>
      </c>
      <c r="B3870" t="inlineStr">
        <is>
          <t>12:37</t>
        </is>
      </c>
      <c r="C3870" t="n">
        <v>3027</v>
      </c>
      <c r="D3870" s="6" t="n">
        <v>5.9</v>
      </c>
      <c r="E3870" t="n">
        <v>40828</v>
      </c>
      <c r="F3870" s="6" t="n">
        <v>5.9</v>
      </c>
      <c r="G3870" t="n">
        <v>1</v>
      </c>
      <c r="H3870" s="6">
        <f>ROUND(G3870*F3870,2)</f>
        <v/>
      </c>
      <c r="I3870">
        <f>IF(ROUND(H3870-D3870,2)=0,1,0)</f>
        <v/>
      </c>
      <c r="J3870">
        <f>IF(F3870="","none",IF(G3870=1,"carte","multiple"))</f>
        <v/>
      </c>
    </row>
    <row r="3871">
      <c r="A3871" t="inlineStr">
        <is>
          <t>2022-08-09</t>
        </is>
      </c>
      <c r="B3871" t="inlineStr">
        <is>
          <t>12:37</t>
        </is>
      </c>
      <c r="C3871" t="n">
        <v>3027</v>
      </c>
      <c r="D3871" s="6" t="n">
        <v>5.9</v>
      </c>
      <c r="E3871" t="n">
        <v>40829</v>
      </c>
      <c r="F3871" s="6" t="n">
        <v>5.9</v>
      </c>
      <c r="G3871" t="n">
        <v>1</v>
      </c>
      <c r="H3871" s="6">
        <f>ROUND(G3871*F3871,2)</f>
        <v/>
      </c>
      <c r="I3871">
        <f>IF(ROUND(H3871-D3871,2)=0,1,0)</f>
        <v/>
      </c>
      <c r="J3871">
        <f>IF(F3871="","none",IF(G3871=1,"carte","multiple"))</f>
        <v/>
      </c>
    </row>
    <row r="3872">
      <c r="A3872" t="inlineStr">
        <is>
          <t>2022-08-09</t>
        </is>
      </c>
      <c r="B3872" t="inlineStr">
        <is>
          <t>17:59</t>
        </is>
      </c>
      <c r="C3872" t="n">
        <v>3027</v>
      </c>
      <c r="D3872" s="6" t="n">
        <v>8.800000000000001</v>
      </c>
      <c r="E3872" t="n">
        <v>40831</v>
      </c>
      <c r="F3872" s="6" t="n">
        <v>8.800000000000001</v>
      </c>
      <c r="G3872" t="n">
        <v>1</v>
      </c>
      <c r="H3872" s="6">
        <f>ROUND(G3872*F3872,2)</f>
        <v/>
      </c>
      <c r="I3872">
        <f>IF(ROUND(H3872-D3872,2)=0,1,0)</f>
        <v/>
      </c>
      <c r="J3872">
        <f>IF(F3872="","none",IF(G3872=1,"carte","multiple"))</f>
        <v/>
      </c>
    </row>
    <row r="3873">
      <c r="A3873" t="inlineStr">
        <is>
          <t>2022-08-09</t>
        </is>
      </c>
      <c r="B3873" t="inlineStr">
        <is>
          <t>17:59</t>
        </is>
      </c>
      <c r="C3873" t="n">
        <v>3027</v>
      </c>
      <c r="D3873" s="6" t="n">
        <v>17.6</v>
      </c>
      <c r="E3873" t="n">
        <v>40832</v>
      </c>
      <c r="F3873" s="6" t="n">
        <v>17.6</v>
      </c>
      <c r="G3873" t="n">
        <v>1</v>
      </c>
      <c r="H3873" s="6">
        <f>ROUND(G3873*F3873,2)</f>
        <v/>
      </c>
      <c r="I3873">
        <f>IF(ROUND(H3873-D3873,2)=0,1,0)</f>
        <v/>
      </c>
      <c r="J3873">
        <f>IF(F3873="","none",IF(G3873=1,"carte","multiple"))</f>
        <v/>
      </c>
    </row>
    <row r="3874">
      <c r="A3874" t="inlineStr">
        <is>
          <t>2022-08-09</t>
        </is>
      </c>
      <c r="B3874" t="inlineStr">
        <is>
          <t>18:09</t>
        </is>
      </c>
      <c r="C3874" t="n">
        <v>3027</v>
      </c>
      <c r="D3874" s="6" t="n">
        <v>7.8</v>
      </c>
      <c r="E3874" t="n">
        <v>40833</v>
      </c>
      <c r="F3874" s="6" t="n">
        <v>7.8</v>
      </c>
      <c r="G3874" t="n">
        <v>1</v>
      </c>
      <c r="H3874" s="6">
        <f>ROUND(G3874*F3874,2)</f>
        <v/>
      </c>
      <c r="I3874">
        <f>IF(ROUND(H3874-D3874,2)=0,1,0)</f>
        <v/>
      </c>
      <c r="J3874">
        <f>IF(F3874="","none",IF(G3874=1,"carte","multiple"))</f>
        <v/>
      </c>
    </row>
    <row r="3875">
      <c r="A3875" t="inlineStr">
        <is>
          <t>2022-08-09</t>
        </is>
      </c>
      <c r="B3875" t="inlineStr">
        <is>
          <t>18:11</t>
        </is>
      </c>
      <c r="C3875" t="n">
        <v>3027</v>
      </c>
      <c r="D3875" s="6" t="n">
        <v>15.9</v>
      </c>
      <c r="E3875" t="n">
        <v>40834</v>
      </c>
      <c r="F3875" s="6" t="n">
        <v>15.9</v>
      </c>
      <c r="G3875" t="n">
        <v>1</v>
      </c>
      <c r="H3875" s="6">
        <f>ROUND(G3875*F3875,2)</f>
        <v/>
      </c>
      <c r="I3875">
        <f>IF(ROUND(H3875-D3875,2)=0,1,0)</f>
        <v/>
      </c>
      <c r="J3875">
        <f>IF(F3875="","none",IF(G3875=1,"carte","multiple"))</f>
        <v/>
      </c>
    </row>
    <row r="3876">
      <c r="A3876" t="inlineStr">
        <is>
          <t>2022-08-09</t>
        </is>
      </c>
      <c r="B3876" t="inlineStr">
        <is>
          <t>18:26</t>
        </is>
      </c>
      <c r="C3876" t="n">
        <v>3027</v>
      </c>
      <c r="D3876" s="6" t="n">
        <v>19.9</v>
      </c>
      <c r="E3876" t="n">
        <v>40835</v>
      </c>
      <c r="F3876" s="6" t="n">
        <v>19.9</v>
      </c>
      <c r="G3876" t="n">
        <v>1</v>
      </c>
      <c r="H3876" s="6">
        <f>ROUND(G3876*F3876,2)</f>
        <v/>
      </c>
      <c r="I3876">
        <f>IF(ROUND(H3876-D3876,2)=0,1,0)</f>
        <v/>
      </c>
      <c r="J3876">
        <f>IF(F3876="","none",IF(G3876=1,"carte","multiple"))</f>
        <v/>
      </c>
    </row>
    <row r="3877">
      <c r="A3877" t="inlineStr">
        <is>
          <t>2022-08-09</t>
        </is>
      </c>
      <c r="B3877" t="inlineStr">
        <is>
          <t>18:47</t>
        </is>
      </c>
      <c r="C3877" t="n">
        <v>3027</v>
      </c>
      <c r="D3877" s="6" t="n">
        <v>17.6</v>
      </c>
      <c r="E3877" t="n">
        <v>40836</v>
      </c>
      <c r="F3877" s="6" t="n">
        <v>17.6</v>
      </c>
      <c r="G3877" t="n">
        <v>1</v>
      </c>
      <c r="H3877" s="6">
        <f>ROUND(G3877*F3877,2)</f>
        <v/>
      </c>
      <c r="I3877">
        <f>IF(ROUND(H3877-D3877,2)=0,1,0)</f>
        <v/>
      </c>
      <c r="J3877">
        <f>IF(F3877="","none",IF(G3877=1,"carte","multiple"))</f>
        <v/>
      </c>
    </row>
    <row r="3878">
      <c r="A3878" t="inlineStr">
        <is>
          <t>2022-08-09</t>
        </is>
      </c>
      <c r="B3878" t="inlineStr">
        <is>
          <t>18:47</t>
        </is>
      </c>
      <c r="C3878" t="n">
        <v>3027</v>
      </c>
      <c r="D3878" s="6" t="n">
        <v>14.5</v>
      </c>
      <c r="E3878" t="n">
        <v>40837</v>
      </c>
      <c r="F3878" s="6" t="n">
        <v>14.5</v>
      </c>
      <c r="G3878" t="n">
        <v>1</v>
      </c>
      <c r="H3878" s="6">
        <f>ROUND(G3878*F3878,2)</f>
        <v/>
      </c>
      <c r="I3878">
        <f>IF(ROUND(H3878-D3878,2)=0,1,0)</f>
        <v/>
      </c>
      <c r="J3878">
        <f>IF(F3878="","none",IF(G3878=1,"carte","multiple"))</f>
        <v/>
      </c>
    </row>
    <row r="3879">
      <c r="A3879" t="inlineStr">
        <is>
          <t>2022-08-09</t>
        </is>
      </c>
      <c r="B3879" t="inlineStr">
        <is>
          <t>18:47</t>
        </is>
      </c>
      <c r="C3879" t="n">
        <v>3027</v>
      </c>
      <c r="D3879" s="6" t="n">
        <v>3.9</v>
      </c>
      <c r="E3879" t="n">
        <v>40838</v>
      </c>
      <c r="F3879" s="6" t="n">
        <v>3.9</v>
      </c>
      <c r="G3879" t="n">
        <v>1</v>
      </c>
      <c r="H3879" s="6">
        <f>ROUND(G3879*F3879,2)</f>
        <v/>
      </c>
      <c r="I3879">
        <f>IF(ROUND(H3879-D3879,2)=0,1,0)</f>
        <v/>
      </c>
      <c r="J3879">
        <f>IF(F3879="","none",IF(G3879=1,"carte","multiple"))</f>
        <v/>
      </c>
    </row>
    <row r="3880">
      <c r="A3880" t="inlineStr">
        <is>
          <t>2022-08-09</t>
        </is>
      </c>
      <c r="B3880" t="inlineStr">
        <is>
          <t>18:47</t>
        </is>
      </c>
      <c r="C3880" t="n">
        <v>3027</v>
      </c>
      <c r="D3880" s="6" t="n">
        <v>32</v>
      </c>
      <c r="E3880" t="n">
        <v>40839</v>
      </c>
      <c r="F3880" s="6" t="n">
        <v>32</v>
      </c>
      <c r="G3880" t="n">
        <v>1</v>
      </c>
      <c r="H3880" s="6">
        <f>ROUND(G3880*F3880,2)</f>
        <v/>
      </c>
      <c r="I3880">
        <f>IF(ROUND(H3880-D3880,2)=0,1,0)</f>
        <v/>
      </c>
      <c r="J3880">
        <f>IF(F3880="","none",IF(G3880=1,"carte","multiple"))</f>
        <v/>
      </c>
    </row>
    <row r="3881">
      <c r="A3881" t="inlineStr">
        <is>
          <t>2022-08-09</t>
        </is>
      </c>
      <c r="B3881" t="inlineStr">
        <is>
          <t>19:00</t>
        </is>
      </c>
      <c r="C3881" t="n">
        <v>3027</v>
      </c>
      <c r="D3881" s="6" t="n">
        <v>7.8</v>
      </c>
      <c r="E3881" t="n">
        <v>40840</v>
      </c>
      <c r="F3881" s="6" t="n">
        <v>7.8</v>
      </c>
      <c r="G3881" t="n">
        <v>1</v>
      </c>
      <c r="H3881" s="6">
        <f>ROUND(G3881*F3881,2)</f>
        <v/>
      </c>
      <c r="I3881">
        <f>IF(ROUND(H3881-D3881,2)=0,1,0)</f>
        <v/>
      </c>
      <c r="J3881">
        <f>IF(F3881="","none",IF(G3881=1,"carte","multiple"))</f>
        <v/>
      </c>
    </row>
    <row r="3882">
      <c r="A3882" t="inlineStr">
        <is>
          <t>2022-08-09</t>
        </is>
      </c>
      <c r="B3882" t="inlineStr">
        <is>
          <t>19:00</t>
        </is>
      </c>
      <c r="C3882" t="n">
        <v>3027</v>
      </c>
      <c r="D3882" s="6" t="n">
        <v>7.8</v>
      </c>
      <c r="E3882" t="n">
        <v>40841</v>
      </c>
      <c r="F3882" s="6" t="n">
        <v>7.8</v>
      </c>
      <c r="G3882" t="n">
        <v>1</v>
      </c>
      <c r="H3882" s="6">
        <f>ROUND(G3882*F3882,2)</f>
        <v/>
      </c>
      <c r="I3882">
        <f>IF(ROUND(H3882-D3882,2)=0,1,0)</f>
        <v/>
      </c>
      <c r="J3882">
        <f>IF(F3882="","none",IF(G3882=1,"carte","multiple"))</f>
        <v/>
      </c>
    </row>
    <row r="3883">
      <c r="A3883" t="inlineStr">
        <is>
          <t>2022-08-09</t>
        </is>
      </c>
      <c r="B3883" t="inlineStr">
        <is>
          <t>19:00</t>
        </is>
      </c>
      <c r="C3883" t="n">
        <v>3027</v>
      </c>
      <c r="D3883" s="6" t="n">
        <v>16.9</v>
      </c>
      <c r="E3883" t="n">
        <v>40842</v>
      </c>
      <c r="F3883" s="6" t="n">
        <v>16.9</v>
      </c>
      <c r="G3883" t="n">
        <v>1</v>
      </c>
      <c r="H3883" s="6">
        <f>ROUND(G3883*F3883,2)</f>
        <v/>
      </c>
      <c r="I3883">
        <f>IF(ROUND(H3883-D3883,2)=0,1,0)</f>
        <v/>
      </c>
      <c r="J3883">
        <f>IF(F3883="","none",IF(G3883=1,"carte","multiple"))</f>
        <v/>
      </c>
    </row>
    <row r="3884">
      <c r="A3884" t="inlineStr">
        <is>
          <t>2022-08-09</t>
        </is>
      </c>
      <c r="B3884" t="inlineStr">
        <is>
          <t>19:00</t>
        </is>
      </c>
      <c r="C3884" t="n">
        <v>3027</v>
      </c>
      <c r="D3884" s="6" t="n">
        <v>17.6</v>
      </c>
      <c r="E3884" t="n">
        <v>40843</v>
      </c>
      <c r="F3884" s="6" t="n">
        <v>17.6</v>
      </c>
      <c r="G3884" t="n">
        <v>1</v>
      </c>
      <c r="H3884" s="6">
        <f>ROUND(G3884*F3884,2)</f>
        <v/>
      </c>
      <c r="I3884">
        <f>IF(ROUND(H3884-D3884,2)=0,1,0)</f>
        <v/>
      </c>
      <c r="J3884">
        <f>IF(F3884="","none",IF(G3884=1,"carte","multiple"))</f>
        <v/>
      </c>
    </row>
    <row r="3885">
      <c r="A3885" t="inlineStr">
        <is>
          <t>2022-08-09</t>
        </is>
      </c>
      <c r="B3885" t="inlineStr">
        <is>
          <t>19:00</t>
        </is>
      </c>
      <c r="C3885" t="n">
        <v>3027</v>
      </c>
      <c r="D3885" s="6" t="n">
        <v>19</v>
      </c>
      <c r="E3885" t="n">
        <v>40844</v>
      </c>
      <c r="F3885" s="6" t="n">
        <v>19</v>
      </c>
      <c r="G3885" t="n">
        <v>1</v>
      </c>
      <c r="H3885" s="6">
        <f>ROUND(G3885*F3885,2)</f>
        <v/>
      </c>
      <c r="I3885">
        <f>IF(ROUND(H3885-D3885,2)=0,1,0)</f>
        <v/>
      </c>
      <c r="J3885">
        <f>IF(F3885="","none",IF(G3885=1,"carte","multiple"))</f>
        <v/>
      </c>
    </row>
    <row r="3886">
      <c r="A3886" t="inlineStr">
        <is>
          <t>2022-08-09</t>
        </is>
      </c>
      <c r="B3886" t="inlineStr">
        <is>
          <t>19:00</t>
        </is>
      </c>
      <c r="C3886" t="n">
        <v>3027</v>
      </c>
      <c r="D3886" s="6" t="n">
        <v>6.9</v>
      </c>
      <c r="E3886" t="n">
        <v>40845</v>
      </c>
      <c r="F3886" s="6" t="n">
        <v>6.9</v>
      </c>
      <c r="G3886" t="n">
        <v>1</v>
      </c>
      <c r="H3886" s="6">
        <f>ROUND(G3886*F3886,2)</f>
        <v/>
      </c>
      <c r="I3886">
        <f>IF(ROUND(H3886-D3886,2)=0,1,0)</f>
        <v/>
      </c>
      <c r="J3886">
        <f>IF(F3886="","none",IF(G3886=1,"carte","multiple"))</f>
        <v/>
      </c>
    </row>
    <row r="3887">
      <c r="A3887" t="inlineStr">
        <is>
          <t>2022-08-09</t>
        </is>
      </c>
      <c r="B3887" t="inlineStr">
        <is>
          <t>19:00</t>
        </is>
      </c>
      <c r="C3887" t="n">
        <v>3027</v>
      </c>
      <c r="D3887" s="6" t="n">
        <v>4.7</v>
      </c>
      <c r="E3887" t="n">
        <v>40846</v>
      </c>
      <c r="F3887" s="6" t="n">
        <v>4.7</v>
      </c>
      <c r="G3887" t="n">
        <v>1</v>
      </c>
      <c r="H3887" s="6">
        <f>ROUND(G3887*F3887,2)</f>
        <v/>
      </c>
      <c r="I3887">
        <f>IF(ROUND(H3887-D3887,2)=0,1,0)</f>
        <v/>
      </c>
      <c r="J3887">
        <f>IF(F3887="","none",IF(G3887=1,"carte","multiple"))</f>
        <v/>
      </c>
    </row>
    <row r="3888">
      <c r="A3888" t="inlineStr">
        <is>
          <t>2022-08-09</t>
        </is>
      </c>
      <c r="B3888" t="inlineStr">
        <is>
          <t>19:18</t>
        </is>
      </c>
      <c r="C3888" t="n">
        <v>3027</v>
      </c>
      <c r="D3888" s="6" t="n">
        <v>4</v>
      </c>
      <c r="E3888" t="n">
        <v>40847</v>
      </c>
      <c r="F3888" s="6" t="n">
        <v>4</v>
      </c>
      <c r="G3888" t="n">
        <v>1</v>
      </c>
      <c r="H3888" s="6">
        <f>ROUND(G3888*F3888,2)</f>
        <v/>
      </c>
      <c r="I3888">
        <f>IF(ROUND(H3888-D3888,2)=0,1,0)</f>
        <v/>
      </c>
      <c r="J3888">
        <f>IF(F3888="","none",IF(G3888=1,"carte","multiple"))</f>
        <v/>
      </c>
    </row>
    <row r="3889">
      <c r="A3889" t="inlineStr">
        <is>
          <t>2022-08-09</t>
        </is>
      </c>
      <c r="B3889" t="inlineStr">
        <is>
          <t>19:18</t>
        </is>
      </c>
      <c r="C3889" t="n">
        <v>3027</v>
      </c>
      <c r="D3889" s="6" t="n">
        <v>17.6</v>
      </c>
      <c r="E3889" t="n">
        <v>40848</v>
      </c>
      <c r="F3889" s="6" t="n">
        <v>17.6</v>
      </c>
      <c r="G3889" t="n">
        <v>1</v>
      </c>
      <c r="H3889" s="6">
        <f>ROUND(G3889*F3889,2)</f>
        <v/>
      </c>
      <c r="I3889">
        <f>IF(ROUND(H3889-D3889,2)=0,1,0)</f>
        <v/>
      </c>
      <c r="J3889">
        <f>IF(F3889="","none",IF(G3889=1,"carte","multiple"))</f>
        <v/>
      </c>
    </row>
    <row r="3890">
      <c r="A3890" t="inlineStr">
        <is>
          <t>2022-08-09</t>
        </is>
      </c>
      <c r="B3890" t="inlineStr">
        <is>
          <t>19:18</t>
        </is>
      </c>
      <c r="C3890" t="n">
        <v>3027</v>
      </c>
      <c r="D3890" s="6" t="n">
        <v>28.6</v>
      </c>
      <c r="E3890" t="n">
        <v>40849</v>
      </c>
      <c r="F3890" s="6" t="n">
        <v>28.6</v>
      </c>
      <c r="G3890" t="n">
        <v>1</v>
      </c>
      <c r="H3890" s="6">
        <f>ROUND(G3890*F3890,2)</f>
        <v/>
      </c>
      <c r="I3890">
        <f>IF(ROUND(H3890-D3890,2)=0,1,0)</f>
        <v/>
      </c>
      <c r="J3890">
        <f>IF(F3890="","none",IF(G3890=1,"carte","multiple"))</f>
        <v/>
      </c>
    </row>
    <row r="3891">
      <c r="A3891" t="inlineStr">
        <is>
          <t>2022-08-09</t>
        </is>
      </c>
      <c r="B3891" t="inlineStr">
        <is>
          <t>19:18</t>
        </is>
      </c>
      <c r="C3891" t="n">
        <v>3027</v>
      </c>
      <c r="D3891" s="6" t="n">
        <v>8</v>
      </c>
      <c r="E3891" t="n">
        <v>40850</v>
      </c>
      <c r="F3891" s="6" t="n">
        <v>8</v>
      </c>
      <c r="G3891" t="n">
        <v>1</v>
      </c>
      <c r="H3891" s="6">
        <f>ROUND(G3891*F3891,2)</f>
        <v/>
      </c>
      <c r="I3891">
        <f>IF(ROUND(H3891-D3891,2)=0,1,0)</f>
        <v/>
      </c>
      <c r="J3891">
        <f>IF(F3891="","none",IF(G3891=1,"carte","multiple"))</f>
        <v/>
      </c>
    </row>
    <row r="3892">
      <c r="A3892" t="inlineStr">
        <is>
          <t>2022-08-09</t>
        </is>
      </c>
      <c r="B3892" t="inlineStr">
        <is>
          <t>19:18</t>
        </is>
      </c>
      <c r="C3892" t="n">
        <v>3027</v>
      </c>
      <c r="D3892" s="6" t="n">
        <v>9.6</v>
      </c>
      <c r="E3892" t="n">
        <v>40851</v>
      </c>
      <c r="F3892" s="6" t="n">
        <v>9.6</v>
      </c>
      <c r="G3892" t="n">
        <v>1</v>
      </c>
      <c r="H3892" s="6">
        <f>ROUND(G3892*F3892,2)</f>
        <v/>
      </c>
      <c r="I3892">
        <f>IF(ROUND(H3892-D3892,2)=0,1,0)</f>
        <v/>
      </c>
      <c r="J3892">
        <f>IF(F3892="","none",IF(G3892=1,"carte","multiple"))</f>
        <v/>
      </c>
    </row>
    <row r="3893">
      <c r="A3893" t="inlineStr">
        <is>
          <t>2022-08-09</t>
        </is>
      </c>
      <c r="B3893" t="inlineStr">
        <is>
          <t>19:18</t>
        </is>
      </c>
      <c r="C3893" t="n">
        <v>3027</v>
      </c>
      <c r="D3893" s="6" t="n">
        <v>14.4</v>
      </c>
      <c r="E3893" t="n">
        <v>40852</v>
      </c>
      <c r="F3893" s="6" t="n">
        <v>0.4</v>
      </c>
      <c r="G3893" t="n">
        <v>36</v>
      </c>
      <c r="H3893" s="6">
        <f>ROUND(G3893*F3893,2)</f>
        <v/>
      </c>
      <c r="I3893">
        <f>IF(ROUND(H3893-D3893,2)=0,1,0)</f>
        <v/>
      </c>
      <c r="J3893">
        <f>IF(F3893="","none",IF(G3893=1,"carte","multiple"))</f>
        <v/>
      </c>
    </row>
    <row r="3894">
      <c r="A3894" t="inlineStr">
        <is>
          <t>2022-08-09</t>
        </is>
      </c>
      <c r="B3894" t="inlineStr">
        <is>
          <t>19:18</t>
        </is>
      </c>
      <c r="C3894" t="n">
        <v>3027</v>
      </c>
      <c r="D3894" s="6" t="n">
        <v>3.9</v>
      </c>
      <c r="E3894" t="n">
        <v>40853</v>
      </c>
      <c r="F3894" s="6" t="n">
        <v>3.9</v>
      </c>
      <c r="G3894" t="n">
        <v>1</v>
      </c>
      <c r="H3894" s="6">
        <f>ROUND(G3894*F3894,2)</f>
        <v/>
      </c>
      <c r="I3894">
        <f>IF(ROUND(H3894-D3894,2)=0,1,0)</f>
        <v/>
      </c>
      <c r="J3894">
        <f>IF(F3894="","none",IF(G3894=1,"carte","multiple"))</f>
        <v/>
      </c>
    </row>
    <row r="3895">
      <c r="A3895" t="inlineStr">
        <is>
          <t>2022-08-09</t>
        </is>
      </c>
      <c r="B3895" t="inlineStr">
        <is>
          <t>19:18</t>
        </is>
      </c>
      <c r="C3895" t="n">
        <v>3027</v>
      </c>
      <c r="D3895" s="6" t="n">
        <v>3.9</v>
      </c>
      <c r="E3895" t="n">
        <v>40854</v>
      </c>
      <c r="F3895" s="6" t="n">
        <v>3.9</v>
      </c>
      <c r="G3895" t="n">
        <v>1</v>
      </c>
      <c r="H3895" s="6">
        <f>ROUND(G3895*F3895,2)</f>
        <v/>
      </c>
      <c r="I3895">
        <f>IF(ROUND(H3895-D3895,2)=0,1,0)</f>
        <v/>
      </c>
      <c r="J3895">
        <f>IF(F3895="","none",IF(G3895=1,"carte","multiple"))</f>
        <v/>
      </c>
    </row>
    <row r="3896">
      <c r="A3896" t="inlineStr">
        <is>
          <t>2022-08-09</t>
        </is>
      </c>
      <c r="B3896" t="inlineStr">
        <is>
          <t>19:23</t>
        </is>
      </c>
      <c r="C3896" t="n">
        <v>3027</v>
      </c>
      <c r="D3896" s="6" t="n">
        <v>7.8</v>
      </c>
      <c r="E3896" t="n">
        <v>40856</v>
      </c>
      <c r="F3896" s="6" t="n">
        <v>7.8</v>
      </c>
      <c r="G3896" t="n">
        <v>1</v>
      </c>
      <c r="H3896" s="6">
        <f>ROUND(G3896*F3896,2)</f>
        <v/>
      </c>
      <c r="I3896">
        <f>IF(ROUND(H3896-D3896,2)=0,1,0)</f>
        <v/>
      </c>
      <c r="J3896">
        <f>IF(F3896="","none",IF(G3896=1,"carte","multiple"))</f>
        <v/>
      </c>
    </row>
    <row r="3897">
      <c r="A3897" t="inlineStr">
        <is>
          <t>2022-08-09</t>
        </is>
      </c>
      <c r="B3897" t="inlineStr">
        <is>
          <t>19:23</t>
        </is>
      </c>
      <c r="C3897" t="n">
        <v>3027</v>
      </c>
      <c r="D3897" s="6" t="n">
        <v>7.8</v>
      </c>
      <c r="E3897" t="n">
        <v>40857</v>
      </c>
      <c r="F3897" s="6" t="n">
        <v>7.8</v>
      </c>
      <c r="G3897" t="n">
        <v>1</v>
      </c>
      <c r="H3897" s="6">
        <f>ROUND(G3897*F3897,2)</f>
        <v/>
      </c>
      <c r="I3897">
        <f>IF(ROUND(H3897-D3897,2)=0,1,0)</f>
        <v/>
      </c>
      <c r="J3897">
        <f>IF(F3897="","none",IF(G3897=1,"carte","multiple"))</f>
        <v/>
      </c>
    </row>
    <row r="3898">
      <c r="A3898" t="inlineStr">
        <is>
          <t>2022-08-09</t>
        </is>
      </c>
      <c r="B3898" t="inlineStr">
        <is>
          <t>19:23</t>
        </is>
      </c>
      <c r="C3898" t="n">
        <v>3027</v>
      </c>
      <c r="D3898" s="6" t="n">
        <v>3.9</v>
      </c>
      <c r="E3898" t="n">
        <v>40858</v>
      </c>
      <c r="F3898" s="6" t="n">
        <v>3.9</v>
      </c>
      <c r="G3898" t="n">
        <v>1</v>
      </c>
      <c r="H3898" s="6">
        <f>ROUND(G3898*F3898,2)</f>
        <v/>
      </c>
      <c r="I3898">
        <f>IF(ROUND(H3898-D3898,2)=0,1,0)</f>
        <v/>
      </c>
      <c r="J3898">
        <f>IF(F3898="","none",IF(G3898=1,"carte","multiple"))</f>
        <v/>
      </c>
    </row>
    <row r="3899">
      <c r="A3899" t="inlineStr">
        <is>
          <t>2022-08-09</t>
        </is>
      </c>
      <c r="B3899" t="inlineStr">
        <is>
          <t>19:24</t>
        </is>
      </c>
      <c r="C3899" t="n">
        <v>3027</v>
      </c>
      <c r="D3899" s="6" t="n">
        <v>3.8</v>
      </c>
      <c r="E3899" t="n">
        <v>40859</v>
      </c>
      <c r="F3899" s="6" t="n">
        <v>3.8</v>
      </c>
      <c r="G3899" t="n">
        <v>1</v>
      </c>
      <c r="H3899" s="6">
        <f>ROUND(G3899*F3899,2)</f>
        <v/>
      </c>
      <c r="I3899">
        <f>IF(ROUND(H3899-D3899,2)=0,1,0)</f>
        <v/>
      </c>
      <c r="J3899">
        <f>IF(F3899="","none",IF(G3899=1,"carte","multiple"))</f>
        <v/>
      </c>
    </row>
    <row r="3900">
      <c r="A3900" t="inlineStr">
        <is>
          <t>2022-08-09</t>
        </is>
      </c>
      <c r="B3900" t="inlineStr">
        <is>
          <t>19:24</t>
        </is>
      </c>
      <c r="C3900" t="n">
        <v>3027</v>
      </c>
      <c r="D3900" s="6" t="n">
        <v>4.2</v>
      </c>
      <c r="E3900" t="n">
        <v>40860</v>
      </c>
      <c r="F3900" s="6" t="n">
        <v>4.2</v>
      </c>
      <c r="G3900" t="n">
        <v>1</v>
      </c>
      <c r="H3900" s="6">
        <f>ROUND(G3900*F3900,2)</f>
        <v/>
      </c>
      <c r="I3900">
        <f>IF(ROUND(H3900-D3900,2)=0,1,0)</f>
        <v/>
      </c>
      <c r="J3900">
        <f>IF(F3900="","none",IF(G3900=1,"carte","multiple"))</f>
        <v/>
      </c>
    </row>
    <row r="3901">
      <c r="A3901" t="inlineStr">
        <is>
          <t>2022-08-09</t>
        </is>
      </c>
      <c r="B3901" t="inlineStr">
        <is>
          <t>19:24</t>
        </is>
      </c>
      <c r="C3901" t="n">
        <v>3027</v>
      </c>
      <c r="D3901" s="6" t="n">
        <v>4.4</v>
      </c>
      <c r="E3901" t="n">
        <v>40861</v>
      </c>
      <c r="F3901" s="6" t="n">
        <v>0.4</v>
      </c>
      <c r="G3901" t="n">
        <v>11</v>
      </c>
      <c r="H3901" s="6">
        <f>ROUND(G3901*F3901,2)</f>
        <v/>
      </c>
      <c r="I3901">
        <f>IF(ROUND(H3901-D3901,2)=0,1,0)</f>
        <v/>
      </c>
      <c r="J3901">
        <f>IF(F3901="","none",IF(G3901=1,"carte","multiple"))</f>
        <v/>
      </c>
    </row>
    <row r="3902">
      <c r="A3902" t="inlineStr">
        <is>
          <t>2022-08-09</t>
        </is>
      </c>
      <c r="B3902" t="inlineStr">
        <is>
          <t>19:24</t>
        </is>
      </c>
      <c r="C3902" t="n">
        <v>3027</v>
      </c>
      <c r="D3902" s="6" t="n">
        <v>9.9</v>
      </c>
      <c r="E3902" t="n">
        <v>40862</v>
      </c>
      <c r="F3902" s="6" t="n">
        <v>9.9</v>
      </c>
      <c r="G3902" t="n">
        <v>1</v>
      </c>
      <c r="H3902" s="6">
        <f>ROUND(G3902*F3902,2)</f>
        <v/>
      </c>
      <c r="I3902">
        <f>IF(ROUND(H3902-D3902,2)=0,1,0)</f>
        <v/>
      </c>
      <c r="J3902">
        <f>IF(F3902="","none",IF(G3902=1,"carte","multiple"))</f>
        <v/>
      </c>
    </row>
    <row r="3903">
      <c r="A3903" t="inlineStr">
        <is>
          <t>2022-08-09</t>
        </is>
      </c>
      <c r="B3903" t="inlineStr">
        <is>
          <t>19:24</t>
        </is>
      </c>
      <c r="C3903" t="n">
        <v>3027</v>
      </c>
      <c r="D3903" s="6" t="n">
        <v>35.2</v>
      </c>
      <c r="E3903" t="n">
        <v>40863</v>
      </c>
      <c r="F3903" s="6" t="n">
        <v>0.4</v>
      </c>
      <c r="G3903" t="n">
        <v>88</v>
      </c>
      <c r="H3903" s="6">
        <f>ROUND(G3903*F3903,2)</f>
        <v/>
      </c>
      <c r="I3903">
        <f>IF(ROUND(H3903-D3903,2)=0,1,0)</f>
        <v/>
      </c>
      <c r="J3903">
        <f>IF(F3903="","none",IF(G3903=1,"carte","multiple"))</f>
        <v/>
      </c>
    </row>
    <row r="3904">
      <c r="A3904" t="inlineStr">
        <is>
          <t>2022-08-09</t>
        </is>
      </c>
      <c r="B3904" t="inlineStr">
        <is>
          <t>19:30</t>
        </is>
      </c>
      <c r="C3904" t="n">
        <v>3027</v>
      </c>
      <c r="D3904" s="6" t="n">
        <v>3.9</v>
      </c>
      <c r="E3904" t="n">
        <v>40864</v>
      </c>
      <c r="F3904" s="6" t="n">
        <v>3.9</v>
      </c>
      <c r="G3904" t="n">
        <v>1</v>
      </c>
      <c r="H3904" s="6">
        <f>ROUND(G3904*F3904,2)</f>
        <v/>
      </c>
      <c r="I3904">
        <f>IF(ROUND(H3904-D3904,2)=0,1,0)</f>
        <v/>
      </c>
      <c r="J3904">
        <f>IF(F3904="","none",IF(G3904=1,"carte","multiple"))</f>
        <v/>
      </c>
    </row>
    <row r="3905">
      <c r="A3905" t="inlineStr">
        <is>
          <t>2022-08-09</t>
        </is>
      </c>
      <c r="B3905" t="inlineStr">
        <is>
          <t>19:30</t>
        </is>
      </c>
      <c r="C3905" t="n">
        <v>3027</v>
      </c>
      <c r="D3905" s="6" t="n">
        <v>5.9</v>
      </c>
      <c r="E3905" t="n">
        <v>40865</v>
      </c>
      <c r="F3905" s="6" t="n">
        <v>5.9</v>
      </c>
      <c r="G3905" t="n">
        <v>1</v>
      </c>
      <c r="H3905" s="6">
        <f>ROUND(G3905*F3905,2)</f>
        <v/>
      </c>
      <c r="I3905">
        <f>IF(ROUND(H3905-D3905,2)=0,1,0)</f>
        <v/>
      </c>
      <c r="J3905">
        <f>IF(F3905="","none",IF(G3905=1,"carte","multiple"))</f>
        <v/>
      </c>
    </row>
    <row r="3906">
      <c r="A3906" t="inlineStr">
        <is>
          <t>2022-08-09</t>
        </is>
      </c>
      <c r="B3906" t="inlineStr">
        <is>
          <t>19:30</t>
        </is>
      </c>
      <c r="C3906" t="n">
        <v>3027</v>
      </c>
      <c r="D3906" s="6" t="n">
        <v>14.4</v>
      </c>
      <c r="E3906" t="n">
        <v>40866</v>
      </c>
      <c r="F3906" s="6" t="n">
        <v>0.4</v>
      </c>
      <c r="G3906" t="n">
        <v>36</v>
      </c>
      <c r="H3906" s="6">
        <f>ROUND(G3906*F3906,2)</f>
        <v/>
      </c>
      <c r="I3906">
        <f>IF(ROUND(H3906-D3906,2)=0,1,0)</f>
        <v/>
      </c>
      <c r="J3906">
        <f>IF(F3906="","none",IF(G3906=1,"carte","multiple"))</f>
        <v/>
      </c>
    </row>
    <row r="3907">
      <c r="A3907" t="inlineStr">
        <is>
          <t>2022-08-09</t>
        </is>
      </c>
      <c r="B3907" t="inlineStr">
        <is>
          <t>19:30</t>
        </is>
      </c>
      <c r="C3907" t="n">
        <v>3027</v>
      </c>
      <c r="D3907" s="6" t="n">
        <v>17.6</v>
      </c>
      <c r="E3907" t="n">
        <v>40867</v>
      </c>
      <c r="F3907" s="6" t="n">
        <v>17.6</v>
      </c>
      <c r="G3907" t="n">
        <v>1</v>
      </c>
      <c r="H3907" s="6">
        <f>ROUND(G3907*F3907,2)</f>
        <v/>
      </c>
      <c r="I3907">
        <f>IF(ROUND(H3907-D3907,2)=0,1,0)</f>
        <v/>
      </c>
      <c r="J3907">
        <f>IF(F3907="","none",IF(G3907=1,"carte","multiple"))</f>
        <v/>
      </c>
    </row>
    <row r="3908">
      <c r="A3908" t="inlineStr">
        <is>
          <t>2022-08-09</t>
        </is>
      </c>
      <c r="B3908" t="inlineStr">
        <is>
          <t>19:30</t>
        </is>
      </c>
      <c r="C3908" t="n">
        <v>3027</v>
      </c>
      <c r="D3908" s="6" t="n">
        <v>8.9</v>
      </c>
      <c r="E3908" t="n">
        <v>40868</v>
      </c>
      <c r="F3908" s="6" t="n">
        <v>8.9</v>
      </c>
      <c r="G3908" t="n">
        <v>1</v>
      </c>
      <c r="H3908" s="6">
        <f>ROUND(G3908*F3908,2)</f>
        <v/>
      </c>
      <c r="I3908">
        <f>IF(ROUND(H3908-D3908,2)=0,1,0)</f>
        <v/>
      </c>
      <c r="J3908">
        <f>IF(F3908="","none",IF(G3908=1,"carte","multiple"))</f>
        <v/>
      </c>
    </row>
    <row r="3909">
      <c r="A3909" t="inlineStr">
        <is>
          <t>2022-08-09</t>
        </is>
      </c>
      <c r="B3909" t="inlineStr">
        <is>
          <t>19:30</t>
        </is>
      </c>
      <c r="C3909" t="n">
        <v>3027</v>
      </c>
      <c r="D3909" s="6" t="n">
        <v>32</v>
      </c>
      <c r="E3909" t="n">
        <v>40869</v>
      </c>
      <c r="F3909" s="6" t="n">
        <v>32</v>
      </c>
      <c r="G3909" t="n">
        <v>1</v>
      </c>
      <c r="H3909" s="6">
        <f>ROUND(G3909*F3909,2)</f>
        <v/>
      </c>
      <c r="I3909">
        <f>IF(ROUND(H3909-D3909,2)=0,1,0)</f>
        <v/>
      </c>
      <c r="J3909">
        <f>IF(F3909="","none",IF(G3909=1,"carte","multiple"))</f>
        <v/>
      </c>
    </row>
    <row r="3910">
      <c r="A3910" t="inlineStr">
        <is>
          <t>2022-08-09</t>
        </is>
      </c>
      <c r="B3910" t="inlineStr">
        <is>
          <t>19:30</t>
        </is>
      </c>
      <c r="C3910" t="n">
        <v>3027</v>
      </c>
      <c r="D3910" s="6" t="n">
        <v>3.9</v>
      </c>
      <c r="E3910" t="n">
        <v>40870</v>
      </c>
      <c r="F3910" s="6" t="n">
        <v>3.9</v>
      </c>
      <c r="G3910" t="n">
        <v>1</v>
      </c>
      <c r="H3910" s="6">
        <f>ROUND(G3910*F3910,2)</f>
        <v/>
      </c>
      <c r="I3910">
        <f>IF(ROUND(H3910-D3910,2)=0,1,0)</f>
        <v/>
      </c>
      <c r="J3910">
        <f>IF(F3910="","none",IF(G3910=1,"carte","multiple"))</f>
        <v/>
      </c>
    </row>
    <row r="3911">
      <c r="A3911" t="inlineStr">
        <is>
          <t>2022-08-09</t>
        </is>
      </c>
      <c r="B3911" t="inlineStr">
        <is>
          <t>19:30</t>
        </is>
      </c>
      <c r="C3911" t="n">
        <v>3027</v>
      </c>
      <c r="D3911" s="6" t="n">
        <v>7.8</v>
      </c>
      <c r="E3911" t="n">
        <v>40871</v>
      </c>
      <c r="F3911" s="6" t="n">
        <v>7.8</v>
      </c>
      <c r="G3911" t="n">
        <v>1</v>
      </c>
      <c r="H3911" s="6">
        <f>ROUND(G3911*F3911,2)</f>
        <v/>
      </c>
      <c r="I3911">
        <f>IF(ROUND(H3911-D3911,2)=0,1,0)</f>
        <v/>
      </c>
      <c r="J3911">
        <f>IF(F3911="","none",IF(G3911=1,"carte","multiple"))</f>
        <v/>
      </c>
    </row>
    <row r="3912">
      <c r="A3912" t="inlineStr">
        <is>
          <t>2022-08-09</t>
        </is>
      </c>
      <c r="B3912" t="inlineStr">
        <is>
          <t>19:34</t>
        </is>
      </c>
      <c r="C3912" t="n">
        <v>3027</v>
      </c>
      <c r="D3912" s="6" t="n">
        <v>9</v>
      </c>
      <c r="E3912" t="n">
        <v>40872</v>
      </c>
      <c r="F3912" s="6" t="n">
        <v>9</v>
      </c>
      <c r="G3912" t="n">
        <v>1</v>
      </c>
      <c r="H3912" s="6">
        <f>ROUND(G3912*F3912,2)</f>
        <v/>
      </c>
      <c r="I3912">
        <f>IF(ROUND(H3912-D3912,2)=0,1,0)</f>
        <v/>
      </c>
      <c r="J3912">
        <f>IF(F3912="","none",IF(G3912=1,"carte","multiple"))</f>
        <v/>
      </c>
    </row>
    <row r="3913">
      <c r="A3913" t="inlineStr">
        <is>
          <t>2022-08-09</t>
        </is>
      </c>
      <c r="B3913" t="inlineStr">
        <is>
          <t>19:39</t>
        </is>
      </c>
      <c r="C3913" t="n">
        <v>3027</v>
      </c>
      <c r="D3913" s="6" t="n">
        <v>13</v>
      </c>
      <c r="E3913" t="n">
        <v>40873</v>
      </c>
      <c r="F3913" s="6" t="n">
        <v>13</v>
      </c>
      <c r="G3913" t="n">
        <v>1</v>
      </c>
      <c r="H3913" s="6">
        <f>ROUND(G3913*F3913,2)</f>
        <v/>
      </c>
      <c r="I3913">
        <f>IF(ROUND(H3913-D3913,2)=0,1,0)</f>
        <v/>
      </c>
      <c r="J3913">
        <f>IF(F3913="","none",IF(G3913=1,"carte","multiple"))</f>
        <v/>
      </c>
    </row>
    <row r="3914">
      <c r="A3914" t="inlineStr">
        <is>
          <t>2022-08-09</t>
        </is>
      </c>
      <c r="B3914" t="inlineStr">
        <is>
          <t>19:39</t>
        </is>
      </c>
      <c r="C3914" t="n">
        <v>3027</v>
      </c>
      <c r="D3914" s="6" t="n">
        <v>6</v>
      </c>
      <c r="E3914" t="n">
        <v>40874</v>
      </c>
      <c r="F3914" s="6" t="n">
        <v>6</v>
      </c>
      <c r="G3914" t="n">
        <v>1</v>
      </c>
      <c r="H3914" s="6">
        <f>ROUND(G3914*F3914,2)</f>
        <v/>
      </c>
      <c r="I3914">
        <f>IF(ROUND(H3914-D3914,2)=0,1,0)</f>
        <v/>
      </c>
      <c r="J3914">
        <f>IF(F3914="","none",IF(G3914=1,"carte","multiple"))</f>
        <v/>
      </c>
    </row>
    <row r="3915">
      <c r="A3915" t="inlineStr">
        <is>
          <t>2022-08-09</t>
        </is>
      </c>
      <c r="B3915" t="inlineStr">
        <is>
          <t>19:56</t>
        </is>
      </c>
      <c r="C3915" t="n">
        <v>3027</v>
      </c>
      <c r="D3915" s="6" t="n">
        <v>17.6</v>
      </c>
      <c r="E3915" t="n">
        <v>40875</v>
      </c>
      <c r="F3915" s="6" t="n">
        <v>17.6</v>
      </c>
      <c r="G3915" t="n">
        <v>1</v>
      </c>
      <c r="H3915" s="6">
        <f>ROUND(G3915*F3915,2)</f>
        <v/>
      </c>
      <c r="I3915">
        <f>IF(ROUND(H3915-D3915,2)=0,1,0)</f>
        <v/>
      </c>
      <c r="J3915">
        <f>IF(F3915="","none",IF(G3915=1,"carte","multiple"))</f>
        <v/>
      </c>
    </row>
    <row r="3916">
      <c r="A3916" t="inlineStr">
        <is>
          <t>2022-08-09</t>
        </is>
      </c>
      <c r="B3916" t="inlineStr">
        <is>
          <t>20:22</t>
        </is>
      </c>
      <c r="C3916" t="n">
        <v>3027</v>
      </c>
      <c r="D3916" s="6" t="n">
        <v>3.8</v>
      </c>
      <c r="E3916" t="n">
        <v>40876</v>
      </c>
      <c r="F3916" s="6" t="n">
        <v>3.8</v>
      </c>
      <c r="G3916" t="n">
        <v>1</v>
      </c>
      <c r="H3916" s="6">
        <f>ROUND(G3916*F3916,2)</f>
        <v/>
      </c>
      <c r="I3916">
        <f>IF(ROUND(H3916-D3916,2)=0,1,0)</f>
        <v/>
      </c>
      <c r="J3916">
        <f>IF(F3916="","none",IF(G3916=1,"carte","multiple"))</f>
        <v/>
      </c>
    </row>
    <row r="3917">
      <c r="A3917" t="inlineStr">
        <is>
          <t>2022-08-09</t>
        </is>
      </c>
      <c r="B3917" t="inlineStr">
        <is>
          <t>20:22</t>
        </is>
      </c>
      <c r="C3917" t="n">
        <v>3027</v>
      </c>
      <c r="D3917" s="6" t="n">
        <v>3.9</v>
      </c>
      <c r="E3917" t="n">
        <v>40877</v>
      </c>
      <c r="F3917" s="6" t="n">
        <v>3.9</v>
      </c>
      <c r="G3917" t="n">
        <v>1</v>
      </c>
      <c r="H3917" s="6">
        <f>ROUND(G3917*F3917,2)</f>
        <v/>
      </c>
      <c r="I3917">
        <f>IF(ROUND(H3917-D3917,2)=0,1,0)</f>
        <v/>
      </c>
      <c r="J3917">
        <f>IF(F3917="","none",IF(G3917=1,"carte","multiple"))</f>
        <v/>
      </c>
    </row>
    <row r="3918">
      <c r="A3918" t="inlineStr">
        <is>
          <t>2022-08-10</t>
        </is>
      </c>
      <c r="B3918" t="inlineStr">
        <is>
          <t>11:11</t>
        </is>
      </c>
      <c r="C3918" t="n">
        <v>3028</v>
      </c>
      <c r="D3918" s="6" t="n">
        <v>32</v>
      </c>
      <c r="E3918" t="n">
        <v>40880</v>
      </c>
      <c r="F3918" s="6" t="n">
        <v>32</v>
      </c>
      <c r="G3918" t="n">
        <v>1</v>
      </c>
      <c r="H3918" s="6">
        <f>ROUND(G3918*F3918,2)</f>
        <v/>
      </c>
      <c r="I3918">
        <f>IF(ROUND(H3918-D3918,2)=0,1,0)</f>
        <v/>
      </c>
      <c r="J3918">
        <f>IF(F3918="","none",IF(G3918=1,"carte","multiple"))</f>
        <v/>
      </c>
    </row>
    <row r="3919">
      <c r="A3919" t="inlineStr">
        <is>
          <t>2022-08-10</t>
        </is>
      </c>
      <c r="B3919" t="inlineStr">
        <is>
          <t>11:11</t>
        </is>
      </c>
      <c r="C3919" t="n">
        <v>3028</v>
      </c>
      <c r="D3919" s="6" t="n">
        <v>15</v>
      </c>
      <c r="E3919" t="n">
        <v>40881</v>
      </c>
      <c r="F3919" s="6" t="n">
        <v>15</v>
      </c>
      <c r="G3919" t="n">
        <v>1</v>
      </c>
      <c r="H3919" s="6">
        <f>ROUND(G3919*F3919,2)</f>
        <v/>
      </c>
      <c r="I3919">
        <f>IF(ROUND(H3919-D3919,2)=0,1,0)</f>
        <v/>
      </c>
      <c r="J3919">
        <f>IF(F3919="","none",IF(G3919=1,"carte","multiple"))</f>
        <v/>
      </c>
    </row>
    <row r="3920">
      <c r="A3920" t="inlineStr">
        <is>
          <t>2022-08-10</t>
        </is>
      </c>
      <c r="B3920" t="inlineStr">
        <is>
          <t>11:11</t>
        </is>
      </c>
      <c r="C3920" t="n">
        <v>3028</v>
      </c>
      <c r="D3920" s="6" t="n">
        <v>46</v>
      </c>
      <c r="E3920" t="n">
        <v>40882</v>
      </c>
      <c r="F3920" s="6" t="n">
        <v>0.4</v>
      </c>
      <c r="G3920" t="n">
        <v>115</v>
      </c>
      <c r="H3920" s="6">
        <f>ROUND(G3920*F3920,2)</f>
        <v/>
      </c>
      <c r="I3920">
        <f>IF(ROUND(H3920-D3920,2)=0,1,0)</f>
        <v/>
      </c>
      <c r="J3920">
        <f>IF(F3920="","none",IF(G3920=1,"carte","multiple"))</f>
        <v/>
      </c>
    </row>
    <row r="3921">
      <c r="A3921" t="inlineStr">
        <is>
          <t>2022-08-10</t>
        </is>
      </c>
      <c r="B3921" t="inlineStr">
        <is>
          <t>11:11</t>
        </is>
      </c>
      <c r="C3921" t="n">
        <v>3028</v>
      </c>
      <c r="D3921" s="6" t="n">
        <v>13.4</v>
      </c>
      <c r="E3921" t="n">
        <v>40883</v>
      </c>
      <c r="F3921" s="6" t="n">
        <v>13.4</v>
      </c>
      <c r="G3921" t="n">
        <v>1</v>
      </c>
      <c r="H3921" s="6">
        <f>ROUND(G3921*F3921,2)</f>
        <v/>
      </c>
      <c r="I3921">
        <f>IF(ROUND(H3921-D3921,2)=0,1,0)</f>
        <v/>
      </c>
      <c r="J3921">
        <f>IF(F3921="","none",IF(G3921=1,"carte","multiple"))</f>
        <v/>
      </c>
    </row>
    <row r="3922">
      <c r="A3922" t="inlineStr">
        <is>
          <t>2022-08-10</t>
        </is>
      </c>
      <c r="B3922" t="inlineStr">
        <is>
          <t>11:11</t>
        </is>
      </c>
      <c r="C3922" t="n">
        <v>3028</v>
      </c>
      <c r="D3922" s="6" t="n">
        <v>3.9</v>
      </c>
      <c r="E3922" t="n">
        <v>40884</v>
      </c>
      <c r="F3922" s="6" t="n">
        <v>3.9</v>
      </c>
      <c r="G3922" t="n">
        <v>1</v>
      </c>
      <c r="H3922" s="6">
        <f>ROUND(G3922*F3922,2)</f>
        <v/>
      </c>
      <c r="I3922">
        <f>IF(ROUND(H3922-D3922,2)=0,1,0)</f>
        <v/>
      </c>
      <c r="J3922">
        <f>IF(F3922="","none",IF(G3922=1,"carte","multiple"))</f>
        <v/>
      </c>
    </row>
    <row r="3923">
      <c r="A3923" t="inlineStr">
        <is>
          <t>2022-08-10</t>
        </is>
      </c>
      <c r="B3923" t="inlineStr">
        <is>
          <t>11:11</t>
        </is>
      </c>
      <c r="C3923" t="n">
        <v>3028</v>
      </c>
      <c r="D3923" s="6" t="n">
        <v>3.9</v>
      </c>
      <c r="E3923" t="n">
        <v>40885</v>
      </c>
      <c r="F3923" s="6" t="n">
        <v>3.9</v>
      </c>
      <c r="G3923" t="n">
        <v>1</v>
      </c>
      <c r="H3923" s="6">
        <f>ROUND(G3923*F3923,2)</f>
        <v/>
      </c>
      <c r="I3923">
        <f>IF(ROUND(H3923-D3923,2)=0,1,0)</f>
        <v/>
      </c>
      <c r="J3923">
        <f>IF(F3923="","none",IF(G3923=1,"carte","multiple"))</f>
        <v/>
      </c>
    </row>
    <row r="3924">
      <c r="A3924" t="inlineStr">
        <is>
          <t>2022-08-10</t>
        </is>
      </c>
      <c r="B3924" t="inlineStr">
        <is>
          <t>11:44</t>
        </is>
      </c>
      <c r="C3924" t="n">
        <v>3028</v>
      </c>
      <c r="D3924" s="6" t="n">
        <v>64</v>
      </c>
      <c r="E3924" t="n">
        <v>40886</v>
      </c>
      <c r="F3924" s="6" t="n">
        <v>64</v>
      </c>
      <c r="G3924" t="n">
        <v>1</v>
      </c>
      <c r="H3924" s="6">
        <f>ROUND(G3924*F3924,2)</f>
        <v/>
      </c>
      <c r="I3924">
        <f>IF(ROUND(H3924-D3924,2)=0,1,0)</f>
        <v/>
      </c>
      <c r="J3924">
        <f>IF(F3924="","none",IF(G3924=1,"carte","multiple"))</f>
        <v/>
      </c>
    </row>
    <row r="3925">
      <c r="A3925" t="inlineStr">
        <is>
          <t>2022-08-10</t>
        </is>
      </c>
      <c r="B3925" t="inlineStr">
        <is>
          <t>11:44</t>
        </is>
      </c>
      <c r="C3925" t="n">
        <v>3028</v>
      </c>
      <c r="D3925" s="6" t="n">
        <v>9.800000000000001</v>
      </c>
      <c r="E3925" t="n">
        <v>40887</v>
      </c>
      <c r="F3925" s="6" t="n">
        <v>9.800000000000001</v>
      </c>
      <c r="G3925" t="n">
        <v>1</v>
      </c>
      <c r="H3925" s="6">
        <f>ROUND(G3925*F3925,2)</f>
        <v/>
      </c>
      <c r="I3925">
        <f>IF(ROUND(H3925-D3925,2)=0,1,0)</f>
        <v/>
      </c>
      <c r="J3925">
        <f>IF(F3925="","none",IF(G3925=1,"carte","multiple"))</f>
        <v/>
      </c>
    </row>
    <row r="3926">
      <c r="A3926" t="inlineStr">
        <is>
          <t>2022-08-10</t>
        </is>
      </c>
      <c r="B3926" t="inlineStr">
        <is>
          <t>11:44</t>
        </is>
      </c>
      <c r="C3926" t="n">
        <v>3028</v>
      </c>
      <c r="D3926" s="6" t="n">
        <v>8</v>
      </c>
      <c r="E3926" t="n">
        <v>40888</v>
      </c>
      <c r="F3926" s="6" t="n">
        <v>8</v>
      </c>
      <c r="G3926" t="n">
        <v>1</v>
      </c>
      <c r="H3926" s="6">
        <f>ROUND(G3926*F3926,2)</f>
        <v/>
      </c>
      <c r="I3926">
        <f>IF(ROUND(H3926-D3926,2)=0,1,0)</f>
        <v/>
      </c>
      <c r="J3926">
        <f>IF(F3926="","none",IF(G3926=1,"carte","multiple"))</f>
        <v/>
      </c>
    </row>
    <row r="3927">
      <c r="A3927" t="inlineStr">
        <is>
          <t>2022-08-10</t>
        </is>
      </c>
      <c r="B3927" t="inlineStr">
        <is>
          <t>11:50</t>
        </is>
      </c>
      <c r="C3927" t="n">
        <v>3028</v>
      </c>
      <c r="D3927" s="6" t="n">
        <v>2.2</v>
      </c>
      <c r="E3927" t="n">
        <v>40889</v>
      </c>
      <c r="F3927" s="6" t="n">
        <v>2.2</v>
      </c>
      <c r="G3927" t="n">
        <v>1</v>
      </c>
      <c r="H3927" s="6">
        <f>ROUND(G3927*F3927,2)</f>
        <v/>
      </c>
      <c r="I3927">
        <f>IF(ROUND(H3927-D3927,2)=0,1,0)</f>
        <v/>
      </c>
      <c r="J3927">
        <f>IF(F3927="","none",IF(G3927=1,"carte","multiple"))</f>
        <v/>
      </c>
    </row>
    <row r="3928">
      <c r="A3928" t="inlineStr">
        <is>
          <t>2022-08-10</t>
        </is>
      </c>
      <c r="B3928" t="inlineStr">
        <is>
          <t>12:02</t>
        </is>
      </c>
      <c r="C3928" t="n">
        <v>3028</v>
      </c>
      <c r="D3928" s="6" t="n">
        <v>9.9</v>
      </c>
      <c r="E3928" t="n">
        <v>40890</v>
      </c>
      <c r="F3928" s="6" t="n">
        <v>9.9</v>
      </c>
      <c r="G3928" t="n">
        <v>1</v>
      </c>
      <c r="H3928" s="6">
        <f>ROUND(G3928*F3928,2)</f>
        <v/>
      </c>
      <c r="I3928">
        <f>IF(ROUND(H3928-D3928,2)=0,1,0)</f>
        <v/>
      </c>
      <c r="J3928">
        <f>IF(F3928="","none",IF(G3928=1,"carte","multiple"))</f>
        <v/>
      </c>
    </row>
    <row r="3929">
      <c r="A3929" t="inlineStr">
        <is>
          <t>2022-08-10</t>
        </is>
      </c>
      <c r="B3929" t="inlineStr">
        <is>
          <t>12:06</t>
        </is>
      </c>
      <c r="C3929" t="n">
        <v>3028</v>
      </c>
      <c r="D3929" s="6" t="n">
        <v>31.8</v>
      </c>
      <c r="E3929" t="n">
        <v>40891</v>
      </c>
      <c r="F3929" s="6" t="n">
        <v>31.8</v>
      </c>
      <c r="G3929" t="n">
        <v>1</v>
      </c>
      <c r="H3929" s="6">
        <f>ROUND(G3929*F3929,2)</f>
        <v/>
      </c>
      <c r="I3929">
        <f>IF(ROUND(H3929-D3929,2)=0,1,0)</f>
        <v/>
      </c>
      <c r="J3929">
        <f>IF(F3929="","none",IF(G3929=1,"carte","multiple"))</f>
        <v/>
      </c>
    </row>
    <row r="3930">
      <c r="A3930" t="inlineStr">
        <is>
          <t>2022-08-10</t>
        </is>
      </c>
      <c r="B3930" t="inlineStr">
        <is>
          <t>12:28</t>
        </is>
      </c>
      <c r="C3930" t="n">
        <v>3028</v>
      </c>
      <c r="D3930" s="6" t="n">
        <v>4</v>
      </c>
      <c r="E3930" t="n">
        <v>40892</v>
      </c>
      <c r="F3930" s="6" t="n">
        <v>4</v>
      </c>
      <c r="G3930" t="n">
        <v>1</v>
      </c>
      <c r="H3930" s="6">
        <f>ROUND(G3930*F3930,2)</f>
        <v/>
      </c>
      <c r="I3930">
        <f>IF(ROUND(H3930-D3930,2)=0,1,0)</f>
        <v/>
      </c>
      <c r="J3930">
        <f>IF(F3930="","none",IF(G3930=1,"carte","multiple"))</f>
        <v/>
      </c>
    </row>
    <row r="3931">
      <c r="A3931" t="inlineStr">
        <is>
          <t>2022-08-10</t>
        </is>
      </c>
      <c r="B3931" t="inlineStr">
        <is>
          <t>12:35</t>
        </is>
      </c>
      <c r="C3931" t="n">
        <v>3028</v>
      </c>
      <c r="D3931" s="6" t="n">
        <v>1.8</v>
      </c>
      <c r="E3931" t="n">
        <v>40893</v>
      </c>
      <c r="F3931" s="6" t="n">
        <v>1.8</v>
      </c>
      <c r="G3931" t="n">
        <v>1</v>
      </c>
      <c r="H3931" s="6">
        <f>ROUND(G3931*F3931,2)</f>
        <v/>
      </c>
      <c r="I3931">
        <f>IF(ROUND(H3931-D3931,2)=0,1,0)</f>
        <v/>
      </c>
      <c r="J3931">
        <f>IF(F3931="","none",IF(G3931=1,"carte","multiple"))</f>
        <v/>
      </c>
    </row>
    <row r="3932">
      <c r="A3932" t="inlineStr">
        <is>
          <t>2022-08-10</t>
        </is>
      </c>
      <c r="B3932" t="inlineStr">
        <is>
          <t>12:40</t>
        </is>
      </c>
      <c r="C3932" t="n">
        <v>3028</v>
      </c>
      <c r="D3932" s="6" t="n">
        <v>6.6</v>
      </c>
      <c r="E3932" t="n">
        <v>40894</v>
      </c>
      <c r="F3932" s="6" t="n">
        <v>6.6</v>
      </c>
      <c r="G3932" t="n">
        <v>1</v>
      </c>
      <c r="H3932" s="6">
        <f>ROUND(G3932*F3932,2)</f>
        <v/>
      </c>
      <c r="I3932">
        <f>IF(ROUND(H3932-D3932,2)=0,1,0)</f>
        <v/>
      </c>
      <c r="J3932">
        <f>IF(F3932="","none",IF(G3932=1,"carte","multiple"))</f>
        <v/>
      </c>
    </row>
    <row r="3933">
      <c r="A3933" t="inlineStr">
        <is>
          <t>2022-08-10</t>
        </is>
      </c>
      <c r="B3933" t="inlineStr">
        <is>
          <t>12:40</t>
        </is>
      </c>
      <c r="C3933" t="n">
        <v>3028</v>
      </c>
      <c r="D3933" s="6" t="n">
        <v>6.9</v>
      </c>
      <c r="E3933" t="n">
        <v>40895</v>
      </c>
      <c r="F3933" s="6" t="n">
        <v>6.9</v>
      </c>
      <c r="G3933" t="n">
        <v>1</v>
      </c>
      <c r="H3933" s="6">
        <f>ROUND(G3933*F3933,2)</f>
        <v/>
      </c>
      <c r="I3933">
        <f>IF(ROUND(H3933-D3933,2)=0,1,0)</f>
        <v/>
      </c>
      <c r="J3933">
        <f>IF(F3933="","none",IF(G3933=1,"carte","multiple"))</f>
        <v/>
      </c>
    </row>
    <row r="3934">
      <c r="A3934" t="inlineStr">
        <is>
          <t>2022-08-10</t>
        </is>
      </c>
      <c r="B3934" t="inlineStr">
        <is>
          <t>12:40</t>
        </is>
      </c>
      <c r="C3934" t="n">
        <v>3028</v>
      </c>
      <c r="D3934" s="6" t="n">
        <v>38</v>
      </c>
      <c r="E3934" t="n">
        <v>40896</v>
      </c>
      <c r="F3934" s="6" t="n">
        <v>0.4</v>
      </c>
      <c r="G3934" t="n">
        <v>95</v>
      </c>
      <c r="H3934" s="6">
        <f>ROUND(G3934*F3934,2)</f>
        <v/>
      </c>
      <c r="I3934">
        <f>IF(ROUND(H3934-D3934,2)=0,1,0)</f>
        <v/>
      </c>
      <c r="J3934">
        <f>IF(F3934="","none",IF(G3934=1,"carte","multiple"))</f>
        <v/>
      </c>
    </row>
    <row r="3935">
      <c r="A3935" t="inlineStr">
        <is>
          <t>2022-08-10</t>
        </is>
      </c>
      <c r="B3935" t="inlineStr">
        <is>
          <t>12:40</t>
        </is>
      </c>
      <c r="C3935" t="n">
        <v>3028</v>
      </c>
      <c r="D3935" s="6" t="n">
        <v>32</v>
      </c>
      <c r="E3935" t="n">
        <v>40897</v>
      </c>
      <c r="F3935" s="6" t="n">
        <v>32</v>
      </c>
      <c r="G3935" t="n">
        <v>1</v>
      </c>
      <c r="H3935" s="6">
        <f>ROUND(G3935*F3935,2)</f>
        <v/>
      </c>
      <c r="I3935">
        <f>IF(ROUND(H3935-D3935,2)=0,1,0)</f>
        <v/>
      </c>
      <c r="J3935">
        <f>IF(F3935="","none",IF(G3935=1,"carte","multiple"))</f>
        <v/>
      </c>
    </row>
    <row r="3936">
      <c r="A3936" t="inlineStr">
        <is>
          <t>2022-08-10</t>
        </is>
      </c>
      <c r="B3936" t="inlineStr">
        <is>
          <t>12:40</t>
        </is>
      </c>
      <c r="C3936" t="n">
        <v>3028</v>
      </c>
      <c r="D3936" s="6" t="n">
        <v>15</v>
      </c>
      <c r="E3936" t="n">
        <v>40898</v>
      </c>
      <c r="F3936" s="6" t="n">
        <v>15</v>
      </c>
      <c r="G3936" t="n">
        <v>1</v>
      </c>
      <c r="H3936" s="6">
        <f>ROUND(G3936*F3936,2)</f>
        <v/>
      </c>
      <c r="I3936">
        <f>IF(ROUND(H3936-D3936,2)=0,1,0)</f>
        <v/>
      </c>
      <c r="J3936">
        <f>IF(F3936="","none",IF(G3936=1,"carte","multiple"))</f>
        <v/>
      </c>
    </row>
    <row r="3937">
      <c r="A3937" t="inlineStr">
        <is>
          <t>2022-08-10</t>
        </is>
      </c>
      <c r="B3937" t="inlineStr">
        <is>
          <t>12:40</t>
        </is>
      </c>
      <c r="C3937" t="n">
        <v>3028</v>
      </c>
      <c r="D3937" s="6" t="n">
        <v>46</v>
      </c>
      <c r="E3937" t="n">
        <v>40899</v>
      </c>
      <c r="F3937" s="6" t="n">
        <v>0.4</v>
      </c>
      <c r="G3937" t="n">
        <v>115</v>
      </c>
      <c r="H3937" s="6">
        <f>ROUND(G3937*F3937,2)</f>
        <v/>
      </c>
      <c r="I3937">
        <f>IF(ROUND(H3937-D3937,2)=0,1,0)</f>
        <v/>
      </c>
      <c r="J3937">
        <f>IF(F3937="","none",IF(G3937=1,"carte","multiple"))</f>
        <v/>
      </c>
    </row>
    <row r="3938">
      <c r="A3938" t="inlineStr">
        <is>
          <t>2022-08-10</t>
        </is>
      </c>
      <c r="B3938" t="inlineStr">
        <is>
          <t>12:40</t>
        </is>
      </c>
      <c r="C3938" t="n">
        <v>3028</v>
      </c>
      <c r="D3938" s="6" t="n">
        <v>13.4</v>
      </c>
      <c r="E3938" t="n">
        <v>40900</v>
      </c>
      <c r="F3938" s="6" t="n">
        <v>13.4</v>
      </c>
      <c r="G3938" t="n">
        <v>1</v>
      </c>
      <c r="H3938" s="6">
        <f>ROUND(G3938*F3938,2)</f>
        <v/>
      </c>
      <c r="I3938">
        <f>IF(ROUND(H3938-D3938,2)=0,1,0)</f>
        <v/>
      </c>
      <c r="J3938">
        <f>IF(F3938="","none",IF(G3938=1,"carte","multiple"))</f>
        <v/>
      </c>
    </row>
    <row r="3939">
      <c r="A3939" t="inlineStr">
        <is>
          <t>2022-08-10</t>
        </is>
      </c>
      <c r="B3939" t="inlineStr">
        <is>
          <t>12:40</t>
        </is>
      </c>
      <c r="C3939" t="n">
        <v>3028</v>
      </c>
      <c r="D3939" s="6" t="n">
        <v>7.8</v>
      </c>
      <c r="E3939" t="n">
        <v>40901</v>
      </c>
      <c r="F3939" s="6" t="n">
        <v>7.8</v>
      </c>
      <c r="G3939" t="n">
        <v>1</v>
      </c>
      <c r="H3939" s="6">
        <f>ROUND(G3939*F3939,2)</f>
        <v/>
      </c>
      <c r="I3939">
        <f>IF(ROUND(H3939-D3939,2)=0,1,0)</f>
        <v/>
      </c>
      <c r="J3939">
        <f>IF(F3939="","none",IF(G3939=1,"carte","multiple"))</f>
        <v/>
      </c>
    </row>
    <row r="3940">
      <c r="A3940" t="inlineStr">
        <is>
          <t>2022-08-10</t>
        </is>
      </c>
      <c r="B3940" t="inlineStr">
        <is>
          <t>12:40</t>
        </is>
      </c>
      <c r="C3940" t="n">
        <v>3028</v>
      </c>
      <c r="D3940" s="6" t="n">
        <v>3.9</v>
      </c>
      <c r="E3940" t="n">
        <v>40902</v>
      </c>
      <c r="F3940" s="6" t="n">
        <v>3.9</v>
      </c>
      <c r="G3940" t="n">
        <v>1</v>
      </c>
      <c r="H3940" s="6">
        <f>ROUND(G3940*F3940,2)</f>
        <v/>
      </c>
      <c r="I3940">
        <f>IF(ROUND(H3940-D3940,2)=0,1,0)</f>
        <v/>
      </c>
      <c r="J3940">
        <f>IF(F3940="","none",IF(G3940=1,"carte","multiple"))</f>
        <v/>
      </c>
    </row>
    <row r="3941">
      <c r="A3941" t="inlineStr">
        <is>
          <t>2022-08-10</t>
        </is>
      </c>
      <c r="B3941" t="inlineStr">
        <is>
          <t>12:40</t>
        </is>
      </c>
      <c r="C3941" t="n">
        <v>3028</v>
      </c>
      <c r="D3941" s="6" t="n">
        <v>7.8</v>
      </c>
      <c r="E3941" t="n">
        <v>40903</v>
      </c>
      <c r="F3941" s="6" t="n">
        <v>7.8</v>
      </c>
      <c r="G3941" t="n">
        <v>1</v>
      </c>
      <c r="H3941" s="6">
        <f>ROUND(G3941*F3941,2)</f>
        <v/>
      </c>
      <c r="I3941">
        <f>IF(ROUND(H3941-D3941,2)=0,1,0)</f>
        <v/>
      </c>
      <c r="J3941">
        <f>IF(F3941="","none",IF(G3941=1,"carte","multiple"))</f>
        <v/>
      </c>
    </row>
    <row r="3942">
      <c r="A3942" t="inlineStr">
        <is>
          <t>2022-08-10</t>
        </is>
      </c>
      <c r="B3942" t="inlineStr">
        <is>
          <t>12:40</t>
        </is>
      </c>
      <c r="C3942" t="n">
        <v>3028</v>
      </c>
      <c r="D3942" s="6" t="n">
        <v>10.4</v>
      </c>
      <c r="E3942" t="n">
        <v>40904</v>
      </c>
      <c r="F3942" s="6" t="n">
        <v>0.4</v>
      </c>
      <c r="G3942" t="n">
        <v>26</v>
      </c>
      <c r="H3942" s="6">
        <f>ROUND(G3942*F3942,2)</f>
        <v/>
      </c>
      <c r="I3942">
        <f>IF(ROUND(H3942-D3942,2)=0,1,0)</f>
        <v/>
      </c>
      <c r="J3942">
        <f>IF(F3942="","none",IF(G3942=1,"carte","multiple"))</f>
        <v/>
      </c>
    </row>
    <row r="3943">
      <c r="A3943" t="inlineStr">
        <is>
          <t>2022-08-10</t>
        </is>
      </c>
      <c r="B3943" t="inlineStr">
        <is>
          <t>12:40</t>
        </is>
      </c>
      <c r="C3943" t="n">
        <v>3028</v>
      </c>
      <c r="D3943" s="6" t="n">
        <v>3.9</v>
      </c>
      <c r="E3943" t="n">
        <v>40905</v>
      </c>
      <c r="F3943" s="6" t="n">
        <v>3.9</v>
      </c>
      <c r="G3943" t="n">
        <v>1</v>
      </c>
      <c r="H3943" s="6">
        <f>ROUND(G3943*F3943,2)</f>
        <v/>
      </c>
      <c r="I3943">
        <f>IF(ROUND(H3943-D3943,2)=0,1,0)</f>
        <v/>
      </c>
      <c r="J3943">
        <f>IF(F3943="","none",IF(G3943=1,"carte","multiple"))</f>
        <v/>
      </c>
    </row>
    <row r="3944">
      <c r="A3944" t="inlineStr">
        <is>
          <t>2022-08-10</t>
        </is>
      </c>
      <c r="B3944" t="inlineStr">
        <is>
          <t>12:40</t>
        </is>
      </c>
      <c r="C3944" t="n">
        <v>3028</v>
      </c>
      <c r="D3944" s="6" t="n">
        <v>6</v>
      </c>
      <c r="E3944" t="n">
        <v>40906</v>
      </c>
      <c r="F3944" s="6" t="n">
        <v>6</v>
      </c>
      <c r="G3944" t="n">
        <v>1</v>
      </c>
      <c r="H3944" s="6">
        <f>ROUND(G3944*F3944,2)</f>
        <v/>
      </c>
      <c r="I3944">
        <f>IF(ROUND(H3944-D3944,2)=0,1,0)</f>
        <v/>
      </c>
      <c r="J3944">
        <f>IF(F3944="","none",IF(G3944=1,"carte","multiple"))</f>
        <v/>
      </c>
    </row>
    <row r="3945">
      <c r="A3945" t="inlineStr">
        <is>
          <t>2022-08-10</t>
        </is>
      </c>
      <c r="B3945" t="inlineStr">
        <is>
          <t>12:45</t>
        </is>
      </c>
      <c r="C3945" t="n">
        <v>3028</v>
      </c>
      <c r="D3945" s="6" t="n">
        <v>7.8</v>
      </c>
      <c r="E3945" t="n">
        <v>40907</v>
      </c>
      <c r="F3945" s="6" t="n">
        <v>7.8</v>
      </c>
      <c r="G3945" t="n">
        <v>1</v>
      </c>
      <c r="H3945" s="6">
        <f>ROUND(G3945*F3945,2)</f>
        <v/>
      </c>
      <c r="I3945">
        <f>IF(ROUND(H3945-D3945,2)=0,1,0)</f>
        <v/>
      </c>
      <c r="J3945">
        <f>IF(F3945="","none",IF(G3945=1,"carte","multiple"))</f>
        <v/>
      </c>
    </row>
    <row r="3946">
      <c r="A3946" t="inlineStr">
        <is>
          <t>2022-08-10</t>
        </is>
      </c>
      <c r="B3946" t="inlineStr">
        <is>
          <t>12:59</t>
        </is>
      </c>
      <c r="C3946" t="n">
        <v>3028</v>
      </c>
      <c r="D3946" s="6" t="n">
        <v>7</v>
      </c>
      <c r="E3946" t="n">
        <v>40908</v>
      </c>
      <c r="F3946" s="6" t="n">
        <v>7</v>
      </c>
      <c r="G3946" t="n">
        <v>1</v>
      </c>
      <c r="H3946" s="6">
        <f>ROUND(G3946*F3946,2)</f>
        <v/>
      </c>
      <c r="I3946">
        <f>IF(ROUND(H3946-D3946,2)=0,1,0)</f>
        <v/>
      </c>
      <c r="J3946">
        <f>IF(F3946="","none",IF(G3946=1,"carte","multiple"))</f>
        <v/>
      </c>
    </row>
    <row r="3947">
      <c r="A3947" t="inlineStr">
        <is>
          <t>2022-08-10</t>
        </is>
      </c>
      <c r="B3947" t="inlineStr">
        <is>
          <t>13:13</t>
        </is>
      </c>
      <c r="C3947" t="n">
        <v>3028</v>
      </c>
      <c r="D3947" s="6" t="n">
        <v>7.8</v>
      </c>
      <c r="E3947" t="n">
        <v>40909</v>
      </c>
      <c r="F3947" s="6" t="n">
        <v>7.8</v>
      </c>
      <c r="G3947" t="n">
        <v>1</v>
      </c>
      <c r="H3947" s="6">
        <f>ROUND(G3947*F3947,2)</f>
        <v/>
      </c>
      <c r="I3947">
        <f>IF(ROUND(H3947-D3947,2)=0,1,0)</f>
        <v/>
      </c>
      <c r="J3947">
        <f>IF(F3947="","none",IF(G3947=1,"carte","multiple"))</f>
        <v/>
      </c>
    </row>
    <row r="3948">
      <c r="A3948" t="inlineStr">
        <is>
          <t>2022-08-10</t>
        </is>
      </c>
      <c r="B3948" t="inlineStr">
        <is>
          <t>13:15</t>
        </is>
      </c>
      <c r="C3948" t="n">
        <v>3028</v>
      </c>
      <c r="D3948" s="6" t="n">
        <v>17.6</v>
      </c>
      <c r="E3948" t="n">
        <v>40910</v>
      </c>
      <c r="F3948" s="6" t="n">
        <v>17.6</v>
      </c>
      <c r="G3948" t="n">
        <v>1</v>
      </c>
      <c r="H3948" s="6">
        <f>ROUND(G3948*F3948,2)</f>
        <v/>
      </c>
      <c r="I3948">
        <f>IF(ROUND(H3948-D3948,2)=0,1,0)</f>
        <v/>
      </c>
      <c r="J3948">
        <f>IF(F3948="","none",IF(G3948=1,"carte","multiple"))</f>
        <v/>
      </c>
    </row>
    <row r="3949">
      <c r="A3949" t="inlineStr">
        <is>
          <t>2022-08-10</t>
        </is>
      </c>
      <c r="B3949" t="inlineStr">
        <is>
          <t>13:15</t>
        </is>
      </c>
      <c r="C3949" t="n">
        <v>3028</v>
      </c>
      <c r="D3949" s="6" t="n">
        <v>19.9</v>
      </c>
      <c r="E3949" t="n">
        <v>40911</v>
      </c>
      <c r="F3949" s="6" t="n">
        <v>19.9</v>
      </c>
      <c r="G3949" t="n">
        <v>1</v>
      </c>
      <c r="H3949" s="6">
        <f>ROUND(G3949*F3949,2)</f>
        <v/>
      </c>
      <c r="I3949">
        <f>IF(ROUND(H3949-D3949,2)=0,1,0)</f>
        <v/>
      </c>
      <c r="J3949">
        <f>IF(F3949="","none",IF(G3949=1,"carte","multiple"))</f>
        <v/>
      </c>
    </row>
    <row r="3950">
      <c r="A3950" t="inlineStr">
        <is>
          <t>2022-08-10</t>
        </is>
      </c>
      <c r="B3950" t="inlineStr">
        <is>
          <t>13:15</t>
        </is>
      </c>
      <c r="C3950" t="n">
        <v>3028</v>
      </c>
      <c r="D3950" s="6" t="n">
        <v>7.8</v>
      </c>
      <c r="E3950" t="n">
        <v>40912</v>
      </c>
      <c r="F3950" s="6" t="n">
        <v>7.8</v>
      </c>
      <c r="G3950" t="n">
        <v>1</v>
      </c>
      <c r="H3950" s="6">
        <f>ROUND(G3950*F3950,2)</f>
        <v/>
      </c>
      <c r="I3950">
        <f>IF(ROUND(H3950-D3950,2)=0,1,0)</f>
        <v/>
      </c>
      <c r="J3950">
        <f>IF(F3950="","none",IF(G3950=1,"carte","multiple"))</f>
        <v/>
      </c>
    </row>
    <row r="3951">
      <c r="A3951" t="inlineStr">
        <is>
          <t>2022-08-10</t>
        </is>
      </c>
      <c r="B3951" t="inlineStr">
        <is>
          <t>17:23</t>
        </is>
      </c>
      <c r="C3951" t="n">
        <v>3028</v>
      </c>
      <c r="D3951" s="6" t="n">
        <v>5.2</v>
      </c>
      <c r="E3951" t="n">
        <v>40914</v>
      </c>
      <c r="F3951" s="6" t="n">
        <v>5.2</v>
      </c>
      <c r="G3951" t="n">
        <v>1</v>
      </c>
      <c r="H3951" s="6">
        <f>ROUND(G3951*F3951,2)</f>
        <v/>
      </c>
      <c r="I3951">
        <f>IF(ROUND(H3951-D3951,2)=0,1,0)</f>
        <v/>
      </c>
      <c r="J3951">
        <f>IF(F3951="","none",IF(G3951=1,"carte","multiple"))</f>
        <v/>
      </c>
    </row>
    <row r="3952">
      <c r="A3952" t="inlineStr">
        <is>
          <t>2022-08-10</t>
        </is>
      </c>
      <c r="B3952" t="inlineStr">
        <is>
          <t>17:48</t>
        </is>
      </c>
      <c r="C3952" t="n">
        <v>3028</v>
      </c>
      <c r="D3952" s="6" t="n">
        <v>17.6</v>
      </c>
      <c r="E3952" t="n">
        <v>40915</v>
      </c>
      <c r="F3952" s="6" t="n">
        <v>17.6</v>
      </c>
      <c r="G3952" t="n">
        <v>1</v>
      </c>
      <c r="H3952" s="6">
        <f>ROUND(G3952*F3952,2)</f>
        <v/>
      </c>
      <c r="I3952">
        <f>IF(ROUND(H3952-D3952,2)=0,1,0)</f>
        <v/>
      </c>
      <c r="J3952">
        <f>IF(F3952="","none",IF(G3952=1,"carte","multiple"))</f>
        <v/>
      </c>
    </row>
    <row r="3953">
      <c r="A3953" t="inlineStr">
        <is>
          <t>2022-08-10</t>
        </is>
      </c>
      <c r="B3953" t="inlineStr">
        <is>
          <t>17:58</t>
        </is>
      </c>
      <c r="C3953" t="n">
        <v>3028</v>
      </c>
      <c r="D3953" s="6" t="n">
        <v>28.6</v>
      </c>
      <c r="E3953" t="n">
        <v>40916</v>
      </c>
      <c r="F3953" s="6" t="n">
        <v>28.6</v>
      </c>
      <c r="G3953" t="n">
        <v>1</v>
      </c>
      <c r="H3953" s="6">
        <f>ROUND(G3953*F3953,2)</f>
        <v/>
      </c>
      <c r="I3953">
        <f>IF(ROUND(H3953-D3953,2)=0,1,0)</f>
        <v/>
      </c>
      <c r="J3953">
        <f>IF(F3953="","none",IF(G3953=1,"carte","multiple"))</f>
        <v/>
      </c>
    </row>
    <row r="3954">
      <c r="A3954" t="inlineStr">
        <is>
          <t>2022-08-10</t>
        </is>
      </c>
      <c r="B3954" t="inlineStr">
        <is>
          <t>18:07</t>
        </is>
      </c>
      <c r="C3954" t="n">
        <v>3028</v>
      </c>
      <c r="D3954" s="6" t="n">
        <v>6.9</v>
      </c>
      <c r="E3954" t="n">
        <v>40917</v>
      </c>
      <c r="F3954" s="6" t="n">
        <v>6.9</v>
      </c>
      <c r="G3954" t="n">
        <v>1</v>
      </c>
      <c r="H3954" s="6">
        <f>ROUND(G3954*F3954,2)</f>
        <v/>
      </c>
      <c r="I3954">
        <f>IF(ROUND(H3954-D3954,2)=0,1,0)</f>
        <v/>
      </c>
      <c r="J3954">
        <f>IF(F3954="","none",IF(G3954=1,"carte","multiple"))</f>
        <v/>
      </c>
    </row>
    <row r="3955">
      <c r="A3955" t="inlineStr">
        <is>
          <t>2022-08-10</t>
        </is>
      </c>
      <c r="B3955" t="inlineStr">
        <is>
          <t>18:07</t>
        </is>
      </c>
      <c r="C3955" t="n">
        <v>3028</v>
      </c>
      <c r="D3955" s="6" t="n">
        <v>6.9</v>
      </c>
      <c r="E3955" t="n">
        <v>40918</v>
      </c>
      <c r="F3955" s="6" t="n">
        <v>6.9</v>
      </c>
      <c r="G3955" t="n">
        <v>1</v>
      </c>
      <c r="H3955" s="6">
        <f>ROUND(G3955*F3955,2)</f>
        <v/>
      </c>
      <c r="I3955">
        <f>IF(ROUND(H3955-D3955,2)=0,1,0)</f>
        <v/>
      </c>
      <c r="J3955">
        <f>IF(F3955="","none",IF(G3955=1,"carte","multiple"))</f>
        <v/>
      </c>
    </row>
    <row r="3956">
      <c r="A3956" t="inlineStr">
        <is>
          <t>2022-08-10</t>
        </is>
      </c>
      <c r="B3956" t="inlineStr">
        <is>
          <t>18:07</t>
        </is>
      </c>
      <c r="C3956" t="n">
        <v>3028</v>
      </c>
      <c r="D3956" s="6" t="n">
        <v>39.8</v>
      </c>
      <c r="E3956" t="n">
        <v>40919</v>
      </c>
      <c r="F3956" s="6" t="n">
        <v>39.8</v>
      </c>
      <c r="G3956" t="n">
        <v>1</v>
      </c>
      <c r="H3956" s="6">
        <f>ROUND(G3956*F3956,2)</f>
        <v/>
      </c>
      <c r="I3956">
        <f>IF(ROUND(H3956-D3956,2)=0,1,0)</f>
        <v/>
      </c>
      <c r="J3956">
        <f>IF(F3956="","none",IF(G3956=1,"carte","multiple"))</f>
        <v/>
      </c>
    </row>
    <row r="3957">
      <c r="A3957" t="inlineStr">
        <is>
          <t>2022-08-10</t>
        </is>
      </c>
      <c r="B3957" t="inlineStr">
        <is>
          <t>18:07</t>
        </is>
      </c>
      <c r="C3957" t="n">
        <v>3028</v>
      </c>
      <c r="D3957" s="6" t="n">
        <v>5.9</v>
      </c>
      <c r="E3957" t="n">
        <v>40920</v>
      </c>
      <c r="F3957" s="6" t="n">
        <v>5.9</v>
      </c>
      <c r="G3957" t="n">
        <v>1</v>
      </c>
      <c r="H3957" s="6">
        <f>ROUND(G3957*F3957,2)</f>
        <v/>
      </c>
      <c r="I3957">
        <f>IF(ROUND(H3957-D3957,2)=0,1,0)</f>
        <v/>
      </c>
      <c r="J3957">
        <f>IF(F3957="","none",IF(G3957=1,"carte","multiple"))</f>
        <v/>
      </c>
    </row>
    <row r="3958">
      <c r="A3958" t="inlineStr">
        <is>
          <t>2022-08-10</t>
        </is>
      </c>
      <c r="B3958" t="inlineStr">
        <is>
          <t>18:31</t>
        </is>
      </c>
      <c r="C3958" t="n">
        <v>3028</v>
      </c>
      <c r="D3958" s="6" t="n">
        <v>17.6</v>
      </c>
      <c r="E3958" t="n">
        <v>40921</v>
      </c>
      <c r="F3958" s="6" t="n">
        <v>17.6</v>
      </c>
      <c r="G3958" t="n">
        <v>1</v>
      </c>
      <c r="H3958" s="6">
        <f>ROUND(G3958*F3958,2)</f>
        <v/>
      </c>
      <c r="I3958">
        <f>IF(ROUND(H3958-D3958,2)=0,1,0)</f>
        <v/>
      </c>
      <c r="J3958">
        <f>IF(F3958="","none",IF(G3958=1,"carte","multiple"))</f>
        <v/>
      </c>
    </row>
    <row r="3959">
      <c r="A3959" t="inlineStr">
        <is>
          <t>2022-08-10</t>
        </is>
      </c>
      <c r="B3959" t="inlineStr">
        <is>
          <t>18:54</t>
        </is>
      </c>
      <c r="C3959" t="n">
        <v>3028</v>
      </c>
      <c r="D3959" s="6" t="n">
        <v>3.9</v>
      </c>
      <c r="E3959" t="n">
        <v>40922</v>
      </c>
      <c r="F3959" s="6" t="n">
        <v>3.9</v>
      </c>
      <c r="G3959" t="n">
        <v>1</v>
      </c>
      <c r="H3959" s="6">
        <f>ROUND(G3959*F3959,2)</f>
        <v/>
      </c>
      <c r="I3959">
        <f>IF(ROUND(H3959-D3959,2)=0,1,0)</f>
        <v/>
      </c>
      <c r="J3959">
        <f>IF(F3959="","none",IF(G3959=1,"carte","multiple"))</f>
        <v/>
      </c>
    </row>
    <row r="3960">
      <c r="A3960" t="inlineStr">
        <is>
          <t>2022-08-10</t>
        </is>
      </c>
      <c r="B3960" t="inlineStr">
        <is>
          <t>19:04</t>
        </is>
      </c>
      <c r="C3960" t="n">
        <v>3028</v>
      </c>
      <c r="D3960" s="6" t="n">
        <v>10.9</v>
      </c>
      <c r="E3960" t="n">
        <v>40923</v>
      </c>
      <c r="F3960" s="6" t="n">
        <v>10.9</v>
      </c>
      <c r="G3960" t="n">
        <v>1</v>
      </c>
      <c r="H3960" s="6">
        <f>ROUND(G3960*F3960,2)</f>
        <v/>
      </c>
      <c r="I3960">
        <f>IF(ROUND(H3960-D3960,2)=0,1,0)</f>
        <v/>
      </c>
      <c r="J3960">
        <f>IF(F3960="","none",IF(G3960=1,"carte","multiple"))</f>
        <v/>
      </c>
    </row>
    <row r="3961">
      <c r="A3961" t="inlineStr">
        <is>
          <t>2022-08-10</t>
        </is>
      </c>
      <c r="B3961" t="inlineStr">
        <is>
          <t>19:25</t>
        </is>
      </c>
      <c r="C3961" t="n">
        <v>3028</v>
      </c>
      <c r="D3961" s="6" t="n">
        <v>2.2</v>
      </c>
      <c r="E3961" t="n">
        <v>40924</v>
      </c>
      <c r="F3961" s="6" t="n">
        <v>2.2</v>
      </c>
      <c r="G3961" t="n">
        <v>1</v>
      </c>
      <c r="H3961" s="6">
        <f>ROUND(G3961*F3961,2)</f>
        <v/>
      </c>
      <c r="I3961">
        <f>IF(ROUND(H3961-D3961,2)=0,1,0)</f>
        <v/>
      </c>
      <c r="J3961">
        <f>IF(F3961="","none",IF(G3961=1,"carte","multiple"))</f>
        <v/>
      </c>
    </row>
    <row r="3962">
      <c r="A3962" t="inlineStr">
        <is>
          <t>2022-08-10</t>
        </is>
      </c>
      <c r="B3962" t="inlineStr">
        <is>
          <t>19:25</t>
        </is>
      </c>
      <c r="C3962" t="n">
        <v>3028</v>
      </c>
      <c r="D3962" s="6" t="n">
        <v>6.9</v>
      </c>
      <c r="E3962" t="n">
        <v>40925</v>
      </c>
      <c r="F3962" s="6" t="n">
        <v>6.9</v>
      </c>
      <c r="G3962" t="n">
        <v>1</v>
      </c>
      <c r="H3962" s="6">
        <f>ROUND(G3962*F3962,2)</f>
        <v/>
      </c>
      <c r="I3962">
        <f>IF(ROUND(H3962-D3962,2)=0,1,0)</f>
        <v/>
      </c>
      <c r="J3962">
        <f>IF(F3962="","none",IF(G3962=1,"carte","multiple"))</f>
        <v/>
      </c>
    </row>
    <row r="3963">
      <c r="A3963" t="inlineStr">
        <is>
          <t>2022-08-10</t>
        </is>
      </c>
      <c r="B3963" t="inlineStr">
        <is>
          <t>19:25</t>
        </is>
      </c>
      <c r="C3963" t="n">
        <v>3028</v>
      </c>
      <c r="D3963" s="6" t="n">
        <v>6.9</v>
      </c>
      <c r="E3963" t="n">
        <v>40926</v>
      </c>
      <c r="F3963" s="6" t="n">
        <v>6.9</v>
      </c>
      <c r="G3963" t="n">
        <v>1</v>
      </c>
      <c r="H3963" s="6">
        <f>ROUND(G3963*F3963,2)</f>
        <v/>
      </c>
      <c r="I3963">
        <f>IF(ROUND(H3963-D3963,2)=0,1,0)</f>
        <v/>
      </c>
      <c r="J3963">
        <f>IF(F3963="","none",IF(G3963=1,"carte","multiple"))</f>
        <v/>
      </c>
    </row>
    <row r="3964">
      <c r="A3964" t="inlineStr">
        <is>
          <t>2022-08-10</t>
        </is>
      </c>
      <c r="B3964" t="inlineStr">
        <is>
          <t>19:25</t>
        </is>
      </c>
      <c r="C3964" t="n">
        <v>3028</v>
      </c>
      <c r="D3964" s="6" t="n">
        <v>17.6</v>
      </c>
      <c r="E3964" t="n">
        <v>40927</v>
      </c>
      <c r="F3964" s="6" t="n">
        <v>17.6</v>
      </c>
      <c r="G3964" t="n">
        <v>1</v>
      </c>
      <c r="H3964" s="6">
        <f>ROUND(G3964*F3964,2)</f>
        <v/>
      </c>
      <c r="I3964">
        <f>IF(ROUND(H3964-D3964,2)=0,1,0)</f>
        <v/>
      </c>
      <c r="J3964">
        <f>IF(F3964="","none",IF(G3964=1,"carte","multiple"))</f>
        <v/>
      </c>
    </row>
    <row r="3965">
      <c r="A3965" t="inlineStr">
        <is>
          <t>2022-08-10</t>
        </is>
      </c>
      <c r="B3965" t="inlineStr">
        <is>
          <t>19:25</t>
        </is>
      </c>
      <c r="C3965" t="n">
        <v>3028</v>
      </c>
      <c r="D3965" s="6" t="n">
        <v>28.6</v>
      </c>
      <c r="E3965" t="n">
        <v>40928</v>
      </c>
      <c r="F3965" s="6" t="n">
        <v>28.6</v>
      </c>
      <c r="G3965" t="n">
        <v>1</v>
      </c>
      <c r="H3965" s="6">
        <f>ROUND(G3965*F3965,2)</f>
        <v/>
      </c>
      <c r="I3965">
        <f>IF(ROUND(H3965-D3965,2)=0,1,0)</f>
        <v/>
      </c>
      <c r="J3965">
        <f>IF(F3965="","none",IF(G3965=1,"carte","multiple"))</f>
        <v/>
      </c>
    </row>
    <row r="3966">
      <c r="A3966" t="inlineStr">
        <is>
          <t>2022-08-10</t>
        </is>
      </c>
      <c r="B3966" t="inlineStr">
        <is>
          <t>19:25</t>
        </is>
      </c>
      <c r="C3966" t="n">
        <v>3028</v>
      </c>
      <c r="D3966" s="6" t="n">
        <v>4</v>
      </c>
      <c r="E3966" t="n">
        <v>40929</v>
      </c>
      <c r="F3966" s="6" t="n">
        <v>4</v>
      </c>
      <c r="G3966" t="n">
        <v>1</v>
      </c>
      <c r="H3966" s="6">
        <f>ROUND(G3966*F3966,2)</f>
        <v/>
      </c>
      <c r="I3966">
        <f>IF(ROUND(H3966-D3966,2)=0,1,0)</f>
        <v/>
      </c>
      <c r="J3966">
        <f>IF(F3966="","none",IF(G3966=1,"carte","multiple"))</f>
        <v/>
      </c>
    </row>
    <row r="3967">
      <c r="A3967" t="inlineStr">
        <is>
          <t>2022-08-10</t>
        </is>
      </c>
      <c r="B3967" t="inlineStr">
        <is>
          <t>19:25</t>
        </is>
      </c>
      <c r="C3967" t="n">
        <v>3028</v>
      </c>
      <c r="D3967" s="6" t="n">
        <v>7.8</v>
      </c>
      <c r="E3967" t="n">
        <v>40930</v>
      </c>
      <c r="F3967" s="6" t="n">
        <v>7.8</v>
      </c>
      <c r="G3967" t="n">
        <v>1</v>
      </c>
      <c r="H3967" s="6">
        <f>ROUND(G3967*F3967,2)</f>
        <v/>
      </c>
      <c r="I3967">
        <f>IF(ROUND(H3967-D3967,2)=0,1,0)</f>
        <v/>
      </c>
      <c r="J3967">
        <f>IF(F3967="","none",IF(G3967=1,"carte","multiple"))</f>
        <v/>
      </c>
    </row>
    <row r="3968">
      <c r="A3968" t="inlineStr">
        <is>
          <t>2022-08-10</t>
        </is>
      </c>
      <c r="B3968" t="inlineStr">
        <is>
          <t>19:25</t>
        </is>
      </c>
      <c r="C3968" t="n">
        <v>3028</v>
      </c>
      <c r="D3968" s="6" t="n">
        <v>6.4</v>
      </c>
      <c r="E3968" t="n">
        <v>40931</v>
      </c>
      <c r="F3968" s="6" t="n">
        <v>6.4</v>
      </c>
      <c r="G3968" t="n">
        <v>1</v>
      </c>
      <c r="H3968" s="6">
        <f>ROUND(G3968*F3968,2)</f>
        <v/>
      </c>
      <c r="I3968">
        <f>IF(ROUND(H3968-D3968,2)=0,1,0)</f>
        <v/>
      </c>
      <c r="J3968">
        <f>IF(F3968="","none",IF(G3968=1,"carte","multiple"))</f>
        <v/>
      </c>
    </row>
    <row r="3969">
      <c r="A3969" t="inlineStr">
        <is>
          <t>2022-08-10</t>
        </is>
      </c>
      <c r="B3969" t="inlineStr">
        <is>
          <t>19:25</t>
        </is>
      </c>
      <c r="C3969" t="n">
        <v>3028</v>
      </c>
      <c r="D3969" s="6" t="n">
        <v>9.800000000000001</v>
      </c>
      <c r="E3969" t="n">
        <v>40932</v>
      </c>
      <c r="F3969" s="6" t="n">
        <v>9.800000000000001</v>
      </c>
      <c r="G3969" t="n">
        <v>1</v>
      </c>
      <c r="H3969" s="6">
        <f>ROUND(G3969*F3969,2)</f>
        <v/>
      </c>
      <c r="I3969">
        <f>IF(ROUND(H3969-D3969,2)=0,1,0)</f>
        <v/>
      </c>
      <c r="J3969">
        <f>IF(F3969="","none",IF(G3969=1,"carte","multiple"))</f>
        <v/>
      </c>
    </row>
    <row r="3970">
      <c r="A3970" t="inlineStr">
        <is>
          <t>2022-08-10</t>
        </is>
      </c>
      <c r="B3970" t="inlineStr">
        <is>
          <t>19:25</t>
        </is>
      </c>
      <c r="C3970" t="n">
        <v>3028</v>
      </c>
      <c r="D3970" s="6" t="n">
        <v>7.8</v>
      </c>
      <c r="E3970" t="n">
        <v>40933</v>
      </c>
      <c r="F3970" s="6" t="n">
        <v>7.8</v>
      </c>
      <c r="G3970" t="n">
        <v>1</v>
      </c>
      <c r="H3970" s="6">
        <f>ROUND(G3970*F3970,2)</f>
        <v/>
      </c>
      <c r="I3970">
        <f>IF(ROUND(H3970-D3970,2)=0,1,0)</f>
        <v/>
      </c>
      <c r="J3970">
        <f>IF(F3970="","none",IF(G3970=1,"carte","multiple"))</f>
        <v/>
      </c>
    </row>
    <row r="3971">
      <c r="A3971" t="inlineStr">
        <is>
          <t>2022-08-10</t>
        </is>
      </c>
      <c r="B3971" t="inlineStr">
        <is>
          <t>20:20</t>
        </is>
      </c>
      <c r="C3971" t="n">
        <v>3028</v>
      </c>
      <c r="D3971" s="6" t="n">
        <v>2</v>
      </c>
      <c r="E3971" t="n">
        <v>40934</v>
      </c>
      <c r="F3971" s="6" t="n">
        <v>2</v>
      </c>
      <c r="G3971" t="n">
        <v>1</v>
      </c>
      <c r="H3971" s="6">
        <f>ROUND(G3971*F3971,2)</f>
        <v/>
      </c>
      <c r="I3971">
        <f>IF(ROUND(H3971-D3971,2)=0,1,0)</f>
        <v/>
      </c>
      <c r="J3971">
        <f>IF(F3971="","none",IF(G3971=1,"carte","multiple"))</f>
        <v/>
      </c>
    </row>
    <row r="3972">
      <c r="A3972" t="inlineStr">
        <is>
          <t>2022-08-10</t>
        </is>
      </c>
      <c r="B3972" t="inlineStr">
        <is>
          <t>20:26</t>
        </is>
      </c>
      <c r="C3972" t="n">
        <v>3028</v>
      </c>
      <c r="D3972" s="6" t="n">
        <v>4.7</v>
      </c>
      <c r="E3972" t="n">
        <v>40935</v>
      </c>
      <c r="F3972" s="6" t="n">
        <v>4.7</v>
      </c>
      <c r="G3972" t="n">
        <v>1</v>
      </c>
      <c r="H3972" s="6">
        <f>ROUND(G3972*F3972,2)</f>
        <v/>
      </c>
      <c r="I3972">
        <f>IF(ROUND(H3972-D3972,2)=0,1,0)</f>
        <v/>
      </c>
      <c r="J3972">
        <f>IF(F3972="","none",IF(G3972=1,"carte","multiple"))</f>
        <v/>
      </c>
    </row>
    <row r="3973">
      <c r="A3973" t="inlineStr">
        <is>
          <t>2022-08-10</t>
        </is>
      </c>
      <c r="B3973" t="inlineStr">
        <is>
          <t>20:31</t>
        </is>
      </c>
      <c r="C3973" t="n">
        <v>3028</v>
      </c>
      <c r="D3973" s="6" t="n">
        <v>2.2</v>
      </c>
      <c r="E3973" t="n">
        <v>40936</v>
      </c>
      <c r="F3973" s="6" t="n">
        <v>2.2</v>
      </c>
      <c r="G3973" t="n">
        <v>1</v>
      </c>
      <c r="H3973" s="6">
        <f>ROUND(G3973*F3973,2)</f>
        <v/>
      </c>
      <c r="I3973">
        <f>IF(ROUND(H3973-D3973,2)=0,1,0)</f>
        <v/>
      </c>
      <c r="J3973">
        <f>IF(F3973="","none",IF(G3973=1,"carte","multiple"))</f>
        <v/>
      </c>
    </row>
    <row r="3974">
      <c r="A3974" t="inlineStr">
        <is>
          <t>2022-08-10</t>
        </is>
      </c>
      <c r="B3974" t="inlineStr">
        <is>
          <t>20:31</t>
        </is>
      </c>
      <c r="C3974" t="n">
        <v>3028</v>
      </c>
      <c r="D3974" s="6" t="n">
        <v>17.6</v>
      </c>
      <c r="E3974" t="n">
        <v>40937</v>
      </c>
      <c r="F3974" s="6" t="n">
        <v>17.6</v>
      </c>
      <c r="G3974" t="n">
        <v>1</v>
      </c>
      <c r="H3974" s="6">
        <f>ROUND(G3974*F3974,2)</f>
        <v/>
      </c>
      <c r="I3974">
        <f>IF(ROUND(H3974-D3974,2)=0,1,0)</f>
        <v/>
      </c>
      <c r="J3974">
        <f>IF(F3974="","none",IF(G3974=1,"carte","multiple"))</f>
        <v/>
      </c>
    </row>
    <row r="3975">
      <c r="A3975" t="inlineStr">
        <is>
          <t>2022-08-10</t>
        </is>
      </c>
      <c r="B3975" t="inlineStr">
        <is>
          <t>20:31</t>
        </is>
      </c>
      <c r="C3975" t="n">
        <v>3028</v>
      </c>
      <c r="D3975" s="6" t="n">
        <v>3.9</v>
      </c>
      <c r="E3975" t="n">
        <v>40938</v>
      </c>
      <c r="F3975" s="6" t="n">
        <v>3.9</v>
      </c>
      <c r="G3975" t="n">
        <v>1</v>
      </c>
      <c r="H3975" s="6">
        <f>ROUND(G3975*F3975,2)</f>
        <v/>
      </c>
      <c r="I3975">
        <f>IF(ROUND(H3975-D3975,2)=0,1,0)</f>
        <v/>
      </c>
      <c r="J3975">
        <f>IF(F3975="","none",IF(G3975=1,"carte","multiple"))</f>
        <v/>
      </c>
    </row>
    <row r="3976">
      <c r="A3976" t="inlineStr">
        <is>
          <t>2022-08-11</t>
        </is>
      </c>
      <c r="B3976" t="inlineStr">
        <is>
          <t>11:34</t>
        </is>
      </c>
      <c r="C3976" t="n">
        <v>3029</v>
      </c>
      <c r="D3976" s="6" t="n">
        <v>6.6</v>
      </c>
      <c r="E3976" t="n">
        <v>40941</v>
      </c>
      <c r="F3976" s="6" t="n">
        <v>6.6</v>
      </c>
      <c r="G3976" t="n">
        <v>1</v>
      </c>
      <c r="H3976" s="6">
        <f>ROUND(G3976*F3976,2)</f>
        <v/>
      </c>
      <c r="I3976">
        <f>IF(ROUND(H3976-D3976,2)=0,1,0)</f>
        <v/>
      </c>
      <c r="J3976">
        <f>IF(F3976="","none",IF(G3976=1,"carte","multiple"))</f>
        <v/>
      </c>
    </row>
    <row r="3977">
      <c r="A3977" t="inlineStr">
        <is>
          <t>2022-08-11</t>
        </is>
      </c>
      <c r="B3977" t="inlineStr">
        <is>
          <t>11:37</t>
        </is>
      </c>
      <c r="C3977" t="n">
        <v>3029</v>
      </c>
      <c r="D3977" s="6" t="n">
        <v>59.7</v>
      </c>
      <c r="E3977" t="n">
        <v>40942</v>
      </c>
      <c r="F3977" s="6" t="n">
        <v>19.9</v>
      </c>
      <c r="G3977" t="n">
        <v>3</v>
      </c>
      <c r="H3977" s="6">
        <f>ROUND(G3977*F3977,2)</f>
        <v/>
      </c>
      <c r="I3977">
        <f>IF(ROUND(H3977-D3977,2)=0,1,0)</f>
        <v/>
      </c>
      <c r="J3977">
        <f>IF(F3977="","none",IF(G3977=1,"carte","multiple"))</f>
        <v/>
      </c>
    </row>
    <row r="3978">
      <c r="A3978" t="inlineStr">
        <is>
          <t>2022-08-11</t>
        </is>
      </c>
      <c r="B3978" t="inlineStr">
        <is>
          <t>11:37</t>
        </is>
      </c>
      <c r="C3978" t="n">
        <v>3029</v>
      </c>
      <c r="D3978" s="6" t="n">
        <v>11.7</v>
      </c>
      <c r="E3978" t="n">
        <v>40943</v>
      </c>
      <c r="F3978" s="6" t="n">
        <v>0.9</v>
      </c>
      <c r="G3978" t="n">
        <v>13</v>
      </c>
      <c r="H3978" s="6">
        <f>ROUND(G3978*F3978,2)</f>
        <v/>
      </c>
      <c r="I3978">
        <f>IF(ROUND(H3978-D3978,2)=0,1,0)</f>
        <v/>
      </c>
      <c r="J3978">
        <f>IF(F3978="","none",IF(G3978=1,"carte","multiple"))</f>
        <v/>
      </c>
    </row>
    <row r="3979">
      <c r="A3979" t="inlineStr">
        <is>
          <t>2022-08-11</t>
        </is>
      </c>
      <c r="B3979" t="inlineStr">
        <is>
          <t>12:03</t>
        </is>
      </c>
      <c r="C3979" t="n">
        <v>3029</v>
      </c>
      <c r="D3979" s="6" t="n">
        <v>8.699999999999999</v>
      </c>
      <c r="E3979" t="n">
        <v>40944</v>
      </c>
      <c r="F3979" s="6" t="n">
        <v>8.699999999999999</v>
      </c>
      <c r="G3979" t="n">
        <v>1</v>
      </c>
      <c r="H3979" s="6">
        <f>ROUND(G3979*F3979,2)</f>
        <v/>
      </c>
      <c r="I3979">
        <f>IF(ROUND(H3979-D3979,2)=0,1,0)</f>
        <v/>
      </c>
      <c r="J3979">
        <f>IF(F3979="","none",IF(G3979=1,"carte","multiple"))</f>
        <v/>
      </c>
    </row>
    <row r="3980">
      <c r="A3980" t="inlineStr">
        <is>
          <t>2022-08-11</t>
        </is>
      </c>
      <c r="B3980" t="inlineStr">
        <is>
          <t>12:03</t>
        </is>
      </c>
      <c r="C3980" t="n">
        <v>3029</v>
      </c>
      <c r="D3980" s="6" t="n">
        <v>19</v>
      </c>
      <c r="E3980" t="n">
        <v>40945</v>
      </c>
      <c r="F3980" s="6" t="n">
        <v>19</v>
      </c>
      <c r="G3980" t="n">
        <v>1</v>
      </c>
      <c r="H3980" s="6">
        <f>ROUND(G3980*F3980,2)</f>
        <v/>
      </c>
      <c r="I3980">
        <f>IF(ROUND(H3980-D3980,2)=0,1,0)</f>
        <v/>
      </c>
      <c r="J3980">
        <f>IF(F3980="","none",IF(G3980=1,"carte","multiple"))</f>
        <v/>
      </c>
    </row>
    <row r="3981">
      <c r="A3981" t="inlineStr">
        <is>
          <t>2022-08-11</t>
        </is>
      </c>
      <c r="B3981" t="inlineStr">
        <is>
          <t>12:03</t>
        </is>
      </c>
      <c r="C3981" t="n">
        <v>3029</v>
      </c>
      <c r="D3981" s="6" t="n">
        <v>23</v>
      </c>
      <c r="E3981" t="n">
        <v>40946</v>
      </c>
      <c r="F3981" s="6" t="n">
        <v>23</v>
      </c>
      <c r="G3981" t="n">
        <v>1</v>
      </c>
      <c r="H3981" s="6">
        <f>ROUND(G3981*F3981,2)</f>
        <v/>
      </c>
      <c r="I3981">
        <f>IF(ROUND(H3981-D3981,2)=0,1,0)</f>
        <v/>
      </c>
      <c r="J3981">
        <f>IF(F3981="","none",IF(G3981=1,"carte","multiple"))</f>
        <v/>
      </c>
    </row>
    <row r="3982">
      <c r="A3982" t="inlineStr">
        <is>
          <t>2022-08-11</t>
        </is>
      </c>
      <c r="B3982" t="inlineStr">
        <is>
          <t>12:03</t>
        </is>
      </c>
      <c r="C3982" t="n">
        <v>3029</v>
      </c>
      <c r="D3982" s="6" t="n">
        <v>3.9</v>
      </c>
      <c r="E3982" t="n">
        <v>40947</v>
      </c>
      <c r="F3982" s="6" t="n">
        <v>3.9</v>
      </c>
      <c r="G3982" t="n">
        <v>1</v>
      </c>
      <c r="H3982" s="6">
        <f>ROUND(G3982*F3982,2)</f>
        <v/>
      </c>
      <c r="I3982">
        <f>IF(ROUND(H3982-D3982,2)=0,1,0)</f>
        <v/>
      </c>
      <c r="J3982">
        <f>IF(F3982="","none",IF(G3982=1,"carte","multiple"))</f>
        <v/>
      </c>
    </row>
    <row r="3983">
      <c r="A3983" t="inlineStr">
        <is>
          <t>2022-08-11</t>
        </is>
      </c>
      <c r="B3983" t="inlineStr">
        <is>
          <t>12:03</t>
        </is>
      </c>
      <c r="C3983" t="n">
        <v>3029</v>
      </c>
      <c r="D3983" s="6" t="n">
        <v>7.8</v>
      </c>
      <c r="E3983" t="n">
        <v>40948</v>
      </c>
      <c r="F3983" s="6" t="n">
        <v>7.8</v>
      </c>
      <c r="G3983" t="n">
        <v>1</v>
      </c>
      <c r="H3983" s="6">
        <f>ROUND(G3983*F3983,2)</f>
        <v/>
      </c>
      <c r="I3983">
        <f>IF(ROUND(H3983-D3983,2)=0,1,0)</f>
        <v/>
      </c>
      <c r="J3983">
        <f>IF(F3983="","none",IF(G3983=1,"carte","multiple"))</f>
        <v/>
      </c>
    </row>
    <row r="3984">
      <c r="A3984" t="inlineStr">
        <is>
          <t>2022-08-11</t>
        </is>
      </c>
      <c r="B3984" t="inlineStr">
        <is>
          <t>12:45</t>
        </is>
      </c>
      <c r="C3984" t="n">
        <v>3029</v>
      </c>
      <c r="D3984" s="6" t="n">
        <v>15.9</v>
      </c>
      <c r="E3984" t="n">
        <v>40949</v>
      </c>
      <c r="F3984" s="6" t="n">
        <v>15.9</v>
      </c>
      <c r="G3984" t="n">
        <v>1</v>
      </c>
      <c r="H3984" s="6">
        <f>ROUND(G3984*F3984,2)</f>
        <v/>
      </c>
      <c r="I3984">
        <f>IF(ROUND(H3984-D3984,2)=0,1,0)</f>
        <v/>
      </c>
      <c r="J3984">
        <f>IF(F3984="","none",IF(G3984=1,"carte","multiple"))</f>
        <v/>
      </c>
    </row>
    <row r="3985">
      <c r="A3985" t="inlineStr">
        <is>
          <t>2022-08-11</t>
        </is>
      </c>
      <c r="B3985" t="inlineStr">
        <is>
          <t>12:45</t>
        </is>
      </c>
      <c r="C3985" t="n">
        <v>3029</v>
      </c>
      <c r="D3985" s="6" t="n">
        <v>11</v>
      </c>
      <c r="E3985" t="n">
        <v>40950</v>
      </c>
      <c r="F3985" s="6" t="n">
        <v>11</v>
      </c>
      <c r="G3985" t="n">
        <v>1</v>
      </c>
      <c r="H3985" s="6">
        <f>ROUND(G3985*F3985,2)</f>
        <v/>
      </c>
      <c r="I3985">
        <f>IF(ROUND(H3985-D3985,2)=0,1,0)</f>
        <v/>
      </c>
      <c r="J3985">
        <f>IF(F3985="","none",IF(G3985=1,"carte","multiple"))</f>
        <v/>
      </c>
    </row>
    <row r="3986">
      <c r="A3986" t="inlineStr">
        <is>
          <t>2022-08-11</t>
        </is>
      </c>
      <c r="B3986" t="inlineStr">
        <is>
          <t>12:45</t>
        </is>
      </c>
      <c r="C3986" t="n">
        <v>3029</v>
      </c>
      <c r="D3986" s="6" t="n">
        <v>4.4</v>
      </c>
      <c r="E3986" t="n">
        <v>40951</v>
      </c>
      <c r="F3986" s="6" t="n">
        <v>0.4</v>
      </c>
      <c r="G3986" t="n">
        <v>11</v>
      </c>
      <c r="H3986" s="6">
        <f>ROUND(G3986*F3986,2)</f>
        <v/>
      </c>
      <c r="I3986">
        <f>IF(ROUND(H3986-D3986,2)=0,1,0)</f>
        <v/>
      </c>
      <c r="J3986">
        <f>IF(F3986="","none",IF(G3986=1,"carte","multiple"))</f>
        <v/>
      </c>
    </row>
    <row r="3987">
      <c r="A3987" t="inlineStr">
        <is>
          <t>2022-08-11</t>
        </is>
      </c>
      <c r="B3987" t="inlineStr">
        <is>
          <t>17:38</t>
        </is>
      </c>
      <c r="C3987" t="n">
        <v>3029</v>
      </c>
      <c r="D3987" s="6" t="n">
        <v>17.6</v>
      </c>
      <c r="E3987" t="n">
        <v>40952</v>
      </c>
      <c r="F3987" s="6" t="n">
        <v>17.6</v>
      </c>
      <c r="G3987" t="n">
        <v>1</v>
      </c>
      <c r="H3987" s="6">
        <f>ROUND(G3987*F3987,2)</f>
        <v/>
      </c>
      <c r="I3987">
        <f>IF(ROUND(H3987-D3987,2)=0,1,0)</f>
        <v/>
      </c>
      <c r="J3987">
        <f>IF(F3987="","none",IF(G3987=1,"carte","multiple"))</f>
        <v/>
      </c>
    </row>
    <row r="3988">
      <c r="A3988" t="inlineStr">
        <is>
          <t>2022-08-11</t>
        </is>
      </c>
      <c r="B3988" t="inlineStr">
        <is>
          <t>18:27</t>
        </is>
      </c>
      <c r="C3988" t="n">
        <v>3029</v>
      </c>
      <c r="D3988" s="6" t="n">
        <v>2.9</v>
      </c>
      <c r="E3988" t="n">
        <v>40953</v>
      </c>
      <c r="F3988" s="6" t="n">
        <v>2.9</v>
      </c>
      <c r="G3988" t="n">
        <v>1</v>
      </c>
      <c r="H3988" s="6">
        <f>ROUND(G3988*F3988,2)</f>
        <v/>
      </c>
      <c r="I3988">
        <f>IF(ROUND(H3988-D3988,2)=0,1,0)</f>
        <v/>
      </c>
      <c r="J3988">
        <f>IF(F3988="","none",IF(G3988=1,"carte","multiple"))</f>
        <v/>
      </c>
    </row>
    <row r="3989">
      <c r="A3989" t="inlineStr">
        <is>
          <t>2022-08-11</t>
        </is>
      </c>
      <c r="B3989" t="inlineStr">
        <is>
          <t>18:55</t>
        </is>
      </c>
      <c r="C3989" t="n">
        <v>3029</v>
      </c>
      <c r="D3989" s="6" t="n">
        <v>6.9</v>
      </c>
      <c r="E3989" t="n">
        <v>40954</v>
      </c>
      <c r="F3989" s="6" t="n">
        <v>6.9</v>
      </c>
      <c r="G3989" t="n">
        <v>1</v>
      </c>
      <c r="H3989" s="6">
        <f>ROUND(G3989*F3989,2)</f>
        <v/>
      </c>
      <c r="I3989">
        <f>IF(ROUND(H3989-D3989,2)=0,1,0)</f>
        <v/>
      </c>
      <c r="J3989">
        <f>IF(F3989="","none",IF(G3989=1,"carte","multiple"))</f>
        <v/>
      </c>
    </row>
    <row r="3990">
      <c r="A3990" t="inlineStr">
        <is>
          <t>2022-08-11</t>
        </is>
      </c>
      <c r="B3990" t="inlineStr">
        <is>
          <t>19:28</t>
        </is>
      </c>
      <c r="C3990" t="n">
        <v>3029</v>
      </c>
      <c r="D3990" s="6" t="n">
        <v>3.9</v>
      </c>
      <c r="E3990" t="n">
        <v>40955</v>
      </c>
      <c r="F3990" s="6" t="n">
        <v>3.9</v>
      </c>
      <c r="G3990" t="n">
        <v>1</v>
      </c>
      <c r="H3990" s="6">
        <f>ROUND(G3990*F3990,2)</f>
        <v/>
      </c>
      <c r="I3990">
        <f>IF(ROUND(H3990-D3990,2)=0,1,0)</f>
        <v/>
      </c>
      <c r="J3990">
        <f>IF(F3990="","none",IF(G3990=1,"carte","multiple"))</f>
        <v/>
      </c>
    </row>
    <row r="3991">
      <c r="A3991" t="inlineStr">
        <is>
          <t>2022-08-11</t>
        </is>
      </c>
      <c r="B3991" t="inlineStr">
        <is>
          <t>19:28</t>
        </is>
      </c>
      <c r="C3991" t="n">
        <v>3029</v>
      </c>
      <c r="D3991" s="6" t="n">
        <v>7.9</v>
      </c>
      <c r="E3991" t="n">
        <v>40956</v>
      </c>
      <c r="F3991" s="6" t="n">
        <v>7.9</v>
      </c>
      <c r="G3991" t="n">
        <v>1</v>
      </c>
      <c r="H3991" s="6">
        <f>ROUND(G3991*F3991,2)</f>
        <v/>
      </c>
      <c r="I3991">
        <f>IF(ROUND(H3991-D3991,2)=0,1,0)</f>
        <v/>
      </c>
      <c r="J3991">
        <f>IF(F3991="","none",IF(G3991=1,"carte","multiple"))</f>
        <v/>
      </c>
    </row>
    <row r="3992">
      <c r="A3992" t="inlineStr">
        <is>
          <t>2022-08-11</t>
        </is>
      </c>
      <c r="B3992" t="inlineStr">
        <is>
          <t>19:28</t>
        </is>
      </c>
      <c r="C3992" t="n">
        <v>3029</v>
      </c>
      <c r="D3992" s="6" t="n">
        <v>27.8</v>
      </c>
      <c r="E3992" t="n">
        <v>40957</v>
      </c>
      <c r="F3992" s="6" t="n">
        <v>27.8</v>
      </c>
      <c r="G3992" t="n">
        <v>1</v>
      </c>
      <c r="H3992" s="6">
        <f>ROUND(G3992*F3992,2)</f>
        <v/>
      </c>
      <c r="I3992">
        <f>IF(ROUND(H3992-D3992,2)=0,1,0)</f>
        <v/>
      </c>
      <c r="J3992">
        <f>IF(F3992="","none",IF(G3992=1,"carte","multiple"))</f>
        <v/>
      </c>
    </row>
    <row r="3993">
      <c r="A3993" t="inlineStr">
        <is>
          <t>2022-08-11</t>
        </is>
      </c>
      <c r="B3993" t="inlineStr">
        <is>
          <t>19:28</t>
        </is>
      </c>
      <c r="C3993" t="n">
        <v>3029</v>
      </c>
      <c r="D3993" s="6" t="n">
        <v>17.6</v>
      </c>
      <c r="E3993" t="n">
        <v>40958</v>
      </c>
      <c r="F3993" s="6" t="n">
        <v>17.6</v>
      </c>
      <c r="G3993" t="n">
        <v>1</v>
      </c>
      <c r="H3993" s="6">
        <f>ROUND(G3993*F3993,2)</f>
        <v/>
      </c>
      <c r="I3993">
        <f>IF(ROUND(H3993-D3993,2)=0,1,0)</f>
        <v/>
      </c>
      <c r="J3993">
        <f>IF(F3993="","none",IF(G3993=1,"carte","multiple"))</f>
        <v/>
      </c>
    </row>
    <row r="3994">
      <c r="A3994" t="inlineStr">
        <is>
          <t>2022-08-11</t>
        </is>
      </c>
      <c r="B3994" t="inlineStr">
        <is>
          <t>19:28</t>
        </is>
      </c>
      <c r="C3994" t="n">
        <v>3029</v>
      </c>
      <c r="D3994" s="6" t="n">
        <v>4</v>
      </c>
      <c r="E3994" t="n">
        <v>40959</v>
      </c>
      <c r="F3994" s="6" t="n">
        <v>4</v>
      </c>
      <c r="G3994" t="n">
        <v>1</v>
      </c>
      <c r="H3994" s="6">
        <f>ROUND(G3994*F3994,2)</f>
        <v/>
      </c>
      <c r="I3994">
        <f>IF(ROUND(H3994-D3994,2)=0,1,0)</f>
        <v/>
      </c>
      <c r="J3994">
        <f>IF(F3994="","none",IF(G3994=1,"carte","multiple"))</f>
        <v/>
      </c>
    </row>
    <row r="3995">
      <c r="A3995" t="inlineStr">
        <is>
          <t>2022-08-11</t>
        </is>
      </c>
      <c r="B3995" t="inlineStr">
        <is>
          <t>19:28</t>
        </is>
      </c>
      <c r="C3995" t="n">
        <v>3029</v>
      </c>
      <c r="D3995" s="6" t="n">
        <v>9.800000000000001</v>
      </c>
      <c r="E3995" t="n">
        <v>40960</v>
      </c>
      <c r="F3995" s="6" t="n">
        <v>9.800000000000001</v>
      </c>
      <c r="G3995" t="n">
        <v>1</v>
      </c>
      <c r="H3995" s="6">
        <f>ROUND(G3995*F3995,2)</f>
        <v/>
      </c>
      <c r="I3995">
        <f>IF(ROUND(H3995-D3995,2)=0,1,0)</f>
        <v/>
      </c>
      <c r="J3995">
        <f>IF(F3995="","none",IF(G3995=1,"carte","multiple"))</f>
        <v/>
      </c>
    </row>
    <row r="3996">
      <c r="A3996" t="inlineStr">
        <is>
          <t>2022-08-11</t>
        </is>
      </c>
      <c r="B3996" t="inlineStr">
        <is>
          <t>19:28</t>
        </is>
      </c>
      <c r="C3996" t="n">
        <v>3029</v>
      </c>
      <c r="D3996" s="6" t="n">
        <v>5.2</v>
      </c>
      <c r="E3996" t="n">
        <v>40961</v>
      </c>
      <c r="F3996" s="6" t="n">
        <v>5.2</v>
      </c>
      <c r="G3996" t="n">
        <v>1</v>
      </c>
      <c r="H3996" s="6">
        <f>ROUND(G3996*F3996,2)</f>
        <v/>
      </c>
      <c r="I3996">
        <f>IF(ROUND(H3996-D3996,2)=0,1,0)</f>
        <v/>
      </c>
      <c r="J3996">
        <f>IF(F3996="","none",IF(G3996=1,"carte","multiple"))</f>
        <v/>
      </c>
    </row>
    <row r="3997">
      <c r="A3997" t="inlineStr">
        <is>
          <t>2022-08-11</t>
        </is>
      </c>
      <c r="B3997" t="inlineStr">
        <is>
          <t>19:28</t>
        </is>
      </c>
      <c r="C3997" t="n">
        <v>3029</v>
      </c>
      <c r="D3997" s="6" t="n">
        <v>4.9</v>
      </c>
      <c r="E3997" t="n">
        <v>40962</v>
      </c>
      <c r="F3997" s="6" t="n">
        <v>4.9</v>
      </c>
      <c r="G3997" t="n">
        <v>1</v>
      </c>
      <c r="H3997" s="6">
        <f>ROUND(G3997*F3997,2)</f>
        <v/>
      </c>
      <c r="I3997">
        <f>IF(ROUND(H3997-D3997,2)=0,1,0)</f>
        <v/>
      </c>
      <c r="J3997">
        <f>IF(F3997="","none",IF(G3997=1,"carte","multiple"))</f>
        <v/>
      </c>
    </row>
    <row r="3998">
      <c r="A3998" t="inlineStr">
        <is>
          <t>2022-08-11</t>
        </is>
      </c>
      <c r="B3998" t="inlineStr">
        <is>
          <t>19:39</t>
        </is>
      </c>
      <c r="C3998" t="n">
        <v>3029</v>
      </c>
      <c r="D3998" s="6" t="n">
        <v>1.1</v>
      </c>
      <c r="E3998" t="n">
        <v>40963</v>
      </c>
      <c r="F3998" s="6" t="n">
        <v>1.1</v>
      </c>
      <c r="G3998" t="n">
        <v>1</v>
      </c>
      <c r="H3998" s="6">
        <f>ROUND(G3998*F3998,2)</f>
        <v/>
      </c>
      <c r="I3998">
        <f>IF(ROUND(H3998-D3998,2)=0,1,0)</f>
        <v/>
      </c>
      <c r="J3998">
        <f>IF(F3998="","none",IF(G3998=1,"carte","multiple"))</f>
        <v/>
      </c>
    </row>
    <row r="3999">
      <c r="A3999" t="inlineStr">
        <is>
          <t>2022-08-11</t>
        </is>
      </c>
      <c r="B3999" t="inlineStr">
        <is>
          <t>19:39</t>
        </is>
      </c>
      <c r="C3999" t="n">
        <v>3029</v>
      </c>
      <c r="D3999" s="6" t="n">
        <v>9.949999999999999</v>
      </c>
      <c r="E3999" t="n">
        <v>40964</v>
      </c>
      <c r="H3999" t="inlineStr"/>
      <c r="I3999" t="inlineStr"/>
      <c r="J3999">
        <f>IF(F3999="","none",IF(G3999=1,"carte","multiple"))</f>
        <v/>
      </c>
    </row>
    <row r="4000">
      <c r="A4000" t="inlineStr">
        <is>
          <t>2022-08-11</t>
        </is>
      </c>
      <c r="B4000" t="inlineStr">
        <is>
          <t>19:39</t>
        </is>
      </c>
      <c r="C4000" t="n">
        <v>3029</v>
      </c>
      <c r="D4000" s="6" t="n">
        <v>7.95</v>
      </c>
      <c r="E4000" t="n">
        <v>40965</v>
      </c>
      <c r="H4000" t="inlineStr"/>
      <c r="I4000" t="inlineStr"/>
      <c r="J4000">
        <f>IF(F4000="","none",IF(G4000=1,"carte","multiple"))</f>
        <v/>
      </c>
    </row>
    <row r="4001">
      <c r="A4001" t="inlineStr">
        <is>
          <t>2022-08-11</t>
        </is>
      </c>
      <c r="B4001" t="inlineStr">
        <is>
          <t>19:39</t>
        </is>
      </c>
      <c r="C4001" t="n">
        <v>3029</v>
      </c>
      <c r="D4001" s="6" t="n">
        <v>1.95</v>
      </c>
      <c r="E4001" t="n">
        <v>40966</v>
      </c>
      <c r="H4001" t="inlineStr"/>
      <c r="I4001" t="inlineStr"/>
      <c r="J4001">
        <f>IF(F4001="","none",IF(G4001=1,"carte","multiple"))</f>
        <v/>
      </c>
    </row>
    <row r="4002">
      <c r="A4002" t="inlineStr">
        <is>
          <t>2022-08-11</t>
        </is>
      </c>
      <c r="B4002" t="inlineStr">
        <is>
          <t>19:39</t>
        </is>
      </c>
      <c r="C4002" t="n">
        <v>3029</v>
      </c>
      <c r="D4002" s="6" t="n">
        <v>2</v>
      </c>
      <c r="E4002" t="n">
        <v>40967</v>
      </c>
      <c r="F4002" s="6" t="n">
        <v>2</v>
      </c>
      <c r="G4002" t="n">
        <v>1</v>
      </c>
      <c r="H4002" s="6">
        <f>ROUND(G4002*F4002,2)</f>
        <v/>
      </c>
      <c r="I4002">
        <f>IF(ROUND(H4002-D4002,2)=0,1,0)</f>
        <v/>
      </c>
      <c r="J4002">
        <f>IF(F4002="","none",IF(G4002=1,"carte","multiple"))</f>
        <v/>
      </c>
    </row>
    <row r="4003">
      <c r="A4003" t="inlineStr">
        <is>
          <t>2022-08-11</t>
        </is>
      </c>
      <c r="B4003" t="inlineStr">
        <is>
          <t>21:10</t>
        </is>
      </c>
      <c r="C4003" t="n">
        <v>3029</v>
      </c>
      <c r="D4003" s="6" t="n">
        <v>8.300000000000001</v>
      </c>
      <c r="E4003" t="n">
        <v>40968</v>
      </c>
      <c r="F4003" s="6" t="n">
        <v>8.300000000000001</v>
      </c>
      <c r="G4003" t="n">
        <v>1</v>
      </c>
      <c r="H4003" s="6">
        <f>ROUND(G4003*F4003,2)</f>
        <v/>
      </c>
      <c r="I4003">
        <f>IF(ROUND(H4003-D4003,2)=0,1,0)</f>
        <v/>
      </c>
      <c r="J4003">
        <f>IF(F4003="","none",IF(G4003=1,"carte","multiple"))</f>
        <v/>
      </c>
    </row>
    <row r="4004">
      <c r="A4004" t="inlineStr">
        <is>
          <t>2022-08-11</t>
        </is>
      </c>
      <c r="B4004" t="inlineStr">
        <is>
          <t>21:10</t>
        </is>
      </c>
      <c r="C4004" t="n">
        <v>3029</v>
      </c>
      <c r="D4004" s="6" t="n">
        <v>7.9</v>
      </c>
      <c r="E4004" t="n">
        <v>40969</v>
      </c>
      <c r="F4004" s="6" t="n">
        <v>7.9</v>
      </c>
      <c r="G4004" t="n">
        <v>1</v>
      </c>
      <c r="H4004" s="6">
        <f>ROUND(G4004*F4004,2)</f>
        <v/>
      </c>
      <c r="I4004">
        <f>IF(ROUND(H4004-D4004,2)=0,1,0)</f>
        <v/>
      </c>
      <c r="J4004">
        <f>IF(F4004="","none",IF(G4004=1,"carte","multiple"))</f>
        <v/>
      </c>
    </row>
    <row r="4005">
      <c r="A4005" t="inlineStr">
        <is>
          <t>2022-08-11</t>
        </is>
      </c>
      <c r="B4005" t="inlineStr">
        <is>
          <t>21:10</t>
        </is>
      </c>
      <c r="C4005" t="n">
        <v>3029</v>
      </c>
      <c r="D4005" s="6" t="n">
        <v>2.2</v>
      </c>
      <c r="E4005" t="n">
        <v>40970</v>
      </c>
      <c r="F4005" s="6" t="n">
        <v>2.2</v>
      </c>
      <c r="G4005" t="n">
        <v>1</v>
      </c>
      <c r="H4005" s="6">
        <f>ROUND(G4005*F4005,2)</f>
        <v/>
      </c>
      <c r="I4005">
        <f>IF(ROUND(H4005-D4005,2)=0,1,0)</f>
        <v/>
      </c>
      <c r="J4005">
        <f>IF(F4005="","none",IF(G4005=1,"carte","multiple"))</f>
        <v/>
      </c>
    </row>
    <row r="4006">
      <c r="A4006" t="inlineStr">
        <is>
          <t>2022-08-11</t>
        </is>
      </c>
      <c r="B4006" t="inlineStr">
        <is>
          <t>21:10</t>
        </is>
      </c>
      <c r="C4006" t="n">
        <v>3029</v>
      </c>
      <c r="D4006" s="6" t="n">
        <v>16.9</v>
      </c>
      <c r="E4006" t="n">
        <v>40971</v>
      </c>
      <c r="F4006" s="6" t="n">
        <v>16.9</v>
      </c>
      <c r="G4006" t="n">
        <v>1</v>
      </c>
      <c r="H4006" s="6">
        <f>ROUND(G4006*F4006,2)</f>
        <v/>
      </c>
      <c r="I4006">
        <f>IF(ROUND(H4006-D4006,2)=0,1,0)</f>
        <v/>
      </c>
      <c r="J4006">
        <f>IF(F4006="","none",IF(G4006=1,"carte","multiple"))</f>
        <v/>
      </c>
    </row>
    <row r="4007">
      <c r="A4007" t="inlineStr">
        <is>
          <t>2022-08-11</t>
        </is>
      </c>
      <c r="B4007" t="inlineStr">
        <is>
          <t>21:10</t>
        </is>
      </c>
      <c r="C4007" t="n">
        <v>3029</v>
      </c>
      <c r="D4007" s="6" t="n">
        <v>0.9</v>
      </c>
      <c r="E4007" t="n">
        <v>40972</v>
      </c>
      <c r="F4007" s="6" t="n">
        <v>0.9</v>
      </c>
      <c r="G4007" t="n">
        <v>1</v>
      </c>
      <c r="H4007" s="6">
        <f>ROUND(G4007*F4007,2)</f>
        <v/>
      </c>
      <c r="I4007">
        <f>IF(ROUND(H4007-D4007,2)=0,1,0)</f>
        <v/>
      </c>
      <c r="J4007">
        <f>IF(F4007="","none",IF(G4007=1,"carte","multiple"))</f>
        <v/>
      </c>
    </row>
    <row r="4008">
      <c r="A4008" t="inlineStr">
        <is>
          <t>2022-08-11</t>
        </is>
      </c>
      <c r="B4008" t="inlineStr">
        <is>
          <t>21:10</t>
        </is>
      </c>
      <c r="C4008" t="n">
        <v>3029</v>
      </c>
      <c r="D4008" s="6" t="n">
        <v>7.8</v>
      </c>
      <c r="E4008" t="n">
        <v>40973</v>
      </c>
      <c r="F4008" s="6" t="n">
        <v>7.8</v>
      </c>
      <c r="G4008" t="n">
        <v>1</v>
      </c>
      <c r="H4008" s="6">
        <f>ROUND(G4008*F4008,2)</f>
        <v/>
      </c>
      <c r="I4008">
        <f>IF(ROUND(H4008-D4008,2)=0,1,0)</f>
        <v/>
      </c>
      <c r="J4008">
        <f>IF(F4008="","none",IF(G4008=1,"carte","multiple"))</f>
        <v/>
      </c>
    </row>
    <row r="4009">
      <c r="A4009" t="inlineStr">
        <is>
          <t>2022-08-11</t>
        </is>
      </c>
      <c r="B4009" t="inlineStr">
        <is>
          <t>21:10</t>
        </is>
      </c>
      <c r="C4009" t="n">
        <v>3029</v>
      </c>
      <c r="D4009" s="6" t="n">
        <v>2.9</v>
      </c>
      <c r="E4009" t="n">
        <v>40974</v>
      </c>
      <c r="F4009" s="6" t="n">
        <v>2.9</v>
      </c>
      <c r="G4009" t="n">
        <v>1</v>
      </c>
      <c r="H4009" s="6">
        <f>ROUND(G4009*F4009,2)</f>
        <v/>
      </c>
      <c r="I4009">
        <f>IF(ROUND(H4009-D4009,2)=0,1,0)</f>
        <v/>
      </c>
      <c r="J4009">
        <f>IF(F4009="","none",IF(G4009=1,"carte","multiple"))</f>
        <v/>
      </c>
    </row>
    <row r="4010">
      <c r="A4010" t="inlineStr">
        <is>
          <t>2022-08-11</t>
        </is>
      </c>
      <c r="B4010" t="inlineStr">
        <is>
          <t>21:10</t>
        </is>
      </c>
      <c r="C4010" t="n">
        <v>3029</v>
      </c>
      <c r="D4010" s="6" t="n">
        <v>3.9</v>
      </c>
      <c r="E4010" t="n">
        <v>40975</v>
      </c>
      <c r="F4010" s="6" t="n">
        <v>3.9</v>
      </c>
      <c r="G4010" t="n">
        <v>1</v>
      </c>
      <c r="H4010" s="6">
        <f>ROUND(G4010*F4010,2)</f>
        <v/>
      </c>
      <c r="I4010">
        <f>IF(ROUND(H4010-D4010,2)=0,1,0)</f>
        <v/>
      </c>
      <c r="J4010">
        <f>IF(F4010="","none",IF(G4010=1,"carte","multiple"))</f>
        <v/>
      </c>
    </row>
    <row r="4011">
      <c r="A4011" t="inlineStr">
        <is>
          <t>2022-08-11</t>
        </is>
      </c>
      <c r="B4011" t="inlineStr">
        <is>
          <t>21:10</t>
        </is>
      </c>
      <c r="C4011" t="n">
        <v>3029</v>
      </c>
      <c r="D4011" s="6" t="n">
        <v>5.9</v>
      </c>
      <c r="E4011" t="n">
        <v>40976</v>
      </c>
      <c r="F4011" s="6" t="n">
        <v>5.9</v>
      </c>
      <c r="G4011" t="n">
        <v>1</v>
      </c>
      <c r="H4011" s="6">
        <f>ROUND(G4011*F4011,2)</f>
        <v/>
      </c>
      <c r="I4011">
        <f>IF(ROUND(H4011-D4011,2)=0,1,0)</f>
        <v/>
      </c>
      <c r="J4011">
        <f>IF(F4011="","none",IF(G4011=1,"carte","multiple"))</f>
        <v/>
      </c>
    </row>
    <row r="4012">
      <c r="A4012" t="inlineStr">
        <is>
          <t>2022-08-12</t>
        </is>
      </c>
      <c r="B4012" t="inlineStr">
        <is>
          <t>10:39</t>
        </is>
      </c>
      <c r="C4012" t="n">
        <v>3030</v>
      </c>
      <c r="D4012" s="6" t="n">
        <v>15</v>
      </c>
      <c r="E4012" t="n">
        <v>40979</v>
      </c>
      <c r="F4012" s="6" t="n">
        <v>15</v>
      </c>
      <c r="G4012" t="n">
        <v>1</v>
      </c>
      <c r="H4012" s="6">
        <f>ROUND(G4012*F4012,2)</f>
        <v/>
      </c>
      <c r="I4012">
        <f>IF(ROUND(H4012-D4012,2)=0,1,0)</f>
        <v/>
      </c>
      <c r="J4012">
        <f>IF(F4012="","none",IF(G4012=1,"carte","multiple"))</f>
        <v/>
      </c>
    </row>
    <row r="4013">
      <c r="A4013" t="inlineStr">
        <is>
          <t>2022-08-12</t>
        </is>
      </c>
      <c r="B4013" t="inlineStr">
        <is>
          <t>11:01</t>
        </is>
      </c>
      <c r="C4013" t="n">
        <v>3030</v>
      </c>
      <c r="D4013" s="6" t="n">
        <v>2</v>
      </c>
      <c r="E4013" t="n">
        <v>40980</v>
      </c>
      <c r="F4013" s="6" t="n">
        <v>2</v>
      </c>
      <c r="G4013" t="n">
        <v>1</v>
      </c>
      <c r="H4013" s="6">
        <f>ROUND(G4013*F4013,2)</f>
        <v/>
      </c>
      <c r="I4013">
        <f>IF(ROUND(H4013-D4013,2)=0,1,0)</f>
        <v/>
      </c>
      <c r="J4013">
        <f>IF(F4013="","none",IF(G4013=1,"carte","multiple"))</f>
        <v/>
      </c>
    </row>
    <row r="4014">
      <c r="A4014" t="inlineStr">
        <is>
          <t>2022-08-12</t>
        </is>
      </c>
      <c r="B4014" t="inlineStr">
        <is>
          <t>11:41</t>
        </is>
      </c>
      <c r="C4014" t="n">
        <v>3030</v>
      </c>
      <c r="D4014" s="6" t="n">
        <v>4</v>
      </c>
      <c r="E4014" t="n">
        <v>40981</v>
      </c>
      <c r="F4014" s="6" t="n">
        <v>4</v>
      </c>
      <c r="G4014" t="n">
        <v>1</v>
      </c>
      <c r="H4014" s="6">
        <f>ROUND(G4014*F4014,2)</f>
        <v/>
      </c>
      <c r="I4014">
        <f>IF(ROUND(H4014-D4014,2)=0,1,0)</f>
        <v/>
      </c>
      <c r="J4014">
        <f>IF(F4014="","none",IF(G4014=1,"carte","multiple"))</f>
        <v/>
      </c>
    </row>
    <row r="4015">
      <c r="A4015" t="inlineStr">
        <is>
          <t>2022-08-12</t>
        </is>
      </c>
      <c r="B4015" t="inlineStr">
        <is>
          <t>11:47</t>
        </is>
      </c>
      <c r="C4015" t="n">
        <v>3030</v>
      </c>
      <c r="D4015" s="6" t="n">
        <v>7.2</v>
      </c>
      <c r="E4015" t="n">
        <v>40982</v>
      </c>
      <c r="F4015" s="6" t="n">
        <v>7.2</v>
      </c>
      <c r="G4015" t="n">
        <v>1</v>
      </c>
      <c r="H4015" s="6">
        <f>ROUND(G4015*F4015,2)</f>
        <v/>
      </c>
      <c r="I4015">
        <f>IF(ROUND(H4015-D4015,2)=0,1,0)</f>
        <v/>
      </c>
      <c r="J4015">
        <f>IF(F4015="","none",IF(G4015=1,"carte","multiple"))</f>
        <v/>
      </c>
    </row>
    <row r="4016">
      <c r="A4016" t="inlineStr">
        <is>
          <t>2022-08-12</t>
        </is>
      </c>
      <c r="B4016" t="inlineStr">
        <is>
          <t>11:48</t>
        </is>
      </c>
      <c r="C4016" t="n">
        <v>3030</v>
      </c>
      <c r="D4016" s="6" t="n">
        <v>4</v>
      </c>
      <c r="E4016" t="n">
        <v>40983</v>
      </c>
      <c r="F4016" s="6" t="n">
        <v>4</v>
      </c>
      <c r="G4016" t="n">
        <v>1</v>
      </c>
      <c r="H4016" s="6">
        <f>ROUND(G4016*F4016,2)</f>
        <v/>
      </c>
      <c r="I4016">
        <f>IF(ROUND(H4016-D4016,2)=0,1,0)</f>
        <v/>
      </c>
      <c r="J4016">
        <f>IF(F4016="","none",IF(G4016=1,"carte","multiple"))</f>
        <v/>
      </c>
    </row>
    <row r="4017">
      <c r="A4017" t="inlineStr">
        <is>
          <t>2022-08-12</t>
        </is>
      </c>
      <c r="B4017" t="inlineStr">
        <is>
          <t>11:51</t>
        </is>
      </c>
      <c r="C4017" t="n">
        <v>3030</v>
      </c>
      <c r="D4017" s="6" t="n">
        <v>15</v>
      </c>
      <c r="E4017" t="n">
        <v>40984</v>
      </c>
      <c r="F4017" s="6" t="n">
        <v>15</v>
      </c>
      <c r="G4017" t="n">
        <v>1</v>
      </c>
      <c r="H4017" s="6">
        <f>ROUND(G4017*F4017,2)</f>
        <v/>
      </c>
      <c r="I4017">
        <f>IF(ROUND(H4017-D4017,2)=0,1,0)</f>
        <v/>
      </c>
      <c r="J4017">
        <f>IF(F4017="","none",IF(G4017=1,"carte","multiple"))</f>
        <v/>
      </c>
    </row>
    <row r="4018">
      <c r="A4018" t="inlineStr">
        <is>
          <t>2022-08-12</t>
        </is>
      </c>
      <c r="B4018" t="inlineStr">
        <is>
          <t>12:18</t>
        </is>
      </c>
      <c r="C4018" t="n">
        <v>3030</v>
      </c>
      <c r="D4018" s="6" t="n">
        <v>35.2</v>
      </c>
      <c r="E4018" t="n">
        <v>40985</v>
      </c>
      <c r="F4018" s="6" t="n">
        <v>0.4</v>
      </c>
      <c r="G4018" t="n">
        <v>88</v>
      </c>
      <c r="H4018" s="6">
        <f>ROUND(G4018*F4018,2)</f>
        <v/>
      </c>
      <c r="I4018">
        <f>IF(ROUND(H4018-D4018,2)=0,1,0)</f>
        <v/>
      </c>
      <c r="J4018">
        <f>IF(F4018="","none",IF(G4018=1,"carte","multiple"))</f>
        <v/>
      </c>
    </row>
    <row r="4019">
      <c r="A4019" t="inlineStr">
        <is>
          <t>2022-08-12</t>
        </is>
      </c>
      <c r="B4019" t="inlineStr">
        <is>
          <t>12:18</t>
        </is>
      </c>
      <c r="C4019" t="n">
        <v>3030</v>
      </c>
      <c r="D4019" s="6" t="n">
        <v>31.8</v>
      </c>
      <c r="E4019" t="n">
        <v>40986</v>
      </c>
      <c r="F4019" s="6" t="n">
        <v>31.8</v>
      </c>
      <c r="G4019" t="n">
        <v>1</v>
      </c>
      <c r="H4019" s="6">
        <f>ROUND(G4019*F4019,2)</f>
        <v/>
      </c>
      <c r="I4019">
        <f>IF(ROUND(H4019-D4019,2)=0,1,0)</f>
        <v/>
      </c>
      <c r="J4019">
        <f>IF(F4019="","none",IF(G4019=1,"carte","multiple"))</f>
        <v/>
      </c>
    </row>
    <row r="4020">
      <c r="A4020" t="inlineStr">
        <is>
          <t>2022-08-12</t>
        </is>
      </c>
      <c r="B4020" t="inlineStr">
        <is>
          <t>12:34</t>
        </is>
      </c>
      <c r="C4020" t="n">
        <v>3030</v>
      </c>
      <c r="D4020" s="6" t="n">
        <v>3.9</v>
      </c>
      <c r="E4020" t="n">
        <v>40987</v>
      </c>
      <c r="F4020" s="6" t="n">
        <v>3.9</v>
      </c>
      <c r="G4020" t="n">
        <v>1</v>
      </c>
      <c r="H4020" s="6">
        <f>ROUND(G4020*F4020,2)</f>
        <v/>
      </c>
      <c r="I4020">
        <f>IF(ROUND(H4020-D4020,2)=0,1,0)</f>
        <v/>
      </c>
      <c r="J4020">
        <f>IF(F4020="","none",IF(G4020=1,"carte","multiple"))</f>
        <v/>
      </c>
    </row>
    <row r="4021">
      <c r="A4021" t="inlineStr">
        <is>
          <t>2022-08-12</t>
        </is>
      </c>
      <c r="B4021" t="inlineStr">
        <is>
          <t>12:43</t>
        </is>
      </c>
      <c r="C4021" t="n">
        <v>3030</v>
      </c>
      <c r="D4021" s="6" t="n">
        <v>2.4</v>
      </c>
      <c r="E4021" t="n">
        <v>40988</v>
      </c>
      <c r="F4021" s="6" t="n">
        <v>2.4</v>
      </c>
      <c r="G4021" t="n">
        <v>1</v>
      </c>
      <c r="H4021" s="6">
        <f>ROUND(G4021*F4021,2)</f>
        <v/>
      </c>
      <c r="I4021">
        <f>IF(ROUND(H4021-D4021,2)=0,1,0)</f>
        <v/>
      </c>
      <c r="J4021">
        <f>IF(F4021="","none",IF(G4021=1,"carte","multiple"))</f>
        <v/>
      </c>
    </row>
    <row r="4022">
      <c r="A4022" t="inlineStr">
        <is>
          <t>2022-08-12</t>
        </is>
      </c>
      <c r="B4022" t="inlineStr">
        <is>
          <t>12:43</t>
        </is>
      </c>
      <c r="C4022" t="n">
        <v>3030</v>
      </c>
      <c r="D4022" s="6" t="n">
        <v>4</v>
      </c>
      <c r="E4022" t="n">
        <v>40989</v>
      </c>
      <c r="F4022" s="6" t="n">
        <v>4</v>
      </c>
      <c r="G4022" t="n">
        <v>1</v>
      </c>
      <c r="H4022" s="6">
        <f>ROUND(G4022*F4022,2)</f>
        <v/>
      </c>
      <c r="I4022">
        <f>IF(ROUND(H4022-D4022,2)=0,1,0)</f>
        <v/>
      </c>
      <c r="J4022">
        <f>IF(F4022="","none",IF(G4022=1,"carte","multiple"))</f>
        <v/>
      </c>
    </row>
    <row r="4023">
      <c r="A4023" t="inlineStr">
        <is>
          <t>2022-08-12</t>
        </is>
      </c>
      <c r="B4023" t="inlineStr">
        <is>
          <t>12:43</t>
        </is>
      </c>
      <c r="C4023" t="n">
        <v>3030</v>
      </c>
      <c r="D4023" s="6" t="n">
        <v>15</v>
      </c>
      <c r="E4023" t="n">
        <v>40990</v>
      </c>
      <c r="F4023" s="6" t="n">
        <v>15</v>
      </c>
      <c r="G4023" t="n">
        <v>1</v>
      </c>
      <c r="H4023" s="6">
        <f>ROUND(G4023*F4023,2)</f>
        <v/>
      </c>
      <c r="I4023">
        <f>IF(ROUND(H4023-D4023,2)=0,1,0)</f>
        <v/>
      </c>
      <c r="J4023">
        <f>IF(F4023="","none",IF(G4023=1,"carte","multiple"))</f>
        <v/>
      </c>
    </row>
    <row r="4024">
      <c r="A4024" t="inlineStr">
        <is>
          <t>2022-08-12</t>
        </is>
      </c>
      <c r="B4024" t="inlineStr">
        <is>
          <t>12:43</t>
        </is>
      </c>
      <c r="C4024" t="n">
        <v>3030</v>
      </c>
      <c r="D4024" s="6" t="n">
        <v>11</v>
      </c>
      <c r="E4024" t="n">
        <v>40991</v>
      </c>
      <c r="F4024" s="6" t="n">
        <v>11</v>
      </c>
      <c r="G4024" t="n">
        <v>1</v>
      </c>
      <c r="H4024" s="6">
        <f>ROUND(G4024*F4024,2)</f>
        <v/>
      </c>
      <c r="I4024">
        <f>IF(ROUND(H4024-D4024,2)=0,1,0)</f>
        <v/>
      </c>
      <c r="J4024">
        <f>IF(F4024="","none",IF(G4024=1,"carte","multiple"))</f>
        <v/>
      </c>
    </row>
    <row r="4025">
      <c r="A4025" t="inlineStr">
        <is>
          <t>2022-08-12</t>
        </is>
      </c>
      <c r="B4025" t="inlineStr">
        <is>
          <t>12:43</t>
        </is>
      </c>
      <c r="C4025" t="n">
        <v>3030</v>
      </c>
      <c r="D4025" s="6" t="n">
        <v>11.7</v>
      </c>
      <c r="E4025" t="n">
        <v>40992</v>
      </c>
      <c r="F4025" s="6" t="n">
        <v>0.9</v>
      </c>
      <c r="G4025" t="n">
        <v>13</v>
      </c>
      <c r="H4025" s="6">
        <f>ROUND(G4025*F4025,2)</f>
        <v/>
      </c>
      <c r="I4025">
        <f>IF(ROUND(H4025-D4025,2)=0,1,0)</f>
        <v/>
      </c>
      <c r="J4025">
        <f>IF(F4025="","none",IF(G4025=1,"carte","multiple"))</f>
        <v/>
      </c>
    </row>
    <row r="4026">
      <c r="A4026" t="inlineStr">
        <is>
          <t>2022-08-12</t>
        </is>
      </c>
      <c r="B4026" t="inlineStr">
        <is>
          <t>18:42</t>
        </is>
      </c>
      <c r="C4026" t="n">
        <v>3030</v>
      </c>
      <c r="D4026" s="6" t="n">
        <v>5.9</v>
      </c>
      <c r="E4026" t="n">
        <v>40995</v>
      </c>
      <c r="F4026" s="6" t="n">
        <v>5.9</v>
      </c>
      <c r="G4026" t="n">
        <v>1</v>
      </c>
      <c r="H4026" s="6">
        <f>ROUND(G4026*F4026,2)</f>
        <v/>
      </c>
      <c r="I4026">
        <f>IF(ROUND(H4026-D4026,2)=0,1,0)</f>
        <v/>
      </c>
      <c r="J4026">
        <f>IF(F4026="","none",IF(G4026=1,"carte","multiple"))</f>
        <v/>
      </c>
    </row>
    <row r="4027">
      <c r="A4027" t="inlineStr">
        <is>
          <t>2022-08-12</t>
        </is>
      </c>
      <c r="B4027" t="inlineStr">
        <is>
          <t>18:42</t>
        </is>
      </c>
      <c r="C4027" t="n">
        <v>3030</v>
      </c>
      <c r="D4027" s="6" t="n">
        <v>48</v>
      </c>
      <c r="E4027" t="n">
        <v>40996</v>
      </c>
      <c r="F4027" s="6" t="n">
        <v>0.4</v>
      </c>
      <c r="G4027" t="n">
        <v>120</v>
      </c>
      <c r="H4027" s="6">
        <f>ROUND(G4027*F4027,2)</f>
        <v/>
      </c>
      <c r="I4027">
        <f>IF(ROUND(H4027-D4027,2)=0,1,0)</f>
        <v/>
      </c>
      <c r="J4027">
        <f>IF(F4027="","none",IF(G4027=1,"carte","multiple"))</f>
        <v/>
      </c>
    </row>
    <row r="4028">
      <c r="A4028" t="inlineStr">
        <is>
          <t>2022-08-12</t>
        </is>
      </c>
      <c r="B4028" t="inlineStr">
        <is>
          <t>18:42</t>
        </is>
      </c>
      <c r="C4028" t="n">
        <v>3030</v>
      </c>
      <c r="D4028" s="6" t="n">
        <v>33.8</v>
      </c>
      <c r="E4028" t="n">
        <v>40997</v>
      </c>
      <c r="F4028" s="6" t="n">
        <v>16.9</v>
      </c>
      <c r="G4028" t="n">
        <v>2</v>
      </c>
      <c r="H4028" s="6">
        <f>ROUND(G4028*F4028,2)</f>
        <v/>
      </c>
      <c r="I4028">
        <f>IF(ROUND(H4028-D4028,2)=0,1,0)</f>
        <v/>
      </c>
      <c r="J4028">
        <f>IF(F4028="","none",IF(G4028=1,"carte","multiple"))</f>
        <v/>
      </c>
    </row>
    <row r="4029">
      <c r="A4029" t="inlineStr">
        <is>
          <t>2022-08-12</t>
        </is>
      </c>
      <c r="B4029" t="inlineStr">
        <is>
          <t>18:42</t>
        </is>
      </c>
      <c r="C4029" t="n">
        <v>3030</v>
      </c>
      <c r="D4029" s="6" t="n">
        <v>36</v>
      </c>
      <c r="E4029" t="n">
        <v>40998</v>
      </c>
      <c r="F4029" s="6" t="n">
        <v>36</v>
      </c>
      <c r="G4029" t="n">
        <v>1</v>
      </c>
      <c r="H4029" s="6">
        <f>ROUND(G4029*F4029,2)</f>
        <v/>
      </c>
      <c r="I4029">
        <f>IF(ROUND(H4029-D4029,2)=0,1,0)</f>
        <v/>
      </c>
      <c r="J4029">
        <f>IF(F4029="","none",IF(G4029=1,"carte","multiple"))</f>
        <v/>
      </c>
    </row>
    <row r="4030">
      <c r="A4030" t="inlineStr">
        <is>
          <t>2022-08-12</t>
        </is>
      </c>
      <c r="B4030" t="inlineStr">
        <is>
          <t>19:32</t>
        </is>
      </c>
      <c r="C4030" t="n">
        <v>3030</v>
      </c>
      <c r="D4030" s="6" t="n">
        <v>2</v>
      </c>
      <c r="E4030" t="n">
        <v>40999</v>
      </c>
      <c r="F4030" s="6" t="n">
        <v>2</v>
      </c>
      <c r="G4030" t="n">
        <v>1</v>
      </c>
      <c r="H4030" s="6">
        <f>ROUND(G4030*F4030,2)</f>
        <v/>
      </c>
      <c r="I4030">
        <f>IF(ROUND(H4030-D4030,2)=0,1,0)</f>
        <v/>
      </c>
      <c r="J4030">
        <f>IF(F4030="","none",IF(G4030=1,"carte","multiple"))</f>
        <v/>
      </c>
    </row>
    <row r="4031">
      <c r="A4031" t="inlineStr">
        <is>
          <t>2022-08-12</t>
        </is>
      </c>
      <c r="B4031" t="inlineStr">
        <is>
          <t>19:32</t>
        </is>
      </c>
      <c r="C4031" t="n">
        <v>3030</v>
      </c>
      <c r="D4031" s="6" t="n">
        <v>18.6</v>
      </c>
      <c r="E4031" t="n">
        <v>41000</v>
      </c>
      <c r="F4031" s="6" t="n">
        <v>18.6</v>
      </c>
      <c r="G4031" t="n">
        <v>1</v>
      </c>
      <c r="H4031" s="6">
        <f>ROUND(G4031*F4031,2)</f>
        <v/>
      </c>
      <c r="I4031">
        <f>IF(ROUND(H4031-D4031,2)=0,1,0)</f>
        <v/>
      </c>
      <c r="J4031">
        <f>IF(F4031="","none",IF(G4031=1,"carte","multiple"))</f>
        <v/>
      </c>
    </row>
    <row r="4032">
      <c r="A4032" t="inlineStr">
        <is>
          <t>2022-08-12</t>
        </is>
      </c>
      <c r="B4032" t="inlineStr">
        <is>
          <t>19:32</t>
        </is>
      </c>
      <c r="C4032" t="n">
        <v>3030</v>
      </c>
      <c r="D4032" s="6" t="n">
        <v>19.9</v>
      </c>
      <c r="E4032" t="n">
        <v>41001</v>
      </c>
      <c r="F4032" s="6" t="n">
        <v>19.9</v>
      </c>
      <c r="G4032" t="n">
        <v>1</v>
      </c>
      <c r="H4032" s="6">
        <f>ROUND(G4032*F4032,2)</f>
        <v/>
      </c>
      <c r="I4032">
        <f>IF(ROUND(H4032-D4032,2)=0,1,0)</f>
        <v/>
      </c>
      <c r="J4032">
        <f>IF(F4032="","none",IF(G4032=1,"carte","multiple"))</f>
        <v/>
      </c>
    </row>
    <row r="4033">
      <c r="A4033" t="inlineStr">
        <is>
          <t>2022-08-12</t>
        </is>
      </c>
      <c r="B4033" t="inlineStr">
        <is>
          <t>19:32</t>
        </is>
      </c>
      <c r="C4033" t="n">
        <v>3030</v>
      </c>
      <c r="D4033" s="6" t="n">
        <v>7.8</v>
      </c>
      <c r="E4033" t="n">
        <v>41002</v>
      </c>
      <c r="F4033" s="6" t="n">
        <v>7.8</v>
      </c>
      <c r="G4033" t="n">
        <v>1</v>
      </c>
      <c r="H4033" s="6">
        <f>ROUND(G4033*F4033,2)</f>
        <v/>
      </c>
      <c r="I4033">
        <f>IF(ROUND(H4033-D4033,2)=0,1,0)</f>
        <v/>
      </c>
      <c r="J4033">
        <f>IF(F4033="","none",IF(G4033=1,"carte","multiple"))</f>
        <v/>
      </c>
    </row>
    <row r="4034">
      <c r="A4034" t="inlineStr">
        <is>
          <t>2022-08-12</t>
        </is>
      </c>
      <c r="B4034" t="inlineStr">
        <is>
          <t>19:32</t>
        </is>
      </c>
      <c r="C4034" t="n">
        <v>3030</v>
      </c>
      <c r="D4034" s="6" t="n">
        <v>5.2</v>
      </c>
      <c r="E4034" t="n">
        <v>41003</v>
      </c>
      <c r="F4034" s="6" t="n">
        <v>5.2</v>
      </c>
      <c r="G4034" t="n">
        <v>1</v>
      </c>
      <c r="H4034" s="6">
        <f>ROUND(G4034*F4034,2)</f>
        <v/>
      </c>
      <c r="I4034">
        <f>IF(ROUND(H4034-D4034,2)=0,1,0)</f>
        <v/>
      </c>
      <c r="J4034">
        <f>IF(F4034="","none",IF(G4034=1,"carte","multiple"))</f>
        <v/>
      </c>
    </row>
    <row r="4035">
      <c r="A4035" t="inlineStr">
        <is>
          <t>2022-08-12</t>
        </is>
      </c>
      <c r="B4035" t="inlineStr">
        <is>
          <t>19:32</t>
        </is>
      </c>
      <c r="C4035" t="n">
        <v>3030</v>
      </c>
      <c r="D4035" s="6" t="n">
        <v>6</v>
      </c>
      <c r="E4035" t="n">
        <v>41004</v>
      </c>
      <c r="F4035" s="6" t="n">
        <v>6</v>
      </c>
      <c r="G4035" t="n">
        <v>1</v>
      </c>
      <c r="H4035" s="6">
        <f>ROUND(G4035*F4035,2)</f>
        <v/>
      </c>
      <c r="I4035">
        <f>IF(ROUND(H4035-D4035,2)=0,1,0)</f>
        <v/>
      </c>
      <c r="J4035">
        <f>IF(F4035="","none",IF(G4035=1,"carte","multiple"))</f>
        <v/>
      </c>
    </row>
    <row r="4036">
      <c r="A4036" t="inlineStr">
        <is>
          <t>2022-08-12</t>
        </is>
      </c>
      <c r="B4036" t="inlineStr">
        <is>
          <t>19:32</t>
        </is>
      </c>
      <c r="C4036" t="n">
        <v>3030</v>
      </c>
      <c r="D4036" s="6" t="n">
        <v>5.8</v>
      </c>
      <c r="E4036" t="n">
        <v>41005</v>
      </c>
      <c r="F4036" s="6" t="n">
        <v>5.8</v>
      </c>
      <c r="G4036" t="n">
        <v>1</v>
      </c>
      <c r="H4036" s="6">
        <f>ROUND(G4036*F4036,2)</f>
        <v/>
      </c>
      <c r="I4036">
        <f>IF(ROUND(H4036-D4036,2)=0,1,0)</f>
        <v/>
      </c>
      <c r="J4036">
        <f>IF(F4036="","none",IF(G4036=1,"carte","multiple"))</f>
        <v/>
      </c>
    </row>
    <row r="4037">
      <c r="A4037" t="inlineStr">
        <is>
          <t>2022-08-12</t>
        </is>
      </c>
      <c r="B4037" t="inlineStr">
        <is>
          <t>20:39</t>
        </is>
      </c>
      <c r="C4037" t="n">
        <v>3030</v>
      </c>
      <c r="D4037" s="6" t="n">
        <v>2.2</v>
      </c>
      <c r="E4037" t="n">
        <v>41006</v>
      </c>
      <c r="F4037" s="6" t="n">
        <v>2.2</v>
      </c>
      <c r="G4037" t="n">
        <v>1</v>
      </c>
      <c r="H4037" s="6">
        <f>ROUND(G4037*F4037,2)</f>
        <v/>
      </c>
      <c r="I4037">
        <f>IF(ROUND(H4037-D4037,2)=0,1,0)</f>
        <v/>
      </c>
      <c r="J4037">
        <f>IF(F4037="","none",IF(G4037=1,"carte","multiple"))</f>
        <v/>
      </c>
    </row>
    <row r="4038">
      <c r="A4038" t="inlineStr">
        <is>
          <t>2022-08-12</t>
        </is>
      </c>
      <c r="B4038" t="inlineStr">
        <is>
          <t>20:39</t>
        </is>
      </c>
      <c r="C4038" t="n">
        <v>3030</v>
      </c>
      <c r="D4038" s="6" t="n">
        <v>27.8</v>
      </c>
      <c r="E4038" t="n">
        <v>41007</v>
      </c>
      <c r="F4038" s="6" t="n">
        <v>27.8</v>
      </c>
      <c r="G4038" t="n">
        <v>1</v>
      </c>
      <c r="H4038" s="6">
        <f>ROUND(G4038*F4038,2)</f>
        <v/>
      </c>
      <c r="I4038">
        <f>IF(ROUND(H4038-D4038,2)=0,1,0)</f>
        <v/>
      </c>
      <c r="J4038">
        <f>IF(F4038="","none",IF(G4038=1,"carte","multiple"))</f>
        <v/>
      </c>
    </row>
    <row r="4039">
      <c r="A4039" t="inlineStr">
        <is>
          <t>2022-08-12</t>
        </is>
      </c>
      <c r="B4039" t="inlineStr">
        <is>
          <t>20:39</t>
        </is>
      </c>
      <c r="C4039" t="n">
        <v>3030</v>
      </c>
      <c r="D4039" s="6" t="n">
        <v>28.6</v>
      </c>
      <c r="E4039" t="n">
        <v>41008</v>
      </c>
      <c r="F4039" s="6" t="n">
        <v>28.6</v>
      </c>
      <c r="G4039" t="n">
        <v>1</v>
      </c>
      <c r="H4039" s="6">
        <f>ROUND(G4039*F4039,2)</f>
        <v/>
      </c>
      <c r="I4039">
        <f>IF(ROUND(H4039-D4039,2)=0,1,0)</f>
        <v/>
      </c>
      <c r="J4039">
        <f>IF(F4039="","none",IF(G4039=1,"carte","multiple"))</f>
        <v/>
      </c>
    </row>
    <row r="4040">
      <c r="A4040" t="inlineStr">
        <is>
          <t>2022-08-12</t>
        </is>
      </c>
      <c r="B4040" t="inlineStr">
        <is>
          <t>20:39</t>
        </is>
      </c>
      <c r="C4040" t="n">
        <v>3030</v>
      </c>
      <c r="D4040" s="6" t="n">
        <v>16.9</v>
      </c>
      <c r="E4040" t="n">
        <v>41009</v>
      </c>
      <c r="F4040" s="6" t="n">
        <v>16.9</v>
      </c>
      <c r="G4040" t="n">
        <v>1</v>
      </c>
      <c r="H4040" s="6">
        <f>ROUND(G4040*F4040,2)</f>
        <v/>
      </c>
      <c r="I4040">
        <f>IF(ROUND(H4040-D4040,2)=0,1,0)</f>
        <v/>
      </c>
      <c r="J4040">
        <f>IF(F4040="","none",IF(G4040=1,"carte","multiple"))</f>
        <v/>
      </c>
    </row>
    <row r="4041">
      <c r="A4041" t="inlineStr">
        <is>
          <t>2022-08-12</t>
        </is>
      </c>
      <c r="B4041" t="inlineStr">
        <is>
          <t>20:39</t>
        </is>
      </c>
      <c r="C4041" t="n">
        <v>3030</v>
      </c>
      <c r="D4041" s="6" t="n">
        <v>7.2</v>
      </c>
      <c r="E4041" t="n">
        <v>41010</v>
      </c>
      <c r="F4041" s="6" t="n">
        <v>7.2</v>
      </c>
      <c r="G4041" t="n">
        <v>1</v>
      </c>
      <c r="H4041" s="6">
        <f>ROUND(G4041*F4041,2)</f>
        <v/>
      </c>
      <c r="I4041">
        <f>IF(ROUND(H4041-D4041,2)=0,1,0)</f>
        <v/>
      </c>
      <c r="J4041">
        <f>IF(F4041="","none",IF(G4041=1,"carte","multiple"))</f>
        <v/>
      </c>
    </row>
    <row r="4042">
      <c r="A4042" t="inlineStr">
        <is>
          <t>2022-08-12</t>
        </is>
      </c>
      <c r="B4042" t="inlineStr">
        <is>
          <t>20:39</t>
        </is>
      </c>
      <c r="C4042" t="n">
        <v>3030</v>
      </c>
      <c r="D4042" s="6" t="n">
        <v>8</v>
      </c>
      <c r="E4042" t="n">
        <v>41011</v>
      </c>
      <c r="F4042" s="6" t="n">
        <v>8</v>
      </c>
      <c r="G4042" t="n">
        <v>1</v>
      </c>
      <c r="H4042" s="6">
        <f>ROUND(G4042*F4042,2)</f>
        <v/>
      </c>
      <c r="I4042">
        <f>IF(ROUND(H4042-D4042,2)=0,1,0)</f>
        <v/>
      </c>
      <c r="J4042">
        <f>IF(F4042="","none",IF(G4042=1,"carte","multiple"))</f>
        <v/>
      </c>
    </row>
    <row r="4043">
      <c r="A4043" t="inlineStr">
        <is>
          <t>2022-08-12</t>
        </is>
      </c>
      <c r="B4043" t="inlineStr">
        <is>
          <t>20:39</t>
        </is>
      </c>
      <c r="C4043" t="n">
        <v>3030</v>
      </c>
      <c r="D4043" s="6" t="n">
        <v>24.9</v>
      </c>
      <c r="E4043" t="n">
        <v>41012</v>
      </c>
      <c r="F4043" s="6" t="n">
        <v>24.9</v>
      </c>
      <c r="G4043" t="n">
        <v>1</v>
      </c>
      <c r="H4043" s="6">
        <f>ROUND(G4043*F4043,2)</f>
        <v/>
      </c>
      <c r="I4043">
        <f>IF(ROUND(H4043-D4043,2)=0,1,0)</f>
        <v/>
      </c>
      <c r="J4043">
        <f>IF(F4043="","none",IF(G4043=1,"carte","multiple"))</f>
        <v/>
      </c>
    </row>
    <row r="4044">
      <c r="A4044" t="inlineStr">
        <is>
          <t>2022-08-12</t>
        </is>
      </c>
      <c r="B4044" t="inlineStr">
        <is>
          <t>21:40</t>
        </is>
      </c>
      <c r="C4044" t="n">
        <v>3030</v>
      </c>
      <c r="D4044" s="6" t="n">
        <v>1.2</v>
      </c>
      <c r="E4044" t="n">
        <v>41013</v>
      </c>
      <c r="F4044" s="6" t="n">
        <v>1.2</v>
      </c>
      <c r="G4044" t="n">
        <v>1</v>
      </c>
      <c r="H4044" s="6">
        <f>ROUND(G4044*F4044,2)</f>
        <v/>
      </c>
      <c r="I4044">
        <f>IF(ROUND(H4044-D4044,2)=0,1,0)</f>
        <v/>
      </c>
      <c r="J4044">
        <f>IF(F4044="","none",IF(G4044=1,"carte","multiple"))</f>
        <v/>
      </c>
    </row>
    <row r="4045">
      <c r="A4045" t="inlineStr">
        <is>
          <t>2022-08-12</t>
        </is>
      </c>
      <c r="B4045" t="inlineStr">
        <is>
          <t>21:40</t>
        </is>
      </c>
      <c r="C4045" t="n">
        <v>3030</v>
      </c>
      <c r="D4045" s="6" t="n">
        <v>4.7</v>
      </c>
      <c r="E4045" t="n">
        <v>41014</v>
      </c>
      <c r="F4045" s="6" t="n">
        <v>4.7</v>
      </c>
      <c r="G4045" t="n">
        <v>1</v>
      </c>
      <c r="H4045" s="6">
        <f>ROUND(G4045*F4045,2)</f>
        <v/>
      </c>
      <c r="I4045">
        <f>IF(ROUND(H4045-D4045,2)=0,1,0)</f>
        <v/>
      </c>
      <c r="J4045">
        <f>IF(F4045="","none",IF(G4045=1,"carte","multiple"))</f>
        <v/>
      </c>
    </row>
    <row r="4046">
      <c r="A4046" t="inlineStr">
        <is>
          <t>2022-08-12</t>
        </is>
      </c>
      <c r="B4046" t="inlineStr">
        <is>
          <t>21:40</t>
        </is>
      </c>
      <c r="C4046" t="n">
        <v>3030</v>
      </c>
      <c r="D4046" s="6" t="n">
        <v>4.7</v>
      </c>
      <c r="E4046" t="n">
        <v>41015</v>
      </c>
      <c r="F4046" s="6" t="n">
        <v>4.7</v>
      </c>
      <c r="G4046" t="n">
        <v>1</v>
      </c>
      <c r="H4046" s="6">
        <f>ROUND(G4046*F4046,2)</f>
        <v/>
      </c>
      <c r="I4046">
        <f>IF(ROUND(H4046-D4046,2)=0,1,0)</f>
        <v/>
      </c>
      <c r="J4046">
        <f>IF(F4046="","none",IF(G4046=1,"carte","multiple"))</f>
        <v/>
      </c>
    </row>
    <row r="4047">
      <c r="A4047" t="inlineStr">
        <is>
          <t>2022-08-12</t>
        </is>
      </c>
      <c r="B4047" t="inlineStr">
        <is>
          <t>21:40</t>
        </is>
      </c>
      <c r="C4047" t="n">
        <v>3030</v>
      </c>
      <c r="D4047" s="6" t="n">
        <v>17.6</v>
      </c>
      <c r="E4047" t="n">
        <v>41016</v>
      </c>
      <c r="F4047" s="6" t="n">
        <v>17.6</v>
      </c>
      <c r="G4047" t="n">
        <v>1</v>
      </c>
      <c r="H4047" s="6">
        <f>ROUND(G4047*F4047,2)</f>
        <v/>
      </c>
      <c r="I4047">
        <f>IF(ROUND(H4047-D4047,2)=0,1,0)</f>
        <v/>
      </c>
      <c r="J4047">
        <f>IF(F4047="","none",IF(G4047=1,"carte","multiple"))</f>
        <v/>
      </c>
    </row>
    <row r="4048">
      <c r="A4048" t="inlineStr">
        <is>
          <t>2022-08-12</t>
        </is>
      </c>
      <c r="B4048" t="inlineStr">
        <is>
          <t>21:40</t>
        </is>
      </c>
      <c r="C4048" t="n">
        <v>3030</v>
      </c>
      <c r="D4048" s="6" t="n">
        <v>15.6</v>
      </c>
      <c r="E4048" t="n">
        <v>41017</v>
      </c>
      <c r="F4048" s="6" t="n">
        <v>15.6</v>
      </c>
      <c r="G4048" t="n">
        <v>1</v>
      </c>
      <c r="H4048" s="6">
        <f>ROUND(G4048*F4048,2)</f>
        <v/>
      </c>
      <c r="I4048">
        <f>IF(ROUND(H4048-D4048,2)=0,1,0)</f>
        <v/>
      </c>
      <c r="J4048">
        <f>IF(F4048="","none",IF(G4048=1,"carte","multiple"))</f>
        <v/>
      </c>
    </row>
    <row r="4049">
      <c r="A4049" t="inlineStr">
        <is>
          <t>2022-08-12</t>
        </is>
      </c>
      <c r="B4049" t="inlineStr">
        <is>
          <t>21:40</t>
        </is>
      </c>
      <c r="C4049" t="n">
        <v>3030</v>
      </c>
      <c r="D4049" s="6" t="n">
        <v>24</v>
      </c>
      <c r="E4049" t="n">
        <v>41018</v>
      </c>
      <c r="F4049" s="6" t="n">
        <v>24</v>
      </c>
      <c r="G4049" t="n">
        <v>1</v>
      </c>
      <c r="H4049" s="6">
        <f>ROUND(G4049*F4049,2)</f>
        <v/>
      </c>
      <c r="I4049">
        <f>IF(ROUND(H4049-D4049,2)=0,1,0)</f>
        <v/>
      </c>
      <c r="J4049">
        <f>IF(F4049="","none",IF(G4049=1,"carte","multiple"))</f>
        <v/>
      </c>
    </row>
    <row r="4050">
      <c r="A4050" t="inlineStr">
        <is>
          <t>2022-08-12</t>
        </is>
      </c>
      <c r="B4050" t="inlineStr">
        <is>
          <t>21:40</t>
        </is>
      </c>
      <c r="C4050" t="n">
        <v>3030</v>
      </c>
      <c r="D4050" s="6" t="n">
        <v>8.4</v>
      </c>
      <c r="E4050" t="n">
        <v>41019</v>
      </c>
      <c r="F4050" s="6" t="n">
        <v>8.4</v>
      </c>
      <c r="G4050" t="n">
        <v>1</v>
      </c>
      <c r="H4050" s="6">
        <f>ROUND(G4050*F4050,2)</f>
        <v/>
      </c>
      <c r="I4050">
        <f>IF(ROUND(H4050-D4050,2)=0,1,0)</f>
        <v/>
      </c>
      <c r="J4050">
        <f>IF(F4050="","none",IF(G4050=1,"carte","multiple"))</f>
        <v/>
      </c>
    </row>
    <row r="4051">
      <c r="A4051" t="inlineStr">
        <is>
          <t>2022-08-13</t>
        </is>
      </c>
      <c r="B4051" t="inlineStr">
        <is>
          <t>11:26</t>
        </is>
      </c>
      <c r="C4051" t="n">
        <v>3031</v>
      </c>
      <c r="D4051" s="6" t="n">
        <v>6</v>
      </c>
      <c r="E4051" t="n">
        <v>41023</v>
      </c>
      <c r="F4051" s="6" t="n">
        <v>6</v>
      </c>
      <c r="G4051" t="n">
        <v>1</v>
      </c>
      <c r="H4051" s="6">
        <f>ROUND(G4051*F4051,2)</f>
        <v/>
      </c>
      <c r="I4051">
        <f>IF(ROUND(H4051-D4051,2)=0,1,0)</f>
        <v/>
      </c>
      <c r="J4051">
        <f>IF(F4051="","none",IF(G4051=1,"carte","multiple"))</f>
        <v/>
      </c>
    </row>
    <row r="4052">
      <c r="A4052" t="inlineStr">
        <is>
          <t>2022-08-13</t>
        </is>
      </c>
      <c r="B4052" t="inlineStr">
        <is>
          <t>11:47</t>
        </is>
      </c>
      <c r="C4052" t="n">
        <v>3031</v>
      </c>
      <c r="D4052" s="6" t="n">
        <v>27.8</v>
      </c>
      <c r="E4052" t="n">
        <v>41024</v>
      </c>
      <c r="F4052" s="6" t="n">
        <v>27.8</v>
      </c>
      <c r="G4052" t="n">
        <v>1</v>
      </c>
      <c r="H4052" s="6">
        <f>ROUND(G4052*F4052,2)</f>
        <v/>
      </c>
      <c r="I4052">
        <f>IF(ROUND(H4052-D4052,2)=0,1,0)</f>
        <v/>
      </c>
      <c r="J4052">
        <f>IF(F4052="","none",IF(G4052=1,"carte","multiple"))</f>
        <v/>
      </c>
    </row>
    <row r="4053">
      <c r="A4053" t="inlineStr">
        <is>
          <t>2022-08-13</t>
        </is>
      </c>
      <c r="B4053" t="inlineStr">
        <is>
          <t>12:01</t>
        </is>
      </c>
      <c r="C4053" t="n">
        <v>3031</v>
      </c>
      <c r="D4053" s="6" t="n">
        <v>11.6</v>
      </c>
      <c r="E4053" t="n">
        <v>41025</v>
      </c>
      <c r="F4053" s="6" t="n">
        <v>11.6</v>
      </c>
      <c r="G4053" t="n">
        <v>1</v>
      </c>
      <c r="H4053" s="6">
        <f>ROUND(G4053*F4053,2)</f>
        <v/>
      </c>
      <c r="I4053">
        <f>IF(ROUND(H4053-D4053,2)=0,1,0)</f>
        <v/>
      </c>
      <c r="J4053">
        <f>IF(F4053="","none",IF(G4053=1,"carte","multiple"))</f>
        <v/>
      </c>
    </row>
    <row r="4054">
      <c r="A4054" t="inlineStr">
        <is>
          <t>2022-08-13</t>
        </is>
      </c>
      <c r="B4054" t="inlineStr">
        <is>
          <t>12:23</t>
        </is>
      </c>
      <c r="C4054" t="n">
        <v>3031</v>
      </c>
      <c r="D4054" s="6" t="n">
        <v>4.4</v>
      </c>
      <c r="E4054" t="n">
        <v>41026</v>
      </c>
      <c r="F4054" s="6" t="n">
        <v>0.4</v>
      </c>
      <c r="G4054" t="n">
        <v>11</v>
      </c>
      <c r="H4054" s="6">
        <f>ROUND(G4054*F4054,2)</f>
        <v/>
      </c>
      <c r="I4054">
        <f>IF(ROUND(H4054-D4054,2)=0,1,0)</f>
        <v/>
      </c>
      <c r="J4054">
        <f>IF(F4054="","none",IF(G4054=1,"carte","multiple"))</f>
        <v/>
      </c>
    </row>
    <row r="4055">
      <c r="A4055" t="inlineStr">
        <is>
          <t>2022-08-13</t>
        </is>
      </c>
      <c r="B4055" t="inlineStr">
        <is>
          <t>12:23</t>
        </is>
      </c>
      <c r="C4055" t="n">
        <v>3031</v>
      </c>
      <c r="D4055" s="6" t="n">
        <v>3.9</v>
      </c>
      <c r="E4055" t="n">
        <v>41027</v>
      </c>
      <c r="F4055" s="6" t="n">
        <v>3.9</v>
      </c>
      <c r="G4055" t="n">
        <v>1</v>
      </c>
      <c r="H4055" s="6">
        <f>ROUND(G4055*F4055,2)</f>
        <v/>
      </c>
      <c r="I4055">
        <f>IF(ROUND(H4055-D4055,2)=0,1,0)</f>
        <v/>
      </c>
      <c r="J4055">
        <f>IF(F4055="","none",IF(G4055=1,"carte","multiple"))</f>
        <v/>
      </c>
    </row>
    <row r="4056">
      <c r="A4056" t="inlineStr">
        <is>
          <t>2022-08-13</t>
        </is>
      </c>
      <c r="B4056" t="inlineStr">
        <is>
          <t>12:23</t>
        </is>
      </c>
      <c r="C4056" t="n">
        <v>3031</v>
      </c>
      <c r="D4056" s="6" t="n">
        <v>2</v>
      </c>
      <c r="E4056" t="n">
        <v>41028</v>
      </c>
      <c r="F4056" s="6" t="n">
        <v>2</v>
      </c>
      <c r="G4056" t="n">
        <v>1</v>
      </c>
      <c r="H4056" s="6">
        <f>ROUND(G4056*F4056,2)</f>
        <v/>
      </c>
      <c r="I4056">
        <f>IF(ROUND(H4056-D4056,2)=0,1,0)</f>
        <v/>
      </c>
      <c r="J4056">
        <f>IF(F4056="","none",IF(G4056=1,"carte","multiple"))</f>
        <v/>
      </c>
    </row>
    <row r="4057">
      <c r="A4057" t="inlineStr">
        <is>
          <t>2022-08-13</t>
        </is>
      </c>
      <c r="B4057" t="inlineStr">
        <is>
          <t>12:23</t>
        </is>
      </c>
      <c r="C4057" t="n">
        <v>3031</v>
      </c>
      <c r="D4057" s="6" t="n">
        <v>17.6</v>
      </c>
      <c r="E4057" t="n">
        <v>41029</v>
      </c>
      <c r="F4057" s="6" t="n">
        <v>17.6</v>
      </c>
      <c r="G4057" t="n">
        <v>1</v>
      </c>
      <c r="H4057" s="6">
        <f>ROUND(G4057*F4057,2)</f>
        <v/>
      </c>
      <c r="I4057">
        <f>IF(ROUND(H4057-D4057,2)=0,1,0)</f>
        <v/>
      </c>
      <c r="J4057">
        <f>IF(F4057="","none",IF(G4057=1,"carte","multiple"))</f>
        <v/>
      </c>
    </row>
    <row r="4058">
      <c r="A4058" t="inlineStr">
        <is>
          <t>2022-08-13</t>
        </is>
      </c>
      <c r="B4058" t="inlineStr">
        <is>
          <t>12:23</t>
        </is>
      </c>
      <c r="C4058" t="n">
        <v>3031</v>
      </c>
      <c r="D4058" s="6" t="n">
        <v>17.6</v>
      </c>
      <c r="E4058" t="n">
        <v>41030</v>
      </c>
      <c r="F4058" s="6" t="n">
        <v>17.6</v>
      </c>
      <c r="G4058" t="n">
        <v>1</v>
      </c>
      <c r="H4058" s="6">
        <f>ROUND(G4058*F4058,2)</f>
        <v/>
      </c>
      <c r="I4058">
        <f>IF(ROUND(H4058-D4058,2)=0,1,0)</f>
        <v/>
      </c>
      <c r="J4058">
        <f>IF(F4058="","none",IF(G4058=1,"carte","multiple"))</f>
        <v/>
      </c>
    </row>
    <row r="4059">
      <c r="A4059" t="inlineStr">
        <is>
          <t>2022-08-13</t>
        </is>
      </c>
      <c r="B4059" t="inlineStr">
        <is>
          <t>12:23</t>
        </is>
      </c>
      <c r="C4059" t="n">
        <v>3031</v>
      </c>
      <c r="D4059" s="6" t="n">
        <v>19.2</v>
      </c>
      <c r="E4059" t="n">
        <v>41031</v>
      </c>
      <c r="F4059" s="6" t="n">
        <v>0.4</v>
      </c>
      <c r="G4059" t="n">
        <v>48</v>
      </c>
      <c r="H4059" s="6">
        <f>ROUND(G4059*F4059,2)</f>
        <v/>
      </c>
      <c r="I4059">
        <f>IF(ROUND(H4059-D4059,2)=0,1,0)</f>
        <v/>
      </c>
      <c r="J4059">
        <f>IF(F4059="","none",IF(G4059=1,"carte","multiple"))</f>
        <v/>
      </c>
    </row>
    <row r="4060">
      <c r="A4060" t="inlineStr">
        <is>
          <t>2022-08-13</t>
        </is>
      </c>
      <c r="B4060" t="inlineStr">
        <is>
          <t>12:23</t>
        </is>
      </c>
      <c r="C4060" t="n">
        <v>3031</v>
      </c>
      <c r="D4060" s="6" t="n">
        <v>15.8</v>
      </c>
      <c r="E4060" t="n">
        <v>41032</v>
      </c>
      <c r="F4060" s="6" t="n">
        <v>7.9</v>
      </c>
      <c r="G4060" t="n">
        <v>2</v>
      </c>
      <c r="H4060" s="6">
        <f>ROUND(G4060*F4060,2)</f>
        <v/>
      </c>
      <c r="I4060">
        <f>IF(ROUND(H4060-D4060,2)=0,1,0)</f>
        <v/>
      </c>
      <c r="J4060">
        <f>IF(F4060="","none",IF(G4060=1,"carte","multiple"))</f>
        <v/>
      </c>
    </row>
    <row r="4061">
      <c r="A4061" t="inlineStr">
        <is>
          <t>2022-08-13</t>
        </is>
      </c>
      <c r="B4061" t="inlineStr">
        <is>
          <t>12:28</t>
        </is>
      </c>
      <c r="C4061" t="n">
        <v>3031</v>
      </c>
      <c r="D4061" s="6" t="n">
        <v>6.6</v>
      </c>
      <c r="E4061" t="n">
        <v>41033</v>
      </c>
      <c r="F4061" s="6" t="n">
        <v>6.6</v>
      </c>
      <c r="G4061" t="n">
        <v>1</v>
      </c>
      <c r="H4061" s="6">
        <f>ROUND(G4061*F4061,2)</f>
        <v/>
      </c>
      <c r="I4061">
        <f>IF(ROUND(H4061-D4061,2)=0,1,0)</f>
        <v/>
      </c>
      <c r="J4061">
        <f>IF(F4061="","none",IF(G4061=1,"carte","multiple"))</f>
        <v/>
      </c>
    </row>
    <row r="4062">
      <c r="A4062" t="inlineStr">
        <is>
          <t>2022-08-13</t>
        </is>
      </c>
      <c r="B4062" t="inlineStr">
        <is>
          <t>12:28</t>
        </is>
      </c>
      <c r="C4062" t="n">
        <v>3031</v>
      </c>
      <c r="D4062" s="6" t="n">
        <v>5.9</v>
      </c>
      <c r="E4062" t="n">
        <v>41034</v>
      </c>
      <c r="F4062" s="6" t="n">
        <v>5.9</v>
      </c>
      <c r="G4062" t="n">
        <v>1</v>
      </c>
      <c r="H4062" s="6">
        <f>ROUND(G4062*F4062,2)</f>
        <v/>
      </c>
      <c r="I4062">
        <f>IF(ROUND(H4062-D4062,2)=0,1,0)</f>
        <v/>
      </c>
      <c r="J4062">
        <f>IF(F4062="","none",IF(G4062=1,"carte","multiple"))</f>
        <v/>
      </c>
    </row>
    <row r="4063">
      <c r="A4063" t="inlineStr">
        <is>
          <t>2022-08-13</t>
        </is>
      </c>
      <c r="B4063" t="inlineStr">
        <is>
          <t>12:28</t>
        </is>
      </c>
      <c r="C4063" t="n">
        <v>3031</v>
      </c>
      <c r="D4063" s="6" t="n">
        <v>72</v>
      </c>
      <c r="E4063" t="n">
        <v>41035</v>
      </c>
      <c r="F4063" s="6" t="n">
        <v>0.4</v>
      </c>
      <c r="G4063" t="n">
        <v>180</v>
      </c>
      <c r="H4063" s="6">
        <f>ROUND(G4063*F4063,2)</f>
        <v/>
      </c>
      <c r="I4063">
        <f>IF(ROUND(H4063-D4063,2)=0,1,0)</f>
        <v/>
      </c>
      <c r="J4063">
        <f>IF(F4063="","none",IF(G4063=1,"carte","multiple"))</f>
        <v/>
      </c>
    </row>
    <row r="4064">
      <c r="A4064" t="inlineStr">
        <is>
          <t>2022-08-13</t>
        </is>
      </c>
      <c r="B4064" t="inlineStr">
        <is>
          <t>12:28</t>
        </is>
      </c>
      <c r="C4064" t="n">
        <v>3031</v>
      </c>
      <c r="D4064" s="6" t="n">
        <v>5.9</v>
      </c>
      <c r="E4064" t="n">
        <v>41036</v>
      </c>
      <c r="F4064" s="6" t="n">
        <v>5.9</v>
      </c>
      <c r="G4064" t="n">
        <v>1</v>
      </c>
      <c r="H4064" s="6">
        <f>ROUND(G4064*F4064,2)</f>
        <v/>
      </c>
      <c r="I4064">
        <f>IF(ROUND(H4064-D4064,2)=0,1,0)</f>
        <v/>
      </c>
      <c r="J4064">
        <f>IF(F4064="","none",IF(G4064=1,"carte","multiple"))</f>
        <v/>
      </c>
    </row>
    <row r="4065">
      <c r="A4065" t="inlineStr">
        <is>
          <t>2022-08-13</t>
        </is>
      </c>
      <c r="B4065" t="inlineStr">
        <is>
          <t>12:28</t>
        </is>
      </c>
      <c r="C4065" t="n">
        <v>3031</v>
      </c>
      <c r="D4065" s="6" t="n">
        <v>4</v>
      </c>
      <c r="E4065" t="n">
        <v>41037</v>
      </c>
      <c r="F4065" s="6" t="n">
        <v>4</v>
      </c>
      <c r="G4065" t="n">
        <v>1</v>
      </c>
      <c r="H4065" s="6">
        <f>ROUND(G4065*F4065,2)</f>
        <v/>
      </c>
      <c r="I4065">
        <f>IF(ROUND(H4065-D4065,2)=0,1,0)</f>
        <v/>
      </c>
      <c r="J4065">
        <f>IF(F4065="","none",IF(G4065=1,"carte","multiple"))</f>
        <v/>
      </c>
    </row>
    <row r="4066">
      <c r="A4066" t="inlineStr">
        <is>
          <t>2022-08-13</t>
        </is>
      </c>
      <c r="B4066" t="inlineStr">
        <is>
          <t>12:28</t>
        </is>
      </c>
      <c r="C4066" t="n">
        <v>3031</v>
      </c>
      <c r="D4066" s="6" t="n">
        <v>56</v>
      </c>
      <c r="E4066" t="n">
        <v>41038</v>
      </c>
      <c r="F4066" s="6" t="n">
        <v>0.4</v>
      </c>
      <c r="G4066" t="n">
        <v>140</v>
      </c>
      <c r="H4066" s="6">
        <f>ROUND(G4066*F4066,2)</f>
        <v/>
      </c>
      <c r="I4066">
        <f>IF(ROUND(H4066-D4066,2)=0,1,0)</f>
        <v/>
      </c>
      <c r="J4066">
        <f>IF(F4066="","none",IF(G4066=1,"carte","multiple"))</f>
        <v/>
      </c>
    </row>
    <row r="4067">
      <c r="A4067" t="inlineStr">
        <is>
          <t>2022-08-13</t>
        </is>
      </c>
      <c r="B4067" t="inlineStr">
        <is>
          <t>12:37</t>
        </is>
      </c>
      <c r="C4067" t="n">
        <v>3031</v>
      </c>
      <c r="D4067" s="6" t="n">
        <v>3.9</v>
      </c>
      <c r="E4067" t="n">
        <v>41039</v>
      </c>
      <c r="F4067" s="6" t="n">
        <v>3.9</v>
      </c>
      <c r="G4067" t="n">
        <v>1</v>
      </c>
      <c r="H4067" s="6">
        <f>ROUND(G4067*F4067,2)</f>
        <v/>
      </c>
      <c r="I4067">
        <f>IF(ROUND(H4067-D4067,2)=0,1,0)</f>
        <v/>
      </c>
      <c r="J4067">
        <f>IF(F4067="","none",IF(G4067=1,"carte","multiple"))</f>
        <v/>
      </c>
    </row>
    <row r="4068">
      <c r="A4068" t="inlineStr">
        <is>
          <t>2022-08-13</t>
        </is>
      </c>
      <c r="B4068" t="inlineStr">
        <is>
          <t>17:49</t>
        </is>
      </c>
      <c r="C4068" t="n">
        <v>3031</v>
      </c>
      <c r="D4068" s="6" t="n">
        <v>5.2</v>
      </c>
      <c r="E4068" t="n">
        <v>41040</v>
      </c>
      <c r="F4068" s="6" t="n">
        <v>5.2</v>
      </c>
      <c r="G4068" t="n">
        <v>1</v>
      </c>
      <c r="H4068" s="6">
        <f>ROUND(G4068*F4068,2)</f>
        <v/>
      </c>
      <c r="I4068">
        <f>IF(ROUND(H4068-D4068,2)=0,1,0)</f>
        <v/>
      </c>
      <c r="J4068">
        <f>IF(F4068="","none",IF(G4068=1,"carte","multiple"))</f>
        <v/>
      </c>
    </row>
    <row r="4069">
      <c r="A4069" t="inlineStr">
        <is>
          <t>2022-08-13</t>
        </is>
      </c>
      <c r="B4069" t="inlineStr">
        <is>
          <t>17:55</t>
        </is>
      </c>
      <c r="C4069" t="n">
        <v>3031</v>
      </c>
      <c r="D4069" s="6" t="n">
        <v>8.9</v>
      </c>
      <c r="E4069" t="n">
        <v>41041</v>
      </c>
      <c r="F4069" s="6" t="n">
        <v>8.9</v>
      </c>
      <c r="G4069" t="n">
        <v>1</v>
      </c>
      <c r="H4069" s="6">
        <f>ROUND(G4069*F4069,2)</f>
        <v/>
      </c>
      <c r="I4069">
        <f>IF(ROUND(H4069-D4069,2)=0,1,0)</f>
        <v/>
      </c>
      <c r="J4069">
        <f>IF(F4069="","none",IF(G4069=1,"carte","multiple"))</f>
        <v/>
      </c>
    </row>
    <row r="4070">
      <c r="A4070" t="inlineStr">
        <is>
          <t>2022-08-13</t>
        </is>
      </c>
      <c r="B4070" t="inlineStr">
        <is>
          <t>17:58</t>
        </is>
      </c>
      <c r="C4070" t="n">
        <v>3031</v>
      </c>
      <c r="D4070" s="6" t="n">
        <v>15.6</v>
      </c>
      <c r="E4070" t="n">
        <v>41042</v>
      </c>
      <c r="F4070" s="6" t="n">
        <v>15.6</v>
      </c>
      <c r="G4070" t="n">
        <v>1</v>
      </c>
      <c r="H4070" s="6">
        <f>ROUND(G4070*F4070,2)</f>
        <v/>
      </c>
      <c r="I4070">
        <f>IF(ROUND(H4070-D4070,2)=0,1,0)</f>
        <v/>
      </c>
      <c r="J4070">
        <f>IF(F4070="","none",IF(G4070=1,"carte","multiple"))</f>
        <v/>
      </c>
    </row>
    <row r="4071">
      <c r="A4071" t="inlineStr">
        <is>
          <t>2022-08-13</t>
        </is>
      </c>
      <c r="B4071" t="inlineStr">
        <is>
          <t>17:58</t>
        </is>
      </c>
      <c r="C4071" t="n">
        <v>3031</v>
      </c>
      <c r="D4071" s="6" t="n">
        <v>3.8</v>
      </c>
      <c r="E4071" t="n">
        <v>41043</v>
      </c>
      <c r="F4071" s="6" t="n">
        <v>3.8</v>
      </c>
      <c r="G4071" t="n">
        <v>1</v>
      </c>
      <c r="H4071" s="6">
        <f>ROUND(G4071*F4071,2)</f>
        <v/>
      </c>
      <c r="I4071">
        <f>IF(ROUND(H4071-D4071,2)=0,1,0)</f>
        <v/>
      </c>
      <c r="J4071">
        <f>IF(F4071="","none",IF(G4071=1,"carte","multiple"))</f>
        <v/>
      </c>
    </row>
    <row r="4072">
      <c r="A4072" t="inlineStr">
        <is>
          <t>2022-08-13</t>
        </is>
      </c>
      <c r="B4072" t="inlineStr">
        <is>
          <t>17:58</t>
        </is>
      </c>
      <c r="C4072" t="n">
        <v>3031</v>
      </c>
      <c r="D4072" s="6" t="n">
        <v>5.2</v>
      </c>
      <c r="E4072" t="n">
        <v>41044</v>
      </c>
      <c r="F4072" s="6" t="n">
        <v>5.2</v>
      </c>
      <c r="G4072" t="n">
        <v>1</v>
      </c>
      <c r="H4072" s="6">
        <f>ROUND(G4072*F4072,2)</f>
        <v/>
      </c>
      <c r="I4072">
        <f>IF(ROUND(H4072-D4072,2)=0,1,0)</f>
        <v/>
      </c>
      <c r="J4072">
        <f>IF(F4072="","none",IF(G4072=1,"carte","multiple"))</f>
        <v/>
      </c>
    </row>
    <row r="4073">
      <c r="A4073" t="inlineStr">
        <is>
          <t>2022-08-13</t>
        </is>
      </c>
      <c r="B4073" t="inlineStr">
        <is>
          <t>18:01</t>
        </is>
      </c>
      <c r="C4073" t="n">
        <v>3031</v>
      </c>
      <c r="D4073" s="6" t="n">
        <v>34.8</v>
      </c>
      <c r="E4073" t="n">
        <v>41045</v>
      </c>
      <c r="F4073" s="6" t="n">
        <v>34.8</v>
      </c>
      <c r="G4073" t="n">
        <v>1</v>
      </c>
      <c r="H4073" s="6">
        <f>ROUND(G4073*F4073,2)</f>
        <v/>
      </c>
      <c r="I4073">
        <f>IF(ROUND(H4073-D4073,2)=0,1,0)</f>
        <v/>
      </c>
      <c r="J4073">
        <f>IF(F4073="","none",IF(G4073=1,"carte","multiple"))</f>
        <v/>
      </c>
    </row>
    <row r="4074">
      <c r="A4074" t="inlineStr">
        <is>
          <t>2022-08-13</t>
        </is>
      </c>
      <c r="B4074" t="inlineStr">
        <is>
          <t>19:20</t>
        </is>
      </c>
      <c r="C4074" t="n">
        <v>3031</v>
      </c>
      <c r="D4074" s="6" t="n">
        <v>5.2</v>
      </c>
      <c r="E4074" t="n">
        <v>41046</v>
      </c>
      <c r="F4074" s="6" t="n">
        <v>5.2</v>
      </c>
      <c r="G4074" t="n">
        <v>1</v>
      </c>
      <c r="H4074" s="6">
        <f>ROUND(G4074*F4074,2)</f>
        <v/>
      </c>
      <c r="I4074">
        <f>IF(ROUND(H4074-D4074,2)=0,1,0)</f>
        <v/>
      </c>
      <c r="J4074">
        <f>IF(F4074="","none",IF(G4074=1,"carte","multiple"))</f>
        <v/>
      </c>
    </row>
    <row r="4075">
      <c r="A4075" t="inlineStr">
        <is>
          <t>2022-08-13</t>
        </is>
      </c>
      <c r="B4075" t="inlineStr">
        <is>
          <t>19:20</t>
        </is>
      </c>
      <c r="C4075" t="n">
        <v>3031</v>
      </c>
      <c r="D4075" s="6" t="n">
        <v>3.8</v>
      </c>
      <c r="E4075" t="n">
        <v>41047</v>
      </c>
      <c r="F4075" s="6" t="n">
        <v>3.8</v>
      </c>
      <c r="G4075" t="n">
        <v>1</v>
      </c>
      <c r="H4075" s="6">
        <f>ROUND(G4075*F4075,2)</f>
        <v/>
      </c>
      <c r="I4075">
        <f>IF(ROUND(H4075-D4075,2)=0,1,0)</f>
        <v/>
      </c>
      <c r="J4075">
        <f>IF(F4075="","none",IF(G4075=1,"carte","multiple"))</f>
        <v/>
      </c>
    </row>
    <row r="4076">
      <c r="A4076" t="inlineStr">
        <is>
          <t>2022-08-13</t>
        </is>
      </c>
      <c r="B4076" t="inlineStr">
        <is>
          <t>19:20</t>
        </is>
      </c>
      <c r="C4076" t="n">
        <v>3031</v>
      </c>
      <c r="D4076" s="6" t="n">
        <v>15.6</v>
      </c>
      <c r="E4076" t="n">
        <v>41048</v>
      </c>
      <c r="F4076" s="6" t="n">
        <v>15.6</v>
      </c>
      <c r="G4076" t="n">
        <v>1</v>
      </c>
      <c r="H4076" s="6">
        <f>ROUND(G4076*F4076,2)</f>
        <v/>
      </c>
      <c r="I4076">
        <f>IF(ROUND(H4076-D4076,2)=0,1,0)</f>
        <v/>
      </c>
      <c r="J4076">
        <f>IF(F4076="","none",IF(G4076=1,"carte","multiple"))</f>
        <v/>
      </c>
    </row>
    <row r="4077">
      <c r="A4077" t="inlineStr">
        <is>
          <t>2022-08-13</t>
        </is>
      </c>
      <c r="B4077" t="inlineStr">
        <is>
          <t>19:24</t>
        </is>
      </c>
      <c r="C4077" t="n">
        <v>3031</v>
      </c>
      <c r="D4077" s="6" t="n">
        <v>3.9</v>
      </c>
      <c r="E4077" t="n">
        <v>41049</v>
      </c>
      <c r="F4077" s="6" t="n">
        <v>3.9</v>
      </c>
      <c r="G4077" t="n">
        <v>1</v>
      </c>
      <c r="H4077" s="6">
        <f>ROUND(G4077*F4077,2)</f>
        <v/>
      </c>
      <c r="I4077">
        <f>IF(ROUND(H4077-D4077,2)=0,1,0)</f>
        <v/>
      </c>
      <c r="J4077">
        <f>IF(F4077="","none",IF(G4077=1,"carte","multiple"))</f>
        <v/>
      </c>
    </row>
    <row r="4078">
      <c r="A4078" t="inlineStr">
        <is>
          <t>2022-08-13</t>
        </is>
      </c>
      <c r="B4078" t="inlineStr">
        <is>
          <t>19:24</t>
        </is>
      </c>
      <c r="C4078" t="n">
        <v>3031</v>
      </c>
      <c r="D4078" s="6" t="n">
        <v>28.6</v>
      </c>
      <c r="E4078" t="n">
        <v>41050</v>
      </c>
      <c r="F4078" s="6" t="n">
        <v>28.6</v>
      </c>
      <c r="G4078" t="n">
        <v>1</v>
      </c>
      <c r="H4078" s="6">
        <f>ROUND(G4078*F4078,2)</f>
        <v/>
      </c>
      <c r="I4078">
        <f>IF(ROUND(H4078-D4078,2)=0,1,0)</f>
        <v/>
      </c>
      <c r="J4078">
        <f>IF(F4078="","none",IF(G4078=1,"carte","multiple"))</f>
        <v/>
      </c>
    </row>
    <row r="4079">
      <c r="A4079" t="inlineStr">
        <is>
          <t>2022-08-13</t>
        </is>
      </c>
      <c r="B4079" t="inlineStr">
        <is>
          <t>19:24</t>
        </is>
      </c>
      <c r="C4079" t="n">
        <v>3031</v>
      </c>
      <c r="D4079" s="6" t="n">
        <v>19.9</v>
      </c>
      <c r="E4079" t="n">
        <v>41051</v>
      </c>
      <c r="F4079" s="6" t="n">
        <v>19.9</v>
      </c>
      <c r="G4079" t="n">
        <v>1</v>
      </c>
      <c r="H4079" s="6">
        <f>ROUND(G4079*F4079,2)</f>
        <v/>
      </c>
      <c r="I4079">
        <f>IF(ROUND(H4079-D4079,2)=0,1,0)</f>
        <v/>
      </c>
      <c r="J4079">
        <f>IF(F4079="","none",IF(G4079=1,"carte","multiple"))</f>
        <v/>
      </c>
    </row>
    <row r="4080">
      <c r="A4080" t="inlineStr">
        <is>
          <t>2022-08-13</t>
        </is>
      </c>
      <c r="B4080" t="inlineStr">
        <is>
          <t>19:24</t>
        </is>
      </c>
      <c r="C4080" t="n">
        <v>3031</v>
      </c>
      <c r="D4080" s="6" t="n">
        <v>3.9</v>
      </c>
      <c r="E4080" t="n">
        <v>41052</v>
      </c>
      <c r="F4080" s="6" t="n">
        <v>3.9</v>
      </c>
      <c r="G4080" t="n">
        <v>1</v>
      </c>
      <c r="H4080" s="6">
        <f>ROUND(G4080*F4080,2)</f>
        <v/>
      </c>
      <c r="I4080">
        <f>IF(ROUND(H4080-D4080,2)=0,1,0)</f>
        <v/>
      </c>
      <c r="J4080">
        <f>IF(F4080="","none",IF(G4080=1,"carte","multiple"))</f>
        <v/>
      </c>
    </row>
    <row r="4081">
      <c r="A4081" t="inlineStr">
        <is>
          <t>2022-08-13</t>
        </is>
      </c>
      <c r="B4081" t="inlineStr">
        <is>
          <t>19:24</t>
        </is>
      </c>
      <c r="C4081" t="n">
        <v>3031</v>
      </c>
      <c r="D4081" s="6" t="n">
        <v>6.5</v>
      </c>
      <c r="E4081" t="n">
        <v>41053</v>
      </c>
      <c r="F4081" s="6" t="n">
        <v>6.5</v>
      </c>
      <c r="G4081" t="n">
        <v>1</v>
      </c>
      <c r="H4081" s="6">
        <f>ROUND(G4081*F4081,2)</f>
        <v/>
      </c>
      <c r="I4081">
        <f>IF(ROUND(H4081-D4081,2)=0,1,0)</f>
        <v/>
      </c>
      <c r="J4081">
        <f>IF(F4081="","none",IF(G4081=1,"carte","multiple"))</f>
        <v/>
      </c>
    </row>
    <row r="4082">
      <c r="A4082" t="inlineStr">
        <is>
          <t>2022-08-13</t>
        </is>
      </c>
      <c r="B4082" t="inlineStr">
        <is>
          <t>19:32</t>
        </is>
      </c>
      <c r="C4082" t="n">
        <v>3031</v>
      </c>
      <c r="D4082" s="6" t="n">
        <v>6.6</v>
      </c>
      <c r="E4082" t="n">
        <v>41054</v>
      </c>
      <c r="F4082" s="6" t="n">
        <v>6.6</v>
      </c>
      <c r="G4082" t="n">
        <v>1</v>
      </c>
      <c r="H4082" s="6">
        <f>ROUND(G4082*F4082,2)</f>
        <v/>
      </c>
      <c r="I4082">
        <f>IF(ROUND(H4082-D4082,2)=0,1,0)</f>
        <v/>
      </c>
      <c r="J4082">
        <f>IF(F4082="","none",IF(G4082=1,"carte","multiple"))</f>
        <v/>
      </c>
    </row>
    <row r="4083">
      <c r="A4083" t="inlineStr">
        <is>
          <t>2022-08-13</t>
        </is>
      </c>
      <c r="B4083" t="inlineStr">
        <is>
          <t>20:06</t>
        </is>
      </c>
      <c r="C4083" t="n">
        <v>3031</v>
      </c>
      <c r="D4083" s="6" t="n">
        <v>19.8</v>
      </c>
      <c r="E4083" t="n">
        <v>41055</v>
      </c>
      <c r="F4083" s="6" t="n">
        <v>19.8</v>
      </c>
      <c r="G4083" t="n">
        <v>1</v>
      </c>
      <c r="H4083" s="6">
        <f>ROUND(G4083*F4083,2)</f>
        <v/>
      </c>
      <c r="I4083">
        <f>IF(ROUND(H4083-D4083,2)=0,1,0)</f>
        <v/>
      </c>
      <c r="J4083">
        <f>IF(F4083="","none",IF(G4083=1,"carte","multiple"))</f>
        <v/>
      </c>
    </row>
    <row r="4084">
      <c r="A4084" t="inlineStr">
        <is>
          <t>2022-08-13</t>
        </is>
      </c>
      <c r="B4084" t="inlineStr">
        <is>
          <t>20:06</t>
        </is>
      </c>
      <c r="C4084" t="n">
        <v>3031</v>
      </c>
      <c r="D4084" s="6" t="n">
        <v>2.4</v>
      </c>
      <c r="E4084" t="n">
        <v>41056</v>
      </c>
      <c r="F4084" s="6" t="n">
        <v>2.4</v>
      </c>
      <c r="G4084" t="n">
        <v>1</v>
      </c>
      <c r="H4084" s="6">
        <f>ROUND(G4084*F4084,2)</f>
        <v/>
      </c>
      <c r="I4084">
        <f>IF(ROUND(H4084-D4084,2)=0,1,0)</f>
        <v/>
      </c>
      <c r="J4084">
        <f>IF(F4084="","none",IF(G4084=1,"carte","multiple"))</f>
        <v/>
      </c>
    </row>
    <row r="4085">
      <c r="A4085" t="inlineStr">
        <is>
          <t>2022-08-13</t>
        </is>
      </c>
      <c r="B4085" t="inlineStr">
        <is>
          <t>20:06</t>
        </is>
      </c>
      <c r="C4085" t="n">
        <v>3031</v>
      </c>
      <c r="D4085" s="6" t="n">
        <v>6.5</v>
      </c>
      <c r="E4085" t="n">
        <v>41057</v>
      </c>
      <c r="F4085" s="6" t="n">
        <v>6.5</v>
      </c>
      <c r="G4085" t="n">
        <v>1</v>
      </c>
      <c r="H4085" s="6">
        <f>ROUND(G4085*F4085,2)</f>
        <v/>
      </c>
      <c r="I4085">
        <f>IF(ROUND(H4085-D4085,2)=0,1,0)</f>
        <v/>
      </c>
      <c r="J4085">
        <f>IF(F4085="","none",IF(G4085=1,"carte","multiple"))</f>
        <v/>
      </c>
    </row>
    <row r="4086">
      <c r="A4086" t="inlineStr">
        <is>
          <t>2022-08-13</t>
        </is>
      </c>
      <c r="B4086" t="inlineStr">
        <is>
          <t>20:06</t>
        </is>
      </c>
      <c r="C4086" t="n">
        <v>3031</v>
      </c>
      <c r="D4086" s="6" t="n">
        <v>9.800000000000001</v>
      </c>
      <c r="E4086" t="n">
        <v>41058</v>
      </c>
      <c r="F4086" s="6" t="n">
        <v>9.800000000000001</v>
      </c>
      <c r="G4086" t="n">
        <v>1</v>
      </c>
      <c r="H4086" s="6">
        <f>ROUND(G4086*F4086,2)</f>
        <v/>
      </c>
      <c r="I4086">
        <f>IF(ROUND(H4086-D4086,2)=0,1,0)</f>
        <v/>
      </c>
      <c r="J4086">
        <f>IF(F4086="","none",IF(G4086=1,"carte","multiple"))</f>
        <v/>
      </c>
    </row>
    <row r="4087">
      <c r="A4087" t="inlineStr">
        <is>
          <t>2022-08-13</t>
        </is>
      </c>
      <c r="B4087" t="inlineStr">
        <is>
          <t>20:06</t>
        </is>
      </c>
      <c r="C4087" t="n">
        <v>3031</v>
      </c>
      <c r="D4087" s="6" t="n">
        <v>35.2</v>
      </c>
      <c r="E4087" t="n">
        <v>41059</v>
      </c>
      <c r="F4087" s="6" t="n">
        <v>0.4</v>
      </c>
      <c r="G4087" t="n">
        <v>88</v>
      </c>
      <c r="H4087" s="6">
        <f>ROUND(G4087*F4087,2)</f>
        <v/>
      </c>
      <c r="I4087">
        <f>IF(ROUND(H4087-D4087,2)=0,1,0)</f>
        <v/>
      </c>
      <c r="J4087">
        <f>IF(F4087="","none",IF(G4087=1,"carte","multiple"))</f>
        <v/>
      </c>
    </row>
    <row r="4088">
      <c r="A4088" t="inlineStr">
        <is>
          <t>2022-08-13</t>
        </is>
      </c>
      <c r="B4088" t="inlineStr">
        <is>
          <t>20:06</t>
        </is>
      </c>
      <c r="C4088" t="n">
        <v>3031</v>
      </c>
      <c r="D4088" s="6" t="n">
        <v>15.9</v>
      </c>
      <c r="E4088" t="n">
        <v>41060</v>
      </c>
      <c r="F4088" s="6" t="n">
        <v>15.9</v>
      </c>
      <c r="G4088" t="n">
        <v>1</v>
      </c>
      <c r="H4088" s="6">
        <f>ROUND(G4088*F4088,2)</f>
        <v/>
      </c>
      <c r="I4088">
        <f>IF(ROUND(H4088-D4088,2)=0,1,0)</f>
        <v/>
      </c>
      <c r="J4088">
        <f>IF(F4088="","none",IF(G4088=1,"carte","multiple"))</f>
        <v/>
      </c>
    </row>
    <row r="4089">
      <c r="A4089" t="inlineStr">
        <is>
          <t>2022-08-13</t>
        </is>
      </c>
      <c r="B4089" t="inlineStr">
        <is>
          <t>20:06</t>
        </is>
      </c>
      <c r="C4089" t="n">
        <v>3031</v>
      </c>
      <c r="D4089" s="6" t="n">
        <v>15</v>
      </c>
      <c r="E4089" t="n">
        <v>41061</v>
      </c>
      <c r="F4089" s="6" t="n">
        <v>15</v>
      </c>
      <c r="G4089" t="n">
        <v>1</v>
      </c>
      <c r="H4089" s="6">
        <f>ROUND(G4089*F4089,2)</f>
        <v/>
      </c>
      <c r="I4089">
        <f>IF(ROUND(H4089-D4089,2)=0,1,0)</f>
        <v/>
      </c>
      <c r="J4089">
        <f>IF(F4089="","none",IF(G4089=1,"carte","multiple"))</f>
        <v/>
      </c>
    </row>
    <row r="4090">
      <c r="A4090" t="inlineStr">
        <is>
          <t>2022-08-13</t>
        </is>
      </c>
      <c r="B4090" t="inlineStr">
        <is>
          <t>20:06</t>
        </is>
      </c>
      <c r="C4090" t="n">
        <v>3031</v>
      </c>
      <c r="D4090" s="6" t="n">
        <v>3.9</v>
      </c>
      <c r="E4090" t="n">
        <v>41062</v>
      </c>
      <c r="F4090" s="6" t="n">
        <v>3.9</v>
      </c>
      <c r="G4090" t="n">
        <v>1</v>
      </c>
      <c r="H4090" s="6">
        <f>ROUND(G4090*F4090,2)</f>
        <v/>
      </c>
      <c r="I4090">
        <f>IF(ROUND(H4090-D4090,2)=0,1,0)</f>
        <v/>
      </c>
      <c r="J4090">
        <f>IF(F4090="","none",IF(G4090=1,"carte","multiple"))</f>
        <v/>
      </c>
    </row>
    <row r="4091">
      <c r="A4091" t="inlineStr">
        <is>
          <t>2022-08-13</t>
        </is>
      </c>
      <c r="B4091" t="inlineStr">
        <is>
          <t>20:06</t>
        </is>
      </c>
      <c r="C4091" t="n">
        <v>3031</v>
      </c>
      <c r="D4091" s="6" t="n">
        <v>4.2</v>
      </c>
      <c r="E4091" t="n">
        <v>41063</v>
      </c>
      <c r="F4091" s="6" t="n">
        <v>4.2</v>
      </c>
      <c r="G4091" t="n">
        <v>1</v>
      </c>
      <c r="H4091" s="6">
        <f>ROUND(G4091*F4091,2)</f>
        <v/>
      </c>
      <c r="I4091">
        <f>IF(ROUND(H4091-D4091,2)=0,1,0)</f>
        <v/>
      </c>
      <c r="J4091">
        <f>IF(F4091="","none",IF(G4091=1,"carte","multiple"))</f>
        <v/>
      </c>
    </row>
    <row r="4092">
      <c r="A4092" t="inlineStr">
        <is>
          <t>2022-08-13</t>
        </is>
      </c>
      <c r="B4092" t="inlineStr">
        <is>
          <t>20:06</t>
        </is>
      </c>
      <c r="C4092" t="n">
        <v>3031</v>
      </c>
      <c r="D4092" s="6" t="n">
        <v>7.8</v>
      </c>
      <c r="E4092" t="n">
        <v>41064</v>
      </c>
      <c r="F4092" s="6" t="n">
        <v>7.8</v>
      </c>
      <c r="G4092" t="n">
        <v>1</v>
      </c>
      <c r="H4092" s="6">
        <f>ROUND(G4092*F4092,2)</f>
        <v/>
      </c>
      <c r="I4092">
        <f>IF(ROUND(H4092-D4092,2)=0,1,0)</f>
        <v/>
      </c>
      <c r="J4092">
        <f>IF(F4092="","none",IF(G4092=1,"carte","multiple"))</f>
        <v/>
      </c>
    </row>
    <row r="4093">
      <c r="A4093" t="inlineStr">
        <is>
          <t>2022-08-13</t>
        </is>
      </c>
      <c r="B4093" t="inlineStr">
        <is>
          <t>20:12</t>
        </is>
      </c>
      <c r="C4093" t="n">
        <v>3031</v>
      </c>
      <c r="D4093" s="6" t="n">
        <v>32</v>
      </c>
      <c r="E4093" t="n">
        <v>41065</v>
      </c>
      <c r="F4093" s="6" t="n">
        <v>32</v>
      </c>
      <c r="G4093" t="n">
        <v>1</v>
      </c>
      <c r="H4093" s="6">
        <f>ROUND(G4093*F4093,2)</f>
        <v/>
      </c>
      <c r="I4093">
        <f>IF(ROUND(H4093-D4093,2)=0,1,0)</f>
        <v/>
      </c>
      <c r="J4093">
        <f>IF(F4093="","none",IF(G4093=1,"carte","multiple"))</f>
        <v/>
      </c>
    </row>
    <row r="4094">
      <c r="A4094" t="inlineStr">
        <is>
          <t>2022-08-13</t>
        </is>
      </c>
      <c r="B4094" t="inlineStr">
        <is>
          <t>20:38</t>
        </is>
      </c>
      <c r="C4094" t="n">
        <v>3031</v>
      </c>
      <c r="D4094" s="6" t="n">
        <v>17.6</v>
      </c>
      <c r="E4094" t="n">
        <v>41066</v>
      </c>
      <c r="F4094" s="6" t="n">
        <v>17.6</v>
      </c>
      <c r="G4094" t="n">
        <v>1</v>
      </c>
      <c r="H4094" s="6">
        <f>ROUND(G4094*F4094,2)</f>
        <v/>
      </c>
      <c r="I4094">
        <f>IF(ROUND(H4094-D4094,2)=0,1,0)</f>
        <v/>
      </c>
      <c r="J4094">
        <f>IF(F4094="","none",IF(G4094=1,"carte","multiple"))</f>
        <v/>
      </c>
    </row>
    <row r="4095">
      <c r="A4095" t="inlineStr">
        <is>
          <t>2022-08-13</t>
        </is>
      </c>
      <c r="B4095" t="inlineStr">
        <is>
          <t>20:38</t>
        </is>
      </c>
      <c r="C4095" t="n">
        <v>3031</v>
      </c>
      <c r="D4095" s="6" t="n">
        <v>8.9</v>
      </c>
      <c r="E4095" t="n">
        <v>41067</v>
      </c>
      <c r="F4095" s="6" t="n">
        <v>8.9</v>
      </c>
      <c r="G4095" t="n">
        <v>1</v>
      </c>
      <c r="H4095" s="6">
        <f>ROUND(G4095*F4095,2)</f>
        <v/>
      </c>
      <c r="I4095">
        <f>IF(ROUND(H4095-D4095,2)=0,1,0)</f>
        <v/>
      </c>
      <c r="J4095">
        <f>IF(F4095="","none",IF(G4095=1,"carte","multiple"))</f>
        <v/>
      </c>
    </row>
    <row r="4096">
      <c r="A4096" t="inlineStr">
        <is>
          <t>2022-08-13</t>
        </is>
      </c>
      <c r="B4096" t="inlineStr">
        <is>
          <t>20:38</t>
        </is>
      </c>
      <c r="C4096" t="n">
        <v>3031</v>
      </c>
      <c r="D4096" s="6" t="n">
        <v>24</v>
      </c>
      <c r="E4096" t="n">
        <v>41068</v>
      </c>
      <c r="F4096" s="6" t="n">
        <v>24</v>
      </c>
      <c r="G4096" t="n">
        <v>1</v>
      </c>
      <c r="H4096" s="6">
        <f>ROUND(G4096*F4096,2)</f>
        <v/>
      </c>
      <c r="I4096">
        <f>IF(ROUND(H4096-D4096,2)=0,1,0)</f>
        <v/>
      </c>
      <c r="J4096">
        <f>IF(F4096="","none",IF(G4096=1,"carte","multiple"))</f>
        <v/>
      </c>
    </row>
    <row r="4097">
      <c r="A4097" t="inlineStr">
        <is>
          <t>2022-08-13</t>
        </is>
      </c>
      <c r="B4097" t="inlineStr">
        <is>
          <t>20:38</t>
        </is>
      </c>
      <c r="C4097" t="n">
        <v>3031</v>
      </c>
      <c r="D4097" s="6" t="n">
        <v>17.6</v>
      </c>
      <c r="E4097" t="n">
        <v>41069</v>
      </c>
      <c r="F4097" s="6" t="n">
        <v>17.6</v>
      </c>
      <c r="G4097" t="n">
        <v>1</v>
      </c>
      <c r="H4097" s="6">
        <f>ROUND(G4097*F4097,2)</f>
        <v/>
      </c>
      <c r="I4097">
        <f>IF(ROUND(H4097-D4097,2)=0,1,0)</f>
        <v/>
      </c>
      <c r="J4097">
        <f>IF(F4097="","none",IF(G4097=1,"carte","multiple"))</f>
        <v/>
      </c>
    </row>
    <row r="4098">
      <c r="A4098" t="inlineStr">
        <is>
          <t>2022-08-13</t>
        </is>
      </c>
      <c r="B4098" t="inlineStr">
        <is>
          <t>20:38</t>
        </is>
      </c>
      <c r="C4098" t="n">
        <v>3031</v>
      </c>
      <c r="D4098" s="6" t="n">
        <v>4.9</v>
      </c>
      <c r="E4098" t="n">
        <v>41070</v>
      </c>
      <c r="F4098" s="6" t="n">
        <v>4.9</v>
      </c>
      <c r="G4098" t="n">
        <v>1</v>
      </c>
      <c r="H4098" s="6">
        <f>ROUND(G4098*F4098,2)</f>
        <v/>
      </c>
      <c r="I4098">
        <f>IF(ROUND(H4098-D4098,2)=0,1,0)</f>
        <v/>
      </c>
      <c r="J4098">
        <f>IF(F4098="","none",IF(G4098=1,"carte","multiple"))</f>
        <v/>
      </c>
    </row>
    <row r="4099">
      <c r="A4099" t="inlineStr">
        <is>
          <t>2022-08-13</t>
        </is>
      </c>
      <c r="B4099" t="inlineStr">
        <is>
          <t>20:38</t>
        </is>
      </c>
      <c r="C4099" t="n">
        <v>3031</v>
      </c>
      <c r="D4099" s="6" t="n">
        <v>5.2</v>
      </c>
      <c r="E4099" t="n">
        <v>41071</v>
      </c>
      <c r="F4099" s="6" t="n">
        <v>5.2</v>
      </c>
      <c r="G4099" t="n">
        <v>1</v>
      </c>
      <c r="H4099" s="6">
        <f>ROUND(G4099*F4099,2)</f>
        <v/>
      </c>
      <c r="I4099">
        <f>IF(ROUND(H4099-D4099,2)=0,1,0)</f>
        <v/>
      </c>
      <c r="J4099">
        <f>IF(F4099="","none",IF(G4099=1,"carte","multiple"))</f>
        <v/>
      </c>
    </row>
    <row r="4100">
      <c r="A4100" t="inlineStr">
        <is>
          <t>2022-08-14</t>
        </is>
      </c>
      <c r="B4100" t="inlineStr">
        <is>
          <t>11:23</t>
        </is>
      </c>
      <c r="C4100" t="n">
        <v>3032</v>
      </c>
      <c r="D4100" s="6" t="n">
        <v>4.5</v>
      </c>
      <c r="E4100" t="n">
        <v>41074</v>
      </c>
      <c r="F4100" s="6" t="n">
        <v>4.5</v>
      </c>
      <c r="G4100" t="n">
        <v>1</v>
      </c>
      <c r="H4100" s="6">
        <f>ROUND(G4100*F4100,2)</f>
        <v/>
      </c>
      <c r="I4100">
        <f>IF(ROUND(H4100-D4100,2)=0,1,0)</f>
        <v/>
      </c>
      <c r="J4100">
        <f>IF(F4100="","none",IF(G4100=1,"carte","multiple"))</f>
        <v/>
      </c>
    </row>
    <row r="4101">
      <c r="A4101" t="inlineStr">
        <is>
          <t>2022-08-14</t>
        </is>
      </c>
      <c r="B4101" t="inlineStr">
        <is>
          <t>11:23</t>
        </is>
      </c>
      <c r="C4101" t="n">
        <v>3032</v>
      </c>
      <c r="D4101" s="6" t="n">
        <v>3.9</v>
      </c>
      <c r="E4101" t="n">
        <v>41075</v>
      </c>
      <c r="F4101" s="6" t="n">
        <v>3.9</v>
      </c>
      <c r="G4101" t="n">
        <v>1</v>
      </c>
      <c r="H4101" s="6">
        <f>ROUND(G4101*F4101,2)</f>
        <v/>
      </c>
      <c r="I4101">
        <f>IF(ROUND(H4101-D4101,2)=0,1,0)</f>
        <v/>
      </c>
      <c r="J4101">
        <f>IF(F4101="","none",IF(G4101=1,"carte","multiple"))</f>
        <v/>
      </c>
    </row>
    <row r="4102">
      <c r="A4102" t="inlineStr">
        <is>
          <t>2022-08-14</t>
        </is>
      </c>
      <c r="B4102" t="inlineStr">
        <is>
          <t>11:23</t>
        </is>
      </c>
      <c r="C4102" t="n">
        <v>3032</v>
      </c>
      <c r="D4102" s="6" t="n">
        <v>5.9</v>
      </c>
      <c r="E4102" t="n">
        <v>41076</v>
      </c>
      <c r="F4102" s="6" t="n">
        <v>5.9</v>
      </c>
      <c r="G4102" t="n">
        <v>1</v>
      </c>
      <c r="H4102" s="6">
        <f>ROUND(G4102*F4102,2)</f>
        <v/>
      </c>
      <c r="I4102">
        <f>IF(ROUND(H4102-D4102,2)=0,1,0)</f>
        <v/>
      </c>
      <c r="J4102">
        <f>IF(F4102="","none",IF(G4102=1,"carte","multiple"))</f>
        <v/>
      </c>
    </row>
    <row r="4103">
      <c r="A4103" t="inlineStr">
        <is>
          <t>2022-08-14</t>
        </is>
      </c>
      <c r="B4103" t="inlineStr">
        <is>
          <t>11:38</t>
        </is>
      </c>
      <c r="C4103" t="n">
        <v>3032</v>
      </c>
      <c r="D4103" s="6" t="n">
        <v>6.9</v>
      </c>
      <c r="E4103" t="n">
        <v>41077</v>
      </c>
      <c r="F4103" s="6" t="n">
        <v>6.9</v>
      </c>
      <c r="G4103" t="n">
        <v>1</v>
      </c>
      <c r="H4103" s="6">
        <f>ROUND(G4103*F4103,2)</f>
        <v/>
      </c>
      <c r="I4103">
        <f>IF(ROUND(H4103-D4103,2)=0,1,0)</f>
        <v/>
      </c>
      <c r="J4103">
        <f>IF(F4103="","none",IF(G4103=1,"carte","multiple"))</f>
        <v/>
      </c>
    </row>
    <row r="4104">
      <c r="A4104" t="inlineStr">
        <is>
          <t>2022-08-14</t>
        </is>
      </c>
      <c r="B4104" t="inlineStr">
        <is>
          <t>11:52</t>
        </is>
      </c>
      <c r="C4104" t="n">
        <v>3032</v>
      </c>
      <c r="D4104" s="6" t="n">
        <v>8.699999999999999</v>
      </c>
      <c r="E4104" t="n">
        <v>41078</v>
      </c>
      <c r="F4104" s="6" t="n">
        <v>8.699999999999999</v>
      </c>
      <c r="G4104" t="n">
        <v>1</v>
      </c>
      <c r="H4104" s="6">
        <f>ROUND(G4104*F4104,2)</f>
        <v/>
      </c>
      <c r="I4104">
        <f>IF(ROUND(H4104-D4104,2)=0,1,0)</f>
        <v/>
      </c>
      <c r="J4104">
        <f>IF(F4104="","none",IF(G4104=1,"carte","multiple"))</f>
        <v/>
      </c>
    </row>
    <row r="4105">
      <c r="A4105" t="inlineStr">
        <is>
          <t>2022-08-14</t>
        </is>
      </c>
      <c r="B4105" t="inlineStr">
        <is>
          <t>11:52</t>
        </is>
      </c>
      <c r="C4105" t="n">
        <v>3032</v>
      </c>
      <c r="D4105" s="6" t="n">
        <v>7.8</v>
      </c>
      <c r="E4105" t="n">
        <v>41079</v>
      </c>
      <c r="F4105" s="6" t="n">
        <v>7.8</v>
      </c>
      <c r="G4105" t="n">
        <v>1</v>
      </c>
      <c r="H4105" s="6">
        <f>ROUND(G4105*F4105,2)</f>
        <v/>
      </c>
      <c r="I4105">
        <f>IF(ROUND(H4105-D4105,2)=0,1,0)</f>
        <v/>
      </c>
      <c r="J4105">
        <f>IF(F4105="","none",IF(G4105=1,"carte","multiple"))</f>
        <v/>
      </c>
    </row>
    <row r="4106">
      <c r="A4106" t="inlineStr">
        <is>
          <t>2022-08-14</t>
        </is>
      </c>
      <c r="B4106" t="inlineStr">
        <is>
          <t>11:52</t>
        </is>
      </c>
      <c r="C4106" t="n">
        <v>3032</v>
      </c>
      <c r="D4106" s="6" t="n">
        <v>17.6</v>
      </c>
      <c r="E4106" t="n">
        <v>41080</v>
      </c>
      <c r="F4106" s="6" t="n">
        <v>17.6</v>
      </c>
      <c r="G4106" t="n">
        <v>1</v>
      </c>
      <c r="H4106" s="6">
        <f>ROUND(G4106*F4106,2)</f>
        <v/>
      </c>
      <c r="I4106">
        <f>IF(ROUND(H4106-D4106,2)=0,1,0)</f>
        <v/>
      </c>
      <c r="J4106">
        <f>IF(F4106="","none",IF(G4106=1,"carte","multiple"))</f>
        <v/>
      </c>
    </row>
    <row r="4107">
      <c r="A4107" t="inlineStr">
        <is>
          <t>2022-08-14</t>
        </is>
      </c>
      <c r="B4107" t="inlineStr">
        <is>
          <t>11:52</t>
        </is>
      </c>
      <c r="C4107" t="n">
        <v>3032</v>
      </c>
      <c r="D4107" s="6" t="n">
        <v>17.6</v>
      </c>
      <c r="E4107" t="n">
        <v>41081</v>
      </c>
      <c r="F4107" s="6" t="n">
        <v>17.6</v>
      </c>
      <c r="G4107" t="n">
        <v>1</v>
      </c>
      <c r="H4107" s="6">
        <f>ROUND(G4107*F4107,2)</f>
        <v/>
      </c>
      <c r="I4107">
        <f>IF(ROUND(H4107-D4107,2)=0,1,0)</f>
        <v/>
      </c>
      <c r="J4107">
        <f>IF(F4107="","none",IF(G4107=1,"carte","multiple"))</f>
        <v/>
      </c>
    </row>
    <row r="4108">
      <c r="A4108" t="inlineStr">
        <is>
          <t>2022-08-14</t>
        </is>
      </c>
      <c r="B4108" t="inlineStr">
        <is>
          <t>11:52</t>
        </is>
      </c>
      <c r="C4108" t="n">
        <v>3032</v>
      </c>
      <c r="D4108" s="6" t="n">
        <v>17.6</v>
      </c>
      <c r="E4108" t="n">
        <v>41082</v>
      </c>
      <c r="F4108" s="6" t="n">
        <v>17.6</v>
      </c>
      <c r="G4108" t="n">
        <v>1</v>
      </c>
      <c r="H4108" s="6">
        <f>ROUND(G4108*F4108,2)</f>
        <v/>
      </c>
      <c r="I4108">
        <f>IF(ROUND(H4108-D4108,2)=0,1,0)</f>
        <v/>
      </c>
      <c r="J4108">
        <f>IF(F4108="","none",IF(G4108=1,"carte","multiple"))</f>
        <v/>
      </c>
    </row>
    <row r="4109">
      <c r="A4109" t="inlineStr">
        <is>
          <t>2022-08-14</t>
        </is>
      </c>
      <c r="B4109" t="inlineStr">
        <is>
          <t>11:52</t>
        </is>
      </c>
      <c r="C4109" t="n">
        <v>3032</v>
      </c>
      <c r="D4109" s="6" t="n">
        <v>6.4</v>
      </c>
      <c r="E4109" t="n">
        <v>41083</v>
      </c>
      <c r="F4109" s="6" t="n">
        <v>6.4</v>
      </c>
      <c r="G4109" t="n">
        <v>1</v>
      </c>
      <c r="H4109" s="6">
        <f>ROUND(G4109*F4109,2)</f>
        <v/>
      </c>
      <c r="I4109">
        <f>IF(ROUND(H4109-D4109,2)=0,1,0)</f>
        <v/>
      </c>
      <c r="J4109">
        <f>IF(F4109="","none",IF(G4109=1,"carte","multiple"))</f>
        <v/>
      </c>
    </row>
    <row r="4110">
      <c r="A4110" t="inlineStr">
        <is>
          <t>2022-08-14</t>
        </is>
      </c>
      <c r="B4110" t="inlineStr">
        <is>
          <t>11:54</t>
        </is>
      </c>
      <c r="C4110" t="n">
        <v>3032</v>
      </c>
      <c r="D4110" s="6" t="n">
        <v>6.9</v>
      </c>
      <c r="E4110" t="n">
        <v>41084</v>
      </c>
      <c r="F4110" s="6" t="n">
        <v>6.9</v>
      </c>
      <c r="G4110" t="n">
        <v>1</v>
      </c>
      <c r="H4110" s="6">
        <f>ROUND(G4110*F4110,2)</f>
        <v/>
      </c>
      <c r="I4110">
        <f>IF(ROUND(H4110-D4110,2)=0,1,0)</f>
        <v/>
      </c>
      <c r="J4110">
        <f>IF(F4110="","none",IF(G4110=1,"carte","multiple"))</f>
        <v/>
      </c>
    </row>
    <row r="4111">
      <c r="A4111" t="inlineStr">
        <is>
          <t>2022-08-14</t>
        </is>
      </c>
      <c r="B4111" t="inlineStr">
        <is>
          <t>11:54</t>
        </is>
      </c>
      <c r="C4111" t="n">
        <v>3032</v>
      </c>
      <c r="D4111" s="6" t="n">
        <v>1.8</v>
      </c>
      <c r="E4111" t="n">
        <v>41085</v>
      </c>
      <c r="F4111" s="6" t="n">
        <v>1.8</v>
      </c>
      <c r="G4111" t="n">
        <v>1</v>
      </c>
      <c r="H4111" s="6">
        <f>ROUND(G4111*F4111,2)</f>
        <v/>
      </c>
      <c r="I4111">
        <f>IF(ROUND(H4111-D4111,2)=0,1,0)</f>
        <v/>
      </c>
      <c r="J4111">
        <f>IF(F4111="","none",IF(G4111=1,"carte","multiple"))</f>
        <v/>
      </c>
    </row>
    <row r="4112">
      <c r="A4112" t="inlineStr">
        <is>
          <t>2022-08-14</t>
        </is>
      </c>
      <c r="B4112" t="inlineStr">
        <is>
          <t>11:54</t>
        </is>
      </c>
      <c r="C4112" t="n">
        <v>3032</v>
      </c>
      <c r="D4112" s="6" t="n">
        <v>3.9</v>
      </c>
      <c r="E4112" t="n">
        <v>41086</v>
      </c>
      <c r="F4112" s="6" t="n">
        <v>3.9</v>
      </c>
      <c r="G4112" t="n">
        <v>1</v>
      </c>
      <c r="H4112" s="6">
        <f>ROUND(G4112*F4112,2)</f>
        <v/>
      </c>
      <c r="I4112">
        <f>IF(ROUND(H4112-D4112,2)=0,1,0)</f>
        <v/>
      </c>
      <c r="J4112">
        <f>IF(F4112="","none",IF(G4112=1,"carte","multiple"))</f>
        <v/>
      </c>
    </row>
    <row r="4113">
      <c r="A4113" t="inlineStr">
        <is>
          <t>2022-08-14</t>
        </is>
      </c>
      <c r="B4113" t="inlineStr">
        <is>
          <t>11:54</t>
        </is>
      </c>
      <c r="C4113" t="n">
        <v>3032</v>
      </c>
      <c r="D4113" s="6" t="n">
        <v>16.4</v>
      </c>
      <c r="E4113" t="n">
        <v>41087</v>
      </c>
      <c r="F4113" s="6" t="n">
        <v>16.4</v>
      </c>
      <c r="G4113" t="n">
        <v>1</v>
      </c>
      <c r="H4113" s="6">
        <f>ROUND(G4113*F4113,2)</f>
        <v/>
      </c>
      <c r="I4113">
        <f>IF(ROUND(H4113-D4113,2)=0,1,0)</f>
        <v/>
      </c>
      <c r="J4113">
        <f>IF(F4113="","none",IF(G4113=1,"carte","multiple"))</f>
        <v/>
      </c>
    </row>
    <row r="4114">
      <c r="A4114" t="inlineStr">
        <is>
          <t>2022-08-14</t>
        </is>
      </c>
      <c r="B4114" t="inlineStr">
        <is>
          <t>11:54</t>
        </is>
      </c>
      <c r="C4114" t="n">
        <v>3032</v>
      </c>
      <c r="D4114" s="6" t="n">
        <v>19</v>
      </c>
      <c r="E4114" t="n">
        <v>41088</v>
      </c>
      <c r="F4114" s="6" t="n">
        <v>19</v>
      </c>
      <c r="G4114" t="n">
        <v>1</v>
      </c>
      <c r="H4114" s="6">
        <f>ROUND(G4114*F4114,2)</f>
        <v/>
      </c>
      <c r="I4114">
        <f>IF(ROUND(H4114-D4114,2)=0,1,0)</f>
        <v/>
      </c>
      <c r="J4114">
        <f>IF(F4114="","none",IF(G4114=1,"carte","multiple"))</f>
        <v/>
      </c>
    </row>
    <row r="4115">
      <c r="A4115" t="inlineStr">
        <is>
          <t>2022-08-14</t>
        </is>
      </c>
      <c r="B4115" t="inlineStr">
        <is>
          <t>11:54</t>
        </is>
      </c>
      <c r="C4115" t="n">
        <v>3032</v>
      </c>
      <c r="D4115" s="6" t="n">
        <v>6.5</v>
      </c>
      <c r="E4115" t="n">
        <v>41089</v>
      </c>
      <c r="F4115" s="6" t="n">
        <v>6.5</v>
      </c>
      <c r="G4115" t="n">
        <v>1</v>
      </c>
      <c r="H4115" s="6">
        <f>ROUND(G4115*F4115,2)</f>
        <v/>
      </c>
      <c r="I4115">
        <f>IF(ROUND(H4115-D4115,2)=0,1,0)</f>
        <v/>
      </c>
      <c r="J4115">
        <f>IF(F4115="","none",IF(G4115=1,"carte","multiple"))</f>
        <v/>
      </c>
    </row>
    <row r="4116">
      <c r="A4116" t="inlineStr">
        <is>
          <t>2022-08-14</t>
        </is>
      </c>
      <c r="B4116" t="inlineStr">
        <is>
          <t>11:54</t>
        </is>
      </c>
      <c r="C4116" t="n">
        <v>3032</v>
      </c>
      <c r="D4116" s="6" t="n">
        <v>5.2</v>
      </c>
      <c r="E4116" t="n">
        <v>41090</v>
      </c>
      <c r="F4116" s="6" t="n">
        <v>5.2</v>
      </c>
      <c r="G4116" t="n">
        <v>1</v>
      </c>
      <c r="H4116" s="6">
        <f>ROUND(G4116*F4116,2)</f>
        <v/>
      </c>
      <c r="I4116">
        <f>IF(ROUND(H4116-D4116,2)=0,1,0)</f>
        <v/>
      </c>
      <c r="J4116">
        <f>IF(F4116="","none",IF(G4116=1,"carte","multiple"))</f>
        <v/>
      </c>
    </row>
    <row r="4117">
      <c r="A4117" t="inlineStr">
        <is>
          <t>2022-08-14</t>
        </is>
      </c>
      <c r="B4117" t="inlineStr">
        <is>
          <t>11:54</t>
        </is>
      </c>
      <c r="C4117" t="n">
        <v>3032</v>
      </c>
      <c r="D4117" s="6" t="n">
        <v>7.2</v>
      </c>
      <c r="E4117" t="n">
        <v>41091</v>
      </c>
      <c r="F4117" s="6" t="n">
        <v>7.2</v>
      </c>
      <c r="G4117" t="n">
        <v>1</v>
      </c>
      <c r="H4117" s="6">
        <f>ROUND(G4117*F4117,2)</f>
        <v/>
      </c>
      <c r="I4117">
        <f>IF(ROUND(H4117-D4117,2)=0,1,0)</f>
        <v/>
      </c>
      <c r="J4117">
        <f>IF(F4117="","none",IF(G4117=1,"carte","multiple"))</f>
        <v/>
      </c>
    </row>
    <row r="4118">
      <c r="A4118" t="inlineStr">
        <is>
          <t>2022-08-14</t>
        </is>
      </c>
      <c r="B4118" t="inlineStr">
        <is>
          <t>13:12</t>
        </is>
      </c>
      <c r="C4118" t="n">
        <v>3032</v>
      </c>
      <c r="D4118" s="6" t="n">
        <v>4.4</v>
      </c>
      <c r="E4118" t="n">
        <v>41092</v>
      </c>
      <c r="F4118" s="6" t="n">
        <v>0.4</v>
      </c>
      <c r="G4118" t="n">
        <v>11</v>
      </c>
      <c r="H4118" s="6">
        <f>ROUND(G4118*F4118,2)</f>
        <v/>
      </c>
      <c r="I4118">
        <f>IF(ROUND(H4118-D4118,2)=0,1,0)</f>
        <v/>
      </c>
      <c r="J4118">
        <f>IF(F4118="","none",IF(G4118=1,"carte","multiple"))</f>
        <v/>
      </c>
    </row>
    <row r="4119">
      <c r="A4119" t="inlineStr">
        <is>
          <t>2022-08-14</t>
        </is>
      </c>
      <c r="B4119" t="inlineStr">
        <is>
          <t>13:12</t>
        </is>
      </c>
      <c r="C4119" t="n">
        <v>3032</v>
      </c>
      <c r="D4119" s="6" t="n">
        <v>8.699999999999999</v>
      </c>
      <c r="E4119" t="n">
        <v>41093</v>
      </c>
      <c r="F4119" s="6" t="n">
        <v>8.699999999999999</v>
      </c>
      <c r="G4119" t="n">
        <v>1</v>
      </c>
      <c r="H4119" s="6">
        <f>ROUND(G4119*F4119,2)</f>
        <v/>
      </c>
      <c r="I4119">
        <f>IF(ROUND(H4119-D4119,2)=0,1,0)</f>
        <v/>
      </c>
      <c r="J4119">
        <f>IF(F4119="","none",IF(G4119=1,"carte","multiple"))</f>
        <v/>
      </c>
    </row>
    <row r="4120">
      <c r="A4120" t="inlineStr">
        <is>
          <t>2022-08-14</t>
        </is>
      </c>
      <c r="B4120" t="inlineStr">
        <is>
          <t>13:12</t>
        </is>
      </c>
      <c r="C4120" t="n">
        <v>3032</v>
      </c>
      <c r="D4120" s="6" t="n">
        <v>8.5</v>
      </c>
      <c r="E4120" t="n">
        <v>41094</v>
      </c>
      <c r="F4120" s="6" t="n">
        <v>8.5</v>
      </c>
      <c r="G4120" t="n">
        <v>1</v>
      </c>
      <c r="H4120" s="6">
        <f>ROUND(G4120*F4120,2)</f>
        <v/>
      </c>
      <c r="I4120">
        <f>IF(ROUND(H4120-D4120,2)=0,1,0)</f>
        <v/>
      </c>
      <c r="J4120">
        <f>IF(F4120="","none",IF(G4120=1,"carte","multiple"))</f>
        <v/>
      </c>
    </row>
    <row r="4121">
      <c r="A4121" t="inlineStr">
        <is>
          <t>2022-08-14</t>
        </is>
      </c>
      <c r="B4121" t="inlineStr">
        <is>
          <t>13:12</t>
        </is>
      </c>
      <c r="C4121" t="n">
        <v>3032</v>
      </c>
      <c r="D4121" s="6" t="n">
        <v>30</v>
      </c>
      <c r="E4121" t="n">
        <v>41095</v>
      </c>
      <c r="F4121" s="6" t="n">
        <v>30</v>
      </c>
      <c r="G4121" t="n">
        <v>1</v>
      </c>
      <c r="H4121" s="6">
        <f>ROUND(G4121*F4121,2)</f>
        <v/>
      </c>
      <c r="I4121">
        <f>IF(ROUND(H4121-D4121,2)=0,1,0)</f>
        <v/>
      </c>
      <c r="J4121">
        <f>IF(F4121="","none",IF(G4121=1,"carte","multiple"))</f>
        <v/>
      </c>
    </row>
    <row r="4122">
      <c r="A4122" t="inlineStr">
        <is>
          <t>2022-08-14</t>
        </is>
      </c>
      <c r="B4122" t="inlineStr">
        <is>
          <t>13:12</t>
        </is>
      </c>
      <c r="C4122" t="n">
        <v>3032</v>
      </c>
      <c r="D4122" s="6" t="n">
        <v>3.9</v>
      </c>
      <c r="E4122" t="n">
        <v>41096</v>
      </c>
      <c r="F4122" s="6" t="n">
        <v>3.9</v>
      </c>
      <c r="G4122" t="n">
        <v>1</v>
      </c>
      <c r="H4122" s="6">
        <f>ROUND(G4122*F4122,2)</f>
        <v/>
      </c>
      <c r="I4122">
        <f>IF(ROUND(H4122-D4122,2)=0,1,0)</f>
        <v/>
      </c>
      <c r="J4122">
        <f>IF(F4122="","none",IF(G4122=1,"carte","multiple"))</f>
        <v/>
      </c>
    </row>
    <row r="4123">
      <c r="A4123" t="inlineStr">
        <is>
          <t>2022-08-14</t>
        </is>
      </c>
      <c r="B4123" t="inlineStr">
        <is>
          <t>13:12</t>
        </is>
      </c>
      <c r="C4123" t="n">
        <v>3032</v>
      </c>
      <c r="D4123" s="6" t="n">
        <v>8.800000000000001</v>
      </c>
      <c r="E4123" t="n">
        <v>41097</v>
      </c>
      <c r="F4123" s="6" t="n">
        <v>8.800000000000001</v>
      </c>
      <c r="G4123" t="n">
        <v>1</v>
      </c>
      <c r="H4123" s="6">
        <f>ROUND(G4123*F4123,2)</f>
        <v/>
      </c>
      <c r="I4123">
        <f>IF(ROUND(H4123-D4123,2)=0,1,0)</f>
        <v/>
      </c>
      <c r="J4123">
        <f>IF(F4123="","none",IF(G4123=1,"carte","multiple"))</f>
        <v/>
      </c>
    </row>
    <row r="4124">
      <c r="A4124" t="inlineStr">
        <is>
          <t>2022-08-14</t>
        </is>
      </c>
      <c r="B4124" t="inlineStr">
        <is>
          <t>13:12</t>
        </is>
      </c>
      <c r="C4124" t="n">
        <v>3032</v>
      </c>
      <c r="D4124" s="6" t="n">
        <v>8.800000000000001</v>
      </c>
      <c r="E4124" t="n">
        <v>41098</v>
      </c>
      <c r="F4124" s="6" t="n">
        <v>8.800000000000001</v>
      </c>
      <c r="G4124" t="n">
        <v>1</v>
      </c>
      <c r="H4124" s="6">
        <f>ROUND(G4124*F4124,2)</f>
        <v/>
      </c>
      <c r="I4124">
        <f>IF(ROUND(H4124-D4124,2)=0,1,0)</f>
        <v/>
      </c>
      <c r="J4124">
        <f>IF(F4124="","none",IF(G4124=1,"carte","multiple"))</f>
        <v/>
      </c>
    </row>
    <row r="4125">
      <c r="A4125" t="inlineStr">
        <is>
          <t>2022-08-14</t>
        </is>
      </c>
      <c r="B4125" t="inlineStr">
        <is>
          <t>13:12</t>
        </is>
      </c>
      <c r="C4125" t="n">
        <v>3032</v>
      </c>
      <c r="D4125" s="6" t="n">
        <v>5.9</v>
      </c>
      <c r="E4125" t="n">
        <v>41099</v>
      </c>
      <c r="F4125" s="6" t="n">
        <v>5.9</v>
      </c>
      <c r="G4125" t="n">
        <v>1</v>
      </c>
      <c r="H4125" s="6">
        <f>ROUND(G4125*F4125,2)</f>
        <v/>
      </c>
      <c r="I4125">
        <f>IF(ROUND(H4125-D4125,2)=0,1,0)</f>
        <v/>
      </c>
      <c r="J4125">
        <f>IF(F4125="","none",IF(G4125=1,"carte","multiple"))</f>
        <v/>
      </c>
    </row>
    <row r="4126">
      <c r="A4126" t="inlineStr">
        <is>
          <t>2022-08-14</t>
        </is>
      </c>
      <c r="B4126" t="inlineStr">
        <is>
          <t>13:12</t>
        </is>
      </c>
      <c r="C4126" t="n">
        <v>3032</v>
      </c>
      <c r="D4126" s="6" t="n">
        <v>59.2</v>
      </c>
      <c r="E4126" t="n">
        <v>41100</v>
      </c>
      <c r="F4126" s="6" t="n">
        <v>0.4</v>
      </c>
      <c r="G4126" t="n">
        <v>148</v>
      </c>
      <c r="H4126" s="6">
        <f>ROUND(G4126*F4126,2)</f>
        <v/>
      </c>
      <c r="I4126">
        <f>IF(ROUND(H4126-D4126,2)=0,1,0)</f>
        <v/>
      </c>
      <c r="J4126">
        <f>IF(F4126="","none",IF(G4126=1,"carte","multiple"))</f>
        <v/>
      </c>
    </row>
    <row r="4127">
      <c r="A4127" t="inlineStr">
        <is>
          <t>2022-08-14</t>
        </is>
      </c>
      <c r="B4127" t="inlineStr">
        <is>
          <t>13:24</t>
        </is>
      </c>
      <c r="C4127" t="n">
        <v>3032</v>
      </c>
      <c r="D4127" s="6" t="n">
        <v>5.2</v>
      </c>
      <c r="E4127" t="n">
        <v>41101</v>
      </c>
      <c r="F4127" s="6" t="n">
        <v>5.2</v>
      </c>
      <c r="G4127" t="n">
        <v>1</v>
      </c>
      <c r="H4127" s="6">
        <f>ROUND(G4127*F4127,2)</f>
        <v/>
      </c>
      <c r="I4127">
        <f>IF(ROUND(H4127-D4127,2)=0,1,0)</f>
        <v/>
      </c>
      <c r="J4127">
        <f>IF(F4127="","none",IF(G4127=1,"carte","multiple"))</f>
        <v/>
      </c>
    </row>
    <row r="4128">
      <c r="A4128" t="inlineStr">
        <is>
          <t>2022-08-14</t>
        </is>
      </c>
      <c r="B4128" t="inlineStr">
        <is>
          <t>13:29</t>
        </is>
      </c>
      <c r="C4128" t="n">
        <v>3032</v>
      </c>
      <c r="D4128" s="6" t="n">
        <v>2.2</v>
      </c>
      <c r="E4128" t="n">
        <v>41102</v>
      </c>
      <c r="F4128" s="6" t="n">
        <v>2.2</v>
      </c>
      <c r="G4128" t="n">
        <v>1</v>
      </c>
      <c r="H4128" s="6">
        <f>ROUND(G4128*F4128,2)</f>
        <v/>
      </c>
      <c r="I4128">
        <f>IF(ROUND(H4128-D4128,2)=0,1,0)</f>
        <v/>
      </c>
      <c r="J4128">
        <f>IF(F4128="","none",IF(G4128=1,"carte","multiple"))</f>
        <v/>
      </c>
    </row>
    <row r="4129">
      <c r="A4129" t="inlineStr">
        <is>
          <t>2022-08-14</t>
        </is>
      </c>
      <c r="B4129" t="inlineStr">
        <is>
          <t>18:21</t>
        </is>
      </c>
      <c r="C4129" t="n">
        <v>3032</v>
      </c>
      <c r="D4129" s="6" t="n">
        <v>29.9</v>
      </c>
      <c r="E4129" t="n">
        <v>41104</v>
      </c>
      <c r="F4129" s="6" t="n">
        <v>29.9</v>
      </c>
      <c r="G4129" t="n">
        <v>1</v>
      </c>
      <c r="H4129" s="6">
        <f>ROUND(G4129*F4129,2)</f>
        <v/>
      </c>
      <c r="I4129">
        <f>IF(ROUND(H4129-D4129,2)=0,1,0)</f>
        <v/>
      </c>
      <c r="J4129">
        <f>IF(F4129="","none",IF(G4129=1,"carte","multiple"))</f>
        <v/>
      </c>
    </row>
    <row r="4130">
      <c r="A4130" t="inlineStr">
        <is>
          <t>2022-08-14</t>
        </is>
      </c>
      <c r="B4130" t="inlineStr">
        <is>
          <t>18:28</t>
        </is>
      </c>
      <c r="C4130" t="n">
        <v>3032</v>
      </c>
      <c r="D4130" s="6" t="n">
        <v>4</v>
      </c>
      <c r="E4130" t="n">
        <v>41105</v>
      </c>
      <c r="F4130" s="6" t="n">
        <v>4</v>
      </c>
      <c r="G4130" t="n">
        <v>1</v>
      </c>
      <c r="H4130" s="6">
        <f>ROUND(G4130*F4130,2)</f>
        <v/>
      </c>
      <c r="I4130">
        <f>IF(ROUND(H4130-D4130,2)=0,1,0)</f>
        <v/>
      </c>
      <c r="J4130">
        <f>IF(F4130="","none",IF(G4130=1,"carte","multiple"))</f>
        <v/>
      </c>
    </row>
    <row r="4131">
      <c r="A4131" t="inlineStr">
        <is>
          <t>2022-08-14</t>
        </is>
      </c>
      <c r="B4131" t="inlineStr">
        <is>
          <t>19:06</t>
        </is>
      </c>
      <c r="C4131" t="n">
        <v>3032</v>
      </c>
      <c r="D4131" s="6" t="n">
        <v>2.2</v>
      </c>
      <c r="E4131" t="n">
        <v>41106</v>
      </c>
      <c r="F4131" s="6" t="n">
        <v>2.2</v>
      </c>
      <c r="G4131" t="n">
        <v>1</v>
      </c>
      <c r="H4131" s="6">
        <f>ROUND(G4131*F4131,2)</f>
        <v/>
      </c>
      <c r="I4131">
        <f>IF(ROUND(H4131-D4131,2)=0,1,0)</f>
        <v/>
      </c>
      <c r="J4131">
        <f>IF(F4131="","none",IF(G4131=1,"carte","multiple"))</f>
        <v/>
      </c>
    </row>
    <row r="4132">
      <c r="A4132" t="inlineStr">
        <is>
          <t>2022-08-14</t>
        </is>
      </c>
      <c r="B4132" t="inlineStr">
        <is>
          <t>19:06</t>
        </is>
      </c>
      <c r="C4132" t="n">
        <v>3032</v>
      </c>
      <c r="D4132" s="6" t="n">
        <v>8.699999999999999</v>
      </c>
      <c r="E4132" t="n">
        <v>41107</v>
      </c>
      <c r="F4132" s="6" t="n">
        <v>8.699999999999999</v>
      </c>
      <c r="G4132" t="n">
        <v>1</v>
      </c>
      <c r="H4132" s="6">
        <f>ROUND(G4132*F4132,2)</f>
        <v/>
      </c>
      <c r="I4132">
        <f>IF(ROUND(H4132-D4132,2)=0,1,0)</f>
        <v/>
      </c>
      <c r="J4132">
        <f>IF(F4132="","none",IF(G4132=1,"carte","multiple"))</f>
        <v/>
      </c>
    </row>
    <row r="4133">
      <c r="A4133" t="inlineStr">
        <is>
          <t>2022-08-14</t>
        </is>
      </c>
      <c r="B4133" t="inlineStr">
        <is>
          <t>19:06</t>
        </is>
      </c>
      <c r="C4133" t="n">
        <v>3032</v>
      </c>
      <c r="D4133" s="6" t="n">
        <v>19.9</v>
      </c>
      <c r="E4133" t="n">
        <v>41108</v>
      </c>
      <c r="F4133" s="6" t="n">
        <v>19.9</v>
      </c>
      <c r="G4133" t="n">
        <v>1</v>
      </c>
      <c r="H4133" s="6">
        <f>ROUND(G4133*F4133,2)</f>
        <v/>
      </c>
      <c r="I4133">
        <f>IF(ROUND(H4133-D4133,2)=0,1,0)</f>
        <v/>
      </c>
      <c r="J4133">
        <f>IF(F4133="","none",IF(G4133=1,"carte","multiple"))</f>
        <v/>
      </c>
    </row>
    <row r="4134">
      <c r="A4134" t="inlineStr">
        <is>
          <t>2022-08-14</t>
        </is>
      </c>
      <c r="B4134" t="inlineStr">
        <is>
          <t>19:39</t>
        </is>
      </c>
      <c r="C4134" t="n">
        <v>3032</v>
      </c>
      <c r="D4134" s="6" t="n">
        <v>6.9</v>
      </c>
      <c r="E4134" t="n">
        <v>41109</v>
      </c>
      <c r="F4134" s="6" t="n">
        <v>6.9</v>
      </c>
      <c r="G4134" t="n">
        <v>1</v>
      </c>
      <c r="H4134" s="6">
        <f>ROUND(G4134*F4134,2)</f>
        <v/>
      </c>
      <c r="I4134">
        <f>IF(ROUND(H4134-D4134,2)=0,1,0)</f>
        <v/>
      </c>
      <c r="J4134">
        <f>IF(F4134="","none",IF(G4134=1,"carte","multiple"))</f>
        <v/>
      </c>
    </row>
    <row r="4135">
      <c r="A4135" t="inlineStr">
        <is>
          <t>2022-08-16</t>
        </is>
      </c>
      <c r="B4135" t="inlineStr">
        <is>
          <t>10:45</t>
        </is>
      </c>
      <c r="C4135" t="n">
        <v>3033</v>
      </c>
      <c r="D4135" s="6" t="n">
        <v>17.6</v>
      </c>
      <c r="E4135" t="n">
        <v>41112</v>
      </c>
      <c r="F4135" s="6" t="n">
        <v>17.6</v>
      </c>
      <c r="G4135" t="n">
        <v>1</v>
      </c>
      <c r="H4135" s="6">
        <f>ROUND(G4135*F4135,2)</f>
        <v/>
      </c>
      <c r="I4135">
        <f>IF(ROUND(H4135-D4135,2)=0,1,0)</f>
        <v/>
      </c>
      <c r="J4135">
        <f>IF(F4135="","none",IF(G4135=1,"carte","multiple"))</f>
        <v/>
      </c>
    </row>
    <row r="4136">
      <c r="A4136" t="inlineStr">
        <is>
          <t>2022-08-16</t>
        </is>
      </c>
      <c r="B4136" t="inlineStr">
        <is>
          <t>10:51</t>
        </is>
      </c>
      <c r="C4136" t="n">
        <v>3033</v>
      </c>
      <c r="D4136" s="6" t="n">
        <v>17.6</v>
      </c>
      <c r="E4136" t="n">
        <v>41113</v>
      </c>
      <c r="F4136" s="6" t="n">
        <v>17.6</v>
      </c>
      <c r="G4136" t="n">
        <v>1</v>
      </c>
      <c r="H4136" s="6">
        <f>ROUND(G4136*F4136,2)</f>
        <v/>
      </c>
      <c r="I4136">
        <f>IF(ROUND(H4136-D4136,2)=0,1,0)</f>
        <v/>
      </c>
      <c r="J4136">
        <f>IF(F4136="","none",IF(G4136=1,"carte","multiple"))</f>
        <v/>
      </c>
    </row>
    <row r="4137">
      <c r="A4137" t="inlineStr">
        <is>
          <t>2022-08-16</t>
        </is>
      </c>
      <c r="B4137" t="inlineStr">
        <is>
          <t>11:06</t>
        </is>
      </c>
      <c r="C4137" t="n">
        <v>3033</v>
      </c>
      <c r="D4137" s="6" t="n">
        <v>13</v>
      </c>
      <c r="E4137" t="n">
        <v>41114</v>
      </c>
      <c r="F4137" s="6" t="n">
        <v>13</v>
      </c>
      <c r="G4137" t="n">
        <v>1</v>
      </c>
      <c r="H4137" s="6">
        <f>ROUND(G4137*F4137,2)</f>
        <v/>
      </c>
      <c r="I4137">
        <f>IF(ROUND(H4137-D4137,2)=0,1,0)</f>
        <v/>
      </c>
      <c r="J4137">
        <f>IF(F4137="","none",IF(G4137=1,"carte","multiple"))</f>
        <v/>
      </c>
    </row>
    <row r="4138">
      <c r="A4138" t="inlineStr">
        <is>
          <t>2022-08-16</t>
        </is>
      </c>
      <c r="B4138" t="inlineStr">
        <is>
          <t>11:06</t>
        </is>
      </c>
      <c r="C4138" t="n">
        <v>3033</v>
      </c>
      <c r="D4138" s="6" t="n">
        <v>15.9</v>
      </c>
      <c r="E4138" t="n">
        <v>41115</v>
      </c>
      <c r="F4138" s="6" t="n">
        <v>15.9</v>
      </c>
      <c r="G4138" t="n">
        <v>1</v>
      </c>
      <c r="H4138" s="6">
        <f>ROUND(G4138*F4138,2)</f>
        <v/>
      </c>
      <c r="I4138">
        <f>IF(ROUND(H4138-D4138,2)=0,1,0)</f>
        <v/>
      </c>
      <c r="J4138">
        <f>IF(F4138="","none",IF(G4138=1,"carte","multiple"))</f>
        <v/>
      </c>
    </row>
    <row r="4139">
      <c r="A4139" t="inlineStr">
        <is>
          <t>2022-08-16</t>
        </is>
      </c>
      <c r="B4139" t="inlineStr">
        <is>
          <t>11:06</t>
        </is>
      </c>
      <c r="C4139" t="n">
        <v>3033</v>
      </c>
      <c r="D4139" s="6" t="n">
        <v>17.6</v>
      </c>
      <c r="E4139" t="n">
        <v>41116</v>
      </c>
      <c r="F4139" s="6" t="n">
        <v>17.6</v>
      </c>
      <c r="G4139" t="n">
        <v>1</v>
      </c>
      <c r="H4139" s="6">
        <f>ROUND(G4139*F4139,2)</f>
        <v/>
      </c>
      <c r="I4139">
        <f>IF(ROUND(H4139-D4139,2)=0,1,0)</f>
        <v/>
      </c>
      <c r="J4139">
        <f>IF(F4139="","none",IF(G4139=1,"carte","multiple"))</f>
        <v/>
      </c>
    </row>
    <row r="4140">
      <c r="A4140" t="inlineStr">
        <is>
          <t>2022-08-16</t>
        </is>
      </c>
      <c r="B4140" t="inlineStr">
        <is>
          <t>11:17</t>
        </is>
      </c>
      <c r="C4140" t="n">
        <v>3033</v>
      </c>
      <c r="D4140" s="6" t="n">
        <v>4.4</v>
      </c>
      <c r="E4140" t="n">
        <v>41117</v>
      </c>
      <c r="F4140" s="6" t="n">
        <v>0.4</v>
      </c>
      <c r="G4140" t="n">
        <v>11</v>
      </c>
      <c r="H4140" s="6">
        <f>ROUND(G4140*F4140,2)</f>
        <v/>
      </c>
      <c r="I4140">
        <f>IF(ROUND(H4140-D4140,2)=0,1,0)</f>
        <v/>
      </c>
      <c r="J4140">
        <f>IF(F4140="","none",IF(G4140=1,"carte","multiple"))</f>
        <v/>
      </c>
    </row>
    <row r="4141">
      <c r="A4141" t="inlineStr">
        <is>
          <t>2022-08-16</t>
        </is>
      </c>
      <c r="B4141" t="inlineStr">
        <is>
          <t>11:17</t>
        </is>
      </c>
      <c r="C4141" t="n">
        <v>3033</v>
      </c>
      <c r="D4141" s="6" t="n">
        <v>3.9</v>
      </c>
      <c r="E4141" t="n">
        <v>41118</v>
      </c>
      <c r="F4141" s="6" t="n">
        <v>3.9</v>
      </c>
      <c r="G4141" t="n">
        <v>1</v>
      </c>
      <c r="H4141" s="6">
        <f>ROUND(G4141*F4141,2)</f>
        <v/>
      </c>
      <c r="I4141">
        <f>IF(ROUND(H4141-D4141,2)=0,1,0)</f>
        <v/>
      </c>
      <c r="J4141">
        <f>IF(F4141="","none",IF(G4141=1,"carte","multiple"))</f>
        <v/>
      </c>
    </row>
    <row r="4142">
      <c r="A4142" t="inlineStr">
        <is>
          <t>2022-08-16</t>
        </is>
      </c>
      <c r="B4142" t="inlineStr">
        <is>
          <t>11:17</t>
        </is>
      </c>
      <c r="C4142" t="n">
        <v>3033</v>
      </c>
      <c r="D4142" s="6" t="n">
        <v>52.8</v>
      </c>
      <c r="E4142" t="n">
        <v>41119</v>
      </c>
      <c r="F4142" s="6" t="n">
        <v>0.4</v>
      </c>
      <c r="G4142" t="n">
        <v>132</v>
      </c>
      <c r="H4142" s="6">
        <f>ROUND(G4142*F4142,2)</f>
        <v/>
      </c>
      <c r="I4142">
        <f>IF(ROUND(H4142-D4142,2)=0,1,0)</f>
        <v/>
      </c>
      <c r="J4142">
        <f>IF(F4142="","none",IF(G4142=1,"carte","multiple"))</f>
        <v/>
      </c>
    </row>
    <row r="4143">
      <c r="A4143" t="inlineStr">
        <is>
          <t>2022-08-16</t>
        </is>
      </c>
      <c r="B4143" t="inlineStr">
        <is>
          <t>11:17</t>
        </is>
      </c>
      <c r="C4143" t="n">
        <v>3033</v>
      </c>
      <c r="D4143" s="6" t="n">
        <v>9.6</v>
      </c>
      <c r="E4143" t="n">
        <v>41120</v>
      </c>
      <c r="F4143" s="6" t="n">
        <v>9.6</v>
      </c>
      <c r="G4143" t="n">
        <v>1</v>
      </c>
      <c r="H4143" s="6">
        <f>ROUND(G4143*F4143,2)</f>
        <v/>
      </c>
      <c r="I4143">
        <f>IF(ROUND(H4143-D4143,2)=0,1,0)</f>
        <v/>
      </c>
      <c r="J4143">
        <f>IF(F4143="","none",IF(G4143=1,"carte","multiple"))</f>
        <v/>
      </c>
    </row>
    <row r="4144">
      <c r="A4144" t="inlineStr">
        <is>
          <t>2022-08-16</t>
        </is>
      </c>
      <c r="B4144" t="inlineStr">
        <is>
          <t>12:18</t>
        </is>
      </c>
      <c r="C4144" t="n">
        <v>3033</v>
      </c>
      <c r="D4144" s="6" t="n">
        <v>32</v>
      </c>
      <c r="E4144" t="n">
        <v>41121</v>
      </c>
      <c r="F4144" s="6" t="n">
        <v>32</v>
      </c>
      <c r="G4144" t="n">
        <v>1</v>
      </c>
      <c r="H4144" s="6">
        <f>ROUND(G4144*F4144,2)</f>
        <v/>
      </c>
      <c r="I4144">
        <f>IF(ROUND(H4144-D4144,2)=0,1,0)</f>
        <v/>
      </c>
      <c r="J4144">
        <f>IF(F4144="","none",IF(G4144=1,"carte","multiple"))</f>
        <v/>
      </c>
    </row>
    <row r="4145">
      <c r="A4145" t="inlineStr">
        <is>
          <t>2022-08-16</t>
        </is>
      </c>
      <c r="B4145" t="inlineStr">
        <is>
          <t>12:18</t>
        </is>
      </c>
      <c r="C4145" t="n">
        <v>3033</v>
      </c>
      <c r="D4145" s="6" t="n">
        <v>6.9</v>
      </c>
      <c r="E4145" t="n">
        <v>41122</v>
      </c>
      <c r="F4145" s="6" t="n">
        <v>6.9</v>
      </c>
      <c r="G4145" t="n">
        <v>1</v>
      </c>
      <c r="H4145" s="6">
        <f>ROUND(G4145*F4145,2)</f>
        <v/>
      </c>
      <c r="I4145">
        <f>IF(ROUND(H4145-D4145,2)=0,1,0)</f>
        <v/>
      </c>
      <c r="J4145">
        <f>IF(F4145="","none",IF(G4145=1,"carte","multiple"))</f>
        <v/>
      </c>
    </row>
    <row r="4146">
      <c r="A4146" t="inlineStr">
        <is>
          <t>2022-08-16</t>
        </is>
      </c>
      <c r="B4146" t="inlineStr">
        <is>
          <t>12:18</t>
        </is>
      </c>
      <c r="C4146" t="n">
        <v>3033</v>
      </c>
      <c r="D4146" s="6" t="n">
        <v>32</v>
      </c>
      <c r="E4146" t="n">
        <v>41123</v>
      </c>
      <c r="F4146" s="6" t="n">
        <v>32</v>
      </c>
      <c r="G4146" t="n">
        <v>1</v>
      </c>
      <c r="H4146" s="6">
        <f>ROUND(G4146*F4146,2)</f>
        <v/>
      </c>
      <c r="I4146">
        <f>IF(ROUND(H4146-D4146,2)=0,1,0)</f>
        <v/>
      </c>
      <c r="J4146">
        <f>IF(F4146="","none",IF(G4146=1,"carte","multiple"))</f>
        <v/>
      </c>
    </row>
    <row r="4147">
      <c r="A4147" t="inlineStr">
        <is>
          <t>2022-08-16</t>
        </is>
      </c>
      <c r="B4147" t="inlineStr">
        <is>
          <t>12:18</t>
        </is>
      </c>
      <c r="C4147" t="n">
        <v>3033</v>
      </c>
      <c r="D4147" s="6" t="n">
        <v>7</v>
      </c>
      <c r="E4147" t="n">
        <v>41124</v>
      </c>
      <c r="F4147" s="6" t="n">
        <v>7</v>
      </c>
      <c r="G4147" t="n">
        <v>1</v>
      </c>
      <c r="H4147" s="6">
        <f>ROUND(G4147*F4147,2)</f>
        <v/>
      </c>
      <c r="I4147">
        <f>IF(ROUND(H4147-D4147,2)=0,1,0)</f>
        <v/>
      </c>
      <c r="J4147">
        <f>IF(F4147="","none",IF(G4147=1,"carte","multiple"))</f>
        <v/>
      </c>
    </row>
    <row r="4148">
      <c r="A4148" t="inlineStr">
        <is>
          <t>2022-08-16</t>
        </is>
      </c>
      <c r="B4148" t="inlineStr">
        <is>
          <t>12:18</t>
        </is>
      </c>
      <c r="C4148" t="n">
        <v>3033</v>
      </c>
      <c r="D4148" s="6" t="n">
        <v>3.9</v>
      </c>
      <c r="E4148" t="n">
        <v>41125</v>
      </c>
      <c r="F4148" s="6" t="n">
        <v>3.9</v>
      </c>
      <c r="G4148" t="n">
        <v>1</v>
      </c>
      <c r="H4148" s="6">
        <f>ROUND(G4148*F4148,2)</f>
        <v/>
      </c>
      <c r="I4148">
        <f>IF(ROUND(H4148-D4148,2)=0,1,0)</f>
        <v/>
      </c>
      <c r="J4148">
        <f>IF(F4148="","none",IF(G4148=1,"carte","multiple"))</f>
        <v/>
      </c>
    </row>
    <row r="4149">
      <c r="A4149" t="inlineStr">
        <is>
          <t>2022-08-16</t>
        </is>
      </c>
      <c r="B4149" t="inlineStr">
        <is>
          <t>12:36</t>
        </is>
      </c>
      <c r="C4149" t="n">
        <v>3033</v>
      </c>
      <c r="D4149" s="6" t="n">
        <v>3.9</v>
      </c>
      <c r="E4149" t="n">
        <v>41126</v>
      </c>
      <c r="F4149" s="6" t="n">
        <v>3.9</v>
      </c>
      <c r="G4149" t="n">
        <v>1</v>
      </c>
      <c r="H4149" s="6">
        <f>ROUND(G4149*F4149,2)</f>
        <v/>
      </c>
      <c r="I4149">
        <f>IF(ROUND(H4149-D4149,2)=0,1,0)</f>
        <v/>
      </c>
      <c r="J4149">
        <f>IF(F4149="","none",IF(G4149=1,"carte","multiple"))</f>
        <v/>
      </c>
    </row>
    <row r="4150">
      <c r="A4150" t="inlineStr">
        <is>
          <t>2022-08-16</t>
        </is>
      </c>
      <c r="B4150" t="inlineStr">
        <is>
          <t>12:36</t>
        </is>
      </c>
      <c r="C4150" t="n">
        <v>3033</v>
      </c>
      <c r="D4150" s="6" t="n">
        <v>3.9</v>
      </c>
      <c r="E4150" t="n">
        <v>41127</v>
      </c>
      <c r="F4150" s="6" t="n">
        <v>3.9</v>
      </c>
      <c r="G4150" t="n">
        <v>1</v>
      </c>
      <c r="H4150" s="6">
        <f>ROUND(G4150*F4150,2)</f>
        <v/>
      </c>
      <c r="I4150">
        <f>IF(ROUND(H4150-D4150,2)=0,1,0)</f>
        <v/>
      </c>
      <c r="J4150">
        <f>IF(F4150="","none",IF(G4150=1,"carte","multiple"))</f>
        <v/>
      </c>
    </row>
    <row r="4151">
      <c r="A4151" t="inlineStr">
        <is>
          <t>2022-08-16</t>
        </is>
      </c>
      <c r="B4151" t="inlineStr">
        <is>
          <t>12:36</t>
        </is>
      </c>
      <c r="C4151" t="n">
        <v>3033</v>
      </c>
      <c r="D4151" s="6" t="n">
        <v>22</v>
      </c>
      <c r="E4151" t="n">
        <v>41128</v>
      </c>
      <c r="F4151" s="6" t="n">
        <v>0.4</v>
      </c>
      <c r="G4151" t="n">
        <v>55</v>
      </c>
      <c r="H4151" s="6">
        <f>ROUND(G4151*F4151,2)</f>
        <v/>
      </c>
      <c r="I4151">
        <f>IF(ROUND(H4151-D4151,2)=0,1,0)</f>
        <v/>
      </c>
      <c r="J4151">
        <f>IF(F4151="","none",IF(G4151=1,"carte","multiple"))</f>
        <v/>
      </c>
    </row>
    <row r="4152">
      <c r="A4152" t="inlineStr">
        <is>
          <t>2022-08-16</t>
        </is>
      </c>
      <c r="B4152" t="inlineStr">
        <is>
          <t>17:46</t>
        </is>
      </c>
      <c r="C4152" t="n">
        <v>3033</v>
      </c>
      <c r="D4152" s="6" t="n">
        <v>29.9</v>
      </c>
      <c r="E4152" t="n">
        <v>41130</v>
      </c>
      <c r="F4152" s="6" t="n">
        <v>29.9</v>
      </c>
      <c r="G4152" t="n">
        <v>1</v>
      </c>
      <c r="H4152" s="6">
        <f>ROUND(G4152*F4152,2)</f>
        <v/>
      </c>
      <c r="I4152">
        <f>IF(ROUND(H4152-D4152,2)=0,1,0)</f>
        <v/>
      </c>
      <c r="J4152">
        <f>IF(F4152="","none",IF(G4152=1,"carte","multiple"))</f>
        <v/>
      </c>
    </row>
    <row r="4153">
      <c r="A4153" t="inlineStr">
        <is>
          <t>2022-08-16</t>
        </is>
      </c>
      <c r="B4153" t="inlineStr">
        <is>
          <t>17:50</t>
        </is>
      </c>
      <c r="C4153" t="n">
        <v>3033</v>
      </c>
      <c r="D4153" s="6" t="n">
        <v>34.8</v>
      </c>
      <c r="E4153" t="n">
        <v>41131</v>
      </c>
      <c r="F4153" s="6" t="n">
        <v>34.8</v>
      </c>
      <c r="G4153" t="n">
        <v>1</v>
      </c>
      <c r="H4153" s="6">
        <f>ROUND(G4153*F4153,2)</f>
        <v/>
      </c>
      <c r="I4153">
        <f>IF(ROUND(H4153-D4153,2)=0,1,0)</f>
        <v/>
      </c>
      <c r="J4153">
        <f>IF(F4153="","none",IF(G4153=1,"carte","multiple"))</f>
        <v/>
      </c>
    </row>
    <row r="4154">
      <c r="A4154" t="inlineStr">
        <is>
          <t>2022-08-16</t>
        </is>
      </c>
      <c r="B4154" t="inlineStr">
        <is>
          <t>17:51</t>
        </is>
      </c>
      <c r="C4154" t="n">
        <v>3033</v>
      </c>
      <c r="D4154" s="6" t="n">
        <v>28.6</v>
      </c>
      <c r="E4154" t="n">
        <v>41132</v>
      </c>
      <c r="F4154" s="6" t="n">
        <v>28.6</v>
      </c>
      <c r="G4154" t="n">
        <v>1</v>
      </c>
      <c r="H4154" s="6">
        <f>ROUND(G4154*F4154,2)</f>
        <v/>
      </c>
      <c r="I4154">
        <f>IF(ROUND(H4154-D4154,2)=0,1,0)</f>
        <v/>
      </c>
      <c r="J4154">
        <f>IF(F4154="","none",IF(G4154=1,"carte","multiple"))</f>
        <v/>
      </c>
    </row>
    <row r="4155">
      <c r="A4155" t="inlineStr">
        <is>
          <t>2022-08-16</t>
        </is>
      </c>
      <c r="B4155" t="inlineStr">
        <is>
          <t>17:51</t>
        </is>
      </c>
      <c r="C4155" t="n">
        <v>3033</v>
      </c>
      <c r="D4155" s="6" t="n">
        <v>17.6</v>
      </c>
      <c r="E4155" t="n">
        <v>41133</v>
      </c>
      <c r="F4155" s="6" t="n">
        <v>17.6</v>
      </c>
      <c r="G4155" t="n">
        <v>1</v>
      </c>
      <c r="H4155" s="6">
        <f>ROUND(G4155*F4155,2)</f>
        <v/>
      </c>
      <c r="I4155">
        <f>IF(ROUND(H4155-D4155,2)=0,1,0)</f>
        <v/>
      </c>
      <c r="J4155">
        <f>IF(F4155="","none",IF(G4155=1,"carte","multiple"))</f>
        <v/>
      </c>
    </row>
    <row r="4156">
      <c r="A4156" t="inlineStr">
        <is>
          <t>2022-08-16</t>
        </is>
      </c>
      <c r="B4156" t="inlineStr">
        <is>
          <t>17:51</t>
        </is>
      </c>
      <c r="C4156" t="n">
        <v>3033</v>
      </c>
      <c r="D4156" s="6" t="n">
        <v>0</v>
      </c>
      <c r="E4156" t="n">
        <v>41134</v>
      </c>
      <c r="H4156" t="inlineStr"/>
      <c r="I4156" t="inlineStr"/>
      <c r="J4156">
        <f>IF(F4156="","none",IF(G4156=1,"carte","multiple"))</f>
        <v/>
      </c>
    </row>
    <row r="4157">
      <c r="A4157" t="inlineStr">
        <is>
          <t>2022-08-16</t>
        </is>
      </c>
      <c r="B4157" t="inlineStr">
        <is>
          <t>17:51</t>
        </is>
      </c>
      <c r="C4157" t="n">
        <v>3033</v>
      </c>
      <c r="D4157" s="6" t="n">
        <v>0</v>
      </c>
      <c r="E4157" t="n">
        <v>41135</v>
      </c>
      <c r="H4157" t="inlineStr"/>
      <c r="I4157" t="inlineStr"/>
      <c r="J4157">
        <f>IF(F4157="","none",IF(G4157=1,"carte","multiple"))</f>
        <v/>
      </c>
    </row>
    <row r="4158">
      <c r="A4158" t="inlineStr">
        <is>
          <t>2022-08-16</t>
        </is>
      </c>
      <c r="B4158" t="inlineStr">
        <is>
          <t>17:59</t>
        </is>
      </c>
      <c r="C4158" t="n">
        <v>3033</v>
      </c>
      <c r="D4158" s="6" t="n">
        <v>19.9</v>
      </c>
      <c r="E4158" t="n">
        <v>41136</v>
      </c>
      <c r="F4158" s="6" t="n">
        <v>19.9</v>
      </c>
      <c r="G4158" t="n">
        <v>1</v>
      </c>
      <c r="H4158" s="6">
        <f>ROUND(G4158*F4158,2)</f>
        <v/>
      </c>
      <c r="I4158">
        <f>IF(ROUND(H4158-D4158,2)=0,1,0)</f>
        <v/>
      </c>
      <c r="J4158">
        <f>IF(F4158="","none",IF(G4158=1,"carte","multiple"))</f>
        <v/>
      </c>
    </row>
    <row r="4159">
      <c r="A4159" t="inlineStr">
        <is>
          <t>2022-08-16</t>
        </is>
      </c>
      <c r="B4159" t="inlineStr">
        <is>
          <t>18:12</t>
        </is>
      </c>
      <c r="C4159" t="n">
        <v>3033</v>
      </c>
      <c r="D4159" s="6" t="n">
        <v>3.8</v>
      </c>
      <c r="E4159" t="n">
        <v>41137</v>
      </c>
      <c r="F4159" s="6" t="n">
        <v>3.8</v>
      </c>
      <c r="G4159" t="n">
        <v>1</v>
      </c>
      <c r="H4159" s="6">
        <f>ROUND(G4159*F4159,2)</f>
        <v/>
      </c>
      <c r="I4159">
        <f>IF(ROUND(H4159-D4159,2)=0,1,0)</f>
        <v/>
      </c>
      <c r="J4159">
        <f>IF(F4159="","none",IF(G4159=1,"carte","multiple"))</f>
        <v/>
      </c>
    </row>
    <row r="4160">
      <c r="A4160" t="inlineStr">
        <is>
          <t>2022-08-16</t>
        </is>
      </c>
      <c r="B4160" t="inlineStr">
        <is>
          <t>18:14</t>
        </is>
      </c>
      <c r="C4160" t="n">
        <v>3033</v>
      </c>
      <c r="D4160" s="6" t="n">
        <v>17.6</v>
      </c>
      <c r="E4160" t="n">
        <v>41138</v>
      </c>
      <c r="F4160" s="6" t="n">
        <v>17.6</v>
      </c>
      <c r="G4160" t="n">
        <v>1</v>
      </c>
      <c r="H4160" s="6">
        <f>ROUND(G4160*F4160,2)</f>
        <v/>
      </c>
      <c r="I4160">
        <f>IF(ROUND(H4160-D4160,2)=0,1,0)</f>
        <v/>
      </c>
      <c r="J4160">
        <f>IF(F4160="","none",IF(G4160=1,"carte","multiple"))</f>
        <v/>
      </c>
    </row>
    <row r="4161">
      <c r="A4161" t="inlineStr">
        <is>
          <t>2022-08-16</t>
        </is>
      </c>
      <c r="B4161" t="inlineStr">
        <is>
          <t>18:30</t>
        </is>
      </c>
      <c r="C4161" t="n">
        <v>3033</v>
      </c>
      <c r="D4161" s="6" t="n">
        <v>2.2</v>
      </c>
      <c r="E4161" t="n">
        <v>41139</v>
      </c>
      <c r="F4161" s="6" t="n">
        <v>2.2</v>
      </c>
      <c r="G4161" t="n">
        <v>1</v>
      </c>
      <c r="H4161" s="6">
        <f>ROUND(G4161*F4161,2)</f>
        <v/>
      </c>
      <c r="I4161">
        <f>IF(ROUND(H4161-D4161,2)=0,1,0)</f>
        <v/>
      </c>
      <c r="J4161">
        <f>IF(F4161="","none",IF(G4161=1,"carte","multiple"))</f>
        <v/>
      </c>
    </row>
    <row r="4162">
      <c r="A4162" t="inlineStr">
        <is>
          <t>2022-08-16</t>
        </is>
      </c>
      <c r="B4162" t="inlineStr">
        <is>
          <t>18:31</t>
        </is>
      </c>
      <c r="C4162" t="n">
        <v>3033</v>
      </c>
      <c r="D4162" s="6" t="n">
        <v>9.800000000000001</v>
      </c>
      <c r="E4162" t="n">
        <v>41140</v>
      </c>
      <c r="F4162" s="6" t="n">
        <v>9.800000000000001</v>
      </c>
      <c r="G4162" t="n">
        <v>1</v>
      </c>
      <c r="H4162" s="6">
        <f>ROUND(G4162*F4162,2)</f>
        <v/>
      </c>
      <c r="I4162">
        <f>IF(ROUND(H4162-D4162,2)=0,1,0)</f>
        <v/>
      </c>
      <c r="J4162">
        <f>IF(F4162="","none",IF(G4162=1,"carte","multiple"))</f>
        <v/>
      </c>
    </row>
    <row r="4163">
      <c r="A4163" t="inlineStr">
        <is>
          <t>2022-08-16</t>
        </is>
      </c>
      <c r="B4163" t="inlineStr">
        <is>
          <t>18:31</t>
        </is>
      </c>
      <c r="C4163" t="n">
        <v>3033</v>
      </c>
      <c r="D4163" s="6" t="n">
        <v>22</v>
      </c>
      <c r="E4163" t="n">
        <v>41141</v>
      </c>
      <c r="F4163" s="6" t="n">
        <v>0.4</v>
      </c>
      <c r="G4163" t="n">
        <v>55</v>
      </c>
      <c r="H4163" s="6">
        <f>ROUND(G4163*F4163,2)</f>
        <v/>
      </c>
      <c r="I4163">
        <f>IF(ROUND(H4163-D4163,2)=0,1,0)</f>
        <v/>
      </c>
      <c r="J4163">
        <f>IF(F4163="","none",IF(G4163=1,"carte","multiple"))</f>
        <v/>
      </c>
    </row>
    <row r="4164">
      <c r="A4164" t="inlineStr">
        <is>
          <t>2022-08-16</t>
        </is>
      </c>
      <c r="B4164" t="inlineStr">
        <is>
          <t>18:32</t>
        </is>
      </c>
      <c r="C4164" t="n">
        <v>3033</v>
      </c>
      <c r="D4164" s="6" t="n">
        <v>13</v>
      </c>
      <c r="E4164" t="n">
        <v>41142</v>
      </c>
      <c r="F4164" s="6" t="n">
        <v>13</v>
      </c>
      <c r="G4164" t="n">
        <v>1</v>
      </c>
      <c r="H4164" s="6">
        <f>ROUND(G4164*F4164,2)</f>
        <v/>
      </c>
      <c r="I4164">
        <f>IF(ROUND(H4164-D4164,2)=0,1,0)</f>
        <v/>
      </c>
      <c r="J4164">
        <f>IF(F4164="","none",IF(G4164=1,"carte","multiple"))</f>
        <v/>
      </c>
    </row>
    <row r="4165">
      <c r="A4165" t="inlineStr">
        <is>
          <t>2022-08-16</t>
        </is>
      </c>
      <c r="B4165" t="inlineStr">
        <is>
          <t>18:32</t>
        </is>
      </c>
      <c r="C4165" t="n">
        <v>3033</v>
      </c>
      <c r="D4165" s="6" t="n">
        <v>30</v>
      </c>
      <c r="E4165" t="n">
        <v>41143</v>
      </c>
      <c r="F4165" s="6" t="n">
        <v>30</v>
      </c>
      <c r="G4165" t="n">
        <v>1</v>
      </c>
      <c r="H4165" s="6">
        <f>ROUND(G4165*F4165,2)</f>
        <v/>
      </c>
      <c r="I4165">
        <f>IF(ROUND(H4165-D4165,2)=0,1,0)</f>
        <v/>
      </c>
      <c r="J4165">
        <f>IF(F4165="","none",IF(G4165=1,"carte","multiple"))</f>
        <v/>
      </c>
    </row>
    <row r="4166">
      <c r="A4166" t="inlineStr">
        <is>
          <t>2022-08-16</t>
        </is>
      </c>
      <c r="B4166" t="inlineStr">
        <is>
          <t>18:43</t>
        </is>
      </c>
      <c r="C4166" t="n">
        <v>3033</v>
      </c>
      <c r="D4166" s="6" t="n">
        <v>2.2</v>
      </c>
      <c r="E4166" t="n">
        <v>41144</v>
      </c>
      <c r="F4166" s="6" t="n">
        <v>2.2</v>
      </c>
      <c r="G4166" t="n">
        <v>1</v>
      </c>
      <c r="H4166" s="6">
        <f>ROUND(G4166*F4166,2)</f>
        <v/>
      </c>
      <c r="I4166">
        <f>IF(ROUND(H4166-D4166,2)=0,1,0)</f>
        <v/>
      </c>
      <c r="J4166">
        <f>IF(F4166="","none",IF(G4166=1,"carte","multiple"))</f>
        <v/>
      </c>
    </row>
    <row r="4167">
      <c r="A4167" t="inlineStr">
        <is>
          <t>2022-08-16</t>
        </is>
      </c>
      <c r="B4167" t="inlineStr">
        <is>
          <t>18:43</t>
        </is>
      </c>
      <c r="C4167" t="n">
        <v>3033</v>
      </c>
      <c r="D4167" s="6" t="n">
        <v>15.9</v>
      </c>
      <c r="E4167" t="n">
        <v>41145</v>
      </c>
      <c r="F4167" s="6" t="n">
        <v>15.9</v>
      </c>
      <c r="G4167" t="n">
        <v>1</v>
      </c>
      <c r="H4167" s="6">
        <f>ROUND(G4167*F4167,2)</f>
        <v/>
      </c>
      <c r="I4167">
        <f>IF(ROUND(H4167-D4167,2)=0,1,0)</f>
        <v/>
      </c>
      <c r="J4167">
        <f>IF(F4167="","none",IF(G4167=1,"carte","multiple"))</f>
        <v/>
      </c>
    </row>
    <row r="4168">
      <c r="A4168" t="inlineStr">
        <is>
          <t>2022-08-16</t>
        </is>
      </c>
      <c r="B4168" t="inlineStr">
        <is>
          <t>18:43</t>
        </is>
      </c>
      <c r="C4168" t="n">
        <v>3033</v>
      </c>
      <c r="D4168" s="6" t="n">
        <v>23</v>
      </c>
      <c r="E4168" t="n">
        <v>41146</v>
      </c>
      <c r="F4168" s="6" t="n">
        <v>23</v>
      </c>
      <c r="G4168" t="n">
        <v>1</v>
      </c>
      <c r="H4168" s="6">
        <f>ROUND(G4168*F4168,2)</f>
        <v/>
      </c>
      <c r="I4168">
        <f>IF(ROUND(H4168-D4168,2)=0,1,0)</f>
        <v/>
      </c>
      <c r="J4168">
        <f>IF(F4168="","none",IF(G4168=1,"carte","multiple"))</f>
        <v/>
      </c>
    </row>
    <row r="4169">
      <c r="A4169" t="inlineStr">
        <is>
          <t>2022-08-16</t>
        </is>
      </c>
      <c r="B4169" t="inlineStr">
        <is>
          <t>18:43</t>
        </is>
      </c>
      <c r="C4169" t="n">
        <v>3033</v>
      </c>
      <c r="D4169" s="6" t="n">
        <v>9.800000000000001</v>
      </c>
      <c r="E4169" t="n">
        <v>41147</v>
      </c>
      <c r="F4169" s="6" t="n">
        <v>9.800000000000001</v>
      </c>
      <c r="G4169" t="n">
        <v>1</v>
      </c>
      <c r="H4169" s="6">
        <f>ROUND(G4169*F4169,2)</f>
        <v/>
      </c>
      <c r="I4169">
        <f>IF(ROUND(H4169-D4169,2)=0,1,0)</f>
        <v/>
      </c>
      <c r="J4169">
        <f>IF(F4169="","none",IF(G4169=1,"carte","multiple"))</f>
        <v/>
      </c>
    </row>
    <row r="4170">
      <c r="A4170" t="inlineStr">
        <is>
          <t>2022-08-16</t>
        </is>
      </c>
      <c r="B4170" t="inlineStr">
        <is>
          <t>19:03</t>
        </is>
      </c>
      <c r="C4170" t="n">
        <v>3033</v>
      </c>
      <c r="D4170" s="6" t="n">
        <v>4.2</v>
      </c>
      <c r="E4170" t="n">
        <v>41148</v>
      </c>
      <c r="F4170" s="6" t="n">
        <v>4.2</v>
      </c>
      <c r="G4170" t="n">
        <v>1</v>
      </c>
      <c r="H4170" s="6">
        <f>ROUND(G4170*F4170,2)</f>
        <v/>
      </c>
      <c r="I4170">
        <f>IF(ROUND(H4170-D4170,2)=0,1,0)</f>
        <v/>
      </c>
      <c r="J4170">
        <f>IF(F4170="","none",IF(G4170=1,"carte","multiple"))</f>
        <v/>
      </c>
    </row>
    <row r="4171">
      <c r="A4171" t="inlineStr">
        <is>
          <t>2022-08-16</t>
        </is>
      </c>
      <c r="B4171" t="inlineStr">
        <is>
          <t>19:15</t>
        </is>
      </c>
      <c r="C4171" t="n">
        <v>3033</v>
      </c>
      <c r="D4171" s="6" t="n">
        <v>2.2</v>
      </c>
      <c r="E4171" t="n">
        <v>41149</v>
      </c>
      <c r="F4171" s="6" t="n">
        <v>2.2</v>
      </c>
      <c r="G4171" t="n">
        <v>1</v>
      </c>
      <c r="H4171" s="6">
        <f>ROUND(G4171*F4171,2)</f>
        <v/>
      </c>
      <c r="I4171">
        <f>IF(ROUND(H4171-D4171,2)=0,1,0)</f>
        <v/>
      </c>
      <c r="J4171">
        <f>IF(F4171="","none",IF(G4171=1,"carte","multiple"))</f>
        <v/>
      </c>
    </row>
    <row r="4172">
      <c r="A4172" t="inlineStr">
        <is>
          <t>2022-08-16</t>
        </is>
      </c>
      <c r="B4172" t="inlineStr">
        <is>
          <t>19:15</t>
        </is>
      </c>
      <c r="C4172" t="n">
        <v>3033</v>
      </c>
      <c r="D4172" s="6" t="n">
        <v>4.6</v>
      </c>
      <c r="E4172" t="n">
        <v>41150</v>
      </c>
      <c r="F4172" s="6" t="n">
        <v>4.6</v>
      </c>
      <c r="G4172" t="n">
        <v>1</v>
      </c>
      <c r="H4172" s="6">
        <f>ROUND(G4172*F4172,2)</f>
        <v/>
      </c>
      <c r="I4172">
        <f>IF(ROUND(H4172-D4172,2)=0,1,0)</f>
        <v/>
      </c>
      <c r="J4172">
        <f>IF(F4172="","none",IF(G4172=1,"carte","multiple"))</f>
        <v/>
      </c>
    </row>
    <row r="4173">
      <c r="A4173" t="inlineStr">
        <is>
          <t>2022-08-16</t>
        </is>
      </c>
      <c r="B4173" t="inlineStr">
        <is>
          <t>19:15</t>
        </is>
      </c>
      <c r="C4173" t="n">
        <v>3033</v>
      </c>
      <c r="D4173" s="6" t="n">
        <v>17.6</v>
      </c>
      <c r="E4173" t="n">
        <v>41151</v>
      </c>
      <c r="F4173" s="6" t="n">
        <v>17.6</v>
      </c>
      <c r="G4173" t="n">
        <v>1</v>
      </c>
      <c r="H4173" s="6">
        <f>ROUND(G4173*F4173,2)</f>
        <v/>
      </c>
      <c r="I4173">
        <f>IF(ROUND(H4173-D4173,2)=0,1,0)</f>
        <v/>
      </c>
      <c r="J4173">
        <f>IF(F4173="","none",IF(G4173=1,"carte","multiple"))</f>
        <v/>
      </c>
    </row>
    <row r="4174">
      <c r="A4174" t="inlineStr">
        <is>
          <t>2022-08-16</t>
        </is>
      </c>
      <c r="B4174" t="inlineStr">
        <is>
          <t>19:15</t>
        </is>
      </c>
      <c r="C4174" t="n">
        <v>3033</v>
      </c>
      <c r="D4174" s="6" t="n">
        <v>17.6</v>
      </c>
      <c r="E4174" t="n">
        <v>41152</v>
      </c>
      <c r="F4174" s="6" t="n">
        <v>17.6</v>
      </c>
      <c r="G4174" t="n">
        <v>1</v>
      </c>
      <c r="H4174" s="6">
        <f>ROUND(G4174*F4174,2)</f>
        <v/>
      </c>
      <c r="I4174">
        <f>IF(ROUND(H4174-D4174,2)=0,1,0)</f>
        <v/>
      </c>
      <c r="J4174">
        <f>IF(F4174="","none",IF(G4174=1,"carte","multiple"))</f>
        <v/>
      </c>
    </row>
    <row r="4175">
      <c r="A4175" t="inlineStr">
        <is>
          <t>2022-08-16</t>
        </is>
      </c>
      <c r="B4175" t="inlineStr">
        <is>
          <t>19:15</t>
        </is>
      </c>
      <c r="C4175" t="n">
        <v>3033</v>
      </c>
      <c r="D4175" s="6" t="n">
        <v>9.800000000000001</v>
      </c>
      <c r="E4175" t="n">
        <v>41153</v>
      </c>
      <c r="F4175" s="6" t="n">
        <v>9.800000000000001</v>
      </c>
      <c r="G4175" t="n">
        <v>1</v>
      </c>
      <c r="H4175" s="6">
        <f>ROUND(G4175*F4175,2)</f>
        <v/>
      </c>
      <c r="I4175">
        <f>IF(ROUND(H4175-D4175,2)=0,1,0)</f>
        <v/>
      </c>
      <c r="J4175">
        <f>IF(F4175="","none",IF(G4175=1,"carte","multiple"))</f>
        <v/>
      </c>
    </row>
    <row r="4176">
      <c r="A4176" t="inlineStr">
        <is>
          <t>2022-08-16</t>
        </is>
      </c>
      <c r="B4176" t="inlineStr">
        <is>
          <t>19:15</t>
        </is>
      </c>
      <c r="C4176" t="n">
        <v>3033</v>
      </c>
      <c r="D4176" s="6" t="n">
        <v>8.9</v>
      </c>
      <c r="E4176" t="n">
        <v>41154</v>
      </c>
      <c r="F4176" s="6" t="n">
        <v>8.9</v>
      </c>
      <c r="G4176" t="n">
        <v>1</v>
      </c>
      <c r="H4176" s="6">
        <f>ROUND(G4176*F4176,2)</f>
        <v/>
      </c>
      <c r="I4176">
        <f>IF(ROUND(H4176-D4176,2)=0,1,0)</f>
        <v/>
      </c>
      <c r="J4176">
        <f>IF(F4176="","none",IF(G4176=1,"carte","multiple"))</f>
        <v/>
      </c>
    </row>
    <row r="4177">
      <c r="A4177" t="inlineStr">
        <is>
          <t>2022-08-16</t>
        </is>
      </c>
      <c r="B4177" t="inlineStr">
        <is>
          <t>19:15</t>
        </is>
      </c>
      <c r="C4177" t="n">
        <v>3033</v>
      </c>
      <c r="D4177" s="6" t="n">
        <v>7.2</v>
      </c>
      <c r="E4177" t="n">
        <v>41155</v>
      </c>
      <c r="F4177" s="6" t="n">
        <v>7.2</v>
      </c>
      <c r="G4177" t="n">
        <v>1</v>
      </c>
      <c r="H4177" s="6">
        <f>ROUND(G4177*F4177,2)</f>
        <v/>
      </c>
      <c r="I4177">
        <f>IF(ROUND(H4177-D4177,2)=0,1,0)</f>
        <v/>
      </c>
      <c r="J4177">
        <f>IF(F4177="","none",IF(G4177=1,"carte","multiple"))</f>
        <v/>
      </c>
    </row>
    <row r="4178">
      <c r="A4178" t="inlineStr">
        <is>
          <t>2022-08-16</t>
        </is>
      </c>
      <c r="B4178" t="inlineStr">
        <is>
          <t>19:15</t>
        </is>
      </c>
      <c r="C4178" t="n">
        <v>3033</v>
      </c>
      <c r="D4178" s="6" t="n">
        <v>5.2</v>
      </c>
      <c r="E4178" t="n">
        <v>41156</v>
      </c>
      <c r="F4178" s="6" t="n">
        <v>5.2</v>
      </c>
      <c r="G4178" t="n">
        <v>1</v>
      </c>
      <c r="H4178" s="6">
        <f>ROUND(G4178*F4178,2)</f>
        <v/>
      </c>
      <c r="I4178">
        <f>IF(ROUND(H4178-D4178,2)=0,1,0)</f>
        <v/>
      </c>
      <c r="J4178">
        <f>IF(F4178="","none",IF(G4178=1,"carte","multiple"))</f>
        <v/>
      </c>
    </row>
    <row r="4179">
      <c r="A4179" t="inlineStr">
        <is>
          <t>2022-08-16</t>
        </is>
      </c>
      <c r="B4179" t="inlineStr">
        <is>
          <t>19:15</t>
        </is>
      </c>
      <c r="C4179" t="n">
        <v>3033</v>
      </c>
      <c r="D4179" s="6" t="n">
        <v>4.9</v>
      </c>
      <c r="E4179" t="n">
        <v>41157</v>
      </c>
      <c r="F4179" s="6" t="n">
        <v>4.9</v>
      </c>
      <c r="G4179" t="n">
        <v>1</v>
      </c>
      <c r="H4179" s="6">
        <f>ROUND(G4179*F4179,2)</f>
        <v/>
      </c>
      <c r="I4179">
        <f>IF(ROUND(H4179-D4179,2)=0,1,0)</f>
        <v/>
      </c>
      <c r="J4179">
        <f>IF(F4179="","none",IF(G4179=1,"carte","multiple"))</f>
        <v/>
      </c>
    </row>
    <row r="4180">
      <c r="A4180" t="inlineStr">
        <is>
          <t>2022-08-16</t>
        </is>
      </c>
      <c r="B4180" t="inlineStr">
        <is>
          <t>19:22</t>
        </is>
      </c>
      <c r="C4180" t="n">
        <v>3033</v>
      </c>
      <c r="D4180" s="6" t="n">
        <v>45</v>
      </c>
      <c r="E4180" t="n">
        <v>41158</v>
      </c>
      <c r="F4180" s="6" t="n">
        <v>45</v>
      </c>
      <c r="G4180" t="n">
        <v>1</v>
      </c>
      <c r="H4180" s="6">
        <f>ROUND(G4180*F4180,2)</f>
        <v/>
      </c>
      <c r="I4180">
        <f>IF(ROUND(H4180-D4180,2)=0,1,0)</f>
        <v/>
      </c>
      <c r="J4180">
        <f>IF(F4180="","none",IF(G4180=1,"carte","multiple"))</f>
        <v/>
      </c>
    </row>
    <row r="4181">
      <c r="A4181" t="inlineStr">
        <is>
          <t>2022-08-16</t>
        </is>
      </c>
      <c r="B4181" t="inlineStr">
        <is>
          <t>19:22</t>
        </is>
      </c>
      <c r="C4181" t="n">
        <v>3033</v>
      </c>
      <c r="D4181" s="6" t="n">
        <v>2.4</v>
      </c>
      <c r="E4181" t="n">
        <v>41159</v>
      </c>
      <c r="F4181" s="6" t="n">
        <v>2.4</v>
      </c>
      <c r="G4181" t="n">
        <v>1</v>
      </c>
      <c r="H4181" s="6">
        <f>ROUND(G4181*F4181,2)</f>
        <v/>
      </c>
      <c r="I4181">
        <f>IF(ROUND(H4181-D4181,2)=0,1,0)</f>
        <v/>
      </c>
      <c r="J4181">
        <f>IF(F4181="","none",IF(G4181=1,"carte","multiple"))</f>
        <v/>
      </c>
    </row>
    <row r="4182">
      <c r="A4182" t="inlineStr">
        <is>
          <t>2022-08-16</t>
        </is>
      </c>
      <c r="B4182" t="inlineStr">
        <is>
          <t>19:22</t>
        </is>
      </c>
      <c r="C4182" t="n">
        <v>3033</v>
      </c>
      <c r="D4182" s="6" t="n">
        <v>10.7</v>
      </c>
      <c r="E4182" t="n">
        <v>41160</v>
      </c>
      <c r="F4182" s="6" t="n">
        <v>10.7</v>
      </c>
      <c r="G4182" t="n">
        <v>1</v>
      </c>
      <c r="H4182" s="6">
        <f>ROUND(G4182*F4182,2)</f>
        <v/>
      </c>
      <c r="I4182">
        <f>IF(ROUND(H4182-D4182,2)=0,1,0)</f>
        <v/>
      </c>
      <c r="J4182">
        <f>IF(F4182="","none",IF(G4182=1,"carte","multiple"))</f>
        <v/>
      </c>
    </row>
    <row r="4183">
      <c r="A4183" t="inlineStr">
        <is>
          <t>2022-08-16</t>
        </is>
      </c>
      <c r="B4183" t="inlineStr">
        <is>
          <t>19:22</t>
        </is>
      </c>
      <c r="C4183" t="n">
        <v>3033</v>
      </c>
      <c r="D4183" s="6" t="n">
        <v>7.5</v>
      </c>
      <c r="E4183" t="n">
        <v>41161</v>
      </c>
      <c r="F4183" s="6" t="n">
        <v>7.5</v>
      </c>
      <c r="G4183" t="n">
        <v>1</v>
      </c>
      <c r="H4183" s="6">
        <f>ROUND(G4183*F4183,2)</f>
        <v/>
      </c>
      <c r="I4183">
        <f>IF(ROUND(H4183-D4183,2)=0,1,0)</f>
        <v/>
      </c>
      <c r="J4183">
        <f>IF(F4183="","none",IF(G4183=1,"carte","multiple"))</f>
        <v/>
      </c>
    </row>
    <row r="4184">
      <c r="A4184" t="inlineStr">
        <is>
          <t>2022-08-16</t>
        </is>
      </c>
      <c r="B4184" t="inlineStr">
        <is>
          <t>19:22</t>
        </is>
      </c>
      <c r="C4184" t="n">
        <v>3033</v>
      </c>
      <c r="D4184" s="6" t="n">
        <v>17.6</v>
      </c>
      <c r="E4184" t="n">
        <v>41162</v>
      </c>
      <c r="F4184" s="6" t="n">
        <v>17.6</v>
      </c>
      <c r="G4184" t="n">
        <v>1</v>
      </c>
      <c r="H4184" s="6">
        <f>ROUND(G4184*F4184,2)</f>
        <v/>
      </c>
      <c r="I4184">
        <f>IF(ROUND(H4184-D4184,2)=0,1,0)</f>
        <v/>
      </c>
      <c r="J4184">
        <f>IF(F4184="","none",IF(G4184=1,"carte","multiple"))</f>
        <v/>
      </c>
    </row>
    <row r="4185">
      <c r="A4185" t="inlineStr">
        <is>
          <t>2022-08-16</t>
        </is>
      </c>
      <c r="B4185" t="inlineStr">
        <is>
          <t>19:22</t>
        </is>
      </c>
      <c r="C4185" t="n">
        <v>3033</v>
      </c>
      <c r="D4185" s="6" t="n">
        <v>17.6</v>
      </c>
      <c r="E4185" t="n">
        <v>41163</v>
      </c>
      <c r="F4185" s="6" t="n">
        <v>17.6</v>
      </c>
      <c r="G4185" t="n">
        <v>1</v>
      </c>
      <c r="H4185" s="6">
        <f>ROUND(G4185*F4185,2)</f>
        <v/>
      </c>
      <c r="I4185">
        <f>IF(ROUND(H4185-D4185,2)=0,1,0)</f>
        <v/>
      </c>
      <c r="J4185">
        <f>IF(F4185="","none",IF(G4185=1,"carte","multiple"))</f>
        <v/>
      </c>
    </row>
    <row r="4186">
      <c r="A4186" t="inlineStr">
        <is>
          <t>2022-08-16</t>
        </is>
      </c>
      <c r="B4186" t="inlineStr">
        <is>
          <t>19:22</t>
        </is>
      </c>
      <c r="C4186" t="n">
        <v>3033</v>
      </c>
      <c r="D4186" s="6" t="n">
        <v>4</v>
      </c>
      <c r="E4186" t="n">
        <v>41164</v>
      </c>
      <c r="F4186" s="6" t="n">
        <v>4</v>
      </c>
      <c r="G4186" t="n">
        <v>1</v>
      </c>
      <c r="H4186" s="6">
        <f>ROUND(G4186*F4186,2)</f>
        <v/>
      </c>
      <c r="I4186">
        <f>IF(ROUND(H4186-D4186,2)=0,1,0)</f>
        <v/>
      </c>
      <c r="J4186">
        <f>IF(F4186="","none",IF(G4186=1,"carte","multiple"))</f>
        <v/>
      </c>
    </row>
    <row r="4187">
      <c r="A4187" t="inlineStr">
        <is>
          <t>2022-08-16</t>
        </is>
      </c>
      <c r="B4187" t="inlineStr">
        <is>
          <t>19:22</t>
        </is>
      </c>
      <c r="C4187" t="n">
        <v>3033</v>
      </c>
      <c r="D4187" s="6" t="n">
        <v>3.9</v>
      </c>
      <c r="E4187" t="n">
        <v>41165</v>
      </c>
      <c r="F4187" s="6" t="n">
        <v>3.9</v>
      </c>
      <c r="G4187" t="n">
        <v>1</v>
      </c>
      <c r="H4187" s="6">
        <f>ROUND(G4187*F4187,2)</f>
        <v/>
      </c>
      <c r="I4187">
        <f>IF(ROUND(H4187-D4187,2)=0,1,0)</f>
        <v/>
      </c>
      <c r="J4187">
        <f>IF(F4187="","none",IF(G4187=1,"carte","multiple"))</f>
        <v/>
      </c>
    </row>
    <row r="4188">
      <c r="A4188" t="inlineStr">
        <is>
          <t>2022-08-16</t>
        </is>
      </c>
      <c r="B4188" t="inlineStr">
        <is>
          <t>19:22</t>
        </is>
      </c>
      <c r="C4188" t="n">
        <v>3033</v>
      </c>
      <c r="D4188" s="6" t="n">
        <v>6.5</v>
      </c>
      <c r="E4188" t="n">
        <v>41166</v>
      </c>
      <c r="F4188" s="6" t="n">
        <v>6.5</v>
      </c>
      <c r="G4188" t="n">
        <v>1</v>
      </c>
      <c r="H4188" s="6">
        <f>ROUND(G4188*F4188,2)</f>
        <v/>
      </c>
      <c r="I4188">
        <f>IF(ROUND(H4188-D4188,2)=0,1,0)</f>
        <v/>
      </c>
      <c r="J4188">
        <f>IF(F4188="","none",IF(G4188=1,"carte","multiple"))</f>
        <v/>
      </c>
    </row>
    <row r="4189">
      <c r="A4189" t="inlineStr">
        <is>
          <t>2022-08-16</t>
        </is>
      </c>
      <c r="B4189" t="inlineStr">
        <is>
          <t>19:22</t>
        </is>
      </c>
      <c r="C4189" t="n">
        <v>3033</v>
      </c>
      <c r="D4189" s="6" t="n">
        <v>7.9</v>
      </c>
      <c r="E4189" t="n">
        <v>41167</v>
      </c>
      <c r="F4189" s="6" t="n">
        <v>7.9</v>
      </c>
      <c r="G4189" t="n">
        <v>1</v>
      </c>
      <c r="H4189" s="6">
        <f>ROUND(G4189*F4189,2)</f>
        <v/>
      </c>
      <c r="I4189">
        <f>IF(ROUND(H4189-D4189,2)=0,1,0)</f>
        <v/>
      </c>
      <c r="J4189">
        <f>IF(F4189="","none",IF(G4189=1,"carte","multiple"))</f>
        <v/>
      </c>
    </row>
    <row r="4190">
      <c r="A4190" t="inlineStr">
        <is>
          <t>2022-08-16</t>
        </is>
      </c>
      <c r="B4190" t="inlineStr">
        <is>
          <t>19:23</t>
        </is>
      </c>
      <c r="C4190" t="n">
        <v>3033</v>
      </c>
      <c r="D4190" s="6" t="n">
        <v>29.9</v>
      </c>
      <c r="E4190" t="n">
        <v>41168</v>
      </c>
      <c r="F4190" s="6" t="n">
        <v>29.9</v>
      </c>
      <c r="G4190" t="n">
        <v>1</v>
      </c>
      <c r="H4190" s="6">
        <f>ROUND(G4190*F4190,2)</f>
        <v/>
      </c>
      <c r="I4190">
        <f>IF(ROUND(H4190-D4190,2)=0,1,0)</f>
        <v/>
      </c>
      <c r="J4190">
        <f>IF(F4190="","none",IF(G4190=1,"carte","multiple"))</f>
        <v/>
      </c>
    </row>
    <row r="4191">
      <c r="A4191" t="inlineStr">
        <is>
          <t>2022-08-16</t>
        </is>
      </c>
      <c r="B4191" t="inlineStr">
        <is>
          <t>20:27</t>
        </is>
      </c>
      <c r="C4191" t="n">
        <v>3033</v>
      </c>
      <c r="D4191" s="6" t="n">
        <v>12.8</v>
      </c>
      <c r="E4191" t="n">
        <v>41169</v>
      </c>
      <c r="F4191" s="6" t="n">
        <v>0.4</v>
      </c>
      <c r="G4191" t="n">
        <v>32</v>
      </c>
      <c r="H4191" s="6">
        <f>ROUND(G4191*F4191,2)</f>
        <v/>
      </c>
      <c r="I4191">
        <f>IF(ROUND(H4191-D4191,2)=0,1,0)</f>
        <v/>
      </c>
      <c r="J4191">
        <f>IF(F4191="","none",IF(G4191=1,"carte","multiple"))</f>
        <v/>
      </c>
    </row>
    <row r="4192">
      <c r="A4192" t="inlineStr">
        <is>
          <t>2022-08-16</t>
        </is>
      </c>
      <c r="B4192" t="inlineStr">
        <is>
          <t>20:27</t>
        </is>
      </c>
      <c r="C4192" t="n">
        <v>3033</v>
      </c>
      <c r="D4192" s="6" t="n">
        <v>9.800000000000001</v>
      </c>
      <c r="E4192" t="n">
        <v>41170</v>
      </c>
      <c r="F4192" s="6" t="n">
        <v>9.800000000000001</v>
      </c>
      <c r="G4192" t="n">
        <v>1</v>
      </c>
      <c r="H4192" s="6">
        <f>ROUND(G4192*F4192,2)</f>
        <v/>
      </c>
      <c r="I4192">
        <f>IF(ROUND(H4192-D4192,2)=0,1,0)</f>
        <v/>
      </c>
      <c r="J4192">
        <f>IF(F4192="","none",IF(G4192=1,"carte","multiple"))</f>
        <v/>
      </c>
    </row>
    <row r="4193">
      <c r="A4193" t="inlineStr">
        <is>
          <t>2022-08-16</t>
        </is>
      </c>
      <c r="B4193" t="inlineStr">
        <is>
          <t>20:27</t>
        </is>
      </c>
      <c r="C4193" t="n">
        <v>3033</v>
      </c>
      <c r="D4193" s="6" t="n">
        <v>17.6</v>
      </c>
      <c r="E4193" t="n">
        <v>41171</v>
      </c>
      <c r="F4193" s="6" t="n">
        <v>17.6</v>
      </c>
      <c r="G4193" t="n">
        <v>1</v>
      </c>
      <c r="H4193" s="6">
        <f>ROUND(G4193*F4193,2)</f>
        <v/>
      </c>
      <c r="I4193">
        <f>IF(ROUND(H4193-D4193,2)=0,1,0)</f>
        <v/>
      </c>
      <c r="J4193">
        <f>IF(F4193="","none",IF(G4193=1,"carte","multiple"))</f>
        <v/>
      </c>
    </row>
    <row r="4194">
      <c r="A4194" t="inlineStr">
        <is>
          <t>2022-08-16</t>
        </is>
      </c>
      <c r="B4194" t="inlineStr">
        <is>
          <t>20:27</t>
        </is>
      </c>
      <c r="C4194" t="n">
        <v>3033</v>
      </c>
      <c r="D4194" s="6" t="n">
        <v>16.9</v>
      </c>
      <c r="E4194" t="n">
        <v>41172</v>
      </c>
      <c r="F4194" s="6" t="n">
        <v>16.9</v>
      </c>
      <c r="G4194" t="n">
        <v>1</v>
      </c>
      <c r="H4194" s="6">
        <f>ROUND(G4194*F4194,2)</f>
        <v/>
      </c>
      <c r="I4194">
        <f>IF(ROUND(H4194-D4194,2)=0,1,0)</f>
        <v/>
      </c>
      <c r="J4194">
        <f>IF(F4194="","none",IF(G4194=1,"carte","multiple"))</f>
        <v/>
      </c>
    </row>
    <row r="4195">
      <c r="A4195" t="inlineStr">
        <is>
          <t>2022-08-16</t>
        </is>
      </c>
      <c r="B4195" t="inlineStr">
        <is>
          <t>20:27</t>
        </is>
      </c>
      <c r="C4195" t="n">
        <v>3033</v>
      </c>
      <c r="D4195" s="6" t="n">
        <v>45</v>
      </c>
      <c r="E4195" t="n">
        <v>41173</v>
      </c>
      <c r="F4195" s="6" t="n">
        <v>45</v>
      </c>
      <c r="G4195" t="n">
        <v>1</v>
      </c>
      <c r="H4195" s="6">
        <f>ROUND(G4195*F4195,2)</f>
        <v/>
      </c>
      <c r="I4195">
        <f>IF(ROUND(H4195-D4195,2)=0,1,0)</f>
        <v/>
      </c>
      <c r="J4195">
        <f>IF(F4195="","none",IF(G4195=1,"carte","multiple"))</f>
        <v/>
      </c>
    </row>
    <row r="4196">
      <c r="A4196" t="inlineStr">
        <is>
          <t>2022-08-16</t>
        </is>
      </c>
      <c r="B4196" t="inlineStr">
        <is>
          <t>20:27</t>
        </is>
      </c>
      <c r="C4196" t="n">
        <v>3033</v>
      </c>
      <c r="D4196" s="6" t="n">
        <v>4.2</v>
      </c>
      <c r="E4196" t="n">
        <v>41174</v>
      </c>
      <c r="F4196" s="6" t="n">
        <v>4.2</v>
      </c>
      <c r="G4196" t="n">
        <v>1</v>
      </c>
      <c r="H4196" s="6">
        <f>ROUND(G4196*F4196,2)</f>
        <v/>
      </c>
      <c r="I4196">
        <f>IF(ROUND(H4196-D4196,2)=0,1,0)</f>
        <v/>
      </c>
      <c r="J4196">
        <f>IF(F4196="","none",IF(G4196=1,"carte","multiple"))</f>
        <v/>
      </c>
    </row>
    <row r="4197">
      <c r="A4197" t="inlineStr">
        <is>
          <t>2022-08-16</t>
        </is>
      </c>
      <c r="B4197" t="inlineStr">
        <is>
          <t>20:27</t>
        </is>
      </c>
      <c r="C4197" t="n">
        <v>3033</v>
      </c>
      <c r="D4197" s="6" t="n">
        <v>4.5</v>
      </c>
      <c r="E4197" t="n">
        <v>41175</v>
      </c>
      <c r="F4197" s="6" t="n">
        <v>4.5</v>
      </c>
      <c r="G4197" t="n">
        <v>1</v>
      </c>
      <c r="H4197" s="6">
        <f>ROUND(G4197*F4197,2)</f>
        <v/>
      </c>
      <c r="I4197">
        <f>IF(ROUND(H4197-D4197,2)=0,1,0)</f>
        <v/>
      </c>
      <c r="J4197">
        <f>IF(F4197="","none",IF(G4197=1,"carte","multiple"))</f>
        <v/>
      </c>
    </row>
    <row r="4198">
      <c r="A4198" t="inlineStr">
        <is>
          <t>2022-08-17</t>
        </is>
      </c>
      <c r="B4198" t="inlineStr">
        <is>
          <t>10:37</t>
        </is>
      </c>
      <c r="C4198" t="n">
        <v>3034</v>
      </c>
      <c r="D4198" s="6" t="n">
        <v>3.9</v>
      </c>
      <c r="E4198" t="n">
        <v>41178</v>
      </c>
      <c r="F4198" s="6" t="n">
        <v>3.9</v>
      </c>
      <c r="G4198" t="n">
        <v>1</v>
      </c>
      <c r="H4198" s="6">
        <f>ROUND(G4198*F4198,2)</f>
        <v/>
      </c>
      <c r="I4198">
        <f>IF(ROUND(H4198-D4198,2)=0,1,0)</f>
        <v/>
      </c>
      <c r="J4198">
        <f>IF(F4198="","none",IF(G4198=1,"carte","multiple"))</f>
        <v/>
      </c>
    </row>
    <row r="4199">
      <c r="A4199" t="inlineStr">
        <is>
          <t>2022-08-17</t>
        </is>
      </c>
      <c r="B4199" t="inlineStr">
        <is>
          <t>10:52</t>
        </is>
      </c>
      <c r="C4199" t="n">
        <v>3034</v>
      </c>
      <c r="D4199" s="6" t="n">
        <v>19.9</v>
      </c>
      <c r="E4199" t="n">
        <v>41179</v>
      </c>
      <c r="F4199" s="6" t="n">
        <v>19.9</v>
      </c>
      <c r="G4199" t="n">
        <v>1</v>
      </c>
      <c r="H4199" s="6">
        <f>ROUND(G4199*F4199,2)</f>
        <v/>
      </c>
      <c r="I4199">
        <f>IF(ROUND(H4199-D4199,2)=0,1,0)</f>
        <v/>
      </c>
      <c r="J4199">
        <f>IF(F4199="","none",IF(G4199=1,"carte","multiple"))</f>
        <v/>
      </c>
    </row>
    <row r="4200">
      <c r="A4200" t="inlineStr">
        <is>
          <t>2022-08-17</t>
        </is>
      </c>
      <c r="B4200" t="inlineStr">
        <is>
          <t>10:58</t>
        </is>
      </c>
      <c r="C4200" t="n">
        <v>3034</v>
      </c>
      <c r="D4200" s="6" t="n">
        <v>19</v>
      </c>
      <c r="E4200" t="n">
        <v>41180</v>
      </c>
      <c r="F4200" s="6" t="n">
        <v>19</v>
      </c>
      <c r="G4200" t="n">
        <v>1</v>
      </c>
      <c r="H4200" s="6">
        <f>ROUND(G4200*F4200,2)</f>
        <v/>
      </c>
      <c r="I4200">
        <f>IF(ROUND(H4200-D4200,2)=0,1,0)</f>
        <v/>
      </c>
      <c r="J4200">
        <f>IF(F4200="","none",IF(G4200=1,"carte","multiple"))</f>
        <v/>
      </c>
    </row>
    <row r="4201">
      <c r="A4201" t="inlineStr">
        <is>
          <t>2022-08-17</t>
        </is>
      </c>
      <c r="B4201" t="inlineStr">
        <is>
          <t>11:30</t>
        </is>
      </c>
      <c r="C4201" t="n">
        <v>3034</v>
      </c>
      <c r="D4201" s="6" t="n">
        <v>6.9</v>
      </c>
      <c r="E4201" t="n">
        <v>41181</v>
      </c>
      <c r="F4201" s="6" t="n">
        <v>6.9</v>
      </c>
      <c r="G4201" t="n">
        <v>1</v>
      </c>
      <c r="H4201" s="6">
        <f>ROUND(G4201*F4201,2)</f>
        <v/>
      </c>
      <c r="I4201">
        <f>IF(ROUND(H4201-D4201,2)=0,1,0)</f>
        <v/>
      </c>
      <c r="J4201">
        <f>IF(F4201="","none",IF(G4201=1,"carte","multiple"))</f>
        <v/>
      </c>
    </row>
    <row r="4202">
      <c r="A4202" t="inlineStr">
        <is>
          <t>2022-08-17</t>
        </is>
      </c>
      <c r="B4202" t="inlineStr">
        <is>
          <t>11:30</t>
        </is>
      </c>
      <c r="C4202" t="n">
        <v>3034</v>
      </c>
      <c r="D4202" s="6" t="n">
        <v>3.9</v>
      </c>
      <c r="E4202" t="n">
        <v>41182</v>
      </c>
      <c r="F4202" s="6" t="n">
        <v>3.9</v>
      </c>
      <c r="G4202" t="n">
        <v>1</v>
      </c>
      <c r="H4202" s="6">
        <f>ROUND(G4202*F4202,2)</f>
        <v/>
      </c>
      <c r="I4202">
        <f>IF(ROUND(H4202-D4202,2)=0,1,0)</f>
        <v/>
      </c>
      <c r="J4202">
        <f>IF(F4202="","none",IF(G4202=1,"carte","multiple"))</f>
        <v/>
      </c>
    </row>
    <row r="4203">
      <c r="A4203" t="inlineStr">
        <is>
          <t>2022-08-17</t>
        </is>
      </c>
      <c r="B4203" t="inlineStr">
        <is>
          <t>11:30</t>
        </is>
      </c>
      <c r="C4203" t="n">
        <v>3034</v>
      </c>
      <c r="D4203" s="6" t="n">
        <v>15.6</v>
      </c>
      <c r="E4203" t="n">
        <v>41183</v>
      </c>
      <c r="F4203" s="6" t="n">
        <v>15.6</v>
      </c>
      <c r="G4203" t="n">
        <v>1</v>
      </c>
      <c r="H4203" s="6">
        <f>ROUND(G4203*F4203,2)</f>
        <v/>
      </c>
      <c r="I4203">
        <f>IF(ROUND(H4203-D4203,2)=0,1,0)</f>
        <v/>
      </c>
      <c r="J4203">
        <f>IF(F4203="","none",IF(G4203=1,"carte","multiple"))</f>
        <v/>
      </c>
    </row>
    <row r="4204">
      <c r="A4204" t="inlineStr">
        <is>
          <t>2022-08-17</t>
        </is>
      </c>
      <c r="B4204" t="inlineStr">
        <is>
          <t>11:30</t>
        </is>
      </c>
      <c r="C4204" t="n">
        <v>3034</v>
      </c>
      <c r="D4204" s="6" t="n">
        <v>17.6</v>
      </c>
      <c r="E4204" t="n">
        <v>41184</v>
      </c>
      <c r="F4204" s="6" t="n">
        <v>17.6</v>
      </c>
      <c r="G4204" t="n">
        <v>1</v>
      </c>
      <c r="H4204" s="6">
        <f>ROUND(G4204*F4204,2)</f>
        <v/>
      </c>
      <c r="I4204">
        <f>IF(ROUND(H4204-D4204,2)=0,1,0)</f>
        <v/>
      </c>
      <c r="J4204">
        <f>IF(F4204="","none",IF(G4204=1,"carte","multiple"))</f>
        <v/>
      </c>
    </row>
    <row r="4205">
      <c r="A4205" t="inlineStr">
        <is>
          <t>2022-08-17</t>
        </is>
      </c>
      <c r="B4205" t="inlineStr">
        <is>
          <t>11:30</t>
        </is>
      </c>
      <c r="C4205" t="n">
        <v>3034</v>
      </c>
      <c r="D4205" s="6" t="n">
        <v>35.2</v>
      </c>
      <c r="E4205" t="n">
        <v>41185</v>
      </c>
      <c r="F4205" s="6" t="n">
        <v>0.4</v>
      </c>
      <c r="G4205" t="n">
        <v>88</v>
      </c>
      <c r="H4205" s="6">
        <f>ROUND(G4205*F4205,2)</f>
        <v/>
      </c>
      <c r="I4205">
        <f>IF(ROUND(H4205-D4205,2)=0,1,0)</f>
        <v/>
      </c>
      <c r="J4205">
        <f>IF(F4205="","none",IF(G4205=1,"carte","multiple"))</f>
        <v/>
      </c>
    </row>
    <row r="4206">
      <c r="A4206" t="inlineStr">
        <is>
          <t>2022-08-17</t>
        </is>
      </c>
      <c r="B4206" t="inlineStr">
        <is>
          <t>11:34</t>
        </is>
      </c>
      <c r="C4206" t="n">
        <v>3034</v>
      </c>
      <c r="D4206" s="6" t="n">
        <v>3.9</v>
      </c>
      <c r="E4206" t="n">
        <v>41186</v>
      </c>
      <c r="F4206" s="6" t="n">
        <v>3.9</v>
      </c>
      <c r="G4206" t="n">
        <v>1</v>
      </c>
      <c r="H4206" s="6">
        <f>ROUND(G4206*F4206,2)</f>
        <v/>
      </c>
      <c r="I4206">
        <f>IF(ROUND(H4206-D4206,2)=0,1,0)</f>
        <v/>
      </c>
      <c r="J4206">
        <f>IF(F4206="","none",IF(G4206=1,"carte","multiple"))</f>
        <v/>
      </c>
    </row>
    <row r="4207">
      <c r="A4207" t="inlineStr">
        <is>
          <t>2022-08-17</t>
        </is>
      </c>
      <c r="B4207" t="inlineStr">
        <is>
          <t>11:34</t>
        </is>
      </c>
      <c r="C4207" t="n">
        <v>3034</v>
      </c>
      <c r="D4207" s="6" t="n">
        <v>8.800000000000001</v>
      </c>
      <c r="E4207" t="n">
        <v>41187</v>
      </c>
      <c r="F4207" s="6" t="n">
        <v>8.800000000000001</v>
      </c>
      <c r="G4207" t="n">
        <v>1</v>
      </c>
      <c r="H4207" s="6">
        <f>ROUND(G4207*F4207,2)</f>
        <v/>
      </c>
      <c r="I4207">
        <f>IF(ROUND(H4207-D4207,2)=0,1,0)</f>
        <v/>
      </c>
      <c r="J4207">
        <f>IF(F4207="","none",IF(G4207=1,"carte","multiple"))</f>
        <v/>
      </c>
    </row>
    <row r="4208">
      <c r="A4208" t="inlineStr">
        <is>
          <t>2022-08-17</t>
        </is>
      </c>
      <c r="B4208" t="inlineStr">
        <is>
          <t>11:34</t>
        </is>
      </c>
      <c r="C4208" t="n">
        <v>3034</v>
      </c>
      <c r="D4208" s="6" t="n">
        <v>39.8</v>
      </c>
      <c r="E4208" t="n">
        <v>41188</v>
      </c>
      <c r="F4208" s="6" t="n">
        <v>39.8</v>
      </c>
      <c r="G4208" t="n">
        <v>1</v>
      </c>
      <c r="H4208" s="6">
        <f>ROUND(G4208*F4208,2)</f>
        <v/>
      </c>
      <c r="I4208">
        <f>IF(ROUND(H4208-D4208,2)=0,1,0)</f>
        <v/>
      </c>
      <c r="J4208">
        <f>IF(F4208="","none",IF(G4208=1,"carte","multiple"))</f>
        <v/>
      </c>
    </row>
    <row r="4209">
      <c r="A4209" t="inlineStr">
        <is>
          <t>2022-08-17</t>
        </is>
      </c>
      <c r="B4209" t="inlineStr">
        <is>
          <t>11:34</t>
        </is>
      </c>
      <c r="C4209" t="n">
        <v>3034</v>
      </c>
      <c r="D4209" s="6" t="n">
        <v>12</v>
      </c>
      <c r="E4209" t="n">
        <v>41189</v>
      </c>
      <c r="F4209" s="6" t="n">
        <v>12</v>
      </c>
      <c r="G4209" t="n">
        <v>1</v>
      </c>
      <c r="H4209" s="6">
        <f>ROUND(G4209*F4209,2)</f>
        <v/>
      </c>
      <c r="I4209">
        <f>IF(ROUND(H4209-D4209,2)=0,1,0)</f>
        <v/>
      </c>
      <c r="J4209">
        <f>IF(F4209="","none",IF(G4209=1,"carte","multiple"))</f>
        <v/>
      </c>
    </row>
    <row r="4210">
      <c r="A4210" t="inlineStr">
        <is>
          <t>2022-08-17</t>
        </is>
      </c>
      <c r="B4210" t="inlineStr">
        <is>
          <t>11:34</t>
        </is>
      </c>
      <c r="C4210" t="n">
        <v>3034</v>
      </c>
      <c r="D4210" s="6" t="n">
        <v>5.2</v>
      </c>
      <c r="E4210" t="n">
        <v>41190</v>
      </c>
      <c r="F4210" s="6" t="n">
        <v>5.2</v>
      </c>
      <c r="G4210" t="n">
        <v>1</v>
      </c>
      <c r="H4210" s="6">
        <f>ROUND(G4210*F4210,2)</f>
        <v/>
      </c>
      <c r="I4210">
        <f>IF(ROUND(H4210-D4210,2)=0,1,0)</f>
        <v/>
      </c>
      <c r="J4210">
        <f>IF(F4210="","none",IF(G4210=1,"carte","multiple"))</f>
        <v/>
      </c>
    </row>
    <row r="4211">
      <c r="A4211" t="inlineStr">
        <is>
          <t>2022-08-17</t>
        </is>
      </c>
      <c r="B4211" t="inlineStr">
        <is>
          <t>11:52</t>
        </is>
      </c>
      <c r="C4211" t="n">
        <v>3034</v>
      </c>
      <c r="D4211" s="6" t="n">
        <v>8.699999999999999</v>
      </c>
      <c r="E4211" t="n">
        <v>41191</v>
      </c>
      <c r="F4211" s="6" t="n">
        <v>8.699999999999999</v>
      </c>
      <c r="G4211" t="n">
        <v>1</v>
      </c>
      <c r="H4211" s="6">
        <f>ROUND(G4211*F4211,2)</f>
        <v/>
      </c>
      <c r="I4211">
        <f>IF(ROUND(H4211-D4211,2)=0,1,0)</f>
        <v/>
      </c>
      <c r="J4211">
        <f>IF(F4211="","none",IF(G4211=1,"carte","multiple"))</f>
        <v/>
      </c>
    </row>
    <row r="4212">
      <c r="A4212" t="inlineStr">
        <is>
          <t>2022-08-17</t>
        </is>
      </c>
      <c r="B4212" t="inlineStr">
        <is>
          <t>11:52</t>
        </is>
      </c>
      <c r="C4212" t="n">
        <v>3034</v>
      </c>
      <c r="D4212" s="6" t="n">
        <v>19.9</v>
      </c>
      <c r="E4212" t="n">
        <v>41192</v>
      </c>
      <c r="F4212" s="6" t="n">
        <v>19.9</v>
      </c>
      <c r="G4212" t="n">
        <v>1</v>
      </c>
      <c r="H4212" s="6">
        <f>ROUND(G4212*F4212,2)</f>
        <v/>
      </c>
      <c r="I4212">
        <f>IF(ROUND(H4212-D4212,2)=0,1,0)</f>
        <v/>
      </c>
      <c r="J4212">
        <f>IF(F4212="","none",IF(G4212=1,"carte","multiple"))</f>
        <v/>
      </c>
    </row>
    <row r="4213">
      <c r="A4213" t="inlineStr">
        <is>
          <t>2022-08-17</t>
        </is>
      </c>
      <c r="B4213" t="inlineStr">
        <is>
          <t>11:52</t>
        </is>
      </c>
      <c r="C4213" t="n">
        <v>3034</v>
      </c>
      <c r="D4213" s="6" t="n">
        <v>4</v>
      </c>
      <c r="E4213" t="n">
        <v>41193</v>
      </c>
      <c r="F4213" s="6" t="n">
        <v>4</v>
      </c>
      <c r="G4213" t="n">
        <v>1</v>
      </c>
      <c r="H4213" s="6">
        <f>ROUND(G4213*F4213,2)</f>
        <v/>
      </c>
      <c r="I4213">
        <f>IF(ROUND(H4213-D4213,2)=0,1,0)</f>
        <v/>
      </c>
      <c r="J4213">
        <f>IF(F4213="","none",IF(G4213=1,"carte","multiple"))</f>
        <v/>
      </c>
    </row>
    <row r="4214">
      <c r="A4214" t="inlineStr">
        <is>
          <t>2022-08-17</t>
        </is>
      </c>
      <c r="B4214" t="inlineStr">
        <is>
          <t>12:05</t>
        </is>
      </c>
      <c r="C4214" t="n">
        <v>3034</v>
      </c>
      <c r="D4214" s="6" t="n">
        <v>4</v>
      </c>
      <c r="E4214" t="n">
        <v>41194</v>
      </c>
      <c r="F4214" s="6" t="n">
        <v>4</v>
      </c>
      <c r="G4214" t="n">
        <v>1</v>
      </c>
      <c r="H4214" s="6">
        <f>ROUND(G4214*F4214,2)</f>
        <v/>
      </c>
      <c r="I4214">
        <f>IF(ROUND(H4214-D4214,2)=0,1,0)</f>
        <v/>
      </c>
      <c r="J4214">
        <f>IF(F4214="","none",IF(G4214=1,"carte","multiple"))</f>
        <v/>
      </c>
    </row>
    <row r="4215">
      <c r="A4215" t="inlineStr">
        <is>
          <t>2022-08-17</t>
        </is>
      </c>
      <c r="B4215" t="inlineStr">
        <is>
          <t>12:05</t>
        </is>
      </c>
      <c r="C4215" t="n">
        <v>3034</v>
      </c>
      <c r="D4215" s="6" t="n">
        <v>4</v>
      </c>
      <c r="E4215" t="n">
        <v>41195</v>
      </c>
      <c r="F4215" s="6" t="n">
        <v>4</v>
      </c>
      <c r="G4215" t="n">
        <v>1</v>
      </c>
      <c r="H4215" s="6">
        <f>ROUND(G4215*F4215,2)</f>
        <v/>
      </c>
      <c r="I4215">
        <f>IF(ROUND(H4215-D4215,2)=0,1,0)</f>
        <v/>
      </c>
      <c r="J4215">
        <f>IF(F4215="","none",IF(G4215=1,"carte","multiple"))</f>
        <v/>
      </c>
    </row>
    <row r="4216">
      <c r="A4216" t="inlineStr">
        <is>
          <t>2022-08-17</t>
        </is>
      </c>
      <c r="B4216" t="inlineStr">
        <is>
          <t>12:05</t>
        </is>
      </c>
      <c r="C4216" t="n">
        <v>3034</v>
      </c>
      <c r="D4216" s="6" t="n">
        <v>3.9</v>
      </c>
      <c r="E4216" t="n">
        <v>41196</v>
      </c>
      <c r="F4216" s="6" t="n">
        <v>3.9</v>
      </c>
      <c r="G4216" t="n">
        <v>1</v>
      </c>
      <c r="H4216" s="6">
        <f>ROUND(G4216*F4216,2)</f>
        <v/>
      </c>
      <c r="I4216">
        <f>IF(ROUND(H4216-D4216,2)=0,1,0)</f>
        <v/>
      </c>
      <c r="J4216">
        <f>IF(F4216="","none",IF(G4216=1,"carte","multiple"))</f>
        <v/>
      </c>
    </row>
    <row r="4217">
      <c r="A4217" t="inlineStr">
        <is>
          <t>2022-08-17</t>
        </is>
      </c>
      <c r="B4217" t="inlineStr">
        <is>
          <t>12:36</t>
        </is>
      </c>
      <c r="C4217" t="n">
        <v>3034</v>
      </c>
      <c r="D4217" s="6" t="n">
        <v>4.4</v>
      </c>
      <c r="E4217" t="n">
        <v>41197</v>
      </c>
      <c r="F4217" s="6" t="n">
        <v>0.4</v>
      </c>
      <c r="G4217" t="n">
        <v>11</v>
      </c>
      <c r="H4217" s="6">
        <f>ROUND(G4217*F4217,2)</f>
        <v/>
      </c>
      <c r="I4217">
        <f>IF(ROUND(H4217-D4217,2)=0,1,0)</f>
        <v/>
      </c>
      <c r="J4217">
        <f>IF(F4217="","none",IF(G4217=1,"carte","multiple"))</f>
        <v/>
      </c>
    </row>
    <row r="4218">
      <c r="A4218" t="inlineStr">
        <is>
          <t>2022-08-17</t>
        </is>
      </c>
      <c r="B4218" t="inlineStr">
        <is>
          <t>12:36</t>
        </is>
      </c>
      <c r="C4218" t="n">
        <v>3034</v>
      </c>
      <c r="D4218" s="6" t="n">
        <v>8.5</v>
      </c>
      <c r="E4218" t="n">
        <v>41198</v>
      </c>
      <c r="F4218" s="6" t="n">
        <v>8.5</v>
      </c>
      <c r="G4218" t="n">
        <v>1</v>
      </c>
      <c r="H4218" s="6">
        <f>ROUND(G4218*F4218,2)</f>
        <v/>
      </c>
      <c r="I4218">
        <f>IF(ROUND(H4218-D4218,2)=0,1,0)</f>
        <v/>
      </c>
      <c r="J4218">
        <f>IF(F4218="","none",IF(G4218=1,"carte","multiple"))</f>
        <v/>
      </c>
    </row>
    <row r="4219">
      <c r="A4219" t="inlineStr">
        <is>
          <t>2022-08-17</t>
        </is>
      </c>
      <c r="B4219" t="inlineStr">
        <is>
          <t>12:36</t>
        </is>
      </c>
      <c r="C4219" t="n">
        <v>3034</v>
      </c>
      <c r="D4219" s="6" t="n">
        <v>14.4</v>
      </c>
      <c r="E4219" t="n">
        <v>41199</v>
      </c>
      <c r="F4219" s="6" t="n">
        <v>0.4</v>
      </c>
      <c r="G4219" t="n">
        <v>36</v>
      </c>
      <c r="H4219" s="6">
        <f>ROUND(G4219*F4219,2)</f>
        <v/>
      </c>
      <c r="I4219">
        <f>IF(ROUND(H4219-D4219,2)=0,1,0)</f>
        <v/>
      </c>
      <c r="J4219">
        <f>IF(F4219="","none",IF(G4219=1,"carte","multiple"))</f>
        <v/>
      </c>
    </row>
    <row r="4220">
      <c r="A4220" t="inlineStr">
        <is>
          <t>2022-08-17</t>
        </is>
      </c>
      <c r="B4220" t="inlineStr">
        <is>
          <t>12:36</t>
        </is>
      </c>
      <c r="C4220" t="n">
        <v>3034</v>
      </c>
      <c r="D4220" s="6" t="n">
        <v>8.9</v>
      </c>
      <c r="E4220" t="n">
        <v>41200</v>
      </c>
      <c r="F4220" s="6" t="n">
        <v>8.9</v>
      </c>
      <c r="G4220" t="n">
        <v>1</v>
      </c>
      <c r="H4220" s="6">
        <f>ROUND(G4220*F4220,2)</f>
        <v/>
      </c>
      <c r="I4220">
        <f>IF(ROUND(H4220-D4220,2)=0,1,0)</f>
        <v/>
      </c>
      <c r="J4220">
        <f>IF(F4220="","none",IF(G4220=1,"carte","multiple"))</f>
        <v/>
      </c>
    </row>
    <row r="4221">
      <c r="A4221" t="inlineStr">
        <is>
          <t>2022-08-17</t>
        </is>
      </c>
      <c r="B4221" t="inlineStr">
        <is>
          <t>12:36</t>
        </is>
      </c>
      <c r="C4221" t="n">
        <v>3034</v>
      </c>
      <c r="D4221" s="6" t="n">
        <v>64</v>
      </c>
      <c r="E4221" t="n">
        <v>41201</v>
      </c>
      <c r="F4221" s="6" t="n">
        <v>64</v>
      </c>
      <c r="G4221" t="n">
        <v>1</v>
      </c>
      <c r="H4221" s="6">
        <f>ROUND(G4221*F4221,2)</f>
        <v/>
      </c>
      <c r="I4221">
        <f>IF(ROUND(H4221-D4221,2)=0,1,0)</f>
        <v/>
      </c>
      <c r="J4221">
        <f>IF(F4221="","none",IF(G4221=1,"carte","multiple"))</f>
        <v/>
      </c>
    </row>
    <row r="4222">
      <c r="A4222" t="inlineStr">
        <is>
          <t>2022-08-17</t>
        </is>
      </c>
      <c r="B4222" t="inlineStr">
        <is>
          <t>12:36</t>
        </is>
      </c>
      <c r="C4222" t="n">
        <v>3034</v>
      </c>
      <c r="D4222" s="6" t="n">
        <v>4.9</v>
      </c>
      <c r="E4222" t="n">
        <v>41202</v>
      </c>
      <c r="F4222" s="6" t="n">
        <v>4.9</v>
      </c>
      <c r="G4222" t="n">
        <v>1</v>
      </c>
      <c r="H4222" s="6">
        <f>ROUND(G4222*F4222,2)</f>
        <v/>
      </c>
      <c r="I4222">
        <f>IF(ROUND(H4222-D4222,2)=0,1,0)</f>
        <v/>
      </c>
      <c r="J4222">
        <f>IF(F4222="","none",IF(G4222=1,"carte","multiple"))</f>
        <v/>
      </c>
    </row>
    <row r="4223">
      <c r="A4223" t="inlineStr">
        <is>
          <t>2022-08-17</t>
        </is>
      </c>
      <c r="B4223" t="inlineStr">
        <is>
          <t>12:36</t>
        </is>
      </c>
      <c r="C4223" t="n">
        <v>3034</v>
      </c>
      <c r="D4223" s="6" t="n">
        <v>6.5</v>
      </c>
      <c r="E4223" t="n">
        <v>41203</v>
      </c>
      <c r="F4223" s="6" t="n">
        <v>6.5</v>
      </c>
      <c r="G4223" t="n">
        <v>1</v>
      </c>
      <c r="H4223" s="6">
        <f>ROUND(G4223*F4223,2)</f>
        <v/>
      </c>
      <c r="I4223">
        <f>IF(ROUND(H4223-D4223,2)=0,1,0)</f>
        <v/>
      </c>
      <c r="J4223">
        <f>IF(F4223="","none",IF(G4223=1,"carte","multiple"))</f>
        <v/>
      </c>
    </row>
    <row r="4224">
      <c r="A4224" t="inlineStr">
        <is>
          <t>2022-08-17</t>
        </is>
      </c>
      <c r="B4224" t="inlineStr">
        <is>
          <t>12:36</t>
        </is>
      </c>
      <c r="C4224" t="n">
        <v>3034</v>
      </c>
      <c r="D4224" s="6" t="n">
        <v>5.2</v>
      </c>
      <c r="E4224" t="n">
        <v>41204</v>
      </c>
      <c r="F4224" s="6" t="n">
        <v>5.2</v>
      </c>
      <c r="G4224" t="n">
        <v>1</v>
      </c>
      <c r="H4224" s="6">
        <f>ROUND(G4224*F4224,2)</f>
        <v/>
      </c>
      <c r="I4224">
        <f>IF(ROUND(H4224-D4224,2)=0,1,0)</f>
        <v/>
      </c>
      <c r="J4224">
        <f>IF(F4224="","none",IF(G4224=1,"carte","multiple"))</f>
        <v/>
      </c>
    </row>
    <row r="4225">
      <c r="A4225" t="inlineStr">
        <is>
          <t>2022-08-17</t>
        </is>
      </c>
      <c r="B4225" t="inlineStr">
        <is>
          <t>12:36</t>
        </is>
      </c>
      <c r="C4225" t="n">
        <v>3034</v>
      </c>
      <c r="D4225" s="6" t="n">
        <v>2.9</v>
      </c>
      <c r="E4225" t="n">
        <v>41205</v>
      </c>
      <c r="F4225" s="6" t="n">
        <v>2.9</v>
      </c>
      <c r="G4225" t="n">
        <v>1</v>
      </c>
      <c r="H4225" s="6">
        <f>ROUND(G4225*F4225,2)</f>
        <v/>
      </c>
      <c r="I4225">
        <f>IF(ROUND(H4225-D4225,2)=0,1,0)</f>
        <v/>
      </c>
      <c r="J4225">
        <f>IF(F4225="","none",IF(G4225=1,"carte","multiple"))</f>
        <v/>
      </c>
    </row>
    <row r="4226">
      <c r="A4226" t="inlineStr">
        <is>
          <t>2022-08-17</t>
        </is>
      </c>
      <c r="B4226" t="inlineStr">
        <is>
          <t>12:44</t>
        </is>
      </c>
      <c r="C4226" t="n">
        <v>3034</v>
      </c>
      <c r="D4226" s="6" t="n">
        <v>4.4</v>
      </c>
      <c r="E4226" t="n">
        <v>41206</v>
      </c>
      <c r="F4226" s="6" t="n">
        <v>0.4</v>
      </c>
      <c r="G4226" t="n">
        <v>11</v>
      </c>
      <c r="H4226" s="6">
        <f>ROUND(G4226*F4226,2)</f>
        <v/>
      </c>
      <c r="I4226">
        <f>IF(ROUND(H4226-D4226,2)=0,1,0)</f>
        <v/>
      </c>
      <c r="J4226">
        <f>IF(F4226="","none",IF(G4226=1,"carte","multiple"))</f>
        <v/>
      </c>
    </row>
    <row r="4227">
      <c r="A4227" t="inlineStr">
        <is>
          <t>2022-08-17</t>
        </is>
      </c>
      <c r="B4227" t="inlineStr">
        <is>
          <t>12:44</t>
        </is>
      </c>
      <c r="C4227" t="n">
        <v>3034</v>
      </c>
      <c r="D4227" s="6" t="n">
        <v>3.9</v>
      </c>
      <c r="E4227" t="n">
        <v>41207</v>
      </c>
      <c r="F4227" s="6" t="n">
        <v>3.9</v>
      </c>
      <c r="G4227" t="n">
        <v>1</v>
      </c>
      <c r="H4227" s="6">
        <f>ROUND(G4227*F4227,2)</f>
        <v/>
      </c>
      <c r="I4227">
        <f>IF(ROUND(H4227-D4227,2)=0,1,0)</f>
        <v/>
      </c>
      <c r="J4227">
        <f>IF(F4227="","none",IF(G4227=1,"carte","multiple"))</f>
        <v/>
      </c>
    </row>
    <row r="4228">
      <c r="A4228" t="inlineStr">
        <is>
          <t>2022-08-17</t>
        </is>
      </c>
      <c r="B4228" t="inlineStr">
        <is>
          <t>12:44</t>
        </is>
      </c>
      <c r="C4228" t="n">
        <v>3034</v>
      </c>
      <c r="D4228" s="6" t="n">
        <v>60</v>
      </c>
      <c r="E4228" t="n">
        <v>41208</v>
      </c>
      <c r="F4228" s="6" t="n">
        <v>0.4</v>
      </c>
      <c r="G4228" t="n">
        <v>150</v>
      </c>
      <c r="H4228" s="6">
        <f>ROUND(G4228*F4228,2)</f>
        <v/>
      </c>
      <c r="I4228">
        <f>IF(ROUND(H4228-D4228,2)=0,1,0)</f>
        <v/>
      </c>
      <c r="J4228">
        <f>IF(F4228="","none",IF(G4228=1,"carte","multiple"))</f>
        <v/>
      </c>
    </row>
    <row r="4229">
      <c r="A4229" t="inlineStr">
        <is>
          <t>2022-08-17</t>
        </is>
      </c>
      <c r="B4229" t="inlineStr">
        <is>
          <t>12:44</t>
        </is>
      </c>
      <c r="C4229" t="n">
        <v>3034</v>
      </c>
      <c r="D4229" s="6" t="n">
        <v>17.6</v>
      </c>
      <c r="E4229" t="n">
        <v>41209</v>
      </c>
      <c r="F4229" s="6" t="n">
        <v>17.6</v>
      </c>
      <c r="G4229" t="n">
        <v>1</v>
      </c>
      <c r="H4229" s="6">
        <f>ROUND(G4229*F4229,2)</f>
        <v/>
      </c>
      <c r="I4229">
        <f>IF(ROUND(H4229-D4229,2)=0,1,0)</f>
        <v/>
      </c>
      <c r="J4229">
        <f>IF(F4229="","none",IF(G4229=1,"carte","multiple"))</f>
        <v/>
      </c>
    </row>
    <row r="4230">
      <c r="A4230" t="inlineStr">
        <is>
          <t>2022-08-17</t>
        </is>
      </c>
      <c r="B4230" t="inlineStr">
        <is>
          <t>12:44</t>
        </is>
      </c>
      <c r="C4230" t="n">
        <v>3034</v>
      </c>
      <c r="D4230" s="6" t="n">
        <v>17.6</v>
      </c>
      <c r="E4230" t="n">
        <v>41210</v>
      </c>
      <c r="F4230" s="6" t="n">
        <v>17.6</v>
      </c>
      <c r="G4230" t="n">
        <v>1</v>
      </c>
      <c r="H4230" s="6">
        <f>ROUND(G4230*F4230,2)</f>
        <v/>
      </c>
      <c r="I4230">
        <f>IF(ROUND(H4230-D4230,2)=0,1,0)</f>
        <v/>
      </c>
      <c r="J4230">
        <f>IF(F4230="","none",IF(G4230=1,"carte","multiple"))</f>
        <v/>
      </c>
    </row>
    <row r="4231">
      <c r="A4231" t="inlineStr">
        <is>
          <t>2022-08-17</t>
        </is>
      </c>
      <c r="B4231" t="inlineStr">
        <is>
          <t>12:44</t>
        </is>
      </c>
      <c r="C4231" t="n">
        <v>3034</v>
      </c>
      <c r="D4231" s="6" t="n">
        <v>10.9</v>
      </c>
      <c r="E4231" t="n">
        <v>41211</v>
      </c>
      <c r="F4231" s="6" t="n">
        <v>10.9</v>
      </c>
      <c r="G4231" t="n">
        <v>1</v>
      </c>
      <c r="H4231" s="6">
        <f>ROUND(G4231*F4231,2)</f>
        <v/>
      </c>
      <c r="I4231">
        <f>IF(ROUND(H4231-D4231,2)=0,1,0)</f>
        <v/>
      </c>
      <c r="J4231">
        <f>IF(F4231="","none",IF(G4231=1,"carte","multiple"))</f>
        <v/>
      </c>
    </row>
    <row r="4232">
      <c r="A4232" t="inlineStr">
        <is>
          <t>2022-08-17</t>
        </is>
      </c>
      <c r="B4232" t="inlineStr">
        <is>
          <t>12:44</t>
        </is>
      </c>
      <c r="C4232" t="n">
        <v>3034</v>
      </c>
      <c r="D4232" s="6" t="n">
        <v>5.9</v>
      </c>
      <c r="E4232" t="n">
        <v>41213</v>
      </c>
      <c r="F4232" s="6" t="n">
        <v>5.9</v>
      </c>
      <c r="G4232" t="n">
        <v>1</v>
      </c>
      <c r="H4232" s="6">
        <f>ROUND(G4232*F4232,2)</f>
        <v/>
      </c>
      <c r="I4232">
        <f>IF(ROUND(H4232-D4232,2)=0,1,0)</f>
        <v/>
      </c>
      <c r="J4232">
        <f>IF(F4232="","none",IF(G4232=1,"carte","multiple"))</f>
        <v/>
      </c>
    </row>
    <row r="4233">
      <c r="A4233" t="inlineStr">
        <is>
          <t>2022-08-17</t>
        </is>
      </c>
      <c r="B4233" t="inlineStr">
        <is>
          <t>12:44</t>
        </is>
      </c>
      <c r="C4233" t="n">
        <v>3034</v>
      </c>
      <c r="D4233" s="6" t="n">
        <v>4.2</v>
      </c>
      <c r="E4233" t="n">
        <v>41214</v>
      </c>
      <c r="F4233" s="6" t="n">
        <v>4.2</v>
      </c>
      <c r="G4233" t="n">
        <v>1</v>
      </c>
      <c r="H4233" s="6">
        <f>ROUND(G4233*F4233,2)</f>
        <v/>
      </c>
      <c r="I4233">
        <f>IF(ROUND(H4233-D4233,2)=0,1,0)</f>
        <v/>
      </c>
      <c r="J4233">
        <f>IF(F4233="","none",IF(G4233=1,"carte","multiple"))</f>
        <v/>
      </c>
    </row>
    <row r="4234">
      <c r="A4234" t="inlineStr">
        <is>
          <t>2022-08-17</t>
        </is>
      </c>
      <c r="B4234" t="inlineStr">
        <is>
          <t>12:44</t>
        </is>
      </c>
      <c r="C4234" t="n">
        <v>3034</v>
      </c>
      <c r="D4234" s="6" t="n">
        <v>3.9</v>
      </c>
      <c r="E4234" t="n">
        <v>41215</v>
      </c>
      <c r="F4234" s="6" t="n">
        <v>3.9</v>
      </c>
      <c r="G4234" t="n">
        <v>1</v>
      </c>
      <c r="H4234" s="6">
        <f>ROUND(G4234*F4234,2)</f>
        <v/>
      </c>
      <c r="I4234">
        <f>IF(ROUND(H4234-D4234,2)=0,1,0)</f>
        <v/>
      </c>
      <c r="J4234">
        <f>IF(F4234="","none",IF(G4234=1,"carte","multiple"))</f>
        <v/>
      </c>
    </row>
    <row r="4235">
      <c r="A4235" t="inlineStr">
        <is>
          <t>2022-08-17</t>
        </is>
      </c>
      <c r="B4235" t="inlineStr">
        <is>
          <t>12:57</t>
        </is>
      </c>
      <c r="C4235" t="n">
        <v>3034</v>
      </c>
      <c r="D4235" s="6" t="n">
        <v>4.4</v>
      </c>
      <c r="E4235" t="n">
        <v>41216</v>
      </c>
      <c r="F4235" s="6" t="n">
        <v>0.4</v>
      </c>
      <c r="G4235" t="n">
        <v>11</v>
      </c>
      <c r="H4235" s="6">
        <f>ROUND(G4235*F4235,2)</f>
        <v/>
      </c>
      <c r="I4235">
        <f>IF(ROUND(H4235-D4235,2)=0,1,0)</f>
        <v/>
      </c>
      <c r="J4235">
        <f>IF(F4235="","none",IF(G4235=1,"carte","multiple"))</f>
        <v/>
      </c>
    </row>
    <row r="4236">
      <c r="A4236" t="inlineStr">
        <is>
          <t>2022-08-17</t>
        </is>
      </c>
      <c r="B4236" t="inlineStr">
        <is>
          <t>12:57</t>
        </is>
      </c>
      <c r="C4236" t="n">
        <v>3034</v>
      </c>
      <c r="D4236" s="6" t="n">
        <v>6.9</v>
      </c>
      <c r="E4236" t="n">
        <v>41217</v>
      </c>
      <c r="F4236" s="6" t="n">
        <v>6.9</v>
      </c>
      <c r="G4236" t="n">
        <v>1</v>
      </c>
      <c r="H4236" s="6">
        <f>ROUND(G4236*F4236,2)</f>
        <v/>
      </c>
      <c r="I4236">
        <f>IF(ROUND(H4236-D4236,2)=0,1,0)</f>
        <v/>
      </c>
      <c r="J4236">
        <f>IF(F4236="","none",IF(G4236=1,"carte","multiple"))</f>
        <v/>
      </c>
    </row>
    <row r="4237">
      <c r="A4237" t="inlineStr">
        <is>
          <t>2022-08-17</t>
        </is>
      </c>
      <c r="B4237" t="inlineStr">
        <is>
          <t>12:57</t>
        </is>
      </c>
      <c r="C4237" t="n">
        <v>3034</v>
      </c>
      <c r="D4237" s="6" t="n">
        <v>24</v>
      </c>
      <c r="E4237" t="n">
        <v>41218</v>
      </c>
      <c r="F4237" s="6" t="n">
        <v>24</v>
      </c>
      <c r="G4237" t="n">
        <v>1</v>
      </c>
      <c r="H4237" s="6">
        <f>ROUND(G4237*F4237,2)</f>
        <v/>
      </c>
      <c r="I4237">
        <f>IF(ROUND(H4237-D4237,2)=0,1,0)</f>
        <v/>
      </c>
      <c r="J4237">
        <f>IF(F4237="","none",IF(G4237=1,"carte","multiple"))</f>
        <v/>
      </c>
    </row>
    <row r="4238">
      <c r="A4238" t="inlineStr">
        <is>
          <t>2022-08-17</t>
        </is>
      </c>
      <c r="B4238" t="inlineStr">
        <is>
          <t>12:57</t>
        </is>
      </c>
      <c r="C4238" t="n">
        <v>3034</v>
      </c>
      <c r="D4238" s="6" t="n">
        <v>27.8</v>
      </c>
      <c r="E4238" t="n">
        <v>41219</v>
      </c>
      <c r="F4238" s="6" t="n">
        <v>27.8</v>
      </c>
      <c r="G4238" t="n">
        <v>1</v>
      </c>
      <c r="H4238" s="6">
        <f>ROUND(G4238*F4238,2)</f>
        <v/>
      </c>
      <c r="I4238">
        <f>IF(ROUND(H4238-D4238,2)=0,1,0)</f>
        <v/>
      </c>
      <c r="J4238">
        <f>IF(F4238="","none",IF(G4238=1,"carte","multiple"))</f>
        <v/>
      </c>
    </row>
    <row r="4239">
      <c r="A4239" t="inlineStr">
        <is>
          <t>2022-08-17</t>
        </is>
      </c>
      <c r="B4239" t="inlineStr">
        <is>
          <t>12:57</t>
        </is>
      </c>
      <c r="C4239" t="n">
        <v>3034</v>
      </c>
      <c r="D4239" s="6" t="n">
        <v>19</v>
      </c>
      <c r="E4239" t="n">
        <v>41220</v>
      </c>
      <c r="F4239" s="6" t="n">
        <v>19</v>
      </c>
      <c r="G4239" t="n">
        <v>1</v>
      </c>
      <c r="H4239" s="6">
        <f>ROUND(G4239*F4239,2)</f>
        <v/>
      </c>
      <c r="I4239">
        <f>IF(ROUND(H4239-D4239,2)=0,1,0)</f>
        <v/>
      </c>
      <c r="J4239">
        <f>IF(F4239="","none",IF(G4239=1,"carte","multiple"))</f>
        <v/>
      </c>
    </row>
    <row r="4240">
      <c r="A4240" t="inlineStr">
        <is>
          <t>2022-08-17</t>
        </is>
      </c>
      <c r="B4240" t="inlineStr">
        <is>
          <t>12:57</t>
        </is>
      </c>
      <c r="C4240" t="n">
        <v>3034</v>
      </c>
      <c r="D4240" s="6" t="n">
        <v>8</v>
      </c>
      <c r="E4240" t="n">
        <v>41221</v>
      </c>
      <c r="F4240" s="6" t="n">
        <v>8</v>
      </c>
      <c r="G4240" t="n">
        <v>1</v>
      </c>
      <c r="H4240" s="6">
        <f>ROUND(G4240*F4240,2)</f>
        <v/>
      </c>
      <c r="I4240">
        <f>IF(ROUND(H4240-D4240,2)=0,1,0)</f>
        <v/>
      </c>
      <c r="J4240">
        <f>IF(F4240="","none",IF(G4240=1,"carte","multiple"))</f>
        <v/>
      </c>
    </row>
    <row r="4241">
      <c r="A4241" t="inlineStr">
        <is>
          <t>2022-08-17</t>
        </is>
      </c>
      <c r="B4241" t="inlineStr">
        <is>
          <t>12:58</t>
        </is>
      </c>
      <c r="C4241" t="n">
        <v>3034</v>
      </c>
      <c r="D4241" s="6" t="n">
        <v>11</v>
      </c>
      <c r="E4241" t="n">
        <v>41222</v>
      </c>
      <c r="F4241" s="6" t="n">
        <v>11</v>
      </c>
      <c r="G4241" t="n">
        <v>1</v>
      </c>
      <c r="H4241" s="6">
        <f>ROUND(G4241*F4241,2)</f>
        <v/>
      </c>
      <c r="I4241">
        <f>IF(ROUND(H4241-D4241,2)=0,1,0)</f>
        <v/>
      </c>
      <c r="J4241">
        <f>IF(F4241="","none",IF(G4241=1,"carte","multiple"))</f>
        <v/>
      </c>
    </row>
    <row r="4242">
      <c r="A4242" t="inlineStr">
        <is>
          <t>2022-08-17</t>
        </is>
      </c>
      <c r="B4242" t="inlineStr">
        <is>
          <t>12:58</t>
        </is>
      </c>
      <c r="C4242" t="n">
        <v>3034</v>
      </c>
      <c r="D4242" s="6" t="n">
        <v>6.9</v>
      </c>
      <c r="E4242" t="n">
        <v>41223</v>
      </c>
      <c r="F4242" s="6" t="n">
        <v>6.9</v>
      </c>
      <c r="G4242" t="n">
        <v>1</v>
      </c>
      <c r="H4242" s="6">
        <f>ROUND(G4242*F4242,2)</f>
        <v/>
      </c>
      <c r="I4242">
        <f>IF(ROUND(H4242-D4242,2)=0,1,0)</f>
        <v/>
      </c>
      <c r="J4242">
        <f>IF(F4242="","none",IF(G4242=1,"carte","multiple"))</f>
        <v/>
      </c>
    </row>
    <row r="4243">
      <c r="A4243" t="inlineStr">
        <is>
          <t>2022-08-17</t>
        </is>
      </c>
      <c r="B4243" t="inlineStr">
        <is>
          <t>12:58</t>
        </is>
      </c>
      <c r="C4243" t="n">
        <v>3034</v>
      </c>
      <c r="D4243" s="6" t="n">
        <v>3.9</v>
      </c>
      <c r="E4243" t="n">
        <v>41224</v>
      </c>
      <c r="F4243" s="6" t="n">
        <v>3.9</v>
      </c>
      <c r="G4243" t="n">
        <v>1</v>
      </c>
      <c r="H4243" s="6">
        <f>ROUND(G4243*F4243,2)</f>
        <v/>
      </c>
      <c r="I4243">
        <f>IF(ROUND(H4243-D4243,2)=0,1,0)</f>
        <v/>
      </c>
      <c r="J4243">
        <f>IF(F4243="","none",IF(G4243=1,"carte","multiple"))</f>
        <v/>
      </c>
    </row>
    <row r="4244">
      <c r="A4244" t="inlineStr">
        <is>
          <t>2022-08-17</t>
        </is>
      </c>
      <c r="B4244" t="inlineStr">
        <is>
          <t>12:58</t>
        </is>
      </c>
      <c r="C4244" t="n">
        <v>3034</v>
      </c>
      <c r="D4244" s="6" t="n">
        <v>3.9</v>
      </c>
      <c r="E4244" t="n">
        <v>41225</v>
      </c>
      <c r="F4244" s="6" t="n">
        <v>3.9</v>
      </c>
      <c r="G4244" t="n">
        <v>1</v>
      </c>
      <c r="H4244" s="6">
        <f>ROUND(G4244*F4244,2)</f>
        <v/>
      </c>
      <c r="I4244">
        <f>IF(ROUND(H4244-D4244,2)=0,1,0)</f>
        <v/>
      </c>
      <c r="J4244">
        <f>IF(F4244="","none",IF(G4244=1,"carte","multiple"))</f>
        <v/>
      </c>
    </row>
    <row r="4245">
      <c r="A4245" t="inlineStr">
        <is>
          <t>2022-08-17</t>
        </is>
      </c>
      <c r="B4245" t="inlineStr">
        <is>
          <t>12:58</t>
        </is>
      </c>
      <c r="C4245" t="n">
        <v>3034</v>
      </c>
      <c r="D4245" s="6" t="n">
        <v>7.8</v>
      </c>
      <c r="E4245" t="n">
        <v>41226</v>
      </c>
      <c r="F4245" s="6" t="n">
        <v>7.8</v>
      </c>
      <c r="G4245" t="n">
        <v>1</v>
      </c>
      <c r="H4245" s="6">
        <f>ROUND(G4245*F4245,2)</f>
        <v/>
      </c>
      <c r="I4245">
        <f>IF(ROUND(H4245-D4245,2)=0,1,0)</f>
        <v/>
      </c>
      <c r="J4245">
        <f>IF(F4245="","none",IF(G4245=1,"carte","multiple"))</f>
        <v/>
      </c>
    </row>
    <row r="4246">
      <c r="A4246" t="inlineStr">
        <is>
          <t>2022-08-17</t>
        </is>
      </c>
      <c r="B4246" t="inlineStr">
        <is>
          <t>12:58</t>
        </is>
      </c>
      <c r="C4246" t="n">
        <v>3034</v>
      </c>
      <c r="D4246" s="6" t="n">
        <v>3.9</v>
      </c>
      <c r="E4246" t="n">
        <v>41227</v>
      </c>
      <c r="F4246" s="6" t="n">
        <v>3.9</v>
      </c>
      <c r="G4246" t="n">
        <v>1</v>
      </c>
      <c r="H4246" s="6">
        <f>ROUND(G4246*F4246,2)</f>
        <v/>
      </c>
      <c r="I4246">
        <f>IF(ROUND(H4246-D4246,2)=0,1,0)</f>
        <v/>
      </c>
      <c r="J4246">
        <f>IF(F4246="","none",IF(G4246=1,"carte","multiple"))</f>
        <v/>
      </c>
    </row>
    <row r="4247">
      <c r="A4247" t="inlineStr">
        <is>
          <t>2022-08-17</t>
        </is>
      </c>
      <c r="B4247" t="inlineStr">
        <is>
          <t>17:42</t>
        </is>
      </c>
      <c r="C4247" t="n">
        <v>3034</v>
      </c>
      <c r="D4247" s="6" t="n">
        <v>5.2</v>
      </c>
      <c r="E4247" t="n">
        <v>41228</v>
      </c>
      <c r="F4247" s="6" t="n">
        <v>5.2</v>
      </c>
      <c r="G4247" t="n">
        <v>1</v>
      </c>
      <c r="H4247" s="6">
        <f>ROUND(G4247*F4247,2)</f>
        <v/>
      </c>
      <c r="I4247">
        <f>IF(ROUND(H4247-D4247,2)=0,1,0)</f>
        <v/>
      </c>
      <c r="J4247">
        <f>IF(F4247="","none",IF(G4247=1,"carte","multiple"))</f>
        <v/>
      </c>
    </row>
    <row r="4248">
      <c r="A4248" t="inlineStr">
        <is>
          <t>2022-08-17</t>
        </is>
      </c>
      <c r="B4248" t="inlineStr">
        <is>
          <t>17:42</t>
        </is>
      </c>
      <c r="C4248" t="n">
        <v>3034</v>
      </c>
      <c r="D4248" s="6" t="n">
        <v>4.2</v>
      </c>
      <c r="E4248" t="n">
        <v>41229</v>
      </c>
      <c r="F4248" s="6" t="n">
        <v>4.2</v>
      </c>
      <c r="G4248" t="n">
        <v>1</v>
      </c>
      <c r="H4248" s="6">
        <f>ROUND(G4248*F4248,2)</f>
        <v/>
      </c>
      <c r="I4248">
        <f>IF(ROUND(H4248-D4248,2)=0,1,0)</f>
        <v/>
      </c>
      <c r="J4248">
        <f>IF(F4248="","none",IF(G4248=1,"carte","multiple"))</f>
        <v/>
      </c>
    </row>
    <row r="4249">
      <c r="A4249" t="inlineStr">
        <is>
          <t>2022-08-17</t>
        </is>
      </c>
      <c r="B4249" t="inlineStr">
        <is>
          <t>17:53</t>
        </is>
      </c>
      <c r="C4249" t="n">
        <v>3034</v>
      </c>
      <c r="D4249" s="6" t="n">
        <v>3.9</v>
      </c>
      <c r="E4249" t="n">
        <v>41230</v>
      </c>
      <c r="F4249" s="6" t="n">
        <v>3.9</v>
      </c>
      <c r="G4249" t="n">
        <v>1</v>
      </c>
      <c r="H4249" s="6">
        <f>ROUND(G4249*F4249,2)</f>
        <v/>
      </c>
      <c r="I4249">
        <f>IF(ROUND(H4249-D4249,2)=0,1,0)</f>
        <v/>
      </c>
      <c r="J4249">
        <f>IF(F4249="","none",IF(G4249=1,"carte","multiple"))</f>
        <v/>
      </c>
    </row>
    <row r="4250">
      <c r="A4250" t="inlineStr">
        <is>
          <t>2022-08-17</t>
        </is>
      </c>
      <c r="B4250" t="inlineStr">
        <is>
          <t>17:53</t>
        </is>
      </c>
      <c r="C4250" t="n">
        <v>3034</v>
      </c>
      <c r="D4250" s="6" t="n">
        <v>3.9</v>
      </c>
      <c r="E4250" t="n">
        <v>41231</v>
      </c>
      <c r="F4250" s="6" t="n">
        <v>3.9</v>
      </c>
      <c r="G4250" t="n">
        <v>1</v>
      </c>
      <c r="H4250" s="6">
        <f>ROUND(G4250*F4250,2)</f>
        <v/>
      </c>
      <c r="I4250">
        <f>IF(ROUND(H4250-D4250,2)=0,1,0)</f>
        <v/>
      </c>
      <c r="J4250">
        <f>IF(F4250="","none",IF(G4250=1,"carte","multiple"))</f>
        <v/>
      </c>
    </row>
    <row r="4251">
      <c r="A4251" t="inlineStr">
        <is>
          <t>2022-08-17</t>
        </is>
      </c>
      <c r="B4251" t="inlineStr">
        <is>
          <t>17:54</t>
        </is>
      </c>
      <c r="C4251" t="n">
        <v>3034</v>
      </c>
      <c r="D4251" s="6" t="n">
        <v>3.9</v>
      </c>
      <c r="E4251" t="n">
        <v>41232</v>
      </c>
      <c r="F4251" s="6" t="n">
        <v>3.9</v>
      </c>
      <c r="G4251" t="n">
        <v>1</v>
      </c>
      <c r="H4251" s="6">
        <f>ROUND(G4251*F4251,2)</f>
        <v/>
      </c>
      <c r="I4251">
        <f>IF(ROUND(H4251-D4251,2)=0,1,0)</f>
        <v/>
      </c>
      <c r="J4251">
        <f>IF(F4251="","none",IF(G4251=1,"carte","multiple"))</f>
        <v/>
      </c>
    </row>
    <row r="4252">
      <c r="A4252" t="inlineStr">
        <is>
          <t>2022-08-17</t>
        </is>
      </c>
      <c r="B4252" t="inlineStr">
        <is>
          <t>18:10</t>
        </is>
      </c>
      <c r="C4252" t="n">
        <v>3034</v>
      </c>
      <c r="D4252" s="6" t="n">
        <v>59.8</v>
      </c>
      <c r="E4252" t="n">
        <v>41233</v>
      </c>
      <c r="F4252" s="6" t="n">
        <v>4.6</v>
      </c>
      <c r="G4252" t="n">
        <v>13</v>
      </c>
      <c r="H4252" s="6">
        <f>ROUND(G4252*F4252,2)</f>
        <v/>
      </c>
      <c r="I4252">
        <f>IF(ROUND(H4252-D4252,2)=0,1,0)</f>
        <v/>
      </c>
      <c r="J4252">
        <f>IF(F4252="","none",IF(G4252=1,"carte","multiple"))</f>
        <v/>
      </c>
    </row>
    <row r="4253">
      <c r="A4253" t="inlineStr">
        <is>
          <t>2022-08-17</t>
        </is>
      </c>
      <c r="B4253" t="inlineStr">
        <is>
          <t>18:57</t>
        </is>
      </c>
      <c r="C4253" t="n">
        <v>3034</v>
      </c>
      <c r="D4253" s="6" t="n">
        <v>16.4</v>
      </c>
      <c r="E4253" t="n">
        <v>41234</v>
      </c>
      <c r="F4253" s="6" t="n">
        <v>16.4</v>
      </c>
      <c r="G4253" t="n">
        <v>1</v>
      </c>
      <c r="H4253" s="6">
        <f>ROUND(G4253*F4253,2)</f>
        <v/>
      </c>
      <c r="I4253">
        <f>IF(ROUND(H4253-D4253,2)=0,1,0)</f>
        <v/>
      </c>
      <c r="J4253">
        <f>IF(F4253="","none",IF(G4253=1,"carte","multiple"))</f>
        <v/>
      </c>
    </row>
    <row r="4254">
      <c r="A4254" t="inlineStr">
        <is>
          <t>2022-08-17</t>
        </is>
      </c>
      <c r="B4254" t="inlineStr">
        <is>
          <t>18:57</t>
        </is>
      </c>
      <c r="C4254" t="n">
        <v>3034</v>
      </c>
      <c r="D4254" s="6" t="n">
        <v>4.2</v>
      </c>
      <c r="E4254" t="n">
        <v>41235</v>
      </c>
      <c r="F4254" s="6" t="n">
        <v>4.2</v>
      </c>
      <c r="G4254" t="n">
        <v>1</v>
      </c>
      <c r="H4254" s="6">
        <f>ROUND(G4254*F4254,2)</f>
        <v/>
      </c>
      <c r="I4254">
        <f>IF(ROUND(H4254-D4254,2)=0,1,0)</f>
        <v/>
      </c>
      <c r="J4254">
        <f>IF(F4254="","none",IF(G4254=1,"carte","multiple"))</f>
        <v/>
      </c>
    </row>
    <row r="4255">
      <c r="A4255" t="inlineStr">
        <is>
          <t>2022-08-17</t>
        </is>
      </c>
      <c r="B4255" t="inlineStr">
        <is>
          <t>18:57</t>
        </is>
      </c>
      <c r="C4255" t="n">
        <v>3034</v>
      </c>
      <c r="D4255" s="6" t="n">
        <v>3.9</v>
      </c>
      <c r="E4255" t="n">
        <v>41236</v>
      </c>
      <c r="F4255" s="6" t="n">
        <v>3.9</v>
      </c>
      <c r="G4255" t="n">
        <v>1</v>
      </c>
      <c r="H4255" s="6">
        <f>ROUND(G4255*F4255,2)</f>
        <v/>
      </c>
      <c r="I4255">
        <f>IF(ROUND(H4255-D4255,2)=0,1,0)</f>
        <v/>
      </c>
      <c r="J4255">
        <f>IF(F4255="","none",IF(G4255=1,"carte","multiple"))</f>
        <v/>
      </c>
    </row>
    <row r="4256">
      <c r="A4256" t="inlineStr">
        <is>
          <t>2022-08-17</t>
        </is>
      </c>
      <c r="B4256" t="inlineStr">
        <is>
          <t>19:09</t>
        </is>
      </c>
      <c r="C4256" t="n">
        <v>3034</v>
      </c>
      <c r="D4256" s="6" t="n">
        <v>7.2</v>
      </c>
      <c r="E4256" t="n">
        <v>41237</v>
      </c>
      <c r="F4256" s="6" t="n">
        <v>7.2</v>
      </c>
      <c r="G4256" t="n">
        <v>1</v>
      </c>
      <c r="H4256" s="6">
        <f>ROUND(G4256*F4256,2)</f>
        <v/>
      </c>
      <c r="I4256">
        <f>IF(ROUND(H4256-D4256,2)=0,1,0)</f>
        <v/>
      </c>
      <c r="J4256">
        <f>IF(F4256="","none",IF(G4256=1,"carte","multiple"))</f>
        <v/>
      </c>
    </row>
    <row r="4257">
      <c r="A4257" t="inlineStr">
        <is>
          <t>2022-08-18</t>
        </is>
      </c>
      <c r="B4257" t="inlineStr">
        <is>
          <t>11:47</t>
        </is>
      </c>
      <c r="C4257" t="n">
        <v>3035</v>
      </c>
      <c r="D4257" s="6" t="n">
        <v>17.6</v>
      </c>
      <c r="E4257" t="n">
        <v>41240</v>
      </c>
      <c r="F4257" s="6" t="n">
        <v>17.6</v>
      </c>
      <c r="G4257" t="n">
        <v>1</v>
      </c>
      <c r="H4257" s="6">
        <f>ROUND(G4257*F4257,2)</f>
        <v/>
      </c>
      <c r="I4257">
        <f>IF(ROUND(H4257-D4257,2)=0,1,0)</f>
        <v/>
      </c>
      <c r="J4257">
        <f>IF(F4257="","none",IF(G4257=1,"carte","multiple"))</f>
        <v/>
      </c>
    </row>
    <row r="4258">
      <c r="A4258" t="inlineStr">
        <is>
          <t>2022-08-18</t>
        </is>
      </c>
      <c r="B4258" t="inlineStr">
        <is>
          <t>12:05</t>
        </is>
      </c>
      <c r="C4258" t="n">
        <v>3035</v>
      </c>
      <c r="D4258" s="6" t="n">
        <v>4</v>
      </c>
      <c r="E4258" t="n">
        <v>41241</v>
      </c>
      <c r="F4258" s="6" t="n">
        <v>4</v>
      </c>
      <c r="G4258" t="n">
        <v>1</v>
      </c>
      <c r="H4258" s="6">
        <f>ROUND(G4258*F4258,2)</f>
        <v/>
      </c>
      <c r="I4258">
        <f>IF(ROUND(H4258-D4258,2)=0,1,0)</f>
        <v/>
      </c>
      <c r="J4258">
        <f>IF(F4258="","none",IF(G4258=1,"carte","multiple"))</f>
        <v/>
      </c>
    </row>
    <row r="4259">
      <c r="A4259" t="inlineStr">
        <is>
          <t>2022-08-18</t>
        </is>
      </c>
      <c r="B4259" t="inlineStr">
        <is>
          <t>12:05</t>
        </is>
      </c>
      <c r="C4259" t="n">
        <v>3035</v>
      </c>
      <c r="D4259" s="6" t="n">
        <v>2.9</v>
      </c>
      <c r="E4259" t="n">
        <v>41242</v>
      </c>
      <c r="F4259" s="6" t="n">
        <v>2.9</v>
      </c>
      <c r="G4259" t="n">
        <v>1</v>
      </c>
      <c r="H4259" s="6">
        <f>ROUND(G4259*F4259,2)</f>
        <v/>
      </c>
      <c r="I4259">
        <f>IF(ROUND(H4259-D4259,2)=0,1,0)</f>
        <v/>
      </c>
      <c r="J4259">
        <f>IF(F4259="","none",IF(G4259=1,"carte","multiple"))</f>
        <v/>
      </c>
    </row>
    <row r="4260">
      <c r="A4260" t="inlineStr">
        <is>
          <t>2022-08-18</t>
        </is>
      </c>
      <c r="B4260" t="inlineStr">
        <is>
          <t>12:09</t>
        </is>
      </c>
      <c r="C4260" t="n">
        <v>3035</v>
      </c>
      <c r="D4260" s="6" t="n">
        <v>39.8</v>
      </c>
      <c r="E4260" t="n">
        <v>41243</v>
      </c>
      <c r="F4260" s="6" t="n">
        <v>39.8</v>
      </c>
      <c r="G4260" t="n">
        <v>1</v>
      </c>
      <c r="H4260" s="6">
        <f>ROUND(G4260*F4260,2)</f>
        <v/>
      </c>
      <c r="I4260">
        <f>IF(ROUND(H4260-D4260,2)=0,1,0)</f>
        <v/>
      </c>
      <c r="J4260">
        <f>IF(F4260="","none",IF(G4260=1,"carte","multiple"))</f>
        <v/>
      </c>
    </row>
    <row r="4261">
      <c r="A4261" t="inlineStr">
        <is>
          <t>2022-08-18</t>
        </is>
      </c>
      <c r="B4261" t="inlineStr">
        <is>
          <t>12:09</t>
        </is>
      </c>
      <c r="C4261" t="n">
        <v>3035</v>
      </c>
      <c r="D4261" s="6" t="n">
        <v>17.6</v>
      </c>
      <c r="E4261" t="n">
        <v>41244</v>
      </c>
      <c r="F4261" s="6" t="n">
        <v>17.6</v>
      </c>
      <c r="G4261" t="n">
        <v>1</v>
      </c>
      <c r="H4261" s="6">
        <f>ROUND(G4261*F4261,2)</f>
        <v/>
      </c>
      <c r="I4261">
        <f>IF(ROUND(H4261-D4261,2)=0,1,0)</f>
        <v/>
      </c>
      <c r="J4261">
        <f>IF(F4261="","none",IF(G4261=1,"carte","multiple"))</f>
        <v/>
      </c>
    </row>
    <row r="4262">
      <c r="A4262" t="inlineStr">
        <is>
          <t>2022-08-18</t>
        </is>
      </c>
      <c r="B4262" t="inlineStr">
        <is>
          <t>12:09</t>
        </is>
      </c>
      <c r="C4262" t="n">
        <v>3035</v>
      </c>
      <c r="D4262" s="6" t="n">
        <v>19</v>
      </c>
      <c r="E4262" t="n">
        <v>41245</v>
      </c>
      <c r="F4262" s="6" t="n">
        <v>19</v>
      </c>
      <c r="G4262" t="n">
        <v>1</v>
      </c>
      <c r="H4262" s="6">
        <f>ROUND(G4262*F4262,2)</f>
        <v/>
      </c>
      <c r="I4262">
        <f>IF(ROUND(H4262-D4262,2)=0,1,0)</f>
        <v/>
      </c>
      <c r="J4262">
        <f>IF(F4262="","none",IF(G4262=1,"carte","multiple"))</f>
        <v/>
      </c>
    </row>
    <row r="4263">
      <c r="A4263" t="inlineStr">
        <is>
          <t>2022-08-18</t>
        </is>
      </c>
      <c r="B4263" t="inlineStr">
        <is>
          <t>12:09</t>
        </is>
      </c>
      <c r="C4263" t="n">
        <v>3035</v>
      </c>
      <c r="D4263" s="6" t="n">
        <v>5.2</v>
      </c>
      <c r="E4263" t="n">
        <v>41246</v>
      </c>
      <c r="F4263" s="6" t="n">
        <v>5.2</v>
      </c>
      <c r="G4263" t="n">
        <v>1</v>
      </c>
      <c r="H4263" s="6">
        <f>ROUND(G4263*F4263,2)</f>
        <v/>
      </c>
      <c r="I4263">
        <f>IF(ROUND(H4263-D4263,2)=0,1,0)</f>
        <v/>
      </c>
      <c r="J4263">
        <f>IF(F4263="","none",IF(G4263=1,"carte","multiple"))</f>
        <v/>
      </c>
    </row>
    <row r="4264">
      <c r="A4264" t="inlineStr">
        <is>
          <t>2022-08-18</t>
        </is>
      </c>
      <c r="B4264" t="inlineStr">
        <is>
          <t>12:09</t>
        </is>
      </c>
      <c r="C4264" t="n">
        <v>3035</v>
      </c>
      <c r="D4264" s="6" t="n">
        <v>2.2</v>
      </c>
      <c r="E4264" t="n">
        <v>41247</v>
      </c>
      <c r="F4264" s="6" t="n">
        <v>2.2</v>
      </c>
      <c r="G4264" t="n">
        <v>1</v>
      </c>
      <c r="H4264" s="6">
        <f>ROUND(G4264*F4264,2)</f>
        <v/>
      </c>
      <c r="I4264">
        <f>IF(ROUND(H4264-D4264,2)=0,1,0)</f>
        <v/>
      </c>
      <c r="J4264">
        <f>IF(F4264="","none",IF(G4264=1,"carte","multiple"))</f>
        <v/>
      </c>
    </row>
    <row r="4265">
      <c r="A4265" t="inlineStr">
        <is>
          <t>2022-08-18</t>
        </is>
      </c>
      <c r="B4265" t="inlineStr">
        <is>
          <t>12:09</t>
        </is>
      </c>
      <c r="C4265" t="n">
        <v>3035</v>
      </c>
      <c r="D4265" s="6" t="n">
        <v>7.8</v>
      </c>
      <c r="E4265" t="n">
        <v>41248</v>
      </c>
      <c r="F4265" s="6" t="n">
        <v>7.8</v>
      </c>
      <c r="G4265" t="n">
        <v>1</v>
      </c>
      <c r="H4265" s="6">
        <f>ROUND(G4265*F4265,2)</f>
        <v/>
      </c>
      <c r="I4265">
        <f>IF(ROUND(H4265-D4265,2)=0,1,0)</f>
        <v/>
      </c>
      <c r="J4265">
        <f>IF(F4265="","none",IF(G4265=1,"carte","multiple"))</f>
        <v/>
      </c>
    </row>
    <row r="4266">
      <c r="A4266" t="inlineStr">
        <is>
          <t>2022-08-18</t>
        </is>
      </c>
      <c r="B4266" t="inlineStr">
        <is>
          <t>12:09</t>
        </is>
      </c>
      <c r="C4266" t="n">
        <v>3035</v>
      </c>
      <c r="D4266" s="6" t="n">
        <v>3.9</v>
      </c>
      <c r="E4266" t="n">
        <v>41249</v>
      </c>
      <c r="F4266" s="6" t="n">
        <v>3.9</v>
      </c>
      <c r="G4266" t="n">
        <v>1</v>
      </c>
      <c r="H4266" s="6">
        <f>ROUND(G4266*F4266,2)</f>
        <v/>
      </c>
      <c r="I4266">
        <f>IF(ROUND(H4266-D4266,2)=0,1,0)</f>
        <v/>
      </c>
      <c r="J4266">
        <f>IF(F4266="","none",IF(G4266=1,"carte","multiple"))</f>
        <v/>
      </c>
    </row>
    <row r="4267">
      <c r="A4267" t="inlineStr">
        <is>
          <t>2022-08-18</t>
        </is>
      </c>
      <c r="B4267" t="inlineStr">
        <is>
          <t>13:19</t>
        </is>
      </c>
      <c r="C4267" t="n">
        <v>3035</v>
      </c>
      <c r="D4267" s="6" t="n">
        <v>4.7</v>
      </c>
      <c r="E4267" t="n">
        <v>41250</v>
      </c>
      <c r="F4267" s="6" t="n">
        <v>4.7</v>
      </c>
      <c r="G4267" t="n">
        <v>1</v>
      </c>
      <c r="H4267" s="6">
        <f>ROUND(G4267*F4267,2)</f>
        <v/>
      </c>
      <c r="I4267">
        <f>IF(ROUND(H4267-D4267,2)=0,1,0)</f>
        <v/>
      </c>
      <c r="J4267">
        <f>IF(F4267="","none",IF(G4267=1,"carte","multiple"))</f>
        <v/>
      </c>
    </row>
    <row r="4268">
      <c r="A4268" t="inlineStr">
        <is>
          <t>2022-08-18</t>
        </is>
      </c>
      <c r="B4268" t="inlineStr">
        <is>
          <t>13:19</t>
        </is>
      </c>
      <c r="C4268" t="n">
        <v>3035</v>
      </c>
      <c r="D4268" s="6" t="n">
        <v>4.7</v>
      </c>
      <c r="E4268" t="n">
        <v>41251</v>
      </c>
      <c r="F4268" s="6" t="n">
        <v>4.7</v>
      </c>
      <c r="G4268" t="n">
        <v>1</v>
      </c>
      <c r="H4268" s="6">
        <f>ROUND(G4268*F4268,2)</f>
        <v/>
      </c>
      <c r="I4268">
        <f>IF(ROUND(H4268-D4268,2)=0,1,0)</f>
        <v/>
      </c>
      <c r="J4268">
        <f>IF(F4268="","none",IF(G4268=1,"carte","multiple"))</f>
        <v/>
      </c>
    </row>
    <row r="4269">
      <c r="A4269" t="inlineStr">
        <is>
          <t>2022-08-18</t>
        </is>
      </c>
      <c r="B4269" t="inlineStr">
        <is>
          <t>13:19</t>
        </is>
      </c>
      <c r="C4269" t="n">
        <v>3035</v>
      </c>
      <c r="D4269" s="6" t="n">
        <v>6.9</v>
      </c>
      <c r="E4269" t="n">
        <v>41252</v>
      </c>
      <c r="F4269" s="6" t="n">
        <v>6.9</v>
      </c>
      <c r="G4269" t="n">
        <v>1</v>
      </c>
      <c r="H4269" s="6">
        <f>ROUND(G4269*F4269,2)</f>
        <v/>
      </c>
      <c r="I4269">
        <f>IF(ROUND(H4269-D4269,2)=0,1,0)</f>
        <v/>
      </c>
      <c r="J4269">
        <f>IF(F4269="","none",IF(G4269=1,"carte","multiple"))</f>
        <v/>
      </c>
    </row>
    <row r="4270">
      <c r="A4270" t="inlineStr">
        <is>
          <t>2022-08-18</t>
        </is>
      </c>
      <c r="B4270" t="inlineStr">
        <is>
          <t>13:19</t>
        </is>
      </c>
      <c r="C4270" t="n">
        <v>3035</v>
      </c>
      <c r="D4270" s="6" t="n">
        <v>17.4</v>
      </c>
      <c r="E4270" t="n">
        <v>41253</v>
      </c>
      <c r="F4270" s="6" t="n">
        <v>2.9</v>
      </c>
      <c r="G4270" t="n">
        <v>6</v>
      </c>
      <c r="H4270" s="6">
        <f>ROUND(G4270*F4270,2)</f>
        <v/>
      </c>
      <c r="I4270">
        <f>IF(ROUND(H4270-D4270,2)=0,1,0)</f>
        <v/>
      </c>
      <c r="J4270">
        <f>IF(F4270="","none",IF(G4270=1,"carte","multiple"))</f>
        <v/>
      </c>
    </row>
    <row r="4271">
      <c r="A4271" t="inlineStr">
        <is>
          <t>2022-08-18</t>
        </is>
      </c>
      <c r="B4271" t="inlineStr">
        <is>
          <t>13:19</t>
        </is>
      </c>
      <c r="C4271" t="n">
        <v>3035</v>
      </c>
      <c r="D4271" s="6" t="n">
        <v>6.9</v>
      </c>
      <c r="E4271" t="n">
        <v>41254</v>
      </c>
      <c r="F4271" s="6" t="n">
        <v>6.9</v>
      </c>
      <c r="G4271" t="n">
        <v>1</v>
      </c>
      <c r="H4271" s="6">
        <f>ROUND(G4271*F4271,2)</f>
        <v/>
      </c>
      <c r="I4271">
        <f>IF(ROUND(H4271-D4271,2)=0,1,0)</f>
        <v/>
      </c>
      <c r="J4271">
        <f>IF(F4271="","none",IF(G4271=1,"carte","multiple"))</f>
        <v/>
      </c>
    </row>
    <row r="4272">
      <c r="A4272" t="inlineStr">
        <is>
          <t>2022-08-18</t>
        </is>
      </c>
      <c r="B4272" t="inlineStr">
        <is>
          <t>13:19</t>
        </is>
      </c>
      <c r="C4272" t="n">
        <v>3035</v>
      </c>
      <c r="D4272" s="6" t="n">
        <v>8.800000000000001</v>
      </c>
      <c r="E4272" t="n">
        <v>41255</v>
      </c>
      <c r="F4272" s="6" t="n">
        <v>8.800000000000001</v>
      </c>
      <c r="G4272" t="n">
        <v>1</v>
      </c>
      <c r="H4272" s="6">
        <f>ROUND(G4272*F4272,2)</f>
        <v/>
      </c>
      <c r="I4272">
        <f>IF(ROUND(H4272-D4272,2)=0,1,0)</f>
        <v/>
      </c>
      <c r="J4272">
        <f>IF(F4272="","none",IF(G4272=1,"carte","multiple"))</f>
        <v/>
      </c>
    </row>
    <row r="4273">
      <c r="A4273" t="inlineStr">
        <is>
          <t>2022-08-18</t>
        </is>
      </c>
      <c r="B4273" t="inlineStr">
        <is>
          <t>13:19</t>
        </is>
      </c>
      <c r="C4273" t="n">
        <v>3035</v>
      </c>
      <c r="D4273" s="6" t="n">
        <v>17.6</v>
      </c>
      <c r="E4273" t="n">
        <v>41256</v>
      </c>
      <c r="F4273" s="6" t="n">
        <v>17.6</v>
      </c>
      <c r="G4273" t="n">
        <v>1</v>
      </c>
      <c r="H4273" s="6">
        <f>ROUND(G4273*F4273,2)</f>
        <v/>
      </c>
      <c r="I4273">
        <f>IF(ROUND(H4273-D4273,2)=0,1,0)</f>
        <v/>
      </c>
      <c r="J4273">
        <f>IF(F4273="","none",IF(G4273=1,"carte","multiple"))</f>
        <v/>
      </c>
    </row>
    <row r="4274">
      <c r="A4274" t="inlineStr">
        <is>
          <t>2022-08-18</t>
        </is>
      </c>
      <c r="B4274" t="inlineStr">
        <is>
          <t>13:19</t>
        </is>
      </c>
      <c r="C4274" t="n">
        <v>3035</v>
      </c>
      <c r="D4274" s="6" t="n">
        <v>17.6</v>
      </c>
      <c r="E4274" t="n">
        <v>41257</v>
      </c>
      <c r="F4274" s="6" t="n">
        <v>17.6</v>
      </c>
      <c r="G4274" t="n">
        <v>1</v>
      </c>
      <c r="H4274" s="6">
        <f>ROUND(G4274*F4274,2)</f>
        <v/>
      </c>
      <c r="I4274">
        <f>IF(ROUND(H4274-D4274,2)=0,1,0)</f>
        <v/>
      </c>
      <c r="J4274">
        <f>IF(F4274="","none",IF(G4274=1,"carte","multiple"))</f>
        <v/>
      </c>
    </row>
    <row r="4275">
      <c r="A4275" t="inlineStr">
        <is>
          <t>2022-08-18</t>
        </is>
      </c>
      <c r="B4275" t="inlineStr">
        <is>
          <t>13:19</t>
        </is>
      </c>
      <c r="C4275" t="n">
        <v>3035</v>
      </c>
      <c r="D4275" s="6" t="n">
        <v>19</v>
      </c>
      <c r="E4275" t="n">
        <v>41258</v>
      </c>
      <c r="F4275" s="6" t="n">
        <v>19</v>
      </c>
      <c r="G4275" t="n">
        <v>1</v>
      </c>
      <c r="H4275" s="6">
        <f>ROUND(G4275*F4275,2)</f>
        <v/>
      </c>
      <c r="I4275">
        <f>IF(ROUND(H4275-D4275,2)=0,1,0)</f>
        <v/>
      </c>
      <c r="J4275">
        <f>IF(F4275="","none",IF(G4275=1,"carte","multiple"))</f>
        <v/>
      </c>
    </row>
    <row r="4276">
      <c r="A4276" t="inlineStr">
        <is>
          <t>2022-08-18</t>
        </is>
      </c>
      <c r="B4276" t="inlineStr">
        <is>
          <t>13:19</t>
        </is>
      </c>
      <c r="C4276" t="n">
        <v>3035</v>
      </c>
      <c r="D4276" s="6" t="n">
        <v>19.9</v>
      </c>
      <c r="E4276" t="n">
        <v>41259</v>
      </c>
      <c r="F4276" s="6" t="n">
        <v>19.9</v>
      </c>
      <c r="G4276" t="n">
        <v>1</v>
      </c>
      <c r="H4276" s="6">
        <f>ROUND(G4276*F4276,2)</f>
        <v/>
      </c>
      <c r="I4276">
        <f>IF(ROUND(H4276-D4276,2)=0,1,0)</f>
        <v/>
      </c>
      <c r="J4276">
        <f>IF(F4276="","none",IF(G4276=1,"carte","multiple"))</f>
        <v/>
      </c>
    </row>
    <row r="4277">
      <c r="A4277" t="inlineStr">
        <is>
          <t>2022-08-18</t>
        </is>
      </c>
      <c r="B4277" t="inlineStr">
        <is>
          <t>13:19</t>
        </is>
      </c>
      <c r="C4277" t="n">
        <v>3035</v>
      </c>
      <c r="D4277" s="6" t="n">
        <v>16.9</v>
      </c>
      <c r="E4277" t="n">
        <v>41260</v>
      </c>
      <c r="F4277" s="6" t="n">
        <v>16.9</v>
      </c>
      <c r="G4277" t="n">
        <v>1</v>
      </c>
      <c r="H4277" s="6">
        <f>ROUND(G4277*F4277,2)</f>
        <v/>
      </c>
      <c r="I4277">
        <f>IF(ROUND(H4277-D4277,2)=0,1,0)</f>
        <v/>
      </c>
      <c r="J4277">
        <f>IF(F4277="","none",IF(G4277=1,"carte","multiple"))</f>
        <v/>
      </c>
    </row>
    <row r="4278">
      <c r="A4278" t="inlineStr">
        <is>
          <t>2022-08-18</t>
        </is>
      </c>
      <c r="B4278" t="inlineStr">
        <is>
          <t>13:19</t>
        </is>
      </c>
      <c r="C4278" t="n">
        <v>3035</v>
      </c>
      <c r="D4278" s="6" t="n">
        <v>24.9</v>
      </c>
      <c r="E4278" t="n">
        <v>41261</v>
      </c>
      <c r="F4278" s="6" t="n">
        <v>24.9</v>
      </c>
      <c r="G4278" t="n">
        <v>1</v>
      </c>
      <c r="H4278" s="6">
        <f>ROUND(G4278*F4278,2)</f>
        <v/>
      </c>
      <c r="I4278">
        <f>IF(ROUND(H4278-D4278,2)=0,1,0)</f>
        <v/>
      </c>
      <c r="J4278">
        <f>IF(F4278="","none",IF(G4278=1,"carte","multiple"))</f>
        <v/>
      </c>
    </row>
    <row r="4279">
      <c r="A4279" t="inlineStr">
        <is>
          <t>2022-08-18</t>
        </is>
      </c>
      <c r="B4279" t="inlineStr">
        <is>
          <t>13:19</t>
        </is>
      </c>
      <c r="C4279" t="n">
        <v>3035</v>
      </c>
      <c r="D4279" s="6" t="n">
        <v>10.4</v>
      </c>
      <c r="E4279" t="n">
        <v>41262</v>
      </c>
      <c r="F4279" s="6" t="n">
        <v>0.4</v>
      </c>
      <c r="G4279" t="n">
        <v>26</v>
      </c>
      <c r="H4279" s="6">
        <f>ROUND(G4279*F4279,2)</f>
        <v/>
      </c>
      <c r="I4279">
        <f>IF(ROUND(H4279-D4279,2)=0,1,0)</f>
        <v/>
      </c>
      <c r="J4279">
        <f>IF(F4279="","none",IF(G4279=1,"carte","multiple"))</f>
        <v/>
      </c>
    </row>
    <row r="4280">
      <c r="A4280" t="inlineStr">
        <is>
          <t>2022-08-18</t>
        </is>
      </c>
      <c r="B4280" t="inlineStr">
        <is>
          <t>13:19</t>
        </is>
      </c>
      <c r="C4280" t="n">
        <v>3035</v>
      </c>
      <c r="D4280" s="6" t="n">
        <v>17.6</v>
      </c>
      <c r="E4280" t="n">
        <v>41263</v>
      </c>
      <c r="F4280" s="6" t="n">
        <v>17.6</v>
      </c>
      <c r="G4280" t="n">
        <v>1</v>
      </c>
      <c r="H4280" s="6">
        <f>ROUND(G4280*F4280,2)</f>
        <v/>
      </c>
      <c r="I4280">
        <f>IF(ROUND(H4280-D4280,2)=0,1,0)</f>
        <v/>
      </c>
      <c r="J4280">
        <f>IF(F4280="","none",IF(G4280=1,"carte","multiple"))</f>
        <v/>
      </c>
    </row>
    <row r="4281">
      <c r="A4281" t="inlineStr">
        <is>
          <t>2022-08-18</t>
        </is>
      </c>
      <c r="B4281" t="inlineStr">
        <is>
          <t>13:19</t>
        </is>
      </c>
      <c r="C4281" t="n">
        <v>3035</v>
      </c>
      <c r="D4281" s="6" t="n">
        <v>13</v>
      </c>
      <c r="E4281" t="n">
        <v>41264</v>
      </c>
      <c r="F4281" s="6" t="n">
        <v>13</v>
      </c>
      <c r="G4281" t="n">
        <v>1</v>
      </c>
      <c r="H4281" s="6">
        <f>ROUND(G4281*F4281,2)</f>
        <v/>
      </c>
      <c r="I4281">
        <f>IF(ROUND(H4281-D4281,2)=0,1,0)</f>
        <v/>
      </c>
      <c r="J4281">
        <f>IF(F4281="","none",IF(G4281=1,"carte","multiple"))</f>
        <v/>
      </c>
    </row>
    <row r="4282">
      <c r="A4282" t="inlineStr">
        <is>
          <t>2022-08-18</t>
        </is>
      </c>
      <c r="B4282" t="inlineStr">
        <is>
          <t>13:19</t>
        </is>
      </c>
      <c r="C4282" t="n">
        <v>3035</v>
      </c>
      <c r="D4282" s="6" t="n">
        <v>3.9</v>
      </c>
      <c r="E4282" t="n">
        <v>41265</v>
      </c>
      <c r="F4282" s="6" t="n">
        <v>3.9</v>
      </c>
      <c r="G4282" t="n">
        <v>1</v>
      </c>
      <c r="H4282" s="6">
        <f>ROUND(G4282*F4282,2)</f>
        <v/>
      </c>
      <c r="I4282">
        <f>IF(ROUND(H4282-D4282,2)=0,1,0)</f>
        <v/>
      </c>
      <c r="J4282">
        <f>IF(F4282="","none",IF(G4282=1,"carte","multiple"))</f>
        <v/>
      </c>
    </row>
    <row r="4283">
      <c r="A4283" t="inlineStr">
        <is>
          <t>2022-08-18</t>
        </is>
      </c>
      <c r="B4283" t="inlineStr">
        <is>
          <t>13:19</t>
        </is>
      </c>
      <c r="C4283" t="n">
        <v>3035</v>
      </c>
      <c r="D4283" s="6" t="n">
        <v>3.9</v>
      </c>
      <c r="E4283" t="n">
        <v>41266</v>
      </c>
      <c r="F4283" s="6" t="n">
        <v>3.9</v>
      </c>
      <c r="G4283" t="n">
        <v>1</v>
      </c>
      <c r="H4283" s="6">
        <f>ROUND(G4283*F4283,2)</f>
        <v/>
      </c>
      <c r="I4283">
        <f>IF(ROUND(H4283-D4283,2)=0,1,0)</f>
        <v/>
      </c>
      <c r="J4283">
        <f>IF(F4283="","none",IF(G4283=1,"carte","multiple"))</f>
        <v/>
      </c>
    </row>
    <row r="4284">
      <c r="A4284" t="inlineStr">
        <is>
          <t>2022-08-18</t>
        </is>
      </c>
      <c r="B4284" t="inlineStr">
        <is>
          <t>13:19</t>
        </is>
      </c>
      <c r="C4284" t="n">
        <v>3035</v>
      </c>
      <c r="D4284" s="6" t="n">
        <v>4.2</v>
      </c>
      <c r="E4284" t="n">
        <v>41267</v>
      </c>
      <c r="F4284" s="6" t="n">
        <v>4.2</v>
      </c>
      <c r="G4284" t="n">
        <v>1</v>
      </c>
      <c r="H4284" s="6">
        <f>ROUND(G4284*F4284,2)</f>
        <v/>
      </c>
      <c r="I4284">
        <f>IF(ROUND(H4284-D4284,2)=0,1,0)</f>
        <v/>
      </c>
      <c r="J4284">
        <f>IF(F4284="","none",IF(G4284=1,"carte","multiple"))</f>
        <v/>
      </c>
    </row>
    <row r="4285">
      <c r="A4285" t="inlineStr">
        <is>
          <t>2022-08-18</t>
        </is>
      </c>
      <c r="B4285" t="inlineStr">
        <is>
          <t>13:19</t>
        </is>
      </c>
      <c r="C4285" t="n">
        <v>3035</v>
      </c>
      <c r="D4285" s="6" t="n">
        <v>5.2</v>
      </c>
      <c r="E4285" t="n">
        <v>41268</v>
      </c>
      <c r="F4285" s="6" t="n">
        <v>5.2</v>
      </c>
      <c r="G4285" t="n">
        <v>1</v>
      </c>
      <c r="H4285" s="6">
        <f>ROUND(G4285*F4285,2)</f>
        <v/>
      </c>
      <c r="I4285">
        <f>IF(ROUND(H4285-D4285,2)=0,1,0)</f>
        <v/>
      </c>
      <c r="J4285">
        <f>IF(F4285="","none",IF(G4285=1,"carte","multiple"))</f>
        <v/>
      </c>
    </row>
    <row r="4286">
      <c r="A4286" t="inlineStr">
        <is>
          <t>2022-08-18</t>
        </is>
      </c>
      <c r="B4286" t="inlineStr">
        <is>
          <t>17:57</t>
        </is>
      </c>
      <c r="C4286" t="n">
        <v>3035</v>
      </c>
      <c r="D4286" s="6" t="n">
        <v>0.9</v>
      </c>
      <c r="E4286" t="n">
        <v>41270</v>
      </c>
      <c r="F4286" s="6" t="n">
        <v>0.9</v>
      </c>
      <c r="G4286" t="n">
        <v>1</v>
      </c>
      <c r="H4286" s="6">
        <f>ROUND(G4286*F4286,2)</f>
        <v/>
      </c>
      <c r="I4286">
        <f>IF(ROUND(H4286-D4286,2)=0,1,0)</f>
        <v/>
      </c>
      <c r="J4286">
        <f>IF(F4286="","none",IF(G4286=1,"carte","multiple"))</f>
        <v/>
      </c>
    </row>
    <row r="4287">
      <c r="A4287" t="inlineStr">
        <is>
          <t>2022-08-18</t>
        </is>
      </c>
      <c r="B4287" t="inlineStr">
        <is>
          <t>17:57</t>
        </is>
      </c>
      <c r="C4287" t="n">
        <v>3035</v>
      </c>
      <c r="D4287" s="6" t="n">
        <v>3.8</v>
      </c>
      <c r="E4287" t="n">
        <v>41271</v>
      </c>
      <c r="F4287" s="6" t="n">
        <v>3.8</v>
      </c>
      <c r="G4287" t="n">
        <v>1</v>
      </c>
      <c r="H4287" s="6">
        <f>ROUND(G4287*F4287,2)</f>
        <v/>
      </c>
      <c r="I4287">
        <f>IF(ROUND(H4287-D4287,2)=0,1,0)</f>
        <v/>
      </c>
      <c r="J4287">
        <f>IF(F4287="","none",IF(G4287=1,"carte","multiple"))</f>
        <v/>
      </c>
    </row>
    <row r="4288">
      <c r="A4288" t="inlineStr">
        <is>
          <t>2022-08-18</t>
        </is>
      </c>
      <c r="B4288" t="inlineStr">
        <is>
          <t>18:18</t>
        </is>
      </c>
      <c r="C4288" t="n">
        <v>3035</v>
      </c>
      <c r="D4288" s="6" t="n">
        <v>6.9</v>
      </c>
      <c r="E4288" t="n">
        <v>41272</v>
      </c>
      <c r="F4288" s="6" t="n">
        <v>6.9</v>
      </c>
      <c r="G4288" t="n">
        <v>1</v>
      </c>
      <c r="H4288" s="6">
        <f>ROUND(G4288*F4288,2)</f>
        <v/>
      </c>
      <c r="I4288">
        <f>IF(ROUND(H4288-D4288,2)=0,1,0)</f>
        <v/>
      </c>
      <c r="J4288">
        <f>IF(F4288="","none",IF(G4288=1,"carte","multiple"))</f>
        <v/>
      </c>
    </row>
    <row r="4289">
      <c r="A4289" t="inlineStr">
        <is>
          <t>2022-08-18</t>
        </is>
      </c>
      <c r="B4289" t="inlineStr">
        <is>
          <t>18:18</t>
        </is>
      </c>
      <c r="C4289" t="n">
        <v>3035</v>
      </c>
      <c r="D4289" s="6" t="n">
        <v>64</v>
      </c>
      <c r="E4289" t="n">
        <v>41273</v>
      </c>
      <c r="F4289" s="6" t="n">
        <v>64</v>
      </c>
      <c r="G4289" t="n">
        <v>1</v>
      </c>
      <c r="H4289" s="6">
        <f>ROUND(G4289*F4289,2)</f>
        <v/>
      </c>
      <c r="I4289">
        <f>IF(ROUND(H4289-D4289,2)=0,1,0)</f>
        <v/>
      </c>
      <c r="J4289">
        <f>IF(F4289="","none",IF(G4289=1,"carte","multiple"))</f>
        <v/>
      </c>
    </row>
    <row r="4290">
      <c r="A4290" t="inlineStr">
        <is>
          <t>2022-08-18</t>
        </is>
      </c>
      <c r="B4290" t="inlineStr">
        <is>
          <t>18:18</t>
        </is>
      </c>
      <c r="C4290" t="n">
        <v>3035</v>
      </c>
      <c r="D4290" s="6" t="n">
        <v>7.9</v>
      </c>
      <c r="E4290" t="n">
        <v>41274</v>
      </c>
      <c r="F4290" s="6" t="n">
        <v>7.9</v>
      </c>
      <c r="G4290" t="n">
        <v>1</v>
      </c>
      <c r="H4290" s="6">
        <f>ROUND(G4290*F4290,2)</f>
        <v/>
      </c>
      <c r="I4290">
        <f>IF(ROUND(H4290-D4290,2)=0,1,0)</f>
        <v/>
      </c>
      <c r="J4290">
        <f>IF(F4290="","none",IF(G4290=1,"carte","multiple"))</f>
        <v/>
      </c>
    </row>
    <row r="4291">
      <c r="A4291" t="inlineStr">
        <is>
          <t>2022-08-19</t>
        </is>
      </c>
      <c r="B4291" t="inlineStr">
        <is>
          <t>10:46</t>
        </is>
      </c>
      <c r="C4291" t="n">
        <v>3036</v>
      </c>
      <c r="D4291" s="6" t="n">
        <v>14.5</v>
      </c>
      <c r="E4291" t="n">
        <v>41276</v>
      </c>
      <c r="F4291" s="6" t="n">
        <v>14.5</v>
      </c>
      <c r="G4291" t="n">
        <v>1</v>
      </c>
      <c r="H4291" s="6">
        <f>ROUND(G4291*F4291,2)</f>
        <v/>
      </c>
      <c r="I4291">
        <f>IF(ROUND(H4291-D4291,2)=0,1,0)</f>
        <v/>
      </c>
      <c r="J4291">
        <f>IF(F4291="","none",IF(G4291=1,"carte","multiple"))</f>
        <v/>
      </c>
    </row>
    <row r="4292">
      <c r="A4292" t="inlineStr">
        <is>
          <t>2022-08-19</t>
        </is>
      </c>
      <c r="B4292" t="inlineStr">
        <is>
          <t>10:49</t>
        </is>
      </c>
      <c r="C4292" t="n">
        <v>3036</v>
      </c>
      <c r="D4292" s="6" t="n">
        <v>17.6</v>
      </c>
      <c r="E4292" t="n">
        <v>41277</v>
      </c>
      <c r="F4292" s="6" t="n">
        <v>17.6</v>
      </c>
      <c r="G4292" t="n">
        <v>1</v>
      </c>
      <c r="H4292" s="6">
        <f>ROUND(G4292*F4292,2)</f>
        <v/>
      </c>
      <c r="I4292">
        <f>IF(ROUND(H4292-D4292,2)=0,1,0)</f>
        <v/>
      </c>
      <c r="J4292">
        <f>IF(F4292="","none",IF(G4292=1,"carte","multiple"))</f>
        <v/>
      </c>
    </row>
    <row r="4293">
      <c r="A4293" t="inlineStr">
        <is>
          <t>2022-08-19</t>
        </is>
      </c>
      <c r="B4293" t="inlineStr">
        <is>
          <t>11:00</t>
        </is>
      </c>
      <c r="C4293" t="n">
        <v>3036</v>
      </c>
      <c r="D4293" s="6" t="n">
        <v>9.800000000000001</v>
      </c>
      <c r="E4293" t="n">
        <v>41278</v>
      </c>
      <c r="F4293" s="6" t="n">
        <v>9.800000000000001</v>
      </c>
      <c r="G4293" t="n">
        <v>1</v>
      </c>
      <c r="H4293" s="6">
        <f>ROUND(G4293*F4293,2)</f>
        <v/>
      </c>
      <c r="I4293">
        <f>IF(ROUND(H4293-D4293,2)=0,1,0)</f>
        <v/>
      </c>
      <c r="J4293">
        <f>IF(F4293="","none",IF(G4293=1,"carte","multiple"))</f>
        <v/>
      </c>
    </row>
    <row r="4294">
      <c r="A4294" t="inlineStr">
        <is>
          <t>2022-08-19</t>
        </is>
      </c>
      <c r="B4294" t="inlineStr">
        <is>
          <t>12:00</t>
        </is>
      </c>
      <c r="C4294" t="n">
        <v>3036</v>
      </c>
      <c r="D4294" s="6" t="n">
        <v>17.6</v>
      </c>
      <c r="E4294" t="n">
        <v>41279</v>
      </c>
      <c r="F4294" s="6" t="n">
        <v>17.6</v>
      </c>
      <c r="G4294" t="n">
        <v>1</v>
      </c>
      <c r="H4294" s="6">
        <f>ROUND(G4294*F4294,2)</f>
        <v/>
      </c>
      <c r="I4294">
        <f>IF(ROUND(H4294-D4294,2)=0,1,0)</f>
        <v/>
      </c>
      <c r="J4294">
        <f>IF(F4294="","none",IF(G4294=1,"carte","multiple"))</f>
        <v/>
      </c>
    </row>
    <row r="4295">
      <c r="A4295" t="inlineStr">
        <is>
          <t>2022-08-19</t>
        </is>
      </c>
      <c r="B4295" t="inlineStr">
        <is>
          <t>12:00</t>
        </is>
      </c>
      <c r="C4295" t="n">
        <v>3036</v>
      </c>
      <c r="D4295" s="6" t="n">
        <v>19</v>
      </c>
      <c r="E4295" t="n">
        <v>41280</v>
      </c>
      <c r="F4295" s="6" t="n">
        <v>19</v>
      </c>
      <c r="G4295" t="n">
        <v>1</v>
      </c>
      <c r="H4295" s="6">
        <f>ROUND(G4295*F4295,2)</f>
        <v/>
      </c>
      <c r="I4295">
        <f>IF(ROUND(H4295-D4295,2)=0,1,0)</f>
        <v/>
      </c>
      <c r="J4295">
        <f>IF(F4295="","none",IF(G4295=1,"carte","multiple"))</f>
        <v/>
      </c>
    </row>
    <row r="4296">
      <c r="A4296" t="inlineStr">
        <is>
          <t>2022-08-19</t>
        </is>
      </c>
      <c r="B4296" t="inlineStr">
        <is>
          <t>12:21</t>
        </is>
      </c>
      <c r="C4296" t="n">
        <v>3036</v>
      </c>
      <c r="D4296" s="6" t="n">
        <v>2</v>
      </c>
      <c r="E4296" t="n">
        <v>41281</v>
      </c>
      <c r="F4296" s="6" t="n">
        <v>2</v>
      </c>
      <c r="G4296" t="n">
        <v>1</v>
      </c>
      <c r="H4296" s="6">
        <f>ROUND(G4296*F4296,2)</f>
        <v/>
      </c>
      <c r="I4296">
        <f>IF(ROUND(H4296-D4296,2)=0,1,0)</f>
        <v/>
      </c>
      <c r="J4296">
        <f>IF(F4296="","none",IF(G4296=1,"carte","multiple"))</f>
        <v/>
      </c>
    </row>
    <row r="4297">
      <c r="A4297" t="inlineStr">
        <is>
          <t>2022-08-19</t>
        </is>
      </c>
      <c r="B4297" t="inlineStr">
        <is>
          <t>12:47</t>
        </is>
      </c>
      <c r="C4297" t="n">
        <v>3036</v>
      </c>
      <c r="D4297" s="6" t="n">
        <v>5.6</v>
      </c>
      <c r="E4297" t="n">
        <v>41282</v>
      </c>
      <c r="F4297" s="6" t="n">
        <v>5.6</v>
      </c>
      <c r="G4297" t="n">
        <v>1</v>
      </c>
      <c r="H4297" s="6">
        <f>ROUND(G4297*F4297,2)</f>
        <v/>
      </c>
      <c r="I4297">
        <f>IF(ROUND(H4297-D4297,2)=0,1,0)</f>
        <v/>
      </c>
      <c r="J4297">
        <f>IF(F4297="","none",IF(G4297=1,"carte","multiple"))</f>
        <v/>
      </c>
    </row>
    <row r="4298">
      <c r="A4298" t="inlineStr">
        <is>
          <t>2022-08-19</t>
        </is>
      </c>
      <c r="B4298" t="inlineStr">
        <is>
          <t>12:47</t>
        </is>
      </c>
      <c r="C4298" t="n">
        <v>3036</v>
      </c>
      <c r="D4298" s="6" t="n">
        <v>3.9</v>
      </c>
      <c r="E4298" t="n">
        <v>41283</v>
      </c>
      <c r="F4298" s="6" t="n">
        <v>3.9</v>
      </c>
      <c r="G4298" t="n">
        <v>1</v>
      </c>
      <c r="H4298" s="6">
        <f>ROUND(G4298*F4298,2)</f>
        <v/>
      </c>
      <c r="I4298">
        <f>IF(ROUND(H4298-D4298,2)=0,1,0)</f>
        <v/>
      </c>
      <c r="J4298">
        <f>IF(F4298="","none",IF(G4298=1,"carte","multiple"))</f>
        <v/>
      </c>
    </row>
    <row r="4299">
      <c r="A4299" t="inlineStr">
        <is>
          <t>2022-08-19</t>
        </is>
      </c>
      <c r="B4299" t="inlineStr">
        <is>
          <t>17:27</t>
        </is>
      </c>
      <c r="C4299" t="n">
        <v>3036</v>
      </c>
      <c r="D4299" s="6" t="n">
        <v>6</v>
      </c>
      <c r="E4299" t="n">
        <v>41284</v>
      </c>
      <c r="F4299" s="6" t="n">
        <v>6</v>
      </c>
      <c r="G4299" t="n">
        <v>1</v>
      </c>
      <c r="H4299" s="6">
        <f>ROUND(G4299*F4299,2)</f>
        <v/>
      </c>
      <c r="I4299">
        <f>IF(ROUND(H4299-D4299,2)=0,1,0)</f>
        <v/>
      </c>
      <c r="J4299">
        <f>IF(F4299="","none",IF(G4299=1,"carte","multiple"))</f>
        <v/>
      </c>
    </row>
    <row r="4300">
      <c r="A4300" t="inlineStr">
        <is>
          <t>2022-08-19</t>
        </is>
      </c>
      <c r="B4300" t="inlineStr">
        <is>
          <t>17:30</t>
        </is>
      </c>
      <c r="C4300" t="n">
        <v>3036</v>
      </c>
      <c r="D4300" s="6" t="n">
        <v>8.4</v>
      </c>
      <c r="E4300" t="n">
        <v>41285</v>
      </c>
      <c r="F4300" s="6" t="n">
        <v>8.4</v>
      </c>
      <c r="G4300" t="n">
        <v>1</v>
      </c>
      <c r="H4300" s="6">
        <f>ROUND(G4300*F4300,2)</f>
        <v/>
      </c>
      <c r="I4300">
        <f>IF(ROUND(H4300-D4300,2)=0,1,0)</f>
        <v/>
      </c>
      <c r="J4300">
        <f>IF(F4300="","none",IF(G4300=1,"carte","multiple"))</f>
        <v/>
      </c>
    </row>
    <row r="4301">
      <c r="A4301" t="inlineStr">
        <is>
          <t>2022-08-19</t>
        </is>
      </c>
      <c r="B4301" t="inlineStr">
        <is>
          <t>17:38</t>
        </is>
      </c>
      <c r="C4301" t="n">
        <v>3036</v>
      </c>
      <c r="D4301" s="6" t="n">
        <v>1.4</v>
      </c>
      <c r="E4301" t="n">
        <v>41286</v>
      </c>
      <c r="F4301" s="6" t="n">
        <v>1.4</v>
      </c>
      <c r="G4301" t="n">
        <v>1</v>
      </c>
      <c r="H4301" s="6">
        <f>ROUND(G4301*F4301,2)</f>
        <v/>
      </c>
      <c r="I4301">
        <f>IF(ROUND(H4301-D4301,2)=0,1,0)</f>
        <v/>
      </c>
      <c r="J4301">
        <f>IF(F4301="","none",IF(G4301=1,"carte","multiple"))</f>
        <v/>
      </c>
    </row>
    <row r="4302">
      <c r="A4302" t="inlineStr">
        <is>
          <t>2022-08-19</t>
        </is>
      </c>
      <c r="B4302" t="inlineStr">
        <is>
          <t>18:00</t>
        </is>
      </c>
      <c r="C4302" t="n">
        <v>3036</v>
      </c>
      <c r="D4302" s="6" t="n">
        <v>7.8</v>
      </c>
      <c r="E4302" t="n">
        <v>41287</v>
      </c>
      <c r="F4302" s="6" t="n">
        <v>7.8</v>
      </c>
      <c r="G4302" t="n">
        <v>1</v>
      </c>
      <c r="H4302" s="6">
        <f>ROUND(G4302*F4302,2)</f>
        <v/>
      </c>
      <c r="I4302">
        <f>IF(ROUND(H4302-D4302,2)=0,1,0)</f>
        <v/>
      </c>
      <c r="J4302">
        <f>IF(F4302="","none",IF(G4302=1,"carte","multiple"))</f>
        <v/>
      </c>
    </row>
    <row r="4303">
      <c r="A4303" t="inlineStr">
        <is>
          <t>2022-08-19</t>
        </is>
      </c>
      <c r="B4303" t="inlineStr">
        <is>
          <t>18:14</t>
        </is>
      </c>
      <c r="C4303" t="n">
        <v>3036</v>
      </c>
      <c r="D4303" s="6" t="n">
        <v>3.9</v>
      </c>
      <c r="E4303" t="n">
        <v>41288</v>
      </c>
      <c r="F4303" s="6" t="n">
        <v>3.9</v>
      </c>
      <c r="G4303" t="n">
        <v>1</v>
      </c>
      <c r="H4303" s="6">
        <f>ROUND(G4303*F4303,2)</f>
        <v/>
      </c>
      <c r="I4303">
        <f>IF(ROUND(H4303-D4303,2)=0,1,0)</f>
        <v/>
      </c>
      <c r="J4303">
        <f>IF(F4303="","none",IF(G4303=1,"carte","multiple"))</f>
        <v/>
      </c>
    </row>
    <row r="4304">
      <c r="A4304" t="inlineStr">
        <is>
          <t>2022-08-19</t>
        </is>
      </c>
      <c r="B4304" t="inlineStr">
        <is>
          <t>18:17</t>
        </is>
      </c>
      <c r="C4304" t="n">
        <v>3036</v>
      </c>
      <c r="D4304" s="6" t="n">
        <v>3.9</v>
      </c>
      <c r="E4304" t="n">
        <v>41289</v>
      </c>
      <c r="F4304" s="6" t="n">
        <v>3.9</v>
      </c>
      <c r="G4304" t="n">
        <v>1</v>
      </c>
      <c r="H4304" s="6">
        <f>ROUND(G4304*F4304,2)</f>
        <v/>
      </c>
      <c r="I4304">
        <f>IF(ROUND(H4304-D4304,2)=0,1,0)</f>
        <v/>
      </c>
      <c r="J4304">
        <f>IF(F4304="","none",IF(G4304=1,"carte","multiple"))</f>
        <v/>
      </c>
    </row>
    <row r="4305">
      <c r="A4305" t="inlineStr">
        <is>
          <t>2022-08-19</t>
        </is>
      </c>
      <c r="B4305" t="inlineStr">
        <is>
          <t>18:18</t>
        </is>
      </c>
      <c r="C4305" t="n">
        <v>3036</v>
      </c>
      <c r="D4305" s="6" t="n">
        <v>1.4</v>
      </c>
      <c r="E4305" t="n">
        <v>41290</v>
      </c>
      <c r="F4305" s="6" t="n">
        <v>1.4</v>
      </c>
      <c r="G4305" t="n">
        <v>1</v>
      </c>
      <c r="H4305" s="6">
        <f>ROUND(G4305*F4305,2)</f>
        <v/>
      </c>
      <c r="I4305">
        <f>IF(ROUND(H4305-D4305,2)=0,1,0)</f>
        <v/>
      </c>
      <c r="J4305">
        <f>IF(F4305="","none",IF(G4305=1,"carte","multiple"))</f>
        <v/>
      </c>
    </row>
    <row r="4306">
      <c r="A4306" t="inlineStr">
        <is>
          <t>2022-08-19</t>
        </is>
      </c>
      <c r="B4306" t="inlineStr">
        <is>
          <t>18:31</t>
        </is>
      </c>
      <c r="C4306" t="n">
        <v>3036</v>
      </c>
      <c r="D4306" s="6" t="n">
        <v>1.4</v>
      </c>
      <c r="E4306" t="n">
        <v>41291</v>
      </c>
      <c r="F4306" s="6" t="n">
        <v>1.4</v>
      </c>
      <c r="G4306" t="n">
        <v>1</v>
      </c>
      <c r="H4306" s="6">
        <f>ROUND(G4306*F4306,2)</f>
        <v/>
      </c>
      <c r="I4306">
        <f>IF(ROUND(H4306-D4306,2)=0,1,0)</f>
        <v/>
      </c>
      <c r="J4306">
        <f>IF(F4306="","none",IF(G4306=1,"carte","multiple"))</f>
        <v/>
      </c>
    </row>
    <row r="4307">
      <c r="A4307" t="inlineStr">
        <is>
          <t>2022-08-19</t>
        </is>
      </c>
      <c r="B4307" t="inlineStr">
        <is>
          <t>18:32</t>
        </is>
      </c>
      <c r="C4307" t="n">
        <v>3036</v>
      </c>
      <c r="D4307" s="6" t="n">
        <v>5.2</v>
      </c>
      <c r="E4307" t="n">
        <v>41292</v>
      </c>
      <c r="F4307" s="6" t="n">
        <v>5.2</v>
      </c>
      <c r="G4307" t="n">
        <v>1</v>
      </c>
      <c r="H4307" s="6">
        <f>ROUND(G4307*F4307,2)</f>
        <v/>
      </c>
      <c r="I4307">
        <f>IF(ROUND(H4307-D4307,2)=0,1,0)</f>
        <v/>
      </c>
      <c r="J4307">
        <f>IF(F4307="","none",IF(G4307=1,"carte","multiple"))</f>
        <v/>
      </c>
    </row>
    <row r="4308">
      <c r="A4308" t="inlineStr">
        <is>
          <t>2022-08-19</t>
        </is>
      </c>
      <c r="B4308" t="inlineStr">
        <is>
          <t>18:33</t>
        </is>
      </c>
      <c r="C4308" t="n">
        <v>3036</v>
      </c>
      <c r="D4308" s="6" t="n">
        <v>19</v>
      </c>
      <c r="E4308" t="n">
        <v>41293</v>
      </c>
      <c r="F4308" s="6" t="n">
        <v>19</v>
      </c>
      <c r="G4308" t="n">
        <v>1</v>
      </c>
      <c r="H4308" s="6">
        <f>ROUND(G4308*F4308,2)</f>
        <v/>
      </c>
      <c r="I4308">
        <f>IF(ROUND(H4308-D4308,2)=0,1,0)</f>
        <v/>
      </c>
      <c r="J4308">
        <f>IF(F4308="","none",IF(G4308=1,"carte","multiple"))</f>
        <v/>
      </c>
    </row>
    <row r="4309">
      <c r="A4309" t="inlineStr">
        <is>
          <t>2022-08-19</t>
        </is>
      </c>
      <c r="B4309" t="inlineStr">
        <is>
          <t>18:34</t>
        </is>
      </c>
      <c r="C4309" t="n">
        <v>3036</v>
      </c>
      <c r="D4309" s="6" t="n">
        <v>38</v>
      </c>
      <c r="E4309" t="n">
        <v>41294</v>
      </c>
      <c r="F4309" s="6" t="n">
        <v>0.4</v>
      </c>
      <c r="G4309" t="n">
        <v>95</v>
      </c>
      <c r="H4309" s="6">
        <f>ROUND(G4309*F4309,2)</f>
        <v/>
      </c>
      <c r="I4309">
        <f>IF(ROUND(H4309-D4309,2)=0,1,0)</f>
        <v/>
      </c>
      <c r="J4309">
        <f>IF(F4309="","none",IF(G4309=1,"carte","multiple"))</f>
        <v/>
      </c>
    </row>
    <row r="4310">
      <c r="A4310" t="inlineStr">
        <is>
          <t>2022-08-19</t>
        </is>
      </c>
      <c r="B4310" t="inlineStr">
        <is>
          <t>18:34</t>
        </is>
      </c>
      <c r="C4310" t="n">
        <v>3036</v>
      </c>
      <c r="D4310" s="6" t="n">
        <v>28</v>
      </c>
      <c r="E4310" t="n">
        <v>41295</v>
      </c>
      <c r="F4310" s="6" t="n">
        <v>28</v>
      </c>
      <c r="G4310" t="n">
        <v>1</v>
      </c>
      <c r="H4310" s="6">
        <f>ROUND(G4310*F4310,2)</f>
        <v/>
      </c>
      <c r="I4310">
        <f>IF(ROUND(H4310-D4310,2)=0,1,0)</f>
        <v/>
      </c>
      <c r="J4310">
        <f>IF(F4310="","none",IF(G4310=1,"carte","multiple"))</f>
        <v/>
      </c>
    </row>
    <row r="4311">
      <c r="A4311" t="inlineStr">
        <is>
          <t>2022-08-19</t>
        </is>
      </c>
      <c r="B4311" t="inlineStr">
        <is>
          <t>18:34</t>
        </is>
      </c>
      <c r="C4311" t="n">
        <v>3036</v>
      </c>
      <c r="D4311" s="6" t="n">
        <v>24</v>
      </c>
      <c r="E4311" t="n">
        <v>41296</v>
      </c>
      <c r="F4311" s="6" t="n">
        <v>24</v>
      </c>
      <c r="G4311" t="n">
        <v>1</v>
      </c>
      <c r="H4311" s="6">
        <f>ROUND(G4311*F4311,2)</f>
        <v/>
      </c>
      <c r="I4311">
        <f>IF(ROUND(H4311-D4311,2)=0,1,0)</f>
        <v/>
      </c>
      <c r="J4311">
        <f>IF(F4311="","none",IF(G4311=1,"carte","multiple"))</f>
        <v/>
      </c>
    </row>
    <row r="4312">
      <c r="A4312" t="inlineStr">
        <is>
          <t>2022-08-19</t>
        </is>
      </c>
      <c r="B4312" t="inlineStr">
        <is>
          <t>19:15</t>
        </is>
      </c>
      <c r="C4312" t="n">
        <v>3036</v>
      </c>
      <c r="D4312" s="6" t="n">
        <v>15.9</v>
      </c>
      <c r="E4312" t="n">
        <v>41297</v>
      </c>
      <c r="F4312" s="6" t="n">
        <v>15.9</v>
      </c>
      <c r="G4312" t="n">
        <v>1</v>
      </c>
      <c r="H4312" s="6">
        <f>ROUND(G4312*F4312,2)</f>
        <v/>
      </c>
      <c r="I4312">
        <f>IF(ROUND(H4312-D4312,2)=0,1,0)</f>
        <v/>
      </c>
      <c r="J4312">
        <f>IF(F4312="","none",IF(G4312=1,"carte","multiple"))</f>
        <v/>
      </c>
    </row>
    <row r="4313">
      <c r="A4313" t="inlineStr">
        <is>
          <t>2022-08-19</t>
        </is>
      </c>
      <c r="B4313" t="inlineStr">
        <is>
          <t>19:15</t>
        </is>
      </c>
      <c r="C4313" t="n">
        <v>3036</v>
      </c>
      <c r="D4313" s="6" t="n">
        <v>19.9</v>
      </c>
      <c r="E4313" t="n">
        <v>41298</v>
      </c>
      <c r="F4313" s="6" t="n">
        <v>19.9</v>
      </c>
      <c r="G4313" t="n">
        <v>1</v>
      </c>
      <c r="H4313" s="6">
        <f>ROUND(G4313*F4313,2)</f>
        <v/>
      </c>
      <c r="I4313">
        <f>IF(ROUND(H4313-D4313,2)=0,1,0)</f>
        <v/>
      </c>
      <c r="J4313">
        <f>IF(F4313="","none",IF(G4313=1,"carte","multiple"))</f>
        <v/>
      </c>
    </row>
    <row r="4314">
      <c r="A4314" t="inlineStr">
        <is>
          <t>2022-08-19</t>
        </is>
      </c>
      <c r="B4314" t="inlineStr">
        <is>
          <t>19:15</t>
        </is>
      </c>
      <c r="C4314" t="n">
        <v>3036</v>
      </c>
      <c r="D4314" s="6" t="n">
        <v>17.6</v>
      </c>
      <c r="E4314" t="n">
        <v>41299</v>
      </c>
      <c r="F4314" s="6" t="n">
        <v>17.6</v>
      </c>
      <c r="G4314" t="n">
        <v>1</v>
      </c>
      <c r="H4314" s="6">
        <f>ROUND(G4314*F4314,2)</f>
        <v/>
      </c>
      <c r="I4314">
        <f>IF(ROUND(H4314-D4314,2)=0,1,0)</f>
        <v/>
      </c>
      <c r="J4314">
        <f>IF(F4314="","none",IF(G4314=1,"carte","multiple"))</f>
        <v/>
      </c>
    </row>
    <row r="4315">
      <c r="A4315" t="inlineStr">
        <is>
          <t>2022-08-19</t>
        </is>
      </c>
      <c r="B4315" t="inlineStr">
        <is>
          <t>19:38</t>
        </is>
      </c>
      <c r="C4315" t="n">
        <v>3036</v>
      </c>
      <c r="D4315" s="6" t="n">
        <v>2.9</v>
      </c>
      <c r="E4315" t="n">
        <v>41300</v>
      </c>
      <c r="F4315" s="6" t="n">
        <v>2.9</v>
      </c>
      <c r="G4315" t="n">
        <v>1</v>
      </c>
      <c r="H4315" s="6">
        <f>ROUND(G4315*F4315,2)</f>
        <v/>
      </c>
      <c r="I4315">
        <f>IF(ROUND(H4315-D4315,2)=0,1,0)</f>
        <v/>
      </c>
      <c r="J4315">
        <f>IF(F4315="","none",IF(G4315=1,"carte","multiple"))</f>
        <v/>
      </c>
    </row>
    <row r="4316">
      <c r="A4316" t="inlineStr">
        <is>
          <t>2022-08-19</t>
        </is>
      </c>
      <c r="B4316" t="inlineStr">
        <is>
          <t>19:59</t>
        </is>
      </c>
      <c r="C4316" t="n">
        <v>3036</v>
      </c>
      <c r="D4316" s="6" t="n">
        <v>8.699999999999999</v>
      </c>
      <c r="E4316" t="n">
        <v>41301</v>
      </c>
      <c r="F4316" s="6" t="n">
        <v>8.699999999999999</v>
      </c>
      <c r="G4316" t="n">
        <v>1</v>
      </c>
      <c r="H4316" s="6">
        <f>ROUND(G4316*F4316,2)</f>
        <v/>
      </c>
      <c r="I4316">
        <f>IF(ROUND(H4316-D4316,2)=0,1,0)</f>
        <v/>
      </c>
      <c r="J4316">
        <f>IF(F4316="","none",IF(G4316=1,"carte","multiple"))</f>
        <v/>
      </c>
    </row>
    <row r="4317">
      <c r="A4317" t="inlineStr">
        <is>
          <t>2022-08-19</t>
        </is>
      </c>
      <c r="B4317" t="inlineStr">
        <is>
          <t>19:59</t>
        </is>
      </c>
      <c r="C4317" t="n">
        <v>3036</v>
      </c>
      <c r="D4317" s="6" t="n">
        <v>27.8</v>
      </c>
      <c r="E4317" t="n">
        <v>41302</v>
      </c>
      <c r="F4317" s="6" t="n">
        <v>27.8</v>
      </c>
      <c r="G4317" t="n">
        <v>1</v>
      </c>
      <c r="H4317" s="6">
        <f>ROUND(G4317*F4317,2)</f>
        <v/>
      </c>
      <c r="I4317">
        <f>IF(ROUND(H4317-D4317,2)=0,1,0)</f>
        <v/>
      </c>
      <c r="J4317">
        <f>IF(F4317="","none",IF(G4317=1,"carte","multiple"))</f>
        <v/>
      </c>
    </row>
    <row r="4318">
      <c r="A4318" t="inlineStr">
        <is>
          <t>2022-08-19</t>
        </is>
      </c>
      <c r="B4318" t="inlineStr">
        <is>
          <t>19:59</t>
        </is>
      </c>
      <c r="C4318" t="n">
        <v>3036</v>
      </c>
      <c r="D4318" s="6" t="n">
        <v>19.9</v>
      </c>
      <c r="E4318" t="n">
        <v>41303</v>
      </c>
      <c r="F4318" s="6" t="n">
        <v>19.9</v>
      </c>
      <c r="G4318" t="n">
        <v>1</v>
      </c>
      <c r="H4318" s="6">
        <f>ROUND(G4318*F4318,2)</f>
        <v/>
      </c>
      <c r="I4318">
        <f>IF(ROUND(H4318-D4318,2)=0,1,0)</f>
        <v/>
      </c>
      <c r="J4318">
        <f>IF(F4318="","none",IF(G4318=1,"carte","multiple"))</f>
        <v/>
      </c>
    </row>
    <row r="4319">
      <c r="A4319" t="inlineStr">
        <is>
          <t>2022-08-19</t>
        </is>
      </c>
      <c r="B4319" t="inlineStr">
        <is>
          <t>19:59</t>
        </is>
      </c>
      <c r="C4319" t="n">
        <v>3036</v>
      </c>
      <c r="D4319" s="6" t="n">
        <v>28</v>
      </c>
      <c r="E4319" t="n">
        <v>41304</v>
      </c>
      <c r="F4319" s="6" t="n">
        <v>28</v>
      </c>
      <c r="G4319" t="n">
        <v>1</v>
      </c>
      <c r="H4319" s="6">
        <f>ROUND(G4319*F4319,2)</f>
        <v/>
      </c>
      <c r="I4319">
        <f>IF(ROUND(H4319-D4319,2)=0,1,0)</f>
        <v/>
      </c>
      <c r="J4319">
        <f>IF(F4319="","none",IF(G4319=1,"carte","multiple"))</f>
        <v/>
      </c>
    </row>
    <row r="4320">
      <c r="A4320" t="inlineStr">
        <is>
          <t>2022-08-19</t>
        </is>
      </c>
      <c r="B4320" t="inlineStr">
        <is>
          <t>19:59</t>
        </is>
      </c>
      <c r="C4320" t="n">
        <v>3036</v>
      </c>
      <c r="D4320" s="6" t="n">
        <v>10.4</v>
      </c>
      <c r="E4320" t="n">
        <v>41305</v>
      </c>
      <c r="F4320" s="6" t="n">
        <v>0.4</v>
      </c>
      <c r="G4320" t="n">
        <v>26</v>
      </c>
      <c r="H4320" s="6">
        <f>ROUND(G4320*F4320,2)</f>
        <v/>
      </c>
      <c r="I4320">
        <f>IF(ROUND(H4320-D4320,2)=0,1,0)</f>
        <v/>
      </c>
      <c r="J4320">
        <f>IF(F4320="","none",IF(G4320=1,"carte","multiple"))</f>
        <v/>
      </c>
    </row>
    <row r="4321">
      <c r="A4321" t="inlineStr">
        <is>
          <t>2022-08-19</t>
        </is>
      </c>
      <c r="B4321" t="inlineStr">
        <is>
          <t>20:04</t>
        </is>
      </c>
      <c r="C4321" t="n">
        <v>3036</v>
      </c>
      <c r="D4321" s="6" t="n">
        <v>5.8</v>
      </c>
      <c r="E4321" t="n">
        <v>41306</v>
      </c>
      <c r="F4321" s="6" t="n">
        <v>5.8</v>
      </c>
      <c r="G4321" t="n">
        <v>1</v>
      </c>
      <c r="H4321" s="6">
        <f>ROUND(G4321*F4321,2)</f>
        <v/>
      </c>
      <c r="I4321">
        <f>IF(ROUND(H4321-D4321,2)=0,1,0)</f>
        <v/>
      </c>
      <c r="J4321">
        <f>IF(F4321="","none",IF(G4321=1,"carte","multiple"))</f>
        <v/>
      </c>
    </row>
    <row r="4322">
      <c r="A4322" t="inlineStr">
        <is>
          <t>2022-08-19</t>
        </is>
      </c>
      <c r="B4322" t="inlineStr">
        <is>
          <t>20:25</t>
        </is>
      </c>
      <c r="C4322" t="n">
        <v>3036</v>
      </c>
      <c r="D4322" s="6" t="n">
        <v>24</v>
      </c>
      <c r="E4322" t="n">
        <v>41307</v>
      </c>
      <c r="F4322" s="6" t="n">
        <v>24</v>
      </c>
      <c r="G4322" t="n">
        <v>1</v>
      </c>
      <c r="H4322" s="6">
        <f>ROUND(G4322*F4322,2)</f>
        <v/>
      </c>
      <c r="I4322">
        <f>IF(ROUND(H4322-D4322,2)=0,1,0)</f>
        <v/>
      </c>
      <c r="J4322">
        <f>IF(F4322="","none",IF(G4322=1,"carte","multiple"))</f>
        <v/>
      </c>
    </row>
    <row r="4323">
      <c r="A4323" t="inlineStr">
        <is>
          <t>2022-08-19</t>
        </is>
      </c>
      <c r="B4323" t="inlineStr">
        <is>
          <t>20:25</t>
        </is>
      </c>
      <c r="C4323" t="n">
        <v>3036</v>
      </c>
      <c r="D4323" s="6" t="n">
        <v>3.4</v>
      </c>
      <c r="E4323" t="n">
        <v>41308</v>
      </c>
      <c r="F4323" s="6" t="n">
        <v>3.4</v>
      </c>
      <c r="G4323" t="n">
        <v>1</v>
      </c>
      <c r="H4323" s="6">
        <f>ROUND(G4323*F4323,2)</f>
        <v/>
      </c>
      <c r="I4323">
        <f>IF(ROUND(H4323-D4323,2)=0,1,0)</f>
        <v/>
      </c>
      <c r="J4323">
        <f>IF(F4323="","none",IF(G4323=1,"carte","multiple"))</f>
        <v/>
      </c>
    </row>
    <row r="4324">
      <c r="A4324" t="inlineStr">
        <is>
          <t>2022-08-19</t>
        </is>
      </c>
      <c r="B4324" t="inlineStr">
        <is>
          <t>20:25</t>
        </is>
      </c>
      <c r="C4324" t="n">
        <v>3036</v>
      </c>
      <c r="D4324" s="6" t="n">
        <v>6.9</v>
      </c>
      <c r="E4324" t="n">
        <v>41309</v>
      </c>
      <c r="F4324" s="6" t="n">
        <v>6.9</v>
      </c>
      <c r="G4324" t="n">
        <v>1</v>
      </c>
      <c r="H4324" s="6">
        <f>ROUND(G4324*F4324,2)</f>
        <v/>
      </c>
      <c r="I4324">
        <f>IF(ROUND(H4324-D4324,2)=0,1,0)</f>
        <v/>
      </c>
      <c r="J4324">
        <f>IF(F4324="","none",IF(G4324=1,"carte","multiple"))</f>
        <v/>
      </c>
    </row>
    <row r="4325">
      <c r="A4325" t="inlineStr">
        <is>
          <t>2022-08-19</t>
        </is>
      </c>
      <c r="B4325" t="inlineStr">
        <is>
          <t>20:25</t>
        </is>
      </c>
      <c r="C4325" t="n">
        <v>3036</v>
      </c>
      <c r="D4325" s="6" t="n">
        <v>19</v>
      </c>
      <c r="E4325" t="n">
        <v>41310</v>
      </c>
      <c r="F4325" s="6" t="n">
        <v>19</v>
      </c>
      <c r="G4325" t="n">
        <v>1</v>
      </c>
      <c r="H4325" s="6">
        <f>ROUND(G4325*F4325,2)</f>
        <v/>
      </c>
      <c r="I4325">
        <f>IF(ROUND(H4325-D4325,2)=0,1,0)</f>
        <v/>
      </c>
      <c r="J4325">
        <f>IF(F4325="","none",IF(G4325=1,"carte","multiple"))</f>
        <v/>
      </c>
    </row>
    <row r="4326">
      <c r="A4326" t="inlineStr">
        <is>
          <t>2022-08-19</t>
        </is>
      </c>
      <c r="B4326" t="inlineStr">
        <is>
          <t>20:25</t>
        </is>
      </c>
      <c r="C4326" t="n">
        <v>3036</v>
      </c>
      <c r="D4326" s="6" t="n">
        <v>17.6</v>
      </c>
      <c r="E4326" t="n">
        <v>41311</v>
      </c>
      <c r="F4326" s="6" t="n">
        <v>17.6</v>
      </c>
      <c r="G4326" t="n">
        <v>1</v>
      </c>
      <c r="H4326" s="6">
        <f>ROUND(G4326*F4326,2)</f>
        <v/>
      </c>
      <c r="I4326">
        <f>IF(ROUND(H4326-D4326,2)=0,1,0)</f>
        <v/>
      </c>
      <c r="J4326">
        <f>IF(F4326="","none",IF(G4326=1,"carte","multiple"))</f>
        <v/>
      </c>
    </row>
    <row r="4327">
      <c r="A4327" t="inlineStr">
        <is>
          <t>2022-08-19</t>
        </is>
      </c>
      <c r="B4327" t="inlineStr">
        <is>
          <t>20:25</t>
        </is>
      </c>
      <c r="C4327" t="n">
        <v>3036</v>
      </c>
      <c r="D4327" s="6" t="n">
        <v>16.9</v>
      </c>
      <c r="E4327" t="n">
        <v>41312</v>
      </c>
      <c r="F4327" s="6" t="n">
        <v>16.9</v>
      </c>
      <c r="G4327" t="n">
        <v>1</v>
      </c>
      <c r="H4327" s="6">
        <f>ROUND(G4327*F4327,2)</f>
        <v/>
      </c>
      <c r="I4327">
        <f>IF(ROUND(H4327-D4327,2)=0,1,0)</f>
        <v/>
      </c>
      <c r="J4327">
        <f>IF(F4327="","none",IF(G4327=1,"carte","multiple"))</f>
        <v/>
      </c>
    </row>
    <row r="4328">
      <c r="A4328" t="inlineStr">
        <is>
          <t>2022-08-19</t>
        </is>
      </c>
      <c r="B4328" t="inlineStr">
        <is>
          <t>20:25</t>
        </is>
      </c>
      <c r="C4328" t="n">
        <v>3036</v>
      </c>
      <c r="D4328" s="6" t="n">
        <v>6</v>
      </c>
      <c r="E4328" t="n">
        <v>41313</v>
      </c>
      <c r="F4328" s="6" t="n">
        <v>6</v>
      </c>
      <c r="G4328" t="n">
        <v>1</v>
      </c>
      <c r="H4328" s="6">
        <f>ROUND(G4328*F4328,2)</f>
        <v/>
      </c>
      <c r="I4328">
        <f>IF(ROUND(H4328-D4328,2)=0,1,0)</f>
        <v/>
      </c>
      <c r="J4328">
        <f>IF(F4328="","none",IF(G4328=1,"carte","multiple"))</f>
        <v/>
      </c>
    </row>
    <row r="4329">
      <c r="A4329" t="inlineStr">
        <is>
          <t>2022-08-19</t>
        </is>
      </c>
      <c r="B4329" t="inlineStr">
        <is>
          <t>20:25</t>
        </is>
      </c>
      <c r="C4329" t="n">
        <v>3036</v>
      </c>
      <c r="D4329" s="6" t="n">
        <v>5.9</v>
      </c>
      <c r="E4329" t="n">
        <v>41314</v>
      </c>
      <c r="F4329" s="6" t="n">
        <v>5.9</v>
      </c>
      <c r="G4329" t="n">
        <v>1</v>
      </c>
      <c r="H4329" s="6">
        <f>ROUND(G4329*F4329,2)</f>
        <v/>
      </c>
      <c r="I4329">
        <f>IF(ROUND(H4329-D4329,2)=0,1,0)</f>
        <v/>
      </c>
      <c r="J4329">
        <f>IF(F4329="","none",IF(G4329=1,"carte","multiple"))</f>
        <v/>
      </c>
    </row>
    <row r="4330">
      <c r="A4330" t="inlineStr">
        <is>
          <t>2022-08-20</t>
        </is>
      </c>
      <c r="B4330" t="inlineStr">
        <is>
          <t>10:26</t>
        </is>
      </c>
      <c r="C4330" t="n">
        <v>3037</v>
      </c>
      <c r="D4330" s="6" t="n">
        <v>3.9</v>
      </c>
      <c r="E4330" t="n">
        <v>41317</v>
      </c>
      <c r="F4330" s="6" t="n">
        <v>3.9</v>
      </c>
      <c r="G4330" t="n">
        <v>1</v>
      </c>
      <c r="H4330" s="6">
        <f>ROUND(G4330*F4330,2)</f>
        <v/>
      </c>
      <c r="I4330">
        <f>IF(ROUND(H4330-D4330,2)=0,1,0)</f>
        <v/>
      </c>
      <c r="J4330">
        <f>IF(F4330="","none",IF(G4330=1,"carte","multiple"))</f>
        <v/>
      </c>
    </row>
    <row r="4331">
      <c r="A4331" t="inlineStr">
        <is>
          <t>2022-08-20</t>
        </is>
      </c>
      <c r="B4331" t="inlineStr">
        <is>
          <t>10:33</t>
        </is>
      </c>
      <c r="C4331" t="n">
        <v>3037</v>
      </c>
      <c r="D4331" s="6" t="n">
        <v>5.9</v>
      </c>
      <c r="E4331" t="n">
        <v>41318</v>
      </c>
      <c r="F4331" s="6" t="n">
        <v>5.9</v>
      </c>
      <c r="G4331" t="n">
        <v>1</v>
      </c>
      <c r="H4331" s="6">
        <f>ROUND(G4331*F4331,2)</f>
        <v/>
      </c>
      <c r="I4331">
        <f>IF(ROUND(H4331-D4331,2)=0,1,0)</f>
        <v/>
      </c>
      <c r="J4331">
        <f>IF(F4331="","none",IF(G4331=1,"carte","multiple"))</f>
        <v/>
      </c>
    </row>
    <row r="4332">
      <c r="A4332" t="inlineStr">
        <is>
          <t>2022-08-20</t>
        </is>
      </c>
      <c r="B4332" t="inlineStr">
        <is>
          <t>10:56</t>
        </is>
      </c>
      <c r="C4332" t="n">
        <v>3037</v>
      </c>
      <c r="D4332" s="6" t="n">
        <v>17.6</v>
      </c>
      <c r="E4332" t="n">
        <v>41319</v>
      </c>
      <c r="F4332" s="6" t="n">
        <v>17.6</v>
      </c>
      <c r="G4332" t="n">
        <v>1</v>
      </c>
      <c r="H4332" s="6">
        <f>ROUND(G4332*F4332,2)</f>
        <v/>
      </c>
      <c r="I4332">
        <f>IF(ROUND(H4332-D4332,2)=0,1,0)</f>
        <v/>
      </c>
      <c r="J4332">
        <f>IF(F4332="","none",IF(G4332=1,"carte","multiple"))</f>
        <v/>
      </c>
    </row>
    <row r="4333">
      <c r="A4333" t="inlineStr">
        <is>
          <t>2022-08-20</t>
        </is>
      </c>
      <c r="B4333" t="inlineStr">
        <is>
          <t>12:18</t>
        </is>
      </c>
      <c r="C4333" t="n">
        <v>3037</v>
      </c>
      <c r="D4333" s="6" t="n">
        <v>8.699999999999999</v>
      </c>
      <c r="E4333" t="n">
        <v>41320</v>
      </c>
      <c r="F4333" s="6" t="n">
        <v>8.699999999999999</v>
      </c>
      <c r="G4333" t="n">
        <v>1</v>
      </c>
      <c r="H4333" s="6">
        <f>ROUND(G4333*F4333,2)</f>
        <v/>
      </c>
      <c r="I4333">
        <f>IF(ROUND(H4333-D4333,2)=0,1,0)</f>
        <v/>
      </c>
      <c r="J4333">
        <f>IF(F4333="","none",IF(G4333=1,"carte","multiple"))</f>
        <v/>
      </c>
    </row>
    <row r="4334">
      <c r="A4334" t="inlineStr">
        <is>
          <t>2022-08-20</t>
        </is>
      </c>
      <c r="B4334" t="inlineStr">
        <is>
          <t>12:23</t>
        </is>
      </c>
      <c r="C4334" t="n">
        <v>3037</v>
      </c>
      <c r="D4334" s="6" t="n">
        <v>2.2</v>
      </c>
      <c r="E4334" t="n">
        <v>41321</v>
      </c>
      <c r="F4334" s="6" t="n">
        <v>2.2</v>
      </c>
      <c r="G4334" t="n">
        <v>1</v>
      </c>
      <c r="H4334" s="6">
        <f>ROUND(G4334*F4334,2)</f>
        <v/>
      </c>
      <c r="I4334">
        <f>IF(ROUND(H4334-D4334,2)=0,1,0)</f>
        <v/>
      </c>
      <c r="J4334">
        <f>IF(F4334="","none",IF(G4334=1,"carte","multiple"))</f>
        <v/>
      </c>
    </row>
    <row r="4335">
      <c r="A4335" t="inlineStr">
        <is>
          <t>2022-08-20</t>
        </is>
      </c>
      <c r="B4335" t="inlineStr">
        <is>
          <t>12:25</t>
        </is>
      </c>
      <c r="C4335" t="n">
        <v>3037</v>
      </c>
      <c r="D4335" s="6" t="n">
        <v>5.8</v>
      </c>
      <c r="E4335" t="n">
        <v>41322</v>
      </c>
      <c r="F4335" s="6" t="n">
        <v>5.8</v>
      </c>
      <c r="G4335" t="n">
        <v>1</v>
      </c>
      <c r="H4335" s="6">
        <f>ROUND(G4335*F4335,2)</f>
        <v/>
      </c>
      <c r="I4335">
        <f>IF(ROUND(H4335-D4335,2)=0,1,0)</f>
        <v/>
      </c>
      <c r="J4335">
        <f>IF(F4335="","none",IF(G4335=1,"carte","multiple"))</f>
        <v/>
      </c>
    </row>
    <row r="4336">
      <c r="A4336" t="inlineStr">
        <is>
          <t>2022-08-20</t>
        </is>
      </c>
      <c r="B4336" t="inlineStr">
        <is>
          <t>12:25</t>
        </is>
      </c>
      <c r="C4336" t="n">
        <v>3037</v>
      </c>
      <c r="D4336" s="6" t="n">
        <v>4.6</v>
      </c>
      <c r="E4336" t="n">
        <v>41323</v>
      </c>
      <c r="F4336" s="6" t="n">
        <v>4.6</v>
      </c>
      <c r="G4336" t="n">
        <v>1</v>
      </c>
      <c r="H4336" s="6">
        <f>ROUND(G4336*F4336,2)</f>
        <v/>
      </c>
      <c r="I4336">
        <f>IF(ROUND(H4336-D4336,2)=0,1,0)</f>
        <v/>
      </c>
      <c r="J4336">
        <f>IF(F4336="","none",IF(G4336=1,"carte","multiple"))</f>
        <v/>
      </c>
    </row>
    <row r="4337">
      <c r="A4337" t="inlineStr">
        <is>
          <t>2022-08-20</t>
        </is>
      </c>
      <c r="B4337" t="inlineStr">
        <is>
          <t>12:25</t>
        </is>
      </c>
      <c r="C4337" t="n">
        <v>3037</v>
      </c>
      <c r="D4337" s="6" t="n">
        <v>18</v>
      </c>
      <c r="E4337" t="n">
        <v>41324</v>
      </c>
      <c r="F4337" s="6" t="n">
        <v>18</v>
      </c>
      <c r="G4337" t="n">
        <v>1</v>
      </c>
      <c r="H4337" s="6">
        <f>ROUND(G4337*F4337,2)</f>
        <v/>
      </c>
      <c r="I4337">
        <f>IF(ROUND(H4337-D4337,2)=0,1,0)</f>
        <v/>
      </c>
      <c r="J4337">
        <f>IF(F4337="","none",IF(G4337=1,"carte","multiple"))</f>
        <v/>
      </c>
    </row>
    <row r="4338">
      <c r="A4338" t="inlineStr">
        <is>
          <t>2022-08-20</t>
        </is>
      </c>
      <c r="B4338" t="inlineStr">
        <is>
          <t>12:25</t>
        </is>
      </c>
      <c r="C4338" t="n">
        <v>3037</v>
      </c>
      <c r="D4338" s="6" t="n">
        <v>19</v>
      </c>
      <c r="E4338" t="n">
        <v>41325</v>
      </c>
      <c r="F4338" s="6" t="n">
        <v>19</v>
      </c>
      <c r="G4338" t="n">
        <v>1</v>
      </c>
      <c r="H4338" s="6">
        <f>ROUND(G4338*F4338,2)</f>
        <v/>
      </c>
      <c r="I4338">
        <f>IF(ROUND(H4338-D4338,2)=0,1,0)</f>
        <v/>
      </c>
      <c r="J4338">
        <f>IF(F4338="","none",IF(G4338=1,"carte","multiple"))</f>
        <v/>
      </c>
    </row>
    <row r="4339">
      <c r="A4339" t="inlineStr">
        <is>
          <t>2022-08-20</t>
        </is>
      </c>
      <c r="B4339" t="inlineStr">
        <is>
          <t>12:25</t>
        </is>
      </c>
      <c r="C4339" t="n">
        <v>3037</v>
      </c>
      <c r="D4339" s="6" t="n">
        <v>28.6</v>
      </c>
      <c r="E4339" t="n">
        <v>41326</v>
      </c>
      <c r="F4339" s="6" t="n">
        <v>28.6</v>
      </c>
      <c r="G4339" t="n">
        <v>1</v>
      </c>
      <c r="H4339" s="6">
        <f>ROUND(G4339*F4339,2)</f>
        <v/>
      </c>
      <c r="I4339">
        <f>IF(ROUND(H4339-D4339,2)=0,1,0)</f>
        <v/>
      </c>
      <c r="J4339">
        <f>IF(F4339="","none",IF(G4339=1,"carte","multiple"))</f>
        <v/>
      </c>
    </row>
    <row r="4340">
      <c r="A4340" t="inlineStr">
        <is>
          <t>2022-08-20</t>
        </is>
      </c>
      <c r="B4340" t="inlineStr">
        <is>
          <t>12:26</t>
        </is>
      </c>
      <c r="C4340" t="n">
        <v>3037</v>
      </c>
      <c r="D4340" s="6" t="n">
        <v>10.4</v>
      </c>
      <c r="E4340" t="n">
        <v>41327</v>
      </c>
      <c r="F4340" s="6" t="n">
        <v>0.4</v>
      </c>
      <c r="G4340" t="n">
        <v>26</v>
      </c>
      <c r="H4340" s="6">
        <f>ROUND(G4340*F4340,2)</f>
        <v/>
      </c>
      <c r="I4340">
        <f>IF(ROUND(H4340-D4340,2)=0,1,0)</f>
        <v/>
      </c>
      <c r="J4340">
        <f>IF(F4340="","none",IF(G4340=1,"carte","multiple"))</f>
        <v/>
      </c>
    </row>
    <row r="4341">
      <c r="A4341" t="inlineStr">
        <is>
          <t>2022-08-20</t>
        </is>
      </c>
      <c r="B4341" t="inlineStr">
        <is>
          <t>17:35</t>
        </is>
      </c>
      <c r="C4341" t="n">
        <v>3037</v>
      </c>
      <c r="D4341" s="6" t="n">
        <v>3.9</v>
      </c>
      <c r="E4341" t="n">
        <v>41329</v>
      </c>
      <c r="F4341" s="6" t="n">
        <v>3.9</v>
      </c>
      <c r="G4341" t="n">
        <v>1</v>
      </c>
      <c r="H4341" s="6">
        <f>ROUND(G4341*F4341,2)</f>
        <v/>
      </c>
      <c r="I4341">
        <f>IF(ROUND(H4341-D4341,2)=0,1,0)</f>
        <v/>
      </c>
      <c r="J4341">
        <f>IF(F4341="","none",IF(G4341=1,"carte","multiple"))</f>
        <v/>
      </c>
    </row>
    <row r="4342">
      <c r="A4342" t="inlineStr">
        <is>
          <t>2022-08-20</t>
        </is>
      </c>
      <c r="B4342" t="inlineStr">
        <is>
          <t>17:36</t>
        </is>
      </c>
      <c r="C4342" t="n">
        <v>3037</v>
      </c>
      <c r="D4342" s="6" t="n">
        <v>3.9</v>
      </c>
      <c r="E4342" t="n">
        <v>41330</v>
      </c>
      <c r="F4342" s="6" t="n">
        <v>3.9</v>
      </c>
      <c r="G4342" t="n">
        <v>1</v>
      </c>
      <c r="H4342" s="6">
        <f>ROUND(G4342*F4342,2)</f>
        <v/>
      </c>
      <c r="I4342">
        <f>IF(ROUND(H4342-D4342,2)=0,1,0)</f>
        <v/>
      </c>
      <c r="J4342">
        <f>IF(F4342="","none",IF(G4342=1,"carte","multiple"))</f>
        <v/>
      </c>
    </row>
    <row r="4343">
      <c r="A4343" t="inlineStr">
        <is>
          <t>2022-08-20</t>
        </is>
      </c>
      <c r="B4343" t="inlineStr">
        <is>
          <t>17:36</t>
        </is>
      </c>
      <c r="C4343" t="n">
        <v>3037</v>
      </c>
      <c r="D4343" s="6" t="n">
        <v>3.8</v>
      </c>
      <c r="E4343" t="n">
        <v>41331</v>
      </c>
      <c r="F4343" s="6" t="n">
        <v>3.8</v>
      </c>
      <c r="G4343" t="n">
        <v>1</v>
      </c>
      <c r="H4343" s="6">
        <f>ROUND(G4343*F4343,2)</f>
        <v/>
      </c>
      <c r="I4343">
        <f>IF(ROUND(H4343-D4343,2)=0,1,0)</f>
        <v/>
      </c>
      <c r="J4343">
        <f>IF(F4343="","none",IF(G4343=1,"carte","multiple"))</f>
        <v/>
      </c>
    </row>
    <row r="4344">
      <c r="A4344" t="inlineStr">
        <is>
          <t>2022-08-20</t>
        </is>
      </c>
      <c r="B4344" t="inlineStr">
        <is>
          <t>17:36</t>
        </is>
      </c>
      <c r="C4344" t="n">
        <v>3037</v>
      </c>
      <c r="D4344" s="6" t="n">
        <v>12</v>
      </c>
      <c r="E4344" t="n">
        <v>41332</v>
      </c>
      <c r="F4344" s="6" t="n">
        <v>12</v>
      </c>
      <c r="G4344" t="n">
        <v>1</v>
      </c>
      <c r="H4344" s="6">
        <f>ROUND(G4344*F4344,2)</f>
        <v/>
      </c>
      <c r="I4344">
        <f>IF(ROUND(H4344-D4344,2)=0,1,0)</f>
        <v/>
      </c>
      <c r="J4344">
        <f>IF(F4344="","none",IF(G4344=1,"carte","multiple"))</f>
        <v/>
      </c>
    </row>
    <row r="4345">
      <c r="A4345" t="inlineStr">
        <is>
          <t>2022-08-20</t>
        </is>
      </c>
      <c r="B4345" t="inlineStr">
        <is>
          <t>17:36</t>
        </is>
      </c>
      <c r="C4345" t="n">
        <v>3037</v>
      </c>
      <c r="D4345" s="6" t="n">
        <v>17.6</v>
      </c>
      <c r="E4345" t="n">
        <v>41333</v>
      </c>
      <c r="F4345" s="6" t="n">
        <v>17.6</v>
      </c>
      <c r="G4345" t="n">
        <v>1</v>
      </c>
      <c r="H4345" s="6">
        <f>ROUND(G4345*F4345,2)</f>
        <v/>
      </c>
      <c r="I4345">
        <f>IF(ROUND(H4345-D4345,2)=0,1,0)</f>
        <v/>
      </c>
      <c r="J4345">
        <f>IF(F4345="","none",IF(G4345=1,"carte","multiple"))</f>
        <v/>
      </c>
    </row>
    <row r="4346">
      <c r="A4346" t="inlineStr">
        <is>
          <t>2022-08-20</t>
        </is>
      </c>
      <c r="B4346" t="inlineStr">
        <is>
          <t>17:49</t>
        </is>
      </c>
      <c r="C4346" t="n">
        <v>3037</v>
      </c>
      <c r="D4346" s="6" t="n">
        <v>8.800000000000001</v>
      </c>
      <c r="E4346" t="n">
        <v>41334</v>
      </c>
      <c r="F4346" s="6" t="n">
        <v>8.800000000000001</v>
      </c>
      <c r="G4346" t="n">
        <v>1</v>
      </c>
      <c r="H4346" s="6">
        <f>ROUND(G4346*F4346,2)</f>
        <v/>
      </c>
      <c r="I4346">
        <f>IF(ROUND(H4346-D4346,2)=0,1,0)</f>
        <v/>
      </c>
      <c r="J4346">
        <f>IF(F4346="","none",IF(G4346=1,"carte","multiple"))</f>
        <v/>
      </c>
    </row>
    <row r="4347">
      <c r="A4347" t="inlineStr">
        <is>
          <t>2022-08-20</t>
        </is>
      </c>
      <c r="B4347" t="inlineStr">
        <is>
          <t>18:08</t>
        </is>
      </c>
      <c r="C4347" t="n">
        <v>3037</v>
      </c>
      <c r="D4347" s="6" t="n">
        <v>17.6</v>
      </c>
      <c r="E4347" t="n">
        <v>41335</v>
      </c>
      <c r="F4347" s="6" t="n">
        <v>17.6</v>
      </c>
      <c r="G4347" t="n">
        <v>1</v>
      </c>
      <c r="H4347" s="6">
        <f>ROUND(G4347*F4347,2)</f>
        <v/>
      </c>
      <c r="I4347">
        <f>IF(ROUND(H4347-D4347,2)=0,1,0)</f>
        <v/>
      </c>
      <c r="J4347">
        <f>IF(F4347="","none",IF(G4347=1,"carte","multiple"))</f>
        <v/>
      </c>
    </row>
    <row r="4348">
      <c r="A4348" t="inlineStr">
        <is>
          <t>2022-08-20</t>
        </is>
      </c>
      <c r="B4348" t="inlineStr">
        <is>
          <t>18:08</t>
        </is>
      </c>
      <c r="C4348" t="n">
        <v>3037</v>
      </c>
      <c r="D4348" s="6" t="n">
        <v>19.9</v>
      </c>
      <c r="E4348" t="n">
        <v>41336</v>
      </c>
      <c r="F4348" s="6" t="n">
        <v>19.9</v>
      </c>
      <c r="G4348" t="n">
        <v>1</v>
      </c>
      <c r="H4348" s="6">
        <f>ROUND(G4348*F4348,2)</f>
        <v/>
      </c>
      <c r="I4348">
        <f>IF(ROUND(H4348-D4348,2)=0,1,0)</f>
        <v/>
      </c>
      <c r="J4348">
        <f>IF(F4348="","none",IF(G4348=1,"carte","multiple"))</f>
        <v/>
      </c>
    </row>
    <row r="4349">
      <c r="A4349" t="inlineStr">
        <is>
          <t>2022-08-20</t>
        </is>
      </c>
      <c r="B4349" t="inlineStr">
        <is>
          <t>18:08</t>
        </is>
      </c>
      <c r="C4349" t="n">
        <v>3037</v>
      </c>
      <c r="D4349" s="6" t="n">
        <v>3.9</v>
      </c>
      <c r="E4349" t="n">
        <v>41337</v>
      </c>
      <c r="F4349" s="6" t="n">
        <v>3.9</v>
      </c>
      <c r="G4349" t="n">
        <v>1</v>
      </c>
      <c r="H4349" s="6">
        <f>ROUND(G4349*F4349,2)</f>
        <v/>
      </c>
      <c r="I4349">
        <f>IF(ROUND(H4349-D4349,2)=0,1,0)</f>
        <v/>
      </c>
      <c r="J4349">
        <f>IF(F4349="","none",IF(G4349=1,"carte","multiple"))</f>
        <v/>
      </c>
    </row>
    <row r="4350">
      <c r="A4350" t="inlineStr">
        <is>
          <t>2022-08-20</t>
        </is>
      </c>
      <c r="B4350" t="inlineStr">
        <is>
          <t>18:08</t>
        </is>
      </c>
      <c r="C4350" t="n">
        <v>3037</v>
      </c>
      <c r="D4350" s="6" t="n">
        <v>7.5</v>
      </c>
      <c r="E4350" t="n">
        <v>41338</v>
      </c>
      <c r="F4350" s="6" t="n">
        <v>7.5</v>
      </c>
      <c r="G4350" t="n">
        <v>1</v>
      </c>
      <c r="H4350" s="6">
        <f>ROUND(G4350*F4350,2)</f>
        <v/>
      </c>
      <c r="I4350">
        <f>IF(ROUND(H4350-D4350,2)=0,1,0)</f>
        <v/>
      </c>
      <c r="J4350">
        <f>IF(F4350="","none",IF(G4350=1,"carte","multiple"))</f>
        <v/>
      </c>
    </row>
    <row r="4351">
      <c r="A4351" t="inlineStr">
        <is>
          <t>2022-08-20</t>
        </is>
      </c>
      <c r="B4351" t="inlineStr">
        <is>
          <t>18:08</t>
        </is>
      </c>
      <c r="C4351" t="n">
        <v>3037</v>
      </c>
      <c r="D4351" s="6" t="n">
        <v>4.9</v>
      </c>
      <c r="E4351" t="n">
        <v>41339</v>
      </c>
      <c r="F4351" s="6" t="n">
        <v>4.9</v>
      </c>
      <c r="G4351" t="n">
        <v>1</v>
      </c>
      <c r="H4351" s="6">
        <f>ROUND(G4351*F4351,2)</f>
        <v/>
      </c>
      <c r="I4351">
        <f>IF(ROUND(H4351-D4351,2)=0,1,0)</f>
        <v/>
      </c>
      <c r="J4351">
        <f>IF(F4351="","none",IF(G4351=1,"carte","multiple"))</f>
        <v/>
      </c>
    </row>
    <row r="4352">
      <c r="A4352" t="inlineStr">
        <is>
          <t>2022-08-20</t>
        </is>
      </c>
      <c r="B4352" t="inlineStr">
        <is>
          <t>18:09</t>
        </is>
      </c>
      <c r="C4352" t="n">
        <v>3037</v>
      </c>
      <c r="D4352" s="6" t="n">
        <v>7.9</v>
      </c>
      <c r="E4352" t="n">
        <v>41340</v>
      </c>
      <c r="F4352" s="6" t="n">
        <v>7.9</v>
      </c>
      <c r="G4352" t="n">
        <v>1</v>
      </c>
      <c r="H4352" s="6">
        <f>ROUND(G4352*F4352,2)</f>
        <v/>
      </c>
      <c r="I4352">
        <f>IF(ROUND(H4352-D4352,2)=0,1,0)</f>
        <v/>
      </c>
      <c r="J4352">
        <f>IF(F4352="","none",IF(G4352=1,"carte","multiple"))</f>
        <v/>
      </c>
    </row>
    <row r="4353">
      <c r="A4353" t="inlineStr">
        <is>
          <t>2022-08-20</t>
        </is>
      </c>
      <c r="B4353" t="inlineStr">
        <is>
          <t>18:13</t>
        </is>
      </c>
      <c r="C4353" t="n">
        <v>3037</v>
      </c>
      <c r="D4353" s="6" t="n">
        <v>5.9</v>
      </c>
      <c r="E4353" t="n">
        <v>41341</v>
      </c>
      <c r="F4353" s="6" t="n">
        <v>5.9</v>
      </c>
      <c r="G4353" t="n">
        <v>1</v>
      </c>
      <c r="H4353" s="6">
        <f>ROUND(G4353*F4353,2)</f>
        <v/>
      </c>
      <c r="I4353">
        <f>IF(ROUND(H4353-D4353,2)=0,1,0)</f>
        <v/>
      </c>
      <c r="J4353">
        <f>IF(F4353="","none",IF(G4353=1,"carte","multiple"))</f>
        <v/>
      </c>
    </row>
    <row r="4354">
      <c r="A4354" t="inlineStr">
        <is>
          <t>2022-08-20</t>
        </is>
      </c>
      <c r="B4354" t="inlineStr">
        <is>
          <t>18:15</t>
        </is>
      </c>
      <c r="C4354" t="n">
        <v>3037</v>
      </c>
      <c r="D4354" s="6" t="n">
        <v>3.9</v>
      </c>
      <c r="E4354" t="n">
        <v>41342</v>
      </c>
      <c r="F4354" s="6" t="n">
        <v>3.9</v>
      </c>
      <c r="G4354" t="n">
        <v>1</v>
      </c>
      <c r="H4354" s="6">
        <f>ROUND(G4354*F4354,2)</f>
        <v/>
      </c>
      <c r="I4354">
        <f>IF(ROUND(H4354-D4354,2)=0,1,0)</f>
        <v/>
      </c>
      <c r="J4354">
        <f>IF(F4354="","none",IF(G4354=1,"carte","multiple"))</f>
        <v/>
      </c>
    </row>
    <row r="4355">
      <c r="A4355" t="inlineStr">
        <is>
          <t>2022-08-20</t>
        </is>
      </c>
      <c r="B4355" t="inlineStr">
        <is>
          <t>18:30</t>
        </is>
      </c>
      <c r="C4355" t="n">
        <v>3037</v>
      </c>
      <c r="D4355" s="6" t="n">
        <v>6.9</v>
      </c>
      <c r="E4355" t="n">
        <v>41343</v>
      </c>
      <c r="F4355" s="6" t="n">
        <v>6.9</v>
      </c>
      <c r="G4355" t="n">
        <v>1</v>
      </c>
      <c r="H4355" s="6">
        <f>ROUND(G4355*F4355,2)</f>
        <v/>
      </c>
      <c r="I4355">
        <f>IF(ROUND(H4355-D4355,2)=0,1,0)</f>
        <v/>
      </c>
      <c r="J4355">
        <f>IF(F4355="","none",IF(G4355=1,"carte","multiple"))</f>
        <v/>
      </c>
    </row>
    <row r="4356">
      <c r="A4356" t="inlineStr">
        <is>
          <t>2022-08-20</t>
        </is>
      </c>
      <c r="B4356" t="inlineStr">
        <is>
          <t>18:31</t>
        </is>
      </c>
      <c r="C4356" t="n">
        <v>3037</v>
      </c>
      <c r="D4356" s="6" t="n">
        <v>17.6</v>
      </c>
      <c r="E4356" t="n">
        <v>41344</v>
      </c>
      <c r="F4356" s="6" t="n">
        <v>17.6</v>
      </c>
      <c r="G4356" t="n">
        <v>1</v>
      </c>
      <c r="H4356" s="6">
        <f>ROUND(G4356*F4356,2)</f>
        <v/>
      </c>
      <c r="I4356">
        <f>IF(ROUND(H4356-D4356,2)=0,1,0)</f>
        <v/>
      </c>
      <c r="J4356">
        <f>IF(F4356="","none",IF(G4356=1,"carte","multiple"))</f>
        <v/>
      </c>
    </row>
    <row r="4357">
      <c r="A4357" t="inlineStr">
        <is>
          <t>2022-08-20</t>
        </is>
      </c>
      <c r="B4357" t="inlineStr">
        <is>
          <t>18:34</t>
        </is>
      </c>
      <c r="C4357" t="n">
        <v>3037</v>
      </c>
      <c r="D4357" s="6" t="n">
        <v>3.9</v>
      </c>
      <c r="E4357" t="n">
        <v>41345</v>
      </c>
      <c r="F4357" s="6" t="n">
        <v>3.9</v>
      </c>
      <c r="G4357" t="n">
        <v>1</v>
      </c>
      <c r="H4357" s="6">
        <f>ROUND(G4357*F4357,2)</f>
        <v/>
      </c>
      <c r="I4357">
        <f>IF(ROUND(H4357-D4357,2)=0,1,0)</f>
        <v/>
      </c>
      <c r="J4357">
        <f>IF(F4357="","none",IF(G4357=1,"carte","multiple"))</f>
        <v/>
      </c>
    </row>
    <row r="4358">
      <c r="A4358" t="inlineStr">
        <is>
          <t>2022-08-20</t>
        </is>
      </c>
      <c r="B4358" t="inlineStr">
        <is>
          <t>18:44</t>
        </is>
      </c>
      <c r="C4358" t="n">
        <v>3037</v>
      </c>
      <c r="D4358" s="6" t="n">
        <v>9.9</v>
      </c>
      <c r="E4358" t="n">
        <v>41346</v>
      </c>
      <c r="F4358" s="6" t="n">
        <v>9.9</v>
      </c>
      <c r="G4358" t="n">
        <v>1</v>
      </c>
      <c r="H4358" s="6">
        <f>ROUND(G4358*F4358,2)</f>
        <v/>
      </c>
      <c r="I4358">
        <f>IF(ROUND(H4358-D4358,2)=0,1,0)</f>
        <v/>
      </c>
      <c r="J4358">
        <f>IF(F4358="","none",IF(G4358=1,"carte","multiple"))</f>
        <v/>
      </c>
    </row>
    <row r="4359">
      <c r="A4359" t="inlineStr">
        <is>
          <t>2022-08-20</t>
        </is>
      </c>
      <c r="B4359" t="inlineStr">
        <is>
          <t>18:53</t>
        </is>
      </c>
      <c r="C4359" t="n">
        <v>3037</v>
      </c>
      <c r="D4359" s="6" t="n">
        <v>29.9</v>
      </c>
      <c r="E4359" t="n">
        <v>41347</v>
      </c>
      <c r="F4359" s="6" t="n">
        <v>29.9</v>
      </c>
      <c r="G4359" t="n">
        <v>1</v>
      </c>
      <c r="H4359" s="6">
        <f>ROUND(G4359*F4359,2)</f>
        <v/>
      </c>
      <c r="I4359">
        <f>IF(ROUND(H4359-D4359,2)=0,1,0)</f>
        <v/>
      </c>
      <c r="J4359">
        <f>IF(F4359="","none",IF(G4359=1,"carte","multiple"))</f>
        <v/>
      </c>
    </row>
    <row r="4360">
      <c r="A4360" t="inlineStr">
        <is>
          <t>2022-08-20</t>
        </is>
      </c>
      <c r="B4360" t="inlineStr">
        <is>
          <t>19:12</t>
        </is>
      </c>
      <c r="C4360" t="n">
        <v>3037</v>
      </c>
      <c r="D4360" s="6" t="n">
        <v>2.2</v>
      </c>
      <c r="E4360" t="n">
        <v>41348</v>
      </c>
      <c r="F4360" s="6" t="n">
        <v>2.2</v>
      </c>
      <c r="G4360" t="n">
        <v>1</v>
      </c>
      <c r="H4360" s="6">
        <f>ROUND(G4360*F4360,2)</f>
        <v/>
      </c>
      <c r="I4360">
        <f>IF(ROUND(H4360-D4360,2)=0,1,0)</f>
        <v/>
      </c>
      <c r="J4360">
        <f>IF(F4360="","none",IF(G4360=1,"carte","multiple"))</f>
        <v/>
      </c>
    </row>
    <row r="4361">
      <c r="A4361" t="inlineStr">
        <is>
          <t>2022-08-20</t>
        </is>
      </c>
      <c r="B4361" t="inlineStr">
        <is>
          <t>19:12</t>
        </is>
      </c>
      <c r="C4361" t="n">
        <v>3037</v>
      </c>
      <c r="D4361" s="6" t="n">
        <v>6.5</v>
      </c>
      <c r="E4361" t="n">
        <v>41349</v>
      </c>
      <c r="F4361" s="6" t="n">
        <v>6.5</v>
      </c>
      <c r="G4361" t="n">
        <v>1</v>
      </c>
      <c r="H4361" s="6">
        <f>ROUND(G4361*F4361,2)</f>
        <v/>
      </c>
      <c r="I4361">
        <f>IF(ROUND(H4361-D4361,2)=0,1,0)</f>
        <v/>
      </c>
      <c r="J4361">
        <f>IF(F4361="","none",IF(G4361=1,"carte","multiple"))</f>
        <v/>
      </c>
    </row>
    <row r="4362">
      <c r="A4362" t="inlineStr">
        <is>
          <t>2022-08-20</t>
        </is>
      </c>
      <c r="B4362" t="inlineStr">
        <is>
          <t>19:12</t>
        </is>
      </c>
      <c r="C4362" t="n">
        <v>3037</v>
      </c>
      <c r="D4362" s="6" t="n">
        <v>5.9</v>
      </c>
      <c r="E4362" t="n">
        <v>41350</v>
      </c>
      <c r="F4362" s="6" t="n">
        <v>5.9</v>
      </c>
      <c r="G4362" t="n">
        <v>1</v>
      </c>
      <c r="H4362" s="6">
        <f>ROUND(G4362*F4362,2)</f>
        <v/>
      </c>
      <c r="I4362">
        <f>IF(ROUND(H4362-D4362,2)=0,1,0)</f>
        <v/>
      </c>
      <c r="J4362">
        <f>IF(F4362="","none",IF(G4362=1,"carte","multiple"))</f>
        <v/>
      </c>
    </row>
    <row r="4363">
      <c r="A4363" t="inlineStr">
        <is>
          <t>2022-08-20</t>
        </is>
      </c>
      <c r="B4363" t="inlineStr">
        <is>
          <t>19:12</t>
        </is>
      </c>
      <c r="C4363" t="n">
        <v>3037</v>
      </c>
      <c r="D4363" s="6" t="n">
        <v>3.9</v>
      </c>
      <c r="E4363" t="n">
        <v>41351</v>
      </c>
      <c r="F4363" s="6" t="n">
        <v>3.9</v>
      </c>
      <c r="G4363" t="n">
        <v>1</v>
      </c>
      <c r="H4363" s="6">
        <f>ROUND(G4363*F4363,2)</f>
        <v/>
      </c>
      <c r="I4363">
        <f>IF(ROUND(H4363-D4363,2)=0,1,0)</f>
        <v/>
      </c>
      <c r="J4363">
        <f>IF(F4363="","none",IF(G4363=1,"carte","multiple"))</f>
        <v/>
      </c>
    </row>
    <row r="4364">
      <c r="A4364" t="inlineStr">
        <is>
          <t>2022-08-20</t>
        </is>
      </c>
      <c r="B4364" t="inlineStr">
        <is>
          <t>19:12</t>
        </is>
      </c>
      <c r="C4364" t="n">
        <v>3037</v>
      </c>
      <c r="D4364" s="6" t="n">
        <v>29.8</v>
      </c>
      <c r="E4364" t="n">
        <v>41352</v>
      </c>
      <c r="F4364" s="6" t="n">
        <v>14.9</v>
      </c>
      <c r="G4364" t="n">
        <v>2</v>
      </c>
      <c r="H4364" s="6">
        <f>ROUND(G4364*F4364,2)</f>
        <v/>
      </c>
      <c r="I4364">
        <f>IF(ROUND(H4364-D4364,2)=0,1,0)</f>
        <v/>
      </c>
      <c r="J4364">
        <f>IF(F4364="","none",IF(G4364=1,"carte","multiple"))</f>
        <v/>
      </c>
    </row>
    <row r="4365">
      <c r="A4365" t="inlineStr">
        <is>
          <t>2022-08-20</t>
        </is>
      </c>
      <c r="B4365" t="inlineStr">
        <is>
          <t>19:12</t>
        </is>
      </c>
      <c r="C4365" t="n">
        <v>3037</v>
      </c>
      <c r="D4365" s="6" t="n">
        <v>7.8</v>
      </c>
      <c r="E4365" t="n">
        <v>41353</v>
      </c>
      <c r="F4365" s="6" t="n">
        <v>7.8</v>
      </c>
      <c r="G4365" t="n">
        <v>1</v>
      </c>
      <c r="H4365" s="6">
        <f>ROUND(G4365*F4365,2)</f>
        <v/>
      </c>
      <c r="I4365">
        <f>IF(ROUND(H4365-D4365,2)=0,1,0)</f>
        <v/>
      </c>
      <c r="J4365">
        <f>IF(F4365="","none",IF(G4365=1,"carte","multiple"))</f>
        <v/>
      </c>
    </row>
    <row r="4366">
      <c r="A4366" t="inlineStr">
        <is>
          <t>2022-08-20</t>
        </is>
      </c>
      <c r="B4366" t="inlineStr">
        <is>
          <t>19:12</t>
        </is>
      </c>
      <c r="C4366" t="n">
        <v>3037</v>
      </c>
      <c r="D4366" s="6" t="n">
        <v>3.6</v>
      </c>
      <c r="E4366" t="n">
        <v>41354</v>
      </c>
      <c r="F4366" s="6" t="n">
        <v>3.6</v>
      </c>
      <c r="G4366" t="n">
        <v>1</v>
      </c>
      <c r="H4366" s="6">
        <f>ROUND(G4366*F4366,2)</f>
        <v/>
      </c>
      <c r="I4366">
        <f>IF(ROUND(H4366-D4366,2)=0,1,0)</f>
        <v/>
      </c>
      <c r="J4366">
        <f>IF(F4366="","none",IF(G4366=1,"carte","multiple"))</f>
        <v/>
      </c>
    </row>
    <row r="4367">
      <c r="A4367" t="inlineStr">
        <is>
          <t>2022-08-20</t>
        </is>
      </c>
      <c r="B4367" t="inlineStr">
        <is>
          <t>19:17</t>
        </is>
      </c>
      <c r="C4367" t="n">
        <v>3037</v>
      </c>
      <c r="D4367" s="6" t="n">
        <v>4</v>
      </c>
      <c r="E4367" t="n">
        <v>41355</v>
      </c>
      <c r="F4367" s="6" t="n">
        <v>4</v>
      </c>
      <c r="G4367" t="n">
        <v>1</v>
      </c>
      <c r="H4367" s="6">
        <f>ROUND(G4367*F4367,2)</f>
        <v/>
      </c>
      <c r="I4367">
        <f>IF(ROUND(H4367-D4367,2)=0,1,0)</f>
        <v/>
      </c>
      <c r="J4367">
        <f>IF(F4367="","none",IF(G4367=1,"carte","multiple"))</f>
        <v/>
      </c>
    </row>
    <row r="4368">
      <c r="A4368" t="inlineStr">
        <is>
          <t>2022-08-20</t>
        </is>
      </c>
      <c r="B4368" t="inlineStr">
        <is>
          <t>19:32</t>
        </is>
      </c>
      <c r="C4368" t="n">
        <v>3037</v>
      </c>
      <c r="D4368" s="6" t="n">
        <v>2.2</v>
      </c>
      <c r="E4368" t="n">
        <v>41356</v>
      </c>
      <c r="F4368" s="6" t="n">
        <v>2.2</v>
      </c>
      <c r="G4368" t="n">
        <v>1</v>
      </c>
      <c r="H4368" s="6">
        <f>ROUND(G4368*F4368,2)</f>
        <v/>
      </c>
      <c r="I4368">
        <f>IF(ROUND(H4368-D4368,2)=0,1,0)</f>
        <v/>
      </c>
      <c r="J4368">
        <f>IF(F4368="","none",IF(G4368=1,"carte","multiple"))</f>
        <v/>
      </c>
    </row>
    <row r="4369">
      <c r="A4369" t="inlineStr">
        <is>
          <t>2022-08-20</t>
        </is>
      </c>
      <c r="B4369" t="inlineStr">
        <is>
          <t>19:34</t>
        </is>
      </c>
      <c r="C4369" t="n">
        <v>3037</v>
      </c>
      <c r="D4369" s="6" t="n">
        <v>8.4</v>
      </c>
      <c r="E4369" t="n">
        <v>41357</v>
      </c>
      <c r="F4369" s="6" t="n">
        <v>8.4</v>
      </c>
      <c r="G4369" t="n">
        <v>1</v>
      </c>
      <c r="H4369" s="6">
        <f>ROUND(G4369*F4369,2)</f>
        <v/>
      </c>
      <c r="I4369">
        <f>IF(ROUND(H4369-D4369,2)=0,1,0)</f>
        <v/>
      </c>
      <c r="J4369">
        <f>IF(F4369="","none",IF(G4369=1,"carte","multiple"))</f>
        <v/>
      </c>
    </row>
    <row r="4370">
      <c r="A4370" t="inlineStr">
        <is>
          <t>2022-08-20</t>
        </is>
      </c>
      <c r="B4370" t="inlineStr">
        <is>
          <t>19:34</t>
        </is>
      </c>
      <c r="C4370" t="n">
        <v>3037</v>
      </c>
      <c r="D4370" s="6" t="n">
        <v>1.8</v>
      </c>
      <c r="E4370" t="n">
        <v>41358</v>
      </c>
      <c r="F4370" s="6" t="n">
        <v>1.8</v>
      </c>
      <c r="G4370" t="n">
        <v>1</v>
      </c>
      <c r="H4370" s="6">
        <f>ROUND(G4370*F4370,2)</f>
        <v/>
      </c>
      <c r="I4370">
        <f>IF(ROUND(H4370-D4370,2)=0,1,0)</f>
        <v/>
      </c>
      <c r="J4370">
        <f>IF(F4370="","none",IF(G4370=1,"carte","multiple"))</f>
        <v/>
      </c>
    </row>
    <row r="4371">
      <c r="A4371" t="inlineStr">
        <is>
          <t>2022-08-20</t>
        </is>
      </c>
      <c r="B4371" t="inlineStr">
        <is>
          <t>19:34</t>
        </is>
      </c>
      <c r="C4371" t="n">
        <v>3037</v>
      </c>
      <c r="D4371" s="6" t="n">
        <v>2.9</v>
      </c>
      <c r="E4371" t="n">
        <v>41359</v>
      </c>
      <c r="F4371" s="6" t="n">
        <v>2.9</v>
      </c>
      <c r="G4371" t="n">
        <v>1</v>
      </c>
      <c r="H4371" s="6">
        <f>ROUND(G4371*F4371,2)</f>
        <v/>
      </c>
      <c r="I4371">
        <f>IF(ROUND(H4371-D4371,2)=0,1,0)</f>
        <v/>
      </c>
      <c r="J4371">
        <f>IF(F4371="","none",IF(G4371=1,"carte","multiple"))</f>
        <v/>
      </c>
    </row>
    <row r="4372">
      <c r="A4372" t="inlineStr">
        <is>
          <t>2022-08-20</t>
        </is>
      </c>
      <c r="B4372" t="inlineStr">
        <is>
          <t>19:34</t>
        </is>
      </c>
      <c r="C4372" t="n">
        <v>3037</v>
      </c>
      <c r="D4372" s="6" t="n">
        <v>8.300000000000001</v>
      </c>
      <c r="E4372" t="n">
        <v>41360</v>
      </c>
      <c r="F4372" s="6" t="n">
        <v>8.300000000000001</v>
      </c>
      <c r="G4372" t="n">
        <v>1</v>
      </c>
      <c r="H4372" s="6">
        <f>ROUND(G4372*F4372,2)</f>
        <v/>
      </c>
      <c r="I4372">
        <f>IF(ROUND(H4372-D4372,2)=0,1,0)</f>
        <v/>
      </c>
      <c r="J4372">
        <f>IF(F4372="","none",IF(G4372=1,"carte","multiple"))</f>
        <v/>
      </c>
    </row>
    <row r="4373">
      <c r="A4373" t="inlineStr">
        <is>
          <t>2022-08-20</t>
        </is>
      </c>
      <c r="B4373" t="inlineStr">
        <is>
          <t>19:34</t>
        </is>
      </c>
      <c r="C4373" t="n">
        <v>3037</v>
      </c>
      <c r="D4373" s="6" t="n">
        <v>17.6</v>
      </c>
      <c r="E4373" t="n">
        <v>41361</v>
      </c>
      <c r="F4373" s="6" t="n">
        <v>17.6</v>
      </c>
      <c r="G4373" t="n">
        <v>1</v>
      </c>
      <c r="H4373" s="6">
        <f>ROUND(G4373*F4373,2)</f>
        <v/>
      </c>
      <c r="I4373">
        <f>IF(ROUND(H4373-D4373,2)=0,1,0)</f>
        <v/>
      </c>
      <c r="J4373">
        <f>IF(F4373="","none",IF(G4373=1,"carte","multiple"))</f>
        <v/>
      </c>
    </row>
    <row r="4374">
      <c r="A4374" t="inlineStr">
        <is>
          <t>2022-08-20</t>
        </is>
      </c>
      <c r="B4374" t="inlineStr">
        <is>
          <t>19:34</t>
        </is>
      </c>
      <c r="C4374" t="n">
        <v>3037</v>
      </c>
      <c r="D4374" s="6" t="n">
        <v>17.6</v>
      </c>
      <c r="E4374" t="n">
        <v>41362</v>
      </c>
      <c r="F4374" s="6" t="n">
        <v>17.6</v>
      </c>
      <c r="G4374" t="n">
        <v>1</v>
      </c>
      <c r="H4374" s="6">
        <f>ROUND(G4374*F4374,2)</f>
        <v/>
      </c>
      <c r="I4374">
        <f>IF(ROUND(H4374-D4374,2)=0,1,0)</f>
        <v/>
      </c>
      <c r="J4374">
        <f>IF(F4374="","none",IF(G4374=1,"carte","multiple"))</f>
        <v/>
      </c>
    </row>
    <row r="4375">
      <c r="A4375" t="inlineStr">
        <is>
          <t>2022-08-20</t>
        </is>
      </c>
      <c r="B4375" t="inlineStr">
        <is>
          <t>19:34</t>
        </is>
      </c>
      <c r="C4375" t="n">
        <v>3037</v>
      </c>
      <c r="D4375" s="6" t="n">
        <v>28.6</v>
      </c>
      <c r="E4375" t="n">
        <v>41363</v>
      </c>
      <c r="F4375" s="6" t="n">
        <v>28.6</v>
      </c>
      <c r="G4375" t="n">
        <v>1</v>
      </c>
      <c r="H4375" s="6">
        <f>ROUND(G4375*F4375,2)</f>
        <v/>
      </c>
      <c r="I4375">
        <f>IF(ROUND(H4375-D4375,2)=0,1,0)</f>
        <v/>
      </c>
      <c r="J4375">
        <f>IF(F4375="","none",IF(G4375=1,"carte","multiple"))</f>
        <v/>
      </c>
    </row>
    <row r="4376">
      <c r="A4376" t="inlineStr">
        <is>
          <t>2022-08-20</t>
        </is>
      </c>
      <c r="B4376" t="inlineStr">
        <is>
          <t>19:34</t>
        </is>
      </c>
      <c r="C4376" t="n">
        <v>3037</v>
      </c>
      <c r="D4376" s="6" t="n">
        <v>7.2</v>
      </c>
      <c r="E4376" t="n">
        <v>41364</v>
      </c>
      <c r="F4376" s="6" t="n">
        <v>7.2</v>
      </c>
      <c r="G4376" t="n">
        <v>1</v>
      </c>
      <c r="H4376" s="6">
        <f>ROUND(G4376*F4376,2)</f>
        <v/>
      </c>
      <c r="I4376">
        <f>IF(ROUND(H4376-D4376,2)=0,1,0)</f>
        <v/>
      </c>
      <c r="J4376">
        <f>IF(F4376="","none",IF(G4376=1,"carte","multiple"))</f>
        <v/>
      </c>
    </row>
    <row r="4377">
      <c r="A4377" t="inlineStr">
        <is>
          <t>2022-08-20</t>
        </is>
      </c>
      <c r="B4377" t="inlineStr">
        <is>
          <t>19:34</t>
        </is>
      </c>
      <c r="C4377" t="n">
        <v>3037</v>
      </c>
      <c r="D4377" s="6" t="n">
        <v>7</v>
      </c>
      <c r="E4377" t="n">
        <v>41365</v>
      </c>
      <c r="F4377" s="6" t="n">
        <v>7</v>
      </c>
      <c r="G4377" t="n">
        <v>1</v>
      </c>
      <c r="H4377" s="6">
        <f>ROUND(G4377*F4377,2)</f>
        <v/>
      </c>
      <c r="I4377">
        <f>IF(ROUND(H4377-D4377,2)=0,1,0)</f>
        <v/>
      </c>
      <c r="J4377">
        <f>IF(F4377="","none",IF(G4377=1,"carte","multiple"))</f>
        <v/>
      </c>
    </row>
    <row r="4378">
      <c r="A4378" t="inlineStr">
        <is>
          <t>2022-08-20</t>
        </is>
      </c>
      <c r="B4378" t="inlineStr">
        <is>
          <t>19:34</t>
        </is>
      </c>
      <c r="C4378" t="n">
        <v>3037</v>
      </c>
      <c r="D4378" s="6" t="n">
        <v>3.9</v>
      </c>
      <c r="E4378" t="n">
        <v>41366</v>
      </c>
      <c r="F4378" s="6" t="n">
        <v>3.9</v>
      </c>
      <c r="G4378" t="n">
        <v>1</v>
      </c>
      <c r="H4378" s="6">
        <f>ROUND(G4378*F4378,2)</f>
        <v/>
      </c>
      <c r="I4378">
        <f>IF(ROUND(H4378-D4378,2)=0,1,0)</f>
        <v/>
      </c>
      <c r="J4378">
        <f>IF(F4378="","none",IF(G4378=1,"carte","multiple"))</f>
        <v/>
      </c>
    </row>
    <row r="4379">
      <c r="A4379" t="inlineStr">
        <is>
          <t>2022-08-20</t>
        </is>
      </c>
      <c r="B4379" t="inlineStr">
        <is>
          <t>19:34</t>
        </is>
      </c>
      <c r="C4379" t="n">
        <v>3037</v>
      </c>
      <c r="D4379" s="6" t="n">
        <v>3.9</v>
      </c>
      <c r="E4379" t="n">
        <v>41367</v>
      </c>
      <c r="F4379" s="6" t="n">
        <v>3.9</v>
      </c>
      <c r="G4379" t="n">
        <v>1</v>
      </c>
      <c r="H4379" s="6">
        <f>ROUND(G4379*F4379,2)</f>
        <v/>
      </c>
      <c r="I4379">
        <f>IF(ROUND(H4379-D4379,2)=0,1,0)</f>
        <v/>
      </c>
      <c r="J4379">
        <f>IF(F4379="","none",IF(G4379=1,"carte","multiple"))</f>
        <v/>
      </c>
    </row>
    <row r="4380">
      <c r="A4380" t="inlineStr">
        <is>
          <t>2022-08-20</t>
        </is>
      </c>
      <c r="B4380" t="inlineStr">
        <is>
          <t>19:34</t>
        </is>
      </c>
      <c r="C4380" t="n">
        <v>3037</v>
      </c>
      <c r="D4380" s="6" t="n">
        <v>4.9</v>
      </c>
      <c r="E4380" t="n">
        <v>41368</v>
      </c>
      <c r="F4380" s="6" t="n">
        <v>4.9</v>
      </c>
      <c r="G4380" t="n">
        <v>1</v>
      </c>
      <c r="H4380" s="6">
        <f>ROUND(G4380*F4380,2)</f>
        <v/>
      </c>
      <c r="I4380">
        <f>IF(ROUND(H4380-D4380,2)=0,1,0)</f>
        <v/>
      </c>
      <c r="J4380">
        <f>IF(F4380="","none",IF(G4380=1,"carte","multiple"))</f>
        <v/>
      </c>
    </row>
    <row r="4381">
      <c r="A4381" t="inlineStr">
        <is>
          <t>2022-08-20</t>
        </is>
      </c>
      <c r="B4381" t="inlineStr">
        <is>
          <t>19:47</t>
        </is>
      </c>
      <c r="C4381" t="n">
        <v>3037</v>
      </c>
      <c r="D4381" s="6" t="n">
        <v>3.9</v>
      </c>
      <c r="E4381" t="n">
        <v>41369</v>
      </c>
      <c r="F4381" s="6" t="n">
        <v>3.9</v>
      </c>
      <c r="G4381" t="n">
        <v>1</v>
      </c>
      <c r="H4381" s="6">
        <f>ROUND(G4381*F4381,2)</f>
        <v/>
      </c>
      <c r="I4381">
        <f>IF(ROUND(H4381-D4381,2)=0,1,0)</f>
        <v/>
      </c>
      <c r="J4381">
        <f>IF(F4381="","none",IF(G4381=1,"carte","multiple"))</f>
        <v/>
      </c>
    </row>
    <row r="4382">
      <c r="A4382" t="inlineStr">
        <is>
          <t>2022-08-20</t>
        </is>
      </c>
      <c r="B4382" t="inlineStr">
        <is>
          <t>19:47</t>
        </is>
      </c>
      <c r="C4382" t="n">
        <v>3037</v>
      </c>
      <c r="D4382" s="6" t="n">
        <v>17.6</v>
      </c>
      <c r="E4382" t="n">
        <v>41370</v>
      </c>
      <c r="F4382" s="6" t="n">
        <v>17.6</v>
      </c>
      <c r="G4382" t="n">
        <v>1</v>
      </c>
      <c r="H4382" s="6">
        <f>ROUND(G4382*F4382,2)</f>
        <v/>
      </c>
      <c r="I4382">
        <f>IF(ROUND(H4382-D4382,2)=0,1,0)</f>
        <v/>
      </c>
      <c r="J4382">
        <f>IF(F4382="","none",IF(G4382=1,"carte","multiple"))</f>
        <v/>
      </c>
    </row>
    <row r="4383">
      <c r="A4383" t="inlineStr">
        <is>
          <t>2022-08-20</t>
        </is>
      </c>
      <c r="B4383" t="inlineStr">
        <is>
          <t>19:47</t>
        </is>
      </c>
      <c r="C4383" t="n">
        <v>3037</v>
      </c>
      <c r="D4383" s="6" t="n">
        <v>32</v>
      </c>
      <c r="E4383" t="n">
        <v>41371</v>
      </c>
      <c r="F4383" s="6" t="n">
        <v>32</v>
      </c>
      <c r="G4383" t="n">
        <v>1</v>
      </c>
      <c r="H4383" s="6">
        <f>ROUND(G4383*F4383,2)</f>
        <v/>
      </c>
      <c r="I4383">
        <f>IF(ROUND(H4383-D4383,2)=0,1,0)</f>
        <v/>
      </c>
      <c r="J4383">
        <f>IF(F4383="","none",IF(G4383=1,"carte","multiple"))</f>
        <v/>
      </c>
    </row>
    <row r="4384">
      <c r="A4384" t="inlineStr">
        <is>
          <t>2022-08-20</t>
        </is>
      </c>
      <c r="B4384" t="inlineStr">
        <is>
          <t>19:47</t>
        </is>
      </c>
      <c r="C4384" t="n">
        <v>3037</v>
      </c>
      <c r="D4384" s="6" t="n">
        <v>9.800000000000001</v>
      </c>
      <c r="E4384" t="n">
        <v>41372</v>
      </c>
      <c r="F4384" s="6" t="n">
        <v>9.800000000000001</v>
      </c>
      <c r="G4384" t="n">
        <v>1</v>
      </c>
      <c r="H4384" s="6">
        <f>ROUND(G4384*F4384,2)</f>
        <v/>
      </c>
      <c r="I4384">
        <f>IF(ROUND(H4384-D4384,2)=0,1,0)</f>
        <v/>
      </c>
      <c r="J4384">
        <f>IF(F4384="","none",IF(G4384=1,"carte","multiple"))</f>
        <v/>
      </c>
    </row>
    <row r="4385">
      <c r="A4385" t="inlineStr">
        <is>
          <t>2022-08-21</t>
        </is>
      </c>
      <c r="B4385" t="inlineStr">
        <is>
          <t>10:30</t>
        </is>
      </c>
      <c r="C4385" t="n">
        <v>3038</v>
      </c>
      <c r="D4385" s="6" t="n">
        <v>6.5</v>
      </c>
      <c r="E4385" t="n">
        <v>41375</v>
      </c>
      <c r="F4385" s="6" t="n">
        <v>6.5</v>
      </c>
      <c r="G4385" t="n">
        <v>1</v>
      </c>
      <c r="H4385" s="6">
        <f>ROUND(G4385*F4385,2)</f>
        <v/>
      </c>
      <c r="I4385">
        <f>IF(ROUND(H4385-D4385,2)=0,1,0)</f>
        <v/>
      </c>
      <c r="J4385">
        <f>IF(F4385="","none",IF(G4385=1,"carte","multiple"))</f>
        <v/>
      </c>
    </row>
    <row r="4386">
      <c r="A4386" t="inlineStr">
        <is>
          <t>2022-08-21</t>
        </is>
      </c>
      <c r="B4386" t="inlineStr">
        <is>
          <t>11:11</t>
        </is>
      </c>
      <c r="C4386" t="n">
        <v>3038</v>
      </c>
      <c r="D4386" s="6" t="n">
        <v>5.2</v>
      </c>
      <c r="E4386" t="n">
        <v>41377</v>
      </c>
      <c r="F4386" s="6" t="n">
        <v>5.2</v>
      </c>
      <c r="G4386" t="n">
        <v>1</v>
      </c>
      <c r="H4386" s="6">
        <f>ROUND(G4386*F4386,2)</f>
        <v/>
      </c>
      <c r="I4386">
        <f>IF(ROUND(H4386-D4386,2)=0,1,0)</f>
        <v/>
      </c>
      <c r="J4386">
        <f>IF(F4386="","none",IF(G4386=1,"carte","multiple"))</f>
        <v/>
      </c>
    </row>
    <row r="4387">
      <c r="A4387" t="inlineStr">
        <is>
          <t>2022-08-21</t>
        </is>
      </c>
      <c r="B4387" t="inlineStr">
        <is>
          <t>11:12</t>
        </is>
      </c>
      <c r="C4387" t="n">
        <v>3038</v>
      </c>
      <c r="D4387" s="6" t="n">
        <v>10.9</v>
      </c>
      <c r="E4387" t="n">
        <v>41378</v>
      </c>
      <c r="F4387" s="6" t="n">
        <v>10.9</v>
      </c>
      <c r="G4387" t="n">
        <v>1</v>
      </c>
      <c r="H4387" s="6">
        <f>ROUND(G4387*F4387,2)</f>
        <v/>
      </c>
      <c r="I4387">
        <f>IF(ROUND(H4387-D4387,2)=0,1,0)</f>
        <v/>
      </c>
      <c r="J4387">
        <f>IF(F4387="","none",IF(G4387=1,"carte","multiple"))</f>
        <v/>
      </c>
    </row>
    <row r="4388">
      <c r="A4388" t="inlineStr">
        <is>
          <t>2022-08-21</t>
        </is>
      </c>
      <c r="B4388" t="inlineStr">
        <is>
          <t>11:15</t>
        </is>
      </c>
      <c r="C4388" t="n">
        <v>3038</v>
      </c>
      <c r="D4388" s="6" t="n">
        <v>1.8</v>
      </c>
      <c r="E4388" t="n">
        <v>41379</v>
      </c>
      <c r="F4388" s="6" t="n">
        <v>1.8</v>
      </c>
      <c r="G4388" t="n">
        <v>1</v>
      </c>
      <c r="H4388" s="6">
        <f>ROUND(G4388*F4388,2)</f>
        <v/>
      </c>
      <c r="I4388">
        <f>IF(ROUND(H4388-D4388,2)=0,1,0)</f>
        <v/>
      </c>
      <c r="J4388">
        <f>IF(F4388="","none",IF(G4388=1,"carte","multiple"))</f>
        <v/>
      </c>
    </row>
    <row r="4389">
      <c r="A4389" t="inlineStr">
        <is>
          <t>2022-08-21</t>
        </is>
      </c>
      <c r="B4389" t="inlineStr">
        <is>
          <t>11:29</t>
        </is>
      </c>
      <c r="C4389" t="n">
        <v>3038</v>
      </c>
      <c r="D4389" s="6" t="n">
        <v>15.6</v>
      </c>
      <c r="E4389" t="n">
        <v>41380</v>
      </c>
      <c r="F4389" s="6" t="n">
        <v>15.6</v>
      </c>
      <c r="G4389" t="n">
        <v>1</v>
      </c>
      <c r="H4389" s="6">
        <f>ROUND(G4389*F4389,2)</f>
        <v/>
      </c>
      <c r="I4389">
        <f>IF(ROUND(H4389-D4389,2)=0,1,0)</f>
        <v/>
      </c>
      <c r="J4389">
        <f>IF(F4389="","none",IF(G4389=1,"carte","multiple"))</f>
        <v/>
      </c>
    </row>
    <row r="4390">
      <c r="A4390" t="inlineStr">
        <is>
          <t>2022-08-21</t>
        </is>
      </c>
      <c r="B4390" t="inlineStr">
        <is>
          <t>11:29</t>
        </is>
      </c>
      <c r="C4390" t="n">
        <v>3038</v>
      </c>
      <c r="D4390" s="6" t="n">
        <v>15.9</v>
      </c>
      <c r="E4390" t="n">
        <v>41381</v>
      </c>
      <c r="F4390" s="6" t="n">
        <v>15.9</v>
      </c>
      <c r="G4390" t="n">
        <v>1</v>
      </c>
      <c r="H4390" s="6">
        <f>ROUND(G4390*F4390,2)</f>
        <v/>
      </c>
      <c r="I4390">
        <f>IF(ROUND(H4390-D4390,2)=0,1,0)</f>
        <v/>
      </c>
      <c r="J4390">
        <f>IF(F4390="","none",IF(G4390=1,"carte","multiple"))</f>
        <v/>
      </c>
    </row>
    <row r="4391">
      <c r="A4391" t="inlineStr">
        <is>
          <t>2022-08-21</t>
        </is>
      </c>
      <c r="B4391" t="inlineStr">
        <is>
          <t>11:29</t>
        </is>
      </c>
      <c r="C4391" t="n">
        <v>3038</v>
      </c>
      <c r="D4391" s="6" t="n">
        <v>3.9</v>
      </c>
      <c r="E4391" t="n">
        <v>41382</v>
      </c>
      <c r="F4391" s="6" t="n">
        <v>3.9</v>
      </c>
      <c r="G4391" t="n">
        <v>1</v>
      </c>
      <c r="H4391" s="6">
        <f>ROUND(G4391*F4391,2)</f>
        <v/>
      </c>
      <c r="I4391">
        <f>IF(ROUND(H4391-D4391,2)=0,1,0)</f>
        <v/>
      </c>
      <c r="J4391">
        <f>IF(F4391="","none",IF(G4391=1,"carte","multiple"))</f>
        <v/>
      </c>
    </row>
    <row r="4392">
      <c r="A4392" t="inlineStr">
        <is>
          <t>2022-08-21</t>
        </is>
      </c>
      <c r="B4392" t="inlineStr">
        <is>
          <t>11:29</t>
        </is>
      </c>
      <c r="C4392" t="n">
        <v>3038</v>
      </c>
      <c r="D4392" s="6" t="n">
        <v>3.9</v>
      </c>
      <c r="E4392" t="n">
        <v>41383</v>
      </c>
      <c r="F4392" s="6" t="n">
        <v>3.9</v>
      </c>
      <c r="G4392" t="n">
        <v>1</v>
      </c>
      <c r="H4392" s="6">
        <f>ROUND(G4392*F4392,2)</f>
        <v/>
      </c>
      <c r="I4392">
        <f>IF(ROUND(H4392-D4392,2)=0,1,0)</f>
        <v/>
      </c>
      <c r="J4392">
        <f>IF(F4392="","none",IF(G4392=1,"carte","multiple"))</f>
        <v/>
      </c>
    </row>
    <row r="4393">
      <c r="A4393" t="inlineStr">
        <is>
          <t>2022-08-21</t>
        </is>
      </c>
      <c r="B4393" t="inlineStr">
        <is>
          <t>12:11</t>
        </is>
      </c>
      <c r="C4393" t="n">
        <v>3038</v>
      </c>
      <c r="D4393" s="6" t="n">
        <v>6.9</v>
      </c>
      <c r="E4393" t="n">
        <v>41384</v>
      </c>
      <c r="F4393" s="6" t="n">
        <v>6.9</v>
      </c>
      <c r="G4393" t="n">
        <v>1</v>
      </c>
      <c r="H4393" s="6">
        <f>ROUND(G4393*F4393,2)</f>
        <v/>
      </c>
      <c r="I4393">
        <f>IF(ROUND(H4393-D4393,2)=0,1,0)</f>
        <v/>
      </c>
      <c r="J4393">
        <f>IF(F4393="","none",IF(G4393=1,"carte","multiple"))</f>
        <v/>
      </c>
    </row>
    <row r="4394">
      <c r="A4394" t="inlineStr">
        <is>
          <t>2022-08-21</t>
        </is>
      </c>
      <c r="B4394" t="inlineStr">
        <is>
          <t>12:11</t>
        </is>
      </c>
      <c r="C4394" t="n">
        <v>3038</v>
      </c>
      <c r="D4394" s="6" t="n">
        <v>8.5</v>
      </c>
      <c r="E4394" t="n">
        <v>41385</v>
      </c>
      <c r="F4394" s="6" t="n">
        <v>8.5</v>
      </c>
      <c r="G4394" t="n">
        <v>1</v>
      </c>
      <c r="H4394" s="6">
        <f>ROUND(G4394*F4394,2)</f>
        <v/>
      </c>
      <c r="I4394">
        <f>IF(ROUND(H4394-D4394,2)=0,1,0)</f>
        <v/>
      </c>
      <c r="J4394">
        <f>IF(F4394="","none",IF(G4394=1,"carte","multiple"))</f>
        <v/>
      </c>
    </row>
    <row r="4395">
      <c r="A4395" t="inlineStr">
        <is>
          <t>2022-08-21</t>
        </is>
      </c>
      <c r="B4395" t="inlineStr">
        <is>
          <t>12:11</t>
        </is>
      </c>
      <c r="C4395" t="n">
        <v>3038</v>
      </c>
      <c r="D4395" s="6" t="n">
        <v>33.8</v>
      </c>
      <c r="E4395" t="n">
        <v>41386</v>
      </c>
      <c r="F4395" s="6" t="n">
        <v>16.9</v>
      </c>
      <c r="G4395" t="n">
        <v>2</v>
      </c>
      <c r="H4395" s="6">
        <f>ROUND(G4395*F4395,2)</f>
        <v/>
      </c>
      <c r="I4395">
        <f>IF(ROUND(H4395-D4395,2)=0,1,0)</f>
        <v/>
      </c>
      <c r="J4395">
        <f>IF(F4395="","none",IF(G4395=1,"carte","multiple"))</f>
        <v/>
      </c>
    </row>
    <row r="4396">
      <c r="A4396" t="inlineStr">
        <is>
          <t>2022-08-21</t>
        </is>
      </c>
      <c r="B4396" t="inlineStr">
        <is>
          <t>12:11</t>
        </is>
      </c>
      <c r="C4396" t="n">
        <v>3038</v>
      </c>
      <c r="D4396" s="6" t="n">
        <v>3.9</v>
      </c>
      <c r="E4396" t="n">
        <v>41387</v>
      </c>
      <c r="F4396" s="6" t="n">
        <v>3.9</v>
      </c>
      <c r="G4396" t="n">
        <v>1</v>
      </c>
      <c r="H4396" s="6">
        <f>ROUND(G4396*F4396,2)</f>
        <v/>
      </c>
      <c r="I4396">
        <f>IF(ROUND(H4396-D4396,2)=0,1,0)</f>
        <v/>
      </c>
      <c r="J4396">
        <f>IF(F4396="","none",IF(G4396=1,"carte","multiple"))</f>
        <v/>
      </c>
    </row>
    <row r="4397">
      <c r="A4397" t="inlineStr">
        <is>
          <t>2022-08-21</t>
        </is>
      </c>
      <c r="B4397" t="inlineStr">
        <is>
          <t>12:11</t>
        </is>
      </c>
      <c r="C4397" t="n">
        <v>3038</v>
      </c>
      <c r="D4397" s="6" t="n">
        <v>5.2</v>
      </c>
      <c r="E4397" t="n">
        <v>41388</v>
      </c>
      <c r="F4397" s="6" t="n">
        <v>5.2</v>
      </c>
      <c r="G4397" t="n">
        <v>1</v>
      </c>
      <c r="H4397" s="6">
        <f>ROUND(G4397*F4397,2)</f>
        <v/>
      </c>
      <c r="I4397">
        <f>IF(ROUND(H4397-D4397,2)=0,1,0)</f>
        <v/>
      </c>
      <c r="J4397">
        <f>IF(F4397="","none",IF(G4397=1,"carte","multiple"))</f>
        <v/>
      </c>
    </row>
    <row r="4398">
      <c r="A4398" t="inlineStr">
        <is>
          <t>2022-08-21</t>
        </is>
      </c>
      <c r="B4398" t="inlineStr">
        <is>
          <t>12:11</t>
        </is>
      </c>
      <c r="C4398" t="n">
        <v>3038</v>
      </c>
      <c r="D4398" s="6" t="n">
        <v>3.9</v>
      </c>
      <c r="E4398" t="n">
        <v>41389</v>
      </c>
      <c r="F4398" s="6" t="n">
        <v>3.9</v>
      </c>
      <c r="G4398" t="n">
        <v>1</v>
      </c>
      <c r="H4398" s="6">
        <f>ROUND(G4398*F4398,2)</f>
        <v/>
      </c>
      <c r="I4398">
        <f>IF(ROUND(H4398-D4398,2)=0,1,0)</f>
        <v/>
      </c>
      <c r="J4398">
        <f>IF(F4398="","none",IF(G4398=1,"carte","multiple"))</f>
        <v/>
      </c>
    </row>
    <row r="4399">
      <c r="A4399" t="inlineStr">
        <is>
          <t>2022-08-21</t>
        </is>
      </c>
      <c r="B4399" t="inlineStr">
        <is>
          <t>12:24</t>
        </is>
      </c>
      <c r="C4399" t="n">
        <v>3038</v>
      </c>
      <c r="D4399" s="6" t="n">
        <v>2.2</v>
      </c>
      <c r="E4399" t="n">
        <v>41390</v>
      </c>
      <c r="F4399" s="6" t="n">
        <v>2.2</v>
      </c>
      <c r="G4399" t="n">
        <v>1</v>
      </c>
      <c r="H4399" s="6">
        <f>ROUND(G4399*F4399,2)</f>
        <v/>
      </c>
      <c r="I4399">
        <f>IF(ROUND(H4399-D4399,2)=0,1,0)</f>
        <v/>
      </c>
      <c r="J4399">
        <f>IF(F4399="","none",IF(G4399=1,"carte","multiple"))</f>
        <v/>
      </c>
    </row>
    <row r="4400">
      <c r="A4400" t="inlineStr">
        <is>
          <t>2022-08-21</t>
        </is>
      </c>
      <c r="B4400" t="inlineStr">
        <is>
          <t>12:24</t>
        </is>
      </c>
      <c r="C4400" t="n">
        <v>3038</v>
      </c>
      <c r="D4400" s="6" t="n">
        <v>46</v>
      </c>
      <c r="E4400" t="n">
        <v>41391</v>
      </c>
      <c r="F4400" s="6" t="n">
        <v>0.4</v>
      </c>
      <c r="G4400" t="n">
        <v>115</v>
      </c>
      <c r="H4400" s="6">
        <f>ROUND(G4400*F4400,2)</f>
        <v/>
      </c>
      <c r="I4400">
        <f>IF(ROUND(H4400-D4400,2)=0,1,0)</f>
        <v/>
      </c>
      <c r="J4400">
        <f>IF(F4400="","none",IF(G4400=1,"carte","multiple"))</f>
        <v/>
      </c>
    </row>
    <row r="4401">
      <c r="A4401" t="inlineStr">
        <is>
          <t>2022-08-21</t>
        </is>
      </c>
      <c r="B4401" t="inlineStr">
        <is>
          <t>12:24</t>
        </is>
      </c>
      <c r="C4401" t="n">
        <v>3038</v>
      </c>
      <c r="D4401" s="6" t="n">
        <v>24</v>
      </c>
      <c r="E4401" t="n">
        <v>41392</v>
      </c>
      <c r="F4401" s="6" t="n">
        <v>24</v>
      </c>
      <c r="G4401" t="n">
        <v>1</v>
      </c>
      <c r="H4401" s="6">
        <f>ROUND(G4401*F4401,2)</f>
        <v/>
      </c>
      <c r="I4401">
        <f>IF(ROUND(H4401-D4401,2)=0,1,0)</f>
        <v/>
      </c>
      <c r="J4401">
        <f>IF(F4401="","none",IF(G4401=1,"carte","multiple"))</f>
        <v/>
      </c>
    </row>
    <row r="4402">
      <c r="A4402" t="inlineStr">
        <is>
          <t>2022-08-21</t>
        </is>
      </c>
      <c r="B4402" t="inlineStr">
        <is>
          <t>12:24</t>
        </is>
      </c>
      <c r="C4402" t="n">
        <v>3038</v>
      </c>
      <c r="D4402" s="6" t="n">
        <v>5.2</v>
      </c>
      <c r="E4402" t="n">
        <v>41393</v>
      </c>
      <c r="F4402" s="6" t="n">
        <v>5.2</v>
      </c>
      <c r="G4402" t="n">
        <v>1</v>
      </c>
      <c r="H4402" s="6">
        <f>ROUND(G4402*F4402,2)</f>
        <v/>
      </c>
      <c r="I4402">
        <f>IF(ROUND(H4402-D4402,2)=0,1,0)</f>
        <v/>
      </c>
      <c r="J4402">
        <f>IF(F4402="","none",IF(G4402=1,"carte","multiple"))</f>
        <v/>
      </c>
    </row>
    <row r="4403">
      <c r="A4403" t="inlineStr">
        <is>
          <t>2022-08-21</t>
        </is>
      </c>
      <c r="B4403" t="inlineStr">
        <is>
          <t>17:47</t>
        </is>
      </c>
      <c r="C4403" t="n">
        <v>3038</v>
      </c>
      <c r="D4403" s="6" t="n">
        <v>7.9</v>
      </c>
      <c r="E4403" t="n">
        <v>41394</v>
      </c>
      <c r="F4403" s="6" t="n">
        <v>7.9</v>
      </c>
      <c r="G4403" t="n">
        <v>1</v>
      </c>
      <c r="H4403" s="6">
        <f>ROUND(G4403*F4403,2)</f>
        <v/>
      </c>
      <c r="I4403">
        <f>IF(ROUND(H4403-D4403,2)=0,1,0)</f>
        <v/>
      </c>
      <c r="J4403">
        <f>IF(F4403="","none",IF(G4403=1,"carte","multiple"))</f>
        <v/>
      </c>
    </row>
    <row r="4404">
      <c r="A4404" t="inlineStr">
        <is>
          <t>2022-08-21</t>
        </is>
      </c>
      <c r="B4404" t="inlineStr">
        <is>
          <t>18:18</t>
        </is>
      </c>
      <c r="C4404" t="n">
        <v>3038</v>
      </c>
      <c r="D4404" s="6" t="n">
        <v>17.6</v>
      </c>
      <c r="E4404" t="n">
        <v>41395</v>
      </c>
      <c r="F4404" s="6" t="n">
        <v>17.6</v>
      </c>
      <c r="G4404" t="n">
        <v>1</v>
      </c>
      <c r="H4404" s="6">
        <f>ROUND(G4404*F4404,2)</f>
        <v/>
      </c>
      <c r="I4404">
        <f>IF(ROUND(H4404-D4404,2)=0,1,0)</f>
        <v/>
      </c>
      <c r="J4404">
        <f>IF(F4404="","none",IF(G4404=1,"carte","multiple"))</f>
        <v/>
      </c>
    </row>
    <row r="4405">
      <c r="A4405" t="inlineStr">
        <is>
          <t>2022-08-21</t>
        </is>
      </c>
      <c r="B4405" t="inlineStr">
        <is>
          <t>19:15</t>
        </is>
      </c>
      <c r="C4405" t="n">
        <v>3038</v>
      </c>
      <c r="D4405" s="6" t="n">
        <v>7.5</v>
      </c>
      <c r="E4405" t="n">
        <v>41396</v>
      </c>
      <c r="F4405" s="6" t="n">
        <v>7.5</v>
      </c>
      <c r="G4405" t="n">
        <v>1</v>
      </c>
      <c r="H4405" s="6">
        <f>ROUND(G4405*F4405,2)</f>
        <v/>
      </c>
      <c r="I4405">
        <f>IF(ROUND(H4405-D4405,2)=0,1,0)</f>
        <v/>
      </c>
      <c r="J4405">
        <f>IF(F4405="","none",IF(G4405=1,"carte","multiple"))</f>
        <v/>
      </c>
    </row>
    <row r="4406">
      <c r="A4406" t="inlineStr">
        <is>
          <t>2022-08-21</t>
        </is>
      </c>
      <c r="B4406" t="inlineStr">
        <is>
          <t>19:34</t>
        </is>
      </c>
      <c r="C4406" t="n">
        <v>3038</v>
      </c>
      <c r="D4406" s="6" t="n">
        <v>18</v>
      </c>
      <c r="E4406" t="n">
        <v>41397</v>
      </c>
      <c r="F4406" s="6" t="n">
        <v>18</v>
      </c>
      <c r="G4406" t="n">
        <v>1</v>
      </c>
      <c r="H4406" s="6">
        <f>ROUND(G4406*F4406,2)</f>
        <v/>
      </c>
      <c r="I4406">
        <f>IF(ROUND(H4406-D4406,2)=0,1,0)</f>
        <v/>
      </c>
      <c r="J4406">
        <f>IF(F4406="","none",IF(G4406=1,"carte","multiple"))</f>
        <v/>
      </c>
    </row>
    <row r="4407">
      <c r="A4407" t="inlineStr">
        <is>
          <t>2022-08-21</t>
        </is>
      </c>
      <c r="B4407" t="inlineStr">
        <is>
          <t>19:34</t>
        </is>
      </c>
      <c r="C4407" t="n">
        <v>3038</v>
      </c>
      <c r="D4407" s="6" t="n">
        <v>16.9</v>
      </c>
      <c r="E4407" t="n">
        <v>41398</v>
      </c>
      <c r="F4407" s="6" t="n">
        <v>16.9</v>
      </c>
      <c r="G4407" t="n">
        <v>1</v>
      </c>
      <c r="H4407" s="6">
        <f>ROUND(G4407*F4407,2)</f>
        <v/>
      </c>
      <c r="I4407">
        <f>IF(ROUND(H4407-D4407,2)=0,1,0)</f>
        <v/>
      </c>
      <c r="J4407">
        <f>IF(F4407="","none",IF(G4407=1,"carte","multiple"))</f>
        <v/>
      </c>
    </row>
    <row r="4408">
      <c r="A4408" t="inlineStr">
        <is>
          <t>2022-08-21</t>
        </is>
      </c>
      <c r="B4408" t="inlineStr">
        <is>
          <t>19:34</t>
        </is>
      </c>
      <c r="C4408" t="n">
        <v>3038</v>
      </c>
      <c r="D4408" s="6" t="n">
        <v>8.800000000000001</v>
      </c>
      <c r="E4408" t="n">
        <v>41399</v>
      </c>
      <c r="F4408" s="6" t="n">
        <v>8.800000000000001</v>
      </c>
      <c r="G4408" t="n">
        <v>1</v>
      </c>
      <c r="H4408" s="6">
        <f>ROUND(G4408*F4408,2)</f>
        <v/>
      </c>
      <c r="I4408">
        <f>IF(ROUND(H4408-D4408,2)=0,1,0)</f>
        <v/>
      </c>
      <c r="J4408">
        <f>IF(F4408="","none",IF(G4408=1,"carte","multiple"))</f>
        <v/>
      </c>
    </row>
    <row r="4409">
      <c r="A4409" t="inlineStr">
        <is>
          <t>2022-08-21</t>
        </is>
      </c>
      <c r="B4409" t="inlineStr">
        <is>
          <t>19:34</t>
        </is>
      </c>
      <c r="C4409" t="n">
        <v>3038</v>
      </c>
      <c r="D4409" s="6" t="n">
        <v>29.8</v>
      </c>
      <c r="E4409" t="n">
        <v>41400</v>
      </c>
      <c r="F4409" s="6" t="n">
        <v>14.9</v>
      </c>
      <c r="G4409" t="n">
        <v>2</v>
      </c>
      <c r="H4409" s="6">
        <f>ROUND(G4409*F4409,2)</f>
        <v/>
      </c>
      <c r="I4409">
        <f>IF(ROUND(H4409-D4409,2)=0,1,0)</f>
        <v/>
      </c>
      <c r="J4409">
        <f>IF(F4409="","none",IF(G4409=1,"carte","multiple"))</f>
        <v/>
      </c>
    </row>
    <row r="4410">
      <c r="A4410" t="inlineStr">
        <is>
          <t>2022-08-21</t>
        </is>
      </c>
      <c r="B4410" t="inlineStr">
        <is>
          <t>20:17</t>
        </is>
      </c>
      <c r="C4410" t="n">
        <v>3038</v>
      </c>
      <c r="D4410" s="6" t="n">
        <v>6.6</v>
      </c>
      <c r="E4410" t="n">
        <v>41401</v>
      </c>
      <c r="F4410" s="6" t="n">
        <v>6.6</v>
      </c>
      <c r="G4410" t="n">
        <v>1</v>
      </c>
      <c r="H4410" s="6">
        <f>ROUND(G4410*F4410,2)</f>
        <v/>
      </c>
      <c r="I4410">
        <f>IF(ROUND(H4410-D4410,2)=0,1,0)</f>
        <v/>
      </c>
      <c r="J4410">
        <f>IF(F4410="","none",IF(G4410=1,"carte","multiple"))</f>
        <v/>
      </c>
    </row>
    <row r="4411">
      <c r="A4411" t="inlineStr">
        <is>
          <t>2022-08-21</t>
        </is>
      </c>
      <c r="B4411" t="inlineStr">
        <is>
          <t>20:17</t>
        </is>
      </c>
      <c r="C4411" t="n">
        <v>3038</v>
      </c>
      <c r="D4411" s="6" t="n">
        <v>8.4</v>
      </c>
      <c r="E4411" t="n">
        <v>41402</v>
      </c>
      <c r="F4411" s="6" t="n">
        <v>8.4</v>
      </c>
      <c r="G4411" t="n">
        <v>1</v>
      </c>
      <c r="H4411" s="6">
        <f>ROUND(G4411*F4411,2)</f>
        <v/>
      </c>
      <c r="I4411">
        <f>IF(ROUND(H4411-D4411,2)=0,1,0)</f>
        <v/>
      </c>
      <c r="J4411">
        <f>IF(F4411="","none",IF(G4411=1,"carte","multiple"))</f>
        <v/>
      </c>
    </row>
    <row r="4412">
      <c r="A4412" t="inlineStr">
        <is>
          <t>2022-08-21</t>
        </is>
      </c>
      <c r="B4412" t="inlineStr">
        <is>
          <t>20:17</t>
        </is>
      </c>
      <c r="C4412" t="n">
        <v>3038</v>
      </c>
      <c r="D4412" s="6" t="n">
        <v>5.6</v>
      </c>
      <c r="E4412" t="n">
        <v>41403</v>
      </c>
      <c r="F4412" s="6" t="n">
        <v>5.6</v>
      </c>
      <c r="G4412" t="n">
        <v>1</v>
      </c>
      <c r="H4412" s="6">
        <f>ROUND(G4412*F4412,2)</f>
        <v/>
      </c>
      <c r="I4412">
        <f>IF(ROUND(H4412-D4412,2)=0,1,0)</f>
        <v/>
      </c>
      <c r="J4412">
        <f>IF(F4412="","none",IF(G4412=1,"carte","multiple"))</f>
        <v/>
      </c>
    </row>
    <row r="4413">
      <c r="A4413" t="inlineStr">
        <is>
          <t>2022-08-21</t>
        </is>
      </c>
      <c r="B4413" t="inlineStr">
        <is>
          <t>20:17</t>
        </is>
      </c>
      <c r="C4413" t="n">
        <v>3038</v>
      </c>
      <c r="D4413" s="6" t="n">
        <v>1.2</v>
      </c>
      <c r="E4413" t="n">
        <v>41404</v>
      </c>
      <c r="F4413" s="6" t="n">
        <v>1.2</v>
      </c>
      <c r="G4413" t="n">
        <v>1</v>
      </c>
      <c r="H4413" s="6">
        <f>ROUND(G4413*F4413,2)</f>
        <v/>
      </c>
      <c r="I4413">
        <f>IF(ROUND(H4413-D4413,2)=0,1,0)</f>
        <v/>
      </c>
      <c r="J4413">
        <f>IF(F4413="","none",IF(G4413=1,"carte","multiple"))</f>
        <v/>
      </c>
    </row>
    <row r="4414">
      <c r="A4414" t="inlineStr">
        <is>
          <t>2022-08-21</t>
        </is>
      </c>
      <c r="B4414" t="inlineStr">
        <is>
          <t>20:17</t>
        </is>
      </c>
      <c r="C4414" t="n">
        <v>3038</v>
      </c>
      <c r="D4414" s="6" t="n">
        <v>4.7</v>
      </c>
      <c r="E4414" t="n">
        <v>41405</v>
      </c>
      <c r="F4414" s="6" t="n">
        <v>4.7</v>
      </c>
      <c r="G4414" t="n">
        <v>1</v>
      </c>
      <c r="H4414" s="6">
        <f>ROUND(G4414*F4414,2)</f>
        <v/>
      </c>
      <c r="I4414">
        <f>IF(ROUND(H4414-D4414,2)=0,1,0)</f>
        <v/>
      </c>
      <c r="J4414">
        <f>IF(F4414="","none",IF(G4414=1,"carte","multiple"))</f>
        <v/>
      </c>
    </row>
    <row r="4415">
      <c r="A4415" t="inlineStr">
        <is>
          <t>2022-08-21</t>
        </is>
      </c>
      <c r="B4415" t="inlineStr">
        <is>
          <t>20:17</t>
        </is>
      </c>
      <c r="C4415" t="n">
        <v>3038</v>
      </c>
      <c r="D4415" s="6" t="n">
        <v>2</v>
      </c>
      <c r="E4415" t="n">
        <v>41406</v>
      </c>
      <c r="F4415" s="6" t="n">
        <v>2</v>
      </c>
      <c r="G4415" t="n">
        <v>1</v>
      </c>
      <c r="H4415" s="6">
        <f>ROUND(G4415*F4415,2)</f>
        <v/>
      </c>
      <c r="I4415">
        <f>IF(ROUND(H4415-D4415,2)=0,1,0)</f>
        <v/>
      </c>
      <c r="J4415">
        <f>IF(F4415="","none",IF(G4415=1,"carte","multiple"))</f>
        <v/>
      </c>
    </row>
    <row r="4416">
      <c r="A4416" t="inlineStr">
        <is>
          <t>2022-08-21</t>
        </is>
      </c>
      <c r="B4416" t="inlineStr">
        <is>
          <t>20:17</t>
        </is>
      </c>
      <c r="C4416" t="n">
        <v>3038</v>
      </c>
      <c r="D4416" s="6" t="n">
        <v>6.5</v>
      </c>
      <c r="E4416" t="n">
        <v>41407</v>
      </c>
      <c r="F4416" s="6" t="n">
        <v>6.5</v>
      </c>
      <c r="G4416" t="n">
        <v>1</v>
      </c>
      <c r="H4416" s="6">
        <f>ROUND(G4416*F4416,2)</f>
        <v/>
      </c>
      <c r="I4416">
        <f>IF(ROUND(H4416-D4416,2)=0,1,0)</f>
        <v/>
      </c>
      <c r="J4416">
        <f>IF(F4416="","none",IF(G4416=1,"carte","multiple"))</f>
        <v/>
      </c>
    </row>
    <row r="4417">
      <c r="A4417" t="inlineStr">
        <is>
          <t>2022-08-21</t>
        </is>
      </c>
      <c r="B4417" t="inlineStr">
        <is>
          <t>20:17</t>
        </is>
      </c>
      <c r="C4417" t="n">
        <v>3038</v>
      </c>
      <c r="D4417" s="6" t="n">
        <v>17.6</v>
      </c>
      <c r="E4417" t="n">
        <v>41408</v>
      </c>
      <c r="F4417" s="6" t="n">
        <v>17.6</v>
      </c>
      <c r="G4417" t="n">
        <v>1</v>
      </c>
      <c r="H4417" s="6">
        <f>ROUND(G4417*F4417,2)</f>
        <v/>
      </c>
      <c r="I4417">
        <f>IF(ROUND(H4417-D4417,2)=0,1,0)</f>
        <v/>
      </c>
      <c r="J4417">
        <f>IF(F4417="","none",IF(G4417=1,"carte","multiple"))</f>
        <v/>
      </c>
    </row>
    <row r="4418">
      <c r="A4418" t="inlineStr">
        <is>
          <t>2022-08-21</t>
        </is>
      </c>
      <c r="B4418" t="inlineStr">
        <is>
          <t>20:17</t>
        </is>
      </c>
      <c r="C4418" t="n">
        <v>3038</v>
      </c>
      <c r="D4418" s="6" t="n">
        <v>19.9</v>
      </c>
      <c r="E4418" t="n">
        <v>41410</v>
      </c>
      <c r="F4418" s="6" t="n">
        <v>19.9</v>
      </c>
      <c r="G4418" t="n">
        <v>1</v>
      </c>
      <c r="H4418" s="6">
        <f>ROUND(G4418*F4418,2)</f>
        <v/>
      </c>
      <c r="I4418">
        <f>IF(ROUND(H4418-D4418,2)=0,1,0)</f>
        <v/>
      </c>
      <c r="J4418">
        <f>IF(F4418="","none",IF(G4418=1,"carte","multiple"))</f>
        <v/>
      </c>
    </row>
    <row r="4419">
      <c r="A4419" t="inlineStr">
        <is>
          <t>2022-08-21</t>
        </is>
      </c>
      <c r="B4419" t="inlineStr">
        <is>
          <t>20:17</t>
        </is>
      </c>
      <c r="C4419" t="n">
        <v>3038</v>
      </c>
      <c r="D4419" s="6" t="n">
        <v>19.9</v>
      </c>
      <c r="E4419" t="n">
        <v>41411</v>
      </c>
      <c r="F4419" s="6" t="n">
        <v>19.9</v>
      </c>
      <c r="G4419" t="n">
        <v>1</v>
      </c>
      <c r="H4419" s="6">
        <f>ROUND(G4419*F4419,2)</f>
        <v/>
      </c>
      <c r="I4419">
        <f>IF(ROUND(H4419-D4419,2)=0,1,0)</f>
        <v/>
      </c>
      <c r="J4419">
        <f>IF(F4419="","none",IF(G4419=1,"carte","multiple"))</f>
        <v/>
      </c>
    </row>
    <row r="4420">
      <c r="A4420" t="inlineStr">
        <is>
          <t>2022-08-21</t>
        </is>
      </c>
      <c r="B4420" t="inlineStr">
        <is>
          <t>20:17</t>
        </is>
      </c>
      <c r="C4420" t="n">
        <v>3038</v>
      </c>
      <c r="D4420" s="6" t="n">
        <v>83.40000000000001</v>
      </c>
      <c r="E4420" t="n">
        <v>41412</v>
      </c>
      <c r="F4420" s="6" t="n">
        <v>13.9</v>
      </c>
      <c r="G4420" t="n">
        <v>6</v>
      </c>
      <c r="H4420" s="6">
        <f>ROUND(G4420*F4420,2)</f>
        <v/>
      </c>
      <c r="I4420">
        <f>IF(ROUND(H4420-D4420,2)=0,1,0)</f>
        <v/>
      </c>
      <c r="J4420">
        <f>IF(F4420="","none",IF(G4420=1,"carte","multiple"))</f>
        <v/>
      </c>
    </row>
    <row r="4421">
      <c r="A4421" t="inlineStr">
        <is>
          <t>2022-08-21</t>
        </is>
      </c>
      <c r="B4421" t="inlineStr">
        <is>
          <t>20:52</t>
        </is>
      </c>
      <c r="C4421" t="n">
        <v>3038</v>
      </c>
      <c r="D4421" s="6" t="n">
        <v>4.7</v>
      </c>
      <c r="E4421" t="n">
        <v>41413</v>
      </c>
      <c r="F4421" s="6" t="n">
        <v>4.7</v>
      </c>
      <c r="G4421" t="n">
        <v>1</v>
      </c>
      <c r="H4421" s="6">
        <f>ROUND(G4421*F4421,2)</f>
        <v/>
      </c>
      <c r="I4421">
        <f>IF(ROUND(H4421-D4421,2)=0,1,0)</f>
        <v/>
      </c>
      <c r="J4421">
        <f>IF(F4421="","none",IF(G4421=1,"carte","multiple"))</f>
        <v/>
      </c>
    </row>
    <row r="4422">
      <c r="A4422" t="inlineStr">
        <is>
          <t>2022-08-21</t>
        </is>
      </c>
      <c r="B4422" t="inlineStr">
        <is>
          <t>20:52</t>
        </is>
      </c>
      <c r="C4422" t="n">
        <v>3038</v>
      </c>
      <c r="D4422" s="6" t="n">
        <v>17.6</v>
      </c>
      <c r="E4422" t="n">
        <v>41414</v>
      </c>
      <c r="F4422" s="6" t="n">
        <v>17.6</v>
      </c>
      <c r="G4422" t="n">
        <v>1</v>
      </c>
      <c r="H4422" s="6">
        <f>ROUND(G4422*F4422,2)</f>
        <v/>
      </c>
      <c r="I4422">
        <f>IF(ROUND(H4422-D4422,2)=0,1,0)</f>
        <v/>
      </c>
      <c r="J4422">
        <f>IF(F4422="","none",IF(G4422=1,"carte","multiple"))</f>
        <v/>
      </c>
    </row>
    <row r="4423">
      <c r="A4423" t="inlineStr">
        <is>
          <t>2022-08-21</t>
        </is>
      </c>
      <c r="B4423" t="inlineStr">
        <is>
          <t>20:52</t>
        </is>
      </c>
      <c r="C4423" t="n">
        <v>3038</v>
      </c>
      <c r="D4423" s="6" t="n">
        <v>17.6</v>
      </c>
      <c r="E4423" t="n">
        <v>41415</v>
      </c>
      <c r="F4423" s="6" t="n">
        <v>17.6</v>
      </c>
      <c r="G4423" t="n">
        <v>1</v>
      </c>
      <c r="H4423" s="6">
        <f>ROUND(G4423*F4423,2)</f>
        <v/>
      </c>
      <c r="I4423">
        <f>IF(ROUND(H4423-D4423,2)=0,1,0)</f>
        <v/>
      </c>
      <c r="J4423">
        <f>IF(F4423="","none",IF(G4423=1,"carte","multiple"))</f>
        <v/>
      </c>
    </row>
    <row r="4424">
      <c r="A4424" t="inlineStr">
        <is>
          <t>2022-08-21</t>
        </is>
      </c>
      <c r="B4424" t="inlineStr">
        <is>
          <t>20:52</t>
        </is>
      </c>
      <c r="C4424" t="n">
        <v>3038</v>
      </c>
      <c r="D4424" s="6" t="n">
        <v>32</v>
      </c>
      <c r="E4424" t="n">
        <v>41416</v>
      </c>
      <c r="F4424" s="6" t="n">
        <v>32</v>
      </c>
      <c r="G4424" t="n">
        <v>1</v>
      </c>
      <c r="H4424" s="6">
        <f>ROUND(G4424*F4424,2)</f>
        <v/>
      </c>
      <c r="I4424">
        <f>IF(ROUND(H4424-D4424,2)=0,1,0)</f>
        <v/>
      </c>
      <c r="J4424">
        <f>IF(F4424="","none",IF(G4424=1,"carte","multiple"))</f>
        <v/>
      </c>
    </row>
    <row r="4425">
      <c r="A4425" t="inlineStr">
        <is>
          <t>2022-08-21</t>
        </is>
      </c>
      <c r="B4425" t="inlineStr">
        <is>
          <t>20:52</t>
        </is>
      </c>
      <c r="C4425" t="n">
        <v>3038</v>
      </c>
      <c r="D4425" s="6" t="n">
        <v>3.9</v>
      </c>
      <c r="E4425" t="n">
        <v>41417</v>
      </c>
      <c r="F4425" s="6" t="n">
        <v>3.9</v>
      </c>
      <c r="G4425" t="n">
        <v>1</v>
      </c>
      <c r="H4425" s="6">
        <f>ROUND(G4425*F4425,2)</f>
        <v/>
      </c>
      <c r="I4425">
        <f>IF(ROUND(H4425-D4425,2)=0,1,0)</f>
        <v/>
      </c>
      <c r="J4425">
        <f>IF(F4425="","none",IF(G4425=1,"carte","multiple"))</f>
        <v/>
      </c>
    </row>
    <row r="4426">
      <c r="A4426" t="inlineStr">
        <is>
          <t>2022-08-21</t>
        </is>
      </c>
      <c r="B4426" t="inlineStr">
        <is>
          <t>20:52</t>
        </is>
      </c>
      <c r="C4426" t="n">
        <v>3038</v>
      </c>
      <c r="D4426" s="6" t="n">
        <v>4.2</v>
      </c>
      <c r="E4426" t="n">
        <v>41418</v>
      </c>
      <c r="F4426" s="6" t="n">
        <v>4.2</v>
      </c>
      <c r="G4426" t="n">
        <v>1</v>
      </c>
      <c r="H4426" s="6">
        <f>ROUND(G4426*F4426,2)</f>
        <v/>
      </c>
      <c r="I4426">
        <f>IF(ROUND(H4426-D4426,2)=0,1,0)</f>
        <v/>
      </c>
      <c r="J4426">
        <f>IF(F4426="","none",IF(G4426=1,"carte","multiple"))</f>
        <v/>
      </c>
    </row>
    <row r="4427">
      <c r="A4427" t="inlineStr">
        <is>
          <t>2022-08-21</t>
        </is>
      </c>
      <c r="B4427" t="inlineStr">
        <is>
          <t>20:52</t>
        </is>
      </c>
      <c r="C4427" t="n">
        <v>3038</v>
      </c>
      <c r="D4427" s="6" t="n">
        <v>4.9</v>
      </c>
      <c r="E4427" t="n">
        <v>41419</v>
      </c>
      <c r="F4427" s="6" t="n">
        <v>4.9</v>
      </c>
      <c r="G4427" t="n">
        <v>1</v>
      </c>
      <c r="H4427" s="6">
        <f>ROUND(G4427*F4427,2)</f>
        <v/>
      </c>
      <c r="I4427">
        <f>IF(ROUND(H4427-D4427,2)=0,1,0)</f>
        <v/>
      </c>
      <c r="J4427">
        <f>IF(F4427="","none",IF(G4427=1,"carte","multiple"))</f>
        <v/>
      </c>
    </row>
    <row r="4428">
      <c r="A4428" t="inlineStr">
        <is>
          <t>2022-08-24</t>
        </is>
      </c>
      <c r="B4428" t="inlineStr">
        <is>
          <t>11:25</t>
        </is>
      </c>
      <c r="C4428" t="n">
        <v>3039</v>
      </c>
      <c r="D4428" s="6" t="n">
        <v>7.2</v>
      </c>
      <c r="E4428" t="n">
        <v>41422</v>
      </c>
      <c r="F4428" s="6" t="n">
        <v>7.2</v>
      </c>
      <c r="G4428" t="n">
        <v>1</v>
      </c>
      <c r="H4428" s="6">
        <f>ROUND(G4428*F4428,2)</f>
        <v/>
      </c>
      <c r="I4428">
        <f>IF(ROUND(H4428-D4428,2)=0,1,0)</f>
        <v/>
      </c>
      <c r="J4428">
        <f>IF(F4428="","none",IF(G4428=1,"carte","multiple"))</f>
        <v/>
      </c>
    </row>
    <row r="4429">
      <c r="A4429" t="inlineStr">
        <is>
          <t>2022-08-24</t>
        </is>
      </c>
      <c r="B4429" t="inlineStr">
        <is>
          <t>11:46</t>
        </is>
      </c>
      <c r="C4429" t="n">
        <v>3039</v>
      </c>
      <c r="D4429" s="6" t="n">
        <v>19.9</v>
      </c>
      <c r="E4429" t="n">
        <v>41423</v>
      </c>
      <c r="F4429" s="6" t="n">
        <v>19.9</v>
      </c>
      <c r="G4429" t="n">
        <v>1</v>
      </c>
      <c r="H4429" s="6">
        <f>ROUND(G4429*F4429,2)</f>
        <v/>
      </c>
      <c r="I4429">
        <f>IF(ROUND(H4429-D4429,2)=0,1,0)</f>
        <v/>
      </c>
      <c r="J4429">
        <f>IF(F4429="","none",IF(G4429=1,"carte","multiple"))</f>
        <v/>
      </c>
    </row>
    <row r="4430">
      <c r="A4430" t="inlineStr">
        <is>
          <t>2022-08-24</t>
        </is>
      </c>
      <c r="B4430" t="inlineStr">
        <is>
          <t>11:52</t>
        </is>
      </c>
      <c r="C4430" t="n">
        <v>3039</v>
      </c>
      <c r="D4430" s="6" t="n">
        <v>3.9</v>
      </c>
      <c r="E4430" t="n">
        <v>41424</v>
      </c>
      <c r="F4430" s="6" t="n">
        <v>3.9</v>
      </c>
      <c r="G4430" t="n">
        <v>1</v>
      </c>
      <c r="H4430" s="6">
        <f>ROUND(G4430*F4430,2)</f>
        <v/>
      </c>
      <c r="I4430">
        <f>IF(ROUND(H4430-D4430,2)=0,1,0)</f>
        <v/>
      </c>
      <c r="J4430">
        <f>IF(F4430="","none",IF(G4430=1,"carte","multiple"))</f>
        <v/>
      </c>
    </row>
    <row r="4431">
      <c r="A4431" t="inlineStr">
        <is>
          <t>2022-08-24</t>
        </is>
      </c>
      <c r="B4431" t="inlineStr">
        <is>
          <t>12:01</t>
        </is>
      </c>
      <c r="C4431" t="n">
        <v>3039</v>
      </c>
      <c r="D4431" s="6" t="n">
        <v>2</v>
      </c>
      <c r="E4431" t="n">
        <v>41425</v>
      </c>
      <c r="F4431" s="6" t="n">
        <v>2</v>
      </c>
      <c r="G4431" t="n">
        <v>1</v>
      </c>
      <c r="H4431" s="6">
        <f>ROUND(G4431*F4431,2)</f>
        <v/>
      </c>
      <c r="I4431">
        <f>IF(ROUND(H4431-D4431,2)=0,1,0)</f>
        <v/>
      </c>
      <c r="J4431">
        <f>IF(F4431="","none",IF(G4431=1,"carte","multiple"))</f>
        <v/>
      </c>
    </row>
    <row r="4432">
      <c r="A4432" t="inlineStr">
        <is>
          <t>2022-08-24</t>
        </is>
      </c>
      <c r="B4432" t="inlineStr">
        <is>
          <t>12:01</t>
        </is>
      </c>
      <c r="C4432" t="n">
        <v>3039</v>
      </c>
      <c r="D4432" s="6" t="n">
        <v>5.8</v>
      </c>
      <c r="E4432" t="n">
        <v>41426</v>
      </c>
      <c r="F4432" s="6" t="n">
        <v>5.8</v>
      </c>
      <c r="G4432" t="n">
        <v>1</v>
      </c>
      <c r="H4432" s="6">
        <f>ROUND(G4432*F4432,2)</f>
        <v/>
      </c>
      <c r="I4432">
        <f>IF(ROUND(H4432-D4432,2)=0,1,0)</f>
        <v/>
      </c>
      <c r="J4432">
        <f>IF(F4432="","none",IF(G4432=1,"carte","multiple"))</f>
        <v/>
      </c>
    </row>
    <row r="4433">
      <c r="A4433" t="inlineStr">
        <is>
          <t>2022-08-24</t>
        </is>
      </c>
      <c r="B4433" t="inlineStr">
        <is>
          <t>12:01</t>
        </is>
      </c>
      <c r="C4433" t="n">
        <v>3039</v>
      </c>
      <c r="D4433" s="6" t="n">
        <v>39.8</v>
      </c>
      <c r="E4433" t="n">
        <v>41427</v>
      </c>
      <c r="F4433" s="6" t="n">
        <v>39.8</v>
      </c>
      <c r="G4433" t="n">
        <v>1</v>
      </c>
      <c r="H4433" s="6">
        <f>ROUND(G4433*F4433,2)</f>
        <v/>
      </c>
      <c r="I4433">
        <f>IF(ROUND(H4433-D4433,2)=0,1,0)</f>
        <v/>
      </c>
      <c r="J4433">
        <f>IF(F4433="","none",IF(G4433=1,"carte","multiple"))</f>
        <v/>
      </c>
    </row>
    <row r="4434">
      <c r="A4434" t="inlineStr">
        <is>
          <t>2022-08-24</t>
        </is>
      </c>
      <c r="B4434" t="inlineStr">
        <is>
          <t>12:01</t>
        </is>
      </c>
      <c r="C4434" t="n">
        <v>3039</v>
      </c>
      <c r="D4434" s="6" t="n">
        <v>5.2</v>
      </c>
      <c r="E4434" t="n">
        <v>41428</v>
      </c>
      <c r="F4434" s="6" t="n">
        <v>5.2</v>
      </c>
      <c r="G4434" t="n">
        <v>1</v>
      </c>
      <c r="H4434" s="6">
        <f>ROUND(G4434*F4434,2)</f>
        <v/>
      </c>
      <c r="I4434">
        <f>IF(ROUND(H4434-D4434,2)=0,1,0)</f>
        <v/>
      </c>
      <c r="J4434">
        <f>IF(F4434="","none",IF(G4434=1,"carte","multiple"))</f>
        <v/>
      </c>
    </row>
    <row r="4435">
      <c r="A4435" t="inlineStr">
        <is>
          <t>2022-08-24</t>
        </is>
      </c>
      <c r="B4435" t="inlineStr">
        <is>
          <t>12:01</t>
        </is>
      </c>
      <c r="C4435" t="n">
        <v>3039</v>
      </c>
      <c r="D4435" s="6" t="n">
        <v>5.2</v>
      </c>
      <c r="E4435" t="n">
        <v>41429</v>
      </c>
      <c r="F4435" s="6" t="n">
        <v>5.2</v>
      </c>
      <c r="G4435" t="n">
        <v>1</v>
      </c>
      <c r="H4435" s="6">
        <f>ROUND(G4435*F4435,2)</f>
        <v/>
      </c>
      <c r="I4435">
        <f>IF(ROUND(H4435-D4435,2)=0,1,0)</f>
        <v/>
      </c>
      <c r="J4435">
        <f>IF(F4435="","none",IF(G4435=1,"carte","multiple"))</f>
        <v/>
      </c>
    </row>
    <row r="4436">
      <c r="A4436" t="inlineStr">
        <is>
          <t>2022-08-24</t>
        </is>
      </c>
      <c r="B4436" t="inlineStr">
        <is>
          <t>12:37</t>
        </is>
      </c>
      <c r="C4436" t="n">
        <v>3039</v>
      </c>
      <c r="D4436" s="6" t="n">
        <v>1.8</v>
      </c>
      <c r="E4436" t="n">
        <v>41430</v>
      </c>
      <c r="F4436" s="6" t="n">
        <v>1.8</v>
      </c>
      <c r="G4436" t="n">
        <v>1</v>
      </c>
      <c r="H4436" s="6">
        <f>ROUND(G4436*F4436,2)</f>
        <v/>
      </c>
      <c r="I4436">
        <f>IF(ROUND(H4436-D4436,2)=0,1,0)</f>
        <v/>
      </c>
      <c r="J4436">
        <f>IF(F4436="","none",IF(G4436=1,"carte","multiple"))</f>
        <v/>
      </c>
    </row>
    <row r="4437">
      <c r="A4437" t="inlineStr">
        <is>
          <t>2022-08-24</t>
        </is>
      </c>
      <c r="B4437" t="inlineStr">
        <is>
          <t>13:03</t>
        </is>
      </c>
      <c r="C4437" t="n">
        <v>3039</v>
      </c>
      <c r="D4437" s="6" t="n">
        <v>3.9</v>
      </c>
      <c r="E4437" t="n">
        <v>41431</v>
      </c>
      <c r="F4437" s="6" t="n">
        <v>3.9</v>
      </c>
      <c r="G4437" t="n">
        <v>1</v>
      </c>
      <c r="H4437" s="6">
        <f>ROUND(G4437*F4437,2)</f>
        <v/>
      </c>
      <c r="I4437">
        <f>IF(ROUND(H4437-D4437,2)=0,1,0)</f>
        <v/>
      </c>
      <c r="J4437">
        <f>IF(F4437="","none",IF(G4437=1,"carte","multiple"))</f>
        <v/>
      </c>
    </row>
    <row r="4438">
      <c r="A4438" t="inlineStr">
        <is>
          <t>2022-08-24</t>
        </is>
      </c>
      <c r="B4438" t="inlineStr">
        <is>
          <t>13:03</t>
        </is>
      </c>
      <c r="C4438" t="n">
        <v>3039</v>
      </c>
      <c r="D4438" s="6" t="n">
        <v>5.9</v>
      </c>
      <c r="E4438" t="n">
        <v>41432</v>
      </c>
      <c r="F4438" s="6" t="n">
        <v>5.9</v>
      </c>
      <c r="G4438" t="n">
        <v>1</v>
      </c>
      <c r="H4438" s="6">
        <f>ROUND(G4438*F4438,2)</f>
        <v/>
      </c>
      <c r="I4438">
        <f>IF(ROUND(H4438-D4438,2)=0,1,0)</f>
        <v/>
      </c>
      <c r="J4438">
        <f>IF(F4438="","none",IF(G4438=1,"carte","multiple"))</f>
        <v/>
      </c>
    </row>
    <row r="4439">
      <c r="A4439" t="inlineStr">
        <is>
          <t>2022-08-24</t>
        </is>
      </c>
      <c r="B4439" t="inlineStr">
        <is>
          <t>13:03</t>
        </is>
      </c>
      <c r="C4439" t="n">
        <v>3039</v>
      </c>
      <c r="D4439" s="6" t="n">
        <v>31.8</v>
      </c>
      <c r="E4439" t="n">
        <v>41433</v>
      </c>
      <c r="F4439" s="6" t="n">
        <v>31.8</v>
      </c>
      <c r="G4439" t="n">
        <v>1</v>
      </c>
      <c r="H4439" s="6">
        <f>ROUND(G4439*F4439,2)</f>
        <v/>
      </c>
      <c r="I4439">
        <f>IF(ROUND(H4439-D4439,2)=0,1,0)</f>
        <v/>
      </c>
      <c r="J4439">
        <f>IF(F4439="","none",IF(G4439=1,"carte","multiple"))</f>
        <v/>
      </c>
    </row>
    <row r="4440">
      <c r="A4440" t="inlineStr">
        <is>
          <t>2022-08-24</t>
        </is>
      </c>
      <c r="B4440" t="inlineStr">
        <is>
          <t>13:03</t>
        </is>
      </c>
      <c r="C4440" t="n">
        <v>3039</v>
      </c>
      <c r="D4440" s="6" t="n">
        <v>5.2</v>
      </c>
      <c r="E4440" t="n">
        <v>41434</v>
      </c>
      <c r="F4440" s="6" t="n">
        <v>5.2</v>
      </c>
      <c r="G4440" t="n">
        <v>1</v>
      </c>
      <c r="H4440" s="6">
        <f>ROUND(G4440*F4440,2)</f>
        <v/>
      </c>
      <c r="I4440">
        <f>IF(ROUND(H4440-D4440,2)=0,1,0)</f>
        <v/>
      </c>
      <c r="J4440">
        <f>IF(F4440="","none",IF(G4440=1,"carte","multiple"))</f>
        <v/>
      </c>
    </row>
    <row r="4441">
      <c r="A4441" t="inlineStr">
        <is>
          <t>2022-08-24</t>
        </is>
      </c>
      <c r="B4441" t="inlineStr">
        <is>
          <t>13:03</t>
        </is>
      </c>
      <c r="C4441" t="n">
        <v>3039</v>
      </c>
      <c r="D4441" s="6" t="n">
        <v>6</v>
      </c>
      <c r="E4441" t="n">
        <v>41435</v>
      </c>
      <c r="F4441" s="6" t="n">
        <v>6</v>
      </c>
      <c r="G4441" t="n">
        <v>1</v>
      </c>
      <c r="H4441" s="6">
        <f>ROUND(G4441*F4441,2)</f>
        <v/>
      </c>
      <c r="I4441">
        <f>IF(ROUND(H4441-D4441,2)=0,1,0)</f>
        <v/>
      </c>
      <c r="J4441">
        <f>IF(F4441="","none",IF(G4441=1,"carte","multiple"))</f>
        <v/>
      </c>
    </row>
    <row r="4442">
      <c r="A4442" t="inlineStr">
        <is>
          <t>2022-08-24</t>
        </is>
      </c>
      <c r="B4442" t="inlineStr">
        <is>
          <t>17:47</t>
        </is>
      </c>
      <c r="C4442" t="n">
        <v>3039</v>
      </c>
      <c r="D4442" s="6" t="n">
        <v>29.9</v>
      </c>
      <c r="E4442" t="n">
        <v>41437</v>
      </c>
      <c r="F4442" s="6" t="n">
        <v>29.9</v>
      </c>
      <c r="G4442" t="n">
        <v>1</v>
      </c>
      <c r="H4442" s="6">
        <f>ROUND(G4442*F4442,2)</f>
        <v/>
      </c>
      <c r="I4442">
        <f>IF(ROUND(H4442-D4442,2)=0,1,0)</f>
        <v/>
      </c>
      <c r="J4442">
        <f>IF(F4442="","none",IF(G4442=1,"carte","multiple"))</f>
        <v/>
      </c>
    </row>
    <row r="4443">
      <c r="A4443" t="inlineStr">
        <is>
          <t>2022-08-24</t>
        </is>
      </c>
      <c r="B4443" t="inlineStr">
        <is>
          <t>18:45</t>
        </is>
      </c>
      <c r="C4443" t="n">
        <v>3039</v>
      </c>
      <c r="D4443" s="6" t="n">
        <v>5.4</v>
      </c>
      <c r="E4443" t="n">
        <v>41438</v>
      </c>
      <c r="F4443" s="6" t="n">
        <v>5.4</v>
      </c>
      <c r="G4443" t="n">
        <v>1</v>
      </c>
      <c r="H4443" s="6">
        <f>ROUND(G4443*F4443,2)</f>
        <v/>
      </c>
      <c r="I4443">
        <f>IF(ROUND(H4443-D4443,2)=0,1,0)</f>
        <v/>
      </c>
      <c r="J4443">
        <f>IF(F4443="","none",IF(G4443=1,"carte","multiple"))</f>
        <v/>
      </c>
    </row>
    <row r="4444">
      <c r="A4444" t="inlineStr">
        <is>
          <t>2022-08-24</t>
        </is>
      </c>
      <c r="B4444" t="inlineStr">
        <is>
          <t>19:57</t>
        </is>
      </c>
      <c r="C4444" t="n">
        <v>3039</v>
      </c>
      <c r="D4444" s="6" t="n">
        <v>2.2</v>
      </c>
      <c r="E4444" t="n">
        <v>41439</v>
      </c>
      <c r="F4444" s="6" t="n">
        <v>2.2</v>
      </c>
      <c r="G4444" t="n">
        <v>1</v>
      </c>
      <c r="H4444" s="6">
        <f>ROUND(G4444*F4444,2)</f>
        <v/>
      </c>
      <c r="I4444">
        <f>IF(ROUND(H4444-D4444,2)=0,1,0)</f>
        <v/>
      </c>
      <c r="J4444">
        <f>IF(F4444="","none",IF(G4444=1,"carte","multiple"))</f>
        <v/>
      </c>
    </row>
    <row r="4445">
      <c r="A4445" t="inlineStr">
        <is>
          <t>2022-08-24</t>
        </is>
      </c>
      <c r="B4445" t="inlineStr">
        <is>
          <t>19:58</t>
        </is>
      </c>
      <c r="C4445" t="n">
        <v>3039</v>
      </c>
      <c r="D4445" s="6" t="n">
        <v>2.2</v>
      </c>
      <c r="E4445" t="n">
        <v>41440</v>
      </c>
      <c r="F4445" s="6" t="n">
        <v>2.2</v>
      </c>
      <c r="G4445" t="n">
        <v>1</v>
      </c>
      <c r="H4445" s="6">
        <f>ROUND(G4445*F4445,2)</f>
        <v/>
      </c>
      <c r="I4445">
        <f>IF(ROUND(H4445-D4445,2)=0,1,0)</f>
        <v/>
      </c>
      <c r="J4445">
        <f>IF(F4445="","none",IF(G4445=1,"carte","multiple"))</f>
        <v/>
      </c>
    </row>
    <row r="4446">
      <c r="A4446" t="inlineStr">
        <is>
          <t>2022-08-24</t>
        </is>
      </c>
      <c r="B4446" t="inlineStr">
        <is>
          <t>19:58</t>
        </is>
      </c>
      <c r="C4446" t="n">
        <v>3039</v>
      </c>
      <c r="D4446" s="6" t="n">
        <v>2.2</v>
      </c>
      <c r="E4446" t="n">
        <v>41441</v>
      </c>
      <c r="F4446" s="6" t="n">
        <v>2.2</v>
      </c>
      <c r="G4446" t="n">
        <v>1</v>
      </c>
      <c r="H4446" s="6">
        <f>ROUND(G4446*F4446,2)</f>
        <v/>
      </c>
      <c r="I4446">
        <f>IF(ROUND(H4446-D4446,2)=0,1,0)</f>
        <v/>
      </c>
      <c r="J4446">
        <f>IF(F4446="","none",IF(G4446=1,"carte","multiple"))</f>
        <v/>
      </c>
    </row>
    <row r="4447">
      <c r="A4447" t="inlineStr">
        <is>
          <t>2022-08-24</t>
        </is>
      </c>
      <c r="B4447" t="inlineStr">
        <is>
          <t>19:59</t>
        </is>
      </c>
      <c r="C4447" t="n">
        <v>3039</v>
      </c>
      <c r="D4447" s="6" t="n">
        <v>3.9</v>
      </c>
      <c r="E4447" t="n">
        <v>41442</v>
      </c>
      <c r="F4447" s="6" t="n">
        <v>3.9</v>
      </c>
      <c r="G4447" t="n">
        <v>1</v>
      </c>
      <c r="H4447" s="6">
        <f>ROUND(G4447*F4447,2)</f>
        <v/>
      </c>
      <c r="I4447">
        <f>IF(ROUND(H4447-D4447,2)=0,1,0)</f>
        <v/>
      </c>
      <c r="J4447">
        <f>IF(F4447="","none",IF(G4447=1,"carte","multiple"))</f>
        <v/>
      </c>
    </row>
    <row r="4448">
      <c r="A4448" t="inlineStr">
        <is>
          <t>2022-08-24</t>
        </is>
      </c>
      <c r="B4448" t="inlineStr">
        <is>
          <t>20:22</t>
        </is>
      </c>
      <c r="C4448" t="n">
        <v>3039</v>
      </c>
      <c r="D4448" s="6" t="n">
        <v>4.4</v>
      </c>
      <c r="E4448" t="n">
        <v>41443</v>
      </c>
      <c r="F4448" s="6" t="n">
        <v>0.4</v>
      </c>
      <c r="G4448" t="n">
        <v>11</v>
      </c>
      <c r="H4448" s="6">
        <f>ROUND(G4448*F4448,2)</f>
        <v/>
      </c>
      <c r="I4448">
        <f>IF(ROUND(H4448-D4448,2)=0,1,0)</f>
        <v/>
      </c>
      <c r="J4448">
        <f>IF(F4448="","none",IF(G4448=1,"carte","multiple"))</f>
        <v/>
      </c>
    </row>
    <row r="4449">
      <c r="A4449" t="inlineStr">
        <is>
          <t>2022-08-24</t>
        </is>
      </c>
      <c r="B4449" t="inlineStr">
        <is>
          <t>20:22</t>
        </is>
      </c>
      <c r="C4449" t="n">
        <v>3039</v>
      </c>
      <c r="D4449" s="6" t="n">
        <v>64</v>
      </c>
      <c r="E4449" t="n">
        <v>41444</v>
      </c>
      <c r="F4449" s="6" t="n">
        <v>64</v>
      </c>
      <c r="G4449" t="n">
        <v>1</v>
      </c>
      <c r="H4449" s="6">
        <f>ROUND(G4449*F4449,2)</f>
        <v/>
      </c>
      <c r="I4449">
        <f>IF(ROUND(H4449-D4449,2)=0,1,0)</f>
        <v/>
      </c>
      <c r="J4449">
        <f>IF(F4449="","none",IF(G4449=1,"carte","multiple"))</f>
        <v/>
      </c>
    </row>
    <row r="4450">
      <c r="A4450" t="inlineStr">
        <is>
          <t>2022-08-24</t>
        </is>
      </c>
      <c r="B4450" t="inlineStr">
        <is>
          <t>20:22</t>
        </is>
      </c>
      <c r="C4450" t="n">
        <v>3039</v>
      </c>
      <c r="D4450" s="6" t="n">
        <v>14.4</v>
      </c>
      <c r="E4450" t="n">
        <v>41445</v>
      </c>
      <c r="F4450" s="6" t="n">
        <v>0.4</v>
      </c>
      <c r="G4450" t="n">
        <v>36</v>
      </c>
      <c r="H4450" s="6">
        <f>ROUND(G4450*F4450,2)</f>
        <v/>
      </c>
      <c r="I4450">
        <f>IF(ROUND(H4450-D4450,2)=0,1,0)</f>
        <v/>
      </c>
      <c r="J4450">
        <f>IF(F4450="","none",IF(G4450=1,"carte","multiple"))</f>
        <v/>
      </c>
    </row>
    <row r="4451">
      <c r="A4451" t="inlineStr">
        <is>
          <t>2022-08-24</t>
        </is>
      </c>
      <c r="B4451" t="inlineStr">
        <is>
          <t>20:33</t>
        </is>
      </c>
      <c r="C4451" t="n">
        <v>3039</v>
      </c>
      <c r="D4451" s="6" t="n">
        <v>19</v>
      </c>
      <c r="E4451" t="n">
        <v>41446</v>
      </c>
      <c r="F4451" s="6" t="n">
        <v>19</v>
      </c>
      <c r="G4451" t="n">
        <v>1</v>
      </c>
      <c r="H4451" s="6">
        <f>ROUND(G4451*F4451,2)</f>
        <v/>
      </c>
      <c r="I4451">
        <f>IF(ROUND(H4451-D4451,2)=0,1,0)</f>
        <v/>
      </c>
      <c r="J4451">
        <f>IF(F4451="","none",IF(G4451=1,"carte","multiple"))</f>
        <v/>
      </c>
    </row>
    <row r="4452">
      <c r="A4452" t="inlineStr">
        <is>
          <t>2022-08-24</t>
        </is>
      </c>
      <c r="B4452" t="inlineStr">
        <is>
          <t>20:33</t>
        </is>
      </c>
      <c r="C4452" t="n">
        <v>3039</v>
      </c>
      <c r="D4452" s="6" t="n">
        <v>16.9</v>
      </c>
      <c r="E4452" t="n">
        <v>41447</v>
      </c>
      <c r="F4452" s="6" t="n">
        <v>16.9</v>
      </c>
      <c r="G4452" t="n">
        <v>1</v>
      </c>
      <c r="H4452" s="6">
        <f>ROUND(G4452*F4452,2)</f>
        <v/>
      </c>
      <c r="I4452">
        <f>IF(ROUND(H4452-D4452,2)=0,1,0)</f>
        <v/>
      </c>
      <c r="J4452">
        <f>IF(F4452="","none",IF(G4452=1,"carte","multiple"))</f>
        <v/>
      </c>
    </row>
    <row r="4453">
      <c r="A4453" t="inlineStr">
        <is>
          <t>2022-08-24</t>
        </is>
      </c>
      <c r="B4453" t="inlineStr">
        <is>
          <t>20:41</t>
        </is>
      </c>
      <c r="C4453" t="n">
        <v>3039</v>
      </c>
      <c r="D4453" s="6" t="n">
        <v>3.9</v>
      </c>
      <c r="E4453" t="n">
        <v>41448</v>
      </c>
      <c r="F4453" s="6" t="n">
        <v>3.9</v>
      </c>
      <c r="G4453" t="n">
        <v>1</v>
      </c>
      <c r="H4453" s="6">
        <f>ROUND(G4453*F4453,2)</f>
        <v/>
      </c>
      <c r="I4453">
        <f>IF(ROUND(H4453-D4453,2)=0,1,0)</f>
        <v/>
      </c>
      <c r="J4453">
        <f>IF(F4453="","none",IF(G4453=1,"carte","multiple"))</f>
        <v/>
      </c>
    </row>
    <row r="4454">
      <c r="A4454" t="inlineStr">
        <is>
          <t>2022-08-25</t>
        </is>
      </c>
      <c r="B4454" t="inlineStr">
        <is>
          <t>11:49</t>
        </is>
      </c>
      <c r="C4454" t="n">
        <v>3040</v>
      </c>
      <c r="D4454" s="6" t="n">
        <v>8</v>
      </c>
      <c r="E4454" t="n">
        <v>41451</v>
      </c>
      <c r="F4454" s="6" t="n">
        <v>8</v>
      </c>
      <c r="G4454" t="n">
        <v>1</v>
      </c>
      <c r="H4454" s="6">
        <f>ROUND(G4454*F4454,2)</f>
        <v/>
      </c>
      <c r="I4454">
        <f>IF(ROUND(H4454-D4454,2)=0,1,0)</f>
        <v/>
      </c>
      <c r="J4454">
        <f>IF(F4454="","none",IF(G4454=1,"carte","multiple"))</f>
        <v/>
      </c>
    </row>
    <row r="4455">
      <c r="A4455" t="inlineStr">
        <is>
          <t>2022-08-25</t>
        </is>
      </c>
      <c r="B4455" t="inlineStr">
        <is>
          <t>12:02</t>
        </is>
      </c>
      <c r="C4455" t="n">
        <v>3040</v>
      </c>
      <c r="D4455" s="6" t="n">
        <v>2.2</v>
      </c>
      <c r="E4455" t="n">
        <v>41452</v>
      </c>
      <c r="F4455" s="6" t="n">
        <v>2.2</v>
      </c>
      <c r="G4455" t="n">
        <v>1</v>
      </c>
      <c r="H4455" s="6">
        <f>ROUND(G4455*F4455,2)</f>
        <v/>
      </c>
      <c r="I4455">
        <f>IF(ROUND(H4455-D4455,2)=0,1,0)</f>
        <v/>
      </c>
      <c r="J4455">
        <f>IF(F4455="","none",IF(G4455=1,"carte","multiple"))</f>
        <v/>
      </c>
    </row>
    <row r="4456">
      <c r="A4456" t="inlineStr">
        <is>
          <t>2022-08-25</t>
        </is>
      </c>
      <c r="B4456" t="inlineStr">
        <is>
          <t>12:02</t>
        </is>
      </c>
      <c r="C4456" t="n">
        <v>3040</v>
      </c>
      <c r="D4456" s="6" t="n">
        <v>31.8</v>
      </c>
      <c r="E4456" t="n">
        <v>41453</v>
      </c>
      <c r="F4456" s="6" t="n">
        <v>31.8</v>
      </c>
      <c r="G4456" t="n">
        <v>1</v>
      </c>
      <c r="H4456" s="6">
        <f>ROUND(G4456*F4456,2)</f>
        <v/>
      </c>
      <c r="I4456">
        <f>IF(ROUND(H4456-D4456,2)=0,1,0)</f>
        <v/>
      </c>
      <c r="J4456">
        <f>IF(F4456="","none",IF(G4456=1,"carte","multiple"))</f>
        <v/>
      </c>
    </row>
    <row r="4457">
      <c r="A4457" t="inlineStr">
        <is>
          <t>2022-08-25</t>
        </is>
      </c>
      <c r="B4457" t="inlineStr">
        <is>
          <t>12:02</t>
        </is>
      </c>
      <c r="C4457" t="n">
        <v>3040</v>
      </c>
      <c r="D4457" s="6" t="n">
        <v>5.9</v>
      </c>
      <c r="E4457" t="n">
        <v>41454</v>
      </c>
      <c r="F4457" s="6" t="n">
        <v>5.9</v>
      </c>
      <c r="G4457" t="n">
        <v>1</v>
      </c>
      <c r="H4457" s="6">
        <f>ROUND(G4457*F4457,2)</f>
        <v/>
      </c>
      <c r="I4457">
        <f>IF(ROUND(H4457-D4457,2)=0,1,0)</f>
        <v/>
      </c>
      <c r="J4457">
        <f>IF(F4457="","none",IF(G4457=1,"carte","multiple"))</f>
        <v/>
      </c>
    </row>
    <row r="4458">
      <c r="A4458" t="inlineStr">
        <is>
          <t>2022-08-25</t>
        </is>
      </c>
      <c r="B4458" t="inlineStr">
        <is>
          <t>12:02</t>
        </is>
      </c>
      <c r="C4458" t="n">
        <v>3040</v>
      </c>
      <c r="D4458" s="6" t="n">
        <v>3.9</v>
      </c>
      <c r="E4458" t="n">
        <v>41455</v>
      </c>
      <c r="F4458" s="6" t="n">
        <v>3.9</v>
      </c>
      <c r="G4458" t="n">
        <v>1</v>
      </c>
      <c r="H4458" s="6">
        <f>ROUND(G4458*F4458,2)</f>
        <v/>
      </c>
      <c r="I4458">
        <f>IF(ROUND(H4458-D4458,2)=0,1,0)</f>
        <v/>
      </c>
      <c r="J4458">
        <f>IF(F4458="","none",IF(G4458=1,"carte","multiple"))</f>
        <v/>
      </c>
    </row>
    <row r="4459">
      <c r="A4459" t="inlineStr">
        <is>
          <t>2022-08-25</t>
        </is>
      </c>
      <c r="B4459" t="inlineStr">
        <is>
          <t>12:36</t>
        </is>
      </c>
      <c r="C4459" t="n">
        <v>3040</v>
      </c>
      <c r="D4459" s="6" t="n">
        <v>4.4</v>
      </c>
      <c r="E4459" t="n">
        <v>41456</v>
      </c>
      <c r="F4459" s="6" t="n">
        <v>0.4</v>
      </c>
      <c r="G4459" t="n">
        <v>11</v>
      </c>
      <c r="H4459" s="6">
        <f>ROUND(G4459*F4459,2)</f>
        <v/>
      </c>
      <c r="I4459">
        <f>IF(ROUND(H4459-D4459,2)=0,1,0)</f>
        <v/>
      </c>
      <c r="J4459">
        <f>IF(F4459="","none",IF(G4459=1,"carte","multiple"))</f>
        <v/>
      </c>
    </row>
    <row r="4460">
      <c r="A4460" t="inlineStr">
        <is>
          <t>2022-08-25</t>
        </is>
      </c>
      <c r="B4460" t="inlineStr">
        <is>
          <t>12:36</t>
        </is>
      </c>
      <c r="C4460" t="n">
        <v>3040</v>
      </c>
      <c r="D4460" s="6" t="n">
        <v>17.4</v>
      </c>
      <c r="E4460" t="n">
        <v>41457</v>
      </c>
      <c r="F4460" s="6" t="n">
        <v>2.9</v>
      </c>
      <c r="G4460" t="n">
        <v>6</v>
      </c>
      <c r="H4460" s="6">
        <f>ROUND(G4460*F4460,2)</f>
        <v/>
      </c>
      <c r="I4460">
        <f>IF(ROUND(H4460-D4460,2)=0,1,0)</f>
        <v/>
      </c>
      <c r="J4460">
        <f>IF(F4460="","none",IF(G4460=1,"carte","multiple"))</f>
        <v/>
      </c>
    </row>
    <row r="4461">
      <c r="A4461" t="inlineStr">
        <is>
          <t>2022-08-25</t>
        </is>
      </c>
      <c r="B4461" t="inlineStr">
        <is>
          <t>12:36</t>
        </is>
      </c>
      <c r="C4461" t="n">
        <v>3040</v>
      </c>
      <c r="D4461" s="6" t="n">
        <v>8.5</v>
      </c>
      <c r="E4461" t="n">
        <v>41458</v>
      </c>
      <c r="F4461" s="6" t="n">
        <v>8.5</v>
      </c>
      <c r="G4461" t="n">
        <v>1</v>
      </c>
      <c r="H4461" s="6">
        <f>ROUND(G4461*F4461,2)</f>
        <v/>
      </c>
      <c r="I4461">
        <f>IF(ROUND(H4461-D4461,2)=0,1,0)</f>
        <v/>
      </c>
      <c r="J4461">
        <f>IF(F4461="","none",IF(G4461=1,"carte","multiple"))</f>
        <v/>
      </c>
    </row>
    <row r="4462">
      <c r="A4462" t="inlineStr">
        <is>
          <t>2022-08-25</t>
        </is>
      </c>
      <c r="B4462" t="inlineStr">
        <is>
          <t>12:36</t>
        </is>
      </c>
      <c r="C4462" t="n">
        <v>3040</v>
      </c>
      <c r="D4462" s="6" t="n">
        <v>7.5</v>
      </c>
      <c r="E4462" t="n">
        <v>41459</v>
      </c>
      <c r="F4462" s="6" t="n">
        <v>7.5</v>
      </c>
      <c r="G4462" t="n">
        <v>1</v>
      </c>
      <c r="H4462" s="6">
        <f>ROUND(G4462*F4462,2)</f>
        <v/>
      </c>
      <c r="I4462">
        <f>IF(ROUND(H4462-D4462,2)=0,1,0)</f>
        <v/>
      </c>
      <c r="J4462">
        <f>IF(F4462="","none",IF(G4462=1,"carte","multiple"))</f>
        <v/>
      </c>
    </row>
    <row r="4463">
      <c r="A4463" t="inlineStr">
        <is>
          <t>2022-08-25</t>
        </is>
      </c>
      <c r="B4463" t="inlineStr">
        <is>
          <t>12:36</t>
        </is>
      </c>
      <c r="C4463" t="n">
        <v>3040</v>
      </c>
      <c r="D4463" s="6" t="n">
        <v>5.2</v>
      </c>
      <c r="E4463" t="n">
        <v>41460</v>
      </c>
      <c r="F4463" s="6" t="n">
        <v>5.2</v>
      </c>
      <c r="G4463" t="n">
        <v>1</v>
      </c>
      <c r="H4463" s="6">
        <f>ROUND(G4463*F4463,2)</f>
        <v/>
      </c>
      <c r="I4463">
        <f>IF(ROUND(H4463-D4463,2)=0,1,0)</f>
        <v/>
      </c>
      <c r="J4463">
        <f>IF(F4463="","none",IF(G4463=1,"carte","multiple"))</f>
        <v/>
      </c>
    </row>
    <row r="4464">
      <c r="A4464" t="inlineStr">
        <is>
          <t>2022-08-25</t>
        </is>
      </c>
      <c r="B4464" t="inlineStr">
        <is>
          <t>12:36</t>
        </is>
      </c>
      <c r="C4464" t="n">
        <v>3040</v>
      </c>
      <c r="D4464" s="6" t="n">
        <v>3.9</v>
      </c>
      <c r="E4464" t="n">
        <v>41461</v>
      </c>
      <c r="F4464" s="6" t="n">
        <v>3.9</v>
      </c>
      <c r="G4464" t="n">
        <v>1</v>
      </c>
      <c r="H4464" s="6">
        <f>ROUND(G4464*F4464,2)</f>
        <v/>
      </c>
      <c r="I4464">
        <f>IF(ROUND(H4464-D4464,2)=0,1,0)</f>
        <v/>
      </c>
      <c r="J4464">
        <f>IF(F4464="","none",IF(G4464=1,"carte","multiple"))</f>
        <v/>
      </c>
    </row>
    <row r="4465">
      <c r="A4465" t="inlineStr">
        <is>
          <t>2022-08-25</t>
        </is>
      </c>
      <c r="B4465" t="inlineStr">
        <is>
          <t>12:36</t>
        </is>
      </c>
      <c r="C4465" t="n">
        <v>3040</v>
      </c>
      <c r="D4465" s="6" t="n">
        <v>3.9</v>
      </c>
      <c r="E4465" t="n">
        <v>41462</v>
      </c>
      <c r="F4465" s="6" t="n">
        <v>3.9</v>
      </c>
      <c r="G4465" t="n">
        <v>1</v>
      </c>
      <c r="H4465" s="6">
        <f>ROUND(G4465*F4465,2)</f>
        <v/>
      </c>
      <c r="I4465">
        <f>IF(ROUND(H4465-D4465,2)=0,1,0)</f>
        <v/>
      </c>
      <c r="J4465">
        <f>IF(F4465="","none",IF(G4465=1,"carte","multiple"))</f>
        <v/>
      </c>
    </row>
    <row r="4466">
      <c r="A4466" t="inlineStr">
        <is>
          <t>2022-08-25</t>
        </is>
      </c>
      <c r="B4466" t="inlineStr">
        <is>
          <t>12:36</t>
        </is>
      </c>
      <c r="C4466" t="n">
        <v>3040</v>
      </c>
      <c r="D4466" s="6" t="n">
        <v>4.2</v>
      </c>
      <c r="E4466" t="n">
        <v>41463</v>
      </c>
      <c r="F4466" s="6" t="n">
        <v>4.2</v>
      </c>
      <c r="G4466" t="n">
        <v>1</v>
      </c>
      <c r="H4466" s="6">
        <f>ROUND(G4466*F4466,2)</f>
        <v/>
      </c>
      <c r="I4466">
        <f>IF(ROUND(H4466-D4466,2)=0,1,0)</f>
        <v/>
      </c>
      <c r="J4466">
        <f>IF(F4466="","none",IF(G4466=1,"carte","multiple"))</f>
        <v/>
      </c>
    </row>
    <row r="4467">
      <c r="A4467" t="inlineStr">
        <is>
          <t>2022-08-25</t>
        </is>
      </c>
      <c r="B4467" t="inlineStr">
        <is>
          <t>12:36</t>
        </is>
      </c>
      <c r="C4467" t="n">
        <v>3040</v>
      </c>
      <c r="D4467" s="6" t="n">
        <v>70.40000000000001</v>
      </c>
      <c r="E4467" t="n">
        <v>41464</v>
      </c>
      <c r="F4467" s="6" t="n">
        <v>0.4</v>
      </c>
      <c r="G4467" t="n">
        <v>176</v>
      </c>
      <c r="H4467" s="6">
        <f>ROUND(G4467*F4467,2)</f>
        <v/>
      </c>
      <c r="I4467">
        <f>IF(ROUND(H4467-D4467,2)=0,1,0)</f>
        <v/>
      </c>
      <c r="J4467">
        <f>IF(F4467="","none",IF(G4467=1,"carte","multiple"))</f>
        <v/>
      </c>
    </row>
    <row r="4468">
      <c r="A4468" t="inlineStr">
        <is>
          <t>2022-08-25</t>
        </is>
      </c>
      <c r="B4468" t="inlineStr">
        <is>
          <t>12:36</t>
        </is>
      </c>
      <c r="C4468" t="n">
        <v>3040</v>
      </c>
      <c r="D4468" s="6" t="n">
        <v>5.9</v>
      </c>
      <c r="E4468" t="n">
        <v>41465</v>
      </c>
      <c r="F4468" s="6" t="n">
        <v>5.9</v>
      </c>
      <c r="G4468" t="n">
        <v>1</v>
      </c>
      <c r="H4468" s="6">
        <f>ROUND(G4468*F4468,2)</f>
        <v/>
      </c>
      <c r="I4468">
        <f>IF(ROUND(H4468-D4468,2)=0,1,0)</f>
        <v/>
      </c>
      <c r="J4468">
        <f>IF(F4468="","none",IF(G4468=1,"carte","multiple"))</f>
        <v/>
      </c>
    </row>
    <row r="4469">
      <c r="A4469" t="inlineStr">
        <is>
          <t>2022-08-25</t>
        </is>
      </c>
      <c r="B4469" t="inlineStr">
        <is>
          <t>17:38</t>
        </is>
      </c>
      <c r="C4469" t="n">
        <v>3040</v>
      </c>
      <c r="D4469" s="6" t="n">
        <v>7.8</v>
      </c>
      <c r="E4469" t="n">
        <v>41467</v>
      </c>
      <c r="F4469" s="6" t="n">
        <v>7.8</v>
      </c>
      <c r="G4469" t="n">
        <v>1</v>
      </c>
      <c r="H4469" s="6">
        <f>ROUND(G4469*F4469,2)</f>
        <v/>
      </c>
      <c r="I4469">
        <f>IF(ROUND(H4469-D4469,2)=0,1,0)</f>
        <v/>
      </c>
      <c r="J4469">
        <f>IF(F4469="","none",IF(G4469=1,"carte","multiple"))</f>
        <v/>
      </c>
    </row>
    <row r="4470">
      <c r="A4470" t="inlineStr">
        <is>
          <t>2022-08-25</t>
        </is>
      </c>
      <c r="B4470" t="inlineStr">
        <is>
          <t>18:06</t>
        </is>
      </c>
      <c r="C4470" t="n">
        <v>3040</v>
      </c>
      <c r="D4470" s="6" t="n">
        <v>7.9</v>
      </c>
      <c r="E4470" t="n">
        <v>41468</v>
      </c>
      <c r="F4470" s="6" t="n">
        <v>7.9</v>
      </c>
      <c r="G4470" t="n">
        <v>1</v>
      </c>
      <c r="H4470" s="6">
        <f>ROUND(G4470*F4470,2)</f>
        <v/>
      </c>
      <c r="I4470">
        <f>IF(ROUND(H4470-D4470,2)=0,1,0)</f>
        <v/>
      </c>
      <c r="J4470">
        <f>IF(F4470="","none",IF(G4470=1,"carte","multiple"))</f>
        <v/>
      </c>
    </row>
    <row r="4471">
      <c r="A4471" t="inlineStr">
        <is>
          <t>2022-08-25</t>
        </is>
      </c>
      <c r="B4471" t="inlineStr">
        <is>
          <t>18:42</t>
        </is>
      </c>
      <c r="C4471" t="n">
        <v>3040</v>
      </c>
      <c r="D4471" s="6" t="n">
        <v>4</v>
      </c>
      <c r="E4471" t="n">
        <v>41469</v>
      </c>
      <c r="F4471" s="6" t="n">
        <v>4</v>
      </c>
      <c r="G4471" t="n">
        <v>1</v>
      </c>
      <c r="H4471" s="6">
        <f>ROUND(G4471*F4471,2)</f>
        <v/>
      </c>
      <c r="I4471">
        <f>IF(ROUND(H4471-D4471,2)=0,1,0)</f>
        <v/>
      </c>
      <c r="J4471">
        <f>IF(F4471="","none",IF(G4471=1,"carte","multiple"))</f>
        <v/>
      </c>
    </row>
    <row r="4472">
      <c r="A4472" t="inlineStr">
        <is>
          <t>2022-08-25</t>
        </is>
      </c>
      <c r="B4472" t="inlineStr">
        <is>
          <t>18:49</t>
        </is>
      </c>
      <c r="C4472" t="n">
        <v>3040</v>
      </c>
      <c r="D4472" s="6" t="n">
        <v>4</v>
      </c>
      <c r="E4472" t="n">
        <v>41470</v>
      </c>
      <c r="F4472" s="6" t="n">
        <v>4</v>
      </c>
      <c r="G4472" t="n">
        <v>1</v>
      </c>
      <c r="H4472" s="6">
        <f>ROUND(G4472*F4472,2)</f>
        <v/>
      </c>
      <c r="I4472">
        <f>IF(ROUND(H4472-D4472,2)=0,1,0)</f>
        <v/>
      </c>
      <c r="J4472">
        <f>IF(F4472="","none",IF(G4472=1,"carte","multiple"))</f>
        <v/>
      </c>
    </row>
    <row r="4473">
      <c r="A4473" t="inlineStr">
        <is>
          <t>2022-08-25</t>
        </is>
      </c>
      <c r="B4473" t="inlineStr">
        <is>
          <t>19:00</t>
        </is>
      </c>
      <c r="C4473" t="n">
        <v>3040</v>
      </c>
      <c r="D4473" s="6" t="n">
        <v>19.9</v>
      </c>
      <c r="E4473" t="n">
        <v>41471</v>
      </c>
      <c r="F4473" s="6" t="n">
        <v>19.9</v>
      </c>
      <c r="G4473" t="n">
        <v>1</v>
      </c>
      <c r="H4473" s="6">
        <f>ROUND(G4473*F4473,2)</f>
        <v/>
      </c>
      <c r="I4473">
        <f>IF(ROUND(H4473-D4473,2)=0,1,0)</f>
        <v/>
      </c>
      <c r="J4473">
        <f>IF(F4473="","none",IF(G4473=1,"carte","multiple"))</f>
        <v/>
      </c>
    </row>
    <row r="4474">
      <c r="A4474" t="inlineStr">
        <is>
          <t>2022-08-25</t>
        </is>
      </c>
      <c r="B4474" t="inlineStr">
        <is>
          <t>19:00</t>
        </is>
      </c>
      <c r="C4474" t="n">
        <v>3040</v>
      </c>
      <c r="D4474" s="6" t="n">
        <v>15.9</v>
      </c>
      <c r="E4474" t="n">
        <v>41472</v>
      </c>
      <c r="F4474" s="6" t="n">
        <v>15.9</v>
      </c>
      <c r="G4474" t="n">
        <v>1</v>
      </c>
      <c r="H4474" s="6">
        <f>ROUND(G4474*F4474,2)</f>
        <v/>
      </c>
      <c r="I4474">
        <f>IF(ROUND(H4474-D4474,2)=0,1,0)</f>
        <v/>
      </c>
      <c r="J4474">
        <f>IF(F4474="","none",IF(G4474=1,"carte","multiple"))</f>
        <v/>
      </c>
    </row>
    <row r="4475">
      <c r="A4475" t="inlineStr">
        <is>
          <t>2022-08-25</t>
        </is>
      </c>
      <c r="B4475" t="inlineStr">
        <is>
          <t>19:00</t>
        </is>
      </c>
      <c r="C4475" t="n">
        <v>3040</v>
      </c>
      <c r="D4475" s="6" t="n">
        <v>5.8</v>
      </c>
      <c r="E4475" t="n">
        <v>41473</v>
      </c>
      <c r="F4475" s="6" t="n">
        <v>5.8</v>
      </c>
      <c r="G4475" t="n">
        <v>1</v>
      </c>
      <c r="H4475" s="6">
        <f>ROUND(G4475*F4475,2)</f>
        <v/>
      </c>
      <c r="I4475">
        <f>IF(ROUND(H4475-D4475,2)=0,1,0)</f>
        <v/>
      </c>
      <c r="J4475">
        <f>IF(F4475="","none",IF(G4475=1,"carte","multiple"))</f>
        <v/>
      </c>
    </row>
    <row r="4476">
      <c r="A4476" t="inlineStr">
        <is>
          <t>2022-08-25</t>
        </is>
      </c>
      <c r="B4476" t="inlineStr">
        <is>
          <t>19:00</t>
        </is>
      </c>
      <c r="C4476" t="n">
        <v>3040</v>
      </c>
      <c r="D4476" s="6" t="n">
        <v>6.4</v>
      </c>
      <c r="E4476" t="n">
        <v>41474</v>
      </c>
      <c r="F4476" s="6" t="n">
        <v>6.4</v>
      </c>
      <c r="G4476" t="n">
        <v>1</v>
      </c>
      <c r="H4476" s="6">
        <f>ROUND(G4476*F4476,2)</f>
        <v/>
      </c>
      <c r="I4476">
        <f>IF(ROUND(H4476-D4476,2)=0,1,0)</f>
        <v/>
      </c>
      <c r="J4476">
        <f>IF(F4476="","none",IF(G4476=1,"carte","multiple"))</f>
        <v/>
      </c>
    </row>
    <row r="4477">
      <c r="A4477" t="inlineStr">
        <is>
          <t>2022-08-25</t>
        </is>
      </c>
      <c r="B4477" t="inlineStr">
        <is>
          <t>19:00</t>
        </is>
      </c>
      <c r="C4477" t="n">
        <v>3040</v>
      </c>
      <c r="D4477" s="6" t="n">
        <v>7.8</v>
      </c>
      <c r="E4477" t="n">
        <v>41475</v>
      </c>
      <c r="F4477" s="6" t="n">
        <v>7.8</v>
      </c>
      <c r="G4477" t="n">
        <v>1</v>
      </c>
      <c r="H4477" s="6">
        <f>ROUND(G4477*F4477,2)</f>
        <v/>
      </c>
      <c r="I4477">
        <f>IF(ROUND(H4477-D4477,2)=0,1,0)</f>
        <v/>
      </c>
      <c r="J4477">
        <f>IF(F4477="","none",IF(G4477=1,"carte","multiple"))</f>
        <v/>
      </c>
    </row>
    <row r="4478">
      <c r="A4478" t="inlineStr">
        <is>
          <t>2022-08-25</t>
        </is>
      </c>
      <c r="B4478" t="inlineStr">
        <is>
          <t>20:34</t>
        </is>
      </c>
      <c r="C4478" t="n">
        <v>3040</v>
      </c>
      <c r="D4478" s="6" t="n">
        <v>2.2</v>
      </c>
      <c r="E4478" t="n">
        <v>41476</v>
      </c>
      <c r="F4478" s="6" t="n">
        <v>2.2</v>
      </c>
      <c r="G4478" t="n">
        <v>1</v>
      </c>
      <c r="H4478" s="6">
        <f>ROUND(G4478*F4478,2)</f>
        <v/>
      </c>
      <c r="I4478">
        <f>IF(ROUND(H4478-D4478,2)=0,1,0)</f>
        <v/>
      </c>
      <c r="J4478">
        <f>IF(F4478="","none",IF(G4478=1,"carte","multiple"))</f>
        <v/>
      </c>
    </row>
    <row r="4479">
      <c r="A4479" t="inlineStr">
        <is>
          <t>2022-08-25</t>
        </is>
      </c>
      <c r="B4479" t="inlineStr">
        <is>
          <t>20:34</t>
        </is>
      </c>
      <c r="C4479" t="n">
        <v>3040</v>
      </c>
      <c r="D4479" s="6" t="n">
        <v>4.7</v>
      </c>
      <c r="E4479" t="n">
        <v>41477</v>
      </c>
      <c r="F4479" s="6" t="n">
        <v>4.7</v>
      </c>
      <c r="G4479" t="n">
        <v>1</v>
      </c>
      <c r="H4479" s="6">
        <f>ROUND(G4479*F4479,2)</f>
        <v/>
      </c>
      <c r="I4479">
        <f>IF(ROUND(H4479-D4479,2)=0,1,0)</f>
        <v/>
      </c>
      <c r="J4479">
        <f>IF(F4479="","none",IF(G4479=1,"carte","multiple"))</f>
        <v/>
      </c>
    </row>
    <row r="4480">
      <c r="A4480" t="inlineStr">
        <is>
          <t>2022-08-25</t>
        </is>
      </c>
      <c r="B4480" t="inlineStr">
        <is>
          <t>20:34</t>
        </is>
      </c>
      <c r="C4480" t="n">
        <v>3040</v>
      </c>
      <c r="D4480" s="6" t="n">
        <v>13.9</v>
      </c>
      <c r="E4480" t="n">
        <v>41478</v>
      </c>
      <c r="F4480" s="6" t="n">
        <v>13.9</v>
      </c>
      <c r="G4480" t="n">
        <v>1</v>
      </c>
      <c r="H4480" s="6">
        <f>ROUND(G4480*F4480,2)</f>
        <v/>
      </c>
      <c r="I4480">
        <f>IF(ROUND(H4480-D4480,2)=0,1,0)</f>
        <v/>
      </c>
      <c r="J4480">
        <f>IF(F4480="","none",IF(G4480=1,"carte","multiple"))</f>
        <v/>
      </c>
    </row>
    <row r="4481">
      <c r="A4481" t="inlineStr">
        <is>
          <t>2022-08-25</t>
        </is>
      </c>
      <c r="B4481" t="inlineStr">
        <is>
          <t>20:34</t>
        </is>
      </c>
      <c r="C4481" t="n">
        <v>3040</v>
      </c>
      <c r="D4481" s="6" t="n">
        <v>3.6</v>
      </c>
      <c r="E4481" t="n">
        <v>41479</v>
      </c>
      <c r="F4481" s="6" t="n">
        <v>3.6</v>
      </c>
      <c r="G4481" t="n">
        <v>1</v>
      </c>
      <c r="H4481" s="6">
        <f>ROUND(G4481*F4481,2)</f>
        <v/>
      </c>
      <c r="I4481">
        <f>IF(ROUND(H4481-D4481,2)=0,1,0)</f>
        <v/>
      </c>
      <c r="J4481">
        <f>IF(F4481="","none",IF(G4481=1,"carte","multiple"))</f>
        <v/>
      </c>
    </row>
    <row r="4482">
      <c r="A4482" t="inlineStr">
        <is>
          <t>2022-08-25</t>
        </is>
      </c>
      <c r="B4482" t="inlineStr">
        <is>
          <t>20:34</t>
        </is>
      </c>
      <c r="C4482" t="n">
        <v>3040</v>
      </c>
      <c r="D4482" s="6" t="n">
        <v>14.5</v>
      </c>
      <c r="E4482" t="n">
        <v>41480</v>
      </c>
      <c r="F4482" s="6" t="n">
        <v>14.5</v>
      </c>
      <c r="G4482" t="n">
        <v>1</v>
      </c>
      <c r="H4482" s="6">
        <f>ROUND(G4482*F4482,2)</f>
        <v/>
      </c>
      <c r="I4482">
        <f>IF(ROUND(H4482-D4482,2)=0,1,0)</f>
        <v/>
      </c>
      <c r="J4482">
        <f>IF(F4482="","none",IF(G4482=1,"carte","multiple"))</f>
        <v/>
      </c>
    </row>
    <row r="4483">
      <c r="A4483" t="inlineStr">
        <is>
          <t>2022-08-25</t>
        </is>
      </c>
      <c r="B4483" t="inlineStr">
        <is>
          <t>20:35</t>
        </is>
      </c>
      <c r="C4483" t="n">
        <v>3040</v>
      </c>
      <c r="D4483" s="6" t="n">
        <v>9.5</v>
      </c>
      <c r="E4483" t="n">
        <v>41481</v>
      </c>
      <c r="F4483" s="6" t="n">
        <v>9.5</v>
      </c>
      <c r="G4483" t="n">
        <v>1</v>
      </c>
      <c r="H4483" s="6">
        <f>ROUND(G4483*F4483,2)</f>
        <v/>
      </c>
      <c r="I4483">
        <f>IF(ROUND(H4483-D4483,2)=0,1,0)</f>
        <v/>
      </c>
      <c r="J4483">
        <f>IF(F4483="","none",IF(G4483=1,"carte","multiple"))</f>
        <v/>
      </c>
    </row>
    <row r="4484">
      <c r="A4484" t="inlineStr">
        <is>
          <t>2022-08-26</t>
        </is>
      </c>
      <c r="B4484" t="inlineStr">
        <is>
          <t>10:33</t>
        </is>
      </c>
      <c r="C4484" t="n">
        <v>3041</v>
      </c>
      <c r="D4484" s="6" t="n">
        <v>9.9</v>
      </c>
      <c r="E4484" t="n">
        <v>41484</v>
      </c>
      <c r="F4484" s="6" t="n">
        <v>9.9</v>
      </c>
      <c r="G4484" t="n">
        <v>1</v>
      </c>
      <c r="H4484" s="6">
        <f>ROUND(G4484*F4484,2)</f>
        <v/>
      </c>
      <c r="I4484">
        <f>IF(ROUND(H4484-D4484,2)=0,1,0)</f>
        <v/>
      </c>
      <c r="J4484">
        <f>IF(F4484="","none",IF(G4484=1,"carte","multiple"))</f>
        <v/>
      </c>
    </row>
    <row r="4485">
      <c r="A4485" t="inlineStr">
        <is>
          <t>2022-08-26</t>
        </is>
      </c>
      <c r="B4485" t="inlineStr">
        <is>
          <t>10:33</t>
        </is>
      </c>
      <c r="C4485" t="n">
        <v>3041</v>
      </c>
      <c r="D4485" s="6" t="n">
        <v>11</v>
      </c>
      <c r="E4485" t="n">
        <v>41485</v>
      </c>
      <c r="F4485" s="6" t="n">
        <v>11</v>
      </c>
      <c r="G4485" t="n">
        <v>1</v>
      </c>
      <c r="H4485" s="6">
        <f>ROUND(G4485*F4485,2)</f>
        <v/>
      </c>
      <c r="I4485">
        <f>IF(ROUND(H4485-D4485,2)=0,1,0)</f>
        <v/>
      </c>
      <c r="J4485">
        <f>IF(F4485="","none",IF(G4485=1,"carte","multiple"))</f>
        <v/>
      </c>
    </row>
    <row r="4486">
      <c r="A4486" t="inlineStr">
        <is>
          <t>2022-08-26</t>
        </is>
      </c>
      <c r="B4486" t="inlineStr">
        <is>
          <t>10:51</t>
        </is>
      </c>
      <c r="C4486" t="n">
        <v>3041</v>
      </c>
      <c r="D4486" s="6" t="n">
        <v>43.2</v>
      </c>
      <c r="E4486" t="n">
        <v>41486</v>
      </c>
      <c r="F4486" s="6" t="n">
        <v>0.4</v>
      </c>
      <c r="G4486" t="n">
        <v>108</v>
      </c>
      <c r="H4486" s="6">
        <f>ROUND(G4486*F4486,2)</f>
        <v/>
      </c>
      <c r="I4486">
        <f>IF(ROUND(H4486-D4486,2)=0,1,0)</f>
        <v/>
      </c>
      <c r="J4486">
        <f>IF(F4486="","none",IF(G4486=1,"carte","multiple"))</f>
        <v/>
      </c>
    </row>
    <row r="4487">
      <c r="A4487" t="inlineStr">
        <is>
          <t>2022-08-26</t>
        </is>
      </c>
      <c r="B4487" t="inlineStr">
        <is>
          <t>10:56</t>
        </is>
      </c>
      <c r="C4487" t="n">
        <v>3041</v>
      </c>
      <c r="D4487" s="6" t="n">
        <v>43.2</v>
      </c>
      <c r="E4487" t="n">
        <v>41487</v>
      </c>
      <c r="F4487" s="6" t="n">
        <v>0.4</v>
      </c>
      <c r="G4487" t="n">
        <v>108</v>
      </c>
      <c r="H4487" s="6">
        <f>ROUND(G4487*F4487,2)</f>
        <v/>
      </c>
      <c r="I4487">
        <f>IF(ROUND(H4487-D4487,2)=0,1,0)</f>
        <v/>
      </c>
      <c r="J4487">
        <f>IF(F4487="","none",IF(G4487=1,"carte","multiple"))</f>
        <v/>
      </c>
    </row>
    <row r="4488">
      <c r="A4488" t="inlineStr">
        <is>
          <t>2022-08-26</t>
        </is>
      </c>
      <c r="B4488" t="inlineStr">
        <is>
          <t>11:49</t>
        </is>
      </c>
      <c r="C4488" t="n">
        <v>3041</v>
      </c>
      <c r="D4488" s="6" t="n">
        <v>11</v>
      </c>
      <c r="E4488" t="n">
        <v>41488</v>
      </c>
      <c r="F4488" s="6" t="n">
        <v>11</v>
      </c>
      <c r="G4488" t="n">
        <v>1</v>
      </c>
      <c r="H4488" s="6">
        <f>ROUND(G4488*F4488,2)</f>
        <v/>
      </c>
      <c r="I4488">
        <f>IF(ROUND(H4488-D4488,2)=0,1,0)</f>
        <v/>
      </c>
      <c r="J4488">
        <f>IF(F4488="","none",IF(G4488=1,"carte","multiple"))</f>
        <v/>
      </c>
    </row>
    <row r="4489">
      <c r="A4489" t="inlineStr">
        <is>
          <t>2022-08-26</t>
        </is>
      </c>
      <c r="B4489" t="inlineStr">
        <is>
          <t>13:08</t>
        </is>
      </c>
      <c r="C4489" t="n">
        <v>3041</v>
      </c>
      <c r="D4489" s="6" t="n">
        <v>4.6</v>
      </c>
      <c r="E4489" t="n">
        <v>41489</v>
      </c>
      <c r="F4489" s="6" t="n">
        <v>4.6</v>
      </c>
      <c r="G4489" t="n">
        <v>1</v>
      </c>
      <c r="H4489" s="6">
        <f>ROUND(G4489*F4489,2)</f>
        <v/>
      </c>
      <c r="I4489">
        <f>IF(ROUND(H4489-D4489,2)=0,1,0)</f>
        <v/>
      </c>
      <c r="J4489">
        <f>IF(F4489="","none",IF(G4489=1,"carte","multiple"))</f>
        <v/>
      </c>
    </row>
    <row r="4490">
      <c r="A4490" t="inlineStr">
        <is>
          <t>2022-08-26</t>
        </is>
      </c>
      <c r="B4490" t="inlineStr">
        <is>
          <t>18:51</t>
        </is>
      </c>
      <c r="C4490" t="n">
        <v>3041</v>
      </c>
      <c r="D4490" s="6" t="n">
        <v>2.9</v>
      </c>
      <c r="E4490" t="n">
        <v>41491</v>
      </c>
      <c r="F4490" s="6" t="n">
        <v>2.9</v>
      </c>
      <c r="G4490" t="n">
        <v>1</v>
      </c>
      <c r="H4490" s="6">
        <f>ROUND(G4490*F4490,2)</f>
        <v/>
      </c>
      <c r="I4490">
        <f>IF(ROUND(H4490-D4490,2)=0,1,0)</f>
        <v/>
      </c>
      <c r="J4490">
        <f>IF(F4490="","none",IF(G4490=1,"carte","multiple"))</f>
        <v/>
      </c>
    </row>
    <row r="4491">
      <c r="A4491" t="inlineStr">
        <is>
          <t>2022-08-26</t>
        </is>
      </c>
      <c r="B4491" t="inlineStr">
        <is>
          <t>18:51</t>
        </is>
      </c>
      <c r="C4491" t="n">
        <v>3041</v>
      </c>
      <c r="D4491" s="6" t="n">
        <v>8.699999999999999</v>
      </c>
      <c r="E4491" t="n">
        <v>41492</v>
      </c>
      <c r="F4491" s="6" t="n">
        <v>8.699999999999999</v>
      </c>
      <c r="G4491" t="n">
        <v>1</v>
      </c>
      <c r="H4491" s="6">
        <f>ROUND(G4491*F4491,2)</f>
        <v/>
      </c>
      <c r="I4491">
        <f>IF(ROUND(H4491-D4491,2)=0,1,0)</f>
        <v/>
      </c>
      <c r="J4491">
        <f>IF(F4491="","none",IF(G4491=1,"carte","multiple"))</f>
        <v/>
      </c>
    </row>
    <row r="4492">
      <c r="A4492" t="inlineStr">
        <is>
          <t>2022-08-26</t>
        </is>
      </c>
      <c r="B4492" t="inlineStr">
        <is>
          <t>18:55</t>
        </is>
      </c>
      <c r="C4492" t="n">
        <v>3041</v>
      </c>
      <c r="D4492" s="6" t="n">
        <v>1.2</v>
      </c>
      <c r="E4492" t="n">
        <v>41493</v>
      </c>
      <c r="F4492" s="6" t="n">
        <v>1.2</v>
      </c>
      <c r="G4492" t="n">
        <v>1</v>
      </c>
      <c r="H4492" s="6">
        <f>ROUND(G4492*F4492,2)</f>
        <v/>
      </c>
      <c r="I4492">
        <f>IF(ROUND(H4492-D4492,2)=0,1,0)</f>
        <v/>
      </c>
      <c r="J4492">
        <f>IF(F4492="","none",IF(G4492=1,"carte","multiple"))</f>
        <v/>
      </c>
    </row>
    <row r="4493">
      <c r="A4493" t="inlineStr">
        <is>
          <t>2022-08-26</t>
        </is>
      </c>
      <c r="B4493" t="inlineStr">
        <is>
          <t>18:55</t>
        </is>
      </c>
      <c r="C4493" t="n">
        <v>3041</v>
      </c>
      <c r="D4493" s="6" t="n">
        <v>5</v>
      </c>
      <c r="E4493" t="n">
        <v>41494</v>
      </c>
      <c r="F4493" s="6" t="n">
        <v>5</v>
      </c>
      <c r="G4493" t="n">
        <v>1</v>
      </c>
      <c r="H4493" s="6">
        <f>ROUND(G4493*F4493,2)</f>
        <v/>
      </c>
      <c r="I4493">
        <f>IF(ROUND(H4493-D4493,2)=0,1,0)</f>
        <v/>
      </c>
      <c r="J4493">
        <f>IF(F4493="","none",IF(G4493=1,"carte","multiple"))</f>
        <v/>
      </c>
    </row>
    <row r="4494">
      <c r="A4494" t="inlineStr">
        <is>
          <t>2022-08-26</t>
        </is>
      </c>
      <c r="B4494" t="inlineStr">
        <is>
          <t>18:55</t>
        </is>
      </c>
      <c r="C4494" t="n">
        <v>3041</v>
      </c>
      <c r="D4494" s="6" t="n">
        <v>5.8</v>
      </c>
      <c r="E4494" t="n">
        <v>41495</v>
      </c>
      <c r="F4494" s="6" t="n">
        <v>5.8</v>
      </c>
      <c r="G4494" t="n">
        <v>1</v>
      </c>
      <c r="H4494" s="6">
        <f>ROUND(G4494*F4494,2)</f>
        <v/>
      </c>
      <c r="I4494">
        <f>IF(ROUND(H4494-D4494,2)=0,1,0)</f>
        <v/>
      </c>
      <c r="J4494">
        <f>IF(F4494="","none",IF(G4494=1,"carte","multiple"))</f>
        <v/>
      </c>
    </row>
    <row r="4495">
      <c r="A4495" t="inlineStr">
        <is>
          <t>2022-08-26</t>
        </is>
      </c>
      <c r="B4495" t="inlineStr">
        <is>
          <t>18:55</t>
        </is>
      </c>
      <c r="C4495" t="n">
        <v>3041</v>
      </c>
      <c r="D4495" s="6" t="n">
        <v>19</v>
      </c>
      <c r="E4495" t="n">
        <v>41496</v>
      </c>
      <c r="F4495" s="6" t="n">
        <v>19</v>
      </c>
      <c r="G4495" t="n">
        <v>1</v>
      </c>
      <c r="H4495" s="6">
        <f>ROUND(G4495*F4495,2)</f>
        <v/>
      </c>
      <c r="I4495">
        <f>IF(ROUND(H4495-D4495,2)=0,1,0)</f>
        <v/>
      </c>
      <c r="J4495">
        <f>IF(F4495="","none",IF(G4495=1,"carte","multiple"))</f>
        <v/>
      </c>
    </row>
    <row r="4496">
      <c r="A4496" t="inlineStr">
        <is>
          <t>2022-08-26</t>
        </is>
      </c>
      <c r="B4496" t="inlineStr">
        <is>
          <t>18:55</t>
        </is>
      </c>
      <c r="C4496" t="n">
        <v>3041</v>
      </c>
      <c r="D4496" s="6" t="n">
        <v>17.6</v>
      </c>
      <c r="E4496" t="n">
        <v>41497</v>
      </c>
      <c r="F4496" s="6" t="n">
        <v>17.6</v>
      </c>
      <c r="G4496" t="n">
        <v>1</v>
      </c>
      <c r="H4496" s="6">
        <f>ROUND(G4496*F4496,2)</f>
        <v/>
      </c>
      <c r="I4496">
        <f>IF(ROUND(H4496-D4496,2)=0,1,0)</f>
        <v/>
      </c>
      <c r="J4496">
        <f>IF(F4496="","none",IF(G4496=1,"carte","multiple"))</f>
        <v/>
      </c>
    </row>
    <row r="4497">
      <c r="A4497" t="inlineStr">
        <is>
          <t>2022-08-26</t>
        </is>
      </c>
      <c r="B4497" t="inlineStr">
        <is>
          <t>18:55</t>
        </is>
      </c>
      <c r="C4497" t="n">
        <v>3041</v>
      </c>
      <c r="D4497" s="6" t="n">
        <v>7.9</v>
      </c>
      <c r="E4497" t="n">
        <v>41498</v>
      </c>
      <c r="F4497" s="6" t="n">
        <v>7.9</v>
      </c>
      <c r="G4497" t="n">
        <v>1</v>
      </c>
      <c r="H4497" s="6">
        <f>ROUND(G4497*F4497,2)</f>
        <v/>
      </c>
      <c r="I4497">
        <f>IF(ROUND(H4497-D4497,2)=0,1,0)</f>
        <v/>
      </c>
      <c r="J4497">
        <f>IF(F4497="","none",IF(G4497=1,"carte","multiple"))</f>
        <v/>
      </c>
    </row>
    <row r="4498">
      <c r="A4498" t="inlineStr">
        <is>
          <t>2022-08-26</t>
        </is>
      </c>
      <c r="B4498" t="inlineStr">
        <is>
          <t>18:55</t>
        </is>
      </c>
      <c r="C4498" t="n">
        <v>3041</v>
      </c>
      <c r="D4498" s="6" t="n">
        <v>3.9</v>
      </c>
      <c r="E4498" t="n">
        <v>41499</v>
      </c>
      <c r="F4498" s="6" t="n">
        <v>3.9</v>
      </c>
      <c r="G4498" t="n">
        <v>1</v>
      </c>
      <c r="H4498" s="6">
        <f>ROUND(G4498*F4498,2)</f>
        <v/>
      </c>
      <c r="I4498">
        <f>IF(ROUND(H4498-D4498,2)=0,1,0)</f>
        <v/>
      </c>
      <c r="J4498">
        <f>IF(F4498="","none",IF(G4498=1,"carte","multiple"))</f>
        <v/>
      </c>
    </row>
    <row r="4499">
      <c r="A4499" t="inlineStr">
        <is>
          <t>2022-08-26</t>
        </is>
      </c>
      <c r="B4499" t="inlineStr">
        <is>
          <t>18:55</t>
        </is>
      </c>
      <c r="C4499" t="n">
        <v>3041</v>
      </c>
      <c r="D4499" s="6" t="n">
        <v>7.8</v>
      </c>
      <c r="E4499" t="n">
        <v>41500</v>
      </c>
      <c r="F4499" s="6" t="n">
        <v>7.8</v>
      </c>
      <c r="G4499" t="n">
        <v>1</v>
      </c>
      <c r="H4499" s="6">
        <f>ROUND(G4499*F4499,2)</f>
        <v/>
      </c>
      <c r="I4499">
        <f>IF(ROUND(H4499-D4499,2)=0,1,0)</f>
        <v/>
      </c>
      <c r="J4499">
        <f>IF(F4499="","none",IF(G4499=1,"carte","multiple"))</f>
        <v/>
      </c>
    </row>
    <row r="4500">
      <c r="A4500" t="inlineStr">
        <is>
          <t>2022-08-26</t>
        </is>
      </c>
      <c r="B4500" t="inlineStr">
        <is>
          <t>18:55</t>
        </is>
      </c>
      <c r="C4500" t="n">
        <v>3041</v>
      </c>
      <c r="D4500" s="6" t="n">
        <v>9</v>
      </c>
      <c r="E4500" t="n">
        <v>41501</v>
      </c>
      <c r="F4500" s="6" t="n">
        <v>9</v>
      </c>
      <c r="G4500" t="n">
        <v>1</v>
      </c>
      <c r="H4500" s="6">
        <f>ROUND(G4500*F4500,2)</f>
        <v/>
      </c>
      <c r="I4500">
        <f>IF(ROUND(H4500-D4500,2)=0,1,0)</f>
        <v/>
      </c>
      <c r="J4500">
        <f>IF(F4500="","none",IF(G4500=1,"carte","multiple"))</f>
        <v/>
      </c>
    </row>
    <row r="4501">
      <c r="A4501" t="inlineStr">
        <is>
          <t>2022-08-26</t>
        </is>
      </c>
      <c r="B4501" t="inlineStr">
        <is>
          <t>18:57</t>
        </is>
      </c>
      <c r="C4501" t="n">
        <v>3041</v>
      </c>
      <c r="D4501" s="6" t="n">
        <v>3.8</v>
      </c>
      <c r="E4501" t="n">
        <v>41502</v>
      </c>
      <c r="F4501" s="6" t="n">
        <v>3.8</v>
      </c>
      <c r="G4501" t="n">
        <v>1</v>
      </c>
      <c r="H4501" s="6">
        <f>ROUND(G4501*F4501,2)</f>
        <v/>
      </c>
      <c r="I4501">
        <f>IF(ROUND(H4501-D4501,2)=0,1,0)</f>
        <v/>
      </c>
      <c r="J4501">
        <f>IF(F4501="","none",IF(G4501=1,"carte","multiple"))</f>
        <v/>
      </c>
    </row>
    <row r="4502">
      <c r="A4502" t="inlineStr">
        <is>
          <t>2022-08-26</t>
        </is>
      </c>
      <c r="B4502" t="inlineStr">
        <is>
          <t>19:43</t>
        </is>
      </c>
      <c r="C4502" t="n">
        <v>3041</v>
      </c>
      <c r="D4502" s="6" t="n">
        <v>2.2</v>
      </c>
      <c r="E4502" t="n">
        <v>41503</v>
      </c>
      <c r="F4502" s="6" t="n">
        <v>2.2</v>
      </c>
      <c r="G4502" t="n">
        <v>1</v>
      </c>
      <c r="H4502" s="6">
        <f>ROUND(G4502*F4502,2)</f>
        <v/>
      </c>
      <c r="I4502">
        <f>IF(ROUND(H4502-D4502,2)=0,1,0)</f>
        <v/>
      </c>
      <c r="J4502">
        <f>IF(F4502="","none",IF(G4502=1,"carte","multiple"))</f>
        <v/>
      </c>
    </row>
    <row r="4503">
      <c r="A4503" t="inlineStr">
        <is>
          <t>2022-08-26</t>
        </is>
      </c>
      <c r="B4503" t="inlineStr">
        <is>
          <t>19:43</t>
        </is>
      </c>
      <c r="C4503" t="n">
        <v>3041</v>
      </c>
      <c r="D4503" s="6" t="n">
        <v>17.6</v>
      </c>
      <c r="E4503" t="n">
        <v>41504</v>
      </c>
      <c r="F4503" s="6" t="n">
        <v>17.6</v>
      </c>
      <c r="G4503" t="n">
        <v>1</v>
      </c>
      <c r="H4503" s="6">
        <f>ROUND(G4503*F4503,2)</f>
        <v/>
      </c>
      <c r="I4503">
        <f>IF(ROUND(H4503-D4503,2)=0,1,0)</f>
        <v/>
      </c>
      <c r="J4503">
        <f>IF(F4503="","none",IF(G4503=1,"carte","multiple"))</f>
        <v/>
      </c>
    </row>
    <row r="4504">
      <c r="A4504" t="inlineStr">
        <is>
          <t>2022-08-26</t>
        </is>
      </c>
      <c r="B4504" t="inlineStr">
        <is>
          <t>19:43</t>
        </is>
      </c>
      <c r="C4504" t="n">
        <v>3041</v>
      </c>
      <c r="D4504" s="6" t="n">
        <v>17.6</v>
      </c>
      <c r="E4504" t="n">
        <v>41505</v>
      </c>
      <c r="F4504" s="6" t="n">
        <v>17.6</v>
      </c>
      <c r="G4504" t="n">
        <v>1</v>
      </c>
      <c r="H4504" s="6">
        <f>ROUND(G4504*F4504,2)</f>
        <v/>
      </c>
      <c r="I4504">
        <f>IF(ROUND(H4504-D4504,2)=0,1,0)</f>
        <v/>
      </c>
      <c r="J4504">
        <f>IF(F4504="","none",IF(G4504=1,"carte","multiple"))</f>
        <v/>
      </c>
    </row>
    <row r="4505">
      <c r="A4505" t="inlineStr">
        <is>
          <t>2022-08-26</t>
        </is>
      </c>
      <c r="B4505" t="inlineStr">
        <is>
          <t>19:43</t>
        </is>
      </c>
      <c r="C4505" t="n">
        <v>3041</v>
      </c>
      <c r="D4505" s="6" t="n">
        <v>13.4</v>
      </c>
      <c r="E4505" t="n">
        <v>41506</v>
      </c>
      <c r="F4505" s="6" t="n">
        <v>13.4</v>
      </c>
      <c r="G4505" t="n">
        <v>1</v>
      </c>
      <c r="H4505" s="6">
        <f>ROUND(G4505*F4505,2)</f>
        <v/>
      </c>
      <c r="I4505">
        <f>IF(ROUND(H4505-D4505,2)=0,1,0)</f>
        <v/>
      </c>
      <c r="J4505">
        <f>IF(F4505="","none",IF(G4505=1,"carte","multiple"))</f>
        <v/>
      </c>
    </row>
    <row r="4506">
      <c r="A4506" t="inlineStr">
        <is>
          <t>2022-08-26</t>
        </is>
      </c>
      <c r="B4506" t="inlineStr">
        <is>
          <t>19:44</t>
        </is>
      </c>
      <c r="C4506" t="n">
        <v>3041</v>
      </c>
      <c r="D4506" s="6" t="n">
        <v>6.9</v>
      </c>
      <c r="E4506" t="n">
        <v>41507</v>
      </c>
      <c r="F4506" s="6" t="n">
        <v>6.9</v>
      </c>
      <c r="G4506" t="n">
        <v>1</v>
      </c>
      <c r="H4506" s="6">
        <f>ROUND(G4506*F4506,2)</f>
        <v/>
      </c>
      <c r="I4506">
        <f>IF(ROUND(H4506-D4506,2)=0,1,0)</f>
        <v/>
      </c>
      <c r="J4506">
        <f>IF(F4506="","none",IF(G4506=1,"carte","multiple"))</f>
        <v/>
      </c>
    </row>
    <row r="4507">
      <c r="A4507" t="inlineStr">
        <is>
          <t>2022-08-26</t>
        </is>
      </c>
      <c r="B4507" t="inlineStr">
        <is>
          <t>19:45</t>
        </is>
      </c>
      <c r="C4507" t="n">
        <v>3041</v>
      </c>
      <c r="D4507" s="6" t="n">
        <v>19.9</v>
      </c>
      <c r="E4507" t="n">
        <v>41508</v>
      </c>
      <c r="F4507" s="6" t="n">
        <v>19.9</v>
      </c>
      <c r="G4507" t="n">
        <v>1</v>
      </c>
      <c r="H4507" s="6">
        <f>ROUND(G4507*F4507,2)</f>
        <v/>
      </c>
      <c r="I4507">
        <f>IF(ROUND(H4507-D4507,2)=0,1,0)</f>
        <v/>
      </c>
      <c r="J4507">
        <f>IF(F4507="","none",IF(G4507=1,"carte","multiple"))</f>
        <v/>
      </c>
    </row>
    <row r="4508">
      <c r="A4508" t="inlineStr">
        <is>
          <t>2022-08-26</t>
        </is>
      </c>
      <c r="B4508" t="inlineStr">
        <is>
          <t>19:45</t>
        </is>
      </c>
      <c r="C4508" t="n">
        <v>3041</v>
      </c>
      <c r="D4508" s="6" t="n">
        <v>19</v>
      </c>
      <c r="E4508" t="n">
        <v>41509</v>
      </c>
      <c r="F4508" s="6" t="n">
        <v>19</v>
      </c>
      <c r="G4508" t="n">
        <v>1</v>
      </c>
      <c r="H4508" s="6">
        <f>ROUND(G4508*F4508,2)</f>
        <v/>
      </c>
      <c r="I4508">
        <f>IF(ROUND(H4508-D4508,2)=0,1,0)</f>
        <v/>
      </c>
      <c r="J4508">
        <f>IF(F4508="","none",IF(G4508=1,"carte","multiple"))</f>
        <v/>
      </c>
    </row>
    <row r="4509">
      <c r="A4509" t="inlineStr">
        <is>
          <t>2022-08-26</t>
        </is>
      </c>
      <c r="B4509" t="inlineStr">
        <is>
          <t>19:45</t>
        </is>
      </c>
      <c r="C4509" t="n">
        <v>3041</v>
      </c>
      <c r="D4509" s="6" t="n">
        <v>17.6</v>
      </c>
      <c r="E4509" t="n">
        <v>41510</v>
      </c>
      <c r="F4509" s="6" t="n">
        <v>17.6</v>
      </c>
      <c r="G4509" t="n">
        <v>1</v>
      </c>
      <c r="H4509" s="6">
        <f>ROUND(G4509*F4509,2)</f>
        <v/>
      </c>
      <c r="I4509">
        <f>IF(ROUND(H4509-D4509,2)=0,1,0)</f>
        <v/>
      </c>
      <c r="J4509">
        <f>IF(F4509="","none",IF(G4509=1,"carte","multiple"))</f>
        <v/>
      </c>
    </row>
    <row r="4510">
      <c r="A4510" t="inlineStr">
        <is>
          <t>2022-08-26</t>
        </is>
      </c>
      <c r="B4510" t="inlineStr">
        <is>
          <t>19:45</t>
        </is>
      </c>
      <c r="C4510" t="n">
        <v>3041</v>
      </c>
      <c r="D4510" s="6" t="n">
        <v>23</v>
      </c>
      <c r="E4510" t="n">
        <v>41511</v>
      </c>
      <c r="F4510" s="6" t="n">
        <v>23</v>
      </c>
      <c r="G4510" t="n">
        <v>1</v>
      </c>
      <c r="H4510" s="6">
        <f>ROUND(G4510*F4510,2)</f>
        <v/>
      </c>
      <c r="I4510">
        <f>IF(ROUND(H4510-D4510,2)=0,1,0)</f>
        <v/>
      </c>
      <c r="J4510">
        <f>IF(F4510="","none",IF(G4510=1,"carte","multiple"))</f>
        <v/>
      </c>
    </row>
    <row r="4511">
      <c r="A4511" t="inlineStr">
        <is>
          <t>2022-08-26</t>
        </is>
      </c>
      <c r="B4511" t="inlineStr">
        <is>
          <t>19:45</t>
        </is>
      </c>
      <c r="C4511" t="n">
        <v>3041</v>
      </c>
      <c r="D4511" s="6" t="n">
        <v>32</v>
      </c>
      <c r="E4511" t="n">
        <v>41512</v>
      </c>
      <c r="F4511" s="6" t="n">
        <v>32</v>
      </c>
      <c r="G4511" t="n">
        <v>1</v>
      </c>
      <c r="H4511" s="6">
        <f>ROUND(G4511*F4511,2)</f>
        <v/>
      </c>
      <c r="I4511">
        <f>IF(ROUND(H4511-D4511,2)=0,1,0)</f>
        <v/>
      </c>
      <c r="J4511">
        <f>IF(F4511="","none",IF(G4511=1,"carte","multiple"))</f>
        <v/>
      </c>
    </row>
    <row r="4512">
      <c r="A4512" t="inlineStr">
        <is>
          <t>2022-08-26</t>
        </is>
      </c>
      <c r="B4512" t="inlineStr">
        <is>
          <t>19:45</t>
        </is>
      </c>
      <c r="C4512" t="n">
        <v>3041</v>
      </c>
      <c r="D4512" s="6" t="n">
        <v>32</v>
      </c>
      <c r="E4512" t="n">
        <v>41513</v>
      </c>
      <c r="F4512" s="6" t="n">
        <v>32</v>
      </c>
      <c r="G4512" t="n">
        <v>1</v>
      </c>
      <c r="H4512" s="6">
        <f>ROUND(G4512*F4512,2)</f>
        <v/>
      </c>
      <c r="I4512">
        <f>IF(ROUND(H4512-D4512,2)=0,1,0)</f>
        <v/>
      </c>
      <c r="J4512">
        <f>IF(F4512="","none",IF(G4512=1,"carte","multiple"))</f>
        <v/>
      </c>
    </row>
    <row r="4513">
      <c r="A4513" t="inlineStr">
        <is>
          <t>2022-08-26</t>
        </is>
      </c>
      <c r="B4513" t="inlineStr">
        <is>
          <t>19:45</t>
        </is>
      </c>
      <c r="C4513" t="n">
        <v>3041</v>
      </c>
      <c r="D4513" s="6" t="n">
        <v>9.9</v>
      </c>
      <c r="E4513" t="n">
        <v>41514</v>
      </c>
      <c r="F4513" s="6" t="n">
        <v>9.9</v>
      </c>
      <c r="G4513" t="n">
        <v>1</v>
      </c>
      <c r="H4513" s="6">
        <f>ROUND(G4513*F4513,2)</f>
        <v/>
      </c>
      <c r="I4513">
        <f>IF(ROUND(H4513-D4513,2)=0,1,0)</f>
        <v/>
      </c>
      <c r="J4513">
        <f>IF(F4513="","none",IF(G4513=1,"carte","multiple"))</f>
        <v/>
      </c>
    </row>
    <row r="4514">
      <c r="A4514" t="inlineStr">
        <is>
          <t>2022-08-26</t>
        </is>
      </c>
      <c r="B4514" t="inlineStr">
        <is>
          <t>19:45</t>
        </is>
      </c>
      <c r="C4514" t="n">
        <v>3041</v>
      </c>
      <c r="D4514" s="6" t="n">
        <v>5.9</v>
      </c>
      <c r="E4514" t="n">
        <v>41515</v>
      </c>
      <c r="F4514" s="6" t="n">
        <v>5.9</v>
      </c>
      <c r="G4514" t="n">
        <v>1</v>
      </c>
      <c r="H4514" s="6">
        <f>ROUND(G4514*F4514,2)</f>
        <v/>
      </c>
      <c r="I4514">
        <f>IF(ROUND(H4514-D4514,2)=0,1,0)</f>
        <v/>
      </c>
      <c r="J4514">
        <f>IF(F4514="","none",IF(G4514=1,"carte","multiple"))</f>
        <v/>
      </c>
    </row>
    <row r="4515">
      <c r="A4515" t="inlineStr">
        <is>
          <t>2022-08-26</t>
        </is>
      </c>
      <c r="B4515" t="inlineStr">
        <is>
          <t>19:45</t>
        </is>
      </c>
      <c r="C4515" t="n">
        <v>3041</v>
      </c>
      <c r="D4515" s="6" t="n">
        <v>5.9</v>
      </c>
      <c r="E4515" t="n">
        <v>41516</v>
      </c>
      <c r="F4515" s="6" t="n">
        <v>5.9</v>
      </c>
      <c r="G4515" t="n">
        <v>1</v>
      </c>
      <c r="H4515" s="6">
        <f>ROUND(G4515*F4515,2)</f>
        <v/>
      </c>
      <c r="I4515">
        <f>IF(ROUND(H4515-D4515,2)=0,1,0)</f>
        <v/>
      </c>
      <c r="J4515">
        <f>IF(F4515="","none",IF(G4515=1,"carte","multiple"))</f>
        <v/>
      </c>
    </row>
    <row r="4516">
      <c r="A4516" t="inlineStr">
        <is>
          <t>2022-08-26</t>
        </is>
      </c>
      <c r="B4516" t="inlineStr">
        <is>
          <t>19:45</t>
        </is>
      </c>
      <c r="C4516" t="n">
        <v>3041</v>
      </c>
      <c r="D4516" s="6" t="n">
        <v>3.9</v>
      </c>
      <c r="E4516" t="n">
        <v>41517</v>
      </c>
      <c r="F4516" s="6" t="n">
        <v>3.9</v>
      </c>
      <c r="G4516" t="n">
        <v>1</v>
      </c>
      <c r="H4516" s="6">
        <f>ROUND(G4516*F4516,2)</f>
        <v/>
      </c>
      <c r="I4516">
        <f>IF(ROUND(H4516-D4516,2)=0,1,0)</f>
        <v/>
      </c>
      <c r="J4516">
        <f>IF(F4516="","none",IF(G4516=1,"carte","multiple"))</f>
        <v/>
      </c>
    </row>
    <row r="4517">
      <c r="A4517" t="inlineStr">
        <is>
          <t>2022-08-26</t>
        </is>
      </c>
      <c r="B4517" t="inlineStr">
        <is>
          <t>19:45</t>
        </is>
      </c>
      <c r="C4517" t="n">
        <v>3041</v>
      </c>
      <c r="D4517" s="6" t="n">
        <v>3.8</v>
      </c>
      <c r="E4517" t="n">
        <v>41518</v>
      </c>
      <c r="F4517" s="6" t="n">
        <v>3.8</v>
      </c>
      <c r="G4517" t="n">
        <v>1</v>
      </c>
      <c r="H4517" s="6">
        <f>ROUND(G4517*F4517,2)</f>
        <v/>
      </c>
      <c r="I4517">
        <f>IF(ROUND(H4517-D4517,2)=0,1,0)</f>
        <v/>
      </c>
      <c r="J4517">
        <f>IF(F4517="","none",IF(G4517=1,"carte","multiple"))</f>
        <v/>
      </c>
    </row>
    <row r="4518">
      <c r="A4518" t="inlineStr">
        <is>
          <t>2022-08-26</t>
        </is>
      </c>
      <c r="B4518" t="inlineStr">
        <is>
          <t>19:45</t>
        </is>
      </c>
      <c r="C4518" t="n">
        <v>3041</v>
      </c>
      <c r="D4518" s="6" t="n">
        <v>4.9</v>
      </c>
      <c r="E4518" t="n">
        <v>41519</v>
      </c>
      <c r="F4518" s="6" t="n">
        <v>4.9</v>
      </c>
      <c r="G4518" t="n">
        <v>1</v>
      </c>
      <c r="H4518" s="6">
        <f>ROUND(G4518*F4518,2)</f>
        <v/>
      </c>
      <c r="I4518">
        <f>IF(ROUND(H4518-D4518,2)=0,1,0)</f>
        <v/>
      </c>
      <c r="J4518">
        <f>IF(F4518="","none",IF(G4518=1,"carte","multiple"))</f>
        <v/>
      </c>
    </row>
    <row r="4519">
      <c r="A4519" t="inlineStr">
        <is>
          <t>2022-08-26</t>
        </is>
      </c>
      <c r="B4519" t="inlineStr">
        <is>
          <t>20:06</t>
        </is>
      </c>
      <c r="C4519" t="n">
        <v>3041</v>
      </c>
      <c r="D4519" s="6" t="n">
        <v>6.9</v>
      </c>
      <c r="E4519" t="n">
        <v>41520</v>
      </c>
      <c r="F4519" s="6" t="n">
        <v>6.9</v>
      </c>
      <c r="G4519" t="n">
        <v>1</v>
      </c>
      <c r="H4519" s="6">
        <f>ROUND(G4519*F4519,2)</f>
        <v/>
      </c>
      <c r="I4519">
        <f>IF(ROUND(H4519-D4519,2)=0,1,0)</f>
        <v/>
      </c>
      <c r="J4519">
        <f>IF(F4519="","none",IF(G4519=1,"carte","multiple"))</f>
        <v/>
      </c>
    </row>
    <row r="4520">
      <c r="A4520" t="inlineStr">
        <is>
          <t>2022-08-26</t>
        </is>
      </c>
      <c r="B4520" t="inlineStr">
        <is>
          <t>20:06</t>
        </is>
      </c>
      <c r="C4520" t="n">
        <v>3041</v>
      </c>
      <c r="D4520" s="6" t="n">
        <v>3.9</v>
      </c>
      <c r="E4520" t="n">
        <v>41521</v>
      </c>
      <c r="F4520" s="6" t="n">
        <v>3.9</v>
      </c>
      <c r="G4520" t="n">
        <v>1</v>
      </c>
      <c r="H4520" s="6">
        <f>ROUND(G4520*F4520,2)</f>
        <v/>
      </c>
      <c r="I4520">
        <f>IF(ROUND(H4520-D4520,2)=0,1,0)</f>
        <v/>
      </c>
      <c r="J4520">
        <f>IF(F4520="","none",IF(G4520=1,"carte","multiple"))</f>
        <v/>
      </c>
    </row>
    <row r="4521">
      <c r="A4521" t="inlineStr">
        <is>
          <t>2022-08-26</t>
        </is>
      </c>
      <c r="B4521" t="inlineStr">
        <is>
          <t>20:06</t>
        </is>
      </c>
      <c r="C4521" t="n">
        <v>3041</v>
      </c>
      <c r="D4521" s="6" t="n">
        <v>10.9</v>
      </c>
      <c r="E4521" t="n">
        <v>41522</v>
      </c>
      <c r="F4521" s="6" t="n">
        <v>10.9</v>
      </c>
      <c r="G4521" t="n">
        <v>1</v>
      </c>
      <c r="H4521" s="6">
        <f>ROUND(G4521*F4521,2)</f>
        <v/>
      </c>
      <c r="I4521">
        <f>IF(ROUND(H4521-D4521,2)=0,1,0)</f>
        <v/>
      </c>
      <c r="J4521">
        <f>IF(F4521="","none",IF(G4521=1,"carte","multiple"))</f>
        <v/>
      </c>
    </row>
    <row r="4522">
      <c r="A4522" t="inlineStr">
        <is>
          <t>2022-08-26</t>
        </is>
      </c>
      <c r="B4522" t="inlineStr">
        <is>
          <t>20:06</t>
        </is>
      </c>
      <c r="C4522" t="n">
        <v>3041</v>
      </c>
      <c r="D4522" s="6" t="n">
        <v>9</v>
      </c>
      <c r="E4522" t="n">
        <v>41523</v>
      </c>
      <c r="F4522" s="6" t="n">
        <v>9</v>
      </c>
      <c r="G4522" t="n">
        <v>1</v>
      </c>
      <c r="H4522" s="6">
        <f>ROUND(G4522*F4522,2)</f>
        <v/>
      </c>
      <c r="I4522">
        <f>IF(ROUND(H4522-D4522,2)=0,1,0)</f>
        <v/>
      </c>
      <c r="J4522">
        <f>IF(F4522="","none",IF(G4522=1,"carte","multiple"))</f>
        <v/>
      </c>
    </row>
    <row r="4523">
      <c r="A4523" t="inlineStr">
        <is>
          <t>2022-08-26</t>
        </is>
      </c>
      <c r="B4523" t="inlineStr">
        <is>
          <t>20:06</t>
        </is>
      </c>
      <c r="C4523" t="n">
        <v>3041</v>
      </c>
      <c r="D4523" s="6" t="n">
        <v>2.2</v>
      </c>
      <c r="E4523" t="n">
        <v>41524</v>
      </c>
      <c r="F4523" s="6" t="n">
        <v>2.2</v>
      </c>
      <c r="G4523" t="n">
        <v>1</v>
      </c>
      <c r="H4523" s="6">
        <f>ROUND(G4523*F4523,2)</f>
        <v/>
      </c>
      <c r="I4523">
        <f>IF(ROUND(H4523-D4523,2)=0,1,0)</f>
        <v/>
      </c>
      <c r="J4523">
        <f>IF(F4523="","none",IF(G4523=1,"carte","multiple"))</f>
        <v/>
      </c>
    </row>
    <row r="4524">
      <c r="A4524" t="inlineStr">
        <is>
          <t>2022-08-26</t>
        </is>
      </c>
      <c r="B4524" t="inlineStr">
        <is>
          <t>20:06</t>
        </is>
      </c>
      <c r="C4524" t="n">
        <v>3041</v>
      </c>
      <c r="D4524" s="6" t="n">
        <v>2.2</v>
      </c>
      <c r="E4524" t="n">
        <v>41525</v>
      </c>
      <c r="F4524" s="6" t="n">
        <v>2.2</v>
      </c>
      <c r="G4524" t="n">
        <v>1</v>
      </c>
      <c r="H4524" s="6">
        <f>ROUND(G4524*F4524,2)</f>
        <v/>
      </c>
      <c r="I4524">
        <f>IF(ROUND(H4524-D4524,2)=0,1,0)</f>
        <v/>
      </c>
      <c r="J4524">
        <f>IF(F4524="","none",IF(G4524=1,"carte","multiple"))</f>
        <v/>
      </c>
    </row>
    <row r="4525">
      <c r="A4525" t="inlineStr">
        <is>
          <t>2022-08-26</t>
        </is>
      </c>
      <c r="B4525" t="inlineStr">
        <is>
          <t>20:06</t>
        </is>
      </c>
      <c r="C4525" t="n">
        <v>3041</v>
      </c>
      <c r="D4525" s="6" t="n">
        <v>16.4</v>
      </c>
      <c r="E4525" t="n">
        <v>41526</v>
      </c>
      <c r="F4525" s="6" t="n">
        <v>16.4</v>
      </c>
      <c r="G4525" t="n">
        <v>1</v>
      </c>
      <c r="H4525" s="6">
        <f>ROUND(G4525*F4525,2)</f>
        <v/>
      </c>
      <c r="I4525">
        <f>IF(ROUND(H4525-D4525,2)=0,1,0)</f>
        <v/>
      </c>
      <c r="J4525">
        <f>IF(F4525="","none",IF(G4525=1,"carte","multiple"))</f>
        <v/>
      </c>
    </row>
    <row r="4526">
      <c r="A4526" t="inlineStr">
        <is>
          <t>2022-08-26</t>
        </is>
      </c>
      <c r="B4526" t="inlineStr">
        <is>
          <t>20:06</t>
        </is>
      </c>
      <c r="C4526" t="n">
        <v>3041</v>
      </c>
      <c r="D4526" s="6" t="n">
        <v>17.6</v>
      </c>
      <c r="E4526" t="n">
        <v>41527</v>
      </c>
      <c r="F4526" s="6" t="n">
        <v>17.6</v>
      </c>
      <c r="G4526" t="n">
        <v>1</v>
      </c>
      <c r="H4526" s="6">
        <f>ROUND(G4526*F4526,2)</f>
        <v/>
      </c>
      <c r="I4526">
        <f>IF(ROUND(H4526-D4526,2)=0,1,0)</f>
        <v/>
      </c>
      <c r="J4526">
        <f>IF(F4526="","none",IF(G4526=1,"carte","multiple"))</f>
        <v/>
      </c>
    </row>
    <row r="4527">
      <c r="A4527" t="inlineStr">
        <is>
          <t>2022-08-26</t>
        </is>
      </c>
      <c r="B4527" t="inlineStr">
        <is>
          <t>20:06</t>
        </is>
      </c>
      <c r="C4527" t="n">
        <v>3041</v>
      </c>
      <c r="D4527" s="6" t="n">
        <v>19</v>
      </c>
      <c r="E4527" t="n">
        <v>41528</v>
      </c>
      <c r="F4527" s="6" t="n">
        <v>19</v>
      </c>
      <c r="G4527" t="n">
        <v>1</v>
      </c>
      <c r="H4527" s="6">
        <f>ROUND(G4527*F4527,2)</f>
        <v/>
      </c>
      <c r="I4527">
        <f>IF(ROUND(H4527-D4527,2)=0,1,0)</f>
        <v/>
      </c>
      <c r="J4527">
        <f>IF(F4527="","none",IF(G4527=1,"carte","multiple"))</f>
        <v/>
      </c>
    </row>
    <row r="4528">
      <c r="A4528" t="inlineStr">
        <is>
          <t>2022-08-26</t>
        </is>
      </c>
      <c r="B4528" t="inlineStr">
        <is>
          <t>20:06</t>
        </is>
      </c>
      <c r="C4528" t="n">
        <v>3041</v>
      </c>
      <c r="D4528" s="6" t="n">
        <v>17.6</v>
      </c>
      <c r="E4528" t="n">
        <v>41529</v>
      </c>
      <c r="F4528" s="6" t="n">
        <v>17.6</v>
      </c>
      <c r="G4528" t="n">
        <v>1</v>
      </c>
      <c r="H4528" s="6">
        <f>ROUND(G4528*F4528,2)</f>
        <v/>
      </c>
      <c r="I4528">
        <f>IF(ROUND(H4528-D4528,2)=0,1,0)</f>
        <v/>
      </c>
      <c r="J4528">
        <f>IF(F4528="","none",IF(G4528=1,"carte","multiple"))</f>
        <v/>
      </c>
    </row>
    <row r="4529">
      <c r="A4529" t="inlineStr">
        <is>
          <t>2022-08-26</t>
        </is>
      </c>
      <c r="B4529" t="inlineStr">
        <is>
          <t>20:06</t>
        </is>
      </c>
      <c r="C4529" t="n">
        <v>3041</v>
      </c>
      <c r="D4529" s="6" t="n">
        <v>7.8</v>
      </c>
      <c r="E4529" t="n">
        <v>41530</v>
      </c>
      <c r="F4529" s="6" t="n">
        <v>7.8</v>
      </c>
      <c r="G4529" t="n">
        <v>1</v>
      </c>
      <c r="H4529" s="6">
        <f>ROUND(G4529*F4529,2)</f>
        <v/>
      </c>
      <c r="I4529">
        <f>IF(ROUND(H4529-D4529,2)=0,1,0)</f>
        <v/>
      </c>
      <c r="J4529">
        <f>IF(F4529="","none",IF(G4529=1,"carte","multiple"))</f>
        <v/>
      </c>
    </row>
    <row r="4530">
      <c r="A4530" t="inlineStr">
        <is>
          <t>2022-08-26</t>
        </is>
      </c>
      <c r="B4530" t="inlineStr">
        <is>
          <t>20:06</t>
        </is>
      </c>
      <c r="C4530" t="n">
        <v>3041</v>
      </c>
      <c r="D4530" s="6" t="n">
        <v>6</v>
      </c>
      <c r="E4530" t="n">
        <v>41531</v>
      </c>
      <c r="F4530" s="6" t="n">
        <v>6</v>
      </c>
      <c r="G4530" t="n">
        <v>1</v>
      </c>
      <c r="H4530" s="6">
        <f>ROUND(G4530*F4530,2)</f>
        <v/>
      </c>
      <c r="I4530">
        <f>IF(ROUND(H4530-D4530,2)=0,1,0)</f>
        <v/>
      </c>
      <c r="J4530">
        <f>IF(F4530="","none",IF(G4530=1,"carte","multiple"))</f>
        <v/>
      </c>
    </row>
    <row r="4531">
      <c r="A4531" t="inlineStr">
        <is>
          <t>2022-08-26</t>
        </is>
      </c>
      <c r="B4531" t="inlineStr">
        <is>
          <t>20:06</t>
        </is>
      </c>
      <c r="C4531" t="n">
        <v>3041</v>
      </c>
      <c r="D4531" s="6" t="n">
        <v>9.800000000000001</v>
      </c>
      <c r="E4531" t="n">
        <v>41532</v>
      </c>
      <c r="F4531" s="6" t="n">
        <v>9.800000000000001</v>
      </c>
      <c r="G4531" t="n">
        <v>1</v>
      </c>
      <c r="H4531" s="6">
        <f>ROUND(G4531*F4531,2)</f>
        <v/>
      </c>
      <c r="I4531">
        <f>IF(ROUND(H4531-D4531,2)=0,1,0)</f>
        <v/>
      </c>
      <c r="J4531">
        <f>IF(F4531="","none",IF(G4531=1,"carte","multiple"))</f>
        <v/>
      </c>
    </row>
    <row r="4532">
      <c r="A4532" t="inlineStr">
        <is>
          <t>2022-08-26</t>
        </is>
      </c>
      <c r="B4532" t="inlineStr">
        <is>
          <t>20:14</t>
        </is>
      </c>
      <c r="C4532" t="n">
        <v>3041</v>
      </c>
      <c r="D4532" s="6" t="n">
        <v>3.4</v>
      </c>
      <c r="E4532" t="n">
        <v>41533</v>
      </c>
      <c r="F4532" s="6" t="n">
        <v>3.4</v>
      </c>
      <c r="G4532" t="n">
        <v>1</v>
      </c>
      <c r="H4532" s="6">
        <f>ROUND(G4532*F4532,2)</f>
        <v/>
      </c>
      <c r="I4532">
        <f>IF(ROUND(H4532-D4532,2)=0,1,0)</f>
        <v/>
      </c>
      <c r="J4532">
        <f>IF(F4532="","none",IF(G4532=1,"carte","multiple"))</f>
        <v/>
      </c>
    </row>
    <row r="4533">
      <c r="A4533" t="inlineStr">
        <is>
          <t>2022-08-26</t>
        </is>
      </c>
      <c r="B4533" t="inlineStr">
        <is>
          <t>20:14</t>
        </is>
      </c>
      <c r="C4533" t="n">
        <v>3041</v>
      </c>
      <c r="D4533" s="6" t="n">
        <v>2.2</v>
      </c>
      <c r="E4533" t="n">
        <v>41534</v>
      </c>
      <c r="F4533" s="6" t="n">
        <v>2.2</v>
      </c>
      <c r="G4533" t="n">
        <v>1</v>
      </c>
      <c r="H4533" s="6">
        <f>ROUND(G4533*F4533,2)</f>
        <v/>
      </c>
      <c r="I4533">
        <f>IF(ROUND(H4533-D4533,2)=0,1,0)</f>
        <v/>
      </c>
      <c r="J4533">
        <f>IF(F4533="","none",IF(G4533=1,"carte","multiple"))</f>
        <v/>
      </c>
    </row>
    <row r="4534">
      <c r="A4534" t="inlineStr">
        <is>
          <t>2022-08-26</t>
        </is>
      </c>
      <c r="B4534" t="inlineStr">
        <is>
          <t>20:14</t>
        </is>
      </c>
      <c r="C4534" t="n">
        <v>3041</v>
      </c>
      <c r="D4534" s="6" t="n">
        <v>19</v>
      </c>
      <c r="E4534" t="n">
        <v>41535</v>
      </c>
      <c r="F4534" s="6" t="n">
        <v>19</v>
      </c>
      <c r="G4534" t="n">
        <v>1</v>
      </c>
      <c r="H4534" s="6">
        <f>ROUND(G4534*F4534,2)</f>
        <v/>
      </c>
      <c r="I4534">
        <f>IF(ROUND(H4534-D4534,2)=0,1,0)</f>
        <v/>
      </c>
      <c r="J4534">
        <f>IF(F4534="","none",IF(G4534=1,"carte","multiple"))</f>
        <v/>
      </c>
    </row>
    <row r="4535">
      <c r="A4535" t="inlineStr">
        <is>
          <t>2022-08-26</t>
        </is>
      </c>
      <c r="B4535" t="inlineStr">
        <is>
          <t>20:14</t>
        </is>
      </c>
      <c r="C4535" t="n">
        <v>3041</v>
      </c>
      <c r="D4535" s="6" t="n">
        <v>16.9</v>
      </c>
      <c r="E4535" t="n">
        <v>41536</v>
      </c>
      <c r="F4535" s="6" t="n">
        <v>16.9</v>
      </c>
      <c r="G4535" t="n">
        <v>1</v>
      </c>
      <c r="H4535" s="6">
        <f>ROUND(G4535*F4535,2)</f>
        <v/>
      </c>
      <c r="I4535">
        <f>IF(ROUND(H4535-D4535,2)=0,1,0)</f>
        <v/>
      </c>
      <c r="J4535">
        <f>IF(F4535="","none",IF(G4535=1,"carte","multiple"))</f>
        <v/>
      </c>
    </row>
    <row r="4536">
      <c r="A4536" t="inlineStr">
        <is>
          <t>2022-08-26</t>
        </is>
      </c>
      <c r="B4536" t="inlineStr">
        <is>
          <t>20:14</t>
        </is>
      </c>
      <c r="C4536" t="n">
        <v>3041</v>
      </c>
      <c r="D4536" s="6" t="n">
        <v>3.9</v>
      </c>
      <c r="E4536" t="n">
        <v>41537</v>
      </c>
      <c r="F4536" s="6" t="n">
        <v>3.9</v>
      </c>
      <c r="G4536" t="n">
        <v>1</v>
      </c>
      <c r="H4536" s="6">
        <f>ROUND(G4536*F4536,2)</f>
        <v/>
      </c>
      <c r="I4536">
        <f>IF(ROUND(H4536-D4536,2)=0,1,0)</f>
        <v/>
      </c>
      <c r="J4536">
        <f>IF(F4536="","none",IF(G4536=1,"carte","multiple"))</f>
        <v/>
      </c>
    </row>
    <row r="4537">
      <c r="A4537" t="inlineStr">
        <is>
          <t>2022-08-26</t>
        </is>
      </c>
      <c r="B4537" t="inlineStr">
        <is>
          <t>20:14</t>
        </is>
      </c>
      <c r="C4537" t="n">
        <v>3041</v>
      </c>
      <c r="D4537" s="6" t="n">
        <v>6.5</v>
      </c>
      <c r="E4537" t="n">
        <v>41538</v>
      </c>
      <c r="F4537" s="6" t="n">
        <v>6.5</v>
      </c>
      <c r="G4537" t="n">
        <v>1</v>
      </c>
      <c r="H4537" s="6">
        <f>ROUND(G4537*F4537,2)</f>
        <v/>
      </c>
      <c r="I4537">
        <f>IF(ROUND(H4537-D4537,2)=0,1,0)</f>
        <v/>
      </c>
      <c r="J4537">
        <f>IF(F4537="","none",IF(G4537=1,"carte","multiple"))</f>
        <v/>
      </c>
    </row>
    <row r="4538">
      <c r="A4538" t="inlineStr">
        <is>
          <t>2022-08-26</t>
        </is>
      </c>
      <c r="B4538" t="inlineStr">
        <is>
          <t>20:14</t>
        </is>
      </c>
      <c r="C4538" t="n">
        <v>3041</v>
      </c>
      <c r="D4538" s="6" t="n">
        <v>5.8</v>
      </c>
      <c r="E4538" t="n">
        <v>41539</v>
      </c>
      <c r="F4538" s="6" t="n">
        <v>5.8</v>
      </c>
      <c r="G4538" t="n">
        <v>1</v>
      </c>
      <c r="H4538" s="6">
        <f>ROUND(G4538*F4538,2)</f>
        <v/>
      </c>
      <c r="I4538">
        <f>IF(ROUND(H4538-D4538,2)=0,1,0)</f>
        <v/>
      </c>
      <c r="J4538">
        <f>IF(F4538="","none",IF(G4538=1,"carte","multiple"))</f>
        <v/>
      </c>
    </row>
    <row r="4539">
      <c r="A4539" t="inlineStr">
        <is>
          <t>2022-08-26</t>
        </is>
      </c>
      <c r="B4539" t="inlineStr">
        <is>
          <t>20:16</t>
        </is>
      </c>
      <c r="C4539" t="n">
        <v>3041</v>
      </c>
      <c r="D4539" s="6" t="n">
        <v>7.9</v>
      </c>
      <c r="E4539" t="n">
        <v>41540</v>
      </c>
      <c r="F4539" s="6" t="n">
        <v>7.9</v>
      </c>
      <c r="G4539" t="n">
        <v>1</v>
      </c>
      <c r="H4539" s="6">
        <f>ROUND(G4539*F4539,2)</f>
        <v/>
      </c>
      <c r="I4539">
        <f>IF(ROUND(H4539-D4539,2)=0,1,0)</f>
        <v/>
      </c>
      <c r="J4539">
        <f>IF(F4539="","none",IF(G4539=1,"carte","multiple"))</f>
        <v/>
      </c>
    </row>
    <row r="4540">
      <c r="A4540" t="inlineStr">
        <is>
          <t>2022-08-26</t>
        </is>
      </c>
      <c r="B4540" t="inlineStr">
        <is>
          <t>20:16</t>
        </is>
      </c>
      <c r="C4540" t="n">
        <v>3041</v>
      </c>
      <c r="D4540" s="6" t="n">
        <v>32</v>
      </c>
      <c r="E4540" t="n">
        <v>41541</v>
      </c>
      <c r="F4540" s="6" t="n">
        <v>32</v>
      </c>
      <c r="G4540" t="n">
        <v>1</v>
      </c>
      <c r="H4540" s="6">
        <f>ROUND(G4540*F4540,2)</f>
        <v/>
      </c>
      <c r="I4540">
        <f>IF(ROUND(H4540-D4540,2)=0,1,0)</f>
        <v/>
      </c>
      <c r="J4540">
        <f>IF(F4540="","none",IF(G4540=1,"carte","multiple"))</f>
        <v/>
      </c>
    </row>
    <row r="4541">
      <c r="A4541" t="inlineStr">
        <is>
          <t>2022-08-26</t>
        </is>
      </c>
      <c r="B4541" t="inlineStr">
        <is>
          <t>20:16</t>
        </is>
      </c>
      <c r="C4541" t="n">
        <v>3041</v>
      </c>
      <c r="D4541" s="6" t="n">
        <v>32</v>
      </c>
      <c r="E4541" t="n">
        <v>41542</v>
      </c>
      <c r="F4541" s="6" t="n">
        <v>32</v>
      </c>
      <c r="G4541" t="n">
        <v>1</v>
      </c>
      <c r="H4541" s="6">
        <f>ROUND(G4541*F4541,2)</f>
        <v/>
      </c>
      <c r="I4541">
        <f>IF(ROUND(H4541-D4541,2)=0,1,0)</f>
        <v/>
      </c>
      <c r="J4541">
        <f>IF(F4541="","none",IF(G4541=1,"carte","multiple"))</f>
        <v/>
      </c>
    </row>
    <row r="4542">
      <c r="A4542" t="inlineStr">
        <is>
          <t>2022-08-26</t>
        </is>
      </c>
      <c r="B4542" t="inlineStr">
        <is>
          <t>20:16</t>
        </is>
      </c>
      <c r="C4542" t="n">
        <v>3041</v>
      </c>
      <c r="D4542" s="6" t="n">
        <v>24</v>
      </c>
      <c r="E4542" t="n">
        <v>41543</v>
      </c>
      <c r="F4542" s="6" t="n">
        <v>24</v>
      </c>
      <c r="G4542" t="n">
        <v>1</v>
      </c>
      <c r="H4542" s="6">
        <f>ROUND(G4542*F4542,2)</f>
        <v/>
      </c>
      <c r="I4542">
        <f>IF(ROUND(H4542-D4542,2)=0,1,0)</f>
        <v/>
      </c>
      <c r="J4542">
        <f>IF(F4542="","none",IF(G4542=1,"carte","multiple"))</f>
        <v/>
      </c>
    </row>
    <row r="4543">
      <c r="A4543" t="inlineStr">
        <is>
          <t>2022-08-26</t>
        </is>
      </c>
      <c r="B4543" t="inlineStr">
        <is>
          <t>20:16</t>
        </is>
      </c>
      <c r="C4543" t="n">
        <v>3041</v>
      </c>
      <c r="D4543" s="6" t="n">
        <v>9.800000000000001</v>
      </c>
      <c r="E4543" t="n">
        <v>41544</v>
      </c>
      <c r="F4543" s="6" t="n">
        <v>9.800000000000001</v>
      </c>
      <c r="G4543" t="n">
        <v>1</v>
      </c>
      <c r="H4543" s="6">
        <f>ROUND(G4543*F4543,2)</f>
        <v/>
      </c>
      <c r="I4543">
        <f>IF(ROUND(H4543-D4543,2)=0,1,0)</f>
        <v/>
      </c>
      <c r="J4543">
        <f>IF(F4543="","none",IF(G4543=1,"carte","multiple"))</f>
        <v/>
      </c>
    </row>
    <row r="4544">
      <c r="A4544" t="inlineStr">
        <is>
          <t>2022-08-26</t>
        </is>
      </c>
      <c r="B4544" t="inlineStr">
        <is>
          <t>20:16</t>
        </is>
      </c>
      <c r="C4544" t="n">
        <v>3041</v>
      </c>
      <c r="D4544" s="6" t="n">
        <v>6</v>
      </c>
      <c r="E4544" t="n">
        <v>41545</v>
      </c>
      <c r="F4544" s="6" t="n">
        <v>6</v>
      </c>
      <c r="G4544" t="n">
        <v>1</v>
      </c>
      <c r="H4544" s="6">
        <f>ROUND(G4544*F4544,2)</f>
        <v/>
      </c>
      <c r="I4544">
        <f>IF(ROUND(H4544-D4544,2)=0,1,0)</f>
        <v/>
      </c>
      <c r="J4544">
        <f>IF(F4544="","none",IF(G4544=1,"carte","multiple"))</f>
        <v/>
      </c>
    </row>
    <row r="4545">
      <c r="A4545" t="inlineStr">
        <is>
          <t>2022-08-26</t>
        </is>
      </c>
      <c r="B4545" t="inlineStr">
        <is>
          <t>20:27</t>
        </is>
      </c>
      <c r="C4545" t="n">
        <v>3041</v>
      </c>
      <c r="D4545" s="6" t="n">
        <v>4.4</v>
      </c>
      <c r="E4545" t="n">
        <v>41546</v>
      </c>
      <c r="F4545" s="6" t="n">
        <v>0.4</v>
      </c>
      <c r="G4545" t="n">
        <v>11</v>
      </c>
      <c r="H4545" s="6">
        <f>ROUND(G4545*F4545,2)</f>
        <v/>
      </c>
      <c r="I4545">
        <f>IF(ROUND(H4545-D4545,2)=0,1,0)</f>
        <v/>
      </c>
      <c r="J4545">
        <f>IF(F4545="","none",IF(G4545=1,"carte","multiple"))</f>
        <v/>
      </c>
    </row>
    <row r="4546">
      <c r="A4546" t="inlineStr">
        <is>
          <t>2022-08-26</t>
        </is>
      </c>
      <c r="B4546" t="inlineStr">
        <is>
          <t>20:27</t>
        </is>
      </c>
      <c r="C4546" t="n">
        <v>3041</v>
      </c>
      <c r="D4546" s="6" t="n">
        <v>17.6</v>
      </c>
      <c r="E4546" t="n">
        <v>41547</v>
      </c>
      <c r="F4546" s="6" t="n">
        <v>17.6</v>
      </c>
      <c r="G4546" t="n">
        <v>1</v>
      </c>
      <c r="H4546" s="6">
        <f>ROUND(G4546*F4546,2)</f>
        <v/>
      </c>
      <c r="I4546">
        <f>IF(ROUND(H4546-D4546,2)=0,1,0)</f>
        <v/>
      </c>
      <c r="J4546">
        <f>IF(F4546="","none",IF(G4546=1,"carte","multiple"))</f>
        <v/>
      </c>
    </row>
    <row r="4547">
      <c r="A4547" t="inlineStr">
        <is>
          <t>2022-08-26</t>
        </is>
      </c>
      <c r="B4547" t="inlineStr">
        <is>
          <t>20:27</t>
        </is>
      </c>
      <c r="C4547" t="n">
        <v>3041</v>
      </c>
      <c r="D4547" s="6" t="n">
        <v>17.6</v>
      </c>
      <c r="E4547" t="n">
        <v>41548</v>
      </c>
      <c r="F4547" s="6" t="n">
        <v>17.6</v>
      </c>
      <c r="G4547" t="n">
        <v>1</v>
      </c>
      <c r="H4547" s="6">
        <f>ROUND(G4547*F4547,2)</f>
        <v/>
      </c>
      <c r="I4547">
        <f>IF(ROUND(H4547-D4547,2)=0,1,0)</f>
        <v/>
      </c>
      <c r="J4547">
        <f>IF(F4547="","none",IF(G4547=1,"carte","multiple"))</f>
        <v/>
      </c>
    </row>
    <row r="4548">
      <c r="A4548" t="inlineStr">
        <is>
          <t>2022-08-26</t>
        </is>
      </c>
      <c r="B4548" t="inlineStr">
        <is>
          <t>20:27</t>
        </is>
      </c>
      <c r="C4548" t="n">
        <v>3041</v>
      </c>
      <c r="D4548" s="6" t="n">
        <v>8.9</v>
      </c>
      <c r="E4548" t="n">
        <v>41549</v>
      </c>
      <c r="F4548" s="6" t="n">
        <v>8.9</v>
      </c>
      <c r="G4548" t="n">
        <v>1</v>
      </c>
      <c r="H4548" s="6">
        <f>ROUND(G4548*F4548,2)</f>
        <v/>
      </c>
      <c r="I4548">
        <f>IF(ROUND(H4548-D4548,2)=0,1,0)</f>
        <v/>
      </c>
      <c r="J4548">
        <f>IF(F4548="","none",IF(G4548=1,"carte","multiple"))</f>
        <v/>
      </c>
    </row>
    <row r="4549">
      <c r="A4549" t="inlineStr">
        <is>
          <t>2022-08-26</t>
        </is>
      </c>
      <c r="B4549" t="inlineStr">
        <is>
          <t>20:27</t>
        </is>
      </c>
      <c r="C4549" t="n">
        <v>3041</v>
      </c>
      <c r="D4549" s="6" t="n">
        <v>7.2</v>
      </c>
      <c r="E4549" t="n">
        <v>41550</v>
      </c>
      <c r="F4549" s="6" t="n">
        <v>7.2</v>
      </c>
      <c r="G4549" t="n">
        <v>1</v>
      </c>
      <c r="H4549" s="6">
        <f>ROUND(G4549*F4549,2)</f>
        <v/>
      </c>
      <c r="I4549">
        <f>IF(ROUND(H4549-D4549,2)=0,1,0)</f>
        <v/>
      </c>
      <c r="J4549">
        <f>IF(F4549="","none",IF(G4549=1,"carte","multiple"))</f>
        <v/>
      </c>
    </row>
    <row r="4550">
      <c r="A4550" t="inlineStr">
        <is>
          <t>2022-08-26</t>
        </is>
      </c>
      <c r="B4550" t="inlineStr">
        <is>
          <t>20:27</t>
        </is>
      </c>
      <c r="C4550" t="n">
        <v>3041</v>
      </c>
      <c r="D4550" s="6" t="n">
        <v>3.8</v>
      </c>
      <c r="E4550" t="n">
        <v>41551</v>
      </c>
      <c r="F4550" s="6" t="n">
        <v>3.8</v>
      </c>
      <c r="G4550" t="n">
        <v>1</v>
      </c>
      <c r="H4550" s="6">
        <f>ROUND(G4550*F4550,2)</f>
        <v/>
      </c>
      <c r="I4550">
        <f>IF(ROUND(H4550-D4550,2)=0,1,0)</f>
        <v/>
      </c>
      <c r="J4550">
        <f>IF(F4550="","none",IF(G4550=1,"carte","multiple"))</f>
        <v/>
      </c>
    </row>
    <row r="4551">
      <c r="A4551" t="inlineStr">
        <is>
          <t>2022-08-26</t>
        </is>
      </c>
      <c r="B4551" t="inlineStr">
        <is>
          <t>20:27</t>
        </is>
      </c>
      <c r="C4551" t="n">
        <v>3041</v>
      </c>
      <c r="D4551" s="6" t="n">
        <v>3.9</v>
      </c>
      <c r="E4551" t="n">
        <v>41552</v>
      </c>
      <c r="F4551" s="6" t="n">
        <v>3.9</v>
      </c>
      <c r="G4551" t="n">
        <v>1</v>
      </c>
      <c r="H4551" s="6">
        <f>ROUND(G4551*F4551,2)</f>
        <v/>
      </c>
      <c r="I4551">
        <f>IF(ROUND(H4551-D4551,2)=0,1,0)</f>
        <v/>
      </c>
      <c r="J4551">
        <f>IF(F4551="","none",IF(G4551=1,"carte","multiple"))</f>
        <v/>
      </c>
    </row>
    <row r="4552">
      <c r="A4552" t="inlineStr">
        <is>
          <t>2022-08-26</t>
        </is>
      </c>
      <c r="B4552" t="inlineStr">
        <is>
          <t>20:52</t>
        </is>
      </c>
      <c r="C4552" t="n">
        <v>3041</v>
      </c>
      <c r="D4552" s="6" t="n">
        <v>5.2</v>
      </c>
      <c r="E4552" t="n">
        <v>41553</v>
      </c>
      <c r="F4552" s="6" t="n">
        <v>5.2</v>
      </c>
      <c r="G4552" t="n">
        <v>1</v>
      </c>
      <c r="H4552" s="6">
        <f>ROUND(G4552*F4552,2)</f>
        <v/>
      </c>
      <c r="I4552">
        <f>IF(ROUND(H4552-D4552,2)=0,1,0)</f>
        <v/>
      </c>
      <c r="J4552">
        <f>IF(F4552="","none",IF(G4552=1,"carte","multiple"))</f>
        <v/>
      </c>
    </row>
    <row r="4553">
      <c r="A4553" t="inlineStr">
        <is>
          <t>2022-08-26</t>
        </is>
      </c>
      <c r="B4553" t="inlineStr">
        <is>
          <t>20:52</t>
        </is>
      </c>
      <c r="C4553" t="n">
        <v>3041</v>
      </c>
      <c r="D4553" s="6" t="n">
        <v>7.2</v>
      </c>
      <c r="E4553" t="n">
        <v>41554</v>
      </c>
      <c r="F4553" s="6" t="n">
        <v>7.2</v>
      </c>
      <c r="G4553" t="n">
        <v>1</v>
      </c>
      <c r="H4553" s="6">
        <f>ROUND(G4553*F4553,2)</f>
        <v/>
      </c>
      <c r="I4553">
        <f>IF(ROUND(H4553-D4553,2)=0,1,0)</f>
        <v/>
      </c>
      <c r="J4553">
        <f>IF(F4553="","none",IF(G4553=1,"carte","multiple"))</f>
        <v/>
      </c>
    </row>
    <row r="4554">
      <c r="A4554" t="inlineStr">
        <is>
          <t>2022-08-26</t>
        </is>
      </c>
      <c r="B4554" t="inlineStr">
        <is>
          <t>20:52</t>
        </is>
      </c>
      <c r="C4554" t="n">
        <v>3041</v>
      </c>
      <c r="D4554" s="6" t="n">
        <v>6.9</v>
      </c>
      <c r="E4554" t="n">
        <v>41555</v>
      </c>
      <c r="F4554" s="6" t="n">
        <v>6.9</v>
      </c>
      <c r="G4554" t="n">
        <v>1</v>
      </c>
      <c r="H4554" s="6">
        <f>ROUND(G4554*F4554,2)</f>
        <v/>
      </c>
      <c r="I4554">
        <f>IF(ROUND(H4554-D4554,2)=0,1,0)</f>
        <v/>
      </c>
      <c r="J4554">
        <f>IF(F4554="","none",IF(G4554=1,"carte","multiple"))</f>
        <v/>
      </c>
    </row>
    <row r="4555">
      <c r="A4555" t="inlineStr">
        <is>
          <t>2022-08-26</t>
        </is>
      </c>
      <c r="B4555" t="inlineStr">
        <is>
          <t>20:52</t>
        </is>
      </c>
      <c r="C4555" t="n">
        <v>3041</v>
      </c>
      <c r="D4555" s="6" t="n">
        <v>18.6</v>
      </c>
      <c r="E4555" t="n">
        <v>41556</v>
      </c>
      <c r="F4555" s="6" t="n">
        <v>18.6</v>
      </c>
      <c r="G4555" t="n">
        <v>1</v>
      </c>
      <c r="H4555" s="6">
        <f>ROUND(G4555*F4555,2)</f>
        <v/>
      </c>
      <c r="I4555">
        <f>IF(ROUND(H4555-D4555,2)=0,1,0)</f>
        <v/>
      </c>
      <c r="J4555">
        <f>IF(F4555="","none",IF(G4555=1,"carte","multiple"))</f>
        <v/>
      </c>
    </row>
    <row r="4556">
      <c r="A4556" t="inlineStr">
        <is>
          <t>2022-08-26</t>
        </is>
      </c>
      <c r="B4556" t="inlineStr">
        <is>
          <t>20:52</t>
        </is>
      </c>
      <c r="C4556" t="n">
        <v>3041</v>
      </c>
      <c r="D4556" s="6" t="n">
        <v>16.4</v>
      </c>
      <c r="E4556" t="n">
        <v>41557</v>
      </c>
      <c r="F4556" s="6" t="n">
        <v>16.4</v>
      </c>
      <c r="G4556" t="n">
        <v>1</v>
      </c>
      <c r="H4556" s="6">
        <f>ROUND(G4556*F4556,2)</f>
        <v/>
      </c>
      <c r="I4556">
        <f>IF(ROUND(H4556-D4556,2)=0,1,0)</f>
        <v/>
      </c>
      <c r="J4556">
        <f>IF(F4556="","none",IF(G4556=1,"carte","multiple"))</f>
        <v/>
      </c>
    </row>
    <row r="4557">
      <c r="A4557" t="inlineStr">
        <is>
          <t>2022-08-26</t>
        </is>
      </c>
      <c r="B4557" t="inlineStr">
        <is>
          <t>20:52</t>
        </is>
      </c>
      <c r="C4557" t="n">
        <v>3041</v>
      </c>
      <c r="D4557" s="6" t="n">
        <v>19</v>
      </c>
      <c r="E4557" t="n">
        <v>41558</v>
      </c>
      <c r="F4557" s="6" t="n">
        <v>19</v>
      </c>
      <c r="G4557" t="n">
        <v>1</v>
      </c>
      <c r="H4557" s="6">
        <f>ROUND(G4557*F4557,2)</f>
        <v/>
      </c>
      <c r="I4557">
        <f>IF(ROUND(H4557-D4557,2)=0,1,0)</f>
        <v/>
      </c>
      <c r="J4557">
        <f>IF(F4557="","none",IF(G4557=1,"carte","multiple"))</f>
        <v/>
      </c>
    </row>
    <row r="4558">
      <c r="A4558" t="inlineStr">
        <is>
          <t>2022-08-26</t>
        </is>
      </c>
      <c r="B4558" t="inlineStr">
        <is>
          <t>20:52</t>
        </is>
      </c>
      <c r="C4558" t="n">
        <v>3041</v>
      </c>
      <c r="D4558" s="6" t="n">
        <v>9.800000000000001</v>
      </c>
      <c r="E4558" t="n">
        <v>41559</v>
      </c>
      <c r="F4558" s="6" t="n">
        <v>9.800000000000001</v>
      </c>
      <c r="G4558" t="n">
        <v>1</v>
      </c>
      <c r="H4558" s="6">
        <f>ROUND(G4558*F4558,2)</f>
        <v/>
      </c>
      <c r="I4558">
        <f>IF(ROUND(H4558-D4558,2)=0,1,0)</f>
        <v/>
      </c>
      <c r="J4558">
        <f>IF(F4558="","none",IF(G4558=1,"carte","multiple"))</f>
        <v/>
      </c>
    </row>
    <row r="4559">
      <c r="A4559" t="inlineStr">
        <is>
          <t>2022-08-26</t>
        </is>
      </c>
      <c r="B4559" t="inlineStr">
        <is>
          <t>20:52</t>
        </is>
      </c>
      <c r="C4559" t="n">
        <v>3041</v>
      </c>
      <c r="D4559" s="6" t="n">
        <v>1.95</v>
      </c>
      <c r="E4559" t="n">
        <v>41560</v>
      </c>
      <c r="H4559" t="inlineStr"/>
      <c r="I4559" t="inlineStr"/>
      <c r="J4559">
        <f>IF(F4559="","none",IF(G4559=1,"carte","multiple"))</f>
        <v/>
      </c>
    </row>
    <row r="4560">
      <c r="A4560" t="inlineStr">
        <is>
          <t>2022-08-26</t>
        </is>
      </c>
      <c r="B4560" t="inlineStr">
        <is>
          <t>20:52</t>
        </is>
      </c>
      <c r="C4560" t="n">
        <v>3041</v>
      </c>
      <c r="D4560" s="6" t="n">
        <v>3.45</v>
      </c>
      <c r="E4560" t="n">
        <v>41561</v>
      </c>
      <c r="H4560" t="inlineStr"/>
      <c r="I4560" t="inlineStr"/>
      <c r="J4560">
        <f>IF(F4560="","none",IF(G4560=1,"carte","multiple"))</f>
        <v/>
      </c>
    </row>
    <row r="4561">
      <c r="A4561" t="inlineStr">
        <is>
          <t>2022-08-26</t>
        </is>
      </c>
      <c r="B4561" t="inlineStr">
        <is>
          <t>20:52</t>
        </is>
      </c>
      <c r="C4561" t="n">
        <v>3041</v>
      </c>
      <c r="D4561" s="6" t="n">
        <v>7.95</v>
      </c>
      <c r="E4561" t="n">
        <v>41562</v>
      </c>
      <c r="H4561" t="inlineStr"/>
      <c r="I4561" t="inlineStr"/>
      <c r="J4561">
        <f>IF(F4561="","none",IF(G4561=1,"carte","multiple"))</f>
        <v/>
      </c>
    </row>
    <row r="4562">
      <c r="A4562" t="inlineStr">
        <is>
          <t>2022-08-26</t>
        </is>
      </c>
      <c r="B4562" t="inlineStr">
        <is>
          <t>20:52</t>
        </is>
      </c>
      <c r="C4562" t="n">
        <v>3041</v>
      </c>
      <c r="D4562" s="6" t="n">
        <v>9.949999999999999</v>
      </c>
      <c r="E4562" t="n">
        <v>41563</v>
      </c>
      <c r="H4562" t="inlineStr"/>
      <c r="I4562" t="inlineStr"/>
      <c r="J4562">
        <f>IF(F4562="","none",IF(G4562=1,"carte","multiple"))</f>
        <v/>
      </c>
    </row>
    <row r="4563">
      <c r="A4563" t="inlineStr">
        <is>
          <t>2022-08-26</t>
        </is>
      </c>
      <c r="B4563" t="inlineStr">
        <is>
          <t>20:52</t>
        </is>
      </c>
      <c r="C4563" t="n">
        <v>3041</v>
      </c>
      <c r="D4563" s="6" t="n">
        <v>9.5</v>
      </c>
      <c r="E4563" t="n">
        <v>41564</v>
      </c>
      <c r="F4563" s="6" t="n">
        <v>9.5</v>
      </c>
      <c r="G4563" t="n">
        <v>1</v>
      </c>
      <c r="H4563" s="6">
        <f>ROUND(G4563*F4563,2)</f>
        <v/>
      </c>
      <c r="I4563">
        <f>IF(ROUND(H4563-D4563,2)=0,1,0)</f>
        <v/>
      </c>
      <c r="J4563">
        <f>IF(F4563="","none",IF(G4563=1,"carte","multiple"))</f>
        <v/>
      </c>
    </row>
    <row r="4564">
      <c r="A4564" t="inlineStr">
        <is>
          <t>2022-08-26</t>
        </is>
      </c>
      <c r="B4564" t="inlineStr">
        <is>
          <t>20:52</t>
        </is>
      </c>
      <c r="C4564" t="n">
        <v>3041</v>
      </c>
      <c r="D4564" s="6" t="n">
        <v>2</v>
      </c>
      <c r="E4564" t="n">
        <v>41565</v>
      </c>
      <c r="F4564" s="6" t="n">
        <v>2</v>
      </c>
      <c r="G4564" t="n">
        <v>1</v>
      </c>
      <c r="H4564" s="6">
        <f>ROUND(G4564*F4564,2)</f>
        <v/>
      </c>
      <c r="I4564">
        <f>IF(ROUND(H4564-D4564,2)=0,1,0)</f>
        <v/>
      </c>
      <c r="J4564">
        <f>IF(F4564="","none",IF(G4564=1,"carte","multiple"))</f>
        <v/>
      </c>
    </row>
    <row r="4565">
      <c r="A4565" t="inlineStr">
        <is>
          <t>2022-08-26</t>
        </is>
      </c>
      <c r="B4565" t="inlineStr">
        <is>
          <t>20:52</t>
        </is>
      </c>
      <c r="C4565" t="n">
        <v>3041</v>
      </c>
      <c r="D4565" s="6" t="n">
        <v>2.45</v>
      </c>
      <c r="E4565" t="n">
        <v>41566</v>
      </c>
      <c r="H4565" t="inlineStr"/>
      <c r="I4565" t="inlineStr"/>
      <c r="J4565">
        <f>IF(F4565="","none",IF(G4565=1,"carte","multiple"))</f>
        <v/>
      </c>
    </row>
    <row r="4566">
      <c r="A4566" t="inlineStr">
        <is>
          <t>2022-08-27</t>
        </is>
      </c>
      <c r="B4566" t="inlineStr">
        <is>
          <t>10:35</t>
        </is>
      </c>
      <c r="C4566" t="n">
        <v>3042</v>
      </c>
      <c r="D4566" s="6" t="n">
        <v>29.9</v>
      </c>
      <c r="E4566" t="n">
        <v>41569</v>
      </c>
      <c r="F4566" s="6" t="n">
        <v>29.9</v>
      </c>
      <c r="G4566" t="n">
        <v>1</v>
      </c>
      <c r="H4566" s="6">
        <f>ROUND(G4566*F4566,2)</f>
        <v/>
      </c>
      <c r="I4566">
        <f>IF(ROUND(H4566-D4566,2)=0,1,0)</f>
        <v/>
      </c>
      <c r="J4566">
        <f>IF(F4566="","none",IF(G4566=1,"carte","multiple"))</f>
        <v/>
      </c>
    </row>
    <row r="4567">
      <c r="A4567" t="inlineStr">
        <is>
          <t>2022-08-27</t>
        </is>
      </c>
      <c r="B4567" t="inlineStr">
        <is>
          <t>10:49</t>
        </is>
      </c>
      <c r="C4567" t="n">
        <v>3042</v>
      </c>
      <c r="D4567" s="6" t="n">
        <v>28.6</v>
      </c>
      <c r="E4567" t="n">
        <v>41570</v>
      </c>
      <c r="F4567" s="6" t="n">
        <v>28.6</v>
      </c>
      <c r="G4567" t="n">
        <v>1</v>
      </c>
      <c r="H4567" s="6">
        <f>ROUND(G4567*F4567,2)</f>
        <v/>
      </c>
      <c r="I4567">
        <f>IF(ROUND(H4567-D4567,2)=0,1,0)</f>
        <v/>
      </c>
      <c r="J4567">
        <f>IF(F4567="","none",IF(G4567=1,"carte","multiple"))</f>
        <v/>
      </c>
    </row>
    <row r="4568">
      <c r="A4568" t="inlineStr">
        <is>
          <t>2022-08-27</t>
        </is>
      </c>
      <c r="B4568" t="inlineStr">
        <is>
          <t>11:12</t>
        </is>
      </c>
      <c r="C4568" t="n">
        <v>3042</v>
      </c>
      <c r="D4568" s="6" t="n">
        <v>5.8</v>
      </c>
      <c r="E4568" t="n">
        <v>41571</v>
      </c>
      <c r="F4568" s="6" t="n">
        <v>5.8</v>
      </c>
      <c r="G4568" t="n">
        <v>1</v>
      </c>
      <c r="H4568" s="6">
        <f>ROUND(G4568*F4568,2)</f>
        <v/>
      </c>
      <c r="I4568">
        <f>IF(ROUND(H4568-D4568,2)=0,1,0)</f>
        <v/>
      </c>
      <c r="J4568">
        <f>IF(F4568="","none",IF(G4568=1,"carte","multiple"))</f>
        <v/>
      </c>
    </row>
    <row r="4569">
      <c r="A4569" t="inlineStr">
        <is>
          <t>2022-08-27</t>
        </is>
      </c>
      <c r="B4569" t="inlineStr">
        <is>
          <t>11:32</t>
        </is>
      </c>
      <c r="C4569" t="n">
        <v>3042</v>
      </c>
      <c r="D4569" s="6" t="n">
        <v>5.8</v>
      </c>
      <c r="E4569" t="n">
        <v>41572</v>
      </c>
      <c r="F4569" s="6" t="n">
        <v>5.8</v>
      </c>
      <c r="G4569" t="n">
        <v>1</v>
      </c>
      <c r="H4569" s="6">
        <f>ROUND(G4569*F4569,2)</f>
        <v/>
      </c>
      <c r="I4569">
        <f>IF(ROUND(H4569-D4569,2)=0,1,0)</f>
        <v/>
      </c>
      <c r="J4569">
        <f>IF(F4569="","none",IF(G4569=1,"carte","multiple"))</f>
        <v/>
      </c>
    </row>
    <row r="4570">
      <c r="A4570" t="inlineStr">
        <is>
          <t>2022-08-27</t>
        </is>
      </c>
      <c r="B4570" t="inlineStr">
        <is>
          <t>11:32</t>
        </is>
      </c>
      <c r="C4570" t="n">
        <v>3042</v>
      </c>
      <c r="D4570" s="6" t="n">
        <v>3.9</v>
      </c>
      <c r="E4570" t="n">
        <v>41573</v>
      </c>
      <c r="F4570" s="6" t="n">
        <v>3.9</v>
      </c>
      <c r="G4570" t="n">
        <v>1</v>
      </c>
      <c r="H4570" s="6">
        <f>ROUND(G4570*F4570,2)</f>
        <v/>
      </c>
      <c r="I4570">
        <f>IF(ROUND(H4570-D4570,2)=0,1,0)</f>
        <v/>
      </c>
      <c r="J4570">
        <f>IF(F4570="","none",IF(G4570=1,"carte","multiple"))</f>
        <v/>
      </c>
    </row>
    <row r="4571">
      <c r="A4571" t="inlineStr">
        <is>
          <t>2022-08-27</t>
        </is>
      </c>
      <c r="B4571" t="inlineStr">
        <is>
          <t>11:32</t>
        </is>
      </c>
      <c r="C4571" t="n">
        <v>3042</v>
      </c>
      <c r="D4571" s="6" t="n">
        <v>7.2</v>
      </c>
      <c r="E4571" t="n">
        <v>41574</v>
      </c>
      <c r="F4571" s="6" t="n">
        <v>7.2</v>
      </c>
      <c r="G4571" t="n">
        <v>1</v>
      </c>
      <c r="H4571" s="6">
        <f>ROUND(G4571*F4571,2)</f>
        <v/>
      </c>
      <c r="I4571">
        <f>IF(ROUND(H4571-D4571,2)=0,1,0)</f>
        <v/>
      </c>
      <c r="J4571">
        <f>IF(F4571="","none",IF(G4571=1,"carte","multiple"))</f>
        <v/>
      </c>
    </row>
    <row r="4572">
      <c r="A4572" t="inlineStr">
        <is>
          <t>2022-08-27</t>
        </is>
      </c>
      <c r="B4572" t="inlineStr">
        <is>
          <t>11:32</t>
        </is>
      </c>
      <c r="C4572" t="n">
        <v>3042</v>
      </c>
      <c r="D4572" s="6" t="n">
        <v>19.2</v>
      </c>
      <c r="E4572" t="n">
        <v>41575</v>
      </c>
      <c r="F4572" s="6" t="n">
        <v>0.4</v>
      </c>
      <c r="G4572" t="n">
        <v>48</v>
      </c>
      <c r="H4572" s="6">
        <f>ROUND(G4572*F4572,2)</f>
        <v/>
      </c>
      <c r="I4572">
        <f>IF(ROUND(H4572-D4572,2)=0,1,0)</f>
        <v/>
      </c>
      <c r="J4572">
        <f>IF(F4572="","none",IF(G4572=1,"carte","multiple"))</f>
        <v/>
      </c>
    </row>
    <row r="4573">
      <c r="A4573" t="inlineStr">
        <is>
          <t>2022-08-27</t>
        </is>
      </c>
      <c r="B4573" t="inlineStr">
        <is>
          <t>11:32</t>
        </is>
      </c>
      <c r="C4573" t="n">
        <v>3042</v>
      </c>
      <c r="D4573" s="6" t="n">
        <v>9.800000000000001</v>
      </c>
      <c r="E4573" t="n">
        <v>41576</v>
      </c>
      <c r="F4573" s="6" t="n">
        <v>9.800000000000001</v>
      </c>
      <c r="G4573" t="n">
        <v>1</v>
      </c>
      <c r="H4573" s="6">
        <f>ROUND(G4573*F4573,2)</f>
        <v/>
      </c>
      <c r="I4573">
        <f>IF(ROUND(H4573-D4573,2)=0,1,0)</f>
        <v/>
      </c>
      <c r="J4573">
        <f>IF(F4573="","none",IF(G4573=1,"carte","multiple"))</f>
        <v/>
      </c>
    </row>
    <row r="4574">
      <c r="A4574" t="inlineStr">
        <is>
          <t>2022-08-27</t>
        </is>
      </c>
      <c r="B4574" t="inlineStr">
        <is>
          <t>11:32</t>
        </is>
      </c>
      <c r="C4574" t="n">
        <v>3042</v>
      </c>
      <c r="D4574" s="6" t="n">
        <v>4</v>
      </c>
      <c r="E4574" t="n">
        <v>41577</v>
      </c>
      <c r="F4574" s="6" t="n">
        <v>4</v>
      </c>
      <c r="G4574" t="n">
        <v>1</v>
      </c>
      <c r="H4574" s="6">
        <f>ROUND(G4574*F4574,2)</f>
        <v/>
      </c>
      <c r="I4574">
        <f>IF(ROUND(H4574-D4574,2)=0,1,0)</f>
        <v/>
      </c>
      <c r="J4574">
        <f>IF(F4574="","none",IF(G4574=1,"carte","multiple"))</f>
        <v/>
      </c>
    </row>
    <row r="4575">
      <c r="A4575" t="inlineStr">
        <is>
          <t>2022-08-27</t>
        </is>
      </c>
      <c r="B4575" t="inlineStr">
        <is>
          <t>11:32</t>
        </is>
      </c>
      <c r="C4575" t="n">
        <v>3042</v>
      </c>
      <c r="D4575" s="6" t="n">
        <v>3.9</v>
      </c>
      <c r="E4575" t="n">
        <v>41578</v>
      </c>
      <c r="F4575" s="6" t="n">
        <v>3.9</v>
      </c>
      <c r="G4575" t="n">
        <v>1</v>
      </c>
      <c r="H4575" s="6">
        <f>ROUND(G4575*F4575,2)</f>
        <v/>
      </c>
      <c r="I4575">
        <f>IF(ROUND(H4575-D4575,2)=0,1,0)</f>
        <v/>
      </c>
      <c r="J4575">
        <f>IF(F4575="","none",IF(G4575=1,"carte","multiple"))</f>
        <v/>
      </c>
    </row>
    <row r="4576">
      <c r="A4576" t="inlineStr">
        <is>
          <t>2022-08-27</t>
        </is>
      </c>
      <c r="B4576" t="inlineStr">
        <is>
          <t>11:32</t>
        </is>
      </c>
      <c r="C4576" t="n">
        <v>3042</v>
      </c>
      <c r="D4576" s="6" t="n">
        <v>9</v>
      </c>
      <c r="E4576" t="n">
        <v>41579</v>
      </c>
      <c r="F4576" s="6" t="n">
        <v>9</v>
      </c>
      <c r="G4576" t="n">
        <v>1</v>
      </c>
      <c r="H4576" s="6">
        <f>ROUND(G4576*F4576,2)</f>
        <v/>
      </c>
      <c r="I4576">
        <f>IF(ROUND(H4576-D4576,2)=0,1,0)</f>
        <v/>
      </c>
      <c r="J4576">
        <f>IF(F4576="","none",IF(G4576=1,"carte","multiple"))</f>
        <v/>
      </c>
    </row>
    <row r="4577">
      <c r="A4577" t="inlineStr">
        <is>
          <t>2022-08-27</t>
        </is>
      </c>
      <c r="B4577" t="inlineStr">
        <is>
          <t>12:15</t>
        </is>
      </c>
      <c r="C4577" t="n">
        <v>3042</v>
      </c>
      <c r="D4577" s="6" t="n">
        <v>4.4</v>
      </c>
      <c r="E4577" t="n">
        <v>41580</v>
      </c>
      <c r="F4577" s="6" t="n">
        <v>0.4</v>
      </c>
      <c r="G4577" t="n">
        <v>11</v>
      </c>
      <c r="H4577" s="6">
        <f>ROUND(G4577*F4577,2)</f>
        <v/>
      </c>
      <c r="I4577">
        <f>IF(ROUND(H4577-D4577,2)=0,1,0)</f>
        <v/>
      </c>
      <c r="J4577">
        <f>IF(F4577="","none",IF(G4577=1,"carte","multiple"))</f>
        <v/>
      </c>
    </row>
    <row r="4578">
      <c r="A4578" t="inlineStr">
        <is>
          <t>2022-08-27</t>
        </is>
      </c>
      <c r="B4578" t="inlineStr">
        <is>
          <t>12:15</t>
        </is>
      </c>
      <c r="C4578" t="n">
        <v>3042</v>
      </c>
      <c r="D4578" s="6" t="n">
        <v>45</v>
      </c>
      <c r="E4578" t="n">
        <v>41581</v>
      </c>
      <c r="F4578" s="6" t="n">
        <v>45</v>
      </c>
      <c r="G4578" t="n">
        <v>1</v>
      </c>
      <c r="H4578" s="6">
        <f>ROUND(G4578*F4578,2)</f>
        <v/>
      </c>
      <c r="I4578">
        <f>IF(ROUND(H4578-D4578,2)=0,1,0)</f>
        <v/>
      </c>
      <c r="J4578">
        <f>IF(F4578="","none",IF(G4578=1,"carte","multiple"))</f>
        <v/>
      </c>
    </row>
    <row r="4579">
      <c r="A4579" t="inlineStr">
        <is>
          <t>2022-08-27</t>
        </is>
      </c>
      <c r="B4579" t="inlineStr">
        <is>
          <t>12:15</t>
        </is>
      </c>
      <c r="C4579" t="n">
        <v>3042</v>
      </c>
      <c r="D4579" s="6" t="n">
        <v>12.8</v>
      </c>
      <c r="E4579" t="n">
        <v>41582</v>
      </c>
      <c r="F4579" s="6" t="n">
        <v>0.4</v>
      </c>
      <c r="G4579" t="n">
        <v>32</v>
      </c>
      <c r="H4579" s="6">
        <f>ROUND(G4579*F4579,2)</f>
        <v/>
      </c>
      <c r="I4579">
        <f>IF(ROUND(H4579-D4579,2)=0,1,0)</f>
        <v/>
      </c>
      <c r="J4579">
        <f>IF(F4579="","none",IF(G4579=1,"carte","multiple"))</f>
        <v/>
      </c>
    </row>
    <row r="4580">
      <c r="A4580" t="inlineStr">
        <is>
          <t>2022-08-27</t>
        </is>
      </c>
      <c r="B4580" t="inlineStr">
        <is>
          <t>13:03</t>
        </is>
      </c>
      <c r="C4580" t="n">
        <v>3042</v>
      </c>
      <c r="D4580" s="6" t="n">
        <v>2.2</v>
      </c>
      <c r="E4580" t="n">
        <v>41583</v>
      </c>
      <c r="F4580" s="6" t="n">
        <v>2.2</v>
      </c>
      <c r="G4580" t="n">
        <v>1</v>
      </c>
      <c r="H4580" s="6">
        <f>ROUND(G4580*F4580,2)</f>
        <v/>
      </c>
      <c r="I4580">
        <f>IF(ROUND(H4580-D4580,2)=0,1,0)</f>
        <v/>
      </c>
      <c r="J4580">
        <f>IF(F4580="","none",IF(G4580=1,"carte","multiple"))</f>
        <v/>
      </c>
    </row>
    <row r="4581">
      <c r="A4581" t="inlineStr">
        <is>
          <t>2022-08-27</t>
        </is>
      </c>
      <c r="B4581" t="inlineStr">
        <is>
          <t>13:03</t>
        </is>
      </c>
      <c r="C4581" t="n">
        <v>3042</v>
      </c>
      <c r="D4581" s="6" t="n">
        <v>3.9</v>
      </c>
      <c r="E4581" t="n">
        <v>41584</v>
      </c>
      <c r="F4581" s="6" t="n">
        <v>3.9</v>
      </c>
      <c r="G4581" t="n">
        <v>1</v>
      </c>
      <c r="H4581" s="6">
        <f>ROUND(G4581*F4581,2)</f>
        <v/>
      </c>
      <c r="I4581">
        <f>IF(ROUND(H4581-D4581,2)=0,1,0)</f>
        <v/>
      </c>
      <c r="J4581">
        <f>IF(F4581="","none",IF(G4581=1,"carte","multiple"))</f>
        <v/>
      </c>
    </row>
    <row r="4582">
      <c r="A4582" t="inlineStr">
        <is>
          <t>2022-08-27</t>
        </is>
      </c>
      <c r="B4582" t="inlineStr">
        <is>
          <t>13:03</t>
        </is>
      </c>
      <c r="C4582" t="n">
        <v>3042</v>
      </c>
      <c r="D4582" s="6" t="n">
        <v>10.9</v>
      </c>
      <c r="E4582" t="n">
        <v>41585</v>
      </c>
      <c r="F4582" s="6" t="n">
        <v>10.9</v>
      </c>
      <c r="G4582" t="n">
        <v>1</v>
      </c>
      <c r="H4582" s="6">
        <f>ROUND(G4582*F4582,2)</f>
        <v/>
      </c>
      <c r="I4582">
        <f>IF(ROUND(H4582-D4582,2)=0,1,0)</f>
        <v/>
      </c>
      <c r="J4582">
        <f>IF(F4582="","none",IF(G4582=1,"carte","multiple"))</f>
        <v/>
      </c>
    </row>
    <row r="4583">
      <c r="A4583" t="inlineStr">
        <is>
          <t>2022-08-27</t>
        </is>
      </c>
      <c r="B4583" t="inlineStr">
        <is>
          <t>13:03</t>
        </is>
      </c>
      <c r="C4583" t="n">
        <v>3042</v>
      </c>
      <c r="D4583" s="6" t="n">
        <v>17.6</v>
      </c>
      <c r="E4583" t="n">
        <v>41586</v>
      </c>
      <c r="F4583" s="6" t="n">
        <v>17.6</v>
      </c>
      <c r="G4583" t="n">
        <v>1</v>
      </c>
      <c r="H4583" s="6">
        <f>ROUND(G4583*F4583,2)</f>
        <v/>
      </c>
      <c r="I4583">
        <f>IF(ROUND(H4583-D4583,2)=0,1,0)</f>
        <v/>
      </c>
      <c r="J4583">
        <f>IF(F4583="","none",IF(G4583=1,"carte","multiple"))</f>
        <v/>
      </c>
    </row>
    <row r="4584">
      <c r="A4584" t="inlineStr">
        <is>
          <t>2022-08-27</t>
        </is>
      </c>
      <c r="B4584" t="inlineStr">
        <is>
          <t>17:55</t>
        </is>
      </c>
      <c r="C4584" t="n">
        <v>3042</v>
      </c>
      <c r="D4584" s="6" t="n">
        <v>9.9</v>
      </c>
      <c r="E4584" t="n">
        <v>41588</v>
      </c>
      <c r="F4584" s="6" t="n">
        <v>9.9</v>
      </c>
      <c r="G4584" t="n">
        <v>1</v>
      </c>
      <c r="H4584" s="6">
        <f>ROUND(G4584*F4584,2)</f>
        <v/>
      </c>
      <c r="I4584">
        <f>IF(ROUND(H4584-D4584,2)=0,1,0)</f>
        <v/>
      </c>
      <c r="J4584">
        <f>IF(F4584="","none",IF(G4584=1,"carte","multiple"))</f>
        <v/>
      </c>
    </row>
    <row r="4585">
      <c r="A4585" t="inlineStr">
        <is>
          <t>2022-08-27</t>
        </is>
      </c>
      <c r="B4585" t="inlineStr">
        <is>
          <t>18:14</t>
        </is>
      </c>
      <c r="C4585" t="n">
        <v>3042</v>
      </c>
      <c r="D4585" s="6" t="n">
        <v>3.8</v>
      </c>
      <c r="E4585" t="n">
        <v>41589</v>
      </c>
      <c r="F4585" s="6" t="n">
        <v>3.8</v>
      </c>
      <c r="G4585" t="n">
        <v>1</v>
      </c>
      <c r="H4585" s="6">
        <f>ROUND(G4585*F4585,2)</f>
        <v/>
      </c>
      <c r="I4585">
        <f>IF(ROUND(H4585-D4585,2)=0,1,0)</f>
        <v/>
      </c>
      <c r="J4585">
        <f>IF(F4585="","none",IF(G4585=1,"carte","multiple"))</f>
        <v/>
      </c>
    </row>
    <row r="4586">
      <c r="A4586" t="inlineStr">
        <is>
          <t>2022-08-27</t>
        </is>
      </c>
      <c r="B4586" t="inlineStr">
        <is>
          <t>18:39</t>
        </is>
      </c>
      <c r="C4586" t="n">
        <v>3042</v>
      </c>
      <c r="D4586" s="6" t="n">
        <v>6.9</v>
      </c>
      <c r="E4586" t="n">
        <v>41590</v>
      </c>
      <c r="F4586" s="6" t="n">
        <v>6.9</v>
      </c>
      <c r="G4586" t="n">
        <v>1</v>
      </c>
      <c r="H4586" s="6">
        <f>ROUND(G4586*F4586,2)</f>
        <v/>
      </c>
      <c r="I4586">
        <f>IF(ROUND(H4586-D4586,2)=0,1,0)</f>
        <v/>
      </c>
      <c r="J4586">
        <f>IF(F4586="","none",IF(G4586=1,"carte","multiple"))</f>
        <v/>
      </c>
    </row>
    <row r="4587">
      <c r="A4587" t="inlineStr">
        <is>
          <t>2022-08-27</t>
        </is>
      </c>
      <c r="B4587" t="inlineStr">
        <is>
          <t>18:39</t>
        </is>
      </c>
      <c r="C4587" t="n">
        <v>3042</v>
      </c>
      <c r="D4587" s="6" t="n">
        <v>14</v>
      </c>
      <c r="E4587" t="n">
        <v>41591</v>
      </c>
      <c r="F4587" s="6" t="n">
        <v>14</v>
      </c>
      <c r="G4587" t="n">
        <v>1</v>
      </c>
      <c r="H4587" s="6">
        <f>ROUND(G4587*F4587,2)</f>
        <v/>
      </c>
      <c r="I4587">
        <f>IF(ROUND(H4587-D4587,2)=0,1,0)</f>
        <v/>
      </c>
      <c r="J4587">
        <f>IF(F4587="","none",IF(G4587=1,"carte","multiple"))</f>
        <v/>
      </c>
    </row>
    <row r="4588">
      <c r="A4588" t="inlineStr">
        <is>
          <t>2022-08-27</t>
        </is>
      </c>
      <c r="B4588" t="inlineStr">
        <is>
          <t>18:52</t>
        </is>
      </c>
      <c r="C4588" t="n">
        <v>3042</v>
      </c>
      <c r="D4588" s="6" t="n">
        <v>3.9</v>
      </c>
      <c r="E4588" t="n">
        <v>41592</v>
      </c>
      <c r="F4588" s="6" t="n">
        <v>3.9</v>
      </c>
      <c r="G4588" t="n">
        <v>1</v>
      </c>
      <c r="H4588" s="6">
        <f>ROUND(G4588*F4588,2)</f>
        <v/>
      </c>
      <c r="I4588">
        <f>IF(ROUND(H4588-D4588,2)=0,1,0)</f>
        <v/>
      </c>
      <c r="J4588">
        <f>IF(F4588="","none",IF(G4588=1,"carte","multiple"))</f>
        <v/>
      </c>
    </row>
    <row r="4589">
      <c r="A4589" t="inlineStr">
        <is>
          <t>2022-08-27</t>
        </is>
      </c>
      <c r="B4589" t="inlineStr">
        <is>
          <t>18:58</t>
        </is>
      </c>
      <c r="C4589" t="n">
        <v>3042</v>
      </c>
      <c r="D4589" s="6" t="n">
        <v>8.699999999999999</v>
      </c>
      <c r="E4589" t="n">
        <v>41593</v>
      </c>
      <c r="F4589" s="6" t="n">
        <v>8.699999999999999</v>
      </c>
      <c r="G4589" t="n">
        <v>1</v>
      </c>
      <c r="H4589" s="6">
        <f>ROUND(G4589*F4589,2)</f>
        <v/>
      </c>
      <c r="I4589">
        <f>IF(ROUND(H4589-D4589,2)=0,1,0)</f>
        <v/>
      </c>
      <c r="J4589">
        <f>IF(F4589="","none",IF(G4589=1,"carte","multiple"))</f>
        <v/>
      </c>
    </row>
    <row r="4590">
      <c r="A4590" t="inlineStr">
        <is>
          <t>2022-08-27</t>
        </is>
      </c>
      <c r="B4590" t="inlineStr">
        <is>
          <t>18:58</t>
        </is>
      </c>
      <c r="C4590" t="n">
        <v>3042</v>
      </c>
      <c r="D4590" s="6" t="n">
        <v>6.9</v>
      </c>
      <c r="E4590" t="n">
        <v>41594</v>
      </c>
      <c r="F4590" s="6" t="n">
        <v>6.9</v>
      </c>
      <c r="G4590" t="n">
        <v>1</v>
      </c>
      <c r="H4590" s="6">
        <f>ROUND(G4590*F4590,2)</f>
        <v/>
      </c>
      <c r="I4590">
        <f>IF(ROUND(H4590-D4590,2)=0,1,0)</f>
        <v/>
      </c>
      <c r="J4590">
        <f>IF(F4590="","none",IF(G4590=1,"carte","multiple"))</f>
        <v/>
      </c>
    </row>
    <row r="4591">
      <c r="A4591" t="inlineStr">
        <is>
          <t>2022-08-27</t>
        </is>
      </c>
      <c r="B4591" t="inlineStr">
        <is>
          <t>18:58</t>
        </is>
      </c>
      <c r="C4591" t="n">
        <v>3042</v>
      </c>
      <c r="D4591" s="6" t="n">
        <v>5.9</v>
      </c>
      <c r="E4591" t="n">
        <v>41595</v>
      </c>
      <c r="F4591" s="6" t="n">
        <v>5.9</v>
      </c>
      <c r="G4591" t="n">
        <v>1</v>
      </c>
      <c r="H4591" s="6">
        <f>ROUND(G4591*F4591,2)</f>
        <v/>
      </c>
      <c r="I4591">
        <f>IF(ROUND(H4591-D4591,2)=0,1,0)</f>
        <v/>
      </c>
      <c r="J4591">
        <f>IF(F4591="","none",IF(G4591=1,"carte","multiple"))</f>
        <v/>
      </c>
    </row>
    <row r="4592">
      <c r="A4592" t="inlineStr">
        <is>
          <t>2022-08-27</t>
        </is>
      </c>
      <c r="B4592" t="inlineStr">
        <is>
          <t>18:58</t>
        </is>
      </c>
      <c r="C4592" t="n">
        <v>3042</v>
      </c>
      <c r="D4592" s="6" t="n">
        <v>39.8</v>
      </c>
      <c r="E4592" t="n">
        <v>41596</v>
      </c>
      <c r="F4592" s="6" t="n">
        <v>39.8</v>
      </c>
      <c r="G4592" t="n">
        <v>1</v>
      </c>
      <c r="H4592" s="6">
        <f>ROUND(G4592*F4592,2)</f>
        <v/>
      </c>
      <c r="I4592">
        <f>IF(ROUND(H4592-D4592,2)=0,1,0)</f>
        <v/>
      </c>
      <c r="J4592">
        <f>IF(F4592="","none",IF(G4592=1,"carte","multiple"))</f>
        <v/>
      </c>
    </row>
    <row r="4593">
      <c r="A4593" t="inlineStr">
        <is>
          <t>2022-08-27</t>
        </is>
      </c>
      <c r="B4593" t="inlineStr">
        <is>
          <t>18:58</t>
        </is>
      </c>
      <c r="C4593" t="n">
        <v>3042</v>
      </c>
      <c r="D4593" s="6" t="n">
        <v>6.4</v>
      </c>
      <c r="E4593" t="n">
        <v>41597</v>
      </c>
      <c r="F4593" s="6" t="n">
        <v>6.4</v>
      </c>
      <c r="G4593" t="n">
        <v>1</v>
      </c>
      <c r="H4593" s="6">
        <f>ROUND(G4593*F4593,2)</f>
        <v/>
      </c>
      <c r="I4593">
        <f>IF(ROUND(H4593-D4593,2)=0,1,0)</f>
        <v/>
      </c>
      <c r="J4593">
        <f>IF(F4593="","none",IF(G4593=1,"carte","multiple"))</f>
        <v/>
      </c>
    </row>
    <row r="4594">
      <c r="A4594" t="inlineStr">
        <is>
          <t>2022-08-27</t>
        </is>
      </c>
      <c r="B4594" t="inlineStr">
        <is>
          <t>18:58</t>
        </is>
      </c>
      <c r="C4594" t="n">
        <v>3042</v>
      </c>
      <c r="D4594" s="6" t="n">
        <v>4</v>
      </c>
      <c r="E4594" t="n">
        <v>41598</v>
      </c>
      <c r="F4594" s="6" t="n">
        <v>4</v>
      </c>
      <c r="G4594" t="n">
        <v>1</v>
      </c>
      <c r="H4594" s="6">
        <f>ROUND(G4594*F4594,2)</f>
        <v/>
      </c>
      <c r="I4594">
        <f>IF(ROUND(H4594-D4594,2)=0,1,0)</f>
        <v/>
      </c>
      <c r="J4594">
        <f>IF(F4594="","none",IF(G4594=1,"carte","multiple"))</f>
        <v/>
      </c>
    </row>
    <row r="4595">
      <c r="A4595" t="inlineStr">
        <is>
          <t>2022-08-27</t>
        </is>
      </c>
      <c r="B4595" t="inlineStr">
        <is>
          <t>18:58</t>
        </is>
      </c>
      <c r="C4595" t="n">
        <v>3042</v>
      </c>
      <c r="D4595" s="6" t="n">
        <v>24</v>
      </c>
      <c r="E4595" t="n">
        <v>41599</v>
      </c>
      <c r="F4595" s="6" t="n">
        <v>24</v>
      </c>
      <c r="G4595" t="n">
        <v>1</v>
      </c>
      <c r="H4595" s="6">
        <f>ROUND(G4595*F4595,2)</f>
        <v/>
      </c>
      <c r="I4595">
        <f>IF(ROUND(H4595-D4595,2)=0,1,0)</f>
        <v/>
      </c>
      <c r="J4595">
        <f>IF(F4595="","none",IF(G4595=1,"carte","multiple"))</f>
        <v/>
      </c>
    </row>
    <row r="4596">
      <c r="A4596" t="inlineStr">
        <is>
          <t>2022-08-27</t>
        </is>
      </c>
      <c r="B4596" t="inlineStr">
        <is>
          <t>19:04</t>
        </is>
      </c>
      <c r="C4596" t="n">
        <v>3042</v>
      </c>
      <c r="D4596" s="6" t="n">
        <v>3.9</v>
      </c>
      <c r="E4596" t="n">
        <v>41600</v>
      </c>
      <c r="F4596" s="6" t="n">
        <v>3.9</v>
      </c>
      <c r="G4596" t="n">
        <v>1</v>
      </c>
      <c r="H4596" s="6">
        <f>ROUND(G4596*F4596,2)</f>
        <v/>
      </c>
      <c r="I4596">
        <f>IF(ROUND(H4596-D4596,2)=0,1,0)</f>
        <v/>
      </c>
      <c r="J4596">
        <f>IF(F4596="","none",IF(G4596=1,"carte","multiple"))</f>
        <v/>
      </c>
    </row>
    <row r="4597">
      <c r="A4597" t="inlineStr">
        <is>
          <t>2022-08-27</t>
        </is>
      </c>
      <c r="B4597" t="inlineStr">
        <is>
          <t>19:20</t>
        </is>
      </c>
      <c r="C4597" t="n">
        <v>3042</v>
      </c>
      <c r="D4597" s="6" t="n">
        <v>4.4</v>
      </c>
      <c r="E4597" t="n">
        <v>41601</v>
      </c>
      <c r="F4597" s="6" t="n">
        <v>0.4</v>
      </c>
      <c r="G4597" t="n">
        <v>11</v>
      </c>
      <c r="H4597" s="6">
        <f>ROUND(G4597*F4597,2)</f>
        <v/>
      </c>
      <c r="I4597">
        <f>IF(ROUND(H4597-D4597,2)=0,1,0)</f>
        <v/>
      </c>
      <c r="J4597">
        <f>IF(F4597="","none",IF(G4597=1,"carte","multiple"))</f>
        <v/>
      </c>
    </row>
    <row r="4598">
      <c r="A4598" t="inlineStr">
        <is>
          <t>2022-08-27</t>
        </is>
      </c>
      <c r="B4598" t="inlineStr">
        <is>
          <t>19:29</t>
        </is>
      </c>
      <c r="C4598" t="n">
        <v>3042</v>
      </c>
      <c r="D4598" s="6" t="n">
        <v>30</v>
      </c>
      <c r="E4598" t="n">
        <v>41602</v>
      </c>
      <c r="F4598" s="6" t="n">
        <v>30</v>
      </c>
      <c r="G4598" t="n">
        <v>1</v>
      </c>
      <c r="H4598" s="6">
        <f>ROUND(G4598*F4598,2)</f>
        <v/>
      </c>
      <c r="I4598">
        <f>IF(ROUND(H4598-D4598,2)=0,1,0)</f>
        <v/>
      </c>
      <c r="J4598">
        <f>IF(F4598="","none",IF(G4598=1,"carte","multiple"))</f>
        <v/>
      </c>
    </row>
    <row r="4599">
      <c r="A4599" t="inlineStr">
        <is>
          <t>2022-08-27</t>
        </is>
      </c>
      <c r="B4599" t="inlineStr">
        <is>
          <t>19:29</t>
        </is>
      </c>
      <c r="C4599" t="n">
        <v>3042</v>
      </c>
      <c r="D4599" s="6" t="n">
        <v>45</v>
      </c>
      <c r="E4599" t="n">
        <v>41603</v>
      </c>
      <c r="F4599" s="6" t="n">
        <v>45</v>
      </c>
      <c r="G4599" t="n">
        <v>1</v>
      </c>
      <c r="H4599" s="6">
        <f>ROUND(G4599*F4599,2)</f>
        <v/>
      </c>
      <c r="I4599">
        <f>IF(ROUND(H4599-D4599,2)=0,1,0)</f>
        <v/>
      </c>
      <c r="J4599">
        <f>IF(F4599="","none",IF(G4599=1,"carte","multiple"))</f>
        <v/>
      </c>
    </row>
    <row r="4600">
      <c r="A4600" t="inlineStr">
        <is>
          <t>2022-08-27</t>
        </is>
      </c>
      <c r="B4600" t="inlineStr">
        <is>
          <t>19:29</t>
        </is>
      </c>
      <c r="C4600" t="n">
        <v>3042</v>
      </c>
      <c r="D4600" s="6" t="n">
        <v>6.9</v>
      </c>
      <c r="E4600" t="n">
        <v>41604</v>
      </c>
      <c r="F4600" s="6" t="n">
        <v>6.9</v>
      </c>
      <c r="G4600" t="n">
        <v>1</v>
      </c>
      <c r="H4600" s="6">
        <f>ROUND(G4600*F4600,2)</f>
        <v/>
      </c>
      <c r="I4600">
        <f>IF(ROUND(H4600-D4600,2)=0,1,0)</f>
        <v/>
      </c>
      <c r="J4600">
        <f>IF(F4600="","none",IF(G4600=1,"carte","multiple"))</f>
        <v/>
      </c>
    </row>
    <row r="4601">
      <c r="A4601" t="inlineStr">
        <is>
          <t>2022-08-27</t>
        </is>
      </c>
      <c r="B4601" t="inlineStr">
        <is>
          <t>19:29</t>
        </is>
      </c>
      <c r="C4601" t="n">
        <v>3042</v>
      </c>
      <c r="D4601" s="6" t="n">
        <v>32</v>
      </c>
      <c r="E4601" t="n">
        <v>41605</v>
      </c>
      <c r="F4601" s="6" t="n">
        <v>32</v>
      </c>
      <c r="G4601" t="n">
        <v>1</v>
      </c>
      <c r="H4601" s="6">
        <f>ROUND(G4601*F4601,2)</f>
        <v/>
      </c>
      <c r="I4601">
        <f>IF(ROUND(H4601-D4601,2)=0,1,0)</f>
        <v/>
      </c>
      <c r="J4601">
        <f>IF(F4601="","none",IF(G4601=1,"carte","multiple"))</f>
        <v/>
      </c>
    </row>
    <row r="4602">
      <c r="A4602" t="inlineStr">
        <is>
          <t>2022-08-27</t>
        </is>
      </c>
      <c r="B4602" t="inlineStr">
        <is>
          <t>19:29</t>
        </is>
      </c>
      <c r="C4602" t="n">
        <v>3042</v>
      </c>
      <c r="D4602" s="6" t="n">
        <v>3.9</v>
      </c>
      <c r="E4602" t="n">
        <v>41606</v>
      </c>
      <c r="F4602" s="6" t="n">
        <v>3.9</v>
      </c>
      <c r="G4602" t="n">
        <v>1</v>
      </c>
      <c r="H4602" s="6">
        <f>ROUND(G4602*F4602,2)</f>
        <v/>
      </c>
      <c r="I4602">
        <f>IF(ROUND(H4602-D4602,2)=0,1,0)</f>
        <v/>
      </c>
      <c r="J4602">
        <f>IF(F4602="","none",IF(G4602=1,"carte","multiple"))</f>
        <v/>
      </c>
    </row>
    <row r="4603">
      <c r="A4603" t="inlineStr">
        <is>
          <t>2022-08-27</t>
        </is>
      </c>
      <c r="B4603" t="inlineStr">
        <is>
          <t>19:29</t>
        </is>
      </c>
      <c r="C4603" t="n">
        <v>3042</v>
      </c>
      <c r="D4603" s="6" t="n">
        <v>3.9</v>
      </c>
      <c r="E4603" t="n">
        <v>41607</v>
      </c>
      <c r="F4603" s="6" t="n">
        <v>3.9</v>
      </c>
      <c r="G4603" t="n">
        <v>1</v>
      </c>
      <c r="H4603" s="6">
        <f>ROUND(G4603*F4603,2)</f>
        <v/>
      </c>
      <c r="I4603">
        <f>IF(ROUND(H4603-D4603,2)=0,1,0)</f>
        <v/>
      </c>
      <c r="J4603">
        <f>IF(F4603="","none",IF(G4603=1,"carte","multiple"))</f>
        <v/>
      </c>
    </row>
    <row r="4604">
      <c r="A4604" t="inlineStr">
        <is>
          <t>2022-08-27</t>
        </is>
      </c>
      <c r="B4604" t="inlineStr">
        <is>
          <t>19:29</t>
        </is>
      </c>
      <c r="C4604" t="n">
        <v>3042</v>
      </c>
      <c r="D4604" s="6" t="n">
        <v>4.9</v>
      </c>
      <c r="E4604" t="n">
        <v>41608</v>
      </c>
      <c r="F4604" s="6" t="n">
        <v>4.9</v>
      </c>
      <c r="G4604" t="n">
        <v>1</v>
      </c>
      <c r="H4604" s="6">
        <f>ROUND(G4604*F4604,2)</f>
        <v/>
      </c>
      <c r="I4604">
        <f>IF(ROUND(H4604-D4604,2)=0,1,0)</f>
        <v/>
      </c>
      <c r="J4604">
        <f>IF(F4604="","none",IF(G4604=1,"carte","multiple"))</f>
        <v/>
      </c>
    </row>
    <row r="4605">
      <c r="A4605" t="inlineStr">
        <is>
          <t>2022-08-27</t>
        </is>
      </c>
      <c r="B4605" t="inlineStr">
        <is>
          <t>19:33</t>
        </is>
      </c>
      <c r="C4605" t="n">
        <v>3042</v>
      </c>
      <c r="D4605" s="6" t="n">
        <v>30</v>
      </c>
      <c r="E4605" t="n">
        <v>41609</v>
      </c>
      <c r="F4605" s="6" t="n">
        <v>30</v>
      </c>
      <c r="G4605" t="n">
        <v>1</v>
      </c>
      <c r="H4605" s="6">
        <f>ROUND(G4605*F4605,2)</f>
        <v/>
      </c>
      <c r="I4605">
        <f>IF(ROUND(H4605-D4605,2)=0,1,0)</f>
        <v/>
      </c>
      <c r="J4605">
        <f>IF(F4605="","none",IF(G4605=1,"carte","multiple"))</f>
        <v/>
      </c>
    </row>
    <row r="4606">
      <c r="A4606" t="inlineStr">
        <is>
          <t>2022-08-27</t>
        </is>
      </c>
      <c r="B4606" t="inlineStr">
        <is>
          <t>19:42</t>
        </is>
      </c>
      <c r="C4606" t="n">
        <v>3042</v>
      </c>
      <c r="D4606" s="6" t="n">
        <v>4.4</v>
      </c>
      <c r="E4606" t="n">
        <v>41610</v>
      </c>
      <c r="F4606" s="6" t="n">
        <v>0.4</v>
      </c>
      <c r="G4606" t="n">
        <v>11</v>
      </c>
      <c r="H4606" s="6">
        <f>ROUND(G4606*F4606,2)</f>
        <v/>
      </c>
      <c r="I4606">
        <f>IF(ROUND(H4606-D4606,2)=0,1,0)</f>
        <v/>
      </c>
      <c r="J4606">
        <f>IF(F4606="","none",IF(G4606=1,"carte","multiple"))</f>
        <v/>
      </c>
    </row>
    <row r="4607">
      <c r="A4607" t="inlineStr">
        <is>
          <t>2022-08-27</t>
        </is>
      </c>
      <c r="B4607" t="inlineStr">
        <is>
          <t>19:42</t>
        </is>
      </c>
      <c r="C4607" t="n">
        <v>3042</v>
      </c>
      <c r="D4607" s="6" t="n">
        <v>38</v>
      </c>
      <c r="E4607" t="n">
        <v>41611</v>
      </c>
      <c r="F4607" s="6" t="n">
        <v>0.4</v>
      </c>
      <c r="G4607" t="n">
        <v>95</v>
      </c>
      <c r="H4607" s="6">
        <f>ROUND(G4607*F4607,2)</f>
        <v/>
      </c>
      <c r="I4607">
        <f>IF(ROUND(H4607-D4607,2)=0,1,0)</f>
        <v/>
      </c>
      <c r="J4607">
        <f>IF(F4607="","none",IF(G4607=1,"carte","multiple"))</f>
        <v/>
      </c>
    </row>
    <row r="4608">
      <c r="A4608" t="inlineStr">
        <is>
          <t>2022-08-27</t>
        </is>
      </c>
      <c r="B4608" t="inlineStr">
        <is>
          <t>19:42</t>
        </is>
      </c>
      <c r="C4608" t="n">
        <v>3042</v>
      </c>
      <c r="D4608" s="6" t="n">
        <v>3.9</v>
      </c>
      <c r="E4608" t="n">
        <v>41612</v>
      </c>
      <c r="F4608" s="6" t="n">
        <v>3.9</v>
      </c>
      <c r="G4608" t="n">
        <v>1</v>
      </c>
      <c r="H4608" s="6">
        <f>ROUND(G4608*F4608,2)</f>
        <v/>
      </c>
      <c r="I4608">
        <f>IF(ROUND(H4608-D4608,2)=0,1,0)</f>
        <v/>
      </c>
      <c r="J4608">
        <f>IF(F4608="","none",IF(G4608=1,"carte","multiple"))</f>
        <v/>
      </c>
    </row>
    <row r="4609">
      <c r="A4609" t="inlineStr">
        <is>
          <t>2022-08-27</t>
        </is>
      </c>
      <c r="B4609" t="inlineStr">
        <is>
          <t>19:42</t>
        </is>
      </c>
      <c r="C4609" t="n">
        <v>3042</v>
      </c>
      <c r="D4609" s="6" t="n">
        <v>3.9</v>
      </c>
      <c r="E4609" t="n">
        <v>41613</v>
      </c>
      <c r="F4609" s="6" t="n">
        <v>3.9</v>
      </c>
      <c r="G4609" t="n">
        <v>1</v>
      </c>
      <c r="H4609" s="6">
        <f>ROUND(G4609*F4609,2)</f>
        <v/>
      </c>
      <c r="I4609">
        <f>IF(ROUND(H4609-D4609,2)=0,1,0)</f>
        <v/>
      </c>
      <c r="J4609">
        <f>IF(F4609="","none",IF(G4609=1,"carte","multiple"))</f>
        <v/>
      </c>
    </row>
    <row r="4610">
      <c r="A4610" t="inlineStr">
        <is>
          <t>2022-08-27</t>
        </is>
      </c>
      <c r="B4610" t="inlineStr">
        <is>
          <t>19:45</t>
        </is>
      </c>
      <c r="C4610" t="n">
        <v>3042</v>
      </c>
      <c r="D4610" s="6" t="n">
        <v>2.2</v>
      </c>
      <c r="E4610" t="n">
        <v>41614</v>
      </c>
      <c r="F4610" s="6" t="n">
        <v>2.2</v>
      </c>
      <c r="G4610" t="n">
        <v>1</v>
      </c>
      <c r="H4610" s="6">
        <f>ROUND(G4610*F4610,2)</f>
        <v/>
      </c>
      <c r="I4610">
        <f>IF(ROUND(H4610-D4610,2)=0,1,0)</f>
        <v/>
      </c>
      <c r="J4610">
        <f>IF(F4610="","none",IF(G4610=1,"carte","multiple"))</f>
        <v/>
      </c>
    </row>
    <row r="4611">
      <c r="A4611" t="inlineStr">
        <is>
          <t>2022-08-27</t>
        </is>
      </c>
      <c r="B4611" t="inlineStr">
        <is>
          <t>19:45</t>
        </is>
      </c>
      <c r="C4611" t="n">
        <v>3042</v>
      </c>
      <c r="D4611" s="6" t="n">
        <v>3.4</v>
      </c>
      <c r="E4611" t="n">
        <v>41615</v>
      </c>
      <c r="F4611" s="6" t="n">
        <v>3.4</v>
      </c>
      <c r="G4611" t="n">
        <v>1</v>
      </c>
      <c r="H4611" s="6">
        <f>ROUND(G4611*F4611,2)</f>
        <v/>
      </c>
      <c r="I4611">
        <f>IF(ROUND(H4611-D4611,2)=0,1,0)</f>
        <v/>
      </c>
      <c r="J4611">
        <f>IF(F4611="","none",IF(G4611=1,"carte","multiple"))</f>
        <v/>
      </c>
    </row>
    <row r="4612">
      <c r="A4612" t="inlineStr">
        <is>
          <t>2022-08-27</t>
        </is>
      </c>
      <c r="B4612" t="inlineStr">
        <is>
          <t>19:45</t>
        </is>
      </c>
      <c r="C4612" t="n">
        <v>3042</v>
      </c>
      <c r="D4612" s="6" t="n">
        <v>28</v>
      </c>
      <c r="E4612" t="n">
        <v>41616</v>
      </c>
      <c r="F4612" s="6" t="n">
        <v>28</v>
      </c>
      <c r="G4612" t="n">
        <v>1</v>
      </c>
      <c r="H4612" s="6">
        <f>ROUND(G4612*F4612,2)</f>
        <v/>
      </c>
      <c r="I4612">
        <f>IF(ROUND(H4612-D4612,2)=0,1,0)</f>
        <v/>
      </c>
      <c r="J4612">
        <f>IF(F4612="","none",IF(G4612=1,"carte","multiple"))</f>
        <v/>
      </c>
    </row>
    <row r="4613">
      <c r="A4613" t="inlineStr">
        <is>
          <t>2022-08-27</t>
        </is>
      </c>
      <c r="B4613" t="inlineStr">
        <is>
          <t>19:45</t>
        </is>
      </c>
      <c r="C4613" t="n">
        <v>3042</v>
      </c>
      <c r="D4613" s="6" t="n">
        <v>19.8</v>
      </c>
      <c r="E4613" t="n">
        <v>41617</v>
      </c>
      <c r="F4613" s="6" t="n">
        <v>19.8</v>
      </c>
      <c r="G4613" t="n">
        <v>1</v>
      </c>
      <c r="H4613" s="6">
        <f>ROUND(G4613*F4613,2)</f>
        <v/>
      </c>
      <c r="I4613">
        <f>IF(ROUND(H4613-D4613,2)=0,1,0)</f>
        <v/>
      </c>
      <c r="J4613">
        <f>IF(F4613="","none",IF(G4613=1,"carte","multiple"))</f>
        <v/>
      </c>
    </row>
    <row r="4614">
      <c r="A4614" t="inlineStr">
        <is>
          <t>2022-08-27</t>
        </is>
      </c>
      <c r="B4614" t="inlineStr">
        <is>
          <t>19:45</t>
        </is>
      </c>
      <c r="C4614" t="n">
        <v>3042</v>
      </c>
      <c r="D4614" s="6" t="n">
        <v>59.8</v>
      </c>
      <c r="E4614" t="n">
        <v>41618</v>
      </c>
      <c r="F4614" s="6" t="n">
        <v>4.6</v>
      </c>
      <c r="G4614" t="n">
        <v>13</v>
      </c>
      <c r="H4614" s="6">
        <f>ROUND(G4614*F4614,2)</f>
        <v/>
      </c>
      <c r="I4614">
        <f>IF(ROUND(H4614-D4614,2)=0,1,0)</f>
        <v/>
      </c>
      <c r="J4614">
        <f>IF(F4614="","none",IF(G4614=1,"carte","multiple"))</f>
        <v/>
      </c>
    </row>
    <row r="4615">
      <c r="A4615" t="inlineStr">
        <is>
          <t>2022-08-27</t>
        </is>
      </c>
      <c r="B4615" t="inlineStr">
        <is>
          <t>19:45</t>
        </is>
      </c>
      <c r="C4615" t="n">
        <v>3042</v>
      </c>
      <c r="D4615" s="6" t="n">
        <v>3.8</v>
      </c>
      <c r="E4615" t="n">
        <v>41619</v>
      </c>
      <c r="F4615" s="6" t="n">
        <v>3.8</v>
      </c>
      <c r="G4615" t="n">
        <v>1</v>
      </c>
      <c r="H4615" s="6">
        <f>ROUND(G4615*F4615,2)</f>
        <v/>
      </c>
      <c r="I4615">
        <f>IF(ROUND(H4615-D4615,2)=0,1,0)</f>
        <v/>
      </c>
      <c r="J4615">
        <f>IF(F4615="","none",IF(G4615=1,"carte","multiple"))</f>
        <v/>
      </c>
    </row>
    <row r="4616">
      <c r="A4616" t="inlineStr">
        <is>
          <t>2022-08-27</t>
        </is>
      </c>
      <c r="B4616" t="inlineStr">
        <is>
          <t>19:45</t>
        </is>
      </c>
      <c r="C4616" t="n">
        <v>3042</v>
      </c>
      <c r="D4616" s="6" t="n">
        <v>7.8</v>
      </c>
      <c r="E4616" t="n">
        <v>41620</v>
      </c>
      <c r="F4616" s="6" t="n">
        <v>7.8</v>
      </c>
      <c r="G4616" t="n">
        <v>1</v>
      </c>
      <c r="H4616" s="6">
        <f>ROUND(G4616*F4616,2)</f>
        <v/>
      </c>
      <c r="I4616">
        <f>IF(ROUND(H4616-D4616,2)=0,1,0)</f>
        <v/>
      </c>
      <c r="J4616">
        <f>IF(F4616="","none",IF(G4616=1,"carte","multiple"))</f>
        <v/>
      </c>
    </row>
    <row r="4617">
      <c r="A4617" t="inlineStr">
        <is>
          <t>2022-08-27</t>
        </is>
      </c>
      <c r="B4617" t="inlineStr">
        <is>
          <t>19:45</t>
        </is>
      </c>
      <c r="C4617" t="n">
        <v>3042</v>
      </c>
      <c r="D4617" s="6" t="n">
        <v>5.2</v>
      </c>
      <c r="E4617" t="n">
        <v>41621</v>
      </c>
      <c r="F4617" s="6" t="n">
        <v>5.2</v>
      </c>
      <c r="G4617" t="n">
        <v>1</v>
      </c>
      <c r="H4617" s="6">
        <f>ROUND(G4617*F4617,2)</f>
        <v/>
      </c>
      <c r="I4617">
        <f>IF(ROUND(H4617-D4617,2)=0,1,0)</f>
        <v/>
      </c>
      <c r="J4617">
        <f>IF(F4617="","none",IF(G4617=1,"carte","multiple"))</f>
        <v/>
      </c>
    </row>
    <row r="4618">
      <c r="A4618" t="inlineStr">
        <is>
          <t>2022-08-27</t>
        </is>
      </c>
      <c r="B4618" t="inlineStr">
        <is>
          <t>20:45</t>
        </is>
      </c>
      <c r="C4618" t="n">
        <v>3042</v>
      </c>
      <c r="D4618" s="6" t="n">
        <v>2.2</v>
      </c>
      <c r="E4618" t="n">
        <v>41622</v>
      </c>
      <c r="F4618" s="6" t="n">
        <v>2.2</v>
      </c>
      <c r="G4618" t="n">
        <v>1</v>
      </c>
      <c r="H4618" s="6">
        <f>ROUND(G4618*F4618,2)</f>
        <v/>
      </c>
      <c r="I4618">
        <f>IF(ROUND(H4618-D4618,2)=0,1,0)</f>
        <v/>
      </c>
      <c r="J4618">
        <f>IF(F4618="","none",IF(G4618=1,"carte","multiple"))</f>
        <v/>
      </c>
    </row>
    <row r="4619">
      <c r="A4619" t="inlineStr">
        <is>
          <t>2022-08-27</t>
        </is>
      </c>
      <c r="B4619" t="inlineStr">
        <is>
          <t>20:45</t>
        </is>
      </c>
      <c r="C4619" t="n">
        <v>3042</v>
      </c>
      <c r="D4619" s="6" t="n">
        <v>2</v>
      </c>
      <c r="E4619" t="n">
        <v>41623</v>
      </c>
      <c r="F4619" s="6" t="n">
        <v>2</v>
      </c>
      <c r="G4619" t="n">
        <v>1</v>
      </c>
      <c r="H4619" s="6">
        <f>ROUND(G4619*F4619,2)</f>
        <v/>
      </c>
      <c r="I4619">
        <f>IF(ROUND(H4619-D4619,2)=0,1,0)</f>
        <v/>
      </c>
      <c r="J4619">
        <f>IF(F4619="","none",IF(G4619=1,"carte","multiple"))</f>
        <v/>
      </c>
    </row>
    <row r="4620">
      <c r="A4620" t="inlineStr">
        <is>
          <t>2022-08-27</t>
        </is>
      </c>
      <c r="B4620" t="inlineStr">
        <is>
          <t>20:45</t>
        </is>
      </c>
      <c r="C4620" t="n">
        <v>3042</v>
      </c>
      <c r="D4620" s="6" t="n">
        <v>3.9</v>
      </c>
      <c r="E4620" t="n">
        <v>41624</v>
      </c>
      <c r="F4620" s="6" t="n">
        <v>3.9</v>
      </c>
      <c r="G4620" t="n">
        <v>1</v>
      </c>
      <c r="H4620" s="6">
        <f>ROUND(G4620*F4620,2)</f>
        <v/>
      </c>
      <c r="I4620">
        <f>IF(ROUND(H4620-D4620,2)=0,1,0)</f>
        <v/>
      </c>
      <c r="J4620">
        <f>IF(F4620="","none",IF(G4620=1,"carte","multiple"))</f>
        <v/>
      </c>
    </row>
    <row r="4621">
      <c r="A4621" t="inlineStr">
        <is>
          <t>2022-08-27</t>
        </is>
      </c>
      <c r="B4621" t="inlineStr">
        <is>
          <t>20:45</t>
        </is>
      </c>
      <c r="C4621" t="n">
        <v>3042</v>
      </c>
      <c r="D4621" s="6" t="n">
        <v>30</v>
      </c>
      <c r="E4621" t="n">
        <v>41625</v>
      </c>
      <c r="F4621" s="6" t="n">
        <v>30</v>
      </c>
      <c r="G4621" t="n">
        <v>1</v>
      </c>
      <c r="H4621" s="6">
        <f>ROUND(G4621*F4621,2)</f>
        <v/>
      </c>
      <c r="I4621">
        <f>IF(ROUND(H4621-D4621,2)=0,1,0)</f>
        <v/>
      </c>
      <c r="J4621">
        <f>IF(F4621="","none",IF(G4621=1,"carte","multiple"))</f>
        <v/>
      </c>
    </row>
    <row r="4622">
      <c r="A4622" t="inlineStr">
        <is>
          <t>2022-08-27</t>
        </is>
      </c>
      <c r="B4622" t="inlineStr">
        <is>
          <t>20:45</t>
        </is>
      </c>
      <c r="C4622" t="n">
        <v>3042</v>
      </c>
      <c r="D4622" s="6" t="n">
        <v>17.6</v>
      </c>
      <c r="E4622" t="n">
        <v>41626</v>
      </c>
      <c r="F4622" s="6" t="n">
        <v>17.6</v>
      </c>
      <c r="G4622" t="n">
        <v>1</v>
      </c>
      <c r="H4622" s="6">
        <f>ROUND(G4622*F4622,2)</f>
        <v/>
      </c>
      <c r="I4622">
        <f>IF(ROUND(H4622-D4622,2)=0,1,0)</f>
        <v/>
      </c>
      <c r="J4622">
        <f>IF(F4622="","none",IF(G4622=1,"carte","multiple"))</f>
        <v/>
      </c>
    </row>
    <row r="4623">
      <c r="A4623" t="inlineStr">
        <is>
          <t>2022-08-27</t>
        </is>
      </c>
      <c r="B4623" t="inlineStr">
        <is>
          <t>20:45</t>
        </is>
      </c>
      <c r="C4623" t="n">
        <v>3042</v>
      </c>
      <c r="D4623" s="6" t="n">
        <v>17.6</v>
      </c>
      <c r="E4623" t="n">
        <v>41627</v>
      </c>
      <c r="F4623" s="6" t="n">
        <v>17.6</v>
      </c>
      <c r="G4623" t="n">
        <v>1</v>
      </c>
      <c r="H4623" s="6">
        <f>ROUND(G4623*F4623,2)</f>
        <v/>
      </c>
      <c r="I4623">
        <f>IF(ROUND(H4623-D4623,2)=0,1,0)</f>
        <v/>
      </c>
      <c r="J4623">
        <f>IF(F4623="","none",IF(G4623=1,"carte","multiple"))</f>
        <v/>
      </c>
    </row>
    <row r="4624">
      <c r="A4624" t="inlineStr">
        <is>
          <t>2022-08-27</t>
        </is>
      </c>
      <c r="B4624" t="inlineStr">
        <is>
          <t>20:45</t>
        </is>
      </c>
      <c r="C4624" t="n">
        <v>3042</v>
      </c>
      <c r="D4624" s="6" t="n">
        <v>6.9</v>
      </c>
      <c r="E4624" t="n">
        <v>41628</v>
      </c>
      <c r="F4624" s="6" t="n">
        <v>6.9</v>
      </c>
      <c r="G4624" t="n">
        <v>1</v>
      </c>
      <c r="H4624" s="6">
        <f>ROUND(G4624*F4624,2)</f>
        <v/>
      </c>
      <c r="I4624">
        <f>IF(ROUND(H4624-D4624,2)=0,1,0)</f>
        <v/>
      </c>
      <c r="J4624">
        <f>IF(F4624="","none",IF(G4624=1,"carte","multiple"))</f>
        <v/>
      </c>
    </row>
    <row r="4625">
      <c r="A4625" t="inlineStr">
        <is>
          <t>2022-08-27</t>
        </is>
      </c>
      <c r="B4625" t="inlineStr">
        <is>
          <t>20:45</t>
        </is>
      </c>
      <c r="C4625" t="n">
        <v>3042</v>
      </c>
      <c r="D4625" s="6" t="n">
        <v>8.9</v>
      </c>
      <c r="E4625" t="n">
        <v>41629</v>
      </c>
      <c r="F4625" s="6" t="n">
        <v>8.9</v>
      </c>
      <c r="G4625" t="n">
        <v>1</v>
      </c>
      <c r="H4625" s="6">
        <f>ROUND(G4625*F4625,2)</f>
        <v/>
      </c>
      <c r="I4625">
        <f>IF(ROUND(H4625-D4625,2)=0,1,0)</f>
        <v/>
      </c>
      <c r="J4625">
        <f>IF(F4625="","none",IF(G4625=1,"carte","multiple"))</f>
        <v/>
      </c>
    </row>
    <row r="4626">
      <c r="A4626" t="inlineStr">
        <is>
          <t>2022-08-27</t>
        </is>
      </c>
      <c r="B4626" t="inlineStr">
        <is>
          <t>20:45</t>
        </is>
      </c>
      <c r="C4626" t="n">
        <v>3042</v>
      </c>
      <c r="D4626" s="6" t="n">
        <v>3.9</v>
      </c>
      <c r="E4626" t="n">
        <v>41630</v>
      </c>
      <c r="F4626" s="6" t="n">
        <v>3.9</v>
      </c>
      <c r="G4626" t="n">
        <v>1</v>
      </c>
      <c r="H4626" s="6">
        <f>ROUND(G4626*F4626,2)</f>
        <v/>
      </c>
      <c r="I4626">
        <f>IF(ROUND(H4626-D4626,2)=0,1,0)</f>
        <v/>
      </c>
      <c r="J4626">
        <f>IF(F4626="","none",IF(G4626=1,"carte","multiple"))</f>
        <v/>
      </c>
    </row>
    <row r="4627">
      <c r="A4627" t="inlineStr">
        <is>
          <t>2022-08-28</t>
        </is>
      </c>
      <c r="B4627" t="inlineStr">
        <is>
          <t>10:34</t>
        </is>
      </c>
      <c r="C4627" t="n">
        <v>3043</v>
      </c>
      <c r="D4627" s="6" t="n">
        <v>6.5</v>
      </c>
      <c r="E4627" t="n">
        <v>41633</v>
      </c>
      <c r="F4627" s="6" t="n">
        <v>6.5</v>
      </c>
      <c r="G4627" t="n">
        <v>1</v>
      </c>
      <c r="H4627" s="6">
        <f>ROUND(G4627*F4627,2)</f>
        <v/>
      </c>
      <c r="I4627">
        <f>IF(ROUND(H4627-D4627,2)=0,1,0)</f>
        <v/>
      </c>
      <c r="J4627">
        <f>IF(F4627="","none",IF(G4627=1,"carte","multiple"))</f>
        <v/>
      </c>
    </row>
    <row r="4628">
      <c r="A4628" t="inlineStr">
        <is>
          <t>2022-08-28</t>
        </is>
      </c>
      <c r="B4628" t="inlineStr">
        <is>
          <t>10:34</t>
        </is>
      </c>
      <c r="C4628" t="n">
        <v>3043</v>
      </c>
      <c r="D4628" s="6" t="n">
        <v>19</v>
      </c>
      <c r="E4628" t="n">
        <v>41634</v>
      </c>
      <c r="F4628" s="6" t="n">
        <v>19</v>
      </c>
      <c r="G4628" t="n">
        <v>1</v>
      </c>
      <c r="H4628" s="6">
        <f>ROUND(G4628*F4628,2)</f>
        <v/>
      </c>
      <c r="I4628">
        <f>IF(ROUND(H4628-D4628,2)=0,1,0)</f>
        <v/>
      </c>
      <c r="J4628">
        <f>IF(F4628="","none",IF(G4628=1,"carte","multiple"))</f>
        <v/>
      </c>
    </row>
    <row r="4629">
      <c r="A4629" t="inlineStr">
        <is>
          <t>2022-08-28</t>
        </is>
      </c>
      <c r="B4629" t="inlineStr">
        <is>
          <t>10:35</t>
        </is>
      </c>
      <c r="C4629" t="n">
        <v>3043</v>
      </c>
      <c r="D4629" s="6" t="n">
        <v>5.9</v>
      </c>
      <c r="E4629" t="n">
        <v>41635</v>
      </c>
      <c r="F4629" s="6" t="n">
        <v>5.9</v>
      </c>
      <c r="G4629" t="n">
        <v>1</v>
      </c>
      <c r="H4629" s="6">
        <f>ROUND(G4629*F4629,2)</f>
        <v/>
      </c>
      <c r="I4629">
        <f>IF(ROUND(H4629-D4629,2)=0,1,0)</f>
        <v/>
      </c>
      <c r="J4629">
        <f>IF(F4629="","none",IF(G4629=1,"carte","multiple"))</f>
        <v/>
      </c>
    </row>
    <row r="4630">
      <c r="A4630" t="inlineStr">
        <is>
          <t>2022-08-28</t>
        </is>
      </c>
      <c r="B4630" t="inlineStr">
        <is>
          <t>10:38</t>
        </is>
      </c>
      <c r="C4630" t="n">
        <v>3043</v>
      </c>
      <c r="D4630" s="6" t="n">
        <v>3.4</v>
      </c>
      <c r="E4630" t="n">
        <v>41636</v>
      </c>
      <c r="F4630" s="6" t="n">
        <v>3.4</v>
      </c>
      <c r="G4630" t="n">
        <v>1</v>
      </c>
      <c r="H4630" s="6">
        <f>ROUND(G4630*F4630,2)</f>
        <v/>
      </c>
      <c r="I4630">
        <f>IF(ROUND(H4630-D4630,2)=0,1,0)</f>
        <v/>
      </c>
      <c r="J4630">
        <f>IF(F4630="","none",IF(G4630=1,"carte","multiple"))</f>
        <v/>
      </c>
    </row>
    <row r="4631">
      <c r="A4631" t="inlineStr">
        <is>
          <t>2022-08-28</t>
        </is>
      </c>
      <c r="B4631" t="inlineStr">
        <is>
          <t>10:45</t>
        </is>
      </c>
      <c r="C4631" t="n">
        <v>3043</v>
      </c>
      <c r="D4631" s="6" t="n">
        <v>2.9</v>
      </c>
      <c r="E4631" t="n">
        <v>41637</v>
      </c>
      <c r="F4631" s="6" t="n">
        <v>2.9</v>
      </c>
      <c r="G4631" t="n">
        <v>1</v>
      </c>
      <c r="H4631" s="6">
        <f>ROUND(G4631*F4631,2)</f>
        <v/>
      </c>
      <c r="I4631">
        <f>IF(ROUND(H4631-D4631,2)=0,1,0)</f>
        <v/>
      </c>
      <c r="J4631">
        <f>IF(F4631="","none",IF(G4631=1,"carte","multiple"))</f>
        <v/>
      </c>
    </row>
    <row r="4632">
      <c r="A4632" t="inlineStr">
        <is>
          <t>2022-08-28</t>
        </is>
      </c>
      <c r="B4632" t="inlineStr">
        <is>
          <t>11:24</t>
        </is>
      </c>
      <c r="C4632" t="n">
        <v>3043</v>
      </c>
      <c r="D4632" s="6" t="n">
        <v>3.9</v>
      </c>
      <c r="E4632" t="n">
        <v>41638</v>
      </c>
      <c r="F4632" s="6" t="n">
        <v>3.9</v>
      </c>
      <c r="G4632" t="n">
        <v>1</v>
      </c>
      <c r="H4632" s="6">
        <f>ROUND(G4632*F4632,2)</f>
        <v/>
      </c>
      <c r="I4632">
        <f>IF(ROUND(H4632-D4632,2)=0,1,0)</f>
        <v/>
      </c>
      <c r="J4632">
        <f>IF(F4632="","none",IF(G4632=1,"carte","multiple"))</f>
        <v/>
      </c>
    </row>
    <row r="4633">
      <c r="A4633" t="inlineStr">
        <is>
          <t>2022-08-28</t>
        </is>
      </c>
      <c r="B4633" t="inlineStr">
        <is>
          <t>12:00</t>
        </is>
      </c>
      <c r="C4633" t="n">
        <v>3043</v>
      </c>
      <c r="D4633" s="6" t="n">
        <v>2.2</v>
      </c>
      <c r="E4633" t="n">
        <v>41639</v>
      </c>
      <c r="F4633" s="6" t="n">
        <v>2.2</v>
      </c>
      <c r="G4633" t="n">
        <v>1</v>
      </c>
      <c r="H4633" s="6">
        <f>ROUND(G4633*F4633,2)</f>
        <v/>
      </c>
      <c r="I4633">
        <f>IF(ROUND(H4633-D4633,2)=0,1,0)</f>
        <v/>
      </c>
      <c r="J4633">
        <f>IF(F4633="","none",IF(G4633=1,"carte","multiple"))</f>
        <v/>
      </c>
    </row>
    <row r="4634">
      <c r="A4634" t="inlineStr">
        <is>
          <t>2022-08-28</t>
        </is>
      </c>
      <c r="B4634" t="inlineStr">
        <is>
          <t>12:00</t>
        </is>
      </c>
      <c r="C4634" t="n">
        <v>3043</v>
      </c>
      <c r="D4634" s="6" t="n">
        <v>7.8</v>
      </c>
      <c r="E4634" t="n">
        <v>41640</v>
      </c>
      <c r="F4634" s="6" t="n">
        <v>7.8</v>
      </c>
      <c r="G4634" t="n">
        <v>1</v>
      </c>
      <c r="H4634" s="6">
        <f>ROUND(G4634*F4634,2)</f>
        <v/>
      </c>
      <c r="I4634">
        <f>IF(ROUND(H4634-D4634,2)=0,1,0)</f>
        <v/>
      </c>
      <c r="J4634">
        <f>IF(F4634="","none",IF(G4634=1,"carte","multiple"))</f>
        <v/>
      </c>
    </row>
    <row r="4635">
      <c r="A4635" t="inlineStr">
        <is>
          <t>2022-08-28</t>
        </is>
      </c>
      <c r="B4635" t="inlineStr">
        <is>
          <t>12:00</t>
        </is>
      </c>
      <c r="C4635" t="n">
        <v>3043</v>
      </c>
      <c r="D4635" s="6" t="n">
        <v>7.9</v>
      </c>
      <c r="E4635" t="n">
        <v>41641</v>
      </c>
      <c r="F4635" s="6" t="n">
        <v>7.9</v>
      </c>
      <c r="G4635" t="n">
        <v>1</v>
      </c>
      <c r="H4635" s="6">
        <f>ROUND(G4635*F4635,2)</f>
        <v/>
      </c>
      <c r="I4635">
        <f>IF(ROUND(H4635-D4635,2)=0,1,0)</f>
        <v/>
      </c>
      <c r="J4635">
        <f>IF(F4635="","none",IF(G4635=1,"carte","multiple"))</f>
        <v/>
      </c>
    </row>
    <row r="4636">
      <c r="A4636" t="inlineStr">
        <is>
          <t>2022-08-28</t>
        </is>
      </c>
      <c r="B4636" t="inlineStr">
        <is>
          <t>12:00</t>
        </is>
      </c>
      <c r="C4636" t="n">
        <v>3043</v>
      </c>
      <c r="D4636" s="6" t="n">
        <v>15.9</v>
      </c>
      <c r="E4636" t="n">
        <v>41642</v>
      </c>
      <c r="F4636" s="6" t="n">
        <v>15.9</v>
      </c>
      <c r="G4636" t="n">
        <v>1</v>
      </c>
      <c r="H4636" s="6">
        <f>ROUND(G4636*F4636,2)</f>
        <v/>
      </c>
      <c r="I4636">
        <f>IF(ROUND(H4636-D4636,2)=0,1,0)</f>
        <v/>
      </c>
      <c r="J4636">
        <f>IF(F4636="","none",IF(G4636=1,"carte","multiple"))</f>
        <v/>
      </c>
    </row>
    <row r="4637">
      <c r="A4637" t="inlineStr">
        <is>
          <t>2022-08-28</t>
        </is>
      </c>
      <c r="B4637" t="inlineStr">
        <is>
          <t>12:00</t>
        </is>
      </c>
      <c r="C4637" t="n">
        <v>3043</v>
      </c>
      <c r="D4637" s="6" t="n">
        <v>19</v>
      </c>
      <c r="E4637" t="n">
        <v>41643</v>
      </c>
      <c r="F4637" s="6" t="n">
        <v>19</v>
      </c>
      <c r="G4637" t="n">
        <v>1</v>
      </c>
      <c r="H4637" s="6">
        <f>ROUND(G4637*F4637,2)</f>
        <v/>
      </c>
      <c r="I4637">
        <f>IF(ROUND(H4637-D4637,2)=0,1,0)</f>
        <v/>
      </c>
      <c r="J4637">
        <f>IF(F4637="","none",IF(G4637=1,"carte","multiple"))</f>
        <v/>
      </c>
    </row>
    <row r="4638">
      <c r="A4638" t="inlineStr">
        <is>
          <t>2022-08-28</t>
        </is>
      </c>
      <c r="B4638" t="inlineStr">
        <is>
          <t>12:00</t>
        </is>
      </c>
      <c r="C4638" t="n">
        <v>3043</v>
      </c>
      <c r="D4638" s="6" t="n">
        <v>17.6</v>
      </c>
      <c r="E4638" t="n">
        <v>41644</v>
      </c>
      <c r="F4638" s="6" t="n">
        <v>17.6</v>
      </c>
      <c r="G4638" t="n">
        <v>1</v>
      </c>
      <c r="H4638" s="6">
        <f>ROUND(G4638*F4638,2)</f>
        <v/>
      </c>
      <c r="I4638">
        <f>IF(ROUND(H4638-D4638,2)=0,1,0)</f>
        <v/>
      </c>
      <c r="J4638">
        <f>IF(F4638="","none",IF(G4638=1,"carte","multiple"))</f>
        <v/>
      </c>
    </row>
    <row r="4639">
      <c r="A4639" t="inlineStr">
        <is>
          <t>2022-08-28</t>
        </is>
      </c>
      <c r="B4639" t="inlineStr">
        <is>
          <t>12:00</t>
        </is>
      </c>
      <c r="C4639" t="n">
        <v>3043</v>
      </c>
      <c r="D4639" s="6" t="n">
        <v>3.9</v>
      </c>
      <c r="E4639" t="n">
        <v>41645</v>
      </c>
      <c r="F4639" s="6" t="n">
        <v>3.9</v>
      </c>
      <c r="G4639" t="n">
        <v>1</v>
      </c>
      <c r="H4639" s="6">
        <f>ROUND(G4639*F4639,2)</f>
        <v/>
      </c>
      <c r="I4639">
        <f>IF(ROUND(H4639-D4639,2)=0,1,0)</f>
        <v/>
      </c>
      <c r="J4639">
        <f>IF(F4639="","none",IF(G4639=1,"carte","multiple"))</f>
        <v/>
      </c>
    </row>
    <row r="4640">
      <c r="A4640" t="inlineStr">
        <is>
          <t>2022-08-28</t>
        </is>
      </c>
      <c r="B4640" t="inlineStr">
        <is>
          <t>12:00</t>
        </is>
      </c>
      <c r="C4640" t="n">
        <v>3043</v>
      </c>
      <c r="D4640" s="6" t="n">
        <v>3.9</v>
      </c>
      <c r="E4640" t="n">
        <v>41646</v>
      </c>
      <c r="F4640" s="6" t="n">
        <v>3.9</v>
      </c>
      <c r="G4640" t="n">
        <v>1</v>
      </c>
      <c r="H4640" s="6">
        <f>ROUND(G4640*F4640,2)</f>
        <v/>
      </c>
      <c r="I4640">
        <f>IF(ROUND(H4640-D4640,2)=0,1,0)</f>
        <v/>
      </c>
      <c r="J4640">
        <f>IF(F4640="","none",IF(G4640=1,"carte","multiple"))</f>
        <v/>
      </c>
    </row>
    <row r="4641">
      <c r="A4641" t="inlineStr">
        <is>
          <t>2022-08-28</t>
        </is>
      </c>
      <c r="B4641" t="inlineStr">
        <is>
          <t>12:00</t>
        </is>
      </c>
      <c r="C4641" t="n">
        <v>3043</v>
      </c>
      <c r="D4641" s="6" t="n">
        <v>4.9</v>
      </c>
      <c r="E4641" t="n">
        <v>41647</v>
      </c>
      <c r="F4641" s="6" t="n">
        <v>4.9</v>
      </c>
      <c r="G4641" t="n">
        <v>1</v>
      </c>
      <c r="H4641" s="6">
        <f>ROUND(G4641*F4641,2)</f>
        <v/>
      </c>
      <c r="I4641">
        <f>IF(ROUND(H4641-D4641,2)=0,1,0)</f>
        <v/>
      </c>
      <c r="J4641">
        <f>IF(F4641="","none",IF(G4641=1,"carte","multiple"))</f>
        <v/>
      </c>
    </row>
    <row r="4642">
      <c r="A4642" t="inlineStr">
        <is>
          <t>2022-08-28</t>
        </is>
      </c>
      <c r="B4642" t="inlineStr">
        <is>
          <t>12:37</t>
        </is>
      </c>
      <c r="C4642" t="n">
        <v>3043</v>
      </c>
      <c r="D4642" s="6" t="n">
        <v>2.2</v>
      </c>
      <c r="E4642" t="n">
        <v>41648</v>
      </c>
      <c r="F4642" s="6" t="n">
        <v>2.2</v>
      </c>
      <c r="G4642" t="n">
        <v>1</v>
      </c>
      <c r="H4642" s="6">
        <f>ROUND(G4642*F4642,2)</f>
        <v/>
      </c>
      <c r="I4642">
        <f>IF(ROUND(H4642-D4642,2)=0,1,0)</f>
        <v/>
      </c>
      <c r="J4642">
        <f>IF(F4642="","none",IF(G4642=1,"carte","multiple"))</f>
        <v/>
      </c>
    </row>
    <row r="4643">
      <c r="A4643" t="inlineStr">
        <is>
          <t>2022-08-28</t>
        </is>
      </c>
      <c r="B4643" t="inlineStr">
        <is>
          <t>12:37</t>
        </is>
      </c>
      <c r="C4643" t="n">
        <v>3043</v>
      </c>
      <c r="D4643" s="6" t="n">
        <v>9.699999999999999</v>
      </c>
      <c r="E4643" t="n">
        <v>41649</v>
      </c>
      <c r="F4643" s="6" t="n">
        <v>9.699999999999999</v>
      </c>
      <c r="G4643" t="n">
        <v>1</v>
      </c>
      <c r="H4643" s="6">
        <f>ROUND(G4643*F4643,2)</f>
        <v/>
      </c>
      <c r="I4643">
        <f>IF(ROUND(H4643-D4643,2)=0,1,0)</f>
        <v/>
      </c>
      <c r="J4643">
        <f>IF(F4643="","none",IF(G4643=1,"carte","multiple"))</f>
        <v/>
      </c>
    </row>
    <row r="4644">
      <c r="A4644" t="inlineStr">
        <is>
          <t>2022-08-28</t>
        </is>
      </c>
      <c r="B4644" t="inlineStr">
        <is>
          <t>12:37</t>
        </is>
      </c>
      <c r="C4644" t="n">
        <v>3043</v>
      </c>
      <c r="D4644" s="6" t="n">
        <v>8.5</v>
      </c>
      <c r="E4644" t="n">
        <v>41650</v>
      </c>
      <c r="F4644" s="6" t="n">
        <v>8.5</v>
      </c>
      <c r="G4644" t="n">
        <v>1</v>
      </c>
      <c r="H4644" s="6">
        <f>ROUND(G4644*F4644,2)</f>
        <v/>
      </c>
      <c r="I4644">
        <f>IF(ROUND(H4644-D4644,2)=0,1,0)</f>
        <v/>
      </c>
      <c r="J4644">
        <f>IF(F4644="","none",IF(G4644=1,"carte","multiple"))</f>
        <v/>
      </c>
    </row>
    <row r="4645">
      <c r="A4645" t="inlineStr">
        <is>
          <t>2022-08-28</t>
        </is>
      </c>
      <c r="B4645" t="inlineStr">
        <is>
          <t>12:37</t>
        </is>
      </c>
      <c r="C4645" t="n">
        <v>3043</v>
      </c>
      <c r="D4645" s="6" t="n">
        <v>8.800000000000001</v>
      </c>
      <c r="E4645" t="n">
        <v>41651</v>
      </c>
      <c r="F4645" s="6" t="n">
        <v>8.800000000000001</v>
      </c>
      <c r="G4645" t="n">
        <v>1</v>
      </c>
      <c r="H4645" s="6">
        <f>ROUND(G4645*F4645,2)</f>
        <v/>
      </c>
      <c r="I4645">
        <f>IF(ROUND(H4645-D4645,2)=0,1,0)</f>
        <v/>
      </c>
      <c r="J4645">
        <f>IF(F4645="","none",IF(G4645=1,"carte","multiple"))</f>
        <v/>
      </c>
    </row>
    <row r="4646">
      <c r="A4646" t="inlineStr">
        <is>
          <t>2022-08-28</t>
        </is>
      </c>
      <c r="B4646" t="inlineStr">
        <is>
          <t>12:37</t>
        </is>
      </c>
      <c r="C4646" t="n">
        <v>3043</v>
      </c>
      <c r="D4646" s="6" t="n">
        <v>59.2</v>
      </c>
      <c r="E4646" t="n">
        <v>41652</v>
      </c>
      <c r="F4646" s="6" t="n">
        <v>0.4</v>
      </c>
      <c r="G4646" t="n">
        <v>148</v>
      </c>
      <c r="H4646" s="6">
        <f>ROUND(G4646*F4646,2)</f>
        <v/>
      </c>
      <c r="I4646">
        <f>IF(ROUND(H4646-D4646,2)=0,1,0)</f>
        <v/>
      </c>
      <c r="J4646">
        <f>IF(F4646="","none",IF(G4646=1,"carte","multiple"))</f>
        <v/>
      </c>
    </row>
    <row r="4647">
      <c r="A4647" t="inlineStr">
        <is>
          <t>2022-08-28</t>
        </is>
      </c>
      <c r="B4647" t="inlineStr">
        <is>
          <t>12:37</t>
        </is>
      </c>
      <c r="C4647" t="n">
        <v>3043</v>
      </c>
      <c r="D4647" s="6" t="n">
        <v>51</v>
      </c>
      <c r="E4647" t="n">
        <v>41653</v>
      </c>
      <c r="F4647" s="6" t="n">
        <v>0.5</v>
      </c>
      <c r="G4647" t="n">
        <v>102</v>
      </c>
      <c r="H4647" s="6">
        <f>ROUND(G4647*F4647,2)</f>
        <v/>
      </c>
      <c r="I4647">
        <f>IF(ROUND(H4647-D4647,2)=0,1,0)</f>
        <v/>
      </c>
      <c r="J4647">
        <f>IF(F4647="","none",IF(G4647=1,"carte","multiple"))</f>
        <v/>
      </c>
    </row>
    <row r="4648">
      <c r="A4648" t="inlineStr">
        <is>
          <t>2022-08-28</t>
        </is>
      </c>
      <c r="B4648" t="inlineStr">
        <is>
          <t>12:37</t>
        </is>
      </c>
      <c r="C4648" t="n">
        <v>3043</v>
      </c>
      <c r="D4648" s="6" t="n">
        <v>9.9</v>
      </c>
      <c r="E4648" t="n">
        <v>41654</v>
      </c>
      <c r="F4648" s="6" t="n">
        <v>9.9</v>
      </c>
      <c r="G4648" t="n">
        <v>1</v>
      </c>
      <c r="H4648" s="6">
        <f>ROUND(G4648*F4648,2)</f>
        <v/>
      </c>
      <c r="I4648">
        <f>IF(ROUND(H4648-D4648,2)=0,1,0)</f>
        <v/>
      </c>
      <c r="J4648">
        <f>IF(F4648="","none",IF(G4648=1,"carte","multiple"))</f>
        <v/>
      </c>
    </row>
    <row r="4649">
      <c r="A4649" t="inlineStr">
        <is>
          <t>2022-08-28</t>
        </is>
      </c>
      <c r="B4649" t="inlineStr">
        <is>
          <t>12:51</t>
        </is>
      </c>
      <c r="C4649" t="n">
        <v>3043</v>
      </c>
      <c r="D4649" s="6" t="n">
        <v>4.4</v>
      </c>
      <c r="E4649" t="n">
        <v>41655</v>
      </c>
      <c r="F4649" s="6" t="n">
        <v>0.4</v>
      </c>
      <c r="G4649" t="n">
        <v>11</v>
      </c>
      <c r="H4649" s="6">
        <f>ROUND(G4649*F4649,2)</f>
        <v/>
      </c>
      <c r="I4649">
        <f>IF(ROUND(H4649-D4649,2)=0,1,0)</f>
        <v/>
      </c>
      <c r="J4649">
        <f>IF(F4649="","none",IF(G4649=1,"carte","multiple"))</f>
        <v/>
      </c>
    </row>
    <row r="4650">
      <c r="A4650" t="inlineStr">
        <is>
          <t>2022-08-28</t>
        </is>
      </c>
      <c r="B4650" t="inlineStr">
        <is>
          <t>12:51</t>
        </is>
      </c>
      <c r="C4650" t="n">
        <v>3043</v>
      </c>
      <c r="D4650" s="6" t="n">
        <v>6.9</v>
      </c>
      <c r="E4650" t="n">
        <v>41656</v>
      </c>
      <c r="F4650" s="6" t="n">
        <v>6.9</v>
      </c>
      <c r="G4650" t="n">
        <v>1</v>
      </c>
      <c r="H4650" s="6">
        <f>ROUND(G4650*F4650,2)</f>
        <v/>
      </c>
      <c r="I4650">
        <f>IF(ROUND(H4650-D4650,2)=0,1,0)</f>
        <v/>
      </c>
      <c r="J4650">
        <f>IF(F4650="","none",IF(G4650=1,"carte","multiple"))</f>
        <v/>
      </c>
    </row>
    <row r="4651">
      <c r="A4651" t="inlineStr">
        <is>
          <t>2022-08-28</t>
        </is>
      </c>
      <c r="B4651" t="inlineStr">
        <is>
          <t>12:51</t>
        </is>
      </c>
      <c r="C4651" t="n">
        <v>3043</v>
      </c>
      <c r="D4651" s="6" t="n">
        <v>13.9</v>
      </c>
      <c r="E4651" t="n">
        <v>41657</v>
      </c>
      <c r="F4651" s="6" t="n">
        <v>13.9</v>
      </c>
      <c r="G4651" t="n">
        <v>1</v>
      </c>
      <c r="H4651" s="6">
        <f>ROUND(G4651*F4651,2)</f>
        <v/>
      </c>
      <c r="I4651">
        <f>IF(ROUND(H4651-D4651,2)=0,1,0)</f>
        <v/>
      </c>
      <c r="J4651">
        <f>IF(F4651="","none",IF(G4651=1,"carte","multiple"))</f>
        <v/>
      </c>
    </row>
    <row r="4652">
      <c r="A4652" t="inlineStr">
        <is>
          <t>2022-08-28</t>
        </is>
      </c>
      <c r="B4652" t="inlineStr">
        <is>
          <t>12:51</t>
        </is>
      </c>
      <c r="C4652" t="n">
        <v>3043</v>
      </c>
      <c r="D4652" s="6" t="n">
        <v>16.4</v>
      </c>
      <c r="E4652" t="n">
        <v>41658</v>
      </c>
      <c r="F4652" s="6" t="n">
        <v>16.4</v>
      </c>
      <c r="G4652" t="n">
        <v>1</v>
      </c>
      <c r="H4652" s="6">
        <f>ROUND(G4652*F4652,2)</f>
        <v/>
      </c>
      <c r="I4652">
        <f>IF(ROUND(H4652-D4652,2)=0,1,0)</f>
        <v/>
      </c>
      <c r="J4652">
        <f>IF(F4652="","none",IF(G4652=1,"carte","multiple"))</f>
        <v/>
      </c>
    </row>
    <row r="4653">
      <c r="A4653" t="inlineStr">
        <is>
          <t>2022-08-28</t>
        </is>
      </c>
      <c r="B4653" t="inlineStr">
        <is>
          <t>12:51</t>
        </is>
      </c>
      <c r="C4653" t="n">
        <v>3043</v>
      </c>
      <c r="D4653" s="6" t="n">
        <v>24</v>
      </c>
      <c r="E4653" t="n">
        <v>41659</v>
      </c>
      <c r="F4653" s="6" t="n">
        <v>24</v>
      </c>
      <c r="G4653" t="n">
        <v>1</v>
      </c>
      <c r="H4653" s="6">
        <f>ROUND(G4653*F4653,2)</f>
        <v/>
      </c>
      <c r="I4653">
        <f>IF(ROUND(H4653-D4653,2)=0,1,0)</f>
        <v/>
      </c>
      <c r="J4653">
        <f>IF(F4653="","none",IF(G4653=1,"carte","multiple"))</f>
        <v/>
      </c>
    </row>
    <row r="4654">
      <c r="A4654" t="inlineStr">
        <is>
          <t>2022-08-28</t>
        </is>
      </c>
      <c r="B4654" t="inlineStr">
        <is>
          <t>13:01</t>
        </is>
      </c>
      <c r="C4654" t="n">
        <v>3043</v>
      </c>
      <c r="D4654" s="6" t="n">
        <v>3.9</v>
      </c>
      <c r="E4654" t="n">
        <v>41660</v>
      </c>
      <c r="F4654" s="6" t="n">
        <v>3.9</v>
      </c>
      <c r="G4654" t="n">
        <v>1</v>
      </c>
      <c r="H4654" s="6">
        <f>ROUND(G4654*F4654,2)</f>
        <v/>
      </c>
      <c r="I4654">
        <f>IF(ROUND(H4654-D4654,2)=0,1,0)</f>
        <v/>
      </c>
      <c r="J4654">
        <f>IF(F4654="","none",IF(G4654=1,"carte","multiple"))</f>
        <v/>
      </c>
    </row>
    <row r="4655">
      <c r="A4655" t="inlineStr">
        <is>
          <t>2022-08-28</t>
        </is>
      </c>
      <c r="B4655" t="inlineStr">
        <is>
          <t>13:01</t>
        </is>
      </c>
      <c r="C4655" t="n">
        <v>3043</v>
      </c>
      <c r="D4655" s="6" t="n">
        <v>4</v>
      </c>
      <c r="E4655" t="n">
        <v>41661</v>
      </c>
      <c r="F4655" s="6" t="n">
        <v>4</v>
      </c>
      <c r="G4655" t="n">
        <v>1</v>
      </c>
      <c r="H4655" s="6">
        <f>ROUND(G4655*F4655,2)</f>
        <v/>
      </c>
      <c r="I4655">
        <f>IF(ROUND(H4655-D4655,2)=0,1,0)</f>
        <v/>
      </c>
      <c r="J4655">
        <f>IF(F4655="","none",IF(G4655=1,"carte","multiple"))</f>
        <v/>
      </c>
    </row>
    <row r="4656">
      <c r="A4656" t="inlineStr">
        <is>
          <t>2022-08-28</t>
        </is>
      </c>
      <c r="B4656" t="inlineStr">
        <is>
          <t>13:01</t>
        </is>
      </c>
      <c r="C4656" t="n">
        <v>3043</v>
      </c>
      <c r="D4656" s="6" t="n">
        <v>4.7</v>
      </c>
      <c r="E4656" t="n">
        <v>41662</v>
      </c>
      <c r="F4656" s="6" t="n">
        <v>4.7</v>
      </c>
      <c r="G4656" t="n">
        <v>1</v>
      </c>
      <c r="H4656" s="6">
        <f>ROUND(G4656*F4656,2)</f>
        <v/>
      </c>
      <c r="I4656">
        <f>IF(ROUND(H4656-D4656,2)=0,1,0)</f>
        <v/>
      </c>
      <c r="J4656">
        <f>IF(F4656="","none",IF(G4656=1,"carte","multiple"))</f>
        <v/>
      </c>
    </row>
    <row r="4657">
      <c r="A4657" t="inlineStr">
        <is>
          <t>2022-08-28</t>
        </is>
      </c>
      <c r="B4657" t="inlineStr">
        <is>
          <t>13:01</t>
        </is>
      </c>
      <c r="C4657" t="n">
        <v>3043</v>
      </c>
      <c r="D4657" s="6" t="n">
        <v>4.6</v>
      </c>
      <c r="E4657" t="n">
        <v>41663</v>
      </c>
      <c r="F4657" s="6" t="n">
        <v>4.6</v>
      </c>
      <c r="G4657" t="n">
        <v>1</v>
      </c>
      <c r="H4657" s="6">
        <f>ROUND(G4657*F4657,2)</f>
        <v/>
      </c>
      <c r="I4657">
        <f>IF(ROUND(H4657-D4657,2)=0,1,0)</f>
        <v/>
      </c>
      <c r="J4657">
        <f>IF(F4657="","none",IF(G4657=1,"carte","multiple"))</f>
        <v/>
      </c>
    </row>
    <row r="4658">
      <c r="A4658" t="inlineStr">
        <is>
          <t>2022-08-28</t>
        </is>
      </c>
      <c r="B4658" t="inlineStr">
        <is>
          <t>13:01</t>
        </is>
      </c>
      <c r="C4658" t="n">
        <v>3043</v>
      </c>
      <c r="D4658" s="6" t="n">
        <v>38</v>
      </c>
      <c r="E4658" t="n">
        <v>41664</v>
      </c>
      <c r="F4658" s="6" t="n">
        <v>0.4</v>
      </c>
      <c r="G4658" t="n">
        <v>95</v>
      </c>
      <c r="H4658" s="6">
        <f>ROUND(G4658*F4658,2)</f>
        <v/>
      </c>
      <c r="I4658">
        <f>IF(ROUND(H4658-D4658,2)=0,1,0)</f>
        <v/>
      </c>
      <c r="J4658">
        <f>IF(F4658="","none",IF(G4658=1,"carte","multiple"))</f>
        <v/>
      </c>
    </row>
    <row r="4659">
      <c r="A4659" t="inlineStr">
        <is>
          <t>2022-08-28</t>
        </is>
      </c>
      <c r="B4659" t="inlineStr">
        <is>
          <t>13:01</t>
        </is>
      </c>
      <c r="C4659" t="n">
        <v>3043</v>
      </c>
      <c r="D4659" s="6" t="n">
        <v>15.6</v>
      </c>
      <c r="E4659" t="n">
        <v>41665</v>
      </c>
      <c r="F4659" s="6" t="n">
        <v>15.6</v>
      </c>
      <c r="G4659" t="n">
        <v>1</v>
      </c>
      <c r="H4659" s="6">
        <f>ROUND(G4659*F4659,2)</f>
        <v/>
      </c>
      <c r="I4659">
        <f>IF(ROUND(H4659-D4659,2)=0,1,0)</f>
        <v/>
      </c>
      <c r="J4659">
        <f>IF(F4659="","none",IF(G4659=1,"carte","multiple"))</f>
        <v/>
      </c>
    </row>
    <row r="4660">
      <c r="A4660" t="inlineStr">
        <is>
          <t>2022-08-28</t>
        </is>
      </c>
      <c r="B4660" t="inlineStr">
        <is>
          <t>13:01</t>
        </is>
      </c>
      <c r="C4660" t="n">
        <v>3043</v>
      </c>
      <c r="D4660" s="6" t="n">
        <v>3.9</v>
      </c>
      <c r="E4660" t="n">
        <v>41666</v>
      </c>
      <c r="F4660" s="6" t="n">
        <v>3.9</v>
      </c>
      <c r="G4660" t="n">
        <v>1</v>
      </c>
      <c r="H4660" s="6">
        <f>ROUND(G4660*F4660,2)</f>
        <v/>
      </c>
      <c r="I4660">
        <f>IF(ROUND(H4660-D4660,2)=0,1,0)</f>
        <v/>
      </c>
      <c r="J4660">
        <f>IF(F4660="","none",IF(G4660=1,"carte","multiple"))</f>
        <v/>
      </c>
    </row>
    <row r="4661">
      <c r="A4661" t="inlineStr">
        <is>
          <t>2022-08-28</t>
        </is>
      </c>
      <c r="B4661" t="inlineStr">
        <is>
          <t>17:47</t>
        </is>
      </c>
      <c r="C4661" t="n">
        <v>3043</v>
      </c>
      <c r="D4661" s="6" t="n">
        <v>26</v>
      </c>
      <c r="E4661" t="n">
        <v>41667</v>
      </c>
      <c r="F4661" s="6" t="n">
        <v>26</v>
      </c>
      <c r="G4661" t="n">
        <v>1</v>
      </c>
      <c r="H4661" s="6">
        <f>ROUND(G4661*F4661,2)</f>
        <v/>
      </c>
      <c r="I4661">
        <f>IF(ROUND(H4661-D4661,2)=0,1,0)</f>
        <v/>
      </c>
      <c r="J4661">
        <f>IF(F4661="","none",IF(G4661=1,"carte","multiple"))</f>
        <v/>
      </c>
    </row>
    <row r="4662">
      <c r="A4662" t="inlineStr">
        <is>
          <t>2022-08-28</t>
        </is>
      </c>
      <c r="B4662" t="inlineStr">
        <is>
          <t>17:59</t>
        </is>
      </c>
      <c r="C4662" t="n">
        <v>3043</v>
      </c>
      <c r="D4662" s="6" t="n">
        <v>19.9</v>
      </c>
      <c r="E4662" t="n">
        <v>41668</v>
      </c>
      <c r="F4662" s="6" t="n">
        <v>19.9</v>
      </c>
      <c r="G4662" t="n">
        <v>1</v>
      </c>
      <c r="H4662" s="6">
        <f>ROUND(G4662*F4662,2)</f>
        <v/>
      </c>
      <c r="I4662">
        <f>IF(ROUND(H4662-D4662,2)=0,1,0)</f>
        <v/>
      </c>
      <c r="J4662">
        <f>IF(F4662="","none",IF(G4662=1,"carte","multiple"))</f>
        <v/>
      </c>
    </row>
    <row r="4663">
      <c r="A4663" t="inlineStr">
        <is>
          <t>2022-08-28</t>
        </is>
      </c>
      <c r="B4663" t="inlineStr">
        <is>
          <t>17:59</t>
        </is>
      </c>
      <c r="C4663" t="n">
        <v>3043</v>
      </c>
      <c r="D4663" s="6" t="n">
        <v>29.9</v>
      </c>
      <c r="E4663" t="n">
        <v>41669</v>
      </c>
      <c r="F4663" s="6" t="n">
        <v>29.9</v>
      </c>
      <c r="G4663" t="n">
        <v>1</v>
      </c>
      <c r="H4663" s="6">
        <f>ROUND(G4663*F4663,2)</f>
        <v/>
      </c>
      <c r="I4663">
        <f>IF(ROUND(H4663-D4663,2)=0,1,0)</f>
        <v/>
      </c>
      <c r="J4663">
        <f>IF(F4663="","none",IF(G4663=1,"carte","multiple"))</f>
        <v/>
      </c>
    </row>
    <row r="4664">
      <c r="A4664" t="inlineStr">
        <is>
          <t>2022-08-28</t>
        </is>
      </c>
      <c r="B4664" t="inlineStr">
        <is>
          <t>18:21</t>
        </is>
      </c>
      <c r="C4664" t="n">
        <v>3043</v>
      </c>
      <c r="D4664" s="6" t="n">
        <v>5.4</v>
      </c>
      <c r="E4664" t="n">
        <v>41670</v>
      </c>
      <c r="F4664" s="6" t="n">
        <v>5.4</v>
      </c>
      <c r="G4664" t="n">
        <v>1</v>
      </c>
      <c r="H4664" s="6">
        <f>ROUND(G4664*F4664,2)</f>
        <v/>
      </c>
      <c r="I4664">
        <f>IF(ROUND(H4664-D4664,2)=0,1,0)</f>
        <v/>
      </c>
      <c r="J4664">
        <f>IF(F4664="","none",IF(G4664=1,"carte","multiple"))</f>
        <v/>
      </c>
    </row>
    <row r="4665">
      <c r="A4665" t="inlineStr">
        <is>
          <t>2022-08-28</t>
        </is>
      </c>
      <c r="B4665" t="inlineStr">
        <is>
          <t>18:39</t>
        </is>
      </c>
      <c r="C4665" t="n">
        <v>3043</v>
      </c>
      <c r="D4665" s="6" t="n">
        <v>26</v>
      </c>
      <c r="E4665" t="n">
        <v>41671</v>
      </c>
      <c r="F4665" s="6" t="n">
        <v>26</v>
      </c>
      <c r="G4665" t="n">
        <v>1</v>
      </c>
      <c r="H4665" s="6">
        <f>ROUND(G4665*F4665,2)</f>
        <v/>
      </c>
      <c r="I4665">
        <f>IF(ROUND(H4665-D4665,2)=0,1,0)</f>
        <v/>
      </c>
      <c r="J4665">
        <f>IF(F4665="","none",IF(G4665=1,"carte","multiple"))</f>
        <v/>
      </c>
    </row>
    <row r="4666">
      <c r="A4666" t="inlineStr">
        <is>
          <t>2022-08-28</t>
        </is>
      </c>
      <c r="B4666" t="inlineStr">
        <is>
          <t>19:24</t>
        </is>
      </c>
      <c r="C4666" t="n">
        <v>3043</v>
      </c>
      <c r="D4666" s="6" t="n">
        <v>7.8</v>
      </c>
      <c r="E4666" t="n">
        <v>41672</v>
      </c>
      <c r="F4666" s="6" t="n">
        <v>7.8</v>
      </c>
      <c r="G4666" t="n">
        <v>1</v>
      </c>
      <c r="H4666" s="6">
        <f>ROUND(G4666*F4666,2)</f>
        <v/>
      </c>
      <c r="I4666">
        <f>IF(ROUND(H4666-D4666,2)=0,1,0)</f>
        <v/>
      </c>
      <c r="J4666">
        <f>IF(F4666="","none",IF(G4666=1,"carte","multiple"))</f>
        <v/>
      </c>
    </row>
    <row r="4667">
      <c r="A4667" t="inlineStr">
        <is>
          <t>2022-08-28</t>
        </is>
      </c>
      <c r="B4667" t="inlineStr">
        <is>
          <t>19:55</t>
        </is>
      </c>
      <c r="C4667" t="n">
        <v>3043</v>
      </c>
      <c r="D4667" s="6" t="n">
        <v>19</v>
      </c>
      <c r="E4667" t="n">
        <v>41673</v>
      </c>
      <c r="F4667" s="6" t="n">
        <v>19</v>
      </c>
      <c r="G4667" t="n">
        <v>1</v>
      </c>
      <c r="H4667" s="6">
        <f>ROUND(G4667*F4667,2)</f>
        <v/>
      </c>
      <c r="I4667">
        <f>IF(ROUND(H4667-D4667,2)=0,1,0)</f>
        <v/>
      </c>
      <c r="J4667">
        <f>IF(F4667="","none",IF(G4667=1,"carte","multiple"))</f>
        <v/>
      </c>
    </row>
    <row r="4668">
      <c r="A4668" t="inlineStr">
        <is>
          <t>2022-08-28</t>
        </is>
      </c>
      <c r="B4668" t="inlineStr">
        <is>
          <t>19:55</t>
        </is>
      </c>
      <c r="C4668" t="n">
        <v>3043</v>
      </c>
      <c r="D4668" s="6" t="n">
        <v>15.9</v>
      </c>
      <c r="E4668" t="n">
        <v>41674</v>
      </c>
      <c r="F4668" s="6" t="n">
        <v>15.9</v>
      </c>
      <c r="G4668" t="n">
        <v>1</v>
      </c>
      <c r="H4668" s="6">
        <f>ROUND(G4668*F4668,2)</f>
        <v/>
      </c>
      <c r="I4668">
        <f>IF(ROUND(H4668-D4668,2)=0,1,0)</f>
        <v/>
      </c>
      <c r="J4668">
        <f>IF(F4668="","none",IF(G4668=1,"carte","multiple"))</f>
        <v/>
      </c>
    </row>
    <row r="4669">
      <c r="A4669" t="inlineStr">
        <is>
          <t>2022-08-28</t>
        </is>
      </c>
      <c r="B4669" t="inlineStr">
        <is>
          <t>19:56</t>
        </is>
      </c>
      <c r="C4669" t="n">
        <v>3043</v>
      </c>
      <c r="D4669" s="6" t="n">
        <v>16</v>
      </c>
      <c r="E4669" t="n">
        <v>41675</v>
      </c>
      <c r="F4669" s="6" t="n">
        <v>16</v>
      </c>
      <c r="G4669" t="n">
        <v>1</v>
      </c>
      <c r="H4669" s="6">
        <f>ROUND(G4669*F4669,2)</f>
        <v/>
      </c>
      <c r="I4669">
        <f>IF(ROUND(H4669-D4669,2)=0,1,0)</f>
        <v/>
      </c>
      <c r="J4669">
        <f>IF(F4669="","none",IF(G4669=1,"carte","multiple"))</f>
        <v/>
      </c>
    </row>
    <row r="4670">
      <c r="A4670" t="inlineStr">
        <is>
          <t>2022-08-28</t>
        </is>
      </c>
      <c r="B4670" t="inlineStr">
        <is>
          <t>19:56</t>
        </is>
      </c>
      <c r="C4670" t="n">
        <v>3043</v>
      </c>
      <c r="D4670" s="6" t="n">
        <v>24</v>
      </c>
      <c r="E4670" t="n">
        <v>41676</v>
      </c>
      <c r="F4670" s="6" t="n">
        <v>24</v>
      </c>
      <c r="G4670" t="n">
        <v>1</v>
      </c>
      <c r="H4670" s="6">
        <f>ROUND(G4670*F4670,2)</f>
        <v/>
      </c>
      <c r="I4670">
        <f>IF(ROUND(H4670-D4670,2)=0,1,0)</f>
        <v/>
      </c>
      <c r="J4670">
        <f>IF(F4670="","none",IF(G4670=1,"carte","multiple"))</f>
        <v/>
      </c>
    </row>
    <row r="4671">
      <c r="A4671" t="inlineStr">
        <is>
          <t>2022-08-28</t>
        </is>
      </c>
      <c r="B4671" t="inlineStr">
        <is>
          <t>20:02</t>
        </is>
      </c>
      <c r="C4671" t="n">
        <v>3043</v>
      </c>
      <c r="D4671" s="6" t="n">
        <v>4.9</v>
      </c>
      <c r="E4671" t="n">
        <v>41677</v>
      </c>
      <c r="F4671" s="6" t="n">
        <v>4.9</v>
      </c>
      <c r="G4671" t="n">
        <v>1</v>
      </c>
      <c r="H4671" s="6">
        <f>ROUND(G4671*F4671,2)</f>
        <v/>
      </c>
      <c r="I4671">
        <f>IF(ROUND(H4671-D4671,2)=0,1,0)</f>
        <v/>
      </c>
      <c r="J4671">
        <f>IF(F4671="","none",IF(G4671=1,"carte","multiple"))</f>
        <v/>
      </c>
    </row>
    <row r="4672">
      <c r="A4672" t="inlineStr">
        <is>
          <t>2022-08-28</t>
        </is>
      </c>
      <c r="B4672" t="inlineStr">
        <is>
          <t>20:02</t>
        </is>
      </c>
      <c r="C4672" t="n">
        <v>3043</v>
      </c>
      <c r="D4672" s="6" t="n">
        <v>4</v>
      </c>
      <c r="E4672" t="n">
        <v>41678</v>
      </c>
      <c r="F4672" s="6" t="n">
        <v>4</v>
      </c>
      <c r="G4672" t="n">
        <v>1</v>
      </c>
      <c r="H4672" s="6">
        <f>ROUND(G4672*F4672,2)</f>
        <v/>
      </c>
      <c r="I4672">
        <f>IF(ROUND(H4672-D4672,2)=0,1,0)</f>
        <v/>
      </c>
      <c r="J4672">
        <f>IF(F4672="","none",IF(G4672=1,"carte","multiple"))</f>
        <v/>
      </c>
    </row>
    <row r="4673">
      <c r="A4673" t="inlineStr">
        <is>
          <t>2022-08-28</t>
        </is>
      </c>
      <c r="B4673" t="inlineStr">
        <is>
          <t>20:02</t>
        </is>
      </c>
      <c r="C4673" t="n">
        <v>3043</v>
      </c>
      <c r="D4673" s="6" t="n">
        <v>3.9</v>
      </c>
      <c r="E4673" t="n">
        <v>41679</v>
      </c>
      <c r="F4673" s="6" t="n">
        <v>3.9</v>
      </c>
      <c r="G4673" t="n">
        <v>1</v>
      </c>
      <c r="H4673" s="6">
        <f>ROUND(G4673*F4673,2)</f>
        <v/>
      </c>
      <c r="I4673">
        <f>IF(ROUND(H4673-D4673,2)=0,1,0)</f>
        <v/>
      </c>
      <c r="J4673">
        <f>IF(F4673="","none",IF(G4673=1,"carte","multiple"))</f>
        <v/>
      </c>
    </row>
    <row r="4674">
      <c r="A4674" t="inlineStr">
        <is>
          <t>2022-08-28</t>
        </is>
      </c>
      <c r="B4674" t="inlineStr">
        <is>
          <t>20:23</t>
        </is>
      </c>
      <c r="C4674" t="n">
        <v>3043</v>
      </c>
      <c r="D4674" s="6" t="n">
        <v>1.8</v>
      </c>
      <c r="E4674" t="n">
        <v>41680</v>
      </c>
      <c r="F4674" s="6" t="n">
        <v>1.8</v>
      </c>
      <c r="G4674" t="n">
        <v>1</v>
      </c>
      <c r="H4674" s="6">
        <f>ROUND(G4674*F4674,2)</f>
        <v/>
      </c>
      <c r="I4674">
        <f>IF(ROUND(H4674-D4674,2)=0,1,0)</f>
        <v/>
      </c>
      <c r="J4674">
        <f>IF(F4674="","none",IF(G4674=1,"carte","multiple"))</f>
        <v/>
      </c>
    </row>
    <row r="4675">
      <c r="A4675" t="inlineStr">
        <is>
          <t>2022-08-28</t>
        </is>
      </c>
      <c r="B4675" t="inlineStr">
        <is>
          <t>20:23</t>
        </is>
      </c>
      <c r="C4675" t="n">
        <v>3043</v>
      </c>
      <c r="D4675" s="6" t="n">
        <v>3.9</v>
      </c>
      <c r="E4675" t="n">
        <v>41681</v>
      </c>
      <c r="F4675" s="6" t="n">
        <v>3.9</v>
      </c>
      <c r="G4675" t="n">
        <v>1</v>
      </c>
      <c r="H4675" s="6">
        <f>ROUND(G4675*F4675,2)</f>
        <v/>
      </c>
      <c r="I4675">
        <f>IF(ROUND(H4675-D4675,2)=0,1,0)</f>
        <v/>
      </c>
      <c r="J4675">
        <f>IF(F4675="","none",IF(G4675=1,"carte","multiple"))</f>
        <v/>
      </c>
    </row>
    <row r="4676">
      <c r="A4676" t="inlineStr">
        <is>
          <t>2022-08-28</t>
        </is>
      </c>
      <c r="B4676" t="inlineStr">
        <is>
          <t>20:23</t>
        </is>
      </c>
      <c r="C4676" t="n">
        <v>3043</v>
      </c>
      <c r="D4676" s="6" t="n">
        <v>4.6</v>
      </c>
      <c r="E4676" t="n">
        <v>41682</v>
      </c>
      <c r="F4676" s="6" t="n">
        <v>4.6</v>
      </c>
      <c r="G4676" t="n">
        <v>1</v>
      </c>
      <c r="H4676" s="6">
        <f>ROUND(G4676*F4676,2)</f>
        <v/>
      </c>
      <c r="I4676">
        <f>IF(ROUND(H4676-D4676,2)=0,1,0)</f>
        <v/>
      </c>
      <c r="J4676">
        <f>IF(F4676="","none",IF(G4676=1,"carte","multiple"))</f>
        <v/>
      </c>
    </row>
    <row r="4677">
      <c r="A4677" t="inlineStr">
        <is>
          <t>2022-08-28</t>
        </is>
      </c>
      <c r="B4677" t="inlineStr">
        <is>
          <t>20:23</t>
        </is>
      </c>
      <c r="C4677" t="n">
        <v>3043</v>
      </c>
      <c r="D4677" s="6" t="n">
        <v>19</v>
      </c>
      <c r="E4677" t="n">
        <v>41683</v>
      </c>
      <c r="F4677" s="6" t="n">
        <v>19</v>
      </c>
      <c r="G4677" t="n">
        <v>1</v>
      </c>
      <c r="H4677" s="6">
        <f>ROUND(G4677*F4677,2)</f>
        <v/>
      </c>
      <c r="I4677">
        <f>IF(ROUND(H4677-D4677,2)=0,1,0)</f>
        <v/>
      </c>
      <c r="J4677">
        <f>IF(F4677="","none",IF(G4677=1,"carte","multiple"))</f>
        <v/>
      </c>
    </row>
    <row r="4678">
      <c r="A4678" t="inlineStr">
        <is>
          <t>2022-08-28</t>
        </is>
      </c>
      <c r="B4678" t="inlineStr">
        <is>
          <t>20:23</t>
        </is>
      </c>
      <c r="C4678" t="n">
        <v>3043</v>
      </c>
      <c r="D4678" s="6" t="n">
        <v>16.9</v>
      </c>
      <c r="E4678" t="n">
        <v>41684</v>
      </c>
      <c r="F4678" s="6" t="n">
        <v>16.9</v>
      </c>
      <c r="G4678" t="n">
        <v>1</v>
      </c>
      <c r="H4678" s="6">
        <f>ROUND(G4678*F4678,2)</f>
        <v/>
      </c>
      <c r="I4678">
        <f>IF(ROUND(H4678-D4678,2)=0,1,0)</f>
        <v/>
      </c>
      <c r="J4678">
        <f>IF(F4678="","none",IF(G4678=1,"carte","multiple"))</f>
        <v/>
      </c>
    </row>
    <row r="4679">
      <c r="A4679" t="inlineStr">
        <is>
          <t>2022-08-28</t>
        </is>
      </c>
      <c r="B4679" t="inlineStr">
        <is>
          <t>20:23</t>
        </is>
      </c>
      <c r="C4679" t="n">
        <v>3043</v>
      </c>
      <c r="D4679" s="6" t="n">
        <v>18</v>
      </c>
      <c r="E4679" t="n">
        <v>41685</v>
      </c>
      <c r="F4679" s="6" t="n">
        <v>18</v>
      </c>
      <c r="G4679" t="n">
        <v>1</v>
      </c>
      <c r="H4679" s="6">
        <f>ROUND(G4679*F4679,2)</f>
        <v/>
      </c>
      <c r="I4679">
        <f>IF(ROUND(H4679-D4679,2)=0,1,0)</f>
        <v/>
      </c>
      <c r="J4679">
        <f>IF(F4679="","none",IF(G4679=1,"carte","multiple"))</f>
        <v/>
      </c>
    </row>
    <row r="4680">
      <c r="A4680" t="inlineStr">
        <is>
          <t>2022-08-30</t>
        </is>
      </c>
      <c r="B4680" t="inlineStr">
        <is>
          <t>10:29</t>
        </is>
      </c>
      <c r="C4680" t="n">
        <v>3044</v>
      </c>
      <c r="D4680" s="6" t="n">
        <v>7.9</v>
      </c>
      <c r="E4680" t="n">
        <v>41688</v>
      </c>
      <c r="F4680" s="6" t="n">
        <v>7.9</v>
      </c>
      <c r="G4680" t="n">
        <v>1</v>
      </c>
      <c r="H4680" s="6">
        <f>ROUND(G4680*F4680,2)</f>
        <v/>
      </c>
      <c r="I4680">
        <f>IF(ROUND(H4680-D4680,2)=0,1,0)</f>
        <v/>
      </c>
      <c r="J4680">
        <f>IF(F4680="","none",IF(G4680=1,"carte","multiple"))</f>
        <v/>
      </c>
    </row>
    <row r="4681">
      <c r="A4681" t="inlineStr">
        <is>
          <t>2022-08-30</t>
        </is>
      </c>
      <c r="B4681" t="inlineStr">
        <is>
          <t>11:28</t>
        </is>
      </c>
      <c r="C4681" t="n">
        <v>3044</v>
      </c>
      <c r="D4681" s="6" t="n">
        <v>2.9</v>
      </c>
      <c r="E4681" t="n">
        <v>41689</v>
      </c>
      <c r="F4681" s="6" t="n">
        <v>2.9</v>
      </c>
      <c r="G4681" t="n">
        <v>1</v>
      </c>
      <c r="H4681" s="6">
        <f>ROUND(G4681*F4681,2)</f>
        <v/>
      </c>
      <c r="I4681">
        <f>IF(ROUND(H4681-D4681,2)=0,1,0)</f>
        <v/>
      </c>
      <c r="J4681">
        <f>IF(F4681="","none",IF(G4681=1,"carte","multiple"))</f>
        <v/>
      </c>
    </row>
    <row r="4682">
      <c r="A4682" t="inlineStr">
        <is>
          <t>2022-08-30</t>
        </is>
      </c>
      <c r="B4682" t="inlineStr">
        <is>
          <t>12:32</t>
        </is>
      </c>
      <c r="C4682" t="n">
        <v>3044</v>
      </c>
      <c r="D4682" s="6" t="n">
        <v>2.4</v>
      </c>
      <c r="E4682" t="n">
        <v>41690</v>
      </c>
      <c r="F4682" s="6" t="n">
        <v>2.4</v>
      </c>
      <c r="G4682" t="n">
        <v>1</v>
      </c>
      <c r="H4682" s="6">
        <f>ROUND(G4682*F4682,2)</f>
        <v/>
      </c>
      <c r="I4682">
        <f>IF(ROUND(H4682-D4682,2)=0,1,0)</f>
        <v/>
      </c>
      <c r="J4682">
        <f>IF(F4682="","none",IF(G4682=1,"carte","multiple"))</f>
        <v/>
      </c>
    </row>
    <row r="4683">
      <c r="A4683" t="inlineStr">
        <is>
          <t>2022-08-30</t>
        </is>
      </c>
      <c r="B4683" t="inlineStr">
        <is>
          <t>12:32</t>
        </is>
      </c>
      <c r="C4683" t="n">
        <v>3044</v>
      </c>
      <c r="D4683" s="6" t="n">
        <v>8</v>
      </c>
      <c r="E4683" t="n">
        <v>41691</v>
      </c>
      <c r="F4683" s="6" t="n">
        <v>8</v>
      </c>
      <c r="G4683" t="n">
        <v>1</v>
      </c>
      <c r="H4683" s="6">
        <f>ROUND(G4683*F4683,2)</f>
        <v/>
      </c>
      <c r="I4683">
        <f>IF(ROUND(H4683-D4683,2)=0,1,0)</f>
        <v/>
      </c>
      <c r="J4683">
        <f>IF(F4683="","none",IF(G4683=1,"carte","multiple"))</f>
        <v/>
      </c>
    </row>
    <row r="4684">
      <c r="A4684" t="inlineStr">
        <is>
          <t>2022-08-30</t>
        </is>
      </c>
      <c r="B4684" t="inlineStr">
        <is>
          <t>12:32</t>
        </is>
      </c>
      <c r="C4684" t="n">
        <v>3044</v>
      </c>
      <c r="D4684" s="6" t="n">
        <v>10.7</v>
      </c>
      <c r="E4684" t="n">
        <v>41692</v>
      </c>
      <c r="F4684" s="6" t="n">
        <v>10.7</v>
      </c>
      <c r="G4684" t="n">
        <v>1</v>
      </c>
      <c r="H4684" s="6">
        <f>ROUND(G4684*F4684,2)</f>
        <v/>
      </c>
      <c r="I4684">
        <f>IF(ROUND(H4684-D4684,2)=0,1,0)</f>
        <v/>
      </c>
      <c r="J4684">
        <f>IF(F4684="","none",IF(G4684=1,"carte","multiple"))</f>
        <v/>
      </c>
    </row>
    <row r="4685">
      <c r="A4685" t="inlineStr">
        <is>
          <t>2022-08-30</t>
        </is>
      </c>
      <c r="B4685" t="inlineStr">
        <is>
          <t>12:32</t>
        </is>
      </c>
      <c r="C4685" t="n">
        <v>3044</v>
      </c>
      <c r="D4685" s="6" t="n">
        <v>8.699999999999999</v>
      </c>
      <c r="E4685" t="n">
        <v>41693</v>
      </c>
      <c r="F4685" s="6" t="n">
        <v>8.699999999999999</v>
      </c>
      <c r="G4685" t="n">
        <v>1</v>
      </c>
      <c r="H4685" s="6">
        <f>ROUND(G4685*F4685,2)</f>
        <v/>
      </c>
      <c r="I4685">
        <f>IF(ROUND(H4685-D4685,2)=0,1,0)</f>
        <v/>
      </c>
      <c r="J4685">
        <f>IF(F4685="","none",IF(G4685=1,"carte","multiple"))</f>
        <v/>
      </c>
    </row>
    <row r="4686">
      <c r="A4686" t="inlineStr">
        <is>
          <t>2022-08-30</t>
        </is>
      </c>
      <c r="B4686" t="inlineStr">
        <is>
          <t>12:32</t>
        </is>
      </c>
      <c r="C4686" t="n">
        <v>3044</v>
      </c>
      <c r="D4686" s="6" t="n">
        <v>1.8</v>
      </c>
      <c r="E4686" t="n">
        <v>41694</v>
      </c>
      <c r="F4686" s="6" t="n">
        <v>1.8</v>
      </c>
      <c r="G4686" t="n">
        <v>1</v>
      </c>
      <c r="H4686" s="6">
        <f>ROUND(G4686*F4686,2)</f>
        <v/>
      </c>
      <c r="I4686">
        <f>IF(ROUND(H4686-D4686,2)=0,1,0)</f>
        <v/>
      </c>
      <c r="J4686">
        <f>IF(F4686="","none",IF(G4686=1,"carte","multiple"))</f>
        <v/>
      </c>
    </row>
    <row r="4687">
      <c r="A4687" t="inlineStr">
        <is>
          <t>2022-08-30</t>
        </is>
      </c>
      <c r="B4687" t="inlineStr">
        <is>
          <t>12:32</t>
        </is>
      </c>
      <c r="C4687" t="n">
        <v>3044</v>
      </c>
      <c r="D4687" s="6" t="n">
        <v>3.9</v>
      </c>
      <c r="E4687" t="n">
        <v>41695</v>
      </c>
      <c r="F4687" s="6" t="n">
        <v>3.9</v>
      </c>
      <c r="G4687" t="n">
        <v>1</v>
      </c>
      <c r="H4687" s="6">
        <f>ROUND(G4687*F4687,2)</f>
        <v/>
      </c>
      <c r="I4687">
        <f>IF(ROUND(H4687-D4687,2)=0,1,0)</f>
        <v/>
      </c>
      <c r="J4687">
        <f>IF(F4687="","none",IF(G4687=1,"carte","multiple"))</f>
        <v/>
      </c>
    </row>
    <row r="4688">
      <c r="A4688" t="inlineStr">
        <is>
          <t>2022-08-30</t>
        </is>
      </c>
      <c r="B4688" t="inlineStr">
        <is>
          <t>12:32</t>
        </is>
      </c>
      <c r="C4688" t="n">
        <v>3044</v>
      </c>
      <c r="D4688" s="6" t="n">
        <v>2</v>
      </c>
      <c r="E4688" t="n">
        <v>41696</v>
      </c>
      <c r="F4688" s="6" t="n">
        <v>2</v>
      </c>
      <c r="G4688" t="n">
        <v>1</v>
      </c>
      <c r="H4688" s="6">
        <f>ROUND(G4688*F4688,2)</f>
        <v/>
      </c>
      <c r="I4688">
        <f>IF(ROUND(H4688-D4688,2)=0,1,0)</f>
        <v/>
      </c>
      <c r="J4688">
        <f>IF(F4688="","none",IF(G4688=1,"carte","multiple"))</f>
        <v/>
      </c>
    </row>
    <row r="4689">
      <c r="A4689" t="inlineStr">
        <is>
          <t>2022-08-30</t>
        </is>
      </c>
      <c r="B4689" t="inlineStr">
        <is>
          <t>12:32</t>
        </is>
      </c>
      <c r="C4689" t="n">
        <v>3044</v>
      </c>
      <c r="D4689" s="6" t="n">
        <v>19</v>
      </c>
      <c r="E4689" t="n">
        <v>41697</v>
      </c>
      <c r="F4689" s="6" t="n">
        <v>19</v>
      </c>
      <c r="G4689" t="n">
        <v>1</v>
      </c>
      <c r="H4689" s="6">
        <f>ROUND(G4689*F4689,2)</f>
        <v/>
      </c>
      <c r="I4689">
        <f>IF(ROUND(H4689-D4689,2)=0,1,0)</f>
        <v/>
      </c>
      <c r="J4689">
        <f>IF(F4689="","none",IF(G4689=1,"carte","multiple"))</f>
        <v/>
      </c>
    </row>
    <row r="4690">
      <c r="A4690" t="inlineStr">
        <is>
          <t>2022-08-30</t>
        </is>
      </c>
      <c r="B4690" t="inlineStr">
        <is>
          <t>12:32</t>
        </is>
      </c>
      <c r="C4690" t="n">
        <v>3044</v>
      </c>
      <c r="D4690" s="6" t="n">
        <v>16.4</v>
      </c>
      <c r="E4690" t="n">
        <v>41698</v>
      </c>
      <c r="F4690" s="6" t="n">
        <v>16.4</v>
      </c>
      <c r="G4690" t="n">
        <v>1</v>
      </c>
      <c r="H4690" s="6">
        <f>ROUND(G4690*F4690,2)</f>
        <v/>
      </c>
      <c r="I4690">
        <f>IF(ROUND(H4690-D4690,2)=0,1,0)</f>
        <v/>
      </c>
      <c r="J4690">
        <f>IF(F4690="","none",IF(G4690=1,"carte","multiple"))</f>
        <v/>
      </c>
    </row>
    <row r="4691">
      <c r="A4691" t="inlineStr">
        <is>
          <t>2022-08-30</t>
        </is>
      </c>
      <c r="B4691" t="inlineStr">
        <is>
          <t>12:32</t>
        </is>
      </c>
      <c r="C4691" t="n">
        <v>3044</v>
      </c>
      <c r="D4691" s="6" t="n">
        <v>16.9</v>
      </c>
      <c r="E4691" t="n">
        <v>41699</v>
      </c>
      <c r="F4691" s="6" t="n">
        <v>16.9</v>
      </c>
      <c r="G4691" t="n">
        <v>1</v>
      </c>
      <c r="H4691" s="6">
        <f>ROUND(G4691*F4691,2)</f>
        <v/>
      </c>
      <c r="I4691">
        <f>IF(ROUND(H4691-D4691,2)=0,1,0)</f>
        <v/>
      </c>
      <c r="J4691">
        <f>IF(F4691="","none",IF(G4691=1,"carte","multiple"))</f>
        <v/>
      </c>
    </row>
    <row r="4692">
      <c r="A4692" t="inlineStr">
        <is>
          <t>2022-08-30</t>
        </is>
      </c>
      <c r="B4692" t="inlineStr">
        <is>
          <t>12:32</t>
        </is>
      </c>
      <c r="C4692" t="n">
        <v>3044</v>
      </c>
      <c r="D4692" s="6" t="n">
        <v>17.6</v>
      </c>
      <c r="E4692" t="n">
        <v>41700</v>
      </c>
      <c r="F4692" s="6" t="n">
        <v>17.6</v>
      </c>
      <c r="G4692" t="n">
        <v>1</v>
      </c>
      <c r="H4692" s="6">
        <f>ROUND(G4692*F4692,2)</f>
        <v/>
      </c>
      <c r="I4692">
        <f>IF(ROUND(H4692-D4692,2)=0,1,0)</f>
        <v/>
      </c>
      <c r="J4692">
        <f>IF(F4692="","none",IF(G4692=1,"carte","multiple"))</f>
        <v/>
      </c>
    </row>
    <row r="4693">
      <c r="A4693" t="inlineStr">
        <is>
          <t>2022-08-30</t>
        </is>
      </c>
      <c r="B4693" t="inlineStr">
        <is>
          <t>12:32</t>
        </is>
      </c>
      <c r="C4693" t="n">
        <v>3044</v>
      </c>
      <c r="D4693" s="6" t="n">
        <v>3.9</v>
      </c>
      <c r="E4693" t="n">
        <v>41701</v>
      </c>
      <c r="F4693" s="6" t="n">
        <v>3.9</v>
      </c>
      <c r="G4693" t="n">
        <v>1</v>
      </c>
      <c r="H4693" s="6">
        <f>ROUND(G4693*F4693,2)</f>
        <v/>
      </c>
      <c r="I4693">
        <f>IF(ROUND(H4693-D4693,2)=0,1,0)</f>
        <v/>
      </c>
      <c r="J4693">
        <f>IF(F4693="","none",IF(G4693=1,"carte","multiple"))</f>
        <v/>
      </c>
    </row>
    <row r="4694">
      <c r="A4694" t="inlineStr">
        <is>
          <t>2022-08-30</t>
        </is>
      </c>
      <c r="B4694" t="inlineStr">
        <is>
          <t>12:32</t>
        </is>
      </c>
      <c r="C4694" t="n">
        <v>3044</v>
      </c>
      <c r="D4694" s="6" t="n">
        <v>10.8</v>
      </c>
      <c r="E4694" t="n">
        <v>41702</v>
      </c>
      <c r="F4694" s="6" t="n">
        <v>0.4</v>
      </c>
      <c r="G4694" t="n">
        <v>27</v>
      </c>
      <c r="H4694" s="6">
        <f>ROUND(G4694*F4694,2)</f>
        <v/>
      </c>
      <c r="I4694">
        <f>IF(ROUND(H4694-D4694,2)=0,1,0)</f>
        <v/>
      </c>
      <c r="J4694">
        <f>IF(F4694="","none",IF(G4694=1,"carte","multiple"))</f>
        <v/>
      </c>
    </row>
    <row r="4695">
      <c r="A4695" t="inlineStr">
        <is>
          <t>2022-08-30</t>
        </is>
      </c>
      <c r="B4695" t="inlineStr">
        <is>
          <t>12:33</t>
        </is>
      </c>
      <c r="C4695" t="n">
        <v>3044</v>
      </c>
      <c r="D4695" s="6" t="n">
        <v>17.6</v>
      </c>
      <c r="E4695" t="n">
        <v>41703</v>
      </c>
      <c r="F4695" s="6" t="n">
        <v>17.6</v>
      </c>
      <c r="G4695" t="n">
        <v>1</v>
      </c>
      <c r="H4695" s="6">
        <f>ROUND(G4695*F4695,2)</f>
        <v/>
      </c>
      <c r="I4695">
        <f>IF(ROUND(H4695-D4695,2)=0,1,0)</f>
        <v/>
      </c>
      <c r="J4695">
        <f>IF(F4695="","none",IF(G4695=1,"carte","multiple"))</f>
        <v/>
      </c>
    </row>
    <row r="4696">
      <c r="A4696" t="inlineStr">
        <is>
          <t>2022-08-30</t>
        </is>
      </c>
      <c r="B4696" t="inlineStr">
        <is>
          <t>12:33</t>
        </is>
      </c>
      <c r="C4696" t="n">
        <v>3044</v>
      </c>
      <c r="D4696" s="6" t="n">
        <v>27.8</v>
      </c>
      <c r="E4696" t="n">
        <v>41704</v>
      </c>
      <c r="F4696" s="6" t="n">
        <v>27.8</v>
      </c>
      <c r="G4696" t="n">
        <v>1</v>
      </c>
      <c r="H4696" s="6">
        <f>ROUND(G4696*F4696,2)</f>
        <v/>
      </c>
      <c r="I4696">
        <f>IF(ROUND(H4696-D4696,2)=0,1,0)</f>
        <v/>
      </c>
      <c r="J4696">
        <f>IF(F4696="","none",IF(G4696=1,"carte","multiple"))</f>
        <v/>
      </c>
    </row>
    <row r="4697">
      <c r="A4697" t="inlineStr">
        <is>
          <t>2022-08-30</t>
        </is>
      </c>
      <c r="B4697" t="inlineStr">
        <is>
          <t>12:33</t>
        </is>
      </c>
      <c r="C4697" t="n">
        <v>3044</v>
      </c>
      <c r="D4697" s="6" t="n">
        <v>7.2</v>
      </c>
      <c r="E4697" t="n">
        <v>41705</v>
      </c>
      <c r="F4697" s="6" t="n">
        <v>7.2</v>
      </c>
      <c r="G4697" t="n">
        <v>1</v>
      </c>
      <c r="H4697" s="6">
        <f>ROUND(G4697*F4697,2)</f>
        <v/>
      </c>
      <c r="I4697">
        <f>IF(ROUND(H4697-D4697,2)=0,1,0)</f>
        <v/>
      </c>
      <c r="J4697">
        <f>IF(F4697="","none",IF(G4697=1,"carte","multiple"))</f>
        <v/>
      </c>
    </row>
    <row r="4698">
      <c r="A4698" t="inlineStr">
        <is>
          <t>2022-08-30</t>
        </is>
      </c>
      <c r="B4698" t="inlineStr">
        <is>
          <t>12:33</t>
        </is>
      </c>
      <c r="C4698" t="n">
        <v>3044</v>
      </c>
      <c r="D4698" s="6" t="n">
        <v>5.2</v>
      </c>
      <c r="E4698" t="n">
        <v>41706</v>
      </c>
      <c r="F4698" s="6" t="n">
        <v>5.2</v>
      </c>
      <c r="G4698" t="n">
        <v>1</v>
      </c>
      <c r="H4698" s="6">
        <f>ROUND(G4698*F4698,2)</f>
        <v/>
      </c>
      <c r="I4698">
        <f>IF(ROUND(H4698-D4698,2)=0,1,0)</f>
        <v/>
      </c>
      <c r="J4698">
        <f>IF(F4698="","none",IF(G4698=1,"carte","multiple"))</f>
        <v/>
      </c>
    </row>
    <row r="4699">
      <c r="A4699" t="inlineStr">
        <is>
          <t>2022-08-30</t>
        </is>
      </c>
      <c r="B4699" t="inlineStr">
        <is>
          <t>12:33</t>
        </is>
      </c>
      <c r="C4699" t="n">
        <v>3044</v>
      </c>
      <c r="D4699" s="6" t="n">
        <v>3.9</v>
      </c>
      <c r="E4699" t="n">
        <v>41707</v>
      </c>
      <c r="F4699" s="6" t="n">
        <v>3.9</v>
      </c>
      <c r="G4699" t="n">
        <v>1</v>
      </c>
      <c r="H4699" s="6">
        <f>ROUND(G4699*F4699,2)</f>
        <v/>
      </c>
      <c r="I4699">
        <f>IF(ROUND(H4699-D4699,2)=0,1,0)</f>
        <v/>
      </c>
      <c r="J4699">
        <f>IF(F4699="","none",IF(G4699=1,"carte","multiple"))</f>
        <v/>
      </c>
    </row>
    <row r="4700">
      <c r="A4700" t="inlineStr">
        <is>
          <t>2022-08-30</t>
        </is>
      </c>
      <c r="B4700" t="inlineStr">
        <is>
          <t>12:33</t>
        </is>
      </c>
      <c r="C4700" t="n">
        <v>3044</v>
      </c>
      <c r="D4700" s="6" t="n">
        <v>2.2</v>
      </c>
      <c r="E4700" t="n">
        <v>41708</v>
      </c>
      <c r="F4700" s="6" t="n">
        <v>2.2</v>
      </c>
      <c r="G4700" t="n">
        <v>1</v>
      </c>
      <c r="H4700" s="6">
        <f>ROUND(G4700*F4700,2)</f>
        <v/>
      </c>
      <c r="I4700">
        <f>IF(ROUND(H4700-D4700,2)=0,1,0)</f>
        <v/>
      </c>
      <c r="J4700">
        <f>IF(F4700="","none",IF(G4700=1,"carte","multiple"))</f>
        <v/>
      </c>
    </row>
    <row r="4701">
      <c r="A4701" t="inlineStr">
        <is>
          <t>2022-08-30</t>
        </is>
      </c>
      <c r="B4701" t="inlineStr">
        <is>
          <t>17:52</t>
        </is>
      </c>
      <c r="C4701" t="n">
        <v>3044</v>
      </c>
      <c r="D4701" s="6" t="n">
        <v>3.8</v>
      </c>
      <c r="E4701" t="n">
        <v>41709</v>
      </c>
      <c r="F4701" s="6" t="n">
        <v>3.8</v>
      </c>
      <c r="G4701" t="n">
        <v>1</v>
      </c>
      <c r="H4701" s="6">
        <f>ROUND(G4701*F4701,2)</f>
        <v/>
      </c>
      <c r="I4701">
        <f>IF(ROUND(H4701-D4701,2)=0,1,0)</f>
        <v/>
      </c>
      <c r="J4701">
        <f>IF(F4701="","none",IF(G4701=1,"carte","multiple"))</f>
        <v/>
      </c>
    </row>
    <row r="4702">
      <c r="A4702" t="inlineStr">
        <is>
          <t>2022-08-30</t>
        </is>
      </c>
      <c r="B4702" t="inlineStr">
        <is>
          <t>18:09</t>
        </is>
      </c>
      <c r="C4702" t="n">
        <v>3044</v>
      </c>
      <c r="D4702" s="6" t="n">
        <v>3.4</v>
      </c>
      <c r="E4702" t="n">
        <v>41710</v>
      </c>
      <c r="F4702" s="6" t="n">
        <v>3.4</v>
      </c>
      <c r="G4702" t="n">
        <v>1</v>
      </c>
      <c r="H4702" s="6">
        <f>ROUND(G4702*F4702,2)</f>
        <v/>
      </c>
      <c r="I4702">
        <f>IF(ROUND(H4702-D4702,2)=0,1,0)</f>
        <v/>
      </c>
      <c r="J4702">
        <f>IF(F4702="","none",IF(G4702=1,"carte","multiple"))</f>
        <v/>
      </c>
    </row>
    <row r="4703">
      <c r="A4703" t="inlineStr">
        <is>
          <t>2022-08-30</t>
        </is>
      </c>
      <c r="B4703" t="inlineStr">
        <is>
          <t>18:15</t>
        </is>
      </c>
      <c r="C4703" t="n">
        <v>3044</v>
      </c>
      <c r="D4703" s="6" t="n">
        <v>2.9</v>
      </c>
      <c r="E4703" t="n">
        <v>41711</v>
      </c>
      <c r="F4703" s="6" t="n">
        <v>2.9</v>
      </c>
      <c r="G4703" t="n">
        <v>1</v>
      </c>
      <c r="H4703" s="6">
        <f>ROUND(G4703*F4703,2)</f>
        <v/>
      </c>
      <c r="I4703">
        <f>IF(ROUND(H4703-D4703,2)=0,1,0)</f>
        <v/>
      </c>
      <c r="J4703">
        <f>IF(F4703="","none",IF(G4703=1,"carte","multiple"))</f>
        <v/>
      </c>
    </row>
    <row r="4704">
      <c r="A4704" t="inlineStr">
        <is>
          <t>2022-08-30</t>
        </is>
      </c>
      <c r="B4704" t="inlineStr">
        <is>
          <t>18:15</t>
        </is>
      </c>
      <c r="C4704" t="n">
        <v>3044</v>
      </c>
      <c r="D4704" s="6" t="n">
        <v>7.9</v>
      </c>
      <c r="E4704" t="n">
        <v>41712</v>
      </c>
      <c r="F4704" s="6" t="n">
        <v>7.9</v>
      </c>
      <c r="G4704" t="n">
        <v>1</v>
      </c>
      <c r="H4704" s="6">
        <f>ROUND(G4704*F4704,2)</f>
        <v/>
      </c>
      <c r="I4704">
        <f>IF(ROUND(H4704-D4704,2)=0,1,0)</f>
        <v/>
      </c>
      <c r="J4704">
        <f>IF(F4704="","none",IF(G4704=1,"carte","multiple"))</f>
        <v/>
      </c>
    </row>
    <row r="4705">
      <c r="A4705" t="inlineStr">
        <is>
          <t>2022-08-30</t>
        </is>
      </c>
      <c r="B4705" t="inlineStr">
        <is>
          <t>18:16</t>
        </is>
      </c>
      <c r="C4705" t="n">
        <v>3044</v>
      </c>
      <c r="D4705" s="6" t="n">
        <v>3.2</v>
      </c>
      <c r="E4705" t="n">
        <v>41713</v>
      </c>
      <c r="F4705" s="6" t="n">
        <v>3.2</v>
      </c>
      <c r="G4705" t="n">
        <v>1</v>
      </c>
      <c r="H4705" s="6">
        <f>ROUND(G4705*F4705,2)</f>
        <v/>
      </c>
      <c r="I4705">
        <f>IF(ROUND(H4705-D4705,2)=0,1,0)</f>
        <v/>
      </c>
      <c r="J4705">
        <f>IF(F4705="","none",IF(G4705=1,"carte","multiple"))</f>
        <v/>
      </c>
    </row>
    <row r="4706">
      <c r="A4706" t="inlineStr">
        <is>
          <t>2022-08-30</t>
        </is>
      </c>
      <c r="B4706" t="inlineStr">
        <is>
          <t>18:16</t>
        </is>
      </c>
      <c r="C4706" t="n">
        <v>3044</v>
      </c>
      <c r="D4706" s="6" t="n">
        <v>2.9</v>
      </c>
      <c r="E4706" t="n">
        <v>41714</v>
      </c>
      <c r="F4706" s="6" t="n">
        <v>2.9</v>
      </c>
      <c r="G4706" t="n">
        <v>1</v>
      </c>
      <c r="H4706" s="6">
        <f>ROUND(G4706*F4706,2)</f>
        <v/>
      </c>
      <c r="I4706">
        <f>IF(ROUND(H4706-D4706,2)=0,1,0)</f>
        <v/>
      </c>
      <c r="J4706">
        <f>IF(F4706="","none",IF(G4706=1,"carte","multiple"))</f>
        <v/>
      </c>
    </row>
    <row r="4707">
      <c r="A4707" t="inlineStr">
        <is>
          <t>2022-08-30</t>
        </is>
      </c>
      <c r="B4707" t="inlineStr">
        <is>
          <t>18:53</t>
        </is>
      </c>
      <c r="C4707" t="n">
        <v>3044</v>
      </c>
      <c r="D4707" s="6" t="n">
        <v>17.6</v>
      </c>
      <c r="E4707" t="n">
        <v>41715</v>
      </c>
      <c r="F4707" s="6" t="n">
        <v>17.6</v>
      </c>
      <c r="G4707" t="n">
        <v>1</v>
      </c>
      <c r="H4707" s="6">
        <f>ROUND(G4707*F4707,2)</f>
        <v/>
      </c>
      <c r="I4707">
        <f>IF(ROUND(H4707-D4707,2)=0,1,0)</f>
        <v/>
      </c>
      <c r="J4707">
        <f>IF(F4707="","none",IF(G4707=1,"carte","multiple"))</f>
        <v/>
      </c>
    </row>
    <row r="4708">
      <c r="A4708" t="inlineStr">
        <is>
          <t>2022-08-30</t>
        </is>
      </c>
      <c r="B4708" t="inlineStr">
        <is>
          <t>18:53</t>
        </is>
      </c>
      <c r="C4708" t="n">
        <v>3044</v>
      </c>
      <c r="D4708" s="6" t="n">
        <v>28.6</v>
      </c>
      <c r="E4708" t="n">
        <v>41716</v>
      </c>
      <c r="F4708" s="6" t="n">
        <v>28.6</v>
      </c>
      <c r="G4708" t="n">
        <v>1</v>
      </c>
      <c r="H4708" s="6">
        <f>ROUND(G4708*F4708,2)</f>
        <v/>
      </c>
      <c r="I4708">
        <f>IF(ROUND(H4708-D4708,2)=0,1,0)</f>
        <v/>
      </c>
      <c r="J4708">
        <f>IF(F4708="","none",IF(G4708=1,"carte","multiple"))</f>
        <v/>
      </c>
    </row>
    <row r="4709">
      <c r="A4709" t="inlineStr">
        <is>
          <t>2022-08-30</t>
        </is>
      </c>
      <c r="B4709" t="inlineStr">
        <is>
          <t>18:53</t>
        </is>
      </c>
      <c r="C4709" t="n">
        <v>3044</v>
      </c>
      <c r="D4709" s="6" t="n">
        <v>17.6</v>
      </c>
      <c r="E4709" t="n">
        <v>41717</v>
      </c>
      <c r="F4709" s="6" t="n">
        <v>17.6</v>
      </c>
      <c r="G4709" t="n">
        <v>1</v>
      </c>
      <c r="H4709" s="6">
        <f>ROUND(G4709*F4709,2)</f>
        <v/>
      </c>
      <c r="I4709">
        <f>IF(ROUND(H4709-D4709,2)=0,1,0)</f>
        <v/>
      </c>
      <c r="J4709">
        <f>IF(F4709="","none",IF(G4709=1,"carte","multiple"))</f>
        <v/>
      </c>
    </row>
    <row r="4710">
      <c r="A4710" t="inlineStr">
        <is>
          <t>2022-08-30</t>
        </is>
      </c>
      <c r="B4710" t="inlineStr">
        <is>
          <t>18:53</t>
        </is>
      </c>
      <c r="C4710" t="n">
        <v>3044</v>
      </c>
      <c r="D4710" s="6" t="n">
        <v>3.9</v>
      </c>
      <c r="E4710" t="n">
        <v>41718</v>
      </c>
      <c r="F4710" s="6" t="n">
        <v>3.9</v>
      </c>
      <c r="G4710" t="n">
        <v>1</v>
      </c>
      <c r="H4710" s="6">
        <f>ROUND(G4710*F4710,2)</f>
        <v/>
      </c>
      <c r="I4710">
        <f>IF(ROUND(H4710-D4710,2)=0,1,0)</f>
        <v/>
      </c>
      <c r="J4710">
        <f>IF(F4710="","none",IF(G4710=1,"carte","multiple"))</f>
        <v/>
      </c>
    </row>
    <row r="4711">
      <c r="A4711" t="inlineStr">
        <is>
          <t>2022-08-30</t>
        </is>
      </c>
      <c r="B4711" t="inlineStr">
        <is>
          <t>18:53</t>
        </is>
      </c>
      <c r="C4711" t="n">
        <v>3044</v>
      </c>
      <c r="D4711" s="6" t="n">
        <v>6.5</v>
      </c>
      <c r="E4711" t="n">
        <v>41719</v>
      </c>
      <c r="F4711" s="6" t="n">
        <v>6.5</v>
      </c>
      <c r="G4711" t="n">
        <v>1</v>
      </c>
      <c r="H4711" s="6">
        <f>ROUND(G4711*F4711,2)</f>
        <v/>
      </c>
      <c r="I4711">
        <f>IF(ROUND(H4711-D4711,2)=0,1,0)</f>
        <v/>
      </c>
      <c r="J4711">
        <f>IF(F4711="","none",IF(G4711=1,"carte","multiple"))</f>
        <v/>
      </c>
    </row>
    <row r="4712">
      <c r="A4712" t="inlineStr">
        <is>
          <t>2022-08-30</t>
        </is>
      </c>
      <c r="B4712" t="inlineStr">
        <is>
          <t>18:53</t>
        </is>
      </c>
      <c r="C4712" t="n">
        <v>3044</v>
      </c>
      <c r="D4712" s="6" t="n">
        <v>6</v>
      </c>
      <c r="E4712" t="n">
        <v>41720</v>
      </c>
      <c r="F4712" s="6" t="n">
        <v>6</v>
      </c>
      <c r="G4712" t="n">
        <v>1</v>
      </c>
      <c r="H4712" s="6">
        <f>ROUND(G4712*F4712,2)</f>
        <v/>
      </c>
      <c r="I4712">
        <f>IF(ROUND(H4712-D4712,2)=0,1,0)</f>
        <v/>
      </c>
      <c r="J4712">
        <f>IF(F4712="","none",IF(G4712=1,"carte","multiple"))</f>
        <v/>
      </c>
    </row>
    <row r="4713">
      <c r="A4713" t="inlineStr">
        <is>
          <t>2022-08-30</t>
        </is>
      </c>
      <c r="B4713" t="inlineStr">
        <is>
          <t>18:53</t>
        </is>
      </c>
      <c r="C4713" t="n">
        <v>3044</v>
      </c>
      <c r="D4713" s="6" t="n">
        <v>2.5</v>
      </c>
      <c r="E4713" t="n">
        <v>41721</v>
      </c>
      <c r="F4713" s="6" t="n">
        <v>2.5</v>
      </c>
      <c r="G4713" t="n">
        <v>1</v>
      </c>
      <c r="H4713" s="6">
        <f>ROUND(G4713*F4713,2)</f>
        <v/>
      </c>
      <c r="I4713">
        <f>IF(ROUND(H4713-D4713,2)=0,1,0)</f>
        <v/>
      </c>
      <c r="J4713">
        <f>IF(F4713="","none",IF(G4713=1,"carte","multiple"))</f>
        <v/>
      </c>
    </row>
    <row r="4714">
      <c r="A4714" t="inlineStr">
        <is>
          <t>2022-08-31</t>
        </is>
      </c>
      <c r="B4714" t="inlineStr">
        <is>
          <t>11:15</t>
        </is>
      </c>
      <c r="C4714" t="n">
        <v>3045</v>
      </c>
      <c r="D4714" s="6" t="n">
        <v>27.8</v>
      </c>
      <c r="E4714" t="n">
        <v>41724</v>
      </c>
      <c r="F4714" s="6" t="n">
        <v>27.8</v>
      </c>
      <c r="G4714" t="n">
        <v>1</v>
      </c>
      <c r="H4714" s="6">
        <f>ROUND(G4714*F4714,2)</f>
        <v/>
      </c>
      <c r="I4714">
        <f>IF(ROUND(H4714-D4714,2)=0,1,0)</f>
        <v/>
      </c>
      <c r="J4714">
        <f>IF(F4714="","none",IF(G4714=1,"carte","multiple"))</f>
        <v/>
      </c>
    </row>
    <row r="4715">
      <c r="A4715" t="inlineStr">
        <is>
          <t>2022-08-31</t>
        </is>
      </c>
      <c r="B4715" t="inlineStr">
        <is>
          <t>11:18</t>
        </is>
      </c>
      <c r="C4715" t="n">
        <v>3045</v>
      </c>
      <c r="D4715" s="6" t="n">
        <v>17.6</v>
      </c>
      <c r="E4715" t="n">
        <v>41725</v>
      </c>
      <c r="F4715" s="6" t="n">
        <v>17.6</v>
      </c>
      <c r="G4715" t="n">
        <v>1</v>
      </c>
      <c r="H4715" s="6">
        <f>ROUND(G4715*F4715,2)</f>
        <v/>
      </c>
      <c r="I4715">
        <f>IF(ROUND(H4715-D4715,2)=0,1,0)</f>
        <v/>
      </c>
      <c r="J4715">
        <f>IF(F4715="","none",IF(G4715=1,"carte","multiple"))</f>
        <v/>
      </c>
    </row>
    <row r="4716">
      <c r="A4716" t="inlineStr">
        <is>
          <t>2022-08-31</t>
        </is>
      </c>
      <c r="B4716" t="inlineStr">
        <is>
          <t>11:37</t>
        </is>
      </c>
      <c r="C4716" t="n">
        <v>3045</v>
      </c>
      <c r="D4716" s="6" t="n">
        <v>17.6</v>
      </c>
      <c r="E4716" t="n">
        <v>41726</v>
      </c>
      <c r="F4716" s="6" t="n">
        <v>17.6</v>
      </c>
      <c r="G4716" t="n">
        <v>1</v>
      </c>
      <c r="H4716" s="6">
        <f>ROUND(G4716*F4716,2)</f>
        <v/>
      </c>
      <c r="I4716">
        <f>IF(ROUND(H4716-D4716,2)=0,1,0)</f>
        <v/>
      </c>
      <c r="J4716">
        <f>IF(F4716="","none",IF(G4716=1,"carte","multiple"))</f>
        <v/>
      </c>
    </row>
    <row r="4717">
      <c r="A4717" t="inlineStr">
        <is>
          <t>2022-08-31</t>
        </is>
      </c>
      <c r="B4717" t="inlineStr">
        <is>
          <t>12:06</t>
        </is>
      </c>
      <c r="C4717" t="n">
        <v>3045</v>
      </c>
      <c r="D4717" s="6" t="n">
        <v>8.699999999999999</v>
      </c>
      <c r="E4717" t="n">
        <v>41727</v>
      </c>
      <c r="F4717" s="6" t="n">
        <v>8.699999999999999</v>
      </c>
      <c r="G4717" t="n">
        <v>1</v>
      </c>
      <c r="H4717" s="6">
        <f>ROUND(G4717*F4717,2)</f>
        <v/>
      </c>
      <c r="I4717">
        <f>IF(ROUND(H4717-D4717,2)=0,1,0)</f>
        <v/>
      </c>
      <c r="J4717">
        <f>IF(F4717="","none",IF(G4717=1,"carte","multiple"))</f>
        <v/>
      </c>
    </row>
    <row r="4718">
      <c r="A4718" t="inlineStr">
        <is>
          <t>2022-08-31</t>
        </is>
      </c>
      <c r="B4718" t="inlineStr">
        <is>
          <t>12:06</t>
        </is>
      </c>
      <c r="C4718" t="n">
        <v>3045</v>
      </c>
      <c r="D4718" s="6" t="n">
        <v>35.2</v>
      </c>
      <c r="E4718" t="n">
        <v>41728</v>
      </c>
      <c r="F4718" s="6" t="n">
        <v>0.4</v>
      </c>
      <c r="G4718" t="n">
        <v>88</v>
      </c>
      <c r="H4718" s="6">
        <f>ROUND(G4718*F4718,2)</f>
        <v/>
      </c>
      <c r="I4718">
        <f>IF(ROUND(H4718-D4718,2)=0,1,0)</f>
        <v/>
      </c>
      <c r="J4718">
        <f>IF(F4718="","none",IF(G4718=1,"carte","multiple"))</f>
        <v/>
      </c>
    </row>
    <row r="4719">
      <c r="A4719" t="inlineStr">
        <is>
          <t>2022-08-31</t>
        </is>
      </c>
      <c r="B4719" t="inlineStr">
        <is>
          <t>12:06</t>
        </is>
      </c>
      <c r="C4719" t="n">
        <v>3045</v>
      </c>
      <c r="D4719" s="6" t="n">
        <v>5.2</v>
      </c>
      <c r="E4719" t="n">
        <v>41729</v>
      </c>
      <c r="F4719" s="6" t="n">
        <v>5.2</v>
      </c>
      <c r="G4719" t="n">
        <v>1</v>
      </c>
      <c r="H4719" s="6">
        <f>ROUND(G4719*F4719,2)</f>
        <v/>
      </c>
      <c r="I4719">
        <f>IF(ROUND(H4719-D4719,2)=0,1,0)</f>
        <v/>
      </c>
      <c r="J4719">
        <f>IF(F4719="","none",IF(G4719=1,"carte","multiple"))</f>
        <v/>
      </c>
    </row>
    <row r="4720">
      <c r="A4720" t="inlineStr">
        <is>
          <t>2022-08-31</t>
        </is>
      </c>
      <c r="B4720" t="inlineStr">
        <is>
          <t>12:09</t>
        </is>
      </c>
      <c r="C4720" t="n">
        <v>3045</v>
      </c>
      <c r="D4720" s="6" t="n">
        <v>4</v>
      </c>
      <c r="E4720" t="n">
        <v>41730</v>
      </c>
      <c r="F4720" s="6" t="n">
        <v>4</v>
      </c>
      <c r="G4720" t="n">
        <v>1</v>
      </c>
      <c r="H4720" s="6">
        <f>ROUND(G4720*F4720,2)</f>
        <v/>
      </c>
      <c r="I4720">
        <f>IF(ROUND(H4720-D4720,2)=0,1,0)</f>
        <v/>
      </c>
      <c r="J4720">
        <f>IF(F4720="","none",IF(G4720=1,"carte","multiple"))</f>
        <v/>
      </c>
    </row>
    <row r="4721">
      <c r="A4721" t="inlineStr">
        <is>
          <t>2022-08-31</t>
        </is>
      </c>
      <c r="B4721" t="inlineStr">
        <is>
          <t>12:44</t>
        </is>
      </c>
      <c r="C4721" t="n">
        <v>3045</v>
      </c>
      <c r="D4721" s="6" t="n">
        <v>7.9</v>
      </c>
      <c r="E4721" t="n">
        <v>41731</v>
      </c>
      <c r="F4721" s="6" t="n">
        <v>7.9</v>
      </c>
      <c r="G4721" t="n">
        <v>1</v>
      </c>
      <c r="H4721" s="6">
        <f>ROUND(G4721*F4721,2)</f>
        <v/>
      </c>
      <c r="I4721">
        <f>IF(ROUND(H4721-D4721,2)=0,1,0)</f>
        <v/>
      </c>
      <c r="J4721">
        <f>IF(F4721="","none",IF(G4721=1,"carte","multiple"))</f>
        <v/>
      </c>
    </row>
    <row r="4722">
      <c r="A4722" t="inlineStr">
        <is>
          <t>2022-08-31</t>
        </is>
      </c>
      <c r="B4722" t="inlineStr">
        <is>
          <t>17:41</t>
        </is>
      </c>
      <c r="C4722" t="n">
        <v>3045</v>
      </c>
      <c r="D4722" s="6" t="n">
        <v>17.6</v>
      </c>
      <c r="E4722" t="n">
        <v>41732</v>
      </c>
      <c r="F4722" s="6" t="n">
        <v>17.6</v>
      </c>
      <c r="G4722" t="n">
        <v>1</v>
      </c>
      <c r="H4722" s="6">
        <f>ROUND(G4722*F4722,2)</f>
        <v/>
      </c>
      <c r="I4722">
        <f>IF(ROUND(H4722-D4722,2)=0,1,0)</f>
        <v/>
      </c>
      <c r="J4722">
        <f>IF(F4722="","none",IF(G4722=1,"carte","multiple"))</f>
        <v/>
      </c>
    </row>
    <row r="4723">
      <c r="A4723" t="inlineStr">
        <is>
          <t>2022-08-31</t>
        </is>
      </c>
      <c r="B4723" t="inlineStr">
        <is>
          <t>17:57</t>
        </is>
      </c>
      <c r="C4723" t="n">
        <v>3045</v>
      </c>
      <c r="D4723" s="6" t="n">
        <v>11</v>
      </c>
      <c r="E4723" t="n">
        <v>41733</v>
      </c>
      <c r="F4723" s="6" t="n">
        <v>11</v>
      </c>
      <c r="G4723" t="n">
        <v>1</v>
      </c>
      <c r="H4723" s="6">
        <f>ROUND(G4723*F4723,2)</f>
        <v/>
      </c>
      <c r="I4723">
        <f>IF(ROUND(H4723-D4723,2)=0,1,0)</f>
        <v/>
      </c>
      <c r="J4723">
        <f>IF(F4723="","none",IF(G4723=1,"carte","multiple"))</f>
        <v/>
      </c>
    </row>
    <row r="4724">
      <c r="A4724" t="inlineStr">
        <is>
          <t>2022-08-31</t>
        </is>
      </c>
      <c r="B4724" t="inlineStr">
        <is>
          <t>18:07</t>
        </is>
      </c>
      <c r="C4724" t="n">
        <v>3045</v>
      </c>
      <c r="D4724" s="6" t="n">
        <v>29.9</v>
      </c>
      <c r="E4724" t="n">
        <v>41734</v>
      </c>
      <c r="F4724" s="6" t="n">
        <v>29.9</v>
      </c>
      <c r="G4724" t="n">
        <v>1</v>
      </c>
      <c r="H4724" s="6">
        <f>ROUND(G4724*F4724,2)</f>
        <v/>
      </c>
      <c r="I4724">
        <f>IF(ROUND(H4724-D4724,2)=0,1,0)</f>
        <v/>
      </c>
      <c r="J4724">
        <f>IF(F4724="","none",IF(G4724=1,"carte","multiple"))</f>
        <v/>
      </c>
    </row>
    <row r="4725">
      <c r="A4725" t="inlineStr">
        <is>
          <t>2022-08-31</t>
        </is>
      </c>
      <c r="B4725" t="inlineStr">
        <is>
          <t>18:47</t>
        </is>
      </c>
      <c r="C4725" t="n">
        <v>3045</v>
      </c>
      <c r="D4725" s="6" t="n">
        <v>17.6</v>
      </c>
      <c r="E4725" t="n">
        <v>41735</v>
      </c>
      <c r="F4725" s="6" t="n">
        <v>17.6</v>
      </c>
      <c r="G4725" t="n">
        <v>1</v>
      </c>
      <c r="H4725" s="6">
        <f>ROUND(G4725*F4725,2)</f>
        <v/>
      </c>
      <c r="I4725">
        <f>IF(ROUND(H4725-D4725,2)=0,1,0)</f>
        <v/>
      </c>
      <c r="J4725">
        <f>IF(F4725="","none",IF(G4725=1,"carte","multiple"))</f>
        <v/>
      </c>
    </row>
    <row r="4726">
      <c r="A4726" t="inlineStr">
        <is>
          <t>2022-08-31</t>
        </is>
      </c>
      <c r="B4726" t="inlineStr">
        <is>
          <t>18:47</t>
        </is>
      </c>
      <c r="C4726" t="n">
        <v>3045</v>
      </c>
      <c r="D4726" s="6" t="n">
        <v>16.9</v>
      </c>
      <c r="E4726" t="n">
        <v>41736</v>
      </c>
      <c r="F4726" s="6" t="n">
        <v>16.9</v>
      </c>
      <c r="G4726" t="n">
        <v>1</v>
      </c>
      <c r="H4726" s="6">
        <f>ROUND(G4726*F4726,2)</f>
        <v/>
      </c>
      <c r="I4726">
        <f>IF(ROUND(H4726-D4726,2)=0,1,0)</f>
        <v/>
      </c>
      <c r="J4726">
        <f>IF(F4726="","none",IF(G4726=1,"carte","multiple"))</f>
        <v/>
      </c>
    </row>
    <row r="4727">
      <c r="A4727" t="inlineStr">
        <is>
          <t>2022-08-31</t>
        </is>
      </c>
      <c r="B4727" t="inlineStr">
        <is>
          <t>18:47</t>
        </is>
      </c>
      <c r="C4727" t="n">
        <v>3045</v>
      </c>
      <c r="D4727" s="6" t="n">
        <v>14</v>
      </c>
      <c r="E4727" t="n">
        <v>41737</v>
      </c>
      <c r="F4727" s="6" t="n">
        <v>14</v>
      </c>
      <c r="G4727" t="n">
        <v>1</v>
      </c>
      <c r="H4727" s="6">
        <f>ROUND(G4727*F4727,2)</f>
        <v/>
      </c>
      <c r="I4727">
        <f>IF(ROUND(H4727-D4727,2)=0,1,0)</f>
        <v/>
      </c>
      <c r="J4727">
        <f>IF(F4727="","none",IF(G4727=1,"carte","multiple"))</f>
        <v/>
      </c>
    </row>
    <row r="4728">
      <c r="A4728" t="inlineStr">
        <is>
          <t>2022-08-31</t>
        </is>
      </c>
      <c r="B4728" t="inlineStr">
        <is>
          <t>18:47</t>
        </is>
      </c>
      <c r="C4728" t="n">
        <v>3045</v>
      </c>
      <c r="D4728" s="6" t="n">
        <v>5.2</v>
      </c>
      <c r="E4728" t="n">
        <v>41738</v>
      </c>
      <c r="F4728" s="6" t="n">
        <v>5.2</v>
      </c>
      <c r="G4728" t="n">
        <v>1</v>
      </c>
      <c r="H4728" s="6">
        <f>ROUND(G4728*F4728,2)</f>
        <v/>
      </c>
      <c r="I4728">
        <f>IF(ROUND(H4728-D4728,2)=0,1,0)</f>
        <v/>
      </c>
      <c r="J4728">
        <f>IF(F4728="","none",IF(G4728=1,"carte","multiple"))</f>
        <v/>
      </c>
    </row>
    <row r="4729">
      <c r="A4729" t="inlineStr">
        <is>
          <t>2022-08-31</t>
        </is>
      </c>
      <c r="B4729" t="inlineStr">
        <is>
          <t>18:47</t>
        </is>
      </c>
      <c r="C4729" t="n">
        <v>3045</v>
      </c>
      <c r="D4729" s="6" t="n">
        <v>5.2</v>
      </c>
      <c r="E4729" t="n">
        <v>41739</v>
      </c>
      <c r="F4729" s="6" t="n">
        <v>5.2</v>
      </c>
      <c r="G4729" t="n">
        <v>1</v>
      </c>
      <c r="H4729" s="6">
        <f>ROUND(G4729*F4729,2)</f>
        <v/>
      </c>
      <c r="I4729">
        <f>IF(ROUND(H4729-D4729,2)=0,1,0)</f>
        <v/>
      </c>
      <c r="J4729">
        <f>IF(F4729="","none",IF(G4729=1,"carte","multiple"))</f>
        <v/>
      </c>
    </row>
    <row r="4730">
      <c r="A4730" t="inlineStr">
        <is>
          <t>2022-08-31</t>
        </is>
      </c>
      <c r="B4730" t="inlineStr">
        <is>
          <t>18:52</t>
        </is>
      </c>
      <c r="C4730" t="n">
        <v>3045</v>
      </c>
      <c r="D4730" s="6" t="n">
        <v>1.8</v>
      </c>
      <c r="E4730" t="n">
        <v>41740</v>
      </c>
      <c r="F4730" s="6" t="n">
        <v>1.8</v>
      </c>
      <c r="G4730" t="n">
        <v>1</v>
      </c>
      <c r="H4730" s="6">
        <f>ROUND(G4730*F4730,2)</f>
        <v/>
      </c>
      <c r="I4730">
        <f>IF(ROUND(H4730-D4730,2)=0,1,0)</f>
        <v/>
      </c>
      <c r="J4730">
        <f>IF(F4730="","none",IF(G4730=1,"carte","multiple"))</f>
        <v/>
      </c>
    </row>
    <row r="4731">
      <c r="A4731" t="inlineStr">
        <is>
          <t>2022-08-31</t>
        </is>
      </c>
      <c r="B4731" t="inlineStr">
        <is>
          <t>19:09</t>
        </is>
      </c>
      <c r="C4731" t="n">
        <v>3045</v>
      </c>
      <c r="D4731" s="6" t="n">
        <v>7.5</v>
      </c>
      <c r="E4731" t="n">
        <v>41741</v>
      </c>
      <c r="F4731" s="6" t="n">
        <v>7.5</v>
      </c>
      <c r="G4731" t="n">
        <v>1</v>
      </c>
      <c r="H4731" s="6">
        <f>ROUND(G4731*F4731,2)</f>
        <v/>
      </c>
      <c r="I4731">
        <f>IF(ROUND(H4731-D4731,2)=0,1,0)</f>
        <v/>
      </c>
      <c r="J4731">
        <f>IF(F4731="","none",IF(G4731=1,"carte","multiple"))</f>
        <v/>
      </c>
    </row>
    <row r="4732">
      <c r="A4732" t="inlineStr">
        <is>
          <t>2022-08-31</t>
        </is>
      </c>
      <c r="B4732" t="inlineStr">
        <is>
          <t>19:09</t>
        </is>
      </c>
      <c r="C4732" t="n">
        <v>3045</v>
      </c>
      <c r="D4732" s="6" t="n">
        <v>17.6</v>
      </c>
      <c r="E4732" t="n">
        <v>41742</v>
      </c>
      <c r="F4732" s="6" t="n">
        <v>17.6</v>
      </c>
      <c r="G4732" t="n">
        <v>1</v>
      </c>
      <c r="H4732" s="6">
        <f>ROUND(G4732*F4732,2)</f>
        <v/>
      </c>
      <c r="I4732">
        <f>IF(ROUND(H4732-D4732,2)=0,1,0)</f>
        <v/>
      </c>
      <c r="J4732">
        <f>IF(F4732="","none",IF(G4732=1,"carte","multiple"))</f>
        <v/>
      </c>
    </row>
    <row r="4733">
      <c r="A4733" t="inlineStr">
        <is>
          <t>2022-08-31</t>
        </is>
      </c>
      <c r="B4733" t="inlineStr">
        <is>
          <t>19:09</t>
        </is>
      </c>
      <c r="C4733" t="n">
        <v>3045</v>
      </c>
      <c r="D4733" s="6" t="n">
        <v>3.9</v>
      </c>
      <c r="E4733" t="n">
        <v>41743</v>
      </c>
      <c r="F4733" s="6" t="n">
        <v>3.9</v>
      </c>
      <c r="G4733" t="n">
        <v>1</v>
      </c>
      <c r="H4733" s="6">
        <f>ROUND(G4733*F4733,2)</f>
        <v/>
      </c>
      <c r="I4733">
        <f>IF(ROUND(H4733-D4733,2)=0,1,0)</f>
        <v/>
      </c>
      <c r="J4733">
        <f>IF(F4733="","none",IF(G4733=1,"carte","multiple"))</f>
        <v/>
      </c>
    </row>
    <row r="4734">
      <c r="A4734" t="inlineStr">
        <is>
          <t>2022-08-31</t>
        </is>
      </c>
      <c r="B4734" t="inlineStr">
        <is>
          <t>19:09</t>
        </is>
      </c>
      <c r="C4734" t="n">
        <v>3045</v>
      </c>
      <c r="D4734" s="6" t="n">
        <v>2.2</v>
      </c>
      <c r="E4734" t="n">
        <v>41744</v>
      </c>
      <c r="F4734" s="6" t="n">
        <v>2.2</v>
      </c>
      <c r="G4734" t="n">
        <v>1</v>
      </c>
      <c r="H4734" s="6">
        <f>ROUND(G4734*F4734,2)</f>
        <v/>
      </c>
      <c r="I4734">
        <f>IF(ROUND(H4734-D4734,2)=0,1,0)</f>
        <v/>
      </c>
      <c r="J4734">
        <f>IF(F4734="","none",IF(G4734=1,"carte","multiple"))</f>
        <v/>
      </c>
    </row>
    <row r="4735">
      <c r="A4735" t="inlineStr">
        <is>
          <t>2022-08-31</t>
        </is>
      </c>
      <c r="B4735" t="inlineStr">
        <is>
          <t>19:09</t>
        </is>
      </c>
      <c r="C4735" t="n">
        <v>3045</v>
      </c>
      <c r="D4735" s="6" t="n">
        <v>3.9</v>
      </c>
      <c r="E4735" t="n">
        <v>41745</v>
      </c>
      <c r="F4735" s="6" t="n">
        <v>3.9</v>
      </c>
      <c r="G4735" t="n">
        <v>1</v>
      </c>
      <c r="H4735" s="6">
        <f>ROUND(G4735*F4735,2)</f>
        <v/>
      </c>
      <c r="I4735">
        <f>IF(ROUND(H4735-D4735,2)=0,1,0)</f>
        <v/>
      </c>
      <c r="J4735">
        <f>IF(F4735="","none",IF(G4735=1,"carte","multiple"))</f>
        <v/>
      </c>
    </row>
    <row r="4736">
      <c r="A4736" t="inlineStr">
        <is>
          <t>2022-08-31</t>
        </is>
      </c>
      <c r="B4736" t="inlineStr">
        <is>
          <t>19:09</t>
        </is>
      </c>
      <c r="C4736" t="n">
        <v>3045</v>
      </c>
      <c r="D4736" s="6" t="n">
        <v>5.9</v>
      </c>
      <c r="E4736" t="n">
        <v>41746</v>
      </c>
      <c r="F4736" s="6" t="n">
        <v>5.9</v>
      </c>
      <c r="G4736" t="n">
        <v>1</v>
      </c>
      <c r="H4736" s="6">
        <f>ROUND(G4736*F4736,2)</f>
        <v/>
      </c>
      <c r="I4736">
        <f>IF(ROUND(H4736-D4736,2)=0,1,0)</f>
        <v/>
      </c>
      <c r="J4736">
        <f>IF(F4736="","none",IF(G4736=1,"carte","multiple"))</f>
        <v/>
      </c>
    </row>
    <row r="4737">
      <c r="A4737" t="inlineStr">
        <is>
          <t>2022-08-31</t>
        </is>
      </c>
      <c r="B4737" t="inlineStr">
        <is>
          <t>19:19</t>
        </is>
      </c>
      <c r="C4737" t="n">
        <v>3045</v>
      </c>
      <c r="D4737" s="6" t="n">
        <v>2.9</v>
      </c>
      <c r="E4737" t="n">
        <v>41747</v>
      </c>
      <c r="F4737" s="6" t="n">
        <v>2.9</v>
      </c>
      <c r="G4737" t="n">
        <v>1</v>
      </c>
      <c r="H4737" s="6">
        <f>ROUND(G4737*F4737,2)</f>
        <v/>
      </c>
      <c r="I4737">
        <f>IF(ROUND(H4737-D4737,2)=0,1,0)</f>
        <v/>
      </c>
      <c r="J4737">
        <f>IF(F4737="","none",IF(G4737=1,"carte","multiple"))</f>
        <v/>
      </c>
    </row>
    <row r="4738">
      <c r="A4738" t="inlineStr">
        <is>
          <t>2022-09-01</t>
        </is>
      </c>
      <c r="B4738" t="inlineStr">
        <is>
          <t>10:44</t>
        </is>
      </c>
      <c r="C4738" t="n">
        <v>3046</v>
      </c>
      <c r="D4738" s="6" t="n">
        <v>28.6</v>
      </c>
      <c r="E4738" t="n">
        <v>41750</v>
      </c>
      <c r="F4738" s="6" t="n">
        <v>28.6</v>
      </c>
      <c r="G4738" t="n">
        <v>1</v>
      </c>
      <c r="H4738" s="6">
        <f>ROUND(G4738*F4738,2)</f>
        <v/>
      </c>
      <c r="I4738">
        <f>IF(ROUND(H4738-D4738,2)=0,1,0)</f>
        <v/>
      </c>
      <c r="J4738">
        <f>IF(F4738="","none",IF(G4738=1,"carte","multiple"))</f>
        <v/>
      </c>
    </row>
    <row r="4739">
      <c r="A4739" t="inlineStr">
        <is>
          <t>2022-09-01</t>
        </is>
      </c>
      <c r="B4739" t="inlineStr">
        <is>
          <t>11:10</t>
        </is>
      </c>
      <c r="C4739" t="n">
        <v>3046</v>
      </c>
      <c r="D4739" s="6" t="n">
        <v>2.2</v>
      </c>
      <c r="E4739" t="n">
        <v>41751</v>
      </c>
      <c r="F4739" s="6" t="n">
        <v>2.2</v>
      </c>
      <c r="G4739" t="n">
        <v>1</v>
      </c>
      <c r="H4739" s="6">
        <f>ROUND(G4739*F4739,2)</f>
        <v/>
      </c>
      <c r="I4739">
        <f>IF(ROUND(H4739-D4739,2)=0,1,0)</f>
        <v/>
      </c>
      <c r="J4739">
        <f>IF(F4739="","none",IF(G4739=1,"carte","multiple"))</f>
        <v/>
      </c>
    </row>
    <row r="4740">
      <c r="A4740" t="inlineStr">
        <is>
          <t>2022-09-01</t>
        </is>
      </c>
      <c r="B4740" t="inlineStr">
        <is>
          <t>17:17</t>
        </is>
      </c>
      <c r="C4740" t="n">
        <v>3046</v>
      </c>
      <c r="D4740" s="6" t="n">
        <v>15.9</v>
      </c>
      <c r="E4740" t="n">
        <v>41753</v>
      </c>
      <c r="F4740" s="6" t="n">
        <v>15.9</v>
      </c>
      <c r="G4740" t="n">
        <v>1</v>
      </c>
      <c r="H4740" s="6">
        <f>ROUND(G4740*F4740,2)</f>
        <v/>
      </c>
      <c r="I4740">
        <f>IF(ROUND(H4740-D4740,2)=0,1,0)</f>
        <v/>
      </c>
      <c r="J4740">
        <f>IF(F4740="","none",IF(G4740=1,"carte","multiple"))</f>
        <v/>
      </c>
    </row>
    <row r="4741">
      <c r="A4741" t="inlineStr">
        <is>
          <t>2022-09-01</t>
        </is>
      </c>
      <c r="B4741" t="inlineStr">
        <is>
          <t>18:31</t>
        </is>
      </c>
      <c r="C4741" t="n">
        <v>3046</v>
      </c>
      <c r="D4741" s="6" t="n">
        <v>2.2</v>
      </c>
      <c r="E4741" t="n">
        <v>41755</v>
      </c>
      <c r="F4741" s="6" t="n">
        <v>2.2</v>
      </c>
      <c r="G4741" t="n">
        <v>1</v>
      </c>
      <c r="H4741" s="6">
        <f>ROUND(G4741*F4741,2)</f>
        <v/>
      </c>
      <c r="I4741">
        <f>IF(ROUND(H4741-D4741,2)=0,1,0)</f>
        <v/>
      </c>
      <c r="J4741">
        <f>IF(F4741="","none",IF(G4741=1,"carte","multiple"))</f>
        <v/>
      </c>
    </row>
    <row r="4742">
      <c r="A4742" t="inlineStr">
        <is>
          <t>2022-09-01</t>
        </is>
      </c>
      <c r="B4742" t="inlineStr">
        <is>
          <t>19:05</t>
        </is>
      </c>
      <c r="C4742" t="n">
        <v>3046</v>
      </c>
      <c r="D4742" s="6" t="n">
        <v>17.6</v>
      </c>
      <c r="E4742" t="n">
        <v>41756</v>
      </c>
      <c r="F4742" s="6" t="n">
        <v>17.6</v>
      </c>
      <c r="G4742" t="n">
        <v>1</v>
      </c>
      <c r="H4742" s="6">
        <f>ROUND(G4742*F4742,2)</f>
        <v/>
      </c>
      <c r="I4742">
        <f>IF(ROUND(H4742-D4742,2)=0,1,0)</f>
        <v/>
      </c>
      <c r="J4742">
        <f>IF(F4742="","none",IF(G4742=1,"carte","multiple"))</f>
        <v/>
      </c>
    </row>
    <row r="4743">
      <c r="A4743" t="inlineStr">
        <is>
          <t>2022-09-01</t>
        </is>
      </c>
      <c r="B4743" t="inlineStr">
        <is>
          <t>19:06</t>
        </is>
      </c>
      <c r="C4743" t="n">
        <v>3046</v>
      </c>
      <c r="D4743" s="6" t="n">
        <v>8.4</v>
      </c>
      <c r="E4743" t="n">
        <v>41757</v>
      </c>
      <c r="F4743" s="6" t="n">
        <v>8.4</v>
      </c>
      <c r="G4743" t="n">
        <v>1</v>
      </c>
      <c r="H4743" s="6">
        <f>ROUND(G4743*F4743,2)</f>
        <v/>
      </c>
      <c r="I4743">
        <f>IF(ROUND(H4743-D4743,2)=0,1,0)</f>
        <v/>
      </c>
      <c r="J4743">
        <f>IF(F4743="","none",IF(G4743=1,"carte","multiple"))</f>
        <v/>
      </c>
    </row>
    <row r="4744">
      <c r="A4744" t="inlineStr">
        <is>
          <t>2022-09-01</t>
        </is>
      </c>
      <c r="B4744" t="inlineStr">
        <is>
          <t>19:08</t>
        </is>
      </c>
      <c r="C4744" t="n">
        <v>3046</v>
      </c>
      <c r="D4744" s="6" t="n">
        <v>4</v>
      </c>
      <c r="E4744" t="n">
        <v>41758</v>
      </c>
      <c r="F4744" s="6" t="n">
        <v>4</v>
      </c>
      <c r="G4744" t="n">
        <v>1</v>
      </c>
      <c r="H4744" s="6">
        <f>ROUND(G4744*F4744,2)</f>
        <v/>
      </c>
      <c r="I4744">
        <f>IF(ROUND(H4744-D4744,2)=0,1,0)</f>
        <v/>
      </c>
      <c r="J4744">
        <f>IF(F4744="","none",IF(G4744=1,"carte","multiple"))</f>
        <v/>
      </c>
    </row>
    <row r="4745">
      <c r="A4745" t="inlineStr">
        <is>
          <t>2022-09-01</t>
        </is>
      </c>
      <c r="B4745" t="inlineStr">
        <is>
          <t>19:08</t>
        </is>
      </c>
      <c r="C4745" t="n">
        <v>3046</v>
      </c>
      <c r="D4745" s="6" t="n">
        <v>59.8</v>
      </c>
      <c r="E4745" t="n">
        <v>41759</v>
      </c>
      <c r="F4745" s="6" t="n">
        <v>4.6</v>
      </c>
      <c r="G4745" t="n">
        <v>13</v>
      </c>
      <c r="H4745" s="6">
        <f>ROUND(G4745*F4745,2)</f>
        <v/>
      </c>
      <c r="I4745">
        <f>IF(ROUND(H4745-D4745,2)=0,1,0)</f>
        <v/>
      </c>
      <c r="J4745">
        <f>IF(F4745="","none",IF(G4745=1,"carte","multiple"))</f>
        <v/>
      </c>
    </row>
    <row r="4746">
      <c r="A4746" t="inlineStr">
        <is>
          <t>2022-09-01</t>
        </is>
      </c>
      <c r="B4746" t="inlineStr">
        <is>
          <t>19:08</t>
        </is>
      </c>
      <c r="C4746" t="n">
        <v>3046</v>
      </c>
      <c r="D4746" s="6" t="n">
        <v>8.4</v>
      </c>
      <c r="E4746" t="n">
        <v>41760</v>
      </c>
      <c r="F4746" s="6" t="n">
        <v>8.4</v>
      </c>
      <c r="G4746" t="n">
        <v>1</v>
      </c>
      <c r="H4746" s="6">
        <f>ROUND(G4746*F4746,2)</f>
        <v/>
      </c>
      <c r="I4746">
        <f>IF(ROUND(H4746-D4746,2)=0,1,0)</f>
        <v/>
      </c>
      <c r="J4746">
        <f>IF(F4746="","none",IF(G4746=1,"carte","multiple"))</f>
        <v/>
      </c>
    </row>
    <row r="4747">
      <c r="A4747" t="inlineStr">
        <is>
          <t>2022-09-01</t>
        </is>
      </c>
      <c r="B4747" t="inlineStr">
        <is>
          <t>19:08</t>
        </is>
      </c>
      <c r="C4747" t="n">
        <v>3046</v>
      </c>
      <c r="D4747" s="6" t="n">
        <v>2.2</v>
      </c>
      <c r="E4747" t="n">
        <v>41761</v>
      </c>
      <c r="F4747" s="6" t="n">
        <v>2.2</v>
      </c>
      <c r="G4747" t="n">
        <v>1</v>
      </c>
      <c r="H4747" s="6">
        <f>ROUND(G4747*F4747,2)</f>
        <v/>
      </c>
      <c r="I4747">
        <f>IF(ROUND(H4747-D4747,2)=0,1,0)</f>
        <v/>
      </c>
      <c r="J4747">
        <f>IF(F4747="","none",IF(G4747=1,"carte","multiple"))</f>
        <v/>
      </c>
    </row>
    <row r="4748">
      <c r="A4748" t="inlineStr">
        <is>
          <t>2022-09-01</t>
        </is>
      </c>
      <c r="B4748" t="inlineStr">
        <is>
          <t>19:23</t>
        </is>
      </c>
      <c r="C4748" t="n">
        <v>3046</v>
      </c>
      <c r="D4748" s="6" t="n">
        <v>4.4</v>
      </c>
      <c r="E4748" t="n">
        <v>41762</v>
      </c>
      <c r="F4748" s="6" t="n">
        <v>0.4</v>
      </c>
      <c r="G4748" t="n">
        <v>11</v>
      </c>
      <c r="H4748" s="6">
        <f>ROUND(G4748*F4748,2)</f>
        <v/>
      </c>
      <c r="I4748">
        <f>IF(ROUND(H4748-D4748,2)=0,1,0)</f>
        <v/>
      </c>
      <c r="J4748">
        <f>IF(F4748="","none",IF(G4748=1,"carte","multiple"))</f>
        <v/>
      </c>
    </row>
    <row r="4749">
      <c r="A4749" t="inlineStr">
        <is>
          <t>2022-09-01</t>
        </is>
      </c>
      <c r="B4749" t="inlineStr">
        <is>
          <t>19:23</t>
        </is>
      </c>
      <c r="C4749" t="n">
        <v>3046</v>
      </c>
      <c r="D4749" s="6" t="n">
        <v>16.8</v>
      </c>
      <c r="E4749" t="n">
        <v>41763</v>
      </c>
      <c r="F4749" s="6" t="n">
        <v>16.8</v>
      </c>
      <c r="G4749" t="n">
        <v>1</v>
      </c>
      <c r="H4749" s="6">
        <f>ROUND(G4749*F4749,2)</f>
        <v/>
      </c>
      <c r="I4749">
        <f>IF(ROUND(H4749-D4749,2)=0,1,0)</f>
        <v/>
      </c>
      <c r="J4749">
        <f>IF(F4749="","none",IF(G4749=1,"carte","multiple"))</f>
        <v/>
      </c>
    </row>
    <row r="4750">
      <c r="A4750" t="inlineStr">
        <is>
          <t>2022-09-01</t>
        </is>
      </c>
      <c r="B4750" t="inlineStr">
        <is>
          <t>19:36</t>
        </is>
      </c>
      <c r="C4750" t="n">
        <v>3046</v>
      </c>
      <c r="D4750" s="6" t="n">
        <v>5.2</v>
      </c>
      <c r="E4750" t="n">
        <v>41765</v>
      </c>
      <c r="F4750" s="6" t="n">
        <v>5.2</v>
      </c>
      <c r="G4750" t="n">
        <v>1</v>
      </c>
      <c r="H4750" s="6">
        <f>ROUND(G4750*F4750,2)</f>
        <v/>
      </c>
      <c r="I4750">
        <f>IF(ROUND(H4750-D4750,2)=0,1,0)</f>
        <v/>
      </c>
      <c r="J4750">
        <f>IF(F4750="","none",IF(G4750=1,"carte","multiple"))</f>
        <v/>
      </c>
    </row>
    <row r="4751">
      <c r="A4751" t="inlineStr">
        <is>
          <t>2022-09-01</t>
        </is>
      </c>
      <c r="B4751" t="inlineStr">
        <is>
          <t>19:36</t>
        </is>
      </c>
      <c r="C4751" t="n">
        <v>3046</v>
      </c>
      <c r="D4751" s="6" t="n">
        <v>7.5</v>
      </c>
      <c r="E4751" t="n">
        <v>41766</v>
      </c>
      <c r="F4751" s="6" t="n">
        <v>7.5</v>
      </c>
      <c r="G4751" t="n">
        <v>1</v>
      </c>
      <c r="H4751" s="6">
        <f>ROUND(G4751*F4751,2)</f>
        <v/>
      </c>
      <c r="I4751">
        <f>IF(ROUND(H4751-D4751,2)=0,1,0)</f>
        <v/>
      </c>
      <c r="J4751">
        <f>IF(F4751="","none",IF(G4751=1,"carte","multiple"))</f>
        <v/>
      </c>
    </row>
    <row r="4752">
      <c r="A4752" t="inlineStr">
        <is>
          <t>2022-09-01</t>
        </is>
      </c>
      <c r="B4752" t="inlineStr">
        <is>
          <t>19:36</t>
        </is>
      </c>
      <c r="C4752" t="n">
        <v>3046</v>
      </c>
      <c r="D4752" s="6" t="n">
        <v>2.9</v>
      </c>
      <c r="E4752" t="n">
        <v>41767</v>
      </c>
      <c r="F4752" s="6" t="n">
        <v>2.9</v>
      </c>
      <c r="G4752" t="n">
        <v>1</v>
      </c>
      <c r="H4752" s="6">
        <f>ROUND(G4752*F4752,2)</f>
        <v/>
      </c>
      <c r="I4752">
        <f>IF(ROUND(H4752-D4752,2)=0,1,0)</f>
        <v/>
      </c>
      <c r="J4752">
        <f>IF(F4752="","none",IF(G4752=1,"carte","multiple"))</f>
        <v/>
      </c>
    </row>
    <row r="4753">
      <c r="A4753" t="inlineStr">
        <is>
          <t>2022-09-01</t>
        </is>
      </c>
      <c r="B4753" t="inlineStr">
        <is>
          <t>19:36</t>
        </is>
      </c>
      <c r="C4753" t="n">
        <v>3046</v>
      </c>
      <c r="D4753" s="6" t="n">
        <v>4.7</v>
      </c>
      <c r="E4753" t="n">
        <v>41768</v>
      </c>
      <c r="F4753" s="6" t="n">
        <v>4.7</v>
      </c>
      <c r="G4753" t="n">
        <v>1</v>
      </c>
      <c r="H4753" s="6">
        <f>ROUND(G4753*F4753,2)</f>
        <v/>
      </c>
      <c r="I4753">
        <f>IF(ROUND(H4753-D4753,2)=0,1,0)</f>
        <v/>
      </c>
      <c r="J4753">
        <f>IF(F4753="","none",IF(G4753=1,"carte","multiple"))</f>
        <v/>
      </c>
    </row>
    <row r="4754">
      <c r="A4754" t="inlineStr">
        <is>
          <t>2022-09-01</t>
        </is>
      </c>
      <c r="B4754" t="inlineStr">
        <is>
          <t>19:36</t>
        </is>
      </c>
      <c r="C4754" t="n">
        <v>3046</v>
      </c>
      <c r="D4754" s="6" t="n">
        <v>5.6</v>
      </c>
      <c r="E4754" t="n">
        <v>41769</v>
      </c>
      <c r="F4754" s="6" t="n">
        <v>5.6</v>
      </c>
      <c r="G4754" t="n">
        <v>1</v>
      </c>
      <c r="H4754" s="6">
        <f>ROUND(G4754*F4754,2)</f>
        <v/>
      </c>
      <c r="I4754">
        <f>IF(ROUND(H4754-D4754,2)=0,1,0)</f>
        <v/>
      </c>
      <c r="J4754">
        <f>IF(F4754="","none",IF(G4754=1,"carte","multiple"))</f>
        <v/>
      </c>
    </row>
    <row r="4755">
      <c r="A4755" t="inlineStr">
        <is>
          <t>2022-09-01</t>
        </is>
      </c>
      <c r="B4755" t="inlineStr">
        <is>
          <t>19:36</t>
        </is>
      </c>
      <c r="C4755" t="n">
        <v>3046</v>
      </c>
      <c r="D4755" s="6" t="n">
        <v>6.6</v>
      </c>
      <c r="E4755" t="n">
        <v>41770</v>
      </c>
      <c r="F4755" s="6" t="n">
        <v>6.6</v>
      </c>
      <c r="G4755" t="n">
        <v>1</v>
      </c>
      <c r="H4755" s="6">
        <f>ROUND(G4755*F4755,2)</f>
        <v/>
      </c>
      <c r="I4755">
        <f>IF(ROUND(H4755-D4755,2)=0,1,0)</f>
        <v/>
      </c>
      <c r="J4755">
        <f>IF(F4755="","none",IF(G4755=1,"carte","multiple"))</f>
        <v/>
      </c>
    </row>
    <row r="4756">
      <c r="A4756" t="inlineStr">
        <is>
          <t>2022-09-01</t>
        </is>
      </c>
      <c r="B4756" t="inlineStr">
        <is>
          <t>19:36</t>
        </is>
      </c>
      <c r="C4756" t="n">
        <v>3046</v>
      </c>
      <c r="D4756" s="6" t="n">
        <v>17.6</v>
      </c>
      <c r="E4756" t="n">
        <v>41771</v>
      </c>
      <c r="F4756" s="6" t="n">
        <v>17.6</v>
      </c>
      <c r="G4756" t="n">
        <v>1</v>
      </c>
      <c r="H4756" s="6">
        <f>ROUND(G4756*F4756,2)</f>
        <v/>
      </c>
      <c r="I4756">
        <f>IF(ROUND(H4756-D4756,2)=0,1,0)</f>
        <v/>
      </c>
      <c r="J4756">
        <f>IF(F4756="","none",IF(G4756=1,"carte","multiple"))</f>
        <v/>
      </c>
    </row>
    <row r="4757">
      <c r="A4757" t="inlineStr">
        <is>
          <t>2022-09-01</t>
        </is>
      </c>
      <c r="B4757" t="inlineStr">
        <is>
          <t>19:36</t>
        </is>
      </c>
      <c r="C4757" t="n">
        <v>3046</v>
      </c>
      <c r="D4757" s="6" t="n">
        <v>19</v>
      </c>
      <c r="E4757" t="n">
        <v>41772</v>
      </c>
      <c r="F4757" s="6" t="n">
        <v>19</v>
      </c>
      <c r="G4757" t="n">
        <v>1</v>
      </c>
      <c r="H4757" s="6">
        <f>ROUND(G4757*F4757,2)</f>
        <v/>
      </c>
      <c r="I4757">
        <f>IF(ROUND(H4757-D4757,2)=0,1,0)</f>
        <v/>
      </c>
      <c r="J4757">
        <f>IF(F4757="","none",IF(G4757=1,"carte","multiple"))</f>
        <v/>
      </c>
    </row>
    <row r="4758">
      <c r="A4758" t="inlineStr">
        <is>
          <t>2022-09-01</t>
        </is>
      </c>
      <c r="B4758" t="inlineStr">
        <is>
          <t>19:48</t>
        </is>
      </c>
      <c r="C4758" t="n">
        <v>3046</v>
      </c>
      <c r="D4758" s="6" t="n">
        <v>24.9</v>
      </c>
      <c r="E4758" t="n">
        <v>41773</v>
      </c>
      <c r="F4758" s="6" t="n">
        <v>24.9</v>
      </c>
      <c r="G4758" t="n">
        <v>1</v>
      </c>
      <c r="H4758" s="6">
        <f>ROUND(G4758*F4758,2)</f>
        <v/>
      </c>
      <c r="I4758">
        <f>IF(ROUND(H4758-D4758,2)=0,1,0)</f>
        <v/>
      </c>
      <c r="J4758">
        <f>IF(F4758="","none",IF(G4758=1,"carte","multiple"))</f>
        <v/>
      </c>
    </row>
    <row r="4759">
      <c r="A4759" t="inlineStr">
        <is>
          <t>2022-09-01</t>
        </is>
      </c>
      <c r="B4759" t="inlineStr">
        <is>
          <t>19:51</t>
        </is>
      </c>
      <c r="C4759" t="n">
        <v>3046</v>
      </c>
      <c r="D4759" s="6" t="n">
        <v>17.6</v>
      </c>
      <c r="E4759" t="n">
        <v>41774</v>
      </c>
      <c r="F4759" s="6" t="n">
        <v>17.6</v>
      </c>
      <c r="G4759" t="n">
        <v>1</v>
      </c>
      <c r="H4759" s="6">
        <f>ROUND(G4759*F4759,2)</f>
        <v/>
      </c>
      <c r="I4759">
        <f>IF(ROUND(H4759-D4759,2)=0,1,0)</f>
        <v/>
      </c>
      <c r="J4759">
        <f>IF(F4759="","none",IF(G4759=1,"carte","multiple"))</f>
        <v/>
      </c>
    </row>
    <row r="4760">
      <c r="A4760" t="inlineStr">
        <is>
          <t>2022-09-01</t>
        </is>
      </c>
      <c r="B4760" t="inlineStr">
        <is>
          <t>19:51</t>
        </is>
      </c>
      <c r="C4760" t="n">
        <v>3046</v>
      </c>
      <c r="D4760" s="6" t="n">
        <v>35.2</v>
      </c>
      <c r="E4760" t="n">
        <v>41775</v>
      </c>
      <c r="F4760" s="6" t="n">
        <v>0.4</v>
      </c>
      <c r="G4760" t="n">
        <v>88</v>
      </c>
      <c r="H4760" s="6">
        <f>ROUND(G4760*F4760,2)</f>
        <v/>
      </c>
      <c r="I4760">
        <f>IF(ROUND(H4760-D4760,2)=0,1,0)</f>
        <v/>
      </c>
      <c r="J4760">
        <f>IF(F4760="","none",IF(G4760=1,"carte","multiple"))</f>
        <v/>
      </c>
    </row>
    <row r="4761">
      <c r="A4761" t="inlineStr">
        <is>
          <t>2022-09-01</t>
        </is>
      </c>
      <c r="B4761" t="inlineStr">
        <is>
          <t>19:51</t>
        </is>
      </c>
      <c r="C4761" t="n">
        <v>3046</v>
      </c>
      <c r="D4761" s="6" t="n">
        <v>19.9</v>
      </c>
      <c r="E4761" t="n">
        <v>41776</v>
      </c>
      <c r="F4761" s="6" t="n">
        <v>19.9</v>
      </c>
      <c r="G4761" t="n">
        <v>1</v>
      </c>
      <c r="H4761" s="6">
        <f>ROUND(G4761*F4761,2)</f>
        <v/>
      </c>
      <c r="I4761">
        <f>IF(ROUND(H4761-D4761,2)=0,1,0)</f>
        <v/>
      </c>
      <c r="J4761">
        <f>IF(F4761="","none",IF(G4761=1,"carte","multiple"))</f>
        <v/>
      </c>
    </row>
    <row r="4762">
      <c r="A4762" t="inlineStr">
        <is>
          <t>2022-09-01</t>
        </is>
      </c>
      <c r="B4762" t="inlineStr">
        <is>
          <t>19:51</t>
        </is>
      </c>
      <c r="C4762" t="n">
        <v>3046</v>
      </c>
      <c r="D4762" s="6" t="n">
        <v>17.6</v>
      </c>
      <c r="E4762" t="n">
        <v>41777</v>
      </c>
      <c r="F4762" s="6" t="n">
        <v>17.6</v>
      </c>
      <c r="G4762" t="n">
        <v>1</v>
      </c>
      <c r="H4762" s="6">
        <f>ROUND(G4762*F4762,2)</f>
        <v/>
      </c>
      <c r="I4762">
        <f>IF(ROUND(H4762-D4762,2)=0,1,0)</f>
        <v/>
      </c>
      <c r="J4762">
        <f>IF(F4762="","none",IF(G4762=1,"carte","multiple"))</f>
        <v/>
      </c>
    </row>
    <row r="4763">
      <c r="A4763" t="inlineStr">
        <is>
          <t>2022-09-01</t>
        </is>
      </c>
      <c r="B4763" t="inlineStr">
        <is>
          <t>19:51</t>
        </is>
      </c>
      <c r="C4763" t="n">
        <v>3046</v>
      </c>
      <c r="D4763" s="6" t="n">
        <v>32</v>
      </c>
      <c r="E4763" t="n">
        <v>41778</v>
      </c>
      <c r="F4763" s="6" t="n">
        <v>32</v>
      </c>
      <c r="G4763" t="n">
        <v>1</v>
      </c>
      <c r="H4763" s="6">
        <f>ROUND(G4763*F4763,2)</f>
        <v/>
      </c>
      <c r="I4763">
        <f>IF(ROUND(H4763-D4763,2)=0,1,0)</f>
        <v/>
      </c>
      <c r="J4763">
        <f>IF(F4763="","none",IF(G4763=1,"carte","multiple"))</f>
        <v/>
      </c>
    </row>
    <row r="4764">
      <c r="A4764" t="inlineStr">
        <is>
          <t>2022-09-01</t>
        </is>
      </c>
      <c r="B4764" t="inlineStr">
        <is>
          <t>19:51</t>
        </is>
      </c>
      <c r="C4764" t="n">
        <v>3046</v>
      </c>
      <c r="D4764" s="6" t="n">
        <v>3.9</v>
      </c>
      <c r="E4764" t="n">
        <v>41779</v>
      </c>
      <c r="F4764" s="6" t="n">
        <v>3.9</v>
      </c>
      <c r="G4764" t="n">
        <v>1</v>
      </c>
      <c r="H4764" s="6">
        <f>ROUND(G4764*F4764,2)</f>
        <v/>
      </c>
      <c r="I4764">
        <f>IF(ROUND(H4764-D4764,2)=0,1,0)</f>
        <v/>
      </c>
      <c r="J4764">
        <f>IF(F4764="","none",IF(G4764=1,"carte","multiple"))</f>
        <v/>
      </c>
    </row>
    <row r="4765">
      <c r="A4765" t="inlineStr">
        <is>
          <t>2022-09-01</t>
        </is>
      </c>
      <c r="B4765" t="inlineStr">
        <is>
          <t>19:51</t>
        </is>
      </c>
      <c r="C4765" t="n">
        <v>3046</v>
      </c>
      <c r="D4765" s="6" t="n">
        <v>9</v>
      </c>
      <c r="E4765" t="n">
        <v>41780</v>
      </c>
      <c r="F4765" s="6" t="n">
        <v>9</v>
      </c>
      <c r="G4765" t="n">
        <v>1</v>
      </c>
      <c r="H4765" s="6">
        <f>ROUND(G4765*F4765,2)</f>
        <v/>
      </c>
      <c r="I4765">
        <f>IF(ROUND(H4765-D4765,2)=0,1,0)</f>
        <v/>
      </c>
      <c r="J4765">
        <f>IF(F4765="","none",IF(G4765=1,"carte","multiple"))</f>
        <v/>
      </c>
    </row>
    <row r="4766">
      <c r="A4766" t="inlineStr">
        <is>
          <t>2022-09-01</t>
        </is>
      </c>
      <c r="B4766" t="inlineStr">
        <is>
          <t>19:51</t>
        </is>
      </c>
      <c r="C4766" t="n">
        <v>3046</v>
      </c>
      <c r="D4766" s="6" t="n">
        <v>7.2</v>
      </c>
      <c r="E4766" t="n">
        <v>41781</v>
      </c>
      <c r="F4766" s="6" t="n">
        <v>7.2</v>
      </c>
      <c r="G4766" t="n">
        <v>1</v>
      </c>
      <c r="H4766" s="6">
        <f>ROUND(G4766*F4766,2)</f>
        <v/>
      </c>
      <c r="I4766">
        <f>IF(ROUND(H4766-D4766,2)=0,1,0)</f>
        <v/>
      </c>
      <c r="J4766">
        <f>IF(F4766="","none",IF(G4766=1,"carte","multiple"))</f>
        <v/>
      </c>
    </row>
    <row r="4767">
      <c r="A4767" t="inlineStr">
        <is>
          <t>2022-09-01</t>
        </is>
      </c>
      <c r="B4767" t="inlineStr">
        <is>
          <t>19:51</t>
        </is>
      </c>
      <c r="C4767" t="n">
        <v>3046</v>
      </c>
      <c r="D4767" s="6" t="n">
        <v>10.4</v>
      </c>
      <c r="E4767" t="n">
        <v>41782</v>
      </c>
      <c r="F4767" s="6" t="n">
        <v>0.4</v>
      </c>
      <c r="G4767" t="n">
        <v>26</v>
      </c>
      <c r="H4767" s="6">
        <f>ROUND(G4767*F4767,2)</f>
        <v/>
      </c>
      <c r="I4767">
        <f>IF(ROUND(H4767-D4767,2)=0,1,0)</f>
        <v/>
      </c>
      <c r="J4767">
        <f>IF(F4767="","none",IF(G4767=1,"carte","multiple"))</f>
        <v/>
      </c>
    </row>
    <row r="4768">
      <c r="A4768" t="inlineStr">
        <is>
          <t>2022-09-01</t>
        </is>
      </c>
      <c r="B4768" t="inlineStr">
        <is>
          <t>19:51</t>
        </is>
      </c>
      <c r="C4768" t="n">
        <v>3046</v>
      </c>
      <c r="D4768" s="6" t="n">
        <v>7.5</v>
      </c>
      <c r="E4768" t="n">
        <v>41783</v>
      </c>
      <c r="F4768" s="6" t="n">
        <v>7.5</v>
      </c>
      <c r="G4768" t="n">
        <v>1</v>
      </c>
      <c r="H4768" s="6">
        <f>ROUND(G4768*F4768,2)</f>
        <v/>
      </c>
      <c r="I4768">
        <f>IF(ROUND(H4768-D4768,2)=0,1,0)</f>
        <v/>
      </c>
      <c r="J4768">
        <f>IF(F4768="","none",IF(G4768=1,"carte","multiple"))</f>
        <v/>
      </c>
    </row>
    <row r="4769">
      <c r="A4769" t="inlineStr">
        <is>
          <t>2022-09-01</t>
        </is>
      </c>
      <c r="B4769" t="inlineStr">
        <is>
          <t>20:00</t>
        </is>
      </c>
      <c r="C4769" t="n">
        <v>3046</v>
      </c>
      <c r="D4769" s="6" t="n">
        <v>2.4</v>
      </c>
      <c r="E4769" t="n">
        <v>41784</v>
      </c>
      <c r="F4769" s="6" t="n">
        <v>2.4</v>
      </c>
      <c r="G4769" t="n">
        <v>1</v>
      </c>
      <c r="H4769" s="6">
        <f>ROUND(G4769*F4769,2)</f>
        <v/>
      </c>
      <c r="I4769">
        <f>IF(ROUND(H4769-D4769,2)=0,1,0)</f>
        <v/>
      </c>
      <c r="J4769">
        <f>IF(F4769="","none",IF(G4769=1,"carte","multiple"))</f>
        <v/>
      </c>
    </row>
    <row r="4770">
      <c r="A4770" t="inlineStr">
        <is>
          <t>2022-09-01</t>
        </is>
      </c>
      <c r="B4770" t="inlineStr">
        <is>
          <t>20:00</t>
        </is>
      </c>
      <c r="C4770" t="n">
        <v>3046</v>
      </c>
      <c r="D4770" s="6" t="n">
        <v>2.2</v>
      </c>
      <c r="E4770" t="n">
        <v>41785</v>
      </c>
      <c r="F4770" s="6" t="n">
        <v>2.2</v>
      </c>
      <c r="G4770" t="n">
        <v>1</v>
      </c>
      <c r="H4770" s="6">
        <f>ROUND(G4770*F4770,2)</f>
        <v/>
      </c>
      <c r="I4770">
        <f>IF(ROUND(H4770-D4770,2)=0,1,0)</f>
        <v/>
      </c>
      <c r="J4770">
        <f>IF(F4770="","none",IF(G4770=1,"carte","multiple"))</f>
        <v/>
      </c>
    </row>
    <row r="4771">
      <c r="A4771" t="inlineStr">
        <is>
          <t>2022-09-01</t>
        </is>
      </c>
      <c r="B4771" t="inlineStr">
        <is>
          <t>20:00</t>
        </is>
      </c>
      <c r="C4771" t="n">
        <v>3046</v>
      </c>
      <c r="D4771" s="6" t="n">
        <v>7.5</v>
      </c>
      <c r="E4771" t="n">
        <v>41786</v>
      </c>
      <c r="F4771" s="6" t="n">
        <v>7.5</v>
      </c>
      <c r="G4771" t="n">
        <v>1</v>
      </c>
      <c r="H4771" s="6">
        <f>ROUND(G4771*F4771,2)</f>
        <v/>
      </c>
      <c r="I4771">
        <f>IF(ROUND(H4771-D4771,2)=0,1,0)</f>
        <v/>
      </c>
      <c r="J4771">
        <f>IF(F4771="","none",IF(G4771=1,"carte","multiple"))</f>
        <v/>
      </c>
    </row>
    <row r="4772">
      <c r="A4772" t="inlineStr">
        <is>
          <t>2022-09-01</t>
        </is>
      </c>
      <c r="B4772" t="inlineStr">
        <is>
          <t>20:00</t>
        </is>
      </c>
      <c r="C4772" t="n">
        <v>3046</v>
      </c>
      <c r="D4772" s="6" t="n">
        <v>4.7</v>
      </c>
      <c r="E4772" t="n">
        <v>41787</v>
      </c>
      <c r="F4772" s="6" t="n">
        <v>4.7</v>
      </c>
      <c r="G4772" t="n">
        <v>1</v>
      </c>
      <c r="H4772" s="6">
        <f>ROUND(G4772*F4772,2)</f>
        <v/>
      </c>
      <c r="I4772">
        <f>IF(ROUND(H4772-D4772,2)=0,1,0)</f>
        <v/>
      </c>
      <c r="J4772">
        <f>IF(F4772="","none",IF(G4772=1,"carte","multiple"))</f>
        <v/>
      </c>
    </row>
    <row r="4773">
      <c r="A4773" t="inlineStr">
        <is>
          <t>2022-09-01</t>
        </is>
      </c>
      <c r="B4773" t="inlineStr">
        <is>
          <t>20:00</t>
        </is>
      </c>
      <c r="C4773" t="n">
        <v>3046</v>
      </c>
      <c r="D4773" s="6" t="n">
        <v>17.6</v>
      </c>
      <c r="E4773" t="n">
        <v>41788</v>
      </c>
      <c r="F4773" s="6" t="n">
        <v>17.6</v>
      </c>
      <c r="G4773" t="n">
        <v>1</v>
      </c>
      <c r="H4773" s="6">
        <f>ROUND(G4773*F4773,2)</f>
        <v/>
      </c>
      <c r="I4773">
        <f>IF(ROUND(H4773-D4773,2)=0,1,0)</f>
        <v/>
      </c>
      <c r="J4773">
        <f>IF(F4773="","none",IF(G4773=1,"carte","multiple"))</f>
        <v/>
      </c>
    </row>
    <row r="4774">
      <c r="A4774" t="inlineStr">
        <is>
          <t>2022-09-01</t>
        </is>
      </c>
      <c r="B4774" t="inlineStr">
        <is>
          <t>20:00</t>
        </is>
      </c>
      <c r="C4774" t="n">
        <v>3046</v>
      </c>
      <c r="D4774" s="6" t="n">
        <v>17.6</v>
      </c>
      <c r="E4774" t="n">
        <v>41789</v>
      </c>
      <c r="F4774" s="6" t="n">
        <v>17.6</v>
      </c>
      <c r="G4774" t="n">
        <v>1</v>
      </c>
      <c r="H4774" s="6">
        <f>ROUND(G4774*F4774,2)</f>
        <v/>
      </c>
      <c r="I4774">
        <f>IF(ROUND(H4774-D4774,2)=0,1,0)</f>
        <v/>
      </c>
      <c r="J4774">
        <f>IF(F4774="","none",IF(G4774=1,"carte","multiple"))</f>
        <v/>
      </c>
    </row>
    <row r="4775">
      <c r="A4775" t="inlineStr">
        <is>
          <t>2022-09-01</t>
        </is>
      </c>
      <c r="B4775" t="inlineStr">
        <is>
          <t>20:00</t>
        </is>
      </c>
      <c r="C4775" t="n">
        <v>3046</v>
      </c>
      <c r="D4775" s="6" t="n">
        <v>19</v>
      </c>
      <c r="E4775" t="n">
        <v>41790</v>
      </c>
      <c r="F4775" s="6" t="n">
        <v>19</v>
      </c>
      <c r="G4775" t="n">
        <v>1</v>
      </c>
      <c r="H4775" s="6">
        <f>ROUND(G4775*F4775,2)</f>
        <v/>
      </c>
      <c r="I4775">
        <f>IF(ROUND(H4775-D4775,2)=0,1,0)</f>
        <v/>
      </c>
      <c r="J4775">
        <f>IF(F4775="","none",IF(G4775=1,"carte","multiple"))</f>
        <v/>
      </c>
    </row>
    <row r="4776">
      <c r="A4776" t="inlineStr">
        <is>
          <t>2022-09-01</t>
        </is>
      </c>
      <c r="B4776" t="inlineStr">
        <is>
          <t>20:00</t>
        </is>
      </c>
      <c r="C4776" t="n">
        <v>3046</v>
      </c>
      <c r="D4776" s="6" t="n">
        <v>3.9</v>
      </c>
      <c r="E4776" t="n">
        <v>41791</v>
      </c>
      <c r="F4776" s="6" t="n">
        <v>3.9</v>
      </c>
      <c r="G4776" t="n">
        <v>1</v>
      </c>
      <c r="H4776" s="6">
        <f>ROUND(G4776*F4776,2)</f>
        <v/>
      </c>
      <c r="I4776">
        <f>IF(ROUND(H4776-D4776,2)=0,1,0)</f>
        <v/>
      </c>
      <c r="J4776">
        <f>IF(F4776="","none",IF(G4776=1,"carte","multiple"))</f>
        <v/>
      </c>
    </row>
    <row r="4777">
      <c r="A4777" t="inlineStr">
        <is>
          <t>2022-09-01</t>
        </is>
      </c>
      <c r="B4777" t="inlineStr">
        <is>
          <t>20:00</t>
        </is>
      </c>
      <c r="C4777" t="n">
        <v>3046</v>
      </c>
      <c r="D4777" s="6" t="n">
        <v>6.5</v>
      </c>
      <c r="E4777" t="n">
        <v>41792</v>
      </c>
      <c r="F4777" s="6" t="n">
        <v>6.5</v>
      </c>
      <c r="G4777" t="n">
        <v>1</v>
      </c>
      <c r="H4777" s="6">
        <f>ROUND(G4777*F4777,2)</f>
        <v/>
      </c>
      <c r="I4777">
        <f>IF(ROUND(H4777-D4777,2)=0,1,0)</f>
        <v/>
      </c>
      <c r="J4777">
        <f>IF(F4777="","none",IF(G4777=1,"carte","multiple"))</f>
        <v/>
      </c>
    </row>
    <row r="4778">
      <c r="A4778" t="inlineStr">
        <is>
          <t>2022-09-01</t>
        </is>
      </c>
      <c r="B4778" t="inlineStr">
        <is>
          <t>20:00</t>
        </is>
      </c>
      <c r="C4778" t="n">
        <v>3046</v>
      </c>
      <c r="D4778" s="6" t="n">
        <v>4.9</v>
      </c>
      <c r="E4778" t="n">
        <v>41793</v>
      </c>
      <c r="F4778" s="6" t="n">
        <v>4.9</v>
      </c>
      <c r="G4778" t="n">
        <v>1</v>
      </c>
      <c r="H4778" s="6">
        <f>ROUND(G4778*F4778,2)</f>
        <v/>
      </c>
      <c r="I4778">
        <f>IF(ROUND(H4778-D4778,2)=0,1,0)</f>
        <v/>
      </c>
      <c r="J4778">
        <f>IF(F4778="","none",IF(G4778=1,"carte","multiple"))</f>
        <v/>
      </c>
    </row>
    <row r="4779">
      <c r="A4779" t="inlineStr">
        <is>
          <t>2022-09-02</t>
        </is>
      </c>
      <c r="B4779" t="inlineStr">
        <is>
          <t>11:09</t>
        </is>
      </c>
      <c r="C4779" t="n">
        <v>3047</v>
      </c>
      <c r="D4779" s="6" t="n">
        <v>5.2</v>
      </c>
      <c r="E4779" t="n">
        <v>41796</v>
      </c>
      <c r="F4779" s="6" t="n">
        <v>5.2</v>
      </c>
      <c r="G4779" t="n">
        <v>1</v>
      </c>
      <c r="H4779" s="6">
        <f>ROUND(G4779*F4779,2)</f>
        <v/>
      </c>
      <c r="I4779">
        <f>IF(ROUND(H4779-D4779,2)=0,1,0)</f>
        <v/>
      </c>
      <c r="J4779">
        <f>IF(F4779="","none",IF(G4779=1,"carte","multiple"))</f>
        <v/>
      </c>
    </row>
    <row r="4780">
      <c r="A4780" t="inlineStr">
        <is>
          <t>2022-09-02</t>
        </is>
      </c>
      <c r="B4780" t="inlineStr">
        <is>
          <t>12:05</t>
        </is>
      </c>
      <c r="C4780" t="n">
        <v>3047</v>
      </c>
      <c r="D4780" s="6" t="n">
        <v>6.9</v>
      </c>
      <c r="E4780" t="n">
        <v>41797</v>
      </c>
      <c r="F4780" s="6" t="n">
        <v>6.9</v>
      </c>
      <c r="G4780" t="n">
        <v>1</v>
      </c>
      <c r="H4780" s="6">
        <f>ROUND(G4780*F4780,2)</f>
        <v/>
      </c>
      <c r="I4780">
        <f>IF(ROUND(H4780-D4780,2)=0,1,0)</f>
        <v/>
      </c>
      <c r="J4780">
        <f>IF(F4780="","none",IF(G4780=1,"carte","multiple"))</f>
        <v/>
      </c>
    </row>
    <row r="4781">
      <c r="A4781" t="inlineStr">
        <is>
          <t>2022-09-02</t>
        </is>
      </c>
      <c r="B4781" t="inlineStr">
        <is>
          <t>12:16</t>
        </is>
      </c>
      <c r="C4781" t="n">
        <v>3047</v>
      </c>
      <c r="D4781" s="6" t="n">
        <v>35.2</v>
      </c>
      <c r="E4781" t="n">
        <v>41798</v>
      </c>
      <c r="F4781" s="6" t="n">
        <v>0.4</v>
      </c>
      <c r="G4781" t="n">
        <v>88</v>
      </c>
      <c r="H4781" s="6">
        <f>ROUND(G4781*F4781,2)</f>
        <v/>
      </c>
      <c r="I4781">
        <f>IF(ROUND(H4781-D4781,2)=0,1,0)</f>
        <v/>
      </c>
      <c r="J4781">
        <f>IF(F4781="","none",IF(G4781=1,"carte","multiple"))</f>
        <v/>
      </c>
    </row>
    <row r="4782">
      <c r="A4782" t="inlineStr">
        <is>
          <t>2022-09-02</t>
        </is>
      </c>
      <c r="B4782" t="inlineStr">
        <is>
          <t>12:16</t>
        </is>
      </c>
      <c r="C4782" t="n">
        <v>3047</v>
      </c>
      <c r="D4782" s="6" t="n">
        <v>19.9</v>
      </c>
      <c r="E4782" t="n">
        <v>41799</v>
      </c>
      <c r="F4782" s="6" t="n">
        <v>19.9</v>
      </c>
      <c r="G4782" t="n">
        <v>1</v>
      </c>
      <c r="H4782" s="6">
        <f>ROUND(G4782*F4782,2)</f>
        <v/>
      </c>
      <c r="I4782">
        <f>IF(ROUND(H4782-D4782,2)=0,1,0)</f>
        <v/>
      </c>
      <c r="J4782">
        <f>IF(F4782="","none",IF(G4782=1,"carte","multiple"))</f>
        <v/>
      </c>
    </row>
    <row r="4783">
      <c r="A4783" t="inlineStr">
        <is>
          <t>2022-09-02</t>
        </is>
      </c>
      <c r="B4783" t="inlineStr">
        <is>
          <t>12:29</t>
        </is>
      </c>
      <c r="C4783" t="n">
        <v>3047</v>
      </c>
      <c r="D4783" s="6" t="n">
        <v>2.4</v>
      </c>
      <c r="E4783" t="n">
        <v>41800</v>
      </c>
      <c r="F4783" s="6" t="n">
        <v>2.4</v>
      </c>
      <c r="G4783" t="n">
        <v>1</v>
      </c>
      <c r="H4783" s="6">
        <f>ROUND(G4783*F4783,2)</f>
        <v/>
      </c>
      <c r="I4783">
        <f>IF(ROUND(H4783-D4783,2)=0,1,0)</f>
        <v/>
      </c>
      <c r="J4783">
        <f>IF(F4783="","none",IF(G4783=1,"carte","multiple"))</f>
        <v/>
      </c>
    </row>
    <row r="4784">
      <c r="A4784" t="inlineStr">
        <is>
          <t>2022-09-02</t>
        </is>
      </c>
      <c r="B4784" t="inlineStr">
        <is>
          <t>12:29</t>
        </is>
      </c>
      <c r="C4784" t="n">
        <v>3047</v>
      </c>
      <c r="D4784" s="6" t="n">
        <v>6.6</v>
      </c>
      <c r="E4784" t="n">
        <v>41801</v>
      </c>
      <c r="F4784" s="6" t="n">
        <v>6.6</v>
      </c>
      <c r="G4784" t="n">
        <v>1</v>
      </c>
      <c r="H4784" s="6">
        <f>ROUND(G4784*F4784,2)</f>
        <v/>
      </c>
      <c r="I4784">
        <f>IF(ROUND(H4784-D4784,2)=0,1,0)</f>
        <v/>
      </c>
      <c r="J4784">
        <f>IF(F4784="","none",IF(G4784=1,"carte","multiple"))</f>
        <v/>
      </c>
    </row>
    <row r="4785">
      <c r="A4785" t="inlineStr">
        <is>
          <t>2022-09-02</t>
        </is>
      </c>
      <c r="B4785" t="inlineStr">
        <is>
          <t>12:29</t>
        </is>
      </c>
      <c r="C4785" t="n">
        <v>3047</v>
      </c>
      <c r="D4785" s="6" t="n">
        <v>6</v>
      </c>
      <c r="E4785" t="n">
        <v>41802</v>
      </c>
      <c r="F4785" s="6" t="n">
        <v>6</v>
      </c>
      <c r="G4785" t="n">
        <v>1</v>
      </c>
      <c r="H4785" s="6">
        <f>ROUND(G4785*F4785,2)</f>
        <v/>
      </c>
      <c r="I4785">
        <f>IF(ROUND(H4785-D4785,2)=0,1,0)</f>
        <v/>
      </c>
      <c r="J4785">
        <f>IF(F4785="","none",IF(G4785=1,"carte","multiple"))</f>
        <v/>
      </c>
    </row>
    <row r="4786">
      <c r="A4786" t="inlineStr">
        <is>
          <t>2022-09-02</t>
        </is>
      </c>
      <c r="B4786" t="inlineStr">
        <is>
          <t>12:29</t>
        </is>
      </c>
      <c r="C4786" t="n">
        <v>3047</v>
      </c>
      <c r="D4786" s="6" t="n">
        <v>7</v>
      </c>
      <c r="E4786" t="n">
        <v>41803</v>
      </c>
      <c r="F4786" s="6" t="n">
        <v>7</v>
      </c>
      <c r="G4786" t="n">
        <v>1</v>
      </c>
      <c r="H4786" s="6">
        <f>ROUND(G4786*F4786,2)</f>
        <v/>
      </c>
      <c r="I4786">
        <f>IF(ROUND(H4786-D4786,2)=0,1,0)</f>
        <v/>
      </c>
      <c r="J4786">
        <f>IF(F4786="","none",IF(G4786=1,"carte","multiple"))</f>
        <v/>
      </c>
    </row>
    <row r="4787">
      <c r="A4787" t="inlineStr">
        <is>
          <t>2022-09-02</t>
        </is>
      </c>
      <c r="B4787" t="inlineStr">
        <is>
          <t>12:29</t>
        </is>
      </c>
      <c r="C4787" t="n">
        <v>3047</v>
      </c>
      <c r="D4787" s="6" t="n">
        <v>17.6</v>
      </c>
      <c r="E4787" t="n">
        <v>41804</v>
      </c>
      <c r="F4787" s="6" t="n">
        <v>17.6</v>
      </c>
      <c r="G4787" t="n">
        <v>1</v>
      </c>
      <c r="H4787" s="6">
        <f>ROUND(G4787*F4787,2)</f>
        <v/>
      </c>
      <c r="I4787">
        <f>IF(ROUND(H4787-D4787,2)=0,1,0)</f>
        <v/>
      </c>
      <c r="J4787">
        <f>IF(F4787="","none",IF(G4787=1,"carte","multiple"))</f>
        <v/>
      </c>
    </row>
    <row r="4788">
      <c r="A4788" t="inlineStr">
        <is>
          <t>2022-09-02</t>
        </is>
      </c>
      <c r="B4788" t="inlineStr">
        <is>
          <t>17:30</t>
        </is>
      </c>
      <c r="C4788" t="n">
        <v>3047</v>
      </c>
      <c r="D4788" s="6" t="n">
        <v>5.2</v>
      </c>
      <c r="E4788" t="n">
        <v>41806</v>
      </c>
      <c r="F4788" s="6" t="n">
        <v>5.2</v>
      </c>
      <c r="G4788" t="n">
        <v>1</v>
      </c>
      <c r="H4788" s="6">
        <f>ROUND(G4788*F4788,2)</f>
        <v/>
      </c>
      <c r="I4788">
        <f>IF(ROUND(H4788-D4788,2)=0,1,0)</f>
        <v/>
      </c>
      <c r="J4788">
        <f>IF(F4788="","none",IF(G4788=1,"carte","multiple"))</f>
        <v/>
      </c>
    </row>
    <row r="4789">
      <c r="A4789" t="inlineStr">
        <is>
          <t>2022-09-02</t>
        </is>
      </c>
      <c r="B4789" t="inlineStr">
        <is>
          <t>17:35</t>
        </is>
      </c>
      <c r="C4789" t="n">
        <v>3047</v>
      </c>
      <c r="D4789" s="6" t="n">
        <v>3.9</v>
      </c>
      <c r="E4789" t="n">
        <v>41807</v>
      </c>
      <c r="F4789" s="6" t="n">
        <v>3.9</v>
      </c>
      <c r="G4789" t="n">
        <v>1</v>
      </c>
      <c r="H4789" s="6">
        <f>ROUND(G4789*F4789,2)</f>
        <v/>
      </c>
      <c r="I4789">
        <f>IF(ROUND(H4789-D4789,2)=0,1,0)</f>
        <v/>
      </c>
      <c r="J4789">
        <f>IF(F4789="","none",IF(G4789=1,"carte","multiple"))</f>
        <v/>
      </c>
    </row>
    <row r="4790">
      <c r="A4790" t="inlineStr">
        <is>
          <t>2022-09-02</t>
        </is>
      </c>
      <c r="B4790" t="inlineStr">
        <is>
          <t>17:35</t>
        </is>
      </c>
      <c r="C4790" t="n">
        <v>3047</v>
      </c>
      <c r="D4790" s="6" t="n">
        <v>7.8</v>
      </c>
      <c r="E4790" t="n">
        <v>41808</v>
      </c>
      <c r="F4790" s="6" t="n">
        <v>7.8</v>
      </c>
      <c r="G4790" t="n">
        <v>1</v>
      </c>
      <c r="H4790" s="6">
        <f>ROUND(G4790*F4790,2)</f>
        <v/>
      </c>
      <c r="I4790">
        <f>IF(ROUND(H4790-D4790,2)=0,1,0)</f>
        <v/>
      </c>
      <c r="J4790">
        <f>IF(F4790="","none",IF(G4790=1,"carte","multiple"))</f>
        <v/>
      </c>
    </row>
    <row r="4791">
      <c r="A4791" t="inlineStr">
        <is>
          <t>2022-09-02</t>
        </is>
      </c>
      <c r="B4791" t="inlineStr">
        <is>
          <t>18:00</t>
        </is>
      </c>
      <c r="C4791" t="n">
        <v>3047</v>
      </c>
      <c r="D4791" s="6" t="n">
        <v>35.2</v>
      </c>
      <c r="E4791" t="n">
        <v>41809</v>
      </c>
      <c r="F4791" s="6" t="n">
        <v>0.4</v>
      </c>
      <c r="G4791" t="n">
        <v>88</v>
      </c>
      <c r="H4791" s="6">
        <f>ROUND(G4791*F4791,2)</f>
        <v/>
      </c>
      <c r="I4791">
        <f>IF(ROUND(H4791-D4791,2)=0,1,0)</f>
        <v/>
      </c>
      <c r="J4791">
        <f>IF(F4791="","none",IF(G4791=1,"carte","multiple"))</f>
        <v/>
      </c>
    </row>
    <row r="4792">
      <c r="A4792" t="inlineStr">
        <is>
          <t>2022-09-02</t>
        </is>
      </c>
      <c r="B4792" t="inlineStr">
        <is>
          <t>18:00</t>
        </is>
      </c>
      <c r="C4792" t="n">
        <v>3047</v>
      </c>
      <c r="D4792" s="6" t="n">
        <v>11.6</v>
      </c>
      <c r="E4792" t="n">
        <v>41810</v>
      </c>
      <c r="F4792" s="6" t="n">
        <v>11.6</v>
      </c>
      <c r="G4792" t="n">
        <v>1</v>
      </c>
      <c r="H4792" s="6">
        <f>ROUND(G4792*F4792,2)</f>
        <v/>
      </c>
      <c r="I4792">
        <f>IF(ROUND(H4792-D4792,2)=0,1,0)</f>
        <v/>
      </c>
      <c r="J4792">
        <f>IF(F4792="","none",IF(G4792=1,"carte","multiple"))</f>
        <v/>
      </c>
    </row>
    <row r="4793">
      <c r="A4793" t="inlineStr">
        <is>
          <t>2022-09-02</t>
        </is>
      </c>
      <c r="B4793" t="inlineStr">
        <is>
          <t>18:04</t>
        </is>
      </c>
      <c r="C4793" t="n">
        <v>3047</v>
      </c>
      <c r="D4793" s="6" t="n">
        <v>3</v>
      </c>
      <c r="E4793" t="n">
        <v>41811</v>
      </c>
      <c r="F4793" s="6" t="n">
        <v>3</v>
      </c>
      <c r="G4793" t="n">
        <v>1</v>
      </c>
      <c r="H4793" s="6">
        <f>ROUND(G4793*F4793,2)</f>
        <v/>
      </c>
      <c r="I4793">
        <f>IF(ROUND(H4793-D4793,2)=0,1,0)</f>
        <v/>
      </c>
      <c r="J4793">
        <f>IF(F4793="","none",IF(G4793=1,"carte","multiple"))</f>
        <v/>
      </c>
    </row>
    <row r="4794">
      <c r="A4794" t="inlineStr">
        <is>
          <t>2022-09-02</t>
        </is>
      </c>
      <c r="B4794" t="inlineStr">
        <is>
          <t>18:44</t>
        </is>
      </c>
      <c r="C4794" t="n">
        <v>3047</v>
      </c>
      <c r="D4794" s="6" t="n">
        <v>12.8</v>
      </c>
      <c r="E4794" t="n">
        <v>41812</v>
      </c>
      <c r="F4794" s="6" t="n">
        <v>0.4</v>
      </c>
      <c r="G4794" t="n">
        <v>32</v>
      </c>
      <c r="H4794" s="6">
        <f>ROUND(G4794*F4794,2)</f>
        <v/>
      </c>
      <c r="I4794">
        <f>IF(ROUND(H4794-D4794,2)=0,1,0)</f>
        <v/>
      </c>
      <c r="J4794">
        <f>IF(F4794="","none",IF(G4794=1,"carte","multiple"))</f>
        <v/>
      </c>
    </row>
    <row r="4795">
      <c r="A4795" t="inlineStr">
        <is>
          <t>2022-09-02</t>
        </is>
      </c>
      <c r="B4795" t="inlineStr">
        <is>
          <t>18:44</t>
        </is>
      </c>
      <c r="C4795" t="n">
        <v>3047</v>
      </c>
      <c r="D4795" s="6" t="n">
        <v>5.9</v>
      </c>
      <c r="E4795" t="n">
        <v>41813</v>
      </c>
      <c r="F4795" s="6" t="n">
        <v>5.9</v>
      </c>
      <c r="G4795" t="n">
        <v>1</v>
      </c>
      <c r="H4795" s="6">
        <f>ROUND(G4795*F4795,2)</f>
        <v/>
      </c>
      <c r="I4795">
        <f>IF(ROUND(H4795-D4795,2)=0,1,0)</f>
        <v/>
      </c>
      <c r="J4795">
        <f>IF(F4795="","none",IF(G4795=1,"carte","multiple"))</f>
        <v/>
      </c>
    </row>
    <row r="4796">
      <c r="A4796" t="inlineStr">
        <is>
          <t>2022-09-02</t>
        </is>
      </c>
      <c r="B4796" t="inlineStr">
        <is>
          <t>18:44</t>
        </is>
      </c>
      <c r="C4796" t="n">
        <v>3047</v>
      </c>
      <c r="D4796" s="6" t="n">
        <v>39.8</v>
      </c>
      <c r="E4796" t="n">
        <v>41814</v>
      </c>
      <c r="F4796" s="6" t="n">
        <v>39.8</v>
      </c>
      <c r="G4796" t="n">
        <v>1</v>
      </c>
      <c r="H4796" s="6">
        <f>ROUND(G4796*F4796,2)</f>
        <v/>
      </c>
      <c r="I4796">
        <f>IF(ROUND(H4796-D4796,2)=0,1,0)</f>
        <v/>
      </c>
      <c r="J4796">
        <f>IF(F4796="","none",IF(G4796=1,"carte","multiple"))</f>
        <v/>
      </c>
    </row>
    <row r="4797">
      <c r="A4797" t="inlineStr">
        <is>
          <t>2022-09-02</t>
        </is>
      </c>
      <c r="B4797" t="inlineStr">
        <is>
          <t>18:44</t>
        </is>
      </c>
      <c r="C4797" t="n">
        <v>3047</v>
      </c>
      <c r="D4797" s="6" t="n">
        <v>4</v>
      </c>
      <c r="E4797" t="n">
        <v>41815</v>
      </c>
      <c r="F4797" s="6" t="n">
        <v>4</v>
      </c>
      <c r="G4797" t="n">
        <v>1</v>
      </c>
      <c r="H4797" s="6">
        <f>ROUND(G4797*F4797,2)</f>
        <v/>
      </c>
      <c r="I4797">
        <f>IF(ROUND(H4797-D4797,2)=0,1,0)</f>
        <v/>
      </c>
      <c r="J4797">
        <f>IF(F4797="","none",IF(G4797=1,"carte","multiple"))</f>
        <v/>
      </c>
    </row>
    <row r="4798">
      <c r="A4798" t="inlineStr">
        <is>
          <t>2022-09-02</t>
        </is>
      </c>
      <c r="B4798" t="inlineStr">
        <is>
          <t>18:44</t>
        </is>
      </c>
      <c r="C4798" t="n">
        <v>3047</v>
      </c>
      <c r="D4798" s="6" t="n">
        <v>7.8</v>
      </c>
      <c r="E4798" t="n">
        <v>41816</v>
      </c>
      <c r="F4798" s="6" t="n">
        <v>7.8</v>
      </c>
      <c r="G4798" t="n">
        <v>1</v>
      </c>
      <c r="H4798" s="6">
        <f>ROUND(G4798*F4798,2)</f>
        <v/>
      </c>
      <c r="I4798">
        <f>IF(ROUND(H4798-D4798,2)=0,1,0)</f>
        <v/>
      </c>
      <c r="J4798">
        <f>IF(F4798="","none",IF(G4798=1,"carte","multiple"))</f>
        <v/>
      </c>
    </row>
    <row r="4799">
      <c r="A4799" t="inlineStr">
        <is>
          <t>2022-09-02</t>
        </is>
      </c>
      <c r="B4799" t="inlineStr">
        <is>
          <t>19:26</t>
        </is>
      </c>
      <c r="C4799" t="n">
        <v>3047</v>
      </c>
      <c r="D4799" s="6" t="n">
        <v>2.2</v>
      </c>
      <c r="E4799" t="n">
        <v>41817</v>
      </c>
      <c r="F4799" s="6" t="n">
        <v>2.2</v>
      </c>
      <c r="G4799" t="n">
        <v>1</v>
      </c>
      <c r="H4799" s="6">
        <f>ROUND(G4799*F4799,2)</f>
        <v/>
      </c>
      <c r="I4799">
        <f>IF(ROUND(H4799-D4799,2)=0,1,0)</f>
        <v/>
      </c>
      <c r="J4799">
        <f>IF(F4799="","none",IF(G4799=1,"carte","multiple"))</f>
        <v/>
      </c>
    </row>
    <row r="4800">
      <c r="A4800" t="inlineStr">
        <is>
          <t>2022-09-02</t>
        </is>
      </c>
      <c r="B4800" t="inlineStr">
        <is>
          <t>19:26</t>
        </is>
      </c>
      <c r="C4800" t="n">
        <v>3047</v>
      </c>
      <c r="D4800" s="6" t="n">
        <v>3.9</v>
      </c>
      <c r="E4800" t="n">
        <v>41818</v>
      </c>
      <c r="F4800" s="6" t="n">
        <v>3.9</v>
      </c>
      <c r="G4800" t="n">
        <v>1</v>
      </c>
      <c r="H4800" s="6">
        <f>ROUND(G4800*F4800,2)</f>
        <v/>
      </c>
      <c r="I4800">
        <f>IF(ROUND(H4800-D4800,2)=0,1,0)</f>
        <v/>
      </c>
      <c r="J4800">
        <f>IF(F4800="","none",IF(G4800=1,"carte","multiple"))</f>
        <v/>
      </c>
    </row>
    <row r="4801">
      <c r="A4801" t="inlineStr">
        <is>
          <t>2022-09-02</t>
        </is>
      </c>
      <c r="B4801" t="inlineStr">
        <is>
          <t>19:26</t>
        </is>
      </c>
      <c r="C4801" t="n">
        <v>3047</v>
      </c>
      <c r="D4801" s="6" t="n">
        <v>19</v>
      </c>
      <c r="E4801" t="n">
        <v>41819</v>
      </c>
      <c r="F4801" s="6" t="n">
        <v>19</v>
      </c>
      <c r="G4801" t="n">
        <v>1</v>
      </c>
      <c r="H4801" s="6">
        <f>ROUND(G4801*F4801,2)</f>
        <v/>
      </c>
      <c r="I4801">
        <f>IF(ROUND(H4801-D4801,2)=0,1,0)</f>
        <v/>
      </c>
      <c r="J4801">
        <f>IF(F4801="","none",IF(G4801=1,"carte","multiple"))</f>
        <v/>
      </c>
    </row>
    <row r="4802">
      <c r="A4802" t="inlineStr">
        <is>
          <t>2022-09-02</t>
        </is>
      </c>
      <c r="B4802" t="inlineStr">
        <is>
          <t>19:26</t>
        </is>
      </c>
      <c r="C4802" t="n">
        <v>3047</v>
      </c>
      <c r="D4802" s="6" t="n">
        <v>59.2</v>
      </c>
      <c r="E4802" t="n">
        <v>41820</v>
      </c>
      <c r="F4802" s="6" t="n">
        <v>0.4</v>
      </c>
      <c r="G4802" t="n">
        <v>148</v>
      </c>
      <c r="H4802" s="6">
        <f>ROUND(G4802*F4802,2)</f>
        <v/>
      </c>
      <c r="I4802">
        <f>IF(ROUND(H4802-D4802,2)=0,1,0)</f>
        <v/>
      </c>
      <c r="J4802">
        <f>IF(F4802="","none",IF(G4802=1,"carte","multiple"))</f>
        <v/>
      </c>
    </row>
    <row r="4803">
      <c r="A4803" t="inlineStr">
        <is>
          <t>2022-09-02</t>
        </is>
      </c>
      <c r="B4803" t="inlineStr">
        <is>
          <t>20:16</t>
        </is>
      </c>
      <c r="C4803" t="n">
        <v>3047</v>
      </c>
      <c r="D4803" s="6" t="n">
        <v>3.4</v>
      </c>
      <c r="E4803" t="n">
        <v>41821</v>
      </c>
      <c r="F4803" s="6" t="n">
        <v>3.4</v>
      </c>
      <c r="G4803" t="n">
        <v>1</v>
      </c>
      <c r="H4803" s="6">
        <f>ROUND(G4803*F4803,2)</f>
        <v/>
      </c>
      <c r="I4803">
        <f>IF(ROUND(H4803-D4803,2)=0,1,0)</f>
        <v/>
      </c>
      <c r="J4803">
        <f>IF(F4803="","none",IF(G4803=1,"carte","multiple"))</f>
        <v/>
      </c>
    </row>
    <row r="4804">
      <c r="A4804" t="inlineStr">
        <is>
          <t>2022-09-02</t>
        </is>
      </c>
      <c r="B4804" t="inlineStr">
        <is>
          <t>20:16</t>
        </is>
      </c>
      <c r="C4804" t="n">
        <v>3047</v>
      </c>
      <c r="D4804" s="6" t="n">
        <v>5.2</v>
      </c>
      <c r="E4804" t="n">
        <v>41822</v>
      </c>
      <c r="F4804" s="6" t="n">
        <v>5.2</v>
      </c>
      <c r="G4804" t="n">
        <v>1</v>
      </c>
      <c r="H4804" s="6">
        <f>ROUND(G4804*F4804,2)</f>
        <v/>
      </c>
      <c r="I4804">
        <f>IF(ROUND(H4804-D4804,2)=0,1,0)</f>
        <v/>
      </c>
      <c r="J4804">
        <f>IF(F4804="","none",IF(G4804=1,"carte","multiple"))</f>
        <v/>
      </c>
    </row>
    <row r="4805">
      <c r="A4805" t="inlineStr">
        <is>
          <t>2022-09-02</t>
        </is>
      </c>
      <c r="B4805" t="inlineStr">
        <is>
          <t>20:16</t>
        </is>
      </c>
      <c r="C4805" t="n">
        <v>3047</v>
      </c>
      <c r="D4805" s="6" t="n">
        <v>32</v>
      </c>
      <c r="E4805" t="n">
        <v>41823</v>
      </c>
      <c r="F4805" s="6" t="n">
        <v>32</v>
      </c>
      <c r="G4805" t="n">
        <v>1</v>
      </c>
      <c r="H4805" s="6">
        <f>ROUND(G4805*F4805,2)</f>
        <v/>
      </c>
      <c r="I4805">
        <f>IF(ROUND(H4805-D4805,2)=0,1,0)</f>
        <v/>
      </c>
      <c r="J4805">
        <f>IF(F4805="","none",IF(G4805=1,"carte","multiple"))</f>
        <v/>
      </c>
    </row>
    <row r="4806">
      <c r="A4806" t="inlineStr">
        <is>
          <t>2022-09-02</t>
        </is>
      </c>
      <c r="B4806" t="inlineStr">
        <is>
          <t>20:16</t>
        </is>
      </c>
      <c r="C4806" t="n">
        <v>3047</v>
      </c>
      <c r="D4806" s="6" t="n">
        <v>32</v>
      </c>
      <c r="E4806" t="n">
        <v>41824</v>
      </c>
      <c r="F4806" s="6" t="n">
        <v>32</v>
      </c>
      <c r="G4806" t="n">
        <v>1</v>
      </c>
      <c r="H4806" s="6">
        <f>ROUND(G4806*F4806,2)</f>
        <v/>
      </c>
      <c r="I4806">
        <f>IF(ROUND(H4806-D4806,2)=0,1,0)</f>
        <v/>
      </c>
      <c r="J4806">
        <f>IF(F4806="","none",IF(G4806=1,"carte","multiple"))</f>
        <v/>
      </c>
    </row>
    <row r="4807">
      <c r="A4807" t="inlineStr">
        <is>
          <t>2022-09-02</t>
        </is>
      </c>
      <c r="B4807" t="inlineStr">
        <is>
          <t>20:16</t>
        </is>
      </c>
      <c r="C4807" t="n">
        <v>3047</v>
      </c>
      <c r="D4807" s="6" t="n">
        <v>7.2</v>
      </c>
      <c r="E4807" t="n">
        <v>41825</v>
      </c>
      <c r="F4807" s="6" t="n">
        <v>7.2</v>
      </c>
      <c r="G4807" t="n">
        <v>1</v>
      </c>
      <c r="H4807" s="6">
        <f>ROUND(G4807*F4807,2)</f>
        <v/>
      </c>
      <c r="I4807">
        <f>IF(ROUND(H4807-D4807,2)=0,1,0)</f>
        <v/>
      </c>
      <c r="J4807">
        <f>IF(F4807="","none",IF(G4807=1,"carte","multiple"))</f>
        <v/>
      </c>
    </row>
    <row r="4808">
      <c r="A4808" t="inlineStr">
        <is>
          <t>2022-09-02</t>
        </is>
      </c>
      <c r="B4808" t="inlineStr">
        <is>
          <t>20:16</t>
        </is>
      </c>
      <c r="C4808" t="n">
        <v>3047</v>
      </c>
      <c r="D4808" s="6" t="n">
        <v>7.2</v>
      </c>
      <c r="E4808" t="n">
        <v>41826</v>
      </c>
      <c r="F4808" s="6" t="n">
        <v>7.2</v>
      </c>
      <c r="G4808" t="n">
        <v>1</v>
      </c>
      <c r="H4808" s="6">
        <f>ROUND(G4808*F4808,2)</f>
        <v/>
      </c>
      <c r="I4808">
        <f>IF(ROUND(H4808-D4808,2)=0,1,0)</f>
        <v/>
      </c>
      <c r="J4808">
        <f>IF(F4808="","none",IF(G4808=1,"carte","multiple"))</f>
        <v/>
      </c>
    </row>
    <row r="4809">
      <c r="A4809" t="inlineStr">
        <is>
          <t>2022-09-02</t>
        </is>
      </c>
      <c r="B4809" t="inlineStr">
        <is>
          <t>20:16</t>
        </is>
      </c>
      <c r="C4809" t="n">
        <v>3047</v>
      </c>
      <c r="D4809" s="6" t="n">
        <v>3.8</v>
      </c>
      <c r="E4809" t="n">
        <v>41828</v>
      </c>
      <c r="F4809" s="6" t="n">
        <v>3.8</v>
      </c>
      <c r="G4809" t="n">
        <v>1</v>
      </c>
      <c r="H4809" s="6">
        <f>ROUND(G4809*F4809,2)</f>
        <v/>
      </c>
      <c r="I4809">
        <f>IF(ROUND(H4809-D4809,2)=0,1,0)</f>
        <v/>
      </c>
      <c r="J4809">
        <f>IF(F4809="","none",IF(G4809=1,"carte","multiple"))</f>
        <v/>
      </c>
    </row>
    <row r="4810">
      <c r="A4810" t="inlineStr">
        <is>
          <t>2022-09-02</t>
        </is>
      </c>
      <c r="B4810" t="inlineStr">
        <is>
          <t>20:16</t>
        </is>
      </c>
      <c r="C4810" t="n">
        <v>3047</v>
      </c>
      <c r="D4810" s="6" t="n">
        <v>5.2</v>
      </c>
      <c r="E4810" t="n">
        <v>41829</v>
      </c>
      <c r="F4810" s="6" t="n">
        <v>5.2</v>
      </c>
      <c r="G4810" t="n">
        <v>1</v>
      </c>
      <c r="H4810" s="6">
        <f>ROUND(G4810*F4810,2)</f>
        <v/>
      </c>
      <c r="I4810">
        <f>IF(ROUND(H4810-D4810,2)=0,1,0)</f>
        <v/>
      </c>
      <c r="J4810">
        <f>IF(F4810="","none",IF(G4810=1,"carte","multiple"))</f>
        <v/>
      </c>
    </row>
    <row r="4811">
      <c r="A4811" t="inlineStr">
        <is>
          <t>2022-09-03</t>
        </is>
      </c>
      <c r="B4811" t="inlineStr">
        <is>
          <t>10:51</t>
        </is>
      </c>
      <c r="C4811" t="n">
        <v>3048</v>
      </c>
      <c r="D4811" s="6" t="n">
        <v>7.9</v>
      </c>
      <c r="E4811" t="n">
        <v>41832</v>
      </c>
      <c r="F4811" s="6" t="n">
        <v>7.9</v>
      </c>
      <c r="G4811" t="n">
        <v>1</v>
      </c>
      <c r="H4811" s="6">
        <f>ROUND(G4811*F4811,2)</f>
        <v/>
      </c>
      <c r="I4811">
        <f>IF(ROUND(H4811-D4811,2)=0,1,0)</f>
        <v/>
      </c>
      <c r="J4811">
        <f>IF(F4811="","none",IF(G4811=1,"carte","multiple"))</f>
        <v/>
      </c>
    </row>
    <row r="4812">
      <c r="A4812" t="inlineStr">
        <is>
          <t>2022-09-03</t>
        </is>
      </c>
      <c r="B4812" t="inlineStr">
        <is>
          <t>10:57</t>
        </is>
      </c>
      <c r="C4812" t="n">
        <v>3048</v>
      </c>
      <c r="D4812" s="6" t="n">
        <v>3.8</v>
      </c>
      <c r="E4812" t="n">
        <v>41833</v>
      </c>
      <c r="F4812" s="6" t="n">
        <v>3.8</v>
      </c>
      <c r="G4812" t="n">
        <v>1</v>
      </c>
      <c r="H4812" s="6">
        <f>ROUND(G4812*F4812,2)</f>
        <v/>
      </c>
      <c r="I4812">
        <f>IF(ROUND(H4812-D4812,2)=0,1,0)</f>
        <v/>
      </c>
      <c r="J4812">
        <f>IF(F4812="","none",IF(G4812=1,"carte","multiple"))</f>
        <v/>
      </c>
    </row>
    <row r="4813">
      <c r="A4813" t="inlineStr">
        <is>
          <t>2022-09-03</t>
        </is>
      </c>
      <c r="B4813" t="inlineStr">
        <is>
          <t>10:57</t>
        </is>
      </c>
      <c r="C4813" t="n">
        <v>3048</v>
      </c>
      <c r="D4813" s="6" t="n">
        <v>5.9</v>
      </c>
      <c r="E4813" t="n">
        <v>41834</v>
      </c>
      <c r="F4813" s="6" t="n">
        <v>5.9</v>
      </c>
      <c r="G4813" t="n">
        <v>1</v>
      </c>
      <c r="H4813" s="6">
        <f>ROUND(G4813*F4813,2)</f>
        <v/>
      </c>
      <c r="I4813">
        <f>IF(ROUND(H4813-D4813,2)=0,1,0)</f>
        <v/>
      </c>
      <c r="J4813">
        <f>IF(F4813="","none",IF(G4813=1,"carte","multiple"))</f>
        <v/>
      </c>
    </row>
    <row r="4814">
      <c r="A4814" t="inlineStr">
        <is>
          <t>2022-09-03</t>
        </is>
      </c>
      <c r="B4814" t="inlineStr">
        <is>
          <t>11:28</t>
        </is>
      </c>
      <c r="C4814" t="n">
        <v>3048</v>
      </c>
      <c r="D4814" s="6" t="n">
        <v>2.2</v>
      </c>
      <c r="E4814" t="n">
        <v>41835</v>
      </c>
      <c r="F4814" s="6" t="n">
        <v>2.2</v>
      </c>
      <c r="G4814" t="n">
        <v>1</v>
      </c>
      <c r="H4814" s="6">
        <f>ROUND(G4814*F4814,2)</f>
        <v/>
      </c>
      <c r="I4814">
        <f>IF(ROUND(H4814-D4814,2)=0,1,0)</f>
        <v/>
      </c>
      <c r="J4814">
        <f>IF(F4814="","none",IF(G4814=1,"carte","multiple"))</f>
        <v/>
      </c>
    </row>
    <row r="4815">
      <c r="A4815" t="inlineStr">
        <is>
          <t>2022-09-03</t>
        </is>
      </c>
      <c r="B4815" t="inlineStr">
        <is>
          <t>11:28</t>
        </is>
      </c>
      <c r="C4815" t="n">
        <v>3048</v>
      </c>
      <c r="D4815" s="6" t="n">
        <v>7.5</v>
      </c>
      <c r="E4815" t="n">
        <v>41836</v>
      </c>
      <c r="F4815" s="6" t="n">
        <v>7.5</v>
      </c>
      <c r="G4815" t="n">
        <v>1</v>
      </c>
      <c r="H4815" s="6">
        <f>ROUND(G4815*F4815,2)</f>
        <v/>
      </c>
      <c r="I4815">
        <f>IF(ROUND(H4815-D4815,2)=0,1,0)</f>
        <v/>
      </c>
      <c r="J4815">
        <f>IF(F4815="","none",IF(G4815=1,"carte","multiple"))</f>
        <v/>
      </c>
    </row>
    <row r="4816">
      <c r="A4816" t="inlineStr">
        <is>
          <t>2022-09-03</t>
        </is>
      </c>
      <c r="B4816" t="inlineStr">
        <is>
          <t>11:28</t>
        </is>
      </c>
      <c r="C4816" t="n">
        <v>3048</v>
      </c>
      <c r="D4816" s="6" t="n">
        <v>3.9</v>
      </c>
      <c r="E4816" t="n">
        <v>41837</v>
      </c>
      <c r="F4816" s="6" t="n">
        <v>3.9</v>
      </c>
      <c r="G4816" t="n">
        <v>1</v>
      </c>
      <c r="H4816" s="6">
        <f>ROUND(G4816*F4816,2)</f>
        <v/>
      </c>
      <c r="I4816">
        <f>IF(ROUND(H4816-D4816,2)=0,1,0)</f>
        <v/>
      </c>
      <c r="J4816">
        <f>IF(F4816="","none",IF(G4816=1,"carte","multiple"))</f>
        <v/>
      </c>
    </row>
    <row r="4817">
      <c r="A4817" t="inlineStr">
        <is>
          <t>2022-09-03</t>
        </is>
      </c>
      <c r="B4817" t="inlineStr">
        <is>
          <t>11:28</t>
        </is>
      </c>
      <c r="C4817" t="n">
        <v>3048</v>
      </c>
      <c r="D4817" s="6" t="n">
        <v>16.4</v>
      </c>
      <c r="E4817" t="n">
        <v>41838</v>
      </c>
      <c r="F4817" s="6" t="n">
        <v>16.4</v>
      </c>
      <c r="G4817" t="n">
        <v>1</v>
      </c>
      <c r="H4817" s="6">
        <f>ROUND(G4817*F4817,2)</f>
        <v/>
      </c>
      <c r="I4817">
        <f>IF(ROUND(H4817-D4817,2)=0,1,0)</f>
        <v/>
      </c>
      <c r="J4817">
        <f>IF(F4817="","none",IF(G4817=1,"carte","multiple"))</f>
        <v/>
      </c>
    </row>
    <row r="4818">
      <c r="A4818" t="inlineStr">
        <is>
          <t>2022-09-03</t>
        </is>
      </c>
      <c r="B4818" t="inlineStr">
        <is>
          <t>11:31</t>
        </is>
      </c>
      <c r="C4818" t="n">
        <v>3048</v>
      </c>
      <c r="D4818" s="6" t="n">
        <v>4</v>
      </c>
      <c r="E4818" t="n">
        <v>41839</v>
      </c>
      <c r="F4818" s="6" t="n">
        <v>4</v>
      </c>
      <c r="G4818" t="n">
        <v>1</v>
      </c>
      <c r="H4818" s="6">
        <f>ROUND(G4818*F4818,2)</f>
        <v/>
      </c>
      <c r="I4818">
        <f>IF(ROUND(H4818-D4818,2)=0,1,0)</f>
        <v/>
      </c>
      <c r="J4818">
        <f>IF(F4818="","none",IF(G4818=1,"carte","multiple"))</f>
        <v/>
      </c>
    </row>
    <row r="4819">
      <c r="A4819" t="inlineStr">
        <is>
          <t>2022-09-03</t>
        </is>
      </c>
      <c r="B4819" t="inlineStr">
        <is>
          <t>11:36</t>
        </is>
      </c>
      <c r="C4819" t="n">
        <v>3048</v>
      </c>
      <c r="D4819" s="6" t="n">
        <v>2.4</v>
      </c>
      <c r="E4819" t="n">
        <v>41840</v>
      </c>
      <c r="F4819" s="6" t="n">
        <v>2.4</v>
      </c>
      <c r="G4819" t="n">
        <v>1</v>
      </c>
      <c r="H4819" s="6">
        <f>ROUND(G4819*F4819,2)</f>
        <v/>
      </c>
      <c r="I4819">
        <f>IF(ROUND(H4819-D4819,2)=0,1,0)</f>
        <v/>
      </c>
      <c r="J4819">
        <f>IF(F4819="","none",IF(G4819=1,"carte","multiple"))</f>
        <v/>
      </c>
    </row>
    <row r="4820">
      <c r="A4820" t="inlineStr">
        <is>
          <t>2022-09-03</t>
        </is>
      </c>
      <c r="B4820" t="inlineStr">
        <is>
          <t>11:36</t>
        </is>
      </c>
      <c r="C4820" t="n">
        <v>3048</v>
      </c>
      <c r="D4820" s="6" t="n">
        <v>16.9</v>
      </c>
      <c r="E4820" t="n">
        <v>41841</v>
      </c>
      <c r="F4820" s="6" t="n">
        <v>16.9</v>
      </c>
      <c r="G4820" t="n">
        <v>1</v>
      </c>
      <c r="H4820" s="6">
        <f>ROUND(G4820*F4820,2)</f>
        <v/>
      </c>
      <c r="I4820">
        <f>IF(ROUND(H4820-D4820,2)=0,1,0)</f>
        <v/>
      </c>
      <c r="J4820">
        <f>IF(F4820="","none",IF(G4820=1,"carte","multiple"))</f>
        <v/>
      </c>
    </row>
    <row r="4821">
      <c r="A4821" t="inlineStr">
        <is>
          <t>2022-09-03</t>
        </is>
      </c>
      <c r="B4821" t="inlineStr">
        <is>
          <t>11:36</t>
        </is>
      </c>
      <c r="C4821" t="n">
        <v>3048</v>
      </c>
      <c r="D4821" s="6" t="n">
        <v>3.9</v>
      </c>
      <c r="E4821" t="n">
        <v>41842</v>
      </c>
      <c r="F4821" s="6" t="n">
        <v>3.9</v>
      </c>
      <c r="G4821" t="n">
        <v>1</v>
      </c>
      <c r="H4821" s="6">
        <f>ROUND(G4821*F4821,2)</f>
        <v/>
      </c>
      <c r="I4821">
        <f>IF(ROUND(H4821-D4821,2)=0,1,0)</f>
        <v/>
      </c>
      <c r="J4821">
        <f>IF(F4821="","none",IF(G4821=1,"carte","multiple"))</f>
        <v/>
      </c>
    </row>
    <row r="4822">
      <c r="A4822" t="inlineStr">
        <is>
          <t>2022-09-03</t>
        </is>
      </c>
      <c r="B4822" t="inlineStr">
        <is>
          <t>11:41</t>
        </is>
      </c>
      <c r="C4822" t="n">
        <v>3048</v>
      </c>
      <c r="D4822" s="6" t="n">
        <v>3.9</v>
      </c>
      <c r="E4822" t="n">
        <v>41843</v>
      </c>
      <c r="F4822" s="6" t="n">
        <v>3.9</v>
      </c>
      <c r="G4822" t="n">
        <v>1</v>
      </c>
      <c r="H4822" s="6">
        <f>ROUND(G4822*F4822,2)</f>
        <v/>
      </c>
      <c r="I4822">
        <f>IF(ROUND(H4822-D4822,2)=0,1,0)</f>
        <v/>
      </c>
      <c r="J4822">
        <f>IF(F4822="","none",IF(G4822=1,"carte","multiple"))</f>
        <v/>
      </c>
    </row>
    <row r="4823">
      <c r="A4823" t="inlineStr">
        <is>
          <t>2022-09-03</t>
        </is>
      </c>
      <c r="B4823" t="inlineStr">
        <is>
          <t>11:44</t>
        </is>
      </c>
      <c r="C4823" t="n">
        <v>3048</v>
      </c>
      <c r="D4823" s="6" t="n">
        <v>35.2</v>
      </c>
      <c r="E4823" t="n">
        <v>41844</v>
      </c>
      <c r="F4823" s="6" t="n">
        <v>0.4</v>
      </c>
      <c r="G4823" t="n">
        <v>88</v>
      </c>
      <c r="H4823" s="6">
        <f>ROUND(G4823*F4823,2)</f>
        <v/>
      </c>
      <c r="I4823">
        <f>IF(ROUND(H4823-D4823,2)=0,1,0)</f>
        <v/>
      </c>
      <c r="J4823">
        <f>IF(F4823="","none",IF(G4823=1,"carte","multiple"))</f>
        <v/>
      </c>
    </row>
    <row r="4824">
      <c r="A4824" t="inlineStr">
        <is>
          <t>2022-09-03</t>
        </is>
      </c>
      <c r="B4824" t="inlineStr">
        <is>
          <t>11:44</t>
        </is>
      </c>
      <c r="C4824" t="n">
        <v>3048</v>
      </c>
      <c r="D4824" s="6" t="n">
        <v>4</v>
      </c>
      <c r="E4824" t="n">
        <v>41845</v>
      </c>
      <c r="F4824" s="6" t="n">
        <v>4</v>
      </c>
      <c r="G4824" t="n">
        <v>1</v>
      </c>
      <c r="H4824" s="6">
        <f>ROUND(G4824*F4824,2)</f>
        <v/>
      </c>
      <c r="I4824">
        <f>IF(ROUND(H4824-D4824,2)=0,1,0)</f>
        <v/>
      </c>
      <c r="J4824">
        <f>IF(F4824="","none",IF(G4824=1,"carte","multiple"))</f>
        <v/>
      </c>
    </row>
    <row r="4825">
      <c r="A4825" t="inlineStr">
        <is>
          <t>2022-09-03</t>
        </is>
      </c>
      <c r="B4825" t="inlineStr">
        <is>
          <t>11:44</t>
        </is>
      </c>
      <c r="C4825" t="n">
        <v>3048</v>
      </c>
      <c r="D4825" s="6" t="n">
        <v>3.9</v>
      </c>
      <c r="E4825" t="n">
        <v>41846</v>
      </c>
      <c r="F4825" s="6" t="n">
        <v>3.9</v>
      </c>
      <c r="G4825" t="n">
        <v>1</v>
      </c>
      <c r="H4825" s="6">
        <f>ROUND(G4825*F4825,2)</f>
        <v/>
      </c>
      <c r="I4825">
        <f>IF(ROUND(H4825-D4825,2)=0,1,0)</f>
        <v/>
      </c>
      <c r="J4825">
        <f>IF(F4825="","none",IF(G4825=1,"carte","multiple"))</f>
        <v/>
      </c>
    </row>
    <row r="4826">
      <c r="A4826" t="inlineStr">
        <is>
          <t>2022-09-03</t>
        </is>
      </c>
      <c r="B4826" t="inlineStr">
        <is>
          <t>12:28</t>
        </is>
      </c>
      <c r="C4826" t="n">
        <v>3048</v>
      </c>
      <c r="D4826" s="6" t="n">
        <v>8.4</v>
      </c>
      <c r="E4826" t="n">
        <v>41847</v>
      </c>
      <c r="F4826" s="6" t="n">
        <v>8.4</v>
      </c>
      <c r="G4826" t="n">
        <v>1</v>
      </c>
      <c r="H4826" s="6">
        <f>ROUND(G4826*F4826,2)</f>
        <v/>
      </c>
      <c r="I4826">
        <f>IF(ROUND(H4826-D4826,2)=0,1,0)</f>
        <v/>
      </c>
      <c r="J4826">
        <f>IF(F4826="","none",IF(G4826=1,"carte","multiple"))</f>
        <v/>
      </c>
    </row>
    <row r="4827">
      <c r="A4827" t="inlineStr">
        <is>
          <t>2022-09-03</t>
        </is>
      </c>
      <c r="B4827" t="inlineStr">
        <is>
          <t>12:28</t>
        </is>
      </c>
      <c r="C4827" t="n">
        <v>3048</v>
      </c>
      <c r="D4827" s="6" t="n">
        <v>9.699999999999999</v>
      </c>
      <c r="E4827" t="n">
        <v>41848</v>
      </c>
      <c r="F4827" s="6" t="n">
        <v>9.699999999999999</v>
      </c>
      <c r="G4827" t="n">
        <v>1</v>
      </c>
      <c r="H4827" s="6">
        <f>ROUND(G4827*F4827,2)</f>
        <v/>
      </c>
      <c r="I4827">
        <f>IF(ROUND(H4827-D4827,2)=0,1,0)</f>
        <v/>
      </c>
      <c r="J4827">
        <f>IF(F4827="","none",IF(G4827=1,"carte","multiple"))</f>
        <v/>
      </c>
    </row>
    <row r="4828">
      <c r="A4828" t="inlineStr">
        <is>
          <t>2022-09-03</t>
        </is>
      </c>
      <c r="B4828" t="inlineStr">
        <is>
          <t>12:28</t>
        </is>
      </c>
      <c r="C4828" t="n">
        <v>3048</v>
      </c>
      <c r="D4828" s="6" t="n">
        <v>7.8</v>
      </c>
      <c r="E4828" t="n">
        <v>41849</v>
      </c>
      <c r="F4828" s="6" t="n">
        <v>7.8</v>
      </c>
      <c r="G4828" t="n">
        <v>1</v>
      </c>
      <c r="H4828" s="6">
        <f>ROUND(G4828*F4828,2)</f>
        <v/>
      </c>
      <c r="I4828">
        <f>IF(ROUND(H4828-D4828,2)=0,1,0)</f>
        <v/>
      </c>
      <c r="J4828">
        <f>IF(F4828="","none",IF(G4828=1,"carte","multiple"))</f>
        <v/>
      </c>
    </row>
    <row r="4829">
      <c r="A4829" t="inlineStr">
        <is>
          <t>2022-09-03</t>
        </is>
      </c>
      <c r="B4829" t="inlineStr">
        <is>
          <t>12:28</t>
        </is>
      </c>
      <c r="C4829" t="n">
        <v>3048</v>
      </c>
      <c r="D4829" s="6" t="n">
        <v>38</v>
      </c>
      <c r="E4829" t="n">
        <v>41850</v>
      </c>
      <c r="F4829" s="6" t="n">
        <v>0.4</v>
      </c>
      <c r="G4829" t="n">
        <v>95</v>
      </c>
      <c r="H4829" s="6">
        <f>ROUND(G4829*F4829,2)</f>
        <v/>
      </c>
      <c r="I4829">
        <f>IF(ROUND(H4829-D4829,2)=0,1,0)</f>
        <v/>
      </c>
      <c r="J4829">
        <f>IF(F4829="","none",IF(G4829=1,"carte","multiple"))</f>
        <v/>
      </c>
    </row>
    <row r="4830">
      <c r="A4830" t="inlineStr">
        <is>
          <t>2022-09-03</t>
        </is>
      </c>
      <c r="B4830" t="inlineStr">
        <is>
          <t>12:28</t>
        </is>
      </c>
      <c r="C4830" t="n">
        <v>3048</v>
      </c>
      <c r="D4830" s="6" t="n">
        <v>19</v>
      </c>
      <c r="E4830" t="n">
        <v>41851</v>
      </c>
      <c r="F4830" s="6" t="n">
        <v>19</v>
      </c>
      <c r="G4830" t="n">
        <v>1</v>
      </c>
      <c r="H4830" s="6">
        <f>ROUND(G4830*F4830,2)</f>
        <v/>
      </c>
      <c r="I4830">
        <f>IF(ROUND(H4830-D4830,2)=0,1,0)</f>
        <v/>
      </c>
      <c r="J4830">
        <f>IF(F4830="","none",IF(G4830=1,"carte","multiple"))</f>
        <v/>
      </c>
    </row>
    <row r="4831">
      <c r="A4831" t="inlineStr">
        <is>
          <t>2022-09-03</t>
        </is>
      </c>
      <c r="B4831" t="inlineStr">
        <is>
          <t>12:28</t>
        </is>
      </c>
      <c r="C4831" t="n">
        <v>3048</v>
      </c>
      <c r="D4831" s="6" t="n">
        <v>17.6</v>
      </c>
      <c r="E4831" t="n">
        <v>41852</v>
      </c>
      <c r="F4831" s="6" t="n">
        <v>17.6</v>
      </c>
      <c r="G4831" t="n">
        <v>1</v>
      </c>
      <c r="H4831" s="6">
        <f>ROUND(G4831*F4831,2)</f>
        <v/>
      </c>
      <c r="I4831">
        <f>IF(ROUND(H4831-D4831,2)=0,1,0)</f>
        <v/>
      </c>
      <c r="J4831">
        <f>IF(F4831="","none",IF(G4831=1,"carte","multiple"))</f>
        <v/>
      </c>
    </row>
    <row r="4832">
      <c r="A4832" t="inlineStr">
        <is>
          <t>2022-09-03</t>
        </is>
      </c>
      <c r="B4832" t="inlineStr">
        <is>
          <t>12:28</t>
        </is>
      </c>
      <c r="C4832" t="n">
        <v>3048</v>
      </c>
      <c r="D4832" s="6" t="n">
        <v>5.9</v>
      </c>
      <c r="E4832" t="n">
        <v>41853</v>
      </c>
      <c r="F4832" s="6" t="n">
        <v>5.9</v>
      </c>
      <c r="G4832" t="n">
        <v>1</v>
      </c>
      <c r="H4832" s="6">
        <f>ROUND(G4832*F4832,2)</f>
        <v/>
      </c>
      <c r="I4832">
        <f>IF(ROUND(H4832-D4832,2)=0,1,0)</f>
        <v/>
      </c>
      <c r="J4832">
        <f>IF(F4832="","none",IF(G4832=1,"carte","multiple"))</f>
        <v/>
      </c>
    </row>
    <row r="4833">
      <c r="A4833" t="inlineStr">
        <is>
          <t>2022-09-03</t>
        </is>
      </c>
      <c r="B4833" t="inlineStr">
        <is>
          <t>12:28</t>
        </is>
      </c>
      <c r="C4833" t="n">
        <v>3048</v>
      </c>
      <c r="D4833" s="6" t="n">
        <v>3.9</v>
      </c>
      <c r="E4833" t="n">
        <v>41854</v>
      </c>
      <c r="F4833" s="6" t="n">
        <v>3.9</v>
      </c>
      <c r="G4833" t="n">
        <v>1</v>
      </c>
      <c r="H4833" s="6">
        <f>ROUND(G4833*F4833,2)</f>
        <v/>
      </c>
      <c r="I4833">
        <f>IF(ROUND(H4833-D4833,2)=0,1,0)</f>
        <v/>
      </c>
      <c r="J4833">
        <f>IF(F4833="","none",IF(G4833=1,"carte","multiple"))</f>
        <v/>
      </c>
    </row>
    <row r="4834">
      <c r="A4834" t="inlineStr">
        <is>
          <t>2022-09-03</t>
        </is>
      </c>
      <c r="B4834" t="inlineStr">
        <is>
          <t>12:28</t>
        </is>
      </c>
      <c r="C4834" t="n">
        <v>3048</v>
      </c>
      <c r="D4834" s="6" t="n">
        <v>3.9</v>
      </c>
      <c r="E4834" t="n">
        <v>41855</v>
      </c>
      <c r="F4834" s="6" t="n">
        <v>3.9</v>
      </c>
      <c r="G4834" t="n">
        <v>1</v>
      </c>
      <c r="H4834" s="6">
        <f>ROUND(G4834*F4834,2)</f>
        <v/>
      </c>
      <c r="I4834">
        <f>IF(ROUND(H4834-D4834,2)=0,1,0)</f>
        <v/>
      </c>
      <c r="J4834">
        <f>IF(F4834="","none",IF(G4834=1,"carte","multiple"))</f>
        <v/>
      </c>
    </row>
    <row r="4835">
      <c r="A4835" t="inlineStr">
        <is>
          <t>2022-09-03</t>
        </is>
      </c>
      <c r="B4835" t="inlineStr">
        <is>
          <t>12:28</t>
        </is>
      </c>
      <c r="C4835" t="n">
        <v>3048</v>
      </c>
      <c r="D4835" s="6" t="n">
        <v>3.9</v>
      </c>
      <c r="E4835" t="n">
        <v>41856</v>
      </c>
      <c r="F4835" s="6" t="n">
        <v>3.9</v>
      </c>
      <c r="G4835" t="n">
        <v>1</v>
      </c>
      <c r="H4835" s="6">
        <f>ROUND(G4835*F4835,2)</f>
        <v/>
      </c>
      <c r="I4835">
        <f>IF(ROUND(H4835-D4835,2)=0,1,0)</f>
        <v/>
      </c>
      <c r="J4835">
        <f>IF(F4835="","none",IF(G4835=1,"carte","multiple"))</f>
        <v/>
      </c>
    </row>
    <row r="4836">
      <c r="A4836" t="inlineStr">
        <is>
          <t>2022-09-03</t>
        </is>
      </c>
      <c r="B4836" t="inlineStr">
        <is>
          <t>12:28</t>
        </is>
      </c>
      <c r="C4836" t="n">
        <v>3048</v>
      </c>
      <c r="D4836" s="6" t="n">
        <v>5.9</v>
      </c>
      <c r="E4836" t="n">
        <v>41857</v>
      </c>
      <c r="F4836" s="6" t="n">
        <v>5.9</v>
      </c>
      <c r="G4836" t="n">
        <v>1</v>
      </c>
      <c r="H4836" s="6">
        <f>ROUND(G4836*F4836,2)</f>
        <v/>
      </c>
      <c r="I4836">
        <f>IF(ROUND(H4836-D4836,2)=0,1,0)</f>
        <v/>
      </c>
      <c r="J4836">
        <f>IF(F4836="","none",IF(G4836=1,"carte","multiple"))</f>
        <v/>
      </c>
    </row>
    <row r="4837">
      <c r="A4837" t="inlineStr">
        <is>
          <t>2022-09-03</t>
        </is>
      </c>
      <c r="B4837" t="inlineStr">
        <is>
          <t>12:53</t>
        </is>
      </c>
      <c r="C4837" t="n">
        <v>3048</v>
      </c>
      <c r="D4837" s="6" t="n">
        <v>4</v>
      </c>
      <c r="E4837" t="n">
        <v>41858</v>
      </c>
      <c r="F4837" s="6" t="n">
        <v>4</v>
      </c>
      <c r="G4837" t="n">
        <v>1</v>
      </c>
      <c r="H4837" s="6">
        <f>ROUND(G4837*F4837,2)</f>
        <v/>
      </c>
      <c r="I4837">
        <f>IF(ROUND(H4837-D4837,2)=0,1,0)</f>
        <v/>
      </c>
      <c r="J4837">
        <f>IF(F4837="","none",IF(G4837=1,"carte","multiple"))</f>
        <v/>
      </c>
    </row>
    <row r="4838">
      <c r="A4838" t="inlineStr">
        <is>
          <t>2022-09-03</t>
        </is>
      </c>
      <c r="B4838" t="inlineStr">
        <is>
          <t>17:30</t>
        </is>
      </c>
      <c r="C4838" t="n">
        <v>3048</v>
      </c>
      <c r="D4838" s="6" t="n">
        <v>3.9</v>
      </c>
      <c r="E4838" t="n">
        <v>41859</v>
      </c>
      <c r="F4838" s="6" t="n">
        <v>3.9</v>
      </c>
      <c r="G4838" t="n">
        <v>1</v>
      </c>
      <c r="H4838" s="6">
        <f>ROUND(G4838*F4838,2)</f>
        <v/>
      </c>
      <c r="I4838">
        <f>IF(ROUND(H4838-D4838,2)=0,1,0)</f>
        <v/>
      </c>
      <c r="J4838">
        <f>IF(F4838="","none",IF(G4838=1,"carte","multiple"))</f>
        <v/>
      </c>
    </row>
    <row r="4839">
      <c r="A4839" t="inlineStr">
        <is>
          <t>2022-09-03</t>
        </is>
      </c>
      <c r="B4839" t="inlineStr">
        <is>
          <t>17:31</t>
        </is>
      </c>
      <c r="C4839" t="n">
        <v>3048</v>
      </c>
      <c r="D4839" s="6" t="n">
        <v>4.2</v>
      </c>
      <c r="E4839" t="n">
        <v>41860</v>
      </c>
      <c r="F4839" s="6" t="n">
        <v>4.2</v>
      </c>
      <c r="G4839" t="n">
        <v>1</v>
      </c>
      <c r="H4839" s="6">
        <f>ROUND(G4839*F4839,2)</f>
        <v/>
      </c>
      <c r="I4839">
        <f>IF(ROUND(H4839-D4839,2)=0,1,0)</f>
        <v/>
      </c>
      <c r="J4839">
        <f>IF(F4839="","none",IF(G4839=1,"carte","multiple"))</f>
        <v/>
      </c>
    </row>
    <row r="4840">
      <c r="A4840" t="inlineStr">
        <is>
          <t>2022-09-03</t>
        </is>
      </c>
      <c r="B4840" t="inlineStr">
        <is>
          <t>17:52</t>
        </is>
      </c>
      <c r="C4840" t="n">
        <v>3048</v>
      </c>
      <c r="D4840" s="6" t="n">
        <v>3.9</v>
      </c>
      <c r="E4840" t="n">
        <v>41861</v>
      </c>
      <c r="F4840" s="6" t="n">
        <v>3.9</v>
      </c>
      <c r="G4840" t="n">
        <v>1</v>
      </c>
      <c r="H4840" s="6">
        <f>ROUND(G4840*F4840,2)</f>
        <v/>
      </c>
      <c r="I4840">
        <f>IF(ROUND(H4840-D4840,2)=0,1,0)</f>
        <v/>
      </c>
      <c r="J4840">
        <f>IF(F4840="","none",IF(G4840=1,"carte","multiple"))</f>
        <v/>
      </c>
    </row>
    <row r="4841">
      <c r="A4841" t="inlineStr">
        <is>
          <t>2022-09-03</t>
        </is>
      </c>
      <c r="B4841" t="inlineStr">
        <is>
          <t>18:36</t>
        </is>
      </c>
      <c r="C4841" t="n">
        <v>3048</v>
      </c>
      <c r="D4841" s="6" t="n">
        <v>3.9</v>
      </c>
      <c r="E4841" t="n">
        <v>41862</v>
      </c>
      <c r="F4841" s="6" t="n">
        <v>3.9</v>
      </c>
      <c r="G4841" t="n">
        <v>1</v>
      </c>
      <c r="H4841" s="6">
        <f>ROUND(G4841*F4841,2)</f>
        <v/>
      </c>
      <c r="I4841">
        <f>IF(ROUND(H4841-D4841,2)=0,1,0)</f>
        <v/>
      </c>
      <c r="J4841">
        <f>IF(F4841="","none",IF(G4841=1,"carte","multiple"))</f>
        <v/>
      </c>
    </row>
    <row r="4842">
      <c r="A4842" t="inlineStr">
        <is>
          <t>2022-09-03</t>
        </is>
      </c>
      <c r="B4842" t="inlineStr">
        <is>
          <t>18:51</t>
        </is>
      </c>
      <c r="C4842" t="n">
        <v>3048</v>
      </c>
      <c r="D4842" s="6" t="n">
        <v>5.9</v>
      </c>
      <c r="E4842" t="n">
        <v>41863</v>
      </c>
      <c r="F4842" s="6" t="n">
        <v>5.9</v>
      </c>
      <c r="G4842" t="n">
        <v>1</v>
      </c>
      <c r="H4842" s="6">
        <f>ROUND(G4842*F4842,2)</f>
        <v/>
      </c>
      <c r="I4842">
        <f>IF(ROUND(H4842-D4842,2)=0,1,0)</f>
        <v/>
      </c>
      <c r="J4842">
        <f>IF(F4842="","none",IF(G4842=1,"carte","multiple"))</f>
        <v/>
      </c>
    </row>
    <row r="4843">
      <c r="A4843" t="inlineStr">
        <is>
          <t>2022-09-03</t>
        </is>
      </c>
      <c r="B4843" t="inlineStr">
        <is>
          <t>19:13</t>
        </is>
      </c>
      <c r="C4843" t="n">
        <v>3048</v>
      </c>
      <c r="D4843" s="6" t="n">
        <v>2</v>
      </c>
      <c r="E4843" t="n">
        <v>41864</v>
      </c>
      <c r="F4843" s="6" t="n">
        <v>2</v>
      </c>
      <c r="G4843" t="n">
        <v>1</v>
      </c>
      <c r="H4843" s="6">
        <f>ROUND(G4843*F4843,2)</f>
        <v/>
      </c>
      <c r="I4843">
        <f>IF(ROUND(H4843-D4843,2)=0,1,0)</f>
        <v/>
      </c>
      <c r="J4843">
        <f>IF(F4843="","none",IF(G4843=1,"carte","multiple"))</f>
        <v/>
      </c>
    </row>
    <row r="4844">
      <c r="A4844" t="inlineStr">
        <is>
          <t>2022-09-03</t>
        </is>
      </c>
      <c r="B4844" t="inlineStr">
        <is>
          <t>19:13</t>
        </is>
      </c>
      <c r="C4844" t="n">
        <v>3048</v>
      </c>
      <c r="D4844" s="6" t="n">
        <v>8.5</v>
      </c>
      <c r="E4844" t="n">
        <v>41865</v>
      </c>
      <c r="F4844" s="6" t="n">
        <v>8.5</v>
      </c>
      <c r="G4844" t="n">
        <v>1</v>
      </c>
      <c r="H4844" s="6">
        <f>ROUND(G4844*F4844,2)</f>
        <v/>
      </c>
      <c r="I4844">
        <f>IF(ROUND(H4844-D4844,2)=0,1,0)</f>
        <v/>
      </c>
      <c r="J4844">
        <f>IF(F4844="","none",IF(G4844=1,"carte","multiple"))</f>
        <v/>
      </c>
    </row>
    <row r="4845">
      <c r="A4845" t="inlineStr">
        <is>
          <t>2022-09-03</t>
        </is>
      </c>
      <c r="B4845" t="inlineStr">
        <is>
          <t>19:13</t>
        </is>
      </c>
      <c r="C4845" t="n">
        <v>3048</v>
      </c>
      <c r="D4845" s="6" t="n">
        <v>19</v>
      </c>
      <c r="E4845" t="n">
        <v>41866</v>
      </c>
      <c r="F4845" s="6" t="n">
        <v>19</v>
      </c>
      <c r="G4845" t="n">
        <v>1</v>
      </c>
      <c r="H4845" s="6">
        <f>ROUND(G4845*F4845,2)</f>
        <v/>
      </c>
      <c r="I4845">
        <f>IF(ROUND(H4845-D4845,2)=0,1,0)</f>
        <v/>
      </c>
      <c r="J4845">
        <f>IF(F4845="","none",IF(G4845=1,"carte","multiple"))</f>
        <v/>
      </c>
    </row>
    <row r="4846">
      <c r="A4846" t="inlineStr">
        <is>
          <t>2022-09-03</t>
        </is>
      </c>
      <c r="B4846" t="inlineStr">
        <is>
          <t>19:13</t>
        </is>
      </c>
      <c r="C4846" t="n">
        <v>3048</v>
      </c>
      <c r="D4846" s="6" t="n">
        <v>23</v>
      </c>
      <c r="E4846" t="n">
        <v>41867</v>
      </c>
      <c r="F4846" s="6" t="n">
        <v>23</v>
      </c>
      <c r="G4846" t="n">
        <v>1</v>
      </c>
      <c r="H4846" s="6">
        <f>ROUND(G4846*F4846,2)</f>
        <v/>
      </c>
      <c r="I4846">
        <f>IF(ROUND(H4846-D4846,2)=0,1,0)</f>
        <v/>
      </c>
      <c r="J4846">
        <f>IF(F4846="","none",IF(G4846=1,"carte","multiple"))</f>
        <v/>
      </c>
    </row>
    <row r="4847">
      <c r="A4847" t="inlineStr">
        <is>
          <t>2022-09-03</t>
        </is>
      </c>
      <c r="B4847" t="inlineStr">
        <is>
          <t>19:13</t>
        </is>
      </c>
      <c r="C4847" t="n">
        <v>3048</v>
      </c>
      <c r="D4847" s="6" t="n">
        <v>32</v>
      </c>
      <c r="E4847" t="n">
        <v>41868</v>
      </c>
      <c r="F4847" s="6" t="n">
        <v>32</v>
      </c>
      <c r="G4847" t="n">
        <v>1</v>
      </c>
      <c r="H4847" s="6">
        <f>ROUND(G4847*F4847,2)</f>
        <v/>
      </c>
      <c r="I4847">
        <f>IF(ROUND(H4847-D4847,2)=0,1,0)</f>
        <v/>
      </c>
      <c r="J4847">
        <f>IF(F4847="","none",IF(G4847=1,"carte","multiple"))</f>
        <v/>
      </c>
    </row>
    <row r="4848">
      <c r="A4848" t="inlineStr">
        <is>
          <t>2022-09-03</t>
        </is>
      </c>
      <c r="B4848" t="inlineStr">
        <is>
          <t>19:13</t>
        </is>
      </c>
      <c r="C4848" t="n">
        <v>3048</v>
      </c>
      <c r="D4848" s="6" t="n">
        <v>9.800000000000001</v>
      </c>
      <c r="E4848" t="n">
        <v>41869</v>
      </c>
      <c r="F4848" s="6" t="n">
        <v>9.800000000000001</v>
      </c>
      <c r="G4848" t="n">
        <v>1</v>
      </c>
      <c r="H4848" s="6">
        <f>ROUND(G4848*F4848,2)</f>
        <v/>
      </c>
      <c r="I4848">
        <f>IF(ROUND(H4848-D4848,2)=0,1,0)</f>
        <v/>
      </c>
      <c r="J4848">
        <f>IF(F4848="","none",IF(G4848=1,"carte","multiple"))</f>
        <v/>
      </c>
    </row>
    <row r="4849">
      <c r="A4849" t="inlineStr">
        <is>
          <t>2022-09-03</t>
        </is>
      </c>
      <c r="B4849" t="inlineStr">
        <is>
          <t>19:13</t>
        </is>
      </c>
      <c r="C4849" t="n">
        <v>3048</v>
      </c>
      <c r="D4849" s="6" t="n">
        <v>7.8</v>
      </c>
      <c r="E4849" t="n">
        <v>41870</v>
      </c>
      <c r="F4849" s="6" t="n">
        <v>7.8</v>
      </c>
      <c r="G4849" t="n">
        <v>1</v>
      </c>
      <c r="H4849" s="6">
        <f>ROUND(G4849*F4849,2)</f>
        <v/>
      </c>
      <c r="I4849">
        <f>IF(ROUND(H4849-D4849,2)=0,1,0)</f>
        <v/>
      </c>
      <c r="J4849">
        <f>IF(F4849="","none",IF(G4849=1,"carte","multiple"))</f>
        <v/>
      </c>
    </row>
    <row r="4850">
      <c r="A4850" t="inlineStr">
        <is>
          <t>2022-09-03</t>
        </is>
      </c>
      <c r="B4850" t="inlineStr">
        <is>
          <t>19:28</t>
        </is>
      </c>
      <c r="C4850" t="n">
        <v>3048</v>
      </c>
      <c r="D4850" s="6" t="n">
        <v>3.9</v>
      </c>
      <c r="E4850" t="n">
        <v>41871</v>
      </c>
      <c r="F4850" s="6" t="n">
        <v>3.9</v>
      </c>
      <c r="G4850" t="n">
        <v>1</v>
      </c>
      <c r="H4850" s="6">
        <f>ROUND(G4850*F4850,2)</f>
        <v/>
      </c>
      <c r="I4850">
        <f>IF(ROUND(H4850-D4850,2)=0,1,0)</f>
        <v/>
      </c>
      <c r="J4850">
        <f>IF(F4850="","none",IF(G4850=1,"carte","multiple"))</f>
        <v/>
      </c>
    </row>
    <row r="4851">
      <c r="A4851" t="inlineStr">
        <is>
          <t>2022-09-03</t>
        </is>
      </c>
      <c r="B4851" t="inlineStr">
        <is>
          <t>19:28</t>
        </is>
      </c>
      <c r="C4851" t="n">
        <v>3048</v>
      </c>
      <c r="D4851" s="6" t="n">
        <v>1.8</v>
      </c>
      <c r="E4851" t="n">
        <v>41872</v>
      </c>
      <c r="F4851" s="6" t="n">
        <v>1.8</v>
      </c>
      <c r="G4851" t="n">
        <v>1</v>
      </c>
      <c r="H4851" s="6">
        <f>ROUND(G4851*F4851,2)</f>
        <v/>
      </c>
      <c r="I4851">
        <f>IF(ROUND(H4851-D4851,2)=0,1,0)</f>
        <v/>
      </c>
      <c r="J4851">
        <f>IF(F4851="","none",IF(G4851=1,"carte","multiple"))</f>
        <v/>
      </c>
    </row>
    <row r="4852">
      <c r="A4852" t="inlineStr">
        <is>
          <t>2022-09-03</t>
        </is>
      </c>
      <c r="B4852" t="inlineStr">
        <is>
          <t>19:38</t>
        </is>
      </c>
      <c r="C4852" t="n">
        <v>3048</v>
      </c>
      <c r="D4852" s="6" t="n">
        <v>7.8</v>
      </c>
      <c r="E4852" t="n">
        <v>41873</v>
      </c>
      <c r="F4852" s="6" t="n">
        <v>7.8</v>
      </c>
      <c r="G4852" t="n">
        <v>1</v>
      </c>
      <c r="H4852" s="6">
        <f>ROUND(G4852*F4852,2)</f>
        <v/>
      </c>
      <c r="I4852">
        <f>IF(ROUND(H4852-D4852,2)=0,1,0)</f>
        <v/>
      </c>
      <c r="J4852">
        <f>IF(F4852="","none",IF(G4852=1,"carte","multiple"))</f>
        <v/>
      </c>
    </row>
    <row r="4853">
      <c r="A4853" t="inlineStr">
        <is>
          <t>2022-09-03</t>
        </is>
      </c>
      <c r="B4853" t="inlineStr">
        <is>
          <t>19:38</t>
        </is>
      </c>
      <c r="C4853" t="n">
        <v>3048</v>
      </c>
      <c r="D4853" s="6" t="n">
        <v>12</v>
      </c>
      <c r="E4853" t="n">
        <v>41874</v>
      </c>
      <c r="F4853" s="6" t="n">
        <v>12</v>
      </c>
      <c r="G4853" t="n">
        <v>1</v>
      </c>
      <c r="H4853" s="6">
        <f>ROUND(G4853*F4853,2)</f>
        <v/>
      </c>
      <c r="I4853">
        <f>IF(ROUND(H4853-D4853,2)=0,1,0)</f>
        <v/>
      </c>
      <c r="J4853">
        <f>IF(F4853="","none",IF(G4853=1,"carte","multiple"))</f>
        <v/>
      </c>
    </row>
    <row r="4854">
      <c r="A4854" t="inlineStr">
        <is>
          <t>2022-09-03</t>
        </is>
      </c>
      <c r="B4854" t="inlineStr">
        <is>
          <t>20:07</t>
        </is>
      </c>
      <c r="C4854" t="n">
        <v>3048</v>
      </c>
      <c r="D4854" s="6" t="n">
        <v>11.7</v>
      </c>
      <c r="E4854" t="n">
        <v>41875</v>
      </c>
      <c r="F4854" s="6" t="n">
        <v>0.9</v>
      </c>
      <c r="G4854" t="n">
        <v>13</v>
      </c>
      <c r="H4854" s="6">
        <f>ROUND(G4854*F4854,2)</f>
        <v/>
      </c>
      <c r="I4854">
        <f>IF(ROUND(H4854-D4854,2)=0,1,0)</f>
        <v/>
      </c>
      <c r="J4854">
        <f>IF(F4854="","none",IF(G4854=1,"carte","multiple"))</f>
        <v/>
      </c>
    </row>
    <row r="4855">
      <c r="A4855" t="inlineStr">
        <is>
          <t>2022-09-03</t>
        </is>
      </c>
      <c r="B4855" t="inlineStr">
        <is>
          <t>20:07</t>
        </is>
      </c>
      <c r="C4855" t="n">
        <v>3048</v>
      </c>
      <c r="D4855" s="6" t="n">
        <v>6.6</v>
      </c>
      <c r="E4855" t="n">
        <v>41876</v>
      </c>
      <c r="F4855" s="6" t="n">
        <v>6.6</v>
      </c>
      <c r="G4855" t="n">
        <v>1</v>
      </c>
      <c r="H4855" s="6">
        <f>ROUND(G4855*F4855,2)</f>
        <v/>
      </c>
      <c r="I4855">
        <f>IF(ROUND(H4855-D4855,2)=0,1,0)</f>
        <v/>
      </c>
      <c r="J4855">
        <f>IF(F4855="","none",IF(G4855=1,"carte","multiple"))</f>
        <v/>
      </c>
    </row>
    <row r="4856">
      <c r="A4856" t="inlineStr">
        <is>
          <t>2022-09-03</t>
        </is>
      </c>
      <c r="B4856" t="inlineStr">
        <is>
          <t>20:07</t>
        </is>
      </c>
      <c r="C4856" t="n">
        <v>3048</v>
      </c>
      <c r="D4856" s="6" t="n">
        <v>15.9</v>
      </c>
      <c r="E4856" t="n">
        <v>41877</v>
      </c>
      <c r="F4856" s="6" t="n">
        <v>15.9</v>
      </c>
      <c r="G4856" t="n">
        <v>1</v>
      </c>
      <c r="H4856" s="6">
        <f>ROUND(G4856*F4856,2)</f>
        <v/>
      </c>
      <c r="I4856">
        <f>IF(ROUND(H4856-D4856,2)=0,1,0)</f>
        <v/>
      </c>
      <c r="J4856">
        <f>IF(F4856="","none",IF(G4856=1,"carte","multiple"))</f>
        <v/>
      </c>
    </row>
    <row r="4857">
      <c r="A4857" t="inlineStr">
        <is>
          <t>2022-09-03</t>
        </is>
      </c>
      <c r="B4857" t="inlineStr">
        <is>
          <t>20:18</t>
        </is>
      </c>
      <c r="C4857" t="n">
        <v>3048</v>
      </c>
      <c r="D4857" s="6" t="n">
        <v>17.6</v>
      </c>
      <c r="E4857" t="n">
        <v>41878</v>
      </c>
      <c r="F4857" s="6" t="n">
        <v>17.6</v>
      </c>
      <c r="G4857" t="n">
        <v>1</v>
      </c>
      <c r="H4857" s="6">
        <f>ROUND(G4857*F4857,2)</f>
        <v/>
      </c>
      <c r="I4857">
        <f>IF(ROUND(H4857-D4857,2)=0,1,0)</f>
        <v/>
      </c>
      <c r="J4857">
        <f>IF(F4857="","none",IF(G4857=1,"carte","multiple"))</f>
        <v/>
      </c>
    </row>
    <row r="4858">
      <c r="A4858" t="inlineStr">
        <is>
          <t>2022-09-04</t>
        </is>
      </c>
      <c r="B4858" t="inlineStr">
        <is>
          <t>11:07</t>
        </is>
      </c>
      <c r="C4858" t="n">
        <v>3049</v>
      </c>
      <c r="D4858" s="6" t="n">
        <v>4.2</v>
      </c>
      <c r="E4858" t="n">
        <v>41881</v>
      </c>
      <c r="F4858" s="6" t="n">
        <v>4.2</v>
      </c>
      <c r="G4858" t="n">
        <v>1</v>
      </c>
      <c r="H4858" s="6">
        <f>ROUND(G4858*F4858,2)</f>
        <v/>
      </c>
      <c r="I4858">
        <f>IF(ROUND(H4858-D4858,2)=0,1,0)</f>
        <v/>
      </c>
      <c r="J4858">
        <f>IF(F4858="","none",IF(G4858=1,"carte","multiple"))</f>
        <v/>
      </c>
    </row>
    <row r="4859">
      <c r="A4859" t="inlineStr">
        <is>
          <t>2022-09-04</t>
        </is>
      </c>
      <c r="B4859" t="inlineStr">
        <is>
          <t>12:23</t>
        </is>
      </c>
      <c r="C4859" t="n">
        <v>3049</v>
      </c>
      <c r="D4859" s="6" t="n">
        <v>6.9</v>
      </c>
      <c r="E4859" t="n">
        <v>41882</v>
      </c>
      <c r="F4859" s="6" t="n">
        <v>6.9</v>
      </c>
      <c r="G4859" t="n">
        <v>1</v>
      </c>
      <c r="H4859" s="6">
        <f>ROUND(G4859*F4859,2)</f>
        <v/>
      </c>
      <c r="I4859">
        <f>IF(ROUND(H4859-D4859,2)=0,1,0)</f>
        <v/>
      </c>
      <c r="J4859">
        <f>IF(F4859="","none",IF(G4859=1,"carte","multiple"))</f>
        <v/>
      </c>
    </row>
    <row r="4860">
      <c r="A4860" t="inlineStr">
        <is>
          <t>2022-09-04</t>
        </is>
      </c>
      <c r="B4860" t="inlineStr">
        <is>
          <t>12:42</t>
        </is>
      </c>
      <c r="C4860" t="n">
        <v>3049</v>
      </c>
      <c r="D4860" s="6" t="n">
        <v>8.300000000000001</v>
      </c>
      <c r="E4860" t="n">
        <v>41883</v>
      </c>
      <c r="F4860" s="6" t="n">
        <v>8.300000000000001</v>
      </c>
      <c r="G4860" t="n">
        <v>1</v>
      </c>
      <c r="H4860" s="6">
        <f>ROUND(G4860*F4860,2)</f>
        <v/>
      </c>
      <c r="I4860">
        <f>IF(ROUND(H4860-D4860,2)=0,1,0)</f>
        <v/>
      </c>
      <c r="J4860">
        <f>IF(F4860="","none",IF(G4860=1,"carte","multiple"))</f>
        <v/>
      </c>
    </row>
    <row r="4861">
      <c r="A4861" t="inlineStr">
        <is>
          <t>2022-09-04</t>
        </is>
      </c>
      <c r="B4861" t="inlineStr">
        <is>
          <t>12:42</t>
        </is>
      </c>
      <c r="C4861" t="n">
        <v>3049</v>
      </c>
      <c r="D4861" s="6" t="n">
        <v>3.9</v>
      </c>
      <c r="E4861" t="n">
        <v>41884</v>
      </c>
      <c r="F4861" s="6" t="n">
        <v>3.9</v>
      </c>
      <c r="G4861" t="n">
        <v>1</v>
      </c>
      <c r="H4861" s="6">
        <f>ROUND(G4861*F4861,2)</f>
        <v/>
      </c>
      <c r="I4861">
        <f>IF(ROUND(H4861-D4861,2)=0,1,0)</f>
        <v/>
      </c>
      <c r="J4861">
        <f>IF(F4861="","none",IF(G4861=1,"carte","multiple"))</f>
        <v/>
      </c>
    </row>
    <row r="4862">
      <c r="A4862" t="inlineStr">
        <is>
          <t>2022-09-04</t>
        </is>
      </c>
      <c r="B4862" t="inlineStr">
        <is>
          <t>12:42</t>
        </is>
      </c>
      <c r="C4862" t="n">
        <v>3049</v>
      </c>
      <c r="D4862" s="6" t="n">
        <v>5.6</v>
      </c>
      <c r="E4862" t="n">
        <v>41885</v>
      </c>
      <c r="F4862" s="6" t="n">
        <v>5.6</v>
      </c>
      <c r="G4862" t="n">
        <v>1</v>
      </c>
      <c r="H4862" s="6">
        <f>ROUND(G4862*F4862,2)</f>
        <v/>
      </c>
      <c r="I4862">
        <f>IF(ROUND(H4862-D4862,2)=0,1,0)</f>
        <v/>
      </c>
      <c r="J4862">
        <f>IF(F4862="","none",IF(G4862=1,"carte","multiple"))</f>
        <v/>
      </c>
    </row>
    <row r="4863">
      <c r="A4863" t="inlineStr">
        <is>
          <t>2022-09-04</t>
        </is>
      </c>
      <c r="B4863" t="inlineStr">
        <is>
          <t>12:45</t>
        </is>
      </c>
      <c r="C4863" t="n">
        <v>3049</v>
      </c>
      <c r="D4863" s="6" t="n">
        <v>2.4</v>
      </c>
      <c r="E4863" t="n">
        <v>41886</v>
      </c>
      <c r="F4863" s="6" t="n">
        <v>2.4</v>
      </c>
      <c r="G4863" t="n">
        <v>1</v>
      </c>
      <c r="H4863" s="6">
        <f>ROUND(G4863*F4863,2)</f>
        <v/>
      </c>
      <c r="I4863">
        <f>IF(ROUND(H4863-D4863,2)=0,1,0)</f>
        <v/>
      </c>
      <c r="J4863">
        <f>IF(F4863="","none",IF(G4863=1,"carte","multiple"))</f>
        <v/>
      </c>
    </row>
    <row r="4864">
      <c r="A4864" t="inlineStr">
        <is>
          <t>2022-09-04</t>
        </is>
      </c>
      <c r="B4864" t="inlineStr">
        <is>
          <t>12:45</t>
        </is>
      </c>
      <c r="C4864" t="n">
        <v>3049</v>
      </c>
      <c r="D4864" s="6" t="n">
        <v>2</v>
      </c>
      <c r="E4864" t="n">
        <v>41887</v>
      </c>
      <c r="F4864" s="6" t="n">
        <v>2</v>
      </c>
      <c r="G4864" t="n">
        <v>1</v>
      </c>
      <c r="H4864" s="6">
        <f>ROUND(G4864*F4864,2)</f>
        <v/>
      </c>
      <c r="I4864">
        <f>IF(ROUND(H4864-D4864,2)=0,1,0)</f>
        <v/>
      </c>
      <c r="J4864">
        <f>IF(F4864="","none",IF(G4864=1,"carte","multiple"))</f>
        <v/>
      </c>
    </row>
    <row r="4865">
      <c r="A4865" t="inlineStr">
        <is>
          <t>2022-09-04</t>
        </is>
      </c>
      <c r="B4865" t="inlineStr">
        <is>
          <t>12:45</t>
        </is>
      </c>
      <c r="C4865" t="n">
        <v>3049</v>
      </c>
      <c r="D4865" s="6" t="n">
        <v>1.2</v>
      </c>
      <c r="E4865" t="n">
        <v>41888</v>
      </c>
      <c r="F4865" s="6" t="n">
        <v>1.2</v>
      </c>
      <c r="G4865" t="n">
        <v>1</v>
      </c>
      <c r="H4865" s="6">
        <f>ROUND(G4865*F4865,2)</f>
        <v/>
      </c>
      <c r="I4865">
        <f>IF(ROUND(H4865-D4865,2)=0,1,0)</f>
        <v/>
      </c>
      <c r="J4865">
        <f>IF(F4865="","none",IF(G4865=1,"carte","multiple"))</f>
        <v/>
      </c>
    </row>
    <row r="4866">
      <c r="A4866" t="inlineStr">
        <is>
          <t>2022-09-04</t>
        </is>
      </c>
      <c r="B4866" t="inlineStr">
        <is>
          <t>12:45</t>
        </is>
      </c>
      <c r="C4866" t="n">
        <v>3049</v>
      </c>
      <c r="D4866" s="6" t="n">
        <v>4.7</v>
      </c>
      <c r="E4866" t="n">
        <v>41889</v>
      </c>
      <c r="F4866" s="6" t="n">
        <v>4.7</v>
      </c>
      <c r="G4866" t="n">
        <v>1</v>
      </c>
      <c r="H4866" s="6">
        <f>ROUND(G4866*F4866,2)</f>
        <v/>
      </c>
      <c r="I4866">
        <f>IF(ROUND(H4866-D4866,2)=0,1,0)</f>
        <v/>
      </c>
      <c r="J4866">
        <f>IF(F4866="","none",IF(G4866=1,"carte","multiple"))</f>
        <v/>
      </c>
    </row>
    <row r="4867">
      <c r="A4867" t="inlineStr">
        <is>
          <t>2022-09-04</t>
        </is>
      </c>
      <c r="B4867" t="inlineStr">
        <is>
          <t>12:45</t>
        </is>
      </c>
      <c r="C4867" t="n">
        <v>3049</v>
      </c>
      <c r="D4867" s="6" t="n">
        <v>6.9</v>
      </c>
      <c r="E4867" t="n">
        <v>41890</v>
      </c>
      <c r="F4867" s="6" t="n">
        <v>6.9</v>
      </c>
      <c r="G4867" t="n">
        <v>1</v>
      </c>
      <c r="H4867" s="6">
        <f>ROUND(G4867*F4867,2)</f>
        <v/>
      </c>
      <c r="I4867">
        <f>IF(ROUND(H4867-D4867,2)=0,1,0)</f>
        <v/>
      </c>
      <c r="J4867">
        <f>IF(F4867="","none",IF(G4867=1,"carte","multiple"))</f>
        <v/>
      </c>
    </row>
    <row r="4868">
      <c r="A4868" t="inlineStr">
        <is>
          <t>2022-09-04</t>
        </is>
      </c>
      <c r="B4868" t="inlineStr">
        <is>
          <t>12:45</t>
        </is>
      </c>
      <c r="C4868" t="n">
        <v>3049</v>
      </c>
      <c r="D4868" s="6" t="n">
        <v>3.9</v>
      </c>
      <c r="E4868" t="n">
        <v>41891</v>
      </c>
      <c r="F4868" s="6" t="n">
        <v>3.9</v>
      </c>
      <c r="G4868" t="n">
        <v>1</v>
      </c>
      <c r="H4868" s="6">
        <f>ROUND(G4868*F4868,2)</f>
        <v/>
      </c>
      <c r="I4868">
        <f>IF(ROUND(H4868-D4868,2)=0,1,0)</f>
        <v/>
      </c>
      <c r="J4868">
        <f>IF(F4868="","none",IF(G4868=1,"carte","multiple"))</f>
        <v/>
      </c>
    </row>
    <row r="4869">
      <c r="A4869" t="inlineStr">
        <is>
          <t>2022-09-04</t>
        </is>
      </c>
      <c r="B4869" t="inlineStr">
        <is>
          <t>12:45</t>
        </is>
      </c>
      <c r="C4869" t="n">
        <v>3049</v>
      </c>
      <c r="D4869" s="6" t="n">
        <v>9.6</v>
      </c>
      <c r="E4869" t="n">
        <v>41892</v>
      </c>
      <c r="F4869" s="6" t="n">
        <v>9.6</v>
      </c>
      <c r="G4869" t="n">
        <v>1</v>
      </c>
      <c r="H4869" s="6">
        <f>ROUND(G4869*F4869,2)</f>
        <v/>
      </c>
      <c r="I4869">
        <f>IF(ROUND(H4869-D4869,2)=0,1,0)</f>
        <v/>
      </c>
      <c r="J4869">
        <f>IF(F4869="","none",IF(G4869=1,"carte","multiple"))</f>
        <v/>
      </c>
    </row>
    <row r="4870">
      <c r="A4870" t="inlineStr">
        <is>
          <t>2022-09-04</t>
        </is>
      </c>
      <c r="B4870" t="inlineStr">
        <is>
          <t>12:45</t>
        </is>
      </c>
      <c r="C4870" t="n">
        <v>3049</v>
      </c>
      <c r="D4870" s="6" t="n">
        <v>16.4</v>
      </c>
      <c r="E4870" t="n">
        <v>41893</v>
      </c>
      <c r="F4870" s="6" t="n">
        <v>16.4</v>
      </c>
      <c r="G4870" t="n">
        <v>1</v>
      </c>
      <c r="H4870" s="6">
        <f>ROUND(G4870*F4870,2)</f>
        <v/>
      </c>
      <c r="I4870">
        <f>IF(ROUND(H4870-D4870,2)=0,1,0)</f>
        <v/>
      </c>
      <c r="J4870">
        <f>IF(F4870="","none",IF(G4870=1,"carte","multiple"))</f>
        <v/>
      </c>
    </row>
    <row r="4871">
      <c r="A4871" t="inlineStr">
        <is>
          <t>2022-09-04</t>
        </is>
      </c>
      <c r="B4871" t="inlineStr">
        <is>
          <t>12:45</t>
        </is>
      </c>
      <c r="C4871" t="n">
        <v>3049</v>
      </c>
      <c r="D4871" s="6" t="n">
        <v>17.6</v>
      </c>
      <c r="E4871" t="n">
        <v>41894</v>
      </c>
      <c r="F4871" s="6" t="n">
        <v>17.6</v>
      </c>
      <c r="G4871" t="n">
        <v>1</v>
      </c>
      <c r="H4871" s="6">
        <f>ROUND(G4871*F4871,2)</f>
        <v/>
      </c>
      <c r="I4871">
        <f>IF(ROUND(H4871-D4871,2)=0,1,0)</f>
        <v/>
      </c>
      <c r="J4871">
        <f>IF(F4871="","none",IF(G4871=1,"carte","multiple"))</f>
        <v/>
      </c>
    </row>
    <row r="4872">
      <c r="A4872" t="inlineStr">
        <is>
          <t>2022-09-04</t>
        </is>
      </c>
      <c r="B4872" t="inlineStr">
        <is>
          <t>12:45</t>
        </is>
      </c>
      <c r="C4872" t="n">
        <v>3049</v>
      </c>
      <c r="D4872" s="6" t="n">
        <v>13.4</v>
      </c>
      <c r="E4872" t="n">
        <v>41895</v>
      </c>
      <c r="F4872" s="6" t="n">
        <v>13.4</v>
      </c>
      <c r="G4872" t="n">
        <v>1</v>
      </c>
      <c r="H4872" s="6">
        <f>ROUND(G4872*F4872,2)</f>
        <v/>
      </c>
      <c r="I4872">
        <f>IF(ROUND(H4872-D4872,2)=0,1,0)</f>
        <v/>
      </c>
      <c r="J4872">
        <f>IF(F4872="","none",IF(G4872=1,"carte","multiple"))</f>
        <v/>
      </c>
    </row>
    <row r="4873">
      <c r="A4873" t="inlineStr">
        <is>
          <t>2022-09-04</t>
        </is>
      </c>
      <c r="B4873" t="inlineStr">
        <is>
          <t>13:02</t>
        </is>
      </c>
      <c r="C4873" t="n">
        <v>3049</v>
      </c>
      <c r="D4873" s="6" t="n">
        <v>4.4</v>
      </c>
      <c r="E4873" t="n">
        <v>41896</v>
      </c>
      <c r="F4873" s="6" t="n">
        <v>0.4</v>
      </c>
      <c r="G4873" t="n">
        <v>11</v>
      </c>
      <c r="H4873" s="6">
        <f>ROUND(G4873*F4873,2)</f>
        <v/>
      </c>
      <c r="I4873">
        <f>IF(ROUND(H4873-D4873,2)=0,1,0)</f>
        <v/>
      </c>
      <c r="J4873">
        <f>IF(F4873="","none",IF(G4873=1,"carte","multiple"))</f>
        <v/>
      </c>
    </row>
    <row r="4874">
      <c r="A4874" t="inlineStr">
        <is>
          <t>2022-09-04</t>
        </is>
      </c>
      <c r="B4874" t="inlineStr">
        <is>
          <t>13:02</t>
        </is>
      </c>
      <c r="C4874" t="n">
        <v>3049</v>
      </c>
      <c r="D4874" s="6" t="n">
        <v>6.9</v>
      </c>
      <c r="E4874" t="n">
        <v>41897</v>
      </c>
      <c r="F4874" s="6" t="n">
        <v>6.9</v>
      </c>
      <c r="G4874" t="n">
        <v>1</v>
      </c>
      <c r="H4874" s="6">
        <f>ROUND(G4874*F4874,2)</f>
        <v/>
      </c>
      <c r="I4874">
        <f>IF(ROUND(H4874-D4874,2)=0,1,0)</f>
        <v/>
      </c>
      <c r="J4874">
        <f>IF(F4874="","none",IF(G4874=1,"carte","multiple"))</f>
        <v/>
      </c>
    </row>
    <row r="4875">
      <c r="A4875" t="inlineStr">
        <is>
          <t>2022-09-04</t>
        </is>
      </c>
      <c r="B4875" t="inlineStr">
        <is>
          <t>13:02</t>
        </is>
      </c>
      <c r="C4875" t="n">
        <v>3049</v>
      </c>
      <c r="D4875" s="6" t="n">
        <v>8.699999999999999</v>
      </c>
      <c r="E4875" t="n">
        <v>41898</v>
      </c>
      <c r="F4875" s="6" t="n">
        <v>8.699999999999999</v>
      </c>
      <c r="G4875" t="n">
        <v>1</v>
      </c>
      <c r="H4875" s="6">
        <f>ROUND(G4875*F4875,2)</f>
        <v/>
      </c>
      <c r="I4875">
        <f>IF(ROUND(H4875-D4875,2)=0,1,0)</f>
        <v/>
      </c>
      <c r="J4875">
        <f>IF(F4875="","none",IF(G4875=1,"carte","multiple"))</f>
        <v/>
      </c>
    </row>
    <row r="4876">
      <c r="A4876" t="inlineStr">
        <is>
          <t>2022-09-04</t>
        </is>
      </c>
      <c r="B4876" t="inlineStr">
        <is>
          <t>13:02</t>
        </is>
      </c>
      <c r="C4876" t="n">
        <v>3049</v>
      </c>
      <c r="D4876" s="6" t="n">
        <v>8.699999999999999</v>
      </c>
      <c r="E4876" t="n">
        <v>41899</v>
      </c>
      <c r="F4876" s="6" t="n">
        <v>8.699999999999999</v>
      </c>
      <c r="G4876" t="n">
        <v>1</v>
      </c>
      <c r="H4876" s="6">
        <f>ROUND(G4876*F4876,2)</f>
        <v/>
      </c>
      <c r="I4876">
        <f>IF(ROUND(H4876-D4876,2)=0,1,0)</f>
        <v/>
      </c>
      <c r="J4876">
        <f>IF(F4876="","none",IF(G4876=1,"carte","multiple"))</f>
        <v/>
      </c>
    </row>
    <row r="4877">
      <c r="A4877" t="inlineStr">
        <is>
          <t>2022-09-04</t>
        </is>
      </c>
      <c r="B4877" t="inlineStr">
        <is>
          <t>13:02</t>
        </is>
      </c>
      <c r="C4877" t="n">
        <v>3049</v>
      </c>
      <c r="D4877" s="6" t="n">
        <v>3.9</v>
      </c>
      <c r="E4877" t="n">
        <v>41900</v>
      </c>
      <c r="F4877" s="6" t="n">
        <v>3.9</v>
      </c>
      <c r="G4877" t="n">
        <v>1</v>
      </c>
      <c r="H4877" s="6">
        <f>ROUND(G4877*F4877,2)</f>
        <v/>
      </c>
      <c r="I4877">
        <f>IF(ROUND(H4877-D4877,2)=0,1,0)</f>
        <v/>
      </c>
      <c r="J4877">
        <f>IF(F4877="","none",IF(G4877=1,"carte","multiple"))</f>
        <v/>
      </c>
    </row>
    <row r="4878">
      <c r="A4878" t="inlineStr">
        <is>
          <t>2022-09-04</t>
        </is>
      </c>
      <c r="B4878" t="inlineStr">
        <is>
          <t>13:02</t>
        </is>
      </c>
      <c r="C4878" t="n">
        <v>3049</v>
      </c>
      <c r="D4878" s="6" t="n">
        <v>9.800000000000001</v>
      </c>
      <c r="E4878" t="n">
        <v>41901</v>
      </c>
      <c r="F4878" s="6" t="n">
        <v>9.800000000000001</v>
      </c>
      <c r="G4878" t="n">
        <v>1</v>
      </c>
      <c r="H4878" s="6">
        <f>ROUND(G4878*F4878,2)</f>
        <v/>
      </c>
      <c r="I4878">
        <f>IF(ROUND(H4878-D4878,2)=0,1,0)</f>
        <v/>
      </c>
      <c r="J4878">
        <f>IF(F4878="","none",IF(G4878=1,"carte","multiple"))</f>
        <v/>
      </c>
    </row>
    <row r="4879">
      <c r="A4879" t="inlineStr">
        <is>
          <t>2022-09-04</t>
        </is>
      </c>
      <c r="B4879" t="inlineStr">
        <is>
          <t>13:02</t>
        </is>
      </c>
      <c r="C4879" t="n">
        <v>3049</v>
      </c>
      <c r="D4879" s="6" t="n">
        <v>35.2</v>
      </c>
      <c r="E4879" t="n">
        <v>41902</v>
      </c>
      <c r="F4879" s="6" t="n">
        <v>0.4</v>
      </c>
      <c r="G4879" t="n">
        <v>88</v>
      </c>
      <c r="H4879" s="6">
        <f>ROUND(G4879*F4879,2)</f>
        <v/>
      </c>
      <c r="I4879">
        <f>IF(ROUND(H4879-D4879,2)=0,1,0)</f>
        <v/>
      </c>
      <c r="J4879">
        <f>IF(F4879="","none",IF(G4879=1,"carte","multiple"))</f>
        <v/>
      </c>
    </row>
    <row r="4880">
      <c r="A4880" t="inlineStr">
        <is>
          <t>2022-09-04</t>
        </is>
      </c>
      <c r="B4880" t="inlineStr">
        <is>
          <t>13:02</t>
        </is>
      </c>
      <c r="C4880" t="n">
        <v>3049</v>
      </c>
      <c r="D4880" s="6" t="n">
        <v>3.9</v>
      </c>
      <c r="E4880" t="n">
        <v>41903</v>
      </c>
      <c r="F4880" s="6" t="n">
        <v>3.9</v>
      </c>
      <c r="G4880" t="n">
        <v>1</v>
      </c>
      <c r="H4880" s="6">
        <f>ROUND(G4880*F4880,2)</f>
        <v/>
      </c>
      <c r="I4880">
        <f>IF(ROUND(H4880-D4880,2)=0,1,0)</f>
        <v/>
      </c>
      <c r="J4880">
        <f>IF(F4880="","none",IF(G4880=1,"carte","multiple"))</f>
        <v/>
      </c>
    </row>
    <row r="4881">
      <c r="A4881" t="inlineStr">
        <is>
          <t>2022-09-04</t>
        </is>
      </c>
      <c r="B4881" t="inlineStr">
        <is>
          <t>13:02</t>
        </is>
      </c>
      <c r="C4881" t="n">
        <v>3049</v>
      </c>
      <c r="D4881" s="6" t="n">
        <v>29.8</v>
      </c>
      <c r="E4881" t="n">
        <v>41904</v>
      </c>
      <c r="F4881" s="6" t="n">
        <v>14.9</v>
      </c>
      <c r="G4881" t="n">
        <v>2</v>
      </c>
      <c r="H4881" s="6">
        <f>ROUND(G4881*F4881,2)</f>
        <v/>
      </c>
      <c r="I4881">
        <f>IF(ROUND(H4881-D4881,2)=0,1,0)</f>
        <v/>
      </c>
      <c r="J4881">
        <f>IF(F4881="","none",IF(G4881=1,"carte","multiple"))</f>
        <v/>
      </c>
    </row>
    <row r="4882">
      <c r="A4882" t="inlineStr">
        <is>
          <t>2022-09-04</t>
        </is>
      </c>
      <c r="B4882" t="inlineStr">
        <is>
          <t>13:02</t>
        </is>
      </c>
      <c r="C4882" t="n">
        <v>3049</v>
      </c>
      <c r="D4882" s="6" t="n">
        <v>24</v>
      </c>
      <c r="E4882" t="n">
        <v>41905</v>
      </c>
      <c r="F4882" s="6" t="n">
        <v>24</v>
      </c>
      <c r="G4882" t="n">
        <v>1</v>
      </c>
      <c r="H4882" s="6">
        <f>ROUND(G4882*F4882,2)</f>
        <v/>
      </c>
      <c r="I4882">
        <f>IF(ROUND(H4882-D4882,2)=0,1,0)</f>
        <v/>
      </c>
      <c r="J4882">
        <f>IF(F4882="","none",IF(G4882=1,"carte","multiple"))</f>
        <v/>
      </c>
    </row>
    <row r="4883">
      <c r="A4883" t="inlineStr">
        <is>
          <t>2022-09-04</t>
        </is>
      </c>
      <c r="B4883" t="inlineStr">
        <is>
          <t>13:14</t>
        </is>
      </c>
      <c r="C4883" t="n">
        <v>3049</v>
      </c>
      <c r="D4883" s="6" t="n">
        <v>6.6</v>
      </c>
      <c r="E4883" t="n">
        <v>41906</v>
      </c>
      <c r="F4883" s="6" t="n">
        <v>6.6</v>
      </c>
      <c r="G4883" t="n">
        <v>1</v>
      </c>
      <c r="H4883" s="6">
        <f>ROUND(G4883*F4883,2)</f>
        <v/>
      </c>
      <c r="I4883">
        <f>IF(ROUND(H4883-D4883,2)=0,1,0)</f>
        <v/>
      </c>
      <c r="J4883">
        <f>IF(F4883="","none",IF(G4883=1,"carte","multiple"))</f>
        <v/>
      </c>
    </row>
    <row r="4884">
      <c r="A4884" t="inlineStr">
        <is>
          <t>2022-09-04</t>
        </is>
      </c>
      <c r="B4884" t="inlineStr">
        <is>
          <t>13:14</t>
        </is>
      </c>
      <c r="C4884" t="n">
        <v>3049</v>
      </c>
      <c r="D4884" s="6" t="n">
        <v>6.9</v>
      </c>
      <c r="E4884" t="n">
        <v>41907</v>
      </c>
      <c r="F4884" s="6" t="n">
        <v>6.9</v>
      </c>
      <c r="G4884" t="n">
        <v>1</v>
      </c>
      <c r="H4884" s="6">
        <f>ROUND(G4884*F4884,2)</f>
        <v/>
      </c>
      <c r="I4884">
        <f>IF(ROUND(H4884-D4884,2)=0,1,0)</f>
        <v/>
      </c>
      <c r="J4884">
        <f>IF(F4884="","none",IF(G4884=1,"carte","multiple"))</f>
        <v/>
      </c>
    </row>
    <row r="4885">
      <c r="A4885" t="inlineStr">
        <is>
          <t>2022-09-04</t>
        </is>
      </c>
      <c r="B4885" t="inlineStr">
        <is>
          <t>13:14</t>
        </is>
      </c>
      <c r="C4885" t="n">
        <v>3049</v>
      </c>
      <c r="D4885" s="6" t="n">
        <v>17.4</v>
      </c>
      <c r="E4885" t="n">
        <v>41908</v>
      </c>
      <c r="F4885" s="6" t="n">
        <v>2.9</v>
      </c>
      <c r="G4885" t="n">
        <v>6</v>
      </c>
      <c r="H4885" s="6">
        <f>ROUND(G4885*F4885,2)</f>
        <v/>
      </c>
      <c r="I4885">
        <f>IF(ROUND(H4885-D4885,2)=0,1,0)</f>
        <v/>
      </c>
      <c r="J4885">
        <f>IF(F4885="","none",IF(G4885=1,"carte","multiple"))</f>
        <v/>
      </c>
    </row>
    <row r="4886">
      <c r="A4886" t="inlineStr">
        <is>
          <t>2022-09-04</t>
        </is>
      </c>
      <c r="B4886" t="inlineStr">
        <is>
          <t>13:14</t>
        </is>
      </c>
      <c r="C4886" t="n">
        <v>3049</v>
      </c>
      <c r="D4886" s="6" t="n">
        <v>35.2</v>
      </c>
      <c r="E4886" t="n">
        <v>41909</v>
      </c>
      <c r="F4886" s="6" t="n">
        <v>0.4</v>
      </c>
      <c r="G4886" t="n">
        <v>88</v>
      </c>
      <c r="H4886" s="6">
        <f>ROUND(G4886*F4886,2)</f>
        <v/>
      </c>
      <c r="I4886">
        <f>IF(ROUND(H4886-D4886,2)=0,1,0)</f>
        <v/>
      </c>
      <c r="J4886">
        <f>IF(F4886="","none",IF(G4886=1,"carte","multiple"))</f>
        <v/>
      </c>
    </row>
    <row r="4887">
      <c r="A4887" t="inlineStr">
        <is>
          <t>2022-09-04</t>
        </is>
      </c>
      <c r="B4887" t="inlineStr">
        <is>
          <t>13:14</t>
        </is>
      </c>
      <c r="C4887" t="n">
        <v>3049</v>
      </c>
      <c r="D4887" s="6" t="n">
        <v>13</v>
      </c>
      <c r="E4887" t="n">
        <v>41910</v>
      </c>
      <c r="F4887" s="6" t="n">
        <v>13</v>
      </c>
      <c r="G4887" t="n">
        <v>1</v>
      </c>
      <c r="H4887" s="6">
        <f>ROUND(G4887*F4887,2)</f>
        <v/>
      </c>
      <c r="I4887">
        <f>IF(ROUND(H4887-D4887,2)=0,1,0)</f>
        <v/>
      </c>
      <c r="J4887">
        <f>IF(F4887="","none",IF(G4887=1,"carte","multiple"))</f>
        <v/>
      </c>
    </row>
    <row r="4888">
      <c r="A4888" t="inlineStr">
        <is>
          <t>2022-09-04</t>
        </is>
      </c>
      <c r="B4888" t="inlineStr">
        <is>
          <t>13:14</t>
        </is>
      </c>
      <c r="C4888" t="n">
        <v>3049</v>
      </c>
      <c r="D4888" s="6" t="n">
        <v>64</v>
      </c>
      <c r="E4888" t="n">
        <v>41911</v>
      </c>
      <c r="F4888" s="6" t="n">
        <v>64</v>
      </c>
      <c r="G4888" t="n">
        <v>1</v>
      </c>
      <c r="H4888" s="6">
        <f>ROUND(G4888*F4888,2)</f>
        <v/>
      </c>
      <c r="I4888">
        <f>IF(ROUND(H4888-D4888,2)=0,1,0)</f>
        <v/>
      </c>
      <c r="J4888">
        <f>IF(F4888="","none",IF(G4888=1,"carte","multiple"))</f>
        <v/>
      </c>
    </row>
    <row r="4889">
      <c r="A4889" t="inlineStr">
        <is>
          <t>2022-09-04</t>
        </is>
      </c>
      <c r="B4889" t="inlineStr">
        <is>
          <t>13:14</t>
        </is>
      </c>
      <c r="C4889" t="n">
        <v>3049</v>
      </c>
      <c r="D4889" s="6" t="n">
        <v>32</v>
      </c>
      <c r="E4889" t="n">
        <v>41912</v>
      </c>
      <c r="F4889" s="6" t="n">
        <v>32</v>
      </c>
      <c r="G4889" t="n">
        <v>1</v>
      </c>
      <c r="H4889" s="6">
        <f>ROUND(G4889*F4889,2)</f>
        <v/>
      </c>
      <c r="I4889">
        <f>IF(ROUND(H4889-D4889,2)=0,1,0)</f>
        <v/>
      </c>
      <c r="J4889">
        <f>IF(F4889="","none",IF(G4889=1,"carte","multiple"))</f>
        <v/>
      </c>
    </row>
    <row r="4890">
      <c r="A4890" t="inlineStr">
        <is>
          <t>2022-09-04</t>
        </is>
      </c>
      <c r="B4890" t="inlineStr">
        <is>
          <t>13:14</t>
        </is>
      </c>
      <c r="C4890" t="n">
        <v>3049</v>
      </c>
      <c r="D4890" s="6" t="n">
        <v>30</v>
      </c>
      <c r="E4890" t="n">
        <v>41913</v>
      </c>
      <c r="F4890" s="6" t="n">
        <v>30</v>
      </c>
      <c r="G4890" t="n">
        <v>1</v>
      </c>
      <c r="H4890" s="6">
        <f>ROUND(G4890*F4890,2)</f>
        <v/>
      </c>
      <c r="I4890">
        <f>IF(ROUND(H4890-D4890,2)=0,1,0)</f>
        <v/>
      </c>
      <c r="J4890">
        <f>IF(F4890="","none",IF(G4890=1,"carte","multiple"))</f>
        <v/>
      </c>
    </row>
    <row r="4891">
      <c r="A4891" t="inlineStr">
        <is>
          <t>2022-09-04</t>
        </is>
      </c>
      <c r="B4891" t="inlineStr">
        <is>
          <t>13:14</t>
        </is>
      </c>
      <c r="C4891" t="n">
        <v>3049</v>
      </c>
      <c r="D4891" s="6" t="n">
        <v>39.5</v>
      </c>
      <c r="E4891" t="n">
        <v>41914</v>
      </c>
      <c r="F4891" s="6" t="n">
        <v>39.5</v>
      </c>
      <c r="G4891" t="n">
        <v>1</v>
      </c>
      <c r="H4891" s="6">
        <f>ROUND(G4891*F4891,2)</f>
        <v/>
      </c>
      <c r="I4891">
        <f>IF(ROUND(H4891-D4891,2)=0,1,0)</f>
        <v/>
      </c>
      <c r="J4891">
        <f>IF(F4891="","none",IF(G4891=1,"carte","multiple"))</f>
        <v/>
      </c>
    </row>
    <row r="4892">
      <c r="A4892" t="inlineStr">
        <is>
          <t>2022-09-04</t>
        </is>
      </c>
      <c r="B4892" t="inlineStr">
        <is>
          <t>13:14</t>
        </is>
      </c>
      <c r="C4892" t="n">
        <v>3049</v>
      </c>
      <c r="D4892" s="6" t="n">
        <v>14.7</v>
      </c>
      <c r="E4892" t="n">
        <v>41915</v>
      </c>
      <c r="F4892" s="6" t="n">
        <v>4.9</v>
      </c>
      <c r="G4892" t="n">
        <v>3</v>
      </c>
      <c r="H4892" s="6">
        <f>ROUND(G4892*F4892,2)</f>
        <v/>
      </c>
      <c r="I4892">
        <f>IF(ROUND(H4892-D4892,2)=0,1,0)</f>
        <v/>
      </c>
      <c r="J4892">
        <f>IF(F4892="","none",IF(G4892=1,"carte","multiple"))</f>
        <v/>
      </c>
    </row>
    <row r="4893">
      <c r="A4893" t="inlineStr">
        <is>
          <t>2022-09-04</t>
        </is>
      </c>
      <c r="B4893" t="inlineStr">
        <is>
          <t>13:14</t>
        </is>
      </c>
      <c r="C4893" t="n">
        <v>3049</v>
      </c>
      <c r="D4893" s="6" t="n">
        <v>15.6</v>
      </c>
      <c r="E4893" t="n">
        <v>41916</v>
      </c>
      <c r="F4893" s="6" t="n">
        <v>15.6</v>
      </c>
      <c r="G4893" t="n">
        <v>1</v>
      </c>
      <c r="H4893" s="6">
        <f>ROUND(G4893*F4893,2)</f>
        <v/>
      </c>
      <c r="I4893">
        <f>IF(ROUND(H4893-D4893,2)=0,1,0)</f>
        <v/>
      </c>
      <c r="J4893">
        <f>IF(F4893="","none",IF(G4893=1,"carte","multiple"))</f>
        <v/>
      </c>
    </row>
    <row r="4894">
      <c r="A4894" t="inlineStr">
        <is>
          <t>2022-09-04</t>
        </is>
      </c>
      <c r="B4894" t="inlineStr">
        <is>
          <t>13:19</t>
        </is>
      </c>
      <c r="C4894" t="n">
        <v>3049</v>
      </c>
      <c r="D4894" s="6" t="n">
        <v>28</v>
      </c>
      <c r="E4894" t="n">
        <v>41917</v>
      </c>
      <c r="F4894" s="6" t="n">
        <v>28</v>
      </c>
      <c r="G4894" t="n">
        <v>1</v>
      </c>
      <c r="H4894" s="6">
        <f>ROUND(G4894*F4894,2)</f>
        <v/>
      </c>
      <c r="I4894">
        <f>IF(ROUND(H4894-D4894,2)=0,1,0)</f>
        <v/>
      </c>
      <c r="J4894">
        <f>IF(F4894="","none",IF(G4894=1,"carte","multiple"))</f>
        <v/>
      </c>
    </row>
    <row r="4895">
      <c r="A4895" t="inlineStr">
        <is>
          <t>2022-09-04</t>
        </is>
      </c>
      <c r="B4895" t="inlineStr">
        <is>
          <t>13:20</t>
        </is>
      </c>
      <c r="C4895" t="n">
        <v>3049</v>
      </c>
      <c r="D4895" s="6" t="n">
        <v>14</v>
      </c>
      <c r="E4895" t="n">
        <v>41918</v>
      </c>
      <c r="F4895" s="6" t="n">
        <v>14</v>
      </c>
      <c r="G4895" t="n">
        <v>1</v>
      </c>
      <c r="H4895" s="6">
        <f>ROUND(G4895*F4895,2)</f>
        <v/>
      </c>
      <c r="I4895">
        <f>IF(ROUND(H4895-D4895,2)=0,1,0)</f>
        <v/>
      </c>
      <c r="J4895">
        <f>IF(F4895="","none",IF(G4895=1,"carte","multiple"))</f>
        <v/>
      </c>
    </row>
    <row r="4896">
      <c r="A4896" t="inlineStr">
        <is>
          <t>2022-09-04</t>
        </is>
      </c>
      <c r="B4896" t="inlineStr">
        <is>
          <t>13:20</t>
        </is>
      </c>
      <c r="C4896" t="n">
        <v>3049</v>
      </c>
      <c r="D4896" s="6" t="n">
        <v>28.6</v>
      </c>
      <c r="E4896" t="n">
        <v>41919</v>
      </c>
      <c r="F4896" s="6" t="n">
        <v>28.6</v>
      </c>
      <c r="G4896" t="n">
        <v>1</v>
      </c>
      <c r="H4896" s="6">
        <f>ROUND(G4896*F4896,2)</f>
        <v/>
      </c>
      <c r="I4896">
        <f>IF(ROUND(H4896-D4896,2)=0,1,0)</f>
        <v/>
      </c>
      <c r="J4896">
        <f>IF(F4896="","none",IF(G4896=1,"carte","multiple"))</f>
        <v/>
      </c>
    </row>
    <row r="4897">
      <c r="A4897" t="inlineStr">
        <is>
          <t>2022-09-04</t>
        </is>
      </c>
      <c r="B4897" t="inlineStr">
        <is>
          <t>17:44</t>
        </is>
      </c>
      <c r="C4897" t="n">
        <v>3049</v>
      </c>
      <c r="D4897" s="6" t="n">
        <v>3.9</v>
      </c>
      <c r="E4897" t="n">
        <v>41921</v>
      </c>
      <c r="F4897" s="6" t="n">
        <v>3.9</v>
      </c>
      <c r="G4897" t="n">
        <v>1</v>
      </c>
      <c r="H4897" s="6">
        <f>ROUND(G4897*F4897,2)</f>
        <v/>
      </c>
      <c r="I4897">
        <f>IF(ROUND(H4897-D4897,2)=0,1,0)</f>
        <v/>
      </c>
      <c r="J4897">
        <f>IF(F4897="","none",IF(G4897=1,"carte","multiple"))</f>
        <v/>
      </c>
    </row>
    <row r="4898">
      <c r="A4898" t="inlineStr">
        <is>
          <t>2022-09-04</t>
        </is>
      </c>
      <c r="B4898" t="inlineStr">
        <is>
          <t>17:44</t>
        </is>
      </c>
      <c r="C4898" t="n">
        <v>3049</v>
      </c>
      <c r="D4898" s="6" t="n">
        <v>32</v>
      </c>
      <c r="E4898" t="n">
        <v>41922</v>
      </c>
      <c r="F4898" s="6" t="n">
        <v>32</v>
      </c>
      <c r="G4898" t="n">
        <v>1</v>
      </c>
      <c r="H4898" s="6">
        <f>ROUND(G4898*F4898,2)</f>
        <v/>
      </c>
      <c r="I4898">
        <f>IF(ROUND(H4898-D4898,2)=0,1,0)</f>
        <v/>
      </c>
      <c r="J4898">
        <f>IF(F4898="","none",IF(G4898=1,"carte","multiple"))</f>
        <v/>
      </c>
    </row>
    <row r="4899">
      <c r="A4899" t="inlineStr">
        <is>
          <t>2022-09-04</t>
        </is>
      </c>
      <c r="B4899" t="inlineStr">
        <is>
          <t>18:03</t>
        </is>
      </c>
      <c r="C4899" t="n">
        <v>3049</v>
      </c>
      <c r="D4899" s="6" t="n">
        <v>5.9</v>
      </c>
      <c r="E4899" t="n">
        <v>41923</v>
      </c>
      <c r="F4899" s="6" t="n">
        <v>5.9</v>
      </c>
      <c r="G4899" t="n">
        <v>1</v>
      </c>
      <c r="H4899" s="6">
        <f>ROUND(G4899*F4899,2)</f>
        <v/>
      </c>
      <c r="I4899">
        <f>IF(ROUND(H4899-D4899,2)=0,1,0)</f>
        <v/>
      </c>
      <c r="J4899">
        <f>IF(F4899="","none",IF(G4899=1,"carte","multiple"))</f>
        <v/>
      </c>
    </row>
    <row r="4900">
      <c r="A4900" t="inlineStr">
        <is>
          <t>2022-09-04</t>
        </is>
      </c>
      <c r="B4900" t="inlineStr">
        <is>
          <t>18:09</t>
        </is>
      </c>
      <c r="C4900" t="n">
        <v>3049</v>
      </c>
      <c r="D4900" s="6" t="n">
        <v>2.9</v>
      </c>
      <c r="E4900" t="n">
        <v>41924</v>
      </c>
      <c r="F4900" s="6" t="n">
        <v>2.9</v>
      </c>
      <c r="G4900" t="n">
        <v>1</v>
      </c>
      <c r="H4900" s="6">
        <f>ROUND(G4900*F4900,2)</f>
        <v/>
      </c>
      <c r="I4900">
        <f>IF(ROUND(H4900-D4900,2)=0,1,0)</f>
        <v/>
      </c>
      <c r="J4900">
        <f>IF(F4900="","none",IF(G4900=1,"carte","multiple"))</f>
        <v/>
      </c>
    </row>
    <row r="4901">
      <c r="A4901" t="inlineStr">
        <is>
          <t>2022-09-04</t>
        </is>
      </c>
      <c r="B4901" t="inlineStr">
        <is>
          <t>18:09</t>
        </is>
      </c>
      <c r="C4901" t="n">
        <v>3049</v>
      </c>
      <c r="D4901" s="6" t="n">
        <v>19</v>
      </c>
      <c r="E4901" t="n">
        <v>41925</v>
      </c>
      <c r="F4901" s="6" t="n">
        <v>19</v>
      </c>
      <c r="G4901" t="n">
        <v>1</v>
      </c>
      <c r="H4901" s="6">
        <f>ROUND(G4901*F4901,2)</f>
        <v/>
      </c>
      <c r="I4901">
        <f>IF(ROUND(H4901-D4901,2)=0,1,0)</f>
        <v/>
      </c>
      <c r="J4901">
        <f>IF(F4901="","none",IF(G4901=1,"carte","multiple"))</f>
        <v/>
      </c>
    </row>
    <row r="4902">
      <c r="A4902" t="inlineStr">
        <is>
          <t>2022-09-04</t>
        </is>
      </c>
      <c r="B4902" t="inlineStr">
        <is>
          <t>18:09</t>
        </is>
      </c>
      <c r="C4902" t="n">
        <v>3049</v>
      </c>
      <c r="D4902" s="6" t="n">
        <v>7.5</v>
      </c>
      <c r="E4902" t="n">
        <v>41926</v>
      </c>
      <c r="F4902" s="6" t="n">
        <v>7.5</v>
      </c>
      <c r="G4902" t="n">
        <v>1</v>
      </c>
      <c r="H4902" s="6">
        <f>ROUND(G4902*F4902,2)</f>
        <v/>
      </c>
      <c r="I4902">
        <f>IF(ROUND(H4902-D4902,2)=0,1,0)</f>
        <v/>
      </c>
      <c r="J4902">
        <f>IF(F4902="","none",IF(G4902=1,"carte","multiple"))</f>
        <v/>
      </c>
    </row>
    <row r="4903">
      <c r="A4903" t="inlineStr">
        <is>
          <t>2022-09-04</t>
        </is>
      </c>
      <c r="B4903" t="inlineStr">
        <is>
          <t>18:09</t>
        </is>
      </c>
      <c r="C4903" t="n">
        <v>3049</v>
      </c>
      <c r="D4903" s="6" t="n">
        <v>7.8</v>
      </c>
      <c r="E4903" t="n">
        <v>41927</v>
      </c>
      <c r="F4903" s="6" t="n">
        <v>7.8</v>
      </c>
      <c r="G4903" t="n">
        <v>1</v>
      </c>
      <c r="H4903" s="6">
        <f>ROUND(G4903*F4903,2)</f>
        <v/>
      </c>
      <c r="I4903">
        <f>IF(ROUND(H4903-D4903,2)=0,1,0)</f>
        <v/>
      </c>
      <c r="J4903">
        <f>IF(F4903="","none",IF(G4903=1,"carte","multiple"))</f>
        <v/>
      </c>
    </row>
    <row r="4904">
      <c r="A4904" t="inlineStr">
        <is>
          <t>2022-09-04</t>
        </is>
      </c>
      <c r="B4904" t="inlineStr">
        <is>
          <t>18:36</t>
        </is>
      </c>
      <c r="C4904" t="n">
        <v>3049</v>
      </c>
      <c r="D4904" s="6" t="n">
        <v>2.9</v>
      </c>
      <c r="E4904" t="n">
        <v>41928</v>
      </c>
      <c r="F4904" s="6" t="n">
        <v>2.9</v>
      </c>
      <c r="G4904" t="n">
        <v>1</v>
      </c>
      <c r="H4904" s="6">
        <f>ROUND(G4904*F4904,2)</f>
        <v/>
      </c>
      <c r="I4904">
        <f>IF(ROUND(H4904-D4904,2)=0,1,0)</f>
        <v/>
      </c>
      <c r="J4904">
        <f>IF(F4904="","none",IF(G4904=1,"carte","multiple"))</f>
        <v/>
      </c>
    </row>
    <row r="4905">
      <c r="A4905" t="inlineStr">
        <is>
          <t>2022-09-04</t>
        </is>
      </c>
      <c r="B4905" t="inlineStr">
        <is>
          <t>18:40</t>
        </is>
      </c>
      <c r="C4905" t="n">
        <v>3049</v>
      </c>
      <c r="D4905" s="6" t="n">
        <v>3.9</v>
      </c>
      <c r="E4905" t="n">
        <v>41929</v>
      </c>
      <c r="F4905" s="6" t="n">
        <v>3.9</v>
      </c>
      <c r="G4905" t="n">
        <v>1</v>
      </c>
      <c r="H4905" s="6">
        <f>ROUND(G4905*F4905,2)</f>
        <v/>
      </c>
      <c r="I4905">
        <f>IF(ROUND(H4905-D4905,2)=0,1,0)</f>
        <v/>
      </c>
      <c r="J4905">
        <f>IF(F4905="","none",IF(G4905=1,"carte","multiple"))</f>
        <v/>
      </c>
    </row>
    <row r="4906">
      <c r="A4906" t="inlineStr">
        <is>
          <t>2022-09-04</t>
        </is>
      </c>
      <c r="B4906" t="inlineStr">
        <is>
          <t>18:40</t>
        </is>
      </c>
      <c r="C4906" t="n">
        <v>3049</v>
      </c>
      <c r="D4906" s="6" t="n">
        <v>1.8</v>
      </c>
      <c r="E4906" t="n">
        <v>41930</v>
      </c>
      <c r="F4906" s="6" t="n">
        <v>1.8</v>
      </c>
      <c r="G4906" t="n">
        <v>1</v>
      </c>
      <c r="H4906" s="6">
        <f>ROUND(G4906*F4906,2)</f>
        <v/>
      </c>
      <c r="I4906">
        <f>IF(ROUND(H4906-D4906,2)=0,1,0)</f>
        <v/>
      </c>
      <c r="J4906">
        <f>IF(F4906="","none",IF(G4906=1,"carte","multiple"))</f>
        <v/>
      </c>
    </row>
    <row r="4907">
      <c r="A4907" t="inlineStr">
        <is>
          <t>2022-09-04</t>
        </is>
      </c>
      <c r="B4907" t="inlineStr">
        <is>
          <t>18:40</t>
        </is>
      </c>
      <c r="C4907" t="n">
        <v>3049</v>
      </c>
      <c r="D4907" s="6" t="n">
        <v>2.9</v>
      </c>
      <c r="E4907" t="n">
        <v>41931</v>
      </c>
      <c r="F4907" s="6" t="n">
        <v>2.9</v>
      </c>
      <c r="G4907" t="n">
        <v>1</v>
      </c>
      <c r="H4907" s="6">
        <f>ROUND(G4907*F4907,2)</f>
        <v/>
      </c>
      <c r="I4907">
        <f>IF(ROUND(H4907-D4907,2)=0,1,0)</f>
        <v/>
      </c>
      <c r="J4907">
        <f>IF(F4907="","none",IF(G4907=1,"carte","multiple"))</f>
        <v/>
      </c>
    </row>
    <row r="4908">
      <c r="A4908" t="inlineStr">
        <is>
          <t>2022-09-04</t>
        </is>
      </c>
      <c r="B4908" t="inlineStr">
        <is>
          <t>18:40</t>
        </is>
      </c>
      <c r="C4908" t="n">
        <v>3049</v>
      </c>
      <c r="D4908" s="6" t="n">
        <v>3.2</v>
      </c>
      <c r="E4908" t="n">
        <v>41932</v>
      </c>
      <c r="F4908" s="6" t="n">
        <v>3.2</v>
      </c>
      <c r="G4908" t="n">
        <v>1</v>
      </c>
      <c r="H4908" s="6">
        <f>ROUND(G4908*F4908,2)</f>
        <v/>
      </c>
      <c r="I4908">
        <f>IF(ROUND(H4908-D4908,2)=0,1,0)</f>
        <v/>
      </c>
      <c r="J4908">
        <f>IF(F4908="","none",IF(G4908=1,"carte","multiple"))</f>
        <v/>
      </c>
    </row>
    <row r="4909">
      <c r="A4909" t="inlineStr">
        <is>
          <t>2022-09-04</t>
        </is>
      </c>
      <c r="B4909" t="inlineStr">
        <is>
          <t>18:40</t>
        </is>
      </c>
      <c r="C4909" t="n">
        <v>3049</v>
      </c>
      <c r="D4909" s="6" t="n">
        <v>4</v>
      </c>
      <c r="E4909" t="n">
        <v>41933</v>
      </c>
      <c r="F4909" s="6" t="n">
        <v>4</v>
      </c>
      <c r="G4909" t="n">
        <v>1</v>
      </c>
      <c r="H4909" s="6">
        <f>ROUND(G4909*F4909,2)</f>
        <v/>
      </c>
      <c r="I4909">
        <f>IF(ROUND(H4909-D4909,2)=0,1,0)</f>
        <v/>
      </c>
      <c r="J4909">
        <f>IF(F4909="","none",IF(G4909=1,"carte","multiple"))</f>
        <v/>
      </c>
    </row>
    <row r="4910">
      <c r="A4910" t="inlineStr">
        <is>
          <t>2022-09-04</t>
        </is>
      </c>
      <c r="B4910" t="inlineStr">
        <is>
          <t>18:40</t>
        </is>
      </c>
      <c r="C4910" t="n">
        <v>3049</v>
      </c>
      <c r="D4910" s="6" t="n">
        <v>7.8</v>
      </c>
      <c r="E4910" t="n">
        <v>41934</v>
      </c>
      <c r="F4910" s="6" t="n">
        <v>7.8</v>
      </c>
      <c r="G4910" t="n">
        <v>1</v>
      </c>
      <c r="H4910" s="6">
        <f>ROUND(G4910*F4910,2)</f>
        <v/>
      </c>
      <c r="I4910">
        <f>IF(ROUND(H4910-D4910,2)=0,1,0)</f>
        <v/>
      </c>
      <c r="J4910">
        <f>IF(F4910="","none",IF(G4910=1,"carte","multiple"))</f>
        <v/>
      </c>
    </row>
    <row r="4911">
      <c r="A4911" t="inlineStr">
        <is>
          <t>2022-09-04</t>
        </is>
      </c>
      <c r="B4911" t="inlineStr">
        <is>
          <t>18:40</t>
        </is>
      </c>
      <c r="C4911" t="n">
        <v>3049</v>
      </c>
      <c r="D4911" s="6" t="n">
        <v>2.9</v>
      </c>
      <c r="E4911" t="n">
        <v>41935</v>
      </c>
      <c r="F4911" s="6" t="n">
        <v>2.9</v>
      </c>
      <c r="G4911" t="n">
        <v>1</v>
      </c>
      <c r="H4911" s="6">
        <f>ROUND(G4911*F4911,2)</f>
        <v/>
      </c>
      <c r="I4911">
        <f>IF(ROUND(H4911-D4911,2)=0,1,0)</f>
        <v/>
      </c>
      <c r="J4911">
        <f>IF(F4911="","none",IF(G4911=1,"carte","multiple"))</f>
        <v/>
      </c>
    </row>
    <row r="4912">
      <c r="A4912" t="inlineStr">
        <is>
          <t>2022-09-04</t>
        </is>
      </c>
      <c r="B4912" t="inlineStr">
        <is>
          <t>18:40</t>
        </is>
      </c>
      <c r="C4912" t="n">
        <v>3049</v>
      </c>
      <c r="D4912" s="6" t="n">
        <v>19</v>
      </c>
      <c r="E4912" t="n">
        <v>41936</v>
      </c>
      <c r="F4912" s="6" t="n">
        <v>19</v>
      </c>
      <c r="G4912" t="n">
        <v>1</v>
      </c>
      <c r="H4912" s="6">
        <f>ROUND(G4912*F4912,2)</f>
        <v/>
      </c>
      <c r="I4912">
        <f>IF(ROUND(H4912-D4912,2)=0,1,0)</f>
        <v/>
      </c>
      <c r="J4912">
        <f>IF(F4912="","none",IF(G4912=1,"carte","multiple"))</f>
        <v/>
      </c>
    </row>
    <row r="4913">
      <c r="A4913" t="inlineStr">
        <is>
          <t>2022-09-04</t>
        </is>
      </c>
      <c r="B4913" t="inlineStr">
        <is>
          <t>19:30</t>
        </is>
      </c>
      <c r="C4913" t="n">
        <v>3049</v>
      </c>
      <c r="D4913" s="6" t="n">
        <v>3.9</v>
      </c>
      <c r="E4913" t="n">
        <v>41937</v>
      </c>
      <c r="F4913" s="6" t="n">
        <v>3.9</v>
      </c>
      <c r="G4913" t="n">
        <v>1</v>
      </c>
      <c r="H4913" s="6">
        <f>ROUND(G4913*F4913,2)</f>
        <v/>
      </c>
      <c r="I4913">
        <f>IF(ROUND(H4913-D4913,2)=0,1,0)</f>
        <v/>
      </c>
      <c r="J4913">
        <f>IF(F4913="","none",IF(G4913=1,"carte","multiple"))</f>
        <v/>
      </c>
    </row>
    <row r="4914">
      <c r="A4914" t="inlineStr">
        <is>
          <t>2022-09-04</t>
        </is>
      </c>
      <c r="B4914" t="inlineStr">
        <is>
          <t>19:30</t>
        </is>
      </c>
      <c r="C4914" t="n">
        <v>3049</v>
      </c>
      <c r="D4914" s="6" t="n">
        <v>4.7</v>
      </c>
      <c r="E4914" t="n">
        <v>41938</v>
      </c>
      <c r="F4914" s="6" t="n">
        <v>4.7</v>
      </c>
      <c r="G4914" t="n">
        <v>1</v>
      </c>
      <c r="H4914" s="6">
        <f>ROUND(G4914*F4914,2)</f>
        <v/>
      </c>
      <c r="I4914">
        <f>IF(ROUND(H4914-D4914,2)=0,1,0)</f>
        <v/>
      </c>
      <c r="J4914">
        <f>IF(F4914="","none",IF(G4914=1,"carte","multiple"))</f>
        <v/>
      </c>
    </row>
    <row r="4915">
      <c r="A4915" t="inlineStr">
        <is>
          <t>2022-09-04</t>
        </is>
      </c>
      <c r="B4915" t="inlineStr">
        <is>
          <t>20:04</t>
        </is>
      </c>
      <c r="C4915" t="n">
        <v>3049</v>
      </c>
      <c r="D4915" s="6" t="n">
        <v>17.6</v>
      </c>
      <c r="E4915" t="n">
        <v>41939</v>
      </c>
      <c r="F4915" s="6" t="n">
        <v>17.6</v>
      </c>
      <c r="G4915" t="n">
        <v>1</v>
      </c>
      <c r="H4915" s="6">
        <f>ROUND(G4915*F4915,2)</f>
        <v/>
      </c>
      <c r="I4915">
        <f>IF(ROUND(H4915-D4915,2)=0,1,0)</f>
        <v/>
      </c>
      <c r="J4915">
        <f>IF(F4915="","none",IF(G4915=1,"carte","multiple"))</f>
        <v/>
      </c>
    </row>
    <row r="4916">
      <c r="A4916" t="inlineStr">
        <is>
          <t>2022-09-04</t>
        </is>
      </c>
      <c r="B4916" t="inlineStr">
        <is>
          <t>20:04</t>
        </is>
      </c>
      <c r="C4916" t="n">
        <v>3049</v>
      </c>
      <c r="D4916" s="6" t="n">
        <v>14.9</v>
      </c>
      <c r="E4916" t="n">
        <v>41940</v>
      </c>
      <c r="F4916" s="6" t="n">
        <v>14.9</v>
      </c>
      <c r="G4916" t="n">
        <v>1</v>
      </c>
      <c r="H4916" s="6">
        <f>ROUND(G4916*F4916,2)</f>
        <v/>
      </c>
      <c r="I4916">
        <f>IF(ROUND(H4916-D4916,2)=0,1,0)</f>
        <v/>
      </c>
      <c r="J4916">
        <f>IF(F4916="","none",IF(G4916=1,"carte","multiple"))</f>
        <v/>
      </c>
    </row>
    <row r="4917">
      <c r="A4917" t="inlineStr">
        <is>
          <t>2022-09-04</t>
        </is>
      </c>
      <c r="B4917" t="inlineStr">
        <is>
          <t>20:04</t>
        </is>
      </c>
      <c r="C4917" t="n">
        <v>3049</v>
      </c>
      <c r="D4917" s="6" t="n">
        <v>8</v>
      </c>
      <c r="E4917" t="n">
        <v>41941</v>
      </c>
      <c r="F4917" s="6" t="n">
        <v>8</v>
      </c>
      <c r="G4917" t="n">
        <v>1</v>
      </c>
      <c r="H4917" s="6">
        <f>ROUND(G4917*F4917,2)</f>
        <v/>
      </c>
      <c r="I4917">
        <f>IF(ROUND(H4917-D4917,2)=0,1,0)</f>
        <v/>
      </c>
      <c r="J4917">
        <f>IF(F4917="","none",IF(G4917=1,"carte","multiple"))</f>
        <v/>
      </c>
    </row>
    <row r="4918">
      <c r="A4918" t="inlineStr">
        <is>
          <t>2022-09-04</t>
        </is>
      </c>
      <c r="B4918" t="inlineStr">
        <is>
          <t>20:04</t>
        </is>
      </c>
      <c r="C4918" t="n">
        <v>3049</v>
      </c>
      <c r="D4918" s="6" t="n">
        <v>16.9</v>
      </c>
      <c r="E4918" t="n">
        <v>41942</v>
      </c>
      <c r="F4918" s="6" t="n">
        <v>16.9</v>
      </c>
      <c r="G4918" t="n">
        <v>1</v>
      </c>
      <c r="H4918" s="6">
        <f>ROUND(G4918*F4918,2)</f>
        <v/>
      </c>
      <c r="I4918">
        <f>IF(ROUND(H4918-D4918,2)=0,1,0)</f>
        <v/>
      </c>
      <c r="J4918">
        <f>IF(F4918="","none",IF(G4918=1,"carte","multiple"))</f>
        <v/>
      </c>
    </row>
    <row r="4919">
      <c r="A4919" t="inlineStr">
        <is>
          <t>2022-09-04</t>
        </is>
      </c>
      <c r="B4919" t="inlineStr">
        <is>
          <t>20:04</t>
        </is>
      </c>
      <c r="C4919" t="n">
        <v>3049</v>
      </c>
      <c r="D4919" s="6" t="n">
        <v>9</v>
      </c>
      <c r="E4919" t="n">
        <v>41943</v>
      </c>
      <c r="F4919" s="6" t="n">
        <v>9</v>
      </c>
      <c r="G4919" t="n">
        <v>1</v>
      </c>
      <c r="H4919" s="6">
        <f>ROUND(G4919*F4919,2)</f>
        <v/>
      </c>
      <c r="I4919">
        <f>IF(ROUND(H4919-D4919,2)=0,1,0)</f>
        <v/>
      </c>
      <c r="J4919">
        <f>IF(F4919="","none",IF(G4919=1,"carte","multiple"))</f>
        <v/>
      </c>
    </row>
    <row r="4920">
      <c r="A4920" t="inlineStr">
        <is>
          <t>2022-09-04</t>
        </is>
      </c>
      <c r="B4920" t="inlineStr">
        <is>
          <t>20:04</t>
        </is>
      </c>
      <c r="C4920" t="n">
        <v>3049</v>
      </c>
      <c r="D4920" s="6" t="n">
        <v>3</v>
      </c>
      <c r="E4920" t="n">
        <v>41944</v>
      </c>
      <c r="F4920" s="6" t="n">
        <v>3</v>
      </c>
      <c r="G4920" t="n">
        <v>1</v>
      </c>
      <c r="H4920" s="6">
        <f>ROUND(G4920*F4920,2)</f>
        <v/>
      </c>
      <c r="I4920">
        <f>IF(ROUND(H4920-D4920,2)=0,1,0)</f>
        <v/>
      </c>
      <c r="J4920">
        <f>IF(F4920="","none",IF(G4920=1,"carte","multiple"))</f>
        <v/>
      </c>
    </row>
    <row r="4921">
      <c r="A4921" t="inlineStr">
        <is>
          <t>2022-09-04</t>
        </is>
      </c>
      <c r="B4921" t="inlineStr">
        <is>
          <t>20:04</t>
        </is>
      </c>
      <c r="C4921" t="n">
        <v>3049</v>
      </c>
      <c r="D4921" s="6" t="n">
        <v>2.45</v>
      </c>
      <c r="E4921" t="n">
        <v>41945</v>
      </c>
      <c r="H4921" t="inlineStr"/>
      <c r="I4921" t="inlineStr"/>
      <c r="J4921">
        <f>IF(F4921="","none",IF(G4921=1,"carte","multiple"))</f>
        <v/>
      </c>
    </row>
    <row r="4922">
      <c r="A4922" t="inlineStr">
        <is>
          <t>2022-09-04</t>
        </is>
      </c>
      <c r="B4922" t="inlineStr">
        <is>
          <t>20:30</t>
        </is>
      </c>
      <c r="C4922" t="n">
        <v>3049</v>
      </c>
      <c r="D4922" s="6" t="n">
        <v>19</v>
      </c>
      <c r="E4922" t="n">
        <v>41946</v>
      </c>
      <c r="F4922" s="6" t="n">
        <v>19</v>
      </c>
      <c r="G4922" t="n">
        <v>1</v>
      </c>
      <c r="H4922" s="6">
        <f>ROUND(G4922*F4922,2)</f>
        <v/>
      </c>
      <c r="I4922">
        <f>IF(ROUND(H4922-D4922,2)=0,1,0)</f>
        <v/>
      </c>
      <c r="J4922">
        <f>IF(F4922="","none",IF(G4922=1,"carte","multiple"))</f>
        <v/>
      </c>
    </row>
    <row r="4923">
      <c r="A4923" t="inlineStr">
        <is>
          <t>2022-09-04</t>
        </is>
      </c>
      <c r="B4923" t="inlineStr">
        <is>
          <t>20:30</t>
        </is>
      </c>
      <c r="C4923" t="n">
        <v>3049</v>
      </c>
      <c r="D4923" s="6" t="n">
        <v>15.8</v>
      </c>
      <c r="E4923" t="n">
        <v>41947</v>
      </c>
      <c r="F4923" s="6" t="n">
        <v>7.9</v>
      </c>
      <c r="G4923" t="n">
        <v>2</v>
      </c>
      <c r="H4923" s="6">
        <f>ROUND(G4923*F4923,2)</f>
        <v/>
      </c>
      <c r="I4923">
        <f>IF(ROUND(H4923-D4923,2)=0,1,0)</f>
        <v/>
      </c>
      <c r="J4923">
        <f>IF(F4923="","none",IF(G4923=1,"carte","multiple"))</f>
        <v/>
      </c>
    </row>
    <row r="4924">
      <c r="A4924" t="inlineStr">
        <is>
          <t>2022-09-04</t>
        </is>
      </c>
      <c r="B4924" t="inlineStr">
        <is>
          <t>20:30</t>
        </is>
      </c>
      <c r="C4924" t="n">
        <v>3049</v>
      </c>
      <c r="D4924" s="6" t="n">
        <v>5.8</v>
      </c>
      <c r="E4924" t="n">
        <v>41948</v>
      </c>
      <c r="F4924" s="6" t="n">
        <v>5.8</v>
      </c>
      <c r="G4924" t="n">
        <v>1</v>
      </c>
      <c r="H4924" s="6">
        <f>ROUND(G4924*F4924,2)</f>
        <v/>
      </c>
      <c r="I4924">
        <f>IF(ROUND(H4924-D4924,2)=0,1,0)</f>
        <v/>
      </c>
      <c r="J4924">
        <f>IF(F4924="","none",IF(G4924=1,"carte","multiple"))</f>
        <v/>
      </c>
    </row>
    <row r="4925">
      <c r="A4925" t="inlineStr">
        <is>
          <t>2022-09-04</t>
        </is>
      </c>
      <c r="B4925" t="inlineStr">
        <is>
          <t>20:30</t>
        </is>
      </c>
      <c r="C4925" t="n">
        <v>3049</v>
      </c>
      <c r="D4925" s="6" t="n">
        <v>16.9</v>
      </c>
      <c r="E4925" t="n">
        <v>41949</v>
      </c>
      <c r="F4925" s="6" t="n">
        <v>16.9</v>
      </c>
      <c r="G4925" t="n">
        <v>1</v>
      </c>
      <c r="H4925" s="6">
        <f>ROUND(G4925*F4925,2)</f>
        <v/>
      </c>
      <c r="I4925">
        <f>IF(ROUND(H4925-D4925,2)=0,1,0)</f>
        <v/>
      </c>
      <c r="J4925">
        <f>IF(F4925="","none",IF(G4925=1,"carte","multiple"))</f>
        <v/>
      </c>
    </row>
    <row r="4926">
      <c r="A4926" t="inlineStr">
        <is>
          <t>2022-09-04</t>
        </is>
      </c>
      <c r="B4926" t="inlineStr">
        <is>
          <t>20:30</t>
        </is>
      </c>
      <c r="C4926" t="n">
        <v>3049</v>
      </c>
      <c r="D4926" s="6" t="n">
        <v>3.9</v>
      </c>
      <c r="E4926" t="n">
        <v>41950</v>
      </c>
      <c r="F4926" s="6" t="n">
        <v>3.9</v>
      </c>
      <c r="G4926" t="n">
        <v>1</v>
      </c>
      <c r="H4926" s="6">
        <f>ROUND(G4926*F4926,2)</f>
        <v/>
      </c>
      <c r="I4926">
        <f>IF(ROUND(H4926-D4926,2)=0,1,0)</f>
        <v/>
      </c>
      <c r="J4926">
        <f>IF(F4926="","none",IF(G4926=1,"carte","multiple"))</f>
        <v/>
      </c>
    </row>
    <row r="4927">
      <c r="A4927" t="inlineStr">
        <is>
          <t>2022-09-04</t>
        </is>
      </c>
      <c r="B4927" t="inlineStr">
        <is>
          <t>20:30</t>
        </is>
      </c>
      <c r="C4927" t="n">
        <v>3049</v>
      </c>
      <c r="D4927" s="6" t="n">
        <v>9.800000000000001</v>
      </c>
      <c r="E4927" t="n">
        <v>41951</v>
      </c>
      <c r="F4927" s="6" t="n">
        <v>9.800000000000001</v>
      </c>
      <c r="G4927" t="n">
        <v>1</v>
      </c>
      <c r="H4927" s="6">
        <f>ROUND(G4927*F4927,2)</f>
        <v/>
      </c>
      <c r="I4927">
        <f>IF(ROUND(H4927-D4927,2)=0,1,0)</f>
        <v/>
      </c>
      <c r="J4927">
        <f>IF(F4927="","none",IF(G4927=1,"carte","multiple"))</f>
        <v/>
      </c>
    </row>
    <row r="4928">
      <c r="A4928" t="inlineStr">
        <is>
          <t>2022-09-04</t>
        </is>
      </c>
      <c r="B4928" t="inlineStr">
        <is>
          <t>20:30</t>
        </is>
      </c>
      <c r="C4928" t="n">
        <v>3049</v>
      </c>
      <c r="D4928" s="6" t="n">
        <v>0</v>
      </c>
      <c r="E4928" t="n">
        <v>41952</v>
      </c>
      <c r="H4928" t="inlineStr"/>
      <c r="I4928" t="inlineStr"/>
      <c r="J4928">
        <f>IF(F4928="","none",IF(G4928=1,"carte","multiple"))</f>
        <v/>
      </c>
    </row>
    <row r="4929">
      <c r="A4929" t="inlineStr">
        <is>
          <t>2022-09-04</t>
        </is>
      </c>
      <c r="B4929" t="inlineStr">
        <is>
          <t>20:30</t>
        </is>
      </c>
      <c r="C4929" t="n">
        <v>3049</v>
      </c>
      <c r="D4929" s="6" t="n">
        <v>3.9</v>
      </c>
      <c r="E4929" t="n">
        <v>41953</v>
      </c>
      <c r="F4929" s="6" t="n">
        <v>3.9</v>
      </c>
      <c r="G4929" t="n">
        <v>1</v>
      </c>
      <c r="H4929" s="6">
        <f>ROUND(G4929*F4929,2)</f>
        <v/>
      </c>
      <c r="I4929">
        <f>IF(ROUND(H4929-D4929,2)=0,1,0)</f>
        <v/>
      </c>
      <c r="J4929">
        <f>IF(F4929="","none",IF(G4929=1,"carte","multiple"))</f>
        <v/>
      </c>
    </row>
    <row r="4930">
      <c r="A4930" t="inlineStr">
        <is>
          <t>2022-09-07</t>
        </is>
      </c>
      <c r="B4930" t="inlineStr">
        <is>
          <t>11:25</t>
        </is>
      </c>
      <c r="C4930" t="n">
        <v>3050</v>
      </c>
      <c r="D4930" s="6" t="n">
        <v>16.4</v>
      </c>
      <c r="E4930" t="n">
        <v>41956</v>
      </c>
      <c r="F4930" s="6" t="n">
        <v>16.4</v>
      </c>
      <c r="G4930" t="n">
        <v>1</v>
      </c>
      <c r="H4930" s="6">
        <f>ROUND(G4930*F4930,2)</f>
        <v/>
      </c>
      <c r="I4930">
        <f>IF(ROUND(H4930-D4930,2)=0,1,0)</f>
        <v/>
      </c>
      <c r="J4930">
        <f>IF(F4930="","none",IF(G4930=1,"carte","multiple"))</f>
        <v/>
      </c>
    </row>
    <row r="4931">
      <c r="A4931" t="inlineStr">
        <is>
          <t>2022-09-07</t>
        </is>
      </c>
      <c r="B4931" t="inlineStr">
        <is>
          <t>11:25</t>
        </is>
      </c>
      <c r="C4931" t="n">
        <v>3050</v>
      </c>
      <c r="D4931" s="6" t="n">
        <v>15.9</v>
      </c>
      <c r="E4931" t="n">
        <v>41957</v>
      </c>
      <c r="F4931" s="6" t="n">
        <v>15.9</v>
      </c>
      <c r="G4931" t="n">
        <v>1</v>
      </c>
      <c r="H4931" s="6">
        <f>ROUND(G4931*F4931,2)</f>
        <v/>
      </c>
      <c r="I4931">
        <f>IF(ROUND(H4931-D4931,2)=0,1,0)</f>
        <v/>
      </c>
      <c r="J4931">
        <f>IF(F4931="","none",IF(G4931=1,"carte","multiple"))</f>
        <v/>
      </c>
    </row>
    <row r="4932">
      <c r="A4932" t="inlineStr">
        <is>
          <t>2022-09-07</t>
        </is>
      </c>
      <c r="B4932" t="inlineStr">
        <is>
          <t>11:29</t>
        </is>
      </c>
      <c r="C4932" t="n">
        <v>3050</v>
      </c>
      <c r="D4932" s="6" t="n">
        <v>7.9</v>
      </c>
      <c r="E4932" t="n">
        <v>41958</v>
      </c>
      <c r="F4932" s="6" t="n">
        <v>7.9</v>
      </c>
      <c r="G4932" t="n">
        <v>1</v>
      </c>
      <c r="H4932" s="6">
        <f>ROUND(G4932*F4932,2)</f>
        <v/>
      </c>
      <c r="I4932">
        <f>IF(ROUND(H4932-D4932,2)=0,1,0)</f>
        <v/>
      </c>
      <c r="J4932">
        <f>IF(F4932="","none",IF(G4932=1,"carte","multiple"))</f>
        <v/>
      </c>
    </row>
    <row r="4933">
      <c r="A4933" t="inlineStr">
        <is>
          <t>2022-09-07</t>
        </is>
      </c>
      <c r="B4933" t="inlineStr">
        <is>
          <t>11:29</t>
        </is>
      </c>
      <c r="C4933" t="n">
        <v>3050</v>
      </c>
      <c r="D4933" s="6" t="n">
        <v>19</v>
      </c>
      <c r="E4933" t="n">
        <v>41959</v>
      </c>
      <c r="F4933" s="6" t="n">
        <v>19</v>
      </c>
      <c r="G4933" t="n">
        <v>1</v>
      </c>
      <c r="H4933" s="6">
        <f>ROUND(G4933*F4933,2)</f>
        <v/>
      </c>
      <c r="I4933">
        <f>IF(ROUND(H4933-D4933,2)=0,1,0)</f>
        <v/>
      </c>
      <c r="J4933">
        <f>IF(F4933="","none",IF(G4933=1,"carte","multiple"))</f>
        <v/>
      </c>
    </row>
    <row r="4934">
      <c r="A4934" t="inlineStr">
        <is>
          <t>2022-09-07</t>
        </is>
      </c>
      <c r="B4934" t="inlineStr">
        <is>
          <t>11:29</t>
        </is>
      </c>
      <c r="C4934" t="n">
        <v>3050</v>
      </c>
      <c r="D4934" s="6" t="n">
        <v>17.6</v>
      </c>
      <c r="E4934" t="n">
        <v>41960</v>
      </c>
      <c r="F4934" s="6" t="n">
        <v>17.6</v>
      </c>
      <c r="G4934" t="n">
        <v>1</v>
      </c>
      <c r="H4934" s="6">
        <f>ROUND(G4934*F4934,2)</f>
        <v/>
      </c>
      <c r="I4934">
        <f>IF(ROUND(H4934-D4934,2)=0,1,0)</f>
        <v/>
      </c>
      <c r="J4934">
        <f>IF(F4934="","none",IF(G4934=1,"carte","multiple"))</f>
        <v/>
      </c>
    </row>
    <row r="4935">
      <c r="A4935" t="inlineStr">
        <is>
          <t>2022-09-07</t>
        </is>
      </c>
      <c r="B4935" t="inlineStr">
        <is>
          <t>11:29</t>
        </is>
      </c>
      <c r="C4935" t="n">
        <v>3050</v>
      </c>
      <c r="D4935" s="6" t="n">
        <v>9.800000000000001</v>
      </c>
      <c r="E4935" t="n">
        <v>41961</v>
      </c>
      <c r="F4935" s="6" t="n">
        <v>9.800000000000001</v>
      </c>
      <c r="G4935" t="n">
        <v>1</v>
      </c>
      <c r="H4935" s="6">
        <f>ROUND(G4935*F4935,2)</f>
        <v/>
      </c>
      <c r="I4935">
        <f>IF(ROUND(H4935-D4935,2)=0,1,0)</f>
        <v/>
      </c>
      <c r="J4935">
        <f>IF(F4935="","none",IF(G4935=1,"carte","multiple"))</f>
        <v/>
      </c>
    </row>
    <row r="4936">
      <c r="A4936" t="inlineStr">
        <is>
          <t>2022-09-07</t>
        </is>
      </c>
      <c r="B4936" t="inlineStr">
        <is>
          <t>12:15</t>
        </is>
      </c>
      <c r="C4936" t="n">
        <v>3050</v>
      </c>
      <c r="D4936" s="6" t="n">
        <v>4.4</v>
      </c>
      <c r="E4936" t="n">
        <v>41962</v>
      </c>
      <c r="F4936" s="6" t="n">
        <v>0.4</v>
      </c>
      <c r="G4936" t="n">
        <v>11</v>
      </c>
      <c r="H4936" s="6">
        <f>ROUND(G4936*F4936,2)</f>
        <v/>
      </c>
      <c r="I4936">
        <f>IF(ROUND(H4936-D4936,2)=0,1,0)</f>
        <v/>
      </c>
      <c r="J4936">
        <f>IF(F4936="","none",IF(G4936=1,"carte","multiple"))</f>
        <v/>
      </c>
    </row>
    <row r="4937">
      <c r="A4937" t="inlineStr">
        <is>
          <t>2022-09-07</t>
        </is>
      </c>
      <c r="B4937" t="inlineStr">
        <is>
          <t>12:15</t>
        </is>
      </c>
      <c r="C4937" t="n">
        <v>3050</v>
      </c>
      <c r="D4937" s="6" t="n">
        <v>6.9</v>
      </c>
      <c r="E4937" t="n">
        <v>41963</v>
      </c>
      <c r="F4937" s="6" t="n">
        <v>6.9</v>
      </c>
      <c r="G4937" t="n">
        <v>1</v>
      </c>
      <c r="H4937" s="6">
        <f>ROUND(G4937*F4937,2)</f>
        <v/>
      </c>
      <c r="I4937">
        <f>IF(ROUND(H4937-D4937,2)=0,1,0)</f>
        <v/>
      </c>
      <c r="J4937">
        <f>IF(F4937="","none",IF(G4937=1,"carte","multiple"))</f>
        <v/>
      </c>
    </row>
    <row r="4938">
      <c r="A4938" t="inlineStr">
        <is>
          <t>2022-09-07</t>
        </is>
      </c>
      <c r="B4938" t="inlineStr">
        <is>
          <t>12:15</t>
        </is>
      </c>
      <c r="C4938" t="n">
        <v>3050</v>
      </c>
      <c r="D4938" s="6" t="n">
        <v>17.6</v>
      </c>
      <c r="E4938" t="n">
        <v>41964</v>
      </c>
      <c r="F4938" s="6" t="n">
        <v>17.6</v>
      </c>
      <c r="G4938" t="n">
        <v>1</v>
      </c>
      <c r="H4938" s="6">
        <f>ROUND(G4938*F4938,2)</f>
        <v/>
      </c>
      <c r="I4938">
        <f>IF(ROUND(H4938-D4938,2)=0,1,0)</f>
        <v/>
      </c>
      <c r="J4938">
        <f>IF(F4938="","none",IF(G4938=1,"carte","multiple"))</f>
        <v/>
      </c>
    </row>
    <row r="4939">
      <c r="A4939" t="inlineStr">
        <is>
          <t>2022-09-07</t>
        </is>
      </c>
      <c r="B4939" t="inlineStr">
        <is>
          <t>12:15</t>
        </is>
      </c>
      <c r="C4939" t="n">
        <v>3050</v>
      </c>
      <c r="D4939" s="6" t="n">
        <v>16.9</v>
      </c>
      <c r="E4939" t="n">
        <v>41965</v>
      </c>
      <c r="F4939" s="6" t="n">
        <v>16.9</v>
      </c>
      <c r="G4939" t="n">
        <v>1</v>
      </c>
      <c r="H4939" s="6">
        <f>ROUND(G4939*F4939,2)</f>
        <v/>
      </c>
      <c r="I4939">
        <f>IF(ROUND(H4939-D4939,2)=0,1,0)</f>
        <v/>
      </c>
      <c r="J4939">
        <f>IF(F4939="","none",IF(G4939=1,"carte","multiple"))</f>
        <v/>
      </c>
    </row>
    <row r="4940">
      <c r="A4940" t="inlineStr">
        <is>
          <t>2022-09-07</t>
        </is>
      </c>
      <c r="B4940" t="inlineStr">
        <is>
          <t>12:15</t>
        </is>
      </c>
      <c r="C4940" t="n">
        <v>3050</v>
      </c>
      <c r="D4940" s="6" t="n">
        <v>29.9</v>
      </c>
      <c r="E4940" t="n">
        <v>41966</v>
      </c>
      <c r="F4940" s="6" t="n">
        <v>29.9</v>
      </c>
      <c r="G4940" t="n">
        <v>1</v>
      </c>
      <c r="H4940" s="6">
        <f>ROUND(G4940*F4940,2)</f>
        <v/>
      </c>
      <c r="I4940">
        <f>IF(ROUND(H4940-D4940,2)=0,1,0)</f>
        <v/>
      </c>
      <c r="J4940">
        <f>IF(F4940="","none",IF(G4940=1,"carte","multiple"))</f>
        <v/>
      </c>
    </row>
    <row r="4941">
      <c r="A4941" t="inlineStr">
        <is>
          <t>2022-09-07</t>
        </is>
      </c>
      <c r="B4941" t="inlineStr">
        <is>
          <t>12:23</t>
        </is>
      </c>
      <c r="C4941" t="n">
        <v>3050</v>
      </c>
      <c r="D4941" s="6" t="n">
        <v>3.4</v>
      </c>
      <c r="E4941" t="n">
        <v>41967</v>
      </c>
      <c r="F4941" s="6" t="n">
        <v>3.4</v>
      </c>
      <c r="G4941" t="n">
        <v>1</v>
      </c>
      <c r="H4941" s="6">
        <f>ROUND(G4941*F4941,2)</f>
        <v/>
      </c>
      <c r="I4941">
        <f>IF(ROUND(H4941-D4941,2)=0,1,0)</f>
        <v/>
      </c>
      <c r="J4941">
        <f>IF(F4941="","none",IF(G4941=1,"carte","multiple"))</f>
        <v/>
      </c>
    </row>
    <row r="4942">
      <c r="A4942" t="inlineStr">
        <is>
          <t>2022-09-07</t>
        </is>
      </c>
      <c r="B4942" t="inlineStr">
        <is>
          <t>12:24</t>
        </is>
      </c>
      <c r="C4942" t="n">
        <v>3050</v>
      </c>
      <c r="D4942" s="6" t="n">
        <v>31.8</v>
      </c>
      <c r="E4942" t="n">
        <v>41968</v>
      </c>
      <c r="F4942" s="6" t="n">
        <v>31.8</v>
      </c>
      <c r="G4942" t="n">
        <v>1</v>
      </c>
      <c r="H4942" s="6">
        <f>ROUND(G4942*F4942,2)</f>
        <v/>
      </c>
      <c r="I4942">
        <f>IF(ROUND(H4942-D4942,2)=0,1,0)</f>
        <v/>
      </c>
      <c r="J4942">
        <f>IF(F4942="","none",IF(G4942=1,"carte","multiple"))</f>
        <v/>
      </c>
    </row>
    <row r="4943">
      <c r="A4943" t="inlineStr">
        <is>
          <t>2022-09-07</t>
        </is>
      </c>
      <c r="B4943" t="inlineStr">
        <is>
          <t>12:24</t>
        </is>
      </c>
      <c r="C4943" t="n">
        <v>3050</v>
      </c>
      <c r="D4943" s="6" t="n">
        <v>7.2</v>
      </c>
      <c r="E4943" t="n">
        <v>41969</v>
      </c>
      <c r="F4943" s="6" t="n">
        <v>7.2</v>
      </c>
      <c r="G4943" t="n">
        <v>1</v>
      </c>
      <c r="H4943" s="6">
        <f>ROUND(G4943*F4943,2)</f>
        <v/>
      </c>
      <c r="I4943">
        <f>IF(ROUND(H4943-D4943,2)=0,1,0)</f>
        <v/>
      </c>
      <c r="J4943">
        <f>IF(F4943="","none",IF(G4943=1,"carte","multiple"))</f>
        <v/>
      </c>
    </row>
    <row r="4944">
      <c r="A4944" t="inlineStr">
        <is>
          <t>2022-09-07</t>
        </is>
      </c>
      <c r="B4944" t="inlineStr">
        <is>
          <t>12:24</t>
        </is>
      </c>
      <c r="C4944" t="n">
        <v>3050</v>
      </c>
      <c r="D4944" s="6" t="n">
        <v>4.4</v>
      </c>
      <c r="E4944" t="n">
        <v>41970</v>
      </c>
      <c r="F4944" s="6" t="n">
        <v>0.4</v>
      </c>
      <c r="G4944" t="n">
        <v>11</v>
      </c>
      <c r="H4944" s="6">
        <f>ROUND(G4944*F4944,2)</f>
        <v/>
      </c>
      <c r="I4944">
        <f>IF(ROUND(H4944-D4944,2)=0,1,0)</f>
        <v/>
      </c>
      <c r="J4944">
        <f>IF(F4944="","none",IF(G4944=1,"carte","multiple"))</f>
        <v/>
      </c>
    </row>
    <row r="4945">
      <c r="A4945" t="inlineStr">
        <is>
          <t>2022-09-07</t>
        </is>
      </c>
      <c r="B4945" t="inlineStr">
        <is>
          <t>12:25</t>
        </is>
      </c>
      <c r="C4945" t="n">
        <v>3050</v>
      </c>
      <c r="D4945" s="6" t="n">
        <v>32</v>
      </c>
      <c r="E4945" t="n">
        <v>41971</v>
      </c>
      <c r="F4945" s="6" t="n">
        <v>32</v>
      </c>
      <c r="G4945" t="n">
        <v>1</v>
      </c>
      <c r="H4945" s="6">
        <f>ROUND(G4945*F4945,2)</f>
        <v/>
      </c>
      <c r="I4945">
        <f>IF(ROUND(H4945-D4945,2)=0,1,0)</f>
        <v/>
      </c>
      <c r="J4945">
        <f>IF(F4945="","none",IF(G4945=1,"carte","multiple"))</f>
        <v/>
      </c>
    </row>
    <row r="4946">
      <c r="A4946" t="inlineStr">
        <is>
          <t>2022-09-07</t>
        </is>
      </c>
      <c r="B4946" t="inlineStr">
        <is>
          <t>12:25</t>
        </is>
      </c>
      <c r="C4946" t="n">
        <v>3050</v>
      </c>
      <c r="D4946" s="6" t="n">
        <v>2.2</v>
      </c>
      <c r="E4946" t="n">
        <v>41972</v>
      </c>
      <c r="F4946" s="6" t="n">
        <v>2.2</v>
      </c>
      <c r="G4946" t="n">
        <v>1</v>
      </c>
      <c r="H4946" s="6">
        <f>ROUND(G4946*F4946,2)</f>
        <v/>
      </c>
      <c r="I4946">
        <f>IF(ROUND(H4946-D4946,2)=0,1,0)</f>
        <v/>
      </c>
      <c r="J4946">
        <f>IF(F4946="","none",IF(G4946=1,"carte","multiple"))</f>
        <v/>
      </c>
    </row>
    <row r="4947">
      <c r="A4947" t="inlineStr">
        <is>
          <t>2022-09-07</t>
        </is>
      </c>
      <c r="B4947" t="inlineStr">
        <is>
          <t>12:52</t>
        </is>
      </c>
      <c r="C4947" t="n">
        <v>3050</v>
      </c>
      <c r="D4947" s="6" t="n">
        <v>3.9</v>
      </c>
      <c r="E4947" t="n">
        <v>41973</v>
      </c>
      <c r="F4947" s="6" t="n">
        <v>3.9</v>
      </c>
      <c r="G4947" t="n">
        <v>1</v>
      </c>
      <c r="H4947" s="6">
        <f>ROUND(G4947*F4947,2)</f>
        <v/>
      </c>
      <c r="I4947">
        <f>IF(ROUND(H4947-D4947,2)=0,1,0)</f>
        <v/>
      </c>
      <c r="J4947">
        <f>IF(F4947="","none",IF(G4947=1,"carte","multiple"))</f>
        <v/>
      </c>
    </row>
    <row r="4948">
      <c r="A4948" t="inlineStr">
        <is>
          <t>2022-09-07</t>
        </is>
      </c>
      <c r="B4948" t="inlineStr">
        <is>
          <t>12:52</t>
        </is>
      </c>
      <c r="C4948" t="n">
        <v>3050</v>
      </c>
      <c r="D4948" s="6" t="n">
        <v>4</v>
      </c>
      <c r="E4948" t="n">
        <v>41974</v>
      </c>
      <c r="F4948" s="6" t="n">
        <v>4</v>
      </c>
      <c r="G4948" t="n">
        <v>1</v>
      </c>
      <c r="H4948" s="6">
        <f>ROUND(G4948*F4948,2)</f>
        <v/>
      </c>
      <c r="I4948">
        <f>IF(ROUND(H4948-D4948,2)=0,1,0)</f>
        <v/>
      </c>
      <c r="J4948">
        <f>IF(F4948="","none",IF(G4948=1,"carte","multiple"))</f>
        <v/>
      </c>
    </row>
    <row r="4949">
      <c r="A4949" t="inlineStr">
        <is>
          <t>2022-09-07</t>
        </is>
      </c>
      <c r="B4949" t="inlineStr">
        <is>
          <t>12:52</t>
        </is>
      </c>
      <c r="C4949" t="n">
        <v>3050</v>
      </c>
      <c r="D4949" s="6" t="n">
        <v>7.9</v>
      </c>
      <c r="E4949" t="n">
        <v>41975</v>
      </c>
      <c r="F4949" s="6" t="n">
        <v>7.9</v>
      </c>
      <c r="G4949" t="n">
        <v>1</v>
      </c>
      <c r="H4949" s="6">
        <f>ROUND(G4949*F4949,2)</f>
        <v/>
      </c>
      <c r="I4949">
        <f>IF(ROUND(H4949-D4949,2)=0,1,0)</f>
        <v/>
      </c>
      <c r="J4949">
        <f>IF(F4949="","none",IF(G4949=1,"carte","multiple"))</f>
        <v/>
      </c>
    </row>
    <row r="4950">
      <c r="A4950" t="inlineStr">
        <is>
          <t>2022-09-07</t>
        </is>
      </c>
      <c r="B4950" t="inlineStr">
        <is>
          <t>13:26</t>
        </is>
      </c>
      <c r="C4950" t="n">
        <v>3050</v>
      </c>
      <c r="D4950" s="6" t="n">
        <v>2.2</v>
      </c>
      <c r="E4950" t="n">
        <v>41976</v>
      </c>
      <c r="F4950" s="6" t="n">
        <v>2.2</v>
      </c>
      <c r="G4950" t="n">
        <v>1</v>
      </c>
      <c r="H4950" s="6">
        <f>ROUND(G4950*F4950,2)</f>
        <v/>
      </c>
      <c r="I4950">
        <f>IF(ROUND(H4950-D4950,2)=0,1,0)</f>
        <v/>
      </c>
      <c r="J4950">
        <f>IF(F4950="","none",IF(G4950=1,"carte","multiple"))</f>
        <v/>
      </c>
    </row>
    <row r="4951">
      <c r="A4951" t="inlineStr">
        <is>
          <t>2022-09-07</t>
        </is>
      </c>
      <c r="B4951" t="inlineStr">
        <is>
          <t>13:26</t>
        </is>
      </c>
      <c r="C4951" t="n">
        <v>3050</v>
      </c>
      <c r="D4951" s="6" t="n">
        <v>6.9</v>
      </c>
      <c r="E4951" t="n">
        <v>41977</v>
      </c>
      <c r="F4951" s="6" t="n">
        <v>6.9</v>
      </c>
      <c r="G4951" t="n">
        <v>1</v>
      </c>
      <c r="H4951" s="6">
        <f>ROUND(G4951*F4951,2)</f>
        <v/>
      </c>
      <c r="I4951">
        <f>IF(ROUND(H4951-D4951,2)=0,1,0)</f>
        <v/>
      </c>
      <c r="J4951">
        <f>IF(F4951="","none",IF(G4951=1,"carte","multiple"))</f>
        <v/>
      </c>
    </row>
    <row r="4952">
      <c r="A4952" t="inlineStr">
        <is>
          <t>2022-09-07</t>
        </is>
      </c>
      <c r="B4952" t="inlineStr">
        <is>
          <t>13:26</t>
        </is>
      </c>
      <c r="C4952" t="n">
        <v>3050</v>
      </c>
      <c r="D4952" s="6" t="n">
        <v>3.9</v>
      </c>
      <c r="E4952" t="n">
        <v>41978</v>
      </c>
      <c r="F4952" s="6" t="n">
        <v>3.9</v>
      </c>
      <c r="G4952" t="n">
        <v>1</v>
      </c>
      <c r="H4952" s="6">
        <f>ROUND(G4952*F4952,2)</f>
        <v/>
      </c>
      <c r="I4952">
        <f>IF(ROUND(H4952-D4952,2)=0,1,0)</f>
        <v/>
      </c>
      <c r="J4952">
        <f>IF(F4952="","none",IF(G4952=1,"carte","multiple"))</f>
        <v/>
      </c>
    </row>
    <row r="4953">
      <c r="A4953" t="inlineStr">
        <is>
          <t>2022-09-07</t>
        </is>
      </c>
      <c r="B4953" t="inlineStr">
        <is>
          <t>13:26</t>
        </is>
      </c>
      <c r="C4953" t="n">
        <v>3050</v>
      </c>
      <c r="D4953" s="6" t="n">
        <v>3.9</v>
      </c>
      <c r="E4953" t="n">
        <v>41979</v>
      </c>
      <c r="F4953" s="6" t="n">
        <v>3.9</v>
      </c>
      <c r="G4953" t="n">
        <v>1</v>
      </c>
      <c r="H4953" s="6">
        <f>ROUND(G4953*F4953,2)</f>
        <v/>
      </c>
      <c r="I4953">
        <f>IF(ROUND(H4953-D4953,2)=0,1,0)</f>
        <v/>
      </c>
      <c r="J4953">
        <f>IF(F4953="","none",IF(G4953=1,"carte","multiple"))</f>
        <v/>
      </c>
    </row>
    <row r="4954">
      <c r="A4954" t="inlineStr">
        <is>
          <t>2022-09-07</t>
        </is>
      </c>
      <c r="B4954" t="inlineStr">
        <is>
          <t>13:26</t>
        </is>
      </c>
      <c r="C4954" t="n">
        <v>3050</v>
      </c>
      <c r="D4954" s="6" t="n">
        <v>17.6</v>
      </c>
      <c r="E4954" t="n">
        <v>41980</v>
      </c>
      <c r="F4954" s="6" t="n">
        <v>17.6</v>
      </c>
      <c r="G4954" t="n">
        <v>1</v>
      </c>
      <c r="H4954" s="6">
        <f>ROUND(G4954*F4954,2)</f>
        <v/>
      </c>
      <c r="I4954">
        <f>IF(ROUND(H4954-D4954,2)=0,1,0)</f>
        <v/>
      </c>
      <c r="J4954">
        <f>IF(F4954="","none",IF(G4954=1,"carte","multiple"))</f>
        <v/>
      </c>
    </row>
    <row r="4955">
      <c r="A4955" t="inlineStr">
        <is>
          <t>2022-09-07</t>
        </is>
      </c>
      <c r="B4955" t="inlineStr">
        <is>
          <t>13:26</t>
        </is>
      </c>
      <c r="C4955" t="n">
        <v>3050</v>
      </c>
      <c r="D4955" s="6" t="n">
        <v>23</v>
      </c>
      <c r="E4955" t="n">
        <v>41981</v>
      </c>
      <c r="F4955" s="6" t="n">
        <v>23</v>
      </c>
      <c r="G4955" t="n">
        <v>1</v>
      </c>
      <c r="H4955" s="6">
        <f>ROUND(G4955*F4955,2)</f>
        <v/>
      </c>
      <c r="I4955">
        <f>IF(ROUND(H4955-D4955,2)=0,1,0)</f>
        <v/>
      </c>
      <c r="J4955">
        <f>IF(F4955="","none",IF(G4955=1,"carte","multiple"))</f>
        <v/>
      </c>
    </row>
    <row r="4956">
      <c r="A4956" t="inlineStr">
        <is>
          <t>2022-09-07</t>
        </is>
      </c>
      <c r="B4956" t="inlineStr">
        <is>
          <t>18:19</t>
        </is>
      </c>
      <c r="C4956" t="n">
        <v>3050</v>
      </c>
      <c r="D4956" s="6" t="n">
        <v>2.2</v>
      </c>
      <c r="E4956" t="n">
        <v>41983</v>
      </c>
      <c r="F4956" s="6" t="n">
        <v>2.2</v>
      </c>
      <c r="G4956" t="n">
        <v>1</v>
      </c>
      <c r="H4956" s="6">
        <f>ROUND(G4956*F4956,2)</f>
        <v/>
      </c>
      <c r="I4956">
        <f>IF(ROUND(H4956-D4956,2)=0,1,0)</f>
        <v/>
      </c>
      <c r="J4956">
        <f>IF(F4956="","none",IF(G4956=1,"carte","multiple"))</f>
        <v/>
      </c>
    </row>
    <row r="4957">
      <c r="A4957" t="inlineStr">
        <is>
          <t>2022-09-07</t>
        </is>
      </c>
      <c r="B4957" t="inlineStr">
        <is>
          <t>18:19</t>
        </is>
      </c>
      <c r="C4957" t="n">
        <v>3050</v>
      </c>
      <c r="D4957" s="6" t="n">
        <v>8.199999999999999</v>
      </c>
      <c r="E4957" t="n">
        <v>41984</v>
      </c>
      <c r="F4957" s="6" t="n">
        <v>8.199999999999999</v>
      </c>
      <c r="G4957" t="n">
        <v>1</v>
      </c>
      <c r="H4957" s="6">
        <f>ROUND(G4957*F4957,2)</f>
        <v/>
      </c>
      <c r="I4957">
        <f>IF(ROUND(H4957-D4957,2)=0,1,0)</f>
        <v/>
      </c>
      <c r="J4957">
        <f>IF(F4957="","none",IF(G4957=1,"carte","multiple"))</f>
        <v/>
      </c>
    </row>
    <row r="4958">
      <c r="A4958" t="inlineStr">
        <is>
          <t>2022-09-07</t>
        </is>
      </c>
      <c r="B4958" t="inlineStr">
        <is>
          <t>18:19</t>
        </is>
      </c>
      <c r="C4958" t="n">
        <v>3050</v>
      </c>
      <c r="D4958" s="6" t="n">
        <v>8.800000000000001</v>
      </c>
      <c r="E4958" t="n">
        <v>41985</v>
      </c>
      <c r="F4958" s="6" t="n">
        <v>8.800000000000001</v>
      </c>
      <c r="G4958" t="n">
        <v>1</v>
      </c>
      <c r="H4958" s="6">
        <f>ROUND(G4958*F4958,2)</f>
        <v/>
      </c>
      <c r="I4958">
        <f>IF(ROUND(H4958-D4958,2)=0,1,0)</f>
        <v/>
      </c>
      <c r="J4958">
        <f>IF(F4958="","none",IF(G4958=1,"carte","multiple"))</f>
        <v/>
      </c>
    </row>
    <row r="4959">
      <c r="A4959" t="inlineStr">
        <is>
          <t>2022-09-07</t>
        </is>
      </c>
      <c r="B4959" t="inlineStr">
        <is>
          <t>18:19</t>
        </is>
      </c>
      <c r="C4959" t="n">
        <v>3050</v>
      </c>
      <c r="D4959" s="6" t="n">
        <v>3.9</v>
      </c>
      <c r="E4959" t="n">
        <v>41986</v>
      </c>
      <c r="F4959" s="6" t="n">
        <v>3.9</v>
      </c>
      <c r="G4959" t="n">
        <v>1</v>
      </c>
      <c r="H4959" s="6">
        <f>ROUND(G4959*F4959,2)</f>
        <v/>
      </c>
      <c r="I4959">
        <f>IF(ROUND(H4959-D4959,2)=0,1,0)</f>
        <v/>
      </c>
      <c r="J4959">
        <f>IF(F4959="","none",IF(G4959=1,"carte","multiple"))</f>
        <v/>
      </c>
    </row>
    <row r="4960">
      <c r="A4960" t="inlineStr">
        <is>
          <t>2022-09-07</t>
        </is>
      </c>
      <c r="B4960" t="inlineStr">
        <is>
          <t>19:23</t>
        </is>
      </c>
      <c r="C4960" t="n">
        <v>3050</v>
      </c>
      <c r="D4960" s="6" t="n">
        <v>2.4</v>
      </c>
      <c r="E4960" t="n">
        <v>41987</v>
      </c>
      <c r="F4960" s="6" t="n">
        <v>2.4</v>
      </c>
      <c r="G4960" t="n">
        <v>1</v>
      </c>
      <c r="H4960" s="6">
        <f>ROUND(G4960*F4960,2)</f>
        <v/>
      </c>
      <c r="I4960">
        <f>IF(ROUND(H4960-D4960,2)=0,1,0)</f>
        <v/>
      </c>
      <c r="J4960">
        <f>IF(F4960="","none",IF(G4960=1,"carte","multiple"))</f>
        <v/>
      </c>
    </row>
    <row r="4961">
      <c r="A4961" t="inlineStr">
        <is>
          <t>2022-09-07</t>
        </is>
      </c>
      <c r="B4961" t="inlineStr">
        <is>
          <t>19:23</t>
        </is>
      </c>
      <c r="C4961" t="n">
        <v>3050</v>
      </c>
      <c r="D4961" s="6" t="n">
        <v>1.8</v>
      </c>
      <c r="E4961" t="n">
        <v>41988</v>
      </c>
      <c r="F4961" s="6" t="n">
        <v>1.8</v>
      </c>
      <c r="G4961" t="n">
        <v>1</v>
      </c>
      <c r="H4961" s="6">
        <f>ROUND(G4961*F4961,2)</f>
        <v/>
      </c>
      <c r="I4961">
        <f>IF(ROUND(H4961-D4961,2)=0,1,0)</f>
        <v/>
      </c>
      <c r="J4961">
        <f>IF(F4961="","none",IF(G4961=1,"carte","multiple"))</f>
        <v/>
      </c>
    </row>
    <row r="4962">
      <c r="A4962" t="inlineStr">
        <is>
          <t>2022-09-07</t>
        </is>
      </c>
      <c r="B4962" t="inlineStr">
        <is>
          <t>19:23</t>
        </is>
      </c>
      <c r="C4962" t="n">
        <v>3050</v>
      </c>
      <c r="D4962" s="6" t="n">
        <v>3.9</v>
      </c>
      <c r="E4962" t="n">
        <v>41989</v>
      </c>
      <c r="F4962" s="6" t="n">
        <v>3.9</v>
      </c>
      <c r="G4962" t="n">
        <v>1</v>
      </c>
      <c r="H4962" s="6">
        <f>ROUND(G4962*F4962,2)</f>
        <v/>
      </c>
      <c r="I4962">
        <f>IF(ROUND(H4962-D4962,2)=0,1,0)</f>
        <v/>
      </c>
      <c r="J4962">
        <f>IF(F4962="","none",IF(G4962=1,"carte","multiple"))</f>
        <v/>
      </c>
    </row>
    <row r="4963">
      <c r="A4963" t="inlineStr">
        <is>
          <t>2022-09-07</t>
        </is>
      </c>
      <c r="B4963" t="inlineStr">
        <is>
          <t>19:23</t>
        </is>
      </c>
      <c r="C4963" t="n">
        <v>3050</v>
      </c>
      <c r="D4963" s="6" t="n">
        <v>8.699999999999999</v>
      </c>
      <c r="E4963" t="n">
        <v>41990</v>
      </c>
      <c r="F4963" s="6" t="n">
        <v>8.699999999999999</v>
      </c>
      <c r="G4963" t="n">
        <v>1</v>
      </c>
      <c r="H4963" s="6">
        <f>ROUND(G4963*F4963,2)</f>
        <v/>
      </c>
      <c r="I4963">
        <f>IF(ROUND(H4963-D4963,2)=0,1,0)</f>
        <v/>
      </c>
      <c r="J4963">
        <f>IF(F4963="","none",IF(G4963=1,"carte","multiple"))</f>
        <v/>
      </c>
    </row>
    <row r="4964">
      <c r="A4964" t="inlineStr">
        <is>
          <t>2022-09-07</t>
        </is>
      </c>
      <c r="B4964" t="inlineStr">
        <is>
          <t>19:23</t>
        </is>
      </c>
      <c r="C4964" t="n">
        <v>3050</v>
      </c>
      <c r="D4964" s="6" t="n">
        <v>9</v>
      </c>
      <c r="E4964" t="n">
        <v>41991</v>
      </c>
      <c r="F4964" s="6" t="n">
        <v>9</v>
      </c>
      <c r="G4964" t="n">
        <v>1</v>
      </c>
      <c r="H4964" s="6">
        <f>ROUND(G4964*F4964,2)</f>
        <v/>
      </c>
      <c r="I4964">
        <f>IF(ROUND(H4964-D4964,2)=0,1,0)</f>
        <v/>
      </c>
      <c r="J4964">
        <f>IF(F4964="","none",IF(G4964=1,"carte","multiple"))</f>
        <v/>
      </c>
    </row>
    <row r="4965">
      <c r="A4965" t="inlineStr">
        <is>
          <t>2022-09-07</t>
        </is>
      </c>
      <c r="B4965" t="inlineStr">
        <is>
          <t>19:23</t>
        </is>
      </c>
      <c r="C4965" t="n">
        <v>3050</v>
      </c>
      <c r="D4965" s="6" t="n">
        <v>3.9</v>
      </c>
      <c r="E4965" t="n">
        <v>41992</v>
      </c>
      <c r="F4965" s="6" t="n">
        <v>3.9</v>
      </c>
      <c r="G4965" t="n">
        <v>1</v>
      </c>
      <c r="H4965" s="6">
        <f>ROUND(G4965*F4965,2)</f>
        <v/>
      </c>
      <c r="I4965">
        <f>IF(ROUND(H4965-D4965,2)=0,1,0)</f>
        <v/>
      </c>
      <c r="J4965">
        <f>IF(F4965="","none",IF(G4965=1,"carte","multiple"))</f>
        <v/>
      </c>
    </row>
    <row r="4966">
      <c r="A4966" t="inlineStr">
        <is>
          <t>2022-09-07</t>
        </is>
      </c>
      <c r="B4966" t="inlineStr">
        <is>
          <t>19:23</t>
        </is>
      </c>
      <c r="C4966" t="n">
        <v>3050</v>
      </c>
      <c r="D4966" s="6" t="n">
        <v>17.6</v>
      </c>
      <c r="E4966" t="n">
        <v>41993</v>
      </c>
      <c r="F4966" s="6" t="n">
        <v>17.6</v>
      </c>
      <c r="G4966" t="n">
        <v>1</v>
      </c>
      <c r="H4966" s="6">
        <f>ROUND(G4966*F4966,2)</f>
        <v/>
      </c>
      <c r="I4966">
        <f>IF(ROUND(H4966-D4966,2)=0,1,0)</f>
        <v/>
      </c>
      <c r="J4966">
        <f>IF(F4966="","none",IF(G4966=1,"carte","multiple"))</f>
        <v/>
      </c>
    </row>
    <row r="4967">
      <c r="A4967" t="inlineStr">
        <is>
          <t>2022-09-07</t>
        </is>
      </c>
      <c r="B4967" t="inlineStr">
        <is>
          <t>19:23</t>
        </is>
      </c>
      <c r="C4967" t="n">
        <v>3050</v>
      </c>
      <c r="D4967" s="6" t="n">
        <v>3.9</v>
      </c>
      <c r="E4967" t="n">
        <v>41994</v>
      </c>
      <c r="F4967" s="6" t="n">
        <v>3.9</v>
      </c>
      <c r="G4967" t="n">
        <v>1</v>
      </c>
      <c r="H4967" s="6">
        <f>ROUND(G4967*F4967,2)</f>
        <v/>
      </c>
      <c r="I4967">
        <f>IF(ROUND(H4967-D4967,2)=0,1,0)</f>
        <v/>
      </c>
      <c r="J4967">
        <f>IF(F4967="","none",IF(G4967=1,"carte","multiple"))</f>
        <v/>
      </c>
    </row>
    <row r="4968">
      <c r="A4968" t="inlineStr">
        <is>
          <t>2022-09-07</t>
        </is>
      </c>
      <c r="B4968" t="inlineStr">
        <is>
          <t>19:23</t>
        </is>
      </c>
      <c r="C4968" t="n">
        <v>3050</v>
      </c>
      <c r="D4968" s="6" t="n">
        <v>59.2</v>
      </c>
      <c r="E4968" t="n">
        <v>41995</v>
      </c>
      <c r="F4968" s="6" t="n">
        <v>0.4</v>
      </c>
      <c r="G4968" t="n">
        <v>148</v>
      </c>
      <c r="H4968" s="6">
        <f>ROUND(G4968*F4968,2)</f>
        <v/>
      </c>
      <c r="I4968">
        <f>IF(ROUND(H4968-D4968,2)=0,1,0)</f>
        <v/>
      </c>
      <c r="J4968">
        <f>IF(F4968="","none",IF(G4968=1,"carte","multiple"))</f>
        <v/>
      </c>
    </row>
    <row r="4969">
      <c r="A4969" t="inlineStr">
        <is>
          <t>2022-09-08</t>
        </is>
      </c>
      <c r="B4969" t="inlineStr">
        <is>
          <t>11:29</t>
        </is>
      </c>
      <c r="C4969" t="n">
        <v>3051</v>
      </c>
      <c r="D4969" s="6" t="n">
        <v>19.9</v>
      </c>
      <c r="E4969" t="n">
        <v>41998</v>
      </c>
      <c r="F4969" s="6" t="n">
        <v>19.9</v>
      </c>
      <c r="G4969" t="n">
        <v>1</v>
      </c>
      <c r="H4969" s="6">
        <f>ROUND(G4969*F4969,2)</f>
        <v/>
      </c>
      <c r="I4969">
        <f>IF(ROUND(H4969-D4969,2)=0,1,0)</f>
        <v/>
      </c>
      <c r="J4969">
        <f>IF(F4969="","none",IF(G4969=1,"carte","multiple"))</f>
        <v/>
      </c>
    </row>
    <row r="4970">
      <c r="A4970" t="inlineStr">
        <is>
          <t>2022-09-08</t>
        </is>
      </c>
      <c r="B4970" t="inlineStr">
        <is>
          <t>11:29</t>
        </is>
      </c>
      <c r="C4970" t="n">
        <v>3051</v>
      </c>
      <c r="D4970" s="6" t="n">
        <v>5.2</v>
      </c>
      <c r="E4970" t="n">
        <v>41999</v>
      </c>
      <c r="F4970" s="6" t="n">
        <v>5.2</v>
      </c>
      <c r="G4970" t="n">
        <v>1</v>
      </c>
      <c r="H4970" s="6">
        <f>ROUND(G4970*F4970,2)</f>
        <v/>
      </c>
      <c r="I4970">
        <f>IF(ROUND(H4970-D4970,2)=0,1,0)</f>
        <v/>
      </c>
      <c r="J4970">
        <f>IF(F4970="","none",IF(G4970=1,"carte","multiple"))</f>
        <v/>
      </c>
    </row>
    <row r="4971">
      <c r="A4971" t="inlineStr">
        <is>
          <t>2022-09-08</t>
        </is>
      </c>
      <c r="B4971" t="inlineStr">
        <is>
          <t>11:29</t>
        </is>
      </c>
      <c r="C4971" t="n">
        <v>3051</v>
      </c>
      <c r="D4971" s="6" t="n">
        <v>5.2</v>
      </c>
      <c r="E4971" t="n">
        <v>42000</v>
      </c>
      <c r="F4971" s="6" t="n">
        <v>5.2</v>
      </c>
      <c r="G4971" t="n">
        <v>1</v>
      </c>
      <c r="H4971" s="6">
        <f>ROUND(G4971*F4971,2)</f>
        <v/>
      </c>
      <c r="I4971">
        <f>IF(ROUND(H4971-D4971,2)=0,1,0)</f>
        <v/>
      </c>
      <c r="J4971">
        <f>IF(F4971="","none",IF(G4971=1,"carte","multiple"))</f>
        <v/>
      </c>
    </row>
    <row r="4972">
      <c r="A4972" t="inlineStr">
        <is>
          <t>2022-09-08</t>
        </is>
      </c>
      <c r="B4972" t="inlineStr">
        <is>
          <t>11:30</t>
        </is>
      </c>
      <c r="C4972" t="n">
        <v>3051</v>
      </c>
      <c r="D4972" s="6" t="n">
        <v>19.9</v>
      </c>
      <c r="E4972" t="n">
        <v>42001</v>
      </c>
      <c r="F4972" s="6" t="n">
        <v>19.9</v>
      </c>
      <c r="G4972" t="n">
        <v>1</v>
      </c>
      <c r="H4972" s="6">
        <f>ROUND(G4972*F4972,2)</f>
        <v/>
      </c>
      <c r="I4972">
        <f>IF(ROUND(H4972-D4972,2)=0,1,0)</f>
        <v/>
      </c>
      <c r="J4972">
        <f>IF(F4972="","none",IF(G4972=1,"carte","multiple"))</f>
        <v/>
      </c>
    </row>
    <row r="4973">
      <c r="A4973" t="inlineStr">
        <is>
          <t>2022-09-08</t>
        </is>
      </c>
      <c r="B4973" t="inlineStr">
        <is>
          <t>11:33</t>
        </is>
      </c>
      <c r="C4973" t="n">
        <v>3051</v>
      </c>
      <c r="D4973" s="6" t="n">
        <v>17.6</v>
      </c>
      <c r="E4973" t="n">
        <v>42002</v>
      </c>
      <c r="F4973" s="6" t="n">
        <v>17.6</v>
      </c>
      <c r="G4973" t="n">
        <v>1</v>
      </c>
      <c r="H4973" s="6">
        <f>ROUND(G4973*F4973,2)</f>
        <v/>
      </c>
      <c r="I4973">
        <f>IF(ROUND(H4973-D4973,2)=0,1,0)</f>
        <v/>
      </c>
      <c r="J4973">
        <f>IF(F4973="","none",IF(G4973=1,"carte","multiple"))</f>
        <v/>
      </c>
    </row>
    <row r="4974">
      <c r="A4974" t="inlineStr">
        <is>
          <t>2022-09-08</t>
        </is>
      </c>
      <c r="B4974" t="inlineStr">
        <is>
          <t>11:36</t>
        </is>
      </c>
      <c r="C4974" t="n">
        <v>3051</v>
      </c>
      <c r="D4974" s="6" t="n">
        <v>7.8</v>
      </c>
      <c r="E4974" t="n">
        <v>42003</v>
      </c>
      <c r="F4974" s="6" t="n">
        <v>7.8</v>
      </c>
      <c r="G4974" t="n">
        <v>1</v>
      </c>
      <c r="H4974" s="6">
        <f>ROUND(G4974*F4974,2)</f>
        <v/>
      </c>
      <c r="I4974">
        <f>IF(ROUND(H4974-D4974,2)=0,1,0)</f>
        <v/>
      </c>
      <c r="J4974">
        <f>IF(F4974="","none",IF(G4974=1,"carte","multiple"))</f>
        <v/>
      </c>
    </row>
    <row r="4975">
      <c r="A4975" t="inlineStr">
        <is>
          <t>2022-09-08</t>
        </is>
      </c>
      <c r="B4975" t="inlineStr">
        <is>
          <t>11:37</t>
        </is>
      </c>
      <c r="C4975" t="n">
        <v>3051</v>
      </c>
      <c r="D4975" s="6" t="n">
        <v>2.2</v>
      </c>
      <c r="E4975" t="n">
        <v>42004</v>
      </c>
      <c r="F4975" s="6" t="n">
        <v>2.2</v>
      </c>
      <c r="G4975" t="n">
        <v>1</v>
      </c>
      <c r="H4975" s="6">
        <f>ROUND(G4975*F4975,2)</f>
        <v/>
      </c>
      <c r="I4975">
        <f>IF(ROUND(H4975-D4975,2)=0,1,0)</f>
        <v/>
      </c>
      <c r="J4975">
        <f>IF(F4975="","none",IF(G4975=1,"carte","multiple"))</f>
        <v/>
      </c>
    </row>
    <row r="4976">
      <c r="A4976" t="inlineStr">
        <is>
          <t>2022-09-08</t>
        </is>
      </c>
      <c r="B4976" t="inlineStr">
        <is>
          <t>11:37</t>
        </is>
      </c>
      <c r="C4976" t="n">
        <v>3051</v>
      </c>
      <c r="D4976" s="6" t="n">
        <v>1.8</v>
      </c>
      <c r="E4976" t="n">
        <v>42005</v>
      </c>
      <c r="F4976" s="6" t="n">
        <v>1.8</v>
      </c>
      <c r="G4976" t="n">
        <v>1</v>
      </c>
      <c r="H4976" s="6">
        <f>ROUND(G4976*F4976,2)</f>
        <v/>
      </c>
      <c r="I4976">
        <f>IF(ROUND(H4976-D4976,2)=0,1,0)</f>
        <v/>
      </c>
      <c r="J4976">
        <f>IF(F4976="","none",IF(G4976=1,"carte","multiple"))</f>
        <v/>
      </c>
    </row>
    <row r="4977">
      <c r="A4977" t="inlineStr">
        <is>
          <t>2022-09-08</t>
        </is>
      </c>
      <c r="B4977" t="inlineStr">
        <is>
          <t>11:37</t>
        </is>
      </c>
      <c r="C4977" t="n">
        <v>3051</v>
      </c>
      <c r="D4977" s="6" t="n">
        <v>7.8</v>
      </c>
      <c r="E4977" t="n">
        <v>42006</v>
      </c>
      <c r="F4977" s="6" t="n">
        <v>7.8</v>
      </c>
      <c r="G4977" t="n">
        <v>1</v>
      </c>
      <c r="H4977" s="6">
        <f>ROUND(G4977*F4977,2)</f>
        <v/>
      </c>
      <c r="I4977">
        <f>IF(ROUND(H4977-D4977,2)=0,1,0)</f>
        <v/>
      </c>
      <c r="J4977">
        <f>IF(F4977="","none",IF(G4977=1,"carte","multiple"))</f>
        <v/>
      </c>
    </row>
    <row r="4978">
      <c r="A4978" t="inlineStr">
        <is>
          <t>2022-09-08</t>
        </is>
      </c>
      <c r="B4978" t="inlineStr">
        <is>
          <t>11:37</t>
        </is>
      </c>
      <c r="C4978" t="n">
        <v>3051</v>
      </c>
      <c r="D4978" s="6" t="n">
        <v>14.5</v>
      </c>
      <c r="E4978" t="n">
        <v>42007</v>
      </c>
      <c r="F4978" s="6" t="n">
        <v>14.5</v>
      </c>
      <c r="G4978" t="n">
        <v>1</v>
      </c>
      <c r="H4978" s="6">
        <f>ROUND(G4978*F4978,2)</f>
        <v/>
      </c>
      <c r="I4978">
        <f>IF(ROUND(H4978-D4978,2)=0,1,0)</f>
        <v/>
      </c>
      <c r="J4978">
        <f>IF(F4978="","none",IF(G4978=1,"carte","multiple"))</f>
        <v/>
      </c>
    </row>
    <row r="4979">
      <c r="A4979" t="inlineStr">
        <is>
          <t>2022-09-08</t>
        </is>
      </c>
      <c r="B4979" t="inlineStr">
        <is>
          <t>11:37</t>
        </is>
      </c>
      <c r="C4979" t="n">
        <v>3051</v>
      </c>
      <c r="D4979" s="6" t="n">
        <v>16.9</v>
      </c>
      <c r="E4979" t="n">
        <v>42008</v>
      </c>
      <c r="F4979" s="6" t="n">
        <v>16.9</v>
      </c>
      <c r="G4979" t="n">
        <v>1</v>
      </c>
      <c r="H4979" s="6">
        <f>ROUND(G4979*F4979,2)</f>
        <v/>
      </c>
      <c r="I4979">
        <f>IF(ROUND(H4979-D4979,2)=0,1,0)</f>
        <v/>
      </c>
      <c r="J4979">
        <f>IF(F4979="","none",IF(G4979=1,"carte","multiple"))</f>
        <v/>
      </c>
    </row>
    <row r="4980">
      <c r="A4980" t="inlineStr">
        <is>
          <t>2022-09-08</t>
        </is>
      </c>
      <c r="B4980" t="inlineStr">
        <is>
          <t>11:47</t>
        </is>
      </c>
      <c r="C4980" t="n">
        <v>3051</v>
      </c>
      <c r="D4980" s="6" t="n">
        <v>7.2</v>
      </c>
      <c r="E4980" t="n">
        <v>42009</v>
      </c>
      <c r="F4980" s="6" t="n">
        <v>7.2</v>
      </c>
      <c r="G4980" t="n">
        <v>1</v>
      </c>
      <c r="H4980" s="6">
        <f>ROUND(G4980*F4980,2)</f>
        <v/>
      </c>
      <c r="I4980">
        <f>IF(ROUND(H4980-D4980,2)=0,1,0)</f>
        <v/>
      </c>
      <c r="J4980">
        <f>IF(F4980="","none",IF(G4980=1,"carte","multiple"))</f>
        <v/>
      </c>
    </row>
    <row r="4981">
      <c r="A4981" t="inlineStr">
        <is>
          <t>2022-09-08</t>
        </is>
      </c>
      <c r="B4981" t="inlineStr">
        <is>
          <t>11:47</t>
        </is>
      </c>
      <c r="C4981" t="n">
        <v>3051</v>
      </c>
      <c r="D4981" s="6" t="n">
        <v>19.9</v>
      </c>
      <c r="E4981" t="n">
        <v>42010</v>
      </c>
      <c r="F4981" s="6" t="n">
        <v>19.9</v>
      </c>
      <c r="G4981" t="n">
        <v>1</v>
      </c>
      <c r="H4981" s="6">
        <f>ROUND(G4981*F4981,2)</f>
        <v/>
      </c>
      <c r="I4981">
        <f>IF(ROUND(H4981-D4981,2)=0,1,0)</f>
        <v/>
      </c>
      <c r="J4981">
        <f>IF(F4981="","none",IF(G4981=1,"carte","multiple"))</f>
        <v/>
      </c>
    </row>
    <row r="4982">
      <c r="A4982" t="inlineStr">
        <is>
          <t>2022-09-08</t>
        </is>
      </c>
      <c r="B4982" t="inlineStr">
        <is>
          <t>11:47</t>
        </is>
      </c>
      <c r="C4982" t="n">
        <v>3051</v>
      </c>
      <c r="D4982" s="6" t="n">
        <v>17.6</v>
      </c>
      <c r="E4982" t="n">
        <v>42011</v>
      </c>
      <c r="F4982" s="6" t="n">
        <v>17.6</v>
      </c>
      <c r="G4982" t="n">
        <v>1</v>
      </c>
      <c r="H4982" s="6">
        <f>ROUND(G4982*F4982,2)</f>
        <v/>
      </c>
      <c r="I4982">
        <f>IF(ROUND(H4982-D4982,2)=0,1,0)</f>
        <v/>
      </c>
      <c r="J4982">
        <f>IF(F4982="","none",IF(G4982=1,"carte","multiple"))</f>
        <v/>
      </c>
    </row>
    <row r="4983">
      <c r="A4983" t="inlineStr">
        <is>
          <t>2022-09-08</t>
        </is>
      </c>
      <c r="B4983" t="inlineStr">
        <is>
          <t>11:47</t>
        </is>
      </c>
      <c r="C4983" t="n">
        <v>3051</v>
      </c>
      <c r="D4983" s="6" t="n">
        <v>8.4</v>
      </c>
      <c r="E4983" t="n">
        <v>42012</v>
      </c>
      <c r="F4983" s="6" t="n">
        <v>8.4</v>
      </c>
      <c r="G4983" t="n">
        <v>1</v>
      </c>
      <c r="H4983" s="6">
        <f>ROUND(G4983*F4983,2)</f>
        <v/>
      </c>
      <c r="I4983">
        <f>IF(ROUND(H4983-D4983,2)=0,1,0)</f>
        <v/>
      </c>
      <c r="J4983">
        <f>IF(F4983="","none",IF(G4983=1,"carte","multiple"))</f>
        <v/>
      </c>
    </row>
    <row r="4984">
      <c r="A4984" t="inlineStr">
        <is>
          <t>2022-09-08</t>
        </is>
      </c>
      <c r="B4984" t="inlineStr">
        <is>
          <t>11:47</t>
        </is>
      </c>
      <c r="C4984" t="n">
        <v>3051</v>
      </c>
      <c r="D4984" s="6" t="n">
        <v>8.699999999999999</v>
      </c>
      <c r="E4984" t="n">
        <v>42013</v>
      </c>
      <c r="F4984" s="6" t="n">
        <v>8.699999999999999</v>
      </c>
      <c r="G4984" t="n">
        <v>1</v>
      </c>
      <c r="H4984" s="6">
        <f>ROUND(G4984*F4984,2)</f>
        <v/>
      </c>
      <c r="I4984">
        <f>IF(ROUND(H4984-D4984,2)=0,1,0)</f>
        <v/>
      </c>
      <c r="J4984">
        <f>IF(F4984="","none",IF(G4984=1,"carte","multiple"))</f>
        <v/>
      </c>
    </row>
    <row r="4985">
      <c r="A4985" t="inlineStr">
        <is>
          <t>2022-09-08</t>
        </is>
      </c>
      <c r="B4985" t="inlineStr">
        <is>
          <t>11:47</t>
        </is>
      </c>
      <c r="C4985" t="n">
        <v>3051</v>
      </c>
      <c r="D4985" s="6" t="n">
        <v>3.9</v>
      </c>
      <c r="E4985" t="n">
        <v>42014</v>
      </c>
      <c r="F4985" s="6" t="n">
        <v>3.9</v>
      </c>
      <c r="G4985" t="n">
        <v>1</v>
      </c>
      <c r="H4985" s="6">
        <f>ROUND(G4985*F4985,2)</f>
        <v/>
      </c>
      <c r="I4985">
        <f>IF(ROUND(H4985-D4985,2)=0,1,0)</f>
        <v/>
      </c>
      <c r="J4985">
        <f>IF(F4985="","none",IF(G4985=1,"carte","multiple"))</f>
        <v/>
      </c>
    </row>
    <row r="4986">
      <c r="A4986" t="inlineStr">
        <is>
          <t>2022-09-08</t>
        </is>
      </c>
      <c r="B4986" t="inlineStr">
        <is>
          <t>13:11</t>
        </is>
      </c>
      <c r="C4986" t="n">
        <v>3051</v>
      </c>
      <c r="D4986" s="6" t="n">
        <v>3.8</v>
      </c>
      <c r="E4986" t="n">
        <v>42015</v>
      </c>
      <c r="F4986" s="6" t="n">
        <v>3.8</v>
      </c>
      <c r="G4986" t="n">
        <v>1</v>
      </c>
      <c r="H4986" s="6">
        <f>ROUND(G4986*F4986,2)</f>
        <v/>
      </c>
      <c r="I4986">
        <f>IF(ROUND(H4986-D4986,2)=0,1,0)</f>
        <v/>
      </c>
      <c r="J4986">
        <f>IF(F4986="","none",IF(G4986=1,"carte","multiple"))</f>
        <v/>
      </c>
    </row>
    <row r="4987">
      <c r="A4987" t="inlineStr">
        <is>
          <t>2022-09-08</t>
        </is>
      </c>
      <c r="B4987" t="inlineStr">
        <is>
          <t>13:11</t>
        </is>
      </c>
      <c r="C4987" t="n">
        <v>3051</v>
      </c>
      <c r="D4987" s="6" t="n">
        <v>2.2</v>
      </c>
      <c r="E4987" t="n">
        <v>42016</v>
      </c>
      <c r="F4987" s="6" t="n">
        <v>2.2</v>
      </c>
      <c r="G4987" t="n">
        <v>1</v>
      </c>
      <c r="H4987" s="6">
        <f>ROUND(G4987*F4987,2)</f>
        <v/>
      </c>
      <c r="I4987">
        <f>IF(ROUND(H4987-D4987,2)=0,1,0)</f>
        <v/>
      </c>
      <c r="J4987">
        <f>IF(F4987="","none",IF(G4987=1,"carte","multiple"))</f>
        <v/>
      </c>
    </row>
    <row r="4988">
      <c r="A4988" t="inlineStr">
        <is>
          <t>2022-09-08</t>
        </is>
      </c>
      <c r="B4988" t="inlineStr">
        <is>
          <t>13:11</t>
        </is>
      </c>
      <c r="C4988" t="n">
        <v>3051</v>
      </c>
      <c r="D4988" s="6" t="n">
        <v>35.2</v>
      </c>
      <c r="E4988" t="n">
        <v>42017</v>
      </c>
      <c r="F4988" s="6" t="n">
        <v>0.4</v>
      </c>
      <c r="G4988" t="n">
        <v>88</v>
      </c>
      <c r="H4988" s="6">
        <f>ROUND(G4988*F4988,2)</f>
        <v/>
      </c>
      <c r="I4988">
        <f>IF(ROUND(H4988-D4988,2)=0,1,0)</f>
        <v/>
      </c>
      <c r="J4988">
        <f>IF(F4988="","none",IF(G4988=1,"carte","multiple"))</f>
        <v/>
      </c>
    </row>
    <row r="4989">
      <c r="A4989" t="inlineStr">
        <is>
          <t>2022-09-08</t>
        </is>
      </c>
      <c r="B4989" t="inlineStr">
        <is>
          <t>13:11</t>
        </is>
      </c>
      <c r="C4989" t="n">
        <v>3051</v>
      </c>
      <c r="D4989" s="6" t="n">
        <v>19</v>
      </c>
      <c r="E4989" t="n">
        <v>42018</v>
      </c>
      <c r="F4989" s="6" t="n">
        <v>19</v>
      </c>
      <c r="G4989" t="n">
        <v>1</v>
      </c>
      <c r="H4989" s="6">
        <f>ROUND(G4989*F4989,2)</f>
        <v/>
      </c>
      <c r="I4989">
        <f>IF(ROUND(H4989-D4989,2)=0,1,0)</f>
        <v/>
      </c>
      <c r="J4989">
        <f>IF(F4989="","none",IF(G4989=1,"carte","multiple"))</f>
        <v/>
      </c>
    </row>
    <row r="4990">
      <c r="A4990" t="inlineStr">
        <is>
          <t>2022-09-08</t>
        </is>
      </c>
      <c r="B4990" t="inlineStr">
        <is>
          <t>13:11</t>
        </is>
      </c>
      <c r="C4990" t="n">
        <v>3051</v>
      </c>
      <c r="D4990" s="6" t="n">
        <v>32</v>
      </c>
      <c r="E4990" t="n">
        <v>42019</v>
      </c>
      <c r="F4990" s="6" t="n">
        <v>32</v>
      </c>
      <c r="G4990" t="n">
        <v>1</v>
      </c>
      <c r="H4990" s="6">
        <f>ROUND(G4990*F4990,2)</f>
        <v/>
      </c>
      <c r="I4990">
        <f>IF(ROUND(H4990-D4990,2)=0,1,0)</f>
        <v/>
      </c>
      <c r="J4990">
        <f>IF(F4990="","none",IF(G4990=1,"carte","multiple"))</f>
        <v/>
      </c>
    </row>
    <row r="4991">
      <c r="A4991" t="inlineStr">
        <is>
          <t>2022-09-08</t>
        </is>
      </c>
      <c r="B4991" t="inlineStr">
        <is>
          <t>13:11</t>
        </is>
      </c>
      <c r="C4991" t="n">
        <v>3051</v>
      </c>
      <c r="D4991" s="6" t="n">
        <v>15.6</v>
      </c>
      <c r="E4991" t="n">
        <v>42020</v>
      </c>
      <c r="F4991" s="6" t="n">
        <v>15.6</v>
      </c>
      <c r="G4991" t="n">
        <v>1</v>
      </c>
      <c r="H4991" s="6">
        <f>ROUND(G4991*F4991,2)</f>
        <v/>
      </c>
      <c r="I4991">
        <f>IF(ROUND(H4991-D4991,2)=0,1,0)</f>
        <v/>
      </c>
      <c r="J4991">
        <f>IF(F4991="","none",IF(G4991=1,"carte","multiple"))</f>
        <v/>
      </c>
    </row>
    <row r="4992">
      <c r="A4992" t="inlineStr">
        <is>
          <t>2022-09-08</t>
        </is>
      </c>
      <c r="B4992" t="inlineStr">
        <is>
          <t>13:11</t>
        </is>
      </c>
      <c r="C4992" t="n">
        <v>3051</v>
      </c>
      <c r="D4992" s="6" t="n">
        <v>3.9</v>
      </c>
      <c r="E4992" t="n">
        <v>42021</v>
      </c>
      <c r="F4992" s="6" t="n">
        <v>3.9</v>
      </c>
      <c r="G4992" t="n">
        <v>1</v>
      </c>
      <c r="H4992" s="6">
        <f>ROUND(G4992*F4992,2)</f>
        <v/>
      </c>
      <c r="I4992">
        <f>IF(ROUND(H4992-D4992,2)=0,1,0)</f>
        <v/>
      </c>
      <c r="J4992">
        <f>IF(F4992="","none",IF(G4992=1,"carte","multiple"))</f>
        <v/>
      </c>
    </row>
    <row r="4993">
      <c r="A4993" t="inlineStr">
        <is>
          <t>2022-09-08</t>
        </is>
      </c>
      <c r="B4993" t="inlineStr">
        <is>
          <t>13:11</t>
        </is>
      </c>
      <c r="C4993" t="n">
        <v>3051</v>
      </c>
      <c r="D4993" s="6" t="n">
        <v>3.9</v>
      </c>
      <c r="E4993" t="n">
        <v>42022</v>
      </c>
      <c r="F4993" s="6" t="n">
        <v>3.9</v>
      </c>
      <c r="G4993" t="n">
        <v>1</v>
      </c>
      <c r="H4993" s="6">
        <f>ROUND(G4993*F4993,2)</f>
        <v/>
      </c>
      <c r="I4993">
        <f>IF(ROUND(H4993-D4993,2)=0,1,0)</f>
        <v/>
      </c>
      <c r="J4993">
        <f>IF(F4993="","none",IF(G4993=1,"carte","multiple"))</f>
        <v/>
      </c>
    </row>
    <row r="4994">
      <c r="A4994" t="inlineStr">
        <is>
          <t>2022-09-08</t>
        </is>
      </c>
      <c r="B4994" t="inlineStr">
        <is>
          <t>13:32</t>
        </is>
      </c>
      <c r="C4994" t="n">
        <v>3051</v>
      </c>
      <c r="D4994" s="6" t="n">
        <v>4.4</v>
      </c>
      <c r="E4994" t="n">
        <v>42023</v>
      </c>
      <c r="F4994" s="6" t="n">
        <v>0.4</v>
      </c>
      <c r="G4994" t="n">
        <v>11</v>
      </c>
      <c r="H4994" s="6">
        <f>ROUND(G4994*F4994,2)</f>
        <v/>
      </c>
      <c r="I4994">
        <f>IF(ROUND(H4994-D4994,2)=0,1,0)</f>
        <v/>
      </c>
      <c r="J4994">
        <f>IF(F4994="","none",IF(G4994=1,"carte","multiple"))</f>
        <v/>
      </c>
    </row>
    <row r="4995">
      <c r="A4995" t="inlineStr">
        <is>
          <t>2022-09-08</t>
        </is>
      </c>
      <c r="B4995" t="inlineStr">
        <is>
          <t>13:32</t>
        </is>
      </c>
      <c r="C4995" t="n">
        <v>3051</v>
      </c>
      <c r="D4995" s="6" t="n">
        <v>64</v>
      </c>
      <c r="E4995" t="n">
        <v>42024</v>
      </c>
      <c r="F4995" s="6" t="n">
        <v>64</v>
      </c>
      <c r="G4995" t="n">
        <v>1</v>
      </c>
      <c r="H4995" s="6">
        <f>ROUND(G4995*F4995,2)</f>
        <v/>
      </c>
      <c r="I4995">
        <f>IF(ROUND(H4995-D4995,2)=0,1,0)</f>
        <v/>
      </c>
      <c r="J4995">
        <f>IF(F4995="","none",IF(G4995=1,"carte","multiple"))</f>
        <v/>
      </c>
    </row>
    <row r="4996">
      <c r="A4996" t="inlineStr">
        <is>
          <t>2022-09-08</t>
        </is>
      </c>
      <c r="B4996" t="inlineStr">
        <is>
          <t>13:32</t>
        </is>
      </c>
      <c r="C4996" t="n">
        <v>3051</v>
      </c>
      <c r="D4996" s="6" t="n">
        <v>7.2</v>
      </c>
      <c r="E4996" t="n">
        <v>42025</v>
      </c>
      <c r="F4996" s="6" t="n">
        <v>7.2</v>
      </c>
      <c r="G4996" t="n">
        <v>1</v>
      </c>
      <c r="H4996" s="6">
        <f>ROUND(G4996*F4996,2)</f>
        <v/>
      </c>
      <c r="I4996">
        <f>IF(ROUND(H4996-D4996,2)=0,1,0)</f>
        <v/>
      </c>
      <c r="J4996">
        <f>IF(F4996="","none",IF(G4996=1,"carte","multiple"))</f>
        <v/>
      </c>
    </row>
    <row r="4997">
      <c r="A4997" t="inlineStr">
        <is>
          <t>2022-09-08</t>
        </is>
      </c>
      <c r="B4997" t="inlineStr">
        <is>
          <t>13:32</t>
        </is>
      </c>
      <c r="C4997" t="n">
        <v>3051</v>
      </c>
      <c r="D4997" s="6" t="n">
        <v>3.9</v>
      </c>
      <c r="E4997" t="n">
        <v>42026</v>
      </c>
      <c r="F4997" s="6" t="n">
        <v>3.9</v>
      </c>
      <c r="G4997" t="n">
        <v>1</v>
      </c>
      <c r="H4997" s="6">
        <f>ROUND(G4997*F4997,2)</f>
        <v/>
      </c>
      <c r="I4997">
        <f>IF(ROUND(H4997-D4997,2)=0,1,0)</f>
        <v/>
      </c>
      <c r="J4997">
        <f>IF(F4997="","none",IF(G4997=1,"carte","multiple"))</f>
        <v/>
      </c>
    </row>
    <row r="4998">
      <c r="A4998" t="inlineStr">
        <is>
          <t>2022-09-08</t>
        </is>
      </c>
      <c r="B4998" t="inlineStr">
        <is>
          <t>13:33</t>
        </is>
      </c>
      <c r="C4998" t="n">
        <v>3051</v>
      </c>
      <c r="D4998" s="6" t="n">
        <v>2.2</v>
      </c>
      <c r="E4998" t="n">
        <v>42027</v>
      </c>
      <c r="F4998" s="6" t="n">
        <v>2.2</v>
      </c>
      <c r="G4998" t="n">
        <v>1</v>
      </c>
      <c r="H4998" s="6">
        <f>ROUND(G4998*F4998,2)</f>
        <v/>
      </c>
      <c r="I4998">
        <f>IF(ROUND(H4998-D4998,2)=0,1,0)</f>
        <v/>
      </c>
      <c r="J4998">
        <f>IF(F4998="","none",IF(G4998=1,"carte","multiple"))</f>
        <v/>
      </c>
    </row>
    <row r="4999">
      <c r="A4999" t="inlineStr">
        <is>
          <t>2022-09-08</t>
        </is>
      </c>
      <c r="B4999" t="inlineStr">
        <is>
          <t>13:33</t>
        </is>
      </c>
      <c r="C4999" t="n">
        <v>3051</v>
      </c>
      <c r="D4999" s="6" t="n">
        <v>2.9</v>
      </c>
      <c r="E4999" t="n">
        <v>42028</v>
      </c>
      <c r="F4999" s="6" t="n">
        <v>2.9</v>
      </c>
      <c r="G4999" t="n">
        <v>1</v>
      </c>
      <c r="H4999" s="6">
        <f>ROUND(G4999*F4999,2)</f>
        <v/>
      </c>
      <c r="I4999">
        <f>IF(ROUND(H4999-D4999,2)=0,1,0)</f>
        <v/>
      </c>
      <c r="J4999">
        <f>IF(F4999="","none",IF(G4999=1,"carte","multiple"))</f>
        <v/>
      </c>
    </row>
    <row r="5000">
      <c r="A5000" t="inlineStr">
        <is>
          <t>2022-09-08</t>
        </is>
      </c>
      <c r="B5000" t="inlineStr">
        <is>
          <t>13:33</t>
        </is>
      </c>
      <c r="C5000" t="n">
        <v>3051</v>
      </c>
      <c r="D5000" s="6" t="n">
        <v>17.6</v>
      </c>
      <c r="E5000" t="n">
        <v>42029</v>
      </c>
      <c r="F5000" s="6" t="n">
        <v>17.6</v>
      </c>
      <c r="G5000" t="n">
        <v>1</v>
      </c>
      <c r="H5000" s="6">
        <f>ROUND(G5000*F5000,2)</f>
        <v/>
      </c>
      <c r="I5000">
        <f>IF(ROUND(H5000-D5000,2)=0,1,0)</f>
        <v/>
      </c>
      <c r="J5000">
        <f>IF(F5000="","none",IF(G5000=1,"carte","multiple"))</f>
        <v/>
      </c>
    </row>
    <row r="5001">
      <c r="A5001" t="inlineStr">
        <is>
          <t>2022-09-08</t>
        </is>
      </c>
      <c r="B5001" t="inlineStr">
        <is>
          <t>13:33</t>
        </is>
      </c>
      <c r="C5001" t="n">
        <v>3051</v>
      </c>
      <c r="D5001" s="6" t="n">
        <v>5.2</v>
      </c>
      <c r="E5001" t="n">
        <v>42030</v>
      </c>
      <c r="F5001" s="6" t="n">
        <v>5.2</v>
      </c>
      <c r="G5001" t="n">
        <v>1</v>
      </c>
      <c r="H5001" s="6">
        <f>ROUND(G5001*F5001,2)</f>
        <v/>
      </c>
      <c r="I5001">
        <f>IF(ROUND(H5001-D5001,2)=0,1,0)</f>
        <v/>
      </c>
      <c r="J5001">
        <f>IF(F5001="","none",IF(G5001=1,"carte","multiple"))</f>
        <v/>
      </c>
    </row>
    <row r="5002">
      <c r="A5002" t="inlineStr">
        <is>
          <t>2022-09-08</t>
        </is>
      </c>
      <c r="B5002" t="inlineStr">
        <is>
          <t>17:47</t>
        </is>
      </c>
      <c r="C5002" t="n">
        <v>3051</v>
      </c>
      <c r="D5002" s="6" t="n">
        <v>32</v>
      </c>
      <c r="E5002" t="n">
        <v>42032</v>
      </c>
      <c r="F5002" s="6" t="n">
        <v>32</v>
      </c>
      <c r="G5002" t="n">
        <v>1</v>
      </c>
      <c r="H5002" s="6">
        <f>ROUND(G5002*F5002,2)</f>
        <v/>
      </c>
      <c r="I5002">
        <f>IF(ROUND(H5002-D5002,2)=0,1,0)</f>
        <v/>
      </c>
      <c r="J5002">
        <f>IF(F5002="","none",IF(G5002=1,"carte","multiple"))</f>
        <v/>
      </c>
    </row>
    <row r="5003">
      <c r="A5003" t="inlineStr">
        <is>
          <t>2022-09-08</t>
        </is>
      </c>
      <c r="B5003" t="inlineStr">
        <is>
          <t>18:44</t>
        </is>
      </c>
      <c r="C5003" t="n">
        <v>3051</v>
      </c>
      <c r="D5003" s="6" t="n">
        <v>4.4</v>
      </c>
      <c r="E5003" t="n">
        <v>42033</v>
      </c>
      <c r="F5003" s="6" t="n">
        <v>0.4</v>
      </c>
      <c r="G5003" t="n">
        <v>11</v>
      </c>
      <c r="H5003" s="6">
        <f>ROUND(G5003*F5003,2)</f>
        <v/>
      </c>
      <c r="I5003">
        <f>IF(ROUND(H5003-D5003,2)=0,1,0)</f>
        <v/>
      </c>
      <c r="J5003">
        <f>IF(F5003="","none",IF(G5003=1,"carte","multiple"))</f>
        <v/>
      </c>
    </row>
    <row r="5004">
      <c r="A5004" t="inlineStr">
        <is>
          <t>2022-09-08</t>
        </is>
      </c>
      <c r="B5004" t="inlineStr">
        <is>
          <t>18:44</t>
        </is>
      </c>
      <c r="C5004" t="n">
        <v>3051</v>
      </c>
      <c r="D5004" s="6" t="n">
        <v>9.800000000000001</v>
      </c>
      <c r="E5004" t="n">
        <v>42034</v>
      </c>
      <c r="F5004" s="6" t="n">
        <v>9.800000000000001</v>
      </c>
      <c r="G5004" t="n">
        <v>1</v>
      </c>
      <c r="H5004" s="6">
        <f>ROUND(G5004*F5004,2)</f>
        <v/>
      </c>
      <c r="I5004">
        <f>IF(ROUND(H5004-D5004,2)=0,1,0)</f>
        <v/>
      </c>
      <c r="J5004">
        <f>IF(F5004="","none",IF(G5004=1,"carte","multiple"))</f>
        <v/>
      </c>
    </row>
    <row r="5005">
      <c r="A5005" t="inlineStr">
        <is>
          <t>2022-09-08</t>
        </is>
      </c>
      <c r="B5005" t="inlineStr">
        <is>
          <t>18:44</t>
        </is>
      </c>
      <c r="C5005" t="n">
        <v>3051</v>
      </c>
      <c r="D5005" s="6" t="n">
        <v>19.9</v>
      </c>
      <c r="E5005" t="n">
        <v>42035</v>
      </c>
      <c r="F5005" s="6" t="n">
        <v>19.9</v>
      </c>
      <c r="G5005" t="n">
        <v>1</v>
      </c>
      <c r="H5005" s="6">
        <f>ROUND(G5005*F5005,2)</f>
        <v/>
      </c>
      <c r="I5005">
        <f>IF(ROUND(H5005-D5005,2)=0,1,0)</f>
        <v/>
      </c>
      <c r="J5005">
        <f>IF(F5005="","none",IF(G5005=1,"carte","multiple"))</f>
        <v/>
      </c>
    </row>
    <row r="5006">
      <c r="A5006" t="inlineStr">
        <is>
          <t>2022-09-08</t>
        </is>
      </c>
      <c r="B5006" t="inlineStr">
        <is>
          <t>18:44</t>
        </is>
      </c>
      <c r="C5006" t="n">
        <v>3051</v>
      </c>
      <c r="D5006" s="6" t="n">
        <v>17.6</v>
      </c>
      <c r="E5006" t="n">
        <v>42036</v>
      </c>
      <c r="F5006" s="6" t="n">
        <v>17.6</v>
      </c>
      <c r="G5006" t="n">
        <v>1</v>
      </c>
      <c r="H5006" s="6">
        <f>ROUND(G5006*F5006,2)</f>
        <v/>
      </c>
      <c r="I5006">
        <f>IF(ROUND(H5006-D5006,2)=0,1,0)</f>
        <v/>
      </c>
      <c r="J5006">
        <f>IF(F5006="","none",IF(G5006=1,"carte","multiple"))</f>
        <v/>
      </c>
    </row>
    <row r="5007">
      <c r="A5007" t="inlineStr">
        <is>
          <t>2022-09-08</t>
        </is>
      </c>
      <c r="B5007" t="inlineStr">
        <is>
          <t>18:44</t>
        </is>
      </c>
      <c r="C5007" t="n">
        <v>3051</v>
      </c>
      <c r="D5007" s="6" t="n">
        <v>8</v>
      </c>
      <c r="E5007" t="n">
        <v>42037</v>
      </c>
      <c r="F5007" s="6" t="n">
        <v>8</v>
      </c>
      <c r="G5007" t="n">
        <v>1</v>
      </c>
      <c r="H5007" s="6">
        <f>ROUND(G5007*F5007,2)</f>
        <v/>
      </c>
      <c r="I5007">
        <f>IF(ROUND(H5007-D5007,2)=0,1,0)</f>
        <v/>
      </c>
      <c r="J5007">
        <f>IF(F5007="","none",IF(G5007=1,"carte","multiple"))</f>
        <v/>
      </c>
    </row>
    <row r="5008">
      <c r="A5008" t="inlineStr">
        <is>
          <t>2022-09-08</t>
        </is>
      </c>
      <c r="B5008" t="inlineStr">
        <is>
          <t>18:44</t>
        </is>
      </c>
      <c r="C5008" t="n">
        <v>3051</v>
      </c>
      <c r="D5008" s="6" t="n">
        <v>7.2</v>
      </c>
      <c r="E5008" t="n">
        <v>42038</v>
      </c>
      <c r="F5008" s="6" t="n">
        <v>7.2</v>
      </c>
      <c r="G5008" t="n">
        <v>1</v>
      </c>
      <c r="H5008" s="6">
        <f>ROUND(G5008*F5008,2)</f>
        <v/>
      </c>
      <c r="I5008">
        <f>IF(ROUND(H5008-D5008,2)=0,1,0)</f>
        <v/>
      </c>
      <c r="J5008">
        <f>IF(F5008="","none",IF(G5008=1,"carte","multiple"))</f>
        <v/>
      </c>
    </row>
    <row r="5009">
      <c r="A5009" t="inlineStr">
        <is>
          <t>2022-09-08</t>
        </is>
      </c>
      <c r="B5009" t="inlineStr">
        <is>
          <t>18:44</t>
        </is>
      </c>
      <c r="C5009" t="n">
        <v>3051</v>
      </c>
      <c r="D5009" s="6" t="n">
        <v>4.2</v>
      </c>
      <c r="E5009" t="n">
        <v>42039</v>
      </c>
      <c r="F5009" s="6" t="n">
        <v>4.2</v>
      </c>
      <c r="G5009" t="n">
        <v>1</v>
      </c>
      <c r="H5009" s="6">
        <f>ROUND(G5009*F5009,2)</f>
        <v/>
      </c>
      <c r="I5009">
        <f>IF(ROUND(H5009-D5009,2)=0,1,0)</f>
        <v/>
      </c>
      <c r="J5009">
        <f>IF(F5009="","none",IF(G5009=1,"carte","multiple"))</f>
        <v/>
      </c>
    </row>
    <row r="5010">
      <c r="A5010" t="inlineStr">
        <is>
          <t>2022-09-08</t>
        </is>
      </c>
      <c r="B5010" t="inlineStr">
        <is>
          <t>18:44</t>
        </is>
      </c>
      <c r="C5010" t="n">
        <v>3051</v>
      </c>
      <c r="D5010" s="6" t="n">
        <v>4.2</v>
      </c>
      <c r="E5010" t="n">
        <v>42040</v>
      </c>
      <c r="F5010" s="6" t="n">
        <v>4.2</v>
      </c>
      <c r="G5010" t="n">
        <v>1</v>
      </c>
      <c r="H5010" s="6">
        <f>ROUND(G5010*F5010,2)</f>
        <v/>
      </c>
      <c r="I5010">
        <f>IF(ROUND(H5010-D5010,2)=0,1,0)</f>
        <v/>
      </c>
      <c r="J5010">
        <f>IF(F5010="","none",IF(G5010=1,"carte","multiple"))</f>
        <v/>
      </c>
    </row>
    <row r="5011">
      <c r="A5011" t="inlineStr">
        <is>
          <t>2022-09-08</t>
        </is>
      </c>
      <c r="B5011" t="inlineStr">
        <is>
          <t>18:50</t>
        </is>
      </c>
      <c r="C5011" t="n">
        <v>3051</v>
      </c>
      <c r="D5011" s="6" t="n">
        <v>7.8</v>
      </c>
      <c r="E5011" t="n">
        <v>42041</v>
      </c>
      <c r="F5011" s="6" t="n">
        <v>7.8</v>
      </c>
      <c r="G5011" t="n">
        <v>1</v>
      </c>
      <c r="H5011" s="6">
        <f>ROUND(G5011*F5011,2)</f>
        <v/>
      </c>
      <c r="I5011">
        <f>IF(ROUND(H5011-D5011,2)=0,1,0)</f>
        <v/>
      </c>
      <c r="J5011">
        <f>IF(F5011="","none",IF(G5011=1,"carte","multiple"))</f>
        <v/>
      </c>
    </row>
    <row r="5012">
      <c r="A5012" t="inlineStr">
        <is>
          <t>2022-09-08</t>
        </is>
      </c>
      <c r="B5012" t="inlineStr">
        <is>
          <t>18:50</t>
        </is>
      </c>
      <c r="C5012" t="n">
        <v>3051</v>
      </c>
      <c r="D5012" s="6" t="n">
        <v>4.4</v>
      </c>
      <c r="E5012" t="n">
        <v>42042</v>
      </c>
      <c r="F5012" s="6" t="n">
        <v>0.4</v>
      </c>
      <c r="G5012" t="n">
        <v>11</v>
      </c>
      <c r="H5012" s="6">
        <f>ROUND(G5012*F5012,2)</f>
        <v/>
      </c>
      <c r="I5012">
        <f>IF(ROUND(H5012-D5012,2)=0,1,0)</f>
        <v/>
      </c>
      <c r="J5012">
        <f>IF(F5012="","none",IF(G5012=1,"carte","multiple"))</f>
        <v/>
      </c>
    </row>
    <row r="5013">
      <c r="A5013" t="inlineStr">
        <is>
          <t>2022-09-08</t>
        </is>
      </c>
      <c r="B5013" t="inlineStr">
        <is>
          <t>18:50</t>
        </is>
      </c>
      <c r="C5013" t="n">
        <v>3051</v>
      </c>
      <c r="D5013" s="6" t="n">
        <v>3.4</v>
      </c>
      <c r="E5013" t="n">
        <v>42043</v>
      </c>
      <c r="F5013" s="6" t="n">
        <v>3.4</v>
      </c>
      <c r="G5013" t="n">
        <v>1</v>
      </c>
      <c r="H5013" s="6">
        <f>ROUND(G5013*F5013,2)</f>
        <v/>
      </c>
      <c r="I5013">
        <f>IF(ROUND(H5013-D5013,2)=0,1,0)</f>
        <v/>
      </c>
      <c r="J5013">
        <f>IF(F5013="","none",IF(G5013=1,"carte","multiple"))</f>
        <v/>
      </c>
    </row>
    <row r="5014">
      <c r="A5014" t="inlineStr">
        <is>
          <t>2022-09-08</t>
        </is>
      </c>
      <c r="B5014" t="inlineStr">
        <is>
          <t>18:50</t>
        </is>
      </c>
      <c r="C5014" t="n">
        <v>3051</v>
      </c>
      <c r="D5014" s="6" t="n">
        <v>9.800000000000001</v>
      </c>
      <c r="E5014" t="n">
        <v>42044</v>
      </c>
      <c r="F5014" s="6" t="n">
        <v>9.800000000000001</v>
      </c>
      <c r="G5014" t="n">
        <v>1</v>
      </c>
      <c r="H5014" s="6">
        <f>ROUND(G5014*F5014,2)</f>
        <v/>
      </c>
      <c r="I5014">
        <f>IF(ROUND(H5014-D5014,2)=0,1,0)</f>
        <v/>
      </c>
      <c r="J5014">
        <f>IF(F5014="","none",IF(G5014=1,"carte","multiple"))</f>
        <v/>
      </c>
    </row>
    <row r="5015">
      <c r="A5015" t="inlineStr">
        <is>
          <t>2022-09-08</t>
        </is>
      </c>
      <c r="B5015" t="inlineStr">
        <is>
          <t>18:50</t>
        </is>
      </c>
      <c r="C5015" t="n">
        <v>3051</v>
      </c>
      <c r="D5015" s="6" t="n">
        <v>55.6</v>
      </c>
      <c r="E5015" t="n">
        <v>42045</v>
      </c>
      <c r="F5015" s="6" t="n">
        <v>0.4</v>
      </c>
      <c r="G5015" t="n">
        <v>139</v>
      </c>
      <c r="H5015" s="6">
        <f>ROUND(G5015*F5015,2)</f>
        <v/>
      </c>
      <c r="I5015">
        <f>IF(ROUND(H5015-D5015,2)=0,1,0)</f>
        <v/>
      </c>
      <c r="J5015">
        <f>IF(F5015="","none",IF(G5015=1,"carte","multiple"))</f>
        <v/>
      </c>
    </row>
    <row r="5016">
      <c r="A5016" t="inlineStr">
        <is>
          <t>2022-09-08</t>
        </is>
      </c>
      <c r="B5016" t="inlineStr">
        <is>
          <t>18:50</t>
        </is>
      </c>
      <c r="C5016" t="n">
        <v>3051</v>
      </c>
      <c r="D5016" s="6" t="n">
        <v>6</v>
      </c>
      <c r="E5016" t="n">
        <v>42046</v>
      </c>
      <c r="F5016" s="6" t="n">
        <v>6</v>
      </c>
      <c r="G5016" t="n">
        <v>1</v>
      </c>
      <c r="H5016" s="6">
        <f>ROUND(G5016*F5016,2)</f>
        <v/>
      </c>
      <c r="I5016">
        <f>IF(ROUND(H5016-D5016,2)=0,1,0)</f>
        <v/>
      </c>
      <c r="J5016">
        <f>IF(F5016="","none",IF(G5016=1,"carte","multiple"))</f>
        <v/>
      </c>
    </row>
    <row r="5017">
      <c r="A5017" t="inlineStr">
        <is>
          <t>2022-09-08</t>
        </is>
      </c>
      <c r="B5017" t="inlineStr">
        <is>
          <t>18:50</t>
        </is>
      </c>
      <c r="C5017" t="n">
        <v>3051</v>
      </c>
      <c r="D5017" s="6" t="n">
        <v>6.5</v>
      </c>
      <c r="E5017" t="n">
        <v>42047</v>
      </c>
      <c r="F5017" s="6" t="n">
        <v>6.5</v>
      </c>
      <c r="G5017" t="n">
        <v>1</v>
      </c>
      <c r="H5017" s="6">
        <f>ROUND(G5017*F5017,2)</f>
        <v/>
      </c>
      <c r="I5017">
        <f>IF(ROUND(H5017-D5017,2)=0,1,0)</f>
        <v/>
      </c>
      <c r="J5017">
        <f>IF(F5017="","none",IF(G5017=1,"carte","multiple"))</f>
        <v/>
      </c>
    </row>
    <row r="5018">
      <c r="A5018" t="inlineStr">
        <is>
          <t>2022-09-08</t>
        </is>
      </c>
      <c r="B5018" t="inlineStr">
        <is>
          <t>19:32</t>
        </is>
      </c>
      <c r="C5018" t="n">
        <v>3051</v>
      </c>
      <c r="D5018" s="6" t="n">
        <v>2.2</v>
      </c>
      <c r="E5018" t="n">
        <v>42048</v>
      </c>
      <c r="F5018" s="6" t="n">
        <v>2.2</v>
      </c>
      <c r="G5018" t="n">
        <v>1</v>
      </c>
      <c r="H5018" s="6">
        <f>ROUND(G5018*F5018,2)</f>
        <v/>
      </c>
      <c r="I5018">
        <f>IF(ROUND(H5018-D5018,2)=0,1,0)</f>
        <v/>
      </c>
      <c r="J5018">
        <f>IF(F5018="","none",IF(G5018=1,"carte","multiple"))</f>
        <v/>
      </c>
    </row>
    <row r="5019">
      <c r="A5019" t="inlineStr">
        <is>
          <t>2022-09-08</t>
        </is>
      </c>
      <c r="B5019" t="inlineStr">
        <is>
          <t>19:32</t>
        </is>
      </c>
      <c r="C5019" t="n">
        <v>3051</v>
      </c>
      <c r="D5019" s="6" t="n">
        <v>8.699999999999999</v>
      </c>
      <c r="E5019" t="n">
        <v>42049</v>
      </c>
      <c r="F5019" s="6" t="n">
        <v>8.699999999999999</v>
      </c>
      <c r="G5019" t="n">
        <v>1</v>
      </c>
      <c r="H5019" s="6">
        <f>ROUND(G5019*F5019,2)</f>
        <v/>
      </c>
      <c r="I5019">
        <f>IF(ROUND(H5019-D5019,2)=0,1,0)</f>
        <v/>
      </c>
      <c r="J5019">
        <f>IF(F5019="","none",IF(G5019=1,"carte","multiple"))</f>
        <v/>
      </c>
    </row>
    <row r="5020">
      <c r="A5020" t="inlineStr">
        <is>
          <t>2022-09-08</t>
        </is>
      </c>
      <c r="B5020" t="inlineStr">
        <is>
          <t>19:32</t>
        </is>
      </c>
      <c r="C5020" t="n">
        <v>3051</v>
      </c>
      <c r="D5020" s="6" t="n">
        <v>28.8</v>
      </c>
      <c r="E5020" t="n">
        <v>42050</v>
      </c>
      <c r="F5020" s="6" t="n">
        <v>0.4</v>
      </c>
      <c r="G5020" t="n">
        <v>72</v>
      </c>
      <c r="H5020" s="6">
        <f>ROUND(G5020*F5020,2)</f>
        <v/>
      </c>
      <c r="I5020">
        <f>IF(ROUND(H5020-D5020,2)=0,1,0)</f>
        <v/>
      </c>
      <c r="J5020">
        <f>IF(F5020="","none",IF(G5020=1,"carte","multiple"))</f>
        <v/>
      </c>
    </row>
    <row r="5021">
      <c r="A5021" t="inlineStr">
        <is>
          <t>2022-09-08</t>
        </is>
      </c>
      <c r="B5021" t="inlineStr">
        <is>
          <t>19:32</t>
        </is>
      </c>
      <c r="C5021" t="n">
        <v>3051</v>
      </c>
      <c r="D5021" s="6" t="n">
        <v>19</v>
      </c>
      <c r="E5021" t="n">
        <v>42051</v>
      </c>
      <c r="F5021" s="6" t="n">
        <v>19</v>
      </c>
      <c r="G5021" t="n">
        <v>1</v>
      </c>
      <c r="H5021" s="6">
        <f>ROUND(G5021*F5021,2)</f>
        <v/>
      </c>
      <c r="I5021">
        <f>IF(ROUND(H5021-D5021,2)=0,1,0)</f>
        <v/>
      </c>
      <c r="J5021">
        <f>IF(F5021="","none",IF(G5021=1,"carte","multiple"))</f>
        <v/>
      </c>
    </row>
    <row r="5022">
      <c r="A5022" t="inlineStr">
        <is>
          <t>2022-09-08</t>
        </is>
      </c>
      <c r="B5022" t="inlineStr">
        <is>
          <t>19:32</t>
        </is>
      </c>
      <c r="C5022" t="n">
        <v>3051</v>
      </c>
      <c r="D5022" s="6" t="n">
        <v>17.6</v>
      </c>
      <c r="E5022" t="n">
        <v>42052</v>
      </c>
      <c r="F5022" s="6" t="n">
        <v>17.6</v>
      </c>
      <c r="G5022" t="n">
        <v>1</v>
      </c>
      <c r="H5022" s="6">
        <f>ROUND(G5022*F5022,2)</f>
        <v/>
      </c>
      <c r="I5022">
        <f>IF(ROUND(H5022-D5022,2)=0,1,0)</f>
        <v/>
      </c>
      <c r="J5022">
        <f>IF(F5022="","none",IF(G5022=1,"carte","multiple"))</f>
        <v/>
      </c>
    </row>
    <row r="5023">
      <c r="A5023" t="inlineStr">
        <is>
          <t>2022-09-08</t>
        </is>
      </c>
      <c r="B5023" t="inlineStr">
        <is>
          <t>19:32</t>
        </is>
      </c>
      <c r="C5023" t="n">
        <v>3051</v>
      </c>
      <c r="D5023" s="6" t="n">
        <v>8</v>
      </c>
      <c r="E5023" t="n">
        <v>42053</v>
      </c>
      <c r="F5023" s="6" t="n">
        <v>8</v>
      </c>
      <c r="G5023" t="n">
        <v>1</v>
      </c>
      <c r="H5023" s="6">
        <f>ROUND(G5023*F5023,2)</f>
        <v/>
      </c>
      <c r="I5023">
        <f>IF(ROUND(H5023-D5023,2)=0,1,0)</f>
        <v/>
      </c>
      <c r="J5023">
        <f>IF(F5023="","none",IF(G5023=1,"carte","multiple"))</f>
        <v/>
      </c>
    </row>
    <row r="5024">
      <c r="A5024" t="inlineStr">
        <is>
          <t>2022-09-08</t>
        </is>
      </c>
      <c r="B5024" t="inlineStr">
        <is>
          <t>19:32</t>
        </is>
      </c>
      <c r="C5024" t="n">
        <v>3051</v>
      </c>
      <c r="D5024" s="6" t="n">
        <v>3.9</v>
      </c>
      <c r="E5024" t="n">
        <v>42054</v>
      </c>
      <c r="F5024" s="6" t="n">
        <v>3.9</v>
      </c>
      <c r="G5024" t="n">
        <v>1</v>
      </c>
      <c r="H5024" s="6">
        <f>ROUND(G5024*F5024,2)</f>
        <v/>
      </c>
      <c r="I5024">
        <f>IF(ROUND(H5024-D5024,2)=0,1,0)</f>
        <v/>
      </c>
      <c r="J5024">
        <f>IF(F5024="","none",IF(G5024=1,"carte","multiple"))</f>
        <v/>
      </c>
    </row>
    <row r="5025">
      <c r="A5025" t="inlineStr">
        <is>
          <t>2022-09-08</t>
        </is>
      </c>
      <c r="B5025" t="inlineStr">
        <is>
          <t>19:42</t>
        </is>
      </c>
      <c r="C5025" t="n">
        <v>3051</v>
      </c>
      <c r="D5025" s="6" t="n">
        <v>24.9</v>
      </c>
      <c r="E5025" t="n">
        <v>42055</v>
      </c>
      <c r="F5025" s="6" t="n">
        <v>24.9</v>
      </c>
      <c r="G5025" t="n">
        <v>1</v>
      </c>
      <c r="H5025" s="6">
        <f>ROUND(G5025*F5025,2)</f>
        <v/>
      </c>
      <c r="I5025">
        <f>IF(ROUND(H5025-D5025,2)=0,1,0)</f>
        <v/>
      </c>
      <c r="J5025">
        <f>IF(F5025="","none",IF(G5025=1,"carte","multiple"))</f>
        <v/>
      </c>
    </row>
    <row r="5026">
      <c r="A5026" t="inlineStr">
        <is>
          <t>2022-09-08</t>
        </is>
      </c>
      <c r="B5026" t="inlineStr">
        <is>
          <t>19:42</t>
        </is>
      </c>
      <c r="C5026" t="n">
        <v>3051</v>
      </c>
      <c r="D5026" s="6" t="n">
        <v>9</v>
      </c>
      <c r="E5026" t="n">
        <v>42056</v>
      </c>
      <c r="F5026" s="6" t="n">
        <v>9</v>
      </c>
      <c r="G5026" t="n">
        <v>1</v>
      </c>
      <c r="H5026" s="6">
        <f>ROUND(G5026*F5026,2)</f>
        <v/>
      </c>
      <c r="I5026">
        <f>IF(ROUND(H5026-D5026,2)=0,1,0)</f>
        <v/>
      </c>
      <c r="J5026">
        <f>IF(F5026="","none",IF(G5026=1,"carte","multiple"))</f>
        <v/>
      </c>
    </row>
    <row r="5027">
      <c r="A5027" t="inlineStr">
        <is>
          <t>2022-09-08</t>
        </is>
      </c>
      <c r="B5027" t="inlineStr">
        <is>
          <t>19:42</t>
        </is>
      </c>
      <c r="C5027" t="n">
        <v>3051</v>
      </c>
      <c r="D5027" s="6" t="n">
        <v>32</v>
      </c>
      <c r="E5027" t="n">
        <v>42057</v>
      </c>
      <c r="F5027" s="6" t="n">
        <v>32</v>
      </c>
      <c r="G5027" t="n">
        <v>1</v>
      </c>
      <c r="H5027" s="6">
        <f>ROUND(G5027*F5027,2)</f>
        <v/>
      </c>
      <c r="I5027">
        <f>IF(ROUND(H5027-D5027,2)=0,1,0)</f>
        <v/>
      </c>
      <c r="J5027">
        <f>IF(F5027="","none",IF(G5027=1,"carte","multiple"))</f>
        <v/>
      </c>
    </row>
    <row r="5028">
      <c r="A5028" t="inlineStr">
        <is>
          <t>2022-09-08</t>
        </is>
      </c>
      <c r="B5028" t="inlineStr">
        <is>
          <t>19:42</t>
        </is>
      </c>
      <c r="C5028" t="n">
        <v>3051</v>
      </c>
      <c r="D5028" s="6" t="n">
        <v>32</v>
      </c>
      <c r="E5028" t="n">
        <v>42058</v>
      </c>
      <c r="F5028" s="6" t="n">
        <v>32</v>
      </c>
      <c r="G5028" t="n">
        <v>1</v>
      </c>
      <c r="H5028" s="6">
        <f>ROUND(G5028*F5028,2)</f>
        <v/>
      </c>
      <c r="I5028">
        <f>IF(ROUND(H5028-D5028,2)=0,1,0)</f>
        <v/>
      </c>
      <c r="J5028">
        <f>IF(F5028="","none",IF(G5028=1,"carte","multiple"))</f>
        <v/>
      </c>
    </row>
    <row r="5029">
      <c r="A5029" t="inlineStr">
        <is>
          <t>2022-09-08</t>
        </is>
      </c>
      <c r="B5029" t="inlineStr">
        <is>
          <t>20:32</t>
        </is>
      </c>
      <c r="C5029" t="n">
        <v>3051</v>
      </c>
      <c r="D5029" s="6" t="n">
        <v>2.2</v>
      </c>
      <c r="E5029" t="n">
        <v>42059</v>
      </c>
      <c r="F5029" s="6" t="n">
        <v>2.2</v>
      </c>
      <c r="G5029" t="n">
        <v>1</v>
      </c>
      <c r="H5029" s="6">
        <f>ROUND(G5029*F5029,2)</f>
        <v/>
      </c>
      <c r="I5029">
        <f>IF(ROUND(H5029-D5029,2)=0,1,0)</f>
        <v/>
      </c>
      <c r="J5029">
        <f>IF(F5029="","none",IF(G5029=1,"carte","multiple"))</f>
        <v/>
      </c>
    </row>
    <row r="5030">
      <c r="A5030" t="inlineStr">
        <is>
          <t>2022-09-09</t>
        </is>
      </c>
      <c r="B5030" t="inlineStr">
        <is>
          <t>11:09</t>
        </is>
      </c>
      <c r="C5030" t="n">
        <v>3052</v>
      </c>
      <c r="D5030" s="6" t="n">
        <v>6.4</v>
      </c>
      <c r="E5030" t="n">
        <v>42062</v>
      </c>
      <c r="F5030" s="6" t="n">
        <v>6.4</v>
      </c>
      <c r="G5030" t="n">
        <v>1</v>
      </c>
      <c r="H5030" s="6">
        <f>ROUND(G5030*F5030,2)</f>
        <v/>
      </c>
      <c r="I5030">
        <f>IF(ROUND(H5030-D5030,2)=0,1,0)</f>
        <v/>
      </c>
      <c r="J5030">
        <f>IF(F5030="","none",IF(G5030=1,"carte","multiple"))</f>
        <v/>
      </c>
    </row>
    <row r="5031">
      <c r="A5031" t="inlineStr">
        <is>
          <t>2022-09-09</t>
        </is>
      </c>
      <c r="B5031" t="inlineStr">
        <is>
          <t>11:09</t>
        </is>
      </c>
      <c r="C5031" t="n">
        <v>3052</v>
      </c>
      <c r="D5031" s="6" t="n">
        <v>7.2</v>
      </c>
      <c r="E5031" t="n">
        <v>42063</v>
      </c>
      <c r="F5031" s="6" t="n">
        <v>7.2</v>
      </c>
      <c r="G5031" t="n">
        <v>1</v>
      </c>
      <c r="H5031" s="6">
        <f>ROUND(G5031*F5031,2)</f>
        <v/>
      </c>
      <c r="I5031">
        <f>IF(ROUND(H5031-D5031,2)=0,1,0)</f>
        <v/>
      </c>
      <c r="J5031">
        <f>IF(F5031="","none",IF(G5031=1,"carte","multiple"))</f>
        <v/>
      </c>
    </row>
    <row r="5032">
      <c r="A5032" t="inlineStr">
        <is>
          <t>2022-09-09</t>
        </is>
      </c>
      <c r="B5032" t="inlineStr">
        <is>
          <t>11:09</t>
        </is>
      </c>
      <c r="C5032" t="n">
        <v>3052</v>
      </c>
      <c r="D5032" s="6" t="n">
        <v>15.9</v>
      </c>
      <c r="E5032" t="n">
        <v>42064</v>
      </c>
      <c r="F5032" s="6" t="n">
        <v>15.9</v>
      </c>
      <c r="G5032" t="n">
        <v>1</v>
      </c>
      <c r="H5032" s="6">
        <f>ROUND(G5032*F5032,2)</f>
        <v/>
      </c>
      <c r="I5032">
        <f>IF(ROUND(H5032-D5032,2)=0,1,0)</f>
        <v/>
      </c>
      <c r="J5032">
        <f>IF(F5032="","none",IF(G5032=1,"carte","multiple"))</f>
        <v/>
      </c>
    </row>
    <row r="5033">
      <c r="A5033" t="inlineStr">
        <is>
          <t>2022-09-09</t>
        </is>
      </c>
      <c r="B5033" t="inlineStr">
        <is>
          <t>11:09</t>
        </is>
      </c>
      <c r="C5033" t="n">
        <v>3052</v>
      </c>
      <c r="D5033" s="6" t="n">
        <v>16.9</v>
      </c>
      <c r="E5033" t="n">
        <v>42065</v>
      </c>
      <c r="F5033" s="6" t="n">
        <v>16.9</v>
      </c>
      <c r="G5033" t="n">
        <v>1</v>
      </c>
      <c r="H5033" s="6">
        <f>ROUND(G5033*F5033,2)</f>
        <v/>
      </c>
      <c r="I5033">
        <f>IF(ROUND(H5033-D5033,2)=0,1,0)</f>
        <v/>
      </c>
      <c r="J5033">
        <f>IF(F5033="","none",IF(G5033=1,"carte","multiple"))</f>
        <v/>
      </c>
    </row>
    <row r="5034">
      <c r="A5034" t="inlineStr">
        <is>
          <t>2022-09-09</t>
        </is>
      </c>
      <c r="B5034" t="inlineStr">
        <is>
          <t>11:28</t>
        </is>
      </c>
      <c r="C5034" t="n">
        <v>3052</v>
      </c>
      <c r="D5034" s="6" t="n">
        <v>17.6</v>
      </c>
      <c r="E5034" t="n">
        <v>42066</v>
      </c>
      <c r="F5034" s="6" t="n">
        <v>17.6</v>
      </c>
      <c r="G5034" t="n">
        <v>1</v>
      </c>
      <c r="H5034" s="6">
        <f>ROUND(G5034*F5034,2)</f>
        <v/>
      </c>
      <c r="I5034">
        <f>IF(ROUND(H5034-D5034,2)=0,1,0)</f>
        <v/>
      </c>
      <c r="J5034">
        <f>IF(F5034="","none",IF(G5034=1,"carte","multiple"))</f>
        <v/>
      </c>
    </row>
    <row r="5035">
      <c r="A5035" t="inlineStr">
        <is>
          <t>2022-09-09</t>
        </is>
      </c>
      <c r="B5035" t="inlineStr">
        <is>
          <t>11:28</t>
        </is>
      </c>
      <c r="C5035" t="n">
        <v>3052</v>
      </c>
      <c r="D5035" s="6" t="n">
        <v>4</v>
      </c>
      <c r="E5035" t="n">
        <v>42067</v>
      </c>
      <c r="F5035" s="6" t="n">
        <v>4</v>
      </c>
      <c r="G5035" t="n">
        <v>1</v>
      </c>
      <c r="H5035" s="6">
        <f>ROUND(G5035*F5035,2)</f>
        <v/>
      </c>
      <c r="I5035">
        <f>IF(ROUND(H5035-D5035,2)=0,1,0)</f>
        <v/>
      </c>
      <c r="J5035">
        <f>IF(F5035="","none",IF(G5035=1,"carte","multiple"))</f>
        <v/>
      </c>
    </row>
    <row r="5036">
      <c r="A5036" t="inlineStr">
        <is>
          <t>2022-09-09</t>
        </is>
      </c>
      <c r="B5036" t="inlineStr">
        <is>
          <t>11:29</t>
        </is>
      </c>
      <c r="C5036" t="n">
        <v>3052</v>
      </c>
      <c r="D5036" s="6" t="n">
        <v>7.8</v>
      </c>
      <c r="E5036" t="n">
        <v>42068</v>
      </c>
      <c r="F5036" s="6" t="n">
        <v>7.8</v>
      </c>
      <c r="G5036" t="n">
        <v>1</v>
      </c>
      <c r="H5036" s="6">
        <f>ROUND(G5036*F5036,2)</f>
        <v/>
      </c>
      <c r="I5036">
        <f>IF(ROUND(H5036-D5036,2)=0,1,0)</f>
        <v/>
      </c>
      <c r="J5036">
        <f>IF(F5036="","none",IF(G5036=1,"carte","multiple"))</f>
        <v/>
      </c>
    </row>
    <row r="5037">
      <c r="A5037" t="inlineStr">
        <is>
          <t>2022-09-09</t>
        </is>
      </c>
      <c r="B5037" t="inlineStr">
        <is>
          <t>11:30</t>
        </is>
      </c>
      <c r="C5037" t="n">
        <v>3052</v>
      </c>
      <c r="D5037" s="6" t="n">
        <v>4.4</v>
      </c>
      <c r="E5037" t="n">
        <v>42069</v>
      </c>
      <c r="F5037" s="6" t="n">
        <v>0.4</v>
      </c>
      <c r="G5037" t="n">
        <v>11</v>
      </c>
      <c r="H5037" s="6">
        <f>ROUND(G5037*F5037,2)</f>
        <v/>
      </c>
      <c r="I5037">
        <f>IF(ROUND(H5037-D5037,2)=0,1,0)</f>
        <v/>
      </c>
      <c r="J5037">
        <f>IF(F5037="","none",IF(G5037=1,"carte","multiple"))</f>
        <v/>
      </c>
    </row>
    <row r="5038">
      <c r="A5038" t="inlineStr">
        <is>
          <t>2022-09-09</t>
        </is>
      </c>
      <c r="B5038" t="inlineStr">
        <is>
          <t>11:30</t>
        </is>
      </c>
      <c r="C5038" t="n">
        <v>3052</v>
      </c>
      <c r="D5038" s="6" t="n">
        <v>3.9</v>
      </c>
      <c r="E5038" t="n">
        <v>42070</v>
      </c>
      <c r="F5038" s="6" t="n">
        <v>3.9</v>
      </c>
      <c r="G5038" t="n">
        <v>1</v>
      </c>
      <c r="H5038" s="6">
        <f>ROUND(G5038*F5038,2)</f>
        <v/>
      </c>
      <c r="I5038">
        <f>IF(ROUND(H5038-D5038,2)=0,1,0)</f>
        <v/>
      </c>
      <c r="J5038">
        <f>IF(F5038="","none",IF(G5038=1,"carte","multiple"))</f>
        <v/>
      </c>
    </row>
    <row r="5039">
      <c r="A5039" t="inlineStr">
        <is>
          <t>2022-09-09</t>
        </is>
      </c>
      <c r="B5039" t="inlineStr">
        <is>
          <t>11:30</t>
        </is>
      </c>
      <c r="C5039" t="n">
        <v>3052</v>
      </c>
      <c r="D5039" s="6" t="n">
        <v>6.5</v>
      </c>
      <c r="E5039" t="n">
        <v>42071</v>
      </c>
      <c r="F5039" s="6" t="n">
        <v>6.5</v>
      </c>
      <c r="G5039" t="n">
        <v>1</v>
      </c>
      <c r="H5039" s="6">
        <f>ROUND(G5039*F5039,2)</f>
        <v/>
      </c>
      <c r="I5039">
        <f>IF(ROUND(H5039-D5039,2)=0,1,0)</f>
        <v/>
      </c>
      <c r="J5039">
        <f>IF(F5039="","none",IF(G5039=1,"carte","multiple"))</f>
        <v/>
      </c>
    </row>
    <row r="5040">
      <c r="A5040" t="inlineStr">
        <is>
          <t>2022-09-09</t>
        </is>
      </c>
      <c r="B5040" t="inlineStr">
        <is>
          <t>11:30</t>
        </is>
      </c>
      <c r="C5040" t="n">
        <v>3052</v>
      </c>
      <c r="D5040" s="6" t="n">
        <v>30</v>
      </c>
      <c r="E5040" t="n">
        <v>42072</v>
      </c>
      <c r="F5040" s="6" t="n">
        <v>30</v>
      </c>
      <c r="G5040" t="n">
        <v>1</v>
      </c>
      <c r="H5040" s="6">
        <f>ROUND(G5040*F5040,2)</f>
        <v/>
      </c>
      <c r="I5040">
        <f>IF(ROUND(H5040-D5040,2)=0,1,0)</f>
        <v/>
      </c>
      <c r="J5040">
        <f>IF(F5040="","none",IF(G5040=1,"carte","multiple"))</f>
        <v/>
      </c>
    </row>
    <row r="5041">
      <c r="A5041" t="inlineStr">
        <is>
          <t>2022-09-09</t>
        </is>
      </c>
      <c r="B5041" t="inlineStr">
        <is>
          <t>11:42</t>
        </is>
      </c>
      <c r="C5041" t="n">
        <v>3052</v>
      </c>
      <c r="D5041" s="6" t="n">
        <v>2.2</v>
      </c>
      <c r="E5041" t="n">
        <v>42073</v>
      </c>
      <c r="F5041" s="6" t="n">
        <v>2.2</v>
      </c>
      <c r="G5041" t="n">
        <v>1</v>
      </c>
      <c r="H5041" s="6">
        <f>ROUND(G5041*F5041,2)</f>
        <v/>
      </c>
      <c r="I5041">
        <f>IF(ROUND(H5041-D5041,2)=0,1,0)</f>
        <v/>
      </c>
      <c r="J5041">
        <f>IF(F5041="","none",IF(G5041=1,"carte","multiple"))</f>
        <v/>
      </c>
    </row>
    <row r="5042">
      <c r="A5042" t="inlineStr">
        <is>
          <t>2022-09-09</t>
        </is>
      </c>
      <c r="B5042" t="inlineStr">
        <is>
          <t>11:42</t>
        </is>
      </c>
      <c r="C5042" t="n">
        <v>3052</v>
      </c>
      <c r="D5042" s="6" t="n">
        <v>22</v>
      </c>
      <c r="E5042" t="n">
        <v>42074</v>
      </c>
      <c r="F5042" s="6" t="n">
        <v>0.4</v>
      </c>
      <c r="G5042" t="n">
        <v>55</v>
      </c>
      <c r="H5042" s="6">
        <f>ROUND(G5042*F5042,2)</f>
        <v/>
      </c>
      <c r="I5042">
        <f>IF(ROUND(H5042-D5042,2)=0,1,0)</f>
        <v/>
      </c>
      <c r="J5042">
        <f>IF(F5042="","none",IF(G5042=1,"carte","multiple"))</f>
        <v/>
      </c>
    </row>
    <row r="5043">
      <c r="A5043" t="inlineStr">
        <is>
          <t>2022-09-09</t>
        </is>
      </c>
      <c r="B5043" t="inlineStr">
        <is>
          <t>11:42</t>
        </is>
      </c>
      <c r="C5043" t="n">
        <v>3052</v>
      </c>
      <c r="D5043" s="6" t="n">
        <v>3.9</v>
      </c>
      <c r="E5043" t="n">
        <v>42075</v>
      </c>
      <c r="F5043" s="6" t="n">
        <v>3.9</v>
      </c>
      <c r="G5043" t="n">
        <v>1</v>
      </c>
      <c r="H5043" s="6">
        <f>ROUND(G5043*F5043,2)</f>
        <v/>
      </c>
      <c r="I5043">
        <f>IF(ROUND(H5043-D5043,2)=0,1,0)</f>
        <v/>
      </c>
      <c r="J5043">
        <f>IF(F5043="","none",IF(G5043=1,"carte","multiple"))</f>
        <v/>
      </c>
    </row>
    <row r="5044">
      <c r="A5044" t="inlineStr">
        <is>
          <t>2022-09-09</t>
        </is>
      </c>
      <c r="B5044" t="inlineStr">
        <is>
          <t>11:42</t>
        </is>
      </c>
      <c r="C5044" t="n">
        <v>3052</v>
      </c>
      <c r="D5044" s="6" t="n">
        <v>7.8</v>
      </c>
      <c r="E5044" t="n">
        <v>42076</v>
      </c>
      <c r="F5044" s="6" t="n">
        <v>7.8</v>
      </c>
      <c r="G5044" t="n">
        <v>1</v>
      </c>
      <c r="H5044" s="6">
        <f>ROUND(G5044*F5044,2)</f>
        <v/>
      </c>
      <c r="I5044">
        <f>IF(ROUND(H5044-D5044,2)=0,1,0)</f>
        <v/>
      </c>
      <c r="J5044">
        <f>IF(F5044="","none",IF(G5044=1,"carte","multiple"))</f>
        <v/>
      </c>
    </row>
    <row r="5045">
      <c r="A5045" t="inlineStr">
        <is>
          <t>2022-09-09</t>
        </is>
      </c>
      <c r="B5045" t="inlineStr">
        <is>
          <t>11:58</t>
        </is>
      </c>
      <c r="C5045" t="n">
        <v>3052</v>
      </c>
      <c r="D5045" s="6" t="n">
        <v>4.4</v>
      </c>
      <c r="E5045" t="n">
        <v>42077</v>
      </c>
      <c r="F5045" s="6" t="n">
        <v>0.4</v>
      </c>
      <c r="G5045" t="n">
        <v>11</v>
      </c>
      <c r="H5045" s="6">
        <f>ROUND(G5045*F5045,2)</f>
        <v/>
      </c>
      <c r="I5045">
        <f>IF(ROUND(H5045-D5045,2)=0,1,0)</f>
        <v/>
      </c>
      <c r="J5045">
        <f>IF(F5045="","none",IF(G5045=1,"carte","multiple"))</f>
        <v/>
      </c>
    </row>
    <row r="5046">
      <c r="A5046" t="inlineStr">
        <is>
          <t>2022-09-09</t>
        </is>
      </c>
      <c r="B5046" t="inlineStr">
        <is>
          <t>11:58</t>
        </is>
      </c>
      <c r="C5046" t="n">
        <v>3052</v>
      </c>
      <c r="D5046" s="6" t="n">
        <v>14</v>
      </c>
      <c r="E5046" t="n">
        <v>42078</v>
      </c>
      <c r="F5046" s="6" t="n">
        <v>14</v>
      </c>
      <c r="G5046" t="n">
        <v>1</v>
      </c>
      <c r="H5046" s="6">
        <f>ROUND(G5046*F5046,2)</f>
        <v/>
      </c>
      <c r="I5046">
        <f>IF(ROUND(H5046-D5046,2)=0,1,0)</f>
        <v/>
      </c>
      <c r="J5046">
        <f>IF(F5046="","none",IF(G5046=1,"carte","multiple"))</f>
        <v/>
      </c>
    </row>
    <row r="5047">
      <c r="A5047" t="inlineStr">
        <is>
          <t>2022-09-09</t>
        </is>
      </c>
      <c r="B5047" t="inlineStr">
        <is>
          <t>11:58</t>
        </is>
      </c>
      <c r="C5047" t="n">
        <v>3052</v>
      </c>
      <c r="D5047" s="6" t="n">
        <v>31.8</v>
      </c>
      <c r="E5047" t="n">
        <v>42079</v>
      </c>
      <c r="F5047" s="6" t="n">
        <v>31.8</v>
      </c>
      <c r="G5047" t="n">
        <v>1</v>
      </c>
      <c r="H5047" s="6">
        <f>ROUND(G5047*F5047,2)</f>
        <v/>
      </c>
      <c r="I5047">
        <f>IF(ROUND(H5047-D5047,2)=0,1,0)</f>
        <v/>
      </c>
      <c r="J5047">
        <f>IF(F5047="","none",IF(G5047=1,"carte","multiple"))</f>
        <v/>
      </c>
    </row>
    <row r="5048">
      <c r="A5048" t="inlineStr">
        <is>
          <t>2022-09-09</t>
        </is>
      </c>
      <c r="B5048" t="inlineStr">
        <is>
          <t>12:07</t>
        </is>
      </c>
      <c r="C5048" t="n">
        <v>3052</v>
      </c>
      <c r="D5048" s="6" t="n">
        <v>6.9</v>
      </c>
      <c r="E5048" t="n">
        <v>42080</v>
      </c>
      <c r="F5048" s="6" t="n">
        <v>6.9</v>
      </c>
      <c r="G5048" t="n">
        <v>1</v>
      </c>
      <c r="H5048" s="6">
        <f>ROUND(G5048*F5048,2)</f>
        <v/>
      </c>
      <c r="I5048">
        <f>IF(ROUND(H5048-D5048,2)=0,1,0)</f>
        <v/>
      </c>
      <c r="J5048">
        <f>IF(F5048="","none",IF(G5048=1,"carte","multiple"))</f>
        <v/>
      </c>
    </row>
    <row r="5049">
      <c r="A5049" t="inlineStr">
        <is>
          <t>2022-09-09</t>
        </is>
      </c>
      <c r="B5049" t="inlineStr">
        <is>
          <t>12:07</t>
        </is>
      </c>
      <c r="C5049" t="n">
        <v>3052</v>
      </c>
      <c r="D5049" s="6" t="n">
        <v>3.9</v>
      </c>
      <c r="E5049" t="n">
        <v>42081</v>
      </c>
      <c r="F5049" s="6" t="n">
        <v>3.9</v>
      </c>
      <c r="G5049" t="n">
        <v>1</v>
      </c>
      <c r="H5049" s="6">
        <f>ROUND(G5049*F5049,2)</f>
        <v/>
      </c>
      <c r="I5049">
        <f>IF(ROUND(H5049-D5049,2)=0,1,0)</f>
        <v/>
      </c>
      <c r="J5049">
        <f>IF(F5049="","none",IF(G5049=1,"carte","multiple"))</f>
        <v/>
      </c>
    </row>
    <row r="5050">
      <c r="A5050" t="inlineStr">
        <is>
          <t>2022-09-09</t>
        </is>
      </c>
      <c r="B5050" t="inlineStr">
        <is>
          <t>12:07</t>
        </is>
      </c>
      <c r="C5050" t="n">
        <v>3052</v>
      </c>
      <c r="D5050" s="6" t="n">
        <v>7.2</v>
      </c>
      <c r="E5050" t="n">
        <v>42082</v>
      </c>
      <c r="F5050" s="6" t="n">
        <v>7.2</v>
      </c>
      <c r="G5050" t="n">
        <v>1</v>
      </c>
      <c r="H5050" s="6">
        <f>ROUND(G5050*F5050,2)</f>
        <v/>
      </c>
      <c r="I5050">
        <f>IF(ROUND(H5050-D5050,2)=0,1,0)</f>
        <v/>
      </c>
      <c r="J5050">
        <f>IF(F5050="","none",IF(G5050=1,"carte","multiple"))</f>
        <v/>
      </c>
    </row>
    <row r="5051">
      <c r="A5051" t="inlineStr">
        <is>
          <t>2022-09-09</t>
        </is>
      </c>
      <c r="B5051" t="inlineStr">
        <is>
          <t>12:07</t>
        </is>
      </c>
      <c r="C5051" t="n">
        <v>3052</v>
      </c>
      <c r="D5051" s="6" t="n">
        <v>4.9</v>
      </c>
      <c r="E5051" t="n">
        <v>42083</v>
      </c>
      <c r="F5051" s="6" t="n">
        <v>4.9</v>
      </c>
      <c r="G5051" t="n">
        <v>1</v>
      </c>
      <c r="H5051" s="6">
        <f>ROUND(G5051*F5051,2)</f>
        <v/>
      </c>
      <c r="I5051">
        <f>IF(ROUND(H5051-D5051,2)=0,1,0)</f>
        <v/>
      </c>
      <c r="J5051">
        <f>IF(F5051="","none",IF(G5051=1,"carte","multiple"))</f>
        <v/>
      </c>
    </row>
    <row r="5052">
      <c r="A5052" t="inlineStr">
        <is>
          <t>2022-09-09</t>
        </is>
      </c>
      <c r="B5052" t="inlineStr">
        <is>
          <t>12:07</t>
        </is>
      </c>
      <c r="C5052" t="n">
        <v>3052</v>
      </c>
      <c r="D5052" s="6" t="n">
        <v>19</v>
      </c>
      <c r="E5052" t="n">
        <v>42084</v>
      </c>
      <c r="F5052" s="6" t="n">
        <v>19</v>
      </c>
      <c r="G5052" t="n">
        <v>1</v>
      </c>
      <c r="H5052" s="6">
        <f>ROUND(G5052*F5052,2)</f>
        <v/>
      </c>
      <c r="I5052">
        <f>IF(ROUND(H5052-D5052,2)=0,1,0)</f>
        <v/>
      </c>
      <c r="J5052">
        <f>IF(F5052="","none",IF(G5052=1,"carte","multiple"))</f>
        <v/>
      </c>
    </row>
    <row r="5053">
      <c r="A5053" t="inlineStr">
        <is>
          <t>2022-09-09</t>
        </is>
      </c>
      <c r="B5053" t="inlineStr">
        <is>
          <t>12:07</t>
        </is>
      </c>
      <c r="C5053" t="n">
        <v>3052</v>
      </c>
      <c r="D5053" s="6" t="n">
        <v>27.8</v>
      </c>
      <c r="E5053" t="n">
        <v>42085</v>
      </c>
      <c r="F5053" s="6" t="n">
        <v>27.8</v>
      </c>
      <c r="G5053" t="n">
        <v>1</v>
      </c>
      <c r="H5053" s="6">
        <f>ROUND(G5053*F5053,2)</f>
        <v/>
      </c>
      <c r="I5053">
        <f>IF(ROUND(H5053-D5053,2)=0,1,0)</f>
        <v/>
      </c>
      <c r="J5053">
        <f>IF(F5053="","none",IF(G5053=1,"carte","multiple"))</f>
        <v/>
      </c>
    </row>
    <row r="5054">
      <c r="A5054" t="inlineStr">
        <is>
          <t>2022-09-09</t>
        </is>
      </c>
      <c r="B5054" t="inlineStr">
        <is>
          <t>12:07</t>
        </is>
      </c>
      <c r="C5054" t="n">
        <v>3052</v>
      </c>
      <c r="D5054" s="6" t="n">
        <v>7.2</v>
      </c>
      <c r="E5054" t="n">
        <v>42086</v>
      </c>
      <c r="F5054" s="6" t="n">
        <v>7.2</v>
      </c>
      <c r="G5054" t="n">
        <v>1</v>
      </c>
      <c r="H5054" s="6">
        <f>ROUND(G5054*F5054,2)</f>
        <v/>
      </c>
      <c r="I5054">
        <f>IF(ROUND(H5054-D5054,2)=0,1,0)</f>
        <v/>
      </c>
      <c r="J5054">
        <f>IF(F5054="","none",IF(G5054=1,"carte","multiple"))</f>
        <v/>
      </c>
    </row>
    <row r="5055">
      <c r="A5055" t="inlineStr">
        <is>
          <t>2022-09-09</t>
        </is>
      </c>
      <c r="B5055" t="inlineStr">
        <is>
          <t>12:23</t>
        </is>
      </c>
      <c r="C5055" t="n">
        <v>3052</v>
      </c>
      <c r="D5055" s="6" t="n">
        <v>15.6</v>
      </c>
      <c r="E5055" t="n">
        <v>42087</v>
      </c>
      <c r="F5055" s="6" t="n">
        <v>15.6</v>
      </c>
      <c r="G5055" t="n">
        <v>1</v>
      </c>
      <c r="H5055" s="6">
        <f>ROUND(G5055*F5055,2)</f>
        <v/>
      </c>
      <c r="I5055">
        <f>IF(ROUND(H5055-D5055,2)=0,1,0)</f>
        <v/>
      </c>
      <c r="J5055">
        <f>IF(F5055="","none",IF(G5055=1,"carte","multiple"))</f>
        <v/>
      </c>
    </row>
    <row r="5056">
      <c r="A5056" t="inlineStr">
        <is>
          <t>2022-09-09</t>
        </is>
      </c>
      <c r="B5056" t="inlineStr">
        <is>
          <t>12:23</t>
        </is>
      </c>
      <c r="C5056" t="n">
        <v>3052</v>
      </c>
      <c r="D5056" s="6" t="n">
        <v>6.5</v>
      </c>
      <c r="E5056" t="n">
        <v>42088</v>
      </c>
      <c r="F5056" s="6" t="n">
        <v>6.5</v>
      </c>
      <c r="G5056" t="n">
        <v>1</v>
      </c>
      <c r="H5056" s="6">
        <f>ROUND(G5056*F5056,2)</f>
        <v/>
      </c>
      <c r="I5056">
        <f>IF(ROUND(H5056-D5056,2)=0,1,0)</f>
        <v/>
      </c>
      <c r="J5056">
        <f>IF(F5056="","none",IF(G5056=1,"carte","multiple"))</f>
        <v/>
      </c>
    </row>
    <row r="5057">
      <c r="A5057" t="inlineStr">
        <is>
          <t>2022-09-09</t>
        </is>
      </c>
      <c r="B5057" t="inlineStr">
        <is>
          <t>12:23</t>
        </is>
      </c>
      <c r="C5057" t="n">
        <v>3052</v>
      </c>
      <c r="D5057" s="6" t="n">
        <v>20.8</v>
      </c>
      <c r="E5057" t="n">
        <v>42089</v>
      </c>
      <c r="F5057" s="6" t="n">
        <v>0.4</v>
      </c>
      <c r="G5057" t="n">
        <v>52</v>
      </c>
      <c r="H5057" s="6">
        <f>ROUND(G5057*F5057,2)</f>
        <v/>
      </c>
      <c r="I5057">
        <f>IF(ROUND(H5057-D5057,2)=0,1,0)</f>
        <v/>
      </c>
      <c r="J5057">
        <f>IF(F5057="","none",IF(G5057=1,"carte","multiple"))</f>
        <v/>
      </c>
    </row>
    <row r="5058">
      <c r="A5058" t="inlineStr">
        <is>
          <t>2022-09-09</t>
        </is>
      </c>
      <c r="B5058" t="inlineStr">
        <is>
          <t>12:23</t>
        </is>
      </c>
      <c r="C5058" t="n">
        <v>3052</v>
      </c>
      <c r="D5058" s="6" t="n">
        <v>7</v>
      </c>
      <c r="E5058" t="n">
        <v>42090</v>
      </c>
      <c r="F5058" s="6" t="n">
        <v>7</v>
      </c>
      <c r="G5058" t="n">
        <v>1</v>
      </c>
      <c r="H5058" s="6">
        <f>ROUND(G5058*F5058,2)</f>
        <v/>
      </c>
      <c r="I5058">
        <f>IF(ROUND(H5058-D5058,2)=0,1,0)</f>
        <v/>
      </c>
      <c r="J5058">
        <f>IF(F5058="","none",IF(G5058=1,"carte","multiple"))</f>
        <v/>
      </c>
    </row>
    <row r="5059">
      <c r="A5059" t="inlineStr">
        <is>
          <t>2022-09-09</t>
        </is>
      </c>
      <c r="B5059" t="inlineStr">
        <is>
          <t>12:23</t>
        </is>
      </c>
      <c r="C5059" t="n">
        <v>3052</v>
      </c>
      <c r="D5059" s="6" t="n">
        <v>2.2</v>
      </c>
      <c r="E5059" t="n">
        <v>42091</v>
      </c>
      <c r="F5059" s="6" t="n">
        <v>2.2</v>
      </c>
      <c r="G5059" t="n">
        <v>1</v>
      </c>
      <c r="H5059" s="6">
        <f>ROUND(G5059*F5059,2)</f>
        <v/>
      </c>
      <c r="I5059">
        <f>IF(ROUND(H5059-D5059,2)=0,1,0)</f>
        <v/>
      </c>
      <c r="J5059">
        <f>IF(F5059="","none",IF(G5059=1,"carte","multiple"))</f>
        <v/>
      </c>
    </row>
    <row r="5060">
      <c r="A5060" t="inlineStr">
        <is>
          <t>2022-09-09</t>
        </is>
      </c>
      <c r="B5060" t="inlineStr">
        <is>
          <t>12:23</t>
        </is>
      </c>
      <c r="C5060" t="n">
        <v>3052</v>
      </c>
      <c r="D5060" s="6" t="n">
        <v>29.9</v>
      </c>
      <c r="E5060" t="n">
        <v>42092</v>
      </c>
      <c r="F5060" s="6" t="n">
        <v>29.9</v>
      </c>
      <c r="G5060" t="n">
        <v>1</v>
      </c>
      <c r="H5060" s="6">
        <f>ROUND(G5060*F5060,2)</f>
        <v/>
      </c>
      <c r="I5060">
        <f>IF(ROUND(H5060-D5060,2)=0,1,0)</f>
        <v/>
      </c>
      <c r="J5060">
        <f>IF(F5060="","none",IF(G5060=1,"carte","multiple"))</f>
        <v/>
      </c>
    </row>
    <row r="5061">
      <c r="A5061" t="inlineStr">
        <is>
          <t>2022-09-09</t>
        </is>
      </c>
      <c r="B5061" t="inlineStr">
        <is>
          <t>12:23</t>
        </is>
      </c>
      <c r="C5061" t="n">
        <v>3052</v>
      </c>
      <c r="D5061" s="6" t="n">
        <v>35.2</v>
      </c>
      <c r="E5061" t="n">
        <v>42093</v>
      </c>
      <c r="F5061" s="6" t="n">
        <v>0.4</v>
      </c>
      <c r="G5061" t="n">
        <v>88</v>
      </c>
      <c r="H5061" s="6">
        <f>ROUND(G5061*F5061,2)</f>
        <v/>
      </c>
      <c r="I5061">
        <f>IF(ROUND(H5061-D5061,2)=0,1,0)</f>
        <v/>
      </c>
      <c r="J5061">
        <f>IF(F5061="","none",IF(G5061=1,"carte","multiple"))</f>
        <v/>
      </c>
    </row>
    <row r="5062">
      <c r="A5062" t="inlineStr">
        <is>
          <t>2022-09-09</t>
        </is>
      </c>
      <c r="B5062" t="inlineStr">
        <is>
          <t>12:23</t>
        </is>
      </c>
      <c r="C5062" t="n">
        <v>3052</v>
      </c>
      <c r="D5062" s="6" t="n">
        <v>59.8</v>
      </c>
      <c r="E5062" t="n">
        <v>42094</v>
      </c>
      <c r="F5062" s="6" t="n">
        <v>4.6</v>
      </c>
      <c r="G5062" t="n">
        <v>13</v>
      </c>
      <c r="H5062" s="6">
        <f>ROUND(G5062*F5062,2)</f>
        <v/>
      </c>
      <c r="I5062">
        <f>IF(ROUND(H5062-D5062,2)=0,1,0)</f>
        <v/>
      </c>
      <c r="J5062">
        <f>IF(F5062="","none",IF(G5062=1,"carte","multiple"))</f>
        <v/>
      </c>
    </row>
    <row r="5063">
      <c r="A5063" t="inlineStr">
        <is>
          <t>2022-09-09</t>
        </is>
      </c>
      <c r="B5063" t="inlineStr">
        <is>
          <t>12:23</t>
        </is>
      </c>
      <c r="C5063" t="n">
        <v>3052</v>
      </c>
      <c r="D5063" s="6" t="n">
        <v>30</v>
      </c>
      <c r="E5063" t="n">
        <v>42095</v>
      </c>
      <c r="F5063" s="6" t="n">
        <v>30</v>
      </c>
      <c r="G5063" t="n">
        <v>1</v>
      </c>
      <c r="H5063" s="6">
        <f>ROUND(G5063*F5063,2)</f>
        <v/>
      </c>
      <c r="I5063">
        <f>IF(ROUND(H5063-D5063,2)=0,1,0)</f>
        <v/>
      </c>
      <c r="J5063">
        <f>IF(F5063="","none",IF(G5063=1,"carte","multiple"))</f>
        <v/>
      </c>
    </row>
    <row r="5064">
      <c r="A5064" t="inlineStr">
        <is>
          <t>2022-09-09</t>
        </is>
      </c>
      <c r="B5064" t="inlineStr">
        <is>
          <t>12:35</t>
        </is>
      </c>
      <c r="C5064" t="n">
        <v>3052</v>
      </c>
      <c r="D5064" s="6" t="n">
        <v>3.4</v>
      </c>
      <c r="E5064" t="n">
        <v>42096</v>
      </c>
      <c r="F5064" s="6" t="n">
        <v>3.4</v>
      </c>
      <c r="G5064" t="n">
        <v>1</v>
      </c>
      <c r="H5064" s="6">
        <f>ROUND(G5064*F5064,2)</f>
        <v/>
      </c>
      <c r="I5064">
        <f>IF(ROUND(H5064-D5064,2)=0,1,0)</f>
        <v/>
      </c>
      <c r="J5064">
        <f>IF(F5064="","none",IF(G5064=1,"carte","multiple"))</f>
        <v/>
      </c>
    </row>
    <row r="5065">
      <c r="A5065" t="inlineStr">
        <is>
          <t>2022-09-09</t>
        </is>
      </c>
      <c r="B5065" t="inlineStr">
        <is>
          <t>12:36</t>
        </is>
      </c>
      <c r="C5065" t="n">
        <v>3052</v>
      </c>
      <c r="D5065" s="6" t="n">
        <v>2.2</v>
      </c>
      <c r="E5065" t="n">
        <v>42097</v>
      </c>
      <c r="F5065" s="6" t="n">
        <v>2.2</v>
      </c>
      <c r="G5065" t="n">
        <v>1</v>
      </c>
      <c r="H5065" s="6">
        <f>ROUND(G5065*F5065,2)</f>
        <v/>
      </c>
      <c r="I5065">
        <f>IF(ROUND(H5065-D5065,2)=0,1,0)</f>
        <v/>
      </c>
      <c r="J5065">
        <f>IF(F5065="","none",IF(G5065=1,"carte","multiple"))</f>
        <v/>
      </c>
    </row>
    <row r="5066">
      <c r="A5066" t="inlineStr">
        <is>
          <t>2022-09-09</t>
        </is>
      </c>
      <c r="B5066" t="inlineStr">
        <is>
          <t>18:52</t>
        </is>
      </c>
      <c r="C5066" t="n">
        <v>3052</v>
      </c>
      <c r="D5066" s="6" t="n">
        <v>2.2</v>
      </c>
      <c r="E5066" t="n">
        <v>42099</v>
      </c>
      <c r="F5066" s="6" t="n">
        <v>2.2</v>
      </c>
      <c r="G5066" t="n">
        <v>1</v>
      </c>
      <c r="H5066" s="6">
        <f>ROUND(G5066*F5066,2)</f>
        <v/>
      </c>
      <c r="I5066">
        <f>IF(ROUND(H5066-D5066,2)=0,1,0)</f>
        <v/>
      </c>
      <c r="J5066">
        <f>IF(F5066="","none",IF(G5066=1,"carte","multiple"))</f>
        <v/>
      </c>
    </row>
    <row r="5067">
      <c r="A5067" t="inlineStr">
        <is>
          <t>2022-09-09</t>
        </is>
      </c>
      <c r="B5067" t="inlineStr">
        <is>
          <t>18:52</t>
        </is>
      </c>
      <c r="C5067" t="n">
        <v>3052</v>
      </c>
      <c r="D5067" s="6" t="n">
        <v>4</v>
      </c>
      <c r="E5067" t="n">
        <v>42100</v>
      </c>
      <c r="F5067" s="6" t="n">
        <v>4</v>
      </c>
      <c r="G5067" t="n">
        <v>1</v>
      </c>
      <c r="H5067" s="6">
        <f>ROUND(G5067*F5067,2)</f>
        <v/>
      </c>
      <c r="I5067">
        <f>IF(ROUND(H5067-D5067,2)=0,1,0)</f>
        <v/>
      </c>
      <c r="J5067">
        <f>IF(F5067="","none",IF(G5067=1,"carte","multiple"))</f>
        <v/>
      </c>
    </row>
    <row r="5068">
      <c r="A5068" t="inlineStr">
        <is>
          <t>2022-09-09</t>
        </is>
      </c>
      <c r="B5068" t="inlineStr">
        <is>
          <t>18:52</t>
        </is>
      </c>
      <c r="C5068" t="n">
        <v>3052</v>
      </c>
      <c r="D5068" s="6" t="n">
        <v>1.8</v>
      </c>
      <c r="E5068" t="n">
        <v>42101</v>
      </c>
      <c r="F5068" s="6" t="n">
        <v>1.8</v>
      </c>
      <c r="G5068" t="n">
        <v>1</v>
      </c>
      <c r="H5068" s="6">
        <f>ROUND(G5068*F5068,2)</f>
        <v/>
      </c>
      <c r="I5068">
        <f>IF(ROUND(H5068-D5068,2)=0,1,0)</f>
        <v/>
      </c>
      <c r="J5068">
        <f>IF(F5068="","none",IF(G5068=1,"carte","multiple"))</f>
        <v/>
      </c>
    </row>
    <row r="5069">
      <c r="A5069" t="inlineStr">
        <is>
          <t>2022-09-09</t>
        </is>
      </c>
      <c r="B5069" t="inlineStr">
        <is>
          <t>18:52</t>
        </is>
      </c>
      <c r="C5069" t="n">
        <v>3052</v>
      </c>
      <c r="D5069" s="6" t="n">
        <v>4</v>
      </c>
      <c r="E5069" t="n">
        <v>42102</v>
      </c>
      <c r="F5069" s="6" t="n">
        <v>4</v>
      </c>
      <c r="G5069" t="n">
        <v>1</v>
      </c>
      <c r="H5069" s="6">
        <f>ROUND(G5069*F5069,2)</f>
        <v/>
      </c>
      <c r="I5069">
        <f>IF(ROUND(H5069-D5069,2)=0,1,0)</f>
        <v/>
      </c>
      <c r="J5069">
        <f>IF(F5069="","none",IF(G5069=1,"carte","multiple"))</f>
        <v/>
      </c>
    </row>
    <row r="5070">
      <c r="A5070" t="inlineStr">
        <is>
          <t>2022-09-09</t>
        </is>
      </c>
      <c r="B5070" t="inlineStr">
        <is>
          <t>18:52</t>
        </is>
      </c>
      <c r="C5070" t="n">
        <v>3052</v>
      </c>
      <c r="D5070" s="6" t="n">
        <v>13.8</v>
      </c>
      <c r="E5070" t="n">
        <v>42103</v>
      </c>
      <c r="F5070" s="6" t="n">
        <v>4.6</v>
      </c>
      <c r="G5070" t="n">
        <v>3</v>
      </c>
      <c r="H5070" s="6">
        <f>ROUND(G5070*F5070,2)</f>
        <v/>
      </c>
      <c r="I5070">
        <f>IF(ROUND(H5070-D5070,2)=0,1,0)</f>
        <v/>
      </c>
      <c r="J5070">
        <f>IF(F5070="","none",IF(G5070=1,"carte","multiple"))</f>
        <v/>
      </c>
    </row>
    <row r="5071">
      <c r="A5071" t="inlineStr">
        <is>
          <t>2022-09-09</t>
        </is>
      </c>
      <c r="B5071" t="inlineStr">
        <is>
          <t>18:52</t>
        </is>
      </c>
      <c r="C5071" t="n">
        <v>3052</v>
      </c>
      <c r="D5071" s="6" t="n">
        <v>39.5</v>
      </c>
      <c r="E5071" t="n">
        <v>42104</v>
      </c>
      <c r="F5071" s="6" t="n">
        <v>39.5</v>
      </c>
      <c r="G5071" t="n">
        <v>1</v>
      </c>
      <c r="H5071" s="6">
        <f>ROUND(G5071*F5071,2)</f>
        <v/>
      </c>
      <c r="I5071">
        <f>IF(ROUND(H5071-D5071,2)=0,1,0)</f>
        <v/>
      </c>
      <c r="J5071">
        <f>IF(F5071="","none",IF(G5071=1,"carte","multiple"))</f>
        <v/>
      </c>
    </row>
    <row r="5072">
      <c r="A5072" t="inlineStr">
        <is>
          <t>2022-09-09</t>
        </is>
      </c>
      <c r="B5072" t="inlineStr">
        <is>
          <t>18:52</t>
        </is>
      </c>
      <c r="C5072" t="n">
        <v>3052</v>
      </c>
      <c r="D5072" s="6" t="n">
        <v>27.8</v>
      </c>
      <c r="E5072" t="n">
        <v>42105</v>
      </c>
      <c r="F5072" s="6" t="n">
        <v>27.8</v>
      </c>
      <c r="G5072" t="n">
        <v>1</v>
      </c>
      <c r="H5072" s="6">
        <f>ROUND(G5072*F5072,2)</f>
        <v/>
      </c>
      <c r="I5072">
        <f>IF(ROUND(H5072-D5072,2)=0,1,0)</f>
        <v/>
      </c>
      <c r="J5072">
        <f>IF(F5072="","none",IF(G5072=1,"carte","multiple"))</f>
        <v/>
      </c>
    </row>
    <row r="5073">
      <c r="A5073" t="inlineStr">
        <is>
          <t>2022-09-09</t>
        </is>
      </c>
      <c r="B5073" t="inlineStr">
        <is>
          <t>18:52</t>
        </is>
      </c>
      <c r="C5073" t="n">
        <v>3052</v>
      </c>
      <c r="D5073" s="6" t="n">
        <v>39.8</v>
      </c>
      <c r="E5073" t="n">
        <v>42106</v>
      </c>
      <c r="F5073" s="6" t="n">
        <v>39.8</v>
      </c>
      <c r="G5073" t="n">
        <v>1</v>
      </c>
      <c r="H5073" s="6">
        <f>ROUND(G5073*F5073,2)</f>
        <v/>
      </c>
      <c r="I5073">
        <f>IF(ROUND(H5073-D5073,2)=0,1,0)</f>
        <v/>
      </c>
      <c r="J5073">
        <f>IF(F5073="","none",IF(G5073=1,"carte","multiple"))</f>
        <v/>
      </c>
    </row>
    <row r="5074">
      <c r="A5074" t="inlineStr">
        <is>
          <t>2022-09-09</t>
        </is>
      </c>
      <c r="B5074" t="inlineStr">
        <is>
          <t>18:52</t>
        </is>
      </c>
      <c r="C5074" t="n">
        <v>3052</v>
      </c>
      <c r="D5074" s="6" t="n">
        <v>17.6</v>
      </c>
      <c r="E5074" t="n">
        <v>42107</v>
      </c>
      <c r="F5074" s="6" t="n">
        <v>17.6</v>
      </c>
      <c r="G5074" t="n">
        <v>1</v>
      </c>
      <c r="H5074" s="6">
        <f>ROUND(G5074*F5074,2)</f>
        <v/>
      </c>
      <c r="I5074">
        <f>IF(ROUND(H5074-D5074,2)=0,1,0)</f>
        <v/>
      </c>
      <c r="J5074">
        <f>IF(F5074="","none",IF(G5074=1,"carte","multiple"))</f>
        <v/>
      </c>
    </row>
    <row r="5075">
      <c r="A5075" t="inlineStr">
        <is>
          <t>2022-09-09</t>
        </is>
      </c>
      <c r="B5075" t="inlineStr">
        <is>
          <t>18:52</t>
        </is>
      </c>
      <c r="C5075" t="n">
        <v>3052</v>
      </c>
      <c r="D5075" s="6" t="n">
        <v>28.6</v>
      </c>
      <c r="E5075" t="n">
        <v>42108</v>
      </c>
      <c r="F5075" s="6" t="n">
        <v>28.6</v>
      </c>
      <c r="G5075" t="n">
        <v>1</v>
      </c>
      <c r="H5075" s="6">
        <f>ROUND(G5075*F5075,2)</f>
        <v/>
      </c>
      <c r="I5075">
        <f>IF(ROUND(H5075-D5075,2)=0,1,0)</f>
        <v/>
      </c>
      <c r="J5075">
        <f>IF(F5075="","none",IF(G5075=1,"carte","multiple"))</f>
        <v/>
      </c>
    </row>
    <row r="5076">
      <c r="A5076" t="inlineStr">
        <is>
          <t>2022-09-09</t>
        </is>
      </c>
      <c r="B5076" t="inlineStr">
        <is>
          <t>18:52</t>
        </is>
      </c>
      <c r="C5076" t="n">
        <v>3052</v>
      </c>
      <c r="D5076" s="6" t="n">
        <v>17.6</v>
      </c>
      <c r="E5076" t="n">
        <v>42109</v>
      </c>
      <c r="F5076" s="6" t="n">
        <v>17.6</v>
      </c>
      <c r="G5076" t="n">
        <v>1</v>
      </c>
      <c r="H5076" s="6">
        <f>ROUND(G5076*F5076,2)</f>
        <v/>
      </c>
      <c r="I5076">
        <f>IF(ROUND(H5076-D5076,2)=0,1,0)</f>
        <v/>
      </c>
      <c r="J5076">
        <f>IF(F5076="","none",IF(G5076=1,"carte","multiple"))</f>
        <v/>
      </c>
    </row>
    <row r="5077">
      <c r="A5077" t="inlineStr">
        <is>
          <t>2022-09-09</t>
        </is>
      </c>
      <c r="B5077" t="inlineStr">
        <is>
          <t>18:52</t>
        </is>
      </c>
      <c r="C5077" t="n">
        <v>3052</v>
      </c>
      <c r="D5077" s="6" t="n">
        <v>8</v>
      </c>
      <c r="E5077" t="n">
        <v>42110</v>
      </c>
      <c r="F5077" s="6" t="n">
        <v>8</v>
      </c>
      <c r="G5077" t="n">
        <v>1</v>
      </c>
      <c r="H5077" s="6">
        <f>ROUND(G5077*F5077,2)</f>
        <v/>
      </c>
      <c r="I5077">
        <f>IF(ROUND(H5077-D5077,2)=0,1,0)</f>
        <v/>
      </c>
      <c r="J5077">
        <f>IF(F5077="","none",IF(G5077=1,"carte","multiple"))</f>
        <v/>
      </c>
    </row>
    <row r="5078">
      <c r="A5078" t="inlineStr">
        <is>
          <t>2022-09-09</t>
        </is>
      </c>
      <c r="B5078" t="inlineStr">
        <is>
          <t>18:52</t>
        </is>
      </c>
      <c r="C5078" t="n">
        <v>3052</v>
      </c>
      <c r="D5078" s="6" t="n">
        <v>5.9</v>
      </c>
      <c r="E5078" t="n">
        <v>42111</v>
      </c>
      <c r="F5078" s="6" t="n">
        <v>5.9</v>
      </c>
      <c r="G5078" t="n">
        <v>1</v>
      </c>
      <c r="H5078" s="6">
        <f>ROUND(G5078*F5078,2)</f>
        <v/>
      </c>
      <c r="I5078">
        <f>IF(ROUND(H5078-D5078,2)=0,1,0)</f>
        <v/>
      </c>
      <c r="J5078">
        <f>IF(F5078="","none",IF(G5078=1,"carte","multiple"))</f>
        <v/>
      </c>
    </row>
    <row r="5079">
      <c r="A5079" t="inlineStr">
        <is>
          <t>2022-09-09</t>
        </is>
      </c>
      <c r="B5079" t="inlineStr">
        <is>
          <t>18:52</t>
        </is>
      </c>
      <c r="C5079" t="n">
        <v>3052</v>
      </c>
      <c r="D5079" s="6" t="n">
        <v>15.6</v>
      </c>
      <c r="E5079" t="n">
        <v>42112</v>
      </c>
      <c r="F5079" s="6" t="n">
        <v>15.6</v>
      </c>
      <c r="G5079" t="n">
        <v>1</v>
      </c>
      <c r="H5079" s="6">
        <f>ROUND(G5079*F5079,2)</f>
        <v/>
      </c>
      <c r="I5079">
        <f>IF(ROUND(H5079-D5079,2)=0,1,0)</f>
        <v/>
      </c>
      <c r="J5079">
        <f>IF(F5079="","none",IF(G5079=1,"carte","multiple"))</f>
        <v/>
      </c>
    </row>
    <row r="5080">
      <c r="A5080" t="inlineStr">
        <is>
          <t>2022-09-09</t>
        </is>
      </c>
      <c r="B5080" t="inlineStr">
        <is>
          <t>18:52</t>
        </is>
      </c>
      <c r="C5080" t="n">
        <v>3052</v>
      </c>
      <c r="D5080" s="6" t="n">
        <v>10.4</v>
      </c>
      <c r="E5080" t="n">
        <v>42113</v>
      </c>
      <c r="F5080" s="6" t="n">
        <v>0.4</v>
      </c>
      <c r="G5080" t="n">
        <v>26</v>
      </c>
      <c r="H5080" s="6">
        <f>ROUND(G5080*F5080,2)</f>
        <v/>
      </c>
      <c r="I5080">
        <f>IF(ROUND(H5080-D5080,2)=0,1,0)</f>
        <v/>
      </c>
      <c r="J5080">
        <f>IF(F5080="","none",IF(G5080=1,"carte","multiple"))</f>
        <v/>
      </c>
    </row>
    <row r="5081">
      <c r="A5081" t="inlineStr">
        <is>
          <t>2022-09-09</t>
        </is>
      </c>
      <c r="B5081" t="inlineStr">
        <is>
          <t>20:09</t>
        </is>
      </c>
      <c r="C5081" t="n">
        <v>3052</v>
      </c>
      <c r="D5081" s="6" t="n">
        <v>4.4</v>
      </c>
      <c r="E5081" t="n">
        <v>42114</v>
      </c>
      <c r="F5081" s="6" t="n">
        <v>0.4</v>
      </c>
      <c r="G5081" t="n">
        <v>11</v>
      </c>
      <c r="H5081" s="6">
        <f>ROUND(G5081*F5081,2)</f>
        <v/>
      </c>
      <c r="I5081">
        <f>IF(ROUND(H5081-D5081,2)=0,1,0)</f>
        <v/>
      </c>
      <c r="J5081">
        <f>IF(F5081="","none",IF(G5081=1,"carte","multiple"))</f>
        <v/>
      </c>
    </row>
    <row r="5082">
      <c r="A5082" t="inlineStr">
        <is>
          <t>2022-09-09</t>
        </is>
      </c>
      <c r="B5082" t="inlineStr">
        <is>
          <t>20:16</t>
        </is>
      </c>
      <c r="C5082" t="n">
        <v>3052</v>
      </c>
      <c r="D5082" s="6" t="n">
        <v>6.6</v>
      </c>
      <c r="E5082" t="n">
        <v>42115</v>
      </c>
      <c r="F5082" s="6" t="n">
        <v>6.6</v>
      </c>
      <c r="G5082" t="n">
        <v>1</v>
      </c>
      <c r="H5082" s="6">
        <f>ROUND(G5082*F5082,2)</f>
        <v/>
      </c>
      <c r="I5082">
        <f>IF(ROUND(H5082-D5082,2)=0,1,0)</f>
        <v/>
      </c>
      <c r="J5082">
        <f>IF(F5082="","none",IF(G5082=1,"carte","multiple"))</f>
        <v/>
      </c>
    </row>
    <row r="5083">
      <c r="A5083" t="inlineStr">
        <is>
          <t>2022-09-09</t>
        </is>
      </c>
      <c r="B5083" t="inlineStr">
        <is>
          <t>20:16</t>
        </is>
      </c>
      <c r="C5083" t="n">
        <v>3052</v>
      </c>
      <c r="D5083" s="6" t="n">
        <v>6.9</v>
      </c>
      <c r="E5083" t="n">
        <v>42116</v>
      </c>
      <c r="F5083" s="6" t="n">
        <v>6.9</v>
      </c>
      <c r="G5083" t="n">
        <v>1</v>
      </c>
      <c r="H5083" s="6">
        <f>ROUND(G5083*F5083,2)</f>
        <v/>
      </c>
      <c r="I5083">
        <f>IF(ROUND(H5083-D5083,2)=0,1,0)</f>
        <v/>
      </c>
      <c r="J5083">
        <f>IF(F5083="","none",IF(G5083=1,"carte","multiple"))</f>
        <v/>
      </c>
    </row>
    <row r="5084">
      <c r="A5084" t="inlineStr">
        <is>
          <t>2022-09-09</t>
        </is>
      </c>
      <c r="B5084" t="inlineStr">
        <is>
          <t>20:16</t>
        </is>
      </c>
      <c r="C5084" t="n">
        <v>3052</v>
      </c>
      <c r="D5084" s="6" t="n">
        <v>8.5</v>
      </c>
      <c r="E5084" t="n">
        <v>42117</v>
      </c>
      <c r="F5084" s="6" t="n">
        <v>8.5</v>
      </c>
      <c r="G5084" t="n">
        <v>1</v>
      </c>
      <c r="H5084" s="6">
        <f>ROUND(G5084*F5084,2)</f>
        <v/>
      </c>
      <c r="I5084">
        <f>IF(ROUND(H5084-D5084,2)=0,1,0)</f>
        <v/>
      </c>
      <c r="J5084">
        <f>IF(F5084="","none",IF(G5084=1,"carte","multiple"))</f>
        <v/>
      </c>
    </row>
    <row r="5085">
      <c r="A5085" t="inlineStr">
        <is>
          <t>2022-09-09</t>
        </is>
      </c>
      <c r="B5085" t="inlineStr">
        <is>
          <t>20:16</t>
        </is>
      </c>
      <c r="C5085" t="n">
        <v>3052</v>
      </c>
      <c r="D5085" s="6" t="n">
        <v>24.9</v>
      </c>
      <c r="E5085" t="n">
        <v>42118</v>
      </c>
      <c r="F5085" s="6" t="n">
        <v>24.9</v>
      </c>
      <c r="G5085" t="n">
        <v>1</v>
      </c>
      <c r="H5085" s="6">
        <f>ROUND(G5085*F5085,2)</f>
        <v/>
      </c>
      <c r="I5085">
        <f>IF(ROUND(H5085-D5085,2)=0,1,0)</f>
        <v/>
      </c>
      <c r="J5085">
        <f>IF(F5085="","none",IF(G5085=1,"carte","multiple"))</f>
        <v/>
      </c>
    </row>
    <row r="5086">
      <c r="A5086" t="inlineStr">
        <is>
          <t>2022-09-09</t>
        </is>
      </c>
      <c r="B5086" t="inlineStr">
        <is>
          <t>20:16</t>
        </is>
      </c>
      <c r="C5086" t="n">
        <v>3052</v>
      </c>
      <c r="D5086" s="6" t="n">
        <v>35.2</v>
      </c>
      <c r="E5086" t="n">
        <v>42119</v>
      </c>
      <c r="F5086" s="6" t="n">
        <v>0.4</v>
      </c>
      <c r="G5086" t="n">
        <v>88</v>
      </c>
      <c r="H5086" s="6">
        <f>ROUND(G5086*F5086,2)</f>
        <v/>
      </c>
      <c r="I5086">
        <f>IF(ROUND(H5086-D5086,2)=0,1,0)</f>
        <v/>
      </c>
      <c r="J5086">
        <f>IF(F5086="","none",IF(G5086=1,"carte","multiple"))</f>
        <v/>
      </c>
    </row>
    <row r="5087">
      <c r="A5087" t="inlineStr">
        <is>
          <t>2022-09-09</t>
        </is>
      </c>
      <c r="B5087" t="inlineStr">
        <is>
          <t>20:16</t>
        </is>
      </c>
      <c r="C5087" t="n">
        <v>3052</v>
      </c>
      <c r="D5087" s="6" t="n">
        <v>17.6</v>
      </c>
      <c r="E5087" t="n">
        <v>42120</v>
      </c>
      <c r="F5087" s="6" t="n">
        <v>17.6</v>
      </c>
      <c r="G5087" t="n">
        <v>1</v>
      </c>
      <c r="H5087" s="6">
        <f>ROUND(G5087*F5087,2)</f>
        <v/>
      </c>
      <c r="I5087">
        <f>IF(ROUND(H5087-D5087,2)=0,1,0)</f>
        <v/>
      </c>
      <c r="J5087">
        <f>IF(F5087="","none",IF(G5087=1,"carte","multiple"))</f>
        <v/>
      </c>
    </row>
    <row r="5088">
      <c r="A5088" t="inlineStr">
        <is>
          <t>2022-09-09</t>
        </is>
      </c>
      <c r="B5088" t="inlineStr">
        <is>
          <t>20:16</t>
        </is>
      </c>
      <c r="C5088" t="n">
        <v>3052</v>
      </c>
      <c r="D5088" s="6" t="n">
        <v>8</v>
      </c>
      <c r="E5088" t="n">
        <v>42121</v>
      </c>
      <c r="F5088" s="6" t="n">
        <v>8</v>
      </c>
      <c r="G5088" t="n">
        <v>1</v>
      </c>
      <c r="H5088" s="6">
        <f>ROUND(G5088*F5088,2)</f>
        <v/>
      </c>
      <c r="I5088">
        <f>IF(ROUND(H5088-D5088,2)=0,1,0)</f>
        <v/>
      </c>
      <c r="J5088">
        <f>IF(F5088="","none",IF(G5088=1,"carte","multiple"))</f>
        <v/>
      </c>
    </row>
    <row r="5089">
      <c r="A5089" t="inlineStr">
        <is>
          <t>2022-09-09</t>
        </is>
      </c>
      <c r="B5089" t="inlineStr">
        <is>
          <t>20:16</t>
        </is>
      </c>
      <c r="C5089" t="n">
        <v>3052</v>
      </c>
      <c r="D5089" s="6" t="n">
        <v>7.2</v>
      </c>
      <c r="E5089" t="n">
        <v>42122</v>
      </c>
      <c r="F5089" s="6" t="n">
        <v>7.2</v>
      </c>
      <c r="G5089" t="n">
        <v>1</v>
      </c>
      <c r="H5089" s="6">
        <f>ROUND(G5089*F5089,2)</f>
        <v/>
      </c>
      <c r="I5089">
        <f>IF(ROUND(H5089-D5089,2)=0,1,0)</f>
        <v/>
      </c>
      <c r="J5089">
        <f>IF(F5089="","none",IF(G5089=1,"carte","multiple"))</f>
        <v/>
      </c>
    </row>
    <row r="5090">
      <c r="A5090" t="inlineStr">
        <is>
          <t>2022-09-09</t>
        </is>
      </c>
      <c r="B5090" t="inlineStr">
        <is>
          <t>20:17</t>
        </is>
      </c>
      <c r="C5090" t="n">
        <v>3052</v>
      </c>
      <c r="D5090" s="6" t="n">
        <v>9.800000000000001</v>
      </c>
      <c r="E5090" t="n">
        <v>42124</v>
      </c>
      <c r="F5090" s="6" t="n">
        <v>9.800000000000001</v>
      </c>
      <c r="G5090" t="n">
        <v>1</v>
      </c>
      <c r="H5090" s="6">
        <f>ROUND(G5090*F5090,2)</f>
        <v/>
      </c>
      <c r="I5090">
        <f>IF(ROUND(H5090-D5090,2)=0,1,0)</f>
        <v/>
      </c>
      <c r="J5090">
        <f>IF(F5090="","none",IF(G5090=1,"carte","multiple"))</f>
        <v/>
      </c>
    </row>
    <row r="5091">
      <c r="A5091" t="inlineStr">
        <is>
          <t>2022-09-09</t>
        </is>
      </c>
      <c r="B5091" t="inlineStr">
        <is>
          <t>20:17</t>
        </is>
      </c>
      <c r="C5091" t="n">
        <v>3052</v>
      </c>
      <c r="D5091" s="6" t="n">
        <v>6.5</v>
      </c>
      <c r="E5091" t="n">
        <v>42125</v>
      </c>
      <c r="F5091" s="6" t="n">
        <v>6.5</v>
      </c>
      <c r="G5091" t="n">
        <v>1</v>
      </c>
      <c r="H5091" s="6">
        <f>ROUND(G5091*F5091,2)</f>
        <v/>
      </c>
      <c r="I5091">
        <f>IF(ROUND(H5091-D5091,2)=0,1,0)</f>
        <v/>
      </c>
      <c r="J5091">
        <f>IF(F5091="","none",IF(G5091=1,"carte","multiple"))</f>
        <v/>
      </c>
    </row>
    <row r="5092">
      <c r="A5092" t="inlineStr">
        <is>
          <t>2022-09-09</t>
        </is>
      </c>
      <c r="B5092" t="inlineStr">
        <is>
          <t>20:17</t>
        </is>
      </c>
      <c r="C5092" t="n">
        <v>3052</v>
      </c>
      <c r="D5092" s="6" t="n">
        <v>6.5</v>
      </c>
      <c r="E5092" t="n">
        <v>42126</v>
      </c>
      <c r="F5092" s="6" t="n">
        <v>6.5</v>
      </c>
      <c r="G5092" t="n">
        <v>1</v>
      </c>
      <c r="H5092" s="6">
        <f>ROUND(G5092*F5092,2)</f>
        <v/>
      </c>
      <c r="I5092">
        <f>IF(ROUND(H5092-D5092,2)=0,1,0)</f>
        <v/>
      </c>
      <c r="J5092">
        <f>IF(F5092="","none",IF(G5092=1,"carte","multiple"))</f>
        <v/>
      </c>
    </row>
    <row r="5093">
      <c r="A5093" t="inlineStr">
        <is>
          <t>2022-09-09</t>
        </is>
      </c>
      <c r="B5093" t="inlineStr">
        <is>
          <t>20:17</t>
        </is>
      </c>
      <c r="C5093" t="n">
        <v>3052</v>
      </c>
      <c r="D5093" s="6" t="n">
        <v>8</v>
      </c>
      <c r="E5093" t="n">
        <v>42127</v>
      </c>
      <c r="F5093" s="6" t="n">
        <v>8</v>
      </c>
      <c r="G5093" t="n">
        <v>1</v>
      </c>
      <c r="H5093" s="6">
        <f>ROUND(G5093*F5093,2)</f>
        <v/>
      </c>
      <c r="I5093">
        <f>IF(ROUND(H5093-D5093,2)=0,1,0)</f>
        <v/>
      </c>
      <c r="J5093">
        <f>IF(F5093="","none",IF(G5093=1,"carte","multiple"))</f>
        <v/>
      </c>
    </row>
    <row r="5094">
      <c r="A5094" t="inlineStr">
        <is>
          <t>2022-09-09</t>
        </is>
      </c>
      <c r="B5094" t="inlineStr">
        <is>
          <t>20:17</t>
        </is>
      </c>
      <c r="C5094" t="n">
        <v>3052</v>
      </c>
      <c r="D5094" s="6" t="n">
        <v>19.9</v>
      </c>
      <c r="E5094" t="n">
        <v>42128</v>
      </c>
      <c r="F5094" s="6" t="n">
        <v>19.9</v>
      </c>
      <c r="G5094" t="n">
        <v>1</v>
      </c>
      <c r="H5094" s="6">
        <f>ROUND(G5094*F5094,2)</f>
        <v/>
      </c>
      <c r="I5094">
        <f>IF(ROUND(H5094-D5094,2)=0,1,0)</f>
        <v/>
      </c>
      <c r="J5094">
        <f>IF(F5094="","none",IF(G5094=1,"carte","multiple"))</f>
        <v/>
      </c>
    </row>
    <row r="5095">
      <c r="A5095" t="inlineStr">
        <is>
          <t>2022-09-09</t>
        </is>
      </c>
      <c r="B5095" t="inlineStr">
        <is>
          <t>20:17</t>
        </is>
      </c>
      <c r="C5095" t="n">
        <v>3052</v>
      </c>
      <c r="D5095" s="6" t="n">
        <v>17.6</v>
      </c>
      <c r="E5095" t="n">
        <v>42129</v>
      </c>
      <c r="F5095" s="6" t="n">
        <v>17.6</v>
      </c>
      <c r="G5095" t="n">
        <v>1</v>
      </c>
      <c r="H5095" s="6">
        <f>ROUND(G5095*F5095,2)</f>
        <v/>
      </c>
      <c r="I5095">
        <f>IF(ROUND(H5095-D5095,2)=0,1,0)</f>
        <v/>
      </c>
      <c r="J5095">
        <f>IF(F5095="","none",IF(G5095=1,"carte","multiple"))</f>
        <v/>
      </c>
    </row>
    <row r="5096">
      <c r="A5096" t="inlineStr">
        <is>
          <t>2022-09-09</t>
        </is>
      </c>
      <c r="B5096" t="inlineStr">
        <is>
          <t>20:17</t>
        </is>
      </c>
      <c r="C5096" t="n">
        <v>3052</v>
      </c>
      <c r="D5096" s="6" t="n">
        <v>13.4</v>
      </c>
      <c r="E5096" t="n">
        <v>42130</v>
      </c>
      <c r="F5096" s="6" t="n">
        <v>13.4</v>
      </c>
      <c r="G5096" t="n">
        <v>1</v>
      </c>
      <c r="H5096" s="6">
        <f>ROUND(G5096*F5096,2)</f>
        <v/>
      </c>
      <c r="I5096">
        <f>IF(ROUND(H5096-D5096,2)=0,1,0)</f>
        <v/>
      </c>
      <c r="J5096">
        <f>IF(F5096="","none",IF(G5096=1,"carte","multiple"))</f>
        <v/>
      </c>
    </row>
    <row r="5097">
      <c r="A5097" t="inlineStr">
        <is>
          <t>2022-09-10</t>
        </is>
      </c>
      <c r="B5097" t="inlineStr">
        <is>
          <t>11:25</t>
        </is>
      </c>
      <c r="C5097" t="n">
        <v>3053</v>
      </c>
      <c r="D5097" s="6" t="n">
        <v>8.9</v>
      </c>
      <c r="E5097" t="n">
        <v>42132</v>
      </c>
      <c r="F5097" s="6" t="n">
        <v>8.9</v>
      </c>
      <c r="G5097" t="n">
        <v>1</v>
      </c>
      <c r="H5097" s="6">
        <f>ROUND(G5097*F5097,2)</f>
        <v/>
      </c>
      <c r="I5097">
        <f>IF(ROUND(H5097-D5097,2)=0,1,0)</f>
        <v/>
      </c>
      <c r="J5097">
        <f>IF(F5097="","none",IF(G5097=1,"carte","multiple"))</f>
        <v/>
      </c>
    </row>
    <row r="5098">
      <c r="A5098" t="inlineStr">
        <is>
          <t>2022-09-10</t>
        </is>
      </c>
      <c r="B5098" t="inlineStr">
        <is>
          <t>11:25</t>
        </is>
      </c>
      <c r="C5098" t="n">
        <v>3053</v>
      </c>
      <c r="D5098" s="6" t="n">
        <v>9.6</v>
      </c>
      <c r="E5098" t="n">
        <v>42133</v>
      </c>
      <c r="F5098" s="6" t="n">
        <v>9.6</v>
      </c>
      <c r="G5098" t="n">
        <v>1</v>
      </c>
      <c r="H5098" s="6">
        <f>ROUND(G5098*F5098,2)</f>
        <v/>
      </c>
      <c r="I5098">
        <f>IF(ROUND(H5098-D5098,2)=0,1,0)</f>
        <v/>
      </c>
      <c r="J5098">
        <f>IF(F5098="","none",IF(G5098=1,"carte","multiple"))</f>
        <v/>
      </c>
    </row>
    <row r="5099">
      <c r="A5099" t="inlineStr">
        <is>
          <t>2022-09-10</t>
        </is>
      </c>
      <c r="B5099" t="inlineStr">
        <is>
          <t>11:25</t>
        </is>
      </c>
      <c r="C5099" t="n">
        <v>3053</v>
      </c>
      <c r="D5099" s="6" t="n">
        <v>7.8</v>
      </c>
      <c r="E5099" t="n">
        <v>42134</v>
      </c>
      <c r="F5099" s="6" t="n">
        <v>7.8</v>
      </c>
      <c r="G5099" t="n">
        <v>1</v>
      </c>
      <c r="H5099" s="6">
        <f>ROUND(G5099*F5099,2)</f>
        <v/>
      </c>
      <c r="I5099">
        <f>IF(ROUND(H5099-D5099,2)=0,1,0)</f>
        <v/>
      </c>
      <c r="J5099">
        <f>IF(F5099="","none",IF(G5099=1,"carte","multiple"))</f>
        <v/>
      </c>
    </row>
    <row r="5100">
      <c r="A5100" t="inlineStr">
        <is>
          <t>2022-09-10</t>
        </is>
      </c>
      <c r="B5100" t="inlineStr">
        <is>
          <t>11:28</t>
        </is>
      </c>
      <c r="C5100" t="n">
        <v>3053</v>
      </c>
      <c r="D5100" s="6" t="n">
        <v>7.8</v>
      </c>
      <c r="E5100" t="n">
        <v>42135</v>
      </c>
      <c r="F5100" s="6" t="n">
        <v>7.8</v>
      </c>
      <c r="G5100" t="n">
        <v>1</v>
      </c>
      <c r="H5100" s="6">
        <f>ROUND(G5100*F5100,2)</f>
        <v/>
      </c>
      <c r="I5100">
        <f>IF(ROUND(H5100-D5100,2)=0,1,0)</f>
        <v/>
      </c>
      <c r="J5100">
        <f>IF(F5100="","none",IF(G5100=1,"carte","multiple"))</f>
        <v/>
      </c>
    </row>
    <row r="5101">
      <c r="A5101" t="inlineStr">
        <is>
          <t>2022-09-10</t>
        </is>
      </c>
      <c r="B5101" t="inlineStr">
        <is>
          <t>11:42</t>
        </is>
      </c>
      <c r="C5101" t="n">
        <v>3053</v>
      </c>
      <c r="D5101" s="6" t="n">
        <v>7.2</v>
      </c>
      <c r="E5101" t="n">
        <v>42136</v>
      </c>
      <c r="F5101" s="6" t="n">
        <v>7.2</v>
      </c>
      <c r="G5101" t="n">
        <v>1</v>
      </c>
      <c r="H5101" s="6">
        <f>ROUND(G5101*F5101,2)</f>
        <v/>
      </c>
      <c r="I5101">
        <f>IF(ROUND(H5101-D5101,2)=0,1,0)</f>
        <v/>
      </c>
      <c r="J5101">
        <f>IF(F5101="","none",IF(G5101=1,"carte","multiple"))</f>
        <v/>
      </c>
    </row>
    <row r="5102">
      <c r="A5102" t="inlineStr">
        <is>
          <t>2022-09-10</t>
        </is>
      </c>
      <c r="B5102" t="inlineStr">
        <is>
          <t>12:03</t>
        </is>
      </c>
      <c r="C5102" t="n">
        <v>3053</v>
      </c>
      <c r="D5102" s="6" t="n">
        <v>4.4</v>
      </c>
      <c r="E5102" t="n">
        <v>42137</v>
      </c>
      <c r="F5102" s="6" t="n">
        <v>0.4</v>
      </c>
      <c r="G5102" t="n">
        <v>11</v>
      </c>
      <c r="H5102" s="6">
        <f>ROUND(G5102*F5102,2)</f>
        <v/>
      </c>
      <c r="I5102">
        <f>IF(ROUND(H5102-D5102,2)=0,1,0)</f>
        <v/>
      </c>
      <c r="J5102">
        <f>IF(F5102="","none",IF(G5102=1,"carte","multiple"))</f>
        <v/>
      </c>
    </row>
    <row r="5103">
      <c r="A5103" t="inlineStr">
        <is>
          <t>2022-09-10</t>
        </is>
      </c>
      <c r="B5103" t="inlineStr">
        <is>
          <t>12:03</t>
        </is>
      </c>
      <c r="C5103" t="n">
        <v>3053</v>
      </c>
      <c r="D5103" s="6" t="n">
        <v>17.6</v>
      </c>
      <c r="E5103" t="n">
        <v>42138</v>
      </c>
      <c r="F5103" s="6" t="n">
        <v>17.6</v>
      </c>
      <c r="G5103" t="n">
        <v>1</v>
      </c>
      <c r="H5103" s="6">
        <f>ROUND(G5103*F5103,2)</f>
        <v/>
      </c>
      <c r="I5103">
        <f>IF(ROUND(H5103-D5103,2)=0,1,0)</f>
        <v/>
      </c>
      <c r="J5103">
        <f>IF(F5103="","none",IF(G5103=1,"carte","multiple"))</f>
        <v/>
      </c>
    </row>
    <row r="5104">
      <c r="A5104" t="inlineStr">
        <is>
          <t>2022-09-10</t>
        </is>
      </c>
      <c r="B5104" t="inlineStr">
        <is>
          <t>12:03</t>
        </is>
      </c>
      <c r="C5104" t="n">
        <v>3053</v>
      </c>
      <c r="D5104" s="6" t="n">
        <v>17.6</v>
      </c>
      <c r="E5104" t="n">
        <v>42139</v>
      </c>
      <c r="F5104" s="6" t="n">
        <v>17.6</v>
      </c>
      <c r="G5104" t="n">
        <v>1</v>
      </c>
      <c r="H5104" s="6">
        <f>ROUND(G5104*F5104,2)</f>
        <v/>
      </c>
      <c r="I5104">
        <f>IF(ROUND(H5104-D5104,2)=0,1,0)</f>
        <v/>
      </c>
      <c r="J5104">
        <f>IF(F5104="","none",IF(G5104=1,"carte","multiple"))</f>
        <v/>
      </c>
    </row>
    <row r="5105">
      <c r="A5105" t="inlineStr">
        <is>
          <t>2022-09-10</t>
        </is>
      </c>
      <c r="B5105" t="inlineStr">
        <is>
          <t>12:03</t>
        </is>
      </c>
      <c r="C5105" t="n">
        <v>3053</v>
      </c>
      <c r="D5105" s="6" t="n">
        <v>4.2</v>
      </c>
      <c r="E5105" t="n">
        <v>42140</v>
      </c>
      <c r="F5105" s="6" t="n">
        <v>4.2</v>
      </c>
      <c r="G5105" t="n">
        <v>1</v>
      </c>
      <c r="H5105" s="6">
        <f>ROUND(G5105*F5105,2)</f>
        <v/>
      </c>
      <c r="I5105">
        <f>IF(ROUND(H5105-D5105,2)=0,1,0)</f>
        <v/>
      </c>
      <c r="J5105">
        <f>IF(F5105="","none",IF(G5105=1,"carte","multiple"))</f>
        <v/>
      </c>
    </row>
    <row r="5106">
      <c r="A5106" t="inlineStr">
        <is>
          <t>2022-09-10</t>
        </is>
      </c>
      <c r="B5106" t="inlineStr">
        <is>
          <t>12:03</t>
        </is>
      </c>
      <c r="C5106" t="n">
        <v>3053</v>
      </c>
      <c r="D5106" s="6" t="n">
        <v>5.9</v>
      </c>
      <c r="E5106" t="n">
        <v>42141</v>
      </c>
      <c r="F5106" s="6" t="n">
        <v>5.9</v>
      </c>
      <c r="G5106" t="n">
        <v>1</v>
      </c>
      <c r="H5106" s="6">
        <f>ROUND(G5106*F5106,2)</f>
        <v/>
      </c>
      <c r="I5106">
        <f>IF(ROUND(H5106-D5106,2)=0,1,0)</f>
        <v/>
      </c>
      <c r="J5106">
        <f>IF(F5106="","none",IF(G5106=1,"carte","multiple"))</f>
        <v/>
      </c>
    </row>
    <row r="5107">
      <c r="A5107" t="inlineStr">
        <is>
          <t>2022-09-10</t>
        </is>
      </c>
      <c r="B5107" t="inlineStr">
        <is>
          <t>12:14</t>
        </is>
      </c>
      <c r="C5107" t="n">
        <v>3053</v>
      </c>
      <c r="D5107" s="6" t="n">
        <v>2.2</v>
      </c>
      <c r="E5107" t="n">
        <v>42142</v>
      </c>
      <c r="F5107" s="6" t="n">
        <v>2.2</v>
      </c>
      <c r="G5107" t="n">
        <v>1</v>
      </c>
      <c r="H5107" s="6">
        <f>ROUND(G5107*F5107,2)</f>
        <v/>
      </c>
      <c r="I5107">
        <f>IF(ROUND(H5107-D5107,2)=0,1,0)</f>
        <v/>
      </c>
      <c r="J5107">
        <f>IF(F5107="","none",IF(G5107=1,"carte","multiple"))</f>
        <v/>
      </c>
    </row>
    <row r="5108">
      <c r="A5108" t="inlineStr">
        <is>
          <t>2022-09-10</t>
        </is>
      </c>
      <c r="B5108" t="inlineStr">
        <is>
          <t>12:14</t>
        </is>
      </c>
      <c r="C5108" t="n">
        <v>3053</v>
      </c>
      <c r="D5108" s="6" t="n">
        <v>3.9</v>
      </c>
      <c r="E5108" t="n">
        <v>42143</v>
      </c>
      <c r="F5108" s="6" t="n">
        <v>3.9</v>
      </c>
      <c r="G5108" t="n">
        <v>1</v>
      </c>
      <c r="H5108" s="6">
        <f>ROUND(G5108*F5108,2)</f>
        <v/>
      </c>
      <c r="I5108">
        <f>IF(ROUND(H5108-D5108,2)=0,1,0)</f>
        <v/>
      </c>
      <c r="J5108">
        <f>IF(F5108="","none",IF(G5108=1,"carte","multiple"))</f>
        <v/>
      </c>
    </row>
    <row r="5109">
      <c r="A5109" t="inlineStr">
        <is>
          <t>2022-09-10</t>
        </is>
      </c>
      <c r="B5109" t="inlineStr">
        <is>
          <t>12:14</t>
        </is>
      </c>
      <c r="C5109" t="n">
        <v>3053</v>
      </c>
      <c r="D5109" s="6" t="n">
        <v>17.6</v>
      </c>
      <c r="E5109" t="n">
        <v>42144</v>
      </c>
      <c r="F5109" s="6" t="n">
        <v>17.6</v>
      </c>
      <c r="G5109" t="n">
        <v>1</v>
      </c>
      <c r="H5109" s="6">
        <f>ROUND(G5109*F5109,2)</f>
        <v/>
      </c>
      <c r="I5109">
        <f>IF(ROUND(H5109-D5109,2)=0,1,0)</f>
        <v/>
      </c>
      <c r="J5109">
        <f>IF(F5109="","none",IF(G5109=1,"carte","multiple"))</f>
        <v/>
      </c>
    </row>
    <row r="5110">
      <c r="A5110" t="inlineStr">
        <is>
          <t>2022-09-10</t>
        </is>
      </c>
      <c r="B5110" t="inlineStr">
        <is>
          <t>12:14</t>
        </is>
      </c>
      <c r="C5110" t="n">
        <v>3053</v>
      </c>
      <c r="D5110" s="6" t="n">
        <v>17.6</v>
      </c>
      <c r="E5110" t="n">
        <v>42145</v>
      </c>
      <c r="F5110" s="6" t="n">
        <v>17.6</v>
      </c>
      <c r="G5110" t="n">
        <v>1</v>
      </c>
      <c r="H5110" s="6">
        <f>ROUND(G5110*F5110,2)</f>
        <v/>
      </c>
      <c r="I5110">
        <f>IF(ROUND(H5110-D5110,2)=0,1,0)</f>
        <v/>
      </c>
      <c r="J5110">
        <f>IF(F5110="","none",IF(G5110=1,"carte","multiple"))</f>
        <v/>
      </c>
    </row>
    <row r="5111">
      <c r="A5111" t="inlineStr">
        <is>
          <t>2022-09-10</t>
        </is>
      </c>
      <c r="B5111" t="inlineStr">
        <is>
          <t>12:14</t>
        </is>
      </c>
      <c r="C5111" t="n">
        <v>3053</v>
      </c>
      <c r="D5111" s="6" t="n">
        <v>19</v>
      </c>
      <c r="E5111" t="n">
        <v>42146</v>
      </c>
      <c r="F5111" s="6" t="n">
        <v>19</v>
      </c>
      <c r="G5111" t="n">
        <v>1</v>
      </c>
      <c r="H5111" s="6">
        <f>ROUND(G5111*F5111,2)</f>
        <v/>
      </c>
      <c r="I5111">
        <f>IF(ROUND(H5111-D5111,2)=0,1,0)</f>
        <v/>
      </c>
      <c r="J5111">
        <f>IF(F5111="","none",IF(G5111=1,"carte","multiple"))</f>
        <v/>
      </c>
    </row>
    <row r="5112">
      <c r="A5112" t="inlineStr">
        <is>
          <t>2022-09-10</t>
        </is>
      </c>
      <c r="B5112" t="inlineStr">
        <is>
          <t>12:14</t>
        </is>
      </c>
      <c r="C5112" t="n">
        <v>3053</v>
      </c>
      <c r="D5112" s="6" t="n">
        <v>6</v>
      </c>
      <c r="E5112" t="n">
        <v>42147</v>
      </c>
      <c r="F5112" s="6" t="n">
        <v>6</v>
      </c>
      <c r="G5112" t="n">
        <v>1</v>
      </c>
      <c r="H5112" s="6">
        <f>ROUND(G5112*F5112,2)</f>
        <v/>
      </c>
      <c r="I5112">
        <f>IF(ROUND(H5112-D5112,2)=0,1,0)</f>
        <v/>
      </c>
      <c r="J5112">
        <f>IF(F5112="","none",IF(G5112=1,"carte","multiple"))</f>
        <v/>
      </c>
    </row>
    <row r="5113">
      <c r="A5113" t="inlineStr">
        <is>
          <t>2022-09-10</t>
        </is>
      </c>
      <c r="B5113" t="inlineStr">
        <is>
          <t>12:14</t>
        </is>
      </c>
      <c r="C5113" t="n">
        <v>3053</v>
      </c>
      <c r="D5113" s="6" t="n">
        <v>4.2</v>
      </c>
      <c r="E5113" t="n">
        <v>42148</v>
      </c>
      <c r="F5113" s="6" t="n">
        <v>4.2</v>
      </c>
      <c r="G5113" t="n">
        <v>1</v>
      </c>
      <c r="H5113" s="6">
        <f>ROUND(G5113*F5113,2)</f>
        <v/>
      </c>
      <c r="I5113">
        <f>IF(ROUND(H5113-D5113,2)=0,1,0)</f>
        <v/>
      </c>
      <c r="J5113">
        <f>IF(F5113="","none",IF(G5113=1,"carte","multiple"))</f>
        <v/>
      </c>
    </row>
    <row r="5114">
      <c r="A5114" t="inlineStr">
        <is>
          <t>2022-09-10</t>
        </is>
      </c>
      <c r="B5114" t="inlineStr">
        <is>
          <t>12:58</t>
        </is>
      </c>
      <c r="C5114" t="n">
        <v>3053</v>
      </c>
      <c r="D5114" s="6" t="n">
        <v>10.4</v>
      </c>
      <c r="E5114" t="n">
        <v>42149</v>
      </c>
      <c r="F5114" s="6" t="n">
        <v>0.4</v>
      </c>
      <c r="G5114" t="n">
        <v>26</v>
      </c>
      <c r="H5114" s="6">
        <f>ROUND(G5114*F5114,2)</f>
        <v/>
      </c>
      <c r="I5114">
        <f>IF(ROUND(H5114-D5114,2)=0,1,0)</f>
        <v/>
      </c>
      <c r="J5114">
        <f>IF(F5114="","none",IF(G5114=1,"carte","multiple"))</f>
        <v/>
      </c>
    </row>
    <row r="5115">
      <c r="A5115" t="inlineStr">
        <is>
          <t>2022-09-10</t>
        </is>
      </c>
      <c r="B5115" t="inlineStr">
        <is>
          <t>12:58</t>
        </is>
      </c>
      <c r="C5115" t="n">
        <v>3053</v>
      </c>
      <c r="D5115" s="6" t="n">
        <v>31.8</v>
      </c>
      <c r="E5115" t="n">
        <v>42150</v>
      </c>
      <c r="F5115" s="6" t="n">
        <v>31.8</v>
      </c>
      <c r="G5115" t="n">
        <v>1</v>
      </c>
      <c r="H5115" s="6">
        <f>ROUND(G5115*F5115,2)</f>
        <v/>
      </c>
      <c r="I5115">
        <f>IF(ROUND(H5115-D5115,2)=0,1,0)</f>
        <v/>
      </c>
      <c r="J5115">
        <f>IF(F5115="","none",IF(G5115=1,"carte","multiple"))</f>
        <v/>
      </c>
    </row>
    <row r="5116">
      <c r="A5116" t="inlineStr">
        <is>
          <t>2022-09-10</t>
        </is>
      </c>
      <c r="B5116" t="inlineStr">
        <is>
          <t>12:58</t>
        </is>
      </c>
      <c r="C5116" t="n">
        <v>3053</v>
      </c>
      <c r="D5116" s="6" t="n">
        <v>2.2</v>
      </c>
      <c r="E5116" t="n">
        <v>42151</v>
      </c>
      <c r="F5116" s="6" t="n">
        <v>2.2</v>
      </c>
      <c r="G5116" t="n">
        <v>1</v>
      </c>
      <c r="H5116" s="6">
        <f>ROUND(G5116*F5116,2)</f>
        <v/>
      </c>
      <c r="I5116">
        <f>IF(ROUND(H5116-D5116,2)=0,1,0)</f>
        <v/>
      </c>
      <c r="J5116">
        <f>IF(F5116="","none",IF(G5116=1,"carte","multiple"))</f>
        <v/>
      </c>
    </row>
    <row r="5117">
      <c r="A5117" t="inlineStr">
        <is>
          <t>2022-09-10</t>
        </is>
      </c>
      <c r="B5117" t="inlineStr">
        <is>
          <t>13:15</t>
        </is>
      </c>
      <c r="C5117" t="n">
        <v>3053</v>
      </c>
      <c r="D5117" s="6" t="n">
        <v>4.4</v>
      </c>
      <c r="E5117" t="n">
        <v>42152</v>
      </c>
      <c r="F5117" s="6" t="n">
        <v>0.4</v>
      </c>
      <c r="G5117" t="n">
        <v>11</v>
      </c>
      <c r="H5117" s="6">
        <f>ROUND(G5117*F5117,2)</f>
        <v/>
      </c>
      <c r="I5117">
        <f>IF(ROUND(H5117-D5117,2)=0,1,0)</f>
        <v/>
      </c>
      <c r="J5117">
        <f>IF(F5117="","none",IF(G5117=1,"carte","multiple"))</f>
        <v/>
      </c>
    </row>
    <row r="5118">
      <c r="A5118" t="inlineStr">
        <is>
          <t>2022-09-10</t>
        </is>
      </c>
      <c r="B5118" t="inlineStr">
        <is>
          <t>13:15</t>
        </is>
      </c>
      <c r="C5118" t="n">
        <v>3053</v>
      </c>
      <c r="D5118" s="6" t="n">
        <v>6.9</v>
      </c>
      <c r="E5118" t="n">
        <v>42153</v>
      </c>
      <c r="F5118" s="6" t="n">
        <v>6.9</v>
      </c>
      <c r="G5118" t="n">
        <v>1</v>
      </c>
      <c r="H5118" s="6">
        <f>ROUND(G5118*F5118,2)</f>
        <v/>
      </c>
      <c r="I5118">
        <f>IF(ROUND(H5118-D5118,2)=0,1,0)</f>
        <v/>
      </c>
      <c r="J5118">
        <f>IF(F5118="","none",IF(G5118=1,"carte","multiple"))</f>
        <v/>
      </c>
    </row>
    <row r="5119">
      <c r="A5119" t="inlineStr">
        <is>
          <t>2022-09-10</t>
        </is>
      </c>
      <c r="B5119" t="inlineStr">
        <is>
          <t>13:15</t>
        </is>
      </c>
      <c r="C5119" t="n">
        <v>3053</v>
      </c>
      <c r="D5119" s="6" t="n">
        <v>1.8</v>
      </c>
      <c r="E5119" t="n">
        <v>42154</v>
      </c>
      <c r="F5119" s="6" t="n">
        <v>1.8</v>
      </c>
      <c r="G5119" t="n">
        <v>1</v>
      </c>
      <c r="H5119" s="6">
        <f>ROUND(G5119*F5119,2)</f>
        <v/>
      </c>
      <c r="I5119">
        <f>IF(ROUND(H5119-D5119,2)=0,1,0)</f>
        <v/>
      </c>
      <c r="J5119">
        <f>IF(F5119="","none",IF(G5119=1,"carte","multiple"))</f>
        <v/>
      </c>
    </row>
    <row r="5120">
      <c r="A5120" t="inlineStr">
        <is>
          <t>2022-09-10</t>
        </is>
      </c>
      <c r="B5120" t="inlineStr">
        <is>
          <t>13:15</t>
        </is>
      </c>
      <c r="C5120" t="n">
        <v>3053</v>
      </c>
      <c r="D5120" s="6" t="n">
        <v>2</v>
      </c>
      <c r="E5120" t="n">
        <v>42155</v>
      </c>
      <c r="F5120" s="6" t="n">
        <v>2</v>
      </c>
      <c r="G5120" t="n">
        <v>1</v>
      </c>
      <c r="H5120" s="6">
        <f>ROUND(G5120*F5120,2)</f>
        <v/>
      </c>
      <c r="I5120">
        <f>IF(ROUND(H5120-D5120,2)=0,1,0)</f>
        <v/>
      </c>
      <c r="J5120">
        <f>IF(F5120="","none",IF(G5120=1,"carte","multiple"))</f>
        <v/>
      </c>
    </row>
    <row r="5121">
      <c r="A5121" t="inlineStr">
        <is>
          <t>2022-09-10</t>
        </is>
      </c>
      <c r="B5121" t="inlineStr">
        <is>
          <t>13:15</t>
        </is>
      </c>
      <c r="C5121" t="n">
        <v>3053</v>
      </c>
      <c r="D5121" s="6" t="n">
        <v>5.2</v>
      </c>
      <c r="E5121" t="n">
        <v>42156</v>
      </c>
      <c r="F5121" s="6" t="n">
        <v>5.2</v>
      </c>
      <c r="G5121" t="n">
        <v>1</v>
      </c>
      <c r="H5121" s="6">
        <f>ROUND(G5121*F5121,2)</f>
        <v/>
      </c>
      <c r="I5121">
        <f>IF(ROUND(H5121-D5121,2)=0,1,0)</f>
        <v/>
      </c>
      <c r="J5121">
        <f>IF(F5121="","none",IF(G5121=1,"carte","multiple"))</f>
        <v/>
      </c>
    </row>
    <row r="5122">
      <c r="A5122" t="inlineStr">
        <is>
          <t>2022-09-10</t>
        </is>
      </c>
      <c r="B5122" t="inlineStr">
        <is>
          <t>13:15</t>
        </is>
      </c>
      <c r="C5122" t="n">
        <v>3053</v>
      </c>
      <c r="D5122" s="6" t="n">
        <v>6</v>
      </c>
      <c r="E5122" t="n">
        <v>42157</v>
      </c>
      <c r="F5122" s="6" t="n">
        <v>6</v>
      </c>
      <c r="G5122" t="n">
        <v>1</v>
      </c>
      <c r="H5122" s="6">
        <f>ROUND(G5122*F5122,2)</f>
        <v/>
      </c>
      <c r="I5122">
        <f>IF(ROUND(H5122-D5122,2)=0,1,0)</f>
        <v/>
      </c>
      <c r="J5122">
        <f>IF(F5122="","none",IF(G5122=1,"carte","multiple"))</f>
        <v/>
      </c>
    </row>
    <row r="5123">
      <c r="A5123" t="inlineStr">
        <is>
          <t>2022-09-10</t>
        </is>
      </c>
      <c r="B5123" t="inlineStr">
        <is>
          <t>13:15</t>
        </is>
      </c>
      <c r="C5123" t="n">
        <v>3053</v>
      </c>
      <c r="D5123" s="6" t="n">
        <v>6.4</v>
      </c>
      <c r="E5123" t="n">
        <v>42158</v>
      </c>
      <c r="F5123" s="6" t="n">
        <v>6.4</v>
      </c>
      <c r="G5123" t="n">
        <v>1</v>
      </c>
      <c r="H5123" s="6">
        <f>ROUND(G5123*F5123,2)</f>
        <v/>
      </c>
      <c r="I5123">
        <f>IF(ROUND(H5123-D5123,2)=0,1,0)</f>
        <v/>
      </c>
      <c r="J5123">
        <f>IF(F5123="","none",IF(G5123=1,"carte","multiple"))</f>
        <v/>
      </c>
    </row>
    <row r="5124">
      <c r="A5124" t="inlineStr">
        <is>
          <t>2022-09-10</t>
        </is>
      </c>
      <c r="B5124" t="inlineStr">
        <is>
          <t>13:15</t>
        </is>
      </c>
      <c r="C5124" t="n">
        <v>3053</v>
      </c>
      <c r="D5124" s="6" t="n">
        <v>19</v>
      </c>
      <c r="E5124" t="n">
        <v>42159</v>
      </c>
      <c r="F5124" s="6" t="n">
        <v>19</v>
      </c>
      <c r="G5124" t="n">
        <v>1</v>
      </c>
      <c r="H5124" s="6">
        <f>ROUND(G5124*F5124,2)</f>
        <v/>
      </c>
      <c r="I5124">
        <f>IF(ROUND(H5124-D5124,2)=0,1,0)</f>
        <v/>
      </c>
      <c r="J5124">
        <f>IF(F5124="","none",IF(G5124=1,"carte","multiple"))</f>
        <v/>
      </c>
    </row>
    <row r="5125">
      <c r="A5125" t="inlineStr">
        <is>
          <t>2022-09-10</t>
        </is>
      </c>
      <c r="B5125" t="inlineStr">
        <is>
          <t>13:15</t>
        </is>
      </c>
      <c r="C5125" t="n">
        <v>3053</v>
      </c>
      <c r="D5125" s="6" t="n">
        <v>19</v>
      </c>
      <c r="E5125" t="n">
        <v>42160</v>
      </c>
      <c r="F5125" s="6" t="n">
        <v>19</v>
      </c>
      <c r="G5125" t="n">
        <v>1</v>
      </c>
      <c r="H5125" s="6">
        <f>ROUND(G5125*F5125,2)</f>
        <v/>
      </c>
      <c r="I5125">
        <f>IF(ROUND(H5125-D5125,2)=0,1,0)</f>
        <v/>
      </c>
      <c r="J5125">
        <f>IF(F5125="","none",IF(G5125=1,"carte","multiple"))</f>
        <v/>
      </c>
    </row>
    <row r="5126">
      <c r="A5126" t="inlineStr">
        <is>
          <t>2022-09-10</t>
        </is>
      </c>
      <c r="B5126" t="inlineStr">
        <is>
          <t>13:15</t>
        </is>
      </c>
      <c r="C5126" t="n">
        <v>3053</v>
      </c>
      <c r="D5126" s="6" t="n">
        <v>21.6</v>
      </c>
      <c r="E5126" t="n">
        <v>42161</v>
      </c>
      <c r="F5126" s="6" t="n">
        <v>21.6</v>
      </c>
      <c r="G5126" t="n">
        <v>1</v>
      </c>
      <c r="H5126" s="6">
        <f>ROUND(G5126*F5126,2)</f>
        <v/>
      </c>
      <c r="I5126">
        <f>IF(ROUND(H5126-D5126,2)=0,1,0)</f>
        <v/>
      </c>
      <c r="J5126">
        <f>IF(F5126="","none",IF(G5126=1,"carte","multiple"))</f>
        <v/>
      </c>
    </row>
    <row r="5127">
      <c r="A5127" t="inlineStr">
        <is>
          <t>2022-09-10</t>
        </is>
      </c>
      <c r="B5127" t="inlineStr">
        <is>
          <t>13:15</t>
        </is>
      </c>
      <c r="C5127" t="n">
        <v>3053</v>
      </c>
      <c r="D5127" s="6" t="n">
        <v>11.8</v>
      </c>
      <c r="E5127" t="n">
        <v>42162</v>
      </c>
      <c r="F5127" s="6" t="n">
        <v>5.9</v>
      </c>
      <c r="G5127" t="n">
        <v>2</v>
      </c>
      <c r="H5127" s="6">
        <f>ROUND(G5127*F5127,2)</f>
        <v/>
      </c>
      <c r="I5127">
        <f>IF(ROUND(H5127-D5127,2)=0,1,0)</f>
        <v/>
      </c>
      <c r="J5127">
        <f>IF(F5127="","none",IF(G5127=1,"carte","multiple"))</f>
        <v/>
      </c>
    </row>
    <row r="5128">
      <c r="A5128" t="inlineStr">
        <is>
          <t>2022-09-10</t>
        </is>
      </c>
      <c r="B5128" t="inlineStr">
        <is>
          <t>13:15</t>
        </is>
      </c>
      <c r="C5128" t="n">
        <v>3053</v>
      </c>
      <c r="D5128" s="6" t="n">
        <v>64</v>
      </c>
      <c r="E5128" t="n">
        <v>42163</v>
      </c>
      <c r="F5128" s="6" t="n">
        <v>64</v>
      </c>
      <c r="G5128" t="n">
        <v>1</v>
      </c>
      <c r="H5128" s="6">
        <f>ROUND(G5128*F5128,2)</f>
        <v/>
      </c>
      <c r="I5128">
        <f>IF(ROUND(H5128-D5128,2)=0,1,0)</f>
        <v/>
      </c>
      <c r="J5128">
        <f>IF(F5128="","none",IF(G5128=1,"carte","multiple"))</f>
        <v/>
      </c>
    </row>
    <row r="5129">
      <c r="A5129" t="inlineStr">
        <is>
          <t>2022-09-10</t>
        </is>
      </c>
      <c r="B5129" t="inlineStr">
        <is>
          <t>13:15</t>
        </is>
      </c>
      <c r="C5129" t="n">
        <v>3053</v>
      </c>
      <c r="D5129" s="6" t="n">
        <v>9</v>
      </c>
      <c r="E5129" t="n">
        <v>42164</v>
      </c>
      <c r="F5129" s="6" t="n">
        <v>9</v>
      </c>
      <c r="G5129" t="n">
        <v>1</v>
      </c>
      <c r="H5129" s="6">
        <f>ROUND(G5129*F5129,2)</f>
        <v/>
      </c>
      <c r="I5129">
        <f>IF(ROUND(H5129-D5129,2)=0,1,0)</f>
        <v/>
      </c>
      <c r="J5129">
        <f>IF(F5129="","none",IF(G5129=1,"carte","multiple"))</f>
        <v/>
      </c>
    </row>
    <row r="5130">
      <c r="A5130" t="inlineStr">
        <is>
          <t>2022-09-10</t>
        </is>
      </c>
      <c r="B5130" t="inlineStr">
        <is>
          <t>13:15</t>
        </is>
      </c>
      <c r="C5130" t="n">
        <v>3053</v>
      </c>
      <c r="D5130" s="6" t="n">
        <v>5.2</v>
      </c>
      <c r="E5130" t="n">
        <v>42165</v>
      </c>
      <c r="F5130" s="6" t="n">
        <v>5.2</v>
      </c>
      <c r="G5130" t="n">
        <v>1</v>
      </c>
      <c r="H5130" s="6">
        <f>ROUND(G5130*F5130,2)</f>
        <v/>
      </c>
      <c r="I5130">
        <f>IF(ROUND(H5130-D5130,2)=0,1,0)</f>
        <v/>
      </c>
      <c r="J5130">
        <f>IF(F5130="","none",IF(G5130=1,"carte","multiple"))</f>
        <v/>
      </c>
    </row>
    <row r="5131">
      <c r="A5131" t="inlineStr">
        <is>
          <t>2022-09-10</t>
        </is>
      </c>
      <c r="B5131" t="inlineStr">
        <is>
          <t>13:15</t>
        </is>
      </c>
      <c r="C5131" t="n">
        <v>3053</v>
      </c>
      <c r="D5131" s="6" t="n">
        <v>5.2</v>
      </c>
      <c r="E5131" t="n">
        <v>42166</v>
      </c>
      <c r="F5131" s="6" t="n">
        <v>5.2</v>
      </c>
      <c r="G5131" t="n">
        <v>1</v>
      </c>
      <c r="H5131" s="6">
        <f>ROUND(G5131*F5131,2)</f>
        <v/>
      </c>
      <c r="I5131">
        <f>IF(ROUND(H5131-D5131,2)=0,1,0)</f>
        <v/>
      </c>
      <c r="J5131">
        <f>IF(F5131="","none",IF(G5131=1,"carte","multiple"))</f>
        <v/>
      </c>
    </row>
    <row r="5132">
      <c r="A5132" t="inlineStr">
        <is>
          <t>2022-09-10</t>
        </is>
      </c>
      <c r="B5132" t="inlineStr">
        <is>
          <t>13:15</t>
        </is>
      </c>
      <c r="C5132" t="n">
        <v>3053</v>
      </c>
      <c r="D5132" s="6" t="n">
        <v>3.9</v>
      </c>
      <c r="E5132" t="n">
        <v>42167</v>
      </c>
      <c r="F5132" s="6" t="n">
        <v>3.9</v>
      </c>
      <c r="G5132" t="n">
        <v>1</v>
      </c>
      <c r="H5132" s="6">
        <f>ROUND(G5132*F5132,2)</f>
        <v/>
      </c>
      <c r="I5132">
        <f>IF(ROUND(H5132-D5132,2)=0,1,0)</f>
        <v/>
      </c>
      <c r="J5132">
        <f>IF(F5132="","none",IF(G5132=1,"carte","multiple"))</f>
        <v/>
      </c>
    </row>
    <row r="5133">
      <c r="A5133" t="inlineStr">
        <is>
          <t>2022-09-10</t>
        </is>
      </c>
      <c r="B5133" t="inlineStr">
        <is>
          <t>13:27</t>
        </is>
      </c>
      <c r="C5133" t="n">
        <v>3053</v>
      </c>
      <c r="D5133" s="6" t="n">
        <v>4.4</v>
      </c>
      <c r="E5133" t="n">
        <v>42168</v>
      </c>
      <c r="F5133" s="6" t="n">
        <v>0.4</v>
      </c>
      <c r="G5133" t="n">
        <v>11</v>
      </c>
      <c r="H5133" s="6">
        <f>ROUND(G5133*F5133,2)</f>
        <v/>
      </c>
      <c r="I5133">
        <f>IF(ROUND(H5133-D5133,2)=0,1,0)</f>
        <v/>
      </c>
      <c r="J5133">
        <f>IF(F5133="","none",IF(G5133=1,"carte","multiple"))</f>
        <v/>
      </c>
    </row>
    <row r="5134">
      <c r="A5134" t="inlineStr">
        <is>
          <t>2022-09-10</t>
        </is>
      </c>
      <c r="B5134" t="inlineStr">
        <is>
          <t>13:27</t>
        </is>
      </c>
      <c r="C5134" t="n">
        <v>3053</v>
      </c>
      <c r="D5134" s="6" t="n">
        <v>17.6</v>
      </c>
      <c r="E5134" t="n">
        <v>42169</v>
      </c>
      <c r="F5134" s="6" t="n">
        <v>17.6</v>
      </c>
      <c r="G5134" t="n">
        <v>1</v>
      </c>
      <c r="H5134" s="6">
        <f>ROUND(G5134*F5134,2)</f>
        <v/>
      </c>
      <c r="I5134">
        <f>IF(ROUND(H5134-D5134,2)=0,1,0)</f>
        <v/>
      </c>
      <c r="J5134">
        <f>IF(F5134="","none",IF(G5134=1,"carte","multiple"))</f>
        <v/>
      </c>
    </row>
    <row r="5135">
      <c r="A5135" t="inlineStr">
        <is>
          <t>2022-09-10</t>
        </is>
      </c>
      <c r="B5135" t="inlineStr">
        <is>
          <t>13:27</t>
        </is>
      </c>
      <c r="C5135" t="n">
        <v>3053</v>
      </c>
      <c r="D5135" s="6" t="n">
        <v>15.9</v>
      </c>
      <c r="E5135" t="n">
        <v>42170</v>
      </c>
      <c r="F5135" s="6" t="n">
        <v>15.9</v>
      </c>
      <c r="G5135" t="n">
        <v>1</v>
      </c>
      <c r="H5135" s="6">
        <f>ROUND(G5135*F5135,2)</f>
        <v/>
      </c>
      <c r="I5135">
        <f>IF(ROUND(H5135-D5135,2)=0,1,0)</f>
        <v/>
      </c>
      <c r="J5135">
        <f>IF(F5135="","none",IF(G5135=1,"carte","multiple"))</f>
        <v/>
      </c>
    </row>
    <row r="5136">
      <c r="A5136" t="inlineStr">
        <is>
          <t>2022-09-10</t>
        </is>
      </c>
      <c r="B5136" t="inlineStr">
        <is>
          <t>13:27</t>
        </is>
      </c>
      <c r="C5136" t="n">
        <v>3053</v>
      </c>
      <c r="D5136" s="6" t="n">
        <v>3.9</v>
      </c>
      <c r="E5136" t="n">
        <v>42171</v>
      </c>
      <c r="F5136" s="6" t="n">
        <v>3.9</v>
      </c>
      <c r="G5136" t="n">
        <v>1</v>
      </c>
      <c r="H5136" s="6">
        <f>ROUND(G5136*F5136,2)</f>
        <v/>
      </c>
      <c r="I5136">
        <f>IF(ROUND(H5136-D5136,2)=0,1,0)</f>
        <v/>
      </c>
      <c r="J5136">
        <f>IF(F5136="","none",IF(G5136=1,"carte","multiple"))</f>
        <v/>
      </c>
    </row>
    <row r="5137">
      <c r="A5137" t="inlineStr">
        <is>
          <t>2022-09-10</t>
        </is>
      </c>
      <c r="B5137" t="inlineStr">
        <is>
          <t>17:47</t>
        </is>
      </c>
      <c r="C5137" t="n">
        <v>3053</v>
      </c>
      <c r="D5137" s="6" t="n">
        <v>59.5</v>
      </c>
      <c r="E5137" t="n">
        <v>42174</v>
      </c>
      <c r="F5137" s="6" t="n">
        <v>0.5</v>
      </c>
      <c r="G5137" t="n">
        <v>119</v>
      </c>
      <c r="H5137" s="6">
        <f>ROUND(G5137*F5137,2)</f>
        <v/>
      </c>
      <c r="I5137">
        <f>IF(ROUND(H5137-D5137,2)=0,1,0)</f>
        <v/>
      </c>
      <c r="J5137">
        <f>IF(F5137="","none",IF(G5137=1,"carte","multiple"))</f>
        <v/>
      </c>
    </row>
    <row r="5138">
      <c r="A5138" t="inlineStr">
        <is>
          <t>2022-09-10</t>
        </is>
      </c>
      <c r="B5138" t="inlineStr">
        <is>
          <t>18:35</t>
        </is>
      </c>
      <c r="C5138" t="n">
        <v>3053</v>
      </c>
      <c r="D5138" s="6" t="n">
        <v>36</v>
      </c>
      <c r="E5138" t="n">
        <v>42175</v>
      </c>
      <c r="F5138" s="6" t="n">
        <v>36</v>
      </c>
      <c r="G5138" t="n">
        <v>1</v>
      </c>
      <c r="H5138" s="6">
        <f>ROUND(G5138*F5138,2)</f>
        <v/>
      </c>
      <c r="I5138">
        <f>IF(ROUND(H5138-D5138,2)=0,1,0)</f>
        <v/>
      </c>
      <c r="J5138">
        <f>IF(F5138="","none",IF(G5138=1,"carte","multiple"))</f>
        <v/>
      </c>
    </row>
    <row r="5139">
      <c r="A5139" t="inlineStr">
        <is>
          <t>2022-09-10</t>
        </is>
      </c>
      <c r="B5139" t="inlineStr">
        <is>
          <t>18:51</t>
        </is>
      </c>
      <c r="C5139" t="n">
        <v>3053</v>
      </c>
      <c r="D5139" s="6" t="n">
        <v>1.8</v>
      </c>
      <c r="E5139" t="n">
        <v>42176</v>
      </c>
      <c r="F5139" s="6" t="n">
        <v>1.8</v>
      </c>
      <c r="G5139" t="n">
        <v>1</v>
      </c>
      <c r="H5139" s="6">
        <f>ROUND(G5139*F5139,2)</f>
        <v/>
      </c>
      <c r="I5139">
        <f>IF(ROUND(H5139-D5139,2)=0,1,0)</f>
        <v/>
      </c>
      <c r="J5139">
        <f>IF(F5139="","none",IF(G5139=1,"carte","multiple"))</f>
        <v/>
      </c>
    </row>
    <row r="5140">
      <c r="A5140" t="inlineStr">
        <is>
          <t>2022-09-10</t>
        </is>
      </c>
      <c r="B5140" t="inlineStr">
        <is>
          <t>19:39</t>
        </is>
      </c>
      <c r="C5140" t="n">
        <v>3053</v>
      </c>
      <c r="D5140" s="6" t="n">
        <v>5.9</v>
      </c>
      <c r="E5140" t="n">
        <v>42177</v>
      </c>
      <c r="F5140" s="6" t="n">
        <v>5.9</v>
      </c>
      <c r="G5140" t="n">
        <v>1</v>
      </c>
      <c r="H5140" s="6">
        <f>ROUND(G5140*F5140,2)</f>
        <v/>
      </c>
      <c r="I5140">
        <f>IF(ROUND(H5140-D5140,2)=0,1,0)</f>
        <v/>
      </c>
      <c r="J5140">
        <f>IF(F5140="","none",IF(G5140=1,"carte","multiple"))</f>
        <v/>
      </c>
    </row>
    <row r="5141">
      <c r="A5141" t="inlineStr">
        <is>
          <t>2022-09-10</t>
        </is>
      </c>
      <c r="B5141" t="inlineStr">
        <is>
          <t>19:39</t>
        </is>
      </c>
      <c r="C5141" t="n">
        <v>3053</v>
      </c>
      <c r="D5141" s="6" t="n">
        <v>13</v>
      </c>
      <c r="E5141" t="n">
        <v>42178</v>
      </c>
      <c r="F5141" s="6" t="n">
        <v>13</v>
      </c>
      <c r="G5141" t="n">
        <v>1</v>
      </c>
      <c r="H5141" s="6">
        <f>ROUND(G5141*F5141,2)</f>
        <v/>
      </c>
      <c r="I5141">
        <f>IF(ROUND(H5141-D5141,2)=0,1,0)</f>
        <v/>
      </c>
      <c r="J5141">
        <f>IF(F5141="","none",IF(G5141=1,"carte","multiple"))</f>
        <v/>
      </c>
    </row>
    <row r="5142">
      <c r="A5142" t="inlineStr">
        <is>
          <t>2022-09-10</t>
        </is>
      </c>
      <c r="B5142" t="inlineStr">
        <is>
          <t>19:39</t>
        </is>
      </c>
      <c r="C5142" t="n">
        <v>3053</v>
      </c>
      <c r="D5142" s="6" t="n">
        <v>2.9</v>
      </c>
      <c r="E5142" t="n">
        <v>42179</v>
      </c>
      <c r="F5142" s="6" t="n">
        <v>2.9</v>
      </c>
      <c r="G5142" t="n">
        <v>1</v>
      </c>
      <c r="H5142" s="6">
        <f>ROUND(G5142*F5142,2)</f>
        <v/>
      </c>
      <c r="I5142">
        <f>IF(ROUND(H5142-D5142,2)=0,1,0)</f>
        <v/>
      </c>
      <c r="J5142">
        <f>IF(F5142="","none",IF(G5142=1,"carte","multiple"))</f>
        <v/>
      </c>
    </row>
    <row r="5143">
      <c r="A5143" t="inlineStr">
        <is>
          <t>2022-09-10</t>
        </is>
      </c>
      <c r="B5143" t="inlineStr">
        <is>
          <t>19:39</t>
        </is>
      </c>
      <c r="C5143" t="n">
        <v>3053</v>
      </c>
      <c r="D5143" s="6" t="n">
        <v>3.8</v>
      </c>
      <c r="E5143" t="n">
        <v>42180</v>
      </c>
      <c r="F5143" s="6" t="n">
        <v>3.8</v>
      </c>
      <c r="G5143" t="n">
        <v>1</v>
      </c>
      <c r="H5143" s="6">
        <f>ROUND(G5143*F5143,2)</f>
        <v/>
      </c>
      <c r="I5143">
        <f>IF(ROUND(H5143-D5143,2)=0,1,0)</f>
        <v/>
      </c>
      <c r="J5143">
        <f>IF(F5143="","none",IF(G5143=1,"carte","multiple"))</f>
        <v/>
      </c>
    </row>
    <row r="5144">
      <c r="A5144" t="inlineStr">
        <is>
          <t>2022-09-10</t>
        </is>
      </c>
      <c r="B5144" t="inlineStr">
        <is>
          <t>19:39</t>
        </is>
      </c>
      <c r="C5144" t="n">
        <v>3053</v>
      </c>
      <c r="D5144" s="6" t="n">
        <v>4</v>
      </c>
      <c r="E5144" t="n">
        <v>42181</v>
      </c>
      <c r="F5144" s="6" t="n">
        <v>4</v>
      </c>
      <c r="G5144" t="n">
        <v>1</v>
      </c>
      <c r="H5144" s="6">
        <f>ROUND(G5144*F5144,2)</f>
        <v/>
      </c>
      <c r="I5144">
        <f>IF(ROUND(H5144-D5144,2)=0,1,0)</f>
        <v/>
      </c>
      <c r="J5144">
        <f>IF(F5144="","none",IF(G5144=1,"carte","multiple"))</f>
        <v/>
      </c>
    </row>
    <row r="5145">
      <c r="A5145" t="inlineStr">
        <is>
          <t>2022-09-10</t>
        </is>
      </c>
      <c r="B5145" t="inlineStr">
        <is>
          <t>19:39</t>
        </is>
      </c>
      <c r="C5145" t="n">
        <v>3053</v>
      </c>
      <c r="D5145" s="6" t="n">
        <v>3.9</v>
      </c>
      <c r="E5145" t="n">
        <v>42182</v>
      </c>
      <c r="F5145" s="6" t="n">
        <v>3.9</v>
      </c>
      <c r="G5145" t="n">
        <v>1</v>
      </c>
      <c r="H5145" s="6">
        <f>ROUND(G5145*F5145,2)</f>
        <v/>
      </c>
      <c r="I5145">
        <f>IF(ROUND(H5145-D5145,2)=0,1,0)</f>
        <v/>
      </c>
      <c r="J5145">
        <f>IF(F5145="","none",IF(G5145=1,"carte","multiple"))</f>
        <v/>
      </c>
    </row>
    <row r="5146">
      <c r="A5146" t="inlineStr">
        <is>
          <t>2022-09-10</t>
        </is>
      </c>
      <c r="B5146" t="inlineStr">
        <is>
          <t>19:39</t>
        </is>
      </c>
      <c r="C5146" t="n">
        <v>3053</v>
      </c>
      <c r="D5146" s="6" t="n">
        <v>1.8</v>
      </c>
      <c r="E5146" t="n">
        <v>42183</v>
      </c>
      <c r="F5146" s="6" t="n">
        <v>1.8</v>
      </c>
      <c r="G5146" t="n">
        <v>1</v>
      </c>
      <c r="H5146" s="6">
        <f>ROUND(G5146*F5146,2)</f>
        <v/>
      </c>
      <c r="I5146">
        <f>IF(ROUND(H5146-D5146,2)=0,1,0)</f>
        <v/>
      </c>
      <c r="J5146">
        <f>IF(F5146="","none",IF(G5146=1,"carte","multiple"))</f>
        <v/>
      </c>
    </row>
    <row r="5147">
      <c r="A5147" t="inlineStr">
        <is>
          <t>2022-09-10</t>
        </is>
      </c>
      <c r="B5147" t="inlineStr">
        <is>
          <t>19:39</t>
        </is>
      </c>
      <c r="C5147" t="n">
        <v>3053</v>
      </c>
      <c r="D5147" s="6" t="n">
        <v>19</v>
      </c>
      <c r="E5147" t="n">
        <v>42184</v>
      </c>
      <c r="F5147" s="6" t="n">
        <v>19</v>
      </c>
      <c r="G5147" t="n">
        <v>1</v>
      </c>
      <c r="H5147" s="6">
        <f>ROUND(G5147*F5147,2)</f>
        <v/>
      </c>
      <c r="I5147">
        <f>IF(ROUND(H5147-D5147,2)=0,1,0)</f>
        <v/>
      </c>
      <c r="J5147">
        <f>IF(F5147="","none",IF(G5147=1,"carte","multiple"))</f>
        <v/>
      </c>
    </row>
    <row r="5148">
      <c r="A5148" t="inlineStr">
        <is>
          <t>2022-09-10</t>
        </is>
      </c>
      <c r="B5148" t="inlineStr">
        <is>
          <t>19:39</t>
        </is>
      </c>
      <c r="C5148" t="n">
        <v>3053</v>
      </c>
      <c r="D5148" s="6" t="n">
        <v>7.8</v>
      </c>
      <c r="E5148" t="n">
        <v>42185</v>
      </c>
      <c r="F5148" s="6" t="n">
        <v>7.8</v>
      </c>
      <c r="G5148" t="n">
        <v>1</v>
      </c>
      <c r="H5148" s="6">
        <f>ROUND(G5148*F5148,2)</f>
        <v/>
      </c>
      <c r="I5148">
        <f>IF(ROUND(H5148-D5148,2)=0,1,0)</f>
        <v/>
      </c>
      <c r="J5148">
        <f>IF(F5148="","none",IF(G5148=1,"carte","multiple"))</f>
        <v/>
      </c>
    </row>
    <row r="5149">
      <c r="A5149" t="inlineStr">
        <is>
          <t>2022-09-10</t>
        </is>
      </c>
      <c r="B5149" t="inlineStr">
        <is>
          <t>19:39</t>
        </is>
      </c>
      <c r="C5149" t="n">
        <v>3053</v>
      </c>
      <c r="D5149" s="6" t="n">
        <v>8.699999999999999</v>
      </c>
      <c r="E5149" t="n">
        <v>42186</v>
      </c>
      <c r="F5149" s="6" t="n">
        <v>8.699999999999999</v>
      </c>
      <c r="G5149" t="n">
        <v>1</v>
      </c>
      <c r="H5149" s="6">
        <f>ROUND(G5149*F5149,2)</f>
        <v/>
      </c>
      <c r="I5149">
        <f>IF(ROUND(H5149-D5149,2)=0,1,0)</f>
        <v/>
      </c>
      <c r="J5149">
        <f>IF(F5149="","none",IF(G5149=1,"carte","multiple"))</f>
        <v/>
      </c>
    </row>
    <row r="5150">
      <c r="A5150" t="inlineStr">
        <is>
          <t>2022-09-10</t>
        </is>
      </c>
      <c r="B5150" t="inlineStr">
        <is>
          <t>19:39</t>
        </is>
      </c>
      <c r="C5150" t="n">
        <v>3053</v>
      </c>
      <c r="D5150" s="6" t="n">
        <v>3.9</v>
      </c>
      <c r="E5150" t="n">
        <v>42187</v>
      </c>
      <c r="F5150" s="6" t="n">
        <v>3.9</v>
      </c>
      <c r="G5150" t="n">
        <v>1</v>
      </c>
      <c r="H5150" s="6">
        <f>ROUND(G5150*F5150,2)</f>
        <v/>
      </c>
      <c r="I5150">
        <f>IF(ROUND(H5150-D5150,2)=0,1,0)</f>
        <v/>
      </c>
      <c r="J5150">
        <f>IF(F5150="","none",IF(G5150=1,"carte","multiple"))</f>
        <v/>
      </c>
    </row>
    <row r="5151">
      <c r="A5151" t="inlineStr">
        <is>
          <t>2022-09-10</t>
        </is>
      </c>
      <c r="B5151" t="inlineStr">
        <is>
          <t>19:39</t>
        </is>
      </c>
      <c r="C5151" t="n">
        <v>3053</v>
      </c>
      <c r="D5151" s="6" t="n">
        <v>1.8</v>
      </c>
      <c r="E5151" t="n">
        <v>42188</v>
      </c>
      <c r="F5151" s="6" t="n">
        <v>1.8</v>
      </c>
      <c r="G5151" t="n">
        <v>1</v>
      </c>
      <c r="H5151" s="6">
        <f>ROUND(G5151*F5151,2)</f>
        <v/>
      </c>
      <c r="I5151">
        <f>IF(ROUND(H5151-D5151,2)=0,1,0)</f>
        <v/>
      </c>
      <c r="J5151">
        <f>IF(F5151="","none",IF(G5151=1,"carte","multiple"))</f>
        <v/>
      </c>
    </row>
    <row r="5152">
      <c r="A5152" t="inlineStr">
        <is>
          <t>2022-09-10</t>
        </is>
      </c>
      <c r="B5152" t="inlineStr">
        <is>
          <t>19:52</t>
        </is>
      </c>
      <c r="C5152" t="n">
        <v>3053</v>
      </c>
      <c r="D5152" s="6" t="n">
        <v>17.6</v>
      </c>
      <c r="E5152" t="n">
        <v>42189</v>
      </c>
      <c r="F5152" s="6" t="n">
        <v>17.6</v>
      </c>
      <c r="G5152" t="n">
        <v>1</v>
      </c>
      <c r="H5152" s="6">
        <f>ROUND(G5152*F5152,2)</f>
        <v/>
      </c>
      <c r="I5152">
        <f>IF(ROUND(H5152-D5152,2)=0,1,0)</f>
        <v/>
      </c>
      <c r="J5152">
        <f>IF(F5152="","none",IF(G5152=1,"carte","multiple"))</f>
        <v/>
      </c>
    </row>
    <row r="5153">
      <c r="A5153" t="inlineStr">
        <is>
          <t>2022-09-10</t>
        </is>
      </c>
      <c r="B5153" t="inlineStr">
        <is>
          <t>19:52</t>
        </is>
      </c>
      <c r="C5153" t="n">
        <v>3053</v>
      </c>
      <c r="D5153" s="6" t="n">
        <v>30</v>
      </c>
      <c r="E5153" t="n">
        <v>42190</v>
      </c>
      <c r="F5153" s="6" t="n">
        <v>30</v>
      </c>
      <c r="G5153" t="n">
        <v>1</v>
      </c>
      <c r="H5153" s="6">
        <f>ROUND(G5153*F5153,2)</f>
        <v/>
      </c>
      <c r="I5153">
        <f>IF(ROUND(H5153-D5153,2)=0,1,0)</f>
        <v/>
      </c>
      <c r="J5153">
        <f>IF(F5153="","none",IF(G5153=1,"carte","multiple"))</f>
        <v/>
      </c>
    </row>
    <row r="5154">
      <c r="A5154" t="inlineStr">
        <is>
          <t>2022-09-10</t>
        </is>
      </c>
      <c r="B5154" t="inlineStr">
        <is>
          <t>19:52</t>
        </is>
      </c>
      <c r="C5154" t="n">
        <v>3053</v>
      </c>
      <c r="D5154" s="6" t="n">
        <v>15.9</v>
      </c>
      <c r="E5154" t="n">
        <v>42191</v>
      </c>
      <c r="F5154" s="6" t="n">
        <v>15.9</v>
      </c>
      <c r="G5154" t="n">
        <v>1</v>
      </c>
      <c r="H5154" s="6">
        <f>ROUND(G5154*F5154,2)</f>
        <v/>
      </c>
      <c r="I5154">
        <f>IF(ROUND(H5154-D5154,2)=0,1,0)</f>
        <v/>
      </c>
      <c r="J5154">
        <f>IF(F5154="","none",IF(G5154=1,"carte","multiple"))</f>
        <v/>
      </c>
    </row>
    <row r="5155">
      <c r="A5155" t="inlineStr">
        <is>
          <t>2022-09-10</t>
        </is>
      </c>
      <c r="B5155" t="inlineStr">
        <is>
          <t>19:52</t>
        </is>
      </c>
      <c r="C5155" t="n">
        <v>3053</v>
      </c>
      <c r="D5155" s="6" t="n">
        <v>2.2</v>
      </c>
      <c r="E5155" t="n">
        <v>42192</v>
      </c>
      <c r="F5155" s="6" t="n">
        <v>2.2</v>
      </c>
      <c r="G5155" t="n">
        <v>1</v>
      </c>
      <c r="H5155" s="6">
        <f>ROUND(G5155*F5155,2)</f>
        <v/>
      </c>
      <c r="I5155">
        <f>IF(ROUND(H5155-D5155,2)=0,1,0)</f>
        <v/>
      </c>
      <c r="J5155">
        <f>IF(F5155="","none",IF(G5155=1,"carte","multiple"))</f>
        <v/>
      </c>
    </row>
    <row r="5156">
      <c r="A5156" t="inlineStr">
        <is>
          <t>2022-09-10</t>
        </is>
      </c>
      <c r="B5156" t="inlineStr">
        <is>
          <t>19:52</t>
        </is>
      </c>
      <c r="C5156" t="n">
        <v>3053</v>
      </c>
      <c r="D5156" s="6" t="n">
        <v>3.9</v>
      </c>
      <c r="E5156" t="n">
        <v>42193</v>
      </c>
      <c r="F5156" s="6" t="n">
        <v>3.9</v>
      </c>
      <c r="G5156" t="n">
        <v>1</v>
      </c>
      <c r="H5156" s="6">
        <f>ROUND(G5156*F5156,2)</f>
        <v/>
      </c>
      <c r="I5156">
        <f>IF(ROUND(H5156-D5156,2)=0,1,0)</f>
        <v/>
      </c>
      <c r="J5156">
        <f>IF(F5156="","none",IF(G5156=1,"carte","multiple"))</f>
        <v/>
      </c>
    </row>
    <row r="5157">
      <c r="A5157" t="inlineStr">
        <is>
          <t>2022-09-10</t>
        </is>
      </c>
      <c r="B5157" t="inlineStr">
        <is>
          <t>19:52</t>
        </is>
      </c>
      <c r="C5157" t="n">
        <v>3053</v>
      </c>
      <c r="D5157" s="6" t="n">
        <v>7.8</v>
      </c>
      <c r="E5157" t="n">
        <v>42194</v>
      </c>
      <c r="F5157" s="6" t="n">
        <v>7.8</v>
      </c>
      <c r="G5157" t="n">
        <v>1</v>
      </c>
      <c r="H5157" s="6">
        <f>ROUND(G5157*F5157,2)</f>
        <v/>
      </c>
      <c r="I5157">
        <f>IF(ROUND(H5157-D5157,2)=0,1,0)</f>
        <v/>
      </c>
      <c r="J5157">
        <f>IF(F5157="","none",IF(G5157=1,"carte","multiple"))</f>
        <v/>
      </c>
    </row>
    <row r="5158">
      <c r="A5158" t="inlineStr">
        <is>
          <t>2022-09-11</t>
        </is>
      </c>
      <c r="B5158" t="inlineStr">
        <is>
          <t>11:12</t>
        </is>
      </c>
      <c r="C5158" t="n">
        <v>3054</v>
      </c>
      <c r="D5158" s="6" t="n">
        <v>17.6</v>
      </c>
      <c r="E5158" t="n">
        <v>42197</v>
      </c>
      <c r="F5158" s="6" t="n">
        <v>17.6</v>
      </c>
      <c r="G5158" t="n">
        <v>1</v>
      </c>
      <c r="H5158" s="6">
        <f>ROUND(G5158*F5158,2)</f>
        <v/>
      </c>
      <c r="I5158">
        <f>IF(ROUND(H5158-D5158,2)=0,1,0)</f>
        <v/>
      </c>
      <c r="J5158">
        <f>IF(F5158="","none",IF(G5158=1,"carte","multiple"))</f>
        <v/>
      </c>
    </row>
    <row r="5159">
      <c r="A5159" t="inlineStr">
        <is>
          <t>2022-09-11</t>
        </is>
      </c>
      <c r="B5159" t="inlineStr">
        <is>
          <t>11:21</t>
        </is>
      </c>
      <c r="C5159" t="n">
        <v>3054</v>
      </c>
      <c r="D5159" s="6" t="n">
        <v>8.699999999999999</v>
      </c>
      <c r="E5159" t="n">
        <v>42198</v>
      </c>
      <c r="F5159" s="6" t="n">
        <v>8.699999999999999</v>
      </c>
      <c r="G5159" t="n">
        <v>1</v>
      </c>
      <c r="H5159" s="6">
        <f>ROUND(G5159*F5159,2)</f>
        <v/>
      </c>
      <c r="I5159">
        <f>IF(ROUND(H5159-D5159,2)=0,1,0)</f>
        <v/>
      </c>
      <c r="J5159">
        <f>IF(F5159="","none",IF(G5159=1,"carte","multiple"))</f>
        <v/>
      </c>
    </row>
    <row r="5160">
      <c r="A5160" t="inlineStr">
        <is>
          <t>2022-09-11</t>
        </is>
      </c>
      <c r="B5160" t="inlineStr">
        <is>
          <t>12:55</t>
        </is>
      </c>
      <c r="C5160" t="n">
        <v>3054</v>
      </c>
      <c r="D5160" s="6" t="n">
        <v>7.8</v>
      </c>
      <c r="E5160" t="n">
        <v>42199</v>
      </c>
      <c r="F5160" s="6" t="n">
        <v>7.8</v>
      </c>
      <c r="G5160" t="n">
        <v>1</v>
      </c>
      <c r="H5160" s="6">
        <f>ROUND(G5160*F5160,2)</f>
        <v/>
      </c>
      <c r="I5160">
        <f>IF(ROUND(H5160-D5160,2)=0,1,0)</f>
        <v/>
      </c>
      <c r="J5160">
        <f>IF(F5160="","none",IF(G5160=1,"carte","multiple"))</f>
        <v/>
      </c>
    </row>
    <row r="5161">
      <c r="A5161" t="inlineStr">
        <is>
          <t>2022-09-11</t>
        </is>
      </c>
      <c r="B5161" t="inlineStr">
        <is>
          <t>12:55</t>
        </is>
      </c>
      <c r="C5161" t="n">
        <v>3054</v>
      </c>
      <c r="D5161" s="6" t="n">
        <v>16.8</v>
      </c>
      <c r="E5161" t="n">
        <v>42200</v>
      </c>
      <c r="F5161" s="6" t="n">
        <v>16.8</v>
      </c>
      <c r="G5161" t="n">
        <v>1</v>
      </c>
      <c r="H5161" s="6">
        <f>ROUND(G5161*F5161,2)</f>
        <v/>
      </c>
      <c r="I5161">
        <f>IF(ROUND(H5161-D5161,2)=0,1,0)</f>
        <v/>
      </c>
      <c r="J5161">
        <f>IF(F5161="","none",IF(G5161=1,"carte","multiple"))</f>
        <v/>
      </c>
    </row>
    <row r="5162">
      <c r="A5162" t="inlineStr">
        <is>
          <t>2022-09-11</t>
        </is>
      </c>
      <c r="B5162" t="inlineStr">
        <is>
          <t>12:55</t>
        </is>
      </c>
      <c r="C5162" t="n">
        <v>3054</v>
      </c>
      <c r="D5162" s="6" t="n">
        <v>4.9</v>
      </c>
      <c r="E5162" t="n">
        <v>42201</v>
      </c>
      <c r="F5162" s="6" t="n">
        <v>4.9</v>
      </c>
      <c r="G5162" t="n">
        <v>1</v>
      </c>
      <c r="H5162" s="6">
        <f>ROUND(G5162*F5162,2)</f>
        <v/>
      </c>
      <c r="I5162">
        <f>IF(ROUND(H5162-D5162,2)=0,1,0)</f>
        <v/>
      </c>
      <c r="J5162">
        <f>IF(F5162="","none",IF(G5162=1,"carte","multiple"))</f>
        <v/>
      </c>
    </row>
    <row r="5163">
      <c r="A5163" t="inlineStr">
        <is>
          <t>2022-09-11</t>
        </is>
      </c>
      <c r="B5163" t="inlineStr">
        <is>
          <t>13:06</t>
        </is>
      </c>
      <c r="C5163" t="n">
        <v>3054</v>
      </c>
      <c r="D5163" s="6" t="n">
        <v>7.5</v>
      </c>
      <c r="E5163" t="n">
        <v>42202</v>
      </c>
      <c r="F5163" s="6" t="n">
        <v>7.5</v>
      </c>
      <c r="G5163" t="n">
        <v>1</v>
      </c>
      <c r="H5163" s="6">
        <f>ROUND(G5163*F5163,2)</f>
        <v/>
      </c>
      <c r="I5163">
        <f>IF(ROUND(H5163-D5163,2)=0,1,0)</f>
        <v/>
      </c>
      <c r="J5163">
        <f>IF(F5163="","none",IF(G5163=1,"carte","multiple"))</f>
        <v/>
      </c>
    </row>
    <row r="5164">
      <c r="A5164" t="inlineStr">
        <is>
          <t>2022-09-11</t>
        </is>
      </c>
      <c r="B5164" t="inlineStr">
        <is>
          <t>13:29</t>
        </is>
      </c>
      <c r="C5164" t="n">
        <v>3054</v>
      </c>
      <c r="D5164" s="6" t="n">
        <v>2.2</v>
      </c>
      <c r="E5164" t="n">
        <v>42203</v>
      </c>
      <c r="F5164" s="6" t="n">
        <v>2.2</v>
      </c>
      <c r="G5164" t="n">
        <v>1</v>
      </c>
      <c r="H5164" s="6">
        <f>ROUND(G5164*F5164,2)</f>
        <v/>
      </c>
      <c r="I5164">
        <f>IF(ROUND(H5164-D5164,2)=0,1,0)</f>
        <v/>
      </c>
      <c r="J5164">
        <f>IF(F5164="","none",IF(G5164=1,"carte","multiple"))</f>
        <v/>
      </c>
    </row>
    <row r="5165">
      <c r="A5165" t="inlineStr">
        <is>
          <t>2022-09-11</t>
        </is>
      </c>
      <c r="B5165" t="inlineStr">
        <is>
          <t>13:29</t>
        </is>
      </c>
      <c r="C5165" t="n">
        <v>3054</v>
      </c>
      <c r="D5165" s="6" t="n">
        <v>8.5</v>
      </c>
      <c r="E5165" t="n">
        <v>42204</v>
      </c>
      <c r="F5165" s="6" t="n">
        <v>8.5</v>
      </c>
      <c r="G5165" t="n">
        <v>1</v>
      </c>
      <c r="H5165" s="6">
        <f>ROUND(G5165*F5165,2)</f>
        <v/>
      </c>
      <c r="I5165">
        <f>IF(ROUND(H5165-D5165,2)=0,1,0)</f>
        <v/>
      </c>
      <c r="J5165">
        <f>IF(F5165="","none",IF(G5165=1,"carte","multiple"))</f>
        <v/>
      </c>
    </row>
    <row r="5166">
      <c r="A5166" t="inlineStr">
        <is>
          <t>2022-09-11</t>
        </is>
      </c>
      <c r="B5166" t="inlineStr">
        <is>
          <t>13:29</t>
        </is>
      </c>
      <c r="C5166" t="n">
        <v>3054</v>
      </c>
      <c r="D5166" s="6" t="n">
        <v>8.5</v>
      </c>
      <c r="E5166" t="n">
        <v>42205</v>
      </c>
      <c r="F5166" s="6" t="n">
        <v>8.5</v>
      </c>
      <c r="G5166" t="n">
        <v>1</v>
      </c>
      <c r="H5166" s="6">
        <f>ROUND(G5166*F5166,2)</f>
        <v/>
      </c>
      <c r="I5166">
        <f>IF(ROUND(H5166-D5166,2)=0,1,0)</f>
        <v/>
      </c>
      <c r="J5166">
        <f>IF(F5166="","none",IF(G5166=1,"carte","multiple"))</f>
        <v/>
      </c>
    </row>
    <row r="5167">
      <c r="A5167" t="inlineStr">
        <is>
          <t>2022-09-11</t>
        </is>
      </c>
      <c r="B5167" t="inlineStr">
        <is>
          <t>13:29</t>
        </is>
      </c>
      <c r="C5167" t="n">
        <v>3054</v>
      </c>
      <c r="D5167" s="6" t="n">
        <v>28.6</v>
      </c>
      <c r="E5167" t="n">
        <v>42206</v>
      </c>
      <c r="F5167" s="6" t="n">
        <v>28.6</v>
      </c>
      <c r="G5167" t="n">
        <v>1</v>
      </c>
      <c r="H5167" s="6">
        <f>ROUND(G5167*F5167,2)</f>
        <v/>
      </c>
      <c r="I5167">
        <f>IF(ROUND(H5167-D5167,2)=0,1,0)</f>
        <v/>
      </c>
      <c r="J5167">
        <f>IF(F5167="","none",IF(G5167=1,"carte","multiple"))</f>
        <v/>
      </c>
    </row>
    <row r="5168">
      <c r="A5168" t="inlineStr">
        <is>
          <t>2022-09-11</t>
        </is>
      </c>
      <c r="B5168" t="inlineStr">
        <is>
          <t>13:29</t>
        </is>
      </c>
      <c r="C5168" t="n">
        <v>3054</v>
      </c>
      <c r="D5168" s="6" t="n">
        <v>17.6</v>
      </c>
      <c r="E5168" t="n">
        <v>42207</v>
      </c>
      <c r="F5168" s="6" t="n">
        <v>17.6</v>
      </c>
      <c r="G5168" t="n">
        <v>1</v>
      </c>
      <c r="H5168" s="6">
        <f>ROUND(G5168*F5168,2)</f>
        <v/>
      </c>
      <c r="I5168">
        <f>IF(ROUND(H5168-D5168,2)=0,1,0)</f>
        <v/>
      </c>
      <c r="J5168">
        <f>IF(F5168="","none",IF(G5168=1,"carte","multiple"))</f>
        <v/>
      </c>
    </row>
    <row r="5169">
      <c r="A5169" t="inlineStr">
        <is>
          <t>2022-09-11</t>
        </is>
      </c>
      <c r="B5169" t="inlineStr">
        <is>
          <t>13:29</t>
        </is>
      </c>
      <c r="C5169" t="n">
        <v>3054</v>
      </c>
      <c r="D5169" s="6" t="n">
        <v>28</v>
      </c>
      <c r="E5169" t="n">
        <v>42208</v>
      </c>
      <c r="F5169" s="6" t="n">
        <v>28</v>
      </c>
      <c r="G5169" t="n">
        <v>1</v>
      </c>
      <c r="H5169" s="6">
        <f>ROUND(G5169*F5169,2)</f>
        <v/>
      </c>
      <c r="I5169">
        <f>IF(ROUND(H5169-D5169,2)=0,1,0)</f>
        <v/>
      </c>
      <c r="J5169">
        <f>IF(F5169="","none",IF(G5169=1,"carte","multiple"))</f>
        <v/>
      </c>
    </row>
    <row r="5170">
      <c r="A5170" t="inlineStr">
        <is>
          <t>2022-09-11</t>
        </is>
      </c>
      <c r="B5170" t="inlineStr">
        <is>
          <t>13:29</t>
        </is>
      </c>
      <c r="C5170" t="n">
        <v>3054</v>
      </c>
      <c r="D5170" s="6" t="n">
        <v>8.9</v>
      </c>
      <c r="E5170" t="n">
        <v>42209</v>
      </c>
      <c r="F5170" s="6" t="n">
        <v>8.9</v>
      </c>
      <c r="G5170" t="n">
        <v>1</v>
      </c>
      <c r="H5170" s="6">
        <f>ROUND(G5170*F5170,2)</f>
        <v/>
      </c>
      <c r="I5170">
        <f>IF(ROUND(H5170-D5170,2)=0,1,0)</f>
        <v/>
      </c>
      <c r="J5170">
        <f>IF(F5170="","none",IF(G5170=1,"carte","multiple"))</f>
        <v/>
      </c>
    </row>
    <row r="5171">
      <c r="A5171" t="inlineStr">
        <is>
          <t>2022-09-11</t>
        </is>
      </c>
      <c r="B5171" t="inlineStr">
        <is>
          <t>13:29</t>
        </is>
      </c>
      <c r="C5171" t="n">
        <v>3054</v>
      </c>
      <c r="D5171" s="6" t="n">
        <v>3.9</v>
      </c>
      <c r="E5171" t="n">
        <v>42210</v>
      </c>
      <c r="F5171" s="6" t="n">
        <v>3.9</v>
      </c>
      <c r="G5171" t="n">
        <v>1</v>
      </c>
      <c r="H5171" s="6">
        <f>ROUND(G5171*F5171,2)</f>
        <v/>
      </c>
      <c r="I5171">
        <f>IF(ROUND(H5171-D5171,2)=0,1,0)</f>
        <v/>
      </c>
      <c r="J5171">
        <f>IF(F5171="","none",IF(G5171=1,"carte","multiple"))</f>
        <v/>
      </c>
    </row>
    <row r="5172">
      <c r="A5172" t="inlineStr">
        <is>
          <t>2022-09-11</t>
        </is>
      </c>
      <c r="B5172" t="inlineStr">
        <is>
          <t>13:30</t>
        </is>
      </c>
      <c r="C5172" t="n">
        <v>3054</v>
      </c>
      <c r="D5172" s="6" t="n">
        <v>3.9</v>
      </c>
      <c r="E5172" t="n">
        <v>42211</v>
      </c>
      <c r="F5172" s="6" t="n">
        <v>3.9</v>
      </c>
      <c r="G5172" t="n">
        <v>1</v>
      </c>
      <c r="H5172" s="6">
        <f>ROUND(G5172*F5172,2)</f>
        <v/>
      </c>
      <c r="I5172">
        <f>IF(ROUND(H5172-D5172,2)=0,1,0)</f>
        <v/>
      </c>
      <c r="J5172">
        <f>IF(F5172="","none",IF(G5172=1,"carte","multiple"))</f>
        <v/>
      </c>
    </row>
    <row r="5173">
      <c r="A5173" t="inlineStr">
        <is>
          <t>2022-09-11</t>
        </is>
      </c>
      <c r="B5173" t="inlineStr">
        <is>
          <t>13:30</t>
        </is>
      </c>
      <c r="C5173" t="n">
        <v>3054</v>
      </c>
      <c r="D5173" s="6" t="n">
        <v>8.699999999999999</v>
      </c>
      <c r="E5173" t="n">
        <v>42212</v>
      </c>
      <c r="F5173" s="6" t="n">
        <v>8.699999999999999</v>
      </c>
      <c r="G5173" t="n">
        <v>1</v>
      </c>
      <c r="H5173" s="6">
        <f>ROUND(G5173*F5173,2)</f>
        <v/>
      </c>
      <c r="I5173">
        <f>IF(ROUND(H5173-D5173,2)=0,1,0)</f>
        <v/>
      </c>
      <c r="J5173">
        <f>IF(F5173="","none",IF(G5173=1,"carte","multiple"))</f>
        <v/>
      </c>
    </row>
    <row r="5174">
      <c r="A5174" t="inlineStr">
        <is>
          <t>2022-09-11</t>
        </is>
      </c>
      <c r="B5174" t="inlineStr">
        <is>
          <t>13:30</t>
        </is>
      </c>
      <c r="C5174" t="n">
        <v>3054</v>
      </c>
      <c r="D5174" s="6" t="n">
        <v>4.4</v>
      </c>
      <c r="E5174" t="n">
        <v>42213</v>
      </c>
      <c r="F5174" s="6" t="n">
        <v>0.4</v>
      </c>
      <c r="G5174" t="n">
        <v>11</v>
      </c>
      <c r="H5174" s="6">
        <f>ROUND(G5174*F5174,2)</f>
        <v/>
      </c>
      <c r="I5174">
        <f>IF(ROUND(H5174-D5174,2)=0,1,0)</f>
        <v/>
      </c>
      <c r="J5174">
        <f>IF(F5174="","none",IF(G5174=1,"carte","multiple"))</f>
        <v/>
      </c>
    </row>
    <row r="5175">
      <c r="A5175" t="inlineStr">
        <is>
          <t>2022-09-11</t>
        </is>
      </c>
      <c r="B5175" t="inlineStr">
        <is>
          <t>13:30</t>
        </is>
      </c>
      <c r="C5175" t="n">
        <v>3054</v>
      </c>
      <c r="D5175" s="6" t="n">
        <v>35.2</v>
      </c>
      <c r="E5175" t="n">
        <v>42214</v>
      </c>
      <c r="F5175" s="6" t="n">
        <v>0.4</v>
      </c>
      <c r="G5175" t="n">
        <v>88</v>
      </c>
      <c r="H5175" s="6">
        <f>ROUND(G5175*F5175,2)</f>
        <v/>
      </c>
      <c r="I5175">
        <f>IF(ROUND(H5175-D5175,2)=0,1,0)</f>
        <v/>
      </c>
      <c r="J5175">
        <f>IF(F5175="","none",IF(G5175=1,"carte","multiple"))</f>
        <v/>
      </c>
    </row>
    <row r="5176">
      <c r="A5176" t="inlineStr">
        <is>
          <t>2022-09-11</t>
        </is>
      </c>
      <c r="B5176" t="inlineStr">
        <is>
          <t>13:30</t>
        </is>
      </c>
      <c r="C5176" t="n">
        <v>3054</v>
      </c>
      <c r="D5176" s="6" t="n">
        <v>19</v>
      </c>
      <c r="E5176" t="n">
        <v>42215</v>
      </c>
      <c r="F5176" s="6" t="n">
        <v>19</v>
      </c>
      <c r="G5176" t="n">
        <v>1</v>
      </c>
      <c r="H5176" s="6">
        <f>ROUND(G5176*F5176,2)</f>
        <v/>
      </c>
      <c r="I5176">
        <f>IF(ROUND(H5176-D5176,2)=0,1,0)</f>
        <v/>
      </c>
      <c r="J5176">
        <f>IF(F5176="","none",IF(G5176=1,"carte","multiple"))</f>
        <v/>
      </c>
    </row>
    <row r="5177">
      <c r="A5177" t="inlineStr">
        <is>
          <t>2022-09-11</t>
        </is>
      </c>
      <c r="B5177" t="inlineStr">
        <is>
          <t>13:30</t>
        </is>
      </c>
      <c r="C5177" t="n">
        <v>3054</v>
      </c>
      <c r="D5177" s="6" t="n">
        <v>3.8</v>
      </c>
      <c r="E5177" t="n">
        <v>42216</v>
      </c>
      <c r="F5177" s="6" t="n">
        <v>3.8</v>
      </c>
      <c r="G5177" t="n">
        <v>1</v>
      </c>
      <c r="H5177" s="6">
        <f>ROUND(G5177*F5177,2)</f>
        <v/>
      </c>
      <c r="I5177">
        <f>IF(ROUND(H5177-D5177,2)=0,1,0)</f>
        <v/>
      </c>
      <c r="J5177">
        <f>IF(F5177="","none",IF(G5177=1,"carte","multiple"))</f>
        <v/>
      </c>
    </row>
    <row r="5178">
      <c r="A5178" t="inlineStr">
        <is>
          <t>2022-09-11</t>
        </is>
      </c>
      <c r="B5178" t="inlineStr">
        <is>
          <t>13:30</t>
        </is>
      </c>
      <c r="C5178" t="n">
        <v>3054</v>
      </c>
      <c r="D5178" s="6" t="n">
        <v>3.9</v>
      </c>
      <c r="E5178" t="n">
        <v>42217</v>
      </c>
      <c r="F5178" s="6" t="n">
        <v>3.9</v>
      </c>
      <c r="G5178" t="n">
        <v>1</v>
      </c>
      <c r="H5178" s="6">
        <f>ROUND(G5178*F5178,2)</f>
        <v/>
      </c>
      <c r="I5178">
        <f>IF(ROUND(H5178-D5178,2)=0,1,0)</f>
        <v/>
      </c>
      <c r="J5178">
        <f>IF(F5178="","none",IF(G5178=1,"carte","multiple"))</f>
        <v/>
      </c>
    </row>
    <row r="5179">
      <c r="A5179" t="inlineStr">
        <is>
          <t>2022-09-11</t>
        </is>
      </c>
      <c r="B5179" t="inlineStr">
        <is>
          <t>18:01</t>
        </is>
      </c>
      <c r="C5179" t="n">
        <v>3054</v>
      </c>
      <c r="D5179" s="6" t="n">
        <v>17.6</v>
      </c>
      <c r="E5179" t="n">
        <v>42219</v>
      </c>
      <c r="F5179" s="6" t="n">
        <v>17.6</v>
      </c>
      <c r="G5179" t="n">
        <v>1</v>
      </c>
      <c r="H5179" s="6">
        <f>ROUND(G5179*F5179,2)</f>
        <v/>
      </c>
      <c r="I5179">
        <f>IF(ROUND(H5179-D5179,2)=0,1,0)</f>
        <v/>
      </c>
      <c r="J5179">
        <f>IF(F5179="","none",IF(G5179=1,"carte","multiple"))</f>
        <v/>
      </c>
    </row>
    <row r="5180">
      <c r="A5180" t="inlineStr">
        <is>
          <t>2022-09-11</t>
        </is>
      </c>
      <c r="B5180" t="inlineStr">
        <is>
          <t>18:47</t>
        </is>
      </c>
      <c r="C5180" t="n">
        <v>3054</v>
      </c>
      <c r="D5180" s="6" t="n">
        <v>2.9</v>
      </c>
      <c r="E5180" t="n">
        <v>42220</v>
      </c>
      <c r="F5180" s="6" t="n">
        <v>2.9</v>
      </c>
      <c r="G5180" t="n">
        <v>1</v>
      </c>
      <c r="H5180" s="6">
        <f>ROUND(G5180*F5180,2)</f>
        <v/>
      </c>
      <c r="I5180">
        <f>IF(ROUND(H5180-D5180,2)=0,1,0)</f>
        <v/>
      </c>
      <c r="J5180">
        <f>IF(F5180="","none",IF(G5180=1,"carte","multiple"))</f>
        <v/>
      </c>
    </row>
    <row r="5181">
      <c r="A5181" t="inlineStr">
        <is>
          <t>2022-09-11</t>
        </is>
      </c>
      <c r="B5181" t="inlineStr">
        <is>
          <t>18:47</t>
        </is>
      </c>
      <c r="C5181" t="n">
        <v>3054</v>
      </c>
      <c r="D5181" s="6" t="n">
        <v>0.9</v>
      </c>
      <c r="E5181" t="n">
        <v>42221</v>
      </c>
      <c r="F5181" s="6" t="n">
        <v>0.9</v>
      </c>
      <c r="G5181" t="n">
        <v>1</v>
      </c>
      <c r="H5181" s="6">
        <f>ROUND(G5181*F5181,2)</f>
        <v/>
      </c>
      <c r="I5181">
        <f>IF(ROUND(H5181-D5181,2)=0,1,0)</f>
        <v/>
      </c>
      <c r="J5181">
        <f>IF(F5181="","none",IF(G5181=1,"carte","multiple"))</f>
        <v/>
      </c>
    </row>
    <row r="5182">
      <c r="A5182" t="inlineStr">
        <is>
          <t>2022-09-11</t>
        </is>
      </c>
      <c r="B5182" t="inlineStr">
        <is>
          <t>18:47</t>
        </is>
      </c>
      <c r="C5182" t="n">
        <v>3054</v>
      </c>
      <c r="D5182" s="6" t="n">
        <v>3.8</v>
      </c>
      <c r="E5182" t="n">
        <v>42222</v>
      </c>
      <c r="F5182" s="6" t="n">
        <v>3.8</v>
      </c>
      <c r="G5182" t="n">
        <v>1</v>
      </c>
      <c r="H5182" s="6">
        <f>ROUND(G5182*F5182,2)</f>
        <v/>
      </c>
      <c r="I5182">
        <f>IF(ROUND(H5182-D5182,2)=0,1,0)</f>
        <v/>
      </c>
      <c r="J5182">
        <f>IF(F5182="","none",IF(G5182=1,"carte","multiple"))</f>
        <v/>
      </c>
    </row>
    <row r="5183">
      <c r="A5183" t="inlineStr">
        <is>
          <t>2022-09-11</t>
        </is>
      </c>
      <c r="B5183" t="inlineStr">
        <is>
          <t>18:47</t>
        </is>
      </c>
      <c r="C5183" t="n">
        <v>3054</v>
      </c>
      <c r="D5183" s="6" t="n">
        <v>4</v>
      </c>
      <c r="E5183" t="n">
        <v>42223</v>
      </c>
      <c r="F5183" s="6" t="n">
        <v>4</v>
      </c>
      <c r="G5183" t="n">
        <v>1</v>
      </c>
      <c r="H5183" s="6">
        <f>ROUND(G5183*F5183,2)</f>
        <v/>
      </c>
      <c r="I5183">
        <f>IF(ROUND(H5183-D5183,2)=0,1,0)</f>
        <v/>
      </c>
      <c r="J5183">
        <f>IF(F5183="","none",IF(G5183=1,"carte","multiple"))</f>
        <v/>
      </c>
    </row>
    <row r="5184">
      <c r="A5184" t="inlineStr">
        <is>
          <t>2022-09-11</t>
        </is>
      </c>
      <c r="B5184" t="inlineStr">
        <is>
          <t>18:47</t>
        </is>
      </c>
      <c r="C5184" t="n">
        <v>3054</v>
      </c>
      <c r="D5184" s="6" t="n">
        <v>3.2</v>
      </c>
      <c r="E5184" t="n">
        <v>42224</v>
      </c>
      <c r="F5184" s="6" t="n">
        <v>3.2</v>
      </c>
      <c r="G5184" t="n">
        <v>1</v>
      </c>
      <c r="H5184" s="6">
        <f>ROUND(G5184*F5184,2)</f>
        <v/>
      </c>
      <c r="I5184">
        <f>IF(ROUND(H5184-D5184,2)=0,1,0)</f>
        <v/>
      </c>
      <c r="J5184">
        <f>IF(F5184="","none",IF(G5184=1,"carte","multiple"))</f>
        <v/>
      </c>
    </row>
    <row r="5185">
      <c r="A5185" t="inlineStr">
        <is>
          <t>2022-09-11</t>
        </is>
      </c>
      <c r="B5185" t="inlineStr">
        <is>
          <t>18:47</t>
        </is>
      </c>
      <c r="C5185" t="n">
        <v>3054</v>
      </c>
      <c r="D5185" s="6" t="n">
        <v>48</v>
      </c>
      <c r="E5185" t="n">
        <v>42225</v>
      </c>
      <c r="F5185" s="6" t="n">
        <v>0.4</v>
      </c>
      <c r="G5185" t="n">
        <v>120</v>
      </c>
      <c r="H5185" s="6">
        <f>ROUND(G5185*F5185,2)</f>
        <v/>
      </c>
      <c r="I5185">
        <f>IF(ROUND(H5185-D5185,2)=0,1,0)</f>
        <v/>
      </c>
      <c r="J5185">
        <f>IF(F5185="","none",IF(G5185=1,"carte","multiple"))</f>
        <v/>
      </c>
    </row>
    <row r="5186">
      <c r="A5186" t="inlineStr">
        <is>
          <t>2022-09-11</t>
        </is>
      </c>
      <c r="B5186" t="inlineStr">
        <is>
          <t>18:55</t>
        </is>
      </c>
      <c r="C5186" t="n">
        <v>3054</v>
      </c>
      <c r="D5186" s="6" t="n">
        <v>3.4</v>
      </c>
      <c r="E5186" t="n">
        <v>42226</v>
      </c>
      <c r="F5186" s="6" t="n">
        <v>3.4</v>
      </c>
      <c r="G5186" t="n">
        <v>1</v>
      </c>
      <c r="H5186" s="6">
        <f>ROUND(G5186*F5186,2)</f>
        <v/>
      </c>
      <c r="I5186">
        <f>IF(ROUND(H5186-D5186,2)=0,1,0)</f>
        <v/>
      </c>
      <c r="J5186">
        <f>IF(F5186="","none",IF(G5186=1,"carte","multiple"))</f>
        <v/>
      </c>
    </row>
    <row r="5187">
      <c r="A5187" t="inlineStr">
        <is>
          <t>2022-09-11</t>
        </is>
      </c>
      <c r="B5187" t="inlineStr">
        <is>
          <t>18:56</t>
        </is>
      </c>
      <c r="C5187" t="n">
        <v>3054</v>
      </c>
      <c r="D5187" s="6" t="n">
        <v>9.4</v>
      </c>
      <c r="E5187" t="n">
        <v>42227</v>
      </c>
      <c r="F5187" s="6" t="n">
        <v>9.4</v>
      </c>
      <c r="G5187" t="n">
        <v>1</v>
      </c>
      <c r="H5187" s="6">
        <f>ROUND(G5187*F5187,2)</f>
        <v/>
      </c>
      <c r="I5187">
        <f>IF(ROUND(H5187-D5187,2)=0,1,0)</f>
        <v/>
      </c>
      <c r="J5187">
        <f>IF(F5187="","none",IF(G5187=1,"carte","multiple"))</f>
        <v/>
      </c>
    </row>
    <row r="5188">
      <c r="A5188" t="inlineStr">
        <is>
          <t>2022-09-11</t>
        </is>
      </c>
      <c r="B5188" t="inlineStr">
        <is>
          <t>18:56</t>
        </is>
      </c>
      <c r="C5188" t="n">
        <v>3054</v>
      </c>
      <c r="D5188" s="6" t="n">
        <v>10.9</v>
      </c>
      <c r="E5188" t="n">
        <v>42228</v>
      </c>
      <c r="F5188" s="6" t="n">
        <v>10.9</v>
      </c>
      <c r="G5188" t="n">
        <v>1</v>
      </c>
      <c r="H5188" s="6">
        <f>ROUND(G5188*F5188,2)</f>
        <v/>
      </c>
      <c r="I5188">
        <f>IF(ROUND(H5188-D5188,2)=0,1,0)</f>
        <v/>
      </c>
      <c r="J5188">
        <f>IF(F5188="","none",IF(G5188=1,"carte","multiple"))</f>
        <v/>
      </c>
    </row>
    <row r="5189">
      <c r="A5189" t="inlineStr">
        <is>
          <t>2022-09-11</t>
        </is>
      </c>
      <c r="B5189" t="inlineStr">
        <is>
          <t>18:56</t>
        </is>
      </c>
      <c r="C5189" t="n">
        <v>3054</v>
      </c>
      <c r="D5189" s="6" t="n">
        <v>9.699999999999999</v>
      </c>
      <c r="E5189" t="n">
        <v>42229</v>
      </c>
      <c r="F5189" s="6" t="n">
        <v>9.699999999999999</v>
      </c>
      <c r="G5189" t="n">
        <v>1</v>
      </c>
      <c r="H5189" s="6">
        <f>ROUND(G5189*F5189,2)</f>
        <v/>
      </c>
      <c r="I5189">
        <f>IF(ROUND(H5189-D5189,2)=0,1,0)</f>
        <v/>
      </c>
      <c r="J5189">
        <f>IF(F5189="","none",IF(G5189=1,"carte","multiple"))</f>
        <v/>
      </c>
    </row>
    <row r="5190">
      <c r="A5190" t="inlineStr">
        <is>
          <t>2022-09-11</t>
        </is>
      </c>
      <c r="B5190" t="inlineStr">
        <is>
          <t>18:56</t>
        </is>
      </c>
      <c r="C5190" t="n">
        <v>3054</v>
      </c>
      <c r="D5190" s="6" t="n">
        <v>14</v>
      </c>
      <c r="E5190" t="n">
        <v>42230</v>
      </c>
      <c r="F5190" s="6" t="n">
        <v>14</v>
      </c>
      <c r="G5190" t="n">
        <v>1</v>
      </c>
      <c r="H5190" s="6">
        <f>ROUND(G5190*F5190,2)</f>
        <v/>
      </c>
      <c r="I5190">
        <f>IF(ROUND(H5190-D5190,2)=0,1,0)</f>
        <v/>
      </c>
      <c r="J5190">
        <f>IF(F5190="","none",IF(G5190=1,"carte","multiple"))</f>
        <v/>
      </c>
    </row>
    <row r="5191">
      <c r="A5191" t="inlineStr">
        <is>
          <t>2022-09-11</t>
        </is>
      </c>
      <c r="B5191" t="inlineStr">
        <is>
          <t>18:56</t>
        </is>
      </c>
      <c r="C5191" t="n">
        <v>3054</v>
      </c>
      <c r="D5191" s="6" t="n">
        <v>19</v>
      </c>
      <c r="E5191" t="n">
        <v>42231</v>
      </c>
      <c r="F5191" s="6" t="n">
        <v>19</v>
      </c>
      <c r="G5191" t="n">
        <v>1</v>
      </c>
      <c r="H5191" s="6">
        <f>ROUND(G5191*F5191,2)</f>
        <v/>
      </c>
      <c r="I5191">
        <f>IF(ROUND(H5191-D5191,2)=0,1,0)</f>
        <v/>
      </c>
      <c r="J5191">
        <f>IF(F5191="","none",IF(G5191=1,"carte","multiple"))</f>
        <v/>
      </c>
    </row>
    <row r="5192">
      <c r="A5192" t="inlineStr">
        <is>
          <t>2022-09-11</t>
        </is>
      </c>
      <c r="B5192" t="inlineStr">
        <is>
          <t>18:56</t>
        </is>
      </c>
      <c r="C5192" t="n">
        <v>3054</v>
      </c>
      <c r="D5192" s="6" t="n">
        <v>38</v>
      </c>
      <c r="E5192" t="n">
        <v>42232</v>
      </c>
      <c r="F5192" s="6" t="n">
        <v>0.4</v>
      </c>
      <c r="G5192" t="n">
        <v>95</v>
      </c>
      <c r="H5192" s="6">
        <f>ROUND(G5192*F5192,2)</f>
        <v/>
      </c>
      <c r="I5192">
        <f>IF(ROUND(H5192-D5192,2)=0,1,0)</f>
        <v/>
      </c>
      <c r="J5192">
        <f>IF(F5192="","none",IF(G5192=1,"carte","multiple"))</f>
        <v/>
      </c>
    </row>
    <row r="5193">
      <c r="A5193" t="inlineStr">
        <is>
          <t>2022-09-11</t>
        </is>
      </c>
      <c r="B5193" t="inlineStr">
        <is>
          <t>18:56</t>
        </is>
      </c>
      <c r="C5193" t="n">
        <v>3054</v>
      </c>
      <c r="D5193" s="6" t="n">
        <v>17.6</v>
      </c>
      <c r="E5193" t="n">
        <v>42233</v>
      </c>
      <c r="F5193" s="6" t="n">
        <v>17.6</v>
      </c>
      <c r="G5193" t="n">
        <v>1</v>
      </c>
      <c r="H5193" s="6">
        <f>ROUND(G5193*F5193,2)</f>
        <v/>
      </c>
      <c r="I5193">
        <f>IF(ROUND(H5193-D5193,2)=0,1,0)</f>
        <v/>
      </c>
      <c r="J5193">
        <f>IF(F5193="","none",IF(G5193=1,"carte","multiple"))</f>
        <v/>
      </c>
    </row>
    <row r="5194">
      <c r="A5194" t="inlineStr">
        <is>
          <t>2022-09-11</t>
        </is>
      </c>
      <c r="B5194" t="inlineStr">
        <is>
          <t>18:56</t>
        </is>
      </c>
      <c r="C5194" t="n">
        <v>3054</v>
      </c>
      <c r="D5194" s="6" t="n">
        <v>15.9</v>
      </c>
      <c r="E5194" t="n">
        <v>42234</v>
      </c>
      <c r="F5194" s="6" t="n">
        <v>15.9</v>
      </c>
      <c r="G5194" t="n">
        <v>1</v>
      </c>
      <c r="H5194" s="6">
        <f>ROUND(G5194*F5194,2)</f>
        <v/>
      </c>
      <c r="I5194">
        <f>IF(ROUND(H5194-D5194,2)=0,1,0)</f>
        <v/>
      </c>
      <c r="J5194">
        <f>IF(F5194="","none",IF(G5194=1,"carte","multiple"))</f>
        <v/>
      </c>
    </row>
    <row r="5195">
      <c r="A5195" t="inlineStr">
        <is>
          <t>2022-09-11</t>
        </is>
      </c>
      <c r="B5195" t="inlineStr">
        <is>
          <t>18:56</t>
        </is>
      </c>
      <c r="C5195" t="n">
        <v>3054</v>
      </c>
      <c r="D5195" s="6" t="n">
        <v>5.9</v>
      </c>
      <c r="E5195" t="n">
        <v>42235</v>
      </c>
      <c r="F5195" s="6" t="n">
        <v>5.9</v>
      </c>
      <c r="G5195" t="n">
        <v>1</v>
      </c>
      <c r="H5195" s="6">
        <f>ROUND(G5195*F5195,2)</f>
        <v/>
      </c>
      <c r="I5195">
        <f>IF(ROUND(H5195-D5195,2)=0,1,0)</f>
        <v/>
      </c>
      <c r="J5195">
        <f>IF(F5195="","none",IF(G5195=1,"carte","multiple"))</f>
        <v/>
      </c>
    </row>
    <row r="5196">
      <c r="A5196" t="inlineStr">
        <is>
          <t>2022-09-11</t>
        </is>
      </c>
      <c r="B5196" t="inlineStr">
        <is>
          <t>19:19</t>
        </is>
      </c>
      <c r="C5196" t="n">
        <v>3054</v>
      </c>
      <c r="D5196" s="6" t="n">
        <v>10.4</v>
      </c>
      <c r="E5196" t="n">
        <v>42236</v>
      </c>
      <c r="F5196" s="6" t="n">
        <v>0.4</v>
      </c>
      <c r="G5196" t="n">
        <v>26</v>
      </c>
      <c r="H5196" s="6">
        <f>ROUND(G5196*F5196,2)</f>
        <v/>
      </c>
      <c r="I5196">
        <f>IF(ROUND(H5196-D5196,2)=0,1,0)</f>
        <v/>
      </c>
      <c r="J5196">
        <f>IF(F5196="","none",IF(G5196=1,"carte","multiple"))</f>
        <v/>
      </c>
    </row>
    <row r="5197">
      <c r="A5197" t="inlineStr">
        <is>
          <t>2022-09-11</t>
        </is>
      </c>
      <c r="B5197" t="inlineStr">
        <is>
          <t>19:19</t>
        </is>
      </c>
      <c r="C5197" t="n">
        <v>3054</v>
      </c>
      <c r="D5197" s="6" t="n">
        <v>7</v>
      </c>
      <c r="E5197" t="n">
        <v>42237</v>
      </c>
      <c r="F5197" s="6" t="n">
        <v>7</v>
      </c>
      <c r="G5197" t="n">
        <v>1</v>
      </c>
      <c r="H5197" s="6">
        <f>ROUND(G5197*F5197,2)</f>
        <v/>
      </c>
      <c r="I5197">
        <f>IF(ROUND(H5197-D5197,2)=0,1,0)</f>
        <v/>
      </c>
      <c r="J5197">
        <f>IF(F5197="","none",IF(G5197=1,"carte","multiple"))</f>
        <v/>
      </c>
    </row>
    <row r="5198">
      <c r="A5198" t="inlineStr">
        <is>
          <t>2022-09-11</t>
        </is>
      </c>
      <c r="B5198" t="inlineStr">
        <is>
          <t>19:19</t>
        </is>
      </c>
      <c r="C5198" t="n">
        <v>3054</v>
      </c>
      <c r="D5198" s="6" t="n">
        <v>7.2</v>
      </c>
      <c r="E5198" t="n">
        <v>42238</v>
      </c>
      <c r="F5198" s="6" t="n">
        <v>7.2</v>
      </c>
      <c r="G5198" t="n">
        <v>1</v>
      </c>
      <c r="H5198" s="6">
        <f>ROUND(G5198*F5198,2)</f>
        <v/>
      </c>
      <c r="I5198">
        <f>IF(ROUND(H5198-D5198,2)=0,1,0)</f>
        <v/>
      </c>
      <c r="J5198">
        <f>IF(F5198="","none",IF(G5198=1,"carte","multiple"))</f>
        <v/>
      </c>
    </row>
    <row r="5199">
      <c r="A5199" t="inlineStr">
        <is>
          <t>2022-09-11</t>
        </is>
      </c>
      <c r="B5199" t="inlineStr">
        <is>
          <t>19:19</t>
        </is>
      </c>
      <c r="C5199" t="n">
        <v>3054</v>
      </c>
      <c r="D5199" s="6" t="n">
        <v>19.2</v>
      </c>
      <c r="E5199" t="n">
        <v>42239</v>
      </c>
      <c r="F5199" s="6" t="n">
        <v>0.4</v>
      </c>
      <c r="G5199" t="n">
        <v>48</v>
      </c>
      <c r="H5199" s="6">
        <f>ROUND(G5199*F5199,2)</f>
        <v/>
      </c>
      <c r="I5199">
        <f>IF(ROUND(H5199-D5199,2)=0,1,0)</f>
        <v/>
      </c>
      <c r="J5199">
        <f>IF(F5199="","none",IF(G5199=1,"carte","multiple"))</f>
        <v/>
      </c>
    </row>
    <row r="5200">
      <c r="A5200" t="inlineStr">
        <is>
          <t>2022-09-11</t>
        </is>
      </c>
      <c r="B5200" t="inlineStr">
        <is>
          <t>19:19</t>
        </is>
      </c>
      <c r="C5200" t="n">
        <v>3054</v>
      </c>
      <c r="D5200" s="6" t="n">
        <v>17.6</v>
      </c>
      <c r="E5200" t="n">
        <v>42240</v>
      </c>
      <c r="F5200" s="6" t="n">
        <v>17.6</v>
      </c>
      <c r="G5200" t="n">
        <v>1</v>
      </c>
      <c r="H5200" s="6">
        <f>ROUND(G5200*F5200,2)</f>
        <v/>
      </c>
      <c r="I5200">
        <f>IF(ROUND(H5200-D5200,2)=0,1,0)</f>
        <v/>
      </c>
      <c r="J5200">
        <f>IF(F5200="","none",IF(G5200=1,"carte","multiple"))</f>
        <v/>
      </c>
    </row>
    <row r="5201">
      <c r="A5201" t="inlineStr">
        <is>
          <t>2022-09-11</t>
        </is>
      </c>
      <c r="B5201" t="inlineStr">
        <is>
          <t>19:19</t>
        </is>
      </c>
      <c r="C5201" t="n">
        <v>3054</v>
      </c>
      <c r="D5201" s="6" t="n">
        <v>17.6</v>
      </c>
      <c r="E5201" t="n">
        <v>42241</v>
      </c>
      <c r="F5201" s="6" t="n">
        <v>17.6</v>
      </c>
      <c r="G5201" t="n">
        <v>1</v>
      </c>
      <c r="H5201" s="6">
        <f>ROUND(G5201*F5201,2)</f>
        <v/>
      </c>
      <c r="I5201">
        <f>IF(ROUND(H5201-D5201,2)=0,1,0)</f>
        <v/>
      </c>
      <c r="J5201">
        <f>IF(F5201="","none",IF(G5201=1,"carte","multiple"))</f>
        <v/>
      </c>
    </row>
    <row r="5202">
      <c r="A5202" t="inlineStr">
        <is>
          <t>2022-09-11</t>
        </is>
      </c>
      <c r="B5202" t="inlineStr">
        <is>
          <t>19:19</t>
        </is>
      </c>
      <c r="C5202" t="n">
        <v>3054</v>
      </c>
      <c r="D5202" s="6" t="n">
        <v>57.2</v>
      </c>
      <c r="E5202" t="n">
        <v>42242</v>
      </c>
      <c r="F5202" s="6" t="n">
        <v>0.4</v>
      </c>
      <c r="G5202" t="n">
        <v>143</v>
      </c>
      <c r="H5202" s="6">
        <f>ROUND(G5202*F5202,2)</f>
        <v/>
      </c>
      <c r="I5202">
        <f>IF(ROUND(H5202-D5202,2)=0,1,0)</f>
        <v/>
      </c>
      <c r="J5202">
        <f>IF(F5202="","none",IF(G5202=1,"carte","multiple"))</f>
        <v/>
      </c>
    </row>
    <row r="5203">
      <c r="A5203" t="inlineStr">
        <is>
          <t>2022-09-11</t>
        </is>
      </c>
      <c r="B5203" t="inlineStr">
        <is>
          <t>19:19</t>
        </is>
      </c>
      <c r="C5203" t="n">
        <v>3054</v>
      </c>
      <c r="D5203" s="6" t="n">
        <v>17.8</v>
      </c>
      <c r="E5203" t="n">
        <v>42243</v>
      </c>
      <c r="F5203" s="6" t="n">
        <v>8.9</v>
      </c>
      <c r="G5203" t="n">
        <v>2</v>
      </c>
      <c r="H5203" s="6">
        <f>ROUND(G5203*F5203,2)</f>
        <v/>
      </c>
      <c r="I5203">
        <f>IF(ROUND(H5203-D5203,2)=0,1,0)</f>
        <v/>
      </c>
      <c r="J5203">
        <f>IF(F5203="","none",IF(G5203=1,"carte","multiple"))</f>
        <v/>
      </c>
    </row>
    <row r="5204">
      <c r="A5204" t="inlineStr">
        <is>
          <t>2022-09-11</t>
        </is>
      </c>
      <c r="B5204" t="inlineStr">
        <is>
          <t>19:19</t>
        </is>
      </c>
      <c r="C5204" t="n">
        <v>3054</v>
      </c>
      <c r="D5204" s="6" t="n">
        <v>39.5</v>
      </c>
      <c r="E5204" t="n">
        <v>42244</v>
      </c>
      <c r="F5204" s="6" t="n">
        <v>39.5</v>
      </c>
      <c r="G5204" t="n">
        <v>1</v>
      </c>
      <c r="H5204" s="6">
        <f>ROUND(G5204*F5204,2)</f>
        <v/>
      </c>
      <c r="I5204">
        <f>IF(ROUND(H5204-D5204,2)=0,1,0)</f>
        <v/>
      </c>
      <c r="J5204">
        <f>IF(F5204="","none",IF(G5204=1,"carte","multiple"))</f>
        <v/>
      </c>
    </row>
    <row r="5205">
      <c r="A5205" t="inlineStr">
        <is>
          <t>2022-09-11</t>
        </is>
      </c>
      <c r="B5205" t="inlineStr">
        <is>
          <t>19:48</t>
        </is>
      </c>
      <c r="C5205" t="n">
        <v>3054</v>
      </c>
      <c r="D5205" s="6" t="n">
        <v>6.9</v>
      </c>
      <c r="E5205" t="n">
        <v>42245</v>
      </c>
      <c r="F5205" s="6" t="n">
        <v>6.9</v>
      </c>
      <c r="G5205" t="n">
        <v>1</v>
      </c>
      <c r="H5205" s="6">
        <f>ROUND(G5205*F5205,2)</f>
        <v/>
      </c>
      <c r="I5205">
        <f>IF(ROUND(H5205-D5205,2)=0,1,0)</f>
        <v/>
      </c>
      <c r="J5205">
        <f>IF(F5205="","none",IF(G5205=1,"carte","multiple"))</f>
        <v/>
      </c>
    </row>
    <row r="5206">
      <c r="A5206" t="inlineStr">
        <is>
          <t>2022-09-11</t>
        </is>
      </c>
      <c r="B5206" t="inlineStr">
        <is>
          <t>19:48</t>
        </is>
      </c>
      <c r="C5206" t="n">
        <v>3054</v>
      </c>
      <c r="D5206" s="6" t="n">
        <v>4.7</v>
      </c>
      <c r="E5206" t="n">
        <v>42246</v>
      </c>
      <c r="F5206" s="6" t="n">
        <v>4.7</v>
      </c>
      <c r="G5206" t="n">
        <v>1</v>
      </c>
      <c r="H5206" s="6">
        <f>ROUND(G5206*F5206,2)</f>
        <v/>
      </c>
      <c r="I5206">
        <f>IF(ROUND(H5206-D5206,2)=0,1,0)</f>
        <v/>
      </c>
      <c r="J5206">
        <f>IF(F5206="","none",IF(G5206=1,"carte","multiple"))</f>
        <v/>
      </c>
    </row>
    <row r="5207">
      <c r="A5207" t="inlineStr">
        <is>
          <t>2022-09-11</t>
        </is>
      </c>
      <c r="B5207" t="inlineStr">
        <is>
          <t>19:48</t>
        </is>
      </c>
      <c r="C5207" t="n">
        <v>3054</v>
      </c>
      <c r="D5207" s="6" t="n">
        <v>4.6</v>
      </c>
      <c r="E5207" t="n">
        <v>42247</v>
      </c>
      <c r="F5207" s="6" t="n">
        <v>4.6</v>
      </c>
      <c r="G5207" t="n">
        <v>1</v>
      </c>
      <c r="H5207" s="6">
        <f>ROUND(G5207*F5207,2)</f>
        <v/>
      </c>
      <c r="I5207">
        <f>IF(ROUND(H5207-D5207,2)=0,1,0)</f>
        <v/>
      </c>
      <c r="J5207">
        <f>IF(F5207="","none",IF(G5207=1,"carte","multiple"))</f>
        <v/>
      </c>
    </row>
    <row r="5208">
      <c r="A5208" t="inlineStr">
        <is>
          <t>2022-09-11</t>
        </is>
      </c>
      <c r="B5208" t="inlineStr">
        <is>
          <t>19:48</t>
        </is>
      </c>
      <c r="C5208" t="n">
        <v>3054</v>
      </c>
      <c r="D5208" s="6" t="n">
        <v>2.9</v>
      </c>
      <c r="E5208" t="n">
        <v>42248</v>
      </c>
      <c r="F5208" s="6" t="n">
        <v>2.9</v>
      </c>
      <c r="G5208" t="n">
        <v>1</v>
      </c>
      <c r="H5208" s="6">
        <f>ROUND(G5208*F5208,2)</f>
        <v/>
      </c>
      <c r="I5208">
        <f>IF(ROUND(H5208-D5208,2)=0,1,0)</f>
        <v/>
      </c>
      <c r="J5208">
        <f>IF(F5208="","none",IF(G5208=1,"carte","multiple"))</f>
        <v/>
      </c>
    </row>
    <row r="5209">
      <c r="A5209" t="inlineStr">
        <is>
          <t>2022-09-11</t>
        </is>
      </c>
      <c r="B5209" t="inlineStr">
        <is>
          <t>19:48</t>
        </is>
      </c>
      <c r="C5209" t="n">
        <v>3054</v>
      </c>
      <c r="D5209" s="6" t="n">
        <v>3.9</v>
      </c>
      <c r="E5209" t="n">
        <v>42249</v>
      </c>
      <c r="F5209" s="6" t="n">
        <v>3.9</v>
      </c>
      <c r="G5209" t="n">
        <v>1</v>
      </c>
      <c r="H5209" s="6">
        <f>ROUND(G5209*F5209,2)</f>
        <v/>
      </c>
      <c r="I5209">
        <f>IF(ROUND(H5209-D5209,2)=0,1,0)</f>
        <v/>
      </c>
      <c r="J5209">
        <f>IF(F5209="","none",IF(G5209=1,"carte","multiple"))</f>
        <v/>
      </c>
    </row>
    <row r="5210">
      <c r="A5210" t="inlineStr">
        <is>
          <t>2022-09-11</t>
        </is>
      </c>
      <c r="B5210" t="inlineStr">
        <is>
          <t>19:48</t>
        </is>
      </c>
      <c r="C5210" t="n">
        <v>3054</v>
      </c>
      <c r="D5210" s="6" t="n">
        <v>18</v>
      </c>
      <c r="E5210" t="n">
        <v>42250</v>
      </c>
      <c r="F5210" s="6" t="n">
        <v>18</v>
      </c>
      <c r="G5210" t="n">
        <v>1</v>
      </c>
      <c r="H5210" s="6">
        <f>ROUND(G5210*F5210,2)</f>
        <v/>
      </c>
      <c r="I5210">
        <f>IF(ROUND(H5210-D5210,2)=0,1,0)</f>
        <v/>
      </c>
      <c r="J5210">
        <f>IF(F5210="","none",IF(G5210=1,"carte","multiple"))</f>
        <v/>
      </c>
    </row>
    <row r="5211">
      <c r="A5211" t="inlineStr">
        <is>
          <t>2022-09-11</t>
        </is>
      </c>
      <c r="B5211" t="inlineStr">
        <is>
          <t>19:48</t>
        </is>
      </c>
      <c r="C5211" t="n">
        <v>3054</v>
      </c>
      <c r="D5211" s="6" t="n">
        <v>29.8</v>
      </c>
      <c r="E5211" t="n">
        <v>42251</v>
      </c>
      <c r="F5211" s="6" t="n">
        <v>14.9</v>
      </c>
      <c r="G5211" t="n">
        <v>2</v>
      </c>
      <c r="H5211" s="6">
        <f>ROUND(G5211*F5211,2)</f>
        <v/>
      </c>
      <c r="I5211">
        <f>IF(ROUND(H5211-D5211,2)=0,1,0)</f>
        <v/>
      </c>
      <c r="J5211">
        <f>IF(F5211="","none",IF(G5211=1,"carte","multiple"))</f>
        <v/>
      </c>
    </row>
    <row r="5212">
      <c r="A5212" t="inlineStr">
        <is>
          <t>2022-09-11</t>
        </is>
      </c>
      <c r="B5212" t="inlineStr">
        <is>
          <t>19:48</t>
        </is>
      </c>
      <c r="C5212" t="n">
        <v>3054</v>
      </c>
      <c r="D5212" s="6" t="n">
        <v>11.6</v>
      </c>
      <c r="E5212" t="n">
        <v>42252</v>
      </c>
      <c r="F5212" s="6" t="n">
        <v>11.6</v>
      </c>
      <c r="G5212" t="n">
        <v>1</v>
      </c>
      <c r="H5212" s="6">
        <f>ROUND(G5212*F5212,2)</f>
        <v/>
      </c>
      <c r="I5212">
        <f>IF(ROUND(H5212-D5212,2)=0,1,0)</f>
        <v/>
      </c>
      <c r="J5212">
        <f>IF(F5212="","none",IF(G5212=1,"carte","multiple"))</f>
        <v/>
      </c>
    </row>
    <row r="5213">
      <c r="A5213" t="inlineStr">
        <is>
          <t>2022-09-11</t>
        </is>
      </c>
      <c r="B5213" t="inlineStr">
        <is>
          <t>19:48</t>
        </is>
      </c>
      <c r="C5213" t="n">
        <v>3054</v>
      </c>
      <c r="D5213" s="6" t="n">
        <v>8.800000000000001</v>
      </c>
      <c r="E5213" t="n">
        <v>42253</v>
      </c>
      <c r="F5213" s="6" t="n">
        <v>8.800000000000001</v>
      </c>
      <c r="G5213" t="n">
        <v>1</v>
      </c>
      <c r="H5213" s="6">
        <f>ROUND(G5213*F5213,2)</f>
        <v/>
      </c>
      <c r="I5213">
        <f>IF(ROUND(H5213-D5213,2)=0,1,0)</f>
        <v/>
      </c>
      <c r="J5213">
        <f>IF(F5213="","none",IF(G5213=1,"carte","multiple"))</f>
        <v/>
      </c>
    </row>
    <row r="5214">
      <c r="A5214" t="inlineStr">
        <is>
          <t>2022-09-11</t>
        </is>
      </c>
      <c r="B5214" t="inlineStr">
        <is>
          <t>19:48</t>
        </is>
      </c>
      <c r="C5214" t="n">
        <v>3054</v>
      </c>
      <c r="D5214" s="6" t="n">
        <v>17.6</v>
      </c>
      <c r="E5214" t="n">
        <v>42254</v>
      </c>
      <c r="F5214" s="6" t="n">
        <v>17.6</v>
      </c>
      <c r="G5214" t="n">
        <v>1</v>
      </c>
      <c r="H5214" s="6">
        <f>ROUND(G5214*F5214,2)</f>
        <v/>
      </c>
      <c r="I5214">
        <f>IF(ROUND(H5214-D5214,2)=0,1,0)</f>
        <v/>
      </c>
      <c r="J5214">
        <f>IF(F5214="","none",IF(G5214=1,"carte","multiple"))</f>
        <v/>
      </c>
    </row>
    <row r="5215">
      <c r="A5215" t="inlineStr">
        <is>
          <t>2022-09-11</t>
        </is>
      </c>
      <c r="B5215" t="inlineStr">
        <is>
          <t>19:48</t>
        </is>
      </c>
      <c r="C5215" t="n">
        <v>3054</v>
      </c>
      <c r="D5215" s="6" t="n">
        <v>5.9</v>
      </c>
      <c r="E5215" t="n">
        <v>42255</v>
      </c>
      <c r="F5215" s="6" t="n">
        <v>5.9</v>
      </c>
      <c r="G5215" t="n">
        <v>1</v>
      </c>
      <c r="H5215" s="6">
        <f>ROUND(G5215*F5215,2)</f>
        <v/>
      </c>
      <c r="I5215">
        <f>IF(ROUND(H5215-D5215,2)=0,1,0)</f>
        <v/>
      </c>
      <c r="J5215">
        <f>IF(F5215="","none",IF(G5215=1,"carte","multiple"))</f>
        <v/>
      </c>
    </row>
    <row r="5216">
      <c r="A5216" t="inlineStr">
        <is>
          <t>2022-09-11</t>
        </is>
      </c>
      <c r="B5216" t="inlineStr">
        <is>
          <t>19:48</t>
        </is>
      </c>
      <c r="C5216" t="n">
        <v>3054</v>
      </c>
      <c r="D5216" s="6" t="n">
        <v>16.9</v>
      </c>
      <c r="E5216" t="n">
        <v>42256</v>
      </c>
      <c r="F5216" s="6" t="n">
        <v>16.9</v>
      </c>
      <c r="G5216" t="n">
        <v>1</v>
      </c>
      <c r="H5216" s="6">
        <f>ROUND(G5216*F5216,2)</f>
        <v/>
      </c>
      <c r="I5216">
        <f>IF(ROUND(H5216-D5216,2)=0,1,0)</f>
        <v/>
      </c>
      <c r="J5216">
        <f>IF(F5216="","none",IF(G5216=1,"carte","multiple"))</f>
        <v/>
      </c>
    </row>
    <row r="5217">
      <c r="A5217" t="inlineStr">
        <is>
          <t>2022-09-14</t>
        </is>
      </c>
      <c r="B5217" t="inlineStr">
        <is>
          <t>11:24</t>
        </is>
      </c>
      <c r="C5217" t="n">
        <v>3055</v>
      </c>
      <c r="D5217" s="6" t="n">
        <v>17.6</v>
      </c>
      <c r="E5217" t="n">
        <v>42260</v>
      </c>
      <c r="F5217" s="6" t="n">
        <v>17.6</v>
      </c>
      <c r="G5217" t="n">
        <v>1</v>
      </c>
      <c r="H5217" s="6">
        <f>ROUND(G5217*F5217,2)</f>
        <v/>
      </c>
      <c r="I5217">
        <f>IF(ROUND(H5217-D5217,2)=0,1,0)</f>
        <v/>
      </c>
      <c r="J5217">
        <f>IF(F5217="","none",IF(G5217=1,"carte","multiple"))</f>
        <v/>
      </c>
    </row>
    <row r="5218">
      <c r="A5218" t="inlineStr">
        <is>
          <t>2022-09-14</t>
        </is>
      </c>
      <c r="B5218" t="inlineStr">
        <is>
          <t>12:17</t>
        </is>
      </c>
      <c r="C5218" t="n">
        <v>3055</v>
      </c>
      <c r="D5218" s="6" t="n">
        <v>3.6</v>
      </c>
      <c r="E5218" t="n">
        <v>42261</v>
      </c>
      <c r="F5218" s="6" t="n">
        <v>3.6</v>
      </c>
      <c r="G5218" t="n">
        <v>1</v>
      </c>
      <c r="H5218" s="6">
        <f>ROUND(G5218*F5218,2)</f>
        <v/>
      </c>
      <c r="I5218">
        <f>IF(ROUND(H5218-D5218,2)=0,1,0)</f>
        <v/>
      </c>
      <c r="J5218">
        <f>IF(F5218="","none",IF(G5218=1,"carte","multiple"))</f>
        <v/>
      </c>
    </row>
    <row r="5219">
      <c r="A5219" t="inlineStr">
        <is>
          <t>2022-09-14</t>
        </is>
      </c>
      <c r="B5219" t="inlineStr">
        <is>
          <t>12:17</t>
        </is>
      </c>
      <c r="C5219" t="n">
        <v>3055</v>
      </c>
      <c r="D5219" s="6" t="n">
        <v>30</v>
      </c>
      <c r="E5219" t="n">
        <v>42262</v>
      </c>
      <c r="F5219" s="6" t="n">
        <v>30</v>
      </c>
      <c r="G5219" t="n">
        <v>1</v>
      </c>
      <c r="H5219" s="6">
        <f>ROUND(G5219*F5219,2)</f>
        <v/>
      </c>
      <c r="I5219">
        <f>IF(ROUND(H5219-D5219,2)=0,1,0)</f>
        <v/>
      </c>
      <c r="J5219">
        <f>IF(F5219="","none",IF(G5219=1,"carte","multiple"))</f>
        <v/>
      </c>
    </row>
    <row r="5220">
      <c r="A5220" t="inlineStr">
        <is>
          <t>2022-09-14</t>
        </is>
      </c>
      <c r="B5220" t="inlineStr">
        <is>
          <t>12:17</t>
        </is>
      </c>
      <c r="C5220" t="n">
        <v>3055</v>
      </c>
      <c r="D5220" s="6" t="n">
        <v>11</v>
      </c>
      <c r="E5220" t="n">
        <v>42263</v>
      </c>
      <c r="F5220" s="6" t="n">
        <v>11</v>
      </c>
      <c r="G5220" t="n">
        <v>1</v>
      </c>
      <c r="H5220" s="6">
        <f>ROUND(G5220*F5220,2)</f>
        <v/>
      </c>
      <c r="I5220">
        <f>IF(ROUND(H5220-D5220,2)=0,1,0)</f>
        <v/>
      </c>
      <c r="J5220">
        <f>IF(F5220="","none",IF(G5220=1,"carte","multiple"))</f>
        <v/>
      </c>
    </row>
    <row r="5221">
      <c r="A5221" t="inlineStr">
        <is>
          <t>2022-09-14</t>
        </is>
      </c>
      <c r="B5221" t="inlineStr">
        <is>
          <t>12:17</t>
        </is>
      </c>
      <c r="C5221" t="n">
        <v>3055</v>
      </c>
      <c r="D5221" s="6" t="n">
        <v>12.6</v>
      </c>
      <c r="E5221" t="n">
        <v>42264</v>
      </c>
      <c r="F5221" s="6" t="n">
        <v>0.9</v>
      </c>
      <c r="G5221" t="n">
        <v>14</v>
      </c>
      <c r="H5221" s="6">
        <f>ROUND(G5221*F5221,2)</f>
        <v/>
      </c>
      <c r="I5221">
        <f>IF(ROUND(H5221-D5221,2)=0,1,0)</f>
        <v/>
      </c>
      <c r="J5221">
        <f>IF(F5221="","none",IF(G5221=1,"carte","multiple"))</f>
        <v/>
      </c>
    </row>
    <row r="5222">
      <c r="A5222" t="inlineStr">
        <is>
          <t>2022-09-14</t>
        </is>
      </c>
      <c r="B5222" t="inlineStr">
        <is>
          <t>12:17</t>
        </is>
      </c>
      <c r="C5222" t="n">
        <v>3055</v>
      </c>
      <c r="D5222" s="6" t="n">
        <v>2.2</v>
      </c>
      <c r="E5222" t="n">
        <v>42265</v>
      </c>
      <c r="F5222" s="6" t="n">
        <v>2.2</v>
      </c>
      <c r="G5222" t="n">
        <v>1</v>
      </c>
      <c r="H5222" s="6">
        <f>ROUND(G5222*F5222,2)</f>
        <v/>
      </c>
      <c r="I5222">
        <f>IF(ROUND(H5222-D5222,2)=0,1,0)</f>
        <v/>
      </c>
      <c r="J5222">
        <f>IF(F5222="","none",IF(G5222=1,"carte","multiple"))</f>
        <v/>
      </c>
    </row>
    <row r="5223">
      <c r="A5223" t="inlineStr">
        <is>
          <t>2022-09-14</t>
        </is>
      </c>
      <c r="B5223" t="inlineStr">
        <is>
          <t>12:17</t>
        </is>
      </c>
      <c r="C5223" t="n">
        <v>3055</v>
      </c>
      <c r="D5223" s="6" t="n">
        <v>5.9</v>
      </c>
      <c r="E5223" t="n">
        <v>42266</v>
      </c>
      <c r="F5223" s="6" t="n">
        <v>5.9</v>
      </c>
      <c r="G5223" t="n">
        <v>1</v>
      </c>
      <c r="H5223" s="6">
        <f>ROUND(G5223*F5223,2)</f>
        <v/>
      </c>
      <c r="I5223">
        <f>IF(ROUND(H5223-D5223,2)=0,1,0)</f>
        <v/>
      </c>
      <c r="J5223">
        <f>IF(F5223="","none",IF(G5223=1,"carte","multiple"))</f>
        <v/>
      </c>
    </row>
    <row r="5224">
      <c r="A5224" t="inlineStr">
        <is>
          <t>2022-09-14</t>
        </is>
      </c>
      <c r="B5224" t="inlineStr">
        <is>
          <t>12:17</t>
        </is>
      </c>
      <c r="C5224" t="n">
        <v>3055</v>
      </c>
      <c r="D5224" s="6" t="n">
        <v>9.6</v>
      </c>
      <c r="E5224" t="n">
        <v>42267</v>
      </c>
      <c r="F5224" s="6" t="n">
        <v>9.6</v>
      </c>
      <c r="G5224" t="n">
        <v>1</v>
      </c>
      <c r="H5224" s="6">
        <f>ROUND(G5224*F5224,2)</f>
        <v/>
      </c>
      <c r="I5224">
        <f>IF(ROUND(H5224-D5224,2)=0,1,0)</f>
        <v/>
      </c>
      <c r="J5224">
        <f>IF(F5224="","none",IF(G5224=1,"carte","multiple"))</f>
        <v/>
      </c>
    </row>
    <row r="5225">
      <c r="A5225" t="inlineStr">
        <is>
          <t>2022-09-14</t>
        </is>
      </c>
      <c r="B5225" t="inlineStr">
        <is>
          <t>12:17</t>
        </is>
      </c>
      <c r="C5225" t="n">
        <v>3055</v>
      </c>
      <c r="D5225" s="6" t="n">
        <v>11</v>
      </c>
      <c r="E5225" t="n">
        <v>42268</v>
      </c>
      <c r="F5225" s="6" t="n">
        <v>11</v>
      </c>
      <c r="G5225" t="n">
        <v>1</v>
      </c>
      <c r="H5225" s="6">
        <f>ROUND(G5225*F5225,2)</f>
        <v/>
      </c>
      <c r="I5225">
        <f>IF(ROUND(H5225-D5225,2)=0,1,0)</f>
        <v/>
      </c>
      <c r="J5225">
        <f>IF(F5225="","none",IF(G5225=1,"carte","multiple"))</f>
        <v/>
      </c>
    </row>
    <row r="5226">
      <c r="A5226" t="inlineStr">
        <is>
          <t>2022-09-14</t>
        </is>
      </c>
      <c r="B5226" t="inlineStr">
        <is>
          <t>12:17</t>
        </is>
      </c>
      <c r="C5226" t="n">
        <v>3055</v>
      </c>
      <c r="D5226" s="6" t="n">
        <v>3.9</v>
      </c>
      <c r="E5226" t="n">
        <v>42269</v>
      </c>
      <c r="F5226" s="6" t="n">
        <v>3.9</v>
      </c>
      <c r="G5226" t="n">
        <v>1</v>
      </c>
      <c r="H5226" s="6">
        <f>ROUND(G5226*F5226,2)</f>
        <v/>
      </c>
      <c r="I5226">
        <f>IF(ROUND(H5226-D5226,2)=0,1,0)</f>
        <v/>
      </c>
      <c r="J5226">
        <f>IF(F5226="","none",IF(G5226=1,"carte","multiple"))</f>
        <v/>
      </c>
    </row>
    <row r="5227">
      <c r="A5227" t="inlineStr">
        <is>
          <t>2022-09-14</t>
        </is>
      </c>
      <c r="B5227" t="inlineStr">
        <is>
          <t>18:07</t>
        </is>
      </c>
      <c r="C5227" t="n">
        <v>3055</v>
      </c>
      <c r="D5227" s="6" t="n">
        <v>17.6</v>
      </c>
      <c r="E5227" t="n">
        <v>42271</v>
      </c>
      <c r="F5227" s="6" t="n">
        <v>17.6</v>
      </c>
      <c r="G5227" t="n">
        <v>1</v>
      </c>
      <c r="H5227" s="6">
        <f>ROUND(G5227*F5227,2)</f>
        <v/>
      </c>
      <c r="I5227">
        <f>IF(ROUND(H5227-D5227,2)=0,1,0)</f>
        <v/>
      </c>
      <c r="J5227">
        <f>IF(F5227="","none",IF(G5227=1,"carte","multiple"))</f>
        <v/>
      </c>
    </row>
    <row r="5228">
      <c r="A5228" t="inlineStr">
        <is>
          <t>2022-09-14</t>
        </is>
      </c>
      <c r="B5228" t="inlineStr">
        <is>
          <t>18:39</t>
        </is>
      </c>
      <c r="C5228" t="n">
        <v>3055</v>
      </c>
      <c r="D5228" s="6" t="n">
        <v>3.9</v>
      </c>
      <c r="E5228" t="n">
        <v>42272</v>
      </c>
      <c r="F5228" s="6" t="n">
        <v>3.9</v>
      </c>
      <c r="G5228" t="n">
        <v>1</v>
      </c>
      <c r="H5228" s="6">
        <f>ROUND(G5228*F5228,2)</f>
        <v/>
      </c>
      <c r="I5228">
        <f>IF(ROUND(H5228-D5228,2)=0,1,0)</f>
        <v/>
      </c>
      <c r="J5228">
        <f>IF(F5228="","none",IF(G5228=1,"carte","multiple"))</f>
        <v/>
      </c>
    </row>
    <row r="5229">
      <c r="A5229" t="inlineStr">
        <is>
          <t>2022-09-14</t>
        </is>
      </c>
      <c r="B5229" t="inlineStr">
        <is>
          <t>18:39</t>
        </is>
      </c>
      <c r="C5229" t="n">
        <v>3055</v>
      </c>
      <c r="D5229" s="6" t="n">
        <v>9.9</v>
      </c>
      <c r="E5229" t="n">
        <v>42273</v>
      </c>
      <c r="F5229" s="6" t="n">
        <v>9.9</v>
      </c>
      <c r="G5229" t="n">
        <v>1</v>
      </c>
      <c r="H5229" s="6">
        <f>ROUND(G5229*F5229,2)</f>
        <v/>
      </c>
      <c r="I5229">
        <f>IF(ROUND(H5229-D5229,2)=0,1,0)</f>
        <v/>
      </c>
      <c r="J5229">
        <f>IF(F5229="","none",IF(G5229=1,"carte","multiple"))</f>
        <v/>
      </c>
    </row>
    <row r="5230">
      <c r="A5230" t="inlineStr">
        <is>
          <t>2022-09-14</t>
        </is>
      </c>
      <c r="B5230" t="inlineStr">
        <is>
          <t>18:39</t>
        </is>
      </c>
      <c r="C5230" t="n">
        <v>3055</v>
      </c>
      <c r="D5230" s="6" t="n">
        <v>8.800000000000001</v>
      </c>
      <c r="E5230" t="n">
        <v>42274</v>
      </c>
      <c r="F5230" s="6" t="n">
        <v>8.800000000000001</v>
      </c>
      <c r="G5230" t="n">
        <v>1</v>
      </c>
      <c r="H5230" s="6">
        <f>ROUND(G5230*F5230,2)</f>
        <v/>
      </c>
      <c r="I5230">
        <f>IF(ROUND(H5230-D5230,2)=0,1,0)</f>
        <v/>
      </c>
      <c r="J5230">
        <f>IF(F5230="","none",IF(G5230=1,"carte","multiple"))</f>
        <v/>
      </c>
    </row>
    <row r="5231">
      <c r="A5231" t="inlineStr">
        <is>
          <t>2022-09-14</t>
        </is>
      </c>
      <c r="B5231" t="inlineStr">
        <is>
          <t>18:39</t>
        </is>
      </c>
      <c r="C5231" t="n">
        <v>3055</v>
      </c>
      <c r="D5231" s="6" t="n">
        <v>9.800000000000001</v>
      </c>
      <c r="E5231" t="n">
        <v>42275</v>
      </c>
      <c r="F5231" s="6" t="n">
        <v>9.800000000000001</v>
      </c>
      <c r="G5231" t="n">
        <v>1</v>
      </c>
      <c r="H5231" s="6">
        <f>ROUND(G5231*F5231,2)</f>
        <v/>
      </c>
      <c r="I5231">
        <f>IF(ROUND(H5231-D5231,2)=0,1,0)</f>
        <v/>
      </c>
      <c r="J5231">
        <f>IF(F5231="","none",IF(G5231=1,"carte","multiple"))</f>
        <v/>
      </c>
    </row>
    <row r="5232">
      <c r="A5232" t="inlineStr">
        <is>
          <t>2022-09-14</t>
        </is>
      </c>
      <c r="B5232" t="inlineStr">
        <is>
          <t>18:39</t>
        </is>
      </c>
      <c r="C5232" t="n">
        <v>3055</v>
      </c>
      <c r="D5232" s="6" t="n">
        <v>29.8</v>
      </c>
      <c r="E5232" t="n">
        <v>42276</v>
      </c>
      <c r="F5232" s="6" t="n">
        <v>14.9</v>
      </c>
      <c r="G5232" t="n">
        <v>2</v>
      </c>
      <c r="H5232" s="6">
        <f>ROUND(G5232*F5232,2)</f>
        <v/>
      </c>
      <c r="I5232">
        <f>IF(ROUND(H5232-D5232,2)=0,1,0)</f>
        <v/>
      </c>
      <c r="J5232">
        <f>IF(F5232="","none",IF(G5232=1,"carte","multiple"))</f>
        <v/>
      </c>
    </row>
    <row r="5233">
      <c r="A5233" t="inlineStr">
        <is>
          <t>2022-09-14</t>
        </is>
      </c>
      <c r="B5233" t="inlineStr">
        <is>
          <t>18:39</t>
        </is>
      </c>
      <c r="C5233" t="n">
        <v>3055</v>
      </c>
      <c r="D5233" s="6" t="n">
        <v>8.4</v>
      </c>
      <c r="E5233" t="n">
        <v>42277</v>
      </c>
      <c r="F5233" s="6" t="n">
        <v>8.4</v>
      </c>
      <c r="G5233" t="n">
        <v>1</v>
      </c>
      <c r="H5233" s="6">
        <f>ROUND(G5233*F5233,2)</f>
        <v/>
      </c>
      <c r="I5233">
        <f>IF(ROUND(H5233-D5233,2)=0,1,0)</f>
        <v/>
      </c>
      <c r="J5233">
        <f>IF(F5233="","none",IF(G5233=1,"carte","multiple"))</f>
        <v/>
      </c>
    </row>
    <row r="5234">
      <c r="A5234" t="inlineStr">
        <is>
          <t>2022-09-14</t>
        </is>
      </c>
      <c r="B5234" t="inlineStr">
        <is>
          <t>18:47</t>
        </is>
      </c>
      <c r="C5234" t="n">
        <v>3055</v>
      </c>
      <c r="D5234" s="6" t="n">
        <v>7.9</v>
      </c>
      <c r="E5234" t="n">
        <v>42278</v>
      </c>
      <c r="F5234" s="6" t="n">
        <v>7.9</v>
      </c>
      <c r="G5234" t="n">
        <v>1</v>
      </c>
      <c r="H5234" s="6">
        <f>ROUND(G5234*F5234,2)</f>
        <v/>
      </c>
      <c r="I5234">
        <f>IF(ROUND(H5234-D5234,2)=0,1,0)</f>
        <v/>
      </c>
      <c r="J5234">
        <f>IF(F5234="","none",IF(G5234=1,"carte","multiple"))</f>
        <v/>
      </c>
    </row>
    <row r="5235">
      <c r="A5235" t="inlineStr">
        <is>
          <t>2022-09-14</t>
        </is>
      </c>
      <c r="B5235" t="inlineStr">
        <is>
          <t>18:47</t>
        </is>
      </c>
      <c r="C5235" t="n">
        <v>3055</v>
      </c>
      <c r="D5235" s="6" t="n">
        <v>17.6</v>
      </c>
      <c r="E5235" t="n">
        <v>42279</v>
      </c>
      <c r="F5235" s="6" t="n">
        <v>17.6</v>
      </c>
      <c r="G5235" t="n">
        <v>1</v>
      </c>
      <c r="H5235" s="6">
        <f>ROUND(G5235*F5235,2)</f>
        <v/>
      </c>
      <c r="I5235">
        <f>IF(ROUND(H5235-D5235,2)=0,1,0)</f>
        <v/>
      </c>
      <c r="J5235">
        <f>IF(F5235="","none",IF(G5235=1,"carte","multiple"))</f>
        <v/>
      </c>
    </row>
    <row r="5236">
      <c r="A5236" t="inlineStr">
        <is>
          <t>2022-09-14</t>
        </is>
      </c>
      <c r="B5236" t="inlineStr">
        <is>
          <t>18:47</t>
        </is>
      </c>
      <c r="C5236" t="n">
        <v>3055</v>
      </c>
      <c r="D5236" s="6" t="n">
        <v>16.9</v>
      </c>
      <c r="E5236" t="n">
        <v>42280</v>
      </c>
      <c r="F5236" s="6" t="n">
        <v>16.9</v>
      </c>
      <c r="G5236" t="n">
        <v>1</v>
      </c>
      <c r="H5236" s="6">
        <f>ROUND(G5236*F5236,2)</f>
        <v/>
      </c>
      <c r="I5236">
        <f>IF(ROUND(H5236-D5236,2)=0,1,0)</f>
        <v/>
      </c>
      <c r="J5236">
        <f>IF(F5236="","none",IF(G5236=1,"carte","multiple"))</f>
        <v/>
      </c>
    </row>
    <row r="5237">
      <c r="A5237" t="inlineStr">
        <is>
          <t>2022-09-14</t>
        </is>
      </c>
      <c r="B5237" t="inlineStr">
        <is>
          <t>18:47</t>
        </is>
      </c>
      <c r="C5237" t="n">
        <v>3055</v>
      </c>
      <c r="D5237" s="6" t="n">
        <v>5.9</v>
      </c>
      <c r="E5237" t="n">
        <v>42281</v>
      </c>
      <c r="F5237" s="6" t="n">
        <v>5.9</v>
      </c>
      <c r="G5237" t="n">
        <v>1</v>
      </c>
      <c r="H5237" s="6">
        <f>ROUND(G5237*F5237,2)</f>
        <v/>
      </c>
      <c r="I5237">
        <f>IF(ROUND(H5237-D5237,2)=0,1,0)</f>
        <v/>
      </c>
      <c r="J5237">
        <f>IF(F5237="","none",IF(G5237=1,"carte","multiple"))</f>
        <v/>
      </c>
    </row>
    <row r="5238">
      <c r="A5238" t="inlineStr">
        <is>
          <t>2022-09-14</t>
        </is>
      </c>
      <c r="B5238" t="inlineStr">
        <is>
          <t>19:45</t>
        </is>
      </c>
      <c r="C5238" t="n">
        <v>3055</v>
      </c>
      <c r="D5238" s="6" t="n">
        <v>9.4</v>
      </c>
      <c r="E5238" t="n">
        <v>42282</v>
      </c>
      <c r="F5238" s="6" t="n">
        <v>9.4</v>
      </c>
      <c r="G5238" t="n">
        <v>1</v>
      </c>
      <c r="H5238" s="6">
        <f>ROUND(G5238*F5238,2)</f>
        <v/>
      </c>
      <c r="I5238">
        <f>IF(ROUND(H5238-D5238,2)=0,1,0)</f>
        <v/>
      </c>
      <c r="J5238">
        <f>IF(F5238="","none",IF(G5238=1,"carte","multiple"))</f>
        <v/>
      </c>
    </row>
    <row r="5239">
      <c r="A5239" t="inlineStr">
        <is>
          <t>2022-09-14</t>
        </is>
      </c>
      <c r="B5239" t="inlineStr">
        <is>
          <t>19:45</t>
        </is>
      </c>
      <c r="C5239" t="n">
        <v>3055</v>
      </c>
      <c r="D5239" s="6" t="n">
        <v>7.5</v>
      </c>
      <c r="E5239" t="n">
        <v>42283</v>
      </c>
      <c r="F5239" s="6" t="n">
        <v>7.5</v>
      </c>
      <c r="G5239" t="n">
        <v>1</v>
      </c>
      <c r="H5239" s="6">
        <f>ROUND(G5239*F5239,2)</f>
        <v/>
      </c>
      <c r="I5239">
        <f>IF(ROUND(H5239-D5239,2)=0,1,0)</f>
        <v/>
      </c>
      <c r="J5239">
        <f>IF(F5239="","none",IF(G5239=1,"carte","multiple"))</f>
        <v/>
      </c>
    </row>
    <row r="5240">
      <c r="A5240" t="inlineStr">
        <is>
          <t>2022-09-14</t>
        </is>
      </c>
      <c r="B5240" t="inlineStr">
        <is>
          <t>19:45</t>
        </is>
      </c>
      <c r="C5240" t="n">
        <v>3055</v>
      </c>
      <c r="D5240" s="6" t="n">
        <v>3.9</v>
      </c>
      <c r="E5240" t="n">
        <v>42284</v>
      </c>
      <c r="F5240" s="6" t="n">
        <v>3.9</v>
      </c>
      <c r="G5240" t="n">
        <v>1</v>
      </c>
      <c r="H5240" s="6">
        <f>ROUND(G5240*F5240,2)</f>
        <v/>
      </c>
      <c r="I5240">
        <f>IF(ROUND(H5240-D5240,2)=0,1,0)</f>
        <v/>
      </c>
      <c r="J5240">
        <f>IF(F5240="","none",IF(G5240=1,"carte","multiple"))</f>
        <v/>
      </c>
    </row>
    <row r="5241">
      <c r="A5241" t="inlineStr">
        <is>
          <t>2022-09-14</t>
        </is>
      </c>
      <c r="B5241" t="inlineStr">
        <is>
          <t>19:45</t>
        </is>
      </c>
      <c r="C5241" t="n">
        <v>3055</v>
      </c>
      <c r="D5241" s="6" t="n">
        <v>19.9</v>
      </c>
      <c r="E5241" t="n">
        <v>42285</v>
      </c>
      <c r="F5241" s="6" t="n">
        <v>19.9</v>
      </c>
      <c r="G5241" t="n">
        <v>1</v>
      </c>
      <c r="H5241" s="6">
        <f>ROUND(G5241*F5241,2)</f>
        <v/>
      </c>
      <c r="I5241">
        <f>IF(ROUND(H5241-D5241,2)=0,1,0)</f>
        <v/>
      </c>
      <c r="J5241">
        <f>IF(F5241="","none",IF(G5241=1,"carte","multiple"))</f>
        <v/>
      </c>
    </row>
    <row r="5242">
      <c r="A5242" t="inlineStr">
        <is>
          <t>2022-09-14</t>
        </is>
      </c>
      <c r="B5242" t="inlineStr">
        <is>
          <t>19:45</t>
        </is>
      </c>
      <c r="C5242" t="n">
        <v>3055</v>
      </c>
      <c r="D5242" s="6" t="n">
        <v>17.6</v>
      </c>
      <c r="E5242" t="n">
        <v>42286</v>
      </c>
      <c r="F5242" s="6" t="n">
        <v>17.6</v>
      </c>
      <c r="G5242" t="n">
        <v>1</v>
      </c>
      <c r="H5242" s="6">
        <f>ROUND(G5242*F5242,2)</f>
        <v/>
      </c>
      <c r="I5242">
        <f>IF(ROUND(H5242-D5242,2)=0,1,0)</f>
        <v/>
      </c>
      <c r="J5242">
        <f>IF(F5242="","none",IF(G5242=1,"carte","multiple"))</f>
        <v/>
      </c>
    </row>
    <row r="5243">
      <c r="A5243" t="inlineStr">
        <is>
          <t>2022-09-14</t>
        </is>
      </c>
      <c r="B5243" t="inlineStr">
        <is>
          <t>19:52</t>
        </is>
      </c>
      <c r="C5243" t="n">
        <v>3055</v>
      </c>
      <c r="D5243" s="6" t="n">
        <v>2.2</v>
      </c>
      <c r="E5243" t="n">
        <v>42287</v>
      </c>
      <c r="F5243" s="6" t="n">
        <v>2.2</v>
      </c>
      <c r="G5243" t="n">
        <v>1</v>
      </c>
      <c r="H5243" s="6">
        <f>ROUND(G5243*F5243,2)</f>
        <v/>
      </c>
      <c r="I5243">
        <f>IF(ROUND(H5243-D5243,2)=0,1,0)</f>
        <v/>
      </c>
      <c r="J5243">
        <f>IF(F5243="","none",IF(G5243=1,"carte","multiple"))</f>
        <v/>
      </c>
    </row>
    <row r="5244">
      <c r="A5244" t="inlineStr">
        <is>
          <t>2022-09-14</t>
        </is>
      </c>
      <c r="B5244" t="inlineStr">
        <is>
          <t>19:52</t>
        </is>
      </c>
      <c r="C5244" t="n">
        <v>3055</v>
      </c>
      <c r="D5244" s="6" t="n">
        <v>5.8</v>
      </c>
      <c r="E5244" t="n">
        <v>42288</v>
      </c>
      <c r="F5244" s="6" t="n">
        <v>5.8</v>
      </c>
      <c r="G5244" t="n">
        <v>1</v>
      </c>
      <c r="H5244" s="6">
        <f>ROUND(G5244*F5244,2)</f>
        <v/>
      </c>
      <c r="I5244">
        <f>IF(ROUND(H5244-D5244,2)=0,1,0)</f>
        <v/>
      </c>
      <c r="J5244">
        <f>IF(F5244="","none",IF(G5244=1,"carte","multiple"))</f>
        <v/>
      </c>
    </row>
    <row r="5245">
      <c r="A5245" t="inlineStr">
        <is>
          <t>2022-09-14</t>
        </is>
      </c>
      <c r="B5245" t="inlineStr">
        <is>
          <t>19:52</t>
        </is>
      </c>
      <c r="C5245" t="n">
        <v>3055</v>
      </c>
      <c r="D5245" s="6" t="n">
        <v>17.6</v>
      </c>
      <c r="E5245" t="n">
        <v>42289</v>
      </c>
      <c r="F5245" s="6" t="n">
        <v>17.6</v>
      </c>
      <c r="G5245" t="n">
        <v>1</v>
      </c>
      <c r="H5245" s="6">
        <f>ROUND(G5245*F5245,2)</f>
        <v/>
      </c>
      <c r="I5245">
        <f>IF(ROUND(H5245-D5245,2)=0,1,0)</f>
        <v/>
      </c>
      <c r="J5245">
        <f>IF(F5245="","none",IF(G5245=1,"carte","multiple"))</f>
        <v/>
      </c>
    </row>
    <row r="5246">
      <c r="A5246" t="inlineStr">
        <is>
          <t>2022-09-14</t>
        </is>
      </c>
      <c r="B5246" t="inlineStr">
        <is>
          <t>19:52</t>
        </is>
      </c>
      <c r="C5246" t="n">
        <v>3055</v>
      </c>
      <c r="D5246" s="6" t="n">
        <v>17.6</v>
      </c>
      <c r="E5246" t="n">
        <v>42290</v>
      </c>
      <c r="F5246" s="6" t="n">
        <v>17.6</v>
      </c>
      <c r="G5246" t="n">
        <v>1</v>
      </c>
      <c r="H5246" s="6">
        <f>ROUND(G5246*F5246,2)</f>
        <v/>
      </c>
      <c r="I5246">
        <f>IF(ROUND(H5246-D5246,2)=0,1,0)</f>
        <v/>
      </c>
      <c r="J5246">
        <f>IF(F5246="","none",IF(G5246=1,"carte","multiple"))</f>
        <v/>
      </c>
    </row>
    <row r="5247">
      <c r="A5247" t="inlineStr">
        <is>
          <t>2022-09-14</t>
        </is>
      </c>
      <c r="B5247" t="inlineStr">
        <is>
          <t>19:52</t>
        </is>
      </c>
      <c r="C5247" t="n">
        <v>3055</v>
      </c>
      <c r="D5247" s="6" t="n">
        <v>8.9</v>
      </c>
      <c r="E5247" t="n">
        <v>42291</v>
      </c>
      <c r="F5247" s="6" t="n">
        <v>8.9</v>
      </c>
      <c r="G5247" t="n">
        <v>1</v>
      </c>
      <c r="H5247" s="6">
        <f>ROUND(G5247*F5247,2)</f>
        <v/>
      </c>
      <c r="I5247">
        <f>IF(ROUND(H5247-D5247,2)=0,1,0)</f>
        <v/>
      </c>
      <c r="J5247">
        <f>IF(F5247="","none",IF(G5247=1,"carte","multiple"))</f>
        <v/>
      </c>
    </row>
    <row r="5248">
      <c r="A5248" t="inlineStr">
        <is>
          <t>2022-09-14</t>
        </is>
      </c>
      <c r="B5248" t="inlineStr">
        <is>
          <t>19:52</t>
        </is>
      </c>
      <c r="C5248" t="n">
        <v>3055</v>
      </c>
      <c r="D5248" s="6" t="n">
        <v>18</v>
      </c>
      <c r="E5248" t="n">
        <v>42292</v>
      </c>
      <c r="F5248" s="6" t="n">
        <v>18</v>
      </c>
      <c r="G5248" t="n">
        <v>1</v>
      </c>
      <c r="H5248" s="6">
        <f>ROUND(G5248*F5248,2)</f>
        <v/>
      </c>
      <c r="I5248">
        <f>IF(ROUND(H5248-D5248,2)=0,1,0)</f>
        <v/>
      </c>
      <c r="J5248">
        <f>IF(F5248="","none",IF(G5248=1,"carte","multiple"))</f>
        <v/>
      </c>
    </row>
    <row r="5249">
      <c r="A5249" t="inlineStr">
        <is>
          <t>2022-09-14</t>
        </is>
      </c>
      <c r="B5249" t="inlineStr">
        <is>
          <t>19:52</t>
        </is>
      </c>
      <c r="C5249" t="n">
        <v>3055</v>
      </c>
      <c r="D5249" s="6" t="n">
        <v>7</v>
      </c>
      <c r="E5249" t="n">
        <v>42293</v>
      </c>
      <c r="F5249" s="6" t="n">
        <v>7</v>
      </c>
      <c r="G5249" t="n">
        <v>1</v>
      </c>
      <c r="H5249" s="6">
        <f>ROUND(G5249*F5249,2)</f>
        <v/>
      </c>
      <c r="I5249">
        <f>IF(ROUND(H5249-D5249,2)=0,1,0)</f>
        <v/>
      </c>
      <c r="J5249">
        <f>IF(F5249="","none",IF(G5249=1,"carte","multiple"))</f>
        <v/>
      </c>
    </row>
    <row r="5250">
      <c r="A5250" t="inlineStr">
        <is>
          <t>2022-09-14</t>
        </is>
      </c>
      <c r="B5250" t="inlineStr">
        <is>
          <t>19:52</t>
        </is>
      </c>
      <c r="C5250" t="n">
        <v>3055</v>
      </c>
      <c r="D5250" s="6" t="n">
        <v>7.9</v>
      </c>
      <c r="E5250" t="n">
        <v>42294</v>
      </c>
      <c r="F5250" s="6" t="n">
        <v>7.9</v>
      </c>
      <c r="G5250" t="n">
        <v>1</v>
      </c>
      <c r="H5250" s="6">
        <f>ROUND(G5250*F5250,2)</f>
        <v/>
      </c>
      <c r="I5250">
        <f>IF(ROUND(H5250-D5250,2)=0,1,0)</f>
        <v/>
      </c>
      <c r="J5250">
        <f>IF(F5250="","none",IF(G5250=1,"carte","multiple"))</f>
        <v/>
      </c>
    </row>
    <row r="5251">
      <c r="A5251" t="inlineStr">
        <is>
          <t>2022-09-15</t>
        </is>
      </c>
      <c r="B5251" t="inlineStr">
        <is>
          <t>12:01</t>
        </is>
      </c>
      <c r="C5251" t="n">
        <v>3056</v>
      </c>
      <c r="D5251" s="6" t="n">
        <v>35.2</v>
      </c>
      <c r="E5251" t="n">
        <v>42298</v>
      </c>
      <c r="F5251" s="6" t="n">
        <v>0.4</v>
      </c>
      <c r="G5251" t="n">
        <v>88</v>
      </c>
      <c r="H5251" s="6">
        <f>ROUND(G5251*F5251,2)</f>
        <v/>
      </c>
      <c r="I5251">
        <f>IF(ROUND(H5251-D5251,2)=0,1,0)</f>
        <v/>
      </c>
      <c r="J5251">
        <f>IF(F5251="","none",IF(G5251=1,"carte","multiple"))</f>
        <v/>
      </c>
    </row>
    <row r="5252">
      <c r="A5252" t="inlineStr">
        <is>
          <t>2022-09-15</t>
        </is>
      </c>
      <c r="B5252" t="inlineStr">
        <is>
          <t>12:01</t>
        </is>
      </c>
      <c r="C5252" t="n">
        <v>3056</v>
      </c>
      <c r="D5252" s="6" t="n">
        <v>6</v>
      </c>
      <c r="E5252" t="n">
        <v>42299</v>
      </c>
      <c r="F5252" s="6" t="n">
        <v>6</v>
      </c>
      <c r="G5252" t="n">
        <v>1</v>
      </c>
      <c r="H5252" s="6">
        <f>ROUND(G5252*F5252,2)</f>
        <v/>
      </c>
      <c r="I5252">
        <f>IF(ROUND(H5252-D5252,2)=0,1,0)</f>
        <v/>
      </c>
      <c r="J5252">
        <f>IF(F5252="","none",IF(G5252=1,"carte","multiple"))</f>
        <v/>
      </c>
    </row>
    <row r="5253">
      <c r="A5253" t="inlineStr">
        <is>
          <t>2022-09-15</t>
        </is>
      </c>
      <c r="B5253" t="inlineStr">
        <is>
          <t>12:01</t>
        </is>
      </c>
      <c r="C5253" t="n">
        <v>3056</v>
      </c>
      <c r="D5253" s="6" t="n">
        <v>4.9</v>
      </c>
      <c r="E5253" t="n">
        <v>42300</v>
      </c>
      <c r="F5253" s="6" t="n">
        <v>4.9</v>
      </c>
      <c r="G5253" t="n">
        <v>1</v>
      </c>
      <c r="H5253" s="6">
        <f>ROUND(G5253*F5253,2)</f>
        <v/>
      </c>
      <c r="I5253">
        <f>IF(ROUND(H5253-D5253,2)=0,1,0)</f>
        <v/>
      </c>
      <c r="J5253">
        <f>IF(F5253="","none",IF(G5253=1,"carte","multiple"))</f>
        <v/>
      </c>
    </row>
    <row r="5254">
      <c r="A5254" t="inlineStr">
        <is>
          <t>2022-09-15</t>
        </is>
      </c>
      <c r="B5254" t="inlineStr">
        <is>
          <t>12:01</t>
        </is>
      </c>
      <c r="C5254" t="n">
        <v>3056</v>
      </c>
      <c r="D5254" s="6" t="n">
        <v>4.5</v>
      </c>
      <c r="E5254" t="n">
        <v>42301</v>
      </c>
      <c r="F5254" s="6" t="n">
        <v>4.5</v>
      </c>
      <c r="G5254" t="n">
        <v>1</v>
      </c>
      <c r="H5254" s="6">
        <f>ROUND(G5254*F5254,2)</f>
        <v/>
      </c>
      <c r="I5254">
        <f>IF(ROUND(H5254-D5254,2)=0,1,0)</f>
        <v/>
      </c>
      <c r="J5254">
        <f>IF(F5254="","none",IF(G5254=1,"carte","multiple"))</f>
        <v/>
      </c>
    </row>
    <row r="5255">
      <c r="A5255" t="inlineStr">
        <is>
          <t>2022-09-15</t>
        </is>
      </c>
      <c r="B5255" t="inlineStr">
        <is>
          <t>12:01</t>
        </is>
      </c>
      <c r="C5255" t="n">
        <v>3056</v>
      </c>
      <c r="D5255" s="6" t="n">
        <v>15.9</v>
      </c>
      <c r="E5255" t="n">
        <v>42302</v>
      </c>
      <c r="F5255" s="6" t="n">
        <v>15.9</v>
      </c>
      <c r="G5255" t="n">
        <v>1</v>
      </c>
      <c r="H5255" s="6">
        <f>ROUND(G5255*F5255,2)</f>
        <v/>
      </c>
      <c r="I5255">
        <f>IF(ROUND(H5255-D5255,2)=0,1,0)</f>
        <v/>
      </c>
      <c r="J5255">
        <f>IF(F5255="","none",IF(G5255=1,"carte","multiple"))</f>
        <v/>
      </c>
    </row>
    <row r="5256">
      <c r="A5256" t="inlineStr">
        <is>
          <t>2022-09-15</t>
        </is>
      </c>
      <c r="B5256" t="inlineStr">
        <is>
          <t>12:01</t>
        </is>
      </c>
      <c r="C5256" t="n">
        <v>3056</v>
      </c>
      <c r="D5256" s="6" t="n">
        <v>8.1</v>
      </c>
      <c r="E5256" t="n">
        <v>42303</v>
      </c>
      <c r="F5256" s="6" t="n">
        <v>8.1</v>
      </c>
      <c r="G5256" t="n">
        <v>1</v>
      </c>
      <c r="H5256" s="6">
        <f>ROUND(G5256*F5256,2)</f>
        <v/>
      </c>
      <c r="I5256">
        <f>IF(ROUND(H5256-D5256,2)=0,1,0)</f>
        <v/>
      </c>
      <c r="J5256">
        <f>IF(F5256="","none",IF(G5256=1,"carte","multiple"))</f>
        <v/>
      </c>
    </row>
    <row r="5257">
      <c r="A5257" t="inlineStr">
        <is>
          <t>2022-09-15</t>
        </is>
      </c>
      <c r="B5257" t="inlineStr">
        <is>
          <t>12:01</t>
        </is>
      </c>
      <c r="C5257" t="n">
        <v>3056</v>
      </c>
      <c r="D5257" s="6" t="n">
        <v>6.9</v>
      </c>
      <c r="E5257" t="n">
        <v>42304</v>
      </c>
      <c r="F5257" s="6" t="n">
        <v>6.9</v>
      </c>
      <c r="G5257" t="n">
        <v>1</v>
      </c>
      <c r="H5257" s="6">
        <f>ROUND(G5257*F5257,2)</f>
        <v/>
      </c>
      <c r="I5257">
        <f>IF(ROUND(H5257-D5257,2)=0,1,0)</f>
        <v/>
      </c>
      <c r="J5257">
        <f>IF(F5257="","none",IF(G5257=1,"carte","multiple"))</f>
        <v/>
      </c>
    </row>
    <row r="5258">
      <c r="A5258" t="inlineStr">
        <is>
          <t>2022-09-15</t>
        </is>
      </c>
      <c r="B5258" t="inlineStr">
        <is>
          <t>12:01</t>
        </is>
      </c>
      <c r="C5258" t="n">
        <v>3056</v>
      </c>
      <c r="D5258" s="6" t="n">
        <v>8.699999999999999</v>
      </c>
      <c r="E5258" t="n">
        <v>42305</v>
      </c>
      <c r="F5258" s="6" t="n">
        <v>8.699999999999999</v>
      </c>
      <c r="G5258" t="n">
        <v>1</v>
      </c>
      <c r="H5258" s="6">
        <f>ROUND(G5258*F5258,2)</f>
        <v/>
      </c>
      <c r="I5258">
        <f>IF(ROUND(H5258-D5258,2)=0,1,0)</f>
        <v/>
      </c>
      <c r="J5258">
        <f>IF(F5258="","none",IF(G5258=1,"carte","multiple"))</f>
        <v/>
      </c>
    </row>
    <row r="5259">
      <c r="A5259" t="inlineStr">
        <is>
          <t>2022-09-15</t>
        </is>
      </c>
      <c r="B5259" t="inlineStr">
        <is>
          <t>12:01</t>
        </is>
      </c>
      <c r="C5259" t="n">
        <v>3056</v>
      </c>
      <c r="D5259" s="6" t="n">
        <v>4.4</v>
      </c>
      <c r="E5259" t="n">
        <v>42306</v>
      </c>
      <c r="F5259" s="6" t="n">
        <v>0.4</v>
      </c>
      <c r="G5259" t="n">
        <v>11</v>
      </c>
      <c r="H5259" s="6">
        <f>ROUND(G5259*F5259,2)</f>
        <v/>
      </c>
      <c r="I5259">
        <f>IF(ROUND(H5259-D5259,2)=0,1,0)</f>
        <v/>
      </c>
      <c r="J5259">
        <f>IF(F5259="","none",IF(G5259=1,"carte","multiple"))</f>
        <v/>
      </c>
    </row>
    <row r="5260">
      <c r="A5260" t="inlineStr">
        <is>
          <t>2022-09-15</t>
        </is>
      </c>
      <c r="B5260" t="inlineStr">
        <is>
          <t>12:07</t>
        </is>
      </c>
      <c r="C5260" t="n">
        <v>3056</v>
      </c>
      <c r="D5260" s="6" t="n">
        <v>4.4</v>
      </c>
      <c r="E5260" t="n">
        <v>42307</v>
      </c>
      <c r="F5260" s="6" t="n">
        <v>0.4</v>
      </c>
      <c r="G5260" t="n">
        <v>11</v>
      </c>
      <c r="H5260" s="6">
        <f>ROUND(G5260*F5260,2)</f>
        <v/>
      </c>
      <c r="I5260">
        <f>IF(ROUND(H5260-D5260,2)=0,1,0)</f>
        <v/>
      </c>
      <c r="J5260">
        <f>IF(F5260="","none",IF(G5260=1,"carte","multiple"))</f>
        <v/>
      </c>
    </row>
    <row r="5261">
      <c r="A5261" t="inlineStr">
        <is>
          <t>2022-09-15</t>
        </is>
      </c>
      <c r="B5261" t="inlineStr">
        <is>
          <t>12:07</t>
        </is>
      </c>
      <c r="C5261" t="n">
        <v>3056</v>
      </c>
      <c r="D5261" s="6" t="n">
        <v>15.6</v>
      </c>
      <c r="E5261" t="n">
        <v>42308</v>
      </c>
      <c r="F5261" s="6" t="n">
        <v>15.6</v>
      </c>
      <c r="G5261" t="n">
        <v>1</v>
      </c>
      <c r="H5261" s="6">
        <f>ROUND(G5261*F5261,2)</f>
        <v/>
      </c>
      <c r="I5261">
        <f>IF(ROUND(H5261-D5261,2)=0,1,0)</f>
        <v/>
      </c>
      <c r="J5261">
        <f>IF(F5261="","none",IF(G5261=1,"carte","multiple"))</f>
        <v/>
      </c>
    </row>
    <row r="5262">
      <c r="A5262" t="inlineStr">
        <is>
          <t>2022-09-15</t>
        </is>
      </c>
      <c r="B5262" t="inlineStr">
        <is>
          <t>12:07</t>
        </is>
      </c>
      <c r="C5262" t="n">
        <v>3056</v>
      </c>
      <c r="D5262" s="6" t="n">
        <v>11</v>
      </c>
      <c r="E5262" t="n">
        <v>42309</v>
      </c>
      <c r="F5262" s="6" t="n">
        <v>11</v>
      </c>
      <c r="G5262" t="n">
        <v>1</v>
      </c>
      <c r="H5262" s="6">
        <f>ROUND(G5262*F5262,2)</f>
        <v/>
      </c>
      <c r="I5262">
        <f>IF(ROUND(H5262-D5262,2)=0,1,0)</f>
        <v/>
      </c>
      <c r="J5262">
        <f>IF(F5262="","none",IF(G5262=1,"carte","multiple"))</f>
        <v/>
      </c>
    </row>
    <row r="5263">
      <c r="A5263" t="inlineStr">
        <is>
          <t>2022-09-15</t>
        </is>
      </c>
      <c r="B5263" t="inlineStr">
        <is>
          <t>12:07</t>
        </is>
      </c>
      <c r="C5263" t="n">
        <v>3056</v>
      </c>
      <c r="D5263" s="6" t="n">
        <v>15</v>
      </c>
      <c r="E5263" t="n">
        <v>42310</v>
      </c>
      <c r="F5263" s="6" t="n">
        <v>15</v>
      </c>
      <c r="G5263" t="n">
        <v>1</v>
      </c>
      <c r="H5263" s="6">
        <f>ROUND(G5263*F5263,2)</f>
        <v/>
      </c>
      <c r="I5263">
        <f>IF(ROUND(H5263-D5263,2)=0,1,0)</f>
        <v/>
      </c>
      <c r="J5263">
        <f>IF(F5263="","none",IF(G5263=1,"carte","multiple"))</f>
        <v/>
      </c>
    </row>
    <row r="5264">
      <c r="A5264" t="inlineStr">
        <is>
          <t>2022-09-15</t>
        </is>
      </c>
      <c r="B5264" t="inlineStr">
        <is>
          <t>12:32</t>
        </is>
      </c>
      <c r="C5264" t="n">
        <v>3056</v>
      </c>
      <c r="D5264" s="6" t="n">
        <v>7</v>
      </c>
      <c r="E5264" t="n">
        <v>42311</v>
      </c>
      <c r="F5264" s="6" t="n">
        <v>7</v>
      </c>
      <c r="G5264" t="n">
        <v>1</v>
      </c>
      <c r="H5264" s="6">
        <f>ROUND(G5264*F5264,2)</f>
        <v/>
      </c>
      <c r="I5264">
        <f>IF(ROUND(H5264-D5264,2)=0,1,0)</f>
        <v/>
      </c>
      <c r="J5264">
        <f>IF(F5264="","none",IF(G5264=1,"carte","multiple"))</f>
        <v/>
      </c>
    </row>
    <row r="5265">
      <c r="A5265" t="inlineStr">
        <is>
          <t>2022-09-15</t>
        </is>
      </c>
      <c r="B5265" t="inlineStr">
        <is>
          <t>12:33</t>
        </is>
      </c>
      <c r="C5265" t="n">
        <v>3056</v>
      </c>
      <c r="D5265" s="6" t="n">
        <v>31.8</v>
      </c>
      <c r="E5265" t="n">
        <v>42312</v>
      </c>
      <c r="F5265" s="6" t="n">
        <v>31.8</v>
      </c>
      <c r="G5265" t="n">
        <v>1</v>
      </c>
      <c r="H5265" s="6">
        <f>ROUND(G5265*F5265,2)</f>
        <v/>
      </c>
      <c r="I5265">
        <f>IF(ROUND(H5265-D5265,2)=0,1,0)</f>
        <v/>
      </c>
      <c r="J5265">
        <f>IF(F5265="","none",IF(G5265=1,"carte","multiple"))</f>
        <v/>
      </c>
    </row>
    <row r="5266">
      <c r="A5266" t="inlineStr">
        <is>
          <t>2022-09-15</t>
        </is>
      </c>
      <c r="B5266" t="inlineStr">
        <is>
          <t>12:33</t>
        </is>
      </c>
      <c r="C5266" t="n">
        <v>3056</v>
      </c>
      <c r="D5266" s="6" t="n">
        <v>2.45</v>
      </c>
      <c r="E5266" t="n">
        <v>42313</v>
      </c>
      <c r="H5266" t="inlineStr"/>
      <c r="I5266" t="inlineStr"/>
      <c r="J5266">
        <f>IF(F5266="","none",IF(G5266=1,"carte","multiple"))</f>
        <v/>
      </c>
    </row>
    <row r="5267">
      <c r="A5267" t="inlineStr">
        <is>
          <t>2022-09-15</t>
        </is>
      </c>
      <c r="B5267" t="inlineStr">
        <is>
          <t>12:33</t>
        </is>
      </c>
      <c r="C5267" t="n">
        <v>3056</v>
      </c>
      <c r="D5267" s="6" t="n">
        <v>2.1</v>
      </c>
      <c r="E5267" t="n">
        <v>42314</v>
      </c>
      <c r="H5267" t="inlineStr"/>
      <c r="I5267" t="inlineStr"/>
      <c r="J5267">
        <f>IF(F5267="","none",IF(G5267=1,"carte","multiple"))</f>
        <v/>
      </c>
    </row>
    <row r="5268">
      <c r="A5268" t="inlineStr">
        <is>
          <t>2022-09-15</t>
        </is>
      </c>
      <c r="B5268" t="inlineStr">
        <is>
          <t>12:33</t>
        </is>
      </c>
      <c r="C5268" t="n">
        <v>3056</v>
      </c>
      <c r="D5268" s="6" t="n">
        <v>2.6</v>
      </c>
      <c r="E5268" t="n">
        <v>42315</v>
      </c>
      <c r="H5268" t="inlineStr"/>
      <c r="I5268" t="inlineStr"/>
      <c r="J5268">
        <f>IF(F5268="","none",IF(G5268=1,"carte","multiple"))</f>
        <v/>
      </c>
    </row>
    <row r="5269">
      <c r="A5269" t="inlineStr">
        <is>
          <t>2022-09-15</t>
        </is>
      </c>
      <c r="B5269" t="inlineStr">
        <is>
          <t>12:33</t>
        </is>
      </c>
      <c r="C5269" t="n">
        <v>3056</v>
      </c>
      <c r="D5269" s="6" t="n">
        <v>3.25</v>
      </c>
      <c r="E5269" t="n">
        <v>42316</v>
      </c>
      <c r="H5269" t="inlineStr"/>
      <c r="I5269" t="inlineStr"/>
      <c r="J5269">
        <f>IF(F5269="","none",IF(G5269=1,"carte","multiple"))</f>
        <v/>
      </c>
    </row>
    <row r="5270">
      <c r="A5270" t="inlineStr">
        <is>
          <t>2022-09-15</t>
        </is>
      </c>
      <c r="B5270" t="inlineStr">
        <is>
          <t>12:37</t>
        </is>
      </c>
      <c r="C5270" t="n">
        <v>3056</v>
      </c>
      <c r="D5270" s="6" t="n">
        <v>1.8</v>
      </c>
      <c r="E5270" t="n">
        <v>42317</v>
      </c>
      <c r="F5270" s="6" t="n">
        <v>1.8</v>
      </c>
      <c r="G5270" t="n">
        <v>1</v>
      </c>
      <c r="H5270" s="6">
        <f>ROUND(G5270*F5270,2)</f>
        <v/>
      </c>
      <c r="I5270">
        <f>IF(ROUND(H5270-D5270,2)=0,1,0)</f>
        <v/>
      </c>
      <c r="J5270">
        <f>IF(F5270="","none",IF(G5270=1,"carte","multiple"))</f>
        <v/>
      </c>
    </row>
    <row r="5271">
      <c r="A5271" t="inlineStr">
        <is>
          <t>2022-09-15</t>
        </is>
      </c>
      <c r="B5271" t="inlineStr">
        <is>
          <t>12:37</t>
        </is>
      </c>
      <c r="C5271" t="n">
        <v>3056</v>
      </c>
      <c r="D5271" s="6" t="n">
        <v>1.8</v>
      </c>
      <c r="E5271" t="n">
        <v>42318</v>
      </c>
      <c r="F5271" s="6" t="n">
        <v>1.8</v>
      </c>
      <c r="G5271" t="n">
        <v>1</v>
      </c>
      <c r="H5271" s="6">
        <f>ROUND(G5271*F5271,2)</f>
        <v/>
      </c>
      <c r="I5271">
        <f>IF(ROUND(H5271-D5271,2)=0,1,0)</f>
        <v/>
      </c>
      <c r="J5271">
        <f>IF(F5271="","none",IF(G5271=1,"carte","multiple"))</f>
        <v/>
      </c>
    </row>
    <row r="5272">
      <c r="A5272" t="inlineStr">
        <is>
          <t>2022-09-15</t>
        </is>
      </c>
      <c r="B5272" t="inlineStr">
        <is>
          <t>18:24</t>
        </is>
      </c>
      <c r="C5272" t="n">
        <v>3056</v>
      </c>
      <c r="D5272" s="6" t="n">
        <v>39.5</v>
      </c>
      <c r="E5272" t="n">
        <v>42320</v>
      </c>
      <c r="F5272" s="6" t="n">
        <v>39.5</v>
      </c>
      <c r="G5272" t="n">
        <v>1</v>
      </c>
      <c r="H5272" s="6">
        <f>ROUND(G5272*F5272,2)</f>
        <v/>
      </c>
      <c r="I5272">
        <f>IF(ROUND(H5272-D5272,2)=0,1,0)</f>
        <v/>
      </c>
      <c r="J5272">
        <f>IF(F5272="","none",IF(G5272=1,"carte","multiple"))</f>
        <v/>
      </c>
    </row>
    <row r="5273">
      <c r="A5273" t="inlineStr">
        <is>
          <t>2022-09-15</t>
        </is>
      </c>
      <c r="B5273" t="inlineStr">
        <is>
          <t>18:39</t>
        </is>
      </c>
      <c r="C5273" t="n">
        <v>3056</v>
      </c>
      <c r="D5273" s="6" t="n">
        <v>2.2</v>
      </c>
      <c r="E5273" t="n">
        <v>42321</v>
      </c>
      <c r="F5273" s="6" t="n">
        <v>2.2</v>
      </c>
      <c r="G5273" t="n">
        <v>1</v>
      </c>
      <c r="H5273" s="6">
        <f>ROUND(G5273*F5273,2)</f>
        <v/>
      </c>
      <c r="I5273">
        <f>IF(ROUND(H5273-D5273,2)=0,1,0)</f>
        <v/>
      </c>
      <c r="J5273">
        <f>IF(F5273="","none",IF(G5273=1,"carte","multiple"))</f>
        <v/>
      </c>
    </row>
    <row r="5274">
      <c r="A5274" t="inlineStr">
        <is>
          <t>2022-09-15</t>
        </is>
      </c>
      <c r="B5274" t="inlineStr">
        <is>
          <t>18:39</t>
        </is>
      </c>
      <c r="C5274" t="n">
        <v>3056</v>
      </c>
      <c r="D5274" s="6" t="n">
        <v>8.1</v>
      </c>
      <c r="E5274" t="n">
        <v>42322</v>
      </c>
      <c r="F5274" s="6" t="n">
        <v>8.1</v>
      </c>
      <c r="G5274" t="n">
        <v>1</v>
      </c>
      <c r="H5274" s="6">
        <f>ROUND(G5274*F5274,2)</f>
        <v/>
      </c>
      <c r="I5274">
        <f>IF(ROUND(H5274-D5274,2)=0,1,0)</f>
        <v/>
      </c>
      <c r="J5274">
        <f>IF(F5274="","none",IF(G5274=1,"carte","multiple"))</f>
        <v/>
      </c>
    </row>
    <row r="5275">
      <c r="A5275" t="inlineStr">
        <is>
          <t>2022-09-15</t>
        </is>
      </c>
      <c r="B5275" t="inlineStr">
        <is>
          <t>18:39</t>
        </is>
      </c>
      <c r="C5275" t="n">
        <v>3056</v>
      </c>
      <c r="D5275" s="6" t="n">
        <v>4</v>
      </c>
      <c r="E5275" t="n">
        <v>42323</v>
      </c>
      <c r="F5275" s="6" t="n">
        <v>4</v>
      </c>
      <c r="G5275" t="n">
        <v>1</v>
      </c>
      <c r="H5275" s="6">
        <f>ROUND(G5275*F5275,2)</f>
        <v/>
      </c>
      <c r="I5275">
        <f>IF(ROUND(H5275-D5275,2)=0,1,0)</f>
        <v/>
      </c>
      <c r="J5275">
        <f>IF(F5275="","none",IF(G5275=1,"carte","multiple"))</f>
        <v/>
      </c>
    </row>
    <row r="5276">
      <c r="A5276" t="inlineStr">
        <is>
          <t>2022-09-15</t>
        </is>
      </c>
      <c r="B5276" t="inlineStr">
        <is>
          <t>18:39</t>
        </is>
      </c>
      <c r="C5276" t="n">
        <v>3056</v>
      </c>
      <c r="D5276" s="6" t="n">
        <v>3.9</v>
      </c>
      <c r="E5276" t="n">
        <v>42324</v>
      </c>
      <c r="F5276" s="6" t="n">
        <v>3.9</v>
      </c>
      <c r="G5276" t="n">
        <v>1</v>
      </c>
      <c r="H5276" s="6">
        <f>ROUND(G5276*F5276,2)</f>
        <v/>
      </c>
      <c r="I5276">
        <f>IF(ROUND(H5276-D5276,2)=0,1,0)</f>
        <v/>
      </c>
      <c r="J5276">
        <f>IF(F5276="","none",IF(G5276=1,"carte","multiple"))</f>
        <v/>
      </c>
    </row>
    <row r="5277">
      <c r="A5277" t="inlineStr">
        <is>
          <t>2022-09-15</t>
        </is>
      </c>
      <c r="B5277" t="inlineStr">
        <is>
          <t>18:39</t>
        </is>
      </c>
      <c r="C5277" t="n">
        <v>3056</v>
      </c>
      <c r="D5277" s="6" t="n">
        <v>6.5</v>
      </c>
      <c r="E5277" t="n">
        <v>42325</v>
      </c>
      <c r="F5277" s="6" t="n">
        <v>6.5</v>
      </c>
      <c r="G5277" t="n">
        <v>1</v>
      </c>
      <c r="H5277" s="6">
        <f>ROUND(G5277*F5277,2)</f>
        <v/>
      </c>
      <c r="I5277">
        <f>IF(ROUND(H5277-D5277,2)=0,1,0)</f>
        <v/>
      </c>
      <c r="J5277">
        <f>IF(F5277="","none",IF(G5277=1,"carte","multiple"))</f>
        <v/>
      </c>
    </row>
    <row r="5278">
      <c r="A5278" t="inlineStr">
        <is>
          <t>2022-09-15</t>
        </is>
      </c>
      <c r="B5278" t="inlineStr">
        <is>
          <t>18:39</t>
        </is>
      </c>
      <c r="C5278" t="n">
        <v>3056</v>
      </c>
      <c r="D5278" s="6" t="n">
        <v>3.8</v>
      </c>
      <c r="E5278" t="n">
        <v>42326</v>
      </c>
      <c r="F5278" s="6" t="n">
        <v>3.8</v>
      </c>
      <c r="G5278" t="n">
        <v>1</v>
      </c>
      <c r="H5278" s="6">
        <f>ROUND(G5278*F5278,2)</f>
        <v/>
      </c>
      <c r="I5278">
        <f>IF(ROUND(H5278-D5278,2)=0,1,0)</f>
        <v/>
      </c>
      <c r="J5278">
        <f>IF(F5278="","none",IF(G5278=1,"carte","multiple"))</f>
        <v/>
      </c>
    </row>
    <row r="5279">
      <c r="A5279" t="inlineStr">
        <is>
          <t>2022-09-15</t>
        </is>
      </c>
      <c r="B5279" t="inlineStr">
        <is>
          <t>18:39</t>
        </is>
      </c>
      <c r="C5279" t="n">
        <v>3056</v>
      </c>
      <c r="D5279" s="6" t="n">
        <v>17.6</v>
      </c>
      <c r="E5279" t="n">
        <v>42327</v>
      </c>
      <c r="F5279" s="6" t="n">
        <v>17.6</v>
      </c>
      <c r="G5279" t="n">
        <v>1</v>
      </c>
      <c r="H5279" s="6">
        <f>ROUND(G5279*F5279,2)</f>
        <v/>
      </c>
      <c r="I5279">
        <f>IF(ROUND(H5279-D5279,2)=0,1,0)</f>
        <v/>
      </c>
      <c r="J5279">
        <f>IF(F5279="","none",IF(G5279=1,"carte","multiple"))</f>
        <v/>
      </c>
    </row>
    <row r="5280">
      <c r="A5280" t="inlineStr">
        <is>
          <t>2022-09-15</t>
        </is>
      </c>
      <c r="B5280" t="inlineStr">
        <is>
          <t>18:39</t>
        </is>
      </c>
      <c r="C5280" t="n">
        <v>3056</v>
      </c>
      <c r="D5280" s="6" t="n">
        <v>11</v>
      </c>
      <c r="E5280" t="n">
        <v>42328</v>
      </c>
      <c r="F5280" s="6" t="n">
        <v>11</v>
      </c>
      <c r="G5280" t="n">
        <v>1</v>
      </c>
      <c r="H5280" s="6">
        <f>ROUND(G5280*F5280,2)</f>
        <v/>
      </c>
      <c r="I5280">
        <f>IF(ROUND(H5280-D5280,2)=0,1,0)</f>
        <v/>
      </c>
      <c r="J5280">
        <f>IF(F5280="","none",IF(G5280=1,"carte","multiple"))</f>
        <v/>
      </c>
    </row>
    <row r="5281">
      <c r="A5281" t="inlineStr">
        <is>
          <t>2022-09-15</t>
        </is>
      </c>
      <c r="B5281" t="inlineStr">
        <is>
          <t>18:52</t>
        </is>
      </c>
      <c r="C5281" t="n">
        <v>3056</v>
      </c>
      <c r="D5281" s="6" t="n">
        <v>1.8</v>
      </c>
      <c r="E5281" t="n">
        <v>42329</v>
      </c>
      <c r="F5281" s="6" t="n">
        <v>1.8</v>
      </c>
      <c r="G5281" t="n">
        <v>1</v>
      </c>
      <c r="H5281" s="6">
        <f>ROUND(G5281*F5281,2)</f>
        <v/>
      </c>
      <c r="I5281">
        <f>IF(ROUND(H5281-D5281,2)=0,1,0)</f>
        <v/>
      </c>
      <c r="J5281">
        <f>IF(F5281="","none",IF(G5281=1,"carte","multiple"))</f>
        <v/>
      </c>
    </row>
    <row r="5282">
      <c r="A5282" t="inlineStr">
        <is>
          <t>2022-09-15</t>
        </is>
      </c>
      <c r="B5282" t="inlineStr">
        <is>
          <t>18:52</t>
        </is>
      </c>
      <c r="C5282" t="n">
        <v>3056</v>
      </c>
      <c r="D5282" s="6" t="n">
        <v>4.7</v>
      </c>
      <c r="E5282" t="n">
        <v>42330</v>
      </c>
      <c r="F5282" s="6" t="n">
        <v>4.7</v>
      </c>
      <c r="G5282" t="n">
        <v>1</v>
      </c>
      <c r="H5282" s="6">
        <f>ROUND(G5282*F5282,2)</f>
        <v/>
      </c>
      <c r="I5282">
        <f>IF(ROUND(H5282-D5282,2)=0,1,0)</f>
        <v/>
      </c>
      <c r="J5282">
        <f>IF(F5282="","none",IF(G5282=1,"carte","multiple"))</f>
        <v/>
      </c>
    </row>
    <row r="5283">
      <c r="A5283" t="inlineStr">
        <is>
          <t>2022-09-15</t>
        </is>
      </c>
      <c r="B5283" t="inlineStr">
        <is>
          <t>18:52</t>
        </is>
      </c>
      <c r="C5283" t="n">
        <v>3056</v>
      </c>
      <c r="D5283" s="6" t="n">
        <v>8.4</v>
      </c>
      <c r="E5283" t="n">
        <v>42331</v>
      </c>
      <c r="F5283" s="6" t="n">
        <v>8.4</v>
      </c>
      <c r="G5283" t="n">
        <v>1</v>
      </c>
      <c r="H5283" s="6">
        <f>ROUND(G5283*F5283,2)</f>
        <v/>
      </c>
      <c r="I5283">
        <f>IF(ROUND(H5283-D5283,2)=0,1,0)</f>
        <v/>
      </c>
      <c r="J5283">
        <f>IF(F5283="","none",IF(G5283=1,"carte","multiple"))</f>
        <v/>
      </c>
    </row>
    <row r="5284">
      <c r="A5284" t="inlineStr">
        <is>
          <t>2022-09-15</t>
        </is>
      </c>
      <c r="B5284" t="inlineStr">
        <is>
          <t>18:52</t>
        </is>
      </c>
      <c r="C5284" t="n">
        <v>3056</v>
      </c>
      <c r="D5284" s="6" t="n">
        <v>7.9</v>
      </c>
      <c r="E5284" t="n">
        <v>42332</v>
      </c>
      <c r="F5284" s="6" t="n">
        <v>7.9</v>
      </c>
      <c r="G5284" t="n">
        <v>1</v>
      </c>
      <c r="H5284" s="6">
        <f>ROUND(G5284*F5284,2)</f>
        <v/>
      </c>
      <c r="I5284">
        <f>IF(ROUND(H5284-D5284,2)=0,1,0)</f>
        <v/>
      </c>
      <c r="J5284">
        <f>IF(F5284="","none",IF(G5284=1,"carte","multiple"))</f>
        <v/>
      </c>
    </row>
    <row r="5285">
      <c r="A5285" t="inlineStr">
        <is>
          <t>2022-09-15</t>
        </is>
      </c>
      <c r="B5285" t="inlineStr">
        <is>
          <t>18:52</t>
        </is>
      </c>
      <c r="C5285" t="n">
        <v>3056</v>
      </c>
      <c r="D5285" s="6" t="n">
        <v>16.4</v>
      </c>
      <c r="E5285" t="n">
        <v>42333</v>
      </c>
      <c r="F5285" s="6" t="n">
        <v>16.4</v>
      </c>
      <c r="G5285" t="n">
        <v>1</v>
      </c>
      <c r="H5285" s="6">
        <f>ROUND(G5285*F5285,2)</f>
        <v/>
      </c>
      <c r="I5285">
        <f>IF(ROUND(H5285-D5285,2)=0,1,0)</f>
        <v/>
      </c>
      <c r="J5285">
        <f>IF(F5285="","none",IF(G5285=1,"carte","multiple"))</f>
        <v/>
      </c>
    </row>
    <row r="5286">
      <c r="A5286" t="inlineStr">
        <is>
          <t>2022-09-15</t>
        </is>
      </c>
      <c r="B5286" t="inlineStr">
        <is>
          <t>18:52</t>
        </is>
      </c>
      <c r="C5286" t="n">
        <v>3056</v>
      </c>
      <c r="D5286" s="6" t="n">
        <v>11</v>
      </c>
      <c r="E5286" t="n">
        <v>42334</v>
      </c>
      <c r="F5286" s="6" t="n">
        <v>11</v>
      </c>
      <c r="G5286" t="n">
        <v>1</v>
      </c>
      <c r="H5286" s="6">
        <f>ROUND(G5286*F5286,2)</f>
        <v/>
      </c>
      <c r="I5286">
        <f>IF(ROUND(H5286-D5286,2)=0,1,0)</f>
        <v/>
      </c>
      <c r="J5286">
        <f>IF(F5286="","none",IF(G5286=1,"carte","multiple"))</f>
        <v/>
      </c>
    </row>
    <row r="5287">
      <c r="A5287" t="inlineStr">
        <is>
          <t>2022-09-15</t>
        </is>
      </c>
      <c r="B5287" t="inlineStr">
        <is>
          <t>19:32</t>
        </is>
      </c>
      <c r="C5287" t="n">
        <v>3056</v>
      </c>
      <c r="D5287" s="6" t="n">
        <v>7.8</v>
      </c>
      <c r="E5287" t="n">
        <v>42335</v>
      </c>
      <c r="F5287" s="6" t="n">
        <v>7.8</v>
      </c>
      <c r="G5287" t="n">
        <v>1</v>
      </c>
      <c r="H5287" s="6">
        <f>ROUND(G5287*F5287,2)</f>
        <v/>
      </c>
      <c r="I5287">
        <f>IF(ROUND(H5287-D5287,2)=0,1,0)</f>
        <v/>
      </c>
      <c r="J5287">
        <f>IF(F5287="","none",IF(G5287=1,"carte","multiple"))</f>
        <v/>
      </c>
    </row>
    <row r="5288">
      <c r="A5288" t="inlineStr">
        <is>
          <t>2022-09-15</t>
        </is>
      </c>
      <c r="B5288" t="inlineStr">
        <is>
          <t>19:32</t>
        </is>
      </c>
      <c r="C5288" t="n">
        <v>3056</v>
      </c>
      <c r="D5288" s="6" t="n">
        <v>5.9</v>
      </c>
      <c r="E5288" t="n">
        <v>42336</v>
      </c>
      <c r="F5288" s="6" t="n">
        <v>5.9</v>
      </c>
      <c r="G5288" t="n">
        <v>1</v>
      </c>
      <c r="H5288" s="6">
        <f>ROUND(G5288*F5288,2)</f>
        <v/>
      </c>
      <c r="I5288">
        <f>IF(ROUND(H5288-D5288,2)=0,1,0)</f>
        <v/>
      </c>
      <c r="J5288">
        <f>IF(F5288="","none",IF(G5288=1,"carte","multiple"))</f>
        <v/>
      </c>
    </row>
    <row r="5289">
      <c r="A5289" t="inlineStr">
        <is>
          <t>2022-09-15</t>
        </is>
      </c>
      <c r="B5289" t="inlineStr">
        <is>
          <t>19:32</t>
        </is>
      </c>
      <c r="C5289" t="n">
        <v>3056</v>
      </c>
      <c r="D5289" s="6" t="n">
        <v>3.9</v>
      </c>
      <c r="E5289" t="n">
        <v>42337</v>
      </c>
      <c r="F5289" s="6" t="n">
        <v>3.9</v>
      </c>
      <c r="G5289" t="n">
        <v>1</v>
      </c>
      <c r="H5289" s="6">
        <f>ROUND(G5289*F5289,2)</f>
        <v/>
      </c>
      <c r="I5289">
        <f>IF(ROUND(H5289-D5289,2)=0,1,0)</f>
        <v/>
      </c>
      <c r="J5289">
        <f>IF(F5289="","none",IF(G5289=1,"carte","multiple"))</f>
        <v/>
      </c>
    </row>
    <row r="5290">
      <c r="A5290" t="inlineStr">
        <is>
          <t>2022-09-15</t>
        </is>
      </c>
      <c r="B5290" t="inlineStr">
        <is>
          <t>19:32</t>
        </is>
      </c>
      <c r="C5290" t="n">
        <v>3056</v>
      </c>
      <c r="D5290" s="6" t="n">
        <v>39.8</v>
      </c>
      <c r="E5290" t="n">
        <v>42338</v>
      </c>
      <c r="F5290" s="6" t="n">
        <v>39.8</v>
      </c>
      <c r="G5290" t="n">
        <v>1</v>
      </c>
      <c r="H5290" s="6">
        <f>ROUND(G5290*F5290,2)</f>
        <v/>
      </c>
      <c r="I5290">
        <f>IF(ROUND(H5290-D5290,2)=0,1,0)</f>
        <v/>
      </c>
      <c r="J5290">
        <f>IF(F5290="","none",IF(G5290=1,"carte","multiple"))</f>
        <v/>
      </c>
    </row>
    <row r="5291">
      <c r="A5291" t="inlineStr">
        <is>
          <t>2022-09-15</t>
        </is>
      </c>
      <c r="B5291" t="inlineStr">
        <is>
          <t>19:32</t>
        </is>
      </c>
      <c r="C5291" t="n">
        <v>3056</v>
      </c>
      <c r="D5291" s="6" t="n">
        <v>9.800000000000001</v>
      </c>
      <c r="E5291" t="n">
        <v>42339</v>
      </c>
      <c r="F5291" s="6" t="n">
        <v>9.800000000000001</v>
      </c>
      <c r="G5291" t="n">
        <v>1</v>
      </c>
      <c r="H5291" s="6">
        <f>ROUND(G5291*F5291,2)</f>
        <v/>
      </c>
      <c r="I5291">
        <f>IF(ROUND(H5291-D5291,2)=0,1,0)</f>
        <v/>
      </c>
      <c r="J5291">
        <f>IF(F5291="","none",IF(G5291=1,"carte","multiple"))</f>
        <v/>
      </c>
    </row>
    <row r="5292">
      <c r="A5292" t="inlineStr">
        <is>
          <t>2022-09-15</t>
        </is>
      </c>
      <c r="B5292" t="inlineStr">
        <is>
          <t>19:44</t>
        </is>
      </c>
      <c r="C5292" t="n">
        <v>3056</v>
      </c>
      <c r="D5292" s="6" t="n">
        <v>3.4</v>
      </c>
      <c r="E5292" t="n">
        <v>42340</v>
      </c>
      <c r="F5292" s="6" t="n">
        <v>3.4</v>
      </c>
      <c r="G5292" t="n">
        <v>1</v>
      </c>
      <c r="H5292" s="6">
        <f>ROUND(G5292*F5292,2)</f>
        <v/>
      </c>
      <c r="I5292">
        <f>IF(ROUND(H5292-D5292,2)=0,1,0)</f>
        <v/>
      </c>
      <c r="J5292">
        <f>IF(F5292="","none",IF(G5292=1,"carte","multiple"))</f>
        <v/>
      </c>
    </row>
    <row r="5293">
      <c r="A5293" t="inlineStr">
        <is>
          <t>2022-09-15</t>
        </is>
      </c>
      <c r="B5293" t="inlineStr">
        <is>
          <t>19:44</t>
        </is>
      </c>
      <c r="C5293" t="n">
        <v>3056</v>
      </c>
      <c r="D5293" s="6" t="n">
        <v>13</v>
      </c>
      <c r="E5293" t="n">
        <v>42341</v>
      </c>
      <c r="F5293" s="6" t="n">
        <v>13</v>
      </c>
      <c r="G5293" t="n">
        <v>1</v>
      </c>
      <c r="H5293" s="6">
        <f>ROUND(G5293*F5293,2)</f>
        <v/>
      </c>
      <c r="I5293">
        <f>IF(ROUND(H5293-D5293,2)=0,1,0)</f>
        <v/>
      </c>
      <c r="J5293">
        <f>IF(F5293="","none",IF(G5293=1,"carte","multiple"))</f>
        <v/>
      </c>
    </row>
    <row r="5294">
      <c r="A5294" t="inlineStr">
        <is>
          <t>2022-09-15</t>
        </is>
      </c>
      <c r="B5294" t="inlineStr">
        <is>
          <t>19:44</t>
        </is>
      </c>
      <c r="C5294" t="n">
        <v>3056</v>
      </c>
      <c r="D5294" s="6" t="n">
        <v>23</v>
      </c>
      <c r="E5294" t="n">
        <v>42342</v>
      </c>
      <c r="F5294" s="6" t="n">
        <v>23</v>
      </c>
      <c r="G5294" t="n">
        <v>1</v>
      </c>
      <c r="H5294" s="6">
        <f>ROUND(G5294*F5294,2)</f>
        <v/>
      </c>
      <c r="I5294">
        <f>IF(ROUND(H5294-D5294,2)=0,1,0)</f>
        <v/>
      </c>
      <c r="J5294">
        <f>IF(F5294="","none",IF(G5294=1,"carte","multiple"))</f>
        <v/>
      </c>
    </row>
    <row r="5295">
      <c r="A5295" t="inlineStr">
        <is>
          <t>2022-09-15</t>
        </is>
      </c>
      <c r="B5295" t="inlineStr">
        <is>
          <t>19:44</t>
        </is>
      </c>
      <c r="C5295" t="n">
        <v>3056</v>
      </c>
      <c r="D5295" s="6" t="n">
        <v>12</v>
      </c>
      <c r="E5295" t="n">
        <v>42343</v>
      </c>
      <c r="F5295" s="6" t="n">
        <v>12</v>
      </c>
      <c r="G5295" t="n">
        <v>1</v>
      </c>
      <c r="H5295" s="6">
        <f>ROUND(G5295*F5295,2)</f>
        <v/>
      </c>
      <c r="I5295">
        <f>IF(ROUND(H5295-D5295,2)=0,1,0)</f>
        <v/>
      </c>
      <c r="J5295">
        <f>IF(F5295="","none",IF(G5295=1,"carte","multiple"))</f>
        <v/>
      </c>
    </row>
    <row r="5296">
      <c r="A5296" t="inlineStr">
        <is>
          <t>2022-09-16</t>
        </is>
      </c>
      <c r="B5296" t="inlineStr">
        <is>
          <t>12:12</t>
        </is>
      </c>
      <c r="C5296" t="n">
        <v>3057</v>
      </c>
      <c r="D5296" s="6" t="n">
        <v>8.699999999999999</v>
      </c>
      <c r="E5296" t="n">
        <v>42346</v>
      </c>
      <c r="F5296" s="6" t="n">
        <v>8.699999999999999</v>
      </c>
      <c r="G5296" t="n">
        <v>1</v>
      </c>
      <c r="H5296" s="6">
        <f>ROUND(G5296*F5296,2)</f>
        <v/>
      </c>
      <c r="I5296">
        <f>IF(ROUND(H5296-D5296,2)=0,1,0)</f>
        <v/>
      </c>
      <c r="J5296">
        <f>IF(F5296="","none",IF(G5296=1,"carte","multiple"))</f>
        <v/>
      </c>
    </row>
    <row r="5297">
      <c r="A5297" t="inlineStr">
        <is>
          <t>2022-09-16</t>
        </is>
      </c>
      <c r="B5297" t="inlineStr">
        <is>
          <t>12:12</t>
        </is>
      </c>
      <c r="C5297" t="n">
        <v>3057</v>
      </c>
      <c r="D5297" s="6" t="n">
        <v>1.2</v>
      </c>
      <c r="E5297" t="n">
        <v>42347</v>
      </c>
      <c r="F5297" s="6" t="n">
        <v>1.2</v>
      </c>
      <c r="G5297" t="n">
        <v>1</v>
      </c>
      <c r="H5297" s="6">
        <f>ROUND(G5297*F5297,2)</f>
        <v/>
      </c>
      <c r="I5297">
        <f>IF(ROUND(H5297-D5297,2)=0,1,0)</f>
        <v/>
      </c>
      <c r="J5297">
        <f>IF(F5297="","none",IF(G5297=1,"carte","multiple"))</f>
        <v/>
      </c>
    </row>
    <row r="5298">
      <c r="A5298" t="inlineStr">
        <is>
          <t>2022-09-16</t>
        </is>
      </c>
      <c r="B5298" t="inlineStr">
        <is>
          <t>12:12</t>
        </is>
      </c>
      <c r="C5298" t="n">
        <v>3057</v>
      </c>
      <c r="D5298" s="6" t="n">
        <v>3.5</v>
      </c>
      <c r="E5298" t="n">
        <v>42348</v>
      </c>
      <c r="F5298" s="6" t="n">
        <v>3.5</v>
      </c>
      <c r="G5298" t="n">
        <v>1</v>
      </c>
      <c r="H5298" s="6">
        <f>ROUND(G5298*F5298,2)</f>
        <v/>
      </c>
      <c r="I5298">
        <f>IF(ROUND(H5298-D5298,2)=0,1,0)</f>
        <v/>
      </c>
      <c r="J5298">
        <f>IF(F5298="","none",IF(G5298=1,"carte","multiple"))</f>
        <v/>
      </c>
    </row>
    <row r="5299">
      <c r="A5299" t="inlineStr">
        <is>
          <t>2022-09-16</t>
        </is>
      </c>
      <c r="B5299" t="inlineStr">
        <is>
          <t>12:12</t>
        </is>
      </c>
      <c r="C5299" t="n">
        <v>3057</v>
      </c>
      <c r="D5299" s="6" t="n">
        <v>4</v>
      </c>
      <c r="E5299" t="n">
        <v>42349</v>
      </c>
      <c r="F5299" s="6" t="n">
        <v>4</v>
      </c>
      <c r="G5299" t="n">
        <v>1</v>
      </c>
      <c r="H5299" s="6">
        <f>ROUND(G5299*F5299,2)</f>
        <v/>
      </c>
      <c r="I5299">
        <f>IF(ROUND(H5299-D5299,2)=0,1,0)</f>
        <v/>
      </c>
      <c r="J5299">
        <f>IF(F5299="","none",IF(G5299=1,"carte","multiple"))</f>
        <v/>
      </c>
    </row>
    <row r="5300">
      <c r="A5300" t="inlineStr">
        <is>
          <t>2022-09-16</t>
        </is>
      </c>
      <c r="B5300" t="inlineStr">
        <is>
          <t>12:12</t>
        </is>
      </c>
      <c r="C5300" t="n">
        <v>3057</v>
      </c>
      <c r="D5300" s="6" t="n">
        <v>3.9</v>
      </c>
      <c r="E5300" t="n">
        <v>42350</v>
      </c>
      <c r="F5300" s="6" t="n">
        <v>3.9</v>
      </c>
      <c r="G5300" t="n">
        <v>1</v>
      </c>
      <c r="H5300" s="6">
        <f>ROUND(G5300*F5300,2)</f>
        <v/>
      </c>
      <c r="I5300">
        <f>IF(ROUND(H5300-D5300,2)=0,1,0)</f>
        <v/>
      </c>
      <c r="J5300">
        <f>IF(F5300="","none",IF(G5300=1,"carte","multiple"))</f>
        <v/>
      </c>
    </row>
    <row r="5301">
      <c r="A5301" t="inlineStr">
        <is>
          <t>2022-09-16</t>
        </is>
      </c>
      <c r="B5301" t="inlineStr">
        <is>
          <t>12:12</t>
        </is>
      </c>
      <c r="C5301" t="n">
        <v>3057</v>
      </c>
      <c r="D5301" s="6" t="n">
        <v>2.9</v>
      </c>
      <c r="E5301" t="n">
        <v>42351</v>
      </c>
      <c r="F5301" s="6" t="n">
        <v>2.9</v>
      </c>
      <c r="G5301" t="n">
        <v>1</v>
      </c>
      <c r="H5301" s="6">
        <f>ROUND(G5301*F5301,2)</f>
        <v/>
      </c>
      <c r="I5301">
        <f>IF(ROUND(H5301-D5301,2)=0,1,0)</f>
        <v/>
      </c>
      <c r="J5301">
        <f>IF(F5301="","none",IF(G5301=1,"carte","multiple"))</f>
        <v/>
      </c>
    </row>
    <row r="5302">
      <c r="A5302" t="inlineStr">
        <is>
          <t>2022-09-16</t>
        </is>
      </c>
      <c r="B5302" t="inlineStr">
        <is>
          <t>12:12</t>
        </is>
      </c>
      <c r="C5302" t="n">
        <v>3057</v>
      </c>
      <c r="D5302" s="6" t="n">
        <v>32</v>
      </c>
      <c r="E5302" t="n">
        <v>42352</v>
      </c>
      <c r="F5302" s="6" t="n">
        <v>32</v>
      </c>
      <c r="G5302" t="n">
        <v>1</v>
      </c>
      <c r="H5302" s="6">
        <f>ROUND(G5302*F5302,2)</f>
        <v/>
      </c>
      <c r="I5302">
        <f>IF(ROUND(H5302-D5302,2)=0,1,0)</f>
        <v/>
      </c>
      <c r="J5302">
        <f>IF(F5302="","none",IF(G5302=1,"carte","multiple"))</f>
        <v/>
      </c>
    </row>
    <row r="5303">
      <c r="A5303" t="inlineStr">
        <is>
          <t>2022-09-16</t>
        </is>
      </c>
      <c r="B5303" t="inlineStr">
        <is>
          <t>12:12</t>
        </is>
      </c>
      <c r="C5303" t="n">
        <v>3057</v>
      </c>
      <c r="D5303" s="6" t="n">
        <v>4.9</v>
      </c>
      <c r="E5303" t="n">
        <v>42353</v>
      </c>
      <c r="F5303" s="6" t="n">
        <v>4.9</v>
      </c>
      <c r="G5303" t="n">
        <v>1</v>
      </c>
      <c r="H5303" s="6">
        <f>ROUND(G5303*F5303,2)</f>
        <v/>
      </c>
      <c r="I5303">
        <f>IF(ROUND(H5303-D5303,2)=0,1,0)</f>
        <v/>
      </c>
      <c r="J5303">
        <f>IF(F5303="","none",IF(G5303=1,"carte","multiple"))</f>
        <v/>
      </c>
    </row>
    <row r="5304">
      <c r="A5304" t="inlineStr">
        <is>
          <t>2022-09-16</t>
        </is>
      </c>
      <c r="B5304" t="inlineStr">
        <is>
          <t>12:12</t>
        </is>
      </c>
      <c r="C5304" t="n">
        <v>3057</v>
      </c>
      <c r="D5304" s="6" t="n">
        <v>5.2</v>
      </c>
      <c r="E5304" t="n">
        <v>42354</v>
      </c>
      <c r="F5304" s="6" t="n">
        <v>5.2</v>
      </c>
      <c r="G5304" t="n">
        <v>1</v>
      </c>
      <c r="H5304" s="6">
        <f>ROUND(G5304*F5304,2)</f>
        <v/>
      </c>
      <c r="I5304">
        <f>IF(ROUND(H5304-D5304,2)=0,1,0)</f>
        <v/>
      </c>
      <c r="J5304">
        <f>IF(F5304="","none",IF(G5304=1,"carte","multiple"))</f>
        <v/>
      </c>
    </row>
    <row r="5305">
      <c r="A5305" t="inlineStr">
        <is>
          <t>2022-09-16</t>
        </is>
      </c>
      <c r="B5305" t="inlineStr">
        <is>
          <t>12:13</t>
        </is>
      </c>
      <c r="C5305" t="n">
        <v>3057</v>
      </c>
      <c r="D5305" s="6" t="n">
        <v>14.5</v>
      </c>
      <c r="E5305" t="n">
        <v>42355</v>
      </c>
      <c r="F5305" s="6" t="n">
        <v>14.5</v>
      </c>
      <c r="G5305" t="n">
        <v>1</v>
      </c>
      <c r="H5305" s="6">
        <f>ROUND(G5305*F5305,2)</f>
        <v/>
      </c>
      <c r="I5305">
        <f>IF(ROUND(H5305-D5305,2)=0,1,0)</f>
        <v/>
      </c>
      <c r="J5305">
        <f>IF(F5305="","none",IF(G5305=1,"carte","multiple"))</f>
        <v/>
      </c>
    </row>
    <row r="5306">
      <c r="A5306" t="inlineStr">
        <is>
          <t>2022-09-16</t>
        </is>
      </c>
      <c r="B5306" t="inlineStr">
        <is>
          <t>12:13</t>
        </is>
      </c>
      <c r="C5306" t="n">
        <v>3057</v>
      </c>
      <c r="D5306" s="6" t="n">
        <v>16.9</v>
      </c>
      <c r="E5306" t="n">
        <v>42356</v>
      </c>
      <c r="F5306" s="6" t="n">
        <v>16.9</v>
      </c>
      <c r="G5306" t="n">
        <v>1</v>
      </c>
      <c r="H5306" s="6">
        <f>ROUND(G5306*F5306,2)</f>
        <v/>
      </c>
      <c r="I5306">
        <f>IF(ROUND(H5306-D5306,2)=0,1,0)</f>
        <v/>
      </c>
      <c r="J5306">
        <f>IF(F5306="","none",IF(G5306=1,"carte","multiple"))</f>
        <v/>
      </c>
    </row>
    <row r="5307">
      <c r="A5307" t="inlineStr">
        <is>
          <t>2022-09-16</t>
        </is>
      </c>
      <c r="B5307" t="inlineStr">
        <is>
          <t>12:13</t>
        </is>
      </c>
      <c r="C5307" t="n">
        <v>3057</v>
      </c>
      <c r="D5307" s="6" t="n">
        <v>7.2</v>
      </c>
      <c r="E5307" t="n">
        <v>42357</v>
      </c>
      <c r="F5307" s="6" t="n">
        <v>7.2</v>
      </c>
      <c r="G5307" t="n">
        <v>1</v>
      </c>
      <c r="H5307" s="6">
        <f>ROUND(G5307*F5307,2)</f>
        <v/>
      </c>
      <c r="I5307">
        <f>IF(ROUND(H5307-D5307,2)=0,1,0)</f>
        <v/>
      </c>
      <c r="J5307">
        <f>IF(F5307="","none",IF(G5307=1,"carte","multiple"))</f>
        <v/>
      </c>
    </row>
    <row r="5308">
      <c r="A5308" t="inlineStr">
        <is>
          <t>2022-09-16</t>
        </is>
      </c>
      <c r="B5308" t="inlineStr">
        <is>
          <t>18:14</t>
        </is>
      </c>
      <c r="C5308" t="n">
        <v>3057</v>
      </c>
      <c r="D5308" s="6" t="n">
        <v>29.9</v>
      </c>
      <c r="E5308" t="n">
        <v>42358</v>
      </c>
      <c r="F5308" s="6" t="n">
        <v>29.9</v>
      </c>
      <c r="G5308" t="n">
        <v>1</v>
      </c>
      <c r="H5308" s="6">
        <f>ROUND(G5308*F5308,2)</f>
        <v/>
      </c>
      <c r="I5308">
        <f>IF(ROUND(H5308-D5308,2)=0,1,0)</f>
        <v/>
      </c>
      <c r="J5308">
        <f>IF(F5308="","none",IF(G5308=1,"carte","multiple"))</f>
        <v/>
      </c>
    </row>
    <row r="5309">
      <c r="A5309" t="inlineStr">
        <is>
          <t>2022-09-16</t>
        </is>
      </c>
      <c r="B5309" t="inlineStr">
        <is>
          <t>18:16</t>
        </is>
      </c>
      <c r="C5309" t="n">
        <v>3057</v>
      </c>
      <c r="D5309" s="6" t="n">
        <v>34.8</v>
      </c>
      <c r="E5309" t="n">
        <v>42359</v>
      </c>
      <c r="F5309" s="6" t="n">
        <v>34.8</v>
      </c>
      <c r="G5309" t="n">
        <v>1</v>
      </c>
      <c r="H5309" s="6">
        <f>ROUND(G5309*F5309,2)</f>
        <v/>
      </c>
      <c r="I5309">
        <f>IF(ROUND(H5309-D5309,2)=0,1,0)</f>
        <v/>
      </c>
      <c r="J5309">
        <f>IF(F5309="","none",IF(G5309=1,"carte","multiple"))</f>
        <v/>
      </c>
    </row>
    <row r="5310">
      <c r="A5310" t="inlineStr">
        <is>
          <t>2022-09-16</t>
        </is>
      </c>
      <c r="B5310" t="inlineStr">
        <is>
          <t>18:31</t>
        </is>
      </c>
      <c r="C5310" t="n">
        <v>3057</v>
      </c>
      <c r="D5310" s="6" t="n">
        <v>5.9</v>
      </c>
      <c r="E5310" t="n">
        <v>42360</v>
      </c>
      <c r="F5310" s="6" t="n">
        <v>5.9</v>
      </c>
      <c r="G5310" t="n">
        <v>1</v>
      </c>
      <c r="H5310" s="6">
        <f>ROUND(G5310*F5310,2)</f>
        <v/>
      </c>
      <c r="I5310">
        <f>IF(ROUND(H5310-D5310,2)=0,1,0)</f>
        <v/>
      </c>
      <c r="J5310">
        <f>IF(F5310="","none",IF(G5310=1,"carte","multiple"))</f>
        <v/>
      </c>
    </row>
    <row r="5311">
      <c r="A5311" t="inlineStr">
        <is>
          <t>2022-09-16</t>
        </is>
      </c>
      <c r="B5311" t="inlineStr">
        <is>
          <t>18:31</t>
        </is>
      </c>
      <c r="C5311" t="n">
        <v>3057</v>
      </c>
      <c r="D5311" s="6" t="n">
        <v>27.8</v>
      </c>
      <c r="E5311" t="n">
        <v>42361</v>
      </c>
      <c r="F5311" s="6" t="n">
        <v>27.8</v>
      </c>
      <c r="G5311" t="n">
        <v>1</v>
      </c>
      <c r="H5311" s="6">
        <f>ROUND(G5311*F5311,2)</f>
        <v/>
      </c>
      <c r="I5311">
        <f>IF(ROUND(H5311-D5311,2)=0,1,0)</f>
        <v/>
      </c>
      <c r="J5311">
        <f>IF(F5311="","none",IF(G5311=1,"carte","multiple"))</f>
        <v/>
      </c>
    </row>
    <row r="5312">
      <c r="A5312" t="inlineStr">
        <is>
          <t>2022-09-16</t>
        </is>
      </c>
      <c r="B5312" t="inlineStr">
        <is>
          <t>18:31</t>
        </is>
      </c>
      <c r="C5312" t="n">
        <v>3057</v>
      </c>
      <c r="D5312" s="6" t="n">
        <v>17.6</v>
      </c>
      <c r="E5312" t="n">
        <v>42362</v>
      </c>
      <c r="F5312" s="6" t="n">
        <v>17.6</v>
      </c>
      <c r="G5312" t="n">
        <v>1</v>
      </c>
      <c r="H5312" s="6">
        <f>ROUND(G5312*F5312,2)</f>
        <v/>
      </c>
      <c r="I5312">
        <f>IF(ROUND(H5312-D5312,2)=0,1,0)</f>
        <v/>
      </c>
      <c r="J5312">
        <f>IF(F5312="","none",IF(G5312=1,"carte","multiple"))</f>
        <v/>
      </c>
    </row>
    <row r="5313">
      <c r="A5313" t="inlineStr">
        <is>
          <t>2022-09-16</t>
        </is>
      </c>
      <c r="B5313" t="inlineStr">
        <is>
          <t>18:31</t>
        </is>
      </c>
      <c r="C5313" t="n">
        <v>3057</v>
      </c>
      <c r="D5313" s="6" t="n">
        <v>4.2</v>
      </c>
      <c r="E5313" t="n">
        <v>42363</v>
      </c>
      <c r="F5313" s="6" t="n">
        <v>4.2</v>
      </c>
      <c r="G5313" t="n">
        <v>1</v>
      </c>
      <c r="H5313" s="6">
        <f>ROUND(G5313*F5313,2)</f>
        <v/>
      </c>
      <c r="I5313">
        <f>IF(ROUND(H5313-D5313,2)=0,1,0)</f>
        <v/>
      </c>
      <c r="J5313">
        <f>IF(F5313="","none",IF(G5313=1,"carte","multiple"))</f>
        <v/>
      </c>
    </row>
    <row r="5314">
      <c r="A5314" t="inlineStr">
        <is>
          <t>2022-09-16</t>
        </is>
      </c>
      <c r="B5314" t="inlineStr">
        <is>
          <t>18:31</t>
        </is>
      </c>
      <c r="C5314" t="n">
        <v>3057</v>
      </c>
      <c r="D5314" s="6" t="n">
        <v>6.5</v>
      </c>
      <c r="E5314" t="n">
        <v>42364</v>
      </c>
      <c r="F5314" s="6" t="n">
        <v>6.5</v>
      </c>
      <c r="G5314" t="n">
        <v>1</v>
      </c>
      <c r="H5314" s="6">
        <f>ROUND(G5314*F5314,2)</f>
        <v/>
      </c>
      <c r="I5314">
        <f>IF(ROUND(H5314-D5314,2)=0,1,0)</f>
        <v/>
      </c>
      <c r="J5314">
        <f>IF(F5314="","none",IF(G5314=1,"carte","multiple"))</f>
        <v/>
      </c>
    </row>
    <row r="5315">
      <c r="A5315" t="inlineStr">
        <is>
          <t>2022-09-16</t>
        </is>
      </c>
      <c r="B5315" t="inlineStr">
        <is>
          <t>20:19</t>
        </is>
      </c>
      <c r="C5315" t="n">
        <v>3057</v>
      </c>
      <c r="D5315" s="6" t="n">
        <v>8.699999999999999</v>
      </c>
      <c r="E5315" t="n">
        <v>42365</v>
      </c>
      <c r="F5315" s="6" t="n">
        <v>8.699999999999999</v>
      </c>
      <c r="G5315" t="n">
        <v>1</v>
      </c>
      <c r="H5315" s="6">
        <f>ROUND(G5315*F5315,2)</f>
        <v/>
      </c>
      <c r="I5315">
        <f>IF(ROUND(H5315-D5315,2)=0,1,0)</f>
        <v/>
      </c>
      <c r="J5315">
        <f>IF(F5315="","none",IF(G5315=1,"carte","multiple"))</f>
        <v/>
      </c>
    </row>
    <row r="5316">
      <c r="A5316" t="inlineStr">
        <is>
          <t>2022-09-16</t>
        </is>
      </c>
      <c r="B5316" t="inlineStr">
        <is>
          <t>20:19</t>
        </is>
      </c>
      <c r="C5316" t="n">
        <v>3057</v>
      </c>
      <c r="D5316" s="6" t="n">
        <v>14</v>
      </c>
      <c r="E5316" t="n">
        <v>42366</v>
      </c>
      <c r="F5316" s="6" t="n">
        <v>14</v>
      </c>
      <c r="G5316" t="n">
        <v>1</v>
      </c>
      <c r="H5316" s="6">
        <f>ROUND(G5316*F5316,2)</f>
        <v/>
      </c>
      <c r="I5316">
        <f>IF(ROUND(H5316-D5316,2)=0,1,0)</f>
        <v/>
      </c>
      <c r="J5316">
        <f>IF(F5316="","none",IF(G5316=1,"carte","multiple"))</f>
        <v/>
      </c>
    </row>
    <row r="5317">
      <c r="A5317" t="inlineStr">
        <is>
          <t>2022-09-16</t>
        </is>
      </c>
      <c r="B5317" t="inlineStr">
        <is>
          <t>20:19</t>
        </is>
      </c>
      <c r="C5317" t="n">
        <v>3057</v>
      </c>
      <c r="D5317" s="6" t="n">
        <v>15.6</v>
      </c>
      <c r="E5317" t="n">
        <v>42367</v>
      </c>
      <c r="F5317" s="6" t="n">
        <v>15.6</v>
      </c>
      <c r="G5317" t="n">
        <v>1</v>
      </c>
      <c r="H5317" s="6">
        <f>ROUND(G5317*F5317,2)</f>
        <v/>
      </c>
      <c r="I5317">
        <f>IF(ROUND(H5317-D5317,2)=0,1,0)</f>
        <v/>
      </c>
      <c r="J5317">
        <f>IF(F5317="","none",IF(G5317=1,"carte","multiple"))</f>
        <v/>
      </c>
    </row>
    <row r="5318">
      <c r="A5318" t="inlineStr">
        <is>
          <t>2022-09-16</t>
        </is>
      </c>
      <c r="B5318" t="inlineStr">
        <is>
          <t>20:19</t>
        </is>
      </c>
      <c r="C5318" t="n">
        <v>3057</v>
      </c>
      <c r="D5318" s="6" t="n">
        <v>14.5</v>
      </c>
      <c r="E5318" t="n">
        <v>42368</v>
      </c>
      <c r="F5318" s="6" t="n">
        <v>14.5</v>
      </c>
      <c r="G5318" t="n">
        <v>1</v>
      </c>
      <c r="H5318" s="6">
        <f>ROUND(G5318*F5318,2)</f>
        <v/>
      </c>
      <c r="I5318">
        <f>IF(ROUND(H5318-D5318,2)=0,1,0)</f>
        <v/>
      </c>
      <c r="J5318">
        <f>IF(F5318="","none",IF(G5318=1,"carte","multiple"))</f>
        <v/>
      </c>
    </row>
    <row r="5319">
      <c r="A5319" t="inlineStr">
        <is>
          <t>2022-09-16</t>
        </is>
      </c>
      <c r="B5319" t="inlineStr">
        <is>
          <t>20:19</t>
        </is>
      </c>
      <c r="C5319" t="n">
        <v>3057</v>
      </c>
      <c r="D5319" s="6" t="n">
        <v>19</v>
      </c>
      <c r="E5319" t="n">
        <v>42369</v>
      </c>
      <c r="F5319" s="6" t="n">
        <v>19</v>
      </c>
      <c r="G5319" t="n">
        <v>1</v>
      </c>
      <c r="H5319" s="6">
        <f>ROUND(G5319*F5319,2)</f>
        <v/>
      </c>
      <c r="I5319">
        <f>IF(ROUND(H5319-D5319,2)=0,1,0)</f>
        <v/>
      </c>
      <c r="J5319">
        <f>IF(F5319="","none",IF(G5319=1,"carte","multiple"))</f>
        <v/>
      </c>
    </row>
    <row r="5320">
      <c r="A5320" t="inlineStr">
        <is>
          <t>2022-09-16</t>
        </is>
      </c>
      <c r="B5320" t="inlineStr">
        <is>
          <t>20:19</t>
        </is>
      </c>
      <c r="C5320" t="n">
        <v>3057</v>
      </c>
      <c r="D5320" s="6" t="n">
        <v>9</v>
      </c>
      <c r="E5320" t="n">
        <v>42370</v>
      </c>
      <c r="F5320" s="6" t="n">
        <v>9</v>
      </c>
      <c r="G5320" t="n">
        <v>1</v>
      </c>
      <c r="H5320" s="6">
        <f>ROUND(G5320*F5320,2)</f>
        <v/>
      </c>
      <c r="I5320">
        <f>IF(ROUND(H5320-D5320,2)=0,1,0)</f>
        <v/>
      </c>
      <c r="J5320">
        <f>IF(F5320="","none",IF(G5320=1,"carte","multiple"))</f>
        <v/>
      </c>
    </row>
    <row r="5321">
      <c r="A5321" t="inlineStr">
        <is>
          <t>2022-09-16</t>
        </is>
      </c>
      <c r="B5321" t="inlineStr">
        <is>
          <t>20:19</t>
        </is>
      </c>
      <c r="C5321" t="n">
        <v>3057</v>
      </c>
      <c r="D5321" s="6" t="n">
        <v>3.9</v>
      </c>
      <c r="E5321" t="n">
        <v>42371</v>
      </c>
      <c r="F5321" s="6" t="n">
        <v>3.9</v>
      </c>
      <c r="G5321" t="n">
        <v>1</v>
      </c>
      <c r="H5321" s="6">
        <f>ROUND(G5321*F5321,2)</f>
        <v/>
      </c>
      <c r="I5321">
        <f>IF(ROUND(H5321-D5321,2)=0,1,0)</f>
        <v/>
      </c>
      <c r="J5321">
        <f>IF(F5321="","none",IF(G5321=1,"carte","multiple"))</f>
        <v/>
      </c>
    </row>
    <row r="5322">
      <c r="A5322" t="inlineStr">
        <is>
          <t>2022-09-17</t>
        </is>
      </c>
      <c r="B5322" t="inlineStr">
        <is>
          <t>12:03</t>
        </is>
      </c>
      <c r="C5322" t="n">
        <v>3058</v>
      </c>
      <c r="D5322" s="6" t="n">
        <v>14</v>
      </c>
      <c r="E5322" t="n">
        <v>42374</v>
      </c>
      <c r="F5322" s="6" t="n">
        <v>14</v>
      </c>
      <c r="G5322" t="n">
        <v>1</v>
      </c>
      <c r="H5322" s="6">
        <f>ROUND(G5322*F5322,2)</f>
        <v/>
      </c>
      <c r="I5322">
        <f>IF(ROUND(H5322-D5322,2)=0,1,0)</f>
        <v/>
      </c>
      <c r="J5322">
        <f>IF(F5322="","none",IF(G5322=1,"carte","multiple"))</f>
        <v/>
      </c>
    </row>
    <row r="5323">
      <c r="A5323" t="inlineStr">
        <is>
          <t>2022-09-17</t>
        </is>
      </c>
      <c r="B5323" t="inlineStr">
        <is>
          <t>12:03</t>
        </is>
      </c>
      <c r="C5323" t="n">
        <v>3058</v>
      </c>
      <c r="D5323" s="6" t="n">
        <v>29.8</v>
      </c>
      <c r="E5323" t="n">
        <v>42375</v>
      </c>
      <c r="F5323" s="6" t="n">
        <v>14.9</v>
      </c>
      <c r="G5323" t="n">
        <v>2</v>
      </c>
      <c r="H5323" s="6">
        <f>ROUND(G5323*F5323,2)</f>
        <v/>
      </c>
      <c r="I5323">
        <f>IF(ROUND(H5323-D5323,2)=0,1,0)</f>
        <v/>
      </c>
      <c r="J5323">
        <f>IF(F5323="","none",IF(G5323=1,"carte","multiple"))</f>
        <v/>
      </c>
    </row>
    <row r="5324">
      <c r="A5324" t="inlineStr">
        <is>
          <t>2022-09-17</t>
        </is>
      </c>
      <c r="B5324" t="inlineStr">
        <is>
          <t>12:03</t>
        </is>
      </c>
      <c r="C5324" t="n">
        <v>3058</v>
      </c>
      <c r="D5324" s="6" t="n">
        <v>5.9</v>
      </c>
      <c r="E5324" t="n">
        <v>42376</v>
      </c>
      <c r="F5324" s="6" t="n">
        <v>5.9</v>
      </c>
      <c r="G5324" t="n">
        <v>1</v>
      </c>
      <c r="H5324" s="6">
        <f>ROUND(G5324*F5324,2)</f>
        <v/>
      </c>
      <c r="I5324">
        <f>IF(ROUND(H5324-D5324,2)=0,1,0)</f>
        <v/>
      </c>
      <c r="J5324">
        <f>IF(F5324="","none",IF(G5324=1,"carte","multiple"))</f>
        <v/>
      </c>
    </row>
    <row r="5325">
      <c r="A5325" t="inlineStr">
        <is>
          <t>2022-09-17</t>
        </is>
      </c>
      <c r="B5325" t="inlineStr">
        <is>
          <t>12:35</t>
        </is>
      </c>
      <c r="C5325" t="n">
        <v>3058</v>
      </c>
      <c r="D5325" s="6" t="n">
        <v>3.9</v>
      </c>
      <c r="E5325" t="n">
        <v>42377</v>
      </c>
      <c r="F5325" s="6" t="n">
        <v>3.9</v>
      </c>
      <c r="G5325" t="n">
        <v>1</v>
      </c>
      <c r="H5325" s="6">
        <f>ROUND(G5325*F5325,2)</f>
        <v/>
      </c>
      <c r="I5325">
        <f>IF(ROUND(H5325-D5325,2)=0,1,0)</f>
        <v/>
      </c>
      <c r="J5325">
        <f>IF(F5325="","none",IF(G5325=1,"carte","multiple"))</f>
        <v/>
      </c>
    </row>
    <row r="5326">
      <c r="A5326" t="inlineStr">
        <is>
          <t>2022-09-17</t>
        </is>
      </c>
      <c r="B5326" t="inlineStr">
        <is>
          <t>12:42</t>
        </is>
      </c>
      <c r="C5326" t="n">
        <v>3058</v>
      </c>
      <c r="D5326" s="6" t="n">
        <v>3.9</v>
      </c>
      <c r="E5326" t="n">
        <v>42378</v>
      </c>
      <c r="F5326" s="6" t="n">
        <v>3.9</v>
      </c>
      <c r="G5326" t="n">
        <v>1</v>
      </c>
      <c r="H5326" s="6">
        <f>ROUND(G5326*F5326,2)</f>
        <v/>
      </c>
      <c r="I5326">
        <f>IF(ROUND(H5326-D5326,2)=0,1,0)</f>
        <v/>
      </c>
      <c r="J5326">
        <f>IF(F5326="","none",IF(G5326=1,"carte","multiple"))</f>
        <v/>
      </c>
    </row>
    <row r="5327">
      <c r="A5327" t="inlineStr">
        <is>
          <t>2022-09-17</t>
        </is>
      </c>
      <c r="B5327" t="inlineStr">
        <is>
          <t>12:42</t>
        </is>
      </c>
      <c r="C5327" t="n">
        <v>3058</v>
      </c>
      <c r="D5327" s="6" t="n">
        <v>29.8</v>
      </c>
      <c r="E5327" t="n">
        <v>42379</v>
      </c>
      <c r="F5327" s="6" t="n">
        <v>14.9</v>
      </c>
      <c r="G5327" t="n">
        <v>2</v>
      </c>
      <c r="H5327" s="6">
        <f>ROUND(G5327*F5327,2)</f>
        <v/>
      </c>
      <c r="I5327">
        <f>IF(ROUND(H5327-D5327,2)=0,1,0)</f>
        <v/>
      </c>
      <c r="J5327">
        <f>IF(F5327="","none",IF(G5327=1,"carte","multiple"))</f>
        <v/>
      </c>
    </row>
    <row r="5328">
      <c r="A5328" t="inlineStr">
        <is>
          <t>2022-09-17</t>
        </is>
      </c>
      <c r="B5328" t="inlineStr">
        <is>
          <t>12:42</t>
        </is>
      </c>
      <c r="C5328" t="n">
        <v>3058</v>
      </c>
      <c r="D5328" s="6" t="n">
        <v>8</v>
      </c>
      <c r="E5328" t="n">
        <v>42380</v>
      </c>
      <c r="F5328" s="6" t="n">
        <v>8</v>
      </c>
      <c r="G5328" t="n">
        <v>1</v>
      </c>
      <c r="H5328" s="6">
        <f>ROUND(G5328*F5328,2)</f>
        <v/>
      </c>
      <c r="I5328">
        <f>IF(ROUND(H5328-D5328,2)=0,1,0)</f>
        <v/>
      </c>
      <c r="J5328">
        <f>IF(F5328="","none",IF(G5328=1,"carte","multiple"))</f>
        <v/>
      </c>
    </row>
    <row r="5329">
      <c r="A5329" t="inlineStr">
        <is>
          <t>2022-09-17</t>
        </is>
      </c>
      <c r="B5329" t="inlineStr">
        <is>
          <t>12:42</t>
        </is>
      </c>
      <c r="C5329" t="n">
        <v>3058</v>
      </c>
      <c r="D5329" s="6" t="n">
        <v>5.9</v>
      </c>
      <c r="E5329" t="n">
        <v>42381</v>
      </c>
      <c r="F5329" s="6" t="n">
        <v>5.9</v>
      </c>
      <c r="G5329" t="n">
        <v>1</v>
      </c>
      <c r="H5329" s="6">
        <f>ROUND(G5329*F5329,2)</f>
        <v/>
      </c>
      <c r="I5329">
        <f>IF(ROUND(H5329-D5329,2)=0,1,0)</f>
        <v/>
      </c>
      <c r="J5329">
        <f>IF(F5329="","none",IF(G5329=1,"carte","multiple"))</f>
        <v/>
      </c>
    </row>
    <row r="5330">
      <c r="A5330" t="inlineStr">
        <is>
          <t>2022-09-17</t>
        </is>
      </c>
      <c r="B5330" t="inlineStr">
        <is>
          <t>12:42</t>
        </is>
      </c>
      <c r="C5330" t="n">
        <v>3058</v>
      </c>
      <c r="D5330" s="6" t="n">
        <v>29.9</v>
      </c>
      <c r="E5330" t="n">
        <v>42382</v>
      </c>
      <c r="F5330" s="6" t="n">
        <v>29.9</v>
      </c>
      <c r="G5330" t="n">
        <v>1</v>
      </c>
      <c r="H5330" s="6">
        <f>ROUND(G5330*F5330,2)</f>
        <v/>
      </c>
      <c r="I5330">
        <f>IF(ROUND(H5330-D5330,2)=0,1,0)</f>
        <v/>
      </c>
      <c r="J5330">
        <f>IF(F5330="","none",IF(G5330=1,"carte","multiple"))</f>
        <v/>
      </c>
    </row>
    <row r="5331">
      <c r="A5331" t="inlineStr">
        <is>
          <t>2022-09-17</t>
        </is>
      </c>
      <c r="B5331" t="inlineStr">
        <is>
          <t>12:42</t>
        </is>
      </c>
      <c r="C5331" t="n">
        <v>3058</v>
      </c>
      <c r="D5331" s="6" t="n">
        <v>8.4</v>
      </c>
      <c r="E5331" t="n">
        <v>42383</v>
      </c>
      <c r="F5331" s="6" t="n">
        <v>8.4</v>
      </c>
      <c r="G5331" t="n">
        <v>1</v>
      </c>
      <c r="H5331" s="6">
        <f>ROUND(G5331*F5331,2)</f>
        <v/>
      </c>
      <c r="I5331">
        <f>IF(ROUND(H5331-D5331,2)=0,1,0)</f>
        <v/>
      </c>
      <c r="J5331">
        <f>IF(F5331="","none",IF(G5331=1,"carte","multiple"))</f>
        <v/>
      </c>
    </row>
    <row r="5332">
      <c r="A5332" t="inlineStr">
        <is>
          <t>2022-09-17</t>
        </is>
      </c>
      <c r="B5332" t="inlineStr">
        <is>
          <t>13:04</t>
        </is>
      </c>
      <c r="C5332" t="n">
        <v>3058</v>
      </c>
      <c r="D5332" s="6" t="n">
        <v>3.4</v>
      </c>
      <c r="E5332" t="n">
        <v>42384</v>
      </c>
      <c r="F5332" s="6" t="n">
        <v>3.4</v>
      </c>
      <c r="G5332" t="n">
        <v>1</v>
      </c>
      <c r="H5332" s="6">
        <f>ROUND(G5332*F5332,2)</f>
        <v/>
      </c>
      <c r="I5332">
        <f>IF(ROUND(H5332-D5332,2)=0,1,0)</f>
        <v/>
      </c>
      <c r="J5332">
        <f>IF(F5332="","none",IF(G5332=1,"carte","multiple"))</f>
        <v/>
      </c>
    </row>
    <row r="5333">
      <c r="A5333" t="inlineStr">
        <is>
          <t>2022-09-17</t>
        </is>
      </c>
      <c r="B5333" t="inlineStr">
        <is>
          <t>18:01</t>
        </is>
      </c>
      <c r="C5333" t="n">
        <v>3058</v>
      </c>
      <c r="D5333" s="6" t="n">
        <v>3.9</v>
      </c>
      <c r="E5333" t="n">
        <v>42387</v>
      </c>
      <c r="F5333" s="6" t="n">
        <v>3.9</v>
      </c>
      <c r="G5333" t="n">
        <v>1</v>
      </c>
      <c r="H5333" s="6">
        <f>ROUND(G5333*F5333,2)</f>
        <v/>
      </c>
      <c r="I5333">
        <f>IF(ROUND(H5333-D5333,2)=0,1,0)</f>
        <v/>
      </c>
      <c r="J5333">
        <f>IF(F5333="","none",IF(G5333=1,"carte","multiple"))</f>
        <v/>
      </c>
    </row>
    <row r="5334">
      <c r="A5334" t="inlineStr">
        <is>
          <t>2022-09-17</t>
        </is>
      </c>
      <c r="B5334" t="inlineStr">
        <is>
          <t>18:16</t>
        </is>
      </c>
      <c r="C5334" t="n">
        <v>3058</v>
      </c>
      <c r="D5334" s="6" t="n">
        <v>29.9</v>
      </c>
      <c r="E5334" t="n">
        <v>42388</v>
      </c>
      <c r="F5334" s="6" t="n">
        <v>29.9</v>
      </c>
      <c r="G5334" t="n">
        <v>1</v>
      </c>
      <c r="H5334" s="6">
        <f>ROUND(G5334*F5334,2)</f>
        <v/>
      </c>
      <c r="I5334">
        <f>IF(ROUND(H5334-D5334,2)=0,1,0)</f>
        <v/>
      </c>
      <c r="J5334">
        <f>IF(F5334="","none",IF(G5334=1,"carte","multiple"))</f>
        <v/>
      </c>
    </row>
    <row r="5335">
      <c r="A5335" t="inlineStr">
        <is>
          <t>2022-09-17</t>
        </is>
      </c>
      <c r="B5335" t="inlineStr">
        <is>
          <t>18:28</t>
        </is>
      </c>
      <c r="C5335" t="n">
        <v>3058</v>
      </c>
      <c r="D5335" s="6" t="n">
        <v>3.9</v>
      </c>
      <c r="E5335" t="n">
        <v>42389</v>
      </c>
      <c r="F5335" s="6" t="n">
        <v>3.9</v>
      </c>
      <c r="G5335" t="n">
        <v>1</v>
      </c>
      <c r="H5335" s="6">
        <f>ROUND(G5335*F5335,2)</f>
        <v/>
      </c>
      <c r="I5335">
        <f>IF(ROUND(H5335-D5335,2)=0,1,0)</f>
        <v/>
      </c>
      <c r="J5335">
        <f>IF(F5335="","none",IF(G5335=1,"carte","multiple"))</f>
        <v/>
      </c>
    </row>
    <row r="5336">
      <c r="A5336" t="inlineStr">
        <is>
          <t>2022-09-17</t>
        </is>
      </c>
      <c r="B5336" t="inlineStr">
        <is>
          <t>20:04</t>
        </is>
      </c>
      <c r="C5336" t="n">
        <v>3058</v>
      </c>
      <c r="D5336" s="6" t="n">
        <v>7.8</v>
      </c>
      <c r="E5336" t="n">
        <v>42390</v>
      </c>
      <c r="F5336" s="6" t="n">
        <v>7.8</v>
      </c>
      <c r="G5336" t="n">
        <v>1</v>
      </c>
      <c r="H5336" s="6">
        <f>ROUND(G5336*F5336,2)</f>
        <v/>
      </c>
      <c r="I5336">
        <f>IF(ROUND(H5336-D5336,2)=0,1,0)</f>
        <v/>
      </c>
      <c r="J5336">
        <f>IF(F5336="","none",IF(G5336=1,"carte","multiple"))</f>
        <v/>
      </c>
    </row>
    <row r="5337">
      <c r="A5337" t="inlineStr">
        <is>
          <t>2022-09-17</t>
        </is>
      </c>
      <c r="B5337" t="inlineStr">
        <is>
          <t>20:04</t>
        </is>
      </c>
      <c r="C5337" t="n">
        <v>3058</v>
      </c>
      <c r="D5337" s="6" t="n">
        <v>19</v>
      </c>
      <c r="E5337" t="n">
        <v>42391</v>
      </c>
      <c r="F5337" s="6" t="n">
        <v>19</v>
      </c>
      <c r="G5337" t="n">
        <v>1</v>
      </c>
      <c r="H5337" s="6">
        <f>ROUND(G5337*F5337,2)</f>
        <v/>
      </c>
      <c r="I5337">
        <f>IF(ROUND(H5337-D5337,2)=0,1,0)</f>
        <v/>
      </c>
      <c r="J5337">
        <f>IF(F5337="","none",IF(G5337=1,"carte","multiple"))</f>
        <v/>
      </c>
    </row>
    <row r="5338">
      <c r="A5338" t="inlineStr">
        <is>
          <t>2022-09-17</t>
        </is>
      </c>
      <c r="B5338" t="inlineStr">
        <is>
          <t>20:04</t>
        </is>
      </c>
      <c r="C5338" t="n">
        <v>3058</v>
      </c>
      <c r="D5338" s="6" t="n">
        <v>19.9</v>
      </c>
      <c r="E5338" t="n">
        <v>42392</v>
      </c>
      <c r="F5338" s="6" t="n">
        <v>19.9</v>
      </c>
      <c r="G5338" t="n">
        <v>1</v>
      </c>
      <c r="H5338" s="6">
        <f>ROUND(G5338*F5338,2)</f>
        <v/>
      </c>
      <c r="I5338">
        <f>IF(ROUND(H5338-D5338,2)=0,1,0)</f>
        <v/>
      </c>
      <c r="J5338">
        <f>IF(F5338="","none",IF(G5338=1,"carte","multiple"))</f>
        <v/>
      </c>
    </row>
    <row r="5339">
      <c r="A5339" t="inlineStr">
        <is>
          <t>2022-09-17</t>
        </is>
      </c>
      <c r="B5339" t="inlineStr">
        <is>
          <t>20:04</t>
        </is>
      </c>
      <c r="C5339" t="n">
        <v>3058</v>
      </c>
      <c r="D5339" s="6" t="n">
        <v>17.8</v>
      </c>
      <c r="E5339" t="n">
        <v>42393</v>
      </c>
      <c r="F5339" s="6" t="n">
        <v>8.9</v>
      </c>
      <c r="G5339" t="n">
        <v>2</v>
      </c>
      <c r="H5339" s="6">
        <f>ROUND(G5339*F5339,2)</f>
        <v/>
      </c>
      <c r="I5339">
        <f>IF(ROUND(H5339-D5339,2)=0,1,0)</f>
        <v/>
      </c>
      <c r="J5339">
        <f>IF(F5339="","none",IF(G5339=1,"carte","multiple"))</f>
        <v/>
      </c>
    </row>
    <row r="5340">
      <c r="A5340" t="inlineStr">
        <is>
          <t>2022-09-17</t>
        </is>
      </c>
      <c r="B5340" t="inlineStr">
        <is>
          <t>20:04</t>
        </is>
      </c>
      <c r="C5340" t="n">
        <v>3058</v>
      </c>
      <c r="D5340" s="6" t="n">
        <v>64</v>
      </c>
      <c r="E5340" t="n">
        <v>42394</v>
      </c>
      <c r="F5340" s="6" t="n">
        <v>64</v>
      </c>
      <c r="G5340" t="n">
        <v>1</v>
      </c>
      <c r="H5340" s="6">
        <f>ROUND(G5340*F5340,2)</f>
        <v/>
      </c>
      <c r="I5340">
        <f>IF(ROUND(H5340-D5340,2)=0,1,0)</f>
        <v/>
      </c>
      <c r="J5340">
        <f>IF(F5340="","none",IF(G5340=1,"carte","multiple"))</f>
        <v/>
      </c>
    </row>
    <row r="5341">
      <c r="A5341" t="inlineStr">
        <is>
          <t>2022-09-17</t>
        </is>
      </c>
      <c r="B5341" t="inlineStr">
        <is>
          <t>20:04</t>
        </is>
      </c>
      <c r="C5341" t="n">
        <v>3058</v>
      </c>
      <c r="D5341" s="6" t="n">
        <v>24.9</v>
      </c>
      <c r="E5341" t="n">
        <v>42395</v>
      </c>
      <c r="F5341" s="6" t="n">
        <v>24.9</v>
      </c>
      <c r="G5341" t="n">
        <v>1</v>
      </c>
      <c r="H5341" s="6">
        <f>ROUND(G5341*F5341,2)</f>
        <v/>
      </c>
      <c r="I5341">
        <f>IF(ROUND(H5341-D5341,2)=0,1,0)</f>
        <v/>
      </c>
      <c r="J5341">
        <f>IF(F5341="","none",IF(G5341=1,"carte","multiple"))</f>
        <v/>
      </c>
    </row>
    <row r="5342">
      <c r="A5342" t="inlineStr">
        <is>
          <t>2022-09-17</t>
        </is>
      </c>
      <c r="B5342" t="inlineStr">
        <is>
          <t>20:04</t>
        </is>
      </c>
      <c r="C5342" t="n">
        <v>3058</v>
      </c>
      <c r="D5342" s="6" t="n">
        <v>4.2</v>
      </c>
      <c r="E5342" t="n">
        <v>42396</v>
      </c>
      <c r="F5342" s="6" t="n">
        <v>4.2</v>
      </c>
      <c r="G5342" t="n">
        <v>1</v>
      </c>
      <c r="H5342" s="6">
        <f>ROUND(G5342*F5342,2)</f>
        <v/>
      </c>
      <c r="I5342">
        <f>IF(ROUND(H5342-D5342,2)=0,1,0)</f>
        <v/>
      </c>
      <c r="J5342">
        <f>IF(F5342="","none",IF(G5342=1,"carte","multiple"))</f>
        <v/>
      </c>
    </row>
    <row r="5343">
      <c r="A5343" t="inlineStr">
        <is>
          <t>2022-09-17</t>
        </is>
      </c>
      <c r="B5343" t="inlineStr">
        <is>
          <t>20:04</t>
        </is>
      </c>
      <c r="C5343" t="n">
        <v>3058</v>
      </c>
      <c r="D5343" s="6" t="n">
        <v>7.8</v>
      </c>
      <c r="E5343" t="n">
        <v>42397</v>
      </c>
      <c r="F5343" s="6" t="n">
        <v>7.8</v>
      </c>
      <c r="G5343" t="n">
        <v>1</v>
      </c>
      <c r="H5343" s="6">
        <f>ROUND(G5343*F5343,2)</f>
        <v/>
      </c>
      <c r="I5343">
        <f>IF(ROUND(H5343-D5343,2)=0,1,0)</f>
        <v/>
      </c>
      <c r="J5343">
        <f>IF(F5343="","none",IF(G5343=1,"carte","multiple"))</f>
        <v/>
      </c>
    </row>
    <row r="5344">
      <c r="A5344" t="inlineStr">
        <is>
          <t>2022-09-17</t>
        </is>
      </c>
      <c r="B5344" t="inlineStr">
        <is>
          <t>20:04</t>
        </is>
      </c>
      <c r="C5344" t="n">
        <v>3058</v>
      </c>
      <c r="D5344" s="6" t="n">
        <v>4.5</v>
      </c>
      <c r="E5344" t="n">
        <v>42398</v>
      </c>
      <c r="F5344" s="6" t="n">
        <v>4.5</v>
      </c>
      <c r="G5344" t="n">
        <v>1</v>
      </c>
      <c r="H5344" s="6">
        <f>ROUND(G5344*F5344,2)</f>
        <v/>
      </c>
      <c r="I5344">
        <f>IF(ROUND(H5344-D5344,2)=0,1,0)</f>
        <v/>
      </c>
      <c r="J5344">
        <f>IF(F5344="","none",IF(G5344=1,"carte","multiple"))</f>
        <v/>
      </c>
    </row>
    <row r="5345">
      <c r="A5345" t="inlineStr">
        <is>
          <t>2022-09-17</t>
        </is>
      </c>
      <c r="B5345" t="inlineStr">
        <is>
          <t>20:53</t>
        </is>
      </c>
      <c r="C5345" t="n">
        <v>3058</v>
      </c>
      <c r="D5345" s="6" t="n">
        <v>7.8</v>
      </c>
      <c r="E5345" t="n">
        <v>42399</v>
      </c>
      <c r="F5345" s="6" t="n">
        <v>7.8</v>
      </c>
      <c r="G5345" t="n">
        <v>1</v>
      </c>
      <c r="H5345" s="6">
        <f>ROUND(G5345*F5345,2)</f>
        <v/>
      </c>
      <c r="I5345">
        <f>IF(ROUND(H5345-D5345,2)=0,1,0)</f>
        <v/>
      </c>
      <c r="J5345">
        <f>IF(F5345="","none",IF(G5345=1,"carte","multiple"))</f>
        <v/>
      </c>
    </row>
    <row r="5346">
      <c r="A5346" t="inlineStr">
        <is>
          <t>2022-09-17</t>
        </is>
      </c>
      <c r="B5346" t="inlineStr">
        <is>
          <t>20:53</t>
        </is>
      </c>
      <c r="C5346" t="n">
        <v>3058</v>
      </c>
      <c r="D5346" s="6" t="n">
        <v>32</v>
      </c>
      <c r="E5346" t="n">
        <v>42400</v>
      </c>
      <c r="F5346" s="6" t="n">
        <v>32</v>
      </c>
      <c r="G5346" t="n">
        <v>1</v>
      </c>
      <c r="H5346" s="6">
        <f>ROUND(G5346*F5346,2)</f>
        <v/>
      </c>
      <c r="I5346">
        <f>IF(ROUND(H5346-D5346,2)=0,1,0)</f>
        <v/>
      </c>
      <c r="J5346">
        <f>IF(F5346="","none",IF(G5346=1,"carte","multiple"))</f>
        <v/>
      </c>
    </row>
    <row r="5347">
      <c r="A5347" t="inlineStr">
        <is>
          <t>2022-09-17</t>
        </is>
      </c>
      <c r="B5347" t="inlineStr">
        <is>
          <t>20:53</t>
        </is>
      </c>
      <c r="C5347" t="n">
        <v>3058</v>
      </c>
      <c r="D5347" s="6" t="n">
        <v>15.9</v>
      </c>
      <c r="E5347" t="n">
        <v>42401</v>
      </c>
      <c r="F5347" s="6" t="n">
        <v>15.9</v>
      </c>
      <c r="G5347" t="n">
        <v>1</v>
      </c>
      <c r="H5347" s="6">
        <f>ROUND(G5347*F5347,2)</f>
        <v/>
      </c>
      <c r="I5347">
        <f>IF(ROUND(H5347-D5347,2)=0,1,0)</f>
        <v/>
      </c>
      <c r="J5347">
        <f>IF(F5347="","none",IF(G5347=1,"carte","multiple"))</f>
        <v/>
      </c>
    </row>
    <row r="5348">
      <c r="A5348" t="inlineStr">
        <is>
          <t>2022-09-18</t>
        </is>
      </c>
      <c r="B5348" t="inlineStr">
        <is>
          <t>11:08</t>
        </is>
      </c>
      <c r="C5348" t="n">
        <v>3059</v>
      </c>
      <c r="D5348" s="6" t="n">
        <v>17.6</v>
      </c>
      <c r="E5348" t="n">
        <v>42404</v>
      </c>
      <c r="F5348" s="6" t="n">
        <v>17.6</v>
      </c>
      <c r="G5348" t="n">
        <v>1</v>
      </c>
      <c r="H5348" s="6">
        <f>ROUND(G5348*F5348,2)</f>
        <v/>
      </c>
      <c r="I5348">
        <f>IF(ROUND(H5348-D5348,2)=0,1,0)</f>
        <v/>
      </c>
      <c r="J5348">
        <f>IF(F5348="","none",IF(G5348=1,"carte","multiple"))</f>
        <v/>
      </c>
    </row>
    <row r="5349">
      <c r="A5349" t="inlineStr">
        <is>
          <t>2022-09-18</t>
        </is>
      </c>
      <c r="B5349" t="inlineStr">
        <is>
          <t>11:09</t>
        </is>
      </c>
      <c r="C5349" t="n">
        <v>3059</v>
      </c>
      <c r="D5349" s="6" t="n">
        <v>35.2</v>
      </c>
      <c r="E5349" t="n">
        <v>42405</v>
      </c>
      <c r="F5349" s="6" t="n">
        <v>0.4</v>
      </c>
      <c r="G5349" t="n">
        <v>88</v>
      </c>
      <c r="H5349" s="6">
        <f>ROUND(G5349*F5349,2)</f>
        <v/>
      </c>
      <c r="I5349">
        <f>IF(ROUND(H5349-D5349,2)=0,1,0)</f>
        <v/>
      </c>
      <c r="J5349">
        <f>IF(F5349="","none",IF(G5349=1,"carte","multiple"))</f>
        <v/>
      </c>
    </row>
    <row r="5350">
      <c r="A5350" t="inlineStr">
        <is>
          <t>2022-09-18</t>
        </is>
      </c>
      <c r="B5350" t="inlineStr">
        <is>
          <t>11:09</t>
        </is>
      </c>
      <c r="C5350" t="n">
        <v>3059</v>
      </c>
      <c r="D5350" s="6" t="n">
        <v>19.8</v>
      </c>
      <c r="E5350" t="n">
        <v>42406</v>
      </c>
      <c r="F5350" s="6" t="n">
        <v>19.8</v>
      </c>
      <c r="G5350" t="n">
        <v>1</v>
      </c>
      <c r="H5350" s="6">
        <f>ROUND(G5350*F5350,2)</f>
        <v/>
      </c>
      <c r="I5350">
        <f>IF(ROUND(H5350-D5350,2)=0,1,0)</f>
        <v/>
      </c>
      <c r="J5350">
        <f>IF(F5350="","none",IF(G5350=1,"carte","multiple"))</f>
        <v/>
      </c>
    </row>
    <row r="5351">
      <c r="A5351" t="inlineStr">
        <is>
          <t>2022-09-18</t>
        </is>
      </c>
      <c r="B5351" t="inlineStr">
        <is>
          <t>11:54</t>
        </is>
      </c>
      <c r="C5351" t="n">
        <v>3059</v>
      </c>
      <c r="D5351" s="6" t="n">
        <v>2.4</v>
      </c>
      <c r="E5351" t="n">
        <v>42407</v>
      </c>
      <c r="F5351" s="6" t="n">
        <v>2.4</v>
      </c>
      <c r="G5351" t="n">
        <v>1</v>
      </c>
      <c r="H5351" s="6">
        <f>ROUND(G5351*F5351,2)</f>
        <v/>
      </c>
      <c r="I5351">
        <f>IF(ROUND(H5351-D5351,2)=0,1,0)</f>
        <v/>
      </c>
      <c r="J5351">
        <f>IF(F5351="","none",IF(G5351=1,"carte","multiple"))</f>
        <v/>
      </c>
    </row>
    <row r="5352">
      <c r="A5352" t="inlineStr">
        <is>
          <t>2022-09-18</t>
        </is>
      </c>
      <c r="B5352" t="inlineStr">
        <is>
          <t>11:54</t>
        </is>
      </c>
      <c r="C5352" t="n">
        <v>3059</v>
      </c>
      <c r="D5352" s="6" t="n">
        <v>8.4</v>
      </c>
      <c r="E5352" t="n">
        <v>42408</v>
      </c>
      <c r="F5352" s="6" t="n">
        <v>8.4</v>
      </c>
      <c r="G5352" t="n">
        <v>1</v>
      </c>
      <c r="H5352" s="6">
        <f>ROUND(G5352*F5352,2)</f>
        <v/>
      </c>
      <c r="I5352">
        <f>IF(ROUND(H5352-D5352,2)=0,1,0)</f>
        <v/>
      </c>
      <c r="J5352">
        <f>IF(F5352="","none",IF(G5352=1,"carte","multiple"))</f>
        <v/>
      </c>
    </row>
    <row r="5353">
      <c r="A5353" t="inlineStr">
        <is>
          <t>2022-09-18</t>
        </is>
      </c>
      <c r="B5353" t="inlineStr">
        <is>
          <t>11:54</t>
        </is>
      </c>
      <c r="C5353" t="n">
        <v>3059</v>
      </c>
      <c r="D5353" s="6" t="n">
        <v>19.4</v>
      </c>
      <c r="E5353" t="n">
        <v>42409</v>
      </c>
      <c r="F5353" s="6" t="n">
        <v>9.699999999999999</v>
      </c>
      <c r="G5353" t="n">
        <v>2</v>
      </c>
      <c r="H5353" s="6">
        <f>ROUND(G5353*F5353,2)</f>
        <v/>
      </c>
      <c r="I5353">
        <f>IF(ROUND(H5353-D5353,2)=0,1,0)</f>
        <v/>
      </c>
      <c r="J5353">
        <f>IF(F5353="","none",IF(G5353=1,"carte","multiple"))</f>
        <v/>
      </c>
    </row>
    <row r="5354">
      <c r="A5354" t="inlineStr">
        <is>
          <t>2022-09-18</t>
        </is>
      </c>
      <c r="B5354" t="inlineStr">
        <is>
          <t>11:54</t>
        </is>
      </c>
      <c r="C5354" t="n">
        <v>3059</v>
      </c>
      <c r="D5354" s="6" t="n">
        <v>15.9</v>
      </c>
      <c r="E5354" t="n">
        <v>42410</v>
      </c>
      <c r="F5354" s="6" t="n">
        <v>15.9</v>
      </c>
      <c r="G5354" t="n">
        <v>1</v>
      </c>
      <c r="H5354" s="6">
        <f>ROUND(G5354*F5354,2)</f>
        <v/>
      </c>
      <c r="I5354">
        <f>IF(ROUND(H5354-D5354,2)=0,1,0)</f>
        <v/>
      </c>
      <c r="J5354">
        <f>IF(F5354="","none",IF(G5354=1,"carte","multiple"))</f>
        <v/>
      </c>
    </row>
    <row r="5355">
      <c r="A5355" t="inlineStr">
        <is>
          <t>2022-09-18</t>
        </is>
      </c>
      <c r="B5355" t="inlineStr">
        <is>
          <t>11:54</t>
        </is>
      </c>
      <c r="C5355" t="n">
        <v>3059</v>
      </c>
      <c r="D5355" s="6" t="n">
        <v>35.2</v>
      </c>
      <c r="E5355" t="n">
        <v>42411</v>
      </c>
      <c r="F5355" s="6" t="n">
        <v>0.4</v>
      </c>
      <c r="G5355" t="n">
        <v>88</v>
      </c>
      <c r="H5355" s="6">
        <f>ROUND(G5355*F5355,2)</f>
        <v/>
      </c>
      <c r="I5355">
        <f>IF(ROUND(H5355-D5355,2)=0,1,0)</f>
        <v/>
      </c>
      <c r="J5355">
        <f>IF(F5355="","none",IF(G5355=1,"carte","multiple"))</f>
        <v/>
      </c>
    </row>
    <row r="5356">
      <c r="A5356" t="inlineStr">
        <is>
          <t>2022-09-18</t>
        </is>
      </c>
      <c r="B5356" t="inlineStr">
        <is>
          <t>11:54</t>
        </is>
      </c>
      <c r="C5356" t="n">
        <v>3059</v>
      </c>
      <c r="D5356" s="6" t="n">
        <v>9.800000000000001</v>
      </c>
      <c r="E5356" t="n">
        <v>42412</v>
      </c>
      <c r="F5356" s="6" t="n">
        <v>9.800000000000001</v>
      </c>
      <c r="G5356" t="n">
        <v>1</v>
      </c>
      <c r="H5356" s="6">
        <f>ROUND(G5356*F5356,2)</f>
        <v/>
      </c>
      <c r="I5356">
        <f>IF(ROUND(H5356-D5356,2)=0,1,0)</f>
        <v/>
      </c>
      <c r="J5356">
        <f>IF(F5356="","none",IF(G5356=1,"carte","multiple"))</f>
        <v/>
      </c>
    </row>
    <row r="5357">
      <c r="A5357" t="inlineStr">
        <is>
          <t>2022-09-18</t>
        </is>
      </c>
      <c r="B5357" t="inlineStr">
        <is>
          <t>11:56</t>
        </is>
      </c>
      <c r="C5357" t="n">
        <v>3059</v>
      </c>
      <c r="D5357" s="6" t="n">
        <v>4.4</v>
      </c>
      <c r="E5357" t="n">
        <v>42413</v>
      </c>
      <c r="F5357" s="6" t="n">
        <v>0.4</v>
      </c>
      <c r="G5357" t="n">
        <v>11</v>
      </c>
      <c r="H5357" s="6">
        <f>ROUND(G5357*F5357,2)</f>
        <v/>
      </c>
      <c r="I5357">
        <f>IF(ROUND(H5357-D5357,2)=0,1,0)</f>
        <v/>
      </c>
      <c r="J5357">
        <f>IF(F5357="","none",IF(G5357=1,"carte","multiple"))</f>
        <v/>
      </c>
    </row>
    <row r="5358">
      <c r="A5358" t="inlineStr">
        <is>
          <t>2022-09-18</t>
        </is>
      </c>
      <c r="B5358" t="inlineStr">
        <is>
          <t>11:56</t>
        </is>
      </c>
      <c r="C5358" t="n">
        <v>3059</v>
      </c>
      <c r="D5358" s="6" t="n">
        <v>4</v>
      </c>
      <c r="E5358" t="n">
        <v>42414</v>
      </c>
      <c r="F5358" s="6" t="n">
        <v>4</v>
      </c>
      <c r="G5358" t="n">
        <v>1</v>
      </c>
      <c r="H5358" s="6">
        <f>ROUND(G5358*F5358,2)</f>
        <v/>
      </c>
      <c r="I5358">
        <f>IF(ROUND(H5358-D5358,2)=0,1,0)</f>
        <v/>
      </c>
      <c r="J5358">
        <f>IF(F5358="","none",IF(G5358=1,"carte","multiple"))</f>
        <v/>
      </c>
    </row>
    <row r="5359">
      <c r="A5359" t="inlineStr">
        <is>
          <t>2022-09-18</t>
        </is>
      </c>
      <c r="B5359" t="inlineStr">
        <is>
          <t>11:56</t>
        </is>
      </c>
      <c r="C5359" t="n">
        <v>3059</v>
      </c>
      <c r="D5359" s="6" t="n">
        <v>14.4</v>
      </c>
      <c r="E5359" t="n">
        <v>42415</v>
      </c>
      <c r="F5359" s="6" t="n">
        <v>0.4</v>
      </c>
      <c r="G5359" t="n">
        <v>36</v>
      </c>
      <c r="H5359" s="6">
        <f>ROUND(G5359*F5359,2)</f>
        <v/>
      </c>
      <c r="I5359">
        <f>IF(ROUND(H5359-D5359,2)=0,1,0)</f>
        <v/>
      </c>
      <c r="J5359">
        <f>IF(F5359="","none",IF(G5359=1,"carte","multiple"))</f>
        <v/>
      </c>
    </row>
    <row r="5360">
      <c r="A5360" t="inlineStr">
        <is>
          <t>2022-09-18</t>
        </is>
      </c>
      <c r="B5360" t="inlineStr">
        <is>
          <t>11:56</t>
        </is>
      </c>
      <c r="C5360" t="n">
        <v>3059</v>
      </c>
      <c r="D5360" s="6" t="n">
        <v>31.8</v>
      </c>
      <c r="E5360" t="n">
        <v>42416</v>
      </c>
      <c r="F5360" s="6" t="n">
        <v>31.8</v>
      </c>
      <c r="G5360" t="n">
        <v>1</v>
      </c>
      <c r="H5360" s="6">
        <f>ROUND(G5360*F5360,2)</f>
        <v/>
      </c>
      <c r="I5360">
        <f>IF(ROUND(H5360-D5360,2)=0,1,0)</f>
        <v/>
      </c>
      <c r="J5360">
        <f>IF(F5360="","none",IF(G5360=1,"carte","multiple"))</f>
        <v/>
      </c>
    </row>
    <row r="5361">
      <c r="A5361" t="inlineStr">
        <is>
          <t>2022-09-18</t>
        </is>
      </c>
      <c r="B5361" t="inlineStr">
        <is>
          <t>11:56</t>
        </is>
      </c>
      <c r="C5361" t="n">
        <v>3059</v>
      </c>
      <c r="D5361" s="6" t="n">
        <v>9.800000000000001</v>
      </c>
      <c r="E5361" t="n">
        <v>42417</v>
      </c>
      <c r="F5361" s="6" t="n">
        <v>9.800000000000001</v>
      </c>
      <c r="G5361" t="n">
        <v>1</v>
      </c>
      <c r="H5361" s="6">
        <f>ROUND(G5361*F5361,2)</f>
        <v/>
      </c>
      <c r="I5361">
        <f>IF(ROUND(H5361-D5361,2)=0,1,0)</f>
        <v/>
      </c>
      <c r="J5361">
        <f>IF(F5361="","none",IF(G5361=1,"carte","multiple"))</f>
        <v/>
      </c>
    </row>
    <row r="5362">
      <c r="A5362" t="inlineStr">
        <is>
          <t>2022-09-18</t>
        </is>
      </c>
      <c r="B5362" t="inlineStr">
        <is>
          <t>12:25</t>
        </is>
      </c>
      <c r="C5362" t="n">
        <v>3059</v>
      </c>
      <c r="D5362" s="6" t="n">
        <v>3.6</v>
      </c>
      <c r="E5362" t="n">
        <v>42418</v>
      </c>
      <c r="F5362" s="6" t="n">
        <v>3.6</v>
      </c>
      <c r="G5362" t="n">
        <v>1</v>
      </c>
      <c r="H5362" s="6">
        <f>ROUND(G5362*F5362,2)</f>
        <v/>
      </c>
      <c r="I5362">
        <f>IF(ROUND(H5362-D5362,2)=0,1,0)</f>
        <v/>
      </c>
      <c r="J5362">
        <f>IF(F5362="","none",IF(G5362=1,"carte","multiple"))</f>
        <v/>
      </c>
    </row>
    <row r="5363">
      <c r="A5363" t="inlineStr">
        <is>
          <t>2022-09-18</t>
        </is>
      </c>
      <c r="B5363" t="inlineStr">
        <is>
          <t>12:25</t>
        </is>
      </c>
      <c r="C5363" t="n">
        <v>3059</v>
      </c>
      <c r="D5363" s="6" t="n">
        <v>5.8</v>
      </c>
      <c r="E5363" t="n">
        <v>42419</v>
      </c>
      <c r="F5363" s="6" t="n">
        <v>5.8</v>
      </c>
      <c r="G5363" t="n">
        <v>1</v>
      </c>
      <c r="H5363" s="6">
        <f>ROUND(G5363*F5363,2)</f>
        <v/>
      </c>
      <c r="I5363">
        <f>IF(ROUND(H5363-D5363,2)=0,1,0)</f>
        <v/>
      </c>
      <c r="J5363">
        <f>IF(F5363="","none",IF(G5363=1,"carte","multiple"))</f>
        <v/>
      </c>
    </row>
    <row r="5364">
      <c r="A5364" t="inlineStr">
        <is>
          <t>2022-09-18</t>
        </is>
      </c>
      <c r="B5364" t="inlineStr">
        <is>
          <t>12:25</t>
        </is>
      </c>
      <c r="C5364" t="n">
        <v>3059</v>
      </c>
      <c r="D5364" s="6" t="n">
        <v>11.7</v>
      </c>
      <c r="E5364" t="n">
        <v>42420</v>
      </c>
      <c r="F5364" s="6" t="n">
        <v>0.9</v>
      </c>
      <c r="G5364" t="n">
        <v>13</v>
      </c>
      <c r="H5364" s="6">
        <f>ROUND(G5364*F5364,2)</f>
        <v/>
      </c>
      <c r="I5364">
        <f>IF(ROUND(H5364-D5364,2)=0,1,0)</f>
        <v/>
      </c>
      <c r="J5364">
        <f>IF(F5364="","none",IF(G5364=1,"carte","multiple"))</f>
        <v/>
      </c>
    </row>
    <row r="5365">
      <c r="A5365" t="inlineStr">
        <is>
          <t>2022-09-18</t>
        </is>
      </c>
      <c r="B5365" t="inlineStr">
        <is>
          <t>12:25</t>
        </is>
      </c>
      <c r="C5365" t="n">
        <v>3059</v>
      </c>
      <c r="D5365" s="6" t="n">
        <v>28</v>
      </c>
      <c r="E5365" t="n">
        <v>42421</v>
      </c>
      <c r="F5365" s="6" t="n">
        <v>28</v>
      </c>
      <c r="G5365" t="n">
        <v>1</v>
      </c>
      <c r="H5365" s="6">
        <f>ROUND(G5365*F5365,2)</f>
        <v/>
      </c>
      <c r="I5365">
        <f>IF(ROUND(H5365-D5365,2)=0,1,0)</f>
        <v/>
      </c>
      <c r="J5365">
        <f>IF(F5365="","none",IF(G5365=1,"carte","multiple"))</f>
        <v/>
      </c>
    </row>
    <row r="5366">
      <c r="A5366" t="inlineStr">
        <is>
          <t>2022-09-18</t>
        </is>
      </c>
      <c r="B5366" t="inlineStr">
        <is>
          <t>12:25</t>
        </is>
      </c>
      <c r="C5366" t="n">
        <v>3059</v>
      </c>
      <c r="D5366" s="6" t="n">
        <v>17.6</v>
      </c>
      <c r="E5366" t="n">
        <v>42422</v>
      </c>
      <c r="F5366" s="6" t="n">
        <v>17.6</v>
      </c>
      <c r="G5366" t="n">
        <v>1</v>
      </c>
      <c r="H5366" s="6">
        <f>ROUND(G5366*F5366,2)</f>
        <v/>
      </c>
      <c r="I5366">
        <f>IF(ROUND(H5366-D5366,2)=0,1,0)</f>
        <v/>
      </c>
      <c r="J5366">
        <f>IF(F5366="","none",IF(G5366=1,"carte","multiple"))</f>
        <v/>
      </c>
    </row>
    <row r="5367">
      <c r="A5367" t="inlineStr">
        <is>
          <t>2022-09-18</t>
        </is>
      </c>
      <c r="B5367" t="inlineStr">
        <is>
          <t>12:25</t>
        </is>
      </c>
      <c r="C5367" t="n">
        <v>3059</v>
      </c>
      <c r="D5367" s="6" t="n">
        <v>35.2</v>
      </c>
      <c r="E5367" t="n">
        <v>42423</v>
      </c>
      <c r="F5367" s="6" t="n">
        <v>0.4</v>
      </c>
      <c r="G5367" t="n">
        <v>88</v>
      </c>
      <c r="H5367" s="6">
        <f>ROUND(G5367*F5367,2)</f>
        <v/>
      </c>
      <c r="I5367">
        <f>IF(ROUND(H5367-D5367,2)=0,1,0)</f>
        <v/>
      </c>
      <c r="J5367">
        <f>IF(F5367="","none",IF(G5367=1,"carte","multiple"))</f>
        <v/>
      </c>
    </row>
    <row r="5368">
      <c r="A5368" t="inlineStr">
        <is>
          <t>2022-09-18</t>
        </is>
      </c>
      <c r="B5368" t="inlineStr">
        <is>
          <t>12:25</t>
        </is>
      </c>
      <c r="C5368" t="n">
        <v>3059</v>
      </c>
      <c r="D5368" s="6" t="n">
        <v>19.9</v>
      </c>
      <c r="E5368" t="n">
        <v>42424</v>
      </c>
      <c r="F5368" s="6" t="n">
        <v>19.9</v>
      </c>
      <c r="G5368" t="n">
        <v>1</v>
      </c>
      <c r="H5368" s="6">
        <f>ROUND(G5368*F5368,2)</f>
        <v/>
      </c>
      <c r="I5368">
        <f>IF(ROUND(H5368-D5368,2)=0,1,0)</f>
        <v/>
      </c>
      <c r="J5368">
        <f>IF(F5368="","none",IF(G5368=1,"carte","multiple"))</f>
        <v/>
      </c>
    </row>
    <row r="5369">
      <c r="A5369" t="inlineStr">
        <is>
          <t>2022-09-18</t>
        </is>
      </c>
      <c r="B5369" t="inlineStr">
        <is>
          <t>12:25</t>
        </is>
      </c>
      <c r="C5369" t="n">
        <v>3059</v>
      </c>
      <c r="D5369" s="6" t="n">
        <v>4.9</v>
      </c>
      <c r="E5369" t="n">
        <v>42425</v>
      </c>
      <c r="F5369" s="6" t="n">
        <v>4.9</v>
      </c>
      <c r="G5369" t="n">
        <v>1</v>
      </c>
      <c r="H5369" s="6">
        <f>ROUND(G5369*F5369,2)</f>
        <v/>
      </c>
      <c r="I5369">
        <f>IF(ROUND(H5369-D5369,2)=0,1,0)</f>
        <v/>
      </c>
      <c r="J5369">
        <f>IF(F5369="","none",IF(G5369=1,"carte","multiple"))</f>
        <v/>
      </c>
    </row>
    <row r="5370">
      <c r="A5370" t="inlineStr">
        <is>
          <t>2022-09-18</t>
        </is>
      </c>
      <c r="B5370" t="inlineStr">
        <is>
          <t>12:26</t>
        </is>
      </c>
      <c r="C5370" t="n">
        <v>3059</v>
      </c>
      <c r="D5370" s="6" t="n">
        <v>7.8</v>
      </c>
      <c r="E5370" t="n">
        <v>42426</v>
      </c>
      <c r="F5370" s="6" t="n">
        <v>7.8</v>
      </c>
      <c r="G5370" t="n">
        <v>1</v>
      </c>
      <c r="H5370" s="6">
        <f>ROUND(G5370*F5370,2)</f>
        <v/>
      </c>
      <c r="I5370">
        <f>IF(ROUND(H5370-D5370,2)=0,1,0)</f>
        <v/>
      </c>
      <c r="J5370">
        <f>IF(F5370="","none",IF(G5370=1,"carte","multiple"))</f>
        <v/>
      </c>
    </row>
    <row r="5371">
      <c r="A5371" t="inlineStr">
        <is>
          <t>2022-09-18</t>
        </is>
      </c>
      <c r="B5371" t="inlineStr">
        <is>
          <t>12:26</t>
        </is>
      </c>
      <c r="C5371" t="n">
        <v>3059</v>
      </c>
      <c r="D5371" s="6" t="n">
        <v>7.8</v>
      </c>
      <c r="E5371" t="n">
        <v>42427</v>
      </c>
      <c r="F5371" s="6" t="n">
        <v>7.8</v>
      </c>
      <c r="G5371" t="n">
        <v>1</v>
      </c>
      <c r="H5371" s="6">
        <f>ROUND(G5371*F5371,2)</f>
        <v/>
      </c>
      <c r="I5371">
        <f>IF(ROUND(H5371-D5371,2)=0,1,0)</f>
        <v/>
      </c>
      <c r="J5371">
        <f>IF(F5371="","none",IF(G5371=1,"carte","multiple"))</f>
        <v/>
      </c>
    </row>
    <row r="5372">
      <c r="A5372" t="inlineStr">
        <is>
          <t>2022-09-18</t>
        </is>
      </c>
      <c r="B5372" t="inlineStr">
        <is>
          <t>12:32</t>
        </is>
      </c>
      <c r="C5372" t="n">
        <v>3059</v>
      </c>
      <c r="D5372" s="6" t="n">
        <v>7.2</v>
      </c>
      <c r="E5372" t="n">
        <v>42428</v>
      </c>
      <c r="F5372" s="6" t="n">
        <v>7.2</v>
      </c>
      <c r="G5372" t="n">
        <v>1</v>
      </c>
      <c r="H5372" s="6">
        <f>ROUND(G5372*F5372,2)</f>
        <v/>
      </c>
      <c r="I5372">
        <f>IF(ROUND(H5372-D5372,2)=0,1,0)</f>
        <v/>
      </c>
      <c r="J5372">
        <f>IF(F5372="","none",IF(G5372=1,"carte","multiple"))</f>
        <v/>
      </c>
    </row>
    <row r="5373">
      <c r="A5373" t="inlineStr">
        <is>
          <t>2022-09-18</t>
        </is>
      </c>
      <c r="B5373" t="inlineStr">
        <is>
          <t>12:33</t>
        </is>
      </c>
      <c r="C5373" t="n">
        <v>3059</v>
      </c>
      <c r="D5373" s="6" t="n">
        <v>9.800000000000001</v>
      </c>
      <c r="E5373" t="n">
        <v>42429</v>
      </c>
      <c r="F5373" s="6" t="n">
        <v>9.800000000000001</v>
      </c>
      <c r="G5373" t="n">
        <v>1</v>
      </c>
      <c r="H5373" s="6">
        <f>ROUND(G5373*F5373,2)</f>
        <v/>
      </c>
      <c r="I5373">
        <f>IF(ROUND(H5373-D5373,2)=0,1,0)</f>
        <v/>
      </c>
      <c r="J5373">
        <f>IF(F5373="","none",IF(G5373=1,"carte","multiple"))</f>
        <v/>
      </c>
    </row>
    <row r="5374">
      <c r="A5374" t="inlineStr">
        <is>
          <t>2022-09-18</t>
        </is>
      </c>
      <c r="B5374" t="inlineStr">
        <is>
          <t>12:33</t>
        </is>
      </c>
      <c r="C5374" t="n">
        <v>3059</v>
      </c>
      <c r="D5374" s="6" t="n">
        <v>17.6</v>
      </c>
      <c r="E5374" t="n">
        <v>42430</v>
      </c>
      <c r="F5374" s="6" t="n">
        <v>17.6</v>
      </c>
      <c r="G5374" t="n">
        <v>1</v>
      </c>
      <c r="H5374" s="6">
        <f>ROUND(G5374*F5374,2)</f>
        <v/>
      </c>
      <c r="I5374">
        <f>IF(ROUND(H5374-D5374,2)=0,1,0)</f>
        <v/>
      </c>
      <c r="J5374">
        <f>IF(F5374="","none",IF(G5374=1,"carte","multiple"))</f>
        <v/>
      </c>
    </row>
    <row r="5375">
      <c r="A5375" t="inlineStr">
        <is>
          <t>2022-09-18</t>
        </is>
      </c>
      <c r="B5375" t="inlineStr">
        <is>
          <t>12:33</t>
        </is>
      </c>
      <c r="C5375" t="n">
        <v>3059</v>
      </c>
      <c r="D5375" s="6" t="n">
        <v>17.6</v>
      </c>
      <c r="E5375" t="n">
        <v>42431</v>
      </c>
      <c r="F5375" s="6" t="n">
        <v>17.6</v>
      </c>
      <c r="G5375" t="n">
        <v>1</v>
      </c>
      <c r="H5375" s="6">
        <f>ROUND(G5375*F5375,2)</f>
        <v/>
      </c>
      <c r="I5375">
        <f>IF(ROUND(H5375-D5375,2)=0,1,0)</f>
        <v/>
      </c>
      <c r="J5375">
        <f>IF(F5375="","none",IF(G5375=1,"carte","multiple"))</f>
        <v/>
      </c>
    </row>
    <row r="5376">
      <c r="A5376" t="inlineStr">
        <is>
          <t>2022-09-18</t>
        </is>
      </c>
      <c r="B5376" t="inlineStr">
        <is>
          <t>12:33</t>
        </is>
      </c>
      <c r="C5376" t="n">
        <v>3059</v>
      </c>
      <c r="D5376" s="6" t="n">
        <v>17.8</v>
      </c>
      <c r="E5376" t="n">
        <v>42432</v>
      </c>
      <c r="F5376" s="6" t="n">
        <v>8.9</v>
      </c>
      <c r="G5376" t="n">
        <v>2</v>
      </c>
      <c r="H5376" s="6">
        <f>ROUND(G5376*F5376,2)</f>
        <v/>
      </c>
      <c r="I5376">
        <f>IF(ROUND(H5376-D5376,2)=0,1,0)</f>
        <v/>
      </c>
      <c r="J5376">
        <f>IF(F5376="","none",IF(G5376=1,"carte","multiple"))</f>
        <v/>
      </c>
    </row>
    <row r="5377">
      <c r="A5377" t="inlineStr">
        <is>
          <t>2022-09-18</t>
        </is>
      </c>
      <c r="B5377" t="inlineStr">
        <is>
          <t>12:33</t>
        </is>
      </c>
      <c r="C5377" t="n">
        <v>3059</v>
      </c>
      <c r="D5377" s="6" t="n">
        <v>3.8</v>
      </c>
      <c r="E5377" t="n">
        <v>42433</v>
      </c>
      <c r="F5377" s="6" t="n">
        <v>3.8</v>
      </c>
      <c r="G5377" t="n">
        <v>1</v>
      </c>
      <c r="H5377" s="6">
        <f>ROUND(G5377*F5377,2)</f>
        <v/>
      </c>
      <c r="I5377">
        <f>IF(ROUND(H5377-D5377,2)=0,1,0)</f>
        <v/>
      </c>
      <c r="J5377">
        <f>IF(F5377="","none",IF(G5377=1,"carte","multiple"))</f>
        <v/>
      </c>
    </row>
    <row r="5378">
      <c r="A5378" t="inlineStr">
        <is>
          <t>2022-09-18</t>
        </is>
      </c>
      <c r="B5378" t="inlineStr">
        <is>
          <t>12:33</t>
        </is>
      </c>
      <c r="C5378" t="n">
        <v>3059</v>
      </c>
      <c r="D5378" s="6" t="n">
        <v>5.2</v>
      </c>
      <c r="E5378" t="n">
        <v>42434</v>
      </c>
      <c r="F5378" s="6" t="n">
        <v>5.2</v>
      </c>
      <c r="G5378" t="n">
        <v>1</v>
      </c>
      <c r="H5378" s="6">
        <f>ROUND(G5378*F5378,2)</f>
        <v/>
      </c>
      <c r="I5378">
        <f>IF(ROUND(H5378-D5378,2)=0,1,0)</f>
        <v/>
      </c>
      <c r="J5378">
        <f>IF(F5378="","none",IF(G5378=1,"carte","multiple"))</f>
        <v/>
      </c>
    </row>
    <row r="5379">
      <c r="A5379" t="inlineStr">
        <is>
          <t>2022-09-18</t>
        </is>
      </c>
      <c r="B5379" t="inlineStr">
        <is>
          <t>18:20</t>
        </is>
      </c>
      <c r="C5379" t="n">
        <v>3059</v>
      </c>
      <c r="D5379" s="6" t="n">
        <v>9.800000000000001</v>
      </c>
      <c r="E5379" t="n">
        <v>42436</v>
      </c>
      <c r="F5379" s="6" t="n">
        <v>9.800000000000001</v>
      </c>
      <c r="G5379" t="n">
        <v>1</v>
      </c>
      <c r="H5379" s="6">
        <f>ROUND(G5379*F5379,2)</f>
        <v/>
      </c>
      <c r="I5379">
        <f>IF(ROUND(H5379-D5379,2)=0,1,0)</f>
        <v/>
      </c>
      <c r="J5379">
        <f>IF(F5379="","none",IF(G5379=1,"carte","multiple"))</f>
        <v/>
      </c>
    </row>
    <row r="5380">
      <c r="A5380" t="inlineStr">
        <is>
          <t>2022-09-18</t>
        </is>
      </c>
      <c r="B5380" t="inlineStr">
        <is>
          <t>18:21</t>
        </is>
      </c>
      <c r="C5380" t="n">
        <v>3059</v>
      </c>
      <c r="D5380" s="6" t="n">
        <v>4.2</v>
      </c>
      <c r="E5380" t="n">
        <v>42437</v>
      </c>
      <c r="F5380" s="6" t="n">
        <v>4.2</v>
      </c>
      <c r="G5380" t="n">
        <v>1</v>
      </c>
      <c r="H5380" s="6">
        <f>ROUND(G5380*F5380,2)</f>
        <v/>
      </c>
      <c r="I5380">
        <f>IF(ROUND(H5380-D5380,2)=0,1,0)</f>
        <v/>
      </c>
      <c r="J5380">
        <f>IF(F5380="","none",IF(G5380=1,"carte","multiple"))</f>
        <v/>
      </c>
    </row>
    <row r="5381">
      <c r="A5381" t="inlineStr">
        <is>
          <t>2022-09-18</t>
        </is>
      </c>
      <c r="B5381" t="inlineStr">
        <is>
          <t>18:56</t>
        </is>
      </c>
      <c r="C5381" t="n">
        <v>3059</v>
      </c>
      <c r="D5381" s="6" t="n">
        <v>9.800000000000001</v>
      </c>
      <c r="E5381" t="n">
        <v>42438</v>
      </c>
      <c r="F5381" s="6" t="n">
        <v>9.800000000000001</v>
      </c>
      <c r="G5381" t="n">
        <v>1</v>
      </c>
      <c r="H5381" s="6">
        <f>ROUND(G5381*F5381,2)</f>
        <v/>
      </c>
      <c r="I5381">
        <f>IF(ROUND(H5381-D5381,2)=0,1,0)</f>
        <v/>
      </c>
      <c r="J5381">
        <f>IF(F5381="","none",IF(G5381=1,"carte","multiple"))</f>
        <v/>
      </c>
    </row>
    <row r="5382">
      <c r="A5382" t="inlineStr">
        <is>
          <t>2022-09-18</t>
        </is>
      </c>
      <c r="B5382" t="inlineStr">
        <is>
          <t>18:56</t>
        </is>
      </c>
      <c r="C5382" t="n">
        <v>3059</v>
      </c>
      <c r="D5382" s="6" t="n">
        <v>32</v>
      </c>
      <c r="E5382" t="n">
        <v>42439</v>
      </c>
      <c r="F5382" s="6" t="n">
        <v>32</v>
      </c>
      <c r="G5382" t="n">
        <v>1</v>
      </c>
      <c r="H5382" s="6">
        <f>ROUND(G5382*F5382,2)</f>
        <v/>
      </c>
      <c r="I5382">
        <f>IF(ROUND(H5382-D5382,2)=0,1,0)</f>
        <v/>
      </c>
      <c r="J5382">
        <f>IF(F5382="","none",IF(G5382=1,"carte","multiple"))</f>
        <v/>
      </c>
    </row>
    <row r="5383">
      <c r="A5383" t="inlineStr">
        <is>
          <t>2022-09-18</t>
        </is>
      </c>
      <c r="B5383" t="inlineStr">
        <is>
          <t>18:56</t>
        </is>
      </c>
      <c r="C5383" t="n">
        <v>3059</v>
      </c>
      <c r="D5383" s="6" t="n">
        <v>9.9</v>
      </c>
      <c r="E5383" t="n">
        <v>42440</v>
      </c>
      <c r="F5383" s="6" t="n">
        <v>9.9</v>
      </c>
      <c r="G5383" t="n">
        <v>1</v>
      </c>
      <c r="H5383" s="6">
        <f>ROUND(G5383*F5383,2)</f>
        <v/>
      </c>
      <c r="I5383">
        <f>IF(ROUND(H5383-D5383,2)=0,1,0)</f>
        <v/>
      </c>
      <c r="J5383">
        <f>IF(F5383="","none",IF(G5383=1,"carte","multiple"))</f>
        <v/>
      </c>
    </row>
    <row r="5384">
      <c r="A5384" t="inlineStr">
        <is>
          <t>2022-09-18</t>
        </is>
      </c>
      <c r="B5384" t="inlineStr">
        <is>
          <t>18:56</t>
        </is>
      </c>
      <c r="C5384" t="n">
        <v>3059</v>
      </c>
      <c r="D5384" s="6" t="n">
        <v>32</v>
      </c>
      <c r="E5384" t="n">
        <v>42441</v>
      </c>
      <c r="F5384" s="6" t="n">
        <v>32</v>
      </c>
      <c r="G5384" t="n">
        <v>1</v>
      </c>
      <c r="H5384" s="6">
        <f>ROUND(G5384*F5384,2)</f>
        <v/>
      </c>
      <c r="I5384">
        <f>IF(ROUND(H5384-D5384,2)=0,1,0)</f>
        <v/>
      </c>
      <c r="J5384">
        <f>IF(F5384="","none",IF(G5384=1,"carte","multiple"))</f>
        <v/>
      </c>
    </row>
    <row r="5385">
      <c r="A5385" t="inlineStr">
        <is>
          <t>2022-09-18</t>
        </is>
      </c>
      <c r="B5385" t="inlineStr">
        <is>
          <t>18:56</t>
        </is>
      </c>
      <c r="C5385" t="n">
        <v>3059</v>
      </c>
      <c r="D5385" s="6" t="n">
        <v>3.9</v>
      </c>
      <c r="E5385" t="n">
        <v>42442</v>
      </c>
      <c r="F5385" s="6" t="n">
        <v>3.9</v>
      </c>
      <c r="G5385" t="n">
        <v>1</v>
      </c>
      <c r="H5385" s="6">
        <f>ROUND(G5385*F5385,2)</f>
        <v/>
      </c>
      <c r="I5385">
        <f>IF(ROUND(H5385-D5385,2)=0,1,0)</f>
        <v/>
      </c>
      <c r="J5385">
        <f>IF(F5385="","none",IF(G5385=1,"carte","multiple"))</f>
        <v/>
      </c>
    </row>
    <row r="5386">
      <c r="A5386" t="inlineStr">
        <is>
          <t>2022-09-18</t>
        </is>
      </c>
      <c r="B5386" t="inlineStr">
        <is>
          <t>18:56</t>
        </is>
      </c>
      <c r="C5386" t="n">
        <v>3059</v>
      </c>
      <c r="D5386" s="6" t="n">
        <v>3.9</v>
      </c>
      <c r="E5386" t="n">
        <v>42443</v>
      </c>
      <c r="F5386" s="6" t="n">
        <v>3.9</v>
      </c>
      <c r="G5386" t="n">
        <v>1</v>
      </c>
      <c r="H5386" s="6">
        <f>ROUND(G5386*F5386,2)</f>
        <v/>
      </c>
      <c r="I5386">
        <f>IF(ROUND(H5386-D5386,2)=0,1,0)</f>
        <v/>
      </c>
      <c r="J5386">
        <f>IF(F5386="","none",IF(G5386=1,"carte","multiple"))</f>
        <v/>
      </c>
    </row>
    <row r="5387">
      <c r="A5387" t="inlineStr">
        <is>
          <t>2022-09-18</t>
        </is>
      </c>
      <c r="B5387" t="inlineStr">
        <is>
          <t>18:56</t>
        </is>
      </c>
      <c r="C5387" t="n">
        <v>3059</v>
      </c>
      <c r="D5387" s="6" t="n">
        <v>4.9</v>
      </c>
      <c r="E5387" t="n">
        <v>42444</v>
      </c>
      <c r="F5387" s="6" t="n">
        <v>4.9</v>
      </c>
      <c r="G5387" t="n">
        <v>1</v>
      </c>
      <c r="H5387" s="6">
        <f>ROUND(G5387*F5387,2)</f>
        <v/>
      </c>
      <c r="I5387">
        <f>IF(ROUND(H5387-D5387,2)=0,1,0)</f>
        <v/>
      </c>
      <c r="J5387">
        <f>IF(F5387="","none",IF(G5387=1,"carte","multiple"))</f>
        <v/>
      </c>
    </row>
    <row r="5388">
      <c r="A5388" t="inlineStr">
        <is>
          <t>2022-09-18</t>
        </is>
      </c>
      <c r="B5388" t="inlineStr">
        <is>
          <t>18:56</t>
        </is>
      </c>
      <c r="C5388" t="n">
        <v>3059</v>
      </c>
      <c r="D5388" s="6" t="n">
        <v>2.4</v>
      </c>
      <c r="E5388" t="n">
        <v>42445</v>
      </c>
      <c r="F5388" s="6" t="n">
        <v>2.4</v>
      </c>
      <c r="G5388" t="n">
        <v>1</v>
      </c>
      <c r="H5388" s="6">
        <f>ROUND(G5388*F5388,2)</f>
        <v/>
      </c>
      <c r="I5388">
        <f>IF(ROUND(H5388-D5388,2)=0,1,0)</f>
        <v/>
      </c>
      <c r="J5388">
        <f>IF(F5388="","none",IF(G5388=1,"carte","multiple"))</f>
        <v/>
      </c>
    </row>
    <row r="5389">
      <c r="A5389" t="inlineStr">
        <is>
          <t>2022-09-18</t>
        </is>
      </c>
      <c r="B5389" t="inlineStr">
        <is>
          <t>19:34</t>
        </is>
      </c>
      <c r="C5389" t="n">
        <v>3059</v>
      </c>
      <c r="D5389" s="6" t="n">
        <v>1.1</v>
      </c>
      <c r="E5389" t="n">
        <v>42446</v>
      </c>
      <c r="F5389" s="6" t="n">
        <v>1.1</v>
      </c>
      <c r="G5389" t="n">
        <v>1</v>
      </c>
      <c r="H5389" s="6">
        <f>ROUND(G5389*F5389,2)</f>
        <v/>
      </c>
      <c r="I5389">
        <f>IF(ROUND(H5389-D5389,2)=0,1,0)</f>
        <v/>
      </c>
      <c r="J5389">
        <f>IF(F5389="","none",IF(G5389=1,"carte","multiple"))</f>
        <v/>
      </c>
    </row>
    <row r="5390">
      <c r="A5390" t="inlineStr">
        <is>
          <t>2022-09-18</t>
        </is>
      </c>
      <c r="B5390" t="inlineStr">
        <is>
          <t>19:34</t>
        </is>
      </c>
      <c r="C5390" t="n">
        <v>3059</v>
      </c>
      <c r="D5390" s="6" t="n">
        <v>3.95</v>
      </c>
      <c r="E5390" t="n">
        <v>42447</v>
      </c>
      <c r="H5390" t="inlineStr"/>
      <c r="I5390" t="inlineStr"/>
      <c r="J5390">
        <f>IF(F5390="","none",IF(G5390=1,"carte","multiple"))</f>
        <v/>
      </c>
    </row>
    <row r="5391">
      <c r="A5391" t="inlineStr">
        <is>
          <t>2022-09-18</t>
        </is>
      </c>
      <c r="B5391" t="inlineStr">
        <is>
          <t>19:34</t>
        </is>
      </c>
      <c r="C5391" t="n">
        <v>3059</v>
      </c>
      <c r="D5391" s="6" t="n">
        <v>9.5</v>
      </c>
      <c r="E5391" t="n">
        <v>42448</v>
      </c>
      <c r="F5391" s="6" t="n">
        <v>9.5</v>
      </c>
      <c r="G5391" t="n">
        <v>1</v>
      </c>
      <c r="H5391" s="6">
        <f>ROUND(G5391*F5391,2)</f>
        <v/>
      </c>
      <c r="I5391">
        <f>IF(ROUND(H5391-D5391,2)=0,1,0)</f>
        <v/>
      </c>
      <c r="J5391">
        <f>IF(F5391="","none",IF(G5391=1,"carte","multiple"))</f>
        <v/>
      </c>
    </row>
    <row r="5392">
      <c r="A5392" t="inlineStr">
        <is>
          <t>2022-09-18</t>
        </is>
      </c>
      <c r="B5392" t="inlineStr">
        <is>
          <t>19:34</t>
        </is>
      </c>
      <c r="C5392" t="n">
        <v>3059</v>
      </c>
      <c r="D5392" s="6" t="n">
        <v>8.800000000000001</v>
      </c>
      <c r="E5392" t="n">
        <v>42449</v>
      </c>
      <c r="F5392" s="6" t="n">
        <v>8.800000000000001</v>
      </c>
      <c r="G5392" t="n">
        <v>1</v>
      </c>
      <c r="H5392" s="6">
        <f>ROUND(G5392*F5392,2)</f>
        <v/>
      </c>
      <c r="I5392">
        <f>IF(ROUND(H5392-D5392,2)=0,1,0)</f>
        <v/>
      </c>
      <c r="J5392">
        <f>IF(F5392="","none",IF(G5392=1,"carte","multiple"))</f>
        <v/>
      </c>
    </row>
    <row r="5393">
      <c r="A5393" t="inlineStr">
        <is>
          <t>2022-09-18</t>
        </is>
      </c>
      <c r="B5393" t="inlineStr">
        <is>
          <t>19:34</t>
        </is>
      </c>
      <c r="C5393" t="n">
        <v>3059</v>
      </c>
      <c r="D5393" s="6" t="n">
        <v>3.25</v>
      </c>
      <c r="E5393" t="n">
        <v>42450</v>
      </c>
      <c r="H5393" t="inlineStr"/>
      <c r="I5393" t="inlineStr"/>
      <c r="J5393">
        <f>IF(F5393="","none",IF(G5393=1,"carte","multiple"))</f>
        <v/>
      </c>
    </row>
    <row r="5394">
      <c r="A5394" t="inlineStr">
        <is>
          <t>2022-09-18</t>
        </is>
      </c>
      <c r="B5394" t="inlineStr">
        <is>
          <t>19:34</t>
        </is>
      </c>
      <c r="C5394" t="n">
        <v>3059</v>
      </c>
      <c r="D5394" s="6" t="n">
        <v>3.95</v>
      </c>
      <c r="E5394" t="n">
        <v>42451</v>
      </c>
      <c r="H5394" t="inlineStr"/>
      <c r="I5394" t="inlineStr"/>
      <c r="J5394">
        <f>IF(F5394="","none",IF(G5394=1,"carte","multiple"))</f>
        <v/>
      </c>
    </row>
    <row r="5395">
      <c r="A5395" t="inlineStr">
        <is>
          <t>2022-09-21</t>
        </is>
      </c>
      <c r="B5395" t="inlineStr">
        <is>
          <t>11:21</t>
        </is>
      </c>
      <c r="C5395" t="n">
        <v>3060</v>
      </c>
      <c r="D5395" s="6" t="n">
        <v>35.2</v>
      </c>
      <c r="E5395" t="n">
        <v>42454</v>
      </c>
      <c r="F5395" s="6" t="n">
        <v>0.4</v>
      </c>
      <c r="G5395" t="n">
        <v>88</v>
      </c>
      <c r="H5395" s="6">
        <f>ROUND(G5395*F5395,2)</f>
        <v/>
      </c>
      <c r="I5395">
        <f>IF(ROUND(H5395-D5395,2)=0,1,0)</f>
        <v/>
      </c>
      <c r="J5395">
        <f>IF(F5395="","none",IF(G5395=1,"carte","multiple"))</f>
        <v/>
      </c>
    </row>
    <row r="5396">
      <c r="A5396" t="inlineStr">
        <is>
          <t>2022-09-21</t>
        </is>
      </c>
      <c r="B5396" t="inlineStr">
        <is>
          <t>11:21</t>
        </is>
      </c>
      <c r="C5396" t="n">
        <v>3060</v>
      </c>
      <c r="D5396" s="6" t="n">
        <v>6.4</v>
      </c>
      <c r="E5396" t="n">
        <v>42455</v>
      </c>
      <c r="F5396" s="6" t="n">
        <v>6.4</v>
      </c>
      <c r="G5396" t="n">
        <v>1</v>
      </c>
      <c r="H5396" s="6">
        <f>ROUND(G5396*F5396,2)</f>
        <v/>
      </c>
      <c r="I5396">
        <f>IF(ROUND(H5396-D5396,2)=0,1,0)</f>
        <v/>
      </c>
      <c r="J5396">
        <f>IF(F5396="","none",IF(G5396=1,"carte","multiple"))</f>
        <v/>
      </c>
    </row>
    <row r="5397">
      <c r="A5397" t="inlineStr">
        <is>
          <t>2022-09-21</t>
        </is>
      </c>
      <c r="B5397" t="inlineStr">
        <is>
          <t>11:21</t>
        </is>
      </c>
      <c r="C5397" t="n">
        <v>3060</v>
      </c>
      <c r="D5397" s="6" t="n">
        <v>7.9</v>
      </c>
      <c r="E5397" t="n">
        <v>42456</v>
      </c>
      <c r="F5397" s="6" t="n">
        <v>7.9</v>
      </c>
      <c r="G5397" t="n">
        <v>1</v>
      </c>
      <c r="H5397" s="6">
        <f>ROUND(G5397*F5397,2)</f>
        <v/>
      </c>
      <c r="I5397">
        <f>IF(ROUND(H5397-D5397,2)=0,1,0)</f>
        <v/>
      </c>
      <c r="J5397">
        <f>IF(F5397="","none",IF(G5397=1,"carte","multiple"))</f>
        <v/>
      </c>
    </row>
    <row r="5398">
      <c r="A5398" t="inlineStr">
        <is>
          <t>2022-09-21</t>
        </is>
      </c>
      <c r="B5398" t="inlineStr">
        <is>
          <t>11:21</t>
        </is>
      </c>
      <c r="C5398" t="n">
        <v>3060</v>
      </c>
      <c r="D5398" s="6" t="n">
        <v>3.9</v>
      </c>
      <c r="E5398" t="n">
        <v>42457</v>
      </c>
      <c r="F5398" s="6" t="n">
        <v>3.9</v>
      </c>
      <c r="G5398" t="n">
        <v>1</v>
      </c>
      <c r="H5398" s="6">
        <f>ROUND(G5398*F5398,2)</f>
        <v/>
      </c>
      <c r="I5398">
        <f>IF(ROUND(H5398-D5398,2)=0,1,0)</f>
        <v/>
      </c>
      <c r="J5398">
        <f>IF(F5398="","none",IF(G5398=1,"carte","multiple"))</f>
        <v/>
      </c>
    </row>
    <row r="5399">
      <c r="A5399" t="inlineStr">
        <is>
          <t>2022-09-21</t>
        </is>
      </c>
      <c r="B5399" t="inlineStr">
        <is>
          <t>11:37</t>
        </is>
      </c>
      <c r="C5399" t="n">
        <v>3060</v>
      </c>
      <c r="D5399" s="6" t="n">
        <v>7.8</v>
      </c>
      <c r="E5399" t="n">
        <v>42458</v>
      </c>
      <c r="F5399" s="6" t="n">
        <v>7.8</v>
      </c>
      <c r="G5399" t="n">
        <v>1</v>
      </c>
      <c r="H5399" s="6">
        <f>ROUND(G5399*F5399,2)</f>
        <v/>
      </c>
      <c r="I5399">
        <f>IF(ROUND(H5399-D5399,2)=0,1,0)</f>
        <v/>
      </c>
      <c r="J5399">
        <f>IF(F5399="","none",IF(G5399=1,"carte","multiple"))</f>
        <v/>
      </c>
    </row>
    <row r="5400">
      <c r="A5400" t="inlineStr">
        <is>
          <t>2022-09-21</t>
        </is>
      </c>
      <c r="B5400" t="inlineStr">
        <is>
          <t>11:38</t>
        </is>
      </c>
      <c r="C5400" t="n">
        <v>3060</v>
      </c>
      <c r="D5400" s="6" t="n">
        <v>17.6</v>
      </c>
      <c r="E5400" t="n">
        <v>42459</v>
      </c>
      <c r="F5400" s="6" t="n">
        <v>17.6</v>
      </c>
      <c r="G5400" t="n">
        <v>1</v>
      </c>
      <c r="H5400" s="6">
        <f>ROUND(G5400*F5400,2)</f>
        <v/>
      </c>
      <c r="I5400">
        <f>IF(ROUND(H5400-D5400,2)=0,1,0)</f>
        <v/>
      </c>
      <c r="J5400">
        <f>IF(F5400="","none",IF(G5400=1,"carte","multiple"))</f>
        <v/>
      </c>
    </row>
    <row r="5401">
      <c r="A5401" t="inlineStr">
        <is>
          <t>2022-09-21</t>
        </is>
      </c>
      <c r="B5401" t="inlineStr">
        <is>
          <t>11:38</t>
        </is>
      </c>
      <c r="C5401" t="n">
        <v>3060</v>
      </c>
      <c r="D5401" s="6" t="n">
        <v>17.6</v>
      </c>
      <c r="E5401" t="n">
        <v>42460</v>
      </c>
      <c r="F5401" s="6" t="n">
        <v>17.6</v>
      </c>
      <c r="G5401" t="n">
        <v>1</v>
      </c>
      <c r="H5401" s="6">
        <f>ROUND(G5401*F5401,2)</f>
        <v/>
      </c>
      <c r="I5401">
        <f>IF(ROUND(H5401-D5401,2)=0,1,0)</f>
        <v/>
      </c>
      <c r="J5401">
        <f>IF(F5401="","none",IF(G5401=1,"carte","multiple"))</f>
        <v/>
      </c>
    </row>
    <row r="5402">
      <c r="A5402" t="inlineStr">
        <is>
          <t>2022-09-21</t>
        </is>
      </c>
      <c r="B5402" t="inlineStr">
        <is>
          <t>11:38</t>
        </is>
      </c>
      <c r="C5402" t="n">
        <v>3060</v>
      </c>
      <c r="D5402" s="6" t="n">
        <v>7.8</v>
      </c>
      <c r="E5402" t="n">
        <v>42461</v>
      </c>
      <c r="F5402" s="6" t="n">
        <v>7.8</v>
      </c>
      <c r="G5402" t="n">
        <v>1</v>
      </c>
      <c r="H5402" s="6">
        <f>ROUND(G5402*F5402,2)</f>
        <v/>
      </c>
      <c r="I5402">
        <f>IF(ROUND(H5402-D5402,2)=0,1,0)</f>
        <v/>
      </c>
      <c r="J5402">
        <f>IF(F5402="","none",IF(G5402=1,"carte","multiple"))</f>
        <v/>
      </c>
    </row>
    <row r="5403">
      <c r="A5403" t="inlineStr">
        <is>
          <t>2022-09-21</t>
        </is>
      </c>
      <c r="B5403" t="inlineStr">
        <is>
          <t>11:51</t>
        </is>
      </c>
      <c r="C5403" t="n">
        <v>3060</v>
      </c>
      <c r="D5403" s="6" t="n">
        <v>6.6</v>
      </c>
      <c r="E5403" t="n">
        <v>42462</v>
      </c>
      <c r="F5403" s="6" t="n">
        <v>6.6</v>
      </c>
      <c r="G5403" t="n">
        <v>1</v>
      </c>
      <c r="H5403" s="6">
        <f>ROUND(G5403*F5403,2)</f>
        <v/>
      </c>
      <c r="I5403">
        <f>IF(ROUND(H5403-D5403,2)=0,1,0)</f>
        <v/>
      </c>
      <c r="J5403">
        <f>IF(F5403="","none",IF(G5403=1,"carte","multiple"))</f>
        <v/>
      </c>
    </row>
    <row r="5404">
      <c r="A5404" t="inlineStr">
        <is>
          <t>2022-09-21</t>
        </is>
      </c>
      <c r="B5404" t="inlineStr">
        <is>
          <t>11:51</t>
        </is>
      </c>
      <c r="C5404" t="n">
        <v>3060</v>
      </c>
      <c r="D5404" s="6" t="n">
        <v>15.8</v>
      </c>
      <c r="E5404" t="n">
        <v>42463</v>
      </c>
      <c r="F5404" s="6" t="n">
        <v>7.9</v>
      </c>
      <c r="G5404" t="n">
        <v>2</v>
      </c>
      <c r="H5404" s="6">
        <f>ROUND(G5404*F5404,2)</f>
        <v/>
      </c>
      <c r="I5404">
        <f>IF(ROUND(H5404-D5404,2)=0,1,0)</f>
        <v/>
      </c>
      <c r="J5404">
        <f>IF(F5404="","none",IF(G5404=1,"carte","multiple"))</f>
        <v/>
      </c>
    </row>
    <row r="5405">
      <c r="A5405" t="inlineStr">
        <is>
          <t>2022-09-21</t>
        </is>
      </c>
      <c r="B5405" t="inlineStr">
        <is>
          <t>11:51</t>
        </is>
      </c>
      <c r="C5405" t="n">
        <v>3060</v>
      </c>
      <c r="D5405" s="6" t="n">
        <v>4</v>
      </c>
      <c r="E5405" t="n">
        <v>42464</v>
      </c>
      <c r="F5405" s="6" t="n">
        <v>4</v>
      </c>
      <c r="G5405" t="n">
        <v>1</v>
      </c>
      <c r="H5405" s="6">
        <f>ROUND(G5405*F5405,2)</f>
        <v/>
      </c>
      <c r="I5405">
        <f>IF(ROUND(H5405-D5405,2)=0,1,0)</f>
        <v/>
      </c>
      <c r="J5405">
        <f>IF(F5405="","none",IF(G5405=1,"carte","multiple"))</f>
        <v/>
      </c>
    </row>
    <row r="5406">
      <c r="A5406" t="inlineStr">
        <is>
          <t>2022-09-21</t>
        </is>
      </c>
      <c r="B5406" t="inlineStr">
        <is>
          <t>11:51</t>
        </is>
      </c>
      <c r="C5406" t="n">
        <v>3060</v>
      </c>
      <c r="D5406" s="6" t="n">
        <v>19.9</v>
      </c>
      <c r="E5406" t="n">
        <v>42465</v>
      </c>
      <c r="F5406" s="6" t="n">
        <v>19.9</v>
      </c>
      <c r="G5406" t="n">
        <v>1</v>
      </c>
      <c r="H5406" s="6">
        <f>ROUND(G5406*F5406,2)</f>
        <v/>
      </c>
      <c r="I5406">
        <f>IF(ROUND(H5406-D5406,2)=0,1,0)</f>
        <v/>
      </c>
      <c r="J5406">
        <f>IF(F5406="","none",IF(G5406=1,"carte","multiple"))</f>
        <v/>
      </c>
    </row>
    <row r="5407">
      <c r="A5407" t="inlineStr">
        <is>
          <t>2022-09-21</t>
        </is>
      </c>
      <c r="B5407" t="inlineStr">
        <is>
          <t>11:51</t>
        </is>
      </c>
      <c r="C5407" t="n">
        <v>3060</v>
      </c>
      <c r="D5407" s="6" t="n">
        <v>18.6</v>
      </c>
      <c r="E5407" t="n">
        <v>42466</v>
      </c>
      <c r="F5407" s="6" t="n">
        <v>18.6</v>
      </c>
      <c r="G5407" t="n">
        <v>1</v>
      </c>
      <c r="H5407" s="6">
        <f>ROUND(G5407*F5407,2)</f>
        <v/>
      </c>
      <c r="I5407">
        <f>IF(ROUND(H5407-D5407,2)=0,1,0)</f>
        <v/>
      </c>
      <c r="J5407">
        <f>IF(F5407="","none",IF(G5407=1,"carte","multiple"))</f>
        <v/>
      </c>
    </row>
    <row r="5408">
      <c r="A5408" t="inlineStr">
        <is>
          <t>2022-09-21</t>
        </is>
      </c>
      <c r="B5408" t="inlineStr">
        <is>
          <t>12:28</t>
        </is>
      </c>
      <c r="C5408" t="n">
        <v>3060</v>
      </c>
      <c r="D5408" s="6" t="n">
        <v>4.4</v>
      </c>
      <c r="E5408" t="n">
        <v>42467</v>
      </c>
      <c r="F5408" s="6" t="n">
        <v>0.4</v>
      </c>
      <c r="G5408" t="n">
        <v>11</v>
      </c>
      <c r="H5408" s="6">
        <f>ROUND(G5408*F5408,2)</f>
        <v/>
      </c>
      <c r="I5408">
        <f>IF(ROUND(H5408-D5408,2)=0,1,0)</f>
        <v/>
      </c>
      <c r="J5408">
        <f>IF(F5408="","none",IF(G5408=1,"carte","multiple"))</f>
        <v/>
      </c>
    </row>
    <row r="5409">
      <c r="A5409" t="inlineStr">
        <is>
          <t>2022-09-21</t>
        </is>
      </c>
      <c r="B5409" t="inlineStr">
        <is>
          <t>12:28</t>
        </is>
      </c>
      <c r="C5409" t="n">
        <v>3060</v>
      </c>
      <c r="D5409" s="6" t="n">
        <v>35.2</v>
      </c>
      <c r="E5409" t="n">
        <v>42468</v>
      </c>
      <c r="F5409" s="6" t="n">
        <v>0.4</v>
      </c>
      <c r="G5409" t="n">
        <v>88</v>
      </c>
      <c r="H5409" s="6">
        <f>ROUND(G5409*F5409,2)</f>
        <v/>
      </c>
      <c r="I5409">
        <f>IF(ROUND(H5409-D5409,2)=0,1,0)</f>
        <v/>
      </c>
      <c r="J5409">
        <f>IF(F5409="","none",IF(G5409=1,"carte","multiple"))</f>
        <v/>
      </c>
    </row>
    <row r="5410">
      <c r="A5410" t="inlineStr">
        <is>
          <t>2022-09-21</t>
        </is>
      </c>
      <c r="B5410" t="inlineStr">
        <is>
          <t>12:28</t>
        </is>
      </c>
      <c r="C5410" t="n">
        <v>3060</v>
      </c>
      <c r="D5410" s="6" t="n">
        <v>17.8</v>
      </c>
      <c r="E5410" t="n">
        <v>42469</v>
      </c>
      <c r="F5410" s="6" t="n">
        <v>8.9</v>
      </c>
      <c r="G5410" t="n">
        <v>2</v>
      </c>
      <c r="H5410" s="6">
        <f>ROUND(G5410*F5410,2)</f>
        <v/>
      </c>
      <c r="I5410">
        <f>IF(ROUND(H5410-D5410,2)=0,1,0)</f>
        <v/>
      </c>
      <c r="J5410">
        <f>IF(F5410="","none",IF(G5410=1,"carte","multiple"))</f>
        <v/>
      </c>
    </row>
    <row r="5411">
      <c r="A5411" t="inlineStr">
        <is>
          <t>2022-09-21</t>
        </is>
      </c>
      <c r="B5411" t="inlineStr">
        <is>
          <t>19:19</t>
        </is>
      </c>
      <c r="C5411" t="n">
        <v>3060</v>
      </c>
      <c r="D5411" s="6" t="n">
        <v>6</v>
      </c>
      <c r="E5411" t="n">
        <v>42471</v>
      </c>
      <c r="F5411" s="6" t="n">
        <v>6</v>
      </c>
      <c r="G5411" t="n">
        <v>1</v>
      </c>
      <c r="H5411" s="6">
        <f>ROUND(G5411*F5411,2)</f>
        <v/>
      </c>
      <c r="I5411">
        <f>IF(ROUND(H5411-D5411,2)=0,1,0)</f>
        <v/>
      </c>
      <c r="J5411">
        <f>IF(F5411="","none",IF(G5411=1,"carte","multiple"))</f>
        <v/>
      </c>
    </row>
    <row r="5412">
      <c r="A5412" t="inlineStr">
        <is>
          <t>2022-09-21</t>
        </is>
      </c>
      <c r="B5412" t="inlineStr">
        <is>
          <t>19:19</t>
        </is>
      </c>
      <c r="C5412" t="n">
        <v>3060</v>
      </c>
      <c r="D5412" s="6" t="n">
        <v>5.2</v>
      </c>
      <c r="E5412" t="n">
        <v>42472</v>
      </c>
      <c r="F5412" s="6" t="n">
        <v>5.2</v>
      </c>
      <c r="G5412" t="n">
        <v>1</v>
      </c>
      <c r="H5412" s="6">
        <f>ROUND(G5412*F5412,2)</f>
        <v/>
      </c>
      <c r="I5412">
        <f>IF(ROUND(H5412-D5412,2)=0,1,0)</f>
        <v/>
      </c>
      <c r="J5412">
        <f>IF(F5412="","none",IF(G5412=1,"carte","multiple"))</f>
        <v/>
      </c>
    </row>
    <row r="5413">
      <c r="A5413" t="inlineStr">
        <is>
          <t>2022-09-21</t>
        </is>
      </c>
      <c r="B5413" t="inlineStr">
        <is>
          <t>19:19</t>
        </is>
      </c>
      <c r="C5413" t="n">
        <v>3060</v>
      </c>
      <c r="D5413" s="6" t="n">
        <v>14.4</v>
      </c>
      <c r="E5413" t="n">
        <v>42473</v>
      </c>
      <c r="F5413" s="6" t="n">
        <v>0.4</v>
      </c>
      <c r="G5413" t="n">
        <v>36</v>
      </c>
      <c r="H5413" s="6">
        <f>ROUND(G5413*F5413,2)</f>
        <v/>
      </c>
      <c r="I5413">
        <f>IF(ROUND(H5413-D5413,2)=0,1,0)</f>
        <v/>
      </c>
      <c r="J5413">
        <f>IF(F5413="","none",IF(G5413=1,"carte","multiple"))</f>
        <v/>
      </c>
    </row>
    <row r="5414">
      <c r="A5414" t="inlineStr">
        <is>
          <t>2022-09-21</t>
        </is>
      </c>
      <c r="B5414" t="inlineStr">
        <is>
          <t>19:19</t>
        </is>
      </c>
      <c r="C5414" t="n">
        <v>3060</v>
      </c>
      <c r="D5414" s="6" t="n">
        <v>64</v>
      </c>
      <c r="E5414" t="n">
        <v>42474</v>
      </c>
      <c r="F5414" s="6" t="n">
        <v>64</v>
      </c>
      <c r="G5414" t="n">
        <v>1</v>
      </c>
      <c r="H5414" s="6">
        <f>ROUND(G5414*F5414,2)</f>
        <v/>
      </c>
      <c r="I5414">
        <f>IF(ROUND(H5414-D5414,2)=0,1,0)</f>
        <v/>
      </c>
      <c r="J5414">
        <f>IF(F5414="","none",IF(G5414=1,"carte","multiple"))</f>
        <v/>
      </c>
    </row>
    <row r="5415">
      <c r="A5415" t="inlineStr">
        <is>
          <t>2022-09-21</t>
        </is>
      </c>
      <c r="B5415" t="inlineStr">
        <is>
          <t>19:29</t>
        </is>
      </c>
      <c r="C5415" t="n">
        <v>3060</v>
      </c>
      <c r="D5415" s="6" t="n">
        <v>2.2</v>
      </c>
      <c r="E5415" t="n">
        <v>42475</v>
      </c>
      <c r="F5415" s="6" t="n">
        <v>2.2</v>
      </c>
      <c r="G5415" t="n">
        <v>1</v>
      </c>
      <c r="H5415" s="6">
        <f>ROUND(G5415*F5415,2)</f>
        <v/>
      </c>
      <c r="I5415">
        <f>IF(ROUND(H5415-D5415,2)=0,1,0)</f>
        <v/>
      </c>
      <c r="J5415">
        <f>IF(F5415="","none",IF(G5415=1,"carte","multiple"))</f>
        <v/>
      </c>
    </row>
    <row r="5416">
      <c r="A5416" t="inlineStr">
        <is>
          <t>2022-09-21</t>
        </is>
      </c>
      <c r="B5416" t="inlineStr">
        <is>
          <t>19:29</t>
        </is>
      </c>
      <c r="C5416" t="n">
        <v>3060</v>
      </c>
      <c r="D5416" s="6" t="n">
        <v>6.9</v>
      </c>
      <c r="E5416" t="n">
        <v>42476</v>
      </c>
      <c r="F5416" s="6" t="n">
        <v>6.9</v>
      </c>
      <c r="G5416" t="n">
        <v>1</v>
      </c>
      <c r="H5416" s="6">
        <f>ROUND(G5416*F5416,2)</f>
        <v/>
      </c>
      <c r="I5416">
        <f>IF(ROUND(H5416-D5416,2)=0,1,0)</f>
        <v/>
      </c>
      <c r="J5416">
        <f>IF(F5416="","none",IF(G5416=1,"carte","multiple"))</f>
        <v/>
      </c>
    </row>
    <row r="5417">
      <c r="A5417" t="inlineStr">
        <is>
          <t>2022-09-21</t>
        </is>
      </c>
      <c r="B5417" t="inlineStr">
        <is>
          <t>19:29</t>
        </is>
      </c>
      <c r="C5417" t="n">
        <v>3060</v>
      </c>
      <c r="D5417" s="6" t="n">
        <v>4.7</v>
      </c>
      <c r="E5417" t="n">
        <v>42477</v>
      </c>
      <c r="F5417" s="6" t="n">
        <v>4.7</v>
      </c>
      <c r="G5417" t="n">
        <v>1</v>
      </c>
      <c r="H5417" s="6">
        <f>ROUND(G5417*F5417,2)</f>
        <v/>
      </c>
      <c r="I5417">
        <f>IF(ROUND(H5417-D5417,2)=0,1,0)</f>
        <v/>
      </c>
      <c r="J5417">
        <f>IF(F5417="","none",IF(G5417=1,"carte","multiple"))</f>
        <v/>
      </c>
    </row>
    <row r="5418">
      <c r="A5418" t="inlineStr">
        <is>
          <t>2022-09-21</t>
        </is>
      </c>
      <c r="B5418" t="inlineStr">
        <is>
          <t>19:29</t>
        </is>
      </c>
      <c r="C5418" t="n">
        <v>3060</v>
      </c>
      <c r="D5418" s="6" t="n">
        <v>35.2</v>
      </c>
      <c r="E5418" t="n">
        <v>42478</v>
      </c>
      <c r="F5418" s="6" t="n">
        <v>0.4</v>
      </c>
      <c r="G5418" t="n">
        <v>88</v>
      </c>
      <c r="H5418" s="6">
        <f>ROUND(G5418*F5418,2)</f>
        <v/>
      </c>
      <c r="I5418">
        <f>IF(ROUND(H5418-D5418,2)=0,1,0)</f>
        <v/>
      </c>
      <c r="J5418">
        <f>IF(F5418="","none",IF(G5418=1,"carte","multiple"))</f>
        <v/>
      </c>
    </row>
    <row r="5419">
      <c r="A5419" t="inlineStr">
        <is>
          <t>2022-09-21</t>
        </is>
      </c>
      <c r="B5419" t="inlineStr">
        <is>
          <t>19:29</t>
        </is>
      </c>
      <c r="C5419" t="n">
        <v>3060</v>
      </c>
      <c r="D5419" s="6" t="n">
        <v>3.9</v>
      </c>
      <c r="E5419" t="n">
        <v>42479</v>
      </c>
      <c r="F5419" s="6" t="n">
        <v>3.9</v>
      </c>
      <c r="G5419" t="n">
        <v>1</v>
      </c>
      <c r="H5419" s="6">
        <f>ROUND(G5419*F5419,2)</f>
        <v/>
      </c>
      <c r="I5419">
        <f>IF(ROUND(H5419-D5419,2)=0,1,0)</f>
        <v/>
      </c>
      <c r="J5419">
        <f>IF(F5419="","none",IF(G5419=1,"carte","multiple"))</f>
        <v/>
      </c>
    </row>
    <row r="5420">
      <c r="A5420" t="inlineStr">
        <is>
          <t>2022-09-21</t>
        </is>
      </c>
      <c r="B5420" t="inlineStr">
        <is>
          <t>19:29</t>
        </is>
      </c>
      <c r="C5420" t="n">
        <v>3060</v>
      </c>
      <c r="D5420" s="6" t="n">
        <v>7.2</v>
      </c>
      <c r="E5420" t="n">
        <v>42480</v>
      </c>
      <c r="F5420" s="6" t="n">
        <v>7.2</v>
      </c>
      <c r="G5420" t="n">
        <v>1</v>
      </c>
      <c r="H5420" s="6">
        <f>ROUND(G5420*F5420,2)</f>
        <v/>
      </c>
      <c r="I5420">
        <f>IF(ROUND(H5420-D5420,2)=0,1,0)</f>
        <v/>
      </c>
      <c r="J5420">
        <f>IF(F5420="","none",IF(G5420=1,"carte","multiple"))</f>
        <v/>
      </c>
    </row>
    <row r="5421">
      <c r="A5421" t="inlineStr">
        <is>
          <t>2022-09-21</t>
        </is>
      </c>
      <c r="B5421" t="inlineStr">
        <is>
          <t>20:22</t>
        </is>
      </c>
      <c r="C5421" t="n">
        <v>3060</v>
      </c>
      <c r="D5421" s="6" t="n">
        <v>3.4</v>
      </c>
      <c r="E5421" t="n">
        <v>42481</v>
      </c>
      <c r="F5421" s="6" t="n">
        <v>3.4</v>
      </c>
      <c r="G5421" t="n">
        <v>1</v>
      </c>
      <c r="H5421" s="6">
        <f>ROUND(G5421*F5421,2)</f>
        <v/>
      </c>
      <c r="I5421">
        <f>IF(ROUND(H5421-D5421,2)=0,1,0)</f>
        <v/>
      </c>
      <c r="J5421">
        <f>IF(F5421="","none",IF(G5421=1,"carte","multiple"))</f>
        <v/>
      </c>
    </row>
    <row r="5422">
      <c r="A5422" t="inlineStr">
        <is>
          <t>2022-09-22</t>
        </is>
      </c>
      <c r="B5422" t="inlineStr">
        <is>
          <t>11:25</t>
        </is>
      </c>
      <c r="C5422" t="n">
        <v>3061</v>
      </c>
      <c r="D5422" s="6" t="n">
        <v>29.9</v>
      </c>
      <c r="E5422" t="n">
        <v>42484</v>
      </c>
      <c r="F5422" s="6" t="n">
        <v>29.9</v>
      </c>
      <c r="G5422" t="n">
        <v>1</v>
      </c>
      <c r="H5422" s="6">
        <f>ROUND(G5422*F5422,2)</f>
        <v/>
      </c>
      <c r="I5422">
        <f>IF(ROUND(H5422-D5422,2)=0,1,0)</f>
        <v/>
      </c>
      <c r="J5422">
        <f>IF(F5422="","none",IF(G5422=1,"carte","multiple"))</f>
        <v/>
      </c>
    </row>
    <row r="5423">
      <c r="A5423" t="inlineStr">
        <is>
          <t>2022-09-22</t>
        </is>
      </c>
      <c r="B5423" t="inlineStr">
        <is>
          <t>11:48</t>
        </is>
      </c>
      <c r="C5423" t="n">
        <v>3061</v>
      </c>
      <c r="D5423" s="6" t="n">
        <v>4</v>
      </c>
      <c r="E5423" t="n">
        <v>42485</v>
      </c>
      <c r="F5423" s="6" t="n">
        <v>4</v>
      </c>
      <c r="G5423" t="n">
        <v>1</v>
      </c>
      <c r="H5423" s="6">
        <f>ROUND(G5423*F5423,2)</f>
        <v/>
      </c>
      <c r="I5423">
        <f>IF(ROUND(H5423-D5423,2)=0,1,0)</f>
        <v/>
      </c>
      <c r="J5423">
        <f>IF(F5423="","none",IF(G5423=1,"carte","multiple"))</f>
        <v/>
      </c>
    </row>
    <row r="5424">
      <c r="A5424" t="inlineStr">
        <is>
          <t>2022-09-22</t>
        </is>
      </c>
      <c r="B5424" t="inlineStr">
        <is>
          <t>11:48</t>
        </is>
      </c>
      <c r="C5424" t="n">
        <v>3061</v>
      </c>
      <c r="D5424" s="6" t="n">
        <v>15</v>
      </c>
      <c r="E5424" t="n">
        <v>42486</v>
      </c>
      <c r="F5424" s="6" t="n">
        <v>15</v>
      </c>
      <c r="G5424" t="n">
        <v>1</v>
      </c>
      <c r="H5424" s="6">
        <f>ROUND(G5424*F5424,2)</f>
        <v/>
      </c>
      <c r="I5424">
        <f>IF(ROUND(H5424-D5424,2)=0,1,0)</f>
        <v/>
      </c>
      <c r="J5424">
        <f>IF(F5424="","none",IF(G5424=1,"carte","multiple"))</f>
        <v/>
      </c>
    </row>
    <row r="5425">
      <c r="A5425" t="inlineStr">
        <is>
          <t>2022-09-22</t>
        </is>
      </c>
      <c r="B5425" t="inlineStr">
        <is>
          <t>11:48</t>
        </is>
      </c>
      <c r="C5425" t="n">
        <v>3061</v>
      </c>
      <c r="D5425" s="6" t="n">
        <v>11</v>
      </c>
      <c r="E5425" t="n">
        <v>42487</v>
      </c>
      <c r="F5425" s="6" t="n">
        <v>11</v>
      </c>
      <c r="G5425" t="n">
        <v>1</v>
      </c>
      <c r="H5425" s="6">
        <f>ROUND(G5425*F5425,2)</f>
        <v/>
      </c>
      <c r="I5425">
        <f>IF(ROUND(H5425-D5425,2)=0,1,0)</f>
        <v/>
      </c>
      <c r="J5425">
        <f>IF(F5425="","none",IF(G5425=1,"carte","multiple"))</f>
        <v/>
      </c>
    </row>
    <row r="5426">
      <c r="A5426" t="inlineStr">
        <is>
          <t>2022-09-22</t>
        </is>
      </c>
      <c r="B5426" t="inlineStr">
        <is>
          <t>11:53</t>
        </is>
      </c>
      <c r="C5426" t="n">
        <v>3061</v>
      </c>
      <c r="D5426" s="6" t="n">
        <v>3.4</v>
      </c>
      <c r="E5426" t="n">
        <v>42488</v>
      </c>
      <c r="F5426" s="6" t="n">
        <v>3.4</v>
      </c>
      <c r="G5426" t="n">
        <v>1</v>
      </c>
      <c r="H5426" s="6">
        <f>ROUND(G5426*F5426,2)</f>
        <v/>
      </c>
      <c r="I5426">
        <f>IF(ROUND(H5426-D5426,2)=0,1,0)</f>
        <v/>
      </c>
      <c r="J5426">
        <f>IF(F5426="","none",IF(G5426=1,"carte","multiple"))</f>
        <v/>
      </c>
    </row>
    <row r="5427">
      <c r="A5427" t="inlineStr">
        <is>
          <t>2022-09-22</t>
        </is>
      </c>
      <c r="B5427" t="inlineStr">
        <is>
          <t>11:53</t>
        </is>
      </c>
      <c r="C5427" t="n">
        <v>3061</v>
      </c>
      <c r="D5427" s="6" t="n">
        <v>2.2</v>
      </c>
      <c r="E5427" t="n">
        <v>42489</v>
      </c>
      <c r="F5427" s="6" t="n">
        <v>2.2</v>
      </c>
      <c r="G5427" t="n">
        <v>1</v>
      </c>
      <c r="H5427" s="6">
        <f>ROUND(G5427*F5427,2)</f>
        <v/>
      </c>
      <c r="I5427">
        <f>IF(ROUND(H5427-D5427,2)=0,1,0)</f>
        <v/>
      </c>
      <c r="J5427">
        <f>IF(F5427="","none",IF(G5427=1,"carte","multiple"))</f>
        <v/>
      </c>
    </row>
    <row r="5428">
      <c r="A5428" t="inlineStr">
        <is>
          <t>2022-09-22</t>
        </is>
      </c>
      <c r="B5428" t="inlineStr">
        <is>
          <t>11:53</t>
        </is>
      </c>
      <c r="C5428" t="n">
        <v>3061</v>
      </c>
      <c r="D5428" s="6" t="n">
        <v>5.9</v>
      </c>
      <c r="E5428" t="n">
        <v>42490</v>
      </c>
      <c r="F5428" s="6" t="n">
        <v>5.9</v>
      </c>
      <c r="G5428" t="n">
        <v>1</v>
      </c>
      <c r="H5428" s="6">
        <f>ROUND(G5428*F5428,2)</f>
        <v/>
      </c>
      <c r="I5428">
        <f>IF(ROUND(H5428-D5428,2)=0,1,0)</f>
        <v/>
      </c>
      <c r="J5428">
        <f>IF(F5428="","none",IF(G5428=1,"carte","multiple"))</f>
        <v/>
      </c>
    </row>
    <row r="5429">
      <c r="A5429" t="inlineStr">
        <is>
          <t>2022-09-22</t>
        </is>
      </c>
      <c r="B5429" t="inlineStr">
        <is>
          <t>11:53</t>
        </is>
      </c>
      <c r="C5429" t="n">
        <v>3061</v>
      </c>
      <c r="D5429" s="6" t="n">
        <v>15.9</v>
      </c>
      <c r="E5429" t="n">
        <v>42491</v>
      </c>
      <c r="F5429" s="6" t="n">
        <v>15.9</v>
      </c>
      <c r="G5429" t="n">
        <v>1</v>
      </c>
      <c r="H5429" s="6">
        <f>ROUND(G5429*F5429,2)</f>
        <v/>
      </c>
      <c r="I5429">
        <f>IF(ROUND(H5429-D5429,2)=0,1,0)</f>
        <v/>
      </c>
      <c r="J5429">
        <f>IF(F5429="","none",IF(G5429=1,"carte","multiple"))</f>
        <v/>
      </c>
    </row>
    <row r="5430">
      <c r="A5430" t="inlineStr">
        <is>
          <t>2022-09-22</t>
        </is>
      </c>
      <c r="B5430" t="inlineStr">
        <is>
          <t>11:53</t>
        </is>
      </c>
      <c r="C5430" t="n">
        <v>3061</v>
      </c>
      <c r="D5430" s="6" t="n">
        <v>19</v>
      </c>
      <c r="E5430" t="n">
        <v>42492</v>
      </c>
      <c r="F5430" s="6" t="n">
        <v>19</v>
      </c>
      <c r="G5430" t="n">
        <v>1</v>
      </c>
      <c r="H5430" s="6">
        <f>ROUND(G5430*F5430,2)</f>
        <v/>
      </c>
      <c r="I5430">
        <f>IF(ROUND(H5430-D5430,2)=0,1,0)</f>
        <v/>
      </c>
      <c r="J5430">
        <f>IF(F5430="","none",IF(G5430=1,"carte","multiple"))</f>
        <v/>
      </c>
    </row>
    <row r="5431">
      <c r="A5431" t="inlineStr">
        <is>
          <t>2022-09-22</t>
        </is>
      </c>
      <c r="B5431" t="inlineStr">
        <is>
          <t>11:53</t>
        </is>
      </c>
      <c r="C5431" t="n">
        <v>3061</v>
      </c>
      <c r="D5431" s="6" t="n">
        <v>10.4</v>
      </c>
      <c r="E5431" t="n">
        <v>42493</v>
      </c>
      <c r="F5431" s="6" t="n">
        <v>0.4</v>
      </c>
      <c r="G5431" t="n">
        <v>26</v>
      </c>
      <c r="H5431" s="6">
        <f>ROUND(G5431*F5431,2)</f>
        <v/>
      </c>
      <c r="I5431">
        <f>IF(ROUND(H5431-D5431,2)=0,1,0)</f>
        <v/>
      </c>
      <c r="J5431">
        <f>IF(F5431="","none",IF(G5431=1,"carte","multiple"))</f>
        <v/>
      </c>
    </row>
    <row r="5432">
      <c r="A5432" t="inlineStr">
        <is>
          <t>2022-09-22</t>
        </is>
      </c>
      <c r="B5432" t="inlineStr">
        <is>
          <t>12:56</t>
        </is>
      </c>
      <c r="C5432" t="n">
        <v>3061</v>
      </c>
      <c r="D5432" s="6" t="n">
        <v>3.6</v>
      </c>
      <c r="E5432" t="n">
        <v>42494</v>
      </c>
      <c r="F5432" s="6" t="n">
        <v>3.6</v>
      </c>
      <c r="G5432" t="n">
        <v>1</v>
      </c>
      <c r="H5432" s="6">
        <f>ROUND(G5432*F5432,2)</f>
        <v/>
      </c>
      <c r="I5432">
        <f>IF(ROUND(H5432-D5432,2)=0,1,0)</f>
        <v/>
      </c>
      <c r="J5432">
        <f>IF(F5432="","none",IF(G5432=1,"carte","multiple"))</f>
        <v/>
      </c>
    </row>
    <row r="5433">
      <c r="A5433" t="inlineStr">
        <is>
          <t>2022-09-22</t>
        </is>
      </c>
      <c r="B5433" t="inlineStr">
        <is>
          <t>12:56</t>
        </is>
      </c>
      <c r="C5433" t="n">
        <v>3061</v>
      </c>
      <c r="D5433" s="6" t="n">
        <v>1.2</v>
      </c>
      <c r="E5433" t="n">
        <v>42495</v>
      </c>
      <c r="F5433" s="6" t="n">
        <v>1.2</v>
      </c>
      <c r="G5433" t="n">
        <v>1</v>
      </c>
      <c r="H5433" s="6">
        <f>ROUND(G5433*F5433,2)</f>
        <v/>
      </c>
      <c r="I5433">
        <f>IF(ROUND(H5433-D5433,2)=0,1,0)</f>
        <v/>
      </c>
      <c r="J5433">
        <f>IF(F5433="","none",IF(G5433=1,"carte","multiple"))</f>
        <v/>
      </c>
    </row>
    <row r="5434">
      <c r="A5434" t="inlineStr">
        <is>
          <t>2022-09-22</t>
        </is>
      </c>
      <c r="B5434" t="inlineStr">
        <is>
          <t>12:56</t>
        </is>
      </c>
      <c r="C5434" t="n">
        <v>3061</v>
      </c>
      <c r="D5434" s="6" t="n">
        <v>3.7</v>
      </c>
      <c r="E5434" t="n">
        <v>42496</v>
      </c>
      <c r="F5434" s="6" t="n">
        <v>3.7</v>
      </c>
      <c r="G5434" t="n">
        <v>1</v>
      </c>
      <c r="H5434" s="6">
        <f>ROUND(G5434*F5434,2)</f>
        <v/>
      </c>
      <c r="I5434">
        <f>IF(ROUND(H5434-D5434,2)=0,1,0)</f>
        <v/>
      </c>
      <c r="J5434">
        <f>IF(F5434="","none",IF(G5434=1,"carte","multiple"))</f>
        <v/>
      </c>
    </row>
    <row r="5435">
      <c r="A5435" t="inlineStr">
        <is>
          <t>2022-09-22</t>
        </is>
      </c>
      <c r="B5435" t="inlineStr">
        <is>
          <t>12:56</t>
        </is>
      </c>
      <c r="C5435" t="n">
        <v>3061</v>
      </c>
      <c r="D5435" s="6" t="n">
        <v>4.7</v>
      </c>
      <c r="E5435" t="n">
        <v>42497</v>
      </c>
      <c r="F5435" s="6" t="n">
        <v>4.7</v>
      </c>
      <c r="G5435" t="n">
        <v>1</v>
      </c>
      <c r="H5435" s="6">
        <f>ROUND(G5435*F5435,2)</f>
        <v/>
      </c>
      <c r="I5435">
        <f>IF(ROUND(H5435-D5435,2)=0,1,0)</f>
        <v/>
      </c>
      <c r="J5435">
        <f>IF(F5435="","none",IF(G5435=1,"carte","multiple"))</f>
        <v/>
      </c>
    </row>
    <row r="5436">
      <c r="A5436" t="inlineStr">
        <is>
          <t>2022-09-22</t>
        </is>
      </c>
      <c r="B5436" t="inlineStr">
        <is>
          <t>12:56</t>
        </is>
      </c>
      <c r="C5436" t="n">
        <v>3061</v>
      </c>
      <c r="D5436" s="6" t="n">
        <v>10.5</v>
      </c>
      <c r="E5436" t="n">
        <v>42498</v>
      </c>
      <c r="F5436" s="6" t="n">
        <v>10.5</v>
      </c>
      <c r="G5436" t="n">
        <v>1</v>
      </c>
      <c r="H5436" s="6">
        <f>ROUND(G5436*F5436,2)</f>
        <v/>
      </c>
      <c r="I5436">
        <f>IF(ROUND(H5436-D5436,2)=0,1,0)</f>
        <v/>
      </c>
      <c r="J5436">
        <f>IF(F5436="","none",IF(G5436=1,"carte","multiple"))</f>
        <v/>
      </c>
    </row>
    <row r="5437">
      <c r="A5437" t="inlineStr">
        <is>
          <t>2022-09-22</t>
        </is>
      </c>
      <c r="B5437" t="inlineStr">
        <is>
          <t>12:56</t>
        </is>
      </c>
      <c r="C5437" t="n">
        <v>3061</v>
      </c>
      <c r="D5437" s="6" t="n">
        <v>3.9</v>
      </c>
      <c r="E5437" t="n">
        <v>42499</v>
      </c>
      <c r="F5437" s="6" t="n">
        <v>3.9</v>
      </c>
      <c r="G5437" t="n">
        <v>1</v>
      </c>
      <c r="H5437" s="6">
        <f>ROUND(G5437*F5437,2)</f>
        <v/>
      </c>
      <c r="I5437">
        <f>IF(ROUND(H5437-D5437,2)=0,1,0)</f>
        <v/>
      </c>
      <c r="J5437">
        <f>IF(F5437="","none",IF(G5437=1,"carte","multiple"))</f>
        <v/>
      </c>
    </row>
    <row r="5438">
      <c r="A5438" t="inlineStr">
        <is>
          <t>2022-09-22</t>
        </is>
      </c>
      <c r="B5438" t="inlineStr">
        <is>
          <t>12:56</t>
        </is>
      </c>
      <c r="C5438" t="n">
        <v>3061</v>
      </c>
      <c r="D5438" s="6" t="n">
        <v>17.6</v>
      </c>
      <c r="E5438" t="n">
        <v>42500</v>
      </c>
      <c r="F5438" s="6" t="n">
        <v>17.6</v>
      </c>
      <c r="G5438" t="n">
        <v>1</v>
      </c>
      <c r="H5438" s="6">
        <f>ROUND(G5438*F5438,2)</f>
        <v/>
      </c>
      <c r="I5438">
        <f>IF(ROUND(H5438-D5438,2)=0,1,0)</f>
        <v/>
      </c>
      <c r="J5438">
        <f>IF(F5438="","none",IF(G5438=1,"carte","multiple"))</f>
        <v/>
      </c>
    </row>
    <row r="5439">
      <c r="A5439" t="inlineStr">
        <is>
          <t>2022-09-22</t>
        </is>
      </c>
      <c r="B5439" t="inlineStr">
        <is>
          <t>12:56</t>
        </is>
      </c>
      <c r="C5439" t="n">
        <v>3061</v>
      </c>
      <c r="D5439" s="6" t="n">
        <v>17.6</v>
      </c>
      <c r="E5439" t="n">
        <v>42501</v>
      </c>
      <c r="F5439" s="6" t="n">
        <v>17.6</v>
      </c>
      <c r="G5439" t="n">
        <v>1</v>
      </c>
      <c r="H5439" s="6">
        <f>ROUND(G5439*F5439,2)</f>
        <v/>
      </c>
      <c r="I5439">
        <f>IF(ROUND(H5439-D5439,2)=0,1,0)</f>
        <v/>
      </c>
      <c r="J5439">
        <f>IF(F5439="","none",IF(G5439=1,"carte","multiple"))</f>
        <v/>
      </c>
    </row>
    <row r="5440">
      <c r="A5440" t="inlineStr">
        <is>
          <t>2022-09-22</t>
        </is>
      </c>
      <c r="B5440" t="inlineStr">
        <is>
          <t>12:56</t>
        </is>
      </c>
      <c r="C5440" t="n">
        <v>3061</v>
      </c>
      <c r="D5440" s="6" t="n">
        <v>19.9</v>
      </c>
      <c r="E5440" t="n">
        <v>42502</v>
      </c>
      <c r="F5440" s="6" t="n">
        <v>19.9</v>
      </c>
      <c r="G5440" t="n">
        <v>1</v>
      </c>
      <c r="H5440" s="6">
        <f>ROUND(G5440*F5440,2)</f>
        <v/>
      </c>
      <c r="I5440">
        <f>IF(ROUND(H5440-D5440,2)=0,1,0)</f>
        <v/>
      </c>
      <c r="J5440">
        <f>IF(F5440="","none",IF(G5440=1,"carte","multiple"))</f>
        <v/>
      </c>
    </row>
    <row r="5441">
      <c r="A5441" t="inlineStr">
        <is>
          <t>2022-09-22</t>
        </is>
      </c>
      <c r="B5441" t="inlineStr">
        <is>
          <t>12:56</t>
        </is>
      </c>
      <c r="C5441" t="n">
        <v>3061</v>
      </c>
      <c r="D5441" s="6" t="n">
        <v>32</v>
      </c>
      <c r="E5441" t="n">
        <v>42503</v>
      </c>
      <c r="F5441" s="6" t="n">
        <v>32</v>
      </c>
      <c r="G5441" t="n">
        <v>1</v>
      </c>
      <c r="H5441" s="6">
        <f>ROUND(G5441*F5441,2)</f>
        <v/>
      </c>
      <c r="I5441">
        <f>IF(ROUND(H5441-D5441,2)=0,1,0)</f>
        <v/>
      </c>
      <c r="J5441">
        <f>IF(F5441="","none",IF(G5441=1,"carte","multiple"))</f>
        <v/>
      </c>
    </row>
    <row r="5442">
      <c r="A5442" t="inlineStr">
        <is>
          <t>2022-09-22</t>
        </is>
      </c>
      <c r="B5442" t="inlineStr">
        <is>
          <t>12:56</t>
        </is>
      </c>
      <c r="C5442" t="n">
        <v>3061</v>
      </c>
      <c r="D5442" s="6" t="n">
        <v>11.8</v>
      </c>
      <c r="E5442" t="n">
        <v>42504</v>
      </c>
      <c r="F5442" s="6" t="n">
        <v>5.9</v>
      </c>
      <c r="G5442" t="n">
        <v>2</v>
      </c>
      <c r="H5442" s="6">
        <f>ROUND(G5442*F5442,2)</f>
        <v/>
      </c>
      <c r="I5442">
        <f>IF(ROUND(H5442-D5442,2)=0,1,0)</f>
        <v/>
      </c>
      <c r="J5442">
        <f>IF(F5442="","none",IF(G5442=1,"carte","multiple"))</f>
        <v/>
      </c>
    </row>
    <row r="5443">
      <c r="A5443" t="inlineStr">
        <is>
          <t>2022-09-22</t>
        </is>
      </c>
      <c r="B5443" t="inlineStr">
        <is>
          <t>12:56</t>
        </is>
      </c>
      <c r="C5443" t="n">
        <v>3061</v>
      </c>
      <c r="D5443" s="6" t="n">
        <v>13</v>
      </c>
      <c r="E5443" t="n">
        <v>42505</v>
      </c>
      <c r="F5443" s="6" t="n">
        <v>13</v>
      </c>
      <c r="G5443" t="n">
        <v>1</v>
      </c>
      <c r="H5443" s="6">
        <f>ROUND(G5443*F5443,2)</f>
        <v/>
      </c>
      <c r="I5443">
        <f>IF(ROUND(H5443-D5443,2)=0,1,0)</f>
        <v/>
      </c>
      <c r="J5443">
        <f>IF(F5443="","none",IF(G5443=1,"carte","multiple"))</f>
        <v/>
      </c>
    </row>
    <row r="5444">
      <c r="A5444" t="inlineStr">
        <is>
          <t>2022-09-22</t>
        </is>
      </c>
      <c r="B5444" t="inlineStr">
        <is>
          <t>12:57</t>
        </is>
      </c>
      <c r="C5444" t="n">
        <v>3061</v>
      </c>
      <c r="D5444" s="6" t="n">
        <v>4.4</v>
      </c>
      <c r="E5444" t="n">
        <v>42506</v>
      </c>
      <c r="F5444" s="6" t="n">
        <v>0.4</v>
      </c>
      <c r="G5444" t="n">
        <v>11</v>
      </c>
      <c r="H5444" s="6">
        <f>ROUND(G5444*F5444,2)</f>
        <v/>
      </c>
      <c r="I5444">
        <f>IF(ROUND(H5444-D5444,2)=0,1,0)</f>
        <v/>
      </c>
      <c r="J5444">
        <f>IF(F5444="","none",IF(G5444=1,"carte","multiple"))</f>
        <v/>
      </c>
    </row>
    <row r="5445">
      <c r="A5445" t="inlineStr">
        <is>
          <t>2022-09-22</t>
        </is>
      </c>
      <c r="B5445" t="inlineStr">
        <is>
          <t>12:57</t>
        </is>
      </c>
      <c r="C5445" t="n">
        <v>3061</v>
      </c>
      <c r="D5445" s="6" t="n">
        <v>17.6</v>
      </c>
      <c r="E5445" t="n">
        <v>42507</v>
      </c>
      <c r="F5445" s="6" t="n">
        <v>17.6</v>
      </c>
      <c r="G5445" t="n">
        <v>1</v>
      </c>
      <c r="H5445" s="6">
        <f>ROUND(G5445*F5445,2)</f>
        <v/>
      </c>
      <c r="I5445">
        <f>IF(ROUND(H5445-D5445,2)=0,1,0)</f>
        <v/>
      </c>
      <c r="J5445">
        <f>IF(F5445="","none",IF(G5445=1,"carte","multiple"))</f>
        <v/>
      </c>
    </row>
    <row r="5446">
      <c r="A5446" t="inlineStr">
        <is>
          <t>2022-09-22</t>
        </is>
      </c>
      <c r="B5446" t="inlineStr">
        <is>
          <t>12:57</t>
        </is>
      </c>
      <c r="C5446" t="n">
        <v>3061</v>
      </c>
      <c r="D5446" s="6" t="n">
        <v>32</v>
      </c>
      <c r="E5446" t="n">
        <v>42508</v>
      </c>
      <c r="F5446" s="6" t="n">
        <v>32</v>
      </c>
      <c r="G5446" t="n">
        <v>1</v>
      </c>
      <c r="H5446" s="6">
        <f>ROUND(G5446*F5446,2)</f>
        <v/>
      </c>
      <c r="I5446">
        <f>IF(ROUND(H5446-D5446,2)=0,1,0)</f>
        <v/>
      </c>
      <c r="J5446">
        <f>IF(F5446="","none",IF(G5446=1,"carte","multiple"))</f>
        <v/>
      </c>
    </row>
    <row r="5447">
      <c r="A5447" t="inlineStr">
        <is>
          <t>2022-09-22</t>
        </is>
      </c>
      <c r="B5447" t="inlineStr">
        <is>
          <t>12:57</t>
        </is>
      </c>
      <c r="C5447" t="n">
        <v>3061</v>
      </c>
      <c r="D5447" s="6" t="n">
        <v>18</v>
      </c>
      <c r="E5447" t="n">
        <v>42509</v>
      </c>
      <c r="F5447" s="6" t="n">
        <v>18</v>
      </c>
      <c r="G5447" t="n">
        <v>1</v>
      </c>
      <c r="H5447" s="6">
        <f>ROUND(G5447*F5447,2)</f>
        <v/>
      </c>
      <c r="I5447">
        <f>IF(ROUND(H5447-D5447,2)=0,1,0)</f>
        <v/>
      </c>
      <c r="J5447">
        <f>IF(F5447="","none",IF(G5447=1,"carte","multiple"))</f>
        <v/>
      </c>
    </row>
    <row r="5448">
      <c r="A5448" t="inlineStr">
        <is>
          <t>2022-09-22</t>
        </is>
      </c>
      <c r="B5448" t="inlineStr">
        <is>
          <t>18:18</t>
        </is>
      </c>
      <c r="C5448" t="n">
        <v>3061</v>
      </c>
      <c r="D5448" s="6" t="n">
        <v>16</v>
      </c>
      <c r="E5448" t="n">
        <v>42511</v>
      </c>
      <c r="F5448" s="6" t="n">
        <v>16</v>
      </c>
      <c r="G5448" t="n">
        <v>1</v>
      </c>
      <c r="H5448" s="6">
        <f>ROUND(G5448*F5448,2)</f>
        <v/>
      </c>
      <c r="I5448">
        <f>IF(ROUND(H5448-D5448,2)=0,1,0)</f>
        <v/>
      </c>
      <c r="J5448">
        <f>IF(F5448="","none",IF(G5448=1,"carte","multiple"))</f>
        <v/>
      </c>
    </row>
    <row r="5449">
      <c r="A5449" t="inlineStr">
        <is>
          <t>2022-09-22</t>
        </is>
      </c>
      <c r="B5449" t="inlineStr">
        <is>
          <t>18:18</t>
        </is>
      </c>
      <c r="C5449" t="n">
        <v>3061</v>
      </c>
      <c r="D5449" s="6" t="n">
        <v>8</v>
      </c>
      <c r="E5449" t="n">
        <v>42512</v>
      </c>
      <c r="F5449" s="6" t="n">
        <v>8</v>
      </c>
      <c r="G5449" t="n">
        <v>1</v>
      </c>
      <c r="H5449" s="6">
        <f>ROUND(G5449*F5449,2)</f>
        <v/>
      </c>
      <c r="I5449">
        <f>IF(ROUND(H5449-D5449,2)=0,1,0)</f>
        <v/>
      </c>
      <c r="J5449">
        <f>IF(F5449="","none",IF(G5449=1,"carte","multiple"))</f>
        <v/>
      </c>
    </row>
    <row r="5450">
      <c r="A5450" t="inlineStr">
        <is>
          <t>2022-09-22</t>
        </is>
      </c>
      <c r="B5450" t="inlineStr">
        <is>
          <t>18:19</t>
        </is>
      </c>
      <c r="C5450" t="n">
        <v>3061</v>
      </c>
      <c r="D5450" s="6" t="n">
        <v>17.6</v>
      </c>
      <c r="E5450" t="n">
        <v>42513</v>
      </c>
      <c r="F5450" s="6" t="n">
        <v>17.6</v>
      </c>
      <c r="G5450" t="n">
        <v>1</v>
      </c>
      <c r="H5450" s="6">
        <f>ROUND(G5450*F5450,2)</f>
        <v/>
      </c>
      <c r="I5450">
        <f>IF(ROUND(H5450-D5450,2)=0,1,0)</f>
        <v/>
      </c>
      <c r="J5450">
        <f>IF(F5450="","none",IF(G5450=1,"carte","multiple"))</f>
        <v/>
      </c>
    </row>
    <row r="5451">
      <c r="A5451" t="inlineStr">
        <is>
          <t>2022-09-22</t>
        </is>
      </c>
      <c r="B5451" t="inlineStr">
        <is>
          <t>18:49</t>
        </is>
      </c>
      <c r="C5451" t="n">
        <v>3061</v>
      </c>
      <c r="D5451" s="6" t="n">
        <v>5.2</v>
      </c>
      <c r="E5451" t="n">
        <v>42514</v>
      </c>
      <c r="F5451" s="6" t="n">
        <v>5.2</v>
      </c>
      <c r="G5451" t="n">
        <v>1</v>
      </c>
      <c r="H5451" s="6">
        <f>ROUND(G5451*F5451,2)</f>
        <v/>
      </c>
      <c r="I5451">
        <f>IF(ROUND(H5451-D5451,2)=0,1,0)</f>
        <v/>
      </c>
      <c r="J5451">
        <f>IF(F5451="","none",IF(G5451=1,"carte","multiple"))</f>
        <v/>
      </c>
    </row>
    <row r="5452">
      <c r="A5452" t="inlineStr">
        <is>
          <t>2022-09-22</t>
        </is>
      </c>
      <c r="B5452" t="inlineStr">
        <is>
          <t>18:49</t>
        </is>
      </c>
      <c r="C5452" t="n">
        <v>3061</v>
      </c>
      <c r="D5452" s="6" t="n">
        <v>3.4</v>
      </c>
      <c r="E5452" t="n">
        <v>42515</v>
      </c>
      <c r="F5452" s="6" t="n">
        <v>3.4</v>
      </c>
      <c r="G5452" t="n">
        <v>1</v>
      </c>
      <c r="H5452" s="6">
        <f>ROUND(G5452*F5452,2)</f>
        <v/>
      </c>
      <c r="I5452">
        <f>IF(ROUND(H5452-D5452,2)=0,1,0)</f>
        <v/>
      </c>
      <c r="J5452">
        <f>IF(F5452="","none",IF(G5452=1,"carte","multiple"))</f>
        <v/>
      </c>
    </row>
    <row r="5453">
      <c r="A5453" t="inlineStr">
        <is>
          <t>2022-09-22</t>
        </is>
      </c>
      <c r="B5453" t="inlineStr">
        <is>
          <t>18:49</t>
        </is>
      </c>
      <c r="C5453" t="n">
        <v>3061</v>
      </c>
      <c r="D5453" s="6" t="n">
        <v>17.6</v>
      </c>
      <c r="E5453" t="n">
        <v>42516</v>
      </c>
      <c r="F5453" s="6" t="n">
        <v>17.6</v>
      </c>
      <c r="G5453" t="n">
        <v>1</v>
      </c>
      <c r="H5453" s="6">
        <f>ROUND(G5453*F5453,2)</f>
        <v/>
      </c>
      <c r="I5453">
        <f>IF(ROUND(H5453-D5453,2)=0,1,0)</f>
        <v/>
      </c>
      <c r="J5453">
        <f>IF(F5453="","none",IF(G5453=1,"carte","multiple"))</f>
        <v/>
      </c>
    </row>
    <row r="5454">
      <c r="A5454" t="inlineStr">
        <is>
          <t>2022-09-22</t>
        </is>
      </c>
      <c r="B5454" t="inlineStr">
        <is>
          <t>18:49</t>
        </is>
      </c>
      <c r="C5454" t="n">
        <v>3061</v>
      </c>
      <c r="D5454" s="6" t="n">
        <v>19</v>
      </c>
      <c r="E5454" t="n">
        <v>42517</v>
      </c>
      <c r="F5454" s="6" t="n">
        <v>19</v>
      </c>
      <c r="G5454" t="n">
        <v>1</v>
      </c>
      <c r="H5454" s="6">
        <f>ROUND(G5454*F5454,2)</f>
        <v/>
      </c>
      <c r="I5454">
        <f>IF(ROUND(H5454-D5454,2)=0,1,0)</f>
        <v/>
      </c>
      <c r="J5454">
        <f>IF(F5454="","none",IF(G5454=1,"carte","multiple"))</f>
        <v/>
      </c>
    </row>
    <row r="5455">
      <c r="A5455" t="inlineStr">
        <is>
          <t>2022-09-22</t>
        </is>
      </c>
      <c r="B5455" t="inlineStr">
        <is>
          <t>18:49</t>
        </is>
      </c>
      <c r="C5455" t="n">
        <v>3061</v>
      </c>
      <c r="D5455" s="6" t="n">
        <v>3.9</v>
      </c>
      <c r="E5455" t="n">
        <v>42518</v>
      </c>
      <c r="F5455" s="6" t="n">
        <v>3.9</v>
      </c>
      <c r="G5455" t="n">
        <v>1</v>
      </c>
      <c r="H5455" s="6">
        <f>ROUND(G5455*F5455,2)</f>
        <v/>
      </c>
      <c r="I5455">
        <f>IF(ROUND(H5455-D5455,2)=0,1,0)</f>
        <v/>
      </c>
      <c r="J5455">
        <f>IF(F5455="","none",IF(G5455=1,"carte","multiple"))</f>
        <v/>
      </c>
    </row>
    <row r="5456">
      <c r="A5456" t="inlineStr">
        <is>
          <t>2022-09-22</t>
        </is>
      </c>
      <c r="B5456" t="inlineStr">
        <is>
          <t>18:49</t>
        </is>
      </c>
      <c r="C5456" t="n">
        <v>3061</v>
      </c>
      <c r="D5456" s="6" t="n">
        <v>3.9</v>
      </c>
      <c r="E5456" t="n">
        <v>42519</v>
      </c>
      <c r="F5456" s="6" t="n">
        <v>3.9</v>
      </c>
      <c r="G5456" t="n">
        <v>1</v>
      </c>
      <c r="H5456" s="6">
        <f>ROUND(G5456*F5456,2)</f>
        <v/>
      </c>
      <c r="I5456">
        <f>IF(ROUND(H5456-D5456,2)=0,1,0)</f>
        <v/>
      </c>
      <c r="J5456">
        <f>IF(F5456="","none",IF(G5456=1,"carte","multiple"))</f>
        <v/>
      </c>
    </row>
    <row r="5457">
      <c r="A5457" t="inlineStr">
        <is>
          <t>2022-09-22</t>
        </is>
      </c>
      <c r="B5457" t="inlineStr">
        <is>
          <t>19:30</t>
        </is>
      </c>
      <c r="C5457" t="n">
        <v>3061</v>
      </c>
      <c r="D5457" s="6" t="n">
        <v>8.699999999999999</v>
      </c>
      <c r="E5457" t="n">
        <v>42520</v>
      </c>
      <c r="F5457" s="6" t="n">
        <v>8.699999999999999</v>
      </c>
      <c r="G5457" t="n">
        <v>1</v>
      </c>
      <c r="H5457" s="6">
        <f>ROUND(G5457*F5457,2)</f>
        <v/>
      </c>
      <c r="I5457">
        <f>IF(ROUND(H5457-D5457,2)=0,1,0)</f>
        <v/>
      </c>
      <c r="J5457">
        <f>IF(F5457="","none",IF(G5457=1,"carte","multiple"))</f>
        <v/>
      </c>
    </row>
    <row r="5458">
      <c r="A5458" t="inlineStr">
        <is>
          <t>2022-09-22</t>
        </is>
      </c>
      <c r="B5458" t="inlineStr">
        <is>
          <t>19:30</t>
        </is>
      </c>
      <c r="C5458" t="n">
        <v>3061</v>
      </c>
      <c r="D5458" s="6" t="n">
        <v>8.699999999999999</v>
      </c>
      <c r="E5458" t="n">
        <v>42521</v>
      </c>
      <c r="F5458" s="6" t="n">
        <v>8.699999999999999</v>
      </c>
      <c r="G5458" t="n">
        <v>1</v>
      </c>
      <c r="H5458" s="6">
        <f>ROUND(G5458*F5458,2)</f>
        <v/>
      </c>
      <c r="I5458">
        <f>IF(ROUND(H5458-D5458,2)=0,1,0)</f>
        <v/>
      </c>
      <c r="J5458">
        <f>IF(F5458="","none",IF(G5458=1,"carte","multiple"))</f>
        <v/>
      </c>
    </row>
    <row r="5459">
      <c r="A5459" t="inlineStr">
        <is>
          <t>2022-09-22</t>
        </is>
      </c>
      <c r="B5459" t="inlineStr">
        <is>
          <t>19:30</t>
        </is>
      </c>
      <c r="C5459" t="n">
        <v>3061</v>
      </c>
      <c r="D5459" s="6" t="n">
        <v>17.6</v>
      </c>
      <c r="E5459" t="n">
        <v>42522</v>
      </c>
      <c r="F5459" s="6" t="n">
        <v>17.6</v>
      </c>
      <c r="G5459" t="n">
        <v>1</v>
      </c>
      <c r="H5459" s="6">
        <f>ROUND(G5459*F5459,2)</f>
        <v/>
      </c>
      <c r="I5459">
        <f>IF(ROUND(H5459-D5459,2)=0,1,0)</f>
        <v/>
      </c>
      <c r="J5459">
        <f>IF(F5459="","none",IF(G5459=1,"carte","multiple"))</f>
        <v/>
      </c>
    </row>
    <row r="5460">
      <c r="A5460" t="inlineStr">
        <is>
          <t>2022-09-22</t>
        </is>
      </c>
      <c r="B5460" t="inlineStr">
        <is>
          <t>19:30</t>
        </is>
      </c>
      <c r="C5460" t="n">
        <v>3061</v>
      </c>
      <c r="D5460" s="6" t="n">
        <v>17.6</v>
      </c>
      <c r="E5460" t="n">
        <v>42523</v>
      </c>
      <c r="F5460" s="6" t="n">
        <v>17.6</v>
      </c>
      <c r="G5460" t="n">
        <v>1</v>
      </c>
      <c r="H5460" s="6">
        <f>ROUND(G5460*F5460,2)</f>
        <v/>
      </c>
      <c r="I5460">
        <f>IF(ROUND(H5460-D5460,2)=0,1,0)</f>
        <v/>
      </c>
      <c r="J5460">
        <f>IF(F5460="","none",IF(G5460=1,"carte","multiple"))</f>
        <v/>
      </c>
    </row>
    <row r="5461">
      <c r="A5461" t="inlineStr">
        <is>
          <t>2022-09-22</t>
        </is>
      </c>
      <c r="B5461" t="inlineStr">
        <is>
          <t>19:30</t>
        </is>
      </c>
      <c r="C5461" t="n">
        <v>3061</v>
      </c>
      <c r="D5461" s="6" t="n">
        <v>24</v>
      </c>
      <c r="E5461" t="n">
        <v>42524</v>
      </c>
      <c r="F5461" s="6" t="n">
        <v>24</v>
      </c>
      <c r="G5461" t="n">
        <v>1</v>
      </c>
      <c r="H5461" s="6">
        <f>ROUND(G5461*F5461,2)</f>
        <v/>
      </c>
      <c r="I5461">
        <f>IF(ROUND(H5461-D5461,2)=0,1,0)</f>
        <v/>
      </c>
      <c r="J5461">
        <f>IF(F5461="","none",IF(G5461=1,"carte","multiple"))</f>
        <v/>
      </c>
    </row>
    <row r="5462">
      <c r="A5462" t="inlineStr">
        <is>
          <t>2022-09-22</t>
        </is>
      </c>
      <c r="B5462" t="inlineStr">
        <is>
          <t>19:58</t>
        </is>
      </c>
      <c r="C5462" t="n">
        <v>3061</v>
      </c>
      <c r="D5462" s="6" t="n">
        <v>19.9</v>
      </c>
      <c r="E5462" t="n">
        <v>42525</v>
      </c>
      <c r="F5462" s="6" t="n">
        <v>19.9</v>
      </c>
      <c r="G5462" t="n">
        <v>1</v>
      </c>
      <c r="H5462" s="6">
        <f>ROUND(G5462*F5462,2)</f>
        <v/>
      </c>
      <c r="I5462">
        <f>IF(ROUND(H5462-D5462,2)=0,1,0)</f>
        <v/>
      </c>
      <c r="J5462">
        <f>IF(F5462="","none",IF(G5462=1,"carte","multiple"))</f>
        <v/>
      </c>
    </row>
    <row r="5463">
      <c r="A5463" t="inlineStr">
        <is>
          <t>2022-09-22</t>
        </is>
      </c>
      <c r="B5463" t="inlineStr">
        <is>
          <t>19:58</t>
        </is>
      </c>
      <c r="C5463" t="n">
        <v>3061</v>
      </c>
      <c r="D5463" s="6" t="n">
        <v>23</v>
      </c>
      <c r="E5463" t="n">
        <v>42526</v>
      </c>
      <c r="F5463" s="6" t="n">
        <v>23</v>
      </c>
      <c r="G5463" t="n">
        <v>1</v>
      </c>
      <c r="H5463" s="6">
        <f>ROUND(G5463*F5463,2)</f>
        <v/>
      </c>
      <c r="I5463">
        <f>IF(ROUND(H5463-D5463,2)=0,1,0)</f>
        <v/>
      </c>
      <c r="J5463">
        <f>IF(F5463="","none",IF(G5463=1,"carte","multiple"))</f>
        <v/>
      </c>
    </row>
    <row r="5464">
      <c r="A5464" t="inlineStr">
        <is>
          <t>2022-09-22</t>
        </is>
      </c>
      <c r="B5464" t="inlineStr">
        <is>
          <t>19:58</t>
        </is>
      </c>
      <c r="C5464" t="n">
        <v>3061</v>
      </c>
      <c r="D5464" s="6" t="n">
        <v>13.4</v>
      </c>
      <c r="E5464" t="n">
        <v>42527</v>
      </c>
      <c r="F5464" s="6" t="n">
        <v>13.4</v>
      </c>
      <c r="G5464" t="n">
        <v>1</v>
      </c>
      <c r="H5464" s="6">
        <f>ROUND(G5464*F5464,2)</f>
        <v/>
      </c>
      <c r="I5464">
        <f>IF(ROUND(H5464-D5464,2)=0,1,0)</f>
        <v/>
      </c>
      <c r="J5464">
        <f>IF(F5464="","none",IF(G5464=1,"carte","multiple"))</f>
        <v/>
      </c>
    </row>
    <row r="5465">
      <c r="A5465" t="inlineStr">
        <is>
          <t>2022-09-23</t>
        </is>
      </c>
      <c r="B5465" t="inlineStr">
        <is>
          <t>11:36</t>
        </is>
      </c>
      <c r="C5465" t="n">
        <v>3062</v>
      </c>
      <c r="D5465" s="6" t="n">
        <v>8.9</v>
      </c>
      <c r="E5465" t="n">
        <v>42531</v>
      </c>
      <c r="F5465" s="6" t="n">
        <v>8.9</v>
      </c>
      <c r="G5465" t="n">
        <v>1</v>
      </c>
      <c r="H5465" s="6">
        <f>ROUND(G5465*F5465,2)</f>
        <v/>
      </c>
      <c r="I5465">
        <f>IF(ROUND(H5465-D5465,2)=0,1,0)</f>
        <v/>
      </c>
      <c r="J5465">
        <f>IF(F5465="","none",IF(G5465=1,"carte","multiple"))</f>
        <v/>
      </c>
    </row>
    <row r="5466">
      <c r="A5466" t="inlineStr">
        <is>
          <t>2022-09-23</t>
        </is>
      </c>
      <c r="B5466" t="inlineStr">
        <is>
          <t>11:37</t>
        </is>
      </c>
      <c r="C5466" t="n">
        <v>3062</v>
      </c>
      <c r="D5466" s="6" t="n">
        <v>4.9</v>
      </c>
      <c r="E5466" t="n">
        <v>42532</v>
      </c>
      <c r="F5466" s="6" t="n">
        <v>4.9</v>
      </c>
      <c r="G5466" t="n">
        <v>1</v>
      </c>
      <c r="H5466" s="6">
        <f>ROUND(G5466*F5466,2)</f>
        <v/>
      </c>
      <c r="I5466">
        <f>IF(ROUND(H5466-D5466,2)=0,1,0)</f>
        <v/>
      </c>
      <c r="J5466">
        <f>IF(F5466="","none",IF(G5466=1,"carte","multiple"))</f>
        <v/>
      </c>
    </row>
    <row r="5467">
      <c r="A5467" t="inlineStr">
        <is>
          <t>2022-09-23</t>
        </is>
      </c>
      <c r="B5467" t="inlineStr">
        <is>
          <t>11:41</t>
        </is>
      </c>
      <c r="C5467" t="n">
        <v>3062</v>
      </c>
      <c r="D5467" s="6" t="n">
        <v>3.8</v>
      </c>
      <c r="E5467" t="n">
        <v>42533</v>
      </c>
      <c r="F5467" s="6" t="n">
        <v>3.8</v>
      </c>
      <c r="G5467" t="n">
        <v>1</v>
      </c>
      <c r="H5467" s="6">
        <f>ROUND(G5467*F5467,2)</f>
        <v/>
      </c>
      <c r="I5467">
        <f>IF(ROUND(H5467-D5467,2)=0,1,0)</f>
        <v/>
      </c>
      <c r="J5467">
        <f>IF(F5467="","none",IF(G5467=1,"carte","multiple"))</f>
        <v/>
      </c>
    </row>
    <row r="5468">
      <c r="A5468" t="inlineStr">
        <is>
          <t>2022-09-23</t>
        </is>
      </c>
      <c r="B5468" t="inlineStr">
        <is>
          <t>12:25</t>
        </is>
      </c>
      <c r="C5468" t="n">
        <v>3062</v>
      </c>
      <c r="D5468" s="6" t="n">
        <v>2.4</v>
      </c>
      <c r="E5468" t="n">
        <v>42534</v>
      </c>
      <c r="F5468" s="6" t="n">
        <v>2.4</v>
      </c>
      <c r="G5468" t="n">
        <v>1</v>
      </c>
      <c r="H5468" s="6">
        <f>ROUND(G5468*F5468,2)</f>
        <v/>
      </c>
      <c r="I5468">
        <f>IF(ROUND(H5468-D5468,2)=0,1,0)</f>
        <v/>
      </c>
      <c r="J5468">
        <f>IF(F5468="","none",IF(G5468=1,"carte","multiple"))</f>
        <v/>
      </c>
    </row>
    <row r="5469">
      <c r="A5469" t="inlineStr">
        <is>
          <t>2022-09-23</t>
        </is>
      </c>
      <c r="B5469" t="inlineStr">
        <is>
          <t>12:25</t>
        </is>
      </c>
      <c r="C5469" t="n">
        <v>3062</v>
      </c>
      <c r="D5469" s="6" t="n">
        <v>6.6</v>
      </c>
      <c r="E5469" t="n">
        <v>42535</v>
      </c>
      <c r="F5469" s="6" t="n">
        <v>6.6</v>
      </c>
      <c r="G5469" t="n">
        <v>1</v>
      </c>
      <c r="H5469" s="6">
        <f>ROUND(G5469*F5469,2)</f>
        <v/>
      </c>
      <c r="I5469">
        <f>IF(ROUND(H5469-D5469,2)=0,1,0)</f>
        <v/>
      </c>
      <c r="J5469">
        <f>IF(F5469="","none",IF(G5469=1,"carte","multiple"))</f>
        <v/>
      </c>
    </row>
    <row r="5470">
      <c r="A5470" t="inlineStr">
        <is>
          <t>2022-09-23</t>
        </is>
      </c>
      <c r="B5470" t="inlineStr">
        <is>
          <t>12:25</t>
        </is>
      </c>
      <c r="C5470" t="n">
        <v>3062</v>
      </c>
      <c r="D5470" s="6" t="n">
        <v>5.9</v>
      </c>
      <c r="E5470" t="n">
        <v>42536</v>
      </c>
      <c r="F5470" s="6" t="n">
        <v>5.9</v>
      </c>
      <c r="G5470" t="n">
        <v>1</v>
      </c>
      <c r="H5470" s="6">
        <f>ROUND(G5470*F5470,2)</f>
        <v/>
      </c>
      <c r="I5470">
        <f>IF(ROUND(H5470-D5470,2)=0,1,0)</f>
        <v/>
      </c>
      <c r="J5470">
        <f>IF(F5470="","none",IF(G5470=1,"carte","multiple"))</f>
        <v/>
      </c>
    </row>
    <row r="5471">
      <c r="A5471" t="inlineStr">
        <is>
          <t>2022-09-23</t>
        </is>
      </c>
      <c r="B5471" t="inlineStr">
        <is>
          <t>12:25</t>
        </is>
      </c>
      <c r="C5471" t="n">
        <v>3062</v>
      </c>
      <c r="D5471" s="6" t="n">
        <v>6.4</v>
      </c>
      <c r="E5471" t="n">
        <v>42537</v>
      </c>
      <c r="F5471" s="6" t="n">
        <v>6.4</v>
      </c>
      <c r="G5471" t="n">
        <v>1</v>
      </c>
      <c r="H5471" s="6">
        <f>ROUND(G5471*F5471,2)</f>
        <v/>
      </c>
      <c r="I5471">
        <f>IF(ROUND(H5471-D5471,2)=0,1,0)</f>
        <v/>
      </c>
      <c r="J5471">
        <f>IF(F5471="","none",IF(G5471=1,"carte","multiple"))</f>
        <v/>
      </c>
    </row>
    <row r="5472">
      <c r="A5472" t="inlineStr">
        <is>
          <t>2022-09-23</t>
        </is>
      </c>
      <c r="B5472" t="inlineStr">
        <is>
          <t>12:25</t>
        </is>
      </c>
      <c r="C5472" t="n">
        <v>3062</v>
      </c>
      <c r="D5472" s="6" t="n">
        <v>19.9</v>
      </c>
      <c r="E5472" t="n">
        <v>42538</v>
      </c>
      <c r="F5472" s="6" t="n">
        <v>19.9</v>
      </c>
      <c r="G5472" t="n">
        <v>1</v>
      </c>
      <c r="H5472" s="6">
        <f>ROUND(G5472*F5472,2)</f>
        <v/>
      </c>
      <c r="I5472">
        <f>IF(ROUND(H5472-D5472,2)=0,1,0)</f>
        <v/>
      </c>
      <c r="J5472">
        <f>IF(F5472="","none",IF(G5472=1,"carte","multiple"))</f>
        <v/>
      </c>
    </row>
    <row r="5473">
      <c r="A5473" t="inlineStr">
        <is>
          <t>2022-09-23</t>
        </is>
      </c>
      <c r="B5473" t="inlineStr">
        <is>
          <t>12:25</t>
        </is>
      </c>
      <c r="C5473" t="n">
        <v>3062</v>
      </c>
      <c r="D5473" s="6" t="n">
        <v>35.2</v>
      </c>
      <c r="E5473" t="n">
        <v>42539</v>
      </c>
      <c r="F5473" s="6" t="n">
        <v>0.4</v>
      </c>
      <c r="G5473" t="n">
        <v>88</v>
      </c>
      <c r="H5473" s="6">
        <f>ROUND(G5473*F5473,2)</f>
        <v/>
      </c>
      <c r="I5473">
        <f>IF(ROUND(H5473-D5473,2)=0,1,0)</f>
        <v/>
      </c>
      <c r="J5473">
        <f>IF(F5473="","none",IF(G5473=1,"carte","multiple"))</f>
        <v/>
      </c>
    </row>
    <row r="5474">
      <c r="A5474" t="inlineStr">
        <is>
          <t>2022-09-23</t>
        </is>
      </c>
      <c r="B5474" t="inlineStr">
        <is>
          <t>12:25</t>
        </is>
      </c>
      <c r="C5474" t="n">
        <v>3062</v>
      </c>
      <c r="D5474" s="6" t="n">
        <v>15.9</v>
      </c>
      <c r="E5474" t="n">
        <v>42540</v>
      </c>
      <c r="F5474" s="6" t="n">
        <v>15.9</v>
      </c>
      <c r="G5474" t="n">
        <v>1</v>
      </c>
      <c r="H5474" s="6">
        <f>ROUND(G5474*F5474,2)</f>
        <v/>
      </c>
      <c r="I5474">
        <f>IF(ROUND(H5474-D5474,2)=0,1,0)</f>
        <v/>
      </c>
      <c r="J5474">
        <f>IF(F5474="","none",IF(G5474=1,"carte","multiple"))</f>
        <v/>
      </c>
    </row>
    <row r="5475">
      <c r="A5475" t="inlineStr">
        <is>
          <t>2022-09-23</t>
        </is>
      </c>
      <c r="B5475" t="inlineStr">
        <is>
          <t>12:25</t>
        </is>
      </c>
      <c r="C5475" t="n">
        <v>3062</v>
      </c>
      <c r="D5475" s="6" t="n">
        <v>8</v>
      </c>
      <c r="E5475" t="n">
        <v>42541</v>
      </c>
      <c r="F5475" s="6" t="n">
        <v>8</v>
      </c>
      <c r="G5475" t="n">
        <v>1</v>
      </c>
      <c r="H5475" s="6">
        <f>ROUND(G5475*F5475,2)</f>
        <v/>
      </c>
      <c r="I5475">
        <f>IF(ROUND(H5475-D5475,2)=0,1,0)</f>
        <v/>
      </c>
      <c r="J5475">
        <f>IF(F5475="","none",IF(G5475=1,"carte","multiple"))</f>
        <v/>
      </c>
    </row>
    <row r="5476">
      <c r="A5476" t="inlineStr">
        <is>
          <t>2022-09-23</t>
        </is>
      </c>
      <c r="B5476" t="inlineStr">
        <is>
          <t>12:25</t>
        </is>
      </c>
      <c r="C5476" t="n">
        <v>3062</v>
      </c>
      <c r="D5476" s="6" t="n">
        <v>11.8</v>
      </c>
      <c r="E5476" t="n">
        <v>42542</v>
      </c>
      <c r="F5476" s="6" t="n">
        <v>5.9</v>
      </c>
      <c r="G5476" t="n">
        <v>2</v>
      </c>
      <c r="H5476" s="6">
        <f>ROUND(G5476*F5476,2)</f>
        <v/>
      </c>
      <c r="I5476">
        <f>IF(ROUND(H5476-D5476,2)=0,1,0)</f>
        <v/>
      </c>
      <c r="J5476">
        <f>IF(F5476="","none",IF(G5476=1,"carte","multiple"))</f>
        <v/>
      </c>
    </row>
    <row r="5477">
      <c r="A5477" t="inlineStr">
        <is>
          <t>2022-09-23</t>
        </is>
      </c>
      <c r="B5477" t="inlineStr">
        <is>
          <t>12:25</t>
        </is>
      </c>
      <c r="C5477" t="n">
        <v>3062</v>
      </c>
      <c r="D5477" s="6" t="n">
        <v>6</v>
      </c>
      <c r="E5477" t="n">
        <v>42543</v>
      </c>
      <c r="F5477" s="6" t="n">
        <v>6</v>
      </c>
      <c r="G5477" t="n">
        <v>1</v>
      </c>
      <c r="H5477" s="6">
        <f>ROUND(G5477*F5477,2)</f>
        <v/>
      </c>
      <c r="I5477">
        <f>IF(ROUND(H5477-D5477,2)=0,1,0)</f>
        <v/>
      </c>
      <c r="J5477">
        <f>IF(F5477="","none",IF(G5477=1,"carte","multiple"))</f>
        <v/>
      </c>
    </row>
    <row r="5478">
      <c r="A5478" t="inlineStr">
        <is>
          <t>2022-09-23</t>
        </is>
      </c>
      <c r="B5478" t="inlineStr">
        <is>
          <t>12:25</t>
        </is>
      </c>
      <c r="C5478" t="n">
        <v>3062</v>
      </c>
      <c r="D5478" s="6" t="n">
        <v>23.7</v>
      </c>
      <c r="E5478" t="n">
        <v>42544</v>
      </c>
      <c r="F5478" s="6" t="n">
        <v>7.9</v>
      </c>
      <c r="G5478" t="n">
        <v>3</v>
      </c>
      <c r="H5478" s="6">
        <f>ROUND(G5478*F5478,2)</f>
        <v/>
      </c>
      <c r="I5478">
        <f>IF(ROUND(H5478-D5478,2)=0,1,0)</f>
        <v/>
      </c>
      <c r="J5478">
        <f>IF(F5478="","none",IF(G5478=1,"carte","multiple"))</f>
        <v/>
      </c>
    </row>
    <row r="5479">
      <c r="A5479" t="inlineStr">
        <is>
          <t>2022-09-23</t>
        </is>
      </c>
      <c r="B5479" t="inlineStr">
        <is>
          <t>12:25</t>
        </is>
      </c>
      <c r="C5479" t="n">
        <v>3062</v>
      </c>
      <c r="D5479" s="6" t="n">
        <v>7.6</v>
      </c>
      <c r="E5479" t="n">
        <v>42545</v>
      </c>
      <c r="F5479" s="6" t="n">
        <v>7.6</v>
      </c>
      <c r="G5479" t="n">
        <v>1</v>
      </c>
      <c r="H5479" s="6">
        <f>ROUND(G5479*F5479,2)</f>
        <v/>
      </c>
      <c r="I5479">
        <f>IF(ROUND(H5479-D5479,2)=0,1,0)</f>
        <v/>
      </c>
      <c r="J5479">
        <f>IF(F5479="","none",IF(G5479=1,"carte","multiple"))</f>
        <v/>
      </c>
    </row>
    <row r="5480">
      <c r="A5480" t="inlineStr">
        <is>
          <t>2022-09-23</t>
        </is>
      </c>
      <c r="B5480" t="inlineStr">
        <is>
          <t>12:38</t>
        </is>
      </c>
      <c r="C5480" t="n">
        <v>3062</v>
      </c>
      <c r="D5480" s="6" t="n">
        <v>7.8</v>
      </c>
      <c r="E5480" t="n">
        <v>42546</v>
      </c>
      <c r="F5480" s="6" t="n">
        <v>7.8</v>
      </c>
      <c r="G5480" t="n">
        <v>1</v>
      </c>
      <c r="H5480" s="6">
        <f>ROUND(G5480*F5480,2)</f>
        <v/>
      </c>
      <c r="I5480">
        <f>IF(ROUND(H5480-D5480,2)=0,1,0)</f>
        <v/>
      </c>
      <c r="J5480">
        <f>IF(F5480="","none",IF(G5480=1,"carte","multiple"))</f>
        <v/>
      </c>
    </row>
    <row r="5481">
      <c r="A5481" t="inlineStr">
        <is>
          <t>2022-09-23</t>
        </is>
      </c>
      <c r="B5481" t="inlineStr">
        <is>
          <t>12:38</t>
        </is>
      </c>
      <c r="C5481" t="n">
        <v>3062</v>
      </c>
      <c r="D5481" s="6" t="n">
        <v>2.2</v>
      </c>
      <c r="E5481" t="n">
        <v>42547</v>
      </c>
      <c r="F5481" s="6" t="n">
        <v>2.2</v>
      </c>
      <c r="G5481" t="n">
        <v>1</v>
      </c>
      <c r="H5481" s="6">
        <f>ROUND(G5481*F5481,2)</f>
        <v/>
      </c>
      <c r="I5481">
        <f>IF(ROUND(H5481-D5481,2)=0,1,0)</f>
        <v/>
      </c>
      <c r="J5481">
        <f>IF(F5481="","none",IF(G5481=1,"carte","multiple"))</f>
        <v/>
      </c>
    </row>
    <row r="5482">
      <c r="A5482" t="inlineStr">
        <is>
          <t>2022-09-23</t>
        </is>
      </c>
      <c r="B5482" t="inlineStr">
        <is>
          <t>12:38</t>
        </is>
      </c>
      <c r="C5482" t="n">
        <v>3062</v>
      </c>
      <c r="D5482" s="6" t="n">
        <v>7.8</v>
      </c>
      <c r="E5482" t="n">
        <v>42548</v>
      </c>
      <c r="F5482" s="6" t="n">
        <v>7.8</v>
      </c>
      <c r="G5482" t="n">
        <v>1</v>
      </c>
      <c r="H5482" s="6">
        <f>ROUND(G5482*F5482,2)</f>
        <v/>
      </c>
      <c r="I5482">
        <f>IF(ROUND(H5482-D5482,2)=0,1,0)</f>
        <v/>
      </c>
      <c r="J5482">
        <f>IF(F5482="","none",IF(G5482=1,"carte","multiple"))</f>
        <v/>
      </c>
    </row>
    <row r="5483">
      <c r="A5483" t="inlineStr">
        <is>
          <t>2022-09-23</t>
        </is>
      </c>
      <c r="B5483" t="inlineStr">
        <is>
          <t>12:38</t>
        </is>
      </c>
      <c r="C5483" t="n">
        <v>3062</v>
      </c>
      <c r="D5483" s="6" t="n">
        <v>33.8</v>
      </c>
      <c r="E5483" t="n">
        <v>42549</v>
      </c>
      <c r="F5483" s="6" t="n">
        <v>16.9</v>
      </c>
      <c r="G5483" t="n">
        <v>2</v>
      </c>
      <c r="H5483" s="6">
        <f>ROUND(G5483*F5483,2)</f>
        <v/>
      </c>
      <c r="I5483">
        <f>IF(ROUND(H5483-D5483,2)=0,1,0)</f>
        <v/>
      </c>
      <c r="J5483">
        <f>IF(F5483="","none",IF(G5483=1,"carte","multiple"))</f>
        <v/>
      </c>
    </row>
    <row r="5484">
      <c r="A5484" t="inlineStr">
        <is>
          <t>2022-09-23</t>
        </is>
      </c>
      <c r="B5484" t="inlineStr">
        <is>
          <t>12:38</t>
        </is>
      </c>
      <c r="C5484" t="n">
        <v>3062</v>
      </c>
      <c r="D5484" s="6" t="n">
        <v>3.9</v>
      </c>
      <c r="E5484" t="n">
        <v>42550</v>
      </c>
      <c r="F5484" s="6" t="n">
        <v>3.9</v>
      </c>
      <c r="G5484" t="n">
        <v>1</v>
      </c>
      <c r="H5484" s="6">
        <f>ROUND(G5484*F5484,2)</f>
        <v/>
      </c>
      <c r="I5484">
        <f>IF(ROUND(H5484-D5484,2)=0,1,0)</f>
        <v/>
      </c>
      <c r="J5484">
        <f>IF(F5484="","none",IF(G5484=1,"carte","multiple"))</f>
        <v/>
      </c>
    </row>
    <row r="5485">
      <c r="A5485" t="inlineStr">
        <is>
          <t>2022-09-23</t>
        </is>
      </c>
      <c r="B5485" t="inlineStr">
        <is>
          <t>12:38</t>
        </is>
      </c>
      <c r="C5485" t="n">
        <v>3062</v>
      </c>
      <c r="D5485" s="6" t="n">
        <v>3.9</v>
      </c>
      <c r="E5485" t="n">
        <v>42551</v>
      </c>
      <c r="F5485" s="6" t="n">
        <v>3.9</v>
      </c>
      <c r="G5485" t="n">
        <v>1</v>
      </c>
      <c r="H5485" s="6">
        <f>ROUND(G5485*F5485,2)</f>
        <v/>
      </c>
      <c r="I5485">
        <f>IF(ROUND(H5485-D5485,2)=0,1,0)</f>
        <v/>
      </c>
      <c r="J5485">
        <f>IF(F5485="","none",IF(G5485=1,"carte","multiple"))</f>
        <v/>
      </c>
    </row>
    <row r="5486">
      <c r="A5486" t="inlineStr">
        <is>
          <t>2022-09-23</t>
        </is>
      </c>
      <c r="B5486" t="inlineStr">
        <is>
          <t>12:45</t>
        </is>
      </c>
      <c r="C5486" t="n">
        <v>3062</v>
      </c>
      <c r="D5486" s="6" t="n">
        <v>31.2</v>
      </c>
      <c r="E5486" t="n">
        <v>42552</v>
      </c>
      <c r="F5486" s="6" t="n">
        <v>0.4</v>
      </c>
      <c r="G5486" t="n">
        <v>78</v>
      </c>
      <c r="H5486" s="6">
        <f>ROUND(G5486*F5486,2)</f>
        <v/>
      </c>
      <c r="I5486">
        <f>IF(ROUND(H5486-D5486,2)=0,1,0)</f>
        <v/>
      </c>
      <c r="J5486">
        <f>IF(F5486="","none",IF(G5486=1,"carte","multiple"))</f>
        <v/>
      </c>
    </row>
    <row r="5487">
      <c r="A5487" t="inlineStr">
        <is>
          <t>2022-09-23</t>
        </is>
      </c>
      <c r="B5487" t="inlineStr">
        <is>
          <t>12:45</t>
        </is>
      </c>
      <c r="C5487" t="n">
        <v>3062</v>
      </c>
      <c r="D5487" s="6" t="n">
        <v>5.9</v>
      </c>
      <c r="E5487" t="n">
        <v>42553</v>
      </c>
      <c r="F5487" s="6" t="n">
        <v>5.9</v>
      </c>
      <c r="G5487" t="n">
        <v>1</v>
      </c>
      <c r="H5487" s="6">
        <f>ROUND(G5487*F5487,2)</f>
        <v/>
      </c>
      <c r="I5487">
        <f>IF(ROUND(H5487-D5487,2)=0,1,0)</f>
        <v/>
      </c>
      <c r="J5487">
        <f>IF(F5487="","none",IF(G5487=1,"carte","multiple"))</f>
        <v/>
      </c>
    </row>
    <row r="5488">
      <c r="A5488" t="inlineStr">
        <is>
          <t>2022-09-23</t>
        </is>
      </c>
      <c r="B5488" t="inlineStr">
        <is>
          <t>12:45</t>
        </is>
      </c>
      <c r="C5488" t="n">
        <v>3062</v>
      </c>
      <c r="D5488" s="6" t="n">
        <v>39.8</v>
      </c>
      <c r="E5488" t="n">
        <v>42554</v>
      </c>
      <c r="F5488" s="6" t="n">
        <v>39.8</v>
      </c>
      <c r="G5488" t="n">
        <v>1</v>
      </c>
      <c r="H5488" s="6">
        <f>ROUND(G5488*F5488,2)</f>
        <v/>
      </c>
      <c r="I5488">
        <f>IF(ROUND(H5488-D5488,2)=0,1,0)</f>
        <v/>
      </c>
      <c r="J5488">
        <f>IF(F5488="","none",IF(G5488=1,"carte","multiple"))</f>
        <v/>
      </c>
    </row>
    <row r="5489">
      <c r="A5489" t="inlineStr">
        <is>
          <t>2022-09-23</t>
        </is>
      </c>
      <c r="B5489" t="inlineStr">
        <is>
          <t>19:09</t>
        </is>
      </c>
      <c r="C5489" t="n">
        <v>3062</v>
      </c>
      <c r="D5489" s="6" t="n">
        <v>4.7</v>
      </c>
      <c r="E5489" t="n">
        <v>42556</v>
      </c>
      <c r="F5489" s="6" t="n">
        <v>4.7</v>
      </c>
      <c r="G5489" t="n">
        <v>1</v>
      </c>
      <c r="H5489" s="6">
        <f>ROUND(G5489*F5489,2)</f>
        <v/>
      </c>
      <c r="I5489">
        <f>IF(ROUND(H5489-D5489,2)=0,1,0)</f>
        <v/>
      </c>
      <c r="J5489">
        <f>IF(F5489="","none",IF(G5489=1,"carte","multiple"))</f>
        <v/>
      </c>
    </row>
    <row r="5490">
      <c r="A5490" t="inlineStr">
        <is>
          <t>2022-09-23</t>
        </is>
      </c>
      <c r="B5490" t="inlineStr">
        <is>
          <t>19:38</t>
        </is>
      </c>
      <c r="C5490" t="n">
        <v>3062</v>
      </c>
      <c r="D5490" s="6" t="n">
        <v>4.7</v>
      </c>
      <c r="E5490" t="n">
        <v>42557</v>
      </c>
      <c r="F5490" s="6" t="n">
        <v>4.7</v>
      </c>
      <c r="G5490" t="n">
        <v>1</v>
      </c>
      <c r="H5490" s="6">
        <f>ROUND(G5490*F5490,2)</f>
        <v/>
      </c>
      <c r="I5490">
        <f>IF(ROUND(H5490-D5490,2)=0,1,0)</f>
        <v/>
      </c>
      <c r="J5490">
        <f>IF(F5490="","none",IF(G5490=1,"carte","multiple"))</f>
        <v/>
      </c>
    </row>
    <row r="5491">
      <c r="A5491" t="inlineStr">
        <is>
          <t>2022-09-24</t>
        </is>
      </c>
      <c r="B5491" t="inlineStr">
        <is>
          <t>11:38</t>
        </is>
      </c>
      <c r="C5491" t="n">
        <v>3063</v>
      </c>
      <c r="D5491" s="6" t="n">
        <v>29.9</v>
      </c>
      <c r="E5491" t="n">
        <v>42560</v>
      </c>
      <c r="F5491" s="6" t="n">
        <v>29.9</v>
      </c>
      <c r="G5491" t="n">
        <v>1</v>
      </c>
      <c r="H5491" s="6">
        <f>ROUND(G5491*F5491,2)</f>
        <v/>
      </c>
      <c r="I5491">
        <f>IF(ROUND(H5491-D5491,2)=0,1,0)</f>
        <v/>
      </c>
      <c r="J5491">
        <f>IF(F5491="","none",IF(G5491=1,"carte","multiple"))</f>
        <v/>
      </c>
    </row>
    <row r="5492">
      <c r="A5492" t="inlineStr">
        <is>
          <t>2022-09-24</t>
        </is>
      </c>
      <c r="B5492" t="inlineStr">
        <is>
          <t>12:21</t>
        </is>
      </c>
      <c r="C5492" t="n">
        <v>3063</v>
      </c>
      <c r="D5492" s="6" t="n">
        <v>19.9</v>
      </c>
      <c r="E5492" t="n">
        <v>42561</v>
      </c>
      <c r="F5492" s="6" t="n">
        <v>19.9</v>
      </c>
      <c r="G5492" t="n">
        <v>1</v>
      </c>
      <c r="H5492" s="6">
        <f>ROUND(G5492*F5492,2)</f>
        <v/>
      </c>
      <c r="I5492">
        <f>IF(ROUND(H5492-D5492,2)=0,1,0)</f>
        <v/>
      </c>
      <c r="J5492">
        <f>IF(F5492="","none",IF(G5492=1,"carte","multiple"))</f>
        <v/>
      </c>
    </row>
    <row r="5493">
      <c r="A5493" t="inlineStr">
        <is>
          <t>2022-09-24</t>
        </is>
      </c>
      <c r="B5493" t="inlineStr">
        <is>
          <t>12:21</t>
        </is>
      </c>
      <c r="C5493" t="n">
        <v>3063</v>
      </c>
      <c r="D5493" s="6" t="n">
        <v>2.9</v>
      </c>
      <c r="E5493" t="n">
        <v>42562</v>
      </c>
      <c r="F5493" s="6" t="n">
        <v>2.9</v>
      </c>
      <c r="G5493" t="n">
        <v>1</v>
      </c>
      <c r="H5493" s="6">
        <f>ROUND(G5493*F5493,2)</f>
        <v/>
      </c>
      <c r="I5493">
        <f>IF(ROUND(H5493-D5493,2)=0,1,0)</f>
        <v/>
      </c>
      <c r="J5493">
        <f>IF(F5493="","none",IF(G5493=1,"carte","multiple"))</f>
        <v/>
      </c>
    </row>
    <row r="5494">
      <c r="A5494" t="inlineStr">
        <is>
          <t>2022-09-24</t>
        </is>
      </c>
      <c r="B5494" t="inlineStr">
        <is>
          <t>12:21</t>
        </is>
      </c>
      <c r="C5494" t="n">
        <v>3063</v>
      </c>
      <c r="D5494" s="6" t="n">
        <v>7.9</v>
      </c>
      <c r="E5494" t="n">
        <v>42563</v>
      </c>
      <c r="F5494" s="6" t="n">
        <v>7.9</v>
      </c>
      <c r="G5494" t="n">
        <v>1</v>
      </c>
      <c r="H5494" s="6">
        <f>ROUND(G5494*F5494,2)</f>
        <v/>
      </c>
      <c r="I5494">
        <f>IF(ROUND(H5494-D5494,2)=0,1,0)</f>
        <v/>
      </c>
      <c r="J5494">
        <f>IF(F5494="","none",IF(G5494=1,"carte","multiple"))</f>
        <v/>
      </c>
    </row>
    <row r="5495">
      <c r="A5495" t="inlineStr">
        <is>
          <t>2022-09-24</t>
        </is>
      </c>
      <c r="B5495" t="inlineStr">
        <is>
          <t>12:21</t>
        </is>
      </c>
      <c r="C5495" t="n">
        <v>3063</v>
      </c>
      <c r="D5495" s="6" t="n">
        <v>2.9</v>
      </c>
      <c r="E5495" t="n">
        <v>42564</v>
      </c>
      <c r="F5495" s="6" t="n">
        <v>2.9</v>
      </c>
      <c r="G5495" t="n">
        <v>1</v>
      </c>
      <c r="H5495" s="6">
        <f>ROUND(G5495*F5495,2)</f>
        <v/>
      </c>
      <c r="I5495">
        <f>IF(ROUND(H5495-D5495,2)=0,1,0)</f>
        <v/>
      </c>
      <c r="J5495">
        <f>IF(F5495="","none",IF(G5495=1,"carte","multiple"))</f>
        <v/>
      </c>
    </row>
    <row r="5496">
      <c r="A5496" t="inlineStr">
        <is>
          <t>2022-09-24</t>
        </is>
      </c>
      <c r="B5496" t="inlineStr">
        <is>
          <t>12:21</t>
        </is>
      </c>
      <c r="C5496" t="n">
        <v>3063</v>
      </c>
      <c r="D5496" s="6" t="n">
        <v>9.800000000000001</v>
      </c>
      <c r="E5496" t="n">
        <v>42565</v>
      </c>
      <c r="F5496" s="6" t="n">
        <v>9.800000000000001</v>
      </c>
      <c r="G5496" t="n">
        <v>1</v>
      </c>
      <c r="H5496" s="6">
        <f>ROUND(G5496*F5496,2)</f>
        <v/>
      </c>
      <c r="I5496">
        <f>IF(ROUND(H5496-D5496,2)=0,1,0)</f>
        <v/>
      </c>
      <c r="J5496">
        <f>IF(F5496="","none",IF(G5496=1,"carte","multiple"))</f>
        <v/>
      </c>
    </row>
    <row r="5497">
      <c r="A5497" t="inlineStr">
        <is>
          <t>2022-09-24</t>
        </is>
      </c>
      <c r="B5497" t="inlineStr">
        <is>
          <t>12:51</t>
        </is>
      </c>
      <c r="C5497" t="n">
        <v>3063</v>
      </c>
      <c r="D5497" s="6" t="n">
        <v>8.699999999999999</v>
      </c>
      <c r="E5497" t="n">
        <v>42566</v>
      </c>
      <c r="F5497" s="6" t="n">
        <v>8.699999999999999</v>
      </c>
      <c r="G5497" t="n">
        <v>1</v>
      </c>
      <c r="H5497" s="6">
        <f>ROUND(G5497*F5497,2)</f>
        <v/>
      </c>
      <c r="I5497">
        <f>IF(ROUND(H5497-D5497,2)=0,1,0)</f>
        <v/>
      </c>
      <c r="J5497">
        <f>IF(F5497="","none",IF(G5497=1,"carte","multiple"))</f>
        <v/>
      </c>
    </row>
    <row r="5498">
      <c r="A5498" t="inlineStr">
        <is>
          <t>2022-09-24</t>
        </is>
      </c>
      <c r="B5498" t="inlineStr">
        <is>
          <t>12:51</t>
        </is>
      </c>
      <c r="C5498" t="n">
        <v>3063</v>
      </c>
      <c r="D5498" s="6" t="n">
        <v>6.9</v>
      </c>
      <c r="E5498" t="n">
        <v>42567</v>
      </c>
      <c r="F5498" s="6" t="n">
        <v>6.9</v>
      </c>
      <c r="G5498" t="n">
        <v>1</v>
      </c>
      <c r="H5498" s="6">
        <f>ROUND(G5498*F5498,2)</f>
        <v/>
      </c>
      <c r="I5498">
        <f>IF(ROUND(H5498-D5498,2)=0,1,0)</f>
        <v/>
      </c>
      <c r="J5498">
        <f>IF(F5498="","none",IF(G5498=1,"carte","multiple"))</f>
        <v/>
      </c>
    </row>
    <row r="5499">
      <c r="A5499" t="inlineStr">
        <is>
          <t>2022-09-24</t>
        </is>
      </c>
      <c r="B5499" t="inlineStr">
        <is>
          <t>12:51</t>
        </is>
      </c>
      <c r="C5499" t="n">
        <v>3063</v>
      </c>
      <c r="D5499" s="6" t="n">
        <v>15.8</v>
      </c>
      <c r="E5499" t="n">
        <v>42568</v>
      </c>
      <c r="F5499" s="6" t="n">
        <v>7.9</v>
      </c>
      <c r="G5499" t="n">
        <v>2</v>
      </c>
      <c r="H5499" s="6">
        <f>ROUND(G5499*F5499,2)</f>
        <v/>
      </c>
      <c r="I5499">
        <f>IF(ROUND(H5499-D5499,2)=0,1,0)</f>
        <v/>
      </c>
      <c r="J5499">
        <f>IF(F5499="","none",IF(G5499=1,"carte","multiple"))</f>
        <v/>
      </c>
    </row>
    <row r="5500">
      <c r="A5500" t="inlineStr">
        <is>
          <t>2022-09-24</t>
        </is>
      </c>
      <c r="B5500" t="inlineStr">
        <is>
          <t>12:51</t>
        </is>
      </c>
      <c r="C5500" t="n">
        <v>3063</v>
      </c>
      <c r="D5500" s="6" t="n">
        <v>35.2</v>
      </c>
      <c r="E5500" t="n">
        <v>42569</v>
      </c>
      <c r="F5500" s="6" t="n">
        <v>0.4</v>
      </c>
      <c r="G5500" t="n">
        <v>88</v>
      </c>
      <c r="H5500" s="6">
        <f>ROUND(G5500*F5500,2)</f>
        <v/>
      </c>
      <c r="I5500">
        <f>IF(ROUND(H5500-D5500,2)=0,1,0)</f>
        <v/>
      </c>
      <c r="J5500">
        <f>IF(F5500="","none",IF(G5500=1,"carte","multiple"))</f>
        <v/>
      </c>
    </row>
    <row r="5501">
      <c r="A5501" t="inlineStr">
        <is>
          <t>2022-09-24</t>
        </is>
      </c>
      <c r="B5501" t="inlineStr">
        <is>
          <t>13:07</t>
        </is>
      </c>
      <c r="C5501" t="n">
        <v>3063</v>
      </c>
      <c r="D5501" s="6" t="n">
        <v>14</v>
      </c>
      <c r="E5501" t="n">
        <v>42570</v>
      </c>
      <c r="F5501" s="6" t="n">
        <v>14</v>
      </c>
      <c r="G5501" t="n">
        <v>1</v>
      </c>
      <c r="H5501" s="6">
        <f>ROUND(G5501*F5501,2)</f>
        <v/>
      </c>
      <c r="I5501">
        <f>IF(ROUND(H5501-D5501,2)=0,1,0)</f>
        <v/>
      </c>
      <c r="J5501">
        <f>IF(F5501="","none",IF(G5501=1,"carte","multiple"))</f>
        <v/>
      </c>
    </row>
    <row r="5502">
      <c r="A5502" t="inlineStr">
        <is>
          <t>2022-09-24</t>
        </is>
      </c>
      <c r="B5502" t="inlineStr">
        <is>
          <t>13:07</t>
        </is>
      </c>
      <c r="C5502" t="n">
        <v>3063</v>
      </c>
      <c r="D5502" s="6" t="n">
        <v>31.8</v>
      </c>
      <c r="E5502" t="n">
        <v>42571</v>
      </c>
      <c r="F5502" s="6" t="n">
        <v>31.8</v>
      </c>
      <c r="G5502" t="n">
        <v>1</v>
      </c>
      <c r="H5502" s="6">
        <f>ROUND(G5502*F5502,2)</f>
        <v/>
      </c>
      <c r="I5502">
        <f>IF(ROUND(H5502-D5502,2)=0,1,0)</f>
        <v/>
      </c>
      <c r="J5502">
        <f>IF(F5502="","none",IF(G5502=1,"carte","multiple"))</f>
        <v/>
      </c>
    </row>
    <row r="5503">
      <c r="A5503" t="inlineStr">
        <is>
          <t>2022-09-24</t>
        </is>
      </c>
      <c r="B5503" t="inlineStr">
        <is>
          <t>13:07</t>
        </is>
      </c>
      <c r="C5503" t="n">
        <v>3063</v>
      </c>
      <c r="D5503" s="6" t="n">
        <v>7.8</v>
      </c>
      <c r="E5503" t="n">
        <v>42572</v>
      </c>
      <c r="F5503" s="6" t="n">
        <v>7.8</v>
      </c>
      <c r="G5503" t="n">
        <v>1</v>
      </c>
      <c r="H5503" s="6">
        <f>ROUND(G5503*F5503,2)</f>
        <v/>
      </c>
      <c r="I5503">
        <f>IF(ROUND(H5503-D5503,2)=0,1,0)</f>
        <v/>
      </c>
      <c r="J5503">
        <f>IF(F5503="","none",IF(G5503=1,"carte","multiple"))</f>
        <v/>
      </c>
    </row>
    <row r="5504">
      <c r="A5504" t="inlineStr">
        <is>
          <t>2022-09-24</t>
        </is>
      </c>
      <c r="B5504" t="inlineStr">
        <is>
          <t>13:23</t>
        </is>
      </c>
      <c r="C5504" t="n">
        <v>3063</v>
      </c>
      <c r="D5504" s="6" t="n">
        <v>3.8</v>
      </c>
      <c r="E5504" t="n">
        <v>42573</v>
      </c>
      <c r="F5504" s="6" t="n">
        <v>3.8</v>
      </c>
      <c r="G5504" t="n">
        <v>1</v>
      </c>
      <c r="H5504" s="6">
        <f>ROUND(G5504*F5504,2)</f>
        <v/>
      </c>
      <c r="I5504">
        <f>IF(ROUND(H5504-D5504,2)=0,1,0)</f>
        <v/>
      </c>
      <c r="J5504">
        <f>IF(F5504="","none",IF(G5504=1,"carte","multiple"))</f>
        <v/>
      </c>
    </row>
    <row r="5505">
      <c r="A5505" t="inlineStr">
        <is>
          <t>2022-09-24</t>
        </is>
      </c>
      <c r="B5505" t="inlineStr">
        <is>
          <t>13:23</t>
        </is>
      </c>
      <c r="C5505" t="n">
        <v>3063</v>
      </c>
      <c r="D5505" s="6" t="n">
        <v>10.9</v>
      </c>
      <c r="E5505" t="n">
        <v>42574</v>
      </c>
      <c r="F5505" s="6" t="n">
        <v>10.9</v>
      </c>
      <c r="G5505" t="n">
        <v>1</v>
      </c>
      <c r="H5505" s="6">
        <f>ROUND(G5505*F5505,2)</f>
        <v/>
      </c>
      <c r="I5505">
        <f>IF(ROUND(H5505-D5505,2)=0,1,0)</f>
        <v/>
      </c>
      <c r="J5505">
        <f>IF(F5505="","none",IF(G5505=1,"carte","multiple"))</f>
        <v/>
      </c>
    </row>
    <row r="5506">
      <c r="A5506" t="inlineStr">
        <is>
          <t>2022-09-24</t>
        </is>
      </c>
      <c r="B5506" t="inlineStr">
        <is>
          <t>13:23</t>
        </is>
      </c>
      <c r="C5506" t="n">
        <v>3063</v>
      </c>
      <c r="D5506" s="6" t="n">
        <v>3.9</v>
      </c>
      <c r="E5506" t="n">
        <v>42575</v>
      </c>
      <c r="F5506" s="6" t="n">
        <v>3.9</v>
      </c>
      <c r="G5506" t="n">
        <v>1</v>
      </c>
      <c r="H5506" s="6">
        <f>ROUND(G5506*F5506,2)</f>
        <v/>
      </c>
      <c r="I5506">
        <f>IF(ROUND(H5506-D5506,2)=0,1,0)</f>
        <v/>
      </c>
      <c r="J5506">
        <f>IF(F5506="","none",IF(G5506=1,"carte","multiple"))</f>
        <v/>
      </c>
    </row>
    <row r="5507">
      <c r="A5507" t="inlineStr">
        <is>
          <t>2022-09-24</t>
        </is>
      </c>
      <c r="B5507" t="inlineStr">
        <is>
          <t>13:23</t>
        </is>
      </c>
      <c r="C5507" t="n">
        <v>3063</v>
      </c>
      <c r="D5507" s="6" t="n">
        <v>2.9</v>
      </c>
      <c r="E5507" t="n">
        <v>42576</v>
      </c>
      <c r="F5507" s="6" t="n">
        <v>2.9</v>
      </c>
      <c r="G5507" t="n">
        <v>1</v>
      </c>
      <c r="H5507" s="6">
        <f>ROUND(G5507*F5507,2)</f>
        <v/>
      </c>
      <c r="I5507">
        <f>IF(ROUND(H5507-D5507,2)=0,1,0)</f>
        <v/>
      </c>
      <c r="J5507">
        <f>IF(F5507="","none",IF(G5507=1,"carte","multiple"))</f>
        <v/>
      </c>
    </row>
    <row r="5508">
      <c r="A5508" t="inlineStr">
        <is>
          <t>2022-09-24</t>
        </is>
      </c>
      <c r="B5508" t="inlineStr">
        <is>
          <t>13:23</t>
        </is>
      </c>
      <c r="C5508" t="n">
        <v>3063</v>
      </c>
      <c r="D5508" s="6" t="n">
        <v>3.2</v>
      </c>
      <c r="E5508" t="n">
        <v>42577</v>
      </c>
      <c r="F5508" s="6" t="n">
        <v>3.2</v>
      </c>
      <c r="G5508" t="n">
        <v>1</v>
      </c>
      <c r="H5508" s="6">
        <f>ROUND(G5508*F5508,2)</f>
        <v/>
      </c>
      <c r="I5508">
        <f>IF(ROUND(H5508-D5508,2)=0,1,0)</f>
        <v/>
      </c>
      <c r="J5508">
        <f>IF(F5508="","none",IF(G5508=1,"carte","multiple"))</f>
        <v/>
      </c>
    </row>
    <row r="5509">
      <c r="A5509" t="inlineStr">
        <is>
          <t>2022-09-24</t>
        </is>
      </c>
      <c r="B5509" t="inlineStr">
        <is>
          <t>13:23</t>
        </is>
      </c>
      <c r="C5509" t="n">
        <v>3063</v>
      </c>
      <c r="D5509" s="6" t="n">
        <v>7.9</v>
      </c>
      <c r="E5509" t="n">
        <v>42578</v>
      </c>
      <c r="F5509" s="6" t="n">
        <v>7.9</v>
      </c>
      <c r="G5509" t="n">
        <v>1</v>
      </c>
      <c r="H5509" s="6">
        <f>ROUND(G5509*F5509,2)</f>
        <v/>
      </c>
      <c r="I5509">
        <f>IF(ROUND(H5509-D5509,2)=0,1,0)</f>
        <v/>
      </c>
      <c r="J5509">
        <f>IF(F5509="","none",IF(G5509=1,"carte","multiple"))</f>
        <v/>
      </c>
    </row>
    <row r="5510">
      <c r="A5510" t="inlineStr">
        <is>
          <t>2022-09-24</t>
        </is>
      </c>
      <c r="B5510" t="inlineStr">
        <is>
          <t>13:23</t>
        </is>
      </c>
      <c r="C5510" t="n">
        <v>3063</v>
      </c>
      <c r="D5510" s="6" t="n">
        <v>2.9</v>
      </c>
      <c r="E5510" t="n">
        <v>42579</v>
      </c>
      <c r="F5510" s="6" t="n">
        <v>2.9</v>
      </c>
      <c r="G5510" t="n">
        <v>1</v>
      </c>
      <c r="H5510" s="6">
        <f>ROUND(G5510*F5510,2)</f>
        <v/>
      </c>
      <c r="I5510">
        <f>IF(ROUND(H5510-D5510,2)=0,1,0)</f>
        <v/>
      </c>
      <c r="J5510">
        <f>IF(F5510="","none",IF(G5510=1,"carte","multiple"))</f>
        <v/>
      </c>
    </row>
    <row r="5511">
      <c r="A5511" t="inlineStr">
        <is>
          <t>2022-09-24</t>
        </is>
      </c>
      <c r="B5511" t="inlineStr">
        <is>
          <t>13:24</t>
        </is>
      </c>
      <c r="C5511" t="n">
        <v>3063</v>
      </c>
      <c r="D5511" s="6" t="n">
        <v>13.9</v>
      </c>
      <c r="E5511" t="n">
        <v>42580</v>
      </c>
      <c r="F5511" s="6" t="n">
        <v>13.9</v>
      </c>
      <c r="G5511" t="n">
        <v>1</v>
      </c>
      <c r="H5511" s="6">
        <f>ROUND(G5511*F5511,2)</f>
        <v/>
      </c>
      <c r="I5511">
        <f>IF(ROUND(H5511-D5511,2)=0,1,0)</f>
        <v/>
      </c>
      <c r="J5511">
        <f>IF(F5511="","none",IF(G5511=1,"carte","multiple"))</f>
        <v/>
      </c>
    </row>
    <row r="5512">
      <c r="A5512" t="inlineStr">
        <is>
          <t>2022-09-24</t>
        </is>
      </c>
      <c r="B5512" t="inlineStr">
        <is>
          <t>13:24</t>
        </is>
      </c>
      <c r="C5512" t="n">
        <v>3063</v>
      </c>
      <c r="D5512" s="6" t="n">
        <v>16</v>
      </c>
      <c r="E5512" t="n">
        <v>42581</v>
      </c>
      <c r="F5512" s="6" t="n">
        <v>16</v>
      </c>
      <c r="G5512" t="n">
        <v>1</v>
      </c>
      <c r="H5512" s="6">
        <f>ROUND(G5512*F5512,2)</f>
        <v/>
      </c>
      <c r="I5512">
        <f>IF(ROUND(H5512-D5512,2)=0,1,0)</f>
        <v/>
      </c>
      <c r="J5512">
        <f>IF(F5512="","none",IF(G5512=1,"carte","multiple"))</f>
        <v/>
      </c>
    </row>
    <row r="5513">
      <c r="A5513" t="inlineStr">
        <is>
          <t>2022-09-24</t>
        </is>
      </c>
      <c r="B5513" t="inlineStr">
        <is>
          <t>13:24</t>
        </is>
      </c>
      <c r="C5513" t="n">
        <v>3063</v>
      </c>
      <c r="D5513" s="6" t="n">
        <v>5.9</v>
      </c>
      <c r="E5513" t="n">
        <v>42582</v>
      </c>
      <c r="F5513" s="6" t="n">
        <v>5.9</v>
      </c>
      <c r="G5513" t="n">
        <v>1</v>
      </c>
      <c r="H5513" s="6">
        <f>ROUND(G5513*F5513,2)</f>
        <v/>
      </c>
      <c r="I5513">
        <f>IF(ROUND(H5513-D5513,2)=0,1,0)</f>
        <v/>
      </c>
      <c r="J5513">
        <f>IF(F5513="","none",IF(G5513=1,"carte","multiple"))</f>
        <v/>
      </c>
    </row>
    <row r="5514">
      <c r="A5514" t="inlineStr">
        <is>
          <t>2022-09-24</t>
        </is>
      </c>
      <c r="B5514" t="inlineStr">
        <is>
          <t>13:24</t>
        </is>
      </c>
      <c r="C5514" t="n">
        <v>3063</v>
      </c>
      <c r="D5514" s="6" t="n">
        <v>6</v>
      </c>
      <c r="E5514" t="n">
        <v>42583</v>
      </c>
      <c r="F5514" s="6" t="n">
        <v>6</v>
      </c>
      <c r="G5514" t="n">
        <v>1</v>
      </c>
      <c r="H5514" s="6">
        <f>ROUND(G5514*F5514,2)</f>
        <v/>
      </c>
      <c r="I5514">
        <f>IF(ROUND(H5514-D5514,2)=0,1,0)</f>
        <v/>
      </c>
      <c r="J5514">
        <f>IF(F5514="","none",IF(G5514=1,"carte","multiple"))</f>
        <v/>
      </c>
    </row>
    <row r="5515">
      <c r="A5515" t="inlineStr">
        <is>
          <t>2022-09-24</t>
        </is>
      </c>
      <c r="B5515" t="inlineStr">
        <is>
          <t>13:24</t>
        </is>
      </c>
      <c r="C5515" t="n">
        <v>3063</v>
      </c>
      <c r="D5515" s="6" t="n">
        <v>5.2</v>
      </c>
      <c r="E5515" t="n">
        <v>42584</v>
      </c>
      <c r="F5515" s="6" t="n">
        <v>5.2</v>
      </c>
      <c r="G5515" t="n">
        <v>1</v>
      </c>
      <c r="H5515" s="6">
        <f>ROUND(G5515*F5515,2)</f>
        <v/>
      </c>
      <c r="I5515">
        <f>IF(ROUND(H5515-D5515,2)=0,1,0)</f>
        <v/>
      </c>
      <c r="J5515">
        <f>IF(F5515="","none",IF(G5515=1,"carte","multiple"))</f>
        <v/>
      </c>
    </row>
    <row r="5516">
      <c r="A5516" t="inlineStr">
        <is>
          <t>2022-09-24</t>
        </is>
      </c>
      <c r="B5516" t="inlineStr">
        <is>
          <t>19:07</t>
        </is>
      </c>
      <c r="C5516" t="n">
        <v>3063</v>
      </c>
      <c r="D5516" s="6" t="n">
        <v>6.9</v>
      </c>
      <c r="E5516" t="n">
        <v>42586</v>
      </c>
      <c r="F5516" s="6" t="n">
        <v>6.9</v>
      </c>
      <c r="G5516" t="n">
        <v>1</v>
      </c>
      <c r="H5516" s="6">
        <f>ROUND(G5516*F5516,2)</f>
        <v/>
      </c>
      <c r="I5516">
        <f>IF(ROUND(H5516-D5516,2)=0,1,0)</f>
        <v/>
      </c>
      <c r="J5516">
        <f>IF(F5516="","none",IF(G5516=1,"carte","multiple"))</f>
        <v/>
      </c>
    </row>
    <row r="5517">
      <c r="A5517" t="inlineStr">
        <is>
          <t>2022-09-24</t>
        </is>
      </c>
      <c r="B5517" t="inlineStr">
        <is>
          <t>19:07</t>
        </is>
      </c>
      <c r="C5517" t="n">
        <v>3063</v>
      </c>
      <c r="D5517" s="6" t="n">
        <v>2.2</v>
      </c>
      <c r="E5517" t="n">
        <v>42587</v>
      </c>
      <c r="F5517" s="6" t="n">
        <v>2.2</v>
      </c>
      <c r="G5517" t="n">
        <v>1</v>
      </c>
      <c r="H5517" s="6">
        <f>ROUND(G5517*F5517,2)</f>
        <v/>
      </c>
      <c r="I5517">
        <f>IF(ROUND(H5517-D5517,2)=0,1,0)</f>
        <v/>
      </c>
      <c r="J5517">
        <f>IF(F5517="","none",IF(G5517=1,"carte","multiple"))</f>
        <v/>
      </c>
    </row>
    <row r="5518">
      <c r="A5518" t="inlineStr">
        <is>
          <t>2022-09-25</t>
        </is>
      </c>
      <c r="B5518" t="inlineStr">
        <is>
          <t>11:33</t>
        </is>
      </c>
      <c r="C5518" t="n">
        <v>3064</v>
      </c>
      <c r="D5518" s="6" t="n">
        <v>3.9</v>
      </c>
      <c r="E5518" t="n">
        <v>42590</v>
      </c>
      <c r="F5518" s="6" t="n">
        <v>3.9</v>
      </c>
      <c r="G5518" t="n">
        <v>1</v>
      </c>
      <c r="H5518" s="6">
        <f>ROUND(G5518*F5518,2)</f>
        <v/>
      </c>
      <c r="I5518">
        <f>IF(ROUND(H5518-D5518,2)=0,1,0)</f>
        <v/>
      </c>
      <c r="J5518">
        <f>IF(F5518="","none",IF(G5518=1,"carte","multiple"))</f>
        <v/>
      </c>
    </row>
    <row r="5519">
      <c r="A5519" t="inlineStr">
        <is>
          <t>2022-09-25</t>
        </is>
      </c>
      <c r="B5519" t="inlineStr">
        <is>
          <t>11:55</t>
        </is>
      </c>
      <c r="C5519" t="n">
        <v>3064</v>
      </c>
      <c r="D5519" s="6" t="n">
        <v>6.6</v>
      </c>
      <c r="E5519" t="n">
        <v>42591</v>
      </c>
      <c r="F5519" s="6" t="n">
        <v>6.6</v>
      </c>
      <c r="G5519" t="n">
        <v>1</v>
      </c>
      <c r="H5519" s="6">
        <f>ROUND(G5519*F5519,2)</f>
        <v/>
      </c>
      <c r="I5519">
        <f>IF(ROUND(H5519-D5519,2)=0,1,0)</f>
        <v/>
      </c>
      <c r="J5519">
        <f>IF(F5519="","none",IF(G5519=1,"carte","multiple"))</f>
        <v/>
      </c>
    </row>
    <row r="5520">
      <c r="A5520" t="inlineStr">
        <is>
          <t>2022-09-25</t>
        </is>
      </c>
      <c r="B5520" t="inlineStr">
        <is>
          <t>11:55</t>
        </is>
      </c>
      <c r="C5520" t="n">
        <v>3064</v>
      </c>
      <c r="D5520" s="6" t="n">
        <v>19</v>
      </c>
      <c r="E5520" t="n">
        <v>42592</v>
      </c>
      <c r="F5520" s="6" t="n">
        <v>19</v>
      </c>
      <c r="G5520" t="n">
        <v>1</v>
      </c>
      <c r="H5520" s="6">
        <f>ROUND(G5520*F5520,2)</f>
        <v/>
      </c>
      <c r="I5520">
        <f>IF(ROUND(H5520-D5520,2)=0,1,0)</f>
        <v/>
      </c>
      <c r="J5520">
        <f>IF(F5520="","none",IF(G5520=1,"carte","multiple"))</f>
        <v/>
      </c>
    </row>
    <row r="5521">
      <c r="A5521" t="inlineStr">
        <is>
          <t>2022-09-25</t>
        </is>
      </c>
      <c r="B5521" t="inlineStr">
        <is>
          <t>11:55</t>
        </is>
      </c>
      <c r="C5521" t="n">
        <v>3064</v>
      </c>
      <c r="D5521" s="6" t="n">
        <v>17.6</v>
      </c>
      <c r="E5521" t="n">
        <v>42593</v>
      </c>
      <c r="F5521" s="6" t="n">
        <v>17.6</v>
      </c>
      <c r="G5521" t="n">
        <v>1</v>
      </c>
      <c r="H5521" s="6">
        <f>ROUND(G5521*F5521,2)</f>
        <v/>
      </c>
      <c r="I5521">
        <f>IF(ROUND(H5521-D5521,2)=0,1,0)</f>
        <v/>
      </c>
      <c r="J5521">
        <f>IF(F5521="","none",IF(G5521=1,"carte","multiple"))</f>
        <v/>
      </c>
    </row>
    <row r="5522">
      <c r="A5522" t="inlineStr">
        <is>
          <t>2022-09-25</t>
        </is>
      </c>
      <c r="B5522" t="inlineStr">
        <is>
          <t>11:55</t>
        </is>
      </c>
      <c r="C5522" t="n">
        <v>3064</v>
      </c>
      <c r="D5522" s="6" t="n">
        <v>19.9</v>
      </c>
      <c r="E5522" t="n">
        <v>42594</v>
      </c>
      <c r="F5522" s="6" t="n">
        <v>19.9</v>
      </c>
      <c r="G5522" t="n">
        <v>1</v>
      </c>
      <c r="H5522" s="6">
        <f>ROUND(G5522*F5522,2)</f>
        <v/>
      </c>
      <c r="I5522">
        <f>IF(ROUND(H5522-D5522,2)=0,1,0)</f>
        <v/>
      </c>
      <c r="J5522">
        <f>IF(F5522="","none",IF(G5522=1,"carte","multiple"))</f>
        <v/>
      </c>
    </row>
    <row r="5523">
      <c r="A5523" t="inlineStr">
        <is>
          <t>2022-09-25</t>
        </is>
      </c>
      <c r="B5523" t="inlineStr">
        <is>
          <t>11:55</t>
        </is>
      </c>
      <c r="C5523" t="n">
        <v>3064</v>
      </c>
      <c r="D5523" s="6" t="n">
        <v>24</v>
      </c>
      <c r="E5523" t="n">
        <v>42595</v>
      </c>
      <c r="F5523" s="6" t="n">
        <v>24</v>
      </c>
      <c r="G5523" t="n">
        <v>1</v>
      </c>
      <c r="H5523" s="6">
        <f>ROUND(G5523*F5523,2)</f>
        <v/>
      </c>
      <c r="I5523">
        <f>IF(ROUND(H5523-D5523,2)=0,1,0)</f>
        <v/>
      </c>
      <c r="J5523">
        <f>IF(F5523="","none",IF(G5523=1,"carte","multiple"))</f>
        <v/>
      </c>
    </row>
    <row r="5524">
      <c r="A5524" t="inlineStr">
        <is>
          <t>2022-09-25</t>
        </is>
      </c>
      <c r="B5524" t="inlineStr">
        <is>
          <t>11:55</t>
        </is>
      </c>
      <c r="C5524" t="n">
        <v>3064</v>
      </c>
      <c r="D5524" s="6" t="n">
        <v>5.9</v>
      </c>
      <c r="E5524" t="n">
        <v>42596</v>
      </c>
      <c r="F5524" s="6" t="n">
        <v>5.9</v>
      </c>
      <c r="G5524" t="n">
        <v>1</v>
      </c>
      <c r="H5524" s="6">
        <f>ROUND(G5524*F5524,2)</f>
        <v/>
      </c>
      <c r="I5524">
        <f>IF(ROUND(H5524-D5524,2)=0,1,0)</f>
        <v/>
      </c>
      <c r="J5524">
        <f>IF(F5524="","none",IF(G5524=1,"carte","multiple"))</f>
        <v/>
      </c>
    </row>
    <row r="5525">
      <c r="A5525" t="inlineStr">
        <is>
          <t>2022-09-25</t>
        </is>
      </c>
      <c r="B5525" t="inlineStr">
        <is>
          <t>12:17</t>
        </is>
      </c>
      <c r="C5525" t="n">
        <v>3064</v>
      </c>
      <c r="D5525" s="6" t="n">
        <v>24</v>
      </c>
      <c r="E5525" t="n">
        <v>42597</v>
      </c>
      <c r="F5525" s="6" t="n">
        <v>24</v>
      </c>
      <c r="G5525" t="n">
        <v>1</v>
      </c>
      <c r="H5525" s="6">
        <f>ROUND(G5525*F5525,2)</f>
        <v/>
      </c>
      <c r="I5525">
        <f>IF(ROUND(H5525-D5525,2)=0,1,0)</f>
        <v/>
      </c>
      <c r="J5525">
        <f>IF(F5525="","none",IF(G5525=1,"carte","multiple"))</f>
        <v/>
      </c>
    </row>
    <row r="5526">
      <c r="A5526" t="inlineStr">
        <is>
          <t>2022-09-25</t>
        </is>
      </c>
      <c r="B5526" t="inlineStr">
        <is>
          <t>12:17</t>
        </is>
      </c>
      <c r="C5526" t="n">
        <v>3064</v>
      </c>
      <c r="D5526" s="6" t="n">
        <v>64</v>
      </c>
      <c r="E5526" t="n">
        <v>42598</v>
      </c>
      <c r="F5526" s="6" t="n">
        <v>64</v>
      </c>
      <c r="G5526" t="n">
        <v>1</v>
      </c>
      <c r="H5526" s="6">
        <f>ROUND(G5526*F5526,2)</f>
        <v/>
      </c>
      <c r="I5526">
        <f>IF(ROUND(H5526-D5526,2)=0,1,0)</f>
        <v/>
      </c>
      <c r="J5526">
        <f>IF(F5526="","none",IF(G5526=1,"carte","multiple"))</f>
        <v/>
      </c>
    </row>
    <row r="5527">
      <c r="A5527" t="inlineStr">
        <is>
          <t>2022-09-25</t>
        </is>
      </c>
      <c r="B5527" t="inlineStr">
        <is>
          <t>12:17</t>
        </is>
      </c>
      <c r="C5527" t="n">
        <v>3064</v>
      </c>
      <c r="D5527" s="6" t="n">
        <v>7.6</v>
      </c>
      <c r="E5527" t="n">
        <v>42599</v>
      </c>
      <c r="F5527" s="6" t="n">
        <v>7.6</v>
      </c>
      <c r="G5527" t="n">
        <v>1</v>
      </c>
      <c r="H5527" s="6">
        <f>ROUND(G5527*F5527,2)</f>
        <v/>
      </c>
      <c r="I5527">
        <f>IF(ROUND(H5527-D5527,2)=0,1,0)</f>
        <v/>
      </c>
      <c r="J5527">
        <f>IF(F5527="","none",IF(G5527=1,"carte","multiple"))</f>
        <v/>
      </c>
    </row>
    <row r="5528">
      <c r="A5528" t="inlineStr">
        <is>
          <t>2022-09-25</t>
        </is>
      </c>
      <c r="B5528" t="inlineStr">
        <is>
          <t>12:48</t>
        </is>
      </c>
      <c r="C5528" t="n">
        <v>3064</v>
      </c>
      <c r="D5528" s="6" t="n">
        <v>29.9</v>
      </c>
      <c r="E5528" t="n">
        <v>42601</v>
      </c>
      <c r="F5528" s="6" t="n">
        <v>29.9</v>
      </c>
      <c r="G5528" t="n">
        <v>1</v>
      </c>
      <c r="H5528" s="6">
        <f>ROUND(G5528*F5528,2)</f>
        <v/>
      </c>
      <c r="I5528">
        <f>IF(ROUND(H5528-D5528,2)=0,1,0)</f>
        <v/>
      </c>
      <c r="J5528">
        <f>IF(F5528="","none",IF(G5528=1,"carte","multiple"))</f>
        <v/>
      </c>
    </row>
    <row r="5529">
      <c r="A5529" t="inlineStr">
        <is>
          <t>2022-09-25</t>
        </is>
      </c>
      <c r="B5529" t="inlineStr">
        <is>
          <t>12:49</t>
        </is>
      </c>
      <c r="C5529" t="n">
        <v>3064</v>
      </c>
      <c r="D5529" s="6" t="n">
        <v>46</v>
      </c>
      <c r="E5529" t="n">
        <v>42602</v>
      </c>
      <c r="F5529" s="6" t="n">
        <v>0.4</v>
      </c>
      <c r="G5529" t="n">
        <v>115</v>
      </c>
      <c r="H5529" s="6">
        <f>ROUND(G5529*F5529,2)</f>
        <v/>
      </c>
      <c r="I5529">
        <f>IF(ROUND(H5529-D5529,2)=0,1,0)</f>
        <v/>
      </c>
      <c r="J5529">
        <f>IF(F5529="","none",IF(G5529=1,"carte","multiple"))</f>
        <v/>
      </c>
    </row>
    <row r="5530">
      <c r="A5530" t="inlineStr">
        <is>
          <t>2022-09-25</t>
        </is>
      </c>
      <c r="B5530" t="inlineStr">
        <is>
          <t>12:50</t>
        </is>
      </c>
      <c r="C5530" t="n">
        <v>3064</v>
      </c>
      <c r="D5530" s="6" t="n">
        <v>15.9</v>
      </c>
      <c r="E5530" t="n">
        <v>42603</v>
      </c>
      <c r="F5530" s="6" t="n">
        <v>15.9</v>
      </c>
      <c r="G5530" t="n">
        <v>1</v>
      </c>
      <c r="H5530" s="6">
        <f>ROUND(G5530*F5530,2)</f>
        <v/>
      </c>
      <c r="I5530">
        <f>IF(ROUND(H5530-D5530,2)=0,1,0)</f>
        <v/>
      </c>
      <c r="J5530">
        <f>IF(F5530="","none",IF(G5530=1,"carte","multiple"))</f>
        <v/>
      </c>
    </row>
    <row r="5531">
      <c r="A5531" t="inlineStr">
        <is>
          <t>2022-09-25</t>
        </is>
      </c>
      <c r="B5531" t="inlineStr">
        <is>
          <t>18:07</t>
        </is>
      </c>
      <c r="C5531" t="n">
        <v>3064</v>
      </c>
      <c r="D5531" s="6" t="n">
        <v>29.9</v>
      </c>
      <c r="E5531" t="n">
        <v>42606</v>
      </c>
      <c r="F5531" s="6" t="n">
        <v>29.9</v>
      </c>
      <c r="G5531" t="n">
        <v>1</v>
      </c>
      <c r="H5531" s="6">
        <f>ROUND(G5531*F5531,2)</f>
        <v/>
      </c>
      <c r="I5531">
        <f>IF(ROUND(H5531-D5531,2)=0,1,0)</f>
        <v/>
      </c>
      <c r="J5531">
        <f>IF(F5531="","none",IF(G5531=1,"carte","multiple"))</f>
        <v/>
      </c>
    </row>
    <row r="5532">
      <c r="A5532" t="inlineStr">
        <is>
          <t>2022-09-25</t>
        </is>
      </c>
      <c r="B5532" t="inlineStr">
        <is>
          <t>19:06</t>
        </is>
      </c>
      <c r="C5532" t="n">
        <v>3064</v>
      </c>
      <c r="D5532" s="6" t="n">
        <v>64</v>
      </c>
      <c r="E5532" t="n">
        <v>42607</v>
      </c>
      <c r="F5532" s="6" t="n">
        <v>64</v>
      </c>
      <c r="G5532" t="n">
        <v>1</v>
      </c>
      <c r="H5532" s="6">
        <f>ROUND(G5532*F5532,2)</f>
        <v/>
      </c>
      <c r="I5532">
        <f>IF(ROUND(H5532-D5532,2)=0,1,0)</f>
        <v/>
      </c>
      <c r="J5532">
        <f>IF(F5532="","none",IF(G5532=1,"carte","multiple"))</f>
        <v/>
      </c>
    </row>
    <row r="5533">
      <c r="A5533" t="inlineStr">
        <is>
          <t>2022-09-25</t>
        </is>
      </c>
      <c r="B5533" t="inlineStr">
        <is>
          <t>19:06</t>
        </is>
      </c>
      <c r="C5533" t="n">
        <v>3064</v>
      </c>
      <c r="D5533" s="6" t="n">
        <v>7.9</v>
      </c>
      <c r="E5533" t="n">
        <v>42608</v>
      </c>
      <c r="F5533" s="6" t="n">
        <v>7.9</v>
      </c>
      <c r="G5533" t="n">
        <v>1</v>
      </c>
      <c r="H5533" s="6">
        <f>ROUND(G5533*F5533,2)</f>
        <v/>
      </c>
      <c r="I5533">
        <f>IF(ROUND(H5533-D5533,2)=0,1,0)</f>
        <v/>
      </c>
      <c r="J5533">
        <f>IF(F5533="","none",IF(G5533=1,"carte","multiple"))</f>
        <v/>
      </c>
    </row>
    <row r="5534">
      <c r="A5534" t="inlineStr">
        <is>
          <t>2022-09-25</t>
        </is>
      </c>
      <c r="B5534" t="inlineStr">
        <is>
          <t>19:06</t>
        </is>
      </c>
      <c r="C5534" t="n">
        <v>3064</v>
      </c>
      <c r="D5534" s="6" t="n">
        <v>7.2</v>
      </c>
      <c r="E5534" t="n">
        <v>42609</v>
      </c>
      <c r="F5534" s="6" t="n">
        <v>7.2</v>
      </c>
      <c r="G5534" t="n">
        <v>1</v>
      </c>
      <c r="H5534" s="6">
        <f>ROUND(G5534*F5534,2)</f>
        <v/>
      </c>
      <c r="I5534">
        <f>IF(ROUND(H5534-D5534,2)=0,1,0)</f>
        <v/>
      </c>
      <c r="J5534">
        <f>IF(F5534="","none",IF(G5534=1,"carte","multiple"))</f>
        <v/>
      </c>
    </row>
    <row r="5535">
      <c r="A5535" t="inlineStr">
        <is>
          <t>2022-09-25</t>
        </is>
      </c>
      <c r="B5535" t="inlineStr">
        <is>
          <t>19:20</t>
        </is>
      </c>
      <c r="C5535" t="n">
        <v>3064</v>
      </c>
      <c r="D5535" s="6" t="n">
        <v>2.2</v>
      </c>
      <c r="E5535" t="n">
        <v>42610</v>
      </c>
      <c r="F5535" s="6" t="n">
        <v>2.2</v>
      </c>
      <c r="G5535" t="n">
        <v>1</v>
      </c>
      <c r="H5535" s="6">
        <f>ROUND(G5535*F5535,2)</f>
        <v/>
      </c>
      <c r="I5535">
        <f>IF(ROUND(H5535-D5535,2)=0,1,0)</f>
        <v/>
      </c>
      <c r="J5535">
        <f>IF(F5535="","none",IF(G5535=1,"carte","multiple"))</f>
        <v/>
      </c>
    </row>
    <row r="5536">
      <c r="A5536" t="inlineStr">
        <is>
          <t>2022-09-25</t>
        </is>
      </c>
      <c r="B5536" t="inlineStr">
        <is>
          <t>19:20</t>
        </is>
      </c>
      <c r="C5536" t="n">
        <v>3064</v>
      </c>
      <c r="D5536" s="6" t="n">
        <v>1.8</v>
      </c>
      <c r="E5536" t="n">
        <v>42611</v>
      </c>
      <c r="F5536" s="6" t="n">
        <v>1.8</v>
      </c>
      <c r="G5536" t="n">
        <v>1</v>
      </c>
      <c r="H5536" s="6">
        <f>ROUND(G5536*F5536,2)</f>
        <v/>
      </c>
      <c r="I5536">
        <f>IF(ROUND(H5536-D5536,2)=0,1,0)</f>
        <v/>
      </c>
      <c r="J5536">
        <f>IF(F5536="","none",IF(G5536=1,"carte","multiple"))</f>
        <v/>
      </c>
    </row>
    <row r="5537">
      <c r="A5537" t="inlineStr">
        <is>
          <t>2022-09-25</t>
        </is>
      </c>
      <c r="B5537" t="inlineStr">
        <is>
          <t>19:20</t>
        </is>
      </c>
      <c r="C5537" t="n">
        <v>3064</v>
      </c>
      <c r="D5537" s="6" t="n">
        <v>3.9</v>
      </c>
      <c r="E5537" t="n">
        <v>42612</v>
      </c>
      <c r="F5537" s="6" t="n">
        <v>3.9</v>
      </c>
      <c r="G5537" t="n">
        <v>1</v>
      </c>
      <c r="H5537" s="6">
        <f>ROUND(G5537*F5537,2)</f>
        <v/>
      </c>
      <c r="I5537">
        <f>IF(ROUND(H5537-D5537,2)=0,1,0)</f>
        <v/>
      </c>
      <c r="J5537">
        <f>IF(F5537="","none",IF(G5537=1,"carte","multiple"))</f>
        <v/>
      </c>
    </row>
    <row r="5538">
      <c r="A5538" t="inlineStr">
        <is>
          <t>2022-09-25</t>
        </is>
      </c>
      <c r="B5538" t="inlineStr">
        <is>
          <t>19:20</t>
        </is>
      </c>
      <c r="C5538" t="n">
        <v>3064</v>
      </c>
      <c r="D5538" s="6" t="n">
        <v>57.2</v>
      </c>
      <c r="E5538" t="n">
        <v>42613</v>
      </c>
      <c r="F5538" s="6" t="n">
        <v>0.4</v>
      </c>
      <c r="G5538" t="n">
        <v>143</v>
      </c>
      <c r="H5538" s="6">
        <f>ROUND(G5538*F5538,2)</f>
        <v/>
      </c>
      <c r="I5538">
        <f>IF(ROUND(H5538-D5538,2)=0,1,0)</f>
        <v/>
      </c>
      <c r="J5538">
        <f>IF(F5538="","none",IF(G5538=1,"carte","multiple"))</f>
        <v/>
      </c>
    </row>
    <row r="5539">
      <c r="A5539" t="inlineStr">
        <is>
          <t>2022-09-25</t>
        </is>
      </c>
      <c r="B5539" t="inlineStr">
        <is>
          <t>19:20</t>
        </is>
      </c>
      <c r="C5539" t="n">
        <v>3064</v>
      </c>
      <c r="D5539" s="6" t="n">
        <v>21.8</v>
      </c>
      <c r="E5539" t="n">
        <v>42614</v>
      </c>
      <c r="F5539" s="6" t="n">
        <v>10.9</v>
      </c>
      <c r="G5539" t="n">
        <v>2</v>
      </c>
      <c r="H5539" s="6">
        <f>ROUND(G5539*F5539,2)</f>
        <v/>
      </c>
      <c r="I5539">
        <f>IF(ROUND(H5539-D5539,2)=0,1,0)</f>
        <v/>
      </c>
      <c r="J5539">
        <f>IF(F5539="","none",IF(G5539=1,"carte","multiple"))</f>
        <v/>
      </c>
    </row>
    <row r="5540">
      <c r="A5540" t="inlineStr">
        <is>
          <t>2022-09-25</t>
        </is>
      </c>
      <c r="B5540" t="inlineStr">
        <is>
          <t>19:20</t>
        </is>
      </c>
      <c r="C5540" t="n">
        <v>3064</v>
      </c>
      <c r="D5540" s="6" t="n">
        <v>12</v>
      </c>
      <c r="E5540" t="n">
        <v>42615</v>
      </c>
      <c r="F5540" s="6" t="n">
        <v>12</v>
      </c>
      <c r="G5540" t="n">
        <v>1</v>
      </c>
      <c r="H5540" s="6">
        <f>ROUND(G5540*F5540,2)</f>
        <v/>
      </c>
      <c r="I5540">
        <f>IF(ROUND(H5540-D5540,2)=0,1,0)</f>
        <v/>
      </c>
      <c r="J5540">
        <f>IF(F5540="","none",IF(G5540=1,"carte","multiple"))</f>
        <v/>
      </c>
    </row>
    <row r="5541">
      <c r="A5541" t="inlineStr">
        <is>
          <t>2022-09-25</t>
        </is>
      </c>
      <c r="B5541" t="inlineStr">
        <is>
          <t>19:50</t>
        </is>
      </c>
      <c r="C5541" t="n">
        <v>3064</v>
      </c>
      <c r="D5541" s="6" t="n">
        <v>2.2</v>
      </c>
      <c r="E5541" t="n">
        <v>42616</v>
      </c>
      <c r="F5541" s="6" t="n">
        <v>2.2</v>
      </c>
      <c r="G5541" t="n">
        <v>1</v>
      </c>
      <c r="H5541" s="6">
        <f>ROUND(G5541*F5541,2)</f>
        <v/>
      </c>
      <c r="I5541">
        <f>IF(ROUND(H5541-D5541,2)=0,1,0)</f>
        <v/>
      </c>
      <c r="J5541">
        <f>IF(F5541="","none",IF(G5541=1,"carte","multiple"))</f>
        <v/>
      </c>
    </row>
    <row r="5542">
      <c r="A5542" t="inlineStr">
        <is>
          <t>2022-09-25</t>
        </is>
      </c>
      <c r="B5542" t="inlineStr">
        <is>
          <t>19:50</t>
        </is>
      </c>
      <c r="C5542" t="n">
        <v>3064</v>
      </c>
      <c r="D5542" s="6" t="n">
        <v>9</v>
      </c>
      <c r="E5542" t="n">
        <v>42617</v>
      </c>
      <c r="F5542" s="6" t="n">
        <v>9</v>
      </c>
      <c r="G5542" t="n">
        <v>1</v>
      </c>
      <c r="H5542" s="6">
        <f>ROUND(G5542*F5542,2)</f>
        <v/>
      </c>
      <c r="I5542">
        <f>IF(ROUND(H5542-D5542,2)=0,1,0)</f>
        <v/>
      </c>
      <c r="J5542">
        <f>IF(F5542="","none",IF(G5542=1,"carte","multiple"))</f>
        <v/>
      </c>
    </row>
    <row r="5543">
      <c r="A5543" t="inlineStr">
        <is>
          <t>2022-09-25</t>
        </is>
      </c>
      <c r="B5543" t="inlineStr">
        <is>
          <t>19:50</t>
        </is>
      </c>
      <c r="C5543" t="n">
        <v>3064</v>
      </c>
      <c r="D5543" s="6" t="n">
        <v>6.9</v>
      </c>
      <c r="E5543" t="n">
        <v>42618</v>
      </c>
      <c r="F5543" s="6" t="n">
        <v>6.9</v>
      </c>
      <c r="G5543" t="n">
        <v>1</v>
      </c>
      <c r="H5543" s="6">
        <f>ROUND(G5543*F5543,2)</f>
        <v/>
      </c>
      <c r="I5543">
        <f>IF(ROUND(H5543-D5543,2)=0,1,0)</f>
        <v/>
      </c>
      <c r="J5543">
        <f>IF(F5543="","none",IF(G5543=1,"carte","multiple"))</f>
        <v/>
      </c>
    </row>
    <row r="5544">
      <c r="A5544" t="inlineStr">
        <is>
          <t>2022-09-25</t>
        </is>
      </c>
      <c r="B5544" t="inlineStr">
        <is>
          <t>19:50</t>
        </is>
      </c>
      <c r="C5544" t="n">
        <v>3064</v>
      </c>
      <c r="D5544" s="6" t="n">
        <v>15.6</v>
      </c>
      <c r="E5544" t="n">
        <v>42619</v>
      </c>
      <c r="F5544" s="6" t="n">
        <v>15.6</v>
      </c>
      <c r="G5544" t="n">
        <v>1</v>
      </c>
      <c r="H5544" s="6">
        <f>ROUND(G5544*F5544,2)</f>
        <v/>
      </c>
      <c r="I5544">
        <f>IF(ROUND(H5544-D5544,2)=0,1,0)</f>
        <v/>
      </c>
      <c r="J5544">
        <f>IF(F5544="","none",IF(G5544=1,"carte","multiple"))</f>
        <v/>
      </c>
    </row>
    <row r="5545">
      <c r="A5545" t="inlineStr">
        <is>
          <t>2022-09-25</t>
        </is>
      </c>
      <c r="B5545" t="inlineStr">
        <is>
          <t>19:50</t>
        </is>
      </c>
      <c r="C5545" t="n">
        <v>3064</v>
      </c>
      <c r="D5545" s="6" t="n">
        <v>38</v>
      </c>
      <c r="E5545" t="n">
        <v>42620</v>
      </c>
      <c r="F5545" s="6" t="n">
        <v>0.4</v>
      </c>
      <c r="G5545" t="n">
        <v>95</v>
      </c>
      <c r="H5545" s="6">
        <f>ROUND(G5545*F5545,2)</f>
        <v/>
      </c>
      <c r="I5545">
        <f>IF(ROUND(H5545-D5545,2)=0,1,0)</f>
        <v/>
      </c>
      <c r="J5545">
        <f>IF(F5545="","none",IF(G5545=1,"carte","multiple"))</f>
        <v/>
      </c>
    </row>
    <row r="5546">
      <c r="A5546" t="inlineStr">
        <is>
          <t>2022-09-25</t>
        </is>
      </c>
      <c r="B5546" t="inlineStr">
        <is>
          <t>19:50</t>
        </is>
      </c>
      <c r="C5546" t="n">
        <v>3064</v>
      </c>
      <c r="D5546" s="6" t="n">
        <v>8</v>
      </c>
      <c r="E5546" t="n">
        <v>42621</v>
      </c>
      <c r="F5546" s="6" t="n">
        <v>8</v>
      </c>
      <c r="G5546" t="n">
        <v>1</v>
      </c>
      <c r="H5546" s="6">
        <f>ROUND(G5546*F5546,2)</f>
        <v/>
      </c>
      <c r="I5546">
        <f>IF(ROUND(H5546-D5546,2)=0,1,0)</f>
        <v/>
      </c>
      <c r="J5546">
        <f>IF(F5546="","none",IF(G5546=1,"carte","multiple"))</f>
        <v/>
      </c>
    </row>
    <row r="5547">
      <c r="A5547" t="inlineStr">
        <is>
          <t>2022-09-25</t>
        </is>
      </c>
      <c r="B5547" t="inlineStr">
        <is>
          <t>19:50</t>
        </is>
      </c>
      <c r="C5547" t="n">
        <v>3064</v>
      </c>
      <c r="D5547" s="6" t="n">
        <v>32</v>
      </c>
      <c r="E5547" t="n">
        <v>42622</v>
      </c>
      <c r="F5547" s="6" t="n">
        <v>32</v>
      </c>
      <c r="G5547" t="n">
        <v>1</v>
      </c>
      <c r="H5547" s="6">
        <f>ROUND(G5547*F5547,2)</f>
        <v/>
      </c>
      <c r="I5547">
        <f>IF(ROUND(H5547-D5547,2)=0,1,0)</f>
        <v/>
      </c>
      <c r="J5547">
        <f>IF(F5547="","none",IF(G5547=1,"carte","multiple"))</f>
        <v/>
      </c>
    </row>
    <row r="5548">
      <c r="A5548" t="inlineStr">
        <is>
          <t>2022-09-25</t>
        </is>
      </c>
      <c r="B5548" t="inlineStr">
        <is>
          <t>19:50</t>
        </is>
      </c>
      <c r="C5548" t="n">
        <v>3064</v>
      </c>
      <c r="D5548" s="6" t="n">
        <v>15.9</v>
      </c>
      <c r="E5548" t="n">
        <v>42623</v>
      </c>
      <c r="F5548" s="6" t="n">
        <v>15.9</v>
      </c>
      <c r="G5548" t="n">
        <v>1</v>
      </c>
      <c r="H5548" s="6">
        <f>ROUND(G5548*F5548,2)</f>
        <v/>
      </c>
      <c r="I5548">
        <f>IF(ROUND(H5548-D5548,2)=0,1,0)</f>
        <v/>
      </c>
      <c r="J5548">
        <f>IF(F5548="","none",IF(G5548=1,"carte","multiple"))</f>
        <v/>
      </c>
    </row>
    <row r="5549">
      <c r="A5549" t="inlineStr">
        <is>
          <t>2022-09-25</t>
        </is>
      </c>
      <c r="B5549" t="inlineStr">
        <is>
          <t>19:50</t>
        </is>
      </c>
      <c r="C5549" t="n">
        <v>3064</v>
      </c>
      <c r="D5549" s="6" t="n">
        <v>19.6</v>
      </c>
      <c r="E5549" t="n">
        <v>42624</v>
      </c>
      <c r="F5549" s="6" t="n">
        <v>0.4</v>
      </c>
      <c r="G5549" t="n">
        <v>49</v>
      </c>
      <c r="H5549" s="6">
        <f>ROUND(G5549*F5549,2)</f>
        <v/>
      </c>
      <c r="I5549">
        <f>IF(ROUND(H5549-D5549,2)=0,1,0)</f>
        <v/>
      </c>
      <c r="J5549">
        <f>IF(F5549="","none",IF(G5549=1,"carte","multiple"))</f>
        <v/>
      </c>
    </row>
    <row r="5550">
      <c r="A5550" t="inlineStr">
        <is>
          <t>2022-09-25</t>
        </is>
      </c>
      <c r="B5550" t="inlineStr">
        <is>
          <t>19:50</t>
        </is>
      </c>
      <c r="C5550" t="n">
        <v>3064</v>
      </c>
      <c r="D5550" s="6" t="n">
        <v>10.4</v>
      </c>
      <c r="E5550" t="n">
        <v>42625</v>
      </c>
      <c r="F5550" s="6" t="n">
        <v>0.4</v>
      </c>
      <c r="G5550" t="n">
        <v>26</v>
      </c>
      <c r="H5550" s="6">
        <f>ROUND(G5550*F5550,2)</f>
        <v/>
      </c>
      <c r="I5550">
        <f>IF(ROUND(H5550-D5550,2)=0,1,0)</f>
        <v/>
      </c>
      <c r="J5550">
        <f>IF(F5550="","none",IF(G5550=1,"carte","multiple"))</f>
        <v/>
      </c>
    </row>
    <row r="5551">
      <c r="A5551" t="inlineStr">
        <is>
          <t>2022-09-25</t>
        </is>
      </c>
      <c r="B5551" t="inlineStr">
        <is>
          <t>19:50</t>
        </is>
      </c>
      <c r="C5551" t="n">
        <v>3064</v>
      </c>
      <c r="D5551" s="6" t="n">
        <v>3.8</v>
      </c>
      <c r="E5551" t="n">
        <v>42626</v>
      </c>
      <c r="F5551" s="6" t="n">
        <v>3.8</v>
      </c>
      <c r="G5551" t="n">
        <v>1</v>
      </c>
      <c r="H5551" s="6">
        <f>ROUND(G5551*F5551,2)</f>
        <v/>
      </c>
      <c r="I5551">
        <f>IF(ROUND(H5551-D5551,2)=0,1,0)</f>
        <v/>
      </c>
      <c r="J5551">
        <f>IF(F5551="","none",IF(G5551=1,"carte","multiple"))</f>
        <v/>
      </c>
    </row>
    <row r="5552">
      <c r="A5552" t="inlineStr">
        <is>
          <t>2022-09-28</t>
        </is>
      </c>
      <c r="B5552" t="inlineStr">
        <is>
          <t>11:24</t>
        </is>
      </c>
      <c r="C5552" t="n">
        <v>3065</v>
      </c>
      <c r="D5552" s="6" t="n">
        <v>7.2</v>
      </c>
      <c r="E5552" t="n">
        <v>42629</v>
      </c>
      <c r="F5552" s="6" t="n">
        <v>7.2</v>
      </c>
      <c r="G5552" t="n">
        <v>1</v>
      </c>
      <c r="H5552" s="6">
        <f>ROUND(G5552*F5552,2)</f>
        <v/>
      </c>
      <c r="I5552">
        <f>IF(ROUND(H5552-D5552,2)=0,1,0)</f>
        <v/>
      </c>
      <c r="J5552">
        <f>IF(F5552="","none",IF(G5552=1,"carte","multiple"))</f>
        <v/>
      </c>
    </row>
    <row r="5553">
      <c r="A5553" t="inlineStr">
        <is>
          <t>2022-09-28</t>
        </is>
      </c>
      <c r="B5553" t="inlineStr">
        <is>
          <t>11:24</t>
        </is>
      </c>
      <c r="C5553" t="n">
        <v>3065</v>
      </c>
      <c r="D5553" s="6" t="n">
        <v>17.6</v>
      </c>
      <c r="E5553" t="n">
        <v>42630</v>
      </c>
      <c r="F5553" s="6" t="n">
        <v>17.6</v>
      </c>
      <c r="G5553" t="n">
        <v>1</v>
      </c>
      <c r="H5553" s="6">
        <f>ROUND(G5553*F5553,2)</f>
        <v/>
      </c>
      <c r="I5553">
        <f>IF(ROUND(H5553-D5553,2)=0,1,0)</f>
        <v/>
      </c>
      <c r="J5553">
        <f>IF(F5553="","none",IF(G5553=1,"carte","multiple"))</f>
        <v/>
      </c>
    </row>
    <row r="5554">
      <c r="A5554" t="inlineStr">
        <is>
          <t>2022-09-28</t>
        </is>
      </c>
      <c r="B5554" t="inlineStr">
        <is>
          <t>11:31</t>
        </is>
      </c>
      <c r="C5554" t="n">
        <v>3065</v>
      </c>
      <c r="D5554" s="6" t="n">
        <v>2.2</v>
      </c>
      <c r="E5554" t="n">
        <v>42631</v>
      </c>
      <c r="F5554" s="6" t="n">
        <v>2.2</v>
      </c>
      <c r="G5554" t="n">
        <v>1</v>
      </c>
      <c r="H5554" s="6">
        <f>ROUND(G5554*F5554,2)</f>
        <v/>
      </c>
      <c r="I5554">
        <f>IF(ROUND(H5554-D5554,2)=0,1,0)</f>
        <v/>
      </c>
      <c r="J5554">
        <f>IF(F5554="","none",IF(G5554=1,"carte","multiple"))</f>
        <v/>
      </c>
    </row>
    <row r="5555">
      <c r="A5555" t="inlineStr">
        <is>
          <t>2022-09-28</t>
        </is>
      </c>
      <c r="B5555" t="inlineStr">
        <is>
          <t>11:31</t>
        </is>
      </c>
      <c r="C5555" t="n">
        <v>3065</v>
      </c>
      <c r="D5555" s="6" t="n">
        <v>19</v>
      </c>
      <c r="E5555" t="n">
        <v>42632</v>
      </c>
      <c r="F5555" s="6" t="n">
        <v>19</v>
      </c>
      <c r="G5555" t="n">
        <v>1</v>
      </c>
      <c r="H5555" s="6">
        <f>ROUND(G5555*F5555,2)</f>
        <v/>
      </c>
      <c r="I5555">
        <f>IF(ROUND(H5555-D5555,2)=0,1,0)</f>
        <v/>
      </c>
      <c r="J5555">
        <f>IF(F5555="","none",IF(G5555=1,"carte","multiple"))</f>
        <v/>
      </c>
    </row>
    <row r="5556">
      <c r="A5556" t="inlineStr">
        <is>
          <t>2022-09-28</t>
        </is>
      </c>
      <c r="B5556" t="inlineStr">
        <is>
          <t>11:31</t>
        </is>
      </c>
      <c r="C5556" t="n">
        <v>3065</v>
      </c>
      <c r="D5556" s="6" t="n">
        <v>28.6</v>
      </c>
      <c r="E5556" t="n">
        <v>42633</v>
      </c>
      <c r="F5556" s="6" t="n">
        <v>28.6</v>
      </c>
      <c r="G5556" t="n">
        <v>1</v>
      </c>
      <c r="H5556" s="6">
        <f>ROUND(G5556*F5556,2)</f>
        <v/>
      </c>
      <c r="I5556">
        <f>IF(ROUND(H5556-D5556,2)=0,1,0)</f>
        <v/>
      </c>
      <c r="J5556">
        <f>IF(F5556="","none",IF(G5556=1,"carte","multiple"))</f>
        <v/>
      </c>
    </row>
    <row r="5557">
      <c r="A5557" t="inlineStr">
        <is>
          <t>2022-09-28</t>
        </is>
      </c>
      <c r="B5557" t="inlineStr">
        <is>
          <t>11:31</t>
        </is>
      </c>
      <c r="C5557" t="n">
        <v>3065</v>
      </c>
      <c r="D5557" s="6" t="n">
        <v>16.9</v>
      </c>
      <c r="E5557" t="n">
        <v>42634</v>
      </c>
      <c r="F5557" s="6" t="n">
        <v>16.9</v>
      </c>
      <c r="G5557" t="n">
        <v>1</v>
      </c>
      <c r="H5557" s="6">
        <f>ROUND(G5557*F5557,2)</f>
        <v/>
      </c>
      <c r="I5557">
        <f>IF(ROUND(H5557-D5557,2)=0,1,0)</f>
        <v/>
      </c>
      <c r="J5557">
        <f>IF(F5557="","none",IF(G5557=1,"carte","multiple"))</f>
        <v/>
      </c>
    </row>
    <row r="5558">
      <c r="A5558" t="inlineStr">
        <is>
          <t>2022-09-28</t>
        </is>
      </c>
      <c r="B5558" t="inlineStr">
        <is>
          <t>11:31</t>
        </is>
      </c>
      <c r="C5558" t="n">
        <v>3065</v>
      </c>
      <c r="D5558" s="6" t="n">
        <v>3.4</v>
      </c>
      <c r="E5558" t="n">
        <v>42635</v>
      </c>
      <c r="F5558" s="6" t="n">
        <v>3.4</v>
      </c>
      <c r="G5558" t="n">
        <v>1</v>
      </c>
      <c r="H5558" s="6">
        <f>ROUND(G5558*F5558,2)</f>
        <v/>
      </c>
      <c r="I5558">
        <f>IF(ROUND(H5558-D5558,2)=0,1,0)</f>
        <v/>
      </c>
      <c r="J5558">
        <f>IF(F5558="","none",IF(G5558=1,"carte","multiple"))</f>
        <v/>
      </c>
    </row>
    <row r="5559">
      <c r="A5559" t="inlineStr">
        <is>
          <t>2022-09-28</t>
        </is>
      </c>
      <c r="B5559" t="inlineStr">
        <is>
          <t>11:31</t>
        </is>
      </c>
      <c r="C5559" t="n">
        <v>3065</v>
      </c>
      <c r="D5559" s="6" t="n">
        <v>7.8</v>
      </c>
      <c r="E5559" t="n">
        <v>42636</v>
      </c>
      <c r="F5559" s="6" t="n">
        <v>7.8</v>
      </c>
      <c r="G5559" t="n">
        <v>1</v>
      </c>
      <c r="H5559" s="6">
        <f>ROUND(G5559*F5559,2)</f>
        <v/>
      </c>
      <c r="I5559">
        <f>IF(ROUND(H5559-D5559,2)=0,1,0)</f>
        <v/>
      </c>
      <c r="J5559">
        <f>IF(F5559="","none",IF(G5559=1,"carte","multiple"))</f>
        <v/>
      </c>
    </row>
    <row r="5560">
      <c r="A5560" t="inlineStr">
        <is>
          <t>2022-09-28</t>
        </is>
      </c>
      <c r="B5560" t="inlineStr">
        <is>
          <t>12:55</t>
        </is>
      </c>
      <c r="C5560" t="n">
        <v>3065</v>
      </c>
      <c r="D5560" s="6" t="n">
        <v>4.4</v>
      </c>
      <c r="E5560" t="n">
        <v>42638</v>
      </c>
      <c r="F5560" s="6" t="n">
        <v>0.4</v>
      </c>
      <c r="G5560" t="n">
        <v>11</v>
      </c>
      <c r="H5560" s="6">
        <f>ROUND(G5560*F5560,2)</f>
        <v/>
      </c>
      <c r="I5560">
        <f>IF(ROUND(H5560-D5560,2)=0,1,0)</f>
        <v/>
      </c>
      <c r="J5560">
        <f>IF(F5560="","none",IF(G5560=1,"carte","multiple"))</f>
        <v/>
      </c>
    </row>
    <row r="5561">
      <c r="A5561" t="inlineStr">
        <is>
          <t>2022-09-28</t>
        </is>
      </c>
      <c r="B5561" t="inlineStr">
        <is>
          <t>12:55</t>
        </is>
      </c>
      <c r="C5561" t="n">
        <v>3065</v>
      </c>
      <c r="D5561" s="6" t="n">
        <v>27.8</v>
      </c>
      <c r="E5561" t="n">
        <v>42639</v>
      </c>
      <c r="F5561" s="6" t="n">
        <v>27.8</v>
      </c>
      <c r="G5561" t="n">
        <v>1</v>
      </c>
      <c r="H5561" s="6">
        <f>ROUND(G5561*F5561,2)</f>
        <v/>
      </c>
      <c r="I5561">
        <f>IF(ROUND(H5561-D5561,2)=0,1,0)</f>
        <v/>
      </c>
      <c r="J5561">
        <f>IF(F5561="","none",IF(G5561=1,"carte","multiple"))</f>
        <v/>
      </c>
    </row>
    <row r="5562">
      <c r="A5562" t="inlineStr">
        <is>
          <t>2022-09-28</t>
        </is>
      </c>
      <c r="B5562" t="inlineStr">
        <is>
          <t>12:55</t>
        </is>
      </c>
      <c r="C5562" t="n">
        <v>3065</v>
      </c>
      <c r="D5562" s="6" t="n">
        <v>19.9</v>
      </c>
      <c r="E5562" t="n">
        <v>42640</v>
      </c>
      <c r="F5562" s="6" t="n">
        <v>19.9</v>
      </c>
      <c r="G5562" t="n">
        <v>1</v>
      </c>
      <c r="H5562" s="6">
        <f>ROUND(G5562*F5562,2)</f>
        <v/>
      </c>
      <c r="I5562">
        <f>IF(ROUND(H5562-D5562,2)=0,1,0)</f>
        <v/>
      </c>
      <c r="J5562">
        <f>IF(F5562="","none",IF(G5562=1,"carte","multiple"))</f>
        <v/>
      </c>
    </row>
    <row r="5563">
      <c r="A5563" t="inlineStr">
        <is>
          <t>2022-09-28</t>
        </is>
      </c>
      <c r="B5563" t="inlineStr">
        <is>
          <t>12:55</t>
        </is>
      </c>
      <c r="C5563" t="n">
        <v>3065</v>
      </c>
      <c r="D5563" s="6" t="n">
        <v>5.9</v>
      </c>
      <c r="E5563" t="n">
        <v>42641</v>
      </c>
      <c r="F5563" s="6" t="n">
        <v>5.9</v>
      </c>
      <c r="G5563" t="n">
        <v>1</v>
      </c>
      <c r="H5563" s="6">
        <f>ROUND(G5563*F5563,2)</f>
        <v/>
      </c>
      <c r="I5563">
        <f>IF(ROUND(H5563-D5563,2)=0,1,0)</f>
        <v/>
      </c>
      <c r="J5563">
        <f>IF(F5563="","none",IF(G5563=1,"carte","multiple"))</f>
        <v/>
      </c>
    </row>
    <row r="5564">
      <c r="A5564" t="inlineStr">
        <is>
          <t>2022-09-28</t>
        </is>
      </c>
      <c r="B5564" t="inlineStr">
        <is>
          <t>12:55</t>
        </is>
      </c>
      <c r="C5564" t="n">
        <v>3065</v>
      </c>
      <c r="D5564" s="6" t="n">
        <v>7.8</v>
      </c>
      <c r="E5564" t="n">
        <v>42642</v>
      </c>
      <c r="F5564" s="6" t="n">
        <v>7.8</v>
      </c>
      <c r="G5564" t="n">
        <v>1</v>
      </c>
      <c r="H5564" s="6">
        <f>ROUND(G5564*F5564,2)</f>
        <v/>
      </c>
      <c r="I5564">
        <f>IF(ROUND(H5564-D5564,2)=0,1,0)</f>
        <v/>
      </c>
      <c r="J5564">
        <f>IF(F5564="","none",IF(G5564=1,"carte","multiple"))</f>
        <v/>
      </c>
    </row>
    <row r="5565">
      <c r="A5565" t="inlineStr">
        <is>
          <t>2022-09-28</t>
        </is>
      </c>
      <c r="B5565" t="inlineStr">
        <is>
          <t>12:55</t>
        </is>
      </c>
      <c r="C5565" t="n">
        <v>3065</v>
      </c>
      <c r="D5565" s="6" t="n">
        <v>11.7</v>
      </c>
      <c r="E5565" t="n">
        <v>42643</v>
      </c>
      <c r="F5565" s="6" t="n">
        <v>0.9</v>
      </c>
      <c r="G5565" t="n">
        <v>13</v>
      </c>
      <c r="H5565" s="6">
        <f>ROUND(G5565*F5565,2)</f>
        <v/>
      </c>
      <c r="I5565">
        <f>IF(ROUND(H5565-D5565,2)=0,1,0)</f>
        <v/>
      </c>
      <c r="J5565">
        <f>IF(F5565="","none",IF(G5565=1,"carte","multiple"))</f>
        <v/>
      </c>
    </row>
    <row r="5566">
      <c r="A5566" t="inlineStr">
        <is>
          <t>2022-09-28</t>
        </is>
      </c>
      <c r="B5566" t="inlineStr">
        <is>
          <t>18:16</t>
        </is>
      </c>
      <c r="C5566" t="n">
        <v>3065</v>
      </c>
      <c r="D5566" s="6" t="n">
        <v>29.9</v>
      </c>
      <c r="E5566" t="n">
        <v>42644</v>
      </c>
      <c r="F5566" s="6" t="n">
        <v>29.9</v>
      </c>
      <c r="G5566" t="n">
        <v>1</v>
      </c>
      <c r="H5566" s="6">
        <f>ROUND(G5566*F5566,2)</f>
        <v/>
      </c>
      <c r="I5566">
        <f>IF(ROUND(H5566-D5566,2)=0,1,0)</f>
        <v/>
      </c>
      <c r="J5566">
        <f>IF(F5566="","none",IF(G5566=1,"carte","multiple"))</f>
        <v/>
      </c>
    </row>
    <row r="5567">
      <c r="A5567" t="inlineStr">
        <is>
          <t>2022-09-28</t>
        </is>
      </c>
      <c r="B5567" t="inlineStr">
        <is>
          <t>18:16</t>
        </is>
      </c>
      <c r="C5567" t="n">
        <v>3065</v>
      </c>
      <c r="D5567" s="6" t="n">
        <v>3.2</v>
      </c>
      <c r="E5567" t="n">
        <v>42645</v>
      </c>
      <c r="F5567" s="6" t="n">
        <v>3.2</v>
      </c>
      <c r="G5567" t="n">
        <v>1</v>
      </c>
      <c r="H5567" s="6">
        <f>ROUND(G5567*F5567,2)</f>
        <v/>
      </c>
      <c r="I5567">
        <f>IF(ROUND(H5567-D5567,2)=0,1,0)</f>
        <v/>
      </c>
      <c r="J5567">
        <f>IF(F5567="","none",IF(G5567=1,"carte","multiple"))</f>
        <v/>
      </c>
    </row>
    <row r="5568">
      <c r="A5568" t="inlineStr">
        <is>
          <t>2022-09-28</t>
        </is>
      </c>
      <c r="B5568" t="inlineStr">
        <is>
          <t>18:42</t>
        </is>
      </c>
      <c r="C5568" t="n">
        <v>3065</v>
      </c>
      <c r="D5568" s="6" t="n">
        <v>3.9</v>
      </c>
      <c r="E5568" t="n">
        <v>42646</v>
      </c>
      <c r="F5568" s="6" t="n">
        <v>3.9</v>
      </c>
      <c r="G5568" t="n">
        <v>1</v>
      </c>
      <c r="H5568" s="6">
        <f>ROUND(G5568*F5568,2)</f>
        <v/>
      </c>
      <c r="I5568">
        <f>IF(ROUND(H5568-D5568,2)=0,1,0)</f>
        <v/>
      </c>
      <c r="J5568">
        <f>IF(F5568="","none",IF(G5568=1,"carte","multiple"))</f>
        <v/>
      </c>
    </row>
    <row r="5569">
      <c r="A5569" t="inlineStr">
        <is>
          <t>2022-09-28</t>
        </is>
      </c>
      <c r="B5569" t="inlineStr">
        <is>
          <t>18:42</t>
        </is>
      </c>
      <c r="C5569" t="n">
        <v>3065</v>
      </c>
      <c r="D5569" s="6" t="n">
        <v>2</v>
      </c>
      <c r="E5569" t="n">
        <v>42647</v>
      </c>
      <c r="F5569" s="6" t="n">
        <v>2</v>
      </c>
      <c r="G5569" t="n">
        <v>1</v>
      </c>
      <c r="H5569" s="6">
        <f>ROUND(G5569*F5569,2)</f>
        <v/>
      </c>
      <c r="I5569">
        <f>IF(ROUND(H5569-D5569,2)=0,1,0)</f>
        <v/>
      </c>
      <c r="J5569">
        <f>IF(F5569="","none",IF(G5569=1,"carte","multiple"))</f>
        <v/>
      </c>
    </row>
    <row r="5570">
      <c r="A5570" t="inlineStr">
        <is>
          <t>2022-09-28</t>
        </is>
      </c>
      <c r="B5570" t="inlineStr">
        <is>
          <t>18:42</t>
        </is>
      </c>
      <c r="C5570" t="n">
        <v>3065</v>
      </c>
      <c r="D5570" s="6" t="n">
        <v>4</v>
      </c>
      <c r="E5570" t="n">
        <v>42648</v>
      </c>
      <c r="F5570" s="6" t="n">
        <v>4</v>
      </c>
      <c r="G5570" t="n">
        <v>1</v>
      </c>
      <c r="H5570" s="6">
        <f>ROUND(G5570*F5570,2)</f>
        <v/>
      </c>
      <c r="I5570">
        <f>IF(ROUND(H5570-D5570,2)=0,1,0)</f>
        <v/>
      </c>
      <c r="J5570">
        <f>IF(F5570="","none",IF(G5570=1,"carte","multiple"))</f>
        <v/>
      </c>
    </row>
    <row r="5571">
      <c r="A5571" t="inlineStr">
        <is>
          <t>2022-09-28</t>
        </is>
      </c>
      <c r="B5571" t="inlineStr">
        <is>
          <t>18:42</t>
        </is>
      </c>
      <c r="C5571" t="n">
        <v>3065</v>
      </c>
      <c r="D5571" s="6" t="n">
        <v>15.9</v>
      </c>
      <c r="E5571" t="n">
        <v>42649</v>
      </c>
      <c r="F5571" s="6" t="n">
        <v>15.9</v>
      </c>
      <c r="G5571" t="n">
        <v>1</v>
      </c>
      <c r="H5571" s="6">
        <f>ROUND(G5571*F5571,2)</f>
        <v/>
      </c>
      <c r="I5571">
        <f>IF(ROUND(H5571-D5571,2)=0,1,0)</f>
        <v/>
      </c>
      <c r="J5571">
        <f>IF(F5571="","none",IF(G5571=1,"carte","multiple"))</f>
        <v/>
      </c>
    </row>
    <row r="5572">
      <c r="A5572" t="inlineStr">
        <is>
          <t>2022-09-28</t>
        </is>
      </c>
      <c r="B5572" t="inlineStr">
        <is>
          <t>18:42</t>
        </is>
      </c>
      <c r="C5572" t="n">
        <v>3065</v>
      </c>
      <c r="D5572" s="6" t="n">
        <v>17.6</v>
      </c>
      <c r="E5572" t="n">
        <v>42650</v>
      </c>
      <c r="F5572" s="6" t="n">
        <v>17.6</v>
      </c>
      <c r="G5572" t="n">
        <v>1</v>
      </c>
      <c r="H5572" s="6">
        <f>ROUND(G5572*F5572,2)</f>
        <v/>
      </c>
      <c r="I5572">
        <f>IF(ROUND(H5572-D5572,2)=0,1,0)</f>
        <v/>
      </c>
      <c r="J5572">
        <f>IF(F5572="","none",IF(G5572=1,"carte","multiple"))</f>
        <v/>
      </c>
    </row>
    <row r="5573">
      <c r="A5573" t="inlineStr">
        <is>
          <t>2022-09-28</t>
        </is>
      </c>
      <c r="B5573" t="inlineStr">
        <is>
          <t>18:42</t>
        </is>
      </c>
      <c r="C5573" t="n">
        <v>3065</v>
      </c>
      <c r="D5573" s="6" t="n">
        <v>3.9</v>
      </c>
      <c r="E5573" t="n">
        <v>42651</v>
      </c>
      <c r="F5573" s="6" t="n">
        <v>3.9</v>
      </c>
      <c r="G5573" t="n">
        <v>1</v>
      </c>
      <c r="H5573" s="6">
        <f>ROUND(G5573*F5573,2)</f>
        <v/>
      </c>
      <c r="I5573">
        <f>IF(ROUND(H5573-D5573,2)=0,1,0)</f>
        <v/>
      </c>
      <c r="J5573">
        <f>IF(F5573="","none",IF(G5573=1,"carte","multiple"))</f>
        <v/>
      </c>
    </row>
    <row r="5574">
      <c r="A5574" t="inlineStr">
        <is>
          <t>2022-09-28</t>
        </is>
      </c>
      <c r="B5574" t="inlineStr">
        <is>
          <t>18:42</t>
        </is>
      </c>
      <c r="C5574" t="n">
        <v>3065</v>
      </c>
      <c r="D5574" s="6" t="n">
        <v>3.9</v>
      </c>
      <c r="E5574" t="n">
        <v>42652</v>
      </c>
      <c r="F5574" s="6" t="n">
        <v>3.9</v>
      </c>
      <c r="G5574" t="n">
        <v>1</v>
      </c>
      <c r="H5574" s="6">
        <f>ROUND(G5574*F5574,2)</f>
        <v/>
      </c>
      <c r="I5574">
        <f>IF(ROUND(H5574-D5574,2)=0,1,0)</f>
        <v/>
      </c>
      <c r="J5574">
        <f>IF(F5574="","none",IF(G5574=1,"carte","multiple"))</f>
        <v/>
      </c>
    </row>
    <row r="5575">
      <c r="A5575" t="inlineStr">
        <is>
          <t>2022-09-28</t>
        </is>
      </c>
      <c r="B5575" t="inlineStr">
        <is>
          <t>19:37</t>
        </is>
      </c>
      <c r="C5575" t="n">
        <v>3065</v>
      </c>
      <c r="D5575" s="6" t="n">
        <v>2.9</v>
      </c>
      <c r="E5575" t="n">
        <v>42653</v>
      </c>
      <c r="F5575" s="6" t="n">
        <v>2.9</v>
      </c>
      <c r="G5575" t="n">
        <v>1</v>
      </c>
      <c r="H5575" s="6">
        <f>ROUND(G5575*F5575,2)</f>
        <v/>
      </c>
      <c r="I5575">
        <f>IF(ROUND(H5575-D5575,2)=0,1,0)</f>
        <v/>
      </c>
      <c r="J5575">
        <f>IF(F5575="","none",IF(G5575=1,"carte","multiple"))</f>
        <v/>
      </c>
    </row>
    <row r="5576">
      <c r="A5576" t="inlineStr">
        <is>
          <t>2022-09-28</t>
        </is>
      </c>
      <c r="B5576" t="inlineStr">
        <is>
          <t>19:37</t>
        </is>
      </c>
      <c r="C5576" t="n">
        <v>3065</v>
      </c>
      <c r="D5576" s="6" t="n">
        <v>3.3</v>
      </c>
      <c r="E5576" t="n">
        <v>42654</v>
      </c>
      <c r="F5576" s="6" t="n">
        <v>3.3</v>
      </c>
      <c r="G5576" t="n">
        <v>1</v>
      </c>
      <c r="H5576" s="6">
        <f>ROUND(G5576*F5576,2)</f>
        <v/>
      </c>
      <c r="I5576">
        <f>IF(ROUND(H5576-D5576,2)=0,1,0)</f>
        <v/>
      </c>
      <c r="J5576">
        <f>IF(F5576="","none",IF(G5576=1,"carte","multiple"))</f>
        <v/>
      </c>
    </row>
    <row r="5577">
      <c r="A5577" t="inlineStr">
        <is>
          <t>2022-09-28</t>
        </is>
      </c>
      <c r="B5577" t="inlineStr">
        <is>
          <t>19:37</t>
        </is>
      </c>
      <c r="C5577" t="n">
        <v>3065</v>
      </c>
      <c r="D5577" s="6" t="n">
        <v>14.9</v>
      </c>
      <c r="E5577" t="n">
        <v>42655</v>
      </c>
      <c r="F5577" s="6" t="n">
        <v>14.9</v>
      </c>
      <c r="G5577" t="n">
        <v>1</v>
      </c>
      <c r="H5577" s="6">
        <f>ROUND(G5577*F5577,2)</f>
        <v/>
      </c>
      <c r="I5577">
        <f>IF(ROUND(H5577-D5577,2)=0,1,0)</f>
        <v/>
      </c>
      <c r="J5577">
        <f>IF(F5577="","none",IF(G5577=1,"carte","multiple"))</f>
        <v/>
      </c>
    </row>
    <row r="5578">
      <c r="A5578" t="inlineStr">
        <is>
          <t>2022-09-28</t>
        </is>
      </c>
      <c r="B5578" t="inlineStr">
        <is>
          <t>19:37</t>
        </is>
      </c>
      <c r="C5578" t="n">
        <v>3065</v>
      </c>
      <c r="D5578" s="6" t="n">
        <v>2.9</v>
      </c>
      <c r="E5578" t="n">
        <v>42656</v>
      </c>
      <c r="F5578" s="6" t="n">
        <v>2.9</v>
      </c>
      <c r="G5578" t="n">
        <v>1</v>
      </c>
      <c r="H5578" s="6">
        <f>ROUND(G5578*F5578,2)</f>
        <v/>
      </c>
      <c r="I5578">
        <f>IF(ROUND(H5578-D5578,2)=0,1,0)</f>
        <v/>
      </c>
      <c r="J5578">
        <f>IF(F5578="","none",IF(G5578=1,"carte","multiple"))</f>
        <v/>
      </c>
    </row>
    <row r="5579">
      <c r="A5579" t="inlineStr">
        <is>
          <t>2022-09-28</t>
        </is>
      </c>
      <c r="B5579" t="inlineStr">
        <is>
          <t>19:37</t>
        </is>
      </c>
      <c r="C5579" t="n">
        <v>3065</v>
      </c>
      <c r="D5579" s="6" t="n">
        <v>17.6</v>
      </c>
      <c r="E5579" t="n">
        <v>42657</v>
      </c>
      <c r="F5579" s="6" t="n">
        <v>17.6</v>
      </c>
      <c r="G5579" t="n">
        <v>1</v>
      </c>
      <c r="H5579" s="6">
        <f>ROUND(G5579*F5579,2)</f>
        <v/>
      </c>
      <c r="I5579">
        <f>IF(ROUND(H5579-D5579,2)=0,1,0)</f>
        <v/>
      </c>
      <c r="J5579">
        <f>IF(F5579="","none",IF(G5579=1,"carte","multiple"))</f>
        <v/>
      </c>
    </row>
    <row r="5580">
      <c r="A5580" t="inlineStr">
        <is>
          <t>2022-09-28</t>
        </is>
      </c>
      <c r="B5580" t="inlineStr">
        <is>
          <t>19:37</t>
        </is>
      </c>
      <c r="C5580" t="n">
        <v>3065</v>
      </c>
      <c r="D5580" s="6" t="n">
        <v>28.6</v>
      </c>
      <c r="E5580" t="n">
        <v>42658</v>
      </c>
      <c r="F5580" s="6" t="n">
        <v>28.6</v>
      </c>
      <c r="G5580" t="n">
        <v>1</v>
      </c>
      <c r="H5580" s="6">
        <f>ROUND(G5580*F5580,2)</f>
        <v/>
      </c>
      <c r="I5580">
        <f>IF(ROUND(H5580-D5580,2)=0,1,0)</f>
        <v/>
      </c>
      <c r="J5580">
        <f>IF(F5580="","none",IF(G5580=1,"carte","multiple"))</f>
        <v/>
      </c>
    </row>
    <row r="5581">
      <c r="A5581" t="inlineStr">
        <is>
          <t>2022-09-28</t>
        </is>
      </c>
      <c r="B5581" t="inlineStr">
        <is>
          <t>19:37</t>
        </is>
      </c>
      <c r="C5581" t="n">
        <v>3065</v>
      </c>
      <c r="D5581" s="6" t="n">
        <v>16.9</v>
      </c>
      <c r="E5581" t="n">
        <v>42659</v>
      </c>
      <c r="F5581" s="6" t="n">
        <v>16.9</v>
      </c>
      <c r="G5581" t="n">
        <v>1</v>
      </c>
      <c r="H5581" s="6">
        <f>ROUND(G5581*F5581,2)</f>
        <v/>
      </c>
      <c r="I5581">
        <f>IF(ROUND(H5581-D5581,2)=0,1,0)</f>
        <v/>
      </c>
      <c r="J5581">
        <f>IF(F5581="","none",IF(G5581=1,"carte","multiple"))</f>
        <v/>
      </c>
    </row>
    <row r="5582">
      <c r="A5582" t="inlineStr">
        <is>
          <t>2022-09-28</t>
        </is>
      </c>
      <c r="B5582" t="inlineStr">
        <is>
          <t>19:37</t>
        </is>
      </c>
      <c r="C5582" t="n">
        <v>3065</v>
      </c>
      <c r="D5582" s="6" t="n">
        <v>16</v>
      </c>
      <c r="E5582" t="n">
        <v>42660</v>
      </c>
      <c r="F5582" s="6" t="n">
        <v>16</v>
      </c>
      <c r="G5582" t="n">
        <v>1</v>
      </c>
      <c r="H5582" s="6">
        <f>ROUND(G5582*F5582,2)</f>
        <v/>
      </c>
      <c r="I5582">
        <f>IF(ROUND(H5582-D5582,2)=0,1,0)</f>
        <v/>
      </c>
      <c r="J5582">
        <f>IF(F5582="","none",IF(G5582=1,"carte","multiple"))</f>
        <v/>
      </c>
    </row>
    <row r="5583">
      <c r="A5583" t="inlineStr">
        <is>
          <t>2022-09-28</t>
        </is>
      </c>
      <c r="B5583" t="inlineStr">
        <is>
          <t>19:37</t>
        </is>
      </c>
      <c r="C5583" t="n">
        <v>3065</v>
      </c>
      <c r="D5583" s="6" t="n">
        <v>15.9</v>
      </c>
      <c r="E5583" t="n">
        <v>42661</v>
      </c>
      <c r="F5583" s="6" t="n">
        <v>15.9</v>
      </c>
      <c r="G5583" t="n">
        <v>1</v>
      </c>
      <c r="H5583" s="6">
        <f>ROUND(G5583*F5583,2)</f>
        <v/>
      </c>
      <c r="I5583">
        <f>IF(ROUND(H5583-D5583,2)=0,1,0)</f>
        <v/>
      </c>
      <c r="J5583">
        <f>IF(F5583="","none",IF(G5583=1,"carte","multiple"))</f>
        <v/>
      </c>
    </row>
    <row r="5584">
      <c r="A5584" t="inlineStr">
        <is>
          <t>2022-09-28</t>
        </is>
      </c>
      <c r="B5584" t="inlineStr">
        <is>
          <t>19:37</t>
        </is>
      </c>
      <c r="C5584" t="n">
        <v>3065</v>
      </c>
      <c r="D5584" s="6" t="n">
        <v>4.2</v>
      </c>
      <c r="E5584" t="n">
        <v>42662</v>
      </c>
      <c r="F5584" s="6" t="n">
        <v>4.2</v>
      </c>
      <c r="G5584" t="n">
        <v>1</v>
      </c>
      <c r="H5584" s="6">
        <f>ROUND(G5584*F5584,2)</f>
        <v/>
      </c>
      <c r="I5584">
        <f>IF(ROUND(H5584-D5584,2)=0,1,0)</f>
        <v/>
      </c>
      <c r="J5584">
        <f>IF(F5584="","none",IF(G5584=1,"carte","multiple"))</f>
        <v/>
      </c>
    </row>
    <row r="5585">
      <c r="A5585" t="inlineStr">
        <is>
          <t>2022-09-28</t>
        </is>
      </c>
      <c r="B5585" t="inlineStr">
        <is>
          <t>19:37</t>
        </is>
      </c>
      <c r="C5585" t="n">
        <v>3065</v>
      </c>
      <c r="D5585" s="6" t="n">
        <v>29</v>
      </c>
      <c r="E5585" t="n">
        <v>42663</v>
      </c>
      <c r="F5585" s="6" t="n">
        <v>29</v>
      </c>
      <c r="G5585" t="n">
        <v>1</v>
      </c>
      <c r="H5585" s="6">
        <f>ROUND(G5585*F5585,2)</f>
        <v/>
      </c>
      <c r="I5585">
        <f>IF(ROUND(H5585-D5585,2)=0,1,0)</f>
        <v/>
      </c>
      <c r="J5585">
        <f>IF(F5585="","none",IF(G5585=1,"carte","multiple"))</f>
        <v/>
      </c>
    </row>
    <row r="5586">
      <c r="A5586" t="inlineStr">
        <is>
          <t>2022-09-29</t>
        </is>
      </c>
      <c r="B5586" t="inlineStr">
        <is>
          <t>11:42</t>
        </is>
      </c>
      <c r="C5586" t="n">
        <v>3066</v>
      </c>
      <c r="D5586" s="6" t="n">
        <v>7.9</v>
      </c>
      <c r="E5586" t="n">
        <v>42668</v>
      </c>
      <c r="F5586" s="6" t="n">
        <v>7.9</v>
      </c>
      <c r="G5586" t="n">
        <v>1</v>
      </c>
      <c r="H5586" s="6">
        <f>ROUND(G5586*F5586,2)</f>
        <v/>
      </c>
      <c r="I5586">
        <f>IF(ROUND(H5586-D5586,2)=0,1,0)</f>
        <v/>
      </c>
      <c r="J5586">
        <f>IF(F5586="","none",IF(G5586=1,"carte","multiple"))</f>
        <v/>
      </c>
    </row>
    <row r="5587">
      <c r="A5587" t="inlineStr">
        <is>
          <t>2022-09-29</t>
        </is>
      </c>
      <c r="B5587" t="inlineStr">
        <is>
          <t>11:44</t>
        </is>
      </c>
      <c r="C5587" t="n">
        <v>3066</v>
      </c>
      <c r="D5587" s="6" t="n">
        <v>59.8</v>
      </c>
      <c r="E5587" t="n">
        <v>42669</v>
      </c>
      <c r="F5587" s="6" t="n">
        <v>4.6</v>
      </c>
      <c r="G5587" t="n">
        <v>13</v>
      </c>
      <c r="H5587" s="6">
        <f>ROUND(G5587*F5587,2)</f>
        <v/>
      </c>
      <c r="I5587">
        <f>IF(ROUND(H5587-D5587,2)=0,1,0)</f>
        <v/>
      </c>
      <c r="J5587">
        <f>IF(F5587="","none",IF(G5587=1,"carte","multiple"))</f>
        <v/>
      </c>
    </row>
    <row r="5588">
      <c r="A5588" t="inlineStr">
        <is>
          <t>2022-09-29</t>
        </is>
      </c>
      <c r="B5588" t="inlineStr">
        <is>
          <t>11:44</t>
        </is>
      </c>
      <c r="C5588" t="n">
        <v>3066</v>
      </c>
      <c r="D5588" s="6" t="n">
        <v>15.8</v>
      </c>
      <c r="E5588" t="n">
        <v>42670</v>
      </c>
      <c r="F5588" s="6" t="n">
        <v>7.9</v>
      </c>
      <c r="G5588" t="n">
        <v>2</v>
      </c>
      <c r="H5588" s="6">
        <f>ROUND(G5588*F5588,2)</f>
        <v/>
      </c>
      <c r="I5588">
        <f>IF(ROUND(H5588-D5588,2)=0,1,0)</f>
        <v/>
      </c>
      <c r="J5588">
        <f>IF(F5588="","none",IF(G5588=1,"carte","multiple"))</f>
        <v/>
      </c>
    </row>
    <row r="5589">
      <c r="A5589" t="inlineStr">
        <is>
          <t>2022-09-29</t>
        </is>
      </c>
      <c r="B5589" t="inlineStr">
        <is>
          <t>17:18</t>
        </is>
      </c>
      <c r="C5589" t="n">
        <v>3066</v>
      </c>
      <c r="D5589" s="6" t="n">
        <v>3.9</v>
      </c>
      <c r="E5589" t="n">
        <v>42671</v>
      </c>
      <c r="F5589" s="6" t="n">
        <v>3.9</v>
      </c>
      <c r="G5589" t="n">
        <v>1</v>
      </c>
      <c r="H5589" s="6">
        <f>ROUND(G5589*F5589,2)</f>
        <v/>
      </c>
      <c r="I5589">
        <f>IF(ROUND(H5589-D5589,2)=0,1,0)</f>
        <v/>
      </c>
      <c r="J5589">
        <f>IF(F5589="","none",IF(G5589=1,"carte","multiple"))</f>
        <v/>
      </c>
    </row>
    <row r="5590">
      <c r="A5590" t="inlineStr">
        <is>
          <t>2022-09-29</t>
        </is>
      </c>
      <c r="B5590" t="inlineStr">
        <is>
          <t>17:18</t>
        </is>
      </c>
      <c r="C5590" t="n">
        <v>3066</v>
      </c>
      <c r="D5590" s="6" t="n">
        <v>19.9</v>
      </c>
      <c r="E5590" t="n">
        <v>42672</v>
      </c>
      <c r="F5590" s="6" t="n">
        <v>19.9</v>
      </c>
      <c r="G5590" t="n">
        <v>1</v>
      </c>
      <c r="H5590" s="6">
        <f>ROUND(G5590*F5590,2)</f>
        <v/>
      </c>
      <c r="I5590">
        <f>IF(ROUND(H5590-D5590,2)=0,1,0)</f>
        <v/>
      </c>
      <c r="J5590">
        <f>IF(F5590="","none",IF(G5590=1,"carte","multiple"))</f>
        <v/>
      </c>
    </row>
    <row r="5591">
      <c r="A5591" t="inlineStr">
        <is>
          <t>2022-09-29</t>
        </is>
      </c>
      <c r="B5591" t="inlineStr">
        <is>
          <t>17:18</t>
        </is>
      </c>
      <c r="C5591" t="n">
        <v>3066</v>
      </c>
      <c r="D5591" s="6" t="n">
        <v>17.6</v>
      </c>
      <c r="E5591" t="n">
        <v>42673</v>
      </c>
      <c r="F5591" s="6" t="n">
        <v>17.6</v>
      </c>
      <c r="G5591" t="n">
        <v>1</v>
      </c>
      <c r="H5591" s="6">
        <f>ROUND(G5591*F5591,2)</f>
        <v/>
      </c>
      <c r="I5591">
        <f>IF(ROUND(H5591-D5591,2)=0,1,0)</f>
        <v/>
      </c>
      <c r="J5591">
        <f>IF(F5591="","none",IF(G5591=1,"carte","multiple"))</f>
        <v/>
      </c>
    </row>
    <row r="5592">
      <c r="A5592" t="inlineStr">
        <is>
          <t>2022-09-29</t>
        </is>
      </c>
      <c r="B5592" t="inlineStr">
        <is>
          <t>18:44</t>
        </is>
      </c>
      <c r="C5592" t="n">
        <v>3066</v>
      </c>
      <c r="D5592" s="6" t="n">
        <v>8.9</v>
      </c>
      <c r="E5592" t="n">
        <v>42674</v>
      </c>
      <c r="F5592" s="6" t="n">
        <v>8.9</v>
      </c>
      <c r="G5592" t="n">
        <v>1</v>
      </c>
      <c r="H5592" s="6">
        <f>ROUND(G5592*F5592,2)</f>
        <v/>
      </c>
      <c r="I5592">
        <f>IF(ROUND(H5592-D5592,2)=0,1,0)</f>
        <v/>
      </c>
      <c r="J5592">
        <f>IF(F5592="","none",IF(G5592=1,"carte","multiple"))</f>
        <v/>
      </c>
    </row>
    <row r="5593">
      <c r="A5593" t="inlineStr">
        <is>
          <t>2022-09-29</t>
        </is>
      </c>
      <c r="B5593" t="inlineStr">
        <is>
          <t>19:08</t>
        </is>
      </c>
      <c r="C5593" t="n">
        <v>3066</v>
      </c>
      <c r="D5593" s="6" t="n">
        <v>4</v>
      </c>
      <c r="E5593" t="n">
        <v>42675</v>
      </c>
      <c r="F5593" s="6" t="n">
        <v>4</v>
      </c>
      <c r="G5593" t="n">
        <v>1</v>
      </c>
      <c r="H5593" s="6">
        <f>ROUND(G5593*F5593,2)</f>
        <v/>
      </c>
      <c r="I5593">
        <f>IF(ROUND(H5593-D5593,2)=0,1,0)</f>
        <v/>
      </c>
      <c r="J5593">
        <f>IF(F5593="","none",IF(G5593=1,"carte","multiple"))</f>
        <v/>
      </c>
    </row>
    <row r="5594">
      <c r="A5594" t="inlineStr">
        <is>
          <t>2022-09-29</t>
        </is>
      </c>
      <c r="B5594" t="inlineStr">
        <is>
          <t>19:24</t>
        </is>
      </c>
      <c r="C5594" t="n">
        <v>3066</v>
      </c>
      <c r="D5594" s="6" t="n">
        <v>2</v>
      </c>
      <c r="E5594" t="n">
        <v>42676</v>
      </c>
      <c r="F5594" s="6" t="n">
        <v>2</v>
      </c>
      <c r="G5594" t="n">
        <v>1</v>
      </c>
      <c r="H5594" s="6">
        <f>ROUND(G5594*F5594,2)</f>
        <v/>
      </c>
      <c r="I5594">
        <f>IF(ROUND(H5594-D5594,2)=0,1,0)</f>
        <v/>
      </c>
      <c r="J5594">
        <f>IF(F5594="","none",IF(G5594=1,"carte","multiple"))</f>
        <v/>
      </c>
    </row>
    <row r="5595">
      <c r="A5595" t="inlineStr">
        <is>
          <t>2022-09-29</t>
        </is>
      </c>
      <c r="B5595" t="inlineStr">
        <is>
          <t>19:24</t>
        </is>
      </c>
      <c r="C5595" t="n">
        <v>3066</v>
      </c>
      <c r="D5595" s="6" t="n">
        <v>19.9</v>
      </c>
      <c r="E5595" t="n">
        <v>42677</v>
      </c>
      <c r="F5595" s="6" t="n">
        <v>19.9</v>
      </c>
      <c r="G5595" t="n">
        <v>1</v>
      </c>
      <c r="H5595" s="6">
        <f>ROUND(G5595*F5595,2)</f>
        <v/>
      </c>
      <c r="I5595">
        <f>IF(ROUND(H5595-D5595,2)=0,1,0)</f>
        <v/>
      </c>
      <c r="J5595">
        <f>IF(F5595="","none",IF(G5595=1,"carte","multiple"))</f>
        <v/>
      </c>
    </row>
    <row r="5596">
      <c r="A5596" t="inlineStr">
        <is>
          <t>2022-09-29</t>
        </is>
      </c>
      <c r="B5596" t="inlineStr">
        <is>
          <t>19:24</t>
        </is>
      </c>
      <c r="C5596" t="n">
        <v>3066</v>
      </c>
      <c r="D5596" s="6" t="n">
        <v>15.9</v>
      </c>
      <c r="E5596" t="n">
        <v>42678</v>
      </c>
      <c r="F5596" s="6" t="n">
        <v>15.9</v>
      </c>
      <c r="G5596" t="n">
        <v>1</v>
      </c>
      <c r="H5596" s="6">
        <f>ROUND(G5596*F5596,2)</f>
        <v/>
      </c>
      <c r="I5596">
        <f>IF(ROUND(H5596-D5596,2)=0,1,0)</f>
        <v/>
      </c>
      <c r="J5596">
        <f>IF(F5596="","none",IF(G5596=1,"carte","multiple"))</f>
        <v/>
      </c>
    </row>
    <row r="5597">
      <c r="A5597" t="inlineStr">
        <is>
          <t>2022-09-29</t>
        </is>
      </c>
      <c r="B5597" t="inlineStr">
        <is>
          <t>19:24</t>
        </is>
      </c>
      <c r="C5597" t="n">
        <v>3066</v>
      </c>
      <c r="D5597" s="6" t="n">
        <v>30</v>
      </c>
      <c r="E5597" t="n">
        <v>42679</v>
      </c>
      <c r="F5597" s="6" t="n">
        <v>30</v>
      </c>
      <c r="G5597" t="n">
        <v>1</v>
      </c>
      <c r="H5597" s="6">
        <f>ROUND(G5597*F5597,2)</f>
        <v/>
      </c>
      <c r="I5597">
        <f>IF(ROUND(H5597-D5597,2)=0,1,0)</f>
        <v/>
      </c>
      <c r="J5597">
        <f>IF(F5597="","none",IF(G5597=1,"carte","multiple"))</f>
        <v/>
      </c>
    </row>
    <row r="5598">
      <c r="A5598" t="inlineStr">
        <is>
          <t>2022-09-29</t>
        </is>
      </c>
      <c r="B5598" t="inlineStr">
        <is>
          <t>20:27</t>
        </is>
      </c>
      <c r="C5598" t="n">
        <v>3066</v>
      </c>
      <c r="D5598" s="6" t="n">
        <v>4.4</v>
      </c>
      <c r="E5598" t="n">
        <v>42680</v>
      </c>
      <c r="F5598" s="6" t="n">
        <v>0.4</v>
      </c>
      <c r="G5598" t="n">
        <v>11</v>
      </c>
      <c r="H5598" s="6">
        <f>ROUND(G5598*F5598,2)</f>
        <v/>
      </c>
      <c r="I5598">
        <f>IF(ROUND(H5598-D5598,2)=0,1,0)</f>
        <v/>
      </c>
      <c r="J5598">
        <f>IF(F5598="","none",IF(G5598=1,"carte","multiple"))</f>
        <v/>
      </c>
    </row>
    <row r="5599">
      <c r="A5599" t="inlineStr">
        <is>
          <t>2022-09-29</t>
        </is>
      </c>
      <c r="B5599" t="inlineStr">
        <is>
          <t>20:27</t>
        </is>
      </c>
      <c r="C5599" t="n">
        <v>3066</v>
      </c>
      <c r="D5599" s="6" t="n">
        <v>11</v>
      </c>
      <c r="E5599" t="n">
        <v>42681</v>
      </c>
      <c r="F5599" s="6" t="n">
        <v>11</v>
      </c>
      <c r="G5599" t="n">
        <v>1</v>
      </c>
      <c r="H5599" s="6">
        <f>ROUND(G5599*F5599,2)</f>
        <v/>
      </c>
      <c r="I5599">
        <f>IF(ROUND(H5599-D5599,2)=0,1,0)</f>
        <v/>
      </c>
      <c r="J5599">
        <f>IF(F5599="","none",IF(G5599=1,"carte","multiple"))</f>
        <v/>
      </c>
    </row>
    <row r="5600">
      <c r="A5600" t="inlineStr">
        <is>
          <t>2022-09-29</t>
        </is>
      </c>
      <c r="B5600" t="inlineStr">
        <is>
          <t>20:27</t>
        </is>
      </c>
      <c r="C5600" t="n">
        <v>3066</v>
      </c>
      <c r="D5600" s="6" t="n">
        <v>15</v>
      </c>
      <c r="E5600" t="n">
        <v>42682</v>
      </c>
      <c r="F5600" s="6" t="n">
        <v>15</v>
      </c>
      <c r="G5600" t="n">
        <v>1</v>
      </c>
      <c r="H5600" s="6">
        <f>ROUND(G5600*F5600,2)</f>
        <v/>
      </c>
      <c r="I5600">
        <f>IF(ROUND(H5600-D5600,2)=0,1,0)</f>
        <v/>
      </c>
      <c r="J5600">
        <f>IF(F5600="","none",IF(G5600=1,"carte","multiple"))</f>
        <v/>
      </c>
    </row>
    <row r="5601">
      <c r="A5601" t="inlineStr">
        <is>
          <t>2022-09-29</t>
        </is>
      </c>
      <c r="B5601" t="inlineStr">
        <is>
          <t>20:27</t>
        </is>
      </c>
      <c r="C5601" t="n">
        <v>3066</v>
      </c>
      <c r="D5601" s="6" t="n">
        <v>28</v>
      </c>
      <c r="E5601" t="n">
        <v>42683</v>
      </c>
      <c r="F5601" s="6" t="n">
        <v>28</v>
      </c>
      <c r="G5601" t="n">
        <v>1</v>
      </c>
      <c r="H5601" s="6">
        <f>ROUND(G5601*F5601,2)</f>
        <v/>
      </c>
      <c r="I5601">
        <f>IF(ROUND(H5601-D5601,2)=0,1,0)</f>
        <v/>
      </c>
      <c r="J5601">
        <f>IF(F5601="","none",IF(G5601=1,"carte","multiple"))</f>
        <v/>
      </c>
    </row>
    <row r="5602">
      <c r="A5602" t="inlineStr">
        <is>
          <t>2022-09-30</t>
        </is>
      </c>
      <c r="B5602" t="inlineStr">
        <is>
          <t>11:12</t>
        </is>
      </c>
      <c r="C5602" t="n">
        <v>3067</v>
      </c>
      <c r="D5602" s="6" t="n">
        <v>17.6</v>
      </c>
      <c r="E5602" t="n">
        <v>42686</v>
      </c>
      <c r="F5602" s="6" t="n">
        <v>17.6</v>
      </c>
      <c r="G5602" t="n">
        <v>1</v>
      </c>
      <c r="H5602" s="6">
        <f>ROUND(G5602*F5602,2)</f>
        <v/>
      </c>
      <c r="I5602">
        <f>IF(ROUND(H5602-D5602,2)=0,1,0)</f>
        <v/>
      </c>
      <c r="J5602">
        <f>IF(F5602="","none",IF(G5602=1,"carte","multiple"))</f>
        <v/>
      </c>
    </row>
    <row r="5603">
      <c r="A5603" t="inlineStr">
        <is>
          <t>2022-09-30</t>
        </is>
      </c>
      <c r="B5603" t="inlineStr">
        <is>
          <t>11:47</t>
        </is>
      </c>
      <c r="C5603" t="n">
        <v>3067</v>
      </c>
      <c r="D5603" s="6" t="n">
        <v>17.6</v>
      </c>
      <c r="E5603" t="n">
        <v>42687</v>
      </c>
      <c r="F5603" s="6" t="n">
        <v>17.6</v>
      </c>
      <c r="G5603" t="n">
        <v>1</v>
      </c>
      <c r="H5603" s="6">
        <f>ROUND(G5603*F5603,2)</f>
        <v/>
      </c>
      <c r="I5603">
        <f>IF(ROUND(H5603-D5603,2)=0,1,0)</f>
        <v/>
      </c>
      <c r="J5603">
        <f>IF(F5603="","none",IF(G5603=1,"carte","multiple"))</f>
        <v/>
      </c>
    </row>
    <row r="5604">
      <c r="A5604" t="inlineStr">
        <is>
          <t>2022-09-30</t>
        </is>
      </c>
      <c r="B5604" t="inlineStr">
        <is>
          <t>12:14</t>
        </is>
      </c>
      <c r="C5604" t="n">
        <v>3067</v>
      </c>
      <c r="D5604" s="6" t="n">
        <v>4.4</v>
      </c>
      <c r="E5604" t="n">
        <v>42688</v>
      </c>
      <c r="F5604" s="6" t="n">
        <v>0.4</v>
      </c>
      <c r="G5604" t="n">
        <v>11</v>
      </c>
      <c r="H5604" s="6">
        <f>ROUND(G5604*F5604,2)</f>
        <v/>
      </c>
      <c r="I5604">
        <f>IF(ROUND(H5604-D5604,2)=0,1,0)</f>
        <v/>
      </c>
      <c r="J5604">
        <f>IF(F5604="","none",IF(G5604=1,"carte","multiple"))</f>
        <v/>
      </c>
    </row>
    <row r="5605">
      <c r="A5605" t="inlineStr">
        <is>
          <t>2022-09-30</t>
        </is>
      </c>
      <c r="B5605" t="inlineStr">
        <is>
          <t>12:14</t>
        </is>
      </c>
      <c r="C5605" t="n">
        <v>3067</v>
      </c>
      <c r="D5605" s="6" t="n">
        <v>5.8</v>
      </c>
      <c r="E5605" t="n">
        <v>42689</v>
      </c>
      <c r="F5605" s="6" t="n">
        <v>5.8</v>
      </c>
      <c r="G5605" t="n">
        <v>1</v>
      </c>
      <c r="H5605" s="6">
        <f>ROUND(G5605*F5605,2)</f>
        <v/>
      </c>
      <c r="I5605">
        <f>IF(ROUND(H5605-D5605,2)=0,1,0)</f>
        <v/>
      </c>
      <c r="J5605">
        <f>IF(F5605="","none",IF(G5605=1,"carte","multiple"))</f>
        <v/>
      </c>
    </row>
    <row r="5606">
      <c r="A5606" t="inlineStr">
        <is>
          <t>2022-09-30</t>
        </is>
      </c>
      <c r="B5606" t="inlineStr">
        <is>
          <t>12:14</t>
        </is>
      </c>
      <c r="C5606" t="n">
        <v>3067</v>
      </c>
      <c r="D5606" s="6" t="n">
        <v>8.800000000000001</v>
      </c>
      <c r="E5606" t="n">
        <v>42690</v>
      </c>
      <c r="F5606" s="6" t="n">
        <v>8.800000000000001</v>
      </c>
      <c r="G5606" t="n">
        <v>1</v>
      </c>
      <c r="H5606" s="6">
        <f>ROUND(G5606*F5606,2)</f>
        <v/>
      </c>
      <c r="I5606">
        <f>IF(ROUND(H5606-D5606,2)=0,1,0)</f>
        <v/>
      </c>
      <c r="J5606">
        <f>IF(F5606="","none",IF(G5606=1,"carte","multiple"))</f>
        <v/>
      </c>
    </row>
    <row r="5607">
      <c r="A5607" t="inlineStr">
        <is>
          <t>2022-09-30</t>
        </is>
      </c>
      <c r="B5607" t="inlineStr">
        <is>
          <t>12:14</t>
        </is>
      </c>
      <c r="C5607" t="n">
        <v>3067</v>
      </c>
      <c r="D5607" s="6" t="n">
        <v>5.9</v>
      </c>
      <c r="E5607" t="n">
        <v>42691</v>
      </c>
      <c r="F5607" s="6" t="n">
        <v>5.9</v>
      </c>
      <c r="G5607" t="n">
        <v>1</v>
      </c>
      <c r="H5607" s="6">
        <f>ROUND(G5607*F5607,2)</f>
        <v/>
      </c>
      <c r="I5607">
        <f>IF(ROUND(H5607-D5607,2)=0,1,0)</f>
        <v/>
      </c>
      <c r="J5607">
        <f>IF(F5607="","none",IF(G5607=1,"carte","multiple"))</f>
        <v/>
      </c>
    </row>
    <row r="5608">
      <c r="A5608" t="inlineStr">
        <is>
          <t>2022-09-30</t>
        </is>
      </c>
      <c r="B5608" t="inlineStr">
        <is>
          <t>12:14</t>
        </is>
      </c>
      <c r="C5608" t="n">
        <v>3067</v>
      </c>
      <c r="D5608" s="6" t="n">
        <v>29.8</v>
      </c>
      <c r="E5608" t="n">
        <v>42692</v>
      </c>
      <c r="F5608" s="6" t="n">
        <v>14.9</v>
      </c>
      <c r="G5608" t="n">
        <v>2</v>
      </c>
      <c r="H5608" s="6">
        <f>ROUND(G5608*F5608,2)</f>
        <v/>
      </c>
      <c r="I5608">
        <f>IF(ROUND(H5608-D5608,2)=0,1,0)</f>
        <v/>
      </c>
      <c r="J5608">
        <f>IF(F5608="","none",IF(G5608=1,"carte","multiple"))</f>
        <v/>
      </c>
    </row>
    <row r="5609">
      <c r="A5609" t="inlineStr">
        <is>
          <t>2022-09-30</t>
        </is>
      </c>
      <c r="B5609" t="inlineStr">
        <is>
          <t>12:14</t>
        </is>
      </c>
      <c r="C5609" t="n">
        <v>3067</v>
      </c>
      <c r="D5609" s="6" t="n">
        <v>13.4</v>
      </c>
      <c r="E5609" t="n">
        <v>42693</v>
      </c>
      <c r="F5609" s="6" t="n">
        <v>13.4</v>
      </c>
      <c r="G5609" t="n">
        <v>1</v>
      </c>
      <c r="H5609" s="6">
        <f>ROUND(G5609*F5609,2)</f>
        <v/>
      </c>
      <c r="I5609">
        <f>IF(ROUND(H5609-D5609,2)=0,1,0)</f>
        <v/>
      </c>
      <c r="J5609">
        <f>IF(F5609="","none",IF(G5609=1,"carte","multiple"))</f>
        <v/>
      </c>
    </row>
    <row r="5610">
      <c r="A5610" t="inlineStr">
        <is>
          <t>2022-09-30</t>
        </is>
      </c>
      <c r="B5610" t="inlineStr">
        <is>
          <t>12:36</t>
        </is>
      </c>
      <c r="C5610" t="n">
        <v>3067</v>
      </c>
      <c r="D5610" s="6" t="n">
        <v>3.9</v>
      </c>
      <c r="E5610" t="n">
        <v>42694</v>
      </c>
      <c r="F5610" s="6" t="n">
        <v>3.9</v>
      </c>
      <c r="G5610" t="n">
        <v>1</v>
      </c>
      <c r="H5610" s="6">
        <f>ROUND(G5610*F5610,2)</f>
        <v/>
      </c>
      <c r="I5610">
        <f>IF(ROUND(H5610-D5610,2)=0,1,0)</f>
        <v/>
      </c>
      <c r="J5610">
        <f>IF(F5610="","none",IF(G5610=1,"carte","multiple"))</f>
        <v/>
      </c>
    </row>
    <row r="5611">
      <c r="A5611" t="inlineStr">
        <is>
          <t>2022-09-30</t>
        </is>
      </c>
      <c r="B5611" t="inlineStr">
        <is>
          <t>12:36</t>
        </is>
      </c>
      <c r="C5611" t="n">
        <v>3067</v>
      </c>
      <c r="D5611" s="6" t="n">
        <v>4.7</v>
      </c>
      <c r="E5611" t="n">
        <v>42695</v>
      </c>
      <c r="F5611" s="6" t="n">
        <v>4.7</v>
      </c>
      <c r="G5611" t="n">
        <v>1</v>
      </c>
      <c r="H5611" s="6">
        <f>ROUND(G5611*F5611,2)</f>
        <v/>
      </c>
      <c r="I5611">
        <f>IF(ROUND(H5611-D5611,2)=0,1,0)</f>
        <v/>
      </c>
      <c r="J5611">
        <f>IF(F5611="","none",IF(G5611=1,"carte","multiple"))</f>
        <v/>
      </c>
    </row>
    <row r="5612">
      <c r="A5612" t="inlineStr">
        <is>
          <t>2022-09-30</t>
        </is>
      </c>
      <c r="B5612" t="inlineStr">
        <is>
          <t>12:36</t>
        </is>
      </c>
      <c r="C5612" t="n">
        <v>3067</v>
      </c>
      <c r="D5612" s="6" t="n">
        <v>17.6</v>
      </c>
      <c r="E5612" t="n">
        <v>42696</v>
      </c>
      <c r="F5612" s="6" t="n">
        <v>17.6</v>
      </c>
      <c r="G5612" t="n">
        <v>1</v>
      </c>
      <c r="H5612" s="6">
        <f>ROUND(G5612*F5612,2)</f>
        <v/>
      </c>
      <c r="I5612">
        <f>IF(ROUND(H5612-D5612,2)=0,1,0)</f>
        <v/>
      </c>
      <c r="J5612">
        <f>IF(F5612="","none",IF(G5612=1,"carte","multiple"))</f>
        <v/>
      </c>
    </row>
    <row r="5613">
      <c r="A5613" t="inlineStr">
        <is>
          <t>2022-09-30</t>
        </is>
      </c>
      <c r="B5613" t="inlineStr">
        <is>
          <t>12:36</t>
        </is>
      </c>
      <c r="C5613" t="n">
        <v>3067</v>
      </c>
      <c r="D5613" s="6" t="n">
        <v>19</v>
      </c>
      <c r="E5613" t="n">
        <v>42697</v>
      </c>
      <c r="F5613" s="6" t="n">
        <v>19</v>
      </c>
      <c r="G5613" t="n">
        <v>1</v>
      </c>
      <c r="H5613" s="6">
        <f>ROUND(G5613*F5613,2)</f>
        <v/>
      </c>
      <c r="I5613">
        <f>IF(ROUND(H5613-D5613,2)=0,1,0)</f>
        <v/>
      </c>
      <c r="J5613">
        <f>IF(F5613="","none",IF(G5613=1,"carte","multiple"))</f>
        <v/>
      </c>
    </row>
    <row r="5614">
      <c r="A5614" t="inlineStr">
        <is>
          <t>2022-09-30</t>
        </is>
      </c>
      <c r="B5614" t="inlineStr">
        <is>
          <t>12:36</t>
        </is>
      </c>
      <c r="C5614" t="n">
        <v>3067</v>
      </c>
      <c r="D5614" s="6" t="n">
        <v>17.6</v>
      </c>
      <c r="E5614" t="n">
        <v>42698</v>
      </c>
      <c r="F5614" s="6" t="n">
        <v>17.6</v>
      </c>
      <c r="G5614" t="n">
        <v>1</v>
      </c>
      <c r="H5614" s="6">
        <f>ROUND(G5614*F5614,2)</f>
        <v/>
      </c>
      <c r="I5614">
        <f>IF(ROUND(H5614-D5614,2)=0,1,0)</f>
        <v/>
      </c>
      <c r="J5614">
        <f>IF(F5614="","none",IF(G5614=1,"carte","multiple"))</f>
        <v/>
      </c>
    </row>
    <row r="5615">
      <c r="A5615" t="inlineStr">
        <is>
          <t>2022-09-30</t>
        </is>
      </c>
      <c r="B5615" t="inlineStr">
        <is>
          <t>12:36</t>
        </is>
      </c>
      <c r="C5615" t="n">
        <v>3067</v>
      </c>
      <c r="D5615" s="6" t="n">
        <v>3.9</v>
      </c>
      <c r="E5615" t="n">
        <v>42699</v>
      </c>
      <c r="F5615" s="6" t="n">
        <v>3.9</v>
      </c>
      <c r="G5615" t="n">
        <v>1</v>
      </c>
      <c r="H5615" s="6">
        <f>ROUND(G5615*F5615,2)</f>
        <v/>
      </c>
      <c r="I5615">
        <f>IF(ROUND(H5615-D5615,2)=0,1,0)</f>
        <v/>
      </c>
      <c r="J5615">
        <f>IF(F5615="","none",IF(G5615=1,"carte","multiple"))</f>
        <v/>
      </c>
    </row>
    <row r="5616">
      <c r="A5616" t="inlineStr">
        <is>
          <t>2022-09-30</t>
        </is>
      </c>
      <c r="B5616" t="inlineStr">
        <is>
          <t>12:36</t>
        </is>
      </c>
      <c r="C5616" t="n">
        <v>3067</v>
      </c>
      <c r="D5616" s="6" t="n">
        <v>7.8</v>
      </c>
      <c r="E5616" t="n">
        <v>42700</v>
      </c>
      <c r="F5616" s="6" t="n">
        <v>7.8</v>
      </c>
      <c r="G5616" t="n">
        <v>1</v>
      </c>
      <c r="H5616" s="6">
        <f>ROUND(G5616*F5616,2)</f>
        <v/>
      </c>
      <c r="I5616">
        <f>IF(ROUND(H5616-D5616,2)=0,1,0)</f>
        <v/>
      </c>
      <c r="J5616">
        <f>IF(F5616="","none",IF(G5616=1,"carte","multiple"))</f>
        <v/>
      </c>
    </row>
    <row r="5617">
      <c r="A5617" t="inlineStr">
        <is>
          <t>2022-09-30</t>
        </is>
      </c>
      <c r="B5617" t="inlineStr">
        <is>
          <t>18:27</t>
        </is>
      </c>
      <c r="C5617" t="n">
        <v>3067</v>
      </c>
      <c r="D5617" s="6" t="n">
        <v>29</v>
      </c>
      <c r="E5617" t="n">
        <v>42702</v>
      </c>
      <c r="F5617" s="6" t="n">
        <v>29</v>
      </c>
      <c r="G5617" t="n">
        <v>1</v>
      </c>
      <c r="H5617" s="6">
        <f>ROUND(G5617*F5617,2)</f>
        <v/>
      </c>
      <c r="I5617">
        <f>IF(ROUND(H5617-D5617,2)=0,1,0)</f>
        <v/>
      </c>
      <c r="J5617">
        <f>IF(F5617="","none",IF(G5617=1,"carte","multiple"))</f>
        <v/>
      </c>
    </row>
    <row r="5618">
      <c r="A5618" t="inlineStr">
        <is>
          <t>2022-09-30</t>
        </is>
      </c>
      <c r="B5618" t="inlineStr">
        <is>
          <t>18:33</t>
        </is>
      </c>
      <c r="C5618" t="n">
        <v>3067</v>
      </c>
      <c r="D5618" s="6" t="n">
        <v>39.5</v>
      </c>
      <c r="E5618" t="n">
        <v>42703</v>
      </c>
      <c r="F5618" s="6" t="n">
        <v>39.5</v>
      </c>
      <c r="G5618" t="n">
        <v>1</v>
      </c>
      <c r="H5618" s="6">
        <f>ROUND(G5618*F5618,2)</f>
        <v/>
      </c>
      <c r="I5618">
        <f>IF(ROUND(H5618-D5618,2)=0,1,0)</f>
        <v/>
      </c>
      <c r="J5618">
        <f>IF(F5618="","none",IF(G5618=1,"carte","multiple"))</f>
        <v/>
      </c>
    </row>
    <row r="5619">
      <c r="A5619" t="inlineStr">
        <is>
          <t>2022-09-30</t>
        </is>
      </c>
      <c r="B5619" t="inlineStr">
        <is>
          <t>18:33</t>
        </is>
      </c>
      <c r="C5619" t="n">
        <v>3067</v>
      </c>
      <c r="D5619" s="6" t="n">
        <v>7.2</v>
      </c>
      <c r="E5619" t="n">
        <v>42704</v>
      </c>
      <c r="F5619" s="6" t="n">
        <v>7.2</v>
      </c>
      <c r="G5619" t="n">
        <v>1</v>
      </c>
      <c r="H5619" s="6">
        <f>ROUND(G5619*F5619,2)</f>
        <v/>
      </c>
      <c r="I5619">
        <f>IF(ROUND(H5619-D5619,2)=0,1,0)</f>
        <v/>
      </c>
      <c r="J5619">
        <f>IF(F5619="","none",IF(G5619=1,"carte","multiple"))</f>
        <v/>
      </c>
    </row>
    <row r="5620">
      <c r="A5620" t="inlineStr">
        <is>
          <t>2022-09-30</t>
        </is>
      </c>
      <c r="B5620" t="inlineStr">
        <is>
          <t>18:33</t>
        </is>
      </c>
      <c r="C5620" t="n">
        <v>3067</v>
      </c>
      <c r="D5620" s="6" t="n">
        <v>5.2</v>
      </c>
      <c r="E5620" t="n">
        <v>42705</v>
      </c>
      <c r="F5620" s="6" t="n">
        <v>5.2</v>
      </c>
      <c r="G5620" t="n">
        <v>1</v>
      </c>
      <c r="H5620" s="6">
        <f>ROUND(G5620*F5620,2)</f>
        <v/>
      </c>
      <c r="I5620">
        <f>IF(ROUND(H5620-D5620,2)=0,1,0)</f>
        <v/>
      </c>
      <c r="J5620">
        <f>IF(F5620="","none",IF(G5620=1,"carte","multiple"))</f>
        <v/>
      </c>
    </row>
    <row r="5621">
      <c r="A5621" t="inlineStr">
        <is>
          <t>2022-09-30</t>
        </is>
      </c>
      <c r="B5621" t="inlineStr">
        <is>
          <t>19:53</t>
        </is>
      </c>
      <c r="C5621" t="n">
        <v>3067</v>
      </c>
      <c r="D5621" s="6" t="n">
        <v>2.2</v>
      </c>
      <c r="E5621" t="n">
        <v>42706</v>
      </c>
      <c r="F5621" s="6" t="n">
        <v>2.2</v>
      </c>
      <c r="G5621" t="n">
        <v>1</v>
      </c>
      <c r="H5621" s="6">
        <f>ROUND(G5621*F5621,2)</f>
        <v/>
      </c>
      <c r="I5621">
        <f>IF(ROUND(H5621-D5621,2)=0,1,0)</f>
        <v/>
      </c>
      <c r="J5621">
        <f>IF(F5621="","none",IF(G5621=1,"carte","multiple"))</f>
        <v/>
      </c>
    </row>
    <row r="5622">
      <c r="A5622" t="inlineStr">
        <is>
          <t>2022-09-30</t>
        </is>
      </c>
      <c r="B5622" t="inlineStr">
        <is>
          <t>19:53</t>
        </is>
      </c>
      <c r="C5622" t="n">
        <v>3067</v>
      </c>
      <c r="D5622" s="6" t="n">
        <v>8.300000000000001</v>
      </c>
      <c r="E5622" t="n">
        <v>42707</v>
      </c>
      <c r="F5622" s="6" t="n">
        <v>8.300000000000001</v>
      </c>
      <c r="G5622" t="n">
        <v>1</v>
      </c>
      <c r="H5622" s="6">
        <f>ROUND(G5622*F5622,2)</f>
        <v/>
      </c>
      <c r="I5622">
        <f>IF(ROUND(H5622-D5622,2)=0,1,0)</f>
        <v/>
      </c>
      <c r="J5622">
        <f>IF(F5622="","none",IF(G5622=1,"carte","multiple"))</f>
        <v/>
      </c>
    </row>
    <row r="5623">
      <c r="A5623" t="inlineStr">
        <is>
          <t>2022-09-30</t>
        </is>
      </c>
      <c r="B5623" t="inlineStr">
        <is>
          <t>19:53</t>
        </is>
      </c>
      <c r="C5623" t="n">
        <v>3067</v>
      </c>
      <c r="D5623" s="6" t="n">
        <v>8.699999999999999</v>
      </c>
      <c r="E5623" t="n">
        <v>42708</v>
      </c>
      <c r="F5623" s="6" t="n">
        <v>8.699999999999999</v>
      </c>
      <c r="G5623" t="n">
        <v>1</v>
      </c>
      <c r="H5623" s="6">
        <f>ROUND(G5623*F5623,2)</f>
        <v/>
      </c>
      <c r="I5623">
        <f>IF(ROUND(H5623-D5623,2)=0,1,0)</f>
        <v/>
      </c>
      <c r="J5623">
        <f>IF(F5623="","none",IF(G5623=1,"carte","multiple"))</f>
        <v/>
      </c>
    </row>
    <row r="5624">
      <c r="A5624" t="inlineStr">
        <is>
          <t>2022-09-30</t>
        </is>
      </c>
      <c r="B5624" t="inlineStr">
        <is>
          <t>19:53</t>
        </is>
      </c>
      <c r="C5624" t="n">
        <v>3067</v>
      </c>
      <c r="D5624" s="6" t="n">
        <v>17.6</v>
      </c>
      <c r="E5624" t="n">
        <v>42709</v>
      </c>
      <c r="F5624" s="6" t="n">
        <v>17.6</v>
      </c>
      <c r="G5624" t="n">
        <v>1</v>
      </c>
      <c r="H5624" s="6">
        <f>ROUND(G5624*F5624,2)</f>
        <v/>
      </c>
      <c r="I5624">
        <f>IF(ROUND(H5624-D5624,2)=0,1,0)</f>
        <v/>
      </c>
      <c r="J5624">
        <f>IF(F5624="","none",IF(G5624=1,"carte","multiple"))</f>
        <v/>
      </c>
    </row>
    <row r="5625">
      <c r="A5625" t="inlineStr">
        <is>
          <t>2022-09-30</t>
        </is>
      </c>
      <c r="B5625" t="inlineStr">
        <is>
          <t>19:56</t>
        </is>
      </c>
      <c r="C5625" t="n">
        <v>3067</v>
      </c>
      <c r="D5625" s="6" t="n">
        <v>6.8</v>
      </c>
      <c r="E5625" t="n">
        <v>42710</v>
      </c>
      <c r="F5625" s="6" t="n">
        <v>0.4</v>
      </c>
      <c r="G5625" t="n">
        <v>17</v>
      </c>
      <c r="H5625" s="6">
        <f>ROUND(G5625*F5625,2)</f>
        <v/>
      </c>
      <c r="I5625">
        <f>IF(ROUND(H5625-D5625,2)=0,1,0)</f>
        <v/>
      </c>
      <c r="J5625">
        <f>IF(F5625="","none",IF(G5625=1,"carte","multiple"))</f>
        <v/>
      </c>
    </row>
    <row r="5626">
      <c r="A5626" t="inlineStr">
        <is>
          <t>2022-09-30</t>
        </is>
      </c>
      <c r="B5626" t="inlineStr">
        <is>
          <t>19:56</t>
        </is>
      </c>
      <c r="C5626" t="n">
        <v>3067</v>
      </c>
      <c r="D5626" s="6" t="n">
        <v>3.9</v>
      </c>
      <c r="E5626" t="n">
        <v>42711</v>
      </c>
      <c r="F5626" s="6" t="n">
        <v>3.9</v>
      </c>
      <c r="G5626" t="n">
        <v>1</v>
      </c>
      <c r="H5626" s="6">
        <f>ROUND(G5626*F5626,2)</f>
        <v/>
      </c>
      <c r="I5626">
        <f>IF(ROUND(H5626-D5626,2)=0,1,0)</f>
        <v/>
      </c>
      <c r="J5626">
        <f>IF(F5626="","none",IF(G5626=1,"carte","multiple"))</f>
        <v/>
      </c>
    </row>
    <row r="5627">
      <c r="A5627" t="inlineStr">
        <is>
          <t>2022-09-30</t>
        </is>
      </c>
      <c r="B5627" t="inlineStr">
        <is>
          <t>19:56</t>
        </is>
      </c>
      <c r="C5627" t="n">
        <v>3067</v>
      </c>
      <c r="D5627" s="6" t="n">
        <v>4.2</v>
      </c>
      <c r="E5627" t="n">
        <v>42712</v>
      </c>
      <c r="F5627" s="6" t="n">
        <v>4.2</v>
      </c>
      <c r="G5627" t="n">
        <v>1</v>
      </c>
      <c r="H5627" s="6">
        <f>ROUND(G5627*F5627,2)</f>
        <v/>
      </c>
      <c r="I5627">
        <f>IF(ROUND(H5627-D5627,2)=0,1,0)</f>
        <v/>
      </c>
      <c r="J5627">
        <f>IF(F5627="","none",IF(G5627=1,"carte","multiple"))</f>
        <v/>
      </c>
    </row>
    <row r="5628">
      <c r="A5628" t="inlineStr">
        <is>
          <t>2022-09-30</t>
        </is>
      </c>
      <c r="B5628" t="inlineStr">
        <is>
          <t>19:56</t>
        </is>
      </c>
      <c r="C5628" t="n">
        <v>3067</v>
      </c>
      <c r="D5628" s="6" t="n">
        <v>39.8</v>
      </c>
      <c r="E5628" t="n">
        <v>42713</v>
      </c>
      <c r="F5628" s="6" t="n">
        <v>39.8</v>
      </c>
      <c r="G5628" t="n">
        <v>1</v>
      </c>
      <c r="H5628" s="6">
        <f>ROUND(G5628*F5628,2)</f>
        <v/>
      </c>
      <c r="I5628">
        <f>IF(ROUND(H5628-D5628,2)=0,1,0)</f>
        <v/>
      </c>
      <c r="J5628">
        <f>IF(F5628="","none",IF(G5628=1,"carte","multiple"))</f>
        <v/>
      </c>
    </row>
    <row r="5629">
      <c r="A5629" t="inlineStr">
        <is>
          <t>2022-09-30</t>
        </is>
      </c>
      <c r="B5629" t="inlineStr">
        <is>
          <t>20:09</t>
        </is>
      </c>
      <c r="C5629" t="n">
        <v>3067</v>
      </c>
      <c r="D5629" s="6" t="n">
        <v>5.8</v>
      </c>
      <c r="E5629" t="n">
        <v>42714</v>
      </c>
      <c r="F5629" s="6" t="n">
        <v>5.8</v>
      </c>
      <c r="G5629" t="n">
        <v>1</v>
      </c>
      <c r="H5629" s="6">
        <f>ROUND(G5629*F5629,2)</f>
        <v/>
      </c>
      <c r="I5629">
        <f>IF(ROUND(H5629-D5629,2)=0,1,0)</f>
        <v/>
      </c>
      <c r="J5629">
        <f>IF(F5629="","none",IF(G5629=1,"carte","multiple"))</f>
        <v/>
      </c>
    </row>
    <row r="5630">
      <c r="A5630" t="inlineStr">
        <is>
          <t>2022-10-01</t>
        </is>
      </c>
      <c r="B5630" t="inlineStr">
        <is>
          <t>10:56</t>
        </is>
      </c>
      <c r="C5630" t="n">
        <v>3068</v>
      </c>
      <c r="D5630" s="6" t="n">
        <v>29.6</v>
      </c>
      <c r="E5630" t="n">
        <v>42718</v>
      </c>
      <c r="F5630" s="6" t="n">
        <v>29.6</v>
      </c>
      <c r="G5630" t="n">
        <v>1</v>
      </c>
      <c r="H5630" s="6">
        <f>ROUND(G5630*F5630,2)</f>
        <v/>
      </c>
      <c r="I5630">
        <f>IF(ROUND(H5630-D5630,2)=0,1,0)</f>
        <v/>
      </c>
      <c r="J5630">
        <f>IF(F5630="","none",IF(G5630=1,"carte","multiple"))</f>
        <v/>
      </c>
    </row>
    <row r="5631">
      <c r="A5631" t="inlineStr">
        <is>
          <t>2022-10-01</t>
        </is>
      </c>
      <c r="B5631" t="inlineStr">
        <is>
          <t>11:22</t>
        </is>
      </c>
      <c r="C5631" t="n">
        <v>3068</v>
      </c>
      <c r="D5631" s="6" t="n">
        <v>16.9</v>
      </c>
      <c r="E5631" t="n">
        <v>42719</v>
      </c>
      <c r="F5631" s="6" t="n">
        <v>16.9</v>
      </c>
      <c r="G5631" t="n">
        <v>1</v>
      </c>
      <c r="H5631" s="6">
        <f>ROUND(G5631*F5631,2)</f>
        <v/>
      </c>
      <c r="I5631">
        <f>IF(ROUND(H5631-D5631,2)=0,1,0)</f>
        <v/>
      </c>
      <c r="J5631">
        <f>IF(F5631="","none",IF(G5631=1,"carte","multiple"))</f>
        <v/>
      </c>
    </row>
    <row r="5632">
      <c r="A5632" t="inlineStr">
        <is>
          <t>2022-10-01</t>
        </is>
      </c>
      <c r="B5632" t="inlineStr">
        <is>
          <t>11:30</t>
        </is>
      </c>
      <c r="C5632" t="n">
        <v>3068</v>
      </c>
      <c r="D5632" s="6" t="n">
        <v>3.9</v>
      </c>
      <c r="E5632" t="n">
        <v>42720</v>
      </c>
      <c r="F5632" s="6" t="n">
        <v>3.9</v>
      </c>
      <c r="G5632" t="n">
        <v>1</v>
      </c>
      <c r="H5632" s="6">
        <f>ROUND(G5632*F5632,2)</f>
        <v/>
      </c>
      <c r="I5632">
        <f>IF(ROUND(H5632-D5632,2)=0,1,0)</f>
        <v/>
      </c>
      <c r="J5632">
        <f>IF(F5632="","none",IF(G5632=1,"carte","multiple"))</f>
        <v/>
      </c>
    </row>
    <row r="5633">
      <c r="A5633" t="inlineStr">
        <is>
          <t>2022-10-01</t>
        </is>
      </c>
      <c r="B5633" t="inlineStr">
        <is>
          <t>11:30</t>
        </is>
      </c>
      <c r="C5633" t="n">
        <v>3068</v>
      </c>
      <c r="D5633" s="6" t="n">
        <v>17.6</v>
      </c>
      <c r="E5633" t="n">
        <v>42721</v>
      </c>
      <c r="F5633" s="6" t="n">
        <v>17.6</v>
      </c>
      <c r="G5633" t="n">
        <v>1</v>
      </c>
      <c r="H5633" s="6">
        <f>ROUND(G5633*F5633,2)</f>
        <v/>
      </c>
      <c r="I5633">
        <f>IF(ROUND(H5633-D5633,2)=0,1,0)</f>
        <v/>
      </c>
      <c r="J5633">
        <f>IF(F5633="","none",IF(G5633=1,"carte","multiple"))</f>
        <v/>
      </c>
    </row>
    <row r="5634">
      <c r="A5634" t="inlineStr">
        <is>
          <t>2022-10-01</t>
        </is>
      </c>
      <c r="B5634" t="inlineStr">
        <is>
          <t>11:38</t>
        </is>
      </c>
      <c r="C5634" t="n">
        <v>3068</v>
      </c>
      <c r="D5634" s="6" t="n">
        <v>32</v>
      </c>
      <c r="E5634" t="n">
        <v>42722</v>
      </c>
      <c r="F5634" s="6" t="n">
        <v>32</v>
      </c>
      <c r="G5634" t="n">
        <v>1</v>
      </c>
      <c r="H5634" s="6">
        <f>ROUND(G5634*F5634,2)</f>
        <v/>
      </c>
      <c r="I5634">
        <f>IF(ROUND(H5634-D5634,2)=0,1,0)</f>
        <v/>
      </c>
      <c r="J5634">
        <f>IF(F5634="","none",IF(G5634=1,"carte","multiple"))</f>
        <v/>
      </c>
    </row>
    <row r="5635">
      <c r="A5635" t="inlineStr">
        <is>
          <t>2022-10-01</t>
        </is>
      </c>
      <c r="B5635" t="inlineStr">
        <is>
          <t>12:11</t>
        </is>
      </c>
      <c r="C5635" t="n">
        <v>3068</v>
      </c>
      <c r="D5635" s="6" t="n">
        <v>15.9</v>
      </c>
      <c r="E5635" t="n">
        <v>42723</v>
      </c>
      <c r="F5635" s="6" t="n">
        <v>15.9</v>
      </c>
      <c r="G5635" t="n">
        <v>1</v>
      </c>
      <c r="H5635" s="6">
        <f>ROUND(G5635*F5635,2)</f>
        <v/>
      </c>
      <c r="I5635">
        <f>IF(ROUND(H5635-D5635,2)=0,1,0)</f>
        <v/>
      </c>
      <c r="J5635">
        <f>IF(F5635="","none",IF(G5635=1,"carte","multiple"))</f>
        <v/>
      </c>
    </row>
    <row r="5636">
      <c r="A5636" t="inlineStr">
        <is>
          <t>2022-10-01</t>
        </is>
      </c>
      <c r="B5636" t="inlineStr">
        <is>
          <t>12:11</t>
        </is>
      </c>
      <c r="C5636" t="n">
        <v>3068</v>
      </c>
      <c r="D5636" s="6" t="n">
        <v>4.9</v>
      </c>
      <c r="E5636" t="n">
        <v>42724</v>
      </c>
      <c r="F5636" s="6" t="n">
        <v>4.9</v>
      </c>
      <c r="G5636" t="n">
        <v>1</v>
      </c>
      <c r="H5636" s="6">
        <f>ROUND(G5636*F5636,2)</f>
        <v/>
      </c>
      <c r="I5636">
        <f>IF(ROUND(H5636-D5636,2)=0,1,0)</f>
        <v/>
      </c>
      <c r="J5636">
        <f>IF(F5636="","none",IF(G5636=1,"carte","multiple"))</f>
        <v/>
      </c>
    </row>
    <row r="5637">
      <c r="A5637" t="inlineStr">
        <is>
          <t>2022-10-01</t>
        </is>
      </c>
      <c r="B5637" t="inlineStr">
        <is>
          <t>12:41</t>
        </is>
      </c>
      <c r="C5637" t="n">
        <v>3068</v>
      </c>
      <c r="D5637" s="6" t="n">
        <v>9</v>
      </c>
      <c r="E5637" t="n">
        <v>42725</v>
      </c>
      <c r="F5637" s="6" t="n">
        <v>9</v>
      </c>
      <c r="G5637" t="n">
        <v>1</v>
      </c>
      <c r="H5637" s="6">
        <f>ROUND(G5637*F5637,2)</f>
        <v/>
      </c>
      <c r="I5637">
        <f>IF(ROUND(H5637-D5637,2)=0,1,0)</f>
        <v/>
      </c>
      <c r="J5637">
        <f>IF(F5637="","none",IF(G5637=1,"carte","multiple"))</f>
        <v/>
      </c>
    </row>
    <row r="5638">
      <c r="A5638" t="inlineStr">
        <is>
          <t>2022-10-01</t>
        </is>
      </c>
      <c r="B5638" t="inlineStr">
        <is>
          <t>12:49</t>
        </is>
      </c>
      <c r="C5638" t="n">
        <v>3068</v>
      </c>
      <c r="D5638" s="6" t="n">
        <v>4.4</v>
      </c>
      <c r="E5638" t="n">
        <v>42726</v>
      </c>
      <c r="F5638" s="6" t="n">
        <v>0.4</v>
      </c>
      <c r="G5638" t="n">
        <v>11</v>
      </c>
      <c r="H5638" s="6">
        <f>ROUND(G5638*F5638,2)</f>
        <v/>
      </c>
      <c r="I5638">
        <f>IF(ROUND(H5638-D5638,2)=0,1,0)</f>
        <v/>
      </c>
      <c r="J5638">
        <f>IF(F5638="","none",IF(G5638=1,"carte","multiple"))</f>
        <v/>
      </c>
    </row>
    <row r="5639">
      <c r="A5639" t="inlineStr">
        <is>
          <t>2022-10-01</t>
        </is>
      </c>
      <c r="B5639" t="inlineStr">
        <is>
          <t>12:49</t>
        </is>
      </c>
      <c r="C5639" t="n">
        <v>3068</v>
      </c>
      <c r="D5639" s="6" t="n">
        <v>8.5</v>
      </c>
      <c r="E5639" t="n">
        <v>42727</v>
      </c>
      <c r="F5639" s="6" t="n">
        <v>8.5</v>
      </c>
      <c r="G5639" t="n">
        <v>1</v>
      </c>
      <c r="H5639" s="6">
        <f>ROUND(G5639*F5639,2)</f>
        <v/>
      </c>
      <c r="I5639">
        <f>IF(ROUND(H5639-D5639,2)=0,1,0)</f>
        <v/>
      </c>
      <c r="J5639">
        <f>IF(F5639="","none",IF(G5639=1,"carte","multiple"))</f>
        <v/>
      </c>
    </row>
    <row r="5640">
      <c r="A5640" t="inlineStr">
        <is>
          <t>2022-10-01</t>
        </is>
      </c>
      <c r="B5640" t="inlineStr">
        <is>
          <t>12:49</t>
        </is>
      </c>
      <c r="C5640" t="n">
        <v>3068</v>
      </c>
      <c r="D5640" s="6" t="n">
        <v>6.9</v>
      </c>
      <c r="E5640" t="n">
        <v>42728</v>
      </c>
      <c r="F5640" s="6" t="n">
        <v>6.9</v>
      </c>
      <c r="G5640" t="n">
        <v>1</v>
      </c>
      <c r="H5640" s="6">
        <f>ROUND(G5640*F5640,2)</f>
        <v/>
      </c>
      <c r="I5640">
        <f>IF(ROUND(H5640-D5640,2)=0,1,0)</f>
        <v/>
      </c>
      <c r="J5640">
        <f>IF(F5640="","none",IF(G5640=1,"carte","multiple"))</f>
        <v/>
      </c>
    </row>
    <row r="5641">
      <c r="A5641" t="inlineStr">
        <is>
          <t>2022-10-01</t>
        </is>
      </c>
      <c r="B5641" t="inlineStr">
        <is>
          <t>12:50</t>
        </is>
      </c>
      <c r="C5641" t="n">
        <v>3068</v>
      </c>
      <c r="D5641" s="6" t="n">
        <v>27.8</v>
      </c>
      <c r="E5641" t="n">
        <v>42729</v>
      </c>
      <c r="F5641" s="6" t="n">
        <v>27.8</v>
      </c>
      <c r="G5641" t="n">
        <v>1</v>
      </c>
      <c r="H5641" s="6">
        <f>ROUND(G5641*F5641,2)</f>
        <v/>
      </c>
      <c r="I5641">
        <f>IF(ROUND(H5641-D5641,2)=0,1,0)</f>
        <v/>
      </c>
      <c r="J5641">
        <f>IF(F5641="","none",IF(G5641=1,"carte","multiple"))</f>
        <v/>
      </c>
    </row>
    <row r="5642">
      <c r="A5642" t="inlineStr">
        <is>
          <t>2022-10-01</t>
        </is>
      </c>
      <c r="B5642" t="inlineStr">
        <is>
          <t>12:50</t>
        </is>
      </c>
      <c r="C5642" t="n">
        <v>3068</v>
      </c>
      <c r="D5642" s="6" t="n">
        <v>17.6</v>
      </c>
      <c r="E5642" t="n">
        <v>42730</v>
      </c>
      <c r="F5642" s="6" t="n">
        <v>17.6</v>
      </c>
      <c r="G5642" t="n">
        <v>1</v>
      </c>
      <c r="H5642" s="6">
        <f>ROUND(G5642*F5642,2)</f>
        <v/>
      </c>
      <c r="I5642">
        <f>IF(ROUND(H5642-D5642,2)=0,1,0)</f>
        <v/>
      </c>
      <c r="J5642">
        <f>IF(F5642="","none",IF(G5642=1,"carte","multiple"))</f>
        <v/>
      </c>
    </row>
    <row r="5643">
      <c r="A5643" t="inlineStr">
        <is>
          <t>2022-10-01</t>
        </is>
      </c>
      <c r="B5643" t="inlineStr">
        <is>
          <t>12:50</t>
        </is>
      </c>
      <c r="C5643" t="n">
        <v>3068</v>
      </c>
      <c r="D5643" s="6" t="n">
        <v>5.9</v>
      </c>
      <c r="E5643" t="n">
        <v>42731</v>
      </c>
      <c r="F5643" s="6" t="n">
        <v>5.9</v>
      </c>
      <c r="G5643" t="n">
        <v>1</v>
      </c>
      <c r="H5643" s="6">
        <f>ROUND(G5643*F5643,2)</f>
        <v/>
      </c>
      <c r="I5643">
        <f>IF(ROUND(H5643-D5643,2)=0,1,0)</f>
        <v/>
      </c>
      <c r="J5643">
        <f>IF(F5643="","none",IF(G5643=1,"carte","multiple"))</f>
        <v/>
      </c>
    </row>
    <row r="5644">
      <c r="A5644" t="inlineStr">
        <is>
          <t>2022-10-01</t>
        </is>
      </c>
      <c r="B5644" t="inlineStr">
        <is>
          <t>12:50</t>
        </is>
      </c>
      <c r="C5644" t="n">
        <v>3068</v>
      </c>
      <c r="D5644" s="6" t="n">
        <v>9.800000000000001</v>
      </c>
      <c r="E5644" t="n">
        <v>42732</v>
      </c>
      <c r="F5644" s="6" t="n">
        <v>9.800000000000001</v>
      </c>
      <c r="G5644" t="n">
        <v>1</v>
      </c>
      <c r="H5644" s="6">
        <f>ROUND(G5644*F5644,2)</f>
        <v/>
      </c>
      <c r="I5644">
        <f>IF(ROUND(H5644-D5644,2)=0,1,0)</f>
        <v/>
      </c>
      <c r="J5644">
        <f>IF(F5644="","none",IF(G5644=1,"carte","multiple"))</f>
        <v/>
      </c>
    </row>
    <row r="5645">
      <c r="A5645" t="inlineStr">
        <is>
          <t>2022-10-01</t>
        </is>
      </c>
      <c r="B5645" t="inlineStr">
        <is>
          <t>12:50</t>
        </is>
      </c>
      <c r="C5645" t="n">
        <v>3068</v>
      </c>
      <c r="D5645" s="6" t="n">
        <v>10.4</v>
      </c>
      <c r="E5645" t="n">
        <v>42733</v>
      </c>
      <c r="F5645" s="6" t="n">
        <v>0.4</v>
      </c>
      <c r="G5645" t="n">
        <v>26</v>
      </c>
      <c r="H5645" s="6">
        <f>ROUND(G5645*F5645,2)</f>
        <v/>
      </c>
      <c r="I5645">
        <f>IF(ROUND(H5645-D5645,2)=0,1,0)</f>
        <v/>
      </c>
      <c r="J5645">
        <f>IF(F5645="","none",IF(G5645=1,"carte","multiple"))</f>
        <v/>
      </c>
    </row>
    <row r="5646">
      <c r="A5646" t="inlineStr">
        <is>
          <t>2022-10-01</t>
        </is>
      </c>
      <c r="B5646" t="inlineStr">
        <is>
          <t>13:03</t>
        </is>
      </c>
      <c r="C5646" t="n">
        <v>3068</v>
      </c>
      <c r="D5646" s="6" t="n">
        <v>1.8</v>
      </c>
      <c r="E5646" t="n">
        <v>42734</v>
      </c>
      <c r="F5646" s="6" t="n">
        <v>1.8</v>
      </c>
      <c r="G5646" t="n">
        <v>1</v>
      </c>
      <c r="H5646" s="6">
        <f>ROUND(G5646*F5646,2)</f>
        <v/>
      </c>
      <c r="I5646">
        <f>IF(ROUND(H5646-D5646,2)=0,1,0)</f>
        <v/>
      </c>
      <c r="J5646">
        <f>IF(F5646="","none",IF(G5646=1,"carte","multiple"))</f>
        <v/>
      </c>
    </row>
    <row r="5647">
      <c r="A5647" t="inlineStr">
        <is>
          <t>2022-10-01</t>
        </is>
      </c>
      <c r="B5647" t="inlineStr">
        <is>
          <t>17:42</t>
        </is>
      </c>
      <c r="C5647" t="n">
        <v>3068</v>
      </c>
      <c r="D5647" s="6" t="n">
        <v>3.9</v>
      </c>
      <c r="E5647" t="n">
        <v>42737</v>
      </c>
      <c r="F5647" s="6" t="n">
        <v>3.9</v>
      </c>
      <c r="G5647" t="n">
        <v>1</v>
      </c>
      <c r="H5647" s="6">
        <f>ROUND(G5647*F5647,2)</f>
        <v/>
      </c>
      <c r="I5647">
        <f>IF(ROUND(H5647-D5647,2)=0,1,0)</f>
        <v/>
      </c>
      <c r="J5647">
        <f>IF(F5647="","none",IF(G5647=1,"carte","multiple"))</f>
        <v/>
      </c>
    </row>
    <row r="5648">
      <c r="A5648" t="inlineStr">
        <is>
          <t>2022-10-01</t>
        </is>
      </c>
      <c r="B5648" t="inlineStr">
        <is>
          <t>18:12</t>
        </is>
      </c>
      <c r="C5648" t="n">
        <v>3068</v>
      </c>
      <c r="D5648" s="6" t="n">
        <v>23</v>
      </c>
      <c r="E5648" t="n">
        <v>42738</v>
      </c>
      <c r="F5648" s="6" t="n">
        <v>23</v>
      </c>
      <c r="G5648" t="n">
        <v>1</v>
      </c>
      <c r="H5648" s="6">
        <f>ROUND(G5648*F5648,2)</f>
        <v/>
      </c>
      <c r="I5648">
        <f>IF(ROUND(H5648-D5648,2)=0,1,0)</f>
        <v/>
      </c>
      <c r="J5648">
        <f>IF(F5648="","none",IF(G5648=1,"carte","multiple"))</f>
        <v/>
      </c>
    </row>
    <row r="5649">
      <c r="A5649" t="inlineStr">
        <is>
          <t>2022-10-01</t>
        </is>
      </c>
      <c r="B5649" t="inlineStr">
        <is>
          <t>18:48</t>
        </is>
      </c>
      <c r="C5649" t="n">
        <v>3068</v>
      </c>
      <c r="D5649" s="6" t="n">
        <v>3.9</v>
      </c>
      <c r="E5649" t="n">
        <v>42739</v>
      </c>
      <c r="F5649" s="6" t="n">
        <v>3.9</v>
      </c>
      <c r="G5649" t="n">
        <v>1</v>
      </c>
      <c r="H5649" s="6">
        <f>ROUND(G5649*F5649,2)</f>
        <v/>
      </c>
      <c r="I5649">
        <f>IF(ROUND(H5649-D5649,2)=0,1,0)</f>
        <v/>
      </c>
      <c r="J5649">
        <f>IF(F5649="","none",IF(G5649=1,"carte","multiple"))</f>
        <v/>
      </c>
    </row>
    <row r="5650">
      <c r="A5650" t="inlineStr">
        <is>
          <t>2022-10-01</t>
        </is>
      </c>
      <c r="B5650" t="inlineStr">
        <is>
          <t>18:48</t>
        </is>
      </c>
      <c r="C5650" t="n">
        <v>3068</v>
      </c>
      <c r="D5650" s="6" t="n">
        <v>48</v>
      </c>
      <c r="E5650" t="n">
        <v>42740</v>
      </c>
      <c r="F5650" s="6" t="n">
        <v>0.4</v>
      </c>
      <c r="G5650" t="n">
        <v>120</v>
      </c>
      <c r="H5650" s="6">
        <f>ROUND(G5650*F5650,2)</f>
        <v/>
      </c>
      <c r="I5650">
        <f>IF(ROUND(H5650-D5650,2)=0,1,0)</f>
        <v/>
      </c>
      <c r="J5650">
        <f>IF(F5650="","none",IF(G5650=1,"carte","multiple"))</f>
        <v/>
      </c>
    </row>
    <row r="5651">
      <c r="A5651" t="inlineStr">
        <is>
          <t>2022-10-01</t>
        </is>
      </c>
      <c r="B5651" t="inlineStr">
        <is>
          <t>18:48</t>
        </is>
      </c>
      <c r="C5651" t="n">
        <v>3068</v>
      </c>
      <c r="D5651" s="6" t="n">
        <v>18</v>
      </c>
      <c r="E5651" t="n">
        <v>42741</v>
      </c>
      <c r="F5651" s="6" t="n">
        <v>18</v>
      </c>
      <c r="G5651" t="n">
        <v>1</v>
      </c>
      <c r="H5651" s="6">
        <f>ROUND(G5651*F5651,2)</f>
        <v/>
      </c>
      <c r="I5651">
        <f>IF(ROUND(H5651-D5651,2)=0,1,0)</f>
        <v/>
      </c>
      <c r="J5651">
        <f>IF(F5651="","none",IF(G5651=1,"carte","multiple"))</f>
        <v/>
      </c>
    </row>
    <row r="5652">
      <c r="A5652" t="inlineStr">
        <is>
          <t>2022-10-01</t>
        </is>
      </c>
      <c r="B5652" t="inlineStr">
        <is>
          <t>19:34</t>
        </is>
      </c>
      <c r="C5652" t="n">
        <v>3068</v>
      </c>
      <c r="D5652" s="6" t="n">
        <v>15.9</v>
      </c>
      <c r="E5652" t="n">
        <v>42742</v>
      </c>
      <c r="F5652" s="6" t="n">
        <v>15.9</v>
      </c>
      <c r="G5652" t="n">
        <v>1</v>
      </c>
      <c r="H5652" s="6">
        <f>ROUND(G5652*F5652,2)</f>
        <v/>
      </c>
      <c r="I5652">
        <f>IF(ROUND(H5652-D5652,2)=0,1,0)</f>
        <v/>
      </c>
      <c r="J5652">
        <f>IF(F5652="","none",IF(G5652=1,"carte","multiple"))</f>
        <v/>
      </c>
    </row>
    <row r="5653">
      <c r="A5653" t="inlineStr">
        <is>
          <t>2022-10-01</t>
        </is>
      </c>
      <c r="B5653" t="inlineStr">
        <is>
          <t>19:34</t>
        </is>
      </c>
      <c r="C5653" t="n">
        <v>3068</v>
      </c>
      <c r="D5653" s="6" t="n">
        <v>5.2</v>
      </c>
      <c r="E5653" t="n">
        <v>42743</v>
      </c>
      <c r="F5653" s="6" t="n">
        <v>5.2</v>
      </c>
      <c r="G5653" t="n">
        <v>1</v>
      </c>
      <c r="H5653" s="6">
        <f>ROUND(G5653*F5653,2)</f>
        <v/>
      </c>
      <c r="I5653">
        <f>IF(ROUND(H5653-D5653,2)=0,1,0)</f>
        <v/>
      </c>
      <c r="J5653">
        <f>IF(F5653="","none",IF(G5653=1,"carte","multiple"))</f>
        <v/>
      </c>
    </row>
    <row r="5654">
      <c r="A5654" t="inlineStr">
        <is>
          <t>2022-10-01</t>
        </is>
      </c>
      <c r="B5654" t="inlineStr">
        <is>
          <t>19:50</t>
        </is>
      </c>
      <c r="C5654" t="n">
        <v>3068</v>
      </c>
      <c r="D5654" s="6" t="n">
        <v>4.7</v>
      </c>
      <c r="E5654" t="n">
        <v>42744</v>
      </c>
      <c r="F5654" s="6" t="n">
        <v>4.7</v>
      </c>
      <c r="G5654" t="n">
        <v>1</v>
      </c>
      <c r="H5654" s="6">
        <f>ROUND(G5654*F5654,2)</f>
        <v/>
      </c>
      <c r="I5654">
        <f>IF(ROUND(H5654-D5654,2)=0,1,0)</f>
        <v/>
      </c>
      <c r="J5654">
        <f>IF(F5654="","none",IF(G5654=1,"carte","multiple"))</f>
        <v/>
      </c>
    </row>
    <row r="5655">
      <c r="A5655" t="inlineStr">
        <is>
          <t>2022-10-01</t>
        </is>
      </c>
      <c r="B5655" t="inlineStr">
        <is>
          <t>19:50</t>
        </is>
      </c>
      <c r="C5655" t="n">
        <v>3068</v>
      </c>
      <c r="D5655" s="6" t="n">
        <v>19</v>
      </c>
      <c r="E5655" t="n">
        <v>42745</v>
      </c>
      <c r="F5655" s="6" t="n">
        <v>19</v>
      </c>
      <c r="G5655" t="n">
        <v>1</v>
      </c>
      <c r="H5655" s="6">
        <f>ROUND(G5655*F5655,2)</f>
        <v/>
      </c>
      <c r="I5655">
        <f>IF(ROUND(H5655-D5655,2)=0,1,0)</f>
        <v/>
      </c>
      <c r="J5655">
        <f>IF(F5655="","none",IF(G5655=1,"carte","multiple"))</f>
        <v/>
      </c>
    </row>
    <row r="5656">
      <c r="A5656" t="inlineStr">
        <is>
          <t>2022-10-01</t>
        </is>
      </c>
      <c r="B5656" t="inlineStr">
        <is>
          <t>19:50</t>
        </is>
      </c>
      <c r="C5656" t="n">
        <v>3068</v>
      </c>
      <c r="D5656" s="6" t="n">
        <v>17.6</v>
      </c>
      <c r="E5656" t="n">
        <v>42746</v>
      </c>
      <c r="F5656" s="6" t="n">
        <v>17.6</v>
      </c>
      <c r="G5656" t="n">
        <v>1</v>
      </c>
      <c r="H5656" s="6">
        <f>ROUND(G5656*F5656,2)</f>
        <v/>
      </c>
      <c r="I5656">
        <f>IF(ROUND(H5656-D5656,2)=0,1,0)</f>
        <v/>
      </c>
      <c r="J5656">
        <f>IF(F5656="","none",IF(G5656=1,"carte","multiple"))</f>
        <v/>
      </c>
    </row>
    <row r="5657">
      <c r="A5657" t="inlineStr">
        <is>
          <t>2022-10-01</t>
        </is>
      </c>
      <c r="B5657" t="inlineStr">
        <is>
          <t>19:50</t>
        </is>
      </c>
      <c r="C5657" t="n">
        <v>3068</v>
      </c>
      <c r="D5657" s="6" t="n">
        <v>19.8</v>
      </c>
      <c r="E5657" t="n">
        <v>42747</v>
      </c>
      <c r="F5657" s="6" t="n">
        <v>19.8</v>
      </c>
      <c r="G5657" t="n">
        <v>1</v>
      </c>
      <c r="H5657" s="6">
        <f>ROUND(G5657*F5657,2)</f>
        <v/>
      </c>
      <c r="I5657">
        <f>IF(ROUND(H5657-D5657,2)=0,1,0)</f>
        <v/>
      </c>
      <c r="J5657">
        <f>IF(F5657="","none",IF(G5657=1,"carte","multiple"))</f>
        <v/>
      </c>
    </row>
    <row r="5658">
      <c r="A5658" t="inlineStr">
        <is>
          <t>2022-10-01</t>
        </is>
      </c>
      <c r="B5658" t="inlineStr">
        <is>
          <t>19:50</t>
        </is>
      </c>
      <c r="C5658" t="n">
        <v>3068</v>
      </c>
      <c r="D5658" s="6" t="n">
        <v>4.4</v>
      </c>
      <c r="E5658" t="n">
        <v>42748</v>
      </c>
      <c r="F5658" s="6" t="n">
        <v>0.4</v>
      </c>
      <c r="G5658" t="n">
        <v>11</v>
      </c>
      <c r="H5658" s="6">
        <f>ROUND(G5658*F5658,2)</f>
        <v/>
      </c>
      <c r="I5658">
        <f>IF(ROUND(H5658-D5658,2)=0,1,0)</f>
        <v/>
      </c>
      <c r="J5658">
        <f>IF(F5658="","none",IF(G5658=1,"carte","multiple"))</f>
        <v/>
      </c>
    </row>
    <row r="5659">
      <c r="A5659" t="inlineStr">
        <is>
          <t>2022-10-01</t>
        </is>
      </c>
      <c r="B5659" t="inlineStr">
        <is>
          <t>19:50</t>
        </is>
      </c>
      <c r="C5659" t="n">
        <v>3068</v>
      </c>
      <c r="D5659" s="6" t="n">
        <v>7.2</v>
      </c>
      <c r="E5659" t="n">
        <v>42749</v>
      </c>
      <c r="F5659" s="6" t="n">
        <v>7.2</v>
      </c>
      <c r="G5659" t="n">
        <v>1</v>
      </c>
      <c r="H5659" s="6">
        <f>ROUND(G5659*F5659,2)</f>
        <v/>
      </c>
      <c r="I5659">
        <f>IF(ROUND(H5659-D5659,2)=0,1,0)</f>
        <v/>
      </c>
      <c r="J5659">
        <f>IF(F5659="","none",IF(G5659=1,"carte","multiple"))</f>
        <v/>
      </c>
    </row>
    <row r="5660">
      <c r="A5660" t="inlineStr">
        <is>
          <t>2022-10-01</t>
        </is>
      </c>
      <c r="B5660" t="inlineStr">
        <is>
          <t>19:50</t>
        </is>
      </c>
      <c r="C5660" t="n">
        <v>3068</v>
      </c>
      <c r="D5660" s="6" t="n">
        <v>6.4</v>
      </c>
      <c r="E5660" t="n">
        <v>42750</v>
      </c>
      <c r="F5660" s="6" t="n">
        <v>6.4</v>
      </c>
      <c r="G5660" t="n">
        <v>1</v>
      </c>
      <c r="H5660" s="6">
        <f>ROUND(G5660*F5660,2)</f>
        <v/>
      </c>
      <c r="I5660">
        <f>IF(ROUND(H5660-D5660,2)=0,1,0)</f>
        <v/>
      </c>
      <c r="J5660">
        <f>IF(F5660="","none",IF(G5660=1,"carte","multiple"))</f>
        <v/>
      </c>
    </row>
    <row r="5661">
      <c r="A5661" t="inlineStr">
        <is>
          <t>2022-10-02</t>
        </is>
      </c>
      <c r="B5661" t="inlineStr">
        <is>
          <t>10:54</t>
        </is>
      </c>
      <c r="C5661" t="n">
        <v>3069</v>
      </c>
      <c r="D5661" s="6" t="n">
        <v>7.5</v>
      </c>
      <c r="E5661" t="n">
        <v>42753</v>
      </c>
      <c r="F5661" s="6" t="n">
        <v>7.5</v>
      </c>
      <c r="G5661" t="n">
        <v>1</v>
      </c>
      <c r="H5661" s="6">
        <f>ROUND(G5661*F5661,2)</f>
        <v/>
      </c>
      <c r="I5661">
        <f>IF(ROUND(H5661-D5661,2)=0,1,0)</f>
        <v/>
      </c>
      <c r="J5661">
        <f>IF(F5661="","none",IF(G5661=1,"carte","multiple"))</f>
        <v/>
      </c>
    </row>
    <row r="5662">
      <c r="A5662" t="inlineStr">
        <is>
          <t>2022-10-02</t>
        </is>
      </c>
      <c r="B5662" t="inlineStr">
        <is>
          <t>10:54</t>
        </is>
      </c>
      <c r="C5662" t="n">
        <v>3069</v>
      </c>
      <c r="D5662" s="6" t="n">
        <v>8.9</v>
      </c>
      <c r="E5662" t="n">
        <v>42754</v>
      </c>
      <c r="F5662" s="6" t="n">
        <v>8.9</v>
      </c>
      <c r="G5662" t="n">
        <v>1</v>
      </c>
      <c r="H5662" s="6">
        <f>ROUND(G5662*F5662,2)</f>
        <v/>
      </c>
      <c r="I5662">
        <f>IF(ROUND(H5662-D5662,2)=0,1,0)</f>
        <v/>
      </c>
      <c r="J5662">
        <f>IF(F5662="","none",IF(G5662=1,"carte","multiple"))</f>
        <v/>
      </c>
    </row>
    <row r="5663">
      <c r="A5663" t="inlineStr">
        <is>
          <t>2022-10-02</t>
        </is>
      </c>
      <c r="B5663" t="inlineStr">
        <is>
          <t>11:03</t>
        </is>
      </c>
      <c r="C5663" t="n">
        <v>3069</v>
      </c>
      <c r="D5663" s="6" t="n">
        <v>17.6</v>
      </c>
      <c r="E5663" t="n">
        <v>42755</v>
      </c>
      <c r="F5663" s="6" t="n">
        <v>17.6</v>
      </c>
      <c r="G5663" t="n">
        <v>1</v>
      </c>
      <c r="H5663" s="6">
        <f>ROUND(G5663*F5663,2)</f>
        <v/>
      </c>
      <c r="I5663">
        <f>IF(ROUND(H5663-D5663,2)=0,1,0)</f>
        <v/>
      </c>
      <c r="J5663">
        <f>IF(F5663="","none",IF(G5663=1,"carte","multiple"))</f>
        <v/>
      </c>
    </row>
    <row r="5664">
      <c r="A5664" t="inlineStr">
        <is>
          <t>2022-10-02</t>
        </is>
      </c>
      <c r="B5664" t="inlineStr">
        <is>
          <t>12:24</t>
        </is>
      </c>
      <c r="C5664" t="n">
        <v>3069</v>
      </c>
      <c r="D5664" s="6" t="n">
        <v>8.699999999999999</v>
      </c>
      <c r="E5664" t="n">
        <v>42756</v>
      </c>
      <c r="F5664" s="6" t="n">
        <v>8.699999999999999</v>
      </c>
      <c r="G5664" t="n">
        <v>1</v>
      </c>
      <c r="H5664" s="6">
        <f>ROUND(G5664*F5664,2)</f>
        <v/>
      </c>
      <c r="I5664">
        <f>IF(ROUND(H5664-D5664,2)=0,1,0)</f>
        <v/>
      </c>
      <c r="J5664">
        <f>IF(F5664="","none",IF(G5664=1,"carte","multiple"))</f>
        <v/>
      </c>
    </row>
    <row r="5665">
      <c r="A5665" t="inlineStr">
        <is>
          <t>2022-10-02</t>
        </is>
      </c>
      <c r="B5665" t="inlineStr">
        <is>
          <t>18:18</t>
        </is>
      </c>
      <c r="C5665" t="n">
        <v>3069</v>
      </c>
      <c r="D5665" s="6" t="n">
        <v>7.9</v>
      </c>
      <c r="E5665" t="n">
        <v>42758</v>
      </c>
      <c r="F5665" s="6" t="n">
        <v>7.9</v>
      </c>
      <c r="G5665" t="n">
        <v>1</v>
      </c>
      <c r="H5665" s="6">
        <f>ROUND(G5665*F5665,2)</f>
        <v/>
      </c>
      <c r="I5665">
        <f>IF(ROUND(H5665-D5665,2)=0,1,0)</f>
        <v/>
      </c>
      <c r="J5665">
        <f>IF(F5665="","none",IF(G5665=1,"carte","multiple"))</f>
        <v/>
      </c>
    </row>
    <row r="5666">
      <c r="A5666" t="inlineStr">
        <is>
          <t>2022-10-02</t>
        </is>
      </c>
      <c r="B5666" t="inlineStr">
        <is>
          <t>18:18</t>
        </is>
      </c>
      <c r="C5666" t="n">
        <v>3069</v>
      </c>
      <c r="D5666" s="6" t="n">
        <v>4</v>
      </c>
      <c r="E5666" t="n">
        <v>42759</v>
      </c>
      <c r="F5666" s="6" t="n">
        <v>4</v>
      </c>
      <c r="G5666" t="n">
        <v>1</v>
      </c>
      <c r="H5666" s="6">
        <f>ROUND(G5666*F5666,2)</f>
        <v/>
      </c>
      <c r="I5666">
        <f>IF(ROUND(H5666-D5666,2)=0,1,0)</f>
        <v/>
      </c>
      <c r="J5666">
        <f>IF(F5666="","none",IF(G5666=1,"carte","multiple"))</f>
        <v/>
      </c>
    </row>
    <row r="5667">
      <c r="A5667" t="inlineStr">
        <is>
          <t>2022-10-02</t>
        </is>
      </c>
      <c r="B5667" t="inlineStr">
        <is>
          <t>18:18</t>
        </is>
      </c>
      <c r="C5667" t="n">
        <v>3069</v>
      </c>
      <c r="D5667" s="6" t="n">
        <v>8.800000000000001</v>
      </c>
      <c r="E5667" t="n">
        <v>42760</v>
      </c>
      <c r="F5667" s="6" t="n">
        <v>8.800000000000001</v>
      </c>
      <c r="G5667" t="n">
        <v>1</v>
      </c>
      <c r="H5667" s="6">
        <f>ROUND(G5667*F5667,2)</f>
        <v/>
      </c>
      <c r="I5667">
        <f>IF(ROUND(H5667-D5667,2)=0,1,0)</f>
        <v/>
      </c>
      <c r="J5667">
        <f>IF(F5667="","none",IF(G5667=1,"carte","multiple"))</f>
        <v/>
      </c>
    </row>
    <row r="5668">
      <c r="A5668" t="inlineStr">
        <is>
          <t>2022-10-02</t>
        </is>
      </c>
      <c r="B5668" t="inlineStr">
        <is>
          <t>18:18</t>
        </is>
      </c>
      <c r="C5668" t="n">
        <v>3069</v>
      </c>
      <c r="D5668" s="6" t="n">
        <v>5.9</v>
      </c>
      <c r="E5668" t="n">
        <v>42761</v>
      </c>
      <c r="F5668" s="6" t="n">
        <v>5.9</v>
      </c>
      <c r="G5668" t="n">
        <v>1</v>
      </c>
      <c r="H5668" s="6">
        <f>ROUND(G5668*F5668,2)</f>
        <v/>
      </c>
      <c r="I5668">
        <f>IF(ROUND(H5668-D5668,2)=0,1,0)</f>
        <v/>
      </c>
      <c r="J5668">
        <f>IF(F5668="","none",IF(G5668=1,"carte","multiple"))</f>
        <v/>
      </c>
    </row>
    <row r="5669">
      <c r="A5669" t="inlineStr">
        <is>
          <t>2022-10-02</t>
        </is>
      </c>
      <c r="B5669" t="inlineStr">
        <is>
          <t>18:19</t>
        </is>
      </c>
      <c r="C5669" t="n">
        <v>3069</v>
      </c>
      <c r="D5669" s="6" t="n">
        <v>3.9</v>
      </c>
      <c r="E5669" t="n">
        <v>42762</v>
      </c>
      <c r="F5669" s="6" t="n">
        <v>3.9</v>
      </c>
      <c r="G5669" t="n">
        <v>1</v>
      </c>
      <c r="H5669" s="6">
        <f>ROUND(G5669*F5669,2)</f>
        <v/>
      </c>
      <c r="I5669">
        <f>IF(ROUND(H5669-D5669,2)=0,1,0)</f>
        <v/>
      </c>
      <c r="J5669">
        <f>IF(F5669="","none",IF(G5669=1,"carte","multiple"))</f>
        <v/>
      </c>
    </row>
    <row r="5670">
      <c r="A5670" t="inlineStr">
        <is>
          <t>2022-10-02</t>
        </is>
      </c>
      <c r="B5670" t="inlineStr">
        <is>
          <t>18:19</t>
        </is>
      </c>
      <c r="C5670" t="n">
        <v>3069</v>
      </c>
      <c r="D5670" s="6" t="n">
        <v>48</v>
      </c>
      <c r="E5670" t="n">
        <v>42763</v>
      </c>
      <c r="F5670" s="6" t="n">
        <v>0.4</v>
      </c>
      <c r="G5670" t="n">
        <v>120</v>
      </c>
      <c r="H5670" s="6">
        <f>ROUND(G5670*F5670,2)</f>
        <v/>
      </c>
      <c r="I5670">
        <f>IF(ROUND(H5670-D5670,2)=0,1,0)</f>
        <v/>
      </c>
      <c r="J5670">
        <f>IF(F5670="","none",IF(G5670=1,"carte","multiple"))</f>
        <v/>
      </c>
    </row>
    <row r="5671">
      <c r="A5671" t="inlineStr">
        <is>
          <t>2022-10-02</t>
        </is>
      </c>
      <c r="B5671" t="inlineStr">
        <is>
          <t>19:13</t>
        </is>
      </c>
      <c r="C5671" t="n">
        <v>3069</v>
      </c>
      <c r="D5671" s="6" t="n">
        <v>2.9</v>
      </c>
      <c r="E5671" t="n">
        <v>42764</v>
      </c>
      <c r="F5671" s="6" t="n">
        <v>2.9</v>
      </c>
      <c r="G5671" t="n">
        <v>1</v>
      </c>
      <c r="H5671" s="6">
        <f>ROUND(G5671*F5671,2)</f>
        <v/>
      </c>
      <c r="I5671">
        <f>IF(ROUND(H5671-D5671,2)=0,1,0)</f>
        <v/>
      </c>
      <c r="J5671">
        <f>IF(F5671="","none",IF(G5671=1,"carte","multiple"))</f>
        <v/>
      </c>
    </row>
    <row r="5672">
      <c r="A5672" t="inlineStr">
        <is>
          <t>2022-10-02</t>
        </is>
      </c>
      <c r="B5672" t="inlineStr">
        <is>
          <t>19:13</t>
        </is>
      </c>
      <c r="C5672" t="n">
        <v>3069</v>
      </c>
      <c r="D5672" s="6" t="n">
        <v>6.9</v>
      </c>
      <c r="E5672" t="n">
        <v>42765</v>
      </c>
      <c r="F5672" s="6" t="n">
        <v>6.9</v>
      </c>
      <c r="G5672" t="n">
        <v>1</v>
      </c>
      <c r="H5672" s="6">
        <f>ROUND(G5672*F5672,2)</f>
        <v/>
      </c>
      <c r="I5672">
        <f>IF(ROUND(H5672-D5672,2)=0,1,0)</f>
        <v/>
      </c>
      <c r="J5672">
        <f>IF(F5672="","none",IF(G5672=1,"carte","multiple"))</f>
        <v/>
      </c>
    </row>
    <row r="5673">
      <c r="A5673" t="inlineStr">
        <is>
          <t>2022-10-02</t>
        </is>
      </c>
      <c r="B5673" t="inlineStr">
        <is>
          <t>19:13</t>
        </is>
      </c>
      <c r="C5673" t="n">
        <v>3069</v>
      </c>
      <c r="D5673" s="6" t="n">
        <v>8.4</v>
      </c>
      <c r="E5673" t="n">
        <v>42766</v>
      </c>
      <c r="F5673" s="6" t="n">
        <v>8.4</v>
      </c>
      <c r="G5673" t="n">
        <v>1</v>
      </c>
      <c r="H5673" s="6">
        <f>ROUND(G5673*F5673,2)</f>
        <v/>
      </c>
      <c r="I5673">
        <f>IF(ROUND(H5673-D5673,2)=0,1,0)</f>
        <v/>
      </c>
      <c r="J5673">
        <f>IF(F5673="","none",IF(G5673=1,"carte","multiple"))</f>
        <v/>
      </c>
    </row>
    <row r="5674">
      <c r="A5674" t="inlineStr">
        <is>
          <t>2022-10-02</t>
        </is>
      </c>
      <c r="B5674" t="inlineStr">
        <is>
          <t>19:13</t>
        </is>
      </c>
      <c r="C5674" t="n">
        <v>3069</v>
      </c>
      <c r="D5674" s="6" t="n">
        <v>3.6</v>
      </c>
      <c r="E5674" t="n">
        <v>42767</v>
      </c>
      <c r="F5674" s="6" t="n">
        <v>3.6</v>
      </c>
      <c r="G5674" t="n">
        <v>1</v>
      </c>
      <c r="H5674" s="6">
        <f>ROUND(G5674*F5674,2)</f>
        <v/>
      </c>
      <c r="I5674">
        <f>IF(ROUND(H5674-D5674,2)=0,1,0)</f>
        <v/>
      </c>
      <c r="J5674">
        <f>IF(F5674="","none",IF(G5674=1,"carte","multiple"))</f>
        <v/>
      </c>
    </row>
    <row r="5675">
      <c r="A5675" t="inlineStr">
        <is>
          <t>2022-10-02</t>
        </is>
      </c>
      <c r="B5675" t="inlineStr">
        <is>
          <t>19:13</t>
        </is>
      </c>
      <c r="C5675" t="n">
        <v>3069</v>
      </c>
      <c r="D5675" s="6" t="n">
        <v>8.699999999999999</v>
      </c>
      <c r="E5675" t="n">
        <v>42768</v>
      </c>
      <c r="F5675" s="6" t="n">
        <v>8.699999999999999</v>
      </c>
      <c r="G5675" t="n">
        <v>1</v>
      </c>
      <c r="H5675" s="6">
        <f>ROUND(G5675*F5675,2)</f>
        <v/>
      </c>
      <c r="I5675">
        <f>IF(ROUND(H5675-D5675,2)=0,1,0)</f>
        <v/>
      </c>
      <c r="J5675">
        <f>IF(F5675="","none",IF(G5675=1,"carte","multiple"))</f>
        <v/>
      </c>
    </row>
    <row r="5676">
      <c r="A5676" t="inlineStr">
        <is>
          <t>2022-10-02</t>
        </is>
      </c>
      <c r="B5676" t="inlineStr">
        <is>
          <t>19:13</t>
        </is>
      </c>
      <c r="C5676" t="n">
        <v>3069</v>
      </c>
      <c r="D5676" s="6" t="n">
        <v>17.6</v>
      </c>
      <c r="E5676" t="n">
        <v>42769</v>
      </c>
      <c r="F5676" s="6" t="n">
        <v>17.6</v>
      </c>
      <c r="G5676" t="n">
        <v>1</v>
      </c>
      <c r="H5676" s="6">
        <f>ROUND(G5676*F5676,2)</f>
        <v/>
      </c>
      <c r="I5676">
        <f>IF(ROUND(H5676-D5676,2)=0,1,0)</f>
        <v/>
      </c>
      <c r="J5676">
        <f>IF(F5676="","none",IF(G5676=1,"carte","multiple"))</f>
        <v/>
      </c>
    </row>
    <row r="5677">
      <c r="A5677" t="inlineStr">
        <is>
          <t>2022-10-02</t>
        </is>
      </c>
      <c r="B5677" t="inlineStr">
        <is>
          <t>19:13</t>
        </is>
      </c>
      <c r="C5677" t="n">
        <v>3069</v>
      </c>
      <c r="D5677" s="6" t="n">
        <v>17.6</v>
      </c>
      <c r="E5677" t="n">
        <v>42770</v>
      </c>
      <c r="F5677" s="6" t="n">
        <v>17.6</v>
      </c>
      <c r="G5677" t="n">
        <v>1</v>
      </c>
      <c r="H5677" s="6">
        <f>ROUND(G5677*F5677,2)</f>
        <v/>
      </c>
      <c r="I5677">
        <f>IF(ROUND(H5677-D5677,2)=0,1,0)</f>
        <v/>
      </c>
      <c r="J5677">
        <f>IF(F5677="","none",IF(G5677=1,"carte","multiple"))</f>
        <v/>
      </c>
    </row>
    <row r="5678">
      <c r="A5678" t="inlineStr">
        <is>
          <t>2022-10-02</t>
        </is>
      </c>
      <c r="B5678" t="inlineStr">
        <is>
          <t>19:13</t>
        </is>
      </c>
      <c r="C5678" t="n">
        <v>3069</v>
      </c>
      <c r="D5678" s="6" t="n">
        <v>9.800000000000001</v>
      </c>
      <c r="E5678" t="n">
        <v>42771</v>
      </c>
      <c r="F5678" s="6" t="n">
        <v>9.800000000000001</v>
      </c>
      <c r="G5678" t="n">
        <v>1</v>
      </c>
      <c r="H5678" s="6">
        <f>ROUND(G5678*F5678,2)</f>
        <v/>
      </c>
      <c r="I5678">
        <f>IF(ROUND(H5678-D5678,2)=0,1,0)</f>
        <v/>
      </c>
      <c r="J5678">
        <f>IF(F5678="","none",IF(G5678=1,"carte","multiple"))</f>
        <v/>
      </c>
    </row>
    <row r="5679">
      <c r="A5679" t="inlineStr">
        <is>
          <t>2022-10-02</t>
        </is>
      </c>
      <c r="B5679" t="inlineStr">
        <is>
          <t>19:58</t>
        </is>
      </c>
      <c r="C5679" t="n">
        <v>3069</v>
      </c>
      <c r="D5679" s="6" t="n">
        <v>17</v>
      </c>
      <c r="E5679" t="n">
        <v>42772</v>
      </c>
      <c r="F5679" s="6" t="n">
        <v>17</v>
      </c>
      <c r="G5679" t="n">
        <v>1</v>
      </c>
      <c r="H5679" s="6">
        <f>ROUND(G5679*F5679,2)</f>
        <v/>
      </c>
      <c r="I5679">
        <f>IF(ROUND(H5679-D5679,2)=0,1,0)</f>
        <v/>
      </c>
      <c r="J5679">
        <f>IF(F5679="","none",IF(G5679=1,"carte","multiple"))</f>
        <v/>
      </c>
    </row>
    <row r="5680">
      <c r="A5680" t="inlineStr">
        <is>
          <t>2022-10-02</t>
        </is>
      </c>
      <c r="B5680" t="inlineStr">
        <is>
          <t>19:58</t>
        </is>
      </c>
      <c r="C5680" t="n">
        <v>3069</v>
      </c>
      <c r="D5680" s="6" t="n">
        <v>4.4</v>
      </c>
      <c r="E5680" t="n">
        <v>42773</v>
      </c>
      <c r="F5680" s="6" t="n">
        <v>0.4</v>
      </c>
      <c r="G5680" t="n">
        <v>11</v>
      </c>
      <c r="H5680" s="6">
        <f>ROUND(G5680*F5680,2)</f>
        <v/>
      </c>
      <c r="I5680">
        <f>IF(ROUND(H5680-D5680,2)=0,1,0)</f>
        <v/>
      </c>
      <c r="J5680">
        <f>IF(F5680="","none",IF(G5680=1,"carte","multiple"))</f>
        <v/>
      </c>
    </row>
    <row r="5681">
      <c r="A5681" t="inlineStr">
        <is>
          <t>2022-10-02</t>
        </is>
      </c>
      <c r="B5681" t="inlineStr">
        <is>
          <t>19:58</t>
        </is>
      </c>
      <c r="C5681" t="n">
        <v>3069</v>
      </c>
      <c r="D5681" s="6" t="n">
        <v>29.9</v>
      </c>
      <c r="E5681" t="n">
        <v>42774</v>
      </c>
      <c r="F5681" s="6" t="n">
        <v>29.9</v>
      </c>
      <c r="G5681" t="n">
        <v>1</v>
      </c>
      <c r="H5681" s="6">
        <f>ROUND(G5681*F5681,2)</f>
        <v/>
      </c>
      <c r="I5681">
        <f>IF(ROUND(H5681-D5681,2)=0,1,0)</f>
        <v/>
      </c>
      <c r="J5681">
        <f>IF(F5681="","none",IF(G5681=1,"carte","multiple"))</f>
        <v/>
      </c>
    </row>
    <row r="5682">
      <c r="A5682" t="inlineStr">
        <is>
          <t>2022-10-02</t>
        </is>
      </c>
      <c r="B5682" t="inlineStr">
        <is>
          <t>19:58</t>
        </is>
      </c>
      <c r="C5682" t="n">
        <v>3069</v>
      </c>
      <c r="D5682" s="6" t="n">
        <v>8.800000000000001</v>
      </c>
      <c r="E5682" t="n">
        <v>42775</v>
      </c>
      <c r="F5682" s="6" t="n">
        <v>8.800000000000001</v>
      </c>
      <c r="G5682" t="n">
        <v>1</v>
      </c>
      <c r="H5682" s="6">
        <f>ROUND(G5682*F5682,2)</f>
        <v/>
      </c>
      <c r="I5682">
        <f>IF(ROUND(H5682-D5682,2)=0,1,0)</f>
        <v/>
      </c>
      <c r="J5682">
        <f>IF(F5682="","none",IF(G5682=1,"carte","multiple"))</f>
        <v/>
      </c>
    </row>
    <row r="5683">
      <c r="A5683" t="inlineStr">
        <is>
          <t>2022-10-02</t>
        </is>
      </c>
      <c r="B5683" t="inlineStr">
        <is>
          <t>19:58</t>
        </is>
      </c>
      <c r="C5683" t="n">
        <v>3069</v>
      </c>
      <c r="D5683" s="6" t="n">
        <v>29.8</v>
      </c>
      <c r="E5683" t="n">
        <v>42776</v>
      </c>
      <c r="F5683" s="6" t="n">
        <v>14.9</v>
      </c>
      <c r="G5683" t="n">
        <v>2</v>
      </c>
      <c r="H5683" s="6">
        <f>ROUND(G5683*F5683,2)</f>
        <v/>
      </c>
      <c r="I5683">
        <f>IF(ROUND(H5683-D5683,2)=0,1,0)</f>
        <v/>
      </c>
      <c r="J5683">
        <f>IF(F5683="","none",IF(G5683=1,"carte","multiple"))</f>
        <v/>
      </c>
    </row>
    <row r="5684">
      <c r="A5684" t="inlineStr">
        <is>
          <t>2022-10-02</t>
        </is>
      </c>
      <c r="B5684" t="inlineStr">
        <is>
          <t>19:58</t>
        </is>
      </c>
      <c r="C5684" t="n">
        <v>3069</v>
      </c>
      <c r="D5684" s="6" t="n">
        <v>10.4</v>
      </c>
      <c r="E5684" t="n">
        <v>42777</v>
      </c>
      <c r="F5684" s="6" t="n">
        <v>0.4</v>
      </c>
      <c r="G5684" t="n">
        <v>26</v>
      </c>
      <c r="H5684" s="6">
        <f>ROUND(G5684*F5684,2)</f>
        <v/>
      </c>
      <c r="I5684">
        <f>IF(ROUND(H5684-D5684,2)=0,1,0)</f>
        <v/>
      </c>
      <c r="J5684">
        <f>IF(F5684="","none",IF(G5684=1,"carte","multiple"))</f>
        <v/>
      </c>
    </row>
    <row r="5685">
      <c r="A5685" t="inlineStr">
        <is>
          <t>2022-10-05</t>
        </is>
      </c>
      <c r="B5685" t="inlineStr">
        <is>
          <t>11:48</t>
        </is>
      </c>
      <c r="C5685" t="n">
        <v>3070</v>
      </c>
      <c r="D5685" s="6" t="n">
        <v>19.9</v>
      </c>
      <c r="E5685" t="n">
        <v>42780</v>
      </c>
      <c r="F5685" s="6" t="n">
        <v>19.9</v>
      </c>
      <c r="G5685" t="n">
        <v>1</v>
      </c>
      <c r="H5685" s="6">
        <f>ROUND(G5685*F5685,2)</f>
        <v/>
      </c>
      <c r="I5685">
        <f>IF(ROUND(H5685-D5685,2)=0,1,0)</f>
        <v/>
      </c>
      <c r="J5685">
        <f>IF(F5685="","none",IF(G5685=1,"carte","multiple"))</f>
        <v/>
      </c>
    </row>
    <row r="5686">
      <c r="A5686" t="inlineStr">
        <is>
          <t>2022-10-05</t>
        </is>
      </c>
      <c r="B5686" t="inlineStr">
        <is>
          <t>11:59</t>
        </is>
      </c>
      <c r="C5686" t="n">
        <v>3070</v>
      </c>
      <c r="D5686" s="6" t="n">
        <v>2.2</v>
      </c>
      <c r="E5686" t="n">
        <v>42781</v>
      </c>
      <c r="F5686" s="6" t="n">
        <v>2.2</v>
      </c>
      <c r="G5686" t="n">
        <v>1</v>
      </c>
      <c r="H5686" s="6">
        <f>ROUND(G5686*F5686,2)</f>
        <v/>
      </c>
      <c r="I5686">
        <f>IF(ROUND(H5686-D5686,2)=0,1,0)</f>
        <v/>
      </c>
      <c r="J5686">
        <f>IF(F5686="","none",IF(G5686=1,"carte","multiple"))</f>
        <v/>
      </c>
    </row>
    <row r="5687">
      <c r="A5687" t="inlineStr">
        <is>
          <t>2022-10-05</t>
        </is>
      </c>
      <c r="B5687" t="inlineStr">
        <is>
          <t>12:00</t>
        </is>
      </c>
      <c r="C5687" t="n">
        <v>3070</v>
      </c>
      <c r="D5687" s="6" t="n">
        <v>4</v>
      </c>
      <c r="E5687" t="n">
        <v>42782</v>
      </c>
      <c r="F5687" s="6" t="n">
        <v>4</v>
      </c>
      <c r="G5687" t="n">
        <v>1</v>
      </c>
      <c r="H5687" s="6">
        <f>ROUND(G5687*F5687,2)</f>
        <v/>
      </c>
      <c r="I5687">
        <f>IF(ROUND(H5687-D5687,2)=0,1,0)</f>
        <v/>
      </c>
      <c r="J5687">
        <f>IF(F5687="","none",IF(G5687=1,"carte","multiple"))</f>
        <v/>
      </c>
    </row>
    <row r="5688">
      <c r="A5688" t="inlineStr">
        <is>
          <t>2022-10-05</t>
        </is>
      </c>
      <c r="B5688" t="inlineStr">
        <is>
          <t>12:00</t>
        </is>
      </c>
      <c r="C5688" t="n">
        <v>3070</v>
      </c>
      <c r="D5688" s="6" t="n">
        <v>7.2</v>
      </c>
      <c r="E5688" t="n">
        <v>42783</v>
      </c>
      <c r="F5688" s="6" t="n">
        <v>7.2</v>
      </c>
      <c r="G5688" t="n">
        <v>1</v>
      </c>
      <c r="H5688" s="6">
        <f>ROUND(G5688*F5688,2)</f>
        <v/>
      </c>
      <c r="I5688">
        <f>IF(ROUND(H5688-D5688,2)=0,1,0)</f>
        <v/>
      </c>
      <c r="J5688">
        <f>IF(F5688="","none",IF(G5688=1,"carte","multiple"))</f>
        <v/>
      </c>
    </row>
    <row r="5689">
      <c r="A5689" t="inlineStr">
        <is>
          <t>2022-10-05</t>
        </is>
      </c>
      <c r="B5689" t="inlineStr">
        <is>
          <t>12:00</t>
        </is>
      </c>
      <c r="C5689" t="n">
        <v>3070</v>
      </c>
      <c r="D5689" s="6" t="n">
        <v>17.6</v>
      </c>
      <c r="E5689" t="n">
        <v>42784</v>
      </c>
      <c r="F5689" s="6" t="n">
        <v>17.6</v>
      </c>
      <c r="G5689" t="n">
        <v>1</v>
      </c>
      <c r="H5689" s="6">
        <f>ROUND(G5689*F5689,2)</f>
        <v/>
      </c>
      <c r="I5689">
        <f>IF(ROUND(H5689-D5689,2)=0,1,0)</f>
        <v/>
      </c>
      <c r="J5689">
        <f>IF(F5689="","none",IF(G5689=1,"carte","multiple"))</f>
        <v/>
      </c>
    </row>
    <row r="5690">
      <c r="A5690" t="inlineStr">
        <is>
          <t>2022-10-05</t>
        </is>
      </c>
      <c r="B5690" t="inlineStr">
        <is>
          <t>12:00</t>
        </is>
      </c>
      <c r="C5690" t="n">
        <v>3070</v>
      </c>
      <c r="D5690" s="6" t="n">
        <v>17.6</v>
      </c>
      <c r="E5690" t="n">
        <v>42785</v>
      </c>
      <c r="F5690" s="6" t="n">
        <v>17.6</v>
      </c>
      <c r="G5690" t="n">
        <v>1</v>
      </c>
      <c r="H5690" s="6">
        <f>ROUND(G5690*F5690,2)</f>
        <v/>
      </c>
      <c r="I5690">
        <f>IF(ROUND(H5690-D5690,2)=0,1,0)</f>
        <v/>
      </c>
      <c r="J5690">
        <f>IF(F5690="","none",IF(G5690=1,"carte","multiple"))</f>
        <v/>
      </c>
    </row>
    <row r="5691">
      <c r="A5691" t="inlineStr">
        <is>
          <t>2022-10-05</t>
        </is>
      </c>
      <c r="B5691" t="inlineStr">
        <is>
          <t>12:08</t>
        </is>
      </c>
      <c r="C5691" t="n">
        <v>3070</v>
      </c>
      <c r="D5691" s="6" t="n">
        <v>8.800000000000001</v>
      </c>
      <c r="E5691" t="n">
        <v>42786</v>
      </c>
      <c r="F5691" s="6" t="n">
        <v>8.800000000000001</v>
      </c>
      <c r="G5691" t="n">
        <v>1</v>
      </c>
      <c r="H5691" s="6">
        <f>ROUND(G5691*F5691,2)</f>
        <v/>
      </c>
      <c r="I5691">
        <f>IF(ROUND(H5691-D5691,2)=0,1,0)</f>
        <v/>
      </c>
      <c r="J5691">
        <f>IF(F5691="","none",IF(G5691=1,"carte","multiple"))</f>
        <v/>
      </c>
    </row>
    <row r="5692">
      <c r="A5692" t="inlineStr">
        <is>
          <t>2022-10-05</t>
        </is>
      </c>
      <c r="B5692" t="inlineStr">
        <is>
          <t>12:08</t>
        </is>
      </c>
      <c r="C5692" t="n">
        <v>3070</v>
      </c>
      <c r="D5692" s="6" t="n">
        <v>2.2</v>
      </c>
      <c r="E5692" t="n">
        <v>42787</v>
      </c>
      <c r="F5692" s="6" t="n">
        <v>2.2</v>
      </c>
      <c r="G5692" t="n">
        <v>1</v>
      </c>
      <c r="H5692" s="6">
        <f>ROUND(G5692*F5692,2)</f>
        <v/>
      </c>
      <c r="I5692">
        <f>IF(ROUND(H5692-D5692,2)=0,1,0)</f>
        <v/>
      </c>
      <c r="J5692">
        <f>IF(F5692="","none",IF(G5692=1,"carte","multiple"))</f>
        <v/>
      </c>
    </row>
    <row r="5693">
      <c r="A5693" t="inlineStr">
        <is>
          <t>2022-10-05</t>
        </is>
      </c>
      <c r="B5693" t="inlineStr">
        <is>
          <t>12:08</t>
        </is>
      </c>
      <c r="C5693" t="n">
        <v>3070</v>
      </c>
      <c r="D5693" s="6" t="n">
        <v>3.6</v>
      </c>
      <c r="E5693" t="n">
        <v>42788</v>
      </c>
      <c r="F5693" s="6" t="n">
        <v>3.6</v>
      </c>
      <c r="G5693" t="n">
        <v>1</v>
      </c>
      <c r="H5693" s="6">
        <f>ROUND(G5693*F5693,2)</f>
        <v/>
      </c>
      <c r="I5693">
        <f>IF(ROUND(H5693-D5693,2)=0,1,0)</f>
        <v/>
      </c>
      <c r="J5693">
        <f>IF(F5693="","none",IF(G5693=1,"carte","multiple"))</f>
        <v/>
      </c>
    </row>
    <row r="5694">
      <c r="A5694" t="inlineStr">
        <is>
          <t>2022-10-05</t>
        </is>
      </c>
      <c r="B5694" t="inlineStr">
        <is>
          <t>12:08</t>
        </is>
      </c>
      <c r="C5694" t="n">
        <v>3070</v>
      </c>
      <c r="D5694" s="6" t="n">
        <v>29.8</v>
      </c>
      <c r="E5694" t="n">
        <v>42789</v>
      </c>
      <c r="F5694" s="6" t="n">
        <v>14.9</v>
      </c>
      <c r="G5694" t="n">
        <v>2</v>
      </c>
      <c r="H5694" s="6">
        <f>ROUND(G5694*F5694,2)</f>
        <v/>
      </c>
      <c r="I5694">
        <f>IF(ROUND(H5694-D5694,2)=0,1,0)</f>
        <v/>
      </c>
      <c r="J5694">
        <f>IF(F5694="","none",IF(G5694=1,"carte","multiple"))</f>
        <v/>
      </c>
    </row>
    <row r="5695">
      <c r="A5695" t="inlineStr">
        <is>
          <t>2022-10-05</t>
        </is>
      </c>
      <c r="B5695" t="inlineStr">
        <is>
          <t>12:08</t>
        </is>
      </c>
      <c r="C5695" t="n">
        <v>3070</v>
      </c>
      <c r="D5695" s="6" t="n">
        <v>5.2</v>
      </c>
      <c r="E5695" t="n">
        <v>42790</v>
      </c>
      <c r="F5695" s="6" t="n">
        <v>5.2</v>
      </c>
      <c r="G5695" t="n">
        <v>1</v>
      </c>
      <c r="H5695" s="6">
        <f>ROUND(G5695*F5695,2)</f>
        <v/>
      </c>
      <c r="I5695">
        <f>IF(ROUND(H5695-D5695,2)=0,1,0)</f>
        <v/>
      </c>
      <c r="J5695">
        <f>IF(F5695="","none",IF(G5695=1,"carte","multiple"))</f>
        <v/>
      </c>
    </row>
    <row r="5696">
      <c r="A5696" t="inlineStr">
        <is>
          <t>2022-10-05</t>
        </is>
      </c>
      <c r="B5696" t="inlineStr">
        <is>
          <t>12:08</t>
        </is>
      </c>
      <c r="C5696" t="n">
        <v>3070</v>
      </c>
      <c r="D5696" s="6" t="n">
        <v>3.8</v>
      </c>
      <c r="E5696" t="n">
        <v>42791</v>
      </c>
      <c r="F5696" s="6" t="n">
        <v>3.8</v>
      </c>
      <c r="G5696" t="n">
        <v>1</v>
      </c>
      <c r="H5696" s="6">
        <f>ROUND(G5696*F5696,2)</f>
        <v/>
      </c>
      <c r="I5696">
        <f>IF(ROUND(H5696-D5696,2)=0,1,0)</f>
        <v/>
      </c>
      <c r="J5696">
        <f>IF(F5696="","none",IF(G5696=1,"carte","multiple"))</f>
        <v/>
      </c>
    </row>
    <row r="5697">
      <c r="A5697" t="inlineStr">
        <is>
          <t>2022-10-05</t>
        </is>
      </c>
      <c r="B5697" t="inlineStr">
        <is>
          <t>12:15</t>
        </is>
      </c>
      <c r="C5697" t="n">
        <v>3070</v>
      </c>
      <c r="D5697" s="6" t="n">
        <v>3.9</v>
      </c>
      <c r="E5697" t="n">
        <v>42792</v>
      </c>
      <c r="F5697" s="6" t="n">
        <v>3.9</v>
      </c>
      <c r="G5697" t="n">
        <v>1</v>
      </c>
      <c r="H5697" s="6">
        <f>ROUND(G5697*F5697,2)</f>
        <v/>
      </c>
      <c r="I5697">
        <f>IF(ROUND(H5697-D5697,2)=0,1,0)</f>
        <v/>
      </c>
      <c r="J5697">
        <f>IF(F5697="","none",IF(G5697=1,"carte","multiple"))</f>
        <v/>
      </c>
    </row>
    <row r="5698">
      <c r="A5698" t="inlineStr">
        <is>
          <t>2022-10-05</t>
        </is>
      </c>
      <c r="B5698" t="inlineStr">
        <is>
          <t>12:15</t>
        </is>
      </c>
      <c r="C5698" t="n">
        <v>3070</v>
      </c>
      <c r="D5698" s="6" t="n">
        <v>7.9</v>
      </c>
      <c r="E5698" t="n">
        <v>42793</v>
      </c>
      <c r="F5698" s="6" t="n">
        <v>7.9</v>
      </c>
      <c r="G5698" t="n">
        <v>1</v>
      </c>
      <c r="H5698" s="6">
        <f>ROUND(G5698*F5698,2)</f>
        <v/>
      </c>
      <c r="I5698">
        <f>IF(ROUND(H5698-D5698,2)=0,1,0)</f>
        <v/>
      </c>
      <c r="J5698">
        <f>IF(F5698="","none",IF(G5698=1,"carte","multiple"))</f>
        <v/>
      </c>
    </row>
    <row r="5699">
      <c r="A5699" t="inlineStr">
        <is>
          <t>2022-10-05</t>
        </is>
      </c>
      <c r="B5699" t="inlineStr">
        <is>
          <t>12:15</t>
        </is>
      </c>
      <c r="C5699" t="n">
        <v>3070</v>
      </c>
      <c r="D5699" s="6" t="n">
        <v>19.9</v>
      </c>
      <c r="E5699" t="n">
        <v>42794</v>
      </c>
      <c r="F5699" s="6" t="n">
        <v>19.9</v>
      </c>
      <c r="G5699" t="n">
        <v>1</v>
      </c>
      <c r="H5699" s="6">
        <f>ROUND(G5699*F5699,2)</f>
        <v/>
      </c>
      <c r="I5699">
        <f>IF(ROUND(H5699-D5699,2)=0,1,0)</f>
        <v/>
      </c>
      <c r="J5699">
        <f>IF(F5699="","none",IF(G5699=1,"carte","multiple"))</f>
        <v/>
      </c>
    </row>
    <row r="5700">
      <c r="A5700" t="inlineStr">
        <is>
          <t>2022-10-05</t>
        </is>
      </c>
      <c r="B5700" t="inlineStr">
        <is>
          <t>12:15</t>
        </is>
      </c>
      <c r="C5700" t="n">
        <v>3070</v>
      </c>
      <c r="D5700" s="6" t="n">
        <v>8</v>
      </c>
      <c r="E5700" t="n">
        <v>42795</v>
      </c>
      <c r="F5700" s="6" t="n">
        <v>8</v>
      </c>
      <c r="G5700" t="n">
        <v>1</v>
      </c>
      <c r="H5700" s="6">
        <f>ROUND(G5700*F5700,2)</f>
        <v/>
      </c>
      <c r="I5700">
        <f>IF(ROUND(H5700-D5700,2)=0,1,0)</f>
        <v/>
      </c>
      <c r="J5700">
        <f>IF(F5700="","none",IF(G5700=1,"carte","multiple"))</f>
        <v/>
      </c>
    </row>
    <row r="5701">
      <c r="A5701" t="inlineStr">
        <is>
          <t>2022-10-05</t>
        </is>
      </c>
      <c r="B5701" t="inlineStr">
        <is>
          <t>12:15</t>
        </is>
      </c>
      <c r="C5701" t="n">
        <v>3070</v>
      </c>
      <c r="D5701" s="6" t="n">
        <v>7.2</v>
      </c>
      <c r="E5701" t="n">
        <v>42796</v>
      </c>
      <c r="F5701" s="6" t="n">
        <v>7.2</v>
      </c>
      <c r="G5701" t="n">
        <v>1</v>
      </c>
      <c r="H5701" s="6">
        <f>ROUND(G5701*F5701,2)</f>
        <v/>
      </c>
      <c r="I5701">
        <f>IF(ROUND(H5701-D5701,2)=0,1,0)</f>
        <v/>
      </c>
      <c r="J5701">
        <f>IF(F5701="","none",IF(G5701=1,"carte","multiple"))</f>
        <v/>
      </c>
    </row>
    <row r="5702">
      <c r="A5702" t="inlineStr">
        <is>
          <t>2022-10-05</t>
        </is>
      </c>
      <c r="B5702" t="inlineStr">
        <is>
          <t>12:15</t>
        </is>
      </c>
      <c r="C5702" t="n">
        <v>3070</v>
      </c>
      <c r="D5702" s="6" t="n">
        <v>8.9</v>
      </c>
      <c r="E5702" t="n">
        <v>42797</v>
      </c>
      <c r="F5702" s="6" t="n">
        <v>8.9</v>
      </c>
      <c r="G5702" t="n">
        <v>1</v>
      </c>
      <c r="H5702" s="6">
        <f>ROUND(G5702*F5702,2)</f>
        <v/>
      </c>
      <c r="I5702">
        <f>IF(ROUND(H5702-D5702,2)=0,1,0)</f>
        <v/>
      </c>
      <c r="J5702">
        <f>IF(F5702="","none",IF(G5702=1,"carte","multiple"))</f>
        <v/>
      </c>
    </row>
    <row r="5703">
      <c r="A5703" t="inlineStr">
        <is>
          <t>2022-10-05</t>
        </is>
      </c>
      <c r="B5703" t="inlineStr">
        <is>
          <t>12:15</t>
        </is>
      </c>
      <c r="C5703" t="n">
        <v>3070</v>
      </c>
      <c r="D5703" s="6" t="n">
        <v>9.800000000000001</v>
      </c>
      <c r="E5703" t="n">
        <v>42798</v>
      </c>
      <c r="F5703" s="6" t="n">
        <v>9.800000000000001</v>
      </c>
      <c r="G5703" t="n">
        <v>1</v>
      </c>
      <c r="H5703" s="6">
        <f>ROUND(G5703*F5703,2)</f>
        <v/>
      </c>
      <c r="I5703">
        <f>IF(ROUND(H5703-D5703,2)=0,1,0)</f>
        <v/>
      </c>
      <c r="J5703">
        <f>IF(F5703="","none",IF(G5703=1,"carte","multiple"))</f>
        <v/>
      </c>
    </row>
    <row r="5704">
      <c r="A5704" t="inlineStr">
        <is>
          <t>2022-10-05</t>
        </is>
      </c>
      <c r="B5704" t="inlineStr">
        <is>
          <t>12:22</t>
        </is>
      </c>
      <c r="C5704" t="n">
        <v>3070</v>
      </c>
      <c r="D5704" s="6" t="n">
        <v>7.9</v>
      </c>
      <c r="E5704" t="n">
        <v>42799</v>
      </c>
      <c r="F5704" s="6" t="n">
        <v>7.9</v>
      </c>
      <c r="G5704" t="n">
        <v>1</v>
      </c>
      <c r="H5704" s="6">
        <f>ROUND(G5704*F5704,2)</f>
        <v/>
      </c>
      <c r="I5704">
        <f>IF(ROUND(H5704-D5704,2)=0,1,0)</f>
        <v/>
      </c>
      <c r="J5704">
        <f>IF(F5704="","none",IF(G5704=1,"carte","multiple"))</f>
        <v/>
      </c>
    </row>
    <row r="5705">
      <c r="A5705" t="inlineStr">
        <is>
          <t>2022-10-05</t>
        </is>
      </c>
      <c r="B5705" t="inlineStr">
        <is>
          <t>12:22</t>
        </is>
      </c>
      <c r="C5705" t="n">
        <v>3070</v>
      </c>
      <c r="D5705" s="6" t="n">
        <v>7.8</v>
      </c>
      <c r="E5705" t="n">
        <v>42800</v>
      </c>
      <c r="F5705" s="6" t="n">
        <v>7.8</v>
      </c>
      <c r="G5705" t="n">
        <v>1</v>
      </c>
      <c r="H5705" s="6">
        <f>ROUND(G5705*F5705,2)</f>
        <v/>
      </c>
      <c r="I5705">
        <f>IF(ROUND(H5705-D5705,2)=0,1,0)</f>
        <v/>
      </c>
      <c r="J5705">
        <f>IF(F5705="","none",IF(G5705=1,"carte","multiple"))</f>
        <v/>
      </c>
    </row>
    <row r="5706">
      <c r="A5706" t="inlineStr">
        <is>
          <t>2022-10-05</t>
        </is>
      </c>
      <c r="B5706" t="inlineStr">
        <is>
          <t>12:22</t>
        </is>
      </c>
      <c r="C5706" t="n">
        <v>3070</v>
      </c>
      <c r="D5706" s="6" t="n">
        <v>17.6</v>
      </c>
      <c r="E5706" t="n">
        <v>42801</v>
      </c>
      <c r="F5706" s="6" t="n">
        <v>17.6</v>
      </c>
      <c r="G5706" t="n">
        <v>1</v>
      </c>
      <c r="H5706" s="6">
        <f>ROUND(G5706*F5706,2)</f>
        <v/>
      </c>
      <c r="I5706">
        <f>IF(ROUND(H5706-D5706,2)=0,1,0)</f>
        <v/>
      </c>
      <c r="J5706">
        <f>IF(F5706="","none",IF(G5706=1,"carte","multiple"))</f>
        <v/>
      </c>
    </row>
    <row r="5707">
      <c r="A5707" t="inlineStr">
        <is>
          <t>2022-10-05</t>
        </is>
      </c>
      <c r="B5707" t="inlineStr">
        <is>
          <t>12:22</t>
        </is>
      </c>
      <c r="C5707" t="n">
        <v>3070</v>
      </c>
      <c r="D5707" s="6" t="n">
        <v>15.9</v>
      </c>
      <c r="E5707" t="n">
        <v>42802</v>
      </c>
      <c r="F5707" s="6" t="n">
        <v>15.9</v>
      </c>
      <c r="G5707" t="n">
        <v>1</v>
      </c>
      <c r="H5707" s="6">
        <f>ROUND(G5707*F5707,2)</f>
        <v/>
      </c>
      <c r="I5707">
        <f>IF(ROUND(H5707-D5707,2)=0,1,0)</f>
        <v/>
      </c>
      <c r="J5707">
        <f>IF(F5707="","none",IF(G5707=1,"carte","multiple"))</f>
        <v/>
      </c>
    </row>
    <row r="5708">
      <c r="A5708" t="inlineStr">
        <is>
          <t>2022-10-05</t>
        </is>
      </c>
      <c r="B5708" t="inlineStr">
        <is>
          <t>12:42</t>
        </is>
      </c>
      <c r="C5708" t="n">
        <v>3070</v>
      </c>
      <c r="D5708" s="6" t="n">
        <v>39.8</v>
      </c>
      <c r="E5708" t="n">
        <v>42803</v>
      </c>
      <c r="F5708" s="6" t="n">
        <v>39.8</v>
      </c>
      <c r="G5708" t="n">
        <v>1</v>
      </c>
      <c r="H5708" s="6">
        <f>ROUND(G5708*F5708,2)</f>
        <v/>
      </c>
      <c r="I5708">
        <f>IF(ROUND(H5708-D5708,2)=0,1,0)</f>
        <v/>
      </c>
      <c r="J5708">
        <f>IF(F5708="","none",IF(G5708=1,"carte","multiple"))</f>
        <v/>
      </c>
    </row>
    <row r="5709">
      <c r="A5709" t="inlineStr">
        <is>
          <t>2022-10-05</t>
        </is>
      </c>
      <c r="B5709" t="inlineStr">
        <is>
          <t>12:42</t>
        </is>
      </c>
      <c r="C5709" t="n">
        <v>3070</v>
      </c>
      <c r="D5709" s="6" t="n">
        <v>2.2</v>
      </c>
      <c r="E5709" t="n">
        <v>42804</v>
      </c>
      <c r="F5709" s="6" t="n">
        <v>2.2</v>
      </c>
      <c r="G5709" t="n">
        <v>1</v>
      </c>
      <c r="H5709" s="6">
        <f>ROUND(G5709*F5709,2)</f>
        <v/>
      </c>
      <c r="I5709">
        <f>IF(ROUND(H5709-D5709,2)=0,1,0)</f>
        <v/>
      </c>
      <c r="J5709">
        <f>IF(F5709="","none",IF(G5709=1,"carte","multiple"))</f>
        <v/>
      </c>
    </row>
    <row r="5710">
      <c r="A5710" t="inlineStr">
        <is>
          <t>2022-10-05</t>
        </is>
      </c>
      <c r="B5710" t="inlineStr">
        <is>
          <t>12:42</t>
        </is>
      </c>
      <c r="C5710" t="n">
        <v>3070</v>
      </c>
      <c r="D5710" s="6" t="n">
        <v>4.2</v>
      </c>
      <c r="E5710" t="n">
        <v>42805</v>
      </c>
      <c r="F5710" s="6" t="n">
        <v>4.2</v>
      </c>
      <c r="G5710" t="n">
        <v>1</v>
      </c>
      <c r="H5710" s="6">
        <f>ROUND(G5710*F5710,2)</f>
        <v/>
      </c>
      <c r="I5710">
        <f>IF(ROUND(H5710-D5710,2)=0,1,0)</f>
        <v/>
      </c>
      <c r="J5710">
        <f>IF(F5710="","none",IF(G5710=1,"carte","multiple"))</f>
        <v/>
      </c>
    </row>
    <row r="5711">
      <c r="A5711" t="inlineStr">
        <is>
          <t>2022-10-05</t>
        </is>
      </c>
      <c r="B5711" t="inlineStr">
        <is>
          <t>12:42</t>
        </is>
      </c>
      <c r="C5711" t="n">
        <v>3070</v>
      </c>
      <c r="D5711" s="6" t="n">
        <v>3.6</v>
      </c>
      <c r="E5711" t="n">
        <v>42806</v>
      </c>
      <c r="F5711" s="6" t="n">
        <v>3.6</v>
      </c>
      <c r="G5711" t="n">
        <v>1</v>
      </c>
      <c r="H5711" s="6">
        <f>ROUND(G5711*F5711,2)</f>
        <v/>
      </c>
      <c r="I5711">
        <f>IF(ROUND(H5711-D5711,2)=0,1,0)</f>
        <v/>
      </c>
      <c r="J5711">
        <f>IF(F5711="","none",IF(G5711=1,"carte","multiple"))</f>
        <v/>
      </c>
    </row>
    <row r="5712">
      <c r="A5712" t="inlineStr">
        <is>
          <t>2022-10-05</t>
        </is>
      </c>
      <c r="B5712" t="inlineStr">
        <is>
          <t>12:42</t>
        </is>
      </c>
      <c r="C5712" t="n">
        <v>3070</v>
      </c>
      <c r="D5712" s="6" t="n">
        <v>7.2</v>
      </c>
      <c r="E5712" t="n">
        <v>42807</v>
      </c>
      <c r="F5712" s="6" t="n">
        <v>7.2</v>
      </c>
      <c r="G5712" t="n">
        <v>1</v>
      </c>
      <c r="H5712" s="6">
        <f>ROUND(G5712*F5712,2)</f>
        <v/>
      </c>
      <c r="I5712">
        <f>IF(ROUND(H5712-D5712,2)=0,1,0)</f>
        <v/>
      </c>
      <c r="J5712">
        <f>IF(F5712="","none",IF(G5712=1,"carte","multiple"))</f>
        <v/>
      </c>
    </row>
    <row r="5713">
      <c r="A5713" t="inlineStr">
        <is>
          <t>2022-10-05</t>
        </is>
      </c>
      <c r="B5713" t="inlineStr">
        <is>
          <t>12:42</t>
        </is>
      </c>
      <c r="C5713" t="n">
        <v>3070</v>
      </c>
      <c r="D5713" s="6" t="n">
        <v>9.6</v>
      </c>
      <c r="E5713" t="n">
        <v>42808</v>
      </c>
      <c r="F5713" s="6" t="n">
        <v>9.6</v>
      </c>
      <c r="G5713" t="n">
        <v>1</v>
      </c>
      <c r="H5713" s="6">
        <f>ROUND(G5713*F5713,2)</f>
        <v/>
      </c>
      <c r="I5713">
        <f>IF(ROUND(H5713-D5713,2)=0,1,0)</f>
        <v/>
      </c>
      <c r="J5713">
        <f>IF(F5713="","none",IF(G5713=1,"carte","multiple"))</f>
        <v/>
      </c>
    </row>
    <row r="5714">
      <c r="A5714" t="inlineStr">
        <is>
          <t>2022-10-05</t>
        </is>
      </c>
      <c r="B5714" t="inlineStr">
        <is>
          <t>12:43</t>
        </is>
      </c>
      <c r="C5714" t="n">
        <v>3070</v>
      </c>
      <c r="D5714" s="6" t="n">
        <v>31.8</v>
      </c>
      <c r="E5714" t="n">
        <v>42809</v>
      </c>
      <c r="F5714" s="6" t="n">
        <v>31.8</v>
      </c>
      <c r="G5714" t="n">
        <v>1</v>
      </c>
      <c r="H5714" s="6">
        <f>ROUND(G5714*F5714,2)</f>
        <v/>
      </c>
      <c r="I5714">
        <f>IF(ROUND(H5714-D5714,2)=0,1,0)</f>
        <v/>
      </c>
      <c r="J5714">
        <f>IF(F5714="","none",IF(G5714=1,"carte","multiple"))</f>
        <v/>
      </c>
    </row>
    <row r="5715">
      <c r="A5715" t="inlineStr">
        <is>
          <t>2022-10-05</t>
        </is>
      </c>
      <c r="B5715" t="inlineStr">
        <is>
          <t>12:43</t>
        </is>
      </c>
      <c r="C5715" t="n">
        <v>3070</v>
      </c>
      <c r="D5715" s="6" t="n">
        <v>3.9</v>
      </c>
      <c r="E5715" t="n">
        <v>42810</v>
      </c>
      <c r="F5715" s="6" t="n">
        <v>3.9</v>
      </c>
      <c r="G5715" t="n">
        <v>1</v>
      </c>
      <c r="H5715" s="6">
        <f>ROUND(G5715*F5715,2)</f>
        <v/>
      </c>
      <c r="I5715">
        <f>IF(ROUND(H5715-D5715,2)=0,1,0)</f>
        <v/>
      </c>
      <c r="J5715">
        <f>IF(F5715="","none",IF(G5715=1,"carte","multiple"))</f>
        <v/>
      </c>
    </row>
    <row r="5716">
      <c r="A5716" t="inlineStr">
        <is>
          <t>2022-10-05</t>
        </is>
      </c>
      <c r="B5716" t="inlineStr">
        <is>
          <t>12:43</t>
        </is>
      </c>
      <c r="C5716" t="n">
        <v>3070</v>
      </c>
      <c r="D5716" s="6" t="n">
        <v>3.9</v>
      </c>
      <c r="E5716" t="n">
        <v>42811</v>
      </c>
      <c r="F5716" s="6" t="n">
        <v>3.9</v>
      </c>
      <c r="G5716" t="n">
        <v>1</v>
      </c>
      <c r="H5716" s="6">
        <f>ROUND(G5716*F5716,2)</f>
        <v/>
      </c>
      <c r="I5716">
        <f>IF(ROUND(H5716-D5716,2)=0,1,0)</f>
        <v/>
      </c>
      <c r="J5716">
        <f>IF(F5716="","none",IF(G5716=1,"carte","multiple"))</f>
        <v/>
      </c>
    </row>
    <row r="5717">
      <c r="A5717" t="inlineStr">
        <is>
          <t>2022-10-05</t>
        </is>
      </c>
      <c r="B5717" t="inlineStr">
        <is>
          <t>12:43</t>
        </is>
      </c>
      <c r="C5717" t="n">
        <v>3070</v>
      </c>
      <c r="D5717" s="6" t="n">
        <v>7.8</v>
      </c>
      <c r="E5717" t="n">
        <v>42812</v>
      </c>
      <c r="F5717" s="6" t="n">
        <v>7.8</v>
      </c>
      <c r="G5717" t="n">
        <v>1</v>
      </c>
      <c r="H5717" s="6">
        <f>ROUND(G5717*F5717,2)</f>
        <v/>
      </c>
      <c r="I5717">
        <f>IF(ROUND(H5717-D5717,2)=0,1,0)</f>
        <v/>
      </c>
      <c r="J5717">
        <f>IF(F5717="","none",IF(G5717=1,"carte","multiple"))</f>
        <v/>
      </c>
    </row>
    <row r="5718">
      <c r="A5718" t="inlineStr">
        <is>
          <t>2022-10-05</t>
        </is>
      </c>
      <c r="B5718" t="inlineStr">
        <is>
          <t>12:43</t>
        </is>
      </c>
      <c r="C5718" t="n">
        <v>3070</v>
      </c>
      <c r="D5718" s="6" t="n">
        <v>15.8</v>
      </c>
      <c r="E5718" t="n">
        <v>42813</v>
      </c>
      <c r="F5718" s="6" t="n">
        <v>7.9</v>
      </c>
      <c r="G5718" t="n">
        <v>2</v>
      </c>
      <c r="H5718" s="6">
        <f>ROUND(G5718*F5718,2)</f>
        <v/>
      </c>
      <c r="I5718">
        <f>IF(ROUND(H5718-D5718,2)=0,1,0)</f>
        <v/>
      </c>
      <c r="J5718">
        <f>IF(F5718="","none",IF(G5718=1,"carte","multiple"))</f>
        <v/>
      </c>
    </row>
    <row r="5719">
      <c r="A5719" t="inlineStr">
        <is>
          <t>2022-10-05</t>
        </is>
      </c>
      <c r="B5719" t="inlineStr">
        <is>
          <t>12:50</t>
        </is>
      </c>
      <c r="C5719" t="n">
        <v>3070</v>
      </c>
      <c r="D5719" s="6" t="n">
        <v>4.4</v>
      </c>
      <c r="E5719" t="n">
        <v>42814</v>
      </c>
      <c r="F5719" s="6" t="n">
        <v>0.4</v>
      </c>
      <c r="G5719" t="n">
        <v>11</v>
      </c>
      <c r="H5719" s="6">
        <f>ROUND(G5719*F5719,2)</f>
        <v/>
      </c>
      <c r="I5719">
        <f>IF(ROUND(H5719-D5719,2)=0,1,0)</f>
        <v/>
      </c>
      <c r="J5719">
        <f>IF(F5719="","none",IF(G5719=1,"carte","multiple"))</f>
        <v/>
      </c>
    </row>
    <row r="5720">
      <c r="A5720" t="inlineStr">
        <is>
          <t>2022-10-05</t>
        </is>
      </c>
      <c r="B5720" t="inlineStr">
        <is>
          <t>12:50</t>
        </is>
      </c>
      <c r="C5720" t="n">
        <v>3070</v>
      </c>
      <c r="D5720" s="6" t="n">
        <v>64</v>
      </c>
      <c r="E5720" t="n">
        <v>42815</v>
      </c>
      <c r="F5720" s="6" t="n">
        <v>64</v>
      </c>
      <c r="G5720" t="n">
        <v>1</v>
      </c>
      <c r="H5720" s="6">
        <f>ROUND(G5720*F5720,2)</f>
        <v/>
      </c>
      <c r="I5720">
        <f>IF(ROUND(H5720-D5720,2)=0,1,0)</f>
        <v/>
      </c>
      <c r="J5720">
        <f>IF(F5720="","none",IF(G5720=1,"carte","multiple"))</f>
        <v/>
      </c>
    </row>
    <row r="5721">
      <c r="A5721" t="inlineStr">
        <is>
          <t>2022-10-05</t>
        </is>
      </c>
      <c r="B5721" t="inlineStr">
        <is>
          <t>12:50</t>
        </is>
      </c>
      <c r="C5721" t="n">
        <v>3070</v>
      </c>
      <c r="D5721" s="6" t="n">
        <v>9.800000000000001</v>
      </c>
      <c r="E5721" t="n">
        <v>42816</v>
      </c>
      <c r="F5721" s="6" t="n">
        <v>9.800000000000001</v>
      </c>
      <c r="G5721" t="n">
        <v>1</v>
      </c>
      <c r="H5721" s="6">
        <f>ROUND(G5721*F5721,2)</f>
        <v/>
      </c>
      <c r="I5721">
        <f>IF(ROUND(H5721-D5721,2)=0,1,0)</f>
        <v/>
      </c>
      <c r="J5721">
        <f>IF(F5721="","none",IF(G5721=1,"carte","multiple"))</f>
        <v/>
      </c>
    </row>
    <row r="5722">
      <c r="A5722" t="inlineStr">
        <is>
          <t>2022-10-05</t>
        </is>
      </c>
      <c r="B5722" t="inlineStr">
        <is>
          <t>18:07</t>
        </is>
      </c>
      <c r="C5722" t="n">
        <v>3070</v>
      </c>
      <c r="D5722" s="6" t="n">
        <v>3.9</v>
      </c>
      <c r="E5722" t="n">
        <v>42818</v>
      </c>
      <c r="F5722" s="6" t="n">
        <v>3.9</v>
      </c>
      <c r="G5722" t="n">
        <v>1</v>
      </c>
      <c r="H5722" s="6">
        <f>ROUND(G5722*F5722,2)</f>
        <v/>
      </c>
      <c r="I5722">
        <f>IF(ROUND(H5722-D5722,2)=0,1,0)</f>
        <v/>
      </c>
      <c r="J5722">
        <f>IF(F5722="","none",IF(G5722=1,"carte","multiple"))</f>
        <v/>
      </c>
    </row>
    <row r="5723">
      <c r="A5723" t="inlineStr">
        <is>
          <t>2022-10-05</t>
        </is>
      </c>
      <c r="B5723" t="inlineStr">
        <is>
          <t>18:31</t>
        </is>
      </c>
      <c r="C5723" t="n">
        <v>3070</v>
      </c>
      <c r="D5723" s="6" t="n">
        <v>38</v>
      </c>
      <c r="E5723" t="n">
        <v>42819</v>
      </c>
      <c r="F5723" s="6" t="n">
        <v>0.4</v>
      </c>
      <c r="G5723" t="n">
        <v>95</v>
      </c>
      <c r="H5723" s="6">
        <f>ROUND(G5723*F5723,2)</f>
        <v/>
      </c>
      <c r="I5723">
        <f>IF(ROUND(H5723-D5723,2)=0,1,0)</f>
        <v/>
      </c>
      <c r="J5723">
        <f>IF(F5723="","none",IF(G5723=1,"carte","multiple"))</f>
        <v/>
      </c>
    </row>
    <row r="5724">
      <c r="A5724" t="inlineStr">
        <is>
          <t>2022-10-05</t>
        </is>
      </c>
      <c r="B5724" t="inlineStr">
        <is>
          <t>18:31</t>
        </is>
      </c>
      <c r="C5724" t="n">
        <v>3070</v>
      </c>
      <c r="D5724" s="6" t="n">
        <v>10.9</v>
      </c>
      <c r="E5724" t="n">
        <v>42820</v>
      </c>
      <c r="F5724" s="6" t="n">
        <v>10.9</v>
      </c>
      <c r="G5724" t="n">
        <v>1</v>
      </c>
      <c r="H5724" s="6">
        <f>ROUND(G5724*F5724,2)</f>
        <v/>
      </c>
      <c r="I5724">
        <f>IF(ROUND(H5724-D5724,2)=0,1,0)</f>
        <v/>
      </c>
      <c r="J5724">
        <f>IF(F5724="","none",IF(G5724=1,"carte","multiple"))</f>
        <v/>
      </c>
    </row>
    <row r="5725">
      <c r="A5725" t="inlineStr">
        <is>
          <t>2022-10-05</t>
        </is>
      </c>
      <c r="B5725" t="inlineStr">
        <is>
          <t>18:31</t>
        </is>
      </c>
      <c r="C5725" t="n">
        <v>3070</v>
      </c>
      <c r="D5725" s="6" t="n">
        <v>7.2</v>
      </c>
      <c r="E5725" t="n">
        <v>42821</v>
      </c>
      <c r="F5725" s="6" t="n">
        <v>7.2</v>
      </c>
      <c r="G5725" t="n">
        <v>1</v>
      </c>
      <c r="H5725" s="6">
        <f>ROUND(G5725*F5725,2)</f>
        <v/>
      </c>
      <c r="I5725">
        <f>IF(ROUND(H5725-D5725,2)=0,1,0)</f>
        <v/>
      </c>
      <c r="J5725">
        <f>IF(F5725="","none",IF(G5725=1,"carte","multiple"))</f>
        <v/>
      </c>
    </row>
    <row r="5726">
      <c r="A5726" t="inlineStr">
        <is>
          <t>2022-10-05</t>
        </is>
      </c>
      <c r="B5726" t="inlineStr">
        <is>
          <t>18:31</t>
        </is>
      </c>
      <c r="C5726" t="n">
        <v>3070</v>
      </c>
      <c r="D5726" s="6" t="n">
        <v>6</v>
      </c>
      <c r="E5726" t="n">
        <v>42822</v>
      </c>
      <c r="F5726" s="6" t="n">
        <v>6</v>
      </c>
      <c r="G5726" t="n">
        <v>1</v>
      </c>
      <c r="H5726" s="6">
        <f>ROUND(G5726*F5726,2)</f>
        <v/>
      </c>
      <c r="I5726">
        <f>IF(ROUND(H5726-D5726,2)=0,1,0)</f>
        <v/>
      </c>
      <c r="J5726">
        <f>IF(F5726="","none",IF(G5726=1,"carte","multiple"))</f>
        <v/>
      </c>
    </row>
    <row r="5727">
      <c r="A5727" t="inlineStr">
        <is>
          <t>2022-10-05</t>
        </is>
      </c>
      <c r="B5727" t="inlineStr">
        <is>
          <t>18:31</t>
        </is>
      </c>
      <c r="C5727" t="n">
        <v>3070</v>
      </c>
      <c r="D5727" s="6" t="n">
        <v>5.2</v>
      </c>
      <c r="E5727" t="n">
        <v>42823</v>
      </c>
      <c r="F5727" s="6" t="n">
        <v>5.2</v>
      </c>
      <c r="G5727" t="n">
        <v>1</v>
      </c>
      <c r="H5727" s="6">
        <f>ROUND(G5727*F5727,2)</f>
        <v/>
      </c>
      <c r="I5727">
        <f>IF(ROUND(H5727-D5727,2)=0,1,0)</f>
        <v/>
      </c>
      <c r="J5727">
        <f>IF(F5727="","none",IF(G5727=1,"carte","multiple"))</f>
        <v/>
      </c>
    </row>
    <row r="5728">
      <c r="A5728" t="inlineStr">
        <is>
          <t>2022-10-05</t>
        </is>
      </c>
      <c r="B5728" t="inlineStr">
        <is>
          <t>19:31</t>
        </is>
      </c>
      <c r="C5728" t="n">
        <v>3070</v>
      </c>
      <c r="D5728" s="6" t="n">
        <v>5.9</v>
      </c>
      <c r="E5728" t="n">
        <v>42824</v>
      </c>
      <c r="F5728" s="6" t="n">
        <v>5.9</v>
      </c>
      <c r="G5728" t="n">
        <v>1</v>
      </c>
      <c r="H5728" s="6">
        <f>ROUND(G5728*F5728,2)</f>
        <v/>
      </c>
      <c r="I5728">
        <f>IF(ROUND(H5728-D5728,2)=0,1,0)</f>
        <v/>
      </c>
      <c r="J5728">
        <f>IF(F5728="","none",IF(G5728=1,"carte","multiple"))</f>
        <v/>
      </c>
    </row>
    <row r="5729">
      <c r="A5729" t="inlineStr">
        <is>
          <t>2022-10-05</t>
        </is>
      </c>
      <c r="B5729" t="inlineStr">
        <is>
          <t>19:31</t>
        </is>
      </c>
      <c r="C5729" t="n">
        <v>3070</v>
      </c>
      <c r="D5729" s="6" t="n">
        <v>29.9</v>
      </c>
      <c r="E5729" t="n">
        <v>42825</v>
      </c>
      <c r="F5729" s="6" t="n">
        <v>29.9</v>
      </c>
      <c r="G5729" t="n">
        <v>1</v>
      </c>
      <c r="H5729" s="6">
        <f>ROUND(G5729*F5729,2)</f>
        <v/>
      </c>
      <c r="I5729">
        <f>IF(ROUND(H5729-D5729,2)=0,1,0)</f>
        <v/>
      </c>
      <c r="J5729">
        <f>IF(F5729="","none",IF(G5729=1,"carte","multiple"))</f>
        <v/>
      </c>
    </row>
    <row r="5730">
      <c r="A5730" t="inlineStr">
        <is>
          <t>2022-10-05</t>
        </is>
      </c>
      <c r="B5730" t="inlineStr">
        <is>
          <t>19:40</t>
        </is>
      </c>
      <c r="C5730" t="n">
        <v>3070</v>
      </c>
      <c r="D5730" s="6" t="n">
        <v>4.4</v>
      </c>
      <c r="E5730" t="n">
        <v>42826</v>
      </c>
      <c r="F5730" s="6" t="n">
        <v>0.4</v>
      </c>
      <c r="G5730" t="n">
        <v>11</v>
      </c>
      <c r="H5730" s="6">
        <f>ROUND(G5730*F5730,2)</f>
        <v/>
      </c>
      <c r="I5730">
        <f>IF(ROUND(H5730-D5730,2)=0,1,0)</f>
        <v/>
      </c>
      <c r="J5730">
        <f>IF(F5730="","none",IF(G5730=1,"carte","multiple"))</f>
        <v/>
      </c>
    </row>
    <row r="5731">
      <c r="A5731" t="inlineStr">
        <is>
          <t>2022-10-05</t>
        </is>
      </c>
      <c r="B5731" t="inlineStr">
        <is>
          <t>19:40</t>
        </is>
      </c>
      <c r="C5731" t="n">
        <v>3070</v>
      </c>
      <c r="D5731" s="6" t="n">
        <v>59.8</v>
      </c>
      <c r="E5731" t="n">
        <v>42827</v>
      </c>
      <c r="F5731" s="6" t="n">
        <v>4.6</v>
      </c>
      <c r="G5731" t="n">
        <v>13</v>
      </c>
      <c r="H5731" s="6">
        <f>ROUND(G5731*F5731,2)</f>
        <v/>
      </c>
      <c r="I5731">
        <f>IF(ROUND(H5731-D5731,2)=0,1,0)</f>
        <v/>
      </c>
      <c r="J5731">
        <f>IF(F5731="","none",IF(G5731=1,"carte","multiple"))</f>
        <v/>
      </c>
    </row>
    <row r="5732">
      <c r="A5732" t="inlineStr">
        <is>
          <t>2022-10-05</t>
        </is>
      </c>
      <c r="B5732" t="inlineStr">
        <is>
          <t>19:40</t>
        </is>
      </c>
      <c r="C5732" t="n">
        <v>3070</v>
      </c>
      <c r="D5732" s="6" t="n">
        <v>24.9</v>
      </c>
      <c r="E5732" t="n">
        <v>42828</v>
      </c>
      <c r="F5732" s="6" t="n">
        <v>24.9</v>
      </c>
      <c r="G5732" t="n">
        <v>1</v>
      </c>
      <c r="H5732" s="6">
        <f>ROUND(G5732*F5732,2)</f>
        <v/>
      </c>
      <c r="I5732">
        <f>IF(ROUND(H5732-D5732,2)=0,1,0)</f>
        <v/>
      </c>
      <c r="J5732">
        <f>IF(F5732="","none",IF(G5732=1,"carte","multiple"))</f>
        <v/>
      </c>
    </row>
    <row r="5733">
      <c r="A5733" t="inlineStr">
        <is>
          <t>2022-10-05</t>
        </is>
      </c>
      <c r="B5733" t="inlineStr">
        <is>
          <t>19:40</t>
        </is>
      </c>
      <c r="C5733" t="n">
        <v>3070</v>
      </c>
      <c r="D5733" s="6" t="n">
        <v>7.6</v>
      </c>
      <c r="E5733" t="n">
        <v>42829</v>
      </c>
      <c r="F5733" s="6" t="n">
        <v>7.6</v>
      </c>
      <c r="G5733" t="n">
        <v>1</v>
      </c>
      <c r="H5733" s="6">
        <f>ROUND(G5733*F5733,2)</f>
        <v/>
      </c>
      <c r="I5733">
        <f>IF(ROUND(H5733-D5733,2)=0,1,0)</f>
        <v/>
      </c>
      <c r="J5733">
        <f>IF(F5733="","none",IF(G5733=1,"carte","multiple"))</f>
        <v/>
      </c>
    </row>
    <row r="5734">
      <c r="A5734" t="inlineStr">
        <is>
          <t>2022-10-05</t>
        </is>
      </c>
      <c r="B5734" t="inlineStr">
        <is>
          <t>19:49</t>
        </is>
      </c>
      <c r="C5734" t="n">
        <v>3070</v>
      </c>
      <c r="D5734" s="6" t="n">
        <v>8.5</v>
      </c>
      <c r="E5734" t="n">
        <v>42830</v>
      </c>
      <c r="F5734" s="6" t="n">
        <v>8.5</v>
      </c>
      <c r="G5734" t="n">
        <v>1</v>
      </c>
      <c r="H5734" s="6">
        <f>ROUND(G5734*F5734,2)</f>
        <v/>
      </c>
      <c r="I5734">
        <f>IF(ROUND(H5734-D5734,2)=0,1,0)</f>
        <v/>
      </c>
      <c r="J5734">
        <f>IF(F5734="","none",IF(G5734=1,"carte","multiple"))</f>
        <v/>
      </c>
    </row>
    <row r="5735">
      <c r="A5735" t="inlineStr">
        <is>
          <t>2022-10-05</t>
        </is>
      </c>
      <c r="B5735" t="inlineStr">
        <is>
          <t>19:49</t>
        </is>
      </c>
      <c r="C5735" t="n">
        <v>3070</v>
      </c>
      <c r="D5735" s="6" t="n">
        <v>3.9</v>
      </c>
      <c r="E5735" t="n">
        <v>42831</v>
      </c>
      <c r="F5735" s="6" t="n">
        <v>3.9</v>
      </c>
      <c r="G5735" t="n">
        <v>1</v>
      </c>
      <c r="H5735" s="6">
        <f>ROUND(G5735*F5735,2)</f>
        <v/>
      </c>
      <c r="I5735">
        <f>IF(ROUND(H5735-D5735,2)=0,1,0)</f>
        <v/>
      </c>
      <c r="J5735">
        <f>IF(F5735="","none",IF(G5735=1,"carte","multiple"))</f>
        <v/>
      </c>
    </row>
    <row r="5736">
      <c r="A5736" t="inlineStr">
        <is>
          <t>2022-10-05</t>
        </is>
      </c>
      <c r="B5736" t="inlineStr">
        <is>
          <t>19:49</t>
        </is>
      </c>
      <c r="C5736" t="n">
        <v>3070</v>
      </c>
      <c r="D5736" s="6" t="n">
        <v>2.2</v>
      </c>
      <c r="E5736" t="n">
        <v>42832</v>
      </c>
      <c r="F5736" s="6" t="n">
        <v>2.2</v>
      </c>
      <c r="G5736" t="n">
        <v>1</v>
      </c>
      <c r="H5736" s="6">
        <f>ROUND(G5736*F5736,2)</f>
        <v/>
      </c>
      <c r="I5736">
        <f>IF(ROUND(H5736-D5736,2)=0,1,0)</f>
        <v/>
      </c>
      <c r="J5736">
        <f>IF(F5736="","none",IF(G5736=1,"carte","multiple"))</f>
        <v/>
      </c>
    </row>
    <row r="5737">
      <c r="A5737" t="inlineStr">
        <is>
          <t>2022-10-05</t>
        </is>
      </c>
      <c r="B5737" t="inlineStr">
        <is>
          <t>19:49</t>
        </is>
      </c>
      <c r="C5737" t="n">
        <v>3070</v>
      </c>
      <c r="D5737" s="6" t="n">
        <v>17.6</v>
      </c>
      <c r="E5737" t="n">
        <v>42833</v>
      </c>
      <c r="F5737" s="6" t="n">
        <v>17.6</v>
      </c>
      <c r="G5737" t="n">
        <v>1</v>
      </c>
      <c r="H5737" s="6">
        <f>ROUND(G5737*F5737,2)</f>
        <v/>
      </c>
      <c r="I5737">
        <f>IF(ROUND(H5737-D5737,2)=0,1,0)</f>
        <v/>
      </c>
      <c r="J5737">
        <f>IF(F5737="","none",IF(G5737=1,"carte","multiple"))</f>
        <v/>
      </c>
    </row>
    <row r="5738">
      <c r="A5738" t="inlineStr">
        <is>
          <t>2022-10-05</t>
        </is>
      </c>
      <c r="B5738" t="inlineStr">
        <is>
          <t>19:49</t>
        </is>
      </c>
      <c r="C5738" t="n">
        <v>3070</v>
      </c>
      <c r="D5738" s="6" t="n">
        <v>19.9</v>
      </c>
      <c r="E5738" t="n">
        <v>42834</v>
      </c>
      <c r="F5738" s="6" t="n">
        <v>19.9</v>
      </c>
      <c r="G5738" t="n">
        <v>1</v>
      </c>
      <c r="H5738" s="6">
        <f>ROUND(G5738*F5738,2)</f>
        <v/>
      </c>
      <c r="I5738">
        <f>IF(ROUND(H5738-D5738,2)=0,1,0)</f>
        <v/>
      </c>
      <c r="J5738">
        <f>IF(F5738="","none",IF(G5738=1,"carte","multiple"))</f>
        <v/>
      </c>
    </row>
    <row r="5739">
      <c r="A5739" t="inlineStr">
        <is>
          <t>2022-10-05</t>
        </is>
      </c>
      <c r="B5739" t="inlineStr">
        <is>
          <t>19:49</t>
        </is>
      </c>
      <c r="C5739" t="n">
        <v>3070</v>
      </c>
      <c r="D5739" s="6" t="n">
        <v>29</v>
      </c>
      <c r="E5739" t="n">
        <v>42835</v>
      </c>
      <c r="F5739" s="6" t="n">
        <v>29</v>
      </c>
      <c r="G5739" t="n">
        <v>1</v>
      </c>
      <c r="H5739" s="6">
        <f>ROUND(G5739*F5739,2)</f>
        <v/>
      </c>
      <c r="I5739">
        <f>IF(ROUND(H5739-D5739,2)=0,1,0)</f>
        <v/>
      </c>
      <c r="J5739">
        <f>IF(F5739="","none",IF(G5739=1,"carte","multiple"))</f>
        <v/>
      </c>
    </row>
    <row r="5740">
      <c r="A5740" t="inlineStr">
        <is>
          <t>2022-10-05</t>
        </is>
      </c>
      <c r="B5740" t="inlineStr">
        <is>
          <t>19:59</t>
        </is>
      </c>
      <c r="C5740" t="n">
        <v>3070</v>
      </c>
      <c r="D5740" s="6" t="n">
        <v>4</v>
      </c>
      <c r="E5740" t="n">
        <v>42836</v>
      </c>
      <c r="F5740" s="6" t="n">
        <v>4</v>
      </c>
      <c r="G5740" t="n">
        <v>1</v>
      </c>
      <c r="H5740" s="6">
        <f>ROUND(G5740*F5740,2)</f>
        <v/>
      </c>
      <c r="I5740">
        <f>IF(ROUND(H5740-D5740,2)=0,1,0)</f>
        <v/>
      </c>
      <c r="J5740">
        <f>IF(F5740="","none",IF(G5740=1,"carte","multiple"))</f>
        <v/>
      </c>
    </row>
    <row r="5741">
      <c r="A5741" t="inlineStr">
        <is>
          <t>2022-10-05</t>
        </is>
      </c>
      <c r="B5741" t="inlineStr">
        <is>
          <t>19:59</t>
        </is>
      </c>
      <c r="C5741" t="n">
        <v>3070</v>
      </c>
      <c r="D5741" s="6" t="n">
        <v>7.8</v>
      </c>
      <c r="E5741" t="n">
        <v>42837</v>
      </c>
      <c r="F5741" s="6" t="n">
        <v>7.8</v>
      </c>
      <c r="G5741" t="n">
        <v>1</v>
      </c>
      <c r="H5741" s="6">
        <f>ROUND(G5741*F5741,2)</f>
        <v/>
      </c>
      <c r="I5741">
        <f>IF(ROUND(H5741-D5741,2)=0,1,0)</f>
        <v/>
      </c>
      <c r="J5741">
        <f>IF(F5741="","none",IF(G5741=1,"carte","multiple"))</f>
        <v/>
      </c>
    </row>
    <row r="5742">
      <c r="A5742" t="inlineStr">
        <is>
          <t>2022-10-05</t>
        </is>
      </c>
      <c r="B5742" t="inlineStr">
        <is>
          <t>19:59</t>
        </is>
      </c>
      <c r="C5742" t="n">
        <v>3070</v>
      </c>
      <c r="D5742" s="6" t="n">
        <v>24</v>
      </c>
      <c r="E5742" t="n">
        <v>42838</v>
      </c>
      <c r="F5742" s="6" t="n">
        <v>24</v>
      </c>
      <c r="G5742" t="n">
        <v>1</v>
      </c>
      <c r="H5742" s="6">
        <f>ROUND(G5742*F5742,2)</f>
        <v/>
      </c>
      <c r="I5742">
        <f>IF(ROUND(H5742-D5742,2)=0,1,0)</f>
        <v/>
      </c>
      <c r="J5742">
        <f>IF(F5742="","none",IF(G5742=1,"carte","multiple"))</f>
        <v/>
      </c>
    </row>
    <row r="5743">
      <c r="A5743" t="inlineStr">
        <is>
          <t>2022-10-05</t>
        </is>
      </c>
      <c r="B5743" t="inlineStr">
        <is>
          <t>19:59</t>
        </is>
      </c>
      <c r="C5743" t="n">
        <v>3070</v>
      </c>
      <c r="D5743" s="6" t="n">
        <v>17.6</v>
      </c>
      <c r="E5743" t="n">
        <v>42839</v>
      </c>
      <c r="F5743" s="6" t="n">
        <v>17.6</v>
      </c>
      <c r="G5743" t="n">
        <v>1</v>
      </c>
      <c r="H5743" s="6">
        <f>ROUND(G5743*F5743,2)</f>
        <v/>
      </c>
      <c r="I5743">
        <f>IF(ROUND(H5743-D5743,2)=0,1,0)</f>
        <v/>
      </c>
      <c r="J5743">
        <f>IF(F5743="","none",IF(G5743=1,"carte","multiple"))</f>
        <v/>
      </c>
    </row>
    <row r="5744">
      <c r="A5744" t="inlineStr">
        <is>
          <t>2022-10-05</t>
        </is>
      </c>
      <c r="B5744" t="inlineStr">
        <is>
          <t>19:59</t>
        </is>
      </c>
      <c r="C5744" t="n">
        <v>3070</v>
      </c>
      <c r="D5744" s="6" t="n">
        <v>17.6</v>
      </c>
      <c r="E5744" t="n">
        <v>42840</v>
      </c>
      <c r="F5744" s="6" t="n">
        <v>17.6</v>
      </c>
      <c r="G5744" t="n">
        <v>1</v>
      </c>
      <c r="H5744" s="6">
        <f>ROUND(G5744*F5744,2)</f>
        <v/>
      </c>
      <c r="I5744">
        <f>IF(ROUND(H5744-D5744,2)=0,1,0)</f>
        <v/>
      </c>
      <c r="J5744">
        <f>IF(F5744="","none",IF(G5744=1,"carte","multiple"))</f>
        <v/>
      </c>
    </row>
    <row r="5745">
      <c r="A5745" t="inlineStr">
        <is>
          <t>2022-10-05</t>
        </is>
      </c>
      <c r="B5745" t="inlineStr">
        <is>
          <t>20:08</t>
        </is>
      </c>
      <c r="C5745" t="n">
        <v>3070</v>
      </c>
      <c r="D5745" s="6" t="n">
        <v>7.5</v>
      </c>
      <c r="E5745" t="n">
        <v>42841</v>
      </c>
      <c r="F5745" s="6" t="n">
        <v>7.5</v>
      </c>
      <c r="G5745" t="n">
        <v>1</v>
      </c>
      <c r="H5745" s="6">
        <f>ROUND(G5745*F5745,2)</f>
        <v/>
      </c>
      <c r="I5745">
        <f>IF(ROUND(H5745-D5745,2)=0,1,0)</f>
        <v/>
      </c>
      <c r="J5745">
        <f>IF(F5745="","none",IF(G5745=1,"carte","multiple"))</f>
        <v/>
      </c>
    </row>
    <row r="5746">
      <c r="A5746" t="inlineStr">
        <is>
          <t>2022-10-05</t>
        </is>
      </c>
      <c r="B5746" t="inlineStr">
        <is>
          <t>20:08</t>
        </is>
      </c>
      <c r="C5746" t="n">
        <v>3070</v>
      </c>
      <c r="D5746" s="6" t="n">
        <v>7.2</v>
      </c>
      <c r="E5746" t="n">
        <v>42842</v>
      </c>
      <c r="F5746" s="6" t="n">
        <v>7.2</v>
      </c>
      <c r="G5746" t="n">
        <v>1</v>
      </c>
      <c r="H5746" s="6">
        <f>ROUND(G5746*F5746,2)</f>
        <v/>
      </c>
      <c r="I5746">
        <f>IF(ROUND(H5746-D5746,2)=0,1,0)</f>
        <v/>
      </c>
      <c r="J5746">
        <f>IF(F5746="","none",IF(G5746=1,"carte","multiple"))</f>
        <v/>
      </c>
    </row>
    <row r="5747">
      <c r="A5747" t="inlineStr">
        <is>
          <t>2022-10-05</t>
        </is>
      </c>
      <c r="B5747" t="inlineStr">
        <is>
          <t>20:08</t>
        </is>
      </c>
      <c r="C5747" t="n">
        <v>3070</v>
      </c>
      <c r="D5747" s="6" t="n">
        <v>3.9</v>
      </c>
      <c r="E5747" t="n">
        <v>42843</v>
      </c>
      <c r="F5747" s="6" t="n">
        <v>3.9</v>
      </c>
      <c r="G5747" t="n">
        <v>1</v>
      </c>
      <c r="H5747" s="6">
        <f>ROUND(G5747*F5747,2)</f>
        <v/>
      </c>
      <c r="I5747">
        <f>IF(ROUND(H5747-D5747,2)=0,1,0)</f>
        <v/>
      </c>
      <c r="J5747">
        <f>IF(F5747="","none",IF(G5747=1,"carte","multiple"))</f>
        <v/>
      </c>
    </row>
    <row r="5748">
      <c r="A5748" t="inlineStr">
        <is>
          <t>2022-10-05</t>
        </is>
      </c>
      <c r="B5748" t="inlineStr">
        <is>
          <t>20:08</t>
        </is>
      </c>
      <c r="C5748" t="n">
        <v>3070</v>
      </c>
      <c r="D5748" s="6" t="n">
        <v>28</v>
      </c>
      <c r="E5748" t="n">
        <v>42844</v>
      </c>
      <c r="F5748" s="6" t="n">
        <v>28</v>
      </c>
      <c r="G5748" t="n">
        <v>1</v>
      </c>
      <c r="H5748" s="6">
        <f>ROUND(G5748*F5748,2)</f>
        <v/>
      </c>
      <c r="I5748">
        <f>IF(ROUND(H5748-D5748,2)=0,1,0)</f>
        <v/>
      </c>
      <c r="J5748">
        <f>IF(F5748="","none",IF(G5748=1,"carte","multiple"))</f>
        <v/>
      </c>
    </row>
    <row r="5749">
      <c r="A5749" t="inlineStr">
        <is>
          <t>2022-10-05</t>
        </is>
      </c>
      <c r="B5749" t="inlineStr">
        <is>
          <t>20:08</t>
        </is>
      </c>
      <c r="C5749" t="n">
        <v>3070</v>
      </c>
      <c r="D5749" s="6" t="n">
        <v>17.6</v>
      </c>
      <c r="E5749" t="n">
        <v>42845</v>
      </c>
      <c r="F5749" s="6" t="n">
        <v>17.6</v>
      </c>
      <c r="G5749" t="n">
        <v>1</v>
      </c>
      <c r="H5749" s="6">
        <f>ROUND(G5749*F5749,2)</f>
        <v/>
      </c>
      <c r="I5749">
        <f>IF(ROUND(H5749-D5749,2)=0,1,0)</f>
        <v/>
      </c>
      <c r="J5749">
        <f>IF(F5749="","none",IF(G5749=1,"carte","multiple"))</f>
        <v/>
      </c>
    </row>
    <row r="5750">
      <c r="A5750" t="inlineStr">
        <is>
          <t>2022-10-05</t>
        </is>
      </c>
      <c r="B5750" t="inlineStr">
        <is>
          <t>20:08</t>
        </is>
      </c>
      <c r="C5750" t="n">
        <v>3070</v>
      </c>
      <c r="D5750" s="6" t="n">
        <v>32</v>
      </c>
      <c r="E5750" t="n">
        <v>42846</v>
      </c>
      <c r="F5750" s="6" t="n">
        <v>32</v>
      </c>
      <c r="G5750" t="n">
        <v>1</v>
      </c>
      <c r="H5750" s="6">
        <f>ROUND(G5750*F5750,2)</f>
        <v/>
      </c>
      <c r="I5750">
        <f>IF(ROUND(H5750-D5750,2)=0,1,0)</f>
        <v/>
      </c>
      <c r="J5750">
        <f>IF(F5750="","none",IF(G5750=1,"carte","multiple"))</f>
        <v/>
      </c>
    </row>
    <row r="5751">
      <c r="A5751" t="inlineStr">
        <is>
          <t>2022-10-05</t>
        </is>
      </c>
      <c r="B5751" t="inlineStr">
        <is>
          <t>20:08</t>
        </is>
      </c>
      <c r="C5751" t="n">
        <v>3070</v>
      </c>
      <c r="D5751" s="6" t="n">
        <v>481</v>
      </c>
      <c r="E5751" t="n">
        <v>42847</v>
      </c>
      <c r="F5751" s="6" t="n">
        <v>0.5</v>
      </c>
      <c r="G5751" t="n">
        <v>962</v>
      </c>
      <c r="H5751" s="6">
        <f>ROUND(G5751*F5751,2)</f>
        <v/>
      </c>
      <c r="I5751">
        <f>IF(ROUND(H5751-D5751,2)=0,1,0)</f>
        <v/>
      </c>
      <c r="J5751">
        <f>IF(F5751="","none",IF(G5751=1,"carte","multiple"))</f>
        <v/>
      </c>
    </row>
    <row r="5752">
      <c r="A5752" t="inlineStr">
        <is>
          <t>2022-10-05</t>
        </is>
      </c>
      <c r="B5752" t="inlineStr">
        <is>
          <t>20:26</t>
        </is>
      </c>
      <c r="C5752" t="n">
        <v>3070</v>
      </c>
      <c r="D5752" s="6" t="n">
        <v>3.6</v>
      </c>
      <c r="E5752" t="n">
        <v>42848</v>
      </c>
      <c r="F5752" s="6" t="n">
        <v>3.6</v>
      </c>
      <c r="G5752" t="n">
        <v>1</v>
      </c>
      <c r="H5752" s="6">
        <f>ROUND(G5752*F5752,2)</f>
        <v/>
      </c>
      <c r="I5752">
        <f>IF(ROUND(H5752-D5752,2)=0,1,0)</f>
        <v/>
      </c>
      <c r="J5752">
        <f>IF(F5752="","none",IF(G5752=1,"carte","multiple"))</f>
        <v/>
      </c>
    </row>
    <row r="5753">
      <c r="A5753" t="inlineStr">
        <is>
          <t>2022-10-05</t>
        </is>
      </c>
      <c r="B5753" t="inlineStr">
        <is>
          <t>20:26</t>
        </is>
      </c>
      <c r="C5753" t="n">
        <v>3070</v>
      </c>
      <c r="D5753" s="6" t="n">
        <v>2.6</v>
      </c>
      <c r="E5753" t="n">
        <v>42849</v>
      </c>
      <c r="H5753" t="inlineStr"/>
      <c r="I5753" t="inlineStr"/>
      <c r="J5753">
        <f>IF(F5753="","none",IF(G5753=1,"carte","multiple"))</f>
        <v/>
      </c>
    </row>
    <row r="5754">
      <c r="A5754" t="inlineStr">
        <is>
          <t>2022-10-05</t>
        </is>
      </c>
      <c r="B5754" t="inlineStr">
        <is>
          <t>20:26</t>
        </is>
      </c>
      <c r="C5754" t="n">
        <v>3070</v>
      </c>
      <c r="D5754" s="6" t="n">
        <v>1.95</v>
      </c>
      <c r="E5754" t="n">
        <v>42850</v>
      </c>
      <c r="H5754" t="inlineStr"/>
      <c r="I5754" t="inlineStr"/>
      <c r="J5754">
        <f>IF(F5754="","none",IF(G5754=1,"carte","multiple"))</f>
        <v/>
      </c>
    </row>
    <row r="5755">
      <c r="A5755" t="inlineStr">
        <is>
          <t>2022-10-05</t>
        </is>
      </c>
      <c r="B5755" t="inlineStr">
        <is>
          <t>20:26</t>
        </is>
      </c>
      <c r="C5755" t="n">
        <v>3070</v>
      </c>
      <c r="D5755" s="6" t="n">
        <v>29.9</v>
      </c>
      <c r="E5755" t="n">
        <v>42851</v>
      </c>
      <c r="F5755" s="6" t="n">
        <v>29.9</v>
      </c>
      <c r="G5755" t="n">
        <v>1</v>
      </c>
      <c r="H5755" s="6">
        <f>ROUND(G5755*F5755,2)</f>
        <v/>
      </c>
      <c r="I5755">
        <f>IF(ROUND(H5755-D5755,2)=0,1,0)</f>
        <v/>
      </c>
      <c r="J5755">
        <f>IF(F5755="","none",IF(G5755=1,"carte","multiple"))</f>
        <v/>
      </c>
    </row>
    <row r="5756">
      <c r="A5756" t="inlineStr">
        <is>
          <t>2022-10-06</t>
        </is>
      </c>
      <c r="B5756" t="inlineStr">
        <is>
          <t>11:09</t>
        </is>
      </c>
      <c r="C5756" t="n">
        <v>3071</v>
      </c>
      <c r="D5756" s="6" t="n">
        <v>17.6</v>
      </c>
      <c r="E5756" t="n">
        <v>42854</v>
      </c>
      <c r="F5756" s="6" t="n">
        <v>17.6</v>
      </c>
      <c r="G5756" t="n">
        <v>1</v>
      </c>
      <c r="H5756" s="6">
        <f>ROUND(G5756*F5756,2)</f>
        <v/>
      </c>
      <c r="I5756">
        <f>IF(ROUND(H5756-D5756,2)=0,1,0)</f>
        <v/>
      </c>
      <c r="J5756">
        <f>IF(F5756="","none",IF(G5756=1,"carte","multiple"))</f>
        <v/>
      </c>
    </row>
    <row r="5757">
      <c r="A5757" t="inlineStr">
        <is>
          <t>2022-10-06</t>
        </is>
      </c>
      <c r="B5757" t="inlineStr">
        <is>
          <t>12:25</t>
        </is>
      </c>
      <c r="C5757" t="n">
        <v>3071</v>
      </c>
      <c r="D5757" s="6" t="n">
        <v>1.95</v>
      </c>
      <c r="E5757" t="n">
        <v>42855</v>
      </c>
      <c r="H5757" t="inlineStr"/>
      <c r="I5757" t="inlineStr"/>
      <c r="J5757">
        <f>IF(F5757="","none",IF(G5757=1,"carte","multiple"))</f>
        <v/>
      </c>
    </row>
    <row r="5758">
      <c r="A5758" t="inlineStr">
        <is>
          <t>2022-10-06</t>
        </is>
      </c>
      <c r="B5758" t="inlineStr">
        <is>
          <t>12:25</t>
        </is>
      </c>
      <c r="C5758" t="n">
        <v>3071</v>
      </c>
      <c r="D5758" s="6" t="n">
        <v>3.45</v>
      </c>
      <c r="E5758" t="n">
        <v>42856</v>
      </c>
      <c r="H5758" t="inlineStr"/>
      <c r="I5758" t="inlineStr"/>
      <c r="J5758">
        <f>IF(F5758="","none",IF(G5758=1,"carte","multiple"))</f>
        <v/>
      </c>
    </row>
    <row r="5759">
      <c r="A5759" t="inlineStr">
        <is>
          <t>2022-10-06</t>
        </is>
      </c>
      <c r="B5759" t="inlineStr">
        <is>
          <t>12:25</t>
        </is>
      </c>
      <c r="C5759" t="n">
        <v>3071</v>
      </c>
      <c r="D5759" s="6" t="n">
        <v>19.9</v>
      </c>
      <c r="E5759" t="n">
        <v>42857</v>
      </c>
      <c r="F5759" s="6" t="n">
        <v>19.9</v>
      </c>
      <c r="G5759" t="n">
        <v>1</v>
      </c>
      <c r="H5759" s="6">
        <f>ROUND(G5759*F5759,2)</f>
        <v/>
      </c>
      <c r="I5759">
        <f>IF(ROUND(H5759-D5759,2)=0,1,0)</f>
        <v/>
      </c>
      <c r="J5759">
        <f>IF(F5759="","none",IF(G5759=1,"carte","multiple"))</f>
        <v/>
      </c>
    </row>
    <row r="5760">
      <c r="A5760" t="inlineStr">
        <is>
          <t>2022-10-06</t>
        </is>
      </c>
      <c r="B5760" t="inlineStr">
        <is>
          <t>12:25</t>
        </is>
      </c>
      <c r="C5760" t="n">
        <v>3071</v>
      </c>
      <c r="D5760" s="6" t="n">
        <v>3.6</v>
      </c>
      <c r="E5760" t="n">
        <v>42858</v>
      </c>
      <c r="F5760" s="6" t="n">
        <v>3.6</v>
      </c>
      <c r="G5760" t="n">
        <v>1</v>
      </c>
      <c r="H5760" s="6">
        <f>ROUND(G5760*F5760,2)</f>
        <v/>
      </c>
      <c r="I5760">
        <f>IF(ROUND(H5760-D5760,2)=0,1,0)</f>
        <v/>
      </c>
      <c r="J5760">
        <f>IF(F5760="","none",IF(G5760=1,"carte","multiple"))</f>
        <v/>
      </c>
    </row>
    <row r="5761">
      <c r="A5761" t="inlineStr">
        <is>
          <t>2022-10-06</t>
        </is>
      </c>
      <c r="B5761" t="inlineStr">
        <is>
          <t>12:25</t>
        </is>
      </c>
      <c r="C5761" t="n">
        <v>3071</v>
      </c>
      <c r="D5761" s="6" t="n">
        <v>3.6</v>
      </c>
      <c r="E5761" t="n">
        <v>42859</v>
      </c>
      <c r="F5761" s="6" t="n">
        <v>3.6</v>
      </c>
      <c r="G5761" t="n">
        <v>1</v>
      </c>
      <c r="H5761" s="6">
        <f>ROUND(G5761*F5761,2)</f>
        <v/>
      </c>
      <c r="I5761">
        <f>IF(ROUND(H5761-D5761,2)=0,1,0)</f>
        <v/>
      </c>
      <c r="J5761">
        <f>IF(F5761="","none",IF(G5761=1,"carte","multiple"))</f>
        <v/>
      </c>
    </row>
    <row r="5762">
      <c r="A5762" t="inlineStr">
        <is>
          <t>2022-10-06</t>
        </is>
      </c>
      <c r="B5762" t="inlineStr">
        <is>
          <t>18:25</t>
        </is>
      </c>
      <c r="C5762" t="n">
        <v>3071</v>
      </c>
      <c r="D5762" s="6" t="n">
        <v>29.9</v>
      </c>
      <c r="E5762" t="n">
        <v>42860</v>
      </c>
      <c r="F5762" s="6" t="n">
        <v>29.9</v>
      </c>
      <c r="G5762" t="n">
        <v>1</v>
      </c>
      <c r="H5762" s="6">
        <f>ROUND(G5762*F5762,2)</f>
        <v/>
      </c>
      <c r="I5762">
        <f>IF(ROUND(H5762-D5762,2)=0,1,0)</f>
        <v/>
      </c>
      <c r="J5762">
        <f>IF(F5762="","none",IF(G5762=1,"carte","multiple"))</f>
        <v/>
      </c>
    </row>
    <row r="5763">
      <c r="A5763" t="inlineStr">
        <is>
          <t>2022-10-06</t>
        </is>
      </c>
      <c r="B5763" t="inlineStr">
        <is>
          <t>19:11</t>
        </is>
      </c>
      <c r="C5763" t="n">
        <v>3071</v>
      </c>
      <c r="D5763" s="6" t="n">
        <v>15.6</v>
      </c>
      <c r="E5763" t="n">
        <v>42861</v>
      </c>
      <c r="F5763" s="6" t="n">
        <v>15.6</v>
      </c>
      <c r="G5763" t="n">
        <v>1</v>
      </c>
      <c r="H5763" s="6">
        <f>ROUND(G5763*F5763,2)</f>
        <v/>
      </c>
      <c r="I5763">
        <f>IF(ROUND(H5763-D5763,2)=0,1,0)</f>
        <v/>
      </c>
      <c r="J5763">
        <f>IF(F5763="","none",IF(G5763=1,"carte","multiple"))</f>
        <v/>
      </c>
    </row>
    <row r="5764">
      <c r="A5764" t="inlineStr">
        <is>
          <t>2022-10-06</t>
        </is>
      </c>
      <c r="B5764" t="inlineStr">
        <is>
          <t>19:11</t>
        </is>
      </c>
      <c r="C5764" t="n">
        <v>3071</v>
      </c>
      <c r="D5764" s="6" t="n">
        <v>36</v>
      </c>
      <c r="E5764" t="n">
        <v>42862</v>
      </c>
      <c r="F5764" s="6" t="n">
        <v>36</v>
      </c>
      <c r="G5764" t="n">
        <v>1</v>
      </c>
      <c r="H5764" s="6">
        <f>ROUND(G5764*F5764,2)</f>
        <v/>
      </c>
      <c r="I5764">
        <f>IF(ROUND(H5764-D5764,2)=0,1,0)</f>
        <v/>
      </c>
      <c r="J5764">
        <f>IF(F5764="","none",IF(G5764=1,"carte","multiple"))</f>
        <v/>
      </c>
    </row>
    <row r="5765">
      <c r="A5765" t="inlineStr">
        <is>
          <t>2022-10-06</t>
        </is>
      </c>
      <c r="B5765" t="inlineStr">
        <is>
          <t>19:11</t>
        </is>
      </c>
      <c r="C5765" t="n">
        <v>3071</v>
      </c>
      <c r="D5765" s="6" t="n">
        <v>7.9</v>
      </c>
      <c r="E5765" t="n">
        <v>42863</v>
      </c>
      <c r="F5765" s="6" t="n">
        <v>7.9</v>
      </c>
      <c r="G5765" t="n">
        <v>1</v>
      </c>
      <c r="H5765" s="6">
        <f>ROUND(G5765*F5765,2)</f>
        <v/>
      </c>
      <c r="I5765">
        <f>IF(ROUND(H5765-D5765,2)=0,1,0)</f>
        <v/>
      </c>
      <c r="J5765">
        <f>IF(F5765="","none",IF(G5765=1,"carte","multiple"))</f>
        <v/>
      </c>
    </row>
    <row r="5766">
      <c r="A5766" t="inlineStr">
        <is>
          <t>2022-10-06</t>
        </is>
      </c>
      <c r="B5766" t="inlineStr">
        <is>
          <t>19:11</t>
        </is>
      </c>
      <c r="C5766" t="n">
        <v>3071</v>
      </c>
      <c r="D5766" s="6" t="n">
        <v>17.6</v>
      </c>
      <c r="E5766" t="n">
        <v>42864</v>
      </c>
      <c r="F5766" s="6" t="n">
        <v>17.6</v>
      </c>
      <c r="G5766" t="n">
        <v>1</v>
      </c>
      <c r="H5766" s="6">
        <f>ROUND(G5766*F5766,2)</f>
        <v/>
      </c>
      <c r="I5766">
        <f>IF(ROUND(H5766-D5766,2)=0,1,0)</f>
        <v/>
      </c>
      <c r="J5766">
        <f>IF(F5766="","none",IF(G5766=1,"carte","multiple"))</f>
        <v/>
      </c>
    </row>
    <row r="5767">
      <c r="A5767" t="inlineStr">
        <is>
          <t>2022-10-06</t>
        </is>
      </c>
      <c r="B5767" t="inlineStr">
        <is>
          <t>19:11</t>
        </is>
      </c>
      <c r="C5767" t="n">
        <v>3071</v>
      </c>
      <c r="D5767" s="6" t="n">
        <v>35.2</v>
      </c>
      <c r="E5767" t="n">
        <v>42865</v>
      </c>
      <c r="F5767" s="6" t="n">
        <v>0.4</v>
      </c>
      <c r="G5767" t="n">
        <v>88</v>
      </c>
      <c r="H5767" s="6">
        <f>ROUND(G5767*F5767,2)</f>
        <v/>
      </c>
      <c r="I5767">
        <f>IF(ROUND(H5767-D5767,2)=0,1,0)</f>
        <v/>
      </c>
      <c r="J5767">
        <f>IF(F5767="","none",IF(G5767=1,"carte","multiple"))</f>
        <v/>
      </c>
    </row>
    <row r="5768">
      <c r="A5768" t="inlineStr">
        <is>
          <t>2022-10-06</t>
        </is>
      </c>
      <c r="B5768" t="inlineStr">
        <is>
          <t>19:11</t>
        </is>
      </c>
      <c r="C5768" t="n">
        <v>3071</v>
      </c>
      <c r="D5768" s="6" t="n">
        <v>17.6</v>
      </c>
      <c r="E5768" t="n">
        <v>42866</v>
      </c>
      <c r="F5768" s="6" t="n">
        <v>17.6</v>
      </c>
      <c r="G5768" t="n">
        <v>1</v>
      </c>
      <c r="H5768" s="6">
        <f>ROUND(G5768*F5768,2)</f>
        <v/>
      </c>
      <c r="I5768">
        <f>IF(ROUND(H5768-D5768,2)=0,1,0)</f>
        <v/>
      </c>
      <c r="J5768">
        <f>IF(F5768="","none",IF(G5768=1,"carte","multiple"))</f>
        <v/>
      </c>
    </row>
    <row r="5769">
      <c r="A5769" t="inlineStr">
        <is>
          <t>2022-10-06</t>
        </is>
      </c>
      <c r="B5769" t="inlineStr">
        <is>
          <t>19:11</t>
        </is>
      </c>
      <c r="C5769" t="n">
        <v>3071</v>
      </c>
      <c r="D5769" s="6" t="n">
        <v>16</v>
      </c>
      <c r="E5769" t="n">
        <v>42867</v>
      </c>
      <c r="F5769" s="6" t="n">
        <v>16</v>
      </c>
      <c r="G5769" t="n">
        <v>1</v>
      </c>
      <c r="H5769" s="6">
        <f>ROUND(G5769*F5769,2)</f>
        <v/>
      </c>
      <c r="I5769">
        <f>IF(ROUND(H5769-D5769,2)=0,1,0)</f>
        <v/>
      </c>
      <c r="J5769">
        <f>IF(F5769="","none",IF(G5769=1,"carte","multiple"))</f>
        <v/>
      </c>
    </row>
    <row r="5770">
      <c r="A5770" t="inlineStr">
        <is>
          <t>2022-10-06</t>
        </is>
      </c>
      <c r="B5770" t="inlineStr">
        <is>
          <t>19:11</t>
        </is>
      </c>
      <c r="C5770" t="n">
        <v>3071</v>
      </c>
      <c r="D5770" s="6" t="n">
        <v>8.9</v>
      </c>
      <c r="E5770" t="n">
        <v>42868</v>
      </c>
      <c r="F5770" s="6" t="n">
        <v>8.9</v>
      </c>
      <c r="G5770" t="n">
        <v>1</v>
      </c>
      <c r="H5770" s="6">
        <f>ROUND(G5770*F5770,2)</f>
        <v/>
      </c>
      <c r="I5770">
        <f>IF(ROUND(H5770-D5770,2)=0,1,0)</f>
        <v/>
      </c>
      <c r="J5770">
        <f>IF(F5770="","none",IF(G5770=1,"carte","multiple"))</f>
        <v/>
      </c>
    </row>
    <row r="5771">
      <c r="A5771" t="inlineStr">
        <is>
          <t>2022-10-06</t>
        </is>
      </c>
      <c r="B5771" t="inlineStr">
        <is>
          <t>19:11</t>
        </is>
      </c>
      <c r="C5771" t="n">
        <v>3071</v>
      </c>
      <c r="D5771" s="6" t="n">
        <v>9.6</v>
      </c>
      <c r="E5771" t="n">
        <v>42869</v>
      </c>
      <c r="F5771" s="6" t="n">
        <v>9.6</v>
      </c>
      <c r="G5771" t="n">
        <v>1</v>
      </c>
      <c r="H5771" s="6">
        <f>ROUND(G5771*F5771,2)</f>
        <v/>
      </c>
      <c r="I5771">
        <f>IF(ROUND(H5771-D5771,2)=0,1,0)</f>
        <v/>
      </c>
      <c r="J5771">
        <f>IF(F5771="","none",IF(G5771=1,"carte","multiple"))</f>
        <v/>
      </c>
    </row>
    <row r="5772">
      <c r="A5772" t="inlineStr">
        <is>
          <t>2022-10-06</t>
        </is>
      </c>
      <c r="B5772" t="inlineStr">
        <is>
          <t>19:15</t>
        </is>
      </c>
      <c r="C5772" t="n">
        <v>3071</v>
      </c>
      <c r="D5772" s="6" t="n">
        <v>5.2</v>
      </c>
      <c r="E5772" t="n">
        <v>42870</v>
      </c>
      <c r="F5772" s="6" t="n">
        <v>5.2</v>
      </c>
      <c r="G5772" t="n">
        <v>1</v>
      </c>
      <c r="H5772" s="6">
        <f>ROUND(G5772*F5772,2)</f>
        <v/>
      </c>
      <c r="I5772">
        <f>IF(ROUND(H5772-D5772,2)=0,1,0)</f>
        <v/>
      </c>
      <c r="J5772">
        <f>IF(F5772="","none",IF(G5772=1,"carte","multiple"))</f>
        <v/>
      </c>
    </row>
    <row r="5773">
      <c r="A5773" t="inlineStr">
        <is>
          <t>2022-10-06</t>
        </is>
      </c>
      <c r="B5773" t="inlineStr">
        <is>
          <t>19:17</t>
        </is>
      </c>
      <c r="C5773" t="n">
        <v>3071</v>
      </c>
      <c r="D5773" s="6" t="n">
        <v>32</v>
      </c>
      <c r="E5773" t="n">
        <v>42871</v>
      </c>
      <c r="F5773" s="6" t="n">
        <v>32</v>
      </c>
      <c r="G5773" t="n">
        <v>1</v>
      </c>
      <c r="H5773" s="6">
        <f>ROUND(G5773*F5773,2)</f>
        <v/>
      </c>
      <c r="I5773">
        <f>IF(ROUND(H5773-D5773,2)=0,1,0)</f>
        <v/>
      </c>
      <c r="J5773">
        <f>IF(F5773="","none",IF(G5773=1,"carte","multiple"))</f>
        <v/>
      </c>
    </row>
    <row r="5774">
      <c r="A5774" t="inlineStr">
        <is>
          <t>2022-10-06</t>
        </is>
      </c>
      <c r="B5774" t="inlineStr">
        <is>
          <t>19:29</t>
        </is>
      </c>
      <c r="C5774" t="n">
        <v>3071</v>
      </c>
      <c r="D5774" s="6" t="n">
        <v>11</v>
      </c>
      <c r="E5774" t="n">
        <v>42872</v>
      </c>
      <c r="F5774" s="6" t="n">
        <v>11</v>
      </c>
      <c r="G5774" t="n">
        <v>1</v>
      </c>
      <c r="H5774" s="6">
        <f>ROUND(G5774*F5774,2)</f>
        <v/>
      </c>
      <c r="I5774">
        <f>IF(ROUND(H5774-D5774,2)=0,1,0)</f>
        <v/>
      </c>
      <c r="J5774">
        <f>IF(F5774="","none",IF(G5774=1,"carte","multiple"))</f>
        <v/>
      </c>
    </row>
    <row r="5775">
      <c r="A5775" t="inlineStr">
        <is>
          <t>2022-10-06</t>
        </is>
      </c>
      <c r="B5775" t="inlineStr">
        <is>
          <t>20:04</t>
        </is>
      </c>
      <c r="C5775" t="n">
        <v>3071</v>
      </c>
      <c r="D5775" s="6" t="n">
        <v>23</v>
      </c>
      <c r="E5775" t="n">
        <v>42873</v>
      </c>
      <c r="F5775" s="6" t="n">
        <v>23</v>
      </c>
      <c r="G5775" t="n">
        <v>1</v>
      </c>
      <c r="H5775" s="6">
        <f>ROUND(G5775*F5775,2)</f>
        <v/>
      </c>
      <c r="I5775">
        <f>IF(ROUND(H5775-D5775,2)=0,1,0)</f>
        <v/>
      </c>
      <c r="J5775">
        <f>IF(F5775="","none",IF(G5775=1,"carte","multiple"))</f>
        <v/>
      </c>
    </row>
    <row r="5776">
      <c r="A5776" t="inlineStr">
        <is>
          <t>2022-10-07</t>
        </is>
      </c>
      <c r="B5776" t="inlineStr">
        <is>
          <t>12:34</t>
        </is>
      </c>
      <c r="C5776" t="n">
        <v>3072</v>
      </c>
      <c r="D5776" s="6" t="n">
        <v>16.9</v>
      </c>
      <c r="E5776" t="n">
        <v>42876</v>
      </c>
      <c r="F5776" s="6" t="n">
        <v>16.9</v>
      </c>
      <c r="G5776" t="n">
        <v>1</v>
      </c>
      <c r="H5776" s="6">
        <f>ROUND(G5776*F5776,2)</f>
        <v/>
      </c>
      <c r="I5776">
        <f>IF(ROUND(H5776-D5776,2)=0,1,0)</f>
        <v/>
      </c>
      <c r="J5776">
        <f>IF(F5776="","none",IF(G5776=1,"carte","multiple"))</f>
        <v/>
      </c>
    </row>
    <row r="5777">
      <c r="A5777" t="inlineStr">
        <is>
          <t>2022-10-07</t>
        </is>
      </c>
      <c r="B5777" t="inlineStr">
        <is>
          <t>12:34</t>
        </is>
      </c>
      <c r="C5777" t="n">
        <v>3072</v>
      </c>
      <c r="D5777" s="6" t="n">
        <v>15.9</v>
      </c>
      <c r="E5777" t="n">
        <v>42877</v>
      </c>
      <c r="F5777" s="6" t="n">
        <v>15.9</v>
      </c>
      <c r="G5777" t="n">
        <v>1</v>
      </c>
      <c r="H5777" s="6">
        <f>ROUND(G5777*F5777,2)</f>
        <v/>
      </c>
      <c r="I5777">
        <f>IF(ROUND(H5777-D5777,2)=0,1,0)</f>
        <v/>
      </c>
      <c r="J5777">
        <f>IF(F5777="","none",IF(G5777=1,"carte","multiple"))</f>
        <v/>
      </c>
    </row>
    <row r="5778">
      <c r="A5778" t="inlineStr">
        <is>
          <t>2022-10-07</t>
        </is>
      </c>
      <c r="B5778" t="inlineStr">
        <is>
          <t>12:34</t>
        </is>
      </c>
      <c r="C5778" t="n">
        <v>3072</v>
      </c>
      <c r="D5778" s="6" t="n">
        <v>27.8</v>
      </c>
      <c r="E5778" t="n">
        <v>42878</v>
      </c>
      <c r="F5778" s="6" t="n">
        <v>27.8</v>
      </c>
      <c r="G5778" t="n">
        <v>1</v>
      </c>
      <c r="H5778" s="6">
        <f>ROUND(G5778*F5778,2)</f>
        <v/>
      </c>
      <c r="I5778">
        <f>IF(ROUND(H5778-D5778,2)=0,1,0)</f>
        <v/>
      </c>
      <c r="J5778">
        <f>IF(F5778="","none",IF(G5778=1,"carte","multiple"))</f>
        <v/>
      </c>
    </row>
    <row r="5779">
      <c r="A5779" t="inlineStr">
        <is>
          <t>2022-10-07</t>
        </is>
      </c>
      <c r="B5779" t="inlineStr">
        <is>
          <t>12:34</t>
        </is>
      </c>
      <c r="C5779" t="n">
        <v>3072</v>
      </c>
      <c r="D5779" s="6" t="n">
        <v>7.9</v>
      </c>
      <c r="E5779" t="n">
        <v>42879</v>
      </c>
      <c r="F5779" s="6" t="n">
        <v>7.9</v>
      </c>
      <c r="G5779" t="n">
        <v>1</v>
      </c>
      <c r="H5779" s="6">
        <f>ROUND(G5779*F5779,2)</f>
        <v/>
      </c>
      <c r="I5779">
        <f>IF(ROUND(H5779-D5779,2)=0,1,0)</f>
        <v/>
      </c>
      <c r="J5779">
        <f>IF(F5779="","none",IF(G5779=1,"carte","multiple"))</f>
        <v/>
      </c>
    </row>
    <row r="5780">
      <c r="A5780" t="inlineStr">
        <is>
          <t>2022-10-07</t>
        </is>
      </c>
      <c r="B5780" t="inlineStr">
        <is>
          <t>12:34</t>
        </is>
      </c>
      <c r="C5780" t="n">
        <v>3072</v>
      </c>
      <c r="D5780" s="6" t="n">
        <v>7.9</v>
      </c>
      <c r="E5780" t="n">
        <v>42880</v>
      </c>
      <c r="F5780" s="6" t="n">
        <v>7.9</v>
      </c>
      <c r="G5780" t="n">
        <v>1</v>
      </c>
      <c r="H5780" s="6">
        <f>ROUND(G5780*F5780,2)</f>
        <v/>
      </c>
      <c r="I5780">
        <f>IF(ROUND(H5780-D5780,2)=0,1,0)</f>
        <v/>
      </c>
      <c r="J5780">
        <f>IF(F5780="","none",IF(G5780=1,"carte","multiple"))</f>
        <v/>
      </c>
    </row>
    <row r="5781">
      <c r="A5781" t="inlineStr">
        <is>
          <t>2022-10-07</t>
        </is>
      </c>
      <c r="B5781" t="inlineStr">
        <is>
          <t>12:34</t>
        </is>
      </c>
      <c r="C5781" t="n">
        <v>3072</v>
      </c>
      <c r="D5781" s="6" t="n">
        <v>4.9</v>
      </c>
      <c r="E5781" t="n">
        <v>42881</v>
      </c>
      <c r="F5781" s="6" t="n">
        <v>4.9</v>
      </c>
      <c r="G5781" t="n">
        <v>1</v>
      </c>
      <c r="H5781" s="6">
        <f>ROUND(G5781*F5781,2)</f>
        <v/>
      </c>
      <c r="I5781">
        <f>IF(ROUND(H5781-D5781,2)=0,1,0)</f>
        <v/>
      </c>
      <c r="J5781">
        <f>IF(F5781="","none",IF(G5781=1,"carte","multiple"))</f>
        <v/>
      </c>
    </row>
    <row r="5782">
      <c r="A5782" t="inlineStr">
        <is>
          <t>2022-10-07</t>
        </is>
      </c>
      <c r="B5782" t="inlineStr">
        <is>
          <t>12:34</t>
        </is>
      </c>
      <c r="C5782" t="n">
        <v>3072</v>
      </c>
      <c r="D5782" s="6" t="n">
        <v>3.9</v>
      </c>
      <c r="E5782" t="n">
        <v>42882</v>
      </c>
      <c r="F5782" s="6" t="n">
        <v>3.9</v>
      </c>
      <c r="G5782" t="n">
        <v>1</v>
      </c>
      <c r="H5782" s="6">
        <f>ROUND(G5782*F5782,2)</f>
        <v/>
      </c>
      <c r="I5782">
        <f>IF(ROUND(H5782-D5782,2)=0,1,0)</f>
        <v/>
      </c>
      <c r="J5782">
        <f>IF(F5782="","none",IF(G5782=1,"carte","multiple"))</f>
        <v/>
      </c>
    </row>
    <row r="5783">
      <c r="A5783" t="inlineStr">
        <is>
          <t>2022-10-07</t>
        </is>
      </c>
      <c r="B5783" t="inlineStr">
        <is>
          <t>18:31</t>
        </is>
      </c>
      <c r="C5783" t="n">
        <v>3072</v>
      </c>
      <c r="D5783" s="6" t="n">
        <v>6.9</v>
      </c>
      <c r="E5783" t="n">
        <v>42883</v>
      </c>
      <c r="F5783" s="6" t="n">
        <v>6.9</v>
      </c>
      <c r="G5783" t="n">
        <v>1</v>
      </c>
      <c r="H5783" s="6">
        <f>ROUND(G5783*F5783,2)</f>
        <v/>
      </c>
      <c r="I5783">
        <f>IF(ROUND(H5783-D5783,2)=0,1,0)</f>
        <v/>
      </c>
      <c r="J5783">
        <f>IF(F5783="","none",IF(G5783=1,"carte","multiple"))</f>
        <v/>
      </c>
    </row>
    <row r="5784">
      <c r="A5784" t="inlineStr">
        <is>
          <t>2022-10-07</t>
        </is>
      </c>
      <c r="B5784" t="inlineStr">
        <is>
          <t>18:34</t>
        </is>
      </c>
      <c r="C5784" t="n">
        <v>3072</v>
      </c>
      <c r="D5784" s="6" t="n">
        <v>2.2</v>
      </c>
      <c r="E5784" t="n">
        <v>42884</v>
      </c>
      <c r="F5784" s="6" t="n">
        <v>2.2</v>
      </c>
      <c r="G5784" t="n">
        <v>1</v>
      </c>
      <c r="H5784" s="6">
        <f>ROUND(G5784*F5784,2)</f>
        <v/>
      </c>
      <c r="I5784">
        <f>IF(ROUND(H5784-D5784,2)=0,1,0)</f>
        <v/>
      </c>
      <c r="J5784">
        <f>IF(F5784="","none",IF(G5784=1,"carte","multiple"))</f>
        <v/>
      </c>
    </row>
    <row r="5785">
      <c r="A5785" t="inlineStr">
        <is>
          <t>2022-10-07</t>
        </is>
      </c>
      <c r="B5785" t="inlineStr">
        <is>
          <t>18:34</t>
        </is>
      </c>
      <c r="C5785" t="n">
        <v>3072</v>
      </c>
      <c r="D5785" s="6" t="n">
        <v>29</v>
      </c>
      <c r="E5785" t="n">
        <v>42885</v>
      </c>
      <c r="F5785" s="6" t="n">
        <v>29</v>
      </c>
      <c r="G5785" t="n">
        <v>1</v>
      </c>
      <c r="H5785" s="6">
        <f>ROUND(G5785*F5785,2)</f>
        <v/>
      </c>
      <c r="I5785">
        <f>IF(ROUND(H5785-D5785,2)=0,1,0)</f>
        <v/>
      </c>
      <c r="J5785">
        <f>IF(F5785="","none",IF(G5785=1,"carte","multiple"))</f>
        <v/>
      </c>
    </row>
    <row r="5786">
      <c r="A5786" t="inlineStr">
        <is>
          <t>2022-10-07</t>
        </is>
      </c>
      <c r="B5786" t="inlineStr">
        <is>
          <t>18:34</t>
        </is>
      </c>
      <c r="C5786" t="n">
        <v>3072</v>
      </c>
      <c r="D5786" s="6" t="n">
        <v>5.9</v>
      </c>
      <c r="E5786" t="n">
        <v>42886</v>
      </c>
      <c r="F5786" s="6" t="n">
        <v>5.9</v>
      </c>
      <c r="G5786" t="n">
        <v>1</v>
      </c>
      <c r="H5786" s="6">
        <f>ROUND(G5786*F5786,2)</f>
        <v/>
      </c>
      <c r="I5786">
        <f>IF(ROUND(H5786-D5786,2)=0,1,0)</f>
        <v/>
      </c>
      <c r="J5786">
        <f>IF(F5786="","none",IF(G5786=1,"carte","multiple"))</f>
        <v/>
      </c>
    </row>
    <row r="5787">
      <c r="A5787" t="inlineStr">
        <is>
          <t>2022-10-07</t>
        </is>
      </c>
      <c r="B5787" t="inlineStr">
        <is>
          <t>18:34</t>
        </is>
      </c>
      <c r="C5787" t="n">
        <v>3072</v>
      </c>
      <c r="D5787" s="6" t="n">
        <v>31.8</v>
      </c>
      <c r="E5787" t="n">
        <v>42887</v>
      </c>
      <c r="F5787" s="6" t="n">
        <v>31.8</v>
      </c>
      <c r="G5787" t="n">
        <v>1</v>
      </c>
      <c r="H5787" s="6">
        <f>ROUND(G5787*F5787,2)</f>
        <v/>
      </c>
      <c r="I5787">
        <f>IF(ROUND(H5787-D5787,2)=0,1,0)</f>
        <v/>
      </c>
      <c r="J5787">
        <f>IF(F5787="","none",IF(G5787=1,"carte","multiple"))</f>
        <v/>
      </c>
    </row>
    <row r="5788">
      <c r="A5788" t="inlineStr">
        <is>
          <t>2022-10-07</t>
        </is>
      </c>
      <c r="B5788" t="inlineStr">
        <is>
          <t>18:34</t>
        </is>
      </c>
      <c r="C5788" t="n">
        <v>3072</v>
      </c>
      <c r="D5788" s="6" t="n">
        <v>32</v>
      </c>
      <c r="E5788" t="n">
        <v>42888</v>
      </c>
      <c r="F5788" s="6" t="n">
        <v>32</v>
      </c>
      <c r="G5788" t="n">
        <v>1</v>
      </c>
      <c r="H5788" s="6">
        <f>ROUND(G5788*F5788,2)</f>
        <v/>
      </c>
      <c r="I5788">
        <f>IF(ROUND(H5788-D5788,2)=0,1,0)</f>
        <v/>
      </c>
      <c r="J5788">
        <f>IF(F5788="","none",IF(G5788=1,"carte","multiple"))</f>
        <v/>
      </c>
    </row>
    <row r="5789">
      <c r="A5789" t="inlineStr">
        <is>
          <t>2022-10-07</t>
        </is>
      </c>
      <c r="B5789" t="inlineStr">
        <is>
          <t>19:16</t>
        </is>
      </c>
      <c r="C5789" t="n">
        <v>3072</v>
      </c>
      <c r="D5789" s="6" t="n">
        <v>17.6</v>
      </c>
      <c r="E5789" t="n">
        <v>42889</v>
      </c>
      <c r="F5789" s="6" t="n">
        <v>17.6</v>
      </c>
      <c r="G5789" t="n">
        <v>1</v>
      </c>
      <c r="H5789" s="6">
        <f>ROUND(G5789*F5789,2)</f>
        <v/>
      </c>
      <c r="I5789">
        <f>IF(ROUND(H5789-D5789,2)=0,1,0)</f>
        <v/>
      </c>
      <c r="J5789">
        <f>IF(F5789="","none",IF(G5789=1,"carte","multiple"))</f>
        <v/>
      </c>
    </row>
    <row r="5790">
      <c r="A5790" t="inlineStr">
        <is>
          <t>2022-10-07</t>
        </is>
      </c>
      <c r="B5790" t="inlineStr">
        <is>
          <t>19:32</t>
        </is>
      </c>
      <c r="C5790" t="n">
        <v>3072</v>
      </c>
      <c r="D5790" s="6" t="n">
        <v>31.8</v>
      </c>
      <c r="E5790" t="n">
        <v>42890</v>
      </c>
      <c r="F5790" s="6" t="n">
        <v>31.8</v>
      </c>
      <c r="G5790" t="n">
        <v>1</v>
      </c>
      <c r="H5790" s="6">
        <f>ROUND(G5790*F5790,2)</f>
        <v/>
      </c>
      <c r="I5790">
        <f>IF(ROUND(H5790-D5790,2)=0,1,0)</f>
        <v/>
      </c>
      <c r="J5790">
        <f>IF(F5790="","none",IF(G5790=1,"carte","multiple"))</f>
        <v/>
      </c>
    </row>
    <row r="5791">
      <c r="A5791" t="inlineStr">
        <is>
          <t>2022-10-07</t>
        </is>
      </c>
      <c r="B5791" t="inlineStr">
        <is>
          <t>19:32</t>
        </is>
      </c>
      <c r="C5791" t="n">
        <v>3072</v>
      </c>
      <c r="D5791" s="6" t="n">
        <v>45</v>
      </c>
      <c r="E5791" t="n">
        <v>42891</v>
      </c>
      <c r="F5791" s="6" t="n">
        <v>45</v>
      </c>
      <c r="G5791" t="n">
        <v>1</v>
      </c>
      <c r="H5791" s="6">
        <f>ROUND(G5791*F5791,2)</f>
        <v/>
      </c>
      <c r="I5791">
        <f>IF(ROUND(H5791-D5791,2)=0,1,0)</f>
        <v/>
      </c>
      <c r="J5791">
        <f>IF(F5791="","none",IF(G5791=1,"carte","multiple"))</f>
        <v/>
      </c>
    </row>
    <row r="5792">
      <c r="A5792" t="inlineStr">
        <is>
          <t>2022-10-07</t>
        </is>
      </c>
      <c r="B5792" t="inlineStr">
        <is>
          <t>19:32</t>
        </is>
      </c>
      <c r="C5792" t="n">
        <v>3072</v>
      </c>
      <c r="D5792" s="6" t="n">
        <v>32</v>
      </c>
      <c r="E5792" t="n">
        <v>42892</v>
      </c>
      <c r="F5792" s="6" t="n">
        <v>32</v>
      </c>
      <c r="G5792" t="n">
        <v>1</v>
      </c>
      <c r="H5792" s="6">
        <f>ROUND(G5792*F5792,2)</f>
        <v/>
      </c>
      <c r="I5792">
        <f>IF(ROUND(H5792-D5792,2)=0,1,0)</f>
        <v/>
      </c>
      <c r="J5792">
        <f>IF(F5792="","none",IF(G5792=1,"carte","multiple"))</f>
        <v/>
      </c>
    </row>
    <row r="5793">
      <c r="A5793" t="inlineStr">
        <is>
          <t>2022-10-07</t>
        </is>
      </c>
      <c r="B5793" t="inlineStr">
        <is>
          <t>19:32</t>
        </is>
      </c>
      <c r="C5793" t="n">
        <v>3072</v>
      </c>
      <c r="D5793" s="6" t="n">
        <v>30</v>
      </c>
      <c r="E5793" t="n">
        <v>42893</v>
      </c>
      <c r="F5793" s="6" t="n">
        <v>30</v>
      </c>
      <c r="G5793" t="n">
        <v>1</v>
      </c>
      <c r="H5793" s="6">
        <f>ROUND(G5793*F5793,2)</f>
        <v/>
      </c>
      <c r="I5793">
        <f>IF(ROUND(H5793-D5793,2)=0,1,0)</f>
        <v/>
      </c>
      <c r="J5793">
        <f>IF(F5793="","none",IF(G5793=1,"carte","multiple"))</f>
        <v/>
      </c>
    </row>
    <row r="5794">
      <c r="A5794" t="inlineStr">
        <is>
          <t>2022-10-07</t>
        </is>
      </c>
      <c r="B5794" t="inlineStr">
        <is>
          <t>19:32</t>
        </is>
      </c>
      <c r="C5794" t="n">
        <v>3072</v>
      </c>
      <c r="D5794" s="6" t="n">
        <v>8.4</v>
      </c>
      <c r="E5794" t="n">
        <v>42894</v>
      </c>
      <c r="F5794" s="6" t="n">
        <v>8.4</v>
      </c>
      <c r="G5794" t="n">
        <v>1</v>
      </c>
      <c r="H5794" s="6">
        <f>ROUND(G5794*F5794,2)</f>
        <v/>
      </c>
      <c r="I5794">
        <f>IF(ROUND(H5794-D5794,2)=0,1,0)</f>
        <v/>
      </c>
      <c r="J5794">
        <f>IF(F5794="","none",IF(G5794=1,"carte","multiple"))</f>
        <v/>
      </c>
    </row>
    <row r="5795">
      <c r="A5795" t="inlineStr">
        <is>
          <t>2022-10-07</t>
        </is>
      </c>
      <c r="B5795" t="inlineStr">
        <is>
          <t>19:32</t>
        </is>
      </c>
      <c r="C5795" t="n">
        <v>3072</v>
      </c>
      <c r="D5795" s="6" t="n">
        <v>3.9</v>
      </c>
      <c r="E5795" t="n">
        <v>42895</v>
      </c>
      <c r="F5795" s="6" t="n">
        <v>3.9</v>
      </c>
      <c r="G5795" t="n">
        <v>1</v>
      </c>
      <c r="H5795" s="6">
        <f>ROUND(G5795*F5795,2)</f>
        <v/>
      </c>
      <c r="I5795">
        <f>IF(ROUND(H5795-D5795,2)=0,1,0)</f>
        <v/>
      </c>
      <c r="J5795">
        <f>IF(F5795="","none",IF(G5795=1,"carte","multiple"))</f>
        <v/>
      </c>
    </row>
    <row r="5796">
      <c r="A5796" t="inlineStr">
        <is>
          <t>2022-10-07</t>
        </is>
      </c>
      <c r="B5796" t="inlineStr">
        <is>
          <t>19:32</t>
        </is>
      </c>
      <c r="C5796" t="n">
        <v>3072</v>
      </c>
      <c r="D5796" s="6" t="n">
        <v>7.9</v>
      </c>
      <c r="E5796" t="n">
        <v>42896</v>
      </c>
      <c r="F5796" s="6" t="n">
        <v>7.9</v>
      </c>
      <c r="G5796" t="n">
        <v>1</v>
      </c>
      <c r="H5796" s="6">
        <f>ROUND(G5796*F5796,2)</f>
        <v/>
      </c>
      <c r="I5796">
        <f>IF(ROUND(H5796-D5796,2)=0,1,0)</f>
        <v/>
      </c>
      <c r="J5796">
        <f>IF(F5796="","none",IF(G5796=1,"carte","multiple"))</f>
        <v/>
      </c>
    </row>
    <row r="5797">
      <c r="A5797" t="inlineStr">
        <is>
          <t>2022-10-07</t>
        </is>
      </c>
      <c r="B5797" t="inlineStr">
        <is>
          <t>19:45</t>
        </is>
      </c>
      <c r="C5797" t="n">
        <v>3072</v>
      </c>
      <c r="D5797" s="6" t="n">
        <v>14.9</v>
      </c>
      <c r="E5797" t="n">
        <v>42897</v>
      </c>
      <c r="F5797" s="6" t="n">
        <v>14.9</v>
      </c>
      <c r="G5797" t="n">
        <v>1</v>
      </c>
      <c r="H5797" s="6">
        <f>ROUND(G5797*F5797,2)</f>
        <v/>
      </c>
      <c r="I5797">
        <f>IF(ROUND(H5797-D5797,2)=0,1,0)</f>
        <v/>
      </c>
      <c r="J5797">
        <f>IF(F5797="","none",IF(G5797=1,"carte","multiple"))</f>
        <v/>
      </c>
    </row>
    <row r="5798">
      <c r="A5798" t="inlineStr">
        <is>
          <t>2022-10-07</t>
        </is>
      </c>
      <c r="B5798" t="inlineStr">
        <is>
          <t>20:05</t>
        </is>
      </c>
      <c r="C5798" t="n">
        <v>3072</v>
      </c>
      <c r="D5798" s="6" t="n">
        <v>14.9</v>
      </c>
      <c r="E5798" t="n">
        <v>42898</v>
      </c>
      <c r="F5798" s="6" t="n">
        <v>14.9</v>
      </c>
      <c r="G5798" t="n">
        <v>1</v>
      </c>
      <c r="H5798" s="6">
        <f>ROUND(G5798*F5798,2)</f>
        <v/>
      </c>
      <c r="I5798">
        <f>IF(ROUND(H5798-D5798,2)=0,1,0)</f>
        <v/>
      </c>
      <c r="J5798">
        <f>IF(F5798="","none",IF(G5798=1,"carte","multiple"))</f>
        <v/>
      </c>
    </row>
    <row r="5799">
      <c r="A5799" t="inlineStr">
        <is>
          <t>2022-10-07</t>
        </is>
      </c>
      <c r="B5799" t="inlineStr">
        <is>
          <t>20:06</t>
        </is>
      </c>
      <c r="C5799" t="n">
        <v>3072</v>
      </c>
      <c r="D5799" s="6" t="n">
        <v>7.5</v>
      </c>
      <c r="E5799" t="n">
        <v>42899</v>
      </c>
      <c r="F5799" s="6" t="n">
        <v>7.5</v>
      </c>
      <c r="G5799" t="n">
        <v>1</v>
      </c>
      <c r="H5799" s="6">
        <f>ROUND(G5799*F5799,2)</f>
        <v/>
      </c>
      <c r="I5799">
        <f>IF(ROUND(H5799-D5799,2)=0,1,0)</f>
        <v/>
      </c>
      <c r="J5799">
        <f>IF(F5799="","none",IF(G5799=1,"carte","multiple"))</f>
        <v/>
      </c>
    </row>
    <row r="5800">
      <c r="A5800" t="inlineStr">
        <is>
          <t>2022-10-07</t>
        </is>
      </c>
      <c r="B5800" t="inlineStr">
        <is>
          <t>20:17</t>
        </is>
      </c>
      <c r="C5800" t="n">
        <v>3072</v>
      </c>
      <c r="D5800" s="6" t="n">
        <v>4</v>
      </c>
      <c r="E5800" t="n">
        <v>42900</v>
      </c>
      <c r="F5800" s="6" t="n">
        <v>4</v>
      </c>
      <c r="G5800" t="n">
        <v>1</v>
      </c>
      <c r="H5800" s="6">
        <f>ROUND(G5800*F5800,2)</f>
        <v/>
      </c>
      <c r="I5800">
        <f>IF(ROUND(H5800-D5800,2)=0,1,0)</f>
        <v/>
      </c>
      <c r="J5800">
        <f>IF(F5800="","none",IF(G5800=1,"carte","multiple"))</f>
        <v/>
      </c>
    </row>
    <row r="5801">
      <c r="A5801" t="inlineStr">
        <is>
          <t>2022-10-07</t>
        </is>
      </c>
      <c r="B5801" t="inlineStr">
        <is>
          <t>20:21</t>
        </is>
      </c>
      <c r="C5801" t="n">
        <v>3072</v>
      </c>
      <c r="D5801" s="6" t="n">
        <v>5.9</v>
      </c>
      <c r="E5801" t="n">
        <v>42901</v>
      </c>
      <c r="F5801" s="6" t="n">
        <v>5.9</v>
      </c>
      <c r="G5801" t="n">
        <v>1</v>
      </c>
      <c r="H5801" s="6">
        <f>ROUND(G5801*F5801,2)</f>
        <v/>
      </c>
      <c r="I5801">
        <f>IF(ROUND(H5801-D5801,2)=0,1,0)</f>
        <v/>
      </c>
      <c r="J5801">
        <f>IF(F5801="","none",IF(G5801=1,"carte","multiple"))</f>
        <v/>
      </c>
    </row>
    <row r="5802">
      <c r="A5802" t="inlineStr">
        <is>
          <t>2022-10-07</t>
        </is>
      </c>
      <c r="B5802" t="inlineStr">
        <is>
          <t>20:21</t>
        </is>
      </c>
      <c r="C5802" t="n">
        <v>3072</v>
      </c>
      <c r="D5802" s="6" t="n">
        <v>2.2</v>
      </c>
      <c r="E5802" t="n">
        <v>42902</v>
      </c>
      <c r="F5802" s="6" t="n">
        <v>2.2</v>
      </c>
      <c r="G5802" t="n">
        <v>1</v>
      </c>
      <c r="H5802" s="6">
        <f>ROUND(G5802*F5802,2)</f>
        <v/>
      </c>
      <c r="I5802">
        <f>IF(ROUND(H5802-D5802,2)=0,1,0)</f>
        <v/>
      </c>
      <c r="J5802">
        <f>IF(F5802="","none",IF(G5802=1,"carte","multiple"))</f>
        <v/>
      </c>
    </row>
    <row r="5803">
      <c r="A5803" t="inlineStr">
        <is>
          <t>2022-10-07</t>
        </is>
      </c>
      <c r="B5803" t="inlineStr">
        <is>
          <t>20:21</t>
        </is>
      </c>
      <c r="C5803" t="n">
        <v>3072</v>
      </c>
      <c r="D5803" s="6" t="n">
        <v>29</v>
      </c>
      <c r="E5803" t="n">
        <v>42903</v>
      </c>
      <c r="F5803" s="6" t="n">
        <v>29</v>
      </c>
      <c r="G5803" t="n">
        <v>1</v>
      </c>
      <c r="H5803" s="6">
        <f>ROUND(G5803*F5803,2)</f>
        <v/>
      </c>
      <c r="I5803">
        <f>IF(ROUND(H5803-D5803,2)=0,1,0)</f>
        <v/>
      </c>
      <c r="J5803">
        <f>IF(F5803="","none",IF(G5803=1,"carte","multiple"))</f>
        <v/>
      </c>
    </row>
    <row r="5804">
      <c r="A5804" t="inlineStr">
        <is>
          <t>2022-10-07</t>
        </is>
      </c>
      <c r="B5804" t="inlineStr">
        <is>
          <t>20:21</t>
        </is>
      </c>
      <c r="C5804" t="n">
        <v>3072</v>
      </c>
      <c r="D5804" s="6" t="n">
        <v>32</v>
      </c>
      <c r="E5804" t="n">
        <v>42904</v>
      </c>
      <c r="F5804" s="6" t="n">
        <v>32</v>
      </c>
      <c r="G5804" t="n">
        <v>1</v>
      </c>
      <c r="H5804" s="6">
        <f>ROUND(G5804*F5804,2)</f>
        <v/>
      </c>
      <c r="I5804">
        <f>IF(ROUND(H5804-D5804,2)=0,1,0)</f>
        <v/>
      </c>
      <c r="J5804">
        <f>IF(F5804="","none",IF(G5804=1,"carte","multiple"))</f>
        <v/>
      </c>
    </row>
    <row r="5805">
      <c r="A5805" t="inlineStr">
        <is>
          <t>2022-10-07</t>
        </is>
      </c>
      <c r="B5805" t="inlineStr">
        <is>
          <t>20:21</t>
        </is>
      </c>
      <c r="C5805" t="n">
        <v>3072</v>
      </c>
      <c r="D5805" s="6" t="n">
        <v>31.8</v>
      </c>
      <c r="E5805" t="n">
        <v>42905</v>
      </c>
      <c r="F5805" s="6" t="n">
        <v>31.8</v>
      </c>
      <c r="G5805" t="n">
        <v>1</v>
      </c>
      <c r="H5805" s="6">
        <f>ROUND(G5805*F5805,2)</f>
        <v/>
      </c>
      <c r="I5805">
        <f>IF(ROUND(H5805-D5805,2)=0,1,0)</f>
        <v/>
      </c>
      <c r="J5805">
        <f>IF(F5805="","none",IF(G5805=1,"carte","multiple"))</f>
        <v/>
      </c>
    </row>
    <row r="5806">
      <c r="A5806" t="inlineStr">
        <is>
          <t>2022-10-08</t>
        </is>
      </c>
      <c r="B5806" t="inlineStr">
        <is>
          <t>11:38</t>
        </is>
      </c>
      <c r="C5806" t="n">
        <v>3073</v>
      </c>
      <c r="D5806" s="6" t="n">
        <v>3.9</v>
      </c>
      <c r="E5806" t="n">
        <v>42907</v>
      </c>
      <c r="F5806" s="6" t="n">
        <v>3.9</v>
      </c>
      <c r="G5806" t="n">
        <v>1</v>
      </c>
      <c r="H5806" s="6">
        <f>ROUND(G5806*F5806,2)</f>
        <v/>
      </c>
      <c r="I5806">
        <f>IF(ROUND(H5806-D5806,2)=0,1,0)</f>
        <v/>
      </c>
      <c r="J5806">
        <f>IF(F5806="","none",IF(G5806=1,"carte","multiple"))</f>
        <v/>
      </c>
    </row>
    <row r="5807">
      <c r="A5807" t="inlineStr">
        <is>
          <t>2022-10-08</t>
        </is>
      </c>
      <c r="B5807" t="inlineStr">
        <is>
          <t>12:38</t>
        </is>
      </c>
      <c r="C5807" t="n">
        <v>3073</v>
      </c>
      <c r="D5807" s="6" t="n">
        <v>4.9</v>
      </c>
      <c r="E5807" t="n">
        <v>42908</v>
      </c>
      <c r="F5807" s="6" t="n">
        <v>4.9</v>
      </c>
      <c r="G5807" t="n">
        <v>1</v>
      </c>
      <c r="H5807" s="6">
        <f>ROUND(G5807*F5807,2)</f>
        <v/>
      </c>
      <c r="I5807">
        <f>IF(ROUND(H5807-D5807,2)=0,1,0)</f>
        <v/>
      </c>
      <c r="J5807">
        <f>IF(F5807="","none",IF(G5807=1,"carte","multiple"))</f>
        <v/>
      </c>
    </row>
    <row r="5808">
      <c r="A5808" t="inlineStr">
        <is>
          <t>2022-10-08</t>
        </is>
      </c>
      <c r="B5808" t="inlineStr">
        <is>
          <t>12:38</t>
        </is>
      </c>
      <c r="C5808" t="n">
        <v>3073</v>
      </c>
      <c r="D5808" s="6" t="n">
        <v>4</v>
      </c>
      <c r="E5808" t="n">
        <v>42909</v>
      </c>
      <c r="F5808" s="6" t="n">
        <v>4</v>
      </c>
      <c r="G5808" t="n">
        <v>1</v>
      </c>
      <c r="H5808" s="6">
        <f>ROUND(G5808*F5808,2)</f>
        <v/>
      </c>
      <c r="I5808">
        <f>IF(ROUND(H5808-D5808,2)=0,1,0)</f>
        <v/>
      </c>
      <c r="J5808">
        <f>IF(F5808="","none",IF(G5808=1,"carte","multiple"))</f>
        <v/>
      </c>
    </row>
    <row r="5809">
      <c r="A5809" t="inlineStr">
        <is>
          <t>2022-10-08</t>
        </is>
      </c>
      <c r="B5809" t="inlineStr">
        <is>
          <t>14:00</t>
        </is>
      </c>
      <c r="C5809" t="n">
        <v>3073</v>
      </c>
      <c r="D5809" s="6" t="n">
        <v>19</v>
      </c>
      <c r="E5809" t="n">
        <v>42910</v>
      </c>
      <c r="F5809" s="6" t="n">
        <v>19</v>
      </c>
      <c r="G5809" t="n">
        <v>1</v>
      </c>
      <c r="H5809" s="6">
        <f>ROUND(G5809*F5809,2)</f>
        <v/>
      </c>
      <c r="I5809">
        <f>IF(ROUND(H5809-D5809,2)=0,1,0)</f>
        <v/>
      </c>
      <c r="J5809">
        <f>IF(F5809="","none",IF(G5809=1,"carte","multiple"))</f>
        <v/>
      </c>
    </row>
    <row r="5810">
      <c r="A5810" t="inlineStr">
        <is>
          <t>2022-10-08</t>
        </is>
      </c>
      <c r="B5810" t="inlineStr">
        <is>
          <t>14:00</t>
        </is>
      </c>
      <c r="C5810" t="n">
        <v>3073</v>
      </c>
      <c r="D5810" s="6" t="n">
        <v>38</v>
      </c>
      <c r="E5810" t="n">
        <v>42911</v>
      </c>
      <c r="F5810" s="6" t="n">
        <v>0.4</v>
      </c>
      <c r="G5810" t="n">
        <v>95</v>
      </c>
      <c r="H5810" s="6">
        <f>ROUND(G5810*F5810,2)</f>
        <v/>
      </c>
      <c r="I5810">
        <f>IF(ROUND(H5810-D5810,2)=0,1,0)</f>
        <v/>
      </c>
      <c r="J5810">
        <f>IF(F5810="","none",IF(G5810=1,"carte","multiple"))</f>
        <v/>
      </c>
    </row>
    <row r="5811">
      <c r="A5811" t="inlineStr">
        <is>
          <t>2022-10-08</t>
        </is>
      </c>
      <c r="B5811" t="inlineStr">
        <is>
          <t>14:00</t>
        </is>
      </c>
      <c r="C5811" t="n">
        <v>3073</v>
      </c>
      <c r="D5811" s="6" t="n">
        <v>9.800000000000001</v>
      </c>
      <c r="E5811" t="n">
        <v>42912</v>
      </c>
      <c r="F5811" s="6" t="n">
        <v>9.800000000000001</v>
      </c>
      <c r="G5811" t="n">
        <v>1</v>
      </c>
      <c r="H5811" s="6">
        <f>ROUND(G5811*F5811,2)</f>
        <v/>
      </c>
      <c r="I5811">
        <f>IF(ROUND(H5811-D5811,2)=0,1,0)</f>
        <v/>
      </c>
      <c r="J5811">
        <f>IF(F5811="","none",IF(G5811=1,"carte","multiple"))</f>
        <v/>
      </c>
    </row>
    <row r="5812">
      <c r="A5812" t="inlineStr">
        <is>
          <t>2022-10-08</t>
        </is>
      </c>
      <c r="B5812" t="inlineStr">
        <is>
          <t>14:00</t>
        </is>
      </c>
      <c r="C5812" t="n">
        <v>3073</v>
      </c>
      <c r="D5812" s="6" t="n">
        <v>4.4</v>
      </c>
      <c r="E5812" t="n">
        <v>42913</v>
      </c>
      <c r="F5812" s="6" t="n">
        <v>0.4</v>
      </c>
      <c r="G5812" t="n">
        <v>11</v>
      </c>
      <c r="H5812" s="6">
        <f>ROUND(G5812*F5812,2)</f>
        <v/>
      </c>
      <c r="I5812">
        <f>IF(ROUND(H5812-D5812,2)=0,1,0)</f>
        <v/>
      </c>
      <c r="J5812">
        <f>IF(F5812="","none",IF(G5812=1,"carte","multiple"))</f>
        <v/>
      </c>
    </row>
    <row r="5813">
      <c r="A5813" t="inlineStr">
        <is>
          <t>2022-10-08</t>
        </is>
      </c>
      <c r="B5813" t="inlineStr">
        <is>
          <t>14:00</t>
        </is>
      </c>
      <c r="C5813" t="n">
        <v>3073</v>
      </c>
      <c r="D5813" s="6" t="n">
        <v>48</v>
      </c>
      <c r="E5813" t="n">
        <v>42914</v>
      </c>
      <c r="F5813" s="6" t="n">
        <v>0.4</v>
      </c>
      <c r="G5813" t="n">
        <v>120</v>
      </c>
      <c r="H5813" s="6">
        <f>ROUND(G5813*F5813,2)</f>
        <v/>
      </c>
      <c r="I5813">
        <f>IF(ROUND(H5813-D5813,2)=0,1,0)</f>
        <v/>
      </c>
      <c r="J5813">
        <f>IF(F5813="","none",IF(G5813=1,"carte","multiple"))</f>
        <v/>
      </c>
    </row>
    <row r="5814">
      <c r="A5814" t="inlineStr">
        <is>
          <t>2022-10-08</t>
        </is>
      </c>
      <c r="B5814" t="inlineStr">
        <is>
          <t>14:00</t>
        </is>
      </c>
      <c r="C5814" t="n">
        <v>3073</v>
      </c>
      <c r="D5814" s="6" t="n">
        <v>6.4</v>
      </c>
      <c r="E5814" t="n">
        <v>42915</v>
      </c>
      <c r="F5814" s="6" t="n">
        <v>6.4</v>
      </c>
      <c r="G5814" t="n">
        <v>1</v>
      </c>
      <c r="H5814" s="6">
        <f>ROUND(G5814*F5814,2)</f>
        <v/>
      </c>
      <c r="I5814">
        <f>IF(ROUND(H5814-D5814,2)=0,1,0)</f>
        <v/>
      </c>
      <c r="J5814">
        <f>IF(F5814="","none",IF(G5814=1,"carte","multiple"))</f>
        <v/>
      </c>
    </row>
    <row r="5815">
      <c r="A5815" t="inlineStr">
        <is>
          <t>2022-10-08</t>
        </is>
      </c>
      <c r="B5815" t="inlineStr">
        <is>
          <t>14:00</t>
        </is>
      </c>
      <c r="C5815" t="n">
        <v>3073</v>
      </c>
      <c r="D5815" s="6" t="n">
        <v>7.2</v>
      </c>
      <c r="E5815" t="n">
        <v>42916</v>
      </c>
      <c r="F5815" s="6" t="n">
        <v>7.2</v>
      </c>
      <c r="G5815" t="n">
        <v>1</v>
      </c>
      <c r="H5815" s="6">
        <f>ROUND(G5815*F5815,2)</f>
        <v/>
      </c>
      <c r="I5815">
        <f>IF(ROUND(H5815-D5815,2)=0,1,0)</f>
        <v/>
      </c>
      <c r="J5815">
        <f>IF(F5815="","none",IF(G5815=1,"carte","multiple"))</f>
        <v/>
      </c>
    </row>
    <row r="5816">
      <c r="A5816" t="inlineStr">
        <is>
          <t>2022-10-08</t>
        </is>
      </c>
      <c r="B5816" t="inlineStr">
        <is>
          <t>16:27</t>
        </is>
      </c>
      <c r="C5816" t="n">
        <v>3073</v>
      </c>
      <c r="D5816" s="6" t="n">
        <v>17</v>
      </c>
      <c r="E5816" t="n">
        <v>42917</v>
      </c>
      <c r="F5816" s="6" t="n">
        <v>17</v>
      </c>
      <c r="G5816" t="n">
        <v>1</v>
      </c>
      <c r="H5816" s="6">
        <f>ROUND(G5816*F5816,2)</f>
        <v/>
      </c>
      <c r="I5816">
        <f>IF(ROUND(H5816-D5816,2)=0,1,0)</f>
        <v/>
      </c>
      <c r="J5816">
        <f>IF(F5816="","none",IF(G5816=1,"carte","multiple"))</f>
        <v/>
      </c>
    </row>
    <row r="5817">
      <c r="A5817" t="inlineStr">
        <is>
          <t>2022-10-08</t>
        </is>
      </c>
      <c r="B5817" t="inlineStr">
        <is>
          <t>16:27</t>
        </is>
      </c>
      <c r="C5817" t="n">
        <v>3073</v>
      </c>
      <c r="D5817" s="6" t="n">
        <v>8.699999999999999</v>
      </c>
      <c r="E5817" t="n">
        <v>42918</v>
      </c>
      <c r="F5817" s="6" t="n">
        <v>8.699999999999999</v>
      </c>
      <c r="G5817" t="n">
        <v>1</v>
      </c>
      <c r="H5817" s="6">
        <f>ROUND(G5817*F5817,2)</f>
        <v/>
      </c>
      <c r="I5817">
        <f>IF(ROUND(H5817-D5817,2)=0,1,0)</f>
        <v/>
      </c>
      <c r="J5817">
        <f>IF(F5817="","none",IF(G5817=1,"carte","multiple"))</f>
        <v/>
      </c>
    </row>
    <row r="5818">
      <c r="A5818" t="inlineStr">
        <is>
          <t>2022-10-08</t>
        </is>
      </c>
      <c r="B5818" t="inlineStr">
        <is>
          <t>16:28</t>
        </is>
      </c>
      <c r="C5818" t="n">
        <v>3073</v>
      </c>
      <c r="D5818" s="6" t="n">
        <v>17.6</v>
      </c>
      <c r="E5818" t="n">
        <v>42919</v>
      </c>
      <c r="F5818" s="6" t="n">
        <v>17.6</v>
      </c>
      <c r="G5818" t="n">
        <v>1</v>
      </c>
      <c r="H5818" s="6">
        <f>ROUND(G5818*F5818,2)</f>
        <v/>
      </c>
      <c r="I5818">
        <f>IF(ROUND(H5818-D5818,2)=0,1,0)</f>
        <v/>
      </c>
      <c r="J5818">
        <f>IF(F5818="","none",IF(G5818=1,"carte","multiple"))</f>
        <v/>
      </c>
    </row>
    <row r="5819">
      <c r="A5819" t="inlineStr">
        <is>
          <t>2022-10-08</t>
        </is>
      </c>
      <c r="B5819" t="inlineStr">
        <is>
          <t>16:28</t>
        </is>
      </c>
      <c r="C5819" t="n">
        <v>3073</v>
      </c>
      <c r="D5819" s="6" t="n">
        <v>39.8</v>
      </c>
      <c r="E5819" t="n">
        <v>42920</v>
      </c>
      <c r="F5819" s="6" t="n">
        <v>39.8</v>
      </c>
      <c r="G5819" t="n">
        <v>1</v>
      </c>
      <c r="H5819" s="6">
        <f>ROUND(G5819*F5819,2)</f>
        <v/>
      </c>
      <c r="I5819">
        <f>IF(ROUND(H5819-D5819,2)=0,1,0)</f>
        <v/>
      </c>
      <c r="J5819">
        <f>IF(F5819="","none",IF(G5819=1,"carte","multiple"))</f>
        <v/>
      </c>
    </row>
    <row r="5820">
      <c r="A5820" t="inlineStr">
        <is>
          <t>2022-10-08</t>
        </is>
      </c>
      <c r="B5820" t="inlineStr">
        <is>
          <t>16:28</t>
        </is>
      </c>
      <c r="C5820" t="n">
        <v>3073</v>
      </c>
      <c r="D5820" s="6" t="n">
        <v>17.6</v>
      </c>
      <c r="E5820" t="n">
        <v>42921</v>
      </c>
      <c r="F5820" s="6" t="n">
        <v>17.6</v>
      </c>
      <c r="G5820" t="n">
        <v>1</v>
      </c>
      <c r="H5820" s="6">
        <f>ROUND(G5820*F5820,2)</f>
        <v/>
      </c>
      <c r="I5820">
        <f>IF(ROUND(H5820-D5820,2)=0,1,0)</f>
        <v/>
      </c>
      <c r="J5820">
        <f>IF(F5820="","none",IF(G5820=1,"carte","multiple"))</f>
        <v/>
      </c>
    </row>
    <row r="5821">
      <c r="A5821" t="inlineStr">
        <is>
          <t>2022-10-08</t>
        </is>
      </c>
      <c r="B5821" t="inlineStr">
        <is>
          <t>16:28</t>
        </is>
      </c>
      <c r="C5821" t="n">
        <v>3073</v>
      </c>
      <c r="D5821" s="6" t="n">
        <v>57.2</v>
      </c>
      <c r="E5821" t="n">
        <v>42922</v>
      </c>
      <c r="F5821" s="6" t="n">
        <v>0.4</v>
      </c>
      <c r="G5821" t="n">
        <v>143</v>
      </c>
      <c r="H5821" s="6">
        <f>ROUND(G5821*F5821,2)</f>
        <v/>
      </c>
      <c r="I5821">
        <f>IF(ROUND(H5821-D5821,2)=0,1,0)</f>
        <v/>
      </c>
      <c r="J5821">
        <f>IF(F5821="","none",IF(G5821=1,"carte","multiple"))</f>
        <v/>
      </c>
    </row>
    <row r="5822">
      <c r="A5822" t="inlineStr">
        <is>
          <t>2022-10-08</t>
        </is>
      </c>
      <c r="B5822" t="inlineStr">
        <is>
          <t>16:28</t>
        </is>
      </c>
      <c r="C5822" t="n">
        <v>3073</v>
      </c>
      <c r="D5822" s="6" t="n">
        <v>32</v>
      </c>
      <c r="E5822" t="n">
        <v>42923</v>
      </c>
      <c r="F5822" s="6" t="n">
        <v>32</v>
      </c>
      <c r="G5822" t="n">
        <v>1</v>
      </c>
      <c r="H5822" s="6">
        <f>ROUND(G5822*F5822,2)</f>
        <v/>
      </c>
      <c r="I5822">
        <f>IF(ROUND(H5822-D5822,2)=0,1,0)</f>
        <v/>
      </c>
      <c r="J5822">
        <f>IF(F5822="","none",IF(G5822=1,"carte","multiple"))</f>
        <v/>
      </c>
    </row>
    <row r="5823">
      <c r="A5823" t="inlineStr">
        <is>
          <t>2022-10-08</t>
        </is>
      </c>
      <c r="B5823" t="inlineStr">
        <is>
          <t>16:28</t>
        </is>
      </c>
      <c r="C5823" t="n">
        <v>3073</v>
      </c>
      <c r="D5823" s="6" t="n">
        <v>13.8</v>
      </c>
      <c r="E5823" t="n">
        <v>42924</v>
      </c>
      <c r="F5823" s="6" t="n">
        <v>4.6</v>
      </c>
      <c r="G5823" t="n">
        <v>3</v>
      </c>
      <c r="H5823" s="6">
        <f>ROUND(G5823*F5823,2)</f>
        <v/>
      </c>
      <c r="I5823">
        <f>IF(ROUND(H5823-D5823,2)=0,1,0)</f>
        <v/>
      </c>
      <c r="J5823">
        <f>IF(F5823="","none",IF(G5823=1,"carte","multiple"))</f>
        <v/>
      </c>
    </row>
    <row r="5824">
      <c r="A5824" t="inlineStr">
        <is>
          <t>2022-10-08</t>
        </is>
      </c>
      <c r="B5824" t="inlineStr">
        <is>
          <t>16:28</t>
        </is>
      </c>
      <c r="C5824" t="n">
        <v>3073</v>
      </c>
      <c r="D5824" s="6" t="n">
        <v>39.5</v>
      </c>
      <c r="E5824" t="n">
        <v>42925</v>
      </c>
      <c r="F5824" s="6" t="n">
        <v>39.5</v>
      </c>
      <c r="G5824" t="n">
        <v>1</v>
      </c>
      <c r="H5824" s="6">
        <f>ROUND(G5824*F5824,2)</f>
        <v/>
      </c>
      <c r="I5824">
        <f>IF(ROUND(H5824-D5824,2)=0,1,0)</f>
        <v/>
      </c>
      <c r="J5824">
        <f>IF(F5824="","none",IF(G5824=1,"carte","multiple"))</f>
        <v/>
      </c>
    </row>
    <row r="5825">
      <c r="A5825" t="inlineStr">
        <is>
          <t>2022-10-08</t>
        </is>
      </c>
      <c r="B5825" t="inlineStr">
        <is>
          <t>16:28</t>
        </is>
      </c>
      <c r="C5825" t="n">
        <v>3073</v>
      </c>
      <c r="D5825" s="6" t="n">
        <v>36</v>
      </c>
      <c r="E5825" t="n">
        <v>42926</v>
      </c>
      <c r="F5825" s="6" t="n">
        <v>36</v>
      </c>
      <c r="G5825" t="n">
        <v>1</v>
      </c>
      <c r="H5825" s="6">
        <f>ROUND(G5825*F5825,2)</f>
        <v/>
      </c>
      <c r="I5825">
        <f>IF(ROUND(H5825-D5825,2)=0,1,0)</f>
        <v/>
      </c>
      <c r="J5825">
        <f>IF(F5825="","none",IF(G5825=1,"carte","multiple"))</f>
        <v/>
      </c>
    </row>
    <row r="5826">
      <c r="A5826" t="inlineStr">
        <is>
          <t>2022-10-08</t>
        </is>
      </c>
      <c r="B5826" t="inlineStr">
        <is>
          <t>17:36</t>
        </is>
      </c>
      <c r="C5826" t="n">
        <v>3073</v>
      </c>
      <c r="D5826" s="6" t="n">
        <v>9</v>
      </c>
      <c r="E5826" t="n">
        <v>42927</v>
      </c>
      <c r="F5826" s="6" t="n">
        <v>9</v>
      </c>
      <c r="G5826" t="n">
        <v>1</v>
      </c>
      <c r="H5826" s="6">
        <f>ROUND(G5826*F5826,2)</f>
        <v/>
      </c>
      <c r="I5826">
        <f>IF(ROUND(H5826-D5826,2)=0,1,0)</f>
        <v/>
      </c>
      <c r="J5826">
        <f>IF(F5826="","none",IF(G5826=1,"carte","multiple"))</f>
        <v/>
      </c>
    </row>
    <row r="5827">
      <c r="A5827" t="inlineStr">
        <is>
          <t>2022-10-08</t>
        </is>
      </c>
      <c r="B5827" t="inlineStr">
        <is>
          <t>18:14</t>
        </is>
      </c>
      <c r="C5827" t="n">
        <v>3073</v>
      </c>
      <c r="D5827" s="6" t="n">
        <v>69</v>
      </c>
      <c r="E5827" t="n">
        <v>42928</v>
      </c>
      <c r="F5827" s="6" t="n">
        <v>0.5</v>
      </c>
      <c r="G5827" t="n">
        <v>138</v>
      </c>
      <c r="H5827" s="6">
        <f>ROUND(G5827*F5827,2)</f>
        <v/>
      </c>
      <c r="I5827">
        <f>IF(ROUND(H5827-D5827,2)=0,1,0)</f>
        <v/>
      </c>
      <c r="J5827">
        <f>IF(F5827="","none",IF(G5827=1,"carte","multiple"))</f>
        <v/>
      </c>
    </row>
    <row r="5828">
      <c r="A5828" t="inlineStr">
        <is>
          <t>2022-10-08</t>
        </is>
      </c>
      <c r="B5828" t="inlineStr">
        <is>
          <t>18:14</t>
        </is>
      </c>
      <c r="C5828" t="n">
        <v>3073</v>
      </c>
      <c r="D5828" s="6" t="n">
        <v>30</v>
      </c>
      <c r="E5828" t="n">
        <v>42929</v>
      </c>
      <c r="F5828" s="6" t="n">
        <v>30</v>
      </c>
      <c r="G5828" t="n">
        <v>1</v>
      </c>
      <c r="H5828" s="6">
        <f>ROUND(G5828*F5828,2)</f>
        <v/>
      </c>
      <c r="I5828">
        <f>IF(ROUND(H5828-D5828,2)=0,1,0)</f>
        <v/>
      </c>
      <c r="J5828">
        <f>IF(F5828="","none",IF(G5828=1,"carte","multiple"))</f>
        <v/>
      </c>
    </row>
    <row r="5829">
      <c r="A5829" t="inlineStr">
        <is>
          <t>2022-10-08</t>
        </is>
      </c>
      <c r="B5829" t="inlineStr">
        <is>
          <t>18:14</t>
        </is>
      </c>
      <c r="C5829" t="n">
        <v>3073</v>
      </c>
      <c r="D5829" s="6" t="n">
        <v>5.9</v>
      </c>
      <c r="E5829" t="n">
        <v>42930</v>
      </c>
      <c r="F5829" s="6" t="n">
        <v>5.9</v>
      </c>
      <c r="G5829" t="n">
        <v>1</v>
      </c>
      <c r="H5829" s="6">
        <f>ROUND(G5829*F5829,2)</f>
        <v/>
      </c>
      <c r="I5829">
        <f>IF(ROUND(H5829-D5829,2)=0,1,0)</f>
        <v/>
      </c>
      <c r="J5829">
        <f>IF(F5829="","none",IF(G5829=1,"carte","multiple"))</f>
        <v/>
      </c>
    </row>
    <row r="5830">
      <c r="A5830" t="inlineStr">
        <is>
          <t>2022-10-08</t>
        </is>
      </c>
      <c r="B5830" t="inlineStr">
        <is>
          <t>18:17</t>
        </is>
      </c>
      <c r="C5830" t="n">
        <v>3073</v>
      </c>
      <c r="D5830" s="6" t="n">
        <v>4</v>
      </c>
      <c r="E5830" t="n">
        <v>42931</v>
      </c>
      <c r="F5830" s="6" t="n">
        <v>4</v>
      </c>
      <c r="G5830" t="n">
        <v>1</v>
      </c>
      <c r="H5830" s="6">
        <f>ROUND(G5830*F5830,2)</f>
        <v/>
      </c>
      <c r="I5830">
        <f>IF(ROUND(H5830-D5830,2)=0,1,0)</f>
        <v/>
      </c>
      <c r="J5830">
        <f>IF(F5830="","none",IF(G5830=1,"carte","multiple"))</f>
        <v/>
      </c>
    </row>
    <row r="5831">
      <c r="A5831" t="inlineStr">
        <is>
          <t>2022-10-08</t>
        </is>
      </c>
      <c r="B5831" t="inlineStr">
        <is>
          <t>18:17</t>
        </is>
      </c>
      <c r="C5831" t="n">
        <v>3073</v>
      </c>
      <c r="D5831" s="6" t="n">
        <v>17.6</v>
      </c>
      <c r="E5831" t="n">
        <v>42932</v>
      </c>
      <c r="F5831" s="6" t="n">
        <v>17.6</v>
      </c>
      <c r="G5831" t="n">
        <v>1</v>
      </c>
      <c r="H5831" s="6">
        <f>ROUND(G5831*F5831,2)</f>
        <v/>
      </c>
      <c r="I5831">
        <f>IF(ROUND(H5831-D5831,2)=0,1,0)</f>
        <v/>
      </c>
      <c r="J5831">
        <f>IF(F5831="","none",IF(G5831=1,"carte","multiple"))</f>
        <v/>
      </c>
    </row>
    <row r="5832">
      <c r="A5832" t="inlineStr">
        <is>
          <t>2022-10-08</t>
        </is>
      </c>
      <c r="B5832" t="inlineStr">
        <is>
          <t>18:17</t>
        </is>
      </c>
      <c r="C5832" t="n">
        <v>3073</v>
      </c>
      <c r="D5832" s="6" t="n">
        <v>11.6</v>
      </c>
      <c r="E5832" t="n">
        <v>42933</v>
      </c>
      <c r="F5832" s="6" t="n">
        <v>11.6</v>
      </c>
      <c r="G5832" t="n">
        <v>1</v>
      </c>
      <c r="H5832" s="6">
        <f>ROUND(G5832*F5832,2)</f>
        <v/>
      </c>
      <c r="I5832">
        <f>IF(ROUND(H5832-D5832,2)=0,1,0)</f>
        <v/>
      </c>
      <c r="J5832">
        <f>IF(F5832="","none",IF(G5832=1,"carte","multiple"))</f>
        <v/>
      </c>
    </row>
    <row r="5833">
      <c r="A5833" t="inlineStr">
        <is>
          <t>2022-10-08</t>
        </is>
      </c>
      <c r="B5833" t="inlineStr">
        <is>
          <t>18:19</t>
        </is>
      </c>
      <c r="C5833" t="n">
        <v>3073</v>
      </c>
      <c r="D5833" s="6" t="n">
        <v>19.8</v>
      </c>
      <c r="E5833" t="n">
        <v>42934</v>
      </c>
      <c r="F5833" s="6" t="n">
        <v>19.8</v>
      </c>
      <c r="G5833" t="n">
        <v>1</v>
      </c>
      <c r="H5833" s="6">
        <f>ROUND(G5833*F5833,2)</f>
        <v/>
      </c>
      <c r="I5833">
        <f>IF(ROUND(H5833-D5833,2)=0,1,0)</f>
        <v/>
      </c>
      <c r="J5833">
        <f>IF(F5833="","none",IF(G5833=1,"carte","multiple"))</f>
        <v/>
      </c>
    </row>
    <row r="5834">
      <c r="A5834" t="inlineStr">
        <is>
          <t>2022-10-08</t>
        </is>
      </c>
      <c r="B5834" t="inlineStr">
        <is>
          <t>18:25</t>
        </is>
      </c>
      <c r="C5834" t="n">
        <v>3073</v>
      </c>
      <c r="D5834" s="6" t="n">
        <v>27.8</v>
      </c>
      <c r="E5834" t="n">
        <v>42935</v>
      </c>
      <c r="F5834" s="6" t="n">
        <v>27.8</v>
      </c>
      <c r="G5834" t="n">
        <v>1</v>
      </c>
      <c r="H5834" s="6">
        <f>ROUND(G5834*F5834,2)</f>
        <v/>
      </c>
      <c r="I5834">
        <f>IF(ROUND(H5834-D5834,2)=0,1,0)</f>
        <v/>
      </c>
      <c r="J5834">
        <f>IF(F5834="","none",IF(G5834=1,"carte","multiple"))</f>
        <v/>
      </c>
    </row>
    <row r="5835">
      <c r="A5835" t="inlineStr">
        <is>
          <t>2022-10-08</t>
        </is>
      </c>
      <c r="B5835" t="inlineStr">
        <is>
          <t>18:25</t>
        </is>
      </c>
      <c r="C5835" t="n">
        <v>3073</v>
      </c>
      <c r="D5835" s="6" t="n">
        <v>10.9</v>
      </c>
      <c r="E5835" t="n">
        <v>42936</v>
      </c>
      <c r="F5835" s="6" t="n">
        <v>10.9</v>
      </c>
      <c r="G5835" t="n">
        <v>1</v>
      </c>
      <c r="H5835" s="6">
        <f>ROUND(G5835*F5835,2)</f>
        <v/>
      </c>
      <c r="I5835">
        <f>IF(ROUND(H5835-D5835,2)=0,1,0)</f>
        <v/>
      </c>
      <c r="J5835">
        <f>IF(F5835="","none",IF(G5835=1,"carte","multiple"))</f>
        <v/>
      </c>
    </row>
    <row r="5836">
      <c r="A5836" t="inlineStr">
        <is>
          <t>2022-10-08</t>
        </is>
      </c>
      <c r="B5836" t="inlineStr">
        <is>
          <t>18:25</t>
        </is>
      </c>
      <c r="C5836" t="n">
        <v>3073</v>
      </c>
      <c r="D5836" s="6" t="n">
        <v>16.9</v>
      </c>
      <c r="E5836" t="n">
        <v>42937</v>
      </c>
      <c r="F5836" s="6" t="n">
        <v>16.9</v>
      </c>
      <c r="G5836" t="n">
        <v>1</v>
      </c>
      <c r="H5836" s="6">
        <f>ROUND(G5836*F5836,2)</f>
        <v/>
      </c>
      <c r="I5836">
        <f>IF(ROUND(H5836-D5836,2)=0,1,0)</f>
        <v/>
      </c>
      <c r="J5836">
        <f>IF(F5836="","none",IF(G5836=1,"carte","multiple"))</f>
        <v/>
      </c>
    </row>
    <row r="5837">
      <c r="A5837" t="inlineStr">
        <is>
          <t>2022-10-08</t>
        </is>
      </c>
      <c r="B5837" t="inlineStr">
        <is>
          <t>18:25</t>
        </is>
      </c>
      <c r="C5837" t="n">
        <v>3073</v>
      </c>
      <c r="D5837" s="6" t="n">
        <v>2.2</v>
      </c>
      <c r="E5837" t="n">
        <v>42938</v>
      </c>
      <c r="F5837" s="6" t="n">
        <v>2.2</v>
      </c>
      <c r="G5837" t="n">
        <v>1</v>
      </c>
      <c r="H5837" s="6">
        <f>ROUND(G5837*F5837,2)</f>
        <v/>
      </c>
      <c r="I5837">
        <f>IF(ROUND(H5837-D5837,2)=0,1,0)</f>
        <v/>
      </c>
      <c r="J5837">
        <f>IF(F5837="","none",IF(G5837=1,"carte","multiple"))</f>
        <v/>
      </c>
    </row>
    <row r="5838">
      <c r="A5838" t="inlineStr">
        <is>
          <t>2022-10-08</t>
        </is>
      </c>
      <c r="B5838" t="inlineStr">
        <is>
          <t>18:25</t>
        </is>
      </c>
      <c r="C5838" t="n">
        <v>3073</v>
      </c>
      <c r="D5838" s="6" t="n">
        <v>3.9</v>
      </c>
      <c r="E5838" t="n">
        <v>42939</v>
      </c>
      <c r="F5838" s="6" t="n">
        <v>3.9</v>
      </c>
      <c r="G5838" t="n">
        <v>1</v>
      </c>
      <c r="H5838" s="6">
        <f>ROUND(G5838*F5838,2)</f>
        <v/>
      </c>
      <c r="I5838">
        <f>IF(ROUND(H5838-D5838,2)=0,1,0)</f>
        <v/>
      </c>
      <c r="J5838">
        <f>IF(F5838="","none",IF(G5838=1,"carte","multiple"))</f>
        <v/>
      </c>
    </row>
    <row r="5839">
      <c r="A5839" t="inlineStr">
        <is>
          <t>2022-10-08</t>
        </is>
      </c>
      <c r="B5839" t="inlineStr">
        <is>
          <t>18:26</t>
        </is>
      </c>
      <c r="C5839" t="n">
        <v>3073</v>
      </c>
      <c r="D5839" s="6" t="n">
        <v>4.9</v>
      </c>
      <c r="E5839" t="n">
        <v>42940</v>
      </c>
      <c r="F5839" s="6" t="n">
        <v>4.9</v>
      </c>
      <c r="G5839" t="n">
        <v>1</v>
      </c>
      <c r="H5839" s="6">
        <f>ROUND(G5839*F5839,2)</f>
        <v/>
      </c>
      <c r="I5839">
        <f>IF(ROUND(H5839-D5839,2)=0,1,0)</f>
        <v/>
      </c>
      <c r="J5839">
        <f>IF(F5839="","none",IF(G5839=1,"carte","multiple"))</f>
        <v/>
      </c>
    </row>
    <row r="5840">
      <c r="A5840" t="inlineStr">
        <is>
          <t>2022-10-08</t>
        </is>
      </c>
      <c r="B5840" t="inlineStr">
        <is>
          <t>18:29</t>
        </is>
      </c>
      <c r="C5840" t="n">
        <v>3073</v>
      </c>
      <c r="D5840" s="6" t="n">
        <v>4.2</v>
      </c>
      <c r="E5840" t="n">
        <v>42941</v>
      </c>
      <c r="F5840" s="6" t="n">
        <v>4.2</v>
      </c>
      <c r="G5840" t="n">
        <v>1</v>
      </c>
      <c r="H5840" s="6">
        <f>ROUND(G5840*F5840,2)</f>
        <v/>
      </c>
      <c r="I5840">
        <f>IF(ROUND(H5840-D5840,2)=0,1,0)</f>
        <v/>
      </c>
      <c r="J5840">
        <f>IF(F5840="","none",IF(G5840=1,"carte","multiple"))</f>
        <v/>
      </c>
    </row>
    <row r="5841">
      <c r="A5841" t="inlineStr">
        <is>
          <t>2022-10-08</t>
        </is>
      </c>
      <c r="B5841" t="inlineStr">
        <is>
          <t>18:29</t>
        </is>
      </c>
      <c r="C5841" t="n">
        <v>3073</v>
      </c>
      <c r="D5841" s="6" t="n">
        <v>19</v>
      </c>
      <c r="E5841" t="n">
        <v>42942</v>
      </c>
      <c r="F5841" s="6" t="n">
        <v>19</v>
      </c>
      <c r="G5841" t="n">
        <v>1</v>
      </c>
      <c r="H5841" s="6">
        <f>ROUND(G5841*F5841,2)</f>
        <v/>
      </c>
      <c r="I5841">
        <f>IF(ROUND(H5841-D5841,2)=0,1,0)</f>
        <v/>
      </c>
      <c r="J5841">
        <f>IF(F5841="","none",IF(G5841=1,"carte","multiple"))</f>
        <v/>
      </c>
    </row>
    <row r="5842">
      <c r="A5842" t="inlineStr">
        <is>
          <t>2022-10-08</t>
        </is>
      </c>
      <c r="B5842" t="inlineStr">
        <is>
          <t>18:29</t>
        </is>
      </c>
      <c r="C5842" t="n">
        <v>3073</v>
      </c>
      <c r="D5842" s="6" t="n">
        <v>38</v>
      </c>
      <c r="E5842" t="n">
        <v>42943</v>
      </c>
      <c r="F5842" s="6" t="n">
        <v>0.4</v>
      </c>
      <c r="G5842" t="n">
        <v>95</v>
      </c>
      <c r="H5842" s="6">
        <f>ROUND(G5842*F5842,2)</f>
        <v/>
      </c>
      <c r="I5842">
        <f>IF(ROUND(H5842-D5842,2)=0,1,0)</f>
        <v/>
      </c>
      <c r="J5842">
        <f>IF(F5842="","none",IF(G5842=1,"carte","multiple"))</f>
        <v/>
      </c>
    </row>
    <row r="5843">
      <c r="A5843" t="inlineStr">
        <is>
          <t>2022-10-08</t>
        </is>
      </c>
      <c r="B5843" t="inlineStr">
        <is>
          <t>18:29</t>
        </is>
      </c>
      <c r="C5843" t="n">
        <v>3073</v>
      </c>
      <c r="D5843" s="6" t="n">
        <v>8.800000000000001</v>
      </c>
      <c r="E5843" t="n">
        <v>42944</v>
      </c>
      <c r="F5843" s="6" t="n">
        <v>8.800000000000001</v>
      </c>
      <c r="G5843" t="n">
        <v>1</v>
      </c>
      <c r="H5843" s="6">
        <f>ROUND(G5843*F5843,2)</f>
        <v/>
      </c>
      <c r="I5843">
        <f>IF(ROUND(H5843-D5843,2)=0,1,0)</f>
        <v/>
      </c>
      <c r="J5843">
        <f>IF(F5843="","none",IF(G5843=1,"carte","multiple"))</f>
        <v/>
      </c>
    </row>
    <row r="5844">
      <c r="A5844" t="inlineStr">
        <is>
          <t>2022-10-08</t>
        </is>
      </c>
      <c r="B5844" t="inlineStr">
        <is>
          <t>18:30</t>
        </is>
      </c>
      <c r="C5844" t="n">
        <v>3073</v>
      </c>
      <c r="D5844" s="6" t="n">
        <v>3.9</v>
      </c>
      <c r="E5844" t="n">
        <v>42945</v>
      </c>
      <c r="F5844" s="6" t="n">
        <v>3.9</v>
      </c>
      <c r="G5844" t="n">
        <v>1</v>
      </c>
      <c r="H5844" s="6">
        <f>ROUND(G5844*F5844,2)</f>
        <v/>
      </c>
      <c r="I5844">
        <f>IF(ROUND(H5844-D5844,2)=0,1,0)</f>
        <v/>
      </c>
      <c r="J5844">
        <f>IF(F5844="","none",IF(G5844=1,"carte","multiple"))</f>
        <v/>
      </c>
    </row>
    <row r="5845">
      <c r="A5845" t="inlineStr">
        <is>
          <t>2022-10-08</t>
        </is>
      </c>
      <c r="B5845" t="inlineStr">
        <is>
          <t>19:18</t>
        </is>
      </c>
      <c r="C5845" t="n">
        <v>3073</v>
      </c>
      <c r="D5845" s="6" t="n">
        <v>2.2</v>
      </c>
      <c r="E5845" t="n">
        <v>42946</v>
      </c>
      <c r="F5845" s="6" t="n">
        <v>2.2</v>
      </c>
      <c r="G5845" t="n">
        <v>1</v>
      </c>
      <c r="H5845" s="6">
        <f>ROUND(G5845*F5845,2)</f>
        <v/>
      </c>
      <c r="I5845">
        <f>IF(ROUND(H5845-D5845,2)=0,1,0)</f>
        <v/>
      </c>
      <c r="J5845">
        <f>IF(F5845="","none",IF(G5845=1,"carte","multiple"))</f>
        <v/>
      </c>
    </row>
    <row r="5846">
      <c r="A5846" t="inlineStr">
        <is>
          <t>2022-10-08</t>
        </is>
      </c>
      <c r="B5846" t="inlineStr">
        <is>
          <t>19:19</t>
        </is>
      </c>
      <c r="C5846" t="n">
        <v>3073</v>
      </c>
      <c r="D5846" s="6" t="n">
        <v>4.2</v>
      </c>
      <c r="E5846" t="n">
        <v>42947</v>
      </c>
      <c r="F5846" s="6" t="n">
        <v>4.2</v>
      </c>
      <c r="G5846" t="n">
        <v>1</v>
      </c>
      <c r="H5846" s="6">
        <f>ROUND(G5846*F5846,2)</f>
        <v/>
      </c>
      <c r="I5846">
        <f>IF(ROUND(H5846-D5846,2)=0,1,0)</f>
        <v/>
      </c>
      <c r="J5846">
        <f>IF(F5846="","none",IF(G5846=1,"carte","multiple"))</f>
        <v/>
      </c>
    </row>
    <row r="5847">
      <c r="A5847" t="inlineStr">
        <is>
          <t>2022-10-08</t>
        </is>
      </c>
      <c r="B5847" t="inlineStr">
        <is>
          <t>19:38</t>
        </is>
      </c>
      <c r="C5847" t="n">
        <v>3073</v>
      </c>
      <c r="D5847" s="6" t="n">
        <v>3.9</v>
      </c>
      <c r="E5847" t="n">
        <v>42948</v>
      </c>
      <c r="F5847" s="6" t="n">
        <v>3.9</v>
      </c>
      <c r="G5847" t="n">
        <v>1</v>
      </c>
      <c r="H5847" s="6">
        <f>ROUND(G5847*F5847,2)</f>
        <v/>
      </c>
      <c r="I5847">
        <f>IF(ROUND(H5847-D5847,2)=0,1,0)</f>
        <v/>
      </c>
      <c r="J5847">
        <f>IF(F5847="","none",IF(G5847=1,"carte","multiple"))</f>
        <v/>
      </c>
    </row>
    <row r="5848">
      <c r="A5848" t="inlineStr">
        <is>
          <t>2022-10-08</t>
        </is>
      </c>
      <c r="B5848" t="inlineStr">
        <is>
          <t>19:38</t>
        </is>
      </c>
      <c r="C5848" t="n">
        <v>3073</v>
      </c>
      <c r="D5848" s="6" t="n">
        <v>17.6</v>
      </c>
      <c r="E5848" t="n">
        <v>42949</v>
      </c>
      <c r="F5848" s="6" t="n">
        <v>17.6</v>
      </c>
      <c r="G5848" t="n">
        <v>1</v>
      </c>
      <c r="H5848" s="6">
        <f>ROUND(G5848*F5848,2)</f>
        <v/>
      </c>
      <c r="I5848">
        <f>IF(ROUND(H5848-D5848,2)=0,1,0)</f>
        <v/>
      </c>
      <c r="J5848">
        <f>IF(F5848="","none",IF(G5848=1,"carte","multiple"))</f>
        <v/>
      </c>
    </row>
    <row r="5849">
      <c r="A5849" t="inlineStr">
        <is>
          <t>2022-10-08</t>
        </is>
      </c>
      <c r="B5849" t="inlineStr">
        <is>
          <t>19:38</t>
        </is>
      </c>
      <c r="C5849" t="n">
        <v>3073</v>
      </c>
      <c r="D5849" s="6" t="n">
        <v>30</v>
      </c>
      <c r="E5849" t="n">
        <v>42950</v>
      </c>
      <c r="F5849" s="6" t="n">
        <v>30</v>
      </c>
      <c r="G5849" t="n">
        <v>1</v>
      </c>
      <c r="H5849" s="6">
        <f>ROUND(G5849*F5849,2)</f>
        <v/>
      </c>
      <c r="I5849">
        <f>IF(ROUND(H5849-D5849,2)=0,1,0)</f>
        <v/>
      </c>
      <c r="J5849">
        <f>IF(F5849="","none",IF(G5849=1,"carte","multiple"))</f>
        <v/>
      </c>
    </row>
    <row r="5850">
      <c r="A5850" t="inlineStr">
        <is>
          <t>2022-10-08</t>
        </is>
      </c>
      <c r="B5850" t="inlineStr">
        <is>
          <t>19:38</t>
        </is>
      </c>
      <c r="C5850" t="n">
        <v>3073</v>
      </c>
      <c r="D5850" s="6" t="n">
        <v>5.9</v>
      </c>
      <c r="E5850" t="n">
        <v>42951</v>
      </c>
      <c r="F5850" s="6" t="n">
        <v>5.9</v>
      </c>
      <c r="G5850" t="n">
        <v>1</v>
      </c>
      <c r="H5850" s="6">
        <f>ROUND(G5850*F5850,2)</f>
        <v/>
      </c>
      <c r="I5850">
        <f>IF(ROUND(H5850-D5850,2)=0,1,0)</f>
        <v/>
      </c>
      <c r="J5850">
        <f>IF(F5850="","none",IF(G5850=1,"carte","multiple"))</f>
        <v/>
      </c>
    </row>
    <row r="5851">
      <c r="A5851" t="inlineStr">
        <is>
          <t>2022-10-08</t>
        </is>
      </c>
      <c r="B5851" t="inlineStr">
        <is>
          <t>19:38</t>
        </is>
      </c>
      <c r="C5851" t="n">
        <v>3073</v>
      </c>
      <c r="D5851" s="6" t="n">
        <v>16</v>
      </c>
      <c r="E5851" t="n">
        <v>42952</v>
      </c>
      <c r="F5851" s="6" t="n">
        <v>16</v>
      </c>
      <c r="G5851" t="n">
        <v>1</v>
      </c>
      <c r="H5851" s="6">
        <f>ROUND(G5851*F5851,2)</f>
        <v/>
      </c>
      <c r="I5851">
        <f>IF(ROUND(H5851-D5851,2)=0,1,0)</f>
        <v/>
      </c>
      <c r="J5851">
        <f>IF(F5851="","none",IF(G5851=1,"carte","multiple"))</f>
        <v/>
      </c>
    </row>
    <row r="5852">
      <c r="A5852" t="inlineStr">
        <is>
          <t>2022-10-08</t>
        </is>
      </c>
      <c r="B5852" t="inlineStr">
        <is>
          <t>19:38</t>
        </is>
      </c>
      <c r="C5852" t="n">
        <v>3073</v>
      </c>
      <c r="D5852" s="6" t="n">
        <v>69</v>
      </c>
      <c r="E5852" t="n">
        <v>42953</v>
      </c>
      <c r="F5852" s="6" t="n">
        <v>0.5</v>
      </c>
      <c r="G5852" t="n">
        <v>138</v>
      </c>
      <c r="H5852" s="6">
        <f>ROUND(G5852*F5852,2)</f>
        <v/>
      </c>
      <c r="I5852">
        <f>IF(ROUND(H5852-D5852,2)=0,1,0)</f>
        <v/>
      </c>
      <c r="J5852">
        <f>IF(F5852="","none",IF(G5852=1,"carte","multiple"))</f>
        <v/>
      </c>
    </row>
    <row r="5853">
      <c r="A5853" t="inlineStr">
        <is>
          <t>2022-10-08</t>
        </is>
      </c>
      <c r="B5853" t="inlineStr">
        <is>
          <t>19:38</t>
        </is>
      </c>
      <c r="C5853" t="n">
        <v>3073</v>
      </c>
      <c r="D5853" s="6" t="n">
        <v>6</v>
      </c>
      <c r="E5853" t="n">
        <v>42954</v>
      </c>
      <c r="F5853" s="6" t="n">
        <v>6</v>
      </c>
      <c r="G5853" t="n">
        <v>1</v>
      </c>
      <c r="H5853" s="6">
        <f>ROUND(G5853*F5853,2)</f>
        <v/>
      </c>
      <c r="I5853">
        <f>IF(ROUND(H5853-D5853,2)=0,1,0)</f>
        <v/>
      </c>
      <c r="J5853">
        <f>IF(F5853="","none",IF(G5853=1,"carte","multiple"))</f>
        <v/>
      </c>
    </row>
    <row r="5854">
      <c r="A5854" t="inlineStr">
        <is>
          <t>2022-10-08</t>
        </is>
      </c>
      <c r="B5854" t="inlineStr">
        <is>
          <t>19:38</t>
        </is>
      </c>
      <c r="C5854" t="n">
        <v>3073</v>
      </c>
      <c r="D5854" s="6" t="n">
        <v>6.5</v>
      </c>
      <c r="E5854" t="n">
        <v>42955</v>
      </c>
      <c r="F5854" s="6" t="n">
        <v>6.5</v>
      </c>
      <c r="G5854" t="n">
        <v>1</v>
      </c>
      <c r="H5854" s="6">
        <f>ROUND(G5854*F5854,2)</f>
        <v/>
      </c>
      <c r="I5854">
        <f>IF(ROUND(H5854-D5854,2)=0,1,0)</f>
        <v/>
      </c>
      <c r="J5854">
        <f>IF(F5854="","none",IF(G5854=1,"carte","multiple"))</f>
        <v/>
      </c>
    </row>
    <row r="5855">
      <c r="A5855" t="inlineStr">
        <is>
          <t>2022-10-08</t>
        </is>
      </c>
      <c r="B5855" t="inlineStr">
        <is>
          <t>19:38</t>
        </is>
      </c>
      <c r="C5855" t="n">
        <v>3073</v>
      </c>
      <c r="D5855" s="6" t="n">
        <v>5.2</v>
      </c>
      <c r="E5855" t="n">
        <v>42956</v>
      </c>
      <c r="F5855" s="6" t="n">
        <v>5.2</v>
      </c>
      <c r="G5855" t="n">
        <v>1</v>
      </c>
      <c r="H5855" s="6">
        <f>ROUND(G5855*F5855,2)</f>
        <v/>
      </c>
      <c r="I5855">
        <f>IF(ROUND(H5855-D5855,2)=0,1,0)</f>
        <v/>
      </c>
      <c r="J5855">
        <f>IF(F5855="","none",IF(G5855=1,"carte","multiple"))</f>
        <v/>
      </c>
    </row>
    <row r="5856">
      <c r="A5856" t="inlineStr">
        <is>
          <t>2022-10-08</t>
        </is>
      </c>
      <c r="B5856" t="inlineStr">
        <is>
          <t>19:38</t>
        </is>
      </c>
      <c r="C5856" t="n">
        <v>3073</v>
      </c>
      <c r="D5856" s="6" t="n">
        <v>3.8</v>
      </c>
      <c r="E5856" t="n">
        <v>42957</v>
      </c>
      <c r="F5856" s="6" t="n">
        <v>3.8</v>
      </c>
      <c r="G5856" t="n">
        <v>1</v>
      </c>
      <c r="H5856" s="6">
        <f>ROUND(G5856*F5856,2)</f>
        <v/>
      </c>
      <c r="I5856">
        <f>IF(ROUND(H5856-D5856,2)=0,1,0)</f>
        <v/>
      </c>
      <c r="J5856">
        <f>IF(F5856="","none",IF(G5856=1,"carte","multiple"))</f>
        <v/>
      </c>
    </row>
    <row r="5857">
      <c r="A5857" t="inlineStr">
        <is>
          <t>2022-10-08</t>
        </is>
      </c>
      <c r="B5857" t="inlineStr">
        <is>
          <t>20:14</t>
        </is>
      </c>
      <c r="C5857" t="n">
        <v>3073</v>
      </c>
      <c r="D5857" s="6" t="n">
        <v>8.699999999999999</v>
      </c>
      <c r="E5857" t="n">
        <v>42958</v>
      </c>
      <c r="F5857" s="6" t="n">
        <v>8.699999999999999</v>
      </c>
      <c r="G5857" t="n">
        <v>1</v>
      </c>
      <c r="H5857" s="6">
        <f>ROUND(G5857*F5857,2)</f>
        <v/>
      </c>
      <c r="I5857">
        <f>IF(ROUND(H5857-D5857,2)=0,1,0)</f>
        <v/>
      </c>
      <c r="J5857">
        <f>IF(F5857="","none",IF(G5857=1,"carte","multiple"))</f>
        <v/>
      </c>
    </row>
    <row r="5858">
      <c r="A5858" t="inlineStr">
        <is>
          <t>2022-10-08</t>
        </is>
      </c>
      <c r="B5858" t="inlineStr">
        <is>
          <t>20:14</t>
        </is>
      </c>
      <c r="C5858" t="n">
        <v>3073</v>
      </c>
      <c r="D5858" s="6" t="n">
        <v>8.5</v>
      </c>
      <c r="E5858" t="n">
        <v>42959</v>
      </c>
      <c r="F5858" s="6" t="n">
        <v>8.5</v>
      </c>
      <c r="G5858" t="n">
        <v>1</v>
      </c>
      <c r="H5858" s="6">
        <f>ROUND(G5858*F5858,2)</f>
        <v/>
      </c>
      <c r="I5858">
        <f>IF(ROUND(H5858-D5858,2)=0,1,0)</f>
        <v/>
      </c>
      <c r="J5858">
        <f>IF(F5858="","none",IF(G5858=1,"carte","multiple"))</f>
        <v/>
      </c>
    </row>
    <row r="5859">
      <c r="A5859" t="inlineStr">
        <is>
          <t>2022-10-08</t>
        </is>
      </c>
      <c r="B5859" t="inlineStr">
        <is>
          <t>20:14</t>
        </is>
      </c>
      <c r="C5859" t="n">
        <v>3073</v>
      </c>
      <c r="D5859" s="6" t="n">
        <v>8.1</v>
      </c>
      <c r="E5859" t="n">
        <v>42960</v>
      </c>
      <c r="F5859" s="6" t="n">
        <v>8.1</v>
      </c>
      <c r="G5859" t="n">
        <v>1</v>
      </c>
      <c r="H5859" s="6">
        <f>ROUND(G5859*F5859,2)</f>
        <v/>
      </c>
      <c r="I5859">
        <f>IF(ROUND(H5859-D5859,2)=0,1,0)</f>
        <v/>
      </c>
      <c r="J5859">
        <f>IF(F5859="","none",IF(G5859=1,"carte","multiple"))</f>
        <v/>
      </c>
    </row>
    <row r="5860">
      <c r="A5860" t="inlineStr">
        <is>
          <t>2022-10-08</t>
        </is>
      </c>
      <c r="B5860" t="inlineStr">
        <is>
          <t>20:14</t>
        </is>
      </c>
      <c r="C5860" t="n">
        <v>3073</v>
      </c>
      <c r="D5860" s="6" t="n">
        <v>17.6</v>
      </c>
      <c r="E5860" t="n">
        <v>42961</v>
      </c>
      <c r="F5860" s="6" t="n">
        <v>17.6</v>
      </c>
      <c r="G5860" t="n">
        <v>1</v>
      </c>
      <c r="H5860" s="6">
        <f>ROUND(G5860*F5860,2)</f>
        <v/>
      </c>
      <c r="I5860">
        <f>IF(ROUND(H5860-D5860,2)=0,1,0)</f>
        <v/>
      </c>
      <c r="J5860">
        <f>IF(F5860="","none",IF(G5860=1,"carte","multiple"))</f>
        <v/>
      </c>
    </row>
    <row r="5861">
      <c r="A5861" t="inlineStr">
        <is>
          <t>2022-10-08</t>
        </is>
      </c>
      <c r="B5861" t="inlineStr">
        <is>
          <t>20:14</t>
        </is>
      </c>
      <c r="C5861" t="n">
        <v>3073</v>
      </c>
      <c r="D5861" s="6" t="n">
        <v>19</v>
      </c>
      <c r="E5861" t="n">
        <v>42962</v>
      </c>
      <c r="F5861" s="6" t="n">
        <v>19</v>
      </c>
      <c r="G5861" t="n">
        <v>1</v>
      </c>
      <c r="H5861" s="6">
        <f>ROUND(G5861*F5861,2)</f>
        <v/>
      </c>
      <c r="I5861">
        <f>IF(ROUND(H5861-D5861,2)=0,1,0)</f>
        <v/>
      </c>
      <c r="J5861">
        <f>IF(F5861="","none",IF(G5861=1,"carte","multiple"))</f>
        <v/>
      </c>
    </row>
    <row r="5862">
      <c r="A5862" t="inlineStr">
        <is>
          <t>2022-10-08</t>
        </is>
      </c>
      <c r="B5862" t="inlineStr">
        <is>
          <t>20:14</t>
        </is>
      </c>
      <c r="C5862" t="n">
        <v>3073</v>
      </c>
      <c r="D5862" s="6" t="n">
        <v>17.6</v>
      </c>
      <c r="E5862" t="n">
        <v>42963</v>
      </c>
      <c r="F5862" s="6" t="n">
        <v>17.6</v>
      </c>
      <c r="G5862" t="n">
        <v>1</v>
      </c>
      <c r="H5862" s="6">
        <f>ROUND(G5862*F5862,2)</f>
        <v/>
      </c>
      <c r="I5862">
        <f>IF(ROUND(H5862-D5862,2)=0,1,0)</f>
        <v/>
      </c>
      <c r="J5862">
        <f>IF(F5862="","none",IF(G5862=1,"carte","multiple"))</f>
        <v/>
      </c>
    </row>
    <row r="5863">
      <c r="A5863" t="inlineStr">
        <is>
          <t>2022-10-08</t>
        </is>
      </c>
      <c r="B5863" t="inlineStr">
        <is>
          <t>20:14</t>
        </is>
      </c>
      <c r="C5863" t="n">
        <v>3073</v>
      </c>
      <c r="D5863" s="6" t="n">
        <v>3.9</v>
      </c>
      <c r="E5863" t="n">
        <v>42964</v>
      </c>
      <c r="F5863" s="6" t="n">
        <v>3.9</v>
      </c>
      <c r="G5863" t="n">
        <v>1</v>
      </c>
      <c r="H5863" s="6">
        <f>ROUND(G5863*F5863,2)</f>
        <v/>
      </c>
      <c r="I5863">
        <f>IF(ROUND(H5863-D5863,2)=0,1,0)</f>
        <v/>
      </c>
      <c r="J5863">
        <f>IF(F5863="","none",IF(G5863=1,"carte","multiple"))</f>
        <v/>
      </c>
    </row>
    <row r="5864">
      <c r="A5864" t="inlineStr">
        <is>
          <t>2022-10-08</t>
        </is>
      </c>
      <c r="B5864" t="inlineStr">
        <is>
          <t>20:14</t>
        </is>
      </c>
      <c r="C5864" t="n">
        <v>3073</v>
      </c>
      <c r="D5864" s="6" t="n">
        <v>4.9</v>
      </c>
      <c r="E5864" t="n">
        <v>42965</v>
      </c>
      <c r="F5864" s="6" t="n">
        <v>4.9</v>
      </c>
      <c r="G5864" t="n">
        <v>1</v>
      </c>
      <c r="H5864" s="6">
        <f>ROUND(G5864*F5864,2)</f>
        <v/>
      </c>
      <c r="I5864">
        <f>IF(ROUND(H5864-D5864,2)=0,1,0)</f>
        <v/>
      </c>
      <c r="J5864">
        <f>IF(F5864="","none",IF(G5864=1,"carte","multiple"))</f>
        <v/>
      </c>
    </row>
    <row r="5865">
      <c r="A5865" t="inlineStr">
        <is>
          <t>2022-10-08</t>
        </is>
      </c>
      <c r="B5865" t="inlineStr">
        <is>
          <t>20:14</t>
        </is>
      </c>
      <c r="C5865" t="n">
        <v>3073</v>
      </c>
      <c r="D5865" s="6" t="n">
        <v>5.2</v>
      </c>
      <c r="E5865" t="n">
        <v>42966</v>
      </c>
      <c r="F5865" s="6" t="n">
        <v>5.2</v>
      </c>
      <c r="G5865" t="n">
        <v>1</v>
      </c>
      <c r="H5865" s="6">
        <f>ROUND(G5865*F5865,2)</f>
        <v/>
      </c>
      <c r="I5865">
        <f>IF(ROUND(H5865-D5865,2)=0,1,0)</f>
        <v/>
      </c>
      <c r="J5865">
        <f>IF(F5865="","none",IF(G5865=1,"carte","multiple"))</f>
        <v/>
      </c>
    </row>
    <row r="5866">
      <c r="A5866" t="inlineStr">
        <is>
          <t>2022-10-08</t>
        </is>
      </c>
      <c r="B5866" t="inlineStr">
        <is>
          <t>20:31</t>
        </is>
      </c>
      <c r="C5866" t="n">
        <v>3073</v>
      </c>
      <c r="D5866" s="6" t="n">
        <v>5.8</v>
      </c>
      <c r="E5866" t="n">
        <v>42967</v>
      </c>
      <c r="F5866" s="6" t="n">
        <v>5.8</v>
      </c>
      <c r="G5866" t="n">
        <v>1</v>
      </c>
      <c r="H5866" s="6">
        <f>ROUND(G5866*F5866,2)</f>
        <v/>
      </c>
      <c r="I5866">
        <f>IF(ROUND(H5866-D5866,2)=0,1,0)</f>
        <v/>
      </c>
      <c r="J5866">
        <f>IF(F5866="","none",IF(G5866=1,"carte","multiple"))</f>
        <v/>
      </c>
    </row>
    <row r="5867">
      <c r="A5867" t="inlineStr">
        <is>
          <t>2022-10-08</t>
        </is>
      </c>
      <c r="B5867" t="inlineStr">
        <is>
          <t>20:31</t>
        </is>
      </c>
      <c r="C5867" t="n">
        <v>3073</v>
      </c>
      <c r="D5867" s="6" t="n">
        <v>10.7</v>
      </c>
      <c r="E5867" t="n">
        <v>42968</v>
      </c>
      <c r="F5867" s="6" t="n">
        <v>10.7</v>
      </c>
      <c r="G5867" t="n">
        <v>1</v>
      </c>
      <c r="H5867" s="6">
        <f>ROUND(G5867*F5867,2)</f>
        <v/>
      </c>
      <c r="I5867">
        <f>IF(ROUND(H5867-D5867,2)=0,1,0)</f>
        <v/>
      </c>
      <c r="J5867">
        <f>IF(F5867="","none",IF(G5867=1,"carte","multiple"))</f>
        <v/>
      </c>
    </row>
    <row r="5868">
      <c r="A5868" t="inlineStr">
        <is>
          <t>2022-10-08</t>
        </is>
      </c>
      <c r="B5868" t="inlineStr">
        <is>
          <t>20:31</t>
        </is>
      </c>
      <c r="C5868" t="n">
        <v>3073</v>
      </c>
      <c r="D5868" s="6" t="n">
        <v>4.2</v>
      </c>
      <c r="E5868" t="n">
        <v>42969</v>
      </c>
      <c r="F5868" s="6" t="n">
        <v>4.2</v>
      </c>
      <c r="G5868" t="n">
        <v>1</v>
      </c>
      <c r="H5868" s="6">
        <f>ROUND(G5868*F5868,2)</f>
        <v/>
      </c>
      <c r="I5868">
        <f>IF(ROUND(H5868-D5868,2)=0,1,0)</f>
        <v/>
      </c>
      <c r="J5868">
        <f>IF(F5868="","none",IF(G5868=1,"carte","multiple"))</f>
        <v/>
      </c>
    </row>
    <row r="5869">
      <c r="A5869" t="inlineStr">
        <is>
          <t>2022-10-08</t>
        </is>
      </c>
      <c r="B5869" t="inlineStr">
        <is>
          <t>20:31</t>
        </is>
      </c>
      <c r="C5869" t="n">
        <v>3073</v>
      </c>
      <c r="D5869" s="6" t="n">
        <v>5.2</v>
      </c>
      <c r="E5869" t="n">
        <v>42970</v>
      </c>
      <c r="F5869" s="6" t="n">
        <v>5.2</v>
      </c>
      <c r="G5869" t="n">
        <v>1</v>
      </c>
      <c r="H5869" s="6">
        <f>ROUND(G5869*F5869,2)</f>
        <v/>
      </c>
      <c r="I5869">
        <f>IF(ROUND(H5869-D5869,2)=0,1,0)</f>
        <v/>
      </c>
      <c r="J5869">
        <f>IF(F5869="","none",IF(G5869=1,"carte","multiple"))</f>
        <v/>
      </c>
    </row>
    <row r="5870">
      <c r="A5870" t="inlineStr">
        <is>
          <t>2022-10-09</t>
        </is>
      </c>
      <c r="B5870" t="inlineStr">
        <is>
          <t>08:44</t>
        </is>
      </c>
      <c r="C5870" t="n">
        <v>3074</v>
      </c>
      <c r="D5870" s="6" t="n">
        <v>1.2</v>
      </c>
      <c r="E5870" t="n">
        <v>42973</v>
      </c>
      <c r="F5870" s="6" t="n">
        <v>1.2</v>
      </c>
      <c r="G5870" t="n">
        <v>1</v>
      </c>
      <c r="H5870" s="6">
        <f>ROUND(G5870*F5870,2)</f>
        <v/>
      </c>
      <c r="I5870">
        <f>IF(ROUND(H5870-D5870,2)=0,1,0)</f>
        <v/>
      </c>
      <c r="J5870">
        <f>IF(F5870="","none",IF(G5870=1,"carte","multiple"))</f>
        <v/>
      </c>
    </row>
    <row r="5871">
      <c r="A5871" t="inlineStr">
        <is>
          <t>2022-10-09</t>
        </is>
      </c>
      <c r="B5871" t="inlineStr">
        <is>
          <t>08:44</t>
        </is>
      </c>
      <c r="C5871" t="n">
        <v>3074</v>
      </c>
      <c r="D5871" s="6" t="n">
        <v>5.6</v>
      </c>
      <c r="E5871" t="n">
        <v>42974</v>
      </c>
      <c r="F5871" s="6" t="n">
        <v>5.6</v>
      </c>
      <c r="G5871" t="n">
        <v>1</v>
      </c>
      <c r="H5871" s="6">
        <f>ROUND(G5871*F5871,2)</f>
        <v/>
      </c>
      <c r="I5871">
        <f>IF(ROUND(H5871-D5871,2)=0,1,0)</f>
        <v/>
      </c>
      <c r="J5871">
        <f>IF(F5871="","none",IF(G5871=1,"carte","multiple"))</f>
        <v/>
      </c>
    </row>
    <row r="5872">
      <c r="A5872" t="inlineStr">
        <is>
          <t>2022-10-09</t>
        </is>
      </c>
      <c r="B5872" t="inlineStr">
        <is>
          <t>08:44</t>
        </is>
      </c>
      <c r="C5872" t="n">
        <v>3074</v>
      </c>
      <c r="D5872" s="6" t="n">
        <v>19</v>
      </c>
      <c r="E5872" t="n">
        <v>42975</v>
      </c>
      <c r="F5872" s="6" t="n">
        <v>19</v>
      </c>
      <c r="G5872" t="n">
        <v>1</v>
      </c>
      <c r="H5872" s="6">
        <f>ROUND(G5872*F5872,2)</f>
        <v/>
      </c>
      <c r="I5872">
        <f>IF(ROUND(H5872-D5872,2)=0,1,0)</f>
        <v/>
      </c>
      <c r="J5872">
        <f>IF(F5872="","none",IF(G5872=1,"carte","multiple"))</f>
        <v/>
      </c>
    </row>
    <row r="5873">
      <c r="A5873" t="inlineStr">
        <is>
          <t>2022-10-09</t>
        </is>
      </c>
      <c r="B5873" t="inlineStr">
        <is>
          <t>08:44</t>
        </is>
      </c>
      <c r="C5873" t="n">
        <v>3074</v>
      </c>
      <c r="D5873" s="6" t="n">
        <v>32</v>
      </c>
      <c r="E5873" t="n">
        <v>42976</v>
      </c>
      <c r="F5873" s="6" t="n">
        <v>32</v>
      </c>
      <c r="G5873" t="n">
        <v>1</v>
      </c>
      <c r="H5873" s="6">
        <f>ROUND(G5873*F5873,2)</f>
        <v/>
      </c>
      <c r="I5873">
        <f>IF(ROUND(H5873-D5873,2)=0,1,0)</f>
        <v/>
      </c>
      <c r="J5873">
        <f>IF(F5873="","none",IF(G5873=1,"carte","multiple"))</f>
        <v/>
      </c>
    </row>
    <row r="5874">
      <c r="A5874" t="inlineStr">
        <is>
          <t>2022-10-09</t>
        </is>
      </c>
      <c r="B5874" t="inlineStr">
        <is>
          <t>08:44</t>
        </is>
      </c>
      <c r="C5874" t="n">
        <v>3074</v>
      </c>
      <c r="D5874" s="6" t="n">
        <v>23</v>
      </c>
      <c r="E5874" t="n">
        <v>42977</v>
      </c>
      <c r="F5874" s="6" t="n">
        <v>23</v>
      </c>
      <c r="G5874" t="n">
        <v>1</v>
      </c>
      <c r="H5874" s="6">
        <f>ROUND(G5874*F5874,2)</f>
        <v/>
      </c>
      <c r="I5874">
        <f>IF(ROUND(H5874-D5874,2)=0,1,0)</f>
        <v/>
      </c>
      <c r="J5874">
        <f>IF(F5874="","none",IF(G5874=1,"carte","multiple"))</f>
        <v/>
      </c>
    </row>
    <row r="5875">
      <c r="A5875" t="inlineStr">
        <is>
          <t>2022-10-09</t>
        </is>
      </c>
      <c r="B5875" t="inlineStr">
        <is>
          <t>12:36</t>
        </is>
      </c>
      <c r="C5875" t="n">
        <v>3074</v>
      </c>
      <c r="D5875" s="6" t="n">
        <v>19</v>
      </c>
      <c r="E5875" t="n">
        <v>42978</v>
      </c>
      <c r="F5875" s="6" t="n">
        <v>19</v>
      </c>
      <c r="G5875" t="n">
        <v>1</v>
      </c>
      <c r="H5875" s="6">
        <f>ROUND(G5875*F5875,2)</f>
        <v/>
      </c>
      <c r="I5875">
        <f>IF(ROUND(H5875-D5875,2)=0,1,0)</f>
        <v/>
      </c>
      <c r="J5875">
        <f>IF(F5875="","none",IF(G5875=1,"carte","multiple"))</f>
        <v/>
      </c>
    </row>
    <row r="5876">
      <c r="A5876" t="inlineStr">
        <is>
          <t>2022-10-09</t>
        </is>
      </c>
      <c r="B5876" t="inlineStr">
        <is>
          <t>18:15</t>
        </is>
      </c>
      <c r="C5876" t="n">
        <v>3074</v>
      </c>
      <c r="D5876" s="6" t="n">
        <v>5.2</v>
      </c>
      <c r="E5876" t="n">
        <v>42980</v>
      </c>
      <c r="F5876" s="6" t="n">
        <v>5.2</v>
      </c>
      <c r="G5876" t="n">
        <v>1</v>
      </c>
      <c r="H5876" s="6">
        <f>ROUND(G5876*F5876,2)</f>
        <v/>
      </c>
      <c r="I5876">
        <f>IF(ROUND(H5876-D5876,2)=0,1,0)</f>
        <v/>
      </c>
      <c r="J5876">
        <f>IF(F5876="","none",IF(G5876=1,"carte","multiple"))</f>
        <v/>
      </c>
    </row>
    <row r="5877">
      <c r="A5877" t="inlineStr">
        <is>
          <t>2022-10-09</t>
        </is>
      </c>
      <c r="B5877" t="inlineStr">
        <is>
          <t>18:15</t>
        </is>
      </c>
      <c r="C5877" t="n">
        <v>3074</v>
      </c>
      <c r="D5877" s="6" t="n">
        <v>15.8</v>
      </c>
      <c r="E5877" t="n">
        <v>42981</v>
      </c>
      <c r="F5877" s="6" t="n">
        <v>7.9</v>
      </c>
      <c r="G5877" t="n">
        <v>2</v>
      </c>
      <c r="H5877" s="6">
        <f>ROUND(G5877*F5877,2)</f>
        <v/>
      </c>
      <c r="I5877">
        <f>IF(ROUND(H5877-D5877,2)=0,1,0)</f>
        <v/>
      </c>
      <c r="J5877">
        <f>IF(F5877="","none",IF(G5877=1,"carte","multiple"))</f>
        <v/>
      </c>
    </row>
    <row r="5878">
      <c r="A5878" t="inlineStr">
        <is>
          <t>2022-10-09</t>
        </is>
      </c>
      <c r="B5878" t="inlineStr">
        <is>
          <t>18:15</t>
        </is>
      </c>
      <c r="C5878" t="n">
        <v>3074</v>
      </c>
      <c r="D5878" s="6" t="n">
        <v>48</v>
      </c>
      <c r="E5878" t="n">
        <v>42982</v>
      </c>
      <c r="F5878" s="6" t="n">
        <v>0.4</v>
      </c>
      <c r="G5878" t="n">
        <v>120</v>
      </c>
      <c r="H5878" s="6">
        <f>ROUND(G5878*F5878,2)</f>
        <v/>
      </c>
      <c r="I5878">
        <f>IF(ROUND(H5878-D5878,2)=0,1,0)</f>
        <v/>
      </c>
      <c r="J5878">
        <f>IF(F5878="","none",IF(G5878=1,"carte","multiple"))</f>
        <v/>
      </c>
    </row>
    <row r="5879">
      <c r="A5879" t="inlineStr">
        <is>
          <t>2022-10-09</t>
        </is>
      </c>
      <c r="B5879" t="inlineStr">
        <is>
          <t>18:17</t>
        </is>
      </c>
      <c r="C5879" t="n">
        <v>3074</v>
      </c>
      <c r="D5879" s="6" t="n">
        <v>8.800000000000001</v>
      </c>
      <c r="E5879" t="n">
        <v>42983</v>
      </c>
      <c r="F5879" s="6" t="n">
        <v>8.800000000000001</v>
      </c>
      <c r="G5879" t="n">
        <v>1</v>
      </c>
      <c r="H5879" s="6">
        <f>ROUND(G5879*F5879,2)</f>
        <v/>
      </c>
      <c r="I5879">
        <f>IF(ROUND(H5879-D5879,2)=0,1,0)</f>
        <v/>
      </c>
      <c r="J5879">
        <f>IF(F5879="","none",IF(G5879=1,"carte","multiple"))</f>
        <v/>
      </c>
    </row>
    <row r="5880">
      <c r="A5880" t="inlineStr">
        <is>
          <t>2022-10-09</t>
        </is>
      </c>
      <c r="B5880" t="inlineStr">
        <is>
          <t>18:17</t>
        </is>
      </c>
      <c r="C5880" t="n">
        <v>3074</v>
      </c>
      <c r="D5880" s="6" t="n">
        <v>5.2</v>
      </c>
      <c r="E5880" t="n">
        <v>42985</v>
      </c>
      <c r="F5880" s="6" t="n">
        <v>5.2</v>
      </c>
      <c r="G5880" t="n">
        <v>1</v>
      </c>
      <c r="H5880" s="6">
        <f>ROUND(G5880*F5880,2)</f>
        <v/>
      </c>
      <c r="I5880">
        <f>IF(ROUND(H5880-D5880,2)=0,1,0)</f>
        <v/>
      </c>
      <c r="J5880">
        <f>IF(F5880="","none",IF(G5880=1,"carte","multiple"))</f>
        <v/>
      </c>
    </row>
    <row r="5881">
      <c r="A5881" t="inlineStr">
        <is>
          <t>2022-10-09</t>
        </is>
      </c>
      <c r="B5881" t="inlineStr">
        <is>
          <t>18:17</t>
        </is>
      </c>
      <c r="C5881" t="n">
        <v>3074</v>
      </c>
      <c r="D5881" s="6" t="n">
        <v>48</v>
      </c>
      <c r="E5881" t="n">
        <v>42986</v>
      </c>
      <c r="F5881" s="6" t="n">
        <v>0.4</v>
      </c>
      <c r="G5881" t="n">
        <v>120</v>
      </c>
      <c r="H5881" s="6">
        <f>ROUND(G5881*F5881,2)</f>
        <v/>
      </c>
      <c r="I5881">
        <f>IF(ROUND(H5881-D5881,2)=0,1,0)</f>
        <v/>
      </c>
      <c r="J5881">
        <f>IF(F5881="","none",IF(G5881=1,"carte","multiple"))</f>
        <v/>
      </c>
    </row>
    <row r="5882">
      <c r="A5882" t="inlineStr">
        <is>
          <t>2022-10-09</t>
        </is>
      </c>
      <c r="B5882" t="inlineStr">
        <is>
          <t>18:17</t>
        </is>
      </c>
      <c r="C5882" t="n">
        <v>3074</v>
      </c>
      <c r="D5882" s="6" t="n">
        <v>15.8</v>
      </c>
      <c r="E5882" t="n">
        <v>42987</v>
      </c>
      <c r="F5882" s="6" t="n">
        <v>7.9</v>
      </c>
      <c r="G5882" t="n">
        <v>2</v>
      </c>
      <c r="H5882" s="6">
        <f>ROUND(G5882*F5882,2)</f>
        <v/>
      </c>
      <c r="I5882">
        <f>IF(ROUND(H5882-D5882,2)=0,1,0)</f>
        <v/>
      </c>
      <c r="J5882">
        <f>IF(F5882="","none",IF(G5882=1,"carte","multiple"))</f>
        <v/>
      </c>
    </row>
    <row r="5883">
      <c r="A5883" t="inlineStr">
        <is>
          <t>2022-10-09</t>
        </is>
      </c>
      <c r="B5883" t="inlineStr">
        <is>
          <t>19:03</t>
        </is>
      </c>
      <c r="C5883" t="n">
        <v>3074</v>
      </c>
      <c r="D5883" s="6" t="n">
        <v>2.2</v>
      </c>
      <c r="E5883" t="n">
        <v>42988</v>
      </c>
      <c r="F5883" s="6" t="n">
        <v>2.2</v>
      </c>
      <c r="G5883" t="n">
        <v>1</v>
      </c>
      <c r="H5883" s="6">
        <f>ROUND(G5883*F5883,2)</f>
        <v/>
      </c>
      <c r="I5883">
        <f>IF(ROUND(H5883-D5883,2)=0,1,0)</f>
        <v/>
      </c>
      <c r="J5883">
        <f>IF(F5883="","none",IF(G5883=1,"carte","multiple"))</f>
        <v/>
      </c>
    </row>
    <row r="5884">
      <c r="A5884" t="inlineStr">
        <is>
          <t>2022-10-09</t>
        </is>
      </c>
      <c r="B5884" t="inlineStr">
        <is>
          <t>19:03</t>
        </is>
      </c>
      <c r="C5884" t="n">
        <v>3074</v>
      </c>
      <c r="D5884" s="6" t="n">
        <v>6.5</v>
      </c>
      <c r="E5884" t="n">
        <v>42989</v>
      </c>
      <c r="F5884" s="6" t="n">
        <v>6.5</v>
      </c>
      <c r="G5884" t="n">
        <v>1</v>
      </c>
      <c r="H5884" s="6">
        <f>ROUND(G5884*F5884,2)</f>
        <v/>
      </c>
      <c r="I5884">
        <f>IF(ROUND(H5884-D5884,2)=0,1,0)</f>
        <v/>
      </c>
      <c r="J5884">
        <f>IF(F5884="","none",IF(G5884=1,"carte","multiple"))</f>
        <v/>
      </c>
    </row>
    <row r="5885">
      <c r="A5885" t="inlineStr">
        <is>
          <t>2022-10-09</t>
        </is>
      </c>
      <c r="B5885" t="inlineStr">
        <is>
          <t>19:03</t>
        </is>
      </c>
      <c r="C5885" t="n">
        <v>3074</v>
      </c>
      <c r="D5885" s="6" t="n">
        <v>48</v>
      </c>
      <c r="E5885" t="n">
        <v>42990</v>
      </c>
      <c r="F5885" s="6" t="n">
        <v>0.4</v>
      </c>
      <c r="G5885" t="n">
        <v>120</v>
      </c>
      <c r="H5885" s="6">
        <f>ROUND(G5885*F5885,2)</f>
        <v/>
      </c>
      <c r="I5885">
        <f>IF(ROUND(H5885-D5885,2)=0,1,0)</f>
        <v/>
      </c>
      <c r="J5885">
        <f>IF(F5885="","none",IF(G5885=1,"carte","multiple"))</f>
        <v/>
      </c>
    </row>
    <row r="5886">
      <c r="A5886" t="inlineStr">
        <is>
          <t>2022-10-09</t>
        </is>
      </c>
      <c r="B5886" t="inlineStr">
        <is>
          <t>19:03</t>
        </is>
      </c>
      <c r="C5886" t="n">
        <v>3074</v>
      </c>
      <c r="D5886" s="6" t="n">
        <v>15.8</v>
      </c>
      <c r="E5886" t="n">
        <v>42991</v>
      </c>
      <c r="F5886" s="6" t="n">
        <v>7.9</v>
      </c>
      <c r="G5886" t="n">
        <v>2</v>
      </c>
      <c r="H5886" s="6">
        <f>ROUND(G5886*F5886,2)</f>
        <v/>
      </c>
      <c r="I5886">
        <f>IF(ROUND(H5886-D5886,2)=0,1,0)</f>
        <v/>
      </c>
      <c r="J5886">
        <f>IF(F5886="","none",IF(G5886=1,"carte","multiple"))</f>
        <v/>
      </c>
    </row>
    <row r="5887">
      <c r="A5887" t="inlineStr">
        <is>
          <t>2022-10-09</t>
        </is>
      </c>
      <c r="B5887" t="inlineStr">
        <is>
          <t>19:03</t>
        </is>
      </c>
      <c r="C5887" t="n">
        <v>3074</v>
      </c>
      <c r="D5887" s="6" t="n">
        <v>14.4</v>
      </c>
      <c r="E5887" t="n">
        <v>42992</v>
      </c>
      <c r="F5887" s="6" t="n">
        <v>0.4</v>
      </c>
      <c r="G5887" t="n">
        <v>36</v>
      </c>
      <c r="H5887" s="6">
        <f>ROUND(G5887*F5887,2)</f>
        <v/>
      </c>
      <c r="I5887">
        <f>IF(ROUND(H5887-D5887,2)=0,1,0)</f>
        <v/>
      </c>
      <c r="J5887">
        <f>IF(F5887="","none",IF(G5887=1,"carte","multiple"))</f>
        <v/>
      </c>
    </row>
    <row r="5888">
      <c r="A5888" t="inlineStr">
        <is>
          <t>2022-10-09</t>
        </is>
      </c>
      <c r="B5888" t="inlineStr">
        <is>
          <t>19:14</t>
        </is>
      </c>
      <c r="C5888" t="n">
        <v>3074</v>
      </c>
      <c r="D5888" s="6" t="n">
        <v>0</v>
      </c>
      <c r="E5888" t="n">
        <v>42993</v>
      </c>
      <c r="H5888" t="inlineStr"/>
      <c r="I5888" t="inlineStr"/>
      <c r="J5888">
        <f>IF(F5888="","none",IF(G5888=1,"carte","multiple"))</f>
        <v/>
      </c>
    </row>
    <row r="5889">
      <c r="A5889" t="inlineStr">
        <is>
          <t>2022-10-09</t>
        </is>
      </c>
      <c r="B5889" t="inlineStr">
        <is>
          <t>19:14</t>
        </is>
      </c>
      <c r="C5889" t="n">
        <v>3074</v>
      </c>
      <c r="D5889" s="6" t="n">
        <v>19</v>
      </c>
      <c r="E5889" t="n">
        <v>42994</v>
      </c>
      <c r="F5889" s="6" t="n">
        <v>19</v>
      </c>
      <c r="G5889" t="n">
        <v>1</v>
      </c>
      <c r="H5889" s="6">
        <f>ROUND(G5889*F5889,2)</f>
        <v/>
      </c>
      <c r="I5889">
        <f>IF(ROUND(H5889-D5889,2)=0,1,0)</f>
        <v/>
      </c>
      <c r="J5889">
        <f>IF(F5889="","none",IF(G5889=1,"carte","multiple"))</f>
        <v/>
      </c>
    </row>
    <row r="5890">
      <c r="A5890" t="inlineStr">
        <is>
          <t>2022-10-09</t>
        </is>
      </c>
      <c r="B5890" t="inlineStr">
        <is>
          <t>19:14</t>
        </is>
      </c>
      <c r="C5890" t="n">
        <v>3074</v>
      </c>
      <c r="D5890" s="6" t="n">
        <v>8.699999999999999</v>
      </c>
      <c r="E5890" t="n">
        <v>42995</v>
      </c>
      <c r="F5890" s="6" t="n">
        <v>8.699999999999999</v>
      </c>
      <c r="G5890" t="n">
        <v>1</v>
      </c>
      <c r="H5890" s="6">
        <f>ROUND(G5890*F5890,2)</f>
        <v/>
      </c>
      <c r="I5890">
        <f>IF(ROUND(H5890-D5890,2)=0,1,0)</f>
        <v/>
      </c>
      <c r="J5890">
        <f>IF(F5890="","none",IF(G5890=1,"carte","multiple"))</f>
        <v/>
      </c>
    </row>
    <row r="5891">
      <c r="A5891" t="inlineStr">
        <is>
          <t>2022-10-09</t>
        </is>
      </c>
      <c r="B5891" t="inlineStr">
        <is>
          <t>19:18</t>
        </is>
      </c>
      <c r="C5891" t="n">
        <v>3074</v>
      </c>
      <c r="D5891" s="6" t="n">
        <v>15.9</v>
      </c>
      <c r="E5891" t="n">
        <v>42996</v>
      </c>
      <c r="F5891" s="6" t="n">
        <v>15.9</v>
      </c>
      <c r="G5891" t="n">
        <v>1</v>
      </c>
      <c r="H5891" s="6">
        <f>ROUND(G5891*F5891,2)</f>
        <v/>
      </c>
      <c r="I5891">
        <f>IF(ROUND(H5891-D5891,2)=0,1,0)</f>
        <v/>
      </c>
      <c r="J5891">
        <f>IF(F5891="","none",IF(G5891=1,"carte","multiple"))</f>
        <v/>
      </c>
    </row>
    <row r="5892">
      <c r="A5892" t="inlineStr">
        <is>
          <t>2022-10-09</t>
        </is>
      </c>
      <c r="B5892" t="inlineStr">
        <is>
          <t>19:44</t>
        </is>
      </c>
      <c r="C5892" t="n">
        <v>3074</v>
      </c>
      <c r="D5892" s="6" t="n">
        <v>5.8</v>
      </c>
      <c r="E5892" t="n">
        <v>42997</v>
      </c>
      <c r="F5892" s="6" t="n">
        <v>5.8</v>
      </c>
      <c r="G5892" t="n">
        <v>1</v>
      </c>
      <c r="H5892" s="6">
        <f>ROUND(G5892*F5892,2)</f>
        <v/>
      </c>
      <c r="I5892">
        <f>IF(ROUND(H5892-D5892,2)=0,1,0)</f>
        <v/>
      </c>
      <c r="J5892">
        <f>IF(F5892="","none",IF(G5892=1,"carte","multiple"))</f>
        <v/>
      </c>
    </row>
    <row r="5893">
      <c r="A5893" t="inlineStr">
        <is>
          <t>2022-10-09</t>
        </is>
      </c>
      <c r="B5893" t="inlineStr">
        <is>
          <t>19:44</t>
        </is>
      </c>
      <c r="C5893" t="n">
        <v>3074</v>
      </c>
      <c r="D5893" s="6" t="n">
        <v>2</v>
      </c>
      <c r="E5893" t="n">
        <v>42998</v>
      </c>
      <c r="F5893" s="6" t="n">
        <v>2</v>
      </c>
      <c r="G5893" t="n">
        <v>1</v>
      </c>
      <c r="H5893" s="6">
        <f>ROUND(G5893*F5893,2)</f>
        <v/>
      </c>
      <c r="I5893">
        <f>IF(ROUND(H5893-D5893,2)=0,1,0)</f>
        <v/>
      </c>
      <c r="J5893">
        <f>IF(F5893="","none",IF(G5893=1,"carte","multiple"))</f>
        <v/>
      </c>
    </row>
    <row r="5894">
      <c r="A5894" t="inlineStr">
        <is>
          <t>2022-10-09</t>
        </is>
      </c>
      <c r="B5894" t="inlineStr">
        <is>
          <t>19:44</t>
        </is>
      </c>
      <c r="C5894" t="n">
        <v>3074</v>
      </c>
      <c r="D5894" s="6" t="n">
        <v>1.2</v>
      </c>
      <c r="E5894" t="n">
        <v>42999</v>
      </c>
      <c r="F5894" s="6" t="n">
        <v>1.2</v>
      </c>
      <c r="G5894" t="n">
        <v>1</v>
      </c>
      <c r="H5894" s="6">
        <f>ROUND(G5894*F5894,2)</f>
        <v/>
      </c>
      <c r="I5894">
        <f>IF(ROUND(H5894-D5894,2)=0,1,0)</f>
        <v/>
      </c>
      <c r="J5894">
        <f>IF(F5894="","none",IF(G5894=1,"carte","multiple"))</f>
        <v/>
      </c>
    </row>
    <row r="5895">
      <c r="A5895" t="inlineStr">
        <is>
          <t>2022-10-09</t>
        </is>
      </c>
      <c r="B5895" t="inlineStr">
        <is>
          <t>19:44</t>
        </is>
      </c>
      <c r="C5895" t="n">
        <v>3074</v>
      </c>
      <c r="D5895" s="6" t="n">
        <v>5.6</v>
      </c>
      <c r="E5895" t="n">
        <v>43000</v>
      </c>
      <c r="F5895" s="6" t="n">
        <v>5.6</v>
      </c>
      <c r="G5895" t="n">
        <v>1</v>
      </c>
      <c r="H5895" s="6">
        <f>ROUND(G5895*F5895,2)</f>
        <v/>
      </c>
      <c r="I5895">
        <f>IF(ROUND(H5895-D5895,2)=0,1,0)</f>
        <v/>
      </c>
      <c r="J5895">
        <f>IF(F5895="","none",IF(G5895=1,"carte","multiple"))</f>
        <v/>
      </c>
    </row>
    <row r="5896">
      <c r="A5896" t="inlineStr">
        <is>
          <t>2022-10-09</t>
        </is>
      </c>
      <c r="B5896" t="inlineStr">
        <is>
          <t>19:44</t>
        </is>
      </c>
      <c r="C5896" t="n">
        <v>3074</v>
      </c>
      <c r="D5896" s="6" t="n">
        <v>7.9</v>
      </c>
      <c r="E5896" t="n">
        <v>43001</v>
      </c>
      <c r="F5896" s="6" t="n">
        <v>7.9</v>
      </c>
      <c r="G5896" t="n">
        <v>1</v>
      </c>
      <c r="H5896" s="6">
        <f>ROUND(G5896*F5896,2)</f>
        <v/>
      </c>
      <c r="I5896">
        <f>IF(ROUND(H5896-D5896,2)=0,1,0)</f>
        <v/>
      </c>
      <c r="J5896">
        <f>IF(F5896="","none",IF(G5896=1,"carte","multiple"))</f>
        <v/>
      </c>
    </row>
    <row r="5897">
      <c r="A5897" t="inlineStr">
        <is>
          <t>2022-10-09</t>
        </is>
      </c>
      <c r="B5897" t="inlineStr">
        <is>
          <t>19:44</t>
        </is>
      </c>
      <c r="C5897" t="n">
        <v>3074</v>
      </c>
      <c r="D5897" s="6" t="n">
        <v>7</v>
      </c>
      <c r="E5897" t="n">
        <v>43002</v>
      </c>
      <c r="F5897" s="6" t="n">
        <v>7</v>
      </c>
      <c r="G5897" t="n">
        <v>1</v>
      </c>
      <c r="H5897" s="6">
        <f>ROUND(G5897*F5897,2)</f>
        <v/>
      </c>
      <c r="I5897">
        <f>IF(ROUND(H5897-D5897,2)=0,1,0)</f>
        <v/>
      </c>
      <c r="J5897">
        <f>IF(F5897="","none",IF(G5897=1,"carte","multiple"))</f>
        <v/>
      </c>
    </row>
    <row r="5898">
      <c r="A5898" t="inlineStr">
        <is>
          <t>2022-10-09</t>
        </is>
      </c>
      <c r="B5898" t="inlineStr">
        <is>
          <t>19:44</t>
        </is>
      </c>
      <c r="C5898" t="n">
        <v>3074</v>
      </c>
      <c r="D5898" s="6" t="n">
        <v>17.6</v>
      </c>
      <c r="E5898" t="n">
        <v>43003</v>
      </c>
      <c r="F5898" s="6" t="n">
        <v>17.6</v>
      </c>
      <c r="G5898" t="n">
        <v>1</v>
      </c>
      <c r="H5898" s="6">
        <f>ROUND(G5898*F5898,2)</f>
        <v/>
      </c>
      <c r="I5898">
        <f>IF(ROUND(H5898-D5898,2)=0,1,0)</f>
        <v/>
      </c>
      <c r="J5898">
        <f>IF(F5898="","none",IF(G5898=1,"carte","multiple"))</f>
        <v/>
      </c>
    </row>
    <row r="5899">
      <c r="A5899" t="inlineStr">
        <is>
          <t>2022-10-09</t>
        </is>
      </c>
      <c r="B5899" t="inlineStr">
        <is>
          <t>19:44</t>
        </is>
      </c>
      <c r="C5899" t="n">
        <v>3074</v>
      </c>
      <c r="D5899" s="6" t="n">
        <v>17.6</v>
      </c>
      <c r="E5899" t="n">
        <v>43004</v>
      </c>
      <c r="F5899" s="6" t="n">
        <v>17.6</v>
      </c>
      <c r="G5899" t="n">
        <v>1</v>
      </c>
      <c r="H5899" s="6">
        <f>ROUND(G5899*F5899,2)</f>
        <v/>
      </c>
      <c r="I5899">
        <f>IF(ROUND(H5899-D5899,2)=0,1,0)</f>
        <v/>
      </c>
      <c r="J5899">
        <f>IF(F5899="","none",IF(G5899=1,"carte","multiple"))</f>
        <v/>
      </c>
    </row>
    <row r="5900">
      <c r="A5900" t="inlineStr">
        <is>
          <t>2022-10-12</t>
        </is>
      </c>
      <c r="B5900" t="inlineStr">
        <is>
          <t>11:50</t>
        </is>
      </c>
      <c r="C5900" t="n">
        <v>3075</v>
      </c>
      <c r="D5900" s="6" t="n">
        <v>4.4</v>
      </c>
      <c r="E5900" t="n">
        <v>43007</v>
      </c>
      <c r="F5900" s="6" t="n">
        <v>0.4</v>
      </c>
      <c r="G5900" t="n">
        <v>11</v>
      </c>
      <c r="H5900" s="6">
        <f>ROUND(G5900*F5900,2)</f>
        <v/>
      </c>
      <c r="I5900">
        <f>IF(ROUND(H5900-D5900,2)=0,1,0)</f>
        <v/>
      </c>
      <c r="J5900">
        <f>IF(F5900="","none",IF(G5900=1,"carte","multiple"))</f>
        <v/>
      </c>
    </row>
    <row r="5901">
      <c r="A5901" t="inlineStr">
        <is>
          <t>2022-10-12</t>
        </is>
      </c>
      <c r="B5901" t="inlineStr">
        <is>
          <t>11:50</t>
        </is>
      </c>
      <c r="C5901" t="n">
        <v>3075</v>
      </c>
      <c r="D5901" s="6" t="n">
        <v>3.9</v>
      </c>
      <c r="E5901" t="n">
        <v>43008</v>
      </c>
      <c r="F5901" s="6" t="n">
        <v>3.9</v>
      </c>
      <c r="G5901" t="n">
        <v>1</v>
      </c>
      <c r="H5901" s="6">
        <f>ROUND(G5901*F5901,2)</f>
        <v/>
      </c>
      <c r="I5901">
        <f>IF(ROUND(H5901-D5901,2)=0,1,0)</f>
        <v/>
      </c>
      <c r="J5901">
        <f>IF(F5901="","none",IF(G5901=1,"carte","multiple"))</f>
        <v/>
      </c>
    </row>
    <row r="5902">
      <c r="A5902" t="inlineStr">
        <is>
          <t>2022-10-12</t>
        </is>
      </c>
      <c r="B5902" t="inlineStr">
        <is>
          <t>11:50</t>
        </is>
      </c>
      <c r="C5902" t="n">
        <v>3075</v>
      </c>
      <c r="D5902" s="6" t="n">
        <v>8.699999999999999</v>
      </c>
      <c r="E5902" t="n">
        <v>43009</v>
      </c>
      <c r="F5902" s="6" t="n">
        <v>8.699999999999999</v>
      </c>
      <c r="G5902" t="n">
        <v>1</v>
      </c>
      <c r="H5902" s="6">
        <f>ROUND(G5902*F5902,2)</f>
        <v/>
      </c>
      <c r="I5902">
        <f>IF(ROUND(H5902-D5902,2)=0,1,0)</f>
        <v/>
      </c>
      <c r="J5902">
        <f>IF(F5902="","none",IF(G5902=1,"carte","multiple"))</f>
        <v/>
      </c>
    </row>
    <row r="5903">
      <c r="A5903" t="inlineStr">
        <is>
          <t>2022-10-12</t>
        </is>
      </c>
      <c r="B5903" t="inlineStr">
        <is>
          <t>11:50</t>
        </is>
      </c>
      <c r="C5903" t="n">
        <v>3075</v>
      </c>
      <c r="D5903" s="6" t="n">
        <v>5.9</v>
      </c>
      <c r="E5903" t="n">
        <v>43010</v>
      </c>
      <c r="F5903" s="6" t="n">
        <v>5.9</v>
      </c>
      <c r="G5903" t="n">
        <v>1</v>
      </c>
      <c r="H5903" s="6">
        <f>ROUND(G5903*F5903,2)</f>
        <v/>
      </c>
      <c r="I5903">
        <f>IF(ROUND(H5903-D5903,2)=0,1,0)</f>
        <v/>
      </c>
      <c r="J5903">
        <f>IF(F5903="","none",IF(G5903=1,"carte","multiple"))</f>
        <v/>
      </c>
    </row>
    <row r="5904">
      <c r="A5904" t="inlineStr">
        <is>
          <t>2022-10-12</t>
        </is>
      </c>
      <c r="B5904" t="inlineStr">
        <is>
          <t>11:50</t>
        </is>
      </c>
      <c r="C5904" t="n">
        <v>3075</v>
      </c>
      <c r="D5904" s="6" t="n">
        <v>16.8</v>
      </c>
      <c r="E5904" t="n">
        <v>43011</v>
      </c>
      <c r="F5904" s="6" t="n">
        <v>16.8</v>
      </c>
      <c r="G5904" t="n">
        <v>1</v>
      </c>
      <c r="H5904" s="6">
        <f>ROUND(G5904*F5904,2)</f>
        <v/>
      </c>
      <c r="I5904">
        <f>IF(ROUND(H5904-D5904,2)=0,1,0)</f>
        <v/>
      </c>
      <c r="J5904">
        <f>IF(F5904="","none",IF(G5904=1,"carte","multiple"))</f>
        <v/>
      </c>
    </row>
    <row r="5905">
      <c r="A5905" t="inlineStr">
        <is>
          <t>2022-10-12</t>
        </is>
      </c>
      <c r="B5905" t="inlineStr">
        <is>
          <t>11:50</t>
        </is>
      </c>
      <c r="C5905" t="n">
        <v>3075</v>
      </c>
      <c r="D5905" s="6" t="n">
        <v>15.9</v>
      </c>
      <c r="E5905" t="n">
        <v>43012</v>
      </c>
      <c r="F5905" s="6" t="n">
        <v>15.9</v>
      </c>
      <c r="G5905" t="n">
        <v>1</v>
      </c>
      <c r="H5905" s="6">
        <f>ROUND(G5905*F5905,2)</f>
        <v/>
      </c>
      <c r="I5905">
        <f>IF(ROUND(H5905-D5905,2)=0,1,0)</f>
        <v/>
      </c>
      <c r="J5905">
        <f>IF(F5905="","none",IF(G5905=1,"carte","multiple"))</f>
        <v/>
      </c>
    </row>
    <row r="5906">
      <c r="A5906" t="inlineStr">
        <is>
          <t>2022-10-12</t>
        </is>
      </c>
      <c r="B5906" t="inlineStr">
        <is>
          <t>11:50</t>
        </is>
      </c>
      <c r="C5906" t="n">
        <v>3075</v>
      </c>
      <c r="D5906" s="6" t="n">
        <v>8.4</v>
      </c>
      <c r="E5906" t="n">
        <v>43013</v>
      </c>
      <c r="F5906" s="6" t="n">
        <v>8.4</v>
      </c>
      <c r="G5906" t="n">
        <v>1</v>
      </c>
      <c r="H5906" s="6">
        <f>ROUND(G5906*F5906,2)</f>
        <v/>
      </c>
      <c r="I5906">
        <f>IF(ROUND(H5906-D5906,2)=0,1,0)</f>
        <v/>
      </c>
      <c r="J5906">
        <f>IF(F5906="","none",IF(G5906=1,"carte","multiple"))</f>
        <v/>
      </c>
    </row>
    <row r="5907">
      <c r="A5907" t="inlineStr">
        <is>
          <t>2022-10-12</t>
        </is>
      </c>
      <c r="B5907" t="inlineStr">
        <is>
          <t>12:11</t>
        </is>
      </c>
      <c r="C5907" t="n">
        <v>3075</v>
      </c>
      <c r="D5907" s="6" t="n">
        <v>3.9</v>
      </c>
      <c r="E5907" t="n">
        <v>43014</v>
      </c>
      <c r="F5907" s="6" t="n">
        <v>3.9</v>
      </c>
      <c r="G5907" t="n">
        <v>1</v>
      </c>
      <c r="H5907" s="6">
        <f>ROUND(G5907*F5907,2)</f>
        <v/>
      </c>
      <c r="I5907">
        <f>IF(ROUND(H5907-D5907,2)=0,1,0)</f>
        <v/>
      </c>
      <c r="J5907">
        <f>IF(F5907="","none",IF(G5907=1,"carte","multiple"))</f>
        <v/>
      </c>
    </row>
    <row r="5908">
      <c r="A5908" t="inlineStr">
        <is>
          <t>2022-10-12</t>
        </is>
      </c>
      <c r="B5908" t="inlineStr">
        <is>
          <t>12:11</t>
        </is>
      </c>
      <c r="C5908" t="n">
        <v>3075</v>
      </c>
      <c r="D5908" s="6" t="n">
        <v>3.9</v>
      </c>
      <c r="E5908" t="n">
        <v>43015</v>
      </c>
      <c r="F5908" s="6" t="n">
        <v>3.9</v>
      </c>
      <c r="G5908" t="n">
        <v>1</v>
      </c>
      <c r="H5908" s="6">
        <f>ROUND(G5908*F5908,2)</f>
        <v/>
      </c>
      <c r="I5908">
        <f>IF(ROUND(H5908-D5908,2)=0,1,0)</f>
        <v/>
      </c>
      <c r="J5908">
        <f>IF(F5908="","none",IF(G5908=1,"carte","multiple"))</f>
        <v/>
      </c>
    </row>
    <row r="5909">
      <c r="A5909" t="inlineStr">
        <is>
          <t>2022-10-12</t>
        </is>
      </c>
      <c r="B5909" t="inlineStr">
        <is>
          <t>12:11</t>
        </is>
      </c>
      <c r="C5909" t="n">
        <v>3075</v>
      </c>
      <c r="D5909" s="6" t="n">
        <v>15</v>
      </c>
      <c r="E5909" t="n">
        <v>43016</v>
      </c>
      <c r="F5909" s="6" t="n">
        <v>15</v>
      </c>
      <c r="G5909" t="n">
        <v>1</v>
      </c>
      <c r="H5909" s="6">
        <f>ROUND(G5909*F5909,2)</f>
        <v/>
      </c>
      <c r="I5909">
        <f>IF(ROUND(H5909-D5909,2)=0,1,0)</f>
        <v/>
      </c>
      <c r="J5909">
        <f>IF(F5909="","none",IF(G5909=1,"carte","multiple"))</f>
        <v/>
      </c>
    </row>
    <row r="5910">
      <c r="A5910" t="inlineStr">
        <is>
          <t>2022-10-12</t>
        </is>
      </c>
      <c r="B5910" t="inlineStr">
        <is>
          <t>12:11</t>
        </is>
      </c>
      <c r="C5910" t="n">
        <v>3075</v>
      </c>
      <c r="D5910" s="6" t="n">
        <v>15.9</v>
      </c>
      <c r="E5910" t="n">
        <v>43017</v>
      </c>
      <c r="F5910" s="6" t="n">
        <v>15.9</v>
      </c>
      <c r="G5910" t="n">
        <v>1</v>
      </c>
      <c r="H5910" s="6">
        <f>ROUND(G5910*F5910,2)</f>
        <v/>
      </c>
      <c r="I5910">
        <f>IF(ROUND(H5910-D5910,2)=0,1,0)</f>
        <v/>
      </c>
      <c r="J5910">
        <f>IF(F5910="","none",IF(G5910=1,"carte","multiple"))</f>
        <v/>
      </c>
    </row>
    <row r="5911">
      <c r="A5911" t="inlineStr">
        <is>
          <t>2022-10-12</t>
        </is>
      </c>
      <c r="B5911" t="inlineStr">
        <is>
          <t>12:37</t>
        </is>
      </c>
      <c r="C5911" t="n">
        <v>3075</v>
      </c>
      <c r="D5911" s="6" t="n">
        <v>4.9</v>
      </c>
      <c r="E5911" t="n">
        <v>43018</v>
      </c>
      <c r="F5911" s="6" t="n">
        <v>4.9</v>
      </c>
      <c r="G5911" t="n">
        <v>1</v>
      </c>
      <c r="H5911" s="6">
        <f>ROUND(G5911*F5911,2)</f>
        <v/>
      </c>
      <c r="I5911">
        <f>IF(ROUND(H5911-D5911,2)=0,1,0)</f>
        <v/>
      </c>
      <c r="J5911">
        <f>IF(F5911="","none",IF(G5911=1,"carte","multiple"))</f>
        <v/>
      </c>
    </row>
    <row r="5912">
      <c r="A5912" t="inlineStr">
        <is>
          <t>2022-10-12</t>
        </is>
      </c>
      <c r="B5912" t="inlineStr">
        <is>
          <t>12:37</t>
        </is>
      </c>
      <c r="C5912" t="n">
        <v>3075</v>
      </c>
      <c r="D5912" s="6" t="n">
        <v>7.8</v>
      </c>
      <c r="E5912" t="n">
        <v>43019</v>
      </c>
      <c r="F5912" s="6" t="n">
        <v>7.8</v>
      </c>
      <c r="G5912" t="n">
        <v>1</v>
      </c>
      <c r="H5912" s="6">
        <f>ROUND(G5912*F5912,2)</f>
        <v/>
      </c>
      <c r="I5912">
        <f>IF(ROUND(H5912-D5912,2)=0,1,0)</f>
        <v/>
      </c>
      <c r="J5912">
        <f>IF(F5912="","none",IF(G5912=1,"carte","multiple"))</f>
        <v/>
      </c>
    </row>
    <row r="5913">
      <c r="A5913" t="inlineStr">
        <is>
          <t>2022-10-12</t>
        </is>
      </c>
      <c r="B5913" t="inlineStr">
        <is>
          <t>12:37</t>
        </is>
      </c>
      <c r="C5913" t="n">
        <v>3075</v>
      </c>
      <c r="D5913" s="6" t="n">
        <v>15</v>
      </c>
      <c r="E5913" t="n">
        <v>43020</v>
      </c>
      <c r="F5913" s="6" t="n">
        <v>15</v>
      </c>
      <c r="G5913" t="n">
        <v>1</v>
      </c>
      <c r="H5913" s="6">
        <f>ROUND(G5913*F5913,2)</f>
        <v/>
      </c>
      <c r="I5913">
        <f>IF(ROUND(H5913-D5913,2)=0,1,0)</f>
        <v/>
      </c>
      <c r="J5913">
        <f>IF(F5913="","none",IF(G5913=1,"carte","multiple"))</f>
        <v/>
      </c>
    </row>
    <row r="5914">
      <c r="A5914" t="inlineStr">
        <is>
          <t>2022-10-12</t>
        </is>
      </c>
      <c r="B5914" t="inlineStr">
        <is>
          <t>12:37</t>
        </is>
      </c>
      <c r="C5914" t="n">
        <v>3075</v>
      </c>
      <c r="D5914" s="6" t="n">
        <v>31.8</v>
      </c>
      <c r="E5914" t="n">
        <v>43021</v>
      </c>
      <c r="F5914" s="6" t="n">
        <v>31.8</v>
      </c>
      <c r="G5914" t="n">
        <v>1</v>
      </c>
      <c r="H5914" s="6">
        <f>ROUND(G5914*F5914,2)</f>
        <v/>
      </c>
      <c r="I5914">
        <f>IF(ROUND(H5914-D5914,2)=0,1,0)</f>
        <v/>
      </c>
      <c r="J5914">
        <f>IF(F5914="","none",IF(G5914=1,"carte","multiple"))</f>
        <v/>
      </c>
    </row>
    <row r="5915">
      <c r="A5915" t="inlineStr">
        <is>
          <t>2022-10-12</t>
        </is>
      </c>
      <c r="B5915" t="inlineStr">
        <is>
          <t>12:37</t>
        </is>
      </c>
      <c r="C5915" t="n">
        <v>3075</v>
      </c>
      <c r="D5915" s="6" t="n">
        <v>15.9</v>
      </c>
      <c r="E5915" t="n">
        <v>43022</v>
      </c>
      <c r="F5915" s="6" t="n">
        <v>15.9</v>
      </c>
      <c r="G5915" t="n">
        <v>1</v>
      </c>
      <c r="H5915" s="6">
        <f>ROUND(G5915*F5915,2)</f>
        <v/>
      </c>
      <c r="I5915">
        <f>IF(ROUND(H5915-D5915,2)=0,1,0)</f>
        <v/>
      </c>
      <c r="J5915">
        <f>IF(F5915="","none",IF(G5915=1,"carte","multiple"))</f>
        <v/>
      </c>
    </row>
    <row r="5916">
      <c r="A5916" t="inlineStr">
        <is>
          <t>2022-10-12</t>
        </is>
      </c>
      <c r="B5916" t="inlineStr">
        <is>
          <t>12:54</t>
        </is>
      </c>
      <c r="C5916" t="n">
        <v>3075</v>
      </c>
      <c r="D5916" s="6" t="n">
        <v>4.4</v>
      </c>
      <c r="E5916" t="n">
        <v>43023</v>
      </c>
      <c r="F5916" s="6" t="n">
        <v>0.4</v>
      </c>
      <c r="G5916" t="n">
        <v>11</v>
      </c>
      <c r="H5916" s="6">
        <f>ROUND(G5916*F5916,2)</f>
        <v/>
      </c>
      <c r="I5916">
        <f>IF(ROUND(H5916-D5916,2)=0,1,0)</f>
        <v/>
      </c>
      <c r="J5916">
        <f>IF(F5916="","none",IF(G5916=1,"carte","multiple"))</f>
        <v/>
      </c>
    </row>
    <row r="5917">
      <c r="A5917" t="inlineStr">
        <is>
          <t>2022-10-12</t>
        </is>
      </c>
      <c r="B5917" t="inlineStr">
        <is>
          <t>12:54</t>
        </is>
      </c>
      <c r="C5917" t="n">
        <v>3075</v>
      </c>
      <c r="D5917" s="6" t="n">
        <v>3.9</v>
      </c>
      <c r="E5917" t="n">
        <v>43024</v>
      </c>
      <c r="F5917" s="6" t="n">
        <v>3.9</v>
      </c>
      <c r="G5917" t="n">
        <v>1</v>
      </c>
      <c r="H5917" s="6">
        <f>ROUND(G5917*F5917,2)</f>
        <v/>
      </c>
      <c r="I5917">
        <f>IF(ROUND(H5917-D5917,2)=0,1,0)</f>
        <v/>
      </c>
      <c r="J5917">
        <f>IF(F5917="","none",IF(G5917=1,"carte","multiple"))</f>
        <v/>
      </c>
    </row>
    <row r="5918">
      <c r="A5918" t="inlineStr">
        <is>
          <t>2022-10-12</t>
        </is>
      </c>
      <c r="B5918" t="inlineStr">
        <is>
          <t>12:54</t>
        </is>
      </c>
      <c r="C5918" t="n">
        <v>3075</v>
      </c>
      <c r="D5918" s="6" t="n">
        <v>31.8</v>
      </c>
      <c r="E5918" t="n">
        <v>43025</v>
      </c>
      <c r="F5918" s="6" t="n">
        <v>31.8</v>
      </c>
      <c r="G5918" t="n">
        <v>1</v>
      </c>
      <c r="H5918" s="6">
        <f>ROUND(G5918*F5918,2)</f>
        <v/>
      </c>
      <c r="I5918">
        <f>IF(ROUND(H5918-D5918,2)=0,1,0)</f>
        <v/>
      </c>
      <c r="J5918">
        <f>IF(F5918="","none",IF(G5918=1,"carte","multiple"))</f>
        <v/>
      </c>
    </row>
    <row r="5919">
      <c r="A5919" t="inlineStr">
        <is>
          <t>2022-10-12</t>
        </is>
      </c>
      <c r="B5919" t="inlineStr">
        <is>
          <t>13:31</t>
        </is>
      </c>
      <c r="C5919" t="n">
        <v>3075</v>
      </c>
      <c r="D5919" s="6" t="n">
        <v>6.6</v>
      </c>
      <c r="E5919" t="n">
        <v>43026</v>
      </c>
      <c r="F5919" s="6" t="n">
        <v>6.6</v>
      </c>
      <c r="G5919" t="n">
        <v>1</v>
      </c>
      <c r="H5919" s="6">
        <f>ROUND(G5919*F5919,2)</f>
        <v/>
      </c>
      <c r="I5919">
        <f>IF(ROUND(H5919-D5919,2)=0,1,0)</f>
        <v/>
      </c>
      <c r="J5919">
        <f>IF(F5919="","none",IF(G5919=1,"carte","multiple"))</f>
        <v/>
      </c>
    </row>
    <row r="5920">
      <c r="A5920" t="inlineStr">
        <is>
          <t>2022-10-12</t>
        </is>
      </c>
      <c r="B5920" t="inlineStr">
        <is>
          <t>13:31</t>
        </is>
      </c>
      <c r="C5920" t="n">
        <v>3075</v>
      </c>
      <c r="D5920" s="6" t="n">
        <v>5.2</v>
      </c>
      <c r="E5920" t="n">
        <v>43027</v>
      </c>
      <c r="F5920" s="6" t="n">
        <v>5.2</v>
      </c>
      <c r="G5920" t="n">
        <v>1</v>
      </c>
      <c r="H5920" s="6">
        <f>ROUND(G5920*F5920,2)</f>
        <v/>
      </c>
      <c r="I5920">
        <f>IF(ROUND(H5920-D5920,2)=0,1,0)</f>
        <v/>
      </c>
      <c r="J5920">
        <f>IF(F5920="","none",IF(G5920=1,"carte","multiple"))</f>
        <v/>
      </c>
    </row>
    <row r="5921">
      <c r="A5921" t="inlineStr">
        <is>
          <t>2022-10-12</t>
        </is>
      </c>
      <c r="B5921" t="inlineStr">
        <is>
          <t>13:31</t>
        </is>
      </c>
      <c r="C5921" t="n">
        <v>3075</v>
      </c>
      <c r="D5921" s="6" t="n">
        <v>5.2</v>
      </c>
      <c r="E5921" t="n">
        <v>43028</v>
      </c>
      <c r="F5921" s="6" t="n">
        <v>5.2</v>
      </c>
      <c r="G5921" t="n">
        <v>1</v>
      </c>
      <c r="H5921" s="6">
        <f>ROUND(G5921*F5921,2)</f>
        <v/>
      </c>
      <c r="I5921">
        <f>IF(ROUND(H5921-D5921,2)=0,1,0)</f>
        <v/>
      </c>
      <c r="J5921">
        <f>IF(F5921="","none",IF(G5921=1,"carte","multiple"))</f>
        <v/>
      </c>
    </row>
    <row r="5922">
      <c r="A5922" t="inlineStr">
        <is>
          <t>2022-10-12</t>
        </is>
      </c>
      <c r="B5922" t="inlineStr">
        <is>
          <t>13:31</t>
        </is>
      </c>
      <c r="C5922" t="n">
        <v>3075</v>
      </c>
      <c r="D5922" s="6" t="n">
        <v>5.2</v>
      </c>
      <c r="E5922" t="n">
        <v>43029</v>
      </c>
      <c r="F5922" s="6" t="n">
        <v>5.2</v>
      </c>
      <c r="G5922" t="n">
        <v>1</v>
      </c>
      <c r="H5922" s="6">
        <f>ROUND(G5922*F5922,2)</f>
        <v/>
      </c>
      <c r="I5922">
        <f>IF(ROUND(H5922-D5922,2)=0,1,0)</f>
        <v/>
      </c>
      <c r="J5922">
        <f>IF(F5922="","none",IF(G5922=1,"carte","multiple"))</f>
        <v/>
      </c>
    </row>
    <row r="5923">
      <c r="A5923" t="inlineStr">
        <is>
          <t>2022-10-12</t>
        </is>
      </c>
      <c r="B5923" t="inlineStr">
        <is>
          <t>13:31</t>
        </is>
      </c>
      <c r="C5923" t="n">
        <v>3075</v>
      </c>
      <c r="D5923" s="6" t="n">
        <v>5.2</v>
      </c>
      <c r="E5923" t="n">
        <v>43030</v>
      </c>
      <c r="F5923" s="6" t="n">
        <v>5.2</v>
      </c>
      <c r="G5923" t="n">
        <v>1</v>
      </c>
      <c r="H5923" s="6">
        <f>ROUND(G5923*F5923,2)</f>
        <v/>
      </c>
      <c r="I5923">
        <f>IF(ROUND(H5923-D5923,2)=0,1,0)</f>
        <v/>
      </c>
      <c r="J5923">
        <f>IF(F5923="","none",IF(G5923=1,"carte","multiple"))</f>
        <v/>
      </c>
    </row>
    <row r="5924">
      <c r="A5924" t="inlineStr">
        <is>
          <t>2022-10-12</t>
        </is>
      </c>
      <c r="B5924" t="inlineStr">
        <is>
          <t>13:31</t>
        </is>
      </c>
      <c r="C5924" t="n">
        <v>3075</v>
      </c>
      <c r="D5924" s="6" t="n">
        <v>17</v>
      </c>
      <c r="E5924" t="n">
        <v>43031</v>
      </c>
      <c r="F5924" s="6" t="n">
        <v>17</v>
      </c>
      <c r="G5924" t="n">
        <v>1</v>
      </c>
      <c r="H5924" s="6">
        <f>ROUND(G5924*F5924,2)</f>
        <v/>
      </c>
      <c r="I5924">
        <f>IF(ROUND(H5924-D5924,2)=0,1,0)</f>
        <v/>
      </c>
      <c r="J5924">
        <f>IF(F5924="","none",IF(G5924=1,"carte","multiple"))</f>
        <v/>
      </c>
    </row>
    <row r="5925">
      <c r="A5925" t="inlineStr">
        <is>
          <t>2022-10-12</t>
        </is>
      </c>
      <c r="B5925" t="inlineStr">
        <is>
          <t>13:31</t>
        </is>
      </c>
      <c r="C5925" t="n">
        <v>3075</v>
      </c>
      <c r="D5925" s="6" t="n">
        <v>6.9</v>
      </c>
      <c r="E5925" t="n">
        <v>43032</v>
      </c>
      <c r="F5925" s="6" t="n">
        <v>6.9</v>
      </c>
      <c r="G5925" t="n">
        <v>1</v>
      </c>
      <c r="H5925" s="6">
        <f>ROUND(G5925*F5925,2)</f>
        <v/>
      </c>
      <c r="I5925">
        <f>IF(ROUND(H5925-D5925,2)=0,1,0)</f>
        <v/>
      </c>
      <c r="J5925">
        <f>IF(F5925="","none",IF(G5925=1,"carte","multiple"))</f>
        <v/>
      </c>
    </row>
    <row r="5926">
      <c r="A5926" t="inlineStr">
        <is>
          <t>2022-10-12</t>
        </is>
      </c>
      <c r="B5926" t="inlineStr">
        <is>
          <t>13:31</t>
        </is>
      </c>
      <c r="C5926" t="n">
        <v>3075</v>
      </c>
      <c r="D5926" s="6" t="n">
        <v>39.5</v>
      </c>
      <c r="E5926" t="n">
        <v>43033</v>
      </c>
      <c r="F5926" s="6" t="n">
        <v>39.5</v>
      </c>
      <c r="G5926" t="n">
        <v>1</v>
      </c>
      <c r="H5926" s="6">
        <f>ROUND(G5926*F5926,2)</f>
        <v/>
      </c>
      <c r="I5926">
        <f>IF(ROUND(H5926-D5926,2)=0,1,0)</f>
        <v/>
      </c>
      <c r="J5926">
        <f>IF(F5926="","none",IF(G5926=1,"carte","multiple"))</f>
        <v/>
      </c>
    </row>
    <row r="5927">
      <c r="A5927" t="inlineStr">
        <is>
          <t>2022-10-12</t>
        </is>
      </c>
      <c r="B5927" t="inlineStr">
        <is>
          <t>13:31</t>
        </is>
      </c>
      <c r="C5927" t="n">
        <v>3075</v>
      </c>
      <c r="D5927" s="6" t="n">
        <v>4.5</v>
      </c>
      <c r="E5927" t="n">
        <v>43034</v>
      </c>
      <c r="F5927" s="6" t="n">
        <v>4.5</v>
      </c>
      <c r="G5927" t="n">
        <v>1</v>
      </c>
      <c r="H5927" s="6">
        <f>ROUND(G5927*F5927,2)</f>
        <v/>
      </c>
      <c r="I5927">
        <f>IF(ROUND(H5927-D5927,2)=0,1,0)</f>
        <v/>
      </c>
      <c r="J5927">
        <f>IF(F5927="","none",IF(G5927=1,"carte","multiple"))</f>
        <v/>
      </c>
    </row>
    <row r="5928">
      <c r="A5928" t="inlineStr">
        <is>
          <t>2022-10-12</t>
        </is>
      </c>
      <c r="B5928" t="inlineStr">
        <is>
          <t>13:31</t>
        </is>
      </c>
      <c r="C5928" t="n">
        <v>3075</v>
      </c>
      <c r="D5928" s="6" t="n">
        <v>7.8</v>
      </c>
      <c r="E5928" t="n">
        <v>43035</v>
      </c>
      <c r="F5928" s="6" t="n">
        <v>7.8</v>
      </c>
      <c r="G5928" t="n">
        <v>1</v>
      </c>
      <c r="H5928" s="6">
        <f>ROUND(G5928*F5928,2)</f>
        <v/>
      </c>
      <c r="I5928">
        <f>IF(ROUND(H5928-D5928,2)=0,1,0)</f>
        <v/>
      </c>
      <c r="J5928">
        <f>IF(F5928="","none",IF(G5928=1,"carte","multiple"))</f>
        <v/>
      </c>
    </row>
    <row r="5929">
      <c r="A5929" t="inlineStr">
        <is>
          <t>2022-10-12</t>
        </is>
      </c>
      <c r="B5929" t="inlineStr">
        <is>
          <t>13:31</t>
        </is>
      </c>
      <c r="C5929" t="n">
        <v>3075</v>
      </c>
      <c r="D5929" s="6" t="n">
        <v>8.9</v>
      </c>
      <c r="E5929" t="n">
        <v>43036</v>
      </c>
      <c r="F5929" s="6" t="n">
        <v>8.9</v>
      </c>
      <c r="G5929" t="n">
        <v>1</v>
      </c>
      <c r="H5929" s="6">
        <f>ROUND(G5929*F5929,2)</f>
        <v/>
      </c>
      <c r="I5929">
        <f>IF(ROUND(H5929-D5929,2)=0,1,0)</f>
        <v/>
      </c>
      <c r="J5929">
        <f>IF(F5929="","none",IF(G5929=1,"carte","multiple"))</f>
        <v/>
      </c>
    </row>
    <row r="5930">
      <c r="A5930" t="inlineStr">
        <is>
          <t>2022-10-12</t>
        </is>
      </c>
      <c r="B5930" t="inlineStr">
        <is>
          <t>13:31</t>
        </is>
      </c>
      <c r="C5930" t="n">
        <v>3075</v>
      </c>
      <c r="D5930" s="6" t="n">
        <v>17.6</v>
      </c>
      <c r="E5930" t="n">
        <v>43037</v>
      </c>
      <c r="F5930" s="6" t="n">
        <v>17.6</v>
      </c>
      <c r="G5930" t="n">
        <v>1</v>
      </c>
      <c r="H5930" s="6">
        <f>ROUND(G5930*F5930,2)</f>
        <v/>
      </c>
      <c r="I5930">
        <f>IF(ROUND(H5930-D5930,2)=0,1,0)</f>
        <v/>
      </c>
      <c r="J5930">
        <f>IF(F5930="","none",IF(G5930=1,"carte","multiple"))</f>
        <v/>
      </c>
    </row>
    <row r="5931">
      <c r="A5931" t="inlineStr">
        <is>
          <t>2022-10-12</t>
        </is>
      </c>
      <c r="B5931" t="inlineStr">
        <is>
          <t>13:31</t>
        </is>
      </c>
      <c r="C5931" t="n">
        <v>3075</v>
      </c>
      <c r="D5931" s="6" t="n">
        <v>35.2</v>
      </c>
      <c r="E5931" t="n">
        <v>43038</v>
      </c>
      <c r="F5931" s="6" t="n">
        <v>0.4</v>
      </c>
      <c r="G5931" t="n">
        <v>88</v>
      </c>
      <c r="H5931" s="6">
        <f>ROUND(G5931*F5931,2)</f>
        <v/>
      </c>
      <c r="I5931">
        <f>IF(ROUND(H5931-D5931,2)=0,1,0)</f>
        <v/>
      </c>
      <c r="J5931">
        <f>IF(F5931="","none",IF(G5931=1,"carte","multiple"))</f>
        <v/>
      </c>
    </row>
    <row r="5932">
      <c r="A5932" t="inlineStr">
        <is>
          <t>2022-10-12</t>
        </is>
      </c>
      <c r="B5932" t="inlineStr">
        <is>
          <t>18:00</t>
        </is>
      </c>
      <c r="C5932" t="n">
        <v>3075</v>
      </c>
      <c r="D5932" s="6" t="n">
        <v>4.2</v>
      </c>
      <c r="E5932" t="n">
        <v>43044</v>
      </c>
      <c r="F5932" s="6" t="n">
        <v>4.2</v>
      </c>
      <c r="G5932" t="n">
        <v>1</v>
      </c>
      <c r="H5932" s="6">
        <f>ROUND(G5932*F5932,2)</f>
        <v/>
      </c>
      <c r="I5932">
        <f>IF(ROUND(H5932-D5932,2)=0,1,0)</f>
        <v/>
      </c>
      <c r="J5932">
        <f>IF(F5932="","none",IF(G5932=1,"carte","multiple"))</f>
        <v/>
      </c>
    </row>
    <row r="5933">
      <c r="A5933" t="inlineStr">
        <is>
          <t>2022-10-12</t>
        </is>
      </c>
      <c r="B5933" t="inlineStr">
        <is>
          <t>18:14</t>
        </is>
      </c>
      <c r="C5933" t="n">
        <v>3075</v>
      </c>
      <c r="D5933" s="6" t="n">
        <v>15.8</v>
      </c>
      <c r="E5933" t="n">
        <v>43045</v>
      </c>
      <c r="F5933" s="6" t="n">
        <v>7.9</v>
      </c>
      <c r="G5933" t="n">
        <v>2</v>
      </c>
      <c r="H5933" s="6">
        <f>ROUND(G5933*F5933,2)</f>
        <v/>
      </c>
      <c r="I5933">
        <f>IF(ROUND(H5933-D5933,2)=0,1,0)</f>
        <v/>
      </c>
      <c r="J5933">
        <f>IF(F5933="","none",IF(G5933=1,"carte","multiple"))</f>
        <v/>
      </c>
    </row>
    <row r="5934">
      <c r="A5934" t="inlineStr">
        <is>
          <t>2022-10-12</t>
        </is>
      </c>
      <c r="B5934" t="inlineStr">
        <is>
          <t>18:14</t>
        </is>
      </c>
      <c r="C5934" t="n">
        <v>3075</v>
      </c>
      <c r="D5934" s="6" t="n">
        <v>28.6</v>
      </c>
      <c r="E5934" t="n">
        <v>43046</v>
      </c>
      <c r="F5934" s="6" t="n">
        <v>28.6</v>
      </c>
      <c r="G5934" t="n">
        <v>1</v>
      </c>
      <c r="H5934" s="6">
        <f>ROUND(G5934*F5934,2)</f>
        <v/>
      </c>
      <c r="I5934">
        <f>IF(ROUND(H5934-D5934,2)=0,1,0)</f>
        <v/>
      </c>
      <c r="J5934">
        <f>IF(F5934="","none",IF(G5934=1,"carte","multiple"))</f>
        <v/>
      </c>
    </row>
    <row r="5935">
      <c r="A5935" t="inlineStr">
        <is>
          <t>2022-10-12</t>
        </is>
      </c>
      <c r="B5935" t="inlineStr">
        <is>
          <t>18:14</t>
        </is>
      </c>
      <c r="C5935" t="n">
        <v>3075</v>
      </c>
      <c r="D5935" s="6" t="n">
        <v>18.6</v>
      </c>
      <c r="E5935" t="n">
        <v>43047</v>
      </c>
      <c r="F5935" s="6" t="n">
        <v>18.6</v>
      </c>
      <c r="G5935" t="n">
        <v>1</v>
      </c>
      <c r="H5935" s="6">
        <f>ROUND(G5935*F5935,2)</f>
        <v/>
      </c>
      <c r="I5935">
        <f>IF(ROUND(H5935-D5935,2)=0,1,0)</f>
        <v/>
      </c>
      <c r="J5935">
        <f>IF(F5935="","none",IF(G5935=1,"carte","multiple"))</f>
        <v/>
      </c>
    </row>
    <row r="5936">
      <c r="A5936" t="inlineStr">
        <is>
          <t>2022-10-12</t>
        </is>
      </c>
      <c r="B5936" t="inlineStr">
        <is>
          <t>18:14</t>
        </is>
      </c>
      <c r="C5936" t="n">
        <v>3075</v>
      </c>
      <c r="D5936" s="6" t="n">
        <v>3.9</v>
      </c>
      <c r="E5936" t="n">
        <v>43048</v>
      </c>
      <c r="F5936" s="6" t="n">
        <v>3.9</v>
      </c>
      <c r="G5936" t="n">
        <v>1</v>
      </c>
      <c r="H5936" s="6">
        <f>ROUND(G5936*F5936,2)</f>
        <v/>
      </c>
      <c r="I5936">
        <f>IF(ROUND(H5936-D5936,2)=0,1,0)</f>
        <v/>
      </c>
      <c r="J5936">
        <f>IF(F5936="","none",IF(G5936=1,"carte","multiple"))</f>
        <v/>
      </c>
    </row>
    <row r="5937">
      <c r="A5937" t="inlineStr">
        <is>
          <t>2022-10-12</t>
        </is>
      </c>
      <c r="B5937" t="inlineStr">
        <is>
          <t>18:14</t>
        </is>
      </c>
      <c r="C5937" t="n">
        <v>3075</v>
      </c>
      <c r="D5937" s="6" t="n">
        <v>7.9</v>
      </c>
      <c r="E5937" t="n">
        <v>43049</v>
      </c>
      <c r="F5937" s="6" t="n">
        <v>7.9</v>
      </c>
      <c r="G5937" t="n">
        <v>1</v>
      </c>
      <c r="H5937" s="6">
        <f>ROUND(G5937*F5937,2)</f>
        <v/>
      </c>
      <c r="I5937">
        <f>IF(ROUND(H5937-D5937,2)=0,1,0)</f>
        <v/>
      </c>
      <c r="J5937">
        <f>IF(F5937="","none",IF(G5937=1,"carte","multiple"))</f>
        <v/>
      </c>
    </row>
    <row r="5938">
      <c r="A5938" t="inlineStr">
        <is>
          <t>2022-10-12</t>
        </is>
      </c>
      <c r="B5938" t="inlineStr">
        <is>
          <t>19:55</t>
        </is>
      </c>
      <c r="C5938" t="n">
        <v>3075</v>
      </c>
      <c r="D5938" s="6" t="n">
        <v>7.9</v>
      </c>
      <c r="E5938" t="n">
        <v>43050</v>
      </c>
      <c r="F5938" s="6" t="n">
        <v>7.9</v>
      </c>
      <c r="G5938" t="n">
        <v>1</v>
      </c>
      <c r="H5938" s="6">
        <f>ROUND(G5938*F5938,2)</f>
        <v/>
      </c>
      <c r="I5938">
        <f>IF(ROUND(H5938-D5938,2)=0,1,0)</f>
        <v/>
      </c>
      <c r="J5938">
        <f>IF(F5938="","none",IF(G5938=1,"carte","multiple"))</f>
        <v/>
      </c>
    </row>
    <row r="5939">
      <c r="A5939" t="inlineStr">
        <is>
          <t>2022-10-12</t>
        </is>
      </c>
      <c r="B5939" t="inlineStr">
        <is>
          <t>19:55</t>
        </is>
      </c>
      <c r="C5939" t="n">
        <v>3075</v>
      </c>
      <c r="D5939" s="6" t="n">
        <v>9.9</v>
      </c>
      <c r="E5939" t="n">
        <v>43051</v>
      </c>
      <c r="F5939" s="6" t="n">
        <v>9.9</v>
      </c>
      <c r="G5939" t="n">
        <v>1</v>
      </c>
      <c r="H5939" s="6">
        <f>ROUND(G5939*F5939,2)</f>
        <v/>
      </c>
      <c r="I5939">
        <f>IF(ROUND(H5939-D5939,2)=0,1,0)</f>
        <v/>
      </c>
      <c r="J5939">
        <f>IF(F5939="","none",IF(G5939=1,"carte","multiple"))</f>
        <v/>
      </c>
    </row>
    <row r="5940">
      <c r="A5940" t="inlineStr">
        <is>
          <t>2022-10-12</t>
        </is>
      </c>
      <c r="B5940" t="inlineStr">
        <is>
          <t>19:55</t>
        </is>
      </c>
      <c r="C5940" t="n">
        <v>3075</v>
      </c>
      <c r="D5940" s="6" t="n">
        <v>16.9</v>
      </c>
      <c r="E5940" t="n">
        <v>43052</v>
      </c>
      <c r="F5940" s="6" t="n">
        <v>16.9</v>
      </c>
      <c r="G5940" t="n">
        <v>1</v>
      </c>
      <c r="H5940" s="6">
        <f>ROUND(G5940*F5940,2)</f>
        <v/>
      </c>
      <c r="I5940">
        <f>IF(ROUND(H5940-D5940,2)=0,1,0)</f>
        <v/>
      </c>
      <c r="J5940">
        <f>IF(F5940="","none",IF(G5940=1,"carte","multiple"))</f>
        <v/>
      </c>
    </row>
    <row r="5941">
      <c r="A5941" t="inlineStr">
        <is>
          <t>2022-10-12</t>
        </is>
      </c>
      <c r="B5941" t="inlineStr">
        <is>
          <t>19:57</t>
        </is>
      </c>
      <c r="C5941" t="n">
        <v>3075</v>
      </c>
      <c r="D5941" s="6" t="n">
        <v>3.9</v>
      </c>
      <c r="E5941" t="n">
        <v>43053</v>
      </c>
      <c r="F5941" s="6" t="n">
        <v>3.9</v>
      </c>
      <c r="G5941" t="n">
        <v>1</v>
      </c>
      <c r="H5941" s="6">
        <f>ROUND(G5941*F5941,2)</f>
        <v/>
      </c>
      <c r="I5941">
        <f>IF(ROUND(H5941-D5941,2)=0,1,0)</f>
        <v/>
      </c>
      <c r="J5941">
        <f>IF(F5941="","none",IF(G5941=1,"carte","multiple"))</f>
        <v/>
      </c>
    </row>
    <row r="5942">
      <c r="A5942" t="inlineStr">
        <is>
          <t>2022-10-12</t>
        </is>
      </c>
      <c r="B5942" t="inlineStr">
        <is>
          <t>19:57</t>
        </is>
      </c>
      <c r="C5942" t="n">
        <v>3075</v>
      </c>
      <c r="D5942" s="6" t="n">
        <v>8.9</v>
      </c>
      <c r="E5942" t="n">
        <v>43054</v>
      </c>
      <c r="F5942" s="6" t="n">
        <v>8.9</v>
      </c>
      <c r="G5942" t="n">
        <v>1</v>
      </c>
      <c r="H5942" s="6">
        <f>ROUND(G5942*F5942,2)</f>
        <v/>
      </c>
      <c r="I5942">
        <f>IF(ROUND(H5942-D5942,2)=0,1,0)</f>
        <v/>
      </c>
      <c r="J5942">
        <f>IF(F5942="","none",IF(G5942=1,"carte","multiple"))</f>
        <v/>
      </c>
    </row>
    <row r="5943">
      <c r="A5943" t="inlineStr">
        <is>
          <t>2022-10-12</t>
        </is>
      </c>
      <c r="B5943" t="inlineStr">
        <is>
          <t>19:57</t>
        </is>
      </c>
      <c r="C5943" t="n">
        <v>3075</v>
      </c>
      <c r="D5943" s="6" t="n">
        <v>43.8</v>
      </c>
      <c r="E5943" t="n">
        <v>43055</v>
      </c>
      <c r="F5943" s="6" t="n">
        <v>43.8</v>
      </c>
      <c r="G5943" t="n">
        <v>1</v>
      </c>
      <c r="H5943" s="6">
        <f>ROUND(G5943*F5943,2)</f>
        <v/>
      </c>
      <c r="I5943">
        <f>IF(ROUND(H5943-D5943,2)=0,1,0)</f>
        <v/>
      </c>
      <c r="J5943">
        <f>IF(F5943="","none",IF(G5943=1,"carte","multiple"))</f>
        <v/>
      </c>
    </row>
    <row r="5944">
      <c r="A5944" t="inlineStr">
        <is>
          <t>2022-10-12</t>
        </is>
      </c>
      <c r="B5944" t="inlineStr">
        <is>
          <t>19:57</t>
        </is>
      </c>
      <c r="C5944" t="n">
        <v>3075</v>
      </c>
      <c r="D5944" s="6" t="n">
        <v>5.9</v>
      </c>
      <c r="E5944" t="n">
        <v>43056</v>
      </c>
      <c r="F5944" s="6" t="n">
        <v>5.9</v>
      </c>
      <c r="G5944" t="n">
        <v>1</v>
      </c>
      <c r="H5944" s="6">
        <f>ROUND(G5944*F5944,2)</f>
        <v/>
      </c>
      <c r="I5944">
        <f>IF(ROUND(H5944-D5944,2)=0,1,0)</f>
        <v/>
      </c>
      <c r="J5944">
        <f>IF(F5944="","none",IF(G5944=1,"carte","multiple"))</f>
        <v/>
      </c>
    </row>
    <row r="5945">
      <c r="A5945" t="inlineStr">
        <is>
          <t>2022-10-12</t>
        </is>
      </c>
      <c r="B5945" t="inlineStr">
        <is>
          <t>19:57</t>
        </is>
      </c>
      <c r="C5945" t="n">
        <v>3075</v>
      </c>
      <c r="D5945" s="6" t="n">
        <v>7.8</v>
      </c>
      <c r="E5945" t="n">
        <v>43057</v>
      </c>
      <c r="F5945" s="6" t="n">
        <v>7.8</v>
      </c>
      <c r="G5945" t="n">
        <v>1</v>
      </c>
      <c r="H5945" s="6">
        <f>ROUND(G5945*F5945,2)</f>
        <v/>
      </c>
      <c r="I5945">
        <f>IF(ROUND(H5945-D5945,2)=0,1,0)</f>
        <v/>
      </c>
      <c r="J5945">
        <f>IF(F5945="","none",IF(G5945=1,"carte","multiple"))</f>
        <v/>
      </c>
    </row>
    <row r="5946">
      <c r="A5946" t="inlineStr">
        <is>
          <t>2022-10-12</t>
        </is>
      </c>
      <c r="B5946" t="inlineStr">
        <is>
          <t>19:59</t>
        </is>
      </c>
      <c r="C5946" t="n">
        <v>3075</v>
      </c>
      <c r="D5946" s="6" t="n">
        <v>21.6</v>
      </c>
      <c r="E5946" t="n">
        <v>43058</v>
      </c>
      <c r="F5946" s="6" t="n">
        <v>21.6</v>
      </c>
      <c r="G5946" t="n">
        <v>1</v>
      </c>
      <c r="H5946" s="6">
        <f>ROUND(G5946*F5946,2)</f>
        <v/>
      </c>
      <c r="I5946">
        <f>IF(ROUND(H5946-D5946,2)=0,1,0)</f>
        <v/>
      </c>
      <c r="J5946">
        <f>IF(F5946="","none",IF(G5946=1,"carte","multiple"))</f>
        <v/>
      </c>
    </row>
    <row r="5947">
      <c r="A5947" t="inlineStr">
        <is>
          <t>2022-10-12</t>
        </is>
      </c>
      <c r="B5947" t="inlineStr">
        <is>
          <t>19:59</t>
        </is>
      </c>
      <c r="C5947" t="n">
        <v>3075</v>
      </c>
      <c r="D5947" s="6" t="n">
        <v>7.9</v>
      </c>
      <c r="E5947" t="n">
        <v>43059</v>
      </c>
      <c r="F5947" s="6" t="n">
        <v>7.9</v>
      </c>
      <c r="G5947" t="n">
        <v>1</v>
      </c>
      <c r="H5947" s="6">
        <f>ROUND(G5947*F5947,2)</f>
        <v/>
      </c>
      <c r="I5947">
        <f>IF(ROUND(H5947-D5947,2)=0,1,0)</f>
        <v/>
      </c>
      <c r="J5947">
        <f>IF(F5947="","none",IF(G5947=1,"carte","multiple"))</f>
        <v/>
      </c>
    </row>
    <row r="5948">
      <c r="A5948" t="inlineStr">
        <is>
          <t>2022-10-12</t>
        </is>
      </c>
      <c r="B5948" t="inlineStr">
        <is>
          <t>19:59</t>
        </is>
      </c>
      <c r="C5948" t="n">
        <v>3075</v>
      </c>
      <c r="D5948" s="6" t="n">
        <v>7.9</v>
      </c>
      <c r="E5948" t="n">
        <v>43060</v>
      </c>
      <c r="F5948" s="6" t="n">
        <v>7.9</v>
      </c>
      <c r="G5948" t="n">
        <v>1</v>
      </c>
      <c r="H5948" s="6">
        <f>ROUND(G5948*F5948,2)</f>
        <v/>
      </c>
      <c r="I5948">
        <f>IF(ROUND(H5948-D5948,2)=0,1,0)</f>
        <v/>
      </c>
      <c r="J5948">
        <f>IF(F5948="","none",IF(G5948=1,"carte","multiple"))</f>
        <v/>
      </c>
    </row>
    <row r="5949">
      <c r="A5949" t="inlineStr">
        <is>
          <t>2022-10-12</t>
        </is>
      </c>
      <c r="B5949" t="inlineStr">
        <is>
          <t>19:59</t>
        </is>
      </c>
      <c r="C5949" t="n">
        <v>3075</v>
      </c>
      <c r="D5949" s="6" t="n">
        <v>19.9</v>
      </c>
      <c r="E5949" t="n">
        <v>43061</v>
      </c>
      <c r="F5949" s="6" t="n">
        <v>19.9</v>
      </c>
      <c r="G5949" t="n">
        <v>1</v>
      </c>
      <c r="H5949" s="6">
        <f>ROUND(G5949*F5949,2)</f>
        <v/>
      </c>
      <c r="I5949">
        <f>IF(ROUND(H5949-D5949,2)=0,1,0)</f>
        <v/>
      </c>
      <c r="J5949">
        <f>IF(F5949="","none",IF(G5949=1,"carte","multiple"))</f>
        <v/>
      </c>
    </row>
    <row r="5950">
      <c r="A5950" t="inlineStr">
        <is>
          <t>2022-10-12</t>
        </is>
      </c>
      <c r="B5950" t="inlineStr">
        <is>
          <t>19:59</t>
        </is>
      </c>
      <c r="C5950" t="n">
        <v>3075</v>
      </c>
      <c r="D5950" s="6" t="n">
        <v>19.9</v>
      </c>
      <c r="E5950" t="n">
        <v>43062</v>
      </c>
      <c r="F5950" s="6" t="n">
        <v>19.9</v>
      </c>
      <c r="G5950" t="n">
        <v>1</v>
      </c>
      <c r="H5950" s="6">
        <f>ROUND(G5950*F5950,2)</f>
        <v/>
      </c>
      <c r="I5950">
        <f>IF(ROUND(H5950-D5950,2)=0,1,0)</f>
        <v/>
      </c>
      <c r="J5950">
        <f>IF(F5950="","none",IF(G5950=1,"carte","multiple"))</f>
        <v/>
      </c>
    </row>
    <row r="5951">
      <c r="A5951" t="inlineStr">
        <is>
          <t>2022-10-12</t>
        </is>
      </c>
      <c r="B5951" t="inlineStr">
        <is>
          <t>20:02</t>
        </is>
      </c>
      <c r="C5951" t="n">
        <v>3075</v>
      </c>
      <c r="D5951" s="6" t="n">
        <v>38</v>
      </c>
      <c r="E5951" t="n">
        <v>43063</v>
      </c>
      <c r="F5951" s="6" t="n">
        <v>0.4</v>
      </c>
      <c r="G5951" t="n">
        <v>95</v>
      </c>
      <c r="H5951" s="6">
        <f>ROUND(G5951*F5951,2)</f>
        <v/>
      </c>
      <c r="I5951">
        <f>IF(ROUND(H5951-D5951,2)=0,1,0)</f>
        <v/>
      </c>
      <c r="J5951">
        <f>IF(F5951="","none",IF(G5951=1,"carte","multiple"))</f>
        <v/>
      </c>
    </row>
    <row r="5952">
      <c r="A5952" t="inlineStr">
        <is>
          <t>2022-10-12</t>
        </is>
      </c>
      <c r="B5952" t="inlineStr">
        <is>
          <t>20:02</t>
        </is>
      </c>
      <c r="C5952" t="n">
        <v>3075</v>
      </c>
      <c r="D5952" s="6" t="n">
        <v>5.8</v>
      </c>
      <c r="E5952" t="n">
        <v>43064</v>
      </c>
      <c r="F5952" s="6" t="n">
        <v>5.8</v>
      </c>
      <c r="G5952" t="n">
        <v>1</v>
      </c>
      <c r="H5952" s="6">
        <f>ROUND(G5952*F5952,2)</f>
        <v/>
      </c>
      <c r="I5952">
        <f>IF(ROUND(H5952-D5952,2)=0,1,0)</f>
        <v/>
      </c>
      <c r="J5952">
        <f>IF(F5952="","none",IF(G5952=1,"carte","multiple"))</f>
        <v/>
      </c>
    </row>
    <row r="5953">
      <c r="A5953" t="inlineStr">
        <is>
          <t>2022-10-12</t>
        </is>
      </c>
      <c r="B5953" t="inlineStr">
        <is>
          <t>20:02</t>
        </is>
      </c>
      <c r="C5953" t="n">
        <v>3075</v>
      </c>
      <c r="D5953" s="6" t="n">
        <v>7.9</v>
      </c>
      <c r="E5953" t="n">
        <v>43065</v>
      </c>
      <c r="F5953" s="6" t="n">
        <v>7.9</v>
      </c>
      <c r="G5953" t="n">
        <v>1</v>
      </c>
      <c r="H5953" s="6">
        <f>ROUND(G5953*F5953,2)</f>
        <v/>
      </c>
      <c r="I5953">
        <f>IF(ROUND(H5953-D5953,2)=0,1,0)</f>
        <v/>
      </c>
      <c r="J5953">
        <f>IF(F5953="","none",IF(G5953=1,"carte","multiple"))</f>
        <v/>
      </c>
    </row>
    <row r="5954">
      <c r="A5954" t="inlineStr">
        <is>
          <t>2022-10-13</t>
        </is>
      </c>
      <c r="B5954" t="inlineStr">
        <is>
          <t>11:51</t>
        </is>
      </c>
      <c r="C5954" t="n">
        <v>3076</v>
      </c>
      <c r="D5954" s="6" t="n">
        <v>2.4</v>
      </c>
      <c r="E5954" t="n">
        <v>43069</v>
      </c>
      <c r="F5954" s="6" t="n">
        <v>2.4</v>
      </c>
      <c r="G5954" t="n">
        <v>1</v>
      </c>
      <c r="H5954" s="6">
        <f>ROUND(G5954*F5954,2)</f>
        <v/>
      </c>
      <c r="I5954">
        <f>IF(ROUND(H5954-D5954,2)=0,1,0)</f>
        <v/>
      </c>
      <c r="J5954">
        <f>IF(F5954="","none",IF(G5954=1,"carte","multiple"))</f>
        <v/>
      </c>
    </row>
    <row r="5955">
      <c r="A5955" t="inlineStr">
        <is>
          <t>2022-10-13</t>
        </is>
      </c>
      <c r="B5955" t="inlineStr">
        <is>
          <t>11:51</t>
        </is>
      </c>
      <c r="C5955" t="n">
        <v>3076</v>
      </c>
      <c r="D5955" s="6" t="n">
        <v>2</v>
      </c>
      <c r="E5955" t="n">
        <v>43070</v>
      </c>
      <c r="F5955" s="6" t="n">
        <v>2</v>
      </c>
      <c r="G5955" t="n">
        <v>1</v>
      </c>
      <c r="H5955" s="6">
        <f>ROUND(G5955*F5955,2)</f>
        <v/>
      </c>
      <c r="I5955">
        <f>IF(ROUND(H5955-D5955,2)=0,1,0)</f>
        <v/>
      </c>
      <c r="J5955">
        <f>IF(F5955="","none",IF(G5955=1,"carte","multiple"))</f>
        <v/>
      </c>
    </row>
    <row r="5956">
      <c r="A5956" t="inlineStr">
        <is>
          <t>2022-10-13</t>
        </is>
      </c>
      <c r="B5956" t="inlineStr">
        <is>
          <t>11:51</t>
        </is>
      </c>
      <c r="C5956" t="n">
        <v>3076</v>
      </c>
      <c r="D5956" s="6" t="n">
        <v>18.6</v>
      </c>
      <c r="E5956" t="n">
        <v>43071</v>
      </c>
      <c r="F5956" s="6" t="n">
        <v>18.6</v>
      </c>
      <c r="G5956" t="n">
        <v>1</v>
      </c>
      <c r="H5956" s="6">
        <f>ROUND(G5956*F5956,2)</f>
        <v/>
      </c>
      <c r="I5956">
        <f>IF(ROUND(H5956-D5956,2)=0,1,0)</f>
        <v/>
      </c>
      <c r="J5956">
        <f>IF(F5956="","none",IF(G5956=1,"carte","multiple"))</f>
        <v/>
      </c>
    </row>
    <row r="5957">
      <c r="A5957" t="inlineStr">
        <is>
          <t>2022-10-13</t>
        </is>
      </c>
      <c r="B5957" t="inlineStr">
        <is>
          <t>11:51</t>
        </is>
      </c>
      <c r="C5957" t="n">
        <v>3076</v>
      </c>
      <c r="D5957" s="6" t="n">
        <v>18.6</v>
      </c>
      <c r="E5957" t="n">
        <v>43072</v>
      </c>
      <c r="F5957" s="6" t="n">
        <v>18.6</v>
      </c>
      <c r="G5957" t="n">
        <v>1</v>
      </c>
      <c r="H5957" s="6">
        <f>ROUND(G5957*F5957,2)</f>
        <v/>
      </c>
      <c r="I5957">
        <f>IF(ROUND(H5957-D5957,2)=0,1,0)</f>
        <v/>
      </c>
      <c r="J5957">
        <f>IF(F5957="","none",IF(G5957=1,"carte","multiple"))</f>
        <v/>
      </c>
    </row>
    <row r="5958">
      <c r="A5958" t="inlineStr">
        <is>
          <t>2022-10-13</t>
        </is>
      </c>
      <c r="B5958" t="inlineStr">
        <is>
          <t>11:51</t>
        </is>
      </c>
      <c r="C5958" t="n">
        <v>3076</v>
      </c>
      <c r="D5958" s="6" t="n">
        <v>0.9</v>
      </c>
      <c r="E5958" t="n">
        <v>43073</v>
      </c>
      <c r="F5958" s="6" t="n">
        <v>0.9</v>
      </c>
      <c r="G5958" t="n">
        <v>1</v>
      </c>
      <c r="H5958" s="6">
        <f>ROUND(G5958*F5958,2)</f>
        <v/>
      </c>
      <c r="I5958">
        <f>IF(ROUND(H5958-D5958,2)=0,1,0)</f>
        <v/>
      </c>
      <c r="J5958">
        <f>IF(F5958="","none",IF(G5958=1,"carte","multiple"))</f>
        <v/>
      </c>
    </row>
    <row r="5959">
      <c r="A5959" t="inlineStr">
        <is>
          <t>2022-10-13</t>
        </is>
      </c>
      <c r="B5959" t="inlineStr">
        <is>
          <t>11:51</t>
        </is>
      </c>
      <c r="C5959" t="n">
        <v>3076</v>
      </c>
      <c r="D5959" s="6" t="n">
        <v>3.9</v>
      </c>
      <c r="E5959" t="n">
        <v>43074</v>
      </c>
      <c r="F5959" s="6" t="n">
        <v>3.9</v>
      </c>
      <c r="G5959" t="n">
        <v>1</v>
      </c>
      <c r="H5959" s="6">
        <f>ROUND(G5959*F5959,2)</f>
        <v/>
      </c>
      <c r="I5959">
        <f>IF(ROUND(H5959-D5959,2)=0,1,0)</f>
        <v/>
      </c>
      <c r="J5959">
        <f>IF(F5959="","none",IF(G5959=1,"carte","multiple"))</f>
        <v/>
      </c>
    </row>
    <row r="5960">
      <c r="A5960" t="inlineStr">
        <is>
          <t>2022-10-13</t>
        </is>
      </c>
      <c r="B5960" t="inlineStr">
        <is>
          <t>11:51</t>
        </is>
      </c>
      <c r="C5960" t="n">
        <v>3076</v>
      </c>
      <c r="D5960" s="6" t="n">
        <v>13</v>
      </c>
      <c r="E5960" t="n">
        <v>43075</v>
      </c>
      <c r="F5960" s="6" t="n">
        <v>13</v>
      </c>
      <c r="G5960" t="n">
        <v>1</v>
      </c>
      <c r="H5960" s="6">
        <f>ROUND(G5960*F5960,2)</f>
        <v/>
      </c>
      <c r="I5960">
        <f>IF(ROUND(H5960-D5960,2)=0,1,0)</f>
        <v/>
      </c>
      <c r="J5960">
        <f>IF(F5960="","none",IF(G5960=1,"carte","multiple"))</f>
        <v/>
      </c>
    </row>
    <row r="5961">
      <c r="A5961" t="inlineStr">
        <is>
          <t>2022-10-13</t>
        </is>
      </c>
      <c r="B5961" t="inlineStr">
        <is>
          <t>12:21</t>
        </is>
      </c>
      <c r="C5961" t="n">
        <v>3076</v>
      </c>
      <c r="D5961" s="6" t="n">
        <v>16.9</v>
      </c>
      <c r="E5961" t="n">
        <v>43076</v>
      </c>
      <c r="F5961" s="6" t="n">
        <v>16.9</v>
      </c>
      <c r="G5961" t="n">
        <v>1</v>
      </c>
      <c r="H5961" s="6">
        <f>ROUND(G5961*F5961,2)</f>
        <v/>
      </c>
      <c r="I5961">
        <f>IF(ROUND(H5961-D5961,2)=0,1,0)</f>
        <v/>
      </c>
      <c r="J5961">
        <f>IF(F5961="","none",IF(G5961=1,"carte","multiple"))</f>
        <v/>
      </c>
    </row>
    <row r="5962">
      <c r="A5962" t="inlineStr">
        <is>
          <t>2022-10-13</t>
        </is>
      </c>
      <c r="B5962" t="inlineStr">
        <is>
          <t>12:21</t>
        </is>
      </c>
      <c r="C5962" t="n">
        <v>3076</v>
      </c>
      <c r="D5962" s="6" t="n">
        <v>27.8</v>
      </c>
      <c r="E5962" t="n">
        <v>43077</v>
      </c>
      <c r="F5962" s="6" t="n">
        <v>27.8</v>
      </c>
      <c r="G5962" t="n">
        <v>1</v>
      </c>
      <c r="H5962" s="6">
        <f>ROUND(G5962*F5962,2)</f>
        <v/>
      </c>
      <c r="I5962">
        <f>IF(ROUND(H5962-D5962,2)=0,1,0)</f>
        <v/>
      </c>
      <c r="J5962">
        <f>IF(F5962="","none",IF(G5962=1,"carte","multiple"))</f>
        <v/>
      </c>
    </row>
    <row r="5963">
      <c r="A5963" t="inlineStr">
        <is>
          <t>2022-10-13</t>
        </is>
      </c>
      <c r="B5963" t="inlineStr">
        <is>
          <t>12:21</t>
        </is>
      </c>
      <c r="C5963" t="n">
        <v>3076</v>
      </c>
      <c r="D5963" s="6" t="n">
        <v>55.8</v>
      </c>
      <c r="E5963" t="n">
        <v>43078</v>
      </c>
      <c r="F5963" s="6" t="n">
        <v>0.9</v>
      </c>
      <c r="G5963" t="n">
        <v>62</v>
      </c>
      <c r="H5963" s="6">
        <f>ROUND(G5963*F5963,2)</f>
        <v/>
      </c>
      <c r="I5963">
        <f>IF(ROUND(H5963-D5963,2)=0,1,0)</f>
        <v/>
      </c>
      <c r="J5963">
        <f>IF(F5963="","none",IF(G5963=1,"carte","multiple"))</f>
        <v/>
      </c>
    </row>
    <row r="5964">
      <c r="A5964" t="inlineStr">
        <is>
          <t>2022-10-13</t>
        </is>
      </c>
      <c r="B5964" t="inlineStr">
        <is>
          <t>12:21</t>
        </is>
      </c>
      <c r="C5964" t="n">
        <v>3076</v>
      </c>
      <c r="D5964" s="6" t="n">
        <v>7.2</v>
      </c>
      <c r="E5964" t="n">
        <v>43079</v>
      </c>
      <c r="F5964" s="6" t="n">
        <v>7.2</v>
      </c>
      <c r="G5964" t="n">
        <v>1</v>
      </c>
      <c r="H5964" s="6">
        <f>ROUND(G5964*F5964,2)</f>
        <v/>
      </c>
      <c r="I5964">
        <f>IF(ROUND(H5964-D5964,2)=0,1,0)</f>
        <v/>
      </c>
      <c r="J5964">
        <f>IF(F5964="","none",IF(G5964=1,"carte","multiple"))</f>
        <v/>
      </c>
    </row>
    <row r="5965">
      <c r="A5965" t="inlineStr">
        <is>
          <t>2022-10-13</t>
        </is>
      </c>
      <c r="B5965" t="inlineStr">
        <is>
          <t>12:21</t>
        </is>
      </c>
      <c r="C5965" t="n">
        <v>3076</v>
      </c>
      <c r="D5965" s="6" t="n">
        <v>9.6</v>
      </c>
      <c r="E5965" t="n">
        <v>43080</v>
      </c>
      <c r="F5965" s="6" t="n">
        <v>9.6</v>
      </c>
      <c r="G5965" t="n">
        <v>1</v>
      </c>
      <c r="H5965" s="6">
        <f>ROUND(G5965*F5965,2)</f>
        <v/>
      </c>
      <c r="I5965">
        <f>IF(ROUND(H5965-D5965,2)=0,1,0)</f>
        <v/>
      </c>
      <c r="J5965">
        <f>IF(F5965="","none",IF(G5965=1,"carte","multiple"))</f>
        <v/>
      </c>
    </row>
    <row r="5966">
      <c r="A5966" t="inlineStr">
        <is>
          <t>2022-10-13</t>
        </is>
      </c>
      <c r="B5966" t="inlineStr">
        <is>
          <t>12:21</t>
        </is>
      </c>
      <c r="C5966" t="n">
        <v>3076</v>
      </c>
      <c r="D5966" s="6" t="n">
        <v>33.8</v>
      </c>
      <c r="E5966" t="n">
        <v>43081</v>
      </c>
      <c r="F5966" s="6" t="n">
        <v>16.9</v>
      </c>
      <c r="G5966" t="n">
        <v>2</v>
      </c>
      <c r="H5966" s="6">
        <f>ROUND(G5966*F5966,2)</f>
        <v/>
      </c>
      <c r="I5966">
        <f>IF(ROUND(H5966-D5966,2)=0,1,0)</f>
        <v/>
      </c>
      <c r="J5966">
        <f>IF(F5966="","none",IF(G5966=1,"carte","multiple"))</f>
        <v/>
      </c>
    </row>
    <row r="5967">
      <c r="A5967" t="inlineStr">
        <is>
          <t>2022-10-13</t>
        </is>
      </c>
      <c r="B5967" t="inlineStr">
        <is>
          <t>12:21</t>
        </is>
      </c>
      <c r="C5967" t="n">
        <v>3076</v>
      </c>
      <c r="D5967" s="6" t="n">
        <v>8.9</v>
      </c>
      <c r="E5967" t="n">
        <v>43082</v>
      </c>
      <c r="F5967" s="6" t="n">
        <v>8.9</v>
      </c>
      <c r="G5967" t="n">
        <v>1</v>
      </c>
      <c r="H5967" s="6">
        <f>ROUND(G5967*F5967,2)</f>
        <v/>
      </c>
      <c r="I5967">
        <f>IF(ROUND(H5967-D5967,2)=0,1,0)</f>
        <v/>
      </c>
      <c r="J5967">
        <f>IF(F5967="","none",IF(G5967=1,"carte","multiple"))</f>
        <v/>
      </c>
    </row>
    <row r="5968">
      <c r="A5968" t="inlineStr">
        <is>
          <t>2022-10-13</t>
        </is>
      </c>
      <c r="B5968" t="inlineStr">
        <is>
          <t>12:21</t>
        </is>
      </c>
      <c r="C5968" t="n">
        <v>3076</v>
      </c>
      <c r="D5968" s="6" t="n">
        <v>12</v>
      </c>
      <c r="E5968" t="n">
        <v>43083</v>
      </c>
      <c r="F5968" s="6" t="n">
        <v>12</v>
      </c>
      <c r="G5968" t="n">
        <v>1</v>
      </c>
      <c r="H5968" s="6">
        <f>ROUND(G5968*F5968,2)</f>
        <v/>
      </c>
      <c r="I5968">
        <f>IF(ROUND(H5968-D5968,2)=0,1,0)</f>
        <v/>
      </c>
      <c r="J5968">
        <f>IF(F5968="","none",IF(G5968=1,"carte","multiple"))</f>
        <v/>
      </c>
    </row>
    <row r="5969">
      <c r="A5969" t="inlineStr">
        <is>
          <t>2022-10-13</t>
        </is>
      </c>
      <c r="B5969" t="inlineStr">
        <is>
          <t>12:21</t>
        </is>
      </c>
      <c r="C5969" t="n">
        <v>3076</v>
      </c>
      <c r="D5969" s="6" t="n">
        <v>3.9</v>
      </c>
      <c r="E5969" t="n">
        <v>43084</v>
      </c>
      <c r="F5969" s="6" t="n">
        <v>3.9</v>
      </c>
      <c r="G5969" t="n">
        <v>1</v>
      </c>
      <c r="H5969" s="6">
        <f>ROUND(G5969*F5969,2)</f>
        <v/>
      </c>
      <c r="I5969">
        <f>IF(ROUND(H5969-D5969,2)=0,1,0)</f>
        <v/>
      </c>
      <c r="J5969">
        <f>IF(F5969="","none",IF(G5969=1,"carte","multiple"))</f>
        <v/>
      </c>
    </row>
    <row r="5970">
      <c r="A5970" t="inlineStr">
        <is>
          <t>2022-10-13</t>
        </is>
      </c>
      <c r="B5970" t="inlineStr">
        <is>
          <t>12:21</t>
        </is>
      </c>
      <c r="C5970" t="n">
        <v>3076</v>
      </c>
      <c r="D5970" s="6" t="n">
        <v>5.2</v>
      </c>
      <c r="E5970" t="n">
        <v>43085</v>
      </c>
      <c r="F5970" s="6" t="n">
        <v>5.2</v>
      </c>
      <c r="G5970" t="n">
        <v>1</v>
      </c>
      <c r="H5970" s="6">
        <f>ROUND(G5970*F5970,2)</f>
        <v/>
      </c>
      <c r="I5970">
        <f>IF(ROUND(H5970-D5970,2)=0,1,0)</f>
        <v/>
      </c>
      <c r="J5970">
        <f>IF(F5970="","none",IF(G5970=1,"carte","multiple"))</f>
        <v/>
      </c>
    </row>
    <row r="5971">
      <c r="A5971" t="inlineStr">
        <is>
          <t>2022-10-13</t>
        </is>
      </c>
      <c r="B5971" t="inlineStr">
        <is>
          <t>12:21</t>
        </is>
      </c>
      <c r="C5971" t="n">
        <v>3076</v>
      </c>
      <c r="D5971" s="6" t="n">
        <v>5.2</v>
      </c>
      <c r="E5971" t="n">
        <v>43086</v>
      </c>
      <c r="F5971" s="6" t="n">
        <v>5.2</v>
      </c>
      <c r="G5971" t="n">
        <v>1</v>
      </c>
      <c r="H5971" s="6">
        <f>ROUND(G5971*F5971,2)</f>
        <v/>
      </c>
      <c r="I5971">
        <f>IF(ROUND(H5971-D5971,2)=0,1,0)</f>
        <v/>
      </c>
      <c r="J5971">
        <f>IF(F5971="","none",IF(G5971=1,"carte","multiple"))</f>
        <v/>
      </c>
    </row>
    <row r="5972">
      <c r="A5972" t="inlineStr">
        <is>
          <t>2022-10-13</t>
        </is>
      </c>
      <c r="B5972" t="inlineStr">
        <is>
          <t>20:08</t>
        </is>
      </c>
      <c r="C5972" t="n">
        <v>3076</v>
      </c>
      <c r="D5972" s="6" t="n">
        <v>6.9</v>
      </c>
      <c r="E5972" t="n">
        <v>43088</v>
      </c>
      <c r="F5972" s="6" t="n">
        <v>6.9</v>
      </c>
      <c r="G5972" t="n">
        <v>1</v>
      </c>
      <c r="H5972" s="6">
        <f>ROUND(G5972*F5972,2)</f>
        <v/>
      </c>
      <c r="I5972">
        <f>IF(ROUND(H5972-D5972,2)=0,1,0)</f>
        <v/>
      </c>
      <c r="J5972">
        <f>IF(F5972="","none",IF(G5972=1,"carte","multiple"))</f>
        <v/>
      </c>
    </row>
    <row r="5973">
      <c r="A5973" t="inlineStr">
        <is>
          <t>2022-10-13</t>
        </is>
      </c>
      <c r="B5973" t="inlineStr">
        <is>
          <t>20:12</t>
        </is>
      </c>
      <c r="C5973" t="n">
        <v>3076</v>
      </c>
      <c r="D5973" s="6" t="n">
        <v>11.6</v>
      </c>
      <c r="E5973" t="n">
        <v>43089</v>
      </c>
      <c r="F5973" s="6" t="n">
        <v>11.6</v>
      </c>
      <c r="G5973" t="n">
        <v>1</v>
      </c>
      <c r="H5973" s="6">
        <f>ROUND(G5973*F5973,2)</f>
        <v/>
      </c>
      <c r="I5973">
        <f>IF(ROUND(H5973-D5973,2)=0,1,0)</f>
        <v/>
      </c>
      <c r="J5973">
        <f>IF(F5973="","none",IF(G5973=1,"carte","multiple"))</f>
        <v/>
      </c>
    </row>
    <row r="5974">
      <c r="A5974" t="inlineStr">
        <is>
          <t>2022-10-13</t>
        </is>
      </c>
      <c r="B5974" t="inlineStr">
        <is>
          <t>20:49</t>
        </is>
      </c>
      <c r="C5974" t="n">
        <v>3076</v>
      </c>
      <c r="D5974" s="6" t="n">
        <v>3.9</v>
      </c>
      <c r="E5974" t="n">
        <v>43090</v>
      </c>
      <c r="F5974" s="6" t="n">
        <v>3.9</v>
      </c>
      <c r="G5974" t="n">
        <v>1</v>
      </c>
      <c r="H5974" s="6">
        <f>ROUND(G5974*F5974,2)</f>
        <v/>
      </c>
      <c r="I5974">
        <f>IF(ROUND(H5974-D5974,2)=0,1,0)</f>
        <v/>
      </c>
      <c r="J5974">
        <f>IF(F5974="","none",IF(G5974=1,"carte","multiple"))</f>
        <v/>
      </c>
    </row>
    <row r="5975">
      <c r="A5975" t="inlineStr">
        <is>
          <t>2022-10-13</t>
        </is>
      </c>
      <c r="B5975" t="inlineStr">
        <is>
          <t>20:49</t>
        </is>
      </c>
      <c r="C5975" t="n">
        <v>3076</v>
      </c>
      <c r="D5975" s="6" t="n">
        <v>1.8</v>
      </c>
      <c r="E5975" t="n">
        <v>43091</v>
      </c>
      <c r="F5975" s="6" t="n">
        <v>1.8</v>
      </c>
      <c r="G5975" t="n">
        <v>1</v>
      </c>
      <c r="H5975" s="6">
        <f>ROUND(G5975*F5975,2)</f>
        <v/>
      </c>
      <c r="I5975">
        <f>IF(ROUND(H5975-D5975,2)=0,1,0)</f>
        <v/>
      </c>
      <c r="J5975">
        <f>IF(F5975="","none",IF(G5975=1,"carte","multiple"))</f>
        <v/>
      </c>
    </row>
    <row r="5976">
      <c r="A5976" t="inlineStr">
        <is>
          <t>2022-10-14</t>
        </is>
      </c>
      <c r="B5976" t="inlineStr">
        <is>
          <t>11:25</t>
        </is>
      </c>
      <c r="C5976" t="n">
        <v>3077</v>
      </c>
      <c r="D5976" s="6" t="n">
        <v>3.9</v>
      </c>
      <c r="E5976" t="n">
        <v>43094</v>
      </c>
      <c r="F5976" s="6" t="n">
        <v>3.9</v>
      </c>
      <c r="G5976" t="n">
        <v>1</v>
      </c>
      <c r="H5976" s="6">
        <f>ROUND(G5976*F5976,2)</f>
        <v/>
      </c>
      <c r="I5976">
        <f>IF(ROUND(H5976-D5976,2)=0,1,0)</f>
        <v/>
      </c>
      <c r="J5976">
        <f>IF(F5976="","none",IF(G5976=1,"carte","multiple"))</f>
        <v/>
      </c>
    </row>
    <row r="5977">
      <c r="A5977" t="inlineStr">
        <is>
          <t>2022-10-14</t>
        </is>
      </c>
      <c r="B5977" t="inlineStr">
        <is>
          <t>11:25</t>
        </is>
      </c>
      <c r="C5977" t="n">
        <v>3077</v>
      </c>
      <c r="D5977" s="6" t="n">
        <v>18.6</v>
      </c>
      <c r="E5977" t="n">
        <v>43095</v>
      </c>
      <c r="F5977" s="6" t="n">
        <v>18.6</v>
      </c>
      <c r="G5977" t="n">
        <v>1</v>
      </c>
      <c r="H5977" s="6">
        <f>ROUND(G5977*F5977,2)</f>
        <v/>
      </c>
      <c r="I5977">
        <f>IF(ROUND(H5977-D5977,2)=0,1,0)</f>
        <v/>
      </c>
      <c r="J5977">
        <f>IF(F5977="","none",IF(G5977=1,"carte","multiple"))</f>
        <v/>
      </c>
    </row>
    <row r="5978">
      <c r="A5978" t="inlineStr">
        <is>
          <t>2022-10-14</t>
        </is>
      </c>
      <c r="B5978" t="inlineStr">
        <is>
          <t>18:43</t>
        </is>
      </c>
      <c r="C5978" t="n">
        <v>3077</v>
      </c>
      <c r="D5978" s="6" t="n">
        <v>3.9</v>
      </c>
      <c r="E5978" t="n">
        <v>43096</v>
      </c>
      <c r="F5978" s="6" t="n">
        <v>3.9</v>
      </c>
      <c r="G5978" t="n">
        <v>1</v>
      </c>
      <c r="H5978" s="6">
        <f>ROUND(G5978*F5978,2)</f>
        <v/>
      </c>
      <c r="I5978">
        <f>IF(ROUND(H5978-D5978,2)=0,1,0)</f>
        <v/>
      </c>
      <c r="J5978">
        <f>IF(F5978="","none",IF(G5978=1,"carte","multiple"))</f>
        <v/>
      </c>
    </row>
    <row r="5979">
      <c r="A5979" t="inlineStr">
        <is>
          <t>2022-10-14</t>
        </is>
      </c>
      <c r="B5979" t="inlineStr">
        <is>
          <t>18:43</t>
        </is>
      </c>
      <c r="C5979" t="n">
        <v>3077</v>
      </c>
      <c r="D5979" s="6" t="n">
        <v>4</v>
      </c>
      <c r="E5979" t="n">
        <v>43097</v>
      </c>
      <c r="F5979" s="6" t="n">
        <v>4</v>
      </c>
      <c r="G5979" t="n">
        <v>1</v>
      </c>
      <c r="H5979" s="6">
        <f>ROUND(G5979*F5979,2)</f>
        <v/>
      </c>
      <c r="I5979">
        <f>IF(ROUND(H5979-D5979,2)=0,1,0)</f>
        <v/>
      </c>
      <c r="J5979">
        <f>IF(F5979="","none",IF(G5979=1,"carte","multiple"))</f>
        <v/>
      </c>
    </row>
    <row r="5980">
      <c r="A5980" t="inlineStr">
        <is>
          <t>2022-10-14</t>
        </is>
      </c>
      <c r="B5980" t="inlineStr">
        <is>
          <t>18:43</t>
        </is>
      </c>
      <c r="C5980" t="n">
        <v>3077</v>
      </c>
      <c r="D5980" s="6" t="n">
        <v>3.9</v>
      </c>
      <c r="E5980" t="n">
        <v>43098</v>
      </c>
      <c r="F5980" s="6" t="n">
        <v>3.9</v>
      </c>
      <c r="G5980" t="n">
        <v>1</v>
      </c>
      <c r="H5980" s="6">
        <f>ROUND(G5980*F5980,2)</f>
        <v/>
      </c>
      <c r="I5980">
        <f>IF(ROUND(H5980-D5980,2)=0,1,0)</f>
        <v/>
      </c>
      <c r="J5980">
        <f>IF(F5980="","none",IF(G5980=1,"carte","multiple"))</f>
        <v/>
      </c>
    </row>
    <row r="5981">
      <c r="A5981" t="inlineStr">
        <is>
          <t>2022-10-14</t>
        </is>
      </c>
      <c r="B5981" t="inlineStr">
        <is>
          <t>18:43</t>
        </is>
      </c>
      <c r="C5981" t="n">
        <v>3077</v>
      </c>
      <c r="D5981" s="6" t="n">
        <v>8.9</v>
      </c>
      <c r="E5981" t="n">
        <v>43099</v>
      </c>
      <c r="F5981" s="6" t="n">
        <v>8.9</v>
      </c>
      <c r="G5981" t="n">
        <v>1</v>
      </c>
      <c r="H5981" s="6">
        <f>ROUND(G5981*F5981,2)</f>
        <v/>
      </c>
      <c r="I5981">
        <f>IF(ROUND(H5981-D5981,2)=0,1,0)</f>
        <v/>
      </c>
      <c r="J5981">
        <f>IF(F5981="","none",IF(G5981=1,"carte","multiple"))</f>
        <v/>
      </c>
    </row>
    <row r="5982">
      <c r="A5982" t="inlineStr">
        <is>
          <t>2022-10-14</t>
        </is>
      </c>
      <c r="B5982" t="inlineStr">
        <is>
          <t>18:43</t>
        </is>
      </c>
      <c r="C5982" t="n">
        <v>3077</v>
      </c>
      <c r="D5982" s="6" t="n">
        <v>43.8</v>
      </c>
      <c r="E5982" t="n">
        <v>43100</v>
      </c>
      <c r="F5982" s="6" t="n">
        <v>43.8</v>
      </c>
      <c r="G5982" t="n">
        <v>1</v>
      </c>
      <c r="H5982" s="6">
        <f>ROUND(G5982*F5982,2)</f>
        <v/>
      </c>
      <c r="I5982">
        <f>IF(ROUND(H5982-D5982,2)=0,1,0)</f>
        <v/>
      </c>
      <c r="J5982">
        <f>IF(F5982="","none",IF(G5982=1,"carte","multiple"))</f>
        <v/>
      </c>
    </row>
    <row r="5983">
      <c r="A5983" t="inlineStr">
        <is>
          <t>2022-10-14</t>
        </is>
      </c>
      <c r="B5983" t="inlineStr">
        <is>
          <t>18:43</t>
        </is>
      </c>
      <c r="C5983" t="n">
        <v>3077</v>
      </c>
      <c r="D5983" s="6" t="n">
        <v>7.8</v>
      </c>
      <c r="E5983" t="n">
        <v>43101</v>
      </c>
      <c r="F5983" s="6" t="n">
        <v>7.8</v>
      </c>
      <c r="G5983" t="n">
        <v>1</v>
      </c>
      <c r="H5983" s="6">
        <f>ROUND(G5983*F5983,2)</f>
        <v/>
      </c>
      <c r="I5983">
        <f>IF(ROUND(H5983-D5983,2)=0,1,0)</f>
        <v/>
      </c>
      <c r="J5983">
        <f>IF(F5983="","none",IF(G5983=1,"carte","multiple"))</f>
        <v/>
      </c>
    </row>
    <row r="5984">
      <c r="A5984" t="inlineStr">
        <is>
          <t>2022-10-14</t>
        </is>
      </c>
      <c r="B5984" t="inlineStr">
        <is>
          <t>18:43</t>
        </is>
      </c>
      <c r="C5984" t="n">
        <v>3077</v>
      </c>
      <c r="D5984" s="6" t="n">
        <v>50</v>
      </c>
      <c r="E5984" t="n">
        <v>43102</v>
      </c>
      <c r="F5984" s="6" t="n">
        <v>50</v>
      </c>
      <c r="G5984" t="n">
        <v>1</v>
      </c>
      <c r="H5984" s="6">
        <f>ROUND(G5984*F5984,2)</f>
        <v/>
      </c>
      <c r="I5984">
        <f>IF(ROUND(H5984-D5984,2)=0,1,0)</f>
        <v/>
      </c>
      <c r="J5984">
        <f>IF(F5984="","none",IF(G5984=1,"carte","multiple"))</f>
        <v/>
      </c>
    </row>
    <row r="5985">
      <c r="A5985" t="inlineStr">
        <is>
          <t>2022-10-14</t>
        </is>
      </c>
      <c r="B5985" t="inlineStr">
        <is>
          <t>18:43</t>
        </is>
      </c>
      <c r="C5985" t="n">
        <v>3077</v>
      </c>
      <c r="D5985" s="6" t="n">
        <v>29.9</v>
      </c>
      <c r="E5985" t="n">
        <v>43103</v>
      </c>
      <c r="F5985" s="6" t="n">
        <v>29.9</v>
      </c>
      <c r="G5985" t="n">
        <v>1</v>
      </c>
      <c r="H5985" s="6">
        <f>ROUND(G5985*F5985,2)</f>
        <v/>
      </c>
      <c r="I5985">
        <f>IF(ROUND(H5985-D5985,2)=0,1,0)</f>
        <v/>
      </c>
      <c r="J5985">
        <f>IF(F5985="","none",IF(G5985=1,"carte","multiple"))</f>
        <v/>
      </c>
    </row>
    <row r="5986">
      <c r="A5986" t="inlineStr">
        <is>
          <t>2022-10-14</t>
        </is>
      </c>
      <c r="B5986" t="inlineStr">
        <is>
          <t>18:43</t>
        </is>
      </c>
      <c r="C5986" t="n">
        <v>3077</v>
      </c>
      <c r="D5986" s="6" t="n">
        <v>4</v>
      </c>
      <c r="E5986" t="n">
        <v>43104</v>
      </c>
      <c r="F5986" s="6" t="n">
        <v>4</v>
      </c>
      <c r="G5986" t="n">
        <v>1</v>
      </c>
      <c r="H5986" s="6">
        <f>ROUND(G5986*F5986,2)</f>
        <v/>
      </c>
      <c r="I5986">
        <f>IF(ROUND(H5986-D5986,2)=0,1,0)</f>
        <v/>
      </c>
      <c r="J5986">
        <f>IF(F5986="","none",IF(G5986=1,"carte","multiple"))</f>
        <v/>
      </c>
    </row>
    <row r="5987">
      <c r="A5987" t="inlineStr">
        <is>
          <t>2022-10-14</t>
        </is>
      </c>
      <c r="B5987" t="inlineStr">
        <is>
          <t>18:43</t>
        </is>
      </c>
      <c r="C5987" t="n">
        <v>3077</v>
      </c>
      <c r="D5987" s="6" t="n">
        <v>4</v>
      </c>
      <c r="E5987" t="n">
        <v>43105</v>
      </c>
      <c r="F5987" s="6" t="n">
        <v>4</v>
      </c>
      <c r="G5987" t="n">
        <v>1</v>
      </c>
      <c r="H5987" s="6">
        <f>ROUND(G5987*F5987,2)</f>
        <v/>
      </c>
      <c r="I5987">
        <f>IF(ROUND(H5987-D5987,2)=0,1,0)</f>
        <v/>
      </c>
      <c r="J5987">
        <f>IF(F5987="","none",IF(G5987=1,"carte","multiple"))</f>
        <v/>
      </c>
    </row>
    <row r="5988">
      <c r="A5988" t="inlineStr">
        <is>
          <t>2022-10-14</t>
        </is>
      </c>
      <c r="B5988" t="inlineStr">
        <is>
          <t>19:35</t>
        </is>
      </c>
      <c r="C5988" t="n">
        <v>3077</v>
      </c>
      <c r="D5988" s="6" t="n">
        <v>59.8</v>
      </c>
      <c r="E5988" t="n">
        <v>43106</v>
      </c>
      <c r="F5988" s="6" t="n">
        <v>4.6</v>
      </c>
      <c r="G5988" t="n">
        <v>13</v>
      </c>
      <c r="H5988" s="6">
        <f>ROUND(G5988*F5988,2)</f>
        <v/>
      </c>
      <c r="I5988">
        <f>IF(ROUND(H5988-D5988,2)=0,1,0)</f>
        <v/>
      </c>
      <c r="J5988">
        <f>IF(F5988="","none",IF(G5988=1,"carte","multiple"))</f>
        <v/>
      </c>
    </row>
    <row r="5989">
      <c r="A5989" t="inlineStr">
        <is>
          <t>2022-10-14</t>
        </is>
      </c>
      <c r="B5989" t="inlineStr">
        <is>
          <t>19:35</t>
        </is>
      </c>
      <c r="C5989" t="n">
        <v>3077</v>
      </c>
      <c r="D5989" s="6" t="n">
        <v>7.8</v>
      </c>
      <c r="E5989" t="n">
        <v>43107</v>
      </c>
      <c r="F5989" s="6" t="n">
        <v>7.8</v>
      </c>
      <c r="G5989" t="n">
        <v>1</v>
      </c>
      <c r="H5989" s="6">
        <f>ROUND(G5989*F5989,2)</f>
        <v/>
      </c>
      <c r="I5989">
        <f>IF(ROUND(H5989-D5989,2)=0,1,0)</f>
        <v/>
      </c>
      <c r="J5989">
        <f>IF(F5989="","none",IF(G5989=1,"carte","multiple"))</f>
        <v/>
      </c>
    </row>
    <row r="5990">
      <c r="A5990" t="inlineStr">
        <is>
          <t>2022-10-14</t>
        </is>
      </c>
      <c r="B5990" t="inlineStr">
        <is>
          <t>19:54</t>
        </is>
      </c>
      <c r="C5990" t="n">
        <v>3077</v>
      </c>
      <c r="D5990" s="6" t="n">
        <v>7.6</v>
      </c>
      <c r="E5990" t="n">
        <v>43108</v>
      </c>
      <c r="F5990" s="6" t="n">
        <v>7.6</v>
      </c>
      <c r="G5990" t="n">
        <v>1</v>
      </c>
      <c r="H5990" s="6">
        <f>ROUND(G5990*F5990,2)</f>
        <v/>
      </c>
      <c r="I5990">
        <f>IF(ROUND(H5990-D5990,2)=0,1,0)</f>
        <v/>
      </c>
      <c r="J5990">
        <f>IF(F5990="","none",IF(G5990=1,"carte","multiple"))</f>
        <v/>
      </c>
    </row>
    <row r="5991">
      <c r="A5991" t="inlineStr">
        <is>
          <t>2022-10-14</t>
        </is>
      </c>
      <c r="B5991" t="inlineStr">
        <is>
          <t>19:54</t>
        </is>
      </c>
      <c r="C5991" t="n">
        <v>3077</v>
      </c>
      <c r="D5991" s="6" t="n">
        <v>4.2</v>
      </c>
      <c r="E5991" t="n">
        <v>43109</v>
      </c>
      <c r="F5991" s="6" t="n">
        <v>4.2</v>
      </c>
      <c r="G5991" t="n">
        <v>1</v>
      </c>
      <c r="H5991" s="6">
        <f>ROUND(G5991*F5991,2)</f>
        <v/>
      </c>
      <c r="I5991">
        <f>IF(ROUND(H5991-D5991,2)=0,1,0)</f>
        <v/>
      </c>
      <c r="J5991">
        <f>IF(F5991="","none",IF(G5991=1,"carte","multiple"))</f>
        <v/>
      </c>
    </row>
    <row r="5992">
      <c r="A5992" t="inlineStr">
        <is>
          <t>2022-10-14</t>
        </is>
      </c>
      <c r="B5992" t="inlineStr">
        <is>
          <t>19:54</t>
        </is>
      </c>
      <c r="C5992" t="n">
        <v>3077</v>
      </c>
      <c r="D5992" s="6" t="n">
        <v>37.2</v>
      </c>
      <c r="E5992" t="n">
        <v>43110</v>
      </c>
      <c r="F5992" s="6" t="n">
        <v>0.4</v>
      </c>
      <c r="G5992" t="n">
        <v>93</v>
      </c>
      <c r="H5992" s="6">
        <f>ROUND(G5992*F5992,2)</f>
        <v/>
      </c>
      <c r="I5992">
        <f>IF(ROUND(H5992-D5992,2)=0,1,0)</f>
        <v/>
      </c>
      <c r="J5992">
        <f>IF(F5992="","none",IF(G5992=1,"carte","multiple"))</f>
        <v/>
      </c>
    </row>
    <row r="5993">
      <c r="A5993" t="inlineStr">
        <is>
          <t>2022-10-14</t>
        </is>
      </c>
      <c r="B5993" t="inlineStr">
        <is>
          <t>19:54</t>
        </is>
      </c>
      <c r="C5993" t="n">
        <v>3077</v>
      </c>
      <c r="D5993" s="6" t="n">
        <v>14.4</v>
      </c>
      <c r="E5993" t="n">
        <v>43111</v>
      </c>
      <c r="F5993" s="6" t="n">
        <v>0.4</v>
      </c>
      <c r="G5993" t="n">
        <v>36</v>
      </c>
      <c r="H5993" s="6">
        <f>ROUND(G5993*F5993,2)</f>
        <v/>
      </c>
      <c r="I5993">
        <f>IF(ROUND(H5993-D5993,2)=0,1,0)</f>
        <v/>
      </c>
      <c r="J5993">
        <f>IF(F5993="","none",IF(G5993=1,"carte","multiple"))</f>
        <v/>
      </c>
    </row>
    <row r="5994">
      <c r="A5994" t="inlineStr">
        <is>
          <t>2022-10-14</t>
        </is>
      </c>
      <c r="B5994" t="inlineStr">
        <is>
          <t>19:54</t>
        </is>
      </c>
      <c r="C5994" t="n">
        <v>3077</v>
      </c>
      <c r="D5994" s="6" t="n">
        <v>34</v>
      </c>
      <c r="E5994" t="n">
        <v>43112</v>
      </c>
      <c r="F5994" s="6" t="n">
        <v>34</v>
      </c>
      <c r="G5994" t="n">
        <v>1</v>
      </c>
      <c r="H5994" s="6">
        <f>ROUND(G5994*F5994,2)</f>
        <v/>
      </c>
      <c r="I5994">
        <f>IF(ROUND(H5994-D5994,2)=0,1,0)</f>
        <v/>
      </c>
      <c r="J5994">
        <f>IF(F5994="","none",IF(G5994=1,"carte","multiple"))</f>
        <v/>
      </c>
    </row>
    <row r="5995">
      <c r="A5995" t="inlineStr">
        <is>
          <t>2022-10-14</t>
        </is>
      </c>
      <c r="B5995" t="inlineStr">
        <is>
          <t>19:54</t>
        </is>
      </c>
      <c r="C5995" t="n">
        <v>3077</v>
      </c>
      <c r="D5995" s="6" t="n">
        <v>24.9</v>
      </c>
      <c r="E5995" t="n">
        <v>43113</v>
      </c>
      <c r="F5995" s="6" t="n">
        <v>24.9</v>
      </c>
      <c r="G5995" t="n">
        <v>1</v>
      </c>
      <c r="H5995" s="6">
        <f>ROUND(G5995*F5995,2)</f>
        <v/>
      </c>
      <c r="I5995">
        <f>IF(ROUND(H5995-D5995,2)=0,1,0)</f>
        <v/>
      </c>
      <c r="J5995">
        <f>IF(F5995="","none",IF(G5995=1,"carte","multiple"))</f>
        <v/>
      </c>
    </row>
    <row r="5996">
      <c r="A5996" t="inlineStr">
        <is>
          <t>2022-10-15</t>
        </is>
      </c>
      <c r="B5996" t="inlineStr">
        <is>
          <t>12:00</t>
        </is>
      </c>
      <c r="C5996" t="n">
        <v>3078</v>
      </c>
      <c r="D5996" s="6" t="n">
        <v>6.9</v>
      </c>
      <c r="E5996" t="n">
        <v>43117</v>
      </c>
      <c r="F5996" s="6" t="n">
        <v>6.9</v>
      </c>
      <c r="G5996" t="n">
        <v>1</v>
      </c>
      <c r="H5996" s="6">
        <f>ROUND(G5996*F5996,2)</f>
        <v/>
      </c>
      <c r="I5996">
        <f>IF(ROUND(H5996-D5996,2)=0,1,0)</f>
        <v/>
      </c>
      <c r="J5996">
        <f>IF(F5996="","none",IF(G5996=1,"carte","multiple"))</f>
        <v/>
      </c>
    </row>
    <row r="5997">
      <c r="A5997" t="inlineStr">
        <is>
          <t>2022-10-15</t>
        </is>
      </c>
      <c r="B5997" t="inlineStr">
        <is>
          <t>12:37</t>
        </is>
      </c>
      <c r="C5997" t="n">
        <v>3078</v>
      </c>
      <c r="D5997" s="6" t="n">
        <v>5.9</v>
      </c>
      <c r="E5997" t="n">
        <v>43118</v>
      </c>
      <c r="F5997" s="6" t="n">
        <v>5.9</v>
      </c>
      <c r="G5997" t="n">
        <v>1</v>
      </c>
      <c r="H5997" s="6">
        <f>ROUND(G5997*F5997,2)</f>
        <v/>
      </c>
      <c r="I5997">
        <f>IF(ROUND(H5997-D5997,2)=0,1,0)</f>
        <v/>
      </c>
      <c r="J5997">
        <f>IF(F5997="","none",IF(G5997=1,"carte","multiple"))</f>
        <v/>
      </c>
    </row>
    <row r="5998">
      <c r="A5998" t="inlineStr">
        <is>
          <t>2022-10-15</t>
        </is>
      </c>
      <c r="B5998" t="inlineStr">
        <is>
          <t>12:37</t>
        </is>
      </c>
      <c r="C5998" t="n">
        <v>3078</v>
      </c>
      <c r="D5998" s="6" t="n">
        <v>59.8</v>
      </c>
      <c r="E5998" t="n">
        <v>43119</v>
      </c>
      <c r="F5998" s="6" t="n">
        <v>4.6</v>
      </c>
      <c r="G5998" t="n">
        <v>13</v>
      </c>
      <c r="H5998" s="6">
        <f>ROUND(G5998*F5998,2)</f>
        <v/>
      </c>
      <c r="I5998">
        <f>IF(ROUND(H5998-D5998,2)=0,1,0)</f>
        <v/>
      </c>
      <c r="J5998">
        <f>IF(F5998="","none",IF(G5998=1,"carte","multiple"))</f>
        <v/>
      </c>
    </row>
    <row r="5999">
      <c r="A5999" t="inlineStr">
        <is>
          <t>2022-10-15</t>
        </is>
      </c>
      <c r="B5999" t="inlineStr">
        <is>
          <t>12:37</t>
        </is>
      </c>
      <c r="C5999" t="n">
        <v>3078</v>
      </c>
      <c r="D5999" s="6" t="n">
        <v>6</v>
      </c>
      <c r="E5999" t="n">
        <v>43120</v>
      </c>
      <c r="F5999" s="6" t="n">
        <v>6</v>
      </c>
      <c r="G5999" t="n">
        <v>1</v>
      </c>
      <c r="H5999" s="6">
        <f>ROUND(G5999*F5999,2)</f>
        <v/>
      </c>
      <c r="I5999">
        <f>IF(ROUND(H5999-D5999,2)=0,1,0)</f>
        <v/>
      </c>
      <c r="J5999">
        <f>IF(F5999="","none",IF(G5999=1,"carte","multiple"))</f>
        <v/>
      </c>
    </row>
    <row r="6000">
      <c r="A6000" t="inlineStr">
        <is>
          <t>2022-10-15</t>
        </is>
      </c>
      <c r="B6000" t="inlineStr">
        <is>
          <t>12:37</t>
        </is>
      </c>
      <c r="C6000" t="n">
        <v>3078</v>
      </c>
      <c r="D6000" s="6" t="n">
        <v>4.9</v>
      </c>
      <c r="E6000" t="n">
        <v>43121</v>
      </c>
      <c r="F6000" s="6" t="n">
        <v>4.9</v>
      </c>
      <c r="G6000" t="n">
        <v>1</v>
      </c>
      <c r="H6000" s="6">
        <f>ROUND(G6000*F6000,2)</f>
        <v/>
      </c>
      <c r="I6000">
        <f>IF(ROUND(H6000-D6000,2)=0,1,0)</f>
        <v/>
      </c>
      <c r="J6000">
        <f>IF(F6000="","none",IF(G6000=1,"carte","multiple"))</f>
        <v/>
      </c>
    </row>
    <row r="6001">
      <c r="A6001" t="inlineStr">
        <is>
          <t>2022-10-15</t>
        </is>
      </c>
      <c r="B6001" t="inlineStr">
        <is>
          <t>13:16</t>
        </is>
      </c>
      <c r="C6001" t="n">
        <v>3078</v>
      </c>
      <c r="D6001" s="6" t="n">
        <v>1.1</v>
      </c>
      <c r="E6001" t="n">
        <v>43122</v>
      </c>
      <c r="F6001" s="6" t="n">
        <v>1.1</v>
      </c>
      <c r="G6001" t="n">
        <v>1</v>
      </c>
      <c r="H6001" s="6">
        <f>ROUND(G6001*F6001,2)</f>
        <v/>
      </c>
      <c r="I6001">
        <f>IF(ROUND(H6001-D6001,2)=0,1,0)</f>
        <v/>
      </c>
      <c r="J6001">
        <f>IF(F6001="","none",IF(G6001=1,"carte","multiple"))</f>
        <v/>
      </c>
    </row>
    <row r="6002">
      <c r="A6002" t="inlineStr">
        <is>
          <t>2022-10-15</t>
        </is>
      </c>
      <c r="B6002" t="inlineStr">
        <is>
          <t>13:16</t>
        </is>
      </c>
      <c r="C6002" t="n">
        <v>3078</v>
      </c>
      <c r="D6002" s="6" t="n">
        <v>4.35</v>
      </c>
      <c r="E6002" t="n">
        <v>43123</v>
      </c>
      <c r="H6002" t="inlineStr"/>
      <c r="I6002" t="inlineStr"/>
      <c r="J6002">
        <f>IF(F6002="","none",IF(G6002=1,"carte","multiple"))</f>
        <v/>
      </c>
    </row>
    <row r="6003">
      <c r="A6003" t="inlineStr">
        <is>
          <t>2022-10-15</t>
        </is>
      </c>
      <c r="B6003" t="inlineStr">
        <is>
          <t>13:16</t>
        </is>
      </c>
      <c r="C6003" t="n">
        <v>3078</v>
      </c>
      <c r="D6003" s="6" t="n">
        <v>8.199999999999999</v>
      </c>
      <c r="E6003" t="n">
        <v>43124</v>
      </c>
      <c r="F6003" s="6" t="n">
        <v>8.199999999999999</v>
      </c>
      <c r="G6003" t="n">
        <v>1</v>
      </c>
      <c r="H6003" s="6">
        <f>ROUND(G6003*F6003,2)</f>
        <v/>
      </c>
      <c r="I6003">
        <f>IF(ROUND(H6003-D6003,2)=0,1,0)</f>
        <v/>
      </c>
      <c r="J6003">
        <f>IF(F6003="","none",IF(G6003=1,"carte","multiple"))</f>
        <v/>
      </c>
    </row>
    <row r="6004">
      <c r="A6004" t="inlineStr">
        <is>
          <t>2022-10-15</t>
        </is>
      </c>
      <c r="B6004" t="inlineStr">
        <is>
          <t>13:16</t>
        </is>
      </c>
      <c r="C6004" t="n">
        <v>3078</v>
      </c>
      <c r="D6004" s="6" t="n">
        <v>8.5</v>
      </c>
      <c r="E6004" t="n">
        <v>43125</v>
      </c>
      <c r="F6004" s="6" t="n">
        <v>8.5</v>
      </c>
      <c r="G6004" t="n">
        <v>1</v>
      </c>
      <c r="H6004" s="6">
        <f>ROUND(G6004*F6004,2)</f>
        <v/>
      </c>
      <c r="I6004">
        <f>IF(ROUND(H6004-D6004,2)=0,1,0)</f>
        <v/>
      </c>
      <c r="J6004">
        <f>IF(F6004="","none",IF(G6004=1,"carte","multiple"))</f>
        <v/>
      </c>
    </row>
    <row r="6005">
      <c r="A6005" t="inlineStr">
        <is>
          <t>2022-10-15</t>
        </is>
      </c>
      <c r="B6005" t="inlineStr">
        <is>
          <t>13:16</t>
        </is>
      </c>
      <c r="C6005" t="n">
        <v>3078</v>
      </c>
      <c r="D6005" s="6" t="n">
        <v>1.95</v>
      </c>
      <c r="E6005" t="n">
        <v>43126</v>
      </c>
      <c r="H6005" t="inlineStr"/>
      <c r="I6005" t="inlineStr"/>
      <c r="J6005">
        <f>IF(F6005="","none",IF(G6005=1,"carte","multiple"))</f>
        <v/>
      </c>
    </row>
    <row r="6006">
      <c r="A6006" t="inlineStr">
        <is>
          <t>2022-10-15</t>
        </is>
      </c>
      <c r="B6006" t="inlineStr">
        <is>
          <t>13:16</t>
        </is>
      </c>
      <c r="C6006" t="n">
        <v>3078</v>
      </c>
      <c r="D6006" s="6" t="n">
        <v>3</v>
      </c>
      <c r="E6006" t="n">
        <v>43127</v>
      </c>
      <c r="F6006" s="6" t="n">
        <v>3</v>
      </c>
      <c r="G6006" t="n">
        <v>1</v>
      </c>
      <c r="H6006" s="6">
        <f>ROUND(G6006*F6006,2)</f>
        <v/>
      </c>
      <c r="I6006">
        <f>IF(ROUND(H6006-D6006,2)=0,1,0)</f>
        <v/>
      </c>
      <c r="J6006">
        <f>IF(F6006="","none",IF(G6006=1,"carte","multiple"))</f>
        <v/>
      </c>
    </row>
    <row r="6007">
      <c r="A6007" t="inlineStr">
        <is>
          <t>2022-10-15</t>
        </is>
      </c>
      <c r="B6007" t="inlineStr">
        <is>
          <t>13:22</t>
        </is>
      </c>
      <c r="C6007" t="n">
        <v>3078</v>
      </c>
      <c r="D6007" s="6" t="n">
        <v>5.8</v>
      </c>
      <c r="E6007" t="n">
        <v>43128</v>
      </c>
      <c r="F6007" s="6" t="n">
        <v>5.8</v>
      </c>
      <c r="G6007" t="n">
        <v>1</v>
      </c>
      <c r="H6007" s="6">
        <f>ROUND(G6007*F6007,2)</f>
        <v/>
      </c>
      <c r="I6007">
        <f>IF(ROUND(H6007-D6007,2)=0,1,0)</f>
        <v/>
      </c>
      <c r="J6007">
        <f>IF(F6007="","none",IF(G6007=1,"carte","multiple"))</f>
        <v/>
      </c>
    </row>
    <row r="6008">
      <c r="A6008" t="inlineStr">
        <is>
          <t>2022-10-15</t>
        </is>
      </c>
      <c r="B6008" t="inlineStr">
        <is>
          <t>13:22</t>
        </is>
      </c>
      <c r="C6008" t="n">
        <v>3078</v>
      </c>
      <c r="D6008" s="6" t="n">
        <v>11.8</v>
      </c>
      <c r="E6008" t="n">
        <v>43129</v>
      </c>
      <c r="F6008" s="6" t="n">
        <v>5.9</v>
      </c>
      <c r="G6008" t="n">
        <v>2</v>
      </c>
      <c r="H6008" s="6">
        <f>ROUND(G6008*F6008,2)</f>
        <v/>
      </c>
      <c r="I6008">
        <f>IF(ROUND(H6008-D6008,2)=0,1,0)</f>
        <v/>
      </c>
      <c r="J6008">
        <f>IF(F6008="","none",IF(G6008=1,"carte","multiple"))</f>
        <v/>
      </c>
    </row>
    <row r="6009">
      <c r="A6009" t="inlineStr">
        <is>
          <t>2022-10-15</t>
        </is>
      </c>
      <c r="B6009" t="inlineStr">
        <is>
          <t>13:22</t>
        </is>
      </c>
      <c r="C6009" t="n">
        <v>3078</v>
      </c>
      <c r="D6009" s="6" t="n">
        <v>19.9</v>
      </c>
      <c r="E6009" t="n">
        <v>43130</v>
      </c>
      <c r="F6009" s="6" t="n">
        <v>19.9</v>
      </c>
      <c r="G6009" t="n">
        <v>1</v>
      </c>
      <c r="H6009" s="6">
        <f>ROUND(G6009*F6009,2)</f>
        <v/>
      </c>
      <c r="I6009">
        <f>IF(ROUND(H6009-D6009,2)=0,1,0)</f>
        <v/>
      </c>
      <c r="J6009">
        <f>IF(F6009="","none",IF(G6009=1,"carte","multiple"))</f>
        <v/>
      </c>
    </row>
    <row r="6010">
      <c r="A6010" t="inlineStr">
        <is>
          <t>2022-10-15</t>
        </is>
      </c>
      <c r="B6010" t="inlineStr">
        <is>
          <t>13:22</t>
        </is>
      </c>
      <c r="C6010" t="n">
        <v>3078</v>
      </c>
      <c r="D6010" s="6" t="n">
        <v>10.9</v>
      </c>
      <c r="E6010" t="n">
        <v>43131</v>
      </c>
      <c r="F6010" s="6" t="n">
        <v>10.9</v>
      </c>
      <c r="G6010" t="n">
        <v>1</v>
      </c>
      <c r="H6010" s="6">
        <f>ROUND(G6010*F6010,2)</f>
        <v/>
      </c>
      <c r="I6010">
        <f>IF(ROUND(H6010-D6010,2)=0,1,0)</f>
        <v/>
      </c>
      <c r="J6010">
        <f>IF(F6010="","none",IF(G6010=1,"carte","multiple"))</f>
        <v/>
      </c>
    </row>
    <row r="6011">
      <c r="A6011" t="inlineStr">
        <is>
          <t>2022-10-15</t>
        </is>
      </c>
      <c r="B6011" t="inlineStr">
        <is>
          <t>13:22</t>
        </is>
      </c>
      <c r="C6011" t="n">
        <v>3078</v>
      </c>
      <c r="D6011" s="6" t="n">
        <v>25</v>
      </c>
      <c r="E6011" t="n">
        <v>43132</v>
      </c>
      <c r="F6011" s="6" t="n">
        <v>25</v>
      </c>
      <c r="G6011" t="n">
        <v>1</v>
      </c>
      <c r="H6011" s="6">
        <f>ROUND(G6011*F6011,2)</f>
        <v/>
      </c>
      <c r="I6011">
        <f>IF(ROUND(H6011-D6011,2)=0,1,0)</f>
        <v/>
      </c>
      <c r="J6011">
        <f>IF(F6011="","none",IF(G6011=1,"carte","multiple"))</f>
        <v/>
      </c>
    </row>
    <row r="6012">
      <c r="A6012" t="inlineStr">
        <is>
          <t>2022-10-15</t>
        </is>
      </c>
      <c r="B6012" t="inlineStr">
        <is>
          <t>13:22</t>
        </is>
      </c>
      <c r="C6012" t="n">
        <v>3078</v>
      </c>
      <c r="D6012" s="6" t="n">
        <v>17</v>
      </c>
      <c r="E6012" t="n">
        <v>43133</v>
      </c>
      <c r="F6012" s="6" t="n">
        <v>17</v>
      </c>
      <c r="G6012" t="n">
        <v>1</v>
      </c>
      <c r="H6012" s="6">
        <f>ROUND(G6012*F6012,2)</f>
        <v/>
      </c>
      <c r="I6012">
        <f>IF(ROUND(H6012-D6012,2)=0,1,0)</f>
        <v/>
      </c>
      <c r="J6012">
        <f>IF(F6012="","none",IF(G6012=1,"carte","multiple"))</f>
        <v/>
      </c>
    </row>
    <row r="6013">
      <c r="A6013" t="inlineStr">
        <is>
          <t>2022-10-15</t>
        </is>
      </c>
      <c r="B6013" t="inlineStr">
        <is>
          <t>13:22</t>
        </is>
      </c>
      <c r="C6013" t="n">
        <v>3078</v>
      </c>
      <c r="D6013" s="6" t="n">
        <v>18.6</v>
      </c>
      <c r="E6013" t="n">
        <v>43134</v>
      </c>
      <c r="F6013" s="6" t="n">
        <v>18.6</v>
      </c>
      <c r="G6013" t="n">
        <v>1</v>
      </c>
      <c r="H6013" s="6">
        <f>ROUND(G6013*F6013,2)</f>
        <v/>
      </c>
      <c r="I6013">
        <f>IF(ROUND(H6013-D6013,2)=0,1,0)</f>
        <v/>
      </c>
      <c r="J6013">
        <f>IF(F6013="","none",IF(G6013=1,"carte","multiple"))</f>
        <v/>
      </c>
    </row>
    <row r="6014">
      <c r="A6014" t="inlineStr">
        <is>
          <t>2022-10-15</t>
        </is>
      </c>
      <c r="B6014" t="inlineStr">
        <is>
          <t>13:22</t>
        </is>
      </c>
      <c r="C6014" t="n">
        <v>3078</v>
      </c>
      <c r="D6014" s="6" t="n">
        <v>24.9</v>
      </c>
      <c r="E6014" t="n">
        <v>43135</v>
      </c>
      <c r="F6014" s="6" t="n">
        <v>24.9</v>
      </c>
      <c r="G6014" t="n">
        <v>1</v>
      </c>
      <c r="H6014" s="6">
        <f>ROUND(G6014*F6014,2)</f>
        <v/>
      </c>
      <c r="I6014">
        <f>IF(ROUND(H6014-D6014,2)=0,1,0)</f>
        <v/>
      </c>
      <c r="J6014">
        <f>IF(F6014="","none",IF(G6014=1,"carte","multiple"))</f>
        <v/>
      </c>
    </row>
    <row r="6015">
      <c r="A6015" t="inlineStr">
        <is>
          <t>2022-10-15</t>
        </is>
      </c>
      <c r="B6015" t="inlineStr">
        <is>
          <t>13:22</t>
        </is>
      </c>
      <c r="C6015" t="n">
        <v>3078</v>
      </c>
      <c r="D6015" s="6" t="n">
        <v>8.5</v>
      </c>
      <c r="E6015" t="n">
        <v>43136</v>
      </c>
      <c r="F6015" s="6" t="n">
        <v>8.5</v>
      </c>
      <c r="G6015" t="n">
        <v>1</v>
      </c>
      <c r="H6015" s="6">
        <f>ROUND(G6015*F6015,2)</f>
        <v/>
      </c>
      <c r="I6015">
        <f>IF(ROUND(H6015-D6015,2)=0,1,0)</f>
        <v/>
      </c>
      <c r="J6015">
        <f>IF(F6015="","none",IF(G6015=1,"carte","multiple"))</f>
        <v/>
      </c>
    </row>
    <row r="6016">
      <c r="A6016" t="inlineStr">
        <is>
          <t>2022-10-15</t>
        </is>
      </c>
      <c r="B6016" t="inlineStr">
        <is>
          <t>13:22</t>
        </is>
      </c>
      <c r="C6016" t="n">
        <v>3078</v>
      </c>
      <c r="D6016" s="6" t="n">
        <v>1.8</v>
      </c>
      <c r="E6016" t="n">
        <v>43137</v>
      </c>
      <c r="F6016" s="6" t="n">
        <v>1.8</v>
      </c>
      <c r="G6016" t="n">
        <v>1</v>
      </c>
      <c r="H6016" s="6">
        <f>ROUND(G6016*F6016,2)</f>
        <v/>
      </c>
      <c r="I6016">
        <f>IF(ROUND(H6016-D6016,2)=0,1,0)</f>
        <v/>
      </c>
      <c r="J6016">
        <f>IF(F6016="","none",IF(G6016=1,"carte","multiple"))</f>
        <v/>
      </c>
    </row>
    <row r="6017">
      <c r="A6017" t="inlineStr">
        <is>
          <t>2022-10-15</t>
        </is>
      </c>
      <c r="B6017" t="inlineStr">
        <is>
          <t>17:44</t>
        </is>
      </c>
      <c r="C6017" t="n">
        <v>3078</v>
      </c>
      <c r="D6017" s="6" t="n">
        <v>18.6</v>
      </c>
      <c r="E6017" t="n">
        <v>43139</v>
      </c>
      <c r="F6017" s="6" t="n">
        <v>18.6</v>
      </c>
      <c r="G6017" t="n">
        <v>1</v>
      </c>
      <c r="H6017" s="6">
        <f>ROUND(G6017*F6017,2)</f>
        <v/>
      </c>
      <c r="I6017">
        <f>IF(ROUND(H6017-D6017,2)=0,1,0)</f>
        <v/>
      </c>
      <c r="J6017">
        <f>IF(F6017="","none",IF(G6017=1,"carte","multiple"))</f>
        <v/>
      </c>
    </row>
    <row r="6018">
      <c r="A6018" t="inlineStr">
        <is>
          <t>2022-10-15</t>
        </is>
      </c>
      <c r="B6018" t="inlineStr">
        <is>
          <t>18:44</t>
        </is>
      </c>
      <c r="C6018" t="n">
        <v>3078</v>
      </c>
      <c r="D6018" s="6" t="n">
        <v>2</v>
      </c>
      <c r="E6018" t="n">
        <v>43140</v>
      </c>
      <c r="F6018" s="6" t="n">
        <v>2</v>
      </c>
      <c r="G6018" t="n">
        <v>1</v>
      </c>
      <c r="H6018" s="6">
        <f>ROUND(G6018*F6018,2)</f>
        <v/>
      </c>
      <c r="I6018">
        <f>IF(ROUND(H6018-D6018,2)=0,1,0)</f>
        <v/>
      </c>
      <c r="J6018">
        <f>IF(F6018="","none",IF(G6018=1,"carte","multiple"))</f>
        <v/>
      </c>
    </row>
    <row r="6019">
      <c r="A6019" t="inlineStr">
        <is>
          <t>2022-10-15</t>
        </is>
      </c>
      <c r="B6019" t="inlineStr">
        <is>
          <t>18:44</t>
        </is>
      </c>
      <c r="C6019" t="n">
        <v>3078</v>
      </c>
      <c r="D6019" s="6" t="n">
        <v>1.2</v>
      </c>
      <c r="E6019" t="n">
        <v>43141</v>
      </c>
      <c r="F6019" s="6" t="n">
        <v>1.2</v>
      </c>
      <c r="G6019" t="n">
        <v>1</v>
      </c>
      <c r="H6019" s="6">
        <f>ROUND(G6019*F6019,2)</f>
        <v/>
      </c>
      <c r="I6019">
        <f>IF(ROUND(H6019-D6019,2)=0,1,0)</f>
        <v/>
      </c>
      <c r="J6019">
        <f>IF(F6019="","none",IF(G6019=1,"carte","multiple"))</f>
        <v/>
      </c>
    </row>
    <row r="6020">
      <c r="A6020" t="inlineStr">
        <is>
          <t>2022-10-15</t>
        </is>
      </c>
      <c r="B6020" t="inlineStr">
        <is>
          <t>18:44</t>
        </is>
      </c>
      <c r="C6020" t="n">
        <v>3078</v>
      </c>
      <c r="D6020" s="6" t="n">
        <v>4.7</v>
      </c>
      <c r="E6020" t="n">
        <v>43142</v>
      </c>
      <c r="F6020" s="6" t="n">
        <v>4.7</v>
      </c>
      <c r="G6020" t="n">
        <v>1</v>
      </c>
      <c r="H6020" s="6">
        <f>ROUND(G6020*F6020,2)</f>
        <v/>
      </c>
      <c r="I6020">
        <f>IF(ROUND(H6020-D6020,2)=0,1,0)</f>
        <v/>
      </c>
      <c r="J6020">
        <f>IF(F6020="","none",IF(G6020=1,"carte","multiple"))</f>
        <v/>
      </c>
    </row>
    <row r="6021">
      <c r="A6021" t="inlineStr">
        <is>
          <t>2022-10-15</t>
        </is>
      </c>
      <c r="B6021" t="inlineStr">
        <is>
          <t>18:44</t>
        </is>
      </c>
      <c r="C6021" t="n">
        <v>3078</v>
      </c>
      <c r="D6021" s="6" t="n">
        <v>18.6</v>
      </c>
      <c r="E6021" t="n">
        <v>43143</v>
      </c>
      <c r="F6021" s="6" t="n">
        <v>18.6</v>
      </c>
      <c r="G6021" t="n">
        <v>1</v>
      </c>
      <c r="H6021" s="6">
        <f>ROUND(G6021*F6021,2)</f>
        <v/>
      </c>
      <c r="I6021">
        <f>IF(ROUND(H6021-D6021,2)=0,1,0)</f>
        <v/>
      </c>
      <c r="J6021">
        <f>IF(F6021="","none",IF(G6021=1,"carte","multiple"))</f>
        <v/>
      </c>
    </row>
    <row r="6022">
      <c r="A6022" t="inlineStr">
        <is>
          <t>2022-10-15</t>
        </is>
      </c>
      <c r="B6022" t="inlineStr">
        <is>
          <t>18:44</t>
        </is>
      </c>
      <c r="C6022" t="n">
        <v>3078</v>
      </c>
      <c r="D6022" s="6" t="n">
        <v>18.6</v>
      </c>
      <c r="E6022" t="n">
        <v>43144</v>
      </c>
      <c r="F6022" s="6" t="n">
        <v>18.6</v>
      </c>
      <c r="G6022" t="n">
        <v>1</v>
      </c>
      <c r="H6022" s="6">
        <f>ROUND(G6022*F6022,2)</f>
        <v/>
      </c>
      <c r="I6022">
        <f>IF(ROUND(H6022-D6022,2)=0,1,0)</f>
        <v/>
      </c>
      <c r="J6022">
        <f>IF(F6022="","none",IF(G6022=1,"carte","multiple"))</f>
        <v/>
      </c>
    </row>
    <row r="6023">
      <c r="A6023" t="inlineStr">
        <is>
          <t>2022-10-15</t>
        </is>
      </c>
      <c r="B6023" t="inlineStr">
        <is>
          <t>18:44</t>
        </is>
      </c>
      <c r="C6023" t="n">
        <v>3078</v>
      </c>
      <c r="D6023" s="6" t="n">
        <v>4</v>
      </c>
      <c r="E6023" t="n">
        <v>43145</v>
      </c>
      <c r="F6023" s="6" t="n">
        <v>4</v>
      </c>
      <c r="G6023" t="n">
        <v>1</v>
      </c>
      <c r="H6023" s="6">
        <f>ROUND(G6023*F6023,2)</f>
        <v/>
      </c>
      <c r="I6023">
        <f>IF(ROUND(H6023-D6023,2)=0,1,0)</f>
        <v/>
      </c>
      <c r="J6023">
        <f>IF(F6023="","none",IF(G6023=1,"carte","multiple"))</f>
        <v/>
      </c>
    </row>
    <row r="6024">
      <c r="A6024" t="inlineStr">
        <is>
          <t>2022-10-15</t>
        </is>
      </c>
      <c r="B6024" t="inlineStr">
        <is>
          <t>18:44</t>
        </is>
      </c>
      <c r="C6024" t="n">
        <v>3078</v>
      </c>
      <c r="D6024" s="6" t="n">
        <v>5.9</v>
      </c>
      <c r="E6024" t="n">
        <v>43146</v>
      </c>
      <c r="F6024" s="6" t="n">
        <v>5.9</v>
      </c>
      <c r="G6024" t="n">
        <v>1</v>
      </c>
      <c r="H6024" s="6">
        <f>ROUND(G6024*F6024,2)</f>
        <v/>
      </c>
      <c r="I6024">
        <f>IF(ROUND(H6024-D6024,2)=0,1,0)</f>
        <v/>
      </c>
      <c r="J6024">
        <f>IF(F6024="","none",IF(G6024=1,"carte","multiple"))</f>
        <v/>
      </c>
    </row>
    <row r="6025">
      <c r="A6025" t="inlineStr">
        <is>
          <t>2022-10-15</t>
        </is>
      </c>
      <c r="B6025" t="inlineStr">
        <is>
          <t>19:03</t>
        </is>
      </c>
      <c r="C6025" t="n">
        <v>3078</v>
      </c>
      <c r="D6025" s="6" t="n">
        <v>5.2</v>
      </c>
      <c r="E6025" t="n">
        <v>43147</v>
      </c>
      <c r="F6025" s="6" t="n">
        <v>5.2</v>
      </c>
      <c r="G6025" t="n">
        <v>1</v>
      </c>
      <c r="H6025" s="6">
        <f>ROUND(G6025*F6025,2)</f>
        <v/>
      </c>
      <c r="I6025">
        <f>IF(ROUND(H6025-D6025,2)=0,1,0)</f>
        <v/>
      </c>
      <c r="J6025">
        <f>IF(F6025="","none",IF(G6025=1,"carte","multiple"))</f>
        <v/>
      </c>
    </row>
    <row r="6026">
      <c r="A6026" t="inlineStr">
        <is>
          <t>2022-10-15</t>
        </is>
      </c>
      <c r="B6026" t="inlineStr">
        <is>
          <t>19:47</t>
        </is>
      </c>
      <c r="C6026" t="n">
        <v>3078</v>
      </c>
      <c r="D6026" s="6" t="n">
        <v>7.8</v>
      </c>
      <c r="E6026" t="n">
        <v>43148</v>
      </c>
      <c r="F6026" s="6" t="n">
        <v>7.8</v>
      </c>
      <c r="G6026" t="n">
        <v>1</v>
      </c>
      <c r="H6026" s="6">
        <f>ROUND(G6026*F6026,2)</f>
        <v/>
      </c>
      <c r="I6026">
        <f>IF(ROUND(H6026-D6026,2)=0,1,0)</f>
        <v/>
      </c>
      <c r="J6026">
        <f>IF(F6026="","none",IF(G6026=1,"carte","multiple"))</f>
        <v/>
      </c>
    </row>
    <row r="6027">
      <c r="A6027" t="inlineStr">
        <is>
          <t>2022-10-15</t>
        </is>
      </c>
      <c r="B6027" t="inlineStr">
        <is>
          <t>19:47</t>
        </is>
      </c>
      <c r="C6027" t="n">
        <v>3078</v>
      </c>
      <c r="D6027" s="6" t="n">
        <v>9.800000000000001</v>
      </c>
      <c r="E6027" t="n">
        <v>43149</v>
      </c>
      <c r="F6027" s="6" t="n">
        <v>9.800000000000001</v>
      </c>
      <c r="G6027" t="n">
        <v>1</v>
      </c>
      <c r="H6027" s="6">
        <f>ROUND(G6027*F6027,2)</f>
        <v/>
      </c>
      <c r="I6027">
        <f>IF(ROUND(H6027-D6027,2)=0,1,0)</f>
        <v/>
      </c>
      <c r="J6027">
        <f>IF(F6027="","none",IF(G6027=1,"carte","multiple"))</f>
        <v/>
      </c>
    </row>
    <row r="6028">
      <c r="A6028" t="inlineStr">
        <is>
          <t>2022-10-15</t>
        </is>
      </c>
      <c r="B6028" t="inlineStr">
        <is>
          <t>19:47</t>
        </is>
      </c>
      <c r="C6028" t="n">
        <v>3078</v>
      </c>
      <c r="D6028" s="6" t="n">
        <v>18.6</v>
      </c>
      <c r="E6028" t="n">
        <v>43150</v>
      </c>
      <c r="F6028" s="6" t="n">
        <v>18.6</v>
      </c>
      <c r="G6028" t="n">
        <v>1</v>
      </c>
      <c r="H6028" s="6">
        <f>ROUND(G6028*F6028,2)</f>
        <v/>
      </c>
      <c r="I6028">
        <f>IF(ROUND(H6028-D6028,2)=0,1,0)</f>
        <v/>
      </c>
      <c r="J6028">
        <f>IF(F6028="","none",IF(G6028=1,"carte","multiple"))</f>
        <v/>
      </c>
    </row>
    <row r="6029">
      <c r="A6029" t="inlineStr">
        <is>
          <t>2022-10-15</t>
        </is>
      </c>
      <c r="B6029" t="inlineStr">
        <is>
          <t>19:47</t>
        </is>
      </c>
      <c r="C6029" t="n">
        <v>3078</v>
      </c>
      <c r="D6029" s="6" t="n">
        <v>18.6</v>
      </c>
      <c r="E6029" t="n">
        <v>43151</v>
      </c>
      <c r="F6029" s="6" t="n">
        <v>18.6</v>
      </c>
      <c r="G6029" t="n">
        <v>1</v>
      </c>
      <c r="H6029" s="6">
        <f>ROUND(G6029*F6029,2)</f>
        <v/>
      </c>
      <c r="I6029">
        <f>IF(ROUND(H6029-D6029,2)=0,1,0)</f>
        <v/>
      </c>
      <c r="J6029">
        <f>IF(F6029="","none",IF(G6029=1,"carte","multiple"))</f>
        <v/>
      </c>
    </row>
    <row r="6030">
      <c r="A6030" t="inlineStr">
        <is>
          <t>2022-10-15</t>
        </is>
      </c>
      <c r="B6030" t="inlineStr">
        <is>
          <t>19:47</t>
        </is>
      </c>
      <c r="C6030" t="n">
        <v>3078</v>
      </c>
      <c r="D6030" s="6" t="n">
        <v>10.4</v>
      </c>
      <c r="E6030" t="n">
        <v>43152</v>
      </c>
      <c r="F6030" s="6" t="n">
        <v>0.4</v>
      </c>
      <c r="G6030" t="n">
        <v>26</v>
      </c>
      <c r="H6030" s="6">
        <f>ROUND(G6030*F6030,2)</f>
        <v/>
      </c>
      <c r="I6030">
        <f>IF(ROUND(H6030-D6030,2)=0,1,0)</f>
        <v/>
      </c>
      <c r="J6030">
        <f>IF(F6030="","none",IF(G6030=1,"carte","multiple"))</f>
        <v/>
      </c>
    </row>
    <row r="6031">
      <c r="A6031" t="inlineStr">
        <is>
          <t>2022-10-15</t>
        </is>
      </c>
      <c r="B6031" t="inlineStr">
        <is>
          <t>20:14</t>
        </is>
      </c>
      <c r="C6031" t="n">
        <v>3078</v>
      </c>
      <c r="D6031" s="6" t="n">
        <v>8.5</v>
      </c>
      <c r="E6031" t="n">
        <v>43153</v>
      </c>
      <c r="F6031" s="6" t="n">
        <v>8.5</v>
      </c>
      <c r="G6031" t="n">
        <v>1</v>
      </c>
      <c r="H6031" s="6">
        <f>ROUND(G6031*F6031,2)</f>
        <v/>
      </c>
      <c r="I6031">
        <f>IF(ROUND(H6031-D6031,2)=0,1,0)</f>
        <v/>
      </c>
      <c r="J6031">
        <f>IF(F6031="","none",IF(G6031=1,"carte","multiple"))</f>
        <v/>
      </c>
    </row>
    <row r="6032">
      <c r="A6032" t="inlineStr">
        <is>
          <t>2022-10-15</t>
        </is>
      </c>
      <c r="B6032" t="inlineStr">
        <is>
          <t>20:31</t>
        </is>
      </c>
      <c r="C6032" t="n">
        <v>3078</v>
      </c>
      <c r="D6032" s="6" t="n">
        <v>8.699999999999999</v>
      </c>
      <c r="E6032" t="n">
        <v>43154</v>
      </c>
      <c r="F6032" s="6" t="n">
        <v>8.699999999999999</v>
      </c>
      <c r="G6032" t="n">
        <v>1</v>
      </c>
      <c r="H6032" s="6">
        <f>ROUND(G6032*F6032,2)</f>
        <v/>
      </c>
      <c r="I6032">
        <f>IF(ROUND(H6032-D6032,2)=0,1,0)</f>
        <v/>
      </c>
      <c r="J6032">
        <f>IF(F6032="","none",IF(G6032=1,"carte","multiple"))</f>
        <v/>
      </c>
    </row>
    <row r="6033">
      <c r="A6033" t="inlineStr">
        <is>
          <t>2022-10-15</t>
        </is>
      </c>
      <c r="B6033" t="inlineStr">
        <is>
          <t>20:31</t>
        </is>
      </c>
      <c r="C6033" t="n">
        <v>3078</v>
      </c>
      <c r="D6033" s="6" t="n">
        <v>7.8</v>
      </c>
      <c r="E6033" t="n">
        <v>43155</v>
      </c>
      <c r="F6033" s="6" t="n">
        <v>7.8</v>
      </c>
      <c r="G6033" t="n">
        <v>1</v>
      </c>
      <c r="H6033" s="6">
        <f>ROUND(G6033*F6033,2)</f>
        <v/>
      </c>
      <c r="I6033">
        <f>IF(ROUND(H6033-D6033,2)=0,1,0)</f>
        <v/>
      </c>
      <c r="J6033">
        <f>IF(F6033="","none",IF(G6033=1,"carte","multiple"))</f>
        <v/>
      </c>
    </row>
    <row r="6034">
      <c r="A6034" t="inlineStr">
        <is>
          <t>2022-10-15</t>
        </is>
      </c>
      <c r="B6034" t="inlineStr">
        <is>
          <t>20:31</t>
        </is>
      </c>
      <c r="C6034" t="n">
        <v>3078</v>
      </c>
      <c r="D6034" s="6" t="n">
        <v>16.4</v>
      </c>
      <c r="E6034" t="n">
        <v>43156</v>
      </c>
      <c r="F6034" s="6" t="n">
        <v>16.4</v>
      </c>
      <c r="G6034" t="n">
        <v>1</v>
      </c>
      <c r="H6034" s="6">
        <f>ROUND(G6034*F6034,2)</f>
        <v/>
      </c>
      <c r="I6034">
        <f>IF(ROUND(H6034-D6034,2)=0,1,0)</f>
        <v/>
      </c>
      <c r="J6034">
        <f>IF(F6034="","none",IF(G6034=1,"carte","multiple"))</f>
        <v/>
      </c>
    </row>
    <row r="6035">
      <c r="A6035" t="inlineStr">
        <is>
          <t>2022-10-15</t>
        </is>
      </c>
      <c r="B6035" t="inlineStr">
        <is>
          <t>20:31</t>
        </is>
      </c>
      <c r="C6035" t="n">
        <v>3078</v>
      </c>
      <c r="D6035" s="6" t="n">
        <v>38</v>
      </c>
      <c r="E6035" t="n">
        <v>43157</v>
      </c>
      <c r="F6035" s="6" t="n">
        <v>0.4</v>
      </c>
      <c r="G6035" t="n">
        <v>95</v>
      </c>
      <c r="H6035" s="6">
        <f>ROUND(G6035*F6035,2)</f>
        <v/>
      </c>
      <c r="I6035">
        <f>IF(ROUND(H6035-D6035,2)=0,1,0)</f>
        <v/>
      </c>
      <c r="J6035">
        <f>IF(F6035="","none",IF(G6035=1,"carte","multiple"))</f>
        <v/>
      </c>
    </row>
    <row r="6036">
      <c r="A6036" t="inlineStr">
        <is>
          <t>2022-10-15</t>
        </is>
      </c>
      <c r="B6036" t="inlineStr">
        <is>
          <t>20:31</t>
        </is>
      </c>
      <c r="C6036" t="n">
        <v>3078</v>
      </c>
      <c r="D6036" s="6" t="n">
        <v>6.5</v>
      </c>
      <c r="E6036" t="n">
        <v>43158</v>
      </c>
      <c r="F6036" s="6" t="n">
        <v>6.5</v>
      </c>
      <c r="G6036" t="n">
        <v>1</v>
      </c>
      <c r="H6036" s="6">
        <f>ROUND(G6036*F6036,2)</f>
        <v/>
      </c>
      <c r="I6036">
        <f>IF(ROUND(H6036-D6036,2)=0,1,0)</f>
        <v/>
      </c>
      <c r="J6036">
        <f>IF(F6036="","none",IF(G6036=1,"carte","multiple"))</f>
        <v/>
      </c>
    </row>
    <row r="6037">
      <c r="A6037" t="inlineStr">
        <is>
          <t>2022-10-15</t>
        </is>
      </c>
      <c r="B6037" t="inlineStr">
        <is>
          <t>20:31</t>
        </is>
      </c>
      <c r="C6037" t="n">
        <v>3078</v>
      </c>
      <c r="D6037" s="6" t="n">
        <v>7.9</v>
      </c>
      <c r="E6037" t="n">
        <v>43159</v>
      </c>
      <c r="F6037" s="6" t="n">
        <v>7.9</v>
      </c>
      <c r="G6037" t="n">
        <v>1</v>
      </c>
      <c r="H6037" s="6">
        <f>ROUND(G6037*F6037,2)</f>
        <v/>
      </c>
      <c r="I6037">
        <f>IF(ROUND(H6037-D6037,2)=0,1,0)</f>
        <v/>
      </c>
      <c r="J6037">
        <f>IF(F6037="","none",IF(G6037=1,"carte","multiple"))</f>
        <v/>
      </c>
    </row>
    <row r="6038">
      <c r="A6038" t="inlineStr">
        <is>
          <t>2022-10-15</t>
        </is>
      </c>
      <c r="B6038" t="inlineStr">
        <is>
          <t>20:31</t>
        </is>
      </c>
      <c r="C6038" t="n">
        <v>3078</v>
      </c>
      <c r="D6038" s="6" t="n">
        <v>5.2</v>
      </c>
      <c r="E6038" t="n">
        <v>43160</v>
      </c>
      <c r="F6038" s="6" t="n">
        <v>5.2</v>
      </c>
      <c r="G6038" t="n">
        <v>1</v>
      </c>
      <c r="H6038" s="6">
        <f>ROUND(G6038*F6038,2)</f>
        <v/>
      </c>
      <c r="I6038">
        <f>IF(ROUND(H6038-D6038,2)=0,1,0)</f>
        <v/>
      </c>
      <c r="J6038">
        <f>IF(F6038="","none",IF(G6038=1,"carte","multiple"))</f>
        <v/>
      </c>
    </row>
    <row r="6039">
      <c r="A6039" t="inlineStr">
        <is>
          <t>2022-10-15</t>
        </is>
      </c>
      <c r="B6039" t="inlineStr">
        <is>
          <t>20:58</t>
        </is>
      </c>
      <c r="C6039" t="n">
        <v>3078</v>
      </c>
      <c r="D6039" s="6" t="n">
        <v>4.4</v>
      </c>
      <c r="E6039" t="n">
        <v>43161</v>
      </c>
      <c r="F6039" s="6" t="n">
        <v>0.4</v>
      </c>
      <c r="G6039" t="n">
        <v>11</v>
      </c>
      <c r="H6039" s="6">
        <f>ROUND(G6039*F6039,2)</f>
        <v/>
      </c>
      <c r="I6039">
        <f>IF(ROUND(H6039-D6039,2)=0,1,0)</f>
        <v/>
      </c>
      <c r="J6039">
        <f>IF(F6039="","none",IF(G6039=1,"carte","multiple"))</f>
        <v/>
      </c>
    </row>
    <row r="6040">
      <c r="A6040" t="inlineStr">
        <is>
          <t>2022-10-15</t>
        </is>
      </c>
      <c r="B6040" t="inlineStr">
        <is>
          <t>20:58</t>
        </is>
      </c>
      <c r="C6040" t="n">
        <v>3078</v>
      </c>
      <c r="D6040" s="6" t="n">
        <v>2.9</v>
      </c>
      <c r="E6040" t="n">
        <v>43162</v>
      </c>
      <c r="F6040" s="6" t="n">
        <v>2.9</v>
      </c>
      <c r="G6040" t="n">
        <v>1</v>
      </c>
      <c r="H6040" s="6">
        <f>ROUND(G6040*F6040,2)</f>
        <v/>
      </c>
      <c r="I6040">
        <f>IF(ROUND(H6040-D6040,2)=0,1,0)</f>
        <v/>
      </c>
      <c r="J6040">
        <f>IF(F6040="","none",IF(G6040=1,"carte","multiple"))</f>
        <v/>
      </c>
    </row>
    <row r="6041">
      <c r="A6041" t="inlineStr">
        <is>
          <t>2022-10-15</t>
        </is>
      </c>
      <c r="B6041" t="inlineStr">
        <is>
          <t>20:58</t>
        </is>
      </c>
      <c r="C6041" t="n">
        <v>3078</v>
      </c>
      <c r="D6041" s="6" t="n">
        <v>8.5</v>
      </c>
      <c r="E6041" t="n">
        <v>43163</v>
      </c>
      <c r="F6041" s="6" t="n">
        <v>8.5</v>
      </c>
      <c r="G6041" t="n">
        <v>1</v>
      </c>
      <c r="H6041" s="6">
        <f>ROUND(G6041*F6041,2)</f>
        <v/>
      </c>
      <c r="I6041">
        <f>IF(ROUND(H6041-D6041,2)=0,1,0)</f>
        <v/>
      </c>
      <c r="J6041">
        <f>IF(F6041="","none",IF(G6041=1,"carte","multiple"))</f>
        <v/>
      </c>
    </row>
    <row r="6042">
      <c r="A6042" t="inlineStr">
        <is>
          <t>2022-10-15</t>
        </is>
      </c>
      <c r="B6042" t="inlineStr">
        <is>
          <t>20:58</t>
        </is>
      </c>
      <c r="C6042" t="n">
        <v>3078</v>
      </c>
      <c r="D6042" s="6" t="n">
        <v>3.9</v>
      </c>
      <c r="E6042" t="n">
        <v>43164</v>
      </c>
      <c r="F6042" s="6" t="n">
        <v>3.9</v>
      </c>
      <c r="G6042" t="n">
        <v>1</v>
      </c>
      <c r="H6042" s="6">
        <f>ROUND(G6042*F6042,2)</f>
        <v/>
      </c>
      <c r="I6042">
        <f>IF(ROUND(H6042-D6042,2)=0,1,0)</f>
        <v/>
      </c>
      <c r="J6042">
        <f>IF(F6042="","none",IF(G6042=1,"carte","multiple"))</f>
        <v/>
      </c>
    </row>
    <row r="6043">
      <c r="A6043" t="inlineStr">
        <is>
          <t>2022-10-15</t>
        </is>
      </c>
      <c r="B6043" t="inlineStr">
        <is>
          <t>20:58</t>
        </is>
      </c>
      <c r="C6043" t="n">
        <v>3078</v>
      </c>
      <c r="D6043" s="6" t="n">
        <v>17</v>
      </c>
      <c r="E6043" t="n">
        <v>43165</v>
      </c>
      <c r="F6043" s="6" t="n">
        <v>17</v>
      </c>
      <c r="G6043" t="n">
        <v>1</v>
      </c>
      <c r="H6043" s="6">
        <f>ROUND(G6043*F6043,2)</f>
        <v/>
      </c>
      <c r="I6043">
        <f>IF(ROUND(H6043-D6043,2)=0,1,0)</f>
        <v/>
      </c>
      <c r="J6043">
        <f>IF(F6043="","none",IF(G6043=1,"carte","multiple"))</f>
        <v/>
      </c>
    </row>
    <row r="6044">
      <c r="A6044" t="inlineStr">
        <is>
          <t>2022-10-15</t>
        </is>
      </c>
      <c r="B6044" t="inlineStr">
        <is>
          <t>20:58</t>
        </is>
      </c>
      <c r="C6044" t="n">
        <v>3078</v>
      </c>
      <c r="D6044" s="6" t="n">
        <v>18.6</v>
      </c>
      <c r="E6044" t="n">
        <v>43166</v>
      </c>
      <c r="F6044" s="6" t="n">
        <v>18.6</v>
      </c>
      <c r="G6044" t="n">
        <v>1</v>
      </c>
      <c r="H6044" s="6">
        <f>ROUND(G6044*F6044,2)</f>
        <v/>
      </c>
      <c r="I6044">
        <f>IF(ROUND(H6044-D6044,2)=0,1,0)</f>
        <v/>
      </c>
      <c r="J6044">
        <f>IF(F6044="","none",IF(G6044=1,"carte","multiple"))</f>
        <v/>
      </c>
    </row>
    <row r="6045">
      <c r="A6045" t="inlineStr">
        <is>
          <t>2022-10-15</t>
        </is>
      </c>
      <c r="B6045" t="inlineStr">
        <is>
          <t>20:58</t>
        </is>
      </c>
      <c r="C6045" t="n">
        <v>3078</v>
      </c>
      <c r="D6045" s="6" t="n">
        <v>25</v>
      </c>
      <c r="E6045" t="n">
        <v>43167</v>
      </c>
      <c r="F6045" s="6" t="n">
        <v>25</v>
      </c>
      <c r="G6045" t="n">
        <v>1</v>
      </c>
      <c r="H6045" s="6">
        <f>ROUND(G6045*F6045,2)</f>
        <v/>
      </c>
      <c r="I6045">
        <f>IF(ROUND(H6045-D6045,2)=0,1,0)</f>
        <v/>
      </c>
      <c r="J6045">
        <f>IF(F6045="","none",IF(G6045=1,"carte","multiple"))</f>
        <v/>
      </c>
    </row>
    <row r="6046">
      <c r="A6046" t="inlineStr">
        <is>
          <t>2022-10-15</t>
        </is>
      </c>
      <c r="B6046" t="inlineStr">
        <is>
          <t>20:58</t>
        </is>
      </c>
      <c r="C6046" t="n">
        <v>3078</v>
      </c>
      <c r="D6046" s="6" t="n">
        <v>18.6</v>
      </c>
      <c r="E6046" t="n">
        <v>43168</v>
      </c>
      <c r="F6046" s="6" t="n">
        <v>18.6</v>
      </c>
      <c r="G6046" t="n">
        <v>1</v>
      </c>
      <c r="H6046" s="6">
        <f>ROUND(G6046*F6046,2)</f>
        <v/>
      </c>
      <c r="I6046">
        <f>IF(ROUND(H6046-D6046,2)=0,1,0)</f>
        <v/>
      </c>
      <c r="J6046">
        <f>IF(F6046="","none",IF(G6046=1,"carte","multiple"))</f>
        <v/>
      </c>
    </row>
    <row r="6047">
      <c r="A6047" t="inlineStr">
        <is>
          <t>2022-10-15</t>
        </is>
      </c>
      <c r="B6047" t="inlineStr">
        <is>
          <t>20:58</t>
        </is>
      </c>
      <c r="C6047" t="n">
        <v>3078</v>
      </c>
      <c r="D6047" s="6" t="n">
        <v>18.6</v>
      </c>
      <c r="E6047" t="n">
        <v>43169</v>
      </c>
      <c r="F6047" s="6" t="n">
        <v>18.6</v>
      </c>
      <c r="G6047" t="n">
        <v>1</v>
      </c>
      <c r="H6047" s="6">
        <f>ROUND(G6047*F6047,2)</f>
        <v/>
      </c>
      <c r="I6047">
        <f>IF(ROUND(H6047-D6047,2)=0,1,0)</f>
        <v/>
      </c>
      <c r="J6047">
        <f>IF(F6047="","none",IF(G6047=1,"carte","multiple"))</f>
        <v/>
      </c>
    </row>
    <row r="6048">
      <c r="A6048" t="inlineStr">
        <is>
          <t>2022-10-15</t>
        </is>
      </c>
      <c r="B6048" t="inlineStr">
        <is>
          <t>20:58</t>
        </is>
      </c>
      <c r="C6048" t="n">
        <v>3078</v>
      </c>
      <c r="D6048" s="6" t="n">
        <v>8.9</v>
      </c>
      <c r="E6048" t="n">
        <v>43170</v>
      </c>
      <c r="F6048" s="6" t="n">
        <v>8.9</v>
      </c>
      <c r="G6048" t="n">
        <v>1</v>
      </c>
      <c r="H6048" s="6">
        <f>ROUND(G6048*F6048,2)</f>
        <v/>
      </c>
      <c r="I6048">
        <f>IF(ROUND(H6048-D6048,2)=0,1,0)</f>
        <v/>
      </c>
      <c r="J6048">
        <f>IF(F6048="","none",IF(G6048=1,"carte","multiple"))</f>
        <v/>
      </c>
    </row>
    <row r="6049">
      <c r="A6049" t="inlineStr">
        <is>
          <t>2022-10-15</t>
        </is>
      </c>
      <c r="B6049" t="inlineStr">
        <is>
          <t>20:58</t>
        </is>
      </c>
      <c r="C6049" t="n">
        <v>3078</v>
      </c>
      <c r="D6049" s="6" t="n">
        <v>9.6</v>
      </c>
      <c r="E6049" t="n">
        <v>43171</v>
      </c>
      <c r="F6049" s="6" t="n">
        <v>9.6</v>
      </c>
      <c r="G6049" t="n">
        <v>1</v>
      </c>
      <c r="H6049" s="6">
        <f>ROUND(G6049*F6049,2)</f>
        <v/>
      </c>
      <c r="I6049">
        <f>IF(ROUND(H6049-D6049,2)=0,1,0)</f>
        <v/>
      </c>
      <c r="J6049">
        <f>IF(F6049="","none",IF(G6049=1,"carte","multiple"))</f>
        <v/>
      </c>
    </row>
    <row r="6050">
      <c r="A6050" t="inlineStr">
        <is>
          <t>2022-10-15</t>
        </is>
      </c>
      <c r="B6050" t="inlineStr">
        <is>
          <t>20:58</t>
        </is>
      </c>
      <c r="C6050" t="n">
        <v>3078</v>
      </c>
      <c r="D6050" s="6" t="n">
        <v>16</v>
      </c>
      <c r="E6050" t="n">
        <v>43172</v>
      </c>
      <c r="F6050" s="6" t="n">
        <v>16</v>
      </c>
      <c r="G6050" t="n">
        <v>1</v>
      </c>
      <c r="H6050" s="6">
        <f>ROUND(G6050*F6050,2)</f>
        <v/>
      </c>
      <c r="I6050">
        <f>IF(ROUND(H6050-D6050,2)=0,1,0)</f>
        <v/>
      </c>
      <c r="J6050">
        <f>IF(F6050="","none",IF(G6050=1,"carte","multiple"))</f>
        <v/>
      </c>
    </row>
    <row r="6051">
      <c r="A6051" t="inlineStr">
        <is>
          <t>2022-10-15</t>
        </is>
      </c>
      <c r="B6051" t="inlineStr">
        <is>
          <t>20:58</t>
        </is>
      </c>
      <c r="C6051" t="n">
        <v>3078</v>
      </c>
      <c r="D6051" s="6" t="n">
        <v>45</v>
      </c>
      <c r="E6051" t="n">
        <v>43173</v>
      </c>
      <c r="F6051" s="6" t="n">
        <v>45</v>
      </c>
      <c r="G6051" t="n">
        <v>1</v>
      </c>
      <c r="H6051" s="6">
        <f>ROUND(G6051*F6051,2)</f>
        <v/>
      </c>
      <c r="I6051">
        <f>IF(ROUND(H6051-D6051,2)=0,1,0)</f>
        <v/>
      </c>
      <c r="J6051">
        <f>IF(F6051="","none",IF(G6051=1,"carte","multiple"))</f>
        <v/>
      </c>
    </row>
    <row r="6052">
      <c r="A6052" t="inlineStr">
        <is>
          <t>2022-10-15</t>
        </is>
      </c>
      <c r="B6052" t="inlineStr">
        <is>
          <t>20:58</t>
        </is>
      </c>
      <c r="C6052" t="n">
        <v>3078</v>
      </c>
      <c r="D6052" s="6" t="n">
        <v>36</v>
      </c>
      <c r="E6052" t="n">
        <v>43174</v>
      </c>
      <c r="F6052" s="6" t="n">
        <v>36</v>
      </c>
      <c r="G6052" t="n">
        <v>1</v>
      </c>
      <c r="H6052" s="6">
        <f>ROUND(G6052*F6052,2)</f>
        <v/>
      </c>
      <c r="I6052">
        <f>IF(ROUND(H6052-D6052,2)=0,1,0)</f>
        <v/>
      </c>
      <c r="J6052">
        <f>IF(F6052="","none",IF(G6052=1,"carte","multiple"))</f>
        <v/>
      </c>
    </row>
    <row r="6053">
      <c r="A6053" t="inlineStr">
        <is>
          <t>2022-10-15</t>
        </is>
      </c>
      <c r="B6053" t="inlineStr">
        <is>
          <t>20:58</t>
        </is>
      </c>
      <c r="C6053" t="n">
        <v>3078</v>
      </c>
      <c r="D6053" s="6" t="n">
        <v>9</v>
      </c>
      <c r="E6053" t="n">
        <v>43175</v>
      </c>
      <c r="F6053" s="6" t="n">
        <v>9</v>
      </c>
      <c r="G6053" t="n">
        <v>1</v>
      </c>
      <c r="H6053" s="6">
        <f>ROUND(G6053*F6053,2)</f>
        <v/>
      </c>
      <c r="I6053">
        <f>IF(ROUND(H6053-D6053,2)=0,1,0)</f>
        <v/>
      </c>
      <c r="J6053">
        <f>IF(F6053="","none",IF(G6053=1,"carte","multiple"))</f>
        <v/>
      </c>
    </row>
    <row r="6054">
      <c r="A6054" t="inlineStr">
        <is>
          <t>2022-10-15</t>
        </is>
      </c>
      <c r="B6054" t="inlineStr">
        <is>
          <t>20:58</t>
        </is>
      </c>
      <c r="C6054" t="n">
        <v>3078</v>
      </c>
      <c r="D6054" s="6" t="n">
        <v>5.2</v>
      </c>
      <c r="E6054" t="n">
        <v>43176</v>
      </c>
      <c r="F6054" s="6" t="n">
        <v>5.2</v>
      </c>
      <c r="G6054" t="n">
        <v>1</v>
      </c>
      <c r="H6054" s="6">
        <f>ROUND(G6054*F6054,2)</f>
        <v/>
      </c>
      <c r="I6054">
        <f>IF(ROUND(H6054-D6054,2)=0,1,0)</f>
        <v/>
      </c>
      <c r="J6054">
        <f>IF(F6054="","none",IF(G6054=1,"carte","multiple"))</f>
        <v/>
      </c>
    </row>
    <row r="6055">
      <c r="A6055" t="inlineStr">
        <is>
          <t>2022-10-15</t>
        </is>
      </c>
      <c r="B6055" t="inlineStr">
        <is>
          <t>20:58</t>
        </is>
      </c>
      <c r="C6055" t="n">
        <v>3078</v>
      </c>
      <c r="D6055" s="6" t="n">
        <v>5.2</v>
      </c>
      <c r="E6055" t="n">
        <v>43177</v>
      </c>
      <c r="F6055" s="6" t="n">
        <v>5.2</v>
      </c>
      <c r="G6055" t="n">
        <v>1</v>
      </c>
      <c r="H6055" s="6">
        <f>ROUND(G6055*F6055,2)</f>
        <v/>
      </c>
      <c r="I6055">
        <f>IF(ROUND(H6055-D6055,2)=0,1,0)</f>
        <v/>
      </c>
      <c r="J6055">
        <f>IF(F6055="","none",IF(G6055=1,"carte","multiple"))</f>
        <v/>
      </c>
    </row>
    <row r="6056">
      <c r="A6056" t="inlineStr">
        <is>
          <t>2022-10-15</t>
        </is>
      </c>
      <c r="B6056" t="inlineStr">
        <is>
          <t>20:58</t>
        </is>
      </c>
      <c r="C6056" t="n">
        <v>3078</v>
      </c>
      <c r="D6056" s="6" t="n">
        <v>4.9</v>
      </c>
      <c r="E6056" t="n">
        <v>43178</v>
      </c>
      <c r="F6056" s="6" t="n">
        <v>4.9</v>
      </c>
      <c r="G6056" t="n">
        <v>1</v>
      </c>
      <c r="H6056" s="6">
        <f>ROUND(G6056*F6056,2)</f>
        <v/>
      </c>
      <c r="I6056">
        <f>IF(ROUND(H6056-D6056,2)=0,1,0)</f>
        <v/>
      </c>
      <c r="J6056">
        <f>IF(F6056="","none",IF(G6056=1,"carte","multiple"))</f>
        <v/>
      </c>
    </row>
    <row r="6057">
      <c r="A6057" t="inlineStr">
        <is>
          <t>2022-10-15</t>
        </is>
      </c>
      <c r="B6057" t="inlineStr">
        <is>
          <t>20:58</t>
        </is>
      </c>
      <c r="C6057" t="n">
        <v>3078</v>
      </c>
      <c r="D6057" s="6" t="n">
        <v>5.2</v>
      </c>
      <c r="E6057" t="n">
        <v>43179</v>
      </c>
      <c r="F6057" s="6" t="n">
        <v>5.2</v>
      </c>
      <c r="G6057" t="n">
        <v>1</v>
      </c>
      <c r="H6057" s="6">
        <f>ROUND(G6057*F6057,2)</f>
        <v/>
      </c>
      <c r="I6057">
        <f>IF(ROUND(H6057-D6057,2)=0,1,0)</f>
        <v/>
      </c>
      <c r="J6057">
        <f>IF(F6057="","none",IF(G6057=1,"carte","multiple"))</f>
        <v/>
      </c>
    </row>
    <row r="6058">
      <c r="A6058" t="inlineStr">
        <is>
          <t>2022-10-16</t>
        </is>
      </c>
      <c r="B6058" t="inlineStr">
        <is>
          <t>10:59</t>
        </is>
      </c>
      <c r="C6058" t="n">
        <v>3079</v>
      </c>
      <c r="D6058" s="6" t="n">
        <v>4.2</v>
      </c>
      <c r="E6058" t="n">
        <v>43182</v>
      </c>
      <c r="F6058" s="6" t="n">
        <v>4.2</v>
      </c>
      <c r="G6058" t="n">
        <v>1</v>
      </c>
      <c r="H6058" s="6">
        <f>ROUND(G6058*F6058,2)</f>
        <v/>
      </c>
      <c r="I6058">
        <f>IF(ROUND(H6058-D6058,2)=0,1,0)</f>
        <v/>
      </c>
      <c r="J6058">
        <f>IF(F6058="","none",IF(G6058=1,"carte","multiple"))</f>
        <v/>
      </c>
    </row>
    <row r="6059">
      <c r="A6059" t="inlineStr">
        <is>
          <t>2022-10-16</t>
        </is>
      </c>
      <c r="B6059" t="inlineStr">
        <is>
          <t>11:09</t>
        </is>
      </c>
      <c r="C6059" t="n">
        <v>3079</v>
      </c>
      <c r="D6059" s="6" t="n">
        <v>28.6</v>
      </c>
      <c r="E6059" t="n">
        <v>43183</v>
      </c>
      <c r="F6059" s="6" t="n">
        <v>28.6</v>
      </c>
      <c r="G6059" t="n">
        <v>1</v>
      </c>
      <c r="H6059" s="6">
        <f>ROUND(G6059*F6059,2)</f>
        <v/>
      </c>
      <c r="I6059">
        <f>IF(ROUND(H6059-D6059,2)=0,1,0)</f>
        <v/>
      </c>
      <c r="J6059">
        <f>IF(F6059="","none",IF(G6059=1,"carte","multiple"))</f>
        <v/>
      </c>
    </row>
    <row r="6060">
      <c r="A6060" t="inlineStr">
        <is>
          <t>2022-10-16</t>
        </is>
      </c>
      <c r="B6060" t="inlineStr">
        <is>
          <t>11:21</t>
        </is>
      </c>
      <c r="C6060" t="n">
        <v>3079</v>
      </c>
      <c r="D6060" s="6" t="n">
        <v>36</v>
      </c>
      <c r="E6060" t="n">
        <v>43184</v>
      </c>
      <c r="F6060" s="6" t="n">
        <v>36</v>
      </c>
      <c r="G6060" t="n">
        <v>1</v>
      </c>
      <c r="H6060" s="6">
        <f>ROUND(G6060*F6060,2)</f>
        <v/>
      </c>
      <c r="I6060">
        <f>IF(ROUND(H6060-D6060,2)=0,1,0)</f>
        <v/>
      </c>
      <c r="J6060">
        <f>IF(F6060="","none",IF(G6060=1,"carte","multiple"))</f>
        <v/>
      </c>
    </row>
    <row r="6061">
      <c r="A6061" t="inlineStr">
        <is>
          <t>2022-10-16</t>
        </is>
      </c>
      <c r="B6061" t="inlineStr">
        <is>
          <t>11:27</t>
        </is>
      </c>
      <c r="C6061" t="n">
        <v>3079</v>
      </c>
      <c r="D6061" s="6" t="n">
        <v>3.8</v>
      </c>
      <c r="E6061" t="n">
        <v>43185</v>
      </c>
      <c r="F6061" s="6" t="n">
        <v>3.8</v>
      </c>
      <c r="G6061" t="n">
        <v>1</v>
      </c>
      <c r="H6061" s="6">
        <f>ROUND(G6061*F6061,2)</f>
        <v/>
      </c>
      <c r="I6061">
        <f>IF(ROUND(H6061-D6061,2)=0,1,0)</f>
        <v/>
      </c>
      <c r="J6061">
        <f>IF(F6061="","none",IF(G6061=1,"carte","multiple"))</f>
        <v/>
      </c>
    </row>
    <row r="6062">
      <c r="A6062" t="inlineStr">
        <is>
          <t>2022-10-16</t>
        </is>
      </c>
      <c r="B6062" t="inlineStr">
        <is>
          <t>11:37</t>
        </is>
      </c>
      <c r="C6062" t="n">
        <v>3079</v>
      </c>
      <c r="D6062" s="6" t="n">
        <v>2.9</v>
      </c>
      <c r="E6062" t="n">
        <v>43186</v>
      </c>
      <c r="F6062" s="6" t="n">
        <v>2.9</v>
      </c>
      <c r="G6062" t="n">
        <v>1</v>
      </c>
      <c r="H6062" s="6">
        <f>ROUND(G6062*F6062,2)</f>
        <v/>
      </c>
      <c r="I6062">
        <f>IF(ROUND(H6062-D6062,2)=0,1,0)</f>
        <v/>
      </c>
      <c r="J6062">
        <f>IF(F6062="","none",IF(G6062=1,"carte","multiple"))</f>
        <v/>
      </c>
    </row>
    <row r="6063">
      <c r="A6063" t="inlineStr">
        <is>
          <t>2022-10-16</t>
        </is>
      </c>
      <c r="B6063" t="inlineStr">
        <is>
          <t>11:53</t>
        </is>
      </c>
      <c r="C6063" t="n">
        <v>3079</v>
      </c>
      <c r="D6063" s="6" t="n">
        <v>6.9</v>
      </c>
      <c r="E6063" t="n">
        <v>43187</v>
      </c>
      <c r="F6063" s="6" t="n">
        <v>6.9</v>
      </c>
      <c r="G6063" t="n">
        <v>1</v>
      </c>
      <c r="H6063" s="6">
        <f>ROUND(G6063*F6063,2)</f>
        <v/>
      </c>
      <c r="I6063">
        <f>IF(ROUND(H6063-D6063,2)=0,1,0)</f>
        <v/>
      </c>
      <c r="J6063">
        <f>IF(F6063="","none",IF(G6063=1,"carte","multiple"))</f>
        <v/>
      </c>
    </row>
    <row r="6064">
      <c r="A6064" t="inlineStr">
        <is>
          <t>2022-10-16</t>
        </is>
      </c>
      <c r="B6064" t="inlineStr">
        <is>
          <t>12:47</t>
        </is>
      </c>
      <c r="C6064" t="n">
        <v>3079</v>
      </c>
      <c r="D6064" s="6" t="n">
        <v>4.9</v>
      </c>
      <c r="E6064" t="n">
        <v>43188</v>
      </c>
      <c r="F6064" s="6" t="n">
        <v>4.9</v>
      </c>
      <c r="G6064" t="n">
        <v>1</v>
      </c>
      <c r="H6064" s="6">
        <f>ROUND(G6064*F6064,2)</f>
        <v/>
      </c>
      <c r="I6064">
        <f>IF(ROUND(H6064-D6064,2)=0,1,0)</f>
        <v/>
      </c>
      <c r="J6064">
        <f>IF(F6064="","none",IF(G6064=1,"carte","multiple"))</f>
        <v/>
      </c>
    </row>
    <row r="6065">
      <c r="A6065" t="inlineStr">
        <is>
          <t>2022-10-16</t>
        </is>
      </c>
      <c r="B6065" t="inlineStr">
        <is>
          <t>12:47</t>
        </is>
      </c>
      <c r="C6065" t="n">
        <v>3079</v>
      </c>
      <c r="D6065" s="6" t="n">
        <v>4.5</v>
      </c>
      <c r="E6065" t="n">
        <v>43189</v>
      </c>
      <c r="F6065" s="6" t="n">
        <v>4.5</v>
      </c>
      <c r="G6065" t="n">
        <v>1</v>
      </c>
      <c r="H6065" s="6">
        <f>ROUND(G6065*F6065,2)</f>
        <v/>
      </c>
      <c r="I6065">
        <f>IF(ROUND(H6065-D6065,2)=0,1,0)</f>
        <v/>
      </c>
      <c r="J6065">
        <f>IF(F6065="","none",IF(G6065=1,"carte","multiple"))</f>
        <v/>
      </c>
    </row>
    <row r="6066">
      <c r="A6066" t="inlineStr">
        <is>
          <t>2022-10-16</t>
        </is>
      </c>
      <c r="B6066" t="inlineStr">
        <is>
          <t>12:47</t>
        </is>
      </c>
      <c r="C6066" t="n">
        <v>3079</v>
      </c>
      <c r="D6066" s="6" t="n">
        <v>4.2</v>
      </c>
      <c r="E6066" t="n">
        <v>43190</v>
      </c>
      <c r="F6066" s="6" t="n">
        <v>4.2</v>
      </c>
      <c r="G6066" t="n">
        <v>1</v>
      </c>
      <c r="H6066" s="6">
        <f>ROUND(G6066*F6066,2)</f>
        <v/>
      </c>
      <c r="I6066">
        <f>IF(ROUND(H6066-D6066,2)=0,1,0)</f>
        <v/>
      </c>
      <c r="J6066">
        <f>IF(F6066="","none",IF(G6066=1,"carte","multiple"))</f>
        <v/>
      </c>
    </row>
    <row r="6067">
      <c r="A6067" t="inlineStr">
        <is>
          <t>2022-10-16</t>
        </is>
      </c>
      <c r="B6067" t="inlineStr">
        <is>
          <t>12:47</t>
        </is>
      </c>
      <c r="C6067" t="n">
        <v>3079</v>
      </c>
      <c r="D6067" s="6" t="n">
        <v>3.9</v>
      </c>
      <c r="E6067" t="n">
        <v>43191</v>
      </c>
      <c r="F6067" s="6" t="n">
        <v>3.9</v>
      </c>
      <c r="G6067" t="n">
        <v>1</v>
      </c>
      <c r="H6067" s="6">
        <f>ROUND(G6067*F6067,2)</f>
        <v/>
      </c>
      <c r="I6067">
        <f>IF(ROUND(H6067-D6067,2)=0,1,0)</f>
        <v/>
      </c>
      <c r="J6067">
        <f>IF(F6067="","none",IF(G6067=1,"carte","multiple"))</f>
        <v/>
      </c>
    </row>
    <row r="6068">
      <c r="A6068" t="inlineStr">
        <is>
          <t>2022-10-16</t>
        </is>
      </c>
      <c r="B6068" t="inlineStr">
        <is>
          <t>12:47</t>
        </is>
      </c>
      <c r="C6068" t="n">
        <v>3079</v>
      </c>
      <c r="D6068" s="6" t="n">
        <v>3.9</v>
      </c>
      <c r="E6068" t="n">
        <v>43192</v>
      </c>
      <c r="F6068" s="6" t="n">
        <v>3.9</v>
      </c>
      <c r="G6068" t="n">
        <v>1</v>
      </c>
      <c r="H6068" s="6">
        <f>ROUND(G6068*F6068,2)</f>
        <v/>
      </c>
      <c r="I6068">
        <f>IF(ROUND(H6068-D6068,2)=0,1,0)</f>
        <v/>
      </c>
      <c r="J6068">
        <f>IF(F6068="","none",IF(G6068=1,"carte","multiple"))</f>
        <v/>
      </c>
    </row>
    <row r="6069">
      <c r="A6069" t="inlineStr">
        <is>
          <t>2022-10-16</t>
        </is>
      </c>
      <c r="B6069" t="inlineStr">
        <is>
          <t>12:47</t>
        </is>
      </c>
      <c r="C6069" t="n">
        <v>3079</v>
      </c>
      <c r="D6069" s="6" t="n">
        <v>3.9</v>
      </c>
      <c r="E6069" t="n">
        <v>43193</v>
      </c>
      <c r="F6069" s="6" t="n">
        <v>3.9</v>
      </c>
      <c r="G6069" t="n">
        <v>1</v>
      </c>
      <c r="H6069" s="6">
        <f>ROUND(G6069*F6069,2)</f>
        <v/>
      </c>
      <c r="I6069">
        <f>IF(ROUND(H6069-D6069,2)=0,1,0)</f>
        <v/>
      </c>
      <c r="J6069">
        <f>IF(F6069="","none",IF(G6069=1,"carte","multiple"))</f>
        <v/>
      </c>
    </row>
    <row r="6070">
      <c r="A6070" t="inlineStr">
        <is>
          <t>2022-10-16</t>
        </is>
      </c>
      <c r="B6070" t="inlineStr">
        <is>
          <t>12:47</t>
        </is>
      </c>
      <c r="C6070" t="n">
        <v>3079</v>
      </c>
      <c r="D6070" s="6" t="n">
        <v>39.5</v>
      </c>
      <c r="E6070" t="n">
        <v>43194</v>
      </c>
      <c r="F6070" s="6" t="n">
        <v>39.5</v>
      </c>
      <c r="G6070" t="n">
        <v>1</v>
      </c>
      <c r="H6070" s="6">
        <f>ROUND(G6070*F6070,2)</f>
        <v/>
      </c>
      <c r="I6070">
        <f>IF(ROUND(H6070-D6070,2)=0,1,0)</f>
        <v/>
      </c>
      <c r="J6070">
        <f>IF(F6070="","none",IF(G6070=1,"carte","multiple"))</f>
        <v/>
      </c>
    </row>
    <row r="6071">
      <c r="A6071" t="inlineStr">
        <is>
          <t>2022-10-16</t>
        </is>
      </c>
      <c r="B6071" t="inlineStr">
        <is>
          <t>12:47</t>
        </is>
      </c>
      <c r="C6071" t="n">
        <v>3079</v>
      </c>
      <c r="D6071" s="6" t="n">
        <v>64</v>
      </c>
      <c r="E6071" t="n">
        <v>43195</v>
      </c>
      <c r="F6071" s="6" t="n">
        <v>64</v>
      </c>
      <c r="G6071" t="n">
        <v>1</v>
      </c>
      <c r="H6071" s="6">
        <f>ROUND(G6071*F6071,2)</f>
        <v/>
      </c>
      <c r="I6071">
        <f>IF(ROUND(H6071-D6071,2)=0,1,0)</f>
        <v/>
      </c>
      <c r="J6071">
        <f>IF(F6071="","none",IF(G6071=1,"carte","multiple"))</f>
        <v/>
      </c>
    </row>
    <row r="6072">
      <c r="A6072" t="inlineStr">
        <is>
          <t>2022-10-16</t>
        </is>
      </c>
      <c r="B6072" t="inlineStr">
        <is>
          <t>12:47</t>
        </is>
      </c>
      <c r="C6072" t="n">
        <v>3079</v>
      </c>
      <c r="D6072" s="6" t="n">
        <v>7.8</v>
      </c>
      <c r="E6072" t="n">
        <v>43196</v>
      </c>
      <c r="F6072" s="6" t="n">
        <v>7.8</v>
      </c>
      <c r="G6072" t="n">
        <v>1</v>
      </c>
      <c r="H6072" s="6">
        <f>ROUND(G6072*F6072,2)</f>
        <v/>
      </c>
      <c r="I6072">
        <f>IF(ROUND(H6072-D6072,2)=0,1,0)</f>
        <v/>
      </c>
      <c r="J6072">
        <f>IF(F6072="","none",IF(G6072=1,"carte","multiple"))</f>
        <v/>
      </c>
    </row>
    <row r="6073">
      <c r="A6073" t="inlineStr">
        <is>
          <t>2022-10-16</t>
        </is>
      </c>
      <c r="B6073" t="inlineStr">
        <is>
          <t>12:47</t>
        </is>
      </c>
      <c r="C6073" t="n">
        <v>3079</v>
      </c>
      <c r="D6073" s="6" t="n">
        <v>7.8</v>
      </c>
      <c r="E6073" t="n">
        <v>43197</v>
      </c>
      <c r="F6073" s="6" t="n">
        <v>7.8</v>
      </c>
      <c r="G6073" t="n">
        <v>1</v>
      </c>
      <c r="H6073" s="6">
        <f>ROUND(G6073*F6073,2)</f>
        <v/>
      </c>
      <c r="I6073">
        <f>IF(ROUND(H6073-D6073,2)=0,1,0)</f>
        <v/>
      </c>
      <c r="J6073">
        <f>IF(F6073="","none",IF(G6073=1,"carte","multiple"))</f>
        <v/>
      </c>
    </row>
    <row r="6074">
      <c r="A6074" t="inlineStr">
        <is>
          <t>2022-10-16</t>
        </is>
      </c>
      <c r="B6074" t="inlineStr">
        <is>
          <t>12:47</t>
        </is>
      </c>
      <c r="C6074" t="n">
        <v>3079</v>
      </c>
      <c r="D6074" s="6" t="n">
        <v>50.7</v>
      </c>
      <c r="E6074" t="n">
        <v>43198</v>
      </c>
      <c r="F6074" s="6" t="n">
        <v>3.9</v>
      </c>
      <c r="G6074" t="n">
        <v>13</v>
      </c>
      <c r="H6074" s="6">
        <f>ROUND(G6074*F6074,2)</f>
        <v/>
      </c>
      <c r="I6074">
        <f>IF(ROUND(H6074-D6074,2)=0,1,0)</f>
        <v/>
      </c>
      <c r="J6074">
        <f>IF(F6074="","none",IF(G6074=1,"carte","multiple"))</f>
        <v/>
      </c>
    </row>
    <row r="6075">
      <c r="A6075" t="inlineStr">
        <is>
          <t>2022-10-16</t>
        </is>
      </c>
      <c r="B6075" t="inlineStr">
        <is>
          <t>12:47</t>
        </is>
      </c>
      <c r="C6075" t="n">
        <v>3079</v>
      </c>
      <c r="D6075" s="6" t="n">
        <v>18.6</v>
      </c>
      <c r="E6075" t="n">
        <v>43199</v>
      </c>
      <c r="F6075" s="6" t="n">
        <v>18.6</v>
      </c>
      <c r="G6075" t="n">
        <v>1</v>
      </c>
      <c r="H6075" s="6">
        <f>ROUND(G6075*F6075,2)</f>
        <v/>
      </c>
      <c r="I6075">
        <f>IF(ROUND(H6075-D6075,2)=0,1,0)</f>
        <v/>
      </c>
      <c r="J6075">
        <f>IF(F6075="","none",IF(G6075=1,"carte","multiple"))</f>
        <v/>
      </c>
    </row>
    <row r="6076">
      <c r="A6076" t="inlineStr">
        <is>
          <t>2022-10-16</t>
        </is>
      </c>
      <c r="B6076" t="inlineStr">
        <is>
          <t>13:00</t>
        </is>
      </c>
      <c r="C6076" t="n">
        <v>3079</v>
      </c>
      <c r="D6076" s="6" t="n">
        <v>34</v>
      </c>
      <c r="E6076" t="n">
        <v>43200</v>
      </c>
      <c r="F6076" s="6" t="n">
        <v>34</v>
      </c>
      <c r="G6076" t="n">
        <v>1</v>
      </c>
      <c r="H6076" s="6">
        <f>ROUND(G6076*F6076,2)</f>
        <v/>
      </c>
      <c r="I6076">
        <f>IF(ROUND(H6076-D6076,2)=0,1,0)</f>
        <v/>
      </c>
      <c r="J6076">
        <f>IF(F6076="","none",IF(G6076=1,"carte","multiple"))</f>
        <v/>
      </c>
    </row>
    <row r="6077">
      <c r="A6077" t="inlineStr">
        <is>
          <t>2022-10-16</t>
        </is>
      </c>
      <c r="B6077" t="inlineStr">
        <is>
          <t>13:00</t>
        </is>
      </c>
      <c r="C6077" t="n">
        <v>3079</v>
      </c>
      <c r="D6077" s="6" t="n">
        <v>34</v>
      </c>
      <c r="E6077" t="n">
        <v>43201</v>
      </c>
      <c r="F6077" s="6" t="n">
        <v>34</v>
      </c>
      <c r="G6077" t="n">
        <v>1</v>
      </c>
      <c r="H6077" s="6">
        <f>ROUND(G6077*F6077,2)</f>
        <v/>
      </c>
      <c r="I6077">
        <f>IF(ROUND(H6077-D6077,2)=0,1,0)</f>
        <v/>
      </c>
      <c r="J6077">
        <f>IF(F6077="","none",IF(G6077=1,"carte","multiple"))</f>
        <v/>
      </c>
    </row>
    <row r="6078">
      <c r="A6078" t="inlineStr">
        <is>
          <t>2022-10-16</t>
        </is>
      </c>
      <c r="B6078" t="inlineStr">
        <is>
          <t>13:00</t>
        </is>
      </c>
      <c r="C6078" t="n">
        <v>3079</v>
      </c>
      <c r="D6078" s="6" t="n">
        <v>7.2</v>
      </c>
      <c r="E6078" t="n">
        <v>43202</v>
      </c>
      <c r="F6078" s="6" t="n">
        <v>7.2</v>
      </c>
      <c r="G6078" t="n">
        <v>1</v>
      </c>
      <c r="H6078" s="6">
        <f>ROUND(G6078*F6078,2)</f>
        <v/>
      </c>
      <c r="I6078">
        <f>IF(ROUND(H6078-D6078,2)=0,1,0)</f>
        <v/>
      </c>
      <c r="J6078">
        <f>IF(F6078="","none",IF(G6078=1,"carte","multiple"))</f>
        <v/>
      </c>
    </row>
    <row r="6079">
      <c r="A6079" t="inlineStr">
        <is>
          <t>2022-10-16</t>
        </is>
      </c>
      <c r="B6079" t="inlineStr">
        <is>
          <t>13:00</t>
        </is>
      </c>
      <c r="C6079" t="n">
        <v>3079</v>
      </c>
      <c r="D6079" s="6" t="n">
        <v>3.6</v>
      </c>
      <c r="E6079" t="n">
        <v>43203</v>
      </c>
      <c r="F6079" s="6" t="n">
        <v>3.6</v>
      </c>
      <c r="G6079" t="n">
        <v>1</v>
      </c>
      <c r="H6079" s="6">
        <f>ROUND(G6079*F6079,2)</f>
        <v/>
      </c>
      <c r="I6079">
        <f>IF(ROUND(H6079-D6079,2)=0,1,0)</f>
        <v/>
      </c>
      <c r="J6079">
        <f>IF(F6079="","none",IF(G6079=1,"carte","multiple"))</f>
        <v/>
      </c>
    </row>
    <row r="6080">
      <c r="A6080" t="inlineStr">
        <is>
          <t>2022-10-16</t>
        </is>
      </c>
      <c r="B6080" t="inlineStr">
        <is>
          <t>13:00</t>
        </is>
      </c>
      <c r="C6080" t="n">
        <v>3079</v>
      </c>
      <c r="D6080" s="6" t="n">
        <v>8.4</v>
      </c>
      <c r="E6080" t="n">
        <v>43204</v>
      </c>
      <c r="F6080" s="6" t="n">
        <v>8.4</v>
      </c>
      <c r="G6080" t="n">
        <v>1</v>
      </c>
      <c r="H6080" s="6">
        <f>ROUND(G6080*F6080,2)</f>
        <v/>
      </c>
      <c r="I6080">
        <f>IF(ROUND(H6080-D6080,2)=0,1,0)</f>
        <v/>
      </c>
      <c r="J6080">
        <f>IF(F6080="","none",IF(G6080=1,"carte","multiple"))</f>
        <v/>
      </c>
    </row>
    <row r="6081">
      <c r="A6081" t="inlineStr">
        <is>
          <t>2022-10-19</t>
        </is>
      </c>
      <c r="B6081" t="inlineStr">
        <is>
          <t>11:15</t>
        </is>
      </c>
      <c r="C6081" t="n">
        <v>3080</v>
      </c>
      <c r="D6081" s="6" t="n">
        <v>28.6</v>
      </c>
      <c r="E6081" t="n">
        <v>43207</v>
      </c>
      <c r="F6081" s="6" t="n">
        <v>28.6</v>
      </c>
      <c r="G6081" t="n">
        <v>1</v>
      </c>
      <c r="H6081" s="6">
        <f>ROUND(G6081*F6081,2)</f>
        <v/>
      </c>
      <c r="I6081">
        <f>IF(ROUND(H6081-D6081,2)=0,1,0)</f>
        <v/>
      </c>
      <c r="J6081">
        <f>IF(F6081="","none",IF(G6081=1,"carte","multiple"))</f>
        <v/>
      </c>
    </row>
    <row r="6082">
      <c r="A6082" t="inlineStr">
        <is>
          <t>2022-10-19</t>
        </is>
      </c>
      <c r="B6082" t="inlineStr">
        <is>
          <t>11:25</t>
        </is>
      </c>
      <c r="C6082" t="n">
        <v>3080</v>
      </c>
      <c r="D6082" s="6" t="n">
        <v>8.699999999999999</v>
      </c>
      <c r="E6082" t="n">
        <v>43208</v>
      </c>
      <c r="F6082" s="6" t="n">
        <v>8.699999999999999</v>
      </c>
      <c r="G6082" t="n">
        <v>1</v>
      </c>
      <c r="H6082" s="6">
        <f>ROUND(G6082*F6082,2)</f>
        <v/>
      </c>
      <c r="I6082">
        <f>IF(ROUND(H6082-D6082,2)=0,1,0)</f>
        <v/>
      </c>
      <c r="J6082">
        <f>IF(F6082="","none",IF(G6082=1,"carte","multiple"))</f>
        <v/>
      </c>
    </row>
    <row r="6083">
      <c r="A6083" t="inlineStr">
        <is>
          <t>2022-10-19</t>
        </is>
      </c>
      <c r="B6083" t="inlineStr">
        <is>
          <t>11:25</t>
        </is>
      </c>
      <c r="C6083" t="n">
        <v>3080</v>
      </c>
      <c r="D6083" s="6" t="n">
        <v>6.9</v>
      </c>
      <c r="E6083" t="n">
        <v>43209</v>
      </c>
      <c r="F6083" s="6" t="n">
        <v>6.9</v>
      </c>
      <c r="G6083" t="n">
        <v>1</v>
      </c>
      <c r="H6083" s="6">
        <f>ROUND(G6083*F6083,2)</f>
        <v/>
      </c>
      <c r="I6083">
        <f>IF(ROUND(H6083-D6083,2)=0,1,0)</f>
        <v/>
      </c>
      <c r="J6083">
        <f>IF(F6083="","none",IF(G6083=1,"carte","multiple"))</f>
        <v/>
      </c>
    </row>
    <row r="6084">
      <c r="A6084" t="inlineStr">
        <is>
          <t>2022-10-19</t>
        </is>
      </c>
      <c r="B6084" t="inlineStr">
        <is>
          <t>11:25</t>
        </is>
      </c>
      <c r="C6084" t="n">
        <v>3080</v>
      </c>
      <c r="D6084" s="6" t="n">
        <v>37.2</v>
      </c>
      <c r="E6084" t="n">
        <v>43210</v>
      </c>
      <c r="F6084" s="6" t="n">
        <v>0.4</v>
      </c>
      <c r="G6084" t="n">
        <v>93</v>
      </c>
      <c r="H6084" s="6">
        <f>ROUND(G6084*F6084,2)</f>
        <v/>
      </c>
      <c r="I6084">
        <f>IF(ROUND(H6084-D6084,2)=0,1,0)</f>
        <v/>
      </c>
      <c r="J6084">
        <f>IF(F6084="","none",IF(G6084=1,"carte","multiple"))</f>
        <v/>
      </c>
    </row>
    <row r="6085">
      <c r="A6085" t="inlineStr">
        <is>
          <t>2022-10-19</t>
        </is>
      </c>
      <c r="B6085" t="inlineStr">
        <is>
          <t>11:25</t>
        </is>
      </c>
      <c r="C6085" t="n">
        <v>3080</v>
      </c>
      <c r="D6085" s="6" t="n">
        <v>8.4</v>
      </c>
      <c r="E6085" t="n">
        <v>43211</v>
      </c>
      <c r="F6085" s="6" t="n">
        <v>8.4</v>
      </c>
      <c r="G6085" t="n">
        <v>1</v>
      </c>
      <c r="H6085" s="6">
        <f>ROUND(G6085*F6085,2)</f>
        <v/>
      </c>
      <c r="I6085">
        <f>IF(ROUND(H6085-D6085,2)=0,1,0)</f>
        <v/>
      </c>
      <c r="J6085">
        <f>IF(F6085="","none",IF(G6085=1,"carte","multiple"))</f>
        <v/>
      </c>
    </row>
    <row r="6086">
      <c r="A6086" t="inlineStr">
        <is>
          <t>2022-10-19</t>
        </is>
      </c>
      <c r="B6086" t="inlineStr">
        <is>
          <t>12:04</t>
        </is>
      </c>
      <c r="C6086" t="n">
        <v>3080</v>
      </c>
      <c r="D6086" s="6" t="n">
        <v>17</v>
      </c>
      <c r="E6086" t="n">
        <v>43212</v>
      </c>
      <c r="F6086" s="6" t="n">
        <v>17</v>
      </c>
      <c r="G6086" t="n">
        <v>1</v>
      </c>
      <c r="H6086" s="6">
        <f>ROUND(G6086*F6086,2)</f>
        <v/>
      </c>
      <c r="I6086">
        <f>IF(ROUND(H6086-D6086,2)=0,1,0)</f>
        <v/>
      </c>
      <c r="J6086">
        <f>IF(F6086="","none",IF(G6086=1,"carte","multiple"))</f>
        <v/>
      </c>
    </row>
    <row r="6087">
      <c r="A6087" t="inlineStr">
        <is>
          <t>2022-10-19</t>
        </is>
      </c>
      <c r="B6087" t="inlineStr">
        <is>
          <t>12:04</t>
        </is>
      </c>
      <c r="C6087" t="n">
        <v>3080</v>
      </c>
      <c r="D6087" s="6" t="n">
        <v>12.5</v>
      </c>
      <c r="E6087" t="n">
        <v>43213</v>
      </c>
      <c r="F6087" s="6" t="n">
        <v>12.5</v>
      </c>
      <c r="G6087" t="n">
        <v>1</v>
      </c>
      <c r="H6087" s="6">
        <f>ROUND(G6087*F6087,2)</f>
        <v/>
      </c>
      <c r="I6087">
        <f>IF(ROUND(H6087-D6087,2)=0,1,0)</f>
        <v/>
      </c>
      <c r="J6087">
        <f>IF(F6087="","none",IF(G6087=1,"carte","multiple"))</f>
        <v/>
      </c>
    </row>
    <row r="6088">
      <c r="A6088" t="inlineStr">
        <is>
          <t>2022-10-19</t>
        </is>
      </c>
      <c r="B6088" t="inlineStr">
        <is>
          <t>12:04</t>
        </is>
      </c>
      <c r="C6088" t="n">
        <v>3080</v>
      </c>
      <c r="D6088" s="6" t="n">
        <v>11.7</v>
      </c>
      <c r="E6088" t="n">
        <v>43214</v>
      </c>
      <c r="F6088" s="6" t="n">
        <v>0.9</v>
      </c>
      <c r="G6088" t="n">
        <v>13</v>
      </c>
      <c r="H6088" s="6">
        <f>ROUND(G6088*F6088,2)</f>
        <v/>
      </c>
      <c r="I6088">
        <f>IF(ROUND(H6088-D6088,2)=0,1,0)</f>
        <v/>
      </c>
      <c r="J6088">
        <f>IF(F6088="","none",IF(G6088=1,"carte","multiple"))</f>
        <v/>
      </c>
    </row>
    <row r="6089">
      <c r="A6089" t="inlineStr">
        <is>
          <t>2022-10-20</t>
        </is>
      </c>
      <c r="B6089" t="inlineStr">
        <is>
          <t>11:45</t>
        </is>
      </c>
      <c r="C6089" t="n">
        <v>3081</v>
      </c>
      <c r="D6089" s="6" t="n">
        <v>2.2</v>
      </c>
      <c r="E6089" t="n">
        <v>43217</v>
      </c>
      <c r="F6089" s="6" t="n">
        <v>2.2</v>
      </c>
      <c r="G6089" t="n">
        <v>1</v>
      </c>
      <c r="H6089" s="6">
        <f>ROUND(G6089*F6089,2)</f>
        <v/>
      </c>
      <c r="I6089">
        <f>IF(ROUND(H6089-D6089,2)=0,1,0)</f>
        <v/>
      </c>
      <c r="J6089">
        <f>IF(F6089="","none",IF(G6089=1,"carte","multiple"))</f>
        <v/>
      </c>
    </row>
    <row r="6090">
      <c r="A6090" t="inlineStr">
        <is>
          <t>2022-10-20</t>
        </is>
      </c>
      <c r="B6090" t="inlineStr">
        <is>
          <t>11:45</t>
        </is>
      </c>
      <c r="C6090" t="n">
        <v>3081</v>
      </c>
      <c r="D6090" s="6" t="n">
        <v>6.9</v>
      </c>
      <c r="E6090" t="n">
        <v>43218</v>
      </c>
      <c r="F6090" s="6" t="n">
        <v>6.9</v>
      </c>
      <c r="G6090" t="n">
        <v>1</v>
      </c>
      <c r="H6090" s="6">
        <f>ROUND(G6090*F6090,2)</f>
        <v/>
      </c>
      <c r="I6090">
        <f>IF(ROUND(H6090-D6090,2)=0,1,0)</f>
        <v/>
      </c>
      <c r="J6090">
        <f>IF(F6090="","none",IF(G6090=1,"carte","multiple"))</f>
        <v/>
      </c>
    </row>
    <row r="6091">
      <c r="A6091" t="inlineStr">
        <is>
          <t>2022-10-20</t>
        </is>
      </c>
      <c r="B6091" t="inlineStr">
        <is>
          <t>11:45</t>
        </is>
      </c>
      <c r="C6091" t="n">
        <v>3081</v>
      </c>
      <c r="D6091" s="6" t="n">
        <v>16.4</v>
      </c>
      <c r="E6091" t="n">
        <v>43219</v>
      </c>
      <c r="F6091" s="6" t="n">
        <v>16.4</v>
      </c>
      <c r="G6091" t="n">
        <v>1</v>
      </c>
      <c r="H6091" s="6">
        <f>ROUND(G6091*F6091,2)</f>
        <v/>
      </c>
      <c r="I6091">
        <f>IF(ROUND(H6091-D6091,2)=0,1,0)</f>
        <v/>
      </c>
      <c r="J6091">
        <f>IF(F6091="","none",IF(G6091=1,"carte","multiple"))</f>
        <v/>
      </c>
    </row>
    <row r="6092">
      <c r="A6092" t="inlineStr">
        <is>
          <t>2022-10-20</t>
        </is>
      </c>
      <c r="B6092" t="inlineStr">
        <is>
          <t>11:45</t>
        </is>
      </c>
      <c r="C6092" t="n">
        <v>3081</v>
      </c>
      <c r="D6092" s="6" t="n">
        <v>4</v>
      </c>
      <c r="E6092" t="n">
        <v>43220</v>
      </c>
      <c r="F6092" s="6" t="n">
        <v>4</v>
      </c>
      <c r="G6092" t="n">
        <v>1</v>
      </c>
      <c r="H6092" s="6">
        <f>ROUND(G6092*F6092,2)</f>
        <v/>
      </c>
      <c r="I6092">
        <f>IF(ROUND(H6092-D6092,2)=0,1,0)</f>
        <v/>
      </c>
      <c r="J6092">
        <f>IF(F6092="","none",IF(G6092=1,"carte","multiple"))</f>
        <v/>
      </c>
    </row>
    <row r="6093">
      <c r="A6093" t="inlineStr">
        <is>
          <t>2022-10-20</t>
        </is>
      </c>
      <c r="B6093" t="inlineStr">
        <is>
          <t>11:49</t>
        </is>
      </c>
      <c r="C6093" t="n">
        <v>3081</v>
      </c>
      <c r="D6093" s="6" t="n">
        <v>18.6</v>
      </c>
      <c r="E6093" t="n">
        <v>43221</v>
      </c>
      <c r="F6093" s="6" t="n">
        <v>18.6</v>
      </c>
      <c r="G6093" t="n">
        <v>1</v>
      </c>
      <c r="H6093" s="6">
        <f>ROUND(G6093*F6093,2)</f>
        <v/>
      </c>
      <c r="I6093">
        <f>IF(ROUND(H6093-D6093,2)=0,1,0)</f>
        <v/>
      </c>
      <c r="J6093">
        <f>IF(F6093="","none",IF(G6093=1,"carte","multiple"))</f>
        <v/>
      </c>
    </row>
    <row r="6094">
      <c r="A6094" t="inlineStr">
        <is>
          <t>2022-10-20</t>
        </is>
      </c>
      <c r="B6094" t="inlineStr">
        <is>
          <t>11:49</t>
        </is>
      </c>
      <c r="C6094" t="n">
        <v>3081</v>
      </c>
      <c r="D6094" s="6" t="n">
        <v>25</v>
      </c>
      <c r="E6094" t="n">
        <v>43222</v>
      </c>
      <c r="F6094" s="6" t="n">
        <v>25</v>
      </c>
      <c r="G6094" t="n">
        <v>1</v>
      </c>
      <c r="H6094" s="6">
        <f>ROUND(G6094*F6094,2)</f>
        <v/>
      </c>
      <c r="I6094">
        <f>IF(ROUND(H6094-D6094,2)=0,1,0)</f>
        <v/>
      </c>
      <c r="J6094">
        <f>IF(F6094="","none",IF(G6094=1,"carte","multiple"))</f>
        <v/>
      </c>
    </row>
    <row r="6095">
      <c r="A6095" t="inlineStr">
        <is>
          <t>2022-10-20</t>
        </is>
      </c>
      <c r="B6095" t="inlineStr">
        <is>
          <t>11:49</t>
        </is>
      </c>
      <c r="C6095" t="n">
        <v>3081</v>
      </c>
      <c r="D6095" s="6" t="n">
        <v>16</v>
      </c>
      <c r="E6095" t="n">
        <v>43223</v>
      </c>
      <c r="F6095" s="6" t="n">
        <v>16</v>
      </c>
      <c r="G6095" t="n">
        <v>1</v>
      </c>
      <c r="H6095" s="6">
        <f>ROUND(G6095*F6095,2)</f>
        <v/>
      </c>
      <c r="I6095">
        <f>IF(ROUND(H6095-D6095,2)=0,1,0)</f>
        <v/>
      </c>
      <c r="J6095">
        <f>IF(F6095="","none",IF(G6095=1,"carte","multiple"))</f>
        <v/>
      </c>
    </row>
    <row r="6096">
      <c r="A6096" t="inlineStr">
        <is>
          <t>2022-10-20</t>
        </is>
      </c>
      <c r="B6096" t="inlineStr">
        <is>
          <t>11:49</t>
        </is>
      </c>
      <c r="C6096" t="n">
        <v>3081</v>
      </c>
      <c r="D6096" s="6" t="n">
        <v>7.9</v>
      </c>
      <c r="E6096" t="n">
        <v>43224</v>
      </c>
      <c r="F6096" s="6" t="n">
        <v>7.9</v>
      </c>
      <c r="G6096" t="n">
        <v>1</v>
      </c>
      <c r="H6096" s="6">
        <f>ROUND(G6096*F6096,2)</f>
        <v/>
      </c>
      <c r="I6096">
        <f>IF(ROUND(H6096-D6096,2)=0,1,0)</f>
        <v/>
      </c>
      <c r="J6096">
        <f>IF(F6096="","none",IF(G6096=1,"carte","multiple"))</f>
        <v/>
      </c>
    </row>
    <row r="6097">
      <c r="A6097" t="inlineStr">
        <is>
          <t>2022-10-20</t>
        </is>
      </c>
      <c r="B6097" t="inlineStr">
        <is>
          <t>11:49</t>
        </is>
      </c>
      <c r="C6097" t="n">
        <v>3081</v>
      </c>
      <c r="D6097" s="6" t="n">
        <v>3.9</v>
      </c>
      <c r="E6097" t="n">
        <v>43225</v>
      </c>
      <c r="F6097" s="6" t="n">
        <v>3.9</v>
      </c>
      <c r="G6097" t="n">
        <v>1</v>
      </c>
      <c r="H6097" s="6">
        <f>ROUND(G6097*F6097,2)</f>
        <v/>
      </c>
      <c r="I6097">
        <f>IF(ROUND(H6097-D6097,2)=0,1,0)</f>
        <v/>
      </c>
      <c r="J6097">
        <f>IF(F6097="","none",IF(G6097=1,"carte","multiple"))</f>
        <v/>
      </c>
    </row>
    <row r="6098">
      <c r="A6098" t="inlineStr">
        <is>
          <t>2022-10-20</t>
        </is>
      </c>
      <c r="B6098" t="inlineStr">
        <is>
          <t>12:02</t>
        </is>
      </c>
      <c r="C6098" t="n">
        <v>3081</v>
      </c>
      <c r="D6098" s="6" t="n">
        <v>2.2</v>
      </c>
      <c r="E6098" t="n">
        <v>43226</v>
      </c>
      <c r="F6098" s="6" t="n">
        <v>2.2</v>
      </c>
      <c r="G6098" t="n">
        <v>1</v>
      </c>
      <c r="H6098" s="6">
        <f>ROUND(G6098*F6098,2)</f>
        <v/>
      </c>
      <c r="I6098">
        <f>IF(ROUND(H6098-D6098,2)=0,1,0)</f>
        <v/>
      </c>
      <c r="J6098">
        <f>IF(F6098="","none",IF(G6098=1,"carte","multiple"))</f>
        <v/>
      </c>
    </row>
    <row r="6099">
      <c r="A6099" t="inlineStr">
        <is>
          <t>2022-10-20</t>
        </is>
      </c>
      <c r="B6099" t="inlineStr">
        <is>
          <t>12:02</t>
        </is>
      </c>
      <c r="C6099" t="n">
        <v>3081</v>
      </c>
      <c r="D6099" s="6" t="n">
        <v>18.6</v>
      </c>
      <c r="E6099" t="n">
        <v>43227</v>
      </c>
      <c r="F6099" s="6" t="n">
        <v>18.6</v>
      </c>
      <c r="G6099" t="n">
        <v>1</v>
      </c>
      <c r="H6099" s="6">
        <f>ROUND(G6099*F6099,2)</f>
        <v/>
      </c>
      <c r="I6099">
        <f>IF(ROUND(H6099-D6099,2)=0,1,0)</f>
        <v/>
      </c>
      <c r="J6099">
        <f>IF(F6099="","none",IF(G6099=1,"carte","multiple"))</f>
        <v/>
      </c>
    </row>
    <row r="6100">
      <c r="A6100" t="inlineStr">
        <is>
          <t>2022-10-20</t>
        </is>
      </c>
      <c r="B6100" t="inlineStr">
        <is>
          <t>12:02</t>
        </is>
      </c>
      <c r="C6100" t="n">
        <v>3081</v>
      </c>
      <c r="D6100" s="6" t="n">
        <v>7.9</v>
      </c>
      <c r="E6100" t="n">
        <v>43228</v>
      </c>
      <c r="F6100" s="6" t="n">
        <v>7.9</v>
      </c>
      <c r="G6100" t="n">
        <v>1</v>
      </c>
      <c r="H6100" s="6">
        <f>ROUND(G6100*F6100,2)</f>
        <v/>
      </c>
      <c r="I6100">
        <f>IF(ROUND(H6100-D6100,2)=0,1,0)</f>
        <v/>
      </c>
      <c r="J6100">
        <f>IF(F6100="","none",IF(G6100=1,"carte","multiple"))</f>
        <v/>
      </c>
    </row>
    <row r="6101">
      <c r="A6101" t="inlineStr">
        <is>
          <t>2022-10-20</t>
        </is>
      </c>
      <c r="B6101" t="inlineStr">
        <is>
          <t>12:02</t>
        </is>
      </c>
      <c r="C6101" t="n">
        <v>3081</v>
      </c>
      <c r="D6101" s="6" t="n">
        <v>4</v>
      </c>
      <c r="E6101" t="n">
        <v>43229</v>
      </c>
      <c r="F6101" s="6" t="n">
        <v>4</v>
      </c>
      <c r="G6101" t="n">
        <v>1</v>
      </c>
      <c r="H6101" s="6">
        <f>ROUND(G6101*F6101,2)</f>
        <v/>
      </c>
      <c r="I6101">
        <f>IF(ROUND(H6101-D6101,2)=0,1,0)</f>
        <v/>
      </c>
      <c r="J6101">
        <f>IF(F6101="","none",IF(G6101=1,"carte","multiple"))</f>
        <v/>
      </c>
    </row>
    <row r="6102">
      <c r="A6102" t="inlineStr">
        <is>
          <t>2022-10-20</t>
        </is>
      </c>
      <c r="B6102" t="inlineStr">
        <is>
          <t>12:03</t>
        </is>
      </c>
      <c r="C6102" t="n">
        <v>3081</v>
      </c>
      <c r="D6102" s="6" t="n">
        <v>5.2</v>
      </c>
      <c r="E6102" t="n">
        <v>43230</v>
      </c>
      <c r="F6102" s="6" t="n">
        <v>5.2</v>
      </c>
      <c r="G6102" t="n">
        <v>1</v>
      </c>
      <c r="H6102" s="6">
        <f>ROUND(G6102*F6102,2)</f>
        <v/>
      </c>
      <c r="I6102">
        <f>IF(ROUND(H6102-D6102,2)=0,1,0)</f>
        <v/>
      </c>
      <c r="J6102">
        <f>IF(F6102="","none",IF(G6102=1,"carte","multiple"))</f>
        <v/>
      </c>
    </row>
    <row r="6103">
      <c r="A6103" t="inlineStr">
        <is>
          <t>2022-10-20</t>
        </is>
      </c>
      <c r="B6103" t="inlineStr">
        <is>
          <t>12:16</t>
        </is>
      </c>
      <c r="C6103" t="n">
        <v>3081</v>
      </c>
      <c r="D6103" s="6" t="n">
        <v>4.4</v>
      </c>
      <c r="E6103" t="n">
        <v>43231</v>
      </c>
      <c r="F6103" s="6" t="n">
        <v>0.4</v>
      </c>
      <c r="G6103" t="n">
        <v>11</v>
      </c>
      <c r="H6103" s="6">
        <f>ROUND(G6103*F6103,2)</f>
        <v/>
      </c>
      <c r="I6103">
        <f>IF(ROUND(H6103-D6103,2)=0,1,0)</f>
        <v/>
      </c>
      <c r="J6103">
        <f>IF(F6103="","none",IF(G6103=1,"carte","multiple"))</f>
        <v/>
      </c>
    </row>
    <row r="6104">
      <c r="A6104" t="inlineStr">
        <is>
          <t>2022-10-20</t>
        </is>
      </c>
      <c r="B6104" t="inlineStr">
        <is>
          <t>12:16</t>
        </is>
      </c>
      <c r="C6104" t="n">
        <v>3081</v>
      </c>
      <c r="D6104" s="6" t="n">
        <v>8.699999999999999</v>
      </c>
      <c r="E6104" t="n">
        <v>43232</v>
      </c>
      <c r="F6104" s="6" t="n">
        <v>8.699999999999999</v>
      </c>
      <c r="G6104" t="n">
        <v>1</v>
      </c>
      <c r="H6104" s="6">
        <f>ROUND(G6104*F6104,2)</f>
        <v/>
      </c>
      <c r="I6104">
        <f>IF(ROUND(H6104-D6104,2)=0,1,0)</f>
        <v/>
      </c>
      <c r="J6104">
        <f>IF(F6104="","none",IF(G6104=1,"carte","multiple"))</f>
        <v/>
      </c>
    </row>
    <row r="6105">
      <c r="A6105" t="inlineStr">
        <is>
          <t>2022-10-20</t>
        </is>
      </c>
      <c r="B6105" t="inlineStr">
        <is>
          <t>12:16</t>
        </is>
      </c>
      <c r="C6105" t="n">
        <v>3081</v>
      </c>
      <c r="D6105" s="6" t="n">
        <v>18.6</v>
      </c>
      <c r="E6105" t="n">
        <v>43233</v>
      </c>
      <c r="F6105" s="6" t="n">
        <v>18.6</v>
      </c>
      <c r="G6105" t="n">
        <v>1</v>
      </c>
      <c r="H6105" s="6">
        <f>ROUND(G6105*F6105,2)</f>
        <v/>
      </c>
      <c r="I6105">
        <f>IF(ROUND(H6105-D6105,2)=0,1,0)</f>
        <v/>
      </c>
      <c r="J6105">
        <f>IF(F6105="","none",IF(G6105=1,"carte","multiple"))</f>
        <v/>
      </c>
    </row>
    <row r="6106">
      <c r="A6106" t="inlineStr">
        <is>
          <t>2022-10-20</t>
        </is>
      </c>
      <c r="B6106" t="inlineStr">
        <is>
          <t>12:16</t>
        </is>
      </c>
      <c r="C6106" t="n">
        <v>3081</v>
      </c>
      <c r="D6106" s="6" t="n">
        <v>16.9</v>
      </c>
      <c r="E6106" t="n">
        <v>43234</v>
      </c>
      <c r="F6106" s="6" t="n">
        <v>16.9</v>
      </c>
      <c r="G6106" t="n">
        <v>1</v>
      </c>
      <c r="H6106" s="6">
        <f>ROUND(G6106*F6106,2)</f>
        <v/>
      </c>
      <c r="I6106">
        <f>IF(ROUND(H6106-D6106,2)=0,1,0)</f>
        <v/>
      </c>
      <c r="J6106">
        <f>IF(F6106="","none",IF(G6106=1,"carte","multiple"))</f>
        <v/>
      </c>
    </row>
    <row r="6107">
      <c r="A6107" t="inlineStr">
        <is>
          <t>2022-10-20</t>
        </is>
      </c>
      <c r="B6107" t="inlineStr">
        <is>
          <t>12:16</t>
        </is>
      </c>
      <c r="C6107" t="n">
        <v>3081</v>
      </c>
      <c r="D6107" s="6" t="n">
        <v>7.2</v>
      </c>
      <c r="E6107" t="n">
        <v>43235</v>
      </c>
      <c r="F6107" s="6" t="n">
        <v>7.2</v>
      </c>
      <c r="G6107" t="n">
        <v>1</v>
      </c>
      <c r="H6107" s="6">
        <f>ROUND(G6107*F6107,2)</f>
        <v/>
      </c>
      <c r="I6107">
        <f>IF(ROUND(H6107-D6107,2)=0,1,0)</f>
        <v/>
      </c>
      <c r="J6107">
        <f>IF(F6107="","none",IF(G6107=1,"carte","multiple"))</f>
        <v/>
      </c>
    </row>
    <row r="6108">
      <c r="A6108" t="inlineStr">
        <is>
          <t>2022-10-20</t>
        </is>
      </c>
      <c r="B6108" t="inlineStr">
        <is>
          <t>12:16</t>
        </is>
      </c>
      <c r="C6108" t="n">
        <v>3081</v>
      </c>
      <c r="D6108" s="6" t="n">
        <v>7.9</v>
      </c>
      <c r="E6108" t="n">
        <v>43236</v>
      </c>
      <c r="F6108" s="6" t="n">
        <v>7.9</v>
      </c>
      <c r="G6108" t="n">
        <v>1</v>
      </c>
      <c r="H6108" s="6">
        <f>ROUND(G6108*F6108,2)</f>
        <v/>
      </c>
      <c r="I6108">
        <f>IF(ROUND(H6108-D6108,2)=0,1,0)</f>
        <v/>
      </c>
      <c r="J6108">
        <f>IF(F6108="","none",IF(G6108=1,"carte","multiple"))</f>
        <v/>
      </c>
    </row>
    <row r="6109">
      <c r="A6109" t="inlineStr">
        <is>
          <t>2022-10-20</t>
        </is>
      </c>
      <c r="B6109" t="inlineStr">
        <is>
          <t>12:16</t>
        </is>
      </c>
      <c r="C6109" t="n">
        <v>3081</v>
      </c>
      <c r="D6109" s="6" t="n">
        <v>5.2</v>
      </c>
      <c r="E6109" t="n">
        <v>43237</v>
      </c>
      <c r="F6109" s="6" t="n">
        <v>5.2</v>
      </c>
      <c r="G6109" t="n">
        <v>1</v>
      </c>
      <c r="H6109" s="6">
        <f>ROUND(G6109*F6109,2)</f>
        <v/>
      </c>
      <c r="I6109">
        <f>IF(ROUND(H6109-D6109,2)=0,1,0)</f>
        <v/>
      </c>
      <c r="J6109">
        <f>IF(F6109="","none",IF(G6109=1,"carte","multiple"))</f>
        <v/>
      </c>
    </row>
    <row r="6110">
      <c r="A6110" t="inlineStr">
        <is>
          <t>2022-10-20</t>
        </is>
      </c>
      <c r="B6110" t="inlineStr">
        <is>
          <t>12:16</t>
        </is>
      </c>
      <c r="C6110" t="n">
        <v>3081</v>
      </c>
      <c r="D6110" s="6" t="n">
        <v>5.2</v>
      </c>
      <c r="E6110" t="n">
        <v>43238</v>
      </c>
      <c r="F6110" s="6" t="n">
        <v>5.2</v>
      </c>
      <c r="G6110" t="n">
        <v>1</v>
      </c>
      <c r="H6110" s="6">
        <f>ROUND(G6110*F6110,2)</f>
        <v/>
      </c>
      <c r="I6110">
        <f>IF(ROUND(H6110-D6110,2)=0,1,0)</f>
        <v/>
      </c>
      <c r="J6110">
        <f>IF(F6110="","none",IF(G6110=1,"carte","multiple"))</f>
        <v/>
      </c>
    </row>
    <row r="6111">
      <c r="A6111" t="inlineStr">
        <is>
          <t>2022-10-20</t>
        </is>
      </c>
      <c r="B6111" t="inlineStr">
        <is>
          <t>12:40</t>
        </is>
      </c>
      <c r="C6111" t="n">
        <v>3081</v>
      </c>
      <c r="D6111" s="6" t="n">
        <v>19</v>
      </c>
      <c r="E6111" t="n">
        <v>43239</v>
      </c>
      <c r="F6111" s="6" t="n">
        <v>19</v>
      </c>
      <c r="G6111" t="n">
        <v>1</v>
      </c>
      <c r="H6111" s="6">
        <f>ROUND(G6111*F6111,2)</f>
        <v/>
      </c>
      <c r="I6111">
        <f>IF(ROUND(H6111-D6111,2)=0,1,0)</f>
        <v/>
      </c>
      <c r="J6111">
        <f>IF(F6111="","none",IF(G6111=1,"carte","multiple"))</f>
        <v/>
      </c>
    </row>
    <row r="6112">
      <c r="A6112" t="inlineStr">
        <is>
          <t>2022-10-20</t>
        </is>
      </c>
      <c r="B6112" t="inlineStr">
        <is>
          <t>12:42</t>
        </is>
      </c>
      <c r="C6112" t="n">
        <v>3081</v>
      </c>
      <c r="D6112" s="6" t="n">
        <v>16.9</v>
      </c>
      <c r="E6112" t="n">
        <v>43240</v>
      </c>
      <c r="F6112" s="6" t="n">
        <v>16.9</v>
      </c>
      <c r="G6112" t="n">
        <v>1</v>
      </c>
      <c r="H6112" s="6">
        <f>ROUND(G6112*F6112,2)</f>
        <v/>
      </c>
      <c r="I6112">
        <f>IF(ROUND(H6112-D6112,2)=0,1,0)</f>
        <v/>
      </c>
      <c r="J6112">
        <f>IF(F6112="","none",IF(G6112=1,"carte","multiple"))</f>
        <v/>
      </c>
    </row>
    <row r="6113">
      <c r="A6113" t="inlineStr">
        <is>
          <t>2022-10-20</t>
        </is>
      </c>
      <c r="B6113" t="inlineStr">
        <is>
          <t>12:48</t>
        </is>
      </c>
      <c r="C6113" t="n">
        <v>3081</v>
      </c>
      <c r="D6113" s="6" t="n">
        <v>7</v>
      </c>
      <c r="E6113" t="n">
        <v>43241</v>
      </c>
      <c r="F6113" s="6" t="n">
        <v>7</v>
      </c>
      <c r="G6113" t="n">
        <v>1</v>
      </c>
      <c r="H6113" s="6">
        <f>ROUND(G6113*F6113,2)</f>
        <v/>
      </c>
      <c r="I6113">
        <f>IF(ROUND(H6113-D6113,2)=0,1,0)</f>
        <v/>
      </c>
      <c r="J6113">
        <f>IF(F6113="","none",IF(G6113=1,"carte","multiple"))</f>
        <v/>
      </c>
    </row>
    <row r="6114">
      <c r="A6114" t="inlineStr">
        <is>
          <t>2022-10-20</t>
        </is>
      </c>
      <c r="B6114" t="inlineStr">
        <is>
          <t>12:48</t>
        </is>
      </c>
      <c r="C6114" t="n">
        <v>3081</v>
      </c>
      <c r="D6114" s="6" t="n">
        <v>33.8</v>
      </c>
      <c r="E6114" t="n">
        <v>43242</v>
      </c>
      <c r="F6114" s="6" t="n">
        <v>16.9</v>
      </c>
      <c r="G6114" t="n">
        <v>2</v>
      </c>
      <c r="H6114" s="6">
        <f>ROUND(G6114*F6114,2)</f>
        <v/>
      </c>
      <c r="I6114">
        <f>IF(ROUND(H6114-D6114,2)=0,1,0)</f>
        <v/>
      </c>
      <c r="J6114">
        <f>IF(F6114="","none",IF(G6114=1,"carte","multiple"))</f>
        <v/>
      </c>
    </row>
    <row r="6115">
      <c r="A6115" t="inlineStr">
        <is>
          <t>2022-10-20</t>
        </is>
      </c>
      <c r="B6115" t="inlineStr">
        <is>
          <t>12:48</t>
        </is>
      </c>
      <c r="C6115" t="n">
        <v>3081</v>
      </c>
      <c r="D6115" s="6" t="n">
        <v>5.9</v>
      </c>
      <c r="E6115" t="n">
        <v>43243</v>
      </c>
      <c r="F6115" s="6" t="n">
        <v>5.9</v>
      </c>
      <c r="G6115" t="n">
        <v>1</v>
      </c>
      <c r="H6115" s="6">
        <f>ROUND(G6115*F6115,2)</f>
        <v/>
      </c>
      <c r="I6115">
        <f>IF(ROUND(H6115-D6115,2)=0,1,0)</f>
        <v/>
      </c>
      <c r="J6115">
        <f>IF(F6115="","none",IF(G6115=1,"carte","multiple"))</f>
        <v/>
      </c>
    </row>
    <row r="6116">
      <c r="A6116" t="inlineStr">
        <is>
          <t>2022-10-20</t>
        </is>
      </c>
      <c r="B6116" t="inlineStr">
        <is>
          <t>12:48</t>
        </is>
      </c>
      <c r="C6116" t="n">
        <v>3081</v>
      </c>
      <c r="D6116" s="6" t="n">
        <v>13.4</v>
      </c>
      <c r="E6116" t="n">
        <v>43244</v>
      </c>
      <c r="F6116" s="6" t="n">
        <v>13.4</v>
      </c>
      <c r="G6116" t="n">
        <v>1</v>
      </c>
      <c r="H6116" s="6">
        <f>ROUND(G6116*F6116,2)</f>
        <v/>
      </c>
      <c r="I6116">
        <f>IF(ROUND(H6116-D6116,2)=0,1,0)</f>
        <v/>
      </c>
      <c r="J6116">
        <f>IF(F6116="","none",IF(G6116=1,"carte","multiple"))</f>
        <v/>
      </c>
    </row>
    <row r="6117">
      <c r="A6117" t="inlineStr">
        <is>
          <t>2022-10-20</t>
        </is>
      </c>
      <c r="B6117" t="inlineStr">
        <is>
          <t>12:52</t>
        </is>
      </c>
      <c r="C6117" t="n">
        <v>3081</v>
      </c>
      <c r="D6117" s="6" t="n">
        <v>2.2</v>
      </c>
      <c r="E6117" t="n">
        <v>43245</v>
      </c>
      <c r="F6117" s="6" t="n">
        <v>2.2</v>
      </c>
      <c r="G6117" t="n">
        <v>1</v>
      </c>
      <c r="H6117" s="6">
        <f>ROUND(G6117*F6117,2)</f>
        <v/>
      </c>
      <c r="I6117">
        <f>IF(ROUND(H6117-D6117,2)=0,1,0)</f>
        <v/>
      </c>
      <c r="J6117">
        <f>IF(F6117="","none",IF(G6117=1,"carte","multiple"))</f>
        <v/>
      </c>
    </row>
    <row r="6118">
      <c r="A6118" t="inlineStr">
        <is>
          <t>2022-10-20</t>
        </is>
      </c>
      <c r="B6118" t="inlineStr">
        <is>
          <t>12:52</t>
        </is>
      </c>
      <c r="C6118" t="n">
        <v>3081</v>
      </c>
      <c r="D6118" s="6" t="n">
        <v>18.6</v>
      </c>
      <c r="E6118" t="n">
        <v>43246</v>
      </c>
      <c r="F6118" s="6" t="n">
        <v>18.6</v>
      </c>
      <c r="G6118" t="n">
        <v>1</v>
      </c>
      <c r="H6118" s="6">
        <f>ROUND(G6118*F6118,2)</f>
        <v/>
      </c>
      <c r="I6118">
        <f>IF(ROUND(H6118-D6118,2)=0,1,0)</f>
        <v/>
      </c>
      <c r="J6118">
        <f>IF(F6118="","none",IF(G6118=1,"carte","multiple"))</f>
        <v/>
      </c>
    </row>
    <row r="6119">
      <c r="A6119" t="inlineStr">
        <is>
          <t>2022-10-20</t>
        </is>
      </c>
      <c r="B6119" t="inlineStr">
        <is>
          <t>12:52</t>
        </is>
      </c>
      <c r="C6119" t="n">
        <v>3081</v>
      </c>
      <c r="D6119" s="6" t="n">
        <v>28.6</v>
      </c>
      <c r="E6119" t="n">
        <v>43247</v>
      </c>
      <c r="F6119" s="6" t="n">
        <v>28.6</v>
      </c>
      <c r="G6119" t="n">
        <v>1</v>
      </c>
      <c r="H6119" s="6">
        <f>ROUND(G6119*F6119,2)</f>
        <v/>
      </c>
      <c r="I6119">
        <f>IF(ROUND(H6119-D6119,2)=0,1,0)</f>
        <v/>
      </c>
      <c r="J6119">
        <f>IF(F6119="","none",IF(G6119=1,"carte","multiple"))</f>
        <v/>
      </c>
    </row>
    <row r="6120">
      <c r="A6120" t="inlineStr">
        <is>
          <t>2022-10-20</t>
        </is>
      </c>
      <c r="B6120" t="inlineStr">
        <is>
          <t>12:52</t>
        </is>
      </c>
      <c r="C6120" t="n">
        <v>3081</v>
      </c>
      <c r="D6120" s="6" t="n">
        <v>16.9</v>
      </c>
      <c r="E6120" t="n">
        <v>43248</v>
      </c>
      <c r="F6120" s="6" t="n">
        <v>16.9</v>
      </c>
      <c r="G6120" t="n">
        <v>1</v>
      </c>
      <c r="H6120" s="6">
        <f>ROUND(G6120*F6120,2)</f>
        <v/>
      </c>
      <c r="I6120">
        <f>IF(ROUND(H6120-D6120,2)=0,1,0)</f>
        <v/>
      </c>
      <c r="J6120">
        <f>IF(F6120="","none",IF(G6120=1,"carte","multiple"))</f>
        <v/>
      </c>
    </row>
    <row r="6121">
      <c r="A6121" t="inlineStr">
        <is>
          <t>2022-10-20</t>
        </is>
      </c>
      <c r="B6121" t="inlineStr">
        <is>
          <t>12:52</t>
        </is>
      </c>
      <c r="C6121" t="n">
        <v>3081</v>
      </c>
      <c r="D6121" s="6" t="n">
        <v>7.8</v>
      </c>
      <c r="E6121" t="n">
        <v>43249</v>
      </c>
      <c r="F6121" s="6" t="n">
        <v>7.8</v>
      </c>
      <c r="G6121" t="n">
        <v>1</v>
      </c>
      <c r="H6121" s="6">
        <f>ROUND(G6121*F6121,2)</f>
        <v/>
      </c>
      <c r="I6121">
        <f>IF(ROUND(H6121-D6121,2)=0,1,0)</f>
        <v/>
      </c>
      <c r="J6121">
        <f>IF(F6121="","none",IF(G6121=1,"carte","multiple"))</f>
        <v/>
      </c>
    </row>
    <row r="6122">
      <c r="A6122" t="inlineStr">
        <is>
          <t>2022-10-20</t>
        </is>
      </c>
      <c r="B6122" t="inlineStr">
        <is>
          <t>12:56</t>
        </is>
      </c>
      <c r="C6122" t="n">
        <v>3081</v>
      </c>
      <c r="D6122" s="6" t="n">
        <v>136</v>
      </c>
      <c r="E6122" t="n">
        <v>43250</v>
      </c>
      <c r="F6122" s="6" t="n">
        <v>0.4</v>
      </c>
      <c r="G6122" t="n">
        <v>340</v>
      </c>
      <c r="H6122" s="6">
        <f>ROUND(G6122*F6122,2)</f>
        <v/>
      </c>
      <c r="I6122">
        <f>IF(ROUND(H6122-D6122,2)=0,1,0)</f>
        <v/>
      </c>
      <c r="J6122">
        <f>IF(F6122="","none",IF(G6122=1,"carte","multiple"))</f>
        <v/>
      </c>
    </row>
    <row r="6123">
      <c r="A6123" t="inlineStr">
        <is>
          <t>2022-10-20</t>
        </is>
      </c>
      <c r="B6123" t="inlineStr">
        <is>
          <t>12:56</t>
        </is>
      </c>
      <c r="C6123" t="n">
        <v>3081</v>
      </c>
      <c r="D6123" s="6" t="n">
        <v>4.9</v>
      </c>
      <c r="E6123" t="n">
        <v>43251</v>
      </c>
      <c r="F6123" s="6" t="n">
        <v>4.9</v>
      </c>
      <c r="G6123" t="n">
        <v>1</v>
      </c>
      <c r="H6123" s="6">
        <f>ROUND(G6123*F6123,2)</f>
        <v/>
      </c>
      <c r="I6123">
        <f>IF(ROUND(H6123-D6123,2)=0,1,0)</f>
        <v/>
      </c>
      <c r="J6123">
        <f>IF(F6123="","none",IF(G6123=1,"carte","multiple"))</f>
        <v/>
      </c>
    </row>
    <row r="6124">
      <c r="A6124" t="inlineStr">
        <is>
          <t>2022-10-20</t>
        </is>
      </c>
      <c r="B6124" t="inlineStr">
        <is>
          <t>12:56</t>
        </is>
      </c>
      <c r="C6124" t="n">
        <v>3081</v>
      </c>
      <c r="D6124" s="6" t="n">
        <v>12.6</v>
      </c>
      <c r="E6124" t="n">
        <v>43252</v>
      </c>
      <c r="F6124" s="6" t="n">
        <v>0.9</v>
      </c>
      <c r="G6124" t="n">
        <v>14</v>
      </c>
      <c r="H6124" s="6">
        <f>ROUND(G6124*F6124,2)</f>
        <v/>
      </c>
      <c r="I6124">
        <f>IF(ROUND(H6124-D6124,2)=0,1,0)</f>
        <v/>
      </c>
      <c r="J6124">
        <f>IF(F6124="","none",IF(G6124=1,"carte","multiple"))</f>
        <v/>
      </c>
    </row>
    <row r="6125">
      <c r="A6125" t="inlineStr">
        <is>
          <t>2022-10-20</t>
        </is>
      </c>
      <c r="B6125" t="inlineStr">
        <is>
          <t>19:31</t>
        </is>
      </c>
      <c r="C6125" t="n">
        <v>3081</v>
      </c>
      <c r="D6125" s="6" t="n">
        <v>13</v>
      </c>
      <c r="E6125" t="n">
        <v>43254</v>
      </c>
      <c r="F6125" s="6" t="n">
        <v>13</v>
      </c>
      <c r="G6125" t="n">
        <v>1</v>
      </c>
      <c r="H6125" s="6">
        <f>ROUND(G6125*F6125,2)</f>
        <v/>
      </c>
      <c r="I6125">
        <f>IF(ROUND(H6125-D6125,2)=0,1,0)</f>
        <v/>
      </c>
      <c r="J6125">
        <f>IF(F6125="","none",IF(G6125=1,"carte","multiple"))</f>
        <v/>
      </c>
    </row>
    <row r="6126">
      <c r="A6126" t="inlineStr">
        <is>
          <t>2022-10-20</t>
        </is>
      </c>
      <c r="B6126" t="inlineStr">
        <is>
          <t>19:31</t>
        </is>
      </c>
      <c r="C6126" t="n">
        <v>3081</v>
      </c>
      <c r="D6126" s="6" t="n">
        <v>24.9</v>
      </c>
      <c r="E6126" t="n">
        <v>43255</v>
      </c>
      <c r="F6126" s="6" t="n">
        <v>24.9</v>
      </c>
      <c r="G6126" t="n">
        <v>1</v>
      </c>
      <c r="H6126" s="6">
        <f>ROUND(G6126*F6126,2)</f>
        <v/>
      </c>
      <c r="I6126">
        <f>IF(ROUND(H6126-D6126,2)=0,1,0)</f>
        <v/>
      </c>
      <c r="J6126">
        <f>IF(F6126="","none",IF(G6126=1,"carte","multiple"))</f>
        <v/>
      </c>
    </row>
    <row r="6127">
      <c r="A6127" t="inlineStr">
        <is>
          <t>2022-10-20</t>
        </is>
      </c>
      <c r="B6127" t="inlineStr">
        <is>
          <t>19:31</t>
        </is>
      </c>
      <c r="C6127" t="n">
        <v>3081</v>
      </c>
      <c r="D6127" s="6" t="n">
        <v>10.9</v>
      </c>
      <c r="E6127" t="n">
        <v>43256</v>
      </c>
      <c r="F6127" s="6" t="n">
        <v>10.9</v>
      </c>
      <c r="G6127" t="n">
        <v>1</v>
      </c>
      <c r="H6127" s="6">
        <f>ROUND(G6127*F6127,2)</f>
        <v/>
      </c>
      <c r="I6127">
        <f>IF(ROUND(H6127-D6127,2)=0,1,0)</f>
        <v/>
      </c>
      <c r="J6127">
        <f>IF(F6127="","none",IF(G6127=1,"carte","multiple"))</f>
        <v/>
      </c>
    </row>
    <row r="6128">
      <c r="A6128" t="inlineStr">
        <is>
          <t>2022-10-20</t>
        </is>
      </c>
      <c r="B6128" t="inlineStr">
        <is>
          <t>19:31</t>
        </is>
      </c>
      <c r="C6128" t="n">
        <v>3081</v>
      </c>
      <c r="D6128" s="6" t="n">
        <v>8</v>
      </c>
      <c r="E6128" t="n">
        <v>43257</v>
      </c>
      <c r="F6128" s="6" t="n">
        <v>8</v>
      </c>
      <c r="G6128" t="n">
        <v>1</v>
      </c>
      <c r="H6128" s="6">
        <f>ROUND(G6128*F6128,2)</f>
        <v/>
      </c>
      <c r="I6128">
        <f>IF(ROUND(H6128-D6128,2)=0,1,0)</f>
        <v/>
      </c>
      <c r="J6128">
        <f>IF(F6128="","none",IF(G6128=1,"carte","multiple"))</f>
        <v/>
      </c>
    </row>
    <row r="6129">
      <c r="A6129" t="inlineStr">
        <is>
          <t>2022-10-20</t>
        </is>
      </c>
      <c r="B6129" t="inlineStr">
        <is>
          <t>19:31</t>
        </is>
      </c>
      <c r="C6129" t="n">
        <v>3081</v>
      </c>
      <c r="D6129" s="6" t="n">
        <v>34</v>
      </c>
      <c r="E6129" t="n">
        <v>43258</v>
      </c>
      <c r="F6129" s="6" t="n">
        <v>34</v>
      </c>
      <c r="G6129" t="n">
        <v>1</v>
      </c>
      <c r="H6129" s="6">
        <f>ROUND(G6129*F6129,2)</f>
        <v/>
      </c>
      <c r="I6129">
        <f>IF(ROUND(H6129-D6129,2)=0,1,0)</f>
        <v/>
      </c>
      <c r="J6129">
        <f>IF(F6129="","none",IF(G6129=1,"carte","multiple"))</f>
        <v/>
      </c>
    </row>
    <row r="6130">
      <c r="A6130" t="inlineStr">
        <is>
          <t>2022-10-20</t>
        </is>
      </c>
      <c r="B6130" t="inlineStr">
        <is>
          <t>19:31</t>
        </is>
      </c>
      <c r="C6130" t="n">
        <v>3081</v>
      </c>
      <c r="D6130" s="6" t="n">
        <v>7.8</v>
      </c>
      <c r="E6130" t="n">
        <v>43259</v>
      </c>
      <c r="F6130" s="6" t="n">
        <v>7.8</v>
      </c>
      <c r="G6130" t="n">
        <v>1</v>
      </c>
      <c r="H6130" s="6">
        <f>ROUND(G6130*F6130,2)</f>
        <v/>
      </c>
      <c r="I6130">
        <f>IF(ROUND(H6130-D6130,2)=0,1,0)</f>
        <v/>
      </c>
      <c r="J6130">
        <f>IF(F6130="","none",IF(G6130=1,"carte","multiple"))</f>
        <v/>
      </c>
    </row>
    <row r="6131">
      <c r="A6131" t="inlineStr">
        <is>
          <t>2022-10-20</t>
        </is>
      </c>
      <c r="B6131" t="inlineStr">
        <is>
          <t>19:38</t>
        </is>
      </c>
      <c r="C6131" t="n">
        <v>3081</v>
      </c>
      <c r="D6131" s="6" t="n">
        <v>43.8</v>
      </c>
      <c r="E6131" t="n">
        <v>43260</v>
      </c>
      <c r="F6131" s="6" t="n">
        <v>43.8</v>
      </c>
      <c r="G6131" t="n">
        <v>1</v>
      </c>
      <c r="H6131" s="6">
        <f>ROUND(G6131*F6131,2)</f>
        <v/>
      </c>
      <c r="I6131">
        <f>IF(ROUND(H6131-D6131,2)=0,1,0)</f>
        <v/>
      </c>
      <c r="J6131">
        <f>IF(F6131="","none",IF(G6131=1,"carte","multiple"))</f>
        <v/>
      </c>
    </row>
    <row r="6132">
      <c r="A6132" t="inlineStr">
        <is>
          <t>2022-10-20</t>
        </is>
      </c>
      <c r="B6132" t="inlineStr">
        <is>
          <t>19:38</t>
        </is>
      </c>
      <c r="C6132" t="n">
        <v>3081</v>
      </c>
      <c r="D6132" s="6" t="n">
        <v>5.8</v>
      </c>
      <c r="E6132" t="n">
        <v>43261</v>
      </c>
      <c r="F6132" s="6" t="n">
        <v>5.8</v>
      </c>
      <c r="G6132" t="n">
        <v>1</v>
      </c>
      <c r="H6132" s="6">
        <f>ROUND(G6132*F6132,2)</f>
        <v/>
      </c>
      <c r="I6132">
        <f>IF(ROUND(H6132-D6132,2)=0,1,0)</f>
        <v/>
      </c>
      <c r="J6132">
        <f>IF(F6132="","none",IF(G6132=1,"carte","multiple"))</f>
        <v/>
      </c>
    </row>
    <row r="6133">
      <c r="A6133" t="inlineStr">
        <is>
          <t>2022-10-20</t>
        </is>
      </c>
      <c r="B6133" t="inlineStr">
        <is>
          <t>19:43</t>
        </is>
      </c>
      <c r="C6133" t="n">
        <v>3081</v>
      </c>
      <c r="D6133" s="6" t="n">
        <v>7.8</v>
      </c>
      <c r="E6133" t="n">
        <v>43262</v>
      </c>
      <c r="F6133" s="6" t="n">
        <v>7.8</v>
      </c>
      <c r="G6133" t="n">
        <v>1</v>
      </c>
      <c r="H6133" s="6">
        <f>ROUND(G6133*F6133,2)</f>
        <v/>
      </c>
      <c r="I6133">
        <f>IF(ROUND(H6133-D6133,2)=0,1,0)</f>
        <v/>
      </c>
      <c r="J6133">
        <f>IF(F6133="","none",IF(G6133=1,"carte","multiple"))</f>
        <v/>
      </c>
    </row>
    <row r="6134">
      <c r="A6134" t="inlineStr">
        <is>
          <t>2022-10-20</t>
        </is>
      </c>
      <c r="B6134" t="inlineStr">
        <is>
          <t>19:43</t>
        </is>
      </c>
      <c r="C6134" t="n">
        <v>3081</v>
      </c>
      <c r="D6134" s="6" t="n">
        <v>3.9</v>
      </c>
      <c r="E6134" t="n">
        <v>43263</v>
      </c>
      <c r="F6134" s="6" t="n">
        <v>3.9</v>
      </c>
      <c r="G6134" t="n">
        <v>1</v>
      </c>
      <c r="H6134" s="6">
        <f>ROUND(G6134*F6134,2)</f>
        <v/>
      </c>
      <c r="I6134">
        <f>IF(ROUND(H6134-D6134,2)=0,1,0)</f>
        <v/>
      </c>
      <c r="J6134">
        <f>IF(F6134="","none",IF(G6134=1,"carte","multiple"))</f>
        <v/>
      </c>
    </row>
    <row r="6135">
      <c r="A6135" t="inlineStr">
        <is>
          <t>2022-10-20</t>
        </is>
      </c>
      <c r="B6135" t="inlineStr">
        <is>
          <t>19:43</t>
        </is>
      </c>
      <c r="C6135" t="n">
        <v>3081</v>
      </c>
      <c r="D6135" s="6" t="n">
        <v>2.2</v>
      </c>
      <c r="E6135" t="n">
        <v>43264</v>
      </c>
      <c r="F6135" s="6" t="n">
        <v>2.2</v>
      </c>
      <c r="G6135" t="n">
        <v>1</v>
      </c>
      <c r="H6135" s="6">
        <f>ROUND(G6135*F6135,2)</f>
        <v/>
      </c>
      <c r="I6135">
        <f>IF(ROUND(H6135-D6135,2)=0,1,0)</f>
        <v/>
      </c>
      <c r="J6135">
        <f>IF(F6135="","none",IF(G6135=1,"carte","multiple"))</f>
        <v/>
      </c>
    </row>
    <row r="6136">
      <c r="A6136" t="inlineStr">
        <is>
          <t>2022-10-20</t>
        </is>
      </c>
      <c r="B6136" t="inlineStr">
        <is>
          <t>19:43</t>
        </is>
      </c>
      <c r="C6136" t="n">
        <v>3081</v>
      </c>
      <c r="D6136" s="6" t="n">
        <v>6.5</v>
      </c>
      <c r="E6136" t="n">
        <v>43265</v>
      </c>
      <c r="F6136" s="6" t="n">
        <v>6.5</v>
      </c>
      <c r="G6136" t="n">
        <v>1</v>
      </c>
      <c r="H6136" s="6">
        <f>ROUND(G6136*F6136,2)</f>
        <v/>
      </c>
      <c r="I6136">
        <f>IF(ROUND(H6136-D6136,2)=0,1,0)</f>
        <v/>
      </c>
      <c r="J6136">
        <f>IF(F6136="","none",IF(G6136=1,"carte","multiple"))</f>
        <v/>
      </c>
    </row>
    <row r="6137">
      <c r="A6137" t="inlineStr">
        <is>
          <t>2022-10-20</t>
        </is>
      </c>
      <c r="B6137" t="inlineStr">
        <is>
          <t>19:43</t>
        </is>
      </c>
      <c r="C6137" t="n">
        <v>3081</v>
      </c>
      <c r="D6137" s="6" t="n">
        <v>19.9</v>
      </c>
      <c r="E6137" t="n">
        <v>43266</v>
      </c>
      <c r="F6137" s="6" t="n">
        <v>19.9</v>
      </c>
      <c r="G6137" t="n">
        <v>1</v>
      </c>
      <c r="H6137" s="6">
        <f>ROUND(G6137*F6137,2)</f>
        <v/>
      </c>
      <c r="I6137">
        <f>IF(ROUND(H6137-D6137,2)=0,1,0)</f>
        <v/>
      </c>
      <c r="J6137">
        <f>IF(F6137="","none",IF(G6137=1,"carte","multiple"))</f>
        <v/>
      </c>
    </row>
    <row r="6138">
      <c r="A6138" t="inlineStr">
        <is>
          <t>2022-10-20</t>
        </is>
      </c>
      <c r="B6138" t="inlineStr">
        <is>
          <t>19:43</t>
        </is>
      </c>
      <c r="C6138" t="n">
        <v>3081</v>
      </c>
      <c r="D6138" s="6" t="n">
        <v>3.9</v>
      </c>
      <c r="E6138" t="n">
        <v>43267</v>
      </c>
      <c r="F6138" s="6" t="n">
        <v>3.9</v>
      </c>
      <c r="G6138" t="n">
        <v>1</v>
      </c>
      <c r="H6138" s="6">
        <f>ROUND(G6138*F6138,2)</f>
        <v/>
      </c>
      <c r="I6138">
        <f>IF(ROUND(H6138-D6138,2)=0,1,0)</f>
        <v/>
      </c>
      <c r="J6138">
        <f>IF(F6138="","none",IF(G6138=1,"carte","multiple"))</f>
        <v/>
      </c>
    </row>
    <row r="6139">
      <c r="A6139" t="inlineStr">
        <is>
          <t>2022-10-20</t>
        </is>
      </c>
      <c r="B6139" t="inlineStr">
        <is>
          <t>19:43</t>
        </is>
      </c>
      <c r="C6139" t="n">
        <v>3081</v>
      </c>
      <c r="D6139" s="6" t="n">
        <v>0.9</v>
      </c>
      <c r="E6139" t="n">
        <v>43268</v>
      </c>
      <c r="F6139" s="6" t="n">
        <v>0.9</v>
      </c>
      <c r="G6139" t="n">
        <v>1</v>
      </c>
      <c r="H6139" s="6">
        <f>ROUND(G6139*F6139,2)</f>
        <v/>
      </c>
      <c r="I6139">
        <f>IF(ROUND(H6139-D6139,2)=0,1,0)</f>
        <v/>
      </c>
      <c r="J6139">
        <f>IF(F6139="","none",IF(G6139=1,"carte","multiple"))</f>
        <v/>
      </c>
    </row>
    <row r="6140">
      <c r="A6140" t="inlineStr">
        <is>
          <t>2022-10-20</t>
        </is>
      </c>
      <c r="B6140" t="inlineStr">
        <is>
          <t>19:43</t>
        </is>
      </c>
      <c r="C6140" t="n">
        <v>3081</v>
      </c>
      <c r="D6140" s="6" t="n">
        <v>4</v>
      </c>
      <c r="E6140" t="n">
        <v>43269</v>
      </c>
      <c r="F6140" s="6" t="n">
        <v>4</v>
      </c>
      <c r="G6140" t="n">
        <v>1</v>
      </c>
      <c r="H6140" s="6">
        <f>ROUND(G6140*F6140,2)</f>
        <v/>
      </c>
      <c r="I6140">
        <f>IF(ROUND(H6140-D6140,2)=0,1,0)</f>
        <v/>
      </c>
      <c r="J6140">
        <f>IF(F6140="","none",IF(G6140=1,"carte","multiple"))</f>
        <v/>
      </c>
    </row>
    <row r="6141">
      <c r="A6141" t="inlineStr">
        <is>
          <t>2022-10-20</t>
        </is>
      </c>
      <c r="B6141" t="inlineStr">
        <is>
          <t>19:43</t>
        </is>
      </c>
      <c r="C6141" t="n">
        <v>3081</v>
      </c>
      <c r="D6141" s="6" t="n">
        <v>1.4</v>
      </c>
      <c r="E6141" t="n">
        <v>43270</v>
      </c>
      <c r="F6141" s="6" t="n">
        <v>1.4</v>
      </c>
      <c r="G6141" t="n">
        <v>1</v>
      </c>
      <c r="H6141" s="6">
        <f>ROUND(G6141*F6141,2)</f>
        <v/>
      </c>
      <c r="I6141">
        <f>IF(ROUND(H6141-D6141,2)=0,1,0)</f>
        <v/>
      </c>
      <c r="J6141">
        <f>IF(F6141="","none",IF(G6141=1,"carte","multiple"))</f>
        <v/>
      </c>
    </row>
    <row r="6142">
      <c r="A6142" t="inlineStr">
        <is>
          <t>2022-10-20</t>
        </is>
      </c>
      <c r="B6142" t="inlineStr">
        <is>
          <t>20:15</t>
        </is>
      </c>
      <c r="C6142" t="n">
        <v>3081</v>
      </c>
      <c r="D6142" s="6" t="n">
        <v>11.2</v>
      </c>
      <c r="E6142" t="n">
        <v>43271</v>
      </c>
      <c r="F6142" s="6" t="n">
        <v>11.2</v>
      </c>
      <c r="G6142" t="n">
        <v>1</v>
      </c>
      <c r="H6142" s="6">
        <f>ROUND(G6142*F6142,2)</f>
        <v/>
      </c>
      <c r="I6142">
        <f>IF(ROUND(H6142-D6142,2)=0,1,0)</f>
        <v/>
      </c>
      <c r="J6142">
        <f>IF(F6142="","none",IF(G6142=1,"carte","multiple"))</f>
        <v/>
      </c>
    </row>
    <row r="6143">
      <c r="A6143" t="inlineStr">
        <is>
          <t>2022-10-20</t>
        </is>
      </c>
      <c r="B6143" t="inlineStr">
        <is>
          <t>20:15</t>
        </is>
      </c>
      <c r="C6143" t="n">
        <v>3081</v>
      </c>
      <c r="D6143" s="6" t="n">
        <v>27.8</v>
      </c>
      <c r="E6143" t="n">
        <v>43272</v>
      </c>
      <c r="F6143" s="6" t="n">
        <v>27.8</v>
      </c>
      <c r="G6143" t="n">
        <v>1</v>
      </c>
      <c r="H6143" s="6">
        <f>ROUND(G6143*F6143,2)</f>
        <v/>
      </c>
      <c r="I6143">
        <f>IF(ROUND(H6143-D6143,2)=0,1,0)</f>
        <v/>
      </c>
      <c r="J6143">
        <f>IF(F6143="","none",IF(G6143=1,"carte","multiple"))</f>
        <v/>
      </c>
    </row>
    <row r="6144">
      <c r="A6144" t="inlineStr">
        <is>
          <t>2022-10-20</t>
        </is>
      </c>
      <c r="B6144" t="inlineStr">
        <is>
          <t>20:15</t>
        </is>
      </c>
      <c r="C6144" t="n">
        <v>3081</v>
      </c>
      <c r="D6144" s="6" t="n">
        <v>8</v>
      </c>
      <c r="E6144" t="n">
        <v>43273</v>
      </c>
      <c r="F6144" s="6" t="n">
        <v>8</v>
      </c>
      <c r="G6144" t="n">
        <v>1</v>
      </c>
      <c r="H6144" s="6">
        <f>ROUND(G6144*F6144,2)</f>
        <v/>
      </c>
      <c r="I6144">
        <f>IF(ROUND(H6144-D6144,2)=0,1,0)</f>
        <v/>
      </c>
      <c r="J6144">
        <f>IF(F6144="","none",IF(G6144=1,"carte","multiple"))</f>
        <v/>
      </c>
    </row>
    <row r="6145">
      <c r="A6145" t="inlineStr">
        <is>
          <t>2022-10-20</t>
        </is>
      </c>
      <c r="B6145" t="inlineStr">
        <is>
          <t>20:18</t>
        </is>
      </c>
      <c r="C6145" t="n">
        <v>3081</v>
      </c>
      <c r="D6145" s="6" t="n">
        <v>4.4</v>
      </c>
      <c r="E6145" t="n">
        <v>43274</v>
      </c>
      <c r="F6145" s="6" t="n">
        <v>0.4</v>
      </c>
      <c r="G6145" t="n">
        <v>11</v>
      </c>
      <c r="H6145" s="6">
        <f>ROUND(G6145*F6145,2)</f>
        <v/>
      </c>
      <c r="I6145">
        <f>IF(ROUND(H6145-D6145,2)=0,1,0)</f>
        <v/>
      </c>
      <c r="J6145">
        <f>IF(F6145="","none",IF(G6145=1,"carte","multiple"))</f>
        <v/>
      </c>
    </row>
    <row r="6146">
      <c r="A6146" t="inlineStr">
        <is>
          <t>2022-10-20</t>
        </is>
      </c>
      <c r="B6146" t="inlineStr">
        <is>
          <t>20:18</t>
        </is>
      </c>
      <c r="C6146" t="n">
        <v>3081</v>
      </c>
      <c r="D6146" s="6" t="n">
        <v>1.8</v>
      </c>
      <c r="E6146" t="n">
        <v>43275</v>
      </c>
      <c r="F6146" s="6" t="n">
        <v>1.8</v>
      </c>
      <c r="G6146" t="n">
        <v>1</v>
      </c>
      <c r="H6146" s="6">
        <f>ROUND(G6146*F6146,2)</f>
        <v/>
      </c>
      <c r="I6146">
        <f>IF(ROUND(H6146-D6146,2)=0,1,0)</f>
        <v/>
      </c>
      <c r="J6146">
        <f>IF(F6146="","none",IF(G6146=1,"carte","multiple"))</f>
        <v/>
      </c>
    </row>
    <row r="6147">
      <c r="A6147" t="inlineStr">
        <is>
          <t>2022-10-20</t>
        </is>
      </c>
      <c r="B6147" t="inlineStr">
        <is>
          <t>20:18</t>
        </is>
      </c>
      <c r="C6147" t="n">
        <v>3081</v>
      </c>
      <c r="D6147" s="6" t="n">
        <v>3.9</v>
      </c>
      <c r="E6147" t="n">
        <v>43276</v>
      </c>
      <c r="F6147" s="6" t="n">
        <v>3.9</v>
      </c>
      <c r="G6147" t="n">
        <v>1</v>
      </c>
      <c r="H6147" s="6">
        <f>ROUND(G6147*F6147,2)</f>
        <v/>
      </c>
      <c r="I6147">
        <f>IF(ROUND(H6147-D6147,2)=0,1,0)</f>
        <v/>
      </c>
      <c r="J6147">
        <f>IF(F6147="","none",IF(G6147=1,"carte","multiple"))</f>
        <v/>
      </c>
    </row>
    <row r="6148">
      <c r="A6148" t="inlineStr">
        <is>
          <t>2022-10-20</t>
        </is>
      </c>
      <c r="B6148" t="inlineStr">
        <is>
          <t>20:18</t>
        </is>
      </c>
      <c r="C6148" t="n">
        <v>3081</v>
      </c>
      <c r="D6148" s="6" t="n">
        <v>7</v>
      </c>
      <c r="E6148" t="n">
        <v>43277</v>
      </c>
      <c r="F6148" s="6" t="n">
        <v>7</v>
      </c>
      <c r="G6148" t="n">
        <v>1</v>
      </c>
      <c r="H6148" s="6">
        <f>ROUND(G6148*F6148,2)</f>
        <v/>
      </c>
      <c r="I6148">
        <f>IF(ROUND(H6148-D6148,2)=0,1,0)</f>
        <v/>
      </c>
      <c r="J6148">
        <f>IF(F6148="","none",IF(G6148=1,"carte","multiple"))</f>
        <v/>
      </c>
    </row>
    <row r="6149">
      <c r="A6149" t="inlineStr">
        <is>
          <t>2022-10-20</t>
        </is>
      </c>
      <c r="B6149" t="inlineStr">
        <is>
          <t>20:18</t>
        </is>
      </c>
      <c r="C6149" t="n">
        <v>3081</v>
      </c>
      <c r="D6149" s="6" t="n">
        <v>9.800000000000001</v>
      </c>
      <c r="E6149" t="n">
        <v>43278</v>
      </c>
      <c r="F6149" s="6" t="n">
        <v>9.800000000000001</v>
      </c>
      <c r="G6149" t="n">
        <v>1</v>
      </c>
      <c r="H6149" s="6">
        <f>ROUND(G6149*F6149,2)</f>
        <v/>
      </c>
      <c r="I6149">
        <f>IF(ROUND(H6149-D6149,2)=0,1,0)</f>
        <v/>
      </c>
      <c r="J6149">
        <f>IF(F6149="","none",IF(G6149=1,"carte","multiple"))</f>
        <v/>
      </c>
    </row>
    <row r="6150">
      <c r="A6150" t="inlineStr">
        <is>
          <t>2022-10-20</t>
        </is>
      </c>
      <c r="B6150" t="inlineStr">
        <is>
          <t>20:18</t>
        </is>
      </c>
      <c r="C6150" t="n">
        <v>3081</v>
      </c>
      <c r="D6150" s="6" t="n">
        <v>16.9</v>
      </c>
      <c r="E6150" t="n">
        <v>43279</v>
      </c>
      <c r="F6150" s="6" t="n">
        <v>16.9</v>
      </c>
      <c r="G6150" t="n">
        <v>1</v>
      </c>
      <c r="H6150" s="6">
        <f>ROUND(G6150*F6150,2)</f>
        <v/>
      </c>
      <c r="I6150">
        <f>IF(ROUND(H6150-D6150,2)=0,1,0)</f>
        <v/>
      </c>
      <c r="J6150">
        <f>IF(F6150="","none",IF(G6150=1,"carte","multiple"))</f>
        <v/>
      </c>
    </row>
    <row r="6151">
      <c r="A6151" t="inlineStr">
        <is>
          <t>2022-10-20</t>
        </is>
      </c>
      <c r="B6151" t="inlineStr">
        <is>
          <t>20:18</t>
        </is>
      </c>
      <c r="C6151" t="n">
        <v>3081</v>
      </c>
      <c r="D6151" s="6" t="n">
        <v>19.9</v>
      </c>
      <c r="E6151" t="n">
        <v>43280</v>
      </c>
      <c r="F6151" s="6" t="n">
        <v>19.9</v>
      </c>
      <c r="G6151" t="n">
        <v>1</v>
      </c>
      <c r="H6151" s="6">
        <f>ROUND(G6151*F6151,2)</f>
        <v/>
      </c>
      <c r="I6151">
        <f>IF(ROUND(H6151-D6151,2)=0,1,0)</f>
        <v/>
      </c>
      <c r="J6151">
        <f>IF(F6151="","none",IF(G6151=1,"carte","multiple"))</f>
        <v/>
      </c>
    </row>
    <row r="6152">
      <c r="A6152" t="inlineStr">
        <is>
          <t>2022-10-20</t>
        </is>
      </c>
      <c r="B6152" t="inlineStr">
        <is>
          <t>20:18</t>
        </is>
      </c>
      <c r="C6152" t="n">
        <v>3081</v>
      </c>
      <c r="D6152" s="6" t="n">
        <v>3.8</v>
      </c>
      <c r="E6152" t="n">
        <v>43281</v>
      </c>
      <c r="F6152" s="6" t="n">
        <v>3.8</v>
      </c>
      <c r="G6152" t="n">
        <v>1</v>
      </c>
      <c r="H6152" s="6">
        <f>ROUND(G6152*F6152,2)</f>
        <v/>
      </c>
      <c r="I6152">
        <f>IF(ROUND(H6152-D6152,2)=0,1,0)</f>
        <v/>
      </c>
      <c r="J6152">
        <f>IF(F6152="","none",IF(G6152=1,"carte","multiple"))</f>
        <v/>
      </c>
    </row>
    <row r="6153">
      <c r="A6153" t="inlineStr">
        <is>
          <t>2022-10-20</t>
        </is>
      </c>
      <c r="B6153" t="inlineStr">
        <is>
          <t>20:18</t>
        </is>
      </c>
      <c r="C6153" t="n">
        <v>3081</v>
      </c>
      <c r="D6153" s="6" t="n">
        <v>4.5</v>
      </c>
      <c r="E6153" t="n">
        <v>43282</v>
      </c>
      <c r="F6153" s="6" t="n">
        <v>4.5</v>
      </c>
      <c r="G6153" t="n">
        <v>1</v>
      </c>
      <c r="H6153" s="6">
        <f>ROUND(G6153*F6153,2)</f>
        <v/>
      </c>
      <c r="I6153">
        <f>IF(ROUND(H6153-D6153,2)=0,1,0)</f>
        <v/>
      </c>
      <c r="J6153">
        <f>IF(F6153="","none",IF(G6153=1,"carte","multiple"))</f>
        <v/>
      </c>
    </row>
    <row r="6154">
      <c r="A6154" t="inlineStr">
        <is>
          <t>2022-10-20</t>
        </is>
      </c>
      <c r="B6154" t="inlineStr">
        <is>
          <t>20:38</t>
        </is>
      </c>
      <c r="C6154" t="n">
        <v>3081</v>
      </c>
      <c r="D6154" s="6" t="n">
        <v>68</v>
      </c>
      <c r="E6154" t="n">
        <v>43283</v>
      </c>
      <c r="F6154" s="6" t="n">
        <v>0.4</v>
      </c>
      <c r="G6154" t="n">
        <v>170</v>
      </c>
      <c r="H6154" s="6">
        <f>ROUND(G6154*F6154,2)</f>
        <v/>
      </c>
      <c r="I6154">
        <f>IF(ROUND(H6154-D6154,2)=0,1,0)</f>
        <v/>
      </c>
      <c r="J6154">
        <f>IF(F6154="","none",IF(G6154=1,"carte","multiple"))</f>
        <v/>
      </c>
    </row>
    <row r="6155">
      <c r="A6155" t="inlineStr">
        <is>
          <t>2022-10-20</t>
        </is>
      </c>
      <c r="B6155" t="inlineStr">
        <is>
          <t>20:38</t>
        </is>
      </c>
      <c r="C6155" t="n">
        <v>3081</v>
      </c>
      <c r="D6155" s="6" t="n">
        <v>6.4</v>
      </c>
      <c r="E6155" t="n">
        <v>43284</v>
      </c>
      <c r="F6155" s="6" t="n">
        <v>6.4</v>
      </c>
      <c r="G6155" t="n">
        <v>1</v>
      </c>
      <c r="H6155" s="6">
        <f>ROUND(G6155*F6155,2)</f>
        <v/>
      </c>
      <c r="I6155">
        <f>IF(ROUND(H6155-D6155,2)=0,1,0)</f>
        <v/>
      </c>
      <c r="J6155">
        <f>IF(F6155="","none",IF(G6155=1,"carte","multiple"))</f>
        <v/>
      </c>
    </row>
    <row r="6156">
      <c r="A6156" t="inlineStr">
        <is>
          <t>2022-10-20</t>
        </is>
      </c>
      <c r="B6156" t="inlineStr">
        <is>
          <t>20:38</t>
        </is>
      </c>
      <c r="C6156" t="n">
        <v>3081</v>
      </c>
      <c r="D6156" s="6" t="n">
        <v>7.9</v>
      </c>
      <c r="E6156" t="n">
        <v>43285</v>
      </c>
      <c r="F6156" s="6" t="n">
        <v>7.9</v>
      </c>
      <c r="G6156" t="n">
        <v>1</v>
      </c>
      <c r="H6156" s="6">
        <f>ROUND(G6156*F6156,2)</f>
        <v/>
      </c>
      <c r="I6156">
        <f>IF(ROUND(H6156-D6156,2)=0,1,0)</f>
        <v/>
      </c>
      <c r="J6156">
        <f>IF(F6156="","none",IF(G6156=1,"carte","multiple"))</f>
        <v/>
      </c>
    </row>
    <row r="6157">
      <c r="A6157" t="inlineStr">
        <is>
          <t>2022-10-20</t>
        </is>
      </c>
      <c r="B6157" t="inlineStr">
        <is>
          <t>20:38</t>
        </is>
      </c>
      <c r="C6157" t="n">
        <v>3081</v>
      </c>
      <c r="D6157" s="6" t="n">
        <v>5.2</v>
      </c>
      <c r="E6157" t="n">
        <v>43286</v>
      </c>
      <c r="F6157" s="6" t="n">
        <v>5.2</v>
      </c>
      <c r="G6157" t="n">
        <v>1</v>
      </c>
      <c r="H6157" s="6">
        <f>ROUND(G6157*F6157,2)</f>
        <v/>
      </c>
      <c r="I6157">
        <f>IF(ROUND(H6157-D6157,2)=0,1,0)</f>
        <v/>
      </c>
      <c r="J6157">
        <f>IF(F6157="","none",IF(G6157=1,"carte","multiple"))</f>
        <v/>
      </c>
    </row>
    <row r="6158">
      <c r="A6158" t="inlineStr">
        <is>
          <t>2022-10-21</t>
        </is>
      </c>
      <c r="B6158" t="inlineStr">
        <is>
          <t>10:35</t>
        </is>
      </c>
      <c r="C6158" t="n">
        <v>3082</v>
      </c>
      <c r="D6158" s="6" t="n">
        <v>21</v>
      </c>
      <c r="E6158" t="n">
        <v>43289</v>
      </c>
      <c r="F6158" s="6" t="n">
        <v>21</v>
      </c>
      <c r="G6158" t="n">
        <v>1</v>
      </c>
      <c r="H6158" s="6">
        <f>ROUND(G6158*F6158,2)</f>
        <v/>
      </c>
      <c r="I6158">
        <f>IF(ROUND(H6158-D6158,2)=0,1,0)</f>
        <v/>
      </c>
      <c r="J6158">
        <f>IF(F6158="","none",IF(G6158=1,"carte","multiple"))</f>
        <v/>
      </c>
    </row>
    <row r="6159">
      <c r="A6159" t="inlineStr">
        <is>
          <t>2022-10-21</t>
        </is>
      </c>
      <c r="B6159" t="inlineStr">
        <is>
          <t>12:51</t>
        </is>
      </c>
      <c r="C6159" t="n">
        <v>3082</v>
      </c>
      <c r="D6159" s="6" t="n">
        <v>90</v>
      </c>
      <c r="E6159" t="n">
        <v>43290</v>
      </c>
      <c r="F6159" s="6" t="n">
        <v>0.4</v>
      </c>
      <c r="G6159" t="n">
        <v>225</v>
      </c>
      <c r="H6159" s="6">
        <f>ROUND(G6159*F6159,2)</f>
        <v/>
      </c>
      <c r="I6159">
        <f>IF(ROUND(H6159-D6159,2)=0,1,0)</f>
        <v/>
      </c>
      <c r="J6159">
        <f>IF(F6159="","none",IF(G6159=1,"carte","multiple"))</f>
        <v/>
      </c>
    </row>
    <row r="6160">
      <c r="A6160" t="inlineStr">
        <is>
          <t>2022-10-21</t>
        </is>
      </c>
      <c r="B6160" t="inlineStr">
        <is>
          <t>19:14</t>
        </is>
      </c>
      <c r="C6160" t="n">
        <v>3082</v>
      </c>
      <c r="D6160" s="6" t="n">
        <v>69.09999999999999</v>
      </c>
      <c r="E6160" t="n">
        <v>43291</v>
      </c>
      <c r="H6160" t="inlineStr"/>
      <c r="I6160" t="inlineStr"/>
      <c r="J6160">
        <f>IF(F6160="","none",IF(G6160=1,"carte","multiple"))</f>
        <v/>
      </c>
    </row>
    <row r="6161">
      <c r="A6161" t="inlineStr">
        <is>
          <t>2022-10-21</t>
        </is>
      </c>
      <c r="B6161" t="inlineStr">
        <is>
          <t>20:14</t>
        </is>
      </c>
      <c r="C6161" t="n">
        <v>3082</v>
      </c>
      <c r="D6161" s="6" t="n">
        <v>5.9</v>
      </c>
      <c r="E6161" t="n">
        <v>43292</v>
      </c>
      <c r="F6161" s="6" t="n">
        <v>5.9</v>
      </c>
      <c r="G6161" t="n">
        <v>1</v>
      </c>
      <c r="H6161" s="6">
        <f>ROUND(G6161*F6161,2)</f>
        <v/>
      </c>
      <c r="I6161">
        <f>IF(ROUND(H6161-D6161,2)=0,1,0)</f>
        <v/>
      </c>
      <c r="J6161">
        <f>IF(F6161="","none",IF(G6161=1,"carte","multiple"))</f>
        <v/>
      </c>
    </row>
    <row r="6162">
      <c r="A6162" t="inlineStr">
        <is>
          <t>2022-10-21</t>
        </is>
      </c>
      <c r="B6162" t="inlineStr">
        <is>
          <t>20:14</t>
        </is>
      </c>
      <c r="C6162" t="n">
        <v>3082</v>
      </c>
      <c r="D6162" s="6" t="n">
        <v>16.9</v>
      </c>
      <c r="E6162" t="n">
        <v>43293</v>
      </c>
      <c r="F6162" s="6" t="n">
        <v>16.9</v>
      </c>
      <c r="G6162" t="n">
        <v>1</v>
      </c>
      <c r="H6162" s="6">
        <f>ROUND(G6162*F6162,2)</f>
        <v/>
      </c>
      <c r="I6162">
        <f>IF(ROUND(H6162-D6162,2)=0,1,0)</f>
        <v/>
      </c>
      <c r="J6162">
        <f>IF(F6162="","none",IF(G6162=1,"carte","multiple"))</f>
        <v/>
      </c>
    </row>
    <row r="6163">
      <c r="A6163" t="inlineStr">
        <is>
          <t>2022-10-21</t>
        </is>
      </c>
      <c r="B6163" t="inlineStr">
        <is>
          <t>20:14</t>
        </is>
      </c>
      <c r="C6163" t="n">
        <v>3082</v>
      </c>
      <c r="D6163" s="6" t="n">
        <v>6.5</v>
      </c>
      <c r="E6163" t="n">
        <v>43294</v>
      </c>
      <c r="F6163" s="6" t="n">
        <v>6.5</v>
      </c>
      <c r="G6163" t="n">
        <v>1</v>
      </c>
      <c r="H6163" s="6">
        <f>ROUND(G6163*F6163,2)</f>
        <v/>
      </c>
      <c r="I6163">
        <f>IF(ROUND(H6163-D6163,2)=0,1,0)</f>
        <v/>
      </c>
      <c r="J6163">
        <f>IF(F6163="","none",IF(G6163=1,"carte","multiple"))</f>
        <v/>
      </c>
    </row>
    <row r="6164">
      <c r="A6164" t="inlineStr">
        <is>
          <t>2022-10-21</t>
        </is>
      </c>
      <c r="B6164" t="inlineStr">
        <is>
          <t>20:16</t>
        </is>
      </c>
      <c r="C6164" t="n">
        <v>3082</v>
      </c>
      <c r="D6164" s="6" t="n">
        <v>4.9</v>
      </c>
      <c r="E6164" t="n">
        <v>43295</v>
      </c>
      <c r="F6164" s="6" t="n">
        <v>4.9</v>
      </c>
      <c r="G6164" t="n">
        <v>1</v>
      </c>
      <c r="H6164" s="6">
        <f>ROUND(G6164*F6164,2)</f>
        <v/>
      </c>
      <c r="I6164">
        <f>IF(ROUND(H6164-D6164,2)=0,1,0)</f>
        <v/>
      </c>
      <c r="J6164">
        <f>IF(F6164="","none",IF(G6164=1,"carte","multiple"))</f>
        <v/>
      </c>
    </row>
    <row r="6165">
      <c r="A6165" t="inlineStr">
        <is>
          <t>2022-10-21</t>
        </is>
      </c>
      <c r="B6165" t="inlineStr">
        <is>
          <t>20:16</t>
        </is>
      </c>
      <c r="C6165" t="n">
        <v>3082</v>
      </c>
      <c r="D6165" s="6" t="n">
        <v>3.9</v>
      </c>
      <c r="E6165" t="n">
        <v>43296</v>
      </c>
      <c r="F6165" s="6" t="n">
        <v>3.9</v>
      </c>
      <c r="G6165" t="n">
        <v>1</v>
      </c>
      <c r="H6165" s="6">
        <f>ROUND(G6165*F6165,2)</f>
        <v/>
      </c>
      <c r="I6165">
        <f>IF(ROUND(H6165-D6165,2)=0,1,0)</f>
        <v/>
      </c>
      <c r="J6165">
        <f>IF(F6165="","none",IF(G6165=1,"carte","multiple"))</f>
        <v/>
      </c>
    </row>
    <row r="6166">
      <c r="A6166" t="inlineStr">
        <is>
          <t>2022-10-21</t>
        </is>
      </c>
      <c r="B6166" t="inlineStr">
        <is>
          <t>20:16</t>
        </is>
      </c>
      <c r="C6166" t="n">
        <v>3082</v>
      </c>
      <c r="D6166" s="6" t="n">
        <v>6.5</v>
      </c>
      <c r="E6166" t="n">
        <v>43297</v>
      </c>
      <c r="F6166" s="6" t="n">
        <v>6.5</v>
      </c>
      <c r="G6166" t="n">
        <v>1</v>
      </c>
      <c r="H6166" s="6">
        <f>ROUND(G6166*F6166,2)</f>
        <v/>
      </c>
      <c r="I6166">
        <f>IF(ROUND(H6166-D6166,2)=0,1,0)</f>
        <v/>
      </c>
      <c r="J6166">
        <f>IF(F6166="","none",IF(G6166=1,"carte","multiple"))</f>
        <v/>
      </c>
    </row>
    <row r="6167">
      <c r="A6167" t="inlineStr">
        <is>
          <t>2022-10-21</t>
        </is>
      </c>
      <c r="B6167" t="inlineStr">
        <is>
          <t>20:16</t>
        </is>
      </c>
      <c r="C6167" t="n">
        <v>3082</v>
      </c>
      <c r="D6167" s="6" t="n">
        <v>7.8</v>
      </c>
      <c r="E6167" t="n">
        <v>43298</v>
      </c>
      <c r="F6167" s="6" t="n">
        <v>7.8</v>
      </c>
      <c r="G6167" t="n">
        <v>1</v>
      </c>
      <c r="H6167" s="6">
        <f>ROUND(G6167*F6167,2)</f>
        <v/>
      </c>
      <c r="I6167">
        <f>IF(ROUND(H6167-D6167,2)=0,1,0)</f>
        <v/>
      </c>
      <c r="J6167">
        <f>IF(F6167="","none",IF(G6167=1,"carte","multiple"))</f>
        <v/>
      </c>
    </row>
    <row r="6168">
      <c r="A6168" t="inlineStr">
        <is>
          <t>2022-10-21</t>
        </is>
      </c>
      <c r="B6168" t="inlineStr">
        <is>
          <t>20:16</t>
        </is>
      </c>
      <c r="C6168" t="n">
        <v>3082</v>
      </c>
      <c r="D6168" s="6" t="n">
        <v>25</v>
      </c>
      <c r="E6168" t="n">
        <v>43299</v>
      </c>
      <c r="F6168" s="6" t="n">
        <v>25</v>
      </c>
      <c r="G6168" t="n">
        <v>1</v>
      </c>
      <c r="H6168" s="6">
        <f>ROUND(G6168*F6168,2)</f>
        <v/>
      </c>
      <c r="I6168">
        <f>IF(ROUND(H6168-D6168,2)=0,1,0)</f>
        <v/>
      </c>
      <c r="J6168">
        <f>IF(F6168="","none",IF(G6168=1,"carte","multiple"))</f>
        <v/>
      </c>
    </row>
    <row r="6169">
      <c r="A6169" t="inlineStr">
        <is>
          <t>2022-10-21</t>
        </is>
      </c>
      <c r="B6169" t="inlineStr">
        <is>
          <t>20:16</t>
        </is>
      </c>
      <c r="C6169" t="n">
        <v>3082</v>
      </c>
      <c r="D6169" s="6" t="n">
        <v>34</v>
      </c>
      <c r="E6169" t="n">
        <v>43300</v>
      </c>
      <c r="F6169" s="6" t="n">
        <v>34</v>
      </c>
      <c r="G6169" t="n">
        <v>1</v>
      </c>
      <c r="H6169" s="6">
        <f>ROUND(G6169*F6169,2)</f>
        <v/>
      </c>
      <c r="I6169">
        <f>IF(ROUND(H6169-D6169,2)=0,1,0)</f>
        <v/>
      </c>
      <c r="J6169">
        <f>IF(F6169="","none",IF(G6169=1,"carte","multiple"))</f>
        <v/>
      </c>
    </row>
    <row r="6170">
      <c r="A6170" t="inlineStr">
        <is>
          <t>2022-10-21</t>
        </is>
      </c>
      <c r="B6170" t="inlineStr">
        <is>
          <t>20:16</t>
        </is>
      </c>
      <c r="C6170" t="n">
        <v>3082</v>
      </c>
      <c r="D6170" s="6" t="n">
        <v>25</v>
      </c>
      <c r="E6170" t="n">
        <v>43301</v>
      </c>
      <c r="F6170" s="6" t="n">
        <v>25</v>
      </c>
      <c r="G6170" t="n">
        <v>1</v>
      </c>
      <c r="H6170" s="6">
        <f>ROUND(G6170*F6170,2)</f>
        <v/>
      </c>
      <c r="I6170">
        <f>IF(ROUND(H6170-D6170,2)=0,1,0)</f>
        <v/>
      </c>
      <c r="J6170">
        <f>IF(F6170="","none",IF(G6170=1,"carte","multiple"))</f>
        <v/>
      </c>
    </row>
    <row r="6171">
      <c r="A6171" t="inlineStr">
        <is>
          <t>2022-10-22</t>
        </is>
      </c>
      <c r="B6171" t="inlineStr">
        <is>
          <t>10:52</t>
        </is>
      </c>
      <c r="C6171" t="n">
        <v>3083</v>
      </c>
      <c r="D6171" s="6" t="n">
        <v>9.800000000000001</v>
      </c>
      <c r="E6171" t="n">
        <v>43306</v>
      </c>
      <c r="F6171" s="6" t="n">
        <v>9.800000000000001</v>
      </c>
      <c r="G6171" t="n">
        <v>1</v>
      </c>
      <c r="H6171" s="6">
        <f>ROUND(G6171*F6171,2)</f>
        <v/>
      </c>
      <c r="I6171">
        <f>IF(ROUND(H6171-D6171,2)=0,1,0)</f>
        <v/>
      </c>
      <c r="J6171">
        <f>IF(F6171="","none",IF(G6171=1,"carte","multiple"))</f>
        <v/>
      </c>
    </row>
    <row r="6172">
      <c r="A6172" t="inlineStr">
        <is>
          <t>2022-10-22</t>
        </is>
      </c>
      <c r="B6172" t="inlineStr">
        <is>
          <t>10:54</t>
        </is>
      </c>
      <c r="C6172" t="n">
        <v>3083</v>
      </c>
      <c r="D6172" s="6" t="n">
        <v>4.5</v>
      </c>
      <c r="E6172" t="n">
        <v>43307</v>
      </c>
      <c r="F6172" s="6" t="n">
        <v>4.5</v>
      </c>
      <c r="G6172" t="n">
        <v>1</v>
      </c>
      <c r="H6172" s="6">
        <f>ROUND(G6172*F6172,2)</f>
        <v/>
      </c>
      <c r="I6172">
        <f>IF(ROUND(H6172-D6172,2)=0,1,0)</f>
        <v/>
      </c>
      <c r="J6172">
        <f>IF(F6172="","none",IF(G6172=1,"carte","multiple"))</f>
        <v/>
      </c>
    </row>
    <row r="6173">
      <c r="A6173" t="inlineStr">
        <is>
          <t>2022-10-22</t>
        </is>
      </c>
      <c r="B6173" t="inlineStr">
        <is>
          <t>11:33</t>
        </is>
      </c>
      <c r="C6173" t="n">
        <v>3083</v>
      </c>
      <c r="D6173" s="6" t="n">
        <v>2.4</v>
      </c>
      <c r="E6173" t="n">
        <v>43308</v>
      </c>
      <c r="F6173" s="6" t="n">
        <v>2.4</v>
      </c>
      <c r="G6173" t="n">
        <v>1</v>
      </c>
      <c r="H6173" s="6">
        <f>ROUND(G6173*F6173,2)</f>
        <v/>
      </c>
      <c r="I6173">
        <f>IF(ROUND(H6173-D6173,2)=0,1,0)</f>
        <v/>
      </c>
      <c r="J6173">
        <f>IF(F6173="","none",IF(G6173=1,"carte","multiple"))</f>
        <v/>
      </c>
    </row>
    <row r="6174">
      <c r="A6174" t="inlineStr">
        <is>
          <t>2022-10-22</t>
        </is>
      </c>
      <c r="B6174" t="inlineStr">
        <is>
          <t>11:33</t>
        </is>
      </c>
      <c r="C6174" t="n">
        <v>3083</v>
      </c>
      <c r="D6174" s="6" t="n">
        <v>2.2</v>
      </c>
      <c r="E6174" t="n">
        <v>43309</v>
      </c>
      <c r="F6174" s="6" t="n">
        <v>2.2</v>
      </c>
      <c r="G6174" t="n">
        <v>1</v>
      </c>
      <c r="H6174" s="6">
        <f>ROUND(G6174*F6174,2)</f>
        <v/>
      </c>
      <c r="I6174">
        <f>IF(ROUND(H6174-D6174,2)=0,1,0)</f>
        <v/>
      </c>
      <c r="J6174">
        <f>IF(F6174="","none",IF(G6174=1,"carte","multiple"))</f>
        <v/>
      </c>
    </row>
    <row r="6175">
      <c r="A6175" t="inlineStr">
        <is>
          <t>2022-10-22</t>
        </is>
      </c>
      <c r="B6175" t="inlineStr">
        <is>
          <t>11:33</t>
        </is>
      </c>
      <c r="C6175" t="n">
        <v>3083</v>
      </c>
      <c r="D6175" s="6" t="n">
        <v>15.8</v>
      </c>
      <c r="E6175" t="n">
        <v>43310</v>
      </c>
      <c r="F6175" s="6" t="n">
        <v>7.9</v>
      </c>
      <c r="G6175" t="n">
        <v>2</v>
      </c>
      <c r="H6175" s="6">
        <f>ROUND(G6175*F6175,2)</f>
        <v/>
      </c>
      <c r="I6175">
        <f>IF(ROUND(H6175-D6175,2)=0,1,0)</f>
        <v/>
      </c>
      <c r="J6175">
        <f>IF(F6175="","none",IF(G6175=1,"carte","multiple"))</f>
        <v/>
      </c>
    </row>
    <row r="6176">
      <c r="A6176" t="inlineStr">
        <is>
          <t>2022-10-22</t>
        </is>
      </c>
      <c r="B6176" t="inlineStr">
        <is>
          <t>11:33</t>
        </is>
      </c>
      <c r="C6176" t="n">
        <v>3083</v>
      </c>
      <c r="D6176" s="6" t="n">
        <v>16.9</v>
      </c>
      <c r="E6176" t="n">
        <v>43311</v>
      </c>
      <c r="F6176" s="6" t="n">
        <v>16.9</v>
      </c>
      <c r="G6176" t="n">
        <v>1</v>
      </c>
      <c r="H6176" s="6">
        <f>ROUND(G6176*F6176,2)</f>
        <v/>
      </c>
      <c r="I6176">
        <f>IF(ROUND(H6176-D6176,2)=0,1,0)</f>
        <v/>
      </c>
      <c r="J6176">
        <f>IF(F6176="","none",IF(G6176=1,"carte","multiple"))</f>
        <v/>
      </c>
    </row>
    <row r="6177">
      <c r="A6177" t="inlineStr">
        <is>
          <t>2022-10-22</t>
        </is>
      </c>
      <c r="B6177" t="inlineStr">
        <is>
          <t>11:33</t>
        </is>
      </c>
      <c r="C6177" t="n">
        <v>3083</v>
      </c>
      <c r="D6177" s="6" t="n">
        <v>18.6</v>
      </c>
      <c r="E6177" t="n">
        <v>43312</v>
      </c>
      <c r="F6177" s="6" t="n">
        <v>18.6</v>
      </c>
      <c r="G6177" t="n">
        <v>1</v>
      </c>
      <c r="H6177" s="6">
        <f>ROUND(G6177*F6177,2)</f>
        <v/>
      </c>
      <c r="I6177">
        <f>IF(ROUND(H6177-D6177,2)=0,1,0)</f>
        <v/>
      </c>
      <c r="J6177">
        <f>IF(F6177="","none",IF(G6177=1,"carte","multiple"))</f>
        <v/>
      </c>
    </row>
    <row r="6178">
      <c r="A6178" t="inlineStr">
        <is>
          <t>2022-10-22</t>
        </is>
      </c>
      <c r="B6178" t="inlineStr">
        <is>
          <t>11:33</t>
        </is>
      </c>
      <c r="C6178" t="n">
        <v>3083</v>
      </c>
      <c r="D6178" s="6" t="n">
        <v>3.9</v>
      </c>
      <c r="E6178" t="n">
        <v>43313</v>
      </c>
      <c r="F6178" s="6" t="n">
        <v>3.9</v>
      </c>
      <c r="G6178" t="n">
        <v>1</v>
      </c>
      <c r="H6178" s="6">
        <f>ROUND(G6178*F6178,2)</f>
        <v/>
      </c>
      <c r="I6178">
        <f>IF(ROUND(H6178-D6178,2)=0,1,0)</f>
        <v/>
      </c>
      <c r="J6178">
        <f>IF(F6178="","none",IF(G6178=1,"carte","multiple"))</f>
        <v/>
      </c>
    </row>
    <row r="6179">
      <c r="A6179" t="inlineStr">
        <is>
          <t>2022-10-22</t>
        </is>
      </c>
      <c r="B6179" t="inlineStr">
        <is>
          <t>11:33</t>
        </is>
      </c>
      <c r="C6179" t="n">
        <v>3083</v>
      </c>
      <c r="D6179" s="6" t="n">
        <v>5.2</v>
      </c>
      <c r="E6179" t="n">
        <v>43314</v>
      </c>
      <c r="F6179" s="6" t="n">
        <v>5.2</v>
      </c>
      <c r="G6179" t="n">
        <v>1</v>
      </c>
      <c r="H6179" s="6">
        <f>ROUND(G6179*F6179,2)</f>
        <v/>
      </c>
      <c r="I6179">
        <f>IF(ROUND(H6179-D6179,2)=0,1,0)</f>
        <v/>
      </c>
      <c r="J6179">
        <f>IF(F6179="","none",IF(G6179=1,"carte","multiple"))</f>
        <v/>
      </c>
    </row>
    <row r="6180">
      <c r="A6180" t="inlineStr">
        <is>
          <t>2022-10-22</t>
        </is>
      </c>
      <c r="B6180" t="inlineStr">
        <is>
          <t>12:04</t>
        </is>
      </c>
      <c r="C6180" t="n">
        <v>3083</v>
      </c>
      <c r="D6180" s="6" t="n">
        <v>15</v>
      </c>
      <c r="E6180" t="n">
        <v>43315</v>
      </c>
      <c r="F6180" s="6" t="n">
        <v>15</v>
      </c>
      <c r="G6180" t="n">
        <v>1</v>
      </c>
      <c r="H6180" s="6">
        <f>ROUND(G6180*F6180,2)</f>
        <v/>
      </c>
      <c r="I6180">
        <f>IF(ROUND(H6180-D6180,2)=0,1,0)</f>
        <v/>
      </c>
      <c r="J6180">
        <f>IF(F6180="","none",IF(G6180=1,"carte","multiple"))</f>
        <v/>
      </c>
    </row>
    <row r="6181">
      <c r="A6181" t="inlineStr">
        <is>
          <t>2022-10-22</t>
        </is>
      </c>
      <c r="B6181" t="inlineStr">
        <is>
          <t>12:04</t>
        </is>
      </c>
      <c r="C6181" t="n">
        <v>3083</v>
      </c>
      <c r="D6181" s="6" t="n">
        <v>15.8</v>
      </c>
      <c r="E6181" t="n">
        <v>43316</v>
      </c>
      <c r="F6181" s="6" t="n">
        <v>7.9</v>
      </c>
      <c r="G6181" t="n">
        <v>2</v>
      </c>
      <c r="H6181" s="6">
        <f>ROUND(G6181*F6181,2)</f>
        <v/>
      </c>
      <c r="I6181">
        <f>IF(ROUND(H6181-D6181,2)=0,1,0)</f>
        <v/>
      </c>
      <c r="J6181">
        <f>IF(F6181="","none",IF(G6181=1,"carte","multiple"))</f>
        <v/>
      </c>
    </row>
    <row r="6182">
      <c r="A6182" t="inlineStr">
        <is>
          <t>2022-10-22</t>
        </is>
      </c>
      <c r="B6182" t="inlineStr">
        <is>
          <t>12:04</t>
        </is>
      </c>
      <c r="C6182" t="n">
        <v>3083</v>
      </c>
      <c r="D6182" s="6" t="n">
        <v>39.8</v>
      </c>
      <c r="E6182" t="n">
        <v>43317</v>
      </c>
      <c r="F6182" s="6" t="n">
        <v>39.8</v>
      </c>
      <c r="G6182" t="n">
        <v>1</v>
      </c>
      <c r="H6182" s="6">
        <f>ROUND(G6182*F6182,2)</f>
        <v/>
      </c>
      <c r="I6182">
        <f>IF(ROUND(H6182-D6182,2)=0,1,0)</f>
        <v/>
      </c>
      <c r="J6182">
        <f>IF(F6182="","none",IF(G6182=1,"carte","multiple"))</f>
        <v/>
      </c>
    </row>
    <row r="6183">
      <c r="A6183" t="inlineStr">
        <is>
          <t>2022-10-22</t>
        </is>
      </c>
      <c r="B6183" t="inlineStr">
        <is>
          <t>12:04</t>
        </is>
      </c>
      <c r="C6183" t="n">
        <v>3083</v>
      </c>
      <c r="D6183" s="6" t="n">
        <v>3.8</v>
      </c>
      <c r="E6183" t="n">
        <v>43318</v>
      </c>
      <c r="F6183" s="6" t="n">
        <v>3.8</v>
      </c>
      <c r="G6183" t="n">
        <v>1</v>
      </c>
      <c r="H6183" s="6">
        <f>ROUND(G6183*F6183,2)</f>
        <v/>
      </c>
      <c r="I6183">
        <f>IF(ROUND(H6183-D6183,2)=0,1,0)</f>
        <v/>
      </c>
      <c r="J6183">
        <f>IF(F6183="","none",IF(G6183=1,"carte","multiple"))</f>
        <v/>
      </c>
    </row>
    <row r="6184">
      <c r="A6184" t="inlineStr">
        <is>
          <t>2022-10-22</t>
        </is>
      </c>
      <c r="B6184" t="inlineStr">
        <is>
          <t>12:04</t>
        </is>
      </c>
      <c r="C6184" t="n">
        <v>3083</v>
      </c>
      <c r="D6184" s="6" t="n">
        <v>9</v>
      </c>
      <c r="E6184" t="n">
        <v>43319</v>
      </c>
      <c r="F6184" s="6" t="n">
        <v>9</v>
      </c>
      <c r="G6184" t="n">
        <v>1</v>
      </c>
      <c r="H6184" s="6">
        <f>ROUND(G6184*F6184,2)</f>
        <v/>
      </c>
      <c r="I6184">
        <f>IF(ROUND(H6184-D6184,2)=0,1,0)</f>
        <v/>
      </c>
      <c r="J6184">
        <f>IF(F6184="","none",IF(G6184=1,"carte","multiple"))</f>
        <v/>
      </c>
    </row>
    <row r="6185">
      <c r="A6185" t="inlineStr">
        <is>
          <t>2022-10-22</t>
        </is>
      </c>
      <c r="B6185" t="inlineStr">
        <is>
          <t>12:06</t>
        </is>
      </c>
      <c r="C6185" t="n">
        <v>3083</v>
      </c>
      <c r="D6185" s="6" t="n">
        <v>4.4</v>
      </c>
      <c r="E6185" t="n">
        <v>43320</v>
      </c>
      <c r="F6185" s="6" t="n">
        <v>0.4</v>
      </c>
      <c r="G6185" t="n">
        <v>11</v>
      </c>
      <c r="H6185" s="6">
        <f>ROUND(G6185*F6185,2)</f>
        <v/>
      </c>
      <c r="I6185">
        <f>IF(ROUND(H6185-D6185,2)=0,1,0)</f>
        <v/>
      </c>
      <c r="J6185">
        <f>IF(F6185="","none",IF(G6185=1,"carte","multiple"))</f>
        <v/>
      </c>
    </row>
    <row r="6186">
      <c r="A6186" t="inlineStr">
        <is>
          <t>2022-10-22</t>
        </is>
      </c>
      <c r="B6186" t="inlineStr">
        <is>
          <t>12:06</t>
        </is>
      </c>
      <c r="C6186" t="n">
        <v>3083</v>
      </c>
      <c r="D6186" s="6" t="n">
        <v>7.8</v>
      </c>
      <c r="E6186" t="n">
        <v>43321</v>
      </c>
      <c r="F6186" s="6" t="n">
        <v>7.8</v>
      </c>
      <c r="G6186" t="n">
        <v>1</v>
      </c>
      <c r="H6186" s="6">
        <f>ROUND(G6186*F6186,2)</f>
        <v/>
      </c>
      <c r="I6186">
        <f>IF(ROUND(H6186-D6186,2)=0,1,0)</f>
        <v/>
      </c>
      <c r="J6186">
        <f>IF(F6186="","none",IF(G6186=1,"carte","multiple"))</f>
        <v/>
      </c>
    </row>
    <row r="6187">
      <c r="A6187" t="inlineStr">
        <is>
          <t>2022-10-22</t>
        </is>
      </c>
      <c r="B6187" t="inlineStr">
        <is>
          <t>12:06</t>
        </is>
      </c>
      <c r="C6187" t="n">
        <v>3083</v>
      </c>
      <c r="D6187" s="6" t="n">
        <v>19.9</v>
      </c>
      <c r="E6187" t="n">
        <v>43322</v>
      </c>
      <c r="F6187" s="6" t="n">
        <v>19.9</v>
      </c>
      <c r="G6187" t="n">
        <v>1</v>
      </c>
      <c r="H6187" s="6">
        <f>ROUND(G6187*F6187,2)</f>
        <v/>
      </c>
      <c r="I6187">
        <f>IF(ROUND(H6187-D6187,2)=0,1,0)</f>
        <v/>
      </c>
      <c r="J6187">
        <f>IF(F6187="","none",IF(G6187=1,"carte","multiple"))</f>
        <v/>
      </c>
    </row>
    <row r="6188">
      <c r="A6188" t="inlineStr">
        <is>
          <t>2022-10-22</t>
        </is>
      </c>
      <c r="B6188" t="inlineStr">
        <is>
          <t>12:06</t>
        </is>
      </c>
      <c r="C6188" t="n">
        <v>3083</v>
      </c>
      <c r="D6188" s="6" t="n">
        <v>18.6</v>
      </c>
      <c r="E6188" t="n">
        <v>43323</v>
      </c>
      <c r="F6188" s="6" t="n">
        <v>18.6</v>
      </c>
      <c r="G6188" t="n">
        <v>1</v>
      </c>
      <c r="H6188" s="6">
        <f>ROUND(G6188*F6188,2)</f>
        <v/>
      </c>
      <c r="I6188">
        <f>IF(ROUND(H6188-D6188,2)=0,1,0)</f>
        <v/>
      </c>
      <c r="J6188">
        <f>IF(F6188="","none",IF(G6188=1,"carte","multiple"))</f>
        <v/>
      </c>
    </row>
    <row r="6189">
      <c r="A6189" t="inlineStr">
        <is>
          <t>2022-10-22</t>
        </is>
      </c>
      <c r="B6189" t="inlineStr">
        <is>
          <t>12:17</t>
        </is>
      </c>
      <c r="C6189" t="n">
        <v>3083</v>
      </c>
      <c r="D6189" s="6" t="n">
        <v>6.6</v>
      </c>
      <c r="E6189" t="n">
        <v>43324</v>
      </c>
      <c r="F6189" s="6" t="n">
        <v>6.6</v>
      </c>
      <c r="G6189" t="n">
        <v>1</v>
      </c>
      <c r="H6189" s="6">
        <f>ROUND(G6189*F6189,2)</f>
        <v/>
      </c>
      <c r="I6189">
        <f>IF(ROUND(H6189-D6189,2)=0,1,0)</f>
        <v/>
      </c>
      <c r="J6189">
        <f>IF(F6189="","none",IF(G6189=1,"carte","multiple"))</f>
        <v/>
      </c>
    </row>
    <row r="6190">
      <c r="A6190" t="inlineStr">
        <is>
          <t>2022-10-22</t>
        </is>
      </c>
      <c r="B6190" t="inlineStr">
        <is>
          <t>12:17</t>
        </is>
      </c>
      <c r="C6190" t="n">
        <v>3083</v>
      </c>
      <c r="D6190" s="6" t="n">
        <v>16.9</v>
      </c>
      <c r="E6190" t="n">
        <v>43325</v>
      </c>
      <c r="F6190" s="6" t="n">
        <v>16.9</v>
      </c>
      <c r="G6190" t="n">
        <v>1</v>
      </c>
      <c r="H6190" s="6">
        <f>ROUND(G6190*F6190,2)</f>
        <v/>
      </c>
      <c r="I6190">
        <f>IF(ROUND(H6190-D6190,2)=0,1,0)</f>
        <v/>
      </c>
      <c r="J6190">
        <f>IF(F6190="","none",IF(G6190=1,"carte","multiple"))</f>
        <v/>
      </c>
    </row>
    <row r="6191">
      <c r="A6191" t="inlineStr">
        <is>
          <t>2022-10-22</t>
        </is>
      </c>
      <c r="B6191" t="inlineStr">
        <is>
          <t>12:17</t>
        </is>
      </c>
      <c r="C6191" t="n">
        <v>3083</v>
      </c>
      <c r="D6191" s="6" t="n">
        <v>33</v>
      </c>
      <c r="E6191" t="n">
        <v>43326</v>
      </c>
      <c r="F6191" s="6" t="n">
        <v>33</v>
      </c>
      <c r="G6191" t="n">
        <v>1</v>
      </c>
      <c r="H6191" s="6">
        <f>ROUND(G6191*F6191,2)</f>
        <v/>
      </c>
      <c r="I6191">
        <f>IF(ROUND(H6191-D6191,2)=0,1,0)</f>
        <v/>
      </c>
      <c r="J6191">
        <f>IF(F6191="","none",IF(G6191=1,"carte","multiple"))</f>
        <v/>
      </c>
    </row>
    <row r="6192">
      <c r="A6192" t="inlineStr">
        <is>
          <t>2022-10-22</t>
        </is>
      </c>
      <c r="B6192" t="inlineStr">
        <is>
          <t>12:17</t>
        </is>
      </c>
      <c r="C6192" t="n">
        <v>3083</v>
      </c>
      <c r="D6192" s="6" t="n">
        <v>3.9</v>
      </c>
      <c r="E6192" t="n">
        <v>43327</v>
      </c>
      <c r="F6192" s="6" t="n">
        <v>3.9</v>
      </c>
      <c r="G6192" t="n">
        <v>1</v>
      </c>
      <c r="H6192" s="6">
        <f>ROUND(G6192*F6192,2)</f>
        <v/>
      </c>
      <c r="I6192">
        <f>IF(ROUND(H6192-D6192,2)=0,1,0)</f>
        <v/>
      </c>
      <c r="J6192">
        <f>IF(F6192="","none",IF(G6192=1,"carte","multiple"))</f>
        <v/>
      </c>
    </row>
    <row r="6193">
      <c r="A6193" t="inlineStr">
        <is>
          <t>2022-10-22</t>
        </is>
      </c>
      <c r="B6193" t="inlineStr">
        <is>
          <t>12:17</t>
        </is>
      </c>
      <c r="C6193" t="n">
        <v>3083</v>
      </c>
      <c r="D6193" s="6" t="n">
        <v>4.9</v>
      </c>
      <c r="E6193" t="n">
        <v>43328</v>
      </c>
      <c r="F6193" s="6" t="n">
        <v>4.9</v>
      </c>
      <c r="G6193" t="n">
        <v>1</v>
      </c>
      <c r="H6193" s="6">
        <f>ROUND(G6193*F6193,2)</f>
        <v/>
      </c>
      <c r="I6193">
        <f>IF(ROUND(H6193-D6193,2)=0,1,0)</f>
        <v/>
      </c>
      <c r="J6193">
        <f>IF(F6193="","none",IF(G6193=1,"carte","multiple"))</f>
        <v/>
      </c>
    </row>
    <row r="6194">
      <c r="A6194" t="inlineStr">
        <is>
          <t>2022-10-22</t>
        </is>
      </c>
      <c r="B6194" t="inlineStr">
        <is>
          <t>12:17</t>
        </is>
      </c>
      <c r="C6194" t="n">
        <v>3083</v>
      </c>
      <c r="D6194" s="6" t="n">
        <v>4.2</v>
      </c>
      <c r="E6194" t="n">
        <v>43329</v>
      </c>
      <c r="F6194" s="6" t="n">
        <v>4.2</v>
      </c>
      <c r="G6194" t="n">
        <v>1</v>
      </c>
      <c r="H6194" s="6">
        <f>ROUND(G6194*F6194,2)</f>
        <v/>
      </c>
      <c r="I6194">
        <f>IF(ROUND(H6194-D6194,2)=0,1,0)</f>
        <v/>
      </c>
      <c r="J6194">
        <f>IF(F6194="","none",IF(G6194=1,"carte","multiple"))</f>
        <v/>
      </c>
    </row>
    <row r="6195">
      <c r="A6195" t="inlineStr">
        <is>
          <t>2022-10-22</t>
        </is>
      </c>
      <c r="B6195" t="inlineStr">
        <is>
          <t>12:21</t>
        </is>
      </c>
      <c r="C6195" t="n">
        <v>3083</v>
      </c>
      <c r="D6195" s="6" t="n">
        <v>18.6</v>
      </c>
      <c r="E6195" t="n">
        <v>43330</v>
      </c>
      <c r="F6195" s="6" t="n">
        <v>18.6</v>
      </c>
      <c r="G6195" t="n">
        <v>1</v>
      </c>
      <c r="H6195" s="6">
        <f>ROUND(G6195*F6195,2)</f>
        <v/>
      </c>
      <c r="I6195">
        <f>IF(ROUND(H6195-D6195,2)=0,1,0)</f>
        <v/>
      </c>
      <c r="J6195">
        <f>IF(F6195="","none",IF(G6195=1,"carte","multiple"))</f>
        <v/>
      </c>
    </row>
    <row r="6196">
      <c r="A6196" t="inlineStr">
        <is>
          <t>2022-10-22</t>
        </is>
      </c>
      <c r="B6196" t="inlineStr">
        <is>
          <t>13:23</t>
        </is>
      </c>
      <c r="C6196" t="n">
        <v>3083</v>
      </c>
      <c r="D6196" s="6" t="n">
        <v>2.2</v>
      </c>
      <c r="E6196" t="n">
        <v>43333</v>
      </c>
      <c r="F6196" s="6" t="n">
        <v>2.2</v>
      </c>
      <c r="G6196" t="n">
        <v>1</v>
      </c>
      <c r="H6196" s="6">
        <f>ROUND(G6196*F6196,2)</f>
        <v/>
      </c>
      <c r="I6196">
        <f>IF(ROUND(H6196-D6196,2)=0,1,0)</f>
        <v/>
      </c>
      <c r="J6196">
        <f>IF(F6196="","none",IF(G6196=1,"carte","multiple"))</f>
        <v/>
      </c>
    </row>
    <row r="6197">
      <c r="A6197" t="inlineStr">
        <is>
          <t>2022-10-22</t>
        </is>
      </c>
      <c r="B6197" t="inlineStr">
        <is>
          <t>13:23</t>
        </is>
      </c>
      <c r="C6197" t="n">
        <v>3083</v>
      </c>
      <c r="D6197" s="6" t="n">
        <v>19.9</v>
      </c>
      <c r="E6197" t="n">
        <v>43334</v>
      </c>
      <c r="F6197" s="6" t="n">
        <v>19.9</v>
      </c>
      <c r="G6197" t="n">
        <v>1</v>
      </c>
      <c r="H6197" s="6">
        <f>ROUND(G6197*F6197,2)</f>
        <v/>
      </c>
      <c r="I6197">
        <f>IF(ROUND(H6197-D6197,2)=0,1,0)</f>
        <v/>
      </c>
      <c r="J6197">
        <f>IF(F6197="","none",IF(G6197=1,"carte","multiple"))</f>
        <v/>
      </c>
    </row>
    <row r="6198">
      <c r="A6198" t="inlineStr">
        <is>
          <t>2022-10-22</t>
        </is>
      </c>
      <c r="B6198" t="inlineStr">
        <is>
          <t>13:23</t>
        </is>
      </c>
      <c r="C6198" t="n">
        <v>3083</v>
      </c>
      <c r="D6198" s="6" t="n">
        <v>19</v>
      </c>
      <c r="E6198" t="n">
        <v>43335</v>
      </c>
      <c r="F6198" s="6" t="n">
        <v>19</v>
      </c>
      <c r="G6198" t="n">
        <v>1</v>
      </c>
      <c r="H6198" s="6">
        <f>ROUND(G6198*F6198,2)</f>
        <v/>
      </c>
      <c r="I6198">
        <f>IF(ROUND(H6198-D6198,2)=0,1,0)</f>
        <v/>
      </c>
      <c r="J6198">
        <f>IF(F6198="","none",IF(G6198=1,"carte","multiple"))</f>
        <v/>
      </c>
    </row>
    <row r="6199">
      <c r="A6199" t="inlineStr">
        <is>
          <t>2022-10-22</t>
        </is>
      </c>
      <c r="B6199" t="inlineStr">
        <is>
          <t>13:23</t>
        </is>
      </c>
      <c r="C6199" t="n">
        <v>3083</v>
      </c>
      <c r="D6199" s="6" t="n">
        <v>36</v>
      </c>
      <c r="E6199" t="n">
        <v>43336</v>
      </c>
      <c r="F6199" s="6" t="n">
        <v>36</v>
      </c>
      <c r="G6199" t="n">
        <v>1</v>
      </c>
      <c r="H6199" s="6">
        <f>ROUND(G6199*F6199,2)</f>
        <v/>
      </c>
      <c r="I6199">
        <f>IF(ROUND(H6199-D6199,2)=0,1,0)</f>
        <v/>
      </c>
      <c r="J6199">
        <f>IF(F6199="","none",IF(G6199=1,"carte","multiple"))</f>
        <v/>
      </c>
    </row>
    <row r="6200">
      <c r="A6200" t="inlineStr">
        <is>
          <t>2022-10-22</t>
        </is>
      </c>
      <c r="B6200" t="inlineStr">
        <is>
          <t>18:14</t>
        </is>
      </c>
      <c r="C6200" t="n">
        <v>3083</v>
      </c>
      <c r="D6200" s="6" t="n">
        <v>3.9</v>
      </c>
      <c r="E6200" t="n">
        <v>43337</v>
      </c>
      <c r="F6200" s="6" t="n">
        <v>3.9</v>
      </c>
      <c r="G6200" t="n">
        <v>1</v>
      </c>
      <c r="H6200" s="6">
        <f>ROUND(G6200*F6200,2)</f>
        <v/>
      </c>
      <c r="I6200">
        <f>IF(ROUND(H6200-D6200,2)=0,1,0)</f>
        <v/>
      </c>
      <c r="J6200">
        <f>IF(F6200="","none",IF(G6200=1,"carte","multiple"))</f>
        <v/>
      </c>
    </row>
    <row r="6201">
      <c r="A6201" t="inlineStr">
        <is>
          <t>2022-10-22</t>
        </is>
      </c>
      <c r="B6201" t="inlineStr">
        <is>
          <t>18:16</t>
        </is>
      </c>
      <c r="C6201" t="n">
        <v>3083</v>
      </c>
      <c r="D6201" s="6" t="n">
        <v>28.6</v>
      </c>
      <c r="E6201" t="n">
        <v>43338</v>
      </c>
      <c r="F6201" s="6" t="n">
        <v>28.6</v>
      </c>
      <c r="G6201" t="n">
        <v>1</v>
      </c>
      <c r="H6201" s="6">
        <f>ROUND(G6201*F6201,2)</f>
        <v/>
      </c>
      <c r="I6201">
        <f>IF(ROUND(H6201-D6201,2)=0,1,0)</f>
        <v/>
      </c>
      <c r="J6201">
        <f>IF(F6201="","none",IF(G6201=1,"carte","multiple"))</f>
        <v/>
      </c>
    </row>
    <row r="6202">
      <c r="A6202" t="inlineStr">
        <is>
          <t>2022-10-22</t>
        </is>
      </c>
      <c r="B6202" t="inlineStr">
        <is>
          <t>18:59</t>
        </is>
      </c>
      <c r="C6202" t="n">
        <v>3083</v>
      </c>
      <c r="D6202" s="6" t="n">
        <v>55.8</v>
      </c>
      <c r="E6202" t="n">
        <v>43339</v>
      </c>
      <c r="F6202" s="6" t="n">
        <v>0.9</v>
      </c>
      <c r="G6202" t="n">
        <v>62</v>
      </c>
      <c r="H6202" s="6">
        <f>ROUND(G6202*F6202,2)</f>
        <v/>
      </c>
      <c r="I6202">
        <f>IF(ROUND(H6202-D6202,2)=0,1,0)</f>
        <v/>
      </c>
      <c r="J6202">
        <f>IF(F6202="","none",IF(G6202=1,"carte","multiple"))</f>
        <v/>
      </c>
    </row>
    <row r="6203">
      <c r="A6203" t="inlineStr">
        <is>
          <t>2022-10-22</t>
        </is>
      </c>
      <c r="B6203" t="inlineStr">
        <is>
          <t>19:07</t>
        </is>
      </c>
      <c r="C6203" t="n">
        <v>3083</v>
      </c>
      <c r="D6203" s="6" t="n">
        <v>3.9</v>
      </c>
      <c r="E6203" t="n">
        <v>43340</v>
      </c>
      <c r="F6203" s="6" t="n">
        <v>3.9</v>
      </c>
      <c r="G6203" t="n">
        <v>1</v>
      </c>
      <c r="H6203" s="6">
        <f>ROUND(G6203*F6203,2)</f>
        <v/>
      </c>
      <c r="I6203">
        <f>IF(ROUND(H6203-D6203,2)=0,1,0)</f>
        <v/>
      </c>
      <c r="J6203">
        <f>IF(F6203="","none",IF(G6203=1,"carte","multiple"))</f>
        <v/>
      </c>
    </row>
    <row r="6204">
      <c r="A6204" t="inlineStr">
        <is>
          <t>2022-10-22</t>
        </is>
      </c>
      <c r="B6204" t="inlineStr">
        <is>
          <t>19:07</t>
        </is>
      </c>
      <c r="C6204" t="n">
        <v>3083</v>
      </c>
      <c r="D6204" s="6" t="n">
        <v>2.2</v>
      </c>
      <c r="E6204" t="n">
        <v>43341</v>
      </c>
      <c r="F6204" s="6" t="n">
        <v>2.2</v>
      </c>
      <c r="G6204" t="n">
        <v>1</v>
      </c>
      <c r="H6204" s="6">
        <f>ROUND(G6204*F6204,2)</f>
        <v/>
      </c>
      <c r="I6204">
        <f>IF(ROUND(H6204-D6204,2)=0,1,0)</f>
        <v/>
      </c>
      <c r="J6204">
        <f>IF(F6204="","none",IF(G6204=1,"carte","multiple"))</f>
        <v/>
      </c>
    </row>
    <row r="6205">
      <c r="A6205" t="inlineStr">
        <is>
          <t>2022-10-22</t>
        </is>
      </c>
      <c r="B6205" t="inlineStr">
        <is>
          <t>19:07</t>
        </is>
      </c>
      <c r="C6205" t="n">
        <v>3083</v>
      </c>
      <c r="D6205" s="6" t="n">
        <v>37.2</v>
      </c>
      <c r="E6205" t="n">
        <v>43342</v>
      </c>
      <c r="F6205" s="6" t="n">
        <v>0.4</v>
      </c>
      <c r="G6205" t="n">
        <v>93</v>
      </c>
      <c r="H6205" s="6">
        <f>ROUND(G6205*F6205,2)</f>
        <v/>
      </c>
      <c r="I6205">
        <f>IF(ROUND(H6205-D6205,2)=0,1,0)</f>
        <v/>
      </c>
      <c r="J6205">
        <f>IF(F6205="","none",IF(G6205=1,"carte","multiple"))</f>
        <v/>
      </c>
    </row>
    <row r="6206">
      <c r="A6206" t="inlineStr">
        <is>
          <t>2022-10-22</t>
        </is>
      </c>
      <c r="B6206" t="inlineStr">
        <is>
          <t>19:07</t>
        </is>
      </c>
      <c r="C6206" t="n">
        <v>3083</v>
      </c>
      <c r="D6206" s="6" t="n">
        <v>10.9</v>
      </c>
      <c r="E6206" t="n">
        <v>43343</v>
      </c>
      <c r="F6206" s="6" t="n">
        <v>10.9</v>
      </c>
      <c r="G6206" t="n">
        <v>1</v>
      </c>
      <c r="H6206" s="6">
        <f>ROUND(G6206*F6206,2)</f>
        <v/>
      </c>
      <c r="I6206">
        <f>IF(ROUND(H6206-D6206,2)=0,1,0)</f>
        <v/>
      </c>
      <c r="J6206">
        <f>IF(F6206="","none",IF(G6206=1,"carte","multiple"))</f>
        <v/>
      </c>
    </row>
    <row r="6207">
      <c r="A6207" t="inlineStr">
        <is>
          <t>2022-10-22</t>
        </is>
      </c>
      <c r="B6207" t="inlineStr">
        <is>
          <t>19:07</t>
        </is>
      </c>
      <c r="C6207" t="n">
        <v>3083</v>
      </c>
      <c r="D6207" s="6" t="n">
        <v>5.9</v>
      </c>
      <c r="E6207" t="n">
        <v>43344</v>
      </c>
      <c r="F6207" s="6" t="n">
        <v>5.9</v>
      </c>
      <c r="G6207" t="n">
        <v>1</v>
      </c>
      <c r="H6207" s="6">
        <f>ROUND(G6207*F6207,2)</f>
        <v/>
      </c>
      <c r="I6207">
        <f>IF(ROUND(H6207-D6207,2)=0,1,0)</f>
        <v/>
      </c>
      <c r="J6207">
        <f>IF(F6207="","none",IF(G6207=1,"carte","multiple"))</f>
        <v/>
      </c>
    </row>
    <row r="6208">
      <c r="A6208" t="inlineStr">
        <is>
          <t>2022-10-22</t>
        </is>
      </c>
      <c r="B6208" t="inlineStr">
        <is>
          <t>19:07</t>
        </is>
      </c>
      <c r="C6208" t="n">
        <v>3083</v>
      </c>
      <c r="D6208" s="6" t="n">
        <v>4</v>
      </c>
      <c r="E6208" t="n">
        <v>43345</v>
      </c>
      <c r="F6208" s="6" t="n">
        <v>4</v>
      </c>
      <c r="G6208" t="n">
        <v>1</v>
      </c>
      <c r="H6208" s="6">
        <f>ROUND(G6208*F6208,2)</f>
        <v/>
      </c>
      <c r="I6208">
        <f>IF(ROUND(H6208-D6208,2)=0,1,0)</f>
        <v/>
      </c>
      <c r="J6208">
        <f>IF(F6208="","none",IF(G6208=1,"carte","multiple"))</f>
        <v/>
      </c>
    </row>
    <row r="6209">
      <c r="A6209" t="inlineStr">
        <is>
          <t>2022-10-22</t>
        </is>
      </c>
      <c r="B6209" t="inlineStr">
        <is>
          <t>19:07</t>
        </is>
      </c>
      <c r="C6209" t="n">
        <v>3083</v>
      </c>
      <c r="D6209" s="6" t="n">
        <v>4</v>
      </c>
      <c r="E6209" t="n">
        <v>43346</v>
      </c>
      <c r="F6209" s="6" t="n">
        <v>4</v>
      </c>
      <c r="G6209" t="n">
        <v>1</v>
      </c>
      <c r="H6209" s="6">
        <f>ROUND(G6209*F6209,2)</f>
        <v/>
      </c>
      <c r="I6209">
        <f>IF(ROUND(H6209-D6209,2)=0,1,0)</f>
        <v/>
      </c>
      <c r="J6209">
        <f>IF(F6209="","none",IF(G6209=1,"carte","multiple"))</f>
        <v/>
      </c>
    </row>
    <row r="6210">
      <c r="A6210" t="inlineStr">
        <is>
          <t>2022-10-22</t>
        </is>
      </c>
      <c r="B6210" t="inlineStr">
        <is>
          <t>19:10</t>
        </is>
      </c>
      <c r="C6210" t="n">
        <v>3083</v>
      </c>
      <c r="D6210" s="6" t="n">
        <v>7.2</v>
      </c>
      <c r="E6210" t="n">
        <v>43347</v>
      </c>
      <c r="F6210" s="6" t="n">
        <v>7.2</v>
      </c>
      <c r="G6210" t="n">
        <v>1</v>
      </c>
      <c r="H6210" s="6">
        <f>ROUND(G6210*F6210,2)</f>
        <v/>
      </c>
      <c r="I6210">
        <f>IF(ROUND(H6210-D6210,2)=0,1,0)</f>
        <v/>
      </c>
      <c r="J6210">
        <f>IF(F6210="","none",IF(G6210=1,"carte","multiple"))</f>
        <v/>
      </c>
    </row>
    <row r="6211">
      <c r="A6211" t="inlineStr">
        <is>
          <t>2022-10-22</t>
        </is>
      </c>
      <c r="B6211" t="inlineStr">
        <is>
          <t>19:13</t>
        </is>
      </c>
      <c r="C6211" t="n">
        <v>3083</v>
      </c>
      <c r="D6211" s="6" t="n">
        <v>8.5</v>
      </c>
      <c r="E6211" t="n">
        <v>43348</v>
      </c>
      <c r="F6211" s="6" t="n">
        <v>8.5</v>
      </c>
      <c r="G6211" t="n">
        <v>1</v>
      </c>
      <c r="H6211" s="6">
        <f>ROUND(G6211*F6211,2)</f>
        <v/>
      </c>
      <c r="I6211">
        <f>IF(ROUND(H6211-D6211,2)=0,1,0)</f>
        <v/>
      </c>
      <c r="J6211">
        <f>IF(F6211="","none",IF(G6211=1,"carte","multiple"))</f>
        <v/>
      </c>
    </row>
    <row r="6212">
      <c r="A6212" t="inlineStr">
        <is>
          <t>2022-10-22</t>
        </is>
      </c>
      <c r="B6212" t="inlineStr">
        <is>
          <t>19:13</t>
        </is>
      </c>
      <c r="C6212" t="n">
        <v>3083</v>
      </c>
      <c r="D6212" s="6" t="n">
        <v>18.6</v>
      </c>
      <c r="E6212" t="n">
        <v>43349</v>
      </c>
      <c r="F6212" s="6" t="n">
        <v>18.6</v>
      </c>
      <c r="G6212" t="n">
        <v>1</v>
      </c>
      <c r="H6212" s="6">
        <f>ROUND(G6212*F6212,2)</f>
        <v/>
      </c>
      <c r="I6212">
        <f>IF(ROUND(H6212-D6212,2)=0,1,0)</f>
        <v/>
      </c>
      <c r="J6212">
        <f>IF(F6212="","none",IF(G6212=1,"carte","multiple"))</f>
        <v/>
      </c>
    </row>
    <row r="6213">
      <c r="A6213" t="inlineStr">
        <is>
          <t>2022-10-22</t>
        </is>
      </c>
      <c r="B6213" t="inlineStr">
        <is>
          <t>19:13</t>
        </is>
      </c>
      <c r="C6213" t="n">
        <v>3083</v>
      </c>
      <c r="D6213" s="6" t="n">
        <v>18.6</v>
      </c>
      <c r="E6213" t="n">
        <v>43350</v>
      </c>
      <c r="F6213" s="6" t="n">
        <v>18.6</v>
      </c>
      <c r="G6213" t="n">
        <v>1</v>
      </c>
      <c r="H6213" s="6">
        <f>ROUND(G6213*F6213,2)</f>
        <v/>
      </c>
      <c r="I6213">
        <f>IF(ROUND(H6213-D6213,2)=0,1,0)</f>
        <v/>
      </c>
      <c r="J6213">
        <f>IF(F6213="","none",IF(G6213=1,"carte","multiple"))</f>
        <v/>
      </c>
    </row>
    <row r="6214">
      <c r="A6214" t="inlineStr">
        <is>
          <t>2022-10-22</t>
        </is>
      </c>
      <c r="B6214" t="inlineStr">
        <is>
          <t>19:13</t>
        </is>
      </c>
      <c r="C6214" t="n">
        <v>3083</v>
      </c>
      <c r="D6214" s="6" t="n">
        <v>9.6</v>
      </c>
      <c r="E6214" t="n">
        <v>43351</v>
      </c>
      <c r="F6214" s="6" t="n">
        <v>9.6</v>
      </c>
      <c r="G6214" t="n">
        <v>1</v>
      </c>
      <c r="H6214" s="6">
        <f>ROUND(G6214*F6214,2)</f>
        <v/>
      </c>
      <c r="I6214">
        <f>IF(ROUND(H6214-D6214,2)=0,1,0)</f>
        <v/>
      </c>
      <c r="J6214">
        <f>IF(F6214="","none",IF(G6214=1,"carte","multiple"))</f>
        <v/>
      </c>
    </row>
    <row r="6215">
      <c r="A6215" t="inlineStr">
        <is>
          <t>2022-10-22</t>
        </is>
      </c>
      <c r="B6215" t="inlineStr">
        <is>
          <t>19:13</t>
        </is>
      </c>
      <c r="C6215" t="n">
        <v>3083</v>
      </c>
      <c r="D6215" s="6" t="n">
        <v>16.9</v>
      </c>
      <c r="E6215" t="n">
        <v>43352</v>
      </c>
      <c r="F6215" s="6" t="n">
        <v>16.9</v>
      </c>
      <c r="G6215" t="n">
        <v>1</v>
      </c>
      <c r="H6215" s="6">
        <f>ROUND(G6215*F6215,2)</f>
        <v/>
      </c>
      <c r="I6215">
        <f>IF(ROUND(H6215-D6215,2)=0,1,0)</f>
        <v/>
      </c>
      <c r="J6215">
        <f>IF(F6215="","none",IF(G6215=1,"carte","multiple"))</f>
        <v/>
      </c>
    </row>
    <row r="6216">
      <c r="A6216" t="inlineStr">
        <is>
          <t>2022-10-22</t>
        </is>
      </c>
      <c r="B6216" t="inlineStr">
        <is>
          <t>19:13</t>
        </is>
      </c>
      <c r="C6216" t="n">
        <v>3083</v>
      </c>
      <c r="D6216" s="6" t="n">
        <v>3.9</v>
      </c>
      <c r="E6216" t="n">
        <v>43353</v>
      </c>
      <c r="F6216" s="6" t="n">
        <v>3.9</v>
      </c>
      <c r="G6216" t="n">
        <v>1</v>
      </c>
      <c r="H6216" s="6">
        <f>ROUND(G6216*F6216,2)</f>
        <v/>
      </c>
      <c r="I6216">
        <f>IF(ROUND(H6216-D6216,2)=0,1,0)</f>
        <v/>
      </c>
      <c r="J6216">
        <f>IF(F6216="","none",IF(G6216=1,"carte","multiple"))</f>
        <v/>
      </c>
    </row>
    <row r="6217">
      <c r="A6217" t="inlineStr">
        <is>
          <t>2022-10-22</t>
        </is>
      </c>
      <c r="B6217" t="inlineStr">
        <is>
          <t>19:13</t>
        </is>
      </c>
      <c r="C6217" t="n">
        <v>3083</v>
      </c>
      <c r="D6217" s="6" t="n">
        <v>5.2</v>
      </c>
      <c r="E6217" t="n">
        <v>43354</v>
      </c>
      <c r="F6217" s="6" t="n">
        <v>5.2</v>
      </c>
      <c r="G6217" t="n">
        <v>1</v>
      </c>
      <c r="H6217" s="6">
        <f>ROUND(G6217*F6217,2)</f>
        <v/>
      </c>
      <c r="I6217">
        <f>IF(ROUND(H6217-D6217,2)=0,1,0)</f>
        <v/>
      </c>
      <c r="J6217">
        <f>IF(F6217="","none",IF(G6217=1,"carte","multiple"))</f>
        <v/>
      </c>
    </row>
    <row r="6218">
      <c r="A6218" t="inlineStr">
        <is>
          <t>2022-10-22</t>
        </is>
      </c>
      <c r="B6218" t="inlineStr">
        <is>
          <t>19:40</t>
        </is>
      </c>
      <c r="C6218" t="n">
        <v>3083</v>
      </c>
      <c r="D6218" s="6" t="n">
        <v>17</v>
      </c>
      <c r="E6218" t="n">
        <v>43355</v>
      </c>
      <c r="F6218" s="6" t="n">
        <v>17</v>
      </c>
      <c r="G6218" t="n">
        <v>1</v>
      </c>
      <c r="H6218" s="6">
        <f>ROUND(G6218*F6218,2)</f>
        <v/>
      </c>
      <c r="I6218">
        <f>IF(ROUND(H6218-D6218,2)=0,1,0)</f>
        <v/>
      </c>
      <c r="J6218">
        <f>IF(F6218="","none",IF(G6218=1,"carte","multiple"))</f>
        <v/>
      </c>
    </row>
    <row r="6219">
      <c r="A6219" t="inlineStr">
        <is>
          <t>2022-10-22</t>
        </is>
      </c>
      <c r="B6219" t="inlineStr">
        <is>
          <t>19:40</t>
        </is>
      </c>
      <c r="C6219" t="n">
        <v>3083</v>
      </c>
      <c r="D6219" s="6" t="n">
        <v>25</v>
      </c>
      <c r="E6219" t="n">
        <v>43356</v>
      </c>
      <c r="F6219" s="6" t="n">
        <v>25</v>
      </c>
      <c r="G6219" t="n">
        <v>1</v>
      </c>
      <c r="H6219" s="6">
        <f>ROUND(G6219*F6219,2)</f>
        <v/>
      </c>
      <c r="I6219">
        <f>IF(ROUND(H6219-D6219,2)=0,1,0)</f>
        <v/>
      </c>
      <c r="J6219">
        <f>IF(F6219="","none",IF(G6219=1,"carte","multiple"))</f>
        <v/>
      </c>
    </row>
    <row r="6220">
      <c r="A6220" t="inlineStr">
        <is>
          <t>2022-10-22</t>
        </is>
      </c>
      <c r="B6220" t="inlineStr">
        <is>
          <t>19:40</t>
        </is>
      </c>
      <c r="C6220" t="n">
        <v>3083</v>
      </c>
      <c r="D6220" s="6" t="n">
        <v>30</v>
      </c>
      <c r="E6220" t="n">
        <v>43357</v>
      </c>
      <c r="F6220" s="6" t="n">
        <v>30</v>
      </c>
      <c r="G6220" t="n">
        <v>1</v>
      </c>
      <c r="H6220" s="6">
        <f>ROUND(G6220*F6220,2)</f>
        <v/>
      </c>
      <c r="I6220">
        <f>IF(ROUND(H6220-D6220,2)=0,1,0)</f>
        <v/>
      </c>
      <c r="J6220">
        <f>IF(F6220="","none",IF(G6220=1,"carte","multiple"))</f>
        <v/>
      </c>
    </row>
    <row r="6221">
      <c r="A6221" t="inlineStr">
        <is>
          <t>2022-10-22</t>
        </is>
      </c>
      <c r="B6221" t="inlineStr">
        <is>
          <t>19:40</t>
        </is>
      </c>
      <c r="C6221" t="n">
        <v>3083</v>
      </c>
      <c r="D6221" s="6" t="n">
        <v>5.2</v>
      </c>
      <c r="E6221" t="n">
        <v>43358</v>
      </c>
      <c r="F6221" s="6" t="n">
        <v>5.2</v>
      </c>
      <c r="G6221" t="n">
        <v>1</v>
      </c>
      <c r="H6221" s="6">
        <f>ROUND(G6221*F6221,2)</f>
        <v/>
      </c>
      <c r="I6221">
        <f>IF(ROUND(H6221-D6221,2)=0,1,0)</f>
        <v/>
      </c>
      <c r="J6221">
        <f>IF(F6221="","none",IF(G6221=1,"carte","multiple"))</f>
        <v/>
      </c>
    </row>
    <row r="6222">
      <c r="A6222" t="inlineStr">
        <is>
          <t>2022-10-22</t>
        </is>
      </c>
      <c r="B6222" t="inlineStr">
        <is>
          <t>19:41</t>
        </is>
      </c>
      <c r="C6222" t="n">
        <v>3083</v>
      </c>
      <c r="D6222" s="6" t="n">
        <v>4.9</v>
      </c>
      <c r="E6222" t="n">
        <v>43359</v>
      </c>
      <c r="F6222" s="6" t="n">
        <v>4.9</v>
      </c>
      <c r="G6222" t="n">
        <v>1</v>
      </c>
      <c r="H6222" s="6">
        <f>ROUND(G6222*F6222,2)</f>
        <v/>
      </c>
      <c r="I6222">
        <f>IF(ROUND(H6222-D6222,2)=0,1,0)</f>
        <v/>
      </c>
      <c r="J6222">
        <f>IF(F6222="","none",IF(G6222=1,"carte","multiple"))</f>
        <v/>
      </c>
    </row>
    <row r="6223">
      <c r="A6223" t="inlineStr">
        <is>
          <t>2022-10-22</t>
        </is>
      </c>
      <c r="B6223" t="inlineStr">
        <is>
          <t>19:45</t>
        </is>
      </c>
      <c r="C6223" t="n">
        <v>3083</v>
      </c>
      <c r="D6223" s="6" t="n">
        <v>15.8</v>
      </c>
      <c r="E6223" t="n">
        <v>43360</v>
      </c>
      <c r="F6223" s="6" t="n">
        <v>7.9</v>
      </c>
      <c r="G6223" t="n">
        <v>2</v>
      </c>
      <c r="H6223" s="6">
        <f>ROUND(G6223*F6223,2)</f>
        <v/>
      </c>
      <c r="I6223">
        <f>IF(ROUND(H6223-D6223,2)=0,1,0)</f>
        <v/>
      </c>
      <c r="J6223">
        <f>IF(F6223="","none",IF(G6223=1,"carte","multiple"))</f>
        <v/>
      </c>
    </row>
    <row r="6224">
      <c r="A6224" t="inlineStr">
        <is>
          <t>2022-10-22</t>
        </is>
      </c>
      <c r="B6224" t="inlineStr">
        <is>
          <t>19:45</t>
        </is>
      </c>
      <c r="C6224" t="n">
        <v>3083</v>
      </c>
      <c r="D6224" s="6" t="n">
        <v>5.2</v>
      </c>
      <c r="E6224" t="n">
        <v>43361</v>
      </c>
      <c r="F6224" s="6" t="n">
        <v>5.2</v>
      </c>
      <c r="G6224" t="n">
        <v>1</v>
      </c>
      <c r="H6224" s="6">
        <f>ROUND(G6224*F6224,2)</f>
        <v/>
      </c>
      <c r="I6224">
        <f>IF(ROUND(H6224-D6224,2)=0,1,0)</f>
        <v/>
      </c>
      <c r="J6224">
        <f>IF(F6224="","none",IF(G6224=1,"carte","multiple"))</f>
        <v/>
      </c>
    </row>
    <row r="6225">
      <c r="A6225" t="inlineStr">
        <is>
          <t>2022-10-22</t>
        </is>
      </c>
      <c r="B6225" t="inlineStr">
        <is>
          <t>19:45</t>
        </is>
      </c>
      <c r="C6225" t="n">
        <v>3083</v>
      </c>
      <c r="D6225" s="6" t="n">
        <v>3.9</v>
      </c>
      <c r="E6225" t="n">
        <v>43362</v>
      </c>
      <c r="F6225" s="6" t="n">
        <v>3.9</v>
      </c>
      <c r="G6225" t="n">
        <v>1</v>
      </c>
      <c r="H6225" s="6">
        <f>ROUND(G6225*F6225,2)</f>
        <v/>
      </c>
      <c r="I6225">
        <f>IF(ROUND(H6225-D6225,2)=0,1,0)</f>
        <v/>
      </c>
      <c r="J6225">
        <f>IF(F6225="","none",IF(G6225=1,"carte","multiple"))</f>
        <v/>
      </c>
    </row>
    <row r="6226">
      <c r="A6226" t="inlineStr">
        <is>
          <t>2022-10-22</t>
        </is>
      </c>
      <c r="B6226" t="inlineStr">
        <is>
          <t>19:45</t>
        </is>
      </c>
      <c r="C6226" t="n">
        <v>3083</v>
      </c>
      <c r="D6226" s="6" t="n">
        <v>28.6</v>
      </c>
      <c r="E6226" t="n">
        <v>43363</v>
      </c>
      <c r="F6226" s="6" t="n">
        <v>28.6</v>
      </c>
      <c r="G6226" t="n">
        <v>1</v>
      </c>
      <c r="H6226" s="6">
        <f>ROUND(G6226*F6226,2)</f>
        <v/>
      </c>
      <c r="I6226">
        <f>IF(ROUND(H6226-D6226,2)=0,1,0)</f>
        <v/>
      </c>
      <c r="J6226">
        <f>IF(F6226="","none",IF(G6226=1,"carte","multiple"))</f>
        <v/>
      </c>
    </row>
    <row r="6227">
      <c r="A6227" t="inlineStr">
        <is>
          <t>2022-10-22</t>
        </is>
      </c>
      <c r="B6227" t="inlineStr">
        <is>
          <t>19:45</t>
        </is>
      </c>
      <c r="C6227" t="n">
        <v>3083</v>
      </c>
      <c r="D6227" s="6" t="n">
        <v>8.4</v>
      </c>
      <c r="E6227" t="n">
        <v>43364</v>
      </c>
      <c r="F6227" s="6" t="n">
        <v>8.4</v>
      </c>
      <c r="G6227" t="n">
        <v>1</v>
      </c>
      <c r="H6227" s="6">
        <f>ROUND(G6227*F6227,2)</f>
        <v/>
      </c>
      <c r="I6227">
        <f>IF(ROUND(H6227-D6227,2)=0,1,0)</f>
        <v/>
      </c>
      <c r="J6227">
        <f>IF(F6227="","none",IF(G6227=1,"carte","multiple"))</f>
        <v/>
      </c>
    </row>
    <row r="6228">
      <c r="A6228" t="inlineStr">
        <is>
          <t>2022-10-22</t>
        </is>
      </c>
      <c r="B6228" t="inlineStr">
        <is>
          <t>19:45</t>
        </is>
      </c>
      <c r="C6228" t="n">
        <v>3083</v>
      </c>
      <c r="D6228" s="6" t="n">
        <v>13.8</v>
      </c>
      <c r="E6228" t="n">
        <v>43365</v>
      </c>
      <c r="F6228" s="6" t="n">
        <v>4.6</v>
      </c>
      <c r="G6228" t="n">
        <v>3</v>
      </c>
      <c r="H6228" s="6">
        <f>ROUND(G6228*F6228,2)</f>
        <v/>
      </c>
      <c r="I6228">
        <f>IF(ROUND(H6228-D6228,2)=0,1,0)</f>
        <v/>
      </c>
      <c r="J6228">
        <f>IF(F6228="","none",IF(G6228=1,"carte","multiple"))</f>
        <v/>
      </c>
    </row>
    <row r="6229">
      <c r="A6229" t="inlineStr">
        <is>
          <t>2022-10-22</t>
        </is>
      </c>
      <c r="B6229" t="inlineStr">
        <is>
          <t>19:48</t>
        </is>
      </c>
      <c r="C6229" t="n">
        <v>3083</v>
      </c>
      <c r="D6229" s="6" t="n">
        <v>16.9</v>
      </c>
      <c r="E6229" t="n">
        <v>43366</v>
      </c>
      <c r="F6229" s="6" t="n">
        <v>16.9</v>
      </c>
      <c r="G6229" t="n">
        <v>1</v>
      </c>
      <c r="H6229" s="6">
        <f>ROUND(G6229*F6229,2)</f>
        <v/>
      </c>
      <c r="I6229">
        <f>IF(ROUND(H6229-D6229,2)=0,1,0)</f>
        <v/>
      </c>
      <c r="J6229">
        <f>IF(F6229="","none",IF(G6229=1,"carte","multiple"))</f>
        <v/>
      </c>
    </row>
    <row r="6230">
      <c r="A6230" t="inlineStr">
        <is>
          <t>2022-10-22</t>
        </is>
      </c>
      <c r="B6230" t="inlineStr">
        <is>
          <t>20:04</t>
        </is>
      </c>
      <c r="C6230" t="n">
        <v>3083</v>
      </c>
      <c r="D6230" s="6" t="n">
        <v>2</v>
      </c>
      <c r="E6230" t="n">
        <v>43367</v>
      </c>
      <c r="F6230" s="6" t="n">
        <v>2</v>
      </c>
      <c r="G6230" t="n">
        <v>1</v>
      </c>
      <c r="H6230" s="6">
        <f>ROUND(G6230*F6230,2)</f>
        <v/>
      </c>
      <c r="I6230">
        <f>IF(ROUND(H6230-D6230,2)=0,1,0)</f>
        <v/>
      </c>
      <c r="J6230">
        <f>IF(F6230="","none",IF(G6230=1,"carte","multiple"))</f>
        <v/>
      </c>
    </row>
    <row r="6231">
      <c r="A6231" t="inlineStr">
        <is>
          <t>2022-10-22</t>
        </is>
      </c>
      <c r="B6231" t="inlineStr">
        <is>
          <t>20:04</t>
        </is>
      </c>
      <c r="C6231" t="n">
        <v>3083</v>
      </c>
      <c r="D6231" s="6" t="n">
        <v>8.1</v>
      </c>
      <c r="E6231" t="n">
        <v>43368</v>
      </c>
      <c r="F6231" s="6" t="n">
        <v>8.1</v>
      </c>
      <c r="G6231" t="n">
        <v>1</v>
      </c>
      <c r="H6231" s="6">
        <f>ROUND(G6231*F6231,2)</f>
        <v/>
      </c>
      <c r="I6231">
        <f>IF(ROUND(H6231-D6231,2)=0,1,0)</f>
        <v/>
      </c>
      <c r="J6231">
        <f>IF(F6231="","none",IF(G6231=1,"carte","multiple"))</f>
        <v/>
      </c>
    </row>
    <row r="6232">
      <c r="A6232" t="inlineStr">
        <is>
          <t>2022-10-22</t>
        </is>
      </c>
      <c r="B6232" t="inlineStr">
        <is>
          <t>20:04</t>
        </is>
      </c>
      <c r="C6232" t="n">
        <v>3083</v>
      </c>
      <c r="D6232" s="6" t="n">
        <v>8.300000000000001</v>
      </c>
      <c r="E6232" t="n">
        <v>43369</v>
      </c>
      <c r="F6232" s="6" t="n">
        <v>8.300000000000001</v>
      </c>
      <c r="G6232" t="n">
        <v>1</v>
      </c>
      <c r="H6232" s="6">
        <f>ROUND(G6232*F6232,2)</f>
        <v/>
      </c>
      <c r="I6232">
        <f>IF(ROUND(H6232-D6232,2)=0,1,0)</f>
        <v/>
      </c>
      <c r="J6232">
        <f>IF(F6232="","none",IF(G6232=1,"carte","multiple"))</f>
        <v/>
      </c>
    </row>
    <row r="6233">
      <c r="A6233" t="inlineStr">
        <is>
          <t>2022-10-22</t>
        </is>
      </c>
      <c r="B6233" t="inlineStr">
        <is>
          <t>20:04</t>
        </is>
      </c>
      <c r="C6233" t="n">
        <v>3083</v>
      </c>
      <c r="D6233" s="6" t="n">
        <v>25</v>
      </c>
      <c r="E6233" t="n">
        <v>43370</v>
      </c>
      <c r="F6233" s="6" t="n">
        <v>25</v>
      </c>
      <c r="G6233" t="n">
        <v>1</v>
      </c>
      <c r="H6233" s="6">
        <f>ROUND(G6233*F6233,2)</f>
        <v/>
      </c>
      <c r="I6233">
        <f>IF(ROUND(H6233-D6233,2)=0,1,0)</f>
        <v/>
      </c>
      <c r="J6233">
        <f>IF(F6233="","none",IF(G6233=1,"carte","multiple"))</f>
        <v/>
      </c>
    </row>
    <row r="6234">
      <c r="A6234" t="inlineStr">
        <is>
          <t>2022-10-22</t>
        </is>
      </c>
      <c r="B6234" t="inlineStr">
        <is>
          <t>20:04</t>
        </is>
      </c>
      <c r="C6234" t="n">
        <v>3083</v>
      </c>
      <c r="D6234" s="6" t="n">
        <v>19</v>
      </c>
      <c r="E6234" t="n">
        <v>43371</v>
      </c>
      <c r="F6234" s="6" t="n">
        <v>19</v>
      </c>
      <c r="G6234" t="n">
        <v>1</v>
      </c>
      <c r="H6234" s="6">
        <f>ROUND(G6234*F6234,2)</f>
        <v/>
      </c>
      <c r="I6234">
        <f>IF(ROUND(H6234-D6234,2)=0,1,0)</f>
        <v/>
      </c>
      <c r="J6234">
        <f>IF(F6234="","none",IF(G6234=1,"carte","multiple"))</f>
        <v/>
      </c>
    </row>
    <row r="6235">
      <c r="A6235" t="inlineStr">
        <is>
          <t>2022-10-22</t>
        </is>
      </c>
      <c r="B6235" t="inlineStr">
        <is>
          <t>20:04</t>
        </is>
      </c>
      <c r="C6235" t="n">
        <v>3083</v>
      </c>
      <c r="D6235" s="6" t="n">
        <v>18.6</v>
      </c>
      <c r="E6235" t="n">
        <v>43372</v>
      </c>
      <c r="F6235" s="6" t="n">
        <v>18.6</v>
      </c>
      <c r="G6235" t="n">
        <v>1</v>
      </c>
      <c r="H6235" s="6">
        <f>ROUND(G6235*F6235,2)</f>
        <v/>
      </c>
      <c r="I6235">
        <f>IF(ROUND(H6235-D6235,2)=0,1,0)</f>
        <v/>
      </c>
      <c r="J6235">
        <f>IF(F6235="","none",IF(G6235=1,"carte","multiple"))</f>
        <v/>
      </c>
    </row>
    <row r="6236">
      <c r="A6236" t="inlineStr">
        <is>
          <t>2022-10-22</t>
        </is>
      </c>
      <c r="B6236" t="inlineStr">
        <is>
          <t>20:04</t>
        </is>
      </c>
      <c r="C6236" t="n">
        <v>3083</v>
      </c>
      <c r="D6236" s="6" t="n">
        <v>68</v>
      </c>
      <c r="E6236" t="n">
        <v>43373</v>
      </c>
      <c r="F6236" s="6" t="n">
        <v>0.4</v>
      </c>
      <c r="G6236" t="n">
        <v>170</v>
      </c>
      <c r="H6236" s="6">
        <f>ROUND(G6236*F6236,2)</f>
        <v/>
      </c>
      <c r="I6236">
        <f>IF(ROUND(H6236-D6236,2)=0,1,0)</f>
        <v/>
      </c>
      <c r="J6236">
        <f>IF(F6236="","none",IF(G6236=1,"carte","multiple"))</f>
        <v/>
      </c>
    </row>
    <row r="6237">
      <c r="A6237" t="inlineStr">
        <is>
          <t>2022-10-22</t>
        </is>
      </c>
      <c r="B6237" t="inlineStr">
        <is>
          <t>20:04</t>
        </is>
      </c>
      <c r="C6237" t="n">
        <v>3083</v>
      </c>
      <c r="D6237" s="6" t="n">
        <v>36</v>
      </c>
      <c r="E6237" t="n">
        <v>43374</v>
      </c>
      <c r="F6237" s="6" t="n">
        <v>36</v>
      </c>
      <c r="G6237" t="n">
        <v>1</v>
      </c>
      <c r="H6237" s="6">
        <f>ROUND(G6237*F6237,2)</f>
        <v/>
      </c>
      <c r="I6237">
        <f>IF(ROUND(H6237-D6237,2)=0,1,0)</f>
        <v/>
      </c>
      <c r="J6237">
        <f>IF(F6237="","none",IF(G6237=1,"carte","multiple"))</f>
        <v/>
      </c>
    </row>
    <row r="6238">
      <c r="A6238" t="inlineStr">
        <is>
          <t>2022-10-22</t>
        </is>
      </c>
      <c r="B6238" t="inlineStr">
        <is>
          <t>20:04</t>
        </is>
      </c>
      <c r="C6238" t="n">
        <v>3083</v>
      </c>
      <c r="D6238" s="6" t="n">
        <v>3.9</v>
      </c>
      <c r="E6238" t="n">
        <v>43375</v>
      </c>
      <c r="F6238" s="6" t="n">
        <v>3.9</v>
      </c>
      <c r="G6238" t="n">
        <v>1</v>
      </c>
      <c r="H6238" s="6">
        <f>ROUND(G6238*F6238,2)</f>
        <v/>
      </c>
      <c r="I6238">
        <f>IF(ROUND(H6238-D6238,2)=0,1,0)</f>
        <v/>
      </c>
      <c r="J6238">
        <f>IF(F6238="","none",IF(G6238=1,"carte","multiple"))</f>
        <v/>
      </c>
    </row>
    <row r="6239">
      <c r="A6239" t="inlineStr">
        <is>
          <t>2022-10-22</t>
        </is>
      </c>
      <c r="B6239" t="inlineStr">
        <is>
          <t>20:04</t>
        </is>
      </c>
      <c r="C6239" t="n">
        <v>3083</v>
      </c>
      <c r="D6239" s="6" t="n">
        <v>5.2</v>
      </c>
      <c r="E6239" t="n">
        <v>43376</v>
      </c>
      <c r="F6239" s="6" t="n">
        <v>5.2</v>
      </c>
      <c r="G6239" t="n">
        <v>1</v>
      </c>
      <c r="H6239" s="6">
        <f>ROUND(G6239*F6239,2)</f>
        <v/>
      </c>
      <c r="I6239">
        <f>IF(ROUND(H6239-D6239,2)=0,1,0)</f>
        <v/>
      </c>
      <c r="J6239">
        <f>IF(F6239="","none",IF(G6239=1,"carte","multiple"))</f>
        <v/>
      </c>
    </row>
    <row r="6240">
      <c r="A6240" t="inlineStr">
        <is>
          <t>2022-10-22</t>
        </is>
      </c>
      <c r="B6240" t="inlineStr">
        <is>
          <t>20:04</t>
        </is>
      </c>
      <c r="C6240" t="n">
        <v>3083</v>
      </c>
      <c r="D6240" s="6" t="n">
        <v>5.2</v>
      </c>
      <c r="E6240" t="n">
        <v>43377</v>
      </c>
      <c r="F6240" s="6" t="n">
        <v>5.2</v>
      </c>
      <c r="G6240" t="n">
        <v>1</v>
      </c>
      <c r="H6240" s="6">
        <f>ROUND(G6240*F6240,2)</f>
        <v/>
      </c>
      <c r="I6240">
        <f>IF(ROUND(H6240-D6240,2)=0,1,0)</f>
        <v/>
      </c>
      <c r="J6240">
        <f>IF(F6240="","none",IF(G6240=1,"carte","multiple"))</f>
        <v/>
      </c>
    </row>
    <row r="6241">
      <c r="A6241" t="inlineStr">
        <is>
          <t>2022-10-22</t>
        </is>
      </c>
      <c r="B6241" t="inlineStr">
        <is>
          <t>20:04</t>
        </is>
      </c>
      <c r="C6241" t="n">
        <v>3083</v>
      </c>
      <c r="D6241" s="6" t="n">
        <v>9.800000000000001</v>
      </c>
      <c r="E6241" t="n">
        <v>43378</v>
      </c>
      <c r="F6241" s="6" t="n">
        <v>9.800000000000001</v>
      </c>
      <c r="G6241" t="n">
        <v>1</v>
      </c>
      <c r="H6241" s="6">
        <f>ROUND(G6241*F6241,2)</f>
        <v/>
      </c>
      <c r="I6241">
        <f>IF(ROUND(H6241-D6241,2)=0,1,0)</f>
        <v/>
      </c>
      <c r="J6241">
        <f>IF(F6241="","none",IF(G6241=1,"carte","multiple"))</f>
        <v/>
      </c>
    </row>
    <row r="6242">
      <c r="A6242" t="inlineStr">
        <is>
          <t>2022-10-22</t>
        </is>
      </c>
      <c r="B6242" t="inlineStr">
        <is>
          <t>20:35</t>
        </is>
      </c>
      <c r="C6242" t="n">
        <v>3083</v>
      </c>
      <c r="D6242" s="6" t="n">
        <v>39.5</v>
      </c>
      <c r="E6242" t="n">
        <v>43379</v>
      </c>
      <c r="F6242" s="6" t="n">
        <v>39.5</v>
      </c>
      <c r="G6242" t="n">
        <v>1</v>
      </c>
      <c r="H6242" s="6">
        <f>ROUND(G6242*F6242,2)</f>
        <v/>
      </c>
      <c r="I6242">
        <f>IF(ROUND(H6242-D6242,2)=0,1,0)</f>
        <v/>
      </c>
      <c r="J6242">
        <f>IF(F6242="","none",IF(G6242=1,"carte","multiple"))</f>
        <v/>
      </c>
    </row>
    <row r="6243">
      <c r="A6243" t="inlineStr">
        <is>
          <t>2022-10-22</t>
        </is>
      </c>
      <c r="B6243" t="inlineStr">
        <is>
          <t>20:35</t>
        </is>
      </c>
      <c r="C6243" t="n">
        <v>3083</v>
      </c>
      <c r="D6243" s="6" t="n">
        <v>29.9</v>
      </c>
      <c r="E6243" t="n">
        <v>43380</v>
      </c>
      <c r="F6243" s="6" t="n">
        <v>29.9</v>
      </c>
      <c r="G6243" t="n">
        <v>1</v>
      </c>
      <c r="H6243" s="6">
        <f>ROUND(G6243*F6243,2)</f>
        <v/>
      </c>
      <c r="I6243">
        <f>IF(ROUND(H6243-D6243,2)=0,1,0)</f>
        <v/>
      </c>
      <c r="J6243">
        <f>IF(F6243="","none",IF(G6243=1,"carte","multiple"))</f>
        <v/>
      </c>
    </row>
    <row r="6244">
      <c r="A6244" t="inlineStr">
        <is>
          <t>2022-10-23</t>
        </is>
      </c>
      <c r="B6244" t="inlineStr">
        <is>
          <t>11:26</t>
        </is>
      </c>
      <c r="C6244" t="n">
        <v>3084</v>
      </c>
      <c r="D6244" s="6" t="n">
        <v>3.4</v>
      </c>
      <c r="E6244" t="n">
        <v>43383</v>
      </c>
      <c r="F6244" s="6" t="n">
        <v>3.4</v>
      </c>
      <c r="G6244" t="n">
        <v>1</v>
      </c>
      <c r="H6244" s="6">
        <f>ROUND(G6244*F6244,2)</f>
        <v/>
      </c>
      <c r="I6244">
        <f>IF(ROUND(H6244-D6244,2)=0,1,0)</f>
        <v/>
      </c>
      <c r="J6244">
        <f>IF(F6244="","none",IF(G6244=1,"carte","multiple"))</f>
        <v/>
      </c>
    </row>
    <row r="6245">
      <c r="A6245" t="inlineStr">
        <is>
          <t>2022-10-23</t>
        </is>
      </c>
      <c r="B6245" t="inlineStr">
        <is>
          <t>12:10</t>
        </is>
      </c>
      <c r="C6245" t="n">
        <v>3084</v>
      </c>
      <c r="D6245" s="6" t="n">
        <v>3.8</v>
      </c>
      <c r="E6245" t="n">
        <v>43384</v>
      </c>
      <c r="F6245" s="6" t="n">
        <v>3.8</v>
      </c>
      <c r="G6245" t="n">
        <v>1</v>
      </c>
      <c r="H6245" s="6">
        <f>ROUND(G6245*F6245,2)</f>
        <v/>
      </c>
      <c r="I6245">
        <f>IF(ROUND(H6245-D6245,2)=0,1,0)</f>
        <v/>
      </c>
      <c r="J6245">
        <f>IF(F6245="","none",IF(G6245=1,"carte","multiple"))</f>
        <v/>
      </c>
    </row>
    <row r="6246">
      <c r="A6246" t="inlineStr">
        <is>
          <t>2022-10-23</t>
        </is>
      </c>
      <c r="B6246" t="inlineStr">
        <is>
          <t>12:10</t>
        </is>
      </c>
      <c r="C6246" t="n">
        <v>3084</v>
      </c>
      <c r="D6246" s="6" t="n">
        <v>16.9</v>
      </c>
      <c r="E6246" t="n">
        <v>43385</v>
      </c>
      <c r="F6246" s="6" t="n">
        <v>16.9</v>
      </c>
      <c r="G6246" t="n">
        <v>1</v>
      </c>
      <c r="H6246" s="6">
        <f>ROUND(G6246*F6246,2)</f>
        <v/>
      </c>
      <c r="I6246">
        <f>IF(ROUND(H6246-D6246,2)=0,1,0)</f>
        <v/>
      </c>
      <c r="J6246">
        <f>IF(F6246="","none",IF(G6246=1,"carte","multiple"))</f>
        <v/>
      </c>
    </row>
    <row r="6247">
      <c r="A6247" t="inlineStr">
        <is>
          <t>2022-10-23</t>
        </is>
      </c>
      <c r="B6247" t="inlineStr">
        <is>
          <t>12:25</t>
        </is>
      </c>
      <c r="C6247" t="n">
        <v>3084</v>
      </c>
      <c r="D6247" s="6" t="n">
        <v>8.4</v>
      </c>
      <c r="E6247" t="n">
        <v>43386</v>
      </c>
      <c r="F6247" s="6" t="n">
        <v>8.4</v>
      </c>
      <c r="G6247" t="n">
        <v>1</v>
      </c>
      <c r="H6247" s="6">
        <f>ROUND(G6247*F6247,2)</f>
        <v/>
      </c>
      <c r="I6247">
        <f>IF(ROUND(H6247-D6247,2)=0,1,0)</f>
        <v/>
      </c>
      <c r="J6247">
        <f>IF(F6247="","none",IF(G6247=1,"carte","multiple"))</f>
        <v/>
      </c>
    </row>
    <row r="6248">
      <c r="A6248" t="inlineStr">
        <is>
          <t>2022-10-23</t>
        </is>
      </c>
      <c r="B6248" t="inlineStr">
        <is>
          <t>12:25</t>
        </is>
      </c>
      <c r="C6248" t="n">
        <v>3084</v>
      </c>
      <c r="D6248" s="6" t="n">
        <v>20.9</v>
      </c>
      <c r="E6248" t="n">
        <v>43387</v>
      </c>
      <c r="F6248" s="6" t="n">
        <v>20.9</v>
      </c>
      <c r="G6248" t="n">
        <v>1</v>
      </c>
      <c r="H6248" s="6">
        <f>ROUND(G6248*F6248,2)</f>
        <v/>
      </c>
      <c r="I6248">
        <f>IF(ROUND(H6248-D6248,2)=0,1,0)</f>
        <v/>
      </c>
      <c r="J6248">
        <f>IF(F6248="","none",IF(G6248=1,"carte","multiple"))</f>
        <v/>
      </c>
    </row>
    <row r="6249">
      <c r="A6249" t="inlineStr">
        <is>
          <t>2022-10-23</t>
        </is>
      </c>
      <c r="B6249" t="inlineStr">
        <is>
          <t>12:25</t>
        </is>
      </c>
      <c r="C6249" t="n">
        <v>3084</v>
      </c>
      <c r="D6249" s="6" t="n">
        <v>15.6</v>
      </c>
      <c r="E6249" t="n">
        <v>43388</v>
      </c>
      <c r="F6249" s="6" t="n">
        <v>15.6</v>
      </c>
      <c r="G6249" t="n">
        <v>1</v>
      </c>
      <c r="H6249" s="6">
        <f>ROUND(G6249*F6249,2)</f>
        <v/>
      </c>
      <c r="I6249">
        <f>IF(ROUND(H6249-D6249,2)=0,1,0)</f>
        <v/>
      </c>
      <c r="J6249">
        <f>IF(F6249="","none",IF(G6249=1,"carte","multiple"))</f>
        <v/>
      </c>
    </row>
    <row r="6250">
      <c r="A6250" t="inlineStr">
        <is>
          <t>2022-10-23</t>
        </is>
      </c>
      <c r="B6250" t="inlineStr">
        <is>
          <t>12:25</t>
        </is>
      </c>
      <c r="C6250" t="n">
        <v>3084</v>
      </c>
      <c r="D6250" s="6" t="n">
        <v>7.8</v>
      </c>
      <c r="E6250" t="n">
        <v>43389</v>
      </c>
      <c r="F6250" s="6" t="n">
        <v>7.8</v>
      </c>
      <c r="G6250" t="n">
        <v>1</v>
      </c>
      <c r="H6250" s="6">
        <f>ROUND(G6250*F6250,2)</f>
        <v/>
      </c>
      <c r="I6250">
        <f>IF(ROUND(H6250-D6250,2)=0,1,0)</f>
        <v/>
      </c>
      <c r="J6250">
        <f>IF(F6250="","none",IF(G6250=1,"carte","multiple"))</f>
        <v/>
      </c>
    </row>
    <row r="6251">
      <c r="A6251" t="inlineStr">
        <is>
          <t>2022-10-23</t>
        </is>
      </c>
      <c r="B6251" t="inlineStr">
        <is>
          <t>12:25</t>
        </is>
      </c>
      <c r="C6251" t="n">
        <v>3084</v>
      </c>
      <c r="D6251" s="6" t="n">
        <v>8.1</v>
      </c>
      <c r="E6251" t="n">
        <v>43390</v>
      </c>
      <c r="F6251" s="6" t="n">
        <v>8.1</v>
      </c>
      <c r="G6251" t="n">
        <v>1</v>
      </c>
      <c r="H6251" s="6">
        <f>ROUND(G6251*F6251,2)</f>
        <v/>
      </c>
      <c r="I6251">
        <f>IF(ROUND(H6251-D6251,2)=0,1,0)</f>
        <v/>
      </c>
      <c r="J6251">
        <f>IF(F6251="","none",IF(G6251=1,"carte","multiple"))</f>
        <v/>
      </c>
    </row>
    <row r="6252">
      <c r="A6252" t="inlineStr">
        <is>
          <t>2022-10-23</t>
        </is>
      </c>
      <c r="B6252" t="inlineStr">
        <is>
          <t>12:29</t>
        </is>
      </c>
      <c r="C6252" t="n">
        <v>3084</v>
      </c>
      <c r="D6252" s="6" t="n">
        <v>2.9</v>
      </c>
      <c r="E6252" t="n">
        <v>43391</v>
      </c>
      <c r="F6252" s="6" t="n">
        <v>2.9</v>
      </c>
      <c r="G6252" t="n">
        <v>1</v>
      </c>
      <c r="H6252" s="6">
        <f>ROUND(G6252*F6252,2)</f>
        <v/>
      </c>
      <c r="I6252">
        <f>IF(ROUND(H6252-D6252,2)=0,1,0)</f>
        <v/>
      </c>
      <c r="J6252">
        <f>IF(F6252="","none",IF(G6252=1,"carte","multiple"))</f>
        <v/>
      </c>
    </row>
    <row r="6253">
      <c r="A6253" t="inlineStr">
        <is>
          <t>2022-10-23</t>
        </is>
      </c>
      <c r="B6253" t="inlineStr">
        <is>
          <t>12:29</t>
        </is>
      </c>
      <c r="C6253" t="n">
        <v>3084</v>
      </c>
      <c r="D6253" s="6" t="n">
        <v>2</v>
      </c>
      <c r="E6253" t="n">
        <v>43392</v>
      </c>
      <c r="F6253" s="6" t="n">
        <v>2</v>
      </c>
      <c r="G6253" t="n">
        <v>1</v>
      </c>
      <c r="H6253" s="6">
        <f>ROUND(G6253*F6253,2)</f>
        <v/>
      </c>
      <c r="I6253">
        <f>IF(ROUND(H6253-D6253,2)=0,1,0)</f>
        <v/>
      </c>
      <c r="J6253">
        <f>IF(F6253="","none",IF(G6253=1,"carte","multiple"))</f>
        <v/>
      </c>
    </row>
    <row r="6254">
      <c r="A6254" t="inlineStr">
        <is>
          <t>2022-10-23</t>
        </is>
      </c>
      <c r="B6254" t="inlineStr">
        <is>
          <t>12:29</t>
        </is>
      </c>
      <c r="C6254" t="n">
        <v>3084</v>
      </c>
      <c r="D6254" s="6" t="n">
        <v>18.6</v>
      </c>
      <c r="E6254" t="n">
        <v>43393</v>
      </c>
      <c r="F6254" s="6" t="n">
        <v>18.6</v>
      </c>
      <c r="G6254" t="n">
        <v>1</v>
      </c>
      <c r="H6254" s="6">
        <f>ROUND(G6254*F6254,2)</f>
        <v/>
      </c>
      <c r="I6254">
        <f>IF(ROUND(H6254-D6254,2)=0,1,0)</f>
        <v/>
      </c>
      <c r="J6254">
        <f>IF(F6254="","none",IF(G6254=1,"carte","multiple"))</f>
        <v/>
      </c>
    </row>
    <row r="6255">
      <c r="A6255" t="inlineStr">
        <is>
          <t>2022-10-23</t>
        </is>
      </c>
      <c r="B6255" t="inlineStr">
        <is>
          <t>12:29</t>
        </is>
      </c>
      <c r="C6255" t="n">
        <v>3084</v>
      </c>
      <c r="D6255" s="6" t="n">
        <v>18.6</v>
      </c>
      <c r="E6255" t="n">
        <v>43394</v>
      </c>
      <c r="F6255" s="6" t="n">
        <v>18.6</v>
      </c>
      <c r="G6255" t="n">
        <v>1</v>
      </c>
      <c r="H6255" s="6">
        <f>ROUND(G6255*F6255,2)</f>
        <v/>
      </c>
      <c r="I6255">
        <f>IF(ROUND(H6255-D6255,2)=0,1,0)</f>
        <v/>
      </c>
      <c r="J6255">
        <f>IF(F6255="","none",IF(G6255=1,"carte","multiple"))</f>
        <v/>
      </c>
    </row>
    <row r="6256">
      <c r="A6256" t="inlineStr">
        <is>
          <t>2022-10-23</t>
        </is>
      </c>
      <c r="B6256" t="inlineStr">
        <is>
          <t>12:29</t>
        </is>
      </c>
      <c r="C6256" t="n">
        <v>3084</v>
      </c>
      <c r="D6256" s="6" t="n">
        <v>7.8</v>
      </c>
      <c r="E6256" t="n">
        <v>43395</v>
      </c>
      <c r="F6256" s="6" t="n">
        <v>7.8</v>
      </c>
      <c r="G6256" t="n">
        <v>1</v>
      </c>
      <c r="H6256" s="6">
        <f>ROUND(G6256*F6256,2)</f>
        <v/>
      </c>
      <c r="I6256">
        <f>IF(ROUND(H6256-D6256,2)=0,1,0)</f>
        <v/>
      </c>
      <c r="J6256">
        <f>IF(F6256="","none",IF(G6256=1,"carte","multiple"))</f>
        <v/>
      </c>
    </row>
    <row r="6257">
      <c r="A6257" t="inlineStr">
        <is>
          <t>2022-10-23</t>
        </is>
      </c>
      <c r="B6257" t="inlineStr">
        <is>
          <t>18:41</t>
        </is>
      </c>
      <c r="C6257" t="n">
        <v>3084</v>
      </c>
      <c r="D6257" s="6" t="n">
        <v>14</v>
      </c>
      <c r="E6257" t="n">
        <v>43397</v>
      </c>
      <c r="F6257" s="6" t="n">
        <v>14</v>
      </c>
      <c r="G6257" t="n">
        <v>1</v>
      </c>
      <c r="H6257" s="6">
        <f>ROUND(G6257*F6257,2)</f>
        <v/>
      </c>
      <c r="I6257">
        <f>IF(ROUND(H6257-D6257,2)=0,1,0)</f>
        <v/>
      </c>
      <c r="J6257">
        <f>IF(F6257="","none",IF(G6257=1,"carte","multiple"))</f>
        <v/>
      </c>
    </row>
    <row r="6258">
      <c r="A6258" t="inlineStr">
        <is>
          <t>2022-10-23</t>
        </is>
      </c>
      <c r="B6258" t="inlineStr">
        <is>
          <t>18:43</t>
        </is>
      </c>
      <c r="C6258" t="n">
        <v>3084</v>
      </c>
      <c r="D6258" s="6" t="n">
        <v>2.2</v>
      </c>
      <c r="E6258" t="n">
        <v>43398</v>
      </c>
      <c r="F6258" s="6" t="n">
        <v>2.2</v>
      </c>
      <c r="G6258" t="n">
        <v>1</v>
      </c>
      <c r="H6258" s="6">
        <f>ROUND(G6258*F6258,2)</f>
        <v/>
      </c>
      <c r="I6258">
        <f>IF(ROUND(H6258-D6258,2)=0,1,0)</f>
        <v/>
      </c>
      <c r="J6258">
        <f>IF(F6258="","none",IF(G6258=1,"carte","multiple"))</f>
        <v/>
      </c>
    </row>
    <row r="6259">
      <c r="A6259" t="inlineStr">
        <is>
          <t>2022-10-23</t>
        </is>
      </c>
      <c r="B6259" t="inlineStr">
        <is>
          <t>18:43</t>
        </is>
      </c>
      <c r="C6259" t="n">
        <v>3084</v>
      </c>
      <c r="D6259" s="6" t="n">
        <v>14</v>
      </c>
      <c r="E6259" t="n">
        <v>43399</v>
      </c>
      <c r="F6259" s="6" t="n">
        <v>14</v>
      </c>
      <c r="G6259" t="n">
        <v>1</v>
      </c>
      <c r="H6259" s="6">
        <f>ROUND(G6259*F6259,2)</f>
        <v/>
      </c>
      <c r="I6259">
        <f>IF(ROUND(H6259-D6259,2)=0,1,0)</f>
        <v/>
      </c>
      <c r="J6259">
        <f>IF(F6259="","none",IF(G6259=1,"carte","multiple"))</f>
        <v/>
      </c>
    </row>
    <row r="6260">
      <c r="A6260" t="inlineStr">
        <is>
          <t>2022-10-23</t>
        </is>
      </c>
      <c r="B6260" t="inlineStr">
        <is>
          <t>18:43</t>
        </is>
      </c>
      <c r="C6260" t="n">
        <v>3084</v>
      </c>
      <c r="D6260" s="6" t="n">
        <v>34</v>
      </c>
      <c r="E6260" t="n">
        <v>43400</v>
      </c>
      <c r="F6260" s="6" t="n">
        <v>34</v>
      </c>
      <c r="G6260" t="n">
        <v>1</v>
      </c>
      <c r="H6260" s="6">
        <f>ROUND(G6260*F6260,2)</f>
        <v/>
      </c>
      <c r="I6260">
        <f>IF(ROUND(H6260-D6260,2)=0,1,0)</f>
        <v/>
      </c>
      <c r="J6260">
        <f>IF(F6260="","none",IF(G6260=1,"carte","multiple"))</f>
        <v/>
      </c>
    </row>
    <row r="6261">
      <c r="A6261" t="inlineStr">
        <is>
          <t>2022-10-23</t>
        </is>
      </c>
      <c r="B6261" t="inlineStr">
        <is>
          <t>18:43</t>
        </is>
      </c>
      <c r="C6261" t="n">
        <v>3084</v>
      </c>
      <c r="D6261" s="6" t="n">
        <v>5.9</v>
      </c>
      <c r="E6261" t="n">
        <v>43401</v>
      </c>
      <c r="F6261" s="6" t="n">
        <v>5.9</v>
      </c>
      <c r="G6261" t="n">
        <v>1</v>
      </c>
      <c r="H6261" s="6">
        <f>ROUND(G6261*F6261,2)</f>
        <v/>
      </c>
      <c r="I6261">
        <f>IF(ROUND(H6261-D6261,2)=0,1,0)</f>
        <v/>
      </c>
      <c r="J6261">
        <f>IF(F6261="","none",IF(G6261=1,"carte","multiple"))</f>
        <v/>
      </c>
    </row>
    <row r="6262">
      <c r="A6262" t="inlineStr">
        <is>
          <t>2022-10-23</t>
        </is>
      </c>
      <c r="B6262" t="inlineStr">
        <is>
          <t>18:43</t>
        </is>
      </c>
      <c r="C6262" t="n">
        <v>3084</v>
      </c>
      <c r="D6262" s="6" t="n">
        <v>3.9</v>
      </c>
      <c r="E6262" t="n">
        <v>43402</v>
      </c>
      <c r="F6262" s="6" t="n">
        <v>3.9</v>
      </c>
      <c r="G6262" t="n">
        <v>1</v>
      </c>
      <c r="H6262" s="6">
        <f>ROUND(G6262*F6262,2)</f>
        <v/>
      </c>
      <c r="I6262">
        <f>IF(ROUND(H6262-D6262,2)=0,1,0)</f>
        <v/>
      </c>
      <c r="J6262">
        <f>IF(F6262="","none",IF(G6262=1,"carte","multiple"))</f>
        <v/>
      </c>
    </row>
    <row r="6263">
      <c r="A6263" t="inlineStr">
        <is>
          <t>2022-10-23</t>
        </is>
      </c>
      <c r="B6263" t="inlineStr">
        <is>
          <t>18:45</t>
        </is>
      </c>
      <c r="C6263" t="n">
        <v>3084</v>
      </c>
      <c r="D6263" s="6" t="n">
        <v>6.9</v>
      </c>
      <c r="E6263" t="n">
        <v>43403</v>
      </c>
      <c r="F6263" s="6" t="n">
        <v>6.9</v>
      </c>
      <c r="G6263" t="n">
        <v>1</v>
      </c>
      <c r="H6263" s="6">
        <f>ROUND(G6263*F6263,2)</f>
        <v/>
      </c>
      <c r="I6263">
        <f>IF(ROUND(H6263-D6263,2)=0,1,0)</f>
        <v/>
      </c>
      <c r="J6263">
        <f>IF(F6263="","none",IF(G6263=1,"carte","multiple"))</f>
        <v/>
      </c>
    </row>
    <row r="6264">
      <c r="A6264" t="inlineStr">
        <is>
          <t>2022-10-23</t>
        </is>
      </c>
      <c r="B6264" t="inlineStr">
        <is>
          <t>18:45</t>
        </is>
      </c>
      <c r="C6264" t="n">
        <v>3084</v>
      </c>
      <c r="D6264" s="6" t="n">
        <v>4.9</v>
      </c>
      <c r="E6264" t="n">
        <v>43404</v>
      </c>
      <c r="F6264" s="6" t="n">
        <v>4.9</v>
      </c>
      <c r="G6264" t="n">
        <v>1</v>
      </c>
      <c r="H6264" s="6">
        <f>ROUND(G6264*F6264,2)</f>
        <v/>
      </c>
      <c r="I6264">
        <f>IF(ROUND(H6264-D6264,2)=0,1,0)</f>
        <v/>
      </c>
      <c r="J6264">
        <f>IF(F6264="","none",IF(G6264=1,"carte","multiple"))</f>
        <v/>
      </c>
    </row>
    <row r="6265">
      <c r="A6265" t="inlineStr">
        <is>
          <t>2022-10-23</t>
        </is>
      </c>
      <c r="B6265" t="inlineStr">
        <is>
          <t>18:45</t>
        </is>
      </c>
      <c r="C6265" t="n">
        <v>3084</v>
      </c>
      <c r="D6265" s="6" t="n">
        <v>3.9</v>
      </c>
      <c r="E6265" t="n">
        <v>43405</v>
      </c>
      <c r="F6265" s="6" t="n">
        <v>3.9</v>
      </c>
      <c r="G6265" t="n">
        <v>1</v>
      </c>
      <c r="H6265" s="6">
        <f>ROUND(G6265*F6265,2)</f>
        <v/>
      </c>
      <c r="I6265">
        <f>IF(ROUND(H6265-D6265,2)=0,1,0)</f>
        <v/>
      </c>
      <c r="J6265">
        <f>IF(F6265="","none",IF(G6265=1,"carte","multiple"))</f>
        <v/>
      </c>
    </row>
    <row r="6266">
      <c r="A6266" t="inlineStr">
        <is>
          <t>2022-10-23</t>
        </is>
      </c>
      <c r="B6266" t="inlineStr">
        <is>
          <t>18:45</t>
        </is>
      </c>
      <c r="C6266" t="n">
        <v>3084</v>
      </c>
      <c r="D6266" s="6" t="n">
        <v>14</v>
      </c>
      <c r="E6266" t="n">
        <v>43406</v>
      </c>
      <c r="F6266" s="6" t="n">
        <v>14</v>
      </c>
      <c r="G6266" t="n">
        <v>1</v>
      </c>
      <c r="H6266" s="6">
        <f>ROUND(G6266*F6266,2)</f>
        <v/>
      </c>
      <c r="I6266">
        <f>IF(ROUND(H6266-D6266,2)=0,1,0)</f>
        <v/>
      </c>
      <c r="J6266">
        <f>IF(F6266="","none",IF(G6266=1,"carte","multiple"))</f>
        <v/>
      </c>
    </row>
    <row r="6267">
      <c r="A6267" t="inlineStr">
        <is>
          <t>2022-10-23</t>
        </is>
      </c>
      <c r="B6267" t="inlineStr">
        <is>
          <t>18:45</t>
        </is>
      </c>
      <c r="C6267" t="n">
        <v>3084</v>
      </c>
      <c r="D6267" s="6" t="n">
        <v>18.6</v>
      </c>
      <c r="E6267" t="n">
        <v>43407</v>
      </c>
      <c r="F6267" s="6" t="n">
        <v>18.6</v>
      </c>
      <c r="G6267" t="n">
        <v>1</v>
      </c>
      <c r="H6267" s="6">
        <f>ROUND(G6267*F6267,2)</f>
        <v/>
      </c>
      <c r="I6267">
        <f>IF(ROUND(H6267-D6267,2)=0,1,0)</f>
        <v/>
      </c>
      <c r="J6267">
        <f>IF(F6267="","none",IF(G6267=1,"carte","multiple"))</f>
        <v/>
      </c>
    </row>
    <row r="6268">
      <c r="A6268" t="inlineStr">
        <is>
          <t>2022-10-23</t>
        </is>
      </c>
      <c r="B6268" t="inlineStr">
        <is>
          <t>19:16</t>
        </is>
      </c>
      <c r="C6268" t="n">
        <v>3084</v>
      </c>
      <c r="D6268" s="6" t="n">
        <v>14</v>
      </c>
      <c r="E6268" t="n">
        <v>43408</v>
      </c>
      <c r="F6268" s="6" t="n">
        <v>14</v>
      </c>
      <c r="G6268" t="n">
        <v>1</v>
      </c>
      <c r="H6268" s="6">
        <f>ROUND(G6268*F6268,2)</f>
        <v/>
      </c>
      <c r="I6268">
        <f>IF(ROUND(H6268-D6268,2)=0,1,0)</f>
        <v/>
      </c>
      <c r="J6268">
        <f>IF(F6268="","none",IF(G6268=1,"carte","multiple"))</f>
        <v/>
      </c>
    </row>
    <row r="6269">
      <c r="A6269" t="inlineStr">
        <is>
          <t>2022-10-23</t>
        </is>
      </c>
      <c r="B6269" t="inlineStr">
        <is>
          <t>19:16</t>
        </is>
      </c>
      <c r="C6269" t="n">
        <v>3084</v>
      </c>
      <c r="D6269" s="6" t="n">
        <v>19</v>
      </c>
      <c r="E6269" t="n">
        <v>43409</v>
      </c>
      <c r="F6269" s="6" t="n">
        <v>19</v>
      </c>
      <c r="G6269" t="n">
        <v>1</v>
      </c>
      <c r="H6269" s="6">
        <f>ROUND(G6269*F6269,2)</f>
        <v/>
      </c>
      <c r="I6269">
        <f>IF(ROUND(H6269-D6269,2)=0,1,0)</f>
        <v/>
      </c>
      <c r="J6269">
        <f>IF(F6269="","none",IF(G6269=1,"carte","multiple"))</f>
        <v/>
      </c>
    </row>
    <row r="6270">
      <c r="A6270" t="inlineStr">
        <is>
          <t>2022-10-26</t>
        </is>
      </c>
      <c r="B6270" t="inlineStr">
        <is>
          <t>10:53</t>
        </is>
      </c>
      <c r="C6270" t="n">
        <v>3085</v>
      </c>
      <c r="D6270" s="6" t="n">
        <v>5.2</v>
      </c>
      <c r="E6270" t="n">
        <v>43412</v>
      </c>
      <c r="F6270" s="6" t="n">
        <v>5.2</v>
      </c>
      <c r="G6270" t="n">
        <v>1</v>
      </c>
      <c r="H6270" s="6">
        <f>ROUND(G6270*F6270,2)</f>
        <v/>
      </c>
      <c r="I6270">
        <f>IF(ROUND(H6270-D6270,2)=0,1,0)</f>
        <v/>
      </c>
      <c r="J6270">
        <f>IF(F6270="","none",IF(G6270=1,"carte","multiple"))</f>
        <v/>
      </c>
    </row>
    <row r="6271">
      <c r="A6271" t="inlineStr">
        <is>
          <t>2022-10-26</t>
        </is>
      </c>
      <c r="B6271" t="inlineStr">
        <is>
          <t>11:22</t>
        </is>
      </c>
      <c r="C6271" t="n">
        <v>3085</v>
      </c>
      <c r="D6271" s="6" t="n">
        <v>4.4</v>
      </c>
      <c r="E6271" t="n">
        <v>43413</v>
      </c>
      <c r="F6271" s="6" t="n">
        <v>0.4</v>
      </c>
      <c r="G6271" t="n">
        <v>11</v>
      </c>
      <c r="H6271" s="6">
        <f>ROUND(G6271*F6271,2)</f>
        <v/>
      </c>
      <c r="I6271">
        <f>IF(ROUND(H6271-D6271,2)=0,1,0)</f>
        <v/>
      </c>
      <c r="J6271">
        <f>IF(F6271="","none",IF(G6271=1,"carte","multiple"))</f>
        <v/>
      </c>
    </row>
    <row r="6272">
      <c r="A6272" t="inlineStr">
        <is>
          <t>2022-10-26</t>
        </is>
      </c>
      <c r="B6272" t="inlineStr">
        <is>
          <t>11:46</t>
        </is>
      </c>
      <c r="C6272" t="n">
        <v>3085</v>
      </c>
      <c r="D6272" s="6" t="n">
        <v>2.4</v>
      </c>
      <c r="E6272" t="n">
        <v>43414</v>
      </c>
      <c r="F6272" s="6" t="n">
        <v>2.4</v>
      </c>
      <c r="G6272" t="n">
        <v>1</v>
      </c>
      <c r="H6272" s="6">
        <f>ROUND(G6272*F6272,2)</f>
        <v/>
      </c>
      <c r="I6272">
        <f>IF(ROUND(H6272-D6272,2)=0,1,0)</f>
        <v/>
      </c>
      <c r="J6272">
        <f>IF(F6272="","none",IF(G6272=1,"carte","multiple"))</f>
        <v/>
      </c>
    </row>
    <row r="6273">
      <c r="A6273" t="inlineStr">
        <is>
          <t>2022-10-26</t>
        </is>
      </c>
      <c r="B6273" t="inlineStr">
        <is>
          <t>11:46</t>
        </is>
      </c>
      <c r="C6273" t="n">
        <v>3085</v>
      </c>
      <c r="D6273" s="6" t="n">
        <v>2.9</v>
      </c>
      <c r="E6273" t="n">
        <v>43415</v>
      </c>
      <c r="F6273" s="6" t="n">
        <v>2.9</v>
      </c>
      <c r="G6273" t="n">
        <v>1</v>
      </c>
      <c r="H6273" s="6">
        <f>ROUND(G6273*F6273,2)</f>
        <v/>
      </c>
      <c r="I6273">
        <f>IF(ROUND(H6273-D6273,2)=0,1,0)</f>
        <v/>
      </c>
      <c r="J6273">
        <f>IF(F6273="","none",IF(G6273=1,"carte","multiple"))</f>
        <v/>
      </c>
    </row>
    <row r="6274">
      <c r="A6274" t="inlineStr">
        <is>
          <t>2022-10-26</t>
        </is>
      </c>
      <c r="B6274" t="inlineStr">
        <is>
          <t>11:46</t>
        </is>
      </c>
      <c r="C6274" t="n">
        <v>3085</v>
      </c>
      <c r="D6274" s="6" t="n">
        <v>6.5</v>
      </c>
      <c r="E6274" t="n">
        <v>43416</v>
      </c>
      <c r="F6274" s="6" t="n">
        <v>6.5</v>
      </c>
      <c r="G6274" t="n">
        <v>1</v>
      </c>
      <c r="H6274" s="6">
        <f>ROUND(G6274*F6274,2)</f>
        <v/>
      </c>
      <c r="I6274">
        <f>IF(ROUND(H6274-D6274,2)=0,1,0)</f>
        <v/>
      </c>
      <c r="J6274">
        <f>IF(F6274="","none",IF(G6274=1,"carte","multiple"))</f>
        <v/>
      </c>
    </row>
    <row r="6275">
      <c r="A6275" t="inlineStr">
        <is>
          <t>2022-10-26</t>
        </is>
      </c>
      <c r="B6275" t="inlineStr">
        <is>
          <t>11:46</t>
        </is>
      </c>
      <c r="C6275" t="n">
        <v>3085</v>
      </c>
      <c r="D6275" s="6" t="n">
        <v>14.4</v>
      </c>
      <c r="E6275" t="n">
        <v>43417</v>
      </c>
      <c r="F6275" s="6" t="n">
        <v>0.4</v>
      </c>
      <c r="G6275" t="n">
        <v>36</v>
      </c>
      <c r="H6275" s="6">
        <f>ROUND(G6275*F6275,2)</f>
        <v/>
      </c>
      <c r="I6275">
        <f>IF(ROUND(H6275-D6275,2)=0,1,0)</f>
        <v/>
      </c>
      <c r="J6275">
        <f>IF(F6275="","none",IF(G6275=1,"carte","multiple"))</f>
        <v/>
      </c>
    </row>
    <row r="6276">
      <c r="A6276" t="inlineStr">
        <is>
          <t>2022-10-26</t>
        </is>
      </c>
      <c r="B6276" t="inlineStr">
        <is>
          <t>11:46</t>
        </is>
      </c>
      <c r="C6276" t="n">
        <v>3085</v>
      </c>
      <c r="D6276" s="6" t="n">
        <v>10.4</v>
      </c>
      <c r="E6276" t="n">
        <v>43418</v>
      </c>
      <c r="F6276" s="6" t="n">
        <v>0.4</v>
      </c>
      <c r="G6276" t="n">
        <v>26</v>
      </c>
      <c r="H6276" s="6">
        <f>ROUND(G6276*F6276,2)</f>
        <v/>
      </c>
      <c r="I6276">
        <f>IF(ROUND(H6276-D6276,2)=0,1,0)</f>
        <v/>
      </c>
      <c r="J6276">
        <f>IF(F6276="","none",IF(G6276=1,"carte","multiple"))</f>
        <v/>
      </c>
    </row>
    <row r="6277">
      <c r="A6277" t="inlineStr">
        <is>
          <t>2022-10-26</t>
        </is>
      </c>
      <c r="B6277" t="inlineStr">
        <is>
          <t>11:46</t>
        </is>
      </c>
      <c r="C6277" t="n">
        <v>3085</v>
      </c>
      <c r="D6277" s="6" t="n">
        <v>18.6</v>
      </c>
      <c r="E6277" t="n">
        <v>43419</v>
      </c>
      <c r="F6277" s="6" t="n">
        <v>18.6</v>
      </c>
      <c r="G6277" t="n">
        <v>1</v>
      </c>
      <c r="H6277" s="6">
        <f>ROUND(G6277*F6277,2)</f>
        <v/>
      </c>
      <c r="I6277">
        <f>IF(ROUND(H6277-D6277,2)=0,1,0)</f>
        <v/>
      </c>
      <c r="J6277">
        <f>IF(F6277="","none",IF(G6277=1,"carte","multiple"))</f>
        <v/>
      </c>
    </row>
    <row r="6278">
      <c r="A6278" t="inlineStr">
        <is>
          <t>2022-10-26</t>
        </is>
      </c>
      <c r="B6278" t="inlineStr">
        <is>
          <t>11:46</t>
        </is>
      </c>
      <c r="C6278" t="n">
        <v>3085</v>
      </c>
      <c r="D6278" s="6" t="n">
        <v>18.6</v>
      </c>
      <c r="E6278" t="n">
        <v>43420</v>
      </c>
      <c r="F6278" s="6" t="n">
        <v>18.6</v>
      </c>
      <c r="G6278" t="n">
        <v>1</v>
      </c>
      <c r="H6278" s="6">
        <f>ROUND(G6278*F6278,2)</f>
        <v/>
      </c>
      <c r="I6278">
        <f>IF(ROUND(H6278-D6278,2)=0,1,0)</f>
        <v/>
      </c>
      <c r="J6278">
        <f>IF(F6278="","none",IF(G6278=1,"carte","multiple"))</f>
        <v/>
      </c>
    </row>
    <row r="6279">
      <c r="A6279" t="inlineStr">
        <is>
          <t>2022-10-26</t>
        </is>
      </c>
      <c r="B6279" t="inlineStr">
        <is>
          <t>17:59</t>
        </is>
      </c>
      <c r="C6279" t="n">
        <v>3085</v>
      </c>
      <c r="D6279" s="6" t="n">
        <v>5.2</v>
      </c>
      <c r="E6279" t="n">
        <v>43422</v>
      </c>
      <c r="F6279" s="6" t="n">
        <v>5.2</v>
      </c>
      <c r="G6279" t="n">
        <v>1</v>
      </c>
      <c r="H6279" s="6">
        <f>ROUND(G6279*F6279,2)</f>
        <v/>
      </c>
      <c r="I6279">
        <f>IF(ROUND(H6279-D6279,2)=0,1,0)</f>
        <v/>
      </c>
      <c r="J6279">
        <f>IF(F6279="","none",IF(G6279=1,"carte","multiple"))</f>
        <v/>
      </c>
    </row>
    <row r="6280">
      <c r="A6280" t="inlineStr">
        <is>
          <t>2022-10-26</t>
        </is>
      </c>
      <c r="B6280" t="inlineStr">
        <is>
          <t>19:29</t>
        </is>
      </c>
      <c r="C6280" t="n">
        <v>3085</v>
      </c>
      <c r="D6280" s="6" t="n">
        <v>3.9</v>
      </c>
      <c r="E6280" t="n">
        <v>43423</v>
      </c>
      <c r="F6280" s="6" t="n">
        <v>3.9</v>
      </c>
      <c r="G6280" t="n">
        <v>1</v>
      </c>
      <c r="H6280" s="6">
        <f>ROUND(G6280*F6280,2)</f>
        <v/>
      </c>
      <c r="I6280">
        <f>IF(ROUND(H6280-D6280,2)=0,1,0)</f>
        <v/>
      </c>
      <c r="J6280">
        <f>IF(F6280="","none",IF(G6280=1,"carte","multiple"))</f>
        <v/>
      </c>
    </row>
    <row r="6281">
      <c r="A6281" t="inlineStr">
        <is>
          <t>2022-10-26</t>
        </is>
      </c>
      <c r="B6281" t="inlineStr">
        <is>
          <t>19:29</t>
        </is>
      </c>
      <c r="C6281" t="n">
        <v>3085</v>
      </c>
      <c r="D6281" s="6" t="n">
        <v>5.9</v>
      </c>
      <c r="E6281" t="n">
        <v>43424</v>
      </c>
      <c r="F6281" s="6" t="n">
        <v>5.9</v>
      </c>
      <c r="G6281" t="n">
        <v>1</v>
      </c>
      <c r="H6281" s="6">
        <f>ROUND(G6281*F6281,2)</f>
        <v/>
      </c>
      <c r="I6281">
        <f>IF(ROUND(H6281-D6281,2)=0,1,0)</f>
        <v/>
      </c>
      <c r="J6281">
        <f>IF(F6281="","none",IF(G6281=1,"carte","multiple"))</f>
        <v/>
      </c>
    </row>
    <row r="6282">
      <c r="A6282" t="inlineStr">
        <is>
          <t>2022-10-26</t>
        </is>
      </c>
      <c r="B6282" t="inlineStr">
        <is>
          <t>19:29</t>
        </is>
      </c>
      <c r="C6282" t="n">
        <v>3085</v>
      </c>
      <c r="D6282" s="6" t="n">
        <v>18.6</v>
      </c>
      <c r="E6282" t="n">
        <v>43425</v>
      </c>
      <c r="F6282" s="6" t="n">
        <v>18.6</v>
      </c>
      <c r="G6282" t="n">
        <v>1</v>
      </c>
      <c r="H6282" s="6">
        <f>ROUND(G6282*F6282,2)</f>
        <v/>
      </c>
      <c r="I6282">
        <f>IF(ROUND(H6282-D6282,2)=0,1,0)</f>
        <v/>
      </c>
      <c r="J6282">
        <f>IF(F6282="","none",IF(G6282=1,"carte","multiple"))</f>
        <v/>
      </c>
    </row>
    <row r="6283">
      <c r="A6283" t="inlineStr">
        <is>
          <t>2022-10-26</t>
        </is>
      </c>
      <c r="B6283" t="inlineStr">
        <is>
          <t>19:29</t>
        </is>
      </c>
      <c r="C6283" t="n">
        <v>3085</v>
      </c>
      <c r="D6283" s="6" t="n">
        <v>27.8</v>
      </c>
      <c r="E6283" t="n">
        <v>43426</v>
      </c>
      <c r="F6283" s="6" t="n">
        <v>27.8</v>
      </c>
      <c r="G6283" t="n">
        <v>1</v>
      </c>
      <c r="H6283" s="6">
        <f>ROUND(G6283*F6283,2)</f>
        <v/>
      </c>
      <c r="I6283">
        <f>IF(ROUND(H6283-D6283,2)=0,1,0)</f>
        <v/>
      </c>
      <c r="J6283">
        <f>IF(F6283="","none",IF(G6283=1,"carte","multiple"))</f>
        <v/>
      </c>
    </row>
    <row r="6284">
      <c r="A6284" t="inlineStr">
        <is>
          <t>2022-10-26</t>
        </is>
      </c>
      <c r="B6284" t="inlineStr">
        <is>
          <t>19:40</t>
        </is>
      </c>
      <c r="C6284" t="n">
        <v>3085</v>
      </c>
      <c r="D6284" s="6" t="n">
        <v>18.6</v>
      </c>
      <c r="E6284" t="n">
        <v>43427</v>
      </c>
      <c r="F6284" s="6" t="n">
        <v>18.6</v>
      </c>
      <c r="G6284" t="n">
        <v>1</v>
      </c>
      <c r="H6284" s="6">
        <f>ROUND(G6284*F6284,2)</f>
        <v/>
      </c>
      <c r="I6284">
        <f>IF(ROUND(H6284-D6284,2)=0,1,0)</f>
        <v/>
      </c>
      <c r="J6284">
        <f>IF(F6284="","none",IF(G6284=1,"carte","multiple"))</f>
        <v/>
      </c>
    </row>
    <row r="6285">
      <c r="A6285" t="inlineStr">
        <is>
          <t>2022-10-26</t>
        </is>
      </c>
      <c r="B6285" t="inlineStr">
        <is>
          <t>19:51</t>
        </is>
      </c>
      <c r="C6285" t="n">
        <v>3085</v>
      </c>
      <c r="D6285" s="6" t="n">
        <v>16.4</v>
      </c>
      <c r="E6285" t="n">
        <v>43428</v>
      </c>
      <c r="F6285" s="6" t="n">
        <v>16.4</v>
      </c>
      <c r="G6285" t="n">
        <v>1</v>
      </c>
      <c r="H6285" s="6">
        <f>ROUND(G6285*F6285,2)</f>
        <v/>
      </c>
      <c r="I6285">
        <f>IF(ROUND(H6285-D6285,2)=0,1,0)</f>
        <v/>
      </c>
      <c r="J6285">
        <f>IF(F6285="","none",IF(G6285=1,"carte","multiple"))</f>
        <v/>
      </c>
    </row>
    <row r="6286">
      <c r="A6286" t="inlineStr">
        <is>
          <t>2022-10-26</t>
        </is>
      </c>
      <c r="B6286" t="inlineStr">
        <is>
          <t>19:51</t>
        </is>
      </c>
      <c r="C6286" t="n">
        <v>3085</v>
      </c>
      <c r="D6286" s="6" t="n">
        <v>18.6</v>
      </c>
      <c r="E6286" t="n">
        <v>43429</v>
      </c>
      <c r="F6286" s="6" t="n">
        <v>18.6</v>
      </c>
      <c r="G6286" t="n">
        <v>1</v>
      </c>
      <c r="H6286" s="6">
        <f>ROUND(G6286*F6286,2)</f>
        <v/>
      </c>
      <c r="I6286">
        <f>IF(ROUND(H6286-D6286,2)=0,1,0)</f>
        <v/>
      </c>
      <c r="J6286">
        <f>IF(F6286="","none",IF(G6286=1,"carte","multiple"))</f>
        <v/>
      </c>
    </row>
    <row r="6287">
      <c r="A6287" t="inlineStr">
        <is>
          <t>2022-10-26</t>
        </is>
      </c>
      <c r="B6287" t="inlineStr">
        <is>
          <t>19:51</t>
        </is>
      </c>
      <c r="C6287" t="n">
        <v>3085</v>
      </c>
      <c r="D6287" s="6" t="n">
        <v>9.6</v>
      </c>
      <c r="E6287" t="n">
        <v>43430</v>
      </c>
      <c r="F6287" s="6" t="n">
        <v>9.6</v>
      </c>
      <c r="G6287" t="n">
        <v>1</v>
      </c>
      <c r="H6287" s="6">
        <f>ROUND(G6287*F6287,2)</f>
        <v/>
      </c>
      <c r="I6287">
        <f>IF(ROUND(H6287-D6287,2)=0,1,0)</f>
        <v/>
      </c>
      <c r="J6287">
        <f>IF(F6287="","none",IF(G6287=1,"carte","multiple"))</f>
        <v/>
      </c>
    </row>
    <row r="6288">
      <c r="A6288" t="inlineStr">
        <is>
          <t>2022-10-26</t>
        </is>
      </c>
      <c r="B6288" t="inlineStr">
        <is>
          <t>19:51</t>
        </is>
      </c>
      <c r="C6288" t="n">
        <v>3085</v>
      </c>
      <c r="D6288" s="6" t="n">
        <v>6.4</v>
      </c>
      <c r="E6288" t="n">
        <v>43431</v>
      </c>
      <c r="F6288" s="6" t="n">
        <v>6.4</v>
      </c>
      <c r="G6288" t="n">
        <v>1</v>
      </c>
      <c r="H6288" s="6">
        <f>ROUND(G6288*F6288,2)</f>
        <v/>
      </c>
      <c r="I6288">
        <f>IF(ROUND(H6288-D6288,2)=0,1,0)</f>
        <v/>
      </c>
      <c r="J6288">
        <f>IF(F6288="","none",IF(G6288=1,"carte","multiple"))</f>
        <v/>
      </c>
    </row>
    <row r="6289">
      <c r="A6289" t="inlineStr">
        <is>
          <t>2022-10-26</t>
        </is>
      </c>
      <c r="B6289" t="inlineStr">
        <is>
          <t>19:51</t>
        </is>
      </c>
      <c r="C6289" t="n">
        <v>3085</v>
      </c>
      <c r="D6289" s="6" t="n">
        <v>5.9</v>
      </c>
      <c r="E6289" t="n">
        <v>43432</v>
      </c>
      <c r="F6289" s="6" t="n">
        <v>5.9</v>
      </c>
      <c r="G6289" t="n">
        <v>1</v>
      </c>
      <c r="H6289" s="6">
        <f>ROUND(G6289*F6289,2)</f>
        <v/>
      </c>
      <c r="I6289">
        <f>IF(ROUND(H6289-D6289,2)=0,1,0)</f>
        <v/>
      </c>
      <c r="J6289">
        <f>IF(F6289="","none",IF(G6289=1,"carte","multiple"))</f>
        <v/>
      </c>
    </row>
    <row r="6290">
      <c r="A6290" t="inlineStr">
        <is>
          <t>2022-10-26</t>
        </is>
      </c>
      <c r="B6290" t="inlineStr">
        <is>
          <t>19:58</t>
        </is>
      </c>
      <c r="C6290" t="n">
        <v>3085</v>
      </c>
      <c r="D6290" s="6" t="n">
        <v>7</v>
      </c>
      <c r="E6290" t="n">
        <v>43433</v>
      </c>
      <c r="F6290" s="6" t="n">
        <v>7</v>
      </c>
      <c r="G6290" t="n">
        <v>1</v>
      </c>
      <c r="H6290" s="6">
        <f>ROUND(G6290*F6290,2)</f>
        <v/>
      </c>
      <c r="I6290">
        <f>IF(ROUND(H6290-D6290,2)=0,1,0)</f>
        <v/>
      </c>
      <c r="J6290">
        <f>IF(F6290="","none",IF(G6290=1,"carte","multiple"))</f>
        <v/>
      </c>
    </row>
    <row r="6291">
      <c r="A6291" t="inlineStr">
        <is>
          <t>2022-10-26</t>
        </is>
      </c>
      <c r="B6291" t="inlineStr">
        <is>
          <t>19:58</t>
        </is>
      </c>
      <c r="C6291" t="n">
        <v>3085</v>
      </c>
      <c r="D6291" s="6" t="n">
        <v>6.9</v>
      </c>
      <c r="E6291" t="n">
        <v>43434</v>
      </c>
      <c r="F6291" s="6" t="n">
        <v>6.9</v>
      </c>
      <c r="G6291" t="n">
        <v>1</v>
      </c>
      <c r="H6291" s="6">
        <f>ROUND(G6291*F6291,2)</f>
        <v/>
      </c>
      <c r="I6291">
        <f>IF(ROUND(H6291-D6291,2)=0,1,0)</f>
        <v/>
      </c>
      <c r="J6291">
        <f>IF(F6291="","none",IF(G6291=1,"carte","multiple"))</f>
        <v/>
      </c>
    </row>
    <row r="6292">
      <c r="A6292" t="inlineStr">
        <is>
          <t>2022-10-26</t>
        </is>
      </c>
      <c r="B6292" t="inlineStr">
        <is>
          <t>19:58</t>
        </is>
      </c>
      <c r="C6292" t="n">
        <v>3085</v>
      </c>
      <c r="D6292" s="6" t="n">
        <v>16.9</v>
      </c>
      <c r="E6292" t="n">
        <v>43435</v>
      </c>
      <c r="F6292" s="6" t="n">
        <v>16.9</v>
      </c>
      <c r="G6292" t="n">
        <v>1</v>
      </c>
      <c r="H6292" s="6">
        <f>ROUND(G6292*F6292,2)</f>
        <v/>
      </c>
      <c r="I6292">
        <f>IF(ROUND(H6292-D6292,2)=0,1,0)</f>
        <v/>
      </c>
      <c r="J6292">
        <f>IF(F6292="","none",IF(G6292=1,"carte","multiple"))</f>
        <v/>
      </c>
    </row>
    <row r="6293">
      <c r="A6293" t="inlineStr">
        <is>
          <t>2022-10-26</t>
        </is>
      </c>
      <c r="B6293" t="inlineStr">
        <is>
          <t>19:58</t>
        </is>
      </c>
      <c r="C6293" t="n">
        <v>3085</v>
      </c>
      <c r="D6293" s="6" t="n">
        <v>13.4</v>
      </c>
      <c r="E6293" t="n">
        <v>43436</v>
      </c>
      <c r="F6293" s="6" t="n">
        <v>13.4</v>
      </c>
      <c r="G6293" t="n">
        <v>1</v>
      </c>
      <c r="H6293" s="6">
        <f>ROUND(G6293*F6293,2)</f>
        <v/>
      </c>
      <c r="I6293">
        <f>IF(ROUND(H6293-D6293,2)=0,1,0)</f>
        <v/>
      </c>
      <c r="J6293">
        <f>IF(F6293="","none",IF(G6293=1,"carte","multiple"))</f>
        <v/>
      </c>
    </row>
    <row r="6294">
      <c r="A6294" t="inlineStr">
        <is>
          <t>2022-10-27</t>
        </is>
      </c>
      <c r="B6294" t="inlineStr">
        <is>
          <t>11:17</t>
        </is>
      </c>
      <c r="C6294" t="n">
        <v>3086</v>
      </c>
      <c r="D6294" s="6" t="n">
        <v>7.8</v>
      </c>
      <c r="E6294" t="n">
        <v>43440</v>
      </c>
      <c r="F6294" s="6" t="n">
        <v>7.8</v>
      </c>
      <c r="G6294" t="n">
        <v>1</v>
      </c>
      <c r="H6294" s="6">
        <f>ROUND(G6294*F6294,2)</f>
        <v/>
      </c>
      <c r="I6294">
        <f>IF(ROUND(H6294-D6294,2)=0,1,0)</f>
        <v/>
      </c>
      <c r="J6294">
        <f>IF(F6294="","none",IF(G6294=1,"carte","multiple"))</f>
        <v/>
      </c>
    </row>
    <row r="6295">
      <c r="A6295" t="inlineStr">
        <is>
          <t>2022-10-27</t>
        </is>
      </c>
      <c r="B6295" t="inlineStr">
        <is>
          <t>11:17</t>
        </is>
      </c>
      <c r="C6295" t="n">
        <v>3086</v>
      </c>
      <c r="D6295" s="6" t="n">
        <v>1</v>
      </c>
      <c r="E6295" t="n">
        <v>43441</v>
      </c>
      <c r="F6295" s="6" t="n">
        <v>0.5</v>
      </c>
      <c r="G6295" t="n">
        <v>2</v>
      </c>
      <c r="H6295" s="6">
        <f>ROUND(G6295*F6295,2)</f>
        <v/>
      </c>
      <c r="I6295">
        <f>IF(ROUND(H6295-D6295,2)=0,1,0)</f>
        <v/>
      </c>
      <c r="J6295">
        <f>IF(F6295="","none",IF(G6295=1,"carte","multiple"))</f>
        <v/>
      </c>
    </row>
    <row r="6296">
      <c r="A6296" t="inlineStr">
        <is>
          <t>2022-10-27</t>
        </is>
      </c>
      <c r="B6296" t="inlineStr">
        <is>
          <t>11:17</t>
        </is>
      </c>
      <c r="C6296" t="n">
        <v>3086</v>
      </c>
      <c r="D6296" s="6" t="n">
        <v>2.35</v>
      </c>
      <c r="E6296" t="n">
        <v>43442</v>
      </c>
      <c r="H6296" t="inlineStr"/>
      <c r="I6296" t="inlineStr"/>
      <c r="J6296">
        <f>IF(F6296="","none",IF(G6296=1,"carte","multiple"))</f>
        <v/>
      </c>
    </row>
    <row r="6297">
      <c r="A6297" t="inlineStr">
        <is>
          <t>2022-10-27</t>
        </is>
      </c>
      <c r="B6297" t="inlineStr">
        <is>
          <t>11:17</t>
        </is>
      </c>
      <c r="C6297" t="n">
        <v>3086</v>
      </c>
      <c r="D6297" s="6" t="n">
        <v>1.45</v>
      </c>
      <c r="E6297" t="n">
        <v>43443</v>
      </c>
      <c r="H6297" t="inlineStr"/>
      <c r="I6297" t="inlineStr"/>
      <c r="J6297">
        <f>IF(F6297="","none",IF(G6297=1,"carte","multiple"))</f>
        <v/>
      </c>
    </row>
    <row r="6298">
      <c r="A6298" t="inlineStr">
        <is>
          <t>2022-10-27</t>
        </is>
      </c>
      <c r="B6298" t="inlineStr">
        <is>
          <t>11:17</t>
        </is>
      </c>
      <c r="C6298" t="n">
        <v>3086</v>
      </c>
      <c r="D6298" s="6" t="n">
        <v>9.300000000000001</v>
      </c>
      <c r="E6298" t="n">
        <v>43444</v>
      </c>
      <c r="H6298" t="inlineStr"/>
      <c r="I6298" t="inlineStr"/>
      <c r="J6298">
        <f>IF(F6298="","none",IF(G6298=1,"carte","multiple"))</f>
        <v/>
      </c>
    </row>
    <row r="6299">
      <c r="A6299" t="inlineStr">
        <is>
          <t>2022-10-27</t>
        </is>
      </c>
      <c r="B6299" t="inlineStr">
        <is>
          <t>11:17</t>
        </is>
      </c>
      <c r="C6299" t="n">
        <v>3086</v>
      </c>
      <c r="D6299" s="6" t="n">
        <v>19.9</v>
      </c>
      <c r="E6299" t="n">
        <v>43445</v>
      </c>
      <c r="F6299" s="6" t="n">
        <v>19.9</v>
      </c>
      <c r="G6299" t="n">
        <v>1</v>
      </c>
      <c r="H6299" s="6">
        <f>ROUND(G6299*F6299,2)</f>
        <v/>
      </c>
      <c r="I6299">
        <f>IF(ROUND(H6299-D6299,2)=0,1,0)</f>
        <v/>
      </c>
      <c r="J6299">
        <f>IF(F6299="","none",IF(G6299=1,"carte","multiple"))</f>
        <v/>
      </c>
    </row>
    <row r="6300">
      <c r="A6300" t="inlineStr">
        <is>
          <t>2022-10-27</t>
        </is>
      </c>
      <c r="B6300" t="inlineStr">
        <is>
          <t>11:17</t>
        </is>
      </c>
      <c r="C6300" t="n">
        <v>3086</v>
      </c>
      <c r="D6300" s="6" t="n">
        <v>19.75</v>
      </c>
      <c r="E6300" t="n">
        <v>43446</v>
      </c>
      <c r="H6300" t="inlineStr"/>
      <c r="I6300" t="inlineStr"/>
      <c r="J6300">
        <f>IF(F6300="","none",IF(G6300=1,"carte","multiple"))</f>
        <v/>
      </c>
    </row>
    <row r="6301">
      <c r="A6301" t="inlineStr">
        <is>
          <t>2022-10-27</t>
        </is>
      </c>
      <c r="B6301" t="inlineStr">
        <is>
          <t>11:47</t>
        </is>
      </c>
      <c r="C6301" t="n">
        <v>3086</v>
      </c>
      <c r="D6301" s="6" t="n">
        <v>9.4</v>
      </c>
      <c r="E6301" t="n">
        <v>43447</v>
      </c>
      <c r="F6301" s="6" t="n">
        <v>9.4</v>
      </c>
      <c r="G6301" t="n">
        <v>1</v>
      </c>
      <c r="H6301" s="6">
        <f>ROUND(G6301*F6301,2)</f>
        <v/>
      </c>
      <c r="I6301">
        <f>IF(ROUND(H6301-D6301,2)=0,1,0)</f>
        <v/>
      </c>
      <c r="J6301">
        <f>IF(F6301="","none",IF(G6301=1,"carte","multiple"))</f>
        <v/>
      </c>
    </row>
    <row r="6302">
      <c r="A6302" t="inlineStr">
        <is>
          <t>2022-10-27</t>
        </is>
      </c>
      <c r="B6302" t="inlineStr">
        <is>
          <t>11:47</t>
        </is>
      </c>
      <c r="C6302" t="n">
        <v>3086</v>
      </c>
      <c r="D6302" s="6" t="n">
        <v>16.8</v>
      </c>
      <c r="E6302" t="n">
        <v>43448</v>
      </c>
      <c r="F6302" s="6" t="n">
        <v>16.8</v>
      </c>
      <c r="G6302" t="n">
        <v>1</v>
      </c>
      <c r="H6302" s="6">
        <f>ROUND(G6302*F6302,2)</f>
        <v/>
      </c>
      <c r="I6302">
        <f>IF(ROUND(H6302-D6302,2)=0,1,0)</f>
        <v/>
      </c>
      <c r="J6302">
        <f>IF(F6302="","none",IF(G6302=1,"carte","multiple"))</f>
        <v/>
      </c>
    </row>
    <row r="6303">
      <c r="A6303" t="inlineStr">
        <is>
          <t>2022-10-27</t>
        </is>
      </c>
      <c r="B6303" t="inlineStr">
        <is>
          <t>11:47</t>
        </is>
      </c>
      <c r="C6303" t="n">
        <v>3086</v>
      </c>
      <c r="D6303" s="6" t="n">
        <v>20.9</v>
      </c>
      <c r="E6303" t="n">
        <v>43449</v>
      </c>
      <c r="F6303" s="6" t="n">
        <v>20.9</v>
      </c>
      <c r="G6303" t="n">
        <v>1</v>
      </c>
      <c r="H6303" s="6">
        <f>ROUND(G6303*F6303,2)</f>
        <v/>
      </c>
      <c r="I6303">
        <f>IF(ROUND(H6303-D6303,2)=0,1,0)</f>
        <v/>
      </c>
      <c r="J6303">
        <f>IF(F6303="","none",IF(G6303=1,"carte","multiple"))</f>
        <v/>
      </c>
    </row>
    <row r="6304">
      <c r="A6304" t="inlineStr">
        <is>
          <t>2022-10-27</t>
        </is>
      </c>
      <c r="B6304" t="inlineStr">
        <is>
          <t>11:47</t>
        </is>
      </c>
      <c r="C6304" t="n">
        <v>3086</v>
      </c>
      <c r="D6304" s="6" t="n">
        <v>4.2</v>
      </c>
      <c r="E6304" t="n">
        <v>43450</v>
      </c>
      <c r="F6304" s="6" t="n">
        <v>4.2</v>
      </c>
      <c r="G6304" t="n">
        <v>1</v>
      </c>
      <c r="H6304" s="6">
        <f>ROUND(G6304*F6304,2)</f>
        <v/>
      </c>
      <c r="I6304">
        <f>IF(ROUND(H6304-D6304,2)=0,1,0)</f>
        <v/>
      </c>
      <c r="J6304">
        <f>IF(F6304="","none",IF(G6304=1,"carte","multiple"))</f>
        <v/>
      </c>
    </row>
    <row r="6305">
      <c r="A6305" t="inlineStr">
        <is>
          <t>2022-10-27</t>
        </is>
      </c>
      <c r="B6305" t="inlineStr">
        <is>
          <t>11:47</t>
        </is>
      </c>
      <c r="C6305" t="n">
        <v>3086</v>
      </c>
      <c r="D6305" s="6" t="n">
        <v>4.2</v>
      </c>
      <c r="E6305" t="n">
        <v>43451</v>
      </c>
      <c r="F6305" s="6" t="n">
        <v>4.2</v>
      </c>
      <c r="G6305" t="n">
        <v>1</v>
      </c>
      <c r="H6305" s="6">
        <f>ROUND(G6305*F6305,2)</f>
        <v/>
      </c>
      <c r="I6305">
        <f>IF(ROUND(H6305-D6305,2)=0,1,0)</f>
        <v/>
      </c>
      <c r="J6305">
        <f>IF(F6305="","none",IF(G6305=1,"carte","multiple"))</f>
        <v/>
      </c>
    </row>
    <row r="6306">
      <c r="A6306" t="inlineStr">
        <is>
          <t>2022-10-27</t>
        </is>
      </c>
      <c r="B6306" t="inlineStr">
        <is>
          <t>12:16</t>
        </is>
      </c>
      <c r="C6306" t="n">
        <v>3086</v>
      </c>
      <c r="D6306" s="6" t="n">
        <v>34</v>
      </c>
      <c r="E6306" t="n">
        <v>43452</v>
      </c>
      <c r="F6306" s="6" t="n">
        <v>34</v>
      </c>
      <c r="G6306" t="n">
        <v>1</v>
      </c>
      <c r="H6306" s="6">
        <f>ROUND(G6306*F6306,2)</f>
        <v/>
      </c>
      <c r="I6306">
        <f>IF(ROUND(H6306-D6306,2)=0,1,0)</f>
        <v/>
      </c>
      <c r="J6306">
        <f>IF(F6306="","none",IF(G6306=1,"carte","multiple"))</f>
        <v/>
      </c>
    </row>
    <row r="6307">
      <c r="A6307" t="inlineStr">
        <is>
          <t>2022-10-27</t>
        </is>
      </c>
      <c r="B6307" t="inlineStr">
        <is>
          <t>12:16</t>
        </is>
      </c>
      <c r="C6307" t="n">
        <v>3086</v>
      </c>
      <c r="D6307" s="6" t="n">
        <v>19.8</v>
      </c>
      <c r="E6307" t="n">
        <v>43453</v>
      </c>
      <c r="F6307" s="6" t="n">
        <v>19.8</v>
      </c>
      <c r="G6307" t="n">
        <v>1</v>
      </c>
      <c r="H6307" s="6">
        <f>ROUND(G6307*F6307,2)</f>
        <v/>
      </c>
      <c r="I6307">
        <f>IF(ROUND(H6307-D6307,2)=0,1,0)</f>
        <v/>
      </c>
      <c r="J6307">
        <f>IF(F6307="","none",IF(G6307=1,"carte","multiple"))</f>
        <v/>
      </c>
    </row>
    <row r="6308">
      <c r="A6308" t="inlineStr">
        <is>
          <t>2022-10-27</t>
        </is>
      </c>
      <c r="B6308" t="inlineStr">
        <is>
          <t>12:16</t>
        </is>
      </c>
      <c r="C6308" t="n">
        <v>3086</v>
      </c>
      <c r="D6308" s="6" t="n">
        <v>3.9</v>
      </c>
      <c r="E6308" t="n">
        <v>43454</v>
      </c>
      <c r="F6308" s="6" t="n">
        <v>3.9</v>
      </c>
      <c r="G6308" t="n">
        <v>1</v>
      </c>
      <c r="H6308" s="6">
        <f>ROUND(G6308*F6308,2)</f>
        <v/>
      </c>
      <c r="I6308">
        <f>IF(ROUND(H6308-D6308,2)=0,1,0)</f>
        <v/>
      </c>
      <c r="J6308">
        <f>IF(F6308="","none",IF(G6308=1,"carte","multiple"))</f>
        <v/>
      </c>
    </row>
    <row r="6309">
      <c r="A6309" t="inlineStr">
        <is>
          <t>2022-10-27</t>
        </is>
      </c>
      <c r="B6309" t="inlineStr">
        <is>
          <t>12:16</t>
        </is>
      </c>
      <c r="C6309" t="n">
        <v>3086</v>
      </c>
      <c r="D6309" s="6" t="n">
        <v>7.9</v>
      </c>
      <c r="E6309" t="n">
        <v>43455</v>
      </c>
      <c r="F6309" s="6" t="n">
        <v>7.9</v>
      </c>
      <c r="G6309" t="n">
        <v>1</v>
      </c>
      <c r="H6309" s="6">
        <f>ROUND(G6309*F6309,2)</f>
        <v/>
      </c>
      <c r="I6309">
        <f>IF(ROUND(H6309-D6309,2)=0,1,0)</f>
        <v/>
      </c>
      <c r="J6309">
        <f>IF(F6309="","none",IF(G6309=1,"carte","multiple"))</f>
        <v/>
      </c>
    </row>
    <row r="6310">
      <c r="A6310" t="inlineStr">
        <is>
          <t>2022-10-27</t>
        </is>
      </c>
      <c r="B6310" t="inlineStr">
        <is>
          <t>12:43</t>
        </is>
      </c>
      <c r="C6310" t="n">
        <v>3086</v>
      </c>
      <c r="D6310" s="6" t="n">
        <v>2.2</v>
      </c>
      <c r="E6310" t="n">
        <v>43456</v>
      </c>
      <c r="F6310" s="6" t="n">
        <v>2.2</v>
      </c>
      <c r="G6310" t="n">
        <v>1</v>
      </c>
      <c r="H6310" s="6">
        <f>ROUND(G6310*F6310,2)</f>
        <v/>
      </c>
      <c r="I6310">
        <f>IF(ROUND(H6310-D6310,2)=0,1,0)</f>
        <v/>
      </c>
      <c r="J6310">
        <f>IF(F6310="","none",IF(G6310=1,"carte","multiple"))</f>
        <v/>
      </c>
    </row>
    <row r="6311">
      <c r="A6311" t="inlineStr">
        <is>
          <t>2022-10-27</t>
        </is>
      </c>
      <c r="B6311" t="inlineStr">
        <is>
          <t>12:43</t>
        </is>
      </c>
      <c r="C6311" t="n">
        <v>3086</v>
      </c>
      <c r="D6311" s="6" t="n">
        <v>15.6</v>
      </c>
      <c r="E6311" t="n">
        <v>43457</v>
      </c>
      <c r="F6311" s="6" t="n">
        <v>15.6</v>
      </c>
      <c r="G6311" t="n">
        <v>1</v>
      </c>
      <c r="H6311" s="6">
        <f>ROUND(G6311*F6311,2)</f>
        <v/>
      </c>
      <c r="I6311">
        <f>IF(ROUND(H6311-D6311,2)=0,1,0)</f>
        <v/>
      </c>
      <c r="J6311">
        <f>IF(F6311="","none",IF(G6311=1,"carte","multiple"))</f>
        <v/>
      </c>
    </row>
    <row r="6312">
      <c r="A6312" t="inlineStr">
        <is>
          <t>2022-10-27</t>
        </is>
      </c>
      <c r="B6312" t="inlineStr">
        <is>
          <t>12:43</t>
        </is>
      </c>
      <c r="C6312" t="n">
        <v>3086</v>
      </c>
      <c r="D6312" s="6" t="n">
        <v>3.9</v>
      </c>
      <c r="E6312" t="n">
        <v>43458</v>
      </c>
      <c r="F6312" s="6" t="n">
        <v>3.9</v>
      </c>
      <c r="G6312" t="n">
        <v>1</v>
      </c>
      <c r="H6312" s="6">
        <f>ROUND(G6312*F6312,2)</f>
        <v/>
      </c>
      <c r="I6312">
        <f>IF(ROUND(H6312-D6312,2)=0,1,0)</f>
        <v/>
      </c>
      <c r="J6312">
        <f>IF(F6312="","none",IF(G6312=1,"carte","multiple"))</f>
        <v/>
      </c>
    </row>
    <row r="6313">
      <c r="A6313" t="inlineStr">
        <is>
          <t>2022-10-27</t>
        </is>
      </c>
      <c r="B6313" t="inlineStr">
        <is>
          <t>12:43</t>
        </is>
      </c>
      <c r="C6313" t="n">
        <v>3086</v>
      </c>
      <c r="D6313" s="6" t="n">
        <v>0.9</v>
      </c>
      <c r="E6313" t="n">
        <v>43459</v>
      </c>
      <c r="F6313" s="6" t="n">
        <v>0.9</v>
      </c>
      <c r="G6313" t="n">
        <v>1</v>
      </c>
      <c r="H6313" s="6">
        <f>ROUND(G6313*F6313,2)</f>
        <v/>
      </c>
      <c r="I6313">
        <f>IF(ROUND(H6313-D6313,2)=0,1,0)</f>
        <v/>
      </c>
      <c r="J6313">
        <f>IF(F6313="","none",IF(G6313=1,"carte","multiple"))</f>
        <v/>
      </c>
    </row>
    <row r="6314">
      <c r="A6314" t="inlineStr">
        <is>
          <t>2022-10-27</t>
        </is>
      </c>
      <c r="B6314" t="inlineStr">
        <is>
          <t>12:43</t>
        </is>
      </c>
      <c r="C6314" t="n">
        <v>3086</v>
      </c>
      <c r="D6314" s="6" t="n">
        <v>7.6</v>
      </c>
      <c r="E6314" t="n">
        <v>43460</v>
      </c>
      <c r="F6314" s="6" t="n">
        <v>7.6</v>
      </c>
      <c r="G6314" t="n">
        <v>1</v>
      </c>
      <c r="H6314" s="6">
        <f>ROUND(G6314*F6314,2)</f>
        <v/>
      </c>
      <c r="I6314">
        <f>IF(ROUND(H6314-D6314,2)=0,1,0)</f>
        <v/>
      </c>
      <c r="J6314">
        <f>IF(F6314="","none",IF(G6314=1,"carte","multiple"))</f>
        <v/>
      </c>
    </row>
    <row r="6315">
      <c r="A6315" t="inlineStr">
        <is>
          <t>2022-10-27</t>
        </is>
      </c>
      <c r="B6315" t="inlineStr">
        <is>
          <t>12:43</t>
        </is>
      </c>
      <c r="C6315" t="n">
        <v>3086</v>
      </c>
      <c r="D6315" s="6" t="n">
        <v>7.8</v>
      </c>
      <c r="E6315" t="n">
        <v>43461</v>
      </c>
      <c r="F6315" s="6" t="n">
        <v>7.8</v>
      </c>
      <c r="G6315" t="n">
        <v>1</v>
      </c>
      <c r="H6315" s="6">
        <f>ROUND(G6315*F6315,2)</f>
        <v/>
      </c>
      <c r="I6315">
        <f>IF(ROUND(H6315-D6315,2)=0,1,0)</f>
        <v/>
      </c>
      <c r="J6315">
        <f>IF(F6315="","none",IF(G6315=1,"carte","multiple"))</f>
        <v/>
      </c>
    </row>
    <row r="6316">
      <c r="A6316" t="inlineStr">
        <is>
          <t>2022-10-27</t>
        </is>
      </c>
      <c r="B6316" t="inlineStr">
        <is>
          <t>12:43</t>
        </is>
      </c>
      <c r="C6316" t="n">
        <v>3086</v>
      </c>
      <c r="D6316" s="6" t="n">
        <v>1.4</v>
      </c>
      <c r="E6316" t="n">
        <v>43462</v>
      </c>
      <c r="F6316" s="6" t="n">
        <v>1.4</v>
      </c>
      <c r="G6316" t="n">
        <v>1</v>
      </c>
      <c r="H6316" s="6">
        <f>ROUND(G6316*F6316,2)</f>
        <v/>
      </c>
      <c r="I6316">
        <f>IF(ROUND(H6316-D6316,2)=0,1,0)</f>
        <v/>
      </c>
      <c r="J6316">
        <f>IF(F6316="","none",IF(G6316=1,"carte","multiple"))</f>
        <v/>
      </c>
    </row>
    <row r="6317">
      <c r="A6317" t="inlineStr">
        <is>
          <t>2022-10-27</t>
        </is>
      </c>
      <c r="B6317" t="inlineStr">
        <is>
          <t>12:43</t>
        </is>
      </c>
      <c r="C6317" t="n">
        <v>3086</v>
      </c>
      <c r="D6317" s="6" t="n">
        <v>4</v>
      </c>
      <c r="E6317" t="n">
        <v>43463</v>
      </c>
      <c r="F6317" s="6" t="n">
        <v>4</v>
      </c>
      <c r="G6317" t="n">
        <v>1</v>
      </c>
      <c r="H6317" s="6">
        <f>ROUND(G6317*F6317,2)</f>
        <v/>
      </c>
      <c r="I6317">
        <f>IF(ROUND(H6317-D6317,2)=0,1,0)</f>
        <v/>
      </c>
      <c r="J6317">
        <f>IF(F6317="","none",IF(G6317=1,"carte","multiple"))</f>
        <v/>
      </c>
    </row>
    <row r="6318">
      <c r="A6318" t="inlineStr">
        <is>
          <t>2022-10-27</t>
        </is>
      </c>
      <c r="B6318" t="inlineStr">
        <is>
          <t>12:43</t>
        </is>
      </c>
      <c r="C6318" t="n">
        <v>3086</v>
      </c>
      <c r="D6318" s="6" t="n">
        <v>37.2</v>
      </c>
      <c r="E6318" t="n">
        <v>43464</v>
      </c>
      <c r="F6318" s="6" t="n">
        <v>0.4</v>
      </c>
      <c r="G6318" t="n">
        <v>93</v>
      </c>
      <c r="H6318" s="6">
        <f>ROUND(G6318*F6318,2)</f>
        <v/>
      </c>
      <c r="I6318">
        <f>IF(ROUND(H6318-D6318,2)=0,1,0)</f>
        <v/>
      </c>
      <c r="J6318">
        <f>IF(F6318="","none",IF(G6318=1,"carte","multiple"))</f>
        <v/>
      </c>
    </row>
    <row r="6319">
      <c r="A6319" t="inlineStr">
        <is>
          <t>2022-10-27</t>
        </is>
      </c>
      <c r="B6319" t="inlineStr">
        <is>
          <t>12:43</t>
        </is>
      </c>
      <c r="C6319" t="n">
        <v>3086</v>
      </c>
      <c r="D6319" s="6" t="n">
        <v>11.6</v>
      </c>
      <c r="E6319" t="n">
        <v>43465</v>
      </c>
      <c r="F6319" s="6" t="n">
        <v>11.6</v>
      </c>
      <c r="G6319" t="n">
        <v>1</v>
      </c>
      <c r="H6319" s="6">
        <f>ROUND(G6319*F6319,2)</f>
        <v/>
      </c>
      <c r="I6319">
        <f>IF(ROUND(H6319-D6319,2)=0,1,0)</f>
        <v/>
      </c>
      <c r="J6319">
        <f>IF(F6319="","none",IF(G6319=1,"carte","multiple"))</f>
        <v/>
      </c>
    </row>
    <row r="6320">
      <c r="A6320" t="inlineStr">
        <is>
          <t>2022-10-27</t>
        </is>
      </c>
      <c r="B6320" t="inlineStr">
        <is>
          <t>12:43</t>
        </is>
      </c>
      <c r="C6320" t="n">
        <v>3086</v>
      </c>
      <c r="D6320" s="6" t="n">
        <v>3.9</v>
      </c>
      <c r="E6320" t="n">
        <v>43466</v>
      </c>
      <c r="F6320" s="6" t="n">
        <v>3.9</v>
      </c>
      <c r="G6320" t="n">
        <v>1</v>
      </c>
      <c r="H6320" s="6">
        <f>ROUND(G6320*F6320,2)</f>
        <v/>
      </c>
      <c r="I6320">
        <f>IF(ROUND(H6320-D6320,2)=0,1,0)</f>
        <v/>
      </c>
      <c r="J6320">
        <f>IF(F6320="","none",IF(G6320=1,"carte","multiple"))</f>
        <v/>
      </c>
    </row>
    <row r="6321">
      <c r="A6321" t="inlineStr">
        <is>
          <t>2022-10-27</t>
        </is>
      </c>
      <c r="B6321" t="inlineStr">
        <is>
          <t>12:43</t>
        </is>
      </c>
      <c r="C6321" t="n">
        <v>3086</v>
      </c>
      <c r="D6321" s="6" t="n">
        <v>14</v>
      </c>
      <c r="E6321" t="n">
        <v>43467</v>
      </c>
      <c r="F6321" s="6" t="n">
        <v>14</v>
      </c>
      <c r="G6321" t="n">
        <v>1</v>
      </c>
      <c r="H6321" s="6">
        <f>ROUND(G6321*F6321,2)</f>
        <v/>
      </c>
      <c r="I6321">
        <f>IF(ROUND(H6321-D6321,2)=0,1,0)</f>
        <v/>
      </c>
      <c r="J6321">
        <f>IF(F6321="","none",IF(G6321=1,"carte","multiple"))</f>
        <v/>
      </c>
    </row>
    <row r="6322">
      <c r="A6322" t="inlineStr">
        <is>
          <t>2022-10-27</t>
        </is>
      </c>
      <c r="B6322" t="inlineStr">
        <is>
          <t>12:56</t>
        </is>
      </c>
      <c r="C6322" t="n">
        <v>3086</v>
      </c>
      <c r="D6322" s="6" t="n">
        <v>18.6</v>
      </c>
      <c r="E6322" t="n">
        <v>43468</v>
      </c>
      <c r="F6322" s="6" t="n">
        <v>18.6</v>
      </c>
      <c r="G6322" t="n">
        <v>1</v>
      </c>
      <c r="H6322" s="6">
        <f>ROUND(G6322*F6322,2)</f>
        <v/>
      </c>
      <c r="I6322">
        <f>IF(ROUND(H6322-D6322,2)=0,1,0)</f>
        <v/>
      </c>
      <c r="J6322">
        <f>IF(F6322="","none",IF(G6322=1,"carte","multiple"))</f>
        <v/>
      </c>
    </row>
    <row r="6323">
      <c r="A6323" t="inlineStr">
        <is>
          <t>2022-10-27</t>
        </is>
      </c>
      <c r="B6323" t="inlineStr">
        <is>
          <t>17:59</t>
        </is>
      </c>
      <c r="C6323" t="n">
        <v>3086</v>
      </c>
      <c r="D6323" s="6" t="n">
        <v>18.6</v>
      </c>
      <c r="E6323" t="n">
        <v>43471</v>
      </c>
      <c r="F6323" s="6" t="n">
        <v>18.6</v>
      </c>
      <c r="G6323" t="n">
        <v>1</v>
      </c>
      <c r="H6323" s="6">
        <f>ROUND(G6323*F6323,2)</f>
        <v/>
      </c>
      <c r="I6323">
        <f>IF(ROUND(H6323-D6323,2)=0,1,0)</f>
        <v/>
      </c>
      <c r="J6323">
        <f>IF(F6323="","none",IF(G6323=1,"carte","multiple"))</f>
        <v/>
      </c>
    </row>
    <row r="6324">
      <c r="A6324" t="inlineStr">
        <is>
          <t>2022-10-27</t>
        </is>
      </c>
      <c r="B6324" t="inlineStr">
        <is>
          <t>18:51</t>
        </is>
      </c>
      <c r="C6324" t="n">
        <v>3086</v>
      </c>
      <c r="D6324" s="6" t="n">
        <v>1.8</v>
      </c>
      <c r="E6324" t="n">
        <v>43472</v>
      </c>
      <c r="F6324" s="6" t="n">
        <v>1.8</v>
      </c>
      <c r="G6324" t="n">
        <v>1</v>
      </c>
      <c r="H6324" s="6">
        <f>ROUND(G6324*F6324,2)</f>
        <v/>
      </c>
      <c r="I6324">
        <f>IF(ROUND(H6324-D6324,2)=0,1,0)</f>
        <v/>
      </c>
      <c r="J6324">
        <f>IF(F6324="","none",IF(G6324=1,"carte","multiple"))</f>
        <v/>
      </c>
    </row>
    <row r="6325">
      <c r="A6325" t="inlineStr">
        <is>
          <t>2022-10-27</t>
        </is>
      </c>
      <c r="B6325" t="inlineStr">
        <is>
          <t>18:51</t>
        </is>
      </c>
      <c r="C6325" t="n">
        <v>3086</v>
      </c>
      <c r="D6325" s="6" t="n">
        <v>3.9</v>
      </c>
      <c r="E6325" t="n">
        <v>43473</v>
      </c>
      <c r="F6325" s="6" t="n">
        <v>3.9</v>
      </c>
      <c r="G6325" t="n">
        <v>1</v>
      </c>
      <c r="H6325" s="6">
        <f>ROUND(G6325*F6325,2)</f>
        <v/>
      </c>
      <c r="I6325">
        <f>IF(ROUND(H6325-D6325,2)=0,1,0)</f>
        <v/>
      </c>
      <c r="J6325">
        <f>IF(F6325="","none",IF(G6325=1,"carte","multiple"))</f>
        <v/>
      </c>
    </row>
    <row r="6326">
      <c r="A6326" t="inlineStr">
        <is>
          <t>2022-10-27</t>
        </is>
      </c>
      <c r="B6326" t="inlineStr">
        <is>
          <t>18:51</t>
        </is>
      </c>
      <c r="C6326" t="n">
        <v>3086</v>
      </c>
      <c r="D6326" s="6" t="n">
        <v>19.9</v>
      </c>
      <c r="E6326" t="n">
        <v>43474</v>
      </c>
      <c r="F6326" s="6" t="n">
        <v>19.9</v>
      </c>
      <c r="G6326" t="n">
        <v>1</v>
      </c>
      <c r="H6326" s="6">
        <f>ROUND(G6326*F6326,2)</f>
        <v/>
      </c>
      <c r="I6326">
        <f>IF(ROUND(H6326-D6326,2)=0,1,0)</f>
        <v/>
      </c>
      <c r="J6326">
        <f>IF(F6326="","none",IF(G6326=1,"carte","multiple"))</f>
        <v/>
      </c>
    </row>
    <row r="6327">
      <c r="A6327" t="inlineStr">
        <is>
          <t>2022-10-27</t>
        </is>
      </c>
      <c r="B6327" t="inlineStr">
        <is>
          <t>18:51</t>
        </is>
      </c>
      <c r="C6327" t="n">
        <v>3086</v>
      </c>
      <c r="D6327" s="6" t="n">
        <v>34</v>
      </c>
      <c r="E6327" t="n">
        <v>43475</v>
      </c>
      <c r="F6327" s="6" t="n">
        <v>34</v>
      </c>
      <c r="G6327" t="n">
        <v>1</v>
      </c>
      <c r="H6327" s="6">
        <f>ROUND(G6327*F6327,2)</f>
        <v/>
      </c>
      <c r="I6327">
        <f>IF(ROUND(H6327-D6327,2)=0,1,0)</f>
        <v/>
      </c>
      <c r="J6327">
        <f>IF(F6327="","none",IF(G6327=1,"carte","multiple"))</f>
        <v/>
      </c>
    </row>
    <row r="6328">
      <c r="A6328" t="inlineStr">
        <is>
          <t>2022-10-27</t>
        </is>
      </c>
      <c r="B6328" t="inlineStr">
        <is>
          <t>18:51</t>
        </is>
      </c>
      <c r="C6328" t="n">
        <v>3086</v>
      </c>
      <c r="D6328" s="6" t="n">
        <v>6.5</v>
      </c>
      <c r="E6328" t="n">
        <v>43476</v>
      </c>
      <c r="F6328" s="6" t="n">
        <v>6.5</v>
      </c>
      <c r="G6328" t="n">
        <v>1</v>
      </c>
      <c r="H6328" s="6">
        <f>ROUND(G6328*F6328,2)</f>
        <v/>
      </c>
      <c r="I6328">
        <f>IF(ROUND(H6328-D6328,2)=0,1,0)</f>
        <v/>
      </c>
      <c r="J6328">
        <f>IF(F6328="","none",IF(G6328=1,"carte","multiple"))</f>
        <v/>
      </c>
    </row>
    <row r="6329">
      <c r="A6329" t="inlineStr">
        <is>
          <t>2022-10-27</t>
        </is>
      </c>
      <c r="B6329" t="inlineStr">
        <is>
          <t>18:51</t>
        </is>
      </c>
      <c r="C6329" t="n">
        <v>3086</v>
      </c>
      <c r="D6329" s="6" t="n">
        <v>6</v>
      </c>
      <c r="E6329" t="n">
        <v>43477</v>
      </c>
      <c r="F6329" s="6" t="n">
        <v>6</v>
      </c>
      <c r="G6329" t="n">
        <v>1</v>
      </c>
      <c r="H6329" s="6">
        <f>ROUND(G6329*F6329,2)</f>
        <v/>
      </c>
      <c r="I6329">
        <f>IF(ROUND(H6329-D6329,2)=0,1,0)</f>
        <v/>
      </c>
      <c r="J6329">
        <f>IF(F6329="","none",IF(G6329=1,"carte","multiple"))</f>
        <v/>
      </c>
    </row>
    <row r="6330">
      <c r="A6330" t="inlineStr">
        <is>
          <t>2022-10-27</t>
        </is>
      </c>
      <c r="B6330" t="inlineStr">
        <is>
          <t>20:04</t>
        </is>
      </c>
      <c r="C6330" t="n">
        <v>3086</v>
      </c>
      <c r="D6330" s="6" t="n">
        <v>12</v>
      </c>
      <c r="E6330" t="n">
        <v>43478</v>
      </c>
      <c r="F6330" s="6" t="n">
        <v>12</v>
      </c>
      <c r="G6330" t="n">
        <v>1</v>
      </c>
      <c r="H6330" s="6">
        <f>ROUND(G6330*F6330,2)</f>
        <v/>
      </c>
      <c r="I6330">
        <f>IF(ROUND(H6330-D6330,2)=0,1,0)</f>
        <v/>
      </c>
      <c r="J6330">
        <f>IF(F6330="","none",IF(G6330=1,"carte","multiple"))</f>
        <v/>
      </c>
    </row>
    <row r="6331">
      <c r="A6331" t="inlineStr">
        <is>
          <t>2022-10-28</t>
        </is>
      </c>
      <c r="B6331" t="inlineStr">
        <is>
          <t>11:52</t>
        </is>
      </c>
      <c r="C6331" t="n">
        <v>3087</v>
      </c>
      <c r="D6331" s="6" t="n">
        <v>7.2</v>
      </c>
      <c r="E6331" t="n">
        <v>43483</v>
      </c>
      <c r="F6331" s="6" t="n">
        <v>7.2</v>
      </c>
      <c r="G6331" t="n">
        <v>1</v>
      </c>
      <c r="H6331" s="6">
        <f>ROUND(G6331*F6331,2)</f>
        <v/>
      </c>
      <c r="I6331">
        <f>IF(ROUND(H6331-D6331,2)=0,1,0)</f>
        <v/>
      </c>
      <c r="J6331">
        <f>IF(F6331="","none",IF(G6331=1,"carte","multiple"))</f>
        <v/>
      </c>
    </row>
    <row r="6332">
      <c r="A6332" t="inlineStr">
        <is>
          <t>2022-10-28</t>
        </is>
      </c>
      <c r="B6332" t="inlineStr">
        <is>
          <t>11:52</t>
        </is>
      </c>
      <c r="C6332" t="n">
        <v>3087</v>
      </c>
      <c r="D6332" s="6" t="n">
        <v>3.9</v>
      </c>
      <c r="E6332" t="n">
        <v>43484</v>
      </c>
      <c r="F6332" s="6" t="n">
        <v>3.9</v>
      </c>
      <c r="G6332" t="n">
        <v>1</v>
      </c>
      <c r="H6332" s="6">
        <f>ROUND(G6332*F6332,2)</f>
        <v/>
      </c>
      <c r="I6332">
        <f>IF(ROUND(H6332-D6332,2)=0,1,0)</f>
        <v/>
      </c>
      <c r="J6332">
        <f>IF(F6332="","none",IF(G6332=1,"carte","multiple"))</f>
        <v/>
      </c>
    </row>
    <row r="6333">
      <c r="A6333" t="inlineStr">
        <is>
          <t>2022-10-28</t>
        </is>
      </c>
      <c r="B6333" t="inlineStr">
        <is>
          <t>11:52</t>
        </is>
      </c>
      <c r="C6333" t="n">
        <v>3087</v>
      </c>
      <c r="D6333" s="6" t="n">
        <v>5.9</v>
      </c>
      <c r="E6333" t="n">
        <v>43485</v>
      </c>
      <c r="F6333" s="6" t="n">
        <v>5.9</v>
      </c>
      <c r="G6333" t="n">
        <v>1</v>
      </c>
      <c r="H6333" s="6">
        <f>ROUND(G6333*F6333,2)</f>
        <v/>
      </c>
      <c r="I6333">
        <f>IF(ROUND(H6333-D6333,2)=0,1,0)</f>
        <v/>
      </c>
      <c r="J6333">
        <f>IF(F6333="","none",IF(G6333=1,"carte","multiple"))</f>
        <v/>
      </c>
    </row>
    <row r="6334">
      <c r="A6334" t="inlineStr">
        <is>
          <t>2022-10-28</t>
        </is>
      </c>
      <c r="B6334" t="inlineStr">
        <is>
          <t>11:52</t>
        </is>
      </c>
      <c r="C6334" t="n">
        <v>3087</v>
      </c>
      <c r="D6334" s="6" t="n">
        <v>18.6</v>
      </c>
      <c r="E6334" t="n">
        <v>43486</v>
      </c>
      <c r="F6334" s="6" t="n">
        <v>18.6</v>
      </c>
      <c r="G6334" t="n">
        <v>1</v>
      </c>
      <c r="H6334" s="6">
        <f>ROUND(G6334*F6334,2)</f>
        <v/>
      </c>
      <c r="I6334">
        <f>IF(ROUND(H6334-D6334,2)=0,1,0)</f>
        <v/>
      </c>
      <c r="J6334">
        <f>IF(F6334="","none",IF(G6334=1,"carte","multiple"))</f>
        <v/>
      </c>
    </row>
    <row r="6335">
      <c r="A6335" t="inlineStr">
        <is>
          <t>2022-10-28</t>
        </is>
      </c>
      <c r="B6335" t="inlineStr">
        <is>
          <t>11:53</t>
        </is>
      </c>
      <c r="C6335" t="n">
        <v>3087</v>
      </c>
      <c r="D6335" s="6" t="n">
        <v>59.7</v>
      </c>
      <c r="E6335" t="n">
        <v>43487</v>
      </c>
      <c r="F6335" s="6" t="n">
        <v>19.9</v>
      </c>
      <c r="G6335" t="n">
        <v>3</v>
      </c>
      <c r="H6335" s="6">
        <f>ROUND(G6335*F6335,2)</f>
        <v/>
      </c>
      <c r="I6335">
        <f>IF(ROUND(H6335-D6335,2)=0,1,0)</f>
        <v/>
      </c>
      <c r="J6335">
        <f>IF(F6335="","none",IF(G6335=1,"carte","multiple"))</f>
        <v/>
      </c>
    </row>
    <row r="6336">
      <c r="A6336" t="inlineStr">
        <is>
          <t>2022-10-28</t>
        </is>
      </c>
      <c r="B6336" t="inlineStr">
        <is>
          <t>11:56</t>
        </is>
      </c>
      <c r="C6336" t="n">
        <v>3087</v>
      </c>
      <c r="D6336" s="6" t="n">
        <v>7.2</v>
      </c>
      <c r="E6336" t="n">
        <v>43488</v>
      </c>
      <c r="F6336" s="6" t="n">
        <v>7.2</v>
      </c>
      <c r="G6336" t="n">
        <v>1</v>
      </c>
      <c r="H6336" s="6">
        <f>ROUND(G6336*F6336,2)</f>
        <v/>
      </c>
      <c r="I6336">
        <f>IF(ROUND(H6336-D6336,2)=0,1,0)</f>
        <v/>
      </c>
      <c r="J6336">
        <f>IF(F6336="","none",IF(G6336=1,"carte","multiple"))</f>
        <v/>
      </c>
    </row>
    <row r="6337">
      <c r="A6337" t="inlineStr">
        <is>
          <t>2022-10-28</t>
        </is>
      </c>
      <c r="B6337" t="inlineStr">
        <is>
          <t>12:13</t>
        </is>
      </c>
      <c r="C6337" t="n">
        <v>3087</v>
      </c>
      <c r="D6337" s="6" t="n">
        <v>4.4</v>
      </c>
      <c r="E6337" t="n">
        <v>43489</v>
      </c>
      <c r="F6337" s="6" t="n">
        <v>0.4</v>
      </c>
      <c r="G6337" t="n">
        <v>11</v>
      </c>
      <c r="H6337" s="6">
        <f>ROUND(G6337*F6337,2)</f>
        <v/>
      </c>
      <c r="I6337">
        <f>IF(ROUND(H6337-D6337,2)=0,1,0)</f>
        <v/>
      </c>
      <c r="J6337">
        <f>IF(F6337="","none",IF(G6337=1,"carte","multiple"))</f>
        <v/>
      </c>
    </row>
    <row r="6338">
      <c r="A6338" t="inlineStr">
        <is>
          <t>2022-10-28</t>
        </is>
      </c>
      <c r="B6338" t="inlineStr">
        <is>
          <t>12:13</t>
        </is>
      </c>
      <c r="C6338" t="n">
        <v>3087</v>
      </c>
      <c r="D6338" s="6" t="n">
        <v>8.9</v>
      </c>
      <c r="E6338" t="n">
        <v>43490</v>
      </c>
      <c r="F6338" s="6" t="n">
        <v>8.9</v>
      </c>
      <c r="G6338" t="n">
        <v>1</v>
      </c>
      <c r="H6338" s="6">
        <f>ROUND(G6338*F6338,2)</f>
        <v/>
      </c>
      <c r="I6338">
        <f>IF(ROUND(H6338-D6338,2)=0,1,0)</f>
        <v/>
      </c>
      <c r="J6338">
        <f>IF(F6338="","none",IF(G6338=1,"carte","multiple"))</f>
        <v/>
      </c>
    </row>
    <row r="6339">
      <c r="A6339" t="inlineStr">
        <is>
          <t>2022-10-28</t>
        </is>
      </c>
      <c r="B6339" t="inlineStr">
        <is>
          <t>12:13</t>
        </is>
      </c>
      <c r="C6339" t="n">
        <v>3087</v>
      </c>
      <c r="D6339" s="6" t="n">
        <v>3.9</v>
      </c>
      <c r="E6339" t="n">
        <v>43491</v>
      </c>
      <c r="F6339" s="6" t="n">
        <v>3.9</v>
      </c>
      <c r="G6339" t="n">
        <v>1</v>
      </c>
      <c r="H6339" s="6">
        <f>ROUND(G6339*F6339,2)</f>
        <v/>
      </c>
      <c r="I6339">
        <f>IF(ROUND(H6339-D6339,2)=0,1,0)</f>
        <v/>
      </c>
      <c r="J6339">
        <f>IF(F6339="","none",IF(G6339=1,"carte","multiple"))</f>
        <v/>
      </c>
    </row>
    <row r="6340">
      <c r="A6340" t="inlineStr">
        <is>
          <t>2022-10-28</t>
        </is>
      </c>
      <c r="B6340" t="inlineStr">
        <is>
          <t>12:13</t>
        </is>
      </c>
      <c r="C6340" t="n">
        <v>3087</v>
      </c>
      <c r="D6340" s="6" t="n">
        <v>51.8</v>
      </c>
      <c r="E6340" t="n">
        <v>43492</v>
      </c>
      <c r="F6340" s="6" t="n">
        <v>1.4</v>
      </c>
      <c r="G6340" t="n">
        <v>37</v>
      </c>
      <c r="H6340" s="6">
        <f>ROUND(G6340*F6340,2)</f>
        <v/>
      </c>
      <c r="I6340">
        <f>IF(ROUND(H6340-D6340,2)=0,1,0)</f>
        <v/>
      </c>
      <c r="J6340">
        <f>IF(F6340="","none",IF(G6340=1,"carte","multiple"))</f>
        <v/>
      </c>
    </row>
    <row r="6341">
      <c r="A6341" t="inlineStr">
        <is>
          <t>2022-10-28</t>
        </is>
      </c>
      <c r="B6341" t="inlineStr">
        <is>
          <t>12:13</t>
        </is>
      </c>
      <c r="C6341" t="n">
        <v>3087</v>
      </c>
      <c r="D6341" s="6" t="n">
        <v>5.9</v>
      </c>
      <c r="E6341" t="n">
        <v>43493</v>
      </c>
      <c r="F6341" s="6" t="n">
        <v>5.9</v>
      </c>
      <c r="G6341" t="n">
        <v>1</v>
      </c>
      <c r="H6341" s="6">
        <f>ROUND(G6341*F6341,2)</f>
        <v/>
      </c>
      <c r="I6341">
        <f>IF(ROUND(H6341-D6341,2)=0,1,0)</f>
        <v/>
      </c>
      <c r="J6341">
        <f>IF(F6341="","none",IF(G6341=1,"carte","multiple"))</f>
        <v/>
      </c>
    </row>
    <row r="6342">
      <c r="A6342" t="inlineStr">
        <is>
          <t>2022-10-28</t>
        </is>
      </c>
      <c r="B6342" t="inlineStr">
        <is>
          <t>12:13</t>
        </is>
      </c>
      <c r="C6342" t="n">
        <v>3087</v>
      </c>
      <c r="D6342" s="6" t="n">
        <v>14.4</v>
      </c>
      <c r="E6342" t="n">
        <v>43494</v>
      </c>
      <c r="F6342" s="6" t="n">
        <v>0.4</v>
      </c>
      <c r="G6342" t="n">
        <v>36</v>
      </c>
      <c r="H6342" s="6">
        <f>ROUND(G6342*F6342,2)</f>
        <v/>
      </c>
      <c r="I6342">
        <f>IF(ROUND(H6342-D6342,2)=0,1,0)</f>
        <v/>
      </c>
      <c r="J6342">
        <f>IF(F6342="","none",IF(G6342=1,"carte","multiple"))</f>
        <v/>
      </c>
    </row>
    <row r="6343">
      <c r="A6343" t="inlineStr">
        <is>
          <t>2022-10-28</t>
        </is>
      </c>
      <c r="B6343" t="inlineStr">
        <is>
          <t>12:20</t>
        </is>
      </c>
      <c r="C6343" t="n">
        <v>3087</v>
      </c>
      <c r="D6343" s="6" t="n">
        <v>2.2</v>
      </c>
      <c r="E6343" t="n">
        <v>43495</v>
      </c>
      <c r="F6343" s="6" t="n">
        <v>2.2</v>
      </c>
      <c r="G6343" t="n">
        <v>1</v>
      </c>
      <c r="H6343" s="6">
        <f>ROUND(G6343*F6343,2)</f>
        <v/>
      </c>
      <c r="I6343">
        <f>IF(ROUND(H6343-D6343,2)=0,1,0)</f>
        <v/>
      </c>
      <c r="J6343">
        <f>IF(F6343="","none",IF(G6343=1,"carte","multiple"))</f>
        <v/>
      </c>
    </row>
    <row r="6344">
      <c r="A6344" t="inlineStr">
        <is>
          <t>2022-10-28</t>
        </is>
      </c>
      <c r="B6344" t="inlineStr">
        <is>
          <t>12:20</t>
        </is>
      </c>
      <c r="C6344" t="n">
        <v>3087</v>
      </c>
      <c r="D6344" s="6" t="n">
        <v>3.4</v>
      </c>
      <c r="E6344" t="n">
        <v>43496</v>
      </c>
      <c r="F6344" s="6" t="n">
        <v>3.4</v>
      </c>
      <c r="G6344" t="n">
        <v>1</v>
      </c>
      <c r="H6344" s="6">
        <f>ROUND(G6344*F6344,2)</f>
        <v/>
      </c>
      <c r="I6344">
        <f>IF(ROUND(H6344-D6344,2)=0,1,0)</f>
        <v/>
      </c>
      <c r="J6344">
        <f>IF(F6344="","none",IF(G6344=1,"carte","multiple"))</f>
        <v/>
      </c>
    </row>
    <row r="6345">
      <c r="A6345" t="inlineStr">
        <is>
          <t>2022-10-28</t>
        </is>
      </c>
      <c r="B6345" t="inlineStr">
        <is>
          <t>12:20</t>
        </is>
      </c>
      <c r="C6345" t="n">
        <v>3087</v>
      </c>
      <c r="D6345" s="6" t="n">
        <v>19</v>
      </c>
      <c r="E6345" t="n">
        <v>43497</v>
      </c>
      <c r="F6345" s="6" t="n">
        <v>19</v>
      </c>
      <c r="G6345" t="n">
        <v>1</v>
      </c>
      <c r="H6345" s="6">
        <f>ROUND(G6345*F6345,2)</f>
        <v/>
      </c>
      <c r="I6345">
        <f>IF(ROUND(H6345-D6345,2)=0,1,0)</f>
        <v/>
      </c>
      <c r="J6345">
        <f>IF(F6345="","none",IF(G6345=1,"carte","multiple"))</f>
        <v/>
      </c>
    </row>
    <row r="6346">
      <c r="A6346" t="inlineStr">
        <is>
          <t>2022-10-28</t>
        </is>
      </c>
      <c r="B6346" t="inlineStr">
        <is>
          <t>12:20</t>
        </is>
      </c>
      <c r="C6346" t="n">
        <v>3087</v>
      </c>
      <c r="D6346" s="6" t="n">
        <v>25</v>
      </c>
      <c r="E6346" t="n">
        <v>43498</v>
      </c>
      <c r="F6346" s="6" t="n">
        <v>25</v>
      </c>
      <c r="G6346" t="n">
        <v>1</v>
      </c>
      <c r="H6346" s="6">
        <f>ROUND(G6346*F6346,2)</f>
        <v/>
      </c>
      <c r="I6346">
        <f>IF(ROUND(H6346-D6346,2)=0,1,0)</f>
        <v/>
      </c>
      <c r="J6346">
        <f>IF(F6346="","none",IF(G6346=1,"carte","multiple"))</f>
        <v/>
      </c>
    </row>
    <row r="6347">
      <c r="A6347" t="inlineStr">
        <is>
          <t>2022-10-28</t>
        </is>
      </c>
      <c r="B6347" t="inlineStr">
        <is>
          <t>12:20</t>
        </is>
      </c>
      <c r="C6347" t="n">
        <v>3087</v>
      </c>
      <c r="D6347" s="6" t="n">
        <v>5.2</v>
      </c>
      <c r="E6347" t="n">
        <v>43499</v>
      </c>
      <c r="F6347" s="6" t="n">
        <v>5.2</v>
      </c>
      <c r="G6347" t="n">
        <v>1</v>
      </c>
      <c r="H6347" s="6">
        <f>ROUND(G6347*F6347,2)</f>
        <v/>
      </c>
      <c r="I6347">
        <f>IF(ROUND(H6347-D6347,2)=0,1,0)</f>
        <v/>
      </c>
      <c r="J6347">
        <f>IF(F6347="","none",IF(G6347=1,"carte","multiple"))</f>
        <v/>
      </c>
    </row>
    <row r="6348">
      <c r="A6348" t="inlineStr">
        <is>
          <t>2022-10-28</t>
        </is>
      </c>
      <c r="B6348" t="inlineStr">
        <is>
          <t>12:20</t>
        </is>
      </c>
      <c r="C6348" t="n">
        <v>3087</v>
      </c>
      <c r="D6348" s="6" t="n">
        <v>3.9</v>
      </c>
      <c r="E6348" t="n">
        <v>43500</v>
      </c>
      <c r="F6348" s="6" t="n">
        <v>3.9</v>
      </c>
      <c r="G6348" t="n">
        <v>1</v>
      </c>
      <c r="H6348" s="6">
        <f>ROUND(G6348*F6348,2)</f>
        <v/>
      </c>
      <c r="I6348">
        <f>IF(ROUND(H6348-D6348,2)=0,1,0)</f>
        <v/>
      </c>
      <c r="J6348">
        <f>IF(F6348="","none",IF(G6348=1,"carte","multiple"))</f>
        <v/>
      </c>
    </row>
    <row r="6349">
      <c r="A6349" t="inlineStr">
        <is>
          <t>2022-10-28</t>
        </is>
      </c>
      <c r="B6349" t="inlineStr">
        <is>
          <t>12:33</t>
        </is>
      </c>
      <c r="C6349" t="n">
        <v>3087</v>
      </c>
      <c r="D6349" s="6" t="n">
        <v>2.2</v>
      </c>
      <c r="E6349" t="n">
        <v>43501</v>
      </c>
      <c r="F6349" s="6" t="n">
        <v>2.2</v>
      </c>
      <c r="G6349" t="n">
        <v>1</v>
      </c>
      <c r="H6349" s="6">
        <f>ROUND(G6349*F6349,2)</f>
        <v/>
      </c>
      <c r="I6349">
        <f>IF(ROUND(H6349-D6349,2)=0,1,0)</f>
        <v/>
      </c>
      <c r="J6349">
        <f>IF(F6349="","none",IF(G6349=1,"carte","multiple"))</f>
        <v/>
      </c>
    </row>
    <row r="6350">
      <c r="A6350" t="inlineStr">
        <is>
          <t>2022-10-28</t>
        </is>
      </c>
      <c r="B6350" t="inlineStr">
        <is>
          <t>12:33</t>
        </is>
      </c>
      <c r="C6350" t="n">
        <v>3087</v>
      </c>
      <c r="D6350" s="6" t="n">
        <v>19.9</v>
      </c>
      <c r="E6350" t="n">
        <v>43502</v>
      </c>
      <c r="F6350" s="6" t="n">
        <v>19.9</v>
      </c>
      <c r="G6350" t="n">
        <v>1</v>
      </c>
      <c r="H6350" s="6">
        <f>ROUND(G6350*F6350,2)</f>
        <v/>
      </c>
      <c r="I6350">
        <f>IF(ROUND(H6350-D6350,2)=0,1,0)</f>
        <v/>
      </c>
      <c r="J6350">
        <f>IF(F6350="","none",IF(G6350=1,"carte","multiple"))</f>
        <v/>
      </c>
    </row>
    <row r="6351">
      <c r="A6351" t="inlineStr">
        <is>
          <t>2022-10-28</t>
        </is>
      </c>
      <c r="B6351" t="inlineStr">
        <is>
          <t>12:33</t>
        </is>
      </c>
      <c r="C6351" t="n">
        <v>3087</v>
      </c>
      <c r="D6351" s="6" t="n">
        <v>19</v>
      </c>
      <c r="E6351" t="n">
        <v>43503</v>
      </c>
      <c r="F6351" s="6" t="n">
        <v>19</v>
      </c>
      <c r="G6351" t="n">
        <v>1</v>
      </c>
      <c r="H6351" s="6">
        <f>ROUND(G6351*F6351,2)</f>
        <v/>
      </c>
      <c r="I6351">
        <f>IF(ROUND(H6351-D6351,2)=0,1,0)</f>
        <v/>
      </c>
      <c r="J6351">
        <f>IF(F6351="","none",IF(G6351=1,"carte","multiple"))</f>
        <v/>
      </c>
    </row>
    <row r="6352">
      <c r="A6352" t="inlineStr">
        <is>
          <t>2022-10-28</t>
        </is>
      </c>
      <c r="B6352" t="inlineStr">
        <is>
          <t>12:33</t>
        </is>
      </c>
      <c r="C6352" t="n">
        <v>3087</v>
      </c>
      <c r="D6352" s="6" t="n">
        <v>3.9</v>
      </c>
      <c r="E6352" t="n">
        <v>43504</v>
      </c>
      <c r="F6352" s="6" t="n">
        <v>3.9</v>
      </c>
      <c r="G6352" t="n">
        <v>1</v>
      </c>
      <c r="H6352" s="6">
        <f>ROUND(G6352*F6352,2)</f>
        <v/>
      </c>
      <c r="I6352">
        <f>IF(ROUND(H6352-D6352,2)=0,1,0)</f>
        <v/>
      </c>
      <c r="J6352">
        <f>IF(F6352="","none",IF(G6352=1,"carte","multiple"))</f>
        <v/>
      </c>
    </row>
    <row r="6353">
      <c r="A6353" t="inlineStr">
        <is>
          <t>2022-10-28</t>
        </is>
      </c>
      <c r="B6353" t="inlineStr">
        <is>
          <t>17:42</t>
        </is>
      </c>
      <c r="C6353" t="n">
        <v>3087</v>
      </c>
      <c r="D6353" s="6" t="n">
        <v>6.4</v>
      </c>
      <c r="E6353" t="n">
        <v>43506</v>
      </c>
      <c r="F6353" s="6" t="n">
        <v>6.4</v>
      </c>
      <c r="G6353" t="n">
        <v>1</v>
      </c>
      <c r="H6353" s="6">
        <f>ROUND(G6353*F6353,2)</f>
        <v/>
      </c>
      <c r="I6353">
        <f>IF(ROUND(H6353-D6353,2)=0,1,0)</f>
        <v/>
      </c>
      <c r="J6353">
        <f>IF(F6353="","none",IF(G6353=1,"carte","multiple"))</f>
        <v/>
      </c>
    </row>
    <row r="6354">
      <c r="A6354" t="inlineStr">
        <is>
          <t>2022-10-28</t>
        </is>
      </c>
      <c r="B6354" t="inlineStr">
        <is>
          <t>17:57</t>
        </is>
      </c>
      <c r="C6354" t="n">
        <v>3087</v>
      </c>
      <c r="D6354" s="6" t="n">
        <v>29.9</v>
      </c>
      <c r="E6354" t="n">
        <v>43507</v>
      </c>
      <c r="F6354" s="6" t="n">
        <v>29.9</v>
      </c>
      <c r="G6354" t="n">
        <v>1</v>
      </c>
      <c r="H6354" s="6">
        <f>ROUND(G6354*F6354,2)</f>
        <v/>
      </c>
      <c r="I6354">
        <f>IF(ROUND(H6354-D6354,2)=0,1,0)</f>
        <v/>
      </c>
      <c r="J6354">
        <f>IF(F6354="","none",IF(G6354=1,"carte","multiple"))</f>
        <v/>
      </c>
    </row>
    <row r="6355">
      <c r="A6355" t="inlineStr">
        <is>
          <t>2022-10-28</t>
        </is>
      </c>
      <c r="B6355" t="inlineStr">
        <is>
          <t>18:12</t>
        </is>
      </c>
      <c r="C6355" t="n">
        <v>3087</v>
      </c>
      <c r="D6355" s="6" t="n">
        <v>28.6</v>
      </c>
      <c r="E6355" t="n">
        <v>43508</v>
      </c>
      <c r="F6355" s="6" t="n">
        <v>28.6</v>
      </c>
      <c r="G6355" t="n">
        <v>1</v>
      </c>
      <c r="H6355" s="6">
        <f>ROUND(G6355*F6355,2)</f>
        <v/>
      </c>
      <c r="I6355">
        <f>IF(ROUND(H6355-D6355,2)=0,1,0)</f>
        <v/>
      </c>
      <c r="J6355">
        <f>IF(F6355="","none",IF(G6355=1,"carte","multiple"))</f>
        <v/>
      </c>
    </row>
    <row r="6356">
      <c r="A6356" t="inlineStr">
        <is>
          <t>2022-10-28</t>
        </is>
      </c>
      <c r="B6356" t="inlineStr">
        <is>
          <t>19:02</t>
        </is>
      </c>
      <c r="C6356" t="n">
        <v>3087</v>
      </c>
      <c r="D6356" s="6" t="n">
        <v>28.6</v>
      </c>
      <c r="E6356" t="n">
        <v>43509</v>
      </c>
      <c r="F6356" s="6" t="n">
        <v>28.6</v>
      </c>
      <c r="G6356" t="n">
        <v>1</v>
      </c>
      <c r="H6356" s="6">
        <f>ROUND(G6356*F6356,2)</f>
        <v/>
      </c>
      <c r="I6356">
        <f>IF(ROUND(H6356-D6356,2)=0,1,0)</f>
        <v/>
      </c>
      <c r="J6356">
        <f>IF(F6356="","none",IF(G6356=1,"carte","multiple"))</f>
        <v/>
      </c>
    </row>
    <row r="6357">
      <c r="A6357" t="inlineStr">
        <is>
          <t>2022-10-28</t>
        </is>
      </c>
      <c r="B6357" t="inlineStr">
        <is>
          <t>19:25</t>
        </is>
      </c>
      <c r="C6357" t="n">
        <v>3087</v>
      </c>
      <c r="D6357" s="6" t="n">
        <v>34</v>
      </c>
      <c r="E6357" t="n">
        <v>43510</v>
      </c>
      <c r="F6357" s="6" t="n">
        <v>34</v>
      </c>
      <c r="G6357" t="n">
        <v>1</v>
      </c>
      <c r="H6357" s="6">
        <f>ROUND(G6357*F6357,2)</f>
        <v/>
      </c>
      <c r="I6357">
        <f>IF(ROUND(H6357-D6357,2)=0,1,0)</f>
        <v/>
      </c>
      <c r="J6357">
        <f>IF(F6357="","none",IF(G6357=1,"carte","multiple"))</f>
        <v/>
      </c>
    </row>
    <row r="6358">
      <c r="A6358" t="inlineStr">
        <is>
          <t>2022-10-28</t>
        </is>
      </c>
      <c r="B6358" t="inlineStr">
        <is>
          <t>19:25</t>
        </is>
      </c>
      <c r="C6358" t="n">
        <v>3087</v>
      </c>
      <c r="D6358" s="6" t="n">
        <v>25</v>
      </c>
      <c r="E6358" t="n">
        <v>43511</v>
      </c>
      <c r="F6358" s="6" t="n">
        <v>25</v>
      </c>
      <c r="G6358" t="n">
        <v>1</v>
      </c>
      <c r="H6358" s="6">
        <f>ROUND(G6358*F6358,2)</f>
        <v/>
      </c>
      <c r="I6358">
        <f>IF(ROUND(H6358-D6358,2)=0,1,0)</f>
        <v/>
      </c>
      <c r="J6358">
        <f>IF(F6358="","none",IF(G6358=1,"carte","multiple"))</f>
        <v/>
      </c>
    </row>
    <row r="6359">
      <c r="A6359" t="inlineStr">
        <is>
          <t>2022-10-28</t>
        </is>
      </c>
      <c r="B6359" t="inlineStr">
        <is>
          <t>19:25</t>
        </is>
      </c>
      <c r="C6359" t="n">
        <v>3087</v>
      </c>
      <c r="D6359" s="6" t="n">
        <v>14</v>
      </c>
      <c r="E6359" t="n">
        <v>43512</v>
      </c>
      <c r="F6359" s="6" t="n">
        <v>14</v>
      </c>
      <c r="G6359" t="n">
        <v>1</v>
      </c>
      <c r="H6359" s="6">
        <f>ROUND(G6359*F6359,2)</f>
        <v/>
      </c>
      <c r="I6359">
        <f>IF(ROUND(H6359-D6359,2)=0,1,0)</f>
        <v/>
      </c>
      <c r="J6359">
        <f>IF(F6359="","none",IF(G6359=1,"carte","multiple"))</f>
        <v/>
      </c>
    </row>
    <row r="6360">
      <c r="A6360" t="inlineStr">
        <is>
          <t>2022-10-29</t>
        </is>
      </c>
      <c r="B6360" t="inlineStr">
        <is>
          <t>12:19</t>
        </is>
      </c>
      <c r="C6360" t="n">
        <v>3088</v>
      </c>
      <c r="D6360" s="6" t="n">
        <v>3.9</v>
      </c>
      <c r="E6360" t="n">
        <v>43515</v>
      </c>
      <c r="F6360" s="6" t="n">
        <v>3.9</v>
      </c>
      <c r="G6360" t="n">
        <v>1</v>
      </c>
      <c r="H6360" s="6">
        <f>ROUND(G6360*F6360,2)</f>
        <v/>
      </c>
      <c r="I6360">
        <f>IF(ROUND(H6360-D6360,2)=0,1,0)</f>
        <v/>
      </c>
      <c r="J6360">
        <f>IF(F6360="","none",IF(G6360=1,"carte","multiple"))</f>
        <v/>
      </c>
    </row>
    <row r="6361">
      <c r="A6361" t="inlineStr">
        <is>
          <t>2022-10-29</t>
        </is>
      </c>
      <c r="B6361" t="inlineStr">
        <is>
          <t>12:52</t>
        </is>
      </c>
      <c r="C6361" t="n">
        <v>3088</v>
      </c>
      <c r="D6361" s="6" t="n">
        <v>2.2</v>
      </c>
      <c r="E6361" t="n">
        <v>43516</v>
      </c>
      <c r="F6361" s="6" t="n">
        <v>2.2</v>
      </c>
      <c r="G6361" t="n">
        <v>1</v>
      </c>
      <c r="H6361" s="6">
        <f>ROUND(G6361*F6361,2)</f>
        <v/>
      </c>
      <c r="I6361">
        <f>IF(ROUND(H6361-D6361,2)=0,1,0)</f>
        <v/>
      </c>
      <c r="J6361">
        <f>IF(F6361="","none",IF(G6361=1,"carte","multiple"))</f>
        <v/>
      </c>
    </row>
    <row r="6362">
      <c r="A6362" t="inlineStr">
        <is>
          <t>2022-10-29</t>
        </is>
      </c>
      <c r="B6362" t="inlineStr">
        <is>
          <t>12:52</t>
        </is>
      </c>
      <c r="C6362" t="n">
        <v>3088</v>
      </c>
      <c r="D6362" s="6" t="n">
        <v>68</v>
      </c>
      <c r="E6362" t="n">
        <v>43517</v>
      </c>
      <c r="F6362" s="6" t="n">
        <v>0.4</v>
      </c>
      <c r="G6362" t="n">
        <v>170</v>
      </c>
      <c r="H6362" s="6">
        <f>ROUND(G6362*F6362,2)</f>
        <v/>
      </c>
      <c r="I6362">
        <f>IF(ROUND(H6362-D6362,2)=0,1,0)</f>
        <v/>
      </c>
      <c r="J6362">
        <f>IF(F6362="","none",IF(G6362=1,"carte","multiple"))</f>
        <v/>
      </c>
    </row>
    <row r="6363">
      <c r="A6363" t="inlineStr">
        <is>
          <t>2022-10-29</t>
        </is>
      </c>
      <c r="B6363" t="inlineStr">
        <is>
          <t>12:52</t>
        </is>
      </c>
      <c r="C6363" t="n">
        <v>3088</v>
      </c>
      <c r="D6363" s="6" t="n">
        <v>29.7</v>
      </c>
      <c r="E6363" t="n">
        <v>43518</v>
      </c>
      <c r="F6363" s="6" t="n">
        <v>0.9</v>
      </c>
      <c r="G6363" t="n">
        <v>33</v>
      </c>
      <c r="H6363" s="6">
        <f>ROUND(G6363*F6363,2)</f>
        <v/>
      </c>
      <c r="I6363">
        <f>IF(ROUND(H6363-D6363,2)=0,1,0)</f>
        <v/>
      </c>
      <c r="J6363">
        <f>IF(F6363="","none",IF(G6363=1,"carte","multiple"))</f>
        <v/>
      </c>
    </row>
    <row r="6364">
      <c r="A6364" t="inlineStr">
        <is>
          <t>2022-10-29</t>
        </is>
      </c>
      <c r="B6364" t="inlineStr">
        <is>
          <t>12:52</t>
        </is>
      </c>
      <c r="C6364" t="n">
        <v>3088</v>
      </c>
      <c r="D6364" s="6" t="n">
        <v>4.9</v>
      </c>
      <c r="E6364" t="n">
        <v>43519</v>
      </c>
      <c r="F6364" s="6" t="n">
        <v>4.9</v>
      </c>
      <c r="G6364" t="n">
        <v>1</v>
      </c>
      <c r="H6364" s="6">
        <f>ROUND(G6364*F6364,2)</f>
        <v/>
      </c>
      <c r="I6364">
        <f>IF(ROUND(H6364-D6364,2)=0,1,0)</f>
        <v/>
      </c>
      <c r="J6364">
        <f>IF(F6364="","none",IF(G6364=1,"carte","multiple"))</f>
        <v/>
      </c>
    </row>
    <row r="6365">
      <c r="A6365" t="inlineStr">
        <is>
          <t>2022-10-29</t>
        </is>
      </c>
      <c r="B6365" t="inlineStr">
        <is>
          <t>12:52</t>
        </is>
      </c>
      <c r="C6365" t="n">
        <v>3088</v>
      </c>
      <c r="D6365" s="6" t="n">
        <v>7.8</v>
      </c>
      <c r="E6365" t="n">
        <v>43520</v>
      </c>
      <c r="F6365" s="6" t="n">
        <v>7.8</v>
      </c>
      <c r="G6365" t="n">
        <v>1</v>
      </c>
      <c r="H6365" s="6">
        <f>ROUND(G6365*F6365,2)</f>
        <v/>
      </c>
      <c r="I6365">
        <f>IF(ROUND(H6365-D6365,2)=0,1,0)</f>
        <v/>
      </c>
      <c r="J6365">
        <f>IF(F6365="","none",IF(G6365=1,"carte","multiple"))</f>
        <v/>
      </c>
    </row>
    <row r="6366">
      <c r="A6366" t="inlineStr">
        <is>
          <t>2022-10-29</t>
        </is>
      </c>
      <c r="B6366" t="inlineStr">
        <is>
          <t>12:52</t>
        </is>
      </c>
      <c r="C6366" t="n">
        <v>3088</v>
      </c>
      <c r="D6366" s="6" t="n">
        <v>3.9</v>
      </c>
      <c r="E6366" t="n">
        <v>43521</v>
      </c>
      <c r="F6366" s="6" t="n">
        <v>3.9</v>
      </c>
      <c r="G6366" t="n">
        <v>1</v>
      </c>
      <c r="H6366" s="6">
        <f>ROUND(G6366*F6366,2)</f>
        <v/>
      </c>
      <c r="I6366">
        <f>IF(ROUND(H6366-D6366,2)=0,1,0)</f>
        <v/>
      </c>
      <c r="J6366">
        <f>IF(F6366="","none",IF(G6366=1,"carte","multiple"))</f>
        <v/>
      </c>
    </row>
    <row r="6367">
      <c r="A6367" t="inlineStr">
        <is>
          <t>2022-10-29</t>
        </is>
      </c>
      <c r="B6367" t="inlineStr">
        <is>
          <t>12:52</t>
        </is>
      </c>
      <c r="C6367" t="n">
        <v>3088</v>
      </c>
      <c r="D6367" s="6" t="n">
        <v>7.8</v>
      </c>
      <c r="E6367" t="n">
        <v>43522</v>
      </c>
      <c r="F6367" s="6" t="n">
        <v>7.8</v>
      </c>
      <c r="G6367" t="n">
        <v>1</v>
      </c>
      <c r="H6367" s="6">
        <f>ROUND(G6367*F6367,2)</f>
        <v/>
      </c>
      <c r="I6367">
        <f>IF(ROUND(H6367-D6367,2)=0,1,0)</f>
        <v/>
      </c>
      <c r="J6367">
        <f>IF(F6367="","none",IF(G6367=1,"carte","multiple"))</f>
        <v/>
      </c>
    </row>
    <row r="6368">
      <c r="A6368" t="inlineStr">
        <is>
          <t>2022-10-29</t>
        </is>
      </c>
      <c r="B6368" t="inlineStr">
        <is>
          <t>12:52</t>
        </is>
      </c>
      <c r="C6368" t="n">
        <v>3088</v>
      </c>
      <c r="D6368" s="6" t="n">
        <v>5.2</v>
      </c>
      <c r="E6368" t="n">
        <v>43523</v>
      </c>
      <c r="F6368" s="6" t="n">
        <v>5.2</v>
      </c>
      <c r="G6368" t="n">
        <v>1</v>
      </c>
      <c r="H6368" s="6">
        <f>ROUND(G6368*F6368,2)</f>
        <v/>
      </c>
      <c r="I6368">
        <f>IF(ROUND(H6368-D6368,2)=0,1,0)</f>
        <v/>
      </c>
      <c r="J6368">
        <f>IF(F6368="","none",IF(G6368=1,"carte","multiple"))</f>
        <v/>
      </c>
    </row>
    <row r="6369">
      <c r="A6369" t="inlineStr">
        <is>
          <t>2022-10-29</t>
        </is>
      </c>
      <c r="B6369" t="inlineStr">
        <is>
          <t>12:52</t>
        </is>
      </c>
      <c r="C6369" t="n">
        <v>3088</v>
      </c>
      <c r="D6369" s="6" t="n">
        <v>5.2</v>
      </c>
      <c r="E6369" t="n">
        <v>43524</v>
      </c>
      <c r="F6369" s="6" t="n">
        <v>5.2</v>
      </c>
      <c r="G6369" t="n">
        <v>1</v>
      </c>
      <c r="H6369" s="6">
        <f>ROUND(G6369*F6369,2)</f>
        <v/>
      </c>
      <c r="I6369">
        <f>IF(ROUND(H6369-D6369,2)=0,1,0)</f>
        <v/>
      </c>
      <c r="J6369">
        <f>IF(F6369="","none",IF(G6369=1,"carte","multiple"))</f>
        <v/>
      </c>
    </row>
    <row r="6370">
      <c r="A6370" t="inlineStr">
        <is>
          <t>2022-10-29</t>
        </is>
      </c>
      <c r="B6370" t="inlineStr">
        <is>
          <t>12:52</t>
        </is>
      </c>
      <c r="C6370" t="n">
        <v>3088</v>
      </c>
      <c r="D6370" s="6" t="n">
        <v>7.2</v>
      </c>
      <c r="E6370" t="n">
        <v>43525</v>
      </c>
      <c r="F6370" s="6" t="n">
        <v>7.2</v>
      </c>
      <c r="G6370" t="n">
        <v>1</v>
      </c>
      <c r="H6370" s="6">
        <f>ROUND(G6370*F6370,2)</f>
        <v/>
      </c>
      <c r="I6370">
        <f>IF(ROUND(H6370-D6370,2)=0,1,0)</f>
        <v/>
      </c>
      <c r="J6370">
        <f>IF(F6370="","none",IF(G6370=1,"carte","multiple"))</f>
        <v/>
      </c>
    </row>
    <row r="6371">
      <c r="A6371" t="inlineStr">
        <is>
          <t>2022-10-29</t>
        </is>
      </c>
      <c r="B6371" t="inlineStr">
        <is>
          <t>12:52</t>
        </is>
      </c>
      <c r="C6371" t="n">
        <v>3088</v>
      </c>
      <c r="D6371" s="6" t="n">
        <v>59.8</v>
      </c>
      <c r="E6371" t="n">
        <v>43526</v>
      </c>
      <c r="F6371" s="6" t="n">
        <v>4.6</v>
      </c>
      <c r="G6371" t="n">
        <v>13</v>
      </c>
      <c r="H6371" s="6">
        <f>ROUND(G6371*F6371,2)</f>
        <v/>
      </c>
      <c r="I6371">
        <f>IF(ROUND(H6371-D6371,2)=0,1,0)</f>
        <v/>
      </c>
      <c r="J6371">
        <f>IF(F6371="","none",IF(G6371=1,"carte","multiple"))</f>
        <v/>
      </c>
    </row>
    <row r="6372">
      <c r="A6372" t="inlineStr">
        <is>
          <t>2022-10-29</t>
        </is>
      </c>
      <c r="B6372" t="inlineStr">
        <is>
          <t>19:35</t>
        </is>
      </c>
      <c r="C6372" t="n">
        <v>3088</v>
      </c>
      <c r="D6372" s="6" t="n">
        <v>2</v>
      </c>
      <c r="E6372" t="n">
        <v>43528</v>
      </c>
      <c r="F6372" s="6" t="n">
        <v>2</v>
      </c>
      <c r="G6372" t="n">
        <v>1</v>
      </c>
      <c r="H6372" s="6">
        <f>ROUND(G6372*F6372,2)</f>
        <v/>
      </c>
      <c r="I6372">
        <f>IF(ROUND(H6372-D6372,2)=0,1,0)</f>
        <v/>
      </c>
      <c r="J6372">
        <f>IF(F6372="","none",IF(G6372=1,"carte","multiple"))</f>
        <v/>
      </c>
    </row>
    <row r="6373">
      <c r="A6373" t="inlineStr">
        <is>
          <t>2022-10-29</t>
        </is>
      </c>
      <c r="B6373" t="inlineStr">
        <is>
          <t>19:35</t>
        </is>
      </c>
      <c r="C6373" t="n">
        <v>3088</v>
      </c>
      <c r="D6373" s="6" t="n">
        <v>4.7</v>
      </c>
      <c r="E6373" t="n">
        <v>43529</v>
      </c>
      <c r="F6373" s="6" t="n">
        <v>4.7</v>
      </c>
      <c r="G6373" t="n">
        <v>1</v>
      </c>
      <c r="H6373" s="6">
        <f>ROUND(G6373*F6373,2)</f>
        <v/>
      </c>
      <c r="I6373">
        <f>IF(ROUND(H6373-D6373,2)=0,1,0)</f>
        <v/>
      </c>
      <c r="J6373">
        <f>IF(F6373="","none",IF(G6373=1,"carte","multiple"))</f>
        <v/>
      </c>
    </row>
    <row r="6374">
      <c r="A6374" t="inlineStr">
        <is>
          <t>2022-10-29</t>
        </is>
      </c>
      <c r="B6374" t="inlineStr">
        <is>
          <t>19:35</t>
        </is>
      </c>
      <c r="C6374" t="n">
        <v>3088</v>
      </c>
      <c r="D6374" s="6" t="n">
        <v>4.7</v>
      </c>
      <c r="E6374" t="n">
        <v>43530</v>
      </c>
      <c r="F6374" s="6" t="n">
        <v>4.7</v>
      </c>
      <c r="G6374" t="n">
        <v>1</v>
      </c>
      <c r="H6374" s="6">
        <f>ROUND(G6374*F6374,2)</f>
        <v/>
      </c>
      <c r="I6374">
        <f>IF(ROUND(H6374-D6374,2)=0,1,0)</f>
        <v/>
      </c>
      <c r="J6374">
        <f>IF(F6374="","none",IF(G6374=1,"carte","multiple"))</f>
        <v/>
      </c>
    </row>
    <row r="6375">
      <c r="A6375" t="inlineStr">
        <is>
          <t>2022-10-29</t>
        </is>
      </c>
      <c r="B6375" t="inlineStr">
        <is>
          <t>19:35</t>
        </is>
      </c>
      <c r="C6375" t="n">
        <v>3088</v>
      </c>
      <c r="D6375" s="6" t="n">
        <v>3.2</v>
      </c>
      <c r="E6375" t="n">
        <v>43531</v>
      </c>
      <c r="F6375" s="6" t="n">
        <v>3.2</v>
      </c>
      <c r="G6375" t="n">
        <v>1</v>
      </c>
      <c r="H6375" s="6">
        <f>ROUND(G6375*F6375,2)</f>
        <v/>
      </c>
      <c r="I6375">
        <f>IF(ROUND(H6375-D6375,2)=0,1,0)</f>
        <v/>
      </c>
      <c r="J6375">
        <f>IF(F6375="","none",IF(G6375=1,"carte","multiple"))</f>
        <v/>
      </c>
    </row>
    <row r="6376">
      <c r="A6376" t="inlineStr">
        <is>
          <t>2022-10-29</t>
        </is>
      </c>
      <c r="B6376" t="inlineStr">
        <is>
          <t>19:35</t>
        </is>
      </c>
      <c r="C6376" t="n">
        <v>3088</v>
      </c>
      <c r="D6376" s="6" t="n">
        <v>3.9</v>
      </c>
      <c r="E6376" t="n">
        <v>43532</v>
      </c>
      <c r="F6376" s="6" t="n">
        <v>3.9</v>
      </c>
      <c r="G6376" t="n">
        <v>1</v>
      </c>
      <c r="H6376" s="6">
        <f>ROUND(G6376*F6376,2)</f>
        <v/>
      </c>
      <c r="I6376">
        <f>IF(ROUND(H6376-D6376,2)=0,1,0)</f>
        <v/>
      </c>
      <c r="J6376">
        <f>IF(F6376="","none",IF(G6376=1,"carte","multiple"))</f>
        <v/>
      </c>
    </row>
    <row r="6377">
      <c r="A6377" t="inlineStr">
        <is>
          <t>2022-10-29</t>
        </is>
      </c>
      <c r="B6377" t="inlineStr">
        <is>
          <t>19:35</t>
        </is>
      </c>
      <c r="C6377" t="n">
        <v>3088</v>
      </c>
      <c r="D6377" s="6" t="n">
        <v>4</v>
      </c>
      <c r="E6377" t="n">
        <v>43533</v>
      </c>
      <c r="F6377" s="6" t="n">
        <v>4</v>
      </c>
      <c r="G6377" t="n">
        <v>1</v>
      </c>
      <c r="H6377" s="6">
        <f>ROUND(G6377*F6377,2)</f>
        <v/>
      </c>
      <c r="I6377">
        <f>IF(ROUND(H6377-D6377,2)=0,1,0)</f>
        <v/>
      </c>
      <c r="J6377">
        <f>IF(F6377="","none",IF(G6377=1,"carte","multiple"))</f>
        <v/>
      </c>
    </row>
    <row r="6378">
      <c r="A6378" t="inlineStr">
        <is>
          <t>2022-10-29</t>
        </is>
      </c>
      <c r="B6378" t="inlineStr">
        <is>
          <t>19:35</t>
        </is>
      </c>
      <c r="C6378" t="n">
        <v>3088</v>
      </c>
      <c r="D6378" s="6" t="n">
        <v>8.9</v>
      </c>
      <c r="E6378" t="n">
        <v>43534</v>
      </c>
      <c r="F6378" s="6" t="n">
        <v>8.9</v>
      </c>
      <c r="G6378" t="n">
        <v>1</v>
      </c>
      <c r="H6378" s="6">
        <f>ROUND(G6378*F6378,2)</f>
        <v/>
      </c>
      <c r="I6378">
        <f>IF(ROUND(H6378-D6378,2)=0,1,0)</f>
        <v/>
      </c>
      <c r="J6378">
        <f>IF(F6378="","none",IF(G6378=1,"carte","multiple"))</f>
        <v/>
      </c>
    </row>
    <row r="6379">
      <c r="A6379" t="inlineStr">
        <is>
          <t>2022-10-29</t>
        </is>
      </c>
      <c r="B6379" t="inlineStr">
        <is>
          <t>19:35</t>
        </is>
      </c>
      <c r="C6379" t="n">
        <v>3088</v>
      </c>
      <c r="D6379" s="6" t="n">
        <v>3.9</v>
      </c>
      <c r="E6379" t="n">
        <v>43535</v>
      </c>
      <c r="F6379" s="6" t="n">
        <v>3.9</v>
      </c>
      <c r="G6379" t="n">
        <v>1</v>
      </c>
      <c r="H6379" s="6">
        <f>ROUND(G6379*F6379,2)</f>
        <v/>
      </c>
      <c r="I6379">
        <f>IF(ROUND(H6379-D6379,2)=0,1,0)</f>
        <v/>
      </c>
      <c r="J6379">
        <f>IF(F6379="","none",IF(G6379=1,"carte","multiple"))</f>
        <v/>
      </c>
    </row>
    <row r="6380">
      <c r="A6380" t="inlineStr">
        <is>
          <t>2022-10-29</t>
        </is>
      </c>
      <c r="B6380" t="inlineStr">
        <is>
          <t>19:35</t>
        </is>
      </c>
      <c r="C6380" t="n">
        <v>3088</v>
      </c>
      <c r="D6380" s="6" t="n">
        <v>28.6</v>
      </c>
      <c r="E6380" t="n">
        <v>43536</v>
      </c>
      <c r="F6380" s="6" t="n">
        <v>28.6</v>
      </c>
      <c r="G6380" t="n">
        <v>1</v>
      </c>
      <c r="H6380" s="6">
        <f>ROUND(G6380*F6380,2)</f>
        <v/>
      </c>
      <c r="I6380">
        <f>IF(ROUND(H6380-D6380,2)=0,1,0)</f>
        <v/>
      </c>
      <c r="J6380">
        <f>IF(F6380="","none",IF(G6380=1,"carte","multiple"))</f>
        <v/>
      </c>
    </row>
    <row r="6381">
      <c r="A6381" t="inlineStr">
        <is>
          <t>2022-10-29</t>
        </is>
      </c>
      <c r="B6381" t="inlineStr">
        <is>
          <t>19:35</t>
        </is>
      </c>
      <c r="C6381" t="n">
        <v>3088</v>
      </c>
      <c r="D6381" s="6" t="n">
        <v>16</v>
      </c>
      <c r="E6381" t="n">
        <v>43537</v>
      </c>
      <c r="F6381" s="6" t="n">
        <v>16</v>
      </c>
      <c r="G6381" t="n">
        <v>1</v>
      </c>
      <c r="H6381" s="6">
        <f>ROUND(G6381*F6381,2)</f>
        <v/>
      </c>
      <c r="I6381">
        <f>IF(ROUND(H6381-D6381,2)=0,1,0)</f>
        <v/>
      </c>
      <c r="J6381">
        <f>IF(F6381="","none",IF(G6381=1,"carte","multiple"))</f>
        <v/>
      </c>
    </row>
    <row r="6382">
      <c r="A6382" t="inlineStr">
        <is>
          <t>2022-10-29</t>
        </is>
      </c>
      <c r="B6382" t="inlineStr">
        <is>
          <t>19:35</t>
        </is>
      </c>
      <c r="C6382" t="n">
        <v>3088</v>
      </c>
      <c r="D6382" s="6" t="n">
        <v>16.9</v>
      </c>
      <c r="E6382" t="n">
        <v>43538</v>
      </c>
      <c r="F6382" s="6" t="n">
        <v>16.9</v>
      </c>
      <c r="G6382" t="n">
        <v>1</v>
      </c>
      <c r="H6382" s="6">
        <f>ROUND(G6382*F6382,2)</f>
        <v/>
      </c>
      <c r="I6382">
        <f>IF(ROUND(H6382-D6382,2)=0,1,0)</f>
        <v/>
      </c>
      <c r="J6382">
        <f>IF(F6382="","none",IF(G6382=1,"carte","multiple"))</f>
        <v/>
      </c>
    </row>
    <row r="6383">
      <c r="A6383" t="inlineStr">
        <is>
          <t>2022-10-29</t>
        </is>
      </c>
      <c r="B6383" t="inlineStr">
        <is>
          <t>19:35</t>
        </is>
      </c>
      <c r="C6383" t="n">
        <v>3088</v>
      </c>
      <c r="D6383" s="6" t="n">
        <v>5.2</v>
      </c>
      <c r="E6383" t="n">
        <v>43539</v>
      </c>
      <c r="F6383" s="6" t="n">
        <v>5.2</v>
      </c>
      <c r="G6383" t="n">
        <v>1</v>
      </c>
      <c r="H6383" s="6">
        <f>ROUND(G6383*F6383,2)</f>
        <v/>
      </c>
      <c r="I6383">
        <f>IF(ROUND(H6383-D6383,2)=0,1,0)</f>
        <v/>
      </c>
      <c r="J6383">
        <f>IF(F6383="","none",IF(G6383=1,"carte","multiple"))</f>
        <v/>
      </c>
    </row>
    <row r="6384">
      <c r="A6384" t="inlineStr">
        <is>
          <t>2022-10-29</t>
        </is>
      </c>
      <c r="B6384" t="inlineStr">
        <is>
          <t>19:35</t>
        </is>
      </c>
      <c r="C6384" t="n">
        <v>3088</v>
      </c>
      <c r="D6384" s="6" t="n">
        <v>3.9</v>
      </c>
      <c r="E6384" t="n">
        <v>43540</v>
      </c>
      <c r="F6384" s="6" t="n">
        <v>3.9</v>
      </c>
      <c r="G6384" t="n">
        <v>1</v>
      </c>
      <c r="H6384" s="6">
        <f>ROUND(G6384*F6384,2)</f>
        <v/>
      </c>
      <c r="I6384">
        <f>IF(ROUND(H6384-D6384,2)=0,1,0)</f>
        <v/>
      </c>
      <c r="J6384">
        <f>IF(F6384="","none",IF(G6384=1,"carte","multiple"))</f>
        <v/>
      </c>
    </row>
    <row r="6385">
      <c r="A6385" t="inlineStr">
        <is>
          <t>2022-10-29</t>
        </is>
      </c>
      <c r="B6385" t="inlineStr">
        <is>
          <t>19:44</t>
        </is>
      </c>
      <c r="C6385" t="n">
        <v>3088</v>
      </c>
      <c r="D6385" s="6" t="n">
        <v>8.9</v>
      </c>
      <c r="E6385" t="n">
        <v>43541</v>
      </c>
      <c r="F6385" s="6" t="n">
        <v>8.9</v>
      </c>
      <c r="G6385" t="n">
        <v>1</v>
      </c>
      <c r="H6385" s="6">
        <f>ROUND(G6385*F6385,2)</f>
        <v/>
      </c>
      <c r="I6385">
        <f>IF(ROUND(H6385-D6385,2)=0,1,0)</f>
        <v/>
      </c>
      <c r="J6385">
        <f>IF(F6385="","none",IF(G6385=1,"carte","multiple"))</f>
        <v/>
      </c>
    </row>
    <row r="6386">
      <c r="A6386" t="inlineStr">
        <is>
          <t>2022-10-29</t>
        </is>
      </c>
      <c r="B6386" t="inlineStr">
        <is>
          <t>19:58</t>
        </is>
      </c>
      <c r="C6386" t="n">
        <v>3088</v>
      </c>
      <c r="D6386" s="6" t="n">
        <v>29.9</v>
      </c>
      <c r="E6386" t="n">
        <v>43542</v>
      </c>
      <c r="F6386" s="6" t="n">
        <v>29.9</v>
      </c>
      <c r="G6386" t="n">
        <v>1</v>
      </c>
      <c r="H6386" s="6">
        <f>ROUND(G6386*F6386,2)</f>
        <v/>
      </c>
      <c r="I6386">
        <f>IF(ROUND(H6386-D6386,2)=0,1,0)</f>
        <v/>
      </c>
      <c r="J6386">
        <f>IF(F6386="","none",IF(G6386=1,"carte","multiple"))</f>
        <v/>
      </c>
    </row>
    <row r="6387">
      <c r="A6387" t="inlineStr">
        <is>
          <t>2022-10-29</t>
        </is>
      </c>
      <c r="B6387" t="inlineStr">
        <is>
          <t>19:58</t>
        </is>
      </c>
      <c r="C6387" t="n">
        <v>3088</v>
      </c>
      <c r="D6387" s="6" t="n">
        <v>76</v>
      </c>
      <c r="E6387" t="n">
        <v>43543</v>
      </c>
      <c r="F6387" s="6" t="n">
        <v>0.4</v>
      </c>
      <c r="G6387" t="n">
        <v>190</v>
      </c>
      <c r="H6387" s="6">
        <f>ROUND(G6387*F6387,2)</f>
        <v/>
      </c>
      <c r="I6387">
        <f>IF(ROUND(H6387-D6387,2)=0,1,0)</f>
        <v/>
      </c>
      <c r="J6387">
        <f>IF(F6387="","none",IF(G6387=1,"carte","multiple"))</f>
        <v/>
      </c>
    </row>
    <row r="6388">
      <c r="A6388" t="inlineStr">
        <is>
          <t>2022-10-29</t>
        </is>
      </c>
      <c r="B6388" t="inlineStr">
        <is>
          <t>19:58</t>
        </is>
      </c>
      <c r="C6388" t="n">
        <v>3088</v>
      </c>
      <c r="D6388" s="6" t="n">
        <v>4.9</v>
      </c>
      <c r="E6388" t="n">
        <v>43544</v>
      </c>
      <c r="F6388" s="6" t="n">
        <v>4.9</v>
      </c>
      <c r="G6388" t="n">
        <v>1</v>
      </c>
      <c r="H6388" s="6">
        <f>ROUND(G6388*F6388,2)</f>
        <v/>
      </c>
      <c r="I6388">
        <f>IF(ROUND(H6388-D6388,2)=0,1,0)</f>
        <v/>
      </c>
      <c r="J6388">
        <f>IF(F6388="","none",IF(G6388=1,"carte","multiple"))</f>
        <v/>
      </c>
    </row>
    <row r="6389">
      <c r="A6389" t="inlineStr">
        <is>
          <t>2022-10-29</t>
        </is>
      </c>
      <c r="B6389" t="inlineStr">
        <is>
          <t>19:58</t>
        </is>
      </c>
      <c r="C6389" t="n">
        <v>3088</v>
      </c>
      <c r="D6389" s="6" t="n">
        <v>4.9</v>
      </c>
      <c r="E6389" t="n">
        <v>43545</v>
      </c>
      <c r="F6389" s="6" t="n">
        <v>4.9</v>
      </c>
      <c r="G6389" t="n">
        <v>1</v>
      </c>
      <c r="H6389" s="6">
        <f>ROUND(G6389*F6389,2)</f>
        <v/>
      </c>
      <c r="I6389">
        <f>IF(ROUND(H6389-D6389,2)=0,1,0)</f>
        <v/>
      </c>
      <c r="J6389">
        <f>IF(F6389="","none",IF(G6389=1,"carte","multiple"))</f>
        <v/>
      </c>
    </row>
    <row r="6390">
      <c r="A6390" t="inlineStr">
        <is>
          <t>2022-10-29</t>
        </is>
      </c>
      <c r="B6390" t="inlineStr">
        <is>
          <t>20:09</t>
        </is>
      </c>
      <c r="C6390" t="n">
        <v>3088</v>
      </c>
      <c r="D6390" s="6" t="n">
        <v>4.4</v>
      </c>
      <c r="E6390" t="n">
        <v>43546</v>
      </c>
      <c r="F6390" s="6" t="n">
        <v>0.4</v>
      </c>
      <c r="G6390" t="n">
        <v>11</v>
      </c>
      <c r="H6390" s="6">
        <f>ROUND(G6390*F6390,2)</f>
        <v/>
      </c>
      <c r="I6390">
        <f>IF(ROUND(H6390-D6390,2)=0,1,0)</f>
        <v/>
      </c>
      <c r="J6390">
        <f>IF(F6390="","none",IF(G6390=1,"carte","multiple"))</f>
        <v/>
      </c>
    </row>
    <row r="6391">
      <c r="A6391" t="inlineStr">
        <is>
          <t>2022-10-29</t>
        </is>
      </c>
      <c r="B6391" t="inlineStr">
        <is>
          <t>20:11</t>
        </is>
      </c>
      <c r="C6391" t="n">
        <v>3088</v>
      </c>
      <c r="D6391" s="6" t="n">
        <v>3.9</v>
      </c>
      <c r="E6391" t="n">
        <v>43547</v>
      </c>
      <c r="F6391" s="6" t="n">
        <v>3.9</v>
      </c>
      <c r="G6391" t="n">
        <v>1</v>
      </c>
      <c r="H6391" s="6">
        <f>ROUND(G6391*F6391,2)</f>
        <v/>
      </c>
      <c r="I6391">
        <f>IF(ROUND(H6391-D6391,2)=0,1,0)</f>
        <v/>
      </c>
      <c r="J6391">
        <f>IF(F6391="","none",IF(G6391=1,"carte","multiple"))</f>
        <v/>
      </c>
    </row>
    <row r="6392">
      <c r="A6392" t="inlineStr">
        <is>
          <t>2022-10-30</t>
        </is>
      </c>
      <c r="B6392" t="inlineStr">
        <is>
          <t>12:09</t>
        </is>
      </c>
      <c r="C6392" t="n">
        <v>3089</v>
      </c>
      <c r="D6392" s="6" t="n">
        <v>2.2</v>
      </c>
      <c r="E6392" t="n">
        <v>43551</v>
      </c>
      <c r="F6392" s="6" t="n">
        <v>2.2</v>
      </c>
      <c r="G6392" t="n">
        <v>1</v>
      </c>
      <c r="H6392" s="6">
        <f>ROUND(G6392*F6392,2)</f>
        <v/>
      </c>
      <c r="I6392">
        <f>IF(ROUND(H6392-D6392,2)=0,1,0)</f>
        <v/>
      </c>
      <c r="J6392">
        <f>IF(F6392="","none",IF(G6392=1,"carte","multiple"))</f>
        <v/>
      </c>
    </row>
    <row r="6393">
      <c r="A6393" t="inlineStr">
        <is>
          <t>2022-10-30</t>
        </is>
      </c>
      <c r="B6393" t="inlineStr">
        <is>
          <t>12:09</t>
        </is>
      </c>
      <c r="C6393" t="n">
        <v>3089</v>
      </c>
      <c r="D6393" s="6" t="n">
        <v>16.9</v>
      </c>
      <c r="E6393" t="n">
        <v>43552</v>
      </c>
      <c r="F6393" s="6" t="n">
        <v>16.9</v>
      </c>
      <c r="G6393" t="n">
        <v>1</v>
      </c>
      <c r="H6393" s="6">
        <f>ROUND(G6393*F6393,2)</f>
        <v/>
      </c>
      <c r="I6393">
        <f>IF(ROUND(H6393-D6393,2)=0,1,0)</f>
        <v/>
      </c>
      <c r="J6393">
        <f>IF(F6393="","none",IF(G6393=1,"carte","multiple"))</f>
        <v/>
      </c>
    </row>
    <row r="6394">
      <c r="A6394" t="inlineStr">
        <is>
          <t>2022-10-30</t>
        </is>
      </c>
      <c r="B6394" t="inlineStr">
        <is>
          <t>12:09</t>
        </is>
      </c>
      <c r="C6394" t="n">
        <v>3089</v>
      </c>
      <c r="D6394" s="6" t="n">
        <v>18.6</v>
      </c>
      <c r="E6394" t="n">
        <v>43553</v>
      </c>
      <c r="F6394" s="6" t="n">
        <v>18.6</v>
      </c>
      <c r="G6394" t="n">
        <v>1</v>
      </c>
      <c r="H6394" s="6">
        <f>ROUND(G6394*F6394,2)</f>
        <v/>
      </c>
      <c r="I6394">
        <f>IF(ROUND(H6394-D6394,2)=0,1,0)</f>
        <v/>
      </c>
      <c r="J6394">
        <f>IF(F6394="","none",IF(G6394=1,"carte","multiple"))</f>
        <v/>
      </c>
    </row>
    <row r="6395">
      <c r="A6395" t="inlineStr">
        <is>
          <t>2022-10-30</t>
        </is>
      </c>
      <c r="B6395" t="inlineStr">
        <is>
          <t>12:09</t>
        </is>
      </c>
      <c r="C6395" t="n">
        <v>3089</v>
      </c>
      <c r="D6395" s="6" t="n">
        <v>8.9</v>
      </c>
      <c r="E6395" t="n">
        <v>43554</v>
      </c>
      <c r="F6395" s="6" t="n">
        <v>8.9</v>
      </c>
      <c r="G6395" t="n">
        <v>1</v>
      </c>
      <c r="H6395" s="6">
        <f>ROUND(G6395*F6395,2)</f>
        <v/>
      </c>
      <c r="I6395">
        <f>IF(ROUND(H6395-D6395,2)=0,1,0)</f>
        <v/>
      </c>
      <c r="J6395">
        <f>IF(F6395="","none",IF(G6395=1,"carte","multiple"))</f>
        <v/>
      </c>
    </row>
    <row r="6396">
      <c r="A6396" t="inlineStr">
        <is>
          <t>2022-10-30</t>
        </is>
      </c>
      <c r="B6396" t="inlineStr">
        <is>
          <t>12:09</t>
        </is>
      </c>
      <c r="C6396" t="n">
        <v>3089</v>
      </c>
      <c r="D6396" s="6" t="n">
        <v>8</v>
      </c>
      <c r="E6396" t="n">
        <v>43555</v>
      </c>
      <c r="F6396" s="6" t="n">
        <v>8</v>
      </c>
      <c r="G6396" t="n">
        <v>1</v>
      </c>
      <c r="H6396" s="6">
        <f>ROUND(G6396*F6396,2)</f>
        <v/>
      </c>
      <c r="I6396">
        <f>IF(ROUND(H6396-D6396,2)=0,1,0)</f>
        <v/>
      </c>
      <c r="J6396">
        <f>IF(F6396="","none",IF(G6396=1,"carte","multiple"))</f>
        <v/>
      </c>
    </row>
    <row r="6397">
      <c r="A6397" t="inlineStr">
        <is>
          <t>2022-10-30</t>
        </is>
      </c>
      <c r="B6397" t="inlineStr">
        <is>
          <t>12:09</t>
        </is>
      </c>
      <c r="C6397" t="n">
        <v>3089</v>
      </c>
      <c r="D6397" s="6" t="n">
        <v>12</v>
      </c>
      <c r="E6397" t="n">
        <v>43556</v>
      </c>
      <c r="F6397" s="6" t="n">
        <v>12</v>
      </c>
      <c r="G6397" t="n">
        <v>1</v>
      </c>
      <c r="H6397" s="6">
        <f>ROUND(G6397*F6397,2)</f>
        <v/>
      </c>
      <c r="I6397">
        <f>IF(ROUND(H6397-D6397,2)=0,1,0)</f>
        <v/>
      </c>
      <c r="J6397">
        <f>IF(F6397="","none",IF(G6397=1,"carte","multiple"))</f>
        <v/>
      </c>
    </row>
    <row r="6398">
      <c r="A6398" t="inlineStr">
        <is>
          <t>2022-10-30</t>
        </is>
      </c>
      <c r="B6398" t="inlineStr">
        <is>
          <t>12:16</t>
        </is>
      </c>
      <c r="C6398" t="n">
        <v>3089</v>
      </c>
      <c r="D6398" s="6" t="n">
        <v>30</v>
      </c>
      <c r="E6398" t="n">
        <v>43557</v>
      </c>
      <c r="F6398" s="6" t="n">
        <v>30</v>
      </c>
      <c r="G6398" t="n">
        <v>1</v>
      </c>
      <c r="H6398" s="6">
        <f>ROUND(G6398*F6398,2)</f>
        <v/>
      </c>
      <c r="I6398">
        <f>IF(ROUND(H6398-D6398,2)=0,1,0)</f>
        <v/>
      </c>
      <c r="J6398">
        <f>IF(F6398="","none",IF(G6398=1,"carte","multiple"))</f>
        <v/>
      </c>
    </row>
    <row r="6399">
      <c r="A6399" t="inlineStr">
        <is>
          <t>2022-10-30</t>
        </is>
      </c>
      <c r="B6399" t="inlineStr">
        <is>
          <t>12:16</t>
        </is>
      </c>
      <c r="C6399" t="n">
        <v>3089</v>
      </c>
      <c r="D6399" s="6" t="n">
        <v>19</v>
      </c>
      <c r="E6399" t="n">
        <v>43558</v>
      </c>
      <c r="F6399" s="6" t="n">
        <v>19</v>
      </c>
      <c r="G6399" t="n">
        <v>1</v>
      </c>
      <c r="H6399" s="6">
        <f>ROUND(G6399*F6399,2)</f>
        <v/>
      </c>
      <c r="I6399">
        <f>IF(ROUND(H6399-D6399,2)=0,1,0)</f>
        <v/>
      </c>
      <c r="J6399">
        <f>IF(F6399="","none",IF(G6399=1,"carte","multiple"))</f>
        <v/>
      </c>
    </row>
    <row r="6400">
      <c r="A6400" t="inlineStr">
        <is>
          <t>2022-10-30</t>
        </is>
      </c>
      <c r="B6400" t="inlineStr">
        <is>
          <t>12:16</t>
        </is>
      </c>
      <c r="C6400" t="n">
        <v>3089</v>
      </c>
      <c r="D6400" s="6" t="n">
        <v>119.6</v>
      </c>
      <c r="E6400" t="n">
        <v>43559</v>
      </c>
      <c r="F6400" s="6" t="n">
        <v>0.4</v>
      </c>
      <c r="G6400" t="n">
        <v>299</v>
      </c>
      <c r="H6400" s="6">
        <f>ROUND(G6400*F6400,2)</f>
        <v/>
      </c>
      <c r="I6400">
        <f>IF(ROUND(H6400-D6400,2)=0,1,0)</f>
        <v/>
      </c>
      <c r="J6400">
        <f>IF(F6400="","none",IF(G6400=1,"carte","multiple"))</f>
        <v/>
      </c>
    </row>
    <row r="6401">
      <c r="A6401" t="inlineStr">
        <is>
          <t>2022-10-30</t>
        </is>
      </c>
      <c r="B6401" t="inlineStr">
        <is>
          <t>12:16</t>
        </is>
      </c>
      <c r="C6401" t="n">
        <v>3089</v>
      </c>
      <c r="D6401" s="6" t="n">
        <v>9</v>
      </c>
      <c r="E6401" t="n">
        <v>43560</v>
      </c>
      <c r="F6401" s="6" t="n">
        <v>9</v>
      </c>
      <c r="G6401" t="n">
        <v>1</v>
      </c>
      <c r="H6401" s="6">
        <f>ROUND(G6401*F6401,2)</f>
        <v/>
      </c>
      <c r="I6401">
        <f>IF(ROUND(H6401-D6401,2)=0,1,0)</f>
        <v/>
      </c>
      <c r="J6401">
        <f>IF(F6401="","none",IF(G6401=1,"carte","multiple"))</f>
        <v/>
      </c>
    </row>
    <row r="6402">
      <c r="A6402" t="inlineStr">
        <is>
          <t>2022-10-30</t>
        </is>
      </c>
      <c r="B6402" t="inlineStr">
        <is>
          <t>12:16</t>
        </is>
      </c>
      <c r="C6402" t="n">
        <v>3089</v>
      </c>
      <c r="D6402" s="6" t="n">
        <v>5.2</v>
      </c>
      <c r="E6402" t="n">
        <v>43561</v>
      </c>
      <c r="F6402" s="6" t="n">
        <v>5.2</v>
      </c>
      <c r="G6402" t="n">
        <v>1</v>
      </c>
      <c r="H6402" s="6">
        <f>ROUND(G6402*F6402,2)</f>
        <v/>
      </c>
      <c r="I6402">
        <f>IF(ROUND(H6402-D6402,2)=0,1,0)</f>
        <v/>
      </c>
      <c r="J6402">
        <f>IF(F6402="","none",IF(G6402=1,"carte","multiple"))</f>
        <v/>
      </c>
    </row>
    <row r="6403">
      <c r="A6403" t="inlineStr">
        <is>
          <t>2022-10-30</t>
        </is>
      </c>
      <c r="B6403" t="inlineStr">
        <is>
          <t>12:16</t>
        </is>
      </c>
      <c r="C6403" t="n">
        <v>3089</v>
      </c>
      <c r="D6403" s="6" t="n">
        <v>9.800000000000001</v>
      </c>
      <c r="E6403" t="n">
        <v>43562</v>
      </c>
      <c r="F6403" s="6" t="n">
        <v>9.800000000000001</v>
      </c>
      <c r="G6403" t="n">
        <v>1</v>
      </c>
      <c r="H6403" s="6">
        <f>ROUND(G6403*F6403,2)</f>
        <v/>
      </c>
      <c r="I6403">
        <f>IF(ROUND(H6403-D6403,2)=0,1,0)</f>
        <v/>
      </c>
      <c r="J6403">
        <f>IF(F6403="","none",IF(G6403=1,"carte","multiple"))</f>
        <v/>
      </c>
    </row>
    <row r="6404">
      <c r="A6404" t="inlineStr">
        <is>
          <t>2022-10-30</t>
        </is>
      </c>
      <c r="B6404" t="inlineStr">
        <is>
          <t>12:16</t>
        </is>
      </c>
      <c r="C6404" t="n">
        <v>3089</v>
      </c>
      <c r="D6404" s="6" t="n">
        <v>8.699999999999999</v>
      </c>
      <c r="E6404" t="n">
        <v>43563</v>
      </c>
      <c r="F6404" s="6" t="n">
        <v>8.699999999999999</v>
      </c>
      <c r="G6404" t="n">
        <v>1</v>
      </c>
      <c r="H6404" s="6">
        <f>ROUND(G6404*F6404,2)</f>
        <v/>
      </c>
      <c r="I6404">
        <f>IF(ROUND(H6404-D6404,2)=0,1,0)</f>
        <v/>
      </c>
      <c r="J6404">
        <f>IF(F6404="","none",IF(G6404=1,"carte","multiple"))</f>
        <v/>
      </c>
    </row>
    <row r="6405">
      <c r="A6405" t="inlineStr">
        <is>
          <t>2022-10-30</t>
        </is>
      </c>
      <c r="B6405" t="inlineStr">
        <is>
          <t>12:16</t>
        </is>
      </c>
      <c r="C6405" t="n">
        <v>3089</v>
      </c>
      <c r="D6405" s="6" t="n">
        <v>3.9</v>
      </c>
      <c r="E6405" t="n">
        <v>43564</v>
      </c>
      <c r="F6405" s="6" t="n">
        <v>3.9</v>
      </c>
      <c r="G6405" t="n">
        <v>1</v>
      </c>
      <c r="H6405" s="6">
        <f>ROUND(G6405*F6405,2)</f>
        <v/>
      </c>
      <c r="I6405">
        <f>IF(ROUND(H6405-D6405,2)=0,1,0)</f>
        <v/>
      </c>
      <c r="J6405">
        <f>IF(F6405="","none",IF(G6405=1,"carte","multiple"))</f>
        <v/>
      </c>
    </row>
    <row r="6406">
      <c r="A6406" t="inlineStr">
        <is>
          <t>2022-10-30</t>
        </is>
      </c>
      <c r="B6406" t="inlineStr">
        <is>
          <t>12:17</t>
        </is>
      </c>
      <c r="C6406" t="n">
        <v>3089</v>
      </c>
      <c r="D6406" s="6" t="n">
        <v>25</v>
      </c>
      <c r="E6406" t="n">
        <v>43565</v>
      </c>
      <c r="F6406" s="6" t="n">
        <v>25</v>
      </c>
      <c r="G6406" t="n">
        <v>1</v>
      </c>
      <c r="H6406" s="6">
        <f>ROUND(G6406*F6406,2)</f>
        <v/>
      </c>
      <c r="I6406">
        <f>IF(ROUND(H6406-D6406,2)=0,1,0)</f>
        <v/>
      </c>
      <c r="J6406">
        <f>IF(F6406="","none",IF(G6406=1,"carte","multiple"))</f>
        <v/>
      </c>
    </row>
    <row r="6407">
      <c r="A6407" t="inlineStr">
        <is>
          <t>2022-10-30</t>
        </is>
      </c>
      <c r="B6407" t="inlineStr">
        <is>
          <t>12:21</t>
        </is>
      </c>
      <c r="C6407" t="n">
        <v>3089</v>
      </c>
      <c r="D6407" s="6" t="n">
        <v>119.6</v>
      </c>
      <c r="E6407" t="n">
        <v>43566</v>
      </c>
      <c r="F6407" s="6" t="n">
        <v>0.4</v>
      </c>
      <c r="G6407" t="n">
        <v>299</v>
      </c>
      <c r="H6407" s="6">
        <f>ROUND(G6407*F6407,2)</f>
        <v/>
      </c>
      <c r="I6407">
        <f>IF(ROUND(H6407-D6407,2)=0,1,0)</f>
        <v/>
      </c>
      <c r="J6407">
        <f>IF(F6407="","none",IF(G6407=1,"carte","multiple"))</f>
        <v/>
      </c>
    </row>
    <row r="6408">
      <c r="A6408" t="inlineStr">
        <is>
          <t>2022-10-30</t>
        </is>
      </c>
      <c r="B6408" t="inlineStr">
        <is>
          <t>12:21</t>
        </is>
      </c>
      <c r="C6408" t="n">
        <v>3089</v>
      </c>
      <c r="D6408" s="6" t="n">
        <v>2.2</v>
      </c>
      <c r="E6408" t="n">
        <v>43567</v>
      </c>
      <c r="F6408" s="6" t="n">
        <v>2.2</v>
      </c>
      <c r="G6408" t="n">
        <v>1</v>
      </c>
      <c r="H6408" s="6">
        <f>ROUND(G6408*F6408,2)</f>
        <v/>
      </c>
      <c r="I6408">
        <f>IF(ROUND(H6408-D6408,2)=0,1,0)</f>
        <v/>
      </c>
      <c r="J6408">
        <f>IF(F6408="","none",IF(G6408=1,"carte","multiple"))</f>
        <v/>
      </c>
    </row>
    <row r="6409">
      <c r="A6409" t="inlineStr">
        <is>
          <t>2022-10-30</t>
        </is>
      </c>
      <c r="B6409" t="inlineStr">
        <is>
          <t>12:21</t>
        </is>
      </c>
      <c r="C6409" t="n">
        <v>3089</v>
      </c>
      <c r="D6409" s="6" t="n">
        <v>3.9</v>
      </c>
      <c r="E6409" t="n">
        <v>43568</v>
      </c>
      <c r="F6409" s="6" t="n">
        <v>3.9</v>
      </c>
      <c r="G6409" t="n">
        <v>1</v>
      </c>
      <c r="H6409" s="6">
        <f>ROUND(G6409*F6409,2)</f>
        <v/>
      </c>
      <c r="I6409">
        <f>IF(ROUND(H6409-D6409,2)=0,1,0)</f>
        <v/>
      </c>
      <c r="J6409">
        <f>IF(F6409="","none",IF(G6409=1,"carte","multiple"))</f>
        <v/>
      </c>
    </row>
    <row r="6410">
      <c r="A6410" t="inlineStr">
        <is>
          <t>2022-10-30</t>
        </is>
      </c>
      <c r="B6410" t="inlineStr">
        <is>
          <t>12:21</t>
        </is>
      </c>
      <c r="C6410" t="n">
        <v>3089</v>
      </c>
      <c r="D6410" s="6" t="n">
        <v>11.7</v>
      </c>
      <c r="E6410" t="n">
        <v>43569</v>
      </c>
      <c r="F6410" s="6" t="n">
        <v>0.9</v>
      </c>
      <c r="G6410" t="n">
        <v>13</v>
      </c>
      <c r="H6410" s="6">
        <f>ROUND(G6410*F6410,2)</f>
        <v/>
      </c>
      <c r="I6410">
        <f>IF(ROUND(H6410-D6410,2)=0,1,0)</f>
        <v/>
      </c>
      <c r="J6410">
        <f>IF(F6410="","none",IF(G6410=1,"carte","multiple"))</f>
        <v/>
      </c>
    </row>
    <row r="6411">
      <c r="A6411" t="inlineStr">
        <is>
          <t>2022-10-30</t>
        </is>
      </c>
      <c r="B6411" t="inlineStr">
        <is>
          <t>13:19</t>
        </is>
      </c>
      <c r="C6411" t="n">
        <v>3089</v>
      </c>
      <c r="D6411" s="6" t="n">
        <v>19.6</v>
      </c>
      <c r="E6411" t="n">
        <v>43571</v>
      </c>
      <c r="F6411" s="6" t="n">
        <v>0.4</v>
      </c>
      <c r="G6411" t="n">
        <v>49</v>
      </c>
      <c r="H6411" s="6">
        <f>ROUND(G6411*F6411,2)</f>
        <v/>
      </c>
      <c r="I6411">
        <f>IF(ROUND(H6411-D6411,2)=0,1,0)</f>
        <v/>
      </c>
      <c r="J6411">
        <f>IF(F6411="","none",IF(G6411=1,"carte","multiple"))</f>
        <v/>
      </c>
    </row>
    <row r="6412">
      <c r="A6412" t="inlineStr">
        <is>
          <t>2022-10-30</t>
        </is>
      </c>
      <c r="B6412" t="inlineStr">
        <is>
          <t>17:25</t>
        </is>
      </c>
      <c r="C6412" t="n">
        <v>3089</v>
      </c>
      <c r="D6412" s="6" t="n">
        <v>4.9</v>
      </c>
      <c r="E6412" t="n">
        <v>43573</v>
      </c>
      <c r="F6412" s="6" t="n">
        <v>4.9</v>
      </c>
      <c r="G6412" t="n">
        <v>1</v>
      </c>
      <c r="H6412" s="6">
        <f>ROUND(G6412*F6412,2)</f>
        <v/>
      </c>
      <c r="I6412">
        <f>IF(ROUND(H6412-D6412,2)=0,1,0)</f>
        <v/>
      </c>
      <c r="J6412">
        <f>IF(F6412="","none",IF(G6412=1,"carte","multiple"))</f>
        <v/>
      </c>
    </row>
    <row r="6413">
      <c r="A6413" t="inlineStr">
        <is>
          <t>2022-10-30</t>
        </is>
      </c>
      <c r="B6413" t="inlineStr">
        <is>
          <t>17:43</t>
        </is>
      </c>
      <c r="C6413" t="n">
        <v>3089</v>
      </c>
      <c r="D6413" s="6" t="n">
        <v>3.6</v>
      </c>
      <c r="E6413" t="n">
        <v>43574</v>
      </c>
      <c r="F6413" s="6" t="n">
        <v>3.6</v>
      </c>
      <c r="G6413" t="n">
        <v>1</v>
      </c>
      <c r="H6413" s="6">
        <f>ROUND(G6413*F6413,2)</f>
        <v/>
      </c>
      <c r="I6413">
        <f>IF(ROUND(H6413-D6413,2)=0,1,0)</f>
        <v/>
      </c>
      <c r="J6413">
        <f>IF(F6413="","none",IF(G6413=1,"carte","multiple"))</f>
        <v/>
      </c>
    </row>
    <row r="6414">
      <c r="A6414" t="inlineStr">
        <is>
          <t>2022-10-30</t>
        </is>
      </c>
      <c r="B6414" t="inlineStr">
        <is>
          <t>17:43</t>
        </is>
      </c>
      <c r="C6414" t="n">
        <v>3089</v>
      </c>
      <c r="D6414" s="6" t="n">
        <v>28.6</v>
      </c>
      <c r="E6414" t="n">
        <v>43575</v>
      </c>
      <c r="F6414" s="6" t="n">
        <v>28.6</v>
      </c>
      <c r="G6414" t="n">
        <v>1</v>
      </c>
      <c r="H6414" s="6">
        <f>ROUND(G6414*F6414,2)</f>
        <v/>
      </c>
      <c r="I6414">
        <f>IF(ROUND(H6414-D6414,2)=0,1,0)</f>
        <v/>
      </c>
      <c r="J6414">
        <f>IF(F6414="","none",IF(G6414=1,"carte","multiple"))</f>
        <v/>
      </c>
    </row>
    <row r="6415">
      <c r="A6415" t="inlineStr">
        <is>
          <t>2022-10-30</t>
        </is>
      </c>
      <c r="B6415" t="inlineStr">
        <is>
          <t>18:17</t>
        </is>
      </c>
      <c r="C6415" t="n">
        <v>3089</v>
      </c>
      <c r="D6415" s="6" t="n">
        <v>5.2</v>
      </c>
      <c r="E6415" t="n">
        <v>43576</v>
      </c>
      <c r="F6415" s="6" t="n">
        <v>5.2</v>
      </c>
      <c r="G6415" t="n">
        <v>1</v>
      </c>
      <c r="H6415" s="6">
        <f>ROUND(G6415*F6415,2)</f>
        <v/>
      </c>
      <c r="I6415">
        <f>IF(ROUND(H6415-D6415,2)=0,1,0)</f>
        <v/>
      </c>
      <c r="J6415">
        <f>IF(F6415="","none",IF(G6415=1,"carte","multiple"))</f>
        <v/>
      </c>
    </row>
    <row r="6416">
      <c r="A6416" t="inlineStr">
        <is>
          <t>2022-10-30</t>
        </is>
      </c>
      <c r="B6416" t="inlineStr">
        <is>
          <t>18:18</t>
        </is>
      </c>
      <c r="C6416" t="n">
        <v>3089</v>
      </c>
      <c r="D6416" s="6" t="n">
        <v>3.8</v>
      </c>
      <c r="E6416" t="n">
        <v>43577</v>
      </c>
      <c r="F6416" s="6" t="n">
        <v>3.8</v>
      </c>
      <c r="G6416" t="n">
        <v>1</v>
      </c>
      <c r="H6416" s="6">
        <f>ROUND(G6416*F6416,2)</f>
        <v/>
      </c>
      <c r="I6416">
        <f>IF(ROUND(H6416-D6416,2)=0,1,0)</f>
        <v/>
      </c>
      <c r="J6416">
        <f>IF(F6416="","none",IF(G6416=1,"carte","multiple"))</f>
        <v/>
      </c>
    </row>
    <row r="6417">
      <c r="A6417" t="inlineStr">
        <is>
          <t>2022-10-30</t>
        </is>
      </c>
      <c r="B6417" t="inlineStr">
        <is>
          <t>18:22</t>
        </is>
      </c>
      <c r="C6417" t="n">
        <v>3089</v>
      </c>
      <c r="D6417" s="6" t="n">
        <v>59.8</v>
      </c>
      <c r="E6417" t="n">
        <v>43578</v>
      </c>
      <c r="F6417" s="6" t="n">
        <v>4.6</v>
      </c>
      <c r="G6417" t="n">
        <v>13</v>
      </c>
      <c r="H6417" s="6">
        <f>ROUND(G6417*F6417,2)</f>
        <v/>
      </c>
      <c r="I6417">
        <f>IF(ROUND(H6417-D6417,2)=0,1,0)</f>
        <v/>
      </c>
      <c r="J6417">
        <f>IF(F6417="","none",IF(G6417=1,"carte","multiple"))</f>
        <v/>
      </c>
    </row>
    <row r="6418">
      <c r="A6418" t="inlineStr">
        <is>
          <t>2022-10-30</t>
        </is>
      </c>
      <c r="B6418" t="inlineStr">
        <is>
          <t>18:22</t>
        </is>
      </c>
      <c r="C6418" t="n">
        <v>3089</v>
      </c>
      <c r="D6418" s="6" t="n">
        <v>3.9</v>
      </c>
      <c r="E6418" t="n">
        <v>43579</v>
      </c>
      <c r="F6418" s="6" t="n">
        <v>3.9</v>
      </c>
      <c r="G6418" t="n">
        <v>1</v>
      </c>
      <c r="H6418" s="6">
        <f>ROUND(G6418*F6418,2)</f>
        <v/>
      </c>
      <c r="I6418">
        <f>IF(ROUND(H6418-D6418,2)=0,1,0)</f>
        <v/>
      </c>
      <c r="J6418">
        <f>IF(F6418="","none",IF(G6418=1,"carte","multiple"))</f>
        <v/>
      </c>
    </row>
    <row r="6419">
      <c r="A6419" t="inlineStr">
        <is>
          <t>2022-10-30</t>
        </is>
      </c>
      <c r="B6419" t="inlineStr">
        <is>
          <t>18:22</t>
        </is>
      </c>
      <c r="C6419" t="n">
        <v>3089</v>
      </c>
      <c r="D6419" s="6" t="n">
        <v>5.2</v>
      </c>
      <c r="E6419" t="n">
        <v>43580</v>
      </c>
      <c r="F6419" s="6" t="n">
        <v>5.2</v>
      </c>
      <c r="G6419" t="n">
        <v>1</v>
      </c>
      <c r="H6419" s="6">
        <f>ROUND(G6419*F6419,2)</f>
        <v/>
      </c>
      <c r="I6419">
        <f>IF(ROUND(H6419-D6419,2)=0,1,0)</f>
        <v/>
      </c>
      <c r="J6419">
        <f>IF(F6419="","none",IF(G6419=1,"carte","multiple"))</f>
        <v/>
      </c>
    </row>
    <row r="6420">
      <c r="A6420" t="inlineStr">
        <is>
          <t>2022-10-30</t>
        </is>
      </c>
      <c r="B6420" t="inlineStr">
        <is>
          <t>18:31</t>
        </is>
      </c>
      <c r="C6420" t="n">
        <v>3089</v>
      </c>
      <c r="D6420" s="6" t="n">
        <v>11</v>
      </c>
      <c r="E6420" t="n">
        <v>43581</v>
      </c>
      <c r="F6420" s="6" t="n">
        <v>11</v>
      </c>
      <c r="G6420" t="n">
        <v>1</v>
      </c>
      <c r="H6420" s="6">
        <f>ROUND(G6420*F6420,2)</f>
        <v/>
      </c>
      <c r="I6420">
        <f>IF(ROUND(H6420-D6420,2)=0,1,0)</f>
        <v/>
      </c>
      <c r="J6420">
        <f>IF(F6420="","none",IF(G6420=1,"carte","multiple"))</f>
        <v/>
      </c>
    </row>
    <row r="6421">
      <c r="A6421" t="inlineStr">
        <is>
          <t>2022-10-30</t>
        </is>
      </c>
      <c r="B6421" t="inlineStr">
        <is>
          <t>19:06</t>
        </is>
      </c>
      <c r="C6421" t="n">
        <v>3089</v>
      </c>
      <c r="D6421" s="6" t="n">
        <v>2.2</v>
      </c>
      <c r="E6421" t="n">
        <v>43582</v>
      </c>
      <c r="F6421" s="6" t="n">
        <v>2.2</v>
      </c>
      <c r="G6421" t="n">
        <v>1</v>
      </c>
      <c r="H6421" s="6">
        <f>ROUND(G6421*F6421,2)</f>
        <v/>
      </c>
      <c r="I6421">
        <f>IF(ROUND(H6421-D6421,2)=0,1,0)</f>
        <v/>
      </c>
      <c r="J6421">
        <f>IF(F6421="","none",IF(G6421=1,"carte","multiple"))</f>
        <v/>
      </c>
    </row>
    <row r="6422">
      <c r="A6422" t="inlineStr">
        <is>
          <t>2022-10-30</t>
        </is>
      </c>
      <c r="B6422" t="inlineStr">
        <is>
          <t>19:06</t>
        </is>
      </c>
      <c r="C6422" t="n">
        <v>3089</v>
      </c>
      <c r="D6422" s="6" t="n">
        <v>37.2</v>
      </c>
      <c r="E6422" t="n">
        <v>43583</v>
      </c>
      <c r="F6422" s="6" t="n">
        <v>0.4</v>
      </c>
      <c r="G6422" t="n">
        <v>93</v>
      </c>
      <c r="H6422" s="6">
        <f>ROUND(G6422*F6422,2)</f>
        <v/>
      </c>
      <c r="I6422">
        <f>IF(ROUND(H6422-D6422,2)=0,1,0)</f>
        <v/>
      </c>
      <c r="J6422">
        <f>IF(F6422="","none",IF(G6422=1,"carte","multiple"))</f>
        <v/>
      </c>
    </row>
    <row r="6423">
      <c r="A6423" t="inlineStr">
        <is>
          <t>2022-10-30</t>
        </is>
      </c>
      <c r="B6423" t="inlineStr">
        <is>
          <t>19:06</t>
        </is>
      </c>
      <c r="C6423" t="n">
        <v>3089</v>
      </c>
      <c r="D6423" s="6" t="n">
        <v>50</v>
      </c>
      <c r="E6423" t="n">
        <v>43584</v>
      </c>
      <c r="F6423" s="6" t="n">
        <v>50</v>
      </c>
      <c r="G6423" t="n">
        <v>1</v>
      </c>
      <c r="H6423" s="6">
        <f>ROUND(G6423*F6423,2)</f>
        <v/>
      </c>
      <c r="I6423">
        <f>IF(ROUND(H6423-D6423,2)=0,1,0)</f>
        <v/>
      </c>
      <c r="J6423">
        <f>IF(F6423="","none",IF(G6423=1,"carte","multiple"))</f>
        <v/>
      </c>
    </row>
    <row r="6424">
      <c r="A6424" t="inlineStr">
        <is>
          <t>2022-10-30</t>
        </is>
      </c>
      <c r="B6424" t="inlineStr">
        <is>
          <t>19:06</t>
        </is>
      </c>
      <c r="C6424" t="n">
        <v>3089</v>
      </c>
      <c r="D6424" s="6" t="n">
        <v>4.2</v>
      </c>
      <c r="E6424" t="n">
        <v>43585</v>
      </c>
      <c r="F6424" s="6" t="n">
        <v>4.2</v>
      </c>
      <c r="G6424" t="n">
        <v>1</v>
      </c>
      <c r="H6424" s="6">
        <f>ROUND(G6424*F6424,2)</f>
        <v/>
      </c>
      <c r="I6424">
        <f>IF(ROUND(H6424-D6424,2)=0,1,0)</f>
        <v/>
      </c>
      <c r="J6424">
        <f>IF(F6424="","none",IF(G6424=1,"carte","multiple"))</f>
        <v/>
      </c>
    </row>
    <row r="6425">
      <c r="A6425" t="inlineStr">
        <is>
          <t>2022-10-30</t>
        </is>
      </c>
      <c r="B6425" t="inlineStr">
        <is>
          <t>19:06</t>
        </is>
      </c>
      <c r="C6425" t="n">
        <v>3089</v>
      </c>
      <c r="D6425" s="6" t="n">
        <v>11.7</v>
      </c>
      <c r="E6425" t="n">
        <v>43586</v>
      </c>
      <c r="F6425" s="6" t="n">
        <v>0.9</v>
      </c>
      <c r="G6425" t="n">
        <v>13</v>
      </c>
      <c r="H6425" s="6">
        <f>ROUND(G6425*F6425,2)</f>
        <v/>
      </c>
      <c r="I6425">
        <f>IF(ROUND(H6425-D6425,2)=0,1,0)</f>
        <v/>
      </c>
      <c r="J6425">
        <f>IF(F6425="","none",IF(G6425=1,"carte","multiple"))</f>
        <v/>
      </c>
    </row>
    <row r="6426">
      <c r="A6426" t="inlineStr">
        <is>
          <t>2022-10-30</t>
        </is>
      </c>
      <c r="B6426" t="inlineStr">
        <is>
          <t>19:24</t>
        </is>
      </c>
      <c r="C6426" t="n">
        <v>3089</v>
      </c>
      <c r="D6426" s="6" t="n">
        <v>51.8</v>
      </c>
      <c r="E6426" t="n">
        <v>43587</v>
      </c>
      <c r="F6426" s="6" t="n">
        <v>1.4</v>
      </c>
      <c r="G6426" t="n">
        <v>37</v>
      </c>
      <c r="H6426" s="6">
        <f>ROUND(G6426*F6426,2)</f>
        <v/>
      </c>
      <c r="I6426">
        <f>IF(ROUND(H6426-D6426,2)=0,1,0)</f>
        <v/>
      </c>
      <c r="J6426">
        <f>IF(F6426="","none",IF(G6426=1,"carte","multiple"))</f>
        <v/>
      </c>
    </row>
    <row r="6427">
      <c r="A6427" t="inlineStr">
        <is>
          <t>2022-10-30</t>
        </is>
      </c>
      <c r="B6427" t="inlineStr">
        <is>
          <t>19:24</t>
        </is>
      </c>
      <c r="C6427" t="n">
        <v>3089</v>
      </c>
      <c r="D6427" s="6" t="n">
        <v>24</v>
      </c>
      <c r="E6427" t="n">
        <v>43588</v>
      </c>
      <c r="F6427" s="6" t="n">
        <v>24</v>
      </c>
      <c r="G6427" t="n">
        <v>1</v>
      </c>
      <c r="H6427" s="6">
        <f>ROUND(G6427*F6427,2)</f>
        <v/>
      </c>
      <c r="I6427">
        <f>IF(ROUND(H6427-D6427,2)=0,1,0)</f>
        <v/>
      </c>
      <c r="J6427">
        <f>IF(F6427="","none",IF(G6427=1,"carte","multiple"))</f>
        <v/>
      </c>
    </row>
    <row r="6428">
      <c r="A6428" t="inlineStr">
        <is>
          <t>2022-10-30</t>
        </is>
      </c>
      <c r="B6428" t="inlineStr">
        <is>
          <t>19:24</t>
        </is>
      </c>
      <c r="C6428" t="n">
        <v>3089</v>
      </c>
      <c r="D6428" s="6" t="n">
        <v>3.9</v>
      </c>
      <c r="E6428" t="n">
        <v>43589</v>
      </c>
      <c r="F6428" s="6" t="n">
        <v>3.9</v>
      </c>
      <c r="G6428" t="n">
        <v>1</v>
      </c>
      <c r="H6428" s="6">
        <f>ROUND(G6428*F6428,2)</f>
        <v/>
      </c>
      <c r="I6428">
        <f>IF(ROUND(H6428-D6428,2)=0,1,0)</f>
        <v/>
      </c>
      <c r="J6428">
        <f>IF(F6428="","none",IF(G6428=1,"carte","multiple"))</f>
        <v/>
      </c>
    </row>
    <row r="6429">
      <c r="A6429" t="inlineStr">
        <is>
          <t>2022-10-30</t>
        </is>
      </c>
      <c r="B6429" t="inlineStr">
        <is>
          <t>19:24</t>
        </is>
      </c>
      <c r="C6429" t="n">
        <v>3089</v>
      </c>
      <c r="D6429" s="6" t="n">
        <v>8.9</v>
      </c>
      <c r="E6429" t="n">
        <v>43590</v>
      </c>
      <c r="F6429" s="6" t="n">
        <v>8.9</v>
      </c>
      <c r="G6429" t="n">
        <v>1</v>
      </c>
      <c r="H6429" s="6">
        <f>ROUND(G6429*F6429,2)</f>
        <v/>
      </c>
      <c r="I6429">
        <f>IF(ROUND(H6429-D6429,2)=0,1,0)</f>
        <v/>
      </c>
      <c r="J6429">
        <f>IF(F6429="","none",IF(G6429=1,"carte","multiple"))</f>
        <v/>
      </c>
    </row>
    <row r="6430">
      <c r="A6430" t="inlineStr">
        <is>
          <t>2022-10-30</t>
        </is>
      </c>
      <c r="B6430" t="inlineStr">
        <is>
          <t>19:24</t>
        </is>
      </c>
      <c r="C6430" t="n">
        <v>3089</v>
      </c>
      <c r="D6430" s="6" t="n">
        <v>5.9</v>
      </c>
      <c r="E6430" t="n">
        <v>43591</v>
      </c>
      <c r="F6430" s="6" t="n">
        <v>5.9</v>
      </c>
      <c r="G6430" t="n">
        <v>1</v>
      </c>
      <c r="H6430" s="6">
        <f>ROUND(G6430*F6430,2)</f>
        <v/>
      </c>
      <c r="I6430">
        <f>IF(ROUND(H6430-D6430,2)=0,1,0)</f>
        <v/>
      </c>
      <c r="J6430">
        <f>IF(F6430="","none",IF(G6430=1,"carte","multiple"))</f>
        <v/>
      </c>
    </row>
    <row r="6431">
      <c r="A6431" t="inlineStr">
        <is>
          <t>2022-10-30</t>
        </is>
      </c>
      <c r="B6431" t="inlineStr">
        <is>
          <t>19:43</t>
        </is>
      </c>
      <c r="C6431" t="n">
        <v>3089</v>
      </c>
      <c r="D6431" s="6" t="n">
        <v>3.9</v>
      </c>
      <c r="E6431" t="n">
        <v>43592</v>
      </c>
      <c r="F6431" s="6" t="n">
        <v>3.9</v>
      </c>
      <c r="G6431" t="n">
        <v>1</v>
      </c>
      <c r="H6431" s="6">
        <f>ROUND(G6431*F6431,2)</f>
        <v/>
      </c>
      <c r="I6431">
        <f>IF(ROUND(H6431-D6431,2)=0,1,0)</f>
        <v/>
      </c>
      <c r="J6431">
        <f>IF(F6431="","none",IF(G6431=1,"carte","multiple"))</f>
        <v/>
      </c>
    </row>
    <row r="6432">
      <c r="A6432" t="inlineStr">
        <is>
          <t>2022-10-30</t>
        </is>
      </c>
      <c r="B6432" t="inlineStr">
        <is>
          <t>20:05</t>
        </is>
      </c>
      <c r="C6432" t="n">
        <v>3089</v>
      </c>
      <c r="D6432" s="6" t="n">
        <v>3.9</v>
      </c>
      <c r="E6432" t="n">
        <v>43593</v>
      </c>
      <c r="F6432" s="6" t="n">
        <v>3.9</v>
      </c>
      <c r="G6432" t="n">
        <v>1</v>
      </c>
      <c r="H6432" s="6">
        <f>ROUND(G6432*F6432,2)</f>
        <v/>
      </c>
      <c r="I6432">
        <f>IF(ROUND(H6432-D6432,2)=0,1,0)</f>
        <v/>
      </c>
      <c r="J6432">
        <f>IF(F6432="","none",IF(G6432=1,"carte","multiple"))</f>
        <v/>
      </c>
    </row>
    <row r="6433">
      <c r="A6433" t="inlineStr">
        <is>
          <t>2022-10-30</t>
        </is>
      </c>
      <c r="B6433" t="inlineStr">
        <is>
          <t>20:06</t>
        </is>
      </c>
      <c r="C6433" t="n">
        <v>3089</v>
      </c>
      <c r="D6433" s="6" t="n">
        <v>8.9</v>
      </c>
      <c r="E6433" t="n">
        <v>43594</v>
      </c>
      <c r="F6433" s="6" t="n">
        <v>8.9</v>
      </c>
      <c r="G6433" t="n">
        <v>1</v>
      </c>
      <c r="H6433" s="6">
        <f>ROUND(G6433*F6433,2)</f>
        <v/>
      </c>
      <c r="I6433">
        <f>IF(ROUND(H6433-D6433,2)=0,1,0)</f>
        <v/>
      </c>
      <c r="J6433">
        <f>IF(F6433="","none",IF(G6433=1,"carte","multiple"))</f>
        <v/>
      </c>
    </row>
    <row r="6434">
      <c r="A6434" t="inlineStr">
        <is>
          <t>2022-10-30</t>
        </is>
      </c>
      <c r="B6434" t="inlineStr">
        <is>
          <t>20:06</t>
        </is>
      </c>
      <c r="C6434" t="n">
        <v>3089</v>
      </c>
      <c r="D6434" s="6" t="n">
        <v>0</v>
      </c>
      <c r="E6434" t="n">
        <v>43595</v>
      </c>
      <c r="H6434" t="inlineStr"/>
      <c r="I6434" t="inlineStr"/>
      <c r="J6434">
        <f>IF(F6434="","none",IF(G6434=1,"carte","multiple"))</f>
        <v/>
      </c>
    </row>
    <row r="6435">
      <c r="A6435" t="inlineStr">
        <is>
          <t>2022-10-30</t>
        </is>
      </c>
      <c r="B6435" t="inlineStr">
        <is>
          <t>20:06</t>
        </is>
      </c>
      <c r="C6435" t="n">
        <v>3089</v>
      </c>
      <c r="D6435" s="6" t="n">
        <v>0</v>
      </c>
      <c r="E6435" t="n">
        <v>43596</v>
      </c>
      <c r="H6435" t="inlineStr"/>
      <c r="I6435" t="inlineStr"/>
      <c r="J6435">
        <f>IF(F6435="","none",IF(G6435=1,"carte","multiple"))</f>
        <v/>
      </c>
    </row>
    <row r="6436">
      <c r="A6436" t="inlineStr">
        <is>
          <t>2022-10-30</t>
        </is>
      </c>
      <c r="B6436" t="inlineStr">
        <is>
          <t>20:06</t>
        </is>
      </c>
      <c r="C6436" t="n">
        <v>3089</v>
      </c>
      <c r="D6436" s="6" t="n">
        <v>0</v>
      </c>
      <c r="E6436" t="n">
        <v>43597</v>
      </c>
      <c r="H6436" t="inlineStr"/>
      <c r="I6436" t="inlineStr"/>
      <c r="J6436">
        <f>IF(F6436="","none",IF(G6436=1,"carte","multiple"))</f>
        <v/>
      </c>
    </row>
    <row r="6437">
      <c r="A6437" t="inlineStr">
        <is>
          <t>2022-10-30</t>
        </is>
      </c>
      <c r="B6437" t="inlineStr">
        <is>
          <t>20:06</t>
        </is>
      </c>
      <c r="C6437" t="n">
        <v>3089</v>
      </c>
      <c r="D6437" s="6" t="n">
        <v>0</v>
      </c>
      <c r="E6437" t="n">
        <v>43598</v>
      </c>
      <c r="H6437" t="inlineStr"/>
      <c r="I6437" t="inlineStr"/>
      <c r="J6437">
        <f>IF(F6437="","none",IF(G6437=1,"carte","multiple"))</f>
        <v/>
      </c>
    </row>
    <row r="6438">
      <c r="A6438" t="inlineStr">
        <is>
          <t>2022-10-30</t>
        </is>
      </c>
      <c r="B6438" t="inlineStr">
        <is>
          <t>20:06</t>
        </is>
      </c>
      <c r="C6438" t="n">
        <v>3089</v>
      </c>
      <c r="D6438" s="6" t="n">
        <v>0</v>
      </c>
      <c r="E6438" t="n">
        <v>43599</v>
      </c>
      <c r="H6438" t="inlineStr"/>
      <c r="I6438" t="inlineStr"/>
      <c r="J6438">
        <f>IF(F6438="","none",IF(G6438=1,"carte","multiple"))</f>
        <v/>
      </c>
    </row>
    <row r="6439">
      <c r="A6439" t="inlineStr">
        <is>
          <t>2022-11-02</t>
        </is>
      </c>
      <c r="B6439" t="inlineStr">
        <is>
          <t>11:41</t>
        </is>
      </c>
      <c r="C6439" t="n">
        <v>3090</v>
      </c>
      <c r="D6439" s="6" t="n">
        <v>3.9</v>
      </c>
      <c r="E6439" t="n">
        <v>43602</v>
      </c>
      <c r="F6439" s="6" t="n">
        <v>3.9</v>
      </c>
      <c r="G6439" t="n">
        <v>1</v>
      </c>
      <c r="H6439" s="6">
        <f>ROUND(G6439*F6439,2)</f>
        <v/>
      </c>
      <c r="I6439">
        <f>IF(ROUND(H6439-D6439,2)=0,1,0)</f>
        <v/>
      </c>
      <c r="J6439">
        <f>IF(F6439="","none",IF(G6439=1,"carte","multiple"))</f>
        <v/>
      </c>
    </row>
    <row r="6440">
      <c r="A6440" t="inlineStr">
        <is>
          <t>2022-11-02</t>
        </is>
      </c>
      <c r="B6440" t="inlineStr">
        <is>
          <t>11:41</t>
        </is>
      </c>
      <c r="C6440" t="n">
        <v>3090</v>
      </c>
      <c r="D6440" s="6" t="n">
        <v>2</v>
      </c>
      <c r="E6440" t="n">
        <v>43603</v>
      </c>
      <c r="F6440" s="6" t="n">
        <v>2</v>
      </c>
      <c r="G6440" t="n">
        <v>1</v>
      </c>
      <c r="H6440" s="6">
        <f>ROUND(G6440*F6440,2)</f>
        <v/>
      </c>
      <c r="I6440">
        <f>IF(ROUND(H6440-D6440,2)=0,1,0)</f>
        <v/>
      </c>
      <c r="J6440">
        <f>IF(F6440="","none",IF(G6440=1,"carte","multiple"))</f>
        <v/>
      </c>
    </row>
    <row r="6441">
      <c r="A6441" t="inlineStr">
        <is>
          <t>2022-11-02</t>
        </is>
      </c>
      <c r="B6441" t="inlineStr">
        <is>
          <t>11:41</t>
        </is>
      </c>
      <c r="C6441" t="n">
        <v>3090</v>
      </c>
      <c r="D6441" s="6" t="n">
        <v>18.6</v>
      </c>
      <c r="E6441" t="n">
        <v>43604</v>
      </c>
      <c r="F6441" s="6" t="n">
        <v>18.6</v>
      </c>
      <c r="G6441" t="n">
        <v>1</v>
      </c>
      <c r="H6441" s="6">
        <f>ROUND(G6441*F6441,2)</f>
        <v/>
      </c>
      <c r="I6441">
        <f>IF(ROUND(H6441-D6441,2)=0,1,0)</f>
        <v/>
      </c>
      <c r="J6441">
        <f>IF(F6441="","none",IF(G6441=1,"carte","multiple"))</f>
        <v/>
      </c>
    </row>
    <row r="6442">
      <c r="A6442" t="inlineStr">
        <is>
          <t>2022-11-02</t>
        </is>
      </c>
      <c r="B6442" t="inlineStr">
        <is>
          <t>11:41</t>
        </is>
      </c>
      <c r="C6442" t="n">
        <v>3090</v>
      </c>
      <c r="D6442" s="6" t="n">
        <v>19</v>
      </c>
      <c r="E6442" t="n">
        <v>43605</v>
      </c>
      <c r="F6442" s="6" t="n">
        <v>19</v>
      </c>
      <c r="G6442" t="n">
        <v>1</v>
      </c>
      <c r="H6442" s="6">
        <f>ROUND(G6442*F6442,2)</f>
        <v/>
      </c>
      <c r="I6442">
        <f>IF(ROUND(H6442-D6442,2)=0,1,0)</f>
        <v/>
      </c>
      <c r="J6442">
        <f>IF(F6442="","none",IF(G6442=1,"carte","multiple"))</f>
        <v/>
      </c>
    </row>
    <row r="6443">
      <c r="A6443" t="inlineStr">
        <is>
          <t>2022-11-02</t>
        </is>
      </c>
      <c r="B6443" t="inlineStr">
        <is>
          <t>11:41</t>
        </is>
      </c>
      <c r="C6443" t="n">
        <v>3090</v>
      </c>
      <c r="D6443" s="6" t="n">
        <v>12.5</v>
      </c>
      <c r="E6443" t="n">
        <v>43606</v>
      </c>
      <c r="F6443" s="6" t="n">
        <v>12.5</v>
      </c>
      <c r="G6443" t="n">
        <v>1</v>
      </c>
      <c r="H6443" s="6">
        <f>ROUND(G6443*F6443,2)</f>
        <v/>
      </c>
      <c r="I6443">
        <f>IF(ROUND(H6443-D6443,2)=0,1,0)</f>
        <v/>
      </c>
      <c r="J6443">
        <f>IF(F6443="","none",IF(G6443=1,"carte","multiple"))</f>
        <v/>
      </c>
    </row>
    <row r="6444">
      <c r="A6444" t="inlineStr">
        <is>
          <t>2022-11-02</t>
        </is>
      </c>
      <c r="B6444" t="inlineStr">
        <is>
          <t>12:18</t>
        </is>
      </c>
      <c r="C6444" t="n">
        <v>3090</v>
      </c>
      <c r="D6444" s="6" t="n">
        <v>68</v>
      </c>
      <c r="E6444" t="n">
        <v>43607</v>
      </c>
      <c r="F6444" s="6" t="n">
        <v>0.4</v>
      </c>
      <c r="G6444" t="n">
        <v>170</v>
      </c>
      <c r="H6444" s="6">
        <f>ROUND(G6444*F6444,2)</f>
        <v/>
      </c>
      <c r="I6444">
        <f>IF(ROUND(H6444-D6444,2)=0,1,0)</f>
        <v/>
      </c>
      <c r="J6444">
        <f>IF(F6444="","none",IF(G6444=1,"carte","multiple"))</f>
        <v/>
      </c>
    </row>
    <row r="6445">
      <c r="A6445" t="inlineStr">
        <is>
          <t>2022-11-02</t>
        </is>
      </c>
      <c r="B6445" t="inlineStr">
        <is>
          <t>12:18</t>
        </is>
      </c>
      <c r="C6445" t="n">
        <v>3090</v>
      </c>
      <c r="D6445" s="6" t="n">
        <v>15.8</v>
      </c>
      <c r="E6445" t="n">
        <v>43608</v>
      </c>
      <c r="F6445" s="6" t="n">
        <v>7.9</v>
      </c>
      <c r="G6445" t="n">
        <v>2</v>
      </c>
      <c r="H6445" s="6">
        <f>ROUND(G6445*F6445,2)</f>
        <v/>
      </c>
      <c r="I6445">
        <f>IF(ROUND(H6445-D6445,2)=0,1,0)</f>
        <v/>
      </c>
      <c r="J6445">
        <f>IF(F6445="","none",IF(G6445=1,"carte","multiple"))</f>
        <v/>
      </c>
    </row>
    <row r="6446">
      <c r="A6446" t="inlineStr">
        <is>
          <t>2022-11-02</t>
        </is>
      </c>
      <c r="B6446" t="inlineStr">
        <is>
          <t>12:23</t>
        </is>
      </c>
      <c r="C6446" t="n">
        <v>3090</v>
      </c>
      <c r="D6446" s="6" t="n">
        <v>5.6</v>
      </c>
      <c r="E6446" t="n">
        <v>43609</v>
      </c>
      <c r="F6446" s="6" t="n">
        <v>5.6</v>
      </c>
      <c r="G6446" t="n">
        <v>1</v>
      </c>
      <c r="H6446" s="6">
        <f>ROUND(G6446*F6446,2)</f>
        <v/>
      </c>
      <c r="I6446">
        <f>IF(ROUND(H6446-D6446,2)=0,1,0)</f>
        <v/>
      </c>
      <c r="J6446">
        <f>IF(F6446="","none",IF(G6446=1,"carte","multiple"))</f>
        <v/>
      </c>
    </row>
    <row r="6447">
      <c r="A6447" t="inlineStr">
        <is>
          <t>2022-11-02</t>
        </is>
      </c>
      <c r="B6447" t="inlineStr">
        <is>
          <t>12:23</t>
        </is>
      </c>
      <c r="C6447" t="n">
        <v>3090</v>
      </c>
      <c r="D6447" s="6" t="n">
        <v>18.6</v>
      </c>
      <c r="E6447" t="n">
        <v>43610</v>
      </c>
      <c r="F6447" s="6" t="n">
        <v>18.6</v>
      </c>
      <c r="G6447" t="n">
        <v>1</v>
      </c>
      <c r="H6447" s="6">
        <f>ROUND(G6447*F6447,2)</f>
        <v/>
      </c>
      <c r="I6447">
        <f>IF(ROUND(H6447-D6447,2)=0,1,0)</f>
        <v/>
      </c>
      <c r="J6447">
        <f>IF(F6447="","none",IF(G6447=1,"carte","multiple"))</f>
        <v/>
      </c>
    </row>
    <row r="6448">
      <c r="A6448" t="inlineStr">
        <is>
          <t>2022-11-02</t>
        </is>
      </c>
      <c r="B6448" t="inlineStr">
        <is>
          <t>12:23</t>
        </is>
      </c>
      <c r="C6448" t="n">
        <v>3090</v>
      </c>
      <c r="D6448" s="6" t="n">
        <v>16.5</v>
      </c>
      <c r="E6448" t="n">
        <v>43611</v>
      </c>
      <c r="F6448" s="6" t="n">
        <v>16.5</v>
      </c>
      <c r="G6448" t="n">
        <v>1</v>
      </c>
      <c r="H6448" s="6">
        <f>ROUND(G6448*F6448,2)</f>
        <v/>
      </c>
      <c r="I6448">
        <f>IF(ROUND(H6448-D6448,2)=0,1,0)</f>
        <v/>
      </c>
      <c r="J6448">
        <f>IF(F6448="","none",IF(G6448=1,"carte","multiple"))</f>
        <v/>
      </c>
    </row>
    <row r="6449">
      <c r="A6449" t="inlineStr">
        <is>
          <t>2022-11-02</t>
        </is>
      </c>
      <c r="B6449" t="inlineStr">
        <is>
          <t>12:23</t>
        </is>
      </c>
      <c r="C6449" t="n">
        <v>3090</v>
      </c>
      <c r="D6449" s="6" t="n">
        <v>4.2</v>
      </c>
      <c r="E6449" t="n">
        <v>43612</v>
      </c>
      <c r="F6449" s="6" t="n">
        <v>4.2</v>
      </c>
      <c r="G6449" t="n">
        <v>1</v>
      </c>
      <c r="H6449" s="6">
        <f>ROUND(G6449*F6449,2)</f>
        <v/>
      </c>
      <c r="I6449">
        <f>IF(ROUND(H6449-D6449,2)=0,1,0)</f>
        <v/>
      </c>
      <c r="J6449">
        <f>IF(F6449="","none",IF(G6449=1,"carte","multiple"))</f>
        <v/>
      </c>
    </row>
    <row r="6450">
      <c r="A6450" t="inlineStr">
        <is>
          <t>2022-11-02</t>
        </is>
      </c>
      <c r="B6450" t="inlineStr">
        <is>
          <t>12:23</t>
        </is>
      </c>
      <c r="C6450" t="n">
        <v>3090</v>
      </c>
      <c r="D6450" s="6" t="n">
        <v>4</v>
      </c>
      <c r="E6450" t="n">
        <v>43613</v>
      </c>
      <c r="F6450" s="6" t="n">
        <v>4</v>
      </c>
      <c r="G6450" t="n">
        <v>1</v>
      </c>
      <c r="H6450" s="6">
        <f>ROUND(G6450*F6450,2)</f>
        <v/>
      </c>
      <c r="I6450">
        <f>IF(ROUND(H6450-D6450,2)=0,1,0)</f>
        <v/>
      </c>
      <c r="J6450">
        <f>IF(F6450="","none",IF(G6450=1,"carte","multiple"))</f>
        <v/>
      </c>
    </row>
    <row r="6451">
      <c r="A6451" t="inlineStr">
        <is>
          <t>2022-11-02</t>
        </is>
      </c>
      <c r="B6451" t="inlineStr">
        <is>
          <t>12:49</t>
        </is>
      </c>
      <c r="C6451" t="n">
        <v>3090</v>
      </c>
      <c r="D6451" s="6" t="n">
        <v>6.9</v>
      </c>
      <c r="E6451" t="n">
        <v>43614</v>
      </c>
      <c r="F6451" s="6" t="n">
        <v>6.9</v>
      </c>
      <c r="G6451" t="n">
        <v>1</v>
      </c>
      <c r="H6451" s="6">
        <f>ROUND(G6451*F6451,2)</f>
        <v/>
      </c>
      <c r="I6451">
        <f>IF(ROUND(H6451-D6451,2)=0,1,0)</f>
        <v/>
      </c>
      <c r="J6451">
        <f>IF(F6451="","none",IF(G6451=1,"carte","multiple"))</f>
        <v/>
      </c>
    </row>
    <row r="6452">
      <c r="A6452" t="inlineStr">
        <is>
          <t>2022-11-02</t>
        </is>
      </c>
      <c r="B6452" t="inlineStr">
        <is>
          <t>12:49</t>
        </is>
      </c>
      <c r="C6452" t="n">
        <v>3090</v>
      </c>
      <c r="D6452" s="6" t="n">
        <v>3.9</v>
      </c>
      <c r="E6452" t="n">
        <v>43615</v>
      </c>
      <c r="F6452" s="6" t="n">
        <v>3.9</v>
      </c>
      <c r="G6452" t="n">
        <v>1</v>
      </c>
      <c r="H6452" s="6">
        <f>ROUND(G6452*F6452,2)</f>
        <v/>
      </c>
      <c r="I6452">
        <f>IF(ROUND(H6452-D6452,2)=0,1,0)</f>
        <v/>
      </c>
      <c r="J6452">
        <f>IF(F6452="","none",IF(G6452=1,"carte","multiple"))</f>
        <v/>
      </c>
    </row>
    <row r="6453">
      <c r="A6453" t="inlineStr">
        <is>
          <t>2022-11-02</t>
        </is>
      </c>
      <c r="B6453" t="inlineStr">
        <is>
          <t>12:49</t>
        </is>
      </c>
      <c r="C6453" t="n">
        <v>3090</v>
      </c>
      <c r="D6453" s="6" t="n">
        <v>18.6</v>
      </c>
      <c r="E6453" t="n">
        <v>43616</v>
      </c>
      <c r="F6453" s="6" t="n">
        <v>18.6</v>
      </c>
      <c r="G6453" t="n">
        <v>1</v>
      </c>
      <c r="H6453" s="6">
        <f>ROUND(G6453*F6453,2)</f>
        <v/>
      </c>
      <c r="I6453">
        <f>IF(ROUND(H6453-D6453,2)=0,1,0)</f>
        <v/>
      </c>
      <c r="J6453">
        <f>IF(F6453="","none",IF(G6453=1,"carte","multiple"))</f>
        <v/>
      </c>
    </row>
    <row r="6454">
      <c r="A6454" t="inlineStr">
        <is>
          <t>2022-11-02</t>
        </is>
      </c>
      <c r="B6454" t="inlineStr">
        <is>
          <t>12:49</t>
        </is>
      </c>
      <c r="C6454" t="n">
        <v>3090</v>
      </c>
      <c r="D6454" s="6" t="n">
        <v>37.2</v>
      </c>
      <c r="E6454" t="n">
        <v>43617</v>
      </c>
      <c r="F6454" s="6" t="n">
        <v>0.4</v>
      </c>
      <c r="G6454" t="n">
        <v>93</v>
      </c>
      <c r="H6454" s="6">
        <f>ROUND(G6454*F6454,2)</f>
        <v/>
      </c>
      <c r="I6454">
        <f>IF(ROUND(H6454-D6454,2)=0,1,0)</f>
        <v/>
      </c>
      <c r="J6454">
        <f>IF(F6454="","none",IF(G6454=1,"carte","multiple"))</f>
        <v/>
      </c>
    </row>
    <row r="6455">
      <c r="A6455" t="inlineStr">
        <is>
          <t>2022-11-02</t>
        </is>
      </c>
      <c r="B6455" t="inlineStr">
        <is>
          <t>12:49</t>
        </is>
      </c>
      <c r="C6455" t="n">
        <v>3090</v>
      </c>
      <c r="D6455" s="6" t="n">
        <v>12.6</v>
      </c>
      <c r="E6455" t="n">
        <v>43618</v>
      </c>
      <c r="F6455" s="6" t="n">
        <v>0.9</v>
      </c>
      <c r="G6455" t="n">
        <v>14</v>
      </c>
      <c r="H6455" s="6">
        <f>ROUND(G6455*F6455,2)</f>
        <v/>
      </c>
      <c r="I6455">
        <f>IF(ROUND(H6455-D6455,2)=0,1,0)</f>
        <v/>
      </c>
      <c r="J6455">
        <f>IF(F6455="","none",IF(G6455=1,"carte","multiple"))</f>
        <v/>
      </c>
    </row>
    <row r="6456">
      <c r="A6456" t="inlineStr">
        <is>
          <t>2022-11-02</t>
        </is>
      </c>
      <c r="B6456" t="inlineStr">
        <is>
          <t>17:53</t>
        </is>
      </c>
      <c r="C6456" t="n">
        <v>3090</v>
      </c>
      <c r="D6456" s="6" t="n">
        <v>28.6</v>
      </c>
      <c r="E6456" t="n">
        <v>43620</v>
      </c>
      <c r="F6456" s="6" t="n">
        <v>28.6</v>
      </c>
      <c r="G6456" t="n">
        <v>1</v>
      </c>
      <c r="H6456" s="6">
        <f>ROUND(G6456*F6456,2)</f>
        <v/>
      </c>
      <c r="I6456">
        <f>IF(ROUND(H6456-D6456,2)=0,1,0)</f>
        <v/>
      </c>
      <c r="J6456">
        <f>IF(F6456="","none",IF(G6456=1,"carte","multiple"))</f>
        <v/>
      </c>
    </row>
    <row r="6457">
      <c r="A6457" t="inlineStr">
        <is>
          <t>2022-11-02</t>
        </is>
      </c>
      <c r="B6457" t="inlineStr">
        <is>
          <t>18:27</t>
        </is>
      </c>
      <c r="C6457" t="n">
        <v>3090</v>
      </c>
      <c r="D6457" s="6" t="n">
        <v>19</v>
      </c>
      <c r="E6457" t="n">
        <v>43621</v>
      </c>
      <c r="F6457" s="6" t="n">
        <v>19</v>
      </c>
      <c r="G6457" t="n">
        <v>1</v>
      </c>
      <c r="H6457" s="6">
        <f>ROUND(G6457*F6457,2)</f>
        <v/>
      </c>
      <c r="I6457">
        <f>IF(ROUND(H6457-D6457,2)=0,1,0)</f>
        <v/>
      </c>
      <c r="J6457">
        <f>IF(F6457="","none",IF(G6457=1,"carte","multiple"))</f>
        <v/>
      </c>
    </row>
    <row r="6458">
      <c r="A6458" t="inlineStr">
        <is>
          <t>2022-11-02</t>
        </is>
      </c>
      <c r="B6458" t="inlineStr">
        <is>
          <t>18:41</t>
        </is>
      </c>
      <c r="C6458" t="n">
        <v>3090</v>
      </c>
      <c r="D6458" s="6" t="n">
        <v>3.9</v>
      </c>
      <c r="E6458" t="n">
        <v>43622</v>
      </c>
      <c r="F6458" s="6" t="n">
        <v>3.9</v>
      </c>
      <c r="G6458" t="n">
        <v>1</v>
      </c>
      <c r="H6458" s="6">
        <f>ROUND(G6458*F6458,2)</f>
        <v/>
      </c>
      <c r="I6458">
        <f>IF(ROUND(H6458-D6458,2)=0,1,0)</f>
        <v/>
      </c>
      <c r="J6458">
        <f>IF(F6458="","none",IF(G6458=1,"carte","multiple"))</f>
        <v/>
      </c>
    </row>
    <row r="6459">
      <c r="A6459" t="inlineStr">
        <is>
          <t>2022-11-02</t>
        </is>
      </c>
      <c r="B6459" t="inlineStr">
        <is>
          <t>18:41</t>
        </is>
      </c>
      <c r="C6459" t="n">
        <v>3090</v>
      </c>
      <c r="D6459" s="6" t="n">
        <v>5.2</v>
      </c>
      <c r="E6459" t="n">
        <v>43623</v>
      </c>
      <c r="F6459" s="6" t="n">
        <v>5.2</v>
      </c>
      <c r="G6459" t="n">
        <v>1</v>
      </c>
      <c r="H6459" s="6">
        <f>ROUND(G6459*F6459,2)</f>
        <v/>
      </c>
      <c r="I6459">
        <f>IF(ROUND(H6459-D6459,2)=0,1,0)</f>
        <v/>
      </c>
      <c r="J6459">
        <f>IF(F6459="","none",IF(G6459=1,"carte","multiple"))</f>
        <v/>
      </c>
    </row>
    <row r="6460">
      <c r="A6460" t="inlineStr">
        <is>
          <t>2022-11-02</t>
        </is>
      </c>
      <c r="B6460" t="inlineStr">
        <is>
          <t>19:00</t>
        </is>
      </c>
      <c r="C6460" t="n">
        <v>3090</v>
      </c>
      <c r="D6460" s="6" t="n">
        <v>10.9</v>
      </c>
      <c r="E6460" t="n">
        <v>43624</v>
      </c>
      <c r="F6460" s="6" t="n">
        <v>10.9</v>
      </c>
      <c r="G6460" t="n">
        <v>1</v>
      </c>
      <c r="H6460" s="6">
        <f>ROUND(G6460*F6460,2)</f>
        <v/>
      </c>
      <c r="I6460">
        <f>IF(ROUND(H6460-D6460,2)=0,1,0)</f>
        <v/>
      </c>
      <c r="J6460">
        <f>IF(F6460="","none",IF(G6460=1,"carte","multiple"))</f>
        <v/>
      </c>
    </row>
    <row r="6461">
      <c r="A6461" t="inlineStr">
        <is>
          <t>2022-11-02</t>
        </is>
      </c>
      <c r="B6461" t="inlineStr">
        <is>
          <t>19:00</t>
        </is>
      </c>
      <c r="C6461" t="n">
        <v>3090</v>
      </c>
      <c r="D6461" s="6" t="n">
        <v>34</v>
      </c>
      <c r="E6461" t="n">
        <v>43625</v>
      </c>
      <c r="F6461" s="6" t="n">
        <v>34</v>
      </c>
      <c r="G6461" t="n">
        <v>1</v>
      </c>
      <c r="H6461" s="6">
        <f>ROUND(G6461*F6461,2)</f>
        <v/>
      </c>
      <c r="I6461">
        <f>IF(ROUND(H6461-D6461,2)=0,1,0)</f>
        <v/>
      </c>
      <c r="J6461">
        <f>IF(F6461="","none",IF(G6461=1,"carte","multiple"))</f>
        <v/>
      </c>
    </row>
    <row r="6462">
      <c r="A6462" t="inlineStr">
        <is>
          <t>2022-11-02</t>
        </is>
      </c>
      <c r="B6462" t="inlineStr">
        <is>
          <t>19:00</t>
        </is>
      </c>
      <c r="C6462" t="n">
        <v>3090</v>
      </c>
      <c r="D6462" s="6" t="n">
        <v>29.9</v>
      </c>
      <c r="E6462" t="n">
        <v>43626</v>
      </c>
      <c r="F6462" s="6" t="n">
        <v>29.9</v>
      </c>
      <c r="G6462" t="n">
        <v>1</v>
      </c>
      <c r="H6462" s="6">
        <f>ROUND(G6462*F6462,2)</f>
        <v/>
      </c>
      <c r="I6462">
        <f>IF(ROUND(H6462-D6462,2)=0,1,0)</f>
        <v/>
      </c>
      <c r="J6462">
        <f>IF(F6462="","none",IF(G6462=1,"carte","multiple"))</f>
        <v/>
      </c>
    </row>
    <row r="6463">
      <c r="A6463" t="inlineStr">
        <is>
          <t>2022-11-02</t>
        </is>
      </c>
      <c r="B6463" t="inlineStr">
        <is>
          <t>19:11</t>
        </is>
      </c>
      <c r="C6463" t="n">
        <v>3090</v>
      </c>
      <c r="D6463" s="6" t="n">
        <v>8.699999999999999</v>
      </c>
      <c r="E6463" t="n">
        <v>43627</v>
      </c>
      <c r="F6463" s="6" t="n">
        <v>8.699999999999999</v>
      </c>
      <c r="G6463" t="n">
        <v>1</v>
      </c>
      <c r="H6463" s="6">
        <f>ROUND(G6463*F6463,2)</f>
        <v/>
      </c>
      <c r="I6463">
        <f>IF(ROUND(H6463-D6463,2)=0,1,0)</f>
        <v/>
      </c>
      <c r="J6463">
        <f>IF(F6463="","none",IF(G6463=1,"carte","multiple"))</f>
        <v/>
      </c>
    </row>
    <row r="6464">
      <c r="A6464" t="inlineStr">
        <is>
          <t>2022-11-02</t>
        </is>
      </c>
      <c r="B6464" t="inlineStr">
        <is>
          <t>19:11</t>
        </is>
      </c>
      <c r="C6464" t="n">
        <v>3090</v>
      </c>
      <c r="D6464" s="6" t="n">
        <v>19.9</v>
      </c>
      <c r="E6464" t="n">
        <v>43628</v>
      </c>
      <c r="F6464" s="6" t="n">
        <v>19.9</v>
      </c>
      <c r="G6464" t="n">
        <v>1</v>
      </c>
      <c r="H6464" s="6">
        <f>ROUND(G6464*F6464,2)</f>
        <v/>
      </c>
      <c r="I6464">
        <f>IF(ROUND(H6464-D6464,2)=0,1,0)</f>
        <v/>
      </c>
      <c r="J6464">
        <f>IF(F6464="","none",IF(G6464=1,"carte","multiple"))</f>
        <v/>
      </c>
    </row>
    <row r="6465">
      <c r="A6465" t="inlineStr">
        <is>
          <t>2022-11-02</t>
        </is>
      </c>
      <c r="B6465" t="inlineStr">
        <is>
          <t>19:11</t>
        </is>
      </c>
      <c r="C6465" t="n">
        <v>3090</v>
      </c>
      <c r="D6465" s="6" t="n">
        <v>3.9</v>
      </c>
      <c r="E6465" t="n">
        <v>43629</v>
      </c>
      <c r="F6465" s="6" t="n">
        <v>3.9</v>
      </c>
      <c r="G6465" t="n">
        <v>1</v>
      </c>
      <c r="H6465" s="6">
        <f>ROUND(G6465*F6465,2)</f>
        <v/>
      </c>
      <c r="I6465">
        <f>IF(ROUND(H6465-D6465,2)=0,1,0)</f>
        <v/>
      </c>
      <c r="J6465">
        <f>IF(F6465="","none",IF(G6465=1,"carte","multiple"))</f>
        <v/>
      </c>
    </row>
    <row r="6466">
      <c r="A6466" t="inlineStr">
        <is>
          <t>2022-11-02</t>
        </is>
      </c>
      <c r="B6466" t="inlineStr">
        <is>
          <t>19:55</t>
        </is>
      </c>
      <c r="C6466" t="n">
        <v>3090</v>
      </c>
      <c r="D6466" s="6" t="n">
        <v>68</v>
      </c>
      <c r="E6466" t="n">
        <v>43630</v>
      </c>
      <c r="F6466" s="6" t="n">
        <v>0.4</v>
      </c>
      <c r="G6466" t="n">
        <v>170</v>
      </c>
      <c r="H6466" s="6">
        <f>ROUND(G6466*F6466,2)</f>
        <v/>
      </c>
      <c r="I6466">
        <f>IF(ROUND(H6466-D6466,2)=0,1,0)</f>
        <v/>
      </c>
      <c r="J6466">
        <f>IF(F6466="","none",IF(G6466=1,"carte","multiple"))</f>
        <v/>
      </c>
    </row>
    <row r="6467">
      <c r="A6467" t="inlineStr">
        <is>
          <t>2022-11-02</t>
        </is>
      </c>
      <c r="B6467" t="inlineStr">
        <is>
          <t>19:55</t>
        </is>
      </c>
      <c r="C6467" t="n">
        <v>3090</v>
      </c>
      <c r="D6467" s="6" t="n">
        <v>19.8</v>
      </c>
      <c r="E6467" t="n">
        <v>43631</v>
      </c>
      <c r="F6467" s="6" t="n">
        <v>19.8</v>
      </c>
      <c r="G6467" t="n">
        <v>1</v>
      </c>
      <c r="H6467" s="6">
        <f>ROUND(G6467*F6467,2)</f>
        <v/>
      </c>
      <c r="I6467">
        <f>IF(ROUND(H6467-D6467,2)=0,1,0)</f>
        <v/>
      </c>
      <c r="J6467">
        <f>IF(F6467="","none",IF(G6467=1,"carte","multiple"))</f>
        <v/>
      </c>
    </row>
    <row r="6468">
      <c r="A6468" t="inlineStr">
        <is>
          <t>2022-11-02</t>
        </is>
      </c>
      <c r="B6468" t="inlineStr">
        <is>
          <t>19:55</t>
        </is>
      </c>
      <c r="C6468" t="n">
        <v>3090</v>
      </c>
      <c r="D6468" s="6" t="n">
        <v>4.4</v>
      </c>
      <c r="E6468" t="n">
        <v>43632</v>
      </c>
      <c r="F6468" s="6" t="n">
        <v>0.4</v>
      </c>
      <c r="G6468" t="n">
        <v>11</v>
      </c>
      <c r="H6468" s="6">
        <f>ROUND(G6468*F6468,2)</f>
        <v/>
      </c>
      <c r="I6468">
        <f>IF(ROUND(H6468-D6468,2)=0,1,0)</f>
        <v/>
      </c>
      <c r="J6468">
        <f>IF(F6468="","none",IF(G6468=1,"carte","multiple"))</f>
        <v/>
      </c>
    </row>
    <row r="6469">
      <c r="A6469" t="inlineStr">
        <is>
          <t>2022-11-02</t>
        </is>
      </c>
      <c r="B6469" t="inlineStr">
        <is>
          <t>19:55</t>
        </is>
      </c>
      <c r="C6469" t="n">
        <v>3090</v>
      </c>
      <c r="D6469" s="6" t="n">
        <v>18</v>
      </c>
      <c r="E6469" t="n">
        <v>43633</v>
      </c>
      <c r="F6469" s="6" t="n">
        <v>18</v>
      </c>
      <c r="G6469" t="n">
        <v>1</v>
      </c>
      <c r="H6469" s="6">
        <f>ROUND(G6469*F6469,2)</f>
        <v/>
      </c>
      <c r="I6469">
        <f>IF(ROUND(H6469-D6469,2)=0,1,0)</f>
        <v/>
      </c>
      <c r="J6469">
        <f>IF(F6469="","none",IF(G6469=1,"carte","multiple"))</f>
        <v/>
      </c>
    </row>
    <row r="6470">
      <c r="A6470" t="inlineStr">
        <is>
          <t>2022-11-02</t>
        </is>
      </c>
      <c r="B6470" t="inlineStr">
        <is>
          <t>20:04</t>
        </is>
      </c>
      <c r="C6470" t="n">
        <v>3090</v>
      </c>
      <c r="D6470" s="6" t="n">
        <v>1.8</v>
      </c>
      <c r="E6470" t="n">
        <v>43634</v>
      </c>
      <c r="F6470" s="6" t="n">
        <v>1.8</v>
      </c>
      <c r="G6470" t="n">
        <v>1</v>
      </c>
      <c r="H6470" s="6">
        <f>ROUND(G6470*F6470,2)</f>
        <v/>
      </c>
      <c r="I6470">
        <f>IF(ROUND(H6470-D6470,2)=0,1,0)</f>
        <v/>
      </c>
      <c r="J6470">
        <f>IF(F6470="","none",IF(G6470=1,"carte","multiple"))</f>
        <v/>
      </c>
    </row>
    <row r="6471">
      <c r="A6471" t="inlineStr">
        <is>
          <t>2022-11-02</t>
        </is>
      </c>
      <c r="B6471" t="inlineStr">
        <is>
          <t>20:04</t>
        </is>
      </c>
      <c r="C6471" t="n">
        <v>3090</v>
      </c>
      <c r="D6471" s="6" t="n">
        <v>1.8</v>
      </c>
      <c r="E6471" t="n">
        <v>43635</v>
      </c>
      <c r="F6471" s="6" t="n">
        <v>1.8</v>
      </c>
      <c r="G6471" t="n">
        <v>1</v>
      </c>
      <c r="H6471" s="6">
        <f>ROUND(G6471*F6471,2)</f>
        <v/>
      </c>
      <c r="I6471">
        <f>IF(ROUND(H6471-D6471,2)=0,1,0)</f>
        <v/>
      </c>
      <c r="J6471">
        <f>IF(F6471="","none",IF(G6471=1,"carte","multiple"))</f>
        <v/>
      </c>
    </row>
    <row r="6472">
      <c r="A6472" t="inlineStr">
        <is>
          <t>2022-11-02</t>
        </is>
      </c>
      <c r="B6472" t="inlineStr">
        <is>
          <t>20:04</t>
        </is>
      </c>
      <c r="C6472" t="n">
        <v>3090</v>
      </c>
      <c r="D6472" s="6" t="n">
        <v>5.8</v>
      </c>
      <c r="E6472" t="n">
        <v>43636</v>
      </c>
      <c r="F6472" s="6" t="n">
        <v>5.8</v>
      </c>
      <c r="G6472" t="n">
        <v>1</v>
      </c>
      <c r="H6472" s="6">
        <f>ROUND(G6472*F6472,2)</f>
        <v/>
      </c>
      <c r="I6472">
        <f>IF(ROUND(H6472-D6472,2)=0,1,0)</f>
        <v/>
      </c>
      <c r="J6472">
        <f>IF(F6472="","none",IF(G6472=1,"carte","multiple"))</f>
        <v/>
      </c>
    </row>
    <row r="6473">
      <c r="A6473" t="inlineStr">
        <is>
          <t>2022-11-02</t>
        </is>
      </c>
      <c r="B6473" t="inlineStr">
        <is>
          <t>20:04</t>
        </is>
      </c>
      <c r="C6473" t="n">
        <v>3090</v>
      </c>
      <c r="D6473" s="6" t="n">
        <v>2.4</v>
      </c>
      <c r="E6473" t="n">
        <v>43637</v>
      </c>
      <c r="F6473" s="6" t="n">
        <v>2.4</v>
      </c>
      <c r="G6473" t="n">
        <v>1</v>
      </c>
      <c r="H6473" s="6">
        <f>ROUND(G6473*F6473,2)</f>
        <v/>
      </c>
      <c r="I6473">
        <f>IF(ROUND(H6473-D6473,2)=0,1,0)</f>
        <v/>
      </c>
      <c r="J6473">
        <f>IF(F6473="","none",IF(G6473=1,"carte","multiple"))</f>
        <v/>
      </c>
    </row>
    <row r="6474">
      <c r="A6474" t="inlineStr">
        <is>
          <t>2022-11-02</t>
        </is>
      </c>
      <c r="B6474" t="inlineStr">
        <is>
          <t>20:04</t>
        </is>
      </c>
      <c r="C6474" t="n">
        <v>3090</v>
      </c>
      <c r="D6474" s="6" t="n">
        <v>2.2</v>
      </c>
      <c r="E6474" t="n">
        <v>43638</v>
      </c>
      <c r="F6474" s="6" t="n">
        <v>2.2</v>
      </c>
      <c r="G6474" t="n">
        <v>1</v>
      </c>
      <c r="H6474" s="6">
        <f>ROUND(G6474*F6474,2)</f>
        <v/>
      </c>
      <c r="I6474">
        <f>IF(ROUND(H6474-D6474,2)=0,1,0)</f>
        <v/>
      </c>
      <c r="J6474">
        <f>IF(F6474="","none",IF(G6474=1,"carte","multiple"))</f>
        <v/>
      </c>
    </row>
    <row r="6475">
      <c r="A6475" t="inlineStr">
        <is>
          <t>2022-11-02</t>
        </is>
      </c>
      <c r="B6475" t="inlineStr">
        <is>
          <t>20:04</t>
        </is>
      </c>
      <c r="C6475" t="n">
        <v>3090</v>
      </c>
      <c r="D6475" s="6" t="n">
        <v>3.9</v>
      </c>
      <c r="E6475" t="n">
        <v>43639</v>
      </c>
      <c r="F6475" s="6" t="n">
        <v>3.9</v>
      </c>
      <c r="G6475" t="n">
        <v>1</v>
      </c>
      <c r="H6475" s="6">
        <f>ROUND(G6475*F6475,2)</f>
        <v/>
      </c>
      <c r="I6475">
        <f>IF(ROUND(H6475-D6475,2)=0,1,0)</f>
        <v/>
      </c>
      <c r="J6475">
        <f>IF(F6475="","none",IF(G6475=1,"carte","multiple"))</f>
        <v/>
      </c>
    </row>
    <row r="6476">
      <c r="A6476" t="inlineStr">
        <is>
          <t>2022-11-02</t>
        </is>
      </c>
      <c r="B6476" t="inlineStr">
        <is>
          <t>20:04</t>
        </is>
      </c>
      <c r="C6476" t="n">
        <v>3090</v>
      </c>
      <c r="D6476" s="6" t="n">
        <v>30</v>
      </c>
      <c r="E6476" t="n">
        <v>43640</v>
      </c>
      <c r="F6476" s="6" t="n">
        <v>30</v>
      </c>
      <c r="G6476" t="n">
        <v>1</v>
      </c>
      <c r="H6476" s="6">
        <f>ROUND(G6476*F6476,2)</f>
        <v/>
      </c>
      <c r="I6476">
        <f>IF(ROUND(H6476-D6476,2)=0,1,0)</f>
        <v/>
      </c>
      <c r="J6476">
        <f>IF(F6476="","none",IF(G6476=1,"carte","multiple"))</f>
        <v/>
      </c>
    </row>
    <row r="6477">
      <c r="A6477" t="inlineStr">
        <is>
          <t>2022-11-02</t>
        </is>
      </c>
      <c r="B6477" t="inlineStr">
        <is>
          <t>20:04</t>
        </is>
      </c>
      <c r="C6477" t="n">
        <v>3090</v>
      </c>
      <c r="D6477" s="6" t="n">
        <v>18.6</v>
      </c>
      <c r="E6477" t="n">
        <v>43641</v>
      </c>
      <c r="F6477" s="6" t="n">
        <v>18.6</v>
      </c>
      <c r="G6477" t="n">
        <v>1</v>
      </c>
      <c r="H6477" s="6">
        <f>ROUND(G6477*F6477,2)</f>
        <v/>
      </c>
      <c r="I6477">
        <f>IF(ROUND(H6477-D6477,2)=0,1,0)</f>
        <v/>
      </c>
      <c r="J6477">
        <f>IF(F6477="","none",IF(G6477=1,"carte","multiple"))</f>
        <v/>
      </c>
    </row>
    <row r="6478">
      <c r="A6478" t="inlineStr">
        <is>
          <t>2022-11-02</t>
        </is>
      </c>
      <c r="B6478" t="inlineStr">
        <is>
          <t>20:04</t>
        </is>
      </c>
      <c r="C6478" t="n">
        <v>3090</v>
      </c>
      <c r="D6478" s="6" t="n">
        <v>39.8</v>
      </c>
      <c r="E6478" t="n">
        <v>43642</v>
      </c>
      <c r="F6478" s="6" t="n">
        <v>39.8</v>
      </c>
      <c r="G6478" t="n">
        <v>1</v>
      </c>
      <c r="H6478" s="6">
        <f>ROUND(G6478*F6478,2)</f>
        <v/>
      </c>
      <c r="I6478">
        <f>IF(ROUND(H6478-D6478,2)=0,1,0)</f>
        <v/>
      </c>
      <c r="J6478">
        <f>IF(F6478="","none",IF(G6478=1,"carte","multiple"))</f>
        <v/>
      </c>
    </row>
    <row r="6479">
      <c r="A6479" t="inlineStr">
        <is>
          <t>2022-11-02</t>
        </is>
      </c>
      <c r="B6479" t="inlineStr">
        <is>
          <t>20:04</t>
        </is>
      </c>
      <c r="C6479" t="n">
        <v>3090</v>
      </c>
      <c r="D6479" s="6" t="n">
        <v>34</v>
      </c>
      <c r="E6479" t="n">
        <v>43643</v>
      </c>
      <c r="F6479" s="6" t="n">
        <v>34</v>
      </c>
      <c r="G6479" t="n">
        <v>1</v>
      </c>
      <c r="H6479" s="6">
        <f>ROUND(G6479*F6479,2)</f>
        <v/>
      </c>
      <c r="I6479">
        <f>IF(ROUND(H6479-D6479,2)=0,1,0)</f>
        <v/>
      </c>
      <c r="J6479">
        <f>IF(F6479="","none",IF(G6479=1,"carte","multiple"))</f>
        <v/>
      </c>
    </row>
    <row r="6480">
      <c r="A6480" t="inlineStr">
        <is>
          <t>2022-11-02</t>
        </is>
      </c>
      <c r="B6480" t="inlineStr">
        <is>
          <t>20:04</t>
        </is>
      </c>
      <c r="C6480" t="n">
        <v>3090</v>
      </c>
      <c r="D6480" s="6" t="n">
        <v>5.9</v>
      </c>
      <c r="E6480" t="n">
        <v>43644</v>
      </c>
      <c r="F6480" s="6" t="n">
        <v>5.9</v>
      </c>
      <c r="G6480" t="n">
        <v>1</v>
      </c>
      <c r="H6480" s="6">
        <f>ROUND(G6480*F6480,2)</f>
        <v/>
      </c>
      <c r="I6480">
        <f>IF(ROUND(H6480-D6480,2)=0,1,0)</f>
        <v/>
      </c>
      <c r="J6480">
        <f>IF(F6480="","none",IF(G6480=1,"carte","multiple"))</f>
        <v/>
      </c>
    </row>
    <row r="6481">
      <c r="A6481" t="inlineStr">
        <is>
          <t>2022-11-02</t>
        </is>
      </c>
      <c r="B6481" t="inlineStr">
        <is>
          <t>20:34</t>
        </is>
      </c>
      <c r="C6481" t="n">
        <v>3090</v>
      </c>
      <c r="D6481" s="6" t="n">
        <v>7.2</v>
      </c>
      <c r="E6481" t="n">
        <v>43645</v>
      </c>
      <c r="F6481" s="6" t="n">
        <v>7.2</v>
      </c>
      <c r="G6481" t="n">
        <v>1</v>
      </c>
      <c r="H6481" s="6">
        <f>ROUND(G6481*F6481,2)</f>
        <v/>
      </c>
      <c r="I6481">
        <f>IF(ROUND(H6481-D6481,2)=0,1,0)</f>
        <v/>
      </c>
      <c r="J6481">
        <f>IF(F6481="","none",IF(G6481=1,"carte","multiple"))</f>
        <v/>
      </c>
    </row>
    <row r="6482">
      <c r="A6482" t="inlineStr">
        <is>
          <t>2022-11-02</t>
        </is>
      </c>
      <c r="B6482" t="inlineStr">
        <is>
          <t>20:34</t>
        </is>
      </c>
      <c r="C6482" t="n">
        <v>3090</v>
      </c>
      <c r="D6482" s="6" t="n">
        <v>18.6</v>
      </c>
      <c r="E6482" t="n">
        <v>43646</v>
      </c>
      <c r="F6482" s="6" t="n">
        <v>18.6</v>
      </c>
      <c r="G6482" t="n">
        <v>1</v>
      </c>
      <c r="H6482" s="6">
        <f>ROUND(G6482*F6482,2)</f>
        <v/>
      </c>
      <c r="I6482">
        <f>IF(ROUND(H6482-D6482,2)=0,1,0)</f>
        <v/>
      </c>
      <c r="J6482">
        <f>IF(F6482="","none",IF(G6482=1,"carte","multiple"))</f>
        <v/>
      </c>
    </row>
    <row r="6483">
      <c r="A6483" t="inlineStr">
        <is>
          <t>2022-11-02</t>
        </is>
      </c>
      <c r="B6483" t="inlineStr">
        <is>
          <t>20:34</t>
        </is>
      </c>
      <c r="C6483" t="n">
        <v>3090</v>
      </c>
      <c r="D6483" s="6" t="n">
        <v>18.6</v>
      </c>
      <c r="E6483" t="n">
        <v>43647</v>
      </c>
      <c r="F6483" s="6" t="n">
        <v>18.6</v>
      </c>
      <c r="G6483" t="n">
        <v>1</v>
      </c>
      <c r="H6483" s="6">
        <f>ROUND(G6483*F6483,2)</f>
        <v/>
      </c>
      <c r="I6483">
        <f>IF(ROUND(H6483-D6483,2)=0,1,0)</f>
        <v/>
      </c>
      <c r="J6483">
        <f>IF(F6483="","none",IF(G6483=1,"carte","multiple"))</f>
        <v/>
      </c>
    </row>
    <row r="6484">
      <c r="A6484" t="inlineStr">
        <is>
          <t>2022-11-02</t>
        </is>
      </c>
      <c r="B6484" t="inlineStr">
        <is>
          <t>20:34</t>
        </is>
      </c>
      <c r="C6484" t="n">
        <v>3090</v>
      </c>
      <c r="D6484" s="6" t="n">
        <v>10.9</v>
      </c>
      <c r="E6484" t="n">
        <v>43648</v>
      </c>
      <c r="F6484" s="6" t="n">
        <v>10.9</v>
      </c>
      <c r="G6484" t="n">
        <v>1</v>
      </c>
      <c r="H6484" s="6">
        <f>ROUND(G6484*F6484,2)</f>
        <v/>
      </c>
      <c r="I6484">
        <f>IF(ROUND(H6484-D6484,2)=0,1,0)</f>
        <v/>
      </c>
      <c r="J6484">
        <f>IF(F6484="","none",IF(G6484=1,"carte","multiple"))</f>
        <v/>
      </c>
    </row>
    <row r="6485">
      <c r="A6485" t="inlineStr">
        <is>
          <t>2022-11-02</t>
        </is>
      </c>
      <c r="B6485" t="inlineStr">
        <is>
          <t>20:34</t>
        </is>
      </c>
      <c r="C6485" t="n">
        <v>3090</v>
      </c>
      <c r="D6485" s="6" t="n">
        <v>34</v>
      </c>
      <c r="E6485" t="n">
        <v>43649</v>
      </c>
      <c r="F6485" s="6" t="n">
        <v>34</v>
      </c>
      <c r="G6485" t="n">
        <v>1</v>
      </c>
      <c r="H6485" s="6">
        <f>ROUND(G6485*F6485,2)</f>
        <v/>
      </c>
      <c r="I6485">
        <f>IF(ROUND(H6485-D6485,2)=0,1,0)</f>
        <v/>
      </c>
      <c r="J6485">
        <f>IF(F6485="","none",IF(G6485=1,"carte","multiple"))</f>
        <v/>
      </c>
    </row>
    <row r="6486">
      <c r="A6486" t="inlineStr">
        <is>
          <t>2022-11-02</t>
        </is>
      </c>
      <c r="B6486" t="inlineStr">
        <is>
          <t>20:34</t>
        </is>
      </c>
      <c r="C6486" t="n">
        <v>3090</v>
      </c>
      <c r="D6486" s="6" t="n">
        <v>7.8</v>
      </c>
      <c r="E6486" t="n">
        <v>43650</v>
      </c>
      <c r="F6486" s="6" t="n">
        <v>7.8</v>
      </c>
      <c r="G6486" t="n">
        <v>1</v>
      </c>
      <c r="H6486" s="6">
        <f>ROUND(G6486*F6486,2)</f>
        <v/>
      </c>
      <c r="I6486">
        <f>IF(ROUND(H6486-D6486,2)=0,1,0)</f>
        <v/>
      </c>
      <c r="J6486">
        <f>IF(F6486="","none",IF(G6486=1,"carte","multiple"))</f>
        <v/>
      </c>
    </row>
    <row r="6487">
      <c r="A6487" t="inlineStr">
        <is>
          <t>2022-11-02</t>
        </is>
      </c>
      <c r="B6487" t="inlineStr">
        <is>
          <t>20:34</t>
        </is>
      </c>
      <c r="C6487" t="n">
        <v>3090</v>
      </c>
      <c r="D6487" s="6" t="n">
        <v>3.6</v>
      </c>
      <c r="E6487" t="n">
        <v>43651</v>
      </c>
      <c r="F6487" s="6" t="n">
        <v>3.6</v>
      </c>
      <c r="G6487" t="n">
        <v>1</v>
      </c>
      <c r="H6487" s="6">
        <f>ROUND(G6487*F6487,2)</f>
        <v/>
      </c>
      <c r="I6487">
        <f>IF(ROUND(H6487-D6487,2)=0,1,0)</f>
        <v/>
      </c>
      <c r="J6487">
        <f>IF(F6487="","none",IF(G6487=1,"carte","multiple"))</f>
        <v/>
      </c>
    </row>
    <row r="6488">
      <c r="A6488" t="inlineStr">
        <is>
          <t>2022-11-02</t>
        </is>
      </c>
      <c r="B6488" t="inlineStr">
        <is>
          <t>20:34</t>
        </is>
      </c>
      <c r="C6488" t="n">
        <v>3090</v>
      </c>
      <c r="D6488" s="6" t="n">
        <v>5.2</v>
      </c>
      <c r="E6488" t="n">
        <v>43652</v>
      </c>
      <c r="F6488" s="6" t="n">
        <v>5.2</v>
      </c>
      <c r="G6488" t="n">
        <v>1</v>
      </c>
      <c r="H6488" s="6">
        <f>ROUND(G6488*F6488,2)</f>
        <v/>
      </c>
      <c r="I6488">
        <f>IF(ROUND(H6488-D6488,2)=0,1,0)</f>
        <v/>
      </c>
      <c r="J6488">
        <f>IF(F6488="","none",IF(G6488=1,"carte","multiple"))</f>
        <v/>
      </c>
    </row>
    <row r="6489">
      <c r="A6489" t="inlineStr">
        <is>
          <t>2022-11-02</t>
        </is>
      </c>
      <c r="B6489" t="inlineStr">
        <is>
          <t>20:48</t>
        </is>
      </c>
      <c r="C6489" t="n">
        <v>3090</v>
      </c>
      <c r="D6489" s="6" t="n">
        <v>1.2</v>
      </c>
      <c r="E6489" t="n">
        <v>43653</v>
      </c>
      <c r="F6489" s="6" t="n">
        <v>1.2</v>
      </c>
      <c r="G6489" t="n">
        <v>1</v>
      </c>
      <c r="H6489" s="6">
        <f>ROUND(G6489*F6489,2)</f>
        <v/>
      </c>
      <c r="I6489">
        <f>IF(ROUND(H6489-D6489,2)=0,1,0)</f>
        <v/>
      </c>
      <c r="J6489">
        <f>IF(F6489="","none",IF(G6489=1,"carte","multiple"))</f>
        <v/>
      </c>
    </row>
    <row r="6490">
      <c r="A6490" t="inlineStr">
        <is>
          <t>2022-11-02</t>
        </is>
      </c>
      <c r="B6490" t="inlineStr">
        <is>
          <t>20:48</t>
        </is>
      </c>
      <c r="C6490" t="n">
        <v>3090</v>
      </c>
      <c r="D6490" s="6" t="n">
        <v>4.7</v>
      </c>
      <c r="E6490" t="n">
        <v>43654</v>
      </c>
      <c r="F6490" s="6" t="n">
        <v>4.7</v>
      </c>
      <c r="G6490" t="n">
        <v>1</v>
      </c>
      <c r="H6490" s="6">
        <f>ROUND(G6490*F6490,2)</f>
        <v/>
      </c>
      <c r="I6490">
        <f>IF(ROUND(H6490-D6490,2)=0,1,0)</f>
        <v/>
      </c>
      <c r="J6490">
        <f>IF(F6490="","none",IF(G6490=1,"carte","multiple"))</f>
        <v/>
      </c>
    </row>
    <row r="6491">
      <c r="A6491" t="inlineStr">
        <is>
          <t>2022-11-02</t>
        </is>
      </c>
      <c r="B6491" t="inlineStr">
        <is>
          <t>20:48</t>
        </is>
      </c>
      <c r="C6491" t="n">
        <v>3090</v>
      </c>
      <c r="D6491" s="6" t="n">
        <v>36</v>
      </c>
      <c r="E6491" t="n">
        <v>43655</v>
      </c>
      <c r="F6491" s="6" t="n">
        <v>36</v>
      </c>
      <c r="G6491" t="n">
        <v>1</v>
      </c>
      <c r="H6491" s="6">
        <f>ROUND(G6491*F6491,2)</f>
        <v/>
      </c>
      <c r="I6491">
        <f>IF(ROUND(H6491-D6491,2)=0,1,0)</f>
        <v/>
      </c>
      <c r="J6491">
        <f>IF(F6491="","none",IF(G6491=1,"carte","multiple"))</f>
        <v/>
      </c>
    </row>
    <row r="6492">
      <c r="A6492" t="inlineStr">
        <is>
          <t>2022-11-02</t>
        </is>
      </c>
      <c r="B6492" t="inlineStr">
        <is>
          <t>20:48</t>
        </is>
      </c>
      <c r="C6492" t="n">
        <v>3090</v>
      </c>
      <c r="D6492" s="6" t="n">
        <v>57.2</v>
      </c>
      <c r="E6492" t="n">
        <v>43656</v>
      </c>
      <c r="F6492" s="6" t="n">
        <v>0.4</v>
      </c>
      <c r="G6492" t="n">
        <v>143</v>
      </c>
      <c r="H6492" s="6">
        <f>ROUND(G6492*F6492,2)</f>
        <v/>
      </c>
      <c r="I6492">
        <f>IF(ROUND(H6492-D6492,2)=0,1,0)</f>
        <v/>
      </c>
      <c r="J6492">
        <f>IF(F6492="","none",IF(G6492=1,"carte","multiple"))</f>
        <v/>
      </c>
    </row>
    <row r="6493">
      <c r="A6493" t="inlineStr">
        <is>
          <t>2022-11-02</t>
        </is>
      </c>
      <c r="B6493" t="inlineStr">
        <is>
          <t>20:48</t>
        </is>
      </c>
      <c r="C6493" t="n">
        <v>3090</v>
      </c>
      <c r="D6493" s="6" t="n">
        <v>7.8</v>
      </c>
      <c r="E6493" t="n">
        <v>43657</v>
      </c>
      <c r="F6493" s="6" t="n">
        <v>7.8</v>
      </c>
      <c r="G6493" t="n">
        <v>1</v>
      </c>
      <c r="H6493" s="6">
        <f>ROUND(G6493*F6493,2)</f>
        <v/>
      </c>
      <c r="I6493">
        <f>IF(ROUND(H6493-D6493,2)=0,1,0)</f>
        <v/>
      </c>
      <c r="J6493">
        <f>IF(F6493="","none",IF(G6493=1,"carte","multiple"))</f>
        <v/>
      </c>
    </row>
    <row r="6494">
      <c r="A6494" t="inlineStr">
        <is>
          <t>2022-11-02</t>
        </is>
      </c>
      <c r="B6494" t="inlineStr">
        <is>
          <t>20:49</t>
        </is>
      </c>
      <c r="C6494" t="n">
        <v>3090</v>
      </c>
      <c r="D6494" s="6" t="n">
        <v>19.8</v>
      </c>
      <c r="E6494" t="n">
        <v>43658</v>
      </c>
      <c r="F6494" s="6" t="n">
        <v>19.8</v>
      </c>
      <c r="G6494" t="n">
        <v>1</v>
      </c>
      <c r="H6494" s="6">
        <f>ROUND(G6494*F6494,2)</f>
        <v/>
      </c>
      <c r="I6494">
        <f>IF(ROUND(H6494-D6494,2)=0,1,0)</f>
        <v/>
      </c>
      <c r="J6494">
        <f>IF(F6494="","none",IF(G6494=1,"carte","multiple"))</f>
        <v/>
      </c>
    </row>
    <row r="6495">
      <c r="A6495" t="inlineStr">
        <is>
          <t>2022-11-03</t>
        </is>
      </c>
      <c r="B6495" t="inlineStr">
        <is>
          <t>10:56</t>
        </is>
      </c>
      <c r="C6495" t="n">
        <v>3091</v>
      </c>
      <c r="D6495" s="6" t="n">
        <v>22.6</v>
      </c>
      <c r="E6495" t="n">
        <v>43661</v>
      </c>
      <c r="H6495" t="inlineStr"/>
      <c r="I6495" t="inlineStr"/>
      <c r="J6495">
        <f>IF(F6495="","none",IF(G6495=1,"carte","multiple"))</f>
        <v/>
      </c>
    </row>
    <row r="6496">
      <c r="A6496" t="inlineStr">
        <is>
          <t>2022-11-03</t>
        </is>
      </c>
      <c r="B6496" t="inlineStr">
        <is>
          <t>10:56</t>
        </is>
      </c>
      <c r="C6496" t="n">
        <v>3091</v>
      </c>
      <c r="D6496" s="6" t="n">
        <v>5.2</v>
      </c>
      <c r="E6496" t="n">
        <v>43662</v>
      </c>
      <c r="F6496" s="6" t="n">
        <v>5.2</v>
      </c>
      <c r="G6496" t="n">
        <v>1</v>
      </c>
      <c r="H6496" s="6">
        <f>ROUND(G6496*F6496,2)</f>
        <v/>
      </c>
      <c r="I6496">
        <f>IF(ROUND(H6496-D6496,2)=0,1,0)</f>
        <v/>
      </c>
      <c r="J6496">
        <f>IF(F6496="","none",IF(G6496=1,"carte","multiple"))</f>
        <v/>
      </c>
    </row>
    <row r="6497">
      <c r="A6497" t="inlineStr">
        <is>
          <t>2022-11-03</t>
        </is>
      </c>
      <c r="B6497" t="inlineStr">
        <is>
          <t>11:02</t>
        </is>
      </c>
      <c r="C6497" t="n">
        <v>3091</v>
      </c>
      <c r="D6497" s="6" t="n">
        <v>12</v>
      </c>
      <c r="E6497" t="n">
        <v>43663</v>
      </c>
      <c r="F6497" s="6" t="n">
        <v>12</v>
      </c>
      <c r="G6497" t="n">
        <v>1</v>
      </c>
      <c r="H6497" s="6">
        <f>ROUND(G6497*F6497,2)</f>
        <v/>
      </c>
      <c r="I6497">
        <f>IF(ROUND(H6497-D6497,2)=0,1,0)</f>
        <v/>
      </c>
      <c r="J6497">
        <f>IF(F6497="","none",IF(G6497=1,"carte","multiple"))</f>
        <v/>
      </c>
    </row>
    <row r="6498">
      <c r="A6498" t="inlineStr">
        <is>
          <t>2022-11-03</t>
        </is>
      </c>
      <c r="B6498" t="inlineStr">
        <is>
          <t>11:18</t>
        </is>
      </c>
      <c r="C6498" t="n">
        <v>3091</v>
      </c>
      <c r="D6498" s="6" t="n">
        <v>3.9</v>
      </c>
      <c r="E6498" t="n">
        <v>43664</v>
      </c>
      <c r="F6498" s="6" t="n">
        <v>3.9</v>
      </c>
      <c r="G6498" t="n">
        <v>1</v>
      </c>
      <c r="H6498" s="6">
        <f>ROUND(G6498*F6498,2)</f>
        <v/>
      </c>
      <c r="I6498">
        <f>IF(ROUND(H6498-D6498,2)=0,1,0)</f>
        <v/>
      </c>
      <c r="J6498">
        <f>IF(F6498="","none",IF(G6498=1,"carte","multiple"))</f>
        <v/>
      </c>
    </row>
    <row r="6499">
      <c r="A6499" t="inlineStr">
        <is>
          <t>2022-11-03</t>
        </is>
      </c>
      <c r="B6499" t="inlineStr">
        <is>
          <t>12:23</t>
        </is>
      </c>
      <c r="C6499" t="n">
        <v>3091</v>
      </c>
      <c r="D6499" s="6" t="n">
        <v>12</v>
      </c>
      <c r="E6499" t="n">
        <v>43665</v>
      </c>
      <c r="F6499" s="6" t="n">
        <v>12</v>
      </c>
      <c r="G6499" t="n">
        <v>1</v>
      </c>
      <c r="H6499" s="6">
        <f>ROUND(G6499*F6499,2)</f>
        <v/>
      </c>
      <c r="I6499">
        <f>IF(ROUND(H6499-D6499,2)=0,1,0)</f>
        <v/>
      </c>
      <c r="J6499">
        <f>IF(F6499="","none",IF(G6499=1,"carte","multiple"))</f>
        <v/>
      </c>
    </row>
    <row r="6500">
      <c r="A6500" t="inlineStr">
        <is>
          <t>2022-11-03</t>
        </is>
      </c>
      <c r="B6500" t="inlineStr">
        <is>
          <t>12:49</t>
        </is>
      </c>
      <c r="C6500" t="n">
        <v>3091</v>
      </c>
      <c r="D6500" s="6" t="n">
        <v>13.8</v>
      </c>
      <c r="E6500" t="n">
        <v>43666</v>
      </c>
      <c r="F6500" s="6" t="n">
        <v>4.6</v>
      </c>
      <c r="G6500" t="n">
        <v>3</v>
      </c>
      <c r="H6500" s="6">
        <f>ROUND(G6500*F6500,2)</f>
        <v/>
      </c>
      <c r="I6500">
        <f>IF(ROUND(H6500-D6500,2)=0,1,0)</f>
        <v/>
      </c>
      <c r="J6500">
        <f>IF(F6500="","none",IF(G6500=1,"carte","multiple"))</f>
        <v/>
      </c>
    </row>
    <row r="6501">
      <c r="A6501" t="inlineStr">
        <is>
          <t>2022-11-03</t>
        </is>
      </c>
      <c r="B6501" t="inlineStr">
        <is>
          <t>12:49</t>
        </is>
      </c>
      <c r="C6501" t="n">
        <v>3091</v>
      </c>
      <c r="D6501" s="6" t="n">
        <v>18.6</v>
      </c>
      <c r="E6501" t="n">
        <v>43667</v>
      </c>
      <c r="F6501" s="6" t="n">
        <v>18.6</v>
      </c>
      <c r="G6501" t="n">
        <v>1</v>
      </c>
      <c r="H6501" s="6">
        <f>ROUND(G6501*F6501,2)</f>
        <v/>
      </c>
      <c r="I6501">
        <f>IF(ROUND(H6501-D6501,2)=0,1,0)</f>
        <v/>
      </c>
      <c r="J6501">
        <f>IF(F6501="","none",IF(G6501=1,"carte","multiple"))</f>
        <v/>
      </c>
    </row>
    <row r="6502">
      <c r="A6502" t="inlineStr">
        <is>
          <t>2022-11-03</t>
        </is>
      </c>
      <c r="B6502" t="inlineStr">
        <is>
          <t>12:49</t>
        </is>
      </c>
      <c r="C6502" t="n">
        <v>3091</v>
      </c>
      <c r="D6502" s="6" t="n">
        <v>18.6</v>
      </c>
      <c r="E6502" t="n">
        <v>43668</v>
      </c>
      <c r="F6502" s="6" t="n">
        <v>18.6</v>
      </c>
      <c r="G6502" t="n">
        <v>1</v>
      </c>
      <c r="H6502" s="6">
        <f>ROUND(G6502*F6502,2)</f>
        <v/>
      </c>
      <c r="I6502">
        <f>IF(ROUND(H6502-D6502,2)=0,1,0)</f>
        <v/>
      </c>
      <c r="J6502">
        <f>IF(F6502="","none",IF(G6502=1,"carte","multiple"))</f>
        <v/>
      </c>
    </row>
    <row r="6503">
      <c r="A6503" t="inlineStr">
        <is>
          <t>2022-11-03</t>
        </is>
      </c>
      <c r="B6503" t="inlineStr">
        <is>
          <t>12:49</t>
        </is>
      </c>
      <c r="C6503" t="n">
        <v>3091</v>
      </c>
      <c r="D6503" s="6" t="n">
        <v>19.2</v>
      </c>
      <c r="E6503" t="n">
        <v>43669</v>
      </c>
      <c r="F6503" s="6" t="n">
        <v>0.4</v>
      </c>
      <c r="G6503" t="n">
        <v>48</v>
      </c>
      <c r="H6503" s="6">
        <f>ROUND(G6503*F6503,2)</f>
        <v/>
      </c>
      <c r="I6503">
        <f>IF(ROUND(H6503-D6503,2)=0,1,0)</f>
        <v/>
      </c>
      <c r="J6503">
        <f>IF(F6503="","none",IF(G6503=1,"carte","multiple"))</f>
        <v/>
      </c>
    </row>
    <row r="6504">
      <c r="A6504" t="inlineStr">
        <is>
          <t>2022-11-03</t>
        </is>
      </c>
      <c r="B6504" t="inlineStr">
        <is>
          <t>12:49</t>
        </is>
      </c>
      <c r="C6504" t="n">
        <v>3091</v>
      </c>
      <c r="D6504" s="6" t="n">
        <v>29.9</v>
      </c>
      <c r="E6504" t="n">
        <v>43670</v>
      </c>
      <c r="F6504" s="6" t="n">
        <v>29.9</v>
      </c>
      <c r="G6504" t="n">
        <v>1</v>
      </c>
      <c r="H6504" s="6">
        <f>ROUND(G6504*F6504,2)</f>
        <v/>
      </c>
      <c r="I6504">
        <f>IF(ROUND(H6504-D6504,2)=0,1,0)</f>
        <v/>
      </c>
      <c r="J6504">
        <f>IF(F6504="","none",IF(G6504=1,"carte","multiple"))</f>
        <v/>
      </c>
    </row>
    <row r="6505">
      <c r="A6505" t="inlineStr">
        <is>
          <t>2022-11-03</t>
        </is>
      </c>
      <c r="B6505" t="inlineStr">
        <is>
          <t>13:19</t>
        </is>
      </c>
      <c r="C6505" t="n">
        <v>3091</v>
      </c>
      <c r="D6505" s="6" t="n">
        <v>4.4</v>
      </c>
      <c r="E6505" t="n">
        <v>43671</v>
      </c>
      <c r="F6505" s="6" t="n">
        <v>0.4</v>
      </c>
      <c r="G6505" t="n">
        <v>11</v>
      </c>
      <c r="H6505" s="6">
        <f>ROUND(G6505*F6505,2)</f>
        <v/>
      </c>
      <c r="I6505">
        <f>IF(ROUND(H6505-D6505,2)=0,1,0)</f>
        <v/>
      </c>
      <c r="J6505">
        <f>IF(F6505="","none",IF(G6505=1,"carte","multiple"))</f>
        <v/>
      </c>
    </row>
    <row r="6506">
      <c r="A6506" t="inlineStr">
        <is>
          <t>2022-11-03</t>
        </is>
      </c>
      <c r="B6506" t="inlineStr">
        <is>
          <t>13:19</t>
        </is>
      </c>
      <c r="C6506" t="n">
        <v>3091</v>
      </c>
      <c r="D6506" s="6" t="n">
        <v>16.9</v>
      </c>
      <c r="E6506" t="n">
        <v>43672</v>
      </c>
      <c r="F6506" s="6" t="n">
        <v>16.9</v>
      </c>
      <c r="G6506" t="n">
        <v>1</v>
      </c>
      <c r="H6506" s="6">
        <f>ROUND(G6506*F6506,2)</f>
        <v/>
      </c>
      <c r="I6506">
        <f>IF(ROUND(H6506-D6506,2)=0,1,0)</f>
        <v/>
      </c>
      <c r="J6506">
        <f>IF(F6506="","none",IF(G6506=1,"carte","multiple"))</f>
        <v/>
      </c>
    </row>
    <row r="6507">
      <c r="A6507" t="inlineStr">
        <is>
          <t>2022-11-03</t>
        </is>
      </c>
      <c r="B6507" t="inlineStr">
        <is>
          <t>13:19</t>
        </is>
      </c>
      <c r="C6507" t="n">
        <v>3091</v>
      </c>
      <c r="D6507" s="6" t="n">
        <v>18.6</v>
      </c>
      <c r="E6507" t="n">
        <v>43673</v>
      </c>
      <c r="F6507" s="6" t="n">
        <v>18.6</v>
      </c>
      <c r="G6507" t="n">
        <v>1</v>
      </c>
      <c r="H6507" s="6">
        <f>ROUND(G6507*F6507,2)</f>
        <v/>
      </c>
      <c r="I6507">
        <f>IF(ROUND(H6507-D6507,2)=0,1,0)</f>
        <v/>
      </c>
      <c r="J6507">
        <f>IF(F6507="","none",IF(G6507=1,"carte","multiple"))</f>
        <v/>
      </c>
    </row>
    <row r="6508">
      <c r="A6508" t="inlineStr">
        <is>
          <t>2022-11-03</t>
        </is>
      </c>
      <c r="B6508" t="inlineStr">
        <is>
          <t>13:19</t>
        </is>
      </c>
      <c r="C6508" t="n">
        <v>3091</v>
      </c>
      <c r="D6508" s="6" t="n">
        <v>7.8</v>
      </c>
      <c r="E6508" t="n">
        <v>43674</v>
      </c>
      <c r="F6508" s="6" t="n">
        <v>7.8</v>
      </c>
      <c r="G6508" t="n">
        <v>1</v>
      </c>
      <c r="H6508" s="6">
        <f>ROUND(G6508*F6508,2)</f>
        <v/>
      </c>
      <c r="I6508">
        <f>IF(ROUND(H6508-D6508,2)=0,1,0)</f>
        <v/>
      </c>
      <c r="J6508">
        <f>IF(F6508="","none",IF(G6508=1,"carte","multiple"))</f>
        <v/>
      </c>
    </row>
    <row r="6509">
      <c r="A6509" t="inlineStr">
        <is>
          <t>2022-11-03</t>
        </is>
      </c>
      <c r="B6509" t="inlineStr">
        <is>
          <t>19:03</t>
        </is>
      </c>
      <c r="C6509" t="n">
        <v>3091</v>
      </c>
      <c r="D6509" s="6" t="n">
        <v>2.2</v>
      </c>
      <c r="E6509" t="n">
        <v>43676</v>
      </c>
      <c r="F6509" s="6" t="n">
        <v>2.2</v>
      </c>
      <c r="G6509" t="n">
        <v>1</v>
      </c>
      <c r="H6509" s="6">
        <f>ROUND(G6509*F6509,2)</f>
        <v/>
      </c>
      <c r="I6509">
        <f>IF(ROUND(H6509-D6509,2)=0,1,0)</f>
        <v/>
      </c>
      <c r="J6509">
        <f>IF(F6509="","none",IF(G6509=1,"carte","multiple"))</f>
        <v/>
      </c>
    </row>
    <row r="6510">
      <c r="A6510" t="inlineStr">
        <is>
          <t>2022-11-03</t>
        </is>
      </c>
      <c r="B6510" t="inlineStr">
        <is>
          <t>19:03</t>
        </is>
      </c>
      <c r="C6510" t="n">
        <v>3091</v>
      </c>
      <c r="D6510" s="6" t="n">
        <v>5.9</v>
      </c>
      <c r="E6510" t="n">
        <v>43677</v>
      </c>
      <c r="F6510" s="6" t="n">
        <v>5.9</v>
      </c>
      <c r="G6510" t="n">
        <v>1</v>
      </c>
      <c r="H6510" s="6">
        <f>ROUND(G6510*F6510,2)</f>
        <v/>
      </c>
      <c r="I6510">
        <f>IF(ROUND(H6510-D6510,2)=0,1,0)</f>
        <v/>
      </c>
      <c r="J6510">
        <f>IF(F6510="","none",IF(G6510=1,"carte","multiple"))</f>
        <v/>
      </c>
    </row>
    <row r="6511">
      <c r="A6511" t="inlineStr">
        <is>
          <t>2022-11-03</t>
        </is>
      </c>
      <c r="B6511" t="inlineStr">
        <is>
          <t>19:03</t>
        </is>
      </c>
      <c r="C6511" t="n">
        <v>3091</v>
      </c>
      <c r="D6511" s="6" t="n">
        <v>64</v>
      </c>
      <c r="E6511" t="n">
        <v>43678</v>
      </c>
      <c r="F6511" s="6" t="n">
        <v>64</v>
      </c>
      <c r="G6511" t="n">
        <v>1</v>
      </c>
      <c r="H6511" s="6">
        <f>ROUND(G6511*F6511,2)</f>
        <v/>
      </c>
      <c r="I6511">
        <f>IF(ROUND(H6511-D6511,2)=0,1,0)</f>
        <v/>
      </c>
      <c r="J6511">
        <f>IF(F6511="","none",IF(G6511=1,"carte","multiple"))</f>
        <v/>
      </c>
    </row>
    <row r="6512">
      <c r="A6512" t="inlineStr">
        <is>
          <t>2022-11-03</t>
        </is>
      </c>
      <c r="B6512" t="inlineStr">
        <is>
          <t>19:03</t>
        </is>
      </c>
      <c r="C6512" t="n">
        <v>3091</v>
      </c>
      <c r="D6512" s="6" t="n">
        <v>16.9</v>
      </c>
      <c r="E6512" t="n">
        <v>43679</v>
      </c>
      <c r="F6512" s="6" t="n">
        <v>16.9</v>
      </c>
      <c r="G6512" t="n">
        <v>1</v>
      </c>
      <c r="H6512" s="6">
        <f>ROUND(G6512*F6512,2)</f>
        <v/>
      </c>
      <c r="I6512">
        <f>IF(ROUND(H6512-D6512,2)=0,1,0)</f>
        <v/>
      </c>
      <c r="J6512">
        <f>IF(F6512="","none",IF(G6512=1,"carte","multiple"))</f>
        <v/>
      </c>
    </row>
    <row r="6513">
      <c r="A6513" t="inlineStr">
        <is>
          <t>2022-11-03</t>
        </is>
      </c>
      <c r="B6513" t="inlineStr">
        <is>
          <t>19:03</t>
        </is>
      </c>
      <c r="C6513" t="n">
        <v>3091</v>
      </c>
      <c r="D6513" s="6" t="n">
        <v>9.9</v>
      </c>
      <c r="E6513" t="n">
        <v>43680</v>
      </c>
      <c r="F6513" s="6" t="n">
        <v>9.9</v>
      </c>
      <c r="G6513" t="n">
        <v>1</v>
      </c>
      <c r="H6513" s="6">
        <f>ROUND(G6513*F6513,2)</f>
        <v/>
      </c>
      <c r="I6513">
        <f>IF(ROUND(H6513-D6513,2)=0,1,0)</f>
        <v/>
      </c>
      <c r="J6513">
        <f>IF(F6513="","none",IF(G6513=1,"carte","multiple"))</f>
        <v/>
      </c>
    </row>
    <row r="6514">
      <c r="A6514" t="inlineStr">
        <is>
          <t>2022-11-03</t>
        </is>
      </c>
      <c r="B6514" t="inlineStr">
        <is>
          <t>19:04</t>
        </is>
      </c>
      <c r="C6514" t="n">
        <v>3091</v>
      </c>
      <c r="D6514" s="6" t="n">
        <v>7.9</v>
      </c>
      <c r="E6514" t="n">
        <v>43681</v>
      </c>
      <c r="F6514" s="6" t="n">
        <v>7.9</v>
      </c>
      <c r="G6514" t="n">
        <v>1</v>
      </c>
      <c r="H6514" s="6">
        <f>ROUND(G6514*F6514,2)</f>
        <v/>
      </c>
      <c r="I6514">
        <f>IF(ROUND(H6514-D6514,2)=0,1,0)</f>
        <v/>
      </c>
      <c r="J6514">
        <f>IF(F6514="","none",IF(G6514=1,"carte","multiple"))</f>
        <v/>
      </c>
    </row>
    <row r="6515">
      <c r="A6515" t="inlineStr">
        <is>
          <t>2022-11-03</t>
        </is>
      </c>
      <c r="B6515" t="inlineStr">
        <is>
          <t>19:04</t>
        </is>
      </c>
      <c r="C6515" t="n">
        <v>3091</v>
      </c>
      <c r="D6515" s="6" t="n">
        <v>3.9</v>
      </c>
      <c r="E6515" t="n">
        <v>43682</v>
      </c>
      <c r="F6515" s="6" t="n">
        <v>3.9</v>
      </c>
      <c r="G6515" t="n">
        <v>1</v>
      </c>
      <c r="H6515" s="6">
        <f>ROUND(G6515*F6515,2)</f>
        <v/>
      </c>
      <c r="I6515">
        <f>IF(ROUND(H6515-D6515,2)=0,1,0)</f>
        <v/>
      </c>
      <c r="J6515">
        <f>IF(F6515="","none",IF(G6515=1,"carte","multiple"))</f>
        <v/>
      </c>
    </row>
    <row r="6516">
      <c r="A6516" t="inlineStr">
        <is>
          <t>2022-11-03</t>
        </is>
      </c>
      <c r="B6516" t="inlineStr">
        <is>
          <t>19:04</t>
        </is>
      </c>
      <c r="C6516" t="n">
        <v>3091</v>
      </c>
      <c r="D6516" s="6" t="n">
        <v>7.2</v>
      </c>
      <c r="E6516" t="n">
        <v>43683</v>
      </c>
      <c r="F6516" s="6" t="n">
        <v>7.2</v>
      </c>
      <c r="G6516" t="n">
        <v>1</v>
      </c>
      <c r="H6516" s="6">
        <f>ROUND(G6516*F6516,2)</f>
        <v/>
      </c>
      <c r="I6516">
        <f>IF(ROUND(H6516-D6516,2)=0,1,0)</f>
        <v/>
      </c>
      <c r="J6516">
        <f>IF(F6516="","none",IF(G6516=1,"carte","multiple"))</f>
        <v/>
      </c>
    </row>
    <row r="6517">
      <c r="A6517" t="inlineStr">
        <is>
          <t>2022-11-03</t>
        </is>
      </c>
      <c r="B6517" t="inlineStr">
        <is>
          <t>19:04</t>
        </is>
      </c>
      <c r="C6517" t="n">
        <v>3091</v>
      </c>
      <c r="D6517" s="6" t="n">
        <v>7</v>
      </c>
      <c r="E6517" t="n">
        <v>43684</v>
      </c>
      <c r="F6517" s="6" t="n">
        <v>7</v>
      </c>
      <c r="G6517" t="n">
        <v>1</v>
      </c>
      <c r="H6517" s="6">
        <f>ROUND(G6517*F6517,2)</f>
        <v/>
      </c>
      <c r="I6517">
        <f>IF(ROUND(H6517-D6517,2)=0,1,0)</f>
        <v/>
      </c>
      <c r="J6517">
        <f>IF(F6517="","none",IF(G6517=1,"carte","multiple"))</f>
        <v/>
      </c>
    </row>
    <row r="6518">
      <c r="A6518" t="inlineStr">
        <is>
          <t>2022-11-03</t>
        </is>
      </c>
      <c r="B6518" t="inlineStr">
        <is>
          <t>20:11</t>
        </is>
      </c>
      <c r="C6518" t="n">
        <v>3091</v>
      </c>
      <c r="D6518" s="6" t="n">
        <v>1.2</v>
      </c>
      <c r="E6518" t="n">
        <v>43685</v>
      </c>
      <c r="F6518" s="6" t="n">
        <v>1.2</v>
      </c>
      <c r="G6518" t="n">
        <v>1</v>
      </c>
      <c r="H6518" s="6">
        <f>ROUND(G6518*F6518,2)</f>
        <v/>
      </c>
      <c r="I6518">
        <f>IF(ROUND(H6518-D6518,2)=0,1,0)</f>
        <v/>
      </c>
      <c r="J6518">
        <f>IF(F6518="","none",IF(G6518=1,"carte","multiple"))</f>
        <v/>
      </c>
    </row>
    <row r="6519">
      <c r="A6519" t="inlineStr">
        <is>
          <t>2022-11-03</t>
        </is>
      </c>
      <c r="B6519" t="inlineStr">
        <is>
          <t>20:11</t>
        </is>
      </c>
      <c r="C6519" t="n">
        <v>3091</v>
      </c>
      <c r="D6519" s="6" t="n">
        <v>2.9</v>
      </c>
      <c r="E6519" t="n">
        <v>43686</v>
      </c>
      <c r="F6519" s="6" t="n">
        <v>2.9</v>
      </c>
      <c r="G6519" t="n">
        <v>1</v>
      </c>
      <c r="H6519" s="6">
        <f>ROUND(G6519*F6519,2)</f>
        <v/>
      </c>
      <c r="I6519">
        <f>IF(ROUND(H6519-D6519,2)=0,1,0)</f>
        <v/>
      </c>
      <c r="J6519">
        <f>IF(F6519="","none",IF(G6519=1,"carte","multiple"))</f>
        <v/>
      </c>
    </row>
    <row r="6520">
      <c r="A6520" t="inlineStr">
        <is>
          <t>2022-11-03</t>
        </is>
      </c>
      <c r="B6520" t="inlineStr">
        <is>
          <t>20:11</t>
        </is>
      </c>
      <c r="C6520" t="n">
        <v>3091</v>
      </c>
      <c r="D6520" s="6" t="n">
        <v>7.8</v>
      </c>
      <c r="E6520" t="n">
        <v>43687</v>
      </c>
      <c r="F6520" s="6" t="n">
        <v>7.8</v>
      </c>
      <c r="G6520" t="n">
        <v>1</v>
      </c>
      <c r="H6520" s="6">
        <f>ROUND(G6520*F6520,2)</f>
        <v/>
      </c>
      <c r="I6520">
        <f>IF(ROUND(H6520-D6520,2)=0,1,0)</f>
        <v/>
      </c>
      <c r="J6520">
        <f>IF(F6520="","none",IF(G6520=1,"carte","multiple"))</f>
        <v/>
      </c>
    </row>
    <row r="6521">
      <c r="A6521" t="inlineStr">
        <is>
          <t>2022-11-03</t>
        </is>
      </c>
      <c r="B6521" t="inlineStr">
        <is>
          <t>20:39</t>
        </is>
      </c>
      <c r="C6521" t="n">
        <v>3091</v>
      </c>
      <c r="D6521" s="6" t="n">
        <v>4.4</v>
      </c>
      <c r="E6521" t="n">
        <v>43688</v>
      </c>
      <c r="F6521" s="6" t="n">
        <v>0.4</v>
      </c>
      <c r="G6521" t="n">
        <v>11</v>
      </c>
      <c r="H6521" s="6">
        <f>ROUND(G6521*F6521,2)</f>
        <v/>
      </c>
      <c r="I6521">
        <f>IF(ROUND(H6521-D6521,2)=0,1,0)</f>
        <v/>
      </c>
      <c r="J6521">
        <f>IF(F6521="","none",IF(G6521=1,"carte","multiple"))</f>
        <v/>
      </c>
    </row>
    <row r="6522">
      <c r="A6522" t="inlineStr">
        <is>
          <t>2022-11-03</t>
        </is>
      </c>
      <c r="B6522" t="inlineStr">
        <is>
          <t>20:39</t>
        </is>
      </c>
      <c r="C6522" t="n">
        <v>3091</v>
      </c>
      <c r="D6522" s="6" t="n">
        <v>7</v>
      </c>
      <c r="E6522" t="n">
        <v>43689</v>
      </c>
      <c r="F6522" s="6" t="n">
        <v>7</v>
      </c>
      <c r="G6522" t="n">
        <v>1</v>
      </c>
      <c r="H6522" s="6">
        <f>ROUND(G6522*F6522,2)</f>
        <v/>
      </c>
      <c r="I6522">
        <f>IF(ROUND(H6522-D6522,2)=0,1,0)</f>
        <v/>
      </c>
      <c r="J6522">
        <f>IF(F6522="","none",IF(G6522=1,"carte","multiple"))</f>
        <v/>
      </c>
    </row>
    <row r="6523">
      <c r="A6523" t="inlineStr">
        <is>
          <t>2022-11-03</t>
        </is>
      </c>
      <c r="B6523" t="inlineStr">
        <is>
          <t>20:39</t>
        </is>
      </c>
      <c r="C6523" t="n">
        <v>3091</v>
      </c>
      <c r="D6523" s="6" t="n">
        <v>7</v>
      </c>
      <c r="E6523" t="n">
        <v>43690</v>
      </c>
      <c r="F6523" s="6" t="n">
        <v>7</v>
      </c>
      <c r="G6523" t="n">
        <v>1</v>
      </c>
      <c r="H6523" s="6">
        <f>ROUND(G6523*F6523,2)</f>
        <v/>
      </c>
      <c r="I6523">
        <f>IF(ROUND(H6523-D6523,2)=0,1,0)</f>
        <v/>
      </c>
      <c r="J6523">
        <f>IF(F6523="","none",IF(G6523=1,"carte","multiple"))</f>
        <v/>
      </c>
    </row>
    <row r="6524">
      <c r="A6524" t="inlineStr">
        <is>
          <t>2022-11-03</t>
        </is>
      </c>
      <c r="B6524" t="inlineStr">
        <is>
          <t>20:39</t>
        </is>
      </c>
      <c r="C6524" t="n">
        <v>3091</v>
      </c>
      <c r="D6524" s="6" t="n">
        <v>39.8</v>
      </c>
      <c r="E6524" t="n">
        <v>43691</v>
      </c>
      <c r="F6524" s="6" t="n">
        <v>39.8</v>
      </c>
      <c r="G6524" t="n">
        <v>1</v>
      </c>
      <c r="H6524" s="6">
        <f>ROUND(G6524*F6524,2)</f>
        <v/>
      </c>
      <c r="I6524">
        <f>IF(ROUND(H6524-D6524,2)=0,1,0)</f>
        <v/>
      </c>
      <c r="J6524">
        <f>IF(F6524="","none",IF(G6524=1,"carte","multiple"))</f>
        <v/>
      </c>
    </row>
    <row r="6525">
      <c r="A6525" t="inlineStr">
        <is>
          <t>2022-11-03</t>
        </is>
      </c>
      <c r="B6525" t="inlineStr">
        <is>
          <t>20:39</t>
        </is>
      </c>
      <c r="C6525" t="n">
        <v>3091</v>
      </c>
      <c r="D6525" s="6" t="n">
        <v>9.800000000000001</v>
      </c>
      <c r="E6525" t="n">
        <v>43692</v>
      </c>
      <c r="F6525" s="6" t="n">
        <v>9.800000000000001</v>
      </c>
      <c r="G6525" t="n">
        <v>1</v>
      </c>
      <c r="H6525" s="6">
        <f>ROUND(G6525*F6525,2)</f>
        <v/>
      </c>
      <c r="I6525">
        <f>IF(ROUND(H6525-D6525,2)=0,1,0)</f>
        <v/>
      </c>
      <c r="J6525">
        <f>IF(F6525="","none",IF(G6525=1,"carte","multiple"))</f>
        <v/>
      </c>
    </row>
    <row r="6526">
      <c r="A6526" t="inlineStr">
        <is>
          <t>2022-11-03</t>
        </is>
      </c>
      <c r="B6526" t="inlineStr">
        <is>
          <t>20:39</t>
        </is>
      </c>
      <c r="C6526" t="n">
        <v>3091</v>
      </c>
      <c r="D6526" s="6" t="n">
        <v>3.8</v>
      </c>
      <c r="E6526" t="n">
        <v>43693</v>
      </c>
      <c r="F6526" s="6" t="n">
        <v>3.8</v>
      </c>
      <c r="G6526" t="n">
        <v>1</v>
      </c>
      <c r="H6526" s="6">
        <f>ROUND(G6526*F6526,2)</f>
        <v/>
      </c>
      <c r="I6526">
        <f>IF(ROUND(H6526-D6526,2)=0,1,0)</f>
        <v/>
      </c>
      <c r="J6526">
        <f>IF(F6526="","none",IF(G6526=1,"carte","multiple"))</f>
        <v/>
      </c>
    </row>
    <row r="6527">
      <c r="A6527" t="inlineStr">
        <is>
          <t>2022-11-03</t>
        </is>
      </c>
      <c r="B6527" t="inlineStr">
        <is>
          <t>20:39</t>
        </is>
      </c>
      <c r="C6527" t="n">
        <v>3091</v>
      </c>
      <c r="D6527" s="6" t="n">
        <v>4.5</v>
      </c>
      <c r="E6527" t="n">
        <v>43694</v>
      </c>
      <c r="F6527" s="6" t="n">
        <v>4.5</v>
      </c>
      <c r="G6527" t="n">
        <v>1</v>
      </c>
      <c r="H6527" s="6">
        <f>ROUND(G6527*F6527,2)</f>
        <v/>
      </c>
      <c r="I6527">
        <f>IF(ROUND(H6527-D6527,2)=0,1,0)</f>
        <v/>
      </c>
      <c r="J6527">
        <f>IF(F6527="","none",IF(G6527=1,"carte","multiple"))</f>
        <v/>
      </c>
    </row>
    <row r="6528">
      <c r="A6528" t="inlineStr">
        <is>
          <t>2022-11-03</t>
        </is>
      </c>
      <c r="B6528" t="inlineStr">
        <is>
          <t>21:14</t>
        </is>
      </c>
      <c r="C6528" t="n">
        <v>3091</v>
      </c>
      <c r="D6528" s="6" t="n">
        <v>2</v>
      </c>
      <c r="E6528" t="n">
        <v>43695</v>
      </c>
      <c r="F6528" s="6" t="n">
        <v>2</v>
      </c>
      <c r="G6528" t="n">
        <v>1</v>
      </c>
      <c r="H6528" s="6">
        <f>ROUND(G6528*F6528,2)</f>
        <v/>
      </c>
      <c r="I6528">
        <f>IF(ROUND(H6528-D6528,2)=0,1,0)</f>
        <v/>
      </c>
      <c r="J6528">
        <f>IF(F6528="","none",IF(G6528=1,"carte","multiple"))</f>
        <v/>
      </c>
    </row>
    <row r="6529">
      <c r="A6529" t="inlineStr">
        <is>
          <t>2022-11-03</t>
        </is>
      </c>
      <c r="B6529" t="inlineStr">
        <is>
          <t>21:14</t>
        </is>
      </c>
      <c r="C6529" t="n">
        <v>3091</v>
      </c>
      <c r="D6529" s="6" t="n">
        <v>8.5</v>
      </c>
      <c r="E6529" t="n">
        <v>43696</v>
      </c>
      <c r="F6529" s="6" t="n">
        <v>8.5</v>
      </c>
      <c r="G6529" t="n">
        <v>1</v>
      </c>
      <c r="H6529" s="6">
        <f>ROUND(G6529*F6529,2)</f>
        <v/>
      </c>
      <c r="I6529">
        <f>IF(ROUND(H6529-D6529,2)=0,1,0)</f>
        <v/>
      </c>
      <c r="J6529">
        <f>IF(F6529="","none",IF(G6529=1,"carte","multiple"))</f>
        <v/>
      </c>
    </row>
    <row r="6530">
      <c r="A6530" t="inlineStr">
        <is>
          <t>2022-11-03</t>
        </is>
      </c>
      <c r="B6530" t="inlineStr">
        <is>
          <t>21:14</t>
        </is>
      </c>
      <c r="C6530" t="n">
        <v>3091</v>
      </c>
      <c r="D6530" s="6" t="n">
        <v>18.6</v>
      </c>
      <c r="E6530" t="n">
        <v>43697</v>
      </c>
      <c r="F6530" s="6" t="n">
        <v>18.6</v>
      </c>
      <c r="G6530" t="n">
        <v>1</v>
      </c>
      <c r="H6530" s="6">
        <f>ROUND(G6530*F6530,2)</f>
        <v/>
      </c>
      <c r="I6530">
        <f>IF(ROUND(H6530-D6530,2)=0,1,0)</f>
        <v/>
      </c>
      <c r="J6530">
        <f>IF(F6530="","none",IF(G6530=1,"carte","multiple"))</f>
        <v/>
      </c>
    </row>
    <row r="6531">
      <c r="A6531" t="inlineStr">
        <is>
          <t>2022-11-03</t>
        </is>
      </c>
      <c r="B6531" t="inlineStr">
        <is>
          <t>21:14</t>
        </is>
      </c>
      <c r="C6531" t="n">
        <v>3091</v>
      </c>
      <c r="D6531" s="6" t="n">
        <v>19</v>
      </c>
      <c r="E6531" t="n">
        <v>43698</v>
      </c>
      <c r="F6531" s="6" t="n">
        <v>19</v>
      </c>
      <c r="G6531" t="n">
        <v>1</v>
      </c>
      <c r="H6531" s="6">
        <f>ROUND(G6531*F6531,2)</f>
        <v/>
      </c>
      <c r="I6531">
        <f>IF(ROUND(H6531-D6531,2)=0,1,0)</f>
        <v/>
      </c>
      <c r="J6531">
        <f>IF(F6531="","none",IF(G6531=1,"carte","multiple"))</f>
        <v/>
      </c>
    </row>
    <row r="6532">
      <c r="A6532" t="inlineStr">
        <is>
          <t>2022-11-03</t>
        </is>
      </c>
      <c r="B6532" t="inlineStr">
        <is>
          <t>21:14</t>
        </is>
      </c>
      <c r="C6532" t="n">
        <v>3091</v>
      </c>
      <c r="D6532" s="6" t="n">
        <v>16.9</v>
      </c>
      <c r="E6532" t="n">
        <v>43699</v>
      </c>
      <c r="F6532" s="6" t="n">
        <v>16.9</v>
      </c>
      <c r="G6532" t="n">
        <v>1</v>
      </c>
      <c r="H6532" s="6">
        <f>ROUND(G6532*F6532,2)</f>
        <v/>
      </c>
      <c r="I6532">
        <f>IF(ROUND(H6532-D6532,2)=0,1,0)</f>
        <v/>
      </c>
      <c r="J6532">
        <f>IF(F6532="","none",IF(G6532=1,"carte","multiple"))</f>
        <v/>
      </c>
    </row>
    <row r="6533">
      <c r="A6533" t="inlineStr">
        <is>
          <t>2022-11-03</t>
        </is>
      </c>
      <c r="B6533" t="inlineStr">
        <is>
          <t>21:14</t>
        </is>
      </c>
      <c r="C6533" t="n">
        <v>3091</v>
      </c>
      <c r="D6533" s="6" t="n">
        <v>21.8</v>
      </c>
      <c r="E6533" t="n">
        <v>43700</v>
      </c>
      <c r="F6533" s="6" t="n">
        <v>10.9</v>
      </c>
      <c r="G6533" t="n">
        <v>2</v>
      </c>
      <c r="H6533" s="6">
        <f>ROUND(G6533*F6533,2)</f>
        <v/>
      </c>
      <c r="I6533">
        <f>IF(ROUND(H6533-D6533,2)=0,1,0)</f>
        <v/>
      </c>
      <c r="J6533">
        <f>IF(F6533="","none",IF(G6533=1,"carte","multiple"))</f>
        <v/>
      </c>
    </row>
    <row r="6534">
      <c r="A6534" t="inlineStr">
        <is>
          <t>2022-11-03</t>
        </is>
      </c>
      <c r="B6534" t="inlineStr">
        <is>
          <t>21:14</t>
        </is>
      </c>
      <c r="C6534" t="n">
        <v>3091</v>
      </c>
      <c r="D6534" s="6" t="n">
        <v>39.5</v>
      </c>
      <c r="E6534" t="n">
        <v>43701</v>
      </c>
      <c r="F6534" s="6" t="n">
        <v>39.5</v>
      </c>
      <c r="G6534" t="n">
        <v>1</v>
      </c>
      <c r="H6534" s="6">
        <f>ROUND(G6534*F6534,2)</f>
        <v/>
      </c>
      <c r="I6534">
        <f>IF(ROUND(H6534-D6534,2)=0,1,0)</f>
        <v/>
      </c>
      <c r="J6534">
        <f>IF(F6534="","none",IF(G6534=1,"carte","multiple"))</f>
        <v/>
      </c>
    </row>
    <row r="6535">
      <c r="A6535" t="inlineStr">
        <is>
          <t>2022-11-03</t>
        </is>
      </c>
      <c r="B6535" t="inlineStr">
        <is>
          <t>21:14</t>
        </is>
      </c>
      <c r="C6535" t="n">
        <v>3091</v>
      </c>
      <c r="D6535" s="6" t="n">
        <v>5.2</v>
      </c>
      <c r="E6535" t="n">
        <v>43702</v>
      </c>
      <c r="F6535" s="6" t="n">
        <v>5.2</v>
      </c>
      <c r="G6535" t="n">
        <v>1</v>
      </c>
      <c r="H6535" s="6">
        <f>ROUND(G6535*F6535,2)</f>
        <v/>
      </c>
      <c r="I6535">
        <f>IF(ROUND(H6535-D6535,2)=0,1,0)</f>
        <v/>
      </c>
      <c r="J6535">
        <f>IF(F6535="","none",IF(G6535=1,"carte","multiple"))</f>
        <v/>
      </c>
    </row>
    <row r="6536">
      <c r="A6536" t="inlineStr">
        <is>
          <t>2022-11-03</t>
        </is>
      </c>
      <c r="B6536" t="inlineStr">
        <is>
          <t>21:14</t>
        </is>
      </c>
      <c r="C6536" t="n">
        <v>3091</v>
      </c>
      <c r="D6536" s="6" t="n">
        <v>8.9</v>
      </c>
      <c r="E6536" t="n">
        <v>43703</v>
      </c>
      <c r="F6536" s="6" t="n">
        <v>8.9</v>
      </c>
      <c r="G6536" t="n">
        <v>1</v>
      </c>
      <c r="H6536" s="6">
        <f>ROUND(G6536*F6536,2)</f>
        <v/>
      </c>
      <c r="I6536">
        <f>IF(ROUND(H6536-D6536,2)=0,1,0)</f>
        <v/>
      </c>
      <c r="J6536">
        <f>IF(F6536="","none",IF(G6536=1,"carte","multiple"))</f>
        <v/>
      </c>
    </row>
    <row r="6537">
      <c r="A6537" t="inlineStr">
        <is>
          <t>2022-11-04</t>
        </is>
      </c>
      <c r="B6537" t="inlineStr">
        <is>
          <t>11:00</t>
        </is>
      </c>
      <c r="C6537" t="n">
        <v>3092</v>
      </c>
      <c r="D6537" s="6" t="n">
        <v>6.4</v>
      </c>
      <c r="E6537" t="n">
        <v>43709</v>
      </c>
      <c r="F6537" s="6" t="n">
        <v>6.4</v>
      </c>
      <c r="G6537" t="n">
        <v>1</v>
      </c>
      <c r="H6537" s="6">
        <f>ROUND(G6537*F6537,2)</f>
        <v/>
      </c>
      <c r="I6537">
        <f>IF(ROUND(H6537-D6537,2)=0,1,0)</f>
        <v/>
      </c>
      <c r="J6537">
        <f>IF(F6537="","none",IF(G6537=1,"carte","multiple"))</f>
        <v/>
      </c>
    </row>
    <row r="6538">
      <c r="A6538" t="inlineStr">
        <is>
          <t>2022-11-04</t>
        </is>
      </c>
      <c r="B6538" t="inlineStr">
        <is>
          <t>12:05</t>
        </is>
      </c>
      <c r="C6538" t="n">
        <v>3092</v>
      </c>
      <c r="D6538" s="6" t="n">
        <v>12</v>
      </c>
      <c r="E6538" t="n">
        <v>43710</v>
      </c>
      <c r="F6538" s="6" t="n">
        <v>12</v>
      </c>
      <c r="G6538" t="n">
        <v>1</v>
      </c>
      <c r="H6538" s="6">
        <f>ROUND(G6538*F6538,2)</f>
        <v/>
      </c>
      <c r="I6538">
        <f>IF(ROUND(H6538-D6538,2)=0,1,0)</f>
        <v/>
      </c>
      <c r="J6538">
        <f>IF(F6538="","none",IF(G6538=1,"carte","multiple"))</f>
        <v/>
      </c>
    </row>
    <row r="6539">
      <c r="A6539" t="inlineStr">
        <is>
          <t>2022-11-04</t>
        </is>
      </c>
      <c r="B6539" t="inlineStr">
        <is>
          <t>19:21</t>
        </is>
      </c>
      <c r="C6539" t="n">
        <v>3092</v>
      </c>
      <c r="D6539" s="6" t="n">
        <v>5.9</v>
      </c>
      <c r="E6539" t="n">
        <v>43712</v>
      </c>
      <c r="F6539" s="6" t="n">
        <v>5.9</v>
      </c>
      <c r="G6539" t="n">
        <v>1</v>
      </c>
      <c r="H6539" s="6">
        <f>ROUND(G6539*F6539,2)</f>
        <v/>
      </c>
      <c r="I6539">
        <f>IF(ROUND(H6539-D6539,2)=0,1,0)</f>
        <v/>
      </c>
      <c r="J6539">
        <f>IF(F6539="","none",IF(G6539=1,"carte","multiple"))</f>
        <v/>
      </c>
    </row>
    <row r="6540">
      <c r="A6540" t="inlineStr">
        <is>
          <t>2022-11-05</t>
        </is>
      </c>
      <c r="B6540" t="inlineStr">
        <is>
          <t>10:34</t>
        </is>
      </c>
      <c r="C6540" t="n">
        <v>3093</v>
      </c>
      <c r="D6540" s="6" t="n">
        <v>4.5</v>
      </c>
      <c r="E6540" t="n">
        <v>43715</v>
      </c>
      <c r="F6540" s="6" t="n">
        <v>4.5</v>
      </c>
      <c r="G6540" t="n">
        <v>1</v>
      </c>
      <c r="H6540" s="6">
        <f>ROUND(G6540*F6540,2)</f>
        <v/>
      </c>
      <c r="I6540">
        <f>IF(ROUND(H6540-D6540,2)=0,1,0)</f>
        <v/>
      </c>
      <c r="J6540">
        <f>IF(F6540="","none",IF(G6540=1,"carte","multiple"))</f>
        <v/>
      </c>
    </row>
    <row r="6541">
      <c r="A6541" t="inlineStr">
        <is>
          <t>2022-11-05</t>
        </is>
      </c>
      <c r="B6541" t="inlineStr">
        <is>
          <t>11:21</t>
        </is>
      </c>
      <c r="C6541" t="n">
        <v>3093</v>
      </c>
      <c r="D6541" s="6" t="n">
        <v>36</v>
      </c>
      <c r="E6541" t="n">
        <v>43716</v>
      </c>
      <c r="F6541" s="6" t="n">
        <v>36</v>
      </c>
      <c r="G6541" t="n">
        <v>1</v>
      </c>
      <c r="H6541" s="6">
        <f>ROUND(G6541*F6541,2)</f>
        <v/>
      </c>
      <c r="I6541">
        <f>IF(ROUND(H6541-D6541,2)=0,1,0)</f>
        <v/>
      </c>
      <c r="J6541">
        <f>IF(F6541="","none",IF(G6541=1,"carte","multiple"))</f>
        <v/>
      </c>
    </row>
    <row r="6542">
      <c r="A6542" t="inlineStr">
        <is>
          <t>2022-11-05</t>
        </is>
      </c>
      <c r="B6542" t="inlineStr">
        <is>
          <t>11:22</t>
        </is>
      </c>
      <c r="C6542" t="n">
        <v>3093</v>
      </c>
      <c r="D6542" s="6" t="n">
        <v>5.9</v>
      </c>
      <c r="E6542" t="n">
        <v>43717</v>
      </c>
      <c r="F6542" s="6" t="n">
        <v>5.9</v>
      </c>
      <c r="G6542" t="n">
        <v>1</v>
      </c>
      <c r="H6542" s="6">
        <f>ROUND(G6542*F6542,2)</f>
        <v/>
      </c>
      <c r="I6542">
        <f>IF(ROUND(H6542-D6542,2)=0,1,0)</f>
        <v/>
      </c>
      <c r="J6542">
        <f>IF(F6542="","none",IF(G6542=1,"carte","multiple"))</f>
        <v/>
      </c>
    </row>
    <row r="6543">
      <c r="A6543" t="inlineStr">
        <is>
          <t>2022-11-05</t>
        </is>
      </c>
      <c r="B6543" t="inlineStr">
        <is>
          <t>11:30</t>
        </is>
      </c>
      <c r="C6543" t="n">
        <v>3093</v>
      </c>
      <c r="D6543" s="6" t="n">
        <v>6</v>
      </c>
      <c r="E6543" t="n">
        <v>43718</v>
      </c>
      <c r="F6543" s="6" t="n">
        <v>6</v>
      </c>
      <c r="G6543" t="n">
        <v>1</v>
      </c>
      <c r="H6543" s="6">
        <f>ROUND(G6543*F6543,2)</f>
        <v/>
      </c>
      <c r="I6543">
        <f>IF(ROUND(H6543-D6543,2)=0,1,0)</f>
        <v/>
      </c>
      <c r="J6543">
        <f>IF(F6543="","none",IF(G6543=1,"carte","multiple"))</f>
        <v/>
      </c>
    </row>
    <row r="6544">
      <c r="A6544" t="inlineStr">
        <is>
          <t>2022-11-05</t>
        </is>
      </c>
      <c r="B6544" t="inlineStr">
        <is>
          <t>11:41</t>
        </is>
      </c>
      <c r="C6544" t="n">
        <v>3093</v>
      </c>
      <c r="D6544" s="6" t="n">
        <v>4.9</v>
      </c>
      <c r="E6544" t="n">
        <v>43719</v>
      </c>
      <c r="F6544" s="6" t="n">
        <v>4.9</v>
      </c>
      <c r="G6544" t="n">
        <v>1</v>
      </c>
      <c r="H6544" s="6">
        <f>ROUND(G6544*F6544,2)</f>
        <v/>
      </c>
      <c r="I6544">
        <f>IF(ROUND(H6544-D6544,2)=0,1,0)</f>
        <v/>
      </c>
      <c r="J6544">
        <f>IF(F6544="","none",IF(G6544=1,"carte","multiple"))</f>
        <v/>
      </c>
    </row>
    <row r="6545">
      <c r="A6545" t="inlineStr">
        <is>
          <t>2022-11-05</t>
        </is>
      </c>
      <c r="B6545" t="inlineStr">
        <is>
          <t>11:46</t>
        </is>
      </c>
      <c r="C6545" t="n">
        <v>3093</v>
      </c>
      <c r="D6545" s="6" t="n">
        <v>19</v>
      </c>
      <c r="E6545" t="n">
        <v>43720</v>
      </c>
      <c r="F6545" s="6" t="n">
        <v>19</v>
      </c>
      <c r="G6545" t="n">
        <v>1</v>
      </c>
      <c r="H6545" s="6">
        <f>ROUND(G6545*F6545,2)</f>
        <v/>
      </c>
      <c r="I6545">
        <f>IF(ROUND(H6545-D6545,2)=0,1,0)</f>
        <v/>
      </c>
      <c r="J6545">
        <f>IF(F6545="","none",IF(G6545=1,"carte","multiple"))</f>
        <v/>
      </c>
    </row>
    <row r="6546">
      <c r="A6546" t="inlineStr">
        <is>
          <t>2022-11-05</t>
        </is>
      </c>
      <c r="B6546" t="inlineStr">
        <is>
          <t>11:46</t>
        </is>
      </c>
      <c r="C6546" t="n">
        <v>3093</v>
      </c>
      <c r="D6546" s="6" t="n">
        <v>0</v>
      </c>
      <c r="E6546" t="n">
        <v>43721</v>
      </c>
      <c r="H6546" t="inlineStr"/>
      <c r="I6546" t="inlineStr"/>
      <c r="J6546">
        <f>IF(F6546="","none",IF(G6546=1,"carte","multiple"))</f>
        <v/>
      </c>
    </row>
    <row r="6547">
      <c r="A6547" t="inlineStr">
        <is>
          <t>2022-11-05</t>
        </is>
      </c>
      <c r="B6547" t="inlineStr">
        <is>
          <t>12:11</t>
        </is>
      </c>
      <c r="C6547" t="n">
        <v>3093</v>
      </c>
      <c r="D6547" s="6" t="n">
        <v>59.8</v>
      </c>
      <c r="E6547" t="n">
        <v>43722</v>
      </c>
      <c r="F6547" s="6" t="n">
        <v>4.6</v>
      </c>
      <c r="G6547" t="n">
        <v>13</v>
      </c>
      <c r="H6547" s="6">
        <f>ROUND(G6547*F6547,2)</f>
        <v/>
      </c>
      <c r="I6547">
        <f>IF(ROUND(H6547-D6547,2)=0,1,0)</f>
        <v/>
      </c>
      <c r="J6547">
        <f>IF(F6547="","none",IF(G6547=1,"carte","multiple"))</f>
        <v/>
      </c>
    </row>
    <row r="6548">
      <c r="A6548" t="inlineStr">
        <is>
          <t>2022-11-05</t>
        </is>
      </c>
      <c r="B6548" t="inlineStr">
        <is>
          <t>12:11</t>
        </is>
      </c>
      <c r="C6548" t="n">
        <v>3093</v>
      </c>
      <c r="D6548" s="6" t="n">
        <v>39.5</v>
      </c>
      <c r="E6548" t="n">
        <v>43723</v>
      </c>
      <c r="F6548" s="6" t="n">
        <v>39.5</v>
      </c>
      <c r="G6548" t="n">
        <v>1</v>
      </c>
      <c r="H6548" s="6">
        <f>ROUND(G6548*F6548,2)</f>
        <v/>
      </c>
      <c r="I6548">
        <f>IF(ROUND(H6548-D6548,2)=0,1,0)</f>
        <v/>
      </c>
      <c r="J6548">
        <f>IF(F6548="","none",IF(G6548=1,"carte","multiple"))</f>
        <v/>
      </c>
    </row>
    <row r="6549">
      <c r="A6549" t="inlineStr">
        <is>
          <t>2022-11-05</t>
        </is>
      </c>
      <c r="B6549" t="inlineStr">
        <is>
          <t>12:17</t>
        </is>
      </c>
      <c r="C6549" t="n">
        <v>3093</v>
      </c>
      <c r="D6549" s="6" t="n">
        <v>5</v>
      </c>
      <c r="E6549" t="n">
        <v>43724</v>
      </c>
      <c r="F6549" s="6" t="n">
        <v>5</v>
      </c>
      <c r="G6549" t="n">
        <v>1</v>
      </c>
      <c r="H6549" s="6">
        <f>ROUND(G6549*F6549,2)</f>
        <v/>
      </c>
      <c r="I6549">
        <f>IF(ROUND(H6549-D6549,2)=0,1,0)</f>
        <v/>
      </c>
      <c r="J6549">
        <f>IF(F6549="","none",IF(G6549=1,"carte","multiple"))</f>
        <v/>
      </c>
    </row>
    <row r="6550">
      <c r="A6550" t="inlineStr">
        <is>
          <t>2022-11-05</t>
        </is>
      </c>
      <c r="B6550" t="inlineStr">
        <is>
          <t>12:17</t>
        </is>
      </c>
      <c r="C6550" t="n">
        <v>3093</v>
      </c>
      <c r="D6550" s="6" t="n">
        <v>3.9</v>
      </c>
      <c r="E6550" t="n">
        <v>43725</v>
      </c>
      <c r="F6550" s="6" t="n">
        <v>3.9</v>
      </c>
      <c r="G6550" t="n">
        <v>1</v>
      </c>
      <c r="H6550" s="6">
        <f>ROUND(G6550*F6550,2)</f>
        <v/>
      </c>
      <c r="I6550">
        <f>IF(ROUND(H6550-D6550,2)=0,1,0)</f>
        <v/>
      </c>
      <c r="J6550">
        <f>IF(F6550="","none",IF(G6550=1,"carte","multiple"))</f>
        <v/>
      </c>
    </row>
    <row r="6551">
      <c r="A6551" t="inlineStr">
        <is>
          <t>2022-11-05</t>
        </is>
      </c>
      <c r="B6551" t="inlineStr">
        <is>
          <t>12:17</t>
        </is>
      </c>
      <c r="C6551" t="n">
        <v>3093</v>
      </c>
      <c r="D6551" s="6" t="n">
        <v>59.8</v>
      </c>
      <c r="E6551" t="n">
        <v>43726</v>
      </c>
      <c r="F6551" s="6" t="n">
        <v>4.6</v>
      </c>
      <c r="G6551" t="n">
        <v>13</v>
      </c>
      <c r="H6551" s="6">
        <f>ROUND(G6551*F6551,2)</f>
        <v/>
      </c>
      <c r="I6551">
        <f>IF(ROUND(H6551-D6551,2)=0,1,0)</f>
        <v/>
      </c>
      <c r="J6551">
        <f>IF(F6551="","none",IF(G6551=1,"carte","multiple"))</f>
        <v/>
      </c>
    </row>
    <row r="6552">
      <c r="A6552" t="inlineStr">
        <is>
          <t>2022-11-05</t>
        </is>
      </c>
      <c r="B6552" t="inlineStr">
        <is>
          <t>12:17</t>
        </is>
      </c>
      <c r="C6552" t="n">
        <v>3093</v>
      </c>
      <c r="D6552" s="6" t="n">
        <v>3.2</v>
      </c>
      <c r="E6552" t="n">
        <v>43727</v>
      </c>
      <c r="F6552" s="6" t="n">
        <v>3.2</v>
      </c>
      <c r="G6552" t="n">
        <v>1</v>
      </c>
      <c r="H6552" s="6">
        <f>ROUND(G6552*F6552,2)</f>
        <v/>
      </c>
      <c r="I6552">
        <f>IF(ROUND(H6552-D6552,2)=0,1,0)</f>
        <v/>
      </c>
      <c r="J6552">
        <f>IF(F6552="","none",IF(G6552=1,"carte","multiple"))</f>
        <v/>
      </c>
    </row>
    <row r="6553">
      <c r="A6553" t="inlineStr">
        <is>
          <t>2022-11-05</t>
        </is>
      </c>
      <c r="B6553" t="inlineStr">
        <is>
          <t>12:17</t>
        </is>
      </c>
      <c r="C6553" t="n">
        <v>3093</v>
      </c>
      <c r="D6553" s="6" t="n">
        <v>4</v>
      </c>
      <c r="E6553" t="n">
        <v>43728</v>
      </c>
      <c r="F6553" s="6" t="n">
        <v>4</v>
      </c>
      <c r="G6553" t="n">
        <v>1</v>
      </c>
      <c r="H6553" s="6">
        <f>ROUND(G6553*F6553,2)</f>
        <v/>
      </c>
      <c r="I6553">
        <f>IF(ROUND(H6553-D6553,2)=0,1,0)</f>
        <v/>
      </c>
      <c r="J6553">
        <f>IF(F6553="","none",IF(G6553=1,"carte","multiple"))</f>
        <v/>
      </c>
    </row>
    <row r="6554">
      <c r="A6554" t="inlineStr">
        <is>
          <t>2022-11-05</t>
        </is>
      </c>
      <c r="B6554" t="inlineStr">
        <is>
          <t>12:17</t>
        </is>
      </c>
      <c r="C6554" t="n">
        <v>3093</v>
      </c>
      <c r="D6554" s="6" t="n">
        <v>3.8</v>
      </c>
      <c r="E6554" t="n">
        <v>43729</v>
      </c>
      <c r="F6554" s="6" t="n">
        <v>3.8</v>
      </c>
      <c r="G6554" t="n">
        <v>1</v>
      </c>
      <c r="H6554" s="6">
        <f>ROUND(G6554*F6554,2)</f>
        <v/>
      </c>
      <c r="I6554">
        <f>IF(ROUND(H6554-D6554,2)=0,1,0)</f>
        <v/>
      </c>
      <c r="J6554">
        <f>IF(F6554="","none",IF(G6554=1,"carte","multiple"))</f>
        <v/>
      </c>
    </row>
    <row r="6555">
      <c r="A6555" t="inlineStr">
        <is>
          <t>2022-11-05</t>
        </is>
      </c>
      <c r="B6555" t="inlineStr">
        <is>
          <t>12:17</t>
        </is>
      </c>
      <c r="C6555" t="n">
        <v>3093</v>
      </c>
      <c r="D6555" s="6" t="n">
        <v>0.9</v>
      </c>
      <c r="E6555" t="n">
        <v>43730</v>
      </c>
      <c r="F6555" s="6" t="n">
        <v>0.9</v>
      </c>
      <c r="G6555" t="n">
        <v>1</v>
      </c>
      <c r="H6555" s="6">
        <f>ROUND(G6555*F6555,2)</f>
        <v/>
      </c>
      <c r="I6555">
        <f>IF(ROUND(H6555-D6555,2)=0,1,0)</f>
        <v/>
      </c>
      <c r="J6555">
        <f>IF(F6555="","none",IF(G6555=1,"carte","multiple"))</f>
        <v/>
      </c>
    </row>
    <row r="6556">
      <c r="A6556" t="inlineStr">
        <is>
          <t>2022-11-05</t>
        </is>
      </c>
      <c r="B6556" t="inlineStr">
        <is>
          <t>12:17</t>
        </is>
      </c>
      <c r="C6556" t="n">
        <v>3093</v>
      </c>
      <c r="D6556" s="6" t="n">
        <v>3.9</v>
      </c>
      <c r="E6556" t="n">
        <v>43731</v>
      </c>
      <c r="F6556" s="6" t="n">
        <v>3.9</v>
      </c>
      <c r="G6556" t="n">
        <v>1</v>
      </c>
      <c r="H6556" s="6">
        <f>ROUND(G6556*F6556,2)</f>
        <v/>
      </c>
      <c r="I6556">
        <f>IF(ROUND(H6556-D6556,2)=0,1,0)</f>
        <v/>
      </c>
      <c r="J6556">
        <f>IF(F6556="","none",IF(G6556=1,"carte","multiple"))</f>
        <v/>
      </c>
    </row>
    <row r="6557">
      <c r="A6557" t="inlineStr">
        <is>
          <t>2022-11-05</t>
        </is>
      </c>
      <c r="B6557" t="inlineStr">
        <is>
          <t>12:17</t>
        </is>
      </c>
      <c r="C6557" t="n">
        <v>3093</v>
      </c>
      <c r="D6557" s="6" t="n">
        <v>11.7</v>
      </c>
      <c r="E6557" t="n">
        <v>43732</v>
      </c>
      <c r="F6557" s="6" t="n">
        <v>0.9</v>
      </c>
      <c r="G6557" t="n">
        <v>13</v>
      </c>
      <c r="H6557" s="6">
        <f>ROUND(G6557*F6557,2)</f>
        <v/>
      </c>
      <c r="I6557">
        <f>IF(ROUND(H6557-D6557,2)=0,1,0)</f>
        <v/>
      </c>
      <c r="J6557">
        <f>IF(F6557="","none",IF(G6557=1,"carte","multiple"))</f>
        <v/>
      </c>
    </row>
    <row r="6558">
      <c r="A6558" t="inlineStr">
        <is>
          <t>2022-11-05</t>
        </is>
      </c>
      <c r="B6558" t="inlineStr">
        <is>
          <t>12:23</t>
        </is>
      </c>
      <c r="C6558" t="n">
        <v>3093</v>
      </c>
      <c r="D6558" s="6" t="n">
        <v>25</v>
      </c>
      <c r="E6558" t="n">
        <v>43733</v>
      </c>
      <c r="F6558" s="6" t="n">
        <v>25</v>
      </c>
      <c r="G6558" t="n">
        <v>1</v>
      </c>
      <c r="H6558" s="6">
        <f>ROUND(G6558*F6558,2)</f>
        <v/>
      </c>
      <c r="I6558">
        <f>IF(ROUND(H6558-D6558,2)=0,1,0)</f>
        <v/>
      </c>
      <c r="J6558">
        <f>IF(F6558="","none",IF(G6558=1,"carte","multiple"))</f>
        <v/>
      </c>
    </row>
    <row r="6559">
      <c r="A6559" t="inlineStr">
        <is>
          <t>2022-11-05</t>
        </is>
      </c>
      <c r="B6559" t="inlineStr">
        <is>
          <t>12:23</t>
        </is>
      </c>
      <c r="C6559" t="n">
        <v>3093</v>
      </c>
      <c r="D6559" s="6" t="n">
        <v>34</v>
      </c>
      <c r="E6559" t="n">
        <v>43734</v>
      </c>
      <c r="F6559" s="6" t="n">
        <v>34</v>
      </c>
      <c r="G6559" t="n">
        <v>1</v>
      </c>
      <c r="H6559" s="6">
        <f>ROUND(G6559*F6559,2)</f>
        <v/>
      </c>
      <c r="I6559">
        <f>IF(ROUND(H6559-D6559,2)=0,1,0)</f>
        <v/>
      </c>
      <c r="J6559">
        <f>IF(F6559="","none",IF(G6559=1,"carte","multiple"))</f>
        <v/>
      </c>
    </row>
    <row r="6560">
      <c r="A6560" t="inlineStr">
        <is>
          <t>2022-11-05</t>
        </is>
      </c>
      <c r="B6560" t="inlineStr">
        <is>
          <t>12:23</t>
        </is>
      </c>
      <c r="C6560" t="n">
        <v>3093</v>
      </c>
      <c r="D6560" s="6" t="n">
        <v>29.9</v>
      </c>
      <c r="E6560" t="n">
        <v>43735</v>
      </c>
      <c r="F6560" s="6" t="n">
        <v>29.9</v>
      </c>
      <c r="G6560" t="n">
        <v>1</v>
      </c>
      <c r="H6560" s="6">
        <f>ROUND(G6560*F6560,2)</f>
        <v/>
      </c>
      <c r="I6560">
        <f>IF(ROUND(H6560-D6560,2)=0,1,0)</f>
        <v/>
      </c>
      <c r="J6560">
        <f>IF(F6560="","none",IF(G6560=1,"carte","multiple"))</f>
        <v/>
      </c>
    </row>
    <row r="6561">
      <c r="A6561" t="inlineStr">
        <is>
          <t>2022-11-05</t>
        </is>
      </c>
      <c r="B6561" t="inlineStr">
        <is>
          <t>12:35</t>
        </is>
      </c>
      <c r="C6561" t="n">
        <v>3093</v>
      </c>
      <c r="D6561" s="6" t="n">
        <v>4.4</v>
      </c>
      <c r="E6561" t="n">
        <v>43736</v>
      </c>
      <c r="F6561" s="6" t="n">
        <v>0.4</v>
      </c>
      <c r="G6561" t="n">
        <v>11</v>
      </c>
      <c r="H6561" s="6">
        <f>ROUND(G6561*F6561,2)</f>
        <v/>
      </c>
      <c r="I6561">
        <f>IF(ROUND(H6561-D6561,2)=0,1,0)</f>
        <v/>
      </c>
      <c r="J6561">
        <f>IF(F6561="","none",IF(G6561=1,"carte","multiple"))</f>
        <v/>
      </c>
    </row>
    <row r="6562">
      <c r="A6562" t="inlineStr">
        <is>
          <t>2022-11-05</t>
        </is>
      </c>
      <c r="B6562" t="inlineStr">
        <is>
          <t>12:35</t>
        </is>
      </c>
      <c r="C6562" t="n">
        <v>3093</v>
      </c>
      <c r="D6562" s="6" t="n">
        <v>16.9</v>
      </c>
      <c r="E6562" t="n">
        <v>43737</v>
      </c>
      <c r="F6562" s="6" t="n">
        <v>16.9</v>
      </c>
      <c r="G6562" t="n">
        <v>1</v>
      </c>
      <c r="H6562" s="6">
        <f>ROUND(G6562*F6562,2)</f>
        <v/>
      </c>
      <c r="I6562">
        <f>IF(ROUND(H6562-D6562,2)=0,1,0)</f>
        <v/>
      </c>
      <c r="J6562">
        <f>IF(F6562="","none",IF(G6562=1,"carte","multiple"))</f>
        <v/>
      </c>
    </row>
    <row r="6563">
      <c r="A6563" t="inlineStr">
        <is>
          <t>2022-11-05</t>
        </is>
      </c>
      <c r="B6563" t="inlineStr">
        <is>
          <t>12:35</t>
        </is>
      </c>
      <c r="C6563" t="n">
        <v>3093</v>
      </c>
      <c r="D6563" s="6" t="n">
        <v>16.4</v>
      </c>
      <c r="E6563" t="n">
        <v>43738</v>
      </c>
      <c r="F6563" s="6" t="n">
        <v>16.4</v>
      </c>
      <c r="G6563" t="n">
        <v>1</v>
      </c>
      <c r="H6563" s="6">
        <f>ROUND(G6563*F6563,2)</f>
        <v/>
      </c>
      <c r="I6563">
        <f>IF(ROUND(H6563-D6563,2)=0,1,0)</f>
        <v/>
      </c>
      <c r="J6563">
        <f>IF(F6563="","none",IF(G6563=1,"carte","multiple"))</f>
        <v/>
      </c>
    </row>
    <row r="6564">
      <c r="A6564" t="inlineStr">
        <is>
          <t>2022-11-05</t>
        </is>
      </c>
      <c r="B6564" t="inlineStr">
        <is>
          <t>12:35</t>
        </is>
      </c>
      <c r="C6564" t="n">
        <v>3093</v>
      </c>
      <c r="D6564" s="6" t="n">
        <v>18.6</v>
      </c>
      <c r="E6564" t="n">
        <v>43739</v>
      </c>
      <c r="F6564" s="6" t="n">
        <v>18.6</v>
      </c>
      <c r="G6564" t="n">
        <v>1</v>
      </c>
      <c r="H6564" s="6">
        <f>ROUND(G6564*F6564,2)</f>
        <v/>
      </c>
      <c r="I6564">
        <f>IF(ROUND(H6564-D6564,2)=0,1,0)</f>
        <v/>
      </c>
      <c r="J6564">
        <f>IF(F6564="","none",IF(G6564=1,"carte","multiple"))</f>
        <v/>
      </c>
    </row>
    <row r="6565">
      <c r="A6565" t="inlineStr">
        <is>
          <t>2022-11-05</t>
        </is>
      </c>
      <c r="B6565" t="inlineStr">
        <is>
          <t>12:35</t>
        </is>
      </c>
      <c r="C6565" t="n">
        <v>3093</v>
      </c>
      <c r="D6565" s="6" t="n">
        <v>14</v>
      </c>
      <c r="E6565" t="n">
        <v>43740</v>
      </c>
      <c r="F6565" s="6" t="n">
        <v>14</v>
      </c>
      <c r="G6565" t="n">
        <v>1</v>
      </c>
      <c r="H6565" s="6">
        <f>ROUND(G6565*F6565,2)</f>
        <v/>
      </c>
      <c r="I6565">
        <f>IF(ROUND(H6565-D6565,2)=0,1,0)</f>
        <v/>
      </c>
      <c r="J6565">
        <f>IF(F6565="","none",IF(G6565=1,"carte","multiple"))</f>
        <v/>
      </c>
    </row>
    <row r="6566">
      <c r="A6566" t="inlineStr">
        <is>
          <t>2022-11-05</t>
        </is>
      </c>
      <c r="B6566" t="inlineStr">
        <is>
          <t>12:36</t>
        </is>
      </c>
      <c r="C6566" t="n">
        <v>3093</v>
      </c>
      <c r="D6566" s="6" t="n">
        <v>2.2</v>
      </c>
      <c r="E6566" t="n">
        <v>43741</v>
      </c>
      <c r="F6566" s="6" t="n">
        <v>2.2</v>
      </c>
      <c r="G6566" t="n">
        <v>1</v>
      </c>
      <c r="H6566" s="6">
        <f>ROUND(G6566*F6566,2)</f>
        <v/>
      </c>
      <c r="I6566">
        <f>IF(ROUND(H6566-D6566,2)=0,1,0)</f>
        <v/>
      </c>
      <c r="J6566">
        <f>IF(F6566="","none",IF(G6566=1,"carte","multiple"))</f>
        <v/>
      </c>
    </row>
    <row r="6567">
      <c r="A6567" t="inlineStr">
        <is>
          <t>2022-11-05</t>
        </is>
      </c>
      <c r="B6567" t="inlineStr">
        <is>
          <t>12:36</t>
        </is>
      </c>
      <c r="C6567" t="n">
        <v>3093</v>
      </c>
      <c r="D6567" s="6" t="n">
        <v>21.6</v>
      </c>
      <c r="E6567" t="n">
        <v>43742</v>
      </c>
      <c r="F6567" s="6" t="n">
        <v>21.6</v>
      </c>
      <c r="G6567" t="n">
        <v>1</v>
      </c>
      <c r="H6567" s="6">
        <f>ROUND(G6567*F6567,2)</f>
        <v/>
      </c>
      <c r="I6567">
        <f>IF(ROUND(H6567-D6567,2)=0,1,0)</f>
        <v/>
      </c>
      <c r="J6567">
        <f>IF(F6567="","none",IF(G6567=1,"carte","multiple"))</f>
        <v/>
      </c>
    </row>
    <row r="6568">
      <c r="A6568" t="inlineStr">
        <is>
          <t>2022-11-05</t>
        </is>
      </c>
      <c r="B6568" t="inlineStr">
        <is>
          <t>12:36</t>
        </is>
      </c>
      <c r="C6568" t="n">
        <v>3093</v>
      </c>
      <c r="D6568" s="6" t="n">
        <v>8.9</v>
      </c>
      <c r="E6568" t="n">
        <v>43743</v>
      </c>
      <c r="F6568" s="6" t="n">
        <v>8.9</v>
      </c>
      <c r="G6568" t="n">
        <v>1</v>
      </c>
      <c r="H6568" s="6">
        <f>ROUND(G6568*F6568,2)</f>
        <v/>
      </c>
      <c r="I6568">
        <f>IF(ROUND(H6568-D6568,2)=0,1,0)</f>
        <v/>
      </c>
      <c r="J6568">
        <f>IF(F6568="","none",IF(G6568=1,"carte","multiple"))</f>
        <v/>
      </c>
    </row>
    <row r="6569">
      <c r="A6569" t="inlineStr">
        <is>
          <t>2022-11-05</t>
        </is>
      </c>
      <c r="B6569" t="inlineStr">
        <is>
          <t>12:36</t>
        </is>
      </c>
      <c r="C6569" t="n">
        <v>3093</v>
      </c>
      <c r="D6569" s="6" t="n">
        <v>7.8</v>
      </c>
      <c r="E6569" t="n">
        <v>43744</v>
      </c>
      <c r="F6569" s="6" t="n">
        <v>7.8</v>
      </c>
      <c r="G6569" t="n">
        <v>1</v>
      </c>
      <c r="H6569" s="6">
        <f>ROUND(G6569*F6569,2)</f>
        <v/>
      </c>
      <c r="I6569">
        <f>IF(ROUND(H6569-D6569,2)=0,1,0)</f>
        <v/>
      </c>
      <c r="J6569">
        <f>IF(F6569="","none",IF(G6569=1,"carte","multiple"))</f>
        <v/>
      </c>
    </row>
    <row r="6570">
      <c r="A6570" t="inlineStr">
        <is>
          <t>2022-11-05</t>
        </is>
      </c>
      <c r="B6570" t="inlineStr">
        <is>
          <t>12:36</t>
        </is>
      </c>
      <c r="C6570" t="n">
        <v>3093</v>
      </c>
      <c r="D6570" s="6" t="n">
        <v>51.8</v>
      </c>
      <c r="E6570" t="n">
        <v>43745</v>
      </c>
      <c r="F6570" s="6" t="n">
        <v>1.4</v>
      </c>
      <c r="G6570" t="n">
        <v>37</v>
      </c>
      <c r="H6570" s="6">
        <f>ROUND(G6570*F6570,2)</f>
        <v/>
      </c>
      <c r="I6570">
        <f>IF(ROUND(H6570-D6570,2)=0,1,0)</f>
        <v/>
      </c>
      <c r="J6570">
        <f>IF(F6570="","none",IF(G6570=1,"carte","multiple"))</f>
        <v/>
      </c>
    </row>
    <row r="6571">
      <c r="A6571" t="inlineStr">
        <is>
          <t>2022-11-05</t>
        </is>
      </c>
      <c r="B6571" t="inlineStr">
        <is>
          <t>12:38</t>
        </is>
      </c>
      <c r="C6571" t="n">
        <v>3093</v>
      </c>
      <c r="D6571" s="6" t="n">
        <v>37.2</v>
      </c>
      <c r="E6571" t="n">
        <v>43746</v>
      </c>
      <c r="F6571" s="6" t="n">
        <v>0.4</v>
      </c>
      <c r="G6571" t="n">
        <v>93</v>
      </c>
      <c r="H6571" s="6">
        <f>ROUND(G6571*F6571,2)</f>
        <v/>
      </c>
      <c r="I6571">
        <f>IF(ROUND(H6571-D6571,2)=0,1,0)</f>
        <v/>
      </c>
      <c r="J6571">
        <f>IF(F6571="","none",IF(G6571=1,"carte","multiple"))</f>
        <v/>
      </c>
    </row>
    <row r="6572">
      <c r="A6572" t="inlineStr">
        <is>
          <t>2022-11-05</t>
        </is>
      </c>
      <c r="B6572" t="inlineStr">
        <is>
          <t>12:38</t>
        </is>
      </c>
      <c r="C6572" t="n">
        <v>3093</v>
      </c>
      <c r="D6572" s="6" t="n">
        <v>38</v>
      </c>
      <c r="E6572" t="n">
        <v>43747</v>
      </c>
      <c r="F6572" s="6" t="n">
        <v>0.4</v>
      </c>
      <c r="G6572" t="n">
        <v>95</v>
      </c>
      <c r="H6572" s="6">
        <f>ROUND(G6572*F6572,2)</f>
        <v/>
      </c>
      <c r="I6572">
        <f>IF(ROUND(H6572-D6572,2)=0,1,0)</f>
        <v/>
      </c>
      <c r="J6572">
        <f>IF(F6572="","none",IF(G6572=1,"carte","multiple"))</f>
        <v/>
      </c>
    </row>
    <row r="6573">
      <c r="A6573" t="inlineStr">
        <is>
          <t>2022-11-05</t>
        </is>
      </c>
      <c r="B6573" t="inlineStr">
        <is>
          <t>12:38</t>
        </is>
      </c>
      <c r="C6573" t="n">
        <v>3093</v>
      </c>
      <c r="D6573" s="6" t="n">
        <v>5.2</v>
      </c>
      <c r="E6573" t="n">
        <v>43748</v>
      </c>
      <c r="F6573" s="6" t="n">
        <v>5.2</v>
      </c>
      <c r="G6573" t="n">
        <v>1</v>
      </c>
      <c r="H6573" s="6">
        <f>ROUND(G6573*F6573,2)</f>
        <v/>
      </c>
      <c r="I6573">
        <f>IF(ROUND(H6573-D6573,2)=0,1,0)</f>
        <v/>
      </c>
      <c r="J6573">
        <f>IF(F6573="","none",IF(G6573=1,"carte","multiple"))</f>
        <v/>
      </c>
    </row>
    <row r="6574">
      <c r="A6574" t="inlineStr">
        <is>
          <t>2022-11-05</t>
        </is>
      </c>
      <c r="B6574" t="inlineStr">
        <is>
          <t>12:38</t>
        </is>
      </c>
      <c r="C6574" t="n">
        <v>3093</v>
      </c>
      <c r="D6574" s="6" t="n">
        <v>5.2</v>
      </c>
      <c r="E6574" t="n">
        <v>43749</v>
      </c>
      <c r="F6574" s="6" t="n">
        <v>5.2</v>
      </c>
      <c r="G6574" t="n">
        <v>1</v>
      </c>
      <c r="H6574" s="6">
        <f>ROUND(G6574*F6574,2)</f>
        <v/>
      </c>
      <c r="I6574">
        <f>IF(ROUND(H6574-D6574,2)=0,1,0)</f>
        <v/>
      </c>
      <c r="J6574">
        <f>IF(F6574="","none",IF(G6574=1,"carte","multiple"))</f>
        <v/>
      </c>
    </row>
    <row r="6575">
      <c r="A6575" t="inlineStr">
        <is>
          <t>2022-11-05</t>
        </is>
      </c>
      <c r="B6575" t="inlineStr">
        <is>
          <t>12:38</t>
        </is>
      </c>
      <c r="C6575" t="n">
        <v>3093</v>
      </c>
      <c r="D6575" s="6" t="n">
        <v>4.2</v>
      </c>
      <c r="E6575" t="n">
        <v>43750</v>
      </c>
      <c r="F6575" s="6" t="n">
        <v>4.2</v>
      </c>
      <c r="G6575" t="n">
        <v>1</v>
      </c>
      <c r="H6575" s="6">
        <f>ROUND(G6575*F6575,2)</f>
        <v/>
      </c>
      <c r="I6575">
        <f>IF(ROUND(H6575-D6575,2)=0,1,0)</f>
        <v/>
      </c>
      <c r="J6575">
        <f>IF(F6575="","none",IF(G6575=1,"carte","multiple"))</f>
        <v/>
      </c>
    </row>
    <row r="6576">
      <c r="A6576" t="inlineStr">
        <is>
          <t>2022-11-05</t>
        </is>
      </c>
      <c r="B6576" t="inlineStr">
        <is>
          <t>12:38</t>
        </is>
      </c>
      <c r="C6576" t="n">
        <v>3093</v>
      </c>
      <c r="D6576" s="6" t="n">
        <v>5.9</v>
      </c>
      <c r="E6576" t="n">
        <v>43751</v>
      </c>
      <c r="F6576" s="6" t="n">
        <v>5.9</v>
      </c>
      <c r="G6576" t="n">
        <v>1</v>
      </c>
      <c r="H6576" s="6">
        <f>ROUND(G6576*F6576,2)</f>
        <v/>
      </c>
      <c r="I6576">
        <f>IF(ROUND(H6576-D6576,2)=0,1,0)</f>
        <v/>
      </c>
      <c r="J6576">
        <f>IF(F6576="","none",IF(G6576=1,"carte","multiple"))</f>
        <v/>
      </c>
    </row>
    <row r="6577">
      <c r="A6577" t="inlineStr">
        <is>
          <t>2022-11-05</t>
        </is>
      </c>
      <c r="B6577" t="inlineStr">
        <is>
          <t>12:46</t>
        </is>
      </c>
      <c r="C6577" t="n">
        <v>3093</v>
      </c>
      <c r="D6577" s="6" t="n">
        <v>5.9</v>
      </c>
      <c r="E6577" t="n">
        <v>43752</v>
      </c>
      <c r="F6577" s="6" t="n">
        <v>5.9</v>
      </c>
      <c r="G6577" t="n">
        <v>1</v>
      </c>
      <c r="H6577" s="6">
        <f>ROUND(G6577*F6577,2)</f>
        <v/>
      </c>
      <c r="I6577">
        <f>IF(ROUND(H6577-D6577,2)=0,1,0)</f>
        <v/>
      </c>
      <c r="J6577">
        <f>IF(F6577="","none",IF(G6577=1,"carte","multiple"))</f>
        <v/>
      </c>
    </row>
    <row r="6578">
      <c r="A6578" t="inlineStr">
        <is>
          <t>2022-11-05</t>
        </is>
      </c>
      <c r="B6578" t="inlineStr">
        <is>
          <t>12:46</t>
        </is>
      </c>
      <c r="C6578" t="n">
        <v>3093</v>
      </c>
      <c r="D6578" s="6" t="n">
        <v>43.8</v>
      </c>
      <c r="E6578" t="n">
        <v>43753</v>
      </c>
      <c r="F6578" s="6" t="n">
        <v>43.8</v>
      </c>
      <c r="G6578" t="n">
        <v>1</v>
      </c>
      <c r="H6578" s="6">
        <f>ROUND(G6578*F6578,2)</f>
        <v/>
      </c>
      <c r="I6578">
        <f>IF(ROUND(H6578-D6578,2)=0,1,0)</f>
        <v/>
      </c>
      <c r="J6578">
        <f>IF(F6578="","none",IF(G6578=1,"carte","multiple"))</f>
        <v/>
      </c>
    </row>
    <row r="6579">
      <c r="A6579" t="inlineStr">
        <is>
          <t>2022-11-05</t>
        </is>
      </c>
      <c r="B6579" t="inlineStr">
        <is>
          <t>12:46</t>
        </is>
      </c>
      <c r="C6579" t="n">
        <v>3093</v>
      </c>
      <c r="D6579" s="6" t="n">
        <v>5.8</v>
      </c>
      <c r="E6579" t="n">
        <v>43754</v>
      </c>
      <c r="F6579" s="6" t="n">
        <v>5.8</v>
      </c>
      <c r="G6579" t="n">
        <v>1</v>
      </c>
      <c r="H6579" s="6">
        <f>ROUND(G6579*F6579,2)</f>
        <v/>
      </c>
      <c r="I6579">
        <f>IF(ROUND(H6579-D6579,2)=0,1,0)</f>
        <v/>
      </c>
      <c r="J6579">
        <f>IF(F6579="","none",IF(G6579=1,"carte","multiple"))</f>
        <v/>
      </c>
    </row>
    <row r="6580">
      <c r="A6580" t="inlineStr">
        <is>
          <t>2022-11-05</t>
        </is>
      </c>
      <c r="B6580" t="inlineStr">
        <is>
          <t>12:46</t>
        </is>
      </c>
      <c r="C6580" t="n">
        <v>3093</v>
      </c>
      <c r="D6580" s="6" t="n">
        <v>7.5</v>
      </c>
      <c r="E6580" t="n">
        <v>43755</v>
      </c>
      <c r="F6580" s="6" t="n">
        <v>7.5</v>
      </c>
      <c r="G6580" t="n">
        <v>1</v>
      </c>
      <c r="H6580" s="6">
        <f>ROUND(G6580*F6580,2)</f>
        <v/>
      </c>
      <c r="I6580">
        <f>IF(ROUND(H6580-D6580,2)=0,1,0)</f>
        <v/>
      </c>
      <c r="J6580">
        <f>IF(F6580="","none",IF(G6580=1,"carte","multiple"))</f>
        <v/>
      </c>
    </row>
    <row r="6581">
      <c r="A6581" t="inlineStr">
        <is>
          <t>2022-11-05</t>
        </is>
      </c>
      <c r="B6581" t="inlineStr">
        <is>
          <t>17:57</t>
        </is>
      </c>
      <c r="C6581" t="n">
        <v>3093</v>
      </c>
      <c r="D6581" s="6" t="n">
        <v>19</v>
      </c>
      <c r="E6581" t="n">
        <v>43758</v>
      </c>
      <c r="F6581" s="6" t="n">
        <v>19</v>
      </c>
      <c r="G6581" t="n">
        <v>1</v>
      </c>
      <c r="H6581" s="6">
        <f>ROUND(G6581*F6581,2)</f>
        <v/>
      </c>
      <c r="I6581">
        <f>IF(ROUND(H6581-D6581,2)=0,1,0)</f>
        <v/>
      </c>
      <c r="J6581">
        <f>IF(F6581="","none",IF(G6581=1,"carte","multiple"))</f>
        <v/>
      </c>
    </row>
    <row r="6582">
      <c r="A6582" t="inlineStr">
        <is>
          <t>2022-11-05</t>
        </is>
      </c>
      <c r="B6582" t="inlineStr">
        <is>
          <t>18:19</t>
        </is>
      </c>
      <c r="C6582" t="n">
        <v>3093</v>
      </c>
      <c r="D6582" s="6" t="n">
        <v>18.6</v>
      </c>
      <c r="E6582" t="n">
        <v>43759</v>
      </c>
      <c r="F6582" s="6" t="n">
        <v>18.6</v>
      </c>
      <c r="G6582" t="n">
        <v>1</v>
      </c>
      <c r="H6582" s="6">
        <f>ROUND(G6582*F6582,2)</f>
        <v/>
      </c>
      <c r="I6582">
        <f>IF(ROUND(H6582-D6582,2)=0,1,0)</f>
        <v/>
      </c>
      <c r="J6582">
        <f>IF(F6582="","none",IF(G6582=1,"carte","multiple"))</f>
        <v/>
      </c>
    </row>
    <row r="6583">
      <c r="A6583" t="inlineStr">
        <is>
          <t>2022-11-05</t>
        </is>
      </c>
      <c r="B6583" t="inlineStr">
        <is>
          <t>19:05</t>
        </is>
      </c>
      <c r="C6583" t="n">
        <v>3093</v>
      </c>
      <c r="D6583" s="6" t="n">
        <v>3.9</v>
      </c>
      <c r="E6583" t="n">
        <v>43760</v>
      </c>
      <c r="F6583" s="6" t="n">
        <v>3.9</v>
      </c>
      <c r="G6583" t="n">
        <v>1</v>
      </c>
      <c r="H6583" s="6">
        <f>ROUND(G6583*F6583,2)</f>
        <v/>
      </c>
      <c r="I6583">
        <f>IF(ROUND(H6583-D6583,2)=0,1,0)</f>
        <v/>
      </c>
      <c r="J6583">
        <f>IF(F6583="","none",IF(G6583=1,"carte","multiple"))</f>
        <v/>
      </c>
    </row>
    <row r="6584">
      <c r="A6584" t="inlineStr">
        <is>
          <t>2022-11-05</t>
        </is>
      </c>
      <c r="B6584" t="inlineStr">
        <is>
          <t>19:51</t>
        </is>
      </c>
      <c r="C6584" t="n">
        <v>3093</v>
      </c>
      <c r="D6584" s="6" t="n">
        <v>3.9</v>
      </c>
      <c r="E6584" t="n">
        <v>43761</v>
      </c>
      <c r="F6584" s="6" t="n">
        <v>3.9</v>
      </c>
      <c r="G6584" t="n">
        <v>1</v>
      </c>
      <c r="H6584" s="6">
        <f>ROUND(G6584*F6584,2)</f>
        <v/>
      </c>
      <c r="I6584">
        <f>IF(ROUND(H6584-D6584,2)=0,1,0)</f>
        <v/>
      </c>
      <c r="J6584">
        <f>IF(F6584="","none",IF(G6584=1,"carte","multiple"))</f>
        <v/>
      </c>
    </row>
    <row r="6585">
      <c r="A6585" t="inlineStr">
        <is>
          <t>2022-11-05</t>
        </is>
      </c>
      <c r="B6585" t="inlineStr">
        <is>
          <t>19:58</t>
        </is>
      </c>
      <c r="C6585" t="n">
        <v>3093</v>
      </c>
      <c r="D6585" s="6" t="n">
        <v>3.9</v>
      </c>
      <c r="E6585" t="n">
        <v>43762</v>
      </c>
      <c r="F6585" s="6" t="n">
        <v>3.9</v>
      </c>
      <c r="G6585" t="n">
        <v>1</v>
      </c>
      <c r="H6585" s="6">
        <f>ROUND(G6585*F6585,2)</f>
        <v/>
      </c>
      <c r="I6585">
        <f>IF(ROUND(H6585-D6585,2)=0,1,0)</f>
        <v/>
      </c>
      <c r="J6585">
        <f>IF(F6585="","none",IF(G6585=1,"carte","multiple"))</f>
        <v/>
      </c>
    </row>
    <row r="6586">
      <c r="A6586" t="inlineStr">
        <is>
          <t>2022-11-05</t>
        </is>
      </c>
      <c r="B6586" t="inlineStr">
        <is>
          <t>19:58</t>
        </is>
      </c>
      <c r="C6586" t="n">
        <v>3093</v>
      </c>
      <c r="D6586" s="6" t="n">
        <v>3.9</v>
      </c>
      <c r="E6586" t="n">
        <v>43763</v>
      </c>
      <c r="F6586" s="6" t="n">
        <v>3.9</v>
      </c>
      <c r="G6586" t="n">
        <v>1</v>
      </c>
      <c r="H6586" s="6">
        <f>ROUND(G6586*F6586,2)</f>
        <v/>
      </c>
      <c r="I6586">
        <f>IF(ROUND(H6586-D6586,2)=0,1,0)</f>
        <v/>
      </c>
      <c r="J6586">
        <f>IF(F6586="","none",IF(G6586=1,"carte","multiple"))</f>
        <v/>
      </c>
    </row>
    <row r="6587">
      <c r="A6587" t="inlineStr">
        <is>
          <t>2022-11-05</t>
        </is>
      </c>
      <c r="B6587" t="inlineStr">
        <is>
          <t>19:58</t>
        </is>
      </c>
      <c r="C6587" t="n">
        <v>3093</v>
      </c>
      <c r="D6587" s="6" t="n">
        <v>10.4</v>
      </c>
      <c r="E6587" t="n">
        <v>43764</v>
      </c>
      <c r="F6587" s="6" t="n">
        <v>0.4</v>
      </c>
      <c r="G6587" t="n">
        <v>26</v>
      </c>
      <c r="H6587" s="6">
        <f>ROUND(G6587*F6587,2)</f>
        <v/>
      </c>
      <c r="I6587">
        <f>IF(ROUND(H6587-D6587,2)=0,1,0)</f>
        <v/>
      </c>
      <c r="J6587">
        <f>IF(F6587="","none",IF(G6587=1,"carte","multiple"))</f>
        <v/>
      </c>
    </row>
    <row r="6588">
      <c r="A6588" t="inlineStr">
        <is>
          <t>2022-11-05</t>
        </is>
      </c>
      <c r="B6588" t="inlineStr">
        <is>
          <t>19:58</t>
        </is>
      </c>
      <c r="C6588" t="n">
        <v>3093</v>
      </c>
      <c r="D6588" s="6" t="n">
        <v>4.2</v>
      </c>
      <c r="E6588" t="n">
        <v>43765</v>
      </c>
      <c r="F6588" s="6" t="n">
        <v>4.2</v>
      </c>
      <c r="G6588" t="n">
        <v>1</v>
      </c>
      <c r="H6588" s="6">
        <f>ROUND(G6588*F6588,2)</f>
        <v/>
      </c>
      <c r="I6588">
        <f>IF(ROUND(H6588-D6588,2)=0,1,0)</f>
        <v/>
      </c>
      <c r="J6588">
        <f>IF(F6588="","none",IF(G6588=1,"carte","multiple"))</f>
        <v/>
      </c>
    </row>
    <row r="6589">
      <c r="A6589" t="inlineStr">
        <is>
          <t>2022-11-06</t>
        </is>
      </c>
      <c r="B6589" t="inlineStr">
        <is>
          <t>11:05</t>
        </is>
      </c>
      <c r="C6589" t="n">
        <v>3094</v>
      </c>
      <c r="D6589" s="6" t="n">
        <v>9</v>
      </c>
      <c r="E6589" t="n">
        <v>43768</v>
      </c>
      <c r="F6589" s="6" t="n">
        <v>9</v>
      </c>
      <c r="G6589" t="n">
        <v>1</v>
      </c>
      <c r="H6589" s="6">
        <f>ROUND(G6589*F6589,2)</f>
        <v/>
      </c>
      <c r="I6589">
        <f>IF(ROUND(H6589-D6589,2)=0,1,0)</f>
        <v/>
      </c>
      <c r="J6589">
        <f>IF(F6589="","none",IF(G6589=1,"carte","multiple"))</f>
        <v/>
      </c>
    </row>
    <row r="6590">
      <c r="A6590" t="inlineStr">
        <is>
          <t>2022-11-06</t>
        </is>
      </c>
      <c r="B6590" t="inlineStr">
        <is>
          <t>11:19</t>
        </is>
      </c>
      <c r="C6590" t="n">
        <v>3094</v>
      </c>
      <c r="D6590" s="6" t="n">
        <v>9.800000000000001</v>
      </c>
      <c r="E6590" t="n">
        <v>43769</v>
      </c>
      <c r="F6590" s="6" t="n">
        <v>9.800000000000001</v>
      </c>
      <c r="G6590" t="n">
        <v>1</v>
      </c>
      <c r="H6590" s="6">
        <f>ROUND(G6590*F6590,2)</f>
        <v/>
      </c>
      <c r="I6590">
        <f>IF(ROUND(H6590-D6590,2)=0,1,0)</f>
        <v/>
      </c>
      <c r="J6590">
        <f>IF(F6590="","none",IF(G6590=1,"carte","multiple"))</f>
        <v/>
      </c>
    </row>
    <row r="6591">
      <c r="A6591" t="inlineStr">
        <is>
          <t>2022-11-06</t>
        </is>
      </c>
      <c r="B6591" t="inlineStr">
        <is>
          <t>12:11</t>
        </is>
      </c>
      <c r="C6591" t="n">
        <v>3094</v>
      </c>
      <c r="D6591" s="6" t="n">
        <v>2.2</v>
      </c>
      <c r="E6591" t="n">
        <v>43770</v>
      </c>
      <c r="F6591" s="6" t="n">
        <v>2.2</v>
      </c>
      <c r="G6591" t="n">
        <v>1</v>
      </c>
      <c r="H6591" s="6">
        <f>ROUND(G6591*F6591,2)</f>
        <v/>
      </c>
      <c r="I6591">
        <f>IF(ROUND(H6591-D6591,2)=0,1,0)</f>
        <v/>
      </c>
      <c r="J6591">
        <f>IF(F6591="","none",IF(G6591=1,"carte","multiple"))</f>
        <v/>
      </c>
    </row>
    <row r="6592">
      <c r="A6592" t="inlineStr">
        <is>
          <t>2022-11-06</t>
        </is>
      </c>
      <c r="B6592" t="inlineStr">
        <is>
          <t>12:11</t>
        </is>
      </c>
      <c r="C6592" t="n">
        <v>3094</v>
      </c>
      <c r="D6592" s="6" t="n">
        <v>7.2</v>
      </c>
      <c r="E6592" t="n">
        <v>43771</v>
      </c>
      <c r="F6592" s="6" t="n">
        <v>7.2</v>
      </c>
      <c r="G6592" t="n">
        <v>1</v>
      </c>
      <c r="H6592" s="6">
        <f>ROUND(G6592*F6592,2)</f>
        <v/>
      </c>
      <c r="I6592">
        <f>IF(ROUND(H6592-D6592,2)=0,1,0)</f>
        <v/>
      </c>
      <c r="J6592">
        <f>IF(F6592="","none",IF(G6592=1,"carte","multiple"))</f>
        <v/>
      </c>
    </row>
    <row r="6593">
      <c r="A6593" t="inlineStr">
        <is>
          <t>2022-11-06</t>
        </is>
      </c>
      <c r="B6593" t="inlineStr">
        <is>
          <t>12:11</t>
        </is>
      </c>
      <c r="C6593" t="n">
        <v>3094</v>
      </c>
      <c r="D6593" s="6" t="n">
        <v>3.6</v>
      </c>
      <c r="E6593" t="n">
        <v>43772</v>
      </c>
      <c r="F6593" s="6" t="n">
        <v>3.6</v>
      </c>
      <c r="G6593" t="n">
        <v>1</v>
      </c>
      <c r="H6593" s="6">
        <f>ROUND(G6593*F6593,2)</f>
        <v/>
      </c>
      <c r="I6593">
        <f>IF(ROUND(H6593-D6593,2)=0,1,0)</f>
        <v/>
      </c>
      <c r="J6593">
        <f>IF(F6593="","none",IF(G6593=1,"carte","multiple"))</f>
        <v/>
      </c>
    </row>
    <row r="6594">
      <c r="A6594" t="inlineStr">
        <is>
          <t>2022-11-06</t>
        </is>
      </c>
      <c r="B6594" t="inlineStr">
        <is>
          <t>12:11</t>
        </is>
      </c>
      <c r="C6594" t="n">
        <v>3094</v>
      </c>
      <c r="D6594" s="6" t="n">
        <v>18.6</v>
      </c>
      <c r="E6594" t="n">
        <v>43773</v>
      </c>
      <c r="F6594" s="6" t="n">
        <v>18.6</v>
      </c>
      <c r="G6594" t="n">
        <v>1</v>
      </c>
      <c r="H6594" s="6">
        <f>ROUND(G6594*F6594,2)</f>
        <v/>
      </c>
      <c r="I6594">
        <f>IF(ROUND(H6594-D6594,2)=0,1,0)</f>
        <v/>
      </c>
      <c r="J6594">
        <f>IF(F6594="","none",IF(G6594=1,"carte","multiple"))</f>
        <v/>
      </c>
    </row>
    <row r="6595">
      <c r="A6595" t="inlineStr">
        <is>
          <t>2022-11-06</t>
        </is>
      </c>
      <c r="B6595" t="inlineStr">
        <is>
          <t>12:11</t>
        </is>
      </c>
      <c r="C6595" t="n">
        <v>3094</v>
      </c>
      <c r="D6595" s="6" t="n">
        <v>33.8</v>
      </c>
      <c r="E6595" t="n">
        <v>43774</v>
      </c>
      <c r="F6595" s="6" t="n">
        <v>16.9</v>
      </c>
      <c r="G6595" t="n">
        <v>2</v>
      </c>
      <c r="H6595" s="6">
        <f>ROUND(G6595*F6595,2)</f>
        <v/>
      </c>
      <c r="I6595">
        <f>IF(ROUND(H6595-D6595,2)=0,1,0)</f>
        <v/>
      </c>
      <c r="J6595">
        <f>IF(F6595="","none",IF(G6595=1,"carte","multiple"))</f>
        <v/>
      </c>
    </row>
    <row r="6596">
      <c r="A6596" t="inlineStr">
        <is>
          <t>2022-11-06</t>
        </is>
      </c>
      <c r="B6596" t="inlineStr">
        <is>
          <t>12:11</t>
        </is>
      </c>
      <c r="C6596" t="n">
        <v>3094</v>
      </c>
      <c r="D6596" s="6" t="n">
        <v>19</v>
      </c>
      <c r="E6596" t="n">
        <v>43775</v>
      </c>
      <c r="F6596" s="6" t="n">
        <v>19</v>
      </c>
      <c r="G6596" t="n">
        <v>1</v>
      </c>
      <c r="H6596" s="6">
        <f>ROUND(G6596*F6596,2)</f>
        <v/>
      </c>
      <c r="I6596">
        <f>IF(ROUND(H6596-D6596,2)=0,1,0)</f>
        <v/>
      </c>
      <c r="J6596">
        <f>IF(F6596="","none",IF(G6596=1,"carte","multiple"))</f>
        <v/>
      </c>
    </row>
    <row r="6597">
      <c r="A6597" t="inlineStr">
        <is>
          <t>2022-11-06</t>
        </is>
      </c>
      <c r="B6597" t="inlineStr">
        <is>
          <t>12:11</t>
        </is>
      </c>
      <c r="C6597" t="n">
        <v>3094</v>
      </c>
      <c r="D6597" s="6" t="n">
        <v>8.9</v>
      </c>
      <c r="E6597" t="n">
        <v>43776</v>
      </c>
      <c r="F6597" s="6" t="n">
        <v>8.9</v>
      </c>
      <c r="G6597" t="n">
        <v>1</v>
      </c>
      <c r="H6597" s="6">
        <f>ROUND(G6597*F6597,2)</f>
        <v/>
      </c>
      <c r="I6597">
        <f>IF(ROUND(H6597-D6597,2)=0,1,0)</f>
        <v/>
      </c>
      <c r="J6597">
        <f>IF(F6597="","none",IF(G6597=1,"carte","multiple"))</f>
        <v/>
      </c>
    </row>
    <row r="6598">
      <c r="A6598" t="inlineStr">
        <is>
          <t>2022-11-06</t>
        </is>
      </c>
      <c r="B6598" t="inlineStr">
        <is>
          <t>12:11</t>
        </is>
      </c>
      <c r="C6598" t="n">
        <v>3094</v>
      </c>
      <c r="D6598" s="6" t="n">
        <v>9.9</v>
      </c>
      <c r="E6598" t="n">
        <v>43777</v>
      </c>
      <c r="F6598" s="6" t="n">
        <v>9.9</v>
      </c>
      <c r="G6598" t="n">
        <v>1</v>
      </c>
      <c r="H6598" s="6">
        <f>ROUND(G6598*F6598,2)</f>
        <v/>
      </c>
      <c r="I6598">
        <f>IF(ROUND(H6598-D6598,2)=0,1,0)</f>
        <v/>
      </c>
      <c r="J6598">
        <f>IF(F6598="","none",IF(G6598=1,"carte","multiple"))</f>
        <v/>
      </c>
    </row>
    <row r="6599">
      <c r="A6599" t="inlineStr">
        <is>
          <t>2022-11-06</t>
        </is>
      </c>
      <c r="B6599" t="inlineStr">
        <is>
          <t>12:11</t>
        </is>
      </c>
      <c r="C6599" t="n">
        <v>3094</v>
      </c>
      <c r="D6599" s="6" t="n">
        <v>3.9</v>
      </c>
      <c r="E6599" t="n">
        <v>43778</v>
      </c>
      <c r="F6599" s="6" t="n">
        <v>3.9</v>
      </c>
      <c r="G6599" t="n">
        <v>1</v>
      </c>
      <c r="H6599" s="6">
        <f>ROUND(G6599*F6599,2)</f>
        <v/>
      </c>
      <c r="I6599">
        <f>IF(ROUND(H6599-D6599,2)=0,1,0)</f>
        <v/>
      </c>
      <c r="J6599">
        <f>IF(F6599="","none",IF(G6599=1,"carte","multiple"))</f>
        <v/>
      </c>
    </row>
    <row r="6600">
      <c r="A6600" t="inlineStr">
        <is>
          <t>2022-11-06</t>
        </is>
      </c>
      <c r="B6600" t="inlineStr">
        <is>
          <t>12:11</t>
        </is>
      </c>
      <c r="C6600" t="n">
        <v>3094</v>
      </c>
      <c r="D6600" s="6" t="n">
        <v>3.9</v>
      </c>
      <c r="E6600" t="n">
        <v>43779</v>
      </c>
      <c r="F6600" s="6" t="n">
        <v>3.9</v>
      </c>
      <c r="G6600" t="n">
        <v>1</v>
      </c>
      <c r="H6600" s="6">
        <f>ROUND(G6600*F6600,2)</f>
        <v/>
      </c>
      <c r="I6600">
        <f>IF(ROUND(H6600-D6600,2)=0,1,0)</f>
        <v/>
      </c>
      <c r="J6600">
        <f>IF(F6600="","none",IF(G6600=1,"carte","multiple"))</f>
        <v/>
      </c>
    </row>
    <row r="6601">
      <c r="A6601" t="inlineStr">
        <is>
          <t>2022-11-06</t>
        </is>
      </c>
      <c r="B6601" t="inlineStr">
        <is>
          <t>12:11</t>
        </is>
      </c>
      <c r="C6601" t="n">
        <v>3094</v>
      </c>
      <c r="D6601" s="6" t="n">
        <v>7.8</v>
      </c>
      <c r="E6601" t="n">
        <v>43780</v>
      </c>
      <c r="F6601" s="6" t="n">
        <v>7.8</v>
      </c>
      <c r="G6601" t="n">
        <v>1</v>
      </c>
      <c r="H6601" s="6">
        <f>ROUND(G6601*F6601,2)</f>
        <v/>
      </c>
      <c r="I6601">
        <f>IF(ROUND(H6601-D6601,2)=0,1,0)</f>
        <v/>
      </c>
      <c r="J6601">
        <f>IF(F6601="","none",IF(G6601=1,"carte","multiple"))</f>
        <v/>
      </c>
    </row>
    <row r="6602">
      <c r="A6602" t="inlineStr">
        <is>
          <t>2022-11-06</t>
        </is>
      </c>
      <c r="B6602" t="inlineStr">
        <is>
          <t>12:12</t>
        </is>
      </c>
      <c r="C6602" t="n">
        <v>3094</v>
      </c>
      <c r="D6602" s="6" t="n">
        <v>18.6</v>
      </c>
      <c r="E6602" t="n">
        <v>43781</v>
      </c>
      <c r="F6602" s="6" t="n">
        <v>18.6</v>
      </c>
      <c r="G6602" t="n">
        <v>1</v>
      </c>
      <c r="H6602" s="6">
        <f>ROUND(G6602*F6602,2)</f>
        <v/>
      </c>
      <c r="I6602">
        <f>IF(ROUND(H6602-D6602,2)=0,1,0)</f>
        <v/>
      </c>
      <c r="J6602">
        <f>IF(F6602="","none",IF(G6602=1,"carte","multiple"))</f>
        <v/>
      </c>
    </row>
    <row r="6603">
      <c r="A6603" t="inlineStr">
        <is>
          <t>2022-11-06</t>
        </is>
      </c>
      <c r="B6603" t="inlineStr">
        <is>
          <t>12:15</t>
        </is>
      </c>
      <c r="C6603" t="n">
        <v>3094</v>
      </c>
      <c r="D6603" s="6" t="n">
        <v>2.2</v>
      </c>
      <c r="E6603" t="n">
        <v>43782</v>
      </c>
      <c r="F6603" s="6" t="n">
        <v>2.2</v>
      </c>
      <c r="G6603" t="n">
        <v>1</v>
      </c>
      <c r="H6603" s="6">
        <f>ROUND(G6603*F6603,2)</f>
        <v/>
      </c>
      <c r="I6603">
        <f>IF(ROUND(H6603-D6603,2)=0,1,0)</f>
        <v/>
      </c>
      <c r="J6603">
        <f>IF(F6603="","none",IF(G6603=1,"carte","multiple"))</f>
        <v/>
      </c>
    </row>
    <row r="6604">
      <c r="A6604" t="inlineStr">
        <is>
          <t>2022-11-06</t>
        </is>
      </c>
      <c r="B6604" t="inlineStr">
        <is>
          <t>12:16</t>
        </is>
      </c>
      <c r="C6604" t="n">
        <v>3094</v>
      </c>
      <c r="D6604" s="6" t="n">
        <v>3.9</v>
      </c>
      <c r="E6604" t="n">
        <v>43783</v>
      </c>
      <c r="F6604" s="6" t="n">
        <v>3.9</v>
      </c>
      <c r="G6604" t="n">
        <v>1</v>
      </c>
      <c r="H6604" s="6">
        <f>ROUND(G6604*F6604,2)</f>
        <v/>
      </c>
      <c r="I6604">
        <f>IF(ROUND(H6604-D6604,2)=0,1,0)</f>
        <v/>
      </c>
      <c r="J6604">
        <f>IF(F6604="","none",IF(G6604=1,"carte","multiple"))</f>
        <v/>
      </c>
    </row>
    <row r="6605">
      <c r="A6605" t="inlineStr">
        <is>
          <t>2022-11-06</t>
        </is>
      </c>
      <c r="B6605" t="inlineStr">
        <is>
          <t>12:16</t>
        </is>
      </c>
      <c r="C6605" t="n">
        <v>3094</v>
      </c>
      <c r="D6605" s="6" t="n">
        <v>4.6</v>
      </c>
      <c r="E6605" t="n">
        <v>43784</v>
      </c>
      <c r="F6605" s="6" t="n">
        <v>4.6</v>
      </c>
      <c r="G6605" t="n">
        <v>1</v>
      </c>
      <c r="H6605" s="6">
        <f>ROUND(G6605*F6605,2)</f>
        <v/>
      </c>
      <c r="I6605">
        <f>IF(ROUND(H6605-D6605,2)=0,1,0)</f>
        <v/>
      </c>
      <c r="J6605">
        <f>IF(F6605="","none",IF(G6605=1,"carte","multiple"))</f>
        <v/>
      </c>
    </row>
    <row r="6606">
      <c r="A6606" t="inlineStr">
        <is>
          <t>2022-11-06</t>
        </is>
      </c>
      <c r="B6606" t="inlineStr">
        <is>
          <t>12:16</t>
        </is>
      </c>
      <c r="C6606" t="n">
        <v>3094</v>
      </c>
      <c r="D6606" s="6" t="n">
        <v>18.6</v>
      </c>
      <c r="E6606" t="n">
        <v>43785</v>
      </c>
      <c r="F6606" s="6" t="n">
        <v>18.6</v>
      </c>
      <c r="G6606" t="n">
        <v>1</v>
      </c>
      <c r="H6606" s="6">
        <f>ROUND(G6606*F6606,2)</f>
        <v/>
      </c>
      <c r="I6606">
        <f>IF(ROUND(H6606-D6606,2)=0,1,0)</f>
        <v/>
      </c>
      <c r="J6606">
        <f>IF(F6606="","none",IF(G6606=1,"carte","multiple"))</f>
        <v/>
      </c>
    </row>
    <row r="6607">
      <c r="A6607" t="inlineStr">
        <is>
          <t>2022-11-06</t>
        </is>
      </c>
      <c r="B6607" t="inlineStr">
        <is>
          <t>12:16</t>
        </is>
      </c>
      <c r="C6607" t="n">
        <v>3094</v>
      </c>
      <c r="D6607" s="6" t="n">
        <v>18.6</v>
      </c>
      <c r="E6607" t="n">
        <v>43786</v>
      </c>
      <c r="F6607" s="6" t="n">
        <v>18.6</v>
      </c>
      <c r="G6607" t="n">
        <v>1</v>
      </c>
      <c r="H6607" s="6">
        <f>ROUND(G6607*F6607,2)</f>
        <v/>
      </c>
      <c r="I6607">
        <f>IF(ROUND(H6607-D6607,2)=0,1,0)</f>
        <v/>
      </c>
      <c r="J6607">
        <f>IF(F6607="","none",IF(G6607=1,"carte","multiple"))</f>
        <v/>
      </c>
    </row>
    <row r="6608">
      <c r="A6608" t="inlineStr">
        <is>
          <t>2022-11-06</t>
        </is>
      </c>
      <c r="B6608" t="inlineStr">
        <is>
          <t>12:16</t>
        </is>
      </c>
      <c r="C6608" t="n">
        <v>3094</v>
      </c>
      <c r="D6608" s="6" t="n">
        <v>10.4</v>
      </c>
      <c r="E6608" t="n">
        <v>43787</v>
      </c>
      <c r="F6608" s="6" t="n">
        <v>0.4</v>
      </c>
      <c r="G6608" t="n">
        <v>26</v>
      </c>
      <c r="H6608" s="6">
        <f>ROUND(G6608*F6608,2)</f>
        <v/>
      </c>
      <c r="I6608">
        <f>IF(ROUND(H6608-D6608,2)=0,1,0)</f>
        <v/>
      </c>
      <c r="J6608">
        <f>IF(F6608="","none",IF(G6608=1,"carte","multiple"))</f>
        <v/>
      </c>
    </row>
    <row r="6609">
      <c r="A6609" t="inlineStr">
        <is>
          <t>2022-11-06</t>
        </is>
      </c>
      <c r="B6609" t="inlineStr">
        <is>
          <t>12:31</t>
        </is>
      </c>
      <c r="C6609" t="n">
        <v>3094</v>
      </c>
      <c r="D6609" s="6" t="n">
        <v>2.2</v>
      </c>
      <c r="E6609" t="n">
        <v>43788</v>
      </c>
      <c r="F6609" s="6" t="n">
        <v>2.2</v>
      </c>
      <c r="G6609" t="n">
        <v>1</v>
      </c>
      <c r="H6609" s="6">
        <f>ROUND(G6609*F6609,2)</f>
        <v/>
      </c>
      <c r="I6609">
        <f>IF(ROUND(H6609-D6609,2)=0,1,0)</f>
        <v/>
      </c>
      <c r="J6609">
        <f>IF(F6609="","none",IF(G6609=1,"carte","multiple"))</f>
        <v/>
      </c>
    </row>
    <row r="6610">
      <c r="A6610" t="inlineStr">
        <is>
          <t>2022-11-06</t>
        </is>
      </c>
      <c r="B6610" t="inlineStr">
        <is>
          <t>12:32</t>
        </is>
      </c>
      <c r="C6610" t="n">
        <v>3094</v>
      </c>
      <c r="D6610" s="6" t="n">
        <v>1.8</v>
      </c>
      <c r="E6610" t="n">
        <v>43789</v>
      </c>
      <c r="F6610" s="6" t="n">
        <v>1.8</v>
      </c>
      <c r="G6610" t="n">
        <v>1</v>
      </c>
      <c r="H6610" s="6">
        <f>ROUND(G6610*F6610,2)</f>
        <v/>
      </c>
      <c r="I6610">
        <f>IF(ROUND(H6610-D6610,2)=0,1,0)</f>
        <v/>
      </c>
      <c r="J6610">
        <f>IF(F6610="","none",IF(G6610=1,"carte","multiple"))</f>
        <v/>
      </c>
    </row>
    <row r="6611">
      <c r="A6611" t="inlineStr">
        <is>
          <t>2022-11-06</t>
        </is>
      </c>
      <c r="B6611" t="inlineStr">
        <is>
          <t>12:32</t>
        </is>
      </c>
      <c r="C6611" t="n">
        <v>3094</v>
      </c>
      <c r="D6611" s="6" t="n">
        <v>3.9</v>
      </c>
      <c r="E6611" t="n">
        <v>43790</v>
      </c>
      <c r="F6611" s="6" t="n">
        <v>3.9</v>
      </c>
      <c r="G6611" t="n">
        <v>1</v>
      </c>
      <c r="H6611" s="6">
        <f>ROUND(G6611*F6611,2)</f>
        <v/>
      </c>
      <c r="I6611">
        <f>IF(ROUND(H6611-D6611,2)=0,1,0)</f>
        <v/>
      </c>
      <c r="J6611">
        <f>IF(F6611="","none",IF(G6611=1,"carte","multiple"))</f>
        <v/>
      </c>
    </row>
    <row r="6612">
      <c r="A6612" t="inlineStr">
        <is>
          <t>2022-11-06</t>
        </is>
      </c>
      <c r="B6612" t="inlineStr">
        <is>
          <t>12:32</t>
        </is>
      </c>
      <c r="C6612" t="n">
        <v>3094</v>
      </c>
      <c r="D6612" s="6" t="n">
        <v>5.8</v>
      </c>
      <c r="E6612" t="n">
        <v>43791</v>
      </c>
      <c r="F6612" s="6" t="n">
        <v>5.8</v>
      </c>
      <c r="G6612" t="n">
        <v>1</v>
      </c>
      <c r="H6612" s="6">
        <f>ROUND(G6612*F6612,2)</f>
        <v/>
      </c>
      <c r="I6612">
        <f>IF(ROUND(H6612-D6612,2)=0,1,0)</f>
        <v/>
      </c>
      <c r="J6612">
        <f>IF(F6612="","none",IF(G6612=1,"carte","multiple"))</f>
        <v/>
      </c>
    </row>
    <row r="6613">
      <c r="A6613" t="inlineStr">
        <is>
          <t>2022-11-06</t>
        </is>
      </c>
      <c r="B6613" t="inlineStr">
        <is>
          <t>12:32</t>
        </is>
      </c>
      <c r="C6613" t="n">
        <v>3094</v>
      </c>
      <c r="D6613" s="6" t="n">
        <v>18.6</v>
      </c>
      <c r="E6613" t="n">
        <v>43792</v>
      </c>
      <c r="F6613" s="6" t="n">
        <v>18.6</v>
      </c>
      <c r="G6613" t="n">
        <v>1</v>
      </c>
      <c r="H6613" s="6">
        <f>ROUND(G6613*F6613,2)</f>
        <v/>
      </c>
      <c r="I6613">
        <f>IF(ROUND(H6613-D6613,2)=0,1,0)</f>
        <v/>
      </c>
      <c r="J6613">
        <f>IF(F6613="","none",IF(G6613=1,"carte","multiple"))</f>
        <v/>
      </c>
    </row>
    <row r="6614">
      <c r="A6614" t="inlineStr">
        <is>
          <t>2022-11-06</t>
        </is>
      </c>
      <c r="B6614" t="inlineStr">
        <is>
          <t>12:32</t>
        </is>
      </c>
      <c r="C6614" t="n">
        <v>3094</v>
      </c>
      <c r="D6614" s="6" t="n">
        <v>19.9</v>
      </c>
      <c r="E6614" t="n">
        <v>43793</v>
      </c>
      <c r="F6614" s="6" t="n">
        <v>19.9</v>
      </c>
      <c r="G6614" t="n">
        <v>1</v>
      </c>
      <c r="H6614" s="6">
        <f>ROUND(G6614*F6614,2)</f>
        <v/>
      </c>
      <c r="I6614">
        <f>IF(ROUND(H6614-D6614,2)=0,1,0)</f>
        <v/>
      </c>
      <c r="J6614">
        <f>IF(F6614="","none",IF(G6614=1,"carte","multiple"))</f>
        <v/>
      </c>
    </row>
    <row r="6615">
      <c r="A6615" t="inlineStr">
        <is>
          <t>2022-11-06</t>
        </is>
      </c>
      <c r="B6615" t="inlineStr">
        <is>
          <t>12:32</t>
        </is>
      </c>
      <c r="C6615" t="n">
        <v>3094</v>
      </c>
      <c r="D6615" s="6" t="n">
        <v>9.6</v>
      </c>
      <c r="E6615" t="n">
        <v>43794</v>
      </c>
      <c r="F6615" s="6" t="n">
        <v>9.6</v>
      </c>
      <c r="G6615" t="n">
        <v>1</v>
      </c>
      <c r="H6615" s="6">
        <f>ROUND(G6615*F6615,2)</f>
        <v/>
      </c>
      <c r="I6615">
        <f>IF(ROUND(H6615-D6615,2)=0,1,0)</f>
        <v/>
      </c>
      <c r="J6615">
        <f>IF(F6615="","none",IF(G6615=1,"carte","multiple"))</f>
        <v/>
      </c>
    </row>
    <row r="6616">
      <c r="A6616" t="inlineStr">
        <is>
          <t>2022-11-06</t>
        </is>
      </c>
      <c r="B6616" t="inlineStr">
        <is>
          <t>12:32</t>
        </is>
      </c>
      <c r="C6616" t="n">
        <v>3094</v>
      </c>
      <c r="D6616" s="6" t="n">
        <v>5.2</v>
      </c>
      <c r="E6616" t="n">
        <v>43795</v>
      </c>
      <c r="F6616" s="6" t="n">
        <v>5.2</v>
      </c>
      <c r="G6616" t="n">
        <v>1</v>
      </c>
      <c r="H6616" s="6">
        <f>ROUND(G6616*F6616,2)</f>
        <v/>
      </c>
      <c r="I6616">
        <f>IF(ROUND(H6616-D6616,2)=0,1,0)</f>
        <v/>
      </c>
      <c r="J6616">
        <f>IF(F6616="","none",IF(G6616=1,"carte","multiple"))</f>
        <v/>
      </c>
    </row>
    <row r="6617">
      <c r="A6617" t="inlineStr">
        <is>
          <t>2022-11-06</t>
        </is>
      </c>
      <c r="B6617" t="inlineStr">
        <is>
          <t>12:33</t>
        </is>
      </c>
      <c r="C6617" t="n">
        <v>3094</v>
      </c>
      <c r="D6617" s="6" t="n">
        <v>6</v>
      </c>
      <c r="E6617" t="n">
        <v>43796</v>
      </c>
      <c r="F6617" s="6" t="n">
        <v>6</v>
      </c>
      <c r="G6617" t="n">
        <v>1</v>
      </c>
      <c r="H6617" s="6">
        <f>ROUND(G6617*F6617,2)</f>
        <v/>
      </c>
      <c r="I6617">
        <f>IF(ROUND(H6617-D6617,2)=0,1,0)</f>
        <v/>
      </c>
      <c r="J6617">
        <f>IF(F6617="","none",IF(G6617=1,"carte","multiple"))</f>
        <v/>
      </c>
    </row>
    <row r="6618">
      <c r="A6618" t="inlineStr">
        <is>
          <t>2022-11-06</t>
        </is>
      </c>
      <c r="B6618" t="inlineStr">
        <is>
          <t>12:34</t>
        </is>
      </c>
      <c r="C6618" t="n">
        <v>3094</v>
      </c>
      <c r="D6618" s="6" t="n">
        <v>7.2</v>
      </c>
      <c r="E6618" t="n">
        <v>43797</v>
      </c>
      <c r="F6618" s="6" t="n">
        <v>7.2</v>
      </c>
      <c r="G6618" t="n">
        <v>1</v>
      </c>
      <c r="H6618" s="6">
        <f>ROUND(G6618*F6618,2)</f>
        <v/>
      </c>
      <c r="I6618">
        <f>IF(ROUND(H6618-D6618,2)=0,1,0)</f>
        <v/>
      </c>
      <c r="J6618">
        <f>IF(F6618="","none",IF(G6618=1,"carte","multiple"))</f>
        <v/>
      </c>
    </row>
    <row r="6619">
      <c r="A6619" t="inlineStr">
        <is>
          <t>2022-11-06</t>
        </is>
      </c>
      <c r="B6619" t="inlineStr">
        <is>
          <t>12:34</t>
        </is>
      </c>
      <c r="C6619" t="n">
        <v>3094</v>
      </c>
      <c r="D6619" s="6" t="n">
        <v>28.6</v>
      </c>
      <c r="E6619" t="n">
        <v>43798</v>
      </c>
      <c r="F6619" s="6" t="n">
        <v>28.6</v>
      </c>
      <c r="G6619" t="n">
        <v>1</v>
      </c>
      <c r="H6619" s="6">
        <f>ROUND(G6619*F6619,2)</f>
        <v/>
      </c>
      <c r="I6619">
        <f>IF(ROUND(H6619-D6619,2)=0,1,0)</f>
        <v/>
      </c>
      <c r="J6619">
        <f>IF(F6619="","none",IF(G6619=1,"carte","multiple"))</f>
        <v/>
      </c>
    </row>
    <row r="6620">
      <c r="A6620" t="inlineStr">
        <is>
          <t>2022-11-06</t>
        </is>
      </c>
      <c r="B6620" t="inlineStr">
        <is>
          <t>12:34</t>
        </is>
      </c>
      <c r="C6620" t="n">
        <v>3094</v>
      </c>
      <c r="D6620" s="6" t="n">
        <v>18.6</v>
      </c>
      <c r="E6620" t="n">
        <v>43799</v>
      </c>
      <c r="F6620" s="6" t="n">
        <v>18.6</v>
      </c>
      <c r="G6620" t="n">
        <v>1</v>
      </c>
      <c r="H6620" s="6">
        <f>ROUND(G6620*F6620,2)</f>
        <v/>
      </c>
      <c r="I6620">
        <f>IF(ROUND(H6620-D6620,2)=0,1,0)</f>
        <v/>
      </c>
      <c r="J6620">
        <f>IF(F6620="","none",IF(G6620=1,"carte","multiple"))</f>
        <v/>
      </c>
    </row>
    <row r="6621">
      <c r="A6621" t="inlineStr">
        <is>
          <t>2022-11-06</t>
        </is>
      </c>
      <c r="B6621" t="inlineStr">
        <is>
          <t>12:34</t>
        </is>
      </c>
      <c r="C6621" t="n">
        <v>3094</v>
      </c>
      <c r="D6621" s="6" t="n">
        <v>16</v>
      </c>
      <c r="E6621" t="n">
        <v>43800</v>
      </c>
      <c r="F6621" s="6" t="n">
        <v>16</v>
      </c>
      <c r="G6621" t="n">
        <v>1</v>
      </c>
      <c r="H6621" s="6">
        <f>ROUND(G6621*F6621,2)</f>
        <v/>
      </c>
      <c r="I6621">
        <f>IF(ROUND(H6621-D6621,2)=0,1,0)</f>
        <v/>
      </c>
      <c r="J6621">
        <f>IF(F6621="","none",IF(G6621=1,"carte","multiple"))</f>
        <v/>
      </c>
    </row>
    <row r="6622">
      <c r="A6622" t="inlineStr">
        <is>
          <t>2022-11-06</t>
        </is>
      </c>
      <c r="B6622" t="inlineStr">
        <is>
          <t>12:34</t>
        </is>
      </c>
      <c r="C6622" t="n">
        <v>3094</v>
      </c>
      <c r="D6622" s="6" t="n">
        <v>5.2</v>
      </c>
      <c r="E6622" t="n">
        <v>43801</v>
      </c>
      <c r="F6622" s="6" t="n">
        <v>5.2</v>
      </c>
      <c r="G6622" t="n">
        <v>1</v>
      </c>
      <c r="H6622" s="6">
        <f>ROUND(G6622*F6622,2)</f>
        <v/>
      </c>
      <c r="I6622">
        <f>IF(ROUND(H6622-D6622,2)=0,1,0)</f>
        <v/>
      </c>
      <c r="J6622">
        <f>IF(F6622="","none",IF(G6622=1,"carte","multiple"))</f>
        <v/>
      </c>
    </row>
    <row r="6623">
      <c r="A6623" t="inlineStr">
        <is>
          <t>2022-11-06</t>
        </is>
      </c>
      <c r="B6623" t="inlineStr">
        <is>
          <t>12:34</t>
        </is>
      </c>
      <c r="C6623" t="n">
        <v>3094</v>
      </c>
      <c r="D6623" s="6" t="n">
        <v>6.5</v>
      </c>
      <c r="E6623" t="n">
        <v>43802</v>
      </c>
      <c r="F6623" s="6" t="n">
        <v>6.5</v>
      </c>
      <c r="G6623" t="n">
        <v>1</v>
      </c>
      <c r="H6623" s="6">
        <f>ROUND(G6623*F6623,2)</f>
        <v/>
      </c>
      <c r="I6623">
        <f>IF(ROUND(H6623-D6623,2)=0,1,0)</f>
        <v/>
      </c>
      <c r="J6623">
        <f>IF(F6623="","none",IF(G6623=1,"carte","multiple"))</f>
        <v/>
      </c>
    </row>
    <row r="6624">
      <c r="A6624" t="inlineStr">
        <is>
          <t>2022-11-06</t>
        </is>
      </c>
      <c r="B6624" t="inlineStr">
        <is>
          <t>12:41</t>
        </is>
      </c>
      <c r="C6624" t="n">
        <v>3094</v>
      </c>
      <c r="D6624" s="6" t="n">
        <v>4.4</v>
      </c>
      <c r="E6624" t="n">
        <v>43803</v>
      </c>
      <c r="F6624" s="6" t="n">
        <v>0.4</v>
      </c>
      <c r="G6624" t="n">
        <v>11</v>
      </c>
      <c r="H6624" s="6">
        <f>ROUND(G6624*F6624,2)</f>
        <v/>
      </c>
      <c r="I6624">
        <f>IF(ROUND(H6624-D6624,2)=0,1,0)</f>
        <v/>
      </c>
      <c r="J6624">
        <f>IF(F6624="","none",IF(G6624=1,"carte","multiple"))</f>
        <v/>
      </c>
    </row>
    <row r="6625">
      <c r="A6625" t="inlineStr">
        <is>
          <t>2022-11-06</t>
        </is>
      </c>
      <c r="B6625" t="inlineStr">
        <is>
          <t>12:41</t>
        </is>
      </c>
      <c r="C6625" t="n">
        <v>3094</v>
      </c>
      <c r="D6625" s="6" t="n">
        <v>4.9</v>
      </c>
      <c r="E6625" t="n">
        <v>43804</v>
      </c>
      <c r="F6625" s="6" t="n">
        <v>4.9</v>
      </c>
      <c r="G6625" t="n">
        <v>1</v>
      </c>
      <c r="H6625" s="6">
        <f>ROUND(G6625*F6625,2)</f>
        <v/>
      </c>
      <c r="I6625">
        <f>IF(ROUND(H6625-D6625,2)=0,1,0)</f>
        <v/>
      </c>
      <c r="J6625">
        <f>IF(F6625="","none",IF(G6625=1,"carte","multiple"))</f>
        <v/>
      </c>
    </row>
    <row r="6626">
      <c r="A6626" t="inlineStr">
        <is>
          <t>2022-11-06</t>
        </is>
      </c>
      <c r="B6626" t="inlineStr">
        <is>
          <t>12:41</t>
        </is>
      </c>
      <c r="C6626" t="n">
        <v>3094</v>
      </c>
      <c r="D6626" s="6" t="n">
        <v>5.2</v>
      </c>
      <c r="E6626" t="n">
        <v>43805</v>
      </c>
      <c r="F6626" s="6" t="n">
        <v>5.2</v>
      </c>
      <c r="G6626" t="n">
        <v>1</v>
      </c>
      <c r="H6626" s="6">
        <f>ROUND(G6626*F6626,2)</f>
        <v/>
      </c>
      <c r="I6626">
        <f>IF(ROUND(H6626-D6626,2)=0,1,0)</f>
        <v/>
      </c>
      <c r="J6626">
        <f>IF(F6626="","none",IF(G6626=1,"carte","multiple"))</f>
        <v/>
      </c>
    </row>
    <row r="6627">
      <c r="A6627" t="inlineStr">
        <is>
          <t>2022-11-06</t>
        </is>
      </c>
      <c r="B6627" t="inlineStr">
        <is>
          <t>12:41</t>
        </is>
      </c>
      <c r="C6627" t="n">
        <v>3094</v>
      </c>
      <c r="D6627" s="6" t="n">
        <v>55.6</v>
      </c>
      <c r="E6627" t="n">
        <v>43806</v>
      </c>
      <c r="F6627" s="6" t="n">
        <v>0.4</v>
      </c>
      <c r="G6627" t="n">
        <v>139</v>
      </c>
      <c r="H6627" s="6">
        <f>ROUND(G6627*F6627,2)</f>
        <v/>
      </c>
      <c r="I6627">
        <f>IF(ROUND(H6627-D6627,2)=0,1,0)</f>
        <v/>
      </c>
      <c r="J6627">
        <f>IF(F6627="","none",IF(G6627=1,"carte","multiple"))</f>
        <v/>
      </c>
    </row>
    <row r="6628">
      <c r="A6628" t="inlineStr">
        <is>
          <t>2022-11-06</t>
        </is>
      </c>
      <c r="B6628" t="inlineStr">
        <is>
          <t>12:41</t>
        </is>
      </c>
      <c r="C6628" t="n">
        <v>3094</v>
      </c>
      <c r="D6628" s="6" t="n">
        <v>19.2</v>
      </c>
      <c r="E6628" t="n">
        <v>43807</v>
      </c>
      <c r="F6628" s="6" t="n">
        <v>0.4</v>
      </c>
      <c r="G6628" t="n">
        <v>48</v>
      </c>
      <c r="H6628" s="6">
        <f>ROUND(G6628*F6628,2)</f>
        <v/>
      </c>
      <c r="I6628">
        <f>IF(ROUND(H6628-D6628,2)=0,1,0)</f>
        <v/>
      </c>
      <c r="J6628">
        <f>IF(F6628="","none",IF(G6628=1,"carte","multiple"))</f>
        <v/>
      </c>
    </row>
    <row r="6629">
      <c r="A6629" t="inlineStr">
        <is>
          <t>2022-11-06</t>
        </is>
      </c>
      <c r="B6629" t="inlineStr">
        <is>
          <t>12:41</t>
        </is>
      </c>
      <c r="C6629" t="n">
        <v>3094</v>
      </c>
      <c r="D6629" s="6" t="n">
        <v>12.8</v>
      </c>
      <c r="E6629" t="n">
        <v>43808</v>
      </c>
      <c r="F6629" s="6" t="n">
        <v>0.4</v>
      </c>
      <c r="G6629" t="n">
        <v>32</v>
      </c>
      <c r="H6629" s="6">
        <f>ROUND(G6629*F6629,2)</f>
        <v/>
      </c>
      <c r="I6629">
        <f>IF(ROUND(H6629-D6629,2)=0,1,0)</f>
        <v/>
      </c>
      <c r="J6629">
        <f>IF(F6629="","none",IF(G6629=1,"carte","multiple"))</f>
        <v/>
      </c>
    </row>
    <row r="6630">
      <c r="A6630" t="inlineStr">
        <is>
          <t>2022-11-06</t>
        </is>
      </c>
      <c r="B6630" t="inlineStr">
        <is>
          <t>12:55</t>
        </is>
      </c>
      <c r="C6630" t="n">
        <v>3094</v>
      </c>
      <c r="D6630" s="6" t="n">
        <v>0</v>
      </c>
      <c r="E6630" t="n">
        <v>43809</v>
      </c>
      <c r="H6630" t="inlineStr"/>
      <c r="I6630" t="inlineStr"/>
      <c r="J6630">
        <f>IF(F6630="","none",IF(G6630=1,"carte","multiple"))</f>
        <v/>
      </c>
    </row>
    <row r="6631">
      <c r="A6631" t="inlineStr">
        <is>
          <t>2022-11-06</t>
        </is>
      </c>
      <c r="B6631" t="inlineStr">
        <is>
          <t>12:55</t>
        </is>
      </c>
      <c r="C6631" t="n">
        <v>3094</v>
      </c>
      <c r="D6631" s="6" t="n">
        <v>0</v>
      </c>
      <c r="E6631" t="n">
        <v>43810</v>
      </c>
      <c r="H6631" t="inlineStr"/>
      <c r="I6631" t="inlineStr"/>
      <c r="J6631">
        <f>IF(F6631="","none",IF(G6631=1,"carte","multiple"))</f>
        <v/>
      </c>
    </row>
    <row r="6632">
      <c r="A6632" t="inlineStr">
        <is>
          <t>2022-11-06</t>
        </is>
      </c>
      <c r="B6632" t="inlineStr">
        <is>
          <t>12:55</t>
        </is>
      </c>
      <c r="C6632" t="n">
        <v>3094</v>
      </c>
      <c r="D6632" s="6" t="n">
        <v>0</v>
      </c>
      <c r="E6632" t="n">
        <v>43811</v>
      </c>
      <c r="H6632" t="inlineStr"/>
      <c r="I6632" t="inlineStr"/>
      <c r="J6632">
        <f>IF(F6632="","none",IF(G6632=1,"carte","multiple"))</f>
        <v/>
      </c>
    </row>
    <row r="6633">
      <c r="A6633" t="inlineStr">
        <is>
          <t>2022-11-06</t>
        </is>
      </c>
      <c r="B6633" t="inlineStr">
        <is>
          <t>12:55</t>
        </is>
      </c>
      <c r="C6633" t="n">
        <v>3094</v>
      </c>
      <c r="D6633" s="6" t="n">
        <v>29.9</v>
      </c>
      <c r="E6633" t="n">
        <v>43812</v>
      </c>
      <c r="F6633" s="6" t="n">
        <v>29.9</v>
      </c>
      <c r="G6633" t="n">
        <v>1</v>
      </c>
      <c r="H6633" s="6">
        <f>ROUND(G6633*F6633,2)</f>
        <v/>
      </c>
      <c r="I6633">
        <f>IF(ROUND(H6633-D6633,2)=0,1,0)</f>
        <v/>
      </c>
      <c r="J6633">
        <f>IF(F6633="","none",IF(G6633=1,"carte","multiple"))</f>
        <v/>
      </c>
    </row>
    <row r="6634">
      <c r="A6634" t="inlineStr">
        <is>
          <t>2022-11-06</t>
        </is>
      </c>
      <c r="B6634" t="inlineStr">
        <is>
          <t>12:55</t>
        </is>
      </c>
      <c r="C6634" t="n">
        <v>3094</v>
      </c>
      <c r="D6634" s="6" t="n">
        <v>180</v>
      </c>
      <c r="E6634" t="n">
        <v>43813</v>
      </c>
      <c r="F6634" s="6" t="n">
        <v>0.4</v>
      </c>
      <c r="G6634" t="n">
        <v>450</v>
      </c>
      <c r="H6634" s="6">
        <f>ROUND(G6634*F6634,2)</f>
        <v/>
      </c>
      <c r="I6634">
        <f>IF(ROUND(H6634-D6634,2)=0,1,0)</f>
        <v/>
      </c>
      <c r="J6634">
        <f>IF(F6634="","none",IF(G6634=1,"carte","multiple"))</f>
        <v/>
      </c>
    </row>
    <row r="6635">
      <c r="A6635" t="inlineStr">
        <is>
          <t>2022-11-06</t>
        </is>
      </c>
      <c r="B6635" t="inlineStr">
        <is>
          <t>19:08</t>
        </is>
      </c>
      <c r="C6635" t="n">
        <v>3094</v>
      </c>
      <c r="D6635" s="6" t="n">
        <v>19</v>
      </c>
      <c r="E6635" t="n">
        <v>43815</v>
      </c>
      <c r="F6635" s="6" t="n">
        <v>19</v>
      </c>
      <c r="G6635" t="n">
        <v>1</v>
      </c>
      <c r="H6635" s="6">
        <f>ROUND(G6635*F6635,2)</f>
        <v/>
      </c>
      <c r="I6635">
        <f>IF(ROUND(H6635-D6635,2)=0,1,0)</f>
        <v/>
      </c>
      <c r="J6635">
        <f>IF(F6635="","none",IF(G6635=1,"carte","multiple"))</f>
        <v/>
      </c>
    </row>
    <row r="6636">
      <c r="A6636" t="inlineStr">
        <is>
          <t>2022-11-06</t>
        </is>
      </c>
      <c r="B6636" t="inlineStr">
        <is>
          <t>19:08</t>
        </is>
      </c>
      <c r="C6636" t="n">
        <v>3094</v>
      </c>
      <c r="D6636" s="6" t="n">
        <v>8.9</v>
      </c>
      <c r="E6636" t="n">
        <v>43816</v>
      </c>
      <c r="F6636" s="6" t="n">
        <v>8.9</v>
      </c>
      <c r="G6636" t="n">
        <v>1</v>
      </c>
      <c r="H6636" s="6">
        <f>ROUND(G6636*F6636,2)</f>
        <v/>
      </c>
      <c r="I6636">
        <f>IF(ROUND(H6636-D6636,2)=0,1,0)</f>
        <v/>
      </c>
      <c r="J6636">
        <f>IF(F6636="","none",IF(G6636=1,"carte","multiple"))</f>
        <v/>
      </c>
    </row>
    <row r="6637">
      <c r="A6637" t="inlineStr">
        <is>
          <t>2022-11-06</t>
        </is>
      </c>
      <c r="B6637" t="inlineStr">
        <is>
          <t>19:08</t>
        </is>
      </c>
      <c r="C6637" t="n">
        <v>3094</v>
      </c>
      <c r="D6637" s="6" t="n">
        <v>103.6</v>
      </c>
      <c r="E6637" t="n">
        <v>43817</v>
      </c>
      <c r="F6637" s="6" t="n">
        <v>0.4</v>
      </c>
      <c r="G6637" t="n">
        <v>259</v>
      </c>
      <c r="H6637" s="6">
        <f>ROUND(G6637*F6637,2)</f>
        <v/>
      </c>
      <c r="I6637">
        <f>IF(ROUND(H6637-D6637,2)=0,1,0)</f>
        <v/>
      </c>
      <c r="J6637">
        <f>IF(F6637="","none",IF(G6637=1,"carte","multiple"))</f>
        <v/>
      </c>
    </row>
    <row r="6638">
      <c r="A6638" t="inlineStr">
        <is>
          <t>2022-11-06</t>
        </is>
      </c>
      <c r="B6638" t="inlineStr">
        <is>
          <t>19:10</t>
        </is>
      </c>
      <c r="C6638" t="n">
        <v>3094</v>
      </c>
      <c r="D6638" s="6" t="n">
        <v>4.2</v>
      </c>
      <c r="E6638" t="n">
        <v>43818</v>
      </c>
      <c r="F6638" s="6" t="n">
        <v>4.2</v>
      </c>
      <c r="G6638" t="n">
        <v>1</v>
      </c>
      <c r="H6638" s="6">
        <f>ROUND(G6638*F6638,2)</f>
        <v/>
      </c>
      <c r="I6638">
        <f>IF(ROUND(H6638-D6638,2)=0,1,0)</f>
        <v/>
      </c>
      <c r="J6638">
        <f>IF(F6638="","none",IF(G6638=1,"carte","multiple"))</f>
        <v/>
      </c>
    </row>
    <row r="6639">
      <c r="A6639" t="inlineStr">
        <is>
          <t>2022-11-06</t>
        </is>
      </c>
      <c r="B6639" t="inlineStr">
        <is>
          <t>19:12</t>
        </is>
      </c>
      <c r="C6639" t="n">
        <v>3094</v>
      </c>
      <c r="D6639" s="6" t="n">
        <v>3.6</v>
      </c>
      <c r="E6639" t="n">
        <v>43819</v>
      </c>
      <c r="F6639" s="6" t="n">
        <v>3.6</v>
      </c>
      <c r="G6639" t="n">
        <v>1</v>
      </c>
      <c r="H6639" s="6">
        <f>ROUND(G6639*F6639,2)</f>
        <v/>
      </c>
      <c r="I6639">
        <f>IF(ROUND(H6639-D6639,2)=0,1,0)</f>
        <v/>
      </c>
      <c r="J6639">
        <f>IF(F6639="","none",IF(G6639=1,"carte","multiple"))</f>
        <v/>
      </c>
    </row>
    <row r="6640">
      <c r="A6640" t="inlineStr">
        <is>
          <t>2022-11-06</t>
        </is>
      </c>
      <c r="B6640" t="inlineStr">
        <is>
          <t>19:27</t>
        </is>
      </c>
      <c r="C6640" t="n">
        <v>3094</v>
      </c>
      <c r="D6640" s="6" t="n">
        <v>19</v>
      </c>
      <c r="E6640" t="n">
        <v>43820</v>
      </c>
      <c r="F6640" s="6" t="n">
        <v>19</v>
      </c>
      <c r="G6640" t="n">
        <v>1</v>
      </c>
      <c r="H6640" s="6">
        <f>ROUND(G6640*F6640,2)</f>
        <v/>
      </c>
      <c r="I6640">
        <f>IF(ROUND(H6640-D6640,2)=0,1,0)</f>
        <v/>
      </c>
      <c r="J6640">
        <f>IF(F6640="","none",IF(G6640=1,"carte","multiple"))</f>
        <v/>
      </c>
    </row>
    <row r="6641">
      <c r="A6641" t="inlineStr">
        <is>
          <t>2022-11-06</t>
        </is>
      </c>
      <c r="B6641" t="inlineStr">
        <is>
          <t>19:36</t>
        </is>
      </c>
      <c r="C6641" t="n">
        <v>3094</v>
      </c>
      <c r="D6641" s="6" t="n">
        <v>1.8</v>
      </c>
      <c r="E6641" t="n">
        <v>43821</v>
      </c>
      <c r="F6641" s="6" t="n">
        <v>1.8</v>
      </c>
      <c r="G6641" t="n">
        <v>1</v>
      </c>
      <c r="H6641" s="6">
        <f>ROUND(G6641*F6641,2)</f>
        <v/>
      </c>
      <c r="I6641">
        <f>IF(ROUND(H6641-D6641,2)=0,1,0)</f>
        <v/>
      </c>
      <c r="J6641">
        <f>IF(F6641="","none",IF(G6641=1,"carte","multiple"))</f>
        <v/>
      </c>
    </row>
    <row r="6642">
      <c r="A6642" t="inlineStr">
        <is>
          <t>2022-11-06</t>
        </is>
      </c>
      <c r="B6642" t="inlineStr">
        <is>
          <t>19:36</t>
        </is>
      </c>
      <c r="C6642" t="n">
        <v>3094</v>
      </c>
      <c r="D6642" s="6" t="n">
        <v>1.8</v>
      </c>
      <c r="E6642" t="n">
        <v>43822</v>
      </c>
      <c r="F6642" s="6" t="n">
        <v>1.8</v>
      </c>
      <c r="G6642" t="n">
        <v>1</v>
      </c>
      <c r="H6642" s="6">
        <f>ROUND(G6642*F6642,2)</f>
        <v/>
      </c>
      <c r="I6642">
        <f>IF(ROUND(H6642-D6642,2)=0,1,0)</f>
        <v/>
      </c>
      <c r="J6642">
        <f>IF(F6642="","none",IF(G6642=1,"carte","multiple"))</f>
        <v/>
      </c>
    </row>
    <row r="6643">
      <c r="A6643" t="inlineStr">
        <is>
          <t>2022-11-06</t>
        </is>
      </c>
      <c r="B6643" t="inlineStr">
        <is>
          <t>19:36</t>
        </is>
      </c>
      <c r="C6643" t="n">
        <v>3094</v>
      </c>
      <c r="D6643" s="6" t="n">
        <v>7.8</v>
      </c>
      <c r="E6643" t="n">
        <v>43823</v>
      </c>
      <c r="F6643" s="6" t="n">
        <v>7.8</v>
      </c>
      <c r="G6643" t="n">
        <v>1</v>
      </c>
      <c r="H6643" s="6">
        <f>ROUND(G6643*F6643,2)</f>
        <v/>
      </c>
      <c r="I6643">
        <f>IF(ROUND(H6643-D6643,2)=0,1,0)</f>
        <v/>
      </c>
      <c r="J6643">
        <f>IF(F6643="","none",IF(G6643=1,"carte","multiple"))</f>
        <v/>
      </c>
    </row>
    <row r="6644">
      <c r="A6644" t="inlineStr">
        <is>
          <t>2022-11-06</t>
        </is>
      </c>
      <c r="B6644" t="inlineStr">
        <is>
          <t>19:36</t>
        </is>
      </c>
      <c r="C6644" t="n">
        <v>3094</v>
      </c>
      <c r="D6644" s="6" t="n">
        <v>7</v>
      </c>
      <c r="E6644" t="n">
        <v>43824</v>
      </c>
      <c r="F6644" s="6" t="n">
        <v>7</v>
      </c>
      <c r="G6644" t="n">
        <v>1</v>
      </c>
      <c r="H6644" s="6">
        <f>ROUND(G6644*F6644,2)</f>
        <v/>
      </c>
      <c r="I6644">
        <f>IF(ROUND(H6644-D6644,2)=0,1,0)</f>
        <v/>
      </c>
      <c r="J6644">
        <f>IF(F6644="","none",IF(G6644=1,"carte","multiple"))</f>
        <v/>
      </c>
    </row>
    <row r="6645">
      <c r="A6645" t="inlineStr">
        <is>
          <t>2022-11-06</t>
        </is>
      </c>
      <c r="B6645" t="inlineStr">
        <is>
          <t>19:36</t>
        </is>
      </c>
      <c r="C6645" t="n">
        <v>3094</v>
      </c>
      <c r="D6645" s="6" t="n">
        <v>7.5</v>
      </c>
      <c r="E6645" t="n">
        <v>43825</v>
      </c>
      <c r="F6645" s="6" t="n">
        <v>7.5</v>
      </c>
      <c r="G6645" t="n">
        <v>1</v>
      </c>
      <c r="H6645" s="6">
        <f>ROUND(G6645*F6645,2)</f>
        <v/>
      </c>
      <c r="I6645">
        <f>IF(ROUND(H6645-D6645,2)=0,1,0)</f>
        <v/>
      </c>
      <c r="J6645">
        <f>IF(F6645="","none",IF(G6645=1,"carte","multiple"))</f>
        <v/>
      </c>
    </row>
    <row r="6646">
      <c r="A6646" t="inlineStr">
        <is>
          <t>2022-11-06</t>
        </is>
      </c>
      <c r="B6646" t="inlineStr">
        <is>
          <t>19:36</t>
        </is>
      </c>
      <c r="C6646" t="n">
        <v>3094</v>
      </c>
      <c r="D6646" s="6" t="n">
        <v>9.800000000000001</v>
      </c>
      <c r="E6646" t="n">
        <v>43826</v>
      </c>
      <c r="F6646" s="6" t="n">
        <v>9.800000000000001</v>
      </c>
      <c r="G6646" t="n">
        <v>1</v>
      </c>
      <c r="H6646" s="6">
        <f>ROUND(G6646*F6646,2)</f>
        <v/>
      </c>
      <c r="I6646">
        <f>IF(ROUND(H6646-D6646,2)=0,1,0)</f>
        <v/>
      </c>
      <c r="J6646">
        <f>IF(F6646="","none",IF(G6646=1,"carte","multiple"))</f>
        <v/>
      </c>
    </row>
    <row r="6647">
      <c r="A6647" t="inlineStr">
        <is>
          <t>2022-11-06</t>
        </is>
      </c>
      <c r="B6647" t="inlineStr">
        <is>
          <t>19:36</t>
        </is>
      </c>
      <c r="C6647" t="n">
        <v>3094</v>
      </c>
      <c r="D6647" s="6" t="n">
        <v>18.6</v>
      </c>
      <c r="E6647" t="n">
        <v>43827</v>
      </c>
      <c r="F6647" s="6" t="n">
        <v>18.6</v>
      </c>
      <c r="G6647" t="n">
        <v>1</v>
      </c>
      <c r="H6647" s="6">
        <f>ROUND(G6647*F6647,2)</f>
        <v/>
      </c>
      <c r="I6647">
        <f>IF(ROUND(H6647-D6647,2)=0,1,0)</f>
        <v/>
      </c>
      <c r="J6647">
        <f>IF(F6647="","none",IF(G6647=1,"carte","multiple"))</f>
        <v/>
      </c>
    </row>
    <row r="6648">
      <c r="A6648" t="inlineStr">
        <is>
          <t>2022-11-06</t>
        </is>
      </c>
      <c r="B6648" t="inlineStr">
        <is>
          <t>19:36</t>
        </is>
      </c>
      <c r="C6648" t="n">
        <v>3094</v>
      </c>
      <c r="D6648" s="6" t="n">
        <v>27.8</v>
      </c>
      <c r="E6648" t="n">
        <v>43828</v>
      </c>
      <c r="F6648" s="6" t="n">
        <v>27.8</v>
      </c>
      <c r="G6648" t="n">
        <v>1</v>
      </c>
      <c r="H6648" s="6">
        <f>ROUND(G6648*F6648,2)</f>
        <v/>
      </c>
      <c r="I6648">
        <f>IF(ROUND(H6648-D6648,2)=0,1,0)</f>
        <v/>
      </c>
      <c r="J6648">
        <f>IF(F6648="","none",IF(G6648=1,"carte","multiple"))</f>
        <v/>
      </c>
    </row>
    <row r="6649">
      <c r="A6649" t="inlineStr">
        <is>
          <t>2022-11-06</t>
        </is>
      </c>
      <c r="B6649" t="inlineStr">
        <is>
          <t>19:36</t>
        </is>
      </c>
      <c r="C6649" t="n">
        <v>3094</v>
      </c>
      <c r="D6649" s="6" t="n">
        <v>37.2</v>
      </c>
      <c r="E6649" t="n">
        <v>43829</v>
      </c>
      <c r="F6649" s="6" t="n">
        <v>0.4</v>
      </c>
      <c r="G6649" t="n">
        <v>93</v>
      </c>
      <c r="H6649" s="6">
        <f>ROUND(G6649*F6649,2)</f>
        <v/>
      </c>
      <c r="I6649">
        <f>IF(ROUND(H6649-D6649,2)=0,1,0)</f>
        <v/>
      </c>
      <c r="J6649">
        <f>IF(F6649="","none",IF(G6649=1,"carte","multiple"))</f>
        <v/>
      </c>
    </row>
    <row r="6650">
      <c r="A6650" t="inlineStr">
        <is>
          <t>2022-11-06</t>
        </is>
      </c>
      <c r="B6650" t="inlineStr">
        <is>
          <t>19:36</t>
        </is>
      </c>
      <c r="C6650" t="n">
        <v>3094</v>
      </c>
      <c r="D6650" s="6" t="n">
        <v>18.6</v>
      </c>
      <c r="E6650" t="n">
        <v>43830</v>
      </c>
      <c r="F6650" s="6" t="n">
        <v>18.6</v>
      </c>
      <c r="G6650" t="n">
        <v>1</v>
      </c>
      <c r="H6650" s="6">
        <f>ROUND(G6650*F6650,2)</f>
        <v/>
      </c>
      <c r="I6650">
        <f>IF(ROUND(H6650-D6650,2)=0,1,0)</f>
        <v/>
      </c>
      <c r="J6650">
        <f>IF(F6650="","none",IF(G6650=1,"carte","multiple"))</f>
        <v/>
      </c>
    </row>
    <row r="6651">
      <c r="A6651" t="inlineStr">
        <is>
          <t>2022-11-06</t>
        </is>
      </c>
      <c r="B6651" t="inlineStr">
        <is>
          <t>19:36</t>
        </is>
      </c>
      <c r="C6651" t="n">
        <v>3094</v>
      </c>
      <c r="D6651" s="6" t="n">
        <v>4.2</v>
      </c>
      <c r="E6651" t="n">
        <v>43831</v>
      </c>
      <c r="F6651" s="6" t="n">
        <v>4.2</v>
      </c>
      <c r="G6651" t="n">
        <v>1</v>
      </c>
      <c r="H6651" s="6">
        <f>ROUND(G6651*F6651,2)</f>
        <v/>
      </c>
      <c r="I6651">
        <f>IF(ROUND(H6651-D6651,2)=0,1,0)</f>
        <v/>
      </c>
      <c r="J6651">
        <f>IF(F6651="","none",IF(G6651=1,"carte","multiple"))</f>
        <v/>
      </c>
    </row>
    <row r="6652">
      <c r="A6652" t="inlineStr">
        <is>
          <t>2022-11-06</t>
        </is>
      </c>
      <c r="B6652" t="inlineStr">
        <is>
          <t>19:36</t>
        </is>
      </c>
      <c r="C6652" t="n">
        <v>3094</v>
      </c>
      <c r="D6652" s="6" t="n">
        <v>7.6</v>
      </c>
      <c r="E6652" t="n">
        <v>43832</v>
      </c>
      <c r="F6652" s="6" t="n">
        <v>7.6</v>
      </c>
      <c r="G6652" t="n">
        <v>1</v>
      </c>
      <c r="H6652" s="6">
        <f>ROUND(G6652*F6652,2)</f>
        <v/>
      </c>
      <c r="I6652">
        <f>IF(ROUND(H6652-D6652,2)=0,1,0)</f>
        <v/>
      </c>
      <c r="J6652">
        <f>IF(F6652="","none",IF(G6652=1,"carte","multiple"))</f>
        <v/>
      </c>
    </row>
    <row r="6653">
      <c r="A6653" t="inlineStr">
        <is>
          <t>2022-11-06</t>
        </is>
      </c>
      <c r="B6653" t="inlineStr">
        <is>
          <t>19:36</t>
        </is>
      </c>
      <c r="C6653" t="n">
        <v>3094</v>
      </c>
      <c r="D6653" s="6" t="n">
        <v>4.9</v>
      </c>
      <c r="E6653" t="n">
        <v>43833</v>
      </c>
      <c r="F6653" s="6" t="n">
        <v>4.9</v>
      </c>
      <c r="G6653" t="n">
        <v>1</v>
      </c>
      <c r="H6653" s="6">
        <f>ROUND(G6653*F6653,2)</f>
        <v/>
      </c>
      <c r="I6653">
        <f>IF(ROUND(H6653-D6653,2)=0,1,0)</f>
        <v/>
      </c>
      <c r="J6653">
        <f>IF(F6653="","none",IF(G6653=1,"carte","multiple"))</f>
        <v/>
      </c>
    </row>
    <row r="6654">
      <c r="A6654" t="inlineStr">
        <is>
          <t>2022-11-06</t>
        </is>
      </c>
      <c r="B6654" t="inlineStr">
        <is>
          <t>19:36</t>
        </is>
      </c>
      <c r="C6654" t="n">
        <v>3094</v>
      </c>
      <c r="D6654" s="6" t="n">
        <v>3.9</v>
      </c>
      <c r="E6654" t="n">
        <v>43834</v>
      </c>
      <c r="F6654" s="6" t="n">
        <v>3.9</v>
      </c>
      <c r="G6654" t="n">
        <v>1</v>
      </c>
      <c r="H6654" s="6">
        <f>ROUND(G6654*F6654,2)</f>
        <v/>
      </c>
      <c r="I6654">
        <f>IF(ROUND(H6654-D6654,2)=0,1,0)</f>
        <v/>
      </c>
      <c r="J6654">
        <f>IF(F6654="","none",IF(G6654=1,"carte","multiple"))</f>
        <v/>
      </c>
    </row>
    <row r="6655">
      <c r="A6655" t="inlineStr">
        <is>
          <t>2022-11-06</t>
        </is>
      </c>
      <c r="B6655" t="inlineStr">
        <is>
          <t>20:01</t>
        </is>
      </c>
      <c r="C6655" t="n">
        <v>3094</v>
      </c>
      <c r="D6655" s="6" t="n">
        <v>2.2</v>
      </c>
      <c r="E6655" t="n">
        <v>43835</v>
      </c>
      <c r="F6655" s="6" t="n">
        <v>2.2</v>
      </c>
      <c r="G6655" t="n">
        <v>1</v>
      </c>
      <c r="H6655" s="6">
        <f>ROUND(G6655*F6655,2)</f>
        <v/>
      </c>
      <c r="I6655">
        <f>IF(ROUND(H6655-D6655,2)=0,1,0)</f>
        <v/>
      </c>
      <c r="J6655">
        <f>IF(F6655="","none",IF(G6655=1,"carte","multiple"))</f>
        <v/>
      </c>
    </row>
    <row r="6656">
      <c r="A6656" t="inlineStr">
        <is>
          <t>2022-11-06</t>
        </is>
      </c>
      <c r="B6656" t="inlineStr">
        <is>
          <t>20:09</t>
        </is>
      </c>
      <c r="C6656" t="n">
        <v>3094</v>
      </c>
      <c r="D6656" s="6" t="n">
        <v>7.8</v>
      </c>
      <c r="E6656" t="n">
        <v>43836</v>
      </c>
      <c r="F6656" s="6" t="n">
        <v>7.8</v>
      </c>
      <c r="G6656" t="n">
        <v>1</v>
      </c>
      <c r="H6656" s="6">
        <f>ROUND(G6656*F6656,2)</f>
        <v/>
      </c>
      <c r="I6656">
        <f>IF(ROUND(H6656-D6656,2)=0,1,0)</f>
        <v/>
      </c>
      <c r="J6656">
        <f>IF(F6656="","none",IF(G6656=1,"carte","multiple"))</f>
        <v/>
      </c>
    </row>
    <row r="6657">
      <c r="A6657" t="inlineStr">
        <is>
          <t>2022-11-06</t>
        </is>
      </c>
      <c r="B6657" t="inlineStr">
        <is>
          <t>20:09</t>
        </is>
      </c>
      <c r="C6657" t="n">
        <v>3094</v>
      </c>
      <c r="D6657" s="6" t="n">
        <v>7.8</v>
      </c>
      <c r="E6657" t="n">
        <v>43837</v>
      </c>
      <c r="F6657" s="6" t="n">
        <v>7.8</v>
      </c>
      <c r="G6657" t="n">
        <v>1</v>
      </c>
      <c r="H6657" s="6">
        <f>ROUND(G6657*F6657,2)</f>
        <v/>
      </c>
      <c r="I6657">
        <f>IF(ROUND(H6657-D6657,2)=0,1,0)</f>
        <v/>
      </c>
      <c r="J6657">
        <f>IF(F6657="","none",IF(G6657=1,"carte","multiple"))</f>
        <v/>
      </c>
    </row>
    <row r="6658">
      <c r="A6658" t="inlineStr">
        <is>
          <t>2022-11-06</t>
        </is>
      </c>
      <c r="B6658" t="inlineStr">
        <is>
          <t>20:09</t>
        </is>
      </c>
      <c r="C6658" t="n">
        <v>3094</v>
      </c>
      <c r="D6658" s="6" t="n">
        <v>8.1</v>
      </c>
      <c r="E6658" t="n">
        <v>43838</v>
      </c>
      <c r="F6658" s="6" t="n">
        <v>8.1</v>
      </c>
      <c r="G6658" t="n">
        <v>1</v>
      </c>
      <c r="H6658" s="6">
        <f>ROUND(G6658*F6658,2)</f>
        <v/>
      </c>
      <c r="I6658">
        <f>IF(ROUND(H6658-D6658,2)=0,1,0)</f>
        <v/>
      </c>
      <c r="J6658">
        <f>IF(F6658="","none",IF(G6658=1,"carte","multiple"))</f>
        <v/>
      </c>
    </row>
    <row r="6659">
      <c r="A6659" t="inlineStr">
        <is>
          <t>2022-11-06</t>
        </is>
      </c>
      <c r="B6659" t="inlineStr">
        <is>
          <t>20:09</t>
        </is>
      </c>
      <c r="C6659" t="n">
        <v>3094</v>
      </c>
      <c r="D6659" s="6" t="n">
        <v>57</v>
      </c>
      <c r="E6659" t="n">
        <v>43839</v>
      </c>
      <c r="F6659" s="6" t="n">
        <v>0.5</v>
      </c>
      <c r="G6659" t="n">
        <v>114</v>
      </c>
      <c r="H6659" s="6">
        <f>ROUND(G6659*F6659,2)</f>
        <v/>
      </c>
      <c r="I6659">
        <f>IF(ROUND(H6659-D6659,2)=0,1,0)</f>
        <v/>
      </c>
      <c r="J6659">
        <f>IF(F6659="","none",IF(G6659=1,"carte","multiple"))</f>
        <v/>
      </c>
    </row>
    <row r="6660">
      <c r="A6660" t="inlineStr">
        <is>
          <t>2022-11-06</t>
        </is>
      </c>
      <c r="B6660" t="inlineStr">
        <is>
          <t>20:09</t>
        </is>
      </c>
      <c r="C6660" t="n">
        <v>3094</v>
      </c>
      <c r="D6660" s="6" t="n">
        <v>8.9</v>
      </c>
      <c r="E6660" t="n">
        <v>43840</v>
      </c>
      <c r="F6660" s="6" t="n">
        <v>8.9</v>
      </c>
      <c r="G6660" t="n">
        <v>1</v>
      </c>
      <c r="H6660" s="6">
        <f>ROUND(G6660*F6660,2)</f>
        <v/>
      </c>
      <c r="I6660">
        <f>IF(ROUND(H6660-D6660,2)=0,1,0)</f>
        <v/>
      </c>
      <c r="J6660">
        <f>IF(F6660="","none",IF(G6660=1,"carte","multiple"))</f>
        <v/>
      </c>
    </row>
    <row r="6661">
      <c r="A6661" t="inlineStr">
        <is>
          <t>2022-11-06</t>
        </is>
      </c>
      <c r="B6661" t="inlineStr">
        <is>
          <t>20:09</t>
        </is>
      </c>
      <c r="C6661" t="n">
        <v>3094</v>
      </c>
      <c r="D6661" s="6" t="n">
        <v>16</v>
      </c>
      <c r="E6661" t="n">
        <v>43841</v>
      </c>
      <c r="F6661" s="6" t="n">
        <v>16</v>
      </c>
      <c r="G6661" t="n">
        <v>1</v>
      </c>
      <c r="H6661" s="6">
        <f>ROUND(G6661*F6661,2)</f>
        <v/>
      </c>
      <c r="I6661">
        <f>IF(ROUND(H6661-D6661,2)=0,1,0)</f>
        <v/>
      </c>
      <c r="J6661">
        <f>IF(F6661="","none",IF(G6661=1,"carte","multiple"))</f>
        <v/>
      </c>
    </row>
    <row r="6662">
      <c r="A6662" t="inlineStr">
        <is>
          <t>2022-11-06</t>
        </is>
      </c>
      <c r="B6662" t="inlineStr">
        <is>
          <t>20:09</t>
        </is>
      </c>
      <c r="C6662" t="n">
        <v>3094</v>
      </c>
      <c r="D6662" s="6" t="n">
        <v>8.9</v>
      </c>
      <c r="E6662" t="n">
        <v>43842</v>
      </c>
      <c r="F6662" s="6" t="n">
        <v>8.9</v>
      </c>
      <c r="G6662" t="n">
        <v>1</v>
      </c>
      <c r="H6662" s="6">
        <f>ROUND(G6662*F6662,2)</f>
        <v/>
      </c>
      <c r="I6662">
        <f>IF(ROUND(H6662-D6662,2)=0,1,0)</f>
        <v/>
      </c>
      <c r="J6662">
        <f>IF(F6662="","none",IF(G6662=1,"carte","multiple"))</f>
        <v/>
      </c>
    </row>
    <row r="6663">
      <c r="A6663" t="inlineStr">
        <is>
          <t>2022-11-06</t>
        </is>
      </c>
      <c r="B6663" t="inlineStr">
        <is>
          <t>20:09</t>
        </is>
      </c>
      <c r="C6663" t="n">
        <v>3094</v>
      </c>
      <c r="D6663" s="6" t="n">
        <v>7.8</v>
      </c>
      <c r="E6663" t="n">
        <v>43843</v>
      </c>
      <c r="F6663" s="6" t="n">
        <v>7.8</v>
      </c>
      <c r="G6663" t="n">
        <v>1</v>
      </c>
      <c r="H6663" s="6">
        <f>ROUND(G6663*F6663,2)</f>
        <v/>
      </c>
      <c r="I6663">
        <f>IF(ROUND(H6663-D6663,2)=0,1,0)</f>
        <v/>
      </c>
      <c r="J6663">
        <f>IF(F6663="","none",IF(G6663=1,"carte","multiple"))</f>
        <v/>
      </c>
    </row>
    <row r="6664">
      <c r="A6664" t="inlineStr">
        <is>
          <t>2022-11-06</t>
        </is>
      </c>
      <c r="B6664" t="inlineStr">
        <is>
          <t>20:09</t>
        </is>
      </c>
      <c r="C6664" t="n">
        <v>3094</v>
      </c>
      <c r="D6664" s="6" t="n">
        <v>3.9</v>
      </c>
      <c r="E6664" t="n">
        <v>43844</v>
      </c>
      <c r="F6664" s="6" t="n">
        <v>3.9</v>
      </c>
      <c r="G6664" t="n">
        <v>1</v>
      </c>
      <c r="H6664" s="6">
        <f>ROUND(G6664*F6664,2)</f>
        <v/>
      </c>
      <c r="I6664">
        <f>IF(ROUND(H6664-D6664,2)=0,1,0)</f>
        <v/>
      </c>
      <c r="J6664">
        <f>IF(F6664="","none",IF(G6664=1,"carte","multiple"))</f>
        <v/>
      </c>
    </row>
    <row r="6665">
      <c r="A6665" t="inlineStr">
        <is>
          <t>2022-11-06</t>
        </is>
      </c>
      <c r="B6665" t="inlineStr">
        <is>
          <t>20:09</t>
        </is>
      </c>
      <c r="C6665" t="n">
        <v>3094</v>
      </c>
      <c r="D6665" s="6" t="n">
        <v>2.2</v>
      </c>
      <c r="E6665" t="n">
        <v>43845</v>
      </c>
      <c r="F6665" s="6" t="n">
        <v>2.2</v>
      </c>
      <c r="G6665" t="n">
        <v>1</v>
      </c>
      <c r="H6665" s="6">
        <f>ROUND(G6665*F6665,2)</f>
        <v/>
      </c>
      <c r="I6665">
        <f>IF(ROUND(H6665-D6665,2)=0,1,0)</f>
        <v/>
      </c>
      <c r="J6665">
        <f>IF(F6665="","none",IF(G6665=1,"carte","multiple"))</f>
        <v/>
      </c>
    </row>
    <row r="6666">
      <c r="A6666" t="inlineStr">
        <is>
          <t>2022-11-06</t>
        </is>
      </c>
      <c r="B6666" t="inlineStr">
        <is>
          <t>20:10</t>
        </is>
      </c>
      <c r="C6666" t="n">
        <v>3094</v>
      </c>
      <c r="D6666" s="6" t="n">
        <v>3.9</v>
      </c>
      <c r="E6666" t="n">
        <v>43846</v>
      </c>
      <c r="F6666" s="6" t="n">
        <v>3.9</v>
      </c>
      <c r="G6666" t="n">
        <v>1</v>
      </c>
      <c r="H6666" s="6">
        <f>ROUND(G6666*F6666,2)</f>
        <v/>
      </c>
      <c r="I6666">
        <f>IF(ROUND(H6666-D6666,2)=0,1,0)</f>
        <v/>
      </c>
      <c r="J6666">
        <f>IF(F6666="","none",IF(G6666=1,"carte","multiple"))</f>
        <v/>
      </c>
    </row>
    <row r="6667">
      <c r="A6667" t="inlineStr">
        <is>
          <t>2022-11-06</t>
        </is>
      </c>
      <c r="B6667" t="inlineStr">
        <is>
          <t>20:10</t>
        </is>
      </c>
      <c r="C6667" t="n">
        <v>3094</v>
      </c>
      <c r="D6667" s="6" t="n">
        <v>33.8</v>
      </c>
      <c r="E6667" t="n">
        <v>43847</v>
      </c>
      <c r="F6667" s="6" t="n">
        <v>16.9</v>
      </c>
      <c r="G6667" t="n">
        <v>2</v>
      </c>
      <c r="H6667" s="6">
        <f>ROUND(G6667*F6667,2)</f>
        <v/>
      </c>
      <c r="I6667">
        <f>IF(ROUND(H6667-D6667,2)=0,1,0)</f>
        <v/>
      </c>
      <c r="J6667">
        <f>IF(F6667="","none",IF(G6667=1,"carte","multiple"))</f>
        <v/>
      </c>
    </row>
    <row r="6668">
      <c r="A6668" t="inlineStr">
        <is>
          <t>2022-11-06</t>
        </is>
      </c>
      <c r="B6668" t="inlineStr">
        <is>
          <t>20:10</t>
        </is>
      </c>
      <c r="C6668" t="n">
        <v>3094</v>
      </c>
      <c r="D6668" s="6" t="n">
        <v>19.9</v>
      </c>
      <c r="E6668" t="n">
        <v>43848</v>
      </c>
      <c r="F6668" s="6" t="n">
        <v>19.9</v>
      </c>
      <c r="G6668" t="n">
        <v>1</v>
      </c>
      <c r="H6668" s="6">
        <f>ROUND(G6668*F6668,2)</f>
        <v/>
      </c>
      <c r="I6668">
        <f>IF(ROUND(H6668-D6668,2)=0,1,0)</f>
        <v/>
      </c>
      <c r="J6668">
        <f>IF(F6668="","none",IF(G6668=1,"carte","multiple"))</f>
        <v/>
      </c>
    </row>
    <row r="6669">
      <c r="A6669" t="inlineStr">
        <is>
          <t>2022-11-06</t>
        </is>
      </c>
      <c r="B6669" t="inlineStr">
        <is>
          <t>20:10</t>
        </is>
      </c>
      <c r="C6669" t="n">
        <v>3094</v>
      </c>
      <c r="D6669" s="6" t="n">
        <v>8.9</v>
      </c>
      <c r="E6669" t="n">
        <v>43849</v>
      </c>
      <c r="F6669" s="6" t="n">
        <v>8.9</v>
      </c>
      <c r="G6669" t="n">
        <v>1</v>
      </c>
      <c r="H6669" s="6">
        <f>ROUND(G6669*F6669,2)</f>
        <v/>
      </c>
      <c r="I6669">
        <f>IF(ROUND(H6669-D6669,2)=0,1,0)</f>
        <v/>
      </c>
      <c r="J6669">
        <f>IF(F6669="","none",IF(G6669=1,"carte","multiple"))</f>
        <v/>
      </c>
    </row>
    <row r="6670">
      <c r="A6670" t="inlineStr">
        <is>
          <t>2022-11-06</t>
        </is>
      </c>
      <c r="B6670" t="inlineStr">
        <is>
          <t>20:10</t>
        </is>
      </c>
      <c r="C6670" t="n">
        <v>3094</v>
      </c>
      <c r="D6670" s="6" t="n">
        <v>8.9</v>
      </c>
      <c r="E6670" t="n">
        <v>43850</v>
      </c>
      <c r="F6670" s="6" t="n">
        <v>8.9</v>
      </c>
      <c r="G6670" t="n">
        <v>1</v>
      </c>
      <c r="H6670" s="6">
        <f>ROUND(G6670*F6670,2)</f>
        <v/>
      </c>
      <c r="I6670">
        <f>IF(ROUND(H6670-D6670,2)=0,1,0)</f>
        <v/>
      </c>
      <c r="J6670">
        <f>IF(F6670="","none",IF(G6670=1,"carte","multiple"))</f>
        <v/>
      </c>
    </row>
    <row r="6671">
      <c r="A6671" t="inlineStr">
        <is>
          <t>2022-11-06</t>
        </is>
      </c>
      <c r="B6671" t="inlineStr">
        <is>
          <t>20:10</t>
        </is>
      </c>
      <c r="C6671" t="n">
        <v>3094</v>
      </c>
      <c r="D6671" s="6" t="n">
        <v>3.9</v>
      </c>
      <c r="E6671" t="n">
        <v>43851</v>
      </c>
      <c r="F6671" s="6" t="n">
        <v>3.9</v>
      </c>
      <c r="G6671" t="n">
        <v>1</v>
      </c>
      <c r="H6671" s="6">
        <f>ROUND(G6671*F6671,2)</f>
        <v/>
      </c>
      <c r="I6671">
        <f>IF(ROUND(H6671-D6671,2)=0,1,0)</f>
        <v/>
      </c>
      <c r="J6671">
        <f>IF(F6671="","none",IF(G6671=1,"carte","multiple"))</f>
        <v/>
      </c>
    </row>
    <row r="6672">
      <c r="A6672" t="inlineStr">
        <is>
          <t>2022-11-06</t>
        </is>
      </c>
      <c r="B6672" t="inlineStr">
        <is>
          <t>20:10</t>
        </is>
      </c>
      <c r="C6672" t="n">
        <v>3094</v>
      </c>
      <c r="D6672" s="6" t="n">
        <v>3.9</v>
      </c>
      <c r="E6672" t="n">
        <v>43852</v>
      </c>
      <c r="F6672" s="6" t="n">
        <v>3.9</v>
      </c>
      <c r="G6672" t="n">
        <v>1</v>
      </c>
      <c r="H6672" s="6">
        <f>ROUND(G6672*F6672,2)</f>
        <v/>
      </c>
      <c r="I6672">
        <f>IF(ROUND(H6672-D6672,2)=0,1,0)</f>
        <v/>
      </c>
      <c r="J6672">
        <f>IF(F6672="","none",IF(G6672=1,"carte","multiple"))</f>
        <v/>
      </c>
    </row>
    <row r="6673">
      <c r="A6673" t="inlineStr">
        <is>
          <t>2022-11-06</t>
        </is>
      </c>
      <c r="B6673" t="inlineStr">
        <is>
          <t>20:10</t>
        </is>
      </c>
      <c r="C6673" t="n">
        <v>3094</v>
      </c>
      <c r="D6673" s="6" t="n">
        <v>89.7</v>
      </c>
      <c r="E6673" t="n">
        <v>43853</v>
      </c>
      <c r="F6673" s="6" t="n">
        <v>3.9</v>
      </c>
      <c r="G6673" t="n">
        <v>23</v>
      </c>
      <c r="H6673" s="6">
        <f>ROUND(G6673*F6673,2)</f>
        <v/>
      </c>
      <c r="I6673">
        <f>IF(ROUND(H6673-D6673,2)=0,1,0)</f>
        <v/>
      </c>
      <c r="J6673">
        <f>IF(F6673="","none",IF(G6673=1,"carte","multiple"))</f>
        <v/>
      </c>
    </row>
    <row r="6674">
      <c r="A6674" t="inlineStr">
        <is>
          <t>2022-11-06</t>
        </is>
      </c>
      <c r="B6674" t="inlineStr">
        <is>
          <t>20:10</t>
        </is>
      </c>
      <c r="C6674" t="n">
        <v>3094</v>
      </c>
      <c r="D6674" s="6" t="n">
        <v>24.9</v>
      </c>
      <c r="E6674" t="n">
        <v>43854</v>
      </c>
      <c r="F6674" s="6" t="n">
        <v>24.9</v>
      </c>
      <c r="G6674" t="n">
        <v>1</v>
      </c>
      <c r="H6674" s="6">
        <f>ROUND(G6674*F6674,2)</f>
        <v/>
      </c>
      <c r="I6674">
        <f>IF(ROUND(H6674-D6674,2)=0,1,0)</f>
        <v/>
      </c>
      <c r="J6674">
        <f>IF(F6674="","none",IF(G6674=1,"carte","multiple"))</f>
        <v/>
      </c>
    </row>
    <row r="6675">
      <c r="A6675" t="inlineStr">
        <is>
          <t>2022-11-06</t>
        </is>
      </c>
      <c r="B6675" t="inlineStr">
        <is>
          <t>20:24</t>
        </is>
      </c>
      <c r="C6675" t="n">
        <v>3094</v>
      </c>
      <c r="D6675" s="6" t="n">
        <v>7.2</v>
      </c>
      <c r="E6675" t="n">
        <v>43855</v>
      </c>
      <c r="F6675" s="6" t="n">
        <v>7.2</v>
      </c>
      <c r="G6675" t="n">
        <v>1</v>
      </c>
      <c r="H6675" s="6">
        <f>ROUND(G6675*F6675,2)</f>
        <v/>
      </c>
      <c r="I6675">
        <f>IF(ROUND(H6675-D6675,2)=0,1,0)</f>
        <v/>
      </c>
      <c r="J6675">
        <f>IF(F6675="","none",IF(G6675=1,"carte","multiple"))</f>
        <v/>
      </c>
    </row>
    <row r="6676">
      <c r="A6676" t="inlineStr">
        <is>
          <t>2022-11-06</t>
        </is>
      </c>
      <c r="B6676" t="inlineStr">
        <is>
          <t>20:24</t>
        </is>
      </c>
      <c r="C6676" t="n">
        <v>3094</v>
      </c>
      <c r="D6676" s="6" t="n">
        <v>7.9</v>
      </c>
      <c r="E6676" t="n">
        <v>43856</v>
      </c>
      <c r="F6676" s="6" t="n">
        <v>7.9</v>
      </c>
      <c r="G6676" t="n">
        <v>1</v>
      </c>
      <c r="H6676" s="6">
        <f>ROUND(G6676*F6676,2)</f>
        <v/>
      </c>
      <c r="I6676">
        <f>IF(ROUND(H6676-D6676,2)=0,1,0)</f>
        <v/>
      </c>
      <c r="J6676">
        <f>IF(F6676="","none",IF(G6676=1,"carte","multiple"))</f>
        <v/>
      </c>
    </row>
    <row r="6677">
      <c r="A6677" t="inlineStr">
        <is>
          <t>2022-11-06</t>
        </is>
      </c>
      <c r="B6677" t="inlineStr">
        <is>
          <t>20:24</t>
        </is>
      </c>
      <c r="C6677" t="n">
        <v>3094</v>
      </c>
      <c r="D6677" s="6" t="n">
        <v>59.8</v>
      </c>
      <c r="E6677" t="n">
        <v>43857</v>
      </c>
      <c r="F6677" s="6" t="n">
        <v>4.6</v>
      </c>
      <c r="G6677" t="n">
        <v>13</v>
      </c>
      <c r="H6677" s="6">
        <f>ROUND(G6677*F6677,2)</f>
        <v/>
      </c>
      <c r="I6677">
        <f>IF(ROUND(H6677-D6677,2)=0,1,0)</f>
        <v/>
      </c>
      <c r="J6677">
        <f>IF(F6677="","none",IF(G6677=1,"carte","multiple"))</f>
        <v/>
      </c>
    </row>
    <row r="6678">
      <c r="A6678" t="inlineStr">
        <is>
          <t>2022-11-06</t>
        </is>
      </c>
      <c r="B6678" t="inlineStr">
        <is>
          <t>20:24</t>
        </is>
      </c>
      <c r="C6678" t="n">
        <v>3094</v>
      </c>
      <c r="D6678" s="6" t="n">
        <v>6.8</v>
      </c>
      <c r="E6678" t="n">
        <v>43858</v>
      </c>
      <c r="F6678" s="6" t="n">
        <v>0.4</v>
      </c>
      <c r="G6678" t="n">
        <v>17</v>
      </c>
      <c r="H6678" s="6">
        <f>ROUND(G6678*F6678,2)</f>
        <v/>
      </c>
      <c r="I6678">
        <f>IF(ROUND(H6678-D6678,2)=0,1,0)</f>
        <v/>
      </c>
      <c r="J6678">
        <f>IF(F6678="","none",IF(G6678=1,"carte","multiple"))</f>
        <v/>
      </c>
    </row>
    <row r="6679">
      <c r="A6679" t="inlineStr">
        <is>
          <t>2022-11-06</t>
        </is>
      </c>
      <c r="B6679" t="inlineStr">
        <is>
          <t>20:28</t>
        </is>
      </c>
      <c r="C6679" t="n">
        <v>3094</v>
      </c>
      <c r="D6679" s="6" t="n">
        <v>6.5</v>
      </c>
      <c r="E6679" t="n">
        <v>43859</v>
      </c>
      <c r="F6679" s="6" t="n">
        <v>6.5</v>
      </c>
      <c r="G6679" t="n">
        <v>1</v>
      </c>
      <c r="H6679" s="6">
        <f>ROUND(G6679*F6679,2)</f>
        <v/>
      </c>
      <c r="I6679">
        <f>IF(ROUND(H6679-D6679,2)=0,1,0)</f>
        <v/>
      </c>
      <c r="J6679">
        <f>IF(F6679="","none",IF(G6679=1,"carte","multiple"))</f>
        <v/>
      </c>
    </row>
    <row r="6680">
      <c r="A6680" t="inlineStr">
        <is>
          <t>2022-11-06</t>
        </is>
      </c>
      <c r="B6680" t="inlineStr">
        <is>
          <t>20:28</t>
        </is>
      </c>
      <c r="C6680" t="n">
        <v>3094</v>
      </c>
      <c r="D6680" s="6" t="n">
        <v>5.2</v>
      </c>
      <c r="E6680" t="n">
        <v>43860</v>
      </c>
      <c r="F6680" s="6" t="n">
        <v>5.2</v>
      </c>
      <c r="G6680" t="n">
        <v>1</v>
      </c>
      <c r="H6680" s="6">
        <f>ROUND(G6680*F6680,2)</f>
        <v/>
      </c>
      <c r="I6680">
        <f>IF(ROUND(H6680-D6680,2)=0,1,0)</f>
        <v/>
      </c>
      <c r="J6680">
        <f>IF(F6680="","none",IF(G6680=1,"carte","multiple"))</f>
        <v/>
      </c>
    </row>
    <row r="6681">
      <c r="A6681" t="inlineStr">
        <is>
          <t>2022-11-06</t>
        </is>
      </c>
      <c r="B6681" t="inlineStr">
        <is>
          <t>20:28</t>
        </is>
      </c>
      <c r="C6681" t="n">
        <v>3094</v>
      </c>
      <c r="D6681" s="6" t="n">
        <v>3.9</v>
      </c>
      <c r="E6681" t="n">
        <v>43861</v>
      </c>
      <c r="F6681" s="6" t="n">
        <v>3.9</v>
      </c>
      <c r="G6681" t="n">
        <v>1</v>
      </c>
      <c r="H6681" s="6">
        <f>ROUND(G6681*F6681,2)</f>
        <v/>
      </c>
      <c r="I6681">
        <f>IF(ROUND(H6681-D6681,2)=0,1,0)</f>
        <v/>
      </c>
      <c r="J6681">
        <f>IF(F6681="","none",IF(G6681=1,"carte","multiple"))</f>
        <v/>
      </c>
    </row>
    <row r="6682">
      <c r="A6682" t="inlineStr">
        <is>
          <t>2022-11-06</t>
        </is>
      </c>
      <c r="B6682" t="inlineStr">
        <is>
          <t>20:28</t>
        </is>
      </c>
      <c r="C6682" t="n">
        <v>3094</v>
      </c>
      <c r="D6682" s="6" t="n">
        <v>39.5</v>
      </c>
      <c r="E6682" t="n">
        <v>43862</v>
      </c>
      <c r="F6682" s="6" t="n">
        <v>39.5</v>
      </c>
      <c r="G6682" t="n">
        <v>1</v>
      </c>
      <c r="H6682" s="6">
        <f>ROUND(G6682*F6682,2)</f>
        <v/>
      </c>
      <c r="I6682">
        <f>IF(ROUND(H6682-D6682,2)=0,1,0)</f>
        <v/>
      </c>
      <c r="J6682">
        <f>IF(F6682="","none",IF(G6682=1,"carte","multiple"))</f>
        <v/>
      </c>
    </row>
    <row r="6683">
      <c r="A6683" t="inlineStr">
        <is>
          <t>2022-11-06</t>
        </is>
      </c>
      <c r="B6683" t="inlineStr">
        <is>
          <t>20:28</t>
        </is>
      </c>
      <c r="C6683" t="n">
        <v>3094</v>
      </c>
      <c r="D6683" s="6" t="n">
        <v>43.8</v>
      </c>
      <c r="E6683" t="n">
        <v>43863</v>
      </c>
      <c r="F6683" s="6" t="n">
        <v>43.8</v>
      </c>
      <c r="G6683" t="n">
        <v>1</v>
      </c>
      <c r="H6683" s="6">
        <f>ROUND(G6683*F6683,2)</f>
        <v/>
      </c>
      <c r="I6683">
        <f>IF(ROUND(H6683-D6683,2)=0,1,0)</f>
        <v/>
      </c>
      <c r="J6683">
        <f>IF(F6683="","none",IF(G6683=1,"carte","multiple"))</f>
        <v/>
      </c>
    </row>
    <row r="6684">
      <c r="A6684" t="inlineStr">
        <is>
          <t>2022-11-06</t>
        </is>
      </c>
      <c r="B6684" t="inlineStr">
        <is>
          <t>20:28</t>
        </is>
      </c>
      <c r="C6684" t="n">
        <v>3094</v>
      </c>
      <c r="D6684" s="6" t="n">
        <v>3.9</v>
      </c>
      <c r="E6684" t="n">
        <v>43864</v>
      </c>
      <c r="F6684" s="6" t="n">
        <v>3.9</v>
      </c>
      <c r="G6684" t="n">
        <v>1</v>
      </c>
      <c r="H6684" s="6">
        <f>ROUND(G6684*F6684,2)</f>
        <v/>
      </c>
      <c r="I6684">
        <f>IF(ROUND(H6684-D6684,2)=0,1,0)</f>
        <v/>
      </c>
      <c r="J6684">
        <f>IF(F6684="","none",IF(G6684=1,"carte","multiple"))</f>
        <v/>
      </c>
    </row>
    <row r="6685">
      <c r="A6685" t="inlineStr">
        <is>
          <t>2022-11-06</t>
        </is>
      </c>
      <c r="B6685" t="inlineStr">
        <is>
          <t>20:28</t>
        </is>
      </c>
      <c r="C6685" t="n">
        <v>3094</v>
      </c>
      <c r="D6685" s="6" t="n">
        <v>3.9</v>
      </c>
      <c r="E6685" t="n">
        <v>43865</v>
      </c>
      <c r="F6685" s="6" t="n">
        <v>3.9</v>
      </c>
      <c r="G6685" t="n">
        <v>1</v>
      </c>
      <c r="H6685" s="6">
        <f>ROUND(G6685*F6685,2)</f>
        <v/>
      </c>
      <c r="I6685">
        <f>IF(ROUND(H6685-D6685,2)=0,1,0)</f>
        <v/>
      </c>
      <c r="J6685">
        <f>IF(F6685="","none",IF(G6685=1,"carte","multiple"))</f>
        <v/>
      </c>
    </row>
    <row r="6686">
      <c r="A6686" t="inlineStr">
        <is>
          <t>2022-11-09</t>
        </is>
      </c>
      <c r="B6686" t="inlineStr">
        <is>
          <t>12:31</t>
        </is>
      </c>
      <c r="C6686" t="n">
        <v>3095</v>
      </c>
      <c r="D6686" s="6" t="n">
        <v>5.8</v>
      </c>
      <c r="E6686" t="n">
        <v>43868</v>
      </c>
      <c r="F6686" s="6" t="n">
        <v>5.8</v>
      </c>
      <c r="G6686" t="n">
        <v>1</v>
      </c>
      <c r="H6686" s="6">
        <f>ROUND(G6686*F6686,2)</f>
        <v/>
      </c>
      <c r="I6686">
        <f>IF(ROUND(H6686-D6686,2)=0,1,0)</f>
        <v/>
      </c>
      <c r="J6686">
        <f>IF(F6686="","none",IF(G6686=1,"carte","multiple"))</f>
        <v/>
      </c>
    </row>
    <row r="6687">
      <c r="A6687" t="inlineStr">
        <is>
          <t>2022-11-09</t>
        </is>
      </c>
      <c r="B6687" t="inlineStr">
        <is>
          <t>12:31</t>
        </is>
      </c>
      <c r="C6687" t="n">
        <v>3095</v>
      </c>
      <c r="D6687" s="6" t="n">
        <v>6.9</v>
      </c>
      <c r="E6687" t="n">
        <v>43869</v>
      </c>
      <c r="F6687" s="6" t="n">
        <v>6.9</v>
      </c>
      <c r="G6687" t="n">
        <v>1</v>
      </c>
      <c r="H6687" s="6">
        <f>ROUND(G6687*F6687,2)</f>
        <v/>
      </c>
      <c r="I6687">
        <f>IF(ROUND(H6687-D6687,2)=0,1,0)</f>
        <v/>
      </c>
      <c r="J6687">
        <f>IF(F6687="","none",IF(G6687=1,"carte","multiple"))</f>
        <v/>
      </c>
    </row>
    <row r="6688">
      <c r="A6688" t="inlineStr">
        <is>
          <t>2022-11-09</t>
        </is>
      </c>
      <c r="B6688" t="inlineStr">
        <is>
          <t>12:31</t>
        </is>
      </c>
      <c r="C6688" t="n">
        <v>3095</v>
      </c>
      <c r="D6688" s="6" t="n">
        <v>19.9</v>
      </c>
      <c r="E6688" t="n">
        <v>43870</v>
      </c>
      <c r="F6688" s="6" t="n">
        <v>19.9</v>
      </c>
      <c r="G6688" t="n">
        <v>1</v>
      </c>
      <c r="H6688" s="6">
        <f>ROUND(G6688*F6688,2)</f>
        <v/>
      </c>
      <c r="I6688">
        <f>IF(ROUND(H6688-D6688,2)=0,1,0)</f>
        <v/>
      </c>
      <c r="J6688">
        <f>IF(F6688="","none",IF(G6688=1,"carte","multiple"))</f>
        <v/>
      </c>
    </row>
    <row r="6689">
      <c r="A6689" t="inlineStr">
        <is>
          <t>2022-11-09</t>
        </is>
      </c>
      <c r="B6689" t="inlineStr">
        <is>
          <t>12:31</t>
        </is>
      </c>
      <c r="C6689" t="n">
        <v>3095</v>
      </c>
      <c r="D6689" s="6" t="n">
        <v>14</v>
      </c>
      <c r="E6689" t="n">
        <v>43871</v>
      </c>
      <c r="F6689" s="6" t="n">
        <v>14</v>
      </c>
      <c r="G6689" t="n">
        <v>1</v>
      </c>
      <c r="H6689" s="6">
        <f>ROUND(G6689*F6689,2)</f>
        <v/>
      </c>
      <c r="I6689">
        <f>IF(ROUND(H6689-D6689,2)=0,1,0)</f>
        <v/>
      </c>
      <c r="J6689">
        <f>IF(F6689="","none",IF(G6689=1,"carte","multiple"))</f>
        <v/>
      </c>
    </row>
    <row r="6690">
      <c r="A6690" t="inlineStr">
        <is>
          <t>2022-11-09</t>
        </is>
      </c>
      <c r="B6690" t="inlineStr">
        <is>
          <t>12:31</t>
        </is>
      </c>
      <c r="C6690" t="n">
        <v>3095</v>
      </c>
      <c r="D6690" s="6" t="n">
        <v>10.4</v>
      </c>
      <c r="E6690" t="n">
        <v>43872</v>
      </c>
      <c r="F6690" s="6" t="n">
        <v>0.4</v>
      </c>
      <c r="G6690" t="n">
        <v>26</v>
      </c>
      <c r="H6690" s="6">
        <f>ROUND(G6690*F6690,2)</f>
        <v/>
      </c>
      <c r="I6690">
        <f>IF(ROUND(H6690-D6690,2)=0,1,0)</f>
        <v/>
      </c>
      <c r="J6690">
        <f>IF(F6690="","none",IF(G6690=1,"carte","multiple"))</f>
        <v/>
      </c>
    </row>
    <row r="6691">
      <c r="A6691" t="inlineStr">
        <is>
          <t>2022-11-09</t>
        </is>
      </c>
      <c r="B6691" t="inlineStr">
        <is>
          <t>17:57</t>
        </is>
      </c>
      <c r="C6691" t="n">
        <v>3095</v>
      </c>
      <c r="D6691" s="6" t="n">
        <v>7.9</v>
      </c>
      <c r="E6691" t="n">
        <v>43873</v>
      </c>
      <c r="F6691" s="6" t="n">
        <v>7.9</v>
      </c>
      <c r="G6691" t="n">
        <v>1</v>
      </c>
      <c r="H6691" s="6">
        <f>ROUND(G6691*F6691,2)</f>
        <v/>
      </c>
      <c r="I6691">
        <f>IF(ROUND(H6691-D6691,2)=0,1,0)</f>
        <v/>
      </c>
      <c r="J6691">
        <f>IF(F6691="","none",IF(G6691=1,"carte","multiple"))</f>
        <v/>
      </c>
    </row>
    <row r="6692">
      <c r="A6692" t="inlineStr">
        <is>
          <t>2022-11-09</t>
        </is>
      </c>
      <c r="B6692" t="inlineStr">
        <is>
          <t>19:41</t>
        </is>
      </c>
      <c r="C6692" t="n">
        <v>3095</v>
      </c>
      <c r="D6692" s="6" t="n">
        <v>3.9</v>
      </c>
      <c r="E6692" t="n">
        <v>43874</v>
      </c>
      <c r="F6692" s="6" t="n">
        <v>3.9</v>
      </c>
      <c r="G6692" t="n">
        <v>1</v>
      </c>
      <c r="H6692" s="6">
        <f>ROUND(G6692*F6692,2)</f>
        <v/>
      </c>
      <c r="I6692">
        <f>IF(ROUND(H6692-D6692,2)=0,1,0)</f>
        <v/>
      </c>
      <c r="J6692">
        <f>IF(F6692="","none",IF(G6692=1,"carte","multiple"))</f>
        <v/>
      </c>
    </row>
    <row r="6693">
      <c r="A6693" t="inlineStr">
        <is>
          <t>2022-11-09</t>
        </is>
      </c>
      <c r="B6693" t="inlineStr">
        <is>
          <t>19:41</t>
        </is>
      </c>
      <c r="C6693" t="n">
        <v>3095</v>
      </c>
      <c r="D6693" s="6" t="n">
        <v>21</v>
      </c>
      <c r="E6693" t="n">
        <v>43875</v>
      </c>
      <c r="F6693" s="6" t="n">
        <v>21</v>
      </c>
      <c r="G6693" t="n">
        <v>1</v>
      </c>
      <c r="H6693" s="6">
        <f>ROUND(G6693*F6693,2)</f>
        <v/>
      </c>
      <c r="I6693">
        <f>IF(ROUND(H6693-D6693,2)=0,1,0)</f>
        <v/>
      </c>
      <c r="J6693">
        <f>IF(F6693="","none",IF(G6693=1,"carte","multiple"))</f>
        <v/>
      </c>
    </row>
    <row r="6694">
      <c r="A6694" t="inlineStr">
        <is>
          <t>2022-11-09</t>
        </is>
      </c>
      <c r="B6694" t="inlineStr">
        <is>
          <t>19:41</t>
        </is>
      </c>
      <c r="C6694" t="n">
        <v>3095</v>
      </c>
      <c r="D6694" s="6" t="n">
        <v>25</v>
      </c>
      <c r="E6694" t="n">
        <v>43876</v>
      </c>
      <c r="F6694" s="6" t="n">
        <v>25</v>
      </c>
      <c r="G6694" t="n">
        <v>1</v>
      </c>
      <c r="H6694" s="6">
        <f>ROUND(G6694*F6694,2)</f>
        <v/>
      </c>
      <c r="I6694">
        <f>IF(ROUND(H6694-D6694,2)=0,1,0)</f>
        <v/>
      </c>
      <c r="J6694">
        <f>IF(F6694="","none",IF(G6694=1,"carte","multiple"))</f>
        <v/>
      </c>
    </row>
    <row r="6695">
      <c r="A6695" t="inlineStr">
        <is>
          <t>2022-11-09</t>
        </is>
      </c>
      <c r="B6695" t="inlineStr">
        <is>
          <t>19:41</t>
        </is>
      </c>
      <c r="C6695" t="n">
        <v>3095</v>
      </c>
      <c r="D6695" s="6" t="n">
        <v>19</v>
      </c>
      <c r="E6695" t="n">
        <v>43877</v>
      </c>
      <c r="F6695" s="6" t="n">
        <v>19</v>
      </c>
      <c r="G6695" t="n">
        <v>1</v>
      </c>
      <c r="H6695" s="6">
        <f>ROUND(G6695*F6695,2)</f>
        <v/>
      </c>
      <c r="I6695">
        <f>IF(ROUND(H6695-D6695,2)=0,1,0)</f>
        <v/>
      </c>
      <c r="J6695">
        <f>IF(F6695="","none",IF(G6695=1,"carte","multiple"))</f>
        <v/>
      </c>
    </row>
    <row r="6696">
      <c r="A6696" t="inlineStr">
        <is>
          <t>2022-11-09</t>
        </is>
      </c>
      <c r="B6696" t="inlineStr">
        <is>
          <t>19:41</t>
        </is>
      </c>
      <c r="C6696" t="n">
        <v>3095</v>
      </c>
      <c r="D6696" s="6" t="n">
        <v>28.6</v>
      </c>
      <c r="E6696" t="n">
        <v>43878</v>
      </c>
      <c r="F6696" s="6" t="n">
        <v>28.6</v>
      </c>
      <c r="G6696" t="n">
        <v>1</v>
      </c>
      <c r="H6696" s="6">
        <f>ROUND(G6696*F6696,2)</f>
        <v/>
      </c>
      <c r="I6696">
        <f>IF(ROUND(H6696-D6696,2)=0,1,0)</f>
        <v/>
      </c>
      <c r="J6696">
        <f>IF(F6696="","none",IF(G6696=1,"carte","multiple"))</f>
        <v/>
      </c>
    </row>
    <row r="6697">
      <c r="A6697" t="inlineStr">
        <is>
          <t>2022-11-09</t>
        </is>
      </c>
      <c r="B6697" t="inlineStr">
        <is>
          <t>19:41</t>
        </is>
      </c>
      <c r="C6697" t="n">
        <v>3095</v>
      </c>
      <c r="D6697" s="6" t="n">
        <v>8</v>
      </c>
      <c r="E6697" t="n">
        <v>43879</v>
      </c>
      <c r="F6697" s="6" t="n">
        <v>8</v>
      </c>
      <c r="G6697" t="n">
        <v>1</v>
      </c>
      <c r="H6697" s="6">
        <f>ROUND(G6697*F6697,2)</f>
        <v/>
      </c>
      <c r="I6697">
        <f>IF(ROUND(H6697-D6697,2)=0,1,0)</f>
        <v/>
      </c>
      <c r="J6697">
        <f>IF(F6697="","none",IF(G6697=1,"carte","multiple"))</f>
        <v/>
      </c>
    </row>
    <row r="6698">
      <c r="A6698" t="inlineStr">
        <is>
          <t>2022-11-09</t>
        </is>
      </c>
      <c r="B6698" t="inlineStr">
        <is>
          <t>20:22</t>
        </is>
      </c>
      <c r="C6698" t="n">
        <v>3095</v>
      </c>
      <c r="D6698" s="6" t="n">
        <v>0</v>
      </c>
      <c r="E6698" t="n">
        <v>43880</v>
      </c>
      <c r="H6698" t="inlineStr"/>
      <c r="I6698" t="inlineStr"/>
      <c r="J6698">
        <f>IF(F6698="","none",IF(G6698=1,"carte","multiple"))</f>
        <v/>
      </c>
    </row>
    <row r="6699">
      <c r="A6699" t="inlineStr">
        <is>
          <t>2022-11-09</t>
        </is>
      </c>
      <c r="B6699" t="inlineStr">
        <is>
          <t>20:22</t>
        </is>
      </c>
      <c r="C6699" t="n">
        <v>3095</v>
      </c>
      <c r="D6699" s="6" t="n">
        <v>7.2</v>
      </c>
      <c r="E6699" t="n">
        <v>43881</v>
      </c>
      <c r="F6699" s="6" t="n">
        <v>7.2</v>
      </c>
      <c r="G6699" t="n">
        <v>1</v>
      </c>
      <c r="H6699" s="6">
        <f>ROUND(G6699*F6699,2)</f>
        <v/>
      </c>
      <c r="I6699">
        <f>IF(ROUND(H6699-D6699,2)=0,1,0)</f>
        <v/>
      </c>
      <c r="J6699">
        <f>IF(F6699="","none",IF(G6699=1,"carte","multiple"))</f>
        <v/>
      </c>
    </row>
    <row r="6700">
      <c r="A6700" t="inlineStr">
        <is>
          <t>2022-11-09</t>
        </is>
      </c>
      <c r="B6700" t="inlineStr">
        <is>
          <t>20:22</t>
        </is>
      </c>
      <c r="C6700" t="n">
        <v>3095</v>
      </c>
      <c r="D6700" s="6" t="n">
        <v>33.8</v>
      </c>
      <c r="E6700" t="n">
        <v>43882</v>
      </c>
      <c r="F6700" s="6" t="n">
        <v>16.9</v>
      </c>
      <c r="G6700" t="n">
        <v>2</v>
      </c>
      <c r="H6700" s="6">
        <f>ROUND(G6700*F6700,2)</f>
        <v/>
      </c>
      <c r="I6700">
        <f>IF(ROUND(H6700-D6700,2)=0,1,0)</f>
        <v/>
      </c>
      <c r="J6700">
        <f>IF(F6700="","none",IF(G6700=1,"carte","multiple"))</f>
        <v/>
      </c>
    </row>
    <row r="6701">
      <c r="A6701" t="inlineStr">
        <is>
          <t>2022-11-09</t>
        </is>
      </c>
      <c r="B6701" t="inlineStr">
        <is>
          <t>20:22</t>
        </is>
      </c>
      <c r="C6701" t="n">
        <v>3095</v>
      </c>
      <c r="D6701" s="6" t="n">
        <v>3.9</v>
      </c>
      <c r="E6701" t="n">
        <v>43883</v>
      </c>
      <c r="F6701" s="6" t="n">
        <v>3.9</v>
      </c>
      <c r="G6701" t="n">
        <v>1</v>
      </c>
      <c r="H6701" s="6">
        <f>ROUND(G6701*F6701,2)</f>
        <v/>
      </c>
      <c r="I6701">
        <f>IF(ROUND(H6701-D6701,2)=0,1,0)</f>
        <v/>
      </c>
      <c r="J6701">
        <f>IF(F6701="","none",IF(G6701=1,"carte","multiple"))</f>
        <v/>
      </c>
    </row>
    <row r="6702">
      <c r="A6702" t="inlineStr">
        <is>
          <t>2022-11-09</t>
        </is>
      </c>
      <c r="B6702" t="inlineStr">
        <is>
          <t>20:22</t>
        </is>
      </c>
      <c r="C6702" t="n">
        <v>3095</v>
      </c>
      <c r="D6702" s="6" t="n">
        <v>4.9</v>
      </c>
      <c r="E6702" t="n">
        <v>43884</v>
      </c>
      <c r="F6702" s="6" t="n">
        <v>4.9</v>
      </c>
      <c r="G6702" t="n">
        <v>1</v>
      </c>
      <c r="H6702" s="6">
        <f>ROUND(G6702*F6702,2)</f>
        <v/>
      </c>
      <c r="I6702">
        <f>IF(ROUND(H6702-D6702,2)=0,1,0)</f>
        <v/>
      </c>
      <c r="J6702">
        <f>IF(F6702="","none",IF(G6702=1,"carte","multiple"))</f>
        <v/>
      </c>
    </row>
    <row r="6703">
      <c r="A6703" t="inlineStr">
        <is>
          <t>2022-11-10</t>
        </is>
      </c>
      <c r="B6703" t="inlineStr">
        <is>
          <t>11:05</t>
        </is>
      </c>
      <c r="C6703" t="n">
        <v>3096</v>
      </c>
      <c r="D6703" s="6" t="n">
        <v>5.9</v>
      </c>
      <c r="E6703" t="n">
        <v>43887</v>
      </c>
      <c r="F6703" s="6" t="n">
        <v>5.9</v>
      </c>
      <c r="G6703" t="n">
        <v>1</v>
      </c>
      <c r="H6703" s="6">
        <f>ROUND(G6703*F6703,2)</f>
        <v/>
      </c>
      <c r="I6703">
        <f>IF(ROUND(H6703-D6703,2)=0,1,0)</f>
        <v/>
      </c>
      <c r="J6703">
        <f>IF(F6703="","none",IF(G6703=1,"carte","multiple"))</f>
        <v/>
      </c>
    </row>
    <row r="6704">
      <c r="A6704" t="inlineStr">
        <is>
          <t>2022-11-10</t>
        </is>
      </c>
      <c r="B6704" t="inlineStr">
        <is>
          <t>18:33</t>
        </is>
      </c>
      <c r="C6704" t="n">
        <v>3096</v>
      </c>
      <c r="D6704" s="6" t="n">
        <v>10.9</v>
      </c>
      <c r="E6704" t="n">
        <v>43888</v>
      </c>
      <c r="F6704" s="6" t="n">
        <v>10.9</v>
      </c>
      <c r="G6704" t="n">
        <v>1</v>
      </c>
      <c r="H6704" s="6">
        <f>ROUND(G6704*F6704,2)</f>
        <v/>
      </c>
      <c r="I6704">
        <f>IF(ROUND(H6704-D6704,2)=0,1,0)</f>
        <v/>
      </c>
      <c r="J6704">
        <f>IF(F6704="","none",IF(G6704=1,"carte","multiple"))</f>
        <v/>
      </c>
    </row>
    <row r="6705">
      <c r="A6705" t="inlineStr">
        <is>
          <t>2022-11-10</t>
        </is>
      </c>
      <c r="B6705" t="inlineStr">
        <is>
          <t>20:09</t>
        </is>
      </c>
      <c r="C6705" t="n">
        <v>3096</v>
      </c>
      <c r="D6705" s="6" t="n">
        <v>25.9</v>
      </c>
      <c r="E6705" t="n">
        <v>43889</v>
      </c>
      <c r="F6705" s="6" t="n">
        <v>25.9</v>
      </c>
      <c r="G6705" t="n">
        <v>1</v>
      </c>
      <c r="H6705" s="6">
        <f>ROUND(G6705*F6705,2)</f>
        <v/>
      </c>
      <c r="I6705">
        <f>IF(ROUND(H6705-D6705,2)=0,1,0)</f>
        <v/>
      </c>
      <c r="J6705">
        <f>IF(F6705="","none",IF(G6705=1,"carte","multiple"))</f>
        <v/>
      </c>
    </row>
    <row r="6706">
      <c r="A6706" t="inlineStr">
        <is>
          <t>2022-11-10</t>
        </is>
      </c>
      <c r="B6706" t="inlineStr">
        <is>
          <t>20:09</t>
        </is>
      </c>
      <c r="C6706" t="n">
        <v>3096</v>
      </c>
      <c r="D6706" s="6" t="n">
        <v>8.9</v>
      </c>
      <c r="E6706" t="n">
        <v>43890</v>
      </c>
      <c r="F6706" s="6" t="n">
        <v>8.9</v>
      </c>
      <c r="G6706" t="n">
        <v>1</v>
      </c>
      <c r="H6706" s="6">
        <f>ROUND(G6706*F6706,2)</f>
        <v/>
      </c>
      <c r="I6706">
        <f>IF(ROUND(H6706-D6706,2)=0,1,0)</f>
        <v/>
      </c>
      <c r="J6706">
        <f>IF(F6706="","none",IF(G6706=1,"carte","multiple"))</f>
        <v/>
      </c>
    </row>
    <row r="6707">
      <c r="A6707" t="inlineStr">
        <is>
          <t>2022-11-11</t>
        </is>
      </c>
      <c r="B6707" t="inlineStr">
        <is>
          <t>11:59</t>
        </is>
      </c>
      <c r="C6707" t="n">
        <v>3097</v>
      </c>
      <c r="D6707" s="6" t="n">
        <v>8.9</v>
      </c>
      <c r="E6707" t="n">
        <v>43893</v>
      </c>
      <c r="F6707" s="6" t="n">
        <v>8.9</v>
      </c>
      <c r="G6707" t="n">
        <v>1</v>
      </c>
      <c r="H6707" s="6">
        <f>ROUND(G6707*F6707,2)</f>
        <v/>
      </c>
      <c r="I6707">
        <f>IF(ROUND(H6707-D6707,2)=0,1,0)</f>
        <v/>
      </c>
      <c r="J6707">
        <f>IF(F6707="","none",IF(G6707=1,"carte","multiple"))</f>
        <v/>
      </c>
    </row>
    <row r="6708">
      <c r="A6708" t="inlineStr">
        <is>
          <t>2022-11-11</t>
        </is>
      </c>
      <c r="B6708" t="inlineStr">
        <is>
          <t>11:59</t>
        </is>
      </c>
      <c r="C6708" t="n">
        <v>3097</v>
      </c>
      <c r="D6708" s="6" t="n">
        <v>33.8</v>
      </c>
      <c r="E6708" t="n">
        <v>43894</v>
      </c>
      <c r="F6708" s="6" t="n">
        <v>16.9</v>
      </c>
      <c r="G6708" t="n">
        <v>2</v>
      </c>
      <c r="H6708" s="6">
        <f>ROUND(G6708*F6708,2)</f>
        <v/>
      </c>
      <c r="I6708">
        <f>IF(ROUND(H6708-D6708,2)=0,1,0)</f>
        <v/>
      </c>
      <c r="J6708">
        <f>IF(F6708="","none",IF(G6708=1,"carte","multiple"))</f>
        <v/>
      </c>
    </row>
    <row r="6709">
      <c r="A6709" t="inlineStr">
        <is>
          <t>2022-11-11</t>
        </is>
      </c>
      <c r="B6709" t="inlineStr">
        <is>
          <t>11:59</t>
        </is>
      </c>
      <c r="C6709" t="n">
        <v>3097</v>
      </c>
      <c r="D6709" s="6" t="n">
        <v>13.8</v>
      </c>
      <c r="E6709" t="n">
        <v>43895</v>
      </c>
      <c r="F6709" s="6" t="n">
        <v>4.6</v>
      </c>
      <c r="G6709" t="n">
        <v>3</v>
      </c>
      <c r="H6709" s="6">
        <f>ROUND(G6709*F6709,2)</f>
        <v/>
      </c>
      <c r="I6709">
        <f>IF(ROUND(H6709-D6709,2)=0,1,0)</f>
        <v/>
      </c>
      <c r="J6709">
        <f>IF(F6709="","none",IF(G6709=1,"carte","multiple"))</f>
        <v/>
      </c>
    </row>
    <row r="6710">
      <c r="A6710" t="inlineStr">
        <is>
          <t>2022-11-11</t>
        </is>
      </c>
      <c r="B6710" t="inlineStr">
        <is>
          <t>11:59</t>
        </is>
      </c>
      <c r="C6710" t="n">
        <v>3097</v>
      </c>
      <c r="D6710" s="6" t="n">
        <v>4.4</v>
      </c>
      <c r="E6710" t="n">
        <v>43896</v>
      </c>
      <c r="F6710" s="6" t="n">
        <v>0.4</v>
      </c>
      <c r="G6710" t="n">
        <v>11</v>
      </c>
      <c r="H6710" s="6">
        <f>ROUND(G6710*F6710,2)</f>
        <v/>
      </c>
      <c r="I6710">
        <f>IF(ROUND(H6710-D6710,2)=0,1,0)</f>
        <v/>
      </c>
      <c r="J6710">
        <f>IF(F6710="","none",IF(G6710=1,"carte","multiple"))</f>
        <v/>
      </c>
    </row>
    <row r="6711">
      <c r="A6711" t="inlineStr">
        <is>
          <t>2022-11-11</t>
        </is>
      </c>
      <c r="B6711" t="inlineStr">
        <is>
          <t>11:59</t>
        </is>
      </c>
      <c r="C6711" t="n">
        <v>3097</v>
      </c>
      <c r="D6711" s="6" t="n">
        <v>5.2</v>
      </c>
      <c r="E6711" t="n">
        <v>43897</v>
      </c>
      <c r="F6711" s="6" t="n">
        <v>5.2</v>
      </c>
      <c r="G6711" t="n">
        <v>1</v>
      </c>
      <c r="H6711" s="6">
        <f>ROUND(G6711*F6711,2)</f>
        <v/>
      </c>
      <c r="I6711">
        <f>IF(ROUND(H6711-D6711,2)=0,1,0)</f>
        <v/>
      </c>
      <c r="J6711">
        <f>IF(F6711="","none",IF(G6711=1,"carte","multiple"))</f>
        <v/>
      </c>
    </row>
    <row r="6712">
      <c r="A6712" t="inlineStr">
        <is>
          <t>2022-11-11</t>
        </is>
      </c>
      <c r="B6712" t="inlineStr">
        <is>
          <t>11:59</t>
        </is>
      </c>
      <c r="C6712" t="n">
        <v>3097</v>
      </c>
      <c r="D6712" s="6" t="n">
        <v>4.9</v>
      </c>
      <c r="E6712" t="n">
        <v>43898</v>
      </c>
      <c r="F6712" s="6" t="n">
        <v>4.9</v>
      </c>
      <c r="G6712" t="n">
        <v>1</v>
      </c>
      <c r="H6712" s="6">
        <f>ROUND(G6712*F6712,2)</f>
        <v/>
      </c>
      <c r="I6712">
        <f>IF(ROUND(H6712-D6712,2)=0,1,0)</f>
        <v/>
      </c>
      <c r="J6712">
        <f>IF(F6712="","none",IF(G6712=1,"carte","multiple"))</f>
        <v/>
      </c>
    </row>
    <row r="6713">
      <c r="A6713" t="inlineStr">
        <is>
          <t>2022-11-11</t>
        </is>
      </c>
      <c r="B6713" t="inlineStr">
        <is>
          <t>12:20</t>
        </is>
      </c>
      <c r="C6713" t="n">
        <v>3097</v>
      </c>
      <c r="D6713" s="6" t="n">
        <v>2.9</v>
      </c>
      <c r="E6713" t="n">
        <v>43899</v>
      </c>
      <c r="F6713" s="6" t="n">
        <v>2.9</v>
      </c>
      <c r="G6713" t="n">
        <v>1</v>
      </c>
      <c r="H6713" s="6">
        <f>ROUND(G6713*F6713,2)</f>
        <v/>
      </c>
      <c r="I6713">
        <f>IF(ROUND(H6713-D6713,2)=0,1,0)</f>
        <v/>
      </c>
      <c r="J6713">
        <f>IF(F6713="","none",IF(G6713=1,"carte","multiple"))</f>
        <v/>
      </c>
    </row>
    <row r="6714">
      <c r="A6714" t="inlineStr">
        <is>
          <t>2022-11-11</t>
        </is>
      </c>
      <c r="B6714" t="inlineStr">
        <is>
          <t>12:20</t>
        </is>
      </c>
      <c r="C6714" t="n">
        <v>3097</v>
      </c>
      <c r="D6714" s="6" t="n">
        <v>2</v>
      </c>
      <c r="E6714" t="n">
        <v>43900</v>
      </c>
      <c r="F6714" s="6" t="n">
        <v>2</v>
      </c>
      <c r="G6714" t="n">
        <v>1</v>
      </c>
      <c r="H6714" s="6">
        <f>ROUND(G6714*F6714,2)</f>
        <v/>
      </c>
      <c r="I6714">
        <f>IF(ROUND(H6714-D6714,2)=0,1,0)</f>
        <v/>
      </c>
      <c r="J6714">
        <f>IF(F6714="","none",IF(G6714=1,"carte","multiple"))</f>
        <v/>
      </c>
    </row>
    <row r="6715">
      <c r="A6715" t="inlineStr">
        <is>
          <t>2022-11-11</t>
        </is>
      </c>
      <c r="B6715" t="inlineStr">
        <is>
          <t>12:20</t>
        </is>
      </c>
      <c r="C6715" t="n">
        <v>3097</v>
      </c>
      <c r="D6715" s="6" t="n">
        <v>1.8</v>
      </c>
      <c r="E6715" t="n">
        <v>43901</v>
      </c>
      <c r="F6715" s="6" t="n">
        <v>1.8</v>
      </c>
      <c r="G6715" t="n">
        <v>1</v>
      </c>
      <c r="H6715" s="6">
        <f>ROUND(G6715*F6715,2)</f>
        <v/>
      </c>
      <c r="I6715">
        <f>IF(ROUND(H6715-D6715,2)=0,1,0)</f>
        <v/>
      </c>
      <c r="J6715">
        <f>IF(F6715="","none",IF(G6715=1,"carte","multiple"))</f>
        <v/>
      </c>
    </row>
    <row r="6716">
      <c r="A6716" t="inlineStr">
        <is>
          <t>2022-11-11</t>
        </is>
      </c>
      <c r="B6716" t="inlineStr">
        <is>
          <t>12:20</t>
        </is>
      </c>
      <c r="C6716" t="n">
        <v>3097</v>
      </c>
      <c r="D6716" s="6" t="n">
        <v>4.7</v>
      </c>
      <c r="E6716" t="n">
        <v>43902</v>
      </c>
      <c r="F6716" s="6" t="n">
        <v>4.7</v>
      </c>
      <c r="G6716" t="n">
        <v>1</v>
      </c>
      <c r="H6716" s="6">
        <f>ROUND(G6716*F6716,2)</f>
        <v/>
      </c>
      <c r="I6716">
        <f>IF(ROUND(H6716-D6716,2)=0,1,0)</f>
        <v/>
      </c>
      <c r="J6716">
        <f>IF(F6716="","none",IF(G6716=1,"carte","multiple"))</f>
        <v/>
      </c>
    </row>
    <row r="6717">
      <c r="A6717" t="inlineStr">
        <is>
          <t>2022-11-11</t>
        </is>
      </c>
      <c r="B6717" t="inlineStr">
        <is>
          <t>12:20</t>
        </is>
      </c>
      <c r="C6717" t="n">
        <v>3097</v>
      </c>
      <c r="D6717" s="6" t="n">
        <v>19.9</v>
      </c>
      <c r="E6717" t="n">
        <v>43903</v>
      </c>
      <c r="F6717" s="6" t="n">
        <v>19.9</v>
      </c>
      <c r="G6717" t="n">
        <v>1</v>
      </c>
      <c r="H6717" s="6">
        <f>ROUND(G6717*F6717,2)</f>
        <v/>
      </c>
      <c r="I6717">
        <f>IF(ROUND(H6717-D6717,2)=0,1,0)</f>
        <v/>
      </c>
      <c r="J6717">
        <f>IF(F6717="","none",IF(G6717=1,"carte","multiple"))</f>
        <v/>
      </c>
    </row>
    <row r="6718">
      <c r="A6718" t="inlineStr">
        <is>
          <t>2022-11-11</t>
        </is>
      </c>
      <c r="B6718" t="inlineStr">
        <is>
          <t>12:20</t>
        </is>
      </c>
      <c r="C6718" t="n">
        <v>3097</v>
      </c>
      <c r="D6718" s="6" t="n">
        <v>18.6</v>
      </c>
      <c r="E6718" t="n">
        <v>43904</v>
      </c>
      <c r="F6718" s="6" t="n">
        <v>18.6</v>
      </c>
      <c r="G6718" t="n">
        <v>1</v>
      </c>
      <c r="H6718" s="6">
        <f>ROUND(G6718*F6718,2)</f>
        <v/>
      </c>
      <c r="I6718">
        <f>IF(ROUND(H6718-D6718,2)=0,1,0)</f>
        <v/>
      </c>
      <c r="J6718">
        <f>IF(F6718="","none",IF(G6718=1,"carte","multiple"))</f>
        <v/>
      </c>
    </row>
    <row r="6719">
      <c r="A6719" t="inlineStr">
        <is>
          <t>2022-11-11</t>
        </is>
      </c>
      <c r="B6719" t="inlineStr">
        <is>
          <t>12:25</t>
        </is>
      </c>
      <c r="C6719" t="n">
        <v>3097</v>
      </c>
      <c r="D6719" s="6" t="n">
        <v>6.6</v>
      </c>
      <c r="E6719" t="n">
        <v>43905</v>
      </c>
      <c r="F6719" s="6" t="n">
        <v>6.6</v>
      </c>
      <c r="G6719" t="n">
        <v>1</v>
      </c>
      <c r="H6719" s="6">
        <f>ROUND(G6719*F6719,2)</f>
        <v/>
      </c>
      <c r="I6719">
        <f>IF(ROUND(H6719-D6719,2)=0,1,0)</f>
        <v/>
      </c>
      <c r="J6719">
        <f>IF(F6719="","none",IF(G6719=1,"carte","multiple"))</f>
        <v/>
      </c>
    </row>
    <row r="6720">
      <c r="A6720" t="inlineStr">
        <is>
          <t>2022-11-11</t>
        </is>
      </c>
      <c r="B6720" t="inlineStr">
        <is>
          <t>12:25</t>
        </is>
      </c>
      <c r="C6720" t="n">
        <v>3097</v>
      </c>
      <c r="D6720" s="6" t="n">
        <v>55.8</v>
      </c>
      <c r="E6720" t="n">
        <v>43906</v>
      </c>
      <c r="F6720" s="6" t="n">
        <v>0.9</v>
      </c>
      <c r="G6720" t="n">
        <v>62</v>
      </c>
      <c r="H6720" s="6">
        <f>ROUND(G6720*F6720,2)</f>
        <v/>
      </c>
      <c r="I6720">
        <f>IF(ROUND(H6720-D6720,2)=0,1,0)</f>
        <v/>
      </c>
      <c r="J6720">
        <f>IF(F6720="","none",IF(G6720=1,"carte","multiple"))</f>
        <v/>
      </c>
    </row>
    <row r="6721">
      <c r="A6721" t="inlineStr">
        <is>
          <t>2022-11-11</t>
        </is>
      </c>
      <c r="B6721" t="inlineStr">
        <is>
          <t>12:25</t>
        </is>
      </c>
      <c r="C6721" t="n">
        <v>3097</v>
      </c>
      <c r="D6721" s="6" t="n">
        <v>32</v>
      </c>
      <c r="E6721" t="n">
        <v>43907</v>
      </c>
      <c r="F6721" s="6" t="n">
        <v>32</v>
      </c>
      <c r="G6721" t="n">
        <v>1</v>
      </c>
      <c r="H6721" s="6">
        <f>ROUND(G6721*F6721,2)</f>
        <v/>
      </c>
      <c r="I6721">
        <f>IF(ROUND(H6721-D6721,2)=0,1,0)</f>
        <v/>
      </c>
      <c r="J6721">
        <f>IF(F6721="","none",IF(G6721=1,"carte","multiple"))</f>
        <v/>
      </c>
    </row>
    <row r="6722">
      <c r="A6722" t="inlineStr">
        <is>
          <t>2022-11-11</t>
        </is>
      </c>
      <c r="B6722" t="inlineStr">
        <is>
          <t>12:25</t>
        </is>
      </c>
      <c r="C6722" t="n">
        <v>3097</v>
      </c>
      <c r="D6722" s="6" t="n">
        <v>7.9</v>
      </c>
      <c r="E6722" t="n">
        <v>43908</v>
      </c>
      <c r="F6722" s="6" t="n">
        <v>7.9</v>
      </c>
      <c r="G6722" t="n">
        <v>1</v>
      </c>
      <c r="H6722" s="6">
        <f>ROUND(G6722*F6722,2)</f>
        <v/>
      </c>
      <c r="I6722">
        <f>IF(ROUND(H6722-D6722,2)=0,1,0)</f>
        <v/>
      </c>
      <c r="J6722">
        <f>IF(F6722="","none",IF(G6722=1,"carte","multiple"))</f>
        <v/>
      </c>
    </row>
    <row r="6723">
      <c r="A6723" t="inlineStr">
        <is>
          <t>2022-11-11</t>
        </is>
      </c>
      <c r="B6723" t="inlineStr">
        <is>
          <t>12:25</t>
        </is>
      </c>
      <c r="C6723" t="n">
        <v>3097</v>
      </c>
      <c r="D6723" s="6" t="n">
        <v>14.7</v>
      </c>
      <c r="E6723" t="n">
        <v>43909</v>
      </c>
      <c r="F6723" s="6" t="n">
        <v>4.9</v>
      </c>
      <c r="G6723" t="n">
        <v>3</v>
      </c>
      <c r="H6723" s="6">
        <f>ROUND(G6723*F6723,2)</f>
        <v/>
      </c>
      <c r="I6723">
        <f>IF(ROUND(H6723-D6723,2)=0,1,0)</f>
        <v/>
      </c>
      <c r="J6723">
        <f>IF(F6723="","none",IF(G6723=1,"carte","multiple"))</f>
        <v/>
      </c>
    </row>
    <row r="6724">
      <c r="A6724" t="inlineStr">
        <is>
          <t>2022-11-11</t>
        </is>
      </c>
      <c r="B6724" t="inlineStr">
        <is>
          <t>13:24</t>
        </is>
      </c>
      <c r="C6724" t="n">
        <v>3097</v>
      </c>
      <c r="D6724" s="6" t="n">
        <v>28</v>
      </c>
      <c r="E6724" t="n">
        <v>43910</v>
      </c>
      <c r="F6724" s="6" t="n">
        <v>28</v>
      </c>
      <c r="G6724" t="n">
        <v>1</v>
      </c>
      <c r="H6724" s="6">
        <f>ROUND(G6724*F6724,2)</f>
        <v/>
      </c>
      <c r="I6724">
        <f>IF(ROUND(H6724-D6724,2)=0,1,0)</f>
        <v/>
      </c>
      <c r="J6724">
        <f>IF(F6724="","none",IF(G6724=1,"carte","multiple"))</f>
        <v/>
      </c>
    </row>
    <row r="6725">
      <c r="A6725" t="inlineStr">
        <is>
          <t>2022-11-11</t>
        </is>
      </c>
      <c r="B6725" t="inlineStr">
        <is>
          <t>13:24</t>
        </is>
      </c>
      <c r="C6725" t="n">
        <v>3097</v>
      </c>
      <c r="D6725" s="6" t="n">
        <v>34</v>
      </c>
      <c r="E6725" t="n">
        <v>43911</v>
      </c>
      <c r="F6725" s="6" t="n">
        <v>34</v>
      </c>
      <c r="G6725" t="n">
        <v>1</v>
      </c>
      <c r="H6725" s="6">
        <f>ROUND(G6725*F6725,2)</f>
        <v/>
      </c>
      <c r="I6725">
        <f>IF(ROUND(H6725-D6725,2)=0,1,0)</f>
        <v/>
      </c>
      <c r="J6725">
        <f>IF(F6725="","none",IF(G6725=1,"carte","multiple"))</f>
        <v/>
      </c>
    </row>
    <row r="6726">
      <c r="A6726" t="inlineStr">
        <is>
          <t>2022-11-11</t>
        </is>
      </c>
      <c r="B6726" t="inlineStr">
        <is>
          <t>13:24</t>
        </is>
      </c>
      <c r="C6726" t="n">
        <v>3097</v>
      </c>
      <c r="D6726" s="6" t="n">
        <v>45</v>
      </c>
      <c r="E6726" t="n">
        <v>43912</v>
      </c>
      <c r="F6726" s="6" t="n">
        <v>45</v>
      </c>
      <c r="G6726" t="n">
        <v>1</v>
      </c>
      <c r="H6726" s="6">
        <f>ROUND(G6726*F6726,2)</f>
        <v/>
      </c>
      <c r="I6726">
        <f>IF(ROUND(H6726-D6726,2)=0,1,0)</f>
        <v/>
      </c>
      <c r="J6726">
        <f>IF(F6726="","none",IF(G6726=1,"carte","multiple"))</f>
        <v/>
      </c>
    </row>
    <row r="6727">
      <c r="A6727" t="inlineStr">
        <is>
          <t>2022-11-11</t>
        </is>
      </c>
      <c r="B6727" t="inlineStr">
        <is>
          <t>20:07</t>
        </is>
      </c>
      <c r="C6727" t="n">
        <v>3097</v>
      </c>
      <c r="D6727" s="6" t="n">
        <v>11</v>
      </c>
      <c r="E6727" t="n">
        <v>43914</v>
      </c>
      <c r="F6727" s="6" t="n">
        <v>11</v>
      </c>
      <c r="G6727" t="n">
        <v>1</v>
      </c>
      <c r="H6727" s="6">
        <f>ROUND(G6727*F6727,2)</f>
        <v/>
      </c>
      <c r="I6727">
        <f>IF(ROUND(H6727-D6727,2)=0,1,0)</f>
        <v/>
      </c>
      <c r="J6727">
        <f>IF(F6727="","none",IF(G6727=1,"carte","multiple"))</f>
        <v/>
      </c>
    </row>
    <row r="6728">
      <c r="A6728" t="inlineStr">
        <is>
          <t>2022-11-11</t>
        </is>
      </c>
      <c r="B6728" t="inlineStr">
        <is>
          <t>20:07</t>
        </is>
      </c>
      <c r="C6728" t="n">
        <v>3097</v>
      </c>
      <c r="D6728" s="6" t="n">
        <v>8.4</v>
      </c>
      <c r="E6728" t="n">
        <v>43915</v>
      </c>
      <c r="F6728" s="6" t="n">
        <v>8.4</v>
      </c>
      <c r="G6728" t="n">
        <v>1</v>
      </c>
      <c r="H6728" s="6">
        <f>ROUND(G6728*F6728,2)</f>
        <v/>
      </c>
      <c r="I6728">
        <f>IF(ROUND(H6728-D6728,2)=0,1,0)</f>
        <v/>
      </c>
      <c r="J6728">
        <f>IF(F6728="","none",IF(G6728=1,"carte","multiple"))</f>
        <v/>
      </c>
    </row>
    <row r="6729">
      <c r="A6729" t="inlineStr">
        <is>
          <t>2022-11-11</t>
        </is>
      </c>
      <c r="B6729" t="inlineStr">
        <is>
          <t>20:07</t>
        </is>
      </c>
      <c r="C6729" t="n">
        <v>3097</v>
      </c>
      <c r="D6729" s="6" t="n">
        <v>3.9</v>
      </c>
      <c r="E6729" t="n">
        <v>43916</v>
      </c>
      <c r="F6729" s="6" t="n">
        <v>3.9</v>
      </c>
      <c r="G6729" t="n">
        <v>1</v>
      </c>
      <c r="H6729" s="6">
        <f>ROUND(G6729*F6729,2)</f>
        <v/>
      </c>
      <c r="I6729">
        <f>IF(ROUND(H6729-D6729,2)=0,1,0)</f>
        <v/>
      </c>
      <c r="J6729">
        <f>IF(F6729="","none",IF(G6729=1,"carte","multiple"))</f>
        <v/>
      </c>
    </row>
    <row r="6730">
      <c r="A6730" t="inlineStr">
        <is>
          <t>2022-11-11</t>
        </is>
      </c>
      <c r="B6730" t="inlineStr">
        <is>
          <t>20:07</t>
        </is>
      </c>
      <c r="C6730" t="n">
        <v>3097</v>
      </c>
      <c r="D6730" s="6" t="n">
        <v>19.4</v>
      </c>
      <c r="E6730" t="n">
        <v>43917</v>
      </c>
      <c r="F6730" s="6" t="n">
        <v>9.699999999999999</v>
      </c>
      <c r="G6730" t="n">
        <v>2</v>
      </c>
      <c r="H6730" s="6">
        <f>ROUND(G6730*F6730,2)</f>
        <v/>
      </c>
      <c r="I6730">
        <f>IF(ROUND(H6730-D6730,2)=0,1,0)</f>
        <v/>
      </c>
      <c r="J6730">
        <f>IF(F6730="","none",IF(G6730=1,"carte","multiple"))</f>
        <v/>
      </c>
    </row>
    <row r="6731">
      <c r="A6731" t="inlineStr">
        <is>
          <t>2022-11-11</t>
        </is>
      </c>
      <c r="B6731" t="inlineStr">
        <is>
          <t>20:07</t>
        </is>
      </c>
      <c r="C6731" t="n">
        <v>3097</v>
      </c>
      <c r="D6731" s="6" t="n">
        <v>14</v>
      </c>
      <c r="E6731" t="n">
        <v>43918</v>
      </c>
      <c r="F6731" s="6" t="n">
        <v>14</v>
      </c>
      <c r="G6731" t="n">
        <v>1</v>
      </c>
      <c r="H6731" s="6">
        <f>ROUND(G6731*F6731,2)</f>
        <v/>
      </c>
      <c r="I6731">
        <f>IF(ROUND(H6731-D6731,2)=0,1,0)</f>
        <v/>
      </c>
      <c r="J6731">
        <f>IF(F6731="","none",IF(G6731=1,"carte","multiple"))</f>
        <v/>
      </c>
    </row>
    <row r="6732">
      <c r="A6732" t="inlineStr">
        <is>
          <t>2022-11-11</t>
        </is>
      </c>
      <c r="B6732" t="inlineStr">
        <is>
          <t>20:07</t>
        </is>
      </c>
      <c r="C6732" t="n">
        <v>3097</v>
      </c>
      <c r="D6732" s="6" t="n">
        <v>29.9</v>
      </c>
      <c r="E6732" t="n">
        <v>43919</v>
      </c>
      <c r="F6732" s="6" t="n">
        <v>29.9</v>
      </c>
      <c r="G6732" t="n">
        <v>1</v>
      </c>
      <c r="H6732" s="6">
        <f>ROUND(G6732*F6732,2)</f>
        <v/>
      </c>
      <c r="I6732">
        <f>IF(ROUND(H6732-D6732,2)=0,1,0)</f>
        <v/>
      </c>
      <c r="J6732">
        <f>IF(F6732="","none",IF(G6732=1,"carte","multiple"))</f>
        <v/>
      </c>
    </row>
    <row r="6733">
      <c r="A6733" t="inlineStr">
        <is>
          <t>2022-11-11</t>
        </is>
      </c>
      <c r="B6733" t="inlineStr">
        <is>
          <t>20:07</t>
        </is>
      </c>
      <c r="C6733" t="n">
        <v>3097</v>
      </c>
      <c r="D6733" s="6" t="n">
        <v>18.6</v>
      </c>
      <c r="E6733" t="n">
        <v>43920</v>
      </c>
      <c r="F6733" s="6" t="n">
        <v>18.6</v>
      </c>
      <c r="G6733" t="n">
        <v>1</v>
      </c>
      <c r="H6733" s="6">
        <f>ROUND(G6733*F6733,2)</f>
        <v/>
      </c>
      <c r="I6733">
        <f>IF(ROUND(H6733-D6733,2)=0,1,0)</f>
        <v/>
      </c>
      <c r="J6733">
        <f>IF(F6733="","none",IF(G6733=1,"carte","multiple"))</f>
        <v/>
      </c>
    </row>
    <row r="6734">
      <c r="A6734" t="inlineStr">
        <is>
          <t>2022-11-11</t>
        </is>
      </c>
      <c r="B6734" t="inlineStr">
        <is>
          <t>20:07</t>
        </is>
      </c>
      <c r="C6734" t="n">
        <v>3097</v>
      </c>
      <c r="D6734" s="6" t="n">
        <v>21.6</v>
      </c>
      <c r="E6734" t="n">
        <v>43921</v>
      </c>
      <c r="F6734" s="6" t="n">
        <v>21.6</v>
      </c>
      <c r="G6734" t="n">
        <v>1</v>
      </c>
      <c r="H6734" s="6">
        <f>ROUND(G6734*F6734,2)</f>
        <v/>
      </c>
      <c r="I6734">
        <f>IF(ROUND(H6734-D6734,2)=0,1,0)</f>
        <v/>
      </c>
      <c r="J6734">
        <f>IF(F6734="","none",IF(G6734=1,"carte","multiple"))</f>
        <v/>
      </c>
    </row>
    <row r="6735">
      <c r="A6735" t="inlineStr">
        <is>
          <t>2022-11-11</t>
        </is>
      </c>
      <c r="B6735" t="inlineStr">
        <is>
          <t>20:08</t>
        </is>
      </c>
      <c r="C6735" t="n">
        <v>3097</v>
      </c>
      <c r="D6735" s="6" t="n">
        <v>18.6</v>
      </c>
      <c r="E6735" t="n">
        <v>43922</v>
      </c>
      <c r="F6735" s="6" t="n">
        <v>18.6</v>
      </c>
      <c r="G6735" t="n">
        <v>1</v>
      </c>
      <c r="H6735" s="6">
        <f>ROUND(G6735*F6735,2)</f>
        <v/>
      </c>
      <c r="I6735">
        <f>IF(ROUND(H6735-D6735,2)=0,1,0)</f>
        <v/>
      </c>
      <c r="J6735">
        <f>IF(F6735="","none",IF(G6735=1,"carte","multiple"))</f>
        <v/>
      </c>
    </row>
    <row r="6736">
      <c r="A6736" t="inlineStr">
        <is>
          <t>2022-11-11</t>
        </is>
      </c>
      <c r="B6736" t="inlineStr">
        <is>
          <t>20:08</t>
        </is>
      </c>
      <c r="C6736" t="n">
        <v>3097</v>
      </c>
      <c r="D6736" s="6" t="n">
        <v>18.6</v>
      </c>
      <c r="E6736" t="n">
        <v>43923</v>
      </c>
      <c r="F6736" s="6" t="n">
        <v>18.6</v>
      </c>
      <c r="G6736" t="n">
        <v>1</v>
      </c>
      <c r="H6736" s="6">
        <f>ROUND(G6736*F6736,2)</f>
        <v/>
      </c>
      <c r="I6736">
        <f>IF(ROUND(H6736-D6736,2)=0,1,0)</f>
        <v/>
      </c>
      <c r="J6736">
        <f>IF(F6736="","none",IF(G6736=1,"carte","multiple"))</f>
        <v/>
      </c>
    </row>
    <row r="6737">
      <c r="A6737" t="inlineStr">
        <is>
          <t>2022-11-11</t>
        </is>
      </c>
      <c r="B6737" t="inlineStr">
        <is>
          <t>20:08</t>
        </is>
      </c>
      <c r="C6737" t="n">
        <v>3097</v>
      </c>
      <c r="D6737" s="6" t="n">
        <v>17.8</v>
      </c>
      <c r="E6737" t="n">
        <v>43924</v>
      </c>
      <c r="F6737" s="6" t="n">
        <v>8.9</v>
      </c>
      <c r="G6737" t="n">
        <v>2</v>
      </c>
      <c r="H6737" s="6">
        <f>ROUND(G6737*F6737,2)</f>
        <v/>
      </c>
      <c r="I6737">
        <f>IF(ROUND(H6737-D6737,2)=0,1,0)</f>
        <v/>
      </c>
      <c r="J6737">
        <f>IF(F6737="","none",IF(G6737=1,"carte","multiple"))</f>
        <v/>
      </c>
    </row>
    <row r="6738">
      <c r="A6738" t="inlineStr">
        <is>
          <t>2022-11-11</t>
        </is>
      </c>
      <c r="B6738" t="inlineStr">
        <is>
          <t>20:08</t>
        </is>
      </c>
      <c r="C6738" t="n">
        <v>3097</v>
      </c>
      <c r="D6738" s="6" t="n">
        <v>51.8</v>
      </c>
      <c r="E6738" t="n">
        <v>43925</v>
      </c>
      <c r="F6738" s="6" t="n">
        <v>1.4</v>
      </c>
      <c r="G6738" t="n">
        <v>37</v>
      </c>
      <c r="H6738" s="6">
        <f>ROUND(G6738*F6738,2)</f>
        <v/>
      </c>
      <c r="I6738">
        <f>IF(ROUND(H6738-D6738,2)=0,1,0)</f>
        <v/>
      </c>
      <c r="J6738">
        <f>IF(F6738="","none",IF(G6738=1,"carte","multiple"))</f>
        <v/>
      </c>
    </row>
    <row r="6739">
      <c r="A6739" t="inlineStr">
        <is>
          <t>2022-11-11</t>
        </is>
      </c>
      <c r="B6739" t="inlineStr">
        <is>
          <t>20:08</t>
        </is>
      </c>
      <c r="C6739" t="n">
        <v>3097</v>
      </c>
      <c r="D6739" s="6" t="n">
        <v>5.2</v>
      </c>
      <c r="E6739" t="n">
        <v>43926</v>
      </c>
      <c r="F6739" s="6" t="n">
        <v>5.2</v>
      </c>
      <c r="G6739" t="n">
        <v>1</v>
      </c>
      <c r="H6739" s="6">
        <f>ROUND(G6739*F6739,2)</f>
        <v/>
      </c>
      <c r="I6739">
        <f>IF(ROUND(H6739-D6739,2)=0,1,0)</f>
        <v/>
      </c>
      <c r="J6739">
        <f>IF(F6739="","none",IF(G6739=1,"carte","multiple"))</f>
        <v/>
      </c>
    </row>
    <row r="6740">
      <c r="A6740" t="inlineStr">
        <is>
          <t>2022-11-11</t>
        </is>
      </c>
      <c r="B6740" t="inlineStr">
        <is>
          <t>20:08</t>
        </is>
      </c>
      <c r="C6740" t="n">
        <v>3097</v>
      </c>
      <c r="D6740" s="6" t="n">
        <v>6</v>
      </c>
      <c r="E6740" t="n">
        <v>43927</v>
      </c>
      <c r="F6740" s="6" t="n">
        <v>6</v>
      </c>
      <c r="G6740" t="n">
        <v>1</v>
      </c>
      <c r="H6740" s="6">
        <f>ROUND(G6740*F6740,2)</f>
        <v/>
      </c>
      <c r="I6740">
        <f>IF(ROUND(H6740-D6740,2)=0,1,0)</f>
        <v/>
      </c>
      <c r="J6740">
        <f>IF(F6740="","none",IF(G6740=1,"carte","multiple"))</f>
        <v/>
      </c>
    </row>
    <row r="6741">
      <c r="A6741" t="inlineStr">
        <is>
          <t>2022-11-11</t>
        </is>
      </c>
      <c r="B6741" t="inlineStr">
        <is>
          <t>20:08</t>
        </is>
      </c>
      <c r="C6741" t="n">
        <v>3097</v>
      </c>
      <c r="D6741" s="6" t="n">
        <v>6.5</v>
      </c>
      <c r="E6741" t="n">
        <v>43928</v>
      </c>
      <c r="F6741" s="6" t="n">
        <v>6.5</v>
      </c>
      <c r="G6741" t="n">
        <v>1</v>
      </c>
      <c r="H6741" s="6">
        <f>ROUND(G6741*F6741,2)</f>
        <v/>
      </c>
      <c r="I6741">
        <f>IF(ROUND(H6741-D6741,2)=0,1,0)</f>
        <v/>
      </c>
      <c r="J6741">
        <f>IF(F6741="","none",IF(G6741=1,"carte","multiple"))</f>
        <v/>
      </c>
    </row>
    <row r="6742">
      <c r="A6742" t="inlineStr">
        <is>
          <t>2022-11-11</t>
        </is>
      </c>
      <c r="B6742" t="inlineStr">
        <is>
          <t>20:08</t>
        </is>
      </c>
      <c r="C6742" t="n">
        <v>3097</v>
      </c>
      <c r="D6742" s="6" t="n">
        <v>11.4</v>
      </c>
      <c r="E6742" t="n">
        <v>43929</v>
      </c>
      <c r="F6742" s="6" t="n">
        <v>11.4</v>
      </c>
      <c r="G6742" t="n">
        <v>1</v>
      </c>
      <c r="H6742" s="6">
        <f>ROUND(G6742*F6742,2)</f>
        <v/>
      </c>
      <c r="I6742">
        <f>IF(ROUND(H6742-D6742,2)=0,1,0)</f>
        <v/>
      </c>
      <c r="J6742">
        <f>IF(F6742="","none",IF(G6742=1,"carte","multiple"))</f>
        <v/>
      </c>
    </row>
    <row r="6743">
      <c r="A6743" t="inlineStr">
        <is>
          <t>2022-11-12</t>
        </is>
      </c>
      <c r="B6743" t="inlineStr">
        <is>
          <t>11:58</t>
        </is>
      </c>
      <c r="C6743" t="n">
        <v>3098</v>
      </c>
      <c r="D6743" s="6" t="n">
        <v>14.9</v>
      </c>
      <c r="E6743" t="n">
        <v>43932</v>
      </c>
      <c r="F6743" s="6" t="n">
        <v>14.9</v>
      </c>
      <c r="G6743" t="n">
        <v>1</v>
      </c>
      <c r="H6743" s="6">
        <f>ROUND(G6743*F6743,2)</f>
        <v/>
      </c>
      <c r="I6743">
        <f>IF(ROUND(H6743-D6743,2)=0,1,0)</f>
        <v/>
      </c>
      <c r="J6743">
        <f>IF(F6743="","none",IF(G6743=1,"carte","multiple"))</f>
        <v/>
      </c>
    </row>
    <row r="6744">
      <c r="A6744" t="inlineStr">
        <is>
          <t>2022-11-12</t>
        </is>
      </c>
      <c r="B6744" t="inlineStr">
        <is>
          <t>12:33</t>
        </is>
      </c>
      <c r="C6744" t="n">
        <v>3098</v>
      </c>
      <c r="D6744" s="6" t="n">
        <v>3.3</v>
      </c>
      <c r="E6744" t="n">
        <v>43933</v>
      </c>
      <c r="F6744" s="6" t="n">
        <v>3.3</v>
      </c>
      <c r="G6744" t="n">
        <v>1</v>
      </c>
      <c r="H6744" s="6">
        <f>ROUND(G6744*F6744,2)</f>
        <v/>
      </c>
      <c r="I6744">
        <f>IF(ROUND(H6744-D6744,2)=0,1,0)</f>
        <v/>
      </c>
      <c r="J6744">
        <f>IF(F6744="","none",IF(G6744=1,"carte","multiple"))</f>
        <v/>
      </c>
    </row>
    <row r="6745">
      <c r="A6745" t="inlineStr">
        <is>
          <t>2022-11-12</t>
        </is>
      </c>
      <c r="B6745" t="inlineStr">
        <is>
          <t>12:38</t>
        </is>
      </c>
      <c r="C6745" t="n">
        <v>3098</v>
      </c>
      <c r="D6745" s="6" t="n">
        <v>3.9</v>
      </c>
      <c r="E6745" t="n">
        <v>43934</v>
      </c>
      <c r="F6745" s="6" t="n">
        <v>3.9</v>
      </c>
      <c r="G6745" t="n">
        <v>1</v>
      </c>
      <c r="H6745" s="6">
        <f>ROUND(G6745*F6745,2)</f>
        <v/>
      </c>
      <c r="I6745">
        <f>IF(ROUND(H6745-D6745,2)=0,1,0)</f>
        <v/>
      </c>
      <c r="J6745">
        <f>IF(F6745="","none",IF(G6745=1,"carte","multiple"))</f>
        <v/>
      </c>
    </row>
    <row r="6746">
      <c r="A6746" t="inlineStr">
        <is>
          <t>2022-11-12</t>
        </is>
      </c>
      <c r="B6746" t="inlineStr">
        <is>
          <t>13:08</t>
        </is>
      </c>
      <c r="C6746" t="n">
        <v>3098</v>
      </c>
      <c r="D6746" s="6" t="n">
        <v>6.6</v>
      </c>
      <c r="E6746" t="n">
        <v>43935</v>
      </c>
      <c r="F6746" s="6" t="n">
        <v>6.6</v>
      </c>
      <c r="G6746" t="n">
        <v>1</v>
      </c>
      <c r="H6746" s="6">
        <f>ROUND(G6746*F6746,2)</f>
        <v/>
      </c>
      <c r="I6746">
        <f>IF(ROUND(H6746-D6746,2)=0,1,0)</f>
        <v/>
      </c>
      <c r="J6746">
        <f>IF(F6746="","none",IF(G6746=1,"carte","multiple"))</f>
        <v/>
      </c>
    </row>
    <row r="6747">
      <c r="A6747" t="inlineStr">
        <is>
          <t>2022-11-12</t>
        </is>
      </c>
      <c r="B6747" t="inlineStr">
        <is>
          <t>13:08</t>
        </is>
      </c>
      <c r="C6747" t="n">
        <v>3098</v>
      </c>
      <c r="D6747" s="6" t="n">
        <v>170</v>
      </c>
      <c r="E6747" t="n">
        <v>43936</v>
      </c>
      <c r="F6747" s="6" t="n">
        <v>0.4</v>
      </c>
      <c r="G6747" t="n">
        <v>425</v>
      </c>
      <c r="H6747" s="6">
        <f>ROUND(G6747*F6747,2)</f>
        <v/>
      </c>
      <c r="I6747">
        <f>IF(ROUND(H6747-D6747,2)=0,1,0)</f>
        <v/>
      </c>
      <c r="J6747">
        <f>IF(F6747="","none",IF(G6747=1,"carte","multiple"))</f>
        <v/>
      </c>
    </row>
    <row r="6748">
      <c r="A6748" t="inlineStr">
        <is>
          <t>2022-11-12</t>
        </is>
      </c>
      <c r="B6748" t="inlineStr">
        <is>
          <t>13:08</t>
        </is>
      </c>
      <c r="C6748" t="n">
        <v>3098</v>
      </c>
      <c r="D6748" s="6" t="n">
        <v>24</v>
      </c>
      <c r="E6748" t="n">
        <v>43937</v>
      </c>
      <c r="F6748" s="6" t="n">
        <v>24</v>
      </c>
      <c r="G6748" t="n">
        <v>1</v>
      </c>
      <c r="H6748" s="6">
        <f>ROUND(G6748*F6748,2)</f>
        <v/>
      </c>
      <c r="I6748">
        <f>IF(ROUND(H6748-D6748,2)=0,1,0)</f>
        <v/>
      </c>
      <c r="J6748">
        <f>IF(F6748="","none",IF(G6748=1,"carte","multiple"))</f>
        <v/>
      </c>
    </row>
    <row r="6749">
      <c r="A6749" t="inlineStr">
        <is>
          <t>2022-11-12</t>
        </is>
      </c>
      <c r="B6749" t="inlineStr">
        <is>
          <t>13:08</t>
        </is>
      </c>
      <c r="C6749" t="n">
        <v>3098</v>
      </c>
      <c r="D6749" s="6" t="n">
        <v>7.9</v>
      </c>
      <c r="E6749" t="n">
        <v>43938</v>
      </c>
      <c r="F6749" s="6" t="n">
        <v>7.9</v>
      </c>
      <c r="G6749" t="n">
        <v>1</v>
      </c>
      <c r="H6749" s="6">
        <f>ROUND(G6749*F6749,2)</f>
        <v/>
      </c>
      <c r="I6749">
        <f>IF(ROUND(H6749-D6749,2)=0,1,0)</f>
        <v/>
      </c>
      <c r="J6749">
        <f>IF(F6749="","none",IF(G6749=1,"carte","multiple"))</f>
        <v/>
      </c>
    </row>
    <row r="6750">
      <c r="A6750" t="inlineStr">
        <is>
          <t>2022-11-12</t>
        </is>
      </c>
      <c r="B6750" t="inlineStr">
        <is>
          <t>13:08</t>
        </is>
      </c>
      <c r="C6750" t="n">
        <v>3098</v>
      </c>
      <c r="D6750" s="6" t="n">
        <v>20.8</v>
      </c>
      <c r="E6750" t="n">
        <v>43939</v>
      </c>
      <c r="F6750" s="6" t="n">
        <v>0.4</v>
      </c>
      <c r="G6750" t="n">
        <v>52</v>
      </c>
      <c r="H6750" s="6">
        <f>ROUND(G6750*F6750,2)</f>
        <v/>
      </c>
      <c r="I6750">
        <f>IF(ROUND(H6750-D6750,2)=0,1,0)</f>
        <v/>
      </c>
      <c r="J6750">
        <f>IF(F6750="","none",IF(G6750=1,"carte","multiple"))</f>
        <v/>
      </c>
    </row>
    <row r="6751">
      <c r="A6751" t="inlineStr">
        <is>
          <t>2022-11-12</t>
        </is>
      </c>
      <c r="B6751" t="inlineStr">
        <is>
          <t>13:41</t>
        </is>
      </c>
      <c r="C6751" t="n">
        <v>3098</v>
      </c>
      <c r="D6751" s="6" t="n">
        <v>3.9</v>
      </c>
      <c r="E6751" t="n">
        <v>43940</v>
      </c>
      <c r="F6751" s="6" t="n">
        <v>3.9</v>
      </c>
      <c r="G6751" t="n">
        <v>1</v>
      </c>
      <c r="H6751" s="6">
        <f>ROUND(G6751*F6751,2)</f>
        <v/>
      </c>
      <c r="I6751">
        <f>IF(ROUND(H6751-D6751,2)=0,1,0)</f>
        <v/>
      </c>
      <c r="J6751">
        <f>IF(F6751="","none",IF(G6751=1,"carte","multiple"))</f>
        <v/>
      </c>
    </row>
    <row r="6752">
      <c r="A6752" t="inlineStr">
        <is>
          <t>2022-11-12</t>
        </is>
      </c>
      <c r="B6752" t="inlineStr">
        <is>
          <t>13:41</t>
        </is>
      </c>
      <c r="C6752" t="n">
        <v>3098</v>
      </c>
      <c r="D6752" s="6" t="n">
        <v>3.9</v>
      </c>
      <c r="E6752" t="n">
        <v>43941</v>
      </c>
      <c r="F6752" s="6" t="n">
        <v>3.9</v>
      </c>
      <c r="G6752" t="n">
        <v>1</v>
      </c>
      <c r="H6752" s="6">
        <f>ROUND(G6752*F6752,2)</f>
        <v/>
      </c>
      <c r="I6752">
        <f>IF(ROUND(H6752-D6752,2)=0,1,0)</f>
        <v/>
      </c>
      <c r="J6752">
        <f>IF(F6752="","none",IF(G6752=1,"carte","multiple"))</f>
        <v/>
      </c>
    </row>
    <row r="6753">
      <c r="A6753" t="inlineStr">
        <is>
          <t>2022-11-12</t>
        </is>
      </c>
      <c r="B6753" t="inlineStr">
        <is>
          <t>13:41</t>
        </is>
      </c>
      <c r="C6753" t="n">
        <v>3098</v>
      </c>
      <c r="D6753" s="6" t="n">
        <v>7</v>
      </c>
      <c r="E6753" t="n">
        <v>43942</v>
      </c>
      <c r="F6753" s="6" t="n">
        <v>7</v>
      </c>
      <c r="G6753" t="n">
        <v>1</v>
      </c>
      <c r="H6753" s="6">
        <f>ROUND(G6753*F6753,2)</f>
        <v/>
      </c>
      <c r="I6753">
        <f>IF(ROUND(H6753-D6753,2)=0,1,0)</f>
        <v/>
      </c>
      <c r="J6753">
        <f>IF(F6753="","none",IF(G6753=1,"carte","multiple"))</f>
        <v/>
      </c>
    </row>
    <row r="6754">
      <c r="A6754" t="inlineStr">
        <is>
          <t>2022-11-12</t>
        </is>
      </c>
      <c r="B6754" t="inlineStr">
        <is>
          <t>13:41</t>
        </is>
      </c>
      <c r="C6754" t="n">
        <v>3098</v>
      </c>
      <c r="D6754" s="6" t="n">
        <v>34.8</v>
      </c>
      <c r="E6754" t="n">
        <v>43943</v>
      </c>
      <c r="F6754" s="6" t="n">
        <v>34.8</v>
      </c>
      <c r="G6754" t="n">
        <v>1</v>
      </c>
      <c r="H6754" s="6">
        <f>ROUND(G6754*F6754,2)</f>
        <v/>
      </c>
      <c r="I6754">
        <f>IF(ROUND(H6754-D6754,2)=0,1,0)</f>
        <v/>
      </c>
      <c r="J6754">
        <f>IF(F6754="","none",IF(G6754=1,"carte","multiple"))</f>
        <v/>
      </c>
    </row>
    <row r="6755">
      <c r="A6755" t="inlineStr">
        <is>
          <t>2022-11-12</t>
        </is>
      </c>
      <c r="B6755" t="inlineStr">
        <is>
          <t>13:41</t>
        </is>
      </c>
      <c r="C6755" t="n">
        <v>3098</v>
      </c>
      <c r="D6755" s="6" t="n">
        <v>25</v>
      </c>
      <c r="E6755" t="n">
        <v>43944</v>
      </c>
      <c r="F6755" s="6" t="n">
        <v>25</v>
      </c>
      <c r="G6755" t="n">
        <v>1</v>
      </c>
      <c r="H6755" s="6">
        <f>ROUND(G6755*F6755,2)</f>
        <v/>
      </c>
      <c r="I6755">
        <f>IF(ROUND(H6755-D6755,2)=0,1,0)</f>
        <v/>
      </c>
      <c r="J6755">
        <f>IF(F6755="","none",IF(G6755=1,"carte","multiple"))</f>
        <v/>
      </c>
    </row>
    <row r="6756">
      <c r="A6756" t="inlineStr">
        <is>
          <t>2022-11-12</t>
        </is>
      </c>
      <c r="B6756" t="inlineStr">
        <is>
          <t>17:55</t>
        </is>
      </c>
      <c r="C6756" t="n">
        <v>3098</v>
      </c>
      <c r="D6756" s="6" t="n">
        <v>1.8</v>
      </c>
      <c r="E6756" t="n">
        <v>43946</v>
      </c>
      <c r="F6756" s="6" t="n">
        <v>1.8</v>
      </c>
      <c r="G6756" t="n">
        <v>1</v>
      </c>
      <c r="H6756" s="6">
        <f>ROUND(G6756*F6756,2)</f>
        <v/>
      </c>
      <c r="I6756">
        <f>IF(ROUND(H6756-D6756,2)=0,1,0)</f>
        <v/>
      </c>
      <c r="J6756">
        <f>IF(F6756="","none",IF(G6756=1,"carte","multiple"))</f>
        <v/>
      </c>
    </row>
    <row r="6757">
      <c r="A6757" t="inlineStr">
        <is>
          <t>2022-11-12</t>
        </is>
      </c>
      <c r="B6757" t="inlineStr">
        <is>
          <t>17:55</t>
        </is>
      </c>
      <c r="C6757" t="n">
        <v>3098</v>
      </c>
      <c r="D6757" s="6" t="n">
        <v>16.4</v>
      </c>
      <c r="E6757" t="n">
        <v>43947</v>
      </c>
      <c r="F6757" s="6" t="n">
        <v>16.4</v>
      </c>
      <c r="G6757" t="n">
        <v>1</v>
      </c>
      <c r="H6757" s="6">
        <f>ROUND(G6757*F6757,2)</f>
        <v/>
      </c>
      <c r="I6757">
        <f>IF(ROUND(H6757-D6757,2)=0,1,0)</f>
        <v/>
      </c>
      <c r="J6757">
        <f>IF(F6757="","none",IF(G6757=1,"carte","multiple"))</f>
        <v/>
      </c>
    </row>
    <row r="6758">
      <c r="A6758" t="inlineStr">
        <is>
          <t>2022-11-12</t>
        </is>
      </c>
      <c r="B6758" t="inlineStr">
        <is>
          <t>18:54</t>
        </is>
      </c>
      <c r="C6758" t="n">
        <v>3098</v>
      </c>
      <c r="D6758" s="6" t="n">
        <v>3.7</v>
      </c>
      <c r="E6758" t="n">
        <v>43948</v>
      </c>
      <c r="F6758" s="6" t="n">
        <v>3.7</v>
      </c>
      <c r="G6758" t="n">
        <v>1</v>
      </c>
      <c r="H6758" s="6">
        <f>ROUND(G6758*F6758,2)</f>
        <v/>
      </c>
      <c r="I6758">
        <f>IF(ROUND(H6758-D6758,2)=0,1,0)</f>
        <v/>
      </c>
      <c r="J6758">
        <f>IF(F6758="","none",IF(G6758=1,"carte","multiple"))</f>
        <v/>
      </c>
    </row>
    <row r="6759">
      <c r="A6759" t="inlineStr">
        <is>
          <t>2022-11-12</t>
        </is>
      </c>
      <c r="B6759" t="inlineStr">
        <is>
          <t>18:54</t>
        </is>
      </c>
      <c r="C6759" t="n">
        <v>3098</v>
      </c>
      <c r="D6759" s="6" t="n">
        <v>4.7</v>
      </c>
      <c r="E6759" t="n">
        <v>43949</v>
      </c>
      <c r="F6759" s="6" t="n">
        <v>4.7</v>
      </c>
      <c r="G6759" t="n">
        <v>1</v>
      </c>
      <c r="H6759" s="6">
        <f>ROUND(G6759*F6759,2)</f>
        <v/>
      </c>
      <c r="I6759">
        <f>IF(ROUND(H6759-D6759,2)=0,1,0)</f>
        <v/>
      </c>
      <c r="J6759">
        <f>IF(F6759="","none",IF(G6759=1,"carte","multiple"))</f>
        <v/>
      </c>
    </row>
    <row r="6760">
      <c r="A6760" t="inlineStr">
        <is>
          <t>2022-11-12</t>
        </is>
      </c>
      <c r="B6760" t="inlineStr">
        <is>
          <t>18:54</t>
        </is>
      </c>
      <c r="C6760" t="n">
        <v>3098</v>
      </c>
      <c r="D6760" s="6" t="n">
        <v>8.699999999999999</v>
      </c>
      <c r="E6760" t="n">
        <v>43950</v>
      </c>
      <c r="F6760" s="6" t="n">
        <v>8.699999999999999</v>
      </c>
      <c r="G6760" t="n">
        <v>1</v>
      </c>
      <c r="H6760" s="6">
        <f>ROUND(G6760*F6760,2)</f>
        <v/>
      </c>
      <c r="I6760">
        <f>IF(ROUND(H6760-D6760,2)=0,1,0)</f>
        <v/>
      </c>
      <c r="J6760">
        <f>IF(F6760="","none",IF(G6760=1,"carte","multiple"))</f>
        <v/>
      </c>
    </row>
    <row r="6761">
      <c r="A6761" t="inlineStr">
        <is>
          <t>2022-11-12</t>
        </is>
      </c>
      <c r="B6761" t="inlineStr">
        <is>
          <t>18:54</t>
        </is>
      </c>
      <c r="C6761" t="n">
        <v>3098</v>
      </c>
      <c r="D6761" s="6" t="n">
        <v>21.6</v>
      </c>
      <c r="E6761" t="n">
        <v>43951</v>
      </c>
      <c r="F6761" s="6" t="n">
        <v>21.6</v>
      </c>
      <c r="G6761" t="n">
        <v>1</v>
      </c>
      <c r="H6761" s="6">
        <f>ROUND(G6761*F6761,2)</f>
        <v/>
      </c>
      <c r="I6761">
        <f>IF(ROUND(H6761-D6761,2)=0,1,0)</f>
        <v/>
      </c>
      <c r="J6761">
        <f>IF(F6761="","none",IF(G6761=1,"carte","multiple"))</f>
        <v/>
      </c>
    </row>
    <row r="6762">
      <c r="A6762" t="inlineStr">
        <is>
          <t>2022-11-12</t>
        </is>
      </c>
      <c r="B6762" t="inlineStr">
        <is>
          <t>18:54</t>
        </is>
      </c>
      <c r="C6762" t="n">
        <v>3098</v>
      </c>
      <c r="D6762" s="6" t="n">
        <v>19</v>
      </c>
      <c r="E6762" t="n">
        <v>43952</v>
      </c>
      <c r="F6762" s="6" t="n">
        <v>19</v>
      </c>
      <c r="G6762" t="n">
        <v>1</v>
      </c>
      <c r="H6762" s="6">
        <f>ROUND(G6762*F6762,2)</f>
        <v/>
      </c>
      <c r="I6762">
        <f>IF(ROUND(H6762-D6762,2)=0,1,0)</f>
        <v/>
      </c>
      <c r="J6762">
        <f>IF(F6762="","none",IF(G6762=1,"carte","multiple"))</f>
        <v/>
      </c>
    </row>
    <row r="6763">
      <c r="A6763" t="inlineStr">
        <is>
          <t>2022-11-12</t>
        </is>
      </c>
      <c r="B6763" t="inlineStr">
        <is>
          <t>18:54</t>
        </is>
      </c>
      <c r="C6763" t="n">
        <v>3098</v>
      </c>
      <c r="D6763" s="6" t="n">
        <v>5.9</v>
      </c>
      <c r="E6763" t="n">
        <v>43953</v>
      </c>
      <c r="F6763" s="6" t="n">
        <v>5.9</v>
      </c>
      <c r="G6763" t="n">
        <v>1</v>
      </c>
      <c r="H6763" s="6">
        <f>ROUND(G6763*F6763,2)</f>
        <v/>
      </c>
      <c r="I6763">
        <f>IF(ROUND(H6763-D6763,2)=0,1,0)</f>
        <v/>
      </c>
      <c r="J6763">
        <f>IF(F6763="","none",IF(G6763=1,"carte","multiple"))</f>
        <v/>
      </c>
    </row>
    <row r="6764">
      <c r="A6764" t="inlineStr">
        <is>
          <t>2022-11-12</t>
        </is>
      </c>
      <c r="B6764" t="inlineStr">
        <is>
          <t>18:54</t>
        </is>
      </c>
      <c r="C6764" t="n">
        <v>3098</v>
      </c>
      <c r="D6764" s="6" t="n">
        <v>5.9</v>
      </c>
      <c r="E6764" t="n">
        <v>43954</v>
      </c>
      <c r="F6764" s="6" t="n">
        <v>5.9</v>
      </c>
      <c r="G6764" t="n">
        <v>1</v>
      </c>
      <c r="H6764" s="6">
        <f>ROUND(G6764*F6764,2)</f>
        <v/>
      </c>
      <c r="I6764">
        <f>IF(ROUND(H6764-D6764,2)=0,1,0)</f>
        <v/>
      </c>
      <c r="J6764">
        <f>IF(F6764="","none",IF(G6764=1,"carte","multiple"))</f>
        <v/>
      </c>
    </row>
    <row r="6765">
      <c r="A6765" t="inlineStr">
        <is>
          <t>2022-11-12</t>
        </is>
      </c>
      <c r="B6765" t="inlineStr">
        <is>
          <t>18:54</t>
        </is>
      </c>
      <c r="C6765" t="n">
        <v>3098</v>
      </c>
      <c r="D6765" s="6" t="n">
        <v>5.2</v>
      </c>
      <c r="E6765" t="n">
        <v>43955</v>
      </c>
      <c r="F6765" s="6" t="n">
        <v>5.2</v>
      </c>
      <c r="G6765" t="n">
        <v>1</v>
      </c>
      <c r="H6765" s="6">
        <f>ROUND(G6765*F6765,2)</f>
        <v/>
      </c>
      <c r="I6765">
        <f>IF(ROUND(H6765-D6765,2)=0,1,0)</f>
        <v/>
      </c>
      <c r="J6765">
        <f>IF(F6765="","none",IF(G6765=1,"carte","multiple"))</f>
        <v/>
      </c>
    </row>
    <row r="6766">
      <c r="A6766" t="inlineStr">
        <is>
          <t>2022-11-12</t>
        </is>
      </c>
      <c r="B6766" t="inlineStr">
        <is>
          <t>18:59</t>
        </is>
      </c>
      <c r="C6766" t="n">
        <v>3098</v>
      </c>
      <c r="D6766" s="6" t="n">
        <v>3.9</v>
      </c>
      <c r="E6766" t="n">
        <v>43956</v>
      </c>
      <c r="F6766" s="6" t="n">
        <v>3.9</v>
      </c>
      <c r="G6766" t="n">
        <v>1</v>
      </c>
      <c r="H6766" s="6">
        <f>ROUND(G6766*F6766,2)</f>
        <v/>
      </c>
      <c r="I6766">
        <f>IF(ROUND(H6766-D6766,2)=0,1,0)</f>
        <v/>
      </c>
      <c r="J6766">
        <f>IF(F6766="","none",IF(G6766=1,"carte","multiple"))</f>
        <v/>
      </c>
    </row>
    <row r="6767">
      <c r="A6767" t="inlineStr">
        <is>
          <t>2022-11-12</t>
        </is>
      </c>
      <c r="B6767" t="inlineStr">
        <is>
          <t>18:59</t>
        </is>
      </c>
      <c r="C6767" t="n">
        <v>3098</v>
      </c>
      <c r="D6767" s="6" t="n">
        <v>9.9</v>
      </c>
      <c r="E6767" t="n">
        <v>43957</v>
      </c>
      <c r="F6767" s="6" t="n">
        <v>9.9</v>
      </c>
      <c r="G6767" t="n">
        <v>1</v>
      </c>
      <c r="H6767" s="6">
        <f>ROUND(G6767*F6767,2)</f>
        <v/>
      </c>
      <c r="I6767">
        <f>IF(ROUND(H6767-D6767,2)=0,1,0)</f>
        <v/>
      </c>
      <c r="J6767">
        <f>IF(F6767="","none",IF(G6767=1,"carte","multiple"))</f>
        <v/>
      </c>
    </row>
    <row r="6768">
      <c r="A6768" t="inlineStr">
        <is>
          <t>2022-11-12</t>
        </is>
      </c>
      <c r="B6768" t="inlineStr">
        <is>
          <t>18:59</t>
        </is>
      </c>
      <c r="C6768" t="n">
        <v>3098</v>
      </c>
      <c r="D6768" s="6" t="n">
        <v>18.6</v>
      </c>
      <c r="E6768" t="n">
        <v>43958</v>
      </c>
      <c r="F6768" s="6" t="n">
        <v>18.6</v>
      </c>
      <c r="G6768" t="n">
        <v>1</v>
      </c>
      <c r="H6768" s="6">
        <f>ROUND(G6768*F6768,2)</f>
        <v/>
      </c>
      <c r="I6768">
        <f>IF(ROUND(H6768-D6768,2)=0,1,0)</f>
        <v/>
      </c>
      <c r="J6768">
        <f>IF(F6768="","none",IF(G6768=1,"carte","multiple"))</f>
        <v/>
      </c>
    </row>
    <row r="6769">
      <c r="A6769" t="inlineStr">
        <is>
          <t>2022-11-12</t>
        </is>
      </c>
      <c r="B6769" t="inlineStr">
        <is>
          <t>18:59</t>
        </is>
      </c>
      <c r="C6769" t="n">
        <v>3098</v>
      </c>
      <c r="D6769" s="6" t="n">
        <v>21.6</v>
      </c>
      <c r="E6769" t="n">
        <v>43959</v>
      </c>
      <c r="F6769" s="6" t="n">
        <v>21.6</v>
      </c>
      <c r="G6769" t="n">
        <v>1</v>
      </c>
      <c r="H6769" s="6">
        <f>ROUND(G6769*F6769,2)</f>
        <v/>
      </c>
      <c r="I6769">
        <f>IF(ROUND(H6769-D6769,2)=0,1,0)</f>
        <v/>
      </c>
      <c r="J6769">
        <f>IF(F6769="","none",IF(G6769=1,"carte","multiple"))</f>
        <v/>
      </c>
    </row>
    <row r="6770">
      <c r="A6770" t="inlineStr">
        <is>
          <t>2022-11-12</t>
        </is>
      </c>
      <c r="B6770" t="inlineStr">
        <is>
          <t>18:59</t>
        </is>
      </c>
      <c r="C6770" t="n">
        <v>3098</v>
      </c>
      <c r="D6770" s="6" t="n">
        <v>14</v>
      </c>
      <c r="E6770" t="n">
        <v>43960</v>
      </c>
      <c r="F6770" s="6" t="n">
        <v>14</v>
      </c>
      <c r="G6770" t="n">
        <v>1</v>
      </c>
      <c r="H6770" s="6">
        <f>ROUND(G6770*F6770,2)</f>
        <v/>
      </c>
      <c r="I6770">
        <f>IF(ROUND(H6770-D6770,2)=0,1,0)</f>
        <v/>
      </c>
      <c r="J6770">
        <f>IF(F6770="","none",IF(G6770=1,"carte","multiple"))</f>
        <v/>
      </c>
    </row>
    <row r="6771">
      <c r="A6771" t="inlineStr">
        <is>
          <t>2022-11-12</t>
        </is>
      </c>
      <c r="B6771" t="inlineStr">
        <is>
          <t>19:25</t>
        </is>
      </c>
      <c r="C6771" t="n">
        <v>3098</v>
      </c>
      <c r="D6771" s="6" t="n">
        <v>2.2</v>
      </c>
      <c r="E6771" t="n">
        <v>43961</v>
      </c>
      <c r="F6771" s="6" t="n">
        <v>2.2</v>
      </c>
      <c r="G6771" t="n">
        <v>1</v>
      </c>
      <c r="H6771" s="6">
        <f>ROUND(G6771*F6771,2)</f>
        <v/>
      </c>
      <c r="I6771">
        <f>IF(ROUND(H6771-D6771,2)=0,1,0)</f>
        <v/>
      </c>
      <c r="J6771">
        <f>IF(F6771="","none",IF(G6771=1,"carte","multiple"))</f>
        <v/>
      </c>
    </row>
    <row r="6772">
      <c r="A6772" t="inlineStr">
        <is>
          <t>2022-11-12</t>
        </is>
      </c>
      <c r="B6772" t="inlineStr">
        <is>
          <t>19:25</t>
        </is>
      </c>
      <c r="C6772" t="n">
        <v>3098</v>
      </c>
      <c r="D6772" s="6" t="n">
        <v>18.6</v>
      </c>
      <c r="E6772" t="n">
        <v>43962</v>
      </c>
      <c r="F6772" s="6" t="n">
        <v>18.6</v>
      </c>
      <c r="G6772" t="n">
        <v>1</v>
      </c>
      <c r="H6772" s="6">
        <f>ROUND(G6772*F6772,2)</f>
        <v/>
      </c>
      <c r="I6772">
        <f>IF(ROUND(H6772-D6772,2)=0,1,0)</f>
        <v/>
      </c>
      <c r="J6772">
        <f>IF(F6772="","none",IF(G6772=1,"carte","multiple"))</f>
        <v/>
      </c>
    </row>
    <row r="6773">
      <c r="A6773" t="inlineStr">
        <is>
          <t>2022-11-12</t>
        </is>
      </c>
      <c r="B6773" t="inlineStr">
        <is>
          <t>19:25</t>
        </is>
      </c>
      <c r="C6773" t="n">
        <v>3098</v>
      </c>
      <c r="D6773" s="6" t="n">
        <v>17</v>
      </c>
      <c r="E6773" t="n">
        <v>43963</v>
      </c>
      <c r="F6773" s="6" t="n">
        <v>17</v>
      </c>
      <c r="G6773" t="n">
        <v>1</v>
      </c>
      <c r="H6773" s="6">
        <f>ROUND(G6773*F6773,2)</f>
        <v/>
      </c>
      <c r="I6773">
        <f>IF(ROUND(H6773-D6773,2)=0,1,0)</f>
        <v/>
      </c>
      <c r="J6773">
        <f>IF(F6773="","none",IF(G6773=1,"carte","multiple"))</f>
        <v/>
      </c>
    </row>
    <row r="6774">
      <c r="A6774" t="inlineStr">
        <is>
          <t>2022-11-12</t>
        </is>
      </c>
      <c r="B6774" t="inlineStr">
        <is>
          <t>19:25</t>
        </is>
      </c>
      <c r="C6774" t="n">
        <v>3098</v>
      </c>
      <c r="D6774" s="6" t="n">
        <v>3.9</v>
      </c>
      <c r="E6774" t="n">
        <v>43964</v>
      </c>
      <c r="F6774" s="6" t="n">
        <v>3.9</v>
      </c>
      <c r="G6774" t="n">
        <v>1</v>
      </c>
      <c r="H6774" s="6">
        <f>ROUND(G6774*F6774,2)</f>
        <v/>
      </c>
      <c r="I6774">
        <f>IF(ROUND(H6774-D6774,2)=0,1,0)</f>
        <v/>
      </c>
      <c r="J6774">
        <f>IF(F6774="","none",IF(G6774=1,"carte","multiple"))</f>
        <v/>
      </c>
    </row>
    <row r="6775">
      <c r="A6775" t="inlineStr">
        <is>
          <t>2022-11-12</t>
        </is>
      </c>
      <c r="B6775" t="inlineStr">
        <is>
          <t>19:25</t>
        </is>
      </c>
      <c r="C6775" t="n">
        <v>3098</v>
      </c>
      <c r="D6775" s="6" t="n">
        <v>3.9</v>
      </c>
      <c r="E6775" t="n">
        <v>43965</v>
      </c>
      <c r="F6775" s="6" t="n">
        <v>3.9</v>
      </c>
      <c r="G6775" t="n">
        <v>1</v>
      </c>
      <c r="H6775" s="6">
        <f>ROUND(G6775*F6775,2)</f>
        <v/>
      </c>
      <c r="I6775">
        <f>IF(ROUND(H6775-D6775,2)=0,1,0)</f>
        <v/>
      </c>
      <c r="J6775">
        <f>IF(F6775="","none",IF(G6775=1,"carte","multiple"))</f>
        <v/>
      </c>
    </row>
    <row r="6776">
      <c r="A6776" t="inlineStr">
        <is>
          <t>2022-11-12</t>
        </is>
      </c>
      <c r="B6776" t="inlineStr">
        <is>
          <t>20:01</t>
        </is>
      </c>
      <c r="C6776" t="n">
        <v>3098</v>
      </c>
      <c r="D6776" s="6" t="n">
        <v>3.9</v>
      </c>
      <c r="E6776" t="n">
        <v>43966</v>
      </c>
      <c r="F6776" s="6" t="n">
        <v>3.9</v>
      </c>
      <c r="G6776" t="n">
        <v>1</v>
      </c>
      <c r="H6776" s="6">
        <f>ROUND(G6776*F6776,2)</f>
        <v/>
      </c>
      <c r="I6776">
        <f>IF(ROUND(H6776-D6776,2)=0,1,0)</f>
        <v/>
      </c>
      <c r="J6776">
        <f>IF(F6776="","none",IF(G6776=1,"carte","multiple"))</f>
        <v/>
      </c>
    </row>
    <row r="6777">
      <c r="A6777" t="inlineStr">
        <is>
          <t>2022-11-12</t>
        </is>
      </c>
      <c r="B6777" t="inlineStr">
        <is>
          <t>20:01</t>
        </is>
      </c>
      <c r="C6777" t="n">
        <v>3098</v>
      </c>
      <c r="D6777" s="6" t="n">
        <v>3.9</v>
      </c>
      <c r="E6777" t="n">
        <v>43967</v>
      </c>
      <c r="F6777" s="6" t="n">
        <v>3.9</v>
      </c>
      <c r="G6777" t="n">
        <v>1</v>
      </c>
      <c r="H6777" s="6">
        <f>ROUND(G6777*F6777,2)</f>
        <v/>
      </c>
      <c r="I6777">
        <f>IF(ROUND(H6777-D6777,2)=0,1,0)</f>
        <v/>
      </c>
      <c r="J6777">
        <f>IF(F6777="","none",IF(G6777=1,"carte","multiple"))</f>
        <v/>
      </c>
    </row>
    <row r="6778">
      <c r="A6778" t="inlineStr">
        <is>
          <t>2022-11-12</t>
        </is>
      </c>
      <c r="B6778" t="inlineStr">
        <is>
          <t>20:01</t>
        </is>
      </c>
      <c r="C6778" t="n">
        <v>3098</v>
      </c>
      <c r="D6778" s="6" t="n">
        <v>10.9</v>
      </c>
      <c r="E6778" t="n">
        <v>43968</v>
      </c>
      <c r="F6778" s="6" t="n">
        <v>10.9</v>
      </c>
      <c r="G6778" t="n">
        <v>1</v>
      </c>
      <c r="H6778" s="6">
        <f>ROUND(G6778*F6778,2)</f>
        <v/>
      </c>
      <c r="I6778">
        <f>IF(ROUND(H6778-D6778,2)=0,1,0)</f>
        <v/>
      </c>
      <c r="J6778">
        <f>IF(F6778="","none",IF(G6778=1,"carte","multiple"))</f>
        <v/>
      </c>
    </row>
    <row r="6779">
      <c r="A6779" t="inlineStr">
        <is>
          <t>2022-11-12</t>
        </is>
      </c>
      <c r="B6779" t="inlineStr">
        <is>
          <t>20:01</t>
        </is>
      </c>
      <c r="C6779" t="n">
        <v>3098</v>
      </c>
      <c r="D6779" s="6" t="n">
        <v>39.8</v>
      </c>
      <c r="E6779" t="n">
        <v>43969</v>
      </c>
      <c r="F6779" s="6" t="n">
        <v>39.8</v>
      </c>
      <c r="G6779" t="n">
        <v>1</v>
      </c>
      <c r="H6779" s="6">
        <f>ROUND(G6779*F6779,2)</f>
        <v/>
      </c>
      <c r="I6779">
        <f>IF(ROUND(H6779-D6779,2)=0,1,0)</f>
        <v/>
      </c>
      <c r="J6779">
        <f>IF(F6779="","none",IF(G6779=1,"carte","multiple"))</f>
        <v/>
      </c>
    </row>
    <row r="6780">
      <c r="A6780" t="inlineStr">
        <is>
          <t>2022-11-12</t>
        </is>
      </c>
      <c r="B6780" t="inlineStr">
        <is>
          <t>20:04</t>
        </is>
      </c>
      <c r="C6780" t="n">
        <v>3098</v>
      </c>
      <c r="D6780" s="6" t="n">
        <v>2.2</v>
      </c>
      <c r="E6780" t="n">
        <v>43970</v>
      </c>
      <c r="F6780" s="6" t="n">
        <v>2.2</v>
      </c>
      <c r="G6780" t="n">
        <v>1</v>
      </c>
      <c r="H6780" s="6">
        <f>ROUND(G6780*F6780,2)</f>
        <v/>
      </c>
      <c r="I6780">
        <f>IF(ROUND(H6780-D6780,2)=0,1,0)</f>
        <v/>
      </c>
      <c r="J6780">
        <f>IF(F6780="","none",IF(G6780=1,"carte","multiple"))</f>
        <v/>
      </c>
    </row>
    <row r="6781">
      <c r="A6781" t="inlineStr">
        <is>
          <t>2022-11-12</t>
        </is>
      </c>
      <c r="B6781" t="inlineStr">
        <is>
          <t>20:04</t>
        </is>
      </c>
      <c r="C6781" t="n">
        <v>3098</v>
      </c>
      <c r="D6781" s="6" t="n">
        <v>1.2</v>
      </c>
      <c r="E6781" t="n">
        <v>43971</v>
      </c>
      <c r="F6781" s="6" t="n">
        <v>1.2</v>
      </c>
      <c r="G6781" t="n">
        <v>1</v>
      </c>
      <c r="H6781" s="6">
        <f>ROUND(G6781*F6781,2)</f>
        <v/>
      </c>
      <c r="I6781">
        <f>IF(ROUND(H6781-D6781,2)=0,1,0)</f>
        <v/>
      </c>
      <c r="J6781">
        <f>IF(F6781="","none",IF(G6781=1,"carte","multiple"))</f>
        <v/>
      </c>
    </row>
    <row r="6782">
      <c r="A6782" t="inlineStr">
        <is>
          <t>2022-11-12</t>
        </is>
      </c>
      <c r="B6782" t="inlineStr">
        <is>
          <t>20:04</t>
        </is>
      </c>
      <c r="C6782" t="n">
        <v>3098</v>
      </c>
      <c r="D6782" s="6" t="n">
        <v>13.8</v>
      </c>
      <c r="E6782" t="n">
        <v>43972</v>
      </c>
      <c r="F6782" s="6" t="n">
        <v>4.6</v>
      </c>
      <c r="G6782" t="n">
        <v>3</v>
      </c>
      <c r="H6782" s="6">
        <f>ROUND(G6782*F6782,2)</f>
        <v/>
      </c>
      <c r="I6782">
        <f>IF(ROUND(H6782-D6782,2)=0,1,0)</f>
        <v/>
      </c>
      <c r="J6782">
        <f>IF(F6782="","none",IF(G6782=1,"carte","multiple"))</f>
        <v/>
      </c>
    </row>
    <row r="6783">
      <c r="A6783" t="inlineStr">
        <is>
          <t>2022-11-12</t>
        </is>
      </c>
      <c r="B6783" t="inlineStr">
        <is>
          <t>20:04</t>
        </is>
      </c>
      <c r="C6783" t="n">
        <v>3098</v>
      </c>
      <c r="D6783" s="6" t="n">
        <v>4.7</v>
      </c>
      <c r="E6783" t="n">
        <v>43973</v>
      </c>
      <c r="F6783" s="6" t="n">
        <v>4.7</v>
      </c>
      <c r="G6783" t="n">
        <v>1</v>
      </c>
      <c r="H6783" s="6">
        <f>ROUND(G6783*F6783,2)</f>
        <v/>
      </c>
      <c r="I6783">
        <f>IF(ROUND(H6783-D6783,2)=0,1,0)</f>
        <v/>
      </c>
      <c r="J6783">
        <f>IF(F6783="","none",IF(G6783=1,"carte","multiple"))</f>
        <v/>
      </c>
    </row>
    <row r="6784">
      <c r="A6784" t="inlineStr">
        <is>
          <t>2022-11-13</t>
        </is>
      </c>
      <c r="B6784" t="inlineStr">
        <is>
          <t>10:47</t>
        </is>
      </c>
      <c r="C6784" t="n">
        <v>3099</v>
      </c>
      <c r="D6784" s="6" t="n">
        <v>8.9</v>
      </c>
      <c r="E6784" t="n">
        <v>43976</v>
      </c>
      <c r="F6784" s="6" t="n">
        <v>8.9</v>
      </c>
      <c r="G6784" t="n">
        <v>1</v>
      </c>
      <c r="H6784" s="6">
        <f>ROUND(G6784*F6784,2)</f>
        <v/>
      </c>
      <c r="I6784">
        <f>IF(ROUND(H6784-D6784,2)=0,1,0)</f>
        <v/>
      </c>
      <c r="J6784">
        <f>IF(F6784="","none",IF(G6784=1,"carte","multiple"))</f>
        <v/>
      </c>
    </row>
    <row r="6785">
      <c r="A6785" t="inlineStr">
        <is>
          <t>2022-11-13</t>
        </is>
      </c>
      <c r="B6785" t="inlineStr">
        <is>
          <t>11:07</t>
        </is>
      </c>
      <c r="C6785" t="n">
        <v>3099</v>
      </c>
      <c r="D6785" s="6" t="n">
        <v>6.5</v>
      </c>
      <c r="E6785" t="n">
        <v>43977</v>
      </c>
      <c r="F6785" s="6" t="n">
        <v>6.5</v>
      </c>
      <c r="G6785" t="n">
        <v>1</v>
      </c>
      <c r="H6785" s="6">
        <f>ROUND(G6785*F6785,2)</f>
        <v/>
      </c>
      <c r="I6785">
        <f>IF(ROUND(H6785-D6785,2)=0,1,0)</f>
        <v/>
      </c>
      <c r="J6785">
        <f>IF(F6785="","none",IF(G6785=1,"carte","multiple"))</f>
        <v/>
      </c>
    </row>
    <row r="6786">
      <c r="A6786" t="inlineStr">
        <is>
          <t>2022-11-13</t>
        </is>
      </c>
      <c r="B6786" t="inlineStr">
        <is>
          <t>11:41</t>
        </is>
      </c>
      <c r="C6786" t="n">
        <v>3099</v>
      </c>
      <c r="D6786" s="6" t="n">
        <v>18.6</v>
      </c>
      <c r="E6786" t="n">
        <v>43978</v>
      </c>
      <c r="F6786" s="6" t="n">
        <v>18.6</v>
      </c>
      <c r="G6786" t="n">
        <v>1</v>
      </c>
      <c r="H6786" s="6">
        <f>ROUND(G6786*F6786,2)</f>
        <v/>
      </c>
      <c r="I6786">
        <f>IF(ROUND(H6786-D6786,2)=0,1,0)</f>
        <v/>
      </c>
      <c r="J6786">
        <f>IF(F6786="","none",IF(G6786=1,"carte","multiple"))</f>
        <v/>
      </c>
    </row>
    <row r="6787">
      <c r="A6787" t="inlineStr">
        <is>
          <t>2022-11-13</t>
        </is>
      </c>
      <c r="B6787" t="inlineStr">
        <is>
          <t>11:48</t>
        </is>
      </c>
      <c r="C6787" t="n">
        <v>3099</v>
      </c>
      <c r="D6787" s="6" t="n">
        <v>3.9</v>
      </c>
      <c r="E6787" t="n">
        <v>43979</v>
      </c>
      <c r="F6787" s="6" t="n">
        <v>3.9</v>
      </c>
      <c r="G6787" t="n">
        <v>1</v>
      </c>
      <c r="H6787" s="6">
        <f>ROUND(G6787*F6787,2)</f>
        <v/>
      </c>
      <c r="I6787">
        <f>IF(ROUND(H6787-D6787,2)=0,1,0)</f>
        <v/>
      </c>
      <c r="J6787">
        <f>IF(F6787="","none",IF(G6787=1,"carte","multiple"))</f>
        <v/>
      </c>
    </row>
    <row r="6788">
      <c r="A6788" t="inlineStr">
        <is>
          <t>2022-11-13</t>
        </is>
      </c>
      <c r="B6788" t="inlineStr">
        <is>
          <t>12:02</t>
        </is>
      </c>
      <c r="C6788" t="n">
        <v>3099</v>
      </c>
      <c r="D6788" s="6" t="n">
        <v>5.2</v>
      </c>
      <c r="E6788" t="n">
        <v>43980</v>
      </c>
      <c r="F6788" s="6" t="n">
        <v>5.2</v>
      </c>
      <c r="G6788" t="n">
        <v>1</v>
      </c>
      <c r="H6788" s="6">
        <f>ROUND(G6788*F6788,2)</f>
        <v/>
      </c>
      <c r="I6788">
        <f>IF(ROUND(H6788-D6788,2)=0,1,0)</f>
        <v/>
      </c>
      <c r="J6788">
        <f>IF(F6788="","none",IF(G6788=1,"carte","multiple"))</f>
        <v/>
      </c>
    </row>
    <row r="6789">
      <c r="A6789" t="inlineStr">
        <is>
          <t>2022-11-13</t>
        </is>
      </c>
      <c r="B6789" t="inlineStr">
        <is>
          <t>12:10</t>
        </is>
      </c>
      <c r="C6789" t="n">
        <v>3099</v>
      </c>
      <c r="D6789" s="6" t="n">
        <v>7.2</v>
      </c>
      <c r="E6789" t="n">
        <v>43981</v>
      </c>
      <c r="F6789" s="6" t="n">
        <v>7.2</v>
      </c>
      <c r="G6789" t="n">
        <v>1</v>
      </c>
      <c r="H6789" s="6">
        <f>ROUND(G6789*F6789,2)</f>
        <v/>
      </c>
      <c r="I6789">
        <f>IF(ROUND(H6789-D6789,2)=0,1,0)</f>
        <v/>
      </c>
      <c r="J6789">
        <f>IF(F6789="","none",IF(G6789=1,"carte","multiple"))</f>
        <v/>
      </c>
    </row>
    <row r="6790">
      <c r="A6790" t="inlineStr">
        <is>
          <t>2022-11-13</t>
        </is>
      </c>
      <c r="B6790" t="inlineStr">
        <is>
          <t>12:10</t>
        </is>
      </c>
      <c r="C6790" t="n">
        <v>3099</v>
      </c>
      <c r="D6790" s="6" t="n">
        <v>2.2</v>
      </c>
      <c r="E6790" t="n">
        <v>43982</v>
      </c>
      <c r="F6790" s="6" t="n">
        <v>2.2</v>
      </c>
      <c r="G6790" t="n">
        <v>1</v>
      </c>
      <c r="H6790" s="6">
        <f>ROUND(G6790*F6790,2)</f>
        <v/>
      </c>
      <c r="I6790">
        <f>IF(ROUND(H6790-D6790,2)=0,1,0)</f>
        <v/>
      </c>
      <c r="J6790">
        <f>IF(F6790="","none",IF(G6790=1,"carte","multiple"))</f>
        <v/>
      </c>
    </row>
    <row r="6791">
      <c r="A6791" t="inlineStr">
        <is>
          <t>2022-11-13</t>
        </is>
      </c>
      <c r="B6791" t="inlineStr">
        <is>
          <t>12:10</t>
        </is>
      </c>
      <c r="C6791" t="n">
        <v>3099</v>
      </c>
      <c r="D6791" s="6" t="n">
        <v>8.699999999999999</v>
      </c>
      <c r="E6791" t="n">
        <v>43983</v>
      </c>
      <c r="F6791" s="6" t="n">
        <v>8.699999999999999</v>
      </c>
      <c r="G6791" t="n">
        <v>1</v>
      </c>
      <c r="H6791" s="6">
        <f>ROUND(G6791*F6791,2)</f>
        <v/>
      </c>
      <c r="I6791">
        <f>IF(ROUND(H6791-D6791,2)=0,1,0)</f>
        <v/>
      </c>
      <c r="J6791">
        <f>IF(F6791="","none",IF(G6791=1,"carte","multiple"))</f>
        <v/>
      </c>
    </row>
    <row r="6792">
      <c r="A6792" t="inlineStr">
        <is>
          <t>2022-11-13</t>
        </is>
      </c>
      <c r="B6792" t="inlineStr">
        <is>
          <t>12:10</t>
        </is>
      </c>
      <c r="C6792" t="n">
        <v>3099</v>
      </c>
      <c r="D6792" s="6" t="n">
        <v>8.699999999999999</v>
      </c>
      <c r="E6792" t="n">
        <v>43984</v>
      </c>
      <c r="F6792" s="6" t="n">
        <v>8.699999999999999</v>
      </c>
      <c r="G6792" t="n">
        <v>1</v>
      </c>
      <c r="H6792" s="6">
        <f>ROUND(G6792*F6792,2)</f>
        <v/>
      </c>
      <c r="I6792">
        <f>IF(ROUND(H6792-D6792,2)=0,1,0)</f>
        <v/>
      </c>
      <c r="J6792">
        <f>IF(F6792="","none",IF(G6792=1,"carte","multiple"))</f>
        <v/>
      </c>
    </row>
    <row r="6793">
      <c r="A6793" t="inlineStr">
        <is>
          <t>2022-11-13</t>
        </is>
      </c>
      <c r="B6793" t="inlineStr">
        <is>
          <t>12:10</t>
        </is>
      </c>
      <c r="C6793" t="n">
        <v>3099</v>
      </c>
      <c r="D6793" s="6" t="n">
        <v>18.6</v>
      </c>
      <c r="E6793" t="n">
        <v>43985</v>
      </c>
      <c r="F6793" s="6" t="n">
        <v>18.6</v>
      </c>
      <c r="G6793" t="n">
        <v>1</v>
      </c>
      <c r="H6793" s="6">
        <f>ROUND(G6793*F6793,2)</f>
        <v/>
      </c>
      <c r="I6793">
        <f>IF(ROUND(H6793-D6793,2)=0,1,0)</f>
        <v/>
      </c>
      <c r="J6793">
        <f>IF(F6793="","none",IF(G6793=1,"carte","multiple"))</f>
        <v/>
      </c>
    </row>
    <row r="6794">
      <c r="A6794" t="inlineStr">
        <is>
          <t>2022-11-13</t>
        </is>
      </c>
      <c r="B6794" t="inlineStr">
        <is>
          <t>12:10</t>
        </is>
      </c>
      <c r="C6794" t="n">
        <v>3099</v>
      </c>
      <c r="D6794" s="6" t="n">
        <v>19</v>
      </c>
      <c r="E6794" t="n">
        <v>43986</v>
      </c>
      <c r="F6794" s="6" t="n">
        <v>19</v>
      </c>
      <c r="G6794" t="n">
        <v>1</v>
      </c>
      <c r="H6794" s="6">
        <f>ROUND(G6794*F6794,2)</f>
        <v/>
      </c>
      <c r="I6794">
        <f>IF(ROUND(H6794-D6794,2)=0,1,0)</f>
        <v/>
      </c>
      <c r="J6794">
        <f>IF(F6794="","none",IF(G6794=1,"carte","multiple"))</f>
        <v/>
      </c>
    </row>
    <row r="6795">
      <c r="A6795" t="inlineStr">
        <is>
          <t>2022-11-13</t>
        </is>
      </c>
      <c r="B6795" t="inlineStr">
        <is>
          <t>12:32</t>
        </is>
      </c>
      <c r="C6795" t="n">
        <v>3099</v>
      </c>
      <c r="D6795" s="6" t="n">
        <v>3.8</v>
      </c>
      <c r="E6795" t="n">
        <v>43987</v>
      </c>
      <c r="F6795" s="6" t="n">
        <v>3.8</v>
      </c>
      <c r="G6795" t="n">
        <v>1</v>
      </c>
      <c r="H6795" s="6">
        <f>ROUND(G6795*F6795,2)</f>
        <v/>
      </c>
      <c r="I6795">
        <f>IF(ROUND(H6795-D6795,2)=0,1,0)</f>
        <v/>
      </c>
      <c r="J6795">
        <f>IF(F6795="","none",IF(G6795=1,"carte","multiple"))</f>
        <v/>
      </c>
    </row>
    <row r="6796">
      <c r="A6796" t="inlineStr">
        <is>
          <t>2022-11-13</t>
        </is>
      </c>
      <c r="B6796" t="inlineStr">
        <is>
          <t>12:54</t>
        </is>
      </c>
      <c r="C6796" t="n">
        <v>3099</v>
      </c>
      <c r="D6796" s="6" t="n">
        <v>10.5</v>
      </c>
      <c r="E6796" t="n">
        <v>43988</v>
      </c>
      <c r="F6796" s="6" t="n">
        <v>10.5</v>
      </c>
      <c r="G6796" t="n">
        <v>1</v>
      </c>
      <c r="H6796" s="6">
        <f>ROUND(G6796*F6796,2)</f>
        <v/>
      </c>
      <c r="I6796">
        <f>IF(ROUND(H6796-D6796,2)=0,1,0)</f>
        <v/>
      </c>
      <c r="J6796">
        <f>IF(F6796="","none",IF(G6796=1,"carte","multiple"))</f>
        <v/>
      </c>
    </row>
    <row r="6797">
      <c r="A6797" t="inlineStr">
        <is>
          <t>2022-11-13</t>
        </is>
      </c>
      <c r="B6797" t="inlineStr">
        <is>
          <t>12:54</t>
        </is>
      </c>
      <c r="C6797" t="n">
        <v>3099</v>
      </c>
      <c r="D6797" s="6" t="n">
        <v>9.699999999999999</v>
      </c>
      <c r="E6797" t="n">
        <v>43989</v>
      </c>
      <c r="F6797" s="6" t="n">
        <v>9.699999999999999</v>
      </c>
      <c r="G6797" t="n">
        <v>1</v>
      </c>
      <c r="H6797" s="6">
        <f>ROUND(G6797*F6797,2)</f>
        <v/>
      </c>
      <c r="I6797">
        <f>IF(ROUND(H6797-D6797,2)=0,1,0)</f>
        <v/>
      </c>
      <c r="J6797">
        <f>IF(F6797="","none",IF(G6797=1,"carte","multiple"))</f>
        <v/>
      </c>
    </row>
    <row r="6798">
      <c r="A6798" t="inlineStr">
        <is>
          <t>2022-11-13</t>
        </is>
      </c>
      <c r="B6798" t="inlineStr">
        <is>
          <t>12:54</t>
        </is>
      </c>
      <c r="C6798" t="n">
        <v>3099</v>
      </c>
      <c r="D6798" s="6" t="n">
        <v>18.6</v>
      </c>
      <c r="E6798" t="n">
        <v>43990</v>
      </c>
      <c r="F6798" s="6" t="n">
        <v>18.6</v>
      </c>
      <c r="G6798" t="n">
        <v>1</v>
      </c>
      <c r="H6798" s="6">
        <f>ROUND(G6798*F6798,2)</f>
        <v/>
      </c>
      <c r="I6798">
        <f>IF(ROUND(H6798-D6798,2)=0,1,0)</f>
        <v/>
      </c>
      <c r="J6798">
        <f>IF(F6798="","none",IF(G6798=1,"carte","multiple"))</f>
        <v/>
      </c>
    </row>
    <row r="6799">
      <c r="A6799" t="inlineStr">
        <is>
          <t>2022-11-13</t>
        </is>
      </c>
      <c r="B6799" t="inlineStr">
        <is>
          <t>12:54</t>
        </is>
      </c>
      <c r="C6799" t="n">
        <v>3099</v>
      </c>
      <c r="D6799" s="6" t="n">
        <v>18.6</v>
      </c>
      <c r="E6799" t="n">
        <v>43991</v>
      </c>
      <c r="F6799" s="6" t="n">
        <v>18.6</v>
      </c>
      <c r="G6799" t="n">
        <v>1</v>
      </c>
      <c r="H6799" s="6">
        <f>ROUND(G6799*F6799,2)</f>
        <v/>
      </c>
      <c r="I6799">
        <f>IF(ROUND(H6799-D6799,2)=0,1,0)</f>
        <v/>
      </c>
      <c r="J6799">
        <f>IF(F6799="","none",IF(G6799=1,"carte","multiple"))</f>
        <v/>
      </c>
    </row>
    <row r="6800">
      <c r="A6800" t="inlineStr">
        <is>
          <t>2022-11-13</t>
        </is>
      </c>
      <c r="B6800" t="inlineStr">
        <is>
          <t>12:54</t>
        </is>
      </c>
      <c r="C6800" t="n">
        <v>3099</v>
      </c>
      <c r="D6800" s="6" t="n">
        <v>9.6</v>
      </c>
      <c r="E6800" t="n">
        <v>43992</v>
      </c>
      <c r="F6800" s="6" t="n">
        <v>9.6</v>
      </c>
      <c r="G6800" t="n">
        <v>1</v>
      </c>
      <c r="H6800" s="6">
        <f>ROUND(G6800*F6800,2)</f>
        <v/>
      </c>
      <c r="I6800">
        <f>IF(ROUND(H6800-D6800,2)=0,1,0)</f>
        <v/>
      </c>
      <c r="J6800">
        <f>IF(F6800="","none",IF(G6800=1,"carte","multiple"))</f>
        <v/>
      </c>
    </row>
    <row r="6801">
      <c r="A6801" t="inlineStr">
        <is>
          <t>2022-11-13</t>
        </is>
      </c>
      <c r="B6801" t="inlineStr">
        <is>
          <t>12:54</t>
        </is>
      </c>
      <c r="C6801" t="n">
        <v>3099</v>
      </c>
      <c r="D6801" s="6" t="n">
        <v>19.8</v>
      </c>
      <c r="E6801" t="n">
        <v>43993</v>
      </c>
      <c r="F6801" s="6" t="n">
        <v>19.8</v>
      </c>
      <c r="G6801" t="n">
        <v>1</v>
      </c>
      <c r="H6801" s="6">
        <f>ROUND(G6801*F6801,2)</f>
        <v/>
      </c>
      <c r="I6801">
        <f>IF(ROUND(H6801-D6801,2)=0,1,0)</f>
        <v/>
      </c>
      <c r="J6801">
        <f>IF(F6801="","none",IF(G6801=1,"carte","multiple"))</f>
        <v/>
      </c>
    </row>
    <row r="6802">
      <c r="A6802" t="inlineStr">
        <is>
          <t>2022-11-13</t>
        </is>
      </c>
      <c r="B6802" t="inlineStr">
        <is>
          <t>12:54</t>
        </is>
      </c>
      <c r="C6802" t="n">
        <v>3099</v>
      </c>
      <c r="D6802" s="6" t="n">
        <v>5.9</v>
      </c>
      <c r="E6802" t="n">
        <v>43994</v>
      </c>
      <c r="F6802" s="6" t="n">
        <v>5.9</v>
      </c>
      <c r="G6802" t="n">
        <v>1</v>
      </c>
      <c r="H6802" s="6">
        <f>ROUND(G6802*F6802,2)</f>
        <v/>
      </c>
      <c r="I6802">
        <f>IF(ROUND(H6802-D6802,2)=0,1,0)</f>
        <v/>
      </c>
      <c r="J6802">
        <f>IF(F6802="","none",IF(G6802=1,"carte","multiple"))</f>
        <v/>
      </c>
    </row>
    <row r="6803">
      <c r="A6803" t="inlineStr">
        <is>
          <t>2022-11-13</t>
        </is>
      </c>
      <c r="B6803" t="inlineStr">
        <is>
          <t>12:54</t>
        </is>
      </c>
      <c r="C6803" t="n">
        <v>3099</v>
      </c>
      <c r="D6803" s="6" t="n">
        <v>3.9</v>
      </c>
      <c r="E6803" t="n">
        <v>43995</v>
      </c>
      <c r="F6803" s="6" t="n">
        <v>3.9</v>
      </c>
      <c r="G6803" t="n">
        <v>1</v>
      </c>
      <c r="H6803" s="6">
        <f>ROUND(G6803*F6803,2)</f>
        <v/>
      </c>
      <c r="I6803">
        <f>IF(ROUND(H6803-D6803,2)=0,1,0)</f>
        <v/>
      </c>
      <c r="J6803">
        <f>IF(F6803="","none",IF(G6803=1,"carte","multiple"))</f>
        <v/>
      </c>
    </row>
    <row r="6804">
      <c r="A6804" t="inlineStr">
        <is>
          <t>2022-11-13</t>
        </is>
      </c>
      <c r="B6804" t="inlineStr">
        <is>
          <t>12:54</t>
        </is>
      </c>
      <c r="C6804" t="n">
        <v>3099</v>
      </c>
      <c r="D6804" s="6" t="n">
        <v>3.9</v>
      </c>
      <c r="E6804" t="n">
        <v>43996</v>
      </c>
      <c r="F6804" s="6" t="n">
        <v>3.9</v>
      </c>
      <c r="G6804" t="n">
        <v>1</v>
      </c>
      <c r="H6804" s="6">
        <f>ROUND(G6804*F6804,2)</f>
        <v/>
      </c>
      <c r="I6804">
        <f>IF(ROUND(H6804-D6804,2)=0,1,0)</f>
        <v/>
      </c>
      <c r="J6804">
        <f>IF(F6804="","none",IF(G6804=1,"carte","multiple"))</f>
        <v/>
      </c>
    </row>
    <row r="6805">
      <c r="A6805" t="inlineStr">
        <is>
          <t>2022-11-13</t>
        </is>
      </c>
      <c r="B6805" t="inlineStr">
        <is>
          <t>12:54</t>
        </is>
      </c>
      <c r="C6805" t="n">
        <v>3099</v>
      </c>
      <c r="D6805" s="6" t="n">
        <v>5.2</v>
      </c>
      <c r="E6805" t="n">
        <v>43997</v>
      </c>
      <c r="F6805" s="6" t="n">
        <v>5.2</v>
      </c>
      <c r="G6805" t="n">
        <v>1</v>
      </c>
      <c r="H6805" s="6">
        <f>ROUND(G6805*F6805,2)</f>
        <v/>
      </c>
      <c r="I6805">
        <f>IF(ROUND(H6805-D6805,2)=0,1,0)</f>
        <v/>
      </c>
      <c r="J6805">
        <f>IF(F6805="","none",IF(G6805=1,"carte","multiple"))</f>
        <v/>
      </c>
    </row>
    <row r="6806">
      <c r="A6806" t="inlineStr">
        <is>
          <t>2022-11-13</t>
        </is>
      </c>
      <c r="B6806" t="inlineStr">
        <is>
          <t>13:09</t>
        </is>
      </c>
      <c r="C6806" t="n">
        <v>3099</v>
      </c>
      <c r="D6806" s="6" t="n">
        <v>6.6</v>
      </c>
      <c r="E6806" t="n">
        <v>43998</v>
      </c>
      <c r="F6806" s="6" t="n">
        <v>6.6</v>
      </c>
      <c r="G6806" t="n">
        <v>1</v>
      </c>
      <c r="H6806" s="6">
        <f>ROUND(G6806*F6806,2)</f>
        <v/>
      </c>
      <c r="I6806">
        <f>IF(ROUND(H6806-D6806,2)=0,1,0)</f>
        <v/>
      </c>
      <c r="J6806">
        <f>IF(F6806="","none",IF(G6806=1,"carte","multiple"))</f>
        <v/>
      </c>
    </row>
    <row r="6807">
      <c r="A6807" t="inlineStr">
        <is>
          <t>2022-11-13</t>
        </is>
      </c>
      <c r="B6807" t="inlineStr">
        <is>
          <t>13:09</t>
        </is>
      </c>
      <c r="C6807" t="n">
        <v>3099</v>
      </c>
      <c r="D6807" s="6" t="n">
        <v>119.6</v>
      </c>
      <c r="E6807" t="n">
        <v>43999</v>
      </c>
      <c r="F6807" s="6" t="n">
        <v>0.4</v>
      </c>
      <c r="G6807" t="n">
        <v>299</v>
      </c>
      <c r="H6807" s="6">
        <f>ROUND(G6807*F6807,2)</f>
        <v/>
      </c>
      <c r="I6807">
        <f>IF(ROUND(H6807-D6807,2)=0,1,0)</f>
        <v/>
      </c>
      <c r="J6807">
        <f>IF(F6807="","none",IF(G6807=1,"carte","multiple"))</f>
        <v/>
      </c>
    </row>
    <row r="6808">
      <c r="A6808" t="inlineStr">
        <is>
          <t>2022-11-13</t>
        </is>
      </c>
      <c r="B6808" t="inlineStr">
        <is>
          <t>13:09</t>
        </is>
      </c>
      <c r="C6808" t="n">
        <v>3099</v>
      </c>
      <c r="D6808" s="6" t="n">
        <v>6.5</v>
      </c>
      <c r="E6808" t="n">
        <v>44000</v>
      </c>
      <c r="F6808" s="6" t="n">
        <v>6.5</v>
      </c>
      <c r="G6808" t="n">
        <v>1</v>
      </c>
      <c r="H6808" s="6">
        <f>ROUND(G6808*F6808,2)</f>
        <v/>
      </c>
      <c r="I6808">
        <f>IF(ROUND(H6808-D6808,2)=0,1,0)</f>
        <v/>
      </c>
      <c r="J6808">
        <f>IF(F6808="","none",IF(G6808=1,"carte","multiple"))</f>
        <v/>
      </c>
    </row>
    <row r="6809">
      <c r="A6809" t="inlineStr">
        <is>
          <t>2022-11-13</t>
        </is>
      </c>
      <c r="B6809" t="inlineStr">
        <is>
          <t>13:09</t>
        </is>
      </c>
      <c r="C6809" t="n">
        <v>3099</v>
      </c>
      <c r="D6809" s="6" t="n">
        <v>29.9</v>
      </c>
      <c r="E6809" t="n">
        <v>44001</v>
      </c>
      <c r="F6809" s="6" t="n">
        <v>29.9</v>
      </c>
      <c r="G6809" t="n">
        <v>1</v>
      </c>
      <c r="H6809" s="6">
        <f>ROUND(G6809*F6809,2)</f>
        <v/>
      </c>
      <c r="I6809">
        <f>IF(ROUND(H6809-D6809,2)=0,1,0)</f>
        <v/>
      </c>
      <c r="J6809">
        <f>IF(F6809="","none",IF(G6809=1,"carte","multiple"))</f>
        <v/>
      </c>
    </row>
    <row r="6810">
      <c r="A6810" t="inlineStr">
        <is>
          <t>2022-11-16</t>
        </is>
      </c>
      <c r="B6810" t="inlineStr">
        <is>
          <t>11:59</t>
        </is>
      </c>
      <c r="C6810" t="n">
        <v>3100</v>
      </c>
      <c r="D6810" s="6" t="n">
        <v>4.5</v>
      </c>
      <c r="E6810" t="n">
        <v>44004</v>
      </c>
      <c r="F6810" s="6" t="n">
        <v>4.5</v>
      </c>
      <c r="G6810" t="n">
        <v>1</v>
      </c>
      <c r="H6810" s="6">
        <f>ROUND(G6810*F6810,2)</f>
        <v/>
      </c>
      <c r="I6810">
        <f>IF(ROUND(H6810-D6810,2)=0,1,0)</f>
        <v/>
      </c>
      <c r="J6810">
        <f>IF(F6810="","none",IF(G6810=1,"carte","multiple"))</f>
        <v/>
      </c>
    </row>
    <row r="6811">
      <c r="A6811" t="inlineStr">
        <is>
          <t>2022-11-16</t>
        </is>
      </c>
      <c r="B6811" t="inlineStr">
        <is>
          <t>12:07</t>
        </is>
      </c>
      <c r="C6811" t="n">
        <v>3100</v>
      </c>
      <c r="D6811" s="6" t="n">
        <v>9</v>
      </c>
      <c r="E6811" t="n">
        <v>44005</v>
      </c>
      <c r="F6811" s="6" t="n">
        <v>9</v>
      </c>
      <c r="G6811" t="n">
        <v>1</v>
      </c>
      <c r="H6811" s="6">
        <f>ROUND(G6811*F6811,2)</f>
        <v/>
      </c>
      <c r="I6811">
        <f>IF(ROUND(H6811-D6811,2)=0,1,0)</f>
        <v/>
      </c>
      <c r="J6811">
        <f>IF(F6811="","none",IF(G6811=1,"carte","multiple"))</f>
        <v/>
      </c>
    </row>
    <row r="6812">
      <c r="A6812" t="inlineStr">
        <is>
          <t>2022-11-16</t>
        </is>
      </c>
      <c r="B6812" t="inlineStr">
        <is>
          <t>12:11</t>
        </is>
      </c>
      <c r="C6812" t="n">
        <v>3100</v>
      </c>
      <c r="D6812" s="6" t="n">
        <v>8.9</v>
      </c>
      <c r="E6812" t="n">
        <v>44006</v>
      </c>
      <c r="F6812" s="6" t="n">
        <v>8.9</v>
      </c>
      <c r="G6812" t="n">
        <v>1</v>
      </c>
      <c r="H6812" s="6">
        <f>ROUND(G6812*F6812,2)</f>
        <v/>
      </c>
      <c r="I6812">
        <f>IF(ROUND(H6812-D6812,2)=0,1,0)</f>
        <v/>
      </c>
      <c r="J6812">
        <f>IF(F6812="","none",IF(G6812=1,"carte","multiple"))</f>
        <v/>
      </c>
    </row>
    <row r="6813">
      <c r="A6813" t="inlineStr">
        <is>
          <t>2022-11-16</t>
        </is>
      </c>
      <c r="B6813" t="inlineStr">
        <is>
          <t>12:11</t>
        </is>
      </c>
      <c r="C6813" t="n">
        <v>3100</v>
      </c>
      <c r="D6813" s="6" t="n">
        <v>33.8</v>
      </c>
      <c r="E6813" t="n">
        <v>44007</v>
      </c>
      <c r="F6813" s="6" t="n">
        <v>16.9</v>
      </c>
      <c r="G6813" t="n">
        <v>2</v>
      </c>
      <c r="H6813" s="6">
        <f>ROUND(G6813*F6813,2)</f>
        <v/>
      </c>
      <c r="I6813">
        <f>IF(ROUND(H6813-D6813,2)=0,1,0)</f>
        <v/>
      </c>
      <c r="J6813">
        <f>IF(F6813="","none",IF(G6813=1,"carte","multiple"))</f>
        <v/>
      </c>
    </row>
    <row r="6814">
      <c r="A6814" t="inlineStr">
        <is>
          <t>2022-11-16</t>
        </is>
      </c>
      <c r="B6814" t="inlineStr">
        <is>
          <t>12:11</t>
        </is>
      </c>
      <c r="C6814" t="n">
        <v>3100</v>
      </c>
      <c r="D6814" s="6" t="n">
        <v>2.2</v>
      </c>
      <c r="E6814" t="n">
        <v>44008</v>
      </c>
      <c r="F6814" s="6" t="n">
        <v>2.2</v>
      </c>
      <c r="G6814" t="n">
        <v>1</v>
      </c>
      <c r="H6814" s="6">
        <f>ROUND(G6814*F6814,2)</f>
        <v/>
      </c>
      <c r="I6814">
        <f>IF(ROUND(H6814-D6814,2)=0,1,0)</f>
        <v/>
      </c>
      <c r="J6814">
        <f>IF(F6814="","none",IF(G6814=1,"carte","multiple"))</f>
        <v/>
      </c>
    </row>
    <row r="6815">
      <c r="A6815" t="inlineStr">
        <is>
          <t>2022-11-16</t>
        </is>
      </c>
      <c r="B6815" t="inlineStr">
        <is>
          <t>12:11</t>
        </is>
      </c>
      <c r="C6815" t="n">
        <v>3100</v>
      </c>
      <c r="D6815" s="6" t="n">
        <v>9.800000000000001</v>
      </c>
      <c r="E6815" t="n">
        <v>44009</v>
      </c>
      <c r="F6815" s="6" t="n">
        <v>9.800000000000001</v>
      </c>
      <c r="G6815" t="n">
        <v>1</v>
      </c>
      <c r="H6815" s="6">
        <f>ROUND(G6815*F6815,2)</f>
        <v/>
      </c>
      <c r="I6815">
        <f>IF(ROUND(H6815-D6815,2)=0,1,0)</f>
        <v/>
      </c>
      <c r="J6815">
        <f>IF(F6815="","none",IF(G6815=1,"carte","multiple"))</f>
        <v/>
      </c>
    </row>
    <row r="6816">
      <c r="A6816" t="inlineStr">
        <is>
          <t>2022-11-16</t>
        </is>
      </c>
      <c r="B6816" t="inlineStr">
        <is>
          <t>12:12</t>
        </is>
      </c>
      <c r="C6816" t="n">
        <v>3100</v>
      </c>
      <c r="D6816" s="6" t="n">
        <v>2.2</v>
      </c>
      <c r="E6816" t="n">
        <v>44010</v>
      </c>
      <c r="F6816" s="6" t="n">
        <v>2.2</v>
      </c>
      <c r="G6816" t="n">
        <v>1</v>
      </c>
      <c r="H6816" s="6">
        <f>ROUND(G6816*F6816,2)</f>
        <v/>
      </c>
      <c r="I6816">
        <f>IF(ROUND(H6816-D6816,2)=0,1,0)</f>
        <v/>
      </c>
      <c r="J6816">
        <f>IF(F6816="","none",IF(G6816=1,"carte","multiple"))</f>
        <v/>
      </c>
    </row>
    <row r="6817">
      <c r="A6817" t="inlineStr">
        <is>
          <t>2022-11-16</t>
        </is>
      </c>
      <c r="B6817" t="inlineStr">
        <is>
          <t>12:12</t>
        </is>
      </c>
      <c r="C6817" t="n">
        <v>3100</v>
      </c>
      <c r="D6817" s="6" t="n">
        <v>19</v>
      </c>
      <c r="E6817" t="n">
        <v>44011</v>
      </c>
      <c r="F6817" s="6" t="n">
        <v>19</v>
      </c>
      <c r="G6817" t="n">
        <v>1</v>
      </c>
      <c r="H6817" s="6">
        <f>ROUND(G6817*F6817,2)</f>
        <v/>
      </c>
      <c r="I6817">
        <f>IF(ROUND(H6817-D6817,2)=0,1,0)</f>
        <v/>
      </c>
      <c r="J6817">
        <f>IF(F6817="","none",IF(G6817=1,"carte","multiple"))</f>
        <v/>
      </c>
    </row>
    <row r="6818">
      <c r="A6818" t="inlineStr">
        <is>
          <t>2022-11-16</t>
        </is>
      </c>
      <c r="B6818" t="inlineStr">
        <is>
          <t>12:12</t>
        </is>
      </c>
      <c r="C6818" t="n">
        <v>3100</v>
      </c>
      <c r="D6818" s="6" t="n">
        <v>4</v>
      </c>
      <c r="E6818" t="n">
        <v>44012</v>
      </c>
      <c r="F6818" s="6" t="n">
        <v>4</v>
      </c>
      <c r="G6818" t="n">
        <v>1</v>
      </c>
      <c r="H6818" s="6">
        <f>ROUND(G6818*F6818,2)</f>
        <v/>
      </c>
      <c r="I6818">
        <f>IF(ROUND(H6818-D6818,2)=0,1,0)</f>
        <v/>
      </c>
      <c r="J6818">
        <f>IF(F6818="","none",IF(G6818=1,"carte","multiple"))</f>
        <v/>
      </c>
    </row>
    <row r="6819">
      <c r="A6819" t="inlineStr">
        <is>
          <t>2022-11-16</t>
        </is>
      </c>
      <c r="B6819" t="inlineStr">
        <is>
          <t>12:12</t>
        </is>
      </c>
      <c r="C6819" t="n">
        <v>3100</v>
      </c>
      <c r="D6819" s="6" t="n">
        <v>4.4</v>
      </c>
      <c r="E6819" t="n">
        <v>44013</v>
      </c>
      <c r="F6819" s="6" t="n">
        <v>0.4</v>
      </c>
      <c r="G6819" t="n">
        <v>11</v>
      </c>
      <c r="H6819" s="6">
        <f>ROUND(G6819*F6819,2)</f>
        <v/>
      </c>
      <c r="I6819">
        <f>IF(ROUND(H6819-D6819,2)=0,1,0)</f>
        <v/>
      </c>
      <c r="J6819">
        <f>IF(F6819="","none",IF(G6819=1,"carte","multiple"))</f>
        <v/>
      </c>
    </row>
    <row r="6820">
      <c r="A6820" t="inlineStr">
        <is>
          <t>2022-11-16</t>
        </is>
      </c>
      <c r="B6820" t="inlineStr">
        <is>
          <t>12:12</t>
        </is>
      </c>
      <c r="C6820" t="n">
        <v>3100</v>
      </c>
      <c r="D6820" s="6" t="n">
        <v>8.699999999999999</v>
      </c>
      <c r="E6820" t="n">
        <v>44014</v>
      </c>
      <c r="F6820" s="6" t="n">
        <v>8.699999999999999</v>
      </c>
      <c r="G6820" t="n">
        <v>1</v>
      </c>
      <c r="H6820" s="6">
        <f>ROUND(G6820*F6820,2)</f>
        <v/>
      </c>
      <c r="I6820">
        <f>IF(ROUND(H6820-D6820,2)=0,1,0)</f>
        <v/>
      </c>
      <c r="J6820">
        <f>IF(F6820="","none",IF(G6820=1,"carte","multiple"))</f>
        <v/>
      </c>
    </row>
    <row r="6821">
      <c r="A6821" t="inlineStr">
        <is>
          <t>2022-11-16</t>
        </is>
      </c>
      <c r="B6821" t="inlineStr">
        <is>
          <t>12:12</t>
        </is>
      </c>
      <c r="C6821" t="n">
        <v>3100</v>
      </c>
      <c r="D6821" s="6" t="n">
        <v>8.9</v>
      </c>
      <c r="E6821" t="n">
        <v>44015</v>
      </c>
      <c r="F6821" s="6" t="n">
        <v>8.9</v>
      </c>
      <c r="G6821" t="n">
        <v>1</v>
      </c>
      <c r="H6821" s="6">
        <f>ROUND(G6821*F6821,2)</f>
        <v/>
      </c>
      <c r="I6821">
        <f>IF(ROUND(H6821-D6821,2)=0,1,0)</f>
        <v/>
      </c>
      <c r="J6821">
        <f>IF(F6821="","none",IF(G6821=1,"carte","multiple"))</f>
        <v/>
      </c>
    </row>
    <row r="6822">
      <c r="A6822" t="inlineStr">
        <is>
          <t>2022-11-16</t>
        </is>
      </c>
      <c r="B6822" t="inlineStr">
        <is>
          <t>12:12</t>
        </is>
      </c>
      <c r="C6822" t="n">
        <v>3100</v>
      </c>
      <c r="D6822" s="6" t="n">
        <v>7</v>
      </c>
      <c r="E6822" t="n">
        <v>44016</v>
      </c>
      <c r="F6822" s="6" t="n">
        <v>7</v>
      </c>
      <c r="G6822" t="n">
        <v>1</v>
      </c>
      <c r="H6822" s="6">
        <f>ROUND(G6822*F6822,2)</f>
        <v/>
      </c>
      <c r="I6822">
        <f>IF(ROUND(H6822-D6822,2)=0,1,0)</f>
        <v/>
      </c>
      <c r="J6822">
        <f>IF(F6822="","none",IF(G6822=1,"carte","multiple"))</f>
        <v/>
      </c>
    </row>
    <row r="6823">
      <c r="A6823" t="inlineStr">
        <is>
          <t>2022-11-16</t>
        </is>
      </c>
      <c r="B6823" t="inlineStr">
        <is>
          <t>12:12</t>
        </is>
      </c>
      <c r="C6823" t="n">
        <v>3100</v>
      </c>
      <c r="D6823" s="6" t="n">
        <v>25</v>
      </c>
      <c r="E6823" t="n">
        <v>44017</v>
      </c>
      <c r="F6823" s="6" t="n">
        <v>25</v>
      </c>
      <c r="G6823" t="n">
        <v>1</v>
      </c>
      <c r="H6823" s="6">
        <f>ROUND(G6823*F6823,2)</f>
        <v/>
      </c>
      <c r="I6823">
        <f>IF(ROUND(H6823-D6823,2)=0,1,0)</f>
        <v/>
      </c>
      <c r="J6823">
        <f>IF(F6823="","none",IF(G6823=1,"carte","multiple"))</f>
        <v/>
      </c>
    </row>
    <row r="6824">
      <c r="A6824" t="inlineStr">
        <is>
          <t>2022-11-16</t>
        </is>
      </c>
      <c r="B6824" t="inlineStr">
        <is>
          <t>12:12</t>
        </is>
      </c>
      <c r="C6824" t="n">
        <v>3100</v>
      </c>
      <c r="D6824" s="6" t="n">
        <v>18.6</v>
      </c>
      <c r="E6824" t="n">
        <v>44018</v>
      </c>
      <c r="F6824" s="6" t="n">
        <v>18.6</v>
      </c>
      <c r="G6824" t="n">
        <v>1</v>
      </c>
      <c r="H6824" s="6">
        <f>ROUND(G6824*F6824,2)</f>
        <v/>
      </c>
      <c r="I6824">
        <f>IF(ROUND(H6824-D6824,2)=0,1,0)</f>
        <v/>
      </c>
      <c r="J6824">
        <f>IF(F6824="","none",IF(G6824=1,"carte","multiple"))</f>
        <v/>
      </c>
    </row>
    <row r="6825">
      <c r="A6825" t="inlineStr">
        <is>
          <t>2022-11-16</t>
        </is>
      </c>
      <c r="B6825" t="inlineStr">
        <is>
          <t>19:00</t>
        </is>
      </c>
      <c r="C6825" t="n">
        <v>3100</v>
      </c>
      <c r="D6825" s="6" t="n">
        <v>4.9</v>
      </c>
      <c r="E6825" t="n">
        <v>44020</v>
      </c>
      <c r="F6825" s="6" t="n">
        <v>4.9</v>
      </c>
      <c r="G6825" t="n">
        <v>1</v>
      </c>
      <c r="H6825" s="6">
        <f>ROUND(G6825*F6825,2)</f>
        <v/>
      </c>
      <c r="I6825">
        <f>IF(ROUND(H6825-D6825,2)=0,1,0)</f>
        <v/>
      </c>
      <c r="J6825">
        <f>IF(F6825="","none",IF(G6825=1,"carte","multiple"))</f>
        <v/>
      </c>
    </row>
    <row r="6826">
      <c r="A6826" t="inlineStr">
        <is>
          <t>2022-11-16</t>
        </is>
      </c>
      <c r="B6826" t="inlineStr">
        <is>
          <t>19:00</t>
        </is>
      </c>
      <c r="C6826" t="n">
        <v>3100</v>
      </c>
      <c r="D6826" s="6" t="n">
        <v>3.9</v>
      </c>
      <c r="E6826" t="n">
        <v>44021</v>
      </c>
      <c r="F6826" s="6" t="n">
        <v>3.9</v>
      </c>
      <c r="G6826" t="n">
        <v>1</v>
      </c>
      <c r="H6826" s="6">
        <f>ROUND(G6826*F6826,2)</f>
        <v/>
      </c>
      <c r="I6826">
        <f>IF(ROUND(H6826-D6826,2)=0,1,0)</f>
        <v/>
      </c>
      <c r="J6826">
        <f>IF(F6826="","none",IF(G6826=1,"carte","multiple"))</f>
        <v/>
      </c>
    </row>
    <row r="6827">
      <c r="A6827" t="inlineStr">
        <is>
          <t>2022-11-16</t>
        </is>
      </c>
      <c r="B6827" t="inlineStr">
        <is>
          <t>19:20</t>
        </is>
      </c>
      <c r="C6827" t="n">
        <v>3100</v>
      </c>
      <c r="D6827" s="6" t="n">
        <v>8.699999999999999</v>
      </c>
      <c r="E6827" t="n">
        <v>44022</v>
      </c>
      <c r="F6827" s="6" t="n">
        <v>8.699999999999999</v>
      </c>
      <c r="G6827" t="n">
        <v>1</v>
      </c>
      <c r="H6827" s="6">
        <f>ROUND(G6827*F6827,2)</f>
        <v/>
      </c>
      <c r="I6827">
        <f>IF(ROUND(H6827-D6827,2)=0,1,0)</f>
        <v/>
      </c>
      <c r="J6827">
        <f>IF(F6827="","none",IF(G6827=1,"carte","multiple"))</f>
        <v/>
      </c>
    </row>
    <row r="6828">
      <c r="A6828" t="inlineStr">
        <is>
          <t>2022-11-16</t>
        </is>
      </c>
      <c r="B6828" t="inlineStr">
        <is>
          <t>19:20</t>
        </is>
      </c>
      <c r="C6828" t="n">
        <v>3100</v>
      </c>
      <c r="D6828" s="6" t="n">
        <v>3.9</v>
      </c>
      <c r="E6828" t="n">
        <v>44023</v>
      </c>
      <c r="F6828" s="6" t="n">
        <v>3.9</v>
      </c>
      <c r="G6828" t="n">
        <v>1</v>
      </c>
      <c r="H6828" s="6">
        <f>ROUND(G6828*F6828,2)</f>
        <v/>
      </c>
      <c r="I6828">
        <f>IF(ROUND(H6828-D6828,2)=0,1,0)</f>
        <v/>
      </c>
      <c r="J6828">
        <f>IF(F6828="","none",IF(G6828=1,"carte","multiple"))</f>
        <v/>
      </c>
    </row>
    <row r="6829">
      <c r="A6829" t="inlineStr">
        <is>
          <t>2022-11-16</t>
        </is>
      </c>
      <c r="B6829" t="inlineStr">
        <is>
          <t>19:20</t>
        </is>
      </c>
      <c r="C6829" t="n">
        <v>3100</v>
      </c>
      <c r="D6829" s="6" t="n">
        <v>5.9</v>
      </c>
      <c r="E6829" t="n">
        <v>44024</v>
      </c>
      <c r="F6829" s="6" t="n">
        <v>5.9</v>
      </c>
      <c r="G6829" t="n">
        <v>1</v>
      </c>
      <c r="H6829" s="6">
        <f>ROUND(G6829*F6829,2)</f>
        <v/>
      </c>
      <c r="I6829">
        <f>IF(ROUND(H6829-D6829,2)=0,1,0)</f>
        <v/>
      </c>
      <c r="J6829">
        <f>IF(F6829="","none",IF(G6829=1,"carte","multiple"))</f>
        <v/>
      </c>
    </row>
    <row r="6830">
      <c r="A6830" t="inlineStr">
        <is>
          <t>2022-11-16</t>
        </is>
      </c>
      <c r="B6830" t="inlineStr">
        <is>
          <t>19:20</t>
        </is>
      </c>
      <c r="C6830" t="n">
        <v>3100</v>
      </c>
      <c r="D6830" s="6" t="n">
        <v>18.6</v>
      </c>
      <c r="E6830" t="n">
        <v>44025</v>
      </c>
      <c r="F6830" s="6" t="n">
        <v>18.6</v>
      </c>
      <c r="G6830" t="n">
        <v>1</v>
      </c>
      <c r="H6830" s="6">
        <f>ROUND(G6830*F6830,2)</f>
        <v/>
      </c>
      <c r="I6830">
        <f>IF(ROUND(H6830-D6830,2)=0,1,0)</f>
        <v/>
      </c>
      <c r="J6830">
        <f>IF(F6830="","none",IF(G6830=1,"carte","multiple"))</f>
        <v/>
      </c>
    </row>
    <row r="6831">
      <c r="A6831" t="inlineStr">
        <is>
          <t>2022-11-16</t>
        </is>
      </c>
      <c r="B6831" t="inlineStr">
        <is>
          <t>19:20</t>
        </is>
      </c>
      <c r="C6831" t="n">
        <v>3100</v>
      </c>
      <c r="D6831" s="6" t="n">
        <v>19</v>
      </c>
      <c r="E6831" t="n">
        <v>44026</v>
      </c>
      <c r="F6831" s="6" t="n">
        <v>19</v>
      </c>
      <c r="G6831" t="n">
        <v>1</v>
      </c>
      <c r="H6831" s="6">
        <f>ROUND(G6831*F6831,2)</f>
        <v/>
      </c>
      <c r="I6831">
        <f>IF(ROUND(H6831-D6831,2)=0,1,0)</f>
        <v/>
      </c>
      <c r="J6831">
        <f>IF(F6831="","none",IF(G6831=1,"carte","multiple"))</f>
        <v/>
      </c>
    </row>
    <row r="6832">
      <c r="A6832" t="inlineStr">
        <is>
          <t>2022-11-16</t>
        </is>
      </c>
      <c r="B6832" t="inlineStr">
        <is>
          <t>19:47</t>
        </is>
      </c>
      <c r="C6832" t="n">
        <v>3100</v>
      </c>
      <c r="D6832" s="6" t="n">
        <v>18.6</v>
      </c>
      <c r="E6832" t="n">
        <v>44027</v>
      </c>
      <c r="F6832" s="6" t="n">
        <v>18.6</v>
      </c>
      <c r="G6832" t="n">
        <v>1</v>
      </c>
      <c r="H6832" s="6">
        <f>ROUND(G6832*F6832,2)</f>
        <v/>
      </c>
      <c r="I6832">
        <f>IF(ROUND(H6832-D6832,2)=0,1,0)</f>
        <v/>
      </c>
      <c r="J6832">
        <f>IF(F6832="","none",IF(G6832=1,"carte","multiple"))</f>
        <v/>
      </c>
    </row>
    <row r="6833">
      <c r="A6833" t="inlineStr">
        <is>
          <t>2022-11-16</t>
        </is>
      </c>
      <c r="B6833" t="inlineStr">
        <is>
          <t>19:47</t>
        </is>
      </c>
      <c r="C6833" t="n">
        <v>3100</v>
      </c>
      <c r="D6833" s="6" t="n">
        <v>7.2</v>
      </c>
      <c r="E6833" t="n">
        <v>44028</v>
      </c>
      <c r="F6833" s="6" t="n">
        <v>7.2</v>
      </c>
      <c r="G6833" t="n">
        <v>1</v>
      </c>
      <c r="H6833" s="6">
        <f>ROUND(G6833*F6833,2)</f>
        <v/>
      </c>
      <c r="I6833">
        <f>IF(ROUND(H6833-D6833,2)=0,1,0)</f>
        <v/>
      </c>
      <c r="J6833">
        <f>IF(F6833="","none",IF(G6833=1,"carte","multiple"))</f>
        <v/>
      </c>
    </row>
    <row r="6834">
      <c r="A6834" t="inlineStr">
        <is>
          <t>2022-11-16</t>
        </is>
      </c>
      <c r="B6834" t="inlineStr">
        <is>
          <t>19:47</t>
        </is>
      </c>
      <c r="C6834" t="n">
        <v>3100</v>
      </c>
      <c r="D6834" s="6" t="n">
        <v>4.4</v>
      </c>
      <c r="E6834" t="n">
        <v>44029</v>
      </c>
      <c r="F6834" s="6" t="n">
        <v>0.4</v>
      </c>
      <c r="G6834" t="n">
        <v>11</v>
      </c>
      <c r="H6834" s="6">
        <f>ROUND(G6834*F6834,2)</f>
        <v/>
      </c>
      <c r="I6834">
        <f>IF(ROUND(H6834-D6834,2)=0,1,0)</f>
        <v/>
      </c>
      <c r="J6834">
        <f>IF(F6834="","none",IF(G6834=1,"carte","multiple"))</f>
        <v/>
      </c>
    </row>
    <row r="6835">
      <c r="A6835" t="inlineStr">
        <is>
          <t>2022-11-16</t>
        </is>
      </c>
      <c r="B6835" t="inlineStr">
        <is>
          <t>19:47</t>
        </is>
      </c>
      <c r="C6835" t="n">
        <v>3100</v>
      </c>
      <c r="D6835" s="6" t="n">
        <v>6.5</v>
      </c>
      <c r="E6835" t="n">
        <v>44030</v>
      </c>
      <c r="F6835" s="6" t="n">
        <v>6.5</v>
      </c>
      <c r="G6835" t="n">
        <v>1</v>
      </c>
      <c r="H6835" s="6">
        <f>ROUND(G6835*F6835,2)</f>
        <v/>
      </c>
      <c r="I6835">
        <f>IF(ROUND(H6835-D6835,2)=0,1,0)</f>
        <v/>
      </c>
      <c r="J6835">
        <f>IF(F6835="","none",IF(G6835=1,"carte","multiple"))</f>
        <v/>
      </c>
    </row>
    <row r="6836">
      <c r="A6836" t="inlineStr">
        <is>
          <t>2022-11-16</t>
        </is>
      </c>
      <c r="B6836" t="inlineStr">
        <is>
          <t>19:50</t>
        </is>
      </c>
      <c r="C6836" t="n">
        <v>3100</v>
      </c>
      <c r="D6836" s="6" t="n">
        <v>8.5</v>
      </c>
      <c r="E6836" t="n">
        <v>44031</v>
      </c>
      <c r="F6836" s="6" t="n">
        <v>8.5</v>
      </c>
      <c r="G6836" t="n">
        <v>1</v>
      </c>
      <c r="H6836" s="6">
        <f>ROUND(G6836*F6836,2)</f>
        <v/>
      </c>
      <c r="I6836">
        <f>IF(ROUND(H6836-D6836,2)=0,1,0)</f>
        <v/>
      </c>
      <c r="J6836">
        <f>IF(F6836="","none",IF(G6836=1,"carte","multiple"))</f>
        <v/>
      </c>
    </row>
    <row r="6837">
      <c r="A6837" t="inlineStr">
        <is>
          <t>2022-11-16</t>
        </is>
      </c>
      <c r="B6837" t="inlineStr">
        <is>
          <t>19:50</t>
        </is>
      </c>
      <c r="C6837" t="n">
        <v>3100</v>
      </c>
      <c r="D6837" s="6" t="n">
        <v>7.2</v>
      </c>
      <c r="E6837" t="n">
        <v>44032</v>
      </c>
      <c r="F6837" s="6" t="n">
        <v>7.2</v>
      </c>
      <c r="G6837" t="n">
        <v>1</v>
      </c>
      <c r="H6837" s="6">
        <f>ROUND(G6837*F6837,2)</f>
        <v/>
      </c>
      <c r="I6837">
        <f>IF(ROUND(H6837-D6837,2)=0,1,0)</f>
        <v/>
      </c>
      <c r="J6837">
        <f>IF(F6837="","none",IF(G6837=1,"carte","multiple"))</f>
        <v/>
      </c>
    </row>
    <row r="6838">
      <c r="A6838" t="inlineStr">
        <is>
          <t>2022-11-16</t>
        </is>
      </c>
      <c r="B6838" t="inlineStr">
        <is>
          <t>19:50</t>
        </is>
      </c>
      <c r="C6838" t="n">
        <v>3100</v>
      </c>
      <c r="D6838" s="6" t="n">
        <v>3.9</v>
      </c>
      <c r="E6838" t="n">
        <v>44033</v>
      </c>
      <c r="F6838" s="6" t="n">
        <v>3.9</v>
      </c>
      <c r="G6838" t="n">
        <v>1</v>
      </c>
      <c r="H6838" s="6">
        <f>ROUND(G6838*F6838,2)</f>
        <v/>
      </c>
      <c r="I6838">
        <f>IF(ROUND(H6838-D6838,2)=0,1,0)</f>
        <v/>
      </c>
      <c r="J6838">
        <f>IF(F6838="","none",IF(G6838=1,"carte","multiple"))</f>
        <v/>
      </c>
    </row>
    <row r="6839">
      <c r="A6839" t="inlineStr">
        <is>
          <t>2022-11-16</t>
        </is>
      </c>
      <c r="B6839" t="inlineStr">
        <is>
          <t>19:50</t>
        </is>
      </c>
      <c r="C6839" t="n">
        <v>3100</v>
      </c>
      <c r="D6839" s="6" t="n">
        <v>4</v>
      </c>
      <c r="E6839" t="n">
        <v>44034</v>
      </c>
      <c r="F6839" s="6" t="n">
        <v>4</v>
      </c>
      <c r="G6839" t="n">
        <v>1</v>
      </c>
      <c r="H6839" s="6">
        <f>ROUND(G6839*F6839,2)</f>
        <v/>
      </c>
      <c r="I6839">
        <f>IF(ROUND(H6839-D6839,2)=0,1,0)</f>
        <v/>
      </c>
      <c r="J6839">
        <f>IF(F6839="","none",IF(G6839=1,"carte","multiple"))</f>
        <v/>
      </c>
    </row>
    <row r="6840">
      <c r="A6840" t="inlineStr">
        <is>
          <t>2022-11-16</t>
        </is>
      </c>
      <c r="B6840" t="inlineStr">
        <is>
          <t>19:50</t>
        </is>
      </c>
      <c r="C6840" t="n">
        <v>3100</v>
      </c>
      <c r="D6840" s="6" t="n">
        <v>3.3</v>
      </c>
      <c r="E6840" t="n">
        <v>44035</v>
      </c>
      <c r="F6840" s="6" t="n">
        <v>3.3</v>
      </c>
      <c r="G6840" t="n">
        <v>1</v>
      </c>
      <c r="H6840" s="6">
        <f>ROUND(G6840*F6840,2)</f>
        <v/>
      </c>
      <c r="I6840">
        <f>IF(ROUND(H6840-D6840,2)=0,1,0)</f>
        <v/>
      </c>
      <c r="J6840">
        <f>IF(F6840="","none",IF(G6840=1,"carte","multiple"))</f>
        <v/>
      </c>
    </row>
    <row r="6841">
      <c r="A6841" t="inlineStr">
        <is>
          <t>2022-11-16</t>
        </is>
      </c>
      <c r="B6841" t="inlineStr">
        <is>
          <t>19:50</t>
        </is>
      </c>
      <c r="C6841" t="n">
        <v>3100</v>
      </c>
      <c r="D6841" s="6" t="n">
        <v>0.9</v>
      </c>
      <c r="E6841" t="n">
        <v>44036</v>
      </c>
      <c r="F6841" s="6" t="n">
        <v>0.9</v>
      </c>
      <c r="G6841" t="n">
        <v>1</v>
      </c>
      <c r="H6841" s="6">
        <f>ROUND(G6841*F6841,2)</f>
        <v/>
      </c>
      <c r="I6841">
        <f>IF(ROUND(H6841-D6841,2)=0,1,0)</f>
        <v/>
      </c>
      <c r="J6841">
        <f>IF(F6841="","none",IF(G6841=1,"carte","multiple"))</f>
        <v/>
      </c>
    </row>
    <row r="6842">
      <c r="A6842" t="inlineStr">
        <is>
          <t>2022-11-16</t>
        </is>
      </c>
      <c r="B6842" t="inlineStr">
        <is>
          <t>19:50</t>
        </is>
      </c>
      <c r="C6842" t="n">
        <v>3100</v>
      </c>
      <c r="D6842" s="6" t="n">
        <v>3.9</v>
      </c>
      <c r="E6842" t="n">
        <v>44037</v>
      </c>
      <c r="F6842" s="6" t="n">
        <v>3.9</v>
      </c>
      <c r="G6842" t="n">
        <v>1</v>
      </c>
      <c r="H6842" s="6">
        <f>ROUND(G6842*F6842,2)</f>
        <v/>
      </c>
      <c r="I6842">
        <f>IF(ROUND(H6842-D6842,2)=0,1,0)</f>
        <v/>
      </c>
      <c r="J6842">
        <f>IF(F6842="","none",IF(G6842=1,"carte","multiple"))</f>
        <v/>
      </c>
    </row>
    <row r="6843">
      <c r="A6843" t="inlineStr">
        <is>
          <t>2022-11-16</t>
        </is>
      </c>
      <c r="B6843" t="inlineStr">
        <is>
          <t>19:50</t>
        </is>
      </c>
      <c r="C6843" t="n">
        <v>3100</v>
      </c>
      <c r="D6843" s="6" t="n">
        <v>19</v>
      </c>
      <c r="E6843" t="n">
        <v>44038</v>
      </c>
      <c r="F6843" s="6" t="n">
        <v>19</v>
      </c>
      <c r="G6843" t="n">
        <v>1</v>
      </c>
      <c r="H6843" s="6">
        <f>ROUND(G6843*F6843,2)</f>
        <v/>
      </c>
      <c r="I6843">
        <f>IF(ROUND(H6843-D6843,2)=0,1,0)</f>
        <v/>
      </c>
      <c r="J6843">
        <f>IF(F6843="","none",IF(G6843=1,"carte","multiple"))</f>
        <v/>
      </c>
    </row>
    <row r="6844">
      <c r="A6844" t="inlineStr">
        <is>
          <t>2022-11-16</t>
        </is>
      </c>
      <c r="B6844" t="inlineStr">
        <is>
          <t>20:41</t>
        </is>
      </c>
      <c r="C6844" t="n">
        <v>3100</v>
      </c>
      <c r="D6844" s="6" t="n">
        <v>0</v>
      </c>
      <c r="E6844" t="n">
        <v>44039</v>
      </c>
      <c r="H6844" t="inlineStr"/>
      <c r="I6844" t="inlineStr"/>
      <c r="J6844">
        <f>IF(F6844="","none",IF(G6844=1,"carte","multiple"))</f>
        <v/>
      </c>
    </row>
    <row r="6845">
      <c r="A6845" t="inlineStr">
        <is>
          <t>2022-11-16</t>
        </is>
      </c>
      <c r="B6845" t="inlineStr">
        <is>
          <t>20:41</t>
        </is>
      </c>
      <c r="C6845" t="n">
        <v>3100</v>
      </c>
      <c r="D6845" s="6" t="n">
        <v>10.4</v>
      </c>
      <c r="E6845" t="n">
        <v>44040</v>
      </c>
      <c r="F6845" s="6" t="n">
        <v>0.4</v>
      </c>
      <c r="G6845" t="n">
        <v>26</v>
      </c>
      <c r="H6845" s="6">
        <f>ROUND(G6845*F6845,2)</f>
        <v/>
      </c>
      <c r="I6845">
        <f>IF(ROUND(H6845-D6845,2)=0,1,0)</f>
        <v/>
      </c>
      <c r="J6845">
        <f>IF(F6845="","none",IF(G6845=1,"carte","multiple"))</f>
        <v/>
      </c>
    </row>
    <row r="6846">
      <c r="A6846" t="inlineStr">
        <is>
          <t>2022-11-16</t>
        </is>
      </c>
      <c r="B6846" t="inlineStr">
        <is>
          <t>20:41</t>
        </is>
      </c>
      <c r="C6846" t="n">
        <v>3100</v>
      </c>
      <c r="D6846" s="6" t="n">
        <v>15.8</v>
      </c>
      <c r="E6846" t="n">
        <v>44041</v>
      </c>
      <c r="F6846" s="6" t="n">
        <v>7.9</v>
      </c>
      <c r="G6846" t="n">
        <v>2</v>
      </c>
      <c r="H6846" s="6">
        <f>ROUND(G6846*F6846,2)</f>
        <v/>
      </c>
      <c r="I6846">
        <f>IF(ROUND(H6846-D6846,2)=0,1,0)</f>
        <v/>
      </c>
      <c r="J6846">
        <f>IF(F6846="","none",IF(G6846=1,"carte","multiple"))</f>
        <v/>
      </c>
    </row>
    <row r="6847">
      <c r="A6847" t="inlineStr">
        <is>
          <t>2022-11-16</t>
        </is>
      </c>
      <c r="B6847" t="inlineStr">
        <is>
          <t>20:41</t>
        </is>
      </c>
      <c r="C6847" t="n">
        <v>3100</v>
      </c>
      <c r="D6847" s="6" t="n">
        <v>18.6</v>
      </c>
      <c r="E6847" t="n">
        <v>44042</v>
      </c>
      <c r="F6847" s="6" t="n">
        <v>18.6</v>
      </c>
      <c r="G6847" t="n">
        <v>1</v>
      </c>
      <c r="H6847" s="6">
        <f>ROUND(G6847*F6847,2)</f>
        <v/>
      </c>
      <c r="I6847">
        <f>IF(ROUND(H6847-D6847,2)=0,1,0)</f>
        <v/>
      </c>
      <c r="J6847">
        <f>IF(F6847="","none",IF(G6847=1,"carte","multiple"))</f>
        <v/>
      </c>
    </row>
    <row r="6848">
      <c r="A6848" t="inlineStr">
        <is>
          <t>2022-11-16</t>
        </is>
      </c>
      <c r="B6848" t="inlineStr">
        <is>
          <t>20:41</t>
        </is>
      </c>
      <c r="C6848" t="n">
        <v>3100</v>
      </c>
      <c r="D6848" s="6" t="n">
        <v>19.9</v>
      </c>
      <c r="E6848" t="n">
        <v>44043</v>
      </c>
      <c r="F6848" s="6" t="n">
        <v>19.9</v>
      </c>
      <c r="G6848" t="n">
        <v>1</v>
      </c>
      <c r="H6848" s="6">
        <f>ROUND(G6848*F6848,2)</f>
        <v/>
      </c>
      <c r="I6848">
        <f>IF(ROUND(H6848-D6848,2)=0,1,0)</f>
        <v/>
      </c>
      <c r="J6848">
        <f>IF(F6848="","none",IF(G6848=1,"carte","multiple"))</f>
        <v/>
      </c>
    </row>
    <row r="6849">
      <c r="A6849" t="inlineStr">
        <is>
          <t>2022-11-16</t>
        </is>
      </c>
      <c r="B6849" t="inlineStr">
        <is>
          <t>20:41</t>
        </is>
      </c>
      <c r="C6849" t="n">
        <v>3100</v>
      </c>
      <c r="D6849" s="6" t="n">
        <v>36</v>
      </c>
      <c r="E6849" t="n">
        <v>44044</v>
      </c>
      <c r="F6849" s="6" t="n">
        <v>36</v>
      </c>
      <c r="G6849" t="n">
        <v>1</v>
      </c>
      <c r="H6849" s="6">
        <f>ROUND(G6849*F6849,2)</f>
        <v/>
      </c>
      <c r="I6849">
        <f>IF(ROUND(H6849-D6849,2)=0,1,0)</f>
        <v/>
      </c>
      <c r="J6849">
        <f>IF(F6849="","none",IF(G6849=1,"carte","multiple"))</f>
        <v/>
      </c>
    </row>
    <row r="6850">
      <c r="A6850" t="inlineStr">
        <is>
          <t>2022-11-17</t>
        </is>
      </c>
      <c r="B6850" t="inlineStr">
        <is>
          <t>11:32</t>
        </is>
      </c>
      <c r="C6850" t="n">
        <v>3101</v>
      </c>
      <c r="D6850" s="6" t="n">
        <v>5.6</v>
      </c>
      <c r="E6850" t="n">
        <v>44047</v>
      </c>
      <c r="F6850" s="6" t="n">
        <v>5.6</v>
      </c>
      <c r="G6850" t="n">
        <v>1</v>
      </c>
      <c r="H6850" s="6">
        <f>ROUND(G6850*F6850,2)</f>
        <v/>
      </c>
      <c r="I6850">
        <f>IF(ROUND(H6850-D6850,2)=0,1,0)</f>
        <v/>
      </c>
      <c r="J6850">
        <f>IF(F6850="","none",IF(G6850=1,"carte","multiple"))</f>
        <v/>
      </c>
    </row>
    <row r="6851">
      <c r="A6851" t="inlineStr">
        <is>
          <t>2022-11-17</t>
        </is>
      </c>
      <c r="B6851" t="inlineStr">
        <is>
          <t>12:06</t>
        </is>
      </c>
      <c r="C6851" t="n">
        <v>3101</v>
      </c>
      <c r="D6851" s="6" t="n">
        <v>8.1</v>
      </c>
      <c r="E6851" t="n">
        <v>44048</v>
      </c>
      <c r="F6851" s="6" t="n">
        <v>8.1</v>
      </c>
      <c r="G6851" t="n">
        <v>1</v>
      </c>
      <c r="H6851" s="6">
        <f>ROUND(G6851*F6851,2)</f>
        <v/>
      </c>
      <c r="I6851">
        <f>IF(ROUND(H6851-D6851,2)=0,1,0)</f>
        <v/>
      </c>
      <c r="J6851">
        <f>IF(F6851="","none",IF(G6851=1,"carte","multiple"))</f>
        <v/>
      </c>
    </row>
    <row r="6852">
      <c r="A6852" t="inlineStr">
        <is>
          <t>2022-11-17</t>
        </is>
      </c>
      <c r="B6852" t="inlineStr">
        <is>
          <t>12:06</t>
        </is>
      </c>
      <c r="C6852" t="n">
        <v>3101</v>
      </c>
      <c r="D6852" s="6" t="n">
        <v>23.7</v>
      </c>
      <c r="E6852" t="n">
        <v>44049</v>
      </c>
      <c r="F6852" s="6" t="n">
        <v>7.9</v>
      </c>
      <c r="G6852" t="n">
        <v>3</v>
      </c>
      <c r="H6852" s="6">
        <f>ROUND(G6852*F6852,2)</f>
        <v/>
      </c>
      <c r="I6852">
        <f>IF(ROUND(H6852-D6852,2)=0,1,0)</f>
        <v/>
      </c>
      <c r="J6852">
        <f>IF(F6852="","none",IF(G6852=1,"carte","multiple"))</f>
        <v/>
      </c>
    </row>
    <row r="6853">
      <c r="A6853" t="inlineStr">
        <is>
          <t>2022-11-17</t>
        </is>
      </c>
      <c r="B6853" t="inlineStr">
        <is>
          <t>12:06</t>
        </is>
      </c>
      <c r="C6853" t="n">
        <v>3101</v>
      </c>
      <c r="D6853" s="6" t="n">
        <v>79.59999999999999</v>
      </c>
      <c r="E6853" t="n">
        <v>44050</v>
      </c>
      <c r="F6853" s="6" t="n">
        <v>0.4</v>
      </c>
      <c r="G6853" t="n">
        <v>199</v>
      </c>
      <c r="H6853" s="6">
        <f>ROUND(G6853*F6853,2)</f>
        <v/>
      </c>
      <c r="I6853">
        <f>IF(ROUND(H6853-D6853,2)=0,1,0)</f>
        <v/>
      </c>
      <c r="J6853">
        <f>IF(F6853="","none",IF(G6853=1,"carte","multiple"))</f>
        <v/>
      </c>
    </row>
    <row r="6854">
      <c r="A6854" t="inlineStr">
        <is>
          <t>2022-11-17</t>
        </is>
      </c>
      <c r="B6854" t="inlineStr">
        <is>
          <t>12:06</t>
        </is>
      </c>
      <c r="C6854" t="n">
        <v>3101</v>
      </c>
      <c r="D6854" s="6" t="n">
        <v>36</v>
      </c>
      <c r="E6854" t="n">
        <v>44051</v>
      </c>
      <c r="F6854" s="6" t="n">
        <v>36</v>
      </c>
      <c r="G6854" t="n">
        <v>1</v>
      </c>
      <c r="H6854" s="6">
        <f>ROUND(G6854*F6854,2)</f>
        <v/>
      </c>
      <c r="I6854">
        <f>IF(ROUND(H6854-D6854,2)=0,1,0)</f>
        <v/>
      </c>
      <c r="J6854">
        <f>IF(F6854="","none",IF(G6854=1,"carte","multiple"))</f>
        <v/>
      </c>
    </row>
    <row r="6855">
      <c r="A6855" t="inlineStr">
        <is>
          <t>2022-11-17</t>
        </is>
      </c>
      <c r="B6855" t="inlineStr">
        <is>
          <t>12:06</t>
        </is>
      </c>
      <c r="C6855" t="n">
        <v>3101</v>
      </c>
      <c r="D6855" s="6" t="n">
        <v>5.9</v>
      </c>
      <c r="E6855" t="n">
        <v>44052</v>
      </c>
      <c r="F6855" s="6" t="n">
        <v>5.9</v>
      </c>
      <c r="G6855" t="n">
        <v>1</v>
      </c>
      <c r="H6855" s="6">
        <f>ROUND(G6855*F6855,2)</f>
        <v/>
      </c>
      <c r="I6855">
        <f>IF(ROUND(H6855-D6855,2)=0,1,0)</f>
        <v/>
      </c>
      <c r="J6855">
        <f>IF(F6855="","none",IF(G6855=1,"carte","multiple"))</f>
        <v/>
      </c>
    </row>
    <row r="6856">
      <c r="A6856" t="inlineStr">
        <is>
          <t>2022-11-17</t>
        </is>
      </c>
      <c r="B6856" t="inlineStr">
        <is>
          <t>12:06</t>
        </is>
      </c>
      <c r="C6856" t="n">
        <v>3101</v>
      </c>
      <c r="D6856" s="6" t="n">
        <v>11.7</v>
      </c>
      <c r="E6856" t="n">
        <v>44053</v>
      </c>
      <c r="F6856" s="6" t="n">
        <v>0.9</v>
      </c>
      <c r="G6856" t="n">
        <v>13</v>
      </c>
      <c r="H6856" s="6">
        <f>ROUND(G6856*F6856,2)</f>
        <v/>
      </c>
      <c r="I6856">
        <f>IF(ROUND(H6856-D6856,2)=0,1,0)</f>
        <v/>
      </c>
      <c r="J6856">
        <f>IF(F6856="","none",IF(G6856=1,"carte","multiple"))</f>
        <v/>
      </c>
    </row>
    <row r="6857">
      <c r="A6857" t="inlineStr">
        <is>
          <t>2022-11-17</t>
        </is>
      </c>
      <c r="B6857" t="inlineStr">
        <is>
          <t>12:10</t>
        </is>
      </c>
      <c r="C6857" t="n">
        <v>3101</v>
      </c>
      <c r="D6857" s="6" t="n">
        <v>7.2</v>
      </c>
      <c r="E6857" t="n">
        <v>44054</v>
      </c>
      <c r="F6857" s="6" t="n">
        <v>7.2</v>
      </c>
      <c r="G6857" t="n">
        <v>1</v>
      </c>
      <c r="H6857" s="6">
        <f>ROUND(G6857*F6857,2)</f>
        <v/>
      </c>
      <c r="I6857">
        <f>IF(ROUND(H6857-D6857,2)=0,1,0)</f>
        <v/>
      </c>
      <c r="J6857">
        <f>IF(F6857="","none",IF(G6857=1,"carte","multiple"))</f>
        <v/>
      </c>
    </row>
    <row r="6858">
      <c r="A6858" t="inlineStr">
        <is>
          <t>2022-11-17</t>
        </is>
      </c>
      <c r="B6858" t="inlineStr">
        <is>
          <t>12:10</t>
        </is>
      </c>
      <c r="C6858" t="n">
        <v>3101</v>
      </c>
      <c r="D6858" s="6" t="n">
        <v>4.9</v>
      </c>
      <c r="E6858" t="n">
        <v>44055</v>
      </c>
      <c r="F6858" s="6" t="n">
        <v>4.9</v>
      </c>
      <c r="G6858" t="n">
        <v>1</v>
      </c>
      <c r="H6858" s="6">
        <f>ROUND(G6858*F6858,2)</f>
        <v/>
      </c>
      <c r="I6858">
        <f>IF(ROUND(H6858-D6858,2)=0,1,0)</f>
        <v/>
      </c>
      <c r="J6858">
        <f>IF(F6858="","none",IF(G6858=1,"carte","multiple"))</f>
        <v/>
      </c>
    </row>
    <row r="6859">
      <c r="A6859" t="inlineStr">
        <is>
          <t>2022-11-17</t>
        </is>
      </c>
      <c r="B6859" t="inlineStr">
        <is>
          <t>12:10</t>
        </is>
      </c>
      <c r="C6859" t="n">
        <v>3101</v>
      </c>
      <c r="D6859" s="6" t="n">
        <v>4.9</v>
      </c>
      <c r="E6859" t="n">
        <v>44056</v>
      </c>
      <c r="F6859" s="6" t="n">
        <v>4.9</v>
      </c>
      <c r="G6859" t="n">
        <v>1</v>
      </c>
      <c r="H6859" s="6">
        <f>ROUND(G6859*F6859,2)</f>
        <v/>
      </c>
      <c r="I6859">
        <f>IF(ROUND(H6859-D6859,2)=0,1,0)</f>
        <v/>
      </c>
      <c r="J6859">
        <f>IF(F6859="","none",IF(G6859=1,"carte","multiple"))</f>
        <v/>
      </c>
    </row>
    <row r="6860">
      <c r="A6860" t="inlineStr">
        <is>
          <t>2022-11-17</t>
        </is>
      </c>
      <c r="B6860" t="inlineStr">
        <is>
          <t>12:10</t>
        </is>
      </c>
      <c r="C6860" t="n">
        <v>3101</v>
      </c>
      <c r="D6860" s="6" t="n">
        <v>68</v>
      </c>
      <c r="E6860" t="n">
        <v>44057</v>
      </c>
      <c r="F6860" s="6" t="n">
        <v>0.4</v>
      </c>
      <c r="G6860" t="n">
        <v>170</v>
      </c>
      <c r="H6860" s="6">
        <f>ROUND(G6860*F6860,2)</f>
        <v/>
      </c>
      <c r="I6860">
        <f>IF(ROUND(H6860-D6860,2)=0,1,0)</f>
        <v/>
      </c>
      <c r="J6860">
        <f>IF(F6860="","none",IF(G6860=1,"carte","multiple"))</f>
        <v/>
      </c>
    </row>
    <row r="6861">
      <c r="A6861" t="inlineStr">
        <is>
          <t>2022-11-17</t>
        </is>
      </c>
      <c r="B6861" t="inlineStr">
        <is>
          <t>17:17</t>
        </is>
      </c>
      <c r="C6861" t="n">
        <v>3101</v>
      </c>
      <c r="D6861" s="6" t="n">
        <v>28.6</v>
      </c>
      <c r="E6861" t="n">
        <v>44058</v>
      </c>
      <c r="F6861" s="6" t="n">
        <v>28.6</v>
      </c>
      <c r="G6861" t="n">
        <v>1</v>
      </c>
      <c r="H6861" s="6">
        <f>ROUND(G6861*F6861,2)</f>
        <v/>
      </c>
      <c r="I6861">
        <f>IF(ROUND(H6861-D6861,2)=0,1,0)</f>
        <v/>
      </c>
      <c r="J6861">
        <f>IF(F6861="","none",IF(G6861=1,"carte","multiple"))</f>
        <v/>
      </c>
    </row>
    <row r="6862">
      <c r="A6862" t="inlineStr">
        <is>
          <t>2022-11-17</t>
        </is>
      </c>
      <c r="B6862" t="inlineStr">
        <is>
          <t>17:17</t>
        </is>
      </c>
      <c r="C6862" t="n">
        <v>3101</v>
      </c>
      <c r="D6862" s="6" t="n">
        <v>19.9</v>
      </c>
      <c r="E6862" t="n">
        <v>44059</v>
      </c>
      <c r="F6862" s="6" t="n">
        <v>19.9</v>
      </c>
      <c r="G6862" t="n">
        <v>1</v>
      </c>
      <c r="H6862" s="6">
        <f>ROUND(G6862*F6862,2)</f>
        <v/>
      </c>
      <c r="I6862">
        <f>IF(ROUND(H6862-D6862,2)=0,1,0)</f>
        <v/>
      </c>
      <c r="J6862">
        <f>IF(F6862="","none",IF(G6862=1,"carte","multiple"))</f>
        <v/>
      </c>
    </row>
    <row r="6863">
      <c r="A6863" t="inlineStr">
        <is>
          <t>2022-11-17</t>
        </is>
      </c>
      <c r="B6863" t="inlineStr">
        <is>
          <t>18:47</t>
        </is>
      </c>
      <c r="C6863" t="n">
        <v>3101</v>
      </c>
      <c r="D6863" s="6" t="n">
        <v>2.2</v>
      </c>
      <c r="E6863" t="n">
        <v>44060</v>
      </c>
      <c r="F6863" s="6" t="n">
        <v>2.2</v>
      </c>
      <c r="G6863" t="n">
        <v>1</v>
      </c>
      <c r="H6863" s="6">
        <f>ROUND(G6863*F6863,2)</f>
        <v/>
      </c>
      <c r="I6863">
        <f>IF(ROUND(H6863-D6863,2)=0,1,0)</f>
        <v/>
      </c>
      <c r="J6863">
        <f>IF(F6863="","none",IF(G6863=1,"carte","multiple"))</f>
        <v/>
      </c>
    </row>
    <row r="6864">
      <c r="A6864" t="inlineStr">
        <is>
          <t>2022-11-17</t>
        </is>
      </c>
      <c r="B6864" t="inlineStr">
        <is>
          <t>18:47</t>
        </is>
      </c>
      <c r="C6864" t="n">
        <v>3101</v>
      </c>
      <c r="D6864" s="6" t="n">
        <v>25</v>
      </c>
      <c r="E6864" t="n">
        <v>44061</v>
      </c>
      <c r="F6864" s="6" t="n">
        <v>25</v>
      </c>
      <c r="G6864" t="n">
        <v>1</v>
      </c>
      <c r="H6864" s="6">
        <f>ROUND(G6864*F6864,2)</f>
        <v/>
      </c>
      <c r="I6864">
        <f>IF(ROUND(H6864-D6864,2)=0,1,0)</f>
        <v/>
      </c>
      <c r="J6864">
        <f>IF(F6864="","none",IF(G6864=1,"carte","multiple"))</f>
        <v/>
      </c>
    </row>
    <row r="6865">
      <c r="A6865" t="inlineStr">
        <is>
          <t>2022-11-17</t>
        </is>
      </c>
      <c r="B6865" t="inlineStr">
        <is>
          <t>18:47</t>
        </is>
      </c>
      <c r="C6865" t="n">
        <v>3101</v>
      </c>
      <c r="D6865" s="6" t="n">
        <v>18.6</v>
      </c>
      <c r="E6865" t="n">
        <v>44062</v>
      </c>
      <c r="F6865" s="6" t="n">
        <v>18.6</v>
      </c>
      <c r="G6865" t="n">
        <v>1</v>
      </c>
      <c r="H6865" s="6">
        <f>ROUND(G6865*F6865,2)</f>
        <v/>
      </c>
      <c r="I6865">
        <f>IF(ROUND(H6865-D6865,2)=0,1,0)</f>
        <v/>
      </c>
      <c r="J6865">
        <f>IF(F6865="","none",IF(G6865=1,"carte","multiple"))</f>
        <v/>
      </c>
    </row>
    <row r="6866">
      <c r="A6866" t="inlineStr">
        <is>
          <t>2022-11-17</t>
        </is>
      </c>
      <c r="B6866" t="inlineStr">
        <is>
          <t>18:47</t>
        </is>
      </c>
      <c r="C6866" t="n">
        <v>3101</v>
      </c>
      <c r="D6866" s="6" t="n">
        <v>7.2</v>
      </c>
      <c r="E6866" t="n">
        <v>44063</v>
      </c>
      <c r="F6866" s="6" t="n">
        <v>7.2</v>
      </c>
      <c r="G6866" t="n">
        <v>1</v>
      </c>
      <c r="H6866" s="6">
        <f>ROUND(G6866*F6866,2)</f>
        <v/>
      </c>
      <c r="I6866">
        <f>IF(ROUND(H6866-D6866,2)=0,1,0)</f>
        <v/>
      </c>
      <c r="J6866">
        <f>IF(F6866="","none",IF(G6866=1,"carte","multiple"))</f>
        <v/>
      </c>
    </row>
    <row r="6867">
      <c r="A6867" t="inlineStr">
        <is>
          <t>2022-11-17</t>
        </is>
      </c>
      <c r="B6867" t="inlineStr">
        <is>
          <t>18:47</t>
        </is>
      </c>
      <c r="C6867" t="n">
        <v>3101</v>
      </c>
      <c r="D6867" s="6" t="n">
        <v>4.9</v>
      </c>
      <c r="E6867" t="n">
        <v>44064</v>
      </c>
      <c r="F6867" s="6" t="n">
        <v>4.9</v>
      </c>
      <c r="G6867" t="n">
        <v>1</v>
      </c>
      <c r="H6867" s="6">
        <f>ROUND(G6867*F6867,2)</f>
        <v/>
      </c>
      <c r="I6867">
        <f>IF(ROUND(H6867-D6867,2)=0,1,0)</f>
        <v/>
      </c>
      <c r="J6867">
        <f>IF(F6867="","none",IF(G6867=1,"carte","multiple"))</f>
        <v/>
      </c>
    </row>
    <row r="6868">
      <c r="A6868" t="inlineStr">
        <is>
          <t>2022-11-17</t>
        </is>
      </c>
      <c r="B6868" t="inlineStr">
        <is>
          <t>18:47</t>
        </is>
      </c>
      <c r="C6868" t="n">
        <v>3101</v>
      </c>
      <c r="D6868" s="6" t="n">
        <v>3.8</v>
      </c>
      <c r="E6868" t="n">
        <v>44065</v>
      </c>
      <c r="F6868" s="6" t="n">
        <v>3.8</v>
      </c>
      <c r="G6868" t="n">
        <v>1</v>
      </c>
      <c r="H6868" s="6">
        <f>ROUND(G6868*F6868,2)</f>
        <v/>
      </c>
      <c r="I6868">
        <f>IF(ROUND(H6868-D6868,2)=0,1,0)</f>
        <v/>
      </c>
      <c r="J6868">
        <f>IF(F6868="","none",IF(G6868=1,"carte","multiple"))</f>
        <v/>
      </c>
    </row>
    <row r="6869">
      <c r="A6869" t="inlineStr">
        <is>
          <t>2022-11-17</t>
        </is>
      </c>
      <c r="B6869" t="inlineStr">
        <is>
          <t>20:34</t>
        </is>
      </c>
      <c r="C6869" t="n">
        <v>3101</v>
      </c>
      <c r="D6869" s="6" t="n">
        <v>4.4</v>
      </c>
      <c r="E6869" t="n">
        <v>44066</v>
      </c>
      <c r="F6869" s="6" t="n">
        <v>0.4</v>
      </c>
      <c r="G6869" t="n">
        <v>11</v>
      </c>
      <c r="H6869" s="6">
        <f>ROUND(G6869*F6869,2)</f>
        <v/>
      </c>
      <c r="I6869">
        <f>IF(ROUND(H6869-D6869,2)=0,1,0)</f>
        <v/>
      </c>
      <c r="J6869">
        <f>IF(F6869="","none",IF(G6869=1,"carte","multiple"))</f>
        <v/>
      </c>
    </row>
    <row r="6870">
      <c r="A6870" t="inlineStr">
        <is>
          <t>2022-11-17</t>
        </is>
      </c>
      <c r="B6870" t="inlineStr">
        <is>
          <t>20:34</t>
        </is>
      </c>
      <c r="C6870" t="n">
        <v>3101</v>
      </c>
      <c r="D6870" s="6" t="n">
        <v>1.8</v>
      </c>
      <c r="E6870" t="n">
        <v>44067</v>
      </c>
      <c r="F6870" s="6" t="n">
        <v>1.8</v>
      </c>
      <c r="G6870" t="n">
        <v>1</v>
      </c>
      <c r="H6870" s="6">
        <f>ROUND(G6870*F6870,2)</f>
        <v/>
      </c>
      <c r="I6870">
        <f>IF(ROUND(H6870-D6870,2)=0,1,0)</f>
        <v/>
      </c>
      <c r="J6870">
        <f>IF(F6870="","none",IF(G6870=1,"carte","multiple"))</f>
        <v/>
      </c>
    </row>
    <row r="6871">
      <c r="A6871" t="inlineStr">
        <is>
          <t>2022-11-17</t>
        </is>
      </c>
      <c r="B6871" t="inlineStr">
        <is>
          <t>20:34</t>
        </is>
      </c>
      <c r="C6871" t="n">
        <v>3101</v>
      </c>
      <c r="D6871" s="6" t="n">
        <v>3.9</v>
      </c>
      <c r="E6871" t="n">
        <v>44068</v>
      </c>
      <c r="F6871" s="6" t="n">
        <v>3.9</v>
      </c>
      <c r="G6871" t="n">
        <v>1</v>
      </c>
      <c r="H6871" s="6">
        <f>ROUND(G6871*F6871,2)</f>
        <v/>
      </c>
      <c r="I6871">
        <f>IF(ROUND(H6871-D6871,2)=0,1,0)</f>
        <v/>
      </c>
      <c r="J6871">
        <f>IF(F6871="","none",IF(G6871=1,"carte","multiple"))</f>
        <v/>
      </c>
    </row>
    <row r="6872">
      <c r="A6872" t="inlineStr">
        <is>
          <t>2022-11-17</t>
        </is>
      </c>
      <c r="B6872" t="inlineStr">
        <is>
          <t>20:34</t>
        </is>
      </c>
      <c r="C6872" t="n">
        <v>3101</v>
      </c>
      <c r="D6872" s="6" t="n">
        <v>7</v>
      </c>
      <c r="E6872" t="n">
        <v>44069</v>
      </c>
      <c r="F6872" s="6" t="n">
        <v>7</v>
      </c>
      <c r="G6872" t="n">
        <v>1</v>
      </c>
      <c r="H6872" s="6">
        <f>ROUND(G6872*F6872,2)</f>
        <v/>
      </c>
      <c r="I6872">
        <f>IF(ROUND(H6872-D6872,2)=0,1,0)</f>
        <v/>
      </c>
      <c r="J6872">
        <f>IF(F6872="","none",IF(G6872=1,"carte","multiple"))</f>
        <v/>
      </c>
    </row>
    <row r="6873">
      <c r="A6873" t="inlineStr">
        <is>
          <t>2022-11-17</t>
        </is>
      </c>
      <c r="B6873" t="inlineStr">
        <is>
          <t>20:34</t>
        </is>
      </c>
      <c r="C6873" t="n">
        <v>3101</v>
      </c>
      <c r="D6873" s="6" t="n">
        <v>19.9</v>
      </c>
      <c r="E6873" t="n">
        <v>44070</v>
      </c>
      <c r="F6873" s="6" t="n">
        <v>19.9</v>
      </c>
      <c r="G6873" t="n">
        <v>1</v>
      </c>
      <c r="H6873" s="6">
        <f>ROUND(G6873*F6873,2)</f>
        <v/>
      </c>
      <c r="I6873">
        <f>IF(ROUND(H6873-D6873,2)=0,1,0)</f>
        <v/>
      </c>
      <c r="J6873">
        <f>IF(F6873="","none",IF(G6873=1,"carte","multiple"))</f>
        <v/>
      </c>
    </row>
    <row r="6874">
      <c r="A6874" t="inlineStr">
        <is>
          <t>2022-11-17</t>
        </is>
      </c>
      <c r="B6874" t="inlineStr">
        <is>
          <t>20:34</t>
        </is>
      </c>
      <c r="C6874" t="n">
        <v>3101</v>
      </c>
      <c r="D6874" s="6" t="n">
        <v>19.9</v>
      </c>
      <c r="E6874" t="n">
        <v>44071</v>
      </c>
      <c r="F6874" s="6" t="n">
        <v>19.9</v>
      </c>
      <c r="G6874" t="n">
        <v>1</v>
      </c>
      <c r="H6874" s="6">
        <f>ROUND(G6874*F6874,2)</f>
        <v/>
      </c>
      <c r="I6874">
        <f>IF(ROUND(H6874-D6874,2)=0,1,0)</f>
        <v/>
      </c>
      <c r="J6874">
        <f>IF(F6874="","none",IF(G6874=1,"carte","multiple"))</f>
        <v/>
      </c>
    </row>
    <row r="6875">
      <c r="A6875" t="inlineStr">
        <is>
          <t>2022-11-17</t>
        </is>
      </c>
      <c r="B6875" t="inlineStr">
        <is>
          <t>20:34</t>
        </is>
      </c>
      <c r="C6875" t="n">
        <v>3101</v>
      </c>
      <c r="D6875" s="6" t="n">
        <v>4.5</v>
      </c>
      <c r="E6875" t="n">
        <v>44072</v>
      </c>
      <c r="F6875" s="6" t="n">
        <v>4.5</v>
      </c>
      <c r="G6875" t="n">
        <v>1</v>
      </c>
      <c r="H6875" s="6">
        <f>ROUND(G6875*F6875,2)</f>
        <v/>
      </c>
      <c r="I6875">
        <f>IF(ROUND(H6875-D6875,2)=0,1,0)</f>
        <v/>
      </c>
      <c r="J6875">
        <f>IF(F6875="","none",IF(G6875=1,"carte","multiple"))</f>
        <v/>
      </c>
    </row>
    <row r="6876">
      <c r="A6876" t="inlineStr">
        <is>
          <t>2022-11-17</t>
        </is>
      </c>
      <c r="B6876" t="inlineStr">
        <is>
          <t>20:34</t>
        </is>
      </c>
      <c r="C6876" t="n">
        <v>3101</v>
      </c>
      <c r="D6876" s="6" t="n">
        <v>3.8</v>
      </c>
      <c r="E6876" t="n">
        <v>44073</v>
      </c>
      <c r="F6876" s="6" t="n">
        <v>3.8</v>
      </c>
      <c r="G6876" t="n">
        <v>1</v>
      </c>
      <c r="H6876" s="6">
        <f>ROUND(G6876*F6876,2)</f>
        <v/>
      </c>
      <c r="I6876">
        <f>IF(ROUND(H6876-D6876,2)=0,1,0)</f>
        <v/>
      </c>
      <c r="J6876">
        <f>IF(F6876="","none",IF(G6876=1,"carte","multiple"))</f>
        <v/>
      </c>
    </row>
    <row r="6877">
      <c r="A6877" t="inlineStr">
        <is>
          <t>2022-11-17</t>
        </is>
      </c>
      <c r="B6877" t="inlineStr">
        <is>
          <t>20:34</t>
        </is>
      </c>
      <c r="C6877" t="n">
        <v>3101</v>
      </c>
      <c r="D6877" s="6" t="n">
        <v>13.4</v>
      </c>
      <c r="E6877" t="n">
        <v>44074</v>
      </c>
      <c r="F6877" s="6" t="n">
        <v>13.4</v>
      </c>
      <c r="G6877" t="n">
        <v>1</v>
      </c>
      <c r="H6877" s="6">
        <f>ROUND(G6877*F6877,2)</f>
        <v/>
      </c>
      <c r="I6877">
        <f>IF(ROUND(H6877-D6877,2)=0,1,0)</f>
        <v/>
      </c>
      <c r="J6877">
        <f>IF(F6877="","none",IF(G6877=1,"carte","multiple"))</f>
        <v/>
      </c>
    </row>
    <row r="6878">
      <c r="A6878" t="inlineStr">
        <is>
          <t>2022-11-18</t>
        </is>
      </c>
      <c r="B6878" t="inlineStr">
        <is>
          <t>10:49</t>
        </is>
      </c>
      <c r="C6878" t="n">
        <v>3102</v>
      </c>
      <c r="D6878" s="6" t="n">
        <v>16.9</v>
      </c>
      <c r="E6878" t="n">
        <v>44077</v>
      </c>
      <c r="F6878" s="6" t="n">
        <v>16.9</v>
      </c>
      <c r="G6878" t="n">
        <v>1</v>
      </c>
      <c r="H6878" s="6">
        <f>ROUND(G6878*F6878,2)</f>
        <v/>
      </c>
      <c r="I6878">
        <f>IF(ROUND(H6878-D6878,2)=0,1,0)</f>
        <v/>
      </c>
      <c r="J6878">
        <f>IF(F6878="","none",IF(G6878=1,"carte","multiple"))</f>
        <v/>
      </c>
    </row>
    <row r="6879">
      <c r="A6879" t="inlineStr">
        <is>
          <t>2022-11-18</t>
        </is>
      </c>
      <c r="B6879" t="inlineStr">
        <is>
          <t>18:20</t>
        </is>
      </c>
      <c r="C6879" t="n">
        <v>3102</v>
      </c>
      <c r="D6879" s="6" t="n">
        <v>4</v>
      </c>
      <c r="E6879" t="n">
        <v>44078</v>
      </c>
      <c r="F6879" s="6" t="n">
        <v>4</v>
      </c>
      <c r="G6879" t="n">
        <v>1</v>
      </c>
      <c r="H6879" s="6">
        <f>ROUND(G6879*F6879,2)</f>
        <v/>
      </c>
      <c r="I6879">
        <f>IF(ROUND(H6879-D6879,2)=0,1,0)</f>
        <v/>
      </c>
      <c r="J6879">
        <f>IF(F6879="","none",IF(G6879=1,"carte","multiple"))</f>
        <v/>
      </c>
    </row>
    <row r="6880">
      <c r="A6880" t="inlineStr">
        <is>
          <t>2022-11-18</t>
        </is>
      </c>
      <c r="B6880" t="inlineStr">
        <is>
          <t>19:20</t>
        </is>
      </c>
      <c r="C6880" t="n">
        <v>3102</v>
      </c>
      <c r="D6880" s="6" t="n">
        <v>12.5</v>
      </c>
      <c r="E6880" t="n">
        <v>44079</v>
      </c>
      <c r="F6880" s="6" t="n">
        <v>12.5</v>
      </c>
      <c r="G6880" t="n">
        <v>1</v>
      </c>
      <c r="H6880" s="6">
        <f>ROUND(G6880*F6880,2)</f>
        <v/>
      </c>
      <c r="I6880">
        <f>IF(ROUND(H6880-D6880,2)=0,1,0)</f>
        <v/>
      </c>
      <c r="J6880">
        <f>IF(F6880="","none",IF(G6880=1,"carte","multiple"))</f>
        <v/>
      </c>
    </row>
    <row r="6881">
      <c r="A6881" t="inlineStr">
        <is>
          <t>2022-11-18</t>
        </is>
      </c>
      <c r="B6881" t="inlineStr">
        <is>
          <t>19:21</t>
        </is>
      </c>
      <c r="C6881" t="n">
        <v>3102</v>
      </c>
      <c r="D6881" s="6" t="n">
        <v>7.8</v>
      </c>
      <c r="E6881" t="n">
        <v>44080</v>
      </c>
      <c r="F6881" s="6" t="n">
        <v>7.8</v>
      </c>
      <c r="G6881" t="n">
        <v>1</v>
      </c>
      <c r="H6881" s="6">
        <f>ROUND(G6881*F6881,2)</f>
        <v/>
      </c>
      <c r="I6881">
        <f>IF(ROUND(H6881-D6881,2)=0,1,0)</f>
        <v/>
      </c>
      <c r="J6881">
        <f>IF(F6881="","none",IF(G6881=1,"carte","multiple"))</f>
        <v/>
      </c>
    </row>
    <row r="6882">
      <c r="A6882" t="inlineStr">
        <is>
          <t>2022-11-18</t>
        </is>
      </c>
      <c r="B6882" t="inlineStr">
        <is>
          <t>19:21</t>
        </is>
      </c>
      <c r="C6882" t="n">
        <v>3102</v>
      </c>
      <c r="D6882" s="6" t="n">
        <v>5.2</v>
      </c>
      <c r="E6882" t="n">
        <v>44081</v>
      </c>
      <c r="F6882" s="6" t="n">
        <v>5.2</v>
      </c>
      <c r="G6882" t="n">
        <v>1</v>
      </c>
      <c r="H6882" s="6">
        <f>ROUND(G6882*F6882,2)</f>
        <v/>
      </c>
      <c r="I6882">
        <f>IF(ROUND(H6882-D6882,2)=0,1,0)</f>
        <v/>
      </c>
      <c r="J6882">
        <f>IF(F6882="","none",IF(G6882=1,"carte","multiple"))</f>
        <v/>
      </c>
    </row>
    <row r="6883">
      <c r="A6883" t="inlineStr">
        <is>
          <t>2022-11-18</t>
        </is>
      </c>
      <c r="B6883" t="inlineStr">
        <is>
          <t>19:21</t>
        </is>
      </c>
      <c r="C6883" t="n">
        <v>3102</v>
      </c>
      <c r="D6883" s="6" t="n">
        <v>3.9</v>
      </c>
      <c r="E6883" t="n">
        <v>44082</v>
      </c>
      <c r="F6883" s="6" t="n">
        <v>3.9</v>
      </c>
      <c r="G6883" t="n">
        <v>1</v>
      </c>
      <c r="H6883" s="6">
        <f>ROUND(G6883*F6883,2)</f>
        <v/>
      </c>
      <c r="I6883">
        <f>IF(ROUND(H6883-D6883,2)=0,1,0)</f>
        <v/>
      </c>
      <c r="J6883">
        <f>IF(F6883="","none",IF(G6883=1,"carte","multiple"))</f>
        <v/>
      </c>
    </row>
    <row r="6884">
      <c r="A6884" t="inlineStr">
        <is>
          <t>2022-11-18</t>
        </is>
      </c>
      <c r="B6884" t="inlineStr">
        <is>
          <t>19:21</t>
        </is>
      </c>
      <c r="C6884" t="n">
        <v>3102</v>
      </c>
      <c r="D6884" s="6" t="n">
        <v>9.800000000000001</v>
      </c>
      <c r="E6884" t="n">
        <v>44083</v>
      </c>
      <c r="F6884" s="6" t="n">
        <v>9.800000000000001</v>
      </c>
      <c r="G6884" t="n">
        <v>1</v>
      </c>
      <c r="H6884" s="6">
        <f>ROUND(G6884*F6884,2)</f>
        <v/>
      </c>
      <c r="I6884">
        <f>IF(ROUND(H6884-D6884,2)=0,1,0)</f>
        <v/>
      </c>
      <c r="J6884">
        <f>IF(F6884="","none",IF(G6884=1,"carte","multiple"))</f>
        <v/>
      </c>
    </row>
    <row r="6885">
      <c r="A6885" t="inlineStr">
        <is>
          <t>2022-11-18</t>
        </is>
      </c>
      <c r="B6885" t="inlineStr">
        <is>
          <t>19:21</t>
        </is>
      </c>
      <c r="C6885" t="n">
        <v>3102</v>
      </c>
      <c r="D6885" s="6" t="n">
        <v>19.9</v>
      </c>
      <c r="E6885" t="n">
        <v>44084</v>
      </c>
      <c r="F6885" s="6" t="n">
        <v>19.9</v>
      </c>
      <c r="G6885" t="n">
        <v>1</v>
      </c>
      <c r="H6885" s="6">
        <f>ROUND(G6885*F6885,2)</f>
        <v/>
      </c>
      <c r="I6885">
        <f>IF(ROUND(H6885-D6885,2)=0,1,0)</f>
        <v/>
      </c>
      <c r="J6885">
        <f>IF(F6885="","none",IF(G6885=1,"carte","multiple"))</f>
        <v/>
      </c>
    </row>
    <row r="6886">
      <c r="A6886" t="inlineStr">
        <is>
          <t>2022-11-18</t>
        </is>
      </c>
      <c r="B6886" t="inlineStr">
        <is>
          <t>19:21</t>
        </is>
      </c>
      <c r="C6886" t="n">
        <v>3102</v>
      </c>
      <c r="D6886" s="6" t="n">
        <v>25</v>
      </c>
      <c r="E6886" t="n">
        <v>44085</v>
      </c>
      <c r="F6886" s="6" t="n">
        <v>25</v>
      </c>
      <c r="G6886" t="n">
        <v>1</v>
      </c>
      <c r="H6886" s="6">
        <f>ROUND(G6886*F6886,2)</f>
        <v/>
      </c>
      <c r="I6886">
        <f>IF(ROUND(H6886-D6886,2)=0,1,0)</f>
        <v/>
      </c>
      <c r="J6886">
        <f>IF(F6886="","none",IF(G6886=1,"carte","multiple"))</f>
        <v/>
      </c>
    </row>
    <row r="6887">
      <c r="A6887" t="inlineStr">
        <is>
          <t>2022-11-18</t>
        </is>
      </c>
      <c r="B6887" t="inlineStr">
        <is>
          <t>19:21</t>
        </is>
      </c>
      <c r="C6887" t="n">
        <v>3102</v>
      </c>
      <c r="D6887" s="6" t="n">
        <v>3.8</v>
      </c>
      <c r="E6887" t="n">
        <v>44086</v>
      </c>
      <c r="F6887" s="6" t="n">
        <v>3.8</v>
      </c>
      <c r="G6887" t="n">
        <v>1</v>
      </c>
      <c r="H6887" s="6">
        <f>ROUND(G6887*F6887,2)</f>
        <v/>
      </c>
      <c r="I6887">
        <f>IF(ROUND(H6887-D6887,2)=0,1,0)</f>
        <v/>
      </c>
      <c r="J6887">
        <f>IF(F6887="","none",IF(G6887=1,"carte","multiple"))</f>
        <v/>
      </c>
    </row>
    <row r="6888">
      <c r="A6888" t="inlineStr">
        <is>
          <t>2022-11-18</t>
        </is>
      </c>
      <c r="B6888" t="inlineStr">
        <is>
          <t>19:33</t>
        </is>
      </c>
      <c r="C6888" t="n">
        <v>3102</v>
      </c>
      <c r="D6888" s="6" t="n">
        <v>4.4</v>
      </c>
      <c r="E6888" t="n">
        <v>44087</v>
      </c>
      <c r="F6888" s="6" t="n">
        <v>0.4</v>
      </c>
      <c r="G6888" t="n">
        <v>11</v>
      </c>
      <c r="H6888" s="6">
        <f>ROUND(G6888*F6888,2)</f>
        <v/>
      </c>
      <c r="I6888">
        <f>IF(ROUND(H6888-D6888,2)=0,1,0)</f>
        <v/>
      </c>
      <c r="J6888">
        <f>IF(F6888="","none",IF(G6888=1,"carte","multiple"))</f>
        <v/>
      </c>
    </row>
    <row r="6889">
      <c r="A6889" t="inlineStr">
        <is>
          <t>2022-11-18</t>
        </is>
      </c>
      <c r="B6889" t="inlineStr">
        <is>
          <t>19:33</t>
        </is>
      </c>
      <c r="C6889" t="n">
        <v>3102</v>
      </c>
      <c r="D6889" s="6" t="n">
        <v>8.300000000000001</v>
      </c>
      <c r="E6889" t="n">
        <v>44088</v>
      </c>
      <c r="F6889" s="6" t="n">
        <v>8.300000000000001</v>
      </c>
      <c r="G6889" t="n">
        <v>1</v>
      </c>
      <c r="H6889" s="6">
        <f>ROUND(G6889*F6889,2)</f>
        <v/>
      </c>
      <c r="I6889">
        <f>IF(ROUND(H6889-D6889,2)=0,1,0)</f>
        <v/>
      </c>
      <c r="J6889">
        <f>IF(F6889="","none",IF(G6889=1,"carte","multiple"))</f>
        <v/>
      </c>
    </row>
    <row r="6890">
      <c r="A6890" t="inlineStr">
        <is>
          <t>2022-11-18</t>
        </is>
      </c>
      <c r="B6890" t="inlineStr">
        <is>
          <t>19:33</t>
        </is>
      </c>
      <c r="C6890" t="n">
        <v>3102</v>
      </c>
      <c r="D6890" s="6" t="n">
        <v>10.9</v>
      </c>
      <c r="E6890" t="n">
        <v>44089</v>
      </c>
      <c r="F6890" s="6" t="n">
        <v>10.9</v>
      </c>
      <c r="G6890" t="n">
        <v>1</v>
      </c>
      <c r="H6890" s="6">
        <f>ROUND(G6890*F6890,2)</f>
        <v/>
      </c>
      <c r="I6890">
        <f>IF(ROUND(H6890-D6890,2)=0,1,0)</f>
        <v/>
      </c>
      <c r="J6890">
        <f>IF(F6890="","none",IF(G6890=1,"carte","multiple"))</f>
        <v/>
      </c>
    </row>
    <row r="6891">
      <c r="A6891" t="inlineStr">
        <is>
          <t>2022-11-18</t>
        </is>
      </c>
      <c r="B6891" t="inlineStr">
        <is>
          <t>19:33</t>
        </is>
      </c>
      <c r="C6891" t="n">
        <v>3102</v>
      </c>
      <c r="D6891" s="6" t="n">
        <v>19</v>
      </c>
      <c r="E6891" t="n">
        <v>44090</v>
      </c>
      <c r="F6891" s="6" t="n">
        <v>19</v>
      </c>
      <c r="G6891" t="n">
        <v>1</v>
      </c>
      <c r="H6891" s="6">
        <f>ROUND(G6891*F6891,2)</f>
        <v/>
      </c>
      <c r="I6891">
        <f>IF(ROUND(H6891-D6891,2)=0,1,0)</f>
        <v/>
      </c>
      <c r="J6891">
        <f>IF(F6891="","none",IF(G6891=1,"carte","multiple"))</f>
        <v/>
      </c>
    </row>
    <row r="6892">
      <c r="A6892" t="inlineStr">
        <is>
          <t>2022-11-18</t>
        </is>
      </c>
      <c r="B6892" t="inlineStr">
        <is>
          <t>19:33</t>
        </is>
      </c>
      <c r="C6892" t="n">
        <v>3102</v>
      </c>
      <c r="D6892" s="6" t="n">
        <v>16.8</v>
      </c>
      <c r="E6892" t="n">
        <v>44091</v>
      </c>
      <c r="F6892" s="6" t="n">
        <v>16.8</v>
      </c>
      <c r="G6892" t="n">
        <v>1</v>
      </c>
      <c r="H6892" s="6">
        <f>ROUND(G6892*F6892,2)</f>
        <v/>
      </c>
      <c r="I6892">
        <f>IF(ROUND(H6892-D6892,2)=0,1,0)</f>
        <v/>
      </c>
      <c r="J6892">
        <f>IF(F6892="","none",IF(G6892=1,"carte","multiple"))</f>
        <v/>
      </c>
    </row>
    <row r="6893">
      <c r="A6893" t="inlineStr">
        <is>
          <t>2022-11-18</t>
        </is>
      </c>
      <c r="B6893" t="inlineStr">
        <is>
          <t>19:33</t>
        </is>
      </c>
      <c r="C6893" t="n">
        <v>3102</v>
      </c>
      <c r="D6893" s="6" t="n">
        <v>19.8</v>
      </c>
      <c r="E6893" t="n">
        <v>44092</v>
      </c>
      <c r="F6893" s="6" t="n">
        <v>19.8</v>
      </c>
      <c r="G6893" t="n">
        <v>1</v>
      </c>
      <c r="H6893" s="6">
        <f>ROUND(G6893*F6893,2)</f>
        <v/>
      </c>
      <c r="I6893">
        <f>IF(ROUND(H6893-D6893,2)=0,1,0)</f>
        <v/>
      </c>
      <c r="J6893">
        <f>IF(F6893="","none",IF(G6893=1,"carte","multiple"))</f>
        <v/>
      </c>
    </row>
    <row r="6894">
      <c r="A6894" t="inlineStr">
        <is>
          <t>2022-11-18</t>
        </is>
      </c>
      <c r="B6894" t="inlineStr">
        <is>
          <t>19:33</t>
        </is>
      </c>
      <c r="C6894" t="n">
        <v>3102</v>
      </c>
      <c r="D6894" s="6" t="n">
        <v>5.2</v>
      </c>
      <c r="E6894" t="n">
        <v>44093</v>
      </c>
      <c r="F6894" s="6" t="n">
        <v>5.2</v>
      </c>
      <c r="G6894" t="n">
        <v>1</v>
      </c>
      <c r="H6894" s="6">
        <f>ROUND(G6894*F6894,2)</f>
        <v/>
      </c>
      <c r="I6894">
        <f>IF(ROUND(H6894-D6894,2)=0,1,0)</f>
        <v/>
      </c>
      <c r="J6894">
        <f>IF(F6894="","none",IF(G6894=1,"carte","multiple"))</f>
        <v/>
      </c>
    </row>
    <row r="6895">
      <c r="A6895" t="inlineStr">
        <is>
          <t>2022-11-18</t>
        </is>
      </c>
      <c r="B6895" t="inlineStr">
        <is>
          <t>19:33</t>
        </is>
      </c>
      <c r="C6895" t="n">
        <v>3102</v>
      </c>
      <c r="D6895" s="6" t="n">
        <v>5.2</v>
      </c>
      <c r="E6895" t="n">
        <v>44094</v>
      </c>
      <c r="F6895" s="6" t="n">
        <v>5.2</v>
      </c>
      <c r="G6895" t="n">
        <v>1</v>
      </c>
      <c r="H6895" s="6">
        <f>ROUND(G6895*F6895,2)</f>
        <v/>
      </c>
      <c r="I6895">
        <f>IF(ROUND(H6895-D6895,2)=0,1,0)</f>
        <v/>
      </c>
      <c r="J6895">
        <f>IF(F6895="","none",IF(G6895=1,"carte","multiple"))</f>
        <v/>
      </c>
    </row>
    <row r="6896">
      <c r="A6896" t="inlineStr">
        <is>
          <t>2022-11-18</t>
        </is>
      </c>
      <c r="B6896" t="inlineStr">
        <is>
          <t>19:33</t>
        </is>
      </c>
      <c r="C6896" t="n">
        <v>3102</v>
      </c>
      <c r="D6896" s="6" t="n">
        <v>7.8</v>
      </c>
      <c r="E6896" t="n">
        <v>44095</v>
      </c>
      <c r="F6896" s="6" t="n">
        <v>7.8</v>
      </c>
      <c r="G6896" t="n">
        <v>1</v>
      </c>
      <c r="H6896" s="6">
        <f>ROUND(G6896*F6896,2)</f>
        <v/>
      </c>
      <c r="I6896">
        <f>IF(ROUND(H6896-D6896,2)=0,1,0)</f>
        <v/>
      </c>
      <c r="J6896">
        <f>IF(F6896="","none",IF(G6896=1,"carte","multiple"))</f>
        <v/>
      </c>
    </row>
    <row r="6897">
      <c r="A6897" t="inlineStr">
        <is>
          <t>2022-11-18</t>
        </is>
      </c>
      <c r="B6897" t="inlineStr">
        <is>
          <t>19:33</t>
        </is>
      </c>
      <c r="C6897" t="n">
        <v>3102</v>
      </c>
      <c r="D6897" s="6" t="n">
        <v>32</v>
      </c>
      <c r="E6897" t="n">
        <v>44096</v>
      </c>
      <c r="F6897" s="6" t="n">
        <v>32</v>
      </c>
      <c r="G6897" t="n">
        <v>1</v>
      </c>
      <c r="H6897" s="6">
        <f>ROUND(G6897*F6897,2)</f>
        <v/>
      </c>
      <c r="I6897">
        <f>IF(ROUND(H6897-D6897,2)=0,1,0)</f>
        <v/>
      </c>
      <c r="J6897">
        <f>IF(F6897="","none",IF(G6897=1,"carte","multiple"))</f>
        <v/>
      </c>
    </row>
    <row r="6898">
      <c r="A6898" t="inlineStr">
        <is>
          <t>2022-11-19</t>
        </is>
      </c>
      <c r="B6898" t="inlineStr">
        <is>
          <t>12:35</t>
        </is>
      </c>
      <c r="C6898" t="n">
        <v>3103</v>
      </c>
      <c r="D6898" s="6" t="n">
        <v>14.4</v>
      </c>
      <c r="E6898" t="n">
        <v>44099</v>
      </c>
      <c r="F6898" s="6" t="n">
        <v>0.4</v>
      </c>
      <c r="G6898" t="n">
        <v>36</v>
      </c>
      <c r="H6898" s="6">
        <f>ROUND(G6898*F6898,2)</f>
        <v/>
      </c>
      <c r="I6898">
        <f>IF(ROUND(H6898-D6898,2)=0,1,0)</f>
        <v/>
      </c>
      <c r="J6898">
        <f>IF(F6898="","none",IF(G6898=1,"carte","multiple"))</f>
        <v/>
      </c>
    </row>
    <row r="6899">
      <c r="A6899" t="inlineStr">
        <is>
          <t>2022-11-19</t>
        </is>
      </c>
      <c r="B6899" t="inlineStr">
        <is>
          <t>12:35</t>
        </is>
      </c>
      <c r="C6899" t="n">
        <v>3103</v>
      </c>
      <c r="D6899" s="6" t="n">
        <v>68</v>
      </c>
      <c r="E6899" t="n">
        <v>44100</v>
      </c>
      <c r="F6899" s="6" t="n">
        <v>0.4</v>
      </c>
      <c r="G6899" t="n">
        <v>170</v>
      </c>
      <c r="H6899" s="6">
        <f>ROUND(G6899*F6899,2)</f>
        <v/>
      </c>
      <c r="I6899">
        <f>IF(ROUND(H6899-D6899,2)=0,1,0)</f>
        <v/>
      </c>
      <c r="J6899">
        <f>IF(F6899="","none",IF(G6899=1,"carte","multiple"))</f>
        <v/>
      </c>
    </row>
    <row r="6900">
      <c r="A6900" t="inlineStr">
        <is>
          <t>2022-11-19</t>
        </is>
      </c>
      <c r="B6900" t="inlineStr">
        <is>
          <t>12:35</t>
        </is>
      </c>
      <c r="C6900" t="n">
        <v>3103</v>
      </c>
      <c r="D6900" s="6" t="n">
        <v>4.9</v>
      </c>
      <c r="E6900" t="n">
        <v>44101</v>
      </c>
      <c r="F6900" s="6" t="n">
        <v>4.9</v>
      </c>
      <c r="G6900" t="n">
        <v>1</v>
      </c>
      <c r="H6900" s="6">
        <f>ROUND(G6900*F6900,2)</f>
        <v/>
      </c>
      <c r="I6900">
        <f>IF(ROUND(H6900-D6900,2)=0,1,0)</f>
        <v/>
      </c>
      <c r="J6900">
        <f>IF(F6900="","none",IF(G6900=1,"carte","multiple"))</f>
        <v/>
      </c>
    </row>
    <row r="6901">
      <c r="A6901" t="inlineStr">
        <is>
          <t>2022-11-19</t>
        </is>
      </c>
      <c r="B6901" t="inlineStr">
        <is>
          <t>12:35</t>
        </is>
      </c>
      <c r="C6901" t="n">
        <v>3103</v>
      </c>
      <c r="D6901" s="6" t="n">
        <v>5.2</v>
      </c>
      <c r="E6901" t="n">
        <v>44102</v>
      </c>
      <c r="F6901" s="6" t="n">
        <v>5.2</v>
      </c>
      <c r="G6901" t="n">
        <v>1</v>
      </c>
      <c r="H6901" s="6">
        <f>ROUND(G6901*F6901,2)</f>
        <v/>
      </c>
      <c r="I6901">
        <f>IF(ROUND(H6901-D6901,2)=0,1,0)</f>
        <v/>
      </c>
      <c r="J6901">
        <f>IF(F6901="","none",IF(G6901=1,"carte","multiple"))</f>
        <v/>
      </c>
    </row>
    <row r="6902">
      <c r="A6902" t="inlineStr">
        <is>
          <t>2022-11-19</t>
        </is>
      </c>
      <c r="B6902" t="inlineStr">
        <is>
          <t>12:37</t>
        </is>
      </c>
      <c r="C6902" t="n">
        <v>3103</v>
      </c>
      <c r="D6902" s="6" t="n">
        <v>2</v>
      </c>
      <c r="E6902" t="n">
        <v>44103</v>
      </c>
      <c r="F6902" s="6" t="n">
        <v>2</v>
      </c>
      <c r="G6902" t="n">
        <v>1</v>
      </c>
      <c r="H6902" s="6">
        <f>ROUND(G6902*F6902,2)</f>
        <v/>
      </c>
      <c r="I6902">
        <f>IF(ROUND(H6902-D6902,2)=0,1,0)</f>
        <v/>
      </c>
      <c r="J6902">
        <f>IF(F6902="","none",IF(G6902=1,"carte","multiple"))</f>
        <v/>
      </c>
    </row>
    <row r="6903">
      <c r="A6903" t="inlineStr">
        <is>
          <t>2022-11-19</t>
        </is>
      </c>
      <c r="B6903" t="inlineStr">
        <is>
          <t>12:39</t>
        </is>
      </c>
      <c r="C6903" t="n">
        <v>3103</v>
      </c>
      <c r="D6903" s="6" t="n">
        <v>3.9</v>
      </c>
      <c r="E6903" t="n">
        <v>44104</v>
      </c>
      <c r="F6903" s="6" t="n">
        <v>3.9</v>
      </c>
      <c r="G6903" t="n">
        <v>1</v>
      </c>
      <c r="H6903" s="6">
        <f>ROUND(G6903*F6903,2)</f>
        <v/>
      </c>
      <c r="I6903">
        <f>IF(ROUND(H6903-D6903,2)=0,1,0)</f>
        <v/>
      </c>
      <c r="J6903">
        <f>IF(F6903="","none",IF(G6903=1,"carte","multiple"))</f>
        <v/>
      </c>
    </row>
    <row r="6904">
      <c r="A6904" t="inlineStr">
        <is>
          <t>2022-11-19</t>
        </is>
      </c>
      <c r="B6904" t="inlineStr">
        <is>
          <t>12:39</t>
        </is>
      </c>
      <c r="C6904" t="n">
        <v>3103</v>
      </c>
      <c r="D6904" s="6" t="n">
        <v>8.5</v>
      </c>
      <c r="E6904" t="n">
        <v>44105</v>
      </c>
      <c r="F6904" s="6" t="n">
        <v>8.5</v>
      </c>
      <c r="G6904" t="n">
        <v>1</v>
      </c>
      <c r="H6904" s="6">
        <f>ROUND(G6904*F6904,2)</f>
        <v/>
      </c>
      <c r="I6904">
        <f>IF(ROUND(H6904-D6904,2)=0,1,0)</f>
        <v/>
      </c>
      <c r="J6904">
        <f>IF(F6904="","none",IF(G6904=1,"carte","multiple"))</f>
        <v/>
      </c>
    </row>
    <row r="6905">
      <c r="A6905" t="inlineStr">
        <is>
          <t>2022-11-19</t>
        </is>
      </c>
      <c r="B6905" t="inlineStr">
        <is>
          <t>12:39</t>
        </is>
      </c>
      <c r="C6905" t="n">
        <v>3103</v>
      </c>
      <c r="D6905" s="6" t="n">
        <v>3.9</v>
      </c>
      <c r="E6905" t="n">
        <v>44106</v>
      </c>
      <c r="F6905" s="6" t="n">
        <v>3.9</v>
      </c>
      <c r="G6905" t="n">
        <v>1</v>
      </c>
      <c r="H6905" s="6">
        <f>ROUND(G6905*F6905,2)</f>
        <v/>
      </c>
      <c r="I6905">
        <f>IF(ROUND(H6905-D6905,2)=0,1,0)</f>
        <v/>
      </c>
      <c r="J6905">
        <f>IF(F6905="","none",IF(G6905=1,"carte","multiple"))</f>
        <v/>
      </c>
    </row>
    <row r="6906">
      <c r="A6906" t="inlineStr">
        <is>
          <t>2022-11-19</t>
        </is>
      </c>
      <c r="B6906" t="inlineStr">
        <is>
          <t>12:39</t>
        </is>
      </c>
      <c r="C6906" t="n">
        <v>3103</v>
      </c>
      <c r="D6906" s="6" t="n">
        <v>5.9</v>
      </c>
      <c r="E6906" t="n">
        <v>44107</v>
      </c>
      <c r="F6906" s="6" t="n">
        <v>5.9</v>
      </c>
      <c r="G6906" t="n">
        <v>1</v>
      </c>
      <c r="H6906" s="6">
        <f>ROUND(G6906*F6906,2)</f>
        <v/>
      </c>
      <c r="I6906">
        <f>IF(ROUND(H6906-D6906,2)=0,1,0)</f>
        <v/>
      </c>
      <c r="J6906">
        <f>IF(F6906="","none",IF(G6906=1,"carte","multiple"))</f>
        <v/>
      </c>
    </row>
    <row r="6907">
      <c r="A6907" t="inlineStr">
        <is>
          <t>2022-11-19</t>
        </is>
      </c>
      <c r="B6907" t="inlineStr">
        <is>
          <t>12:39</t>
        </is>
      </c>
      <c r="C6907" t="n">
        <v>3103</v>
      </c>
      <c r="D6907" s="6" t="n">
        <v>50.7</v>
      </c>
      <c r="E6907" t="n">
        <v>44108</v>
      </c>
      <c r="F6907" s="6" t="n">
        <v>3.9</v>
      </c>
      <c r="G6907" t="n">
        <v>13</v>
      </c>
      <c r="H6907" s="6">
        <f>ROUND(G6907*F6907,2)</f>
        <v/>
      </c>
      <c r="I6907">
        <f>IF(ROUND(H6907-D6907,2)=0,1,0)</f>
        <v/>
      </c>
      <c r="J6907">
        <f>IF(F6907="","none",IF(G6907=1,"carte","multiple"))</f>
        <v/>
      </c>
    </row>
    <row r="6908">
      <c r="A6908" t="inlineStr">
        <is>
          <t>2022-11-19</t>
        </is>
      </c>
      <c r="B6908" t="inlineStr">
        <is>
          <t>12:39</t>
        </is>
      </c>
      <c r="C6908" t="n">
        <v>3103</v>
      </c>
      <c r="D6908" s="6" t="n">
        <v>38</v>
      </c>
      <c r="E6908" t="n">
        <v>44109</v>
      </c>
      <c r="F6908" s="6" t="n">
        <v>0.4</v>
      </c>
      <c r="G6908" t="n">
        <v>95</v>
      </c>
      <c r="H6908" s="6">
        <f>ROUND(G6908*F6908,2)</f>
        <v/>
      </c>
      <c r="I6908">
        <f>IF(ROUND(H6908-D6908,2)=0,1,0)</f>
        <v/>
      </c>
      <c r="J6908">
        <f>IF(F6908="","none",IF(G6908=1,"carte","multiple"))</f>
        <v/>
      </c>
    </row>
    <row r="6909">
      <c r="A6909" t="inlineStr">
        <is>
          <t>2022-11-19</t>
        </is>
      </c>
      <c r="B6909" t="inlineStr">
        <is>
          <t>12:39</t>
        </is>
      </c>
      <c r="C6909" t="n">
        <v>3103</v>
      </c>
      <c r="D6909" s="6" t="n">
        <v>3.8</v>
      </c>
      <c r="E6909" t="n">
        <v>44110</v>
      </c>
      <c r="F6909" s="6" t="n">
        <v>3.8</v>
      </c>
      <c r="G6909" t="n">
        <v>1</v>
      </c>
      <c r="H6909" s="6">
        <f>ROUND(G6909*F6909,2)</f>
        <v/>
      </c>
      <c r="I6909">
        <f>IF(ROUND(H6909-D6909,2)=0,1,0)</f>
        <v/>
      </c>
      <c r="J6909">
        <f>IF(F6909="","none",IF(G6909=1,"carte","multiple"))</f>
        <v/>
      </c>
    </row>
    <row r="6910">
      <c r="A6910" t="inlineStr">
        <is>
          <t>2022-11-19</t>
        </is>
      </c>
      <c r="B6910" t="inlineStr">
        <is>
          <t>12:39</t>
        </is>
      </c>
      <c r="C6910" t="n">
        <v>3103</v>
      </c>
      <c r="D6910" s="6" t="n">
        <v>6.6</v>
      </c>
      <c r="E6910" t="n">
        <v>44111</v>
      </c>
      <c r="F6910" s="6" t="n">
        <v>6.6</v>
      </c>
      <c r="G6910" t="n">
        <v>1</v>
      </c>
      <c r="H6910" s="6">
        <f>ROUND(G6910*F6910,2)</f>
        <v/>
      </c>
      <c r="I6910">
        <f>IF(ROUND(H6910-D6910,2)=0,1,0)</f>
        <v/>
      </c>
      <c r="J6910">
        <f>IF(F6910="","none",IF(G6910=1,"carte","multiple"))</f>
        <v/>
      </c>
    </row>
    <row r="6911">
      <c r="A6911" t="inlineStr">
        <is>
          <t>2022-11-19</t>
        </is>
      </c>
      <c r="B6911" t="inlineStr">
        <is>
          <t>12:39</t>
        </is>
      </c>
      <c r="C6911" t="n">
        <v>3103</v>
      </c>
      <c r="D6911" s="6" t="n">
        <v>6.4</v>
      </c>
      <c r="E6911" t="n">
        <v>44112</v>
      </c>
      <c r="F6911" s="6" t="n">
        <v>6.4</v>
      </c>
      <c r="G6911" t="n">
        <v>1</v>
      </c>
      <c r="H6911" s="6">
        <f>ROUND(G6911*F6911,2)</f>
        <v/>
      </c>
      <c r="I6911">
        <f>IF(ROUND(H6911-D6911,2)=0,1,0)</f>
        <v/>
      </c>
      <c r="J6911">
        <f>IF(F6911="","none",IF(G6911=1,"carte","multiple"))</f>
        <v/>
      </c>
    </row>
    <row r="6912">
      <c r="A6912" t="inlineStr">
        <is>
          <t>2022-11-19</t>
        </is>
      </c>
      <c r="B6912" t="inlineStr">
        <is>
          <t>12:39</t>
        </is>
      </c>
      <c r="C6912" t="n">
        <v>3103</v>
      </c>
      <c r="D6912" s="6" t="n">
        <v>3.6</v>
      </c>
      <c r="E6912" t="n">
        <v>44113</v>
      </c>
      <c r="F6912" s="6" t="n">
        <v>3.6</v>
      </c>
      <c r="G6912" t="n">
        <v>1</v>
      </c>
      <c r="H6912" s="6">
        <f>ROUND(G6912*F6912,2)</f>
        <v/>
      </c>
      <c r="I6912">
        <f>IF(ROUND(H6912-D6912,2)=0,1,0)</f>
        <v/>
      </c>
      <c r="J6912">
        <f>IF(F6912="","none",IF(G6912=1,"carte","multiple"))</f>
        <v/>
      </c>
    </row>
    <row r="6913">
      <c r="A6913" t="inlineStr">
        <is>
          <t>2022-11-19</t>
        </is>
      </c>
      <c r="B6913" t="inlineStr">
        <is>
          <t>12:39</t>
        </is>
      </c>
      <c r="C6913" t="n">
        <v>3103</v>
      </c>
      <c r="D6913" s="6" t="n">
        <v>3.9</v>
      </c>
      <c r="E6913" t="n">
        <v>44114</v>
      </c>
      <c r="F6913" s="6" t="n">
        <v>3.9</v>
      </c>
      <c r="G6913" t="n">
        <v>1</v>
      </c>
      <c r="H6913" s="6">
        <f>ROUND(G6913*F6913,2)</f>
        <v/>
      </c>
      <c r="I6913">
        <f>IF(ROUND(H6913-D6913,2)=0,1,0)</f>
        <v/>
      </c>
      <c r="J6913">
        <f>IF(F6913="","none",IF(G6913=1,"carte","multiple"))</f>
        <v/>
      </c>
    </row>
    <row r="6914">
      <c r="A6914" t="inlineStr">
        <is>
          <t>2022-11-19</t>
        </is>
      </c>
      <c r="B6914" t="inlineStr">
        <is>
          <t>12:39</t>
        </is>
      </c>
      <c r="C6914" t="n">
        <v>3103</v>
      </c>
      <c r="D6914" s="6" t="n">
        <v>49.5</v>
      </c>
      <c r="E6914" t="n">
        <v>44115</v>
      </c>
      <c r="F6914" s="6" t="n">
        <v>0.5</v>
      </c>
      <c r="G6914" t="n">
        <v>99</v>
      </c>
      <c r="H6914" s="6">
        <f>ROUND(G6914*F6914,2)</f>
        <v/>
      </c>
      <c r="I6914">
        <f>IF(ROUND(H6914-D6914,2)=0,1,0)</f>
        <v/>
      </c>
      <c r="J6914">
        <f>IF(F6914="","none",IF(G6914=1,"carte","multiple"))</f>
        <v/>
      </c>
    </row>
    <row r="6915">
      <c r="A6915" t="inlineStr">
        <is>
          <t>2022-11-19</t>
        </is>
      </c>
      <c r="B6915" t="inlineStr">
        <is>
          <t>12:39</t>
        </is>
      </c>
      <c r="C6915" t="n">
        <v>3103</v>
      </c>
      <c r="D6915" s="6" t="n">
        <v>32</v>
      </c>
      <c r="E6915" t="n">
        <v>44116</v>
      </c>
      <c r="F6915" s="6" t="n">
        <v>32</v>
      </c>
      <c r="G6915" t="n">
        <v>1</v>
      </c>
      <c r="H6915" s="6">
        <f>ROUND(G6915*F6915,2)</f>
        <v/>
      </c>
      <c r="I6915">
        <f>IF(ROUND(H6915-D6915,2)=0,1,0)</f>
        <v/>
      </c>
      <c r="J6915">
        <f>IF(F6915="","none",IF(G6915=1,"carte","multiple"))</f>
        <v/>
      </c>
    </row>
    <row r="6916">
      <c r="A6916" t="inlineStr">
        <is>
          <t>2022-11-19</t>
        </is>
      </c>
      <c r="B6916" t="inlineStr">
        <is>
          <t>12:40</t>
        </is>
      </c>
      <c r="C6916" t="n">
        <v>3103</v>
      </c>
      <c r="D6916" s="6" t="n">
        <v>39.5</v>
      </c>
      <c r="E6916" t="n">
        <v>44117</v>
      </c>
      <c r="F6916" s="6" t="n">
        <v>39.5</v>
      </c>
      <c r="G6916" t="n">
        <v>1</v>
      </c>
      <c r="H6916" s="6">
        <f>ROUND(G6916*F6916,2)</f>
        <v/>
      </c>
      <c r="I6916">
        <f>IF(ROUND(H6916-D6916,2)=0,1,0)</f>
        <v/>
      </c>
      <c r="J6916">
        <f>IF(F6916="","none",IF(G6916=1,"carte","multiple"))</f>
        <v/>
      </c>
    </row>
    <row r="6917">
      <c r="A6917" t="inlineStr">
        <is>
          <t>2022-11-19</t>
        </is>
      </c>
      <c r="B6917" t="inlineStr">
        <is>
          <t>12:44</t>
        </is>
      </c>
      <c r="C6917" t="n">
        <v>3103</v>
      </c>
      <c r="D6917" s="6" t="n">
        <v>4.4</v>
      </c>
      <c r="E6917" t="n">
        <v>44118</v>
      </c>
      <c r="F6917" s="6" t="n">
        <v>0.4</v>
      </c>
      <c r="G6917" t="n">
        <v>11</v>
      </c>
      <c r="H6917" s="6">
        <f>ROUND(G6917*F6917,2)</f>
        <v/>
      </c>
      <c r="I6917">
        <f>IF(ROUND(H6917-D6917,2)=0,1,0)</f>
        <v/>
      </c>
      <c r="J6917">
        <f>IF(F6917="","none",IF(G6917=1,"carte","multiple"))</f>
        <v/>
      </c>
    </row>
    <row r="6918">
      <c r="A6918" t="inlineStr">
        <is>
          <t>2022-11-19</t>
        </is>
      </c>
      <c r="B6918" t="inlineStr">
        <is>
          <t>12:44</t>
        </is>
      </c>
      <c r="C6918" t="n">
        <v>3103</v>
      </c>
      <c r="D6918" s="6" t="n">
        <v>18.6</v>
      </c>
      <c r="E6918" t="n">
        <v>44119</v>
      </c>
      <c r="F6918" s="6" t="n">
        <v>18.6</v>
      </c>
      <c r="G6918" t="n">
        <v>1</v>
      </c>
      <c r="H6918" s="6">
        <f>ROUND(G6918*F6918,2)</f>
        <v/>
      </c>
      <c r="I6918">
        <f>IF(ROUND(H6918-D6918,2)=0,1,0)</f>
        <v/>
      </c>
      <c r="J6918">
        <f>IF(F6918="","none",IF(G6918=1,"carte","multiple"))</f>
        <v/>
      </c>
    </row>
    <row r="6919">
      <c r="A6919" t="inlineStr">
        <is>
          <t>2022-11-19</t>
        </is>
      </c>
      <c r="B6919" t="inlineStr">
        <is>
          <t>12:44</t>
        </is>
      </c>
      <c r="C6919" t="n">
        <v>3103</v>
      </c>
      <c r="D6919" s="6" t="n">
        <v>16.9</v>
      </c>
      <c r="E6919" t="n">
        <v>44120</v>
      </c>
      <c r="F6919" s="6" t="n">
        <v>16.9</v>
      </c>
      <c r="G6919" t="n">
        <v>1</v>
      </c>
      <c r="H6919" s="6">
        <f>ROUND(G6919*F6919,2)</f>
        <v/>
      </c>
      <c r="I6919">
        <f>IF(ROUND(H6919-D6919,2)=0,1,0)</f>
        <v/>
      </c>
      <c r="J6919">
        <f>IF(F6919="","none",IF(G6919=1,"carte","multiple"))</f>
        <v/>
      </c>
    </row>
    <row r="6920">
      <c r="A6920" t="inlineStr">
        <is>
          <t>2022-11-19</t>
        </is>
      </c>
      <c r="B6920" t="inlineStr">
        <is>
          <t>12:44</t>
        </is>
      </c>
      <c r="C6920" t="n">
        <v>3103</v>
      </c>
      <c r="D6920" s="6" t="n">
        <v>24</v>
      </c>
      <c r="E6920" t="n">
        <v>44121</v>
      </c>
      <c r="F6920" s="6" t="n">
        <v>24</v>
      </c>
      <c r="G6920" t="n">
        <v>1</v>
      </c>
      <c r="H6920" s="6">
        <f>ROUND(G6920*F6920,2)</f>
        <v/>
      </c>
      <c r="I6920">
        <f>IF(ROUND(H6920-D6920,2)=0,1,0)</f>
        <v/>
      </c>
      <c r="J6920">
        <f>IF(F6920="","none",IF(G6920=1,"carte","multiple"))</f>
        <v/>
      </c>
    </row>
    <row r="6921">
      <c r="A6921" t="inlineStr">
        <is>
          <t>2022-11-19</t>
        </is>
      </c>
      <c r="B6921" t="inlineStr">
        <is>
          <t>19:27</t>
        </is>
      </c>
      <c r="C6921" t="n">
        <v>3103</v>
      </c>
      <c r="D6921" s="6" t="n">
        <v>9.800000000000001</v>
      </c>
      <c r="E6921" t="n">
        <v>44125</v>
      </c>
      <c r="F6921" s="6" t="n">
        <v>9.800000000000001</v>
      </c>
      <c r="G6921" t="n">
        <v>1</v>
      </c>
      <c r="H6921" s="6">
        <f>ROUND(G6921*F6921,2)</f>
        <v/>
      </c>
      <c r="I6921">
        <f>IF(ROUND(H6921-D6921,2)=0,1,0)</f>
        <v/>
      </c>
      <c r="J6921">
        <f>IF(F6921="","none",IF(G6921=1,"carte","multiple"))</f>
        <v/>
      </c>
    </row>
    <row r="6922">
      <c r="A6922" t="inlineStr">
        <is>
          <t>2022-11-19</t>
        </is>
      </c>
      <c r="B6922" t="inlineStr">
        <is>
          <t>19:27</t>
        </is>
      </c>
      <c r="C6922" t="n">
        <v>3103</v>
      </c>
      <c r="D6922" s="6" t="n">
        <v>68</v>
      </c>
      <c r="E6922" t="n">
        <v>44126</v>
      </c>
      <c r="F6922" s="6" t="n">
        <v>0.4</v>
      </c>
      <c r="G6922" t="n">
        <v>170</v>
      </c>
      <c r="H6922" s="6">
        <f>ROUND(G6922*F6922,2)</f>
        <v/>
      </c>
      <c r="I6922">
        <f>IF(ROUND(H6922-D6922,2)=0,1,0)</f>
        <v/>
      </c>
      <c r="J6922">
        <f>IF(F6922="","none",IF(G6922=1,"carte","multiple"))</f>
        <v/>
      </c>
    </row>
    <row r="6923">
      <c r="A6923" t="inlineStr">
        <is>
          <t>2022-11-19</t>
        </is>
      </c>
      <c r="B6923" t="inlineStr">
        <is>
          <t>19:27</t>
        </is>
      </c>
      <c r="C6923" t="n">
        <v>3103</v>
      </c>
      <c r="D6923" s="6" t="n">
        <v>5.2</v>
      </c>
      <c r="E6923" t="n">
        <v>44127</v>
      </c>
      <c r="F6923" s="6" t="n">
        <v>5.2</v>
      </c>
      <c r="G6923" t="n">
        <v>1</v>
      </c>
      <c r="H6923" s="6">
        <f>ROUND(G6923*F6923,2)</f>
        <v/>
      </c>
      <c r="I6923">
        <f>IF(ROUND(H6923-D6923,2)=0,1,0)</f>
        <v/>
      </c>
      <c r="J6923">
        <f>IF(F6923="","none",IF(G6923=1,"carte","multiple"))</f>
        <v/>
      </c>
    </row>
    <row r="6924">
      <c r="A6924" t="inlineStr">
        <is>
          <t>2022-11-19</t>
        </is>
      </c>
      <c r="B6924" t="inlineStr">
        <is>
          <t>19:27</t>
        </is>
      </c>
      <c r="C6924" t="n">
        <v>3103</v>
      </c>
      <c r="D6924" s="6" t="n">
        <v>6</v>
      </c>
      <c r="E6924" t="n">
        <v>44128</v>
      </c>
      <c r="F6924" s="6" t="n">
        <v>6</v>
      </c>
      <c r="G6924" t="n">
        <v>1</v>
      </c>
      <c r="H6924" s="6">
        <f>ROUND(G6924*F6924,2)</f>
        <v/>
      </c>
      <c r="I6924">
        <f>IF(ROUND(H6924-D6924,2)=0,1,0)</f>
        <v/>
      </c>
      <c r="J6924">
        <f>IF(F6924="","none",IF(G6924=1,"carte","multiple"))</f>
        <v/>
      </c>
    </row>
    <row r="6925">
      <c r="A6925" t="inlineStr">
        <is>
          <t>2022-11-19</t>
        </is>
      </c>
      <c r="B6925" t="inlineStr">
        <is>
          <t>20:13</t>
        </is>
      </c>
      <c r="C6925" t="n">
        <v>3103</v>
      </c>
      <c r="D6925" s="6" t="n">
        <v>4.4</v>
      </c>
      <c r="E6925" t="n">
        <v>44129</v>
      </c>
      <c r="F6925" s="6" t="n">
        <v>0.4</v>
      </c>
      <c r="G6925" t="n">
        <v>11</v>
      </c>
      <c r="H6925" s="6">
        <f>ROUND(G6925*F6925,2)</f>
        <v/>
      </c>
      <c r="I6925">
        <f>IF(ROUND(H6925-D6925,2)=0,1,0)</f>
        <v/>
      </c>
      <c r="J6925">
        <f>IF(F6925="","none",IF(G6925=1,"carte","multiple"))</f>
        <v/>
      </c>
    </row>
    <row r="6926">
      <c r="A6926" t="inlineStr">
        <is>
          <t>2022-11-19</t>
        </is>
      </c>
      <c r="B6926" t="inlineStr">
        <is>
          <t>20:13</t>
        </is>
      </c>
      <c r="C6926" t="n">
        <v>3103</v>
      </c>
      <c r="D6926" s="6" t="n">
        <v>6.9</v>
      </c>
      <c r="E6926" t="n">
        <v>44130</v>
      </c>
      <c r="F6926" s="6" t="n">
        <v>6.9</v>
      </c>
      <c r="G6926" t="n">
        <v>1</v>
      </c>
      <c r="H6926" s="6">
        <f>ROUND(G6926*F6926,2)</f>
        <v/>
      </c>
      <c r="I6926">
        <f>IF(ROUND(H6926-D6926,2)=0,1,0)</f>
        <v/>
      </c>
      <c r="J6926">
        <f>IF(F6926="","none",IF(G6926=1,"carte","multiple"))</f>
        <v/>
      </c>
    </row>
    <row r="6927">
      <c r="A6927" t="inlineStr">
        <is>
          <t>2022-11-19</t>
        </is>
      </c>
      <c r="B6927" t="inlineStr">
        <is>
          <t>20:13</t>
        </is>
      </c>
      <c r="C6927" t="n">
        <v>3103</v>
      </c>
      <c r="D6927" s="6" t="n">
        <v>19.9</v>
      </c>
      <c r="E6927" t="n">
        <v>44131</v>
      </c>
      <c r="F6927" s="6" t="n">
        <v>19.9</v>
      </c>
      <c r="G6927" t="n">
        <v>1</v>
      </c>
      <c r="H6927" s="6">
        <f>ROUND(G6927*F6927,2)</f>
        <v/>
      </c>
      <c r="I6927">
        <f>IF(ROUND(H6927-D6927,2)=0,1,0)</f>
        <v/>
      </c>
      <c r="J6927">
        <f>IF(F6927="","none",IF(G6927=1,"carte","multiple"))</f>
        <v/>
      </c>
    </row>
    <row r="6928">
      <c r="A6928" t="inlineStr">
        <is>
          <t>2022-11-19</t>
        </is>
      </c>
      <c r="B6928" t="inlineStr">
        <is>
          <t>20:13</t>
        </is>
      </c>
      <c r="C6928" t="n">
        <v>3103</v>
      </c>
      <c r="D6928" s="6" t="n">
        <v>18.6</v>
      </c>
      <c r="E6928" t="n">
        <v>44132</v>
      </c>
      <c r="F6928" s="6" t="n">
        <v>18.6</v>
      </c>
      <c r="G6928" t="n">
        <v>1</v>
      </c>
      <c r="H6928" s="6">
        <f>ROUND(G6928*F6928,2)</f>
        <v/>
      </c>
      <c r="I6928">
        <f>IF(ROUND(H6928-D6928,2)=0,1,0)</f>
        <v/>
      </c>
      <c r="J6928">
        <f>IF(F6928="","none",IF(G6928=1,"carte","multiple"))</f>
        <v/>
      </c>
    </row>
    <row r="6929">
      <c r="A6929" t="inlineStr">
        <is>
          <t>2022-11-19</t>
        </is>
      </c>
      <c r="B6929" t="inlineStr">
        <is>
          <t>20:13</t>
        </is>
      </c>
      <c r="C6929" t="n">
        <v>3103</v>
      </c>
      <c r="D6929" s="6" t="n">
        <v>24.9</v>
      </c>
      <c r="E6929" t="n">
        <v>44133</v>
      </c>
      <c r="F6929" s="6" t="n">
        <v>24.9</v>
      </c>
      <c r="G6929" t="n">
        <v>1</v>
      </c>
      <c r="H6929" s="6">
        <f>ROUND(G6929*F6929,2)</f>
        <v/>
      </c>
      <c r="I6929">
        <f>IF(ROUND(H6929-D6929,2)=0,1,0)</f>
        <v/>
      </c>
      <c r="J6929">
        <f>IF(F6929="","none",IF(G6929=1,"carte","multiple"))</f>
        <v/>
      </c>
    </row>
    <row r="6930">
      <c r="A6930" t="inlineStr">
        <is>
          <t>2022-11-20</t>
        </is>
      </c>
      <c r="B6930" t="inlineStr">
        <is>
          <t>11:41</t>
        </is>
      </c>
      <c r="C6930" t="n">
        <v>3104</v>
      </c>
      <c r="D6930" s="6" t="n">
        <v>8.699999999999999</v>
      </c>
      <c r="E6930" t="n">
        <v>44136</v>
      </c>
      <c r="F6930" s="6" t="n">
        <v>8.699999999999999</v>
      </c>
      <c r="G6930" t="n">
        <v>1</v>
      </c>
      <c r="H6930" s="6">
        <f>ROUND(G6930*F6930,2)</f>
        <v/>
      </c>
      <c r="I6930">
        <f>IF(ROUND(H6930-D6930,2)=0,1,0)</f>
        <v/>
      </c>
      <c r="J6930">
        <f>IF(F6930="","none",IF(G6930=1,"carte","multiple"))</f>
        <v/>
      </c>
    </row>
    <row r="6931">
      <c r="A6931" t="inlineStr">
        <is>
          <t>2022-11-20</t>
        </is>
      </c>
      <c r="B6931" t="inlineStr">
        <is>
          <t>11:42</t>
        </is>
      </c>
      <c r="C6931" t="n">
        <v>3104</v>
      </c>
      <c r="D6931" s="6" t="n">
        <v>4.8</v>
      </c>
      <c r="E6931" t="n">
        <v>44137</v>
      </c>
      <c r="F6931" s="6" t="n">
        <v>0.4</v>
      </c>
      <c r="G6931" t="n">
        <v>12</v>
      </c>
      <c r="H6931" s="6">
        <f>ROUND(G6931*F6931,2)</f>
        <v/>
      </c>
      <c r="I6931">
        <f>IF(ROUND(H6931-D6931,2)=0,1,0)</f>
        <v/>
      </c>
      <c r="J6931">
        <f>IF(F6931="","none",IF(G6931=1,"carte","multiple"))</f>
        <v/>
      </c>
    </row>
    <row r="6932">
      <c r="A6932" t="inlineStr">
        <is>
          <t>2022-11-20</t>
        </is>
      </c>
      <c r="B6932" t="inlineStr">
        <is>
          <t>11:42</t>
        </is>
      </c>
      <c r="C6932" t="n">
        <v>3104</v>
      </c>
      <c r="D6932" s="6" t="n">
        <v>8.699999999999999</v>
      </c>
      <c r="E6932" t="n">
        <v>44138</v>
      </c>
      <c r="F6932" s="6" t="n">
        <v>8.699999999999999</v>
      </c>
      <c r="G6932" t="n">
        <v>1</v>
      </c>
      <c r="H6932" s="6">
        <f>ROUND(G6932*F6932,2)</f>
        <v/>
      </c>
      <c r="I6932">
        <f>IF(ROUND(H6932-D6932,2)=0,1,0)</f>
        <v/>
      </c>
      <c r="J6932">
        <f>IF(F6932="","none",IF(G6932=1,"carte","multiple"))</f>
        <v/>
      </c>
    </row>
    <row r="6933">
      <c r="A6933" t="inlineStr">
        <is>
          <t>2022-11-20</t>
        </is>
      </c>
      <c r="B6933" t="inlineStr">
        <is>
          <t>11:42</t>
        </is>
      </c>
      <c r="C6933" t="n">
        <v>3104</v>
      </c>
      <c r="D6933" s="6" t="n">
        <v>6.9</v>
      </c>
      <c r="E6933" t="n">
        <v>44139</v>
      </c>
      <c r="F6933" s="6" t="n">
        <v>6.9</v>
      </c>
      <c r="G6933" t="n">
        <v>1</v>
      </c>
      <c r="H6933" s="6">
        <f>ROUND(G6933*F6933,2)</f>
        <v/>
      </c>
      <c r="I6933">
        <f>IF(ROUND(H6933-D6933,2)=0,1,0)</f>
        <v/>
      </c>
      <c r="J6933">
        <f>IF(F6933="","none",IF(G6933=1,"carte","multiple"))</f>
        <v/>
      </c>
    </row>
    <row r="6934">
      <c r="A6934" t="inlineStr">
        <is>
          <t>2022-11-20</t>
        </is>
      </c>
      <c r="B6934" t="inlineStr">
        <is>
          <t>11:42</t>
        </is>
      </c>
      <c r="C6934" t="n">
        <v>3104</v>
      </c>
      <c r="D6934" s="6" t="n">
        <v>18.6</v>
      </c>
      <c r="E6934" t="n">
        <v>44140</v>
      </c>
      <c r="F6934" s="6" t="n">
        <v>18.6</v>
      </c>
      <c r="G6934" t="n">
        <v>1</v>
      </c>
      <c r="H6934" s="6">
        <f>ROUND(G6934*F6934,2)</f>
        <v/>
      </c>
      <c r="I6934">
        <f>IF(ROUND(H6934-D6934,2)=0,1,0)</f>
        <v/>
      </c>
      <c r="J6934">
        <f>IF(F6934="","none",IF(G6934=1,"carte","multiple"))</f>
        <v/>
      </c>
    </row>
    <row r="6935">
      <c r="A6935" t="inlineStr">
        <is>
          <t>2022-11-20</t>
        </is>
      </c>
      <c r="B6935" t="inlineStr">
        <is>
          <t>11:42</t>
        </is>
      </c>
      <c r="C6935" t="n">
        <v>3104</v>
      </c>
      <c r="D6935" s="6" t="n">
        <v>19.9</v>
      </c>
      <c r="E6935" t="n">
        <v>44141</v>
      </c>
      <c r="F6935" s="6" t="n">
        <v>19.9</v>
      </c>
      <c r="G6935" t="n">
        <v>1</v>
      </c>
      <c r="H6935" s="6">
        <f>ROUND(G6935*F6935,2)</f>
        <v/>
      </c>
      <c r="I6935">
        <f>IF(ROUND(H6935-D6935,2)=0,1,0)</f>
        <v/>
      </c>
      <c r="J6935">
        <f>IF(F6935="","none",IF(G6935=1,"carte","multiple"))</f>
        <v/>
      </c>
    </row>
    <row r="6936">
      <c r="A6936" t="inlineStr">
        <is>
          <t>2022-11-20</t>
        </is>
      </c>
      <c r="B6936" t="inlineStr">
        <is>
          <t>11:42</t>
        </is>
      </c>
      <c r="C6936" t="n">
        <v>3104</v>
      </c>
      <c r="D6936" s="6" t="n">
        <v>7.8</v>
      </c>
      <c r="E6936" t="n">
        <v>44142</v>
      </c>
      <c r="F6936" s="6" t="n">
        <v>7.8</v>
      </c>
      <c r="G6936" t="n">
        <v>1</v>
      </c>
      <c r="H6936" s="6">
        <f>ROUND(G6936*F6936,2)</f>
        <v/>
      </c>
      <c r="I6936">
        <f>IF(ROUND(H6936-D6936,2)=0,1,0)</f>
        <v/>
      </c>
      <c r="J6936">
        <f>IF(F6936="","none",IF(G6936=1,"carte","multiple"))</f>
        <v/>
      </c>
    </row>
    <row r="6937">
      <c r="A6937" t="inlineStr">
        <is>
          <t>2022-11-20</t>
        </is>
      </c>
      <c r="B6937" t="inlineStr">
        <is>
          <t>12:04</t>
        </is>
      </c>
      <c r="C6937" t="n">
        <v>3104</v>
      </c>
      <c r="D6937" s="6" t="n">
        <v>6</v>
      </c>
      <c r="E6937" t="n">
        <v>44143</v>
      </c>
      <c r="F6937" s="6" t="n">
        <v>6</v>
      </c>
      <c r="G6937" t="n">
        <v>1</v>
      </c>
      <c r="H6937" s="6">
        <f>ROUND(G6937*F6937,2)</f>
        <v/>
      </c>
      <c r="I6937">
        <f>IF(ROUND(H6937-D6937,2)=0,1,0)</f>
        <v/>
      </c>
      <c r="J6937">
        <f>IF(F6937="","none",IF(G6937=1,"carte","multiple"))</f>
        <v/>
      </c>
    </row>
    <row r="6938">
      <c r="A6938" t="inlineStr">
        <is>
          <t>2022-11-20</t>
        </is>
      </c>
      <c r="B6938" t="inlineStr">
        <is>
          <t>12:04</t>
        </is>
      </c>
      <c r="C6938" t="n">
        <v>3104</v>
      </c>
      <c r="D6938" s="6" t="n">
        <v>2.2</v>
      </c>
      <c r="E6938" t="n">
        <v>44144</v>
      </c>
      <c r="F6938" s="6" t="n">
        <v>2.2</v>
      </c>
      <c r="G6938" t="n">
        <v>1</v>
      </c>
      <c r="H6938" s="6">
        <f>ROUND(G6938*F6938,2)</f>
        <v/>
      </c>
      <c r="I6938">
        <f>IF(ROUND(H6938-D6938,2)=0,1,0)</f>
        <v/>
      </c>
      <c r="J6938">
        <f>IF(F6938="","none",IF(G6938=1,"carte","multiple"))</f>
        <v/>
      </c>
    </row>
    <row r="6939">
      <c r="A6939" t="inlineStr">
        <is>
          <t>2022-11-20</t>
        </is>
      </c>
      <c r="B6939" t="inlineStr">
        <is>
          <t>12:04</t>
        </is>
      </c>
      <c r="C6939" t="n">
        <v>3104</v>
      </c>
      <c r="D6939" s="6" t="n">
        <v>30</v>
      </c>
      <c r="E6939" t="n">
        <v>44145</v>
      </c>
      <c r="F6939" s="6" t="n">
        <v>30</v>
      </c>
      <c r="G6939" t="n">
        <v>1</v>
      </c>
      <c r="H6939" s="6">
        <f>ROUND(G6939*F6939,2)</f>
        <v/>
      </c>
      <c r="I6939">
        <f>IF(ROUND(H6939-D6939,2)=0,1,0)</f>
        <v/>
      </c>
      <c r="J6939">
        <f>IF(F6939="","none",IF(G6939=1,"carte","multiple"))</f>
        <v/>
      </c>
    </row>
    <row r="6940">
      <c r="A6940" t="inlineStr">
        <is>
          <t>2022-11-20</t>
        </is>
      </c>
      <c r="B6940" t="inlineStr">
        <is>
          <t>12:04</t>
        </is>
      </c>
      <c r="C6940" t="n">
        <v>3104</v>
      </c>
      <c r="D6940" s="6" t="n">
        <v>38</v>
      </c>
      <c r="E6940" t="n">
        <v>44146</v>
      </c>
      <c r="F6940" s="6" t="n">
        <v>0.4</v>
      </c>
      <c r="G6940" t="n">
        <v>95</v>
      </c>
      <c r="H6940" s="6">
        <f>ROUND(G6940*F6940,2)</f>
        <v/>
      </c>
      <c r="I6940">
        <f>IF(ROUND(H6940-D6940,2)=0,1,0)</f>
        <v/>
      </c>
      <c r="J6940">
        <f>IF(F6940="","none",IF(G6940=1,"carte","multiple"))</f>
        <v/>
      </c>
    </row>
    <row r="6941">
      <c r="A6941" t="inlineStr">
        <is>
          <t>2022-11-20</t>
        </is>
      </c>
      <c r="B6941" t="inlineStr">
        <is>
          <t>12:04</t>
        </is>
      </c>
      <c r="C6941" t="n">
        <v>3104</v>
      </c>
      <c r="D6941" s="6" t="n">
        <v>16</v>
      </c>
      <c r="E6941" t="n">
        <v>44147</v>
      </c>
      <c r="F6941" s="6" t="n">
        <v>16</v>
      </c>
      <c r="G6941" t="n">
        <v>1</v>
      </c>
      <c r="H6941" s="6">
        <f>ROUND(G6941*F6941,2)</f>
        <v/>
      </c>
      <c r="I6941">
        <f>IF(ROUND(H6941-D6941,2)=0,1,0)</f>
        <v/>
      </c>
      <c r="J6941">
        <f>IF(F6941="","none",IF(G6941=1,"carte","multiple"))</f>
        <v/>
      </c>
    </row>
    <row r="6942">
      <c r="A6942" t="inlineStr">
        <is>
          <t>2022-11-20</t>
        </is>
      </c>
      <c r="B6942" t="inlineStr">
        <is>
          <t>12:44</t>
        </is>
      </c>
      <c r="C6942" t="n">
        <v>3104</v>
      </c>
      <c r="D6942" s="6" t="n">
        <v>8.5</v>
      </c>
      <c r="E6942" t="n">
        <v>44148</v>
      </c>
      <c r="F6942" s="6" t="n">
        <v>8.5</v>
      </c>
      <c r="G6942" t="n">
        <v>1</v>
      </c>
      <c r="H6942" s="6">
        <f>ROUND(G6942*F6942,2)</f>
        <v/>
      </c>
      <c r="I6942">
        <f>IF(ROUND(H6942-D6942,2)=0,1,0)</f>
        <v/>
      </c>
      <c r="J6942">
        <f>IF(F6942="","none",IF(G6942=1,"carte","multiple"))</f>
        <v/>
      </c>
    </row>
    <row r="6943">
      <c r="A6943" t="inlineStr">
        <is>
          <t>2022-11-20</t>
        </is>
      </c>
      <c r="B6943" t="inlineStr">
        <is>
          <t>12:44</t>
        </is>
      </c>
      <c r="C6943" t="n">
        <v>3104</v>
      </c>
      <c r="D6943" s="6" t="n">
        <v>8.699999999999999</v>
      </c>
      <c r="E6943" t="n">
        <v>44149</v>
      </c>
      <c r="F6943" s="6" t="n">
        <v>8.699999999999999</v>
      </c>
      <c r="G6943" t="n">
        <v>1</v>
      </c>
      <c r="H6943" s="6">
        <f>ROUND(G6943*F6943,2)</f>
        <v/>
      </c>
      <c r="I6943">
        <f>IF(ROUND(H6943-D6943,2)=0,1,0)</f>
        <v/>
      </c>
      <c r="J6943">
        <f>IF(F6943="","none",IF(G6943=1,"carte","multiple"))</f>
        <v/>
      </c>
    </row>
    <row r="6944">
      <c r="A6944" t="inlineStr">
        <is>
          <t>2022-11-20</t>
        </is>
      </c>
      <c r="B6944" t="inlineStr">
        <is>
          <t>12:44</t>
        </is>
      </c>
      <c r="C6944" t="n">
        <v>3104</v>
      </c>
      <c r="D6944" s="6" t="n">
        <v>4.7</v>
      </c>
      <c r="E6944" t="n">
        <v>44150</v>
      </c>
      <c r="F6944" s="6" t="n">
        <v>4.7</v>
      </c>
      <c r="G6944" t="n">
        <v>1</v>
      </c>
      <c r="H6944" s="6">
        <f>ROUND(G6944*F6944,2)</f>
        <v/>
      </c>
      <c r="I6944">
        <f>IF(ROUND(H6944-D6944,2)=0,1,0)</f>
        <v/>
      </c>
      <c r="J6944">
        <f>IF(F6944="","none",IF(G6944=1,"carte","multiple"))</f>
        <v/>
      </c>
    </row>
    <row r="6945">
      <c r="A6945" t="inlineStr">
        <is>
          <t>2022-11-20</t>
        </is>
      </c>
      <c r="B6945" t="inlineStr">
        <is>
          <t>12:44</t>
        </is>
      </c>
      <c r="C6945" t="n">
        <v>3104</v>
      </c>
      <c r="D6945" s="6" t="n">
        <v>3.9</v>
      </c>
      <c r="E6945" t="n">
        <v>44151</v>
      </c>
      <c r="F6945" s="6" t="n">
        <v>3.9</v>
      </c>
      <c r="G6945" t="n">
        <v>1</v>
      </c>
      <c r="H6945" s="6">
        <f>ROUND(G6945*F6945,2)</f>
        <v/>
      </c>
      <c r="I6945">
        <f>IF(ROUND(H6945-D6945,2)=0,1,0)</f>
        <v/>
      </c>
      <c r="J6945">
        <f>IF(F6945="","none",IF(G6945=1,"carte","multiple"))</f>
        <v/>
      </c>
    </row>
    <row r="6946">
      <c r="A6946" t="inlineStr">
        <is>
          <t>2022-11-20</t>
        </is>
      </c>
      <c r="B6946" t="inlineStr">
        <is>
          <t>12:44</t>
        </is>
      </c>
      <c r="C6946" t="n">
        <v>3104</v>
      </c>
      <c r="D6946" s="6" t="n">
        <v>18</v>
      </c>
      <c r="E6946" t="n">
        <v>44152</v>
      </c>
      <c r="F6946" s="6" t="n">
        <v>18</v>
      </c>
      <c r="G6946" t="n">
        <v>1</v>
      </c>
      <c r="H6946" s="6">
        <f>ROUND(G6946*F6946,2)</f>
        <v/>
      </c>
      <c r="I6946">
        <f>IF(ROUND(H6946-D6946,2)=0,1,0)</f>
        <v/>
      </c>
      <c r="J6946">
        <f>IF(F6946="","none",IF(G6946=1,"carte","multiple"))</f>
        <v/>
      </c>
    </row>
    <row r="6947">
      <c r="A6947" t="inlineStr">
        <is>
          <t>2022-11-20</t>
        </is>
      </c>
      <c r="B6947" t="inlineStr">
        <is>
          <t>12:44</t>
        </is>
      </c>
      <c r="C6947" t="n">
        <v>3104</v>
      </c>
      <c r="D6947" s="6" t="n">
        <v>33.8</v>
      </c>
      <c r="E6947" t="n">
        <v>44153</v>
      </c>
      <c r="F6947" s="6" t="n">
        <v>16.9</v>
      </c>
      <c r="G6947" t="n">
        <v>2</v>
      </c>
      <c r="H6947" s="6">
        <f>ROUND(G6947*F6947,2)</f>
        <v/>
      </c>
      <c r="I6947">
        <f>IF(ROUND(H6947-D6947,2)=0,1,0)</f>
        <v/>
      </c>
      <c r="J6947">
        <f>IF(F6947="","none",IF(G6947=1,"carte","multiple"))</f>
        <v/>
      </c>
    </row>
    <row r="6948">
      <c r="A6948" t="inlineStr">
        <is>
          <t>2022-11-20</t>
        </is>
      </c>
      <c r="B6948" t="inlineStr">
        <is>
          <t>12:44</t>
        </is>
      </c>
      <c r="C6948" t="n">
        <v>3104</v>
      </c>
      <c r="D6948" s="6" t="n">
        <v>37.2</v>
      </c>
      <c r="E6948" t="n">
        <v>44154</v>
      </c>
      <c r="F6948" s="6" t="n">
        <v>0.4</v>
      </c>
      <c r="G6948" t="n">
        <v>93</v>
      </c>
      <c r="H6948" s="6">
        <f>ROUND(G6948*F6948,2)</f>
        <v/>
      </c>
      <c r="I6948">
        <f>IF(ROUND(H6948-D6948,2)=0,1,0)</f>
        <v/>
      </c>
      <c r="J6948">
        <f>IF(F6948="","none",IF(G6948=1,"carte","multiple"))</f>
        <v/>
      </c>
    </row>
    <row r="6949">
      <c r="A6949" t="inlineStr">
        <is>
          <t>2022-11-20</t>
        </is>
      </c>
      <c r="B6949" t="inlineStr">
        <is>
          <t>12:44</t>
        </is>
      </c>
      <c r="C6949" t="n">
        <v>3104</v>
      </c>
      <c r="D6949" s="6" t="n">
        <v>24</v>
      </c>
      <c r="E6949" t="n">
        <v>44155</v>
      </c>
      <c r="F6949" s="6" t="n">
        <v>24</v>
      </c>
      <c r="G6949" t="n">
        <v>1</v>
      </c>
      <c r="H6949" s="6">
        <f>ROUND(G6949*F6949,2)</f>
        <v/>
      </c>
      <c r="I6949">
        <f>IF(ROUND(H6949-D6949,2)=0,1,0)</f>
        <v/>
      </c>
      <c r="J6949">
        <f>IF(F6949="","none",IF(G6949=1,"carte","multiple"))</f>
        <v/>
      </c>
    </row>
    <row r="6950">
      <c r="A6950" t="inlineStr">
        <is>
          <t>2022-11-20</t>
        </is>
      </c>
      <c r="B6950" t="inlineStr">
        <is>
          <t>12:57</t>
        </is>
      </c>
      <c r="C6950" t="n">
        <v>3104</v>
      </c>
      <c r="D6950" s="6" t="n">
        <v>6.9</v>
      </c>
      <c r="E6950" t="n">
        <v>44156</v>
      </c>
      <c r="F6950" s="6" t="n">
        <v>6.9</v>
      </c>
      <c r="G6950" t="n">
        <v>1</v>
      </c>
      <c r="H6950" s="6">
        <f>ROUND(G6950*F6950,2)</f>
        <v/>
      </c>
      <c r="I6950">
        <f>IF(ROUND(H6950-D6950,2)=0,1,0)</f>
        <v/>
      </c>
      <c r="J6950">
        <f>IF(F6950="","none",IF(G6950=1,"carte","multiple"))</f>
        <v/>
      </c>
    </row>
    <row r="6951">
      <c r="A6951" t="inlineStr">
        <is>
          <t>2022-11-20</t>
        </is>
      </c>
      <c r="B6951" t="inlineStr">
        <is>
          <t>12:57</t>
        </is>
      </c>
      <c r="C6951" t="n">
        <v>3104</v>
      </c>
      <c r="D6951" s="6" t="n">
        <v>12</v>
      </c>
      <c r="E6951" t="n">
        <v>44157</v>
      </c>
      <c r="F6951" s="6" t="n">
        <v>12</v>
      </c>
      <c r="G6951" t="n">
        <v>1</v>
      </c>
      <c r="H6951" s="6">
        <f>ROUND(G6951*F6951,2)</f>
        <v/>
      </c>
      <c r="I6951">
        <f>IF(ROUND(H6951-D6951,2)=0,1,0)</f>
        <v/>
      </c>
      <c r="J6951">
        <f>IF(F6951="","none",IF(G6951=1,"carte","multiple"))</f>
        <v/>
      </c>
    </row>
    <row r="6952">
      <c r="A6952" t="inlineStr">
        <is>
          <t>2022-11-23</t>
        </is>
      </c>
      <c r="B6952" t="inlineStr">
        <is>
          <t>11:26</t>
        </is>
      </c>
      <c r="C6952" t="n">
        <v>3105</v>
      </c>
      <c r="D6952" s="6" t="n">
        <v>3.9</v>
      </c>
      <c r="E6952" t="n">
        <v>44160</v>
      </c>
      <c r="F6952" s="6" t="n">
        <v>3.9</v>
      </c>
      <c r="G6952" t="n">
        <v>1</v>
      </c>
      <c r="H6952" s="6">
        <f>ROUND(G6952*F6952,2)</f>
        <v/>
      </c>
      <c r="I6952">
        <f>IF(ROUND(H6952-D6952,2)=0,1,0)</f>
        <v/>
      </c>
      <c r="J6952">
        <f>IF(F6952="","none",IF(G6952=1,"carte","multiple"))</f>
        <v/>
      </c>
    </row>
    <row r="6953">
      <c r="A6953" t="inlineStr">
        <is>
          <t>2022-11-23</t>
        </is>
      </c>
      <c r="B6953" t="inlineStr">
        <is>
          <t>11:26</t>
        </is>
      </c>
      <c r="C6953" t="n">
        <v>3105</v>
      </c>
      <c r="D6953" s="6" t="n">
        <v>16.9</v>
      </c>
      <c r="E6953" t="n">
        <v>44161</v>
      </c>
      <c r="F6953" s="6" t="n">
        <v>16.9</v>
      </c>
      <c r="G6953" t="n">
        <v>1</v>
      </c>
      <c r="H6953" s="6">
        <f>ROUND(G6953*F6953,2)</f>
        <v/>
      </c>
      <c r="I6953">
        <f>IF(ROUND(H6953-D6953,2)=0,1,0)</f>
        <v/>
      </c>
      <c r="J6953">
        <f>IF(F6953="","none",IF(G6953=1,"carte","multiple"))</f>
        <v/>
      </c>
    </row>
    <row r="6954">
      <c r="A6954" t="inlineStr">
        <is>
          <t>2022-11-23</t>
        </is>
      </c>
      <c r="B6954" t="inlineStr">
        <is>
          <t>11:59</t>
        </is>
      </c>
      <c r="C6954" t="n">
        <v>3105</v>
      </c>
      <c r="D6954" s="6" t="n">
        <v>3.9</v>
      </c>
      <c r="E6954" t="n">
        <v>44162</v>
      </c>
      <c r="F6954" s="6" t="n">
        <v>3.9</v>
      </c>
      <c r="G6954" t="n">
        <v>1</v>
      </c>
      <c r="H6954" s="6">
        <f>ROUND(G6954*F6954,2)</f>
        <v/>
      </c>
      <c r="I6954">
        <f>IF(ROUND(H6954-D6954,2)=0,1,0)</f>
        <v/>
      </c>
      <c r="J6954">
        <f>IF(F6954="","none",IF(G6954=1,"carte","multiple"))</f>
        <v/>
      </c>
    </row>
    <row r="6955">
      <c r="A6955" t="inlineStr">
        <is>
          <t>2022-11-23</t>
        </is>
      </c>
      <c r="B6955" t="inlineStr">
        <is>
          <t>11:59</t>
        </is>
      </c>
      <c r="C6955" t="n">
        <v>3105</v>
      </c>
      <c r="D6955" s="6" t="n">
        <v>16.5</v>
      </c>
      <c r="E6955" t="n">
        <v>44163</v>
      </c>
      <c r="F6955" s="6" t="n">
        <v>16.5</v>
      </c>
      <c r="G6955" t="n">
        <v>1</v>
      </c>
      <c r="H6955" s="6">
        <f>ROUND(G6955*F6955,2)</f>
        <v/>
      </c>
      <c r="I6955">
        <f>IF(ROUND(H6955-D6955,2)=0,1,0)</f>
        <v/>
      </c>
      <c r="J6955">
        <f>IF(F6955="","none",IF(G6955=1,"carte","multiple"))</f>
        <v/>
      </c>
    </row>
    <row r="6956">
      <c r="A6956" t="inlineStr">
        <is>
          <t>2022-11-23</t>
        </is>
      </c>
      <c r="B6956" t="inlineStr">
        <is>
          <t>12:00</t>
        </is>
      </c>
      <c r="C6956" t="n">
        <v>3105</v>
      </c>
      <c r="D6956" s="6" t="n">
        <v>3.9</v>
      </c>
      <c r="E6956" t="n">
        <v>44164</v>
      </c>
      <c r="F6956" s="6" t="n">
        <v>3.9</v>
      </c>
      <c r="G6956" t="n">
        <v>1</v>
      </c>
      <c r="H6956" s="6">
        <f>ROUND(G6956*F6956,2)</f>
        <v/>
      </c>
      <c r="I6956">
        <f>IF(ROUND(H6956-D6956,2)=0,1,0)</f>
        <v/>
      </c>
      <c r="J6956">
        <f>IF(F6956="","none",IF(G6956=1,"carte","multiple"))</f>
        <v/>
      </c>
    </row>
    <row r="6957">
      <c r="A6957" t="inlineStr">
        <is>
          <t>2022-11-23</t>
        </is>
      </c>
      <c r="B6957" t="inlineStr">
        <is>
          <t>12:00</t>
        </is>
      </c>
      <c r="C6957" t="n">
        <v>3105</v>
      </c>
      <c r="D6957" s="6" t="n">
        <v>19</v>
      </c>
      <c r="E6957" t="n">
        <v>44165</v>
      </c>
      <c r="F6957" s="6" t="n">
        <v>19</v>
      </c>
      <c r="G6957" t="n">
        <v>1</v>
      </c>
      <c r="H6957" s="6">
        <f>ROUND(G6957*F6957,2)</f>
        <v/>
      </c>
      <c r="I6957">
        <f>IF(ROUND(H6957-D6957,2)=0,1,0)</f>
        <v/>
      </c>
      <c r="J6957">
        <f>IF(F6957="","none",IF(G6957=1,"carte","multiple"))</f>
        <v/>
      </c>
    </row>
    <row r="6958">
      <c r="A6958" t="inlineStr">
        <is>
          <t>2022-11-23</t>
        </is>
      </c>
      <c r="B6958" t="inlineStr">
        <is>
          <t>18:11</t>
        </is>
      </c>
      <c r="C6958" t="n">
        <v>3105</v>
      </c>
      <c r="D6958" s="6" t="n">
        <v>7.5</v>
      </c>
      <c r="E6958" t="n">
        <v>44168</v>
      </c>
      <c r="F6958" s="6" t="n">
        <v>7.5</v>
      </c>
      <c r="G6958" t="n">
        <v>1</v>
      </c>
      <c r="H6958" s="6">
        <f>ROUND(G6958*F6958,2)</f>
        <v/>
      </c>
      <c r="I6958">
        <f>IF(ROUND(H6958-D6958,2)=0,1,0)</f>
        <v/>
      </c>
      <c r="J6958">
        <f>IF(F6958="","none",IF(G6958=1,"carte","multiple"))</f>
        <v/>
      </c>
    </row>
    <row r="6959">
      <c r="A6959" t="inlineStr">
        <is>
          <t>2022-11-23</t>
        </is>
      </c>
      <c r="B6959" t="inlineStr">
        <is>
          <t>18:33</t>
        </is>
      </c>
      <c r="C6959" t="n">
        <v>3105</v>
      </c>
      <c r="D6959" s="6" t="n">
        <v>21.6</v>
      </c>
      <c r="E6959" t="n">
        <v>44169</v>
      </c>
      <c r="F6959" s="6" t="n">
        <v>21.6</v>
      </c>
      <c r="G6959" t="n">
        <v>1</v>
      </c>
      <c r="H6959" s="6">
        <f>ROUND(G6959*F6959,2)</f>
        <v/>
      </c>
      <c r="I6959">
        <f>IF(ROUND(H6959-D6959,2)=0,1,0)</f>
        <v/>
      </c>
      <c r="J6959">
        <f>IF(F6959="","none",IF(G6959=1,"carte","multiple"))</f>
        <v/>
      </c>
    </row>
    <row r="6960">
      <c r="A6960" t="inlineStr">
        <is>
          <t>2022-11-23</t>
        </is>
      </c>
      <c r="B6960" t="inlineStr">
        <is>
          <t>18:33</t>
        </is>
      </c>
      <c r="C6960" t="n">
        <v>3105</v>
      </c>
      <c r="D6960" s="6" t="n">
        <v>59.8</v>
      </c>
      <c r="E6960" t="n">
        <v>44170</v>
      </c>
      <c r="F6960" s="6" t="n">
        <v>4.6</v>
      </c>
      <c r="G6960" t="n">
        <v>13</v>
      </c>
      <c r="H6960" s="6">
        <f>ROUND(G6960*F6960,2)</f>
        <v/>
      </c>
      <c r="I6960">
        <f>IF(ROUND(H6960-D6960,2)=0,1,0)</f>
        <v/>
      </c>
      <c r="J6960">
        <f>IF(F6960="","none",IF(G6960=1,"carte","multiple"))</f>
        <v/>
      </c>
    </row>
    <row r="6961">
      <c r="A6961" t="inlineStr">
        <is>
          <t>2022-11-23</t>
        </is>
      </c>
      <c r="B6961" t="inlineStr">
        <is>
          <t>18:33</t>
        </is>
      </c>
      <c r="C6961" t="n">
        <v>3105</v>
      </c>
      <c r="D6961" s="6" t="n">
        <v>102</v>
      </c>
      <c r="E6961" t="n">
        <v>44171</v>
      </c>
      <c r="F6961" s="6" t="n">
        <v>0.4</v>
      </c>
      <c r="G6961" t="n">
        <v>255</v>
      </c>
      <c r="H6961" s="6">
        <f>ROUND(G6961*F6961,2)</f>
        <v/>
      </c>
      <c r="I6961">
        <f>IF(ROUND(H6961-D6961,2)=0,1,0)</f>
        <v/>
      </c>
      <c r="J6961">
        <f>IF(F6961="","none",IF(G6961=1,"carte","multiple"))</f>
        <v/>
      </c>
    </row>
    <row r="6962">
      <c r="A6962" t="inlineStr">
        <is>
          <t>2022-11-23</t>
        </is>
      </c>
      <c r="B6962" t="inlineStr">
        <is>
          <t>19:06</t>
        </is>
      </c>
      <c r="C6962" t="n">
        <v>3105</v>
      </c>
      <c r="D6962" s="6" t="n">
        <v>59.8</v>
      </c>
      <c r="E6962" t="n">
        <v>44172</v>
      </c>
      <c r="F6962" s="6" t="n">
        <v>4.6</v>
      </c>
      <c r="G6962" t="n">
        <v>13</v>
      </c>
      <c r="H6962" s="6">
        <f>ROUND(G6962*F6962,2)</f>
        <v/>
      </c>
      <c r="I6962">
        <f>IF(ROUND(H6962-D6962,2)=0,1,0)</f>
        <v/>
      </c>
      <c r="J6962">
        <f>IF(F6962="","none",IF(G6962=1,"carte","multiple"))</f>
        <v/>
      </c>
    </row>
    <row r="6963">
      <c r="A6963" t="inlineStr">
        <is>
          <t>2022-11-23</t>
        </is>
      </c>
      <c r="B6963" t="inlineStr">
        <is>
          <t>19:06</t>
        </is>
      </c>
      <c r="C6963" t="n">
        <v>3105</v>
      </c>
      <c r="D6963" s="6" t="n">
        <v>3.9</v>
      </c>
      <c r="E6963" t="n">
        <v>44173</v>
      </c>
      <c r="F6963" s="6" t="n">
        <v>3.9</v>
      </c>
      <c r="G6963" t="n">
        <v>1</v>
      </c>
      <c r="H6963" s="6">
        <f>ROUND(G6963*F6963,2)</f>
        <v/>
      </c>
      <c r="I6963">
        <f>IF(ROUND(H6963-D6963,2)=0,1,0)</f>
        <v/>
      </c>
      <c r="J6963">
        <f>IF(F6963="","none",IF(G6963=1,"carte","multiple"))</f>
        <v/>
      </c>
    </row>
    <row r="6964">
      <c r="A6964" t="inlineStr">
        <is>
          <t>2022-11-23</t>
        </is>
      </c>
      <c r="B6964" t="inlineStr">
        <is>
          <t>19:06</t>
        </is>
      </c>
      <c r="C6964" t="n">
        <v>3105</v>
      </c>
      <c r="D6964" s="6" t="n">
        <v>3.9</v>
      </c>
      <c r="E6964" t="n">
        <v>44174</v>
      </c>
      <c r="F6964" s="6" t="n">
        <v>3.9</v>
      </c>
      <c r="G6964" t="n">
        <v>1</v>
      </c>
      <c r="H6964" s="6">
        <f>ROUND(G6964*F6964,2)</f>
        <v/>
      </c>
      <c r="I6964">
        <f>IF(ROUND(H6964-D6964,2)=0,1,0)</f>
        <v/>
      </c>
      <c r="J6964">
        <f>IF(F6964="","none",IF(G6964=1,"carte","multiple"))</f>
        <v/>
      </c>
    </row>
    <row r="6965">
      <c r="A6965" t="inlineStr">
        <is>
          <t>2022-11-23</t>
        </is>
      </c>
      <c r="B6965" t="inlineStr">
        <is>
          <t>19:06</t>
        </is>
      </c>
      <c r="C6965" t="n">
        <v>3105</v>
      </c>
      <c r="D6965" s="6" t="n">
        <v>4.9</v>
      </c>
      <c r="E6965" t="n">
        <v>44175</v>
      </c>
      <c r="F6965" s="6" t="n">
        <v>4.9</v>
      </c>
      <c r="G6965" t="n">
        <v>1</v>
      </c>
      <c r="H6965" s="6">
        <f>ROUND(G6965*F6965,2)</f>
        <v/>
      </c>
      <c r="I6965">
        <f>IF(ROUND(H6965-D6965,2)=0,1,0)</f>
        <v/>
      </c>
      <c r="J6965">
        <f>IF(F6965="","none",IF(G6965=1,"carte","multiple"))</f>
        <v/>
      </c>
    </row>
    <row r="6966">
      <c r="A6966" t="inlineStr">
        <is>
          <t>2022-11-24</t>
        </is>
      </c>
      <c r="B6966" t="inlineStr">
        <is>
          <t>10:45</t>
        </is>
      </c>
      <c r="C6966" t="n">
        <v>3106</v>
      </c>
      <c r="D6966" s="6" t="n">
        <v>17</v>
      </c>
      <c r="E6966" t="n">
        <v>44178</v>
      </c>
      <c r="F6966" s="6" t="n">
        <v>17</v>
      </c>
      <c r="G6966" t="n">
        <v>1</v>
      </c>
      <c r="H6966" s="6">
        <f>ROUND(G6966*F6966,2)</f>
        <v/>
      </c>
      <c r="I6966">
        <f>IF(ROUND(H6966-D6966,2)=0,1,0)</f>
        <v/>
      </c>
      <c r="J6966">
        <f>IF(F6966="","none",IF(G6966=1,"carte","multiple"))</f>
        <v/>
      </c>
    </row>
    <row r="6967">
      <c r="A6967" t="inlineStr">
        <is>
          <t>2022-11-24</t>
        </is>
      </c>
      <c r="B6967" t="inlineStr">
        <is>
          <t>18:04</t>
        </is>
      </c>
      <c r="C6967" t="n">
        <v>3106</v>
      </c>
      <c r="D6967" s="6" t="n">
        <v>3.9</v>
      </c>
      <c r="E6967" t="n">
        <v>44180</v>
      </c>
      <c r="F6967" s="6" t="n">
        <v>3.9</v>
      </c>
      <c r="G6967" t="n">
        <v>1</v>
      </c>
      <c r="H6967" s="6">
        <f>ROUND(G6967*F6967,2)</f>
        <v/>
      </c>
      <c r="I6967">
        <f>IF(ROUND(H6967-D6967,2)=0,1,0)</f>
        <v/>
      </c>
      <c r="J6967">
        <f>IF(F6967="","none",IF(G6967=1,"carte","multiple"))</f>
        <v/>
      </c>
    </row>
    <row r="6968">
      <c r="A6968" t="inlineStr">
        <is>
          <t>2022-11-24</t>
        </is>
      </c>
      <c r="B6968" t="inlineStr">
        <is>
          <t>18:04</t>
        </is>
      </c>
      <c r="C6968" t="n">
        <v>3106</v>
      </c>
      <c r="D6968" s="6" t="n">
        <v>3.8</v>
      </c>
      <c r="E6968" t="n">
        <v>44181</v>
      </c>
      <c r="F6968" s="6" t="n">
        <v>3.8</v>
      </c>
      <c r="G6968" t="n">
        <v>1</v>
      </c>
      <c r="H6968" s="6">
        <f>ROUND(G6968*F6968,2)</f>
        <v/>
      </c>
      <c r="I6968">
        <f>IF(ROUND(H6968-D6968,2)=0,1,0)</f>
        <v/>
      </c>
      <c r="J6968">
        <f>IF(F6968="","none",IF(G6968=1,"carte","multiple"))</f>
        <v/>
      </c>
    </row>
    <row r="6969">
      <c r="A6969" t="inlineStr">
        <is>
          <t>2022-11-25</t>
        </is>
      </c>
      <c r="B6969" t="inlineStr">
        <is>
          <t>11:15</t>
        </is>
      </c>
      <c r="C6969" t="n">
        <v>3107</v>
      </c>
      <c r="D6969" s="6" t="n">
        <v>32</v>
      </c>
      <c r="E6969" t="n">
        <v>44184</v>
      </c>
      <c r="F6969" s="6" t="n">
        <v>32</v>
      </c>
      <c r="G6969" t="n">
        <v>1</v>
      </c>
      <c r="H6969" s="6">
        <f>ROUND(G6969*F6969,2)</f>
        <v/>
      </c>
      <c r="I6969">
        <f>IF(ROUND(H6969-D6969,2)=0,1,0)</f>
        <v/>
      </c>
      <c r="J6969">
        <f>IF(F6969="","none",IF(G6969=1,"carte","multiple"))</f>
        <v/>
      </c>
    </row>
    <row r="6970">
      <c r="A6970" t="inlineStr">
        <is>
          <t>2022-11-25</t>
        </is>
      </c>
      <c r="B6970" t="inlineStr">
        <is>
          <t>12:19</t>
        </is>
      </c>
      <c r="C6970" t="n">
        <v>3107</v>
      </c>
      <c r="D6970" s="6" t="n">
        <v>3.9</v>
      </c>
      <c r="E6970" t="n">
        <v>44185</v>
      </c>
      <c r="F6970" s="6" t="n">
        <v>3.9</v>
      </c>
      <c r="G6970" t="n">
        <v>1</v>
      </c>
      <c r="H6970" s="6">
        <f>ROUND(G6970*F6970,2)</f>
        <v/>
      </c>
      <c r="I6970">
        <f>IF(ROUND(H6970-D6970,2)=0,1,0)</f>
        <v/>
      </c>
      <c r="J6970">
        <f>IF(F6970="","none",IF(G6970=1,"carte","multiple"))</f>
        <v/>
      </c>
    </row>
    <row r="6971">
      <c r="A6971" t="inlineStr">
        <is>
          <t>2022-11-25</t>
        </is>
      </c>
      <c r="B6971" t="inlineStr">
        <is>
          <t>12:19</t>
        </is>
      </c>
      <c r="C6971" t="n">
        <v>3107</v>
      </c>
      <c r="D6971" s="6" t="n">
        <v>16.4</v>
      </c>
      <c r="E6971" t="n">
        <v>44186</v>
      </c>
      <c r="F6971" s="6" t="n">
        <v>16.4</v>
      </c>
      <c r="G6971" t="n">
        <v>1</v>
      </c>
      <c r="H6971" s="6">
        <f>ROUND(G6971*F6971,2)</f>
        <v/>
      </c>
      <c r="I6971">
        <f>IF(ROUND(H6971-D6971,2)=0,1,0)</f>
        <v/>
      </c>
      <c r="J6971">
        <f>IF(F6971="","none",IF(G6971=1,"carte","multiple"))</f>
        <v/>
      </c>
    </row>
    <row r="6972">
      <c r="A6972" t="inlineStr">
        <is>
          <t>2022-11-25</t>
        </is>
      </c>
      <c r="B6972" t="inlineStr">
        <is>
          <t>12:19</t>
        </is>
      </c>
      <c r="C6972" t="n">
        <v>3107</v>
      </c>
      <c r="D6972" s="6" t="n">
        <v>4.9</v>
      </c>
      <c r="E6972" t="n">
        <v>44187</v>
      </c>
      <c r="F6972" s="6" t="n">
        <v>4.9</v>
      </c>
      <c r="G6972" t="n">
        <v>1</v>
      </c>
      <c r="H6972" s="6">
        <f>ROUND(G6972*F6972,2)</f>
        <v/>
      </c>
      <c r="I6972">
        <f>IF(ROUND(H6972-D6972,2)=0,1,0)</f>
        <v/>
      </c>
      <c r="J6972">
        <f>IF(F6972="","none",IF(G6972=1,"carte","multiple"))</f>
        <v/>
      </c>
    </row>
    <row r="6973">
      <c r="A6973" t="inlineStr">
        <is>
          <t>2022-11-25</t>
        </is>
      </c>
      <c r="B6973" t="inlineStr">
        <is>
          <t>12:21</t>
        </is>
      </c>
      <c r="C6973" t="n">
        <v>3107</v>
      </c>
      <c r="D6973" s="6" t="n">
        <v>9.699999999999999</v>
      </c>
      <c r="E6973" t="n">
        <v>44188</v>
      </c>
      <c r="F6973" s="6" t="n">
        <v>9.699999999999999</v>
      </c>
      <c r="G6973" t="n">
        <v>1</v>
      </c>
      <c r="H6973" s="6">
        <f>ROUND(G6973*F6973,2)</f>
        <v/>
      </c>
      <c r="I6973">
        <f>IF(ROUND(H6973-D6973,2)=0,1,0)</f>
        <v/>
      </c>
      <c r="J6973">
        <f>IF(F6973="","none",IF(G6973=1,"carte","multiple"))</f>
        <v/>
      </c>
    </row>
    <row r="6974">
      <c r="A6974" t="inlineStr">
        <is>
          <t>2022-11-25</t>
        </is>
      </c>
      <c r="B6974" t="inlineStr">
        <is>
          <t>12:21</t>
        </is>
      </c>
      <c r="C6974" t="n">
        <v>3107</v>
      </c>
      <c r="D6974" s="6" t="n">
        <v>3.9</v>
      </c>
      <c r="E6974" t="n">
        <v>44189</v>
      </c>
      <c r="F6974" s="6" t="n">
        <v>3.9</v>
      </c>
      <c r="G6974" t="n">
        <v>1</v>
      </c>
      <c r="H6974" s="6">
        <f>ROUND(G6974*F6974,2)</f>
        <v/>
      </c>
      <c r="I6974">
        <f>IF(ROUND(H6974-D6974,2)=0,1,0)</f>
        <v/>
      </c>
      <c r="J6974">
        <f>IF(F6974="","none",IF(G6974=1,"carte","multiple"))</f>
        <v/>
      </c>
    </row>
    <row r="6975">
      <c r="A6975" t="inlineStr">
        <is>
          <t>2022-11-25</t>
        </is>
      </c>
      <c r="B6975" t="inlineStr">
        <is>
          <t>12:21</t>
        </is>
      </c>
      <c r="C6975" t="n">
        <v>3107</v>
      </c>
      <c r="D6975" s="6" t="n">
        <v>14.4</v>
      </c>
      <c r="E6975" t="n">
        <v>44190</v>
      </c>
      <c r="F6975" s="6" t="n">
        <v>0.4</v>
      </c>
      <c r="G6975" t="n">
        <v>36</v>
      </c>
      <c r="H6975" s="6">
        <f>ROUND(G6975*F6975,2)</f>
        <v/>
      </c>
      <c r="I6975">
        <f>IF(ROUND(H6975-D6975,2)=0,1,0)</f>
        <v/>
      </c>
      <c r="J6975">
        <f>IF(F6975="","none",IF(G6975=1,"carte","multiple"))</f>
        <v/>
      </c>
    </row>
    <row r="6976">
      <c r="A6976" t="inlineStr">
        <is>
          <t>2022-11-25</t>
        </is>
      </c>
      <c r="B6976" t="inlineStr">
        <is>
          <t>12:21</t>
        </is>
      </c>
      <c r="C6976" t="n">
        <v>3107</v>
      </c>
      <c r="D6976" s="6" t="n">
        <v>38</v>
      </c>
      <c r="E6976" t="n">
        <v>44191</v>
      </c>
      <c r="F6976" s="6" t="n">
        <v>0.4</v>
      </c>
      <c r="G6976" t="n">
        <v>95</v>
      </c>
      <c r="H6976" s="6">
        <f>ROUND(G6976*F6976,2)</f>
        <v/>
      </c>
      <c r="I6976">
        <f>IF(ROUND(H6976-D6976,2)=0,1,0)</f>
        <v/>
      </c>
      <c r="J6976">
        <f>IF(F6976="","none",IF(G6976=1,"carte","multiple"))</f>
        <v/>
      </c>
    </row>
    <row r="6977">
      <c r="A6977" t="inlineStr">
        <is>
          <t>2022-11-25</t>
        </is>
      </c>
      <c r="B6977" t="inlineStr">
        <is>
          <t>12:42</t>
        </is>
      </c>
      <c r="C6977" t="n">
        <v>3107</v>
      </c>
      <c r="D6977" s="6" t="n">
        <v>8.699999999999999</v>
      </c>
      <c r="E6977" t="n">
        <v>44192</v>
      </c>
      <c r="F6977" s="6" t="n">
        <v>8.699999999999999</v>
      </c>
      <c r="G6977" t="n">
        <v>1</v>
      </c>
      <c r="H6977" s="6">
        <f>ROUND(G6977*F6977,2)</f>
        <v/>
      </c>
      <c r="I6977">
        <f>IF(ROUND(H6977-D6977,2)=0,1,0)</f>
        <v/>
      </c>
      <c r="J6977">
        <f>IF(F6977="","none",IF(G6977=1,"carte","multiple"))</f>
        <v/>
      </c>
    </row>
    <row r="6978">
      <c r="A6978" t="inlineStr">
        <is>
          <t>2022-11-25</t>
        </is>
      </c>
      <c r="B6978" t="inlineStr">
        <is>
          <t>12:42</t>
        </is>
      </c>
      <c r="C6978" t="n">
        <v>3107</v>
      </c>
      <c r="D6978" s="6" t="n">
        <v>6.9</v>
      </c>
      <c r="E6978" t="n">
        <v>44193</v>
      </c>
      <c r="F6978" s="6" t="n">
        <v>6.9</v>
      </c>
      <c r="G6978" t="n">
        <v>1</v>
      </c>
      <c r="H6978" s="6">
        <f>ROUND(G6978*F6978,2)</f>
        <v/>
      </c>
      <c r="I6978">
        <f>IF(ROUND(H6978-D6978,2)=0,1,0)</f>
        <v/>
      </c>
      <c r="J6978">
        <f>IF(F6978="","none",IF(G6978=1,"carte","multiple"))</f>
        <v/>
      </c>
    </row>
    <row r="6979">
      <c r="A6979" t="inlineStr">
        <is>
          <t>2022-11-25</t>
        </is>
      </c>
      <c r="B6979" t="inlineStr">
        <is>
          <t>12:42</t>
        </is>
      </c>
      <c r="C6979" t="n">
        <v>3107</v>
      </c>
      <c r="D6979" s="6" t="n">
        <v>19.9</v>
      </c>
      <c r="E6979" t="n">
        <v>44194</v>
      </c>
      <c r="F6979" s="6" t="n">
        <v>19.9</v>
      </c>
      <c r="G6979" t="n">
        <v>1</v>
      </c>
      <c r="H6979" s="6">
        <f>ROUND(G6979*F6979,2)</f>
        <v/>
      </c>
      <c r="I6979">
        <f>IF(ROUND(H6979-D6979,2)=0,1,0)</f>
        <v/>
      </c>
      <c r="J6979">
        <f>IF(F6979="","none",IF(G6979=1,"carte","multiple"))</f>
        <v/>
      </c>
    </row>
    <row r="6980">
      <c r="A6980" t="inlineStr">
        <is>
          <t>2022-11-25</t>
        </is>
      </c>
      <c r="B6980" t="inlineStr">
        <is>
          <t>12:42</t>
        </is>
      </c>
      <c r="C6980" t="n">
        <v>3107</v>
      </c>
      <c r="D6980" s="6" t="n">
        <v>18.6</v>
      </c>
      <c r="E6980" t="n">
        <v>44195</v>
      </c>
      <c r="F6980" s="6" t="n">
        <v>18.6</v>
      </c>
      <c r="G6980" t="n">
        <v>1</v>
      </c>
      <c r="H6980" s="6">
        <f>ROUND(G6980*F6980,2)</f>
        <v/>
      </c>
      <c r="I6980">
        <f>IF(ROUND(H6980-D6980,2)=0,1,0)</f>
        <v/>
      </c>
      <c r="J6980">
        <f>IF(F6980="","none",IF(G6980=1,"carte","multiple"))</f>
        <v/>
      </c>
    </row>
    <row r="6981">
      <c r="A6981" t="inlineStr">
        <is>
          <t>2022-11-25</t>
        </is>
      </c>
      <c r="B6981" t="inlineStr">
        <is>
          <t>12:42</t>
        </is>
      </c>
      <c r="C6981" t="n">
        <v>3107</v>
      </c>
      <c r="D6981" s="6" t="n">
        <v>16.5</v>
      </c>
      <c r="E6981" t="n">
        <v>44196</v>
      </c>
      <c r="F6981" s="6" t="n">
        <v>16.5</v>
      </c>
      <c r="G6981" t="n">
        <v>1</v>
      </c>
      <c r="H6981" s="6">
        <f>ROUND(G6981*F6981,2)</f>
        <v/>
      </c>
      <c r="I6981">
        <f>IF(ROUND(H6981-D6981,2)=0,1,0)</f>
        <v/>
      </c>
      <c r="J6981">
        <f>IF(F6981="","none",IF(G6981=1,"carte","multiple"))</f>
        <v/>
      </c>
    </row>
    <row r="6982">
      <c r="A6982" t="inlineStr">
        <is>
          <t>2022-11-25</t>
        </is>
      </c>
      <c r="B6982" t="inlineStr">
        <is>
          <t>12:42</t>
        </is>
      </c>
      <c r="C6982" t="n">
        <v>3107</v>
      </c>
      <c r="D6982" s="6" t="n">
        <v>12.5</v>
      </c>
      <c r="E6982" t="n">
        <v>44197</v>
      </c>
      <c r="F6982" s="6" t="n">
        <v>12.5</v>
      </c>
      <c r="G6982" t="n">
        <v>1</v>
      </c>
      <c r="H6982" s="6">
        <f>ROUND(G6982*F6982,2)</f>
        <v/>
      </c>
      <c r="I6982">
        <f>IF(ROUND(H6982-D6982,2)=0,1,0)</f>
        <v/>
      </c>
      <c r="J6982">
        <f>IF(F6982="","none",IF(G6982=1,"carte","multiple"))</f>
        <v/>
      </c>
    </row>
    <row r="6983">
      <c r="A6983" t="inlineStr">
        <is>
          <t>2022-11-25</t>
        </is>
      </c>
      <c r="B6983" t="inlineStr">
        <is>
          <t>12:42</t>
        </is>
      </c>
      <c r="C6983" t="n">
        <v>3107</v>
      </c>
      <c r="D6983" s="6" t="n">
        <v>4.2</v>
      </c>
      <c r="E6983" t="n">
        <v>44198</v>
      </c>
      <c r="F6983" s="6" t="n">
        <v>4.2</v>
      </c>
      <c r="G6983" t="n">
        <v>1</v>
      </c>
      <c r="H6983" s="6">
        <f>ROUND(G6983*F6983,2)</f>
        <v/>
      </c>
      <c r="I6983">
        <f>IF(ROUND(H6983-D6983,2)=0,1,0)</f>
        <v/>
      </c>
      <c r="J6983">
        <f>IF(F6983="","none",IF(G6983=1,"carte","multiple"))</f>
        <v/>
      </c>
    </row>
    <row r="6984">
      <c r="A6984" t="inlineStr">
        <is>
          <t>2022-11-25</t>
        </is>
      </c>
      <c r="B6984" t="inlineStr">
        <is>
          <t>12:42</t>
        </is>
      </c>
      <c r="C6984" t="n">
        <v>3107</v>
      </c>
      <c r="D6984" s="6" t="n">
        <v>7.5</v>
      </c>
      <c r="E6984" t="n">
        <v>44199</v>
      </c>
      <c r="F6984" s="6" t="n">
        <v>7.5</v>
      </c>
      <c r="G6984" t="n">
        <v>1</v>
      </c>
      <c r="H6984" s="6">
        <f>ROUND(G6984*F6984,2)</f>
        <v/>
      </c>
      <c r="I6984">
        <f>IF(ROUND(H6984-D6984,2)=0,1,0)</f>
        <v/>
      </c>
      <c r="J6984">
        <f>IF(F6984="","none",IF(G6984=1,"carte","multiple"))</f>
        <v/>
      </c>
    </row>
    <row r="6985">
      <c r="A6985" t="inlineStr">
        <is>
          <t>2022-11-25</t>
        </is>
      </c>
      <c r="B6985" t="inlineStr">
        <is>
          <t>12:42</t>
        </is>
      </c>
      <c r="C6985" t="n">
        <v>3107</v>
      </c>
      <c r="D6985" s="6" t="n">
        <v>3.8</v>
      </c>
      <c r="E6985" t="n">
        <v>44200</v>
      </c>
      <c r="F6985" s="6" t="n">
        <v>3.8</v>
      </c>
      <c r="G6985" t="n">
        <v>1</v>
      </c>
      <c r="H6985" s="6">
        <f>ROUND(G6985*F6985,2)</f>
        <v/>
      </c>
      <c r="I6985">
        <f>IF(ROUND(H6985-D6985,2)=0,1,0)</f>
        <v/>
      </c>
      <c r="J6985">
        <f>IF(F6985="","none",IF(G6985=1,"carte","multiple"))</f>
        <v/>
      </c>
    </row>
    <row r="6986">
      <c r="A6986" t="inlineStr">
        <is>
          <t>2022-11-25</t>
        </is>
      </c>
      <c r="B6986" t="inlineStr">
        <is>
          <t>12:42</t>
        </is>
      </c>
      <c r="C6986" t="n">
        <v>3107</v>
      </c>
      <c r="D6986" s="6" t="n">
        <v>4</v>
      </c>
      <c r="E6986" t="n">
        <v>44201</v>
      </c>
      <c r="F6986" s="6" t="n">
        <v>4</v>
      </c>
      <c r="G6986" t="n">
        <v>1</v>
      </c>
      <c r="H6986" s="6">
        <f>ROUND(G6986*F6986,2)</f>
        <v/>
      </c>
      <c r="I6986">
        <f>IF(ROUND(H6986-D6986,2)=0,1,0)</f>
        <v/>
      </c>
      <c r="J6986">
        <f>IF(F6986="","none",IF(G6986=1,"carte","multiple"))</f>
        <v/>
      </c>
    </row>
    <row r="6987">
      <c r="A6987" t="inlineStr">
        <is>
          <t>2022-11-25</t>
        </is>
      </c>
      <c r="B6987" t="inlineStr">
        <is>
          <t>19:01</t>
        </is>
      </c>
      <c r="C6987" t="n">
        <v>3107</v>
      </c>
      <c r="D6987" s="6" t="n">
        <v>3.4</v>
      </c>
      <c r="E6987" t="n">
        <v>44203</v>
      </c>
      <c r="F6987" s="6" t="n">
        <v>3.4</v>
      </c>
      <c r="G6987" t="n">
        <v>1</v>
      </c>
      <c r="H6987" s="6">
        <f>ROUND(G6987*F6987,2)</f>
        <v/>
      </c>
      <c r="I6987">
        <f>IF(ROUND(H6987-D6987,2)=0,1,0)</f>
        <v/>
      </c>
      <c r="J6987">
        <f>IF(F6987="","none",IF(G6987=1,"carte","multiple"))</f>
        <v/>
      </c>
    </row>
    <row r="6988">
      <c r="A6988" t="inlineStr">
        <is>
          <t>2022-11-25</t>
        </is>
      </c>
      <c r="B6988" t="inlineStr">
        <is>
          <t>19:01</t>
        </is>
      </c>
      <c r="C6988" t="n">
        <v>3107</v>
      </c>
      <c r="D6988" s="6" t="n">
        <v>1.8</v>
      </c>
      <c r="E6988" t="n">
        <v>44204</v>
      </c>
      <c r="F6988" s="6" t="n">
        <v>1.8</v>
      </c>
      <c r="G6988" t="n">
        <v>1</v>
      </c>
      <c r="H6988" s="6">
        <f>ROUND(G6988*F6988,2)</f>
        <v/>
      </c>
      <c r="I6988">
        <f>IF(ROUND(H6988-D6988,2)=0,1,0)</f>
        <v/>
      </c>
      <c r="J6988">
        <f>IF(F6988="","none",IF(G6988=1,"carte","multiple"))</f>
        <v/>
      </c>
    </row>
    <row r="6989">
      <c r="A6989" t="inlineStr">
        <is>
          <t>2022-11-25</t>
        </is>
      </c>
      <c r="B6989" t="inlineStr">
        <is>
          <t>19:01</t>
        </is>
      </c>
      <c r="C6989" t="n">
        <v>3107</v>
      </c>
      <c r="D6989" s="6" t="n">
        <v>3.9</v>
      </c>
      <c r="E6989" t="n">
        <v>44205</v>
      </c>
      <c r="F6989" s="6" t="n">
        <v>3.9</v>
      </c>
      <c r="G6989" t="n">
        <v>1</v>
      </c>
      <c r="H6989" s="6">
        <f>ROUND(G6989*F6989,2)</f>
        <v/>
      </c>
      <c r="I6989">
        <f>IF(ROUND(H6989-D6989,2)=0,1,0)</f>
        <v/>
      </c>
      <c r="J6989">
        <f>IF(F6989="","none",IF(G6989=1,"carte","multiple"))</f>
        <v/>
      </c>
    </row>
    <row r="6990">
      <c r="A6990" t="inlineStr">
        <is>
          <t>2022-11-25</t>
        </is>
      </c>
      <c r="B6990" t="inlineStr">
        <is>
          <t>19:01</t>
        </is>
      </c>
      <c r="C6990" t="n">
        <v>3107</v>
      </c>
      <c r="D6990" s="6" t="n">
        <v>16.8</v>
      </c>
      <c r="E6990" t="n">
        <v>44206</v>
      </c>
      <c r="F6990" s="6" t="n">
        <v>16.8</v>
      </c>
      <c r="G6990" t="n">
        <v>1</v>
      </c>
      <c r="H6990" s="6">
        <f>ROUND(G6990*F6990,2)</f>
        <v/>
      </c>
      <c r="I6990">
        <f>IF(ROUND(H6990-D6990,2)=0,1,0)</f>
        <v/>
      </c>
      <c r="J6990">
        <f>IF(F6990="","none",IF(G6990=1,"carte","multiple"))</f>
        <v/>
      </c>
    </row>
    <row r="6991">
      <c r="A6991" t="inlineStr">
        <is>
          <t>2022-11-25</t>
        </is>
      </c>
      <c r="B6991" t="inlineStr">
        <is>
          <t>19:01</t>
        </is>
      </c>
      <c r="C6991" t="n">
        <v>3107</v>
      </c>
      <c r="D6991" s="6" t="n">
        <v>19.9</v>
      </c>
      <c r="E6991" t="n">
        <v>44207</v>
      </c>
      <c r="F6991" s="6" t="n">
        <v>19.9</v>
      </c>
      <c r="G6991" t="n">
        <v>1</v>
      </c>
      <c r="H6991" s="6">
        <f>ROUND(G6991*F6991,2)</f>
        <v/>
      </c>
      <c r="I6991">
        <f>IF(ROUND(H6991-D6991,2)=0,1,0)</f>
        <v/>
      </c>
      <c r="J6991">
        <f>IF(F6991="","none",IF(G6991=1,"carte","multiple"))</f>
        <v/>
      </c>
    </row>
    <row r="6992">
      <c r="A6992" t="inlineStr">
        <is>
          <t>2022-11-25</t>
        </is>
      </c>
      <c r="B6992" t="inlineStr">
        <is>
          <t>19:01</t>
        </is>
      </c>
      <c r="C6992" t="n">
        <v>3107</v>
      </c>
      <c r="D6992" s="6" t="n">
        <v>4.2</v>
      </c>
      <c r="E6992" t="n">
        <v>44208</v>
      </c>
      <c r="F6992" s="6" t="n">
        <v>4.2</v>
      </c>
      <c r="G6992" t="n">
        <v>1</v>
      </c>
      <c r="H6992" s="6">
        <f>ROUND(G6992*F6992,2)</f>
        <v/>
      </c>
      <c r="I6992">
        <f>IF(ROUND(H6992-D6992,2)=0,1,0)</f>
        <v/>
      </c>
      <c r="J6992">
        <f>IF(F6992="","none",IF(G6992=1,"carte","multiple"))</f>
        <v/>
      </c>
    </row>
    <row r="6993">
      <c r="A6993" t="inlineStr">
        <is>
          <t>2022-11-25</t>
        </is>
      </c>
      <c r="B6993" t="inlineStr">
        <is>
          <t>19:01</t>
        </is>
      </c>
      <c r="C6993" t="n">
        <v>3107</v>
      </c>
      <c r="D6993" s="6" t="n">
        <v>3.9</v>
      </c>
      <c r="E6993" t="n">
        <v>44209</v>
      </c>
      <c r="F6993" s="6" t="n">
        <v>3.9</v>
      </c>
      <c r="G6993" t="n">
        <v>1</v>
      </c>
      <c r="H6993" s="6">
        <f>ROUND(G6993*F6993,2)</f>
        <v/>
      </c>
      <c r="I6993">
        <f>IF(ROUND(H6993-D6993,2)=0,1,0)</f>
        <v/>
      </c>
      <c r="J6993">
        <f>IF(F6993="","none",IF(G6993=1,"carte","multiple"))</f>
        <v/>
      </c>
    </row>
    <row r="6994">
      <c r="A6994" t="inlineStr">
        <is>
          <t>2022-11-26</t>
        </is>
      </c>
      <c r="B6994" t="inlineStr">
        <is>
          <t>12:57</t>
        </is>
      </c>
      <c r="C6994" t="n">
        <v>3108</v>
      </c>
      <c r="D6994" s="6" t="n">
        <v>2.2</v>
      </c>
      <c r="E6994" t="n">
        <v>44212</v>
      </c>
      <c r="F6994" s="6" t="n">
        <v>2.2</v>
      </c>
      <c r="G6994" t="n">
        <v>1</v>
      </c>
      <c r="H6994" s="6">
        <f>ROUND(G6994*F6994,2)</f>
        <v/>
      </c>
      <c r="I6994">
        <f>IF(ROUND(H6994-D6994,2)=0,1,0)</f>
        <v/>
      </c>
      <c r="J6994">
        <f>IF(F6994="","none",IF(G6994=1,"carte","multiple"))</f>
        <v/>
      </c>
    </row>
    <row r="6995">
      <c r="A6995" t="inlineStr">
        <is>
          <t>2022-11-26</t>
        </is>
      </c>
      <c r="B6995" t="inlineStr">
        <is>
          <t>13:25</t>
        </is>
      </c>
      <c r="C6995" t="n">
        <v>3108</v>
      </c>
      <c r="D6995" s="6" t="n">
        <v>2.2</v>
      </c>
      <c r="E6995" t="n">
        <v>44213</v>
      </c>
      <c r="F6995" s="6" t="n">
        <v>2.2</v>
      </c>
      <c r="G6995" t="n">
        <v>1</v>
      </c>
      <c r="H6995" s="6">
        <f>ROUND(G6995*F6995,2)</f>
        <v/>
      </c>
      <c r="I6995">
        <f>IF(ROUND(H6995-D6995,2)=0,1,0)</f>
        <v/>
      </c>
      <c r="J6995">
        <f>IF(F6995="","none",IF(G6995=1,"carte","multiple"))</f>
        <v/>
      </c>
    </row>
    <row r="6996">
      <c r="A6996" t="inlineStr">
        <is>
          <t>2022-11-26</t>
        </is>
      </c>
      <c r="B6996" t="inlineStr">
        <is>
          <t>13:25</t>
        </is>
      </c>
      <c r="C6996" t="n">
        <v>3108</v>
      </c>
      <c r="D6996" s="6" t="n">
        <v>25</v>
      </c>
      <c r="E6996" t="n">
        <v>44214</v>
      </c>
      <c r="F6996" s="6" t="n">
        <v>25</v>
      </c>
      <c r="G6996" t="n">
        <v>1</v>
      </c>
      <c r="H6996" s="6">
        <f>ROUND(G6996*F6996,2)</f>
        <v/>
      </c>
      <c r="I6996">
        <f>IF(ROUND(H6996-D6996,2)=0,1,0)</f>
        <v/>
      </c>
      <c r="J6996">
        <f>IF(F6996="","none",IF(G6996=1,"carte","multiple"))</f>
        <v/>
      </c>
    </row>
    <row r="6997">
      <c r="A6997" t="inlineStr">
        <is>
          <t>2022-11-26</t>
        </is>
      </c>
      <c r="B6997" t="inlineStr">
        <is>
          <t>20:37</t>
        </is>
      </c>
      <c r="C6997" t="n">
        <v>3108</v>
      </c>
      <c r="D6997" s="6" t="n">
        <v>4.4</v>
      </c>
      <c r="E6997" t="n">
        <v>44217</v>
      </c>
      <c r="F6997" s="6" t="n">
        <v>0.4</v>
      </c>
      <c r="G6997" t="n">
        <v>11</v>
      </c>
      <c r="H6997" s="6">
        <f>ROUND(G6997*F6997,2)</f>
        <v/>
      </c>
      <c r="I6997">
        <f>IF(ROUND(H6997-D6997,2)=0,1,0)</f>
        <v/>
      </c>
      <c r="J6997">
        <f>IF(F6997="","none",IF(G6997=1,"carte","multiple"))</f>
        <v/>
      </c>
    </row>
    <row r="6998">
      <c r="A6998" t="inlineStr">
        <is>
          <t>2022-11-26</t>
        </is>
      </c>
      <c r="B6998" t="inlineStr">
        <is>
          <t>20:37</t>
        </is>
      </c>
      <c r="C6998" t="n">
        <v>3108</v>
      </c>
      <c r="D6998" s="6" t="n">
        <v>1.8</v>
      </c>
      <c r="E6998" t="n">
        <v>44218</v>
      </c>
      <c r="F6998" s="6" t="n">
        <v>1.8</v>
      </c>
      <c r="G6998" t="n">
        <v>1</v>
      </c>
      <c r="H6998" s="6">
        <f>ROUND(G6998*F6998,2)</f>
        <v/>
      </c>
      <c r="I6998">
        <f>IF(ROUND(H6998-D6998,2)=0,1,0)</f>
        <v/>
      </c>
      <c r="J6998">
        <f>IF(F6998="","none",IF(G6998=1,"carte","multiple"))</f>
        <v/>
      </c>
    </row>
    <row r="6999">
      <c r="A6999" t="inlineStr">
        <is>
          <t>2022-11-26</t>
        </is>
      </c>
      <c r="B6999" t="inlineStr">
        <is>
          <t>20:37</t>
        </is>
      </c>
      <c r="C6999" t="n">
        <v>3108</v>
      </c>
      <c r="D6999" s="6" t="n">
        <v>3.9</v>
      </c>
      <c r="E6999" t="n">
        <v>44219</v>
      </c>
      <c r="F6999" s="6" t="n">
        <v>3.9</v>
      </c>
      <c r="G6999" t="n">
        <v>1</v>
      </c>
      <c r="H6999" s="6">
        <f>ROUND(G6999*F6999,2)</f>
        <v/>
      </c>
      <c r="I6999">
        <f>IF(ROUND(H6999-D6999,2)=0,1,0)</f>
        <v/>
      </c>
      <c r="J6999">
        <f>IF(F6999="","none",IF(G6999=1,"carte","multiple"))</f>
        <v/>
      </c>
    </row>
    <row r="7000">
      <c r="A7000" t="inlineStr">
        <is>
          <t>2022-11-26</t>
        </is>
      </c>
      <c r="B7000" t="inlineStr">
        <is>
          <t>20:37</t>
        </is>
      </c>
      <c r="C7000" t="n">
        <v>3108</v>
      </c>
      <c r="D7000" s="6" t="n">
        <v>2</v>
      </c>
      <c r="E7000" t="n">
        <v>44220</v>
      </c>
      <c r="F7000" s="6" t="n">
        <v>2</v>
      </c>
      <c r="G7000" t="n">
        <v>1</v>
      </c>
      <c r="H7000" s="6">
        <f>ROUND(G7000*F7000,2)</f>
        <v/>
      </c>
      <c r="I7000">
        <f>IF(ROUND(H7000-D7000,2)=0,1,0)</f>
        <v/>
      </c>
      <c r="J7000">
        <f>IF(F7000="","none",IF(G7000=1,"carte","multiple"))</f>
        <v/>
      </c>
    </row>
    <row r="7001">
      <c r="A7001" t="inlineStr">
        <is>
          <t>2022-11-26</t>
        </is>
      </c>
      <c r="B7001" t="inlineStr">
        <is>
          <t>20:37</t>
        </is>
      </c>
      <c r="C7001" t="n">
        <v>3108</v>
      </c>
      <c r="D7001" s="6" t="n">
        <v>21</v>
      </c>
      <c r="E7001" t="n">
        <v>44221</v>
      </c>
      <c r="F7001" s="6" t="n">
        <v>21</v>
      </c>
      <c r="G7001" t="n">
        <v>1</v>
      </c>
      <c r="H7001" s="6">
        <f>ROUND(G7001*F7001,2)</f>
        <v/>
      </c>
      <c r="I7001">
        <f>IF(ROUND(H7001-D7001,2)=0,1,0)</f>
        <v/>
      </c>
      <c r="J7001">
        <f>IF(F7001="","none",IF(G7001=1,"carte","multiple"))</f>
        <v/>
      </c>
    </row>
    <row r="7002">
      <c r="A7002" t="inlineStr">
        <is>
          <t>2022-11-26</t>
        </is>
      </c>
      <c r="B7002" t="inlineStr">
        <is>
          <t>20:37</t>
        </is>
      </c>
      <c r="C7002" t="n">
        <v>3108</v>
      </c>
      <c r="D7002" s="6" t="n">
        <v>8.699999999999999</v>
      </c>
      <c r="E7002" t="n">
        <v>44222</v>
      </c>
      <c r="F7002" s="6" t="n">
        <v>8.699999999999999</v>
      </c>
      <c r="G7002" t="n">
        <v>1</v>
      </c>
      <c r="H7002" s="6">
        <f>ROUND(G7002*F7002,2)</f>
        <v/>
      </c>
      <c r="I7002">
        <f>IF(ROUND(H7002-D7002,2)=0,1,0)</f>
        <v/>
      </c>
      <c r="J7002">
        <f>IF(F7002="","none",IF(G7002=1,"carte","multiple"))</f>
        <v/>
      </c>
    </row>
    <row r="7003">
      <c r="A7003" t="inlineStr">
        <is>
          <t>2022-11-26</t>
        </is>
      </c>
      <c r="B7003" t="inlineStr">
        <is>
          <t>20:37</t>
        </is>
      </c>
      <c r="C7003" t="n">
        <v>3108</v>
      </c>
      <c r="D7003" s="6" t="n">
        <v>8.9</v>
      </c>
      <c r="E7003" t="n">
        <v>44223</v>
      </c>
      <c r="F7003" s="6" t="n">
        <v>8.9</v>
      </c>
      <c r="G7003" t="n">
        <v>1</v>
      </c>
      <c r="H7003" s="6">
        <f>ROUND(G7003*F7003,2)</f>
        <v/>
      </c>
      <c r="I7003">
        <f>IF(ROUND(H7003-D7003,2)=0,1,0)</f>
        <v/>
      </c>
      <c r="J7003">
        <f>IF(F7003="","none",IF(G7003=1,"carte","multiple"))</f>
        <v/>
      </c>
    </row>
    <row r="7004">
      <c r="A7004" t="inlineStr">
        <is>
          <t>2022-11-26</t>
        </is>
      </c>
      <c r="B7004" t="inlineStr">
        <is>
          <t>20:37</t>
        </is>
      </c>
      <c r="C7004" t="n">
        <v>3108</v>
      </c>
      <c r="D7004" s="6" t="n">
        <v>3.9</v>
      </c>
      <c r="E7004" t="n">
        <v>44224</v>
      </c>
      <c r="F7004" s="6" t="n">
        <v>3.9</v>
      </c>
      <c r="G7004" t="n">
        <v>1</v>
      </c>
      <c r="H7004" s="6">
        <f>ROUND(G7004*F7004,2)</f>
        <v/>
      </c>
      <c r="I7004">
        <f>IF(ROUND(H7004-D7004,2)=0,1,0)</f>
        <v/>
      </c>
      <c r="J7004">
        <f>IF(F7004="","none",IF(G7004=1,"carte","multiple"))</f>
        <v/>
      </c>
    </row>
    <row r="7005">
      <c r="A7005" t="inlineStr">
        <is>
          <t>2022-11-26</t>
        </is>
      </c>
      <c r="B7005" t="inlineStr">
        <is>
          <t>20:37</t>
        </is>
      </c>
      <c r="C7005" t="n">
        <v>3108</v>
      </c>
      <c r="D7005" s="6" t="n">
        <v>19</v>
      </c>
      <c r="E7005" t="n">
        <v>44225</v>
      </c>
      <c r="F7005" s="6" t="n">
        <v>19</v>
      </c>
      <c r="G7005" t="n">
        <v>1</v>
      </c>
      <c r="H7005" s="6">
        <f>ROUND(G7005*F7005,2)</f>
        <v/>
      </c>
      <c r="I7005">
        <f>IF(ROUND(H7005-D7005,2)=0,1,0)</f>
        <v/>
      </c>
      <c r="J7005">
        <f>IF(F7005="","none",IF(G7005=1,"carte","multiple"))</f>
        <v/>
      </c>
    </row>
    <row r="7006">
      <c r="A7006" t="inlineStr">
        <is>
          <t>2022-11-26</t>
        </is>
      </c>
      <c r="B7006" t="inlineStr">
        <is>
          <t>20:37</t>
        </is>
      </c>
      <c r="C7006" t="n">
        <v>3108</v>
      </c>
      <c r="D7006" s="6" t="n">
        <v>19.9</v>
      </c>
      <c r="E7006" t="n">
        <v>44226</v>
      </c>
      <c r="F7006" s="6" t="n">
        <v>19.9</v>
      </c>
      <c r="G7006" t="n">
        <v>1</v>
      </c>
      <c r="H7006" s="6">
        <f>ROUND(G7006*F7006,2)</f>
        <v/>
      </c>
      <c r="I7006">
        <f>IF(ROUND(H7006-D7006,2)=0,1,0)</f>
        <v/>
      </c>
      <c r="J7006">
        <f>IF(F7006="","none",IF(G7006=1,"carte","multiple"))</f>
        <v/>
      </c>
    </row>
    <row r="7007">
      <c r="A7007" t="inlineStr">
        <is>
          <t>2022-11-26</t>
        </is>
      </c>
      <c r="B7007" t="inlineStr">
        <is>
          <t>20:37</t>
        </is>
      </c>
      <c r="C7007" t="n">
        <v>3108</v>
      </c>
      <c r="D7007" s="6" t="n">
        <v>64</v>
      </c>
      <c r="E7007" t="n">
        <v>44227</v>
      </c>
      <c r="F7007" s="6" t="n">
        <v>64</v>
      </c>
      <c r="G7007" t="n">
        <v>1</v>
      </c>
      <c r="H7007" s="6">
        <f>ROUND(G7007*F7007,2)</f>
        <v/>
      </c>
      <c r="I7007">
        <f>IF(ROUND(H7007-D7007,2)=0,1,0)</f>
        <v/>
      </c>
      <c r="J7007">
        <f>IF(F7007="","none",IF(G7007=1,"carte","multiple"))</f>
        <v/>
      </c>
    </row>
    <row r="7008">
      <c r="A7008" t="inlineStr">
        <is>
          <t>2022-11-26</t>
        </is>
      </c>
      <c r="B7008" t="inlineStr">
        <is>
          <t>20:37</t>
        </is>
      </c>
      <c r="C7008" t="n">
        <v>3108</v>
      </c>
      <c r="D7008" s="6" t="n">
        <v>29.9</v>
      </c>
      <c r="E7008" t="n">
        <v>44228</v>
      </c>
      <c r="F7008" s="6" t="n">
        <v>29.9</v>
      </c>
      <c r="G7008" t="n">
        <v>1</v>
      </c>
      <c r="H7008" s="6">
        <f>ROUND(G7008*F7008,2)</f>
        <v/>
      </c>
      <c r="I7008">
        <f>IF(ROUND(H7008-D7008,2)=0,1,0)</f>
        <v/>
      </c>
      <c r="J7008">
        <f>IF(F7008="","none",IF(G7008=1,"carte","multiple"))</f>
        <v/>
      </c>
    </row>
    <row r="7009">
      <c r="A7009" t="inlineStr">
        <is>
          <t>2022-11-26</t>
        </is>
      </c>
      <c r="B7009" t="inlineStr">
        <is>
          <t>20:37</t>
        </is>
      </c>
      <c r="C7009" t="n">
        <v>3108</v>
      </c>
      <c r="D7009" s="6" t="n">
        <v>3.9</v>
      </c>
      <c r="E7009" t="n">
        <v>44229</v>
      </c>
      <c r="F7009" s="6" t="n">
        <v>3.9</v>
      </c>
      <c r="G7009" t="n">
        <v>1</v>
      </c>
      <c r="H7009" s="6">
        <f>ROUND(G7009*F7009,2)</f>
        <v/>
      </c>
      <c r="I7009">
        <f>IF(ROUND(H7009-D7009,2)=0,1,0)</f>
        <v/>
      </c>
      <c r="J7009">
        <f>IF(F7009="","none",IF(G7009=1,"carte","multiple"))</f>
        <v/>
      </c>
    </row>
    <row r="7010">
      <c r="A7010" t="inlineStr">
        <is>
          <t>2022-11-26</t>
        </is>
      </c>
      <c r="B7010" t="inlineStr">
        <is>
          <t>20:37</t>
        </is>
      </c>
      <c r="C7010" t="n">
        <v>3108</v>
      </c>
      <c r="D7010" s="6" t="n">
        <v>17.8</v>
      </c>
      <c r="E7010" t="n">
        <v>44230</v>
      </c>
      <c r="F7010" s="6" t="n">
        <v>8.9</v>
      </c>
      <c r="G7010" t="n">
        <v>2</v>
      </c>
      <c r="H7010" s="6">
        <f>ROUND(G7010*F7010,2)</f>
        <v/>
      </c>
      <c r="I7010">
        <f>IF(ROUND(H7010-D7010,2)=0,1,0)</f>
        <v/>
      </c>
      <c r="J7010">
        <f>IF(F7010="","none",IF(G7010=1,"carte","multiple"))</f>
        <v/>
      </c>
    </row>
    <row r="7011">
      <c r="A7011" t="inlineStr">
        <is>
          <t>2022-11-27</t>
        </is>
      </c>
      <c r="B7011" t="inlineStr">
        <is>
          <t>12:02</t>
        </is>
      </c>
      <c r="C7011" t="n">
        <v>3109</v>
      </c>
      <c r="D7011" s="6" t="n">
        <v>18.6</v>
      </c>
      <c r="E7011" t="n">
        <v>44234</v>
      </c>
      <c r="F7011" s="6" t="n">
        <v>18.6</v>
      </c>
      <c r="G7011" t="n">
        <v>1</v>
      </c>
      <c r="H7011" s="6">
        <f>ROUND(G7011*F7011,2)</f>
        <v/>
      </c>
      <c r="I7011">
        <f>IF(ROUND(H7011-D7011,2)=0,1,0)</f>
        <v/>
      </c>
      <c r="J7011">
        <f>IF(F7011="","none",IF(G7011=1,"carte","multiple"))</f>
        <v/>
      </c>
    </row>
    <row r="7012">
      <c r="A7012" t="inlineStr">
        <is>
          <t>2022-11-27</t>
        </is>
      </c>
      <c r="B7012" t="inlineStr">
        <is>
          <t>12:02</t>
        </is>
      </c>
      <c r="C7012" t="n">
        <v>3109</v>
      </c>
      <c r="D7012" s="6" t="n">
        <v>18.6</v>
      </c>
      <c r="E7012" t="n">
        <v>44235</v>
      </c>
      <c r="F7012" s="6" t="n">
        <v>18.6</v>
      </c>
      <c r="G7012" t="n">
        <v>1</v>
      </c>
      <c r="H7012" s="6">
        <f>ROUND(G7012*F7012,2)</f>
        <v/>
      </c>
      <c r="I7012">
        <f>IF(ROUND(H7012-D7012,2)=0,1,0)</f>
        <v/>
      </c>
      <c r="J7012">
        <f>IF(F7012="","none",IF(G7012=1,"carte","multiple"))</f>
        <v/>
      </c>
    </row>
    <row r="7013">
      <c r="A7013" t="inlineStr">
        <is>
          <t>2022-11-27</t>
        </is>
      </c>
      <c r="B7013" t="inlineStr">
        <is>
          <t>12:02</t>
        </is>
      </c>
      <c r="C7013" t="n">
        <v>3109</v>
      </c>
      <c r="D7013" s="6" t="n">
        <v>3.9</v>
      </c>
      <c r="E7013" t="n">
        <v>44236</v>
      </c>
      <c r="F7013" s="6" t="n">
        <v>3.9</v>
      </c>
      <c r="G7013" t="n">
        <v>1</v>
      </c>
      <c r="H7013" s="6">
        <f>ROUND(G7013*F7013,2)</f>
        <v/>
      </c>
      <c r="I7013">
        <f>IF(ROUND(H7013-D7013,2)=0,1,0)</f>
        <v/>
      </c>
      <c r="J7013">
        <f>IF(F7013="","none",IF(G7013=1,"carte","multiple"))</f>
        <v/>
      </c>
    </row>
    <row r="7014">
      <c r="A7014" t="inlineStr">
        <is>
          <t>2022-11-27</t>
        </is>
      </c>
      <c r="B7014" t="inlineStr">
        <is>
          <t>12:02</t>
        </is>
      </c>
      <c r="C7014" t="n">
        <v>3109</v>
      </c>
      <c r="D7014" s="6" t="n">
        <v>5.2</v>
      </c>
      <c r="E7014" t="n">
        <v>44237</v>
      </c>
      <c r="F7014" s="6" t="n">
        <v>5.2</v>
      </c>
      <c r="G7014" t="n">
        <v>1</v>
      </c>
      <c r="H7014" s="6">
        <f>ROUND(G7014*F7014,2)</f>
        <v/>
      </c>
      <c r="I7014">
        <f>IF(ROUND(H7014-D7014,2)=0,1,0)</f>
        <v/>
      </c>
      <c r="J7014">
        <f>IF(F7014="","none",IF(G7014=1,"carte","multiple"))</f>
        <v/>
      </c>
    </row>
    <row r="7015">
      <c r="A7015" t="inlineStr">
        <is>
          <t>2022-12-07</t>
        </is>
      </c>
      <c r="B7015" t="inlineStr">
        <is>
          <t>12:24</t>
        </is>
      </c>
      <c r="C7015" t="n">
        <v>3110</v>
      </c>
      <c r="D7015" s="6" t="n">
        <v>4.4</v>
      </c>
      <c r="E7015" t="n">
        <v>44240</v>
      </c>
      <c r="F7015" s="6" t="n">
        <v>0.4</v>
      </c>
      <c r="G7015" t="n">
        <v>11</v>
      </c>
      <c r="H7015" s="6">
        <f>ROUND(G7015*F7015,2)</f>
        <v/>
      </c>
      <c r="I7015">
        <f>IF(ROUND(H7015-D7015,2)=0,1,0)</f>
        <v/>
      </c>
      <c r="J7015">
        <f>IF(F7015="","none",IF(G7015=1,"carte","multiple"))</f>
        <v/>
      </c>
    </row>
    <row r="7016">
      <c r="A7016" t="inlineStr">
        <is>
          <t>2022-12-07</t>
        </is>
      </c>
      <c r="B7016" t="inlineStr">
        <is>
          <t>12:24</t>
        </is>
      </c>
      <c r="C7016" t="n">
        <v>3110</v>
      </c>
      <c r="D7016" s="6" t="n">
        <v>5.2</v>
      </c>
      <c r="E7016" t="n">
        <v>44241</v>
      </c>
      <c r="F7016" s="6" t="n">
        <v>5.2</v>
      </c>
      <c r="G7016" t="n">
        <v>1</v>
      </c>
      <c r="H7016" s="6">
        <f>ROUND(G7016*F7016,2)</f>
        <v/>
      </c>
      <c r="I7016">
        <f>IF(ROUND(H7016-D7016,2)=0,1,0)</f>
        <v/>
      </c>
      <c r="J7016">
        <f>IF(F7016="","none",IF(G7016=1,"carte","multiple"))</f>
        <v/>
      </c>
    </row>
    <row r="7017">
      <c r="A7017" t="inlineStr">
        <is>
          <t>2022-12-07</t>
        </is>
      </c>
      <c r="B7017" t="inlineStr">
        <is>
          <t>12:24</t>
        </is>
      </c>
      <c r="C7017" t="n">
        <v>3110</v>
      </c>
      <c r="D7017" s="6" t="n">
        <v>34</v>
      </c>
      <c r="E7017" t="n">
        <v>44242</v>
      </c>
      <c r="F7017" s="6" t="n">
        <v>34</v>
      </c>
      <c r="G7017" t="n">
        <v>1</v>
      </c>
      <c r="H7017" s="6">
        <f>ROUND(G7017*F7017,2)</f>
        <v/>
      </c>
      <c r="I7017">
        <f>IF(ROUND(H7017-D7017,2)=0,1,0)</f>
        <v/>
      </c>
      <c r="J7017">
        <f>IF(F7017="","none",IF(G7017=1,"carte","multiple"))</f>
        <v/>
      </c>
    </row>
    <row r="7018">
      <c r="A7018" t="inlineStr">
        <is>
          <t>2022-12-07</t>
        </is>
      </c>
      <c r="B7018" t="inlineStr">
        <is>
          <t>12:40</t>
        </is>
      </c>
      <c r="C7018" t="n">
        <v>3110</v>
      </c>
      <c r="D7018" s="6" t="n">
        <v>34.8</v>
      </c>
      <c r="E7018" t="n">
        <v>44243</v>
      </c>
      <c r="F7018" s="6" t="n">
        <v>34.8</v>
      </c>
      <c r="G7018" t="n">
        <v>1</v>
      </c>
      <c r="H7018" s="6">
        <f>ROUND(G7018*F7018,2)</f>
        <v/>
      </c>
      <c r="I7018">
        <f>IF(ROUND(H7018-D7018,2)=0,1,0)</f>
        <v/>
      </c>
      <c r="J7018">
        <f>IF(F7018="","none",IF(G7018=1,"carte","multiple"))</f>
        <v/>
      </c>
    </row>
    <row r="7019">
      <c r="A7019" t="inlineStr">
        <is>
          <t>2022-12-07</t>
        </is>
      </c>
      <c r="B7019" t="inlineStr">
        <is>
          <t>12:49</t>
        </is>
      </c>
      <c r="C7019" t="n">
        <v>3110</v>
      </c>
      <c r="D7019" s="6" t="n">
        <v>4.4</v>
      </c>
      <c r="E7019" t="n">
        <v>44244</v>
      </c>
      <c r="F7019" s="6" t="n">
        <v>0.4</v>
      </c>
      <c r="G7019" t="n">
        <v>11</v>
      </c>
      <c r="H7019" s="6">
        <f>ROUND(G7019*F7019,2)</f>
        <v/>
      </c>
      <c r="I7019">
        <f>IF(ROUND(H7019-D7019,2)=0,1,0)</f>
        <v/>
      </c>
      <c r="J7019">
        <f>IF(F7019="","none",IF(G7019=1,"carte","multiple"))</f>
        <v/>
      </c>
    </row>
    <row r="7020">
      <c r="A7020" t="inlineStr">
        <is>
          <t>2022-12-07</t>
        </is>
      </c>
      <c r="B7020" t="inlineStr">
        <is>
          <t>12:49</t>
        </is>
      </c>
      <c r="C7020" t="n">
        <v>3110</v>
      </c>
      <c r="D7020" s="6" t="n">
        <v>15.8</v>
      </c>
      <c r="E7020" t="n">
        <v>44245</v>
      </c>
      <c r="F7020" s="6" t="n">
        <v>7.9</v>
      </c>
      <c r="G7020" t="n">
        <v>2</v>
      </c>
      <c r="H7020" s="6">
        <f>ROUND(G7020*F7020,2)</f>
        <v/>
      </c>
      <c r="I7020">
        <f>IF(ROUND(H7020-D7020,2)=0,1,0)</f>
        <v/>
      </c>
      <c r="J7020">
        <f>IF(F7020="","none",IF(G7020=1,"carte","multiple"))</f>
        <v/>
      </c>
    </row>
    <row r="7021">
      <c r="A7021" t="inlineStr">
        <is>
          <t>2022-12-07</t>
        </is>
      </c>
      <c r="B7021" t="inlineStr">
        <is>
          <t>12:49</t>
        </is>
      </c>
      <c r="C7021" t="n">
        <v>3110</v>
      </c>
      <c r="D7021" s="6" t="n">
        <v>18.6</v>
      </c>
      <c r="E7021" t="n">
        <v>44246</v>
      </c>
      <c r="F7021" s="6" t="n">
        <v>18.6</v>
      </c>
      <c r="G7021" t="n">
        <v>1</v>
      </c>
      <c r="H7021" s="6">
        <f>ROUND(G7021*F7021,2)</f>
        <v/>
      </c>
      <c r="I7021">
        <f>IF(ROUND(H7021-D7021,2)=0,1,0)</f>
        <v/>
      </c>
      <c r="J7021">
        <f>IF(F7021="","none",IF(G7021=1,"carte","multiple"))</f>
        <v/>
      </c>
    </row>
    <row r="7022">
      <c r="A7022" t="inlineStr">
        <is>
          <t>2022-12-07</t>
        </is>
      </c>
      <c r="B7022" t="inlineStr">
        <is>
          <t>12:49</t>
        </is>
      </c>
      <c r="C7022" t="n">
        <v>3110</v>
      </c>
      <c r="D7022" s="6" t="n">
        <v>18.6</v>
      </c>
      <c r="E7022" t="n">
        <v>44247</v>
      </c>
      <c r="F7022" s="6" t="n">
        <v>18.6</v>
      </c>
      <c r="G7022" t="n">
        <v>1</v>
      </c>
      <c r="H7022" s="6">
        <f>ROUND(G7022*F7022,2)</f>
        <v/>
      </c>
      <c r="I7022">
        <f>IF(ROUND(H7022-D7022,2)=0,1,0)</f>
        <v/>
      </c>
      <c r="J7022">
        <f>IF(F7022="","none",IF(G7022=1,"carte","multiple"))</f>
        <v/>
      </c>
    </row>
    <row r="7023">
      <c r="A7023" t="inlineStr">
        <is>
          <t>2022-12-07</t>
        </is>
      </c>
      <c r="B7023" t="inlineStr">
        <is>
          <t>19:38</t>
        </is>
      </c>
      <c r="C7023" t="n">
        <v>3110</v>
      </c>
      <c r="D7023" s="6" t="n">
        <v>6.5</v>
      </c>
      <c r="E7023" t="n">
        <v>44249</v>
      </c>
      <c r="F7023" s="6" t="n">
        <v>6.5</v>
      </c>
      <c r="G7023" t="n">
        <v>1</v>
      </c>
      <c r="H7023" s="6">
        <f>ROUND(G7023*F7023,2)</f>
        <v/>
      </c>
      <c r="I7023">
        <f>IF(ROUND(H7023-D7023,2)=0,1,0)</f>
        <v/>
      </c>
      <c r="J7023">
        <f>IF(F7023="","none",IF(G7023=1,"carte","multiple"))</f>
        <v/>
      </c>
    </row>
    <row r="7024">
      <c r="A7024" t="inlineStr">
        <is>
          <t>2022-12-07</t>
        </is>
      </c>
      <c r="B7024" t="inlineStr">
        <is>
          <t>19:38</t>
        </is>
      </c>
      <c r="C7024" t="n">
        <v>3110</v>
      </c>
      <c r="D7024" s="6" t="n">
        <v>1.95</v>
      </c>
      <c r="E7024" t="n">
        <v>44250</v>
      </c>
      <c r="H7024" t="inlineStr"/>
      <c r="I7024" t="inlineStr"/>
      <c r="J7024">
        <f>IF(F7024="","none",IF(G7024=1,"carte","multiple"))</f>
        <v/>
      </c>
    </row>
    <row r="7025">
      <c r="A7025" t="inlineStr">
        <is>
          <t>2022-12-07</t>
        </is>
      </c>
      <c r="B7025" t="inlineStr">
        <is>
          <t>19:38</t>
        </is>
      </c>
      <c r="C7025" t="n">
        <v>3110</v>
      </c>
      <c r="D7025" s="6" t="n">
        <v>1.95</v>
      </c>
      <c r="E7025" t="n">
        <v>44251</v>
      </c>
      <c r="H7025" t="inlineStr"/>
      <c r="I7025" t="inlineStr"/>
      <c r="J7025">
        <f>IF(F7025="","none",IF(G7025=1,"carte","multiple"))</f>
        <v/>
      </c>
    </row>
    <row r="7026">
      <c r="A7026" t="inlineStr">
        <is>
          <t>2022-12-07</t>
        </is>
      </c>
      <c r="B7026" t="inlineStr">
        <is>
          <t>19:38</t>
        </is>
      </c>
      <c r="C7026" t="n">
        <v>3110</v>
      </c>
      <c r="D7026" s="6" t="n">
        <v>8.449999999999999</v>
      </c>
      <c r="E7026" t="n">
        <v>44252</v>
      </c>
      <c r="H7026" t="inlineStr"/>
      <c r="I7026" t="inlineStr"/>
      <c r="J7026">
        <f>IF(F7026="","none",IF(G7026=1,"carte","multiple"))</f>
        <v/>
      </c>
    </row>
    <row r="7027">
      <c r="A7027" t="inlineStr">
        <is>
          <t>2022-12-07</t>
        </is>
      </c>
      <c r="B7027" t="inlineStr">
        <is>
          <t>19:38</t>
        </is>
      </c>
      <c r="C7027" t="n">
        <v>3110</v>
      </c>
      <c r="D7027" s="6" t="n">
        <v>9.5</v>
      </c>
      <c r="E7027" t="n">
        <v>44253</v>
      </c>
      <c r="F7027" s="6" t="n">
        <v>9.5</v>
      </c>
      <c r="G7027" t="n">
        <v>1</v>
      </c>
      <c r="H7027" s="6">
        <f>ROUND(G7027*F7027,2)</f>
        <v/>
      </c>
      <c r="I7027">
        <f>IF(ROUND(H7027-D7027,2)=0,1,0)</f>
        <v/>
      </c>
      <c r="J7027">
        <f>IF(F7027="","none",IF(G7027=1,"carte","multiple"))</f>
        <v/>
      </c>
    </row>
    <row r="7028">
      <c r="A7028" t="inlineStr">
        <is>
          <t>2022-12-08</t>
        </is>
      </c>
      <c r="B7028" t="inlineStr">
        <is>
          <t>18:22</t>
        </is>
      </c>
      <c r="C7028" t="n">
        <v>3111</v>
      </c>
      <c r="D7028" s="6" t="n">
        <v>17</v>
      </c>
      <c r="E7028" t="n">
        <v>44256</v>
      </c>
      <c r="F7028" s="6" t="n">
        <v>17</v>
      </c>
      <c r="G7028" t="n">
        <v>1</v>
      </c>
      <c r="H7028" s="6">
        <f>ROUND(G7028*F7028,2)</f>
        <v/>
      </c>
      <c r="I7028">
        <f>IF(ROUND(H7028-D7028,2)=0,1,0)</f>
        <v/>
      </c>
      <c r="J7028">
        <f>IF(F7028="","none",IF(G7028=1,"carte","multiple"))</f>
        <v/>
      </c>
    </row>
    <row r="7029">
      <c r="A7029" t="inlineStr">
        <is>
          <t>2022-12-08</t>
        </is>
      </c>
      <c r="B7029" t="inlineStr">
        <is>
          <t>19:46</t>
        </is>
      </c>
      <c r="C7029" t="n">
        <v>3111</v>
      </c>
      <c r="D7029" s="6" t="n">
        <v>15.8</v>
      </c>
      <c r="E7029" t="n">
        <v>44257</v>
      </c>
      <c r="F7029" s="6" t="n">
        <v>7.9</v>
      </c>
      <c r="G7029" t="n">
        <v>2</v>
      </c>
      <c r="H7029" s="6">
        <f>ROUND(G7029*F7029,2)</f>
        <v/>
      </c>
      <c r="I7029">
        <f>IF(ROUND(H7029-D7029,2)=0,1,0)</f>
        <v/>
      </c>
      <c r="J7029">
        <f>IF(F7029="","none",IF(G7029=1,"carte","multiple"))</f>
        <v/>
      </c>
    </row>
    <row r="7030">
      <c r="A7030" t="inlineStr">
        <is>
          <t>2022-12-08</t>
        </is>
      </c>
      <c r="B7030" t="inlineStr">
        <is>
          <t>19:46</t>
        </is>
      </c>
      <c r="C7030" t="n">
        <v>3111</v>
      </c>
      <c r="D7030" s="6" t="n">
        <v>18.6</v>
      </c>
      <c r="E7030" t="n">
        <v>44258</v>
      </c>
      <c r="F7030" s="6" t="n">
        <v>18.6</v>
      </c>
      <c r="G7030" t="n">
        <v>1</v>
      </c>
      <c r="H7030" s="6">
        <f>ROUND(G7030*F7030,2)</f>
        <v/>
      </c>
      <c r="I7030">
        <f>IF(ROUND(H7030-D7030,2)=0,1,0)</f>
        <v/>
      </c>
      <c r="J7030">
        <f>IF(F7030="","none",IF(G7030=1,"carte","multiple"))</f>
        <v/>
      </c>
    </row>
    <row r="7031">
      <c r="A7031" t="inlineStr">
        <is>
          <t>2022-12-08</t>
        </is>
      </c>
      <c r="B7031" t="inlineStr">
        <is>
          <t>19:46</t>
        </is>
      </c>
      <c r="C7031" t="n">
        <v>3111</v>
      </c>
      <c r="D7031" s="6" t="n">
        <v>18.6</v>
      </c>
      <c r="E7031" t="n">
        <v>44259</v>
      </c>
      <c r="F7031" s="6" t="n">
        <v>18.6</v>
      </c>
      <c r="G7031" t="n">
        <v>1</v>
      </c>
      <c r="H7031" s="6">
        <f>ROUND(G7031*F7031,2)</f>
        <v/>
      </c>
      <c r="I7031">
        <f>IF(ROUND(H7031-D7031,2)=0,1,0)</f>
        <v/>
      </c>
      <c r="J7031">
        <f>IF(F7031="","none",IF(G7031=1,"carte","multiple"))</f>
        <v/>
      </c>
    </row>
    <row r="7032">
      <c r="A7032" t="inlineStr">
        <is>
          <t>2022-12-08</t>
        </is>
      </c>
      <c r="B7032" t="inlineStr">
        <is>
          <t>19:46</t>
        </is>
      </c>
      <c r="C7032" t="n">
        <v>3111</v>
      </c>
      <c r="D7032" s="6" t="n">
        <v>16.9</v>
      </c>
      <c r="E7032" t="n">
        <v>44260</v>
      </c>
      <c r="F7032" s="6" t="n">
        <v>16.9</v>
      </c>
      <c r="G7032" t="n">
        <v>1</v>
      </c>
      <c r="H7032" s="6">
        <f>ROUND(G7032*F7032,2)</f>
        <v/>
      </c>
      <c r="I7032">
        <f>IF(ROUND(H7032-D7032,2)=0,1,0)</f>
        <v/>
      </c>
      <c r="J7032">
        <f>IF(F7032="","none",IF(G7032=1,"carte","multiple"))</f>
        <v/>
      </c>
    </row>
    <row r="7033">
      <c r="A7033" t="inlineStr">
        <is>
          <t>2022-12-08</t>
        </is>
      </c>
      <c r="B7033" t="inlineStr">
        <is>
          <t>19:46</t>
        </is>
      </c>
      <c r="C7033" t="n">
        <v>3111</v>
      </c>
      <c r="D7033" s="6" t="n">
        <v>5.2</v>
      </c>
      <c r="E7033" t="n">
        <v>44261</v>
      </c>
      <c r="F7033" s="6" t="n">
        <v>5.2</v>
      </c>
      <c r="G7033" t="n">
        <v>1</v>
      </c>
      <c r="H7033" s="6">
        <f>ROUND(G7033*F7033,2)</f>
        <v/>
      </c>
      <c r="I7033">
        <f>IF(ROUND(H7033-D7033,2)=0,1,0)</f>
        <v/>
      </c>
      <c r="J7033">
        <f>IF(F7033="","none",IF(G7033=1,"carte","multiple"))</f>
        <v/>
      </c>
    </row>
    <row r="7034">
      <c r="A7034" t="inlineStr">
        <is>
          <t>2022-12-08</t>
        </is>
      </c>
      <c r="B7034" t="inlineStr">
        <is>
          <t>19:46</t>
        </is>
      </c>
      <c r="C7034" t="n">
        <v>3111</v>
      </c>
      <c r="D7034" s="6" t="n">
        <v>5.2</v>
      </c>
      <c r="E7034" t="n">
        <v>44262</v>
      </c>
      <c r="F7034" s="6" t="n">
        <v>5.2</v>
      </c>
      <c r="G7034" t="n">
        <v>1</v>
      </c>
      <c r="H7034" s="6">
        <f>ROUND(G7034*F7034,2)</f>
        <v/>
      </c>
      <c r="I7034">
        <f>IF(ROUND(H7034-D7034,2)=0,1,0)</f>
        <v/>
      </c>
      <c r="J7034">
        <f>IF(F7034="","none",IF(G7034=1,"carte","multiple"))</f>
        <v/>
      </c>
    </row>
    <row r="7035">
      <c r="A7035" t="inlineStr">
        <is>
          <t>2022-12-08</t>
        </is>
      </c>
      <c r="B7035" t="inlineStr">
        <is>
          <t>20:00</t>
        </is>
      </c>
      <c r="C7035" t="n">
        <v>3111</v>
      </c>
      <c r="D7035" s="6" t="n">
        <v>2.9</v>
      </c>
      <c r="E7035" t="n">
        <v>44263</v>
      </c>
      <c r="F7035" s="6" t="n">
        <v>2.9</v>
      </c>
      <c r="G7035" t="n">
        <v>1</v>
      </c>
      <c r="H7035" s="6">
        <f>ROUND(G7035*F7035,2)</f>
        <v/>
      </c>
      <c r="I7035">
        <f>IF(ROUND(H7035-D7035,2)=0,1,0)</f>
        <v/>
      </c>
      <c r="J7035">
        <f>IF(F7035="","none",IF(G7035=1,"carte","multiple"))</f>
        <v/>
      </c>
    </row>
    <row r="7036">
      <c r="A7036" t="inlineStr">
        <is>
          <t>2022-12-08</t>
        </is>
      </c>
      <c r="B7036" t="inlineStr">
        <is>
          <t>20:00</t>
        </is>
      </c>
      <c r="C7036" t="n">
        <v>3111</v>
      </c>
      <c r="D7036" s="6" t="n">
        <v>7.5</v>
      </c>
      <c r="E7036" t="n">
        <v>44264</v>
      </c>
      <c r="F7036" s="6" t="n">
        <v>7.5</v>
      </c>
      <c r="G7036" t="n">
        <v>1</v>
      </c>
      <c r="H7036" s="6">
        <f>ROUND(G7036*F7036,2)</f>
        <v/>
      </c>
      <c r="I7036">
        <f>IF(ROUND(H7036-D7036,2)=0,1,0)</f>
        <v/>
      </c>
      <c r="J7036">
        <f>IF(F7036="","none",IF(G7036=1,"carte","multiple"))</f>
        <v/>
      </c>
    </row>
    <row r="7037">
      <c r="A7037" t="inlineStr">
        <is>
          <t>2022-12-08</t>
        </is>
      </c>
      <c r="B7037" t="inlineStr">
        <is>
          <t>20:00</t>
        </is>
      </c>
      <c r="C7037" t="n">
        <v>3111</v>
      </c>
      <c r="D7037" s="6" t="n">
        <v>5.8</v>
      </c>
      <c r="E7037" t="n">
        <v>44265</v>
      </c>
      <c r="F7037" s="6" t="n">
        <v>5.8</v>
      </c>
      <c r="G7037" t="n">
        <v>1</v>
      </c>
      <c r="H7037" s="6">
        <f>ROUND(G7037*F7037,2)</f>
        <v/>
      </c>
      <c r="I7037">
        <f>IF(ROUND(H7037-D7037,2)=0,1,0)</f>
        <v/>
      </c>
      <c r="J7037">
        <f>IF(F7037="","none",IF(G7037=1,"carte","multiple"))</f>
        <v/>
      </c>
    </row>
    <row r="7038">
      <c r="A7038" t="inlineStr">
        <is>
          <t>2022-12-08</t>
        </is>
      </c>
      <c r="B7038" t="inlineStr">
        <is>
          <t>20:00</t>
        </is>
      </c>
      <c r="C7038" t="n">
        <v>3111</v>
      </c>
      <c r="D7038" s="6" t="n">
        <v>6.9</v>
      </c>
      <c r="E7038" t="n">
        <v>44266</v>
      </c>
      <c r="F7038" s="6" t="n">
        <v>6.9</v>
      </c>
      <c r="G7038" t="n">
        <v>1</v>
      </c>
      <c r="H7038" s="6">
        <f>ROUND(G7038*F7038,2)</f>
        <v/>
      </c>
      <c r="I7038">
        <f>IF(ROUND(H7038-D7038,2)=0,1,0)</f>
        <v/>
      </c>
      <c r="J7038">
        <f>IF(F7038="","none",IF(G7038=1,"carte","multiple"))</f>
        <v/>
      </c>
    </row>
    <row r="7039">
      <c r="A7039" t="inlineStr">
        <is>
          <t>2022-12-08</t>
        </is>
      </c>
      <c r="B7039" t="inlineStr">
        <is>
          <t>20:00</t>
        </is>
      </c>
      <c r="C7039" t="n">
        <v>3111</v>
      </c>
      <c r="D7039" s="6" t="n">
        <v>3.9</v>
      </c>
      <c r="E7039" t="n">
        <v>44267</v>
      </c>
      <c r="F7039" s="6" t="n">
        <v>3.9</v>
      </c>
      <c r="G7039" t="n">
        <v>1</v>
      </c>
      <c r="H7039" s="6">
        <f>ROUND(G7039*F7039,2)</f>
        <v/>
      </c>
      <c r="I7039">
        <f>IF(ROUND(H7039-D7039,2)=0,1,0)</f>
        <v/>
      </c>
      <c r="J7039">
        <f>IF(F7039="","none",IF(G7039=1,"carte","multiple"))</f>
        <v/>
      </c>
    </row>
    <row r="7040">
      <c r="A7040" t="inlineStr">
        <is>
          <t>2022-12-08</t>
        </is>
      </c>
      <c r="B7040" t="inlineStr">
        <is>
          <t>20:00</t>
        </is>
      </c>
      <c r="C7040" t="n">
        <v>3111</v>
      </c>
      <c r="D7040" s="6" t="n">
        <v>3.9</v>
      </c>
      <c r="E7040" t="n">
        <v>44268</v>
      </c>
      <c r="F7040" s="6" t="n">
        <v>3.9</v>
      </c>
      <c r="G7040" t="n">
        <v>1</v>
      </c>
      <c r="H7040" s="6">
        <f>ROUND(G7040*F7040,2)</f>
        <v/>
      </c>
      <c r="I7040">
        <f>IF(ROUND(H7040-D7040,2)=0,1,0)</f>
        <v/>
      </c>
      <c r="J7040">
        <f>IF(F7040="","none",IF(G7040=1,"carte","multiple"))</f>
        <v/>
      </c>
    </row>
    <row r="7041">
      <c r="A7041" t="inlineStr">
        <is>
          <t>2022-12-08</t>
        </is>
      </c>
      <c r="B7041" t="inlineStr">
        <is>
          <t>20:00</t>
        </is>
      </c>
      <c r="C7041" t="n">
        <v>3111</v>
      </c>
      <c r="D7041" s="6" t="n">
        <v>5.2</v>
      </c>
      <c r="E7041" t="n">
        <v>44269</v>
      </c>
      <c r="F7041" s="6" t="n">
        <v>5.2</v>
      </c>
      <c r="G7041" t="n">
        <v>1</v>
      </c>
      <c r="H7041" s="6">
        <f>ROUND(G7041*F7041,2)</f>
        <v/>
      </c>
      <c r="I7041">
        <f>IF(ROUND(H7041-D7041,2)=0,1,0)</f>
        <v/>
      </c>
      <c r="J7041">
        <f>IF(F7041="","none",IF(G7041=1,"carte","multiple"))</f>
        <v/>
      </c>
    </row>
    <row r="7042">
      <c r="A7042" t="inlineStr">
        <is>
          <t>2022-12-08</t>
        </is>
      </c>
      <c r="B7042" t="inlineStr">
        <is>
          <t>20:00</t>
        </is>
      </c>
      <c r="C7042" t="n">
        <v>3111</v>
      </c>
      <c r="D7042" s="6" t="n">
        <v>4.2</v>
      </c>
      <c r="E7042" t="n">
        <v>44270</v>
      </c>
      <c r="F7042" s="6" t="n">
        <v>4.2</v>
      </c>
      <c r="G7042" t="n">
        <v>1</v>
      </c>
      <c r="H7042" s="6">
        <f>ROUND(G7042*F7042,2)</f>
        <v/>
      </c>
      <c r="I7042">
        <f>IF(ROUND(H7042-D7042,2)=0,1,0)</f>
        <v/>
      </c>
      <c r="J7042">
        <f>IF(F7042="","none",IF(G7042=1,"carte","multiple"))</f>
        <v/>
      </c>
    </row>
    <row r="7043">
      <c r="A7043" t="inlineStr">
        <is>
          <t>2022-12-08</t>
        </is>
      </c>
      <c r="B7043" t="inlineStr">
        <is>
          <t>20:00</t>
        </is>
      </c>
      <c r="C7043" t="n">
        <v>3111</v>
      </c>
      <c r="D7043" s="6" t="n">
        <v>7.9</v>
      </c>
      <c r="E7043" t="n">
        <v>44271</v>
      </c>
      <c r="F7043" s="6" t="n">
        <v>7.9</v>
      </c>
      <c r="G7043" t="n">
        <v>1</v>
      </c>
      <c r="H7043" s="6">
        <f>ROUND(G7043*F7043,2)</f>
        <v/>
      </c>
      <c r="I7043">
        <f>IF(ROUND(H7043-D7043,2)=0,1,0)</f>
        <v/>
      </c>
      <c r="J7043">
        <f>IF(F7043="","none",IF(G7043=1,"carte","multiple"))</f>
        <v/>
      </c>
    </row>
    <row r="7044">
      <c r="A7044" t="inlineStr">
        <is>
          <t>2022-12-08</t>
        </is>
      </c>
      <c r="B7044" t="inlineStr">
        <is>
          <t>20:00</t>
        </is>
      </c>
      <c r="C7044" t="n">
        <v>3111</v>
      </c>
      <c r="D7044" s="6" t="n">
        <v>7.9</v>
      </c>
      <c r="E7044" t="n">
        <v>44272</v>
      </c>
      <c r="F7044" s="6" t="n">
        <v>7.9</v>
      </c>
      <c r="G7044" t="n">
        <v>1</v>
      </c>
      <c r="H7044" s="6">
        <f>ROUND(G7044*F7044,2)</f>
        <v/>
      </c>
      <c r="I7044">
        <f>IF(ROUND(H7044-D7044,2)=0,1,0)</f>
        <v/>
      </c>
      <c r="J7044">
        <f>IF(F7044="","none",IF(G7044=1,"carte","multiple"))</f>
        <v/>
      </c>
    </row>
    <row r="7045">
      <c r="A7045" t="inlineStr">
        <is>
          <t>2022-12-08</t>
        </is>
      </c>
      <c r="B7045" t="inlineStr">
        <is>
          <t>20:00</t>
        </is>
      </c>
      <c r="C7045" t="n">
        <v>3111</v>
      </c>
      <c r="D7045" s="6" t="n">
        <v>18.6</v>
      </c>
      <c r="E7045" t="n">
        <v>44273</v>
      </c>
      <c r="F7045" s="6" t="n">
        <v>18.6</v>
      </c>
      <c r="G7045" t="n">
        <v>1</v>
      </c>
      <c r="H7045" s="6">
        <f>ROUND(G7045*F7045,2)</f>
        <v/>
      </c>
      <c r="I7045">
        <f>IF(ROUND(H7045-D7045,2)=0,1,0)</f>
        <v/>
      </c>
      <c r="J7045">
        <f>IF(F7045="","none",IF(G7045=1,"carte","multiple"))</f>
        <v/>
      </c>
    </row>
    <row r="7046">
      <c r="A7046" t="inlineStr">
        <is>
          <t>2022-12-08</t>
        </is>
      </c>
      <c r="B7046" t="inlineStr">
        <is>
          <t>20:00</t>
        </is>
      </c>
      <c r="C7046" t="n">
        <v>3111</v>
      </c>
      <c r="D7046" s="6" t="n">
        <v>16.8</v>
      </c>
      <c r="E7046" t="n">
        <v>44274</v>
      </c>
      <c r="F7046" s="6" t="n">
        <v>16.8</v>
      </c>
      <c r="G7046" t="n">
        <v>1</v>
      </c>
      <c r="H7046" s="6">
        <f>ROUND(G7046*F7046,2)</f>
        <v/>
      </c>
      <c r="I7046">
        <f>IF(ROUND(H7046-D7046,2)=0,1,0)</f>
        <v/>
      </c>
      <c r="J7046">
        <f>IF(F7046="","none",IF(G7046=1,"carte","multiple"))</f>
        <v/>
      </c>
    </row>
    <row r="7047">
      <c r="A7047" t="inlineStr">
        <is>
          <t>2022-12-08</t>
        </is>
      </c>
      <c r="B7047" t="inlineStr">
        <is>
          <t>20:00</t>
        </is>
      </c>
      <c r="C7047" t="n">
        <v>3111</v>
      </c>
      <c r="D7047" s="6" t="n">
        <v>18.6</v>
      </c>
      <c r="E7047" t="n">
        <v>44275</v>
      </c>
      <c r="F7047" s="6" t="n">
        <v>18.6</v>
      </c>
      <c r="G7047" t="n">
        <v>1</v>
      </c>
      <c r="H7047" s="6">
        <f>ROUND(G7047*F7047,2)</f>
        <v/>
      </c>
      <c r="I7047">
        <f>IF(ROUND(H7047-D7047,2)=0,1,0)</f>
        <v/>
      </c>
      <c r="J7047">
        <f>IF(F7047="","none",IF(G7047=1,"carte","multiple"))</f>
        <v/>
      </c>
    </row>
    <row r="7048">
      <c r="A7048" t="inlineStr">
        <is>
          <t>2022-12-08</t>
        </is>
      </c>
      <c r="B7048" t="inlineStr">
        <is>
          <t>20:00</t>
        </is>
      </c>
      <c r="C7048" t="n">
        <v>3111</v>
      </c>
      <c r="D7048" s="6" t="n">
        <v>18.6</v>
      </c>
      <c r="E7048" t="n">
        <v>44276</v>
      </c>
      <c r="F7048" s="6" t="n">
        <v>18.6</v>
      </c>
      <c r="G7048" t="n">
        <v>1</v>
      </c>
      <c r="H7048" s="6">
        <f>ROUND(G7048*F7048,2)</f>
        <v/>
      </c>
      <c r="I7048">
        <f>IF(ROUND(H7048-D7048,2)=0,1,0)</f>
        <v/>
      </c>
      <c r="J7048">
        <f>IF(F7048="","none",IF(G7048=1,"carte","multiple"))</f>
        <v/>
      </c>
    </row>
    <row r="7049">
      <c r="A7049" t="inlineStr">
        <is>
          <t>2022-12-08</t>
        </is>
      </c>
      <c r="B7049" t="inlineStr">
        <is>
          <t>20:00</t>
        </is>
      </c>
      <c r="C7049" t="n">
        <v>3111</v>
      </c>
      <c r="D7049" s="6" t="n">
        <v>7.2</v>
      </c>
      <c r="E7049" t="n">
        <v>44277</v>
      </c>
      <c r="F7049" s="6" t="n">
        <v>7.2</v>
      </c>
      <c r="G7049" t="n">
        <v>1</v>
      </c>
      <c r="H7049" s="6">
        <f>ROUND(G7049*F7049,2)</f>
        <v/>
      </c>
      <c r="I7049">
        <f>IF(ROUND(H7049-D7049,2)=0,1,0)</f>
        <v/>
      </c>
      <c r="J7049">
        <f>IF(F7049="","none",IF(G7049=1,"carte","multiple"))</f>
        <v/>
      </c>
    </row>
    <row r="7050">
      <c r="A7050" t="inlineStr">
        <is>
          <t>2022-12-08</t>
        </is>
      </c>
      <c r="B7050" t="inlineStr">
        <is>
          <t>20:00</t>
        </is>
      </c>
      <c r="C7050" t="n">
        <v>3111</v>
      </c>
      <c r="D7050" s="6" t="n">
        <v>9.6</v>
      </c>
      <c r="E7050" t="n">
        <v>44278</v>
      </c>
      <c r="F7050" s="6" t="n">
        <v>9.6</v>
      </c>
      <c r="G7050" t="n">
        <v>1</v>
      </c>
      <c r="H7050" s="6">
        <f>ROUND(G7050*F7050,2)</f>
        <v/>
      </c>
      <c r="I7050">
        <f>IF(ROUND(H7050-D7050,2)=0,1,0)</f>
        <v/>
      </c>
      <c r="J7050">
        <f>IF(F7050="","none",IF(G7050=1,"carte","multiple"))</f>
        <v/>
      </c>
    </row>
    <row r="7051">
      <c r="A7051" t="inlineStr">
        <is>
          <t>2022-12-08</t>
        </is>
      </c>
      <c r="B7051" t="inlineStr">
        <is>
          <t>20:00</t>
        </is>
      </c>
      <c r="C7051" t="n">
        <v>3111</v>
      </c>
      <c r="D7051" s="6" t="n">
        <v>8.9</v>
      </c>
      <c r="E7051" t="n">
        <v>44279</v>
      </c>
      <c r="F7051" s="6" t="n">
        <v>8.9</v>
      </c>
      <c r="G7051" t="n">
        <v>1</v>
      </c>
      <c r="H7051" s="6">
        <f>ROUND(G7051*F7051,2)</f>
        <v/>
      </c>
      <c r="I7051">
        <f>IF(ROUND(H7051-D7051,2)=0,1,0)</f>
        <v/>
      </c>
      <c r="J7051">
        <f>IF(F7051="","none",IF(G7051=1,"carte","multiple"))</f>
        <v/>
      </c>
    </row>
    <row r="7052">
      <c r="A7052" t="inlineStr">
        <is>
          <t>2022-12-08</t>
        </is>
      </c>
      <c r="B7052" t="inlineStr">
        <is>
          <t>20:00</t>
        </is>
      </c>
      <c r="C7052" t="n">
        <v>3111</v>
      </c>
      <c r="D7052" s="6" t="n">
        <v>16.9</v>
      </c>
      <c r="E7052" t="n">
        <v>44280</v>
      </c>
      <c r="F7052" s="6" t="n">
        <v>16.9</v>
      </c>
      <c r="G7052" t="n">
        <v>1</v>
      </c>
      <c r="H7052" s="6">
        <f>ROUND(G7052*F7052,2)</f>
        <v/>
      </c>
      <c r="I7052">
        <f>IF(ROUND(H7052-D7052,2)=0,1,0)</f>
        <v/>
      </c>
      <c r="J7052">
        <f>IF(F7052="","none",IF(G7052=1,"carte","multiple"))</f>
        <v/>
      </c>
    </row>
    <row r="7053">
      <c r="A7053" t="inlineStr">
        <is>
          <t>2022-12-08</t>
        </is>
      </c>
      <c r="B7053" t="inlineStr">
        <is>
          <t>20:17</t>
        </is>
      </c>
      <c r="C7053" t="n">
        <v>3111</v>
      </c>
      <c r="D7053" s="6" t="n">
        <v>1.1</v>
      </c>
      <c r="E7053" t="n">
        <v>44281</v>
      </c>
      <c r="F7053" s="6" t="n">
        <v>1.1</v>
      </c>
      <c r="G7053" t="n">
        <v>1</v>
      </c>
      <c r="H7053" s="6">
        <f>ROUND(G7053*F7053,2)</f>
        <v/>
      </c>
      <c r="I7053">
        <f>IF(ROUND(H7053-D7053,2)=0,1,0)</f>
        <v/>
      </c>
      <c r="J7053">
        <f>IF(F7053="","none",IF(G7053=1,"carte","multiple"))</f>
        <v/>
      </c>
    </row>
    <row r="7054">
      <c r="A7054" t="inlineStr">
        <is>
          <t>2022-12-08</t>
        </is>
      </c>
      <c r="B7054" t="inlineStr">
        <is>
          <t>20:17</t>
        </is>
      </c>
      <c r="C7054" t="n">
        <v>3111</v>
      </c>
      <c r="D7054" s="6" t="n">
        <v>1.35</v>
      </c>
      <c r="E7054" t="n">
        <v>44282</v>
      </c>
      <c r="H7054" t="inlineStr"/>
      <c r="I7054" t="inlineStr"/>
      <c r="J7054">
        <f>IF(F7054="","none",IF(G7054=1,"carte","multiple"))</f>
        <v/>
      </c>
    </row>
    <row r="7055">
      <c r="A7055" t="inlineStr">
        <is>
          <t>2022-12-08</t>
        </is>
      </c>
      <c r="B7055" t="inlineStr">
        <is>
          <t>20:17</t>
        </is>
      </c>
      <c r="C7055" t="n">
        <v>3111</v>
      </c>
      <c r="D7055" s="6" t="n">
        <v>0.6</v>
      </c>
      <c r="E7055" t="n">
        <v>44283</v>
      </c>
      <c r="H7055" t="inlineStr"/>
      <c r="I7055" t="inlineStr"/>
      <c r="J7055">
        <f>IF(F7055="","none",IF(G7055=1,"carte","multiple"))</f>
        <v/>
      </c>
    </row>
    <row r="7056">
      <c r="A7056" t="inlineStr">
        <is>
          <t>2022-12-08</t>
        </is>
      </c>
      <c r="B7056" t="inlineStr">
        <is>
          <t>20:17</t>
        </is>
      </c>
      <c r="C7056" t="n">
        <v>3111</v>
      </c>
      <c r="D7056" s="6" t="n">
        <v>3.3</v>
      </c>
      <c r="E7056" t="n">
        <v>44284</v>
      </c>
      <c r="F7056" s="6" t="n">
        <v>3.3</v>
      </c>
      <c r="G7056" t="n">
        <v>1</v>
      </c>
      <c r="H7056" s="6">
        <f>ROUND(G7056*F7056,2)</f>
        <v/>
      </c>
      <c r="I7056">
        <f>IF(ROUND(H7056-D7056,2)=0,1,0)</f>
        <v/>
      </c>
      <c r="J7056">
        <f>IF(F7056="","none",IF(G7056=1,"carte","multiple"))</f>
        <v/>
      </c>
    </row>
    <row r="7057">
      <c r="A7057" t="inlineStr">
        <is>
          <t>2022-12-08</t>
        </is>
      </c>
      <c r="B7057" t="inlineStr">
        <is>
          <t>20:17</t>
        </is>
      </c>
      <c r="C7057" t="n">
        <v>3111</v>
      </c>
      <c r="D7057" s="6" t="n">
        <v>4.25</v>
      </c>
      <c r="E7057" t="n">
        <v>44285</v>
      </c>
      <c r="F7057" s="6" t="n">
        <v>4.25</v>
      </c>
      <c r="G7057" t="n">
        <v>1</v>
      </c>
      <c r="H7057" s="6">
        <f>ROUND(G7057*F7057,2)</f>
        <v/>
      </c>
      <c r="I7057">
        <f>IF(ROUND(H7057-D7057,2)=0,1,0)</f>
        <v/>
      </c>
      <c r="J7057">
        <f>IF(F7057="","none",IF(G7057=1,"carte","multiple"))</f>
        <v/>
      </c>
    </row>
    <row r="7058">
      <c r="A7058" t="inlineStr">
        <is>
          <t>2022-12-08</t>
        </is>
      </c>
      <c r="B7058" t="inlineStr">
        <is>
          <t>20:17</t>
        </is>
      </c>
      <c r="C7058" t="n">
        <v>3111</v>
      </c>
      <c r="D7058" s="6" t="n">
        <v>3.95</v>
      </c>
      <c r="E7058" t="n">
        <v>44286</v>
      </c>
      <c r="H7058" t="inlineStr"/>
      <c r="I7058" t="inlineStr"/>
      <c r="J7058">
        <f>IF(F7058="","none",IF(G7058=1,"carte","multiple"))</f>
        <v/>
      </c>
    </row>
    <row r="7059">
      <c r="A7059" t="inlineStr">
        <is>
          <t>2022-12-08</t>
        </is>
      </c>
      <c r="B7059" t="inlineStr">
        <is>
          <t>20:17</t>
        </is>
      </c>
      <c r="C7059" t="n">
        <v>3111</v>
      </c>
      <c r="D7059" s="6" t="n">
        <v>3</v>
      </c>
      <c r="E7059" t="n">
        <v>44287</v>
      </c>
      <c r="F7059" s="6" t="n">
        <v>3</v>
      </c>
      <c r="G7059" t="n">
        <v>1</v>
      </c>
      <c r="H7059" s="6">
        <f>ROUND(G7059*F7059,2)</f>
        <v/>
      </c>
      <c r="I7059">
        <f>IF(ROUND(H7059-D7059,2)=0,1,0)</f>
        <v/>
      </c>
      <c r="J7059">
        <f>IF(F7059="","none",IF(G7059=1,"carte","multiple"))</f>
        <v/>
      </c>
    </row>
    <row r="7060">
      <c r="A7060" t="inlineStr">
        <is>
          <t>2022-12-08</t>
        </is>
      </c>
      <c r="B7060" t="inlineStr">
        <is>
          <t>20:17</t>
        </is>
      </c>
      <c r="C7060" t="n">
        <v>3111</v>
      </c>
      <c r="D7060" s="6" t="n">
        <v>8.449999999999999</v>
      </c>
      <c r="E7060" t="n">
        <v>44288</v>
      </c>
      <c r="H7060" t="inlineStr"/>
      <c r="I7060" t="inlineStr"/>
      <c r="J7060">
        <f>IF(F7060="","none",IF(G7060=1,"carte","multiple"))</f>
        <v/>
      </c>
    </row>
    <row r="7061">
      <c r="A7061" t="inlineStr">
        <is>
          <t>2022-12-08</t>
        </is>
      </c>
      <c r="B7061" t="inlineStr">
        <is>
          <t>20:17</t>
        </is>
      </c>
      <c r="C7061" t="n">
        <v>3111</v>
      </c>
      <c r="D7061" s="6" t="n">
        <v>7.8</v>
      </c>
      <c r="E7061" t="n">
        <v>44289</v>
      </c>
      <c r="F7061" s="6" t="n">
        <v>7.8</v>
      </c>
      <c r="G7061" t="n">
        <v>1</v>
      </c>
      <c r="H7061" s="6">
        <f>ROUND(G7061*F7061,2)</f>
        <v/>
      </c>
      <c r="I7061">
        <f>IF(ROUND(H7061-D7061,2)=0,1,0)</f>
        <v/>
      </c>
      <c r="J7061">
        <f>IF(F7061="","none",IF(G7061=1,"carte","multiple"))</f>
        <v/>
      </c>
    </row>
    <row r="7062">
      <c r="A7062" t="inlineStr">
        <is>
          <t>2022-12-09</t>
        </is>
      </c>
      <c r="B7062" t="inlineStr">
        <is>
          <t>17:49</t>
        </is>
      </c>
      <c r="C7062" t="n">
        <v>3112</v>
      </c>
      <c r="D7062" s="6" t="n">
        <v>6</v>
      </c>
      <c r="E7062" t="n">
        <v>44294</v>
      </c>
      <c r="F7062" s="6" t="n">
        <v>6</v>
      </c>
      <c r="G7062" t="n">
        <v>1</v>
      </c>
      <c r="H7062" s="6">
        <f>ROUND(G7062*F7062,2)</f>
        <v/>
      </c>
      <c r="I7062">
        <f>IF(ROUND(H7062-D7062,2)=0,1,0)</f>
        <v/>
      </c>
      <c r="J7062">
        <f>IF(F7062="","none",IF(G7062=1,"carte","multiple"))</f>
        <v/>
      </c>
    </row>
    <row r="7063">
      <c r="A7063" t="inlineStr">
        <is>
          <t>2022-12-09</t>
        </is>
      </c>
      <c r="B7063" t="inlineStr">
        <is>
          <t>18:08</t>
        </is>
      </c>
      <c r="C7063" t="n">
        <v>3112</v>
      </c>
      <c r="D7063" s="6" t="n">
        <v>8.9</v>
      </c>
      <c r="E7063" t="n">
        <v>44295</v>
      </c>
      <c r="F7063" s="6" t="n">
        <v>8.9</v>
      </c>
      <c r="G7063" t="n">
        <v>1</v>
      </c>
      <c r="H7063" s="6">
        <f>ROUND(G7063*F7063,2)</f>
        <v/>
      </c>
      <c r="I7063">
        <f>IF(ROUND(H7063-D7063,2)=0,1,0)</f>
        <v/>
      </c>
      <c r="J7063">
        <f>IF(F7063="","none",IF(G7063=1,"carte","multiple"))</f>
        <v/>
      </c>
    </row>
    <row r="7064">
      <c r="A7064" t="inlineStr">
        <is>
          <t>2022-12-09</t>
        </is>
      </c>
      <c r="B7064" t="inlineStr">
        <is>
          <t>18:38</t>
        </is>
      </c>
      <c r="C7064" t="n">
        <v>3112</v>
      </c>
      <c r="D7064" s="6" t="n">
        <v>36</v>
      </c>
      <c r="E7064" t="n">
        <v>44296</v>
      </c>
      <c r="F7064" s="6" t="n">
        <v>36</v>
      </c>
      <c r="G7064" t="n">
        <v>1</v>
      </c>
      <c r="H7064" s="6">
        <f>ROUND(G7064*F7064,2)</f>
        <v/>
      </c>
      <c r="I7064">
        <f>IF(ROUND(H7064-D7064,2)=0,1,0)</f>
        <v/>
      </c>
      <c r="J7064">
        <f>IF(F7064="","none",IF(G7064=1,"carte","multiple"))</f>
        <v/>
      </c>
    </row>
    <row r="7065">
      <c r="A7065" t="inlineStr">
        <is>
          <t>2022-12-10</t>
        </is>
      </c>
      <c r="B7065" t="inlineStr">
        <is>
          <t>11:30</t>
        </is>
      </c>
      <c r="C7065" t="n">
        <v>3113</v>
      </c>
      <c r="D7065" s="6" t="n">
        <v>4.4</v>
      </c>
      <c r="E7065" t="n">
        <v>44300</v>
      </c>
      <c r="F7065" s="6" t="n">
        <v>0.4</v>
      </c>
      <c r="G7065" t="n">
        <v>11</v>
      </c>
      <c r="H7065" s="6">
        <f>ROUND(G7065*F7065,2)</f>
        <v/>
      </c>
      <c r="I7065">
        <f>IF(ROUND(H7065-D7065,2)=0,1,0)</f>
        <v/>
      </c>
      <c r="J7065">
        <f>IF(F7065="","none",IF(G7065=1,"carte","multiple"))</f>
        <v/>
      </c>
    </row>
    <row r="7066">
      <c r="A7066" t="inlineStr">
        <is>
          <t>2022-12-10</t>
        </is>
      </c>
      <c r="B7066" t="inlineStr">
        <is>
          <t>11:30</t>
        </is>
      </c>
      <c r="C7066" t="n">
        <v>3113</v>
      </c>
      <c r="D7066" s="6" t="n">
        <v>2</v>
      </c>
      <c r="E7066" t="n">
        <v>44301</v>
      </c>
      <c r="F7066" s="6" t="n">
        <v>2</v>
      </c>
      <c r="G7066" t="n">
        <v>1</v>
      </c>
      <c r="H7066" s="6">
        <f>ROUND(G7066*F7066,2)</f>
        <v/>
      </c>
      <c r="I7066">
        <f>IF(ROUND(H7066-D7066,2)=0,1,0)</f>
        <v/>
      </c>
      <c r="J7066">
        <f>IF(F7066="","none",IF(G7066=1,"carte","multiple"))</f>
        <v/>
      </c>
    </row>
    <row r="7067">
      <c r="A7067" t="inlineStr">
        <is>
          <t>2022-12-10</t>
        </is>
      </c>
      <c r="B7067" t="inlineStr">
        <is>
          <t>11:30</t>
        </is>
      </c>
      <c r="C7067" t="n">
        <v>3113</v>
      </c>
      <c r="D7067" s="6" t="n">
        <v>6.9</v>
      </c>
      <c r="E7067" t="n">
        <v>44302</v>
      </c>
      <c r="F7067" s="6" t="n">
        <v>6.9</v>
      </c>
      <c r="G7067" t="n">
        <v>1</v>
      </c>
      <c r="H7067" s="6">
        <f>ROUND(G7067*F7067,2)</f>
        <v/>
      </c>
      <c r="I7067">
        <f>IF(ROUND(H7067-D7067,2)=0,1,0)</f>
        <v/>
      </c>
      <c r="J7067">
        <f>IF(F7067="","none",IF(G7067=1,"carte","multiple"))</f>
        <v/>
      </c>
    </row>
    <row r="7068">
      <c r="A7068" t="inlineStr">
        <is>
          <t>2022-12-10</t>
        </is>
      </c>
      <c r="B7068" t="inlineStr">
        <is>
          <t>11:30</t>
        </is>
      </c>
      <c r="C7068" t="n">
        <v>3113</v>
      </c>
      <c r="D7068" s="6" t="n">
        <v>16.4</v>
      </c>
      <c r="E7068" t="n">
        <v>44303</v>
      </c>
      <c r="F7068" s="6" t="n">
        <v>16.4</v>
      </c>
      <c r="G7068" t="n">
        <v>1</v>
      </c>
      <c r="H7068" s="6">
        <f>ROUND(G7068*F7068,2)</f>
        <v/>
      </c>
      <c r="I7068">
        <f>IF(ROUND(H7068-D7068,2)=0,1,0)</f>
        <v/>
      </c>
      <c r="J7068">
        <f>IF(F7068="","none",IF(G7068=1,"carte","multiple"))</f>
        <v/>
      </c>
    </row>
    <row r="7069">
      <c r="A7069" t="inlineStr">
        <is>
          <t>2022-12-10</t>
        </is>
      </c>
      <c r="B7069" t="inlineStr">
        <is>
          <t>11:30</t>
        </is>
      </c>
      <c r="C7069" t="n">
        <v>3113</v>
      </c>
      <c r="D7069" s="6" t="n">
        <v>18.6</v>
      </c>
      <c r="E7069" t="n">
        <v>44304</v>
      </c>
      <c r="F7069" s="6" t="n">
        <v>18.6</v>
      </c>
      <c r="G7069" t="n">
        <v>1</v>
      </c>
      <c r="H7069" s="6">
        <f>ROUND(G7069*F7069,2)</f>
        <v/>
      </c>
      <c r="I7069">
        <f>IF(ROUND(H7069-D7069,2)=0,1,0)</f>
        <v/>
      </c>
      <c r="J7069">
        <f>IF(F7069="","none",IF(G7069=1,"carte","multiple"))</f>
        <v/>
      </c>
    </row>
    <row r="7070">
      <c r="A7070" t="inlineStr">
        <is>
          <t>2022-12-10</t>
        </is>
      </c>
      <c r="B7070" t="inlineStr">
        <is>
          <t>11:30</t>
        </is>
      </c>
      <c r="C7070" t="n">
        <v>3113</v>
      </c>
      <c r="D7070" s="6" t="n">
        <v>7.8</v>
      </c>
      <c r="E7070" t="n">
        <v>44305</v>
      </c>
      <c r="F7070" s="6" t="n">
        <v>7.8</v>
      </c>
      <c r="G7070" t="n">
        <v>1</v>
      </c>
      <c r="H7070" s="6">
        <f>ROUND(G7070*F7070,2)</f>
        <v/>
      </c>
      <c r="I7070">
        <f>IF(ROUND(H7070-D7070,2)=0,1,0)</f>
        <v/>
      </c>
      <c r="J7070">
        <f>IF(F7070="","none",IF(G7070=1,"carte","multiple"))</f>
        <v/>
      </c>
    </row>
    <row r="7071">
      <c r="A7071" t="inlineStr">
        <is>
          <t>2022-12-10</t>
        </is>
      </c>
      <c r="B7071" t="inlineStr">
        <is>
          <t>11:52</t>
        </is>
      </c>
      <c r="C7071" t="n">
        <v>3113</v>
      </c>
      <c r="D7071" s="6" t="n">
        <v>2.2</v>
      </c>
      <c r="E7071" t="n">
        <v>44306</v>
      </c>
      <c r="F7071" s="6" t="n">
        <v>2.2</v>
      </c>
      <c r="G7071" t="n">
        <v>1</v>
      </c>
      <c r="H7071" s="6">
        <f>ROUND(G7071*F7071,2)</f>
        <v/>
      </c>
      <c r="I7071">
        <f>IF(ROUND(H7071-D7071,2)=0,1,0)</f>
        <v/>
      </c>
      <c r="J7071">
        <f>IF(F7071="","none",IF(G7071=1,"carte","multiple"))</f>
        <v/>
      </c>
    </row>
    <row r="7072">
      <c r="A7072" t="inlineStr">
        <is>
          <t>2022-12-10</t>
        </is>
      </c>
      <c r="B7072" t="inlineStr">
        <is>
          <t>11:52</t>
        </is>
      </c>
      <c r="C7072" t="n">
        <v>3113</v>
      </c>
      <c r="D7072" s="6" t="n">
        <v>19</v>
      </c>
      <c r="E7072" t="n">
        <v>44307</v>
      </c>
      <c r="F7072" s="6" t="n">
        <v>19</v>
      </c>
      <c r="G7072" t="n">
        <v>1</v>
      </c>
      <c r="H7072" s="6">
        <f>ROUND(G7072*F7072,2)</f>
        <v/>
      </c>
      <c r="I7072">
        <f>IF(ROUND(H7072-D7072,2)=0,1,0)</f>
        <v/>
      </c>
      <c r="J7072">
        <f>IF(F7072="","none",IF(G7072=1,"carte","multiple"))</f>
        <v/>
      </c>
    </row>
    <row r="7073">
      <c r="A7073" t="inlineStr">
        <is>
          <t>2022-12-10</t>
        </is>
      </c>
      <c r="B7073" t="inlineStr">
        <is>
          <t>11:52</t>
        </is>
      </c>
      <c r="C7073" t="n">
        <v>3113</v>
      </c>
      <c r="D7073" s="6" t="n">
        <v>6</v>
      </c>
      <c r="E7073" t="n">
        <v>44308</v>
      </c>
      <c r="F7073" s="6" t="n">
        <v>6</v>
      </c>
      <c r="G7073" t="n">
        <v>1</v>
      </c>
      <c r="H7073" s="6">
        <f>ROUND(G7073*F7073,2)</f>
        <v/>
      </c>
      <c r="I7073">
        <f>IF(ROUND(H7073-D7073,2)=0,1,0)</f>
        <v/>
      </c>
      <c r="J7073">
        <f>IF(F7073="","none",IF(G7073=1,"carte","multiple"))</f>
        <v/>
      </c>
    </row>
    <row r="7074">
      <c r="A7074" t="inlineStr">
        <is>
          <t>2022-12-10</t>
        </is>
      </c>
      <c r="B7074" t="inlineStr">
        <is>
          <t>12:41</t>
        </is>
      </c>
      <c r="C7074" t="n">
        <v>3113</v>
      </c>
      <c r="D7074" s="6" t="n">
        <v>9.699999999999999</v>
      </c>
      <c r="E7074" t="n">
        <v>44309</v>
      </c>
      <c r="F7074" s="6" t="n">
        <v>9.699999999999999</v>
      </c>
      <c r="G7074" t="n">
        <v>1</v>
      </c>
      <c r="H7074" s="6">
        <f>ROUND(G7074*F7074,2)</f>
        <v/>
      </c>
      <c r="I7074">
        <f>IF(ROUND(H7074-D7074,2)=0,1,0)</f>
        <v/>
      </c>
      <c r="J7074">
        <f>IF(F7074="","none",IF(G7074=1,"carte","multiple"))</f>
        <v/>
      </c>
    </row>
    <row r="7075">
      <c r="A7075" t="inlineStr">
        <is>
          <t>2022-12-10</t>
        </is>
      </c>
      <c r="B7075" t="inlineStr">
        <is>
          <t>12:41</t>
        </is>
      </c>
      <c r="C7075" t="n">
        <v>3113</v>
      </c>
      <c r="D7075" s="6" t="n">
        <v>8.300000000000001</v>
      </c>
      <c r="E7075" t="n">
        <v>44310</v>
      </c>
      <c r="F7075" s="6" t="n">
        <v>8.300000000000001</v>
      </c>
      <c r="G7075" t="n">
        <v>1</v>
      </c>
      <c r="H7075" s="6">
        <f>ROUND(G7075*F7075,2)</f>
        <v/>
      </c>
      <c r="I7075">
        <f>IF(ROUND(H7075-D7075,2)=0,1,0)</f>
        <v/>
      </c>
      <c r="J7075">
        <f>IF(F7075="","none",IF(G7075=1,"carte","multiple"))</f>
        <v/>
      </c>
    </row>
    <row r="7076">
      <c r="A7076" t="inlineStr">
        <is>
          <t>2022-12-10</t>
        </is>
      </c>
      <c r="B7076" t="inlineStr">
        <is>
          <t>12:41</t>
        </is>
      </c>
      <c r="C7076" t="n">
        <v>3113</v>
      </c>
      <c r="D7076" s="6" t="n">
        <v>2.4</v>
      </c>
      <c r="E7076" t="n">
        <v>44311</v>
      </c>
      <c r="F7076" s="6" t="n">
        <v>2.4</v>
      </c>
      <c r="G7076" t="n">
        <v>1</v>
      </c>
      <c r="H7076" s="6">
        <f>ROUND(G7076*F7076,2)</f>
        <v/>
      </c>
      <c r="I7076">
        <f>IF(ROUND(H7076-D7076,2)=0,1,0)</f>
        <v/>
      </c>
      <c r="J7076">
        <f>IF(F7076="","none",IF(G7076=1,"carte","multiple"))</f>
        <v/>
      </c>
    </row>
    <row r="7077">
      <c r="A7077" t="inlineStr">
        <is>
          <t>2022-12-10</t>
        </is>
      </c>
      <c r="B7077" t="inlineStr">
        <is>
          <t>12:41</t>
        </is>
      </c>
      <c r="C7077" t="n">
        <v>3113</v>
      </c>
      <c r="D7077" s="6" t="n">
        <v>2.2</v>
      </c>
      <c r="E7077" t="n">
        <v>44312</v>
      </c>
      <c r="F7077" s="6" t="n">
        <v>2.2</v>
      </c>
      <c r="G7077" t="n">
        <v>1</v>
      </c>
      <c r="H7077" s="6">
        <f>ROUND(G7077*F7077,2)</f>
        <v/>
      </c>
      <c r="I7077">
        <f>IF(ROUND(H7077-D7077,2)=0,1,0)</f>
        <v/>
      </c>
      <c r="J7077">
        <f>IF(F7077="","none",IF(G7077=1,"carte","multiple"))</f>
        <v/>
      </c>
    </row>
    <row r="7078">
      <c r="A7078" t="inlineStr">
        <is>
          <t>2022-12-10</t>
        </is>
      </c>
      <c r="B7078" t="inlineStr">
        <is>
          <t>12:41</t>
        </is>
      </c>
      <c r="C7078" t="n">
        <v>3113</v>
      </c>
      <c r="D7078" s="6" t="n">
        <v>18.6</v>
      </c>
      <c r="E7078" t="n">
        <v>44313</v>
      </c>
      <c r="F7078" s="6" t="n">
        <v>18.6</v>
      </c>
      <c r="G7078" t="n">
        <v>1</v>
      </c>
      <c r="H7078" s="6">
        <f>ROUND(G7078*F7078,2)</f>
        <v/>
      </c>
      <c r="I7078">
        <f>IF(ROUND(H7078-D7078,2)=0,1,0)</f>
        <v/>
      </c>
      <c r="J7078">
        <f>IF(F7078="","none",IF(G7078=1,"carte","multiple"))</f>
        <v/>
      </c>
    </row>
    <row r="7079">
      <c r="A7079" t="inlineStr">
        <is>
          <t>2022-12-10</t>
        </is>
      </c>
      <c r="B7079" t="inlineStr">
        <is>
          <t>12:41</t>
        </is>
      </c>
      <c r="C7079" t="n">
        <v>3113</v>
      </c>
      <c r="D7079" s="6" t="n">
        <v>19</v>
      </c>
      <c r="E7079" t="n">
        <v>44314</v>
      </c>
      <c r="F7079" s="6" t="n">
        <v>19</v>
      </c>
      <c r="G7079" t="n">
        <v>1</v>
      </c>
      <c r="H7079" s="6">
        <f>ROUND(G7079*F7079,2)</f>
        <v/>
      </c>
      <c r="I7079">
        <f>IF(ROUND(H7079-D7079,2)=0,1,0)</f>
        <v/>
      </c>
      <c r="J7079">
        <f>IF(F7079="","none",IF(G7079=1,"carte","multiple"))</f>
        <v/>
      </c>
    </row>
    <row r="7080">
      <c r="A7080" t="inlineStr">
        <is>
          <t>2022-12-10</t>
        </is>
      </c>
      <c r="B7080" t="inlineStr">
        <is>
          <t>12:41</t>
        </is>
      </c>
      <c r="C7080" t="n">
        <v>3113</v>
      </c>
      <c r="D7080" s="6" t="n">
        <v>18.6</v>
      </c>
      <c r="E7080" t="n">
        <v>44315</v>
      </c>
      <c r="F7080" s="6" t="n">
        <v>18.6</v>
      </c>
      <c r="G7080" t="n">
        <v>1</v>
      </c>
      <c r="H7080" s="6">
        <f>ROUND(G7080*F7080,2)</f>
        <v/>
      </c>
      <c r="I7080">
        <f>IF(ROUND(H7080-D7080,2)=0,1,0)</f>
        <v/>
      </c>
      <c r="J7080">
        <f>IF(F7080="","none",IF(G7080=1,"carte","multiple"))</f>
        <v/>
      </c>
    </row>
    <row r="7081">
      <c r="A7081" t="inlineStr">
        <is>
          <t>2022-12-10</t>
        </is>
      </c>
      <c r="B7081" t="inlineStr">
        <is>
          <t>12:41</t>
        </is>
      </c>
      <c r="C7081" t="n">
        <v>3113</v>
      </c>
      <c r="D7081" s="6" t="n">
        <v>7</v>
      </c>
      <c r="E7081" t="n">
        <v>44316</v>
      </c>
      <c r="F7081" s="6" t="n">
        <v>7</v>
      </c>
      <c r="G7081" t="n">
        <v>1</v>
      </c>
      <c r="H7081" s="6">
        <f>ROUND(G7081*F7081,2)</f>
        <v/>
      </c>
      <c r="I7081">
        <f>IF(ROUND(H7081-D7081,2)=0,1,0)</f>
        <v/>
      </c>
      <c r="J7081">
        <f>IF(F7081="","none",IF(G7081=1,"carte","multiple"))</f>
        <v/>
      </c>
    </row>
    <row r="7082">
      <c r="A7082" t="inlineStr">
        <is>
          <t>2022-12-10</t>
        </is>
      </c>
      <c r="B7082" t="inlineStr">
        <is>
          <t>12:41</t>
        </is>
      </c>
      <c r="C7082" t="n">
        <v>3113</v>
      </c>
      <c r="D7082" s="6" t="n">
        <v>3.9</v>
      </c>
      <c r="E7082" t="n">
        <v>44317</v>
      </c>
      <c r="F7082" s="6" t="n">
        <v>3.9</v>
      </c>
      <c r="G7082" t="n">
        <v>1</v>
      </c>
      <c r="H7082" s="6">
        <f>ROUND(G7082*F7082,2)</f>
        <v/>
      </c>
      <c r="I7082">
        <f>IF(ROUND(H7082-D7082,2)=0,1,0)</f>
        <v/>
      </c>
      <c r="J7082">
        <f>IF(F7082="","none",IF(G7082=1,"carte","multiple"))</f>
        <v/>
      </c>
    </row>
    <row r="7083">
      <c r="A7083" t="inlineStr">
        <is>
          <t>2022-12-10</t>
        </is>
      </c>
      <c r="B7083" t="inlineStr">
        <is>
          <t>12:41</t>
        </is>
      </c>
      <c r="C7083" t="n">
        <v>3113</v>
      </c>
      <c r="D7083" s="6" t="n">
        <v>7.8</v>
      </c>
      <c r="E7083" t="n">
        <v>44318</v>
      </c>
      <c r="F7083" s="6" t="n">
        <v>7.8</v>
      </c>
      <c r="G7083" t="n">
        <v>1</v>
      </c>
      <c r="H7083" s="6">
        <f>ROUND(G7083*F7083,2)</f>
        <v/>
      </c>
      <c r="I7083">
        <f>IF(ROUND(H7083-D7083,2)=0,1,0)</f>
        <v/>
      </c>
      <c r="J7083">
        <f>IF(F7083="","none",IF(G7083=1,"carte","multiple"))</f>
        <v/>
      </c>
    </row>
    <row r="7084">
      <c r="A7084" t="inlineStr">
        <is>
          <t>2022-12-10</t>
        </is>
      </c>
      <c r="B7084" t="inlineStr">
        <is>
          <t>17:52</t>
        </is>
      </c>
      <c r="C7084" t="n">
        <v>3113</v>
      </c>
      <c r="D7084" s="6" t="n">
        <v>3.9</v>
      </c>
      <c r="E7084" t="n">
        <v>44322</v>
      </c>
      <c r="F7084" s="6" t="n">
        <v>3.9</v>
      </c>
      <c r="G7084" t="n">
        <v>1</v>
      </c>
      <c r="H7084" s="6">
        <f>ROUND(G7084*F7084,2)</f>
        <v/>
      </c>
      <c r="I7084">
        <f>IF(ROUND(H7084-D7084,2)=0,1,0)</f>
        <v/>
      </c>
      <c r="J7084">
        <f>IF(F7084="","none",IF(G7084=1,"carte","multiple"))</f>
        <v/>
      </c>
    </row>
    <row r="7085">
      <c r="A7085" t="inlineStr">
        <is>
          <t>2022-12-10</t>
        </is>
      </c>
      <c r="B7085" t="inlineStr">
        <is>
          <t>18:16</t>
        </is>
      </c>
      <c r="C7085" t="n">
        <v>3113</v>
      </c>
      <c r="D7085" s="6" t="n">
        <v>5.4</v>
      </c>
      <c r="E7085" t="n">
        <v>44323</v>
      </c>
      <c r="F7085" s="6" t="n">
        <v>5.4</v>
      </c>
      <c r="G7085" t="n">
        <v>1</v>
      </c>
      <c r="H7085" s="6">
        <f>ROUND(G7085*F7085,2)</f>
        <v/>
      </c>
      <c r="I7085">
        <f>IF(ROUND(H7085-D7085,2)=0,1,0)</f>
        <v/>
      </c>
      <c r="J7085">
        <f>IF(F7085="","none",IF(G7085=1,"carte","multiple"))</f>
        <v/>
      </c>
    </row>
    <row r="7086">
      <c r="A7086" t="inlineStr">
        <is>
          <t>2022-12-10</t>
        </is>
      </c>
      <c r="B7086" t="inlineStr">
        <is>
          <t>18:37</t>
        </is>
      </c>
      <c r="C7086" t="n">
        <v>3113</v>
      </c>
      <c r="D7086" s="6" t="n">
        <v>3.9</v>
      </c>
      <c r="E7086" t="n">
        <v>44324</v>
      </c>
      <c r="F7086" s="6" t="n">
        <v>3.9</v>
      </c>
      <c r="G7086" t="n">
        <v>1</v>
      </c>
      <c r="H7086" s="6">
        <f>ROUND(G7086*F7086,2)</f>
        <v/>
      </c>
      <c r="I7086">
        <f>IF(ROUND(H7086-D7086,2)=0,1,0)</f>
        <v/>
      </c>
      <c r="J7086">
        <f>IF(F7086="","none",IF(G7086=1,"carte","multiple"))</f>
        <v/>
      </c>
    </row>
    <row r="7087">
      <c r="A7087" t="inlineStr">
        <is>
          <t>2022-12-10</t>
        </is>
      </c>
      <c r="B7087" t="inlineStr">
        <is>
          <t>18:38</t>
        </is>
      </c>
      <c r="C7087" t="n">
        <v>3113</v>
      </c>
      <c r="D7087" s="6" t="n">
        <v>6.9</v>
      </c>
      <c r="E7087" t="n">
        <v>44325</v>
      </c>
      <c r="F7087" s="6" t="n">
        <v>6.9</v>
      </c>
      <c r="G7087" t="n">
        <v>1</v>
      </c>
      <c r="H7087" s="6">
        <f>ROUND(G7087*F7087,2)</f>
        <v/>
      </c>
      <c r="I7087">
        <f>IF(ROUND(H7087-D7087,2)=0,1,0)</f>
        <v/>
      </c>
      <c r="J7087">
        <f>IF(F7087="","none",IF(G7087=1,"carte","multiple"))</f>
        <v/>
      </c>
    </row>
    <row r="7088">
      <c r="A7088" t="inlineStr">
        <is>
          <t>2022-12-10</t>
        </is>
      </c>
      <c r="B7088" t="inlineStr">
        <is>
          <t>18:47</t>
        </is>
      </c>
      <c r="C7088" t="n">
        <v>3113</v>
      </c>
      <c r="D7088" s="6" t="n">
        <v>19</v>
      </c>
      <c r="E7088" t="n">
        <v>44326</v>
      </c>
      <c r="F7088" s="6" t="n">
        <v>19</v>
      </c>
      <c r="G7088" t="n">
        <v>1</v>
      </c>
      <c r="H7088" s="6">
        <f>ROUND(G7088*F7088,2)</f>
        <v/>
      </c>
      <c r="I7088">
        <f>IF(ROUND(H7088-D7088,2)=0,1,0)</f>
        <v/>
      </c>
      <c r="J7088">
        <f>IF(F7088="","none",IF(G7088=1,"carte","multiple"))</f>
        <v/>
      </c>
    </row>
    <row r="7089">
      <c r="A7089" t="inlineStr">
        <is>
          <t>2022-12-10</t>
        </is>
      </c>
      <c r="B7089" t="inlineStr">
        <is>
          <t>18:47</t>
        </is>
      </c>
      <c r="C7089" t="n">
        <v>3113</v>
      </c>
      <c r="D7089" s="6" t="n">
        <v>3.9</v>
      </c>
      <c r="E7089" t="n">
        <v>44327</v>
      </c>
      <c r="F7089" s="6" t="n">
        <v>3.9</v>
      </c>
      <c r="G7089" t="n">
        <v>1</v>
      </c>
      <c r="H7089" s="6">
        <f>ROUND(G7089*F7089,2)</f>
        <v/>
      </c>
      <c r="I7089">
        <f>IF(ROUND(H7089-D7089,2)=0,1,0)</f>
        <v/>
      </c>
      <c r="J7089">
        <f>IF(F7089="","none",IF(G7089=1,"carte","multiple"))</f>
        <v/>
      </c>
    </row>
    <row r="7090">
      <c r="A7090" t="inlineStr">
        <is>
          <t>2022-12-10</t>
        </is>
      </c>
      <c r="B7090" t="inlineStr">
        <is>
          <t>18:47</t>
        </is>
      </c>
      <c r="C7090" t="n">
        <v>3113</v>
      </c>
      <c r="D7090" s="6" t="n">
        <v>3.9</v>
      </c>
      <c r="E7090" t="n">
        <v>44328</v>
      </c>
      <c r="F7090" s="6" t="n">
        <v>3.9</v>
      </c>
      <c r="G7090" t="n">
        <v>1</v>
      </c>
      <c r="H7090" s="6">
        <f>ROUND(G7090*F7090,2)</f>
        <v/>
      </c>
      <c r="I7090">
        <f>IF(ROUND(H7090-D7090,2)=0,1,0)</f>
        <v/>
      </c>
      <c r="J7090">
        <f>IF(F7090="","none",IF(G7090=1,"carte","multiple"))</f>
        <v/>
      </c>
    </row>
    <row r="7091">
      <c r="A7091" t="inlineStr">
        <is>
          <t>2022-12-10</t>
        </is>
      </c>
      <c r="B7091" t="inlineStr">
        <is>
          <t>18:47</t>
        </is>
      </c>
      <c r="C7091" t="n">
        <v>3113</v>
      </c>
      <c r="D7091" s="6" t="n">
        <v>6</v>
      </c>
      <c r="E7091" t="n">
        <v>44329</v>
      </c>
      <c r="F7091" s="6" t="n">
        <v>6</v>
      </c>
      <c r="G7091" t="n">
        <v>1</v>
      </c>
      <c r="H7091" s="6">
        <f>ROUND(G7091*F7091,2)</f>
        <v/>
      </c>
      <c r="I7091">
        <f>IF(ROUND(H7091-D7091,2)=0,1,0)</f>
        <v/>
      </c>
      <c r="J7091">
        <f>IF(F7091="","none",IF(G7091=1,"carte","multiple"))</f>
        <v/>
      </c>
    </row>
    <row r="7092">
      <c r="A7092" t="inlineStr">
        <is>
          <t>2022-12-10</t>
        </is>
      </c>
      <c r="B7092" t="inlineStr">
        <is>
          <t>18:47</t>
        </is>
      </c>
      <c r="C7092" t="n">
        <v>3113</v>
      </c>
      <c r="D7092" s="6" t="n">
        <v>6.5</v>
      </c>
      <c r="E7092" t="n">
        <v>44330</v>
      </c>
      <c r="F7092" s="6" t="n">
        <v>6.5</v>
      </c>
      <c r="G7092" t="n">
        <v>1</v>
      </c>
      <c r="H7092" s="6">
        <f>ROUND(G7092*F7092,2)</f>
        <v/>
      </c>
      <c r="I7092">
        <f>IF(ROUND(H7092-D7092,2)=0,1,0)</f>
        <v/>
      </c>
      <c r="J7092">
        <f>IF(F7092="","none",IF(G7092=1,"carte","multiple"))</f>
        <v/>
      </c>
    </row>
    <row r="7093">
      <c r="A7093" t="inlineStr">
        <is>
          <t>2022-12-10</t>
        </is>
      </c>
      <c r="B7093" t="inlineStr">
        <is>
          <t>19:26</t>
        </is>
      </c>
      <c r="C7093" t="n">
        <v>3113</v>
      </c>
      <c r="D7093" s="6" t="n">
        <v>6.9</v>
      </c>
      <c r="E7093" t="n">
        <v>44331</v>
      </c>
      <c r="F7093" s="6" t="n">
        <v>6.9</v>
      </c>
      <c r="G7093" t="n">
        <v>1</v>
      </c>
      <c r="H7093" s="6">
        <f>ROUND(G7093*F7093,2)</f>
        <v/>
      </c>
      <c r="I7093">
        <f>IF(ROUND(H7093-D7093,2)=0,1,0)</f>
        <v/>
      </c>
      <c r="J7093">
        <f>IF(F7093="","none",IF(G7093=1,"carte","multiple"))</f>
        <v/>
      </c>
    </row>
    <row r="7094">
      <c r="A7094" t="inlineStr">
        <is>
          <t>2022-12-10</t>
        </is>
      </c>
      <c r="B7094" t="inlineStr">
        <is>
          <t>19:32</t>
        </is>
      </c>
      <c r="C7094" t="n">
        <v>3113</v>
      </c>
      <c r="D7094" s="6" t="n">
        <v>3.4</v>
      </c>
      <c r="E7094" t="n">
        <v>44332</v>
      </c>
      <c r="F7094" s="6" t="n">
        <v>3.4</v>
      </c>
      <c r="G7094" t="n">
        <v>1</v>
      </c>
      <c r="H7094" s="6">
        <f>ROUND(G7094*F7094,2)</f>
        <v/>
      </c>
      <c r="I7094">
        <f>IF(ROUND(H7094-D7094,2)=0,1,0)</f>
        <v/>
      </c>
      <c r="J7094">
        <f>IF(F7094="","none",IF(G7094=1,"carte","multiple"))</f>
        <v/>
      </c>
    </row>
    <row r="7095">
      <c r="A7095" t="inlineStr">
        <is>
          <t>2022-12-10</t>
        </is>
      </c>
      <c r="B7095" t="inlineStr">
        <is>
          <t>19:58</t>
        </is>
      </c>
      <c r="C7095" t="n">
        <v>3113</v>
      </c>
      <c r="D7095" s="6" t="n">
        <v>10.9</v>
      </c>
      <c r="E7095" t="n">
        <v>44333</v>
      </c>
      <c r="F7095" s="6" t="n">
        <v>10.9</v>
      </c>
      <c r="G7095" t="n">
        <v>1</v>
      </c>
      <c r="H7095" s="6">
        <f>ROUND(G7095*F7095,2)</f>
        <v/>
      </c>
      <c r="I7095">
        <f>IF(ROUND(H7095-D7095,2)=0,1,0)</f>
        <v/>
      </c>
      <c r="J7095">
        <f>IF(F7095="","none",IF(G7095=1,"carte","multiple"))</f>
        <v/>
      </c>
    </row>
    <row r="7096">
      <c r="A7096" t="inlineStr">
        <is>
          <t>2022-12-10</t>
        </is>
      </c>
      <c r="B7096" t="inlineStr">
        <is>
          <t>20:09</t>
        </is>
      </c>
      <c r="C7096" t="n">
        <v>3113</v>
      </c>
      <c r="D7096" s="6" t="n">
        <v>2.2</v>
      </c>
      <c r="E7096" t="n">
        <v>44334</v>
      </c>
      <c r="F7096" s="6" t="n">
        <v>2.2</v>
      </c>
      <c r="G7096" t="n">
        <v>1</v>
      </c>
      <c r="H7096" s="6">
        <f>ROUND(G7096*F7096,2)</f>
        <v/>
      </c>
      <c r="I7096">
        <f>IF(ROUND(H7096-D7096,2)=0,1,0)</f>
        <v/>
      </c>
      <c r="J7096">
        <f>IF(F7096="","none",IF(G7096=1,"carte","multiple"))</f>
        <v/>
      </c>
    </row>
    <row r="7097">
      <c r="A7097" t="inlineStr">
        <is>
          <t>2022-12-10</t>
        </is>
      </c>
      <c r="B7097" t="inlineStr">
        <is>
          <t>20:09</t>
        </is>
      </c>
      <c r="C7097" t="n">
        <v>3113</v>
      </c>
      <c r="D7097" s="6" t="n">
        <v>3.4</v>
      </c>
      <c r="E7097" t="n">
        <v>44335</v>
      </c>
      <c r="F7097" s="6" t="n">
        <v>3.4</v>
      </c>
      <c r="G7097" t="n">
        <v>1</v>
      </c>
      <c r="H7097" s="6">
        <f>ROUND(G7097*F7097,2)</f>
        <v/>
      </c>
      <c r="I7097">
        <f>IF(ROUND(H7097-D7097,2)=0,1,0)</f>
        <v/>
      </c>
      <c r="J7097">
        <f>IF(F7097="","none",IF(G7097=1,"carte","multiple"))</f>
        <v/>
      </c>
    </row>
    <row r="7098">
      <c r="A7098" t="inlineStr">
        <is>
          <t>2022-12-10</t>
        </is>
      </c>
      <c r="B7098" t="inlineStr">
        <is>
          <t>20:21</t>
        </is>
      </c>
      <c r="C7098" t="n">
        <v>3113</v>
      </c>
      <c r="D7098" s="6" t="n">
        <v>3.9</v>
      </c>
      <c r="E7098" t="n">
        <v>44336</v>
      </c>
      <c r="F7098" s="6" t="n">
        <v>3.9</v>
      </c>
      <c r="G7098" t="n">
        <v>1</v>
      </c>
      <c r="H7098" s="6">
        <f>ROUND(G7098*F7098,2)</f>
        <v/>
      </c>
      <c r="I7098">
        <f>IF(ROUND(H7098-D7098,2)=0,1,0)</f>
        <v/>
      </c>
      <c r="J7098">
        <f>IF(F7098="","none",IF(G7098=1,"carte","multiple"))</f>
        <v/>
      </c>
    </row>
    <row r="7099">
      <c r="A7099" t="inlineStr">
        <is>
          <t>2022-12-10</t>
        </is>
      </c>
      <c r="B7099" t="inlineStr">
        <is>
          <t>20:21</t>
        </is>
      </c>
      <c r="C7099" t="n">
        <v>3113</v>
      </c>
      <c r="D7099" s="6" t="n">
        <v>3.9</v>
      </c>
      <c r="E7099" t="n">
        <v>44337</v>
      </c>
      <c r="F7099" s="6" t="n">
        <v>3.9</v>
      </c>
      <c r="G7099" t="n">
        <v>1</v>
      </c>
      <c r="H7099" s="6">
        <f>ROUND(G7099*F7099,2)</f>
        <v/>
      </c>
      <c r="I7099">
        <f>IF(ROUND(H7099-D7099,2)=0,1,0)</f>
        <v/>
      </c>
      <c r="J7099">
        <f>IF(F7099="","none",IF(G7099=1,"carte","multiple"))</f>
        <v/>
      </c>
    </row>
    <row r="7100">
      <c r="A7100" t="inlineStr">
        <is>
          <t>2022-12-10</t>
        </is>
      </c>
      <c r="B7100" t="inlineStr">
        <is>
          <t>20:21</t>
        </is>
      </c>
      <c r="C7100" t="n">
        <v>3113</v>
      </c>
      <c r="D7100" s="6" t="n">
        <v>5.2</v>
      </c>
      <c r="E7100" t="n">
        <v>44338</v>
      </c>
      <c r="F7100" s="6" t="n">
        <v>5.2</v>
      </c>
      <c r="G7100" t="n">
        <v>1</v>
      </c>
      <c r="H7100" s="6">
        <f>ROUND(G7100*F7100,2)</f>
        <v/>
      </c>
      <c r="I7100">
        <f>IF(ROUND(H7100-D7100,2)=0,1,0)</f>
        <v/>
      </c>
      <c r="J7100">
        <f>IF(F7100="","none",IF(G7100=1,"carte","multiple"))</f>
        <v/>
      </c>
    </row>
    <row r="7101">
      <c r="A7101" t="inlineStr">
        <is>
          <t>2022-12-10</t>
        </is>
      </c>
      <c r="B7101" t="inlineStr">
        <is>
          <t>20:21</t>
        </is>
      </c>
      <c r="C7101" t="n">
        <v>3113</v>
      </c>
      <c r="D7101" s="6" t="n">
        <v>4.2</v>
      </c>
      <c r="E7101" t="n">
        <v>44339</v>
      </c>
      <c r="F7101" s="6" t="n">
        <v>4.2</v>
      </c>
      <c r="G7101" t="n">
        <v>1</v>
      </c>
      <c r="H7101" s="6">
        <f>ROUND(G7101*F7101,2)</f>
        <v/>
      </c>
      <c r="I7101">
        <f>IF(ROUND(H7101-D7101,2)=0,1,0)</f>
        <v/>
      </c>
      <c r="J7101">
        <f>IF(F7101="","none",IF(G7101=1,"carte","multiple"))</f>
        <v/>
      </c>
    </row>
    <row r="7102">
      <c r="A7102" t="inlineStr">
        <is>
          <t>2022-12-10</t>
        </is>
      </c>
      <c r="B7102" t="inlineStr">
        <is>
          <t>20:21</t>
        </is>
      </c>
      <c r="C7102" t="n">
        <v>3113</v>
      </c>
      <c r="D7102" s="6" t="n">
        <v>7.5</v>
      </c>
      <c r="E7102" t="n">
        <v>44340</v>
      </c>
      <c r="F7102" s="6" t="n">
        <v>7.5</v>
      </c>
      <c r="G7102" t="n">
        <v>1</v>
      </c>
      <c r="H7102" s="6">
        <f>ROUND(G7102*F7102,2)</f>
        <v/>
      </c>
      <c r="I7102">
        <f>IF(ROUND(H7102-D7102,2)=0,1,0)</f>
        <v/>
      </c>
      <c r="J7102">
        <f>IF(F7102="","none",IF(G7102=1,"carte","multiple"))</f>
        <v/>
      </c>
    </row>
    <row r="7103">
      <c r="A7103" t="inlineStr">
        <is>
          <t>2022-12-10</t>
        </is>
      </c>
      <c r="B7103" t="inlineStr">
        <is>
          <t>20:21</t>
        </is>
      </c>
      <c r="C7103" t="n">
        <v>3113</v>
      </c>
      <c r="D7103" s="6" t="n">
        <v>8.5</v>
      </c>
      <c r="E7103" t="n">
        <v>44341</v>
      </c>
      <c r="F7103" s="6" t="n">
        <v>8.5</v>
      </c>
      <c r="G7103" t="n">
        <v>1</v>
      </c>
      <c r="H7103" s="6">
        <f>ROUND(G7103*F7103,2)</f>
        <v/>
      </c>
      <c r="I7103">
        <f>IF(ROUND(H7103-D7103,2)=0,1,0)</f>
        <v/>
      </c>
      <c r="J7103">
        <f>IF(F7103="","none",IF(G7103=1,"carte","multiple"))</f>
        <v/>
      </c>
    </row>
    <row r="7104">
      <c r="A7104" t="inlineStr">
        <is>
          <t>2022-12-10</t>
        </is>
      </c>
      <c r="B7104" t="inlineStr">
        <is>
          <t>20:21</t>
        </is>
      </c>
      <c r="C7104" t="n">
        <v>3113</v>
      </c>
      <c r="D7104" s="6" t="n">
        <v>8.9</v>
      </c>
      <c r="E7104" t="n">
        <v>44342</v>
      </c>
      <c r="F7104" s="6" t="n">
        <v>8.9</v>
      </c>
      <c r="G7104" t="n">
        <v>1</v>
      </c>
      <c r="H7104" s="6">
        <f>ROUND(G7104*F7104,2)</f>
        <v/>
      </c>
      <c r="I7104">
        <f>IF(ROUND(H7104-D7104,2)=0,1,0)</f>
        <v/>
      </c>
      <c r="J7104">
        <f>IF(F7104="","none",IF(G7104=1,"carte","multiple"))</f>
        <v/>
      </c>
    </row>
    <row r="7105">
      <c r="A7105" t="inlineStr">
        <is>
          <t>2022-12-10</t>
        </is>
      </c>
      <c r="B7105" t="inlineStr">
        <is>
          <t>20:21</t>
        </is>
      </c>
      <c r="C7105" t="n">
        <v>3113</v>
      </c>
      <c r="D7105" s="6" t="n">
        <v>3.9</v>
      </c>
      <c r="E7105" t="n">
        <v>44343</v>
      </c>
      <c r="F7105" s="6" t="n">
        <v>3.9</v>
      </c>
      <c r="G7105" t="n">
        <v>1</v>
      </c>
      <c r="H7105" s="6">
        <f>ROUND(G7105*F7105,2)</f>
        <v/>
      </c>
      <c r="I7105">
        <f>IF(ROUND(H7105-D7105,2)=0,1,0)</f>
        <v/>
      </c>
      <c r="J7105">
        <f>IF(F7105="","none",IF(G7105=1,"carte","multiple"))</f>
        <v/>
      </c>
    </row>
    <row r="7106">
      <c r="A7106" t="inlineStr">
        <is>
          <t>2022-12-10</t>
        </is>
      </c>
      <c r="B7106" t="inlineStr">
        <is>
          <t>20:21</t>
        </is>
      </c>
      <c r="C7106" t="n">
        <v>3113</v>
      </c>
      <c r="D7106" s="6" t="n">
        <v>33.8</v>
      </c>
      <c r="E7106" t="n">
        <v>44344</v>
      </c>
      <c r="F7106" s="6" t="n">
        <v>16.9</v>
      </c>
      <c r="G7106" t="n">
        <v>2</v>
      </c>
      <c r="H7106" s="6">
        <f>ROUND(G7106*F7106,2)</f>
        <v/>
      </c>
      <c r="I7106">
        <f>IF(ROUND(H7106-D7106,2)=0,1,0)</f>
        <v/>
      </c>
      <c r="J7106">
        <f>IF(F7106="","none",IF(G7106=1,"carte","multiple"))</f>
        <v/>
      </c>
    </row>
    <row r="7107">
      <c r="A7107" t="inlineStr">
        <is>
          <t>2022-12-10</t>
        </is>
      </c>
      <c r="B7107" t="inlineStr">
        <is>
          <t>20:21</t>
        </is>
      </c>
      <c r="C7107" t="n">
        <v>3113</v>
      </c>
      <c r="D7107" s="6" t="n">
        <v>4.5</v>
      </c>
      <c r="E7107" t="n">
        <v>44345</v>
      </c>
      <c r="F7107" s="6" t="n">
        <v>4.5</v>
      </c>
      <c r="G7107" t="n">
        <v>1</v>
      </c>
      <c r="H7107" s="6">
        <f>ROUND(G7107*F7107,2)</f>
        <v/>
      </c>
      <c r="I7107">
        <f>IF(ROUND(H7107-D7107,2)=0,1,0)</f>
        <v/>
      </c>
      <c r="J7107">
        <f>IF(F7107="","none",IF(G7107=1,"carte","multiple"))</f>
        <v/>
      </c>
    </row>
    <row r="7108">
      <c r="A7108" t="inlineStr">
        <is>
          <t>2022-12-10</t>
        </is>
      </c>
      <c r="B7108" t="inlineStr">
        <is>
          <t>20:21</t>
        </is>
      </c>
      <c r="C7108" t="n">
        <v>3113</v>
      </c>
      <c r="D7108" s="6" t="n">
        <v>2.2</v>
      </c>
      <c r="E7108" t="n">
        <v>44346</v>
      </c>
      <c r="F7108" s="6" t="n">
        <v>2.2</v>
      </c>
      <c r="G7108" t="n">
        <v>1</v>
      </c>
      <c r="H7108" s="6">
        <f>ROUND(G7108*F7108,2)</f>
        <v/>
      </c>
      <c r="I7108">
        <f>IF(ROUND(H7108-D7108,2)=0,1,0)</f>
        <v/>
      </c>
      <c r="J7108">
        <f>IF(F7108="","none",IF(G7108=1,"carte","multiple"))</f>
        <v/>
      </c>
    </row>
    <row r="7109">
      <c r="A7109" t="inlineStr">
        <is>
          <t>2022-12-11</t>
        </is>
      </c>
      <c r="B7109" t="inlineStr">
        <is>
          <t>11:12</t>
        </is>
      </c>
      <c r="C7109" t="n">
        <v>3114</v>
      </c>
      <c r="D7109" s="6" t="n">
        <v>18.6</v>
      </c>
      <c r="E7109" t="n">
        <v>44349</v>
      </c>
      <c r="F7109" s="6" t="n">
        <v>18.6</v>
      </c>
      <c r="G7109" t="n">
        <v>1</v>
      </c>
      <c r="H7109" s="6">
        <f>ROUND(G7109*F7109,2)</f>
        <v/>
      </c>
      <c r="I7109">
        <f>IF(ROUND(H7109-D7109,2)=0,1,0)</f>
        <v/>
      </c>
      <c r="J7109">
        <f>IF(F7109="","none",IF(G7109=1,"carte","multiple"))</f>
        <v/>
      </c>
    </row>
    <row r="7110">
      <c r="A7110" t="inlineStr">
        <is>
          <t>2022-12-11</t>
        </is>
      </c>
      <c r="B7110" t="inlineStr">
        <is>
          <t>11:12</t>
        </is>
      </c>
      <c r="C7110" t="n">
        <v>3114</v>
      </c>
      <c r="D7110" s="6" t="n">
        <v>9.800000000000001</v>
      </c>
      <c r="E7110" t="n">
        <v>44350</v>
      </c>
      <c r="F7110" s="6" t="n">
        <v>9.800000000000001</v>
      </c>
      <c r="G7110" t="n">
        <v>1</v>
      </c>
      <c r="H7110" s="6">
        <f>ROUND(G7110*F7110,2)</f>
        <v/>
      </c>
      <c r="I7110">
        <f>IF(ROUND(H7110-D7110,2)=0,1,0)</f>
        <v/>
      </c>
      <c r="J7110">
        <f>IF(F7110="","none",IF(G7110=1,"carte","multiple"))</f>
        <v/>
      </c>
    </row>
    <row r="7111">
      <c r="A7111" t="inlineStr">
        <is>
          <t>2022-12-11</t>
        </is>
      </c>
      <c r="B7111" t="inlineStr">
        <is>
          <t>11:13</t>
        </is>
      </c>
      <c r="C7111" t="n">
        <v>3114</v>
      </c>
      <c r="D7111" s="6" t="n">
        <v>2.2</v>
      </c>
      <c r="E7111" t="n">
        <v>44351</v>
      </c>
      <c r="F7111" s="6" t="n">
        <v>2.2</v>
      </c>
      <c r="G7111" t="n">
        <v>1</v>
      </c>
      <c r="H7111" s="6">
        <f>ROUND(G7111*F7111,2)</f>
        <v/>
      </c>
      <c r="I7111">
        <f>IF(ROUND(H7111-D7111,2)=0,1,0)</f>
        <v/>
      </c>
      <c r="J7111">
        <f>IF(F7111="","none",IF(G7111=1,"carte","multiple"))</f>
        <v/>
      </c>
    </row>
    <row r="7112">
      <c r="A7112" t="inlineStr">
        <is>
          <t>2022-12-11</t>
        </is>
      </c>
      <c r="B7112" t="inlineStr">
        <is>
          <t>11:13</t>
        </is>
      </c>
      <c r="C7112" t="n">
        <v>3114</v>
      </c>
      <c r="D7112" s="6" t="n">
        <v>5.2</v>
      </c>
      <c r="E7112" t="n">
        <v>44352</v>
      </c>
      <c r="F7112" s="6" t="n">
        <v>5.2</v>
      </c>
      <c r="G7112" t="n">
        <v>1</v>
      </c>
      <c r="H7112" s="6">
        <f>ROUND(G7112*F7112,2)</f>
        <v/>
      </c>
      <c r="I7112">
        <f>IF(ROUND(H7112-D7112,2)=0,1,0)</f>
        <v/>
      </c>
      <c r="J7112">
        <f>IF(F7112="","none",IF(G7112=1,"carte","multiple"))</f>
        <v/>
      </c>
    </row>
    <row r="7113">
      <c r="A7113" t="inlineStr">
        <is>
          <t>2022-12-11</t>
        </is>
      </c>
      <c r="B7113" t="inlineStr">
        <is>
          <t>11:41</t>
        </is>
      </c>
      <c r="C7113" t="n">
        <v>3114</v>
      </c>
      <c r="D7113" s="6" t="n">
        <v>3.9</v>
      </c>
      <c r="E7113" t="n">
        <v>44353</v>
      </c>
      <c r="F7113" s="6" t="n">
        <v>3.9</v>
      </c>
      <c r="G7113" t="n">
        <v>1</v>
      </c>
      <c r="H7113" s="6">
        <f>ROUND(G7113*F7113,2)</f>
        <v/>
      </c>
      <c r="I7113">
        <f>IF(ROUND(H7113-D7113,2)=0,1,0)</f>
        <v/>
      </c>
      <c r="J7113">
        <f>IF(F7113="","none",IF(G7113=1,"carte","multiple"))</f>
        <v/>
      </c>
    </row>
    <row r="7114">
      <c r="A7114" t="inlineStr">
        <is>
          <t>2022-12-11</t>
        </is>
      </c>
      <c r="B7114" t="inlineStr">
        <is>
          <t>11:44</t>
        </is>
      </c>
      <c r="C7114" t="n">
        <v>3114</v>
      </c>
      <c r="D7114" s="6" t="n">
        <v>9.4</v>
      </c>
      <c r="E7114" t="n">
        <v>44354</v>
      </c>
      <c r="F7114" s="6" t="n">
        <v>9.4</v>
      </c>
      <c r="G7114" t="n">
        <v>1</v>
      </c>
      <c r="H7114" s="6">
        <f>ROUND(G7114*F7114,2)</f>
        <v/>
      </c>
      <c r="I7114">
        <f>IF(ROUND(H7114-D7114,2)=0,1,0)</f>
        <v/>
      </c>
      <c r="J7114">
        <f>IF(F7114="","none",IF(G7114=1,"carte","multiple"))</f>
        <v/>
      </c>
    </row>
    <row r="7115">
      <c r="A7115" t="inlineStr">
        <is>
          <t>2022-12-11</t>
        </is>
      </c>
      <c r="B7115" t="inlineStr">
        <is>
          <t>11:44</t>
        </is>
      </c>
      <c r="C7115" t="n">
        <v>3114</v>
      </c>
      <c r="D7115" s="6" t="n">
        <v>2.9</v>
      </c>
      <c r="E7115" t="n">
        <v>44355</v>
      </c>
      <c r="F7115" s="6" t="n">
        <v>2.9</v>
      </c>
      <c r="G7115" t="n">
        <v>1</v>
      </c>
      <c r="H7115" s="6">
        <f>ROUND(G7115*F7115,2)</f>
        <v/>
      </c>
      <c r="I7115">
        <f>IF(ROUND(H7115-D7115,2)=0,1,0)</f>
        <v/>
      </c>
      <c r="J7115">
        <f>IF(F7115="","none",IF(G7115=1,"carte","multiple"))</f>
        <v/>
      </c>
    </row>
    <row r="7116">
      <c r="A7116" t="inlineStr">
        <is>
          <t>2022-12-11</t>
        </is>
      </c>
      <c r="B7116" t="inlineStr">
        <is>
          <t>12:06</t>
        </is>
      </c>
      <c r="C7116" t="n">
        <v>3114</v>
      </c>
      <c r="D7116" s="6" t="n">
        <v>4.4</v>
      </c>
      <c r="E7116" t="n">
        <v>44356</v>
      </c>
      <c r="F7116" s="6" t="n">
        <v>0.4</v>
      </c>
      <c r="G7116" t="n">
        <v>11</v>
      </c>
      <c r="H7116" s="6">
        <f>ROUND(G7116*F7116,2)</f>
        <v/>
      </c>
      <c r="I7116">
        <f>IF(ROUND(H7116-D7116,2)=0,1,0)</f>
        <v/>
      </c>
      <c r="J7116">
        <f>IF(F7116="","none",IF(G7116=1,"carte","multiple"))</f>
        <v/>
      </c>
    </row>
    <row r="7117">
      <c r="A7117" t="inlineStr">
        <is>
          <t>2022-12-14</t>
        </is>
      </c>
      <c r="B7117" t="inlineStr">
        <is>
          <t>10:52</t>
        </is>
      </c>
      <c r="C7117" t="n">
        <v>3115</v>
      </c>
      <c r="D7117" s="6" t="n">
        <v>18.6</v>
      </c>
      <c r="E7117" t="n">
        <v>44360</v>
      </c>
      <c r="F7117" s="6" t="n">
        <v>18.6</v>
      </c>
      <c r="G7117" t="n">
        <v>1</v>
      </c>
      <c r="H7117" s="6">
        <f>ROUND(G7117*F7117,2)</f>
        <v/>
      </c>
      <c r="I7117">
        <f>IF(ROUND(H7117-D7117,2)=0,1,0)</f>
        <v/>
      </c>
      <c r="J7117">
        <f>IF(F7117="","none",IF(G7117=1,"carte","multiple"))</f>
        <v/>
      </c>
    </row>
    <row r="7118">
      <c r="A7118" t="inlineStr">
        <is>
          <t>2022-12-14</t>
        </is>
      </c>
      <c r="B7118" t="inlineStr">
        <is>
          <t>11:57</t>
        </is>
      </c>
      <c r="C7118" t="n">
        <v>3115</v>
      </c>
      <c r="D7118" s="6" t="n">
        <v>2.9</v>
      </c>
      <c r="E7118" t="n">
        <v>44361</v>
      </c>
      <c r="F7118" s="6" t="n">
        <v>2.9</v>
      </c>
      <c r="G7118" t="n">
        <v>1</v>
      </c>
      <c r="H7118" s="6">
        <f>ROUND(G7118*F7118,2)</f>
        <v/>
      </c>
      <c r="I7118">
        <f>IF(ROUND(H7118-D7118,2)=0,1,0)</f>
        <v/>
      </c>
      <c r="J7118">
        <f>IF(F7118="","none",IF(G7118=1,"carte","multiple"))</f>
        <v/>
      </c>
    </row>
    <row r="7119">
      <c r="A7119" t="inlineStr">
        <is>
          <t>2022-12-14</t>
        </is>
      </c>
      <c r="B7119" t="inlineStr">
        <is>
          <t>11:57</t>
        </is>
      </c>
      <c r="C7119" t="n">
        <v>3115</v>
      </c>
      <c r="D7119" s="6" t="n">
        <v>3.2</v>
      </c>
      <c r="E7119" t="n">
        <v>44362</v>
      </c>
      <c r="F7119" s="6" t="n">
        <v>3.2</v>
      </c>
      <c r="G7119" t="n">
        <v>1</v>
      </c>
      <c r="H7119" s="6">
        <f>ROUND(G7119*F7119,2)</f>
        <v/>
      </c>
      <c r="I7119">
        <f>IF(ROUND(H7119-D7119,2)=0,1,0)</f>
        <v/>
      </c>
      <c r="J7119">
        <f>IF(F7119="","none",IF(G7119=1,"carte","multiple"))</f>
        <v/>
      </c>
    </row>
    <row r="7120">
      <c r="A7120" t="inlineStr">
        <is>
          <t>2022-12-14</t>
        </is>
      </c>
      <c r="B7120" t="inlineStr">
        <is>
          <t>11:57</t>
        </is>
      </c>
      <c r="C7120" t="n">
        <v>3115</v>
      </c>
      <c r="D7120" s="6" t="n">
        <v>7.9</v>
      </c>
      <c r="E7120" t="n">
        <v>44363</v>
      </c>
      <c r="F7120" s="6" t="n">
        <v>7.9</v>
      </c>
      <c r="G7120" t="n">
        <v>1</v>
      </c>
      <c r="H7120" s="6">
        <f>ROUND(G7120*F7120,2)</f>
        <v/>
      </c>
      <c r="I7120">
        <f>IF(ROUND(H7120-D7120,2)=0,1,0)</f>
        <v/>
      </c>
      <c r="J7120">
        <f>IF(F7120="","none",IF(G7120=1,"carte","multiple"))</f>
        <v/>
      </c>
    </row>
    <row r="7121">
      <c r="A7121" t="inlineStr">
        <is>
          <t>2022-12-14</t>
        </is>
      </c>
      <c r="B7121" t="inlineStr">
        <is>
          <t>11:57</t>
        </is>
      </c>
      <c r="C7121" t="n">
        <v>3115</v>
      </c>
      <c r="D7121" s="6" t="n">
        <v>3.9</v>
      </c>
      <c r="E7121" t="n">
        <v>44364</v>
      </c>
      <c r="F7121" s="6" t="n">
        <v>3.9</v>
      </c>
      <c r="G7121" t="n">
        <v>1</v>
      </c>
      <c r="H7121" s="6">
        <f>ROUND(G7121*F7121,2)</f>
        <v/>
      </c>
      <c r="I7121">
        <f>IF(ROUND(H7121-D7121,2)=0,1,0)</f>
        <v/>
      </c>
      <c r="J7121">
        <f>IF(F7121="","none",IF(G7121=1,"carte","multiple"))</f>
        <v/>
      </c>
    </row>
    <row r="7122">
      <c r="A7122" t="inlineStr">
        <is>
          <t>2022-12-14</t>
        </is>
      </c>
      <c r="B7122" t="inlineStr">
        <is>
          <t>12:25</t>
        </is>
      </c>
      <c r="C7122" t="n">
        <v>3115</v>
      </c>
      <c r="D7122" s="6" t="n">
        <v>9</v>
      </c>
      <c r="E7122" t="n">
        <v>44365</v>
      </c>
      <c r="F7122" s="6" t="n">
        <v>9</v>
      </c>
      <c r="G7122" t="n">
        <v>1</v>
      </c>
      <c r="H7122" s="6">
        <f>ROUND(G7122*F7122,2)</f>
        <v/>
      </c>
      <c r="I7122">
        <f>IF(ROUND(H7122-D7122,2)=0,1,0)</f>
        <v/>
      </c>
      <c r="J7122">
        <f>IF(F7122="","none",IF(G7122=1,"carte","multiple"))</f>
        <v/>
      </c>
    </row>
    <row r="7123">
      <c r="A7123" t="inlineStr">
        <is>
          <t>2022-12-15</t>
        </is>
      </c>
      <c r="B7123" t="inlineStr">
        <is>
          <t>12:30</t>
        </is>
      </c>
      <c r="C7123" t="n">
        <v>3116</v>
      </c>
      <c r="D7123" s="6" t="n">
        <v>3.9</v>
      </c>
      <c r="E7123" t="n">
        <v>44370</v>
      </c>
      <c r="F7123" s="6" t="n">
        <v>3.9</v>
      </c>
      <c r="G7123" t="n">
        <v>1</v>
      </c>
      <c r="H7123" s="6">
        <f>ROUND(G7123*F7123,2)</f>
        <v/>
      </c>
      <c r="I7123">
        <f>IF(ROUND(H7123-D7123,2)=0,1,0)</f>
        <v/>
      </c>
      <c r="J7123">
        <f>IF(F7123="","none",IF(G7123=1,"carte","multiple"))</f>
        <v/>
      </c>
    </row>
    <row r="7124">
      <c r="A7124" t="inlineStr">
        <is>
          <t>2022-12-15</t>
        </is>
      </c>
      <c r="B7124" t="inlineStr">
        <is>
          <t>12:30</t>
        </is>
      </c>
      <c r="C7124" t="n">
        <v>3116</v>
      </c>
      <c r="D7124" s="6" t="n">
        <v>4</v>
      </c>
      <c r="E7124" t="n">
        <v>44371</v>
      </c>
      <c r="F7124" s="6" t="n">
        <v>4</v>
      </c>
      <c r="G7124" t="n">
        <v>1</v>
      </c>
      <c r="H7124" s="6">
        <f>ROUND(G7124*F7124,2)</f>
        <v/>
      </c>
      <c r="I7124">
        <f>IF(ROUND(H7124-D7124,2)=0,1,0)</f>
        <v/>
      </c>
      <c r="J7124">
        <f>IF(F7124="","none",IF(G7124=1,"carte","multiple"))</f>
        <v/>
      </c>
    </row>
    <row r="7125">
      <c r="A7125" t="inlineStr">
        <is>
          <t>2022-12-15</t>
        </is>
      </c>
      <c r="B7125" t="inlineStr">
        <is>
          <t>12:30</t>
        </is>
      </c>
      <c r="C7125" t="n">
        <v>3116</v>
      </c>
      <c r="D7125" s="6" t="n">
        <v>19</v>
      </c>
      <c r="E7125" t="n">
        <v>44372</v>
      </c>
      <c r="F7125" s="6" t="n">
        <v>19</v>
      </c>
      <c r="G7125" t="n">
        <v>1</v>
      </c>
      <c r="H7125" s="6">
        <f>ROUND(G7125*F7125,2)</f>
        <v/>
      </c>
      <c r="I7125">
        <f>IF(ROUND(H7125-D7125,2)=0,1,0)</f>
        <v/>
      </c>
      <c r="J7125">
        <f>IF(F7125="","none",IF(G7125=1,"carte","multiple"))</f>
        <v/>
      </c>
    </row>
    <row r="7126">
      <c r="A7126" t="inlineStr">
        <is>
          <t>2022-12-15</t>
        </is>
      </c>
      <c r="B7126" t="inlineStr">
        <is>
          <t>12:30</t>
        </is>
      </c>
      <c r="C7126" t="n">
        <v>3116</v>
      </c>
      <c r="D7126" s="6" t="n">
        <v>18.6</v>
      </c>
      <c r="E7126" t="n">
        <v>44373</v>
      </c>
      <c r="F7126" s="6" t="n">
        <v>18.6</v>
      </c>
      <c r="G7126" t="n">
        <v>1</v>
      </c>
      <c r="H7126" s="6">
        <f>ROUND(G7126*F7126,2)</f>
        <v/>
      </c>
      <c r="I7126">
        <f>IF(ROUND(H7126-D7126,2)=0,1,0)</f>
        <v/>
      </c>
      <c r="J7126">
        <f>IF(F7126="","none",IF(G7126=1,"carte","multiple"))</f>
        <v/>
      </c>
    </row>
    <row r="7127">
      <c r="A7127" t="inlineStr">
        <is>
          <t>2022-12-15</t>
        </is>
      </c>
      <c r="B7127" t="inlineStr">
        <is>
          <t>12:30</t>
        </is>
      </c>
      <c r="C7127" t="n">
        <v>3116</v>
      </c>
      <c r="D7127" s="6" t="n">
        <v>8</v>
      </c>
      <c r="E7127" t="n">
        <v>44374</v>
      </c>
      <c r="F7127" s="6" t="n">
        <v>8</v>
      </c>
      <c r="G7127" t="n">
        <v>1</v>
      </c>
      <c r="H7127" s="6">
        <f>ROUND(G7127*F7127,2)</f>
        <v/>
      </c>
      <c r="I7127">
        <f>IF(ROUND(H7127-D7127,2)=0,1,0)</f>
        <v/>
      </c>
      <c r="J7127">
        <f>IF(F7127="","none",IF(G7127=1,"carte","multiple"))</f>
        <v/>
      </c>
    </row>
    <row r="7128">
      <c r="A7128" t="inlineStr">
        <is>
          <t>2022-12-15</t>
        </is>
      </c>
      <c r="B7128" t="inlineStr">
        <is>
          <t>17:45</t>
        </is>
      </c>
      <c r="C7128" t="n">
        <v>3116</v>
      </c>
      <c r="D7128" s="6" t="n">
        <v>7.8</v>
      </c>
      <c r="E7128" t="n">
        <v>44376</v>
      </c>
      <c r="F7128" s="6" t="n">
        <v>7.8</v>
      </c>
      <c r="G7128" t="n">
        <v>1</v>
      </c>
      <c r="H7128" s="6">
        <f>ROUND(G7128*F7128,2)</f>
        <v/>
      </c>
      <c r="I7128">
        <f>IF(ROUND(H7128-D7128,2)=0,1,0)</f>
        <v/>
      </c>
      <c r="J7128">
        <f>IF(F7128="","none",IF(G7128=1,"carte","multiple"))</f>
        <v/>
      </c>
    </row>
    <row r="7129">
      <c r="A7129" t="inlineStr">
        <is>
          <t>2022-12-15</t>
        </is>
      </c>
      <c r="B7129" t="inlineStr">
        <is>
          <t>19:25</t>
        </is>
      </c>
      <c r="C7129" t="n">
        <v>3116</v>
      </c>
      <c r="D7129" s="6" t="n">
        <v>3.4</v>
      </c>
      <c r="E7129" t="n">
        <v>44377</v>
      </c>
      <c r="F7129" s="6" t="n">
        <v>3.4</v>
      </c>
      <c r="G7129" t="n">
        <v>1</v>
      </c>
      <c r="H7129" s="6">
        <f>ROUND(G7129*F7129,2)</f>
        <v/>
      </c>
      <c r="I7129">
        <f>IF(ROUND(H7129-D7129,2)=0,1,0)</f>
        <v/>
      </c>
      <c r="J7129">
        <f>IF(F7129="","none",IF(G7129=1,"carte","multiple"))</f>
        <v/>
      </c>
    </row>
    <row r="7130">
      <c r="A7130" t="inlineStr">
        <is>
          <t>2022-12-15</t>
        </is>
      </c>
      <c r="B7130" t="inlineStr">
        <is>
          <t>19:25</t>
        </is>
      </c>
      <c r="C7130" t="n">
        <v>3116</v>
      </c>
      <c r="D7130" s="6" t="n">
        <v>37.2</v>
      </c>
      <c r="E7130" t="n">
        <v>44378</v>
      </c>
      <c r="F7130" s="6" t="n">
        <v>0.4</v>
      </c>
      <c r="G7130" t="n">
        <v>93</v>
      </c>
      <c r="H7130" s="6">
        <f>ROUND(G7130*F7130,2)</f>
        <v/>
      </c>
      <c r="I7130">
        <f>IF(ROUND(H7130-D7130,2)=0,1,0)</f>
        <v/>
      </c>
      <c r="J7130">
        <f>IF(F7130="","none",IF(G7130=1,"carte","multiple"))</f>
        <v/>
      </c>
    </row>
    <row r="7131">
      <c r="A7131" t="inlineStr">
        <is>
          <t>2022-12-15</t>
        </is>
      </c>
      <c r="B7131" t="inlineStr">
        <is>
          <t>19:25</t>
        </is>
      </c>
      <c r="C7131" t="n">
        <v>3116</v>
      </c>
      <c r="D7131" s="6" t="n">
        <v>31.6</v>
      </c>
      <c r="E7131" t="n">
        <v>44379</v>
      </c>
      <c r="F7131" s="6" t="n">
        <v>0.4</v>
      </c>
      <c r="G7131" t="n">
        <v>79</v>
      </c>
      <c r="H7131" s="6">
        <f>ROUND(G7131*F7131,2)</f>
        <v/>
      </c>
      <c r="I7131">
        <f>IF(ROUND(H7131-D7131,2)=0,1,0)</f>
        <v/>
      </c>
      <c r="J7131">
        <f>IF(F7131="","none",IF(G7131=1,"carte","multiple"))</f>
        <v/>
      </c>
    </row>
    <row r="7132">
      <c r="A7132" t="inlineStr">
        <is>
          <t>2022-12-16</t>
        </is>
      </c>
      <c r="B7132" t="inlineStr">
        <is>
          <t>19:35</t>
        </is>
      </c>
      <c r="C7132" t="n">
        <v>3117</v>
      </c>
      <c r="D7132" s="6" t="n">
        <v>7.8</v>
      </c>
      <c r="E7132" t="n">
        <v>44382</v>
      </c>
      <c r="F7132" s="6" t="n">
        <v>7.8</v>
      </c>
      <c r="G7132" t="n">
        <v>1</v>
      </c>
      <c r="H7132" s="6">
        <f>ROUND(G7132*F7132,2)</f>
        <v/>
      </c>
      <c r="I7132">
        <f>IF(ROUND(H7132-D7132,2)=0,1,0)</f>
        <v/>
      </c>
      <c r="J7132">
        <f>IF(F7132="","none",IF(G7132=1,"carte","multiple"))</f>
        <v/>
      </c>
    </row>
    <row r="7133">
      <c r="A7133" t="inlineStr">
        <is>
          <t>2022-12-16</t>
        </is>
      </c>
      <c r="B7133" t="inlineStr">
        <is>
          <t>19:35</t>
        </is>
      </c>
      <c r="C7133" t="n">
        <v>3117</v>
      </c>
      <c r="D7133" s="6" t="n">
        <v>8.9</v>
      </c>
      <c r="E7133" t="n">
        <v>44383</v>
      </c>
      <c r="F7133" s="6" t="n">
        <v>8.9</v>
      </c>
      <c r="G7133" t="n">
        <v>1</v>
      </c>
      <c r="H7133" s="6">
        <f>ROUND(G7133*F7133,2)</f>
        <v/>
      </c>
      <c r="I7133">
        <f>IF(ROUND(H7133-D7133,2)=0,1,0)</f>
        <v/>
      </c>
      <c r="J7133">
        <f>IF(F7133="","none",IF(G7133=1,"carte","multiple"))</f>
        <v/>
      </c>
    </row>
    <row r="7134">
      <c r="A7134" t="inlineStr">
        <is>
          <t>2022-12-16</t>
        </is>
      </c>
      <c r="B7134" t="inlineStr">
        <is>
          <t>19:35</t>
        </is>
      </c>
      <c r="C7134" t="n">
        <v>3117</v>
      </c>
      <c r="D7134" s="6" t="n">
        <v>33.8</v>
      </c>
      <c r="E7134" t="n">
        <v>44384</v>
      </c>
      <c r="F7134" s="6" t="n">
        <v>16.9</v>
      </c>
      <c r="G7134" t="n">
        <v>2</v>
      </c>
      <c r="H7134" s="6">
        <f>ROUND(G7134*F7134,2)</f>
        <v/>
      </c>
      <c r="I7134">
        <f>IF(ROUND(H7134-D7134,2)=0,1,0)</f>
        <v/>
      </c>
      <c r="J7134">
        <f>IF(F7134="","none",IF(G7134=1,"carte","multiple"))</f>
        <v/>
      </c>
    </row>
    <row r="7135">
      <c r="A7135" t="inlineStr">
        <is>
          <t>2022-12-16</t>
        </is>
      </c>
      <c r="B7135" t="inlineStr">
        <is>
          <t>19:35</t>
        </is>
      </c>
      <c r="C7135" t="n">
        <v>3117</v>
      </c>
      <c r="D7135" s="6" t="n">
        <v>6.5</v>
      </c>
      <c r="E7135" t="n">
        <v>44385</v>
      </c>
      <c r="F7135" s="6" t="n">
        <v>6.5</v>
      </c>
      <c r="G7135" t="n">
        <v>1</v>
      </c>
      <c r="H7135" s="6">
        <f>ROUND(G7135*F7135,2)</f>
        <v/>
      </c>
      <c r="I7135">
        <f>IF(ROUND(H7135-D7135,2)=0,1,0)</f>
        <v/>
      </c>
      <c r="J7135">
        <f>IF(F7135="","none",IF(G7135=1,"carte","multiple"))</f>
        <v/>
      </c>
    </row>
    <row r="7136">
      <c r="A7136" t="inlineStr">
        <is>
          <t>2022-12-16</t>
        </is>
      </c>
      <c r="B7136" t="inlineStr">
        <is>
          <t>19:35</t>
        </is>
      </c>
      <c r="C7136" t="n">
        <v>3117</v>
      </c>
      <c r="D7136" s="6" t="n">
        <v>6</v>
      </c>
      <c r="E7136" t="n">
        <v>44386</v>
      </c>
      <c r="F7136" s="6" t="n">
        <v>6</v>
      </c>
      <c r="G7136" t="n">
        <v>1</v>
      </c>
      <c r="H7136" s="6">
        <f>ROUND(G7136*F7136,2)</f>
        <v/>
      </c>
      <c r="I7136">
        <f>IF(ROUND(H7136-D7136,2)=0,1,0)</f>
        <v/>
      </c>
      <c r="J7136">
        <f>IF(F7136="","none",IF(G7136=1,"carte","multiple"))</f>
        <v/>
      </c>
    </row>
    <row r="7137">
      <c r="A7137" t="inlineStr">
        <is>
          <t>2022-12-16</t>
        </is>
      </c>
      <c r="B7137" t="inlineStr">
        <is>
          <t>19:49</t>
        </is>
      </c>
      <c r="C7137" t="n">
        <v>3117</v>
      </c>
      <c r="D7137" s="6" t="n">
        <v>2.9</v>
      </c>
      <c r="E7137" t="n">
        <v>44387</v>
      </c>
      <c r="F7137" s="6" t="n">
        <v>2.9</v>
      </c>
      <c r="G7137" t="n">
        <v>1</v>
      </c>
      <c r="H7137" s="6">
        <f>ROUND(G7137*F7137,2)</f>
        <v/>
      </c>
      <c r="I7137">
        <f>IF(ROUND(H7137-D7137,2)=0,1,0)</f>
        <v/>
      </c>
      <c r="J7137">
        <f>IF(F7137="","none",IF(G7137=1,"carte","multiple"))</f>
        <v/>
      </c>
    </row>
    <row r="7138">
      <c r="A7138" t="inlineStr">
        <is>
          <t>2022-12-16</t>
        </is>
      </c>
      <c r="B7138" t="inlineStr">
        <is>
          <t>19:49</t>
        </is>
      </c>
      <c r="C7138" t="n">
        <v>3117</v>
      </c>
      <c r="D7138" s="6" t="n">
        <v>4.6</v>
      </c>
      <c r="E7138" t="n">
        <v>44388</v>
      </c>
      <c r="F7138" s="6" t="n">
        <v>4.6</v>
      </c>
      <c r="G7138" t="n">
        <v>1</v>
      </c>
      <c r="H7138" s="6">
        <f>ROUND(G7138*F7138,2)</f>
        <v/>
      </c>
      <c r="I7138">
        <f>IF(ROUND(H7138-D7138,2)=0,1,0)</f>
        <v/>
      </c>
      <c r="J7138">
        <f>IF(F7138="","none",IF(G7138=1,"carte","multiple"))</f>
        <v/>
      </c>
    </row>
    <row r="7139">
      <c r="A7139" t="inlineStr">
        <is>
          <t>2022-12-16</t>
        </is>
      </c>
      <c r="B7139" t="inlineStr">
        <is>
          <t>19:49</t>
        </is>
      </c>
      <c r="C7139" t="n">
        <v>3117</v>
      </c>
      <c r="D7139" s="6" t="n">
        <v>3.9</v>
      </c>
      <c r="E7139" t="n">
        <v>44389</v>
      </c>
      <c r="F7139" s="6" t="n">
        <v>3.9</v>
      </c>
      <c r="G7139" t="n">
        <v>1</v>
      </c>
      <c r="H7139" s="6">
        <f>ROUND(G7139*F7139,2)</f>
        <v/>
      </c>
      <c r="I7139">
        <f>IF(ROUND(H7139-D7139,2)=0,1,0)</f>
        <v/>
      </c>
      <c r="J7139">
        <f>IF(F7139="","none",IF(G7139=1,"carte","multiple"))</f>
        <v/>
      </c>
    </row>
    <row r="7140">
      <c r="A7140" t="inlineStr">
        <is>
          <t>2022-12-16</t>
        </is>
      </c>
      <c r="B7140" t="inlineStr">
        <is>
          <t>19:49</t>
        </is>
      </c>
      <c r="C7140" t="n">
        <v>3117</v>
      </c>
      <c r="D7140" s="6" t="n">
        <v>7.9</v>
      </c>
      <c r="E7140" t="n">
        <v>44390</v>
      </c>
      <c r="F7140" s="6" t="n">
        <v>7.9</v>
      </c>
      <c r="G7140" t="n">
        <v>1</v>
      </c>
      <c r="H7140" s="6">
        <f>ROUND(G7140*F7140,2)</f>
        <v/>
      </c>
      <c r="I7140">
        <f>IF(ROUND(H7140-D7140,2)=0,1,0)</f>
        <v/>
      </c>
      <c r="J7140">
        <f>IF(F7140="","none",IF(G7140=1,"carte","multiple"))</f>
        <v/>
      </c>
    </row>
    <row r="7141">
      <c r="A7141" t="inlineStr">
        <is>
          <t>2022-12-16</t>
        </is>
      </c>
      <c r="B7141" t="inlineStr">
        <is>
          <t>19:49</t>
        </is>
      </c>
      <c r="C7141" t="n">
        <v>3117</v>
      </c>
      <c r="D7141" s="6" t="n">
        <v>4.9</v>
      </c>
      <c r="E7141" t="n">
        <v>44391</v>
      </c>
      <c r="F7141" s="6" t="n">
        <v>4.9</v>
      </c>
      <c r="G7141" t="n">
        <v>1</v>
      </c>
      <c r="H7141" s="6">
        <f>ROUND(G7141*F7141,2)</f>
        <v/>
      </c>
      <c r="I7141">
        <f>IF(ROUND(H7141-D7141,2)=0,1,0)</f>
        <v/>
      </c>
      <c r="J7141">
        <f>IF(F7141="","none",IF(G7141=1,"carte","multiple"))</f>
        <v/>
      </c>
    </row>
    <row r="7142">
      <c r="A7142" t="inlineStr">
        <is>
          <t>2022-12-16</t>
        </is>
      </c>
      <c r="B7142" t="inlineStr">
        <is>
          <t>19:49</t>
        </is>
      </c>
      <c r="C7142" t="n">
        <v>3117</v>
      </c>
      <c r="D7142" s="6" t="n">
        <v>3.9</v>
      </c>
      <c r="E7142" t="n">
        <v>44392</v>
      </c>
      <c r="F7142" s="6" t="n">
        <v>3.9</v>
      </c>
      <c r="G7142" t="n">
        <v>1</v>
      </c>
      <c r="H7142" s="6">
        <f>ROUND(G7142*F7142,2)</f>
        <v/>
      </c>
      <c r="I7142">
        <f>IF(ROUND(H7142-D7142,2)=0,1,0)</f>
        <v/>
      </c>
      <c r="J7142">
        <f>IF(F7142="","none",IF(G7142=1,"carte","multiple"))</f>
        <v/>
      </c>
    </row>
    <row r="7143">
      <c r="A7143" t="inlineStr">
        <is>
          <t>2022-12-16</t>
        </is>
      </c>
      <c r="B7143" t="inlineStr">
        <is>
          <t>19:49</t>
        </is>
      </c>
      <c r="C7143" t="n">
        <v>3117</v>
      </c>
      <c r="D7143" s="6" t="n">
        <v>8.9</v>
      </c>
      <c r="E7143" t="n">
        <v>44393</v>
      </c>
      <c r="F7143" s="6" t="n">
        <v>8.9</v>
      </c>
      <c r="G7143" t="n">
        <v>1</v>
      </c>
      <c r="H7143" s="6">
        <f>ROUND(G7143*F7143,2)</f>
        <v/>
      </c>
      <c r="I7143">
        <f>IF(ROUND(H7143-D7143,2)=0,1,0)</f>
        <v/>
      </c>
      <c r="J7143">
        <f>IF(F7143="","none",IF(G7143=1,"carte","multiple"))</f>
        <v/>
      </c>
    </row>
    <row r="7144">
      <c r="A7144" t="inlineStr">
        <is>
          <t>2022-12-16</t>
        </is>
      </c>
      <c r="B7144" t="inlineStr">
        <is>
          <t>19:49</t>
        </is>
      </c>
      <c r="C7144" t="n">
        <v>3117</v>
      </c>
      <c r="D7144" s="6" t="n">
        <v>3.9</v>
      </c>
      <c r="E7144" t="n">
        <v>44394</v>
      </c>
      <c r="F7144" s="6" t="n">
        <v>3.9</v>
      </c>
      <c r="G7144" t="n">
        <v>1</v>
      </c>
      <c r="H7144" s="6">
        <f>ROUND(G7144*F7144,2)</f>
        <v/>
      </c>
      <c r="I7144">
        <f>IF(ROUND(H7144-D7144,2)=0,1,0)</f>
        <v/>
      </c>
      <c r="J7144">
        <f>IF(F7144="","none",IF(G7144=1,"carte","multiple"))</f>
        <v/>
      </c>
    </row>
    <row r="7145">
      <c r="A7145" t="inlineStr">
        <is>
          <t>2022-12-16</t>
        </is>
      </c>
      <c r="B7145" t="inlineStr">
        <is>
          <t>19:49</t>
        </is>
      </c>
      <c r="C7145" t="n">
        <v>3117</v>
      </c>
      <c r="D7145" s="6" t="n">
        <v>33.8</v>
      </c>
      <c r="E7145" t="n">
        <v>44395</v>
      </c>
      <c r="F7145" s="6" t="n">
        <v>16.9</v>
      </c>
      <c r="G7145" t="n">
        <v>2</v>
      </c>
      <c r="H7145" s="6">
        <f>ROUND(G7145*F7145,2)</f>
        <v/>
      </c>
      <c r="I7145">
        <f>IF(ROUND(H7145-D7145,2)=0,1,0)</f>
        <v/>
      </c>
      <c r="J7145">
        <f>IF(F7145="","none",IF(G7145=1,"carte","multiple"))</f>
        <v/>
      </c>
    </row>
    <row r="7146">
      <c r="A7146" t="inlineStr">
        <is>
          <t>2022-12-16</t>
        </is>
      </c>
      <c r="B7146" t="inlineStr">
        <is>
          <t>19:52</t>
        </is>
      </c>
      <c r="C7146" t="n">
        <v>3117</v>
      </c>
      <c r="D7146" s="6" t="n">
        <v>1.8</v>
      </c>
      <c r="E7146" t="n">
        <v>44396</v>
      </c>
      <c r="F7146" s="6" t="n">
        <v>1.8</v>
      </c>
      <c r="G7146" t="n">
        <v>1</v>
      </c>
      <c r="H7146" s="6">
        <f>ROUND(G7146*F7146,2)</f>
        <v/>
      </c>
      <c r="I7146">
        <f>IF(ROUND(H7146-D7146,2)=0,1,0)</f>
        <v/>
      </c>
      <c r="J7146">
        <f>IF(F7146="","none",IF(G7146=1,"carte","multiple"))</f>
        <v/>
      </c>
    </row>
    <row r="7147">
      <c r="A7147" t="inlineStr">
        <is>
          <t>2022-12-16</t>
        </is>
      </c>
      <c r="B7147" t="inlineStr">
        <is>
          <t>19:52</t>
        </is>
      </c>
      <c r="C7147" t="n">
        <v>3117</v>
      </c>
      <c r="D7147" s="6" t="n">
        <v>3.9</v>
      </c>
      <c r="E7147" t="n">
        <v>44397</v>
      </c>
      <c r="F7147" s="6" t="n">
        <v>3.9</v>
      </c>
      <c r="G7147" t="n">
        <v>1</v>
      </c>
      <c r="H7147" s="6">
        <f>ROUND(G7147*F7147,2)</f>
        <v/>
      </c>
      <c r="I7147">
        <f>IF(ROUND(H7147-D7147,2)=0,1,0)</f>
        <v/>
      </c>
      <c r="J7147">
        <f>IF(F7147="","none",IF(G7147=1,"carte","multiple"))</f>
        <v/>
      </c>
    </row>
    <row r="7148">
      <c r="A7148" t="inlineStr">
        <is>
          <t>2022-12-16</t>
        </is>
      </c>
      <c r="B7148" t="inlineStr">
        <is>
          <t>19:52</t>
        </is>
      </c>
      <c r="C7148" t="n">
        <v>3117</v>
      </c>
      <c r="D7148" s="6" t="n">
        <v>8.699999999999999</v>
      </c>
      <c r="E7148" t="n">
        <v>44398</v>
      </c>
      <c r="F7148" s="6" t="n">
        <v>8.699999999999999</v>
      </c>
      <c r="G7148" t="n">
        <v>1</v>
      </c>
      <c r="H7148" s="6">
        <f>ROUND(G7148*F7148,2)</f>
        <v/>
      </c>
      <c r="I7148">
        <f>IF(ROUND(H7148-D7148,2)=0,1,0)</f>
        <v/>
      </c>
      <c r="J7148">
        <f>IF(F7148="","none",IF(G7148=1,"carte","multiple"))</f>
        <v/>
      </c>
    </row>
    <row r="7149">
      <c r="A7149" t="inlineStr">
        <is>
          <t>2022-12-16</t>
        </is>
      </c>
      <c r="B7149" t="inlineStr">
        <is>
          <t>19:52</t>
        </is>
      </c>
      <c r="C7149" t="n">
        <v>3117</v>
      </c>
      <c r="D7149" s="6" t="n">
        <v>4.2</v>
      </c>
      <c r="E7149" t="n">
        <v>44399</v>
      </c>
      <c r="F7149" s="6" t="n">
        <v>4.2</v>
      </c>
      <c r="G7149" t="n">
        <v>1</v>
      </c>
      <c r="H7149" s="6">
        <f>ROUND(G7149*F7149,2)</f>
        <v/>
      </c>
      <c r="I7149">
        <f>IF(ROUND(H7149-D7149,2)=0,1,0)</f>
        <v/>
      </c>
      <c r="J7149">
        <f>IF(F7149="","none",IF(G7149=1,"carte","multiple"))</f>
        <v/>
      </c>
    </row>
    <row r="7150">
      <c r="A7150" t="inlineStr">
        <is>
          <t>2022-12-16</t>
        </is>
      </c>
      <c r="B7150" t="inlineStr">
        <is>
          <t>19:52</t>
        </is>
      </c>
      <c r="C7150" t="n">
        <v>3117</v>
      </c>
      <c r="D7150" s="6" t="n">
        <v>4.9</v>
      </c>
      <c r="E7150" t="n">
        <v>44400</v>
      </c>
      <c r="F7150" s="6" t="n">
        <v>4.9</v>
      </c>
      <c r="G7150" t="n">
        <v>1</v>
      </c>
      <c r="H7150" s="6">
        <f>ROUND(G7150*F7150,2)</f>
        <v/>
      </c>
      <c r="I7150">
        <f>IF(ROUND(H7150-D7150,2)=0,1,0)</f>
        <v/>
      </c>
      <c r="J7150">
        <f>IF(F7150="","none",IF(G7150=1,"carte","multiple"))</f>
        <v/>
      </c>
    </row>
    <row r="7151">
      <c r="A7151" t="inlineStr">
        <is>
          <t>2022-12-16</t>
        </is>
      </c>
      <c r="B7151" t="inlineStr">
        <is>
          <t>19:52</t>
        </is>
      </c>
      <c r="C7151" t="n">
        <v>3117</v>
      </c>
      <c r="D7151" s="6" t="n">
        <v>14.4</v>
      </c>
      <c r="E7151" t="n">
        <v>44401</v>
      </c>
      <c r="F7151" s="6" t="n">
        <v>0.4</v>
      </c>
      <c r="G7151" t="n">
        <v>36</v>
      </c>
      <c r="H7151" s="6">
        <f>ROUND(G7151*F7151,2)</f>
        <v/>
      </c>
      <c r="I7151">
        <f>IF(ROUND(H7151-D7151,2)=0,1,0)</f>
        <v/>
      </c>
      <c r="J7151">
        <f>IF(F7151="","none",IF(G7151=1,"carte","multiple"))</f>
        <v/>
      </c>
    </row>
    <row r="7152">
      <c r="A7152" t="inlineStr">
        <is>
          <t>2022-12-16</t>
        </is>
      </c>
      <c r="B7152" t="inlineStr">
        <is>
          <t>19:52</t>
        </is>
      </c>
      <c r="C7152" t="n">
        <v>3117</v>
      </c>
      <c r="D7152" s="6" t="n">
        <v>27.8</v>
      </c>
      <c r="E7152" t="n">
        <v>44402</v>
      </c>
      <c r="F7152" s="6" t="n">
        <v>27.8</v>
      </c>
      <c r="G7152" t="n">
        <v>1</v>
      </c>
      <c r="H7152" s="6">
        <f>ROUND(G7152*F7152,2)</f>
        <v/>
      </c>
      <c r="I7152">
        <f>IF(ROUND(H7152-D7152,2)=0,1,0)</f>
        <v/>
      </c>
      <c r="J7152">
        <f>IF(F7152="","none",IF(G7152=1,"carte","multiple"))</f>
        <v/>
      </c>
    </row>
    <row r="7153">
      <c r="A7153" t="inlineStr">
        <is>
          <t>2022-12-16</t>
        </is>
      </c>
      <c r="B7153" t="inlineStr">
        <is>
          <t>19:52</t>
        </is>
      </c>
      <c r="C7153" t="n">
        <v>3117</v>
      </c>
      <c r="D7153" s="6" t="n">
        <v>19.9</v>
      </c>
      <c r="E7153" t="n">
        <v>44403</v>
      </c>
      <c r="F7153" s="6" t="n">
        <v>19.9</v>
      </c>
      <c r="G7153" t="n">
        <v>1</v>
      </c>
      <c r="H7153" s="6">
        <f>ROUND(G7153*F7153,2)</f>
        <v/>
      </c>
      <c r="I7153">
        <f>IF(ROUND(H7153-D7153,2)=0,1,0)</f>
        <v/>
      </c>
      <c r="J7153">
        <f>IF(F7153="","none",IF(G7153=1,"carte","multiple"))</f>
        <v/>
      </c>
    </row>
    <row r="7154">
      <c r="A7154" t="inlineStr">
        <is>
          <t>2022-12-16</t>
        </is>
      </c>
      <c r="B7154" t="inlineStr">
        <is>
          <t>19:52</t>
        </is>
      </c>
      <c r="C7154" t="n">
        <v>3117</v>
      </c>
      <c r="D7154" s="6" t="n">
        <v>10.9</v>
      </c>
      <c r="E7154" t="n">
        <v>44404</v>
      </c>
      <c r="F7154" s="6" t="n">
        <v>10.9</v>
      </c>
      <c r="G7154" t="n">
        <v>1</v>
      </c>
      <c r="H7154" s="6">
        <f>ROUND(G7154*F7154,2)</f>
        <v/>
      </c>
      <c r="I7154">
        <f>IF(ROUND(H7154-D7154,2)=0,1,0)</f>
        <v/>
      </c>
      <c r="J7154">
        <f>IF(F7154="","none",IF(G7154=1,"carte","multiple"))</f>
        <v/>
      </c>
    </row>
    <row r="7155">
      <c r="A7155" t="inlineStr">
        <is>
          <t>2022-12-16</t>
        </is>
      </c>
      <c r="B7155" t="inlineStr">
        <is>
          <t>19:52</t>
        </is>
      </c>
      <c r="C7155" t="n">
        <v>3117</v>
      </c>
      <c r="D7155" s="6" t="n">
        <v>7.2</v>
      </c>
      <c r="E7155" t="n">
        <v>44405</v>
      </c>
      <c r="F7155" s="6" t="n">
        <v>7.2</v>
      </c>
      <c r="G7155" t="n">
        <v>1</v>
      </c>
      <c r="H7155" s="6">
        <f>ROUND(G7155*F7155,2)</f>
        <v/>
      </c>
      <c r="I7155">
        <f>IF(ROUND(H7155-D7155,2)=0,1,0)</f>
        <v/>
      </c>
      <c r="J7155">
        <f>IF(F7155="","none",IF(G7155=1,"carte","multiple"))</f>
        <v/>
      </c>
    </row>
    <row r="7156">
      <c r="A7156" t="inlineStr">
        <is>
          <t>2022-12-16</t>
        </is>
      </c>
      <c r="B7156" t="inlineStr">
        <is>
          <t>20:15</t>
        </is>
      </c>
      <c r="C7156" t="n">
        <v>3117</v>
      </c>
      <c r="D7156" s="6" t="n">
        <v>2.3</v>
      </c>
      <c r="E7156" t="n">
        <v>44406</v>
      </c>
      <c r="H7156" t="inlineStr"/>
      <c r="I7156" t="inlineStr"/>
      <c r="J7156">
        <f>IF(F7156="","none",IF(G7156=1,"carte","multiple"))</f>
        <v/>
      </c>
    </row>
    <row r="7157">
      <c r="A7157" t="inlineStr">
        <is>
          <t>2022-12-16</t>
        </is>
      </c>
      <c r="B7157" t="inlineStr">
        <is>
          <t>20:15</t>
        </is>
      </c>
      <c r="C7157" t="n">
        <v>3117</v>
      </c>
      <c r="D7157" s="6" t="n">
        <v>4.5</v>
      </c>
      <c r="E7157" t="n">
        <v>44407</v>
      </c>
      <c r="F7157" s="6" t="n">
        <v>4.5</v>
      </c>
      <c r="G7157" t="n">
        <v>1</v>
      </c>
      <c r="H7157" s="6">
        <f>ROUND(G7157*F7157,2)</f>
        <v/>
      </c>
      <c r="I7157">
        <f>IF(ROUND(H7157-D7157,2)=0,1,0)</f>
        <v/>
      </c>
      <c r="J7157">
        <f>IF(F7157="","none",IF(G7157=1,"carte","multiple"))</f>
        <v/>
      </c>
    </row>
    <row r="7158">
      <c r="A7158" t="inlineStr">
        <is>
          <t>2022-12-16</t>
        </is>
      </c>
      <c r="B7158" t="inlineStr">
        <is>
          <t>20:15</t>
        </is>
      </c>
      <c r="C7158" t="n">
        <v>3117</v>
      </c>
      <c r="D7158" s="6" t="n">
        <v>12.45</v>
      </c>
      <c r="E7158" t="n">
        <v>44408</v>
      </c>
      <c r="H7158" t="inlineStr"/>
      <c r="I7158" t="inlineStr"/>
      <c r="J7158">
        <f>IF(F7158="","none",IF(G7158=1,"carte","multiple"))</f>
        <v/>
      </c>
    </row>
    <row r="7159">
      <c r="A7159" t="inlineStr">
        <is>
          <t>2022-12-16</t>
        </is>
      </c>
      <c r="B7159" t="inlineStr">
        <is>
          <t>20:15</t>
        </is>
      </c>
      <c r="C7159" t="n">
        <v>3117</v>
      </c>
      <c r="D7159" s="6" t="n">
        <v>9.5</v>
      </c>
      <c r="E7159" t="n">
        <v>44409</v>
      </c>
      <c r="F7159" s="6" t="n">
        <v>9.5</v>
      </c>
      <c r="G7159" t="n">
        <v>1</v>
      </c>
      <c r="H7159" s="6">
        <f>ROUND(G7159*F7159,2)</f>
        <v/>
      </c>
      <c r="I7159">
        <f>IF(ROUND(H7159-D7159,2)=0,1,0)</f>
        <v/>
      </c>
      <c r="J7159">
        <f>IF(F7159="","none",IF(G7159=1,"carte","multiple"))</f>
        <v/>
      </c>
    </row>
    <row r="7160">
      <c r="A7160" t="inlineStr">
        <is>
          <t>2022-12-16</t>
        </is>
      </c>
      <c r="B7160" t="inlineStr">
        <is>
          <t>20:15</t>
        </is>
      </c>
      <c r="C7160" t="n">
        <v>3117</v>
      </c>
      <c r="D7160" s="6" t="n">
        <v>9.300000000000001</v>
      </c>
      <c r="E7160" t="n">
        <v>44410</v>
      </c>
      <c r="H7160" t="inlineStr"/>
      <c r="I7160" t="inlineStr"/>
      <c r="J7160">
        <f>IF(F7160="","none",IF(G7160=1,"carte","multiple"))</f>
        <v/>
      </c>
    </row>
    <row r="7161">
      <c r="A7161" t="inlineStr">
        <is>
          <t>2022-12-16</t>
        </is>
      </c>
      <c r="B7161" t="inlineStr">
        <is>
          <t>20:15</t>
        </is>
      </c>
      <c r="C7161" t="n">
        <v>3117</v>
      </c>
      <c r="D7161" s="6" t="n">
        <v>29.9</v>
      </c>
      <c r="E7161" t="n">
        <v>44411</v>
      </c>
      <c r="F7161" s="6" t="n">
        <v>29.9</v>
      </c>
      <c r="G7161" t="n">
        <v>1</v>
      </c>
      <c r="H7161" s="6">
        <f>ROUND(G7161*F7161,2)</f>
        <v/>
      </c>
      <c r="I7161">
        <f>IF(ROUND(H7161-D7161,2)=0,1,0)</f>
        <v/>
      </c>
      <c r="J7161">
        <f>IF(F7161="","none",IF(G7161=1,"carte","multiple"))</f>
        <v/>
      </c>
    </row>
    <row r="7162">
      <c r="A7162" t="inlineStr">
        <is>
          <t>2022-12-16</t>
        </is>
      </c>
      <c r="B7162" t="inlineStr">
        <is>
          <t>20:15</t>
        </is>
      </c>
      <c r="C7162" t="n">
        <v>3117</v>
      </c>
      <c r="D7162" s="6" t="n">
        <v>1.95</v>
      </c>
      <c r="E7162" t="n">
        <v>44412</v>
      </c>
      <c r="H7162" t="inlineStr"/>
      <c r="I7162" t="inlineStr"/>
      <c r="J7162">
        <f>IF(F7162="","none",IF(G7162=1,"carte","multiple"))</f>
        <v/>
      </c>
    </row>
    <row r="7163">
      <c r="A7163" t="inlineStr">
        <is>
          <t>2022-12-16</t>
        </is>
      </c>
      <c r="B7163" t="inlineStr">
        <is>
          <t>20:15</t>
        </is>
      </c>
      <c r="C7163" t="n">
        <v>3117</v>
      </c>
      <c r="D7163" s="6" t="n">
        <v>7.35</v>
      </c>
      <c r="E7163" t="n">
        <v>44413</v>
      </c>
      <c r="H7163" t="inlineStr"/>
      <c r="I7163" t="inlineStr"/>
      <c r="J7163">
        <f>IF(F7163="","none",IF(G7163=1,"carte","multiple"))</f>
        <v/>
      </c>
    </row>
    <row r="7164">
      <c r="A7164" t="inlineStr">
        <is>
          <t>2022-12-16</t>
        </is>
      </c>
      <c r="B7164" t="inlineStr">
        <is>
          <t>20:20</t>
        </is>
      </c>
      <c r="C7164" t="n">
        <v>3117</v>
      </c>
      <c r="D7164" s="6" t="n">
        <v>4</v>
      </c>
      <c r="E7164" t="n">
        <v>44414</v>
      </c>
      <c r="F7164" s="6" t="n">
        <v>4</v>
      </c>
      <c r="G7164" t="n">
        <v>1</v>
      </c>
      <c r="H7164" s="6">
        <f>ROUND(G7164*F7164,2)</f>
        <v/>
      </c>
      <c r="I7164">
        <f>IF(ROUND(H7164-D7164,2)=0,1,0)</f>
        <v/>
      </c>
      <c r="J7164">
        <f>IF(F7164="","none",IF(G7164=1,"carte","multiple"))</f>
        <v/>
      </c>
    </row>
    <row r="7165">
      <c r="A7165" t="inlineStr">
        <is>
          <t>2022-12-16</t>
        </is>
      </c>
      <c r="B7165" t="inlineStr">
        <is>
          <t>20:34</t>
        </is>
      </c>
      <c r="C7165" t="n">
        <v>3117</v>
      </c>
      <c r="D7165" s="6" t="n">
        <v>8.699999999999999</v>
      </c>
      <c r="E7165" t="n">
        <v>44415</v>
      </c>
      <c r="F7165" s="6" t="n">
        <v>8.699999999999999</v>
      </c>
      <c r="G7165" t="n">
        <v>1</v>
      </c>
      <c r="H7165" s="6">
        <f>ROUND(G7165*F7165,2)</f>
        <v/>
      </c>
      <c r="I7165">
        <f>IF(ROUND(H7165-D7165,2)=0,1,0)</f>
        <v/>
      </c>
      <c r="J7165">
        <f>IF(F7165="","none",IF(G7165=1,"carte","multiple"))</f>
        <v/>
      </c>
    </row>
    <row r="7166">
      <c r="A7166" t="inlineStr">
        <is>
          <t>2022-12-16</t>
        </is>
      </c>
      <c r="B7166" t="inlineStr">
        <is>
          <t>20:34</t>
        </is>
      </c>
      <c r="C7166" t="n">
        <v>3117</v>
      </c>
      <c r="D7166" s="6" t="n">
        <v>1.8</v>
      </c>
      <c r="E7166" t="n">
        <v>44416</v>
      </c>
      <c r="F7166" s="6" t="n">
        <v>1.8</v>
      </c>
      <c r="G7166" t="n">
        <v>1</v>
      </c>
      <c r="H7166" s="6">
        <f>ROUND(G7166*F7166,2)</f>
        <v/>
      </c>
      <c r="I7166">
        <f>IF(ROUND(H7166-D7166,2)=0,1,0)</f>
        <v/>
      </c>
      <c r="J7166">
        <f>IF(F7166="","none",IF(G7166=1,"carte","multiple"))</f>
        <v/>
      </c>
    </row>
    <row r="7167">
      <c r="A7167" t="inlineStr">
        <is>
          <t>2022-12-16</t>
        </is>
      </c>
      <c r="B7167" t="inlineStr">
        <is>
          <t>20:34</t>
        </is>
      </c>
      <c r="C7167" t="n">
        <v>3117</v>
      </c>
      <c r="D7167" s="6" t="n">
        <v>7.8</v>
      </c>
      <c r="E7167" t="n">
        <v>44417</v>
      </c>
      <c r="F7167" s="6" t="n">
        <v>7.8</v>
      </c>
      <c r="G7167" t="n">
        <v>1</v>
      </c>
      <c r="H7167" s="6">
        <f>ROUND(G7167*F7167,2)</f>
        <v/>
      </c>
      <c r="I7167">
        <f>IF(ROUND(H7167-D7167,2)=0,1,0)</f>
        <v/>
      </c>
      <c r="J7167">
        <f>IF(F7167="","none",IF(G7167=1,"carte","multiple"))</f>
        <v/>
      </c>
    </row>
    <row r="7168">
      <c r="A7168" t="inlineStr">
        <is>
          <t>2022-12-16</t>
        </is>
      </c>
      <c r="B7168" t="inlineStr">
        <is>
          <t>20:34</t>
        </is>
      </c>
      <c r="C7168" t="n">
        <v>3117</v>
      </c>
      <c r="D7168" s="6" t="n">
        <v>2.5</v>
      </c>
      <c r="E7168" t="n">
        <v>44418</v>
      </c>
      <c r="F7168" s="6" t="n">
        <v>2.5</v>
      </c>
      <c r="G7168" t="n">
        <v>1</v>
      </c>
      <c r="H7168" s="6">
        <f>ROUND(G7168*F7168,2)</f>
        <v/>
      </c>
      <c r="I7168">
        <f>IF(ROUND(H7168-D7168,2)=0,1,0)</f>
        <v/>
      </c>
      <c r="J7168">
        <f>IF(F7168="","none",IF(G7168=1,"carte","multiple"))</f>
        <v/>
      </c>
    </row>
    <row r="7169">
      <c r="A7169" t="inlineStr">
        <is>
          <t>2022-12-16</t>
        </is>
      </c>
      <c r="B7169" t="inlineStr">
        <is>
          <t>20:34</t>
        </is>
      </c>
      <c r="C7169" t="n">
        <v>3117</v>
      </c>
      <c r="D7169" s="6" t="n">
        <v>2</v>
      </c>
      <c r="E7169" t="n">
        <v>44419</v>
      </c>
      <c r="F7169" s="6" t="n">
        <v>2</v>
      </c>
      <c r="G7169" t="n">
        <v>1</v>
      </c>
      <c r="H7169" s="6">
        <f>ROUND(G7169*F7169,2)</f>
        <v/>
      </c>
      <c r="I7169">
        <f>IF(ROUND(H7169-D7169,2)=0,1,0)</f>
        <v/>
      </c>
      <c r="J7169">
        <f>IF(F7169="","none",IF(G7169=1,"carte","multiple"))</f>
        <v/>
      </c>
    </row>
    <row r="7170">
      <c r="A7170" t="inlineStr">
        <is>
          <t>2022-12-16</t>
        </is>
      </c>
      <c r="B7170" t="inlineStr">
        <is>
          <t>20:34</t>
        </is>
      </c>
      <c r="C7170" t="n">
        <v>3117</v>
      </c>
      <c r="D7170" s="6" t="n">
        <v>4.7</v>
      </c>
      <c r="E7170" t="n">
        <v>44420</v>
      </c>
      <c r="F7170" s="6" t="n">
        <v>4.7</v>
      </c>
      <c r="G7170" t="n">
        <v>1</v>
      </c>
      <c r="H7170" s="6">
        <f>ROUND(G7170*F7170,2)</f>
        <v/>
      </c>
      <c r="I7170">
        <f>IF(ROUND(H7170-D7170,2)=0,1,0)</f>
        <v/>
      </c>
      <c r="J7170">
        <f>IF(F7170="","none",IF(G7170=1,"carte","multiple"))</f>
        <v/>
      </c>
    </row>
    <row r="7171">
      <c r="A7171" t="inlineStr">
        <is>
          <t>2022-12-16</t>
        </is>
      </c>
      <c r="B7171" t="inlineStr">
        <is>
          <t>20:34</t>
        </is>
      </c>
      <c r="C7171" t="n">
        <v>3117</v>
      </c>
      <c r="D7171" s="6" t="n">
        <v>10.5</v>
      </c>
      <c r="E7171" t="n">
        <v>44421</v>
      </c>
      <c r="F7171" s="6" t="n">
        <v>10.5</v>
      </c>
      <c r="G7171" t="n">
        <v>1</v>
      </c>
      <c r="H7171" s="6">
        <f>ROUND(G7171*F7171,2)</f>
        <v/>
      </c>
      <c r="I7171">
        <f>IF(ROUND(H7171-D7171,2)=0,1,0)</f>
        <v/>
      </c>
      <c r="J7171">
        <f>IF(F7171="","none",IF(G7171=1,"carte","multiple"))</f>
        <v/>
      </c>
    </row>
    <row r="7172">
      <c r="A7172" t="inlineStr">
        <is>
          <t>2022-12-16</t>
        </is>
      </c>
      <c r="B7172" t="inlineStr">
        <is>
          <t>20:34</t>
        </is>
      </c>
      <c r="C7172" t="n">
        <v>3117</v>
      </c>
      <c r="D7172" s="6" t="n">
        <v>6.9</v>
      </c>
      <c r="E7172" t="n">
        <v>44422</v>
      </c>
      <c r="F7172" s="6" t="n">
        <v>6.9</v>
      </c>
      <c r="G7172" t="n">
        <v>1</v>
      </c>
      <c r="H7172" s="6">
        <f>ROUND(G7172*F7172,2)</f>
        <v/>
      </c>
      <c r="I7172">
        <f>IF(ROUND(H7172-D7172,2)=0,1,0)</f>
        <v/>
      </c>
      <c r="J7172">
        <f>IF(F7172="","none",IF(G7172=1,"carte","multiple"))</f>
        <v/>
      </c>
    </row>
    <row r="7173">
      <c r="A7173" t="inlineStr">
        <is>
          <t>2022-12-16</t>
        </is>
      </c>
      <c r="B7173" t="inlineStr">
        <is>
          <t>20:34</t>
        </is>
      </c>
      <c r="C7173" t="n">
        <v>3117</v>
      </c>
      <c r="D7173" s="6" t="n">
        <v>18.6</v>
      </c>
      <c r="E7173" t="n">
        <v>44423</v>
      </c>
      <c r="F7173" s="6" t="n">
        <v>18.6</v>
      </c>
      <c r="G7173" t="n">
        <v>1</v>
      </c>
      <c r="H7173" s="6">
        <f>ROUND(G7173*F7173,2)</f>
        <v/>
      </c>
      <c r="I7173">
        <f>IF(ROUND(H7173-D7173,2)=0,1,0)</f>
        <v/>
      </c>
      <c r="J7173">
        <f>IF(F7173="","none",IF(G7173=1,"carte","multiple"))</f>
        <v/>
      </c>
    </row>
    <row r="7174">
      <c r="A7174" t="inlineStr">
        <is>
          <t>2022-12-16</t>
        </is>
      </c>
      <c r="B7174" t="inlineStr">
        <is>
          <t>20:34</t>
        </is>
      </c>
      <c r="C7174" t="n">
        <v>3117</v>
      </c>
      <c r="D7174" s="6" t="n">
        <v>37.2</v>
      </c>
      <c r="E7174" t="n">
        <v>44424</v>
      </c>
      <c r="F7174" s="6" t="n">
        <v>0.4</v>
      </c>
      <c r="G7174" t="n">
        <v>93</v>
      </c>
      <c r="H7174" s="6">
        <f>ROUND(G7174*F7174,2)</f>
        <v/>
      </c>
      <c r="I7174">
        <f>IF(ROUND(H7174-D7174,2)=0,1,0)</f>
        <v/>
      </c>
      <c r="J7174">
        <f>IF(F7174="","none",IF(G7174=1,"carte","multiple"))</f>
        <v/>
      </c>
    </row>
    <row r="7175">
      <c r="A7175" t="inlineStr">
        <is>
          <t>2022-12-16</t>
        </is>
      </c>
      <c r="B7175" t="inlineStr">
        <is>
          <t>20:34</t>
        </is>
      </c>
      <c r="C7175" t="n">
        <v>3117</v>
      </c>
      <c r="D7175" s="6" t="n">
        <v>19.8</v>
      </c>
      <c r="E7175" t="n">
        <v>44425</v>
      </c>
      <c r="F7175" s="6" t="n">
        <v>19.8</v>
      </c>
      <c r="G7175" t="n">
        <v>1</v>
      </c>
      <c r="H7175" s="6">
        <f>ROUND(G7175*F7175,2)</f>
        <v/>
      </c>
      <c r="I7175">
        <f>IF(ROUND(H7175-D7175,2)=0,1,0)</f>
        <v/>
      </c>
      <c r="J7175">
        <f>IF(F7175="","none",IF(G7175=1,"carte","multiple"))</f>
        <v/>
      </c>
    </row>
    <row r="7176">
      <c r="A7176" t="inlineStr">
        <is>
          <t>2022-12-16</t>
        </is>
      </c>
      <c r="B7176" t="inlineStr">
        <is>
          <t>20:34</t>
        </is>
      </c>
      <c r="C7176" t="n">
        <v>3117</v>
      </c>
      <c r="D7176" s="6" t="n">
        <v>19</v>
      </c>
      <c r="E7176" t="n">
        <v>44426</v>
      </c>
      <c r="F7176" s="6" t="n">
        <v>19</v>
      </c>
      <c r="G7176" t="n">
        <v>1</v>
      </c>
      <c r="H7176" s="6">
        <f>ROUND(G7176*F7176,2)</f>
        <v/>
      </c>
      <c r="I7176">
        <f>IF(ROUND(H7176-D7176,2)=0,1,0)</f>
        <v/>
      </c>
      <c r="J7176">
        <f>IF(F7176="","none",IF(G7176=1,"carte","multiple"))</f>
        <v/>
      </c>
    </row>
    <row r="7177">
      <c r="A7177" t="inlineStr">
        <is>
          <t>2022-12-16</t>
        </is>
      </c>
      <c r="B7177" t="inlineStr">
        <is>
          <t>20:34</t>
        </is>
      </c>
      <c r="C7177" t="n">
        <v>3117</v>
      </c>
      <c r="D7177" s="6" t="n">
        <v>8.9</v>
      </c>
      <c r="E7177" t="n">
        <v>44427</v>
      </c>
      <c r="F7177" s="6" t="n">
        <v>8.9</v>
      </c>
      <c r="G7177" t="n">
        <v>1</v>
      </c>
      <c r="H7177" s="6">
        <f>ROUND(G7177*F7177,2)</f>
        <v/>
      </c>
      <c r="I7177">
        <f>IF(ROUND(H7177-D7177,2)=0,1,0)</f>
        <v/>
      </c>
      <c r="J7177">
        <f>IF(F7177="","none",IF(G7177=1,"carte","multiple"))</f>
        <v/>
      </c>
    </row>
    <row r="7178">
      <c r="A7178" t="inlineStr">
        <is>
          <t>2022-12-16</t>
        </is>
      </c>
      <c r="B7178" t="inlineStr">
        <is>
          <t>20:34</t>
        </is>
      </c>
      <c r="C7178" t="n">
        <v>3117</v>
      </c>
      <c r="D7178" s="6" t="n">
        <v>3.9</v>
      </c>
      <c r="E7178" t="n">
        <v>44428</v>
      </c>
      <c r="F7178" s="6" t="n">
        <v>3.9</v>
      </c>
      <c r="G7178" t="n">
        <v>1</v>
      </c>
      <c r="H7178" s="6">
        <f>ROUND(G7178*F7178,2)</f>
        <v/>
      </c>
      <c r="I7178">
        <f>IF(ROUND(H7178-D7178,2)=0,1,0)</f>
        <v/>
      </c>
      <c r="J7178">
        <f>IF(F7178="","none",IF(G7178=1,"carte","multiple"))</f>
        <v/>
      </c>
    </row>
    <row r="7179">
      <c r="A7179" t="inlineStr">
        <is>
          <t>2022-12-16</t>
        </is>
      </c>
      <c r="B7179" t="inlineStr">
        <is>
          <t>20:34</t>
        </is>
      </c>
      <c r="C7179" t="n">
        <v>3117</v>
      </c>
      <c r="D7179" s="6" t="n">
        <v>33.8</v>
      </c>
      <c r="E7179" t="n">
        <v>44429</v>
      </c>
      <c r="F7179" s="6" t="n">
        <v>16.9</v>
      </c>
      <c r="G7179" t="n">
        <v>2</v>
      </c>
      <c r="H7179" s="6">
        <f>ROUND(G7179*F7179,2)</f>
        <v/>
      </c>
      <c r="I7179">
        <f>IF(ROUND(H7179-D7179,2)=0,1,0)</f>
        <v/>
      </c>
      <c r="J7179">
        <f>IF(F7179="","none",IF(G7179=1,"carte","multiple"))</f>
        <v/>
      </c>
    </row>
    <row r="7180">
      <c r="A7180" t="inlineStr">
        <is>
          <t>2022-12-16</t>
        </is>
      </c>
      <c r="B7180" t="inlineStr">
        <is>
          <t>20:34</t>
        </is>
      </c>
      <c r="C7180" t="n">
        <v>3117</v>
      </c>
      <c r="D7180" s="6" t="n">
        <v>9.6</v>
      </c>
      <c r="E7180" t="n">
        <v>44430</v>
      </c>
      <c r="F7180" s="6" t="n">
        <v>9.6</v>
      </c>
      <c r="G7180" t="n">
        <v>1</v>
      </c>
      <c r="H7180" s="6">
        <f>ROUND(G7180*F7180,2)</f>
        <v/>
      </c>
      <c r="I7180">
        <f>IF(ROUND(H7180-D7180,2)=0,1,0)</f>
        <v/>
      </c>
      <c r="J7180">
        <f>IF(F7180="","none",IF(G7180=1,"carte","multiple"))</f>
        <v/>
      </c>
    </row>
    <row r="7181">
      <c r="A7181" t="inlineStr">
        <is>
          <t>2022-12-16</t>
        </is>
      </c>
      <c r="B7181" t="inlineStr">
        <is>
          <t>20:34</t>
        </is>
      </c>
      <c r="C7181" t="n">
        <v>3117</v>
      </c>
      <c r="D7181" s="6" t="n">
        <v>8</v>
      </c>
      <c r="E7181" t="n">
        <v>44431</v>
      </c>
      <c r="F7181" s="6" t="n">
        <v>8</v>
      </c>
      <c r="G7181" t="n">
        <v>1</v>
      </c>
      <c r="H7181" s="6">
        <f>ROUND(G7181*F7181,2)</f>
        <v/>
      </c>
      <c r="I7181">
        <f>IF(ROUND(H7181-D7181,2)=0,1,0)</f>
        <v/>
      </c>
      <c r="J7181">
        <f>IF(F7181="","none",IF(G7181=1,"carte","multiple"))</f>
        <v/>
      </c>
    </row>
    <row r="7182">
      <c r="A7182" t="inlineStr">
        <is>
          <t>2022-12-16</t>
        </is>
      </c>
      <c r="B7182" t="inlineStr">
        <is>
          <t>20:34</t>
        </is>
      </c>
      <c r="C7182" t="n">
        <v>3117</v>
      </c>
      <c r="D7182" s="6" t="n">
        <v>21.6</v>
      </c>
      <c r="E7182" t="n">
        <v>44432</v>
      </c>
      <c r="F7182" s="6" t="n">
        <v>21.6</v>
      </c>
      <c r="G7182" t="n">
        <v>1</v>
      </c>
      <c r="H7182" s="6">
        <f>ROUND(G7182*F7182,2)</f>
        <v/>
      </c>
      <c r="I7182">
        <f>IF(ROUND(H7182-D7182,2)=0,1,0)</f>
        <v/>
      </c>
      <c r="J7182">
        <f>IF(F7182="","none",IF(G7182=1,"carte","multiple"))</f>
        <v/>
      </c>
    </row>
    <row r="7183">
      <c r="A7183" t="inlineStr">
        <is>
          <t>2022-12-16</t>
        </is>
      </c>
      <c r="B7183" t="inlineStr">
        <is>
          <t>20:34</t>
        </is>
      </c>
      <c r="C7183" t="n">
        <v>3117</v>
      </c>
      <c r="D7183" s="6" t="n">
        <v>4</v>
      </c>
      <c r="E7183" t="n">
        <v>44433</v>
      </c>
      <c r="F7183" s="6" t="n">
        <v>4</v>
      </c>
      <c r="G7183" t="n">
        <v>1</v>
      </c>
      <c r="H7183" s="6">
        <f>ROUND(G7183*F7183,2)</f>
        <v/>
      </c>
      <c r="I7183">
        <f>IF(ROUND(H7183-D7183,2)=0,1,0)</f>
        <v/>
      </c>
      <c r="J7183">
        <f>IF(F7183="","none",IF(G7183=1,"carte","multiple"))</f>
        <v/>
      </c>
    </row>
    <row r="7184">
      <c r="A7184" t="inlineStr">
        <is>
          <t>2022-12-16</t>
        </is>
      </c>
      <c r="B7184" t="inlineStr">
        <is>
          <t>20:34</t>
        </is>
      </c>
      <c r="C7184" t="n">
        <v>3117</v>
      </c>
      <c r="D7184" s="6" t="n">
        <v>11.7</v>
      </c>
      <c r="E7184" t="n">
        <v>44434</v>
      </c>
      <c r="F7184" s="6" t="n">
        <v>0.9</v>
      </c>
      <c r="G7184" t="n">
        <v>13</v>
      </c>
      <c r="H7184" s="6">
        <f>ROUND(G7184*F7184,2)</f>
        <v/>
      </c>
      <c r="I7184">
        <f>IF(ROUND(H7184-D7184,2)=0,1,0)</f>
        <v/>
      </c>
      <c r="J7184">
        <f>IF(F7184="","none",IF(G7184=1,"carte","multiple"))</f>
        <v/>
      </c>
    </row>
    <row r="7185">
      <c r="A7185" t="inlineStr">
        <is>
          <t>2022-12-16</t>
        </is>
      </c>
      <c r="B7185" t="inlineStr">
        <is>
          <t>20:34</t>
        </is>
      </c>
      <c r="C7185" t="n">
        <v>3117</v>
      </c>
      <c r="D7185" s="6" t="n">
        <v>5.9</v>
      </c>
      <c r="E7185" t="n">
        <v>44435</v>
      </c>
      <c r="F7185" s="6" t="n">
        <v>5.9</v>
      </c>
      <c r="G7185" t="n">
        <v>1</v>
      </c>
      <c r="H7185" s="6">
        <f>ROUND(G7185*F7185,2)</f>
        <v/>
      </c>
      <c r="I7185">
        <f>IF(ROUND(H7185-D7185,2)=0,1,0)</f>
        <v/>
      </c>
      <c r="J7185">
        <f>IF(F7185="","none",IF(G7185=1,"carte","multiple"))</f>
        <v/>
      </c>
    </row>
    <row r="7186">
      <c r="A7186" t="inlineStr">
        <is>
          <t>2022-12-16</t>
        </is>
      </c>
      <c r="B7186" t="inlineStr">
        <is>
          <t>20:34</t>
        </is>
      </c>
      <c r="C7186" t="n">
        <v>3117</v>
      </c>
      <c r="D7186" s="6" t="n">
        <v>3.9</v>
      </c>
      <c r="E7186" t="n">
        <v>44436</v>
      </c>
      <c r="F7186" s="6" t="n">
        <v>3.9</v>
      </c>
      <c r="G7186" t="n">
        <v>1</v>
      </c>
      <c r="H7186" s="6">
        <f>ROUND(G7186*F7186,2)</f>
        <v/>
      </c>
      <c r="I7186">
        <f>IF(ROUND(H7186-D7186,2)=0,1,0)</f>
        <v/>
      </c>
      <c r="J7186">
        <f>IF(F7186="","none",IF(G7186=1,"carte","multiple"))</f>
        <v/>
      </c>
    </row>
    <row r="7187">
      <c r="A7187" t="inlineStr">
        <is>
          <t>2022-12-16</t>
        </is>
      </c>
      <c r="B7187" t="inlineStr">
        <is>
          <t>20:34</t>
        </is>
      </c>
      <c r="C7187" t="n">
        <v>3117</v>
      </c>
      <c r="D7187" s="6" t="n">
        <v>29.4</v>
      </c>
      <c r="E7187" t="n">
        <v>44437</v>
      </c>
      <c r="F7187" s="6" t="n">
        <v>1.4</v>
      </c>
      <c r="G7187" t="n">
        <v>21</v>
      </c>
      <c r="H7187" s="6">
        <f>ROUND(G7187*F7187,2)</f>
        <v/>
      </c>
      <c r="I7187">
        <f>IF(ROUND(H7187-D7187,2)=0,1,0)</f>
        <v/>
      </c>
      <c r="J7187">
        <f>IF(F7187="","none",IF(G7187=1,"carte","multiple"))</f>
        <v/>
      </c>
    </row>
    <row r="7188">
      <c r="A7188" t="inlineStr">
        <is>
          <t>2022-12-17</t>
        </is>
      </c>
      <c r="B7188" t="inlineStr">
        <is>
          <t>11:07</t>
        </is>
      </c>
      <c r="C7188" t="n">
        <v>3118</v>
      </c>
      <c r="D7188" s="6" t="n">
        <v>8</v>
      </c>
      <c r="E7188" t="n">
        <v>44440</v>
      </c>
      <c r="F7188" s="6" t="n">
        <v>8</v>
      </c>
      <c r="G7188" t="n">
        <v>1</v>
      </c>
      <c r="H7188" s="6">
        <f>ROUND(G7188*F7188,2)</f>
        <v/>
      </c>
      <c r="I7188">
        <f>IF(ROUND(H7188-D7188,2)=0,1,0)</f>
        <v/>
      </c>
      <c r="J7188">
        <f>IF(F7188="","none",IF(G7188=1,"carte","multiple"))</f>
        <v/>
      </c>
    </row>
    <row r="7189">
      <c r="A7189" t="inlineStr">
        <is>
          <t>2022-12-17</t>
        </is>
      </c>
      <c r="B7189" t="inlineStr">
        <is>
          <t>17:57</t>
        </is>
      </c>
      <c r="C7189" t="n">
        <v>3118</v>
      </c>
      <c r="D7189" s="6" t="n">
        <v>8.9</v>
      </c>
      <c r="E7189" t="n">
        <v>44443</v>
      </c>
      <c r="F7189" s="6" t="n">
        <v>8.9</v>
      </c>
      <c r="G7189" t="n">
        <v>1</v>
      </c>
      <c r="H7189" s="6">
        <f>ROUND(G7189*F7189,2)</f>
        <v/>
      </c>
      <c r="I7189">
        <f>IF(ROUND(H7189-D7189,2)=0,1,0)</f>
        <v/>
      </c>
      <c r="J7189">
        <f>IF(F7189="","none",IF(G7189=1,"carte","multiple"))</f>
        <v/>
      </c>
    </row>
    <row r="7190">
      <c r="A7190" t="inlineStr">
        <is>
          <t>2022-12-17</t>
        </is>
      </c>
      <c r="B7190" t="inlineStr">
        <is>
          <t>19:07</t>
        </is>
      </c>
      <c r="C7190" t="n">
        <v>3118</v>
      </c>
      <c r="D7190" s="6" t="n">
        <v>9</v>
      </c>
      <c r="E7190" t="n">
        <v>44444</v>
      </c>
      <c r="F7190" s="6" t="n">
        <v>9</v>
      </c>
      <c r="G7190" t="n">
        <v>1</v>
      </c>
      <c r="H7190" s="6">
        <f>ROUND(G7190*F7190,2)</f>
        <v/>
      </c>
      <c r="I7190">
        <f>IF(ROUND(H7190-D7190,2)=0,1,0)</f>
        <v/>
      </c>
      <c r="J7190">
        <f>IF(F7190="","none",IF(G7190=1,"carte","multiple"))</f>
        <v/>
      </c>
    </row>
    <row r="7191">
      <c r="A7191" t="inlineStr">
        <is>
          <t>2022-12-18</t>
        </is>
      </c>
      <c r="B7191" t="inlineStr">
        <is>
          <t>11:55</t>
        </is>
      </c>
      <c r="C7191" t="n">
        <v>3119</v>
      </c>
      <c r="D7191" s="6" t="n">
        <v>4.4</v>
      </c>
      <c r="E7191" t="n">
        <v>44449</v>
      </c>
      <c r="F7191" s="6" t="n">
        <v>0.4</v>
      </c>
      <c r="G7191" t="n">
        <v>11</v>
      </c>
      <c r="H7191" s="6">
        <f>ROUND(G7191*F7191,2)</f>
        <v/>
      </c>
      <c r="I7191">
        <f>IF(ROUND(H7191-D7191,2)=0,1,0)</f>
        <v/>
      </c>
      <c r="J7191">
        <f>IF(F7191="","none",IF(G7191=1,"carte","multiple"))</f>
        <v/>
      </c>
    </row>
    <row r="7192">
      <c r="A7192" t="inlineStr">
        <is>
          <t>2022-12-18</t>
        </is>
      </c>
      <c r="B7192" t="inlineStr">
        <is>
          <t>13:31</t>
        </is>
      </c>
      <c r="C7192" t="n">
        <v>3119</v>
      </c>
      <c r="D7192" s="6" t="n">
        <v>3.9</v>
      </c>
      <c r="E7192" t="n">
        <v>44450</v>
      </c>
      <c r="F7192" s="6" t="n">
        <v>3.9</v>
      </c>
      <c r="G7192" t="n">
        <v>1</v>
      </c>
      <c r="H7192" s="6">
        <f>ROUND(G7192*F7192,2)</f>
        <v/>
      </c>
      <c r="I7192">
        <f>IF(ROUND(H7192-D7192,2)=0,1,0)</f>
        <v/>
      </c>
      <c r="J7192">
        <f>IF(F7192="","none",IF(G7192=1,"carte","multiple"))</f>
        <v/>
      </c>
    </row>
    <row r="7193">
      <c r="A7193" t="inlineStr">
        <is>
          <t>2022-12-18</t>
        </is>
      </c>
      <c r="B7193" t="inlineStr">
        <is>
          <t>13:31</t>
        </is>
      </c>
      <c r="C7193" t="n">
        <v>3119</v>
      </c>
      <c r="D7193" s="6" t="n">
        <v>7.8</v>
      </c>
      <c r="E7193" t="n">
        <v>44451</v>
      </c>
      <c r="F7193" s="6" t="n">
        <v>7.8</v>
      </c>
      <c r="G7193" t="n">
        <v>1</v>
      </c>
      <c r="H7193" s="6">
        <f>ROUND(G7193*F7193,2)</f>
        <v/>
      </c>
      <c r="I7193">
        <f>IF(ROUND(H7193-D7193,2)=0,1,0)</f>
        <v/>
      </c>
      <c r="J7193">
        <f>IF(F7193="","none",IF(G7193=1,"carte","multiple"))</f>
        <v/>
      </c>
    </row>
    <row r="7194">
      <c r="A7194" t="inlineStr">
        <is>
          <t>2022-12-18</t>
        </is>
      </c>
      <c r="B7194" t="inlineStr">
        <is>
          <t>13:31</t>
        </is>
      </c>
      <c r="C7194" t="n">
        <v>3119</v>
      </c>
      <c r="D7194" s="6" t="n">
        <v>45</v>
      </c>
      <c r="E7194" t="n">
        <v>44452</v>
      </c>
      <c r="F7194" s="6" t="n">
        <v>45</v>
      </c>
      <c r="G7194" t="n">
        <v>1</v>
      </c>
      <c r="H7194" s="6">
        <f>ROUND(G7194*F7194,2)</f>
        <v/>
      </c>
      <c r="I7194">
        <f>IF(ROUND(H7194-D7194,2)=0,1,0)</f>
        <v/>
      </c>
      <c r="J7194">
        <f>IF(F7194="","none",IF(G7194=1,"carte","multiple"))</f>
        <v/>
      </c>
    </row>
    <row r="7195">
      <c r="A7195" t="inlineStr">
        <is>
          <t>2022-12-18</t>
        </is>
      </c>
      <c r="B7195" t="inlineStr">
        <is>
          <t>13:31</t>
        </is>
      </c>
      <c r="C7195" t="n">
        <v>3119</v>
      </c>
      <c r="D7195" s="6" t="n">
        <v>29.7</v>
      </c>
      <c r="E7195" t="n">
        <v>44453</v>
      </c>
      <c r="F7195" s="6" t="n">
        <v>0.9</v>
      </c>
      <c r="G7195" t="n">
        <v>33</v>
      </c>
      <c r="H7195" s="6">
        <f>ROUND(G7195*F7195,2)</f>
        <v/>
      </c>
      <c r="I7195">
        <f>IF(ROUND(H7195-D7195,2)=0,1,0)</f>
        <v/>
      </c>
      <c r="J7195">
        <f>IF(F7195="","none",IF(G7195=1,"carte","multiple"))</f>
        <v/>
      </c>
    </row>
    <row r="7196">
      <c r="A7196" t="inlineStr">
        <is>
          <t>2022-12-21</t>
        </is>
      </c>
      <c r="B7196" t="inlineStr">
        <is>
          <t>12:07</t>
        </is>
      </c>
      <c r="C7196" t="n">
        <v>3120</v>
      </c>
      <c r="D7196" s="6" t="n">
        <v>2.2</v>
      </c>
      <c r="E7196" t="n">
        <v>44457</v>
      </c>
      <c r="F7196" s="6" t="n">
        <v>2.2</v>
      </c>
      <c r="G7196" t="n">
        <v>1</v>
      </c>
      <c r="H7196" s="6">
        <f>ROUND(G7196*F7196,2)</f>
        <v/>
      </c>
      <c r="I7196">
        <f>IF(ROUND(H7196-D7196,2)=0,1,0)</f>
        <v/>
      </c>
      <c r="J7196">
        <f>IF(F7196="","none",IF(G7196=1,"carte","multiple"))</f>
        <v/>
      </c>
    </row>
    <row r="7197">
      <c r="A7197" t="inlineStr">
        <is>
          <t>2022-12-21</t>
        </is>
      </c>
      <c r="B7197" t="inlineStr">
        <is>
          <t>12:07</t>
        </is>
      </c>
      <c r="C7197" t="n">
        <v>3120</v>
      </c>
      <c r="D7197" s="6" t="n">
        <v>15.8</v>
      </c>
      <c r="E7197" t="n">
        <v>44458</v>
      </c>
      <c r="F7197" s="6" t="n">
        <v>7.9</v>
      </c>
      <c r="G7197" t="n">
        <v>2</v>
      </c>
      <c r="H7197" s="6">
        <f>ROUND(G7197*F7197,2)</f>
        <v/>
      </c>
      <c r="I7197">
        <f>IF(ROUND(H7197-D7197,2)=0,1,0)</f>
        <v/>
      </c>
      <c r="J7197">
        <f>IF(F7197="","none",IF(G7197=1,"carte","multiple"))</f>
        <v/>
      </c>
    </row>
    <row r="7198">
      <c r="A7198" t="inlineStr">
        <is>
          <t>2022-12-21</t>
        </is>
      </c>
      <c r="B7198" t="inlineStr">
        <is>
          <t>12:07</t>
        </is>
      </c>
      <c r="C7198" t="n">
        <v>3120</v>
      </c>
      <c r="D7198" s="6" t="n">
        <v>4.2</v>
      </c>
      <c r="E7198" t="n">
        <v>44459</v>
      </c>
      <c r="F7198" s="6" t="n">
        <v>4.2</v>
      </c>
      <c r="G7198" t="n">
        <v>1</v>
      </c>
      <c r="H7198" s="6">
        <f>ROUND(G7198*F7198,2)</f>
        <v/>
      </c>
      <c r="I7198">
        <f>IF(ROUND(H7198-D7198,2)=0,1,0)</f>
        <v/>
      </c>
      <c r="J7198">
        <f>IF(F7198="","none",IF(G7198=1,"carte","multiple"))</f>
        <v/>
      </c>
    </row>
    <row r="7199">
      <c r="A7199" t="inlineStr">
        <is>
          <t>2022-12-21</t>
        </is>
      </c>
      <c r="B7199" t="inlineStr">
        <is>
          <t>12:07</t>
        </is>
      </c>
      <c r="C7199" t="n">
        <v>3120</v>
      </c>
      <c r="D7199" s="6" t="n">
        <v>5.2</v>
      </c>
      <c r="E7199" t="n">
        <v>44460</v>
      </c>
      <c r="F7199" s="6" t="n">
        <v>5.2</v>
      </c>
      <c r="G7199" t="n">
        <v>1</v>
      </c>
      <c r="H7199" s="6">
        <f>ROUND(G7199*F7199,2)</f>
        <v/>
      </c>
      <c r="I7199">
        <f>IF(ROUND(H7199-D7199,2)=0,1,0)</f>
        <v/>
      </c>
      <c r="J7199">
        <f>IF(F7199="","none",IF(G7199=1,"carte","multiple"))</f>
        <v/>
      </c>
    </row>
    <row r="7200">
      <c r="A7200" t="inlineStr">
        <is>
          <t>2022-12-21</t>
        </is>
      </c>
      <c r="B7200" t="inlineStr">
        <is>
          <t>12:07</t>
        </is>
      </c>
      <c r="C7200" t="n">
        <v>3120</v>
      </c>
      <c r="D7200" s="6" t="n">
        <v>16.5</v>
      </c>
      <c r="E7200" t="n">
        <v>44461</v>
      </c>
      <c r="F7200" s="6" t="n">
        <v>16.5</v>
      </c>
      <c r="G7200" t="n">
        <v>1</v>
      </c>
      <c r="H7200" s="6">
        <f>ROUND(G7200*F7200,2)</f>
        <v/>
      </c>
      <c r="I7200">
        <f>IF(ROUND(H7200-D7200,2)=0,1,0)</f>
        <v/>
      </c>
      <c r="J7200">
        <f>IF(F7200="","none",IF(G7200=1,"carte","multiple"))</f>
        <v/>
      </c>
    </row>
    <row r="7201">
      <c r="A7201" t="inlineStr">
        <is>
          <t>2022-12-21</t>
        </is>
      </c>
      <c r="B7201" t="inlineStr">
        <is>
          <t>12:07</t>
        </is>
      </c>
      <c r="C7201" t="n">
        <v>3120</v>
      </c>
      <c r="D7201" s="6" t="n">
        <v>19</v>
      </c>
      <c r="E7201" t="n">
        <v>44462</v>
      </c>
      <c r="F7201" s="6" t="n">
        <v>19</v>
      </c>
      <c r="G7201" t="n">
        <v>1</v>
      </c>
      <c r="H7201" s="6">
        <f>ROUND(G7201*F7201,2)</f>
        <v/>
      </c>
      <c r="I7201">
        <f>IF(ROUND(H7201-D7201,2)=0,1,0)</f>
        <v/>
      </c>
      <c r="J7201">
        <f>IF(F7201="","none",IF(G7201=1,"carte","multiple"))</f>
        <v/>
      </c>
    </row>
    <row r="7202">
      <c r="A7202" t="inlineStr">
        <is>
          <t>2022-12-21</t>
        </is>
      </c>
      <c r="B7202" t="inlineStr">
        <is>
          <t>19:16</t>
        </is>
      </c>
      <c r="C7202" t="n">
        <v>3120</v>
      </c>
      <c r="D7202" s="6" t="n">
        <v>2.9</v>
      </c>
      <c r="E7202" t="n">
        <v>44463</v>
      </c>
      <c r="F7202" s="6" t="n">
        <v>2.9</v>
      </c>
      <c r="G7202" t="n">
        <v>1</v>
      </c>
      <c r="H7202" s="6">
        <f>ROUND(G7202*F7202,2)</f>
        <v/>
      </c>
      <c r="I7202">
        <f>IF(ROUND(H7202-D7202,2)=0,1,0)</f>
        <v/>
      </c>
      <c r="J7202">
        <f>IF(F7202="","none",IF(G7202=1,"carte","multiple"))</f>
        <v/>
      </c>
    </row>
    <row r="7203">
      <c r="A7203" t="inlineStr">
        <is>
          <t>2022-12-21</t>
        </is>
      </c>
      <c r="B7203" t="inlineStr">
        <is>
          <t>19:16</t>
        </is>
      </c>
      <c r="C7203" t="n">
        <v>3120</v>
      </c>
      <c r="D7203" s="6" t="n">
        <v>4.7</v>
      </c>
      <c r="E7203" t="n">
        <v>44464</v>
      </c>
      <c r="F7203" s="6" t="n">
        <v>4.7</v>
      </c>
      <c r="G7203" t="n">
        <v>1</v>
      </c>
      <c r="H7203" s="6">
        <f>ROUND(G7203*F7203,2)</f>
        <v/>
      </c>
      <c r="I7203">
        <f>IF(ROUND(H7203-D7203,2)=0,1,0)</f>
        <v/>
      </c>
      <c r="J7203">
        <f>IF(F7203="","none",IF(G7203=1,"carte","multiple"))</f>
        <v/>
      </c>
    </row>
    <row r="7204">
      <c r="A7204" t="inlineStr">
        <is>
          <t>2022-12-21</t>
        </is>
      </c>
      <c r="B7204" t="inlineStr">
        <is>
          <t>19:16</t>
        </is>
      </c>
      <c r="C7204" t="n">
        <v>3120</v>
      </c>
      <c r="D7204" s="6" t="n">
        <v>3.9</v>
      </c>
      <c r="E7204" t="n">
        <v>44465</v>
      </c>
      <c r="F7204" s="6" t="n">
        <v>3.9</v>
      </c>
      <c r="G7204" t="n">
        <v>1</v>
      </c>
      <c r="H7204" s="6">
        <f>ROUND(G7204*F7204,2)</f>
        <v/>
      </c>
      <c r="I7204">
        <f>IF(ROUND(H7204-D7204,2)=0,1,0)</f>
        <v/>
      </c>
      <c r="J7204">
        <f>IF(F7204="","none",IF(G7204=1,"carte","multiple"))</f>
        <v/>
      </c>
    </row>
    <row r="7205">
      <c r="A7205" t="inlineStr">
        <is>
          <t>2022-12-21</t>
        </is>
      </c>
      <c r="B7205" t="inlineStr">
        <is>
          <t>19:16</t>
        </is>
      </c>
      <c r="C7205" t="n">
        <v>3120</v>
      </c>
      <c r="D7205" s="6" t="n">
        <v>3.9</v>
      </c>
      <c r="E7205" t="n">
        <v>44466</v>
      </c>
      <c r="F7205" s="6" t="n">
        <v>3.9</v>
      </c>
      <c r="G7205" t="n">
        <v>1</v>
      </c>
      <c r="H7205" s="6">
        <f>ROUND(G7205*F7205,2)</f>
        <v/>
      </c>
      <c r="I7205">
        <f>IF(ROUND(H7205-D7205,2)=0,1,0)</f>
        <v/>
      </c>
      <c r="J7205">
        <f>IF(F7205="","none",IF(G7205=1,"carte","multiple"))</f>
        <v/>
      </c>
    </row>
    <row r="7206">
      <c r="A7206" t="inlineStr">
        <is>
          <t>2022-12-21</t>
        </is>
      </c>
      <c r="B7206" t="inlineStr">
        <is>
          <t>19:16</t>
        </is>
      </c>
      <c r="C7206" t="n">
        <v>3120</v>
      </c>
      <c r="D7206" s="6" t="n">
        <v>33.8</v>
      </c>
      <c r="E7206" t="n">
        <v>44467</v>
      </c>
      <c r="F7206" s="6" t="n">
        <v>16.9</v>
      </c>
      <c r="G7206" t="n">
        <v>2</v>
      </c>
      <c r="H7206" s="6">
        <f>ROUND(G7206*F7206,2)</f>
        <v/>
      </c>
      <c r="I7206">
        <f>IF(ROUND(H7206-D7206,2)=0,1,0)</f>
        <v/>
      </c>
      <c r="J7206">
        <f>IF(F7206="","none",IF(G7206=1,"carte","multiple"))</f>
        <v/>
      </c>
    </row>
    <row r="7207">
      <c r="A7207" t="inlineStr">
        <is>
          <t>2022-12-21</t>
        </is>
      </c>
      <c r="B7207" t="inlineStr">
        <is>
          <t>19:16</t>
        </is>
      </c>
      <c r="C7207" t="n">
        <v>3120</v>
      </c>
      <c r="D7207" s="6" t="n">
        <v>14</v>
      </c>
      <c r="E7207" t="n">
        <v>44468</v>
      </c>
      <c r="F7207" s="6" t="n">
        <v>14</v>
      </c>
      <c r="G7207" t="n">
        <v>1</v>
      </c>
      <c r="H7207" s="6">
        <f>ROUND(G7207*F7207,2)</f>
        <v/>
      </c>
      <c r="I7207">
        <f>IF(ROUND(H7207-D7207,2)=0,1,0)</f>
        <v/>
      </c>
      <c r="J7207">
        <f>IF(F7207="","none",IF(G7207=1,"carte","multiple"))</f>
        <v/>
      </c>
    </row>
    <row r="7208">
      <c r="A7208" t="inlineStr">
        <is>
          <t>2022-12-21</t>
        </is>
      </c>
      <c r="B7208" t="inlineStr">
        <is>
          <t>19:53</t>
        </is>
      </c>
      <c r="C7208" t="n">
        <v>3120</v>
      </c>
      <c r="D7208" s="6" t="n">
        <v>39.5</v>
      </c>
      <c r="E7208" t="n">
        <v>44469</v>
      </c>
      <c r="F7208" s="6" t="n">
        <v>39.5</v>
      </c>
      <c r="G7208" t="n">
        <v>1</v>
      </c>
      <c r="H7208" s="6">
        <f>ROUND(G7208*F7208,2)</f>
        <v/>
      </c>
      <c r="I7208">
        <f>IF(ROUND(H7208-D7208,2)=0,1,0)</f>
        <v/>
      </c>
      <c r="J7208">
        <f>IF(F7208="","none",IF(G7208=1,"carte","multiple"))</f>
        <v/>
      </c>
    </row>
    <row r="7209">
      <c r="A7209" t="inlineStr">
        <is>
          <t>2022-12-21</t>
        </is>
      </c>
      <c r="B7209" t="inlineStr">
        <is>
          <t>20:03</t>
        </is>
      </c>
      <c r="C7209" t="n">
        <v>3120</v>
      </c>
      <c r="D7209" s="6" t="n">
        <v>28.6</v>
      </c>
      <c r="E7209" t="n">
        <v>44470</v>
      </c>
      <c r="F7209" s="6" t="n">
        <v>28.6</v>
      </c>
      <c r="G7209" t="n">
        <v>1</v>
      </c>
      <c r="H7209" s="6">
        <f>ROUND(G7209*F7209,2)</f>
        <v/>
      </c>
      <c r="I7209">
        <f>IF(ROUND(H7209-D7209,2)=0,1,0)</f>
        <v/>
      </c>
      <c r="J7209">
        <f>IF(F7209="","none",IF(G7209=1,"carte","multiple"))</f>
        <v/>
      </c>
    </row>
    <row r="7210">
      <c r="A7210" t="inlineStr">
        <is>
          <t>2022-12-22</t>
        </is>
      </c>
      <c r="B7210" t="inlineStr">
        <is>
          <t>12:27</t>
        </is>
      </c>
      <c r="C7210" t="n">
        <v>3121</v>
      </c>
      <c r="D7210" s="6" t="n">
        <v>19</v>
      </c>
      <c r="E7210" t="n">
        <v>44473</v>
      </c>
      <c r="F7210" s="6" t="n">
        <v>19</v>
      </c>
      <c r="G7210" t="n">
        <v>1</v>
      </c>
      <c r="H7210" s="6">
        <f>ROUND(G7210*F7210,2)</f>
        <v/>
      </c>
      <c r="I7210">
        <f>IF(ROUND(H7210-D7210,2)=0,1,0)</f>
        <v/>
      </c>
      <c r="J7210">
        <f>IF(F7210="","none",IF(G7210=1,"carte","multiple"))</f>
        <v/>
      </c>
    </row>
    <row r="7211">
      <c r="A7211" t="inlineStr">
        <is>
          <t>2022-12-22</t>
        </is>
      </c>
      <c r="B7211" t="inlineStr">
        <is>
          <t>19:50</t>
        </is>
      </c>
      <c r="C7211" t="n">
        <v>3121</v>
      </c>
      <c r="D7211" s="6" t="n">
        <v>8.9</v>
      </c>
      <c r="E7211" t="n">
        <v>44475</v>
      </c>
      <c r="F7211" s="6" t="n">
        <v>8.9</v>
      </c>
      <c r="G7211" t="n">
        <v>1</v>
      </c>
      <c r="H7211" s="6">
        <f>ROUND(G7211*F7211,2)</f>
        <v/>
      </c>
      <c r="I7211">
        <f>IF(ROUND(H7211-D7211,2)=0,1,0)</f>
        <v/>
      </c>
      <c r="J7211">
        <f>IF(F7211="","none",IF(G7211=1,"carte","multiple"))</f>
        <v/>
      </c>
    </row>
    <row r="7212">
      <c r="A7212" t="inlineStr">
        <is>
          <t>2022-12-22</t>
        </is>
      </c>
      <c r="B7212" t="inlineStr">
        <is>
          <t>19:50</t>
        </is>
      </c>
      <c r="C7212" t="n">
        <v>3121</v>
      </c>
      <c r="D7212" s="6" t="n">
        <v>3.9</v>
      </c>
      <c r="E7212" t="n">
        <v>44476</v>
      </c>
      <c r="F7212" s="6" t="n">
        <v>3.9</v>
      </c>
      <c r="G7212" t="n">
        <v>1</v>
      </c>
      <c r="H7212" s="6">
        <f>ROUND(G7212*F7212,2)</f>
        <v/>
      </c>
      <c r="I7212">
        <f>IF(ROUND(H7212-D7212,2)=0,1,0)</f>
        <v/>
      </c>
      <c r="J7212">
        <f>IF(F7212="","none",IF(G7212=1,"carte","multiple"))</f>
        <v/>
      </c>
    </row>
    <row r="7213">
      <c r="A7213" t="inlineStr">
        <is>
          <t>2022-12-22</t>
        </is>
      </c>
      <c r="B7213" t="inlineStr">
        <is>
          <t>19:50</t>
        </is>
      </c>
      <c r="C7213" t="n">
        <v>3121</v>
      </c>
      <c r="D7213" s="6" t="n">
        <v>33.8</v>
      </c>
      <c r="E7213" t="n">
        <v>44477</v>
      </c>
      <c r="F7213" s="6" t="n">
        <v>16.9</v>
      </c>
      <c r="G7213" t="n">
        <v>2</v>
      </c>
      <c r="H7213" s="6">
        <f>ROUND(G7213*F7213,2)</f>
        <v/>
      </c>
      <c r="I7213">
        <f>IF(ROUND(H7213-D7213,2)=0,1,0)</f>
        <v/>
      </c>
      <c r="J7213">
        <f>IF(F7213="","none",IF(G7213=1,"carte","multiple"))</f>
        <v/>
      </c>
    </row>
    <row r="7214">
      <c r="A7214" t="inlineStr">
        <is>
          <t>2022-12-22</t>
        </is>
      </c>
      <c r="B7214" t="inlineStr">
        <is>
          <t>19:50</t>
        </is>
      </c>
      <c r="C7214" t="n">
        <v>3121</v>
      </c>
      <c r="D7214" s="6" t="n">
        <v>8</v>
      </c>
      <c r="E7214" t="n">
        <v>44478</v>
      </c>
      <c r="F7214" s="6" t="n">
        <v>8</v>
      </c>
      <c r="G7214" t="n">
        <v>1</v>
      </c>
      <c r="H7214" s="6">
        <f>ROUND(G7214*F7214,2)</f>
        <v/>
      </c>
      <c r="I7214">
        <f>IF(ROUND(H7214-D7214,2)=0,1,0)</f>
        <v/>
      </c>
      <c r="J7214">
        <f>IF(F7214="","none",IF(G7214=1,"carte","multiple"))</f>
        <v/>
      </c>
    </row>
    <row r="7215">
      <c r="A7215" t="inlineStr">
        <is>
          <t>2022-12-22</t>
        </is>
      </c>
      <c r="B7215" t="inlineStr">
        <is>
          <t>19:50</t>
        </is>
      </c>
      <c r="C7215" t="n">
        <v>3121</v>
      </c>
      <c r="D7215" s="6" t="n">
        <v>9.6</v>
      </c>
      <c r="E7215" t="n">
        <v>44479</v>
      </c>
      <c r="F7215" s="6" t="n">
        <v>9.6</v>
      </c>
      <c r="G7215" t="n">
        <v>1</v>
      </c>
      <c r="H7215" s="6">
        <f>ROUND(G7215*F7215,2)</f>
        <v/>
      </c>
      <c r="I7215">
        <f>IF(ROUND(H7215-D7215,2)=0,1,0)</f>
        <v/>
      </c>
      <c r="J7215">
        <f>IF(F7215="","none",IF(G7215=1,"carte","multiple"))</f>
        <v/>
      </c>
    </row>
    <row r="7216">
      <c r="A7216" t="inlineStr">
        <is>
          <t>2022-12-22</t>
        </is>
      </c>
      <c r="B7216" t="inlineStr">
        <is>
          <t>19:50</t>
        </is>
      </c>
      <c r="C7216" t="n">
        <v>3121</v>
      </c>
      <c r="D7216" s="6" t="n">
        <v>3.9</v>
      </c>
      <c r="E7216" t="n">
        <v>44480</v>
      </c>
      <c r="F7216" s="6" t="n">
        <v>3.9</v>
      </c>
      <c r="G7216" t="n">
        <v>1</v>
      </c>
      <c r="H7216" s="6">
        <f>ROUND(G7216*F7216,2)</f>
        <v/>
      </c>
      <c r="I7216">
        <f>IF(ROUND(H7216-D7216,2)=0,1,0)</f>
        <v/>
      </c>
      <c r="J7216">
        <f>IF(F7216="","none",IF(G7216=1,"carte","multiple"))</f>
        <v/>
      </c>
    </row>
    <row r="7217">
      <c r="A7217" t="inlineStr">
        <is>
          <t>2022-12-22</t>
        </is>
      </c>
      <c r="B7217" t="inlineStr">
        <is>
          <t>19:50</t>
        </is>
      </c>
      <c r="C7217" t="n">
        <v>3121</v>
      </c>
      <c r="D7217" s="6" t="n">
        <v>3.9</v>
      </c>
      <c r="E7217" t="n">
        <v>44481</v>
      </c>
      <c r="F7217" s="6" t="n">
        <v>3.9</v>
      </c>
      <c r="G7217" t="n">
        <v>1</v>
      </c>
      <c r="H7217" s="6">
        <f>ROUND(G7217*F7217,2)</f>
        <v/>
      </c>
      <c r="I7217">
        <f>IF(ROUND(H7217-D7217,2)=0,1,0)</f>
        <v/>
      </c>
      <c r="J7217">
        <f>IF(F7217="","none",IF(G7217=1,"carte","multiple"))</f>
        <v/>
      </c>
    </row>
    <row r="7218">
      <c r="A7218" t="inlineStr">
        <is>
          <t>2022-12-22</t>
        </is>
      </c>
      <c r="B7218" t="inlineStr">
        <is>
          <t>19:57</t>
        </is>
      </c>
      <c r="C7218" t="n">
        <v>3121</v>
      </c>
      <c r="D7218" s="6" t="n">
        <v>14.9</v>
      </c>
      <c r="E7218" t="n">
        <v>44482</v>
      </c>
      <c r="F7218" s="6" t="n">
        <v>14.9</v>
      </c>
      <c r="G7218" t="n">
        <v>1</v>
      </c>
      <c r="H7218" s="6">
        <f>ROUND(G7218*F7218,2)</f>
        <v/>
      </c>
      <c r="I7218">
        <f>IF(ROUND(H7218-D7218,2)=0,1,0)</f>
        <v/>
      </c>
      <c r="J7218">
        <f>IF(F7218="","none",IF(G7218=1,"carte","multiple"))</f>
        <v/>
      </c>
    </row>
    <row r="7219">
      <c r="A7219" t="inlineStr">
        <is>
          <t>2022-12-22</t>
        </is>
      </c>
      <c r="B7219" t="inlineStr">
        <is>
          <t>19:58</t>
        </is>
      </c>
      <c r="C7219" t="n">
        <v>3121</v>
      </c>
      <c r="D7219" s="6" t="n">
        <v>6</v>
      </c>
      <c r="E7219" t="n">
        <v>44483</v>
      </c>
      <c r="F7219" s="6" t="n">
        <v>6</v>
      </c>
      <c r="G7219" t="n">
        <v>1</v>
      </c>
      <c r="H7219" s="6">
        <f>ROUND(G7219*F7219,2)</f>
        <v/>
      </c>
      <c r="I7219">
        <f>IF(ROUND(H7219-D7219,2)=0,1,0)</f>
        <v/>
      </c>
      <c r="J7219">
        <f>IF(F7219="","none",IF(G7219=1,"carte","multiple"))</f>
        <v/>
      </c>
    </row>
    <row r="7220">
      <c r="A7220" t="inlineStr">
        <is>
          <t>2022-12-23</t>
        </is>
      </c>
      <c r="B7220" t="inlineStr">
        <is>
          <t>11:56</t>
        </is>
      </c>
      <c r="C7220" t="n">
        <v>3122</v>
      </c>
      <c r="D7220" s="6" t="n">
        <v>4.4</v>
      </c>
      <c r="E7220" t="n">
        <v>44486</v>
      </c>
      <c r="F7220" s="6" t="n">
        <v>0.4</v>
      </c>
      <c r="G7220" t="n">
        <v>11</v>
      </c>
      <c r="H7220" s="6">
        <f>ROUND(G7220*F7220,2)</f>
        <v/>
      </c>
      <c r="I7220">
        <f>IF(ROUND(H7220-D7220,2)=0,1,0)</f>
        <v/>
      </c>
      <c r="J7220">
        <f>IF(F7220="","none",IF(G7220=1,"carte","multiple"))</f>
        <v/>
      </c>
    </row>
    <row r="7221">
      <c r="A7221" t="inlineStr">
        <is>
          <t>2022-12-23</t>
        </is>
      </c>
      <c r="B7221" t="inlineStr">
        <is>
          <t>11:56</t>
        </is>
      </c>
      <c r="C7221" t="n">
        <v>3122</v>
      </c>
      <c r="D7221" s="6" t="n">
        <v>28</v>
      </c>
      <c r="E7221" t="n">
        <v>44487</v>
      </c>
      <c r="F7221" s="6" t="n">
        <v>28</v>
      </c>
      <c r="G7221" t="n">
        <v>1</v>
      </c>
      <c r="H7221" s="6">
        <f>ROUND(G7221*F7221,2)</f>
        <v/>
      </c>
      <c r="I7221">
        <f>IF(ROUND(H7221-D7221,2)=0,1,0)</f>
        <v/>
      </c>
      <c r="J7221">
        <f>IF(F7221="","none",IF(G7221=1,"carte","multiple"))</f>
        <v/>
      </c>
    </row>
    <row r="7222">
      <c r="A7222" t="inlineStr">
        <is>
          <t>2022-12-23</t>
        </is>
      </c>
      <c r="B7222" t="inlineStr">
        <is>
          <t>12:21</t>
        </is>
      </c>
      <c r="C7222" t="n">
        <v>3122</v>
      </c>
      <c r="D7222" s="6" t="n">
        <v>6.9</v>
      </c>
      <c r="E7222" t="n">
        <v>44488</v>
      </c>
      <c r="F7222" s="6" t="n">
        <v>6.9</v>
      </c>
      <c r="G7222" t="n">
        <v>1</v>
      </c>
      <c r="H7222" s="6">
        <f>ROUND(G7222*F7222,2)</f>
        <v/>
      </c>
      <c r="I7222">
        <f>IF(ROUND(H7222-D7222,2)=0,1,0)</f>
        <v/>
      </c>
      <c r="J7222">
        <f>IF(F7222="","none",IF(G7222=1,"carte","multiple"))</f>
        <v/>
      </c>
    </row>
    <row r="7223">
      <c r="A7223" t="inlineStr">
        <is>
          <t>2022-12-23</t>
        </is>
      </c>
      <c r="B7223" t="inlineStr">
        <is>
          <t>12:21</t>
        </is>
      </c>
      <c r="C7223" t="n">
        <v>3122</v>
      </c>
      <c r="D7223" s="6" t="n">
        <v>8.1</v>
      </c>
      <c r="E7223" t="n">
        <v>44489</v>
      </c>
      <c r="F7223" s="6" t="n">
        <v>8.1</v>
      </c>
      <c r="G7223" t="n">
        <v>1</v>
      </c>
      <c r="H7223" s="6">
        <f>ROUND(G7223*F7223,2)</f>
        <v/>
      </c>
      <c r="I7223">
        <f>IF(ROUND(H7223-D7223,2)=0,1,0)</f>
        <v/>
      </c>
      <c r="J7223">
        <f>IF(F7223="","none",IF(G7223=1,"carte","multiple"))</f>
        <v/>
      </c>
    </row>
    <row r="7224">
      <c r="A7224" t="inlineStr">
        <is>
          <t>2022-12-23</t>
        </is>
      </c>
      <c r="B7224" t="inlineStr">
        <is>
          <t>12:21</t>
        </is>
      </c>
      <c r="C7224" t="n">
        <v>3122</v>
      </c>
      <c r="D7224" s="6" t="n">
        <v>51.8</v>
      </c>
      <c r="E7224" t="n">
        <v>44490</v>
      </c>
      <c r="F7224" s="6" t="n">
        <v>1.4</v>
      </c>
      <c r="G7224" t="n">
        <v>37</v>
      </c>
      <c r="H7224" s="6">
        <f>ROUND(G7224*F7224,2)</f>
        <v/>
      </c>
      <c r="I7224">
        <f>IF(ROUND(H7224-D7224,2)=0,1,0)</f>
        <v/>
      </c>
      <c r="J7224">
        <f>IF(F7224="","none",IF(G7224=1,"carte","multiple"))</f>
        <v/>
      </c>
    </row>
    <row r="7225">
      <c r="A7225" t="inlineStr">
        <is>
          <t>2022-12-23</t>
        </is>
      </c>
      <c r="B7225" t="inlineStr">
        <is>
          <t>18:07</t>
        </is>
      </c>
      <c r="C7225" t="n">
        <v>3122</v>
      </c>
      <c r="D7225" s="6" t="n">
        <v>21.9</v>
      </c>
      <c r="E7225" t="n">
        <v>44492</v>
      </c>
      <c r="F7225" s="6" t="n">
        <v>21.9</v>
      </c>
      <c r="G7225" t="n">
        <v>1</v>
      </c>
      <c r="H7225" s="6">
        <f>ROUND(G7225*F7225,2)</f>
        <v/>
      </c>
      <c r="I7225">
        <f>IF(ROUND(H7225-D7225,2)=0,1,0)</f>
        <v/>
      </c>
      <c r="J7225">
        <f>IF(F7225="","none",IF(G7225=1,"carte","multiple"))</f>
        <v/>
      </c>
    </row>
    <row r="7226">
      <c r="A7226" t="inlineStr">
        <is>
          <t>2022-12-23</t>
        </is>
      </c>
      <c r="B7226" t="inlineStr">
        <is>
          <t>19:11</t>
        </is>
      </c>
      <c r="C7226" t="n">
        <v>3122</v>
      </c>
      <c r="D7226" s="6" t="n">
        <v>2</v>
      </c>
      <c r="E7226" t="n">
        <v>44493</v>
      </c>
      <c r="F7226" s="6" t="n">
        <v>2</v>
      </c>
      <c r="G7226" t="n">
        <v>1</v>
      </c>
      <c r="H7226" s="6">
        <f>ROUND(G7226*F7226,2)</f>
        <v/>
      </c>
      <c r="I7226">
        <f>IF(ROUND(H7226-D7226,2)=0,1,0)</f>
        <v/>
      </c>
      <c r="J7226">
        <f>IF(F7226="","none",IF(G7226=1,"carte","multiple"))</f>
        <v/>
      </c>
    </row>
    <row r="7227">
      <c r="A7227" t="inlineStr">
        <is>
          <t>2022-12-23</t>
        </is>
      </c>
      <c r="B7227" t="inlineStr">
        <is>
          <t>19:47</t>
        </is>
      </c>
      <c r="C7227" t="n">
        <v>3122</v>
      </c>
      <c r="D7227" s="6" t="n">
        <v>2</v>
      </c>
      <c r="E7227" t="n">
        <v>44494</v>
      </c>
      <c r="F7227" s="6" t="n">
        <v>2</v>
      </c>
      <c r="G7227" t="n">
        <v>1</v>
      </c>
      <c r="H7227" s="6">
        <f>ROUND(G7227*F7227,2)</f>
        <v/>
      </c>
      <c r="I7227">
        <f>IF(ROUND(H7227-D7227,2)=0,1,0)</f>
        <v/>
      </c>
      <c r="J7227">
        <f>IF(F7227="","none",IF(G7227=1,"carte","multiple"))</f>
        <v/>
      </c>
    </row>
    <row r="7228">
      <c r="A7228" t="inlineStr">
        <is>
          <t>2022-12-23</t>
        </is>
      </c>
      <c r="B7228" t="inlineStr">
        <is>
          <t>19:48</t>
        </is>
      </c>
      <c r="C7228" t="n">
        <v>3122</v>
      </c>
      <c r="D7228" s="6" t="n">
        <v>2</v>
      </c>
      <c r="E7228" t="n">
        <v>44495</v>
      </c>
      <c r="F7228" s="6" t="n">
        <v>2</v>
      </c>
      <c r="G7228" t="n">
        <v>1</v>
      </c>
      <c r="H7228" s="6">
        <f>ROUND(G7228*F7228,2)</f>
        <v/>
      </c>
      <c r="I7228">
        <f>IF(ROUND(H7228-D7228,2)=0,1,0)</f>
        <v/>
      </c>
      <c r="J7228">
        <f>IF(F7228="","none",IF(G7228=1,"carte","multiple"))</f>
        <v/>
      </c>
    </row>
    <row r="7229">
      <c r="A7229" t="inlineStr">
        <is>
          <t>2022-12-23</t>
        </is>
      </c>
      <c r="B7229" t="inlineStr">
        <is>
          <t>20:33</t>
        </is>
      </c>
      <c r="C7229" t="n">
        <v>3122</v>
      </c>
      <c r="D7229" s="6" t="n">
        <v>2.2</v>
      </c>
      <c r="E7229" t="n">
        <v>44496</v>
      </c>
      <c r="F7229" s="6" t="n">
        <v>2.2</v>
      </c>
      <c r="G7229" t="n">
        <v>1</v>
      </c>
      <c r="H7229" s="6">
        <f>ROUND(G7229*F7229,2)</f>
        <v/>
      </c>
      <c r="I7229">
        <f>IF(ROUND(H7229-D7229,2)=0,1,0)</f>
        <v/>
      </c>
      <c r="J7229">
        <f>IF(F7229="","none",IF(G7229=1,"carte","multiple"))</f>
        <v/>
      </c>
    </row>
    <row r="7230">
      <c r="A7230" t="inlineStr">
        <is>
          <t>2022-12-23</t>
        </is>
      </c>
      <c r="B7230" t="inlineStr">
        <is>
          <t>20:33</t>
        </is>
      </c>
      <c r="C7230" t="n">
        <v>3122</v>
      </c>
      <c r="D7230" s="6" t="n">
        <v>7.8</v>
      </c>
      <c r="E7230" t="n">
        <v>44497</v>
      </c>
      <c r="F7230" s="6" t="n">
        <v>7.8</v>
      </c>
      <c r="G7230" t="n">
        <v>1</v>
      </c>
      <c r="H7230" s="6">
        <f>ROUND(G7230*F7230,2)</f>
        <v/>
      </c>
      <c r="I7230">
        <f>IF(ROUND(H7230-D7230,2)=0,1,0)</f>
        <v/>
      </c>
      <c r="J7230">
        <f>IF(F7230="","none",IF(G7230=1,"carte","multiple"))</f>
        <v/>
      </c>
    </row>
    <row r="7231">
      <c r="A7231" t="inlineStr">
        <is>
          <t>2022-12-23</t>
        </is>
      </c>
      <c r="B7231" t="inlineStr">
        <is>
          <t>20:33</t>
        </is>
      </c>
      <c r="C7231" t="n">
        <v>3122</v>
      </c>
      <c r="D7231" s="6" t="n">
        <v>33.8</v>
      </c>
      <c r="E7231" t="n">
        <v>44498</v>
      </c>
      <c r="F7231" s="6" t="n">
        <v>16.9</v>
      </c>
      <c r="G7231" t="n">
        <v>2</v>
      </c>
      <c r="H7231" s="6">
        <f>ROUND(G7231*F7231,2)</f>
        <v/>
      </c>
      <c r="I7231">
        <f>IF(ROUND(H7231-D7231,2)=0,1,0)</f>
        <v/>
      </c>
      <c r="J7231">
        <f>IF(F7231="","none",IF(G7231=1,"carte","multiple"))</f>
        <v/>
      </c>
    </row>
    <row r="7232">
      <c r="A7232" t="inlineStr">
        <is>
          <t>2022-12-23</t>
        </is>
      </c>
      <c r="B7232" t="inlineStr">
        <is>
          <t>20:33</t>
        </is>
      </c>
      <c r="C7232" t="n">
        <v>3122</v>
      </c>
      <c r="D7232" s="6" t="n">
        <v>1.4</v>
      </c>
      <c r="E7232" t="n">
        <v>44499</v>
      </c>
      <c r="F7232" s="6" t="n">
        <v>1.4</v>
      </c>
      <c r="G7232" t="n">
        <v>1</v>
      </c>
      <c r="H7232" s="6">
        <f>ROUND(G7232*F7232,2)</f>
        <v/>
      </c>
      <c r="I7232">
        <f>IF(ROUND(H7232-D7232,2)=0,1,0)</f>
        <v/>
      </c>
      <c r="J7232">
        <f>IF(F7232="","none",IF(G7232=1,"carte","multiple"))</f>
        <v/>
      </c>
    </row>
    <row r="7233">
      <c r="A7233" t="inlineStr">
        <is>
          <t>2022-12-23</t>
        </is>
      </c>
      <c r="B7233" t="inlineStr">
        <is>
          <t>20:33</t>
        </is>
      </c>
      <c r="C7233" t="n">
        <v>3122</v>
      </c>
      <c r="D7233" s="6" t="n">
        <v>7.8</v>
      </c>
      <c r="E7233" t="n">
        <v>44500</v>
      </c>
      <c r="F7233" s="6" t="n">
        <v>7.8</v>
      </c>
      <c r="G7233" t="n">
        <v>1</v>
      </c>
      <c r="H7233" s="6">
        <f>ROUND(G7233*F7233,2)</f>
        <v/>
      </c>
      <c r="I7233">
        <f>IF(ROUND(H7233-D7233,2)=0,1,0)</f>
        <v/>
      </c>
      <c r="J7233">
        <f>IF(F7233="","none",IF(G7233=1,"carte","multiple"))</f>
        <v/>
      </c>
    </row>
    <row r="7234">
      <c r="A7234" t="inlineStr">
        <is>
          <t>2022-12-23</t>
        </is>
      </c>
      <c r="B7234" t="inlineStr">
        <is>
          <t>20:33</t>
        </is>
      </c>
      <c r="C7234" t="n">
        <v>3122</v>
      </c>
      <c r="D7234" s="6" t="n">
        <v>0.9</v>
      </c>
      <c r="E7234" t="n">
        <v>44501</v>
      </c>
      <c r="F7234" s="6" t="n">
        <v>0.9</v>
      </c>
      <c r="G7234" t="n">
        <v>1</v>
      </c>
      <c r="H7234" s="6">
        <f>ROUND(G7234*F7234,2)</f>
        <v/>
      </c>
      <c r="I7234">
        <f>IF(ROUND(H7234-D7234,2)=0,1,0)</f>
        <v/>
      </c>
      <c r="J7234">
        <f>IF(F7234="","none",IF(G7234=1,"carte","multiple"))</f>
        <v/>
      </c>
    </row>
    <row r="7235">
      <c r="A7235" t="inlineStr">
        <is>
          <t>2022-12-23</t>
        </is>
      </c>
      <c r="B7235" t="inlineStr">
        <is>
          <t>20:33</t>
        </is>
      </c>
      <c r="C7235" t="n">
        <v>3122</v>
      </c>
      <c r="D7235" s="6" t="n">
        <v>3.9</v>
      </c>
      <c r="E7235" t="n">
        <v>44502</v>
      </c>
      <c r="F7235" s="6" t="n">
        <v>3.9</v>
      </c>
      <c r="G7235" t="n">
        <v>1</v>
      </c>
      <c r="H7235" s="6">
        <f>ROUND(G7235*F7235,2)</f>
        <v/>
      </c>
      <c r="I7235">
        <f>IF(ROUND(H7235-D7235,2)=0,1,0)</f>
        <v/>
      </c>
      <c r="J7235">
        <f>IF(F7235="","none",IF(G7235=1,"carte","multiple"))</f>
        <v/>
      </c>
    </row>
    <row r="7236">
      <c r="A7236" t="inlineStr">
        <is>
          <t>2022-12-23</t>
        </is>
      </c>
      <c r="B7236" t="inlineStr">
        <is>
          <t>20:33</t>
        </is>
      </c>
      <c r="C7236" t="n">
        <v>3122</v>
      </c>
      <c r="D7236" s="6" t="n">
        <v>37.2</v>
      </c>
      <c r="E7236" t="n">
        <v>44503</v>
      </c>
      <c r="F7236" s="6" t="n">
        <v>0.4</v>
      </c>
      <c r="G7236" t="n">
        <v>93</v>
      </c>
      <c r="H7236" s="6">
        <f>ROUND(G7236*F7236,2)</f>
        <v/>
      </c>
      <c r="I7236">
        <f>IF(ROUND(H7236-D7236,2)=0,1,0)</f>
        <v/>
      </c>
      <c r="J7236">
        <f>IF(F7236="","none",IF(G7236=1,"carte","multiple"))</f>
        <v/>
      </c>
    </row>
    <row r="7237">
      <c r="A7237" t="inlineStr">
        <is>
          <t>2022-12-23</t>
        </is>
      </c>
      <c r="B7237" t="inlineStr">
        <is>
          <t>20:33</t>
        </is>
      </c>
      <c r="C7237" t="n">
        <v>3122</v>
      </c>
      <c r="D7237" s="6" t="n">
        <v>18.6</v>
      </c>
      <c r="E7237" t="n">
        <v>44504</v>
      </c>
      <c r="F7237" s="6" t="n">
        <v>18.6</v>
      </c>
      <c r="G7237" t="n">
        <v>1</v>
      </c>
      <c r="H7237" s="6">
        <f>ROUND(G7237*F7237,2)</f>
        <v/>
      </c>
      <c r="I7237">
        <f>IF(ROUND(H7237-D7237,2)=0,1,0)</f>
        <v/>
      </c>
      <c r="J7237">
        <f>IF(F7237="","none",IF(G7237=1,"carte","multiple"))</f>
        <v/>
      </c>
    </row>
    <row r="7238">
      <c r="A7238" t="inlineStr">
        <is>
          <t>2022-12-23</t>
        </is>
      </c>
      <c r="B7238" t="inlineStr">
        <is>
          <t>20:33</t>
        </is>
      </c>
      <c r="C7238" t="n">
        <v>3122</v>
      </c>
      <c r="D7238" s="6" t="n">
        <v>5.9</v>
      </c>
      <c r="E7238" t="n">
        <v>44505</v>
      </c>
      <c r="F7238" s="6" t="n">
        <v>5.9</v>
      </c>
      <c r="G7238" t="n">
        <v>1</v>
      </c>
      <c r="H7238" s="6">
        <f>ROUND(G7238*F7238,2)</f>
        <v/>
      </c>
      <c r="I7238">
        <f>IF(ROUND(H7238-D7238,2)=0,1,0)</f>
        <v/>
      </c>
      <c r="J7238">
        <f>IF(F7238="","none",IF(G7238=1,"carte","multiple"))</f>
        <v/>
      </c>
    </row>
    <row r="7239">
      <c r="A7239" t="inlineStr">
        <is>
          <t>2022-12-23</t>
        </is>
      </c>
      <c r="B7239" t="inlineStr">
        <is>
          <t>20:33</t>
        </is>
      </c>
      <c r="C7239" t="n">
        <v>3122</v>
      </c>
      <c r="D7239" s="6" t="n">
        <v>3.9</v>
      </c>
      <c r="E7239" t="n">
        <v>44506</v>
      </c>
      <c r="F7239" s="6" t="n">
        <v>3.9</v>
      </c>
      <c r="G7239" t="n">
        <v>1</v>
      </c>
      <c r="H7239" s="6">
        <f>ROUND(G7239*F7239,2)</f>
        <v/>
      </c>
      <c r="I7239">
        <f>IF(ROUND(H7239-D7239,2)=0,1,0)</f>
        <v/>
      </c>
      <c r="J7239">
        <f>IF(F7239="","none",IF(G7239=1,"carte","multiple"))</f>
        <v/>
      </c>
    </row>
    <row r="7240">
      <c r="A7240" t="inlineStr">
        <is>
          <t>2022-12-23</t>
        </is>
      </c>
      <c r="B7240" t="inlineStr">
        <is>
          <t>20:33</t>
        </is>
      </c>
      <c r="C7240" t="n">
        <v>3122</v>
      </c>
      <c r="D7240" s="6" t="n">
        <v>29.7</v>
      </c>
      <c r="E7240" t="n">
        <v>44507</v>
      </c>
      <c r="F7240" s="6" t="n">
        <v>0.9</v>
      </c>
      <c r="G7240" t="n">
        <v>33</v>
      </c>
      <c r="H7240" s="6">
        <f>ROUND(G7240*F7240,2)</f>
        <v/>
      </c>
      <c r="I7240">
        <f>IF(ROUND(H7240-D7240,2)=0,1,0)</f>
        <v/>
      </c>
      <c r="J7240">
        <f>IF(F7240="","none",IF(G7240=1,"carte","multiple"))</f>
        <v/>
      </c>
    </row>
    <row r="7241">
      <c r="A7241" t="inlineStr">
        <is>
          <t>2022-12-23</t>
        </is>
      </c>
      <c r="B7241" t="inlineStr">
        <is>
          <t>20:33</t>
        </is>
      </c>
      <c r="C7241" t="n">
        <v>3122</v>
      </c>
      <c r="D7241" s="6" t="n">
        <v>29.4</v>
      </c>
      <c r="E7241" t="n">
        <v>44508</v>
      </c>
      <c r="F7241" s="6" t="n">
        <v>1.4</v>
      </c>
      <c r="G7241" t="n">
        <v>21</v>
      </c>
      <c r="H7241" s="6">
        <f>ROUND(G7241*F7241,2)</f>
        <v/>
      </c>
      <c r="I7241">
        <f>IF(ROUND(H7241-D7241,2)=0,1,0)</f>
        <v/>
      </c>
      <c r="J7241">
        <f>IF(F7241="","none",IF(G7241=1,"carte","multiple"))</f>
        <v/>
      </c>
    </row>
    <row r="7242">
      <c r="A7242" t="inlineStr">
        <is>
          <t>2022-12-23</t>
        </is>
      </c>
      <c r="B7242" t="inlineStr">
        <is>
          <t>20:33</t>
        </is>
      </c>
      <c r="C7242" t="n">
        <v>3122</v>
      </c>
      <c r="D7242" s="6" t="n">
        <v>15.6</v>
      </c>
      <c r="E7242" t="n">
        <v>44509</v>
      </c>
      <c r="F7242" s="6" t="n">
        <v>15.6</v>
      </c>
      <c r="G7242" t="n">
        <v>1</v>
      </c>
      <c r="H7242" s="6">
        <f>ROUND(G7242*F7242,2)</f>
        <v/>
      </c>
      <c r="I7242">
        <f>IF(ROUND(H7242-D7242,2)=0,1,0)</f>
        <v/>
      </c>
      <c r="J7242">
        <f>IF(F7242="","none",IF(G7242=1,"carte","multiple"))</f>
        <v/>
      </c>
    </row>
    <row r="7243">
      <c r="A7243" t="inlineStr">
        <is>
          <t>2022-12-28</t>
        </is>
      </c>
      <c r="B7243" t="inlineStr">
        <is>
          <t>11:13</t>
        </is>
      </c>
      <c r="C7243" t="n">
        <v>3123</v>
      </c>
      <c r="D7243" s="6" t="n">
        <v>4.9</v>
      </c>
      <c r="E7243" t="n">
        <v>44512</v>
      </c>
      <c r="F7243" s="6" t="n">
        <v>4.9</v>
      </c>
      <c r="G7243" t="n">
        <v>1</v>
      </c>
      <c r="H7243" s="6">
        <f>ROUND(G7243*F7243,2)</f>
        <v/>
      </c>
      <c r="I7243">
        <f>IF(ROUND(H7243-D7243,2)=0,1,0)</f>
        <v/>
      </c>
      <c r="J7243">
        <f>IF(F7243="","none",IF(G7243=1,"carte","multiple"))</f>
        <v/>
      </c>
    </row>
    <row r="7244">
      <c r="A7244" t="inlineStr">
        <is>
          <t>2022-12-28</t>
        </is>
      </c>
      <c r="B7244" t="inlineStr">
        <is>
          <t>16:46</t>
        </is>
      </c>
      <c r="C7244" t="n">
        <v>3123</v>
      </c>
      <c r="D7244" s="6" t="n">
        <v>6.6</v>
      </c>
      <c r="E7244" t="n">
        <v>44513</v>
      </c>
      <c r="F7244" s="6" t="n">
        <v>6.6</v>
      </c>
      <c r="G7244" t="n">
        <v>1</v>
      </c>
      <c r="H7244" s="6">
        <f>ROUND(G7244*F7244,2)</f>
        <v/>
      </c>
      <c r="I7244">
        <f>IF(ROUND(H7244-D7244,2)=0,1,0)</f>
        <v/>
      </c>
      <c r="J7244">
        <f>IF(F7244="","none",IF(G7244=1,"carte","multiple"))</f>
        <v/>
      </c>
    </row>
    <row r="7245">
      <c r="A7245" t="inlineStr">
        <is>
          <t>2022-12-28</t>
        </is>
      </c>
      <c r="B7245" t="inlineStr">
        <is>
          <t>16:46</t>
        </is>
      </c>
      <c r="C7245" t="n">
        <v>3123</v>
      </c>
      <c r="D7245" s="6" t="n">
        <v>170</v>
      </c>
      <c r="E7245" t="n">
        <v>44514</v>
      </c>
      <c r="F7245" s="6" t="n">
        <v>0.4</v>
      </c>
      <c r="G7245" t="n">
        <v>425</v>
      </c>
      <c r="H7245" s="6">
        <f>ROUND(G7245*F7245,2)</f>
        <v/>
      </c>
      <c r="I7245">
        <f>IF(ROUND(H7245-D7245,2)=0,1,0)</f>
        <v/>
      </c>
      <c r="J7245">
        <f>IF(F7245="","none",IF(G7245=1,"carte","multiple"))</f>
        <v/>
      </c>
    </row>
    <row r="7246">
      <c r="A7246" t="inlineStr">
        <is>
          <t>2022-12-28</t>
        </is>
      </c>
      <c r="B7246" t="inlineStr">
        <is>
          <t>16:46</t>
        </is>
      </c>
      <c r="C7246" t="n">
        <v>3123</v>
      </c>
      <c r="D7246" s="6" t="n">
        <v>34</v>
      </c>
      <c r="E7246" t="n">
        <v>44515</v>
      </c>
      <c r="F7246" s="6" t="n">
        <v>34</v>
      </c>
      <c r="G7246" t="n">
        <v>1</v>
      </c>
      <c r="H7246" s="6">
        <f>ROUND(G7246*F7246,2)</f>
        <v/>
      </c>
      <c r="I7246">
        <f>IF(ROUND(H7246-D7246,2)=0,1,0)</f>
        <v/>
      </c>
      <c r="J7246">
        <f>IF(F7246="","none",IF(G7246=1,"carte","multiple"))</f>
        <v/>
      </c>
    </row>
    <row r="7247">
      <c r="A7247" t="inlineStr">
        <is>
          <t>2022-12-28</t>
        </is>
      </c>
      <c r="B7247" t="inlineStr">
        <is>
          <t>16:46</t>
        </is>
      </c>
      <c r="C7247" t="n">
        <v>3123</v>
      </c>
      <c r="D7247" s="6" t="n">
        <v>3.6</v>
      </c>
      <c r="E7247" t="n">
        <v>44516</v>
      </c>
      <c r="F7247" s="6" t="n">
        <v>3.6</v>
      </c>
      <c r="G7247" t="n">
        <v>1</v>
      </c>
      <c r="H7247" s="6">
        <f>ROUND(G7247*F7247,2)</f>
        <v/>
      </c>
      <c r="I7247">
        <f>IF(ROUND(H7247-D7247,2)=0,1,0)</f>
        <v/>
      </c>
      <c r="J7247">
        <f>IF(F7247="","none",IF(G7247=1,"carte","multiple"))</f>
        <v/>
      </c>
    </row>
    <row r="7248">
      <c r="A7248" t="inlineStr">
        <is>
          <t>2022-12-28</t>
        </is>
      </c>
      <c r="B7248" t="inlineStr">
        <is>
          <t>16:46</t>
        </is>
      </c>
      <c r="C7248" t="n">
        <v>3123</v>
      </c>
      <c r="D7248" s="6" t="n">
        <v>13.4</v>
      </c>
      <c r="E7248" t="n">
        <v>44517</v>
      </c>
      <c r="F7248" s="6" t="n">
        <v>13.4</v>
      </c>
      <c r="G7248" t="n">
        <v>1</v>
      </c>
      <c r="H7248" s="6">
        <f>ROUND(G7248*F7248,2)</f>
        <v/>
      </c>
      <c r="I7248">
        <f>IF(ROUND(H7248-D7248,2)=0,1,0)</f>
        <v/>
      </c>
      <c r="J7248">
        <f>IF(F7248="","none",IF(G7248=1,"carte","multiple"))</f>
        <v/>
      </c>
    </row>
    <row r="7249">
      <c r="A7249" t="inlineStr">
        <is>
          <t>2022-12-28</t>
        </is>
      </c>
      <c r="B7249" t="inlineStr">
        <is>
          <t>16:46</t>
        </is>
      </c>
      <c r="C7249" t="n">
        <v>3123</v>
      </c>
      <c r="D7249" s="6" t="n">
        <v>4.9</v>
      </c>
      <c r="E7249" t="n">
        <v>44518</v>
      </c>
      <c r="F7249" s="6" t="n">
        <v>4.9</v>
      </c>
      <c r="G7249" t="n">
        <v>1</v>
      </c>
      <c r="H7249" s="6">
        <f>ROUND(G7249*F7249,2)</f>
        <v/>
      </c>
      <c r="I7249">
        <f>IF(ROUND(H7249-D7249,2)=0,1,0)</f>
        <v/>
      </c>
      <c r="J7249">
        <f>IF(F7249="","none",IF(G7249=1,"carte","multiple"))</f>
        <v/>
      </c>
    </row>
    <row r="7250">
      <c r="A7250" t="inlineStr">
        <is>
          <t>2022-12-28</t>
        </is>
      </c>
      <c r="B7250" t="inlineStr">
        <is>
          <t>16:46</t>
        </is>
      </c>
      <c r="C7250" t="n">
        <v>3123</v>
      </c>
      <c r="D7250" s="6" t="n">
        <v>5.2</v>
      </c>
      <c r="E7250" t="n">
        <v>44519</v>
      </c>
      <c r="F7250" s="6" t="n">
        <v>5.2</v>
      </c>
      <c r="G7250" t="n">
        <v>1</v>
      </c>
      <c r="H7250" s="6">
        <f>ROUND(G7250*F7250,2)</f>
        <v/>
      </c>
      <c r="I7250">
        <f>IF(ROUND(H7250-D7250,2)=0,1,0)</f>
        <v/>
      </c>
      <c r="J7250">
        <f>IF(F7250="","none",IF(G7250=1,"carte","multiple"))</f>
        <v/>
      </c>
    </row>
    <row r="7251">
      <c r="A7251" t="inlineStr">
        <is>
          <t>2022-12-28</t>
        </is>
      </c>
      <c r="B7251" t="inlineStr">
        <is>
          <t>16:46</t>
        </is>
      </c>
      <c r="C7251" t="n">
        <v>3123</v>
      </c>
      <c r="D7251" s="6" t="n">
        <v>3.9</v>
      </c>
      <c r="E7251" t="n">
        <v>44520</v>
      </c>
      <c r="F7251" s="6" t="n">
        <v>3.9</v>
      </c>
      <c r="G7251" t="n">
        <v>1</v>
      </c>
      <c r="H7251" s="6">
        <f>ROUND(G7251*F7251,2)</f>
        <v/>
      </c>
      <c r="I7251">
        <f>IF(ROUND(H7251-D7251,2)=0,1,0)</f>
        <v/>
      </c>
      <c r="J7251">
        <f>IF(F7251="","none",IF(G7251=1,"carte","multiple"))</f>
        <v/>
      </c>
    </row>
    <row r="7252">
      <c r="A7252" t="inlineStr">
        <is>
          <t>2022-12-28</t>
        </is>
      </c>
      <c r="B7252" t="inlineStr">
        <is>
          <t>16:46</t>
        </is>
      </c>
      <c r="C7252" t="n">
        <v>3123</v>
      </c>
      <c r="D7252" s="6" t="n">
        <v>8.4</v>
      </c>
      <c r="E7252" t="n">
        <v>44521</v>
      </c>
      <c r="F7252" s="6" t="n">
        <v>8.4</v>
      </c>
      <c r="G7252" t="n">
        <v>1</v>
      </c>
      <c r="H7252" s="6">
        <f>ROUND(G7252*F7252,2)</f>
        <v/>
      </c>
      <c r="I7252">
        <f>IF(ROUND(H7252-D7252,2)=0,1,0)</f>
        <v/>
      </c>
      <c r="J7252">
        <f>IF(F7252="","none",IF(G7252=1,"carte","multiple"))</f>
        <v/>
      </c>
    </row>
    <row r="7253">
      <c r="A7253" t="inlineStr">
        <is>
          <t>2022-12-28</t>
        </is>
      </c>
      <c r="B7253" t="inlineStr">
        <is>
          <t>16:46</t>
        </is>
      </c>
      <c r="C7253" t="n">
        <v>3123</v>
      </c>
      <c r="D7253" s="6" t="n">
        <v>4.5</v>
      </c>
      <c r="E7253" t="n">
        <v>44522</v>
      </c>
      <c r="F7253" s="6" t="n">
        <v>4.5</v>
      </c>
      <c r="G7253" t="n">
        <v>1</v>
      </c>
      <c r="H7253" s="6">
        <f>ROUND(G7253*F7253,2)</f>
        <v/>
      </c>
      <c r="I7253">
        <f>IF(ROUND(H7253-D7253,2)=0,1,0)</f>
        <v/>
      </c>
      <c r="J7253">
        <f>IF(F7253="","none",IF(G7253=1,"carte","multiple"))</f>
        <v/>
      </c>
    </row>
    <row r="7254">
      <c r="A7254" t="inlineStr">
        <is>
          <t>2022-12-28</t>
        </is>
      </c>
      <c r="B7254" t="inlineStr">
        <is>
          <t>19:25</t>
        </is>
      </c>
      <c r="C7254" t="n">
        <v>3123</v>
      </c>
      <c r="D7254" s="6" t="n">
        <v>19</v>
      </c>
      <c r="E7254" t="n">
        <v>44524</v>
      </c>
      <c r="F7254" s="6" t="n">
        <v>19</v>
      </c>
      <c r="G7254" t="n">
        <v>1</v>
      </c>
      <c r="H7254" s="6">
        <f>ROUND(G7254*F7254,2)</f>
        <v/>
      </c>
      <c r="I7254">
        <f>IF(ROUND(H7254-D7254,2)=0,1,0)</f>
        <v/>
      </c>
      <c r="J7254">
        <f>IF(F7254="","none",IF(G7254=1,"carte","multiple"))</f>
        <v/>
      </c>
    </row>
    <row r="7255">
      <c r="A7255" t="inlineStr">
        <is>
          <t>2022-12-28</t>
        </is>
      </c>
      <c r="B7255" t="inlineStr">
        <is>
          <t>19:25</t>
        </is>
      </c>
      <c r="C7255" t="n">
        <v>3123</v>
      </c>
      <c r="D7255" s="6" t="n">
        <v>18.6</v>
      </c>
      <c r="E7255" t="n">
        <v>44525</v>
      </c>
      <c r="F7255" s="6" t="n">
        <v>18.6</v>
      </c>
      <c r="G7255" t="n">
        <v>1</v>
      </c>
      <c r="H7255" s="6">
        <f>ROUND(G7255*F7255,2)</f>
        <v/>
      </c>
      <c r="I7255">
        <f>IF(ROUND(H7255-D7255,2)=0,1,0)</f>
        <v/>
      </c>
      <c r="J7255">
        <f>IF(F7255="","none",IF(G7255=1,"carte","multiple"))</f>
        <v/>
      </c>
    </row>
    <row r="7256">
      <c r="A7256" t="inlineStr">
        <is>
          <t>2022-12-28</t>
        </is>
      </c>
      <c r="B7256" t="inlineStr">
        <is>
          <t>19:25</t>
        </is>
      </c>
      <c r="C7256" t="n">
        <v>3123</v>
      </c>
      <c r="D7256" s="6" t="n">
        <v>34</v>
      </c>
      <c r="E7256" t="n">
        <v>44526</v>
      </c>
      <c r="F7256" s="6" t="n">
        <v>34</v>
      </c>
      <c r="G7256" t="n">
        <v>1</v>
      </c>
      <c r="H7256" s="6">
        <f>ROUND(G7256*F7256,2)</f>
        <v/>
      </c>
      <c r="I7256">
        <f>IF(ROUND(H7256-D7256,2)=0,1,0)</f>
        <v/>
      </c>
      <c r="J7256">
        <f>IF(F7256="","none",IF(G7256=1,"carte","multiple"))</f>
        <v/>
      </c>
    </row>
    <row r="7257">
      <c r="A7257" t="inlineStr">
        <is>
          <t>2022-12-28</t>
        </is>
      </c>
      <c r="B7257" t="inlineStr">
        <is>
          <t>19:25</t>
        </is>
      </c>
      <c r="C7257" t="n">
        <v>3123</v>
      </c>
      <c r="D7257" s="6" t="n">
        <v>3.8</v>
      </c>
      <c r="E7257" t="n">
        <v>44527</v>
      </c>
      <c r="F7257" s="6" t="n">
        <v>3.8</v>
      </c>
      <c r="G7257" t="n">
        <v>1</v>
      </c>
      <c r="H7257" s="6">
        <f>ROUND(G7257*F7257,2)</f>
        <v/>
      </c>
      <c r="I7257">
        <f>IF(ROUND(H7257-D7257,2)=0,1,0)</f>
        <v/>
      </c>
      <c r="J7257">
        <f>IF(F7257="","none",IF(G7257=1,"carte","multiple"))</f>
        <v/>
      </c>
    </row>
    <row r="7258">
      <c r="A7258" t="inlineStr">
        <is>
          <t>2022-12-28</t>
        </is>
      </c>
      <c r="B7258" t="inlineStr">
        <is>
          <t>19:25</t>
        </is>
      </c>
      <c r="C7258" t="n">
        <v>3123</v>
      </c>
      <c r="D7258" s="6" t="n">
        <v>4.9</v>
      </c>
      <c r="E7258" t="n">
        <v>44528</v>
      </c>
      <c r="F7258" s="6" t="n">
        <v>4.9</v>
      </c>
      <c r="G7258" t="n">
        <v>1</v>
      </c>
      <c r="H7258" s="6">
        <f>ROUND(G7258*F7258,2)</f>
        <v/>
      </c>
      <c r="I7258">
        <f>IF(ROUND(H7258-D7258,2)=0,1,0)</f>
        <v/>
      </c>
      <c r="J7258">
        <f>IF(F7258="","none",IF(G7258=1,"carte","multiple"))</f>
        <v/>
      </c>
    </row>
    <row r="7259">
      <c r="A7259" t="inlineStr">
        <is>
          <t>2022-12-28</t>
        </is>
      </c>
      <c r="B7259" t="inlineStr">
        <is>
          <t>19:26</t>
        </is>
      </c>
      <c r="C7259" t="n">
        <v>3123</v>
      </c>
      <c r="D7259" s="6" t="n">
        <v>33.8</v>
      </c>
      <c r="E7259" t="n">
        <v>44529</v>
      </c>
      <c r="F7259" s="6" t="n">
        <v>16.9</v>
      </c>
      <c r="G7259" t="n">
        <v>2</v>
      </c>
      <c r="H7259" s="6">
        <f>ROUND(G7259*F7259,2)</f>
        <v/>
      </c>
      <c r="I7259">
        <f>IF(ROUND(H7259-D7259,2)=0,1,0)</f>
        <v/>
      </c>
      <c r="J7259">
        <f>IF(F7259="","none",IF(G7259=1,"carte","multiple"))</f>
        <v/>
      </c>
    </row>
    <row r="7260">
      <c r="A7260" t="inlineStr">
        <is>
          <t>2022-12-28</t>
        </is>
      </c>
      <c r="B7260" t="inlineStr">
        <is>
          <t>19:26</t>
        </is>
      </c>
      <c r="C7260" t="n">
        <v>3123</v>
      </c>
      <c r="D7260" s="6" t="n">
        <v>59.8</v>
      </c>
      <c r="E7260" t="n">
        <v>44530</v>
      </c>
      <c r="F7260" s="6" t="n">
        <v>4.6</v>
      </c>
      <c r="G7260" t="n">
        <v>13</v>
      </c>
      <c r="H7260" s="6">
        <f>ROUND(G7260*F7260,2)</f>
        <v/>
      </c>
      <c r="I7260">
        <f>IF(ROUND(H7260-D7260,2)=0,1,0)</f>
        <v/>
      </c>
      <c r="J7260">
        <f>IF(F7260="","none",IF(G7260=1,"carte","multiple"))</f>
        <v/>
      </c>
    </row>
    <row r="7261">
      <c r="A7261" t="inlineStr">
        <is>
          <t>2022-12-28</t>
        </is>
      </c>
      <c r="B7261" t="inlineStr">
        <is>
          <t>19:40</t>
        </is>
      </c>
      <c r="C7261" t="n">
        <v>3123</v>
      </c>
      <c r="D7261" s="6" t="n">
        <v>3.9</v>
      </c>
      <c r="E7261" t="n">
        <v>44531</v>
      </c>
      <c r="F7261" s="6" t="n">
        <v>3.9</v>
      </c>
      <c r="G7261" t="n">
        <v>1</v>
      </c>
      <c r="H7261" s="6">
        <f>ROUND(G7261*F7261,2)</f>
        <v/>
      </c>
      <c r="I7261">
        <f>IF(ROUND(H7261-D7261,2)=0,1,0)</f>
        <v/>
      </c>
      <c r="J7261">
        <f>IF(F7261="","none",IF(G7261=1,"carte","multiple"))</f>
        <v/>
      </c>
    </row>
    <row r="7262">
      <c r="A7262" t="inlineStr">
        <is>
          <t>2022-12-28</t>
        </is>
      </c>
      <c r="B7262" t="inlineStr">
        <is>
          <t>19:41</t>
        </is>
      </c>
      <c r="C7262" t="n">
        <v>3123</v>
      </c>
      <c r="D7262" s="6" t="n">
        <v>4</v>
      </c>
      <c r="E7262" t="n">
        <v>44532</v>
      </c>
      <c r="F7262" s="6" t="n">
        <v>4</v>
      </c>
      <c r="G7262" t="n">
        <v>1</v>
      </c>
      <c r="H7262" s="6">
        <f>ROUND(G7262*F7262,2)</f>
        <v/>
      </c>
      <c r="I7262">
        <f>IF(ROUND(H7262-D7262,2)=0,1,0)</f>
        <v/>
      </c>
      <c r="J7262">
        <f>IF(F7262="","none",IF(G7262=1,"carte","multiple"))</f>
        <v/>
      </c>
    </row>
    <row r="7263">
      <c r="A7263" t="inlineStr">
        <is>
          <t>2022-12-28</t>
        </is>
      </c>
      <c r="B7263" t="inlineStr">
        <is>
          <t>20:24</t>
        </is>
      </c>
      <c r="C7263" t="n">
        <v>3123</v>
      </c>
      <c r="D7263" s="6" t="n">
        <v>4.4</v>
      </c>
      <c r="E7263" t="n">
        <v>44533</v>
      </c>
      <c r="F7263" s="6" t="n">
        <v>0.4</v>
      </c>
      <c r="G7263" t="n">
        <v>11</v>
      </c>
      <c r="H7263" s="6">
        <f>ROUND(G7263*F7263,2)</f>
        <v/>
      </c>
      <c r="I7263">
        <f>IF(ROUND(H7263-D7263,2)=0,1,0)</f>
        <v/>
      </c>
      <c r="J7263">
        <f>IF(F7263="","none",IF(G7263=1,"carte","multiple"))</f>
        <v/>
      </c>
    </row>
    <row r="7264">
      <c r="A7264" t="inlineStr">
        <is>
          <t>2022-12-28</t>
        </is>
      </c>
      <c r="B7264" t="inlineStr">
        <is>
          <t>20:24</t>
        </is>
      </c>
      <c r="C7264" t="n">
        <v>3123</v>
      </c>
      <c r="D7264" s="6" t="n">
        <v>3.4</v>
      </c>
      <c r="E7264" t="n">
        <v>44534</v>
      </c>
      <c r="F7264" s="6" t="n">
        <v>3.4</v>
      </c>
      <c r="G7264" t="n">
        <v>1</v>
      </c>
      <c r="H7264" s="6">
        <f>ROUND(G7264*F7264,2)</f>
        <v/>
      </c>
      <c r="I7264">
        <f>IF(ROUND(H7264-D7264,2)=0,1,0)</f>
        <v/>
      </c>
      <c r="J7264">
        <f>IF(F7264="","none",IF(G7264=1,"carte","multiple"))</f>
        <v/>
      </c>
    </row>
    <row r="7265">
      <c r="A7265" t="inlineStr">
        <is>
          <t>2022-12-28</t>
        </is>
      </c>
      <c r="B7265" t="inlineStr">
        <is>
          <t>20:24</t>
        </is>
      </c>
      <c r="C7265" t="n">
        <v>3123</v>
      </c>
      <c r="D7265" s="6" t="n">
        <v>6.9</v>
      </c>
      <c r="E7265" t="n">
        <v>44535</v>
      </c>
      <c r="F7265" s="6" t="n">
        <v>6.9</v>
      </c>
      <c r="G7265" t="n">
        <v>1</v>
      </c>
      <c r="H7265" s="6">
        <f>ROUND(G7265*F7265,2)</f>
        <v/>
      </c>
      <c r="I7265">
        <f>IF(ROUND(H7265-D7265,2)=0,1,0)</f>
        <v/>
      </c>
      <c r="J7265">
        <f>IF(F7265="","none",IF(G7265=1,"carte","multiple"))</f>
        <v/>
      </c>
    </row>
    <row r="7266">
      <c r="A7266" t="inlineStr">
        <is>
          <t>2022-12-28</t>
        </is>
      </c>
      <c r="B7266" t="inlineStr">
        <is>
          <t>20:24</t>
        </is>
      </c>
      <c r="C7266" t="n">
        <v>3123</v>
      </c>
      <c r="D7266" s="6" t="n">
        <v>1.8</v>
      </c>
      <c r="E7266" t="n">
        <v>44536</v>
      </c>
      <c r="F7266" s="6" t="n">
        <v>1.8</v>
      </c>
      <c r="G7266" t="n">
        <v>1</v>
      </c>
      <c r="H7266" s="6">
        <f>ROUND(G7266*F7266,2)</f>
        <v/>
      </c>
      <c r="I7266">
        <f>IF(ROUND(H7266-D7266,2)=0,1,0)</f>
        <v/>
      </c>
      <c r="J7266">
        <f>IF(F7266="","none",IF(G7266=1,"carte","multiple"))</f>
        <v/>
      </c>
    </row>
    <row r="7267">
      <c r="A7267" t="inlineStr">
        <is>
          <t>2022-12-28</t>
        </is>
      </c>
      <c r="B7267" t="inlineStr">
        <is>
          <t>20:24</t>
        </is>
      </c>
      <c r="C7267" t="n">
        <v>3123</v>
      </c>
      <c r="D7267" s="6" t="n">
        <v>3.9</v>
      </c>
      <c r="E7267" t="n">
        <v>44537</v>
      </c>
      <c r="F7267" s="6" t="n">
        <v>3.9</v>
      </c>
      <c r="G7267" t="n">
        <v>1</v>
      </c>
      <c r="H7267" s="6">
        <f>ROUND(G7267*F7267,2)</f>
        <v/>
      </c>
      <c r="I7267">
        <f>IF(ROUND(H7267-D7267,2)=0,1,0)</f>
        <v/>
      </c>
      <c r="J7267">
        <f>IF(F7267="","none",IF(G7267=1,"carte","multiple"))</f>
        <v/>
      </c>
    </row>
    <row r="7268">
      <c r="A7268" t="inlineStr">
        <is>
          <t>2022-12-28</t>
        </is>
      </c>
      <c r="B7268" t="inlineStr">
        <is>
          <t>20:24</t>
        </is>
      </c>
      <c r="C7268" t="n">
        <v>3123</v>
      </c>
      <c r="D7268" s="6" t="n">
        <v>4.7</v>
      </c>
      <c r="E7268" t="n">
        <v>44538</v>
      </c>
      <c r="F7268" s="6" t="n">
        <v>4.7</v>
      </c>
      <c r="G7268" t="n">
        <v>1</v>
      </c>
      <c r="H7268" s="6">
        <f>ROUND(G7268*F7268,2)</f>
        <v/>
      </c>
      <c r="I7268">
        <f>IF(ROUND(H7268-D7268,2)=0,1,0)</f>
        <v/>
      </c>
      <c r="J7268">
        <f>IF(F7268="","none",IF(G7268=1,"carte","multiple"))</f>
        <v/>
      </c>
    </row>
    <row r="7269">
      <c r="A7269" t="inlineStr">
        <is>
          <t>2022-12-28</t>
        </is>
      </c>
      <c r="B7269" t="inlineStr">
        <is>
          <t>20:24</t>
        </is>
      </c>
      <c r="C7269" t="n">
        <v>3123</v>
      </c>
      <c r="D7269" s="6" t="n">
        <v>14</v>
      </c>
      <c r="E7269" t="n">
        <v>44539</v>
      </c>
      <c r="F7269" s="6" t="n">
        <v>14</v>
      </c>
      <c r="G7269" t="n">
        <v>1</v>
      </c>
      <c r="H7269" s="6">
        <f>ROUND(G7269*F7269,2)</f>
        <v/>
      </c>
      <c r="I7269">
        <f>IF(ROUND(H7269-D7269,2)=0,1,0)</f>
        <v/>
      </c>
      <c r="J7269">
        <f>IF(F7269="","none",IF(G7269=1,"carte","multiple"))</f>
        <v/>
      </c>
    </row>
    <row r="7270">
      <c r="A7270" t="inlineStr">
        <is>
          <t>2022-12-28</t>
        </is>
      </c>
      <c r="B7270" t="inlineStr">
        <is>
          <t>20:24</t>
        </is>
      </c>
      <c r="C7270" t="n">
        <v>3123</v>
      </c>
      <c r="D7270" s="6" t="n">
        <v>5.9</v>
      </c>
      <c r="E7270" t="n">
        <v>44540</v>
      </c>
      <c r="F7270" s="6" t="n">
        <v>5.9</v>
      </c>
      <c r="G7270" t="n">
        <v>1</v>
      </c>
      <c r="H7270" s="6">
        <f>ROUND(G7270*F7270,2)</f>
        <v/>
      </c>
      <c r="I7270">
        <f>IF(ROUND(H7270-D7270,2)=0,1,0)</f>
        <v/>
      </c>
      <c r="J7270">
        <f>IF(F7270="","none",IF(G7270=1,"carte","multiple"))</f>
        <v/>
      </c>
    </row>
    <row r="7271">
      <c r="A7271" t="inlineStr">
        <is>
          <t>2022-12-28</t>
        </is>
      </c>
      <c r="B7271" t="inlineStr">
        <is>
          <t>20:24</t>
        </is>
      </c>
      <c r="C7271" t="n">
        <v>3123</v>
      </c>
      <c r="D7271" s="6" t="n">
        <v>8.9</v>
      </c>
      <c r="E7271" t="n">
        <v>44541</v>
      </c>
      <c r="F7271" s="6" t="n">
        <v>8.9</v>
      </c>
      <c r="G7271" t="n">
        <v>1</v>
      </c>
      <c r="H7271" s="6">
        <f>ROUND(G7271*F7271,2)</f>
        <v/>
      </c>
      <c r="I7271">
        <f>IF(ROUND(H7271-D7271,2)=0,1,0)</f>
        <v/>
      </c>
      <c r="J7271">
        <f>IF(F7271="","none",IF(G7271=1,"carte","multiple"))</f>
        <v/>
      </c>
    </row>
    <row r="7272">
      <c r="A7272" t="inlineStr">
        <is>
          <t>2022-12-28</t>
        </is>
      </c>
      <c r="B7272" t="inlineStr">
        <is>
          <t>20:24</t>
        </is>
      </c>
      <c r="C7272" t="n">
        <v>3123</v>
      </c>
      <c r="D7272" s="6" t="n">
        <v>50.7</v>
      </c>
      <c r="E7272" t="n">
        <v>44542</v>
      </c>
      <c r="F7272" s="6" t="n">
        <v>3.9</v>
      </c>
      <c r="G7272" t="n">
        <v>13</v>
      </c>
      <c r="H7272" s="6">
        <f>ROUND(G7272*F7272,2)</f>
        <v/>
      </c>
      <c r="I7272">
        <f>IF(ROUND(H7272-D7272,2)=0,1,0)</f>
        <v/>
      </c>
      <c r="J7272">
        <f>IF(F7272="","none",IF(G7272=1,"carte","multiple"))</f>
        <v/>
      </c>
    </row>
    <row r="7273">
      <c r="A7273" t="inlineStr">
        <is>
          <t>2022-12-28</t>
        </is>
      </c>
      <c r="B7273" t="inlineStr">
        <is>
          <t>20:24</t>
        </is>
      </c>
      <c r="C7273" t="n">
        <v>3123</v>
      </c>
      <c r="D7273" s="6" t="n">
        <v>18.6</v>
      </c>
      <c r="E7273" t="n">
        <v>44543</v>
      </c>
      <c r="F7273" s="6" t="n">
        <v>18.6</v>
      </c>
      <c r="G7273" t="n">
        <v>1</v>
      </c>
      <c r="H7273" s="6">
        <f>ROUND(G7273*F7273,2)</f>
        <v/>
      </c>
      <c r="I7273">
        <f>IF(ROUND(H7273-D7273,2)=0,1,0)</f>
        <v/>
      </c>
      <c r="J7273">
        <f>IF(F7273="","none",IF(G7273=1,"carte","multiple"))</f>
        <v/>
      </c>
    </row>
    <row r="7274">
      <c r="A7274" t="inlineStr">
        <is>
          <t>2022-12-28</t>
        </is>
      </c>
      <c r="B7274" t="inlineStr">
        <is>
          <t>20:24</t>
        </is>
      </c>
      <c r="C7274" t="n">
        <v>3123</v>
      </c>
      <c r="D7274" s="6" t="n">
        <v>3.2</v>
      </c>
      <c r="E7274" t="n">
        <v>44544</v>
      </c>
      <c r="F7274" s="6" t="n">
        <v>3.2</v>
      </c>
      <c r="G7274" t="n">
        <v>1</v>
      </c>
      <c r="H7274" s="6">
        <f>ROUND(G7274*F7274,2)</f>
        <v/>
      </c>
      <c r="I7274">
        <f>IF(ROUND(H7274-D7274,2)=0,1,0)</f>
        <v/>
      </c>
      <c r="J7274">
        <f>IF(F7274="","none",IF(G7274=1,"carte","multiple"))</f>
        <v/>
      </c>
    </row>
    <row r="7275">
      <c r="A7275" t="inlineStr">
        <is>
          <t>2022-12-28</t>
        </is>
      </c>
      <c r="B7275" t="inlineStr">
        <is>
          <t>20:24</t>
        </is>
      </c>
      <c r="C7275" t="n">
        <v>3123</v>
      </c>
      <c r="D7275" s="6" t="n">
        <v>3.9</v>
      </c>
      <c r="E7275" t="n">
        <v>44545</v>
      </c>
      <c r="F7275" s="6" t="n">
        <v>3.9</v>
      </c>
      <c r="G7275" t="n">
        <v>1</v>
      </c>
      <c r="H7275" s="6">
        <f>ROUND(G7275*F7275,2)</f>
        <v/>
      </c>
      <c r="I7275">
        <f>IF(ROUND(H7275-D7275,2)=0,1,0)</f>
        <v/>
      </c>
      <c r="J7275">
        <f>IF(F7275="","none",IF(G7275=1,"carte","multiple"))</f>
        <v/>
      </c>
    </row>
    <row r="7276">
      <c r="A7276" t="inlineStr">
        <is>
          <t>2022-12-28</t>
        </is>
      </c>
      <c r="B7276" t="inlineStr">
        <is>
          <t>20:24</t>
        </is>
      </c>
      <c r="C7276" t="n">
        <v>3123</v>
      </c>
      <c r="D7276" s="6" t="n">
        <v>3.8</v>
      </c>
      <c r="E7276" t="n">
        <v>44546</v>
      </c>
      <c r="F7276" s="6" t="n">
        <v>3.8</v>
      </c>
      <c r="G7276" t="n">
        <v>1</v>
      </c>
      <c r="H7276" s="6">
        <f>ROUND(G7276*F7276,2)</f>
        <v/>
      </c>
      <c r="I7276">
        <f>IF(ROUND(H7276-D7276,2)=0,1,0)</f>
        <v/>
      </c>
      <c r="J7276">
        <f>IF(F7276="","none",IF(G7276=1,"carte","multiple"))</f>
        <v/>
      </c>
    </row>
    <row r="7277">
      <c r="A7277" t="inlineStr">
        <is>
          <t>2022-12-28</t>
        </is>
      </c>
      <c r="B7277" t="inlineStr">
        <is>
          <t>20:24</t>
        </is>
      </c>
      <c r="C7277" t="n">
        <v>3123</v>
      </c>
      <c r="D7277" s="6" t="n">
        <v>3.9</v>
      </c>
      <c r="E7277" t="n">
        <v>44547</v>
      </c>
      <c r="F7277" s="6" t="n">
        <v>3.9</v>
      </c>
      <c r="G7277" t="n">
        <v>1</v>
      </c>
      <c r="H7277" s="6">
        <f>ROUND(G7277*F7277,2)</f>
        <v/>
      </c>
      <c r="I7277">
        <f>IF(ROUND(H7277-D7277,2)=0,1,0)</f>
        <v/>
      </c>
      <c r="J7277">
        <f>IF(F7277="","none",IF(G7277=1,"carte","multiple"))</f>
        <v/>
      </c>
    </row>
    <row r="7278">
      <c r="A7278" t="inlineStr">
        <is>
          <t>2022-12-28</t>
        </is>
      </c>
      <c r="B7278" t="inlineStr">
        <is>
          <t>20:24</t>
        </is>
      </c>
      <c r="C7278" t="n">
        <v>3123</v>
      </c>
      <c r="D7278" s="6" t="n">
        <v>13</v>
      </c>
      <c r="E7278" t="n">
        <v>44548</v>
      </c>
      <c r="F7278" s="6" t="n">
        <v>13</v>
      </c>
      <c r="G7278" t="n">
        <v>1</v>
      </c>
      <c r="H7278" s="6">
        <f>ROUND(G7278*F7278,2)</f>
        <v/>
      </c>
      <c r="I7278">
        <f>IF(ROUND(H7278-D7278,2)=0,1,0)</f>
        <v/>
      </c>
      <c r="J7278">
        <f>IF(F7278="","none",IF(G7278=1,"carte","multiple"))</f>
        <v/>
      </c>
    </row>
    <row r="7279">
      <c r="A7279" t="inlineStr">
        <is>
          <t>2022-12-28</t>
        </is>
      </c>
      <c r="B7279" t="inlineStr">
        <is>
          <t>20:24</t>
        </is>
      </c>
      <c r="C7279" t="n">
        <v>3123</v>
      </c>
      <c r="D7279" s="6" t="n">
        <v>10.4</v>
      </c>
      <c r="E7279" t="n">
        <v>44549</v>
      </c>
      <c r="F7279" s="6" t="n">
        <v>0.4</v>
      </c>
      <c r="G7279" t="n">
        <v>26</v>
      </c>
      <c r="H7279" s="6">
        <f>ROUND(G7279*F7279,2)</f>
        <v/>
      </c>
      <c r="I7279">
        <f>IF(ROUND(H7279-D7279,2)=0,1,0)</f>
        <v/>
      </c>
      <c r="J7279">
        <f>IF(F7279="","none",IF(G7279=1,"carte","multiple"))</f>
        <v/>
      </c>
    </row>
    <row r="7280">
      <c r="A7280" t="inlineStr">
        <is>
          <t>2022-12-28</t>
        </is>
      </c>
      <c r="B7280" t="inlineStr">
        <is>
          <t>20:24</t>
        </is>
      </c>
      <c r="C7280" t="n">
        <v>3123</v>
      </c>
      <c r="D7280" s="6" t="n">
        <v>5.2</v>
      </c>
      <c r="E7280" t="n">
        <v>44550</v>
      </c>
      <c r="F7280" s="6" t="n">
        <v>5.2</v>
      </c>
      <c r="G7280" t="n">
        <v>1</v>
      </c>
      <c r="H7280" s="6">
        <f>ROUND(G7280*F7280,2)</f>
        <v/>
      </c>
      <c r="I7280">
        <f>IF(ROUND(H7280-D7280,2)=0,1,0)</f>
        <v/>
      </c>
      <c r="J7280">
        <f>IF(F7280="","none",IF(G7280=1,"carte","multiple"))</f>
        <v/>
      </c>
    </row>
    <row r="7281">
      <c r="A7281" t="inlineStr">
        <is>
          <t>2022-12-29</t>
        </is>
      </c>
      <c r="B7281" t="inlineStr">
        <is>
          <t>11:57</t>
        </is>
      </c>
      <c r="C7281" t="n">
        <v>3124</v>
      </c>
      <c r="D7281" s="6" t="n">
        <v>2.2</v>
      </c>
      <c r="E7281" t="n">
        <v>44553</v>
      </c>
      <c r="F7281" s="6" t="n">
        <v>2.2</v>
      </c>
      <c r="G7281" t="n">
        <v>1</v>
      </c>
      <c r="H7281" s="6">
        <f>ROUND(G7281*F7281,2)</f>
        <v/>
      </c>
      <c r="I7281">
        <f>IF(ROUND(H7281-D7281,2)=0,1,0)</f>
        <v/>
      </c>
      <c r="J7281">
        <f>IF(F7281="","none",IF(G7281=1,"carte","multiple"))</f>
        <v/>
      </c>
    </row>
    <row r="7282">
      <c r="A7282" t="inlineStr">
        <is>
          <t>2022-12-29</t>
        </is>
      </c>
      <c r="B7282" t="inlineStr">
        <is>
          <t>11:57</t>
        </is>
      </c>
      <c r="C7282" t="n">
        <v>3124</v>
      </c>
      <c r="D7282" s="6" t="n">
        <v>15.8</v>
      </c>
      <c r="E7282" t="n">
        <v>44554</v>
      </c>
      <c r="F7282" s="6" t="n">
        <v>7.9</v>
      </c>
      <c r="G7282" t="n">
        <v>2</v>
      </c>
      <c r="H7282" s="6">
        <f>ROUND(G7282*F7282,2)</f>
        <v/>
      </c>
      <c r="I7282">
        <f>IF(ROUND(H7282-D7282,2)=0,1,0)</f>
        <v/>
      </c>
      <c r="J7282">
        <f>IF(F7282="","none",IF(G7282=1,"carte","multiple"))</f>
        <v/>
      </c>
    </row>
    <row r="7283">
      <c r="A7283" t="inlineStr">
        <is>
          <t>2022-12-29</t>
        </is>
      </c>
      <c r="B7283" t="inlineStr">
        <is>
          <t>11:57</t>
        </is>
      </c>
      <c r="C7283" t="n">
        <v>3124</v>
      </c>
      <c r="D7283" s="6" t="n">
        <v>6.4</v>
      </c>
      <c r="E7283" t="n">
        <v>44555</v>
      </c>
      <c r="F7283" s="6" t="n">
        <v>6.4</v>
      </c>
      <c r="G7283" t="n">
        <v>1</v>
      </c>
      <c r="H7283" s="6">
        <f>ROUND(G7283*F7283,2)</f>
        <v/>
      </c>
      <c r="I7283">
        <f>IF(ROUND(H7283-D7283,2)=0,1,0)</f>
        <v/>
      </c>
      <c r="J7283">
        <f>IF(F7283="","none",IF(G7283=1,"carte","multiple"))</f>
        <v/>
      </c>
    </row>
    <row r="7284">
      <c r="A7284" t="inlineStr">
        <is>
          <t>2022-12-29</t>
        </is>
      </c>
      <c r="B7284" t="inlineStr">
        <is>
          <t>11:57</t>
        </is>
      </c>
      <c r="C7284" t="n">
        <v>3124</v>
      </c>
      <c r="D7284" s="6" t="n">
        <v>3.9</v>
      </c>
      <c r="E7284" t="n">
        <v>44556</v>
      </c>
      <c r="F7284" s="6" t="n">
        <v>3.9</v>
      </c>
      <c r="G7284" t="n">
        <v>1</v>
      </c>
      <c r="H7284" s="6">
        <f>ROUND(G7284*F7284,2)</f>
        <v/>
      </c>
      <c r="I7284">
        <f>IF(ROUND(H7284-D7284,2)=0,1,0)</f>
        <v/>
      </c>
      <c r="J7284">
        <f>IF(F7284="","none",IF(G7284=1,"carte","multiple"))</f>
        <v/>
      </c>
    </row>
    <row r="7285">
      <c r="A7285" t="inlineStr">
        <is>
          <t>2022-12-29</t>
        </is>
      </c>
      <c r="B7285" t="inlineStr">
        <is>
          <t>11:57</t>
        </is>
      </c>
      <c r="C7285" t="n">
        <v>3124</v>
      </c>
      <c r="D7285" s="6" t="n">
        <v>18.6</v>
      </c>
      <c r="E7285" t="n">
        <v>44557</v>
      </c>
      <c r="F7285" s="6" t="n">
        <v>18.6</v>
      </c>
      <c r="G7285" t="n">
        <v>1</v>
      </c>
      <c r="H7285" s="6">
        <f>ROUND(G7285*F7285,2)</f>
        <v/>
      </c>
      <c r="I7285">
        <f>IF(ROUND(H7285-D7285,2)=0,1,0)</f>
        <v/>
      </c>
      <c r="J7285">
        <f>IF(F7285="","none",IF(G7285=1,"carte","multiple"))</f>
        <v/>
      </c>
    </row>
    <row r="7286">
      <c r="A7286" t="inlineStr">
        <is>
          <t>2022-12-29</t>
        </is>
      </c>
      <c r="B7286" t="inlineStr">
        <is>
          <t>11:57</t>
        </is>
      </c>
      <c r="C7286" t="n">
        <v>3124</v>
      </c>
      <c r="D7286" s="6" t="n">
        <v>18.6</v>
      </c>
      <c r="E7286" t="n">
        <v>44558</v>
      </c>
      <c r="F7286" s="6" t="n">
        <v>18.6</v>
      </c>
      <c r="G7286" t="n">
        <v>1</v>
      </c>
      <c r="H7286" s="6">
        <f>ROUND(G7286*F7286,2)</f>
        <v/>
      </c>
      <c r="I7286">
        <f>IF(ROUND(H7286-D7286,2)=0,1,0)</f>
        <v/>
      </c>
      <c r="J7286">
        <f>IF(F7286="","none",IF(G7286=1,"carte","multiple"))</f>
        <v/>
      </c>
    </row>
    <row r="7287">
      <c r="A7287" t="inlineStr">
        <is>
          <t>2022-12-29</t>
        </is>
      </c>
      <c r="B7287" t="inlineStr">
        <is>
          <t>11:57</t>
        </is>
      </c>
      <c r="C7287" t="n">
        <v>3124</v>
      </c>
      <c r="D7287" s="6" t="n">
        <v>8.4</v>
      </c>
      <c r="E7287" t="n">
        <v>44559</v>
      </c>
      <c r="F7287" s="6" t="n">
        <v>8.4</v>
      </c>
      <c r="G7287" t="n">
        <v>1</v>
      </c>
      <c r="H7287" s="6">
        <f>ROUND(G7287*F7287,2)</f>
        <v/>
      </c>
      <c r="I7287">
        <f>IF(ROUND(H7287-D7287,2)=0,1,0)</f>
        <v/>
      </c>
      <c r="J7287">
        <f>IF(F7287="","none",IF(G7287=1,"carte","multiple"))</f>
        <v/>
      </c>
    </row>
    <row r="7288">
      <c r="A7288" t="inlineStr">
        <is>
          <t>2022-12-29</t>
        </is>
      </c>
      <c r="B7288" t="inlineStr">
        <is>
          <t>12:17</t>
        </is>
      </c>
      <c r="C7288" t="n">
        <v>3124</v>
      </c>
      <c r="D7288" s="6" t="n">
        <v>2.2</v>
      </c>
      <c r="E7288" t="n">
        <v>44560</v>
      </c>
      <c r="F7288" s="6" t="n">
        <v>2.2</v>
      </c>
      <c r="G7288" t="n">
        <v>1</v>
      </c>
      <c r="H7288" s="6">
        <f>ROUND(G7288*F7288,2)</f>
        <v/>
      </c>
      <c r="I7288">
        <f>IF(ROUND(H7288-D7288,2)=0,1,0)</f>
        <v/>
      </c>
      <c r="J7288">
        <f>IF(F7288="","none",IF(G7288=1,"carte","multiple"))</f>
        <v/>
      </c>
    </row>
    <row r="7289">
      <c r="A7289" t="inlineStr">
        <is>
          <t>2022-12-29</t>
        </is>
      </c>
      <c r="B7289" t="inlineStr">
        <is>
          <t>12:17</t>
        </is>
      </c>
      <c r="C7289" t="n">
        <v>3124</v>
      </c>
      <c r="D7289" s="6" t="n">
        <v>14</v>
      </c>
      <c r="E7289" t="n">
        <v>44561</v>
      </c>
      <c r="F7289" s="6" t="n">
        <v>14</v>
      </c>
      <c r="G7289" t="n">
        <v>1</v>
      </c>
      <c r="H7289" s="6">
        <f>ROUND(G7289*F7289,2)</f>
        <v/>
      </c>
      <c r="I7289">
        <f>IF(ROUND(H7289-D7289,2)=0,1,0)</f>
        <v/>
      </c>
      <c r="J7289">
        <f>IF(F7289="","none",IF(G7289=1,"carte","multiple"))</f>
        <v/>
      </c>
    </row>
    <row r="7290">
      <c r="A7290" t="inlineStr">
        <is>
          <t>2022-12-29</t>
        </is>
      </c>
      <c r="B7290" t="inlineStr">
        <is>
          <t>12:17</t>
        </is>
      </c>
      <c r="C7290" t="n">
        <v>3124</v>
      </c>
      <c r="D7290" s="6" t="n">
        <v>34</v>
      </c>
      <c r="E7290" t="n">
        <v>44562</v>
      </c>
      <c r="F7290" s="6" t="n">
        <v>34</v>
      </c>
      <c r="G7290" t="n">
        <v>1</v>
      </c>
      <c r="H7290" s="6">
        <f>ROUND(G7290*F7290,2)</f>
        <v/>
      </c>
      <c r="I7290">
        <f>IF(ROUND(H7290-D7290,2)=0,1,0)</f>
        <v/>
      </c>
      <c r="J7290">
        <f>IF(F7290="","none",IF(G7290=1,"carte","multiple"))</f>
        <v/>
      </c>
    </row>
    <row r="7291">
      <c r="A7291" t="inlineStr">
        <is>
          <t>2022-12-29</t>
        </is>
      </c>
      <c r="B7291" t="inlineStr">
        <is>
          <t>12:17</t>
        </is>
      </c>
      <c r="C7291" t="n">
        <v>3124</v>
      </c>
      <c r="D7291" s="6" t="n">
        <v>10.4</v>
      </c>
      <c r="E7291" t="n">
        <v>44563</v>
      </c>
      <c r="F7291" s="6" t="n">
        <v>0.4</v>
      </c>
      <c r="G7291" t="n">
        <v>26</v>
      </c>
      <c r="H7291" s="6">
        <f>ROUND(G7291*F7291,2)</f>
        <v/>
      </c>
      <c r="I7291">
        <f>IF(ROUND(H7291-D7291,2)=0,1,0)</f>
        <v/>
      </c>
      <c r="J7291">
        <f>IF(F7291="","none",IF(G7291=1,"carte","multiple"))</f>
        <v/>
      </c>
    </row>
    <row r="7292">
      <c r="A7292" t="inlineStr">
        <is>
          <t>2022-12-29</t>
        </is>
      </c>
      <c r="B7292" t="inlineStr">
        <is>
          <t>12:22</t>
        </is>
      </c>
      <c r="C7292" t="n">
        <v>3124</v>
      </c>
      <c r="D7292" s="6" t="n">
        <v>4.4</v>
      </c>
      <c r="E7292" t="n">
        <v>44564</v>
      </c>
      <c r="F7292" s="6" t="n">
        <v>0.4</v>
      </c>
      <c r="G7292" t="n">
        <v>11</v>
      </c>
      <c r="H7292" s="6">
        <f>ROUND(G7292*F7292,2)</f>
        <v/>
      </c>
      <c r="I7292">
        <f>IF(ROUND(H7292-D7292,2)=0,1,0)</f>
        <v/>
      </c>
      <c r="J7292">
        <f>IF(F7292="","none",IF(G7292=1,"carte","multiple"))</f>
        <v/>
      </c>
    </row>
    <row r="7293">
      <c r="A7293" t="inlineStr">
        <is>
          <t>2022-12-29</t>
        </is>
      </c>
      <c r="B7293" t="inlineStr">
        <is>
          <t>12:22</t>
        </is>
      </c>
      <c r="C7293" t="n">
        <v>3124</v>
      </c>
      <c r="D7293" s="6" t="n">
        <v>6.6</v>
      </c>
      <c r="E7293" t="n">
        <v>44565</v>
      </c>
      <c r="F7293" s="6" t="n">
        <v>6.6</v>
      </c>
      <c r="G7293" t="n">
        <v>1</v>
      </c>
      <c r="H7293" s="6">
        <f>ROUND(G7293*F7293,2)</f>
        <v/>
      </c>
      <c r="I7293">
        <f>IF(ROUND(H7293-D7293,2)=0,1,0)</f>
        <v/>
      </c>
      <c r="J7293">
        <f>IF(F7293="","none",IF(G7293=1,"carte","multiple"))</f>
        <v/>
      </c>
    </row>
    <row r="7294">
      <c r="A7294" t="inlineStr">
        <is>
          <t>2022-12-29</t>
        </is>
      </c>
      <c r="B7294" t="inlineStr">
        <is>
          <t>12:22</t>
        </is>
      </c>
      <c r="C7294" t="n">
        <v>3124</v>
      </c>
      <c r="D7294" s="6" t="n">
        <v>9</v>
      </c>
      <c r="E7294" t="n">
        <v>44566</v>
      </c>
      <c r="F7294" s="6" t="n">
        <v>9</v>
      </c>
      <c r="G7294" t="n">
        <v>1</v>
      </c>
      <c r="H7294" s="6">
        <f>ROUND(G7294*F7294,2)</f>
        <v/>
      </c>
      <c r="I7294">
        <f>IF(ROUND(H7294-D7294,2)=0,1,0)</f>
        <v/>
      </c>
      <c r="J7294">
        <f>IF(F7294="","none",IF(G7294=1,"carte","multiple"))</f>
        <v/>
      </c>
    </row>
    <row r="7295">
      <c r="A7295" t="inlineStr">
        <is>
          <t>2022-12-29</t>
        </is>
      </c>
      <c r="B7295" t="inlineStr">
        <is>
          <t>12:22</t>
        </is>
      </c>
      <c r="C7295" t="n">
        <v>3124</v>
      </c>
      <c r="D7295" s="6" t="n">
        <v>15.8</v>
      </c>
      <c r="E7295" t="n">
        <v>44567</v>
      </c>
      <c r="F7295" s="6" t="n">
        <v>7.9</v>
      </c>
      <c r="G7295" t="n">
        <v>2</v>
      </c>
      <c r="H7295" s="6">
        <f>ROUND(G7295*F7295,2)</f>
        <v/>
      </c>
      <c r="I7295">
        <f>IF(ROUND(H7295-D7295,2)=0,1,0)</f>
        <v/>
      </c>
      <c r="J7295">
        <f>IF(F7295="","none",IF(G7295=1,"carte","multiple"))</f>
        <v/>
      </c>
    </row>
    <row r="7296">
      <c r="A7296" t="inlineStr">
        <is>
          <t>2022-12-29</t>
        </is>
      </c>
      <c r="B7296" t="inlineStr">
        <is>
          <t>12:22</t>
        </is>
      </c>
      <c r="C7296" t="n">
        <v>3124</v>
      </c>
      <c r="D7296" s="6" t="n">
        <v>33.8</v>
      </c>
      <c r="E7296" t="n">
        <v>44568</v>
      </c>
      <c r="F7296" s="6" t="n">
        <v>16.9</v>
      </c>
      <c r="G7296" t="n">
        <v>2</v>
      </c>
      <c r="H7296" s="6">
        <f>ROUND(G7296*F7296,2)</f>
        <v/>
      </c>
      <c r="I7296">
        <f>IF(ROUND(H7296-D7296,2)=0,1,0)</f>
        <v/>
      </c>
      <c r="J7296">
        <f>IF(F7296="","none",IF(G7296=1,"carte","multiple"))</f>
        <v/>
      </c>
    </row>
    <row r="7297">
      <c r="A7297" t="inlineStr">
        <is>
          <t>2022-12-29</t>
        </is>
      </c>
      <c r="B7297" t="inlineStr">
        <is>
          <t>12:22</t>
        </is>
      </c>
      <c r="C7297" t="n">
        <v>3124</v>
      </c>
      <c r="D7297" s="6" t="n">
        <v>8.4</v>
      </c>
      <c r="E7297" t="n">
        <v>44569</v>
      </c>
      <c r="F7297" s="6" t="n">
        <v>8.4</v>
      </c>
      <c r="G7297" t="n">
        <v>1</v>
      </c>
      <c r="H7297" s="6">
        <f>ROUND(G7297*F7297,2)</f>
        <v/>
      </c>
      <c r="I7297">
        <f>IF(ROUND(H7297-D7297,2)=0,1,0)</f>
        <v/>
      </c>
      <c r="J7297">
        <f>IF(F7297="","none",IF(G7297=1,"carte","multiple"))</f>
        <v/>
      </c>
    </row>
    <row r="7298">
      <c r="A7298" t="inlineStr">
        <is>
          <t>2022-12-29</t>
        </is>
      </c>
      <c r="B7298" t="inlineStr">
        <is>
          <t>12:34</t>
        </is>
      </c>
      <c r="C7298" t="n">
        <v>3124</v>
      </c>
      <c r="D7298" s="6" t="n">
        <v>10.9</v>
      </c>
      <c r="E7298" t="n">
        <v>44570</v>
      </c>
      <c r="F7298" s="6" t="n">
        <v>10.9</v>
      </c>
      <c r="G7298" t="n">
        <v>1</v>
      </c>
      <c r="H7298" s="6">
        <f>ROUND(G7298*F7298,2)</f>
        <v/>
      </c>
      <c r="I7298">
        <f>IF(ROUND(H7298-D7298,2)=0,1,0)</f>
        <v/>
      </c>
      <c r="J7298">
        <f>IF(F7298="","none",IF(G7298=1,"carte","multiple"))</f>
        <v/>
      </c>
    </row>
    <row r="7299">
      <c r="A7299" t="inlineStr">
        <is>
          <t>2022-12-29</t>
        </is>
      </c>
      <c r="B7299" t="inlineStr">
        <is>
          <t>12:34</t>
        </is>
      </c>
      <c r="C7299" t="n">
        <v>3124</v>
      </c>
      <c r="D7299" s="6" t="n">
        <v>2</v>
      </c>
      <c r="E7299" t="n">
        <v>44571</v>
      </c>
      <c r="F7299" s="6" t="n">
        <v>2</v>
      </c>
      <c r="G7299" t="n">
        <v>1</v>
      </c>
      <c r="H7299" s="6">
        <f>ROUND(G7299*F7299,2)</f>
        <v/>
      </c>
      <c r="I7299">
        <f>IF(ROUND(H7299-D7299,2)=0,1,0)</f>
        <v/>
      </c>
      <c r="J7299">
        <f>IF(F7299="","none",IF(G7299=1,"carte","multiple"))</f>
        <v/>
      </c>
    </row>
    <row r="7300">
      <c r="A7300" t="inlineStr">
        <is>
          <t>2022-12-29</t>
        </is>
      </c>
      <c r="B7300" t="inlineStr">
        <is>
          <t>12:34</t>
        </is>
      </c>
      <c r="C7300" t="n">
        <v>3124</v>
      </c>
      <c r="D7300" s="6" t="n">
        <v>6.4</v>
      </c>
      <c r="E7300" t="n">
        <v>44572</v>
      </c>
      <c r="F7300" s="6" t="n">
        <v>6.4</v>
      </c>
      <c r="G7300" t="n">
        <v>1</v>
      </c>
      <c r="H7300" s="6">
        <f>ROUND(G7300*F7300,2)</f>
        <v/>
      </c>
      <c r="I7300">
        <f>IF(ROUND(H7300-D7300,2)=0,1,0)</f>
        <v/>
      </c>
      <c r="J7300">
        <f>IF(F7300="","none",IF(G7300=1,"carte","multiple"))</f>
        <v/>
      </c>
    </row>
    <row r="7301">
      <c r="A7301" t="inlineStr">
        <is>
          <t>2022-12-29</t>
        </is>
      </c>
      <c r="B7301" t="inlineStr">
        <is>
          <t>12:34</t>
        </is>
      </c>
      <c r="C7301" t="n">
        <v>3124</v>
      </c>
      <c r="D7301" s="6" t="n">
        <v>14.4</v>
      </c>
      <c r="E7301" t="n">
        <v>44573</v>
      </c>
      <c r="F7301" s="6" t="n">
        <v>0.4</v>
      </c>
      <c r="G7301" t="n">
        <v>36</v>
      </c>
      <c r="H7301" s="6">
        <f>ROUND(G7301*F7301,2)</f>
        <v/>
      </c>
      <c r="I7301">
        <f>IF(ROUND(H7301-D7301,2)=0,1,0)</f>
        <v/>
      </c>
      <c r="J7301">
        <f>IF(F7301="","none",IF(G7301=1,"carte","multiple"))</f>
        <v/>
      </c>
    </row>
    <row r="7302">
      <c r="A7302" t="inlineStr">
        <is>
          <t>2022-12-29</t>
        </is>
      </c>
      <c r="B7302" t="inlineStr">
        <is>
          <t>12:34</t>
        </is>
      </c>
      <c r="C7302" t="n">
        <v>3124</v>
      </c>
      <c r="D7302" s="6" t="n">
        <v>5.9</v>
      </c>
      <c r="E7302" t="n">
        <v>44574</v>
      </c>
      <c r="F7302" s="6" t="n">
        <v>5.9</v>
      </c>
      <c r="G7302" t="n">
        <v>1</v>
      </c>
      <c r="H7302" s="6">
        <f>ROUND(G7302*F7302,2)</f>
        <v/>
      </c>
      <c r="I7302">
        <f>IF(ROUND(H7302-D7302,2)=0,1,0)</f>
        <v/>
      </c>
      <c r="J7302">
        <f>IF(F7302="","none",IF(G7302=1,"carte","multiple"))</f>
        <v/>
      </c>
    </row>
    <row r="7303">
      <c r="A7303" t="inlineStr">
        <is>
          <t>2022-12-29</t>
        </is>
      </c>
      <c r="B7303" t="inlineStr">
        <is>
          <t>12:34</t>
        </is>
      </c>
      <c r="C7303" t="n">
        <v>3124</v>
      </c>
      <c r="D7303" s="6" t="n">
        <v>51.8</v>
      </c>
      <c r="E7303" t="n">
        <v>44575</v>
      </c>
      <c r="F7303" s="6" t="n">
        <v>1.4</v>
      </c>
      <c r="G7303" t="n">
        <v>37</v>
      </c>
      <c r="H7303" s="6">
        <f>ROUND(G7303*F7303,2)</f>
        <v/>
      </c>
      <c r="I7303">
        <f>IF(ROUND(H7303-D7303,2)=0,1,0)</f>
        <v/>
      </c>
      <c r="J7303">
        <f>IF(F7303="","none",IF(G7303=1,"carte","multiple"))</f>
        <v/>
      </c>
    </row>
    <row r="7304">
      <c r="A7304" t="inlineStr">
        <is>
          <t>2022-12-29</t>
        </is>
      </c>
      <c r="B7304" t="inlineStr">
        <is>
          <t>12:34</t>
        </is>
      </c>
      <c r="C7304" t="n">
        <v>3124</v>
      </c>
      <c r="D7304" s="6" t="n">
        <v>3.9</v>
      </c>
      <c r="E7304" t="n">
        <v>44576</v>
      </c>
      <c r="F7304" s="6" t="n">
        <v>3.9</v>
      </c>
      <c r="G7304" t="n">
        <v>1</v>
      </c>
      <c r="H7304" s="6">
        <f>ROUND(G7304*F7304,2)</f>
        <v/>
      </c>
      <c r="I7304">
        <f>IF(ROUND(H7304-D7304,2)=0,1,0)</f>
        <v/>
      </c>
      <c r="J7304">
        <f>IF(F7304="","none",IF(G7304=1,"carte","multiple"))</f>
        <v/>
      </c>
    </row>
    <row r="7305">
      <c r="A7305" t="inlineStr">
        <is>
          <t>2022-12-29</t>
        </is>
      </c>
      <c r="B7305" t="inlineStr">
        <is>
          <t>12:34</t>
        </is>
      </c>
      <c r="C7305" t="n">
        <v>3124</v>
      </c>
      <c r="D7305" s="6" t="n">
        <v>5.2</v>
      </c>
      <c r="E7305" t="n">
        <v>44577</v>
      </c>
      <c r="F7305" s="6" t="n">
        <v>5.2</v>
      </c>
      <c r="G7305" t="n">
        <v>1</v>
      </c>
      <c r="H7305" s="6">
        <f>ROUND(G7305*F7305,2)</f>
        <v/>
      </c>
      <c r="I7305">
        <f>IF(ROUND(H7305-D7305,2)=0,1,0)</f>
        <v/>
      </c>
      <c r="J7305">
        <f>IF(F7305="","none",IF(G7305=1,"carte","multiple"))</f>
        <v/>
      </c>
    </row>
    <row r="7306">
      <c r="A7306" t="inlineStr">
        <is>
          <t>2022-12-29</t>
        </is>
      </c>
      <c r="B7306" t="inlineStr">
        <is>
          <t>18:50</t>
        </is>
      </c>
      <c r="C7306" t="n">
        <v>3124</v>
      </c>
      <c r="D7306" s="6" t="n">
        <v>9</v>
      </c>
      <c r="E7306" t="n">
        <v>44579</v>
      </c>
      <c r="F7306" s="6" t="n">
        <v>9</v>
      </c>
      <c r="G7306" t="n">
        <v>1</v>
      </c>
      <c r="H7306" s="6">
        <f>ROUND(G7306*F7306,2)</f>
        <v/>
      </c>
      <c r="I7306">
        <f>IF(ROUND(H7306-D7306,2)=0,1,0)</f>
        <v/>
      </c>
      <c r="J7306">
        <f>IF(F7306="","none",IF(G7306=1,"carte","multiple"))</f>
        <v/>
      </c>
    </row>
    <row r="7307">
      <c r="A7307" t="inlineStr">
        <is>
          <t>2022-12-29</t>
        </is>
      </c>
      <c r="B7307" t="inlineStr">
        <is>
          <t>19:11</t>
        </is>
      </c>
      <c r="C7307" t="n">
        <v>3124</v>
      </c>
      <c r="D7307" s="6" t="n">
        <v>39.5</v>
      </c>
      <c r="E7307" t="n">
        <v>44580</v>
      </c>
      <c r="F7307" s="6" t="n">
        <v>39.5</v>
      </c>
      <c r="G7307" t="n">
        <v>1</v>
      </c>
      <c r="H7307" s="6">
        <f>ROUND(G7307*F7307,2)</f>
        <v/>
      </c>
      <c r="I7307">
        <f>IF(ROUND(H7307-D7307,2)=0,1,0)</f>
        <v/>
      </c>
      <c r="J7307">
        <f>IF(F7307="","none",IF(G7307=1,"carte","multiple"))</f>
        <v/>
      </c>
    </row>
    <row r="7308">
      <c r="A7308" t="inlineStr">
        <is>
          <t>2022-12-29</t>
        </is>
      </c>
      <c r="B7308" t="inlineStr">
        <is>
          <t>19:12</t>
        </is>
      </c>
      <c r="C7308" t="n">
        <v>3124</v>
      </c>
      <c r="D7308" s="6" t="n">
        <v>7.5</v>
      </c>
      <c r="E7308" t="n">
        <v>44581</v>
      </c>
      <c r="F7308" s="6" t="n">
        <v>7.5</v>
      </c>
      <c r="G7308" t="n">
        <v>1</v>
      </c>
      <c r="H7308" s="6">
        <f>ROUND(G7308*F7308,2)</f>
        <v/>
      </c>
      <c r="I7308">
        <f>IF(ROUND(H7308-D7308,2)=0,1,0)</f>
        <v/>
      </c>
      <c r="J7308">
        <f>IF(F7308="","none",IF(G7308=1,"carte","multiple"))</f>
        <v/>
      </c>
    </row>
    <row r="7309">
      <c r="A7309" t="inlineStr">
        <is>
          <t>2022-12-29</t>
        </is>
      </c>
      <c r="B7309" t="inlineStr">
        <is>
          <t>19:22</t>
        </is>
      </c>
      <c r="C7309" t="n">
        <v>3124</v>
      </c>
      <c r="D7309" s="6" t="n">
        <v>5.25</v>
      </c>
      <c r="E7309" t="n">
        <v>44582</v>
      </c>
      <c r="H7309" t="inlineStr"/>
      <c r="I7309" t="inlineStr"/>
      <c r="J7309">
        <f>IF(F7309="","none",IF(G7309=1,"carte","multiple"))</f>
        <v/>
      </c>
    </row>
    <row r="7310">
      <c r="A7310" t="inlineStr">
        <is>
          <t>2022-12-29</t>
        </is>
      </c>
      <c r="B7310" t="inlineStr">
        <is>
          <t>19:22</t>
        </is>
      </c>
      <c r="C7310" t="n">
        <v>3124</v>
      </c>
      <c r="D7310" s="6" t="n">
        <v>4.25</v>
      </c>
      <c r="E7310" t="n">
        <v>44583</v>
      </c>
      <c r="F7310" s="6" t="n">
        <v>4.25</v>
      </c>
      <c r="G7310" t="n">
        <v>1</v>
      </c>
      <c r="H7310" s="6">
        <f>ROUND(G7310*F7310,2)</f>
        <v/>
      </c>
      <c r="I7310">
        <f>IF(ROUND(H7310-D7310,2)=0,1,0)</f>
        <v/>
      </c>
      <c r="J7310">
        <f>IF(F7310="","none",IF(G7310=1,"carte","multiple"))</f>
        <v/>
      </c>
    </row>
    <row r="7311">
      <c r="A7311" t="inlineStr">
        <is>
          <t>2022-12-29</t>
        </is>
      </c>
      <c r="B7311" t="inlineStr">
        <is>
          <t>19:22</t>
        </is>
      </c>
      <c r="C7311" t="n">
        <v>3124</v>
      </c>
      <c r="D7311" s="6" t="n">
        <v>4.15</v>
      </c>
      <c r="E7311" t="n">
        <v>44584</v>
      </c>
      <c r="H7311" t="inlineStr"/>
      <c r="I7311" t="inlineStr"/>
      <c r="J7311">
        <f>IF(F7311="","none",IF(G7311=1,"carte","multiple"))</f>
        <v/>
      </c>
    </row>
    <row r="7312">
      <c r="A7312" t="inlineStr">
        <is>
          <t>2022-12-29</t>
        </is>
      </c>
      <c r="B7312" t="inlineStr">
        <is>
          <t>19:22</t>
        </is>
      </c>
      <c r="C7312" t="n">
        <v>3124</v>
      </c>
      <c r="D7312" s="6" t="n">
        <v>5.45</v>
      </c>
      <c r="E7312" t="n">
        <v>44585</v>
      </c>
      <c r="H7312" t="inlineStr"/>
      <c r="I7312" t="inlineStr"/>
      <c r="J7312">
        <f>IF(F7312="","none",IF(G7312=1,"carte","multiple"))</f>
        <v/>
      </c>
    </row>
    <row r="7313">
      <c r="A7313" t="inlineStr">
        <is>
          <t>2022-12-29</t>
        </is>
      </c>
      <c r="B7313" t="inlineStr">
        <is>
          <t>19:22</t>
        </is>
      </c>
      <c r="C7313" t="n">
        <v>3124</v>
      </c>
      <c r="D7313" s="6" t="n">
        <v>10.8</v>
      </c>
      <c r="E7313" t="n">
        <v>44586</v>
      </c>
      <c r="F7313" s="6" t="n">
        <v>0.4</v>
      </c>
      <c r="G7313" t="n">
        <v>27</v>
      </c>
      <c r="H7313" s="6">
        <f>ROUND(G7313*F7313,2)</f>
        <v/>
      </c>
      <c r="I7313">
        <f>IF(ROUND(H7313-D7313,2)=0,1,0)</f>
        <v/>
      </c>
      <c r="J7313">
        <f>IF(F7313="","none",IF(G7313=1,"carte","multiple"))</f>
        <v/>
      </c>
    </row>
    <row r="7314">
      <c r="A7314" t="inlineStr">
        <is>
          <t>2022-12-29</t>
        </is>
      </c>
      <c r="B7314" t="inlineStr">
        <is>
          <t>19:22</t>
        </is>
      </c>
      <c r="C7314" t="n">
        <v>3124</v>
      </c>
      <c r="D7314" s="6" t="n">
        <v>12.5</v>
      </c>
      <c r="E7314" t="n">
        <v>44587</v>
      </c>
      <c r="F7314" s="6" t="n">
        <v>12.5</v>
      </c>
      <c r="G7314" t="n">
        <v>1</v>
      </c>
      <c r="H7314" s="6">
        <f>ROUND(G7314*F7314,2)</f>
        <v/>
      </c>
      <c r="I7314">
        <f>IF(ROUND(H7314-D7314,2)=0,1,0)</f>
        <v/>
      </c>
      <c r="J7314">
        <f>IF(F7314="","none",IF(G7314=1,"carte","multiple"))</f>
        <v/>
      </c>
    </row>
    <row r="7315">
      <c r="A7315" t="inlineStr">
        <is>
          <t>2022-12-29</t>
        </is>
      </c>
      <c r="B7315" t="inlineStr">
        <is>
          <t>19:22</t>
        </is>
      </c>
      <c r="C7315" t="n">
        <v>3124</v>
      </c>
      <c r="D7315" s="6" t="n">
        <v>8.449999999999999</v>
      </c>
      <c r="E7315" t="n">
        <v>44588</v>
      </c>
      <c r="H7315" t="inlineStr"/>
      <c r="I7315" t="inlineStr"/>
      <c r="J7315">
        <f>IF(F7315="","none",IF(G7315=1,"carte","multiple"))</f>
        <v/>
      </c>
    </row>
    <row r="7316">
      <c r="A7316" t="inlineStr">
        <is>
          <t>2022-12-29</t>
        </is>
      </c>
      <c r="B7316" t="inlineStr">
        <is>
          <t>19:22</t>
        </is>
      </c>
      <c r="C7316" t="n">
        <v>3124</v>
      </c>
      <c r="D7316" s="6" t="n">
        <v>9.949999999999999</v>
      </c>
      <c r="E7316" t="n">
        <v>44589</v>
      </c>
      <c r="H7316" t="inlineStr"/>
      <c r="I7316" t="inlineStr"/>
      <c r="J7316">
        <f>IF(F7316="","none",IF(G7316=1,"carte","multiple"))</f>
        <v/>
      </c>
    </row>
    <row r="7317">
      <c r="A7317" t="inlineStr">
        <is>
          <t>2022-12-29</t>
        </is>
      </c>
      <c r="B7317" t="inlineStr">
        <is>
          <t>19:22</t>
        </is>
      </c>
      <c r="C7317" t="n">
        <v>3124</v>
      </c>
      <c r="D7317" s="6" t="n">
        <v>3.9</v>
      </c>
      <c r="E7317" t="n">
        <v>44590</v>
      </c>
      <c r="F7317" s="6" t="n">
        <v>3.9</v>
      </c>
      <c r="G7317" t="n">
        <v>1</v>
      </c>
      <c r="H7317" s="6">
        <f>ROUND(G7317*F7317,2)</f>
        <v/>
      </c>
      <c r="I7317">
        <f>IF(ROUND(H7317-D7317,2)=0,1,0)</f>
        <v/>
      </c>
      <c r="J7317">
        <f>IF(F7317="","none",IF(G7317=1,"carte","multiple"))</f>
        <v/>
      </c>
    </row>
    <row r="7318">
      <c r="A7318" t="inlineStr">
        <is>
          <t>2022-12-29</t>
        </is>
      </c>
      <c r="B7318" t="inlineStr">
        <is>
          <t>19:22</t>
        </is>
      </c>
      <c r="C7318" t="n">
        <v>3124</v>
      </c>
      <c r="D7318" s="6" t="n">
        <v>2.1</v>
      </c>
      <c r="E7318" t="n">
        <v>44591</v>
      </c>
      <c r="H7318" t="inlineStr"/>
      <c r="I7318" t="inlineStr"/>
      <c r="J7318">
        <f>IF(F7318="","none",IF(G7318=1,"carte","multiple"))</f>
        <v/>
      </c>
    </row>
    <row r="7319">
      <c r="A7319" t="inlineStr">
        <is>
          <t>2022-12-29</t>
        </is>
      </c>
      <c r="B7319" t="inlineStr">
        <is>
          <t>19:22</t>
        </is>
      </c>
      <c r="C7319" t="n">
        <v>3124</v>
      </c>
      <c r="D7319" s="6" t="n">
        <v>3.25</v>
      </c>
      <c r="E7319" t="n">
        <v>44592</v>
      </c>
      <c r="H7319" t="inlineStr"/>
      <c r="I7319" t="inlineStr"/>
      <c r="J7319">
        <f>IF(F7319="","none",IF(G7319=1,"carte","multiple"))</f>
        <v/>
      </c>
    </row>
    <row r="7320">
      <c r="A7320" t="inlineStr">
        <is>
          <t>2022-12-29</t>
        </is>
      </c>
      <c r="B7320" t="inlineStr">
        <is>
          <t>19:46</t>
        </is>
      </c>
      <c r="C7320" t="n">
        <v>3124</v>
      </c>
      <c r="D7320" s="6" t="n">
        <v>2</v>
      </c>
      <c r="E7320" t="n">
        <v>44593</v>
      </c>
      <c r="F7320" s="6" t="n">
        <v>2</v>
      </c>
      <c r="G7320" t="n">
        <v>1</v>
      </c>
      <c r="H7320" s="6">
        <f>ROUND(G7320*F7320,2)</f>
        <v/>
      </c>
      <c r="I7320">
        <f>IF(ROUND(H7320-D7320,2)=0,1,0)</f>
        <v/>
      </c>
      <c r="J7320">
        <f>IF(F7320="","none",IF(G7320=1,"carte","multiple"))</f>
        <v/>
      </c>
    </row>
    <row r="7321">
      <c r="A7321" t="inlineStr">
        <is>
          <t>2022-12-29</t>
        </is>
      </c>
      <c r="B7321" t="inlineStr">
        <is>
          <t>19:46</t>
        </is>
      </c>
      <c r="C7321" t="n">
        <v>3124</v>
      </c>
      <c r="D7321" s="6" t="n">
        <v>2.9</v>
      </c>
      <c r="E7321" t="n">
        <v>44594</v>
      </c>
      <c r="F7321" s="6" t="n">
        <v>2.9</v>
      </c>
      <c r="G7321" t="n">
        <v>1</v>
      </c>
      <c r="H7321" s="6">
        <f>ROUND(G7321*F7321,2)</f>
        <v/>
      </c>
      <c r="I7321">
        <f>IF(ROUND(H7321-D7321,2)=0,1,0)</f>
        <v/>
      </c>
      <c r="J7321">
        <f>IF(F7321="","none",IF(G7321=1,"carte","multiple"))</f>
        <v/>
      </c>
    </row>
    <row r="7322">
      <c r="A7322" t="inlineStr">
        <is>
          <t>2022-12-29</t>
        </is>
      </c>
      <c r="B7322" t="inlineStr">
        <is>
          <t>19:46</t>
        </is>
      </c>
      <c r="C7322" t="n">
        <v>3124</v>
      </c>
      <c r="D7322" s="6" t="n">
        <v>2.9</v>
      </c>
      <c r="E7322" t="n">
        <v>44595</v>
      </c>
      <c r="F7322" s="6" t="n">
        <v>2.9</v>
      </c>
      <c r="G7322" t="n">
        <v>1</v>
      </c>
      <c r="H7322" s="6">
        <f>ROUND(G7322*F7322,2)</f>
        <v/>
      </c>
      <c r="I7322">
        <f>IF(ROUND(H7322-D7322,2)=0,1,0)</f>
        <v/>
      </c>
      <c r="J7322">
        <f>IF(F7322="","none",IF(G7322=1,"carte","multiple"))</f>
        <v/>
      </c>
    </row>
    <row r="7323">
      <c r="A7323" t="inlineStr">
        <is>
          <t>2022-12-29</t>
        </is>
      </c>
      <c r="B7323" t="inlineStr">
        <is>
          <t>19:46</t>
        </is>
      </c>
      <c r="C7323" t="n">
        <v>3124</v>
      </c>
      <c r="D7323" s="6" t="n">
        <v>3.2</v>
      </c>
      <c r="E7323" t="n">
        <v>44596</v>
      </c>
      <c r="F7323" s="6" t="n">
        <v>3.2</v>
      </c>
      <c r="G7323" t="n">
        <v>1</v>
      </c>
      <c r="H7323" s="6">
        <f>ROUND(G7323*F7323,2)</f>
        <v/>
      </c>
      <c r="I7323">
        <f>IF(ROUND(H7323-D7323,2)=0,1,0)</f>
        <v/>
      </c>
      <c r="J7323">
        <f>IF(F7323="","none",IF(G7323=1,"carte","multiple"))</f>
        <v/>
      </c>
    </row>
    <row r="7324">
      <c r="A7324" t="inlineStr">
        <is>
          <t>2022-12-29</t>
        </is>
      </c>
      <c r="B7324" t="inlineStr">
        <is>
          <t>19:46</t>
        </is>
      </c>
      <c r="C7324" t="n">
        <v>3124</v>
      </c>
      <c r="D7324" s="6" t="n">
        <v>3.9</v>
      </c>
      <c r="E7324" t="n">
        <v>44597</v>
      </c>
      <c r="F7324" s="6" t="n">
        <v>3.9</v>
      </c>
      <c r="G7324" t="n">
        <v>1</v>
      </c>
      <c r="H7324" s="6">
        <f>ROUND(G7324*F7324,2)</f>
        <v/>
      </c>
      <c r="I7324">
        <f>IF(ROUND(H7324-D7324,2)=0,1,0)</f>
        <v/>
      </c>
      <c r="J7324">
        <f>IF(F7324="","none",IF(G7324=1,"carte","multiple"))</f>
        <v/>
      </c>
    </row>
    <row r="7325">
      <c r="A7325" t="inlineStr">
        <is>
          <t>2022-12-29</t>
        </is>
      </c>
      <c r="B7325" t="inlineStr">
        <is>
          <t>19:46</t>
        </is>
      </c>
      <c r="C7325" t="n">
        <v>3124</v>
      </c>
      <c r="D7325" s="6" t="n">
        <v>3.5</v>
      </c>
      <c r="E7325" t="n">
        <v>44598</v>
      </c>
      <c r="F7325" s="6" t="n">
        <v>3.5</v>
      </c>
      <c r="G7325" t="n">
        <v>1</v>
      </c>
      <c r="H7325" s="6">
        <f>ROUND(G7325*F7325,2)</f>
        <v/>
      </c>
      <c r="I7325">
        <f>IF(ROUND(H7325-D7325,2)=0,1,0)</f>
        <v/>
      </c>
      <c r="J7325">
        <f>IF(F7325="","none",IF(G7325=1,"carte","multiple"))</f>
        <v/>
      </c>
    </row>
    <row r="7326">
      <c r="A7326" t="inlineStr">
        <is>
          <t>2022-12-29</t>
        </is>
      </c>
      <c r="B7326" t="inlineStr">
        <is>
          <t>19:46</t>
        </is>
      </c>
      <c r="C7326" t="n">
        <v>3124</v>
      </c>
      <c r="D7326" s="6" t="n">
        <v>3.9</v>
      </c>
      <c r="E7326" t="n">
        <v>44599</v>
      </c>
      <c r="F7326" s="6" t="n">
        <v>3.9</v>
      </c>
      <c r="G7326" t="n">
        <v>1</v>
      </c>
      <c r="H7326" s="6">
        <f>ROUND(G7326*F7326,2)</f>
        <v/>
      </c>
      <c r="I7326">
        <f>IF(ROUND(H7326-D7326,2)=0,1,0)</f>
        <v/>
      </c>
      <c r="J7326">
        <f>IF(F7326="","none",IF(G7326=1,"carte","multiple"))</f>
        <v/>
      </c>
    </row>
    <row r="7327">
      <c r="A7327" t="inlineStr">
        <is>
          <t>2022-12-29</t>
        </is>
      </c>
      <c r="B7327" t="inlineStr">
        <is>
          <t>19:46</t>
        </is>
      </c>
      <c r="C7327" t="n">
        <v>3124</v>
      </c>
      <c r="D7327" s="6" t="n">
        <v>3.8</v>
      </c>
      <c r="E7327" t="n">
        <v>44600</v>
      </c>
      <c r="F7327" s="6" t="n">
        <v>3.8</v>
      </c>
      <c r="G7327" t="n">
        <v>1</v>
      </c>
      <c r="H7327" s="6">
        <f>ROUND(G7327*F7327,2)</f>
        <v/>
      </c>
      <c r="I7327">
        <f>IF(ROUND(H7327-D7327,2)=0,1,0)</f>
        <v/>
      </c>
      <c r="J7327">
        <f>IF(F7327="","none",IF(G7327=1,"carte","multiple"))</f>
        <v/>
      </c>
    </row>
    <row r="7328">
      <c r="A7328" t="inlineStr">
        <is>
          <t>2022-12-29</t>
        </is>
      </c>
      <c r="B7328" t="inlineStr">
        <is>
          <t>19:46</t>
        </is>
      </c>
      <c r="C7328" t="n">
        <v>3124</v>
      </c>
      <c r="D7328" s="6" t="n">
        <v>7.8</v>
      </c>
      <c r="E7328" t="n">
        <v>44601</v>
      </c>
      <c r="F7328" s="6" t="n">
        <v>7.8</v>
      </c>
      <c r="G7328" t="n">
        <v>1</v>
      </c>
      <c r="H7328" s="6">
        <f>ROUND(G7328*F7328,2)</f>
        <v/>
      </c>
      <c r="I7328">
        <f>IF(ROUND(H7328-D7328,2)=0,1,0)</f>
        <v/>
      </c>
      <c r="J7328">
        <f>IF(F7328="","none",IF(G7328=1,"carte","multiple"))</f>
        <v/>
      </c>
    </row>
    <row r="7329">
      <c r="A7329" t="inlineStr">
        <is>
          <t>2022-12-29</t>
        </is>
      </c>
      <c r="B7329" t="inlineStr">
        <is>
          <t>19:47</t>
        </is>
      </c>
      <c r="C7329" t="n">
        <v>3124</v>
      </c>
      <c r="D7329" s="6" t="n">
        <v>9.9</v>
      </c>
      <c r="E7329" t="n">
        <v>44602</v>
      </c>
      <c r="F7329" s="6" t="n">
        <v>9.9</v>
      </c>
      <c r="G7329" t="n">
        <v>1</v>
      </c>
      <c r="H7329" s="6">
        <f>ROUND(G7329*F7329,2)</f>
        <v/>
      </c>
      <c r="I7329">
        <f>IF(ROUND(H7329-D7329,2)=0,1,0)</f>
        <v/>
      </c>
      <c r="J7329">
        <f>IF(F7329="","none",IF(G7329=1,"carte","multiple"))</f>
        <v/>
      </c>
    </row>
    <row r="7330">
      <c r="A7330" t="inlineStr">
        <is>
          <t>2022-12-30</t>
        </is>
      </c>
      <c r="B7330" t="inlineStr">
        <is>
          <t>12:34</t>
        </is>
      </c>
      <c r="C7330" t="n">
        <v>3125</v>
      </c>
      <c r="D7330" s="6" t="n">
        <v>14.4</v>
      </c>
      <c r="E7330" t="n">
        <v>44605</v>
      </c>
      <c r="F7330" s="6" t="n">
        <v>0.4</v>
      </c>
      <c r="G7330" t="n">
        <v>36</v>
      </c>
      <c r="H7330" s="6">
        <f>ROUND(G7330*F7330,2)</f>
        <v/>
      </c>
      <c r="I7330">
        <f>IF(ROUND(H7330-D7330,2)=0,1,0)</f>
        <v/>
      </c>
      <c r="J7330">
        <f>IF(F7330="","none",IF(G7330=1,"carte","multiple"))</f>
        <v/>
      </c>
    </row>
    <row r="7331">
      <c r="A7331" t="inlineStr">
        <is>
          <t>2022-12-30</t>
        </is>
      </c>
      <c r="B7331" t="inlineStr">
        <is>
          <t>12:35</t>
        </is>
      </c>
      <c r="C7331" t="n">
        <v>3125</v>
      </c>
      <c r="D7331" s="6" t="n">
        <v>16.9</v>
      </c>
      <c r="E7331" t="n">
        <v>44606</v>
      </c>
      <c r="F7331" s="6" t="n">
        <v>16.9</v>
      </c>
      <c r="G7331" t="n">
        <v>1</v>
      </c>
      <c r="H7331" s="6">
        <f>ROUND(G7331*F7331,2)</f>
        <v/>
      </c>
      <c r="I7331">
        <f>IF(ROUND(H7331-D7331,2)=0,1,0)</f>
        <v/>
      </c>
      <c r="J7331">
        <f>IF(F7331="","none",IF(G7331=1,"carte","multiple"))</f>
        <v/>
      </c>
    </row>
    <row r="7332">
      <c r="A7332" t="inlineStr">
        <is>
          <t>2022-12-30</t>
        </is>
      </c>
      <c r="B7332" t="inlineStr">
        <is>
          <t>12:35</t>
        </is>
      </c>
      <c r="C7332" t="n">
        <v>3125</v>
      </c>
      <c r="D7332" s="6" t="n">
        <v>18.6</v>
      </c>
      <c r="E7332" t="n">
        <v>44607</v>
      </c>
      <c r="F7332" s="6" t="n">
        <v>18.6</v>
      </c>
      <c r="G7332" t="n">
        <v>1</v>
      </c>
      <c r="H7332" s="6">
        <f>ROUND(G7332*F7332,2)</f>
        <v/>
      </c>
      <c r="I7332">
        <f>IF(ROUND(H7332-D7332,2)=0,1,0)</f>
        <v/>
      </c>
      <c r="J7332">
        <f>IF(F7332="","none",IF(G7332=1,"carte","multiple"))</f>
        <v/>
      </c>
    </row>
    <row r="7333">
      <c r="A7333" t="inlineStr">
        <is>
          <t>2022-12-30</t>
        </is>
      </c>
      <c r="B7333" t="inlineStr">
        <is>
          <t>17:43</t>
        </is>
      </c>
      <c r="C7333" t="n">
        <v>3125</v>
      </c>
      <c r="D7333" s="6" t="n">
        <v>11.7</v>
      </c>
      <c r="E7333" t="n">
        <v>44610</v>
      </c>
      <c r="F7333" s="6" t="n">
        <v>0.9</v>
      </c>
      <c r="G7333" t="n">
        <v>13</v>
      </c>
      <c r="H7333" s="6">
        <f>ROUND(G7333*F7333,2)</f>
        <v/>
      </c>
      <c r="I7333">
        <f>IF(ROUND(H7333-D7333,2)=0,1,0)</f>
        <v/>
      </c>
      <c r="J7333">
        <f>IF(F7333="","none",IF(G7333=1,"carte","multiple"))</f>
        <v/>
      </c>
    </row>
    <row r="7334">
      <c r="A7334" t="inlineStr">
        <is>
          <t>2022-12-30</t>
        </is>
      </c>
      <c r="B7334" t="inlineStr">
        <is>
          <t>17:43</t>
        </is>
      </c>
      <c r="C7334" t="n">
        <v>3125</v>
      </c>
      <c r="D7334" s="6" t="n">
        <v>3.9</v>
      </c>
      <c r="E7334" t="n">
        <v>44611</v>
      </c>
      <c r="F7334" s="6" t="n">
        <v>3.9</v>
      </c>
      <c r="G7334" t="n">
        <v>1</v>
      </c>
      <c r="H7334" s="6">
        <f>ROUND(G7334*F7334,2)</f>
        <v/>
      </c>
      <c r="I7334">
        <f>IF(ROUND(H7334-D7334,2)=0,1,0)</f>
        <v/>
      </c>
      <c r="J7334">
        <f>IF(F7334="","none",IF(G7334=1,"carte","multiple"))</f>
        <v/>
      </c>
    </row>
    <row r="7335">
      <c r="A7335" t="inlineStr">
        <is>
          <t>2022-12-30</t>
        </is>
      </c>
      <c r="B7335" t="inlineStr">
        <is>
          <t>18:26</t>
        </is>
      </c>
      <c r="C7335" t="n">
        <v>3125</v>
      </c>
      <c r="D7335" s="6" t="n">
        <v>3.4</v>
      </c>
      <c r="E7335" t="n">
        <v>44612</v>
      </c>
      <c r="F7335" s="6" t="n">
        <v>3.4</v>
      </c>
      <c r="G7335" t="n">
        <v>1</v>
      </c>
      <c r="H7335" s="6">
        <f>ROUND(G7335*F7335,2)</f>
        <v/>
      </c>
      <c r="I7335">
        <f>IF(ROUND(H7335-D7335,2)=0,1,0)</f>
        <v/>
      </c>
      <c r="J7335">
        <f>IF(F7335="","none",IF(G7335=1,"carte","multiple"))</f>
        <v/>
      </c>
    </row>
    <row r="7336">
      <c r="A7336" t="inlineStr">
        <is>
          <t>2022-12-30</t>
        </is>
      </c>
      <c r="B7336" t="inlineStr">
        <is>
          <t>19:02</t>
        </is>
      </c>
      <c r="C7336" t="n">
        <v>3125</v>
      </c>
      <c r="D7336" s="6" t="n">
        <v>18.6</v>
      </c>
      <c r="E7336" t="n">
        <v>44613</v>
      </c>
      <c r="F7336" s="6" t="n">
        <v>18.6</v>
      </c>
      <c r="G7336" t="n">
        <v>1</v>
      </c>
      <c r="H7336" s="6">
        <f>ROUND(G7336*F7336,2)</f>
        <v/>
      </c>
      <c r="I7336">
        <f>IF(ROUND(H7336-D7336,2)=0,1,0)</f>
        <v/>
      </c>
      <c r="J7336">
        <f>IF(F7336="","none",IF(G7336=1,"carte","multiple"))</f>
        <v/>
      </c>
    </row>
    <row r="7337">
      <c r="A7337" t="inlineStr">
        <is>
          <t>2022-12-30</t>
        </is>
      </c>
      <c r="B7337" t="inlineStr">
        <is>
          <t>19:02</t>
        </is>
      </c>
      <c r="C7337" t="n">
        <v>3125</v>
      </c>
      <c r="D7337" s="6" t="n">
        <v>18.6</v>
      </c>
      <c r="E7337" t="n">
        <v>44614</v>
      </c>
      <c r="F7337" s="6" t="n">
        <v>18.6</v>
      </c>
      <c r="G7337" t="n">
        <v>1</v>
      </c>
      <c r="H7337" s="6">
        <f>ROUND(G7337*F7337,2)</f>
        <v/>
      </c>
      <c r="I7337">
        <f>IF(ROUND(H7337-D7337,2)=0,1,0)</f>
        <v/>
      </c>
      <c r="J7337">
        <f>IF(F7337="","none",IF(G7337=1,"carte","multiple"))</f>
        <v/>
      </c>
    </row>
    <row r="7338">
      <c r="A7338" t="inlineStr">
        <is>
          <t>2022-12-30</t>
        </is>
      </c>
      <c r="B7338" t="inlineStr">
        <is>
          <t>19:02</t>
        </is>
      </c>
      <c r="C7338" t="n">
        <v>3125</v>
      </c>
      <c r="D7338" s="6" t="n">
        <v>4.9</v>
      </c>
      <c r="E7338" t="n">
        <v>44615</v>
      </c>
      <c r="F7338" s="6" t="n">
        <v>4.9</v>
      </c>
      <c r="G7338" t="n">
        <v>1</v>
      </c>
      <c r="H7338" s="6">
        <f>ROUND(G7338*F7338,2)</f>
        <v/>
      </c>
      <c r="I7338">
        <f>IF(ROUND(H7338-D7338,2)=0,1,0)</f>
        <v/>
      </c>
      <c r="J7338">
        <f>IF(F7338="","none",IF(G7338=1,"carte","multiple"))</f>
        <v/>
      </c>
    </row>
    <row r="7339">
      <c r="A7339" t="inlineStr">
        <is>
          <t>2022-12-30</t>
        </is>
      </c>
      <c r="B7339" t="inlineStr">
        <is>
          <t>19:02</t>
        </is>
      </c>
      <c r="C7339" t="n">
        <v>3125</v>
      </c>
      <c r="D7339" s="6" t="n">
        <v>3.9</v>
      </c>
      <c r="E7339" t="n">
        <v>44616</v>
      </c>
      <c r="F7339" s="6" t="n">
        <v>3.9</v>
      </c>
      <c r="G7339" t="n">
        <v>1</v>
      </c>
      <c r="H7339" s="6">
        <f>ROUND(G7339*F7339,2)</f>
        <v/>
      </c>
      <c r="I7339">
        <f>IF(ROUND(H7339-D7339,2)=0,1,0)</f>
        <v/>
      </c>
      <c r="J7339">
        <f>IF(F7339="","none",IF(G7339=1,"carte","multiple"))</f>
        <v/>
      </c>
    </row>
    <row r="7340">
      <c r="A7340" t="inlineStr">
        <is>
          <t>2022-12-30</t>
        </is>
      </c>
      <c r="B7340" t="inlineStr">
        <is>
          <t>19:02</t>
        </is>
      </c>
      <c r="C7340" t="n">
        <v>3125</v>
      </c>
      <c r="D7340" s="6" t="n">
        <v>3.9</v>
      </c>
      <c r="E7340" t="n">
        <v>44617</v>
      </c>
      <c r="F7340" s="6" t="n">
        <v>3.9</v>
      </c>
      <c r="G7340" t="n">
        <v>1</v>
      </c>
      <c r="H7340" s="6">
        <f>ROUND(G7340*F7340,2)</f>
        <v/>
      </c>
      <c r="I7340">
        <f>IF(ROUND(H7340-D7340,2)=0,1,0)</f>
        <v/>
      </c>
      <c r="J7340">
        <f>IF(F7340="","none",IF(G7340=1,"carte","multiple"))</f>
        <v/>
      </c>
    </row>
    <row r="7341">
      <c r="A7341" t="inlineStr">
        <is>
          <t>2022-12-30</t>
        </is>
      </c>
      <c r="B7341" t="inlineStr">
        <is>
          <t>19:02</t>
        </is>
      </c>
      <c r="C7341" t="n">
        <v>3125</v>
      </c>
      <c r="D7341" s="6" t="n">
        <v>4.7</v>
      </c>
      <c r="E7341" t="n">
        <v>44618</v>
      </c>
      <c r="F7341" s="6" t="n">
        <v>4.7</v>
      </c>
      <c r="G7341" t="n">
        <v>1</v>
      </c>
      <c r="H7341" s="6">
        <f>ROUND(G7341*F7341,2)</f>
        <v/>
      </c>
      <c r="I7341">
        <f>IF(ROUND(H7341-D7341,2)=0,1,0)</f>
        <v/>
      </c>
      <c r="J7341">
        <f>IF(F7341="","none",IF(G7341=1,"carte","multiple"))</f>
        <v/>
      </c>
    </row>
    <row r="7342">
      <c r="A7342" t="inlineStr">
        <is>
          <t>2022-12-30</t>
        </is>
      </c>
      <c r="B7342" t="inlineStr">
        <is>
          <t>19:02</t>
        </is>
      </c>
      <c r="C7342" t="n">
        <v>3125</v>
      </c>
      <c r="D7342" s="6" t="n">
        <v>2</v>
      </c>
      <c r="E7342" t="n">
        <v>44619</v>
      </c>
      <c r="F7342" s="6" t="n">
        <v>2</v>
      </c>
      <c r="G7342" t="n">
        <v>1</v>
      </c>
      <c r="H7342" s="6">
        <f>ROUND(G7342*F7342,2)</f>
        <v/>
      </c>
      <c r="I7342">
        <f>IF(ROUND(H7342-D7342,2)=0,1,0)</f>
        <v/>
      </c>
      <c r="J7342">
        <f>IF(F7342="","none",IF(G7342=1,"carte","multiple"))</f>
        <v/>
      </c>
    </row>
    <row r="7343">
      <c r="A7343" t="inlineStr">
        <is>
          <t>2022-12-30</t>
        </is>
      </c>
      <c r="B7343" t="inlineStr">
        <is>
          <t>19:31</t>
        </is>
      </c>
      <c r="C7343" t="n">
        <v>3125</v>
      </c>
      <c r="D7343" s="6" t="n">
        <v>4</v>
      </c>
      <c r="E7343" t="n">
        <v>44620</v>
      </c>
      <c r="F7343" s="6" t="n">
        <v>4</v>
      </c>
      <c r="G7343" t="n">
        <v>1</v>
      </c>
      <c r="H7343" s="6">
        <f>ROUND(G7343*F7343,2)</f>
        <v/>
      </c>
      <c r="I7343">
        <f>IF(ROUND(H7343-D7343,2)=0,1,0)</f>
        <v/>
      </c>
      <c r="J7343">
        <f>IF(F7343="","none",IF(G7343=1,"carte","multiple"))</f>
        <v/>
      </c>
    </row>
    <row r="7344">
      <c r="A7344" t="inlineStr">
        <is>
          <t>2022-12-30</t>
        </is>
      </c>
      <c r="B7344" t="inlineStr">
        <is>
          <t>20:27</t>
        </is>
      </c>
      <c r="C7344" t="n">
        <v>3125</v>
      </c>
      <c r="D7344" s="6" t="n">
        <v>4.4</v>
      </c>
      <c r="E7344" t="n">
        <v>44621</v>
      </c>
      <c r="F7344" s="6" t="n">
        <v>0.4</v>
      </c>
      <c r="G7344" t="n">
        <v>11</v>
      </c>
      <c r="H7344" s="6">
        <f>ROUND(G7344*F7344,2)</f>
        <v/>
      </c>
      <c r="I7344">
        <f>IF(ROUND(H7344-D7344,2)=0,1,0)</f>
        <v/>
      </c>
      <c r="J7344">
        <f>IF(F7344="","none",IF(G7344=1,"carte","multiple"))</f>
        <v/>
      </c>
    </row>
    <row r="7345">
      <c r="A7345" t="inlineStr">
        <is>
          <t>2022-12-30</t>
        </is>
      </c>
      <c r="B7345" t="inlineStr">
        <is>
          <t>20:27</t>
        </is>
      </c>
      <c r="C7345" t="n">
        <v>3125</v>
      </c>
      <c r="D7345" s="6" t="n">
        <v>27.8</v>
      </c>
      <c r="E7345" t="n">
        <v>44622</v>
      </c>
      <c r="F7345" s="6" t="n">
        <v>27.8</v>
      </c>
      <c r="G7345" t="n">
        <v>1</v>
      </c>
      <c r="H7345" s="6">
        <f>ROUND(G7345*F7345,2)</f>
        <v/>
      </c>
      <c r="I7345">
        <f>IF(ROUND(H7345-D7345,2)=0,1,0)</f>
        <v/>
      </c>
      <c r="J7345">
        <f>IF(F7345="","none",IF(G7345=1,"carte","multiple"))</f>
        <v/>
      </c>
    </row>
    <row r="7346">
      <c r="A7346" t="inlineStr">
        <is>
          <t>2022-12-30</t>
        </is>
      </c>
      <c r="B7346" t="inlineStr">
        <is>
          <t>20:27</t>
        </is>
      </c>
      <c r="C7346" t="n">
        <v>3125</v>
      </c>
      <c r="D7346" s="6" t="n">
        <v>18.6</v>
      </c>
      <c r="E7346" t="n">
        <v>44623</v>
      </c>
      <c r="F7346" s="6" t="n">
        <v>18.6</v>
      </c>
      <c r="G7346" t="n">
        <v>1</v>
      </c>
      <c r="H7346" s="6">
        <f>ROUND(G7346*F7346,2)</f>
        <v/>
      </c>
      <c r="I7346">
        <f>IF(ROUND(H7346-D7346,2)=0,1,0)</f>
        <v/>
      </c>
      <c r="J7346">
        <f>IF(F7346="","none",IF(G7346=1,"carte","multiple"))</f>
        <v/>
      </c>
    </row>
    <row r="7347">
      <c r="A7347" t="inlineStr">
        <is>
          <t>2022-12-30</t>
        </is>
      </c>
      <c r="B7347" t="inlineStr">
        <is>
          <t>20:27</t>
        </is>
      </c>
      <c r="C7347" t="n">
        <v>3125</v>
      </c>
      <c r="D7347" s="6" t="n">
        <v>14.5</v>
      </c>
      <c r="E7347" t="n">
        <v>44624</v>
      </c>
      <c r="F7347" s="6" t="n">
        <v>14.5</v>
      </c>
      <c r="G7347" t="n">
        <v>1</v>
      </c>
      <c r="H7347" s="6">
        <f>ROUND(G7347*F7347,2)</f>
        <v/>
      </c>
      <c r="I7347">
        <f>IF(ROUND(H7347-D7347,2)=0,1,0)</f>
        <v/>
      </c>
      <c r="J7347">
        <f>IF(F7347="","none",IF(G7347=1,"carte","multiple"))</f>
        <v/>
      </c>
    </row>
    <row r="7348">
      <c r="A7348" t="inlineStr">
        <is>
          <t>2022-12-30</t>
        </is>
      </c>
      <c r="B7348" t="inlineStr">
        <is>
          <t>20:27</t>
        </is>
      </c>
      <c r="C7348" t="n">
        <v>3125</v>
      </c>
      <c r="D7348" s="6" t="n">
        <v>8</v>
      </c>
      <c r="E7348" t="n">
        <v>44625</v>
      </c>
      <c r="F7348" s="6" t="n">
        <v>8</v>
      </c>
      <c r="G7348" t="n">
        <v>1</v>
      </c>
      <c r="H7348" s="6">
        <f>ROUND(G7348*F7348,2)</f>
        <v/>
      </c>
      <c r="I7348">
        <f>IF(ROUND(H7348-D7348,2)=0,1,0)</f>
        <v/>
      </c>
      <c r="J7348">
        <f>IF(F7348="","none",IF(G7348=1,"carte","multiple"))</f>
        <v/>
      </c>
    </row>
    <row r="7349">
      <c r="A7349" t="inlineStr">
        <is>
          <t>2022-12-30</t>
        </is>
      </c>
      <c r="B7349" t="inlineStr">
        <is>
          <t>20:27</t>
        </is>
      </c>
      <c r="C7349" t="n">
        <v>3125</v>
      </c>
      <c r="D7349" s="6" t="n">
        <v>32</v>
      </c>
      <c r="E7349" t="n">
        <v>44626</v>
      </c>
      <c r="F7349" s="6" t="n">
        <v>32</v>
      </c>
      <c r="G7349" t="n">
        <v>1</v>
      </c>
      <c r="H7349" s="6">
        <f>ROUND(G7349*F7349,2)</f>
        <v/>
      </c>
      <c r="I7349">
        <f>IF(ROUND(H7349-D7349,2)=0,1,0)</f>
        <v/>
      </c>
      <c r="J7349">
        <f>IF(F7349="","none",IF(G7349=1,"carte","multiple"))</f>
        <v/>
      </c>
    </row>
    <row r="7350">
      <c r="A7350" t="inlineStr">
        <is>
          <t>2022-12-30</t>
        </is>
      </c>
      <c r="B7350" t="inlineStr">
        <is>
          <t>20:27</t>
        </is>
      </c>
      <c r="C7350" t="n">
        <v>3125</v>
      </c>
      <c r="D7350" s="6" t="n">
        <v>3.9</v>
      </c>
      <c r="E7350" t="n">
        <v>44627</v>
      </c>
      <c r="F7350" s="6" t="n">
        <v>3.9</v>
      </c>
      <c r="G7350" t="n">
        <v>1</v>
      </c>
      <c r="H7350" s="6">
        <f>ROUND(G7350*F7350,2)</f>
        <v/>
      </c>
      <c r="I7350">
        <f>IF(ROUND(H7350-D7350,2)=0,1,0)</f>
        <v/>
      </c>
      <c r="J7350">
        <f>IF(F7350="","none",IF(G7350=1,"carte","multiple"))</f>
        <v/>
      </c>
    </row>
    <row r="7351">
      <c r="A7351" t="inlineStr">
        <is>
          <t>2022-12-30</t>
        </is>
      </c>
      <c r="B7351" t="inlineStr">
        <is>
          <t>20:27</t>
        </is>
      </c>
      <c r="C7351" t="n">
        <v>3125</v>
      </c>
      <c r="D7351" s="6" t="n">
        <v>9.800000000000001</v>
      </c>
      <c r="E7351" t="n">
        <v>44628</v>
      </c>
      <c r="F7351" s="6" t="n">
        <v>9.800000000000001</v>
      </c>
      <c r="G7351" t="n">
        <v>1</v>
      </c>
      <c r="H7351" s="6">
        <f>ROUND(G7351*F7351,2)</f>
        <v/>
      </c>
      <c r="I7351">
        <f>IF(ROUND(H7351-D7351,2)=0,1,0)</f>
        <v/>
      </c>
      <c r="J7351">
        <f>IF(F7351="","none",IF(G7351=1,"carte","multiple"))</f>
        <v/>
      </c>
    </row>
    <row r="7352">
      <c r="A7352" t="inlineStr">
        <is>
          <t>2022-12-30</t>
        </is>
      </c>
      <c r="B7352" t="inlineStr">
        <is>
          <t>20:37</t>
        </is>
      </c>
      <c r="C7352" t="n">
        <v>3125</v>
      </c>
      <c r="D7352" s="6" t="n">
        <v>8.699999999999999</v>
      </c>
      <c r="E7352" t="n">
        <v>44629</v>
      </c>
      <c r="F7352" s="6" t="n">
        <v>8.699999999999999</v>
      </c>
      <c r="G7352" t="n">
        <v>1</v>
      </c>
      <c r="H7352" s="6">
        <f>ROUND(G7352*F7352,2)</f>
        <v/>
      </c>
      <c r="I7352">
        <f>IF(ROUND(H7352-D7352,2)=0,1,0)</f>
        <v/>
      </c>
      <c r="J7352">
        <f>IF(F7352="","none",IF(G7352=1,"carte","multiple"))</f>
        <v/>
      </c>
    </row>
    <row r="7353">
      <c r="A7353" t="inlineStr">
        <is>
          <t>2022-12-30</t>
        </is>
      </c>
      <c r="B7353" t="inlineStr">
        <is>
          <t>20:37</t>
        </is>
      </c>
      <c r="C7353" t="n">
        <v>3125</v>
      </c>
      <c r="D7353" s="6" t="n">
        <v>1.8</v>
      </c>
      <c r="E7353" t="n">
        <v>44630</v>
      </c>
      <c r="F7353" s="6" t="n">
        <v>1.8</v>
      </c>
      <c r="G7353" t="n">
        <v>1</v>
      </c>
      <c r="H7353" s="6">
        <f>ROUND(G7353*F7353,2)</f>
        <v/>
      </c>
      <c r="I7353">
        <f>IF(ROUND(H7353-D7353,2)=0,1,0)</f>
        <v/>
      </c>
      <c r="J7353">
        <f>IF(F7353="","none",IF(G7353=1,"carte","multiple"))</f>
        <v/>
      </c>
    </row>
    <row r="7354">
      <c r="A7354" t="inlineStr">
        <is>
          <t>2022-12-30</t>
        </is>
      </c>
      <c r="B7354" t="inlineStr">
        <is>
          <t>20:37</t>
        </is>
      </c>
      <c r="C7354" t="n">
        <v>3125</v>
      </c>
      <c r="D7354" s="6" t="n">
        <v>3.9</v>
      </c>
      <c r="E7354" t="n">
        <v>44631</v>
      </c>
      <c r="F7354" s="6" t="n">
        <v>3.9</v>
      </c>
      <c r="G7354" t="n">
        <v>1</v>
      </c>
      <c r="H7354" s="6">
        <f>ROUND(G7354*F7354,2)</f>
        <v/>
      </c>
      <c r="I7354">
        <f>IF(ROUND(H7354-D7354,2)=0,1,0)</f>
        <v/>
      </c>
      <c r="J7354">
        <f>IF(F7354="","none",IF(G7354=1,"carte","multiple"))</f>
        <v/>
      </c>
    </row>
    <row r="7355">
      <c r="A7355" t="inlineStr">
        <is>
          <t>2022-12-30</t>
        </is>
      </c>
      <c r="B7355" t="inlineStr">
        <is>
          <t>20:37</t>
        </is>
      </c>
      <c r="C7355" t="n">
        <v>3125</v>
      </c>
      <c r="D7355" s="6" t="n">
        <v>9</v>
      </c>
      <c r="E7355" t="n">
        <v>44632</v>
      </c>
      <c r="F7355" s="6" t="n">
        <v>9</v>
      </c>
      <c r="G7355" t="n">
        <v>1</v>
      </c>
      <c r="H7355" s="6">
        <f>ROUND(G7355*F7355,2)</f>
        <v/>
      </c>
      <c r="I7355">
        <f>IF(ROUND(H7355-D7355,2)=0,1,0)</f>
        <v/>
      </c>
      <c r="J7355">
        <f>IF(F7355="","none",IF(G7355=1,"carte","multiple"))</f>
        <v/>
      </c>
    </row>
    <row r="7356">
      <c r="A7356" t="inlineStr">
        <is>
          <t>2022-12-30</t>
        </is>
      </c>
      <c r="B7356" t="inlineStr">
        <is>
          <t>20:37</t>
        </is>
      </c>
      <c r="C7356" t="n">
        <v>3125</v>
      </c>
      <c r="D7356" s="6" t="n">
        <v>3.9</v>
      </c>
      <c r="E7356" t="n">
        <v>44633</v>
      </c>
      <c r="F7356" s="6" t="n">
        <v>3.9</v>
      </c>
      <c r="G7356" t="n">
        <v>1</v>
      </c>
      <c r="H7356" s="6">
        <f>ROUND(G7356*F7356,2)</f>
        <v/>
      </c>
      <c r="I7356">
        <f>IF(ROUND(H7356-D7356,2)=0,1,0)</f>
        <v/>
      </c>
      <c r="J7356">
        <f>IF(F7356="","none",IF(G7356=1,"carte","multiple"))</f>
        <v/>
      </c>
    </row>
    <row r="7357">
      <c r="A7357" t="inlineStr">
        <is>
          <t>2022-12-30</t>
        </is>
      </c>
      <c r="B7357" t="inlineStr">
        <is>
          <t>20:37</t>
        </is>
      </c>
      <c r="C7357" t="n">
        <v>3125</v>
      </c>
      <c r="D7357" s="6" t="n">
        <v>9.800000000000001</v>
      </c>
      <c r="E7357" t="n">
        <v>44634</v>
      </c>
      <c r="F7357" s="6" t="n">
        <v>9.800000000000001</v>
      </c>
      <c r="G7357" t="n">
        <v>1</v>
      </c>
      <c r="H7357" s="6">
        <f>ROUND(G7357*F7357,2)</f>
        <v/>
      </c>
      <c r="I7357">
        <f>IF(ROUND(H7357-D7357,2)=0,1,0)</f>
        <v/>
      </c>
      <c r="J7357">
        <f>IF(F7357="","none",IF(G7357=1,"carte","multiple"))</f>
        <v/>
      </c>
    </row>
    <row r="7358">
      <c r="A7358" t="inlineStr">
        <is>
          <t>2022-12-30</t>
        </is>
      </c>
      <c r="B7358" t="inlineStr">
        <is>
          <t>20:37</t>
        </is>
      </c>
      <c r="C7358" t="n">
        <v>3125</v>
      </c>
      <c r="D7358" s="6" t="n">
        <v>5.2</v>
      </c>
      <c r="E7358" t="n">
        <v>44635</v>
      </c>
      <c r="F7358" s="6" t="n">
        <v>5.2</v>
      </c>
      <c r="G7358" t="n">
        <v>1</v>
      </c>
      <c r="H7358" s="6">
        <f>ROUND(G7358*F7358,2)</f>
        <v/>
      </c>
      <c r="I7358">
        <f>IF(ROUND(H7358-D7358,2)=0,1,0)</f>
        <v/>
      </c>
      <c r="J7358">
        <f>IF(F7358="","none",IF(G7358=1,"carte","multiple"))</f>
        <v/>
      </c>
    </row>
    <row r="7359">
      <c r="A7359" t="inlineStr">
        <is>
          <t>2022-12-30</t>
        </is>
      </c>
      <c r="B7359" t="inlineStr">
        <is>
          <t>20:37</t>
        </is>
      </c>
      <c r="C7359" t="n">
        <v>3125</v>
      </c>
      <c r="D7359" s="6" t="n">
        <v>3.9</v>
      </c>
      <c r="E7359" t="n">
        <v>44636</v>
      </c>
      <c r="F7359" s="6" t="n">
        <v>3.9</v>
      </c>
      <c r="G7359" t="n">
        <v>1</v>
      </c>
      <c r="H7359" s="6">
        <f>ROUND(G7359*F7359,2)</f>
        <v/>
      </c>
      <c r="I7359">
        <f>IF(ROUND(H7359-D7359,2)=0,1,0)</f>
        <v/>
      </c>
      <c r="J7359">
        <f>IF(F7359="","none",IF(G7359=1,"carte","multiple"))</f>
        <v/>
      </c>
    </row>
    <row r="7360">
      <c r="A7360" t="inlineStr">
        <is>
          <t>2022-12-30</t>
        </is>
      </c>
      <c r="B7360" t="inlineStr">
        <is>
          <t>20:37</t>
        </is>
      </c>
      <c r="C7360" t="n">
        <v>3125</v>
      </c>
      <c r="D7360" s="6" t="n">
        <v>4.2</v>
      </c>
      <c r="E7360" t="n">
        <v>44637</v>
      </c>
      <c r="F7360" s="6" t="n">
        <v>4.2</v>
      </c>
      <c r="G7360" t="n">
        <v>1</v>
      </c>
      <c r="H7360" s="6">
        <f>ROUND(G7360*F7360,2)</f>
        <v/>
      </c>
      <c r="I7360">
        <f>IF(ROUND(H7360-D7360,2)=0,1,0)</f>
        <v/>
      </c>
      <c r="J7360">
        <f>IF(F7360="","none",IF(G7360=1,"carte","multiple"))</f>
        <v/>
      </c>
    </row>
    <row r="7361">
      <c r="A7361" t="inlineStr">
        <is>
          <t>2022-12-30</t>
        </is>
      </c>
      <c r="B7361" t="inlineStr">
        <is>
          <t>20:37</t>
        </is>
      </c>
      <c r="C7361" t="n">
        <v>3125</v>
      </c>
      <c r="D7361" s="6" t="n">
        <v>2.2</v>
      </c>
      <c r="E7361" t="n">
        <v>44638</v>
      </c>
      <c r="F7361" s="6" t="n">
        <v>2.2</v>
      </c>
      <c r="G7361" t="n">
        <v>1</v>
      </c>
      <c r="H7361" s="6">
        <f>ROUND(G7361*F7361,2)</f>
        <v/>
      </c>
      <c r="I7361">
        <f>IF(ROUND(H7361-D7361,2)=0,1,0)</f>
        <v/>
      </c>
      <c r="J7361">
        <f>IF(F7361="","none",IF(G7361=1,"carte","multiple"))</f>
        <v/>
      </c>
    </row>
    <row r="7362">
      <c r="A7362" t="inlineStr">
        <is>
          <t>2022-12-30</t>
        </is>
      </c>
      <c r="B7362" t="inlineStr">
        <is>
          <t>20:37</t>
        </is>
      </c>
      <c r="C7362" t="n">
        <v>3125</v>
      </c>
      <c r="D7362" s="6" t="n">
        <v>4.9</v>
      </c>
      <c r="E7362" t="n">
        <v>44639</v>
      </c>
      <c r="F7362" s="6" t="n">
        <v>4.9</v>
      </c>
      <c r="G7362" t="n">
        <v>1</v>
      </c>
      <c r="H7362" s="6">
        <f>ROUND(G7362*F7362,2)</f>
        <v/>
      </c>
      <c r="I7362">
        <f>IF(ROUND(H7362-D7362,2)=0,1,0)</f>
        <v/>
      </c>
      <c r="J7362">
        <f>IF(F7362="","none",IF(G7362=1,"carte","multiple"))</f>
        <v/>
      </c>
    </row>
    <row r="7363">
      <c r="A7363" t="inlineStr">
        <is>
          <t>2022-12-31</t>
        </is>
      </c>
      <c r="B7363" t="inlineStr">
        <is>
          <t>11:46</t>
        </is>
      </c>
      <c r="C7363" t="n">
        <v>3126</v>
      </c>
      <c r="D7363" s="6" t="n">
        <v>18.6</v>
      </c>
      <c r="E7363" t="n">
        <v>44642</v>
      </c>
      <c r="F7363" s="6" t="n">
        <v>18.6</v>
      </c>
      <c r="G7363" t="n">
        <v>1</v>
      </c>
      <c r="H7363" s="6">
        <f>ROUND(G7363*F7363,2)</f>
        <v/>
      </c>
      <c r="I7363">
        <f>IF(ROUND(H7363-D7363,2)=0,1,0)</f>
        <v/>
      </c>
      <c r="J7363">
        <f>IF(F7363="","none",IF(G7363=1,"carte","multiple"))</f>
        <v/>
      </c>
    </row>
    <row r="7364">
      <c r="A7364" t="inlineStr">
        <is>
          <t>2022-12-31</t>
        </is>
      </c>
      <c r="B7364" t="inlineStr">
        <is>
          <t>11:46</t>
        </is>
      </c>
      <c r="C7364" t="n">
        <v>3126</v>
      </c>
      <c r="D7364" s="6" t="n">
        <v>4.2</v>
      </c>
      <c r="E7364" t="n">
        <v>44643</v>
      </c>
      <c r="F7364" s="6" t="n">
        <v>4.2</v>
      </c>
      <c r="G7364" t="n">
        <v>1</v>
      </c>
      <c r="H7364" s="6">
        <f>ROUND(G7364*F7364,2)</f>
        <v/>
      </c>
      <c r="I7364">
        <f>IF(ROUND(H7364-D7364,2)=0,1,0)</f>
        <v/>
      </c>
      <c r="J7364">
        <f>IF(F7364="","none",IF(G7364=1,"carte","multiple"))</f>
        <v/>
      </c>
    </row>
    <row r="7365">
      <c r="A7365" t="inlineStr">
        <is>
          <t>2022-12-31</t>
        </is>
      </c>
      <c r="B7365" t="inlineStr">
        <is>
          <t>11:46</t>
        </is>
      </c>
      <c r="C7365" t="n">
        <v>3126</v>
      </c>
      <c r="D7365" s="6" t="n">
        <v>3.9</v>
      </c>
      <c r="E7365" t="n">
        <v>44644</v>
      </c>
      <c r="F7365" s="6" t="n">
        <v>3.9</v>
      </c>
      <c r="G7365" t="n">
        <v>1</v>
      </c>
      <c r="H7365" s="6">
        <f>ROUND(G7365*F7365,2)</f>
        <v/>
      </c>
      <c r="I7365">
        <f>IF(ROUND(H7365-D7365,2)=0,1,0)</f>
        <v/>
      </c>
      <c r="J7365">
        <f>IF(F7365="","none",IF(G7365=1,"carte","multiple"))</f>
        <v/>
      </c>
    </row>
    <row r="7366">
      <c r="A7366" t="inlineStr">
        <is>
          <t>2022-12-31</t>
        </is>
      </c>
      <c r="B7366" t="inlineStr">
        <is>
          <t>12:33</t>
        </is>
      </c>
      <c r="C7366" t="n">
        <v>3126</v>
      </c>
      <c r="D7366" s="6" t="n">
        <v>2.2</v>
      </c>
      <c r="E7366" t="n">
        <v>44645</v>
      </c>
      <c r="F7366" s="6" t="n">
        <v>2.2</v>
      </c>
      <c r="G7366" t="n">
        <v>1</v>
      </c>
      <c r="H7366" s="6">
        <f>ROUND(G7366*F7366,2)</f>
        <v/>
      </c>
      <c r="I7366">
        <f>IF(ROUND(H7366-D7366,2)=0,1,0)</f>
        <v/>
      </c>
      <c r="J7366">
        <f>IF(F7366="","none",IF(G7366=1,"carte","multiple"))</f>
        <v/>
      </c>
    </row>
    <row r="7367">
      <c r="A7367" t="inlineStr">
        <is>
          <t>2022-12-31</t>
        </is>
      </c>
      <c r="B7367" t="inlineStr">
        <is>
          <t>12:33</t>
        </is>
      </c>
      <c r="C7367" t="n">
        <v>3126</v>
      </c>
      <c r="D7367" s="6" t="n">
        <v>8.699999999999999</v>
      </c>
      <c r="E7367" t="n">
        <v>44646</v>
      </c>
      <c r="F7367" s="6" t="n">
        <v>8.699999999999999</v>
      </c>
      <c r="G7367" t="n">
        <v>1</v>
      </c>
      <c r="H7367" s="6">
        <f>ROUND(G7367*F7367,2)</f>
        <v/>
      </c>
      <c r="I7367">
        <f>IF(ROUND(H7367-D7367,2)=0,1,0)</f>
        <v/>
      </c>
      <c r="J7367">
        <f>IF(F7367="","none",IF(G7367=1,"carte","multiple"))</f>
        <v/>
      </c>
    </row>
    <row r="7368">
      <c r="A7368" t="inlineStr">
        <is>
          <t>2022-12-31</t>
        </is>
      </c>
      <c r="B7368" t="inlineStr">
        <is>
          <t>12:33</t>
        </is>
      </c>
      <c r="C7368" t="n">
        <v>3126</v>
      </c>
      <c r="D7368" s="6" t="n">
        <v>18.6</v>
      </c>
      <c r="E7368" t="n">
        <v>44647</v>
      </c>
      <c r="F7368" s="6" t="n">
        <v>18.6</v>
      </c>
      <c r="G7368" t="n">
        <v>1</v>
      </c>
      <c r="H7368" s="6">
        <f>ROUND(G7368*F7368,2)</f>
        <v/>
      </c>
      <c r="I7368">
        <f>IF(ROUND(H7368-D7368,2)=0,1,0)</f>
        <v/>
      </c>
      <c r="J7368">
        <f>IF(F7368="","none",IF(G7368=1,"carte","multiple"))</f>
        <v/>
      </c>
    </row>
    <row r="7369">
      <c r="A7369" t="inlineStr">
        <is>
          <t>2022-12-31</t>
        </is>
      </c>
      <c r="B7369" t="inlineStr">
        <is>
          <t>12:33</t>
        </is>
      </c>
      <c r="C7369" t="n">
        <v>3126</v>
      </c>
      <c r="D7369" s="6" t="n">
        <v>18.6</v>
      </c>
      <c r="E7369" t="n">
        <v>44648</v>
      </c>
      <c r="F7369" s="6" t="n">
        <v>18.6</v>
      </c>
      <c r="G7369" t="n">
        <v>1</v>
      </c>
      <c r="H7369" s="6">
        <f>ROUND(G7369*F7369,2)</f>
        <v/>
      </c>
      <c r="I7369">
        <f>IF(ROUND(H7369-D7369,2)=0,1,0)</f>
        <v/>
      </c>
      <c r="J7369">
        <f>IF(F7369="","none",IF(G7369=1,"carte","multiple"))</f>
        <v/>
      </c>
    </row>
    <row r="7370">
      <c r="A7370" t="inlineStr">
        <is>
          <t>2022-12-31</t>
        </is>
      </c>
      <c r="B7370" t="inlineStr">
        <is>
          <t>12:33</t>
        </is>
      </c>
      <c r="C7370" t="n">
        <v>3126</v>
      </c>
      <c r="D7370" s="6" t="n">
        <v>7.2</v>
      </c>
      <c r="E7370" t="n">
        <v>44649</v>
      </c>
      <c r="F7370" s="6" t="n">
        <v>7.2</v>
      </c>
      <c r="G7370" t="n">
        <v>1</v>
      </c>
      <c r="H7370" s="6">
        <f>ROUND(G7370*F7370,2)</f>
        <v/>
      </c>
      <c r="I7370">
        <f>IF(ROUND(H7370-D7370,2)=0,1,0)</f>
        <v/>
      </c>
      <c r="J7370">
        <f>IF(F7370="","none",IF(G7370=1,"carte","multiple"))</f>
        <v/>
      </c>
    </row>
    <row r="7371">
      <c r="A7371" t="inlineStr">
        <is>
          <t>2022-12-31</t>
        </is>
      </c>
      <c r="B7371" t="inlineStr">
        <is>
          <t>12:33</t>
        </is>
      </c>
      <c r="C7371" t="n">
        <v>3126</v>
      </c>
      <c r="D7371" s="6" t="n">
        <v>6.4</v>
      </c>
      <c r="E7371" t="n">
        <v>44650</v>
      </c>
      <c r="F7371" s="6" t="n">
        <v>6.4</v>
      </c>
      <c r="G7371" t="n">
        <v>1</v>
      </c>
      <c r="H7371" s="6">
        <f>ROUND(G7371*F7371,2)</f>
        <v/>
      </c>
      <c r="I7371">
        <f>IF(ROUND(H7371-D7371,2)=0,1,0)</f>
        <v/>
      </c>
      <c r="J7371">
        <f>IF(F7371="","none",IF(G7371=1,"carte","multiple"))</f>
        <v/>
      </c>
    </row>
    <row r="7372">
      <c r="A7372" t="inlineStr">
        <is>
          <t>2022-12-31</t>
        </is>
      </c>
      <c r="B7372" t="inlineStr">
        <is>
          <t>12:33</t>
        </is>
      </c>
      <c r="C7372" t="n">
        <v>3126</v>
      </c>
      <c r="D7372" s="6" t="n">
        <v>12</v>
      </c>
      <c r="E7372" t="n">
        <v>44651</v>
      </c>
      <c r="F7372" s="6" t="n">
        <v>12</v>
      </c>
      <c r="G7372" t="n">
        <v>1</v>
      </c>
      <c r="H7372" s="6">
        <f>ROUND(G7372*F7372,2)</f>
        <v/>
      </c>
      <c r="I7372">
        <f>IF(ROUND(H7372-D7372,2)=0,1,0)</f>
        <v/>
      </c>
      <c r="J7372">
        <f>IF(F7372="","none",IF(G7372=1,"carte","multiple"))</f>
        <v/>
      </c>
    </row>
    <row r="7373">
      <c r="A7373" t="inlineStr">
        <is>
          <t>2022-12-31</t>
        </is>
      </c>
      <c r="B7373" t="inlineStr">
        <is>
          <t>18:26</t>
        </is>
      </c>
      <c r="C7373" t="n">
        <v>3126</v>
      </c>
      <c r="D7373" s="6" t="n">
        <v>24</v>
      </c>
      <c r="E7373" t="n">
        <v>44653</v>
      </c>
      <c r="F7373" s="6" t="n">
        <v>24</v>
      </c>
      <c r="G7373" t="n">
        <v>1</v>
      </c>
      <c r="H7373" s="6">
        <f>ROUND(G7373*F7373,2)</f>
        <v/>
      </c>
      <c r="I7373">
        <f>IF(ROUND(H7373-D7373,2)=0,1,0)</f>
        <v/>
      </c>
      <c r="J7373">
        <f>IF(F7373="","none",IF(G7373=1,"carte","multiple"))</f>
        <v/>
      </c>
    </row>
    <row r="7374">
      <c r="A7374" t="inlineStr">
        <is>
          <t>2022-12-31</t>
        </is>
      </c>
      <c r="B7374" t="inlineStr">
        <is>
          <t>19:59</t>
        </is>
      </c>
      <c r="C7374" t="n">
        <v>3126</v>
      </c>
      <c r="D7374" s="6" t="n">
        <v>46</v>
      </c>
      <c r="E7374" t="n">
        <v>44654</v>
      </c>
      <c r="F7374" s="6" t="n">
        <v>0.4</v>
      </c>
      <c r="G7374" t="n">
        <v>115</v>
      </c>
      <c r="H7374" s="6">
        <f>ROUND(G7374*F7374,2)</f>
        <v/>
      </c>
      <c r="I7374">
        <f>IF(ROUND(H7374-D7374,2)=0,1,0)</f>
        <v/>
      </c>
      <c r="J7374">
        <f>IF(F7374="","none",IF(G7374=1,"carte","multiple"))</f>
        <v/>
      </c>
    </row>
    <row r="7375">
      <c r="A7375" t="inlineStr">
        <is>
          <t>2022-12-31</t>
        </is>
      </c>
      <c r="B7375" t="inlineStr">
        <is>
          <t>20:01</t>
        </is>
      </c>
      <c r="C7375" t="n">
        <v>3126</v>
      </c>
      <c r="D7375" s="6" t="n">
        <v>16.9</v>
      </c>
      <c r="E7375" t="n">
        <v>44655</v>
      </c>
      <c r="F7375" s="6" t="n">
        <v>16.9</v>
      </c>
      <c r="G7375" t="n">
        <v>1</v>
      </c>
      <c r="H7375" s="6">
        <f>ROUND(G7375*F7375,2)</f>
        <v/>
      </c>
      <c r="I7375">
        <f>IF(ROUND(H7375-D7375,2)=0,1,0)</f>
        <v/>
      </c>
      <c r="J7375">
        <f>IF(F7375="","none",IF(G7375=1,"carte","multiple"))</f>
        <v/>
      </c>
    </row>
    <row r="7376">
      <c r="A7376" t="inlineStr">
        <is>
          <t>2022-12-31</t>
        </is>
      </c>
      <c r="B7376" t="inlineStr">
        <is>
          <t>20:47</t>
        </is>
      </c>
      <c r="C7376" t="n">
        <v>3126</v>
      </c>
      <c r="D7376" s="6" t="n">
        <v>3.9</v>
      </c>
      <c r="E7376" t="n">
        <v>44656</v>
      </c>
      <c r="F7376" s="6" t="n">
        <v>3.9</v>
      </c>
      <c r="G7376" t="n">
        <v>1</v>
      </c>
      <c r="H7376" s="6">
        <f>ROUND(G7376*F7376,2)</f>
        <v/>
      </c>
      <c r="I7376">
        <f>IF(ROUND(H7376-D7376,2)=0,1,0)</f>
        <v/>
      </c>
      <c r="J7376">
        <f>IF(F7376="","none",IF(G7376=1,"carte","multiple"))</f>
        <v/>
      </c>
    </row>
    <row r="7377">
      <c r="A7377" t="inlineStr">
        <is>
          <t>2022-12-31</t>
        </is>
      </c>
      <c r="B7377" t="inlineStr">
        <is>
          <t>20:47</t>
        </is>
      </c>
      <c r="C7377" t="n">
        <v>3126</v>
      </c>
      <c r="D7377" s="6" t="n">
        <v>5.6</v>
      </c>
      <c r="E7377" t="n">
        <v>44657</v>
      </c>
      <c r="F7377" s="6" t="n">
        <v>5.6</v>
      </c>
      <c r="G7377" t="n">
        <v>1</v>
      </c>
      <c r="H7377" s="6">
        <f>ROUND(G7377*F7377,2)</f>
        <v/>
      </c>
      <c r="I7377">
        <f>IF(ROUND(H7377-D7377,2)=0,1,0)</f>
        <v/>
      </c>
      <c r="J7377">
        <f>IF(F7377="","none",IF(G7377=1,"carte","multiple"))</f>
        <v/>
      </c>
    </row>
    <row r="7378">
      <c r="A7378" t="inlineStr">
        <is>
          <t>2022-12-31</t>
        </is>
      </c>
      <c r="B7378" t="inlineStr">
        <is>
          <t>20:47</t>
        </is>
      </c>
      <c r="C7378" t="n">
        <v>3126</v>
      </c>
      <c r="D7378" s="6" t="n">
        <v>19.9</v>
      </c>
      <c r="E7378" t="n">
        <v>44658</v>
      </c>
      <c r="F7378" s="6" t="n">
        <v>19.9</v>
      </c>
      <c r="G7378" t="n">
        <v>1</v>
      </c>
      <c r="H7378" s="6">
        <f>ROUND(G7378*F7378,2)</f>
        <v/>
      </c>
      <c r="I7378">
        <f>IF(ROUND(H7378-D7378,2)=0,1,0)</f>
        <v/>
      </c>
      <c r="J7378">
        <f>IF(F7378="","none",IF(G7378=1,"carte","multiple"))</f>
        <v/>
      </c>
    </row>
    <row r="7379">
      <c r="A7379" t="inlineStr">
        <is>
          <t>2022-12-31</t>
        </is>
      </c>
      <c r="B7379" t="inlineStr">
        <is>
          <t>20:47</t>
        </is>
      </c>
      <c r="C7379" t="n">
        <v>3126</v>
      </c>
      <c r="D7379" s="6" t="n">
        <v>18.6</v>
      </c>
      <c r="E7379" t="n">
        <v>44659</v>
      </c>
      <c r="F7379" s="6" t="n">
        <v>18.6</v>
      </c>
      <c r="G7379" t="n">
        <v>1</v>
      </c>
      <c r="H7379" s="6">
        <f>ROUND(G7379*F7379,2)</f>
        <v/>
      </c>
      <c r="I7379">
        <f>IF(ROUND(H7379-D7379,2)=0,1,0)</f>
        <v/>
      </c>
      <c r="J7379">
        <f>IF(F7379="","none",IF(G7379=1,"carte","multiple"))</f>
        <v/>
      </c>
    </row>
    <row r="7380">
      <c r="A7380" t="inlineStr">
        <is>
          <t>2022-12-31</t>
        </is>
      </c>
      <c r="B7380" t="inlineStr">
        <is>
          <t>20:47</t>
        </is>
      </c>
      <c r="C7380" t="n">
        <v>3126</v>
      </c>
      <c r="D7380" s="6" t="n">
        <v>4.2</v>
      </c>
      <c r="E7380" t="n">
        <v>44660</v>
      </c>
      <c r="F7380" s="6" t="n">
        <v>4.2</v>
      </c>
      <c r="G7380" t="n">
        <v>1</v>
      </c>
      <c r="H7380" s="6">
        <f>ROUND(G7380*F7380,2)</f>
        <v/>
      </c>
      <c r="I7380">
        <f>IF(ROUND(H7380-D7380,2)=0,1,0)</f>
        <v/>
      </c>
      <c r="J7380">
        <f>IF(F7380="","none",IF(G7380=1,"carte","multiple"))</f>
        <v/>
      </c>
    </row>
    <row r="7381">
      <c r="A7381" t="inlineStr">
        <is>
          <t>2022-12-31</t>
        </is>
      </c>
      <c r="B7381" t="inlineStr">
        <is>
          <t>20:47</t>
        </is>
      </c>
      <c r="C7381" t="n">
        <v>3126</v>
      </c>
      <c r="D7381" s="6" t="n">
        <v>4.2</v>
      </c>
      <c r="E7381" t="n">
        <v>44661</v>
      </c>
      <c r="F7381" s="6" t="n">
        <v>4.2</v>
      </c>
      <c r="G7381" t="n">
        <v>1</v>
      </c>
      <c r="H7381" s="6">
        <f>ROUND(G7381*F7381,2)</f>
        <v/>
      </c>
      <c r="I7381">
        <f>IF(ROUND(H7381-D7381,2)=0,1,0)</f>
        <v/>
      </c>
      <c r="J7381">
        <f>IF(F7381="","none",IF(G7381=1,"carte","multiple"))</f>
        <v/>
      </c>
    </row>
    <row r="7382">
      <c r="A7382" t="inlineStr">
        <is>
          <t>2022-12-31</t>
        </is>
      </c>
      <c r="B7382" t="inlineStr">
        <is>
          <t>21:51</t>
        </is>
      </c>
      <c r="C7382" t="n">
        <v>3126</v>
      </c>
      <c r="D7382" s="6" t="n">
        <v>4.2</v>
      </c>
      <c r="E7382" t="n">
        <v>44662</v>
      </c>
      <c r="F7382" s="6" t="n">
        <v>4.2</v>
      </c>
      <c r="G7382" t="n">
        <v>1</v>
      </c>
      <c r="H7382" s="6">
        <f>ROUND(G7382*F7382,2)</f>
        <v/>
      </c>
      <c r="I7382">
        <f>IF(ROUND(H7382-D7382,2)=0,1,0)</f>
        <v/>
      </c>
      <c r="J7382">
        <f>IF(F7382="","none",IF(G7382=1,"carte","multiple"))</f>
        <v/>
      </c>
    </row>
    <row r="7383">
      <c r="A7383" t="inlineStr">
        <is>
          <t>2023-01-04</t>
        </is>
      </c>
      <c r="B7383" t="inlineStr">
        <is>
          <t>12:20</t>
        </is>
      </c>
      <c r="C7383" t="n">
        <v>3127</v>
      </c>
      <c r="D7383" s="6" t="n">
        <v>4.4</v>
      </c>
      <c r="E7383" t="n">
        <v>44667</v>
      </c>
      <c r="F7383" s="6" t="n">
        <v>0.4</v>
      </c>
      <c r="G7383" t="n">
        <v>11</v>
      </c>
      <c r="H7383" s="6">
        <f>ROUND(G7383*F7383,2)</f>
        <v/>
      </c>
      <c r="I7383">
        <f>IF(ROUND(H7383-D7383,2)=0,1,0)</f>
        <v/>
      </c>
      <c r="J7383">
        <f>IF(F7383="","none",IF(G7383=1,"carte","multiple"))</f>
        <v/>
      </c>
    </row>
    <row r="7384">
      <c r="A7384" t="inlineStr">
        <is>
          <t>2023-01-04</t>
        </is>
      </c>
      <c r="B7384" t="inlineStr">
        <is>
          <t>12:20</t>
        </is>
      </c>
      <c r="C7384" t="n">
        <v>3127</v>
      </c>
      <c r="D7384" s="6" t="n">
        <v>25</v>
      </c>
      <c r="E7384" t="n">
        <v>44668</v>
      </c>
      <c r="F7384" s="6" t="n">
        <v>25</v>
      </c>
      <c r="G7384" t="n">
        <v>1</v>
      </c>
      <c r="H7384" s="6">
        <f>ROUND(G7384*F7384,2)</f>
        <v/>
      </c>
      <c r="I7384">
        <f>IF(ROUND(H7384-D7384,2)=0,1,0)</f>
        <v/>
      </c>
      <c r="J7384">
        <f>IF(F7384="","none",IF(G7384=1,"carte","multiple"))</f>
        <v/>
      </c>
    </row>
    <row r="7385">
      <c r="A7385" t="inlineStr">
        <is>
          <t>2023-01-04</t>
        </is>
      </c>
      <c r="B7385" t="inlineStr">
        <is>
          <t>12:20</t>
        </is>
      </c>
      <c r="C7385" t="n">
        <v>3127</v>
      </c>
      <c r="D7385" s="6" t="n">
        <v>16.9</v>
      </c>
      <c r="E7385" t="n">
        <v>44669</v>
      </c>
      <c r="F7385" s="6" t="n">
        <v>16.9</v>
      </c>
      <c r="G7385" t="n">
        <v>1</v>
      </c>
      <c r="H7385" s="6">
        <f>ROUND(G7385*F7385,2)</f>
        <v/>
      </c>
      <c r="I7385">
        <f>IF(ROUND(H7385-D7385,2)=0,1,0)</f>
        <v/>
      </c>
      <c r="J7385">
        <f>IF(F7385="","none",IF(G7385=1,"carte","multiple"))</f>
        <v/>
      </c>
    </row>
    <row r="7386">
      <c r="A7386" t="inlineStr">
        <is>
          <t>2023-01-04</t>
        </is>
      </c>
      <c r="B7386" t="inlineStr">
        <is>
          <t>12:20</t>
        </is>
      </c>
      <c r="C7386" t="n">
        <v>3127</v>
      </c>
      <c r="D7386" s="6" t="n">
        <v>18.4</v>
      </c>
      <c r="E7386" t="n">
        <v>44670</v>
      </c>
      <c r="F7386" s="6" t="n">
        <v>18.4</v>
      </c>
      <c r="G7386" t="n">
        <v>1</v>
      </c>
      <c r="H7386" s="6">
        <f>ROUND(G7386*F7386,2)</f>
        <v/>
      </c>
      <c r="I7386">
        <f>IF(ROUND(H7386-D7386,2)=0,1,0)</f>
        <v/>
      </c>
      <c r="J7386">
        <f>IF(F7386="","none",IF(G7386=1,"carte","multiple"))</f>
        <v/>
      </c>
    </row>
    <row r="7387">
      <c r="A7387" t="inlineStr">
        <is>
          <t>2023-01-04</t>
        </is>
      </c>
      <c r="B7387" t="inlineStr">
        <is>
          <t>18:41</t>
        </is>
      </c>
      <c r="C7387" t="n">
        <v>3127</v>
      </c>
      <c r="D7387" s="6" t="n">
        <v>5.9</v>
      </c>
      <c r="E7387" t="n">
        <v>44673</v>
      </c>
      <c r="F7387" s="6" t="n">
        <v>5.9</v>
      </c>
      <c r="G7387" t="n">
        <v>1</v>
      </c>
      <c r="H7387" s="6">
        <f>ROUND(G7387*F7387,2)</f>
        <v/>
      </c>
      <c r="I7387">
        <f>IF(ROUND(H7387-D7387,2)=0,1,0)</f>
        <v/>
      </c>
      <c r="J7387">
        <f>IF(F7387="","none",IF(G7387=1,"carte","multiple"))</f>
        <v/>
      </c>
    </row>
    <row r="7388">
      <c r="A7388" t="inlineStr">
        <is>
          <t>2023-01-04</t>
        </is>
      </c>
      <c r="B7388" t="inlineStr">
        <is>
          <t>19:19</t>
        </is>
      </c>
      <c r="C7388" t="n">
        <v>3127</v>
      </c>
      <c r="D7388" s="6" t="n">
        <v>4.4</v>
      </c>
      <c r="E7388" t="n">
        <v>44674</v>
      </c>
      <c r="F7388" s="6" t="n">
        <v>0.4</v>
      </c>
      <c r="G7388" t="n">
        <v>11</v>
      </c>
      <c r="H7388" s="6">
        <f>ROUND(G7388*F7388,2)</f>
        <v/>
      </c>
      <c r="I7388">
        <f>IF(ROUND(H7388-D7388,2)=0,1,0)</f>
        <v/>
      </c>
      <c r="J7388">
        <f>IF(F7388="","none",IF(G7388=1,"carte","multiple"))</f>
        <v/>
      </c>
    </row>
    <row r="7389">
      <c r="A7389" t="inlineStr">
        <is>
          <t>2023-01-04</t>
        </is>
      </c>
      <c r="B7389" t="inlineStr">
        <is>
          <t>19:19</t>
        </is>
      </c>
      <c r="C7389" t="n">
        <v>3127</v>
      </c>
      <c r="D7389" s="6" t="n">
        <v>34</v>
      </c>
      <c r="E7389" t="n">
        <v>44675</v>
      </c>
      <c r="F7389" s="6" t="n">
        <v>34</v>
      </c>
      <c r="G7389" t="n">
        <v>1</v>
      </c>
      <c r="H7389" s="6">
        <f>ROUND(G7389*F7389,2)</f>
        <v/>
      </c>
      <c r="I7389">
        <f>IF(ROUND(H7389-D7389,2)=0,1,0)</f>
        <v/>
      </c>
      <c r="J7389">
        <f>IF(F7389="","none",IF(G7389=1,"carte","multiple"))</f>
        <v/>
      </c>
    </row>
    <row r="7390">
      <c r="A7390" t="inlineStr">
        <is>
          <t>2023-01-04</t>
        </is>
      </c>
      <c r="B7390" t="inlineStr">
        <is>
          <t>19:19</t>
        </is>
      </c>
      <c r="C7390" t="n">
        <v>3127</v>
      </c>
      <c r="D7390" s="6" t="n">
        <v>34</v>
      </c>
      <c r="E7390" t="n">
        <v>44676</v>
      </c>
      <c r="F7390" s="6" t="n">
        <v>34</v>
      </c>
      <c r="G7390" t="n">
        <v>1</v>
      </c>
      <c r="H7390" s="6">
        <f>ROUND(G7390*F7390,2)</f>
        <v/>
      </c>
      <c r="I7390">
        <f>IF(ROUND(H7390-D7390,2)=0,1,0)</f>
        <v/>
      </c>
      <c r="J7390">
        <f>IF(F7390="","none",IF(G7390=1,"carte","multiple"))</f>
        <v/>
      </c>
    </row>
    <row r="7391">
      <c r="A7391" t="inlineStr">
        <is>
          <t>2023-01-04</t>
        </is>
      </c>
      <c r="B7391" t="inlineStr">
        <is>
          <t>19:19</t>
        </is>
      </c>
      <c r="C7391" t="n">
        <v>3127</v>
      </c>
      <c r="D7391" s="6" t="n">
        <v>15.6</v>
      </c>
      <c r="E7391" t="n">
        <v>44677</v>
      </c>
      <c r="F7391" s="6" t="n">
        <v>15.6</v>
      </c>
      <c r="G7391" t="n">
        <v>1</v>
      </c>
      <c r="H7391" s="6">
        <f>ROUND(G7391*F7391,2)</f>
        <v/>
      </c>
      <c r="I7391">
        <f>IF(ROUND(H7391-D7391,2)=0,1,0)</f>
        <v/>
      </c>
      <c r="J7391">
        <f>IF(F7391="","none",IF(G7391=1,"carte","multiple"))</f>
        <v/>
      </c>
    </row>
    <row r="7392">
      <c r="A7392" t="inlineStr">
        <is>
          <t>2023-01-04</t>
        </is>
      </c>
      <c r="B7392" t="inlineStr">
        <is>
          <t>20:31</t>
        </is>
      </c>
      <c r="C7392" t="n">
        <v>3127</v>
      </c>
      <c r="D7392" s="6" t="n">
        <v>39.5</v>
      </c>
      <c r="E7392" t="n">
        <v>44678</v>
      </c>
      <c r="F7392" s="6" t="n">
        <v>39.5</v>
      </c>
      <c r="G7392" t="n">
        <v>1</v>
      </c>
      <c r="H7392" s="6">
        <f>ROUND(G7392*F7392,2)</f>
        <v/>
      </c>
      <c r="I7392">
        <f>IF(ROUND(H7392-D7392,2)=0,1,0)</f>
        <v/>
      </c>
      <c r="J7392">
        <f>IF(F7392="","none",IF(G7392=1,"carte","multiple"))</f>
        <v/>
      </c>
    </row>
    <row r="7393">
      <c r="A7393" t="inlineStr">
        <is>
          <t>2023-01-04</t>
        </is>
      </c>
      <c r="B7393" t="inlineStr">
        <is>
          <t>20:31</t>
        </is>
      </c>
      <c r="C7393" t="n">
        <v>3127</v>
      </c>
      <c r="D7393" s="6" t="n">
        <v>34.8</v>
      </c>
      <c r="E7393" t="n">
        <v>44679</v>
      </c>
      <c r="F7393" s="6" t="n">
        <v>34.8</v>
      </c>
      <c r="G7393" t="n">
        <v>1</v>
      </c>
      <c r="H7393" s="6">
        <f>ROUND(G7393*F7393,2)</f>
        <v/>
      </c>
      <c r="I7393">
        <f>IF(ROUND(H7393-D7393,2)=0,1,0)</f>
        <v/>
      </c>
      <c r="J7393">
        <f>IF(F7393="","none",IF(G7393=1,"carte","multiple"))</f>
        <v/>
      </c>
    </row>
    <row r="7394">
      <c r="A7394" t="inlineStr">
        <is>
          <t>2023-01-04</t>
        </is>
      </c>
      <c r="B7394" t="inlineStr">
        <is>
          <t>20:31</t>
        </is>
      </c>
      <c r="C7394" t="n">
        <v>3127</v>
      </c>
      <c r="D7394" s="6" t="n">
        <v>19</v>
      </c>
      <c r="E7394" t="n">
        <v>44680</v>
      </c>
      <c r="F7394" s="6" t="n">
        <v>19</v>
      </c>
      <c r="G7394" t="n">
        <v>1</v>
      </c>
      <c r="H7394" s="6">
        <f>ROUND(G7394*F7394,2)</f>
        <v/>
      </c>
      <c r="I7394">
        <f>IF(ROUND(H7394-D7394,2)=0,1,0)</f>
        <v/>
      </c>
      <c r="J7394">
        <f>IF(F7394="","none",IF(G7394=1,"carte","multiple"))</f>
        <v/>
      </c>
    </row>
    <row r="7395">
      <c r="A7395" t="inlineStr">
        <is>
          <t>2023-01-04</t>
        </is>
      </c>
      <c r="B7395" t="inlineStr">
        <is>
          <t>20:31</t>
        </is>
      </c>
      <c r="C7395" t="n">
        <v>3127</v>
      </c>
      <c r="D7395" s="6" t="n">
        <v>8.9</v>
      </c>
      <c r="E7395" t="n">
        <v>44681</v>
      </c>
      <c r="F7395" s="6" t="n">
        <v>8.9</v>
      </c>
      <c r="G7395" t="n">
        <v>1</v>
      </c>
      <c r="H7395" s="6">
        <f>ROUND(G7395*F7395,2)</f>
        <v/>
      </c>
      <c r="I7395">
        <f>IF(ROUND(H7395-D7395,2)=0,1,0)</f>
        <v/>
      </c>
      <c r="J7395">
        <f>IF(F7395="","none",IF(G7395=1,"carte","multiple"))</f>
        <v/>
      </c>
    </row>
    <row r="7396">
      <c r="A7396" t="inlineStr">
        <is>
          <t>2023-01-04</t>
        </is>
      </c>
      <c r="B7396" t="inlineStr">
        <is>
          <t>20:31</t>
        </is>
      </c>
      <c r="C7396" t="n">
        <v>3127</v>
      </c>
      <c r="D7396" s="6" t="n">
        <v>7.2</v>
      </c>
      <c r="E7396" t="n">
        <v>44682</v>
      </c>
      <c r="F7396" s="6" t="n">
        <v>7.2</v>
      </c>
      <c r="G7396" t="n">
        <v>1</v>
      </c>
      <c r="H7396" s="6">
        <f>ROUND(G7396*F7396,2)</f>
        <v/>
      </c>
      <c r="I7396">
        <f>IF(ROUND(H7396-D7396,2)=0,1,0)</f>
        <v/>
      </c>
      <c r="J7396">
        <f>IF(F7396="","none",IF(G7396=1,"carte","multiple"))</f>
        <v/>
      </c>
    </row>
    <row r="7397">
      <c r="A7397" t="inlineStr">
        <is>
          <t>2023-01-05</t>
        </is>
      </c>
      <c r="B7397" t="inlineStr">
        <is>
          <t>11:39</t>
        </is>
      </c>
      <c r="C7397" t="n">
        <v>3128</v>
      </c>
      <c r="D7397" s="6" t="n">
        <v>8.4</v>
      </c>
      <c r="E7397" t="n">
        <v>44685</v>
      </c>
      <c r="F7397" s="6" t="n">
        <v>8.4</v>
      </c>
      <c r="G7397" t="n">
        <v>1</v>
      </c>
      <c r="H7397" s="6">
        <f>ROUND(G7397*F7397,2)</f>
        <v/>
      </c>
      <c r="I7397">
        <f>IF(ROUND(H7397-D7397,2)=0,1,0)</f>
        <v/>
      </c>
      <c r="J7397">
        <f>IF(F7397="","none",IF(G7397=1,"carte","multiple"))</f>
        <v/>
      </c>
    </row>
    <row r="7398">
      <c r="A7398" t="inlineStr">
        <is>
          <t>2023-01-05</t>
        </is>
      </c>
      <c r="B7398" t="inlineStr">
        <is>
          <t>12:22</t>
        </is>
      </c>
      <c r="C7398" t="n">
        <v>3128</v>
      </c>
      <c r="D7398" s="6" t="n">
        <v>4.4</v>
      </c>
      <c r="E7398" t="n">
        <v>44686</v>
      </c>
      <c r="F7398" s="6" t="n">
        <v>0.4</v>
      </c>
      <c r="G7398" t="n">
        <v>11</v>
      </c>
      <c r="H7398" s="6">
        <f>ROUND(G7398*F7398,2)</f>
        <v/>
      </c>
      <c r="I7398">
        <f>IF(ROUND(H7398-D7398,2)=0,1,0)</f>
        <v/>
      </c>
      <c r="J7398">
        <f>IF(F7398="","none",IF(G7398=1,"carte","multiple"))</f>
        <v/>
      </c>
    </row>
    <row r="7399">
      <c r="A7399" t="inlineStr">
        <is>
          <t>2023-01-05</t>
        </is>
      </c>
      <c r="B7399" t="inlineStr">
        <is>
          <t>12:22</t>
        </is>
      </c>
      <c r="C7399" t="n">
        <v>3128</v>
      </c>
      <c r="D7399" s="6" t="n">
        <v>68</v>
      </c>
      <c r="E7399" t="n">
        <v>44687</v>
      </c>
      <c r="F7399" s="6" t="n">
        <v>0.4</v>
      </c>
      <c r="G7399" t="n">
        <v>170</v>
      </c>
      <c r="H7399" s="6">
        <f>ROUND(G7399*F7399,2)</f>
        <v/>
      </c>
      <c r="I7399">
        <f>IF(ROUND(H7399-D7399,2)=0,1,0)</f>
        <v/>
      </c>
      <c r="J7399">
        <f>IF(F7399="","none",IF(G7399=1,"carte","multiple"))</f>
        <v/>
      </c>
    </row>
    <row r="7400">
      <c r="A7400" t="inlineStr">
        <is>
          <t>2023-01-05</t>
        </is>
      </c>
      <c r="B7400" t="inlineStr">
        <is>
          <t>12:22</t>
        </is>
      </c>
      <c r="C7400" t="n">
        <v>3128</v>
      </c>
      <c r="D7400" s="6" t="n">
        <v>9.800000000000001</v>
      </c>
      <c r="E7400" t="n">
        <v>44688</v>
      </c>
      <c r="F7400" s="6" t="n">
        <v>9.800000000000001</v>
      </c>
      <c r="G7400" t="n">
        <v>1</v>
      </c>
      <c r="H7400" s="6">
        <f>ROUND(G7400*F7400,2)</f>
        <v/>
      </c>
      <c r="I7400">
        <f>IF(ROUND(H7400-D7400,2)=0,1,0)</f>
        <v/>
      </c>
      <c r="J7400">
        <f>IF(F7400="","none",IF(G7400=1,"carte","multiple"))</f>
        <v/>
      </c>
    </row>
    <row r="7401">
      <c r="A7401" t="inlineStr">
        <is>
          <t>2023-01-05</t>
        </is>
      </c>
      <c r="B7401" t="inlineStr">
        <is>
          <t>12:23</t>
        </is>
      </c>
      <c r="C7401" t="n">
        <v>3128</v>
      </c>
      <c r="D7401" s="6" t="n">
        <v>4.7</v>
      </c>
      <c r="E7401" t="n">
        <v>44689</v>
      </c>
      <c r="F7401" s="6" t="n">
        <v>4.7</v>
      </c>
      <c r="G7401" t="n">
        <v>1</v>
      </c>
      <c r="H7401" s="6">
        <f>ROUND(G7401*F7401,2)</f>
        <v/>
      </c>
      <c r="I7401">
        <f>IF(ROUND(H7401-D7401,2)=0,1,0)</f>
        <v/>
      </c>
      <c r="J7401">
        <f>IF(F7401="","none",IF(G7401=1,"carte","multiple"))</f>
        <v/>
      </c>
    </row>
    <row r="7402">
      <c r="A7402" t="inlineStr">
        <is>
          <t>2023-01-05</t>
        </is>
      </c>
      <c r="B7402" t="inlineStr">
        <is>
          <t>12:23</t>
        </is>
      </c>
      <c r="C7402" t="n">
        <v>3128</v>
      </c>
      <c r="D7402" s="6" t="n">
        <v>18.6</v>
      </c>
      <c r="E7402" t="n">
        <v>44690</v>
      </c>
      <c r="F7402" s="6" t="n">
        <v>18.6</v>
      </c>
      <c r="G7402" t="n">
        <v>1</v>
      </c>
      <c r="H7402" s="6">
        <f>ROUND(G7402*F7402,2)</f>
        <v/>
      </c>
      <c r="I7402">
        <f>IF(ROUND(H7402-D7402,2)=0,1,0)</f>
        <v/>
      </c>
      <c r="J7402">
        <f>IF(F7402="","none",IF(G7402=1,"carte","multiple"))</f>
        <v/>
      </c>
    </row>
    <row r="7403">
      <c r="A7403" t="inlineStr">
        <is>
          <t>2023-01-05</t>
        </is>
      </c>
      <c r="B7403" t="inlineStr">
        <is>
          <t>12:23</t>
        </is>
      </c>
      <c r="C7403" t="n">
        <v>3128</v>
      </c>
      <c r="D7403" s="6" t="n">
        <v>45</v>
      </c>
      <c r="E7403" t="n">
        <v>44691</v>
      </c>
      <c r="F7403" s="6" t="n">
        <v>45</v>
      </c>
      <c r="G7403" t="n">
        <v>1</v>
      </c>
      <c r="H7403" s="6">
        <f>ROUND(G7403*F7403,2)</f>
        <v/>
      </c>
      <c r="I7403">
        <f>IF(ROUND(H7403-D7403,2)=0,1,0)</f>
        <v/>
      </c>
      <c r="J7403">
        <f>IF(F7403="","none",IF(G7403=1,"carte","multiple"))</f>
        <v/>
      </c>
    </row>
    <row r="7404">
      <c r="A7404" t="inlineStr">
        <is>
          <t>2023-01-05</t>
        </is>
      </c>
      <c r="B7404" t="inlineStr">
        <is>
          <t>12:23</t>
        </is>
      </c>
      <c r="C7404" t="n">
        <v>3128</v>
      </c>
      <c r="D7404" s="6" t="n">
        <v>4.9</v>
      </c>
      <c r="E7404" t="n">
        <v>44692</v>
      </c>
      <c r="F7404" s="6" t="n">
        <v>4.9</v>
      </c>
      <c r="G7404" t="n">
        <v>1</v>
      </c>
      <c r="H7404" s="6">
        <f>ROUND(G7404*F7404,2)</f>
        <v/>
      </c>
      <c r="I7404">
        <f>IF(ROUND(H7404-D7404,2)=0,1,0)</f>
        <v/>
      </c>
      <c r="J7404">
        <f>IF(F7404="","none",IF(G7404=1,"carte","multiple"))</f>
        <v/>
      </c>
    </row>
    <row r="7405">
      <c r="A7405" t="inlineStr">
        <is>
          <t>2023-01-05</t>
        </is>
      </c>
      <c r="B7405" t="inlineStr">
        <is>
          <t>12:23</t>
        </is>
      </c>
      <c r="C7405" t="n">
        <v>3128</v>
      </c>
      <c r="D7405" s="6" t="n">
        <v>4.9</v>
      </c>
      <c r="E7405" t="n">
        <v>44693</v>
      </c>
      <c r="F7405" s="6" t="n">
        <v>4.9</v>
      </c>
      <c r="G7405" t="n">
        <v>1</v>
      </c>
      <c r="H7405" s="6">
        <f>ROUND(G7405*F7405,2)</f>
        <v/>
      </c>
      <c r="I7405">
        <f>IF(ROUND(H7405-D7405,2)=0,1,0)</f>
        <v/>
      </c>
      <c r="J7405">
        <f>IF(F7405="","none",IF(G7405=1,"carte","multiple"))</f>
        <v/>
      </c>
    </row>
    <row r="7406">
      <c r="A7406" t="inlineStr">
        <is>
          <t>2023-01-05</t>
        </is>
      </c>
      <c r="B7406" t="inlineStr">
        <is>
          <t>12:24</t>
        </is>
      </c>
      <c r="C7406" t="n">
        <v>3128</v>
      </c>
      <c r="D7406" s="6" t="n">
        <v>4.4</v>
      </c>
      <c r="E7406" t="n">
        <v>44694</v>
      </c>
      <c r="F7406" s="6" t="n">
        <v>0.4</v>
      </c>
      <c r="G7406" t="n">
        <v>11</v>
      </c>
      <c r="H7406" s="6">
        <f>ROUND(G7406*F7406,2)</f>
        <v/>
      </c>
      <c r="I7406">
        <f>IF(ROUND(H7406-D7406,2)=0,1,0)</f>
        <v/>
      </c>
      <c r="J7406">
        <f>IF(F7406="","none",IF(G7406=1,"carte","multiple"))</f>
        <v/>
      </c>
    </row>
    <row r="7407">
      <c r="A7407" t="inlineStr">
        <is>
          <t>2023-01-05</t>
        </is>
      </c>
      <c r="B7407" t="inlineStr">
        <is>
          <t>12:24</t>
        </is>
      </c>
      <c r="C7407" t="n">
        <v>3128</v>
      </c>
      <c r="D7407" s="6" t="n">
        <v>8.5</v>
      </c>
      <c r="E7407" t="n">
        <v>44695</v>
      </c>
      <c r="F7407" s="6" t="n">
        <v>8.5</v>
      </c>
      <c r="G7407" t="n">
        <v>1</v>
      </c>
      <c r="H7407" s="6">
        <f>ROUND(G7407*F7407,2)</f>
        <v/>
      </c>
      <c r="I7407">
        <f>IF(ROUND(H7407-D7407,2)=0,1,0)</f>
        <v/>
      </c>
      <c r="J7407">
        <f>IF(F7407="","none",IF(G7407=1,"carte","multiple"))</f>
        <v/>
      </c>
    </row>
    <row r="7408">
      <c r="A7408" t="inlineStr">
        <is>
          <t>2023-01-05</t>
        </is>
      </c>
      <c r="B7408" t="inlineStr">
        <is>
          <t>12:24</t>
        </is>
      </c>
      <c r="C7408" t="n">
        <v>3128</v>
      </c>
      <c r="D7408" s="6" t="n">
        <v>10.5</v>
      </c>
      <c r="E7408" t="n">
        <v>44696</v>
      </c>
      <c r="F7408" s="6" t="n">
        <v>10.5</v>
      </c>
      <c r="G7408" t="n">
        <v>1</v>
      </c>
      <c r="H7408" s="6">
        <f>ROUND(G7408*F7408,2)</f>
        <v/>
      </c>
      <c r="I7408">
        <f>IF(ROUND(H7408-D7408,2)=0,1,0)</f>
        <v/>
      </c>
      <c r="J7408">
        <f>IF(F7408="","none",IF(G7408=1,"carte","multiple"))</f>
        <v/>
      </c>
    </row>
    <row r="7409">
      <c r="A7409" t="inlineStr">
        <is>
          <t>2023-01-05</t>
        </is>
      </c>
      <c r="B7409" t="inlineStr">
        <is>
          <t>12:24</t>
        </is>
      </c>
      <c r="C7409" t="n">
        <v>3128</v>
      </c>
      <c r="D7409" s="6" t="n">
        <v>4</v>
      </c>
      <c r="E7409" t="n">
        <v>44697</v>
      </c>
      <c r="F7409" s="6" t="n">
        <v>4</v>
      </c>
      <c r="G7409" t="n">
        <v>1</v>
      </c>
      <c r="H7409" s="6">
        <f>ROUND(G7409*F7409,2)</f>
        <v/>
      </c>
      <c r="I7409">
        <f>IF(ROUND(H7409-D7409,2)=0,1,0)</f>
        <v/>
      </c>
      <c r="J7409">
        <f>IF(F7409="","none",IF(G7409=1,"carte","multiple"))</f>
        <v/>
      </c>
    </row>
    <row r="7410">
      <c r="A7410" t="inlineStr">
        <is>
          <t>2023-01-05</t>
        </is>
      </c>
      <c r="B7410" t="inlineStr">
        <is>
          <t>12:24</t>
        </is>
      </c>
      <c r="C7410" t="n">
        <v>3128</v>
      </c>
      <c r="D7410" s="6" t="n">
        <v>7.9</v>
      </c>
      <c r="E7410" t="n">
        <v>44698</v>
      </c>
      <c r="F7410" s="6" t="n">
        <v>7.9</v>
      </c>
      <c r="G7410" t="n">
        <v>1</v>
      </c>
      <c r="H7410" s="6">
        <f>ROUND(G7410*F7410,2)</f>
        <v/>
      </c>
      <c r="I7410">
        <f>IF(ROUND(H7410-D7410,2)=0,1,0)</f>
        <v/>
      </c>
      <c r="J7410">
        <f>IF(F7410="","none",IF(G7410=1,"carte","multiple"))</f>
        <v/>
      </c>
    </row>
    <row r="7411">
      <c r="A7411" t="inlineStr">
        <is>
          <t>2023-01-05</t>
        </is>
      </c>
      <c r="B7411" t="inlineStr">
        <is>
          <t>12:24</t>
        </is>
      </c>
      <c r="C7411" t="n">
        <v>3128</v>
      </c>
      <c r="D7411" s="6" t="n">
        <v>5.9</v>
      </c>
      <c r="E7411" t="n">
        <v>44699</v>
      </c>
      <c r="F7411" s="6" t="n">
        <v>5.9</v>
      </c>
      <c r="G7411" t="n">
        <v>1</v>
      </c>
      <c r="H7411" s="6">
        <f>ROUND(G7411*F7411,2)</f>
        <v/>
      </c>
      <c r="I7411">
        <f>IF(ROUND(H7411-D7411,2)=0,1,0)</f>
        <v/>
      </c>
      <c r="J7411">
        <f>IF(F7411="","none",IF(G7411=1,"carte","multiple"))</f>
        <v/>
      </c>
    </row>
    <row r="7412">
      <c r="A7412" t="inlineStr">
        <is>
          <t>2023-01-05</t>
        </is>
      </c>
      <c r="B7412" t="inlineStr">
        <is>
          <t>12:24</t>
        </is>
      </c>
      <c r="C7412" t="n">
        <v>3128</v>
      </c>
      <c r="D7412" s="6" t="n">
        <v>37.2</v>
      </c>
      <c r="E7412" t="n">
        <v>44700</v>
      </c>
      <c r="F7412" s="6" t="n">
        <v>0.4</v>
      </c>
      <c r="G7412" t="n">
        <v>93</v>
      </c>
      <c r="H7412" s="6">
        <f>ROUND(G7412*F7412,2)</f>
        <v/>
      </c>
      <c r="I7412">
        <f>IF(ROUND(H7412-D7412,2)=0,1,0)</f>
        <v/>
      </c>
      <c r="J7412">
        <f>IF(F7412="","none",IF(G7412=1,"carte","multiple"))</f>
        <v/>
      </c>
    </row>
    <row r="7413">
      <c r="A7413" t="inlineStr">
        <is>
          <t>2023-01-05</t>
        </is>
      </c>
      <c r="B7413" t="inlineStr">
        <is>
          <t>12:45</t>
        </is>
      </c>
      <c r="C7413" t="n">
        <v>3128</v>
      </c>
      <c r="D7413" s="6" t="n">
        <v>2.2</v>
      </c>
      <c r="E7413" t="n">
        <v>44701</v>
      </c>
      <c r="F7413" s="6" t="n">
        <v>2.2</v>
      </c>
      <c r="G7413" t="n">
        <v>1</v>
      </c>
      <c r="H7413" s="6">
        <f>ROUND(G7413*F7413,2)</f>
        <v/>
      </c>
      <c r="I7413">
        <f>IF(ROUND(H7413-D7413,2)=0,1,0)</f>
        <v/>
      </c>
      <c r="J7413">
        <f>IF(F7413="","none",IF(G7413=1,"carte","multiple"))</f>
        <v/>
      </c>
    </row>
    <row r="7414">
      <c r="A7414" t="inlineStr">
        <is>
          <t>2023-01-05</t>
        </is>
      </c>
      <c r="B7414" t="inlineStr">
        <is>
          <t>12:45</t>
        </is>
      </c>
      <c r="C7414" t="n">
        <v>3128</v>
      </c>
      <c r="D7414" s="6" t="n">
        <v>25</v>
      </c>
      <c r="E7414" t="n">
        <v>44702</v>
      </c>
      <c r="F7414" s="6" t="n">
        <v>25</v>
      </c>
      <c r="G7414" t="n">
        <v>1</v>
      </c>
      <c r="H7414" s="6">
        <f>ROUND(G7414*F7414,2)</f>
        <v/>
      </c>
      <c r="I7414">
        <f>IF(ROUND(H7414-D7414,2)=0,1,0)</f>
        <v/>
      </c>
      <c r="J7414">
        <f>IF(F7414="","none",IF(G7414=1,"carte","multiple"))</f>
        <v/>
      </c>
    </row>
    <row r="7415">
      <c r="A7415" t="inlineStr">
        <is>
          <t>2023-01-05</t>
        </is>
      </c>
      <c r="B7415" t="inlineStr">
        <is>
          <t>12:45</t>
        </is>
      </c>
      <c r="C7415" t="n">
        <v>3128</v>
      </c>
      <c r="D7415" s="6" t="n">
        <v>9.800000000000001</v>
      </c>
      <c r="E7415" t="n">
        <v>44703</v>
      </c>
      <c r="F7415" s="6" t="n">
        <v>9.800000000000001</v>
      </c>
      <c r="G7415" t="n">
        <v>1</v>
      </c>
      <c r="H7415" s="6">
        <f>ROUND(G7415*F7415,2)</f>
        <v/>
      </c>
      <c r="I7415">
        <f>IF(ROUND(H7415-D7415,2)=0,1,0)</f>
        <v/>
      </c>
      <c r="J7415">
        <f>IF(F7415="","none",IF(G7415=1,"carte","multiple"))</f>
        <v/>
      </c>
    </row>
    <row r="7416">
      <c r="A7416" t="inlineStr">
        <is>
          <t>2023-01-05</t>
        </is>
      </c>
      <c r="B7416" t="inlineStr">
        <is>
          <t>18:25</t>
        </is>
      </c>
      <c r="C7416" t="n">
        <v>3128</v>
      </c>
      <c r="D7416" s="6" t="n">
        <v>16.9</v>
      </c>
      <c r="E7416" t="n">
        <v>44705</v>
      </c>
      <c r="F7416" s="6" t="n">
        <v>16.9</v>
      </c>
      <c r="G7416" t="n">
        <v>1</v>
      </c>
      <c r="H7416" s="6">
        <f>ROUND(G7416*F7416,2)</f>
        <v/>
      </c>
      <c r="I7416">
        <f>IF(ROUND(H7416-D7416,2)=0,1,0)</f>
        <v/>
      </c>
      <c r="J7416">
        <f>IF(F7416="","none",IF(G7416=1,"carte","multiple"))</f>
        <v/>
      </c>
    </row>
    <row r="7417">
      <c r="A7417" t="inlineStr">
        <is>
          <t>2023-01-05</t>
        </is>
      </c>
      <c r="B7417" t="inlineStr">
        <is>
          <t>19:09</t>
        </is>
      </c>
      <c r="C7417" t="n">
        <v>3128</v>
      </c>
      <c r="D7417" s="6" t="n">
        <v>3.9</v>
      </c>
      <c r="E7417" t="n">
        <v>44706</v>
      </c>
      <c r="F7417" s="6" t="n">
        <v>3.9</v>
      </c>
      <c r="G7417" t="n">
        <v>1</v>
      </c>
      <c r="H7417" s="6">
        <f>ROUND(G7417*F7417,2)</f>
        <v/>
      </c>
      <c r="I7417">
        <f>IF(ROUND(H7417-D7417,2)=0,1,0)</f>
        <v/>
      </c>
      <c r="J7417">
        <f>IF(F7417="","none",IF(G7417=1,"carte","multiple"))</f>
        <v/>
      </c>
    </row>
    <row r="7418">
      <c r="A7418" t="inlineStr">
        <is>
          <t>2023-01-05</t>
        </is>
      </c>
      <c r="B7418" t="inlineStr">
        <is>
          <t>19:27</t>
        </is>
      </c>
      <c r="C7418" t="n">
        <v>3128</v>
      </c>
      <c r="D7418" s="6" t="n">
        <v>0</v>
      </c>
      <c r="E7418" t="n">
        <v>44707</v>
      </c>
      <c r="H7418" t="inlineStr"/>
      <c r="I7418" t="inlineStr"/>
      <c r="J7418">
        <f>IF(F7418="","none",IF(G7418=1,"carte","multiple"))</f>
        <v/>
      </c>
    </row>
    <row r="7419">
      <c r="A7419" t="inlineStr">
        <is>
          <t>2023-01-05</t>
        </is>
      </c>
      <c r="B7419" t="inlineStr">
        <is>
          <t>19:27</t>
        </is>
      </c>
      <c r="C7419" t="n">
        <v>3128</v>
      </c>
      <c r="D7419" s="6" t="n">
        <v>1.8</v>
      </c>
      <c r="E7419" t="n">
        <v>44708</v>
      </c>
      <c r="F7419" s="6" t="n">
        <v>1.8</v>
      </c>
      <c r="G7419" t="n">
        <v>1</v>
      </c>
      <c r="H7419" s="6">
        <f>ROUND(G7419*F7419,2)</f>
        <v/>
      </c>
      <c r="I7419">
        <f>IF(ROUND(H7419-D7419,2)=0,1,0)</f>
        <v/>
      </c>
      <c r="J7419">
        <f>IF(F7419="","none",IF(G7419=1,"carte","multiple"))</f>
        <v/>
      </c>
    </row>
    <row r="7420">
      <c r="A7420" t="inlineStr">
        <is>
          <t>2023-01-05</t>
        </is>
      </c>
      <c r="B7420" t="inlineStr">
        <is>
          <t>19:27</t>
        </is>
      </c>
      <c r="C7420" t="n">
        <v>3128</v>
      </c>
      <c r="D7420" s="6" t="n">
        <v>3.9</v>
      </c>
      <c r="E7420" t="n">
        <v>44709</v>
      </c>
      <c r="F7420" s="6" t="n">
        <v>3.9</v>
      </c>
      <c r="G7420" t="n">
        <v>1</v>
      </c>
      <c r="H7420" s="6">
        <f>ROUND(G7420*F7420,2)</f>
        <v/>
      </c>
      <c r="I7420">
        <f>IF(ROUND(H7420-D7420,2)=0,1,0)</f>
        <v/>
      </c>
      <c r="J7420">
        <f>IF(F7420="","none",IF(G7420=1,"carte","multiple"))</f>
        <v/>
      </c>
    </row>
    <row r="7421">
      <c r="A7421" t="inlineStr">
        <is>
          <t>2023-01-05</t>
        </is>
      </c>
      <c r="B7421" t="inlineStr">
        <is>
          <t>19:27</t>
        </is>
      </c>
      <c r="C7421" t="n">
        <v>3128</v>
      </c>
      <c r="D7421" s="6" t="n">
        <v>8.9</v>
      </c>
      <c r="E7421" t="n">
        <v>44710</v>
      </c>
      <c r="F7421" s="6" t="n">
        <v>8.9</v>
      </c>
      <c r="G7421" t="n">
        <v>1</v>
      </c>
      <c r="H7421" s="6">
        <f>ROUND(G7421*F7421,2)</f>
        <v/>
      </c>
      <c r="I7421">
        <f>IF(ROUND(H7421-D7421,2)=0,1,0)</f>
        <v/>
      </c>
      <c r="J7421">
        <f>IF(F7421="","none",IF(G7421=1,"carte","multiple"))</f>
        <v/>
      </c>
    </row>
    <row r="7422">
      <c r="A7422" t="inlineStr">
        <is>
          <t>2023-01-05</t>
        </is>
      </c>
      <c r="B7422" t="inlineStr">
        <is>
          <t>19:27</t>
        </is>
      </c>
      <c r="C7422" t="n">
        <v>3128</v>
      </c>
      <c r="D7422" s="6" t="n">
        <v>33.8</v>
      </c>
      <c r="E7422" t="n">
        <v>44711</v>
      </c>
      <c r="F7422" s="6" t="n">
        <v>16.9</v>
      </c>
      <c r="G7422" t="n">
        <v>2</v>
      </c>
      <c r="H7422" s="6">
        <f>ROUND(G7422*F7422,2)</f>
        <v/>
      </c>
      <c r="I7422">
        <f>IF(ROUND(H7422-D7422,2)=0,1,0)</f>
        <v/>
      </c>
      <c r="J7422">
        <f>IF(F7422="","none",IF(G7422=1,"carte","multiple"))</f>
        <v/>
      </c>
    </row>
    <row r="7423">
      <c r="A7423" t="inlineStr">
        <is>
          <t>2023-01-05</t>
        </is>
      </c>
      <c r="B7423" t="inlineStr">
        <is>
          <t>19:27</t>
        </is>
      </c>
      <c r="C7423" t="n">
        <v>3128</v>
      </c>
      <c r="D7423" s="6" t="n">
        <v>3.9</v>
      </c>
      <c r="E7423" t="n">
        <v>44712</v>
      </c>
      <c r="F7423" s="6" t="n">
        <v>3.9</v>
      </c>
      <c r="G7423" t="n">
        <v>1</v>
      </c>
      <c r="H7423" s="6">
        <f>ROUND(G7423*F7423,2)</f>
        <v/>
      </c>
      <c r="I7423">
        <f>IF(ROUND(H7423-D7423,2)=0,1,0)</f>
        <v/>
      </c>
      <c r="J7423">
        <f>IF(F7423="","none",IF(G7423=1,"carte","multiple"))</f>
        <v/>
      </c>
    </row>
    <row r="7424">
      <c r="A7424" t="inlineStr">
        <is>
          <t>2023-01-05</t>
        </is>
      </c>
      <c r="B7424" t="inlineStr">
        <is>
          <t>19:27</t>
        </is>
      </c>
      <c r="C7424" t="n">
        <v>3128</v>
      </c>
      <c r="D7424" s="6" t="n">
        <v>3.9</v>
      </c>
      <c r="E7424" t="n">
        <v>44713</v>
      </c>
      <c r="F7424" s="6" t="n">
        <v>3.9</v>
      </c>
      <c r="G7424" t="n">
        <v>1</v>
      </c>
      <c r="H7424" s="6">
        <f>ROUND(G7424*F7424,2)</f>
        <v/>
      </c>
      <c r="I7424">
        <f>IF(ROUND(H7424-D7424,2)=0,1,0)</f>
        <v/>
      </c>
      <c r="J7424">
        <f>IF(F7424="","none",IF(G7424=1,"carte","multiple"))</f>
        <v/>
      </c>
    </row>
    <row r="7425">
      <c r="A7425" t="inlineStr">
        <is>
          <t>2023-01-05</t>
        </is>
      </c>
      <c r="B7425" t="inlineStr">
        <is>
          <t>19:59</t>
        </is>
      </c>
      <c r="C7425" t="n">
        <v>3128</v>
      </c>
      <c r="D7425" s="6" t="n">
        <v>6.9</v>
      </c>
      <c r="E7425" t="n">
        <v>44714</v>
      </c>
      <c r="F7425" s="6" t="n">
        <v>6.9</v>
      </c>
      <c r="G7425" t="n">
        <v>1</v>
      </c>
      <c r="H7425" s="6">
        <f>ROUND(G7425*F7425,2)</f>
        <v/>
      </c>
      <c r="I7425">
        <f>IF(ROUND(H7425-D7425,2)=0,1,0)</f>
        <v/>
      </c>
      <c r="J7425">
        <f>IF(F7425="","none",IF(G7425=1,"carte","multiple"))</f>
        <v/>
      </c>
    </row>
    <row r="7426">
      <c r="A7426" t="inlineStr">
        <is>
          <t>2023-01-05</t>
        </is>
      </c>
      <c r="B7426" t="inlineStr">
        <is>
          <t>19:59</t>
        </is>
      </c>
      <c r="C7426" t="n">
        <v>3128</v>
      </c>
      <c r="D7426" s="6" t="n">
        <v>6.5</v>
      </c>
      <c r="E7426" t="n">
        <v>44715</v>
      </c>
      <c r="F7426" s="6" t="n">
        <v>6.5</v>
      </c>
      <c r="G7426" t="n">
        <v>1</v>
      </c>
      <c r="H7426" s="6">
        <f>ROUND(G7426*F7426,2)</f>
        <v/>
      </c>
      <c r="I7426">
        <f>IF(ROUND(H7426-D7426,2)=0,1,0)</f>
        <v/>
      </c>
      <c r="J7426">
        <f>IF(F7426="","none",IF(G7426=1,"carte","multiple"))</f>
        <v/>
      </c>
    </row>
    <row r="7427">
      <c r="A7427" t="inlineStr">
        <is>
          <t>2023-01-05</t>
        </is>
      </c>
      <c r="B7427" t="inlineStr">
        <is>
          <t>19:59</t>
        </is>
      </c>
      <c r="C7427" t="n">
        <v>3128</v>
      </c>
      <c r="D7427" s="6" t="n">
        <v>4</v>
      </c>
      <c r="E7427" t="n">
        <v>44716</v>
      </c>
      <c r="F7427" s="6" t="n">
        <v>4</v>
      </c>
      <c r="G7427" t="n">
        <v>1</v>
      </c>
      <c r="H7427" s="6">
        <f>ROUND(G7427*F7427,2)</f>
        <v/>
      </c>
      <c r="I7427">
        <f>IF(ROUND(H7427-D7427,2)=0,1,0)</f>
        <v/>
      </c>
      <c r="J7427">
        <f>IF(F7427="","none",IF(G7427=1,"carte","multiple"))</f>
        <v/>
      </c>
    </row>
    <row r="7428">
      <c r="A7428" t="inlineStr">
        <is>
          <t>2023-01-05</t>
        </is>
      </c>
      <c r="B7428" t="inlineStr">
        <is>
          <t>19:59</t>
        </is>
      </c>
      <c r="C7428" t="n">
        <v>3128</v>
      </c>
      <c r="D7428" s="6" t="n">
        <v>20.9</v>
      </c>
      <c r="E7428" t="n">
        <v>44717</v>
      </c>
      <c r="F7428" s="6" t="n">
        <v>20.9</v>
      </c>
      <c r="G7428" t="n">
        <v>1</v>
      </c>
      <c r="H7428" s="6">
        <f>ROUND(G7428*F7428,2)</f>
        <v/>
      </c>
      <c r="I7428">
        <f>IF(ROUND(H7428-D7428,2)=0,1,0)</f>
        <v/>
      </c>
      <c r="J7428">
        <f>IF(F7428="","none",IF(G7428=1,"carte","multiple"))</f>
        <v/>
      </c>
    </row>
    <row r="7429">
      <c r="A7429" t="inlineStr">
        <is>
          <t>2023-01-05</t>
        </is>
      </c>
      <c r="B7429" t="inlineStr">
        <is>
          <t>19:59</t>
        </is>
      </c>
      <c r="C7429" t="n">
        <v>3128</v>
      </c>
      <c r="D7429" s="6" t="n">
        <v>19</v>
      </c>
      <c r="E7429" t="n">
        <v>44718</v>
      </c>
      <c r="F7429" s="6" t="n">
        <v>19</v>
      </c>
      <c r="G7429" t="n">
        <v>1</v>
      </c>
      <c r="H7429" s="6">
        <f>ROUND(G7429*F7429,2)</f>
        <v/>
      </c>
      <c r="I7429">
        <f>IF(ROUND(H7429-D7429,2)=0,1,0)</f>
        <v/>
      </c>
      <c r="J7429">
        <f>IF(F7429="","none",IF(G7429=1,"carte","multiple"))</f>
        <v/>
      </c>
    </row>
    <row r="7430">
      <c r="A7430" t="inlineStr">
        <is>
          <t>2023-01-05</t>
        </is>
      </c>
      <c r="B7430" t="inlineStr">
        <is>
          <t>19:59</t>
        </is>
      </c>
      <c r="C7430" t="n">
        <v>3128</v>
      </c>
      <c r="D7430" s="6" t="n">
        <v>3.9</v>
      </c>
      <c r="E7430" t="n">
        <v>44719</v>
      </c>
      <c r="F7430" s="6" t="n">
        <v>3.9</v>
      </c>
      <c r="G7430" t="n">
        <v>1</v>
      </c>
      <c r="H7430" s="6">
        <f>ROUND(G7430*F7430,2)</f>
        <v/>
      </c>
      <c r="I7430">
        <f>IF(ROUND(H7430-D7430,2)=0,1,0)</f>
        <v/>
      </c>
      <c r="J7430">
        <f>IF(F7430="","none",IF(G7430=1,"carte","multiple"))</f>
        <v/>
      </c>
    </row>
    <row r="7431">
      <c r="A7431" t="inlineStr">
        <is>
          <t>2023-01-05</t>
        </is>
      </c>
      <c r="B7431" t="inlineStr">
        <is>
          <t>19:59</t>
        </is>
      </c>
      <c r="C7431" t="n">
        <v>3128</v>
      </c>
      <c r="D7431" s="6" t="n">
        <v>3.9</v>
      </c>
      <c r="E7431" t="n">
        <v>44720</v>
      </c>
      <c r="F7431" s="6" t="n">
        <v>3.9</v>
      </c>
      <c r="G7431" t="n">
        <v>1</v>
      </c>
      <c r="H7431" s="6">
        <f>ROUND(G7431*F7431,2)</f>
        <v/>
      </c>
      <c r="I7431">
        <f>IF(ROUND(H7431-D7431,2)=0,1,0)</f>
        <v/>
      </c>
      <c r="J7431">
        <f>IF(F7431="","none",IF(G7431=1,"carte","multiple"))</f>
        <v/>
      </c>
    </row>
    <row r="7432">
      <c r="A7432" t="inlineStr">
        <is>
          <t>2023-01-05</t>
        </is>
      </c>
      <c r="B7432" t="inlineStr">
        <is>
          <t>19:59</t>
        </is>
      </c>
      <c r="C7432" t="n">
        <v>3128</v>
      </c>
      <c r="D7432" s="6" t="n">
        <v>9.800000000000001</v>
      </c>
      <c r="E7432" t="n">
        <v>44721</v>
      </c>
      <c r="F7432" s="6" t="n">
        <v>9.800000000000001</v>
      </c>
      <c r="G7432" t="n">
        <v>1</v>
      </c>
      <c r="H7432" s="6">
        <f>ROUND(G7432*F7432,2)</f>
        <v/>
      </c>
      <c r="I7432">
        <f>IF(ROUND(H7432-D7432,2)=0,1,0)</f>
        <v/>
      </c>
      <c r="J7432">
        <f>IF(F7432="","none",IF(G7432=1,"carte","multiple"))</f>
        <v/>
      </c>
    </row>
    <row r="7433">
      <c r="A7433" t="inlineStr">
        <is>
          <t>2023-01-05</t>
        </is>
      </c>
      <c r="B7433" t="inlineStr">
        <is>
          <t>19:59</t>
        </is>
      </c>
      <c r="C7433" t="n">
        <v>3128</v>
      </c>
      <c r="D7433" s="6" t="n">
        <v>27.8</v>
      </c>
      <c r="E7433" t="n">
        <v>44722</v>
      </c>
      <c r="F7433" s="6" t="n">
        <v>27.8</v>
      </c>
      <c r="G7433" t="n">
        <v>1</v>
      </c>
      <c r="H7433" s="6">
        <f>ROUND(G7433*F7433,2)</f>
        <v/>
      </c>
      <c r="I7433">
        <f>IF(ROUND(H7433-D7433,2)=0,1,0)</f>
        <v/>
      </c>
      <c r="J7433">
        <f>IF(F7433="","none",IF(G7433=1,"carte","multiple"))</f>
        <v/>
      </c>
    </row>
    <row r="7434">
      <c r="A7434" t="inlineStr">
        <is>
          <t>2023-01-05</t>
        </is>
      </c>
      <c r="B7434" t="inlineStr">
        <is>
          <t>19:59</t>
        </is>
      </c>
      <c r="C7434" t="n">
        <v>3128</v>
      </c>
      <c r="D7434" s="6" t="n">
        <v>25</v>
      </c>
      <c r="E7434" t="n">
        <v>44723</v>
      </c>
      <c r="F7434" s="6" t="n">
        <v>25</v>
      </c>
      <c r="G7434" t="n">
        <v>1</v>
      </c>
      <c r="H7434" s="6">
        <f>ROUND(G7434*F7434,2)</f>
        <v/>
      </c>
      <c r="I7434">
        <f>IF(ROUND(H7434-D7434,2)=0,1,0)</f>
        <v/>
      </c>
      <c r="J7434">
        <f>IF(F7434="","none",IF(G7434=1,"carte","multiple"))</f>
        <v/>
      </c>
    </row>
    <row r="7435">
      <c r="A7435" t="inlineStr">
        <is>
          <t>2023-01-05</t>
        </is>
      </c>
      <c r="B7435" t="inlineStr">
        <is>
          <t>19:59</t>
        </is>
      </c>
      <c r="C7435" t="n">
        <v>3128</v>
      </c>
      <c r="D7435" s="6" t="n">
        <v>5.9</v>
      </c>
      <c r="E7435" t="n">
        <v>44724</v>
      </c>
      <c r="F7435" s="6" t="n">
        <v>5.9</v>
      </c>
      <c r="G7435" t="n">
        <v>1</v>
      </c>
      <c r="H7435" s="6">
        <f>ROUND(G7435*F7435,2)</f>
        <v/>
      </c>
      <c r="I7435">
        <f>IF(ROUND(H7435-D7435,2)=0,1,0)</f>
        <v/>
      </c>
      <c r="J7435">
        <f>IF(F7435="","none",IF(G7435=1,"carte","multiple"))</f>
        <v/>
      </c>
    </row>
    <row r="7436">
      <c r="A7436" t="inlineStr">
        <is>
          <t>2023-01-05</t>
        </is>
      </c>
      <c r="B7436" t="inlineStr">
        <is>
          <t>19:59</t>
        </is>
      </c>
      <c r="C7436" t="n">
        <v>3128</v>
      </c>
      <c r="D7436" s="6" t="n">
        <v>7.8</v>
      </c>
      <c r="E7436" t="n">
        <v>44725</v>
      </c>
      <c r="F7436" s="6" t="n">
        <v>7.8</v>
      </c>
      <c r="G7436" t="n">
        <v>1</v>
      </c>
      <c r="H7436" s="6">
        <f>ROUND(G7436*F7436,2)</f>
        <v/>
      </c>
      <c r="I7436">
        <f>IF(ROUND(H7436-D7436,2)=0,1,0)</f>
        <v/>
      </c>
      <c r="J7436">
        <f>IF(F7436="","none",IF(G7436=1,"carte","multiple"))</f>
        <v/>
      </c>
    </row>
    <row r="7437">
      <c r="A7437" t="inlineStr">
        <is>
          <t>2023-01-05</t>
        </is>
      </c>
      <c r="B7437" t="inlineStr">
        <is>
          <t>20:16</t>
        </is>
      </c>
      <c r="C7437" t="n">
        <v>3128</v>
      </c>
      <c r="D7437" s="6" t="n">
        <v>5.2</v>
      </c>
      <c r="E7437" t="n">
        <v>44727</v>
      </c>
      <c r="F7437" s="6" t="n">
        <v>5.2</v>
      </c>
      <c r="G7437" t="n">
        <v>1</v>
      </c>
      <c r="H7437" s="6">
        <f>ROUND(G7437*F7437,2)</f>
        <v/>
      </c>
      <c r="I7437">
        <f>IF(ROUND(H7437-D7437,2)=0,1,0)</f>
        <v/>
      </c>
      <c r="J7437">
        <f>IF(F7437="","none",IF(G7437=1,"carte","multiple"))</f>
        <v/>
      </c>
    </row>
    <row r="7438">
      <c r="A7438" t="inlineStr">
        <is>
          <t>2023-01-05</t>
        </is>
      </c>
      <c r="B7438" t="inlineStr">
        <is>
          <t>20:16</t>
        </is>
      </c>
      <c r="C7438" t="n">
        <v>3128</v>
      </c>
      <c r="D7438" s="6" t="n">
        <v>6</v>
      </c>
      <c r="E7438" t="n">
        <v>44728</v>
      </c>
      <c r="F7438" s="6" t="n">
        <v>6</v>
      </c>
      <c r="G7438" t="n">
        <v>1</v>
      </c>
      <c r="H7438" s="6">
        <f>ROUND(G7438*F7438,2)</f>
        <v/>
      </c>
      <c r="I7438">
        <f>IF(ROUND(H7438-D7438,2)=0,1,0)</f>
        <v/>
      </c>
      <c r="J7438">
        <f>IF(F7438="","none",IF(G7438=1,"carte","multiple"))</f>
        <v/>
      </c>
    </row>
    <row r="7439">
      <c r="A7439" t="inlineStr">
        <is>
          <t>2023-01-05</t>
        </is>
      </c>
      <c r="B7439" t="inlineStr">
        <is>
          <t>20:16</t>
        </is>
      </c>
      <c r="C7439" t="n">
        <v>3128</v>
      </c>
      <c r="D7439" s="6" t="n">
        <v>6.5</v>
      </c>
      <c r="E7439" t="n">
        <v>44729</v>
      </c>
      <c r="F7439" s="6" t="n">
        <v>6.5</v>
      </c>
      <c r="G7439" t="n">
        <v>1</v>
      </c>
      <c r="H7439" s="6">
        <f>ROUND(G7439*F7439,2)</f>
        <v/>
      </c>
      <c r="I7439">
        <f>IF(ROUND(H7439-D7439,2)=0,1,0)</f>
        <v/>
      </c>
      <c r="J7439">
        <f>IF(F7439="","none",IF(G7439=1,"carte","multiple"))</f>
        <v/>
      </c>
    </row>
    <row r="7440">
      <c r="A7440" t="inlineStr">
        <is>
          <t>2023-01-05</t>
        </is>
      </c>
      <c r="B7440" t="inlineStr">
        <is>
          <t>20:16</t>
        </is>
      </c>
      <c r="C7440" t="n">
        <v>3128</v>
      </c>
      <c r="D7440" s="6" t="n">
        <v>2.2</v>
      </c>
      <c r="E7440" t="n">
        <v>44730</v>
      </c>
      <c r="F7440" s="6" t="n">
        <v>2.2</v>
      </c>
      <c r="G7440" t="n">
        <v>1</v>
      </c>
      <c r="H7440" s="6">
        <f>ROUND(G7440*F7440,2)</f>
        <v/>
      </c>
      <c r="I7440">
        <f>IF(ROUND(H7440-D7440,2)=0,1,0)</f>
        <v/>
      </c>
      <c r="J7440">
        <f>IF(F7440="","none",IF(G7440=1,"carte","multiple"))</f>
        <v/>
      </c>
    </row>
    <row r="7441">
      <c r="A7441" t="inlineStr">
        <is>
          <t>2023-01-05</t>
        </is>
      </c>
      <c r="B7441" t="inlineStr">
        <is>
          <t>20:16</t>
        </is>
      </c>
      <c r="C7441" t="n">
        <v>3128</v>
      </c>
      <c r="D7441" s="6" t="n">
        <v>7.6</v>
      </c>
      <c r="E7441" t="n">
        <v>44731</v>
      </c>
      <c r="F7441" s="6" t="n">
        <v>7.6</v>
      </c>
      <c r="G7441" t="n">
        <v>1</v>
      </c>
      <c r="H7441" s="6">
        <f>ROUND(G7441*F7441,2)</f>
        <v/>
      </c>
      <c r="I7441">
        <f>IF(ROUND(H7441-D7441,2)=0,1,0)</f>
        <v/>
      </c>
      <c r="J7441">
        <f>IF(F7441="","none",IF(G7441=1,"carte","multiple"))</f>
        <v/>
      </c>
    </row>
    <row r="7442">
      <c r="A7442" t="inlineStr">
        <is>
          <t>2023-01-05</t>
        </is>
      </c>
      <c r="B7442" t="inlineStr">
        <is>
          <t>20:16</t>
        </is>
      </c>
      <c r="C7442" t="n">
        <v>3128</v>
      </c>
      <c r="D7442" s="6" t="n">
        <v>29.9</v>
      </c>
      <c r="E7442" t="n">
        <v>44732</v>
      </c>
      <c r="F7442" s="6" t="n">
        <v>29.9</v>
      </c>
      <c r="G7442" t="n">
        <v>1</v>
      </c>
      <c r="H7442" s="6">
        <f>ROUND(G7442*F7442,2)</f>
        <v/>
      </c>
      <c r="I7442">
        <f>IF(ROUND(H7442-D7442,2)=0,1,0)</f>
        <v/>
      </c>
      <c r="J7442">
        <f>IF(F7442="","none",IF(G7442=1,"carte","multiple"))</f>
        <v/>
      </c>
    </row>
    <row r="7443">
      <c r="A7443" t="inlineStr">
        <is>
          <t>2023-01-05</t>
        </is>
      </c>
      <c r="B7443" t="inlineStr">
        <is>
          <t>20:16</t>
        </is>
      </c>
      <c r="C7443" t="n">
        <v>3128</v>
      </c>
      <c r="D7443" s="6" t="n">
        <v>26.7</v>
      </c>
      <c r="E7443" t="n">
        <v>44733</v>
      </c>
      <c r="F7443" s="6" t="n">
        <v>26.7</v>
      </c>
      <c r="G7443" t="n">
        <v>1</v>
      </c>
      <c r="H7443" s="6">
        <f>ROUND(G7443*F7443,2)</f>
        <v/>
      </c>
      <c r="I7443">
        <f>IF(ROUND(H7443-D7443,2)=0,1,0)</f>
        <v/>
      </c>
      <c r="J7443">
        <f>IF(F7443="","none",IF(G7443=1,"carte","multiple"))</f>
        <v/>
      </c>
    </row>
    <row r="7444">
      <c r="A7444" t="inlineStr">
        <is>
          <t>2023-01-05</t>
        </is>
      </c>
      <c r="B7444" t="inlineStr">
        <is>
          <t>20:16</t>
        </is>
      </c>
      <c r="C7444" t="n">
        <v>3128</v>
      </c>
      <c r="D7444" s="6" t="n">
        <v>77.7</v>
      </c>
      <c r="E7444" t="n">
        <v>44734</v>
      </c>
      <c r="F7444" s="6" t="n">
        <v>3.7</v>
      </c>
      <c r="G7444" t="n">
        <v>21</v>
      </c>
      <c r="H7444" s="6">
        <f>ROUND(G7444*F7444,2)</f>
        <v/>
      </c>
      <c r="I7444">
        <f>IF(ROUND(H7444-D7444,2)=0,1,0)</f>
        <v/>
      </c>
      <c r="J7444">
        <f>IF(F7444="","none",IF(G7444=1,"carte","multiple"))</f>
        <v/>
      </c>
    </row>
    <row r="7445">
      <c r="A7445" t="inlineStr">
        <is>
          <t>2023-01-05</t>
        </is>
      </c>
      <c r="B7445" t="inlineStr">
        <is>
          <t>20:16</t>
        </is>
      </c>
      <c r="C7445" t="n">
        <v>3128</v>
      </c>
      <c r="D7445" s="6" t="n">
        <v>7.6</v>
      </c>
      <c r="E7445" t="n">
        <v>44735</v>
      </c>
      <c r="F7445" s="6" t="n">
        <v>7.6</v>
      </c>
      <c r="G7445" t="n">
        <v>1</v>
      </c>
      <c r="H7445" s="6">
        <f>ROUND(G7445*F7445,2)</f>
        <v/>
      </c>
      <c r="I7445">
        <f>IF(ROUND(H7445-D7445,2)=0,1,0)</f>
        <v/>
      </c>
      <c r="J7445">
        <f>IF(F7445="","none",IF(G7445=1,"carte","multiple"))</f>
        <v/>
      </c>
    </row>
    <row r="7446">
      <c r="A7446" t="inlineStr">
        <is>
          <t>2023-01-05</t>
        </is>
      </c>
      <c r="B7446" t="inlineStr">
        <is>
          <t>20:16</t>
        </is>
      </c>
      <c r="C7446" t="n">
        <v>3128</v>
      </c>
      <c r="D7446" s="6" t="n">
        <v>3.9</v>
      </c>
      <c r="E7446" t="n">
        <v>44736</v>
      </c>
      <c r="F7446" s="6" t="n">
        <v>3.9</v>
      </c>
      <c r="G7446" t="n">
        <v>1</v>
      </c>
      <c r="H7446" s="6">
        <f>ROUND(G7446*F7446,2)</f>
        <v/>
      </c>
      <c r="I7446">
        <f>IF(ROUND(H7446-D7446,2)=0,1,0)</f>
        <v/>
      </c>
      <c r="J7446">
        <f>IF(F7446="","none",IF(G7446=1,"carte","multiple"))</f>
        <v/>
      </c>
    </row>
    <row r="7447">
      <c r="A7447" t="inlineStr">
        <is>
          <t>2023-01-05</t>
        </is>
      </c>
      <c r="B7447" t="inlineStr">
        <is>
          <t>20:33</t>
        </is>
      </c>
      <c r="C7447" t="n">
        <v>3128</v>
      </c>
      <c r="D7447" s="6" t="n">
        <v>19.9</v>
      </c>
      <c r="E7447" t="n">
        <v>44737</v>
      </c>
      <c r="F7447" s="6" t="n">
        <v>19.9</v>
      </c>
      <c r="G7447" t="n">
        <v>1</v>
      </c>
      <c r="H7447" s="6">
        <f>ROUND(G7447*F7447,2)</f>
        <v/>
      </c>
      <c r="I7447">
        <f>IF(ROUND(H7447-D7447,2)=0,1,0)</f>
        <v/>
      </c>
      <c r="J7447">
        <f>IF(F7447="","none",IF(G7447=1,"carte","multiple"))</f>
        <v/>
      </c>
    </row>
    <row r="7448">
      <c r="A7448" t="inlineStr">
        <is>
          <t>2023-01-05</t>
        </is>
      </c>
      <c r="B7448" t="inlineStr">
        <is>
          <t>20:39</t>
        </is>
      </c>
      <c r="C7448" t="n">
        <v>3128</v>
      </c>
      <c r="D7448" s="6" t="n">
        <v>55.6</v>
      </c>
      <c r="E7448" t="n">
        <v>44738</v>
      </c>
      <c r="F7448" s="6" t="n">
        <v>0.4</v>
      </c>
      <c r="G7448" t="n">
        <v>139</v>
      </c>
      <c r="H7448" s="6">
        <f>ROUND(G7448*F7448,2)</f>
        <v/>
      </c>
      <c r="I7448">
        <f>IF(ROUND(H7448-D7448,2)=0,1,0)</f>
        <v/>
      </c>
      <c r="J7448">
        <f>IF(F7448="","none",IF(G7448=1,"carte","multiple"))</f>
        <v/>
      </c>
    </row>
    <row r="7449">
      <c r="A7449" t="inlineStr">
        <is>
          <t>2023-01-05</t>
        </is>
      </c>
      <c r="B7449" t="inlineStr">
        <is>
          <t>20:39</t>
        </is>
      </c>
      <c r="C7449" t="n">
        <v>3128</v>
      </c>
      <c r="D7449" s="6" t="n">
        <v>9.6</v>
      </c>
      <c r="E7449" t="n">
        <v>44739</v>
      </c>
      <c r="F7449" s="6" t="n">
        <v>9.6</v>
      </c>
      <c r="G7449" t="n">
        <v>1</v>
      </c>
      <c r="H7449" s="6">
        <f>ROUND(G7449*F7449,2)</f>
        <v/>
      </c>
      <c r="I7449">
        <f>IF(ROUND(H7449-D7449,2)=0,1,0)</f>
        <v/>
      </c>
      <c r="J7449">
        <f>IF(F7449="","none",IF(G7449=1,"carte","multiple"))</f>
        <v/>
      </c>
    </row>
    <row r="7450">
      <c r="A7450" t="inlineStr">
        <is>
          <t>2023-01-05</t>
        </is>
      </c>
      <c r="B7450" t="inlineStr">
        <is>
          <t>20:39</t>
        </is>
      </c>
      <c r="C7450" t="n">
        <v>3128</v>
      </c>
      <c r="D7450" s="6" t="n">
        <v>28</v>
      </c>
      <c r="E7450" t="n">
        <v>44740</v>
      </c>
      <c r="F7450" s="6" t="n">
        <v>28</v>
      </c>
      <c r="G7450" t="n">
        <v>1</v>
      </c>
      <c r="H7450" s="6">
        <f>ROUND(G7450*F7450,2)</f>
        <v/>
      </c>
      <c r="I7450">
        <f>IF(ROUND(H7450-D7450,2)=0,1,0)</f>
        <v/>
      </c>
      <c r="J7450">
        <f>IF(F7450="","none",IF(G7450=1,"carte","multiple"))</f>
        <v/>
      </c>
    </row>
    <row r="7451">
      <c r="A7451" t="inlineStr">
        <is>
          <t>2023-01-06</t>
        </is>
      </c>
      <c r="B7451" t="inlineStr">
        <is>
          <t>11:51</t>
        </is>
      </c>
      <c r="C7451" t="n">
        <v>3129</v>
      </c>
      <c r="D7451" s="6" t="n">
        <v>2.2</v>
      </c>
      <c r="E7451" t="n">
        <v>44743</v>
      </c>
      <c r="F7451" s="6" t="n">
        <v>2.2</v>
      </c>
      <c r="G7451" t="n">
        <v>1</v>
      </c>
      <c r="H7451" s="6">
        <f>ROUND(G7451*F7451,2)</f>
        <v/>
      </c>
      <c r="I7451">
        <f>IF(ROUND(H7451-D7451,2)=0,1,0)</f>
        <v/>
      </c>
      <c r="J7451">
        <f>IF(F7451="","none",IF(G7451=1,"carte","multiple"))</f>
        <v/>
      </c>
    </row>
    <row r="7452">
      <c r="A7452" t="inlineStr">
        <is>
          <t>2023-01-06</t>
        </is>
      </c>
      <c r="B7452" t="inlineStr">
        <is>
          <t>12:39</t>
        </is>
      </c>
      <c r="C7452" t="n">
        <v>3129</v>
      </c>
      <c r="D7452" s="6" t="n">
        <v>7.2</v>
      </c>
      <c r="E7452" t="n">
        <v>44745</v>
      </c>
      <c r="F7452" s="6" t="n">
        <v>7.2</v>
      </c>
      <c r="G7452" t="n">
        <v>1</v>
      </c>
      <c r="H7452" s="6">
        <f>ROUND(G7452*F7452,2)</f>
        <v/>
      </c>
      <c r="I7452">
        <f>IF(ROUND(H7452-D7452,2)=0,1,0)</f>
        <v/>
      </c>
      <c r="J7452">
        <f>IF(F7452="","none",IF(G7452=1,"carte","multiple"))</f>
        <v/>
      </c>
    </row>
    <row r="7453">
      <c r="A7453" t="inlineStr">
        <is>
          <t>2023-01-06</t>
        </is>
      </c>
      <c r="B7453" t="inlineStr">
        <is>
          <t>12:39</t>
        </is>
      </c>
      <c r="C7453" t="n">
        <v>3129</v>
      </c>
      <c r="D7453" s="6" t="n">
        <v>39.8</v>
      </c>
      <c r="E7453" t="n">
        <v>44746</v>
      </c>
      <c r="F7453" s="6" t="n">
        <v>39.8</v>
      </c>
      <c r="G7453" t="n">
        <v>1</v>
      </c>
      <c r="H7453" s="6">
        <f>ROUND(G7453*F7453,2)</f>
        <v/>
      </c>
      <c r="I7453">
        <f>IF(ROUND(H7453-D7453,2)=0,1,0)</f>
        <v/>
      </c>
      <c r="J7453">
        <f>IF(F7453="","none",IF(G7453=1,"carte","multiple"))</f>
        <v/>
      </c>
    </row>
    <row r="7454">
      <c r="A7454" t="inlineStr">
        <is>
          <t>2023-01-06</t>
        </is>
      </c>
      <c r="B7454" t="inlineStr">
        <is>
          <t>12:39</t>
        </is>
      </c>
      <c r="C7454" t="n">
        <v>3129</v>
      </c>
      <c r="D7454" s="6" t="n">
        <v>8</v>
      </c>
      <c r="E7454" t="n">
        <v>44747</v>
      </c>
      <c r="F7454" s="6" t="n">
        <v>8</v>
      </c>
      <c r="G7454" t="n">
        <v>1</v>
      </c>
      <c r="H7454" s="6">
        <f>ROUND(G7454*F7454,2)</f>
        <v/>
      </c>
      <c r="I7454">
        <f>IF(ROUND(H7454-D7454,2)=0,1,0)</f>
        <v/>
      </c>
      <c r="J7454">
        <f>IF(F7454="","none",IF(G7454=1,"carte","multiple"))</f>
        <v/>
      </c>
    </row>
    <row r="7455">
      <c r="A7455" t="inlineStr">
        <is>
          <t>2023-01-06</t>
        </is>
      </c>
      <c r="B7455" t="inlineStr">
        <is>
          <t>12:39</t>
        </is>
      </c>
      <c r="C7455" t="n">
        <v>3129</v>
      </c>
      <c r="D7455" s="6" t="n">
        <v>3.9</v>
      </c>
      <c r="E7455" t="n">
        <v>44748</v>
      </c>
      <c r="F7455" s="6" t="n">
        <v>3.9</v>
      </c>
      <c r="G7455" t="n">
        <v>1</v>
      </c>
      <c r="H7455" s="6">
        <f>ROUND(G7455*F7455,2)</f>
        <v/>
      </c>
      <c r="I7455">
        <f>IF(ROUND(H7455-D7455,2)=0,1,0)</f>
        <v/>
      </c>
      <c r="J7455">
        <f>IF(F7455="","none",IF(G7455=1,"carte","multiple"))</f>
        <v/>
      </c>
    </row>
    <row r="7456">
      <c r="A7456" t="inlineStr">
        <is>
          <t>2023-01-06</t>
        </is>
      </c>
      <c r="B7456" t="inlineStr">
        <is>
          <t>12:39</t>
        </is>
      </c>
      <c r="C7456" t="n">
        <v>3129</v>
      </c>
      <c r="D7456" s="6" t="n">
        <v>3.9</v>
      </c>
      <c r="E7456" t="n">
        <v>44749</v>
      </c>
      <c r="F7456" s="6" t="n">
        <v>3.9</v>
      </c>
      <c r="G7456" t="n">
        <v>1</v>
      </c>
      <c r="H7456" s="6">
        <f>ROUND(G7456*F7456,2)</f>
        <v/>
      </c>
      <c r="I7456">
        <f>IF(ROUND(H7456-D7456,2)=0,1,0)</f>
        <v/>
      </c>
      <c r="J7456">
        <f>IF(F7456="","none",IF(G7456=1,"carte","multiple"))</f>
        <v/>
      </c>
    </row>
    <row r="7457">
      <c r="A7457" t="inlineStr">
        <is>
          <t>2023-01-06</t>
        </is>
      </c>
      <c r="B7457" t="inlineStr">
        <is>
          <t>12:48</t>
        </is>
      </c>
      <c r="C7457" t="n">
        <v>3129</v>
      </c>
      <c r="D7457" s="6" t="n">
        <v>2.2</v>
      </c>
      <c r="E7457" t="n">
        <v>44750</v>
      </c>
      <c r="F7457" s="6" t="n">
        <v>2.2</v>
      </c>
      <c r="G7457" t="n">
        <v>1</v>
      </c>
      <c r="H7457" s="6">
        <f>ROUND(G7457*F7457,2)</f>
        <v/>
      </c>
      <c r="I7457">
        <f>IF(ROUND(H7457-D7457,2)=0,1,0)</f>
        <v/>
      </c>
      <c r="J7457">
        <f>IF(F7457="","none",IF(G7457=1,"carte","multiple"))</f>
        <v/>
      </c>
    </row>
    <row r="7458">
      <c r="A7458" t="inlineStr">
        <is>
          <t>2023-01-06</t>
        </is>
      </c>
      <c r="B7458" t="inlineStr">
        <is>
          <t>12:48</t>
        </is>
      </c>
      <c r="C7458" t="n">
        <v>3129</v>
      </c>
      <c r="D7458" s="6" t="n">
        <v>3.6</v>
      </c>
      <c r="E7458" t="n">
        <v>44751</v>
      </c>
      <c r="F7458" s="6" t="n">
        <v>3.6</v>
      </c>
      <c r="G7458" t="n">
        <v>1</v>
      </c>
      <c r="H7458" s="6">
        <f>ROUND(G7458*F7458,2)</f>
        <v/>
      </c>
      <c r="I7458">
        <f>IF(ROUND(H7458-D7458,2)=0,1,0)</f>
        <v/>
      </c>
      <c r="J7458">
        <f>IF(F7458="","none",IF(G7458=1,"carte","multiple"))</f>
        <v/>
      </c>
    </row>
    <row r="7459">
      <c r="A7459" t="inlineStr">
        <is>
          <t>2023-01-06</t>
        </is>
      </c>
      <c r="B7459" t="inlineStr">
        <is>
          <t>12:48</t>
        </is>
      </c>
      <c r="C7459" t="n">
        <v>3129</v>
      </c>
      <c r="D7459" s="6" t="n">
        <v>4.2</v>
      </c>
      <c r="E7459" t="n">
        <v>44752</v>
      </c>
      <c r="F7459" s="6" t="n">
        <v>4.2</v>
      </c>
      <c r="G7459" t="n">
        <v>1</v>
      </c>
      <c r="H7459" s="6">
        <f>ROUND(G7459*F7459,2)</f>
        <v/>
      </c>
      <c r="I7459">
        <f>IF(ROUND(H7459-D7459,2)=0,1,0)</f>
        <v/>
      </c>
      <c r="J7459">
        <f>IF(F7459="","none",IF(G7459=1,"carte","multiple"))</f>
        <v/>
      </c>
    </row>
    <row r="7460">
      <c r="A7460" t="inlineStr">
        <is>
          <t>2023-01-06</t>
        </is>
      </c>
      <c r="B7460" t="inlineStr">
        <is>
          <t>12:48</t>
        </is>
      </c>
      <c r="C7460" t="n">
        <v>3129</v>
      </c>
      <c r="D7460" s="6" t="n">
        <v>17</v>
      </c>
      <c r="E7460" t="n">
        <v>44753</v>
      </c>
      <c r="F7460" s="6" t="n">
        <v>17</v>
      </c>
      <c r="G7460" t="n">
        <v>1</v>
      </c>
      <c r="H7460" s="6">
        <f>ROUND(G7460*F7460,2)</f>
        <v/>
      </c>
      <c r="I7460">
        <f>IF(ROUND(H7460-D7460,2)=0,1,0)</f>
        <v/>
      </c>
      <c r="J7460">
        <f>IF(F7460="","none",IF(G7460=1,"carte","multiple"))</f>
        <v/>
      </c>
    </row>
    <row r="7461">
      <c r="A7461" t="inlineStr">
        <is>
          <t>2023-01-06</t>
        </is>
      </c>
      <c r="B7461" t="inlineStr">
        <is>
          <t>12:48</t>
        </is>
      </c>
      <c r="C7461" t="n">
        <v>3129</v>
      </c>
      <c r="D7461" s="6" t="n">
        <v>12.5</v>
      </c>
      <c r="E7461" t="n">
        <v>44754</v>
      </c>
      <c r="F7461" s="6" t="n">
        <v>12.5</v>
      </c>
      <c r="G7461" t="n">
        <v>1</v>
      </c>
      <c r="H7461" s="6">
        <f>ROUND(G7461*F7461,2)</f>
        <v/>
      </c>
      <c r="I7461">
        <f>IF(ROUND(H7461-D7461,2)=0,1,0)</f>
        <v/>
      </c>
      <c r="J7461">
        <f>IF(F7461="","none",IF(G7461=1,"carte","multiple"))</f>
        <v/>
      </c>
    </row>
    <row r="7462">
      <c r="A7462" t="inlineStr">
        <is>
          <t>2023-01-06</t>
        </is>
      </c>
      <c r="B7462" t="inlineStr">
        <is>
          <t>18:55</t>
        </is>
      </c>
      <c r="C7462" t="n">
        <v>3129</v>
      </c>
      <c r="D7462" s="6" t="n">
        <v>6.4</v>
      </c>
      <c r="E7462" t="n">
        <v>44756</v>
      </c>
      <c r="F7462" s="6" t="n">
        <v>6.4</v>
      </c>
      <c r="G7462" t="n">
        <v>1</v>
      </c>
      <c r="H7462" s="6">
        <f>ROUND(G7462*F7462,2)</f>
        <v/>
      </c>
      <c r="I7462">
        <f>IF(ROUND(H7462-D7462,2)=0,1,0)</f>
        <v/>
      </c>
      <c r="J7462">
        <f>IF(F7462="","none",IF(G7462=1,"carte","multiple"))</f>
        <v/>
      </c>
    </row>
    <row r="7463">
      <c r="A7463" t="inlineStr">
        <is>
          <t>2023-01-06</t>
        </is>
      </c>
      <c r="B7463" t="inlineStr">
        <is>
          <t>19:23</t>
        </is>
      </c>
      <c r="C7463" t="n">
        <v>3129</v>
      </c>
      <c r="D7463" s="6" t="n">
        <v>6</v>
      </c>
      <c r="E7463" t="n">
        <v>44757</v>
      </c>
      <c r="F7463" s="6" t="n">
        <v>6</v>
      </c>
      <c r="G7463" t="n">
        <v>1</v>
      </c>
      <c r="H7463" s="6">
        <f>ROUND(G7463*F7463,2)</f>
        <v/>
      </c>
      <c r="I7463">
        <f>IF(ROUND(H7463-D7463,2)=0,1,0)</f>
        <v/>
      </c>
      <c r="J7463">
        <f>IF(F7463="","none",IF(G7463=1,"carte","multiple"))</f>
        <v/>
      </c>
    </row>
    <row r="7464">
      <c r="A7464" t="inlineStr">
        <is>
          <t>2023-01-06</t>
        </is>
      </c>
      <c r="B7464" t="inlineStr">
        <is>
          <t>19:23</t>
        </is>
      </c>
      <c r="C7464" t="n">
        <v>3129</v>
      </c>
      <c r="D7464" s="6" t="n">
        <v>7.8</v>
      </c>
      <c r="E7464" t="n">
        <v>44758</v>
      </c>
      <c r="F7464" s="6" t="n">
        <v>7.8</v>
      </c>
      <c r="G7464" t="n">
        <v>1</v>
      </c>
      <c r="H7464" s="6">
        <f>ROUND(G7464*F7464,2)</f>
        <v/>
      </c>
      <c r="I7464">
        <f>IF(ROUND(H7464-D7464,2)=0,1,0)</f>
        <v/>
      </c>
      <c r="J7464">
        <f>IF(F7464="","none",IF(G7464=1,"carte","multiple"))</f>
        <v/>
      </c>
    </row>
    <row r="7465">
      <c r="A7465" t="inlineStr">
        <is>
          <t>2023-01-06</t>
        </is>
      </c>
      <c r="B7465" t="inlineStr">
        <is>
          <t>19:32</t>
        </is>
      </c>
      <c r="C7465" t="n">
        <v>3129</v>
      </c>
      <c r="D7465" s="6" t="n">
        <v>4</v>
      </c>
      <c r="E7465" t="n">
        <v>44759</v>
      </c>
      <c r="F7465" s="6" t="n">
        <v>4</v>
      </c>
      <c r="G7465" t="n">
        <v>1</v>
      </c>
      <c r="H7465" s="6">
        <f>ROUND(G7465*F7465,2)</f>
        <v/>
      </c>
      <c r="I7465">
        <f>IF(ROUND(H7465-D7465,2)=0,1,0)</f>
        <v/>
      </c>
      <c r="J7465">
        <f>IF(F7465="","none",IF(G7465=1,"carte","multiple"))</f>
        <v/>
      </c>
    </row>
    <row r="7466">
      <c r="A7466" t="inlineStr">
        <is>
          <t>2023-01-06</t>
        </is>
      </c>
      <c r="B7466" t="inlineStr">
        <is>
          <t>19:32</t>
        </is>
      </c>
      <c r="C7466" t="n">
        <v>3129</v>
      </c>
      <c r="D7466" s="6" t="n">
        <v>28</v>
      </c>
      <c r="E7466" t="n">
        <v>44760</v>
      </c>
      <c r="F7466" s="6" t="n">
        <v>28</v>
      </c>
      <c r="G7466" t="n">
        <v>1</v>
      </c>
      <c r="H7466" s="6">
        <f>ROUND(G7466*F7466,2)</f>
        <v/>
      </c>
      <c r="I7466">
        <f>IF(ROUND(H7466-D7466,2)=0,1,0)</f>
        <v/>
      </c>
      <c r="J7466">
        <f>IF(F7466="","none",IF(G7466=1,"carte","multiple"))</f>
        <v/>
      </c>
    </row>
    <row r="7467">
      <c r="A7467" t="inlineStr">
        <is>
          <t>2023-01-06</t>
        </is>
      </c>
      <c r="B7467" t="inlineStr">
        <is>
          <t>19:32</t>
        </is>
      </c>
      <c r="C7467" t="n">
        <v>3129</v>
      </c>
      <c r="D7467" s="6" t="n">
        <v>28.6</v>
      </c>
      <c r="E7467" t="n">
        <v>44761</v>
      </c>
      <c r="F7467" s="6" t="n">
        <v>28.6</v>
      </c>
      <c r="G7467" t="n">
        <v>1</v>
      </c>
      <c r="H7467" s="6">
        <f>ROUND(G7467*F7467,2)</f>
        <v/>
      </c>
      <c r="I7467">
        <f>IF(ROUND(H7467-D7467,2)=0,1,0)</f>
        <v/>
      </c>
      <c r="J7467">
        <f>IF(F7467="","none",IF(G7467=1,"carte","multiple"))</f>
        <v/>
      </c>
    </row>
    <row r="7468">
      <c r="A7468" t="inlineStr">
        <is>
          <t>2023-01-06</t>
        </is>
      </c>
      <c r="B7468" t="inlineStr">
        <is>
          <t>19:32</t>
        </is>
      </c>
      <c r="C7468" t="n">
        <v>3129</v>
      </c>
      <c r="D7468" s="6" t="n">
        <v>16.9</v>
      </c>
      <c r="E7468" t="n">
        <v>44762</v>
      </c>
      <c r="F7468" s="6" t="n">
        <v>16.9</v>
      </c>
      <c r="G7468" t="n">
        <v>1</v>
      </c>
      <c r="H7468" s="6">
        <f>ROUND(G7468*F7468,2)</f>
        <v/>
      </c>
      <c r="I7468">
        <f>IF(ROUND(H7468-D7468,2)=0,1,0)</f>
        <v/>
      </c>
      <c r="J7468">
        <f>IF(F7468="","none",IF(G7468=1,"carte","multiple"))</f>
        <v/>
      </c>
    </row>
    <row r="7469">
      <c r="A7469" t="inlineStr">
        <is>
          <t>2023-01-06</t>
        </is>
      </c>
      <c r="B7469" t="inlineStr">
        <is>
          <t>19:32</t>
        </is>
      </c>
      <c r="C7469" t="n">
        <v>3129</v>
      </c>
      <c r="D7469" s="6" t="n">
        <v>16.9</v>
      </c>
      <c r="E7469" t="n">
        <v>44763</v>
      </c>
      <c r="F7469" s="6" t="n">
        <v>16.9</v>
      </c>
      <c r="G7469" t="n">
        <v>1</v>
      </c>
      <c r="H7469" s="6">
        <f>ROUND(G7469*F7469,2)</f>
        <v/>
      </c>
      <c r="I7469">
        <f>IF(ROUND(H7469-D7469,2)=0,1,0)</f>
        <v/>
      </c>
      <c r="J7469">
        <f>IF(F7469="","none",IF(G7469=1,"carte","multiple"))</f>
        <v/>
      </c>
    </row>
    <row r="7470">
      <c r="A7470" t="inlineStr">
        <is>
          <t>2023-01-06</t>
        </is>
      </c>
      <c r="B7470" t="inlineStr">
        <is>
          <t>19:32</t>
        </is>
      </c>
      <c r="C7470" t="n">
        <v>3129</v>
      </c>
      <c r="D7470" s="6" t="n">
        <v>4.9</v>
      </c>
      <c r="E7470" t="n">
        <v>44764</v>
      </c>
      <c r="F7470" s="6" t="n">
        <v>4.9</v>
      </c>
      <c r="G7470" t="n">
        <v>1</v>
      </c>
      <c r="H7470" s="6">
        <f>ROUND(G7470*F7470,2)</f>
        <v/>
      </c>
      <c r="I7470">
        <f>IF(ROUND(H7470-D7470,2)=0,1,0)</f>
        <v/>
      </c>
      <c r="J7470">
        <f>IF(F7470="","none",IF(G7470=1,"carte","multiple"))</f>
        <v/>
      </c>
    </row>
    <row r="7471">
      <c r="A7471" t="inlineStr">
        <is>
          <t>2023-01-06</t>
        </is>
      </c>
      <c r="B7471" t="inlineStr">
        <is>
          <t>19:32</t>
        </is>
      </c>
      <c r="C7471" t="n">
        <v>3129</v>
      </c>
      <c r="D7471" s="6" t="n">
        <v>5.2</v>
      </c>
      <c r="E7471" t="n">
        <v>44765</v>
      </c>
      <c r="F7471" s="6" t="n">
        <v>5.2</v>
      </c>
      <c r="G7471" t="n">
        <v>1</v>
      </c>
      <c r="H7471" s="6">
        <f>ROUND(G7471*F7471,2)</f>
        <v/>
      </c>
      <c r="I7471">
        <f>IF(ROUND(H7471-D7471,2)=0,1,0)</f>
        <v/>
      </c>
      <c r="J7471">
        <f>IF(F7471="","none",IF(G7471=1,"carte","multiple"))</f>
        <v/>
      </c>
    </row>
    <row r="7472">
      <c r="A7472" t="inlineStr">
        <is>
          <t>2023-01-07</t>
        </is>
      </c>
      <c r="B7472" t="inlineStr">
        <is>
          <t>11:58</t>
        </is>
      </c>
      <c r="C7472" t="n">
        <v>3130</v>
      </c>
      <c r="D7472" s="6" t="n">
        <v>2.2</v>
      </c>
      <c r="E7472" t="n">
        <v>44768</v>
      </c>
      <c r="F7472" s="6" t="n">
        <v>2.2</v>
      </c>
      <c r="G7472" t="n">
        <v>1</v>
      </c>
      <c r="H7472" s="6">
        <f>ROUND(G7472*F7472,2)</f>
        <v/>
      </c>
      <c r="I7472">
        <f>IF(ROUND(H7472-D7472,2)=0,1,0)</f>
        <v/>
      </c>
      <c r="J7472">
        <f>IF(F7472="","none",IF(G7472=1,"carte","multiple"))</f>
        <v/>
      </c>
    </row>
    <row r="7473">
      <c r="A7473" t="inlineStr">
        <is>
          <t>2023-01-07</t>
        </is>
      </c>
      <c r="B7473" t="inlineStr">
        <is>
          <t>11:58</t>
        </is>
      </c>
      <c r="C7473" t="n">
        <v>3130</v>
      </c>
      <c r="D7473" s="6" t="n">
        <v>3.9</v>
      </c>
      <c r="E7473" t="n">
        <v>44769</v>
      </c>
      <c r="F7473" s="6" t="n">
        <v>3.9</v>
      </c>
      <c r="G7473" t="n">
        <v>1</v>
      </c>
      <c r="H7473" s="6">
        <f>ROUND(G7473*F7473,2)</f>
        <v/>
      </c>
      <c r="I7473">
        <f>IF(ROUND(H7473-D7473,2)=0,1,0)</f>
        <v/>
      </c>
      <c r="J7473">
        <f>IF(F7473="","none",IF(G7473=1,"carte","multiple"))</f>
        <v/>
      </c>
    </row>
    <row r="7474">
      <c r="A7474" t="inlineStr">
        <is>
          <t>2023-01-07</t>
        </is>
      </c>
      <c r="B7474" t="inlineStr">
        <is>
          <t>11:58</t>
        </is>
      </c>
      <c r="C7474" t="n">
        <v>3130</v>
      </c>
      <c r="D7474" s="6" t="n">
        <v>3.9</v>
      </c>
      <c r="E7474" t="n">
        <v>44770</v>
      </c>
      <c r="F7474" s="6" t="n">
        <v>3.9</v>
      </c>
      <c r="G7474" t="n">
        <v>1</v>
      </c>
      <c r="H7474" s="6">
        <f>ROUND(G7474*F7474,2)</f>
        <v/>
      </c>
      <c r="I7474">
        <f>IF(ROUND(H7474-D7474,2)=0,1,0)</f>
        <v/>
      </c>
      <c r="J7474">
        <f>IF(F7474="","none",IF(G7474=1,"carte","multiple"))</f>
        <v/>
      </c>
    </row>
    <row r="7475">
      <c r="A7475" t="inlineStr">
        <is>
          <t>2023-01-07</t>
        </is>
      </c>
      <c r="B7475" t="inlineStr">
        <is>
          <t>11:58</t>
        </is>
      </c>
      <c r="C7475" t="n">
        <v>3130</v>
      </c>
      <c r="D7475" s="6" t="n">
        <v>5.9</v>
      </c>
      <c r="E7475" t="n">
        <v>44771</v>
      </c>
      <c r="F7475" s="6" t="n">
        <v>5.9</v>
      </c>
      <c r="G7475" t="n">
        <v>1</v>
      </c>
      <c r="H7475" s="6">
        <f>ROUND(G7475*F7475,2)</f>
        <v/>
      </c>
      <c r="I7475">
        <f>IF(ROUND(H7475-D7475,2)=0,1,0)</f>
        <v/>
      </c>
      <c r="J7475">
        <f>IF(F7475="","none",IF(G7475=1,"carte","multiple"))</f>
        <v/>
      </c>
    </row>
    <row r="7476">
      <c r="A7476" t="inlineStr">
        <is>
          <t>2023-01-07</t>
        </is>
      </c>
      <c r="B7476" t="inlineStr">
        <is>
          <t>11:58</t>
        </is>
      </c>
      <c r="C7476" t="n">
        <v>3130</v>
      </c>
      <c r="D7476" s="6" t="n">
        <v>33.8</v>
      </c>
      <c r="E7476" t="n">
        <v>44772</v>
      </c>
      <c r="F7476" s="6" t="n">
        <v>16.9</v>
      </c>
      <c r="G7476" t="n">
        <v>2</v>
      </c>
      <c r="H7476" s="6">
        <f>ROUND(G7476*F7476,2)</f>
        <v/>
      </c>
      <c r="I7476">
        <f>IF(ROUND(H7476-D7476,2)=0,1,0)</f>
        <v/>
      </c>
      <c r="J7476">
        <f>IF(F7476="","none",IF(G7476=1,"carte","multiple"))</f>
        <v/>
      </c>
    </row>
    <row r="7477">
      <c r="A7477" t="inlineStr">
        <is>
          <t>2023-01-07</t>
        </is>
      </c>
      <c r="B7477" t="inlineStr">
        <is>
          <t>11:58</t>
        </is>
      </c>
      <c r="C7477" t="n">
        <v>3130</v>
      </c>
      <c r="D7477" s="6" t="n">
        <v>4</v>
      </c>
      <c r="E7477" t="n">
        <v>44773</v>
      </c>
      <c r="F7477" s="6" t="n">
        <v>4</v>
      </c>
      <c r="G7477" t="n">
        <v>1</v>
      </c>
      <c r="H7477" s="6">
        <f>ROUND(G7477*F7477,2)</f>
        <v/>
      </c>
      <c r="I7477">
        <f>IF(ROUND(H7477-D7477,2)=0,1,0)</f>
        <v/>
      </c>
      <c r="J7477">
        <f>IF(F7477="","none",IF(G7477=1,"carte","multiple"))</f>
        <v/>
      </c>
    </row>
    <row r="7478">
      <c r="A7478" t="inlineStr">
        <is>
          <t>2023-01-07</t>
        </is>
      </c>
      <c r="B7478" t="inlineStr">
        <is>
          <t>11:58</t>
        </is>
      </c>
      <c r="C7478" t="n">
        <v>3130</v>
      </c>
      <c r="D7478" s="6" t="n">
        <v>13.4</v>
      </c>
      <c r="E7478" t="n">
        <v>44774</v>
      </c>
      <c r="F7478" s="6" t="n">
        <v>13.4</v>
      </c>
      <c r="G7478" t="n">
        <v>1</v>
      </c>
      <c r="H7478" s="6">
        <f>ROUND(G7478*F7478,2)</f>
        <v/>
      </c>
      <c r="I7478">
        <f>IF(ROUND(H7478-D7478,2)=0,1,0)</f>
        <v/>
      </c>
      <c r="J7478">
        <f>IF(F7478="","none",IF(G7478=1,"carte","multiple"))</f>
        <v/>
      </c>
    </row>
    <row r="7479">
      <c r="A7479" t="inlineStr">
        <is>
          <t>2023-01-07</t>
        </is>
      </c>
      <c r="B7479" t="inlineStr">
        <is>
          <t>12:14</t>
        </is>
      </c>
      <c r="C7479" t="n">
        <v>3130</v>
      </c>
      <c r="D7479" s="6" t="n">
        <v>14.4</v>
      </c>
      <c r="E7479" t="n">
        <v>44775</v>
      </c>
      <c r="F7479" s="6" t="n">
        <v>0.4</v>
      </c>
      <c r="G7479" t="n">
        <v>36</v>
      </c>
      <c r="H7479" s="6">
        <f>ROUND(G7479*F7479,2)</f>
        <v/>
      </c>
      <c r="I7479">
        <f>IF(ROUND(H7479-D7479,2)=0,1,0)</f>
        <v/>
      </c>
      <c r="J7479">
        <f>IF(F7479="","none",IF(G7479=1,"carte","multiple"))</f>
        <v/>
      </c>
    </row>
    <row r="7480">
      <c r="A7480" t="inlineStr">
        <is>
          <t>2023-01-07</t>
        </is>
      </c>
      <c r="B7480" t="inlineStr">
        <is>
          <t>12:14</t>
        </is>
      </c>
      <c r="C7480" t="n">
        <v>3130</v>
      </c>
      <c r="D7480" s="6" t="n">
        <v>5.9</v>
      </c>
      <c r="E7480" t="n">
        <v>44776</v>
      </c>
      <c r="F7480" s="6" t="n">
        <v>5.9</v>
      </c>
      <c r="G7480" t="n">
        <v>1</v>
      </c>
      <c r="H7480" s="6">
        <f>ROUND(G7480*F7480,2)</f>
        <v/>
      </c>
      <c r="I7480">
        <f>IF(ROUND(H7480-D7480,2)=0,1,0)</f>
        <v/>
      </c>
      <c r="J7480">
        <f>IF(F7480="","none",IF(G7480=1,"carte","multiple"))</f>
        <v/>
      </c>
    </row>
    <row r="7481">
      <c r="A7481" t="inlineStr">
        <is>
          <t>2023-01-07</t>
        </is>
      </c>
      <c r="B7481" t="inlineStr">
        <is>
          <t>12:14</t>
        </is>
      </c>
      <c r="C7481" t="n">
        <v>3130</v>
      </c>
      <c r="D7481" s="6" t="n">
        <v>33.8</v>
      </c>
      <c r="E7481" t="n">
        <v>44777</v>
      </c>
      <c r="F7481" s="6" t="n">
        <v>16.9</v>
      </c>
      <c r="G7481" t="n">
        <v>2</v>
      </c>
      <c r="H7481" s="6">
        <f>ROUND(G7481*F7481,2)</f>
        <v/>
      </c>
      <c r="I7481">
        <f>IF(ROUND(H7481-D7481,2)=0,1,0)</f>
        <v/>
      </c>
      <c r="J7481">
        <f>IF(F7481="","none",IF(G7481=1,"carte","multiple"))</f>
        <v/>
      </c>
    </row>
    <row r="7482">
      <c r="A7482" t="inlineStr">
        <is>
          <t>2023-01-07</t>
        </is>
      </c>
      <c r="B7482" t="inlineStr">
        <is>
          <t>12:53</t>
        </is>
      </c>
      <c r="C7482" t="n">
        <v>3130</v>
      </c>
      <c r="D7482" s="6" t="n">
        <v>6.6</v>
      </c>
      <c r="E7482" t="n">
        <v>44778</v>
      </c>
      <c r="F7482" s="6" t="n">
        <v>6.6</v>
      </c>
      <c r="G7482" t="n">
        <v>1</v>
      </c>
      <c r="H7482" s="6">
        <f>ROUND(G7482*F7482,2)</f>
        <v/>
      </c>
      <c r="I7482">
        <f>IF(ROUND(H7482-D7482,2)=0,1,0)</f>
        <v/>
      </c>
      <c r="J7482">
        <f>IF(F7482="","none",IF(G7482=1,"carte","multiple"))</f>
        <v/>
      </c>
    </row>
    <row r="7483">
      <c r="A7483" t="inlineStr">
        <is>
          <t>2023-01-07</t>
        </is>
      </c>
      <c r="B7483" t="inlineStr">
        <is>
          <t>12:53</t>
        </is>
      </c>
      <c r="C7483" t="n">
        <v>3130</v>
      </c>
      <c r="D7483" s="6" t="n">
        <v>24.9</v>
      </c>
      <c r="E7483" t="n">
        <v>44779</v>
      </c>
      <c r="F7483" s="6" t="n">
        <v>24.9</v>
      </c>
      <c r="G7483" t="n">
        <v>1</v>
      </c>
      <c r="H7483" s="6">
        <f>ROUND(G7483*F7483,2)</f>
        <v/>
      </c>
      <c r="I7483">
        <f>IF(ROUND(H7483-D7483,2)=0,1,0)</f>
        <v/>
      </c>
      <c r="J7483">
        <f>IF(F7483="","none",IF(G7483=1,"carte","multiple"))</f>
        <v/>
      </c>
    </row>
    <row r="7484">
      <c r="A7484" t="inlineStr">
        <is>
          <t>2023-01-07</t>
        </is>
      </c>
      <c r="B7484" t="inlineStr">
        <is>
          <t>12:54</t>
        </is>
      </c>
      <c r="C7484" t="n">
        <v>3130</v>
      </c>
      <c r="D7484" s="6" t="n">
        <v>55.8</v>
      </c>
      <c r="E7484" t="n">
        <v>44780</v>
      </c>
      <c r="F7484" s="6" t="n">
        <v>0.9</v>
      </c>
      <c r="G7484" t="n">
        <v>62</v>
      </c>
      <c r="H7484" s="6">
        <f>ROUND(G7484*F7484,2)</f>
        <v/>
      </c>
      <c r="I7484">
        <f>IF(ROUND(H7484-D7484,2)=0,1,0)</f>
        <v/>
      </c>
      <c r="J7484">
        <f>IF(F7484="","none",IF(G7484=1,"carte","multiple"))</f>
        <v/>
      </c>
    </row>
    <row r="7485">
      <c r="A7485" t="inlineStr">
        <is>
          <t>2023-01-07</t>
        </is>
      </c>
      <c r="B7485" t="inlineStr">
        <is>
          <t>12:54</t>
        </is>
      </c>
      <c r="C7485" t="n">
        <v>3130</v>
      </c>
      <c r="D7485" s="6" t="n">
        <v>10.4</v>
      </c>
      <c r="E7485" t="n">
        <v>44781</v>
      </c>
      <c r="F7485" s="6" t="n">
        <v>0.4</v>
      </c>
      <c r="G7485" t="n">
        <v>26</v>
      </c>
      <c r="H7485" s="6">
        <f>ROUND(G7485*F7485,2)</f>
        <v/>
      </c>
      <c r="I7485">
        <f>IF(ROUND(H7485-D7485,2)=0,1,0)</f>
        <v/>
      </c>
      <c r="J7485">
        <f>IF(F7485="","none",IF(G7485=1,"carte","multiple"))</f>
        <v/>
      </c>
    </row>
    <row r="7486">
      <c r="A7486" t="inlineStr">
        <is>
          <t>2023-01-07</t>
        </is>
      </c>
      <c r="B7486" t="inlineStr">
        <is>
          <t>12:54</t>
        </is>
      </c>
      <c r="C7486" t="n">
        <v>3130</v>
      </c>
      <c r="D7486" s="6" t="n">
        <v>4.2</v>
      </c>
      <c r="E7486" t="n">
        <v>44782</v>
      </c>
      <c r="F7486" s="6" t="n">
        <v>4.2</v>
      </c>
      <c r="G7486" t="n">
        <v>1</v>
      </c>
      <c r="H7486" s="6">
        <f>ROUND(G7486*F7486,2)</f>
        <v/>
      </c>
      <c r="I7486">
        <f>IF(ROUND(H7486-D7486,2)=0,1,0)</f>
        <v/>
      </c>
      <c r="J7486">
        <f>IF(F7486="","none",IF(G7486=1,"carte","multiple"))</f>
        <v/>
      </c>
    </row>
    <row r="7487">
      <c r="A7487" t="inlineStr">
        <is>
          <t>2023-01-07</t>
        </is>
      </c>
      <c r="B7487" t="inlineStr">
        <is>
          <t>19:09</t>
        </is>
      </c>
      <c r="C7487" t="n">
        <v>3130</v>
      </c>
      <c r="D7487" s="6" t="n">
        <v>7.2</v>
      </c>
      <c r="E7487" t="n">
        <v>44784</v>
      </c>
      <c r="F7487" s="6" t="n">
        <v>7.2</v>
      </c>
      <c r="G7487" t="n">
        <v>1</v>
      </c>
      <c r="H7487" s="6">
        <f>ROUND(G7487*F7487,2)</f>
        <v/>
      </c>
      <c r="I7487">
        <f>IF(ROUND(H7487-D7487,2)=0,1,0)</f>
        <v/>
      </c>
      <c r="J7487">
        <f>IF(F7487="","none",IF(G7487=1,"carte","multiple"))</f>
        <v/>
      </c>
    </row>
    <row r="7488">
      <c r="A7488" t="inlineStr">
        <is>
          <t>2023-01-07</t>
        </is>
      </c>
      <c r="B7488" t="inlineStr">
        <is>
          <t>19:33</t>
        </is>
      </c>
      <c r="C7488" t="n">
        <v>3130</v>
      </c>
      <c r="D7488" s="6" t="n">
        <v>10.5</v>
      </c>
      <c r="E7488" t="n">
        <v>44785</v>
      </c>
      <c r="F7488" s="6" t="n">
        <v>10.5</v>
      </c>
      <c r="G7488" t="n">
        <v>1</v>
      </c>
      <c r="H7488" s="6">
        <f>ROUND(G7488*F7488,2)</f>
        <v/>
      </c>
      <c r="I7488">
        <f>IF(ROUND(H7488-D7488,2)=0,1,0)</f>
        <v/>
      </c>
      <c r="J7488">
        <f>IF(F7488="","none",IF(G7488=1,"carte","multiple"))</f>
        <v/>
      </c>
    </row>
    <row r="7489">
      <c r="A7489" t="inlineStr">
        <is>
          <t>2023-01-07</t>
        </is>
      </c>
      <c r="B7489" t="inlineStr">
        <is>
          <t>19:33</t>
        </is>
      </c>
      <c r="C7489" t="n">
        <v>3130</v>
      </c>
      <c r="D7489" s="6" t="n">
        <v>1.8</v>
      </c>
      <c r="E7489" t="n">
        <v>44786</v>
      </c>
      <c r="F7489" s="6" t="n">
        <v>1.8</v>
      </c>
      <c r="G7489" t="n">
        <v>1</v>
      </c>
      <c r="H7489" s="6">
        <f>ROUND(G7489*F7489,2)</f>
        <v/>
      </c>
      <c r="I7489">
        <f>IF(ROUND(H7489-D7489,2)=0,1,0)</f>
        <v/>
      </c>
      <c r="J7489">
        <f>IF(F7489="","none",IF(G7489=1,"carte","multiple"))</f>
        <v/>
      </c>
    </row>
    <row r="7490">
      <c r="A7490" t="inlineStr">
        <is>
          <t>2023-01-07</t>
        </is>
      </c>
      <c r="B7490" t="inlineStr">
        <is>
          <t>19:33</t>
        </is>
      </c>
      <c r="C7490" t="n">
        <v>3130</v>
      </c>
      <c r="D7490" s="6" t="n">
        <v>3.9</v>
      </c>
      <c r="E7490" t="n">
        <v>44787</v>
      </c>
      <c r="F7490" s="6" t="n">
        <v>3.9</v>
      </c>
      <c r="G7490" t="n">
        <v>1</v>
      </c>
      <c r="H7490" s="6">
        <f>ROUND(G7490*F7490,2)</f>
        <v/>
      </c>
      <c r="I7490">
        <f>IF(ROUND(H7490-D7490,2)=0,1,0)</f>
        <v/>
      </c>
      <c r="J7490">
        <f>IF(F7490="","none",IF(G7490=1,"carte","multiple"))</f>
        <v/>
      </c>
    </row>
    <row r="7491">
      <c r="A7491" t="inlineStr">
        <is>
          <t>2023-01-07</t>
        </is>
      </c>
      <c r="B7491" t="inlineStr">
        <is>
          <t>19:33</t>
        </is>
      </c>
      <c r="C7491" t="n">
        <v>3130</v>
      </c>
      <c r="D7491" s="6" t="n">
        <v>4.9</v>
      </c>
      <c r="E7491" t="n">
        <v>44788</v>
      </c>
      <c r="F7491" s="6" t="n">
        <v>4.9</v>
      </c>
      <c r="G7491" t="n">
        <v>1</v>
      </c>
      <c r="H7491" s="6">
        <f>ROUND(G7491*F7491,2)</f>
        <v/>
      </c>
      <c r="I7491">
        <f>IF(ROUND(H7491-D7491,2)=0,1,0)</f>
        <v/>
      </c>
      <c r="J7491">
        <f>IF(F7491="","none",IF(G7491=1,"carte","multiple"))</f>
        <v/>
      </c>
    </row>
    <row r="7492">
      <c r="A7492" t="inlineStr">
        <is>
          <t>2023-01-07</t>
        </is>
      </c>
      <c r="B7492" t="inlineStr">
        <is>
          <t>19:33</t>
        </is>
      </c>
      <c r="C7492" t="n">
        <v>3130</v>
      </c>
      <c r="D7492" s="6" t="n">
        <v>38</v>
      </c>
      <c r="E7492" t="n">
        <v>44789</v>
      </c>
      <c r="F7492" s="6" t="n">
        <v>0.4</v>
      </c>
      <c r="G7492" t="n">
        <v>95</v>
      </c>
      <c r="H7492" s="6">
        <f>ROUND(G7492*F7492,2)</f>
        <v/>
      </c>
      <c r="I7492">
        <f>IF(ROUND(H7492-D7492,2)=0,1,0)</f>
        <v/>
      </c>
      <c r="J7492">
        <f>IF(F7492="","none",IF(G7492=1,"carte","multiple"))</f>
        <v/>
      </c>
    </row>
    <row r="7493">
      <c r="A7493" t="inlineStr">
        <is>
          <t>2023-01-07</t>
        </is>
      </c>
      <c r="B7493" t="inlineStr">
        <is>
          <t>19:56</t>
        </is>
      </c>
      <c r="C7493" t="n">
        <v>3130</v>
      </c>
      <c r="D7493" s="6" t="n">
        <v>2</v>
      </c>
      <c r="E7493" t="n">
        <v>44790</v>
      </c>
      <c r="F7493" s="6" t="n">
        <v>2</v>
      </c>
      <c r="G7493" t="n">
        <v>1</v>
      </c>
      <c r="H7493" s="6">
        <f>ROUND(G7493*F7493,2)</f>
        <v/>
      </c>
      <c r="I7493">
        <f>IF(ROUND(H7493-D7493,2)=0,1,0)</f>
        <v/>
      </c>
      <c r="J7493">
        <f>IF(F7493="","none",IF(G7493=1,"carte","multiple"))</f>
        <v/>
      </c>
    </row>
    <row r="7494">
      <c r="A7494" t="inlineStr">
        <is>
          <t>2023-01-07</t>
        </is>
      </c>
      <c r="B7494" t="inlineStr">
        <is>
          <t>19:58</t>
        </is>
      </c>
      <c r="C7494" t="n">
        <v>3130</v>
      </c>
      <c r="D7494" s="6" t="n">
        <v>6.6</v>
      </c>
      <c r="E7494" t="n">
        <v>44791</v>
      </c>
      <c r="F7494" s="6" t="n">
        <v>6.6</v>
      </c>
      <c r="G7494" t="n">
        <v>1</v>
      </c>
      <c r="H7494" s="6">
        <f>ROUND(G7494*F7494,2)</f>
        <v/>
      </c>
      <c r="I7494">
        <f>IF(ROUND(H7494-D7494,2)=0,1,0)</f>
        <v/>
      </c>
      <c r="J7494">
        <f>IF(F7494="","none",IF(G7494=1,"carte","multiple"))</f>
        <v/>
      </c>
    </row>
    <row r="7495">
      <c r="A7495" t="inlineStr">
        <is>
          <t>2023-01-07</t>
        </is>
      </c>
      <c r="B7495" t="inlineStr">
        <is>
          <t>19:58</t>
        </is>
      </c>
      <c r="C7495" t="n">
        <v>3130</v>
      </c>
      <c r="D7495" s="6" t="n">
        <v>7</v>
      </c>
      <c r="E7495" t="n">
        <v>44792</v>
      </c>
      <c r="F7495" s="6" t="n">
        <v>7</v>
      </c>
      <c r="G7495" t="n">
        <v>1</v>
      </c>
      <c r="H7495" s="6">
        <f>ROUND(G7495*F7495,2)</f>
        <v/>
      </c>
      <c r="I7495">
        <f>IF(ROUND(H7495-D7495,2)=0,1,0)</f>
        <v/>
      </c>
      <c r="J7495">
        <f>IF(F7495="","none",IF(G7495=1,"carte","multiple"))</f>
        <v/>
      </c>
    </row>
    <row r="7496">
      <c r="A7496" t="inlineStr">
        <is>
          <t>2023-01-07</t>
        </is>
      </c>
      <c r="B7496" t="inlineStr">
        <is>
          <t>19:58</t>
        </is>
      </c>
      <c r="C7496" t="n">
        <v>3130</v>
      </c>
      <c r="D7496" s="6" t="n">
        <v>3.9</v>
      </c>
      <c r="E7496" t="n">
        <v>44793</v>
      </c>
      <c r="F7496" s="6" t="n">
        <v>3.9</v>
      </c>
      <c r="G7496" t="n">
        <v>1</v>
      </c>
      <c r="H7496" s="6">
        <f>ROUND(G7496*F7496,2)</f>
        <v/>
      </c>
      <c r="I7496">
        <f>IF(ROUND(H7496-D7496,2)=0,1,0)</f>
        <v/>
      </c>
      <c r="J7496">
        <f>IF(F7496="","none",IF(G7496=1,"carte","multiple"))</f>
        <v/>
      </c>
    </row>
    <row r="7497">
      <c r="A7497" t="inlineStr">
        <is>
          <t>2023-01-07</t>
        </is>
      </c>
      <c r="B7497" t="inlineStr">
        <is>
          <t>19:58</t>
        </is>
      </c>
      <c r="C7497" t="n">
        <v>3130</v>
      </c>
      <c r="D7497" s="6" t="n">
        <v>9.800000000000001</v>
      </c>
      <c r="E7497" t="n">
        <v>44794</v>
      </c>
      <c r="F7497" s="6" t="n">
        <v>9.800000000000001</v>
      </c>
      <c r="G7497" t="n">
        <v>1</v>
      </c>
      <c r="H7497" s="6">
        <f>ROUND(G7497*F7497,2)</f>
        <v/>
      </c>
      <c r="I7497">
        <f>IF(ROUND(H7497-D7497,2)=0,1,0)</f>
        <v/>
      </c>
      <c r="J7497">
        <f>IF(F7497="","none",IF(G7497=1,"carte","multiple"))</f>
        <v/>
      </c>
    </row>
    <row r="7498">
      <c r="A7498" t="inlineStr">
        <is>
          <t>2023-01-07</t>
        </is>
      </c>
      <c r="B7498" t="inlineStr">
        <is>
          <t>19:58</t>
        </is>
      </c>
      <c r="C7498" t="n">
        <v>3130</v>
      </c>
      <c r="D7498" s="6" t="n">
        <v>18.6</v>
      </c>
      <c r="E7498" t="n">
        <v>44795</v>
      </c>
      <c r="F7498" s="6" t="n">
        <v>18.6</v>
      </c>
      <c r="G7498" t="n">
        <v>1</v>
      </c>
      <c r="H7498" s="6">
        <f>ROUND(G7498*F7498,2)</f>
        <v/>
      </c>
      <c r="I7498">
        <f>IF(ROUND(H7498-D7498,2)=0,1,0)</f>
        <v/>
      </c>
      <c r="J7498">
        <f>IF(F7498="","none",IF(G7498=1,"carte","multiple"))</f>
        <v/>
      </c>
    </row>
    <row r="7499">
      <c r="A7499" t="inlineStr">
        <is>
          <t>2023-01-07</t>
        </is>
      </c>
      <c r="B7499" t="inlineStr">
        <is>
          <t>19:58</t>
        </is>
      </c>
      <c r="C7499" t="n">
        <v>3130</v>
      </c>
      <c r="D7499" s="6" t="n">
        <v>5.9</v>
      </c>
      <c r="E7499" t="n">
        <v>44796</v>
      </c>
      <c r="F7499" s="6" t="n">
        <v>5.9</v>
      </c>
      <c r="G7499" t="n">
        <v>1</v>
      </c>
      <c r="H7499" s="6">
        <f>ROUND(G7499*F7499,2)</f>
        <v/>
      </c>
      <c r="I7499">
        <f>IF(ROUND(H7499-D7499,2)=0,1,0)</f>
        <v/>
      </c>
      <c r="J7499">
        <f>IF(F7499="","none",IF(G7499=1,"carte","multiple"))</f>
        <v/>
      </c>
    </row>
    <row r="7500">
      <c r="A7500" t="inlineStr">
        <is>
          <t>2023-01-07</t>
        </is>
      </c>
      <c r="B7500" t="inlineStr">
        <is>
          <t>19:58</t>
        </is>
      </c>
      <c r="C7500" t="n">
        <v>3130</v>
      </c>
      <c r="D7500" s="6" t="n">
        <v>43.8</v>
      </c>
      <c r="E7500" t="n">
        <v>44797</v>
      </c>
      <c r="F7500" s="6" t="n">
        <v>43.8</v>
      </c>
      <c r="G7500" t="n">
        <v>1</v>
      </c>
      <c r="H7500" s="6">
        <f>ROUND(G7500*F7500,2)</f>
        <v/>
      </c>
      <c r="I7500">
        <f>IF(ROUND(H7500-D7500,2)=0,1,0)</f>
        <v/>
      </c>
      <c r="J7500">
        <f>IF(F7500="","none",IF(G7500=1,"carte","multiple"))</f>
        <v/>
      </c>
    </row>
    <row r="7501">
      <c r="A7501" t="inlineStr">
        <is>
          <t>2023-01-07</t>
        </is>
      </c>
      <c r="B7501" t="inlineStr">
        <is>
          <t>19:58</t>
        </is>
      </c>
      <c r="C7501" t="n">
        <v>3130</v>
      </c>
      <c r="D7501" s="6" t="n">
        <v>16.9</v>
      </c>
      <c r="E7501" t="n">
        <v>44798</v>
      </c>
      <c r="F7501" s="6" t="n">
        <v>16.9</v>
      </c>
      <c r="G7501" t="n">
        <v>1</v>
      </c>
      <c r="H7501" s="6">
        <f>ROUND(G7501*F7501,2)</f>
        <v/>
      </c>
      <c r="I7501">
        <f>IF(ROUND(H7501-D7501,2)=0,1,0)</f>
        <v/>
      </c>
      <c r="J7501">
        <f>IF(F7501="","none",IF(G7501=1,"carte","multiple"))</f>
        <v/>
      </c>
    </row>
    <row r="7502">
      <c r="A7502" t="inlineStr">
        <is>
          <t>2023-01-07</t>
        </is>
      </c>
      <c r="B7502" t="inlineStr">
        <is>
          <t>19:58</t>
        </is>
      </c>
      <c r="C7502" t="n">
        <v>3130</v>
      </c>
      <c r="D7502" s="6" t="n">
        <v>7.6</v>
      </c>
      <c r="E7502" t="n">
        <v>44799</v>
      </c>
      <c r="F7502" s="6" t="n">
        <v>7.6</v>
      </c>
      <c r="G7502" t="n">
        <v>1</v>
      </c>
      <c r="H7502" s="6">
        <f>ROUND(G7502*F7502,2)</f>
        <v/>
      </c>
      <c r="I7502">
        <f>IF(ROUND(H7502-D7502,2)=0,1,0)</f>
        <v/>
      </c>
      <c r="J7502">
        <f>IF(F7502="","none",IF(G7502=1,"carte","multiple"))</f>
        <v/>
      </c>
    </row>
    <row r="7503">
      <c r="A7503" t="inlineStr">
        <is>
          <t>2023-01-07</t>
        </is>
      </c>
      <c r="B7503" t="inlineStr">
        <is>
          <t>19:58</t>
        </is>
      </c>
      <c r="C7503" t="n">
        <v>3130</v>
      </c>
      <c r="D7503" s="6" t="n">
        <v>39.5</v>
      </c>
      <c r="E7503" t="n">
        <v>44800</v>
      </c>
      <c r="F7503" s="6" t="n">
        <v>39.5</v>
      </c>
      <c r="G7503" t="n">
        <v>1</v>
      </c>
      <c r="H7503" s="6">
        <f>ROUND(G7503*F7503,2)</f>
        <v/>
      </c>
      <c r="I7503">
        <f>IF(ROUND(H7503-D7503,2)=0,1,0)</f>
        <v/>
      </c>
      <c r="J7503">
        <f>IF(F7503="","none",IF(G7503=1,"carte","multiple"))</f>
        <v/>
      </c>
    </row>
    <row r="7504">
      <c r="A7504" t="inlineStr">
        <is>
          <t>2023-01-07</t>
        </is>
      </c>
      <c r="B7504" t="inlineStr">
        <is>
          <t>20:06</t>
        </is>
      </c>
      <c r="C7504" t="n">
        <v>3130</v>
      </c>
      <c r="D7504" s="6" t="n">
        <v>7</v>
      </c>
      <c r="E7504" t="n">
        <v>44801</v>
      </c>
      <c r="F7504" s="6" t="n">
        <v>7</v>
      </c>
      <c r="G7504" t="n">
        <v>1</v>
      </c>
      <c r="H7504" s="6">
        <f>ROUND(G7504*F7504,2)</f>
        <v/>
      </c>
      <c r="I7504">
        <f>IF(ROUND(H7504-D7504,2)=0,1,0)</f>
        <v/>
      </c>
      <c r="J7504">
        <f>IF(F7504="","none",IF(G7504=1,"carte","multiple"))</f>
        <v/>
      </c>
    </row>
    <row r="7505">
      <c r="A7505" t="inlineStr">
        <is>
          <t>2023-01-07</t>
        </is>
      </c>
      <c r="B7505" t="inlineStr">
        <is>
          <t>20:06</t>
        </is>
      </c>
      <c r="C7505" t="n">
        <v>3130</v>
      </c>
      <c r="D7505" s="6" t="n">
        <v>8.5</v>
      </c>
      <c r="E7505" t="n">
        <v>44802</v>
      </c>
      <c r="F7505" s="6" t="n">
        <v>8.5</v>
      </c>
      <c r="G7505" t="n">
        <v>1</v>
      </c>
      <c r="H7505" s="6">
        <f>ROUND(G7505*F7505,2)</f>
        <v/>
      </c>
      <c r="I7505">
        <f>IF(ROUND(H7505-D7505,2)=0,1,0)</f>
        <v/>
      </c>
      <c r="J7505">
        <f>IF(F7505="","none",IF(G7505=1,"carte","multiple"))</f>
        <v/>
      </c>
    </row>
    <row r="7506">
      <c r="A7506" t="inlineStr">
        <is>
          <t>2023-01-07</t>
        </is>
      </c>
      <c r="B7506" t="inlineStr">
        <is>
          <t>20:06</t>
        </is>
      </c>
      <c r="C7506" t="n">
        <v>3130</v>
      </c>
      <c r="D7506" s="6" t="n">
        <v>7.5</v>
      </c>
      <c r="E7506" t="n">
        <v>44803</v>
      </c>
      <c r="F7506" s="6" t="n">
        <v>7.5</v>
      </c>
      <c r="G7506" t="n">
        <v>1</v>
      </c>
      <c r="H7506" s="6">
        <f>ROUND(G7506*F7506,2)</f>
        <v/>
      </c>
      <c r="I7506">
        <f>IF(ROUND(H7506-D7506,2)=0,1,0)</f>
        <v/>
      </c>
      <c r="J7506">
        <f>IF(F7506="","none",IF(G7506=1,"carte","multiple"))</f>
        <v/>
      </c>
    </row>
    <row r="7507">
      <c r="A7507" t="inlineStr">
        <is>
          <t>2023-01-07</t>
        </is>
      </c>
      <c r="B7507" t="inlineStr">
        <is>
          <t>20:06</t>
        </is>
      </c>
      <c r="C7507" t="n">
        <v>3130</v>
      </c>
      <c r="D7507" s="6" t="n">
        <v>4.9</v>
      </c>
      <c r="E7507" t="n">
        <v>44804</v>
      </c>
      <c r="F7507" s="6" t="n">
        <v>4.9</v>
      </c>
      <c r="G7507" t="n">
        <v>1</v>
      </c>
      <c r="H7507" s="6">
        <f>ROUND(G7507*F7507,2)</f>
        <v/>
      </c>
      <c r="I7507">
        <f>IF(ROUND(H7507-D7507,2)=0,1,0)</f>
        <v/>
      </c>
      <c r="J7507">
        <f>IF(F7507="","none",IF(G7507=1,"carte","multiple"))</f>
        <v/>
      </c>
    </row>
    <row r="7508">
      <c r="A7508" t="inlineStr">
        <is>
          <t>2023-01-07</t>
        </is>
      </c>
      <c r="B7508" t="inlineStr">
        <is>
          <t>20:06</t>
        </is>
      </c>
      <c r="C7508" t="n">
        <v>3130</v>
      </c>
      <c r="D7508" s="6" t="n">
        <v>17.8</v>
      </c>
      <c r="E7508" t="n">
        <v>44805</v>
      </c>
      <c r="F7508" s="6" t="n">
        <v>8.9</v>
      </c>
      <c r="G7508" t="n">
        <v>2</v>
      </c>
      <c r="H7508" s="6">
        <f>ROUND(G7508*F7508,2)</f>
        <v/>
      </c>
      <c r="I7508">
        <f>IF(ROUND(H7508-D7508,2)=0,1,0)</f>
        <v/>
      </c>
      <c r="J7508">
        <f>IF(F7508="","none",IF(G7508=1,"carte","multiple"))</f>
        <v/>
      </c>
    </row>
    <row r="7509">
      <c r="A7509" t="inlineStr">
        <is>
          <t>2023-01-07</t>
        </is>
      </c>
      <c r="B7509" t="inlineStr">
        <is>
          <t>20:06</t>
        </is>
      </c>
      <c r="C7509" t="n">
        <v>3130</v>
      </c>
      <c r="D7509" s="6" t="n">
        <v>33.8</v>
      </c>
      <c r="E7509" t="n">
        <v>44806</v>
      </c>
      <c r="F7509" s="6" t="n">
        <v>16.9</v>
      </c>
      <c r="G7509" t="n">
        <v>2</v>
      </c>
      <c r="H7509" s="6">
        <f>ROUND(G7509*F7509,2)</f>
        <v/>
      </c>
      <c r="I7509">
        <f>IF(ROUND(H7509-D7509,2)=0,1,0)</f>
        <v/>
      </c>
      <c r="J7509">
        <f>IF(F7509="","none",IF(G7509=1,"carte","multiple"))</f>
        <v/>
      </c>
    </row>
    <row r="7510">
      <c r="A7510" t="inlineStr">
        <is>
          <t>2023-01-07</t>
        </is>
      </c>
      <c r="B7510" t="inlineStr">
        <is>
          <t>20:06</t>
        </is>
      </c>
      <c r="C7510" t="n">
        <v>3130</v>
      </c>
      <c r="D7510" s="6" t="n">
        <v>8.9</v>
      </c>
      <c r="E7510" t="n">
        <v>44807</v>
      </c>
      <c r="F7510" s="6" t="n">
        <v>8.9</v>
      </c>
      <c r="G7510" t="n">
        <v>1</v>
      </c>
      <c r="H7510" s="6">
        <f>ROUND(G7510*F7510,2)</f>
        <v/>
      </c>
      <c r="I7510">
        <f>IF(ROUND(H7510-D7510,2)=0,1,0)</f>
        <v/>
      </c>
      <c r="J7510">
        <f>IF(F7510="","none",IF(G7510=1,"carte","multiple"))</f>
        <v/>
      </c>
    </row>
    <row r="7511">
      <c r="A7511" t="inlineStr">
        <is>
          <t>2023-01-07</t>
        </is>
      </c>
      <c r="B7511" t="inlineStr">
        <is>
          <t>20:06</t>
        </is>
      </c>
      <c r="C7511" t="n">
        <v>3130</v>
      </c>
      <c r="D7511" s="6" t="n">
        <v>5.9</v>
      </c>
      <c r="E7511" t="n">
        <v>44808</v>
      </c>
      <c r="F7511" s="6" t="n">
        <v>5.9</v>
      </c>
      <c r="G7511" t="n">
        <v>1</v>
      </c>
      <c r="H7511" s="6">
        <f>ROUND(G7511*F7511,2)</f>
        <v/>
      </c>
      <c r="I7511">
        <f>IF(ROUND(H7511-D7511,2)=0,1,0)</f>
        <v/>
      </c>
      <c r="J7511">
        <f>IF(F7511="","none",IF(G7511=1,"carte","multiple"))</f>
        <v/>
      </c>
    </row>
    <row r="7512">
      <c r="A7512" t="inlineStr">
        <is>
          <t>2023-01-07</t>
        </is>
      </c>
      <c r="B7512" t="inlineStr">
        <is>
          <t>20:06</t>
        </is>
      </c>
      <c r="C7512" t="n">
        <v>3130</v>
      </c>
      <c r="D7512" s="6" t="n">
        <v>7</v>
      </c>
      <c r="E7512" t="n">
        <v>44809</v>
      </c>
      <c r="F7512" s="6" t="n">
        <v>7</v>
      </c>
      <c r="G7512" t="n">
        <v>1</v>
      </c>
      <c r="H7512" s="6">
        <f>ROUND(G7512*F7512,2)</f>
        <v/>
      </c>
      <c r="I7512">
        <f>IF(ROUND(H7512-D7512,2)=0,1,0)</f>
        <v/>
      </c>
      <c r="J7512">
        <f>IF(F7512="","none",IF(G7512=1,"carte","multiple"))</f>
        <v/>
      </c>
    </row>
    <row r="7513">
      <c r="A7513" t="inlineStr">
        <is>
          <t>2023-01-07</t>
        </is>
      </c>
      <c r="B7513" t="inlineStr">
        <is>
          <t>20:06</t>
        </is>
      </c>
      <c r="C7513" t="n">
        <v>3130</v>
      </c>
      <c r="D7513" s="6" t="n">
        <v>7.9</v>
      </c>
      <c r="E7513" t="n">
        <v>44810</v>
      </c>
      <c r="F7513" s="6" t="n">
        <v>7.9</v>
      </c>
      <c r="G7513" t="n">
        <v>1</v>
      </c>
      <c r="H7513" s="6">
        <f>ROUND(G7513*F7513,2)</f>
        <v/>
      </c>
      <c r="I7513">
        <f>IF(ROUND(H7513-D7513,2)=0,1,0)</f>
        <v/>
      </c>
      <c r="J7513">
        <f>IF(F7513="","none",IF(G7513=1,"carte","multiple"))</f>
        <v/>
      </c>
    </row>
    <row r="7514">
      <c r="A7514" t="inlineStr">
        <is>
          <t>2023-01-07</t>
        </is>
      </c>
      <c r="B7514" t="inlineStr">
        <is>
          <t>20:32</t>
        </is>
      </c>
      <c r="C7514" t="n">
        <v>3130</v>
      </c>
      <c r="D7514" s="6" t="n">
        <v>8.699999999999999</v>
      </c>
      <c r="E7514" t="n">
        <v>44811</v>
      </c>
      <c r="F7514" s="6" t="n">
        <v>8.699999999999999</v>
      </c>
      <c r="G7514" t="n">
        <v>1</v>
      </c>
      <c r="H7514" s="6">
        <f>ROUND(G7514*F7514,2)</f>
        <v/>
      </c>
      <c r="I7514">
        <f>IF(ROUND(H7514-D7514,2)=0,1,0)</f>
        <v/>
      </c>
      <c r="J7514">
        <f>IF(F7514="","none",IF(G7514=1,"carte","multiple"))</f>
        <v/>
      </c>
    </row>
    <row r="7515">
      <c r="A7515" t="inlineStr">
        <is>
          <t>2023-01-07</t>
        </is>
      </c>
      <c r="B7515" t="inlineStr">
        <is>
          <t>20:32</t>
        </is>
      </c>
      <c r="C7515" t="n">
        <v>3130</v>
      </c>
      <c r="D7515" s="6" t="n">
        <v>6.9</v>
      </c>
      <c r="E7515" t="n">
        <v>44812</v>
      </c>
      <c r="F7515" s="6" t="n">
        <v>6.9</v>
      </c>
      <c r="G7515" t="n">
        <v>1</v>
      </c>
      <c r="H7515" s="6">
        <f>ROUND(G7515*F7515,2)</f>
        <v/>
      </c>
      <c r="I7515">
        <f>IF(ROUND(H7515-D7515,2)=0,1,0)</f>
        <v/>
      </c>
      <c r="J7515">
        <f>IF(F7515="","none",IF(G7515=1,"carte","multiple"))</f>
        <v/>
      </c>
    </row>
    <row r="7516">
      <c r="A7516" t="inlineStr">
        <is>
          <t>2023-01-07</t>
        </is>
      </c>
      <c r="B7516" t="inlineStr">
        <is>
          <t>20:32</t>
        </is>
      </c>
      <c r="C7516" t="n">
        <v>3130</v>
      </c>
      <c r="D7516" s="6" t="n">
        <v>6.9</v>
      </c>
      <c r="E7516" t="n">
        <v>44813</v>
      </c>
      <c r="F7516" s="6" t="n">
        <v>6.9</v>
      </c>
      <c r="G7516" t="n">
        <v>1</v>
      </c>
      <c r="H7516" s="6">
        <f>ROUND(G7516*F7516,2)</f>
        <v/>
      </c>
      <c r="I7516">
        <f>IF(ROUND(H7516-D7516,2)=0,1,0)</f>
        <v/>
      </c>
      <c r="J7516">
        <f>IF(F7516="","none",IF(G7516=1,"carte","multiple"))</f>
        <v/>
      </c>
    </row>
    <row r="7517">
      <c r="A7517" t="inlineStr">
        <is>
          <t>2023-01-07</t>
        </is>
      </c>
      <c r="B7517" t="inlineStr">
        <is>
          <t>20:32</t>
        </is>
      </c>
      <c r="C7517" t="n">
        <v>3130</v>
      </c>
      <c r="D7517" s="6" t="n">
        <v>18.6</v>
      </c>
      <c r="E7517" t="n">
        <v>44814</v>
      </c>
      <c r="F7517" s="6" t="n">
        <v>18.6</v>
      </c>
      <c r="G7517" t="n">
        <v>1</v>
      </c>
      <c r="H7517" s="6">
        <f>ROUND(G7517*F7517,2)</f>
        <v/>
      </c>
      <c r="I7517">
        <f>IF(ROUND(H7517-D7517,2)=0,1,0)</f>
        <v/>
      </c>
      <c r="J7517">
        <f>IF(F7517="","none",IF(G7517=1,"carte","multiple"))</f>
        <v/>
      </c>
    </row>
    <row r="7518">
      <c r="A7518" t="inlineStr">
        <is>
          <t>2023-01-08</t>
        </is>
      </c>
      <c r="B7518" t="inlineStr">
        <is>
          <t>12:04</t>
        </is>
      </c>
      <c r="C7518" t="n">
        <v>3131</v>
      </c>
      <c r="D7518" s="6" t="n">
        <v>18.6</v>
      </c>
      <c r="E7518" t="n">
        <v>44817</v>
      </c>
      <c r="F7518" s="6" t="n">
        <v>18.6</v>
      </c>
      <c r="G7518" t="n">
        <v>1</v>
      </c>
      <c r="H7518" s="6">
        <f>ROUND(G7518*F7518,2)</f>
        <v/>
      </c>
      <c r="I7518">
        <f>IF(ROUND(H7518-D7518,2)=0,1,0)</f>
        <v/>
      </c>
      <c r="J7518">
        <f>IF(F7518="","none",IF(G7518=1,"carte","multiple"))</f>
        <v/>
      </c>
    </row>
    <row r="7519">
      <c r="A7519" t="inlineStr">
        <is>
          <t>2023-01-08</t>
        </is>
      </c>
      <c r="B7519" t="inlineStr">
        <is>
          <t>12:04</t>
        </is>
      </c>
      <c r="C7519" t="n">
        <v>3131</v>
      </c>
      <c r="D7519" s="6" t="n">
        <v>16.5</v>
      </c>
      <c r="E7519" t="n">
        <v>44818</v>
      </c>
      <c r="F7519" s="6" t="n">
        <v>16.5</v>
      </c>
      <c r="G7519" t="n">
        <v>1</v>
      </c>
      <c r="H7519" s="6">
        <f>ROUND(G7519*F7519,2)</f>
        <v/>
      </c>
      <c r="I7519">
        <f>IF(ROUND(H7519-D7519,2)=0,1,0)</f>
        <v/>
      </c>
      <c r="J7519">
        <f>IF(F7519="","none",IF(G7519=1,"carte","multiple"))</f>
        <v/>
      </c>
    </row>
    <row r="7520">
      <c r="A7520" t="inlineStr">
        <is>
          <t>2023-01-08</t>
        </is>
      </c>
      <c r="B7520" t="inlineStr">
        <is>
          <t>12:04</t>
        </is>
      </c>
      <c r="C7520" t="n">
        <v>3131</v>
      </c>
      <c r="D7520" s="6" t="n">
        <v>9.800000000000001</v>
      </c>
      <c r="E7520" t="n">
        <v>44819</v>
      </c>
      <c r="F7520" s="6" t="n">
        <v>9.800000000000001</v>
      </c>
      <c r="G7520" t="n">
        <v>1</v>
      </c>
      <c r="H7520" s="6">
        <f>ROUND(G7520*F7520,2)</f>
        <v/>
      </c>
      <c r="I7520">
        <f>IF(ROUND(H7520-D7520,2)=0,1,0)</f>
        <v/>
      </c>
      <c r="J7520">
        <f>IF(F7520="","none",IF(G7520=1,"carte","multiple"))</f>
        <v/>
      </c>
    </row>
    <row r="7521">
      <c r="A7521" t="inlineStr">
        <is>
          <t>2023-01-08</t>
        </is>
      </c>
      <c r="B7521" t="inlineStr">
        <is>
          <t>12:04</t>
        </is>
      </c>
      <c r="C7521" t="n">
        <v>3131</v>
      </c>
      <c r="D7521" s="6" t="n">
        <v>4.4</v>
      </c>
      <c r="E7521" t="n">
        <v>44820</v>
      </c>
      <c r="F7521" s="6" t="n">
        <v>0.4</v>
      </c>
      <c r="G7521" t="n">
        <v>11</v>
      </c>
      <c r="H7521" s="6">
        <f>ROUND(G7521*F7521,2)</f>
        <v/>
      </c>
      <c r="I7521">
        <f>IF(ROUND(H7521-D7521,2)=0,1,0)</f>
        <v/>
      </c>
      <c r="J7521">
        <f>IF(F7521="","none",IF(G7521=1,"carte","multiple"))</f>
        <v/>
      </c>
    </row>
    <row r="7522">
      <c r="A7522" t="inlineStr">
        <is>
          <t>2023-01-08</t>
        </is>
      </c>
      <c r="B7522" t="inlineStr">
        <is>
          <t>12:04</t>
        </is>
      </c>
      <c r="C7522" t="n">
        <v>3131</v>
      </c>
      <c r="D7522" s="6" t="n">
        <v>8.4</v>
      </c>
      <c r="E7522" t="n">
        <v>44821</v>
      </c>
      <c r="F7522" s="6" t="n">
        <v>8.4</v>
      </c>
      <c r="G7522" t="n">
        <v>1</v>
      </c>
      <c r="H7522" s="6">
        <f>ROUND(G7522*F7522,2)</f>
        <v/>
      </c>
      <c r="I7522">
        <f>IF(ROUND(H7522-D7522,2)=0,1,0)</f>
        <v/>
      </c>
      <c r="J7522">
        <f>IF(F7522="","none",IF(G7522=1,"carte","multiple"))</f>
        <v/>
      </c>
    </row>
    <row r="7523">
      <c r="A7523" t="inlineStr">
        <is>
          <t>2023-01-08</t>
        </is>
      </c>
      <c r="B7523" t="inlineStr">
        <is>
          <t>12:10</t>
        </is>
      </c>
      <c r="C7523" t="n">
        <v>3131</v>
      </c>
      <c r="D7523" s="6" t="n">
        <v>29.9</v>
      </c>
      <c r="E7523" t="n">
        <v>44822</v>
      </c>
      <c r="F7523" s="6" t="n">
        <v>29.9</v>
      </c>
      <c r="G7523" t="n">
        <v>1</v>
      </c>
      <c r="H7523" s="6">
        <f>ROUND(G7523*F7523,2)</f>
        <v/>
      </c>
      <c r="I7523">
        <f>IF(ROUND(H7523-D7523,2)=0,1,0)</f>
        <v/>
      </c>
      <c r="J7523">
        <f>IF(F7523="","none",IF(G7523=1,"carte","multiple"))</f>
        <v/>
      </c>
    </row>
    <row r="7524">
      <c r="A7524" t="inlineStr">
        <is>
          <t>2023-01-08</t>
        </is>
      </c>
      <c r="B7524" t="inlineStr">
        <is>
          <t>12:27</t>
        </is>
      </c>
      <c r="C7524" t="n">
        <v>3131</v>
      </c>
      <c r="D7524" s="6" t="n">
        <v>6.9</v>
      </c>
      <c r="E7524" t="n">
        <v>44823</v>
      </c>
      <c r="F7524" s="6" t="n">
        <v>6.9</v>
      </c>
      <c r="G7524" t="n">
        <v>1</v>
      </c>
      <c r="H7524" s="6">
        <f>ROUND(G7524*F7524,2)</f>
        <v/>
      </c>
      <c r="I7524">
        <f>IF(ROUND(H7524-D7524,2)=0,1,0)</f>
        <v/>
      </c>
      <c r="J7524">
        <f>IF(F7524="","none",IF(G7524=1,"carte","multiple"))</f>
        <v/>
      </c>
    </row>
    <row r="7525">
      <c r="A7525" t="inlineStr">
        <is>
          <t>2023-01-08</t>
        </is>
      </c>
      <c r="B7525" t="inlineStr">
        <is>
          <t>12:27</t>
        </is>
      </c>
      <c r="C7525" t="n">
        <v>3131</v>
      </c>
      <c r="D7525" s="6" t="n">
        <v>7</v>
      </c>
      <c r="E7525" t="n">
        <v>44824</v>
      </c>
      <c r="F7525" s="6" t="n">
        <v>7</v>
      </c>
      <c r="G7525" t="n">
        <v>1</v>
      </c>
      <c r="H7525" s="6">
        <f>ROUND(G7525*F7525,2)</f>
        <v/>
      </c>
      <c r="I7525">
        <f>IF(ROUND(H7525-D7525,2)=0,1,0)</f>
        <v/>
      </c>
      <c r="J7525">
        <f>IF(F7525="","none",IF(G7525=1,"carte","multiple"))</f>
        <v/>
      </c>
    </row>
    <row r="7526">
      <c r="A7526" t="inlineStr">
        <is>
          <t>2023-01-08</t>
        </is>
      </c>
      <c r="B7526" t="inlineStr">
        <is>
          <t>12:27</t>
        </is>
      </c>
      <c r="C7526" t="n">
        <v>3131</v>
      </c>
      <c r="D7526" s="6" t="n">
        <v>18.6</v>
      </c>
      <c r="E7526" t="n">
        <v>44825</v>
      </c>
      <c r="F7526" s="6" t="n">
        <v>18.6</v>
      </c>
      <c r="G7526" t="n">
        <v>1</v>
      </c>
      <c r="H7526" s="6">
        <f>ROUND(G7526*F7526,2)</f>
        <v/>
      </c>
      <c r="I7526">
        <f>IF(ROUND(H7526-D7526,2)=0,1,0)</f>
        <v/>
      </c>
      <c r="J7526">
        <f>IF(F7526="","none",IF(G7526=1,"carte","multiple"))</f>
        <v/>
      </c>
    </row>
    <row r="7527">
      <c r="A7527" t="inlineStr">
        <is>
          <t>2023-01-08</t>
        </is>
      </c>
      <c r="B7527" t="inlineStr">
        <is>
          <t>12:27</t>
        </is>
      </c>
      <c r="C7527" t="n">
        <v>3131</v>
      </c>
      <c r="D7527" s="6" t="n">
        <v>11.6</v>
      </c>
      <c r="E7527" t="n">
        <v>44826</v>
      </c>
      <c r="F7527" s="6" t="n">
        <v>11.6</v>
      </c>
      <c r="G7527" t="n">
        <v>1</v>
      </c>
      <c r="H7527" s="6">
        <f>ROUND(G7527*F7527,2)</f>
        <v/>
      </c>
      <c r="I7527">
        <f>IF(ROUND(H7527-D7527,2)=0,1,0)</f>
        <v/>
      </c>
      <c r="J7527">
        <f>IF(F7527="","none",IF(G7527=1,"carte","multiple"))</f>
        <v/>
      </c>
    </row>
    <row r="7528">
      <c r="A7528" t="inlineStr">
        <is>
          <t>2023-01-08</t>
        </is>
      </c>
      <c r="B7528" t="inlineStr">
        <is>
          <t>12:27</t>
        </is>
      </c>
      <c r="C7528" t="n">
        <v>3131</v>
      </c>
      <c r="D7528" s="6" t="n">
        <v>7.2</v>
      </c>
      <c r="E7528" t="n">
        <v>44827</v>
      </c>
      <c r="F7528" s="6" t="n">
        <v>7.2</v>
      </c>
      <c r="G7528" t="n">
        <v>1</v>
      </c>
      <c r="H7528" s="6">
        <f>ROUND(G7528*F7528,2)</f>
        <v/>
      </c>
      <c r="I7528">
        <f>IF(ROUND(H7528-D7528,2)=0,1,0)</f>
        <v/>
      </c>
      <c r="J7528">
        <f>IF(F7528="","none",IF(G7528=1,"carte","multiple"))</f>
        <v/>
      </c>
    </row>
    <row r="7529">
      <c r="A7529" t="inlineStr">
        <is>
          <t>2023-01-08</t>
        </is>
      </c>
      <c r="B7529" t="inlineStr">
        <is>
          <t>12:27</t>
        </is>
      </c>
      <c r="C7529" t="n">
        <v>3131</v>
      </c>
      <c r="D7529" s="6" t="n">
        <v>10.9</v>
      </c>
      <c r="E7529" t="n">
        <v>44828</v>
      </c>
      <c r="F7529" s="6" t="n">
        <v>10.9</v>
      </c>
      <c r="G7529" t="n">
        <v>1</v>
      </c>
      <c r="H7529" s="6">
        <f>ROUND(G7529*F7529,2)</f>
        <v/>
      </c>
      <c r="I7529">
        <f>IF(ROUND(H7529-D7529,2)=0,1,0)</f>
        <v/>
      </c>
      <c r="J7529">
        <f>IF(F7529="","none",IF(G7529=1,"carte","multiple"))</f>
        <v/>
      </c>
    </row>
    <row r="7530">
      <c r="A7530" t="inlineStr">
        <is>
          <t>2023-01-08</t>
        </is>
      </c>
      <c r="B7530" t="inlineStr">
        <is>
          <t>12:27</t>
        </is>
      </c>
      <c r="C7530" t="n">
        <v>3131</v>
      </c>
      <c r="D7530" s="6" t="n">
        <v>21</v>
      </c>
      <c r="E7530" t="n">
        <v>44829</v>
      </c>
      <c r="F7530" s="6" t="n">
        <v>21</v>
      </c>
      <c r="G7530" t="n">
        <v>1</v>
      </c>
      <c r="H7530" s="6">
        <f>ROUND(G7530*F7530,2)</f>
        <v/>
      </c>
      <c r="I7530">
        <f>IF(ROUND(H7530-D7530,2)=0,1,0)</f>
        <v/>
      </c>
      <c r="J7530">
        <f>IF(F7530="","none",IF(G7530=1,"carte","multiple"))</f>
        <v/>
      </c>
    </row>
    <row r="7531">
      <c r="A7531" t="inlineStr">
        <is>
          <t>2023-01-08</t>
        </is>
      </c>
      <c r="B7531" t="inlineStr">
        <is>
          <t>12:27</t>
        </is>
      </c>
      <c r="C7531" t="n">
        <v>3131</v>
      </c>
      <c r="D7531" s="6" t="n">
        <v>7.9</v>
      </c>
      <c r="E7531" t="n">
        <v>44830</v>
      </c>
      <c r="F7531" s="6" t="n">
        <v>7.9</v>
      </c>
      <c r="G7531" t="n">
        <v>1</v>
      </c>
      <c r="H7531" s="6">
        <f>ROUND(G7531*F7531,2)</f>
        <v/>
      </c>
      <c r="I7531">
        <f>IF(ROUND(H7531-D7531,2)=0,1,0)</f>
        <v/>
      </c>
      <c r="J7531">
        <f>IF(F7531="","none",IF(G7531=1,"carte","multiple"))</f>
        <v/>
      </c>
    </row>
    <row r="7532">
      <c r="A7532" t="inlineStr">
        <is>
          <t>2023-01-08</t>
        </is>
      </c>
      <c r="B7532" t="inlineStr">
        <is>
          <t>12:27</t>
        </is>
      </c>
      <c r="C7532" t="n">
        <v>3131</v>
      </c>
      <c r="D7532" s="6" t="n">
        <v>18.4</v>
      </c>
      <c r="E7532" t="n">
        <v>44831</v>
      </c>
      <c r="F7532" s="6" t="n">
        <v>18.4</v>
      </c>
      <c r="G7532" t="n">
        <v>1</v>
      </c>
      <c r="H7532" s="6">
        <f>ROUND(G7532*F7532,2)</f>
        <v/>
      </c>
      <c r="I7532">
        <f>IF(ROUND(H7532-D7532,2)=0,1,0)</f>
        <v/>
      </c>
      <c r="J7532">
        <f>IF(F7532="","none",IF(G7532=1,"carte","multiple"))</f>
        <v/>
      </c>
    </row>
    <row r="7533">
      <c r="A7533" t="inlineStr">
        <is>
          <t>2023-02-23</t>
        </is>
      </c>
      <c r="B7533" t="inlineStr">
        <is>
          <t>11:24</t>
        </is>
      </c>
      <c r="C7533" t="n">
        <v>3132</v>
      </c>
      <c r="D7533" s="6" t="n">
        <v>18.6</v>
      </c>
      <c r="E7533" t="n">
        <v>44834</v>
      </c>
      <c r="F7533" s="6" t="n">
        <v>18.6</v>
      </c>
      <c r="G7533" t="n">
        <v>1</v>
      </c>
      <c r="H7533" s="6">
        <f>ROUND(G7533*F7533,2)</f>
        <v/>
      </c>
      <c r="I7533">
        <f>IF(ROUND(H7533-D7533,2)=0,1,0)</f>
        <v/>
      </c>
      <c r="J7533">
        <f>IF(F7533="","none",IF(G7533=1,"carte","multiple"))</f>
        <v/>
      </c>
    </row>
    <row r="7534">
      <c r="A7534" t="inlineStr">
        <is>
          <t>2023-02-23</t>
        </is>
      </c>
      <c r="B7534" t="inlineStr">
        <is>
          <t>11:24</t>
        </is>
      </c>
      <c r="C7534" t="n">
        <v>3132</v>
      </c>
      <c r="D7534" s="6" t="n">
        <v>18.6</v>
      </c>
      <c r="E7534" t="n">
        <v>44835</v>
      </c>
      <c r="F7534" s="6" t="n">
        <v>18.6</v>
      </c>
      <c r="G7534" t="n">
        <v>1</v>
      </c>
      <c r="H7534" s="6">
        <f>ROUND(G7534*F7534,2)</f>
        <v/>
      </c>
      <c r="I7534">
        <f>IF(ROUND(H7534-D7534,2)=0,1,0)</f>
        <v/>
      </c>
      <c r="J7534">
        <f>IF(F7534="","none",IF(G7534=1,"carte","multiple"))</f>
        <v/>
      </c>
    </row>
    <row r="7535">
      <c r="A7535" t="inlineStr">
        <is>
          <t>2023-02-23</t>
        </is>
      </c>
      <c r="B7535" t="inlineStr">
        <is>
          <t>11:24</t>
        </is>
      </c>
      <c r="C7535" t="n">
        <v>3132</v>
      </c>
      <c r="D7535" s="6" t="n">
        <v>7.2</v>
      </c>
      <c r="E7535" t="n">
        <v>44836</v>
      </c>
      <c r="F7535" s="6" t="n">
        <v>7.2</v>
      </c>
      <c r="G7535" t="n">
        <v>1</v>
      </c>
      <c r="H7535" s="6">
        <f>ROUND(G7535*F7535,2)</f>
        <v/>
      </c>
      <c r="I7535">
        <f>IF(ROUND(H7535-D7535,2)=0,1,0)</f>
        <v/>
      </c>
      <c r="J7535">
        <f>IF(F7535="","none",IF(G7535=1,"carte","multiple"))</f>
        <v/>
      </c>
    </row>
    <row r="7536">
      <c r="A7536" t="inlineStr">
        <is>
          <t>2023-02-23</t>
        </is>
      </c>
      <c r="B7536" t="inlineStr">
        <is>
          <t>11:24</t>
        </is>
      </c>
      <c r="C7536" t="n">
        <v>3132</v>
      </c>
      <c r="D7536" s="6" t="n">
        <v>7.9</v>
      </c>
      <c r="E7536" t="n">
        <v>44837</v>
      </c>
      <c r="F7536" s="6" t="n">
        <v>7.9</v>
      </c>
      <c r="G7536" t="n">
        <v>1</v>
      </c>
      <c r="H7536" s="6">
        <f>ROUND(G7536*F7536,2)</f>
        <v/>
      </c>
      <c r="I7536">
        <f>IF(ROUND(H7536-D7536,2)=0,1,0)</f>
        <v/>
      </c>
      <c r="J7536">
        <f>IF(F7536="","none",IF(G7536=1,"carte","multiple"))</f>
        <v/>
      </c>
    </row>
    <row r="7537">
      <c r="A7537" t="inlineStr">
        <is>
          <t>2023-02-23</t>
        </is>
      </c>
      <c r="B7537" t="inlineStr">
        <is>
          <t>13:14</t>
        </is>
      </c>
      <c r="C7537" t="n">
        <v>3132</v>
      </c>
      <c r="D7537" s="6" t="n">
        <v>25</v>
      </c>
      <c r="E7537" t="n">
        <v>44838</v>
      </c>
      <c r="F7537" s="6" t="n">
        <v>25</v>
      </c>
      <c r="G7537" t="n">
        <v>1</v>
      </c>
      <c r="H7537" s="6">
        <f>ROUND(G7537*F7537,2)</f>
        <v/>
      </c>
      <c r="I7537">
        <f>IF(ROUND(H7537-D7537,2)=0,1,0)</f>
        <v/>
      </c>
      <c r="J7537">
        <f>IF(F7537="","none",IF(G7537=1,"carte","multiple"))</f>
        <v/>
      </c>
    </row>
    <row r="7538">
      <c r="A7538" t="inlineStr">
        <is>
          <t>2023-02-23</t>
        </is>
      </c>
      <c r="B7538" t="inlineStr">
        <is>
          <t>17:48</t>
        </is>
      </c>
      <c r="C7538" t="n">
        <v>3132</v>
      </c>
      <c r="D7538" s="6" t="n">
        <v>18.6</v>
      </c>
      <c r="E7538" t="n">
        <v>44839</v>
      </c>
      <c r="F7538" s="6" t="n">
        <v>18.6</v>
      </c>
      <c r="G7538" t="n">
        <v>1</v>
      </c>
      <c r="H7538" s="6">
        <f>ROUND(G7538*F7538,2)</f>
        <v/>
      </c>
      <c r="I7538">
        <f>IF(ROUND(H7538-D7538,2)=0,1,0)</f>
        <v/>
      </c>
      <c r="J7538">
        <f>IF(F7538="","none",IF(G7538=1,"carte","multiple"))</f>
        <v/>
      </c>
    </row>
    <row r="7539">
      <c r="A7539" t="inlineStr">
        <is>
          <t>2023-02-23</t>
        </is>
      </c>
      <c r="B7539" t="inlineStr">
        <is>
          <t>18:43</t>
        </is>
      </c>
      <c r="C7539" t="n">
        <v>3132</v>
      </c>
      <c r="D7539" s="6" t="n">
        <v>18.6</v>
      </c>
      <c r="E7539" t="n">
        <v>44840</v>
      </c>
      <c r="F7539" s="6" t="n">
        <v>18.6</v>
      </c>
      <c r="G7539" t="n">
        <v>1</v>
      </c>
      <c r="H7539" s="6">
        <f>ROUND(G7539*F7539,2)</f>
        <v/>
      </c>
      <c r="I7539">
        <f>IF(ROUND(H7539-D7539,2)=0,1,0)</f>
        <v/>
      </c>
      <c r="J7539">
        <f>IF(F7539="","none",IF(G7539=1,"carte","multiple"))</f>
        <v/>
      </c>
    </row>
    <row r="7540">
      <c r="A7540" t="inlineStr">
        <is>
          <t>2023-02-24</t>
        </is>
      </c>
      <c r="B7540" t="inlineStr">
        <is>
          <t>11:48</t>
        </is>
      </c>
      <c r="C7540" t="n">
        <v>3133</v>
      </c>
      <c r="D7540" s="6" t="n">
        <v>6.9</v>
      </c>
      <c r="E7540" t="n">
        <v>44843</v>
      </c>
      <c r="F7540" s="6" t="n">
        <v>6.9</v>
      </c>
      <c r="G7540" t="n">
        <v>1</v>
      </c>
      <c r="H7540" s="6">
        <f>ROUND(G7540*F7540,2)</f>
        <v/>
      </c>
      <c r="I7540">
        <f>IF(ROUND(H7540-D7540,2)=0,1,0)</f>
        <v/>
      </c>
      <c r="J7540">
        <f>IF(F7540="","none",IF(G7540=1,"carte","multiple"))</f>
        <v/>
      </c>
    </row>
    <row r="7541">
      <c r="A7541" t="inlineStr">
        <is>
          <t>2023-02-24</t>
        </is>
      </c>
      <c r="B7541" t="inlineStr">
        <is>
          <t>11:48</t>
        </is>
      </c>
      <c r="C7541" t="n">
        <v>3133</v>
      </c>
      <c r="D7541" s="6" t="n">
        <v>2.2</v>
      </c>
      <c r="E7541" t="n">
        <v>44844</v>
      </c>
      <c r="F7541" s="6" t="n">
        <v>2.2</v>
      </c>
      <c r="G7541" t="n">
        <v>1</v>
      </c>
      <c r="H7541" s="6">
        <f>ROUND(G7541*F7541,2)</f>
        <v/>
      </c>
      <c r="I7541">
        <f>IF(ROUND(H7541-D7541,2)=0,1,0)</f>
        <v/>
      </c>
      <c r="J7541">
        <f>IF(F7541="","none",IF(G7541=1,"carte","multiple"))</f>
        <v/>
      </c>
    </row>
    <row r="7542">
      <c r="A7542" t="inlineStr">
        <is>
          <t>2023-02-24</t>
        </is>
      </c>
      <c r="B7542" t="inlineStr">
        <is>
          <t>11:48</t>
        </is>
      </c>
      <c r="C7542" t="n">
        <v>3133</v>
      </c>
      <c r="D7542" s="6" t="n">
        <v>19.9</v>
      </c>
      <c r="E7542" t="n">
        <v>44845</v>
      </c>
      <c r="F7542" s="6" t="n">
        <v>19.9</v>
      </c>
      <c r="G7542" t="n">
        <v>1</v>
      </c>
      <c r="H7542" s="6">
        <f>ROUND(G7542*F7542,2)</f>
        <v/>
      </c>
      <c r="I7542">
        <f>IF(ROUND(H7542-D7542,2)=0,1,0)</f>
        <v/>
      </c>
      <c r="J7542">
        <f>IF(F7542="","none",IF(G7542=1,"carte","multiple"))</f>
        <v/>
      </c>
    </row>
    <row r="7543">
      <c r="A7543" t="inlineStr">
        <is>
          <t>2023-02-24</t>
        </is>
      </c>
      <c r="B7543" t="inlineStr">
        <is>
          <t>11:48</t>
        </is>
      </c>
      <c r="C7543" t="n">
        <v>3133</v>
      </c>
      <c r="D7543" s="6" t="n">
        <v>16.9</v>
      </c>
      <c r="E7543" t="n">
        <v>44846</v>
      </c>
      <c r="F7543" s="6" t="n">
        <v>16.9</v>
      </c>
      <c r="G7543" t="n">
        <v>1</v>
      </c>
      <c r="H7543" s="6">
        <f>ROUND(G7543*F7543,2)</f>
        <v/>
      </c>
      <c r="I7543">
        <f>IF(ROUND(H7543-D7543,2)=0,1,0)</f>
        <v/>
      </c>
      <c r="J7543">
        <f>IF(F7543="","none",IF(G7543=1,"carte","multiple"))</f>
        <v/>
      </c>
    </row>
    <row r="7544">
      <c r="A7544" t="inlineStr">
        <is>
          <t>2023-02-24</t>
        </is>
      </c>
      <c r="B7544" t="inlineStr">
        <is>
          <t>11:48</t>
        </is>
      </c>
      <c r="C7544" t="n">
        <v>3133</v>
      </c>
      <c r="D7544" s="6" t="n">
        <v>15.8</v>
      </c>
      <c r="E7544" t="n">
        <v>44847</v>
      </c>
      <c r="F7544" s="6" t="n">
        <v>7.9</v>
      </c>
      <c r="G7544" t="n">
        <v>2</v>
      </c>
      <c r="H7544" s="6">
        <f>ROUND(G7544*F7544,2)</f>
        <v/>
      </c>
      <c r="I7544">
        <f>IF(ROUND(H7544-D7544,2)=0,1,0)</f>
        <v/>
      </c>
      <c r="J7544">
        <f>IF(F7544="","none",IF(G7544=1,"carte","multiple"))</f>
        <v/>
      </c>
    </row>
    <row r="7545">
      <c r="A7545" t="inlineStr">
        <is>
          <t>2023-02-24</t>
        </is>
      </c>
      <c r="B7545" t="inlineStr">
        <is>
          <t>11:59</t>
        </is>
      </c>
      <c r="C7545" t="n">
        <v>3133</v>
      </c>
      <c r="D7545" s="6" t="n">
        <v>18.6</v>
      </c>
      <c r="E7545" t="n">
        <v>44848</v>
      </c>
      <c r="F7545" s="6" t="n">
        <v>18.6</v>
      </c>
      <c r="G7545" t="n">
        <v>1</v>
      </c>
      <c r="H7545" s="6">
        <f>ROUND(G7545*F7545,2)</f>
        <v/>
      </c>
      <c r="I7545">
        <f>IF(ROUND(H7545-D7545,2)=0,1,0)</f>
        <v/>
      </c>
      <c r="J7545">
        <f>IF(F7545="","none",IF(G7545=1,"carte","multiple"))</f>
        <v/>
      </c>
    </row>
    <row r="7546">
      <c r="A7546" t="inlineStr">
        <is>
          <t>2023-02-24</t>
        </is>
      </c>
      <c r="B7546" t="inlineStr">
        <is>
          <t>12:29</t>
        </is>
      </c>
      <c r="C7546" t="n">
        <v>3133</v>
      </c>
      <c r="D7546" s="6" t="n">
        <v>4.4</v>
      </c>
      <c r="E7546" t="n">
        <v>44849</v>
      </c>
      <c r="F7546" s="6" t="n">
        <v>0.4</v>
      </c>
      <c r="G7546" t="n">
        <v>11</v>
      </c>
      <c r="H7546" s="6">
        <f>ROUND(G7546*F7546,2)</f>
        <v/>
      </c>
      <c r="I7546">
        <f>IF(ROUND(H7546-D7546,2)=0,1,0)</f>
        <v/>
      </c>
      <c r="J7546">
        <f>IF(F7546="","none",IF(G7546=1,"carte","multiple"))</f>
        <v/>
      </c>
    </row>
    <row r="7547">
      <c r="A7547" t="inlineStr">
        <is>
          <t>2023-02-24</t>
        </is>
      </c>
      <c r="B7547" t="inlineStr">
        <is>
          <t>12:29</t>
        </is>
      </c>
      <c r="C7547" t="n">
        <v>3133</v>
      </c>
      <c r="D7547" s="6" t="n">
        <v>4</v>
      </c>
      <c r="E7547" t="n">
        <v>44850</v>
      </c>
      <c r="F7547" s="6" t="n">
        <v>4</v>
      </c>
      <c r="G7547" t="n">
        <v>1</v>
      </c>
      <c r="H7547" s="6">
        <f>ROUND(G7547*F7547,2)</f>
        <v/>
      </c>
      <c r="I7547">
        <f>IF(ROUND(H7547-D7547,2)=0,1,0)</f>
        <v/>
      </c>
      <c r="J7547">
        <f>IF(F7547="","none",IF(G7547=1,"carte","multiple"))</f>
        <v/>
      </c>
    </row>
    <row r="7548">
      <c r="A7548" t="inlineStr">
        <is>
          <t>2023-02-24</t>
        </is>
      </c>
      <c r="B7548" t="inlineStr">
        <is>
          <t>12:29</t>
        </is>
      </c>
      <c r="C7548" t="n">
        <v>3133</v>
      </c>
      <c r="D7548" s="6" t="n">
        <v>17</v>
      </c>
      <c r="E7548" t="n">
        <v>44851</v>
      </c>
      <c r="F7548" s="6" t="n">
        <v>17</v>
      </c>
      <c r="G7548" t="n">
        <v>1</v>
      </c>
      <c r="H7548" s="6">
        <f>ROUND(G7548*F7548,2)</f>
        <v/>
      </c>
      <c r="I7548">
        <f>IF(ROUND(H7548-D7548,2)=0,1,0)</f>
        <v/>
      </c>
      <c r="J7548">
        <f>IF(F7548="","none",IF(G7548=1,"carte","multiple"))</f>
        <v/>
      </c>
    </row>
    <row r="7549">
      <c r="A7549" t="inlineStr">
        <is>
          <t>2023-02-24</t>
        </is>
      </c>
      <c r="B7549" t="inlineStr">
        <is>
          <t>12:29</t>
        </is>
      </c>
      <c r="C7549" t="n">
        <v>3133</v>
      </c>
      <c r="D7549" s="6" t="n">
        <v>25</v>
      </c>
      <c r="E7549" t="n">
        <v>44852</v>
      </c>
      <c r="F7549" s="6" t="n">
        <v>25</v>
      </c>
      <c r="G7549" t="n">
        <v>1</v>
      </c>
      <c r="H7549" s="6">
        <f>ROUND(G7549*F7549,2)</f>
        <v/>
      </c>
      <c r="I7549">
        <f>IF(ROUND(H7549-D7549,2)=0,1,0)</f>
        <v/>
      </c>
      <c r="J7549">
        <f>IF(F7549="","none",IF(G7549=1,"carte","multiple"))</f>
        <v/>
      </c>
    </row>
    <row r="7550">
      <c r="A7550" t="inlineStr">
        <is>
          <t>2023-02-24</t>
        </is>
      </c>
      <c r="B7550" t="inlineStr">
        <is>
          <t>12:29</t>
        </is>
      </c>
      <c r="C7550" t="n">
        <v>3133</v>
      </c>
      <c r="D7550" s="6" t="n">
        <v>4</v>
      </c>
      <c r="E7550" t="n">
        <v>44853</v>
      </c>
      <c r="F7550" s="6" t="n">
        <v>4</v>
      </c>
      <c r="G7550" t="n">
        <v>1</v>
      </c>
      <c r="H7550" s="6">
        <f>ROUND(G7550*F7550,2)</f>
        <v/>
      </c>
      <c r="I7550">
        <f>IF(ROUND(H7550-D7550,2)=0,1,0)</f>
        <v/>
      </c>
      <c r="J7550">
        <f>IF(F7550="","none",IF(G7550=1,"carte","multiple"))</f>
        <v/>
      </c>
    </row>
    <row r="7551">
      <c r="A7551" t="inlineStr">
        <is>
          <t>2023-02-24</t>
        </is>
      </c>
      <c r="B7551" t="inlineStr">
        <is>
          <t>18:58</t>
        </is>
      </c>
      <c r="C7551" t="n">
        <v>3133</v>
      </c>
      <c r="D7551" s="6" t="n">
        <v>5.8</v>
      </c>
      <c r="E7551" t="n">
        <v>44855</v>
      </c>
      <c r="F7551" s="6" t="n">
        <v>5.8</v>
      </c>
      <c r="G7551" t="n">
        <v>1</v>
      </c>
      <c r="H7551" s="6">
        <f>ROUND(G7551*F7551,2)</f>
        <v/>
      </c>
      <c r="I7551">
        <f>IF(ROUND(H7551-D7551,2)=0,1,0)</f>
        <v/>
      </c>
      <c r="J7551">
        <f>IF(F7551="","none",IF(G7551=1,"carte","multiple"))</f>
        <v/>
      </c>
    </row>
    <row r="7552">
      <c r="A7552" t="inlineStr">
        <is>
          <t>2023-02-24</t>
        </is>
      </c>
      <c r="B7552" t="inlineStr">
        <is>
          <t>19:01</t>
        </is>
      </c>
      <c r="C7552" t="n">
        <v>3133</v>
      </c>
      <c r="D7552" s="6" t="n">
        <v>25</v>
      </c>
      <c r="E7552" t="n">
        <v>44856</v>
      </c>
      <c r="F7552" s="6" t="n">
        <v>25</v>
      </c>
      <c r="G7552" t="n">
        <v>1</v>
      </c>
      <c r="H7552" s="6">
        <f>ROUND(G7552*F7552,2)</f>
        <v/>
      </c>
      <c r="I7552">
        <f>IF(ROUND(H7552-D7552,2)=0,1,0)</f>
        <v/>
      </c>
      <c r="J7552">
        <f>IF(F7552="","none",IF(G7552=1,"carte","multiple"))</f>
        <v/>
      </c>
    </row>
    <row r="7553">
      <c r="A7553" t="inlineStr">
        <is>
          <t>2023-02-24</t>
        </is>
      </c>
      <c r="B7553" t="inlineStr">
        <is>
          <t>19:35</t>
        </is>
      </c>
      <c r="C7553" t="n">
        <v>3133</v>
      </c>
      <c r="D7553" s="6" t="n">
        <v>7.2</v>
      </c>
      <c r="E7553" t="n">
        <v>44857</v>
      </c>
      <c r="F7553" s="6" t="n">
        <v>7.2</v>
      </c>
      <c r="G7553" t="n">
        <v>1</v>
      </c>
      <c r="H7553" s="6">
        <f>ROUND(G7553*F7553,2)</f>
        <v/>
      </c>
      <c r="I7553">
        <f>IF(ROUND(H7553-D7553,2)=0,1,0)</f>
        <v/>
      </c>
      <c r="J7553">
        <f>IF(F7553="","none",IF(G7553=1,"carte","multiple"))</f>
        <v/>
      </c>
    </row>
    <row r="7554">
      <c r="A7554" t="inlineStr">
        <is>
          <t>2023-02-24</t>
        </is>
      </c>
      <c r="B7554" t="inlineStr">
        <is>
          <t>20:33</t>
        </is>
      </c>
      <c r="C7554" t="n">
        <v>3133</v>
      </c>
      <c r="D7554" s="6" t="n">
        <v>1.8</v>
      </c>
      <c r="E7554" t="n">
        <v>44858</v>
      </c>
      <c r="F7554" s="6" t="n">
        <v>1.8</v>
      </c>
      <c r="G7554" t="n">
        <v>1</v>
      </c>
      <c r="H7554" s="6">
        <f>ROUND(G7554*F7554,2)</f>
        <v/>
      </c>
      <c r="I7554">
        <f>IF(ROUND(H7554-D7554,2)=0,1,0)</f>
        <v/>
      </c>
      <c r="J7554">
        <f>IF(F7554="","none",IF(G7554=1,"carte","multiple"))</f>
        <v/>
      </c>
    </row>
    <row r="7555">
      <c r="A7555" t="inlineStr">
        <is>
          <t>2023-02-24</t>
        </is>
      </c>
      <c r="B7555" t="inlineStr">
        <is>
          <t>20:46</t>
        </is>
      </c>
      <c r="C7555" t="n">
        <v>3133</v>
      </c>
      <c r="D7555" s="6" t="n">
        <v>2.2</v>
      </c>
      <c r="E7555" t="n">
        <v>44859</v>
      </c>
      <c r="F7555" s="6" t="n">
        <v>2.2</v>
      </c>
      <c r="G7555" t="n">
        <v>1</v>
      </c>
      <c r="H7555" s="6">
        <f>ROUND(G7555*F7555,2)</f>
        <v/>
      </c>
      <c r="I7555">
        <f>IF(ROUND(H7555-D7555,2)=0,1,0)</f>
        <v/>
      </c>
      <c r="J7555">
        <f>IF(F7555="","none",IF(G7555=1,"carte","multiple"))</f>
        <v/>
      </c>
    </row>
    <row r="7556">
      <c r="A7556" t="inlineStr">
        <is>
          <t>2023-02-24</t>
        </is>
      </c>
      <c r="B7556" t="inlineStr">
        <is>
          <t>20:46</t>
        </is>
      </c>
      <c r="C7556" t="n">
        <v>3133</v>
      </c>
      <c r="D7556" s="6" t="n">
        <v>5.6</v>
      </c>
      <c r="E7556" t="n">
        <v>44860</v>
      </c>
      <c r="F7556" s="6" t="n">
        <v>5.6</v>
      </c>
      <c r="G7556" t="n">
        <v>1</v>
      </c>
      <c r="H7556" s="6">
        <f>ROUND(G7556*F7556,2)</f>
        <v/>
      </c>
      <c r="I7556">
        <f>IF(ROUND(H7556-D7556,2)=0,1,0)</f>
        <v/>
      </c>
      <c r="J7556">
        <f>IF(F7556="","none",IF(G7556=1,"carte","multiple"))</f>
        <v/>
      </c>
    </row>
    <row r="7557">
      <c r="A7557" t="inlineStr">
        <is>
          <t>2023-02-24</t>
        </is>
      </c>
      <c r="B7557" t="inlineStr">
        <is>
          <t>20:46</t>
        </is>
      </c>
      <c r="C7557" t="n">
        <v>3133</v>
      </c>
      <c r="D7557" s="6" t="n">
        <v>4.7</v>
      </c>
      <c r="E7557" t="n">
        <v>44861</v>
      </c>
      <c r="F7557" s="6" t="n">
        <v>4.7</v>
      </c>
      <c r="G7557" t="n">
        <v>1</v>
      </c>
      <c r="H7557" s="6">
        <f>ROUND(G7557*F7557,2)</f>
        <v/>
      </c>
      <c r="I7557">
        <f>IF(ROUND(H7557-D7557,2)=0,1,0)</f>
        <v/>
      </c>
      <c r="J7557">
        <f>IF(F7557="","none",IF(G7557=1,"carte","multiple"))</f>
        <v/>
      </c>
    </row>
    <row r="7558">
      <c r="A7558" t="inlineStr">
        <is>
          <t>2023-02-24</t>
        </is>
      </c>
      <c r="B7558" t="inlineStr">
        <is>
          <t>20:46</t>
        </is>
      </c>
      <c r="C7558" t="n">
        <v>3133</v>
      </c>
      <c r="D7558" s="6" t="n">
        <v>18.6</v>
      </c>
      <c r="E7558" t="n">
        <v>44862</v>
      </c>
      <c r="F7558" s="6" t="n">
        <v>18.6</v>
      </c>
      <c r="G7558" t="n">
        <v>1</v>
      </c>
      <c r="H7558" s="6">
        <f>ROUND(G7558*F7558,2)</f>
        <v/>
      </c>
      <c r="I7558">
        <f>IF(ROUND(H7558-D7558,2)=0,1,0)</f>
        <v/>
      </c>
      <c r="J7558">
        <f>IF(F7558="","none",IF(G7558=1,"carte","multiple"))</f>
        <v/>
      </c>
    </row>
    <row r="7559">
      <c r="A7559" t="inlineStr">
        <is>
          <t>2023-02-24</t>
        </is>
      </c>
      <c r="B7559" t="inlineStr">
        <is>
          <t>20:46</t>
        </is>
      </c>
      <c r="C7559" t="n">
        <v>3133</v>
      </c>
      <c r="D7559" s="6" t="n">
        <v>8.9</v>
      </c>
      <c r="E7559" t="n">
        <v>44863</v>
      </c>
      <c r="F7559" s="6" t="n">
        <v>8.9</v>
      </c>
      <c r="G7559" t="n">
        <v>1</v>
      </c>
      <c r="H7559" s="6">
        <f>ROUND(G7559*F7559,2)</f>
        <v/>
      </c>
      <c r="I7559">
        <f>IF(ROUND(H7559-D7559,2)=0,1,0)</f>
        <v/>
      </c>
      <c r="J7559">
        <f>IF(F7559="","none",IF(G7559=1,"carte","multiple"))</f>
        <v/>
      </c>
    </row>
    <row r="7560">
      <c r="A7560" t="inlineStr">
        <is>
          <t>2023-02-24</t>
        </is>
      </c>
      <c r="B7560" t="inlineStr">
        <is>
          <t>20:46</t>
        </is>
      </c>
      <c r="C7560" t="n">
        <v>3133</v>
      </c>
      <c r="D7560" s="6" t="n">
        <v>33.8</v>
      </c>
      <c r="E7560" t="n">
        <v>44864</v>
      </c>
      <c r="F7560" s="6" t="n">
        <v>16.9</v>
      </c>
      <c r="G7560" t="n">
        <v>2</v>
      </c>
      <c r="H7560" s="6">
        <f>ROUND(G7560*F7560,2)</f>
        <v/>
      </c>
      <c r="I7560">
        <f>IF(ROUND(H7560-D7560,2)=0,1,0)</f>
        <v/>
      </c>
      <c r="J7560">
        <f>IF(F7560="","none",IF(G7560=1,"carte","multiple"))</f>
        <v/>
      </c>
    </row>
    <row r="7561">
      <c r="A7561" t="inlineStr">
        <is>
          <t>2023-02-24</t>
        </is>
      </c>
      <c r="B7561" t="inlineStr">
        <is>
          <t>20:46</t>
        </is>
      </c>
      <c r="C7561" t="n">
        <v>3133</v>
      </c>
      <c r="D7561" s="6" t="n">
        <v>23.7</v>
      </c>
      <c r="E7561" t="n">
        <v>44865</v>
      </c>
      <c r="F7561" s="6" t="n">
        <v>7.9</v>
      </c>
      <c r="G7561" t="n">
        <v>3</v>
      </c>
      <c r="H7561" s="6">
        <f>ROUND(G7561*F7561,2)</f>
        <v/>
      </c>
      <c r="I7561">
        <f>IF(ROUND(H7561-D7561,2)=0,1,0)</f>
        <v/>
      </c>
      <c r="J7561">
        <f>IF(F7561="","none",IF(G7561=1,"carte","multiple"))</f>
        <v/>
      </c>
    </row>
    <row r="7562">
      <c r="A7562" t="inlineStr">
        <is>
          <t>2023-02-24</t>
        </is>
      </c>
      <c r="B7562" t="inlineStr">
        <is>
          <t>20:46</t>
        </is>
      </c>
      <c r="C7562" t="n">
        <v>3133</v>
      </c>
      <c r="D7562" s="6" t="n">
        <v>12.6</v>
      </c>
      <c r="E7562" t="n">
        <v>44866</v>
      </c>
      <c r="F7562" s="6" t="n">
        <v>0.9</v>
      </c>
      <c r="G7562" t="n">
        <v>14</v>
      </c>
      <c r="H7562" s="6">
        <f>ROUND(G7562*F7562,2)</f>
        <v/>
      </c>
      <c r="I7562">
        <f>IF(ROUND(H7562-D7562,2)=0,1,0)</f>
        <v/>
      </c>
      <c r="J7562">
        <f>IF(F7562="","none",IF(G7562=1,"carte","multiple"))</f>
        <v/>
      </c>
    </row>
    <row r="7563">
      <c r="A7563" t="inlineStr">
        <is>
          <t>2023-02-25</t>
        </is>
      </c>
      <c r="B7563" t="inlineStr">
        <is>
          <t>11:18</t>
        </is>
      </c>
      <c r="C7563" t="n">
        <v>3134</v>
      </c>
      <c r="D7563" s="6" t="n">
        <v>3.9</v>
      </c>
      <c r="E7563" t="n">
        <v>44869</v>
      </c>
      <c r="F7563" s="6" t="n">
        <v>3.9</v>
      </c>
      <c r="G7563" t="n">
        <v>1</v>
      </c>
      <c r="H7563" s="6">
        <f>ROUND(G7563*F7563,2)</f>
        <v/>
      </c>
      <c r="I7563">
        <f>IF(ROUND(H7563-D7563,2)=0,1,0)</f>
        <v/>
      </c>
      <c r="J7563">
        <f>IF(F7563="","none",IF(G7563=1,"carte","multiple"))</f>
        <v/>
      </c>
    </row>
    <row r="7564">
      <c r="A7564" t="inlineStr">
        <is>
          <t>2023-02-25</t>
        </is>
      </c>
      <c r="B7564" t="inlineStr">
        <is>
          <t>12:00</t>
        </is>
      </c>
      <c r="C7564" t="n">
        <v>3134</v>
      </c>
      <c r="D7564" s="6" t="n">
        <v>36</v>
      </c>
      <c r="E7564" t="n">
        <v>44870</v>
      </c>
      <c r="F7564" s="6" t="n">
        <v>36</v>
      </c>
      <c r="G7564" t="n">
        <v>1</v>
      </c>
      <c r="H7564" s="6">
        <f>ROUND(G7564*F7564,2)</f>
        <v/>
      </c>
      <c r="I7564">
        <f>IF(ROUND(H7564-D7564,2)=0,1,0)</f>
        <v/>
      </c>
      <c r="J7564">
        <f>IF(F7564="","none",IF(G7564=1,"carte","multiple"))</f>
        <v/>
      </c>
    </row>
    <row r="7565">
      <c r="A7565" t="inlineStr">
        <is>
          <t>2023-02-25</t>
        </is>
      </c>
      <c r="B7565" t="inlineStr">
        <is>
          <t>12:06</t>
        </is>
      </c>
      <c r="C7565" t="n">
        <v>3134</v>
      </c>
      <c r="D7565" s="6" t="n">
        <v>4.4</v>
      </c>
      <c r="E7565" t="n">
        <v>44871</v>
      </c>
      <c r="F7565" s="6" t="n">
        <v>0.4</v>
      </c>
      <c r="G7565" t="n">
        <v>11</v>
      </c>
      <c r="H7565" s="6">
        <f>ROUND(G7565*F7565,2)</f>
        <v/>
      </c>
      <c r="I7565">
        <f>IF(ROUND(H7565-D7565,2)=0,1,0)</f>
        <v/>
      </c>
      <c r="J7565">
        <f>IF(F7565="","none",IF(G7565=1,"carte","multiple"))</f>
        <v/>
      </c>
    </row>
    <row r="7566">
      <c r="A7566" t="inlineStr">
        <is>
          <t>2023-02-25</t>
        </is>
      </c>
      <c r="B7566" t="inlineStr">
        <is>
          <t>12:06</t>
        </is>
      </c>
      <c r="C7566" t="n">
        <v>3134</v>
      </c>
      <c r="D7566" s="6" t="n">
        <v>8.9</v>
      </c>
      <c r="E7566" t="n">
        <v>44872</v>
      </c>
      <c r="F7566" s="6" t="n">
        <v>8.9</v>
      </c>
      <c r="G7566" t="n">
        <v>1</v>
      </c>
      <c r="H7566" s="6">
        <f>ROUND(G7566*F7566,2)</f>
        <v/>
      </c>
      <c r="I7566">
        <f>IF(ROUND(H7566-D7566,2)=0,1,0)</f>
        <v/>
      </c>
      <c r="J7566">
        <f>IF(F7566="","none",IF(G7566=1,"carte","multiple"))</f>
        <v/>
      </c>
    </row>
    <row r="7567">
      <c r="A7567" t="inlineStr">
        <is>
          <t>2023-02-25</t>
        </is>
      </c>
      <c r="B7567" t="inlineStr">
        <is>
          <t>12:06</t>
        </is>
      </c>
      <c r="C7567" t="n">
        <v>3134</v>
      </c>
      <c r="D7567" s="6" t="n">
        <v>16.9</v>
      </c>
      <c r="E7567" t="n">
        <v>44873</v>
      </c>
      <c r="F7567" s="6" t="n">
        <v>16.9</v>
      </c>
      <c r="G7567" t="n">
        <v>1</v>
      </c>
      <c r="H7567" s="6">
        <f>ROUND(G7567*F7567,2)</f>
        <v/>
      </c>
      <c r="I7567">
        <f>IF(ROUND(H7567-D7567,2)=0,1,0)</f>
        <v/>
      </c>
      <c r="J7567">
        <f>IF(F7567="","none",IF(G7567=1,"carte","multiple"))</f>
        <v/>
      </c>
    </row>
    <row r="7568">
      <c r="A7568" t="inlineStr">
        <is>
          <t>2023-02-25</t>
        </is>
      </c>
      <c r="B7568" t="inlineStr">
        <is>
          <t>12:06</t>
        </is>
      </c>
      <c r="C7568" t="n">
        <v>3134</v>
      </c>
      <c r="D7568" s="6" t="n">
        <v>14.4</v>
      </c>
      <c r="E7568" t="n">
        <v>44874</v>
      </c>
      <c r="F7568" s="6" t="n">
        <v>0.4</v>
      </c>
      <c r="G7568" t="n">
        <v>36</v>
      </c>
      <c r="H7568" s="6">
        <f>ROUND(G7568*F7568,2)</f>
        <v/>
      </c>
      <c r="I7568">
        <f>IF(ROUND(H7568-D7568,2)=0,1,0)</f>
        <v/>
      </c>
      <c r="J7568">
        <f>IF(F7568="","none",IF(G7568=1,"carte","multiple"))</f>
        <v/>
      </c>
    </row>
    <row r="7569">
      <c r="A7569" t="inlineStr">
        <is>
          <t>2023-02-25</t>
        </is>
      </c>
      <c r="B7569" t="inlineStr">
        <is>
          <t>13:04</t>
        </is>
      </c>
      <c r="C7569" t="n">
        <v>3134</v>
      </c>
      <c r="D7569" s="6" t="n">
        <v>28.8</v>
      </c>
      <c r="E7569" t="n">
        <v>44875</v>
      </c>
      <c r="F7569" s="6" t="n">
        <v>0.4</v>
      </c>
      <c r="G7569" t="n">
        <v>72</v>
      </c>
      <c r="H7569" s="6">
        <f>ROUND(G7569*F7569,2)</f>
        <v/>
      </c>
      <c r="I7569">
        <f>IF(ROUND(H7569-D7569,2)=0,1,0)</f>
        <v/>
      </c>
      <c r="J7569">
        <f>IF(F7569="","none",IF(G7569=1,"carte","multiple"))</f>
        <v/>
      </c>
    </row>
    <row r="7570">
      <c r="A7570" t="inlineStr">
        <is>
          <t>2023-02-25</t>
        </is>
      </c>
      <c r="B7570" t="inlineStr">
        <is>
          <t>13:04</t>
        </is>
      </c>
      <c r="C7570" t="n">
        <v>3134</v>
      </c>
      <c r="D7570" s="6" t="n">
        <v>3.9</v>
      </c>
      <c r="E7570" t="n">
        <v>44876</v>
      </c>
      <c r="F7570" s="6" t="n">
        <v>3.9</v>
      </c>
      <c r="G7570" t="n">
        <v>1</v>
      </c>
      <c r="H7570" s="6">
        <f>ROUND(G7570*F7570,2)</f>
        <v/>
      </c>
      <c r="I7570">
        <f>IF(ROUND(H7570-D7570,2)=0,1,0)</f>
        <v/>
      </c>
      <c r="J7570">
        <f>IF(F7570="","none",IF(G7570=1,"carte","multiple"))</f>
        <v/>
      </c>
    </row>
    <row r="7571">
      <c r="A7571" t="inlineStr">
        <is>
          <t>2023-02-25</t>
        </is>
      </c>
      <c r="B7571" t="inlineStr">
        <is>
          <t>13:04</t>
        </is>
      </c>
      <c r="C7571" t="n">
        <v>3134</v>
      </c>
      <c r="D7571" s="6" t="n">
        <v>8.9</v>
      </c>
      <c r="E7571" t="n">
        <v>44877</v>
      </c>
      <c r="F7571" s="6" t="n">
        <v>8.9</v>
      </c>
      <c r="G7571" t="n">
        <v>1</v>
      </c>
      <c r="H7571" s="6">
        <f>ROUND(G7571*F7571,2)</f>
        <v/>
      </c>
      <c r="I7571">
        <f>IF(ROUND(H7571-D7571,2)=0,1,0)</f>
        <v/>
      </c>
      <c r="J7571">
        <f>IF(F7571="","none",IF(G7571=1,"carte","multiple"))</f>
        <v/>
      </c>
    </row>
    <row r="7572">
      <c r="A7572" t="inlineStr">
        <is>
          <t>2023-02-25</t>
        </is>
      </c>
      <c r="B7572" t="inlineStr">
        <is>
          <t>13:04</t>
        </is>
      </c>
      <c r="C7572" t="n">
        <v>3134</v>
      </c>
      <c r="D7572" s="6" t="n">
        <v>18.6</v>
      </c>
      <c r="E7572" t="n">
        <v>44878</v>
      </c>
      <c r="F7572" s="6" t="n">
        <v>18.6</v>
      </c>
      <c r="G7572" t="n">
        <v>1</v>
      </c>
      <c r="H7572" s="6">
        <f>ROUND(G7572*F7572,2)</f>
        <v/>
      </c>
      <c r="I7572">
        <f>IF(ROUND(H7572-D7572,2)=0,1,0)</f>
        <v/>
      </c>
      <c r="J7572">
        <f>IF(F7572="","none",IF(G7572=1,"carte","multiple"))</f>
        <v/>
      </c>
    </row>
    <row r="7573">
      <c r="A7573" t="inlineStr">
        <is>
          <t>2023-02-25</t>
        </is>
      </c>
      <c r="B7573" t="inlineStr">
        <is>
          <t>13:04</t>
        </is>
      </c>
      <c r="C7573" t="n">
        <v>3134</v>
      </c>
      <c r="D7573" s="6" t="n">
        <v>19</v>
      </c>
      <c r="E7573" t="n">
        <v>44879</v>
      </c>
      <c r="F7573" s="6" t="n">
        <v>19</v>
      </c>
      <c r="G7573" t="n">
        <v>1</v>
      </c>
      <c r="H7573" s="6">
        <f>ROUND(G7573*F7573,2)</f>
        <v/>
      </c>
      <c r="I7573">
        <f>IF(ROUND(H7573-D7573,2)=0,1,0)</f>
        <v/>
      </c>
      <c r="J7573">
        <f>IF(F7573="","none",IF(G7573=1,"carte","multiple"))</f>
        <v/>
      </c>
    </row>
    <row r="7574">
      <c r="A7574" t="inlineStr">
        <is>
          <t>2023-02-25</t>
        </is>
      </c>
      <c r="B7574" t="inlineStr">
        <is>
          <t>13:04</t>
        </is>
      </c>
      <c r="C7574" t="n">
        <v>3134</v>
      </c>
      <c r="D7574" s="6" t="n">
        <v>43.8</v>
      </c>
      <c r="E7574" t="n">
        <v>44880</v>
      </c>
      <c r="F7574" s="6" t="n">
        <v>43.8</v>
      </c>
      <c r="G7574" t="n">
        <v>1</v>
      </c>
      <c r="H7574" s="6">
        <f>ROUND(G7574*F7574,2)</f>
        <v/>
      </c>
      <c r="I7574">
        <f>IF(ROUND(H7574-D7574,2)=0,1,0)</f>
        <v/>
      </c>
      <c r="J7574">
        <f>IF(F7574="","none",IF(G7574=1,"carte","multiple"))</f>
        <v/>
      </c>
    </row>
    <row r="7575">
      <c r="A7575" t="inlineStr">
        <is>
          <t>2023-02-25</t>
        </is>
      </c>
      <c r="B7575" t="inlineStr">
        <is>
          <t>13:04</t>
        </is>
      </c>
      <c r="C7575" t="n">
        <v>3134</v>
      </c>
      <c r="D7575" s="6" t="n">
        <v>30</v>
      </c>
      <c r="E7575" t="n">
        <v>44881</v>
      </c>
      <c r="F7575" s="6" t="n">
        <v>30</v>
      </c>
      <c r="G7575" t="n">
        <v>1</v>
      </c>
      <c r="H7575" s="6">
        <f>ROUND(G7575*F7575,2)</f>
        <v/>
      </c>
      <c r="I7575">
        <f>IF(ROUND(H7575-D7575,2)=0,1,0)</f>
        <v/>
      </c>
      <c r="J7575">
        <f>IF(F7575="","none",IF(G7575=1,"carte","multiple"))</f>
        <v/>
      </c>
    </row>
    <row r="7576">
      <c r="A7576" t="inlineStr">
        <is>
          <t>2023-02-25</t>
        </is>
      </c>
      <c r="B7576" t="inlineStr">
        <is>
          <t>13:05</t>
        </is>
      </c>
      <c r="C7576" t="n">
        <v>3134</v>
      </c>
      <c r="D7576" s="6" t="n">
        <v>4.7</v>
      </c>
      <c r="E7576" t="n">
        <v>44882</v>
      </c>
      <c r="F7576" s="6" t="n">
        <v>4.7</v>
      </c>
      <c r="G7576" t="n">
        <v>1</v>
      </c>
      <c r="H7576" s="6">
        <f>ROUND(G7576*F7576,2)</f>
        <v/>
      </c>
      <c r="I7576">
        <f>IF(ROUND(H7576-D7576,2)=0,1,0)</f>
        <v/>
      </c>
      <c r="J7576">
        <f>IF(F7576="","none",IF(G7576=1,"carte","multiple"))</f>
        <v/>
      </c>
    </row>
    <row r="7577">
      <c r="A7577" t="inlineStr">
        <is>
          <t>2023-02-25</t>
        </is>
      </c>
      <c r="B7577" t="inlineStr">
        <is>
          <t>13:05</t>
        </is>
      </c>
      <c r="C7577" t="n">
        <v>3134</v>
      </c>
      <c r="D7577" s="6" t="n">
        <v>6.5</v>
      </c>
      <c r="E7577" t="n">
        <v>44883</v>
      </c>
      <c r="F7577" s="6" t="n">
        <v>6.5</v>
      </c>
      <c r="G7577" t="n">
        <v>1</v>
      </c>
      <c r="H7577" s="6">
        <f>ROUND(G7577*F7577,2)</f>
        <v/>
      </c>
      <c r="I7577">
        <f>IF(ROUND(H7577-D7577,2)=0,1,0)</f>
        <v/>
      </c>
      <c r="J7577">
        <f>IF(F7577="","none",IF(G7577=1,"carte","multiple"))</f>
        <v/>
      </c>
    </row>
    <row r="7578">
      <c r="A7578" t="inlineStr">
        <is>
          <t>2023-02-25</t>
        </is>
      </c>
      <c r="B7578" t="inlineStr">
        <is>
          <t>13:05</t>
        </is>
      </c>
      <c r="C7578" t="n">
        <v>3134</v>
      </c>
      <c r="D7578" s="6" t="n">
        <v>16.9</v>
      </c>
      <c r="E7578" t="n">
        <v>44884</v>
      </c>
      <c r="F7578" s="6" t="n">
        <v>16.9</v>
      </c>
      <c r="G7578" t="n">
        <v>1</v>
      </c>
      <c r="H7578" s="6">
        <f>ROUND(G7578*F7578,2)</f>
        <v/>
      </c>
      <c r="I7578">
        <f>IF(ROUND(H7578-D7578,2)=0,1,0)</f>
        <v/>
      </c>
      <c r="J7578">
        <f>IF(F7578="","none",IF(G7578=1,"carte","multiple"))</f>
        <v/>
      </c>
    </row>
    <row r="7579">
      <c r="A7579" t="inlineStr">
        <is>
          <t>2023-02-25</t>
        </is>
      </c>
      <c r="B7579" t="inlineStr">
        <is>
          <t>13:05</t>
        </is>
      </c>
      <c r="C7579" t="n">
        <v>3134</v>
      </c>
      <c r="D7579" s="6" t="n">
        <v>18.6</v>
      </c>
      <c r="E7579" t="n">
        <v>44885</v>
      </c>
      <c r="F7579" s="6" t="n">
        <v>18.6</v>
      </c>
      <c r="G7579" t="n">
        <v>1</v>
      </c>
      <c r="H7579" s="6">
        <f>ROUND(G7579*F7579,2)</f>
        <v/>
      </c>
      <c r="I7579">
        <f>IF(ROUND(H7579-D7579,2)=0,1,0)</f>
        <v/>
      </c>
      <c r="J7579">
        <f>IF(F7579="","none",IF(G7579=1,"carte","multiple"))</f>
        <v/>
      </c>
    </row>
    <row r="7580">
      <c r="A7580" t="inlineStr">
        <is>
          <t>2023-02-25</t>
        </is>
      </c>
      <c r="B7580" t="inlineStr">
        <is>
          <t>13:05</t>
        </is>
      </c>
      <c r="C7580" t="n">
        <v>3134</v>
      </c>
      <c r="D7580" s="6" t="n">
        <v>7.8</v>
      </c>
      <c r="E7580" t="n">
        <v>44886</v>
      </c>
      <c r="F7580" s="6" t="n">
        <v>7.8</v>
      </c>
      <c r="G7580" t="n">
        <v>1</v>
      </c>
      <c r="H7580" s="6">
        <f>ROUND(G7580*F7580,2)</f>
        <v/>
      </c>
      <c r="I7580">
        <f>IF(ROUND(H7580-D7580,2)=0,1,0)</f>
        <v/>
      </c>
      <c r="J7580">
        <f>IF(F7580="","none",IF(G7580=1,"carte","multiple"))</f>
        <v/>
      </c>
    </row>
    <row r="7581">
      <c r="A7581" t="inlineStr">
        <is>
          <t>2023-02-25</t>
        </is>
      </c>
      <c r="B7581" t="inlineStr">
        <is>
          <t>13:13</t>
        </is>
      </c>
      <c r="C7581" t="n">
        <v>3134</v>
      </c>
      <c r="D7581" s="6" t="n">
        <v>8.699999999999999</v>
      </c>
      <c r="E7581" t="n">
        <v>44887</v>
      </c>
      <c r="F7581" s="6" t="n">
        <v>8.699999999999999</v>
      </c>
      <c r="G7581" t="n">
        <v>1</v>
      </c>
      <c r="H7581" s="6">
        <f>ROUND(G7581*F7581,2)</f>
        <v/>
      </c>
      <c r="I7581">
        <f>IF(ROUND(H7581-D7581,2)=0,1,0)</f>
        <v/>
      </c>
      <c r="J7581">
        <f>IF(F7581="","none",IF(G7581=1,"carte","multiple"))</f>
        <v/>
      </c>
    </row>
    <row r="7582">
      <c r="A7582" t="inlineStr">
        <is>
          <t>2023-02-25</t>
        </is>
      </c>
      <c r="B7582" t="inlineStr">
        <is>
          <t>13:13</t>
        </is>
      </c>
      <c r="C7582" t="n">
        <v>3134</v>
      </c>
      <c r="D7582" s="6" t="n">
        <v>5.8</v>
      </c>
      <c r="E7582" t="n">
        <v>44888</v>
      </c>
      <c r="F7582" s="6" t="n">
        <v>5.8</v>
      </c>
      <c r="G7582" t="n">
        <v>1</v>
      </c>
      <c r="H7582" s="6">
        <f>ROUND(G7582*F7582,2)</f>
        <v/>
      </c>
      <c r="I7582">
        <f>IF(ROUND(H7582-D7582,2)=0,1,0)</f>
        <v/>
      </c>
      <c r="J7582">
        <f>IF(F7582="","none",IF(G7582=1,"carte","multiple"))</f>
        <v/>
      </c>
    </row>
    <row r="7583">
      <c r="A7583" t="inlineStr">
        <is>
          <t>2023-02-25</t>
        </is>
      </c>
      <c r="B7583" t="inlineStr">
        <is>
          <t>13:13</t>
        </is>
      </c>
      <c r="C7583" t="n">
        <v>3134</v>
      </c>
      <c r="D7583" s="6" t="n">
        <v>2.2</v>
      </c>
      <c r="E7583" t="n">
        <v>44889</v>
      </c>
      <c r="F7583" s="6" t="n">
        <v>2.2</v>
      </c>
      <c r="G7583" t="n">
        <v>1</v>
      </c>
      <c r="H7583" s="6">
        <f>ROUND(G7583*F7583,2)</f>
        <v/>
      </c>
      <c r="I7583">
        <f>IF(ROUND(H7583-D7583,2)=0,1,0)</f>
        <v/>
      </c>
      <c r="J7583">
        <f>IF(F7583="","none",IF(G7583=1,"carte","multiple"))</f>
        <v/>
      </c>
    </row>
    <row r="7584">
      <c r="A7584" t="inlineStr">
        <is>
          <t>2023-02-25</t>
        </is>
      </c>
      <c r="B7584" t="inlineStr">
        <is>
          <t>13:13</t>
        </is>
      </c>
      <c r="C7584" t="n">
        <v>3134</v>
      </c>
      <c r="D7584" s="6" t="n">
        <v>18.6</v>
      </c>
      <c r="E7584" t="n">
        <v>44890</v>
      </c>
      <c r="F7584" s="6" t="n">
        <v>18.6</v>
      </c>
      <c r="G7584" t="n">
        <v>1</v>
      </c>
      <c r="H7584" s="6">
        <f>ROUND(G7584*F7584,2)</f>
        <v/>
      </c>
      <c r="I7584">
        <f>IF(ROUND(H7584-D7584,2)=0,1,0)</f>
        <v/>
      </c>
      <c r="J7584">
        <f>IF(F7584="","none",IF(G7584=1,"carte","multiple"))</f>
        <v/>
      </c>
    </row>
    <row r="7585">
      <c r="A7585" t="inlineStr">
        <is>
          <t>2023-02-25</t>
        </is>
      </c>
      <c r="B7585" t="inlineStr">
        <is>
          <t>13:13</t>
        </is>
      </c>
      <c r="C7585" t="n">
        <v>3134</v>
      </c>
      <c r="D7585" s="6" t="n">
        <v>16.4</v>
      </c>
      <c r="E7585" t="n">
        <v>44891</v>
      </c>
      <c r="F7585" s="6" t="n">
        <v>16.4</v>
      </c>
      <c r="G7585" t="n">
        <v>1</v>
      </c>
      <c r="H7585" s="6">
        <f>ROUND(G7585*F7585,2)</f>
        <v/>
      </c>
      <c r="I7585">
        <f>IF(ROUND(H7585-D7585,2)=0,1,0)</f>
        <v/>
      </c>
      <c r="J7585">
        <f>IF(F7585="","none",IF(G7585=1,"carte","multiple"))</f>
        <v/>
      </c>
    </row>
    <row r="7586">
      <c r="A7586" t="inlineStr">
        <is>
          <t>2023-02-25</t>
        </is>
      </c>
      <c r="B7586" t="inlineStr">
        <is>
          <t>13:13</t>
        </is>
      </c>
      <c r="C7586" t="n">
        <v>3134</v>
      </c>
      <c r="D7586" s="6" t="n">
        <v>7.8</v>
      </c>
      <c r="E7586" t="n">
        <v>44892</v>
      </c>
      <c r="F7586" s="6" t="n">
        <v>7.8</v>
      </c>
      <c r="G7586" t="n">
        <v>1</v>
      </c>
      <c r="H7586" s="6">
        <f>ROUND(G7586*F7586,2)</f>
        <v/>
      </c>
      <c r="I7586">
        <f>IF(ROUND(H7586-D7586,2)=0,1,0)</f>
        <v/>
      </c>
      <c r="J7586">
        <f>IF(F7586="","none",IF(G7586=1,"carte","multiple"))</f>
        <v/>
      </c>
    </row>
    <row r="7587">
      <c r="A7587" t="inlineStr">
        <is>
          <t>2023-02-25</t>
        </is>
      </c>
      <c r="B7587" t="inlineStr">
        <is>
          <t>18:09</t>
        </is>
      </c>
      <c r="C7587" t="n">
        <v>3134</v>
      </c>
      <c r="D7587" s="6" t="n">
        <v>7.8</v>
      </c>
      <c r="E7587" t="n">
        <v>44894</v>
      </c>
      <c r="F7587" s="6" t="n">
        <v>7.8</v>
      </c>
      <c r="G7587" t="n">
        <v>1</v>
      </c>
      <c r="H7587" s="6">
        <f>ROUND(G7587*F7587,2)</f>
        <v/>
      </c>
      <c r="I7587">
        <f>IF(ROUND(H7587-D7587,2)=0,1,0)</f>
        <v/>
      </c>
      <c r="J7587">
        <f>IF(F7587="","none",IF(G7587=1,"carte","multiple"))</f>
        <v/>
      </c>
    </row>
    <row r="7588">
      <c r="A7588" t="inlineStr">
        <is>
          <t>2023-02-25</t>
        </is>
      </c>
      <c r="B7588" t="inlineStr">
        <is>
          <t>18:39</t>
        </is>
      </c>
      <c r="C7588" t="n">
        <v>3134</v>
      </c>
      <c r="D7588" s="6" t="n">
        <v>28.6</v>
      </c>
      <c r="E7588" t="n">
        <v>44895</v>
      </c>
      <c r="F7588" s="6" t="n">
        <v>28.6</v>
      </c>
      <c r="G7588" t="n">
        <v>1</v>
      </c>
      <c r="H7588" s="6">
        <f>ROUND(G7588*F7588,2)</f>
        <v/>
      </c>
      <c r="I7588">
        <f>IF(ROUND(H7588-D7588,2)=0,1,0)</f>
        <v/>
      </c>
      <c r="J7588">
        <f>IF(F7588="","none",IF(G7588=1,"carte","multiple"))</f>
        <v/>
      </c>
    </row>
    <row r="7589">
      <c r="A7589" t="inlineStr">
        <is>
          <t>2023-02-25</t>
        </is>
      </c>
      <c r="B7589" t="inlineStr">
        <is>
          <t>19:27</t>
        </is>
      </c>
      <c r="C7589" t="n">
        <v>3134</v>
      </c>
      <c r="D7589" s="6" t="n">
        <v>26</v>
      </c>
      <c r="E7589" t="n">
        <v>44896</v>
      </c>
      <c r="F7589" s="6" t="n">
        <v>26</v>
      </c>
      <c r="G7589" t="n">
        <v>1</v>
      </c>
      <c r="H7589" s="6">
        <f>ROUND(G7589*F7589,2)</f>
        <v/>
      </c>
      <c r="I7589">
        <f>IF(ROUND(H7589-D7589,2)=0,1,0)</f>
        <v/>
      </c>
      <c r="J7589">
        <f>IF(F7589="","none",IF(G7589=1,"carte","multiple"))</f>
        <v/>
      </c>
    </row>
    <row r="7590">
      <c r="A7590" t="inlineStr">
        <is>
          <t>2023-02-25</t>
        </is>
      </c>
      <c r="B7590" t="inlineStr">
        <is>
          <t>19:51</t>
        </is>
      </c>
      <c r="C7590" t="n">
        <v>3134</v>
      </c>
      <c r="D7590" s="6" t="n">
        <v>2.2</v>
      </c>
      <c r="E7590" t="n">
        <v>44897</v>
      </c>
      <c r="F7590" s="6" t="n">
        <v>2.2</v>
      </c>
      <c r="G7590" t="n">
        <v>1</v>
      </c>
      <c r="H7590" s="6">
        <f>ROUND(G7590*F7590,2)</f>
        <v/>
      </c>
      <c r="I7590">
        <f>IF(ROUND(H7590-D7590,2)=0,1,0)</f>
        <v/>
      </c>
      <c r="J7590">
        <f>IF(F7590="","none",IF(G7590=1,"carte","multiple"))</f>
        <v/>
      </c>
    </row>
    <row r="7591">
      <c r="A7591" t="inlineStr">
        <is>
          <t>2023-02-25</t>
        </is>
      </c>
      <c r="B7591" t="inlineStr">
        <is>
          <t>19:51</t>
        </is>
      </c>
      <c r="C7591" t="n">
        <v>3134</v>
      </c>
      <c r="D7591" s="6" t="n">
        <v>17.8</v>
      </c>
      <c r="E7591" t="n">
        <v>44898</v>
      </c>
      <c r="F7591" s="6" t="n">
        <v>8.9</v>
      </c>
      <c r="G7591" t="n">
        <v>2</v>
      </c>
      <c r="H7591" s="6">
        <f>ROUND(G7591*F7591,2)</f>
        <v/>
      </c>
      <c r="I7591">
        <f>IF(ROUND(H7591-D7591,2)=0,1,0)</f>
        <v/>
      </c>
      <c r="J7591">
        <f>IF(F7591="","none",IF(G7591=1,"carte","multiple"))</f>
        <v/>
      </c>
    </row>
    <row r="7592">
      <c r="A7592" t="inlineStr">
        <is>
          <t>2023-02-25</t>
        </is>
      </c>
      <c r="B7592" t="inlineStr">
        <is>
          <t>19:51</t>
        </is>
      </c>
      <c r="C7592" t="n">
        <v>3134</v>
      </c>
      <c r="D7592" s="6" t="n">
        <v>19.9</v>
      </c>
      <c r="E7592" t="n">
        <v>44899</v>
      </c>
      <c r="F7592" s="6" t="n">
        <v>19.9</v>
      </c>
      <c r="G7592" t="n">
        <v>1</v>
      </c>
      <c r="H7592" s="6">
        <f>ROUND(G7592*F7592,2)</f>
        <v/>
      </c>
      <c r="I7592">
        <f>IF(ROUND(H7592-D7592,2)=0,1,0)</f>
        <v/>
      </c>
      <c r="J7592">
        <f>IF(F7592="","none",IF(G7592=1,"carte","multiple"))</f>
        <v/>
      </c>
    </row>
    <row r="7593">
      <c r="A7593" t="inlineStr">
        <is>
          <t>2023-02-25</t>
        </is>
      </c>
      <c r="B7593" t="inlineStr">
        <is>
          <t>19:51</t>
        </is>
      </c>
      <c r="C7593" t="n">
        <v>3134</v>
      </c>
      <c r="D7593" s="6" t="n">
        <v>33.8</v>
      </c>
      <c r="E7593" t="n">
        <v>44900</v>
      </c>
      <c r="F7593" s="6" t="n">
        <v>16.9</v>
      </c>
      <c r="G7593" t="n">
        <v>2</v>
      </c>
      <c r="H7593" s="6">
        <f>ROUND(G7593*F7593,2)</f>
        <v/>
      </c>
      <c r="I7593">
        <f>IF(ROUND(H7593-D7593,2)=0,1,0)</f>
        <v/>
      </c>
      <c r="J7593">
        <f>IF(F7593="","none",IF(G7593=1,"carte","multiple"))</f>
        <v/>
      </c>
    </row>
    <row r="7594">
      <c r="A7594" t="inlineStr">
        <is>
          <t>2023-02-25</t>
        </is>
      </c>
      <c r="B7594" t="inlineStr">
        <is>
          <t>19:51</t>
        </is>
      </c>
      <c r="C7594" t="n">
        <v>3134</v>
      </c>
      <c r="D7594" s="6" t="n">
        <v>29.9</v>
      </c>
      <c r="E7594" t="n">
        <v>44901</v>
      </c>
      <c r="F7594" s="6" t="n">
        <v>29.9</v>
      </c>
      <c r="G7594" t="n">
        <v>1</v>
      </c>
      <c r="H7594" s="6">
        <f>ROUND(G7594*F7594,2)</f>
        <v/>
      </c>
      <c r="I7594">
        <f>IF(ROUND(H7594-D7594,2)=0,1,0)</f>
        <v/>
      </c>
      <c r="J7594">
        <f>IF(F7594="","none",IF(G7594=1,"carte","multiple"))</f>
        <v/>
      </c>
    </row>
    <row r="7595">
      <c r="A7595" t="inlineStr">
        <is>
          <t>2023-02-25</t>
        </is>
      </c>
      <c r="B7595" t="inlineStr">
        <is>
          <t>19:51</t>
        </is>
      </c>
      <c r="C7595" t="n">
        <v>3134</v>
      </c>
      <c r="D7595" s="6" t="n">
        <v>19.6</v>
      </c>
      <c r="E7595" t="n">
        <v>44902</v>
      </c>
      <c r="F7595" s="6" t="n">
        <v>0.4</v>
      </c>
      <c r="G7595" t="n">
        <v>49</v>
      </c>
      <c r="H7595" s="6">
        <f>ROUND(G7595*F7595,2)</f>
        <v/>
      </c>
      <c r="I7595">
        <f>IF(ROUND(H7595-D7595,2)=0,1,0)</f>
        <v/>
      </c>
      <c r="J7595">
        <f>IF(F7595="","none",IF(G7595=1,"carte","multiple"))</f>
        <v/>
      </c>
    </row>
    <row r="7596">
      <c r="A7596" t="inlineStr">
        <is>
          <t>2023-02-25</t>
        </is>
      </c>
      <c r="B7596" t="inlineStr">
        <is>
          <t>19:51</t>
        </is>
      </c>
      <c r="C7596" t="n">
        <v>3134</v>
      </c>
      <c r="D7596" s="6" t="n">
        <v>8.4</v>
      </c>
      <c r="E7596" t="n">
        <v>44903</v>
      </c>
      <c r="F7596" s="6" t="n">
        <v>8.4</v>
      </c>
      <c r="G7596" t="n">
        <v>1</v>
      </c>
      <c r="H7596" s="6">
        <f>ROUND(G7596*F7596,2)</f>
        <v/>
      </c>
      <c r="I7596">
        <f>IF(ROUND(H7596-D7596,2)=0,1,0)</f>
        <v/>
      </c>
      <c r="J7596">
        <f>IF(F7596="","none",IF(G7596=1,"carte","multiple"))</f>
        <v/>
      </c>
    </row>
    <row r="7597">
      <c r="A7597" t="inlineStr">
        <is>
          <t>2023-02-25</t>
        </is>
      </c>
      <c r="B7597" t="inlineStr">
        <is>
          <t>20:10</t>
        </is>
      </c>
      <c r="C7597" t="n">
        <v>3134</v>
      </c>
      <c r="D7597" s="6" t="n">
        <v>38</v>
      </c>
      <c r="E7597" t="n">
        <v>44904</v>
      </c>
      <c r="F7597" s="6" t="n">
        <v>0.4</v>
      </c>
      <c r="G7597" t="n">
        <v>95</v>
      </c>
      <c r="H7597" s="6">
        <f>ROUND(G7597*F7597,2)</f>
        <v/>
      </c>
      <c r="I7597">
        <f>IF(ROUND(H7597-D7597,2)=0,1,0)</f>
        <v/>
      </c>
      <c r="J7597">
        <f>IF(F7597="","none",IF(G7597=1,"carte","multiple"))</f>
        <v/>
      </c>
    </row>
    <row r="7598">
      <c r="A7598" t="inlineStr">
        <is>
          <t>2023-02-26</t>
        </is>
      </c>
      <c r="B7598" t="inlineStr">
        <is>
          <t>11:01</t>
        </is>
      </c>
      <c r="C7598" t="n">
        <v>3135</v>
      </c>
      <c r="D7598" s="6" t="n">
        <v>39.8</v>
      </c>
      <c r="E7598" t="n">
        <v>44909</v>
      </c>
      <c r="F7598" s="6" t="n">
        <v>39.8</v>
      </c>
      <c r="G7598" t="n">
        <v>1</v>
      </c>
      <c r="H7598" s="6">
        <f>ROUND(G7598*F7598,2)</f>
        <v/>
      </c>
      <c r="I7598">
        <f>IF(ROUND(H7598-D7598,2)=0,1,0)</f>
        <v/>
      </c>
      <c r="J7598">
        <f>IF(F7598="","none",IF(G7598=1,"carte","multiple"))</f>
        <v/>
      </c>
    </row>
    <row r="7599">
      <c r="A7599" t="inlineStr">
        <is>
          <t>2023-02-26</t>
        </is>
      </c>
      <c r="B7599" t="inlineStr">
        <is>
          <t>11:03</t>
        </is>
      </c>
      <c r="C7599" t="n">
        <v>3135</v>
      </c>
      <c r="D7599" s="6" t="n">
        <v>4.2</v>
      </c>
      <c r="E7599" t="n">
        <v>44910</v>
      </c>
      <c r="F7599" s="6" t="n">
        <v>4.2</v>
      </c>
      <c r="G7599" t="n">
        <v>1</v>
      </c>
      <c r="H7599" s="6">
        <f>ROUND(G7599*F7599,2)</f>
        <v/>
      </c>
      <c r="I7599">
        <f>IF(ROUND(H7599-D7599,2)=0,1,0)</f>
        <v/>
      </c>
      <c r="J7599">
        <f>IF(F7599="","none",IF(G7599=1,"carte","multiple"))</f>
        <v/>
      </c>
    </row>
    <row r="7600">
      <c r="A7600" t="inlineStr">
        <is>
          <t>2023-02-26</t>
        </is>
      </c>
      <c r="B7600" t="inlineStr">
        <is>
          <t>12:17</t>
        </is>
      </c>
      <c r="C7600" t="n">
        <v>3135</v>
      </c>
      <c r="D7600" s="6" t="n">
        <v>3.8</v>
      </c>
      <c r="E7600" t="n">
        <v>44911</v>
      </c>
      <c r="F7600" s="6" t="n">
        <v>3.8</v>
      </c>
      <c r="G7600" t="n">
        <v>1</v>
      </c>
      <c r="H7600" s="6">
        <f>ROUND(G7600*F7600,2)</f>
        <v/>
      </c>
      <c r="I7600">
        <f>IF(ROUND(H7600-D7600,2)=0,1,0)</f>
        <v/>
      </c>
      <c r="J7600">
        <f>IF(F7600="","none",IF(G7600=1,"carte","multiple"))</f>
        <v/>
      </c>
    </row>
    <row r="7601">
      <c r="A7601" t="inlineStr">
        <is>
          <t>2023-02-26</t>
        </is>
      </c>
      <c r="B7601" t="inlineStr">
        <is>
          <t>12:17</t>
        </is>
      </c>
      <c r="C7601" t="n">
        <v>3135</v>
      </c>
      <c r="D7601" s="6" t="n">
        <v>3.9</v>
      </c>
      <c r="E7601" t="n">
        <v>44912</v>
      </c>
      <c r="F7601" s="6" t="n">
        <v>3.9</v>
      </c>
      <c r="G7601" t="n">
        <v>1</v>
      </c>
      <c r="H7601" s="6">
        <f>ROUND(G7601*F7601,2)</f>
        <v/>
      </c>
      <c r="I7601">
        <f>IF(ROUND(H7601-D7601,2)=0,1,0)</f>
        <v/>
      </c>
      <c r="J7601">
        <f>IF(F7601="","none",IF(G7601=1,"carte","multiple"))</f>
        <v/>
      </c>
    </row>
    <row r="7602">
      <c r="A7602" t="inlineStr">
        <is>
          <t>2023-02-26</t>
        </is>
      </c>
      <c r="B7602" t="inlineStr">
        <is>
          <t>12:17</t>
        </is>
      </c>
      <c r="C7602" t="n">
        <v>3135</v>
      </c>
      <c r="D7602" s="6" t="n">
        <v>4</v>
      </c>
      <c r="E7602" t="n">
        <v>44913</v>
      </c>
      <c r="F7602" s="6" t="n">
        <v>4</v>
      </c>
      <c r="G7602" t="n">
        <v>1</v>
      </c>
      <c r="H7602" s="6">
        <f>ROUND(G7602*F7602,2)</f>
        <v/>
      </c>
      <c r="I7602">
        <f>IF(ROUND(H7602-D7602,2)=0,1,0)</f>
        <v/>
      </c>
      <c r="J7602">
        <f>IF(F7602="","none",IF(G7602=1,"carte","multiple"))</f>
        <v/>
      </c>
    </row>
    <row r="7603">
      <c r="A7603" t="inlineStr">
        <is>
          <t>2023-02-26</t>
        </is>
      </c>
      <c r="B7603" t="inlineStr">
        <is>
          <t>12:17</t>
        </is>
      </c>
      <c r="C7603" t="n">
        <v>3135</v>
      </c>
      <c r="D7603" s="6" t="n">
        <v>4.7</v>
      </c>
      <c r="E7603" t="n">
        <v>44914</v>
      </c>
      <c r="F7603" s="6" t="n">
        <v>4.7</v>
      </c>
      <c r="G7603" t="n">
        <v>1</v>
      </c>
      <c r="H7603" s="6">
        <f>ROUND(G7603*F7603,2)</f>
        <v/>
      </c>
      <c r="I7603">
        <f>IF(ROUND(H7603-D7603,2)=0,1,0)</f>
        <v/>
      </c>
      <c r="J7603">
        <f>IF(F7603="","none",IF(G7603=1,"carte","multiple"))</f>
        <v/>
      </c>
    </row>
    <row r="7604">
      <c r="A7604" t="inlineStr">
        <is>
          <t>2023-02-26</t>
        </is>
      </c>
      <c r="B7604" t="inlineStr">
        <is>
          <t>12:17</t>
        </is>
      </c>
      <c r="C7604" t="n">
        <v>3135</v>
      </c>
      <c r="D7604" s="6" t="n">
        <v>4.7</v>
      </c>
      <c r="E7604" t="n">
        <v>44915</v>
      </c>
      <c r="F7604" s="6" t="n">
        <v>4.7</v>
      </c>
      <c r="G7604" t="n">
        <v>1</v>
      </c>
      <c r="H7604" s="6">
        <f>ROUND(G7604*F7604,2)</f>
        <v/>
      </c>
      <c r="I7604">
        <f>IF(ROUND(H7604-D7604,2)=0,1,0)</f>
        <v/>
      </c>
      <c r="J7604">
        <f>IF(F7604="","none",IF(G7604=1,"carte","multiple"))</f>
        <v/>
      </c>
    </row>
    <row r="7605">
      <c r="A7605" t="inlineStr">
        <is>
          <t>2023-02-26</t>
        </is>
      </c>
      <c r="B7605" t="inlineStr">
        <is>
          <t>12:56</t>
        </is>
      </c>
      <c r="C7605" t="n">
        <v>3135</v>
      </c>
      <c r="D7605" s="6" t="n">
        <v>7</v>
      </c>
      <c r="E7605" t="n">
        <v>44916</v>
      </c>
      <c r="F7605" s="6" t="n">
        <v>7</v>
      </c>
      <c r="G7605" t="n">
        <v>1</v>
      </c>
      <c r="H7605" s="6">
        <f>ROUND(G7605*F7605,2)</f>
        <v/>
      </c>
      <c r="I7605">
        <f>IF(ROUND(H7605-D7605,2)=0,1,0)</f>
        <v/>
      </c>
      <c r="J7605">
        <f>IF(F7605="","none",IF(G7605=1,"carte","multiple"))</f>
        <v/>
      </c>
    </row>
    <row r="7606">
      <c r="A7606" t="inlineStr">
        <is>
          <t>2023-02-26</t>
        </is>
      </c>
      <c r="B7606" t="inlineStr">
        <is>
          <t>12:56</t>
        </is>
      </c>
      <c r="C7606" t="n">
        <v>3135</v>
      </c>
      <c r="D7606" s="6" t="n">
        <v>27</v>
      </c>
      <c r="E7606" t="n">
        <v>44917</v>
      </c>
      <c r="F7606" s="6" t="n">
        <v>27</v>
      </c>
      <c r="G7606" t="n">
        <v>1</v>
      </c>
      <c r="H7606" s="6">
        <f>ROUND(G7606*F7606,2)</f>
        <v/>
      </c>
      <c r="I7606">
        <f>IF(ROUND(H7606-D7606,2)=0,1,0)</f>
        <v/>
      </c>
      <c r="J7606">
        <f>IF(F7606="","none",IF(G7606=1,"carte","multiple"))</f>
        <v/>
      </c>
    </row>
    <row r="7607">
      <c r="A7607" t="inlineStr">
        <is>
          <t>2023-02-26</t>
        </is>
      </c>
      <c r="B7607" t="inlineStr">
        <is>
          <t>12:56</t>
        </is>
      </c>
      <c r="C7607" t="n">
        <v>3135</v>
      </c>
      <c r="D7607" s="6" t="n">
        <v>90</v>
      </c>
      <c r="E7607" t="n">
        <v>44918</v>
      </c>
      <c r="F7607" s="6" t="n">
        <v>0.4</v>
      </c>
      <c r="G7607" t="n">
        <v>225</v>
      </c>
      <c r="H7607" s="6">
        <f>ROUND(G7607*F7607,2)</f>
        <v/>
      </c>
      <c r="I7607">
        <f>IF(ROUND(H7607-D7607,2)=0,1,0)</f>
        <v/>
      </c>
      <c r="J7607">
        <f>IF(F7607="","none",IF(G7607=1,"carte","multiple"))</f>
        <v/>
      </c>
    </row>
    <row r="7608">
      <c r="A7608" t="inlineStr">
        <is>
          <t>2023-02-26</t>
        </is>
      </c>
      <c r="B7608" t="inlineStr">
        <is>
          <t>12:56</t>
        </is>
      </c>
      <c r="C7608" t="n">
        <v>3135</v>
      </c>
      <c r="D7608" s="6" t="n">
        <v>10.4</v>
      </c>
      <c r="E7608" t="n">
        <v>44919</v>
      </c>
      <c r="F7608" s="6" t="n">
        <v>0.4</v>
      </c>
      <c r="G7608" t="n">
        <v>26</v>
      </c>
      <c r="H7608" s="6">
        <f>ROUND(G7608*F7608,2)</f>
        <v/>
      </c>
      <c r="I7608">
        <f>IF(ROUND(H7608-D7608,2)=0,1,0)</f>
        <v/>
      </c>
      <c r="J7608">
        <f>IF(F7608="","none",IF(G7608=1,"carte","multiple"))</f>
        <v/>
      </c>
    </row>
    <row r="7609">
      <c r="A7609" t="inlineStr">
        <is>
          <t>2023-02-26</t>
        </is>
      </c>
      <c r="B7609" t="inlineStr">
        <is>
          <t>13:01</t>
        </is>
      </c>
      <c r="C7609" t="n">
        <v>3135</v>
      </c>
      <c r="D7609" s="6" t="n">
        <v>11.7</v>
      </c>
      <c r="E7609" t="n">
        <v>44920</v>
      </c>
      <c r="F7609" s="6" t="n">
        <v>0.9</v>
      </c>
      <c r="G7609" t="n">
        <v>13</v>
      </c>
      <c r="H7609" s="6">
        <f>ROUND(G7609*F7609,2)</f>
        <v/>
      </c>
      <c r="I7609">
        <f>IF(ROUND(H7609-D7609,2)=0,1,0)</f>
        <v/>
      </c>
      <c r="J7609">
        <f>IF(F7609="","none",IF(G7609=1,"carte","multiple"))</f>
        <v/>
      </c>
    </row>
    <row r="7610">
      <c r="A7610" t="inlineStr">
        <is>
          <t>2023-02-26</t>
        </is>
      </c>
      <c r="B7610" t="inlineStr">
        <is>
          <t>13:01</t>
        </is>
      </c>
      <c r="C7610" t="n">
        <v>3135</v>
      </c>
      <c r="D7610" s="6" t="n">
        <v>8.699999999999999</v>
      </c>
      <c r="E7610" t="n">
        <v>44921</v>
      </c>
      <c r="F7610" s="6" t="n">
        <v>8.699999999999999</v>
      </c>
      <c r="G7610" t="n">
        <v>1</v>
      </c>
      <c r="H7610" s="6">
        <f>ROUND(G7610*F7610,2)</f>
        <v/>
      </c>
      <c r="I7610">
        <f>IF(ROUND(H7610-D7610,2)=0,1,0)</f>
        <v/>
      </c>
      <c r="J7610">
        <f>IF(F7610="","none",IF(G7610=1,"carte","multiple"))</f>
        <v/>
      </c>
    </row>
    <row r="7611">
      <c r="A7611" t="inlineStr">
        <is>
          <t>2023-02-26</t>
        </is>
      </c>
      <c r="B7611" t="inlineStr">
        <is>
          <t>13:01</t>
        </is>
      </c>
      <c r="C7611" t="n">
        <v>3135</v>
      </c>
      <c r="D7611" s="6" t="n">
        <v>3.9</v>
      </c>
      <c r="E7611" t="n">
        <v>44922</v>
      </c>
      <c r="F7611" s="6" t="n">
        <v>3.9</v>
      </c>
      <c r="G7611" t="n">
        <v>1</v>
      </c>
      <c r="H7611" s="6">
        <f>ROUND(G7611*F7611,2)</f>
        <v/>
      </c>
      <c r="I7611">
        <f>IF(ROUND(H7611-D7611,2)=0,1,0)</f>
        <v/>
      </c>
      <c r="J7611">
        <f>IF(F7611="","none",IF(G7611=1,"carte","multiple"))</f>
        <v/>
      </c>
    </row>
    <row r="7612">
      <c r="A7612" t="inlineStr">
        <is>
          <t>2023-02-26</t>
        </is>
      </c>
      <c r="B7612" t="inlineStr">
        <is>
          <t>13:01</t>
        </is>
      </c>
      <c r="C7612" t="n">
        <v>3135</v>
      </c>
      <c r="D7612" s="6" t="n">
        <v>8.4</v>
      </c>
      <c r="E7612" t="n">
        <v>44923</v>
      </c>
      <c r="F7612" s="6" t="n">
        <v>8.4</v>
      </c>
      <c r="G7612" t="n">
        <v>1</v>
      </c>
      <c r="H7612" s="6">
        <f>ROUND(G7612*F7612,2)</f>
        <v/>
      </c>
      <c r="I7612">
        <f>IF(ROUND(H7612-D7612,2)=0,1,0)</f>
        <v/>
      </c>
      <c r="J7612">
        <f>IF(F7612="","none",IF(G7612=1,"carte","multiple"))</f>
        <v/>
      </c>
    </row>
    <row r="7613">
      <c r="A7613" t="inlineStr">
        <is>
          <t>2023-02-26</t>
        </is>
      </c>
      <c r="B7613" t="inlineStr">
        <is>
          <t>13:01</t>
        </is>
      </c>
      <c r="C7613" t="n">
        <v>3135</v>
      </c>
      <c r="D7613" s="6" t="n">
        <v>16.9</v>
      </c>
      <c r="E7613" t="n">
        <v>44924</v>
      </c>
      <c r="F7613" s="6" t="n">
        <v>16.9</v>
      </c>
      <c r="G7613" t="n">
        <v>1</v>
      </c>
      <c r="H7613" s="6">
        <f>ROUND(G7613*F7613,2)</f>
        <v/>
      </c>
      <c r="I7613">
        <f>IF(ROUND(H7613-D7613,2)=0,1,0)</f>
        <v/>
      </c>
      <c r="J7613">
        <f>IF(F7613="","none",IF(G7613=1,"carte","multiple"))</f>
        <v/>
      </c>
    </row>
    <row r="7614">
      <c r="A7614" t="inlineStr">
        <is>
          <t>2023-02-26</t>
        </is>
      </c>
      <c r="B7614" t="inlineStr">
        <is>
          <t>13:01</t>
        </is>
      </c>
      <c r="C7614" t="n">
        <v>3135</v>
      </c>
      <c r="D7614" s="6" t="n">
        <v>18.6</v>
      </c>
      <c r="E7614" t="n">
        <v>44925</v>
      </c>
      <c r="F7614" s="6" t="n">
        <v>18.6</v>
      </c>
      <c r="G7614" t="n">
        <v>1</v>
      </c>
      <c r="H7614" s="6">
        <f>ROUND(G7614*F7614,2)</f>
        <v/>
      </c>
      <c r="I7614">
        <f>IF(ROUND(H7614-D7614,2)=0,1,0)</f>
        <v/>
      </c>
      <c r="J7614">
        <f>IF(F7614="","none",IF(G7614=1,"carte","multiple"))</f>
        <v/>
      </c>
    </row>
    <row r="7615">
      <c r="A7615" t="inlineStr">
        <is>
          <t>2023-02-26</t>
        </is>
      </c>
      <c r="B7615" t="inlineStr">
        <is>
          <t>13:01</t>
        </is>
      </c>
      <c r="C7615" t="n">
        <v>3135</v>
      </c>
      <c r="D7615" s="6" t="n">
        <v>16.9</v>
      </c>
      <c r="E7615" t="n">
        <v>44926</v>
      </c>
      <c r="F7615" s="6" t="n">
        <v>16.9</v>
      </c>
      <c r="G7615" t="n">
        <v>1</v>
      </c>
      <c r="H7615" s="6">
        <f>ROUND(G7615*F7615,2)</f>
        <v/>
      </c>
      <c r="I7615">
        <f>IF(ROUND(H7615-D7615,2)=0,1,0)</f>
        <v/>
      </c>
      <c r="J7615">
        <f>IF(F7615="","none",IF(G7615=1,"carte","multiple"))</f>
        <v/>
      </c>
    </row>
    <row r="7616">
      <c r="A7616" t="inlineStr">
        <is>
          <t>2023-02-26</t>
        </is>
      </c>
      <c r="B7616" t="inlineStr">
        <is>
          <t>13:01</t>
        </is>
      </c>
      <c r="C7616" t="n">
        <v>3135</v>
      </c>
      <c r="D7616" s="6" t="n">
        <v>19.9</v>
      </c>
      <c r="E7616" t="n">
        <v>44927</v>
      </c>
      <c r="F7616" s="6" t="n">
        <v>19.9</v>
      </c>
      <c r="G7616" t="n">
        <v>1</v>
      </c>
      <c r="H7616" s="6">
        <f>ROUND(G7616*F7616,2)</f>
        <v/>
      </c>
      <c r="I7616">
        <f>IF(ROUND(H7616-D7616,2)=0,1,0)</f>
        <v/>
      </c>
      <c r="J7616">
        <f>IF(F7616="","none",IF(G7616=1,"carte","multiple"))</f>
        <v/>
      </c>
    </row>
    <row r="7617">
      <c r="A7617" t="inlineStr">
        <is>
          <t>2023-02-26</t>
        </is>
      </c>
      <c r="B7617" t="inlineStr">
        <is>
          <t>13:01</t>
        </is>
      </c>
      <c r="C7617" t="n">
        <v>3135</v>
      </c>
      <c r="D7617" s="6" t="n">
        <v>19</v>
      </c>
      <c r="E7617" t="n">
        <v>44928</v>
      </c>
      <c r="F7617" s="6" t="n">
        <v>19</v>
      </c>
      <c r="G7617" t="n">
        <v>1</v>
      </c>
      <c r="H7617" s="6">
        <f>ROUND(G7617*F7617,2)</f>
        <v/>
      </c>
      <c r="I7617">
        <f>IF(ROUND(H7617-D7617,2)=0,1,0)</f>
        <v/>
      </c>
      <c r="J7617">
        <f>IF(F7617="","none",IF(G7617=1,"carte","multiple"))</f>
        <v/>
      </c>
    </row>
    <row r="7618">
      <c r="A7618" t="inlineStr">
        <is>
          <t>2023-02-26</t>
        </is>
      </c>
      <c r="B7618" t="inlineStr">
        <is>
          <t>13:22</t>
        </is>
      </c>
      <c r="C7618" t="n">
        <v>3135</v>
      </c>
      <c r="D7618" s="6" t="n">
        <v>9.9</v>
      </c>
      <c r="E7618" t="n">
        <v>44929</v>
      </c>
      <c r="F7618" s="6" t="n">
        <v>9.9</v>
      </c>
      <c r="G7618" t="n">
        <v>1</v>
      </c>
      <c r="H7618" s="6">
        <f>ROUND(G7618*F7618,2)</f>
        <v/>
      </c>
      <c r="I7618">
        <f>IF(ROUND(H7618-D7618,2)=0,1,0)</f>
        <v/>
      </c>
      <c r="J7618">
        <f>IF(F7618="","none",IF(G7618=1,"carte","multiple"))</f>
        <v/>
      </c>
    </row>
    <row r="7619">
      <c r="A7619" t="inlineStr">
        <is>
          <t>2023-02-26</t>
        </is>
      </c>
      <c r="B7619" t="inlineStr">
        <is>
          <t>13:22</t>
        </is>
      </c>
      <c r="C7619" t="n">
        <v>3135</v>
      </c>
      <c r="D7619" s="6" t="n">
        <v>37.2</v>
      </c>
      <c r="E7619" t="n">
        <v>44930</v>
      </c>
      <c r="F7619" s="6" t="n">
        <v>0.4</v>
      </c>
      <c r="G7619" t="n">
        <v>93</v>
      </c>
      <c r="H7619" s="6">
        <f>ROUND(G7619*F7619,2)</f>
        <v/>
      </c>
      <c r="I7619">
        <f>IF(ROUND(H7619-D7619,2)=0,1,0)</f>
        <v/>
      </c>
      <c r="J7619">
        <f>IF(F7619="","none",IF(G7619=1,"carte","multiple"))</f>
        <v/>
      </c>
    </row>
    <row r="7620">
      <c r="A7620" t="inlineStr">
        <is>
          <t>2023-02-26</t>
        </is>
      </c>
      <c r="B7620" t="inlineStr">
        <is>
          <t>13:22</t>
        </is>
      </c>
      <c r="C7620" t="n">
        <v>3135</v>
      </c>
      <c r="D7620" s="6" t="n">
        <v>18</v>
      </c>
      <c r="E7620" t="n">
        <v>44931</v>
      </c>
      <c r="F7620" s="6" t="n">
        <v>18</v>
      </c>
      <c r="G7620" t="n">
        <v>1</v>
      </c>
      <c r="H7620" s="6">
        <f>ROUND(G7620*F7620,2)</f>
        <v/>
      </c>
      <c r="I7620">
        <f>IF(ROUND(H7620-D7620,2)=0,1,0)</f>
        <v/>
      </c>
      <c r="J7620">
        <f>IF(F7620="","none",IF(G7620=1,"carte","multiple"))</f>
        <v/>
      </c>
    </row>
    <row r="7621">
      <c r="A7621" t="inlineStr">
        <is>
          <t>2023-02-26</t>
        </is>
      </c>
      <c r="B7621" t="inlineStr">
        <is>
          <t>19:35</t>
        </is>
      </c>
      <c r="C7621" t="n">
        <v>3135</v>
      </c>
      <c r="D7621" s="6" t="n">
        <v>6.5</v>
      </c>
      <c r="E7621" t="n">
        <v>44933</v>
      </c>
      <c r="F7621" s="6" t="n">
        <v>6.5</v>
      </c>
      <c r="G7621" t="n">
        <v>1</v>
      </c>
      <c r="H7621" s="6">
        <f>ROUND(G7621*F7621,2)</f>
        <v/>
      </c>
      <c r="I7621">
        <f>IF(ROUND(H7621-D7621,2)=0,1,0)</f>
        <v/>
      </c>
      <c r="J7621">
        <f>IF(F7621="","none",IF(G7621=1,"carte","multiple"))</f>
        <v/>
      </c>
    </row>
    <row r="7622">
      <c r="A7622" t="inlineStr">
        <is>
          <t>2023-02-26</t>
        </is>
      </c>
      <c r="B7622" t="inlineStr">
        <is>
          <t>19:35</t>
        </is>
      </c>
      <c r="C7622" t="n">
        <v>3135</v>
      </c>
      <c r="D7622" s="6" t="n">
        <v>6.5</v>
      </c>
      <c r="E7622" t="n">
        <v>44934</v>
      </c>
      <c r="F7622" s="6" t="n">
        <v>6.5</v>
      </c>
      <c r="G7622" t="n">
        <v>1</v>
      </c>
      <c r="H7622" s="6">
        <f>ROUND(G7622*F7622,2)</f>
        <v/>
      </c>
      <c r="I7622">
        <f>IF(ROUND(H7622-D7622,2)=0,1,0)</f>
        <v/>
      </c>
      <c r="J7622">
        <f>IF(F7622="","none",IF(G7622=1,"carte","multiple"))</f>
        <v/>
      </c>
    </row>
    <row r="7623">
      <c r="A7623" t="inlineStr">
        <is>
          <t>2023-02-26</t>
        </is>
      </c>
      <c r="B7623" t="inlineStr">
        <is>
          <t>19:35</t>
        </is>
      </c>
      <c r="C7623" t="n">
        <v>3135</v>
      </c>
      <c r="D7623" s="6" t="n">
        <v>25</v>
      </c>
      <c r="E7623" t="n">
        <v>44935</v>
      </c>
      <c r="F7623" s="6" t="n">
        <v>25</v>
      </c>
      <c r="G7623" t="n">
        <v>1</v>
      </c>
      <c r="H7623" s="6">
        <f>ROUND(G7623*F7623,2)</f>
        <v/>
      </c>
      <c r="I7623">
        <f>IF(ROUND(H7623-D7623,2)=0,1,0)</f>
        <v/>
      </c>
      <c r="J7623">
        <f>IF(F7623="","none",IF(G7623=1,"carte","multiple"))</f>
        <v/>
      </c>
    </row>
    <row r="7624">
      <c r="A7624" t="inlineStr">
        <is>
          <t>2023-02-26</t>
        </is>
      </c>
      <c r="B7624" t="inlineStr">
        <is>
          <t>19:35</t>
        </is>
      </c>
      <c r="C7624" t="n">
        <v>3135</v>
      </c>
      <c r="D7624" s="6" t="n">
        <v>1.2</v>
      </c>
      <c r="E7624" t="n">
        <v>44936</v>
      </c>
      <c r="F7624" s="6" t="n">
        <v>1.2</v>
      </c>
      <c r="G7624" t="n">
        <v>1</v>
      </c>
      <c r="H7624" s="6">
        <f>ROUND(G7624*F7624,2)</f>
        <v/>
      </c>
      <c r="I7624">
        <f>IF(ROUND(H7624-D7624,2)=0,1,0)</f>
        <v/>
      </c>
      <c r="J7624">
        <f>IF(F7624="","none",IF(G7624=1,"carte","multiple"))</f>
        <v/>
      </c>
    </row>
    <row r="7625">
      <c r="A7625" t="inlineStr">
        <is>
          <t>2023-02-26</t>
        </is>
      </c>
      <c r="B7625" t="inlineStr">
        <is>
          <t>19:35</t>
        </is>
      </c>
      <c r="C7625" t="n">
        <v>3135</v>
      </c>
      <c r="D7625" s="6" t="n">
        <v>2</v>
      </c>
      <c r="E7625" t="n">
        <v>44937</v>
      </c>
      <c r="F7625" s="6" t="n">
        <v>2</v>
      </c>
      <c r="G7625" t="n">
        <v>1</v>
      </c>
      <c r="H7625" s="6">
        <f>ROUND(G7625*F7625,2)</f>
        <v/>
      </c>
      <c r="I7625">
        <f>IF(ROUND(H7625-D7625,2)=0,1,0)</f>
        <v/>
      </c>
      <c r="J7625">
        <f>IF(F7625="","none",IF(G7625=1,"carte","multiple"))</f>
        <v/>
      </c>
    </row>
    <row r="7626">
      <c r="A7626" t="inlineStr">
        <is>
          <t>2023-03-01</t>
        </is>
      </c>
      <c r="B7626" t="inlineStr">
        <is>
          <t>12:38</t>
        </is>
      </c>
      <c r="C7626" t="n">
        <v>3136</v>
      </c>
      <c r="D7626" s="6" t="n">
        <v>2.9</v>
      </c>
      <c r="E7626" t="n">
        <v>44940</v>
      </c>
      <c r="F7626" s="6" t="n">
        <v>2.9</v>
      </c>
      <c r="G7626" t="n">
        <v>1</v>
      </c>
      <c r="H7626" s="6">
        <f>ROUND(G7626*F7626,2)</f>
        <v/>
      </c>
      <c r="I7626">
        <f>IF(ROUND(H7626-D7626,2)=0,1,0)</f>
        <v/>
      </c>
      <c r="J7626">
        <f>IF(F7626="","none",IF(G7626=1,"carte","multiple"))</f>
        <v/>
      </c>
    </row>
    <row r="7627">
      <c r="A7627" t="inlineStr">
        <is>
          <t>2023-03-01</t>
        </is>
      </c>
      <c r="B7627" t="inlineStr">
        <is>
          <t>12:38</t>
        </is>
      </c>
      <c r="C7627" t="n">
        <v>3136</v>
      </c>
      <c r="D7627" s="6" t="n">
        <v>19</v>
      </c>
      <c r="E7627" t="n">
        <v>44941</v>
      </c>
      <c r="F7627" s="6" t="n">
        <v>19</v>
      </c>
      <c r="G7627" t="n">
        <v>1</v>
      </c>
      <c r="H7627" s="6">
        <f>ROUND(G7627*F7627,2)</f>
        <v/>
      </c>
      <c r="I7627">
        <f>IF(ROUND(H7627-D7627,2)=0,1,0)</f>
        <v/>
      </c>
      <c r="J7627">
        <f>IF(F7627="","none",IF(G7627=1,"carte","multiple"))</f>
        <v/>
      </c>
    </row>
    <row r="7628">
      <c r="A7628" t="inlineStr">
        <is>
          <t>2023-03-01</t>
        </is>
      </c>
      <c r="B7628" t="inlineStr">
        <is>
          <t>18:26</t>
        </is>
      </c>
      <c r="C7628" t="n">
        <v>3136</v>
      </c>
      <c r="D7628" s="6" t="n">
        <v>15.6</v>
      </c>
      <c r="E7628" t="n">
        <v>44943</v>
      </c>
      <c r="F7628" s="6" t="n">
        <v>15.6</v>
      </c>
      <c r="G7628" t="n">
        <v>1</v>
      </c>
      <c r="H7628" s="6">
        <f>ROUND(G7628*F7628,2)</f>
        <v/>
      </c>
      <c r="I7628">
        <f>IF(ROUND(H7628-D7628,2)=0,1,0)</f>
        <v/>
      </c>
      <c r="J7628">
        <f>IF(F7628="","none",IF(G7628=1,"carte","multiple"))</f>
        <v/>
      </c>
    </row>
    <row r="7629">
      <c r="A7629" t="inlineStr">
        <is>
          <t>2023-03-01</t>
        </is>
      </c>
      <c r="B7629" t="inlineStr">
        <is>
          <t>18:26</t>
        </is>
      </c>
      <c r="C7629" t="n">
        <v>3136</v>
      </c>
      <c r="D7629" s="6" t="n">
        <v>4.2</v>
      </c>
      <c r="E7629" t="n">
        <v>44944</v>
      </c>
      <c r="F7629" s="6" t="n">
        <v>4.2</v>
      </c>
      <c r="G7629" t="n">
        <v>1</v>
      </c>
      <c r="H7629" s="6">
        <f>ROUND(G7629*F7629,2)</f>
        <v/>
      </c>
      <c r="I7629">
        <f>IF(ROUND(H7629-D7629,2)=0,1,0)</f>
        <v/>
      </c>
      <c r="J7629">
        <f>IF(F7629="","none",IF(G7629=1,"carte","multiple"))</f>
        <v/>
      </c>
    </row>
    <row r="7630">
      <c r="A7630" t="inlineStr">
        <is>
          <t>2023-03-01</t>
        </is>
      </c>
      <c r="B7630" t="inlineStr">
        <is>
          <t>18:26</t>
        </is>
      </c>
      <c r="C7630" t="n">
        <v>3136</v>
      </c>
      <c r="D7630" s="6" t="n">
        <v>5.2</v>
      </c>
      <c r="E7630" t="n">
        <v>44945</v>
      </c>
      <c r="F7630" s="6" t="n">
        <v>5.2</v>
      </c>
      <c r="G7630" t="n">
        <v>1</v>
      </c>
      <c r="H7630" s="6">
        <f>ROUND(G7630*F7630,2)</f>
        <v/>
      </c>
      <c r="I7630">
        <f>IF(ROUND(H7630-D7630,2)=0,1,0)</f>
        <v/>
      </c>
      <c r="J7630">
        <f>IF(F7630="","none",IF(G7630=1,"carte","multiple"))</f>
        <v/>
      </c>
    </row>
    <row r="7631">
      <c r="A7631" t="inlineStr">
        <is>
          <t>2023-03-01</t>
        </is>
      </c>
      <c r="B7631" t="inlineStr">
        <is>
          <t>18:26</t>
        </is>
      </c>
      <c r="C7631" t="n">
        <v>3136</v>
      </c>
      <c r="D7631" s="6" t="n">
        <v>12.8</v>
      </c>
      <c r="E7631" t="n">
        <v>44946</v>
      </c>
      <c r="F7631" s="6" t="n">
        <v>0.4</v>
      </c>
      <c r="G7631" t="n">
        <v>32</v>
      </c>
      <c r="H7631" s="6">
        <f>ROUND(G7631*F7631,2)</f>
        <v/>
      </c>
      <c r="I7631">
        <f>IF(ROUND(H7631-D7631,2)=0,1,0)</f>
        <v/>
      </c>
      <c r="J7631">
        <f>IF(F7631="","none",IF(G7631=1,"carte","multiple"))</f>
        <v/>
      </c>
    </row>
    <row r="7632">
      <c r="A7632" t="inlineStr">
        <is>
          <t>2023-03-01</t>
        </is>
      </c>
      <c r="B7632" t="inlineStr">
        <is>
          <t>18:26</t>
        </is>
      </c>
      <c r="C7632" t="n">
        <v>3136</v>
      </c>
      <c r="D7632" s="6" t="n">
        <v>15.6</v>
      </c>
      <c r="E7632" t="n">
        <v>44947</v>
      </c>
      <c r="F7632" s="6" t="n">
        <v>15.6</v>
      </c>
      <c r="G7632" t="n">
        <v>1</v>
      </c>
      <c r="H7632" s="6">
        <f>ROUND(G7632*F7632,2)</f>
        <v/>
      </c>
      <c r="I7632">
        <f>IF(ROUND(H7632-D7632,2)=0,1,0)</f>
        <v/>
      </c>
      <c r="J7632">
        <f>IF(F7632="","none",IF(G7632=1,"carte","multiple"))</f>
        <v/>
      </c>
    </row>
    <row r="7633">
      <c r="A7633" t="inlineStr">
        <is>
          <t>2023-03-01</t>
        </is>
      </c>
      <c r="B7633" t="inlineStr">
        <is>
          <t>18:26</t>
        </is>
      </c>
      <c r="C7633" t="n">
        <v>3136</v>
      </c>
      <c r="D7633" s="6" t="n">
        <v>35.6</v>
      </c>
      <c r="E7633" t="n">
        <v>44948</v>
      </c>
      <c r="F7633" s="6" t="n">
        <v>0.4</v>
      </c>
      <c r="G7633" t="n">
        <v>89</v>
      </c>
      <c r="H7633" s="6">
        <f>ROUND(G7633*F7633,2)</f>
        <v/>
      </c>
      <c r="I7633">
        <f>IF(ROUND(H7633-D7633,2)=0,1,0)</f>
        <v/>
      </c>
      <c r="J7633">
        <f>IF(F7633="","none",IF(G7633=1,"carte","multiple"))</f>
        <v/>
      </c>
    </row>
    <row r="7634">
      <c r="A7634" t="inlineStr">
        <is>
          <t>2023-03-01</t>
        </is>
      </c>
      <c r="B7634" t="inlineStr">
        <is>
          <t>19:37</t>
        </is>
      </c>
      <c r="C7634" t="n">
        <v>3136</v>
      </c>
      <c r="D7634" s="6" t="n">
        <v>3.9</v>
      </c>
      <c r="E7634" t="n">
        <v>44949</v>
      </c>
      <c r="F7634" s="6" t="n">
        <v>3.9</v>
      </c>
      <c r="G7634" t="n">
        <v>1</v>
      </c>
      <c r="H7634" s="6">
        <f>ROUND(G7634*F7634,2)</f>
        <v/>
      </c>
      <c r="I7634">
        <f>IF(ROUND(H7634-D7634,2)=0,1,0)</f>
        <v/>
      </c>
      <c r="J7634">
        <f>IF(F7634="","none",IF(G7634=1,"carte","multiple"))</f>
        <v/>
      </c>
    </row>
    <row r="7635">
      <c r="A7635" t="inlineStr">
        <is>
          <t>2023-03-01</t>
        </is>
      </c>
      <c r="B7635" t="inlineStr">
        <is>
          <t>19:37</t>
        </is>
      </c>
      <c r="C7635" t="n">
        <v>3136</v>
      </c>
      <c r="D7635" s="6" t="n">
        <v>16.9</v>
      </c>
      <c r="E7635" t="n">
        <v>44950</v>
      </c>
      <c r="F7635" s="6" t="n">
        <v>16.9</v>
      </c>
      <c r="G7635" t="n">
        <v>1</v>
      </c>
      <c r="H7635" s="6">
        <f>ROUND(G7635*F7635,2)</f>
        <v/>
      </c>
      <c r="I7635">
        <f>IF(ROUND(H7635-D7635,2)=0,1,0)</f>
        <v/>
      </c>
      <c r="J7635">
        <f>IF(F7635="","none",IF(G7635=1,"carte","multiple"))</f>
        <v/>
      </c>
    </row>
    <row r="7636">
      <c r="A7636" t="inlineStr">
        <is>
          <t>2023-03-01</t>
        </is>
      </c>
      <c r="B7636" t="inlineStr">
        <is>
          <t>19:37</t>
        </is>
      </c>
      <c r="C7636" t="n">
        <v>3136</v>
      </c>
      <c r="D7636" s="6" t="n">
        <v>17</v>
      </c>
      <c r="E7636" t="n">
        <v>44951</v>
      </c>
      <c r="F7636" s="6" t="n">
        <v>17</v>
      </c>
      <c r="G7636" t="n">
        <v>1</v>
      </c>
      <c r="H7636" s="6">
        <f>ROUND(G7636*F7636,2)</f>
        <v/>
      </c>
      <c r="I7636">
        <f>IF(ROUND(H7636-D7636,2)=0,1,0)</f>
        <v/>
      </c>
      <c r="J7636">
        <f>IF(F7636="","none",IF(G7636=1,"carte","multiple"))</f>
        <v/>
      </c>
    </row>
    <row r="7637">
      <c r="A7637" t="inlineStr">
        <is>
          <t>2023-03-01</t>
        </is>
      </c>
      <c r="B7637" t="inlineStr">
        <is>
          <t>19:37</t>
        </is>
      </c>
      <c r="C7637" t="n">
        <v>3136</v>
      </c>
      <c r="D7637" s="6" t="n">
        <v>9.9</v>
      </c>
      <c r="E7637" t="n">
        <v>44952</v>
      </c>
      <c r="F7637" s="6" t="n">
        <v>9.9</v>
      </c>
      <c r="G7637" t="n">
        <v>1</v>
      </c>
      <c r="H7637" s="6">
        <f>ROUND(G7637*F7637,2)</f>
        <v/>
      </c>
      <c r="I7637">
        <f>IF(ROUND(H7637-D7637,2)=0,1,0)</f>
        <v/>
      </c>
      <c r="J7637">
        <f>IF(F7637="","none",IF(G7637=1,"carte","multiple"))</f>
        <v/>
      </c>
    </row>
    <row r="7638">
      <c r="A7638" t="inlineStr">
        <is>
          <t>2023-03-02</t>
        </is>
      </c>
      <c r="B7638" t="inlineStr">
        <is>
          <t>12:08</t>
        </is>
      </c>
      <c r="C7638" t="n">
        <v>3137</v>
      </c>
      <c r="D7638" s="6" t="n">
        <v>2.9</v>
      </c>
      <c r="E7638" t="n">
        <v>44955</v>
      </c>
      <c r="F7638" s="6" t="n">
        <v>2.9</v>
      </c>
      <c r="G7638" t="n">
        <v>1</v>
      </c>
      <c r="H7638" s="6">
        <f>ROUND(G7638*F7638,2)</f>
        <v/>
      </c>
      <c r="I7638">
        <f>IF(ROUND(H7638-D7638,2)=0,1,0)</f>
        <v/>
      </c>
      <c r="J7638">
        <f>IF(F7638="","none",IF(G7638=1,"carte","multiple"))</f>
        <v/>
      </c>
    </row>
    <row r="7639">
      <c r="A7639" t="inlineStr">
        <is>
          <t>2023-03-02</t>
        </is>
      </c>
      <c r="B7639" t="inlineStr">
        <is>
          <t>12:08</t>
        </is>
      </c>
      <c r="C7639" t="n">
        <v>3137</v>
      </c>
      <c r="D7639" s="6" t="n">
        <v>12.5</v>
      </c>
      <c r="E7639" t="n">
        <v>44956</v>
      </c>
      <c r="F7639" s="6" t="n">
        <v>12.5</v>
      </c>
      <c r="G7639" t="n">
        <v>1</v>
      </c>
      <c r="H7639" s="6">
        <f>ROUND(G7639*F7639,2)</f>
        <v/>
      </c>
      <c r="I7639">
        <f>IF(ROUND(H7639-D7639,2)=0,1,0)</f>
        <v/>
      </c>
      <c r="J7639">
        <f>IF(F7639="","none",IF(G7639=1,"carte","multiple"))</f>
        <v/>
      </c>
    </row>
    <row r="7640">
      <c r="A7640" t="inlineStr">
        <is>
          <t>2023-03-02</t>
        </is>
      </c>
      <c r="B7640" t="inlineStr">
        <is>
          <t>12:08</t>
        </is>
      </c>
      <c r="C7640" t="n">
        <v>3137</v>
      </c>
      <c r="D7640" s="6" t="n">
        <v>3.9</v>
      </c>
      <c r="E7640" t="n">
        <v>44957</v>
      </c>
      <c r="F7640" s="6" t="n">
        <v>3.9</v>
      </c>
      <c r="G7640" t="n">
        <v>1</v>
      </c>
      <c r="H7640" s="6">
        <f>ROUND(G7640*F7640,2)</f>
        <v/>
      </c>
      <c r="I7640">
        <f>IF(ROUND(H7640-D7640,2)=0,1,0)</f>
        <v/>
      </c>
      <c r="J7640">
        <f>IF(F7640="","none",IF(G7640=1,"carte","multiple"))</f>
        <v/>
      </c>
    </row>
    <row r="7641">
      <c r="A7641" t="inlineStr">
        <is>
          <t>2023-03-03</t>
        </is>
      </c>
      <c r="B7641" t="inlineStr">
        <is>
          <t>20:46</t>
        </is>
      </c>
      <c r="C7641" t="n">
        <v>3138</v>
      </c>
      <c r="D7641" s="6" t="n">
        <v>4.4</v>
      </c>
      <c r="E7641" t="n">
        <v>44960</v>
      </c>
      <c r="F7641" s="6" t="n">
        <v>0.4</v>
      </c>
      <c r="G7641" t="n">
        <v>11</v>
      </c>
      <c r="H7641" s="6">
        <f>ROUND(G7641*F7641,2)</f>
        <v/>
      </c>
      <c r="I7641">
        <f>IF(ROUND(H7641-D7641,2)=0,1,0)</f>
        <v/>
      </c>
      <c r="J7641">
        <f>IF(F7641="","none",IF(G7641=1,"carte","multiple"))</f>
        <v/>
      </c>
    </row>
    <row r="7642">
      <c r="A7642" t="inlineStr">
        <is>
          <t>2023-03-03</t>
        </is>
      </c>
      <c r="B7642" t="inlineStr">
        <is>
          <t>20:46</t>
        </is>
      </c>
      <c r="C7642" t="n">
        <v>3138</v>
      </c>
      <c r="D7642" s="6" t="n">
        <v>6.9</v>
      </c>
      <c r="E7642" t="n">
        <v>44961</v>
      </c>
      <c r="F7642" s="6" t="n">
        <v>6.9</v>
      </c>
      <c r="G7642" t="n">
        <v>1</v>
      </c>
      <c r="H7642" s="6">
        <f>ROUND(G7642*F7642,2)</f>
        <v/>
      </c>
      <c r="I7642">
        <f>IF(ROUND(H7642-D7642,2)=0,1,0)</f>
        <v/>
      </c>
      <c r="J7642">
        <f>IF(F7642="","none",IF(G7642=1,"carte","multiple"))</f>
        <v/>
      </c>
    </row>
    <row r="7643">
      <c r="A7643" t="inlineStr">
        <is>
          <t>2023-03-03</t>
        </is>
      </c>
      <c r="B7643" t="inlineStr">
        <is>
          <t>20:46</t>
        </is>
      </c>
      <c r="C7643" t="n">
        <v>3138</v>
      </c>
      <c r="D7643" s="6" t="n">
        <v>13.8</v>
      </c>
      <c r="E7643" t="n">
        <v>44962</v>
      </c>
      <c r="F7643" s="6" t="n">
        <v>4.6</v>
      </c>
      <c r="G7643" t="n">
        <v>3</v>
      </c>
      <c r="H7643" s="6">
        <f>ROUND(G7643*F7643,2)</f>
        <v/>
      </c>
      <c r="I7643">
        <f>IF(ROUND(H7643-D7643,2)=0,1,0)</f>
        <v/>
      </c>
      <c r="J7643">
        <f>IF(F7643="","none",IF(G7643=1,"carte","multiple"))</f>
        <v/>
      </c>
    </row>
    <row r="7644">
      <c r="A7644" t="inlineStr">
        <is>
          <t>2023-03-03</t>
        </is>
      </c>
      <c r="B7644" t="inlineStr">
        <is>
          <t>20:46</t>
        </is>
      </c>
      <c r="C7644" t="n">
        <v>3138</v>
      </c>
      <c r="D7644" s="6" t="n">
        <v>9.9</v>
      </c>
      <c r="E7644" t="n">
        <v>44963</v>
      </c>
      <c r="F7644" s="6" t="n">
        <v>9.9</v>
      </c>
      <c r="G7644" t="n">
        <v>1</v>
      </c>
      <c r="H7644" s="6">
        <f>ROUND(G7644*F7644,2)</f>
        <v/>
      </c>
      <c r="I7644">
        <f>IF(ROUND(H7644-D7644,2)=0,1,0)</f>
        <v/>
      </c>
      <c r="J7644">
        <f>IF(F7644="","none",IF(G7644=1,"carte","multiple"))</f>
        <v/>
      </c>
    </row>
    <row r="7645">
      <c r="A7645" t="inlineStr">
        <is>
          <t>2023-03-03</t>
        </is>
      </c>
      <c r="B7645" t="inlineStr">
        <is>
          <t>20:46</t>
        </is>
      </c>
      <c r="C7645" t="n">
        <v>3138</v>
      </c>
      <c r="D7645" s="6" t="n">
        <v>43.2</v>
      </c>
      <c r="E7645" t="n">
        <v>44964</v>
      </c>
      <c r="F7645" s="6" t="n">
        <v>0.4</v>
      </c>
      <c r="G7645" t="n">
        <v>108</v>
      </c>
      <c r="H7645" s="6">
        <f>ROUND(G7645*F7645,2)</f>
        <v/>
      </c>
      <c r="I7645">
        <f>IF(ROUND(H7645-D7645,2)=0,1,0)</f>
        <v/>
      </c>
      <c r="J7645">
        <f>IF(F7645="","none",IF(G7645=1,"carte","multiple"))</f>
        <v/>
      </c>
    </row>
    <row r="7646">
      <c r="A7646" t="inlineStr">
        <is>
          <t>2023-03-03</t>
        </is>
      </c>
      <c r="B7646" t="inlineStr">
        <is>
          <t>20:46</t>
        </is>
      </c>
      <c r="C7646" t="n">
        <v>3138</v>
      </c>
      <c r="D7646" s="6" t="n">
        <v>3.9</v>
      </c>
      <c r="E7646" t="n">
        <v>44965</v>
      </c>
      <c r="F7646" s="6" t="n">
        <v>3.9</v>
      </c>
      <c r="G7646" t="n">
        <v>1</v>
      </c>
      <c r="H7646" s="6">
        <f>ROUND(G7646*F7646,2)</f>
        <v/>
      </c>
      <c r="I7646">
        <f>IF(ROUND(H7646-D7646,2)=0,1,0)</f>
        <v/>
      </c>
      <c r="J7646">
        <f>IF(F7646="","none",IF(G7646=1,"carte","multiple"))</f>
        <v/>
      </c>
    </row>
    <row r="7647">
      <c r="A7647" t="inlineStr">
        <is>
          <t>2023-03-03</t>
        </is>
      </c>
      <c r="B7647" t="inlineStr">
        <is>
          <t>20:46</t>
        </is>
      </c>
      <c r="C7647" t="n">
        <v>3138</v>
      </c>
      <c r="D7647" s="6" t="n">
        <v>10.4</v>
      </c>
      <c r="E7647" t="n">
        <v>44966</v>
      </c>
      <c r="F7647" s="6" t="n">
        <v>0.4</v>
      </c>
      <c r="G7647" t="n">
        <v>26</v>
      </c>
      <c r="H7647" s="6">
        <f>ROUND(G7647*F7647,2)</f>
        <v/>
      </c>
      <c r="I7647">
        <f>IF(ROUND(H7647-D7647,2)=0,1,0)</f>
        <v/>
      </c>
      <c r="J7647">
        <f>IF(F7647="","none",IF(G7647=1,"carte","multiple"))</f>
        <v/>
      </c>
    </row>
    <row r="7648">
      <c r="A7648" t="inlineStr">
        <is>
          <t>2023-03-04</t>
        </is>
      </c>
      <c r="B7648" t="inlineStr">
        <is>
          <t>12:24</t>
        </is>
      </c>
      <c r="C7648" t="n">
        <v>3139</v>
      </c>
      <c r="D7648" s="6" t="n">
        <v>18.6</v>
      </c>
      <c r="E7648" t="n">
        <v>44969</v>
      </c>
      <c r="F7648" s="6" t="n">
        <v>18.6</v>
      </c>
      <c r="G7648" t="n">
        <v>1</v>
      </c>
      <c r="H7648" s="6">
        <f>ROUND(G7648*F7648,2)</f>
        <v/>
      </c>
      <c r="I7648">
        <f>IF(ROUND(H7648-D7648,2)=0,1,0)</f>
        <v/>
      </c>
      <c r="J7648">
        <f>IF(F7648="","none",IF(G7648=1,"carte","multiple"))</f>
        <v/>
      </c>
    </row>
    <row r="7649">
      <c r="A7649" t="inlineStr">
        <is>
          <t>2023-03-04</t>
        </is>
      </c>
      <c r="B7649" t="inlineStr">
        <is>
          <t>13:33</t>
        </is>
      </c>
      <c r="C7649" t="n">
        <v>3139</v>
      </c>
      <c r="D7649" s="6" t="n">
        <v>16.5</v>
      </c>
      <c r="E7649" t="n">
        <v>44970</v>
      </c>
      <c r="F7649" s="6" t="n">
        <v>16.5</v>
      </c>
      <c r="G7649" t="n">
        <v>1</v>
      </c>
      <c r="H7649" s="6">
        <f>ROUND(G7649*F7649,2)</f>
        <v/>
      </c>
      <c r="I7649">
        <f>IF(ROUND(H7649-D7649,2)=0,1,0)</f>
        <v/>
      </c>
      <c r="J7649">
        <f>IF(F7649="","none",IF(G7649=1,"carte","multiple"))</f>
        <v/>
      </c>
    </row>
    <row r="7650">
      <c r="A7650" t="inlineStr">
        <is>
          <t>2023-03-04</t>
        </is>
      </c>
      <c r="B7650" t="inlineStr">
        <is>
          <t>13:33</t>
        </is>
      </c>
      <c r="C7650" t="n">
        <v>3139</v>
      </c>
      <c r="D7650" s="6" t="n">
        <v>5.9</v>
      </c>
      <c r="E7650" t="n">
        <v>44971</v>
      </c>
      <c r="F7650" s="6" t="n">
        <v>5.9</v>
      </c>
      <c r="G7650" t="n">
        <v>1</v>
      </c>
      <c r="H7650" s="6">
        <f>ROUND(G7650*F7650,2)</f>
        <v/>
      </c>
      <c r="I7650">
        <f>IF(ROUND(H7650-D7650,2)=0,1,0)</f>
        <v/>
      </c>
      <c r="J7650">
        <f>IF(F7650="","none",IF(G7650=1,"carte","multiple"))</f>
        <v/>
      </c>
    </row>
    <row r="7651">
      <c r="A7651" t="inlineStr">
        <is>
          <t>2023-03-04</t>
        </is>
      </c>
      <c r="B7651" t="inlineStr">
        <is>
          <t>18:14</t>
        </is>
      </c>
      <c r="C7651" t="n">
        <v>3139</v>
      </c>
      <c r="D7651" s="6" t="n">
        <v>22.6</v>
      </c>
      <c r="E7651" t="n">
        <v>44973</v>
      </c>
      <c r="H7651" t="inlineStr"/>
      <c r="I7651" t="inlineStr"/>
      <c r="J7651">
        <f>IF(F7651="","none",IF(G7651=1,"carte","multiple"))</f>
        <v/>
      </c>
    </row>
    <row r="7652">
      <c r="A7652" t="inlineStr">
        <is>
          <t>2023-03-04</t>
        </is>
      </c>
      <c r="B7652" t="inlineStr">
        <is>
          <t>18:19</t>
        </is>
      </c>
      <c r="C7652" t="n">
        <v>3139</v>
      </c>
      <c r="D7652" s="6" t="n">
        <v>3.9</v>
      </c>
      <c r="E7652" t="n">
        <v>44974</v>
      </c>
      <c r="F7652" s="6" t="n">
        <v>3.9</v>
      </c>
      <c r="G7652" t="n">
        <v>1</v>
      </c>
      <c r="H7652" s="6">
        <f>ROUND(G7652*F7652,2)</f>
        <v/>
      </c>
      <c r="I7652">
        <f>IF(ROUND(H7652-D7652,2)=0,1,0)</f>
        <v/>
      </c>
      <c r="J7652">
        <f>IF(F7652="","none",IF(G7652=1,"carte","multiple"))</f>
        <v/>
      </c>
    </row>
    <row r="7653">
      <c r="A7653" t="inlineStr">
        <is>
          <t>2023-03-04</t>
        </is>
      </c>
      <c r="B7653" t="inlineStr">
        <is>
          <t>18:19</t>
        </is>
      </c>
      <c r="C7653" t="n">
        <v>3139</v>
      </c>
      <c r="D7653" s="6" t="n">
        <v>3.9</v>
      </c>
      <c r="E7653" t="n">
        <v>44975</v>
      </c>
      <c r="F7653" s="6" t="n">
        <v>3.9</v>
      </c>
      <c r="G7653" t="n">
        <v>1</v>
      </c>
      <c r="H7653" s="6">
        <f>ROUND(G7653*F7653,2)</f>
        <v/>
      </c>
      <c r="I7653">
        <f>IF(ROUND(H7653-D7653,2)=0,1,0)</f>
        <v/>
      </c>
      <c r="J7653">
        <f>IF(F7653="","none",IF(G7653=1,"carte","multiple"))</f>
        <v/>
      </c>
    </row>
    <row r="7654">
      <c r="A7654" t="inlineStr">
        <is>
          <t>2023-03-04</t>
        </is>
      </c>
      <c r="B7654" t="inlineStr">
        <is>
          <t>18:32</t>
        </is>
      </c>
      <c r="C7654" t="n">
        <v>3139</v>
      </c>
      <c r="D7654" s="6" t="n">
        <v>1.8</v>
      </c>
      <c r="E7654" t="n">
        <v>44976</v>
      </c>
      <c r="F7654" s="6" t="n">
        <v>1.8</v>
      </c>
      <c r="G7654" t="n">
        <v>1</v>
      </c>
      <c r="H7654" s="6">
        <f>ROUND(G7654*F7654,2)</f>
        <v/>
      </c>
      <c r="I7654">
        <f>IF(ROUND(H7654-D7654,2)=0,1,0)</f>
        <v/>
      </c>
      <c r="J7654">
        <f>IF(F7654="","none",IF(G7654=1,"carte","multiple"))</f>
        <v/>
      </c>
    </row>
    <row r="7655">
      <c r="A7655" t="inlineStr">
        <is>
          <t>2023-03-04</t>
        </is>
      </c>
      <c r="B7655" t="inlineStr">
        <is>
          <t>18:32</t>
        </is>
      </c>
      <c r="C7655" t="n">
        <v>3139</v>
      </c>
      <c r="D7655" s="6" t="n">
        <v>2.9</v>
      </c>
      <c r="E7655" t="n">
        <v>44977</v>
      </c>
      <c r="F7655" s="6" t="n">
        <v>2.9</v>
      </c>
      <c r="G7655" t="n">
        <v>1</v>
      </c>
      <c r="H7655" s="6">
        <f>ROUND(G7655*F7655,2)</f>
        <v/>
      </c>
      <c r="I7655">
        <f>IF(ROUND(H7655-D7655,2)=0,1,0)</f>
        <v/>
      </c>
      <c r="J7655">
        <f>IF(F7655="","none",IF(G7655=1,"carte","multiple"))</f>
        <v/>
      </c>
    </row>
    <row r="7656">
      <c r="A7656" t="inlineStr">
        <is>
          <t>2023-03-04</t>
        </is>
      </c>
      <c r="B7656" t="inlineStr">
        <is>
          <t>18:48</t>
        </is>
      </c>
      <c r="C7656" t="n">
        <v>3139</v>
      </c>
      <c r="D7656" s="6" t="n">
        <v>1.8</v>
      </c>
      <c r="E7656" t="n">
        <v>44978</v>
      </c>
      <c r="F7656" s="6" t="n">
        <v>1.8</v>
      </c>
      <c r="G7656" t="n">
        <v>1</v>
      </c>
      <c r="H7656" s="6">
        <f>ROUND(G7656*F7656,2)</f>
        <v/>
      </c>
      <c r="I7656">
        <f>IF(ROUND(H7656-D7656,2)=0,1,0)</f>
        <v/>
      </c>
      <c r="J7656">
        <f>IF(F7656="","none",IF(G7656=1,"carte","multiple"))</f>
        <v/>
      </c>
    </row>
    <row r="7657">
      <c r="A7657" t="inlineStr">
        <is>
          <t>2023-03-04</t>
        </is>
      </c>
      <c r="B7657" t="inlineStr">
        <is>
          <t>19:09</t>
        </is>
      </c>
      <c r="C7657" t="n">
        <v>3139</v>
      </c>
      <c r="D7657" s="6" t="n">
        <v>2</v>
      </c>
      <c r="E7657" t="n">
        <v>44979</v>
      </c>
      <c r="F7657" s="6" t="n">
        <v>2</v>
      </c>
      <c r="G7657" t="n">
        <v>1</v>
      </c>
      <c r="H7657" s="6">
        <f>ROUND(G7657*F7657,2)</f>
        <v/>
      </c>
      <c r="I7657">
        <f>IF(ROUND(H7657-D7657,2)=0,1,0)</f>
        <v/>
      </c>
      <c r="J7657">
        <f>IF(F7657="","none",IF(G7657=1,"carte","multiple"))</f>
        <v/>
      </c>
    </row>
    <row r="7658">
      <c r="A7658" t="inlineStr">
        <is>
          <t>2023-03-04</t>
        </is>
      </c>
      <c r="B7658" t="inlineStr">
        <is>
          <t>20:15</t>
        </is>
      </c>
      <c r="C7658" t="n">
        <v>3139</v>
      </c>
      <c r="D7658" s="6" t="n">
        <v>7.8</v>
      </c>
      <c r="E7658" t="n">
        <v>44980</v>
      </c>
      <c r="F7658" s="6" t="n">
        <v>7.8</v>
      </c>
      <c r="G7658" t="n">
        <v>1</v>
      </c>
      <c r="H7658" s="6">
        <f>ROUND(G7658*F7658,2)</f>
        <v/>
      </c>
      <c r="I7658">
        <f>IF(ROUND(H7658-D7658,2)=0,1,0)</f>
        <v/>
      </c>
      <c r="J7658">
        <f>IF(F7658="","none",IF(G7658=1,"carte","multiple"))</f>
        <v/>
      </c>
    </row>
    <row r="7659">
      <c r="A7659" t="inlineStr">
        <is>
          <t>2023-03-04</t>
        </is>
      </c>
      <c r="B7659" t="inlineStr">
        <is>
          <t>20:15</t>
        </is>
      </c>
      <c r="C7659" t="n">
        <v>3139</v>
      </c>
      <c r="D7659" s="6" t="n">
        <v>21.6</v>
      </c>
      <c r="E7659" t="n">
        <v>44981</v>
      </c>
      <c r="F7659" s="6" t="n">
        <v>21.6</v>
      </c>
      <c r="G7659" t="n">
        <v>1</v>
      </c>
      <c r="H7659" s="6">
        <f>ROUND(G7659*F7659,2)</f>
        <v/>
      </c>
      <c r="I7659">
        <f>IF(ROUND(H7659-D7659,2)=0,1,0)</f>
        <v/>
      </c>
      <c r="J7659">
        <f>IF(F7659="","none",IF(G7659=1,"carte","multiple"))</f>
        <v/>
      </c>
    </row>
    <row r="7660">
      <c r="A7660" t="inlineStr">
        <is>
          <t>2023-03-04</t>
        </is>
      </c>
      <c r="B7660" t="inlineStr">
        <is>
          <t>20:15</t>
        </is>
      </c>
      <c r="C7660" t="n">
        <v>3139</v>
      </c>
      <c r="D7660" s="6" t="n">
        <v>28.6</v>
      </c>
      <c r="E7660" t="n">
        <v>44982</v>
      </c>
      <c r="F7660" s="6" t="n">
        <v>28.6</v>
      </c>
      <c r="G7660" t="n">
        <v>1</v>
      </c>
      <c r="H7660" s="6">
        <f>ROUND(G7660*F7660,2)</f>
        <v/>
      </c>
      <c r="I7660">
        <f>IF(ROUND(H7660-D7660,2)=0,1,0)</f>
        <v/>
      </c>
      <c r="J7660">
        <f>IF(F7660="","none",IF(G7660=1,"carte","multiple"))</f>
        <v/>
      </c>
    </row>
    <row r="7661">
      <c r="A7661" t="inlineStr">
        <is>
          <t>2023-03-04</t>
        </is>
      </c>
      <c r="B7661" t="inlineStr">
        <is>
          <t>20:15</t>
        </is>
      </c>
      <c r="C7661" t="n">
        <v>3139</v>
      </c>
      <c r="D7661" s="6" t="n">
        <v>37.2</v>
      </c>
      <c r="E7661" t="n">
        <v>44983</v>
      </c>
      <c r="F7661" s="6" t="n">
        <v>0.4</v>
      </c>
      <c r="G7661" t="n">
        <v>93</v>
      </c>
      <c r="H7661" s="6">
        <f>ROUND(G7661*F7661,2)</f>
        <v/>
      </c>
      <c r="I7661">
        <f>IF(ROUND(H7661-D7661,2)=0,1,0)</f>
        <v/>
      </c>
      <c r="J7661">
        <f>IF(F7661="","none",IF(G7661=1,"carte","multiple"))</f>
        <v/>
      </c>
    </row>
    <row r="7662">
      <c r="A7662" t="inlineStr">
        <is>
          <t>2023-03-04</t>
        </is>
      </c>
      <c r="B7662" t="inlineStr">
        <is>
          <t>20:15</t>
        </is>
      </c>
      <c r="C7662" t="n">
        <v>3139</v>
      </c>
      <c r="D7662" s="6" t="n">
        <v>13.4</v>
      </c>
      <c r="E7662" t="n">
        <v>44984</v>
      </c>
      <c r="F7662" s="6" t="n">
        <v>13.4</v>
      </c>
      <c r="G7662" t="n">
        <v>1</v>
      </c>
      <c r="H7662" s="6">
        <f>ROUND(G7662*F7662,2)</f>
        <v/>
      </c>
      <c r="I7662">
        <f>IF(ROUND(H7662-D7662,2)=0,1,0)</f>
        <v/>
      </c>
      <c r="J7662">
        <f>IF(F7662="","none",IF(G7662=1,"carte","multiple"))</f>
        <v/>
      </c>
    </row>
    <row r="7663">
      <c r="A7663" t="inlineStr">
        <is>
          <t>2023-03-05</t>
        </is>
      </c>
      <c r="B7663" t="inlineStr">
        <is>
          <t>10:46</t>
        </is>
      </c>
      <c r="C7663" t="n">
        <v>3140</v>
      </c>
      <c r="D7663" s="6" t="n">
        <v>4.9</v>
      </c>
      <c r="E7663" t="n">
        <v>44987</v>
      </c>
      <c r="F7663" s="6" t="n">
        <v>4.9</v>
      </c>
      <c r="G7663" t="n">
        <v>1</v>
      </c>
      <c r="H7663" s="6">
        <f>ROUND(G7663*F7663,2)</f>
        <v/>
      </c>
      <c r="I7663">
        <f>IF(ROUND(H7663-D7663,2)=0,1,0)</f>
        <v/>
      </c>
      <c r="J7663">
        <f>IF(F7663="","none",IF(G7663=1,"carte","multiple"))</f>
        <v/>
      </c>
    </row>
    <row r="7664">
      <c r="A7664" t="inlineStr">
        <is>
          <t>2023-03-05</t>
        </is>
      </c>
      <c r="B7664" t="inlineStr">
        <is>
          <t>10:49</t>
        </is>
      </c>
      <c r="C7664" t="n">
        <v>3140</v>
      </c>
      <c r="D7664" s="6" t="n">
        <v>14</v>
      </c>
      <c r="E7664" t="n">
        <v>44988</v>
      </c>
      <c r="F7664" s="6" t="n">
        <v>14</v>
      </c>
      <c r="G7664" t="n">
        <v>1</v>
      </c>
      <c r="H7664" s="6">
        <f>ROUND(G7664*F7664,2)</f>
        <v/>
      </c>
      <c r="I7664">
        <f>IF(ROUND(H7664-D7664,2)=0,1,0)</f>
        <v/>
      </c>
      <c r="J7664">
        <f>IF(F7664="","none",IF(G7664=1,"carte","multiple"))</f>
        <v/>
      </c>
    </row>
    <row r="7665">
      <c r="A7665" t="inlineStr">
        <is>
          <t>2023-03-05</t>
        </is>
      </c>
      <c r="B7665" t="inlineStr">
        <is>
          <t>11:09</t>
        </is>
      </c>
      <c r="C7665" t="n">
        <v>3140</v>
      </c>
      <c r="D7665" s="6" t="n">
        <v>3.2</v>
      </c>
      <c r="E7665" t="n">
        <v>44989</v>
      </c>
      <c r="F7665" s="6" t="n">
        <v>3.2</v>
      </c>
      <c r="G7665" t="n">
        <v>1</v>
      </c>
      <c r="H7665" s="6">
        <f>ROUND(G7665*F7665,2)</f>
        <v/>
      </c>
      <c r="I7665">
        <f>IF(ROUND(H7665-D7665,2)=0,1,0)</f>
        <v/>
      </c>
      <c r="J7665">
        <f>IF(F7665="","none",IF(G7665=1,"carte","multiple"))</f>
        <v/>
      </c>
    </row>
    <row r="7666">
      <c r="A7666" t="inlineStr">
        <is>
          <t>2023-03-05</t>
        </is>
      </c>
      <c r="B7666" t="inlineStr">
        <is>
          <t>11:09</t>
        </is>
      </c>
      <c r="C7666" t="n">
        <v>3140</v>
      </c>
      <c r="D7666" s="6" t="n">
        <v>3.9</v>
      </c>
      <c r="E7666" t="n">
        <v>44990</v>
      </c>
      <c r="F7666" s="6" t="n">
        <v>3.9</v>
      </c>
      <c r="G7666" t="n">
        <v>1</v>
      </c>
      <c r="H7666" s="6">
        <f>ROUND(G7666*F7666,2)</f>
        <v/>
      </c>
      <c r="I7666">
        <f>IF(ROUND(H7666-D7666,2)=0,1,0)</f>
        <v/>
      </c>
      <c r="J7666">
        <f>IF(F7666="","none",IF(G7666=1,"carte","multiple"))</f>
        <v/>
      </c>
    </row>
    <row r="7667">
      <c r="A7667" t="inlineStr">
        <is>
          <t>2023-03-05</t>
        </is>
      </c>
      <c r="B7667" t="inlineStr">
        <is>
          <t>11:22</t>
        </is>
      </c>
      <c r="C7667" t="n">
        <v>3140</v>
      </c>
      <c r="D7667" s="6" t="n">
        <v>4.2</v>
      </c>
      <c r="E7667" t="n">
        <v>44991</v>
      </c>
      <c r="F7667" s="6" t="n">
        <v>4.2</v>
      </c>
      <c r="G7667" t="n">
        <v>1</v>
      </c>
      <c r="H7667" s="6">
        <f>ROUND(G7667*F7667,2)</f>
        <v/>
      </c>
      <c r="I7667">
        <f>IF(ROUND(H7667-D7667,2)=0,1,0)</f>
        <v/>
      </c>
      <c r="J7667">
        <f>IF(F7667="","none",IF(G7667=1,"carte","multiple"))</f>
        <v/>
      </c>
    </row>
    <row r="7668">
      <c r="A7668" t="inlineStr">
        <is>
          <t>2023-03-05</t>
        </is>
      </c>
      <c r="B7668" t="inlineStr">
        <is>
          <t>11:27</t>
        </is>
      </c>
      <c r="C7668" t="n">
        <v>3140</v>
      </c>
      <c r="D7668" s="6" t="n">
        <v>9.800000000000001</v>
      </c>
      <c r="E7668" t="n">
        <v>44992</v>
      </c>
      <c r="F7668" s="6" t="n">
        <v>9.800000000000001</v>
      </c>
      <c r="G7668" t="n">
        <v>1</v>
      </c>
      <c r="H7668" s="6">
        <f>ROUND(G7668*F7668,2)</f>
        <v/>
      </c>
      <c r="I7668">
        <f>IF(ROUND(H7668-D7668,2)=0,1,0)</f>
        <v/>
      </c>
      <c r="J7668">
        <f>IF(F7668="","none",IF(G7668=1,"carte","multiple"))</f>
        <v/>
      </c>
    </row>
    <row r="7669">
      <c r="A7669" t="inlineStr">
        <is>
          <t>2023-03-05</t>
        </is>
      </c>
      <c r="B7669" t="inlineStr">
        <is>
          <t>11:47</t>
        </is>
      </c>
      <c r="C7669" t="n">
        <v>3140</v>
      </c>
      <c r="D7669" s="6" t="n">
        <v>18.6</v>
      </c>
      <c r="E7669" t="n">
        <v>44993</v>
      </c>
      <c r="F7669" s="6" t="n">
        <v>18.6</v>
      </c>
      <c r="G7669" t="n">
        <v>1</v>
      </c>
      <c r="H7669" s="6">
        <f>ROUND(G7669*F7669,2)</f>
        <v/>
      </c>
      <c r="I7669">
        <f>IF(ROUND(H7669-D7669,2)=0,1,0)</f>
        <v/>
      </c>
      <c r="J7669">
        <f>IF(F7669="","none",IF(G7669=1,"carte","multiple"))</f>
        <v/>
      </c>
    </row>
    <row r="7670">
      <c r="A7670" t="inlineStr">
        <is>
          <t>2023-03-05</t>
        </is>
      </c>
      <c r="B7670" t="inlineStr">
        <is>
          <t>11:48</t>
        </is>
      </c>
      <c r="C7670" t="n">
        <v>3140</v>
      </c>
      <c r="D7670" s="6" t="n">
        <v>8.9</v>
      </c>
      <c r="E7670" t="n">
        <v>44994</v>
      </c>
      <c r="F7670" s="6" t="n">
        <v>8.9</v>
      </c>
      <c r="G7670" t="n">
        <v>1</v>
      </c>
      <c r="H7670" s="6">
        <f>ROUND(G7670*F7670,2)</f>
        <v/>
      </c>
      <c r="I7670">
        <f>IF(ROUND(H7670-D7670,2)=0,1,0)</f>
        <v/>
      </c>
      <c r="J7670">
        <f>IF(F7670="","none",IF(G7670=1,"carte","multiple"))</f>
        <v/>
      </c>
    </row>
    <row r="7671">
      <c r="A7671" t="inlineStr">
        <is>
          <t>2023-03-05</t>
        </is>
      </c>
      <c r="B7671" t="inlineStr">
        <is>
          <t>11:56</t>
        </is>
      </c>
      <c r="C7671" t="n">
        <v>3140</v>
      </c>
      <c r="D7671" s="6" t="n">
        <v>6.9</v>
      </c>
      <c r="E7671" t="n">
        <v>44995</v>
      </c>
      <c r="F7671" s="6" t="n">
        <v>6.9</v>
      </c>
      <c r="G7671" t="n">
        <v>1</v>
      </c>
      <c r="H7671" s="6">
        <f>ROUND(G7671*F7671,2)</f>
        <v/>
      </c>
      <c r="I7671">
        <f>IF(ROUND(H7671-D7671,2)=0,1,0)</f>
        <v/>
      </c>
      <c r="J7671">
        <f>IF(F7671="","none",IF(G7671=1,"carte","multiple"))</f>
        <v/>
      </c>
    </row>
    <row r="7672">
      <c r="A7672" t="inlineStr">
        <is>
          <t>2023-03-05</t>
        </is>
      </c>
      <c r="B7672" t="inlineStr">
        <is>
          <t>11:56</t>
        </is>
      </c>
      <c r="C7672" t="n">
        <v>3140</v>
      </c>
      <c r="D7672" s="6" t="n">
        <v>4.4</v>
      </c>
      <c r="E7672" t="n">
        <v>44996</v>
      </c>
      <c r="F7672" s="6" t="n">
        <v>0.4</v>
      </c>
      <c r="G7672" t="n">
        <v>11</v>
      </c>
      <c r="H7672" s="6">
        <f>ROUND(G7672*F7672,2)</f>
        <v/>
      </c>
      <c r="I7672">
        <f>IF(ROUND(H7672-D7672,2)=0,1,0)</f>
        <v/>
      </c>
      <c r="J7672">
        <f>IF(F7672="","none",IF(G7672=1,"carte","multiple"))</f>
        <v/>
      </c>
    </row>
    <row r="7673">
      <c r="A7673" t="inlineStr">
        <is>
          <t>2023-03-08</t>
        </is>
      </c>
      <c r="B7673" t="inlineStr">
        <is>
          <t>12:39</t>
        </is>
      </c>
      <c r="C7673" t="n">
        <v>3141</v>
      </c>
      <c r="D7673" s="6" t="n">
        <v>37.2</v>
      </c>
      <c r="E7673" t="n">
        <v>44999</v>
      </c>
      <c r="F7673" s="6" t="n">
        <v>0.4</v>
      </c>
      <c r="G7673" t="n">
        <v>93</v>
      </c>
      <c r="H7673" s="6">
        <f>ROUND(G7673*F7673,2)</f>
        <v/>
      </c>
      <c r="I7673">
        <f>IF(ROUND(H7673-D7673,2)=0,1,0)</f>
        <v/>
      </c>
      <c r="J7673">
        <f>IF(F7673="","none",IF(G7673=1,"carte","multiple"))</f>
        <v/>
      </c>
    </row>
    <row r="7674">
      <c r="A7674" t="inlineStr">
        <is>
          <t>2023-03-08</t>
        </is>
      </c>
      <c r="B7674" t="inlineStr">
        <is>
          <t>12:39</t>
        </is>
      </c>
      <c r="C7674" t="n">
        <v>3141</v>
      </c>
      <c r="D7674" s="6" t="n">
        <v>38</v>
      </c>
      <c r="E7674" t="n">
        <v>45000</v>
      </c>
      <c r="F7674" s="6" t="n">
        <v>0.4</v>
      </c>
      <c r="G7674" t="n">
        <v>95</v>
      </c>
      <c r="H7674" s="6">
        <f>ROUND(G7674*F7674,2)</f>
        <v/>
      </c>
      <c r="I7674">
        <f>IF(ROUND(H7674-D7674,2)=0,1,0)</f>
        <v/>
      </c>
      <c r="J7674">
        <f>IF(F7674="","none",IF(G7674=1,"carte","multiple"))</f>
        <v/>
      </c>
    </row>
    <row r="7675">
      <c r="A7675" t="inlineStr">
        <is>
          <t>2023-03-08</t>
        </is>
      </c>
      <c r="B7675" t="inlineStr">
        <is>
          <t>12:39</t>
        </is>
      </c>
      <c r="C7675" t="n">
        <v>3141</v>
      </c>
      <c r="D7675" s="6" t="n">
        <v>19</v>
      </c>
      <c r="E7675" t="n">
        <v>45001</v>
      </c>
      <c r="F7675" s="6" t="n">
        <v>19</v>
      </c>
      <c r="G7675" t="n">
        <v>1</v>
      </c>
      <c r="H7675" s="6">
        <f>ROUND(G7675*F7675,2)</f>
        <v/>
      </c>
      <c r="I7675">
        <f>IF(ROUND(H7675-D7675,2)=0,1,0)</f>
        <v/>
      </c>
      <c r="J7675">
        <f>IF(F7675="","none",IF(G7675=1,"carte","multiple"))</f>
        <v/>
      </c>
    </row>
    <row r="7676">
      <c r="A7676" t="inlineStr">
        <is>
          <t>2023-03-08</t>
        </is>
      </c>
      <c r="B7676" t="inlineStr">
        <is>
          <t>18:34</t>
        </is>
      </c>
      <c r="C7676" t="n">
        <v>3141</v>
      </c>
      <c r="D7676" s="6" t="n">
        <v>7.9</v>
      </c>
      <c r="E7676" t="n">
        <v>45002</v>
      </c>
      <c r="F7676" s="6" t="n">
        <v>7.9</v>
      </c>
      <c r="G7676" t="n">
        <v>1</v>
      </c>
      <c r="H7676" s="6">
        <f>ROUND(G7676*F7676,2)</f>
        <v/>
      </c>
      <c r="I7676">
        <f>IF(ROUND(H7676-D7676,2)=0,1,0)</f>
        <v/>
      </c>
      <c r="J7676">
        <f>IF(F7676="","none",IF(G7676=1,"carte","multiple"))</f>
        <v/>
      </c>
    </row>
    <row r="7677">
      <c r="A7677" t="inlineStr">
        <is>
          <t>2023-03-08</t>
        </is>
      </c>
      <c r="B7677" t="inlineStr">
        <is>
          <t>18:34</t>
        </is>
      </c>
      <c r="C7677" t="n">
        <v>3141</v>
      </c>
      <c r="D7677" s="6" t="n">
        <v>7.9</v>
      </c>
      <c r="E7677" t="n">
        <v>45003</v>
      </c>
      <c r="F7677" s="6" t="n">
        <v>7.9</v>
      </c>
      <c r="G7677" t="n">
        <v>1</v>
      </c>
      <c r="H7677" s="6">
        <f>ROUND(G7677*F7677,2)</f>
        <v/>
      </c>
      <c r="I7677">
        <f>IF(ROUND(H7677-D7677,2)=0,1,0)</f>
        <v/>
      </c>
      <c r="J7677">
        <f>IF(F7677="","none",IF(G7677=1,"carte","multiple"))</f>
        <v/>
      </c>
    </row>
    <row r="7678">
      <c r="A7678" t="inlineStr">
        <is>
          <t>2023-03-08</t>
        </is>
      </c>
      <c r="B7678" t="inlineStr">
        <is>
          <t>18:34</t>
        </is>
      </c>
      <c r="C7678" t="n">
        <v>3141</v>
      </c>
      <c r="D7678" s="6" t="n">
        <v>34</v>
      </c>
      <c r="E7678" t="n">
        <v>45004</v>
      </c>
      <c r="F7678" s="6" t="n">
        <v>34</v>
      </c>
      <c r="G7678" t="n">
        <v>1</v>
      </c>
      <c r="H7678" s="6">
        <f>ROUND(G7678*F7678,2)</f>
        <v/>
      </c>
      <c r="I7678">
        <f>IF(ROUND(H7678-D7678,2)=0,1,0)</f>
        <v/>
      </c>
      <c r="J7678">
        <f>IF(F7678="","none",IF(G7678=1,"carte","multiple"))</f>
        <v/>
      </c>
    </row>
    <row r="7679">
      <c r="A7679" t="inlineStr">
        <is>
          <t>2023-03-08</t>
        </is>
      </c>
      <c r="B7679" t="inlineStr">
        <is>
          <t>18:57</t>
        </is>
      </c>
      <c r="C7679" t="n">
        <v>3141</v>
      </c>
      <c r="D7679" s="6" t="n">
        <v>2.4</v>
      </c>
      <c r="E7679" t="n">
        <v>45005</v>
      </c>
      <c r="F7679" s="6" t="n">
        <v>2.4</v>
      </c>
      <c r="G7679" t="n">
        <v>1</v>
      </c>
      <c r="H7679" s="6">
        <f>ROUND(G7679*F7679,2)</f>
        <v/>
      </c>
      <c r="I7679">
        <f>IF(ROUND(H7679-D7679,2)=0,1,0)</f>
        <v/>
      </c>
      <c r="J7679">
        <f>IF(F7679="","none",IF(G7679=1,"carte","multiple"))</f>
        <v/>
      </c>
    </row>
    <row r="7680">
      <c r="A7680" t="inlineStr">
        <is>
          <t>2023-03-08</t>
        </is>
      </c>
      <c r="B7680" t="inlineStr">
        <is>
          <t>18:59</t>
        </is>
      </c>
      <c r="C7680" t="n">
        <v>3141</v>
      </c>
      <c r="D7680" s="6" t="n">
        <v>1.5</v>
      </c>
      <c r="E7680" t="n">
        <v>45006</v>
      </c>
      <c r="F7680" s="6" t="n">
        <v>1.5</v>
      </c>
      <c r="G7680" t="n">
        <v>1</v>
      </c>
      <c r="H7680" s="6">
        <f>ROUND(G7680*F7680,2)</f>
        <v/>
      </c>
      <c r="I7680">
        <f>IF(ROUND(H7680-D7680,2)=0,1,0)</f>
        <v/>
      </c>
      <c r="J7680">
        <f>IF(F7680="","none",IF(G7680=1,"carte","multiple"))</f>
        <v/>
      </c>
    </row>
    <row r="7681">
      <c r="A7681" t="inlineStr">
        <is>
          <t>2023-03-08</t>
        </is>
      </c>
      <c r="B7681" t="inlineStr">
        <is>
          <t>19:35</t>
        </is>
      </c>
      <c r="C7681" t="n">
        <v>3141</v>
      </c>
      <c r="D7681" s="6" t="n">
        <v>3.9</v>
      </c>
      <c r="E7681" t="n">
        <v>45007</v>
      </c>
      <c r="F7681" s="6" t="n">
        <v>3.9</v>
      </c>
      <c r="G7681" t="n">
        <v>1</v>
      </c>
      <c r="H7681" s="6">
        <f>ROUND(G7681*F7681,2)</f>
        <v/>
      </c>
      <c r="I7681">
        <f>IF(ROUND(H7681-D7681,2)=0,1,0)</f>
        <v/>
      </c>
      <c r="J7681">
        <f>IF(F7681="","none",IF(G7681=1,"carte","multiple"))</f>
        <v/>
      </c>
    </row>
    <row r="7682">
      <c r="A7682" t="inlineStr">
        <is>
          <t>2023-03-08</t>
        </is>
      </c>
      <c r="B7682" t="inlineStr">
        <is>
          <t>19:44</t>
        </is>
      </c>
      <c r="C7682" t="n">
        <v>3141</v>
      </c>
      <c r="D7682" s="6" t="n">
        <v>6.9</v>
      </c>
      <c r="E7682" t="n">
        <v>45008</v>
      </c>
      <c r="F7682" s="6" t="n">
        <v>6.9</v>
      </c>
      <c r="G7682" t="n">
        <v>1</v>
      </c>
      <c r="H7682" s="6">
        <f>ROUND(G7682*F7682,2)</f>
        <v/>
      </c>
      <c r="I7682">
        <f>IF(ROUND(H7682-D7682,2)=0,1,0)</f>
        <v/>
      </c>
      <c r="J7682">
        <f>IF(F7682="","none",IF(G7682=1,"carte","multiple"))</f>
        <v/>
      </c>
    </row>
    <row r="7683">
      <c r="A7683" t="inlineStr">
        <is>
          <t>2023-03-08</t>
        </is>
      </c>
      <c r="B7683" t="inlineStr">
        <is>
          <t>19:44</t>
        </is>
      </c>
      <c r="C7683" t="n">
        <v>3141</v>
      </c>
      <c r="D7683" s="6" t="n">
        <v>18.6</v>
      </c>
      <c r="E7683" t="n">
        <v>45009</v>
      </c>
      <c r="F7683" s="6" t="n">
        <v>18.6</v>
      </c>
      <c r="G7683" t="n">
        <v>1</v>
      </c>
      <c r="H7683" s="6">
        <f>ROUND(G7683*F7683,2)</f>
        <v/>
      </c>
      <c r="I7683">
        <f>IF(ROUND(H7683-D7683,2)=0,1,0)</f>
        <v/>
      </c>
      <c r="J7683">
        <f>IF(F7683="","none",IF(G7683=1,"carte","multiple"))</f>
        <v/>
      </c>
    </row>
    <row r="7684">
      <c r="A7684" t="inlineStr">
        <is>
          <t>2023-03-10</t>
        </is>
      </c>
      <c r="B7684" t="inlineStr">
        <is>
          <t>12:09</t>
        </is>
      </c>
      <c r="C7684" t="n">
        <v>3143</v>
      </c>
      <c r="D7684" s="6" t="n">
        <v>2.2</v>
      </c>
      <c r="E7684" t="n">
        <v>45015</v>
      </c>
      <c r="F7684" s="6" t="n">
        <v>2.2</v>
      </c>
      <c r="G7684" t="n">
        <v>1</v>
      </c>
      <c r="H7684" s="6">
        <f>ROUND(G7684*F7684,2)</f>
        <v/>
      </c>
      <c r="I7684">
        <f>IF(ROUND(H7684-D7684,2)=0,1,0)</f>
        <v/>
      </c>
      <c r="J7684">
        <f>IF(F7684="","none",IF(G7684=1,"carte","multiple"))</f>
        <v/>
      </c>
    </row>
    <row r="7685">
      <c r="A7685" t="inlineStr">
        <is>
          <t>2023-03-10</t>
        </is>
      </c>
      <c r="B7685" t="inlineStr">
        <is>
          <t>12:09</t>
        </is>
      </c>
      <c r="C7685" t="n">
        <v>3143</v>
      </c>
      <c r="D7685" s="6" t="n">
        <v>9.800000000000001</v>
      </c>
      <c r="E7685" t="n">
        <v>45016</v>
      </c>
      <c r="F7685" s="6" t="n">
        <v>9.800000000000001</v>
      </c>
      <c r="G7685" t="n">
        <v>1</v>
      </c>
      <c r="H7685" s="6">
        <f>ROUND(G7685*F7685,2)</f>
        <v/>
      </c>
      <c r="I7685">
        <f>IF(ROUND(H7685-D7685,2)=0,1,0)</f>
        <v/>
      </c>
      <c r="J7685">
        <f>IF(F7685="","none",IF(G7685=1,"carte","multiple"))</f>
        <v/>
      </c>
    </row>
    <row r="7686">
      <c r="A7686" t="inlineStr">
        <is>
          <t>2023-03-10</t>
        </is>
      </c>
      <c r="B7686" t="inlineStr">
        <is>
          <t>12:09</t>
        </is>
      </c>
      <c r="C7686" t="n">
        <v>3143</v>
      </c>
      <c r="D7686" s="6" t="n">
        <v>16.5</v>
      </c>
      <c r="E7686" t="n">
        <v>45017</v>
      </c>
      <c r="F7686" s="6" t="n">
        <v>16.5</v>
      </c>
      <c r="G7686" t="n">
        <v>1</v>
      </c>
      <c r="H7686" s="6">
        <f>ROUND(G7686*F7686,2)</f>
        <v/>
      </c>
      <c r="I7686">
        <f>IF(ROUND(H7686-D7686,2)=0,1,0)</f>
        <v/>
      </c>
      <c r="J7686">
        <f>IF(F7686="","none",IF(G7686=1,"carte","multiple"))</f>
        <v/>
      </c>
    </row>
    <row r="7687">
      <c r="A7687" t="inlineStr">
        <is>
          <t>2023-03-10</t>
        </is>
      </c>
      <c r="B7687" t="inlineStr">
        <is>
          <t>12:09</t>
        </is>
      </c>
      <c r="C7687" t="n">
        <v>3143</v>
      </c>
      <c r="D7687" s="6" t="n">
        <v>12.5</v>
      </c>
      <c r="E7687" t="n">
        <v>45018</v>
      </c>
      <c r="F7687" s="6" t="n">
        <v>12.5</v>
      </c>
      <c r="G7687" t="n">
        <v>1</v>
      </c>
      <c r="H7687" s="6">
        <f>ROUND(G7687*F7687,2)</f>
        <v/>
      </c>
      <c r="I7687">
        <f>IF(ROUND(H7687-D7687,2)=0,1,0)</f>
        <v/>
      </c>
      <c r="J7687">
        <f>IF(F7687="","none",IF(G7687=1,"carte","multiple"))</f>
        <v/>
      </c>
    </row>
    <row r="7688">
      <c r="A7688" t="inlineStr">
        <is>
          <t>2023-03-10</t>
        </is>
      </c>
      <c r="B7688" t="inlineStr">
        <is>
          <t>18:19</t>
        </is>
      </c>
      <c r="C7688" t="n">
        <v>3143</v>
      </c>
      <c r="D7688" s="6" t="n">
        <v>18.6</v>
      </c>
      <c r="E7688" t="n">
        <v>45019</v>
      </c>
      <c r="F7688" s="6" t="n">
        <v>18.6</v>
      </c>
      <c r="G7688" t="n">
        <v>1</v>
      </c>
      <c r="H7688" s="6">
        <f>ROUND(G7688*F7688,2)</f>
        <v/>
      </c>
      <c r="I7688">
        <f>IF(ROUND(H7688-D7688,2)=0,1,0)</f>
        <v/>
      </c>
      <c r="J7688">
        <f>IF(F7688="","none",IF(G7688=1,"carte","multiple"))</f>
        <v/>
      </c>
    </row>
    <row r="7689">
      <c r="A7689" t="inlineStr">
        <is>
          <t>2023-03-10</t>
        </is>
      </c>
      <c r="B7689" t="inlineStr">
        <is>
          <t>18:19</t>
        </is>
      </c>
      <c r="C7689" t="n">
        <v>3143</v>
      </c>
      <c r="D7689" s="6" t="n">
        <v>11.6</v>
      </c>
      <c r="E7689" t="n">
        <v>45020</v>
      </c>
      <c r="F7689" s="6" t="n">
        <v>11.6</v>
      </c>
      <c r="G7689" t="n">
        <v>1</v>
      </c>
      <c r="H7689" s="6">
        <f>ROUND(G7689*F7689,2)</f>
        <v/>
      </c>
      <c r="I7689">
        <f>IF(ROUND(H7689-D7689,2)=0,1,0)</f>
        <v/>
      </c>
      <c r="J7689">
        <f>IF(F7689="","none",IF(G7689=1,"carte","multiple"))</f>
        <v/>
      </c>
    </row>
    <row r="7690">
      <c r="A7690" t="inlineStr">
        <is>
          <t>2023-03-10</t>
        </is>
      </c>
      <c r="B7690" t="inlineStr">
        <is>
          <t>19:07</t>
        </is>
      </c>
      <c r="C7690" t="n">
        <v>3143</v>
      </c>
      <c r="D7690" s="6" t="n">
        <v>7.8</v>
      </c>
      <c r="E7690" t="n">
        <v>45021</v>
      </c>
      <c r="F7690" s="6" t="n">
        <v>7.8</v>
      </c>
      <c r="G7690" t="n">
        <v>1</v>
      </c>
      <c r="H7690" s="6">
        <f>ROUND(G7690*F7690,2)</f>
        <v/>
      </c>
      <c r="I7690">
        <f>IF(ROUND(H7690-D7690,2)=0,1,0)</f>
        <v/>
      </c>
      <c r="J7690">
        <f>IF(F7690="","none",IF(G7690=1,"carte","multiple"))</f>
        <v/>
      </c>
    </row>
    <row r="7691">
      <c r="A7691" t="inlineStr">
        <is>
          <t>2023-03-10</t>
        </is>
      </c>
      <c r="B7691" t="inlineStr">
        <is>
          <t>20:00</t>
        </is>
      </c>
      <c r="C7691" t="n">
        <v>3143</v>
      </c>
      <c r="D7691" s="6" t="n">
        <v>2.2</v>
      </c>
      <c r="E7691" t="n">
        <v>45022</v>
      </c>
      <c r="F7691" s="6" t="n">
        <v>2.2</v>
      </c>
      <c r="G7691" t="n">
        <v>1</v>
      </c>
      <c r="H7691" s="6">
        <f>ROUND(G7691*F7691,2)</f>
        <v/>
      </c>
      <c r="I7691">
        <f>IF(ROUND(H7691-D7691,2)=0,1,0)</f>
        <v/>
      </c>
      <c r="J7691">
        <f>IF(F7691="","none",IF(G7691=1,"carte","multiple"))</f>
        <v/>
      </c>
    </row>
    <row r="7692">
      <c r="A7692" t="inlineStr">
        <is>
          <t>2023-03-10</t>
        </is>
      </c>
      <c r="B7692" t="inlineStr">
        <is>
          <t>20:04</t>
        </is>
      </c>
      <c r="C7692" t="n">
        <v>3143</v>
      </c>
      <c r="D7692" s="6" t="n">
        <v>2.4</v>
      </c>
      <c r="E7692" t="n">
        <v>45023</v>
      </c>
      <c r="F7692" s="6" t="n">
        <v>2.4</v>
      </c>
      <c r="G7692" t="n">
        <v>1</v>
      </c>
      <c r="H7692" s="6">
        <f>ROUND(G7692*F7692,2)</f>
        <v/>
      </c>
      <c r="I7692">
        <f>IF(ROUND(H7692-D7692,2)=0,1,0)</f>
        <v/>
      </c>
      <c r="J7692">
        <f>IF(F7692="","none",IF(G7692=1,"carte","multiple"))</f>
        <v/>
      </c>
    </row>
    <row r="7693">
      <c r="A7693" t="inlineStr">
        <is>
          <t>2023-03-10</t>
        </is>
      </c>
      <c r="B7693" t="inlineStr">
        <is>
          <t>20:04</t>
        </is>
      </c>
      <c r="C7693" t="n">
        <v>3143</v>
      </c>
      <c r="D7693" s="6" t="n">
        <v>2.9</v>
      </c>
      <c r="E7693" t="n">
        <v>45024</v>
      </c>
      <c r="F7693" s="6" t="n">
        <v>2.9</v>
      </c>
      <c r="G7693" t="n">
        <v>1</v>
      </c>
      <c r="H7693" s="6">
        <f>ROUND(G7693*F7693,2)</f>
        <v/>
      </c>
      <c r="I7693">
        <f>IF(ROUND(H7693-D7693,2)=0,1,0)</f>
        <v/>
      </c>
      <c r="J7693">
        <f>IF(F7693="","none",IF(G7693=1,"carte","multiple"))</f>
        <v/>
      </c>
    </row>
    <row r="7694">
      <c r="A7694" t="inlineStr">
        <is>
          <t>2023-03-10</t>
        </is>
      </c>
      <c r="B7694" t="inlineStr">
        <is>
          <t>20:04</t>
        </is>
      </c>
      <c r="C7694" t="n">
        <v>3143</v>
      </c>
      <c r="D7694" s="6" t="n">
        <v>5.8</v>
      </c>
      <c r="E7694" t="n">
        <v>45025</v>
      </c>
      <c r="F7694" s="6" t="n">
        <v>5.8</v>
      </c>
      <c r="G7694" t="n">
        <v>1</v>
      </c>
      <c r="H7694" s="6">
        <f>ROUND(G7694*F7694,2)</f>
        <v/>
      </c>
      <c r="I7694">
        <f>IF(ROUND(H7694-D7694,2)=0,1,0)</f>
        <v/>
      </c>
      <c r="J7694">
        <f>IF(F7694="","none",IF(G7694=1,"carte","multiple"))</f>
        <v/>
      </c>
    </row>
    <row r="7695">
      <c r="A7695" t="inlineStr">
        <is>
          <t>2023-03-10</t>
        </is>
      </c>
      <c r="B7695" t="inlineStr">
        <is>
          <t>20:13</t>
        </is>
      </c>
      <c r="C7695" t="n">
        <v>3143</v>
      </c>
      <c r="D7695" s="6" t="n">
        <v>19</v>
      </c>
      <c r="E7695" t="n">
        <v>45026</v>
      </c>
      <c r="F7695" s="6" t="n">
        <v>19</v>
      </c>
      <c r="G7695" t="n">
        <v>1</v>
      </c>
      <c r="H7695" s="6">
        <f>ROUND(G7695*F7695,2)</f>
        <v/>
      </c>
      <c r="I7695">
        <f>IF(ROUND(H7695-D7695,2)=0,1,0)</f>
        <v/>
      </c>
      <c r="J7695">
        <f>IF(F7695="","none",IF(G7695=1,"carte","multiple"))</f>
        <v/>
      </c>
    </row>
    <row r="7696">
      <c r="A7696" t="inlineStr">
        <is>
          <t>2023-03-10</t>
        </is>
      </c>
      <c r="B7696" t="inlineStr">
        <is>
          <t>20:13</t>
        </is>
      </c>
      <c r="C7696" t="n">
        <v>3143</v>
      </c>
      <c r="D7696" s="6" t="n">
        <v>34</v>
      </c>
      <c r="E7696" t="n">
        <v>45027</v>
      </c>
      <c r="F7696" s="6" t="n">
        <v>34</v>
      </c>
      <c r="G7696" t="n">
        <v>1</v>
      </c>
      <c r="H7696" s="6">
        <f>ROUND(G7696*F7696,2)</f>
        <v/>
      </c>
      <c r="I7696">
        <f>IF(ROUND(H7696-D7696,2)=0,1,0)</f>
        <v/>
      </c>
      <c r="J7696">
        <f>IF(F7696="","none",IF(G7696=1,"carte","multiple"))</f>
        <v/>
      </c>
    </row>
    <row r="7697">
      <c r="A7697" t="inlineStr">
        <is>
          <t>2023-03-10</t>
        </is>
      </c>
      <c r="B7697" t="inlineStr">
        <is>
          <t>20:13</t>
        </is>
      </c>
      <c r="C7697" t="n">
        <v>3143</v>
      </c>
      <c r="D7697" s="6" t="n">
        <v>5.9</v>
      </c>
      <c r="E7697" t="n">
        <v>45028</v>
      </c>
      <c r="F7697" s="6" t="n">
        <v>5.9</v>
      </c>
      <c r="G7697" t="n">
        <v>1</v>
      </c>
      <c r="H7697" s="6">
        <f>ROUND(G7697*F7697,2)</f>
        <v/>
      </c>
      <c r="I7697">
        <f>IF(ROUND(H7697-D7697,2)=0,1,0)</f>
        <v/>
      </c>
      <c r="J7697">
        <f>IF(F7697="","none",IF(G7697=1,"carte","multiple"))</f>
        <v/>
      </c>
    </row>
    <row r="7698">
      <c r="A7698" t="inlineStr">
        <is>
          <t>2023-03-10</t>
        </is>
      </c>
      <c r="B7698" t="inlineStr">
        <is>
          <t>20:13</t>
        </is>
      </c>
      <c r="C7698" t="n">
        <v>3143</v>
      </c>
      <c r="D7698" s="6" t="n">
        <v>18.6</v>
      </c>
      <c r="E7698" t="n">
        <v>45029</v>
      </c>
      <c r="F7698" s="6" t="n">
        <v>18.6</v>
      </c>
      <c r="G7698" t="n">
        <v>1</v>
      </c>
      <c r="H7698" s="6">
        <f>ROUND(G7698*F7698,2)</f>
        <v/>
      </c>
      <c r="I7698">
        <f>IF(ROUND(H7698-D7698,2)=0,1,0)</f>
        <v/>
      </c>
      <c r="J7698">
        <f>IF(F7698="","none",IF(G7698=1,"carte","multiple"))</f>
        <v/>
      </c>
    </row>
    <row r="7699">
      <c r="A7699" t="inlineStr">
        <is>
          <t>2023-03-10</t>
        </is>
      </c>
      <c r="B7699" t="inlineStr">
        <is>
          <t>20:39</t>
        </is>
      </c>
      <c r="C7699" t="n">
        <v>3143</v>
      </c>
      <c r="D7699" s="6" t="n">
        <v>1.8</v>
      </c>
      <c r="E7699" t="n">
        <v>45030</v>
      </c>
      <c r="F7699" s="6" t="n">
        <v>1.8</v>
      </c>
      <c r="G7699" t="n">
        <v>1</v>
      </c>
      <c r="H7699" s="6">
        <f>ROUND(G7699*F7699,2)</f>
        <v/>
      </c>
      <c r="I7699">
        <f>IF(ROUND(H7699-D7699,2)=0,1,0)</f>
        <v/>
      </c>
      <c r="J7699">
        <f>IF(F7699="","none",IF(G7699=1,"carte","multiple"))</f>
        <v/>
      </c>
    </row>
    <row r="7700">
      <c r="A7700" t="inlineStr">
        <is>
          <t>2023-03-10</t>
        </is>
      </c>
      <c r="B7700" t="inlineStr">
        <is>
          <t>20:39</t>
        </is>
      </c>
      <c r="C7700" t="n">
        <v>3143</v>
      </c>
      <c r="D7700" s="6" t="n">
        <v>2.9</v>
      </c>
      <c r="E7700" t="n">
        <v>45031</v>
      </c>
      <c r="F7700" s="6" t="n">
        <v>2.9</v>
      </c>
      <c r="G7700" t="n">
        <v>1</v>
      </c>
      <c r="H7700" s="6">
        <f>ROUND(G7700*F7700,2)</f>
        <v/>
      </c>
      <c r="I7700">
        <f>IF(ROUND(H7700-D7700,2)=0,1,0)</f>
        <v/>
      </c>
      <c r="J7700">
        <f>IF(F7700="","none",IF(G7700=1,"carte","multiple"))</f>
        <v/>
      </c>
    </row>
    <row r="7701">
      <c r="A7701" t="inlineStr">
        <is>
          <t>2023-03-11</t>
        </is>
      </c>
      <c r="B7701" t="inlineStr">
        <is>
          <t>11:16</t>
        </is>
      </c>
      <c r="C7701" t="n">
        <v>3144</v>
      </c>
      <c r="D7701" s="6" t="n">
        <v>36</v>
      </c>
      <c r="E7701" t="n">
        <v>45034</v>
      </c>
      <c r="F7701" s="6" t="n">
        <v>36</v>
      </c>
      <c r="G7701" t="n">
        <v>1</v>
      </c>
      <c r="H7701" s="6">
        <f>ROUND(G7701*F7701,2)</f>
        <v/>
      </c>
      <c r="I7701">
        <f>IF(ROUND(H7701-D7701,2)=0,1,0)</f>
        <v/>
      </c>
      <c r="J7701">
        <f>IF(F7701="","none",IF(G7701=1,"carte","multiple"))</f>
        <v/>
      </c>
    </row>
    <row r="7702">
      <c r="A7702" t="inlineStr">
        <is>
          <t>2023-03-11</t>
        </is>
      </c>
      <c r="B7702" t="inlineStr">
        <is>
          <t>11:39</t>
        </is>
      </c>
      <c r="C7702" t="n">
        <v>3144</v>
      </c>
      <c r="D7702" s="6" t="n">
        <v>18.6</v>
      </c>
      <c r="E7702" t="n">
        <v>45035</v>
      </c>
      <c r="F7702" s="6" t="n">
        <v>18.6</v>
      </c>
      <c r="G7702" t="n">
        <v>1</v>
      </c>
      <c r="H7702" s="6">
        <f>ROUND(G7702*F7702,2)</f>
        <v/>
      </c>
      <c r="I7702">
        <f>IF(ROUND(H7702-D7702,2)=0,1,0)</f>
        <v/>
      </c>
      <c r="J7702">
        <f>IF(F7702="","none",IF(G7702=1,"carte","multiple"))</f>
        <v/>
      </c>
    </row>
    <row r="7703">
      <c r="A7703" t="inlineStr">
        <is>
          <t>2023-03-11</t>
        </is>
      </c>
      <c r="B7703" t="inlineStr">
        <is>
          <t>12:23</t>
        </is>
      </c>
      <c r="C7703" t="n">
        <v>3144</v>
      </c>
      <c r="D7703" s="6" t="n">
        <v>6.9</v>
      </c>
      <c r="E7703" t="n">
        <v>45036</v>
      </c>
      <c r="F7703" s="6" t="n">
        <v>6.9</v>
      </c>
      <c r="G7703" t="n">
        <v>1</v>
      </c>
      <c r="H7703" s="6">
        <f>ROUND(G7703*F7703,2)</f>
        <v/>
      </c>
      <c r="I7703">
        <f>IF(ROUND(H7703-D7703,2)=0,1,0)</f>
        <v/>
      </c>
      <c r="J7703">
        <f>IF(F7703="","none",IF(G7703=1,"carte","multiple"))</f>
        <v/>
      </c>
    </row>
    <row r="7704">
      <c r="A7704" t="inlineStr">
        <is>
          <t>2023-03-11</t>
        </is>
      </c>
      <c r="B7704" t="inlineStr">
        <is>
          <t>13:13</t>
        </is>
      </c>
      <c r="C7704" t="n">
        <v>3144</v>
      </c>
      <c r="D7704" s="6" t="n">
        <v>13.4</v>
      </c>
      <c r="E7704" t="n">
        <v>45037</v>
      </c>
      <c r="F7704" s="6" t="n">
        <v>13.4</v>
      </c>
      <c r="G7704" t="n">
        <v>1</v>
      </c>
      <c r="H7704" s="6">
        <f>ROUND(G7704*F7704,2)</f>
        <v/>
      </c>
      <c r="I7704">
        <f>IF(ROUND(H7704-D7704,2)=0,1,0)</f>
        <v/>
      </c>
      <c r="J7704">
        <f>IF(F7704="","none",IF(G7704=1,"carte","multiple"))</f>
        <v/>
      </c>
    </row>
    <row r="7705">
      <c r="A7705" t="inlineStr">
        <is>
          <t>2023-03-11</t>
        </is>
      </c>
      <c r="B7705" t="inlineStr">
        <is>
          <t>13:13</t>
        </is>
      </c>
      <c r="C7705" t="n">
        <v>3144</v>
      </c>
      <c r="D7705" s="6" t="n">
        <v>18.6</v>
      </c>
      <c r="E7705" t="n">
        <v>45038</v>
      </c>
      <c r="F7705" s="6" t="n">
        <v>18.6</v>
      </c>
      <c r="G7705" t="n">
        <v>1</v>
      </c>
      <c r="H7705" s="6">
        <f>ROUND(G7705*F7705,2)</f>
        <v/>
      </c>
      <c r="I7705">
        <f>IF(ROUND(H7705-D7705,2)=0,1,0)</f>
        <v/>
      </c>
      <c r="J7705">
        <f>IF(F7705="","none",IF(G7705=1,"carte","multiple"))</f>
        <v/>
      </c>
    </row>
    <row r="7706">
      <c r="A7706" t="inlineStr">
        <is>
          <t>2023-03-11</t>
        </is>
      </c>
      <c r="B7706" t="inlineStr">
        <is>
          <t>13:13</t>
        </is>
      </c>
      <c r="C7706" t="n">
        <v>3144</v>
      </c>
      <c r="D7706" s="6" t="n">
        <v>21.6</v>
      </c>
      <c r="E7706" t="n">
        <v>45039</v>
      </c>
      <c r="F7706" s="6" t="n">
        <v>21.6</v>
      </c>
      <c r="G7706" t="n">
        <v>1</v>
      </c>
      <c r="H7706" s="6">
        <f>ROUND(G7706*F7706,2)</f>
        <v/>
      </c>
      <c r="I7706">
        <f>IF(ROUND(H7706-D7706,2)=0,1,0)</f>
        <v/>
      </c>
      <c r="J7706">
        <f>IF(F7706="","none",IF(G7706=1,"carte","multiple"))</f>
        <v/>
      </c>
    </row>
    <row r="7707">
      <c r="A7707" t="inlineStr">
        <is>
          <t>2023-03-11</t>
        </is>
      </c>
      <c r="B7707" t="inlineStr">
        <is>
          <t>13:13</t>
        </is>
      </c>
      <c r="C7707" t="n">
        <v>3144</v>
      </c>
      <c r="D7707" s="6" t="n">
        <v>18.6</v>
      </c>
      <c r="E7707" t="n">
        <v>45040</v>
      </c>
      <c r="F7707" s="6" t="n">
        <v>18.6</v>
      </c>
      <c r="G7707" t="n">
        <v>1</v>
      </c>
      <c r="H7707" s="6">
        <f>ROUND(G7707*F7707,2)</f>
        <v/>
      </c>
      <c r="I7707">
        <f>IF(ROUND(H7707-D7707,2)=0,1,0)</f>
        <v/>
      </c>
      <c r="J7707">
        <f>IF(F7707="","none",IF(G7707=1,"carte","multiple"))</f>
        <v/>
      </c>
    </row>
    <row r="7708">
      <c r="A7708" t="inlineStr">
        <is>
          <t>2023-03-11</t>
        </is>
      </c>
      <c r="B7708" t="inlineStr">
        <is>
          <t>13:13</t>
        </is>
      </c>
      <c r="C7708" t="n">
        <v>3144</v>
      </c>
      <c r="D7708" s="6" t="n">
        <v>10.9</v>
      </c>
      <c r="E7708" t="n">
        <v>45041</v>
      </c>
      <c r="F7708" s="6" t="n">
        <v>10.9</v>
      </c>
      <c r="G7708" t="n">
        <v>1</v>
      </c>
      <c r="H7708" s="6">
        <f>ROUND(G7708*F7708,2)</f>
        <v/>
      </c>
      <c r="I7708">
        <f>IF(ROUND(H7708-D7708,2)=0,1,0)</f>
        <v/>
      </c>
      <c r="J7708">
        <f>IF(F7708="","none",IF(G7708=1,"carte","multiple"))</f>
        <v/>
      </c>
    </row>
    <row r="7709">
      <c r="A7709" t="inlineStr">
        <is>
          <t>2023-03-11</t>
        </is>
      </c>
      <c r="B7709" t="inlineStr">
        <is>
          <t>13:13</t>
        </is>
      </c>
      <c r="C7709" t="n">
        <v>3144</v>
      </c>
      <c r="D7709" s="6" t="n">
        <v>9.6</v>
      </c>
      <c r="E7709" t="n">
        <v>45042</v>
      </c>
      <c r="F7709" s="6" t="n">
        <v>9.6</v>
      </c>
      <c r="G7709" t="n">
        <v>1</v>
      </c>
      <c r="H7709" s="6">
        <f>ROUND(G7709*F7709,2)</f>
        <v/>
      </c>
      <c r="I7709">
        <f>IF(ROUND(H7709-D7709,2)=0,1,0)</f>
        <v/>
      </c>
      <c r="J7709">
        <f>IF(F7709="","none",IF(G7709=1,"carte","multiple"))</f>
        <v/>
      </c>
    </row>
    <row r="7710">
      <c r="A7710" t="inlineStr">
        <is>
          <t>2023-03-11</t>
        </is>
      </c>
      <c r="B7710" t="inlineStr">
        <is>
          <t>13:13</t>
        </is>
      </c>
      <c r="C7710" t="n">
        <v>3144</v>
      </c>
      <c r="D7710" s="6" t="n">
        <v>7.2</v>
      </c>
      <c r="E7710" t="n">
        <v>45043</v>
      </c>
      <c r="F7710" s="6" t="n">
        <v>7.2</v>
      </c>
      <c r="G7710" t="n">
        <v>1</v>
      </c>
      <c r="H7710" s="6">
        <f>ROUND(G7710*F7710,2)</f>
        <v/>
      </c>
      <c r="I7710">
        <f>IF(ROUND(H7710-D7710,2)=0,1,0)</f>
        <v/>
      </c>
      <c r="J7710">
        <f>IF(F7710="","none",IF(G7710=1,"carte","multiple"))</f>
        <v/>
      </c>
    </row>
    <row r="7711">
      <c r="A7711" t="inlineStr">
        <is>
          <t>2023-03-11</t>
        </is>
      </c>
      <c r="B7711" t="inlineStr">
        <is>
          <t>13:13</t>
        </is>
      </c>
      <c r="C7711" t="n">
        <v>3144</v>
      </c>
      <c r="D7711" s="6" t="n">
        <v>34</v>
      </c>
      <c r="E7711" t="n">
        <v>45044</v>
      </c>
      <c r="F7711" s="6" t="n">
        <v>34</v>
      </c>
      <c r="G7711" t="n">
        <v>1</v>
      </c>
      <c r="H7711" s="6">
        <f>ROUND(G7711*F7711,2)</f>
        <v/>
      </c>
      <c r="I7711">
        <f>IF(ROUND(H7711-D7711,2)=0,1,0)</f>
        <v/>
      </c>
      <c r="J7711">
        <f>IF(F7711="","none",IF(G7711=1,"carte","multiple"))</f>
        <v/>
      </c>
    </row>
    <row r="7712">
      <c r="A7712" t="inlineStr">
        <is>
          <t>2023-03-11</t>
        </is>
      </c>
      <c r="B7712" t="inlineStr">
        <is>
          <t>13:13</t>
        </is>
      </c>
      <c r="C7712" t="n">
        <v>3144</v>
      </c>
      <c r="D7712" s="6" t="n">
        <v>5.2</v>
      </c>
      <c r="E7712" t="n">
        <v>45045</v>
      </c>
      <c r="F7712" s="6" t="n">
        <v>5.2</v>
      </c>
      <c r="G7712" t="n">
        <v>1</v>
      </c>
      <c r="H7712" s="6">
        <f>ROUND(G7712*F7712,2)</f>
        <v/>
      </c>
      <c r="I7712">
        <f>IF(ROUND(H7712-D7712,2)=0,1,0)</f>
        <v/>
      </c>
      <c r="J7712">
        <f>IF(F7712="","none",IF(G7712=1,"carte","multiple"))</f>
        <v/>
      </c>
    </row>
    <row r="7713">
      <c r="A7713" t="inlineStr">
        <is>
          <t>2023-03-11</t>
        </is>
      </c>
      <c r="B7713" t="inlineStr">
        <is>
          <t>13:13</t>
        </is>
      </c>
      <c r="C7713" t="n">
        <v>3144</v>
      </c>
      <c r="D7713" s="6" t="n">
        <v>5.2</v>
      </c>
      <c r="E7713" t="n">
        <v>45046</v>
      </c>
      <c r="F7713" s="6" t="n">
        <v>5.2</v>
      </c>
      <c r="G7713" t="n">
        <v>1</v>
      </c>
      <c r="H7713" s="6">
        <f>ROUND(G7713*F7713,2)</f>
        <v/>
      </c>
      <c r="I7713">
        <f>IF(ROUND(H7713-D7713,2)=0,1,0)</f>
        <v/>
      </c>
      <c r="J7713">
        <f>IF(F7713="","none",IF(G7713=1,"carte","multiple"))</f>
        <v/>
      </c>
    </row>
    <row r="7714">
      <c r="A7714" t="inlineStr">
        <is>
          <t>2023-03-11</t>
        </is>
      </c>
      <c r="B7714" t="inlineStr">
        <is>
          <t>13:13</t>
        </is>
      </c>
      <c r="C7714" t="n">
        <v>3144</v>
      </c>
      <c r="D7714" s="6" t="n">
        <v>9.800000000000001</v>
      </c>
      <c r="E7714" t="n">
        <v>45047</v>
      </c>
      <c r="F7714" s="6" t="n">
        <v>9.800000000000001</v>
      </c>
      <c r="G7714" t="n">
        <v>1</v>
      </c>
      <c r="H7714" s="6">
        <f>ROUND(G7714*F7714,2)</f>
        <v/>
      </c>
      <c r="I7714">
        <f>IF(ROUND(H7714-D7714,2)=0,1,0)</f>
        <v/>
      </c>
      <c r="J7714">
        <f>IF(F7714="","none",IF(G7714=1,"carte","multiple"))</f>
        <v/>
      </c>
    </row>
    <row r="7715">
      <c r="A7715" t="inlineStr">
        <is>
          <t>2023-03-11</t>
        </is>
      </c>
      <c r="B7715" t="inlineStr">
        <is>
          <t>19:50</t>
        </is>
      </c>
      <c r="C7715" t="n">
        <v>3144</v>
      </c>
      <c r="D7715" s="6" t="n">
        <v>16.88</v>
      </c>
      <c r="E7715" t="n">
        <v>45049</v>
      </c>
      <c r="H7715" t="inlineStr"/>
      <c r="I7715" t="inlineStr"/>
      <c r="J7715">
        <f>IF(F7715="","none",IF(G7715=1,"carte","multiple"))</f>
        <v/>
      </c>
    </row>
    <row r="7716">
      <c r="A7716" t="inlineStr">
        <is>
          <t>2023-03-11</t>
        </is>
      </c>
      <c r="B7716" t="inlineStr">
        <is>
          <t>19:50</t>
        </is>
      </c>
      <c r="C7716" t="n">
        <v>3144</v>
      </c>
      <c r="D7716" s="6" t="n">
        <v>2.93</v>
      </c>
      <c r="E7716" t="n">
        <v>45050</v>
      </c>
      <c r="H7716" t="inlineStr"/>
      <c r="I7716" t="inlineStr"/>
      <c r="J7716">
        <f>IF(F7716="","none",IF(G7716=1,"carte","multiple"))</f>
        <v/>
      </c>
    </row>
    <row r="7717">
      <c r="A7717" t="inlineStr">
        <is>
          <t>2023-03-11</t>
        </is>
      </c>
      <c r="B7717" t="inlineStr">
        <is>
          <t>19:50</t>
        </is>
      </c>
      <c r="C7717" t="n">
        <v>3144</v>
      </c>
      <c r="D7717" s="6" t="n">
        <v>1.95</v>
      </c>
      <c r="E7717" t="n">
        <v>45051</v>
      </c>
      <c r="H7717" t="inlineStr"/>
      <c r="I7717" t="inlineStr"/>
      <c r="J7717">
        <f>IF(F7717="","none",IF(G7717=1,"carte","multiple"))</f>
        <v/>
      </c>
    </row>
    <row r="7718">
      <c r="A7718" t="inlineStr">
        <is>
          <t>2023-03-11</t>
        </is>
      </c>
      <c r="B7718" t="inlineStr">
        <is>
          <t>19:50</t>
        </is>
      </c>
      <c r="C7718" t="n">
        <v>3144</v>
      </c>
      <c r="D7718" s="6" t="n">
        <v>2.93</v>
      </c>
      <c r="E7718" t="n">
        <v>45052</v>
      </c>
      <c r="H7718" t="inlineStr"/>
      <c r="I7718" t="inlineStr"/>
      <c r="J7718">
        <f>IF(F7718="","none",IF(G7718=1,"carte","multiple"))</f>
        <v/>
      </c>
    </row>
    <row r="7719">
      <c r="A7719" t="inlineStr">
        <is>
          <t>2023-03-11</t>
        </is>
      </c>
      <c r="B7719" t="inlineStr">
        <is>
          <t>19:50</t>
        </is>
      </c>
      <c r="C7719" t="n">
        <v>3144</v>
      </c>
      <c r="D7719" s="6" t="n">
        <v>7.48</v>
      </c>
      <c r="E7719" t="n">
        <v>45053</v>
      </c>
      <c r="H7719" t="inlineStr"/>
      <c r="I7719" t="inlineStr"/>
      <c r="J7719">
        <f>IF(F7719="","none",IF(G7719=1,"carte","multiple"))</f>
        <v/>
      </c>
    </row>
    <row r="7720">
      <c r="A7720" t="inlineStr">
        <is>
          <t>2023-03-11</t>
        </is>
      </c>
      <c r="B7720" t="inlineStr">
        <is>
          <t>19:50</t>
        </is>
      </c>
      <c r="C7720" t="n">
        <v>3144</v>
      </c>
      <c r="D7720" s="6" t="n">
        <v>1.28</v>
      </c>
      <c r="E7720" t="n">
        <v>45054</v>
      </c>
      <c r="H7720" t="inlineStr"/>
      <c r="I7720" t="inlineStr"/>
      <c r="J7720">
        <f>IF(F7720="","none",IF(G7720=1,"carte","multiple"))</f>
        <v/>
      </c>
    </row>
    <row r="7721">
      <c r="A7721" t="inlineStr">
        <is>
          <t>2023-03-11</t>
        </is>
      </c>
      <c r="B7721" t="inlineStr">
        <is>
          <t>19:50</t>
        </is>
      </c>
      <c r="C7721" t="n">
        <v>3144</v>
      </c>
      <c r="D7721" s="6" t="n">
        <v>0.58</v>
      </c>
      <c r="E7721" t="n">
        <v>45055</v>
      </c>
      <c r="H7721" t="inlineStr"/>
      <c r="I7721" t="inlineStr"/>
      <c r="J7721">
        <f>IF(F7721="","none",IF(G7721=1,"carte","multiple"))</f>
        <v/>
      </c>
    </row>
    <row r="7722">
      <c r="A7722" t="inlineStr">
        <is>
          <t>2023-03-11</t>
        </is>
      </c>
      <c r="B7722" t="inlineStr">
        <is>
          <t>19:50</t>
        </is>
      </c>
      <c r="C7722" t="n">
        <v>3144</v>
      </c>
      <c r="D7722" s="6" t="n">
        <v>2.77</v>
      </c>
      <c r="E7722" t="n">
        <v>45056</v>
      </c>
      <c r="H7722" t="inlineStr"/>
      <c r="I7722" t="inlineStr"/>
      <c r="J7722">
        <f>IF(F7722="","none",IF(G7722=1,"carte","multiple"))</f>
        <v/>
      </c>
    </row>
    <row r="7723">
      <c r="A7723" t="inlineStr">
        <is>
          <t>2023-03-11</t>
        </is>
      </c>
      <c r="B7723" t="inlineStr">
        <is>
          <t>20:02</t>
        </is>
      </c>
      <c r="C7723" t="n">
        <v>3144</v>
      </c>
      <c r="D7723" s="6" t="n">
        <v>6.57</v>
      </c>
      <c r="E7723" t="n">
        <v>45057</v>
      </c>
      <c r="H7723" t="inlineStr"/>
      <c r="I7723" t="inlineStr"/>
      <c r="J7723">
        <f>IF(F7723="","none",IF(G7723=1,"carte","multiple"))</f>
        <v/>
      </c>
    </row>
    <row r="7724">
      <c r="A7724" t="inlineStr">
        <is>
          <t>2023-03-11</t>
        </is>
      </c>
      <c r="B7724" t="inlineStr">
        <is>
          <t>20:02</t>
        </is>
      </c>
      <c r="C7724" t="n">
        <v>3144</v>
      </c>
      <c r="D7724" s="6" t="n">
        <v>6.14</v>
      </c>
      <c r="E7724" t="n">
        <v>45058</v>
      </c>
      <c r="H7724" t="inlineStr"/>
      <c r="I7724" t="inlineStr"/>
      <c r="J7724">
        <f>IF(F7724="","none",IF(G7724=1,"carte","multiple"))</f>
        <v/>
      </c>
    </row>
    <row r="7725">
      <c r="A7725" t="inlineStr">
        <is>
          <t>2023-03-11</t>
        </is>
      </c>
      <c r="B7725" t="inlineStr">
        <is>
          <t>20:02</t>
        </is>
      </c>
      <c r="C7725" t="n">
        <v>3144</v>
      </c>
      <c r="D7725" s="6" t="n">
        <v>6.13</v>
      </c>
      <c r="E7725" t="n">
        <v>45059</v>
      </c>
      <c r="H7725" t="inlineStr"/>
      <c r="I7725" t="inlineStr"/>
      <c r="J7725">
        <f>IF(F7725="","none",IF(G7725=1,"carte","multiple"))</f>
        <v/>
      </c>
    </row>
    <row r="7726">
      <c r="A7726" t="inlineStr">
        <is>
          <t>2023-03-11</t>
        </is>
      </c>
      <c r="B7726" t="inlineStr">
        <is>
          <t>20:02</t>
        </is>
      </c>
      <c r="C7726" t="n">
        <v>3144</v>
      </c>
      <c r="D7726" s="6" t="n">
        <v>2.97</v>
      </c>
      <c r="E7726" t="n">
        <v>45060</v>
      </c>
      <c r="H7726" t="inlineStr"/>
      <c r="I7726" t="inlineStr"/>
      <c r="J7726">
        <f>IF(F7726="","none",IF(G7726=1,"carte","multiple"))</f>
        <v/>
      </c>
    </row>
    <row r="7727">
      <c r="A7727" t="inlineStr">
        <is>
          <t>2023-03-11</t>
        </is>
      </c>
      <c r="B7727" t="inlineStr">
        <is>
          <t>20:02</t>
        </is>
      </c>
      <c r="C7727" t="n">
        <v>3144</v>
      </c>
      <c r="D7727" s="6" t="n">
        <v>2.96</v>
      </c>
      <c r="E7727" t="n">
        <v>45061</v>
      </c>
      <c r="H7727" t="inlineStr"/>
      <c r="I7727" t="inlineStr"/>
      <c r="J7727">
        <f>IF(F7727="","none",IF(G7727=1,"carte","multiple"))</f>
        <v/>
      </c>
    </row>
    <row r="7728">
      <c r="A7728" t="inlineStr">
        <is>
          <t>2023-03-11</t>
        </is>
      </c>
      <c r="B7728" t="inlineStr">
        <is>
          <t>20:02</t>
        </is>
      </c>
      <c r="C7728" t="n">
        <v>3144</v>
      </c>
      <c r="D7728" s="6" t="n">
        <v>1.29</v>
      </c>
      <c r="E7728" t="n">
        <v>45062</v>
      </c>
      <c r="H7728" t="inlineStr"/>
      <c r="I7728" t="inlineStr"/>
      <c r="J7728">
        <f>IF(F7728="","none",IF(G7728=1,"carte","multiple"))</f>
        <v/>
      </c>
    </row>
    <row r="7729">
      <c r="A7729" t="inlineStr">
        <is>
          <t>2023-03-11</t>
        </is>
      </c>
      <c r="B7729" t="inlineStr">
        <is>
          <t>20:02</t>
        </is>
      </c>
      <c r="C7729" t="n">
        <v>3144</v>
      </c>
      <c r="D7729" s="6" t="n">
        <v>1.85</v>
      </c>
      <c r="E7729" t="n">
        <v>45063</v>
      </c>
      <c r="H7729" t="inlineStr"/>
      <c r="I7729" t="inlineStr"/>
      <c r="J7729">
        <f>IF(F7729="","none",IF(G7729=1,"carte","multiple"))</f>
        <v/>
      </c>
    </row>
    <row r="7730">
      <c r="A7730" t="inlineStr">
        <is>
          <t>2023-03-11</t>
        </is>
      </c>
      <c r="B7730" t="inlineStr">
        <is>
          <t>20:02</t>
        </is>
      </c>
      <c r="C7730" t="n">
        <v>3144</v>
      </c>
      <c r="D7730" s="6" t="n">
        <v>5.72</v>
      </c>
      <c r="E7730" t="n">
        <v>45064</v>
      </c>
      <c r="H7730" t="inlineStr"/>
      <c r="I7730" t="inlineStr"/>
      <c r="J7730">
        <f>IF(F7730="","none",IF(G7730=1,"carte","multiple"))</f>
        <v/>
      </c>
    </row>
    <row r="7731">
      <c r="A7731" t="inlineStr">
        <is>
          <t>2023-03-11</t>
        </is>
      </c>
      <c r="B7731" t="inlineStr">
        <is>
          <t>20:06</t>
        </is>
      </c>
      <c r="C7731" t="n">
        <v>3144</v>
      </c>
      <c r="D7731" s="6" t="n">
        <v>13.9</v>
      </c>
      <c r="E7731" t="n">
        <v>45065</v>
      </c>
      <c r="F7731" s="6" t="n">
        <v>13.9</v>
      </c>
      <c r="G7731" t="n">
        <v>1</v>
      </c>
      <c r="H7731" s="6">
        <f>ROUND(G7731*F7731,2)</f>
        <v/>
      </c>
      <c r="I7731">
        <f>IF(ROUND(H7731-D7731,2)=0,1,0)</f>
        <v/>
      </c>
      <c r="J7731">
        <f>IF(F7731="","none",IF(G7731=1,"carte","multiple"))</f>
        <v/>
      </c>
    </row>
    <row r="7732">
      <c r="A7732" t="inlineStr">
        <is>
          <t>2023-03-11</t>
        </is>
      </c>
      <c r="B7732" t="inlineStr">
        <is>
          <t>20:06</t>
        </is>
      </c>
      <c r="C7732" t="n">
        <v>3144</v>
      </c>
      <c r="D7732" s="6" t="n">
        <v>16.9</v>
      </c>
      <c r="E7732" t="n">
        <v>45066</v>
      </c>
      <c r="F7732" s="6" t="n">
        <v>16.9</v>
      </c>
      <c r="G7732" t="n">
        <v>1</v>
      </c>
      <c r="H7732" s="6">
        <f>ROUND(G7732*F7732,2)</f>
        <v/>
      </c>
      <c r="I7732">
        <f>IF(ROUND(H7732-D7732,2)=0,1,0)</f>
        <v/>
      </c>
      <c r="J7732">
        <f>IF(F7732="","none",IF(G7732=1,"carte","multiple"))</f>
        <v/>
      </c>
    </row>
    <row r="7733">
      <c r="A7733" t="inlineStr">
        <is>
          <t>2023-03-11</t>
        </is>
      </c>
      <c r="B7733" t="inlineStr">
        <is>
          <t>20:06</t>
        </is>
      </c>
      <c r="C7733" t="n">
        <v>3144</v>
      </c>
      <c r="D7733" s="6" t="n">
        <v>7.2</v>
      </c>
      <c r="E7733" t="n">
        <v>45067</v>
      </c>
      <c r="F7733" s="6" t="n">
        <v>7.2</v>
      </c>
      <c r="G7733" t="n">
        <v>1</v>
      </c>
      <c r="H7733" s="6">
        <f>ROUND(G7733*F7733,2)</f>
        <v/>
      </c>
      <c r="I7733">
        <f>IF(ROUND(H7733-D7733,2)=0,1,0)</f>
        <v/>
      </c>
      <c r="J7733">
        <f>IF(F7733="","none",IF(G7733=1,"carte","multiple"))</f>
        <v/>
      </c>
    </row>
    <row r="7734">
      <c r="A7734" t="inlineStr">
        <is>
          <t>2023-03-11</t>
        </is>
      </c>
      <c r="B7734" t="inlineStr">
        <is>
          <t>20:06</t>
        </is>
      </c>
      <c r="C7734" t="n">
        <v>3144</v>
      </c>
      <c r="D7734" s="6" t="n">
        <v>17</v>
      </c>
      <c r="E7734" t="n">
        <v>45068</v>
      </c>
      <c r="F7734" s="6" t="n">
        <v>17</v>
      </c>
      <c r="G7734" t="n">
        <v>1</v>
      </c>
      <c r="H7734" s="6">
        <f>ROUND(G7734*F7734,2)</f>
        <v/>
      </c>
      <c r="I7734">
        <f>IF(ROUND(H7734-D7734,2)=0,1,0)</f>
        <v/>
      </c>
      <c r="J7734">
        <f>IF(F7734="","none",IF(G7734=1,"carte","multiple"))</f>
        <v/>
      </c>
    </row>
    <row r="7735">
      <c r="A7735" t="inlineStr">
        <is>
          <t>2023-03-11</t>
        </is>
      </c>
      <c r="B7735" t="inlineStr">
        <is>
          <t>20:06</t>
        </is>
      </c>
      <c r="C7735" t="n">
        <v>3144</v>
      </c>
      <c r="D7735" s="6" t="n">
        <v>4</v>
      </c>
      <c r="E7735" t="n">
        <v>45069</v>
      </c>
      <c r="F7735" s="6" t="n">
        <v>4</v>
      </c>
      <c r="G7735" t="n">
        <v>1</v>
      </c>
      <c r="H7735" s="6">
        <f>ROUND(G7735*F7735,2)</f>
        <v/>
      </c>
      <c r="I7735">
        <f>IF(ROUND(H7735-D7735,2)=0,1,0)</f>
        <v/>
      </c>
      <c r="J7735">
        <f>IF(F7735="","none",IF(G7735=1,"carte","multiple"))</f>
        <v/>
      </c>
    </row>
    <row r="7736">
      <c r="A7736" t="inlineStr">
        <is>
          <t>2023-03-11</t>
        </is>
      </c>
      <c r="B7736" t="inlineStr">
        <is>
          <t>20:06</t>
        </is>
      </c>
      <c r="C7736" t="n">
        <v>3144</v>
      </c>
      <c r="D7736" s="6" t="n">
        <v>4.9</v>
      </c>
      <c r="E7736" t="n">
        <v>45070</v>
      </c>
      <c r="F7736" s="6" t="n">
        <v>4.9</v>
      </c>
      <c r="G7736" t="n">
        <v>1</v>
      </c>
      <c r="H7736" s="6">
        <f>ROUND(G7736*F7736,2)</f>
        <v/>
      </c>
      <c r="I7736">
        <f>IF(ROUND(H7736-D7736,2)=0,1,0)</f>
        <v/>
      </c>
      <c r="J7736">
        <f>IF(F7736="","none",IF(G7736=1,"carte","multiple"))</f>
        <v/>
      </c>
    </row>
    <row r="7737">
      <c r="A7737" t="inlineStr">
        <is>
          <t>2023-03-11</t>
        </is>
      </c>
      <c r="B7737" t="inlineStr">
        <is>
          <t>20:06</t>
        </is>
      </c>
      <c r="C7737" t="n">
        <v>3144</v>
      </c>
      <c r="D7737" s="6" t="n">
        <v>9</v>
      </c>
      <c r="E7737" t="n">
        <v>45071</v>
      </c>
      <c r="F7737" s="6" t="n">
        <v>9</v>
      </c>
      <c r="G7737" t="n">
        <v>1</v>
      </c>
      <c r="H7737" s="6">
        <f>ROUND(G7737*F7737,2)</f>
        <v/>
      </c>
      <c r="I7737">
        <f>IF(ROUND(H7737-D7737,2)=0,1,0)</f>
        <v/>
      </c>
      <c r="J7737">
        <f>IF(F7737="","none",IF(G7737=1,"carte","multiple"))</f>
        <v/>
      </c>
    </row>
    <row r="7738">
      <c r="A7738" t="inlineStr">
        <is>
          <t>2023-03-11</t>
        </is>
      </c>
      <c r="B7738" t="inlineStr">
        <is>
          <t>20:06</t>
        </is>
      </c>
      <c r="C7738" t="n">
        <v>3144</v>
      </c>
      <c r="D7738" s="6" t="n">
        <v>36</v>
      </c>
      <c r="E7738" t="n">
        <v>45072</v>
      </c>
      <c r="F7738" s="6" t="n">
        <v>36</v>
      </c>
      <c r="G7738" t="n">
        <v>1</v>
      </c>
      <c r="H7738" s="6">
        <f>ROUND(G7738*F7738,2)</f>
        <v/>
      </c>
      <c r="I7738">
        <f>IF(ROUND(H7738-D7738,2)=0,1,0)</f>
        <v/>
      </c>
      <c r="J7738">
        <f>IF(F7738="","none",IF(G7738=1,"carte","multiple"))</f>
        <v/>
      </c>
    </row>
    <row r="7739">
      <c r="A7739" t="inlineStr">
        <is>
          <t>2023-03-11</t>
        </is>
      </c>
      <c r="B7739" t="inlineStr">
        <is>
          <t>20:06</t>
        </is>
      </c>
      <c r="C7739" t="n">
        <v>3144</v>
      </c>
      <c r="D7739" s="6" t="n">
        <v>7</v>
      </c>
      <c r="E7739" t="n">
        <v>45073</v>
      </c>
      <c r="F7739" s="6" t="n">
        <v>7</v>
      </c>
      <c r="G7739" t="n">
        <v>1</v>
      </c>
      <c r="H7739" s="6">
        <f>ROUND(G7739*F7739,2)</f>
        <v/>
      </c>
      <c r="I7739">
        <f>IF(ROUND(H7739-D7739,2)=0,1,0)</f>
        <v/>
      </c>
      <c r="J7739">
        <f>IF(F7739="","none",IF(G7739=1,"carte","multiple"))</f>
        <v/>
      </c>
    </row>
    <row r="7740">
      <c r="A7740" t="inlineStr">
        <is>
          <t>2023-03-11</t>
        </is>
      </c>
      <c r="B7740" t="inlineStr">
        <is>
          <t>20:06</t>
        </is>
      </c>
      <c r="C7740" t="n">
        <v>3144</v>
      </c>
      <c r="D7740" s="6" t="n">
        <v>6.9</v>
      </c>
      <c r="E7740" t="n">
        <v>45074</v>
      </c>
      <c r="F7740" s="6" t="n">
        <v>6.9</v>
      </c>
      <c r="G7740" t="n">
        <v>1</v>
      </c>
      <c r="H7740" s="6">
        <f>ROUND(G7740*F7740,2)</f>
        <v/>
      </c>
      <c r="I7740">
        <f>IF(ROUND(H7740-D7740,2)=0,1,0)</f>
        <v/>
      </c>
      <c r="J7740">
        <f>IF(F7740="","none",IF(G7740=1,"carte","multiple"))</f>
        <v/>
      </c>
    </row>
    <row r="7741">
      <c r="A7741" t="inlineStr">
        <is>
          <t>2023-03-11</t>
        </is>
      </c>
      <c r="B7741" t="inlineStr">
        <is>
          <t>20:06</t>
        </is>
      </c>
      <c r="C7741" t="n">
        <v>3144</v>
      </c>
      <c r="D7741" s="6" t="n">
        <v>4.4</v>
      </c>
      <c r="E7741" t="n">
        <v>45075</v>
      </c>
      <c r="F7741" s="6" t="n">
        <v>0.4</v>
      </c>
      <c r="G7741" t="n">
        <v>11</v>
      </c>
      <c r="H7741" s="6">
        <f>ROUND(G7741*F7741,2)</f>
        <v/>
      </c>
      <c r="I7741">
        <f>IF(ROUND(H7741-D7741,2)=0,1,0)</f>
        <v/>
      </c>
      <c r="J7741">
        <f>IF(F7741="","none",IF(G7741=1,"carte","multiple"))</f>
        <v/>
      </c>
    </row>
    <row r="7742">
      <c r="A7742" t="inlineStr">
        <is>
          <t>2023-03-11</t>
        </is>
      </c>
      <c r="B7742" t="inlineStr">
        <is>
          <t>20:10</t>
        </is>
      </c>
      <c r="C7742" t="n">
        <v>3144</v>
      </c>
      <c r="D7742" s="6" t="n">
        <v>34</v>
      </c>
      <c r="E7742" t="n">
        <v>45076</v>
      </c>
      <c r="F7742" s="6" t="n">
        <v>34</v>
      </c>
      <c r="G7742" t="n">
        <v>1</v>
      </c>
      <c r="H7742" s="6">
        <f>ROUND(G7742*F7742,2)</f>
        <v/>
      </c>
      <c r="I7742">
        <f>IF(ROUND(H7742-D7742,2)=0,1,0)</f>
        <v/>
      </c>
      <c r="J7742">
        <f>IF(F7742="","none",IF(G7742=1,"carte","multiple"))</f>
        <v/>
      </c>
    </row>
    <row r="7743">
      <c r="A7743" t="inlineStr">
        <is>
          <t>2023-03-11</t>
        </is>
      </c>
      <c r="B7743" t="inlineStr">
        <is>
          <t>20:11</t>
        </is>
      </c>
      <c r="C7743" t="n">
        <v>3144</v>
      </c>
      <c r="D7743" s="6" t="n">
        <v>4.2</v>
      </c>
      <c r="E7743" t="n">
        <v>45077</v>
      </c>
      <c r="F7743" s="6" t="n">
        <v>4.2</v>
      </c>
      <c r="G7743" t="n">
        <v>1</v>
      </c>
      <c r="H7743" s="6">
        <f>ROUND(G7743*F7743,2)</f>
        <v/>
      </c>
      <c r="I7743">
        <f>IF(ROUND(H7743-D7743,2)=0,1,0)</f>
        <v/>
      </c>
      <c r="J7743">
        <f>IF(F7743="","none",IF(G7743=1,"carte","multiple"))</f>
        <v/>
      </c>
    </row>
    <row r="7744">
      <c r="A7744" t="inlineStr">
        <is>
          <t>2023-03-11</t>
        </is>
      </c>
      <c r="B7744" t="inlineStr">
        <is>
          <t>20:18</t>
        </is>
      </c>
      <c r="C7744" t="n">
        <v>3144</v>
      </c>
      <c r="D7744" s="6" t="n">
        <v>16</v>
      </c>
      <c r="E7744" t="n">
        <v>45078</v>
      </c>
      <c r="F7744" s="6" t="n">
        <v>16</v>
      </c>
      <c r="G7744" t="n">
        <v>1</v>
      </c>
      <c r="H7744" s="6">
        <f>ROUND(G7744*F7744,2)</f>
        <v/>
      </c>
      <c r="I7744">
        <f>IF(ROUND(H7744-D7744,2)=0,1,0)</f>
        <v/>
      </c>
      <c r="J7744">
        <f>IF(F7744="","none",IF(G7744=1,"carte","multiple"))</f>
        <v/>
      </c>
    </row>
    <row r="7745">
      <c r="A7745" t="inlineStr">
        <is>
          <t>2023-03-11</t>
        </is>
      </c>
      <c r="B7745" t="inlineStr">
        <is>
          <t>20:18</t>
        </is>
      </c>
      <c r="C7745" t="n">
        <v>3144</v>
      </c>
      <c r="D7745" s="6" t="n">
        <v>25</v>
      </c>
      <c r="E7745" t="n">
        <v>45079</v>
      </c>
      <c r="F7745" s="6" t="n">
        <v>25</v>
      </c>
      <c r="G7745" t="n">
        <v>1</v>
      </c>
      <c r="H7745" s="6">
        <f>ROUND(G7745*F7745,2)</f>
        <v/>
      </c>
      <c r="I7745">
        <f>IF(ROUND(H7745-D7745,2)=0,1,0)</f>
        <v/>
      </c>
      <c r="J7745">
        <f>IF(F7745="","none",IF(G7745=1,"carte","multiple"))</f>
        <v/>
      </c>
    </row>
    <row r="7746">
      <c r="A7746" t="inlineStr">
        <is>
          <t>2023-03-11</t>
        </is>
      </c>
      <c r="B7746" t="inlineStr">
        <is>
          <t>20:18</t>
        </is>
      </c>
      <c r="C7746" t="n">
        <v>3144</v>
      </c>
      <c r="D7746" s="6" t="n">
        <v>18.6</v>
      </c>
      <c r="E7746" t="n">
        <v>45080</v>
      </c>
      <c r="F7746" s="6" t="n">
        <v>18.6</v>
      </c>
      <c r="G7746" t="n">
        <v>1</v>
      </c>
      <c r="H7746" s="6">
        <f>ROUND(G7746*F7746,2)</f>
        <v/>
      </c>
      <c r="I7746">
        <f>IF(ROUND(H7746-D7746,2)=0,1,0)</f>
        <v/>
      </c>
      <c r="J7746">
        <f>IF(F7746="","none",IF(G7746=1,"carte","multiple"))</f>
        <v/>
      </c>
    </row>
    <row r="7747">
      <c r="A7747" t="inlineStr">
        <is>
          <t>2023-03-11</t>
        </is>
      </c>
      <c r="B7747" t="inlineStr">
        <is>
          <t>20:18</t>
        </is>
      </c>
      <c r="C7747" t="n">
        <v>3144</v>
      </c>
      <c r="D7747" s="6" t="n">
        <v>11.7</v>
      </c>
      <c r="E7747" t="n">
        <v>45081</v>
      </c>
      <c r="F7747" s="6" t="n">
        <v>0.9</v>
      </c>
      <c r="G7747" t="n">
        <v>13</v>
      </c>
      <c r="H7747" s="6">
        <f>ROUND(G7747*F7747,2)</f>
        <v/>
      </c>
      <c r="I7747">
        <f>IF(ROUND(H7747-D7747,2)=0,1,0)</f>
        <v/>
      </c>
      <c r="J7747">
        <f>IF(F7747="","none",IF(G7747=1,"carte","multiple"))</f>
        <v/>
      </c>
    </row>
    <row r="7748">
      <c r="A7748" t="inlineStr">
        <is>
          <t>2023-03-11</t>
        </is>
      </c>
      <c r="B7748" t="inlineStr">
        <is>
          <t>20:18</t>
        </is>
      </c>
      <c r="C7748" t="n">
        <v>3144</v>
      </c>
      <c r="D7748" s="6" t="n">
        <v>4.2</v>
      </c>
      <c r="E7748" t="n">
        <v>45082</v>
      </c>
      <c r="F7748" s="6" t="n">
        <v>4.2</v>
      </c>
      <c r="G7748" t="n">
        <v>1</v>
      </c>
      <c r="H7748" s="6">
        <f>ROUND(G7748*F7748,2)</f>
        <v/>
      </c>
      <c r="I7748">
        <f>IF(ROUND(H7748-D7748,2)=0,1,0)</f>
        <v/>
      </c>
      <c r="J7748">
        <f>IF(F7748="","none",IF(G7748=1,"carte","multiple"))</f>
        <v/>
      </c>
    </row>
    <row r="7749">
      <c r="A7749" t="inlineStr">
        <is>
          <t>2023-03-11</t>
        </is>
      </c>
      <c r="B7749" t="inlineStr">
        <is>
          <t>20:18</t>
        </is>
      </c>
      <c r="C7749" t="n">
        <v>3144</v>
      </c>
      <c r="D7749" s="6" t="n">
        <v>7.8</v>
      </c>
      <c r="E7749" t="n">
        <v>45083</v>
      </c>
      <c r="F7749" s="6" t="n">
        <v>7.8</v>
      </c>
      <c r="G7749" t="n">
        <v>1</v>
      </c>
      <c r="H7749" s="6">
        <f>ROUND(G7749*F7749,2)</f>
        <v/>
      </c>
      <c r="I7749">
        <f>IF(ROUND(H7749-D7749,2)=0,1,0)</f>
        <v/>
      </c>
      <c r="J7749">
        <f>IF(F7749="","none",IF(G7749=1,"carte","multiple"))</f>
        <v/>
      </c>
    </row>
    <row r="7750">
      <c r="A7750" t="inlineStr">
        <is>
          <t>2023-03-12</t>
        </is>
      </c>
      <c r="B7750" t="inlineStr">
        <is>
          <t>09:42</t>
        </is>
      </c>
      <c r="C7750" t="n">
        <v>3145</v>
      </c>
      <c r="D7750" s="6" t="n">
        <v>14.9</v>
      </c>
      <c r="E7750" t="n">
        <v>45086</v>
      </c>
      <c r="F7750" s="6" t="n">
        <v>14.9</v>
      </c>
      <c r="G7750" t="n">
        <v>1</v>
      </c>
      <c r="H7750" s="6">
        <f>ROUND(G7750*F7750,2)</f>
        <v/>
      </c>
      <c r="I7750">
        <f>IF(ROUND(H7750-D7750,2)=0,1,0)</f>
        <v/>
      </c>
      <c r="J7750">
        <f>IF(F7750="","none",IF(G7750=1,"carte","multiple"))</f>
        <v/>
      </c>
    </row>
    <row r="7751">
      <c r="A7751" t="inlineStr">
        <is>
          <t>2023-03-12</t>
        </is>
      </c>
      <c r="B7751" t="inlineStr">
        <is>
          <t>10:38</t>
        </is>
      </c>
      <c r="C7751" t="n">
        <v>3145</v>
      </c>
      <c r="D7751" s="6" t="n">
        <v>19.9</v>
      </c>
      <c r="E7751" t="n">
        <v>45087</v>
      </c>
      <c r="F7751" s="6" t="n">
        <v>19.9</v>
      </c>
      <c r="G7751" t="n">
        <v>1</v>
      </c>
      <c r="H7751" s="6">
        <f>ROUND(G7751*F7751,2)</f>
        <v/>
      </c>
      <c r="I7751">
        <f>IF(ROUND(H7751-D7751,2)=0,1,0)</f>
        <v/>
      </c>
      <c r="J7751">
        <f>IF(F7751="","none",IF(G7751=1,"carte","multiple"))</f>
        <v/>
      </c>
    </row>
    <row r="7752">
      <c r="A7752" t="inlineStr">
        <is>
          <t>2023-03-12</t>
        </is>
      </c>
      <c r="B7752" t="inlineStr">
        <is>
          <t>11:06</t>
        </is>
      </c>
      <c r="C7752" t="n">
        <v>3145</v>
      </c>
      <c r="D7752" s="6" t="n">
        <v>10.4</v>
      </c>
      <c r="E7752" t="n">
        <v>45088</v>
      </c>
      <c r="F7752" s="6" t="n">
        <v>0.4</v>
      </c>
      <c r="G7752" t="n">
        <v>26</v>
      </c>
      <c r="H7752" s="6">
        <f>ROUND(G7752*F7752,2)</f>
        <v/>
      </c>
      <c r="I7752">
        <f>IF(ROUND(H7752-D7752,2)=0,1,0)</f>
        <v/>
      </c>
      <c r="J7752">
        <f>IF(F7752="","none",IF(G7752=1,"carte","multiple"))</f>
        <v/>
      </c>
    </row>
    <row r="7753">
      <c r="A7753" t="inlineStr">
        <is>
          <t>2023-03-12</t>
        </is>
      </c>
      <c r="B7753" t="inlineStr">
        <is>
          <t>12:06</t>
        </is>
      </c>
      <c r="C7753" t="n">
        <v>3145</v>
      </c>
      <c r="D7753" s="6" t="n">
        <v>19.9</v>
      </c>
      <c r="E7753" t="n">
        <v>45089</v>
      </c>
      <c r="F7753" s="6" t="n">
        <v>19.9</v>
      </c>
      <c r="G7753" t="n">
        <v>1</v>
      </c>
      <c r="H7753" s="6">
        <f>ROUND(G7753*F7753,2)</f>
        <v/>
      </c>
      <c r="I7753">
        <f>IF(ROUND(H7753-D7753,2)=0,1,0)</f>
        <v/>
      </c>
      <c r="J7753">
        <f>IF(F7753="","none",IF(G7753=1,"carte","multiple"))</f>
        <v/>
      </c>
    </row>
    <row r="7754">
      <c r="A7754" t="inlineStr">
        <is>
          <t>2023-03-12</t>
        </is>
      </c>
      <c r="B7754" t="inlineStr">
        <is>
          <t>12:17</t>
        </is>
      </c>
      <c r="C7754" t="n">
        <v>3145</v>
      </c>
      <c r="D7754" s="6" t="n">
        <v>9.9</v>
      </c>
      <c r="E7754" t="n">
        <v>45090</v>
      </c>
      <c r="F7754" s="6" t="n">
        <v>9.9</v>
      </c>
      <c r="G7754" t="n">
        <v>1</v>
      </c>
      <c r="H7754" s="6">
        <f>ROUND(G7754*F7754,2)</f>
        <v/>
      </c>
      <c r="I7754">
        <f>IF(ROUND(H7754-D7754,2)=0,1,0)</f>
        <v/>
      </c>
      <c r="J7754">
        <f>IF(F7754="","none",IF(G7754=1,"carte","multiple"))</f>
        <v/>
      </c>
    </row>
    <row r="7755">
      <c r="A7755" t="inlineStr">
        <is>
          <t>2023-03-12</t>
        </is>
      </c>
      <c r="B7755" t="inlineStr">
        <is>
          <t>12:59</t>
        </is>
      </c>
      <c r="C7755" t="n">
        <v>3145</v>
      </c>
      <c r="D7755" s="6" t="n">
        <v>10.4</v>
      </c>
      <c r="E7755" t="n">
        <v>45091</v>
      </c>
      <c r="F7755" s="6" t="n">
        <v>0.4</v>
      </c>
      <c r="G7755" t="n">
        <v>26</v>
      </c>
      <c r="H7755" s="6">
        <f>ROUND(G7755*F7755,2)</f>
        <v/>
      </c>
      <c r="I7755">
        <f>IF(ROUND(H7755-D7755,2)=0,1,0)</f>
        <v/>
      </c>
      <c r="J7755">
        <f>IF(F7755="","none",IF(G7755=1,"carte","multiple"))</f>
        <v/>
      </c>
    </row>
    <row r="7756">
      <c r="A7756" t="inlineStr">
        <is>
          <t>2023-03-12</t>
        </is>
      </c>
      <c r="B7756" t="inlineStr">
        <is>
          <t>12:59</t>
        </is>
      </c>
      <c r="C7756" t="n">
        <v>3145</v>
      </c>
      <c r="D7756" s="6" t="n">
        <v>4.4</v>
      </c>
      <c r="E7756" t="n">
        <v>45092</v>
      </c>
      <c r="F7756" s="6" t="n">
        <v>0.4</v>
      </c>
      <c r="G7756" t="n">
        <v>11</v>
      </c>
      <c r="H7756" s="6">
        <f>ROUND(G7756*F7756,2)</f>
        <v/>
      </c>
      <c r="I7756">
        <f>IF(ROUND(H7756-D7756,2)=0,1,0)</f>
        <v/>
      </c>
      <c r="J7756">
        <f>IF(F7756="","none",IF(G7756=1,"carte","multiple"))</f>
        <v/>
      </c>
    </row>
    <row r="7757">
      <c r="A7757" t="inlineStr">
        <is>
          <t>2023-03-15</t>
        </is>
      </c>
      <c r="B7757" t="inlineStr">
        <is>
          <t>12:16</t>
        </is>
      </c>
      <c r="C7757" t="n">
        <v>3146</v>
      </c>
      <c r="D7757" s="6" t="n">
        <v>6.9</v>
      </c>
      <c r="E7757" t="n">
        <v>45096</v>
      </c>
      <c r="F7757" s="6" t="n">
        <v>6.9</v>
      </c>
      <c r="G7757" t="n">
        <v>1</v>
      </c>
      <c r="H7757" s="6">
        <f>ROUND(G7757*F7757,2)</f>
        <v/>
      </c>
      <c r="I7757">
        <f>IF(ROUND(H7757-D7757,2)=0,1,0)</f>
        <v/>
      </c>
      <c r="J7757">
        <f>IF(F7757="","none",IF(G7757=1,"carte","multiple"))</f>
        <v/>
      </c>
    </row>
    <row r="7758">
      <c r="A7758" t="inlineStr">
        <is>
          <t>2023-03-15</t>
        </is>
      </c>
      <c r="B7758" t="inlineStr">
        <is>
          <t>12:16</t>
        </is>
      </c>
      <c r="C7758" t="n">
        <v>3146</v>
      </c>
      <c r="D7758" s="6" t="n">
        <v>18.6</v>
      </c>
      <c r="E7758" t="n">
        <v>45097</v>
      </c>
      <c r="F7758" s="6" t="n">
        <v>18.6</v>
      </c>
      <c r="G7758" t="n">
        <v>1</v>
      </c>
      <c r="H7758" s="6">
        <f>ROUND(G7758*F7758,2)</f>
        <v/>
      </c>
      <c r="I7758">
        <f>IF(ROUND(H7758-D7758,2)=0,1,0)</f>
        <v/>
      </c>
      <c r="J7758">
        <f>IF(F7758="","none",IF(G7758=1,"carte","multiple"))</f>
        <v/>
      </c>
    </row>
    <row r="7759">
      <c r="A7759" t="inlineStr">
        <is>
          <t>2023-03-15</t>
        </is>
      </c>
      <c r="B7759" t="inlineStr">
        <is>
          <t>12:16</t>
        </is>
      </c>
      <c r="C7759" t="n">
        <v>3146</v>
      </c>
      <c r="D7759" s="6" t="n">
        <v>7.2</v>
      </c>
      <c r="E7759" t="n">
        <v>45098</v>
      </c>
      <c r="F7759" s="6" t="n">
        <v>7.2</v>
      </c>
      <c r="G7759" t="n">
        <v>1</v>
      </c>
      <c r="H7759" s="6">
        <f>ROUND(G7759*F7759,2)</f>
        <v/>
      </c>
      <c r="I7759">
        <f>IF(ROUND(H7759-D7759,2)=0,1,0)</f>
        <v/>
      </c>
      <c r="J7759">
        <f>IF(F7759="","none",IF(G7759=1,"carte","multiple"))</f>
        <v/>
      </c>
    </row>
    <row r="7760">
      <c r="A7760" t="inlineStr">
        <is>
          <t>2023-03-15</t>
        </is>
      </c>
      <c r="B7760" t="inlineStr">
        <is>
          <t>17:57</t>
        </is>
      </c>
      <c r="C7760" t="n">
        <v>3146</v>
      </c>
      <c r="D7760" s="6" t="n">
        <v>19.9</v>
      </c>
      <c r="E7760" t="n">
        <v>45099</v>
      </c>
      <c r="F7760" s="6" t="n">
        <v>19.9</v>
      </c>
      <c r="G7760" t="n">
        <v>1</v>
      </c>
      <c r="H7760" s="6">
        <f>ROUND(G7760*F7760,2)</f>
        <v/>
      </c>
      <c r="I7760">
        <f>IF(ROUND(H7760-D7760,2)=0,1,0)</f>
        <v/>
      </c>
      <c r="J7760">
        <f>IF(F7760="","none",IF(G7760=1,"carte","multiple"))</f>
        <v/>
      </c>
    </row>
    <row r="7761">
      <c r="A7761" t="inlineStr">
        <is>
          <t>2023-03-15</t>
        </is>
      </c>
      <c r="B7761" t="inlineStr">
        <is>
          <t>17:57</t>
        </is>
      </c>
      <c r="C7761" t="n">
        <v>3146</v>
      </c>
      <c r="D7761" s="6" t="n">
        <v>19.9</v>
      </c>
      <c r="E7761" t="n">
        <v>45100</v>
      </c>
      <c r="F7761" s="6" t="n">
        <v>19.9</v>
      </c>
      <c r="G7761" t="n">
        <v>1</v>
      </c>
      <c r="H7761" s="6">
        <f>ROUND(G7761*F7761,2)</f>
        <v/>
      </c>
      <c r="I7761">
        <f>IF(ROUND(H7761-D7761,2)=0,1,0)</f>
        <v/>
      </c>
      <c r="J7761">
        <f>IF(F7761="","none",IF(G7761=1,"carte","multiple"))</f>
        <v/>
      </c>
    </row>
    <row r="7762">
      <c r="A7762" t="inlineStr">
        <is>
          <t>2023-03-15</t>
        </is>
      </c>
      <c r="B7762" t="inlineStr">
        <is>
          <t>17:57</t>
        </is>
      </c>
      <c r="C7762" t="n">
        <v>3146</v>
      </c>
      <c r="D7762" s="6" t="n">
        <v>9.800000000000001</v>
      </c>
      <c r="E7762" t="n">
        <v>45101</v>
      </c>
      <c r="F7762" s="6" t="n">
        <v>9.800000000000001</v>
      </c>
      <c r="G7762" t="n">
        <v>1</v>
      </c>
      <c r="H7762" s="6">
        <f>ROUND(G7762*F7762,2)</f>
        <v/>
      </c>
      <c r="I7762">
        <f>IF(ROUND(H7762-D7762,2)=0,1,0)</f>
        <v/>
      </c>
      <c r="J7762">
        <f>IF(F7762="","none",IF(G7762=1,"carte","multiple"))</f>
        <v/>
      </c>
    </row>
    <row r="7763">
      <c r="A7763" t="inlineStr">
        <is>
          <t>2023-03-15</t>
        </is>
      </c>
      <c r="B7763" t="inlineStr">
        <is>
          <t>19:31</t>
        </is>
      </c>
      <c r="C7763" t="n">
        <v>3146</v>
      </c>
      <c r="D7763" s="6" t="n">
        <v>68</v>
      </c>
      <c r="E7763" t="n">
        <v>45102</v>
      </c>
      <c r="F7763" s="6" t="n">
        <v>0.4</v>
      </c>
      <c r="G7763" t="n">
        <v>170</v>
      </c>
      <c r="H7763" s="6">
        <f>ROUND(G7763*F7763,2)</f>
        <v/>
      </c>
      <c r="I7763">
        <f>IF(ROUND(H7763-D7763,2)=0,1,0)</f>
        <v/>
      </c>
      <c r="J7763">
        <f>IF(F7763="","none",IF(G7763=1,"carte","multiple"))</f>
        <v/>
      </c>
    </row>
    <row r="7764">
      <c r="A7764" t="inlineStr">
        <is>
          <t>2023-03-15</t>
        </is>
      </c>
      <c r="B7764" t="inlineStr">
        <is>
          <t>19:34</t>
        </is>
      </c>
      <c r="C7764" t="n">
        <v>3146</v>
      </c>
      <c r="D7764" s="6" t="n">
        <v>8</v>
      </c>
      <c r="E7764" t="n">
        <v>45103</v>
      </c>
      <c r="F7764" s="6" t="n">
        <v>8</v>
      </c>
      <c r="G7764" t="n">
        <v>1</v>
      </c>
      <c r="H7764" s="6">
        <f>ROUND(G7764*F7764,2)</f>
        <v/>
      </c>
      <c r="I7764">
        <f>IF(ROUND(H7764-D7764,2)=0,1,0)</f>
        <v/>
      </c>
      <c r="J7764">
        <f>IF(F7764="","none",IF(G7764=1,"carte","multiple"))</f>
        <v/>
      </c>
    </row>
    <row r="7765">
      <c r="A7765" t="inlineStr">
        <is>
          <t>2023-03-15</t>
        </is>
      </c>
      <c r="B7765" t="inlineStr">
        <is>
          <t>19:34</t>
        </is>
      </c>
      <c r="C7765" t="n">
        <v>3146</v>
      </c>
      <c r="D7765" s="6" t="n">
        <v>9.6</v>
      </c>
      <c r="E7765" t="n">
        <v>45104</v>
      </c>
      <c r="F7765" s="6" t="n">
        <v>9.6</v>
      </c>
      <c r="G7765" t="n">
        <v>1</v>
      </c>
      <c r="H7765" s="6">
        <f>ROUND(G7765*F7765,2)</f>
        <v/>
      </c>
      <c r="I7765">
        <f>IF(ROUND(H7765-D7765,2)=0,1,0)</f>
        <v/>
      </c>
      <c r="J7765">
        <f>IF(F7765="","none",IF(G7765=1,"carte","multiple"))</f>
        <v/>
      </c>
    </row>
    <row r="7766">
      <c r="A7766" t="inlineStr">
        <is>
          <t>2023-03-15</t>
        </is>
      </c>
      <c r="B7766" t="inlineStr">
        <is>
          <t>19:34</t>
        </is>
      </c>
      <c r="C7766" t="n">
        <v>3146</v>
      </c>
      <c r="D7766" s="6" t="n">
        <v>28.6</v>
      </c>
      <c r="E7766" t="n">
        <v>45105</v>
      </c>
      <c r="F7766" s="6" t="n">
        <v>28.6</v>
      </c>
      <c r="G7766" t="n">
        <v>1</v>
      </c>
      <c r="H7766" s="6">
        <f>ROUND(G7766*F7766,2)</f>
        <v/>
      </c>
      <c r="I7766">
        <f>IF(ROUND(H7766-D7766,2)=0,1,0)</f>
        <v/>
      </c>
      <c r="J7766">
        <f>IF(F7766="","none",IF(G7766=1,"carte","multiple"))</f>
        <v/>
      </c>
    </row>
    <row r="7767">
      <c r="A7767" t="inlineStr">
        <is>
          <t>2023-03-15</t>
        </is>
      </c>
      <c r="B7767" t="inlineStr">
        <is>
          <t>19:34</t>
        </is>
      </c>
      <c r="C7767" t="n">
        <v>3146</v>
      </c>
      <c r="D7767" s="6" t="n">
        <v>27.8</v>
      </c>
      <c r="E7767" t="n">
        <v>45106</v>
      </c>
      <c r="F7767" s="6" t="n">
        <v>27.8</v>
      </c>
      <c r="G7767" t="n">
        <v>1</v>
      </c>
      <c r="H7767" s="6">
        <f>ROUND(G7767*F7767,2)</f>
        <v/>
      </c>
      <c r="I7767">
        <f>IF(ROUND(H7767-D7767,2)=0,1,0)</f>
        <v/>
      </c>
      <c r="J7767">
        <f>IF(F7767="","none",IF(G7767=1,"carte","multiple"))</f>
        <v/>
      </c>
    </row>
    <row r="7768">
      <c r="A7768" t="inlineStr">
        <is>
          <t>2023-03-15</t>
        </is>
      </c>
      <c r="B7768" t="inlineStr">
        <is>
          <t>19:35</t>
        </is>
      </c>
      <c r="C7768" t="n">
        <v>3146</v>
      </c>
      <c r="D7768" s="6" t="n">
        <v>19</v>
      </c>
      <c r="E7768" t="n">
        <v>45107</v>
      </c>
      <c r="F7768" s="6" t="n">
        <v>19</v>
      </c>
      <c r="G7768" t="n">
        <v>1</v>
      </c>
      <c r="H7768" s="6">
        <f>ROUND(G7768*F7768,2)</f>
        <v/>
      </c>
      <c r="I7768">
        <f>IF(ROUND(H7768-D7768,2)=0,1,0)</f>
        <v/>
      </c>
      <c r="J7768">
        <f>IF(F7768="","none",IF(G7768=1,"carte","multiple"))</f>
        <v/>
      </c>
    </row>
    <row r="7769">
      <c r="A7769" t="inlineStr">
        <is>
          <t>2023-03-16</t>
        </is>
      </c>
      <c r="B7769" t="inlineStr">
        <is>
          <t>18:20</t>
        </is>
      </c>
      <c r="C7769" t="n">
        <v>3147</v>
      </c>
      <c r="D7769" s="6" t="n">
        <v>5.2</v>
      </c>
      <c r="E7769" t="n">
        <v>45111</v>
      </c>
      <c r="F7769" s="6" t="n">
        <v>5.2</v>
      </c>
      <c r="G7769" t="n">
        <v>1</v>
      </c>
      <c r="H7769" s="6">
        <f>ROUND(G7769*F7769,2)</f>
        <v/>
      </c>
      <c r="I7769">
        <f>IF(ROUND(H7769-D7769,2)=0,1,0)</f>
        <v/>
      </c>
      <c r="J7769">
        <f>IF(F7769="","none",IF(G7769=1,"carte","multiple"))</f>
        <v/>
      </c>
    </row>
    <row r="7770">
      <c r="A7770" t="inlineStr">
        <is>
          <t>2023-03-16</t>
        </is>
      </c>
      <c r="B7770" t="inlineStr">
        <is>
          <t>19:50</t>
        </is>
      </c>
      <c r="C7770" t="n">
        <v>3147</v>
      </c>
      <c r="D7770" s="6" t="n">
        <v>28</v>
      </c>
      <c r="E7770" t="n">
        <v>45112</v>
      </c>
      <c r="F7770" s="6" t="n">
        <v>28</v>
      </c>
      <c r="G7770" t="n">
        <v>1</v>
      </c>
      <c r="H7770" s="6">
        <f>ROUND(G7770*F7770,2)</f>
        <v/>
      </c>
      <c r="I7770">
        <f>IF(ROUND(H7770-D7770,2)=0,1,0)</f>
        <v/>
      </c>
      <c r="J7770">
        <f>IF(F7770="","none",IF(G7770=1,"carte","multiple"))</f>
        <v/>
      </c>
    </row>
    <row r="7771">
      <c r="A7771" t="inlineStr">
        <is>
          <t>2023-03-16</t>
        </is>
      </c>
      <c r="B7771" t="inlineStr">
        <is>
          <t>19:50</t>
        </is>
      </c>
      <c r="C7771" t="n">
        <v>3147</v>
      </c>
      <c r="D7771" s="6" t="n">
        <v>18.6</v>
      </c>
      <c r="E7771" t="n">
        <v>45113</v>
      </c>
      <c r="F7771" s="6" t="n">
        <v>18.6</v>
      </c>
      <c r="G7771" t="n">
        <v>1</v>
      </c>
      <c r="H7771" s="6">
        <f>ROUND(G7771*F7771,2)</f>
        <v/>
      </c>
      <c r="I7771">
        <f>IF(ROUND(H7771-D7771,2)=0,1,0)</f>
        <v/>
      </c>
      <c r="J7771">
        <f>IF(F7771="","none",IF(G7771=1,"carte","multiple"))</f>
        <v/>
      </c>
    </row>
    <row r="7772">
      <c r="A7772" t="inlineStr">
        <is>
          <t>2023-03-16</t>
        </is>
      </c>
      <c r="B7772" t="inlineStr">
        <is>
          <t>19:50</t>
        </is>
      </c>
      <c r="C7772" t="n">
        <v>3147</v>
      </c>
      <c r="D7772" s="6" t="n">
        <v>19.9</v>
      </c>
      <c r="E7772" t="n">
        <v>45114</v>
      </c>
      <c r="F7772" s="6" t="n">
        <v>19.9</v>
      </c>
      <c r="G7772" t="n">
        <v>1</v>
      </c>
      <c r="H7772" s="6">
        <f>ROUND(G7772*F7772,2)</f>
        <v/>
      </c>
      <c r="I7772">
        <f>IF(ROUND(H7772-D7772,2)=0,1,0)</f>
        <v/>
      </c>
      <c r="J7772">
        <f>IF(F7772="","none",IF(G7772=1,"carte","multiple"))</f>
        <v/>
      </c>
    </row>
    <row r="7773">
      <c r="A7773" t="inlineStr">
        <is>
          <t>2023-03-16</t>
        </is>
      </c>
      <c r="B7773" t="inlineStr">
        <is>
          <t>19:50</t>
        </is>
      </c>
      <c r="C7773" t="n">
        <v>3147</v>
      </c>
      <c r="D7773" s="6" t="n">
        <v>7.2</v>
      </c>
      <c r="E7773" t="n">
        <v>45115</v>
      </c>
      <c r="F7773" s="6" t="n">
        <v>7.2</v>
      </c>
      <c r="G7773" t="n">
        <v>1</v>
      </c>
      <c r="H7773" s="6">
        <f>ROUND(G7773*F7773,2)</f>
        <v/>
      </c>
      <c r="I7773">
        <f>IF(ROUND(H7773-D7773,2)=0,1,0)</f>
        <v/>
      </c>
      <c r="J7773">
        <f>IF(F7773="","none",IF(G7773=1,"carte","multiple"))</f>
        <v/>
      </c>
    </row>
    <row r="7774">
      <c r="A7774" t="inlineStr">
        <is>
          <t>2023-03-16</t>
        </is>
      </c>
      <c r="B7774" t="inlineStr">
        <is>
          <t>19:50</t>
        </is>
      </c>
      <c r="C7774" t="n">
        <v>3147</v>
      </c>
      <c r="D7774" s="6" t="n">
        <v>9.6</v>
      </c>
      <c r="E7774" t="n">
        <v>45116</v>
      </c>
      <c r="F7774" s="6" t="n">
        <v>9.6</v>
      </c>
      <c r="G7774" t="n">
        <v>1</v>
      </c>
      <c r="H7774" s="6">
        <f>ROUND(G7774*F7774,2)</f>
        <v/>
      </c>
      <c r="I7774">
        <f>IF(ROUND(H7774-D7774,2)=0,1,0)</f>
        <v/>
      </c>
      <c r="J7774">
        <f>IF(F7774="","none",IF(G7774=1,"carte","multiple"))</f>
        <v/>
      </c>
    </row>
    <row r="7775">
      <c r="A7775" t="inlineStr">
        <is>
          <t>2023-03-16</t>
        </is>
      </c>
      <c r="B7775" t="inlineStr">
        <is>
          <t>19:50</t>
        </is>
      </c>
      <c r="C7775" t="n">
        <v>3147</v>
      </c>
      <c r="D7775" s="6" t="n">
        <v>8.4</v>
      </c>
      <c r="E7775" t="n">
        <v>45117</v>
      </c>
      <c r="F7775" s="6" t="n">
        <v>8.4</v>
      </c>
      <c r="G7775" t="n">
        <v>1</v>
      </c>
      <c r="H7775" s="6">
        <f>ROUND(G7775*F7775,2)</f>
        <v/>
      </c>
      <c r="I7775">
        <f>IF(ROUND(H7775-D7775,2)=0,1,0)</f>
        <v/>
      </c>
      <c r="J7775">
        <f>IF(F7775="","none",IF(G7775=1,"carte","multiple"))</f>
        <v/>
      </c>
    </row>
    <row r="7776">
      <c r="A7776" t="inlineStr">
        <is>
          <t>2023-03-17</t>
        </is>
      </c>
      <c r="B7776" t="inlineStr">
        <is>
          <t>12:17</t>
        </is>
      </c>
      <c r="C7776" t="n">
        <v>3148</v>
      </c>
      <c r="D7776" s="6" t="n">
        <v>8.5</v>
      </c>
      <c r="E7776" t="n">
        <v>45120</v>
      </c>
      <c r="F7776" s="6" t="n">
        <v>8.5</v>
      </c>
      <c r="G7776" t="n">
        <v>1</v>
      </c>
      <c r="H7776" s="6">
        <f>ROUND(G7776*F7776,2)</f>
        <v/>
      </c>
      <c r="I7776">
        <f>IF(ROUND(H7776-D7776,2)=0,1,0)</f>
        <v/>
      </c>
      <c r="J7776">
        <f>IF(F7776="","none",IF(G7776=1,"carte","multiple"))</f>
        <v/>
      </c>
    </row>
    <row r="7777">
      <c r="A7777" t="inlineStr">
        <is>
          <t>2023-03-17</t>
        </is>
      </c>
      <c r="B7777" t="inlineStr">
        <is>
          <t>12:17</t>
        </is>
      </c>
      <c r="C7777" t="n">
        <v>3148</v>
      </c>
      <c r="D7777" s="6" t="n">
        <v>5.6</v>
      </c>
      <c r="E7777" t="n">
        <v>45121</v>
      </c>
      <c r="F7777" s="6" t="n">
        <v>5.6</v>
      </c>
      <c r="G7777" t="n">
        <v>1</v>
      </c>
      <c r="H7777" s="6">
        <f>ROUND(G7777*F7777,2)</f>
        <v/>
      </c>
      <c r="I7777">
        <f>IF(ROUND(H7777-D7777,2)=0,1,0)</f>
        <v/>
      </c>
      <c r="J7777">
        <f>IF(F7777="","none",IF(G7777=1,"carte","multiple"))</f>
        <v/>
      </c>
    </row>
    <row r="7778">
      <c r="A7778" t="inlineStr">
        <is>
          <t>2023-03-17</t>
        </is>
      </c>
      <c r="B7778" t="inlineStr">
        <is>
          <t>12:17</t>
        </is>
      </c>
      <c r="C7778" t="n">
        <v>3148</v>
      </c>
      <c r="D7778" s="6" t="n">
        <v>16.9</v>
      </c>
      <c r="E7778" t="n">
        <v>45122</v>
      </c>
      <c r="F7778" s="6" t="n">
        <v>16.9</v>
      </c>
      <c r="G7778" t="n">
        <v>1</v>
      </c>
      <c r="H7778" s="6">
        <f>ROUND(G7778*F7778,2)</f>
        <v/>
      </c>
      <c r="I7778">
        <f>IF(ROUND(H7778-D7778,2)=0,1,0)</f>
        <v/>
      </c>
      <c r="J7778">
        <f>IF(F7778="","none",IF(G7778=1,"carte","multiple"))</f>
        <v/>
      </c>
    </row>
    <row r="7779">
      <c r="A7779" t="inlineStr">
        <is>
          <t>2023-03-17</t>
        </is>
      </c>
      <c r="B7779" t="inlineStr">
        <is>
          <t>12:17</t>
        </is>
      </c>
      <c r="C7779" t="n">
        <v>3148</v>
      </c>
      <c r="D7779" s="6" t="n">
        <v>6</v>
      </c>
      <c r="E7779" t="n">
        <v>45123</v>
      </c>
      <c r="F7779" s="6" t="n">
        <v>6</v>
      </c>
      <c r="G7779" t="n">
        <v>1</v>
      </c>
      <c r="H7779" s="6">
        <f>ROUND(G7779*F7779,2)</f>
        <v/>
      </c>
      <c r="I7779">
        <f>IF(ROUND(H7779-D7779,2)=0,1,0)</f>
        <v/>
      </c>
      <c r="J7779">
        <f>IF(F7779="","none",IF(G7779=1,"carte","multiple"))</f>
        <v/>
      </c>
    </row>
    <row r="7780">
      <c r="A7780" t="inlineStr">
        <is>
          <t>2023-03-17</t>
        </is>
      </c>
      <c r="B7780" t="inlineStr">
        <is>
          <t>19:00</t>
        </is>
      </c>
      <c r="C7780" t="n">
        <v>3148</v>
      </c>
      <c r="D7780" s="6" t="n">
        <v>18.6</v>
      </c>
      <c r="E7780" t="n">
        <v>45124</v>
      </c>
      <c r="F7780" s="6" t="n">
        <v>18.6</v>
      </c>
      <c r="G7780" t="n">
        <v>1</v>
      </c>
      <c r="H7780" s="6">
        <f>ROUND(G7780*F7780,2)</f>
        <v/>
      </c>
      <c r="I7780">
        <f>IF(ROUND(H7780-D7780,2)=0,1,0)</f>
        <v/>
      </c>
      <c r="J7780">
        <f>IF(F7780="","none",IF(G7780=1,"carte","multiple"))</f>
        <v/>
      </c>
    </row>
    <row r="7781">
      <c r="A7781" t="inlineStr">
        <is>
          <t>2023-03-17</t>
        </is>
      </c>
      <c r="B7781" t="inlineStr">
        <is>
          <t>19:01</t>
        </is>
      </c>
      <c r="C7781" t="n">
        <v>3148</v>
      </c>
      <c r="D7781" s="6" t="n">
        <v>18.6</v>
      </c>
      <c r="E7781" t="n">
        <v>45125</v>
      </c>
      <c r="F7781" s="6" t="n">
        <v>18.6</v>
      </c>
      <c r="G7781" t="n">
        <v>1</v>
      </c>
      <c r="H7781" s="6">
        <f>ROUND(G7781*F7781,2)</f>
        <v/>
      </c>
      <c r="I7781">
        <f>IF(ROUND(H7781-D7781,2)=0,1,0)</f>
        <v/>
      </c>
      <c r="J7781">
        <f>IF(F7781="","none",IF(G7781=1,"carte","multiple"))</f>
        <v/>
      </c>
    </row>
    <row r="7782">
      <c r="A7782" t="inlineStr">
        <is>
          <t>2023-03-18</t>
        </is>
      </c>
      <c r="B7782" t="inlineStr">
        <is>
          <t>11:44</t>
        </is>
      </c>
      <c r="C7782" t="n">
        <v>3149</v>
      </c>
      <c r="D7782" s="6" t="n">
        <v>18.6</v>
      </c>
      <c r="E7782" t="n">
        <v>45128</v>
      </c>
      <c r="F7782" s="6" t="n">
        <v>18.6</v>
      </c>
      <c r="G7782" t="n">
        <v>1</v>
      </c>
      <c r="H7782" s="6">
        <f>ROUND(G7782*F7782,2)</f>
        <v/>
      </c>
      <c r="I7782">
        <f>IF(ROUND(H7782-D7782,2)=0,1,0)</f>
        <v/>
      </c>
      <c r="J7782">
        <f>IF(F7782="","none",IF(G7782=1,"carte","multiple"))</f>
        <v/>
      </c>
    </row>
    <row r="7783">
      <c r="A7783" t="inlineStr">
        <is>
          <t>2023-03-18</t>
        </is>
      </c>
      <c r="B7783" t="inlineStr">
        <is>
          <t>11:44</t>
        </is>
      </c>
      <c r="C7783" t="n">
        <v>3149</v>
      </c>
      <c r="D7783" s="6" t="n">
        <v>13.8</v>
      </c>
      <c r="E7783" t="n">
        <v>45129</v>
      </c>
      <c r="F7783" s="6" t="n">
        <v>4.6</v>
      </c>
      <c r="G7783" t="n">
        <v>3</v>
      </c>
      <c r="H7783" s="6">
        <f>ROUND(G7783*F7783,2)</f>
        <v/>
      </c>
      <c r="I7783">
        <f>IF(ROUND(H7783-D7783,2)=0,1,0)</f>
        <v/>
      </c>
      <c r="J7783">
        <f>IF(F7783="","none",IF(G7783=1,"carte","multiple"))</f>
        <v/>
      </c>
    </row>
    <row r="7784">
      <c r="A7784" t="inlineStr">
        <is>
          <t>2023-03-18</t>
        </is>
      </c>
      <c r="B7784" t="inlineStr">
        <is>
          <t>11:44</t>
        </is>
      </c>
      <c r="C7784" t="n">
        <v>3149</v>
      </c>
      <c r="D7784" s="6" t="n">
        <v>5.9</v>
      </c>
      <c r="E7784" t="n">
        <v>45130</v>
      </c>
      <c r="F7784" s="6" t="n">
        <v>5.9</v>
      </c>
      <c r="G7784" t="n">
        <v>1</v>
      </c>
      <c r="H7784" s="6">
        <f>ROUND(G7784*F7784,2)</f>
        <v/>
      </c>
      <c r="I7784">
        <f>IF(ROUND(H7784-D7784,2)=0,1,0)</f>
        <v/>
      </c>
      <c r="J7784">
        <f>IF(F7784="","none",IF(G7784=1,"carte","multiple"))</f>
        <v/>
      </c>
    </row>
    <row r="7785">
      <c r="A7785" t="inlineStr">
        <is>
          <t>2023-03-18</t>
        </is>
      </c>
      <c r="B7785" t="inlineStr">
        <is>
          <t>11:44</t>
        </is>
      </c>
      <c r="C7785" t="n">
        <v>3149</v>
      </c>
      <c r="D7785" s="6" t="n">
        <v>6.5</v>
      </c>
      <c r="E7785" t="n">
        <v>45131</v>
      </c>
      <c r="F7785" s="6" t="n">
        <v>6.5</v>
      </c>
      <c r="G7785" t="n">
        <v>1</v>
      </c>
      <c r="H7785" s="6">
        <f>ROUND(G7785*F7785,2)</f>
        <v/>
      </c>
      <c r="I7785">
        <f>IF(ROUND(H7785-D7785,2)=0,1,0)</f>
        <v/>
      </c>
      <c r="J7785">
        <f>IF(F7785="","none",IF(G7785=1,"carte","multiple"))</f>
        <v/>
      </c>
    </row>
    <row r="7786">
      <c r="A7786" t="inlineStr">
        <is>
          <t>2023-03-18</t>
        </is>
      </c>
      <c r="B7786" t="inlineStr">
        <is>
          <t>11:44</t>
        </is>
      </c>
      <c r="C7786" t="n">
        <v>3149</v>
      </c>
      <c r="D7786" s="6" t="n">
        <v>3.9</v>
      </c>
      <c r="E7786" t="n">
        <v>45132</v>
      </c>
      <c r="F7786" s="6" t="n">
        <v>3.9</v>
      </c>
      <c r="G7786" t="n">
        <v>1</v>
      </c>
      <c r="H7786" s="6">
        <f>ROUND(G7786*F7786,2)</f>
        <v/>
      </c>
      <c r="I7786">
        <f>IF(ROUND(H7786-D7786,2)=0,1,0)</f>
        <v/>
      </c>
      <c r="J7786">
        <f>IF(F7786="","none",IF(G7786=1,"carte","multiple"))</f>
        <v/>
      </c>
    </row>
    <row r="7787">
      <c r="A7787" t="inlineStr">
        <is>
          <t>2023-03-18</t>
        </is>
      </c>
      <c r="B7787" t="inlineStr">
        <is>
          <t>11:44</t>
        </is>
      </c>
      <c r="C7787" t="n">
        <v>3149</v>
      </c>
      <c r="D7787" s="6" t="n">
        <v>3.9</v>
      </c>
      <c r="E7787" t="n">
        <v>45133</v>
      </c>
      <c r="F7787" s="6" t="n">
        <v>3.9</v>
      </c>
      <c r="G7787" t="n">
        <v>1</v>
      </c>
      <c r="H7787" s="6">
        <f>ROUND(G7787*F7787,2)</f>
        <v/>
      </c>
      <c r="I7787">
        <f>IF(ROUND(H7787-D7787,2)=0,1,0)</f>
        <v/>
      </c>
      <c r="J7787">
        <f>IF(F7787="","none",IF(G7787=1,"carte","multiple"))</f>
        <v/>
      </c>
    </row>
    <row r="7788">
      <c r="A7788" t="inlineStr">
        <is>
          <t>2023-03-18</t>
        </is>
      </c>
      <c r="B7788" t="inlineStr">
        <is>
          <t>11:44</t>
        </is>
      </c>
      <c r="C7788" t="n">
        <v>3149</v>
      </c>
      <c r="D7788" s="6" t="n">
        <v>18.6</v>
      </c>
      <c r="E7788" t="n">
        <v>45134</v>
      </c>
      <c r="F7788" s="6" t="n">
        <v>18.6</v>
      </c>
      <c r="G7788" t="n">
        <v>1</v>
      </c>
      <c r="H7788" s="6">
        <f>ROUND(G7788*F7788,2)</f>
        <v/>
      </c>
      <c r="I7788">
        <f>IF(ROUND(H7788-D7788,2)=0,1,0)</f>
        <v/>
      </c>
      <c r="J7788">
        <f>IF(F7788="","none",IF(G7788=1,"carte","multiple"))</f>
        <v/>
      </c>
    </row>
    <row r="7789">
      <c r="A7789" t="inlineStr">
        <is>
          <t>2023-03-18</t>
        </is>
      </c>
      <c r="B7789" t="inlineStr">
        <is>
          <t>11:44</t>
        </is>
      </c>
      <c r="C7789" t="n">
        <v>3149</v>
      </c>
      <c r="D7789" s="6" t="n">
        <v>8.5</v>
      </c>
      <c r="E7789" t="n">
        <v>45135</v>
      </c>
      <c r="F7789" s="6" t="n">
        <v>8.5</v>
      </c>
      <c r="G7789" t="n">
        <v>1</v>
      </c>
      <c r="H7789" s="6">
        <f>ROUND(G7789*F7789,2)</f>
        <v/>
      </c>
      <c r="I7789">
        <f>IF(ROUND(H7789-D7789,2)=0,1,0)</f>
        <v/>
      </c>
      <c r="J7789">
        <f>IF(F7789="","none",IF(G7789=1,"carte","multiple"))</f>
        <v/>
      </c>
    </row>
    <row r="7790">
      <c r="A7790" t="inlineStr">
        <is>
          <t>2023-03-18</t>
        </is>
      </c>
      <c r="B7790" t="inlineStr">
        <is>
          <t>11:44</t>
        </is>
      </c>
      <c r="C7790" t="n">
        <v>3149</v>
      </c>
      <c r="D7790" s="6" t="n">
        <v>6.9</v>
      </c>
      <c r="E7790" t="n">
        <v>45136</v>
      </c>
      <c r="F7790" s="6" t="n">
        <v>6.9</v>
      </c>
      <c r="G7790" t="n">
        <v>1</v>
      </c>
      <c r="H7790" s="6">
        <f>ROUND(G7790*F7790,2)</f>
        <v/>
      </c>
      <c r="I7790">
        <f>IF(ROUND(H7790-D7790,2)=0,1,0)</f>
        <v/>
      </c>
      <c r="J7790">
        <f>IF(F7790="","none",IF(G7790=1,"carte","multiple"))</f>
        <v/>
      </c>
    </row>
    <row r="7791">
      <c r="A7791" t="inlineStr">
        <is>
          <t>2023-03-18</t>
        </is>
      </c>
      <c r="B7791" t="inlineStr">
        <is>
          <t>11:45</t>
        </is>
      </c>
      <c r="C7791" t="n">
        <v>3149</v>
      </c>
      <c r="D7791" s="6" t="n">
        <v>18.6</v>
      </c>
      <c r="E7791" t="n">
        <v>45137</v>
      </c>
      <c r="F7791" s="6" t="n">
        <v>18.6</v>
      </c>
      <c r="G7791" t="n">
        <v>1</v>
      </c>
      <c r="H7791" s="6">
        <f>ROUND(G7791*F7791,2)</f>
        <v/>
      </c>
      <c r="I7791">
        <f>IF(ROUND(H7791-D7791,2)=0,1,0)</f>
        <v/>
      </c>
      <c r="J7791">
        <f>IF(F7791="","none",IF(G7791=1,"carte","multiple"))</f>
        <v/>
      </c>
    </row>
    <row r="7792">
      <c r="A7792" t="inlineStr">
        <is>
          <t>2023-03-18</t>
        </is>
      </c>
      <c r="B7792" t="inlineStr">
        <is>
          <t>13:22</t>
        </is>
      </c>
      <c r="C7792" t="n">
        <v>3149</v>
      </c>
      <c r="D7792" s="6" t="n">
        <v>3.4</v>
      </c>
      <c r="E7792" t="n">
        <v>45138</v>
      </c>
      <c r="F7792" s="6" t="n">
        <v>3.4</v>
      </c>
      <c r="G7792" t="n">
        <v>1</v>
      </c>
      <c r="H7792" s="6">
        <f>ROUND(G7792*F7792,2)</f>
        <v/>
      </c>
      <c r="I7792">
        <f>IF(ROUND(H7792-D7792,2)=0,1,0)</f>
        <v/>
      </c>
      <c r="J7792">
        <f>IF(F7792="","none",IF(G7792=1,"carte","multiple"))</f>
        <v/>
      </c>
    </row>
    <row r="7793">
      <c r="A7793" t="inlineStr">
        <is>
          <t>2023-03-18</t>
        </is>
      </c>
      <c r="B7793" t="inlineStr">
        <is>
          <t>13:22</t>
        </is>
      </c>
      <c r="C7793" t="n">
        <v>3149</v>
      </c>
      <c r="D7793" s="6" t="n">
        <v>4.4</v>
      </c>
      <c r="E7793" t="n">
        <v>45139</v>
      </c>
      <c r="F7793" s="6" t="n">
        <v>0.4</v>
      </c>
      <c r="G7793" t="n">
        <v>11</v>
      </c>
      <c r="H7793" s="6">
        <f>ROUND(G7793*F7793,2)</f>
        <v/>
      </c>
      <c r="I7793">
        <f>IF(ROUND(H7793-D7793,2)=0,1,0)</f>
        <v/>
      </c>
      <c r="J7793">
        <f>IF(F7793="","none",IF(G7793=1,"carte","multiple"))</f>
        <v/>
      </c>
    </row>
    <row r="7794">
      <c r="A7794" t="inlineStr">
        <is>
          <t>2023-03-18</t>
        </is>
      </c>
      <c r="B7794" t="inlineStr">
        <is>
          <t>13:22</t>
        </is>
      </c>
      <c r="C7794" t="n">
        <v>3149</v>
      </c>
      <c r="D7794" s="6" t="n">
        <v>102</v>
      </c>
      <c r="E7794" t="n">
        <v>45140</v>
      </c>
      <c r="F7794" s="6" t="n">
        <v>0.4</v>
      </c>
      <c r="G7794" t="n">
        <v>255</v>
      </c>
      <c r="H7794" s="6">
        <f>ROUND(G7794*F7794,2)</f>
        <v/>
      </c>
      <c r="I7794">
        <f>IF(ROUND(H7794-D7794,2)=0,1,0)</f>
        <v/>
      </c>
      <c r="J7794">
        <f>IF(F7794="","none",IF(G7794=1,"carte","multiple"))</f>
        <v/>
      </c>
    </row>
    <row r="7795">
      <c r="A7795" t="inlineStr">
        <is>
          <t>2023-03-18</t>
        </is>
      </c>
      <c r="B7795" t="inlineStr">
        <is>
          <t>13:22</t>
        </is>
      </c>
      <c r="C7795" t="n">
        <v>3149</v>
      </c>
      <c r="D7795" s="6" t="n">
        <v>5.2</v>
      </c>
      <c r="E7795" t="n">
        <v>45141</v>
      </c>
      <c r="F7795" s="6" t="n">
        <v>5.2</v>
      </c>
      <c r="G7795" t="n">
        <v>1</v>
      </c>
      <c r="H7795" s="6">
        <f>ROUND(G7795*F7795,2)</f>
        <v/>
      </c>
      <c r="I7795">
        <f>IF(ROUND(H7795-D7795,2)=0,1,0)</f>
        <v/>
      </c>
      <c r="J7795">
        <f>IF(F7795="","none",IF(G7795=1,"carte","multiple"))</f>
        <v/>
      </c>
    </row>
    <row r="7796">
      <c r="A7796" t="inlineStr">
        <is>
          <t>2023-03-18</t>
        </is>
      </c>
      <c r="B7796" t="inlineStr">
        <is>
          <t>13:22</t>
        </is>
      </c>
      <c r="C7796" t="n">
        <v>3149</v>
      </c>
      <c r="D7796" s="6" t="n">
        <v>4.2</v>
      </c>
      <c r="E7796" t="n">
        <v>45142</v>
      </c>
      <c r="F7796" s="6" t="n">
        <v>4.2</v>
      </c>
      <c r="G7796" t="n">
        <v>1</v>
      </c>
      <c r="H7796" s="6">
        <f>ROUND(G7796*F7796,2)</f>
        <v/>
      </c>
      <c r="I7796">
        <f>IF(ROUND(H7796-D7796,2)=0,1,0)</f>
        <v/>
      </c>
      <c r="J7796">
        <f>IF(F7796="","none",IF(G7796=1,"carte","multiple"))</f>
        <v/>
      </c>
    </row>
    <row r="7797">
      <c r="A7797" t="inlineStr">
        <is>
          <t>2023-03-18</t>
        </is>
      </c>
      <c r="B7797" t="inlineStr">
        <is>
          <t>13:22</t>
        </is>
      </c>
      <c r="C7797" t="n">
        <v>3149</v>
      </c>
      <c r="D7797" s="6" t="n">
        <v>6.5</v>
      </c>
      <c r="E7797" t="n">
        <v>45143</v>
      </c>
      <c r="F7797" s="6" t="n">
        <v>6.5</v>
      </c>
      <c r="G7797" t="n">
        <v>1</v>
      </c>
      <c r="H7797" s="6">
        <f>ROUND(G7797*F7797,2)</f>
        <v/>
      </c>
      <c r="I7797">
        <f>IF(ROUND(H7797-D7797,2)=0,1,0)</f>
        <v/>
      </c>
      <c r="J7797">
        <f>IF(F7797="","none",IF(G7797=1,"carte","multiple"))</f>
        <v/>
      </c>
    </row>
    <row r="7798">
      <c r="A7798" t="inlineStr">
        <is>
          <t>2023-03-18</t>
        </is>
      </c>
      <c r="B7798" t="inlineStr">
        <is>
          <t>13:22</t>
        </is>
      </c>
      <c r="C7798" t="n">
        <v>3149</v>
      </c>
      <c r="D7798" s="6" t="n">
        <v>28</v>
      </c>
      <c r="E7798" t="n">
        <v>45144</v>
      </c>
      <c r="F7798" s="6" t="n">
        <v>28</v>
      </c>
      <c r="G7798" t="n">
        <v>1</v>
      </c>
      <c r="H7798" s="6">
        <f>ROUND(G7798*F7798,2)</f>
        <v/>
      </c>
      <c r="I7798">
        <f>IF(ROUND(H7798-D7798,2)=0,1,0)</f>
        <v/>
      </c>
      <c r="J7798">
        <f>IF(F7798="","none",IF(G7798=1,"carte","multiple"))</f>
        <v/>
      </c>
    </row>
    <row r="7799">
      <c r="A7799" t="inlineStr">
        <is>
          <t>2023-03-18</t>
        </is>
      </c>
      <c r="B7799" t="inlineStr">
        <is>
          <t>17:52</t>
        </is>
      </c>
      <c r="C7799" t="n">
        <v>3149</v>
      </c>
      <c r="D7799" s="6" t="n">
        <v>4.2</v>
      </c>
      <c r="E7799" t="n">
        <v>45146</v>
      </c>
      <c r="F7799" s="6" t="n">
        <v>4.2</v>
      </c>
      <c r="G7799" t="n">
        <v>1</v>
      </c>
      <c r="H7799" s="6">
        <f>ROUND(G7799*F7799,2)</f>
        <v/>
      </c>
      <c r="I7799">
        <f>IF(ROUND(H7799-D7799,2)=0,1,0)</f>
        <v/>
      </c>
      <c r="J7799">
        <f>IF(F7799="","none",IF(G7799=1,"carte","multiple"))</f>
        <v/>
      </c>
    </row>
    <row r="7800">
      <c r="A7800" t="inlineStr">
        <is>
          <t>2023-03-18</t>
        </is>
      </c>
      <c r="B7800" t="inlineStr">
        <is>
          <t>18:53</t>
        </is>
      </c>
      <c r="C7800" t="n">
        <v>3149</v>
      </c>
      <c r="D7800" s="6" t="n">
        <v>1.4</v>
      </c>
      <c r="E7800" t="n">
        <v>45147</v>
      </c>
      <c r="F7800" s="6" t="n">
        <v>1.4</v>
      </c>
      <c r="G7800" t="n">
        <v>1</v>
      </c>
      <c r="H7800" s="6">
        <f>ROUND(G7800*F7800,2)</f>
        <v/>
      </c>
      <c r="I7800">
        <f>IF(ROUND(H7800-D7800,2)=0,1,0)</f>
        <v/>
      </c>
      <c r="J7800">
        <f>IF(F7800="","none",IF(G7800=1,"carte","multiple"))</f>
        <v/>
      </c>
    </row>
    <row r="7801">
      <c r="A7801" t="inlineStr">
        <is>
          <t>2023-03-18</t>
        </is>
      </c>
      <c r="B7801" t="inlineStr">
        <is>
          <t>18:53</t>
        </is>
      </c>
      <c r="C7801" t="n">
        <v>3149</v>
      </c>
      <c r="D7801" s="6" t="n">
        <v>5.8</v>
      </c>
      <c r="E7801" t="n">
        <v>45148</v>
      </c>
      <c r="F7801" s="6" t="n">
        <v>5.8</v>
      </c>
      <c r="G7801" t="n">
        <v>1</v>
      </c>
      <c r="H7801" s="6">
        <f>ROUND(G7801*F7801,2)</f>
        <v/>
      </c>
      <c r="I7801">
        <f>IF(ROUND(H7801-D7801,2)=0,1,0)</f>
        <v/>
      </c>
      <c r="J7801">
        <f>IF(F7801="","none",IF(G7801=1,"carte","multiple"))</f>
        <v/>
      </c>
    </row>
    <row r="7802">
      <c r="A7802" t="inlineStr">
        <is>
          <t>2023-03-18</t>
        </is>
      </c>
      <c r="B7802" t="inlineStr">
        <is>
          <t>18:53</t>
        </is>
      </c>
      <c r="C7802" t="n">
        <v>3149</v>
      </c>
      <c r="D7802" s="6" t="n">
        <v>1.8</v>
      </c>
      <c r="E7802" t="n">
        <v>45149</v>
      </c>
      <c r="F7802" s="6" t="n">
        <v>1.8</v>
      </c>
      <c r="G7802" t="n">
        <v>1</v>
      </c>
      <c r="H7802" s="6">
        <f>ROUND(G7802*F7802,2)</f>
        <v/>
      </c>
      <c r="I7802">
        <f>IF(ROUND(H7802-D7802,2)=0,1,0)</f>
        <v/>
      </c>
      <c r="J7802">
        <f>IF(F7802="","none",IF(G7802=1,"carte","multiple"))</f>
        <v/>
      </c>
    </row>
    <row r="7803">
      <c r="A7803" t="inlineStr">
        <is>
          <t>2023-03-18</t>
        </is>
      </c>
      <c r="B7803" t="inlineStr">
        <is>
          <t>19:37</t>
        </is>
      </c>
      <c r="C7803" t="n">
        <v>3149</v>
      </c>
      <c r="D7803" s="6" t="n">
        <v>8.5</v>
      </c>
      <c r="E7803" t="n">
        <v>45150</v>
      </c>
      <c r="F7803" s="6" t="n">
        <v>8.5</v>
      </c>
      <c r="G7803" t="n">
        <v>1</v>
      </c>
      <c r="H7803" s="6">
        <f>ROUND(G7803*F7803,2)</f>
        <v/>
      </c>
      <c r="I7803">
        <f>IF(ROUND(H7803-D7803,2)=0,1,0)</f>
        <v/>
      </c>
      <c r="J7803">
        <f>IF(F7803="","none",IF(G7803=1,"carte","multiple"))</f>
        <v/>
      </c>
    </row>
    <row r="7804">
      <c r="A7804" t="inlineStr">
        <is>
          <t>2023-03-18</t>
        </is>
      </c>
      <c r="B7804" t="inlineStr">
        <is>
          <t>19:38</t>
        </is>
      </c>
      <c r="C7804" t="n">
        <v>3149</v>
      </c>
      <c r="D7804" s="6" t="n">
        <v>8.300000000000001</v>
      </c>
      <c r="E7804" t="n">
        <v>45151</v>
      </c>
      <c r="F7804" s="6" t="n">
        <v>8.300000000000001</v>
      </c>
      <c r="G7804" t="n">
        <v>1</v>
      </c>
      <c r="H7804" s="6">
        <f>ROUND(G7804*F7804,2)</f>
        <v/>
      </c>
      <c r="I7804">
        <f>IF(ROUND(H7804-D7804,2)=0,1,0)</f>
        <v/>
      </c>
      <c r="J7804">
        <f>IF(F7804="","none",IF(G7804=1,"carte","multiple"))</f>
        <v/>
      </c>
    </row>
    <row r="7805">
      <c r="A7805" t="inlineStr">
        <is>
          <t>2023-03-18</t>
        </is>
      </c>
      <c r="B7805" t="inlineStr">
        <is>
          <t>19:45</t>
        </is>
      </c>
      <c r="C7805" t="n">
        <v>3149</v>
      </c>
      <c r="D7805" s="6" t="n">
        <v>3.8</v>
      </c>
      <c r="E7805" t="n">
        <v>45152</v>
      </c>
      <c r="F7805" s="6" t="n">
        <v>3.8</v>
      </c>
      <c r="G7805" t="n">
        <v>1</v>
      </c>
      <c r="H7805" s="6">
        <f>ROUND(G7805*F7805,2)</f>
        <v/>
      </c>
      <c r="I7805">
        <f>IF(ROUND(H7805-D7805,2)=0,1,0)</f>
        <v/>
      </c>
      <c r="J7805">
        <f>IF(F7805="","none",IF(G7805=1,"carte","multiple"))</f>
        <v/>
      </c>
    </row>
    <row r="7806">
      <c r="A7806" t="inlineStr">
        <is>
          <t>2023-03-18</t>
        </is>
      </c>
      <c r="B7806" t="inlineStr">
        <is>
          <t>19:45</t>
        </is>
      </c>
      <c r="C7806" t="n">
        <v>3149</v>
      </c>
      <c r="D7806" s="6" t="n">
        <v>7.8</v>
      </c>
      <c r="E7806" t="n">
        <v>45153</v>
      </c>
      <c r="F7806" s="6" t="n">
        <v>7.8</v>
      </c>
      <c r="G7806" t="n">
        <v>1</v>
      </c>
      <c r="H7806" s="6">
        <f>ROUND(G7806*F7806,2)</f>
        <v/>
      </c>
      <c r="I7806">
        <f>IF(ROUND(H7806-D7806,2)=0,1,0)</f>
        <v/>
      </c>
      <c r="J7806">
        <f>IF(F7806="","none",IF(G7806=1,"carte","multiple"))</f>
        <v/>
      </c>
    </row>
    <row r="7807">
      <c r="A7807" t="inlineStr">
        <is>
          <t>2023-03-18</t>
        </is>
      </c>
      <c r="B7807" t="inlineStr">
        <is>
          <t>19:45</t>
        </is>
      </c>
      <c r="C7807" t="n">
        <v>3149</v>
      </c>
      <c r="D7807" s="6" t="n">
        <v>14</v>
      </c>
      <c r="E7807" t="n">
        <v>45154</v>
      </c>
      <c r="F7807" s="6" t="n">
        <v>14</v>
      </c>
      <c r="G7807" t="n">
        <v>1</v>
      </c>
      <c r="H7807" s="6">
        <f>ROUND(G7807*F7807,2)</f>
        <v/>
      </c>
      <c r="I7807">
        <f>IF(ROUND(H7807-D7807,2)=0,1,0)</f>
        <v/>
      </c>
      <c r="J7807">
        <f>IF(F7807="","none",IF(G7807=1,"carte","multiple"))</f>
        <v/>
      </c>
    </row>
    <row r="7808">
      <c r="A7808" t="inlineStr">
        <is>
          <t>2023-03-18</t>
        </is>
      </c>
      <c r="B7808" t="inlineStr">
        <is>
          <t>19:45</t>
        </is>
      </c>
      <c r="C7808" t="n">
        <v>3149</v>
      </c>
      <c r="D7808" s="6" t="n">
        <v>17</v>
      </c>
      <c r="E7808" t="n">
        <v>45155</v>
      </c>
      <c r="F7808" s="6" t="n">
        <v>17</v>
      </c>
      <c r="G7808" t="n">
        <v>1</v>
      </c>
      <c r="H7808" s="6">
        <f>ROUND(G7808*F7808,2)</f>
        <v/>
      </c>
      <c r="I7808">
        <f>IF(ROUND(H7808-D7808,2)=0,1,0)</f>
        <v/>
      </c>
      <c r="J7808">
        <f>IF(F7808="","none",IF(G7808=1,"carte","multiple"))</f>
        <v/>
      </c>
    </row>
    <row r="7809">
      <c r="A7809" t="inlineStr">
        <is>
          <t>2023-03-18</t>
        </is>
      </c>
      <c r="B7809" t="inlineStr">
        <is>
          <t>19:45</t>
        </is>
      </c>
      <c r="C7809" t="n">
        <v>3149</v>
      </c>
      <c r="D7809" s="6" t="n">
        <v>9.9</v>
      </c>
      <c r="E7809" t="n">
        <v>45156</v>
      </c>
      <c r="F7809" s="6" t="n">
        <v>9.9</v>
      </c>
      <c r="G7809" t="n">
        <v>1</v>
      </c>
      <c r="H7809" s="6">
        <f>ROUND(G7809*F7809,2)</f>
        <v/>
      </c>
      <c r="I7809">
        <f>IF(ROUND(H7809-D7809,2)=0,1,0)</f>
        <v/>
      </c>
      <c r="J7809">
        <f>IF(F7809="","none",IF(G7809=1,"carte","multiple"))</f>
        <v/>
      </c>
    </row>
    <row r="7810">
      <c r="A7810" t="inlineStr">
        <is>
          <t>2023-03-18</t>
        </is>
      </c>
      <c r="B7810" t="inlineStr">
        <is>
          <t>19:45</t>
        </is>
      </c>
      <c r="C7810" t="n">
        <v>3149</v>
      </c>
      <c r="D7810" s="6" t="n">
        <v>5.9</v>
      </c>
      <c r="E7810" t="n">
        <v>45157</v>
      </c>
      <c r="F7810" s="6" t="n">
        <v>5.9</v>
      </c>
      <c r="G7810" t="n">
        <v>1</v>
      </c>
      <c r="H7810" s="6">
        <f>ROUND(G7810*F7810,2)</f>
        <v/>
      </c>
      <c r="I7810">
        <f>IF(ROUND(H7810-D7810,2)=0,1,0)</f>
        <v/>
      </c>
      <c r="J7810">
        <f>IF(F7810="","none",IF(G7810=1,"carte","multiple"))</f>
        <v/>
      </c>
    </row>
    <row r="7811">
      <c r="A7811" t="inlineStr">
        <is>
          <t>2023-03-18</t>
        </is>
      </c>
      <c r="B7811" t="inlineStr">
        <is>
          <t>19:45</t>
        </is>
      </c>
      <c r="C7811" t="n">
        <v>3149</v>
      </c>
      <c r="D7811" s="6" t="n">
        <v>1.4</v>
      </c>
      <c r="E7811" t="n">
        <v>45158</v>
      </c>
      <c r="F7811" s="6" t="n">
        <v>1.4</v>
      </c>
      <c r="G7811" t="n">
        <v>1</v>
      </c>
      <c r="H7811" s="6">
        <f>ROUND(G7811*F7811,2)</f>
        <v/>
      </c>
      <c r="I7811">
        <f>IF(ROUND(H7811-D7811,2)=0,1,0)</f>
        <v/>
      </c>
      <c r="J7811">
        <f>IF(F7811="","none",IF(G7811=1,"carte","multiple"))</f>
        <v/>
      </c>
    </row>
    <row r="7812">
      <c r="A7812" t="inlineStr">
        <is>
          <t>2023-03-18</t>
        </is>
      </c>
      <c r="B7812" t="inlineStr">
        <is>
          <t>19:45</t>
        </is>
      </c>
      <c r="C7812" t="n">
        <v>3149</v>
      </c>
      <c r="D7812" s="6" t="n">
        <v>5.8</v>
      </c>
      <c r="E7812" t="n">
        <v>45159</v>
      </c>
      <c r="F7812" s="6" t="n">
        <v>5.8</v>
      </c>
      <c r="G7812" t="n">
        <v>1</v>
      </c>
      <c r="H7812" s="6">
        <f>ROUND(G7812*F7812,2)</f>
        <v/>
      </c>
      <c r="I7812">
        <f>IF(ROUND(H7812-D7812,2)=0,1,0)</f>
        <v/>
      </c>
      <c r="J7812">
        <f>IF(F7812="","none",IF(G7812=1,"carte","multiple"))</f>
        <v/>
      </c>
    </row>
    <row r="7813">
      <c r="A7813" t="inlineStr">
        <is>
          <t>2023-03-18</t>
        </is>
      </c>
      <c r="B7813" t="inlineStr">
        <is>
          <t>19:45</t>
        </is>
      </c>
      <c r="C7813" t="n">
        <v>3149</v>
      </c>
      <c r="D7813" s="6" t="n">
        <v>1.8</v>
      </c>
      <c r="E7813" t="n">
        <v>45160</v>
      </c>
      <c r="F7813" s="6" t="n">
        <v>1.8</v>
      </c>
      <c r="G7813" t="n">
        <v>1</v>
      </c>
      <c r="H7813" s="6">
        <f>ROUND(G7813*F7813,2)</f>
        <v/>
      </c>
      <c r="I7813">
        <f>IF(ROUND(H7813-D7813,2)=0,1,0)</f>
        <v/>
      </c>
      <c r="J7813">
        <f>IF(F7813="","none",IF(G7813=1,"carte","multiple"))</f>
        <v/>
      </c>
    </row>
    <row r="7814">
      <c r="A7814" t="inlineStr">
        <is>
          <t>2023-03-18</t>
        </is>
      </c>
      <c r="B7814" t="inlineStr">
        <is>
          <t>19:45</t>
        </is>
      </c>
      <c r="C7814" t="n">
        <v>3149</v>
      </c>
      <c r="D7814" s="6" t="n">
        <v>8.9</v>
      </c>
      <c r="E7814" t="n">
        <v>45161</v>
      </c>
      <c r="F7814" s="6" t="n">
        <v>8.9</v>
      </c>
      <c r="G7814" t="n">
        <v>1</v>
      </c>
      <c r="H7814" s="6">
        <f>ROUND(G7814*F7814,2)</f>
        <v/>
      </c>
      <c r="I7814">
        <f>IF(ROUND(H7814-D7814,2)=0,1,0)</f>
        <v/>
      </c>
      <c r="J7814">
        <f>IF(F7814="","none",IF(G7814=1,"carte","multiple"))</f>
        <v/>
      </c>
    </row>
    <row r="7815">
      <c r="A7815" t="inlineStr">
        <is>
          <t>2023-03-18</t>
        </is>
      </c>
      <c r="B7815" t="inlineStr">
        <is>
          <t>19:45</t>
        </is>
      </c>
      <c r="C7815" t="n">
        <v>3149</v>
      </c>
      <c r="D7815" s="6" t="n">
        <v>3.5</v>
      </c>
      <c r="E7815" t="n">
        <v>45162</v>
      </c>
      <c r="F7815" s="6" t="n">
        <v>3.5</v>
      </c>
      <c r="G7815" t="n">
        <v>1</v>
      </c>
      <c r="H7815" s="6">
        <f>ROUND(G7815*F7815,2)</f>
        <v/>
      </c>
      <c r="I7815">
        <f>IF(ROUND(H7815-D7815,2)=0,1,0)</f>
        <v/>
      </c>
      <c r="J7815">
        <f>IF(F7815="","none",IF(G7815=1,"carte","multiple"))</f>
        <v/>
      </c>
    </row>
    <row r="7816">
      <c r="A7816" t="inlineStr">
        <is>
          <t>2023-03-18</t>
        </is>
      </c>
      <c r="B7816" t="inlineStr">
        <is>
          <t>19:45</t>
        </is>
      </c>
      <c r="C7816" t="n">
        <v>3149</v>
      </c>
      <c r="D7816" s="6" t="n">
        <v>14</v>
      </c>
      <c r="E7816" t="n">
        <v>45163</v>
      </c>
      <c r="F7816" s="6" t="n">
        <v>14</v>
      </c>
      <c r="G7816" t="n">
        <v>1</v>
      </c>
      <c r="H7816" s="6">
        <f>ROUND(G7816*F7816,2)</f>
        <v/>
      </c>
      <c r="I7816">
        <f>IF(ROUND(H7816-D7816,2)=0,1,0)</f>
        <v/>
      </c>
      <c r="J7816">
        <f>IF(F7816="","none",IF(G7816=1,"carte","multiple"))</f>
        <v/>
      </c>
    </row>
    <row r="7817">
      <c r="A7817" t="inlineStr">
        <is>
          <t>2023-03-18</t>
        </is>
      </c>
      <c r="B7817" t="inlineStr">
        <is>
          <t>19:45</t>
        </is>
      </c>
      <c r="C7817" t="n">
        <v>3149</v>
      </c>
      <c r="D7817" s="6" t="n">
        <v>2</v>
      </c>
      <c r="E7817" t="n">
        <v>45164</v>
      </c>
      <c r="F7817" s="6" t="n">
        <v>2</v>
      </c>
      <c r="G7817" t="n">
        <v>1</v>
      </c>
      <c r="H7817" s="6">
        <f>ROUND(G7817*F7817,2)</f>
        <v/>
      </c>
      <c r="I7817">
        <f>IF(ROUND(H7817-D7817,2)=0,1,0)</f>
        <v/>
      </c>
      <c r="J7817">
        <f>IF(F7817="","none",IF(G7817=1,"carte","multiple"))</f>
        <v/>
      </c>
    </row>
    <row r="7818">
      <c r="A7818" t="inlineStr">
        <is>
          <t>2023-03-19</t>
        </is>
      </c>
      <c r="B7818" t="inlineStr">
        <is>
          <t>10:16</t>
        </is>
      </c>
      <c r="C7818" t="n">
        <v>3150</v>
      </c>
      <c r="D7818" s="6" t="n">
        <v>4.2</v>
      </c>
      <c r="E7818" t="n">
        <v>45167</v>
      </c>
      <c r="F7818" s="6" t="n">
        <v>4.2</v>
      </c>
      <c r="G7818" t="n">
        <v>1</v>
      </c>
      <c r="H7818" s="6">
        <f>ROUND(G7818*F7818,2)</f>
        <v/>
      </c>
      <c r="I7818">
        <f>IF(ROUND(H7818-D7818,2)=0,1,0)</f>
        <v/>
      </c>
      <c r="J7818">
        <f>IF(F7818="","none",IF(G7818=1,"carte","multiple"))</f>
        <v/>
      </c>
    </row>
    <row r="7819">
      <c r="A7819" t="inlineStr">
        <is>
          <t>2023-03-19</t>
        </is>
      </c>
      <c r="B7819" t="inlineStr">
        <is>
          <t>10:27</t>
        </is>
      </c>
      <c r="C7819" t="n">
        <v>3150</v>
      </c>
      <c r="D7819" s="6" t="n">
        <v>8.1</v>
      </c>
      <c r="E7819" t="n">
        <v>45168</v>
      </c>
      <c r="F7819" s="6" t="n">
        <v>8.1</v>
      </c>
      <c r="G7819" t="n">
        <v>1</v>
      </c>
      <c r="H7819" s="6">
        <f>ROUND(G7819*F7819,2)</f>
        <v/>
      </c>
      <c r="I7819">
        <f>IF(ROUND(H7819-D7819,2)=0,1,0)</f>
        <v/>
      </c>
      <c r="J7819">
        <f>IF(F7819="","none",IF(G7819=1,"carte","multiple"))</f>
        <v/>
      </c>
    </row>
    <row r="7820">
      <c r="A7820" t="inlineStr">
        <is>
          <t>2023-03-19</t>
        </is>
      </c>
      <c r="B7820" t="inlineStr">
        <is>
          <t>11:17</t>
        </is>
      </c>
      <c r="C7820" t="n">
        <v>3150</v>
      </c>
      <c r="D7820" s="6" t="n">
        <v>22.6</v>
      </c>
      <c r="E7820" t="n">
        <v>45169</v>
      </c>
      <c r="H7820" t="inlineStr"/>
      <c r="I7820" t="inlineStr"/>
      <c r="J7820">
        <f>IF(F7820="","none",IF(G7820=1,"carte","multiple"))</f>
        <v/>
      </c>
    </row>
    <row r="7821">
      <c r="A7821" t="inlineStr">
        <is>
          <t>2023-03-19</t>
        </is>
      </c>
      <c r="B7821" t="inlineStr">
        <is>
          <t>12:16</t>
        </is>
      </c>
      <c r="C7821" t="n">
        <v>3150</v>
      </c>
      <c r="D7821" s="6" t="n">
        <v>8.800000000000001</v>
      </c>
      <c r="E7821" t="n">
        <v>45170</v>
      </c>
      <c r="F7821" s="6" t="n">
        <v>8.800000000000001</v>
      </c>
      <c r="G7821" t="n">
        <v>1</v>
      </c>
      <c r="H7821" s="6">
        <f>ROUND(G7821*F7821,2)</f>
        <v/>
      </c>
      <c r="I7821">
        <f>IF(ROUND(H7821-D7821,2)=0,1,0)</f>
        <v/>
      </c>
      <c r="J7821">
        <f>IF(F7821="","none",IF(G7821=1,"carte","multiple"))</f>
        <v/>
      </c>
    </row>
    <row r="7822">
      <c r="A7822" t="inlineStr">
        <is>
          <t>2023-03-19</t>
        </is>
      </c>
      <c r="B7822" t="inlineStr">
        <is>
          <t>12:16</t>
        </is>
      </c>
      <c r="C7822" t="n">
        <v>3150</v>
      </c>
      <c r="D7822" s="6" t="n">
        <v>2.9</v>
      </c>
      <c r="E7822" t="n">
        <v>45171</v>
      </c>
      <c r="F7822" s="6" t="n">
        <v>2.9</v>
      </c>
      <c r="G7822" t="n">
        <v>1</v>
      </c>
      <c r="H7822" s="6">
        <f>ROUND(G7822*F7822,2)</f>
        <v/>
      </c>
      <c r="I7822">
        <f>IF(ROUND(H7822-D7822,2)=0,1,0)</f>
        <v/>
      </c>
      <c r="J7822">
        <f>IF(F7822="","none",IF(G7822=1,"carte","multiple"))</f>
        <v/>
      </c>
    </row>
    <row r="7823">
      <c r="A7823" t="inlineStr">
        <is>
          <t>2023-03-19</t>
        </is>
      </c>
      <c r="B7823" t="inlineStr">
        <is>
          <t>12:16</t>
        </is>
      </c>
      <c r="C7823" t="n">
        <v>3150</v>
      </c>
      <c r="D7823" s="6" t="n">
        <v>6.9</v>
      </c>
      <c r="E7823" t="n">
        <v>45172</v>
      </c>
      <c r="F7823" s="6" t="n">
        <v>6.9</v>
      </c>
      <c r="G7823" t="n">
        <v>1</v>
      </c>
      <c r="H7823" s="6">
        <f>ROUND(G7823*F7823,2)</f>
        <v/>
      </c>
      <c r="I7823">
        <f>IF(ROUND(H7823-D7823,2)=0,1,0)</f>
        <v/>
      </c>
      <c r="J7823">
        <f>IF(F7823="","none",IF(G7823=1,"carte","multiple"))</f>
        <v/>
      </c>
    </row>
    <row r="7824">
      <c r="A7824" t="inlineStr">
        <is>
          <t>2023-03-19</t>
        </is>
      </c>
      <c r="B7824" t="inlineStr">
        <is>
          <t>12:16</t>
        </is>
      </c>
      <c r="C7824" t="n">
        <v>3150</v>
      </c>
      <c r="D7824" s="6" t="n">
        <v>13.8</v>
      </c>
      <c r="E7824" t="n">
        <v>45173</v>
      </c>
      <c r="F7824" s="6" t="n">
        <v>4.6</v>
      </c>
      <c r="G7824" t="n">
        <v>3</v>
      </c>
      <c r="H7824" s="6">
        <f>ROUND(G7824*F7824,2)</f>
        <v/>
      </c>
      <c r="I7824">
        <f>IF(ROUND(H7824-D7824,2)=0,1,0)</f>
        <v/>
      </c>
      <c r="J7824">
        <f>IF(F7824="","none",IF(G7824=1,"carte","multiple"))</f>
        <v/>
      </c>
    </row>
    <row r="7825">
      <c r="A7825" t="inlineStr">
        <is>
          <t>2023-03-19</t>
        </is>
      </c>
      <c r="B7825" t="inlineStr">
        <is>
          <t>12:16</t>
        </is>
      </c>
      <c r="C7825" t="n">
        <v>3150</v>
      </c>
      <c r="D7825" s="6" t="n">
        <v>7.9</v>
      </c>
      <c r="E7825" t="n">
        <v>45174</v>
      </c>
      <c r="F7825" s="6" t="n">
        <v>7.9</v>
      </c>
      <c r="G7825" t="n">
        <v>1</v>
      </c>
      <c r="H7825" s="6">
        <f>ROUND(G7825*F7825,2)</f>
        <v/>
      </c>
      <c r="I7825">
        <f>IF(ROUND(H7825-D7825,2)=0,1,0)</f>
        <v/>
      </c>
      <c r="J7825">
        <f>IF(F7825="","none",IF(G7825=1,"carte","multiple"))</f>
        <v/>
      </c>
    </row>
    <row r="7826">
      <c r="A7826" t="inlineStr">
        <is>
          <t>2023-03-19</t>
        </is>
      </c>
      <c r="B7826" t="inlineStr">
        <is>
          <t>12:16</t>
        </is>
      </c>
      <c r="C7826" t="n">
        <v>3150</v>
      </c>
      <c r="D7826" s="6" t="n">
        <v>3.9</v>
      </c>
      <c r="E7826" t="n">
        <v>45175</v>
      </c>
      <c r="F7826" s="6" t="n">
        <v>3.9</v>
      </c>
      <c r="G7826" t="n">
        <v>1</v>
      </c>
      <c r="H7826" s="6">
        <f>ROUND(G7826*F7826,2)</f>
        <v/>
      </c>
      <c r="I7826">
        <f>IF(ROUND(H7826-D7826,2)=0,1,0)</f>
        <v/>
      </c>
      <c r="J7826">
        <f>IF(F7826="","none",IF(G7826=1,"carte","multiple"))</f>
        <v/>
      </c>
    </row>
    <row r="7827">
      <c r="A7827" t="inlineStr">
        <is>
          <t>2023-03-19</t>
        </is>
      </c>
      <c r="B7827" t="inlineStr">
        <is>
          <t>12:16</t>
        </is>
      </c>
      <c r="C7827" t="n">
        <v>3150</v>
      </c>
      <c r="D7827" s="6" t="n">
        <v>18.6</v>
      </c>
      <c r="E7827" t="n">
        <v>45176</v>
      </c>
      <c r="F7827" s="6" t="n">
        <v>18.6</v>
      </c>
      <c r="G7827" t="n">
        <v>1</v>
      </c>
      <c r="H7827" s="6">
        <f>ROUND(G7827*F7827,2)</f>
        <v/>
      </c>
      <c r="I7827">
        <f>IF(ROUND(H7827-D7827,2)=0,1,0)</f>
        <v/>
      </c>
      <c r="J7827">
        <f>IF(F7827="","none",IF(G7827=1,"carte","multiple"))</f>
        <v/>
      </c>
    </row>
    <row r="7828">
      <c r="A7828" t="inlineStr">
        <is>
          <t>2023-03-19</t>
        </is>
      </c>
      <c r="B7828" t="inlineStr">
        <is>
          <t>12:16</t>
        </is>
      </c>
      <c r="C7828" t="n">
        <v>3150</v>
      </c>
      <c r="D7828" s="6" t="n">
        <v>18.6</v>
      </c>
      <c r="E7828" t="n">
        <v>45177</v>
      </c>
      <c r="F7828" s="6" t="n">
        <v>18.6</v>
      </c>
      <c r="G7828" t="n">
        <v>1</v>
      </c>
      <c r="H7828" s="6">
        <f>ROUND(G7828*F7828,2)</f>
        <v/>
      </c>
      <c r="I7828">
        <f>IF(ROUND(H7828-D7828,2)=0,1,0)</f>
        <v/>
      </c>
      <c r="J7828">
        <f>IF(F7828="","none",IF(G7828=1,"carte","multiple"))</f>
        <v/>
      </c>
    </row>
    <row r="7829">
      <c r="A7829" t="inlineStr">
        <is>
          <t>2023-03-19</t>
        </is>
      </c>
      <c r="B7829" t="inlineStr">
        <is>
          <t>12:16</t>
        </is>
      </c>
      <c r="C7829" t="n">
        <v>3150</v>
      </c>
      <c r="D7829" s="6" t="n">
        <v>38</v>
      </c>
      <c r="E7829" t="n">
        <v>45178</v>
      </c>
      <c r="F7829" s="6" t="n">
        <v>0.4</v>
      </c>
      <c r="G7829" t="n">
        <v>95</v>
      </c>
      <c r="H7829" s="6">
        <f>ROUND(G7829*F7829,2)</f>
        <v/>
      </c>
      <c r="I7829">
        <f>IF(ROUND(H7829-D7829,2)=0,1,0)</f>
        <v/>
      </c>
      <c r="J7829">
        <f>IF(F7829="","none",IF(G7829=1,"carte","multiple"))</f>
        <v/>
      </c>
    </row>
    <row r="7830">
      <c r="A7830" t="inlineStr">
        <is>
          <t>2023-03-19</t>
        </is>
      </c>
      <c r="B7830" t="inlineStr">
        <is>
          <t>12:16</t>
        </is>
      </c>
      <c r="C7830" t="n">
        <v>3150</v>
      </c>
      <c r="D7830" s="6" t="n">
        <v>27.8</v>
      </c>
      <c r="E7830" t="n">
        <v>45179</v>
      </c>
      <c r="F7830" s="6" t="n">
        <v>27.8</v>
      </c>
      <c r="G7830" t="n">
        <v>1</v>
      </c>
      <c r="H7830" s="6">
        <f>ROUND(G7830*F7830,2)</f>
        <v/>
      </c>
      <c r="I7830">
        <f>IF(ROUND(H7830-D7830,2)=0,1,0)</f>
        <v/>
      </c>
      <c r="J7830">
        <f>IF(F7830="","none",IF(G7830=1,"carte","multiple"))</f>
        <v/>
      </c>
    </row>
    <row r="7831">
      <c r="A7831" t="inlineStr">
        <is>
          <t>2023-03-19</t>
        </is>
      </c>
      <c r="B7831" t="inlineStr">
        <is>
          <t>12:16</t>
        </is>
      </c>
      <c r="C7831" t="n">
        <v>3150</v>
      </c>
      <c r="D7831" s="6" t="n">
        <v>13.4</v>
      </c>
      <c r="E7831" t="n">
        <v>45180</v>
      </c>
      <c r="F7831" s="6" t="n">
        <v>13.4</v>
      </c>
      <c r="G7831" t="n">
        <v>1</v>
      </c>
      <c r="H7831" s="6">
        <f>ROUND(G7831*F7831,2)</f>
        <v/>
      </c>
      <c r="I7831">
        <f>IF(ROUND(H7831-D7831,2)=0,1,0)</f>
        <v/>
      </c>
      <c r="J7831">
        <f>IF(F7831="","none",IF(G7831=1,"carte","multiple"))</f>
        <v/>
      </c>
    </row>
    <row r="7832">
      <c r="A7832" t="inlineStr">
        <is>
          <t>2023-03-19</t>
        </is>
      </c>
      <c r="B7832" t="inlineStr">
        <is>
          <t>12:16</t>
        </is>
      </c>
      <c r="C7832" t="n">
        <v>3150</v>
      </c>
      <c r="D7832" s="6" t="n">
        <v>7.8</v>
      </c>
      <c r="E7832" t="n">
        <v>45181</v>
      </c>
      <c r="F7832" s="6" t="n">
        <v>7.8</v>
      </c>
      <c r="G7832" t="n">
        <v>1</v>
      </c>
      <c r="H7832" s="6">
        <f>ROUND(G7832*F7832,2)</f>
        <v/>
      </c>
      <c r="I7832">
        <f>IF(ROUND(H7832-D7832,2)=0,1,0)</f>
        <v/>
      </c>
      <c r="J7832">
        <f>IF(F7832="","none",IF(G7832=1,"carte","multiple"))</f>
        <v/>
      </c>
    </row>
    <row r="7833">
      <c r="A7833" t="inlineStr">
        <is>
          <t>2023-03-19</t>
        </is>
      </c>
      <c r="B7833" t="inlineStr">
        <is>
          <t>12:19</t>
        </is>
      </c>
      <c r="C7833" t="n">
        <v>3150</v>
      </c>
      <c r="D7833" s="6" t="n">
        <v>2.9</v>
      </c>
      <c r="E7833" t="n">
        <v>45182</v>
      </c>
      <c r="F7833" s="6" t="n">
        <v>2.9</v>
      </c>
      <c r="G7833" t="n">
        <v>1</v>
      </c>
      <c r="H7833" s="6">
        <f>ROUND(G7833*F7833,2)</f>
        <v/>
      </c>
      <c r="I7833">
        <f>IF(ROUND(H7833-D7833,2)=0,1,0)</f>
        <v/>
      </c>
      <c r="J7833">
        <f>IF(F7833="","none",IF(G7833=1,"carte","multiple"))</f>
        <v/>
      </c>
    </row>
    <row r="7834">
      <c r="A7834" t="inlineStr">
        <is>
          <t>2023-03-19</t>
        </is>
      </c>
      <c r="B7834" t="inlineStr">
        <is>
          <t>12:20</t>
        </is>
      </c>
      <c r="C7834" t="n">
        <v>3150</v>
      </c>
      <c r="D7834" s="6" t="n">
        <v>3.9</v>
      </c>
      <c r="E7834" t="n">
        <v>45183</v>
      </c>
      <c r="F7834" s="6" t="n">
        <v>3.9</v>
      </c>
      <c r="G7834" t="n">
        <v>1</v>
      </c>
      <c r="H7834" s="6">
        <f>ROUND(G7834*F7834,2)</f>
        <v/>
      </c>
      <c r="I7834">
        <f>IF(ROUND(H7834-D7834,2)=0,1,0)</f>
        <v/>
      </c>
      <c r="J7834">
        <f>IF(F7834="","none",IF(G7834=1,"carte","multiple"))</f>
        <v/>
      </c>
    </row>
    <row r="7835">
      <c r="A7835" t="inlineStr">
        <is>
          <t>2023-03-19</t>
        </is>
      </c>
      <c r="B7835" t="inlineStr">
        <is>
          <t>12:35</t>
        </is>
      </c>
      <c r="C7835" t="n">
        <v>3150</v>
      </c>
      <c r="D7835" s="6" t="n">
        <v>24</v>
      </c>
      <c r="E7835" t="n">
        <v>45184</v>
      </c>
      <c r="F7835" s="6" t="n">
        <v>24</v>
      </c>
      <c r="G7835" t="n">
        <v>1</v>
      </c>
      <c r="H7835" s="6">
        <f>ROUND(G7835*F7835,2)</f>
        <v/>
      </c>
      <c r="I7835">
        <f>IF(ROUND(H7835-D7835,2)=0,1,0)</f>
        <v/>
      </c>
      <c r="J7835">
        <f>IF(F7835="","none",IF(G7835=1,"carte","multiple"))</f>
        <v/>
      </c>
    </row>
    <row r="7836">
      <c r="A7836" t="inlineStr">
        <is>
          <t>2023-03-19</t>
        </is>
      </c>
      <c r="B7836" t="inlineStr">
        <is>
          <t>12:35</t>
        </is>
      </c>
      <c r="C7836" t="n">
        <v>3150</v>
      </c>
      <c r="D7836" s="6" t="n">
        <v>18</v>
      </c>
      <c r="E7836" t="n">
        <v>45185</v>
      </c>
      <c r="F7836" s="6" t="n">
        <v>18</v>
      </c>
      <c r="G7836" t="n">
        <v>1</v>
      </c>
      <c r="H7836" s="6">
        <f>ROUND(G7836*F7836,2)</f>
        <v/>
      </c>
      <c r="I7836">
        <f>IF(ROUND(H7836-D7836,2)=0,1,0)</f>
        <v/>
      </c>
      <c r="J7836">
        <f>IF(F7836="","none",IF(G7836=1,"carte","multiple"))</f>
        <v/>
      </c>
    </row>
    <row r="7837">
      <c r="A7837" t="inlineStr">
        <is>
          <t>2023-03-19</t>
        </is>
      </c>
      <c r="B7837" t="inlineStr">
        <is>
          <t>12:35</t>
        </is>
      </c>
      <c r="C7837" t="n">
        <v>3150</v>
      </c>
      <c r="D7837" s="6" t="n">
        <v>34</v>
      </c>
      <c r="E7837" t="n">
        <v>45186</v>
      </c>
      <c r="F7837" s="6" t="n">
        <v>34</v>
      </c>
      <c r="G7837" t="n">
        <v>1</v>
      </c>
      <c r="H7837" s="6">
        <f>ROUND(G7837*F7837,2)</f>
        <v/>
      </c>
      <c r="I7837">
        <f>IF(ROUND(H7837-D7837,2)=0,1,0)</f>
        <v/>
      </c>
      <c r="J7837">
        <f>IF(F7837="","none",IF(G7837=1,"carte","multiple"))</f>
        <v/>
      </c>
    </row>
    <row r="7838">
      <c r="A7838" t="inlineStr">
        <is>
          <t>2023-03-19</t>
        </is>
      </c>
      <c r="B7838" t="inlineStr">
        <is>
          <t>12:35</t>
        </is>
      </c>
      <c r="C7838" t="n">
        <v>3150</v>
      </c>
      <c r="D7838" s="6" t="n">
        <v>38</v>
      </c>
      <c r="E7838" t="n">
        <v>45187</v>
      </c>
      <c r="F7838" s="6" t="n">
        <v>0.4</v>
      </c>
      <c r="G7838" t="n">
        <v>95</v>
      </c>
      <c r="H7838" s="6">
        <f>ROUND(G7838*F7838,2)</f>
        <v/>
      </c>
      <c r="I7838">
        <f>IF(ROUND(H7838-D7838,2)=0,1,0)</f>
        <v/>
      </c>
      <c r="J7838">
        <f>IF(F7838="","none",IF(G7838=1,"carte","multiple"))</f>
        <v/>
      </c>
    </row>
    <row r="7839">
      <c r="A7839" t="inlineStr">
        <is>
          <t>2023-03-19</t>
        </is>
      </c>
      <c r="B7839" t="inlineStr">
        <is>
          <t>12:35</t>
        </is>
      </c>
      <c r="C7839" t="n">
        <v>3150</v>
      </c>
      <c r="D7839" s="6" t="n">
        <v>6.9</v>
      </c>
      <c r="E7839" t="n">
        <v>45188</v>
      </c>
      <c r="F7839" s="6" t="n">
        <v>6.9</v>
      </c>
      <c r="G7839" t="n">
        <v>1</v>
      </c>
      <c r="H7839" s="6">
        <f>ROUND(G7839*F7839,2)</f>
        <v/>
      </c>
      <c r="I7839">
        <f>IF(ROUND(H7839-D7839,2)=0,1,0)</f>
        <v/>
      </c>
      <c r="J7839">
        <f>IF(F7839="","none",IF(G7839=1,"carte","multiple"))</f>
        <v/>
      </c>
    </row>
    <row r="7840">
      <c r="A7840" t="inlineStr">
        <is>
          <t>2023-03-19</t>
        </is>
      </c>
      <c r="B7840" t="inlineStr">
        <is>
          <t>12:35</t>
        </is>
      </c>
      <c r="C7840" t="n">
        <v>3150</v>
      </c>
      <c r="D7840" s="6" t="n">
        <v>3.9</v>
      </c>
      <c r="E7840" t="n">
        <v>45189</v>
      </c>
      <c r="F7840" s="6" t="n">
        <v>3.9</v>
      </c>
      <c r="G7840" t="n">
        <v>1</v>
      </c>
      <c r="H7840" s="6">
        <f>ROUND(G7840*F7840,2)</f>
        <v/>
      </c>
      <c r="I7840">
        <f>IF(ROUND(H7840-D7840,2)=0,1,0)</f>
        <v/>
      </c>
      <c r="J7840">
        <f>IF(F7840="","none",IF(G7840=1,"carte","multiple"))</f>
        <v/>
      </c>
    </row>
    <row r="7841">
      <c r="A7841" t="inlineStr">
        <is>
          <t>2023-03-22</t>
        </is>
      </c>
      <c r="B7841" t="inlineStr">
        <is>
          <t>12:26</t>
        </is>
      </c>
      <c r="C7841" t="n">
        <v>3151</v>
      </c>
      <c r="D7841" s="6" t="n">
        <v>3.4</v>
      </c>
      <c r="E7841" t="n">
        <v>45192</v>
      </c>
      <c r="F7841" s="6" t="n">
        <v>3.4</v>
      </c>
      <c r="G7841" t="n">
        <v>1</v>
      </c>
      <c r="H7841" s="6">
        <f>ROUND(G7841*F7841,2)</f>
        <v/>
      </c>
      <c r="I7841">
        <f>IF(ROUND(H7841-D7841,2)=0,1,0)</f>
        <v/>
      </c>
      <c r="J7841">
        <f>IF(F7841="","none",IF(G7841=1,"carte","multiple"))</f>
        <v/>
      </c>
    </row>
    <row r="7842">
      <c r="A7842" t="inlineStr">
        <is>
          <t>2023-03-22</t>
        </is>
      </c>
      <c r="B7842" t="inlineStr">
        <is>
          <t>12:26</t>
        </is>
      </c>
      <c r="C7842" t="n">
        <v>3151</v>
      </c>
      <c r="D7842" s="6" t="n">
        <v>4.4</v>
      </c>
      <c r="E7842" t="n">
        <v>45193</v>
      </c>
      <c r="F7842" s="6" t="n">
        <v>0.4</v>
      </c>
      <c r="G7842" t="n">
        <v>11</v>
      </c>
      <c r="H7842" s="6">
        <f>ROUND(G7842*F7842,2)</f>
        <v/>
      </c>
      <c r="I7842">
        <f>IF(ROUND(H7842-D7842,2)=0,1,0)</f>
        <v/>
      </c>
      <c r="J7842">
        <f>IF(F7842="","none",IF(G7842=1,"carte","multiple"))</f>
        <v/>
      </c>
    </row>
    <row r="7843">
      <c r="A7843" t="inlineStr">
        <is>
          <t>2023-03-22</t>
        </is>
      </c>
      <c r="B7843" t="inlineStr">
        <is>
          <t>12:26</t>
        </is>
      </c>
      <c r="C7843" t="n">
        <v>3151</v>
      </c>
      <c r="D7843" s="6" t="n">
        <v>2</v>
      </c>
      <c r="E7843" t="n">
        <v>45194</v>
      </c>
      <c r="F7843" s="6" t="n">
        <v>2</v>
      </c>
      <c r="G7843" t="n">
        <v>1</v>
      </c>
      <c r="H7843" s="6">
        <f>ROUND(G7843*F7843,2)</f>
        <v/>
      </c>
      <c r="I7843">
        <f>IF(ROUND(H7843-D7843,2)=0,1,0)</f>
        <v/>
      </c>
      <c r="J7843">
        <f>IF(F7843="","none",IF(G7843=1,"carte","multiple"))</f>
        <v/>
      </c>
    </row>
    <row r="7844">
      <c r="A7844" t="inlineStr">
        <is>
          <t>2023-03-22</t>
        </is>
      </c>
      <c r="B7844" t="inlineStr">
        <is>
          <t>12:26</t>
        </is>
      </c>
      <c r="C7844" t="n">
        <v>3151</v>
      </c>
      <c r="D7844" s="6" t="n">
        <v>25</v>
      </c>
      <c r="E7844" t="n">
        <v>45195</v>
      </c>
      <c r="F7844" s="6" t="n">
        <v>25</v>
      </c>
      <c r="G7844" t="n">
        <v>1</v>
      </c>
      <c r="H7844" s="6">
        <f>ROUND(G7844*F7844,2)</f>
        <v/>
      </c>
      <c r="I7844">
        <f>IF(ROUND(H7844-D7844,2)=0,1,0)</f>
        <v/>
      </c>
      <c r="J7844">
        <f>IF(F7844="","none",IF(G7844=1,"carte","multiple"))</f>
        <v/>
      </c>
    </row>
    <row r="7845">
      <c r="A7845" t="inlineStr">
        <is>
          <t>2023-03-22</t>
        </is>
      </c>
      <c r="B7845" t="inlineStr">
        <is>
          <t>12:26</t>
        </is>
      </c>
      <c r="C7845" t="n">
        <v>3151</v>
      </c>
      <c r="D7845" s="6" t="n">
        <v>18.6</v>
      </c>
      <c r="E7845" t="n">
        <v>45196</v>
      </c>
      <c r="F7845" s="6" t="n">
        <v>18.6</v>
      </c>
      <c r="G7845" t="n">
        <v>1</v>
      </c>
      <c r="H7845" s="6">
        <f>ROUND(G7845*F7845,2)</f>
        <v/>
      </c>
      <c r="I7845">
        <f>IF(ROUND(H7845-D7845,2)=0,1,0)</f>
        <v/>
      </c>
      <c r="J7845">
        <f>IF(F7845="","none",IF(G7845=1,"carte","multiple"))</f>
        <v/>
      </c>
    </row>
    <row r="7846">
      <c r="A7846" t="inlineStr">
        <is>
          <t>2023-03-22</t>
        </is>
      </c>
      <c r="B7846" t="inlineStr">
        <is>
          <t>19:07</t>
        </is>
      </c>
      <c r="C7846" t="n">
        <v>3151</v>
      </c>
      <c r="D7846" s="6" t="n">
        <v>6.9</v>
      </c>
      <c r="E7846" t="n">
        <v>45197</v>
      </c>
      <c r="F7846" s="6" t="n">
        <v>6.9</v>
      </c>
      <c r="G7846" t="n">
        <v>1</v>
      </c>
      <c r="H7846" s="6">
        <f>ROUND(G7846*F7846,2)</f>
        <v/>
      </c>
      <c r="I7846">
        <f>IF(ROUND(H7846-D7846,2)=0,1,0)</f>
        <v/>
      </c>
      <c r="J7846">
        <f>IF(F7846="","none",IF(G7846=1,"carte","multiple"))</f>
        <v/>
      </c>
    </row>
    <row r="7847">
      <c r="A7847" t="inlineStr">
        <is>
          <t>2023-03-22</t>
        </is>
      </c>
      <c r="B7847" t="inlineStr">
        <is>
          <t>19:49</t>
        </is>
      </c>
      <c r="C7847" t="n">
        <v>3151</v>
      </c>
      <c r="D7847" s="6" t="n">
        <v>16.9</v>
      </c>
      <c r="E7847" t="n">
        <v>45198</v>
      </c>
      <c r="F7847" s="6" t="n">
        <v>16.9</v>
      </c>
      <c r="G7847" t="n">
        <v>1</v>
      </c>
      <c r="H7847" s="6">
        <f>ROUND(G7847*F7847,2)</f>
        <v/>
      </c>
      <c r="I7847">
        <f>IF(ROUND(H7847-D7847,2)=0,1,0)</f>
        <v/>
      </c>
      <c r="J7847">
        <f>IF(F7847="","none",IF(G7847=1,"carte","multiple"))</f>
        <v/>
      </c>
    </row>
    <row r="7848">
      <c r="A7848" t="inlineStr">
        <is>
          <t>2023-03-22</t>
        </is>
      </c>
      <c r="B7848" t="inlineStr">
        <is>
          <t>19:49</t>
        </is>
      </c>
      <c r="C7848" t="n">
        <v>3151</v>
      </c>
      <c r="D7848" s="6" t="n">
        <v>27.8</v>
      </c>
      <c r="E7848" t="n">
        <v>45199</v>
      </c>
      <c r="F7848" s="6" t="n">
        <v>27.8</v>
      </c>
      <c r="G7848" t="n">
        <v>1</v>
      </c>
      <c r="H7848" s="6">
        <f>ROUND(G7848*F7848,2)</f>
        <v/>
      </c>
      <c r="I7848">
        <f>IF(ROUND(H7848-D7848,2)=0,1,0)</f>
        <v/>
      </c>
      <c r="J7848">
        <f>IF(F7848="","none",IF(G7848=1,"carte","multiple"))</f>
        <v/>
      </c>
    </row>
    <row r="7849">
      <c r="A7849" t="inlineStr">
        <is>
          <t>2023-03-22</t>
        </is>
      </c>
      <c r="B7849" t="inlineStr">
        <is>
          <t>19:49</t>
        </is>
      </c>
      <c r="C7849" t="n">
        <v>3151</v>
      </c>
      <c r="D7849" s="6" t="n">
        <v>36</v>
      </c>
      <c r="E7849" t="n">
        <v>45200</v>
      </c>
      <c r="F7849" s="6" t="n">
        <v>36</v>
      </c>
      <c r="G7849" t="n">
        <v>1</v>
      </c>
      <c r="H7849" s="6">
        <f>ROUND(G7849*F7849,2)</f>
        <v/>
      </c>
      <c r="I7849">
        <f>IF(ROUND(H7849-D7849,2)=0,1,0)</f>
        <v/>
      </c>
      <c r="J7849">
        <f>IF(F7849="","none",IF(G7849=1,"carte","multiple"))</f>
        <v/>
      </c>
    </row>
    <row r="7850">
      <c r="A7850" t="inlineStr">
        <is>
          <t>2023-03-22</t>
        </is>
      </c>
      <c r="B7850" t="inlineStr">
        <is>
          <t>19:49</t>
        </is>
      </c>
      <c r="C7850" t="n">
        <v>3151</v>
      </c>
      <c r="D7850" s="6" t="n">
        <v>2.2</v>
      </c>
      <c r="E7850" t="n">
        <v>45201</v>
      </c>
      <c r="F7850" s="6" t="n">
        <v>2.2</v>
      </c>
      <c r="G7850" t="n">
        <v>1</v>
      </c>
      <c r="H7850" s="6">
        <f>ROUND(G7850*F7850,2)</f>
        <v/>
      </c>
      <c r="I7850">
        <f>IF(ROUND(H7850-D7850,2)=0,1,0)</f>
        <v/>
      </c>
      <c r="J7850">
        <f>IF(F7850="","none",IF(G7850=1,"carte","multiple"))</f>
        <v/>
      </c>
    </row>
    <row r="7851">
      <c r="A7851" t="inlineStr">
        <is>
          <t>2023-03-22</t>
        </is>
      </c>
      <c r="B7851" t="inlineStr">
        <is>
          <t>20:36</t>
        </is>
      </c>
      <c r="C7851" t="n">
        <v>3151</v>
      </c>
      <c r="D7851" s="6" t="n">
        <v>2.2</v>
      </c>
      <c r="E7851" t="n">
        <v>45202</v>
      </c>
      <c r="F7851" s="6" t="n">
        <v>2.2</v>
      </c>
      <c r="G7851" t="n">
        <v>1</v>
      </c>
      <c r="H7851" s="6">
        <f>ROUND(G7851*F7851,2)</f>
        <v/>
      </c>
      <c r="I7851">
        <f>IF(ROUND(H7851-D7851,2)=0,1,0)</f>
        <v/>
      </c>
      <c r="J7851">
        <f>IF(F7851="","none",IF(G7851=1,"carte","multiple"))</f>
        <v/>
      </c>
    </row>
    <row r="7852">
      <c r="A7852" t="inlineStr">
        <is>
          <t>2023-03-22</t>
        </is>
      </c>
      <c r="B7852" t="inlineStr">
        <is>
          <t>20:36</t>
        </is>
      </c>
      <c r="C7852" t="n">
        <v>3151</v>
      </c>
      <c r="D7852" s="6" t="n">
        <v>6.9</v>
      </c>
      <c r="E7852" t="n">
        <v>45203</v>
      </c>
      <c r="F7852" s="6" t="n">
        <v>6.9</v>
      </c>
      <c r="G7852" t="n">
        <v>1</v>
      </c>
      <c r="H7852" s="6">
        <f>ROUND(G7852*F7852,2)</f>
        <v/>
      </c>
      <c r="I7852">
        <f>IF(ROUND(H7852-D7852,2)=0,1,0)</f>
        <v/>
      </c>
      <c r="J7852">
        <f>IF(F7852="","none",IF(G7852=1,"carte","multiple"))</f>
        <v/>
      </c>
    </row>
    <row r="7853">
      <c r="A7853" t="inlineStr">
        <is>
          <t>2023-03-22</t>
        </is>
      </c>
      <c r="B7853" t="inlineStr">
        <is>
          <t>20:36</t>
        </is>
      </c>
      <c r="C7853" t="n">
        <v>3151</v>
      </c>
      <c r="D7853" s="6" t="n">
        <v>8.5</v>
      </c>
      <c r="E7853" t="n">
        <v>45204</v>
      </c>
      <c r="F7853" s="6" t="n">
        <v>8.5</v>
      </c>
      <c r="G7853" t="n">
        <v>1</v>
      </c>
      <c r="H7853" s="6">
        <f>ROUND(G7853*F7853,2)</f>
        <v/>
      </c>
      <c r="I7853">
        <f>IF(ROUND(H7853-D7853,2)=0,1,0)</f>
        <v/>
      </c>
      <c r="J7853">
        <f>IF(F7853="","none",IF(G7853=1,"carte","multiple"))</f>
        <v/>
      </c>
    </row>
    <row r="7854">
      <c r="A7854" t="inlineStr">
        <is>
          <t>2023-03-22</t>
        </is>
      </c>
      <c r="B7854" t="inlineStr">
        <is>
          <t>20:36</t>
        </is>
      </c>
      <c r="C7854" t="n">
        <v>3151</v>
      </c>
      <c r="D7854" s="6" t="n">
        <v>8.699999999999999</v>
      </c>
      <c r="E7854" t="n">
        <v>45205</v>
      </c>
      <c r="F7854" s="6" t="n">
        <v>8.699999999999999</v>
      </c>
      <c r="G7854" t="n">
        <v>1</v>
      </c>
      <c r="H7854" s="6">
        <f>ROUND(G7854*F7854,2)</f>
        <v/>
      </c>
      <c r="I7854">
        <f>IF(ROUND(H7854-D7854,2)=0,1,0)</f>
        <v/>
      </c>
      <c r="J7854">
        <f>IF(F7854="","none",IF(G7854=1,"carte","multiple"))</f>
        <v/>
      </c>
    </row>
    <row r="7855">
      <c r="A7855" t="inlineStr">
        <is>
          <t>2023-03-22</t>
        </is>
      </c>
      <c r="B7855" t="inlineStr">
        <is>
          <t>20:36</t>
        </is>
      </c>
      <c r="C7855" t="n">
        <v>3151</v>
      </c>
      <c r="D7855" s="6" t="n">
        <v>11.8</v>
      </c>
      <c r="E7855" t="n">
        <v>45206</v>
      </c>
      <c r="F7855" s="6" t="n">
        <v>5.9</v>
      </c>
      <c r="G7855" t="n">
        <v>2</v>
      </c>
      <c r="H7855" s="6">
        <f>ROUND(G7855*F7855,2)</f>
        <v/>
      </c>
      <c r="I7855">
        <f>IF(ROUND(H7855-D7855,2)=0,1,0)</f>
        <v/>
      </c>
      <c r="J7855">
        <f>IF(F7855="","none",IF(G7855=1,"carte","multiple"))</f>
        <v/>
      </c>
    </row>
    <row r="7856">
      <c r="A7856" t="inlineStr">
        <is>
          <t>2023-03-22</t>
        </is>
      </c>
      <c r="B7856" t="inlineStr">
        <is>
          <t>20:36</t>
        </is>
      </c>
      <c r="C7856" t="n">
        <v>3151</v>
      </c>
      <c r="D7856" s="6" t="n">
        <v>10.4</v>
      </c>
      <c r="E7856" t="n">
        <v>45207</v>
      </c>
      <c r="F7856" s="6" t="n">
        <v>0.4</v>
      </c>
      <c r="G7856" t="n">
        <v>26</v>
      </c>
      <c r="H7856" s="6">
        <f>ROUND(G7856*F7856,2)</f>
        <v/>
      </c>
      <c r="I7856">
        <f>IF(ROUND(H7856-D7856,2)=0,1,0)</f>
        <v/>
      </c>
      <c r="J7856">
        <f>IF(F7856="","none",IF(G7856=1,"carte","multiple"))</f>
        <v/>
      </c>
    </row>
    <row r="7857">
      <c r="A7857" t="inlineStr">
        <is>
          <t>2023-03-22</t>
        </is>
      </c>
      <c r="B7857" t="inlineStr">
        <is>
          <t>20:36</t>
        </is>
      </c>
      <c r="C7857" t="n">
        <v>3151</v>
      </c>
      <c r="D7857" s="6" t="n">
        <v>5.2</v>
      </c>
      <c r="E7857" t="n">
        <v>45208</v>
      </c>
      <c r="F7857" s="6" t="n">
        <v>5.2</v>
      </c>
      <c r="G7857" t="n">
        <v>1</v>
      </c>
      <c r="H7857" s="6">
        <f>ROUND(G7857*F7857,2)</f>
        <v/>
      </c>
      <c r="I7857">
        <f>IF(ROUND(H7857-D7857,2)=0,1,0)</f>
        <v/>
      </c>
      <c r="J7857">
        <f>IF(F7857="","none",IF(G7857=1,"carte","multiple"))</f>
        <v/>
      </c>
    </row>
    <row r="7858">
      <c r="A7858" t="inlineStr">
        <is>
          <t>2023-03-22</t>
        </is>
      </c>
      <c r="B7858" t="inlineStr">
        <is>
          <t>20:36</t>
        </is>
      </c>
      <c r="C7858" t="n">
        <v>3151</v>
      </c>
      <c r="D7858" s="6" t="n">
        <v>24</v>
      </c>
      <c r="E7858" t="n">
        <v>45209</v>
      </c>
      <c r="F7858" s="6" t="n">
        <v>24</v>
      </c>
      <c r="G7858" t="n">
        <v>1</v>
      </c>
      <c r="H7858" s="6">
        <f>ROUND(G7858*F7858,2)</f>
        <v/>
      </c>
      <c r="I7858">
        <f>IF(ROUND(H7858-D7858,2)=0,1,0)</f>
        <v/>
      </c>
      <c r="J7858">
        <f>IF(F7858="","none",IF(G7858=1,"carte","multiple"))</f>
        <v/>
      </c>
    </row>
    <row r="7859">
      <c r="A7859" t="inlineStr">
        <is>
          <t>2023-03-22</t>
        </is>
      </c>
      <c r="B7859" t="inlineStr">
        <is>
          <t>20:36</t>
        </is>
      </c>
      <c r="C7859" t="n">
        <v>3151</v>
      </c>
      <c r="D7859" s="6" t="n">
        <v>28</v>
      </c>
      <c r="E7859" t="n">
        <v>45210</v>
      </c>
      <c r="F7859" s="6" t="n">
        <v>28</v>
      </c>
      <c r="G7859" t="n">
        <v>1</v>
      </c>
      <c r="H7859" s="6">
        <f>ROUND(G7859*F7859,2)</f>
        <v/>
      </c>
      <c r="I7859">
        <f>IF(ROUND(H7859-D7859,2)=0,1,0)</f>
        <v/>
      </c>
      <c r="J7859">
        <f>IF(F7859="","none",IF(G7859=1,"carte","multiple"))</f>
        <v/>
      </c>
    </row>
    <row r="7860">
      <c r="A7860" t="inlineStr">
        <is>
          <t>2023-03-22</t>
        </is>
      </c>
      <c r="B7860" t="inlineStr">
        <is>
          <t>20:36</t>
        </is>
      </c>
      <c r="C7860" t="n">
        <v>3151</v>
      </c>
      <c r="D7860" s="6" t="n">
        <v>55.6</v>
      </c>
      <c r="E7860" t="n">
        <v>45211</v>
      </c>
      <c r="F7860" s="6" t="n">
        <v>0.4</v>
      </c>
      <c r="G7860" t="n">
        <v>139</v>
      </c>
      <c r="H7860" s="6">
        <f>ROUND(G7860*F7860,2)</f>
        <v/>
      </c>
      <c r="I7860">
        <f>IF(ROUND(H7860-D7860,2)=0,1,0)</f>
        <v/>
      </c>
      <c r="J7860">
        <f>IF(F7860="","none",IF(G7860=1,"carte","multiple"))</f>
        <v/>
      </c>
    </row>
    <row r="7861">
      <c r="A7861" t="inlineStr">
        <is>
          <t>2023-03-22</t>
        </is>
      </c>
      <c r="B7861" t="inlineStr">
        <is>
          <t>20:36</t>
        </is>
      </c>
      <c r="C7861" t="n">
        <v>3151</v>
      </c>
      <c r="D7861" s="6" t="n">
        <v>18.6</v>
      </c>
      <c r="E7861" t="n">
        <v>45212</v>
      </c>
      <c r="F7861" s="6" t="n">
        <v>18.6</v>
      </c>
      <c r="G7861" t="n">
        <v>1</v>
      </c>
      <c r="H7861" s="6">
        <f>ROUND(G7861*F7861,2)</f>
        <v/>
      </c>
      <c r="I7861">
        <f>IF(ROUND(H7861-D7861,2)=0,1,0)</f>
        <v/>
      </c>
      <c r="J7861">
        <f>IF(F7861="","none",IF(G7861=1,"carte","multiple"))</f>
        <v/>
      </c>
    </row>
    <row r="7862">
      <c r="A7862" t="inlineStr">
        <is>
          <t>2023-03-22</t>
        </is>
      </c>
      <c r="B7862" t="inlineStr">
        <is>
          <t>20:36</t>
        </is>
      </c>
      <c r="C7862" t="n">
        <v>3151</v>
      </c>
      <c r="D7862" s="6" t="n">
        <v>14.4</v>
      </c>
      <c r="E7862" t="n">
        <v>45213</v>
      </c>
      <c r="F7862" s="6" t="n">
        <v>0.4</v>
      </c>
      <c r="G7862" t="n">
        <v>36</v>
      </c>
      <c r="H7862" s="6">
        <f>ROUND(G7862*F7862,2)</f>
        <v/>
      </c>
      <c r="I7862">
        <f>IF(ROUND(H7862-D7862,2)=0,1,0)</f>
        <v/>
      </c>
      <c r="J7862">
        <f>IF(F7862="","none",IF(G7862=1,"carte","multiple"))</f>
        <v/>
      </c>
    </row>
    <row r="7863">
      <c r="A7863" t="inlineStr">
        <is>
          <t>2023-03-23</t>
        </is>
      </c>
      <c r="B7863" t="inlineStr">
        <is>
          <t>17:27</t>
        </is>
      </c>
      <c r="C7863" t="n">
        <v>3152</v>
      </c>
      <c r="D7863" s="6" t="n">
        <v>4.4</v>
      </c>
      <c r="E7863" t="n">
        <v>45216</v>
      </c>
      <c r="F7863" s="6" t="n">
        <v>0.4</v>
      </c>
      <c r="G7863" t="n">
        <v>11</v>
      </c>
      <c r="H7863" s="6">
        <f>ROUND(G7863*F7863,2)</f>
        <v/>
      </c>
      <c r="I7863">
        <f>IF(ROUND(H7863-D7863,2)=0,1,0)</f>
        <v/>
      </c>
      <c r="J7863">
        <f>IF(F7863="","none",IF(G7863=1,"carte","multiple"))</f>
        <v/>
      </c>
    </row>
    <row r="7864">
      <c r="A7864" t="inlineStr">
        <is>
          <t>2023-03-23</t>
        </is>
      </c>
      <c r="B7864" t="inlineStr">
        <is>
          <t>17:27</t>
        </is>
      </c>
      <c r="C7864" t="n">
        <v>3152</v>
      </c>
      <c r="D7864" s="6" t="n">
        <v>1.8</v>
      </c>
      <c r="E7864" t="n">
        <v>45217</v>
      </c>
      <c r="F7864" s="6" t="n">
        <v>1.8</v>
      </c>
      <c r="G7864" t="n">
        <v>1</v>
      </c>
      <c r="H7864" s="6">
        <f>ROUND(G7864*F7864,2)</f>
        <v/>
      </c>
      <c r="I7864">
        <f>IF(ROUND(H7864-D7864,2)=0,1,0)</f>
        <v/>
      </c>
      <c r="J7864">
        <f>IF(F7864="","none",IF(G7864=1,"carte","multiple"))</f>
        <v/>
      </c>
    </row>
    <row r="7865">
      <c r="A7865" t="inlineStr">
        <is>
          <t>2023-03-23</t>
        </is>
      </c>
      <c r="B7865" t="inlineStr">
        <is>
          <t>17:27</t>
        </is>
      </c>
      <c r="C7865" t="n">
        <v>3152</v>
      </c>
      <c r="D7865" s="6" t="n">
        <v>5.8</v>
      </c>
      <c r="E7865" t="n">
        <v>45218</v>
      </c>
      <c r="F7865" s="6" t="n">
        <v>5.8</v>
      </c>
      <c r="G7865" t="n">
        <v>1</v>
      </c>
      <c r="H7865" s="6">
        <f>ROUND(G7865*F7865,2)</f>
        <v/>
      </c>
      <c r="I7865">
        <f>IF(ROUND(H7865-D7865,2)=0,1,0)</f>
        <v/>
      </c>
      <c r="J7865">
        <f>IF(F7865="","none",IF(G7865=1,"carte","multiple"))</f>
        <v/>
      </c>
    </row>
    <row r="7866">
      <c r="A7866" t="inlineStr">
        <is>
          <t>2023-03-23</t>
        </is>
      </c>
      <c r="B7866" t="inlineStr">
        <is>
          <t>17:27</t>
        </is>
      </c>
      <c r="C7866" t="n">
        <v>3152</v>
      </c>
      <c r="D7866" s="6" t="n">
        <v>1.8</v>
      </c>
      <c r="E7866" t="n">
        <v>45219</v>
      </c>
      <c r="F7866" s="6" t="n">
        <v>1.8</v>
      </c>
      <c r="G7866" t="n">
        <v>1</v>
      </c>
      <c r="H7866" s="6">
        <f>ROUND(G7866*F7866,2)</f>
        <v/>
      </c>
      <c r="I7866">
        <f>IF(ROUND(H7866-D7866,2)=0,1,0)</f>
        <v/>
      </c>
      <c r="J7866">
        <f>IF(F7866="","none",IF(G7866=1,"carte","multiple"))</f>
        <v/>
      </c>
    </row>
    <row r="7867">
      <c r="A7867" t="inlineStr">
        <is>
          <t>2023-03-23</t>
        </is>
      </c>
      <c r="B7867" t="inlineStr">
        <is>
          <t>17:27</t>
        </is>
      </c>
      <c r="C7867" t="n">
        <v>3152</v>
      </c>
      <c r="D7867" s="6" t="n">
        <v>3.9</v>
      </c>
      <c r="E7867" t="n">
        <v>45220</v>
      </c>
      <c r="F7867" s="6" t="n">
        <v>3.9</v>
      </c>
      <c r="G7867" t="n">
        <v>1</v>
      </c>
      <c r="H7867" s="6">
        <f>ROUND(G7867*F7867,2)</f>
        <v/>
      </c>
      <c r="I7867">
        <f>IF(ROUND(H7867-D7867,2)=0,1,0)</f>
        <v/>
      </c>
      <c r="J7867">
        <f>IF(F7867="","none",IF(G7867=1,"carte","multiple"))</f>
        <v/>
      </c>
    </row>
    <row r="7868">
      <c r="A7868" t="inlineStr">
        <is>
          <t>2023-03-23</t>
        </is>
      </c>
      <c r="B7868" t="inlineStr">
        <is>
          <t>17:27</t>
        </is>
      </c>
      <c r="C7868" t="n">
        <v>3152</v>
      </c>
      <c r="D7868" s="6" t="n">
        <v>7.2</v>
      </c>
      <c r="E7868" t="n">
        <v>45221</v>
      </c>
      <c r="F7868" s="6" t="n">
        <v>7.2</v>
      </c>
      <c r="G7868" t="n">
        <v>1</v>
      </c>
      <c r="H7868" s="6">
        <f>ROUND(G7868*F7868,2)</f>
        <v/>
      </c>
      <c r="I7868">
        <f>IF(ROUND(H7868-D7868,2)=0,1,0)</f>
        <v/>
      </c>
      <c r="J7868">
        <f>IF(F7868="","none",IF(G7868=1,"carte","multiple"))</f>
        <v/>
      </c>
    </row>
    <row r="7869">
      <c r="A7869" t="inlineStr">
        <is>
          <t>2023-03-23</t>
        </is>
      </c>
      <c r="B7869" t="inlineStr">
        <is>
          <t>17:27</t>
        </is>
      </c>
      <c r="C7869" t="n">
        <v>3152</v>
      </c>
      <c r="D7869" s="6" t="n">
        <v>8.9</v>
      </c>
      <c r="E7869" t="n">
        <v>45222</v>
      </c>
      <c r="F7869" s="6" t="n">
        <v>8.9</v>
      </c>
      <c r="G7869" t="n">
        <v>1</v>
      </c>
      <c r="H7869" s="6">
        <f>ROUND(G7869*F7869,2)</f>
        <v/>
      </c>
      <c r="I7869">
        <f>IF(ROUND(H7869-D7869,2)=0,1,0)</f>
        <v/>
      </c>
      <c r="J7869">
        <f>IF(F7869="","none",IF(G7869=1,"carte","multiple"))</f>
        <v/>
      </c>
    </row>
    <row r="7870">
      <c r="A7870" t="inlineStr">
        <is>
          <t>2023-03-23</t>
        </is>
      </c>
      <c r="B7870" t="inlineStr">
        <is>
          <t>17:27</t>
        </is>
      </c>
      <c r="C7870" t="n">
        <v>3152</v>
      </c>
      <c r="D7870" s="6" t="n">
        <v>3.9</v>
      </c>
      <c r="E7870" t="n">
        <v>45223</v>
      </c>
      <c r="F7870" s="6" t="n">
        <v>3.9</v>
      </c>
      <c r="G7870" t="n">
        <v>1</v>
      </c>
      <c r="H7870" s="6">
        <f>ROUND(G7870*F7870,2)</f>
        <v/>
      </c>
      <c r="I7870">
        <f>IF(ROUND(H7870-D7870,2)=0,1,0)</f>
        <v/>
      </c>
      <c r="J7870">
        <f>IF(F7870="","none",IF(G7870=1,"carte","multiple"))</f>
        <v/>
      </c>
    </row>
    <row r="7871">
      <c r="A7871" t="inlineStr">
        <is>
          <t>2023-03-23</t>
        </is>
      </c>
      <c r="B7871" t="inlineStr">
        <is>
          <t>17:27</t>
        </is>
      </c>
      <c r="C7871" t="n">
        <v>3152</v>
      </c>
      <c r="D7871" s="6" t="n">
        <v>33.8</v>
      </c>
      <c r="E7871" t="n">
        <v>45224</v>
      </c>
      <c r="F7871" s="6" t="n">
        <v>16.9</v>
      </c>
      <c r="G7871" t="n">
        <v>2</v>
      </c>
      <c r="H7871" s="6">
        <f>ROUND(G7871*F7871,2)</f>
        <v/>
      </c>
      <c r="I7871">
        <f>IF(ROUND(H7871-D7871,2)=0,1,0)</f>
        <v/>
      </c>
      <c r="J7871">
        <f>IF(F7871="","none",IF(G7871=1,"carte","multiple"))</f>
        <v/>
      </c>
    </row>
    <row r="7872">
      <c r="A7872" t="inlineStr">
        <is>
          <t>2023-03-23</t>
        </is>
      </c>
      <c r="B7872" t="inlineStr">
        <is>
          <t>17:27</t>
        </is>
      </c>
      <c r="C7872" t="n">
        <v>3152</v>
      </c>
      <c r="D7872" s="6" t="n">
        <v>4.2</v>
      </c>
      <c r="E7872" t="n">
        <v>45225</v>
      </c>
      <c r="F7872" s="6" t="n">
        <v>4.2</v>
      </c>
      <c r="G7872" t="n">
        <v>1</v>
      </c>
      <c r="H7872" s="6">
        <f>ROUND(G7872*F7872,2)</f>
        <v/>
      </c>
      <c r="I7872">
        <f>IF(ROUND(H7872-D7872,2)=0,1,0)</f>
        <v/>
      </c>
      <c r="J7872">
        <f>IF(F7872="","none",IF(G7872=1,"carte","multiple"))</f>
        <v/>
      </c>
    </row>
    <row r="7873">
      <c r="A7873" t="inlineStr">
        <is>
          <t>2023-03-23</t>
        </is>
      </c>
      <c r="B7873" t="inlineStr">
        <is>
          <t>17:27</t>
        </is>
      </c>
      <c r="C7873" t="n">
        <v>3152</v>
      </c>
      <c r="D7873" s="6" t="n">
        <v>5.2</v>
      </c>
      <c r="E7873" t="n">
        <v>45226</v>
      </c>
      <c r="F7873" s="6" t="n">
        <v>5.2</v>
      </c>
      <c r="G7873" t="n">
        <v>1</v>
      </c>
      <c r="H7873" s="6">
        <f>ROUND(G7873*F7873,2)</f>
        <v/>
      </c>
      <c r="I7873">
        <f>IF(ROUND(H7873-D7873,2)=0,1,0)</f>
        <v/>
      </c>
      <c r="J7873">
        <f>IF(F7873="","none",IF(G7873=1,"carte","multiple"))</f>
        <v/>
      </c>
    </row>
    <row r="7874">
      <c r="A7874" t="inlineStr">
        <is>
          <t>2023-03-23</t>
        </is>
      </c>
      <c r="B7874" t="inlineStr">
        <is>
          <t>20:18</t>
        </is>
      </c>
      <c r="C7874" t="n">
        <v>3152</v>
      </c>
      <c r="D7874" s="6" t="n">
        <v>10.9</v>
      </c>
      <c r="E7874" t="n">
        <v>45227</v>
      </c>
      <c r="F7874" s="6" t="n">
        <v>10.9</v>
      </c>
      <c r="G7874" t="n">
        <v>1</v>
      </c>
      <c r="H7874" s="6">
        <f>ROUND(G7874*F7874,2)</f>
        <v/>
      </c>
      <c r="I7874">
        <f>IF(ROUND(H7874-D7874,2)=0,1,0)</f>
        <v/>
      </c>
      <c r="J7874">
        <f>IF(F7874="","none",IF(G7874=1,"carte","multiple"))</f>
        <v/>
      </c>
    </row>
    <row r="7875">
      <c r="A7875" t="inlineStr">
        <is>
          <t>2023-03-23</t>
        </is>
      </c>
      <c r="B7875" t="inlineStr">
        <is>
          <t>20:18</t>
        </is>
      </c>
      <c r="C7875" t="n">
        <v>3152</v>
      </c>
      <c r="D7875" s="6" t="n">
        <v>8.5</v>
      </c>
      <c r="E7875" t="n">
        <v>45228</v>
      </c>
      <c r="F7875" s="6" t="n">
        <v>8.5</v>
      </c>
      <c r="G7875" t="n">
        <v>1</v>
      </c>
      <c r="H7875" s="6">
        <f>ROUND(G7875*F7875,2)</f>
        <v/>
      </c>
      <c r="I7875">
        <f>IF(ROUND(H7875-D7875,2)=0,1,0)</f>
        <v/>
      </c>
      <c r="J7875">
        <f>IF(F7875="","none",IF(G7875=1,"carte","multiple"))</f>
        <v/>
      </c>
    </row>
    <row r="7876">
      <c r="A7876" t="inlineStr">
        <is>
          <t>2023-03-23</t>
        </is>
      </c>
      <c r="B7876" t="inlineStr">
        <is>
          <t>20:18</t>
        </is>
      </c>
      <c r="C7876" t="n">
        <v>3152</v>
      </c>
      <c r="D7876" s="6" t="n">
        <v>37.2</v>
      </c>
      <c r="E7876" t="n">
        <v>45229</v>
      </c>
      <c r="F7876" s="6" t="n">
        <v>0.4</v>
      </c>
      <c r="G7876" t="n">
        <v>93</v>
      </c>
      <c r="H7876" s="6">
        <f>ROUND(G7876*F7876,2)</f>
        <v/>
      </c>
      <c r="I7876">
        <f>IF(ROUND(H7876-D7876,2)=0,1,0)</f>
        <v/>
      </c>
      <c r="J7876">
        <f>IF(F7876="","none",IF(G7876=1,"carte","multiple"))</f>
        <v/>
      </c>
    </row>
    <row r="7877">
      <c r="A7877" t="inlineStr">
        <is>
          <t>2023-03-23</t>
        </is>
      </c>
      <c r="B7877" t="inlineStr">
        <is>
          <t>20:18</t>
        </is>
      </c>
      <c r="C7877" t="n">
        <v>3152</v>
      </c>
      <c r="D7877" s="6" t="n">
        <v>10.4</v>
      </c>
      <c r="E7877" t="n">
        <v>45230</v>
      </c>
      <c r="F7877" s="6" t="n">
        <v>0.4</v>
      </c>
      <c r="G7877" t="n">
        <v>26</v>
      </c>
      <c r="H7877" s="6">
        <f>ROUND(G7877*F7877,2)</f>
        <v/>
      </c>
      <c r="I7877">
        <f>IF(ROUND(H7877-D7877,2)=0,1,0)</f>
        <v/>
      </c>
      <c r="J7877">
        <f>IF(F7877="","none",IF(G7877=1,"carte","multiple"))</f>
        <v/>
      </c>
    </row>
    <row r="7878">
      <c r="A7878" t="inlineStr">
        <is>
          <t>2023-03-23</t>
        </is>
      </c>
      <c r="B7878" t="inlineStr">
        <is>
          <t>20:18</t>
        </is>
      </c>
      <c r="C7878" t="n">
        <v>3152</v>
      </c>
      <c r="D7878" s="6" t="n">
        <v>8.5</v>
      </c>
      <c r="E7878" t="n">
        <v>45231</v>
      </c>
      <c r="F7878" s="6" t="n">
        <v>8.5</v>
      </c>
      <c r="G7878" t="n">
        <v>1</v>
      </c>
      <c r="H7878" s="6">
        <f>ROUND(G7878*F7878,2)</f>
        <v/>
      </c>
      <c r="I7878">
        <f>IF(ROUND(H7878-D7878,2)=0,1,0)</f>
        <v/>
      </c>
      <c r="J7878">
        <f>IF(F7878="","none",IF(G7878=1,"carte","multiple"))</f>
        <v/>
      </c>
    </row>
    <row r="7879">
      <c r="A7879" t="inlineStr">
        <is>
          <t>2023-03-23</t>
        </is>
      </c>
      <c r="B7879" t="inlineStr">
        <is>
          <t>20:18</t>
        </is>
      </c>
      <c r="C7879" t="n">
        <v>3152</v>
      </c>
      <c r="D7879" s="6" t="n">
        <v>13.8</v>
      </c>
      <c r="E7879" t="n">
        <v>45232</v>
      </c>
      <c r="F7879" s="6" t="n">
        <v>4.6</v>
      </c>
      <c r="G7879" t="n">
        <v>3</v>
      </c>
      <c r="H7879" s="6">
        <f>ROUND(G7879*F7879,2)</f>
        <v/>
      </c>
      <c r="I7879">
        <f>IF(ROUND(H7879-D7879,2)=0,1,0)</f>
        <v/>
      </c>
      <c r="J7879">
        <f>IF(F7879="","none",IF(G7879=1,"carte","multiple"))</f>
        <v/>
      </c>
    </row>
    <row r="7880">
      <c r="A7880" t="inlineStr">
        <is>
          <t>2023-03-23</t>
        </is>
      </c>
      <c r="B7880" t="inlineStr">
        <is>
          <t>20:18</t>
        </is>
      </c>
      <c r="C7880" t="n">
        <v>3152</v>
      </c>
      <c r="D7880" s="6" t="n">
        <v>2</v>
      </c>
      <c r="E7880" t="n">
        <v>45233</v>
      </c>
      <c r="F7880" s="6" t="n">
        <v>2</v>
      </c>
      <c r="G7880" t="n">
        <v>1</v>
      </c>
      <c r="H7880" s="6">
        <f>ROUND(G7880*F7880,2)</f>
        <v/>
      </c>
      <c r="I7880">
        <f>IF(ROUND(H7880-D7880,2)=0,1,0)</f>
        <v/>
      </c>
      <c r="J7880">
        <f>IF(F7880="","none",IF(G7880=1,"carte","multiple"))</f>
        <v/>
      </c>
    </row>
    <row r="7881">
      <c r="A7881" t="inlineStr">
        <is>
          <t>2023-03-23</t>
        </is>
      </c>
      <c r="B7881" t="inlineStr">
        <is>
          <t>20:18</t>
        </is>
      </c>
      <c r="C7881" t="n">
        <v>3152</v>
      </c>
      <c r="D7881" s="6" t="n">
        <v>17.8</v>
      </c>
      <c r="E7881" t="n">
        <v>45234</v>
      </c>
      <c r="F7881" s="6" t="n">
        <v>8.9</v>
      </c>
      <c r="G7881" t="n">
        <v>2</v>
      </c>
      <c r="H7881" s="6">
        <f>ROUND(G7881*F7881,2)</f>
        <v/>
      </c>
      <c r="I7881">
        <f>IF(ROUND(H7881-D7881,2)=0,1,0)</f>
        <v/>
      </c>
      <c r="J7881">
        <f>IF(F7881="","none",IF(G7881=1,"carte","multiple"))</f>
        <v/>
      </c>
    </row>
    <row r="7882">
      <c r="A7882" t="inlineStr">
        <is>
          <t>2023-03-23</t>
        </is>
      </c>
      <c r="B7882" t="inlineStr">
        <is>
          <t>20:18</t>
        </is>
      </c>
      <c r="C7882" t="n">
        <v>3152</v>
      </c>
      <c r="D7882" s="6" t="n">
        <v>7.8</v>
      </c>
      <c r="E7882" t="n">
        <v>45235</v>
      </c>
      <c r="F7882" s="6" t="n">
        <v>7.8</v>
      </c>
      <c r="G7882" t="n">
        <v>1</v>
      </c>
      <c r="H7882" s="6">
        <f>ROUND(G7882*F7882,2)</f>
        <v/>
      </c>
      <c r="I7882">
        <f>IF(ROUND(H7882-D7882,2)=0,1,0)</f>
        <v/>
      </c>
      <c r="J7882">
        <f>IF(F7882="","none",IF(G7882=1,"carte","multiple"))</f>
        <v/>
      </c>
    </row>
    <row r="7883">
      <c r="A7883" t="inlineStr">
        <is>
          <t>2023-03-23</t>
        </is>
      </c>
      <c r="B7883" t="inlineStr">
        <is>
          <t>20:18</t>
        </is>
      </c>
      <c r="C7883" t="n">
        <v>3152</v>
      </c>
      <c r="D7883" s="6" t="n">
        <v>103.6</v>
      </c>
      <c r="E7883" t="n">
        <v>45236</v>
      </c>
      <c r="F7883" s="6" t="n">
        <v>0.4</v>
      </c>
      <c r="G7883" t="n">
        <v>259</v>
      </c>
      <c r="H7883" s="6">
        <f>ROUND(G7883*F7883,2)</f>
        <v/>
      </c>
      <c r="I7883">
        <f>IF(ROUND(H7883-D7883,2)=0,1,0)</f>
        <v/>
      </c>
      <c r="J7883">
        <f>IF(F7883="","none",IF(G7883=1,"carte","multiple"))</f>
        <v/>
      </c>
    </row>
    <row r="7884">
      <c r="A7884" t="inlineStr">
        <is>
          <t>2023-03-23</t>
        </is>
      </c>
      <c r="B7884" t="inlineStr">
        <is>
          <t>20:18</t>
        </is>
      </c>
      <c r="C7884" t="n">
        <v>3152</v>
      </c>
      <c r="D7884" s="6" t="n">
        <v>30</v>
      </c>
      <c r="E7884" t="n">
        <v>45237</v>
      </c>
      <c r="F7884" s="6" t="n">
        <v>30</v>
      </c>
      <c r="G7884" t="n">
        <v>1</v>
      </c>
      <c r="H7884" s="6">
        <f>ROUND(G7884*F7884,2)</f>
        <v/>
      </c>
      <c r="I7884">
        <f>IF(ROUND(H7884-D7884,2)=0,1,0)</f>
        <v/>
      </c>
      <c r="J7884">
        <f>IF(F7884="","none",IF(G7884=1,"carte","multiple"))</f>
        <v/>
      </c>
    </row>
    <row r="7885">
      <c r="A7885" t="inlineStr">
        <is>
          <t>2023-03-23</t>
        </is>
      </c>
      <c r="B7885" t="inlineStr">
        <is>
          <t>20:18</t>
        </is>
      </c>
      <c r="C7885" t="n">
        <v>3152</v>
      </c>
      <c r="D7885" s="6" t="n">
        <v>9.800000000000001</v>
      </c>
      <c r="E7885" t="n">
        <v>45238</v>
      </c>
      <c r="F7885" s="6" t="n">
        <v>9.800000000000001</v>
      </c>
      <c r="G7885" t="n">
        <v>1</v>
      </c>
      <c r="H7885" s="6">
        <f>ROUND(G7885*F7885,2)</f>
        <v/>
      </c>
      <c r="I7885">
        <f>IF(ROUND(H7885-D7885,2)=0,1,0)</f>
        <v/>
      </c>
      <c r="J7885">
        <f>IF(F7885="","none",IF(G7885=1,"carte","multiple"))</f>
        <v/>
      </c>
    </row>
    <row r="7886">
      <c r="A7886" t="inlineStr">
        <is>
          <t>2023-03-24</t>
        </is>
      </c>
      <c r="B7886" t="inlineStr">
        <is>
          <t>10:57</t>
        </is>
      </c>
      <c r="C7886" t="n">
        <v>3153</v>
      </c>
      <c r="D7886" s="6" t="n">
        <v>1.2</v>
      </c>
      <c r="E7886" t="n">
        <v>45241</v>
      </c>
      <c r="F7886" s="6" t="n">
        <v>1.2</v>
      </c>
      <c r="G7886" t="n">
        <v>1</v>
      </c>
      <c r="H7886" s="6">
        <f>ROUND(G7886*F7886,2)</f>
        <v/>
      </c>
      <c r="I7886">
        <f>IF(ROUND(H7886-D7886,2)=0,1,0)</f>
        <v/>
      </c>
      <c r="J7886">
        <f>IF(F7886="","none",IF(G7886=1,"carte","multiple"))</f>
        <v/>
      </c>
    </row>
    <row r="7887">
      <c r="A7887" t="inlineStr">
        <is>
          <t>2023-03-24</t>
        </is>
      </c>
      <c r="B7887" t="inlineStr">
        <is>
          <t>10:57</t>
        </is>
      </c>
      <c r="C7887" t="n">
        <v>3153</v>
      </c>
      <c r="D7887" s="6" t="n">
        <v>1.8</v>
      </c>
      <c r="E7887" t="n">
        <v>45242</v>
      </c>
      <c r="F7887" s="6" t="n">
        <v>1.8</v>
      </c>
      <c r="G7887" t="n">
        <v>1</v>
      </c>
      <c r="H7887" s="6">
        <f>ROUND(G7887*F7887,2)</f>
        <v/>
      </c>
      <c r="I7887">
        <f>IF(ROUND(H7887-D7887,2)=0,1,0)</f>
        <v/>
      </c>
      <c r="J7887">
        <f>IF(F7887="","none",IF(G7887=1,"carte","multiple"))</f>
        <v/>
      </c>
    </row>
    <row r="7888">
      <c r="A7888" t="inlineStr">
        <is>
          <t>2023-03-24</t>
        </is>
      </c>
      <c r="B7888" t="inlineStr">
        <is>
          <t>10:57</t>
        </is>
      </c>
      <c r="C7888" t="n">
        <v>3153</v>
      </c>
      <c r="D7888" s="6" t="n">
        <v>2</v>
      </c>
      <c r="E7888" t="n">
        <v>45243</v>
      </c>
      <c r="F7888" s="6" t="n">
        <v>2</v>
      </c>
      <c r="G7888" t="n">
        <v>1</v>
      </c>
      <c r="H7888" s="6">
        <f>ROUND(G7888*F7888,2)</f>
        <v/>
      </c>
      <c r="I7888">
        <f>IF(ROUND(H7888-D7888,2)=0,1,0)</f>
        <v/>
      </c>
      <c r="J7888">
        <f>IF(F7888="","none",IF(G7888=1,"carte","multiple"))</f>
        <v/>
      </c>
    </row>
    <row r="7889">
      <c r="A7889" t="inlineStr">
        <is>
          <t>2023-03-24</t>
        </is>
      </c>
      <c r="B7889" t="inlineStr">
        <is>
          <t>10:57</t>
        </is>
      </c>
      <c r="C7889" t="n">
        <v>3153</v>
      </c>
      <c r="D7889" s="6" t="n">
        <v>2.9</v>
      </c>
      <c r="E7889" t="n">
        <v>45244</v>
      </c>
      <c r="F7889" s="6" t="n">
        <v>2.9</v>
      </c>
      <c r="G7889" t="n">
        <v>1</v>
      </c>
      <c r="H7889" s="6">
        <f>ROUND(G7889*F7889,2)</f>
        <v/>
      </c>
      <c r="I7889">
        <f>IF(ROUND(H7889-D7889,2)=0,1,0)</f>
        <v/>
      </c>
      <c r="J7889">
        <f>IF(F7889="","none",IF(G7889=1,"carte","multiple"))</f>
        <v/>
      </c>
    </row>
    <row r="7890">
      <c r="A7890" t="inlineStr">
        <is>
          <t>2023-03-24</t>
        </is>
      </c>
      <c r="B7890" t="inlineStr">
        <is>
          <t>11:32</t>
        </is>
      </c>
      <c r="C7890" t="n">
        <v>3153</v>
      </c>
      <c r="D7890" s="6" t="n">
        <v>1.8</v>
      </c>
      <c r="E7890" t="n">
        <v>45245</v>
      </c>
      <c r="F7890" s="6" t="n">
        <v>1.8</v>
      </c>
      <c r="G7890" t="n">
        <v>1</v>
      </c>
      <c r="H7890" s="6">
        <f>ROUND(G7890*F7890,2)</f>
        <v/>
      </c>
      <c r="I7890">
        <f>IF(ROUND(H7890-D7890,2)=0,1,0)</f>
        <v/>
      </c>
      <c r="J7890">
        <f>IF(F7890="","none",IF(G7890=1,"carte","multiple"))</f>
        <v/>
      </c>
    </row>
    <row r="7891">
      <c r="A7891" t="inlineStr">
        <is>
          <t>2023-03-24</t>
        </is>
      </c>
      <c r="B7891" t="inlineStr">
        <is>
          <t>11:32</t>
        </is>
      </c>
      <c r="C7891" t="n">
        <v>3153</v>
      </c>
      <c r="D7891" s="6" t="n">
        <v>1.8</v>
      </c>
      <c r="E7891" t="n">
        <v>45246</v>
      </c>
      <c r="F7891" s="6" t="n">
        <v>1.8</v>
      </c>
      <c r="G7891" t="n">
        <v>1</v>
      </c>
      <c r="H7891" s="6">
        <f>ROUND(G7891*F7891,2)</f>
        <v/>
      </c>
      <c r="I7891">
        <f>IF(ROUND(H7891-D7891,2)=0,1,0)</f>
        <v/>
      </c>
      <c r="J7891">
        <f>IF(F7891="","none",IF(G7891=1,"carte","multiple"))</f>
        <v/>
      </c>
    </row>
    <row r="7892">
      <c r="A7892" t="inlineStr">
        <is>
          <t>2023-03-24</t>
        </is>
      </c>
      <c r="B7892" t="inlineStr">
        <is>
          <t>11:32</t>
        </is>
      </c>
      <c r="C7892" t="n">
        <v>3153</v>
      </c>
      <c r="D7892" s="6" t="n">
        <v>2</v>
      </c>
      <c r="E7892" t="n">
        <v>45247</v>
      </c>
      <c r="F7892" s="6" t="n">
        <v>2</v>
      </c>
      <c r="G7892" t="n">
        <v>1</v>
      </c>
      <c r="H7892" s="6">
        <f>ROUND(G7892*F7892,2)</f>
        <v/>
      </c>
      <c r="I7892">
        <f>IF(ROUND(H7892-D7892,2)=0,1,0)</f>
        <v/>
      </c>
      <c r="J7892">
        <f>IF(F7892="","none",IF(G7892=1,"carte","multiple"))</f>
        <v/>
      </c>
    </row>
    <row r="7893">
      <c r="A7893" t="inlineStr">
        <is>
          <t>2023-03-24</t>
        </is>
      </c>
      <c r="B7893" t="inlineStr">
        <is>
          <t>11:32</t>
        </is>
      </c>
      <c r="C7893" t="n">
        <v>3153</v>
      </c>
      <c r="D7893" s="6" t="n">
        <v>1.2</v>
      </c>
      <c r="E7893" t="n">
        <v>45248</v>
      </c>
      <c r="F7893" s="6" t="n">
        <v>1.2</v>
      </c>
      <c r="G7893" t="n">
        <v>1</v>
      </c>
      <c r="H7893" s="6">
        <f>ROUND(G7893*F7893,2)</f>
        <v/>
      </c>
      <c r="I7893">
        <f>IF(ROUND(H7893-D7893,2)=0,1,0)</f>
        <v/>
      </c>
      <c r="J7893">
        <f>IF(F7893="","none",IF(G7893=1,"carte","multiple"))</f>
        <v/>
      </c>
    </row>
    <row r="7894">
      <c r="A7894" t="inlineStr">
        <is>
          <t>2023-03-24</t>
        </is>
      </c>
      <c r="B7894" t="inlineStr">
        <is>
          <t>11:32</t>
        </is>
      </c>
      <c r="C7894" t="n">
        <v>3153</v>
      </c>
      <c r="D7894" s="6" t="n">
        <v>2.9</v>
      </c>
      <c r="E7894" t="n">
        <v>45249</v>
      </c>
      <c r="F7894" s="6" t="n">
        <v>2.9</v>
      </c>
      <c r="G7894" t="n">
        <v>1</v>
      </c>
      <c r="H7894" s="6">
        <f>ROUND(G7894*F7894,2)</f>
        <v/>
      </c>
      <c r="I7894">
        <f>IF(ROUND(H7894-D7894,2)=0,1,0)</f>
        <v/>
      </c>
      <c r="J7894">
        <f>IF(F7894="","none",IF(G7894=1,"carte","multiple"))</f>
        <v/>
      </c>
    </row>
    <row r="7895">
      <c r="A7895" t="inlineStr">
        <is>
          <t>2023-03-24</t>
        </is>
      </c>
      <c r="B7895" t="inlineStr">
        <is>
          <t>18:46</t>
        </is>
      </c>
      <c r="C7895" t="n">
        <v>3153</v>
      </c>
      <c r="D7895" s="6" t="n">
        <v>18.6</v>
      </c>
      <c r="E7895" t="n">
        <v>45250</v>
      </c>
      <c r="F7895" s="6" t="n">
        <v>18.6</v>
      </c>
      <c r="G7895" t="n">
        <v>1</v>
      </c>
      <c r="H7895" s="6">
        <f>ROUND(G7895*F7895,2)</f>
        <v/>
      </c>
      <c r="I7895">
        <f>IF(ROUND(H7895-D7895,2)=0,1,0)</f>
        <v/>
      </c>
      <c r="J7895">
        <f>IF(F7895="","none",IF(G7895=1,"carte","multiple"))</f>
        <v/>
      </c>
    </row>
    <row r="7896">
      <c r="A7896" t="inlineStr">
        <is>
          <t>2023-03-24</t>
        </is>
      </c>
      <c r="B7896" t="inlineStr">
        <is>
          <t>19:33</t>
        </is>
      </c>
      <c r="C7896" t="n">
        <v>3153</v>
      </c>
      <c r="D7896" s="6" t="n">
        <v>7.2</v>
      </c>
      <c r="E7896" t="n">
        <v>45251</v>
      </c>
      <c r="F7896" s="6" t="n">
        <v>7.2</v>
      </c>
      <c r="G7896" t="n">
        <v>1</v>
      </c>
      <c r="H7896" s="6">
        <f>ROUND(G7896*F7896,2)</f>
        <v/>
      </c>
      <c r="I7896">
        <f>IF(ROUND(H7896-D7896,2)=0,1,0)</f>
        <v/>
      </c>
      <c r="J7896">
        <f>IF(F7896="","none",IF(G7896=1,"carte","multiple"))</f>
        <v/>
      </c>
    </row>
    <row r="7897">
      <c r="A7897" t="inlineStr">
        <is>
          <t>2023-03-24</t>
        </is>
      </c>
      <c r="B7897" t="inlineStr">
        <is>
          <t>19:34</t>
        </is>
      </c>
      <c r="C7897" t="n">
        <v>3153</v>
      </c>
      <c r="D7897" s="6" t="n">
        <v>5.8</v>
      </c>
      <c r="E7897" t="n">
        <v>45252</v>
      </c>
      <c r="F7897" s="6" t="n">
        <v>5.8</v>
      </c>
      <c r="G7897" t="n">
        <v>1</v>
      </c>
      <c r="H7897" s="6">
        <f>ROUND(G7897*F7897,2)</f>
        <v/>
      </c>
      <c r="I7897">
        <f>IF(ROUND(H7897-D7897,2)=0,1,0)</f>
        <v/>
      </c>
      <c r="J7897">
        <f>IF(F7897="","none",IF(G7897=1,"carte","multiple"))</f>
        <v/>
      </c>
    </row>
    <row r="7898">
      <c r="A7898" t="inlineStr">
        <is>
          <t>2023-03-24</t>
        </is>
      </c>
      <c r="B7898" t="inlineStr">
        <is>
          <t>20:34</t>
        </is>
      </c>
      <c r="C7898" t="n">
        <v>3153</v>
      </c>
      <c r="D7898" s="6" t="n">
        <v>6.5</v>
      </c>
      <c r="E7898" t="n">
        <v>45253</v>
      </c>
      <c r="F7898" s="6" t="n">
        <v>6.5</v>
      </c>
      <c r="G7898" t="n">
        <v>1</v>
      </c>
      <c r="H7898" s="6">
        <f>ROUND(G7898*F7898,2)</f>
        <v/>
      </c>
      <c r="I7898">
        <f>IF(ROUND(H7898-D7898,2)=0,1,0)</f>
        <v/>
      </c>
      <c r="J7898">
        <f>IF(F7898="","none",IF(G7898=1,"carte","multiple"))</f>
        <v/>
      </c>
    </row>
    <row r="7899">
      <c r="A7899" t="inlineStr">
        <is>
          <t>2023-03-24</t>
        </is>
      </c>
      <c r="B7899" t="inlineStr">
        <is>
          <t>20:35</t>
        </is>
      </c>
      <c r="C7899" t="n">
        <v>3153</v>
      </c>
      <c r="D7899" s="6" t="n">
        <v>3.9</v>
      </c>
      <c r="E7899" t="n">
        <v>45254</v>
      </c>
      <c r="F7899" s="6" t="n">
        <v>3.9</v>
      </c>
      <c r="G7899" t="n">
        <v>1</v>
      </c>
      <c r="H7899" s="6">
        <f>ROUND(G7899*F7899,2)</f>
        <v/>
      </c>
      <c r="I7899">
        <f>IF(ROUND(H7899-D7899,2)=0,1,0)</f>
        <v/>
      </c>
      <c r="J7899">
        <f>IF(F7899="","none",IF(G7899=1,"carte","multiple"))</f>
        <v/>
      </c>
    </row>
    <row r="7900">
      <c r="A7900" t="inlineStr">
        <is>
          <t>2023-03-24</t>
        </is>
      </c>
      <c r="B7900" t="inlineStr">
        <is>
          <t>20:35</t>
        </is>
      </c>
      <c r="C7900" t="n">
        <v>3153</v>
      </c>
      <c r="D7900" s="6" t="n">
        <v>18.6</v>
      </c>
      <c r="E7900" t="n">
        <v>45255</v>
      </c>
      <c r="F7900" s="6" t="n">
        <v>18.6</v>
      </c>
      <c r="G7900" t="n">
        <v>1</v>
      </c>
      <c r="H7900" s="6">
        <f>ROUND(G7900*F7900,2)</f>
        <v/>
      </c>
      <c r="I7900">
        <f>IF(ROUND(H7900-D7900,2)=0,1,0)</f>
        <v/>
      </c>
      <c r="J7900">
        <f>IF(F7900="","none",IF(G7900=1,"carte","multiple"))</f>
        <v/>
      </c>
    </row>
    <row r="7901">
      <c r="A7901" t="inlineStr">
        <is>
          <t>2023-03-24</t>
        </is>
      </c>
      <c r="B7901" t="inlineStr">
        <is>
          <t>20:35</t>
        </is>
      </c>
      <c r="C7901" t="n">
        <v>3153</v>
      </c>
      <c r="D7901" s="6" t="n">
        <v>19</v>
      </c>
      <c r="E7901" t="n">
        <v>45256</v>
      </c>
      <c r="F7901" s="6" t="n">
        <v>19</v>
      </c>
      <c r="G7901" t="n">
        <v>1</v>
      </c>
      <c r="H7901" s="6">
        <f>ROUND(G7901*F7901,2)</f>
        <v/>
      </c>
      <c r="I7901">
        <f>IF(ROUND(H7901-D7901,2)=0,1,0)</f>
        <v/>
      </c>
      <c r="J7901">
        <f>IF(F7901="","none",IF(G7901=1,"carte","multiple"))</f>
        <v/>
      </c>
    </row>
    <row r="7902">
      <c r="A7902" t="inlineStr">
        <is>
          <t>2023-03-24</t>
        </is>
      </c>
      <c r="B7902" t="inlineStr">
        <is>
          <t>20:35</t>
        </is>
      </c>
      <c r="C7902" t="n">
        <v>3153</v>
      </c>
      <c r="D7902" s="6" t="n">
        <v>8.699999999999999</v>
      </c>
      <c r="E7902" t="n">
        <v>45257</v>
      </c>
      <c r="F7902" s="6" t="n">
        <v>8.699999999999999</v>
      </c>
      <c r="G7902" t="n">
        <v>1</v>
      </c>
      <c r="H7902" s="6">
        <f>ROUND(G7902*F7902,2)</f>
        <v/>
      </c>
      <c r="I7902">
        <f>IF(ROUND(H7902-D7902,2)=0,1,0)</f>
        <v/>
      </c>
      <c r="J7902">
        <f>IF(F7902="","none",IF(G7902=1,"carte","multiple"))</f>
        <v/>
      </c>
    </row>
    <row r="7903">
      <c r="A7903" t="inlineStr">
        <is>
          <t>2023-03-24</t>
        </is>
      </c>
      <c r="B7903" t="inlineStr">
        <is>
          <t>20:35</t>
        </is>
      </c>
      <c r="C7903" t="n">
        <v>3153</v>
      </c>
      <c r="D7903" s="6" t="n">
        <v>14.2</v>
      </c>
      <c r="E7903" t="n">
        <v>45258</v>
      </c>
      <c r="H7903" t="inlineStr"/>
      <c r="I7903" t="inlineStr"/>
      <c r="J7903">
        <f>IF(F7903="","none",IF(G7903=1,"carte","multiple"))</f>
        <v/>
      </c>
    </row>
    <row r="7904">
      <c r="A7904" t="inlineStr">
        <is>
          <t>2023-03-24</t>
        </is>
      </c>
      <c r="B7904" t="inlineStr">
        <is>
          <t>20:45</t>
        </is>
      </c>
      <c r="C7904" t="n">
        <v>3153</v>
      </c>
      <c r="D7904" s="6" t="n">
        <v>2.2</v>
      </c>
      <c r="E7904" t="n">
        <v>45259</v>
      </c>
      <c r="F7904" s="6" t="n">
        <v>2.2</v>
      </c>
      <c r="G7904" t="n">
        <v>1</v>
      </c>
      <c r="H7904" s="6">
        <f>ROUND(G7904*F7904,2)</f>
        <v/>
      </c>
      <c r="I7904">
        <f>IF(ROUND(H7904-D7904,2)=0,1,0)</f>
        <v/>
      </c>
      <c r="J7904">
        <f>IF(F7904="","none",IF(G7904=1,"carte","multiple"))</f>
        <v/>
      </c>
    </row>
    <row r="7905">
      <c r="A7905" t="inlineStr">
        <is>
          <t>2023-03-24</t>
        </is>
      </c>
      <c r="B7905" t="inlineStr">
        <is>
          <t>20:45</t>
        </is>
      </c>
      <c r="C7905" t="n">
        <v>3153</v>
      </c>
      <c r="D7905" s="6" t="n">
        <v>8.699999999999999</v>
      </c>
      <c r="E7905" t="n">
        <v>45260</v>
      </c>
      <c r="F7905" s="6" t="n">
        <v>8.699999999999999</v>
      </c>
      <c r="G7905" t="n">
        <v>1</v>
      </c>
      <c r="H7905" s="6">
        <f>ROUND(G7905*F7905,2)</f>
        <v/>
      </c>
      <c r="I7905">
        <f>IF(ROUND(H7905-D7905,2)=0,1,0)</f>
        <v/>
      </c>
      <c r="J7905">
        <f>IF(F7905="","none",IF(G7905=1,"carte","multiple"))</f>
        <v/>
      </c>
    </row>
    <row r="7906">
      <c r="A7906" t="inlineStr">
        <is>
          <t>2023-03-24</t>
        </is>
      </c>
      <c r="B7906" t="inlineStr">
        <is>
          <t>20:45</t>
        </is>
      </c>
      <c r="C7906" t="n">
        <v>3153</v>
      </c>
      <c r="D7906" s="6" t="n">
        <v>8.1</v>
      </c>
      <c r="E7906" t="n">
        <v>45261</v>
      </c>
      <c r="F7906" s="6" t="n">
        <v>8.1</v>
      </c>
      <c r="G7906" t="n">
        <v>1</v>
      </c>
      <c r="H7906" s="6">
        <f>ROUND(G7906*F7906,2)</f>
        <v/>
      </c>
      <c r="I7906">
        <f>IF(ROUND(H7906-D7906,2)=0,1,0)</f>
        <v/>
      </c>
      <c r="J7906">
        <f>IF(F7906="","none",IF(G7906=1,"carte","multiple"))</f>
        <v/>
      </c>
    </row>
    <row r="7907">
      <c r="A7907" t="inlineStr">
        <is>
          <t>2023-03-24</t>
        </is>
      </c>
      <c r="B7907" t="inlineStr">
        <is>
          <t>20:45</t>
        </is>
      </c>
      <c r="C7907" t="n">
        <v>3153</v>
      </c>
      <c r="D7907" s="6" t="n">
        <v>7.5</v>
      </c>
      <c r="E7907" t="n">
        <v>45262</v>
      </c>
      <c r="F7907" s="6" t="n">
        <v>7.5</v>
      </c>
      <c r="G7907" t="n">
        <v>1</v>
      </c>
      <c r="H7907" s="6">
        <f>ROUND(G7907*F7907,2)</f>
        <v/>
      </c>
      <c r="I7907">
        <f>IF(ROUND(H7907-D7907,2)=0,1,0)</f>
        <v/>
      </c>
      <c r="J7907">
        <f>IF(F7907="","none",IF(G7907=1,"carte","multiple"))</f>
        <v/>
      </c>
    </row>
    <row r="7908">
      <c r="A7908" t="inlineStr">
        <is>
          <t>2023-03-24</t>
        </is>
      </c>
      <c r="B7908" t="inlineStr">
        <is>
          <t>20:45</t>
        </is>
      </c>
      <c r="C7908" t="n">
        <v>3153</v>
      </c>
      <c r="D7908" s="6" t="n">
        <v>8.699999999999999</v>
      </c>
      <c r="E7908" t="n">
        <v>45263</v>
      </c>
      <c r="F7908" s="6" t="n">
        <v>8.699999999999999</v>
      </c>
      <c r="G7908" t="n">
        <v>1</v>
      </c>
      <c r="H7908" s="6">
        <f>ROUND(G7908*F7908,2)</f>
        <v/>
      </c>
      <c r="I7908">
        <f>IF(ROUND(H7908-D7908,2)=0,1,0)</f>
        <v/>
      </c>
      <c r="J7908">
        <f>IF(F7908="","none",IF(G7908=1,"carte","multiple"))</f>
        <v/>
      </c>
    </row>
    <row r="7909">
      <c r="A7909" t="inlineStr">
        <is>
          <t>2023-03-24</t>
        </is>
      </c>
      <c r="B7909" t="inlineStr">
        <is>
          <t>20:45</t>
        </is>
      </c>
      <c r="C7909" t="n">
        <v>3153</v>
      </c>
      <c r="D7909" s="6" t="n">
        <v>76</v>
      </c>
      <c r="E7909" t="n">
        <v>45264</v>
      </c>
      <c r="F7909" s="6" t="n">
        <v>0.4</v>
      </c>
      <c r="G7909" t="n">
        <v>190</v>
      </c>
      <c r="H7909" s="6">
        <f>ROUND(G7909*F7909,2)</f>
        <v/>
      </c>
      <c r="I7909">
        <f>IF(ROUND(H7909-D7909,2)=0,1,0)</f>
        <v/>
      </c>
      <c r="J7909">
        <f>IF(F7909="","none",IF(G7909=1,"carte","multiple"))</f>
        <v/>
      </c>
    </row>
    <row r="7910">
      <c r="A7910" t="inlineStr">
        <is>
          <t>2023-03-24</t>
        </is>
      </c>
      <c r="B7910" t="inlineStr">
        <is>
          <t>20:45</t>
        </is>
      </c>
      <c r="C7910" t="n">
        <v>3153</v>
      </c>
      <c r="D7910" s="6" t="n">
        <v>36</v>
      </c>
      <c r="E7910" t="n">
        <v>45265</v>
      </c>
      <c r="F7910" s="6" t="n">
        <v>36</v>
      </c>
      <c r="G7910" t="n">
        <v>1</v>
      </c>
      <c r="H7910" s="6">
        <f>ROUND(G7910*F7910,2)</f>
        <v/>
      </c>
      <c r="I7910">
        <f>IF(ROUND(H7910-D7910,2)=0,1,0)</f>
        <v/>
      </c>
      <c r="J7910">
        <f>IF(F7910="","none",IF(G7910=1,"carte","multiple"))</f>
        <v/>
      </c>
    </row>
    <row r="7911">
      <c r="A7911" t="inlineStr">
        <is>
          <t>2023-03-24</t>
        </is>
      </c>
      <c r="B7911" t="inlineStr">
        <is>
          <t>20:45</t>
        </is>
      </c>
      <c r="C7911" t="n">
        <v>3153</v>
      </c>
      <c r="D7911" s="6" t="n">
        <v>7.9</v>
      </c>
      <c r="E7911" t="n">
        <v>45266</v>
      </c>
      <c r="F7911" s="6" t="n">
        <v>7.9</v>
      </c>
      <c r="G7911" t="n">
        <v>1</v>
      </c>
      <c r="H7911" s="6">
        <f>ROUND(G7911*F7911,2)</f>
        <v/>
      </c>
      <c r="I7911">
        <f>IF(ROUND(H7911-D7911,2)=0,1,0)</f>
        <v/>
      </c>
      <c r="J7911">
        <f>IF(F7911="","none",IF(G7911=1,"carte","multiple"))</f>
        <v/>
      </c>
    </row>
    <row r="7912">
      <c r="A7912" t="inlineStr">
        <is>
          <t>2023-03-24</t>
        </is>
      </c>
      <c r="B7912" t="inlineStr">
        <is>
          <t>20:45</t>
        </is>
      </c>
      <c r="C7912" t="n">
        <v>3153</v>
      </c>
      <c r="D7912" s="6" t="n">
        <v>3.8</v>
      </c>
      <c r="E7912" t="n">
        <v>45267</v>
      </c>
      <c r="F7912" s="6" t="n">
        <v>3.8</v>
      </c>
      <c r="G7912" t="n">
        <v>1</v>
      </c>
      <c r="H7912" s="6">
        <f>ROUND(G7912*F7912,2)</f>
        <v/>
      </c>
      <c r="I7912">
        <f>IF(ROUND(H7912-D7912,2)=0,1,0)</f>
        <v/>
      </c>
      <c r="J7912">
        <f>IF(F7912="","none",IF(G7912=1,"carte","multiple"))</f>
        <v/>
      </c>
    </row>
    <row r="7913">
      <c r="A7913" t="inlineStr">
        <is>
          <t>2023-03-24</t>
        </is>
      </c>
      <c r="B7913" t="inlineStr">
        <is>
          <t>20:45</t>
        </is>
      </c>
      <c r="C7913" t="n">
        <v>3153</v>
      </c>
      <c r="D7913" s="6" t="n">
        <v>10.4</v>
      </c>
      <c r="E7913" t="n">
        <v>45268</v>
      </c>
      <c r="F7913" s="6" t="n">
        <v>0.4</v>
      </c>
      <c r="G7913" t="n">
        <v>26</v>
      </c>
      <c r="H7913" s="6">
        <f>ROUND(G7913*F7913,2)</f>
        <v/>
      </c>
      <c r="I7913">
        <f>IF(ROUND(H7913-D7913,2)=0,1,0)</f>
        <v/>
      </c>
      <c r="J7913">
        <f>IF(F7913="","none",IF(G7913=1,"carte","multiple"))</f>
        <v/>
      </c>
    </row>
    <row r="7914">
      <c r="A7914" t="inlineStr">
        <is>
          <t>2023-03-25</t>
        </is>
      </c>
      <c r="B7914" t="inlineStr">
        <is>
          <t>10:48</t>
        </is>
      </c>
      <c r="C7914" t="n">
        <v>3154</v>
      </c>
      <c r="D7914" s="6" t="n">
        <v>13.4</v>
      </c>
      <c r="E7914" t="n">
        <v>45271</v>
      </c>
      <c r="F7914" s="6" t="n">
        <v>13.4</v>
      </c>
      <c r="G7914" t="n">
        <v>1</v>
      </c>
      <c r="H7914" s="6">
        <f>ROUND(G7914*F7914,2)</f>
        <v/>
      </c>
      <c r="I7914">
        <f>IF(ROUND(H7914-D7914,2)=0,1,0)</f>
        <v/>
      </c>
      <c r="J7914">
        <f>IF(F7914="","none",IF(G7914=1,"carte","multiple"))</f>
        <v/>
      </c>
    </row>
    <row r="7915">
      <c r="A7915" t="inlineStr">
        <is>
          <t>2023-03-25</t>
        </is>
      </c>
      <c r="B7915" t="inlineStr">
        <is>
          <t>11:05</t>
        </is>
      </c>
      <c r="C7915" t="n">
        <v>3154</v>
      </c>
      <c r="D7915" s="6" t="n">
        <v>3.9</v>
      </c>
      <c r="E7915" t="n">
        <v>45272</v>
      </c>
      <c r="F7915" s="6" t="n">
        <v>3.9</v>
      </c>
      <c r="G7915" t="n">
        <v>1</v>
      </c>
      <c r="H7915" s="6">
        <f>ROUND(G7915*F7915,2)</f>
        <v/>
      </c>
      <c r="I7915">
        <f>IF(ROUND(H7915-D7915,2)=0,1,0)</f>
        <v/>
      </c>
      <c r="J7915">
        <f>IF(F7915="","none",IF(G7915=1,"carte","multiple"))</f>
        <v/>
      </c>
    </row>
    <row r="7916">
      <c r="A7916" t="inlineStr">
        <is>
          <t>2023-03-25</t>
        </is>
      </c>
      <c r="B7916" t="inlineStr">
        <is>
          <t>11:05</t>
        </is>
      </c>
      <c r="C7916" t="n">
        <v>3154</v>
      </c>
      <c r="D7916" s="6" t="n">
        <v>5.9</v>
      </c>
      <c r="E7916" t="n">
        <v>45273</v>
      </c>
      <c r="F7916" s="6" t="n">
        <v>5.9</v>
      </c>
      <c r="G7916" t="n">
        <v>1</v>
      </c>
      <c r="H7916" s="6">
        <f>ROUND(G7916*F7916,2)</f>
        <v/>
      </c>
      <c r="I7916">
        <f>IF(ROUND(H7916-D7916,2)=0,1,0)</f>
        <v/>
      </c>
      <c r="J7916">
        <f>IF(F7916="","none",IF(G7916=1,"carte","multiple"))</f>
        <v/>
      </c>
    </row>
    <row r="7917">
      <c r="A7917" t="inlineStr">
        <is>
          <t>2023-03-25</t>
        </is>
      </c>
      <c r="B7917" t="inlineStr">
        <is>
          <t>11:05</t>
        </is>
      </c>
      <c r="C7917" t="n">
        <v>3154</v>
      </c>
      <c r="D7917" s="6" t="n">
        <v>8.9</v>
      </c>
      <c r="E7917" t="n">
        <v>45274</v>
      </c>
      <c r="F7917" s="6" t="n">
        <v>8.9</v>
      </c>
      <c r="G7917" t="n">
        <v>1</v>
      </c>
      <c r="H7917" s="6">
        <f>ROUND(G7917*F7917,2)</f>
        <v/>
      </c>
      <c r="I7917">
        <f>IF(ROUND(H7917-D7917,2)=0,1,0)</f>
        <v/>
      </c>
      <c r="J7917">
        <f>IF(F7917="","none",IF(G7917=1,"carte","multiple"))</f>
        <v/>
      </c>
    </row>
    <row r="7918">
      <c r="A7918" t="inlineStr">
        <is>
          <t>2023-03-25</t>
        </is>
      </c>
      <c r="B7918" t="inlineStr">
        <is>
          <t>11:05</t>
        </is>
      </c>
      <c r="C7918" t="n">
        <v>3154</v>
      </c>
      <c r="D7918" s="6" t="n">
        <v>8.9</v>
      </c>
      <c r="E7918" t="n">
        <v>45275</v>
      </c>
      <c r="F7918" s="6" t="n">
        <v>8.9</v>
      </c>
      <c r="G7918" t="n">
        <v>1</v>
      </c>
      <c r="H7918" s="6">
        <f>ROUND(G7918*F7918,2)</f>
        <v/>
      </c>
      <c r="I7918">
        <f>IF(ROUND(H7918-D7918,2)=0,1,0)</f>
        <v/>
      </c>
      <c r="J7918">
        <f>IF(F7918="","none",IF(G7918=1,"carte","multiple"))</f>
        <v/>
      </c>
    </row>
    <row r="7919">
      <c r="A7919" t="inlineStr">
        <is>
          <t>2023-03-25</t>
        </is>
      </c>
      <c r="B7919" t="inlineStr">
        <is>
          <t>11:05</t>
        </is>
      </c>
      <c r="C7919" t="n">
        <v>3154</v>
      </c>
      <c r="D7919" s="6" t="n">
        <v>64</v>
      </c>
      <c r="E7919" t="n">
        <v>45276</v>
      </c>
      <c r="F7919" s="6" t="n">
        <v>64</v>
      </c>
      <c r="G7919" t="n">
        <v>1</v>
      </c>
      <c r="H7919" s="6">
        <f>ROUND(G7919*F7919,2)</f>
        <v/>
      </c>
      <c r="I7919">
        <f>IF(ROUND(H7919-D7919,2)=0,1,0)</f>
        <v/>
      </c>
      <c r="J7919">
        <f>IF(F7919="","none",IF(G7919=1,"carte","multiple"))</f>
        <v/>
      </c>
    </row>
    <row r="7920">
      <c r="A7920" t="inlineStr">
        <is>
          <t>2023-03-25</t>
        </is>
      </c>
      <c r="B7920" t="inlineStr">
        <is>
          <t>11:05</t>
        </is>
      </c>
      <c r="C7920" t="n">
        <v>3154</v>
      </c>
      <c r="D7920" s="6" t="n">
        <v>30</v>
      </c>
      <c r="E7920" t="n">
        <v>45277</v>
      </c>
      <c r="F7920" s="6" t="n">
        <v>30</v>
      </c>
      <c r="G7920" t="n">
        <v>1</v>
      </c>
      <c r="H7920" s="6">
        <f>ROUND(G7920*F7920,2)</f>
        <v/>
      </c>
      <c r="I7920">
        <f>IF(ROUND(H7920-D7920,2)=0,1,0)</f>
        <v/>
      </c>
      <c r="J7920">
        <f>IF(F7920="","none",IF(G7920=1,"carte","multiple"))</f>
        <v/>
      </c>
    </row>
    <row r="7921">
      <c r="A7921" t="inlineStr">
        <is>
          <t>2023-03-25</t>
        </is>
      </c>
      <c r="B7921" t="inlineStr">
        <is>
          <t>11:05</t>
        </is>
      </c>
      <c r="C7921" t="n">
        <v>3154</v>
      </c>
      <c r="D7921" s="6" t="n">
        <v>19</v>
      </c>
      <c r="E7921" t="n">
        <v>45278</v>
      </c>
      <c r="F7921" s="6" t="n">
        <v>19</v>
      </c>
      <c r="G7921" t="n">
        <v>1</v>
      </c>
      <c r="H7921" s="6">
        <f>ROUND(G7921*F7921,2)</f>
        <v/>
      </c>
      <c r="I7921">
        <f>IF(ROUND(H7921-D7921,2)=0,1,0)</f>
        <v/>
      </c>
      <c r="J7921">
        <f>IF(F7921="","none",IF(G7921=1,"carte","multiple"))</f>
        <v/>
      </c>
    </row>
    <row r="7922">
      <c r="A7922" t="inlineStr">
        <is>
          <t>2023-03-25</t>
        </is>
      </c>
      <c r="B7922" t="inlineStr">
        <is>
          <t>11:05</t>
        </is>
      </c>
      <c r="C7922" t="n">
        <v>3154</v>
      </c>
      <c r="D7922" s="6" t="n">
        <v>19</v>
      </c>
      <c r="E7922" t="n">
        <v>45279</v>
      </c>
      <c r="F7922" s="6" t="n">
        <v>19</v>
      </c>
      <c r="G7922" t="n">
        <v>1</v>
      </c>
      <c r="H7922" s="6">
        <f>ROUND(G7922*F7922,2)</f>
        <v/>
      </c>
      <c r="I7922">
        <f>IF(ROUND(H7922-D7922,2)=0,1,0)</f>
        <v/>
      </c>
      <c r="J7922">
        <f>IF(F7922="","none",IF(G7922=1,"carte","multiple"))</f>
        <v/>
      </c>
    </row>
    <row r="7923">
      <c r="A7923" t="inlineStr">
        <is>
          <t>2023-03-25</t>
        </is>
      </c>
      <c r="B7923" t="inlineStr">
        <is>
          <t>11:05</t>
        </is>
      </c>
      <c r="C7923" t="n">
        <v>3154</v>
      </c>
      <c r="D7923" s="6" t="n">
        <v>29.9</v>
      </c>
      <c r="E7923" t="n">
        <v>45280</v>
      </c>
      <c r="F7923" s="6" t="n">
        <v>29.9</v>
      </c>
      <c r="G7923" t="n">
        <v>1</v>
      </c>
      <c r="H7923" s="6">
        <f>ROUND(G7923*F7923,2)</f>
        <v/>
      </c>
      <c r="I7923">
        <f>IF(ROUND(H7923-D7923,2)=0,1,0)</f>
        <v/>
      </c>
      <c r="J7923">
        <f>IF(F7923="","none",IF(G7923=1,"carte","multiple"))</f>
        <v/>
      </c>
    </row>
    <row r="7924">
      <c r="A7924" t="inlineStr">
        <is>
          <t>2023-03-25</t>
        </is>
      </c>
      <c r="B7924" t="inlineStr">
        <is>
          <t>11:42</t>
        </is>
      </c>
      <c r="C7924" t="n">
        <v>3154</v>
      </c>
      <c r="D7924" s="6" t="n">
        <v>3.9</v>
      </c>
      <c r="E7924" t="n">
        <v>45281</v>
      </c>
      <c r="F7924" s="6" t="n">
        <v>3.9</v>
      </c>
      <c r="G7924" t="n">
        <v>1</v>
      </c>
      <c r="H7924" s="6">
        <f>ROUND(G7924*F7924,2)</f>
        <v/>
      </c>
      <c r="I7924">
        <f>IF(ROUND(H7924-D7924,2)=0,1,0)</f>
        <v/>
      </c>
      <c r="J7924">
        <f>IF(F7924="","none",IF(G7924=1,"carte","multiple"))</f>
        <v/>
      </c>
    </row>
    <row r="7925">
      <c r="A7925" t="inlineStr">
        <is>
          <t>2023-03-25</t>
        </is>
      </c>
      <c r="B7925" t="inlineStr">
        <is>
          <t>18:19</t>
        </is>
      </c>
      <c r="C7925" t="n">
        <v>3154</v>
      </c>
      <c r="D7925" s="6" t="n">
        <v>4.2</v>
      </c>
      <c r="E7925" t="n">
        <v>45284</v>
      </c>
      <c r="F7925" s="6" t="n">
        <v>4.2</v>
      </c>
      <c r="G7925" t="n">
        <v>1</v>
      </c>
      <c r="H7925" s="6">
        <f>ROUND(G7925*F7925,2)</f>
        <v/>
      </c>
      <c r="I7925">
        <f>IF(ROUND(H7925-D7925,2)=0,1,0)</f>
        <v/>
      </c>
      <c r="J7925">
        <f>IF(F7925="","none",IF(G7925=1,"carte","multiple"))</f>
        <v/>
      </c>
    </row>
    <row r="7926">
      <c r="A7926" t="inlineStr">
        <is>
          <t>2023-03-25</t>
        </is>
      </c>
      <c r="B7926" t="inlineStr">
        <is>
          <t>18:53</t>
        </is>
      </c>
      <c r="C7926" t="n">
        <v>3154</v>
      </c>
      <c r="D7926" s="6" t="n">
        <v>18.6</v>
      </c>
      <c r="E7926" t="n">
        <v>45285</v>
      </c>
      <c r="F7926" s="6" t="n">
        <v>18.6</v>
      </c>
      <c r="G7926" t="n">
        <v>1</v>
      </c>
      <c r="H7926" s="6">
        <f>ROUND(G7926*F7926,2)</f>
        <v/>
      </c>
      <c r="I7926">
        <f>IF(ROUND(H7926-D7926,2)=0,1,0)</f>
        <v/>
      </c>
      <c r="J7926">
        <f>IF(F7926="","none",IF(G7926=1,"carte","multiple"))</f>
        <v/>
      </c>
    </row>
    <row r="7927">
      <c r="A7927" t="inlineStr">
        <is>
          <t>2023-03-25</t>
        </is>
      </c>
      <c r="B7927" t="inlineStr">
        <is>
          <t>19:03</t>
        </is>
      </c>
      <c r="C7927" t="n">
        <v>3154</v>
      </c>
      <c r="D7927" s="6" t="n">
        <v>3.9</v>
      </c>
      <c r="E7927" t="n">
        <v>45286</v>
      </c>
      <c r="F7927" s="6" t="n">
        <v>3.9</v>
      </c>
      <c r="G7927" t="n">
        <v>1</v>
      </c>
      <c r="H7927" s="6">
        <f>ROUND(G7927*F7927,2)</f>
        <v/>
      </c>
      <c r="I7927">
        <f>IF(ROUND(H7927-D7927,2)=0,1,0)</f>
        <v/>
      </c>
      <c r="J7927">
        <f>IF(F7927="","none",IF(G7927=1,"carte","multiple"))</f>
        <v/>
      </c>
    </row>
    <row r="7928">
      <c r="A7928" t="inlineStr">
        <is>
          <t>2023-03-25</t>
        </is>
      </c>
      <c r="B7928" t="inlineStr">
        <is>
          <t>19:03</t>
        </is>
      </c>
      <c r="C7928" t="n">
        <v>3154</v>
      </c>
      <c r="D7928" s="6" t="n">
        <v>3.8</v>
      </c>
      <c r="E7928" t="n">
        <v>45287</v>
      </c>
      <c r="F7928" s="6" t="n">
        <v>3.8</v>
      </c>
      <c r="G7928" t="n">
        <v>1</v>
      </c>
      <c r="H7928" s="6">
        <f>ROUND(G7928*F7928,2)</f>
        <v/>
      </c>
      <c r="I7928">
        <f>IF(ROUND(H7928-D7928,2)=0,1,0)</f>
        <v/>
      </c>
      <c r="J7928">
        <f>IF(F7928="","none",IF(G7928=1,"carte","multiple"))</f>
        <v/>
      </c>
    </row>
    <row r="7929">
      <c r="A7929" t="inlineStr">
        <is>
          <t>2023-03-25</t>
        </is>
      </c>
      <c r="B7929" t="inlineStr">
        <is>
          <t>19:03</t>
        </is>
      </c>
      <c r="C7929" t="n">
        <v>3154</v>
      </c>
      <c r="D7929" s="6" t="n">
        <v>4</v>
      </c>
      <c r="E7929" t="n">
        <v>45288</v>
      </c>
      <c r="F7929" s="6" t="n">
        <v>4</v>
      </c>
      <c r="G7929" t="n">
        <v>1</v>
      </c>
      <c r="H7929" s="6">
        <f>ROUND(G7929*F7929,2)</f>
        <v/>
      </c>
      <c r="I7929">
        <f>IF(ROUND(H7929-D7929,2)=0,1,0)</f>
        <v/>
      </c>
      <c r="J7929">
        <f>IF(F7929="","none",IF(G7929=1,"carte","multiple"))</f>
        <v/>
      </c>
    </row>
    <row r="7930">
      <c r="A7930" t="inlineStr">
        <is>
          <t>2023-03-25</t>
        </is>
      </c>
      <c r="B7930" t="inlineStr">
        <is>
          <t>20:22</t>
        </is>
      </c>
      <c r="C7930" t="n">
        <v>3154</v>
      </c>
      <c r="D7930" s="6" t="n">
        <v>4.7</v>
      </c>
      <c r="E7930" t="n">
        <v>45289</v>
      </c>
      <c r="F7930" s="6" t="n">
        <v>4.7</v>
      </c>
      <c r="G7930" t="n">
        <v>1</v>
      </c>
      <c r="H7930" s="6">
        <f>ROUND(G7930*F7930,2)</f>
        <v/>
      </c>
      <c r="I7930">
        <f>IF(ROUND(H7930-D7930,2)=0,1,0)</f>
        <v/>
      </c>
      <c r="J7930">
        <f>IF(F7930="","none",IF(G7930=1,"carte","multiple"))</f>
        <v/>
      </c>
    </row>
    <row r="7931">
      <c r="A7931" t="inlineStr">
        <is>
          <t>2023-03-25</t>
        </is>
      </c>
      <c r="B7931" t="inlineStr">
        <is>
          <t>20:22</t>
        </is>
      </c>
      <c r="C7931" t="n">
        <v>3154</v>
      </c>
      <c r="D7931" s="6" t="n">
        <v>7</v>
      </c>
      <c r="E7931" t="n">
        <v>45290</v>
      </c>
      <c r="F7931" s="6" t="n">
        <v>7</v>
      </c>
      <c r="G7931" t="n">
        <v>1</v>
      </c>
      <c r="H7931" s="6">
        <f>ROUND(G7931*F7931,2)</f>
        <v/>
      </c>
      <c r="I7931">
        <f>IF(ROUND(H7931-D7931,2)=0,1,0)</f>
        <v/>
      </c>
      <c r="J7931">
        <f>IF(F7931="","none",IF(G7931=1,"carte","multiple"))</f>
        <v/>
      </c>
    </row>
    <row r="7932">
      <c r="A7932" t="inlineStr">
        <is>
          <t>2023-03-25</t>
        </is>
      </c>
      <c r="B7932" t="inlineStr">
        <is>
          <t>20:22</t>
        </is>
      </c>
      <c r="C7932" t="n">
        <v>3154</v>
      </c>
      <c r="D7932" s="6" t="n">
        <v>10.9</v>
      </c>
      <c r="E7932" t="n">
        <v>45291</v>
      </c>
      <c r="F7932" s="6" t="n">
        <v>10.9</v>
      </c>
      <c r="G7932" t="n">
        <v>1</v>
      </c>
      <c r="H7932" s="6">
        <f>ROUND(G7932*F7932,2)</f>
        <v/>
      </c>
      <c r="I7932">
        <f>IF(ROUND(H7932-D7932,2)=0,1,0)</f>
        <v/>
      </c>
      <c r="J7932">
        <f>IF(F7932="","none",IF(G7932=1,"carte","multiple"))</f>
        <v/>
      </c>
    </row>
    <row r="7933">
      <c r="A7933" t="inlineStr">
        <is>
          <t>2023-03-25</t>
        </is>
      </c>
      <c r="B7933" t="inlineStr">
        <is>
          <t>20:22</t>
        </is>
      </c>
      <c r="C7933" t="n">
        <v>3154</v>
      </c>
      <c r="D7933" s="6" t="n">
        <v>25</v>
      </c>
      <c r="E7933" t="n">
        <v>45292</v>
      </c>
      <c r="F7933" s="6" t="n">
        <v>25</v>
      </c>
      <c r="G7933" t="n">
        <v>1</v>
      </c>
      <c r="H7933" s="6">
        <f>ROUND(G7933*F7933,2)</f>
        <v/>
      </c>
      <c r="I7933">
        <f>IF(ROUND(H7933-D7933,2)=0,1,0)</f>
        <v/>
      </c>
      <c r="J7933">
        <f>IF(F7933="","none",IF(G7933=1,"carte","multiple"))</f>
        <v/>
      </c>
    </row>
    <row r="7934">
      <c r="A7934" t="inlineStr">
        <is>
          <t>2023-03-25</t>
        </is>
      </c>
      <c r="B7934" t="inlineStr">
        <is>
          <t>20:22</t>
        </is>
      </c>
      <c r="C7934" t="n">
        <v>3154</v>
      </c>
      <c r="D7934" s="6" t="n">
        <v>19.9</v>
      </c>
      <c r="E7934" t="n">
        <v>45293</v>
      </c>
      <c r="F7934" s="6" t="n">
        <v>19.9</v>
      </c>
      <c r="G7934" t="n">
        <v>1</v>
      </c>
      <c r="H7934" s="6">
        <f>ROUND(G7934*F7934,2)</f>
        <v/>
      </c>
      <c r="I7934">
        <f>IF(ROUND(H7934-D7934,2)=0,1,0)</f>
        <v/>
      </c>
      <c r="J7934">
        <f>IF(F7934="","none",IF(G7934=1,"carte","multiple"))</f>
        <v/>
      </c>
    </row>
    <row r="7935">
      <c r="A7935" t="inlineStr">
        <is>
          <t>2023-03-25</t>
        </is>
      </c>
      <c r="B7935" t="inlineStr">
        <is>
          <t>20:22</t>
        </is>
      </c>
      <c r="C7935" t="n">
        <v>3154</v>
      </c>
      <c r="D7935" s="6" t="n">
        <v>16.8</v>
      </c>
      <c r="E7935" t="n">
        <v>45294</v>
      </c>
      <c r="F7935" s="6" t="n">
        <v>16.8</v>
      </c>
      <c r="G7935" t="n">
        <v>1</v>
      </c>
      <c r="H7935" s="6">
        <f>ROUND(G7935*F7935,2)</f>
        <v/>
      </c>
      <c r="I7935">
        <f>IF(ROUND(H7935-D7935,2)=0,1,0)</f>
        <v/>
      </c>
      <c r="J7935">
        <f>IF(F7935="","none",IF(G7935=1,"carte","multiple"))</f>
        <v/>
      </c>
    </row>
    <row r="7936">
      <c r="A7936" t="inlineStr">
        <is>
          <t>2023-03-25</t>
        </is>
      </c>
      <c r="B7936" t="inlineStr">
        <is>
          <t>20:22</t>
        </is>
      </c>
      <c r="C7936" t="n">
        <v>3154</v>
      </c>
      <c r="D7936" s="6" t="n">
        <v>9.800000000000001</v>
      </c>
      <c r="E7936" t="n">
        <v>45295</v>
      </c>
      <c r="F7936" s="6" t="n">
        <v>9.800000000000001</v>
      </c>
      <c r="G7936" t="n">
        <v>1</v>
      </c>
      <c r="H7936" s="6">
        <f>ROUND(G7936*F7936,2)</f>
        <v/>
      </c>
      <c r="I7936">
        <f>IF(ROUND(H7936-D7936,2)=0,1,0)</f>
        <v/>
      </c>
      <c r="J7936">
        <f>IF(F7936="","none",IF(G7936=1,"carte","multiple"))</f>
        <v/>
      </c>
    </row>
    <row r="7937">
      <c r="A7937" t="inlineStr">
        <is>
          <t>2023-03-25</t>
        </is>
      </c>
      <c r="B7937" t="inlineStr">
        <is>
          <t>20:22</t>
        </is>
      </c>
      <c r="C7937" t="n">
        <v>3154</v>
      </c>
      <c r="D7937" s="6" t="n">
        <v>5.2</v>
      </c>
      <c r="E7937" t="n">
        <v>45296</v>
      </c>
      <c r="F7937" s="6" t="n">
        <v>5.2</v>
      </c>
      <c r="G7937" t="n">
        <v>1</v>
      </c>
      <c r="H7937" s="6">
        <f>ROUND(G7937*F7937,2)</f>
        <v/>
      </c>
      <c r="I7937">
        <f>IF(ROUND(H7937-D7937,2)=0,1,0)</f>
        <v/>
      </c>
      <c r="J7937">
        <f>IF(F7937="","none",IF(G7937=1,"carte","multiple"))</f>
        <v/>
      </c>
    </row>
    <row r="7938">
      <c r="A7938" t="inlineStr">
        <is>
          <t>2023-03-25</t>
        </is>
      </c>
      <c r="B7938" t="inlineStr">
        <is>
          <t>20:22</t>
        </is>
      </c>
      <c r="C7938" t="n">
        <v>3154</v>
      </c>
      <c r="D7938" s="6" t="n">
        <v>4.2</v>
      </c>
      <c r="E7938" t="n">
        <v>45297</v>
      </c>
      <c r="F7938" s="6" t="n">
        <v>4.2</v>
      </c>
      <c r="G7938" t="n">
        <v>1</v>
      </c>
      <c r="H7938" s="6">
        <f>ROUND(G7938*F7938,2)</f>
        <v/>
      </c>
      <c r="I7938">
        <f>IF(ROUND(H7938-D7938,2)=0,1,0)</f>
        <v/>
      </c>
      <c r="J7938">
        <f>IF(F7938="","none",IF(G7938=1,"carte","multiple"))</f>
        <v/>
      </c>
    </row>
    <row r="7939">
      <c r="A7939" t="inlineStr">
        <is>
          <t>2023-03-25</t>
        </is>
      </c>
      <c r="B7939" t="inlineStr">
        <is>
          <t>20:31</t>
        </is>
      </c>
      <c r="C7939" t="n">
        <v>3154</v>
      </c>
      <c r="D7939" s="6" t="n">
        <v>7</v>
      </c>
      <c r="E7939" t="n">
        <v>45298</v>
      </c>
      <c r="F7939" s="6" t="n">
        <v>7</v>
      </c>
      <c r="G7939" t="n">
        <v>1</v>
      </c>
      <c r="H7939" s="6">
        <f>ROUND(G7939*F7939,2)</f>
        <v/>
      </c>
      <c r="I7939">
        <f>IF(ROUND(H7939-D7939,2)=0,1,0)</f>
        <v/>
      </c>
      <c r="J7939">
        <f>IF(F7939="","none",IF(G7939=1,"carte","multiple"))</f>
        <v/>
      </c>
    </row>
    <row r="7940">
      <c r="A7940" t="inlineStr">
        <is>
          <t>2023-03-25</t>
        </is>
      </c>
      <c r="B7940" t="inlineStr">
        <is>
          <t>20:31</t>
        </is>
      </c>
      <c r="C7940" t="n">
        <v>3154</v>
      </c>
      <c r="D7940" s="6" t="n">
        <v>3.9</v>
      </c>
      <c r="E7940" t="n">
        <v>45299</v>
      </c>
      <c r="F7940" s="6" t="n">
        <v>3.9</v>
      </c>
      <c r="G7940" t="n">
        <v>1</v>
      </c>
      <c r="H7940" s="6">
        <f>ROUND(G7940*F7940,2)</f>
        <v/>
      </c>
      <c r="I7940">
        <f>IF(ROUND(H7940-D7940,2)=0,1,0)</f>
        <v/>
      </c>
      <c r="J7940">
        <f>IF(F7940="","none",IF(G7940=1,"carte","multiple"))</f>
        <v/>
      </c>
    </row>
    <row r="7941">
      <c r="A7941" t="inlineStr">
        <is>
          <t>2023-03-25</t>
        </is>
      </c>
      <c r="B7941" t="inlineStr">
        <is>
          <t>20:31</t>
        </is>
      </c>
      <c r="C7941" t="n">
        <v>3154</v>
      </c>
      <c r="D7941" s="6" t="n">
        <v>7.9</v>
      </c>
      <c r="E7941" t="n">
        <v>45300</v>
      </c>
      <c r="F7941" s="6" t="n">
        <v>7.9</v>
      </c>
      <c r="G7941" t="n">
        <v>1</v>
      </c>
      <c r="H7941" s="6">
        <f>ROUND(G7941*F7941,2)</f>
        <v/>
      </c>
      <c r="I7941">
        <f>IF(ROUND(H7941-D7941,2)=0,1,0)</f>
        <v/>
      </c>
      <c r="J7941">
        <f>IF(F7941="","none",IF(G7941=1,"carte","multiple"))</f>
        <v/>
      </c>
    </row>
    <row r="7942">
      <c r="A7942" t="inlineStr">
        <is>
          <t>2023-03-25</t>
        </is>
      </c>
      <c r="B7942" t="inlineStr">
        <is>
          <t>20:31</t>
        </is>
      </c>
      <c r="C7942" t="n">
        <v>3154</v>
      </c>
      <c r="D7942" s="6" t="n">
        <v>18.6</v>
      </c>
      <c r="E7942" t="n">
        <v>45301</v>
      </c>
      <c r="F7942" s="6" t="n">
        <v>18.6</v>
      </c>
      <c r="G7942" t="n">
        <v>1</v>
      </c>
      <c r="H7942" s="6">
        <f>ROUND(G7942*F7942,2)</f>
        <v/>
      </c>
      <c r="I7942">
        <f>IF(ROUND(H7942-D7942,2)=0,1,0)</f>
        <v/>
      </c>
      <c r="J7942">
        <f>IF(F7942="","none",IF(G7942=1,"carte","multiple"))</f>
        <v/>
      </c>
    </row>
    <row r="7943">
      <c r="A7943" t="inlineStr">
        <is>
          <t>2023-03-25</t>
        </is>
      </c>
      <c r="B7943" t="inlineStr">
        <is>
          <t>20:31</t>
        </is>
      </c>
      <c r="C7943" t="n">
        <v>3154</v>
      </c>
      <c r="D7943" s="6" t="n">
        <v>16.9</v>
      </c>
      <c r="E7943" t="n">
        <v>45302</v>
      </c>
      <c r="F7943" s="6" t="n">
        <v>16.9</v>
      </c>
      <c r="G7943" t="n">
        <v>1</v>
      </c>
      <c r="H7943" s="6">
        <f>ROUND(G7943*F7943,2)</f>
        <v/>
      </c>
      <c r="I7943">
        <f>IF(ROUND(H7943-D7943,2)=0,1,0)</f>
        <v/>
      </c>
      <c r="J7943">
        <f>IF(F7943="","none",IF(G7943=1,"carte","multiple"))</f>
        <v/>
      </c>
    </row>
    <row r="7944">
      <c r="A7944" t="inlineStr">
        <is>
          <t>2023-03-25</t>
        </is>
      </c>
      <c r="B7944" t="inlineStr">
        <is>
          <t>20:31</t>
        </is>
      </c>
      <c r="C7944" t="n">
        <v>3154</v>
      </c>
      <c r="D7944" s="6" t="n">
        <v>6.9</v>
      </c>
      <c r="E7944" t="n">
        <v>45303</v>
      </c>
      <c r="F7944" s="6" t="n">
        <v>6.9</v>
      </c>
      <c r="G7944" t="n">
        <v>1</v>
      </c>
      <c r="H7944" s="6">
        <f>ROUND(G7944*F7944,2)</f>
        <v/>
      </c>
      <c r="I7944">
        <f>IF(ROUND(H7944-D7944,2)=0,1,0)</f>
        <v/>
      </c>
      <c r="J7944">
        <f>IF(F7944="","none",IF(G7944=1,"carte","multiple"))</f>
        <v/>
      </c>
    </row>
    <row r="7945">
      <c r="A7945" t="inlineStr">
        <is>
          <t>2023-03-26</t>
        </is>
      </c>
      <c r="B7945" t="inlineStr">
        <is>
          <t>10:58</t>
        </is>
      </c>
      <c r="C7945" t="n">
        <v>3155</v>
      </c>
      <c r="D7945" s="6" t="n">
        <v>19</v>
      </c>
      <c r="E7945" t="n">
        <v>45307</v>
      </c>
      <c r="F7945" s="6" t="n">
        <v>19</v>
      </c>
      <c r="G7945" t="n">
        <v>1</v>
      </c>
      <c r="H7945" s="6">
        <f>ROUND(G7945*F7945,2)</f>
        <v/>
      </c>
      <c r="I7945">
        <f>IF(ROUND(H7945-D7945,2)=0,1,0)</f>
        <v/>
      </c>
      <c r="J7945">
        <f>IF(F7945="","none",IF(G7945=1,"carte","multiple"))</f>
        <v/>
      </c>
    </row>
    <row r="7946">
      <c r="A7946" t="inlineStr">
        <is>
          <t>2023-03-26</t>
        </is>
      </c>
      <c r="B7946" t="inlineStr">
        <is>
          <t>11:17</t>
        </is>
      </c>
      <c r="C7946" t="n">
        <v>3155</v>
      </c>
      <c r="D7946" s="6" t="n">
        <v>4.2</v>
      </c>
      <c r="E7946" t="n">
        <v>45308</v>
      </c>
      <c r="F7946" s="6" t="n">
        <v>4.2</v>
      </c>
      <c r="G7946" t="n">
        <v>1</v>
      </c>
      <c r="H7946" s="6">
        <f>ROUND(G7946*F7946,2)</f>
        <v/>
      </c>
      <c r="I7946">
        <f>IF(ROUND(H7946-D7946,2)=0,1,0)</f>
        <v/>
      </c>
      <c r="J7946">
        <f>IF(F7946="","none",IF(G7946=1,"carte","multiple"))</f>
        <v/>
      </c>
    </row>
    <row r="7947">
      <c r="A7947" t="inlineStr">
        <is>
          <t>2023-03-26</t>
        </is>
      </c>
      <c r="B7947" t="inlineStr">
        <is>
          <t>11:19</t>
        </is>
      </c>
      <c r="C7947" t="n">
        <v>3155</v>
      </c>
      <c r="D7947" s="6" t="n">
        <v>5.9</v>
      </c>
      <c r="E7947" t="n">
        <v>45309</v>
      </c>
      <c r="F7947" s="6" t="n">
        <v>5.9</v>
      </c>
      <c r="G7947" t="n">
        <v>1</v>
      </c>
      <c r="H7947" s="6">
        <f>ROUND(G7947*F7947,2)</f>
        <v/>
      </c>
      <c r="I7947">
        <f>IF(ROUND(H7947-D7947,2)=0,1,0)</f>
        <v/>
      </c>
      <c r="J7947">
        <f>IF(F7947="","none",IF(G7947=1,"carte","multiple"))</f>
        <v/>
      </c>
    </row>
    <row r="7948">
      <c r="A7948" t="inlineStr">
        <is>
          <t>2023-03-26</t>
        </is>
      </c>
      <c r="B7948" t="inlineStr">
        <is>
          <t>11:19</t>
        </is>
      </c>
      <c r="C7948" t="n">
        <v>3155</v>
      </c>
      <c r="D7948" s="6" t="n">
        <v>4</v>
      </c>
      <c r="E7948" t="n">
        <v>45310</v>
      </c>
      <c r="F7948" s="6" t="n">
        <v>4</v>
      </c>
      <c r="G7948" t="n">
        <v>1</v>
      </c>
      <c r="H7948" s="6">
        <f>ROUND(G7948*F7948,2)</f>
        <v/>
      </c>
      <c r="I7948">
        <f>IF(ROUND(H7948-D7948,2)=0,1,0)</f>
        <v/>
      </c>
      <c r="J7948">
        <f>IF(F7948="","none",IF(G7948=1,"carte","multiple"))</f>
        <v/>
      </c>
    </row>
    <row r="7949">
      <c r="A7949" t="inlineStr">
        <is>
          <t>2023-03-26</t>
        </is>
      </c>
      <c r="B7949" t="inlineStr">
        <is>
          <t>12:09</t>
        </is>
      </c>
      <c r="C7949" t="n">
        <v>3155</v>
      </c>
      <c r="D7949" s="6" t="n">
        <v>18.6</v>
      </c>
      <c r="E7949" t="n">
        <v>45311</v>
      </c>
      <c r="F7949" s="6" t="n">
        <v>18.6</v>
      </c>
      <c r="G7949" t="n">
        <v>1</v>
      </c>
      <c r="H7949" s="6">
        <f>ROUND(G7949*F7949,2)</f>
        <v/>
      </c>
      <c r="I7949">
        <f>IF(ROUND(H7949-D7949,2)=0,1,0)</f>
        <v/>
      </c>
      <c r="J7949">
        <f>IF(F7949="","none",IF(G7949=1,"carte","multiple"))</f>
        <v/>
      </c>
    </row>
    <row r="7950">
      <c r="A7950" t="inlineStr">
        <is>
          <t>2023-03-26</t>
        </is>
      </c>
      <c r="B7950" t="inlineStr">
        <is>
          <t>12:09</t>
        </is>
      </c>
      <c r="C7950" t="n">
        <v>3155</v>
      </c>
      <c r="D7950" s="6" t="n">
        <v>27.8</v>
      </c>
      <c r="E7950" t="n">
        <v>45312</v>
      </c>
      <c r="F7950" s="6" t="n">
        <v>27.8</v>
      </c>
      <c r="G7950" t="n">
        <v>1</v>
      </c>
      <c r="H7950" s="6">
        <f>ROUND(G7950*F7950,2)</f>
        <v/>
      </c>
      <c r="I7950">
        <f>IF(ROUND(H7950-D7950,2)=0,1,0)</f>
        <v/>
      </c>
      <c r="J7950">
        <f>IF(F7950="","none",IF(G7950=1,"carte","multiple"))</f>
        <v/>
      </c>
    </row>
    <row r="7951">
      <c r="A7951" t="inlineStr">
        <is>
          <t>2023-03-26</t>
        </is>
      </c>
      <c r="B7951" t="inlineStr">
        <is>
          <t>12:10</t>
        </is>
      </c>
      <c r="C7951" t="n">
        <v>3155</v>
      </c>
      <c r="D7951" s="6" t="n">
        <v>4.2</v>
      </c>
      <c r="E7951" t="n">
        <v>45313</v>
      </c>
      <c r="F7951" s="6" t="n">
        <v>4.2</v>
      </c>
      <c r="G7951" t="n">
        <v>1</v>
      </c>
      <c r="H7951" s="6">
        <f>ROUND(G7951*F7951,2)</f>
        <v/>
      </c>
      <c r="I7951">
        <f>IF(ROUND(H7951-D7951,2)=0,1,0)</f>
        <v/>
      </c>
      <c r="J7951">
        <f>IF(F7951="","none",IF(G7951=1,"carte","multiple"))</f>
        <v/>
      </c>
    </row>
    <row r="7952">
      <c r="A7952" t="inlineStr">
        <is>
          <t>2023-03-26</t>
        </is>
      </c>
      <c r="B7952" t="inlineStr">
        <is>
          <t>12:10</t>
        </is>
      </c>
      <c r="C7952" t="n">
        <v>3155</v>
      </c>
      <c r="D7952" s="6" t="n">
        <v>5.2</v>
      </c>
      <c r="E7952" t="n">
        <v>45314</v>
      </c>
      <c r="F7952" s="6" t="n">
        <v>5.2</v>
      </c>
      <c r="G7952" t="n">
        <v>1</v>
      </c>
      <c r="H7952" s="6">
        <f>ROUND(G7952*F7952,2)</f>
        <v/>
      </c>
      <c r="I7952">
        <f>IF(ROUND(H7952-D7952,2)=0,1,0)</f>
        <v/>
      </c>
      <c r="J7952">
        <f>IF(F7952="","none",IF(G7952=1,"carte","multiple"))</f>
        <v/>
      </c>
    </row>
    <row r="7953">
      <c r="A7953" t="inlineStr">
        <is>
          <t>2023-03-26</t>
        </is>
      </c>
      <c r="B7953" t="inlineStr">
        <is>
          <t>12:27</t>
        </is>
      </c>
      <c r="C7953" t="n">
        <v>3155</v>
      </c>
      <c r="D7953" s="6" t="n">
        <v>1.1</v>
      </c>
      <c r="E7953" t="n">
        <v>45315</v>
      </c>
      <c r="F7953" s="6" t="n">
        <v>1.1</v>
      </c>
      <c r="G7953" t="n">
        <v>1</v>
      </c>
      <c r="H7953" s="6">
        <f>ROUND(G7953*F7953,2)</f>
        <v/>
      </c>
      <c r="I7953">
        <f>IF(ROUND(H7953-D7953,2)=0,1,0)</f>
        <v/>
      </c>
      <c r="J7953">
        <f>IF(F7953="","none",IF(G7953=1,"carte","multiple"))</f>
        <v/>
      </c>
    </row>
    <row r="7954">
      <c r="A7954" t="inlineStr">
        <is>
          <t>2023-03-26</t>
        </is>
      </c>
      <c r="B7954" t="inlineStr">
        <is>
          <t>12:27</t>
        </is>
      </c>
      <c r="C7954" t="n">
        <v>3155</v>
      </c>
      <c r="D7954" s="6" t="n">
        <v>9.5</v>
      </c>
      <c r="E7954" t="n">
        <v>45316</v>
      </c>
      <c r="F7954" s="6" t="n">
        <v>9.5</v>
      </c>
      <c r="G7954" t="n">
        <v>1</v>
      </c>
      <c r="H7954" s="6">
        <f>ROUND(G7954*F7954,2)</f>
        <v/>
      </c>
      <c r="I7954">
        <f>IF(ROUND(H7954-D7954,2)=0,1,0)</f>
        <v/>
      </c>
      <c r="J7954">
        <f>IF(F7954="","none",IF(G7954=1,"carte","multiple"))</f>
        <v/>
      </c>
    </row>
    <row r="7955">
      <c r="A7955" t="inlineStr">
        <is>
          <t>2023-03-26</t>
        </is>
      </c>
      <c r="B7955" t="inlineStr">
        <is>
          <t>12:27</t>
        </is>
      </c>
      <c r="C7955" t="n">
        <v>3155</v>
      </c>
      <c r="D7955" s="6" t="n">
        <v>9.300000000000001</v>
      </c>
      <c r="E7955" t="n">
        <v>45317</v>
      </c>
      <c r="H7955" t="inlineStr"/>
      <c r="I7955" t="inlineStr"/>
      <c r="J7955">
        <f>IF(F7955="","none",IF(G7955=1,"carte","multiple"))</f>
        <v/>
      </c>
    </row>
    <row r="7956">
      <c r="A7956" t="inlineStr">
        <is>
          <t>2023-03-26</t>
        </is>
      </c>
      <c r="B7956" t="inlineStr">
        <is>
          <t>12:27</t>
        </is>
      </c>
      <c r="C7956" t="n">
        <v>3155</v>
      </c>
      <c r="D7956" s="6" t="n">
        <v>2.1</v>
      </c>
      <c r="E7956" t="n">
        <v>45318</v>
      </c>
      <c r="H7956" t="inlineStr"/>
      <c r="I7956" t="inlineStr"/>
      <c r="J7956">
        <f>IF(F7956="","none",IF(G7956=1,"carte","multiple"))</f>
        <v/>
      </c>
    </row>
    <row r="7957">
      <c r="A7957" t="inlineStr">
        <is>
          <t>2023-03-26</t>
        </is>
      </c>
      <c r="B7957" t="inlineStr">
        <is>
          <t>12:27</t>
        </is>
      </c>
      <c r="C7957" t="n">
        <v>3155</v>
      </c>
      <c r="D7957" s="6" t="n">
        <v>3.6</v>
      </c>
      <c r="E7957" t="n">
        <v>45319</v>
      </c>
      <c r="F7957" s="6" t="n">
        <v>3.6</v>
      </c>
      <c r="G7957" t="n">
        <v>1</v>
      </c>
      <c r="H7957" s="6">
        <f>ROUND(G7957*F7957,2)</f>
        <v/>
      </c>
      <c r="I7957">
        <f>IF(ROUND(H7957-D7957,2)=0,1,0)</f>
        <v/>
      </c>
      <c r="J7957">
        <f>IF(F7957="","none",IF(G7957=1,"carte","multiple"))</f>
        <v/>
      </c>
    </row>
    <row r="7958">
      <c r="A7958" t="inlineStr">
        <is>
          <t>2023-03-26</t>
        </is>
      </c>
      <c r="B7958" t="inlineStr">
        <is>
          <t>12:42</t>
        </is>
      </c>
      <c r="C7958" t="n">
        <v>3155</v>
      </c>
      <c r="D7958" s="6" t="n">
        <v>3.9</v>
      </c>
      <c r="E7958" t="n">
        <v>45320</v>
      </c>
      <c r="F7958" s="6" t="n">
        <v>3.9</v>
      </c>
      <c r="G7958" t="n">
        <v>1</v>
      </c>
      <c r="H7958" s="6">
        <f>ROUND(G7958*F7958,2)</f>
        <v/>
      </c>
      <c r="I7958">
        <f>IF(ROUND(H7958-D7958,2)=0,1,0)</f>
        <v/>
      </c>
      <c r="J7958">
        <f>IF(F7958="","none",IF(G7958=1,"carte","multiple"))</f>
        <v/>
      </c>
    </row>
    <row r="7959">
      <c r="A7959" t="inlineStr">
        <is>
          <t>2023-03-26</t>
        </is>
      </c>
      <c r="B7959" t="inlineStr">
        <is>
          <t>12:42</t>
        </is>
      </c>
      <c r="C7959" t="n">
        <v>3155</v>
      </c>
      <c r="D7959" s="6" t="n">
        <v>5.2</v>
      </c>
      <c r="E7959" t="n">
        <v>45321</v>
      </c>
      <c r="F7959" s="6" t="n">
        <v>5.2</v>
      </c>
      <c r="G7959" t="n">
        <v>1</v>
      </c>
      <c r="H7959" s="6">
        <f>ROUND(G7959*F7959,2)</f>
        <v/>
      </c>
      <c r="I7959">
        <f>IF(ROUND(H7959-D7959,2)=0,1,0)</f>
        <v/>
      </c>
      <c r="J7959">
        <f>IF(F7959="","none",IF(G7959=1,"carte","multiple"))</f>
        <v/>
      </c>
    </row>
    <row r="7960">
      <c r="A7960" t="inlineStr">
        <is>
          <t>2023-03-26</t>
        </is>
      </c>
      <c r="B7960" t="inlineStr">
        <is>
          <t>13:11</t>
        </is>
      </c>
      <c r="C7960" t="n">
        <v>3155</v>
      </c>
      <c r="D7960" s="6" t="n">
        <v>4.9</v>
      </c>
      <c r="E7960" t="n">
        <v>45322</v>
      </c>
      <c r="F7960" s="6" t="n">
        <v>4.9</v>
      </c>
      <c r="G7960" t="n">
        <v>1</v>
      </c>
      <c r="H7960" s="6">
        <f>ROUND(G7960*F7960,2)</f>
        <v/>
      </c>
      <c r="I7960">
        <f>IF(ROUND(H7960-D7960,2)=0,1,0)</f>
        <v/>
      </c>
      <c r="J7960">
        <f>IF(F7960="","none",IF(G7960=1,"carte","multiple"))</f>
        <v/>
      </c>
    </row>
    <row r="7961">
      <c r="A7961" t="inlineStr">
        <is>
          <t>2023-03-26</t>
        </is>
      </c>
      <c r="B7961" t="inlineStr">
        <is>
          <t>13:11</t>
        </is>
      </c>
      <c r="C7961" t="n">
        <v>3155</v>
      </c>
      <c r="D7961" s="6" t="n">
        <v>4</v>
      </c>
      <c r="E7961" t="n">
        <v>45323</v>
      </c>
      <c r="F7961" s="6" t="n">
        <v>4</v>
      </c>
      <c r="G7961" t="n">
        <v>1</v>
      </c>
      <c r="H7961" s="6">
        <f>ROUND(G7961*F7961,2)</f>
        <v/>
      </c>
      <c r="I7961">
        <f>IF(ROUND(H7961-D7961,2)=0,1,0)</f>
        <v/>
      </c>
      <c r="J7961">
        <f>IF(F7961="","none",IF(G7961=1,"carte","multiple"))</f>
        <v/>
      </c>
    </row>
    <row r="7962">
      <c r="A7962" t="inlineStr">
        <is>
          <t>2023-03-26</t>
        </is>
      </c>
      <c r="B7962" t="inlineStr">
        <is>
          <t>13:11</t>
        </is>
      </c>
      <c r="C7962" t="n">
        <v>3155</v>
      </c>
      <c r="D7962" s="6" t="n">
        <v>16</v>
      </c>
      <c r="E7962" t="n">
        <v>45324</v>
      </c>
      <c r="F7962" s="6" t="n">
        <v>16</v>
      </c>
      <c r="G7962" t="n">
        <v>1</v>
      </c>
      <c r="H7962" s="6">
        <f>ROUND(G7962*F7962,2)</f>
        <v/>
      </c>
      <c r="I7962">
        <f>IF(ROUND(H7962-D7962,2)=0,1,0)</f>
        <v/>
      </c>
      <c r="J7962">
        <f>IF(F7962="","none",IF(G7962=1,"carte","multiple"))</f>
        <v/>
      </c>
    </row>
    <row r="7963">
      <c r="A7963" t="inlineStr">
        <is>
          <t>2023-03-26</t>
        </is>
      </c>
      <c r="B7963" t="inlineStr">
        <is>
          <t>13:11</t>
        </is>
      </c>
      <c r="C7963" t="n">
        <v>3155</v>
      </c>
      <c r="D7963" s="6" t="n">
        <v>8.9</v>
      </c>
      <c r="E7963" t="n">
        <v>45325</v>
      </c>
      <c r="F7963" s="6" t="n">
        <v>8.9</v>
      </c>
      <c r="G7963" t="n">
        <v>1</v>
      </c>
      <c r="H7963" s="6">
        <f>ROUND(G7963*F7963,2)</f>
        <v/>
      </c>
      <c r="I7963">
        <f>IF(ROUND(H7963-D7963,2)=0,1,0)</f>
        <v/>
      </c>
      <c r="J7963">
        <f>IF(F7963="","none",IF(G7963=1,"carte","multiple"))</f>
        <v/>
      </c>
    </row>
    <row r="7964">
      <c r="A7964" t="inlineStr">
        <is>
          <t>2023-03-26</t>
        </is>
      </c>
      <c r="B7964" t="inlineStr">
        <is>
          <t>13:11</t>
        </is>
      </c>
      <c r="C7964" t="n">
        <v>3155</v>
      </c>
      <c r="D7964" s="6" t="n">
        <v>28.6</v>
      </c>
      <c r="E7964" t="n">
        <v>45326</v>
      </c>
      <c r="F7964" s="6" t="n">
        <v>28.6</v>
      </c>
      <c r="G7964" t="n">
        <v>1</v>
      </c>
      <c r="H7964" s="6">
        <f>ROUND(G7964*F7964,2)</f>
        <v/>
      </c>
      <c r="I7964">
        <f>IF(ROUND(H7964-D7964,2)=0,1,0)</f>
        <v/>
      </c>
      <c r="J7964">
        <f>IF(F7964="","none",IF(G7964=1,"carte","multiple"))</f>
        <v/>
      </c>
    </row>
    <row r="7965">
      <c r="A7965" t="inlineStr">
        <is>
          <t>2023-03-26</t>
        </is>
      </c>
      <c r="B7965" t="inlineStr">
        <is>
          <t>13:11</t>
        </is>
      </c>
      <c r="C7965" t="n">
        <v>3155</v>
      </c>
      <c r="D7965" s="6" t="n">
        <v>27.8</v>
      </c>
      <c r="E7965" t="n">
        <v>45327</v>
      </c>
      <c r="F7965" s="6" t="n">
        <v>27.8</v>
      </c>
      <c r="G7965" t="n">
        <v>1</v>
      </c>
      <c r="H7965" s="6">
        <f>ROUND(G7965*F7965,2)</f>
        <v/>
      </c>
      <c r="I7965">
        <f>IF(ROUND(H7965-D7965,2)=0,1,0)</f>
        <v/>
      </c>
      <c r="J7965">
        <f>IF(F7965="","none",IF(G7965=1,"carte","multiple"))</f>
        <v/>
      </c>
    </row>
    <row r="7966">
      <c r="A7966" t="inlineStr">
        <is>
          <t>2023-03-26</t>
        </is>
      </c>
      <c r="B7966" t="inlineStr">
        <is>
          <t>13:11</t>
        </is>
      </c>
      <c r="C7966" t="n">
        <v>3155</v>
      </c>
      <c r="D7966" s="6" t="n">
        <v>15.8</v>
      </c>
      <c r="E7966" t="n">
        <v>45328</v>
      </c>
      <c r="F7966" s="6" t="n">
        <v>7.9</v>
      </c>
      <c r="G7966" t="n">
        <v>2</v>
      </c>
      <c r="H7966" s="6">
        <f>ROUND(G7966*F7966,2)</f>
        <v/>
      </c>
      <c r="I7966">
        <f>IF(ROUND(H7966-D7966,2)=0,1,0)</f>
        <v/>
      </c>
      <c r="J7966">
        <f>IF(F7966="","none",IF(G7966=1,"carte","multiple"))</f>
        <v/>
      </c>
    </row>
    <row r="7967">
      <c r="A7967" t="inlineStr">
        <is>
          <t>2023-03-26</t>
        </is>
      </c>
      <c r="B7967" t="inlineStr">
        <is>
          <t>13:11</t>
        </is>
      </c>
      <c r="C7967" t="n">
        <v>3155</v>
      </c>
      <c r="D7967" s="6" t="n">
        <v>5.2</v>
      </c>
      <c r="E7967" t="n">
        <v>45329</v>
      </c>
      <c r="F7967" s="6" t="n">
        <v>5.2</v>
      </c>
      <c r="G7967" t="n">
        <v>1</v>
      </c>
      <c r="H7967" s="6">
        <f>ROUND(G7967*F7967,2)</f>
        <v/>
      </c>
      <c r="I7967">
        <f>IF(ROUND(H7967-D7967,2)=0,1,0)</f>
        <v/>
      </c>
      <c r="J7967">
        <f>IF(F7967="","none",IF(G7967=1,"carte","multiple"))</f>
        <v/>
      </c>
    </row>
    <row r="7968">
      <c r="A7968" t="inlineStr">
        <is>
          <t>2023-03-26</t>
        </is>
      </c>
      <c r="B7968" t="inlineStr">
        <is>
          <t>13:11</t>
        </is>
      </c>
      <c r="C7968" t="n">
        <v>3155</v>
      </c>
      <c r="D7968" s="6" t="n">
        <v>3.4</v>
      </c>
      <c r="E7968" t="n">
        <v>45330</v>
      </c>
      <c r="F7968" s="6" t="n">
        <v>3.4</v>
      </c>
      <c r="G7968" t="n">
        <v>1</v>
      </c>
      <c r="H7968" s="6">
        <f>ROUND(G7968*F7968,2)</f>
        <v/>
      </c>
      <c r="I7968">
        <f>IF(ROUND(H7968-D7968,2)=0,1,0)</f>
        <v/>
      </c>
      <c r="J7968">
        <f>IF(F7968="","none",IF(G7968=1,"carte","multiple"))</f>
        <v/>
      </c>
    </row>
    <row r="7969">
      <c r="A7969" t="inlineStr">
        <is>
          <t>2023-03-26</t>
        </is>
      </c>
      <c r="B7969" t="inlineStr">
        <is>
          <t>13:11</t>
        </is>
      </c>
      <c r="C7969" t="n">
        <v>3155</v>
      </c>
      <c r="D7969" s="6" t="n">
        <v>9.9</v>
      </c>
      <c r="E7969" t="n">
        <v>45331</v>
      </c>
      <c r="F7969" s="6" t="n">
        <v>9.9</v>
      </c>
      <c r="G7969" t="n">
        <v>1</v>
      </c>
      <c r="H7969" s="6">
        <f>ROUND(G7969*F7969,2)</f>
        <v/>
      </c>
      <c r="I7969">
        <f>IF(ROUND(H7969-D7969,2)=0,1,0)</f>
        <v/>
      </c>
      <c r="J7969">
        <f>IF(F7969="","none",IF(G7969=1,"carte","multiple"))</f>
        <v/>
      </c>
    </row>
    <row r="7970">
      <c r="A7970" t="inlineStr">
        <is>
          <t>2023-03-26</t>
        </is>
      </c>
      <c r="B7970" t="inlineStr">
        <is>
          <t>13:11</t>
        </is>
      </c>
      <c r="C7970" t="n">
        <v>3155</v>
      </c>
      <c r="D7970" s="6" t="n">
        <v>9.9</v>
      </c>
      <c r="E7970" t="n">
        <v>45332</v>
      </c>
      <c r="F7970" s="6" t="n">
        <v>9.9</v>
      </c>
      <c r="G7970" t="n">
        <v>1</v>
      </c>
      <c r="H7970" s="6">
        <f>ROUND(G7970*F7970,2)</f>
        <v/>
      </c>
      <c r="I7970">
        <f>IF(ROUND(H7970-D7970,2)=0,1,0)</f>
        <v/>
      </c>
      <c r="J7970">
        <f>IF(F7970="","none",IF(G7970=1,"carte","multiple"))</f>
        <v/>
      </c>
    </row>
    <row r="7971">
      <c r="A7971" t="inlineStr">
        <is>
          <t>2023-03-26</t>
        </is>
      </c>
      <c r="B7971" t="inlineStr">
        <is>
          <t>13:16</t>
        </is>
      </c>
      <c r="C7971" t="n">
        <v>3155</v>
      </c>
      <c r="D7971" s="6" t="n">
        <v>5.2</v>
      </c>
      <c r="E7971" t="n">
        <v>45333</v>
      </c>
      <c r="F7971" s="6" t="n">
        <v>5.2</v>
      </c>
      <c r="G7971" t="n">
        <v>1</v>
      </c>
      <c r="H7971" s="6">
        <f>ROUND(G7971*F7971,2)</f>
        <v/>
      </c>
      <c r="I7971">
        <f>IF(ROUND(H7971-D7971,2)=0,1,0)</f>
        <v/>
      </c>
      <c r="J7971">
        <f>IF(F7971="","none",IF(G7971=1,"carte","multiple"))</f>
        <v/>
      </c>
    </row>
    <row r="7972">
      <c r="A7972" t="inlineStr">
        <is>
          <t>2023-03-26</t>
        </is>
      </c>
      <c r="B7972" t="inlineStr">
        <is>
          <t>13:16</t>
        </is>
      </c>
      <c r="C7972" t="n">
        <v>3155</v>
      </c>
      <c r="D7972" s="6" t="n">
        <v>5.2</v>
      </c>
      <c r="E7972" t="n">
        <v>45334</v>
      </c>
      <c r="F7972" s="6" t="n">
        <v>5.2</v>
      </c>
      <c r="G7972" t="n">
        <v>1</v>
      </c>
      <c r="H7972" s="6">
        <f>ROUND(G7972*F7972,2)</f>
        <v/>
      </c>
      <c r="I7972">
        <f>IF(ROUND(H7972-D7972,2)=0,1,0)</f>
        <v/>
      </c>
      <c r="J7972">
        <f>IF(F7972="","none",IF(G7972=1,"carte","multiple"))</f>
        <v/>
      </c>
    </row>
    <row r="7973">
      <c r="A7973" t="inlineStr">
        <is>
          <t>2023-03-26</t>
        </is>
      </c>
      <c r="B7973" t="inlineStr">
        <is>
          <t>13:16</t>
        </is>
      </c>
      <c r="C7973" t="n">
        <v>3155</v>
      </c>
      <c r="D7973" s="6" t="n">
        <v>19</v>
      </c>
      <c r="E7973" t="n">
        <v>45335</v>
      </c>
      <c r="F7973" s="6" t="n">
        <v>19</v>
      </c>
      <c r="G7973" t="n">
        <v>1</v>
      </c>
      <c r="H7973" s="6">
        <f>ROUND(G7973*F7973,2)</f>
        <v/>
      </c>
      <c r="I7973">
        <f>IF(ROUND(H7973-D7973,2)=0,1,0)</f>
        <v/>
      </c>
      <c r="J7973">
        <f>IF(F7973="","none",IF(G7973=1,"carte","multiple"))</f>
        <v/>
      </c>
    </row>
    <row r="7974">
      <c r="A7974" t="inlineStr">
        <is>
          <t>2023-03-26</t>
        </is>
      </c>
      <c r="B7974" t="inlineStr">
        <is>
          <t>13:16</t>
        </is>
      </c>
      <c r="C7974" t="n">
        <v>3155</v>
      </c>
      <c r="D7974" s="6" t="n">
        <v>33.8</v>
      </c>
      <c r="E7974" t="n">
        <v>45336</v>
      </c>
      <c r="F7974" s="6" t="n">
        <v>16.9</v>
      </c>
      <c r="G7974" t="n">
        <v>2</v>
      </c>
      <c r="H7974" s="6">
        <f>ROUND(G7974*F7974,2)</f>
        <v/>
      </c>
      <c r="I7974">
        <f>IF(ROUND(H7974-D7974,2)=0,1,0)</f>
        <v/>
      </c>
      <c r="J7974">
        <f>IF(F7974="","none",IF(G7974=1,"carte","multiple"))</f>
        <v/>
      </c>
    </row>
    <row r="7975">
      <c r="A7975" t="inlineStr">
        <is>
          <t>2023-03-26</t>
        </is>
      </c>
      <c r="B7975" t="inlineStr">
        <is>
          <t>13:16</t>
        </is>
      </c>
      <c r="C7975" t="n">
        <v>3155</v>
      </c>
      <c r="D7975" s="6" t="n">
        <v>19</v>
      </c>
      <c r="E7975" t="n">
        <v>45337</v>
      </c>
      <c r="F7975" s="6" t="n">
        <v>19</v>
      </c>
      <c r="G7975" t="n">
        <v>1</v>
      </c>
      <c r="H7975" s="6">
        <f>ROUND(G7975*F7975,2)</f>
        <v/>
      </c>
      <c r="I7975">
        <f>IF(ROUND(H7975-D7975,2)=0,1,0)</f>
        <v/>
      </c>
      <c r="J7975">
        <f>IF(F7975="","none",IF(G7975=1,"carte","multiple"))</f>
        <v/>
      </c>
    </row>
    <row r="7976">
      <c r="A7976" t="inlineStr">
        <is>
          <t>2023-03-26</t>
        </is>
      </c>
      <c r="B7976" t="inlineStr">
        <is>
          <t>13:16</t>
        </is>
      </c>
      <c r="C7976" t="n">
        <v>3155</v>
      </c>
      <c r="D7976" s="6" t="n">
        <v>18.6</v>
      </c>
      <c r="E7976" t="n">
        <v>45338</v>
      </c>
      <c r="F7976" s="6" t="n">
        <v>18.6</v>
      </c>
      <c r="G7976" t="n">
        <v>1</v>
      </c>
      <c r="H7976" s="6">
        <f>ROUND(G7976*F7976,2)</f>
        <v/>
      </c>
      <c r="I7976">
        <f>IF(ROUND(H7976-D7976,2)=0,1,0)</f>
        <v/>
      </c>
      <c r="J7976">
        <f>IF(F7976="","none",IF(G7976=1,"carte","multiple"))</f>
        <v/>
      </c>
    </row>
    <row r="7977">
      <c r="A7977" t="inlineStr">
        <is>
          <t>2023-03-26</t>
        </is>
      </c>
      <c r="B7977" t="inlineStr">
        <is>
          <t>13:16</t>
        </is>
      </c>
      <c r="C7977" t="n">
        <v>3155</v>
      </c>
      <c r="D7977" s="6" t="n">
        <v>3.4</v>
      </c>
      <c r="E7977" t="n">
        <v>45339</v>
      </c>
      <c r="F7977" s="6" t="n">
        <v>3.4</v>
      </c>
      <c r="G7977" t="n">
        <v>1</v>
      </c>
      <c r="H7977" s="6">
        <f>ROUND(G7977*F7977,2)</f>
        <v/>
      </c>
      <c r="I7977">
        <f>IF(ROUND(H7977-D7977,2)=0,1,0)</f>
        <v/>
      </c>
      <c r="J7977">
        <f>IF(F7977="","none",IF(G7977=1,"carte","multiple"))</f>
        <v/>
      </c>
    </row>
    <row r="7978">
      <c r="A7978" t="inlineStr">
        <is>
          <t>2023-03-29</t>
        </is>
      </c>
      <c r="B7978" t="inlineStr">
        <is>
          <t>11:08</t>
        </is>
      </c>
      <c r="C7978" t="n">
        <v>3156</v>
      </c>
      <c r="D7978" s="6" t="n">
        <v>18.6</v>
      </c>
      <c r="E7978" t="n">
        <v>45342</v>
      </c>
      <c r="F7978" s="6" t="n">
        <v>18.6</v>
      </c>
      <c r="G7978" t="n">
        <v>1</v>
      </c>
      <c r="H7978" s="6">
        <f>ROUND(G7978*F7978,2)</f>
        <v/>
      </c>
      <c r="I7978">
        <f>IF(ROUND(H7978-D7978,2)=0,1,0)</f>
        <v/>
      </c>
      <c r="J7978">
        <f>IF(F7978="","none",IF(G7978=1,"carte","multiple"))</f>
        <v/>
      </c>
    </row>
    <row r="7979">
      <c r="A7979" t="inlineStr">
        <is>
          <t>2023-03-29</t>
        </is>
      </c>
      <c r="B7979" t="inlineStr">
        <is>
          <t>12:40</t>
        </is>
      </c>
      <c r="C7979" t="n">
        <v>3156</v>
      </c>
      <c r="D7979" s="6" t="n">
        <v>37.2</v>
      </c>
      <c r="E7979" t="n">
        <v>45343</v>
      </c>
      <c r="F7979" s="6" t="n">
        <v>0.4</v>
      </c>
      <c r="G7979" t="n">
        <v>93</v>
      </c>
      <c r="H7979" s="6">
        <f>ROUND(G7979*F7979,2)</f>
        <v/>
      </c>
      <c r="I7979">
        <f>IF(ROUND(H7979-D7979,2)=0,1,0)</f>
        <v/>
      </c>
      <c r="J7979">
        <f>IF(F7979="","none",IF(G7979=1,"carte","multiple"))</f>
        <v/>
      </c>
    </row>
    <row r="7980">
      <c r="A7980" t="inlineStr">
        <is>
          <t>2023-03-29</t>
        </is>
      </c>
      <c r="B7980" t="inlineStr">
        <is>
          <t>12:40</t>
        </is>
      </c>
      <c r="C7980" t="n">
        <v>3156</v>
      </c>
      <c r="D7980" s="6" t="n">
        <v>13.8</v>
      </c>
      <c r="E7980" t="n">
        <v>45344</v>
      </c>
      <c r="F7980" s="6" t="n">
        <v>4.6</v>
      </c>
      <c r="G7980" t="n">
        <v>3</v>
      </c>
      <c r="H7980" s="6">
        <f>ROUND(G7980*F7980,2)</f>
        <v/>
      </c>
      <c r="I7980">
        <f>IF(ROUND(H7980-D7980,2)=0,1,0)</f>
        <v/>
      </c>
      <c r="J7980">
        <f>IF(F7980="","none",IF(G7980=1,"carte","multiple"))</f>
        <v/>
      </c>
    </row>
    <row r="7981">
      <c r="A7981" t="inlineStr">
        <is>
          <t>2023-03-29</t>
        </is>
      </c>
      <c r="B7981" t="inlineStr">
        <is>
          <t>19:20</t>
        </is>
      </c>
      <c r="C7981" t="n">
        <v>3156</v>
      </c>
      <c r="D7981" s="6" t="n">
        <v>3.9</v>
      </c>
      <c r="E7981" t="n">
        <v>45345</v>
      </c>
      <c r="F7981" s="6" t="n">
        <v>3.9</v>
      </c>
      <c r="G7981" t="n">
        <v>1</v>
      </c>
      <c r="H7981" s="6">
        <f>ROUND(G7981*F7981,2)</f>
        <v/>
      </c>
      <c r="I7981">
        <f>IF(ROUND(H7981-D7981,2)=0,1,0)</f>
        <v/>
      </c>
      <c r="J7981">
        <f>IF(F7981="","none",IF(G7981=1,"carte","multiple"))</f>
        <v/>
      </c>
    </row>
    <row r="7982">
      <c r="A7982" t="inlineStr">
        <is>
          <t>2023-03-29</t>
        </is>
      </c>
      <c r="B7982" t="inlineStr">
        <is>
          <t>19:20</t>
        </is>
      </c>
      <c r="C7982" t="n">
        <v>3156</v>
      </c>
      <c r="D7982" s="6" t="n">
        <v>3.9</v>
      </c>
      <c r="E7982" t="n">
        <v>45346</v>
      </c>
      <c r="F7982" s="6" t="n">
        <v>3.9</v>
      </c>
      <c r="G7982" t="n">
        <v>1</v>
      </c>
      <c r="H7982" s="6">
        <f>ROUND(G7982*F7982,2)</f>
        <v/>
      </c>
      <c r="I7982">
        <f>IF(ROUND(H7982-D7982,2)=0,1,0)</f>
        <v/>
      </c>
      <c r="J7982">
        <f>IF(F7982="","none",IF(G7982=1,"carte","multiple"))</f>
        <v/>
      </c>
    </row>
    <row r="7983">
      <c r="A7983" t="inlineStr">
        <is>
          <t>2023-03-29</t>
        </is>
      </c>
      <c r="B7983" t="inlineStr">
        <is>
          <t>19:20</t>
        </is>
      </c>
      <c r="C7983" t="n">
        <v>3156</v>
      </c>
      <c r="D7983" s="6" t="n">
        <v>19.9</v>
      </c>
      <c r="E7983" t="n">
        <v>45347</v>
      </c>
      <c r="F7983" s="6" t="n">
        <v>19.9</v>
      </c>
      <c r="G7983" t="n">
        <v>1</v>
      </c>
      <c r="H7983" s="6">
        <f>ROUND(G7983*F7983,2)</f>
        <v/>
      </c>
      <c r="I7983">
        <f>IF(ROUND(H7983-D7983,2)=0,1,0)</f>
        <v/>
      </c>
      <c r="J7983">
        <f>IF(F7983="","none",IF(G7983=1,"carte","multiple"))</f>
        <v/>
      </c>
    </row>
    <row r="7984">
      <c r="A7984" t="inlineStr">
        <is>
          <t>2023-03-29</t>
        </is>
      </c>
      <c r="B7984" t="inlineStr">
        <is>
          <t>19:20</t>
        </is>
      </c>
      <c r="C7984" t="n">
        <v>3156</v>
      </c>
      <c r="D7984" s="6" t="n">
        <v>6.5</v>
      </c>
      <c r="E7984" t="n">
        <v>45348</v>
      </c>
      <c r="F7984" s="6" t="n">
        <v>6.5</v>
      </c>
      <c r="G7984" t="n">
        <v>1</v>
      </c>
      <c r="H7984" s="6">
        <f>ROUND(G7984*F7984,2)</f>
        <v/>
      </c>
      <c r="I7984">
        <f>IF(ROUND(H7984-D7984,2)=0,1,0)</f>
        <v/>
      </c>
      <c r="J7984">
        <f>IF(F7984="","none",IF(G7984=1,"carte","multiple"))</f>
        <v/>
      </c>
    </row>
    <row r="7985">
      <c r="A7985" t="inlineStr">
        <is>
          <t>2023-03-29</t>
        </is>
      </c>
      <c r="B7985" t="inlineStr">
        <is>
          <t>19:20</t>
        </is>
      </c>
      <c r="C7985" t="n">
        <v>3156</v>
      </c>
      <c r="D7985" s="6" t="n">
        <v>9</v>
      </c>
      <c r="E7985" t="n">
        <v>45349</v>
      </c>
      <c r="F7985" s="6" t="n">
        <v>9</v>
      </c>
      <c r="G7985" t="n">
        <v>1</v>
      </c>
      <c r="H7985" s="6">
        <f>ROUND(G7985*F7985,2)</f>
        <v/>
      </c>
      <c r="I7985">
        <f>IF(ROUND(H7985-D7985,2)=0,1,0)</f>
        <v/>
      </c>
      <c r="J7985">
        <f>IF(F7985="","none",IF(G7985=1,"carte","multiple"))</f>
        <v/>
      </c>
    </row>
    <row r="7986">
      <c r="A7986" t="inlineStr">
        <is>
          <t>2023-03-29</t>
        </is>
      </c>
      <c r="B7986" t="inlineStr">
        <is>
          <t>19:20</t>
        </is>
      </c>
      <c r="C7986" t="n">
        <v>3156</v>
      </c>
      <c r="D7986" s="6" t="n">
        <v>4.7</v>
      </c>
      <c r="E7986" t="n">
        <v>45350</v>
      </c>
      <c r="F7986" s="6" t="n">
        <v>4.7</v>
      </c>
      <c r="G7986" t="n">
        <v>1</v>
      </c>
      <c r="H7986" s="6">
        <f>ROUND(G7986*F7986,2)</f>
        <v/>
      </c>
      <c r="I7986">
        <f>IF(ROUND(H7986-D7986,2)=0,1,0)</f>
        <v/>
      </c>
      <c r="J7986">
        <f>IF(F7986="","none",IF(G7986=1,"carte","multiple"))</f>
        <v/>
      </c>
    </row>
    <row r="7987">
      <c r="A7987" t="inlineStr">
        <is>
          <t>2023-03-29</t>
        </is>
      </c>
      <c r="B7987" t="inlineStr">
        <is>
          <t>19:20</t>
        </is>
      </c>
      <c r="C7987" t="n">
        <v>3156</v>
      </c>
      <c r="D7987" s="6" t="n">
        <v>2</v>
      </c>
      <c r="E7987" t="n">
        <v>45351</v>
      </c>
      <c r="F7987" s="6" t="n">
        <v>2</v>
      </c>
      <c r="G7987" t="n">
        <v>1</v>
      </c>
      <c r="H7987" s="6">
        <f>ROUND(G7987*F7987,2)</f>
        <v/>
      </c>
      <c r="I7987">
        <f>IF(ROUND(H7987-D7987,2)=0,1,0)</f>
        <v/>
      </c>
      <c r="J7987">
        <f>IF(F7987="","none",IF(G7987=1,"carte","multiple"))</f>
        <v/>
      </c>
    </row>
    <row r="7988">
      <c r="A7988" t="inlineStr">
        <is>
          <t>2023-03-29</t>
        </is>
      </c>
      <c r="B7988" t="inlineStr">
        <is>
          <t>19:20</t>
        </is>
      </c>
      <c r="C7988" t="n">
        <v>3156</v>
      </c>
      <c r="D7988" s="6" t="n">
        <v>1.8</v>
      </c>
      <c r="E7988" t="n">
        <v>45352</v>
      </c>
      <c r="F7988" s="6" t="n">
        <v>1.8</v>
      </c>
      <c r="G7988" t="n">
        <v>1</v>
      </c>
      <c r="H7988" s="6">
        <f>ROUND(G7988*F7988,2)</f>
        <v/>
      </c>
      <c r="I7988">
        <f>IF(ROUND(H7988-D7988,2)=0,1,0)</f>
        <v/>
      </c>
      <c r="J7988">
        <f>IF(F7988="","none",IF(G7988=1,"carte","multiple"))</f>
        <v/>
      </c>
    </row>
    <row r="7989">
      <c r="A7989" t="inlineStr">
        <is>
          <t>2023-03-29</t>
        </is>
      </c>
      <c r="B7989" t="inlineStr">
        <is>
          <t>19:26</t>
        </is>
      </c>
      <c r="C7989" t="n">
        <v>3156</v>
      </c>
      <c r="D7989" s="6" t="n">
        <v>18.6</v>
      </c>
      <c r="E7989" t="n">
        <v>45353</v>
      </c>
      <c r="F7989" s="6" t="n">
        <v>18.6</v>
      </c>
      <c r="G7989" t="n">
        <v>1</v>
      </c>
      <c r="H7989" s="6">
        <f>ROUND(G7989*F7989,2)</f>
        <v/>
      </c>
      <c r="I7989">
        <f>IF(ROUND(H7989-D7989,2)=0,1,0)</f>
        <v/>
      </c>
      <c r="J7989">
        <f>IF(F7989="","none",IF(G7989=1,"carte","multiple"))</f>
        <v/>
      </c>
    </row>
    <row r="7990">
      <c r="A7990" t="inlineStr">
        <is>
          <t>2023-03-29</t>
        </is>
      </c>
      <c r="B7990" t="inlineStr">
        <is>
          <t>19:26</t>
        </is>
      </c>
      <c r="C7990" t="n">
        <v>3156</v>
      </c>
      <c r="D7990" s="6" t="n">
        <v>9.800000000000001</v>
      </c>
      <c r="E7990" t="n">
        <v>45354</v>
      </c>
      <c r="F7990" s="6" t="n">
        <v>9.800000000000001</v>
      </c>
      <c r="G7990" t="n">
        <v>1</v>
      </c>
      <c r="H7990" s="6">
        <f>ROUND(G7990*F7990,2)</f>
        <v/>
      </c>
      <c r="I7990">
        <f>IF(ROUND(H7990-D7990,2)=0,1,0)</f>
        <v/>
      </c>
      <c r="J7990">
        <f>IF(F7990="","none",IF(G7990=1,"carte","multiple"))</f>
        <v/>
      </c>
    </row>
    <row r="7991">
      <c r="A7991" t="inlineStr">
        <is>
          <t>2023-03-29</t>
        </is>
      </c>
      <c r="B7991" t="inlineStr">
        <is>
          <t>19:26</t>
        </is>
      </c>
      <c r="C7991" t="n">
        <v>3156</v>
      </c>
      <c r="D7991" s="6" t="n">
        <v>8.1</v>
      </c>
      <c r="E7991" t="n">
        <v>45355</v>
      </c>
      <c r="F7991" s="6" t="n">
        <v>8.1</v>
      </c>
      <c r="G7991" t="n">
        <v>1</v>
      </c>
      <c r="H7991" s="6">
        <f>ROUND(G7991*F7991,2)</f>
        <v/>
      </c>
      <c r="I7991">
        <f>IF(ROUND(H7991-D7991,2)=0,1,0)</f>
        <v/>
      </c>
      <c r="J7991">
        <f>IF(F7991="","none",IF(G7991=1,"carte","multiple"))</f>
        <v/>
      </c>
    </row>
    <row r="7992">
      <c r="A7992" t="inlineStr">
        <is>
          <t>2023-03-29</t>
        </is>
      </c>
      <c r="B7992" t="inlineStr">
        <is>
          <t>20:04</t>
        </is>
      </c>
      <c r="C7992" t="n">
        <v>3156</v>
      </c>
      <c r="D7992" s="6" t="n">
        <v>34</v>
      </c>
      <c r="E7992" t="n">
        <v>45356</v>
      </c>
      <c r="F7992" s="6" t="n">
        <v>34</v>
      </c>
      <c r="G7992" t="n">
        <v>1</v>
      </c>
      <c r="H7992" s="6">
        <f>ROUND(G7992*F7992,2)</f>
        <v/>
      </c>
      <c r="I7992">
        <f>IF(ROUND(H7992-D7992,2)=0,1,0)</f>
        <v/>
      </c>
      <c r="J7992">
        <f>IF(F7992="","none",IF(G7992=1,"carte","multiple"))</f>
        <v/>
      </c>
    </row>
    <row r="7993">
      <c r="A7993" t="inlineStr">
        <is>
          <t>2023-03-29</t>
        </is>
      </c>
      <c r="B7993" t="inlineStr">
        <is>
          <t>20:04</t>
        </is>
      </c>
      <c r="C7993" t="n">
        <v>3156</v>
      </c>
      <c r="D7993" s="6" t="n">
        <v>14</v>
      </c>
      <c r="E7993" t="n">
        <v>45357</v>
      </c>
      <c r="F7993" s="6" t="n">
        <v>14</v>
      </c>
      <c r="G7993" t="n">
        <v>1</v>
      </c>
      <c r="H7993" s="6">
        <f>ROUND(G7993*F7993,2)</f>
        <v/>
      </c>
      <c r="I7993">
        <f>IF(ROUND(H7993-D7993,2)=0,1,0)</f>
        <v/>
      </c>
      <c r="J7993">
        <f>IF(F7993="","none",IF(G7993=1,"carte","multiple"))</f>
        <v/>
      </c>
    </row>
    <row r="7994">
      <c r="A7994" t="inlineStr">
        <is>
          <t>2023-03-29</t>
        </is>
      </c>
      <c r="B7994" t="inlineStr">
        <is>
          <t>20:47</t>
        </is>
      </c>
      <c r="C7994" t="n">
        <v>3156</v>
      </c>
      <c r="D7994" s="6" t="n">
        <v>2.52</v>
      </c>
      <c r="E7994" t="n">
        <v>45358</v>
      </c>
      <c r="H7994" t="inlineStr"/>
      <c r="I7994" t="inlineStr"/>
      <c r="J7994">
        <f>IF(F7994="","none",IF(G7994=1,"carte","multiple"))</f>
        <v/>
      </c>
    </row>
    <row r="7995">
      <c r="A7995" t="inlineStr">
        <is>
          <t>2023-03-29</t>
        </is>
      </c>
      <c r="B7995" t="inlineStr">
        <is>
          <t>20:47</t>
        </is>
      </c>
      <c r="C7995" t="n">
        <v>3156</v>
      </c>
      <c r="D7995" s="6" t="n">
        <v>0.78</v>
      </c>
      <c r="E7995" t="n">
        <v>45359</v>
      </c>
      <c r="H7995" t="inlineStr"/>
      <c r="I7995" t="inlineStr"/>
      <c r="J7995">
        <f>IF(F7995="","none",IF(G7995=1,"carte","multiple"))</f>
        <v/>
      </c>
    </row>
    <row r="7996">
      <c r="A7996" t="inlineStr">
        <is>
          <t>2023-03-29</t>
        </is>
      </c>
      <c r="B7996" t="inlineStr">
        <is>
          <t>20:47</t>
        </is>
      </c>
      <c r="C7996" t="n">
        <v>3156</v>
      </c>
      <c r="D7996" s="6" t="n">
        <v>1.04</v>
      </c>
      <c r="E7996" t="n">
        <v>45360</v>
      </c>
      <c r="H7996" t="inlineStr"/>
      <c r="I7996" t="inlineStr"/>
      <c r="J7996">
        <f>IF(F7996="","none",IF(G7996=1,"carte","multiple"))</f>
        <v/>
      </c>
    </row>
    <row r="7997">
      <c r="A7997" t="inlineStr">
        <is>
          <t>2023-03-29</t>
        </is>
      </c>
      <c r="B7997" t="inlineStr">
        <is>
          <t>20:47</t>
        </is>
      </c>
      <c r="C7997" t="n">
        <v>3156</v>
      </c>
      <c r="D7997" s="6" t="n">
        <v>3.8</v>
      </c>
      <c r="E7997" t="n">
        <v>45361</v>
      </c>
      <c r="F7997" s="6" t="n">
        <v>3.8</v>
      </c>
      <c r="G7997" t="n">
        <v>1</v>
      </c>
      <c r="H7997" s="6">
        <f>ROUND(G7997*F7997,2)</f>
        <v/>
      </c>
      <c r="I7997">
        <f>IF(ROUND(H7997-D7997,2)=0,1,0)</f>
        <v/>
      </c>
      <c r="J7997">
        <f>IF(F7997="","none",IF(G7997=1,"carte","multiple"))</f>
        <v/>
      </c>
    </row>
    <row r="7998">
      <c r="A7998" t="inlineStr">
        <is>
          <t>2023-03-29</t>
        </is>
      </c>
      <c r="B7998" t="inlineStr">
        <is>
          <t>20:47</t>
        </is>
      </c>
      <c r="C7998" t="n">
        <v>3156</v>
      </c>
      <c r="D7998" s="6" t="n">
        <v>7.44</v>
      </c>
      <c r="E7998" t="n">
        <v>45362</v>
      </c>
      <c r="H7998" t="inlineStr"/>
      <c r="I7998" t="inlineStr"/>
      <c r="J7998">
        <f>IF(F7998="","none",IF(G7998=1,"carte","multiple"))</f>
        <v/>
      </c>
    </row>
    <row r="7999">
      <c r="A7999" t="inlineStr">
        <is>
          <t>2023-03-29</t>
        </is>
      </c>
      <c r="B7999" t="inlineStr">
        <is>
          <t>20:47</t>
        </is>
      </c>
      <c r="C7999" t="n">
        <v>3156</v>
      </c>
      <c r="D7999" s="6" t="n">
        <v>11.12</v>
      </c>
      <c r="E7999" t="n">
        <v>45363</v>
      </c>
      <c r="H7999" t="inlineStr"/>
      <c r="I7999" t="inlineStr"/>
      <c r="J7999">
        <f>IF(F7999="","none",IF(G7999=1,"carte","multiple"))</f>
        <v/>
      </c>
    </row>
    <row r="8000">
      <c r="A8000" t="inlineStr">
        <is>
          <t>2023-03-29</t>
        </is>
      </c>
      <c r="B8000" t="inlineStr">
        <is>
          <t>20:47</t>
        </is>
      </c>
      <c r="C8000" t="n">
        <v>3156</v>
      </c>
      <c r="D8000" s="6" t="n">
        <v>1.4</v>
      </c>
      <c r="E8000" t="n">
        <v>45364</v>
      </c>
      <c r="F8000" s="6" t="n">
        <v>1.4</v>
      </c>
      <c r="G8000" t="n">
        <v>1</v>
      </c>
      <c r="H8000" s="6">
        <f>ROUND(G8000*F8000,2)</f>
        <v/>
      </c>
      <c r="I8000">
        <f>IF(ROUND(H8000-D8000,2)=0,1,0)</f>
        <v/>
      </c>
      <c r="J8000">
        <f>IF(F8000="","none",IF(G8000=1,"carte","multiple"))</f>
        <v/>
      </c>
    </row>
    <row r="8001">
      <c r="A8001" t="inlineStr">
        <is>
          <t>2023-03-29</t>
        </is>
      </c>
      <c r="B8001" t="inlineStr">
        <is>
          <t>20:47</t>
        </is>
      </c>
      <c r="C8001" t="n">
        <v>3156</v>
      </c>
      <c r="D8001" s="6" t="n">
        <v>0.4</v>
      </c>
      <c r="E8001" t="n">
        <v>45365</v>
      </c>
      <c r="F8001" s="6" t="n">
        <v>0.4</v>
      </c>
      <c r="G8001" t="n">
        <v>1</v>
      </c>
      <c r="H8001" s="6">
        <f>ROUND(G8001*F8001,2)</f>
        <v/>
      </c>
      <c r="I8001">
        <f>IF(ROUND(H8001-D8001,2)=0,1,0)</f>
        <v/>
      </c>
      <c r="J8001">
        <f>IF(F8001="","none",IF(G8001=1,"carte","multiple"))</f>
        <v/>
      </c>
    </row>
    <row r="8002">
      <c r="A8002" t="inlineStr">
        <is>
          <t>2023-03-29</t>
        </is>
      </c>
      <c r="B8002" t="inlineStr">
        <is>
          <t>20:47</t>
        </is>
      </c>
      <c r="C8002" t="n">
        <v>3156</v>
      </c>
      <c r="D8002" s="6" t="n">
        <v>1.56</v>
      </c>
      <c r="E8002" t="n">
        <v>45366</v>
      </c>
      <c r="H8002" t="inlineStr"/>
      <c r="I8002" t="inlineStr"/>
      <c r="J8002">
        <f>IF(F8002="","none",IF(G8002=1,"carte","multiple"))</f>
        <v/>
      </c>
    </row>
    <row r="8003">
      <c r="A8003" t="inlineStr">
        <is>
          <t>2023-03-29</t>
        </is>
      </c>
      <c r="B8003" t="inlineStr">
        <is>
          <t>20:47</t>
        </is>
      </c>
      <c r="C8003" t="n">
        <v>3156</v>
      </c>
      <c r="D8003" s="6" t="n">
        <v>0.36</v>
      </c>
      <c r="E8003" t="n">
        <v>45367</v>
      </c>
      <c r="H8003" t="inlineStr"/>
      <c r="I8003" t="inlineStr"/>
      <c r="J8003">
        <f>IF(F8003="","none",IF(G8003=1,"carte","multiple"))</f>
        <v/>
      </c>
    </row>
    <row r="8004">
      <c r="A8004" t="inlineStr">
        <is>
          <t>2023-03-29</t>
        </is>
      </c>
      <c r="B8004" t="inlineStr">
        <is>
          <t>20:47</t>
        </is>
      </c>
      <c r="C8004" t="n">
        <v>3156</v>
      </c>
      <c r="D8004" s="6" t="n">
        <v>1.74</v>
      </c>
      <c r="E8004" t="n">
        <v>45368</v>
      </c>
      <c r="H8004" t="inlineStr"/>
      <c r="I8004" t="inlineStr"/>
      <c r="J8004">
        <f>IF(F8004="","none",IF(G8004=1,"carte","multiple"))</f>
        <v/>
      </c>
    </row>
    <row r="8005">
      <c r="A8005" t="inlineStr">
        <is>
          <t>2023-03-29</t>
        </is>
      </c>
      <c r="B8005" t="inlineStr">
        <is>
          <t>20:53</t>
        </is>
      </c>
      <c r="C8005" t="n">
        <v>3156</v>
      </c>
      <c r="D8005" s="6" t="n">
        <v>31.2</v>
      </c>
      <c r="E8005" t="n">
        <v>45369</v>
      </c>
      <c r="F8005" s="6" t="n">
        <v>0.4</v>
      </c>
      <c r="G8005" t="n">
        <v>78</v>
      </c>
      <c r="H8005" s="6">
        <f>ROUND(G8005*F8005,2)</f>
        <v/>
      </c>
      <c r="I8005">
        <f>IF(ROUND(H8005-D8005,2)=0,1,0)</f>
        <v/>
      </c>
      <c r="J8005">
        <f>IF(F8005="","none",IF(G8005=1,"carte","multiple"))</f>
        <v/>
      </c>
    </row>
    <row r="8006">
      <c r="A8006" t="inlineStr">
        <is>
          <t>2023-03-29</t>
        </is>
      </c>
      <c r="B8006" t="inlineStr">
        <is>
          <t>20:53</t>
        </is>
      </c>
      <c r="C8006" t="n">
        <v>3156</v>
      </c>
      <c r="D8006" s="6" t="n">
        <v>19</v>
      </c>
      <c r="E8006" t="n">
        <v>45370</v>
      </c>
      <c r="F8006" s="6" t="n">
        <v>19</v>
      </c>
      <c r="G8006" t="n">
        <v>1</v>
      </c>
      <c r="H8006" s="6">
        <f>ROUND(G8006*F8006,2)</f>
        <v/>
      </c>
      <c r="I8006">
        <f>IF(ROUND(H8006-D8006,2)=0,1,0)</f>
        <v/>
      </c>
      <c r="J8006">
        <f>IF(F8006="","none",IF(G8006=1,"carte","multiple"))</f>
        <v/>
      </c>
    </row>
    <row r="8007">
      <c r="A8007" t="inlineStr">
        <is>
          <t>2023-03-29</t>
        </is>
      </c>
      <c r="B8007" t="inlineStr">
        <is>
          <t>20:53</t>
        </is>
      </c>
      <c r="C8007" t="n">
        <v>3156</v>
      </c>
      <c r="D8007" s="6" t="n">
        <v>18.6</v>
      </c>
      <c r="E8007" t="n">
        <v>45371</v>
      </c>
      <c r="F8007" s="6" t="n">
        <v>18.6</v>
      </c>
      <c r="G8007" t="n">
        <v>1</v>
      </c>
      <c r="H8007" s="6">
        <f>ROUND(G8007*F8007,2)</f>
        <v/>
      </c>
      <c r="I8007">
        <f>IF(ROUND(H8007-D8007,2)=0,1,0)</f>
        <v/>
      </c>
      <c r="J8007">
        <f>IF(F8007="","none",IF(G8007=1,"carte","multiple"))</f>
        <v/>
      </c>
    </row>
    <row r="8008">
      <c r="A8008" t="inlineStr">
        <is>
          <t>2023-03-30</t>
        </is>
      </c>
      <c r="B8008" t="inlineStr">
        <is>
          <t>11:45</t>
        </is>
      </c>
      <c r="C8008" t="n">
        <v>3157</v>
      </c>
      <c r="D8008" s="6" t="n">
        <v>33</v>
      </c>
      <c r="E8008" t="n">
        <v>45374</v>
      </c>
      <c r="F8008" s="6" t="n">
        <v>33</v>
      </c>
      <c r="G8008" t="n">
        <v>1</v>
      </c>
      <c r="H8008" s="6">
        <f>ROUND(G8008*F8008,2)</f>
        <v/>
      </c>
      <c r="I8008">
        <f>IF(ROUND(H8008-D8008,2)=0,1,0)</f>
        <v/>
      </c>
      <c r="J8008">
        <f>IF(F8008="","none",IF(G8008=1,"carte","multiple"))</f>
        <v/>
      </c>
    </row>
    <row r="8009">
      <c r="A8009" t="inlineStr">
        <is>
          <t>2023-03-30</t>
        </is>
      </c>
      <c r="B8009" t="inlineStr">
        <is>
          <t>11:49</t>
        </is>
      </c>
      <c r="C8009" t="n">
        <v>3157</v>
      </c>
      <c r="D8009" s="6" t="n">
        <v>7.8</v>
      </c>
      <c r="E8009" t="n">
        <v>45375</v>
      </c>
      <c r="F8009" s="6" t="n">
        <v>7.8</v>
      </c>
      <c r="G8009" t="n">
        <v>1</v>
      </c>
      <c r="H8009" s="6">
        <f>ROUND(G8009*F8009,2)</f>
        <v/>
      </c>
      <c r="I8009">
        <f>IF(ROUND(H8009-D8009,2)=0,1,0)</f>
        <v/>
      </c>
      <c r="J8009">
        <f>IF(F8009="","none",IF(G8009=1,"carte","multiple"))</f>
        <v/>
      </c>
    </row>
    <row r="8010">
      <c r="A8010" t="inlineStr">
        <is>
          <t>2023-03-30</t>
        </is>
      </c>
      <c r="B8010" t="inlineStr">
        <is>
          <t>12:01</t>
        </is>
      </c>
      <c r="C8010" t="n">
        <v>3157</v>
      </c>
      <c r="D8010" s="6" t="n">
        <v>33.8</v>
      </c>
      <c r="E8010" t="n">
        <v>45376</v>
      </c>
      <c r="F8010" s="6" t="n">
        <v>16.9</v>
      </c>
      <c r="G8010" t="n">
        <v>2</v>
      </c>
      <c r="H8010" s="6">
        <f>ROUND(G8010*F8010,2)</f>
        <v/>
      </c>
      <c r="I8010">
        <f>IF(ROUND(H8010-D8010,2)=0,1,0)</f>
        <v/>
      </c>
      <c r="J8010">
        <f>IF(F8010="","none",IF(G8010=1,"carte","multiple"))</f>
        <v/>
      </c>
    </row>
    <row r="8011">
      <c r="A8011" t="inlineStr">
        <is>
          <t>2023-03-30</t>
        </is>
      </c>
      <c r="B8011" t="inlineStr">
        <is>
          <t>12:01</t>
        </is>
      </c>
      <c r="C8011" t="n">
        <v>3157</v>
      </c>
      <c r="D8011" s="6" t="n">
        <v>15.8</v>
      </c>
      <c r="E8011" t="n">
        <v>45377</v>
      </c>
      <c r="F8011" s="6" t="n">
        <v>7.9</v>
      </c>
      <c r="G8011" t="n">
        <v>2</v>
      </c>
      <c r="H8011" s="6">
        <f>ROUND(G8011*F8011,2)</f>
        <v/>
      </c>
      <c r="I8011">
        <f>IF(ROUND(H8011-D8011,2)=0,1,0)</f>
        <v/>
      </c>
      <c r="J8011">
        <f>IF(F8011="","none",IF(G8011=1,"carte","multiple"))</f>
        <v/>
      </c>
    </row>
    <row r="8012">
      <c r="A8012" t="inlineStr">
        <is>
          <t>2023-03-30</t>
        </is>
      </c>
      <c r="B8012" t="inlineStr">
        <is>
          <t>12:14</t>
        </is>
      </c>
      <c r="C8012" t="n">
        <v>3157</v>
      </c>
      <c r="D8012" s="6" t="n">
        <v>4.4</v>
      </c>
      <c r="E8012" t="n">
        <v>45378</v>
      </c>
      <c r="F8012" s="6" t="n">
        <v>0.4</v>
      </c>
      <c r="G8012" t="n">
        <v>11</v>
      </c>
      <c r="H8012" s="6">
        <f>ROUND(G8012*F8012,2)</f>
        <v/>
      </c>
      <c r="I8012">
        <f>IF(ROUND(H8012-D8012,2)=0,1,0)</f>
        <v/>
      </c>
      <c r="J8012">
        <f>IF(F8012="","none",IF(G8012=1,"carte","multiple"))</f>
        <v/>
      </c>
    </row>
    <row r="8013">
      <c r="A8013" t="inlineStr">
        <is>
          <t>2023-03-30</t>
        </is>
      </c>
      <c r="B8013" t="inlineStr">
        <is>
          <t>12:14</t>
        </is>
      </c>
      <c r="C8013" t="n">
        <v>3157</v>
      </c>
      <c r="D8013" s="6" t="n">
        <v>33.8</v>
      </c>
      <c r="E8013" t="n">
        <v>45379</v>
      </c>
      <c r="F8013" s="6" t="n">
        <v>16.9</v>
      </c>
      <c r="G8013" t="n">
        <v>2</v>
      </c>
      <c r="H8013" s="6">
        <f>ROUND(G8013*F8013,2)</f>
        <v/>
      </c>
      <c r="I8013">
        <f>IF(ROUND(H8013-D8013,2)=0,1,0)</f>
        <v/>
      </c>
      <c r="J8013">
        <f>IF(F8013="","none",IF(G8013=1,"carte","multiple"))</f>
        <v/>
      </c>
    </row>
    <row r="8014">
      <c r="A8014" t="inlineStr">
        <is>
          <t>2023-03-30</t>
        </is>
      </c>
      <c r="B8014" t="inlineStr">
        <is>
          <t>12:14</t>
        </is>
      </c>
      <c r="C8014" t="n">
        <v>3157</v>
      </c>
      <c r="D8014" s="6" t="n">
        <v>15.8</v>
      </c>
      <c r="E8014" t="n">
        <v>45380</v>
      </c>
      <c r="F8014" s="6" t="n">
        <v>7.9</v>
      </c>
      <c r="G8014" t="n">
        <v>2</v>
      </c>
      <c r="H8014" s="6">
        <f>ROUND(G8014*F8014,2)</f>
        <v/>
      </c>
      <c r="I8014">
        <f>IF(ROUND(H8014-D8014,2)=0,1,0)</f>
        <v/>
      </c>
      <c r="J8014">
        <f>IF(F8014="","none",IF(G8014=1,"carte","multiple"))</f>
        <v/>
      </c>
    </row>
    <row r="8015">
      <c r="A8015" t="inlineStr">
        <is>
          <t>2023-03-30</t>
        </is>
      </c>
      <c r="B8015" t="inlineStr">
        <is>
          <t>19:36</t>
        </is>
      </c>
      <c r="C8015" t="n">
        <v>3157</v>
      </c>
      <c r="D8015" s="6" t="n">
        <v>3.9</v>
      </c>
      <c r="E8015" t="n">
        <v>45382</v>
      </c>
      <c r="F8015" s="6" t="n">
        <v>3.9</v>
      </c>
      <c r="G8015" t="n">
        <v>1</v>
      </c>
      <c r="H8015" s="6">
        <f>ROUND(G8015*F8015,2)</f>
        <v/>
      </c>
      <c r="I8015">
        <f>IF(ROUND(H8015-D8015,2)=0,1,0)</f>
        <v/>
      </c>
      <c r="J8015">
        <f>IF(F8015="","none",IF(G8015=1,"carte","multiple"))</f>
        <v/>
      </c>
    </row>
    <row r="8016">
      <c r="A8016" t="inlineStr">
        <is>
          <t>2023-03-31</t>
        </is>
      </c>
      <c r="B8016" t="inlineStr">
        <is>
          <t>11:15</t>
        </is>
      </c>
      <c r="C8016" t="n">
        <v>3158</v>
      </c>
      <c r="D8016" s="6" t="n">
        <v>28.8</v>
      </c>
      <c r="E8016" t="n">
        <v>45385</v>
      </c>
      <c r="F8016" s="6" t="n">
        <v>0.4</v>
      </c>
      <c r="G8016" t="n">
        <v>72</v>
      </c>
      <c r="H8016" s="6">
        <f>ROUND(G8016*F8016,2)</f>
        <v/>
      </c>
      <c r="I8016">
        <f>IF(ROUND(H8016-D8016,2)=0,1,0)</f>
        <v/>
      </c>
      <c r="J8016">
        <f>IF(F8016="","none",IF(G8016=1,"carte","multiple"))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2026-10-25T19:13:09Z</dcterms:created>
  <dcterms:modified xmlns:dcterms="http://purl.org/dc/terms/" xmlns:xsi="http://www.w3.org/2001/XMLSchema-instance" xsi:type="dcterms:W3CDTF">2026-10-25T19:13:11Z</dcterms:modified>
</cp:coreProperties>
</file>